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emium\Premium\Omair ALi\30-Apr-2025\"/>
    </mc:Choice>
  </mc:AlternateContent>
  <xr:revisionPtr revIDLastSave="0" documentId="8_{FE60E0E0-6F53-45EF-A433-DEE94D22D571}" xr6:coauthVersionLast="47" xr6:coauthVersionMax="47" xr10:uidLastSave="{00000000-0000-0000-0000-000000000000}"/>
  <bookViews>
    <workbookView xWindow="-120" yWindow="-120" windowWidth="20730" windowHeight="11040" firstSheet="3" activeTab="4" xr2:uid="{4D4E935F-ACC3-4226-9F71-BEA53DD4B54C}"/>
  </bookViews>
  <sheets>
    <sheet name="Sheet2" sheetId="2" state="hidden" r:id="rId1"/>
    <sheet name="Sheet3" sheetId="3" state="hidden" r:id="rId2"/>
    <sheet name="Sheet1" sheetId="4" state="hidden" r:id="rId3"/>
    <sheet name="FINAL LIST" sheetId="5" r:id="rId4"/>
    <sheet name="working" sheetId="6" r:id="rId5"/>
    <sheet name="Sheet5" sheetId="7" r:id="rId6"/>
    <sheet name="policy" sheetId="8" r:id="rId7"/>
  </sheets>
  <definedNames>
    <definedName name="_xlnm._FilterDatabase" localSheetId="2" hidden="1">Sheet1!$A$1:$B$2086</definedName>
    <definedName name="_xlnm._FilterDatabase" localSheetId="0" hidden="1">Sheet2!$A$2:$AL$1740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52" i="6" l="1"/>
  <c r="B1752" i="5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H1180" i="6"/>
  <c r="H1181" i="6"/>
  <c r="H1182" i="6"/>
  <c r="H1183" i="6"/>
  <c r="H1184" i="6"/>
  <c r="H1185" i="6"/>
  <c r="H1186" i="6"/>
  <c r="H1187" i="6"/>
  <c r="H1188" i="6"/>
  <c r="H1189" i="6"/>
  <c r="H1190" i="6"/>
  <c r="H1191" i="6"/>
  <c r="H1192" i="6"/>
  <c r="H1193" i="6"/>
  <c r="H1194" i="6"/>
  <c r="H1195" i="6"/>
  <c r="H1196" i="6"/>
  <c r="H1197" i="6"/>
  <c r="H1198" i="6"/>
  <c r="H1199" i="6"/>
  <c r="H1200" i="6"/>
  <c r="H1201" i="6"/>
  <c r="H1202" i="6"/>
  <c r="H1203" i="6"/>
  <c r="H1204" i="6"/>
  <c r="H1205" i="6"/>
  <c r="H1206" i="6"/>
  <c r="H1207" i="6"/>
  <c r="H1208" i="6"/>
  <c r="H1209" i="6"/>
  <c r="H1210" i="6"/>
  <c r="H1211" i="6"/>
  <c r="H1212" i="6"/>
  <c r="H1213" i="6"/>
  <c r="H1214" i="6"/>
  <c r="H1215" i="6"/>
  <c r="H1216" i="6"/>
  <c r="H1217" i="6"/>
  <c r="H1218" i="6"/>
  <c r="H1219" i="6"/>
  <c r="H1220" i="6"/>
  <c r="H1221" i="6"/>
  <c r="H1222" i="6"/>
  <c r="H1223" i="6"/>
  <c r="H1224" i="6"/>
  <c r="H1225" i="6"/>
  <c r="H1226" i="6"/>
  <c r="H1227" i="6"/>
  <c r="H1228" i="6"/>
  <c r="H1229" i="6"/>
  <c r="H1230" i="6"/>
  <c r="H1231" i="6"/>
  <c r="H1232" i="6"/>
  <c r="H1233" i="6"/>
  <c r="H1234" i="6"/>
  <c r="H1235" i="6"/>
  <c r="H1236" i="6"/>
  <c r="H1237" i="6"/>
  <c r="H1238" i="6"/>
  <c r="H1239" i="6"/>
  <c r="H1240" i="6"/>
  <c r="H1241" i="6"/>
  <c r="H1242" i="6"/>
  <c r="H1243" i="6"/>
  <c r="H1244" i="6"/>
  <c r="H1245" i="6"/>
  <c r="H1246" i="6"/>
  <c r="H1247" i="6"/>
  <c r="H1248" i="6"/>
  <c r="H1249" i="6"/>
  <c r="H1250" i="6"/>
  <c r="H1251" i="6"/>
  <c r="H1252" i="6"/>
  <c r="H1253" i="6"/>
  <c r="H1254" i="6"/>
  <c r="H1255" i="6"/>
  <c r="H1256" i="6"/>
  <c r="H1257" i="6"/>
  <c r="H1258" i="6"/>
  <c r="H1259" i="6"/>
  <c r="H1260" i="6"/>
  <c r="H1261" i="6"/>
  <c r="H1262" i="6"/>
  <c r="H1263" i="6"/>
  <c r="H1264" i="6"/>
  <c r="H1265" i="6"/>
  <c r="H1266" i="6"/>
  <c r="H1267" i="6"/>
  <c r="H1268" i="6"/>
  <c r="H1269" i="6"/>
  <c r="H1270" i="6"/>
  <c r="H1271" i="6"/>
  <c r="H1272" i="6"/>
  <c r="H1273" i="6"/>
  <c r="H1274" i="6"/>
  <c r="H1275" i="6"/>
  <c r="H1276" i="6"/>
  <c r="H1277" i="6"/>
  <c r="H1278" i="6"/>
  <c r="H1279" i="6"/>
  <c r="H1280" i="6"/>
  <c r="H1281" i="6"/>
  <c r="H1282" i="6"/>
  <c r="H1283" i="6"/>
  <c r="H1284" i="6"/>
  <c r="H1285" i="6"/>
  <c r="H1286" i="6"/>
  <c r="H1287" i="6"/>
  <c r="H1288" i="6"/>
  <c r="H1289" i="6"/>
  <c r="H1290" i="6"/>
  <c r="H1291" i="6"/>
  <c r="H1292" i="6"/>
  <c r="H1293" i="6"/>
  <c r="H1294" i="6"/>
  <c r="H1295" i="6"/>
  <c r="H1296" i="6"/>
  <c r="H1297" i="6"/>
  <c r="H1298" i="6"/>
  <c r="H1299" i="6"/>
  <c r="H1300" i="6"/>
  <c r="H1301" i="6"/>
  <c r="H1302" i="6"/>
  <c r="H1303" i="6"/>
  <c r="H1304" i="6"/>
  <c r="H1305" i="6"/>
  <c r="H1306" i="6"/>
  <c r="H1307" i="6"/>
  <c r="H1308" i="6"/>
  <c r="H1309" i="6"/>
  <c r="H1310" i="6"/>
  <c r="H1311" i="6"/>
  <c r="H1312" i="6"/>
  <c r="H1313" i="6"/>
  <c r="H1314" i="6"/>
  <c r="H1315" i="6"/>
  <c r="H1316" i="6"/>
  <c r="H1317" i="6"/>
  <c r="H1318" i="6"/>
  <c r="H1319" i="6"/>
  <c r="H1320" i="6"/>
  <c r="H1321" i="6"/>
  <c r="H1322" i="6"/>
  <c r="H1323" i="6"/>
  <c r="H1324" i="6"/>
  <c r="H1325" i="6"/>
  <c r="H1326" i="6"/>
  <c r="H1327" i="6"/>
  <c r="H1328" i="6"/>
  <c r="H1329" i="6"/>
  <c r="H1330" i="6"/>
  <c r="H1331" i="6"/>
  <c r="H1332" i="6"/>
  <c r="H1333" i="6"/>
  <c r="H1334" i="6"/>
  <c r="H1335" i="6"/>
  <c r="H1336" i="6"/>
  <c r="H1337" i="6"/>
  <c r="H1338" i="6"/>
  <c r="H1339" i="6"/>
  <c r="H1340" i="6"/>
  <c r="H1341" i="6"/>
  <c r="H1342" i="6"/>
  <c r="H1343" i="6"/>
  <c r="H1344" i="6"/>
  <c r="H1345" i="6"/>
  <c r="H1346" i="6"/>
  <c r="H1347" i="6"/>
  <c r="H1348" i="6"/>
  <c r="H1349" i="6"/>
  <c r="H1350" i="6"/>
  <c r="H1351" i="6"/>
  <c r="H1352" i="6"/>
  <c r="H1353" i="6"/>
  <c r="H1354" i="6"/>
  <c r="H1355" i="6"/>
  <c r="H1356" i="6"/>
  <c r="H1357" i="6"/>
  <c r="H1358" i="6"/>
  <c r="H1359" i="6"/>
  <c r="H1360" i="6"/>
  <c r="H1361" i="6"/>
  <c r="H1362" i="6"/>
  <c r="H1363" i="6"/>
  <c r="H1364" i="6"/>
  <c r="H1365" i="6"/>
  <c r="H1366" i="6"/>
  <c r="H1367" i="6"/>
  <c r="H1368" i="6"/>
  <c r="H1369" i="6"/>
  <c r="H1370" i="6"/>
  <c r="H1371" i="6"/>
  <c r="H1372" i="6"/>
  <c r="H1373" i="6"/>
  <c r="H1374" i="6"/>
  <c r="H1375" i="6"/>
  <c r="H1376" i="6"/>
  <c r="H1377" i="6"/>
  <c r="H1378" i="6"/>
  <c r="H1379" i="6"/>
  <c r="H1380" i="6"/>
  <c r="H1381" i="6"/>
  <c r="H1382" i="6"/>
  <c r="H1383" i="6"/>
  <c r="H1384" i="6"/>
  <c r="H1385" i="6"/>
  <c r="H1386" i="6"/>
  <c r="H1387" i="6"/>
  <c r="H1388" i="6"/>
  <c r="H1389" i="6"/>
  <c r="H1390" i="6"/>
  <c r="H1391" i="6"/>
  <c r="H1392" i="6"/>
  <c r="H1393" i="6"/>
  <c r="H1394" i="6"/>
  <c r="H1395" i="6"/>
  <c r="H1396" i="6"/>
  <c r="H1397" i="6"/>
  <c r="H1398" i="6"/>
  <c r="H1399" i="6"/>
  <c r="H1400" i="6"/>
  <c r="H1401" i="6"/>
  <c r="H1402" i="6"/>
  <c r="H1403" i="6"/>
  <c r="H1404" i="6"/>
  <c r="H1405" i="6"/>
  <c r="H1406" i="6"/>
  <c r="H1407" i="6"/>
  <c r="H1408" i="6"/>
  <c r="H1409" i="6"/>
  <c r="H1410" i="6"/>
  <c r="H1411" i="6"/>
  <c r="H1412" i="6"/>
  <c r="H1413" i="6"/>
  <c r="H1414" i="6"/>
  <c r="H1415" i="6"/>
  <c r="H1416" i="6"/>
  <c r="H1417" i="6"/>
  <c r="H1418" i="6"/>
  <c r="H1419" i="6"/>
  <c r="H1420" i="6"/>
  <c r="H1421" i="6"/>
  <c r="H1422" i="6"/>
  <c r="H1423" i="6"/>
  <c r="H1424" i="6"/>
  <c r="H1425" i="6"/>
  <c r="H1426" i="6"/>
  <c r="H1427" i="6"/>
  <c r="H1428" i="6"/>
  <c r="H1429" i="6"/>
  <c r="H1430" i="6"/>
  <c r="H1431" i="6"/>
  <c r="H1432" i="6"/>
  <c r="H1433" i="6"/>
  <c r="H1434" i="6"/>
  <c r="H1435" i="6"/>
  <c r="H1436" i="6"/>
  <c r="H1437" i="6"/>
  <c r="H1438" i="6"/>
  <c r="H1439" i="6"/>
  <c r="H1440" i="6"/>
  <c r="H1441" i="6"/>
  <c r="H1442" i="6"/>
  <c r="H1443" i="6"/>
  <c r="H1444" i="6"/>
  <c r="H1445" i="6"/>
  <c r="H1446" i="6"/>
  <c r="H1447" i="6"/>
  <c r="H1448" i="6"/>
  <c r="H1449" i="6"/>
  <c r="H1450" i="6"/>
  <c r="H1451" i="6"/>
  <c r="H1452" i="6"/>
  <c r="H1453" i="6"/>
  <c r="H1454" i="6"/>
  <c r="H1455" i="6"/>
  <c r="H1456" i="6"/>
  <c r="H1457" i="6"/>
  <c r="H1458" i="6"/>
  <c r="H1459" i="6"/>
  <c r="H1460" i="6"/>
  <c r="H1461" i="6"/>
  <c r="H1462" i="6"/>
  <c r="H1463" i="6"/>
  <c r="H1464" i="6"/>
  <c r="H1465" i="6"/>
  <c r="H1466" i="6"/>
  <c r="H1467" i="6"/>
  <c r="H1468" i="6"/>
  <c r="H1469" i="6"/>
  <c r="H1470" i="6"/>
  <c r="H1471" i="6"/>
  <c r="H1472" i="6"/>
  <c r="H1473" i="6"/>
  <c r="H1474" i="6"/>
  <c r="H1475" i="6"/>
  <c r="H1476" i="6"/>
  <c r="H1477" i="6"/>
  <c r="H1478" i="6"/>
  <c r="H1479" i="6"/>
  <c r="H1480" i="6"/>
  <c r="H1481" i="6"/>
  <c r="H1482" i="6"/>
  <c r="H1483" i="6"/>
  <c r="H1484" i="6"/>
  <c r="H1485" i="6"/>
  <c r="H1486" i="6"/>
  <c r="H1487" i="6"/>
  <c r="H1488" i="6"/>
  <c r="H1489" i="6"/>
  <c r="H1490" i="6"/>
  <c r="H1491" i="6"/>
  <c r="H1492" i="6"/>
  <c r="H1493" i="6"/>
  <c r="H1494" i="6"/>
  <c r="H1495" i="6"/>
  <c r="H1496" i="6"/>
  <c r="H1497" i="6"/>
  <c r="H1498" i="6"/>
  <c r="H1499" i="6"/>
  <c r="H1500" i="6"/>
  <c r="H1501" i="6"/>
  <c r="H1502" i="6"/>
  <c r="H1503" i="6"/>
  <c r="H1504" i="6"/>
  <c r="H1505" i="6"/>
  <c r="H1506" i="6"/>
  <c r="H1507" i="6"/>
  <c r="H1508" i="6"/>
  <c r="H1509" i="6"/>
  <c r="H1510" i="6"/>
  <c r="H1511" i="6"/>
  <c r="H1512" i="6"/>
  <c r="H1513" i="6"/>
  <c r="H1514" i="6"/>
  <c r="H1515" i="6"/>
  <c r="H1516" i="6"/>
  <c r="H1517" i="6"/>
  <c r="H1518" i="6"/>
  <c r="H1519" i="6"/>
  <c r="H1520" i="6"/>
  <c r="H1521" i="6"/>
  <c r="H1522" i="6"/>
  <c r="H1523" i="6"/>
  <c r="H1524" i="6"/>
  <c r="H1525" i="6"/>
  <c r="H1526" i="6"/>
  <c r="H1527" i="6"/>
  <c r="H1528" i="6"/>
  <c r="H1529" i="6"/>
  <c r="H1530" i="6"/>
  <c r="H1531" i="6"/>
  <c r="H1532" i="6"/>
  <c r="H1533" i="6"/>
  <c r="H1534" i="6"/>
  <c r="H1535" i="6"/>
  <c r="H1536" i="6"/>
  <c r="H1537" i="6"/>
  <c r="H1538" i="6"/>
  <c r="H1539" i="6"/>
  <c r="H1540" i="6"/>
  <c r="H1541" i="6"/>
  <c r="H1542" i="6"/>
  <c r="H1543" i="6"/>
  <c r="H1544" i="6"/>
  <c r="H1545" i="6"/>
  <c r="H1546" i="6"/>
  <c r="H1547" i="6"/>
  <c r="H1548" i="6"/>
  <c r="H1549" i="6"/>
  <c r="H1550" i="6"/>
  <c r="H1551" i="6"/>
  <c r="H1552" i="6"/>
  <c r="H1553" i="6"/>
  <c r="H1554" i="6"/>
  <c r="H1555" i="6"/>
  <c r="H1556" i="6"/>
  <c r="H1557" i="6"/>
  <c r="H1558" i="6"/>
  <c r="H1559" i="6"/>
  <c r="H1560" i="6"/>
  <c r="H1561" i="6"/>
  <c r="H1562" i="6"/>
  <c r="H1563" i="6"/>
  <c r="H1564" i="6"/>
  <c r="H1565" i="6"/>
  <c r="H1566" i="6"/>
  <c r="H1567" i="6"/>
  <c r="H1568" i="6"/>
  <c r="H1569" i="6"/>
  <c r="H1570" i="6"/>
  <c r="H1571" i="6"/>
  <c r="H1572" i="6"/>
  <c r="H1573" i="6"/>
  <c r="H1574" i="6"/>
  <c r="H1575" i="6"/>
  <c r="H1576" i="6"/>
  <c r="H1577" i="6"/>
  <c r="H1578" i="6"/>
  <c r="H1579" i="6"/>
  <c r="H1580" i="6"/>
  <c r="H1581" i="6"/>
  <c r="H1582" i="6"/>
  <c r="H1583" i="6"/>
  <c r="H1584" i="6"/>
  <c r="H1585" i="6"/>
  <c r="H1586" i="6"/>
  <c r="H1587" i="6"/>
  <c r="H1588" i="6"/>
  <c r="H1589" i="6"/>
  <c r="H1590" i="6"/>
  <c r="H1591" i="6"/>
  <c r="H1592" i="6"/>
  <c r="H1593" i="6"/>
  <c r="H1594" i="6"/>
  <c r="H1595" i="6"/>
  <c r="H1596" i="6"/>
  <c r="H1597" i="6"/>
  <c r="H1598" i="6"/>
  <c r="H1599" i="6"/>
  <c r="H1600" i="6"/>
  <c r="H1601" i="6"/>
  <c r="H1602" i="6"/>
  <c r="H1603" i="6"/>
  <c r="H1604" i="6"/>
  <c r="H1605" i="6"/>
  <c r="H1606" i="6"/>
  <c r="H1607" i="6"/>
  <c r="H1608" i="6"/>
  <c r="H1609" i="6"/>
  <c r="H1610" i="6"/>
  <c r="H1611" i="6"/>
  <c r="H1612" i="6"/>
  <c r="H1613" i="6"/>
  <c r="H1614" i="6"/>
  <c r="H1615" i="6"/>
  <c r="H1616" i="6"/>
  <c r="H1617" i="6"/>
  <c r="H1618" i="6"/>
  <c r="H1619" i="6"/>
  <c r="H1620" i="6"/>
  <c r="H1621" i="6"/>
  <c r="H1622" i="6"/>
  <c r="H1623" i="6"/>
  <c r="H1624" i="6"/>
  <c r="H1625" i="6"/>
  <c r="H1626" i="6"/>
  <c r="H1627" i="6"/>
  <c r="H1628" i="6"/>
  <c r="H1629" i="6"/>
  <c r="H1630" i="6"/>
  <c r="H1631" i="6"/>
  <c r="H1632" i="6"/>
  <c r="H1633" i="6"/>
  <c r="H1634" i="6"/>
  <c r="H1635" i="6"/>
  <c r="H1636" i="6"/>
  <c r="H1637" i="6"/>
  <c r="H1638" i="6"/>
  <c r="H1639" i="6"/>
  <c r="H1640" i="6"/>
  <c r="H1641" i="6"/>
  <c r="H1642" i="6"/>
  <c r="H1643" i="6"/>
  <c r="H1644" i="6"/>
  <c r="H1645" i="6"/>
  <c r="H1646" i="6"/>
  <c r="H1647" i="6"/>
  <c r="H1648" i="6"/>
  <c r="H1649" i="6"/>
  <c r="H1650" i="6"/>
  <c r="H1651" i="6"/>
  <c r="H1652" i="6"/>
  <c r="H1653" i="6"/>
  <c r="H1654" i="6"/>
  <c r="H1655" i="6"/>
  <c r="H1656" i="6"/>
  <c r="H1657" i="6"/>
  <c r="H1658" i="6"/>
  <c r="H1659" i="6"/>
  <c r="H1660" i="6"/>
  <c r="H1661" i="6"/>
  <c r="H1662" i="6"/>
  <c r="H1663" i="6"/>
  <c r="H1664" i="6"/>
  <c r="H1665" i="6"/>
  <c r="H1666" i="6"/>
  <c r="H1667" i="6"/>
  <c r="H1668" i="6"/>
  <c r="H1669" i="6"/>
  <c r="H1670" i="6"/>
  <c r="H1671" i="6"/>
  <c r="H1672" i="6"/>
  <c r="H1673" i="6"/>
  <c r="H1674" i="6"/>
  <c r="H1675" i="6"/>
  <c r="H1676" i="6"/>
  <c r="H1677" i="6"/>
  <c r="H1678" i="6"/>
  <c r="H1679" i="6"/>
  <c r="H1680" i="6"/>
  <c r="H1681" i="6"/>
  <c r="H1682" i="6"/>
  <c r="H1683" i="6"/>
  <c r="H1684" i="6"/>
  <c r="H1685" i="6"/>
  <c r="H1686" i="6"/>
  <c r="H1687" i="6"/>
  <c r="H1688" i="6"/>
  <c r="H1689" i="6"/>
  <c r="H1690" i="6"/>
  <c r="H1691" i="6"/>
  <c r="H1692" i="6"/>
  <c r="H1693" i="6"/>
  <c r="H1694" i="6"/>
  <c r="H1695" i="6"/>
  <c r="H1696" i="6"/>
  <c r="H1697" i="6"/>
  <c r="H1698" i="6"/>
  <c r="H1699" i="6"/>
  <c r="H1700" i="6"/>
  <c r="H1701" i="6"/>
  <c r="H1702" i="6"/>
  <c r="H1703" i="6"/>
  <c r="H1704" i="6"/>
  <c r="H1705" i="6"/>
  <c r="H1706" i="6"/>
  <c r="H1707" i="6"/>
  <c r="H1708" i="6"/>
  <c r="H1709" i="6"/>
  <c r="H1710" i="6"/>
  <c r="H1711" i="6"/>
  <c r="H1712" i="6"/>
  <c r="H1713" i="6"/>
  <c r="H1714" i="6"/>
  <c r="H1715" i="6"/>
  <c r="H1716" i="6"/>
  <c r="H1717" i="6"/>
  <c r="H1718" i="6"/>
  <c r="H1719" i="6"/>
  <c r="H1720" i="6"/>
  <c r="H1721" i="6"/>
  <c r="H1722" i="6"/>
  <c r="H1723" i="6"/>
  <c r="H1724" i="6"/>
  <c r="H1725" i="6"/>
  <c r="H1726" i="6"/>
  <c r="H1727" i="6"/>
  <c r="H1728" i="6"/>
  <c r="H1729" i="6"/>
  <c r="H1730" i="6"/>
  <c r="H1731" i="6"/>
  <c r="H1732" i="6"/>
  <c r="H1733" i="6"/>
  <c r="H1734" i="6"/>
  <c r="H1735" i="6"/>
  <c r="H1736" i="6"/>
  <c r="H1737" i="6"/>
  <c r="H1738" i="6"/>
  <c r="H1739" i="6"/>
  <c r="H1740" i="6"/>
  <c r="H1741" i="6"/>
  <c r="H1742" i="6"/>
  <c r="H1743" i="6"/>
  <c r="H1744" i="6"/>
  <c r="H1745" i="6"/>
  <c r="H1746" i="6"/>
  <c r="H1747" i="6"/>
  <c r="H1748" i="6"/>
  <c r="H1749" i="6"/>
  <c r="H1750" i="6"/>
  <c r="H1751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2" i="6"/>
  <c r="F2" i="6"/>
  <c r="D2" i="6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" i="8"/>
  <c r="H2" i="6" l="1"/>
  <c r="AC1" i="2" l="1"/>
</calcChain>
</file>

<file path=xl/sharedStrings.xml><?xml version="1.0" encoding="utf-8"?>
<sst xmlns="http://schemas.openxmlformats.org/spreadsheetml/2006/main" count="41106" uniqueCount="5913">
  <si>
    <t>Policy</t>
  </si>
  <si>
    <t>Endorsement</t>
  </si>
  <si>
    <t>Sum of Outstanding</t>
  </si>
  <si>
    <t>KHI/HO/D/MO/PD COMP/P/100636/10/2024</t>
  </si>
  <si>
    <t>KHI/HO/D/MO/PD COMP/E/49352/11/2024</t>
  </si>
  <si>
    <t>KHI/HO/D/MO/PD COMP/E/50422/12/2024</t>
  </si>
  <si>
    <t>KHI/HO/D/MO/PD COMP/E/51897/01/2025</t>
  </si>
  <si>
    <t>KHI/HO/D/MO/PD COMP/E/52749/02/2025</t>
  </si>
  <si>
    <t>KHI/HO/D/MO/PD COMP/E/58983/03/2025</t>
  </si>
  <si>
    <t>KHI/HO/D/MO/PD COMP/E/59235/03/2025</t>
  </si>
  <si>
    <t>(blank)</t>
  </si>
  <si>
    <t>KHI/HO/D/MO/PD COMP/P/55880/09/2021</t>
  </si>
  <si>
    <t>KHI/HO/D/MO/PD COMP/E/18327/12/2021</t>
  </si>
  <si>
    <t>KHI/HO/D/MO/PD COMP/E/48693/10/2024</t>
  </si>
  <si>
    <t>KHI/HO/D/MO/PD COMP/P/56730/11/2021</t>
  </si>
  <si>
    <t>KHI/HO/D/MO/PD COMP/E/18537/01/2022</t>
  </si>
  <si>
    <t>KHI/HO/D/MO/PD COMP/E/21803/10/2022</t>
  </si>
  <si>
    <t>KHI/HO/D/MO/PD COMP/E/48694/10/2024</t>
  </si>
  <si>
    <t>KHI/HO/D/MO/PD COMP/P/56778/11/2021</t>
  </si>
  <si>
    <t>KHI/HO/D/MO/PD COMP/E/18227/12/2021</t>
  </si>
  <si>
    <t>KHI/HO/D/MO/PD COMP/E/21801/10/2022</t>
  </si>
  <si>
    <t>KHI/HO/D/MO/PD COMP/E/48695/10/2024</t>
  </si>
  <si>
    <t>KHI/HO/D/MO/PD COMP/P/56936/11/2021</t>
  </si>
  <si>
    <t>KHI/HO/D/MO/PD COMP/E/22006/11/2022</t>
  </si>
  <si>
    <t>KHI/HO/D/MO/PD COMP/E/48793/10/2024</t>
  </si>
  <si>
    <t>KHI/HO/D/MO/PD COMP/P/58087/01/2022</t>
  </si>
  <si>
    <t>KHI/HO/D/MO/PD COMP/E/18671/02/2022</t>
  </si>
  <si>
    <t>KHI/HO/D/MO/PD COMP/E/19615/05/2022</t>
  </si>
  <si>
    <t>KHI/HO/D/MO/PD COMP/E/19649/05/2022</t>
  </si>
  <si>
    <t>KHI/HO/D/MO/PD COMP/E/21806/10/2022</t>
  </si>
  <si>
    <t>KHI/HO/D/MO/PD COMP/E/50450/12/2024</t>
  </si>
  <si>
    <t>KHI/HO/D/MO/PD COMP/P/58088/01/2022</t>
  </si>
  <si>
    <t>KHI/HO/D/MO/PD COMP/E/22012/11/2022</t>
  </si>
  <si>
    <t>KHI/HO/D/MO/PD COMP/E/22239/11/2022</t>
  </si>
  <si>
    <t>KHI/HO/D/MO/PD COMP/E/50451/12/2024</t>
  </si>
  <si>
    <t>KHI/HO/D/MO/PD COMP/P/58180/01/2022</t>
  </si>
  <si>
    <t>KHI/HO/D/MO/PD COMP/E/18762/02/2022</t>
  </si>
  <si>
    <t>KHI/HO/D/MO/PD COMP/E/48696/10/2024</t>
  </si>
  <si>
    <t>KHI/HO/D/MO/PD COMP/P/58224/01/2022</t>
  </si>
  <si>
    <t>KHI/HO/D/MO/PD COMP/E/22027/11/2022</t>
  </si>
  <si>
    <t>KHI/HO/D/MO/PD COMP/E/22227/11/2022</t>
  </si>
  <si>
    <t>KHI/HO/D/MO/PD COMP/E/22541/12/2022</t>
  </si>
  <si>
    <t>KHI/HO/D/MO/PD COMP/E/48697/10/2024</t>
  </si>
  <si>
    <t>KHI/HO/D/MO/PD COMP/P/58234/01/2022</t>
  </si>
  <si>
    <t>KHI/HO/D/MO/PD COMP/E/22226/11/2022</t>
  </si>
  <si>
    <t>KHI/HO/D/MO/PD COMP/E/22607/12/2022</t>
  </si>
  <si>
    <t>KHI/HO/D/MO/PD COMP/E/48698/10/2024</t>
  </si>
  <si>
    <t>KHI/HO/D/MO/PD COMP/P/58677/02/2022</t>
  </si>
  <si>
    <t>KHI/HO/D/MO/PD COMP/E/21805/10/2022</t>
  </si>
  <si>
    <t>KHI/HO/D/MO/PD COMP/E/48700/10/2024</t>
  </si>
  <si>
    <t>KHI/HO/D/MO/PD COMP/P/58795/02/2022</t>
  </si>
  <si>
    <t>KHI/HO/D/MO/PD COMP/E/22651/01/2023</t>
  </si>
  <si>
    <t>KHI/HO/D/MO/PD COMP/E/48701/10/2024</t>
  </si>
  <si>
    <t>KHI/HO/D/MO/PD COMP/P/59606/03/2022</t>
  </si>
  <si>
    <t>KHI/HO/D/MO/PD COMP/E/22261/11/2022</t>
  </si>
  <si>
    <t>KHI/HO/D/MO/PD COMP/E/22399/12/2022</t>
  </si>
  <si>
    <t>KHI/HO/D/MO/PD COMP/E/22778/01/2023</t>
  </si>
  <si>
    <t>KHI/HO/D/MO/PD COMP/E/23073/02/2023</t>
  </si>
  <si>
    <t>KHI/HO/D/MO/PD COMP/E/48703/10/2024</t>
  </si>
  <si>
    <t>KHI/HO/D/MO/PD COMP/P/60210/04/2022</t>
  </si>
  <si>
    <t>KHI/HO/D/MO/PD COMP/E/24332/03/2023</t>
  </si>
  <si>
    <t>KHI/HO/D/MO/PD COMP/E/48704/10/2024</t>
  </si>
  <si>
    <t>KHI/HO/D/MO/PD COMP/P/60538/05/2022</t>
  </si>
  <si>
    <t>KHI/HO/D/MO/PD COMP/E/24359/03/2023</t>
  </si>
  <si>
    <t>KHI/HO/D/MO/PD COMP/P/60617/05/2022</t>
  </si>
  <si>
    <t>KHI/HO/D/MO/PD COMP/E/21795/10/2022</t>
  </si>
  <si>
    <t>KHI/HO/D/MO/PD COMP/E/48794/10/2024</t>
  </si>
  <si>
    <t>KHI/HO/D/MO/PD COMP/P/60632/05/2022</t>
  </si>
  <si>
    <t>KHI/HO/D/MO/PD COMP/E/21792/10/2022</t>
  </si>
  <si>
    <t>KHI/HO/D/MO/PD COMP/E/23322/02/2023</t>
  </si>
  <si>
    <t>KHI/HO/D/MO/PD COMP/E/48706/10/2024</t>
  </si>
  <si>
    <t>KHI/HO/D/MO/PD COMP/P/61418/06/2022</t>
  </si>
  <si>
    <t>KHI/HO/D/MO/PD COMP/E/21796/10/2022</t>
  </si>
  <si>
    <t>KHI/HO/D/MO/PD COMP/P/62893/08/2022</t>
  </si>
  <si>
    <t>KHI/HO/D/MO/PD COMP/E/21787/10/2022</t>
  </si>
  <si>
    <t>KHI/HO/D/MO/PD COMP/E/48709/10/2024</t>
  </si>
  <si>
    <t>KHI/HO/D/MO/PD COMP/P/63305/09/2022</t>
  </si>
  <si>
    <t>KHI/HO/D/MO/PD COMP/E/21786/10/2022</t>
  </si>
  <si>
    <t>KHI/HO/D/MO/PD COMP/P/63469/09/2022</t>
  </si>
  <si>
    <t>KHI/HO/D/MO/PD COMP/E/27010/07/2023</t>
  </si>
  <si>
    <t>KHI/HO/D/MO/PD COMP/E/28184/07/2023</t>
  </si>
  <si>
    <t>KHI/HO/D/MO/PD COMP/E/28186/07/2023</t>
  </si>
  <si>
    <t>KHI/HO/D/MO/PD COMP/E/48710/10/2024</t>
  </si>
  <si>
    <t>KHI/HO/D/MO/PD COMP/P/63588/09/2022</t>
  </si>
  <si>
    <t>KHI/HO/D/MO/PD COMP/E/21807/10/2022</t>
  </si>
  <si>
    <t>KHI/HO/D/MO/PD COMP/E/59206/03/2025</t>
  </si>
  <si>
    <t>KHI/HO/D/MO/PD COMP/P/66017/12/2022</t>
  </si>
  <si>
    <t>KHI/HO/D/MO/PD COMP/E/25678/05/2023</t>
  </si>
  <si>
    <t>KHI/HO/D/MO/PD COMP/P/66188/12/2022</t>
  </si>
  <si>
    <t>KHI/HO/D/MO/PD COMP/E/23543/03/2023</t>
  </si>
  <si>
    <t>KHI/HO/D/MO/PD COMP/P/66636/01/2023</t>
  </si>
  <si>
    <t>KHI/HO/D/MO/PD COMP/E/23895/03/2023</t>
  </si>
  <si>
    <t>KHI/HO/D/MO/PD COMP/E/23974/03/2023</t>
  </si>
  <si>
    <t>KHI/HO/D/MO/PD COMP/E/27460/07/2023</t>
  </si>
  <si>
    <t>KHI/HO/D/MO/PD COMP/E/28755/08/2023</t>
  </si>
  <si>
    <t>KHI/HO/D/MO/PD COMP/E/30471/09/2023</t>
  </si>
  <si>
    <t>KHI/HO/D/MO/PD COMP/E/33102/10/2023</t>
  </si>
  <si>
    <t>KHI/HO/D/MO/PD COMP/E/34228/11/2023</t>
  </si>
  <si>
    <t>KHI/HO/D/MO/PD COMP/E/35192/12/2023</t>
  </si>
  <si>
    <t>KHI/HO/D/MO/PD COMP/E/50452/12/2024</t>
  </si>
  <si>
    <t>KHI/HO/D/MO/PD COMP/P/66820/01/2023</t>
  </si>
  <si>
    <t>KHI/HO/D/MO/PD COMP/E/27467/07/2023</t>
  </si>
  <si>
    <t>KHI/HO/D/MO/PD COMP/P/66962/01/2023</t>
  </si>
  <si>
    <t>KHI/HO/D/MO/PD COMP/E/28916/08/2023</t>
  </si>
  <si>
    <t>KHI/HO/D/MO/PD COMP/P/66982/01/2023</t>
  </si>
  <si>
    <t>KHI/HO/D/MO/PD COMP/E/28964/08/2023</t>
  </si>
  <si>
    <t>KHI/HO/D/MO/PD COMP/E/35349/12/2023</t>
  </si>
  <si>
    <t>KHI/HO/D/MO/PD COMP/E/48714/10/2024</t>
  </si>
  <si>
    <t>KHI/HO/D/MO/PD COMP/P/66983/01/2023</t>
  </si>
  <si>
    <t>KHI/HO/D/MO/PD COMP/E/24941/04/2023</t>
  </si>
  <si>
    <t>KHI/HO/D/MO/PD COMP/P/66986/01/2023</t>
  </si>
  <si>
    <t>KHI/HO/D/MO/PD COMP/E/37109/02/2024</t>
  </si>
  <si>
    <t>KHI/HO/D/MO/PD COMP/P/67223/01/2023</t>
  </si>
  <si>
    <t>KHI/HO/D/MO/PD COMP/E/45017/08/2024</t>
  </si>
  <si>
    <t>KHI/HO/D/MO/PD COMP/P/67402/02/2023</t>
  </si>
  <si>
    <t>KHI/HO/D/MO/PD COMP/E/34876/12/2023</t>
  </si>
  <si>
    <t>KHI/HO/D/MO/PD COMP/E/34877/12/2023</t>
  </si>
  <si>
    <t>KHI/HO/D/MO/PD COMP/E/34878/12/2023</t>
  </si>
  <si>
    <t>KHI/HO/D/MO/PD COMP/E/34879/12/2023</t>
  </si>
  <si>
    <t>KHI/HO/D/MO/PD COMP/E/34880/12/2023</t>
  </si>
  <si>
    <t>KHI/HO/D/MO/PD COMP/E/35888/01/2024</t>
  </si>
  <si>
    <t>KHI/HO/D/MO/PD COMP/E/50453/12/2024</t>
  </si>
  <si>
    <t>KHI/HO/D/MO/PD COMP/P/67508/02/2023</t>
  </si>
  <si>
    <t>KHI/HO/D/MO/PD COMP/E/35874/01/2024</t>
  </si>
  <si>
    <t>KHI/HO/D/MO/PD COMP/P/67739/02/2023</t>
  </si>
  <si>
    <t>KHI/HO/D/MO/PD COMP/E/24822/04/2023</t>
  </si>
  <si>
    <t>KHI/HO/D/MO/PD COMP/P/67752/02/2023</t>
  </si>
  <si>
    <t>KHI/HO/D/MO/PD COMP/E/34284/11/2023</t>
  </si>
  <si>
    <t>KHI/HO/D/MO/PD COMP/E/35156/12/2023</t>
  </si>
  <si>
    <t>KHI/HO/D/MO/PD COMP/E/36259/01/2024</t>
  </si>
  <si>
    <t>KHI/HO/D/MO/PD COMP/E/40840/04/2024</t>
  </si>
  <si>
    <t>KHI/HO/D/MO/PD COMP/P/67996/02/2023</t>
  </si>
  <si>
    <t>KHI/HO/D/MO/PD COMP/E/37420/02/2024</t>
  </si>
  <si>
    <t>KHI/HO/D/MO/PD COMP/E/50454/12/2024</t>
  </si>
  <si>
    <t>KHI/HO/D/MO/PD COMP/P/68067/02/2023</t>
  </si>
  <si>
    <t>KHI/HO/D/MO/PD COMP/E/38388/03/2024</t>
  </si>
  <si>
    <t>KHI/HO/D/MO/PD COMP/E/50455/12/2024</t>
  </si>
  <si>
    <t>KHI/HO/D/MO/PD COMP/P/68293/02/2023</t>
  </si>
  <si>
    <t>KHI/HO/D/MO/PD COMP/E/35243/12/2023</t>
  </si>
  <si>
    <t>KHI/HO/D/MO/PD COMP/E/36532/01/2024</t>
  </si>
  <si>
    <t>KHI/HO/D/MO/PD COMP/E/36533/01/2024</t>
  </si>
  <si>
    <t>KHI/HO/D/MO/PD COMP/E/36534/01/2024</t>
  </si>
  <si>
    <t>KHI/HO/D/MO/PD COMP/E/36535/01/2024</t>
  </si>
  <si>
    <t>KHI/HO/D/MO/PD COMP/E/40843/04/2024</t>
  </si>
  <si>
    <t>KHI/HO/D/MO/PD COMP/P/68385/02/2023</t>
  </si>
  <si>
    <t>KHI/HO/D/MO/PD COMP/E/35836/01/2024</t>
  </si>
  <si>
    <t>KHI/HO/D/MO/PD COMP/E/36735/01/2024</t>
  </si>
  <si>
    <t>KHI/HO/D/MO/PD COMP/E/50456/12/2024</t>
  </si>
  <si>
    <t>KHI/HO/D/MO/PD COMP/P/68451/03/2023</t>
  </si>
  <si>
    <t>KHI/HO/D/MO/PD COMP/E/35283/12/2023</t>
  </si>
  <si>
    <t>KHI/HO/D/MO/PD COMP/E/36361/01/2024</t>
  </si>
  <si>
    <t>KHI/HO/D/MO/PD COMP/E/40842/04/2024</t>
  </si>
  <si>
    <t>KHI/HO/D/MO/PD COMP/P/68479/03/2023</t>
  </si>
  <si>
    <t>KHI/HO/D/MO/PD COMP/E/29245/08/2023</t>
  </si>
  <si>
    <t>KHI/HO/D/MO/PD COMP/E/35521/12/2023</t>
  </si>
  <si>
    <t>KHI/HO/D/MO/PD COMP/E/48715/10/2024</t>
  </si>
  <si>
    <t>KHI/HO/D/MO/PD COMP/P/68491/03/2023</t>
  </si>
  <si>
    <t>KHI/HO/D/MO/PD COMP/E/34565/11/2023</t>
  </si>
  <si>
    <t>KHI/HO/D/MO/PD COMP/E/35490/12/2023</t>
  </si>
  <si>
    <t>KHI/HO/D/MO/PD COMP/E/40844/04/2024</t>
  </si>
  <si>
    <t>KHI/HO/D/MO/PD COMP/P/68658/03/2023</t>
  </si>
  <si>
    <t>KHI/HO/D/MO/PD COMP/E/26301/06/2023</t>
  </si>
  <si>
    <t>KHI/HO/D/MO/PD COMP/E/35050/12/2023</t>
  </si>
  <si>
    <t>KHI/HO/D/MO/PD COMP/E/35051/12/2023</t>
  </si>
  <si>
    <t>KHI/HO/D/MO/PD COMP/E/36131/01/2024</t>
  </si>
  <si>
    <t>KHI/HO/D/MO/PD COMP/E/36948/02/2024</t>
  </si>
  <si>
    <t>KHI/HO/D/MO/PD COMP/E/48716/10/2024</t>
  </si>
  <si>
    <t>KHI/HO/D/MO/PD COMP/P/68786/03/2023</t>
  </si>
  <si>
    <t>KHI/HO/D/MO/PD COMP/E/36266/01/2024</t>
  </si>
  <si>
    <t>KHI/HO/D/MO/PD COMP/E/37085/02/2024</t>
  </si>
  <si>
    <t>KHI/HO/D/MO/PD COMP/E/40846/04/2024</t>
  </si>
  <si>
    <t>KHI/HO/D/MO/PD COMP/P/68967/03/2023</t>
  </si>
  <si>
    <t>KHI/HO/D/MO/PD COMP/E/27475/07/2023</t>
  </si>
  <si>
    <t>KHI/HO/D/MO/PD COMP/E/34384/11/2023</t>
  </si>
  <si>
    <t>KHI/HO/D/MO/PD COMP/P/68970/03/2023</t>
  </si>
  <si>
    <t>KHI/HO/D/MO/PD COMP/E/26458/06/2023</t>
  </si>
  <si>
    <t>KHI/HO/D/MO/PD COMP/P/69150/03/2023</t>
  </si>
  <si>
    <t>KHI/HO/D/MO/PD COMP/E/25160/05/2023</t>
  </si>
  <si>
    <t>KHI/HO/D/MO/PD COMP/E/25417/05/2023</t>
  </si>
  <si>
    <t>KHI/HO/D/MO/PD COMP/P/69313/03/2023</t>
  </si>
  <si>
    <t>KHI/HO/D/MO/PD COMP/E/32606/10/2023</t>
  </si>
  <si>
    <t>KHI/HO/D/MO/PD COMP/E/48720/10/2024</t>
  </si>
  <si>
    <t>KHI/HO/D/MO/PD COMP/P/69427/04/2023</t>
  </si>
  <si>
    <t>KHI/HO/D/MO/PD COMP/E/38538/04/2024</t>
  </si>
  <si>
    <t>KHI/HO/D/MO/PD COMP/E/50457/12/2024</t>
  </si>
  <si>
    <t>KHI/HO/D/MO/PD COMP/P/69487/04/2023</t>
  </si>
  <si>
    <t>KHI/HO/D/MO/PD COMP/E/40483/04/2024</t>
  </si>
  <si>
    <t>KHI/HO/D/MO/PD COMP/P/69489/04/2023</t>
  </si>
  <si>
    <t>KHI/HO/D/MO/PD COMP/E/40484/04/2024</t>
  </si>
  <si>
    <t>KHI/HO/D/MO/PD COMP/E/48722/10/2024</t>
  </si>
  <si>
    <t>KHI/HO/D/MO/PD COMP/P/69519/04/2023</t>
  </si>
  <si>
    <t>KHI/HO/D/MO/PD COMP/E/38539/04/2024</t>
  </si>
  <si>
    <t>KHI/HO/D/MO/PD COMP/E/50458/12/2024</t>
  </si>
  <si>
    <t>KHI/HO/D/MO/PD COMP/P/69562/04/2023</t>
  </si>
  <si>
    <t>KHI/HO/D/MO/PD COMP/E/40545/04/2024</t>
  </si>
  <si>
    <t>KHI/HO/D/MO/PD COMP/E/40546/04/2024</t>
  </si>
  <si>
    <t>KHI/HO/D/MO/PD COMP/E/50459/12/2024</t>
  </si>
  <si>
    <t>KHI/HO/D/MO/PD COMP/P/69644/04/2023</t>
  </si>
  <si>
    <t>KHI/HO/D/MO/PD COMP/E/40548/04/2024</t>
  </si>
  <si>
    <t>KHI/HO/D/MO/PD COMP/P/69659/04/2023</t>
  </si>
  <si>
    <t>KHI/HO/D/MO/PD COMP/E/40549/04/2024</t>
  </si>
  <si>
    <t>KHI/HO/D/MO/PD COMP/E/59220/03/2025</t>
  </si>
  <si>
    <t>KHI/HO/D/MO/PD COMP/P/69812/04/2023</t>
  </si>
  <si>
    <t>KHI/HO/D/MO/PD COMP/E/40627/04/2024</t>
  </si>
  <si>
    <t>KHI/HO/D/MO/PD COMP/E/50460/12/2024</t>
  </si>
  <si>
    <t>KHI/HO/D/MO/PD COMP/P/69846/04/2023</t>
  </si>
  <si>
    <t>KHI/HO/D/MO/PD COMP/E/25062/04/2023</t>
  </si>
  <si>
    <t>KHI/HO/D/MO/PD COMP/E/33927/10/2023</t>
  </si>
  <si>
    <t>KHI/HO/D/MO/PD COMP/P/69859/04/2023</t>
  </si>
  <si>
    <t>KHI/HO/D/MO/PD COMP/E/40763/04/2024</t>
  </si>
  <si>
    <t>KHI/HO/D/MO/PD COMP/P/69889/04/2023</t>
  </si>
  <si>
    <t>KHI/HO/D/MO/PD COMP/E/34390/11/2023</t>
  </si>
  <si>
    <t>KHI/HO/D/MO/PD COMP/E/35292/12/2023</t>
  </si>
  <si>
    <t>KHI/HO/D/MO/PD COMP/E/48830/10/2024</t>
  </si>
  <si>
    <t>KHI/HO/D/MO/PD COMP/P/70104/04/2023</t>
  </si>
  <si>
    <t>KHI/HO/D/MO/PD COMP/E/40883/04/2024</t>
  </si>
  <si>
    <t>KHI/HO/D/MO/PD COMP/E/48723/10/2024</t>
  </si>
  <si>
    <t>KHI/HO/D/MO/PD COMP/P/70152/04/2023</t>
  </si>
  <si>
    <t>KHI/HO/D/MO/PD COMP/E/25853/05/2023</t>
  </si>
  <si>
    <t>KHI/HO/D/MO/PD COMP/E/38368/03/2024</t>
  </si>
  <si>
    <t>KHI/HO/D/MO/PD COMP/E/41088/04/2024</t>
  </si>
  <si>
    <t>KHI/HO/D/MO/PD COMP/E/48724/10/2024</t>
  </si>
  <si>
    <t>KHI/HO/D/MO/PD COMP/P/70377/05/2023</t>
  </si>
  <si>
    <t>KHI/HO/D/MO/PD COMP/E/26224/06/2023</t>
  </si>
  <si>
    <t>KHI/HO/D/MO/PD COMP/E/27061/07/2023</t>
  </si>
  <si>
    <t>KHI/HO/D/MO/PD COMP/E/28394/08/2023</t>
  </si>
  <si>
    <t>KHI/HO/D/MO/PD COMP/E/37673/03/2024</t>
  </si>
  <si>
    <t>KHI/HO/D/MO/PD COMP/E/38574/04/2024</t>
  </si>
  <si>
    <t>KHI/HO/D/MO/PD COMP/E/48726/10/2024</t>
  </si>
  <si>
    <t>KHI/HO/D/MO/PD COMP/P/70401/05/2023</t>
  </si>
  <si>
    <t>KHI/HO/D/MO/PD COMP/E/35354/12/2023</t>
  </si>
  <si>
    <t>KHI/HO/D/MO/PD COMP/E/36459/01/2024</t>
  </si>
  <si>
    <t>KHI/HO/D/MO/PD COMP/E/37284/02/2024</t>
  </si>
  <si>
    <t>KHI/HO/D/MO/PD COMP/E/38227/03/2024</t>
  </si>
  <si>
    <t>KHI/HO/D/MO/PD COMP/E/40855/04/2024</t>
  </si>
  <si>
    <t>KHI/HO/D/MO/PD COMP/P/70465/05/2023</t>
  </si>
  <si>
    <t>KHI/HO/D/MO/PD COMP/E/34122/11/2023</t>
  </si>
  <si>
    <t>KHI/HO/D/MO/PD COMP/E/35012/12/2023</t>
  </si>
  <si>
    <t>KHI/HO/D/MO/PD COMP/E/35992/01/2024</t>
  </si>
  <si>
    <t>KHI/HO/D/MO/PD COMP/E/36883/02/2024</t>
  </si>
  <si>
    <t>KHI/HO/D/MO/PD COMP/E/37742/03/2024</t>
  </si>
  <si>
    <t>KHI/HO/D/MO/PD COMP/E/48727/10/2024</t>
  </si>
  <si>
    <t>KHI/HO/D/MO/PD COMP/P/70759/05/2023</t>
  </si>
  <si>
    <t>KHI/HO/D/MO/PD COMP/E/30360/09/2023</t>
  </si>
  <si>
    <t>KHI/HO/D/MO/PD COMP/P/70953/05/2023</t>
  </si>
  <si>
    <t>KHI/HO/D/MO/PD COMP/E/41582/05/2024</t>
  </si>
  <si>
    <t>KHI/HO/D/MO/PD COMP/E/50461/12/2024</t>
  </si>
  <si>
    <t>KHI/HO/D/MO/PD COMP/P/71162/05/2023</t>
  </si>
  <si>
    <t>KHI/HO/D/MO/PD COMP/E/40765/04/2024</t>
  </si>
  <si>
    <t>KHI/HO/D/MO/PD COMP/E/41714/05/2024</t>
  </si>
  <si>
    <t>KHI/HO/D/MO/PD COMP/E/50462/12/2024</t>
  </si>
  <si>
    <t>KHI/HO/D/MO/PD COMP/P/71217/05/2023</t>
  </si>
  <si>
    <t>KHI/HO/D/MO/PD COMP/E/38295/03/2024</t>
  </si>
  <si>
    <t>KHI/HO/D/MO/PD COMP/E/41011/04/2024</t>
  </si>
  <si>
    <t>KHI/HO/D/MO/PD COMP/E/41932/05/2024</t>
  </si>
  <si>
    <t>KHI/HO/D/MO/PD COMP/E/59211/03/2025</t>
  </si>
  <si>
    <t>KHI/HO/D/MO/PD COMP/P/71235/05/2023</t>
  </si>
  <si>
    <t>KHI/HO/D/MO/PD COMP/E/26026/05/2023</t>
  </si>
  <si>
    <t>KHI/HO/D/MO/PD COMP/P/71276/05/2023</t>
  </si>
  <si>
    <t>KHI/HO/D/MO/PD COMP/E/41012/04/2024</t>
  </si>
  <si>
    <t>KHI/HO/D/MO/PD COMP/E/41933/05/2024</t>
  </si>
  <si>
    <t>KHI/HO/D/MO/PD COMP/E/50463/12/2024</t>
  </si>
  <si>
    <t>KHI/HO/D/MO/PD COMP/P/71397/05/2023</t>
  </si>
  <si>
    <t>KHI/HO/D/MO/PD COMP/E/26031/05/2023</t>
  </si>
  <si>
    <t>KHI/HO/D/MO/PD COMP/E/26906/07/2023</t>
  </si>
  <si>
    <t>KHI/HO/D/MO/PD COMP/E/28117/07/2023</t>
  </si>
  <si>
    <t>KHI/HO/D/MO/PD COMP/E/35697/12/2023</t>
  </si>
  <si>
    <t>KHI/HO/D/MO/PD COMP/E/50464/12/2024</t>
  </si>
  <si>
    <t>KHI/HO/D/MO/PD COMP/P/71440/05/2023</t>
  </si>
  <si>
    <t>KHI/HO/D/MO/PD COMP/E/35493/12/2023</t>
  </si>
  <si>
    <t>KHI/HO/D/MO/PD COMP/P/71497/05/2023</t>
  </si>
  <si>
    <t>KHI/HO/D/MO/PD COMP/E/41190/04/2024</t>
  </si>
  <si>
    <t>KHI/HO/D/MO/PD COMP/E/48836/10/2024</t>
  </si>
  <si>
    <t>KHI/HO/D/MO/PD COMP/P/71526/05/2023</t>
  </si>
  <si>
    <t>KHI/HO/D/MO/PD COMP/E/41091/04/2024</t>
  </si>
  <si>
    <t>KHI/HO/D/MO/PD COMP/E/48835/10/2024</t>
  </si>
  <si>
    <t>KHI/HO/D/MO/PD COMP/P/71527/05/2023</t>
  </si>
  <si>
    <t>KHI/HO/D/MO/PD COMP/E/41191/04/2024</t>
  </si>
  <si>
    <t>KHI/HO/D/MO/PD COMP/E/48729/10/2024</t>
  </si>
  <si>
    <t>KHI/HO/D/MO/PD COMP/P/71529/05/2023</t>
  </si>
  <si>
    <t>KHI/HO/D/MO/PD COMP/E/38482/04/2024</t>
  </si>
  <si>
    <t>KHI/HO/D/MO/PD COMP/E/41192/04/2024</t>
  </si>
  <si>
    <t>KHI/HO/D/MO/PD COMP/E/42137/05/2024</t>
  </si>
  <si>
    <t>KHI/HO/D/MO/PD COMP/E/59232/03/2025</t>
  </si>
  <si>
    <t>KHI/HO/D/MO/PD COMP/P/71550/05/2023</t>
  </si>
  <si>
    <t>KHI/HO/D/MO/PD COMP/E/38483/04/2024</t>
  </si>
  <si>
    <t>KHI/HO/D/MO/PD COMP/E/38484/04/2024</t>
  </si>
  <si>
    <t>KHI/HO/D/MO/PD COMP/E/41193/04/2024</t>
  </si>
  <si>
    <t>KHI/HO/D/MO/PD COMP/E/42138/05/2024</t>
  </si>
  <si>
    <t>KHI/HO/D/MO/PD COMP/E/48730/10/2024</t>
  </si>
  <si>
    <t>KHI/HO/D/MO/PD COMP/P/71571/06/2023</t>
  </si>
  <si>
    <t>KHI/HO/D/MO/PD COMP/E/41194/04/2024</t>
  </si>
  <si>
    <t>KHI/HO/D/MO/PD COMP/E/48795/10/2024</t>
  </si>
  <si>
    <t>KHI/HO/D/MO/PD COMP/P/71585/06/2023</t>
  </si>
  <si>
    <t>KHI/HO/D/MO/PD COMP/E/42178/06/2024</t>
  </si>
  <si>
    <t>KHI/HO/D/MO/PD COMP/E/50465/12/2024</t>
  </si>
  <si>
    <t>KHI/HO/D/MO/PD COMP/P/71611/06/2023</t>
  </si>
  <si>
    <t>KHI/HO/D/MO/PD COMP/E/42179/06/2024</t>
  </si>
  <si>
    <t>KHI/HO/D/MO/PD COMP/E/50466/12/2024</t>
  </si>
  <si>
    <t>KHI/HO/D/MO/PD COMP/P/71645/06/2023</t>
  </si>
  <si>
    <t>KHI/HO/D/MO/PD COMP/E/36885/02/2024</t>
  </si>
  <si>
    <t>KHI/HO/D/MO/PD COMP/E/40808/04/2024</t>
  </si>
  <si>
    <t>KHI/HO/D/MO/PD COMP/P/71769/06/2023</t>
  </si>
  <si>
    <t>KHI/HO/D/MO/PD COMP/E/40554/04/2024</t>
  </si>
  <si>
    <t>KHI/HO/D/MO/PD COMP/E/48732/10/2024</t>
  </si>
  <si>
    <t>KHI/HO/D/MO/PD COMP/P/71775/06/2023</t>
  </si>
  <si>
    <t>KHI/HO/D/MO/PD COMP/E/42376/06/2024</t>
  </si>
  <si>
    <t>KHI/HO/D/MO/PD COMP/E/48733/10/2024</t>
  </si>
  <si>
    <t>KHI/HO/D/MO/PD COMP/P/71802/06/2023</t>
  </si>
  <si>
    <t>KHI/HO/D/MO/PD COMP/E/37841/03/2024</t>
  </si>
  <si>
    <t>KHI/HO/D/MO/PD COMP/E/50467/12/2024</t>
  </si>
  <si>
    <t>KHI/HO/D/MO/PD COMP/P/71823/06/2023</t>
  </si>
  <si>
    <t>KHI/HO/D/MO/PD COMP/E/40559/04/2024</t>
  </si>
  <si>
    <t>KHI/HO/D/MO/PD COMP/E/48734/10/2024</t>
  </si>
  <si>
    <t>KHI/HO/D/MO/PD COMP/P/71830/06/2023</t>
  </si>
  <si>
    <t>KHI/HO/D/MO/PD COMP/E/27952/07/2023</t>
  </si>
  <si>
    <t>KHI/HO/D/MO/PD COMP/E/28566/08/2023</t>
  </si>
  <si>
    <t>KHI/HO/D/MO/PD COMP/E/30344/09/2023</t>
  </si>
  <si>
    <t>KHI/HO/D/MO/PD COMP/E/32975/10/2023</t>
  </si>
  <si>
    <t>KHI/HO/D/MO/PD COMP/E/34190/11/2023</t>
  </si>
  <si>
    <t>KHI/HO/D/MO/PD COMP/E/35018/12/2023</t>
  </si>
  <si>
    <t>KHI/HO/D/MO/PD COMP/E/36076/01/2024</t>
  </si>
  <si>
    <t>KHI/HO/D/MO/PD COMP/E/36956/02/2024</t>
  </si>
  <si>
    <t>KHI/HO/D/MO/PD COMP/E/37844/03/2024</t>
  </si>
  <si>
    <t>KHI/HO/D/MO/PD COMP/E/40560/04/2024</t>
  </si>
  <si>
    <t>KHI/HO/D/MO/PD COMP/E/41443/05/2024</t>
  </si>
  <si>
    <t>KHI/HO/D/MO/PD COMP/E/42416/06/2024</t>
  </si>
  <si>
    <t>KHI/HO/D/MO/PD COMP/E/48735/10/2024</t>
  </si>
  <si>
    <t>KHI/HO/D/MO/PD COMP/P/71861/06/2023</t>
  </si>
  <si>
    <t>KHI/HO/D/MO/PD COMP/E/40562/04/2024</t>
  </si>
  <si>
    <t>KHI/HO/D/MO/PD COMP/E/41446/05/2024</t>
  </si>
  <si>
    <t>KHI/HO/D/MO/PD COMP/E/50468/12/2024</t>
  </si>
  <si>
    <t>KHI/HO/D/MO/PD COMP/P/71942/06/2023</t>
  </si>
  <si>
    <t>KHI/HO/D/MO/PD COMP/E/42421/06/2024</t>
  </si>
  <si>
    <t>KHI/HO/D/MO/PD COMP/E/59209/03/2025</t>
  </si>
  <si>
    <t>KHI/HO/D/MO/PD COMP/P/72034/06/2023</t>
  </si>
  <si>
    <t>KHI/HO/D/MO/PD COMP/E/37999/03/2024</t>
  </si>
  <si>
    <t>KHI/HO/D/MO/PD COMP/E/40635/04/2024</t>
  </si>
  <si>
    <t>KHI/HO/D/MO/PD COMP/E/41631/05/2024</t>
  </si>
  <si>
    <t>KHI/HO/D/MO/PD COMP/E/42630/06/2024</t>
  </si>
  <si>
    <t>KHI/HO/D/MO/PD COMP/E/48737/10/2024</t>
  </si>
  <si>
    <t>KHI/HO/D/MO/PD COMP/P/72134/06/2023</t>
  </si>
  <si>
    <t>KHI/HO/D/MO/PD COMP/E/40563/04/2024</t>
  </si>
  <si>
    <t>KHI/HO/D/MO/PD COMP/E/41449/05/2024</t>
  </si>
  <si>
    <t>KHI/HO/D/MO/PD COMP/E/42422/06/2024</t>
  </si>
  <si>
    <t>KHI/HO/D/MO/PD COMP/E/50469/12/2024</t>
  </si>
  <si>
    <t>KHI/HO/D/MO/PD COMP/P/72244/06/2023</t>
  </si>
  <si>
    <t>KHI/HO/D/MO/PD COMP/E/42686/06/2024</t>
  </si>
  <si>
    <t>KHI/HO/D/MO/PD COMP/E/59203/03/2025</t>
  </si>
  <si>
    <t>KHI/HO/D/MO/PD COMP/P/72254/06/2023</t>
  </si>
  <si>
    <t>KHI/HO/D/MO/PD COMP/E/40944/04/2024</t>
  </si>
  <si>
    <t>KHI/HO/D/MO/PD COMP/P/72269/06/2023</t>
  </si>
  <si>
    <t>KHI/HO/D/MO/PD COMP/E/38039/03/2024</t>
  </si>
  <si>
    <t>KHI/HO/D/MO/PD COMP/E/40767/04/2024</t>
  </si>
  <si>
    <t>KHI/HO/D/MO/PD COMP/E/41716/05/2024</t>
  </si>
  <si>
    <t>KHI/HO/D/MO/PD COMP/P/72287/06/2023</t>
  </si>
  <si>
    <t>KHI/HO/D/MO/PD COMP/E/40862/04/2024</t>
  </si>
  <si>
    <t>KHI/HO/D/MO/PD COMP/E/41748/05/2024</t>
  </si>
  <si>
    <t>KHI/HO/D/MO/PD COMP/E/42689/06/2024</t>
  </si>
  <si>
    <t>KHI/HO/D/MO/PD COMP/E/48738/10/2024</t>
  </si>
  <si>
    <t>KHI/HO/D/MO/PD COMP/P/72340/06/2023</t>
  </si>
  <si>
    <t>KHI/HO/D/MO/PD COMP/E/40985/04/2024</t>
  </si>
  <si>
    <t>KHI/HO/D/MO/PD COMP/E/41901/05/2024</t>
  </si>
  <si>
    <t>KHI/HO/D/MO/PD COMP/E/42837/06/2024</t>
  </si>
  <si>
    <t>KHI/HO/D/MO/PD COMP/E/50470/12/2024</t>
  </si>
  <si>
    <t>KHI/HO/D/MO/PD COMP/P/72342/06/2023</t>
  </si>
  <si>
    <t>KHI/HO/D/MO/PD COMP/E/41111/04/2024</t>
  </si>
  <si>
    <t>KHI/HO/D/MO/PD COMP/E/41979/05/2024</t>
  </si>
  <si>
    <t>KHI/HO/D/MO/PD COMP/E/42964/06/2024</t>
  </si>
  <si>
    <t>KHI/HO/D/MO/PD COMP/E/50471/12/2024</t>
  </si>
  <si>
    <t>KHI/HO/D/MO/PD COMP/P/72345/06/2023</t>
  </si>
  <si>
    <t>KHI/HO/D/MO/PD COMP/E/38118/03/2024</t>
  </si>
  <si>
    <t>KHI/HO/D/MO/PD COMP/E/40909/04/2024</t>
  </si>
  <si>
    <t>KHI/HO/D/MO/PD COMP/E/41805/05/2024</t>
  </si>
  <si>
    <t>KHI/HO/D/MO/PD COMP/E/50472/12/2024</t>
  </si>
  <si>
    <t>KHI/HO/D/MO/PD COMP/P/72357/06/2023</t>
  </si>
  <si>
    <t>KHI/HO/D/MO/PD COMP/E/40986/04/2024</t>
  </si>
  <si>
    <t>KHI/HO/D/MO/PD COMP/E/41902/05/2024</t>
  </si>
  <si>
    <t>KHI/HO/D/MO/PD COMP/E/42838/06/2024</t>
  </si>
  <si>
    <t>KHI/HO/D/MO/PD COMP/E/48739/10/2024</t>
  </si>
  <si>
    <t>KHI/HO/D/MO/PD COMP/P/72374/06/2023</t>
  </si>
  <si>
    <t>KHI/HO/D/MO/PD COMP/E/42840/06/2024</t>
  </si>
  <si>
    <t>KHI/HO/D/MO/PD COMP/E/48740/10/2024</t>
  </si>
  <si>
    <t>KHI/HO/D/MO/PD COMP/P/72452/06/2023</t>
  </si>
  <si>
    <t>KHI/HO/D/MO/PD COMP/E/42937/06/2024</t>
  </si>
  <si>
    <t>KHI/HO/D/MO/PD COMP/P/72453/06/2023</t>
  </si>
  <si>
    <t>KHI/HO/D/MO/PD COMP/E/28034/07/2023</t>
  </si>
  <si>
    <t>KHI/HO/D/MO/PD COMP/E/29183/08/2023</t>
  </si>
  <si>
    <t>KHI/HO/D/MO/PD COMP/E/30850/09/2023</t>
  </si>
  <si>
    <t>KHI/HO/D/MO/PD COMP/E/33616/10/2023</t>
  </si>
  <si>
    <t>KHI/HO/D/MO/PD COMP/E/34616/11/2023</t>
  </si>
  <si>
    <t>KHI/HO/D/MO/PD COMP/E/35498/12/2023</t>
  </si>
  <si>
    <t>KHI/HO/D/MO/PD COMP/E/36587/01/2024</t>
  </si>
  <si>
    <t>KHI/HO/D/MO/PD COMP/E/37434/02/2024</t>
  </si>
  <si>
    <t>KHI/HO/D/MO/PD COMP/E/38372/03/2024</t>
  </si>
  <si>
    <t>KHI/HO/D/MO/PD COMP/E/41093/04/2024</t>
  </si>
  <si>
    <t>KHI/HO/D/MO/PD COMP/E/41981/05/2024</t>
  </si>
  <si>
    <t>KHI/HO/D/MO/PD COMP/E/42938/06/2024</t>
  </si>
  <si>
    <t>KHI/HO/D/MO/PD COMP/E/48741/10/2024</t>
  </si>
  <si>
    <t>KHI/HO/D/MO/PD COMP/P/72496/06/2023</t>
  </si>
  <si>
    <t>KHI/HO/D/MO/PD COMP/E/28035/07/2023</t>
  </si>
  <si>
    <t>KHI/HO/D/MO/PD COMP/E/29184/08/2023</t>
  </si>
  <si>
    <t>KHI/HO/D/MO/PD COMP/E/30851/09/2023</t>
  </si>
  <si>
    <t>KHI/HO/D/MO/PD COMP/E/33617/10/2023</t>
  </si>
  <si>
    <t>KHI/HO/D/MO/PD COMP/E/34618/11/2023</t>
  </si>
  <si>
    <t>KHI/HO/D/MO/PD COMP/E/35499/12/2023</t>
  </si>
  <si>
    <t>KHI/HO/D/MO/PD COMP/E/48743/10/2024</t>
  </si>
  <si>
    <t>KHI/HO/D/MO/PD COMP/P/72544/07/2023</t>
  </si>
  <si>
    <t>KHI/HO/D/MO/PD COMP/E/28255/07/2023</t>
  </si>
  <si>
    <t>KHI/HO/D/MO/PD COMP/E/37436/02/2024</t>
  </si>
  <si>
    <t>KHI/HO/D/MO/PD COMP/E/40814/04/2024</t>
  </si>
  <si>
    <t>KHI/HO/D/MO/PD COMP/E/48744/10/2024</t>
  </si>
  <si>
    <t>KHI/HO/D/MO/PD COMP/P/72630/07/2023</t>
  </si>
  <si>
    <t>KHI/HO/D/MO/PD COMP/E/28258/07/2023</t>
  </si>
  <si>
    <t>KHI/HO/D/MO/PD COMP/E/35330/12/2023</t>
  </si>
  <si>
    <t>KHI/HO/D/MO/PD COMP/E/35881/01/2024</t>
  </si>
  <si>
    <t>KHI/HO/D/MO/PD COMP/E/48745/10/2024</t>
  </si>
  <si>
    <t>KHI/HO/D/MO/PD COMP/P/72637/07/2023</t>
  </si>
  <si>
    <t>KHI/HO/D/MO/PD COMP/E/28257/07/2023</t>
  </si>
  <si>
    <t>KHI/HO/D/MO/PD COMP/E/40513/04/2024</t>
  </si>
  <si>
    <t>KHI/HO/D/MO/PD COMP/E/41450/05/2024</t>
  </si>
  <si>
    <t>KHI/HO/D/MO/PD COMP/E/42312/06/2024</t>
  </si>
  <si>
    <t>KHI/HO/D/MO/PD COMP/E/43350/07/2024</t>
  </si>
  <si>
    <t>KHI/HO/D/MO/PD COMP/E/48746/10/2024</t>
  </si>
  <si>
    <t>KHI/HO/D/MO/PD COMP/P/72640/07/2023</t>
  </si>
  <si>
    <t>KHI/HO/D/MO/PD COMP/E/28260/07/2023</t>
  </si>
  <si>
    <t>KHI/HO/D/MO/PD COMP/E/43443/07/2024</t>
  </si>
  <si>
    <t>KHI/HO/D/MO/PD COMP/E/48747/10/2024</t>
  </si>
  <si>
    <t>KHI/HO/D/MO/PD COMP/P/72869/07/2023</t>
  </si>
  <si>
    <t>KHI/HO/D/MO/PD COMP/E/28264/07/2023</t>
  </si>
  <si>
    <t>KHI/HO/D/MO/PD COMP/E/43746/07/2024</t>
  </si>
  <si>
    <t>KHI/HO/D/MO/PD COMP/E/50473/12/2024</t>
  </si>
  <si>
    <t>KHI/HO/D/MO/PD COMP/P/73009/07/2023</t>
  </si>
  <si>
    <t>KHI/HO/D/MO/PD COMP/E/28267/07/2023</t>
  </si>
  <si>
    <t>KHI/HO/D/MO/PD COMP/E/38084/03/2024</t>
  </si>
  <si>
    <t>KHI/HO/D/MO/PD COMP/E/40884/04/2024</t>
  </si>
  <si>
    <t>KHI/HO/D/MO/PD COMP/E/41768/05/2024</t>
  </si>
  <si>
    <t>KHI/HO/D/MO/PD COMP/E/42691/06/2024</t>
  </si>
  <si>
    <t>KHI/HO/D/MO/PD COMP/E/43953/07/2024</t>
  </si>
  <si>
    <t>KHI/HO/D/MO/PD COMP/E/50474/12/2024</t>
  </si>
  <si>
    <t>KHI/HO/D/MO/PD COMP/P/73026/07/2023</t>
  </si>
  <si>
    <t>KHI/HO/D/MO/PD COMP/E/28272/07/2023</t>
  </si>
  <si>
    <t>KHI/HO/D/MO/PD COMP/E/33545/10/2023</t>
  </si>
  <si>
    <t>KHI/HO/D/MO/PD COMP/E/36228/01/2024</t>
  </si>
  <si>
    <t>KHI/HO/D/MO/PD COMP/E/37063/02/2024</t>
  </si>
  <si>
    <t>KHI/HO/D/MO/PD COMP/E/37926/03/2024</t>
  </si>
  <si>
    <t>KHI/HO/D/MO/PD COMP/E/40644/04/2024</t>
  </si>
  <si>
    <t>KHI/HO/D/MO/PD COMP/E/41586/05/2024</t>
  </si>
  <si>
    <t>KHI/HO/D/MO/PD COMP/E/42527/06/2024</t>
  </si>
  <si>
    <t>KHI/HO/D/MO/PD COMP/E/43748/07/2024</t>
  </si>
  <si>
    <t>KHI/HO/D/MO/PD COMP/E/48748/10/2024</t>
  </si>
  <si>
    <t>KHI/HO/D/MO/PD COMP/P/73091/07/2023</t>
  </si>
  <si>
    <t>KHI/HO/D/MO/PD COMP/E/28274/07/2023</t>
  </si>
  <si>
    <t>KHI/HO/D/MO/PD COMP/E/41807/05/2024</t>
  </si>
  <si>
    <t>KHI/HO/D/MO/PD COMP/E/42788/06/2024</t>
  </si>
  <si>
    <t>KHI/HO/D/MO/PD COMP/E/44007/07/2024</t>
  </si>
  <si>
    <t>KHI/HO/D/MO/PD COMP/E/50475/12/2024</t>
  </si>
  <si>
    <t>KHI/HO/D/MO/PD COMP/P/73241/07/2023</t>
  </si>
  <si>
    <t>KHI/HO/D/MO/PD COMP/E/28277/07/2023</t>
  </si>
  <si>
    <t>KHI/HO/D/MO/PD COMP/E/38305/03/2024</t>
  </si>
  <si>
    <t>KHI/HO/D/MO/PD COMP/E/41032/04/2024</t>
  </si>
  <si>
    <t>KHI/HO/D/MO/PD COMP/E/41949/05/2024</t>
  </si>
  <si>
    <t>KHI/HO/D/MO/PD COMP/E/42896/06/2024</t>
  </si>
  <si>
    <t>KHI/HO/D/MO/PD COMP/E/44152/07/2024</t>
  </si>
  <si>
    <t>KHI/HO/D/MO/PD COMP/E/50476/12/2024</t>
  </si>
  <si>
    <t>KHI/HO/D/MO/PD COMP/P/73243/07/2023</t>
  </si>
  <si>
    <t>KHI/HO/D/MO/PD COMP/E/28278/07/2023</t>
  </si>
  <si>
    <t>KHI/HO/D/MO/PD COMP/E/48749/10/2024</t>
  </si>
  <si>
    <t>KHI/HO/D/MO/PD COMP/P/73293/07/2023</t>
  </si>
  <si>
    <t>KHI/HO/D/MO/PD COMP/E/28280/07/2023</t>
  </si>
  <si>
    <t>KHI/HO/D/MO/PD COMP/E/35428/12/2023</t>
  </si>
  <si>
    <t>KHI/HO/D/MO/PD COMP/E/38279/03/2024</t>
  </si>
  <si>
    <t>KHI/HO/D/MO/PD COMP/E/40989/04/2024</t>
  </si>
  <si>
    <t>KHI/HO/D/MO/PD COMP/E/41905/05/2024</t>
  </si>
  <si>
    <t>KHI/HO/D/MO/PD COMP/E/42842/06/2024</t>
  </si>
  <si>
    <t>KHI/HO/D/MO/PD COMP/E/44010/07/2024</t>
  </si>
  <si>
    <t>KHI/HO/D/MO/PD COMP/E/50477/12/2024</t>
  </si>
  <si>
    <t>KHI/HO/D/MO/PD COMP/P/73304/07/2023</t>
  </si>
  <si>
    <t>KHI/HO/D/MO/PD COMP/E/28279/07/2023</t>
  </si>
  <si>
    <t>KHI/HO/D/MO/PD COMP/E/34471/11/2023</t>
  </si>
  <si>
    <t>KHI/HO/D/MO/PD COMP/E/48750/10/2024</t>
  </si>
  <si>
    <t>KHI/HO/D/MO/PD COMP/P/73441/07/2023</t>
  </si>
  <si>
    <t>KHI/HO/D/MO/PD COMP/E/28282/07/2023</t>
  </si>
  <si>
    <t>KHI/HO/D/MO/PD COMP/E/42967/06/2024</t>
  </si>
  <si>
    <t>KHI/HO/D/MO/PD COMP/E/44235/07/2024</t>
  </si>
  <si>
    <t>KHI/HO/D/MO/PD COMP/E/50478/12/2024</t>
  </si>
  <si>
    <t>KHI/HO/D/MO/PD COMP/P/73442/07/2023</t>
  </si>
  <si>
    <t>KHI/HO/D/MO/PD COMP/E/28284/07/2023</t>
  </si>
  <si>
    <t>KHI/HO/D/MO/PD COMP/E/35811/12/2023</t>
  </si>
  <si>
    <t>KHI/HO/D/MO/PD COMP/E/36719/01/2024</t>
  </si>
  <si>
    <t>KHI/HO/D/MO/PD COMP/E/37616/03/2024</t>
  </si>
  <si>
    <t>KHI/HO/D/MO/PD COMP/E/38490/04/2024</t>
  </si>
  <si>
    <t>KHI/HO/D/MO/PD COMP/E/41196/04/2024</t>
  </si>
  <si>
    <t>KHI/HO/D/MO/PD COMP/E/44309/07/2024</t>
  </si>
  <si>
    <t>KHI/HO/D/MO/PD COMP/E/50479/12/2024</t>
  </si>
  <si>
    <t>KHI/HO/D/MO/PD COMP/P/73674/08/2023</t>
  </si>
  <si>
    <t>KHI/HO/D/MO/PD COMP/E/29841/08/2023</t>
  </si>
  <si>
    <t>KHI/HO/D/MO/PD COMP/E/48751/10/2024</t>
  </si>
  <si>
    <t>KHI/HO/D/MO/PD COMP/P/73715/08/2023</t>
  </si>
  <si>
    <t>KHI/HO/D/MO/PD COMP/E/29842/08/2023</t>
  </si>
  <si>
    <t>KHI/HO/D/MO/PD COMP/E/36085/01/2024</t>
  </si>
  <si>
    <t>KHI/HO/D/MO/PD COMP/E/37822/03/2024</t>
  </si>
  <si>
    <t>KHI/HO/D/MO/PD COMP/E/40566/04/2024</t>
  </si>
  <si>
    <t>KHI/HO/D/MO/PD COMP/E/40816/04/2024</t>
  </si>
  <si>
    <t>KHI/HO/D/MO/PD COMP/E/48752/10/2024</t>
  </si>
  <si>
    <t>KHI/HO/D/MO/PD COMP/P/73717/08/2023</t>
  </si>
  <si>
    <t>KHI/HO/D/MO/PD COMP/E/29845/08/2023</t>
  </si>
  <si>
    <t>KHI/HO/D/MO/PD COMP/E/48753/10/2024</t>
  </si>
  <si>
    <t>KHI/HO/D/MO/PD COMP/P/73754/08/2023</t>
  </si>
  <si>
    <t>KHI/HO/D/MO/PD COMP/E/29846/08/2023</t>
  </si>
  <si>
    <t>KHI/HO/D/MO/PD COMP/E/36929/02/2024</t>
  </si>
  <si>
    <t>KHI/HO/D/MO/PD COMP/E/37823/03/2024</t>
  </si>
  <si>
    <t>KHI/HO/D/MO/PD COMP/E/40567/04/2024</t>
  </si>
  <si>
    <t>KHI/HO/D/MO/PD COMP/E/40818/04/2024</t>
  </si>
  <si>
    <t>KHI/HO/D/MO/PD COMP/E/48754/10/2024</t>
  </si>
  <si>
    <t>KHI/HO/D/MO/PD COMP/P/73801/08/2023</t>
  </si>
  <si>
    <t>KHI/HO/D/MO/PD COMP/E/29848/08/2023</t>
  </si>
  <si>
    <t>KHI/HO/D/MO/PD COMP/E/48755/10/2024</t>
  </si>
  <si>
    <t>KHI/HO/D/MO/PD COMP/P/73868/08/2023</t>
  </si>
  <si>
    <t>KHI/HO/D/MO/PD COMP/E/29851/08/2023</t>
  </si>
  <si>
    <t>KHI/HO/D/MO/PD COMP/E/43528/07/2024</t>
  </si>
  <si>
    <t>KHI/HO/D/MO/PD COMP/E/44650/08/2024</t>
  </si>
  <si>
    <t>KHI/HO/D/MO/PD COMP/E/48833/10/2024</t>
  </si>
  <si>
    <t>KHI/HO/D/MO/PD COMP/P/73919/08/2023</t>
  </si>
  <si>
    <t>KHI/HO/D/MO/PD COMP/E/29852/08/2023</t>
  </si>
  <si>
    <t>KHI/HO/D/MO/PD COMP/E/40648/04/2024</t>
  </si>
  <si>
    <t>KHI/HO/D/MO/PD COMP/E/41588/05/2024</t>
  </si>
  <si>
    <t>KHI/HO/D/MO/PD COMP/E/43749/07/2024</t>
  </si>
  <si>
    <t>KHI/HO/D/MO/PD COMP/E/48756/10/2024</t>
  </si>
  <si>
    <t>KHI/HO/D/MO/PD COMP/P/74078/08/2023</t>
  </si>
  <si>
    <t>KHI/HO/D/MO/PD COMP/E/29854/08/2023</t>
  </si>
  <si>
    <t>KHI/HO/D/MO/PD COMP/E/40649/04/2024</t>
  </si>
  <si>
    <t>KHI/HO/D/MO/PD COMP/E/41589/05/2024</t>
  </si>
  <si>
    <t>KHI/HO/D/MO/PD COMP/E/42528/06/2024</t>
  </si>
  <si>
    <t>KHI/HO/D/MO/PD COMP/E/43750/07/2024</t>
  </si>
  <si>
    <t>KHI/HO/D/MO/PD COMP/E/44651/08/2024</t>
  </si>
  <si>
    <t>KHI/HO/D/MO/PD COMP/E/48757/10/2024</t>
  </si>
  <si>
    <t>KHI/HO/D/MO/PD COMP/P/74086/08/2023</t>
  </si>
  <si>
    <t>KHI/HO/D/MO/PD COMP/E/29853/08/2023</t>
  </si>
  <si>
    <t>KHI/HO/D/MO/PD COMP/E/48758/10/2024</t>
  </si>
  <si>
    <t>KHI/HO/D/MO/PD COMP/P/74186/08/2023</t>
  </si>
  <si>
    <t>KHI/HO/D/MO/PD COMP/E/29856/08/2023</t>
  </si>
  <si>
    <t>KHI/HO/D/MO/PD COMP/E/41769/05/2024</t>
  </si>
  <si>
    <t>KHI/HO/D/MO/PD COMP/E/42693/06/2024</t>
  </si>
  <si>
    <t>KHI/HO/D/MO/PD COMP/E/44014/07/2024</t>
  </si>
  <si>
    <t>KHI/HO/D/MO/PD COMP/E/44844/08/2024</t>
  </si>
  <si>
    <t>KHI/HO/D/MO/PD COMP/E/48759/10/2024</t>
  </si>
  <si>
    <t>KHI/HO/D/MO/PD COMP/P/74210/08/2023</t>
  </si>
  <si>
    <t>KHI/HO/D/MO/PD COMP/E/29857/08/2023</t>
  </si>
  <si>
    <t>KHI/HO/D/MO/PD COMP/E/42790/06/2024</t>
  </si>
  <si>
    <t>KHI/HO/D/MO/PD COMP/E/44102/07/2024</t>
  </si>
  <si>
    <t>KHI/HO/D/MO/PD COMP/E/44934/08/2024</t>
  </si>
  <si>
    <t>KHI/HO/D/MO/PD COMP/E/48760/10/2024</t>
  </si>
  <si>
    <t>KHI/HO/D/MO/PD COMP/P/74216/08/2023</t>
  </si>
  <si>
    <t>KHI/HO/D/MO/PD COMP/E/29858/08/2023</t>
  </si>
  <si>
    <t>KHI/HO/D/MO/PD COMP/E/37824/03/2024</t>
  </si>
  <si>
    <t>KHI/HO/D/MO/PD COMP/E/40568/04/2024</t>
  </si>
  <si>
    <t>KHI/HO/D/MO/PD COMP/E/41456/05/2024</t>
  </si>
  <si>
    <t>KHI/HO/D/MO/PD COMP/E/42378/06/2024</t>
  </si>
  <si>
    <t>KHI/HO/D/MO/PD COMP/E/43445/07/2024</t>
  </si>
  <si>
    <t>KHI/HO/D/MO/PD COMP/E/44538/08/2024</t>
  </si>
  <si>
    <t>KHI/HO/D/MO/PD COMP/E/48761/10/2024</t>
  </si>
  <si>
    <t>KHI/HO/D/MO/PD COMP/P/74543/08/2023</t>
  </si>
  <si>
    <t>KHI/HO/D/MO/PD COMP/E/29862/08/2023</t>
  </si>
  <si>
    <t>KHI/HO/D/MO/PD COMP/E/43047/06/2024</t>
  </si>
  <si>
    <t>KHI/HO/D/MO/PD COMP/E/44237/07/2024</t>
  </si>
  <si>
    <t>KHI/HO/D/MO/PD COMP/E/45252/08/2024</t>
  </si>
  <si>
    <t>KHI/HO/D/MO/PD COMP/E/48762/10/2024</t>
  </si>
  <si>
    <t>KHI/HO/D/MO/PD COMP/P/74723/08/2023</t>
  </si>
  <si>
    <t>KHI/HO/D/MO/PD COMP/E/29867/08/2023</t>
  </si>
  <si>
    <t>KHI/HO/D/MO/PD COMP/E/35812/12/2023</t>
  </si>
  <si>
    <t>KHI/HO/D/MO/PD COMP/E/43077/07/2024</t>
  </si>
  <si>
    <t>KHI/HO/D/MO/PD COMP/E/50480/12/2024</t>
  </si>
  <si>
    <t>KHI/HO/D/MO/PD COMP/P/74810/09/2023</t>
  </si>
  <si>
    <t>KHI/HO/D/MO/PD COMP/E/30905/09/2023</t>
  </si>
  <si>
    <t>KHI/HO/D/MO/PD COMP/E/44190/07/2024</t>
  </si>
  <si>
    <t>KHI/HO/D/MO/PD COMP/E/48763/10/2024</t>
  </si>
  <si>
    <t>KHI/HO/D/MO/PD COMP/P/74876/09/2023</t>
  </si>
  <si>
    <t>KHI/HO/D/MO/PD COMP/E/30909/09/2023</t>
  </si>
  <si>
    <t>KHI/HO/D/MO/PD COMP/E/48764/10/2024</t>
  </si>
  <si>
    <t>KHI/HO/D/MO/PD COMP/P/74911/09/2023</t>
  </si>
  <si>
    <t>KHI/HO/D/MO/PD COMP/E/30907/09/2023</t>
  </si>
  <si>
    <t>KHI/HO/D/MO/PD COMP/E/35863/01/2024</t>
  </si>
  <si>
    <t>KHI/HO/D/MO/PD COMP/E/36774/02/2024</t>
  </si>
  <si>
    <t>KHI/HO/D/MO/PD COMP/E/37620/03/2024</t>
  </si>
  <si>
    <t>KHI/HO/D/MO/PD COMP/E/38495/04/2024</t>
  </si>
  <si>
    <t>KHI/HO/D/MO/PD COMP/E/40822/04/2024</t>
  </si>
  <si>
    <t>KHI/HO/D/MO/PD COMP/E/48766/10/2024</t>
  </si>
  <si>
    <t>KHI/HO/D/MO/PD COMP/P/74978/09/2023</t>
  </si>
  <si>
    <t>KHI/HO/D/MO/PD COMP/E/40611/04/2024</t>
  </si>
  <si>
    <t>KHI/HO/D/MO/PD COMP/E/41461/05/2024</t>
  </si>
  <si>
    <t>KHI/HO/D/MO/PD COMP/E/42428/06/2024</t>
  </si>
  <si>
    <t>KHI/HO/D/MO/PD COMP/E/43529/07/2024</t>
  </si>
  <si>
    <t>KHI/HO/D/MO/PD COMP/E/45857/09/2024</t>
  </si>
  <si>
    <t>KHI/HO/D/MO/PD COMP/E/50386/12/2024</t>
  </si>
  <si>
    <t>KHI/HO/D/MO/PD COMP/P/75012/09/2023</t>
  </si>
  <si>
    <t>KHI/HO/D/MO/PD COMP/E/30911/09/2023</t>
  </si>
  <si>
    <t>KHI/HO/D/MO/PD COMP/E/35864/01/2024</t>
  </si>
  <si>
    <t>KHI/HO/D/MO/PD COMP/E/37621/03/2024</t>
  </si>
  <si>
    <t>KHI/HO/D/MO/PD COMP/E/38496/04/2024</t>
  </si>
  <si>
    <t>KHI/HO/D/MO/PD COMP/E/40821/04/2024</t>
  </si>
  <si>
    <t>KHI/HO/D/MO/PD COMP/E/48767/10/2024</t>
  </si>
  <si>
    <t>KHI/HO/D/MO/PD COMP/P/75077/09/2023</t>
  </si>
  <si>
    <t>KHI/HO/D/MO/PD COMP/E/30914/09/2023</t>
  </si>
  <si>
    <t>KHI/HO/D/MO/PD COMP/E/45820/09/2024</t>
  </si>
  <si>
    <t>KHI/HO/D/MO/PD COMP/E/48768/10/2024</t>
  </si>
  <si>
    <t>KHI/HO/D/MO/PD COMP/P/75107/09/2023</t>
  </si>
  <si>
    <t>KHI/HO/D/MO/PD COMP/E/30913/09/2023</t>
  </si>
  <si>
    <t>KHI/HO/D/MO/PD COMP/E/41230/05/2024</t>
  </si>
  <si>
    <t>KHI/HO/D/MO/PD COMP/E/42184/06/2024</t>
  </si>
  <si>
    <t>KHI/HO/D/MO/PD COMP/E/43133/07/2024</t>
  </si>
  <si>
    <t>KHI/HO/D/MO/PD COMP/E/44344/08/2024</t>
  </si>
  <si>
    <t>KHI/HO/D/MO/PD COMP/E/45591/09/2024</t>
  </si>
  <si>
    <t>KHI/HO/D/MO/PD COMP/E/48769/10/2024</t>
  </si>
  <si>
    <t>KHI/HO/D/MO/PD COMP/P/75196/09/2023</t>
  </si>
  <si>
    <t>KHI/HO/D/MO/PD COMP/E/30920/09/2023</t>
  </si>
  <si>
    <t>KHI/HO/D/MO/PD COMP/E/41590/05/2024</t>
  </si>
  <si>
    <t>KHI/HO/D/MO/PD COMP/E/42486/06/2024</t>
  </si>
  <si>
    <t>KHI/HO/D/MO/PD COMP/E/43751/07/2024</t>
  </si>
  <si>
    <t>KHI/HO/D/MO/PD COMP/E/44652/08/2024</t>
  </si>
  <si>
    <t>KHI/HO/D/MO/PD COMP/E/45884/09/2024</t>
  </si>
  <si>
    <t>KHI/HO/D/MO/PD COMP/E/48770/10/2024</t>
  </si>
  <si>
    <t>KHI/HO/D/MO/PD COMP/P/75207/09/2023</t>
  </si>
  <si>
    <t>KHI/HO/D/MO/PD COMP/E/45885/09/2024</t>
  </si>
  <si>
    <t>KHI/HO/D/MO/PD COMP/P/75280/09/2023</t>
  </si>
  <si>
    <t>KHI/HO/D/MO/PD COMP/E/30923/09/2023</t>
  </si>
  <si>
    <t>KHI/HO/D/MO/PD COMP/E/45975/09/2024</t>
  </si>
  <si>
    <t>KHI/HO/D/MO/PD COMP/E/48771/10/2024</t>
  </si>
  <si>
    <t>KHI/HO/D/MO/PD COMP/P/75306/09/2023</t>
  </si>
  <si>
    <t>KHI/HO/D/MO/PD COMP/E/30925/09/2023</t>
  </si>
  <si>
    <t>KHI/HO/D/MO/PD COMP/E/40652/04/2024</t>
  </si>
  <si>
    <t>KHI/HO/D/MO/PD COMP/E/42529/06/2024</t>
  </si>
  <si>
    <t>KHI/HO/D/MO/PD COMP/E/43754/07/2024</t>
  </si>
  <si>
    <t>KHI/HO/D/MO/PD COMP/E/44655/08/2024</t>
  </si>
  <si>
    <t>KHI/HO/D/MO/PD COMP/E/45931/09/2024</t>
  </si>
  <si>
    <t>KHI/HO/D/MO/PD COMP/E/50481/12/2024</t>
  </si>
  <si>
    <t>KHI/HO/D/MO/PD COMP/P/75338/09/2023</t>
  </si>
  <si>
    <t>KHI/HO/D/MO/PD COMP/E/30926/09/2023</t>
  </si>
  <si>
    <t>KHI/HO/D/MO/PD COMP/E/34317/11/2023</t>
  </si>
  <si>
    <t>KHI/HO/D/MO/PD COMP/E/43865/07/2024</t>
  </si>
  <si>
    <t>KHI/HO/D/MO/PD COMP/E/44760/08/2024</t>
  </si>
  <si>
    <t>KHI/HO/D/MO/PD COMP/E/45986/09/2024</t>
  </si>
  <si>
    <t>KHI/HO/D/MO/PD COMP/E/48772/10/2024</t>
  </si>
  <si>
    <t>KHI/HO/D/MO/PD COMP/P/75398/09/2023</t>
  </si>
  <si>
    <t>KHI/HO/D/MO/PD COMP/E/30928/09/2023</t>
  </si>
  <si>
    <t>KHI/HO/D/MO/PD COMP/E/36196/01/2024</t>
  </si>
  <si>
    <t>KHI/HO/D/MO/PD COMP/E/37888/03/2024</t>
  </si>
  <si>
    <t>KHI/HO/D/MO/PD COMP/E/40654/04/2024</t>
  </si>
  <si>
    <t>KHI/HO/D/MO/PD COMP/E/41593/05/2024</t>
  </si>
  <si>
    <t>KHI/HO/D/MO/PD COMP/E/42488/06/2024</t>
  </si>
  <si>
    <t>KHI/HO/D/MO/PD COMP/E/43755/07/2024</t>
  </si>
  <si>
    <t>KHI/HO/D/MO/PD COMP/E/44656/08/2024</t>
  </si>
  <si>
    <t>KHI/HO/D/MO/PD COMP/E/45886/09/2024</t>
  </si>
  <si>
    <t>KHI/HO/D/MO/PD COMP/E/48774/10/2024</t>
  </si>
  <si>
    <t>KHI/HO/D/MO/PD COMP/P/75461/09/2023</t>
  </si>
  <si>
    <t>KHI/HO/D/MO/PD COMP/E/30934/09/2023</t>
  </si>
  <si>
    <t>KHI/HO/D/MO/PD COMP/E/38024/03/2024</t>
  </si>
  <si>
    <t>KHI/HO/D/MO/PD COMP/E/40740/04/2024</t>
  </si>
  <si>
    <t>KHI/HO/D/MO/PD COMP/E/41691/05/2024</t>
  </si>
  <si>
    <t>KHI/HO/D/MO/PD COMP/E/42696/06/2024</t>
  </si>
  <si>
    <t>KHI/HO/D/MO/PD COMP/E/44802/08/2024</t>
  </si>
  <si>
    <t>KHI/HO/D/MO/PD COMP/E/45989/09/2024</t>
  </si>
  <si>
    <t>KHI/HO/D/MO/PD COMP/E/48775/10/2024</t>
  </si>
  <si>
    <t>KHI/HO/D/MO/PD COMP/P/75467/09/2023</t>
  </si>
  <si>
    <t>KHI/HO/D/MO/PD COMP/E/30932/09/2023</t>
  </si>
  <si>
    <t>KHI/HO/D/MO/PD COMP/E/36332/01/2024</t>
  </si>
  <si>
    <t>KHI/HO/D/MO/PD COMP/E/42697/06/2024</t>
  </si>
  <si>
    <t>KHI/HO/D/MO/PD COMP/E/43867/07/2024</t>
  </si>
  <si>
    <t>KHI/HO/D/MO/PD COMP/E/44845/08/2024</t>
  </si>
  <si>
    <t>KHI/HO/D/MO/PD COMP/E/45990/09/2024</t>
  </si>
  <si>
    <t>KHI/HO/D/MO/PD COMP/E/48776/10/2024</t>
  </si>
  <si>
    <t>KHI/HO/D/MO/PD COMP/P/75481/09/2023</t>
  </si>
  <si>
    <t>KHI/HO/D/MO/PD COMP/E/30933/09/2023</t>
  </si>
  <si>
    <t>KHI/HO/D/MO/PD COMP/E/42698/06/2024</t>
  </si>
  <si>
    <t>KHI/HO/D/MO/PD COMP/E/43868/07/2024</t>
  </si>
  <si>
    <t>KHI/HO/D/MO/PD COMP/E/44846/08/2024</t>
  </si>
  <si>
    <t>KHI/HO/D/MO/PD COMP/E/45991/09/2024</t>
  </si>
  <si>
    <t>KHI/HO/D/MO/PD COMP/E/50482/12/2024</t>
  </si>
  <si>
    <t>KHI/HO/D/MO/PD COMP/P/75482/09/2023</t>
  </si>
  <si>
    <t>KHI/HO/D/MO/PD COMP/E/30935/09/2023</t>
  </si>
  <si>
    <t>KHI/HO/D/MO/PD COMP/E/45992/09/2024</t>
  </si>
  <si>
    <t>KHI/HO/D/MO/PD COMP/E/48777/10/2024</t>
  </si>
  <si>
    <t>KHI/HO/D/MO/PD COMP/P/75531/09/2023</t>
  </si>
  <si>
    <t>KHI/HO/D/MO/PD COMP/E/30937/09/2023</t>
  </si>
  <si>
    <t>KHI/HO/D/MO/PD COMP/E/45993/09/2024</t>
  </si>
  <si>
    <t>KHI/HO/D/MO/PD COMP/E/50483/12/2024</t>
  </si>
  <si>
    <t>KHI/HO/D/MO/PD COMP/P/75557/09/2023</t>
  </si>
  <si>
    <t>KHI/HO/D/MO/PD COMP/E/30938/09/2023</t>
  </si>
  <si>
    <t>KHI/HO/D/MO/PD COMP/E/38120/03/2024</t>
  </si>
  <si>
    <t>KHI/HO/D/MO/PD COMP/E/48778/10/2024</t>
  </si>
  <si>
    <t>KHI/HO/D/MO/PD COMP/P/75612/09/2023</t>
  </si>
  <si>
    <t>KHI/HO/D/MO/PD COMP/E/30939/09/2023</t>
  </si>
  <si>
    <t>KHI/HO/D/MO/PD COMP/E/48779/10/2024</t>
  </si>
  <si>
    <t>KHI/HO/D/MO/PD COMP/P/75664/09/2023</t>
  </si>
  <si>
    <t>KHI/HO/D/MO/PD COMP/E/30941/09/2023</t>
  </si>
  <si>
    <t>KHI/HO/D/MO/PD COMP/E/48780/10/2024</t>
  </si>
  <si>
    <t>KHI/HO/D/MO/PD COMP/P/75686/09/2023</t>
  </si>
  <si>
    <t>KHI/HO/D/MO/PD COMP/E/30940/09/2023</t>
  </si>
  <si>
    <t>KHI/HO/D/MO/PD COMP/E/38246/03/2024</t>
  </si>
  <si>
    <t>KHI/HO/D/MO/PD COMP/E/48781/10/2024</t>
  </si>
  <si>
    <t>KHI/HO/D/MO/PD COMP/P/75766/09/2023</t>
  </si>
  <si>
    <t>KHI/HO/D/MO/PD COMP/E/30942/09/2023</t>
  </si>
  <si>
    <t>KHI/HO/D/MO/PD COMP/E/40742/04/2024</t>
  </si>
  <si>
    <t>KHI/HO/D/MO/PD COMP/E/41693/05/2024</t>
  </si>
  <si>
    <t>KHI/HO/D/MO/PD COMP/E/42700/06/2024</t>
  </si>
  <si>
    <t>KHI/HO/D/MO/PD COMP/E/43871/07/2024</t>
  </si>
  <si>
    <t>KHI/HO/D/MO/PD COMP/E/44804/08/2024</t>
  </si>
  <si>
    <t>KHI/HO/D/MO/PD COMP/E/45994/09/2024</t>
  </si>
  <si>
    <t>KHI/HO/D/MO/PD COMP/E/48782/10/2024</t>
  </si>
  <si>
    <t>KHI/HO/D/MO/PD COMP/P/75790/09/2023</t>
  </si>
  <si>
    <t>KHI/HO/D/MO/PD COMP/E/30945/09/2023</t>
  </si>
  <si>
    <t>KHI/HO/D/MO/PD COMP/E/41052/04/2024</t>
  </si>
  <si>
    <t>KHI/HO/D/MO/PD COMP/E/42900/06/2024</t>
  </si>
  <si>
    <t>KHI/HO/D/MO/PD COMP/E/48783/10/2024</t>
  </si>
  <si>
    <t>KHI/HO/D/MO/PD COMP/P/75904/09/2023</t>
  </si>
  <si>
    <t>KHI/HO/D/MO/PD COMP/E/30950/09/2023</t>
  </si>
  <si>
    <t>KHI/HO/D/MO/PD COMP/E/45198/08/2024</t>
  </si>
  <si>
    <t>KHI/HO/D/MO/PD COMP/E/46088/09/2024</t>
  </si>
  <si>
    <t>KHI/HO/D/MO/PD COMP/E/48785/10/2024</t>
  </si>
  <si>
    <t>KHI/HO/D/MO/PD COMP/P/75909/09/2023</t>
  </si>
  <si>
    <t>KHI/HO/D/MO/PD COMP/E/30948/09/2023</t>
  </si>
  <si>
    <t>KHI/HO/D/MO/PD COMP/E/41116/04/2024</t>
  </si>
  <si>
    <t>KHI/HO/D/MO/PD COMP/E/41989/05/2024</t>
  </si>
  <si>
    <t>KHI/HO/D/MO/PD COMP/E/42969/06/2024</t>
  </si>
  <si>
    <t>KHI/HO/D/MO/PD COMP/E/44239/07/2024</t>
  </si>
  <si>
    <t>KHI/HO/D/MO/PD COMP/E/48786/10/2024</t>
  </si>
  <si>
    <t>KHI/HO/D/MO/PD COMP/P/75922/09/2023</t>
  </si>
  <si>
    <t>KHI/HO/D/MO/PD COMP/E/30951/09/2023</t>
  </si>
  <si>
    <t>KHI/HO/D/MO/PD COMP/E/44241/07/2024</t>
  </si>
  <si>
    <t>KHI/HO/D/MO/PD COMP/E/45408/08/2024</t>
  </si>
  <si>
    <t>KHI/HO/D/MO/PD COMP/E/46301/09/2024</t>
  </si>
  <si>
    <t>KHI/HO/D/MO/PD COMP/E/48787/10/2024</t>
  </si>
  <si>
    <t>KHI/HO/D/MO/PD COMP/P/76064/10/2023</t>
  </si>
  <si>
    <t>KHI/HO/D/MO/PD COMP/E/33832/10/2023</t>
  </si>
  <si>
    <t>KHI/HO/D/MO/PD COMP/E/45258/08/2024</t>
  </si>
  <si>
    <t>KHI/HO/D/MO/PD COMP/E/48788/10/2024</t>
  </si>
  <si>
    <t>KHI/HO/D/MO/PD COMP/P/76091/10/2023</t>
  </si>
  <si>
    <t>KHI/HO/D/MO/PD COMP/E/33833/10/2023</t>
  </si>
  <si>
    <t>KHI/HO/D/MO/PD COMP/E/41121/04/2024</t>
  </si>
  <si>
    <t>KHI/HO/D/MO/PD COMP/E/42053/05/2024</t>
  </si>
  <si>
    <t>KHI/HO/D/MO/PD COMP/E/43051/06/2024</t>
  </si>
  <si>
    <t>KHI/HO/D/MO/PD COMP/E/44243/07/2024</t>
  </si>
  <si>
    <t>KHI/HO/D/MO/PD COMP/E/45411/08/2024</t>
  </si>
  <si>
    <t>KHI/HO/D/MO/PD COMP/E/50484/12/2024</t>
  </si>
  <si>
    <t>KHI/HO/D/MO/PD COMP/P/76133/10/2023</t>
  </si>
  <si>
    <t>KHI/HO/D/MO/PD COMP/E/33834/10/2023</t>
  </si>
  <si>
    <t>KHI/HO/D/MO/PD COMP/E/41122/04/2024</t>
  </si>
  <si>
    <t>KHI/HO/D/MO/PD COMP/E/42054/05/2024</t>
  </si>
  <si>
    <t>KHI/HO/D/MO/PD COMP/E/43052/06/2024</t>
  </si>
  <si>
    <t>KHI/HO/D/MO/PD COMP/E/44244/07/2024</t>
  </si>
  <si>
    <t>KHI/HO/D/MO/PD COMP/E/45412/08/2024</t>
  </si>
  <si>
    <t>KHI/HO/D/MO/PD COMP/E/48790/10/2024</t>
  </si>
  <si>
    <t>KHI/HO/D/MO/PD COMP/P/76175/10/2023</t>
  </si>
  <si>
    <t>KHI/HO/D/MO/PD COMP/E/33836/10/2023</t>
  </si>
  <si>
    <t>KHI/HO/D/MO/PD COMP/E/42251/06/2024</t>
  </si>
  <si>
    <t>KHI/HO/D/MO/PD COMP/E/43311/07/2024</t>
  </si>
  <si>
    <t>KHI/HO/D/MO/PD COMP/E/44462/08/2024</t>
  </si>
  <si>
    <t>KHI/HO/D/MO/PD COMP/E/45695/09/2024</t>
  </si>
  <si>
    <t>KHI/HO/D/MO/PD COMP/E/46602/10/2024</t>
  </si>
  <si>
    <t>KHI/HO/D/MO/PD COMP/E/50485/12/2024</t>
  </si>
  <si>
    <t>KHI/HO/D/MO/PD COMP/P/76244/10/2023</t>
  </si>
  <si>
    <t>KHI/HO/D/MO/PD COMP/E/33843/10/2023</t>
  </si>
  <si>
    <t>KHI/HO/D/MO/PD COMP/E/44470/08/2024</t>
  </si>
  <si>
    <t>KHI/HO/D/MO/PD COMP/E/46670/10/2024</t>
  </si>
  <si>
    <t>KHI/HO/D/MO/PD COMP/E/48800/10/2024</t>
  </si>
  <si>
    <t>KHI/HO/D/MO/PD COMP/P/76260/10/2023</t>
  </si>
  <si>
    <t>KHI/HO/D/MO/PD COMP/E/33840/10/2023</t>
  </si>
  <si>
    <t>KHI/HO/D/MO/PD COMP/E/37749/03/2024</t>
  </si>
  <si>
    <t>KHI/HO/D/MO/PD COMP/E/40517/04/2024</t>
  </si>
  <si>
    <t>KHI/HO/D/MO/PD COMP/E/41471/05/2024</t>
  </si>
  <si>
    <t>KHI/HO/D/MO/PD COMP/E/42318/06/2024</t>
  </si>
  <si>
    <t>KHI/HO/D/MO/PD COMP/E/43360/07/2024</t>
  </si>
  <si>
    <t>KHI/HO/D/MO/PD COMP/E/44471/08/2024</t>
  </si>
  <si>
    <t>KHI/HO/D/MO/PD COMP/E/45700/09/2024</t>
  </si>
  <si>
    <t>KHI/HO/D/MO/PD COMP/E/46673/10/2024</t>
  </si>
  <si>
    <t>KHI/HO/D/MO/PD COMP/E/48814/10/2024</t>
  </si>
  <si>
    <t>KHI/HO/D/MO/PD COMP/P/76359/10/2023</t>
  </si>
  <si>
    <t>KHI/HO/D/MO/PD COMP/E/33850/10/2023</t>
  </si>
  <si>
    <t>KHI/HO/D/MO/PD COMP/E/42319/06/2024</t>
  </si>
  <si>
    <t>KHI/HO/D/MO/PD COMP/E/43451/07/2024</t>
  </si>
  <si>
    <t>KHI/HO/D/MO/PD COMP/E/44543/08/2024</t>
  </si>
  <si>
    <t>KHI/HO/D/MO/PD COMP/E/45769/09/2024</t>
  </si>
  <si>
    <t>KHI/HO/D/MO/PD COMP/E/46674/10/2024</t>
  </si>
  <si>
    <t>KHI/HO/D/MO/PD COMP/E/50486/12/2024</t>
  </si>
  <si>
    <t>KHI/HO/D/MO/PD COMP/P/76388/10/2023</t>
  </si>
  <si>
    <t>KHI/HO/D/MO/PD COMP/E/46676/10/2024</t>
  </si>
  <si>
    <t>KHI/HO/D/MO/PD COMP/P/76395/10/2023</t>
  </si>
  <si>
    <t>KHI/HO/D/MO/PD COMP/E/33847/10/2023</t>
  </si>
  <si>
    <t>KHI/HO/D/MO/PD COMP/E/37795/03/2024</t>
  </si>
  <si>
    <t>KHI/HO/D/MO/PD COMP/E/40577/04/2024</t>
  </si>
  <si>
    <t>KHI/HO/D/MO/PD COMP/E/41474/05/2024</t>
  </si>
  <si>
    <t>KHI/HO/D/MO/PD COMP/E/42320/06/2024</t>
  </si>
  <si>
    <t>KHI/HO/D/MO/PD COMP/E/43453/07/2024</t>
  </si>
  <si>
    <t>KHI/HO/D/MO/PD COMP/E/44544/08/2024</t>
  </si>
  <si>
    <t>KHI/HO/D/MO/PD COMP/E/45770/09/2024</t>
  </si>
  <si>
    <t>KHI/HO/D/MO/PD COMP/E/46677/10/2024</t>
  </si>
  <si>
    <t>KHI/HO/D/MO/PD COMP/E/50488/12/2024</t>
  </si>
  <si>
    <t>KHI/HO/D/MO/PD COMP/P/76396/10/2023</t>
  </si>
  <si>
    <t>KHI/HO/D/MO/PD COMP/E/33845/10/2023</t>
  </si>
  <si>
    <t>KHI/HO/D/MO/PD COMP/E/37751/03/2024</t>
  </si>
  <si>
    <t>KHI/HO/D/MO/PD COMP/E/40750/04/2024</t>
  </si>
  <si>
    <t>KHI/HO/D/MO/PD COMP/E/48837/10/2024</t>
  </si>
  <si>
    <t>KHI/HO/D/MO/PD COMP/P/76446/10/2023</t>
  </si>
  <si>
    <t>KHI/HO/D/MO/PD COMP/E/33854/10/2023</t>
  </si>
  <si>
    <t>KHI/HO/D/MO/PD COMP/E/37796/03/2024</t>
  </si>
  <si>
    <t>KHI/HO/D/MO/PD COMP/E/40578/04/2024</t>
  </si>
  <si>
    <t>KHI/HO/D/MO/PD COMP/E/50489/12/2024</t>
  </si>
  <si>
    <t>KHI/HO/D/MO/PD COMP/P/76483/10/2023</t>
  </si>
  <si>
    <t>KHI/HO/D/MO/PD COMP/E/33618/10/2023</t>
  </si>
  <si>
    <t>KHI/HO/D/MO/PD COMP/E/33857/10/2023</t>
  </si>
  <si>
    <t>KHI/HO/D/MO/PD COMP/E/34624/11/2023</t>
  </si>
  <si>
    <t>KHI/HO/D/MO/PD COMP/E/35509/12/2023</t>
  </si>
  <si>
    <t>KHI/HO/D/MO/PD COMP/E/36588/01/2024</t>
  </si>
  <si>
    <t>KHI/HO/D/MO/PD COMP/E/37445/02/2024</t>
  </si>
  <si>
    <t>KHI/HO/D/MO/PD COMP/E/38373/03/2024</t>
  </si>
  <si>
    <t>KHI/HO/D/MO/PD COMP/E/41094/04/2024</t>
  </si>
  <si>
    <t>KHI/HO/D/MO/PD COMP/E/48791/10/2024</t>
  </si>
  <si>
    <t>KHI/HO/D/MO/PD COMP/P/76598/10/2023</t>
  </si>
  <si>
    <t>KHI/HO/D/MO/PD COMP/E/34265/11/2023</t>
  </si>
  <si>
    <t>KHI/HO/D/MO/PD COMP/P/76610/10/2023</t>
  </si>
  <si>
    <t>KHI/HO/D/MO/PD COMP/E/33863/10/2023</t>
  </si>
  <si>
    <t>KHI/HO/D/MO/PD COMP/E/40663/04/2024</t>
  </si>
  <si>
    <t>KHI/HO/D/MO/PD COMP/E/41598/05/2024</t>
  </si>
  <si>
    <t>KHI/HO/D/MO/PD COMP/E/42533/06/2024</t>
  </si>
  <si>
    <t>KHI/HO/D/MO/PD COMP/E/43760/07/2024</t>
  </si>
  <si>
    <t>KHI/HO/D/MO/PD COMP/E/44662/08/2024</t>
  </si>
  <si>
    <t>KHI/HO/D/MO/PD COMP/E/45892/09/2024</t>
  </si>
  <si>
    <t>KHI/HO/D/MO/PD COMP/E/50490/12/2024</t>
  </si>
  <si>
    <t>KHI/HO/D/MO/PD COMP/P/76741/10/2023</t>
  </si>
  <si>
    <t>KHI/HO/D/MO/PD COMP/E/33875/10/2023</t>
  </si>
  <si>
    <t>KHI/HO/D/MO/PD COMP/E/34270/11/2023</t>
  </si>
  <si>
    <t>KHI/HO/D/MO/PD COMP/E/36297/01/2024</t>
  </si>
  <si>
    <t>KHI/HO/D/MO/PD COMP/E/40666/04/2024</t>
  </si>
  <si>
    <t>KHI/HO/D/MO/PD COMP/E/48816/10/2024</t>
  </si>
  <si>
    <t>KHI/HO/D/MO/PD COMP/P/76761/10/2023</t>
  </si>
  <si>
    <t>KHI/HO/D/MO/PD COMP/E/33874/10/2023</t>
  </si>
  <si>
    <t>KHI/HO/D/MO/PD COMP/E/40911/04/2024</t>
  </si>
  <si>
    <t>KHI/HO/D/MO/PD COMP/E/40912/04/2024</t>
  </si>
  <si>
    <t>KHI/HO/D/MO/PD COMP/E/41809/05/2024</t>
  </si>
  <si>
    <t>KHI/HO/D/MO/PD COMP/E/42706/06/2024</t>
  </si>
  <si>
    <t>KHI/HO/D/MO/PD COMP/E/44015/07/2024</t>
  </si>
  <si>
    <t>KHI/HO/D/MO/PD COMP/E/44884/08/2024</t>
  </si>
  <si>
    <t>KHI/HO/D/MO/PD COMP/E/46178/09/2024</t>
  </si>
  <si>
    <t>KHI/HO/D/MO/PD COMP/E/47974/10/2024</t>
  </si>
  <si>
    <t>KHI/HO/D/MO/PD COMP/E/50491/12/2024</t>
  </si>
  <si>
    <t>KHI/HO/D/MO/PD COMP/P/76893/10/2023</t>
  </si>
  <si>
    <t>KHI/HO/D/MO/PD COMP/E/33879/10/2023</t>
  </si>
  <si>
    <t>KHI/HO/D/MO/PD COMP/E/38248/03/2024</t>
  </si>
  <si>
    <t>KHI/HO/D/MO/PD COMP/E/40948/04/2024</t>
  </si>
  <si>
    <t>KHI/HO/D/MO/PD COMP/E/41810/05/2024</t>
  </si>
  <si>
    <t>KHI/HO/D/MO/PD COMP/E/42794/06/2024</t>
  </si>
  <si>
    <t>KHI/HO/D/MO/PD COMP/E/44016/07/2024</t>
  </si>
  <si>
    <t>KHI/HO/D/MO/PD COMP/E/44938/08/2024</t>
  </si>
  <si>
    <t>KHI/HO/D/MO/PD COMP/E/46089/09/2024</t>
  </si>
  <si>
    <t>KHI/HO/D/MO/PD COMP/E/47975/10/2024</t>
  </si>
  <si>
    <t>KHI/HO/D/MO/PD COMP/E/50492/12/2024</t>
  </si>
  <si>
    <t>KHI/HO/D/MO/PD COMP/P/76952/10/2023</t>
  </si>
  <si>
    <t>KHI/HO/D/MO/PD COMP/E/33881/10/2023</t>
  </si>
  <si>
    <t>KHI/HO/D/MO/PD COMP/E/42707/06/2024</t>
  </si>
  <si>
    <t>KHI/HO/D/MO/PD COMP/E/43876/07/2024</t>
  </si>
  <si>
    <t>KHI/HO/D/MO/PD COMP/E/44850/08/2024</t>
  </si>
  <si>
    <t>KHI/HO/D/MO/PD COMP/E/45999/09/2024</t>
  </si>
  <si>
    <t>KHI/HO/D/MO/PD COMP/E/50493/12/2024</t>
  </si>
  <si>
    <t>KHI/HO/D/MO/PD COMP/P/77162/10/2023</t>
  </si>
  <si>
    <t>KHI/HO/D/MO/PD COMP/E/33886/10/2023</t>
  </si>
  <si>
    <t>KHI/HO/D/MO/PD COMP/E/45261/08/2024</t>
  </si>
  <si>
    <t>KHI/HO/D/MO/PD COMP/E/46304/09/2024</t>
  </si>
  <si>
    <t>KHI/HO/D/MO/PD COMP/E/50494/12/2024</t>
  </si>
  <si>
    <t>KHI/HO/D/MO/PD COMP/P/77184/10/2023</t>
  </si>
  <si>
    <t>KHI/HO/D/MO/PD COMP/E/33887/10/2023</t>
  </si>
  <si>
    <t>KHI/HO/D/MO/PD COMP/E/48838/10/2024</t>
  </si>
  <si>
    <t>KHI/HO/D/MO/PD COMP/P/77260/10/2023</t>
  </si>
  <si>
    <t>KHI/HO/D/MO/PD COMP/E/41057/04/2024</t>
  </si>
  <si>
    <t>KHI/HO/D/MO/PD COMP/P/77290/10/2023</t>
  </si>
  <si>
    <t>KHI/HO/D/MO/PD COMP/E/33890/10/2023</t>
  </si>
  <si>
    <t>KHI/HO/D/MO/PD COMP/E/41123/04/2024</t>
  </si>
  <si>
    <t>KHI/HO/D/MO/PD COMP/E/42055/05/2024</t>
  </si>
  <si>
    <t>KHI/HO/D/MO/PD COMP/E/43053/06/2024</t>
  </si>
  <si>
    <t>KHI/HO/D/MO/PD COMP/E/44245/07/2024</t>
  </si>
  <si>
    <t>KHI/HO/D/MO/PD COMP/E/45415/08/2024</t>
  </si>
  <si>
    <t>KHI/HO/D/MO/PD COMP/E/46480/10/2024</t>
  </si>
  <si>
    <t>KHI/HO/D/MO/PD COMP/E/50495/12/2024</t>
  </si>
  <si>
    <t>KHI/HO/D/MO/PD COMP/P/77505/11/2023</t>
  </si>
  <si>
    <t>KHI/HO/D/MO/PD COMP/E/34731/12/2023</t>
  </si>
  <si>
    <t>KHI/HO/D/MO/PD COMP/E/35568/12/2023</t>
  </si>
  <si>
    <t>KHI/HO/D/MO/PD COMP/E/48820/10/2024</t>
  </si>
  <si>
    <t>KHI/HO/D/MO/PD COMP/P/77587/11/2023</t>
  </si>
  <si>
    <t>KHI/HO/D/MO/PD COMP/E/35570/12/2023</t>
  </si>
  <si>
    <t>KHI/HO/D/MO/PD COMP/E/35866/01/2024</t>
  </si>
  <si>
    <t>KHI/HO/D/MO/PD COMP/E/43134/07/2024</t>
  </si>
  <si>
    <t>KHI/HO/D/MO/PD COMP/E/48632/11/2024</t>
  </si>
  <si>
    <t>KHI/HO/D/MO/PD COMP/E/48633/11/2024</t>
  </si>
  <si>
    <t>KHI/HO/D/MO/PD COMP/E/48634/11/2024</t>
  </si>
  <si>
    <t>KHI/HO/D/MO/PD COMP/E/48635/11/2024</t>
  </si>
  <si>
    <t>KHI/HO/D/MO/PD COMP/E/50496/12/2024</t>
  </si>
  <si>
    <t>KHI/HO/D/MO/PD COMP/P/77710/11/2023</t>
  </si>
  <si>
    <t>KHI/HO/D/MO/PD COMP/E/35577/12/2023</t>
  </si>
  <si>
    <t>KHI/HO/D/MO/PD COMP/E/42189/06/2024</t>
  </si>
  <si>
    <t>KHI/HO/D/MO/PD COMP/E/46682/10/2024</t>
  </si>
  <si>
    <t>KHI/HO/D/MO/PD COMP/E/48639/11/2024</t>
  </si>
  <si>
    <t>KHI/HO/D/MO/PD COMP/E/50497/12/2024</t>
  </si>
  <si>
    <t>KHI/HO/D/MO/PD COMP/P/77728/11/2023</t>
  </si>
  <si>
    <t>KHI/HO/D/MO/PD COMP/E/35574/12/2023</t>
  </si>
  <si>
    <t>KHI/HO/D/MO/PD COMP/E/41267/05/2024</t>
  </si>
  <si>
    <t>KHI/HO/D/MO/PD COMP/E/42190/06/2024</t>
  </si>
  <si>
    <t>KHI/HO/D/MO/PD COMP/E/48805/10/2024</t>
  </si>
  <si>
    <t>KHI/HO/D/MO/PD COMP/P/77829/11/2023</t>
  </si>
  <si>
    <t>KHI/HO/D/MO/PD COMP/E/34907/12/2023</t>
  </si>
  <si>
    <t>KHI/HO/D/MO/PD COMP/E/35579/12/2023</t>
  </si>
  <si>
    <t>KHI/HO/D/MO/PD COMP/E/35966/01/2024</t>
  </si>
  <si>
    <t>KHI/HO/D/MO/PD COMP/E/36854/02/2024</t>
  </si>
  <si>
    <t>KHI/HO/D/MO/PD COMP/E/37691/03/2024</t>
  </si>
  <si>
    <t>KHI/HO/D/MO/PD COMP/E/40493/04/2024</t>
  </si>
  <si>
    <t>KHI/HO/D/MO/PD COMP/E/41482/05/2024</t>
  </si>
  <si>
    <t>KHI/HO/D/MO/PD COMP/E/42270/06/2024</t>
  </si>
  <si>
    <t>KHI/HO/D/MO/PD COMP/E/43317/07/2024</t>
  </si>
  <si>
    <t>KHI/HO/D/MO/PD COMP/E/44478/08/2024</t>
  </si>
  <si>
    <t>KHI/HO/D/MO/PD COMP/E/45704/09/2024</t>
  </si>
  <si>
    <t>KHI/HO/D/MO/PD COMP/E/46684/10/2024</t>
  </si>
  <si>
    <t>KHI/HO/D/MO/PD COMP/E/48641/11/2024</t>
  </si>
  <si>
    <t>KHI/HO/D/MO/PD COMP/E/50498/12/2024</t>
  </si>
  <si>
    <t>KHI/HO/D/MO/PD COMP/P/77838/11/2023</t>
  </si>
  <si>
    <t>KHI/HO/D/MO/PD COMP/E/34984/12/2023</t>
  </si>
  <si>
    <t>KHI/HO/D/MO/PD COMP/E/35580/12/2023</t>
  </si>
  <si>
    <t>KHI/HO/D/MO/PD COMP/E/35924/01/2024</t>
  </si>
  <si>
    <t>KHI/HO/D/MO/PD COMP/E/36855/02/2024</t>
  </si>
  <si>
    <t>KHI/HO/D/MO/PD COMP/E/37692/03/2024</t>
  </si>
  <si>
    <t>KHI/HO/D/MO/PD COMP/E/38577/04/2024</t>
  </si>
  <si>
    <t>KHI/HO/D/MO/PD COMP/E/41483/05/2024</t>
  </si>
  <si>
    <t>KHI/HO/D/MO/PD COMP/E/42271/06/2024</t>
  </si>
  <si>
    <t>KHI/HO/D/MO/PD COMP/E/43220/07/2024</t>
  </si>
  <si>
    <t>KHI/HO/D/MO/PD COMP/E/44479/08/2024</t>
  </si>
  <si>
    <t>KHI/HO/D/MO/PD COMP/E/45705/09/2024</t>
  </si>
  <si>
    <t>KHI/HO/D/MO/PD COMP/E/46685/10/2024</t>
  </si>
  <si>
    <t>KHI/HO/D/MO/PD COMP/E/48642/11/2024</t>
  </si>
  <si>
    <t>KHI/HO/D/MO/PD COMP/E/50499/12/2024</t>
  </si>
  <si>
    <t>KHI/HO/D/MO/PD COMP/P/78000/11/2023</t>
  </si>
  <si>
    <t>KHI/HO/D/MO/PD COMP/E/35583/12/2023</t>
  </si>
  <si>
    <t>KHI/HO/D/MO/PD COMP/E/37027/02/2024</t>
  </si>
  <si>
    <t>KHI/HO/D/MO/PD COMP/E/37894/03/2024</t>
  </si>
  <si>
    <t>KHI/HO/D/MO/PD COMP/E/40667/04/2024</t>
  </si>
  <si>
    <t>KHI/HO/D/MO/PD COMP/E/41601/05/2024</t>
  </si>
  <si>
    <t>KHI/HO/D/MO/PD COMP/E/42490/06/2024</t>
  </si>
  <si>
    <t>KHI/HO/D/MO/PD COMP/E/43763/07/2024</t>
  </si>
  <si>
    <t>KHI/HO/D/MO/PD COMP/E/44665/08/2024</t>
  </si>
  <si>
    <t>KHI/HO/D/MO/PD COMP/E/45895/09/2024</t>
  </si>
  <si>
    <t>KHI/HO/D/MO/PD COMP/E/47060/10/2024</t>
  </si>
  <si>
    <t>KHI/HO/D/MO/PD COMP/E/50500/12/2024</t>
  </si>
  <si>
    <t>KHI/HO/D/MO/PD COMP/P/78048/11/2023</t>
  </si>
  <si>
    <t>KHI/HO/D/MO/PD COMP/E/35186/12/2023</t>
  </si>
  <si>
    <t>KHI/HO/D/MO/PD COMP/E/35586/12/2023</t>
  </si>
  <si>
    <t>KHI/HO/D/MO/PD COMP/E/36299/01/2024</t>
  </si>
  <si>
    <t>KHI/HO/D/MO/PD COMP/E/50501/12/2024</t>
  </si>
  <si>
    <t>KHI/HO/D/MO/PD COMP/P/78105/11/2023</t>
  </si>
  <si>
    <t>KHI/HO/D/MO/PD COMP/E/35590/12/2023</t>
  </si>
  <si>
    <t>KHI/HO/D/MO/PD COMP/E/42634/06/2024</t>
  </si>
  <si>
    <t>KHI/HO/D/MO/PD COMP/E/43817/07/2024</t>
  </si>
  <si>
    <t>KHI/HO/D/MO/PD COMP/E/44765/08/2024</t>
  </si>
  <si>
    <t>KHI/HO/D/MO/PD COMP/E/46004/09/2024</t>
  </si>
  <si>
    <t>KHI/HO/D/MO/PD COMP/E/47920/10/2024</t>
  </si>
  <si>
    <t>KHI/HO/D/MO/PD COMP/E/49189/11/2024</t>
  </si>
  <si>
    <t>KHI/HO/D/MO/PD COMP/E/50502/12/2024</t>
  </si>
  <si>
    <t>KHI/HO/D/MO/PD COMP/P/78106/11/2023</t>
  </si>
  <si>
    <t>KHI/HO/D/MO/PD COMP/E/35024/12/2023</t>
  </si>
  <si>
    <t>KHI/HO/D/MO/PD COMP/E/35588/12/2023</t>
  </si>
  <si>
    <t>KHI/HO/D/MO/PD COMP/E/36106/01/2024</t>
  </si>
  <si>
    <t>KHI/HO/D/MO/PD COMP/E/36970/02/2024</t>
  </si>
  <si>
    <t>KHI/HO/D/MO/PD COMP/E/37849/03/2024</t>
  </si>
  <si>
    <t>KHI/HO/D/MO/PD COMP/E/40583/04/2024</t>
  </si>
  <si>
    <t>KHI/HO/D/MO/PD COMP/E/41485/05/2024</t>
  </si>
  <si>
    <t>KHI/HO/D/MO/PD COMP/E/42434/06/2024</t>
  </si>
  <si>
    <t>KHI/HO/D/MO/PD COMP/E/43456/07/2024</t>
  </si>
  <si>
    <t>KHI/HO/D/MO/PD COMP/E/44573/08/2024</t>
  </si>
  <si>
    <t>KHI/HO/D/MO/PD COMP/E/45825/09/2024</t>
  </si>
  <si>
    <t>KHI/HO/D/MO/PD COMP/E/47061/10/2024</t>
  </si>
  <si>
    <t>KHI/HO/D/MO/PD COMP/E/50503/12/2024</t>
  </si>
  <si>
    <t>KHI/HO/D/MO/PD COMP/P/78413/11/2023</t>
  </si>
  <si>
    <t>KHI/HO/D/MO/PD COMP/E/35451/12/2023</t>
  </si>
  <si>
    <t>KHI/HO/D/MO/PD COMP/E/35602/12/2023</t>
  </si>
  <si>
    <t>KHI/HO/D/MO/PD COMP/E/36488/01/2024</t>
  </si>
  <si>
    <t>KHI/HO/D/MO/PD COMP/E/37379/02/2024</t>
  </si>
  <si>
    <t>KHI/HO/D/MO/PD COMP/E/38282/03/2024</t>
  </si>
  <si>
    <t>KHI/HO/D/MO/PD COMP/E/40992/04/2024</t>
  </si>
  <si>
    <t>KHI/HO/D/MO/PD COMP/E/41908/05/2024</t>
  </si>
  <si>
    <t>KHI/HO/D/MO/PD COMP/E/42848/06/2024</t>
  </si>
  <si>
    <t>KHI/HO/D/MO/PD COMP/E/44109/07/2024</t>
  </si>
  <si>
    <t>KHI/HO/D/MO/PD COMP/E/45201/08/2024</t>
  </si>
  <si>
    <t>KHI/HO/D/MO/PD COMP/E/46183/09/2024</t>
  </si>
  <si>
    <t>KHI/HO/D/MO/PD COMP/E/48095/10/2024</t>
  </si>
  <si>
    <t>KHI/HO/D/MO/PD COMP/E/50504/12/2024</t>
  </si>
  <si>
    <t>KHI/HO/D/MO/PD COMP/P/78617/11/2023</t>
  </si>
  <si>
    <t>KHI/HO/D/MO/PD COMP/E/35606/12/2023</t>
  </si>
  <si>
    <t>KHI/HO/D/MO/PD COMP/E/36396/01/2024</t>
  </si>
  <si>
    <t>KHI/HO/D/MO/PD COMP/E/36397/01/2024</t>
  </si>
  <si>
    <t>KHI/HO/D/MO/PD COMP/E/37234/02/2024</t>
  </si>
  <si>
    <t>KHI/HO/D/MO/PD COMP/E/38088/03/2024</t>
  </si>
  <si>
    <t>KHI/HO/D/MO/PD COMP/E/40888/04/2024</t>
  </si>
  <si>
    <t>KHI/HO/D/MO/PD COMP/E/41772/05/2024</t>
  </si>
  <si>
    <t>KHI/HO/D/MO/PD COMP/E/42714/06/2024</t>
  </si>
  <si>
    <t>KHI/HO/D/MO/PD COMP/E/44022/07/2024</t>
  </si>
  <si>
    <t>KHI/HO/D/MO/PD COMP/E/44888/08/2024</t>
  </si>
  <si>
    <t>KHI/HO/D/MO/PD COMP/E/46094/09/2024</t>
  </si>
  <si>
    <t>KHI/HO/D/MO/PD COMP/E/47982/10/2024</t>
  </si>
  <si>
    <t>KHI/HO/D/MO/PD COMP/E/50505/12/2024</t>
  </si>
  <si>
    <t>KHI/HO/D/MO/PD COMP/P/78627/11/2023</t>
  </si>
  <si>
    <t>KHI/HO/D/MO/PD COMP/E/35605/12/2023</t>
  </si>
  <si>
    <t>KHI/HO/D/MO/PD COMP/E/38285/03/2024</t>
  </si>
  <si>
    <t>KHI/HO/D/MO/PD COMP/E/40995/04/2024</t>
  </si>
  <si>
    <t>KHI/HO/D/MO/PD COMP/E/41911/05/2024</t>
  </si>
  <si>
    <t>KHI/HO/D/MO/PD COMP/E/42851/06/2024</t>
  </si>
  <si>
    <t>KHI/HO/D/MO/PD COMP/E/44112/07/2024</t>
  </si>
  <si>
    <t>KHI/HO/D/MO/PD COMP/E/45204/08/2024</t>
  </si>
  <si>
    <t>KHI/HO/D/MO/PD COMP/E/46186/09/2024</t>
  </si>
  <si>
    <t>KHI/HO/D/MO/PD COMP/E/48799/10/2024</t>
  </si>
  <si>
    <t>KHI/HO/D/MO/PD COMP/P/78700/11/2023</t>
  </si>
  <si>
    <t>KHI/HO/D/MO/PD COMP/E/35608/12/2023</t>
  </si>
  <si>
    <t>KHI/HO/D/MO/PD COMP/E/45264/08/2024</t>
  </si>
  <si>
    <t>KHI/HO/D/MO/PD COMP/E/50506/12/2024</t>
  </si>
  <si>
    <t>KHI/HO/D/MO/PD COMP/P/78711/11/2023</t>
  </si>
  <si>
    <t>KHI/HO/D/MO/PD COMP/E/48395/10/2024</t>
  </si>
  <si>
    <t>KHI/HO/D/MO/PD COMP/E/59186/03/2025</t>
  </si>
  <si>
    <t>KHI/HO/D/MO/PD COMP/P/78712/11/2023</t>
  </si>
  <si>
    <t>KHI/HO/D/MO/PD COMP/E/35534/12/2023</t>
  </si>
  <si>
    <t>KHI/HO/D/MO/PD COMP/E/35607/12/2023</t>
  </si>
  <si>
    <t>KHI/HO/D/MO/PD COMP/E/36611/01/2024</t>
  </si>
  <si>
    <t>KHI/HO/D/MO/PD COMP/E/37452/02/2024</t>
  </si>
  <si>
    <t>KHI/HO/D/MO/PD COMP/E/38398/03/2024</t>
  </si>
  <si>
    <t>KHI/HO/D/MO/PD COMP/E/41126/04/2024</t>
  </si>
  <si>
    <t>KHI/HO/D/MO/PD COMP/E/41997/05/2024</t>
  </si>
  <si>
    <t>KHI/HO/D/MO/PD COMP/E/42972/06/2024</t>
  </si>
  <si>
    <t>KHI/HO/D/MO/PD COMP/E/44248/07/2024</t>
  </si>
  <si>
    <t>KHI/HO/D/MO/PD COMP/E/45418/08/2024</t>
  </si>
  <si>
    <t>KHI/HO/D/MO/PD COMP/E/46348/10/2024</t>
  </si>
  <si>
    <t>KHI/HO/D/MO/PD COMP/E/48396/10/2024</t>
  </si>
  <si>
    <t>KHI/HO/D/MO/PD COMP/E/50507/12/2024</t>
  </si>
  <si>
    <t>KHI/HO/D/MO/PD COMP/P/78924/11/2023</t>
  </si>
  <si>
    <t>KHI/HO/D/MO/PD COMP/E/35611/12/2023</t>
  </si>
  <si>
    <t>KHI/HO/D/MO/PD COMP/E/35853/01/2024</t>
  </si>
  <si>
    <t>KHI/HO/D/MO/PD COMP/E/36749/01/2024</t>
  </si>
  <si>
    <t>KHI/HO/D/MO/PD COMP/E/50508/12/2024</t>
  </si>
  <si>
    <t>KHI/HO/D/MO/PD COMP/P/78965/12/2023</t>
  </si>
  <si>
    <t>KHI/HO/D/MO/PD COMP/E/35869/01/2024</t>
  </si>
  <si>
    <t>KHI/HO/D/MO/PD COMP/P/79160/12/2023</t>
  </si>
  <si>
    <t>KHI/HO/D/MO/PD COMP/E/43086/07/2024</t>
  </si>
  <si>
    <t>KHI/HO/D/MO/PD COMP/E/45519/09/2024</t>
  </si>
  <si>
    <t>KHI/HO/D/MO/PD COMP/E/48479/11/2024</t>
  </si>
  <si>
    <t>KHI/HO/D/MO/PD COMP/P/79216/12/2023</t>
  </si>
  <si>
    <t>KHI/HO/D/MO/PD COMP/E/35624/12/2023</t>
  </si>
  <si>
    <t>KHI/HO/D/MO/PD COMP/E/50509/12/2024</t>
  </si>
  <si>
    <t>KHI/HO/D/MO/PD COMP/P/79264/12/2023</t>
  </si>
  <si>
    <t>KHI/HO/D/MO/PD COMP/E/35625/12/2023</t>
  </si>
  <si>
    <t>KHI/HO/D/MO/PD COMP/E/36007/01/2024</t>
  </si>
  <si>
    <t>KHI/HO/D/MO/PD COMP/E/36909/02/2024</t>
  </si>
  <si>
    <t>KHI/HO/D/MO/PD COMP/E/37754/03/2024</t>
  </si>
  <si>
    <t>KHI/HO/D/MO/PD COMP/E/40521/04/2024</t>
  </si>
  <si>
    <t>KHI/HO/D/MO/PD COMP/E/41489/05/2024</t>
  </si>
  <si>
    <t>KHI/HO/D/MO/PD COMP/E/42324/06/2024</t>
  </si>
  <si>
    <t>KHI/HO/D/MO/PD COMP/E/43363/07/2024</t>
  </si>
  <si>
    <t>KHI/HO/D/MO/PD COMP/E/48813/10/2024</t>
  </si>
  <si>
    <t>KHI/HO/D/MO/PD COMP/P/79555/12/2023</t>
  </si>
  <si>
    <t>KHI/HO/D/MO/PD COMP/E/35633/12/2023</t>
  </si>
  <si>
    <t>KHI/HO/D/MO/PD COMP/E/36109/01/2024</t>
  </si>
  <si>
    <t>KHI/HO/D/MO/PD COMP/E/36973/02/2024</t>
  </si>
  <si>
    <t>KHI/HO/D/MO/PD COMP/E/37851/03/2024</t>
  </si>
  <si>
    <t>KHI/HO/D/MO/PD COMP/E/40586/04/2024</t>
  </si>
  <si>
    <t>KHI/HO/D/MO/PD COMP/E/41493/05/2024</t>
  </si>
  <si>
    <t>KHI/HO/D/MO/PD COMP/E/42436/06/2024</t>
  </si>
  <si>
    <t>KHI/HO/D/MO/PD COMP/E/43459/07/2024</t>
  </si>
  <si>
    <t>KHI/HO/D/MO/PD COMP/E/44575/08/2024</t>
  </si>
  <si>
    <t>KHI/HO/D/MO/PD COMP/E/45827/09/2024</t>
  </si>
  <si>
    <t>KHI/HO/D/MO/PD COMP/E/47064/10/2024</t>
  </si>
  <si>
    <t>KHI/HO/D/MO/PD COMP/E/48901/11/2024</t>
  </si>
  <si>
    <t>KHI/HO/D/MO/PD COMP/E/50510/12/2024</t>
  </si>
  <si>
    <t>KHI/HO/D/MO/PD COMP/P/79674/12/2023</t>
  </si>
  <si>
    <t>KHI/HO/D/MO/PD COMP/E/35634/12/2023</t>
  </si>
  <si>
    <t>KHI/HO/D/MO/PD COMP/E/40679/04/2024</t>
  </si>
  <si>
    <t>KHI/HO/D/MO/PD COMP/E/41605/05/2024</t>
  </si>
  <si>
    <t>KHI/HO/D/MO/PD COMP/E/42536/06/2024</t>
  </si>
  <si>
    <t>KHI/HO/D/MO/PD COMP/E/43766/07/2024</t>
  </si>
  <si>
    <t>KHI/HO/D/MO/PD COMP/E/44668/08/2024</t>
  </si>
  <si>
    <t>KHI/HO/D/MO/PD COMP/E/45897/09/2024</t>
  </si>
  <si>
    <t>KHI/HO/D/MO/PD COMP/E/47065/10/2024</t>
  </si>
  <si>
    <t>KHI/HO/D/MO/PD COMP/E/48966/11/2024</t>
  </si>
  <si>
    <t>KHI/HO/D/MO/PD COMP/E/50511/12/2024</t>
  </si>
  <si>
    <t>KHI/HO/D/MO/PD COMP/P/79778/12/2023</t>
  </si>
  <si>
    <t>KHI/HO/D/MO/PD COMP/E/35636/12/2023</t>
  </si>
  <si>
    <t>KHI/HO/D/MO/PD COMP/E/45424/08/2024</t>
  </si>
  <si>
    <t>KHI/HO/D/MO/PD COMP/E/46442/10/2024</t>
  </si>
  <si>
    <t>KHI/HO/D/MO/PD COMP/E/48792/10/2024</t>
  </si>
  <si>
    <t>KHI/HO/D/MO/PD COMP/P/79781/12/2023</t>
  </si>
  <si>
    <t>KHI/HO/D/MO/PD COMP/E/41494/05/2024</t>
  </si>
  <si>
    <t>KHI/HO/D/MO/PD COMP/E/42326/06/2024</t>
  </si>
  <si>
    <t>KHI/HO/D/MO/PD COMP/E/43364/07/2024</t>
  </si>
  <si>
    <t>KHI/HO/D/MO/PD COMP/E/44483/08/2024</t>
  </si>
  <si>
    <t>KHI/HO/D/MO/PD COMP/E/45709/09/2024</t>
  </si>
  <si>
    <t>KHI/HO/D/MO/PD COMP/E/46742/10/2024</t>
  </si>
  <si>
    <t>KHI/HO/D/MO/PD COMP/E/48672/11/2024</t>
  </si>
  <si>
    <t>KHI/HO/D/MO/PD COMP/E/50512/12/2024</t>
  </si>
  <si>
    <t>KHI/HO/D/MO/PD COMP/P/79786/12/2023</t>
  </si>
  <si>
    <t>KHI/HO/D/MO/PD COMP/E/37347/02/2024</t>
  </si>
  <si>
    <t>KHI/HO/D/MO/PD COMP/E/48828/10/2024</t>
  </si>
  <si>
    <t>KHI/HO/D/MO/PD COMP/P/79789/12/2023</t>
  </si>
  <si>
    <t>KHI/HO/D/MO/PD COMP/E/40833/04/2024</t>
  </si>
  <si>
    <t>KHI/HO/D/MO/PD COMP/E/46598/10/2024</t>
  </si>
  <si>
    <t>KHI/HO/D/MO/PD COMP/E/46600/10/2024</t>
  </si>
  <si>
    <t>KHI/HO/D/MO/PD COMP/E/46603/10/2024</t>
  </si>
  <si>
    <t>KHI/HO/D/MO/PD COMP/E/46604/10/2024</t>
  </si>
  <si>
    <t>KHI/HO/D/MO/PD COMP/E/46605/10/2024</t>
  </si>
  <si>
    <t>KHI/HO/D/MO/PD COMP/E/46606/10/2024</t>
  </si>
  <si>
    <t>KHI/HO/D/MO/PD COMP/E/46607/10/2024</t>
  </si>
  <si>
    <t>KHI/HO/D/MO/PD COMP/E/48359/10/2024</t>
  </si>
  <si>
    <t>KHI/HO/D/MO/PD COMP/E/49332/11/2024</t>
  </si>
  <si>
    <t>KHI/HO/D/MO/PD COMP/E/59170/03/2025</t>
  </si>
  <si>
    <t>KHI/HO/D/MO/PD COMP/P/79792/12/2023</t>
  </si>
  <si>
    <t>KHI/HO/D/MO/PD COMP/E/46353/10/2024</t>
  </si>
  <si>
    <t>KHI/HO/D/MO/PD COMP/E/48401/10/2024</t>
  </si>
  <si>
    <t>KHI/HO/D/MO/PD COMP/E/49509/11/2024</t>
  </si>
  <si>
    <t>KHI/HO/D/MO/PD COMP/E/59197/03/2025</t>
  </si>
  <si>
    <t>KHI/HO/D/MO/PD COMP/P/79995/12/2023</t>
  </si>
  <si>
    <t>KHI/HO/D/MO/PD COMP/E/35644/12/2023</t>
  </si>
  <si>
    <t>KHI/HO/D/MO/PD COMP/E/38053/03/2024</t>
  </si>
  <si>
    <t>KHI/HO/D/MO/PD COMP/E/40778/04/2024</t>
  </si>
  <si>
    <t>KHI/HO/D/MO/PD COMP/E/41727/05/2024</t>
  </si>
  <si>
    <t>KHI/HO/D/MO/PD COMP/E/48825/10/2024</t>
  </si>
  <si>
    <t>KHI/HO/D/MO/PD COMP/P/80038/12/2023</t>
  </si>
  <si>
    <t>KHI/HO/D/MO/PD COMP/E/35647/12/2023</t>
  </si>
  <si>
    <t>KHI/HO/D/MO/PD COMP/E/44025/07/2024</t>
  </si>
  <si>
    <t>KHI/HO/D/MO/PD COMP/E/50513/12/2024</t>
  </si>
  <si>
    <t>KHI/HO/D/MO/PD COMP/P/80099/12/2023</t>
  </si>
  <si>
    <t>KHI/HO/D/MO/PD COMP/E/35648/12/2023</t>
  </si>
  <si>
    <t>KHI/HO/D/MO/PD COMP/E/41817/05/2024</t>
  </si>
  <si>
    <t>KHI/HO/D/MO/PD COMP/E/42797/06/2024</t>
  </si>
  <si>
    <t>KHI/HO/D/MO/PD COMP/E/44027/07/2024</t>
  </si>
  <si>
    <t>KHI/HO/D/MO/PD COMP/E/44941/08/2024</t>
  </si>
  <si>
    <t>KHI/HO/D/MO/PD COMP/E/46095/09/2024</t>
  </si>
  <si>
    <t>KHI/HO/D/MO/PD COMP/E/48100/10/2024</t>
  </si>
  <si>
    <t>KHI/HO/D/MO/PD COMP/E/48804/10/2024</t>
  </si>
  <si>
    <t>KHI/HO/D/MO/PD COMP/P/80138/12/2023</t>
  </si>
  <si>
    <t>KHI/HO/D/MO/PD COMP/E/47986/10/2024</t>
  </si>
  <si>
    <t>KHI/HO/D/MO/PD COMP/P/80196/12/2023</t>
  </si>
  <si>
    <t>KHI/HO/D/MO/PD COMP/E/35650/12/2023</t>
  </si>
  <si>
    <t>KHI/HO/D/MO/PD COMP/E/37348/02/2024</t>
  </si>
  <si>
    <t>KHI/HO/D/MO/PD COMP/E/38254/03/2024</t>
  </si>
  <si>
    <t>KHI/HO/D/MO/PD COMP/E/40970/04/2024</t>
  </si>
  <si>
    <t>KHI/HO/D/MO/PD COMP/E/41858/05/2024</t>
  </si>
  <si>
    <t>KHI/HO/D/MO/PD COMP/E/42799/06/2024</t>
  </si>
  <si>
    <t>KHI/HO/D/MO/PD COMP/E/44115/07/2024</t>
  </si>
  <si>
    <t>KHI/HO/D/MO/PD COMP/E/44943/08/2024</t>
  </si>
  <si>
    <t>KHI/HO/D/MO/PD COMP/E/46193/09/2024</t>
  </si>
  <si>
    <t>KHI/HO/D/MO/PD COMP/E/47987/10/2024</t>
  </si>
  <si>
    <t>KHI/HO/D/MO/PD COMP/E/49222/11/2024</t>
  </si>
  <si>
    <t>KHI/HO/D/MO/PD COMP/E/50514/12/2024</t>
  </si>
  <si>
    <t>KHI/HO/D/MO/PD COMP/P/80225/12/2023</t>
  </si>
  <si>
    <t>KHI/HO/D/MO/PD COMP/E/35651/12/2023</t>
  </si>
  <si>
    <t>KHI/HO/D/MO/PD COMP/E/45206/08/2024</t>
  </si>
  <si>
    <t>KHI/HO/D/MO/PD COMP/E/46194/09/2024</t>
  </si>
  <si>
    <t>KHI/HO/D/MO/PD COMP/E/48102/10/2024</t>
  </si>
  <si>
    <t>KHI/HO/D/MO/PD COMP/E/48384/10/2024</t>
  </si>
  <si>
    <t>KHI/HO/D/MO/PD COMP/E/50515/12/2024</t>
  </si>
  <si>
    <t>KHI/HO/D/MO/PD COMP/P/80386/12/2023</t>
  </si>
  <si>
    <t>KHI/HO/D/MO/PD COMP/E/35655/12/2023</t>
  </si>
  <si>
    <t>KHI/HO/D/MO/PD COMP/E/36342/01/2024</t>
  </si>
  <si>
    <t>KHI/HO/D/MO/PD COMP/E/48832/10/2024</t>
  </si>
  <si>
    <t>KHI/HO/D/MO/PD COMP/P/80398/12/2023</t>
  </si>
  <si>
    <t>KHI/HO/D/MO/PD COMP/E/35656/12/2023</t>
  </si>
  <si>
    <t>KHI/HO/D/MO/PD COMP/E/36594/01/2024</t>
  </si>
  <si>
    <t>KHI/HO/D/MO/PD COMP/E/37461/02/2024</t>
  </si>
  <si>
    <t>KHI/HO/D/MO/PD COMP/E/38378/03/2024</t>
  </si>
  <si>
    <t>KHI/HO/D/MO/PD COMP/E/41098/04/2024</t>
  </si>
  <si>
    <t>KHI/HO/D/MO/PD COMP/E/42005/05/2024</t>
  </si>
  <si>
    <t>KHI/HO/D/MO/PD COMP/E/42942/06/2024</t>
  </si>
  <si>
    <t>KHI/HO/D/MO/PD COMP/E/44210/07/2024</t>
  </si>
  <si>
    <t>KHI/HO/D/MO/PD COMP/E/45428/08/2024</t>
  </si>
  <si>
    <t>KHI/HO/D/MO/PD COMP/E/46355/10/2024</t>
  </si>
  <si>
    <t>KHI/HO/D/MO/PD COMP/E/48361/10/2024</t>
  </si>
  <si>
    <t>KHI/HO/D/MO/PD COMP/E/48798/10/2024</t>
  </si>
  <si>
    <t>KHI/HO/D/MO/PD COMP/P/80460/12/2023</t>
  </si>
  <si>
    <t>KHI/HO/D/MO/PD COMP/E/35662/12/2023</t>
  </si>
  <si>
    <t>KHI/HO/D/MO/PD COMP/E/42028/05/2024</t>
  </si>
  <si>
    <t>KHI/HO/D/MO/PD COMP/E/42029/05/2024</t>
  </si>
  <si>
    <t>KHI/HO/D/MO/PD COMP/E/42030/05/2024</t>
  </si>
  <si>
    <t>KHI/HO/D/MO/PD COMP/E/42031/05/2024</t>
  </si>
  <si>
    <t>KHI/HO/D/MO/PD COMP/E/42032/05/2024</t>
  </si>
  <si>
    <t>KHI/HO/D/MO/PD COMP/E/44262/07/2024</t>
  </si>
  <si>
    <t>KHI/HO/D/MO/PD COMP/E/44263/07/2024</t>
  </si>
  <si>
    <t>KHI/HO/D/MO/PD COMP/E/45430/08/2024</t>
  </si>
  <si>
    <t>KHI/HO/D/MO/PD COMP/E/46357/10/2024</t>
  </si>
  <si>
    <t>KHI/HO/D/MO/PD COMP/E/48363/10/2024</t>
  </si>
  <si>
    <t>KHI/HO/D/MO/PD COMP/E/48809/10/2024</t>
  </si>
  <si>
    <t>KHI/HO/D/MO/PD COMP/P/80502/12/2023</t>
  </si>
  <si>
    <t>KHI/HO/D/MO/PD COMP/E/35661/12/2023</t>
  </si>
  <si>
    <t>KHI/HO/D/MO/PD COMP/E/36619/01/2024</t>
  </si>
  <si>
    <t>KHI/HO/D/MO/PD COMP/E/37464/02/2024</t>
  </si>
  <si>
    <t>KHI/HO/D/MO/PD COMP/E/38405/03/2024</t>
  </si>
  <si>
    <t>KHI/HO/D/MO/PD COMP/E/41138/04/2024</t>
  </si>
  <si>
    <t>KHI/HO/D/MO/PD COMP/E/42008/05/2024</t>
  </si>
  <si>
    <t>KHI/HO/D/MO/PD COMP/E/42979/06/2024</t>
  </si>
  <si>
    <t>KHI/HO/D/MO/PD COMP/E/44265/07/2024</t>
  </si>
  <si>
    <t>KHI/HO/D/MO/PD COMP/E/45432/08/2024</t>
  </si>
  <si>
    <t>KHI/HO/D/MO/PD COMP/E/46359/10/2024</t>
  </si>
  <si>
    <t>KHI/HO/D/MO/PD COMP/E/48405/10/2024</t>
  </si>
  <si>
    <t>KHI/HO/D/MO/PD COMP/E/50516/12/2024</t>
  </si>
  <si>
    <t>KHI/HO/D/MO/PD COMP/P/80571/12/2023</t>
  </si>
  <si>
    <t>KHI/HO/D/MO/PD COMP/E/38406/03/2024</t>
  </si>
  <si>
    <t>KHI/HO/D/MO/PD COMP/E/50517/12/2024</t>
  </si>
  <si>
    <t>KHI/HO/D/MO/PD COMP/P/80787/01/2024</t>
  </si>
  <si>
    <t>KHI/HO/D/MO/PD COMP/E/43089/07/2024</t>
  </si>
  <si>
    <t>KHI/HO/D/MO/PD COMP/E/44266/07/2024</t>
  </si>
  <si>
    <t>KHI/HO/D/MO/PD COMP/E/45522/09/2024</t>
  </si>
  <si>
    <t>KHI/HO/D/MO/PD COMP/E/50518/12/2024</t>
  </si>
  <si>
    <t>KHI/HO/D/MO/PD COMP/P/80822/12/2023</t>
  </si>
  <si>
    <t>KHI/HO/D/MO/PD COMP/E/48483/11/2024</t>
  </si>
  <si>
    <t>KHI/HO/D/MO/PD COMP/E/49601/12/2024</t>
  </si>
  <si>
    <t>KHI/HO/D/MO/PD COMP/E/51554/01/2025</t>
  </si>
  <si>
    <t>KHI/HO/D/MO/PD COMP/E/59199/03/2025</t>
  </si>
  <si>
    <t>KHI/HO/D/MO/PD COMP/P/81037/01/2024</t>
  </si>
  <si>
    <t>KHI/HO/D/MO/PD COMP/E/36861/02/2024</t>
  </si>
  <si>
    <t>KHI/HO/D/MO/PD COMP/E/37706/03/2024</t>
  </si>
  <si>
    <t>KHI/HO/D/MO/PD COMP/E/46461/10/2024</t>
  </si>
  <si>
    <t>KHI/HO/D/MO/PD COMP/P/81070/01/2024</t>
  </si>
  <si>
    <t>KHI/HO/D/MO/PD COMP/E/36912/02/2024</t>
  </si>
  <si>
    <t>KHI/HO/D/MO/PD COMP/E/37757/03/2024</t>
  </si>
  <si>
    <t>KHI/HO/D/MO/PD COMP/E/40524/04/2024</t>
  </si>
  <si>
    <t>KHI/HO/D/MO/PD COMP/E/41499/05/2024</t>
  </si>
  <si>
    <t>KHI/HO/D/MO/PD COMP/E/42327/06/2024</t>
  </si>
  <si>
    <t>KHI/HO/D/MO/PD COMP/E/43366/07/2024</t>
  </si>
  <si>
    <t>KHI/HO/D/MO/PD COMP/E/44487/08/2024</t>
  </si>
  <si>
    <t>KHI/HO/D/MO/PD COMP/E/45713/09/2024</t>
  </si>
  <si>
    <t>KHI/HO/D/MO/PD COMP/E/46744/10/2024</t>
  </si>
  <si>
    <t>KHI/HO/D/MO/PD COMP/E/48673/11/2024</t>
  </si>
  <si>
    <t>KHI/HO/D/MO/PD COMP/E/49815/12/2024</t>
  </si>
  <si>
    <t>KHI/HO/D/MO/PD COMP/E/50519/12/2024</t>
  </si>
  <si>
    <t>KHI/HO/D/MO/PD COMP/P/81071/01/2024</t>
  </si>
  <si>
    <t>KHI/HO/D/MO/PD COMP/E/36913/02/2024</t>
  </si>
  <si>
    <t>KHI/HO/D/MO/PD COMP/E/37758/03/2024</t>
  </si>
  <si>
    <t>KHI/HO/D/MO/PD COMP/E/40525/04/2024</t>
  </si>
  <si>
    <t>KHI/HO/D/MO/PD COMP/E/41500/05/2024</t>
  </si>
  <si>
    <t>KHI/HO/D/MO/PD COMP/E/43367/07/2024</t>
  </si>
  <si>
    <t>KHI/HO/D/MO/PD COMP/E/44488/08/2024</t>
  </si>
  <si>
    <t>KHI/HO/D/MO/PD COMP/E/45714/09/2024</t>
  </si>
  <si>
    <t>KHI/HO/D/MO/PD COMP/E/46745/10/2024</t>
  </si>
  <si>
    <t>KHI/HO/D/MO/PD COMP/E/49885/12/2024</t>
  </si>
  <si>
    <t>KHI/HO/D/MO/PD COMP/E/50520/12/2024</t>
  </si>
  <si>
    <t>KHI/HO/D/MO/PD COMP/P/81079/01/2024</t>
  </si>
  <si>
    <t>KHI/HO/D/MO/PD COMP/E/49776/12/2024</t>
  </si>
  <si>
    <t>KHI/HO/D/MO/PD COMP/P/81085/01/2024</t>
  </si>
  <si>
    <t>KHI/HO/D/MO/PD COMP/E/46746/10/2024</t>
  </si>
  <si>
    <t>KHI/HO/D/MO/PD COMP/E/48674/11/2024</t>
  </si>
  <si>
    <t>KHI/HO/D/MO/PD COMP/E/49886/12/2024</t>
  </si>
  <si>
    <t>KHI/HO/D/MO/PD COMP/E/51956/01/2025</t>
  </si>
  <si>
    <t>KHI/HO/D/MO/PD COMP/E/59233/03/2025</t>
  </si>
  <si>
    <t>KHI/HO/D/MO/PD COMP/P/81129/01/2024</t>
  </si>
  <si>
    <t>KHI/HO/D/MO/PD COMP/E/41238/05/2024</t>
  </si>
  <si>
    <t>KHI/HO/D/MO/PD COMP/E/42200/06/2024</t>
  </si>
  <si>
    <t>KHI/HO/D/MO/PD COMP/E/43146/07/2024</t>
  </si>
  <si>
    <t>KHI/HO/D/MO/PD COMP/E/50521/12/2024</t>
  </si>
  <si>
    <t>KHI/HO/D/MO/PD COMP/P/81140/01/2024</t>
  </si>
  <si>
    <t>KHI/HO/D/MO/PD COMP/E/41207/04/2024</t>
  </si>
  <si>
    <t>KHI/HO/D/MO/PD COMP/E/41208/04/2024</t>
  </si>
  <si>
    <t>KHI/HO/D/MO/PD COMP/E/41209/04/2024</t>
  </si>
  <si>
    <t>KHI/HO/D/MO/PD COMP/E/50522/12/2024</t>
  </si>
  <si>
    <t>KHI/HO/D/MO/PD COMP/P/81150/01/2024</t>
  </si>
  <si>
    <t>KHI/HO/D/MO/PD COMP/E/48557/11/2024</t>
  </si>
  <si>
    <t>KHI/HO/D/MO/PD COMP/E/49703/12/2024</t>
  </si>
  <si>
    <t>KHI/HO/D/MO/PD COMP/E/59218/03/2025</t>
  </si>
  <si>
    <t>KHI/HO/D/MO/PD COMP/P/81227/01/2024</t>
  </si>
  <si>
    <t>KHI/HO/D/MO/PD COMP/E/50819/01/2025</t>
  </si>
  <si>
    <t>KHI/HO/D/MO/PD COMP/E/59205/03/2025</t>
  </si>
  <si>
    <t>KHI/HO/D/MO/PD COMP/P/81234/01/2024</t>
  </si>
  <si>
    <t>KHI/HO/D/MO/PD COMP/E/41276/05/2024</t>
  </si>
  <si>
    <t>KHI/HO/D/MO/PD COMP/E/41277/05/2024</t>
  </si>
  <si>
    <t>KHI/HO/D/MO/PD COMP/E/41278/05/2024</t>
  </si>
  <si>
    <t>KHI/HO/D/MO/PD COMP/E/41279/05/2024</t>
  </si>
  <si>
    <t>KHI/HO/D/MO/PD COMP/E/50523/12/2024</t>
  </si>
  <si>
    <t>KHI/HO/D/MO/PD COMP/P/81237/01/2024</t>
  </si>
  <si>
    <t>KHI/HO/D/MO/PD COMP/E/42279/06/2024</t>
  </si>
  <si>
    <t>KHI/HO/D/MO/PD COMP/E/45719/09/2024</t>
  </si>
  <si>
    <t>KHI/HO/D/MO/PD COMP/E/59193/03/2025</t>
  </si>
  <si>
    <t>KHI/HO/D/MO/PD COMP/P/81238/01/2024</t>
  </si>
  <si>
    <t>KHI/HO/D/MO/PD COMP/E/41506/05/2024</t>
  </si>
  <si>
    <t>KHI/HO/D/MO/PD COMP/E/42330/06/2024</t>
  </si>
  <si>
    <t>KHI/HO/D/MO/PD COMP/E/43370/07/2024</t>
  </si>
  <si>
    <t>KHI/HO/D/MO/PD COMP/E/44494/08/2024</t>
  </si>
  <si>
    <t>KHI/HO/D/MO/PD COMP/E/45720/09/2024</t>
  </si>
  <si>
    <t>KHI/HO/D/MO/PD COMP/E/46748/10/2024</t>
  </si>
  <si>
    <t>KHI/HO/D/MO/PD COMP/E/48676/11/2024</t>
  </si>
  <si>
    <t>KHI/HO/D/MO/PD COMP/E/49887/12/2024</t>
  </si>
  <si>
    <t>KHI/HO/D/MO/PD COMP/E/50524/12/2024</t>
  </si>
  <si>
    <t>KHI/HO/D/MO/PD COMP/P/81250/01/2024</t>
  </si>
  <si>
    <t>KHI/HO/D/MO/PD COMP/E/40619/04/2024</t>
  </si>
  <si>
    <t>KHI/HO/D/MO/PD COMP/E/41512/05/2024</t>
  </si>
  <si>
    <t>KHI/HO/D/MO/PD COMP/E/42439/06/2024</t>
  </si>
  <si>
    <t>KHI/HO/D/MO/PD COMP/E/43536/07/2024</t>
  </si>
  <si>
    <t>KHI/HO/D/MO/PD COMP/E/44626/08/2024</t>
  </si>
  <si>
    <t>KHI/HO/D/MO/PD COMP/E/44627/08/2024</t>
  </si>
  <si>
    <t>KHI/HO/D/MO/PD COMP/E/45831/09/2024</t>
  </si>
  <si>
    <t>KHI/HO/D/MO/PD COMP/E/46837/10/2024</t>
  </si>
  <si>
    <t>KHI/HO/D/MO/PD COMP/E/48920/11/2024</t>
  </si>
  <si>
    <t>KHI/HO/D/MO/PD COMP/E/49906/12/2024</t>
  </si>
  <si>
    <t>KHI/HO/D/MO/PD COMP/E/50525/12/2024</t>
  </si>
  <si>
    <t>KHI/HO/D/MO/PD COMP/P/81303/01/2024</t>
  </si>
  <si>
    <t>KHI/HO/D/MO/PD COMP/E/51516/01/2025</t>
  </si>
  <si>
    <t>KHI/HO/D/MO/PD COMP/E/59201/03/2025</t>
  </si>
  <si>
    <t>KHI/HO/D/MO/PD COMP/P/81389/01/2024</t>
  </si>
  <si>
    <t>KHI/HO/D/MO/PD COMP/E/42334/06/2024</t>
  </si>
  <si>
    <t>KHI/HO/D/MO/PD COMP/E/43460/07/2024</t>
  </si>
  <si>
    <t>KHI/HO/D/MO/PD COMP/E/44546/08/2024</t>
  </si>
  <si>
    <t>KHI/HO/D/MO/PD COMP/E/45773/09/2024</t>
  </si>
  <si>
    <t>KHI/HO/D/MO/PD COMP/E/46752/10/2024</t>
  </si>
  <si>
    <t>KHI/HO/D/MO/PD COMP/E/48857/11/2024</t>
  </si>
  <si>
    <t>KHI/HO/D/MO/PD COMP/E/49830/12/2024</t>
  </si>
  <si>
    <t>KHI/HO/D/MO/PD COMP/E/50527/12/2024</t>
  </si>
  <si>
    <t>KHI/HO/D/MO/PD COMP/P/81509/01/2024</t>
  </si>
  <si>
    <t>KHI/HO/D/MO/PD COMP/E/48924/11/2024</t>
  </si>
  <si>
    <t>KHI/HO/D/MO/PD COMP/P/81647/01/2024</t>
  </si>
  <si>
    <t>KHI/HO/D/MO/PD COMP/E/48927/11/2024</t>
  </si>
  <si>
    <t>KHI/HO/D/MO/PD COMP/E/50071/12/2024</t>
  </si>
  <si>
    <t>KHI/HO/D/MO/PD COMP/E/59189/03/2025</t>
  </si>
  <si>
    <t>KHI/HO/D/MO/PD COMP/P/81649/01/2024</t>
  </si>
  <si>
    <t>KHI/HO/D/MO/PD COMP/E/37076/02/2024</t>
  </si>
  <si>
    <t>KHI/HO/D/MO/PD COMP/E/37983/03/2024</t>
  </si>
  <si>
    <t>KHI/HO/D/MO/PD COMP/E/37984/03/2024</t>
  </si>
  <si>
    <t>KHI/HO/D/MO/PD COMP/E/41653/05/2024</t>
  </si>
  <si>
    <t>KHI/HO/D/MO/PD COMP/E/42608/06/2024</t>
  </si>
  <si>
    <t>KHI/HO/D/MO/PD COMP/E/43827/07/2024</t>
  </si>
  <si>
    <t>KHI/HO/D/MO/PD COMP/E/44711/08/2024</t>
  </si>
  <si>
    <t>KHI/HO/D/MO/PD COMP/E/46015/09/2024</t>
  </si>
  <si>
    <t>KHI/HO/D/MO/PD COMP/E/47902/10/2024</t>
  </si>
  <si>
    <t>KHI/HO/D/MO/PD COMP/E/48992/11/2024</t>
  </si>
  <si>
    <t>KHI/HO/D/MO/PD COMP/E/50528/12/2024</t>
  </si>
  <si>
    <t>KHI/HO/D/MO/PD COMP/P/81651/01/2024</t>
  </si>
  <si>
    <t>KHI/HO/D/MO/PD COMP/E/37105/02/2024</t>
  </si>
  <si>
    <t>KHI/HO/D/MO/PD COMP/E/37111/02/2024</t>
  </si>
  <si>
    <t>KHI/HO/D/MO/PD COMP/E/40696/04/2024</t>
  </si>
  <si>
    <t>KHI/HO/D/MO/PD COMP/E/41654/05/2024</t>
  </si>
  <si>
    <t>KHI/HO/D/MO/PD COMP/E/43828/07/2024</t>
  </si>
  <si>
    <t>KHI/HO/D/MO/PD COMP/E/44775/08/2024</t>
  </si>
  <si>
    <t>KHI/HO/D/MO/PD COMP/E/46016/09/2024</t>
  </si>
  <si>
    <t>KHI/HO/D/MO/PD COMP/E/47927/10/2024</t>
  </si>
  <si>
    <t>KHI/HO/D/MO/PD COMP/E/49054/11/2024</t>
  </si>
  <si>
    <t>KHI/HO/D/MO/PD COMP/E/50151/12/2024</t>
  </si>
  <si>
    <t>KHI/HO/D/MO/PD COMP/E/50529/12/2024</t>
  </si>
  <si>
    <t>KHI/HO/D/MO/PD COMP/P/81773/01/2024</t>
  </si>
  <si>
    <t>KHI/HO/D/MO/PD COMP/E/42723/06/2024</t>
  </si>
  <si>
    <t>KHI/HO/D/MO/PD COMP/E/42724/06/2024</t>
  </si>
  <si>
    <t>KHI/HO/D/MO/PD COMP/E/43881/07/2024</t>
  </si>
  <si>
    <t>KHI/HO/D/MO/PD COMP/E/59184/03/2025</t>
  </si>
  <si>
    <t>KHI/HO/D/MO/PD COMP/P/81949/01/2024</t>
  </si>
  <si>
    <t>KHI/HO/D/MO/PD COMP/E/47994/10/2024</t>
  </si>
  <si>
    <t>KHI/HO/D/MO/PD COMP/E/49108/11/2024</t>
  </si>
  <si>
    <t>KHI/HO/D/MO/PD COMP/E/50210/12/2024</t>
  </si>
  <si>
    <t>KHI/HO/D/MO/PD COMP/E/59231/03/2025</t>
  </si>
  <si>
    <t>KHI/HO/D/MO/PD COMP/P/82032/01/2024</t>
  </si>
  <si>
    <t>KHI/HO/D/MO/PD COMP/E/40870/04/2024</t>
  </si>
  <si>
    <t>KHI/HO/D/MO/PD COMP/E/41752/05/2024</t>
  </si>
  <si>
    <t>KHI/HO/D/MO/PD COMP/E/44897/08/2024</t>
  </si>
  <si>
    <t>KHI/HO/D/MO/PD COMP/E/50530/12/2024</t>
  </si>
  <si>
    <t>KHI/HO/D/MO/PD COMP/P/82033/01/2024</t>
  </si>
  <si>
    <t>KHI/HO/D/MO/PD COMP/E/46198/09/2024</t>
  </si>
  <si>
    <t>KHI/HO/D/MO/PD COMP/E/47995/10/2024</t>
  </si>
  <si>
    <t>KHI/HO/D/MO/PD COMP/E/49144/11/2024</t>
  </si>
  <si>
    <t>KHI/HO/D/MO/PD COMP/E/50273/12/2024</t>
  </si>
  <si>
    <t>KHI/HO/D/MO/PD COMP/E/50531/12/2024</t>
  </si>
  <si>
    <t>KHI/HO/D/MO/PD COMP/P/82038/01/2024</t>
  </si>
  <si>
    <t>KHI/HO/D/MO/PD COMP/E/42731/06/2024</t>
  </si>
  <si>
    <t>KHI/HO/D/MO/PD COMP/E/48834/10/2024</t>
  </si>
  <si>
    <t>KHI/HO/D/MO/PD COMP/P/82039/01/2024</t>
  </si>
  <si>
    <t>KHI/HO/D/MO/PD COMP/E/50318/12/2024</t>
  </si>
  <si>
    <t>KHI/HO/D/MO/PD COMP/E/50532/12/2024</t>
  </si>
  <si>
    <t>KHI/HO/D/MO/PD COMP/P/82341/01/2024</t>
  </si>
  <si>
    <t>KHI/HO/D/MO/PD COMP/E/38310/03/2024</t>
  </si>
  <si>
    <t>KHI/HO/D/MO/PD COMP/E/41037/04/2024</t>
  </si>
  <si>
    <t>KHI/HO/D/MO/PD COMP/E/41954/05/2024</t>
  </si>
  <si>
    <t>KHI/HO/D/MO/PD COMP/E/42909/06/2024</t>
  </si>
  <si>
    <t>KHI/HO/D/MO/PD COMP/E/44162/07/2024</t>
  </si>
  <si>
    <t>KHI/HO/D/MO/PD COMP/E/45265/08/2024</t>
  </si>
  <si>
    <t>KHI/HO/D/MO/PD COMP/E/46307/09/2024</t>
  </si>
  <si>
    <t>KHI/HO/D/MO/PD COMP/E/48176/10/2024</t>
  </si>
  <si>
    <t>KHI/HO/D/MO/PD COMP/E/48812/10/2024</t>
  </si>
  <si>
    <t>KHI/HO/D/MO/PD COMP/P/82352/01/2024</t>
  </si>
  <si>
    <t>KHI/HO/D/MO/PD COMP/E/38092/03/2024</t>
  </si>
  <si>
    <t>KHI/HO/D/MO/PD COMP/E/40892/04/2024</t>
  </si>
  <si>
    <t>KHI/HO/D/MO/PD COMP/E/41776/05/2024</t>
  </si>
  <si>
    <t>KHI/HO/D/MO/PD COMP/E/42734/06/2024</t>
  </si>
  <si>
    <t>KHI/HO/D/MO/PD COMP/E/44036/07/2024</t>
  </si>
  <si>
    <t>KHI/HO/D/MO/PD COMP/E/44901/08/2024</t>
  </si>
  <si>
    <t>KHI/HO/D/MO/PD COMP/E/46202/09/2024</t>
  </si>
  <si>
    <t>KHI/HO/D/MO/PD COMP/E/47999/10/2024</t>
  </si>
  <si>
    <t>KHI/HO/D/MO/PD COMP/E/49145/11/2024</t>
  </si>
  <si>
    <t>KHI/HO/D/MO/PD COMP/E/50274/12/2024</t>
  </si>
  <si>
    <t>KHI/HO/D/MO/PD COMP/E/50533/12/2024</t>
  </si>
  <si>
    <t>KHI/HO/D/MO/PD COMP/P/82595/01/2024</t>
  </si>
  <si>
    <t>KHI/HO/D/MO/PD COMP/E/41001/04/2024</t>
  </si>
  <si>
    <t>KHI/HO/D/MO/PD COMP/E/41917/05/2024</t>
  </si>
  <si>
    <t>KHI/HO/D/MO/PD COMP/E/42857/06/2024</t>
  </si>
  <si>
    <t>KHI/HO/D/MO/PD COMP/E/44121/07/2024</t>
  </si>
  <si>
    <t>KHI/HO/D/MO/PD COMP/E/45210/08/2024</t>
  </si>
  <si>
    <t>KHI/HO/D/MO/PD COMP/E/46203/09/2024</t>
  </si>
  <si>
    <t>KHI/HO/D/MO/PD COMP/E/48107/10/2024</t>
  </si>
  <si>
    <t>KHI/HO/D/MO/PD COMP/E/49249/11/2024</t>
  </si>
  <si>
    <t>KHI/HO/D/MO/PD COMP/E/50357/12/2024</t>
  </si>
  <si>
    <t>KHI/HO/D/MO/PD COMP/E/50535/12/2024</t>
  </si>
  <si>
    <t>KHI/HO/D/MO/PD COMP/P/82809/01/2024</t>
  </si>
  <si>
    <t>KHI/HO/D/MO/PD COMP/E/37472/02/2024</t>
  </si>
  <si>
    <t>KHI/HO/D/MO/PD COMP/E/38333/03/2024</t>
  </si>
  <si>
    <t>KHI/HO/D/MO/PD COMP/E/41060/04/2024</t>
  </si>
  <si>
    <t>KHI/HO/D/MO/PD COMP/E/42011/05/2024</t>
  </si>
  <si>
    <t>KHI/HO/D/MO/PD COMP/E/42913/06/2024</t>
  </si>
  <si>
    <t>KHI/HO/D/MO/PD COMP/E/44213/07/2024</t>
  </si>
  <si>
    <t>KHI/HO/D/MO/PD COMP/E/45269/08/2024</t>
  </si>
  <si>
    <t>KHI/HO/D/MO/PD COMP/E/46311/09/2024</t>
  </si>
  <si>
    <t>KHI/HO/D/MO/PD COMP/E/48221/10/2024</t>
  </si>
  <si>
    <t>KHI/HO/D/MO/PD COMP/E/49335/11/2024</t>
  </si>
  <si>
    <t>KHI/HO/D/MO/PD COMP/E/50407/12/2024</t>
  </si>
  <si>
    <t>KHI/HO/D/MO/PD COMP/E/50536/12/2024</t>
  </si>
  <si>
    <t>KHI/HO/D/MO/PD COMP/P/83059/02/2024</t>
  </si>
  <si>
    <t>KHI/HO/D/MO/PD COMP/E/43222/07/2024</t>
  </si>
  <si>
    <t>KHI/HO/D/MO/PD COMP/E/44499/08/2024</t>
  </si>
  <si>
    <t>KHI/HO/D/MO/PD COMP/E/45725/09/2024</t>
  </si>
  <si>
    <t>KHI/HO/D/MO/PD COMP/E/46702/10/2024</t>
  </si>
  <si>
    <t>KHI/HO/D/MO/PD COMP/E/48563/11/2024</t>
  </si>
  <si>
    <t>KHI/HO/D/MO/PD COMP/E/49710/12/2024</t>
  </si>
  <si>
    <t>KHI/HO/D/MO/PD COMP/E/50537/12/2024</t>
  </si>
  <si>
    <t>KHI/HO/D/MO/PD COMP/P/83084/02/2024</t>
  </si>
  <si>
    <t>KHI/HO/D/MO/PD COMP/E/43461/07/2024</t>
  </si>
  <si>
    <t>KHI/HO/D/MO/PD COMP/E/44547/08/2024</t>
  </si>
  <si>
    <t>KHI/HO/D/MO/PD COMP/E/45774/09/2024</t>
  </si>
  <si>
    <t>KHI/HO/D/MO/PD COMP/E/46753/10/2024</t>
  </si>
  <si>
    <t>KHI/HO/D/MO/PD COMP/E/48815/10/2024</t>
  </si>
  <si>
    <t>KHI/HO/D/MO/PD COMP/P/83100/02/2024</t>
  </si>
  <si>
    <t>KHI/HO/D/MO/PD COMP/E/37799/03/2024</t>
  </si>
  <si>
    <t>KHI/HO/D/MO/PD COMP/E/40596/04/2024</t>
  </si>
  <si>
    <t>KHI/HO/D/MO/PD COMP/E/41522/05/2024</t>
  </si>
  <si>
    <t>KHI/HO/D/MO/PD COMP/E/42337/06/2024</t>
  </si>
  <si>
    <t>KHI/HO/D/MO/PD COMP/E/43462/07/2024</t>
  </si>
  <si>
    <t>KHI/HO/D/MO/PD COMP/E/44548/08/2024</t>
  </si>
  <si>
    <t>KHI/HO/D/MO/PD COMP/E/45775/09/2024</t>
  </si>
  <si>
    <t>KHI/HO/D/MO/PD COMP/E/46754/10/2024</t>
  </si>
  <si>
    <t>KHI/HO/D/MO/PD COMP/E/48863/11/2024</t>
  </si>
  <si>
    <t>KHI/HO/D/MO/PD COMP/E/49831/12/2024</t>
  </si>
  <si>
    <t>KHI/HO/D/MO/PD COMP/E/50538/12/2024</t>
  </si>
  <si>
    <t>KHI/HO/D/MO/PD COMP/P/83148/02/2024</t>
  </si>
  <si>
    <t>KHI/HO/D/MO/PD COMP/E/50539/12/2024</t>
  </si>
  <si>
    <t>KHI/HO/D/MO/PD COMP/P/83149/02/2024</t>
  </si>
  <si>
    <t>KHI/HO/D/MO/PD COMP/E/42207/06/2024</t>
  </si>
  <si>
    <t>KHI/HO/D/MO/PD COMP/E/50540/12/2024</t>
  </si>
  <si>
    <t>KHI/HO/D/MO/PD COMP/P/83150/02/2024</t>
  </si>
  <si>
    <t>KHI/HO/D/MO/PD COMP/E/43327/07/2024</t>
  </si>
  <si>
    <t>KHI/HO/D/MO/PD COMP/E/44502/08/2024</t>
  </si>
  <si>
    <t>KHI/HO/D/MO/PD COMP/E/48818/10/2024</t>
  </si>
  <si>
    <t>KHI/HO/D/MO/PD COMP/P/83236/02/2024</t>
  </si>
  <si>
    <t>KHI/HO/D/MO/PD COMP/E/52564/02/2025</t>
  </si>
  <si>
    <t>KHI/HO/D/MO/PD COMP/E/52646/02/2025</t>
  </si>
  <si>
    <t>KHI/HO/D/MO/PD COMP/P/83363/02/2024</t>
  </si>
  <si>
    <t>KHI/HO/D/MO/PD COMP/E/37985/03/2024</t>
  </si>
  <si>
    <t>KHI/HO/D/MO/PD COMP/E/40702/04/2024</t>
  </si>
  <si>
    <t>KHI/HO/D/MO/PD COMP/E/41656/05/2024</t>
  </si>
  <si>
    <t>KHI/HO/D/MO/PD COMP/E/50541/12/2024</t>
  </si>
  <si>
    <t>KHI/HO/D/MO/PD COMP/P/83395/02/2024</t>
  </si>
  <si>
    <t>KHI/HO/D/MO/PD COMP/E/43563/07/2024</t>
  </si>
  <si>
    <t>KHI/HO/D/MO/PD COMP/E/44630/08/2024</t>
  </si>
  <si>
    <t>KHI/HO/D/MO/PD COMP/E/45837/09/2024</t>
  </si>
  <si>
    <t>KHI/HO/D/MO/PD COMP/E/46840/10/2024</t>
  </si>
  <si>
    <t>KHI/HO/D/MO/PD COMP/E/48932/11/2024</t>
  </si>
  <si>
    <t>KHI/HO/D/MO/PD COMP/E/49910/12/2024</t>
  </si>
  <si>
    <t>KHI/HO/D/MO/PD COMP/E/50542/12/2024</t>
  </si>
  <si>
    <t>KHI/HO/D/MO/PD COMP/P/83417/02/2024</t>
  </si>
  <si>
    <t>KHI/HO/D/MO/PD COMP/E/41613/05/2024</t>
  </si>
  <si>
    <t>KHI/HO/D/MO/PD COMP/E/42540/06/2024</t>
  </si>
  <si>
    <t>KHI/HO/D/MO/PD COMP/E/43773/07/2024</t>
  </si>
  <si>
    <t>KHI/HO/D/MO/PD COMP/E/44682/08/2024</t>
  </si>
  <si>
    <t>KHI/HO/D/MO/PD COMP/E/45910/09/2024</t>
  </si>
  <si>
    <t>KHI/HO/D/MO/PD COMP/E/47080/10/2024</t>
  </si>
  <si>
    <t>KHI/HO/D/MO/PD COMP/E/48970/11/2024</t>
  </si>
  <si>
    <t>KHI/HO/D/MO/PD COMP/E/50073/12/2024</t>
  </si>
  <si>
    <t>KHI/HO/D/MO/PD COMP/E/50543/12/2024</t>
  </si>
  <si>
    <t>KHI/HO/D/MO/PD COMP/P/83798/02/2024</t>
  </si>
  <si>
    <t>KHI/HO/D/MO/PD COMP/E/41754/05/2024</t>
  </si>
  <si>
    <t>KHI/HO/D/MO/PD COMP/E/48002/10/2024</t>
  </si>
  <si>
    <t>KHI/HO/D/MO/PD COMP/E/48386/10/2024</t>
  </si>
  <si>
    <t>KHI/HO/D/MO/PD COMP/P/83807/02/2024</t>
  </si>
  <si>
    <t>KHI/HO/D/MO/PD COMP/E/38258/03/2024</t>
  </si>
  <si>
    <t>KHI/HO/D/MO/PD COMP/E/40955/04/2024</t>
  </si>
  <si>
    <t>KHI/HO/D/MO/PD COMP/E/50320/12/2024</t>
  </si>
  <si>
    <t>KHI/HO/D/MO/PD COMP/E/50544/12/2024</t>
  </si>
  <si>
    <t>KHI/HO/D/MO/PD COMP/P/84297/02/2024</t>
  </si>
  <si>
    <t>KHI/HO/D/MO/PD COMP/E/38293/03/2024</t>
  </si>
  <si>
    <t>KHI/HO/D/MO/PD COMP/E/50546/12/2024</t>
  </si>
  <si>
    <t>KHI/HO/D/MO/PD COMP/P/84310/02/2024</t>
  </si>
  <si>
    <t>KHI/HO/D/MO/PD COMP/E/42013/05/2024</t>
  </si>
  <si>
    <t>KHI/HO/D/MO/PD COMP/E/42014/05/2024</t>
  </si>
  <si>
    <t>KHI/HO/D/MO/PD COMP/E/48824/10/2024</t>
  </si>
  <si>
    <t>KHI/HO/D/MO/PD COMP/P/84313/02/2024</t>
  </si>
  <si>
    <t>KHI/HO/D/MO/PD COMP/E/41960/05/2024</t>
  </si>
  <si>
    <t>KHI/HO/D/MO/PD COMP/E/42918/06/2024</t>
  </si>
  <si>
    <t>KHI/HO/D/MO/PD COMP/E/44170/07/2024</t>
  </si>
  <si>
    <t>KHI/HO/D/MO/PD COMP/E/45274/08/2024</t>
  </si>
  <si>
    <t>KHI/HO/D/MO/PD COMP/E/46314/09/2024</t>
  </si>
  <si>
    <t>KHI/HO/D/MO/PD COMP/E/48180/10/2024</t>
  </si>
  <si>
    <t>KHI/HO/D/MO/PD COMP/E/49286/11/2024</t>
  </si>
  <si>
    <t>KHI/HO/D/MO/PD COMP/E/50410/12/2024</t>
  </si>
  <si>
    <t>KHI/HO/D/MO/PD COMP/E/50547/12/2024</t>
  </si>
  <si>
    <t>KHI/HO/D/MO/PD COMP/P/84320/02/2024</t>
  </si>
  <si>
    <t>KHI/HO/D/MO/PD COMP/E/41961/05/2024</t>
  </si>
  <si>
    <t>KHI/HO/D/MO/PD COMP/E/42919/06/2024</t>
  </si>
  <si>
    <t>KHI/HO/D/MO/PD COMP/E/44171/07/2024</t>
  </si>
  <si>
    <t>KHI/HO/D/MO/PD COMP/E/45275/08/2024</t>
  </si>
  <si>
    <t>KHI/HO/D/MO/PD COMP/E/46315/09/2024</t>
  </si>
  <si>
    <t>KHI/HO/D/MO/PD COMP/E/48181/10/2024</t>
  </si>
  <si>
    <t>KHI/HO/D/MO/PD COMP/E/49287/11/2024</t>
  </si>
  <si>
    <t>KHI/HO/D/MO/PD COMP/E/50411/12/2024</t>
  </si>
  <si>
    <t>KHI/HO/D/MO/PD COMP/E/50548/12/2024</t>
  </si>
  <si>
    <t>KHI/HO/D/MO/PD COMP/P/84332/02/2024</t>
  </si>
  <si>
    <t>KHI/HO/D/MO/PD COMP/E/48153/10/2024</t>
  </si>
  <si>
    <t>KHI/HO/D/MO/PD COMP/E/49253/11/2024</t>
  </si>
  <si>
    <t>KHI/HO/D/MO/PD COMP/E/50361/12/2024</t>
  </si>
  <si>
    <t>KHI/HO/D/MO/PD COMP/E/51815/01/2025</t>
  </si>
  <si>
    <t>KHI/HO/D/MO/PD COMP/E/52734/02/2025</t>
  </si>
  <si>
    <t>KHI/HO/D/MO/PD COMP/E/59202/03/2025</t>
  </si>
  <si>
    <t>KHI/HO/D/MO/PD COMP/P/84422/02/2024</t>
  </si>
  <si>
    <t>KHI/HO/D/MO/PD COMP/E/38443/03/2024</t>
  </si>
  <si>
    <t>KHI/HO/D/MO/PD COMP/E/41169/04/2024</t>
  </si>
  <si>
    <t>KHI/HO/D/MO/PD COMP/E/42073/05/2024</t>
  </si>
  <si>
    <t>KHI/HO/D/MO/PD COMP/E/43062/06/2024</t>
  </si>
  <si>
    <t>KHI/HO/D/MO/PD COMP/E/50550/12/2024</t>
  </si>
  <si>
    <t>KHI/HO/D/MO/PD COMP/P/84474/02/2024</t>
  </si>
  <si>
    <t>KHI/HO/D/MO/PD COMP/E/38409/03/2024</t>
  </si>
  <si>
    <t>KHI/HO/D/MO/PD COMP/E/41143/04/2024</t>
  </si>
  <si>
    <t>KHI/HO/D/MO/PD COMP/E/42074/05/2024</t>
  </si>
  <si>
    <t>KHI/HO/D/MO/PD COMP/E/42982/06/2024</t>
  </si>
  <si>
    <t>KHI/HO/D/MO/PD COMP/E/44275/07/2024</t>
  </si>
  <si>
    <t>KHI/HO/D/MO/PD COMP/E/45440/08/2024</t>
  </si>
  <si>
    <t>KHI/HO/D/MO/PD COMP/E/48806/10/2024</t>
  </si>
  <si>
    <t>KHI/HO/D/MO/PD COMP/P/84536/02/2024</t>
  </si>
  <si>
    <t>KHI/HO/D/MO/PD COMP/E/38410/03/2024</t>
  </si>
  <si>
    <t>KHI/HO/D/MO/PD COMP/E/41144/04/2024</t>
  </si>
  <si>
    <t>KHI/HO/D/MO/PD COMP/E/42075/05/2024</t>
  </si>
  <si>
    <t>KHI/HO/D/MO/PD COMP/E/42983/06/2024</t>
  </si>
  <si>
    <t>KHI/HO/D/MO/PD COMP/E/44276/07/2024</t>
  </si>
  <si>
    <t>KHI/HO/D/MO/PD COMP/E/45441/08/2024</t>
  </si>
  <si>
    <t>KHI/HO/D/MO/PD COMP/E/46363/10/2024</t>
  </si>
  <si>
    <t>KHI/HO/D/MO/PD COMP/E/48414/10/2024</t>
  </si>
  <si>
    <t>KHI/HO/D/MO/PD COMP/E/49512/11/2024</t>
  </si>
  <si>
    <t>KHI/HO/D/MO/PD COMP/E/50551/12/2024</t>
  </si>
  <si>
    <t>KHI/HO/D/MO/PD COMP/P/84759/02/2024</t>
  </si>
  <si>
    <t>KHI/HO/D/MO/PD COMP/E/40976/04/2024</t>
  </si>
  <si>
    <t>KHI/HO/D/MO/PD COMP/E/50325/12/2024</t>
  </si>
  <si>
    <t>KHI/HO/D/MO/PD COMP/E/50552/12/2024</t>
  </si>
  <si>
    <t>KHI/HO/D/MO/PD COMP/P/84811/03/2024</t>
  </si>
  <si>
    <t>KHI/HO/D/MO/PD COMP/E/38523/04/2024</t>
  </si>
  <si>
    <t>KHI/HO/D/MO/PD COMP/E/41216/04/2024</t>
  </si>
  <si>
    <t>KHI/HO/D/MO/PD COMP/E/42147/05/2024</t>
  </si>
  <si>
    <t>KHI/HO/D/MO/PD COMP/E/43100/07/2024</t>
  </si>
  <si>
    <t>KHI/HO/D/MO/PD COMP/E/44358/08/2024</t>
  </si>
  <si>
    <t>KHI/HO/D/MO/PD COMP/E/45614/09/2024</t>
  </si>
  <si>
    <t>KHI/HO/D/MO/PD COMP/E/46513/10/2024</t>
  </si>
  <si>
    <t>KHI/HO/D/MO/PD COMP/E/48511/11/2024</t>
  </si>
  <si>
    <t>KHI/HO/D/MO/PD COMP/E/49607/12/2024</t>
  </si>
  <si>
    <t>KHI/HO/D/MO/PD COMP/E/50554/12/2024</t>
  </si>
  <si>
    <t>KHI/HO/D/MO/PD COMP/P/85404/03/2024</t>
  </si>
  <si>
    <t>KHI/HO/D/MO/PD COMP/E/42646/06/2024</t>
  </si>
  <si>
    <t>KHI/HO/D/MO/PD COMP/E/48807/10/2024</t>
  </si>
  <si>
    <t>KHI/HO/D/MO/PD COMP/P/85426/03/2024</t>
  </si>
  <si>
    <t>KHI/HO/D/MO/PD COMP/E/46137/09/2024</t>
  </si>
  <si>
    <t>KHI/HO/D/MO/PD COMP/P/85529/03/2024</t>
  </si>
  <si>
    <t>KHI/HO/D/MO/PD COMP/E/48010/10/2024</t>
  </si>
  <si>
    <t>KHI/HO/D/MO/PD COMP/E/49112/11/2024</t>
  </si>
  <si>
    <t>KHI/HO/D/MO/PD COMP/E/50213/12/2024</t>
  </si>
  <si>
    <t>KHI/HO/D/MO/PD COMP/E/51668/01/2025</t>
  </si>
  <si>
    <t>KHI/HO/D/MO/PD COMP/E/52396/02/2025</t>
  </si>
  <si>
    <t>KHI/HO/D/MO/PD COMP/E/53501/03/2025</t>
  </si>
  <si>
    <t>KHI/HO/D/MO/PD COMP/E/59234/03/2025</t>
  </si>
  <si>
    <t>KHI/HO/D/MO/PD COMP/P/85659/03/2024</t>
  </si>
  <si>
    <t>KHI/HO/D/MO/PD COMP/E/41735/05/2024</t>
  </si>
  <si>
    <t>KHI/HO/D/MO/PD COMP/E/48822/10/2024</t>
  </si>
  <si>
    <t>KHI/HO/D/MO/PD COMP/P/85951/03/2024</t>
  </si>
  <si>
    <t>KHI/HO/D/MO/PD COMP/E/40977/04/2024</t>
  </si>
  <si>
    <t>KHI/HO/D/MO/PD COMP/E/41865/05/2024</t>
  </si>
  <si>
    <t>KHI/HO/D/MO/PD COMP/E/50555/12/2024</t>
  </si>
  <si>
    <t>KHI/HO/D/MO/PD COMP/P/85957/03/2024</t>
  </si>
  <si>
    <t>KHI/HO/D/MO/PD COMP/E/44952/08/2024</t>
  </si>
  <si>
    <t>KHI/HO/D/MO/PD COMP/E/48827/10/2024</t>
  </si>
  <si>
    <t>KHI/HO/D/MO/PD COMP/P/86001/03/2024</t>
  </si>
  <si>
    <t>KHI/HO/D/MO/PD COMP/E/41867/05/2024</t>
  </si>
  <si>
    <t>KHI/HO/D/MO/PD COMP/E/48015/10/2024</t>
  </si>
  <si>
    <t>KHI/HO/D/MO/PD COMP/E/49229/11/2024</t>
  </si>
  <si>
    <t>KHI/HO/D/MO/PD COMP/E/50326/12/2024</t>
  </si>
  <si>
    <t>KHI/HO/D/MO/PD COMP/E/51777/01/2025</t>
  </si>
  <si>
    <t>KHI/HO/D/MO/PD COMP/E/52573/02/2025</t>
  </si>
  <si>
    <t>KHI/HO/D/MO/PD COMP/E/59176/03/2025</t>
  </si>
  <si>
    <t>KHI/HO/D/MO/PD COMP/P/86058/03/2024</t>
  </si>
  <si>
    <t>KHI/HO/D/MO/PD COMP/E/49114/11/2024</t>
  </si>
  <si>
    <t>KHI/HO/D/MO/PD COMP/P/86059/03/2024</t>
  </si>
  <si>
    <t>KHI/HO/D/MO/PD COMP/E/41005/04/2024</t>
  </si>
  <si>
    <t>KHI/HO/D/MO/PD COMP/E/41919/05/2024</t>
  </si>
  <si>
    <t>KHI/HO/D/MO/PD COMP/E/42861/06/2024</t>
  </si>
  <si>
    <t>KHI/HO/D/MO/PD COMP/E/44129/07/2024</t>
  </si>
  <si>
    <t>KHI/HO/D/MO/PD COMP/E/45215/08/2024</t>
  </si>
  <si>
    <t>KHI/HO/D/MO/PD COMP/E/46217/09/2024</t>
  </si>
  <si>
    <t>KHI/HO/D/MO/PD COMP/E/48112/10/2024</t>
  </si>
  <si>
    <t>KHI/HO/D/MO/PD COMP/E/49254/11/2024</t>
  </si>
  <si>
    <t>KHI/HO/D/MO/PD COMP/E/50362/12/2024</t>
  </si>
  <si>
    <t>KHI/HO/D/MO/PD COMP/E/50556/12/2024</t>
  </si>
  <si>
    <t>KHI/HO/D/MO/PD COMP/P/86224/03/2024</t>
  </si>
  <si>
    <t>KHI/HO/D/MO/PD COMP/E/50095/12/2024</t>
  </si>
  <si>
    <t>KHI/HO/D/MO/PD COMP/E/50557/12/2024</t>
  </si>
  <si>
    <t>KHI/HO/D/MO/PD COMP/P/86227/03/2024</t>
  </si>
  <si>
    <t>KHI/HO/D/MO/PD COMP/E/41102/04/2024</t>
  </si>
  <si>
    <t>KHI/HO/D/MO/PD COMP/E/42017/05/2024</t>
  </si>
  <si>
    <t>KHI/HO/D/MO/PD COMP/E/42946/06/2024</t>
  </si>
  <si>
    <t>KHI/HO/D/MO/PD COMP/E/44217/07/2024</t>
  </si>
  <si>
    <t>KHI/HO/D/MO/PD COMP/E/45444/08/2024</t>
  </si>
  <si>
    <t>KHI/HO/D/MO/PD COMP/E/46365/10/2024</t>
  </si>
  <si>
    <t>KHI/HO/D/MO/PD COMP/E/48366/10/2024</t>
  </si>
  <si>
    <t>KHI/HO/D/MO/PD COMP/E/49339/11/2024</t>
  </si>
  <si>
    <t>KHI/HO/D/MO/PD COMP/E/50443/12/2024</t>
  </si>
  <si>
    <t>KHI/HO/D/MO/PD COMP/E/50558/12/2024</t>
  </si>
  <si>
    <t>KHI/HO/D/MO/PD COMP/P/86281/03/2024</t>
  </si>
  <si>
    <t>KHI/HO/D/MO/PD COMP/E/41171/04/2024</t>
  </si>
  <si>
    <t>KHI/HO/D/MO/PD COMP/E/42078/05/2024</t>
  </si>
  <si>
    <t>KHI/HO/D/MO/PD COMP/E/43103/07/2024</t>
  </si>
  <si>
    <t>KHI/HO/D/MO/PD COMP/E/44279/07/2024</t>
  </si>
  <si>
    <t>KHI/HO/D/MO/PD COMP/E/45528/09/2024</t>
  </si>
  <si>
    <t>KHI/HO/D/MO/PD COMP/E/46516/10/2024</t>
  </si>
  <si>
    <t>KHI/HO/D/MO/PD COMP/E/48487/11/2024</t>
  </si>
  <si>
    <t>KHI/HO/D/MO/PD COMP/E/49569/12/2024</t>
  </si>
  <si>
    <t>KHI/HO/D/MO/PD COMP/E/50559/12/2024</t>
  </si>
  <si>
    <t>KHI/HO/D/MO/PD COMP/P/86282/03/2024</t>
  </si>
  <si>
    <t>KHI/HO/D/MO/PD COMP/E/51974/02/2025</t>
  </si>
  <si>
    <t>KHI/HO/D/MO/PD COMP/E/51975/02/2025</t>
  </si>
  <si>
    <t>KHI/HO/D/MO/PD COMP/E/51976/02/2025</t>
  </si>
  <si>
    <t>KHI/HO/D/MO/PD COMP/E/51977/02/2025</t>
  </si>
  <si>
    <t>KHI/HO/D/MO/PD COMP/E/51978/02/2025</t>
  </si>
  <si>
    <t>KHI/HO/D/MO/PD COMP/E/51979/02/2025</t>
  </si>
  <si>
    <t>KHI/HO/D/MO/PD COMP/E/51980/02/2025</t>
  </si>
  <si>
    <t>KHI/HO/D/MO/PD COMP/E/51981/02/2025</t>
  </si>
  <si>
    <t>KHI/HO/D/MO/PD COMP/E/52080/02/2025</t>
  </si>
  <si>
    <t>KHI/HO/D/MO/PD COMP/E/52081/02/2025</t>
  </si>
  <si>
    <t>KHI/HO/D/MO/PD COMP/E/59221/03/2025</t>
  </si>
  <si>
    <t>KHI/HO/D/MO/PD COMP/P/86465/04/2024</t>
  </si>
  <si>
    <t>KHI/HO/D/MO/PD COMP/E/41174/04/2024</t>
  </si>
  <si>
    <t>KHI/HO/D/MO/PD COMP/E/42081/05/2024</t>
  </si>
  <si>
    <t>KHI/HO/D/MO/PD COMP/E/43064/06/2024</t>
  </si>
  <si>
    <t>KHI/HO/D/MO/PD COMP/E/44281/07/2024</t>
  </si>
  <si>
    <t>KHI/HO/D/MO/PD COMP/E/45445/08/2024</t>
  </si>
  <si>
    <t>KHI/HO/D/MO/PD COMP/E/46518/10/2024</t>
  </si>
  <si>
    <t>KHI/HO/D/MO/PD COMP/E/48416/10/2024</t>
  </si>
  <si>
    <t>KHI/HO/D/MO/PD COMP/E/49551/11/2024</t>
  </si>
  <si>
    <t>KHI/HO/D/MO/PD COMP/E/50560/12/2024</t>
  </si>
  <si>
    <t>KHI/HO/D/MO/PD COMP/P/86543/04/2024</t>
  </si>
  <si>
    <t>KHI/HO/D/MO/PD COMP/E/42128/05/2024</t>
  </si>
  <si>
    <t>KHI/HO/D/MO/PD COMP/E/43107/07/2024</t>
  </si>
  <si>
    <t>KHI/HO/D/MO/PD COMP/E/44317/07/2024</t>
  </si>
  <si>
    <t>KHI/HO/D/MO/PD COMP/E/45532/09/2024</t>
  </si>
  <si>
    <t>KHI/HO/D/MO/PD COMP/E/46522/10/2024</t>
  </si>
  <si>
    <t>KHI/HO/D/MO/PD COMP/E/50561/12/2024</t>
  </si>
  <si>
    <t>KHI/HO/D/MO/PD COMP/P/86712/04/2024</t>
  </si>
  <si>
    <t>KHI/HO/D/MO/PD COMP/E/42209/06/2024</t>
  </si>
  <si>
    <t>KHI/HO/D/MO/PD COMP/E/43155/07/2024</t>
  </si>
  <si>
    <t>KHI/HO/D/MO/PD COMP/E/44361/08/2024</t>
  </si>
  <si>
    <t>KHI/HO/D/MO/PD COMP/E/45618/09/2024</t>
  </si>
  <si>
    <t>KHI/HO/D/MO/PD COMP/E/59212/03/2025</t>
  </si>
  <si>
    <t>KHI/HO/D/MO/PD COMP/P/86767/04/2024</t>
  </si>
  <si>
    <t>KHI/HO/D/MO/PD COMP/E/41222/04/2024</t>
  </si>
  <si>
    <t>KHI/HO/D/MO/PD COMP/E/42149/05/2024</t>
  </si>
  <si>
    <t>KHI/HO/D/MO/PD COMP/E/43108/07/2024</t>
  </si>
  <si>
    <t>KHI/HO/D/MO/PD COMP/E/44362/08/2024</t>
  </si>
  <si>
    <t>KHI/HO/D/MO/PD COMP/E/45620/09/2024</t>
  </si>
  <si>
    <t>KHI/HO/D/MO/PD COMP/E/46523/10/2024</t>
  </si>
  <si>
    <t>KHI/HO/D/MO/PD COMP/E/48513/11/2024</t>
  </si>
  <si>
    <t>KHI/HO/D/MO/PD COMP/E/49612/12/2024</t>
  </si>
  <si>
    <t>KHI/HO/D/MO/PD COMP/E/50562/12/2024</t>
  </si>
  <si>
    <t>KHI/HO/D/MO/PD COMP/P/86772/04/2024</t>
  </si>
  <si>
    <t>KHI/HO/D/MO/PD COMP/E/41224/04/2024</t>
  </si>
  <si>
    <t>KHI/HO/D/MO/PD COMP/E/42150/05/2024</t>
  </si>
  <si>
    <t>KHI/HO/D/MO/PD COMP/E/43110/07/2024</t>
  </si>
  <si>
    <t>KHI/HO/D/MO/PD COMP/E/44363/08/2024</t>
  </si>
  <si>
    <t>KHI/HO/D/MO/PD COMP/E/45621/09/2024</t>
  </si>
  <si>
    <t>KHI/HO/D/MO/PD COMP/E/46524/10/2024</t>
  </si>
  <si>
    <t>KHI/HO/D/MO/PD COMP/E/48514/11/2024</t>
  </si>
  <si>
    <t>KHI/HO/D/MO/PD COMP/E/49614/12/2024</t>
  </si>
  <si>
    <t>KHI/HO/D/MO/PD COMP/E/50564/12/2024</t>
  </si>
  <si>
    <t>KHI/HO/D/MO/PD COMP/P/86784/04/2024</t>
  </si>
  <si>
    <t>KHI/HO/D/MO/PD COMP/E/41541/05/2024</t>
  </si>
  <si>
    <t>KHI/HO/D/MO/PD COMP/E/43330/07/2024</t>
  </si>
  <si>
    <t>KHI/HO/D/MO/PD COMP/E/43331/07/2024</t>
  </si>
  <si>
    <t>KHI/HO/D/MO/PD COMP/E/59175/03/2025</t>
  </si>
  <si>
    <t>KHI/HO/D/MO/PD COMP/P/86903/04/2024</t>
  </si>
  <si>
    <t>KHI/HO/D/MO/PD COMP/E/44552/08/2024</t>
  </si>
  <si>
    <t>KHI/HO/D/MO/PD COMP/E/45779/09/2024</t>
  </si>
  <si>
    <t>KHI/HO/D/MO/PD COMP/E/46758/10/2024</t>
  </si>
  <si>
    <t>KHI/HO/D/MO/PD COMP/E/48872/11/2024</t>
  </si>
  <si>
    <t>KHI/HO/D/MO/PD COMP/E/49835/12/2024</t>
  </si>
  <si>
    <t>KHI/HO/D/MO/PD COMP/E/50565/12/2024</t>
  </si>
  <si>
    <t>KHI/HO/D/MO/PD COMP/P/86908/04/2024</t>
  </si>
  <si>
    <t>KHI/HO/D/MO/PD COMP/E/46712/10/2024</t>
  </si>
  <si>
    <t>KHI/HO/D/MO/PD COMP/E/48653/11/2024</t>
  </si>
  <si>
    <t>KHI/HO/D/MO/PD COMP/E/49782/12/2024</t>
  </si>
  <si>
    <t>KHI/HO/D/MO/PD COMP/E/50835/01/2025</t>
  </si>
  <si>
    <t>KHI/HO/D/MO/PD COMP/E/52085/02/2025</t>
  </si>
  <si>
    <t>KHI/HO/D/MO/PD COMP/E/52888/03/2025</t>
  </si>
  <si>
    <t>KHI/HO/D/MO/PD COMP/E/59222/03/2025</t>
  </si>
  <si>
    <t>KHI/HO/D/MO/PD COMP/P/86988/04/2024</t>
  </si>
  <si>
    <t>KHI/HO/D/MO/PD COMP/E/41550/05/2024</t>
  </si>
  <si>
    <t>KHI/HO/D/MO/PD COMP/E/42292/06/2024</t>
  </si>
  <si>
    <t>KHI/HO/D/MO/PD COMP/E/43333/07/2024</t>
  </si>
  <si>
    <t>KHI/HO/D/MO/PD COMP/E/50566/12/2024</t>
  </si>
  <si>
    <t>KHI/HO/D/MO/PD COMP/P/86993/04/2024</t>
  </si>
  <si>
    <t>KHI/HO/D/MO/PD COMP/E/41551/05/2024</t>
  </si>
  <si>
    <t>KHI/HO/D/MO/PD COMP/E/44582/08/2024</t>
  </si>
  <si>
    <t>KHI/HO/D/MO/PD COMP/E/45841/09/2024</t>
  </si>
  <si>
    <t>KHI/HO/D/MO/PD COMP/E/47087/10/2024</t>
  </si>
  <si>
    <t>KHI/HO/D/MO/PD COMP/E/50567/12/2024</t>
  </si>
  <si>
    <t>KHI/HO/D/MO/PD COMP/P/87034/04/2024</t>
  </si>
  <si>
    <t>KHI/HO/D/MO/PD COMP/E/52889/03/2025</t>
  </si>
  <si>
    <t>KHI/HO/D/MO/PD COMP/E/59225/03/2025</t>
  </si>
  <si>
    <t>KHI/HO/D/MO/PD COMP/P/87177/04/2024</t>
  </si>
  <si>
    <t>KHI/HO/D/MO/PD COMP/E/41617/05/2024</t>
  </si>
  <si>
    <t>KHI/HO/D/MO/PD COMP/E/42541/06/2024</t>
  </si>
  <si>
    <t>KHI/HO/D/MO/PD COMP/E/43777/07/2024</t>
  </si>
  <si>
    <t>KHI/HO/D/MO/PD COMP/E/44687/08/2024</t>
  </si>
  <si>
    <t>KHI/HO/D/MO/PD COMP/E/45915/09/2024</t>
  </si>
  <si>
    <t>KHI/HO/D/MO/PD COMP/E/47088/10/2024</t>
  </si>
  <si>
    <t>KHI/HO/D/MO/PD COMP/E/48971/11/2024</t>
  </si>
  <si>
    <t>KHI/HO/D/MO/PD COMP/E/50076/12/2024</t>
  </si>
  <si>
    <t>KHI/HO/D/MO/PD COMP/E/50568/12/2024</t>
  </si>
  <si>
    <t>KHI/HO/D/MO/PD COMP/P/87192/04/2024</t>
  </si>
  <si>
    <t>KHI/HO/D/MO/PD COMP/E/42295/06/2024</t>
  </si>
  <si>
    <t>KHI/HO/D/MO/PD COMP/E/44511/08/2024</t>
  </si>
  <si>
    <t>KHI/HO/D/MO/PD COMP/E/45737/09/2024</t>
  </si>
  <si>
    <t>KHI/HO/D/MO/PD COMP/E/46715/10/2024</t>
  </si>
  <si>
    <t>KHI/HO/D/MO/PD COMP/E/48572/11/2024</t>
  </si>
  <si>
    <t>KHI/HO/D/MO/PD COMP/E/50569/12/2024</t>
  </si>
  <si>
    <t>KHI/HO/D/MO/PD COMP/P/87245/04/2024</t>
  </si>
  <si>
    <t>KHI/HO/D/MO/PD COMP/E/41757/05/2024</t>
  </si>
  <si>
    <t>KHI/HO/D/MO/PD COMP/E/42752/06/2024</t>
  </si>
  <si>
    <t>KHI/HO/D/MO/PD COMP/E/43961/07/2024</t>
  </si>
  <si>
    <t>KHI/HO/D/MO/PD COMP/E/44861/08/2024</t>
  </si>
  <si>
    <t>KHI/HO/D/MO/PD COMP/E/46106/09/2024</t>
  </si>
  <si>
    <t>KHI/HO/D/MO/PD COMP/E/48023/10/2024</t>
  </si>
  <si>
    <t>KHI/HO/D/MO/PD COMP/E/49118/11/2024</t>
  </si>
  <si>
    <t>KHI/HO/D/MO/PD COMP/E/50249/12/2024</t>
  </si>
  <si>
    <t>KHI/HO/D/MO/PD COMP/E/50570/12/2024</t>
  </si>
  <si>
    <t>KHI/HO/D/MO/PD COMP/P/87329/04/2024</t>
  </si>
  <si>
    <t>KHI/HO/D/MO/PD COMP/E/50616/12/2024</t>
  </si>
  <si>
    <t>KHI/HO/D/MO/PD COMP/E/51874/01/2025</t>
  </si>
  <si>
    <t>KHI/HO/D/MO/PD COMP/E/52764/02/2025</t>
  </si>
  <si>
    <t>KHI/HO/D/MO/PD COMP/E/59007/03/2025</t>
  </si>
  <si>
    <t>KHI/HO/D/MO/PD COMP/E/59228/03/2025</t>
  </si>
  <si>
    <t>KHI/HO/D/MO/PD COMP/P/87330/04/2024</t>
  </si>
  <si>
    <t>KHI/HO/D/MO/PD COMP/E/41287/05/2024</t>
  </si>
  <si>
    <t>KHI/HO/D/MO/PD COMP/E/48801/10/2024</t>
  </si>
  <si>
    <t>KHI/HO/D/MO/PD COMP/P/87332/04/2024</t>
  </si>
  <si>
    <t>KHI/HO/D/MO/PD COMP/E/41758/05/2024</t>
  </si>
  <si>
    <t>KHI/HO/D/MO/PD COMP/E/42754/06/2024</t>
  </si>
  <si>
    <t>KHI/HO/D/MO/PD COMP/E/43963/07/2024</t>
  </si>
  <si>
    <t>KHI/HO/D/MO/PD COMP/E/44862/08/2024</t>
  </si>
  <si>
    <t>KHI/HO/D/MO/PD COMP/E/46107/09/2024</t>
  </si>
  <si>
    <t>KHI/HO/D/MO/PD COMP/E/48025/10/2024</t>
  </si>
  <si>
    <t>KHI/HO/D/MO/PD COMP/E/48810/10/2024</t>
  </si>
  <si>
    <t>KHI/HO/D/MO/PD COMP/P/87374/04/2024</t>
  </si>
  <si>
    <t>KHI/HO/D/MO/PD COMP/E/41759/05/2024</t>
  </si>
  <si>
    <t>KHI/HO/D/MO/PD COMP/E/42755/06/2024</t>
  </si>
  <si>
    <t>KHI/HO/D/MO/PD COMP/E/43964/07/2024</t>
  </si>
  <si>
    <t>KHI/HO/D/MO/PD COMP/E/44863/08/2024</t>
  </si>
  <si>
    <t>KHI/HO/D/MO/PD COMP/E/46108/09/2024</t>
  </si>
  <si>
    <t>KHI/HO/D/MO/PD COMP/E/48026/10/2024</t>
  </si>
  <si>
    <t>KHI/HO/D/MO/PD COMP/E/49120/11/2024</t>
  </si>
  <si>
    <t>KHI/HO/D/MO/PD COMP/E/50250/12/2024</t>
  </si>
  <si>
    <t>KHI/HO/D/MO/PD COMP/E/50573/12/2024</t>
  </si>
  <si>
    <t>KHI/HO/D/MO/PD COMP/P/87412/04/2024</t>
  </si>
  <si>
    <t>KHI/HO/D/MO/PD COMP/E/41762/05/2024</t>
  </si>
  <si>
    <t>KHI/HO/D/MO/PD COMP/E/42758/06/2024</t>
  </si>
  <si>
    <t>KHI/HO/D/MO/PD COMP/E/43967/07/2024</t>
  </si>
  <si>
    <t>KHI/HO/D/MO/PD COMP/E/44819/08/2024</t>
  </si>
  <si>
    <t>KHI/HO/D/MO/PD COMP/E/46046/09/2024</t>
  </si>
  <si>
    <t>KHI/HO/D/MO/PD COMP/E/48034/10/2024</t>
  </si>
  <si>
    <t>KHI/HO/D/MO/PD COMP/E/49123/11/2024</t>
  </si>
  <si>
    <t>KHI/HO/D/MO/PD COMP/E/50218/12/2024</t>
  </si>
  <si>
    <t>KHI/HO/D/MO/PD COMP/E/59169/03/2025</t>
  </si>
  <si>
    <t>KHI/HO/D/MO/PD COMP/P/87773/04/2024</t>
  </si>
  <si>
    <t>KHI/HO/D/MO/PD COMP/E/41965/05/2024</t>
  </si>
  <si>
    <t>KHI/HO/D/MO/PD COMP/E/42923/06/2024</t>
  </si>
  <si>
    <t>KHI/HO/D/MO/PD COMP/E/44176/07/2024</t>
  </si>
  <si>
    <t>KHI/HO/D/MO/PD COMP/E/45283/08/2024</t>
  </si>
  <si>
    <t>KHI/HO/D/MO/PD COMP/E/46320/09/2024</t>
  </si>
  <si>
    <t>KHI/HO/D/MO/PD COMP/E/48185/10/2024</t>
  </si>
  <si>
    <t>KHI/HO/D/MO/PD COMP/E/48808/10/2024</t>
  </si>
  <si>
    <t>KHI/HO/D/MO/PD COMP/P/87795/04/2024</t>
  </si>
  <si>
    <t>KHI/HO/D/MO/PD COMP/E/50363/12/2024</t>
  </si>
  <si>
    <t>KHI/HO/D/MO/PD COMP/E/51650/01/2025</t>
  </si>
  <si>
    <t>KHI/HO/D/MO/PD COMP/P/87982/04/2024</t>
  </si>
  <si>
    <t>KHI/HO/D/MO/PD COMP/E/49290/11/2024</t>
  </si>
  <si>
    <t>KHI/HO/D/MO/PD COMP/E/50417/12/2024</t>
  </si>
  <si>
    <t>KHI/HO/D/MO/PD COMP/E/51857/01/2025</t>
  </si>
  <si>
    <t>KHI/HO/D/MO/PD COMP/E/52634/02/2025</t>
  </si>
  <si>
    <t>KHI/HO/D/MO/PD COMP/E/59174/03/2025</t>
  </si>
  <si>
    <t>KHI/HO/D/MO/PD COMP/P/88019/04/2024</t>
  </si>
  <si>
    <t>KHI/HO/D/MO/PD COMP/E/48963/11/2024</t>
  </si>
  <si>
    <t>KHI/HO/D/MO/PD COMP/P/88022/04/2024</t>
  </si>
  <si>
    <t>KHI/HO/D/MO/PD COMP/E/42086/05/2024</t>
  </si>
  <si>
    <t>KHI/HO/D/MO/PD COMP/E/43112/07/2024</t>
  </si>
  <si>
    <t>KHI/HO/D/MO/PD COMP/E/44286/07/2024</t>
  </si>
  <si>
    <t>KHI/HO/D/MO/PD COMP/E/45533/09/2024</t>
  </si>
  <si>
    <t>KHI/HO/D/MO/PD COMP/E/59178/03/2025</t>
  </si>
  <si>
    <t>KHI/HO/D/MO/PD COMP/P/88233/05/2024</t>
  </si>
  <si>
    <t>KHI/HO/D/MO/PD COMP/E/42211/06/2024</t>
  </si>
  <si>
    <t>KHI/HO/D/MO/PD COMP/E/43157/07/2024</t>
  </si>
  <si>
    <t>KHI/HO/D/MO/PD COMP/E/44415/08/2024</t>
  </si>
  <si>
    <t>KHI/HO/D/MO/PD COMP/E/45626/09/2024</t>
  </si>
  <si>
    <t>KHI/HO/D/MO/PD COMP/E/46717/10/2024</t>
  </si>
  <si>
    <t>KHI/HO/D/MO/PD COMP/E/48574/11/2024</t>
  </si>
  <si>
    <t>KHI/HO/D/MO/PD COMP/E/48811/10/2024</t>
  </si>
  <si>
    <t>KHI/HO/D/MO/PD COMP/P/88278/05/2024</t>
  </si>
  <si>
    <t>KHI/HO/D/MO/PD COMP/E/42212/06/2024</t>
  </si>
  <si>
    <t>KHI/HO/D/MO/PD COMP/E/43158/07/2024</t>
  </si>
  <si>
    <t>KHI/HO/D/MO/PD COMP/E/44416/08/2024</t>
  </si>
  <si>
    <t>KHI/HO/D/MO/PD COMP/E/45627/09/2024</t>
  </si>
  <si>
    <t>KHI/HO/D/MO/PD COMP/E/46718/10/2024</t>
  </si>
  <si>
    <t>KHI/HO/D/MO/PD COMP/E/48575/11/2024</t>
  </si>
  <si>
    <t>KHI/HO/D/MO/PD COMP/E/49720/12/2024</t>
  </si>
  <si>
    <t>KHI/HO/D/MO/PD COMP/E/50575/12/2024</t>
  </si>
  <si>
    <t>KHI/HO/D/MO/PD COMP/P/88493/05/2024</t>
  </si>
  <si>
    <t>KHI/HO/D/MO/PD COMP/E/50839/01/2025</t>
  </si>
  <si>
    <t>KHI/HO/D/MO/PD COMP/E/52088/02/2025</t>
  </si>
  <si>
    <t>KHI/HO/D/MO/PD COMP/E/59185/03/2025</t>
  </si>
  <si>
    <t>KHI/HO/D/MO/PD COMP/P/88544/05/2024</t>
  </si>
  <si>
    <t>KHI/HO/D/MO/PD COMP/E/42346/06/2024</t>
  </si>
  <si>
    <t>KHI/HO/D/MO/PD COMP/E/43375/07/2024</t>
  </si>
  <si>
    <t>KHI/HO/D/MO/PD COMP/E/44514/08/2024</t>
  </si>
  <si>
    <t>KHI/HO/D/MO/PD COMP/E/48821/10/2024</t>
  </si>
  <si>
    <t>KHI/HO/D/MO/PD COMP/P/88548/05/2024</t>
  </si>
  <si>
    <t>KHI/HO/D/MO/PD COMP/E/43478/07/2024</t>
  </si>
  <si>
    <t>KHI/HO/D/MO/PD COMP/E/48876/11/2024</t>
  </si>
  <si>
    <t>KHI/HO/D/MO/PD COMP/E/49870/12/2024</t>
  </si>
  <si>
    <t>KHI/HO/D/MO/PD COMP/E/50577/12/2024</t>
  </si>
  <si>
    <t>KHI/HO/D/MO/PD COMP/P/88809/05/2024</t>
  </si>
  <si>
    <t>KHI/HO/D/MO/PD COMP/E/42619/06/2024</t>
  </si>
  <si>
    <t>KHI/HO/D/MO/PD COMP/E/48819/10/2024</t>
  </si>
  <si>
    <t>KHI/HO/D/MO/PD COMP/P/88906/05/2024</t>
  </si>
  <si>
    <t>KHI/HO/D/MO/PD COMP/E/49058/11/2024</t>
  </si>
  <si>
    <t>KHI/HO/D/MO/PD COMP/E/50161/12/2024</t>
  </si>
  <si>
    <t>KHI/HO/D/MO/PD COMP/E/50579/12/2024</t>
  </si>
  <si>
    <t>KHI/HO/D/MO/PD COMP/P/89186/05/2024</t>
  </si>
  <si>
    <t>KHI/HO/D/MO/PD COMP/E/43973/07/2024</t>
  </si>
  <si>
    <t>KHI/HO/D/MO/PD COMP/E/44871/08/2024</t>
  </si>
  <si>
    <t>KHI/HO/D/MO/PD COMP/E/46117/09/2024</t>
  </si>
  <si>
    <t>KHI/HO/D/MO/PD COMP/E/48042/10/2024</t>
  </si>
  <si>
    <t>KHI/HO/D/MO/PD COMP/E/49129/11/2024</t>
  </si>
  <si>
    <t>KHI/HO/D/MO/PD COMP/E/50256/12/2024</t>
  </si>
  <si>
    <t>KHI/HO/D/MO/PD COMP/E/50580/12/2024</t>
  </si>
  <si>
    <t>KHI/HO/D/MO/PD COMP/P/89642/05/2024</t>
  </si>
  <si>
    <t>KHI/HO/D/MO/PD COMP/E/42948/06/2024</t>
  </si>
  <si>
    <t>KHI/HO/D/MO/PD COMP/E/44223/07/2024</t>
  </si>
  <si>
    <t>KHI/HO/D/MO/PD COMP/E/45453/08/2024</t>
  </si>
  <si>
    <t>KHI/HO/D/MO/PD COMP/E/59210/03/2025</t>
  </si>
  <si>
    <t>KHI/HO/D/MO/PD COMP/P/89691/05/2024</t>
  </si>
  <si>
    <t>KHI/HO/D/MO/PD COMP/E/43117/07/2024</t>
  </si>
  <si>
    <t>KHI/HO/D/MO/PD COMP/E/45536/09/2024</t>
  </si>
  <si>
    <t>KHI/HO/D/MO/PD COMP/E/45537/09/2024</t>
  </si>
  <si>
    <t>KHI/HO/D/MO/PD COMP/E/46531/10/2024</t>
  </si>
  <si>
    <t>KHI/HO/D/MO/PD COMP/E/48490/11/2024</t>
  </si>
  <si>
    <t>KHI/HO/D/MO/PD COMP/E/49619/12/2024</t>
  </si>
  <si>
    <t>KHI/HO/D/MO/PD COMP/E/50581/12/2024</t>
  </si>
  <si>
    <t>KHI/HO/D/MO/PD COMP/P/89944/05/2024</t>
  </si>
  <si>
    <t>KHI/HO/D/MO/PD COMP/E/43118/07/2024</t>
  </si>
  <si>
    <t>KHI/HO/D/MO/PD COMP/E/44320/07/2024</t>
  </si>
  <si>
    <t>KHI/HO/D/MO/PD COMP/E/45539/09/2024</t>
  </si>
  <si>
    <t>KHI/HO/D/MO/PD COMP/E/46533/10/2024</t>
  </si>
  <si>
    <t>KHI/HO/D/MO/PD COMP/E/48492/11/2024</t>
  </si>
  <si>
    <t>KHI/HO/D/MO/PD COMP/E/49621/12/2024</t>
  </si>
  <si>
    <t>KHI/HO/D/MO/PD COMP/E/50582/12/2024</t>
  </si>
  <si>
    <t>KHI/HO/D/MO/PD COMP/P/90023/05/2024</t>
  </si>
  <si>
    <t>KHI/HO/D/MO/PD COMP/E/43120/07/2024</t>
  </si>
  <si>
    <t>KHI/HO/D/MO/PD COMP/E/48802/10/2024</t>
  </si>
  <si>
    <t>KHI/HO/D/MO/PD COMP/P/90147/06/2024</t>
  </si>
  <si>
    <t>KHI/HO/D/MO/PD COMP/E/43159/07/2024</t>
  </si>
  <si>
    <t>KHI/HO/D/MO/PD COMP/E/44380/08/2024</t>
  </si>
  <si>
    <t>KHI/HO/D/MO/PD COMP/E/45630/09/2024</t>
  </si>
  <si>
    <t>KHI/HO/D/MO/PD COMP/E/46537/10/2024</t>
  </si>
  <si>
    <t>KHI/HO/D/MO/PD COMP/E/48579/11/2024</t>
  </si>
  <si>
    <t>KHI/HO/D/MO/PD COMP/E/48797/10/2024</t>
  </si>
  <si>
    <t>KHI/HO/D/MO/PD COMP/P/90200/06/2024</t>
  </si>
  <si>
    <t>KHI/HO/D/MO/PD COMP/E/46539/10/2024</t>
  </si>
  <si>
    <t>KHI/HO/D/MO/PD COMP/E/48581/11/2024</t>
  </si>
  <si>
    <t>KHI/HO/D/MO/PD COMP/E/49723/12/2024</t>
  </si>
  <si>
    <t>KHI/HO/D/MO/PD COMP/E/50696/01/2025</t>
  </si>
  <si>
    <t>KHI/HO/D/MO/PD COMP/E/52009/02/2025</t>
  </si>
  <si>
    <t>KHI/HO/D/MO/PD COMP/E/52848/03/2025</t>
  </si>
  <si>
    <t>KHI/HO/D/MO/PD COMP/E/59183/03/2025</t>
  </si>
  <si>
    <t>KHI/HO/D/MO/PD COMP/P/90239/06/2024</t>
  </si>
  <si>
    <t>KHI/HO/D/MO/PD COMP/E/43162/07/2024</t>
  </si>
  <si>
    <t>KHI/HO/D/MO/PD COMP/E/44384/08/2024</t>
  </si>
  <si>
    <t>KHI/HO/D/MO/PD COMP/E/45635/09/2024</t>
  </si>
  <si>
    <t>KHI/HO/D/MO/PD COMP/E/46541/10/2024</t>
  </si>
  <si>
    <t>KHI/HO/D/MO/PD COMP/E/48583/11/2024</t>
  </si>
  <si>
    <t>KHI/HO/D/MO/PD COMP/E/49725/12/2024</t>
  </si>
  <si>
    <t>KHI/HO/D/MO/PD COMP/E/50583/12/2024</t>
  </si>
  <si>
    <t>KHI/HO/D/MO/PD COMP/P/90330/06/2024</t>
  </si>
  <si>
    <t>KHI/HO/D/MO/PD COMP/E/43339/07/2024</t>
  </si>
  <si>
    <t>KHI/HO/D/MO/PD COMP/E/44518/08/2024</t>
  </si>
  <si>
    <t>KHI/HO/D/MO/PD COMP/E/45743/09/2024</t>
  </si>
  <si>
    <t>KHI/HO/D/MO/PD COMP/E/46725/10/2024</t>
  </si>
  <si>
    <t>KHI/HO/D/MO/PD COMP/E/48659/11/2024</t>
  </si>
  <si>
    <t>KHI/HO/D/MO/PD COMP/E/49788/12/2024</t>
  </si>
  <si>
    <t>KHI/HO/D/MO/PD COMP/E/50584/12/2024</t>
  </si>
  <si>
    <t>KHI/HO/D/MO/PD COMP/P/90562/06/2024</t>
  </si>
  <si>
    <t>KHI/HO/D/MO/PD COMP/E/53094/03/2025</t>
  </si>
  <si>
    <t>KHI/HO/D/MO/PD COMP/E/59219/03/2025</t>
  </si>
  <si>
    <t>KHI/HO/D/MO/PD COMP/P/90588/06/2024</t>
  </si>
  <si>
    <t>KHI/HO/D/MO/PD COMP/E/47097/10/2024</t>
  </si>
  <si>
    <t>KHI/HO/D/MO/PD COMP/E/48941/11/2024</t>
  </si>
  <si>
    <t>KHI/HO/D/MO/PD COMP/E/49952/12/2024</t>
  </si>
  <si>
    <t>KHI/HO/D/MO/PD COMP/E/51525/01/2025</t>
  </si>
  <si>
    <t>KHI/HO/D/MO/PD COMP/E/52246/02/2025</t>
  </si>
  <si>
    <t>KHI/HO/D/MO/PD COMP/E/53159/03/2025</t>
  </si>
  <si>
    <t>KHI/HO/D/MO/PD COMP/E/59216/03/2025</t>
  </si>
  <si>
    <t>KHI/HO/D/MO/PD COMP/P/90772/06/2024</t>
  </si>
  <si>
    <t>KHI/HO/D/MO/PD COMP/E/43849/07/2024</t>
  </si>
  <si>
    <t>KHI/HO/D/MO/PD COMP/E/48826/10/2024</t>
  </si>
  <si>
    <t>KHI/HO/D/MO/PD COMP/P/90854/06/2024</t>
  </si>
  <si>
    <t>KHI/HO/D/MO/PD COMP/E/50101/12/2024</t>
  </si>
  <si>
    <t>KHI/HO/D/MO/PD COMP/E/59200/03/2025</t>
  </si>
  <si>
    <t>KHI/HO/D/MO/PD COMP/P/91005/06/2024</t>
  </si>
  <si>
    <t>KHI/HO/D/MO/PD COMP/E/50370/12/2024</t>
  </si>
  <si>
    <t>KHI/HO/D/MO/PD COMP/E/50586/12/2024</t>
  </si>
  <si>
    <t>KHI/HO/D/MO/PD COMP/P/91006/06/2024</t>
  </si>
  <si>
    <t>KHI/HO/D/MO/PD COMP/E/49072/11/2024</t>
  </si>
  <si>
    <t>KHI/HO/D/MO/PD COMP/E/50164/12/2024</t>
  </si>
  <si>
    <t>KHI/HO/D/MO/PD COMP/E/51636/01/2025</t>
  </si>
  <si>
    <t>KHI/HO/D/MO/PD COMP/E/52409/02/2025</t>
  </si>
  <si>
    <t>KHI/HO/D/MO/PD COMP/E/53520/03/2025</t>
  </si>
  <si>
    <t>KHI/HO/D/MO/PD COMP/E/59208/03/2025</t>
  </si>
  <si>
    <t>KHI/HO/D/MO/PD COMP/P/91940/06/2024</t>
  </si>
  <si>
    <t>KHI/HO/D/MO/PD COMP/E/44295/07/2024</t>
  </si>
  <si>
    <t>KHI/HO/D/MO/PD COMP/E/45459/08/2024</t>
  </si>
  <si>
    <t>KHI/HO/D/MO/PD COMP/E/46543/10/2024</t>
  </si>
  <si>
    <t>KHI/HO/D/MO/PD COMP/E/48426/10/2024</t>
  </si>
  <si>
    <t>KHI/HO/D/MO/PD COMP/E/49555/11/2024</t>
  </si>
  <si>
    <t>KHI/HO/D/MO/PD COMP/E/50587/12/2024</t>
  </si>
  <si>
    <t>KHI/HO/D/MO/PD COMP/P/91959/06/2024</t>
  </si>
  <si>
    <t>KHI/HO/D/MO/PD COMP/E/44140/07/2024</t>
  </si>
  <si>
    <t>KHI/HO/D/MO/PD COMP/E/44969/08/2024</t>
  </si>
  <si>
    <t>KHI/HO/D/MO/PD COMP/E/46235/09/2024</t>
  </si>
  <si>
    <t>KHI/HO/D/MO/PD COMP/E/48047/10/2024</t>
  </si>
  <si>
    <t>KHI/HO/D/MO/PD COMP/E/49233/11/2024</t>
  </si>
  <si>
    <t>KHI/HO/D/MO/PD COMP/E/50338/12/2024</t>
  </si>
  <si>
    <t>KHI/HO/D/MO/PD COMP/E/50589/12/2024</t>
  </si>
  <si>
    <t>KHI/HO/D/MO/PD COMP/P/92076/07/2024</t>
  </si>
  <si>
    <t>KHI/HO/D/MO/PD COMP/E/46123/09/2024</t>
  </si>
  <si>
    <t>KHI/HO/D/MO/PD COMP/E/48125/10/2024</t>
  </si>
  <si>
    <t>KHI/HO/D/MO/PD COMP/E/48796/10/2024</t>
  </si>
  <si>
    <t>KHI/HO/D/MO/PD COMP/P/92396/07/2024</t>
  </si>
  <si>
    <t>KHI/HO/D/MO/PD COMP/E/44526/08/2024</t>
  </si>
  <si>
    <t>KHI/HO/D/MO/PD COMP/E/45753/09/2024</t>
  </si>
  <si>
    <t>KHI/HO/D/MO/PD COMP/E/46767/10/2024</t>
  </si>
  <si>
    <t>KHI/HO/D/MO/PD COMP/E/59181/03/2025</t>
  </si>
  <si>
    <t>KHI/HO/D/MO/PD COMP/P/92900/07/2024</t>
  </si>
  <si>
    <t>KHI/HO/D/MO/PD COMP/E/44700/08/2024</t>
  </si>
  <si>
    <t>KHI/HO/D/MO/PD COMP/E/45928/09/2024</t>
  </si>
  <si>
    <t>KHI/HO/D/MO/PD COMP/E/47113/10/2024</t>
  </si>
  <si>
    <t>KHI/HO/D/MO/PD COMP/E/48950/11/2024</t>
  </si>
  <si>
    <t>KHI/HO/D/MO/PD COMP/E/50084/12/2024</t>
  </si>
  <si>
    <t>KHI/HO/D/MO/PD COMP/E/50591/12/2024</t>
  </si>
  <si>
    <t>KHI/HO/D/MO/PD COMP/P/92999/07/2024</t>
  </si>
  <si>
    <t>KHI/HO/D/MO/PD COMP/E/45929/09/2024</t>
  </si>
  <si>
    <t>KHI/HO/D/MO/PD COMP/E/50592/12/2024</t>
  </si>
  <si>
    <t>KHI/HO/D/MO/PD COMP/P/93280/07/2024</t>
  </si>
  <si>
    <t>KHI/HO/D/MO/PD COMP/E/48429/10/2024</t>
  </si>
  <si>
    <t>KHI/HO/D/MO/PD COMP/E/49521/11/2024</t>
  </si>
  <si>
    <t>KHI/HO/D/MO/PD COMP/E/50626/12/2024</t>
  </si>
  <si>
    <t>KHI/HO/D/MO/PD COMP/E/51888/01/2025</t>
  </si>
  <si>
    <t>KHI/HO/D/MO/PD COMP/E/52771/02/2025</t>
  </si>
  <si>
    <t>KHI/HO/D/MO/PD COMP/E/59022/03/2025</t>
  </si>
  <si>
    <t>KHI/HO/D/MO/PD COMP/E/59224/03/2025</t>
  </si>
  <si>
    <t>KHI/HO/D/MO/PD COMP/P/93592/07/2024</t>
  </si>
  <si>
    <t>KHI/HO/D/MO/PD COMP/E/45292/08/2024</t>
  </si>
  <si>
    <t>KHI/HO/D/MO/PD COMP/E/46327/09/2024</t>
  </si>
  <si>
    <t>KHI/HO/D/MO/PD COMP/E/48188/10/2024</t>
  </si>
  <si>
    <t>KHI/HO/D/MO/PD COMP/E/48831/10/2024</t>
  </si>
  <si>
    <t>KHI/HO/D/MO/PD COMP/P/94240/07/2024</t>
  </si>
  <si>
    <t>KHI/HO/D/MO/PD COMP/E/46550/10/2024</t>
  </si>
  <si>
    <t>KHI/HO/D/MO/PD COMP/E/59097/04/2025</t>
  </si>
  <si>
    <t>KHI/HO/D/MO/PD COMP/E/59196/03/2025</t>
  </si>
  <si>
    <t>KHI/HO/D/MO/PD COMP/P/94279/07/2024</t>
  </si>
  <si>
    <t>KHI/HO/D/MO/PD COMP/E/59099/04/2025</t>
  </si>
  <si>
    <t>KHI/HO/D/MO/PD COMP/E/59227/03/2025</t>
  </si>
  <si>
    <t>KHI/HO/D/MO/PD COMP/P/94343/07/2024</t>
  </si>
  <si>
    <t>KHI/HO/D/MO/PD COMP/E/46554/10/2024</t>
  </si>
  <si>
    <t>KHI/HO/D/MO/PD COMP/E/48521/11/2024</t>
  </si>
  <si>
    <t>KHI/HO/D/MO/PD COMP/E/49630/12/2024</t>
  </si>
  <si>
    <t>KHI/HO/D/MO/PD COMP/E/50699/01/2025</t>
  </si>
  <si>
    <t>KHI/HO/D/MO/PD COMP/E/52012/02/2025</t>
  </si>
  <si>
    <t>KHI/HO/D/MO/PD COMP/E/52808/02/2025</t>
  </si>
  <si>
    <t>KHI/HO/D/MO/PD COMP/E/59101/04/2025</t>
  </si>
  <si>
    <t>KHI/HO/D/MO/PD COMP/E/59179/03/2025</t>
  </si>
  <si>
    <t>KHI/HO/D/MO/PD COMP/P/96324/08/2024</t>
  </si>
  <si>
    <t>KHI/HO/D/MO/PD COMP/E/46560/10/2024</t>
  </si>
  <si>
    <t>KHI/HO/D/MO/PD COMP/E/48505/11/2024</t>
  </si>
  <si>
    <t>KHI/HO/D/MO/PD COMP/E/49577/12/2024</t>
  </si>
  <si>
    <t>KHI/HO/D/MO/PD COMP/E/50674/12/2024</t>
  </si>
  <si>
    <t>KHI/HO/D/MO/PD COMP/E/51936/01/2025</t>
  </si>
  <si>
    <t>KHI/HO/D/MO/PD COMP/E/59180/03/2025</t>
  </si>
  <si>
    <t>KHI/HO/D/MO/PD COMP/P/96789/09/2024</t>
  </si>
  <si>
    <t>KHI/HO/D/MO/PD COMP/E/46735/10/2024</t>
  </si>
  <si>
    <t>KHI/HO/D/MO/PD COMP/E/48591/11/2024</t>
  </si>
  <si>
    <t>KHI/HO/D/MO/PD COMP/E/49734/12/2024</t>
  </si>
  <si>
    <t>KHI/HO/D/MO/PD COMP/E/50731/01/2025</t>
  </si>
  <si>
    <t>KHI/HO/D/MO/PD COMP/E/52061/02/2025</t>
  </si>
  <si>
    <t>KHI/HO/D/MO/PD COMP/E/52859/03/2025</t>
  </si>
  <si>
    <t>KHI/HO/D/MO/PD COMP/E/59150/04/2025</t>
  </si>
  <si>
    <t>KHI/HO/D/MO/PD COMP/E/59173/03/2025</t>
  </si>
  <si>
    <t>KHI/HO/D/MO/PD COMP/P/96816/09/2024</t>
  </si>
  <si>
    <t>KHI/HO/D/MO/PD COMP/E/50853/01/2025</t>
  </si>
  <si>
    <t>KHI/HO/D/MO/PD COMP/E/59215/03/2025</t>
  </si>
  <si>
    <t>KHI/HO/D/MO/PD COMP/P/97308/09/2024</t>
  </si>
  <si>
    <t>KHI/HO/D/MO/PD COMP/E/46847/10/2024</t>
  </si>
  <si>
    <t>KHI/HO/D/MO/PD COMP/E/48953/11/2024</t>
  </si>
  <si>
    <t>KHI/HO/D/MO/PD COMP/E/49924/12/2024</t>
  </si>
  <si>
    <t>KHI/HO/D/MO/PD COMP/E/59171/03/2025</t>
  </si>
  <si>
    <t>LHR/LHR/D/MO/PD COMP/P/72469/06/2023</t>
  </si>
  <si>
    <t>LHR/LHR/D/MO/PD COMP/E/41195/04/2024</t>
  </si>
  <si>
    <t>LHR/LHR/D/MO/PD COMP/E/42139/05/2024</t>
  </si>
  <si>
    <t>LHR/LHR/D/MO/PD COMP/E/43075/07/2024</t>
  </si>
  <si>
    <t>LHR/LHR/D/MO/PD COMP/E/48742/10/2024</t>
  </si>
  <si>
    <t>Grand Total</t>
  </si>
  <si>
    <t>S.No.</t>
  </si>
  <si>
    <t>Branch CoverNote No.</t>
  </si>
  <si>
    <t>Class</t>
  </si>
  <si>
    <t>Issue Date</t>
  </si>
  <si>
    <t>Period
From</t>
  </si>
  <si>
    <t>Period
To</t>
  </si>
  <si>
    <t>Client
Code</t>
  </si>
  <si>
    <t>Client Name</t>
  </si>
  <si>
    <t>Insured Name</t>
  </si>
  <si>
    <t>Vehicle Name</t>
  </si>
  <si>
    <t>REG</t>
  </si>
  <si>
    <t>ENGINE</t>
  </si>
  <si>
    <t>CHASSIS</t>
  </si>
  <si>
    <t>MODEL</t>
  </si>
  <si>
    <t>NIC</t>
  </si>
  <si>
    <t>MOBILE</t>
  </si>
  <si>
    <t>Type</t>
  </si>
  <si>
    <t>AGENCY CODE</t>
  </si>
  <si>
    <t>Sum Covered</t>
  </si>
  <si>
    <t>Gross</t>
  </si>
  <si>
    <t>FIF</t>
  </si>
  <si>
    <t>FED</t>
  </si>
  <si>
    <t>SD</t>
  </si>
  <si>
    <t xml:space="preserve">Net </t>
  </si>
  <si>
    <t>Paid</t>
  </si>
  <si>
    <t>Co Paid</t>
  </si>
  <si>
    <t>Outstanding</t>
  </si>
  <si>
    <t>Not Due</t>
  </si>
  <si>
    <t>Due</t>
  </si>
  <si>
    <t>Leader Name</t>
  </si>
  <si>
    <t>Leader Policy No</t>
  </si>
  <si>
    <t>Leader Endr No</t>
  </si>
  <si>
    <t>Custodian Name</t>
  </si>
  <si>
    <t>Actual Milage</t>
  </si>
  <si>
    <t>Charge Milage</t>
  </si>
  <si>
    <t>EMAIL</t>
  </si>
  <si>
    <t xml:space="preserve"> -</t>
  </si>
  <si>
    <t xml:space="preserve"> MOTOR</t>
  </si>
  <si>
    <t xml:space="preserve"> 08802641</t>
  </si>
  <si>
    <t>Mr. Muhammad Ramzan
CNIC# 17101-4623280-9
CELL# 0333-9558134 / 0347-9002576</t>
  </si>
  <si>
    <t>TOYOTA COROLLA  XLI</t>
  </si>
  <si>
    <t>WD-206</t>
  </si>
  <si>
    <t>Y558252</t>
  </si>
  <si>
    <t>NZE140-2138364</t>
  </si>
  <si>
    <t>2012</t>
  </si>
  <si>
    <t>17101-4623280-9</t>
  </si>
  <si>
    <t xml:space="preserve"> D</t>
  </si>
  <si>
    <t>09000221-Muhammad Irfan</t>
  </si>
  <si>
    <t>mayazkhan957@gmail.com</t>
  </si>
  <si>
    <t xml:space="preserve"> 08803143</t>
  </si>
  <si>
    <t>Ms. Mumtaz Bushra
CELL# 03348706662</t>
  </si>
  <si>
    <t>NISSAN DAYZ</t>
  </si>
  <si>
    <t>AHY-973</t>
  </si>
  <si>
    <t>3B20-JY6220</t>
  </si>
  <si>
    <t>B21W-0222046</t>
  </si>
  <si>
    <t>2015</t>
  </si>
  <si>
    <t>33100-4566935-6</t>
  </si>
  <si>
    <t xml:space="preserve"> 08803172</t>
  </si>
  <si>
    <t>Mr. Waqas Khan
CNIC # 61101-0177170-1
NTN # 2881163-1
CELL # 0321-5048444</t>
  </si>
  <si>
    <t>TOYOTA COROLLA ALTIS GRAN</t>
  </si>
  <si>
    <t>Q347055</t>
  </si>
  <si>
    <t>ZRE172R-7046163</t>
  </si>
  <si>
    <t>2020</t>
  </si>
  <si>
    <t>09000248-Hassan Malik</t>
  </si>
  <si>
    <t xml:space="preserve"> 08802248</t>
  </si>
  <si>
    <t>M/S. ARIF HABIB LIMITED
User: Mr. Amir Hassan
Cell No: 03218282839</t>
  </si>
  <si>
    <t>SUZUKI ALTO AGS A/T</t>
  </si>
  <si>
    <t>193511</t>
  </si>
  <si>
    <t>1093470</t>
  </si>
  <si>
    <t>2021</t>
  </si>
  <si>
    <t>09000313-Abdus Saboor Khan</t>
  </si>
  <si>
    <t xml:space="preserve"> 08804041</t>
  </si>
  <si>
    <t>Mr. Masud Mir
CNIC# 35202-2821316-9
Cell No. 0300-4138769</t>
  </si>
  <si>
    <t>SUZUKI SWIFT GL M/T</t>
  </si>
  <si>
    <t>LE-4079</t>
  </si>
  <si>
    <t>13004044</t>
  </si>
  <si>
    <t>PK10004039</t>
  </si>
  <si>
    <t>2011</t>
  </si>
  <si>
    <t>musaudmir1932@gmail.com</t>
  </si>
  <si>
    <t xml:space="preserve"> 08804042</t>
  </si>
  <si>
    <t>Mr. Yasar Sattar
CNIC# 91506-0139010-5
CELL# 03104166440</t>
  </si>
  <si>
    <t>MG HS 1.5 T</t>
  </si>
  <si>
    <t>AGK-572</t>
  </si>
  <si>
    <t>3150636</t>
  </si>
  <si>
    <t>063373</t>
  </si>
  <si>
    <t>09000324-Smart PFM (Pvt.) Limited</t>
  </si>
  <si>
    <t>starcom647@yahoo.com</t>
  </si>
  <si>
    <t xml:space="preserve"> 08804115</t>
  </si>
  <si>
    <t>Mr. Shaikh Muhammad Usama Noman
CNIC# 4220193638919
Cell No. 03443014737</t>
  </si>
  <si>
    <t>DAIHATSU MIRA</t>
  </si>
  <si>
    <t>BLN-782</t>
  </si>
  <si>
    <t>KF-J340463</t>
  </si>
  <si>
    <t>LA310S-103993</t>
  </si>
  <si>
    <t>2016</t>
  </si>
  <si>
    <t>s.usama.noman@gmail.com</t>
  </si>
  <si>
    <t xml:space="preserve"> 08804148</t>
  </si>
  <si>
    <t>Mr. Hassan Ahmed
CNIC# 37405-4482774-7
Cell No. 03445287446</t>
  </si>
  <si>
    <t>TOYOTA YARIS ATIV AT</t>
  </si>
  <si>
    <t>BTX-660</t>
  </si>
  <si>
    <t>2A26538</t>
  </si>
  <si>
    <t>7015943</t>
  </si>
  <si>
    <t>hassaan_ahmed@msn.com</t>
  </si>
  <si>
    <t>...</t>
  </si>
  <si>
    <t xml:space="preserve"> 08804155</t>
  </si>
  <si>
    <t>Mr. Muhammad Ismail Mian
CNIC# 35202-2462925-7
CELL# 03244370464</t>
  </si>
  <si>
    <t>SUZUKI ALTO VXL</t>
  </si>
  <si>
    <t>AGF-857</t>
  </si>
  <si>
    <t>6R193595</t>
  </si>
  <si>
    <t>NF1AET306H1093581</t>
  </si>
  <si>
    <t>muhammadwaqasrph@gmail.com</t>
  </si>
  <si>
    <t xml:space="preserve"> 08804445</t>
  </si>
  <si>
    <t>Miss. Syeda Bisma Haider
CNIC# 42201-2639277-8
Cell No. 0345-2410113</t>
  </si>
  <si>
    <t>TOYOTA PIXIS EPOCH A/T</t>
  </si>
  <si>
    <t>BPH-058</t>
  </si>
  <si>
    <t>KF-J247694</t>
  </si>
  <si>
    <t>1036112</t>
  </si>
  <si>
    <t>bisma_haider@live.com</t>
  </si>
  <si>
    <t>MAHRUKH</t>
  </si>
  <si>
    <t xml:space="preserve"> 08804538</t>
  </si>
  <si>
    <t>Mr. Abdul Malik Ghori
CNIC# 42301-3931939-5
CELL# 03313334417</t>
  </si>
  <si>
    <t>.....</t>
  </si>
  <si>
    <t>TOYOTA COROLLA ALTIS 1.6</t>
  </si>
  <si>
    <t>BSW-164</t>
  </si>
  <si>
    <t>Q071086</t>
  </si>
  <si>
    <t>ZRE171R-6048579</t>
  </si>
  <si>
    <t>malikghori@aol.com</t>
  </si>
  <si>
    <t xml:space="preserve"> 08805070</t>
  </si>
  <si>
    <t>Ms. Fahmida Sarfaraz
CNIC# 35201-1539446-0
CELL# 0300-4331273</t>
  </si>
  <si>
    <t>TOYOTA YARIS GLI MT</t>
  </si>
  <si>
    <t>ACC-629</t>
  </si>
  <si>
    <t>2A04449</t>
  </si>
  <si>
    <t>NSP150R-7002240</t>
  </si>
  <si>
    <t>09000226-Yasir Muhammad</t>
  </si>
  <si>
    <t>fahmida.safaraz@gmail.com</t>
  </si>
  <si>
    <t xml:space="preserve"> 08805421</t>
  </si>
  <si>
    <t>Mr. Sheikh Rizwan Ahmed
CNIC # 33100-0997944-9
CELL # 0332-7866612 / 0311-1150000</t>
  </si>
  <si>
    <t>AKH-269</t>
  </si>
  <si>
    <t>13042650</t>
  </si>
  <si>
    <t>10042652</t>
  </si>
  <si>
    <t>2018</t>
  </si>
  <si>
    <t>09000309-Zeeshan Mohi-u-din</t>
  </si>
  <si>
    <t>daudahmad.sh@gmail.com</t>
  </si>
  <si>
    <t>.</t>
  </si>
  <si>
    <t xml:space="preserve"> 08805684</t>
  </si>
  <si>
    <t>M/s. First Habib Modaraba A/c. Rizwan Mehdi
CNIC# 3110188554279
CELL# 0321-6980301</t>
  </si>
  <si>
    <t>HONDA CIVIC 1.8 I-VTEC OR</t>
  </si>
  <si>
    <t>AQA-637</t>
  </si>
  <si>
    <t>R18Z12955734</t>
  </si>
  <si>
    <t>NFBFC6668LR059632</t>
  </si>
  <si>
    <t>rizwanmehdi@gmail.com</t>
  </si>
  <si>
    <t xml:space="preserve"> 08805710</t>
  </si>
  <si>
    <t>Mr. Hamza Saleem Mirza
CNIC# 42101-8566667-9
CELL# 0334-1120985 / 0345-3637394</t>
  </si>
  <si>
    <t>SUZUKI ALTO</t>
  </si>
  <si>
    <t>BWN-587</t>
  </si>
  <si>
    <t>226621</t>
  </si>
  <si>
    <t>1126643</t>
  </si>
  <si>
    <t>2022</t>
  </si>
  <si>
    <t>auganzebaccamba@gmail.com</t>
  </si>
  <si>
    <t xml:space="preserve"> 08805720</t>
  </si>
  <si>
    <t>Mr. Farhan Latif 
CNIC# 33102-9360190-7
CELL# 0334-8706662 / 0311-1150000</t>
  </si>
  <si>
    <t>LEH-15-4224</t>
  </si>
  <si>
    <t>13028843</t>
  </si>
  <si>
    <t>10028850</t>
  </si>
  <si>
    <t xml:space="preserve"> 08806239</t>
  </si>
  <si>
    <t>Mr. Muhammad Hamza Khan
CNIC #. 41303-9598215-7
CELL #. 0332-2515431</t>
  </si>
  <si>
    <t>BSR-460</t>
  </si>
  <si>
    <t>6R137750</t>
  </si>
  <si>
    <t>NF1AET306H1037745</t>
  </si>
  <si>
    <t>humza4948@gmail.com</t>
  </si>
  <si>
    <t>Mr. Muhammad Hamza Khan
CNIC #. 41303-9598215-7
CELL #. 0310-2323273</t>
  </si>
  <si>
    <t xml:space="preserve"> 08804672</t>
  </si>
  <si>
    <t>Mr. Farooq Azam
CNIC# 42301-0842007-5
CELL# 03002367384</t>
  </si>
  <si>
    <t>SUZUKI ALTO VXR</t>
  </si>
  <si>
    <t>BWW-289</t>
  </si>
  <si>
    <t>6R235261</t>
  </si>
  <si>
    <t>NF1AET306H1135259</t>
  </si>
  <si>
    <t>memonfazam@gmail.com</t>
  </si>
  <si>
    <t xml:space="preserve"> 08800738</t>
  </si>
  <si>
    <t>M/s. Nextbridge Private Limited. 
NTN- 1132123</t>
  </si>
  <si>
    <t>TOYOTA HIACE</t>
  </si>
  <si>
    <t>LEH-19-4869</t>
  </si>
  <si>
    <t>2TR2419668</t>
  </si>
  <si>
    <t>TRH2190014585</t>
  </si>
  <si>
    <t>35202-1794756-1</t>
  </si>
  <si>
    <t>procurement@nxb.com.pk,fahad.anwar@salaamtakaful.com,abdul.mannan@nxb.com.pk</t>
  </si>
  <si>
    <t xml:space="preserve"> 08802904</t>
  </si>
  <si>
    <t>Mr. Abdul Hameed 
CNIC # 42201-7010075-5 CELL # 0333-2287395</t>
  </si>
  <si>
    <t>TOYOTA VITZ</t>
  </si>
  <si>
    <t>BKG-060</t>
  </si>
  <si>
    <t>1KR-1496719</t>
  </si>
  <si>
    <t>KSP130-2123733</t>
  </si>
  <si>
    <t>2014</t>
  </si>
  <si>
    <t>hameed@arifhabibltd.com</t>
  </si>
  <si>
    <t xml:space="preserve"> 08807472</t>
  </si>
  <si>
    <t>Mrs. Nighat Zubair 
CNIC # 42301-0864749-0
CELL# +92 300 8254002</t>
  </si>
  <si>
    <t>KIA SPORTAGE AWD</t>
  </si>
  <si>
    <t>BK-6120</t>
  </si>
  <si>
    <t>G4NAMH329679</t>
  </si>
  <si>
    <t>NNAQL51AZKP516648</t>
  </si>
  <si>
    <t>mz7693@yahoo.com</t>
  </si>
  <si>
    <t xml:space="preserve"> 08808858</t>
  </si>
  <si>
    <t>Mr. Muhammad Ali Raza Hussain
CNIC# 42201-4833830-3
CELL# +92 333 2016338</t>
  </si>
  <si>
    <t>BPJ-375</t>
  </si>
  <si>
    <t>Q337896</t>
  </si>
  <si>
    <t>ZRE172R-7037049</t>
  </si>
  <si>
    <t>2019</t>
  </si>
  <si>
    <t>42201-4833830-3</t>
  </si>
  <si>
    <t>m.aliraza@arifhabibltd.com</t>
  </si>
  <si>
    <t xml:space="preserve"> 08808954</t>
  </si>
  <si>
    <t>Mr. Tahir Raza
CNIC# 42101-1919646-5
CELL# 03341873239</t>
  </si>
  <si>
    <t>SUZUKI Suzuki Swift GL CV</t>
  </si>
  <si>
    <t>K12M-1013060</t>
  </si>
  <si>
    <t>NF1A2L412113060</t>
  </si>
  <si>
    <t>42101-1919646-5</t>
  </si>
  <si>
    <t>tahir.raza1@hbl.com</t>
  </si>
  <si>
    <t xml:space="preserve"> 08809239</t>
  </si>
  <si>
    <t>Mr. Muhammad Habibuddin Siddiqui
CNIC# 42201-3944769-9
CELL# 03312823364</t>
  </si>
  <si>
    <t>TOYOTA COROLLA 1.3 XLI</t>
  </si>
  <si>
    <t>BHH-154</t>
  </si>
  <si>
    <t>Z476361</t>
  </si>
  <si>
    <t>NZE170R-4103039</t>
  </si>
  <si>
    <t>2017</t>
  </si>
  <si>
    <t>habibsiddiqui8724@gmail.com</t>
  </si>
  <si>
    <t xml:space="preserve"> 08809333</t>
  </si>
  <si>
    <t>Mr. Abdul Jabbar Shakir
CNIC# 35202-6924616-1
CELL# 03004497468</t>
  </si>
  <si>
    <t>LEF-19-3848</t>
  </si>
  <si>
    <t>R18Z12952045</t>
  </si>
  <si>
    <t>NFBFC6667KR055473</t>
  </si>
  <si>
    <t>35202-6924616-1</t>
  </si>
  <si>
    <t>zoya.mohid@gmail.com</t>
  </si>
  <si>
    <t xml:space="preserve"> 08809347</t>
  </si>
  <si>
    <t>Mr. Saghir Ahmed Khan Afridi
CNIC# 42201-0763320-3
CELL# 03332229000 - 03332200000</t>
  </si>
  <si>
    <t>TOYOTA FORTUNER 4X4 AT LE</t>
  </si>
  <si>
    <t>BT-1011</t>
  </si>
  <si>
    <t>1GD5220168</t>
  </si>
  <si>
    <t>GUN156R-1102553</t>
  </si>
  <si>
    <t>2023</t>
  </si>
  <si>
    <t>42201-0763320-3</t>
  </si>
  <si>
    <t>adeebafridi@gmail.com</t>
  </si>
  <si>
    <t xml:space="preserve"> 08809349</t>
  </si>
  <si>
    <t>Mr. Imdad Ali Jokhio
CNIC# 4130638713667
CELL# 03333888456</t>
  </si>
  <si>
    <t>TOYOTA YARIS ATIV X 1.5 A</t>
  </si>
  <si>
    <t>BAY-980</t>
  </si>
  <si>
    <t>2A02389</t>
  </si>
  <si>
    <t>NSP151R-9501524</t>
  </si>
  <si>
    <t>41306-3871366-7</t>
  </si>
  <si>
    <t>faisalmadni33@gmail.com</t>
  </si>
  <si>
    <t xml:space="preserve"> 08801473</t>
  </si>
  <si>
    <t>Mr. Muhammad Arqam
CNIC# 42101-3130615-7
CELL# +92 334 2011555</t>
  </si>
  <si>
    <t>BXF-554</t>
  </si>
  <si>
    <t>Q362270</t>
  </si>
  <si>
    <t>ZRE172R-7061440</t>
  </si>
  <si>
    <t>42101-3130615-7</t>
  </si>
  <si>
    <t>09000249-Amna Khurram</t>
  </si>
  <si>
    <t>muhammad.arqam@bbraun.com</t>
  </si>
  <si>
    <t xml:space="preserve"> 08804475</t>
  </si>
  <si>
    <t>Mr. Iqbal
CNIC# 42201-0780194-9
Cell No. 0300-9209292</t>
  </si>
  <si>
    <t>TOYOTA COROLLA</t>
  </si>
  <si>
    <t>BPQ-904</t>
  </si>
  <si>
    <t>Z551750</t>
  </si>
  <si>
    <t>4177609</t>
  </si>
  <si>
    <t>SEERAT AZMAT</t>
  </si>
  <si>
    <t>iqbalkodwavi@hotmail.com</t>
  </si>
  <si>
    <t xml:space="preserve"> 08809598</t>
  </si>
  <si>
    <t>Syed Hammad Karim
CNIC# 42101-9980056-1
CELL# 03463330066</t>
  </si>
  <si>
    <t>TOYOTA AQUA</t>
  </si>
  <si>
    <t>BQL-996</t>
  </si>
  <si>
    <t>1NZ-7748413</t>
  </si>
  <si>
    <t>NHP10-2489038</t>
  </si>
  <si>
    <t>42101-9980056-1</t>
  </si>
  <si>
    <t>Muzammil Sabir</t>
  </si>
  <si>
    <t xml:space="preserve"> 08809642</t>
  </si>
  <si>
    <t>Mr. Zain Rauf
CNIC# 33100-4776237-3
CELL# 0333-6566173</t>
  </si>
  <si>
    <t>SUZUKI WAGON R VXL</t>
  </si>
  <si>
    <t>AGR 781</t>
  </si>
  <si>
    <t>PK10B226863</t>
  </si>
  <si>
    <t>A1J310PK10126866</t>
  </si>
  <si>
    <t>33100-4776237-3</t>
  </si>
  <si>
    <t>Abdullah Khan</t>
  </si>
  <si>
    <t>zainrauf71@gmail.com</t>
  </si>
  <si>
    <t xml:space="preserve"> 08809746</t>
  </si>
  <si>
    <t>Mr. Shahid Aftab Ahmad
CNIC # 33102-1756863-7
CELL # 0300-6685993</t>
  </si>
  <si>
    <t>KIA PICANTO 1.0L M/T</t>
  </si>
  <si>
    <t>G3LANP030857</t>
  </si>
  <si>
    <t>NNATA52AXKP504060</t>
  </si>
  <si>
    <t>09000305-Jawaria Kaleem</t>
  </si>
  <si>
    <t>shahidaftab550@gmail.com</t>
  </si>
  <si>
    <t xml:space="preserve"> 08809739</t>
  </si>
  <si>
    <t>Mr. Asad Ali Nazeer
CNIC# 35202-3066538-1
CELL# 03001815220</t>
  </si>
  <si>
    <t>TOYOTA COROLLA GLI</t>
  </si>
  <si>
    <t>APC-835</t>
  </si>
  <si>
    <t>Z567619</t>
  </si>
  <si>
    <t>NZE170R-4193409</t>
  </si>
  <si>
    <t>35202-3066538-1</t>
  </si>
  <si>
    <t xml:space="preserve"> 08809783</t>
  </si>
  <si>
    <t>Mr. Muhammad Usman Riaz
CNIC# 42501-9168000-1
CELL# 03463254968</t>
  </si>
  <si>
    <t>SUZUKI ALTO VX</t>
  </si>
  <si>
    <t>BRV-183</t>
  </si>
  <si>
    <t>6R137237</t>
  </si>
  <si>
    <t>NF1AET306H1037240</t>
  </si>
  <si>
    <t>42501-9168000-1</t>
  </si>
  <si>
    <t>Syed Waqas</t>
  </si>
  <si>
    <t xml:space="preserve"> 08809813</t>
  </si>
  <si>
    <t>Mrs. Phool Salman
CNIC# 33100-1654651-4
CELL# 03127035566</t>
  </si>
  <si>
    <t>LEB-15-4144</t>
  </si>
  <si>
    <t>Q307594</t>
  </si>
  <si>
    <t>ZRE172R7006625</t>
  </si>
  <si>
    <t>Muhammad Qiran</t>
  </si>
  <si>
    <t xml:space="preserve"> 08808868</t>
  </si>
  <si>
    <t>Mr. Iftikhar Ahmed Bajwa
CNIC# 35201-0517258-1
CELL# 03004008652</t>
  </si>
  <si>
    <t>HONDA CITY I-VTEC</t>
  </si>
  <si>
    <t>LED-19-5719</t>
  </si>
  <si>
    <t>L13Z17521592</t>
  </si>
  <si>
    <t>NFBGM1647JR237501</t>
  </si>
  <si>
    <t>35201-0517258-1</t>
  </si>
  <si>
    <t xml:space="preserve"> 08809982</t>
  </si>
  <si>
    <t>Mr. Danish
CNIC# 41201-9289474-9
CELL# 03313289943 / 03172662169</t>
  </si>
  <si>
    <t>BVF-935</t>
  </si>
  <si>
    <t>Q086226</t>
  </si>
  <si>
    <t>ZRE171R-6063664</t>
  </si>
  <si>
    <t>41201-9289474-9</t>
  </si>
  <si>
    <t xml:space="preserve"> 08810026</t>
  </si>
  <si>
    <t>Mrs. Maria Wilayat
CNIC# 34201-6286220-2
CELL# 0306-0204809</t>
  </si>
  <si>
    <t>AHZ-568</t>
  </si>
  <si>
    <t>L15Z81005229</t>
  </si>
  <si>
    <t>NFBGN9647NR014084</t>
  </si>
  <si>
    <t>34201-6286220-2</t>
  </si>
  <si>
    <t xml:space="preserve"> 08810045</t>
  </si>
  <si>
    <t>Mr. Shabir Ahmad Khan
CNIC# 35202-2108760-3
CELL# 03224634801</t>
  </si>
  <si>
    <t>CHANGAN OSHAN X7 FUTURE S</t>
  </si>
  <si>
    <t>ANK-492</t>
  </si>
  <si>
    <t>JL473Q7NN8AH117223</t>
  </si>
  <si>
    <t>NKMASE2E6N1000900</t>
  </si>
  <si>
    <t>35202-2108760-3</t>
  </si>
  <si>
    <t>shabbirbros05@gmail.com</t>
  </si>
  <si>
    <t xml:space="preserve"> 08810049</t>
  </si>
  <si>
    <t>Mr. Muhammad Asghar
CNIC# 42301-4376074-7
CELL# 0300-9251713</t>
  </si>
  <si>
    <t>ASN-799</t>
  </si>
  <si>
    <t>1KR-0735474</t>
  </si>
  <si>
    <t>KSP90-2075945</t>
  </si>
  <si>
    <t>2009</t>
  </si>
  <si>
    <t>42301-4376074-7</t>
  </si>
  <si>
    <t xml:space="preserve"> 08810118</t>
  </si>
  <si>
    <t>Mr. Muhammad Furqan
CNIC# 42401-3540424-3
CELL# +92 315 2908706</t>
  </si>
  <si>
    <t>HONDA CIVIC</t>
  </si>
  <si>
    <t>BNB-382</t>
  </si>
  <si>
    <t>R18Z12938265</t>
  </si>
  <si>
    <t>NFBFC665XJR041685</t>
  </si>
  <si>
    <t xml:space="preserve"> 08810191</t>
  </si>
  <si>
    <t>Khawaja Suhail Ahmad 
CNIC: 42201-8554869-1
Cell No.0312-9964692</t>
  </si>
  <si>
    <t>HONDA VEZEL HYBRID A/T.</t>
  </si>
  <si>
    <t>BF-7356</t>
  </si>
  <si>
    <t>LEB-H15055068</t>
  </si>
  <si>
    <t>RU3-1105064</t>
  </si>
  <si>
    <t>ASMA RIAZ</t>
  </si>
  <si>
    <t xml:space="preserve"> 08810280</t>
  </si>
  <si>
    <t>Sheraz Sheikh (The Film Makers)
CNIC: 42201-7658249-5
Cell: 03340027274</t>
  </si>
  <si>
    <t>BHP-909</t>
  </si>
  <si>
    <t>L15B71402759</t>
  </si>
  <si>
    <t>NFBFC1665HR009247</t>
  </si>
  <si>
    <t>shiraz.s.sheikh@icloud.com</t>
  </si>
  <si>
    <t xml:space="preserve"> 08804256</t>
  </si>
  <si>
    <t xml:space="preserve"> 08810284</t>
  </si>
  <si>
    <t>Mr. Haris Naeem
CNIC# 35202-6669147-3
CELL# 0304 0444440 - 03059998925</t>
  </si>
  <si>
    <t>TOYOTA FORTUNER</t>
  </si>
  <si>
    <t>AMF-205</t>
  </si>
  <si>
    <t>2TRA318997</t>
  </si>
  <si>
    <t>TGN156R-0441656</t>
  </si>
  <si>
    <t>35202-6669147-3</t>
  </si>
  <si>
    <t xml:space="preserve"> 08810385</t>
  </si>
  <si>
    <t>Mrs. Gul Zareen
CNIC# 45203-9559789-6
CELL# 0341-2250982</t>
  </si>
  <si>
    <t>CHANGAN KARVAAN PLUS</t>
  </si>
  <si>
    <t>CZ-7085</t>
  </si>
  <si>
    <t>JL466Q9M69U507704</t>
  </si>
  <si>
    <t>NKMAAB3D1N1012060</t>
  </si>
  <si>
    <t>09000218-Mohsin Murtaza Hussain</t>
  </si>
  <si>
    <t xml:space="preserve"> 08805359</t>
  </si>
  <si>
    <t>Hammad Ashfaq
CNIC: 42301-2383248-3
Phone Number: 03222928149</t>
  </si>
  <si>
    <t>HONDA CITY</t>
  </si>
  <si>
    <t>BMK-151</t>
  </si>
  <si>
    <t>L13Z17511516</t>
  </si>
  <si>
    <t>R224552</t>
  </si>
  <si>
    <t>hammadashfaq93@gmail.com</t>
  </si>
  <si>
    <t xml:space="preserve"> 08810553</t>
  </si>
  <si>
    <t>Imad Malik
CNIC: 35202-9892481-3
Cell: 03004790092</t>
  </si>
  <si>
    <t>LE-13-7007</t>
  </si>
  <si>
    <t>Z11542202</t>
  </si>
  <si>
    <t>R102205</t>
  </si>
  <si>
    <t>AREEBA FATIMA</t>
  </si>
  <si>
    <t xml:space="preserve"> 08810585</t>
  </si>
  <si>
    <t>Mr. Qamar Abbas
CNIC# 33100-0775714-5
CELL# 0302-7079790</t>
  </si>
  <si>
    <t>LEB-15-1042</t>
  </si>
  <si>
    <t>1KR1205207</t>
  </si>
  <si>
    <t>KSP1302010230</t>
  </si>
  <si>
    <t>qamara038@gmail.com</t>
  </si>
  <si>
    <t xml:space="preserve"> 08810588</t>
  </si>
  <si>
    <t>Mr. Taj Muhammad
CNIC# 44202-5288244-9
CELL# 0300-0565627</t>
  </si>
  <si>
    <t>BQW-717</t>
  </si>
  <si>
    <t>6R113251</t>
  </si>
  <si>
    <t>NF1AET306H1013221</t>
  </si>
  <si>
    <t>44202-5288244-9</t>
  </si>
  <si>
    <t>MATEEN QURESHI</t>
  </si>
  <si>
    <t xml:space="preserve"> 08810608</t>
  </si>
  <si>
    <t>Mubeen Shujaat
CNIC: 35202-8799682-9
Phone Number: 03064629059</t>
  </si>
  <si>
    <t>DAIHATSU MIRA EIS</t>
  </si>
  <si>
    <t>LEC-17-9536</t>
  </si>
  <si>
    <t>0292257KF</t>
  </si>
  <si>
    <t>V-1016599</t>
  </si>
  <si>
    <t>2013</t>
  </si>
  <si>
    <t xml:space="preserve"> 08810635</t>
  </si>
  <si>
    <t>Ms. Tayyaba Akram
CNIC: 3830163617894  Cell No. 03005822017</t>
  </si>
  <si>
    <t>SUZUKI CULTUS VXL M/T</t>
  </si>
  <si>
    <t>LEH-17-1959</t>
  </si>
  <si>
    <t>PK10K105149</t>
  </si>
  <si>
    <t>NF1AVK31H10005141</t>
  </si>
  <si>
    <t xml:space="preserve"> 08810669</t>
  </si>
  <si>
    <t>Kamran Zafar
CNIC: 42101-8864576-5
Phone Number: 03353550710</t>
  </si>
  <si>
    <t>SUZUKI Suzuki Swift</t>
  </si>
  <si>
    <t>BWJ-105</t>
  </si>
  <si>
    <t>R1002764</t>
  </si>
  <si>
    <t>S00102785</t>
  </si>
  <si>
    <t>kamran.zafar@paksuzuki.com.pk</t>
  </si>
  <si>
    <t xml:space="preserve"> 08810675</t>
  </si>
  <si>
    <t>Abdul Naveed
CNIC: 42201-5773313-5
Phone Number: 03352309844</t>
  </si>
  <si>
    <t>SUZUKI CULTUS</t>
  </si>
  <si>
    <t>BUQ-609</t>
  </si>
  <si>
    <t>PK10K186729</t>
  </si>
  <si>
    <t>NF1AVK31H10086720</t>
  </si>
  <si>
    <t xml:space="preserve"> 08810736</t>
  </si>
  <si>
    <t>Iffat Anwar Farooqui
CNIC: 42301-7611391-8
Cell: 0300-8267070</t>
  </si>
  <si>
    <t>AUDI A3</t>
  </si>
  <si>
    <t>BLA-567</t>
  </si>
  <si>
    <t>CYV476857</t>
  </si>
  <si>
    <t>WAUZZZ8V2J1012841</t>
  </si>
  <si>
    <t xml:space="preserve"> 08810751</t>
  </si>
  <si>
    <t>Mr. Tabussam Tufail
Cell No. 0305-7678764 CNIC No. 33102-3796468-0</t>
  </si>
  <si>
    <t>AUJ-722</t>
  </si>
  <si>
    <t>217067</t>
  </si>
  <si>
    <t>101170606</t>
  </si>
  <si>
    <t>tabussam.qadri@gmail.com</t>
  </si>
  <si>
    <t xml:space="preserve"> 08810759</t>
  </si>
  <si>
    <t>Muhammad Faizan Aslam
CNIC No: 42201-6844774-5
Phone Number: 03330325205</t>
  </si>
  <si>
    <t>BUU-264</t>
  </si>
  <si>
    <t>PK10K187086</t>
  </si>
  <si>
    <t>NF1AVK31H10087036</t>
  </si>
  <si>
    <t>bm.faizan@gmail.com</t>
  </si>
  <si>
    <t>SUZUKI CULTUS A/T</t>
  </si>
  <si>
    <t xml:space="preserve"> 08810781</t>
  </si>
  <si>
    <t>Afzal Ali
CNIC:43201-0934568-5
Phone Number: 0335-1323262</t>
  </si>
  <si>
    <t>BCG-868</t>
  </si>
  <si>
    <t>1KE-1202131</t>
  </si>
  <si>
    <t>KSP130-2009031</t>
  </si>
  <si>
    <t xml:space="preserve"> 08810921</t>
  </si>
  <si>
    <t>Muhammad Yousuf
CNIC: 42000-0424031-1
Phone Number: 03162676106</t>
  </si>
  <si>
    <t>KIA PICANTO A/T</t>
  </si>
  <si>
    <t>BTA-423</t>
  </si>
  <si>
    <t>G3LALP083065</t>
  </si>
  <si>
    <t>NNATA52AZK9704540</t>
  </si>
  <si>
    <t xml:space="preserve"> 08810942</t>
  </si>
  <si>
    <t>M/s. Master Management Private Limited 
User Name: Manzar Alam Chughtai
CNIC: 42101-1573674-3
Phone Number: 0333-3005000
NTN: 2565752-6</t>
  </si>
  <si>
    <t>BDS-202</t>
  </si>
  <si>
    <t>Q024757</t>
  </si>
  <si>
    <t>ZRE171R-6002237</t>
  </si>
  <si>
    <t>09000355-Asif Azeem</t>
  </si>
  <si>
    <t>nomankhan@mastermanagement.pk,ammadali@mastermanagement.pk</t>
  </si>
  <si>
    <t xml:space="preserve"> 08811054</t>
  </si>
  <si>
    <t>Mr. Muhammad Akhtar
CNIC: 42201-7772194-1
Phone Number: 0334-2103000</t>
  </si>
  <si>
    <t>SUZUKI BOLAN</t>
  </si>
  <si>
    <t>CV-1798</t>
  </si>
  <si>
    <t>PK1902049</t>
  </si>
  <si>
    <t>SV308PK01018585</t>
  </si>
  <si>
    <t xml:space="preserve"> 08811066</t>
  </si>
  <si>
    <t>Muhammad Noman Faisal
CNIC: 3520229337289
Cell: 0302-8604555</t>
  </si>
  <si>
    <t>BTA-795</t>
  </si>
  <si>
    <t>G3LALP082945</t>
  </si>
  <si>
    <t>NNATA52AZKP704533</t>
  </si>
  <si>
    <t xml:space="preserve"> 08811094</t>
  </si>
  <si>
    <t>Mr. Muhammad Shahid
CNIC: 4130368457729
Cell: 0300-3015679</t>
  </si>
  <si>
    <t>HONDA BRV - S</t>
  </si>
  <si>
    <t>BG-3227</t>
  </si>
  <si>
    <t>L15213502111</t>
  </si>
  <si>
    <t>NFB041825HR00214</t>
  </si>
  <si>
    <t>09000387-Gulnaz Fatima</t>
  </si>
  <si>
    <t xml:space="preserve"> 08810404</t>
  </si>
  <si>
    <t>Muiz Hassan 
CNIC No. 17301-0259708-5
Cell No. 0335-3131023</t>
  </si>
  <si>
    <t>TOYOTA PASSO</t>
  </si>
  <si>
    <t>LEH-4353</t>
  </si>
  <si>
    <t>1539913</t>
  </si>
  <si>
    <t>0034796</t>
  </si>
  <si>
    <t>2651555@gmail.com</t>
  </si>
  <si>
    <t xml:space="preserve"> 08811209</t>
  </si>
  <si>
    <t>Muhammad Musharraf Kaleem
CNIC: 42501-8793790-9
Phone Number: 0332-3263250</t>
  </si>
  <si>
    <t>BWQ-173</t>
  </si>
  <si>
    <t>6R229466</t>
  </si>
  <si>
    <t>NF1AET306H1129439</t>
  </si>
  <si>
    <t xml:space="preserve"> 08811317</t>
  </si>
  <si>
    <t>Raja Imran Arif
CNIC No. 82102-7167702-9
Cell No. 0333-3622854</t>
  </si>
  <si>
    <t>SUZUKI MEHRAN</t>
  </si>
  <si>
    <t>LEC-18-2741</t>
  </si>
  <si>
    <t>PKB721932</t>
  </si>
  <si>
    <t>SB308PK01260435</t>
  </si>
  <si>
    <t xml:space="preserve"> 08811344</t>
  </si>
  <si>
    <t>Mr. Abdul Khalil 
CNIC: 3710117193139
Cell :0333-5189323</t>
  </si>
  <si>
    <t>KIA SPORTAGE FWD</t>
  </si>
  <si>
    <t>ARE-863</t>
  </si>
  <si>
    <t>G4NALH322516</t>
  </si>
  <si>
    <t>NNAQL51AZKP504606</t>
  </si>
  <si>
    <t xml:space="preserve"> 08811349</t>
  </si>
  <si>
    <t>Zeeshan Ali Khan 
CNIC No. 42201-7812645-3
Cell No. 0300-9220203</t>
  </si>
  <si>
    <t>BDX-649</t>
  </si>
  <si>
    <t>Z207650</t>
  </si>
  <si>
    <t>NZE170R-4021656</t>
  </si>
  <si>
    <t>shan_ali20@yahoo.com</t>
  </si>
  <si>
    <t xml:space="preserve"> 08805984</t>
  </si>
  <si>
    <t>Mr. Usman Khalid
CNIC: 4220112519175
Phone Number: 0314 2578337</t>
  </si>
  <si>
    <t>TOYOTA YARIS ATIV CVT</t>
  </si>
  <si>
    <t>BWS-336</t>
  </si>
  <si>
    <t>2A52169</t>
  </si>
  <si>
    <t>R-7032887</t>
  </si>
  <si>
    <t xml:space="preserve"> 08005042</t>
  </si>
  <si>
    <t>Mr. Shahzad Sher Ali
Cell No. 0334-3344678</t>
  </si>
  <si>
    <t>SUZUKI SWIFT DLX EURO II</t>
  </si>
  <si>
    <t>BTM-425</t>
  </si>
  <si>
    <t>PKS13050477</t>
  </si>
  <si>
    <t>RS413PK10050493</t>
  </si>
  <si>
    <t>Direct Client</t>
  </si>
  <si>
    <t xml:space="preserve"> 08811434</t>
  </si>
  <si>
    <t>Mr. Rooman Khan
CNIC: 42301-3221985-3
Cell: 03149714471</t>
  </si>
  <si>
    <t>BWQ-584</t>
  </si>
  <si>
    <t>6R229146</t>
  </si>
  <si>
    <t>NF1AET306H1129109</t>
  </si>
  <si>
    <t>rooman.khattak@yahoo.com</t>
  </si>
  <si>
    <t xml:space="preserve"> 08811458</t>
  </si>
  <si>
    <t>Mr. Muhammad Ali
CNIC: 42301-8673200-5
Phone Number: 03212437881</t>
  </si>
  <si>
    <t>BQP-906</t>
  </si>
  <si>
    <t>6R104109</t>
  </si>
  <si>
    <t>NF1AET306H1004076</t>
  </si>
  <si>
    <t xml:space="preserve"> 08811438</t>
  </si>
  <si>
    <t>Mr. Shahrukh Shayan Sarfaraz 
CNIC: 4210185088989
Cell: 0345-3827232</t>
  </si>
  <si>
    <t>BTS-162</t>
  </si>
  <si>
    <t>6R167618</t>
  </si>
  <si>
    <t>NF1AET306H1067525</t>
  </si>
  <si>
    <t xml:space="preserve"> 08804736</t>
  </si>
  <si>
    <t>Aeysha Azfar 
CNIC No. 35202-6026604-2
Cell No. 0307-4411881</t>
  </si>
  <si>
    <t>HYUNDAI TUCSON</t>
  </si>
  <si>
    <t>AHH-249</t>
  </si>
  <si>
    <t>G4NAMU166161</t>
  </si>
  <si>
    <t>PMHJ2813MNN205572</t>
  </si>
  <si>
    <t xml:space="preserve"> 08811479</t>
  </si>
  <si>
    <t>Mohammad Zohaib Khalid 
CNIC No. 42301-1967868-5
Cell No. 0331-2281418</t>
  </si>
  <si>
    <t>BJ-2620</t>
  </si>
  <si>
    <t>G4NALU078716</t>
  </si>
  <si>
    <t>PMHJ2813MMN202301</t>
  </si>
  <si>
    <t xml:space="preserve"> 08811493</t>
  </si>
  <si>
    <t>Mr. Muhammad Usama
CNIC: 34101-4954824-3
Phone Number: 0321-9141234</t>
  </si>
  <si>
    <t>BL-4536</t>
  </si>
  <si>
    <t>1GD5064101</t>
  </si>
  <si>
    <t>GUN156R-1096222</t>
  </si>
  <si>
    <t xml:space="preserve"> 08811500</t>
  </si>
  <si>
    <t>FAISAL SHAHZAD
CNIC: 42201-1480640-7
Phone Number: 0336-2361382</t>
  </si>
  <si>
    <t>BWS-848</t>
  </si>
  <si>
    <t>6R233004</t>
  </si>
  <si>
    <t>NF1AET306H1133309</t>
  </si>
  <si>
    <t xml:space="preserve"> 08811509</t>
  </si>
  <si>
    <t>Muhammad Amir
CNIC: 41307-2203522-7
Phone Number: 0300-3002031</t>
  </si>
  <si>
    <t>BUQ-018</t>
  </si>
  <si>
    <t>6R184603</t>
  </si>
  <si>
    <t>NF1AET306H1084618</t>
  </si>
  <si>
    <t xml:space="preserve"> 08811519</t>
  </si>
  <si>
    <t>Mr. Athar Raza
CNIC# 45101-4941934-5
CELL# 0309-1616786</t>
  </si>
  <si>
    <t>BUZ-479</t>
  </si>
  <si>
    <t>6R189433</t>
  </si>
  <si>
    <t>NF1AET306H1089438</t>
  </si>
  <si>
    <t xml:space="preserve"> 08806346</t>
  </si>
  <si>
    <t>Syed Saad Hussain
CNIC# 42201-0331689-9
CELL# 0300-2170508</t>
  </si>
  <si>
    <t>BFU-662</t>
  </si>
  <si>
    <t>PKS13032072</t>
  </si>
  <si>
    <t>RS413PK10032081</t>
  </si>
  <si>
    <t xml:space="preserve"> 08811591</t>
  </si>
  <si>
    <t>Raza Ur Rehman 
CNIC No. 35201-5358500-5
Cell No. 0333-0225267/0321-9204275</t>
  </si>
  <si>
    <t>BYS-148</t>
  </si>
  <si>
    <t>6R273337</t>
  </si>
  <si>
    <t>NF1AET306H1173278</t>
  </si>
  <si>
    <t>09000230-Yasmeen Jatoi</t>
  </si>
  <si>
    <t xml:space="preserve"> 08811596</t>
  </si>
  <si>
    <t>Mr. Shaheryar Shakeel
CNIC: 42101-1638769-1
Phone Number: 0300 2138964</t>
  </si>
  <si>
    <t>BHG-699</t>
  </si>
  <si>
    <t>Z472672</t>
  </si>
  <si>
    <t>NZE170R-4099060</t>
  </si>
  <si>
    <t xml:space="preserve"> 08811619</t>
  </si>
  <si>
    <t>Mr. Arsalan Ahmed
CNIC: 42201-0287516-5
Phone Number: 03452862024</t>
  </si>
  <si>
    <t>BJM-536</t>
  </si>
  <si>
    <t>L13Z17460697</t>
  </si>
  <si>
    <t>NFBGM1547HR203635</t>
  </si>
  <si>
    <t xml:space="preserve"> 08811620</t>
  </si>
  <si>
    <t>Mr. Farrukh Qamar
CNIC: 42201-0256922-3
Phone Number: 03330325173</t>
  </si>
  <si>
    <t>BXR-139</t>
  </si>
  <si>
    <t>K12MR1008655</t>
  </si>
  <si>
    <t>NF1SZC63S00108630</t>
  </si>
  <si>
    <t xml:space="preserve"> 08811626</t>
  </si>
  <si>
    <t>Azeem Hussain Siddqui 
CNIC No. 42201-1212374-1
Cell No. 0332-8234593</t>
  </si>
  <si>
    <t>BFF-087</t>
  </si>
  <si>
    <t>Z407506</t>
  </si>
  <si>
    <t>NZE170R-4066223</t>
  </si>
  <si>
    <t xml:space="preserve"> 08811642</t>
  </si>
  <si>
    <t>Afzan Ahmad 
CNIC No. 35102-2620833-1
Cell No.  0321-7330522</t>
  </si>
  <si>
    <t>AEE-245</t>
  </si>
  <si>
    <t>6R176608</t>
  </si>
  <si>
    <t>NF1AET306H1076605</t>
  </si>
  <si>
    <t xml:space="preserve">	Syed Asim</t>
  </si>
  <si>
    <t xml:space="preserve"> 08809837</t>
  </si>
  <si>
    <t>Adnan Saleem 
CNIC No. 42301-3410019-3
Phone Number. 0321-2490331</t>
  </si>
  <si>
    <t>TOYOTA COROLLA ALTIS</t>
  </si>
  <si>
    <t>BWX-544</t>
  </si>
  <si>
    <t>Q096927</t>
  </si>
  <si>
    <t>ZRE171R-6074422</t>
  </si>
  <si>
    <t xml:space="preserve"> 08811721</t>
  </si>
  <si>
    <t>Mr. Waheed Ashraf Chaudhary
CNIC: 3660235750533
Cell: 03007728210</t>
  </si>
  <si>
    <t>LEH18-3262</t>
  </si>
  <si>
    <t>PK10K121517</t>
  </si>
  <si>
    <t>NF1AVK31H10021498</t>
  </si>
  <si>
    <t xml:space="preserve"> 08811820</t>
  </si>
  <si>
    <t>Mrs. Bushra Irfan 
CNIC No. 42101-2478039-2
Cell No. 0331-2336291</t>
  </si>
  <si>
    <t>BRA-252</t>
  </si>
  <si>
    <t>Q062603</t>
  </si>
  <si>
    <t>ZRE171R-6040101</t>
  </si>
  <si>
    <t xml:space="preserve"> 08003111</t>
  </si>
  <si>
    <t>Mr. Athar Ahmed Khan
CNIC: 42101-1623455-7
Phone Number: 0336-2153284</t>
  </si>
  <si>
    <t>BXH-862</t>
  </si>
  <si>
    <t>2A-53539</t>
  </si>
  <si>
    <t>NSP150R-7033843</t>
  </si>
  <si>
    <t>atharahmedkhan400@gmail.com</t>
  </si>
  <si>
    <t xml:space="preserve"> 08811840</t>
  </si>
  <si>
    <t>Raja Imran Mujahid 
CNIC No. 82103-6533880-1
Cell No. 0312-3993339</t>
  </si>
  <si>
    <t>AYH-274</t>
  </si>
  <si>
    <t>G4NAMH330049</t>
  </si>
  <si>
    <t>NNAQL51AZKP516710</t>
  </si>
  <si>
    <t>arcturus_2017@hotmail.com</t>
  </si>
  <si>
    <t xml:space="preserve"> 08811854</t>
  </si>
  <si>
    <t>Mrs. Nosheen Niazi
CNIC: 42501-7291756-2
Phone Number: 03004356666</t>
  </si>
  <si>
    <t>AGT-028</t>
  </si>
  <si>
    <t>2A44809</t>
  </si>
  <si>
    <t>NSP150R7028080</t>
  </si>
  <si>
    <t xml:space="preserve"> 08811870</t>
  </si>
  <si>
    <t>Mr. Syed Raza Ali
CNIC: 42101-1768510-1
Phone Number: 03002034395</t>
  </si>
  <si>
    <t>BNL-382</t>
  </si>
  <si>
    <t>L15A79790531</t>
  </si>
  <si>
    <t>NFBGM2669JR227334</t>
  </si>
  <si>
    <t xml:space="preserve"> 08806527</t>
  </si>
  <si>
    <t>Muhammad Tayyab
CNIC No. 35201-4959978-7
Phone Number. 0323-4179417</t>
  </si>
  <si>
    <t>ALP-818</t>
  </si>
  <si>
    <t>K12MR1005725</t>
  </si>
  <si>
    <t>NF1SZC63S001057218</t>
  </si>
  <si>
    <t xml:space="preserve"> 08811876</t>
  </si>
  <si>
    <t>Muhammad Farhan 
CNIC No. 42000-0380803-3
Cell No. 0345-2959546</t>
  </si>
  <si>
    <t>SUZUKI Swift GLX CVT</t>
  </si>
  <si>
    <t>BWK-326</t>
  </si>
  <si>
    <t>K12MR1002837</t>
  </si>
  <si>
    <t>NF1SZC63S00102863</t>
  </si>
  <si>
    <t xml:space="preserve"> 08811884</t>
  </si>
  <si>
    <t>Mr. Mazhar Rasheed
CNIC: 33100-5497040-9
Phone Number: 03026090510</t>
  </si>
  <si>
    <t>TOYOTA Rommy</t>
  </si>
  <si>
    <t>AMT-402</t>
  </si>
  <si>
    <t>1KR2286890</t>
  </si>
  <si>
    <t>M900A0279488</t>
  </si>
  <si>
    <t xml:space="preserve"> 08811871</t>
  </si>
  <si>
    <t>Mr. Ahsan Arshad
CNIC: 44103-9097586-3
Phone Number:0334-2802082</t>
  </si>
  <si>
    <t>BVX-391</t>
  </si>
  <si>
    <t>L15Z81003381</t>
  </si>
  <si>
    <t>NFBGN9641MR009512</t>
  </si>
  <si>
    <t xml:space="preserve"> 08811926</t>
  </si>
  <si>
    <t>Mr. Younus Abdul Hameed 
CNIC: 42201-2903459-7
Phone Number: 0333-3256182</t>
  </si>
  <si>
    <t>DAIHATSU HIJET VAN A/T</t>
  </si>
  <si>
    <t>CZ-2002</t>
  </si>
  <si>
    <t>KF-QR24072</t>
  </si>
  <si>
    <t>S321V-0259508</t>
  </si>
  <si>
    <t>younushameedhy@gmail.com</t>
  </si>
  <si>
    <t xml:space="preserve"> 08811927</t>
  </si>
  <si>
    <t>Mr. Arsalan Rasheed
CNIC: 42201-1488078-5
Phone Number: 03218720017/03324959476</t>
  </si>
  <si>
    <t>BXQ-522</t>
  </si>
  <si>
    <t>6R250219</t>
  </si>
  <si>
    <t>NF1AET306H1150258</t>
  </si>
  <si>
    <t xml:space="preserve"> 08806573</t>
  </si>
  <si>
    <t>Mr. Faheem Khan
CNIC # 35202-6578326-7 , Cell # 0321-4563292</t>
  </si>
  <si>
    <t>AEM-741</t>
  </si>
  <si>
    <t>6R173999</t>
  </si>
  <si>
    <t>H1073921</t>
  </si>
  <si>
    <t xml:space="preserve"> 08004864</t>
  </si>
  <si>
    <t>Muhammad Junaid 
CNIC No. 42301-1124097-9
Cell No. 0321-9283174</t>
  </si>
  <si>
    <t>BH-8565</t>
  </si>
  <si>
    <t>G4NALH306394</t>
  </si>
  <si>
    <t>NNAQL51AZKP503229</t>
  </si>
  <si>
    <t xml:space="preserve"> 08811974</t>
  </si>
  <si>
    <t>Irfan Iftikhar 
CNIC No.  42201-3864204-9
Cell No. 0321-9260667</t>
  </si>
  <si>
    <t>BGU-652</t>
  </si>
  <si>
    <t>KF-G302249</t>
  </si>
  <si>
    <t>LA300A-1015576</t>
  </si>
  <si>
    <t>irfan.iftikhar@hotmail.com</t>
  </si>
  <si>
    <t xml:space="preserve"> 08003456</t>
  </si>
  <si>
    <t>Mr. Qayum Shah
CNIC: 4220103834713
Cell: 03212525332</t>
  </si>
  <si>
    <t>BJ-6770</t>
  </si>
  <si>
    <t>LEB-5914466</t>
  </si>
  <si>
    <t>RU3-1214459</t>
  </si>
  <si>
    <t>09000106-Tayyab Khalique</t>
  </si>
  <si>
    <t xml:space="preserve">	Tayyab Khalique</t>
  </si>
  <si>
    <t>Qayum.shah@outlook.com</t>
  </si>
  <si>
    <t xml:space="preserve"> 08812013</t>
  </si>
  <si>
    <t>Mr. Muhammad Rayyan Alam
CNIC: 4220181429613
Phone Number: 03362232741</t>
  </si>
  <si>
    <t>BQY-364</t>
  </si>
  <si>
    <t>R18Z12952528</t>
  </si>
  <si>
    <t>NFBFC6661KR055954</t>
  </si>
  <si>
    <t>rayyanalam46@gmail.com</t>
  </si>
  <si>
    <t xml:space="preserve"> 08810051</t>
  </si>
  <si>
    <t>Mr. Muhammad Ammar
CNIC: 4220185118685
Phone Number: 03083273137</t>
  </si>
  <si>
    <t>KIA KIA SPORTAGE</t>
  </si>
  <si>
    <t>BJ-0798</t>
  </si>
  <si>
    <t>G4NALH334377</t>
  </si>
  <si>
    <t>NNAQL51AZLP100938</t>
  </si>
  <si>
    <t>abudujanashaikh@gmail.com</t>
  </si>
  <si>
    <t xml:space="preserve"> 08812092</t>
  </si>
  <si>
    <t>Mr. Amaan Naqib Qureshi
CNIC: 42201-1995430-3
Phone Number: 03222614168</t>
  </si>
  <si>
    <t>BXF-166</t>
  </si>
  <si>
    <t>6R240819</t>
  </si>
  <si>
    <t>NF1AET306H1140814</t>
  </si>
  <si>
    <t>amannaqib@gmail.com</t>
  </si>
  <si>
    <t xml:space="preserve"> 08812152</t>
  </si>
  <si>
    <t>Mr. Saqlain Abbas
CNIC: 4220165035229
Phone Number: 03337003132</t>
  </si>
  <si>
    <t>BXG-580</t>
  </si>
  <si>
    <t>6R242869</t>
  </si>
  <si>
    <t>NF1AET306H1142045</t>
  </si>
  <si>
    <t>saqlain.abbas1983@gmail.com</t>
  </si>
  <si>
    <t xml:space="preserve"> 08812155</t>
  </si>
  <si>
    <t>Mr. Shahwar Khalid
CNIC: 3520268702691
Phone Number: 03311334033</t>
  </si>
  <si>
    <t>LEB-17A-16</t>
  </si>
  <si>
    <t>Q326341</t>
  </si>
  <si>
    <t>2RE172R7025452</t>
  </si>
  <si>
    <t>itisshahwar@gmail.com</t>
  </si>
  <si>
    <t xml:space="preserve"> 08812178</t>
  </si>
  <si>
    <t>Mr. Muhammad Azam
CNIC: 42101-1540289-1
Phone Number: 03453144536</t>
  </si>
  <si>
    <t>SUZUKI SWIFT A/T</t>
  </si>
  <si>
    <t>BJB-744</t>
  </si>
  <si>
    <t>PKS13035683</t>
  </si>
  <si>
    <t>RS413PK10035697</t>
  </si>
  <si>
    <t>zohaib_azam94@hotmail.com</t>
  </si>
  <si>
    <t xml:space="preserve"> 08812233</t>
  </si>
  <si>
    <t>Mr. Saad Ullah Naeem
CNIC: 3520290350837
Phone Number: 03322331195</t>
  </si>
  <si>
    <t>Un-Reg</t>
  </si>
  <si>
    <t>Q105437</t>
  </si>
  <si>
    <t>ZRE171R-6082969</t>
  </si>
  <si>
    <t xml:space="preserve"> 08812219</t>
  </si>
  <si>
    <t>Mr. Hammad Abbasi
CNIC: 4210122689299
Phone Number: 03332468602</t>
  </si>
  <si>
    <t>BRW-281</t>
  </si>
  <si>
    <t>L13Z17539088</t>
  </si>
  <si>
    <t>NFBGM1542LR260950</t>
  </si>
  <si>
    <t xml:space="preserve"> 08812218</t>
  </si>
  <si>
    <t>Mr. Muhammad Kashif Khursheed
CNIC: 42101-7244161-5
Phone Number: 0300-8268356</t>
  </si>
  <si>
    <t>HONDA CITY I-VTEC P/T</t>
  </si>
  <si>
    <t>BJV-347</t>
  </si>
  <si>
    <t>L13Z17461893</t>
  </si>
  <si>
    <t>NFBGM1640HR204902</t>
  </si>
  <si>
    <t xml:space="preserve"> 08812217</t>
  </si>
  <si>
    <t>Mr. Bilal Ahmed
CNIC: 3740581740113
Phone Number: 03215304681</t>
  </si>
  <si>
    <t>PRINCE PEARL</t>
  </si>
  <si>
    <t>BBZ-432</t>
  </si>
  <si>
    <t>N04603187W</t>
  </si>
  <si>
    <t>RAILPPM22H04325</t>
  </si>
  <si>
    <t>laliba1985@gmail.com</t>
  </si>
  <si>
    <t xml:space="preserve"> 08812294</t>
  </si>
  <si>
    <t>Mr. Siyam Uddin Farooq
Cell: 0300-2012602 CNIC No: 42301-7371510-1</t>
  </si>
  <si>
    <t>TOYOTA COROLLA ALTIS  1.6</t>
  </si>
  <si>
    <t>BWX-633</t>
  </si>
  <si>
    <t>096809</t>
  </si>
  <si>
    <t>6074292</t>
  </si>
  <si>
    <t xml:space="preserve"> 08812295</t>
  </si>
  <si>
    <t>Mr. Muhammad Adnan Siddiqui
CNIC: 3740533192253
Phone Number: 03328282249</t>
  </si>
  <si>
    <t>BTV-299</t>
  </si>
  <si>
    <t>1NZ-1LMR651468</t>
  </si>
  <si>
    <t>NHP10-6743069</t>
  </si>
  <si>
    <t xml:space="preserve"> 08812379</t>
  </si>
  <si>
    <t>Mrs. Shazia Masood
CNIC: 4220185435080
Cell: 03002623624</t>
  </si>
  <si>
    <t>BXG-774</t>
  </si>
  <si>
    <t>6R242501</t>
  </si>
  <si>
    <t>NF1AET306H1142520</t>
  </si>
  <si>
    <t>09000342-Comet Solution Company</t>
  </si>
  <si>
    <t>masoodpso@hotmail.com</t>
  </si>
  <si>
    <t xml:space="preserve"> 08812398</t>
  </si>
  <si>
    <t>Mr. Hammad Rais Suri
CNIC: 3520123531493
Phone Number: 03134021070</t>
  </si>
  <si>
    <t>HONDA CIVIC I-VTEC PROSME</t>
  </si>
  <si>
    <t>AYP-563</t>
  </si>
  <si>
    <t>R18Z1-1828607</t>
  </si>
  <si>
    <t>NFBFB2667CR102286</t>
  </si>
  <si>
    <t>hammadsuri@gmail.com</t>
  </si>
  <si>
    <t xml:space="preserve"> 08812399</t>
  </si>
  <si>
    <t>Mr. Muhammad Shehroze Khan
CNIC: 4220161166233
Phone Number: 03312148755</t>
  </si>
  <si>
    <t>BXP-740</t>
  </si>
  <si>
    <t>KF-J879420</t>
  </si>
  <si>
    <t>LA350S-0196373</t>
  </si>
  <si>
    <t>shehrozekhan94@gmail.com</t>
  </si>
  <si>
    <t xml:space="preserve"> 08812413</t>
  </si>
  <si>
    <t>Mr. Abbas Saeed Hakeem
CNIC: 3420129123795
Phone Number: 03335557790</t>
  </si>
  <si>
    <t>APK-512</t>
  </si>
  <si>
    <t>G4NAKH046427</t>
  </si>
  <si>
    <t>NNAQL51AZKP501323</t>
  </si>
  <si>
    <t xml:space="preserve"> 08812426</t>
  </si>
  <si>
    <t>Mr. Anayat Ullah Khan   
CNIC: 3520229422851
Phone Number: 03205550416</t>
  </si>
  <si>
    <t>HONDA BRV I-VTEC S STD</t>
  </si>
  <si>
    <t>LEA-17A-57</t>
  </si>
  <si>
    <t>L15Z13503439</t>
  </si>
  <si>
    <t>NFBDG1835HR003446</t>
  </si>
  <si>
    <t>anayatullah_khan@yahoo.com</t>
  </si>
  <si>
    <t xml:space="preserve"> 08812459</t>
  </si>
  <si>
    <t>Mr. Syed Atta Ur Rehman
CNIC: 4220170365921
Phone Number: 03343873466</t>
  </si>
  <si>
    <t>BUF-614</t>
  </si>
  <si>
    <t>6R177658</t>
  </si>
  <si>
    <t>NF1AET306H1079005</t>
  </si>
  <si>
    <t>AFSHEEN ISMAIL</t>
  </si>
  <si>
    <t xml:space="preserve"> 08812469</t>
  </si>
  <si>
    <t>Mr. Savio Martin Pereira
CNIC: 4200003871739
Phone Number: 03213752065</t>
  </si>
  <si>
    <t>BAW-438</t>
  </si>
  <si>
    <t>L13Z17503978</t>
  </si>
  <si>
    <t>NFBGM1646HR215175</t>
  </si>
  <si>
    <t>savio29mp@gmail.com</t>
  </si>
  <si>
    <t xml:space="preserve"> 08812475</t>
  </si>
  <si>
    <t>Mr. Asad Aslam
CNIC: 4410416891087
Phone Number: 03131023258</t>
  </si>
  <si>
    <t>BWX-268</t>
  </si>
  <si>
    <t>6R235980</t>
  </si>
  <si>
    <t>NF1AET306H1135949</t>
  </si>
  <si>
    <t>engrasad468@gmail.com</t>
  </si>
  <si>
    <t xml:space="preserve"> 08812563</t>
  </si>
  <si>
    <t>Mr. Syed Farid Jaffery
CNIC: 4220114849857
Phone Number: 03008206222 - 03333324032</t>
  </si>
  <si>
    <t>TOYOTA PRIUS HYBRID</t>
  </si>
  <si>
    <t>BAS-521</t>
  </si>
  <si>
    <t>2ZR-4923272</t>
  </si>
  <si>
    <t>ZVW30-5239046</t>
  </si>
  <si>
    <t>2010</t>
  </si>
  <si>
    <t>faridgr8@gmail.com</t>
  </si>
  <si>
    <t xml:space="preserve"> 08812582</t>
  </si>
  <si>
    <t>Mr. Jai Kumar
CNIC: 41304-8650541-9
Phone Number: 03149200508</t>
  </si>
  <si>
    <t>SUZUKI CULTUS VXL</t>
  </si>
  <si>
    <t>BKL-694</t>
  </si>
  <si>
    <t>PK10K108994</t>
  </si>
  <si>
    <t>NF1AVK31H10008997</t>
  </si>
  <si>
    <t>drs_jays@yahoo.com</t>
  </si>
  <si>
    <t xml:space="preserve"> 08812602</t>
  </si>
  <si>
    <t>Mr. Naveed Anjum
CNIC: 36602-0927628-5
Phone Number: 03007722073</t>
  </si>
  <si>
    <t>LEA-19-4864</t>
  </si>
  <si>
    <t>PK10K132893</t>
  </si>
  <si>
    <t>NF1AVK31H10032895</t>
  </si>
  <si>
    <t>mnaveedanjum633@gmail.com</t>
  </si>
  <si>
    <t xml:space="preserve"> 08812606</t>
  </si>
  <si>
    <t>Mr. Muhammad Sameed
CNIC: 4210185028253
Phone Number: 03323482201</t>
  </si>
  <si>
    <t>PROTON SAGA 1.3 L R3</t>
  </si>
  <si>
    <t>BUH-882</t>
  </si>
  <si>
    <t>S4PEWW7968</t>
  </si>
  <si>
    <t>158752</t>
  </si>
  <si>
    <t xml:space="preserve"> 08812720</t>
  </si>
  <si>
    <t>Mr. Noman Khan
CNIC: 4210117099075
Phone Number: 03009221581</t>
  </si>
  <si>
    <t>BVL-898</t>
  </si>
  <si>
    <t>6R196681</t>
  </si>
  <si>
    <t>NF1AET306H1096600</t>
  </si>
  <si>
    <t>Noman.khan@hotmail.com</t>
  </si>
  <si>
    <t xml:space="preserve"> 08812802</t>
  </si>
  <si>
    <t>Mr. Nadeem Khalid
CNIC: 3310009462281
Phone Number: 03219663878</t>
  </si>
  <si>
    <t>BSW-748</t>
  </si>
  <si>
    <t>6R109528</t>
  </si>
  <si>
    <t>NF1AET306H1009500</t>
  </si>
  <si>
    <t xml:space="preserve"> 08812831</t>
  </si>
  <si>
    <t>Mr. Imran Ali
CNIC:  4230122599805
Phone Number: 03212166616</t>
  </si>
  <si>
    <t>TOYOTA COROLLA ALTIS 1.8</t>
  </si>
  <si>
    <t>BXR-666</t>
  </si>
  <si>
    <t>Q350428</t>
  </si>
  <si>
    <t>ZRE172R- 7048589</t>
  </si>
  <si>
    <t>imranalikatchi@outlook.com</t>
  </si>
  <si>
    <t xml:space="preserve"> 08812847</t>
  </si>
  <si>
    <t>Mr. Zeeshan Haider 
CNIC: 3520135437173
Cell: 03324217779</t>
  </si>
  <si>
    <t>LEF-19-2126</t>
  </si>
  <si>
    <t>PK10K142478</t>
  </si>
  <si>
    <t>NF1AVK31H10042442</t>
  </si>
  <si>
    <t xml:space="preserve"> 08812865</t>
  </si>
  <si>
    <t>Mr. Fahad Muhammad Iqbal
CNIC: 42201-9570392-1
Cell: 03452116695</t>
  </si>
  <si>
    <t>BTU-357</t>
  </si>
  <si>
    <t>1KR-2494203</t>
  </si>
  <si>
    <t>KSP130-4027907</t>
  </si>
  <si>
    <t>Sarim Raza</t>
  </si>
  <si>
    <t xml:space="preserve"> 08812901</t>
  </si>
  <si>
    <t>Mr. Ali Ather Khan 
Cell: 0316 030397
CNIC: 42101-3772675-5</t>
  </si>
  <si>
    <t>BKY-210</t>
  </si>
  <si>
    <t>Z400323</t>
  </si>
  <si>
    <t>NZE170R-4127048</t>
  </si>
  <si>
    <t xml:space="preserve"> 08804776</t>
  </si>
  <si>
    <t>Mr. Athar Abbas
CNIC: 4220165254195
Cell: 03212053342</t>
  </si>
  <si>
    <t>CHANGAN ALSVIN</t>
  </si>
  <si>
    <t>AZV-441</t>
  </si>
  <si>
    <t>531399</t>
  </si>
  <si>
    <t>1006593</t>
  </si>
  <si>
    <t>MUHAMMAD WAQAS</t>
  </si>
  <si>
    <t>atharabbas84@gmail.com</t>
  </si>
  <si>
    <t xml:space="preserve"> 08802519</t>
  </si>
  <si>
    <t>Mr. Ahmed Zubair Kapadia
CNIC# 42301-1667981-1
CELL# 0346-8559855</t>
  </si>
  <si>
    <t>PRINCE GLORY 580 PRO TURB</t>
  </si>
  <si>
    <t>BJ-7636</t>
  </si>
  <si>
    <t>SFG15T-21028652</t>
  </si>
  <si>
    <t>PDF580PALR21H1590</t>
  </si>
  <si>
    <t>Rehan Ali Bashir</t>
  </si>
  <si>
    <t xml:space="preserve"> 08812960</t>
  </si>
  <si>
    <t>Mr. Syed Rizwan Ali
CNIC: 3740503298773
Cell: 03215388777</t>
  </si>
  <si>
    <t>HONDA CIVIC I-VTEC</t>
  </si>
  <si>
    <t>ZH-396</t>
  </si>
  <si>
    <t>2543711</t>
  </si>
  <si>
    <t>107136</t>
  </si>
  <si>
    <t>voiceplus1@gmail.com</t>
  </si>
  <si>
    <t xml:space="preserve"> 08805936</t>
  </si>
  <si>
    <t>Waseem Asghar Chughtai
CNIC:  4230148677867
Phone Number: 03008255294</t>
  </si>
  <si>
    <t>TOYOTA LAND CRUISER PRADO</t>
  </si>
  <si>
    <t>APA-556</t>
  </si>
  <si>
    <t>2TR-1159925</t>
  </si>
  <si>
    <t>TRJ150-0026416</t>
  </si>
  <si>
    <t>waseemchughtai62@gmail.com</t>
  </si>
  <si>
    <t xml:space="preserve"> 08812992</t>
  </si>
  <si>
    <t>Mr. Yasir Nomi
CNIC:  4220107815455
Phone Number: 03362386655</t>
  </si>
  <si>
    <t>BXJ-858</t>
  </si>
  <si>
    <t>6R248115</t>
  </si>
  <si>
    <t>NF1AET306H1148115</t>
  </si>
  <si>
    <t xml:space="preserve"> 08812999</t>
  </si>
  <si>
    <t>Mr. Muhammad Asif
CNIC No: 3520134546079
Phone Number:  03234294833</t>
  </si>
  <si>
    <t>TOYOTA YARIS GLI CVT</t>
  </si>
  <si>
    <t>AKF-619</t>
  </si>
  <si>
    <t>2A52269</t>
  </si>
  <si>
    <t>NSP150R-7033015</t>
  </si>
  <si>
    <t>muhammadasiph42@gmail.com</t>
  </si>
  <si>
    <t xml:space="preserve"> 08802458</t>
  </si>
  <si>
    <t>Mrs. Tanveer Shah
CNIC #. 42301-1862673-4
CELL #. 0300-8200788</t>
  </si>
  <si>
    <t>AUDI A6 1.8 TFSI EXECUTIV</t>
  </si>
  <si>
    <t>BJT-595</t>
  </si>
  <si>
    <t>CYG010120</t>
  </si>
  <si>
    <t>WAUZZZ4G9HN116365</t>
  </si>
  <si>
    <t>Sarosh Hassan</t>
  </si>
  <si>
    <t xml:space="preserve"> 08813022</t>
  </si>
  <si>
    <t>Mr. Sikandar Khan
CNIC:  4220188058517
Phone Number: 03142215721</t>
  </si>
  <si>
    <t xml:space="preserve"> 08813042</t>
  </si>
  <si>
    <t>Mr. Khawar Afridi
CNIC: 42201-4443374-7
CELL: 0332-2231699</t>
  </si>
  <si>
    <t>BZC-101</t>
  </si>
  <si>
    <t>K12MR1006952</t>
  </si>
  <si>
    <t>NF1SZC63S00107045</t>
  </si>
  <si>
    <t>ASIF AZEEM</t>
  </si>
  <si>
    <t xml:space="preserve"> 08813045</t>
  </si>
  <si>
    <t>Mr. Mukhtiar Hussain
CNIC:  4540208392673
Phone Number: 03342823785</t>
  </si>
  <si>
    <t>BM-0085</t>
  </si>
  <si>
    <t>G4NAMU153133</t>
  </si>
  <si>
    <t>PMHJ2813MNN206281</t>
  </si>
  <si>
    <t>khankhabkhan@gmail.com</t>
  </si>
  <si>
    <t xml:space="preserve"> 08813053</t>
  </si>
  <si>
    <t>Mr. Muhammad Hamid
CNIC:  4250180902581
Phone Number: 03313780625</t>
  </si>
  <si>
    <t>BXM-994</t>
  </si>
  <si>
    <t>K12MR1008036</t>
  </si>
  <si>
    <t>NF1SZC63S00108019</t>
  </si>
  <si>
    <t xml:space="preserve"> 08813055</t>
  </si>
  <si>
    <t>Mrs. Shazia Perveen
CNIC No: 4220105854942
Phone Number:  03313683717</t>
  </si>
  <si>
    <t>BXJ-838</t>
  </si>
  <si>
    <t>PK10K201210</t>
  </si>
  <si>
    <t>NF1AVK31H10101200</t>
  </si>
  <si>
    <t xml:space="preserve"> 08813078</t>
  </si>
  <si>
    <t>Mr. Fahad Nazir
CNIC:  4130320373465
Cell: 03332643214</t>
  </si>
  <si>
    <t>BUP-115</t>
  </si>
  <si>
    <t>6R182389</t>
  </si>
  <si>
    <t>NF1AET306H1082376</t>
  </si>
  <si>
    <t>fahadnazirmemon@gmail.com</t>
  </si>
  <si>
    <t xml:space="preserve"> 08813087</t>
  </si>
  <si>
    <t>Mr. Zeeshan Ahmad
CNIC: 3520260912851
Cell: 03310403987</t>
  </si>
  <si>
    <t>HONDA N WGN</t>
  </si>
  <si>
    <t>LEH-17-716</t>
  </si>
  <si>
    <t>SO7A7196603</t>
  </si>
  <si>
    <t>JH12038380</t>
  </si>
  <si>
    <t>faizan.sarwar@hotmail.com</t>
  </si>
  <si>
    <t>Mr. Muhammad Adnan Siddiqui
CNIC: 37405-3319225-3
Cell: 0321-5573573 / 0332-8282249</t>
  </si>
  <si>
    <t>BJ-5109</t>
  </si>
  <si>
    <t>G4NAMU097034</t>
  </si>
  <si>
    <t>PMHJ2813SMN203816</t>
  </si>
  <si>
    <t xml:space="preserve"> 08813133</t>
  </si>
  <si>
    <t>Mrs. Aqsa Javed
CNIC No: 37405-5785523-6
Phone Number:  03237565158</t>
  </si>
  <si>
    <t>ACU-816</t>
  </si>
  <si>
    <t>L11610482W</t>
  </si>
  <si>
    <t>RAILPPM21C02100</t>
  </si>
  <si>
    <t>Mr. Zeeshan Ali Khan
CNIC No: 4220178126453
Phone Number:  03009220203</t>
  </si>
  <si>
    <t>BQQ-690</t>
  </si>
  <si>
    <t>6R103616</t>
  </si>
  <si>
    <t>NF1AET306H1003515</t>
  </si>
  <si>
    <t xml:space="preserve"> 08813183</t>
  </si>
  <si>
    <t>Syed Abid Hussain Shah
CNIC #. 42501-1437449-1
CELL #. 0333-4348422</t>
  </si>
  <si>
    <t>BUN-095</t>
  </si>
  <si>
    <t>PK10K184850</t>
  </si>
  <si>
    <t>NF1AVK31H10084850</t>
  </si>
  <si>
    <t>09000539-Rehan Ali Basheer</t>
  </si>
  <si>
    <t xml:space="preserve"> 08813191</t>
  </si>
  <si>
    <t>Mr. Muhammad Irfan Tariq
CNIC No: 4210115251317
Phone Number:  03322597872</t>
  </si>
  <si>
    <t>BXF-228</t>
  </si>
  <si>
    <t>K12MR1005786</t>
  </si>
  <si>
    <t>NF1SZC63S00105907</t>
  </si>
  <si>
    <t xml:space="preserve"> 08813255</t>
  </si>
  <si>
    <t>Ms. Saeeda Kanwal
CNIC: 4240145687400
Phone Number: 03452330386</t>
  </si>
  <si>
    <t>BXE-870</t>
  </si>
  <si>
    <t>6R241002</t>
  </si>
  <si>
    <t>NF1AET306H1141036</t>
  </si>
  <si>
    <t xml:space="preserve"> 08813261</t>
  </si>
  <si>
    <t>Mr. Nusrat Hussain
Cell: 03008286215
CNIC: 4130413637021</t>
  </si>
  <si>
    <t>TOYOTA COROLLA ALTIS M/T</t>
  </si>
  <si>
    <t>BPQ-797</t>
  </si>
  <si>
    <t>Z540216</t>
  </si>
  <si>
    <t>NZE170R-4166023</t>
  </si>
  <si>
    <t xml:space="preserve">	Aamir Hussain</t>
  </si>
  <si>
    <t xml:space="preserve"> 08813269</t>
  </si>
  <si>
    <t>Mr. Muhammad Shoaib
CNIC No: 4210152460591
Phone Number:  03337024824</t>
  </si>
  <si>
    <t>BXQ-873</t>
  </si>
  <si>
    <t>6R248911</t>
  </si>
  <si>
    <t>NF1AET306H1148937</t>
  </si>
  <si>
    <t xml:space="preserve"> 08813316</t>
  </si>
  <si>
    <t>Mr. Muhammad Aamir Aftab
CNIC No: 3840322499899
Phone Number:  03454009351</t>
  </si>
  <si>
    <t>LE-18A-9844</t>
  </si>
  <si>
    <t>L13Z17517380</t>
  </si>
  <si>
    <t>NFBGM1545JR232640</t>
  </si>
  <si>
    <t>aamiraftab@gmail.com</t>
  </si>
  <si>
    <t xml:space="preserve"> 08813329</t>
  </si>
  <si>
    <t>Toqeer Hussain
CNIC: 33104-2203243-5
Phone Number: 03227957931 - 03008472867</t>
  </si>
  <si>
    <t>AJN-326</t>
  </si>
  <si>
    <t>6R222064</t>
  </si>
  <si>
    <t>NF1AET306H1122078</t>
  </si>
  <si>
    <t xml:space="preserve"> 08813287</t>
  </si>
  <si>
    <t>Mr. S Muhammad Khuram Shahzad
CNIC No: 3740528436135
Phone Number:  03225135707</t>
  </si>
  <si>
    <t>ADT-553</t>
  </si>
  <si>
    <t>3B20-KG4090</t>
  </si>
  <si>
    <t>B21W-0237212</t>
  </si>
  <si>
    <t>Fizza Sheikh</t>
  </si>
  <si>
    <t xml:space="preserve"> 08809653</t>
  </si>
  <si>
    <t>Mr. Muneeb Khalil Sheikh
CNIC: 3520248084143
Phone Number: 03244449440</t>
  </si>
  <si>
    <t>K12MR1016553</t>
  </si>
  <si>
    <t>NF1SZC63S00116550</t>
  </si>
  <si>
    <t xml:space="preserve"> 08813391</t>
  </si>
  <si>
    <t>Mr. Muhammad Irfan
CNIC: 4230170953247
Phone Number: 03238227055</t>
  </si>
  <si>
    <t>KIA SPORTAGE</t>
  </si>
  <si>
    <t>BJ-5546</t>
  </si>
  <si>
    <t>G4NAMH315418</t>
  </si>
  <si>
    <t>NNAQL51AZKP512889</t>
  </si>
  <si>
    <t>Mr. Zeeshan Ali Khan
CNIC: 42201-7812645-3
Cell: 03009220203</t>
  </si>
  <si>
    <t>BUT-492</t>
  </si>
  <si>
    <t>65159298</t>
  </si>
  <si>
    <t>NF1AET306H1059316</t>
  </si>
  <si>
    <t>Mr. Muhammad Irfan
Cell No. 03238227055
CNIC No. 42301-7095324-7</t>
  </si>
  <si>
    <t>BK-7237</t>
  </si>
  <si>
    <t>1GD5217598</t>
  </si>
  <si>
    <t>GUN156R-1100925</t>
  </si>
  <si>
    <t xml:space="preserve"> 08807783</t>
  </si>
  <si>
    <t>Mr. Khan Jalal Azar
CNIC# 42101-2984919-7
CELL# +92 332 3026774</t>
  </si>
  <si>
    <t>BKB-129</t>
  </si>
  <si>
    <t>PK10K103978</t>
  </si>
  <si>
    <t>NF1AVK31H10003967</t>
  </si>
  <si>
    <t>Jalal_32@hotmail.com</t>
  </si>
  <si>
    <t xml:space="preserve"> 08813438</t>
  </si>
  <si>
    <t>Mr. Muhammad Qaseem Raza 
CNIC: 37406-0951770-9
Cell:  03136801772</t>
  </si>
  <si>
    <t>SUZUKI CIAZ</t>
  </si>
  <si>
    <t>AKC-762</t>
  </si>
  <si>
    <t>K14BS139844</t>
  </si>
  <si>
    <t>MMSCVC41S00101321</t>
  </si>
  <si>
    <t>qaseem.alvi@gmail.com</t>
  </si>
  <si>
    <t xml:space="preserve"> 08813439</t>
  </si>
  <si>
    <t>Mr. Muhammad Shahmeer Iftikhar  
CNIC: 4220155945385
Cell: 03182123310</t>
  </si>
  <si>
    <t>BMZ-441</t>
  </si>
  <si>
    <t>PK10K125342</t>
  </si>
  <si>
    <t>NF1AVK31H10025311</t>
  </si>
  <si>
    <t xml:space="preserve"> 08813464</t>
  </si>
  <si>
    <t>Muddasir Ali Jokhio
CNIC: 4130608283093
Cell No. 03333888456</t>
  </si>
  <si>
    <t>BG-7794</t>
  </si>
  <si>
    <t>1GD0434603</t>
  </si>
  <si>
    <t>GUN156R-1090426</t>
  </si>
  <si>
    <t xml:space="preserve"> 08811021</t>
  </si>
  <si>
    <t>Mr. Adeeb Ahmed Khan Afridi
CNIC: 4220107633141
Phone Number: 0333-2200000</t>
  </si>
  <si>
    <t>BYB-101</t>
  </si>
  <si>
    <t>Q072351</t>
  </si>
  <si>
    <t>ZRE171R-6049818</t>
  </si>
  <si>
    <t>Mr. Khawar Afridi 
CNIC No. 42201-4443374-7
Cell No. 0332-2231699</t>
  </si>
  <si>
    <t>BTB-101</t>
  </si>
  <si>
    <t>KF-H707028</t>
  </si>
  <si>
    <t>LA360S-0022510</t>
  </si>
  <si>
    <t xml:space="preserve"> 08813582</t>
  </si>
  <si>
    <t>Mr. Sohail Rasheed
CNIC No. 33100-0973887-5
Cell No. 0333-6539068</t>
  </si>
  <si>
    <t>AVD-485</t>
  </si>
  <si>
    <t>G4NAMU103252</t>
  </si>
  <si>
    <t>PMHJ2813SMN204288</t>
  </si>
  <si>
    <t>sohailrasheed89000@gmail.com</t>
  </si>
  <si>
    <t xml:space="preserve"> 08813639</t>
  </si>
  <si>
    <t>Mr. Ahsen Ali
CNIC: 1350342285855
Phone Number: 03145013222</t>
  </si>
  <si>
    <t>SUZUKI CULTUS VXR</t>
  </si>
  <si>
    <t>AKA-867</t>
  </si>
  <si>
    <t>PK10K126428</t>
  </si>
  <si>
    <t>NF1AVK31H10026405</t>
  </si>
  <si>
    <t>ahsenali381@gmail.com</t>
  </si>
  <si>
    <t xml:space="preserve"> 08807988</t>
  </si>
  <si>
    <t>Syed Abdul Haseeb 
CNIC #. 42201-7303540-3
CELL #. 0336-1819350</t>
  </si>
  <si>
    <t>BXT-601</t>
  </si>
  <si>
    <t>1008743</t>
  </si>
  <si>
    <t>108787</t>
  </si>
  <si>
    <t>Muhammad Danish</t>
  </si>
  <si>
    <t xml:space="preserve"> 08813706</t>
  </si>
  <si>
    <t>Mr. Muhammad Bilal Qureshi
CNIC: 4200005132125
Cell: 0332-3521661</t>
  </si>
  <si>
    <t>BUP-561</t>
  </si>
  <si>
    <t>PK10K184535</t>
  </si>
  <si>
    <t>NF1AVK31H10084545</t>
  </si>
  <si>
    <t>m_bilalqureshi@hotmail.com</t>
  </si>
  <si>
    <t xml:space="preserve"> 08813731</t>
  </si>
  <si>
    <t>Mr. Muhammad Abdul Ali Moiz 
CNIC: 42201-0514560-7
Cell: 03333197513</t>
  </si>
  <si>
    <t>BJJ-032</t>
  </si>
  <si>
    <t>Z491047</t>
  </si>
  <si>
    <t>NZE170R-4117539</t>
  </si>
  <si>
    <t>Mr. Muhammad Abdul Ali Moiz 
CNIC: 42201-0514560-7
Cell: 0333-2332103</t>
  </si>
  <si>
    <t xml:space="preserve"> 08813805</t>
  </si>
  <si>
    <t>Mrs. Nazia Kashif
CNIC: 4210109172144
Phone Number: 03218252008</t>
  </si>
  <si>
    <t>BJ-6003</t>
  </si>
  <si>
    <t>G4NAMU099907</t>
  </si>
  <si>
    <t>PMHJ2813SMN203948</t>
  </si>
  <si>
    <t xml:space="preserve"> 08813813</t>
  </si>
  <si>
    <t>Mr. Zafar Iqbal Awan
CNIC: 3740247546065
Phone Number: 03345260889</t>
  </si>
  <si>
    <t>FT-173</t>
  </si>
  <si>
    <t>PKB628840</t>
  </si>
  <si>
    <t>SB308PK01166418</t>
  </si>
  <si>
    <t xml:space="preserve"> 08813835</t>
  </si>
  <si>
    <t>Mrs. Tanzila Riaz
CNIC: 4250153288946
Cell: 03218201728</t>
  </si>
  <si>
    <t>BWE-240</t>
  </si>
  <si>
    <t>KF-J638335</t>
  </si>
  <si>
    <t>LA350S-0088116</t>
  </si>
  <si>
    <t>ahsan.baripm@gmail.com</t>
  </si>
  <si>
    <t xml:space="preserve"> 08809635</t>
  </si>
  <si>
    <t>Mr. Zeeshan Ali
CNIC: 4210176490019
Cell: 03152709408</t>
  </si>
  <si>
    <t>BMH-952</t>
  </si>
  <si>
    <t>Z522020</t>
  </si>
  <si>
    <t>NZE170R-414851</t>
  </si>
  <si>
    <t xml:space="preserve"> 08813949</t>
  </si>
  <si>
    <t>Mr. Saqib Raza 
CNIC: 4230110001937
Cell: 03219239337</t>
  </si>
  <si>
    <t>BFL-564</t>
  </si>
  <si>
    <t>Z398701</t>
  </si>
  <si>
    <t>NZE170R-4063954</t>
  </si>
  <si>
    <t>09000210-Tariq Shahzad</t>
  </si>
  <si>
    <t xml:space="preserve"> 08810783</t>
  </si>
  <si>
    <t>Mr. Saeed Ahmed
CNIC No: 4120575781255
Phone Number:  03343926061</t>
  </si>
  <si>
    <t>BSC 711</t>
  </si>
  <si>
    <t>2A05456</t>
  </si>
  <si>
    <t>NSP150R-7002850</t>
  </si>
  <si>
    <t xml:space="preserve"> 08814001</t>
  </si>
  <si>
    <t>Mr. Khalil Ahmed
CNIC: 4550497752359
Cell: 03352741410</t>
  </si>
  <si>
    <t>BUN-135</t>
  </si>
  <si>
    <t>PK10K184558</t>
  </si>
  <si>
    <t>NF1AVK31H10084561</t>
  </si>
  <si>
    <t>Mr. Hamza Saleem Mirza
CNIC# 42101-8566667-9
CELL# 0334-1120985</t>
  </si>
  <si>
    <t>6R226621</t>
  </si>
  <si>
    <t>NF1AET306H1126643</t>
  </si>
  <si>
    <t xml:space="preserve"> 08814042</t>
  </si>
  <si>
    <t>Mr. Sheikh Hamza Shahzad
CNIC: 4200025792387
Phone Number: 03444916486</t>
  </si>
  <si>
    <t>BVV-159</t>
  </si>
  <si>
    <t>Q088021</t>
  </si>
  <si>
    <t>ZRE171R-6065478</t>
  </si>
  <si>
    <t xml:space="preserve"> 08814045</t>
  </si>
  <si>
    <t>Mr. Syed Faraz Uddin
CNIC: 42101-1619337-9
CELL NO: 03142362126</t>
  </si>
  <si>
    <t>PROTON SAGA</t>
  </si>
  <si>
    <t>BUN-315</t>
  </si>
  <si>
    <t>S4PEWJ7749</t>
  </si>
  <si>
    <t>PL1BT3SRRRMB154658</t>
  </si>
  <si>
    <t xml:space="preserve"> 08814097</t>
  </si>
  <si>
    <t>Mr. Syed Hammad Raza
CNIC: 3630269346129
Phone Number: 03008734088</t>
  </si>
  <si>
    <t>HONDA CIVIC I-VTEC A/T</t>
  </si>
  <si>
    <t>AEH-231</t>
  </si>
  <si>
    <t>R18Z12917028</t>
  </si>
  <si>
    <t>NFBFC6662HR020395</t>
  </si>
  <si>
    <t>09000607-Al Meezan Autos</t>
  </si>
  <si>
    <t xml:space="preserve"> 08814120</t>
  </si>
  <si>
    <t>Mr. Naseer Ahmed
CNIC: 3650195360971
Cell: 03024054817</t>
  </si>
  <si>
    <t>KIA KIA SPORTAGE AWD</t>
  </si>
  <si>
    <t>ABB-721</t>
  </si>
  <si>
    <t>G4NALH323789</t>
  </si>
  <si>
    <t>NNAOL51AZKP505384</t>
  </si>
  <si>
    <t xml:space="preserve"> 08814139</t>
  </si>
  <si>
    <t>Mr. Fahad Mateen
CNIC: 42101-0628648-9
CELL NO: 03340328258, 03152897190</t>
  </si>
  <si>
    <t>SUZUKI ALTO VXL AGS</t>
  </si>
  <si>
    <t>BXL-725</t>
  </si>
  <si>
    <t>6R247865</t>
  </si>
  <si>
    <t>NF1AET306H1147981</t>
  </si>
  <si>
    <t xml:space="preserve"> 08809638</t>
  </si>
  <si>
    <t>Mr. Abdul Rehman Aslam
CNIC: 31202-3480724-1
Phone Number: 03008037770</t>
  </si>
  <si>
    <t>CHANGAN ALSVIN M/T</t>
  </si>
  <si>
    <t>AXW-201</t>
  </si>
  <si>
    <t>138109</t>
  </si>
  <si>
    <t>10038125</t>
  </si>
  <si>
    <t xml:space="preserve"> 08814273</t>
  </si>
  <si>
    <t>Mr. Syed Farrukh Hussain
CNIC No: 35202-6403427-3
Phone Number:  03014550204</t>
  </si>
  <si>
    <t>LEC-18A-6175</t>
  </si>
  <si>
    <t>PKT987453</t>
  </si>
  <si>
    <t>SV308PK01103937</t>
  </si>
  <si>
    <t>Mr. Abdul Rehman Aslam
CNIC: 3120234807241
Phone Number: 03008037770</t>
  </si>
  <si>
    <t>RI-890</t>
  </si>
  <si>
    <t xml:space="preserve"> 08814368</t>
  </si>
  <si>
    <t>Mr. Jahangir Khan
CNIC: 4210158839601
Cell: 03212023444</t>
  </si>
  <si>
    <t>TOYOTA HILUX REVO</t>
  </si>
  <si>
    <t>KW-8915</t>
  </si>
  <si>
    <t>1GD0468007</t>
  </si>
  <si>
    <t>GUN126R-5531688</t>
  </si>
  <si>
    <t xml:space="preserve"> 08810288</t>
  </si>
  <si>
    <t>Mr. Shakeel Ahmed Shah
CNIC: 37405-0648210-7
Cell: 03242163424</t>
  </si>
  <si>
    <t>BAS-288</t>
  </si>
  <si>
    <t>Q101363</t>
  </si>
  <si>
    <t>ZRE171R-6078854</t>
  </si>
  <si>
    <t xml:space="preserve"> 08810457</t>
  </si>
  <si>
    <t>Mr. Muhammad Kamran Khan
CNIC: 4230108686045
Phone Number: 03219085148</t>
  </si>
  <si>
    <t>BTA-551</t>
  </si>
  <si>
    <t>6R149605</t>
  </si>
  <si>
    <t>NF1AET306H1049539</t>
  </si>
  <si>
    <t xml:space="preserve"> 08809552</t>
  </si>
  <si>
    <t>Mr. Mohammad Shaheer Jaffery
CNIC: 4220195389113 
Phone Number: 03358206222 - 03358206222</t>
  </si>
  <si>
    <t>BAL-082</t>
  </si>
  <si>
    <t>1KR-1136695</t>
  </si>
  <si>
    <t>KGC30-0041532</t>
  </si>
  <si>
    <t xml:space="preserve"> 08814490</t>
  </si>
  <si>
    <t>Mr. Bakhsh Ali Abro
CNIC: 4320377902263
Cell: 03335862556</t>
  </si>
  <si>
    <t>BVC-063</t>
  </si>
  <si>
    <t>Q084045</t>
  </si>
  <si>
    <t>ZRE171R-6061612</t>
  </si>
  <si>
    <t>Mr. Irfan Iftikhar 
CNIC: 42201-3864204-9
Cell: 0321-9260667</t>
  </si>
  <si>
    <t>BZE-268</t>
  </si>
  <si>
    <t>6R287243</t>
  </si>
  <si>
    <t>NF1AET306H1187281</t>
  </si>
  <si>
    <t xml:space="preserve"> 08814571</t>
  </si>
  <si>
    <t>Mr. Muhammad Ajmal Nasir
Cell: 03458491956 
CNIC: 3740578177255</t>
  </si>
  <si>
    <t>ARS-045</t>
  </si>
  <si>
    <t>G4NALH318143</t>
  </si>
  <si>
    <t>NNAQL51AZKP504807</t>
  </si>
  <si>
    <t>KHURRAM ANIS</t>
  </si>
  <si>
    <t xml:space="preserve"> 08814603</t>
  </si>
  <si>
    <t>Mr. Saqib Ali Malik          
CNIC No: 42501-6061803-1
Phone Number: 03265008595</t>
  </si>
  <si>
    <t>TOYOTA COROLLA ALTIS CVT</t>
  </si>
  <si>
    <t>BDV-466</t>
  </si>
  <si>
    <t>Q310611</t>
  </si>
  <si>
    <t>ZRE172R-7009601</t>
  </si>
  <si>
    <t xml:space="preserve"> 08814601</t>
  </si>
  <si>
    <t>Mr. Syed Sameer Ali
CNIC: 4210142239417
Cell: 0300-9224894</t>
  </si>
  <si>
    <t>BQB-025</t>
  </si>
  <si>
    <t>3B20-LS5199</t>
  </si>
  <si>
    <t>B21W-0414116</t>
  </si>
  <si>
    <t xml:space="preserve"> 08814743</t>
  </si>
  <si>
    <t>Mr. Muhammad Waseem Khan 
CNIC No. 35202-2690534-3
Cell No. 0345-4021619</t>
  </si>
  <si>
    <t>HONDA CITY ASPIRE</t>
  </si>
  <si>
    <t>AGW-653</t>
  </si>
  <si>
    <t>L15Z81003149</t>
  </si>
  <si>
    <t>NFBGN9668MR00872</t>
  </si>
  <si>
    <t xml:space="preserve"> 08814789</t>
  </si>
  <si>
    <t>Mr. Naeem Aman
CNIC No: 3630241325935
Phone Number:  03126611562</t>
  </si>
  <si>
    <t>AYD-937</t>
  </si>
  <si>
    <t>SFG15T-21778472</t>
  </si>
  <si>
    <t>PDF580PALR22C3482</t>
  </si>
  <si>
    <t xml:space="preserve"> 08802690</t>
  </si>
  <si>
    <t>M/s. Habib Bank Limited as Lessor and Mr. Muhammad Mubashir Rafiq as Lessee
CNIC# 36502-0158179-5
CELL# 0306-7816248</t>
  </si>
  <si>
    <t>HONDA CITY 1.2  LS CVT</t>
  </si>
  <si>
    <t>AUK-251</t>
  </si>
  <si>
    <t>L12B51002191</t>
  </si>
  <si>
    <t>NFBGN862XMR002907</t>
  </si>
  <si>
    <t>Muhammad Fiaz</t>
  </si>
  <si>
    <t xml:space="preserve"> 08808592</t>
  </si>
  <si>
    <t>Mr. Muhammad Umair
CNIC # 42101-8855079-7
Cell # 03008230054</t>
  </si>
  <si>
    <t>BEA-565</t>
  </si>
  <si>
    <t>Q026864</t>
  </si>
  <si>
    <t>ZRE171R-6004347</t>
  </si>
  <si>
    <t>Maria Tauqeer</t>
  </si>
  <si>
    <t>umair.anwar@ideas.com.pk</t>
  </si>
  <si>
    <t xml:space="preserve"> 08808836</t>
  </si>
  <si>
    <t>Mr. Sarang Abdullah
CNIC# 41307-0784556-1
CELL# 03333646877</t>
  </si>
  <si>
    <t>HONDA CITY I-VTEC A/T PT</t>
  </si>
  <si>
    <t>BER-641</t>
  </si>
  <si>
    <t>L13Z17436708</t>
  </si>
  <si>
    <t>NFBGM1641FR176168</t>
  </si>
  <si>
    <t>41307-0784556-1</t>
  </si>
  <si>
    <t xml:space="preserve"> 08808908</t>
  </si>
  <si>
    <t>Mr. Mustansir Shaherwala
CNIC# 42301-3066909-1
CELL# 03452388625</t>
  </si>
  <si>
    <t>BK-0253</t>
  </si>
  <si>
    <t>G4NAMH306727</t>
  </si>
  <si>
    <t>NNAQL51AZKP306162</t>
  </si>
  <si>
    <t>42301-3066909-1</t>
  </si>
  <si>
    <t>mshaherwala@gmail.com</t>
  </si>
  <si>
    <t xml:space="preserve"> 08808942</t>
  </si>
  <si>
    <t>Mr. Karim Jiwani
CNIC# 42201-0647509-3
CELL# 0300-8241895</t>
  </si>
  <si>
    <t>BNA-820</t>
  </si>
  <si>
    <t>PK10B164530</t>
  </si>
  <si>
    <t>A1J310PK10064515</t>
  </si>
  <si>
    <t>42201-0647509-3</t>
  </si>
  <si>
    <t xml:space="preserve"> 08814890</t>
  </si>
  <si>
    <t>Mr. Khawaja Absar Hafeez
CNIC: 4210185256937
Phone Number: 03463254084</t>
  </si>
  <si>
    <t>BKT-711</t>
  </si>
  <si>
    <t>L13Z17501912</t>
  </si>
  <si>
    <t>NFBGM1646HR211840</t>
  </si>
  <si>
    <t xml:space="preserve"> 08814897</t>
  </si>
  <si>
    <t>Mr. Amir Murtaza
CNIC: 42201-0466699-3
Cell: 03219261090</t>
  </si>
  <si>
    <t>HONDA CITY 1.5 ASPIRE CVT</t>
  </si>
  <si>
    <t>BVF-060</t>
  </si>
  <si>
    <t>L15Z81002328</t>
  </si>
  <si>
    <t>NFBGN9662MR007303</t>
  </si>
  <si>
    <t xml:space="preserve"> 08814931</t>
  </si>
  <si>
    <t>Mr. Asif Bukhtiar
CNIC No: 3630277619233
Phone Number:  03026971252</t>
  </si>
  <si>
    <t>LEA-17A-5356</t>
  </si>
  <si>
    <t>L13Z17502258</t>
  </si>
  <si>
    <t>NFBGM154XHR212359</t>
  </si>
  <si>
    <t xml:space="preserve"> 08814954</t>
  </si>
  <si>
    <t>Mr. Rehan Mahmood
CNIC No: 4220102902779
Phone Number:  03463539325</t>
  </si>
  <si>
    <t>BRS-757</t>
  </si>
  <si>
    <t>6R133979</t>
  </si>
  <si>
    <t>NF1AET306H1033801</t>
  </si>
  <si>
    <t>rehanmehmood83@gmail.com</t>
  </si>
  <si>
    <t xml:space="preserve"> 08802704</t>
  </si>
  <si>
    <t>Mr. Yasheer
CNIC # 41303-6385361-3 Cell # 0311-4277008</t>
  </si>
  <si>
    <t>BVL-183</t>
  </si>
  <si>
    <t>2232916</t>
  </si>
  <si>
    <t>4002049</t>
  </si>
  <si>
    <t xml:space="preserve"> 08809569</t>
  </si>
  <si>
    <t>Mr. Umair 
CNIC No: 4220191085875
Phone Number:  03212616730</t>
  </si>
  <si>
    <t>SUZUKI SWIFT DLX</t>
  </si>
  <si>
    <t>BNR-364</t>
  </si>
  <si>
    <t>PKS13043269</t>
  </si>
  <si>
    <t>RS413PK10043254</t>
  </si>
  <si>
    <t>umairy2j@live.com</t>
  </si>
  <si>
    <t xml:space="preserve"> 08815009</t>
  </si>
  <si>
    <t>Mr. Waqas Ahmed Khan
CNIC: 4210180522045
Cell: 03332192289</t>
  </si>
  <si>
    <t>BGH-156</t>
  </si>
  <si>
    <t>KH-J111461</t>
  </si>
  <si>
    <t>LA300S-1252220</t>
  </si>
  <si>
    <t xml:space="preserve"> 08815014</t>
  </si>
  <si>
    <t>Mr. Tanveer Hussain
CNIC: 35201-8286012-7
Cell: 03214139918</t>
  </si>
  <si>
    <t>CHANGAN ALSVIN LUMEIRE</t>
  </si>
  <si>
    <t>ADY-297</t>
  </si>
  <si>
    <t>JL473QFM3CAD50145</t>
  </si>
  <si>
    <t>NKMA2ASE5L1000690</t>
  </si>
  <si>
    <t xml:space="preserve"> 08815020</t>
  </si>
  <si>
    <t>Mr. Javed Latif
CNIC: 3520226828001
Cell: 03344057874</t>
  </si>
  <si>
    <t>LFC-18A-8459</t>
  </si>
  <si>
    <t>PK10B174796</t>
  </si>
  <si>
    <t>10074799</t>
  </si>
  <si>
    <t xml:space="preserve"> 08815039</t>
  </si>
  <si>
    <t>Mr. Syed Shahrukh Anwar
CNIC No: 1500029424671
Phone Number:  03192121756</t>
  </si>
  <si>
    <t>BYQ-034</t>
  </si>
  <si>
    <t>6R270744</t>
  </si>
  <si>
    <t>NF1AET306H1170736</t>
  </si>
  <si>
    <t xml:space="preserve"> 08815060</t>
  </si>
  <si>
    <t>Mr. Amir Murtaza 
CNIC No. 42201-0466699-3
Cell No. 0321-9261090</t>
  </si>
  <si>
    <t>BYE-410</t>
  </si>
  <si>
    <t>6R264489</t>
  </si>
  <si>
    <t>NF1AET306H1164441</t>
  </si>
  <si>
    <t xml:space="preserve"> 08815108</t>
  </si>
  <si>
    <t>Mrs. Farhana  
CNIC: 4220172070830
Cell: 03219260667</t>
  </si>
  <si>
    <t>BRB-306</t>
  </si>
  <si>
    <t>6R119411</t>
  </si>
  <si>
    <t>NF1AET306H1019104</t>
  </si>
  <si>
    <t xml:space="preserve"> 08815112</t>
  </si>
  <si>
    <t>Mr. Muhammad Nasir
CNIC: 4230116597701
Cell: 03332228126</t>
  </si>
  <si>
    <t>BNU-156</t>
  </si>
  <si>
    <t>L15A79792943</t>
  </si>
  <si>
    <t>NFBGM2668JR237787</t>
  </si>
  <si>
    <t xml:space="preserve"> 08814174</t>
  </si>
  <si>
    <t>Mr. Shehzad Tabish
CNIC No: 4250103587981
Phone Number:  03362863034</t>
  </si>
  <si>
    <t>BRG-301</t>
  </si>
  <si>
    <t>6R128000</t>
  </si>
  <si>
    <t>NF1AET306H1028081</t>
  </si>
  <si>
    <t>Shahzadtabish@hotmail.com</t>
  </si>
  <si>
    <t xml:space="preserve"> 08815209</t>
  </si>
  <si>
    <t>Mr. Moaz Bin Ammar
CNIC No: 3840366897791
Phone Number:  03064200502</t>
  </si>
  <si>
    <t>AQH-508</t>
  </si>
  <si>
    <t>6R287606</t>
  </si>
  <si>
    <t>NF1AET306H1187628</t>
  </si>
  <si>
    <t>LE-13-5746</t>
  </si>
  <si>
    <t>Y657416</t>
  </si>
  <si>
    <t>NZE1402154406</t>
  </si>
  <si>
    <t xml:space="preserve"> 08815215</t>
  </si>
  <si>
    <t>Mr. Sohail Anjum 
CNIC: 3410124166127
Phone Number: 03006400782 / 03026464664</t>
  </si>
  <si>
    <t>BQS-499</t>
  </si>
  <si>
    <t>Z566023</t>
  </si>
  <si>
    <t>NZE170R-4191435</t>
  </si>
  <si>
    <t>sohail1184@gmail.com</t>
  </si>
  <si>
    <t xml:space="preserve"> 08815218</t>
  </si>
  <si>
    <t>Mr. Muhammad Shoaib Kathuria 
CNIC No. 42201-0381722-1
Cell No. 03009235279 - 03212713730</t>
  </si>
  <si>
    <t>BZH-427</t>
  </si>
  <si>
    <t>6R292221</t>
  </si>
  <si>
    <t>NF1AET306H1192377</t>
  </si>
  <si>
    <t>2024</t>
  </si>
  <si>
    <t xml:space="preserve"> 08815228</t>
  </si>
  <si>
    <t>Mrs. Naghmana Naeem
CNIC: 3520127669192
Cell: 03009431630</t>
  </si>
  <si>
    <t>LEB-17A-5158</t>
  </si>
  <si>
    <t>PKS13038538</t>
  </si>
  <si>
    <t>RS413PK10038640</t>
  </si>
  <si>
    <t xml:space="preserve"> 08810745</t>
  </si>
  <si>
    <t>Mr. Rana Muhammad Zuhaib
CNIC No: 4230181844525
Phone Number:  03326858607</t>
  </si>
  <si>
    <t>TOYOTA C-HR HYBRID</t>
  </si>
  <si>
    <t>2ZR-2D01997</t>
  </si>
  <si>
    <t>V</t>
  </si>
  <si>
    <t xml:space="preserve"> 08803869</t>
  </si>
  <si>
    <t>MAJLIS E ILMI SOCIETY
User Details: Mr. Suleman 
CNIC No. 42101-7563892-3
NTN No. 3192611-8 Cell No. 0311-2859852</t>
  </si>
  <si>
    <t>SUZUKI WAGON-R</t>
  </si>
  <si>
    <t>BUU-889</t>
  </si>
  <si>
    <t>PK10B220668</t>
  </si>
  <si>
    <t>A1J310PK10120655</t>
  </si>
  <si>
    <t xml:space="preserve"> 08809042</t>
  </si>
  <si>
    <t>Mr. Hassan Jawed
CNIC# 35201-1623616-7
CELL# 03014633239</t>
  </si>
  <si>
    <t>LE-19A-8365</t>
  </si>
  <si>
    <t>PK10K152019</t>
  </si>
  <si>
    <t>NF1AVK31H10052024</t>
  </si>
  <si>
    <t>35201-1623616-7</t>
  </si>
  <si>
    <t>Maria Tauqeer Qazi</t>
  </si>
  <si>
    <t xml:space="preserve"> 08809109</t>
  </si>
  <si>
    <t>Mr. Muhammad Zahid
CNIC# 35202-3012290-5
CELL# 03214795836</t>
  </si>
  <si>
    <t>LEC-18A-2428</t>
  </si>
  <si>
    <t>PK10K130946</t>
  </si>
  <si>
    <t>NF1AVK31H10030932</t>
  </si>
  <si>
    <t>35202-3012290-5</t>
  </si>
  <si>
    <t>zahidmuhammad68@yahoo.com</t>
  </si>
  <si>
    <t xml:space="preserve"> 08809242</t>
  </si>
  <si>
    <t>Mr. Sameet Kumar
CNIC# 43201-4566029-7
CELL# 03343020757</t>
  </si>
  <si>
    <t>BPM-418</t>
  </si>
  <si>
    <t>PK10K136529</t>
  </si>
  <si>
    <t>NF1AVK31H10036531</t>
  </si>
  <si>
    <t>43201-4566029-7</t>
  </si>
  <si>
    <t xml:space="preserve"> 08809089</t>
  </si>
  <si>
    <t>Mrs. Saba Naz
CNIC# 42201-9271543-4
CELL# 03336183786</t>
  </si>
  <si>
    <t>AFZ-096</t>
  </si>
  <si>
    <t>PK10B154593</t>
  </si>
  <si>
    <t>A1J310PK10054548</t>
  </si>
  <si>
    <t>42201-9271543-4</t>
  </si>
  <si>
    <t xml:space="preserve"> 08809194</t>
  </si>
  <si>
    <t>Mr. Pervaiz Akhtar
CNIC# 35202-9393454-7
CELL# 03000418786 - 03009492074</t>
  </si>
  <si>
    <t>LE-15-4710</t>
  </si>
  <si>
    <t>L13Z17421663</t>
  </si>
  <si>
    <t>NFBGM1647ER158495</t>
  </si>
  <si>
    <t>35202-9393454-7</t>
  </si>
  <si>
    <t xml:space="preserve"> 08815277</t>
  </si>
  <si>
    <t>Mr. Areeb Irfan 
CNIC: 4220182579605
Cell: 03212766331</t>
  </si>
  <si>
    <t>BCW-080</t>
  </si>
  <si>
    <t>Q023630</t>
  </si>
  <si>
    <t>NA0N0</t>
  </si>
  <si>
    <t xml:space="preserve"> 08815234</t>
  </si>
  <si>
    <t>Mr. Muhammad Aslam
CNIC : 32302-4226909-7 CELL : 03084142820</t>
  </si>
  <si>
    <t>APL - 4</t>
  </si>
  <si>
    <t>6R292314</t>
  </si>
  <si>
    <t>NF1AET306H1192294</t>
  </si>
  <si>
    <t xml:space="preserve"> 08815310</t>
  </si>
  <si>
    <t>Mr. Sarfaraz Hussain Qureshi
Cell: 42201-6100168-1
Cell: 03366872586</t>
  </si>
  <si>
    <t>BWS-578</t>
  </si>
  <si>
    <t>PK10B233816</t>
  </si>
  <si>
    <t>A1J310PK10133814</t>
  </si>
  <si>
    <t>sarfaraz.princely@gmail.com</t>
  </si>
  <si>
    <t>asim.duraiz@yahoo.com</t>
  </si>
  <si>
    <t xml:space="preserve"> 08804527</t>
  </si>
  <si>
    <t>Mr. Muhammad Farhan Hasan
CNIC# 42501-3367883-9
CELL# 0334-3185334</t>
  </si>
  <si>
    <t>BVR-120</t>
  </si>
  <si>
    <t>JL473QFM3CAD528611</t>
  </si>
  <si>
    <t>NKMA2ASE5M1005811</t>
  </si>
  <si>
    <t xml:space="preserve"> 08806057</t>
  </si>
  <si>
    <t>Mr. Imran Iqbal
CNIC# 35201-9409668-7
CELL# 03008472867</t>
  </si>
  <si>
    <t>HONDA HRV-S</t>
  </si>
  <si>
    <t>ANB-840</t>
  </si>
  <si>
    <t>L15ZG1000771</t>
  </si>
  <si>
    <t>NFBRV3859NR000778</t>
  </si>
  <si>
    <t>35201-9409668-7</t>
  </si>
  <si>
    <t xml:space="preserve"> 08815509</t>
  </si>
  <si>
    <t>Mr. Hassan Karamat 
CNIC: 3520280235597
Cell: 03444582402</t>
  </si>
  <si>
    <t>AJD-239</t>
  </si>
  <si>
    <t>6R207556</t>
  </si>
  <si>
    <t>NF1AET306H1107570</t>
  </si>
  <si>
    <t xml:space="preserve"> 08809379</t>
  </si>
  <si>
    <t>Mr. Jawad Zafar
CNIC# 35202-3384505-5
CELL# 0345-4268798</t>
  </si>
  <si>
    <t>MAZDA SCRUM</t>
  </si>
  <si>
    <t>LED-18-1689</t>
  </si>
  <si>
    <t>K6A8975264</t>
  </si>
  <si>
    <t>DG64V531345</t>
  </si>
  <si>
    <t>35202-3384505-5</t>
  </si>
  <si>
    <t xml:space="preserve"> 08809293</t>
  </si>
  <si>
    <t>Mr. Abdul Nasir
CNIC# 35202-2771672-1
CELL# 03075629688</t>
  </si>
  <si>
    <t>HONDA CITY I-VTEC CVT 1.5</t>
  </si>
  <si>
    <t>AJZ-987</t>
  </si>
  <si>
    <t>L15Z81006580</t>
  </si>
  <si>
    <t>NFBGN964XNR016850</t>
  </si>
  <si>
    <t>35202-2771672-1</t>
  </si>
  <si>
    <t xml:space="preserve"> 08809372</t>
  </si>
  <si>
    <t>Ms. Kanza Abdul Haleem
CNIC# 42301-8403072-8
CELL# 03212066940 ? 03212381224</t>
  </si>
  <si>
    <t>BLJ-416</t>
  </si>
  <si>
    <t>1NZ-7483303</t>
  </si>
  <si>
    <t>NHP10-6392083</t>
  </si>
  <si>
    <t>42301-8403072-8</t>
  </si>
  <si>
    <t xml:space="preserve"> 08815597</t>
  </si>
  <si>
    <t>Mr. Muhammad Naseer 
CNIC No. 33105-2659411-7
Cell No. 0333-8294111</t>
  </si>
  <si>
    <t>BG-2304</t>
  </si>
  <si>
    <t>2TRA254997</t>
  </si>
  <si>
    <t>TGN156R-04407724</t>
  </si>
  <si>
    <t xml:space="preserve"> 08815598</t>
  </si>
  <si>
    <t>Mr. Ali Hassan Baig
CNIC No. 35202-3060254-7
Cell No. 0301-4218029</t>
  </si>
  <si>
    <t>FAW FAW V2 M/T</t>
  </si>
  <si>
    <t>LED-5963</t>
  </si>
  <si>
    <t>HF300022</t>
  </si>
  <si>
    <t>LFP72APC9F5A05176</t>
  </si>
  <si>
    <t xml:space="preserve"> 08815686</t>
  </si>
  <si>
    <t>Mr. Abdul Sami Qureshi 
CNIC: 4200050580687
Cell: 03122329732</t>
  </si>
  <si>
    <t>NISSAN MOCO</t>
  </si>
  <si>
    <t>BLH-138</t>
  </si>
  <si>
    <t>R06A-1496023</t>
  </si>
  <si>
    <t>MG33S-66884</t>
  </si>
  <si>
    <t xml:space="preserve"> 08815771</t>
  </si>
  <si>
    <t>Mr. Ghufran Irshad
CNIC: 4220168196803
Cell: 0333-4444353</t>
  </si>
  <si>
    <t>BYW-767</t>
  </si>
  <si>
    <t>6R277037</t>
  </si>
  <si>
    <t>NF1AET306H1177027</t>
  </si>
  <si>
    <t xml:space="preserve"> 08809599</t>
  </si>
  <si>
    <t>Mr. Mohammad Osama
CNIC# 33100-1018198-1
CELL# 0303-2727272</t>
  </si>
  <si>
    <t>KIA PICANTO 1.0L A/T</t>
  </si>
  <si>
    <t>ADD-689</t>
  </si>
  <si>
    <t>G3LALP123885</t>
  </si>
  <si>
    <t>NNATA52AZKP704489</t>
  </si>
  <si>
    <t>33100-1018198-1</t>
  </si>
  <si>
    <t xml:space="preserve"> 08815856</t>
  </si>
  <si>
    <t>Mr. Shahbaz Ahmed 
CNIC No. 42201-0150281-7
Cell No. 0300-9279681</t>
  </si>
  <si>
    <t>BQP-188</t>
  </si>
  <si>
    <t>567835</t>
  </si>
  <si>
    <t>4192141</t>
  </si>
  <si>
    <t xml:space="preserve"> 08815864</t>
  </si>
  <si>
    <t>Mr. Hammad Ashiq 
CNIC No. 35202-9043965-9
Cell No. 0323-2323507</t>
  </si>
  <si>
    <t>ATB-054</t>
  </si>
  <si>
    <t>G4NALH345231</t>
  </si>
  <si>
    <t>NNAQL51AZKP510106</t>
  </si>
  <si>
    <t xml:space="preserve"> 08809654</t>
  </si>
  <si>
    <t>Mr. Ibrahim Ahmed Cheema
CNIC# 33100-0614095-5
CELL# 03096890000</t>
  </si>
  <si>
    <t>AAD-988</t>
  </si>
  <si>
    <t>Z369757</t>
  </si>
  <si>
    <t>NZE170R-4057040</t>
  </si>
  <si>
    <t>33100-0614095-5</t>
  </si>
  <si>
    <t>ibrahimacheema@gmail.com</t>
  </si>
  <si>
    <t xml:space="preserve"> 08809612</t>
  </si>
  <si>
    <t>Mr. Muhammad Fahad Ameen Ramay
CNIC# 36401-9258094-7
CELL# 03087267799 - 03136531775</t>
  </si>
  <si>
    <t>ANE-091</t>
  </si>
  <si>
    <t>JL473QFN3CAD51729</t>
  </si>
  <si>
    <t>NKMA2ASE5N1010652</t>
  </si>
  <si>
    <t>36401-9258094-7</t>
  </si>
  <si>
    <t xml:space="preserve"> 08809737</t>
  </si>
  <si>
    <t>Mr. Faz Khan
CNIC# 4220116754629
CELL# 03018486805</t>
  </si>
  <si>
    <t>BNB-919</t>
  </si>
  <si>
    <t>3B20-JY9513</t>
  </si>
  <si>
    <t>B21W-0223325</t>
  </si>
  <si>
    <t>4220116754629</t>
  </si>
  <si>
    <t>faz.khan25@hotmail.com</t>
  </si>
  <si>
    <t>asad_id@hotmail.com</t>
  </si>
  <si>
    <t xml:space="preserve"> 08815930</t>
  </si>
  <si>
    <t>Mr. Hasnain 
CNIC No. 42201-7355479-3
Cell No. 0311-8123679</t>
  </si>
  <si>
    <t>BUV-407</t>
  </si>
  <si>
    <t>6R187617</t>
  </si>
  <si>
    <t>NF1AET306H1087668</t>
  </si>
  <si>
    <t xml:space="preserve"> 08815943</t>
  </si>
  <si>
    <t>Mr. Rana Shakeel Azam 
CNIC: 3650203610023
Cell: 03005261748</t>
  </si>
  <si>
    <t>BAV-129</t>
  </si>
  <si>
    <t>K12MR1008846</t>
  </si>
  <si>
    <t>NF1SZC63S00108842</t>
  </si>
  <si>
    <t xml:space="preserve"> 08816042</t>
  </si>
  <si>
    <t>Mr. Girdari Lal  
CNIC: 5140157882521
Cell: 03368544704</t>
  </si>
  <si>
    <t>BTM-280</t>
  </si>
  <si>
    <t>Q071435</t>
  </si>
  <si>
    <t>ZRE171R-6048906</t>
  </si>
  <si>
    <t>sk68544704@gmail.com</t>
  </si>
  <si>
    <t xml:space="preserve"> 08809871</t>
  </si>
  <si>
    <t>Mrs. Saira Adnan
CNIC# 42301-2061696-6
CELL# 0321-2490331</t>
  </si>
  <si>
    <t>BK-2550</t>
  </si>
  <si>
    <t>G4NAMH321952</t>
  </si>
  <si>
    <t>NNAQL51AZLP103029</t>
  </si>
  <si>
    <t>42301-2061696-6</t>
  </si>
  <si>
    <t>Majlis e Ilmi (User Name: Suleman)  
CNIC: 4210175638923
Cell: 03142200820</t>
  </si>
  <si>
    <t>BTW-953</t>
  </si>
  <si>
    <t>JL473QFM3CAD501547</t>
  </si>
  <si>
    <t>NKMA2ASE5M1000861</t>
  </si>
  <si>
    <t xml:space="preserve"> 08803488</t>
  </si>
  <si>
    <t>Mr. Muhammad Saqib Ayub Khan
CNIC# 42000-9401427-7
Cell No. 0300 2115316</t>
  </si>
  <si>
    <t>DAIHATSU MOVE</t>
  </si>
  <si>
    <t>BVX-139</t>
  </si>
  <si>
    <t>KF-L947233</t>
  </si>
  <si>
    <t>LA150S-0146240</t>
  </si>
  <si>
    <t>42000-9401427-7</t>
  </si>
  <si>
    <t xml:space="preserve"> 08809922</t>
  </si>
  <si>
    <t>Mr. Aveenash
CNIC# 43205-4760688-5
CELL# 03313419349</t>
  </si>
  <si>
    <t>BVW-706</t>
  </si>
  <si>
    <t>PK10K193419</t>
  </si>
  <si>
    <t>NF1AVK31H10093407</t>
  </si>
  <si>
    <t>43205-4760688-5</t>
  </si>
  <si>
    <t>Mr. Muhammad Shehroze Khan 
CNIC No. 42201-6116623-3
Cell No. 0331-2148755</t>
  </si>
  <si>
    <t>TOYOTA RAIZE</t>
  </si>
  <si>
    <t>BJ-2449</t>
  </si>
  <si>
    <t>1KR-2702148</t>
  </si>
  <si>
    <t>A200A-0056983</t>
  </si>
  <si>
    <t xml:space="preserve"> 08816188</t>
  </si>
  <si>
    <t>Mrs. Waseema Afzaal
CNIC No: 35202-3912545-4
Phone Number: 03324747453</t>
  </si>
  <si>
    <t>LEA-14-1342</t>
  </si>
  <si>
    <t>L13Z16420213</t>
  </si>
  <si>
    <t>NFBGM154XER146360</t>
  </si>
  <si>
    <t>sameeraibrahim@yahoo.com</t>
  </si>
  <si>
    <t>danishjunejo36@gmail.com</t>
  </si>
  <si>
    <t xml:space="preserve"> 08816224</t>
  </si>
  <si>
    <t>Mr. Saad Ullah Khan 
CNIC No. 42101-1704207-1
Cell No. 0336-2012909</t>
  </si>
  <si>
    <t>BEW-279</t>
  </si>
  <si>
    <t>K61-8641773</t>
  </si>
  <si>
    <t>MH23S-443685</t>
  </si>
  <si>
    <t xml:space="preserve"> 08816250</t>
  </si>
  <si>
    <t>Mr. Najeeb Ullah 
CNIC No. 38402-6660858-3
Cell No. 0304-4900090</t>
  </si>
  <si>
    <t>ABC-738</t>
  </si>
  <si>
    <t>6R145711</t>
  </si>
  <si>
    <t>NF1AET306H1045694</t>
  </si>
  <si>
    <t>Mr. Adnan Saleem
CNIC# 42301-3410019-3
CELL# 0321-2490331</t>
  </si>
  <si>
    <t>TOYOTA HILUX REVO V A/T</t>
  </si>
  <si>
    <t>LA-4541</t>
  </si>
  <si>
    <t>1GD5051978</t>
  </si>
  <si>
    <t>GUN126R-5548056</t>
  </si>
  <si>
    <t>42301-3410019-3</t>
  </si>
  <si>
    <t xml:space="preserve"> 08816362</t>
  </si>
  <si>
    <t>Mr. Kashan Nazir 
CNIC No. 34101-2541871-9
Cell No. 0332-5854442</t>
  </si>
  <si>
    <t>BBF-722</t>
  </si>
  <si>
    <t>K12MR1010594</t>
  </si>
  <si>
    <t>NF1SZC63S00110617</t>
  </si>
  <si>
    <t>Muhammad Kamran Khan 
CNIC: 42301-0868604-5
Phone Number: 0321-9085148</t>
  </si>
  <si>
    <t>BRY-272</t>
  </si>
  <si>
    <t>PK108203085</t>
  </si>
  <si>
    <t>A13310PK10103064</t>
  </si>
  <si>
    <t xml:space="preserve"> 08803417</t>
  </si>
  <si>
    <t>Mr. Muhab Ali Khichi 
CNIC No. 43203-7396011-7
Cell No. 0333-2169624</t>
  </si>
  <si>
    <t>BVS-044</t>
  </si>
  <si>
    <t>Q353511</t>
  </si>
  <si>
    <t>ZRE172R-7052685</t>
  </si>
  <si>
    <t>muhabkhichi@yahoo.com</t>
  </si>
  <si>
    <t xml:space="preserve"> 08810395</t>
  </si>
  <si>
    <t>Muhammad Asad Khan
CNIC: 35201-6163739-9
Phone Number: 03004971622</t>
  </si>
  <si>
    <t>TOYOTA YARIS ATIV X CVT 1</t>
  </si>
  <si>
    <t>2A59821</t>
  </si>
  <si>
    <t>R-7038167</t>
  </si>
  <si>
    <t xml:space="preserve"> 08816564</t>
  </si>
  <si>
    <t>Mr. Muhammad Asim 
CNIC No. 35202-6763006-7
Cell No. 0321-4441253</t>
  </si>
  <si>
    <t>ABT-648</t>
  </si>
  <si>
    <t>PK10K167723</t>
  </si>
  <si>
    <t>NF1AVK31H10067722</t>
  </si>
  <si>
    <t xml:space="preserve"> 08816626</t>
  </si>
  <si>
    <t>Mr. Tariq Javed 
CNIC No. 35401-0821036-7
Cell No. 0300-4147320</t>
  </si>
  <si>
    <t>LEA-19-2053</t>
  </si>
  <si>
    <t>PK10K131083</t>
  </si>
  <si>
    <t>10031078</t>
  </si>
  <si>
    <t xml:space="preserve"> 08816627</t>
  </si>
  <si>
    <t>Mr. Muhammad Usama 
CNIC No. 34101-4954824-3
Cell No. 0321-9141234</t>
  </si>
  <si>
    <t>AKW-813</t>
  </si>
  <si>
    <t>L15BG7913263</t>
  </si>
  <si>
    <t>NFBFE1655NR003252</t>
  </si>
  <si>
    <t xml:space="preserve"> 08816632</t>
  </si>
  <si>
    <t>Mr. Muhammad Shakir Khan
CNIC No. 42101-2377962-9
Cell No. 0320-6661390</t>
  </si>
  <si>
    <t>HONDA BRV - S I-VTEC</t>
  </si>
  <si>
    <t>BJ-0822</t>
  </si>
  <si>
    <t>14803747</t>
  </si>
  <si>
    <t>20436</t>
  </si>
  <si>
    <t xml:space="preserve"> 08810309</t>
  </si>
  <si>
    <t>Obaid Ur Rehman
CNIC:13101-0834178-9
Phone Number:03219800960</t>
  </si>
  <si>
    <t>KIA SPORTAGE ALPHA</t>
  </si>
  <si>
    <t>BBJ-283</t>
  </si>
  <si>
    <t>G4NANH303046</t>
  </si>
  <si>
    <t>NNAQL51AZKP518745</t>
  </si>
  <si>
    <t>obaidia2000@hotmail.com</t>
  </si>
  <si>
    <t xml:space="preserve"> 08816639</t>
  </si>
  <si>
    <t>Mr. Syed Haider Ali Zaidi 
CNIC No. 42101-1828405-3
Cell No. 0310-5047196</t>
  </si>
  <si>
    <t>BPQ-894</t>
  </si>
  <si>
    <t>PK10B1893905</t>
  </si>
  <si>
    <t>A1J310PK10083909</t>
  </si>
  <si>
    <t>Mr. Ibrahim Ahmad Cheema
CNIC# 33100-0614095-5
CELL# 03096890000</t>
  </si>
  <si>
    <t>ADD-894</t>
  </si>
  <si>
    <t>632341</t>
  </si>
  <si>
    <t>539212</t>
  </si>
  <si>
    <t xml:space="preserve"> 08804273</t>
  </si>
  <si>
    <t>Mr. Chaudhary Shahzad Iqbal
CNIC # 35202-6451466-5, Cell # 0322-2200061</t>
  </si>
  <si>
    <t>LEA-19-26</t>
  </si>
  <si>
    <t>136058</t>
  </si>
  <si>
    <t>10036049</t>
  </si>
  <si>
    <t>sahilkitalash_143@yahoo.com</t>
  </si>
  <si>
    <t xml:space="preserve"> 08807704</t>
  </si>
  <si>
    <t>Mr. Muhammad Saad
CNIC# 42101-2489555-7
CELL# 0334-3807954</t>
  </si>
  <si>
    <t>BJ-7284</t>
  </si>
  <si>
    <t>G4NAMH318822</t>
  </si>
  <si>
    <t>NNAQL51AZKP307466</t>
  </si>
  <si>
    <t>saad94.sg@gmail.com</t>
  </si>
  <si>
    <t xml:space="preserve"> 08807140</t>
  </si>
  <si>
    <t>Mr. Muhammad Hammad
CNIC# 42101-4364351-5
CELL# 0335-2964255</t>
  </si>
  <si>
    <t>BUN-475</t>
  </si>
  <si>
    <t>JL473QFM3CAD517676</t>
  </si>
  <si>
    <t>NKMA2ASE5M1002835</t>
  </si>
  <si>
    <t>Shakeel Ahmed Shah
CNIC No: 37405-0648210-7
Phone Number: 03242163424</t>
  </si>
  <si>
    <t>APZ-504</t>
  </si>
  <si>
    <t>6R115895</t>
  </si>
  <si>
    <t>NF1AET306H1015918</t>
  </si>
  <si>
    <t>shakeel.shah767@gmail.com</t>
  </si>
  <si>
    <t xml:space="preserve"> 08816764</t>
  </si>
  <si>
    <t>Mr. Muhammad Junaid
CNIC No. 42101-6761448-1
Cell No. 0346-2264350</t>
  </si>
  <si>
    <t>BZL-893</t>
  </si>
  <si>
    <t>KF-J922125</t>
  </si>
  <si>
    <t>LA350S-0218275</t>
  </si>
  <si>
    <t>Mr. Irfan Iftikhar
CNIC: 42201-3864204-9
Cell: 03219260667</t>
  </si>
  <si>
    <t>MAZDA CAROL A/T</t>
  </si>
  <si>
    <t>BMZ-781</t>
  </si>
  <si>
    <t>R06A-K405945</t>
  </si>
  <si>
    <t>HB36S-213131</t>
  </si>
  <si>
    <t>malik@cobuildltd.com</t>
  </si>
  <si>
    <t>shujaatmubeen@gmail.com</t>
  </si>
  <si>
    <t xml:space="preserve"> 08816804</t>
  </si>
  <si>
    <t>Mr. Muhammad Tanveer         
CNIC: 35200-1421535-3
Phone Number: +92 324 4688524</t>
  </si>
  <si>
    <t>AEY-713</t>
  </si>
  <si>
    <t>PK10184794</t>
  </si>
  <si>
    <t>NF1AVK31H10084793</t>
  </si>
  <si>
    <t xml:space="preserve"> 08816838</t>
  </si>
  <si>
    <t>Mr. Qazi Zaheen Ahmed Hashmi  
CNIC: 4250140860255
Phone Number: 03423395402</t>
  </si>
  <si>
    <t>6R303938</t>
  </si>
  <si>
    <t>NF1AET306H1203978</t>
  </si>
  <si>
    <t xml:space="preserve"> 08816839</t>
  </si>
  <si>
    <t>Mr. Badi Uz Zaman 
CNIC: 3130343794019
Phone Number: 300 8676479</t>
  </si>
  <si>
    <t>ALE-479</t>
  </si>
  <si>
    <t>PK10K141355</t>
  </si>
  <si>
    <t>NF1AVK31H10041383</t>
  </si>
  <si>
    <t>abdul.naveed@paksuzuki.com.pk</t>
  </si>
  <si>
    <t xml:space="preserve"> 08816857</t>
  </si>
  <si>
    <t>Mr. Ali Raza Maher
CNIC: 4130672614933
Phone Number: 03312146621</t>
  </si>
  <si>
    <t>BNY-441</t>
  </si>
  <si>
    <t>Z543955</t>
  </si>
  <si>
    <t>NZE170R-4169473</t>
  </si>
  <si>
    <t>Bilal.frq@gmail.COM</t>
  </si>
  <si>
    <t xml:space="preserve"> 08810554</t>
  </si>
  <si>
    <t>Omer Malik
CNIC: 3520204176299</t>
  </si>
  <si>
    <t>AFU-509</t>
  </si>
  <si>
    <t>6R191880</t>
  </si>
  <si>
    <t>H1091898</t>
  </si>
  <si>
    <t>omermalik89@gmail.com</t>
  </si>
  <si>
    <t xml:space="preserve"> 08810784</t>
  </si>
  <si>
    <t>Muhammad Amin Kanth
CNIC: 41407-6212568-5
Phone Number:0345-4937995</t>
  </si>
  <si>
    <t>BNE-535</t>
  </si>
  <si>
    <t>PK10K123077</t>
  </si>
  <si>
    <t>NF1AVK31H10023044</t>
  </si>
  <si>
    <t xml:space="preserve"> 08810639</t>
  </si>
  <si>
    <t>Mr. Umer Yousuf Ghaziani 
Cell No. 03343314740
CNIC No.42201-9776285-3</t>
  </si>
  <si>
    <t>BHM-641</t>
  </si>
  <si>
    <t>PK10B123696</t>
  </si>
  <si>
    <t>A1J310PK10023691</t>
  </si>
  <si>
    <t xml:space="preserve"> 08810210</t>
  </si>
  <si>
    <t>Mr. Azeem Farooq
CNIC# 42000-0437792-7
CELL# 0345-6090201</t>
  </si>
  <si>
    <t>CV-8601</t>
  </si>
  <si>
    <t>KF-870197</t>
  </si>
  <si>
    <t>S321V-0132963</t>
  </si>
  <si>
    <t>42000-0437792-7</t>
  </si>
  <si>
    <t>azeemfarooq03453485093@gmail.com</t>
  </si>
  <si>
    <t>nidu36@yahoo.com</t>
  </si>
  <si>
    <t xml:space="preserve"> 08810809</t>
  </si>
  <si>
    <t>Ahmad Manzoor 
CNIC: 42301-0622341-9
Contact: 0321 -2173715</t>
  </si>
  <si>
    <t>BEA-554</t>
  </si>
  <si>
    <t>PKS13028779</t>
  </si>
  <si>
    <t>RS413PK10028785</t>
  </si>
  <si>
    <t>brohi@gmail.com</t>
  </si>
  <si>
    <t xml:space="preserve"> 08817002</t>
  </si>
  <si>
    <t>Mr. Shahid Nasim
CNIC: 4200031281985
Cell: 03331110262/ 03022057076</t>
  </si>
  <si>
    <t>AQB-857</t>
  </si>
  <si>
    <t>Q051389</t>
  </si>
  <si>
    <t>ZRE171R-6028884</t>
  </si>
  <si>
    <t xml:space="preserve"> 08817134</t>
  </si>
  <si>
    <t>Mr. Rizwan Noor Muhammad 
CNIC No. 35201-7542793-9
Cell No. 03231423349 / 03364158875</t>
  </si>
  <si>
    <t>LEE-19-840</t>
  </si>
  <si>
    <t>Z557293</t>
  </si>
  <si>
    <t>NZE170R-4183323</t>
  </si>
  <si>
    <t xml:space="preserve"> 08817151</t>
  </si>
  <si>
    <t>Mr. Muhammad Ali Jan
CNIC No. 42201-6821920-5
Cell No. 0331-2040094</t>
  </si>
  <si>
    <t>BMU-109</t>
  </si>
  <si>
    <t>L13Z17514100</t>
  </si>
  <si>
    <t>NFBGM1649JR228282</t>
  </si>
  <si>
    <t>muhammadali4060700@gmail.com</t>
  </si>
  <si>
    <t xml:space="preserve"> 08817199</t>
  </si>
  <si>
    <t>Mr. Muhammad Farhan
CNIC: 4210167087709
Phone Number: 03002504383</t>
  </si>
  <si>
    <t>BQP-834</t>
  </si>
  <si>
    <t>Q060415</t>
  </si>
  <si>
    <t>ZRE171R-6037920</t>
  </si>
  <si>
    <t>2024T014VPCOT00012 -</t>
  </si>
  <si>
    <t xml:space="preserve"> 08804745</t>
  </si>
  <si>
    <t>M/s. HPA UBL Insurers Limited Lahore
User Mr. Muhammad Awais Arshad
CNIC# 35202-7055164-9</t>
  </si>
  <si>
    <t>09000332-Tahira Batool</t>
  </si>
  <si>
    <t>2024T014VPCOP00022</t>
  </si>
  <si>
    <t>LEA-20-8483</t>
  </si>
  <si>
    <t>064555</t>
  </si>
  <si>
    <t>6042050</t>
  </si>
  <si>
    <t xml:space="preserve"> 08817223</t>
  </si>
  <si>
    <t>Mr. Muhammad Zubair
CNIC: 4530192862123
Phone Number : 0333 2636070</t>
  </si>
  <si>
    <t>TOYOTA YARIS ATIV X CVT</t>
  </si>
  <si>
    <t>BUX-653</t>
  </si>
  <si>
    <t>2A39959</t>
  </si>
  <si>
    <t>NSP151R-9514984</t>
  </si>
  <si>
    <t xml:space="preserve"> 08817296</t>
  </si>
  <si>
    <t>Mr. Mansoor Talat
CNIC: 4210136408789
Phone Number: 03453090019</t>
  </si>
  <si>
    <t>BGM-147</t>
  </si>
  <si>
    <t>Z461790</t>
  </si>
  <si>
    <t>NZE170R-4088605</t>
  </si>
  <si>
    <t xml:space="preserve"> 08817303</t>
  </si>
  <si>
    <t>Mr. Faisal
CNIC: 42201-5790118-1
Phone Number: 03002127946</t>
  </si>
  <si>
    <t>TOYOTA CROSS HYBRID CVT</t>
  </si>
  <si>
    <t>BM-0280</t>
  </si>
  <si>
    <t>9Z03975</t>
  </si>
  <si>
    <t>ZVG10R-0902865</t>
  </si>
  <si>
    <t xml:space="preserve"> 08806236</t>
  </si>
  <si>
    <t>Muhammad Mursaleen Afzal 
CNIC No: 42201-1397768-1
Phone No: 03333951703</t>
  </si>
  <si>
    <t>BXR-129</t>
  </si>
  <si>
    <t>6R251729</t>
  </si>
  <si>
    <t>NF1AET306H1151000</t>
  </si>
  <si>
    <t>NFBDG1825HR00224</t>
  </si>
  <si>
    <t>L15Z13502221</t>
  </si>
  <si>
    <t>Shahid.bawany@hbl.com</t>
  </si>
  <si>
    <t xml:space="preserve"> 08817383</t>
  </si>
  <si>
    <t>Mian Shehryar
CNIC: 32102-2297310-1
Phone Number: +92 300 4001913</t>
  </si>
  <si>
    <t>AJM-197</t>
  </si>
  <si>
    <t>6R224115</t>
  </si>
  <si>
    <t>NF1AET306H1124078</t>
  </si>
  <si>
    <t>musharrafkaleem@yahoo.com</t>
  </si>
  <si>
    <t xml:space="preserve"> 08804109</t>
  </si>
  <si>
    <t>Ms. Sabiha Aziz Sadik
CNIC: 42301-0892835-4
Cell No: 03220880354</t>
  </si>
  <si>
    <t>MITSUBISHI EK Wagon</t>
  </si>
  <si>
    <t>BVC-037</t>
  </si>
  <si>
    <t>3B20-NS2666</t>
  </si>
  <si>
    <t>B11W-0528112</t>
  </si>
  <si>
    <t xml:space="preserve"> 08817540</t>
  </si>
  <si>
    <t>Mr. Nadeem Khalid
CNIC: 33100-0946228-1
Cell No: 03219663878</t>
  </si>
  <si>
    <t>BZU-870</t>
  </si>
  <si>
    <t>6R306524</t>
  </si>
  <si>
    <t>NF1AET306H1206541</t>
  </si>
  <si>
    <t xml:space="preserve"> 08811480</t>
  </si>
  <si>
    <t>Razia Raheem 
CNIC No. 41303-1988030-0
Cell No. 0303-2857410</t>
  </si>
  <si>
    <t>BXT-481</t>
  </si>
  <si>
    <t>6R249908</t>
  </si>
  <si>
    <t>NF1AET306H1149971</t>
  </si>
  <si>
    <t>saeedlakhandildar@gmail.com</t>
  </si>
  <si>
    <t xml:space="preserve"> 08810918</t>
  </si>
  <si>
    <t>Mr. Rumman Bin Sadiq
CNIC: 35202-2036552-5
Phone Number: 03042454074</t>
  </si>
  <si>
    <t>CHANGAN Changan OSHAN X7</t>
  </si>
  <si>
    <t>BAG-253</t>
  </si>
  <si>
    <t>473ZQ7NN8AH158828</t>
  </si>
  <si>
    <t>NKMASE2E6N1001753</t>
  </si>
  <si>
    <t xml:space="preserve"> 08817824</t>
  </si>
  <si>
    <t>Mr. Shahid Mehmood 
CNIC No. 42201-6029535-1
Cell No. 0345-2899111</t>
  </si>
  <si>
    <t>HONDA CITY PROSMATEC</t>
  </si>
  <si>
    <t>BFT-414</t>
  </si>
  <si>
    <t>L13Z17444977</t>
  </si>
  <si>
    <t>185751</t>
  </si>
  <si>
    <t xml:space="preserve"> 08005078</t>
  </si>
  <si>
    <t>Mr. Amir Hassan
CNIC No. 42101-1876783-7
Cell No. 0300-8211442</t>
  </si>
  <si>
    <t>TOYOTA Yaris ATIV X 1.5 (</t>
  </si>
  <si>
    <t>BTR-499</t>
  </si>
  <si>
    <t>2A27399</t>
  </si>
  <si>
    <t>NSP151R-9510598</t>
  </si>
  <si>
    <t xml:space="preserve"> 08817899</t>
  </si>
  <si>
    <t>Mr. Nauman Ali
CNIC No. 43203-9615121-1
Cell No. 03333778997</t>
  </si>
  <si>
    <t>BZW-238</t>
  </si>
  <si>
    <t>6R309300</t>
  </si>
  <si>
    <t>NF1AET306H1209313</t>
  </si>
  <si>
    <t>Mr. Hamza Saleem Mirza
CNIC No. 42101-8566667-9
Cell No. 03341120985</t>
  </si>
  <si>
    <t>BZX-697</t>
  </si>
  <si>
    <t>6R308497</t>
  </si>
  <si>
    <t>H1208485</t>
  </si>
  <si>
    <t>raxaathar@gmail.com</t>
  </si>
  <si>
    <t xml:space="preserve"> 08810589</t>
  </si>
  <si>
    <t>Syeda Marryam Uraizee
CNIC# 42201-0523879-2
CELL# 0300-2397697</t>
  </si>
  <si>
    <t>BBQ-289</t>
  </si>
  <si>
    <t>L13Z1-6423234</t>
  </si>
  <si>
    <t>NFBGM1646ER150338</t>
  </si>
  <si>
    <t>42201-0523879-2</t>
  </si>
  <si>
    <t>adil_ahmed_97@hotmail.com</t>
  </si>
  <si>
    <t xml:space="preserve"> 08818039</t>
  </si>
  <si>
    <t>Mr. Syed Atif Gilani 
CNIC No. 42000-5428078-1
Cell No. 0345-247675</t>
  </si>
  <si>
    <t>BRV-829</t>
  </si>
  <si>
    <t>2A01289</t>
  </si>
  <si>
    <t>7000183</t>
  </si>
  <si>
    <t xml:space="preserve"> 08818046</t>
  </si>
  <si>
    <t>Mr. Syed Afzal Gilani 
CNIC No. 42000-3649422-3
Cell No. 0347-1233820</t>
  </si>
  <si>
    <t>GLORY GLORY 580</t>
  </si>
  <si>
    <t>BK-0640</t>
  </si>
  <si>
    <t>SFG15T-21752907</t>
  </si>
  <si>
    <t>PDF580PALR21K2650</t>
  </si>
  <si>
    <t>Mr. Muhammad Usama
CNIC No. 34101-4954824-3
Cell No. 03219141234</t>
  </si>
  <si>
    <t>HYUNDAI SONATA</t>
  </si>
  <si>
    <t>BZR-100</t>
  </si>
  <si>
    <t>G4KMNA139160</t>
  </si>
  <si>
    <t>PMHL341BMNN402565</t>
  </si>
  <si>
    <t xml:space="preserve"> 08818142</t>
  </si>
  <si>
    <t>Mr. Syed Nadeem Ur Rehman 
CNIC No. 42201-6654898-7
Cell No. 0310-2906615</t>
  </si>
  <si>
    <t>SUZUKI SWIFT RS DLX</t>
  </si>
  <si>
    <t>AZE-292</t>
  </si>
  <si>
    <t>PKS13018485</t>
  </si>
  <si>
    <t>RS413PK10018493</t>
  </si>
  <si>
    <t xml:space="preserve"> 08808960</t>
  </si>
  <si>
    <t>Mr. Muhammad Rizwan Khan 
CNIC No. 42401-8201191-1
Cell No. 0312-6889113</t>
  </si>
  <si>
    <t>BH-2965</t>
  </si>
  <si>
    <t>LEB-H15932465</t>
  </si>
  <si>
    <t>RU3-1232452</t>
  </si>
  <si>
    <t>Mr. Raja Imran Arif
CNIC No. 82102-7167702-9
Cell No. 0333-3622854</t>
  </si>
  <si>
    <t>rajaimran_arja@yahoo.com</t>
  </si>
  <si>
    <t xml:space="preserve"> 08811881</t>
  </si>
  <si>
    <t>Mr. Naveed Iqbal
CNIC: 42201-5128722-3
Phone Number: 03452962014</t>
  </si>
  <si>
    <t>BPZ-776</t>
  </si>
  <si>
    <t>PK10K144374</t>
  </si>
  <si>
    <t>NF1AVK31H10044183</t>
  </si>
  <si>
    <t xml:space="preserve"> 08004913</t>
  </si>
  <si>
    <t>Mr. Syed Muhammad Ali Zaidi
CNIC No. 4250177909083 
Cell No. 0344-3089395</t>
  </si>
  <si>
    <t>BTU-608</t>
  </si>
  <si>
    <t>PK10K174723</t>
  </si>
  <si>
    <t>NF1AVK31H10074709</t>
  </si>
  <si>
    <t>Ali Zaidi</t>
  </si>
  <si>
    <t>ali.zaidi@salaamtakaful.com</t>
  </si>
  <si>
    <t xml:space="preserve"> 08818585</t>
  </si>
  <si>
    <t>Mrs. Ayesha Shoaib 
CNIC No. 61101-3930402-0
Cell No. 0300-0330116</t>
  </si>
  <si>
    <t>AWY-257</t>
  </si>
  <si>
    <t>2A44625</t>
  </si>
  <si>
    <t>NSP151R-9516574</t>
  </si>
  <si>
    <t>Javeria Khan</t>
  </si>
  <si>
    <t>APM-344</t>
  </si>
  <si>
    <t xml:space="preserve"> 08810570</t>
  </si>
  <si>
    <t>Mrs. Hina Saqib 
CNIC No.42101-7373634-4
Cell No.03002754661</t>
  </si>
  <si>
    <t>BEC-825</t>
  </si>
  <si>
    <t>Q027191</t>
  </si>
  <si>
    <t>ZRE171R-6004668</t>
  </si>
  <si>
    <t>Mr. Muhammad Adnan Siddiqui 
CNIC No. 37405-3319225-3
Cell No. 0332-8282249</t>
  </si>
  <si>
    <t>BTL-354</t>
  </si>
  <si>
    <t>3B20-MN0490</t>
  </si>
  <si>
    <t>0463343</t>
  </si>
  <si>
    <t xml:space="preserve"> 08803216</t>
  </si>
  <si>
    <t>Mr. Muhammad Yasir Khan Rind Baloch
CNIC No. 42000-3139900-9
Cell No. 0333-2777797</t>
  </si>
  <si>
    <t>BEP-277</t>
  </si>
  <si>
    <t>PKF615477</t>
  </si>
  <si>
    <t>PK-522359</t>
  </si>
  <si>
    <t xml:space="preserve"> 08819610</t>
  </si>
  <si>
    <t>Mr. Jan Muhammad
CNIC No. 45102-9948018-3
Cell No. 0315-8702884</t>
  </si>
  <si>
    <t>HONDA CIVIC I-VTEC  ORIEL</t>
  </si>
  <si>
    <t>BPS-319</t>
  </si>
  <si>
    <t>R18Z12948663</t>
  </si>
  <si>
    <t>NFBFC6660KR052155</t>
  </si>
  <si>
    <t xml:space="preserve"> 08819626</t>
  </si>
  <si>
    <t>Mr. Muhamamd Bashir
CNIC Number: 36102-9336678-9
Phone Number: 03006885650</t>
  </si>
  <si>
    <t>BZA-841</t>
  </si>
  <si>
    <t>6R283608</t>
  </si>
  <si>
    <t>NF1AET306H1183576</t>
  </si>
  <si>
    <t>Maida Noor</t>
  </si>
  <si>
    <t>Mr. Muhammad Zubair 
CNIC No. 45301-9286212-3
Cell No. 0333-2636070</t>
  </si>
  <si>
    <t>BHC-633</t>
  </si>
  <si>
    <t>R18Z12905054</t>
  </si>
  <si>
    <t>NFBFC6665GR007462</t>
  </si>
  <si>
    <t>Mr. Muhammad Mubashir Rafiq 
CNIC# 36502-0158179-5
CELL# 0306-7816248</t>
  </si>
  <si>
    <t>HONDA CITY I-VTEC CVT</t>
  </si>
  <si>
    <t>Row Labels</t>
  </si>
  <si>
    <t>PLEASE SHARE POLICY/ENDORSEMENT AGAINST THESE BLANKS</t>
  </si>
  <si>
    <t>POLICY NO</t>
  </si>
  <si>
    <t>AMOUNT</t>
  </si>
  <si>
    <t>LHR/LHR/D/MO/MC COMP/P/95340/08/2024</t>
  </si>
  <si>
    <t>LHR/LHR/D/MO/MC COMP/E/59603/04/2025</t>
  </si>
  <si>
    <t>LHR/LHR/D/MO/MC COMP/P/95344/08/2024</t>
  </si>
  <si>
    <t>LHR/LHR/D/MO/MC COMP/E/59605/04/2025</t>
  </si>
  <si>
    <t>LHR/LHR/D/MO/CV/P/95345/08/2024</t>
  </si>
  <si>
    <t>LHR/LHR/D/MO/CV/E/59619/04/2025</t>
  </si>
  <si>
    <t>LHR/LHR/D/MO/CV/P/95341/08/2024</t>
  </si>
  <si>
    <t>LHR/LHR/D/MO/CV/E/59620/04/2025</t>
  </si>
  <si>
    <t>LHR/LHR/D/MO/CV/P/95346/08/2024</t>
  </si>
  <si>
    <t>LHR/LHR/D/MO/CV/E/59621/04/2025</t>
  </si>
  <si>
    <t>LHR/LHR/D/MO/CV/P/95317/08/2024</t>
  </si>
  <si>
    <t>LHR/LHR/D/MO/CV/E/59625/04/2025</t>
  </si>
  <si>
    <t>-01-2022</t>
  </si>
  <si>
    <t>-05-2022</t>
  </si>
  <si>
    <t>-06-2022</t>
  </si>
  <si>
    <t>-09-2022</t>
  </si>
  <si>
    <t>-12-2022</t>
  </si>
  <si>
    <t>-01-2023</t>
  </si>
  <si>
    <t>-02-2023</t>
  </si>
  <si>
    <t>-03-2023</t>
  </si>
  <si>
    <t>-04-2023</t>
  </si>
  <si>
    <t>-05-2023</t>
  </si>
  <si>
    <t>-06-2023</t>
  </si>
  <si>
    <t>-09-2023</t>
  </si>
  <si>
    <t>-10-2023</t>
  </si>
  <si>
    <t>-12-2023</t>
  </si>
  <si>
    <t>-01-2024</t>
  </si>
  <si>
    <t>-02-2024</t>
  </si>
  <si>
    <t>-03-2024</t>
  </si>
  <si>
    <t>-04-2024</t>
  </si>
  <si>
    <t>-05-2024</t>
  </si>
  <si>
    <t>-06-2024</t>
  </si>
  <si>
    <t>-07-2024</t>
  </si>
  <si>
    <t>-12-2021</t>
  </si>
  <si>
    <t>-02-2022</t>
  </si>
  <si>
    <t>-10-2022</t>
  </si>
  <si>
    <t>-11-2022</t>
  </si>
  <si>
    <t>-07-2023</t>
  </si>
  <si>
    <t>-08-2023</t>
  </si>
  <si>
    <t>-11-2023</t>
  </si>
  <si>
    <t>-08-2024</t>
  </si>
  <si>
    <t>-09-2024</t>
  </si>
  <si>
    <t>-10-2024</t>
  </si>
  <si>
    <t>-11-2024</t>
  </si>
  <si>
    <t>-12-2024</t>
  </si>
  <si>
    <t>-01-2025</t>
  </si>
  <si>
    <t>-02-2025</t>
  </si>
  <si>
    <t>-03-2025</t>
  </si>
  <si>
    <t>-04-2025</t>
  </si>
  <si>
    <t xml:space="preserve">   </t>
  </si>
  <si>
    <t>FUNC_ASSORTED_STRING(IA.ASSORTED_CODE)</t>
  </si>
  <si>
    <t>ASSORTED_CODE</t>
  </si>
  <si>
    <t>050000430288</t>
  </si>
  <si>
    <t>050000443235</t>
  </si>
  <si>
    <t>050000440437</t>
  </si>
  <si>
    <t>KHI/HO/D/MR/IMPORTS/C/18762/02/2022</t>
  </si>
  <si>
    <t>020000023825</t>
  </si>
  <si>
    <t>040000139494</t>
  </si>
  <si>
    <t>050000529874</t>
  </si>
  <si>
    <t>050000445441</t>
  </si>
  <si>
    <t>050000548195</t>
  </si>
  <si>
    <t>050000534339</t>
  </si>
  <si>
    <t>050000777712</t>
  </si>
  <si>
    <t>050000777715</t>
  </si>
  <si>
    <t>040000135023</t>
  </si>
  <si>
    <t>040000115951</t>
  </si>
  <si>
    <t>040000138322</t>
  </si>
  <si>
    <t>050000542341</t>
  </si>
  <si>
    <t>050000463596</t>
  </si>
  <si>
    <t>050000464064</t>
  </si>
  <si>
    <t>050000777711</t>
  </si>
  <si>
    <t>040000111554</t>
  </si>
  <si>
    <t>050000428128</t>
  </si>
  <si>
    <t>040000118340</t>
  </si>
  <si>
    <t>050000574602</t>
  </si>
  <si>
    <t>050000627685</t>
  </si>
  <si>
    <t>050000568287</t>
  </si>
  <si>
    <t>040000141894</t>
  </si>
  <si>
    <t>040000143391</t>
  </si>
  <si>
    <t>040000137224</t>
  </si>
  <si>
    <t>050000574551</t>
  </si>
  <si>
    <t>050000588125</t>
  </si>
  <si>
    <t>050000572023</t>
  </si>
  <si>
    <t>040000147871</t>
  </si>
  <si>
    <t>040000147404</t>
  </si>
  <si>
    <t>040000142844</t>
  </si>
  <si>
    <t>KHI/HO/F/MR/IMPORTS/P/42938/06/2024</t>
  </si>
  <si>
    <t>040000177856</t>
  </si>
  <si>
    <t>050000585921</t>
  </si>
  <si>
    <t>040000147422</t>
  </si>
  <si>
    <t>050000599405</t>
  </si>
  <si>
    <t>050000570879</t>
  </si>
  <si>
    <t>040000143096</t>
  </si>
  <si>
    <t>050000563114</t>
  </si>
  <si>
    <t>040000146037</t>
  </si>
  <si>
    <t>050000540764</t>
  </si>
  <si>
    <t>050000619254</t>
  </si>
  <si>
    <t>050000543226</t>
  </si>
  <si>
    <t>040000137319</t>
  </si>
  <si>
    <t>050000521751</t>
  </si>
  <si>
    <t>050000521757</t>
  </si>
  <si>
    <t>050000521799</t>
  </si>
  <si>
    <t>050000529873</t>
  </si>
  <si>
    <t>050000512371</t>
  </si>
  <si>
    <t>050000512342</t>
  </si>
  <si>
    <t>050000512343</t>
  </si>
  <si>
    <t>050000512366</t>
  </si>
  <si>
    <t>050000512373</t>
  </si>
  <si>
    <t>050000512378</t>
  </si>
  <si>
    <t>050000512380</t>
  </si>
  <si>
    <t>050000512382</t>
  </si>
  <si>
    <t>050000512383</t>
  </si>
  <si>
    <t>050000512385</t>
  </si>
  <si>
    <t>040000137323</t>
  </si>
  <si>
    <t>040000139024</t>
  </si>
  <si>
    <t>050000529930</t>
  </si>
  <si>
    <t>050000777841</t>
  </si>
  <si>
    <t>050000559188</t>
  </si>
  <si>
    <t>040000134619</t>
  </si>
  <si>
    <t>040000143411</t>
  </si>
  <si>
    <t>040000136812</t>
  </si>
  <si>
    <t>050000713412</t>
  </si>
  <si>
    <t>050000729382</t>
  </si>
  <si>
    <t>050000701939</t>
  </si>
  <si>
    <t>050000729688</t>
  </si>
  <si>
    <t>050000729689</t>
  </si>
  <si>
    <t>050000721470</t>
  </si>
  <si>
    <t>050000721471</t>
  </si>
  <si>
    <t>050000718394</t>
  </si>
  <si>
    <t>050000664186</t>
  </si>
  <si>
    <t>050000685754</t>
  </si>
  <si>
    <t>050000698164</t>
  </si>
  <si>
    <t>050000678639</t>
  </si>
  <si>
    <t>050000675902</t>
  </si>
  <si>
    <t>050000767580</t>
  </si>
  <si>
    <t>050000698155</t>
  </si>
  <si>
    <t>050000698185</t>
  </si>
  <si>
    <t>050000698188</t>
  </si>
  <si>
    <t>050000688157</t>
  </si>
  <si>
    <t>050000688163</t>
  </si>
  <si>
    <t>050000710343</t>
  </si>
  <si>
    <t>040000158908</t>
  </si>
  <si>
    <t>050000691708</t>
  </si>
  <si>
    <t>050000624211</t>
  </si>
  <si>
    <t>050000613758</t>
  </si>
  <si>
    <t>040000160581</t>
  </si>
  <si>
    <t>050000653486</t>
  </si>
  <si>
    <t>050000653496</t>
  </si>
  <si>
    <t>050000653498</t>
  </si>
  <si>
    <t>050000653505</t>
  </si>
  <si>
    <t>050000653514</t>
  </si>
  <si>
    <t>050000653468</t>
  </si>
  <si>
    <t>050000653472</t>
  </si>
  <si>
    <t>050000653474</t>
  </si>
  <si>
    <t>050000653477</t>
  </si>
  <si>
    <t>050000653489</t>
  </si>
  <si>
    <t>050000653491</t>
  </si>
  <si>
    <t>050000653495</t>
  </si>
  <si>
    <t>050000653497</t>
  </si>
  <si>
    <t>050000653500</t>
  </si>
  <si>
    <t>050000653483</t>
  </si>
  <si>
    <t>050000691266</t>
  </si>
  <si>
    <t>050000680266</t>
  </si>
  <si>
    <t>050000591926</t>
  </si>
  <si>
    <t>050000701014</t>
  </si>
  <si>
    <t>050000701025</t>
  </si>
  <si>
    <t>040000162053</t>
  </si>
  <si>
    <t>050000680272</t>
  </si>
  <si>
    <t>050000705601</t>
  </si>
  <si>
    <t>050000705602</t>
  </si>
  <si>
    <t>050000705608</t>
  </si>
  <si>
    <t>050000718205</t>
  </si>
  <si>
    <t>040000162811</t>
  </si>
  <si>
    <t>050000680685</t>
  </si>
  <si>
    <t>050000691275</t>
  </si>
  <si>
    <t>050000728853</t>
  </si>
  <si>
    <t>050000728854</t>
  </si>
  <si>
    <t>050000728859</t>
  </si>
  <si>
    <t>040000169720</t>
  </si>
  <si>
    <t>050000692276</t>
  </si>
  <si>
    <t>050000726936</t>
  </si>
  <si>
    <t>050000711707</t>
  </si>
  <si>
    <t>040000162100</t>
  </si>
  <si>
    <t>050000726940</t>
  </si>
  <si>
    <t>050000726944</t>
  </si>
  <si>
    <t>050000724546</t>
  </si>
  <si>
    <t>050000724548</t>
  </si>
  <si>
    <t>050000724939</t>
  </si>
  <si>
    <t>050000724945</t>
  </si>
  <si>
    <t>050000692219</t>
  </si>
  <si>
    <t>050000692386</t>
  </si>
  <si>
    <t>050000692411</t>
  </si>
  <si>
    <t>050000692414</t>
  </si>
  <si>
    <t>050000692451</t>
  </si>
  <si>
    <t>050000692452</t>
  </si>
  <si>
    <t>050000692454</t>
  </si>
  <si>
    <t>050000692455</t>
  </si>
  <si>
    <t>050000692459</t>
  </si>
  <si>
    <t>050000692460</t>
  </si>
  <si>
    <t>050000726622</t>
  </si>
  <si>
    <t>050000703784</t>
  </si>
  <si>
    <t>050000699347</t>
  </si>
  <si>
    <t>050000692222</t>
  </si>
  <si>
    <t>050000692228</t>
  </si>
  <si>
    <t>050000692465</t>
  </si>
  <si>
    <t>050000692466</t>
  </si>
  <si>
    <t>050000696408</t>
  </si>
  <si>
    <t>050000726221</t>
  </si>
  <si>
    <t>050000692389</t>
  </si>
  <si>
    <t>050000692391</t>
  </si>
  <si>
    <t>050000692393</t>
  </si>
  <si>
    <t>050000692428</t>
  </si>
  <si>
    <t>050000692429</t>
  </si>
  <si>
    <t>050000692238</t>
  </si>
  <si>
    <t>050000692405</t>
  </si>
  <si>
    <t>050000692408</t>
  </si>
  <si>
    <t>050000692409</t>
  </si>
  <si>
    <t>050000692410</t>
  </si>
  <si>
    <t>050000692437</t>
  </si>
  <si>
    <t>050000692438</t>
  </si>
  <si>
    <t>050000692440</t>
  </si>
  <si>
    <t>050000692448</t>
  </si>
  <si>
    <t>050000726222</t>
  </si>
  <si>
    <t>050000692371</t>
  </si>
  <si>
    <t>050000728641</t>
  </si>
  <si>
    <t>050000692373</t>
  </si>
  <si>
    <t>050000692377</t>
  </si>
  <si>
    <t>050000692380</t>
  </si>
  <si>
    <t>050000692382</t>
  </si>
  <si>
    <t>050000692383</t>
  </si>
  <si>
    <t>050000702054</t>
  </si>
  <si>
    <t>050000702055</t>
  </si>
  <si>
    <t>050000689285</t>
  </si>
  <si>
    <t>050000628757</t>
  </si>
  <si>
    <t>050000707707</t>
  </si>
  <si>
    <t>050000694423</t>
  </si>
  <si>
    <t>050000707721</t>
  </si>
  <si>
    <t>050000693996</t>
  </si>
  <si>
    <t>040000155111</t>
  </si>
  <si>
    <t>050000693979</t>
  </si>
  <si>
    <t>050000685723</t>
  </si>
  <si>
    <t>050000685725</t>
  </si>
  <si>
    <t>050000685727</t>
  </si>
  <si>
    <t>050000685724</t>
  </si>
  <si>
    <t>050000653488</t>
  </si>
  <si>
    <t>050000653501</t>
  </si>
  <si>
    <t>050000653503</t>
  </si>
  <si>
    <t>050000653504</t>
  </si>
  <si>
    <t>050000653508</t>
  </si>
  <si>
    <t>050000653511</t>
  </si>
  <si>
    <t>050000653513</t>
  </si>
  <si>
    <t>050000694405</t>
  </si>
  <si>
    <t>050000694406</t>
  </si>
  <si>
    <t>050000704286</t>
  </si>
  <si>
    <t>050000694408</t>
  </si>
  <si>
    <t>050000694411</t>
  </si>
  <si>
    <t>050000688151</t>
  </si>
  <si>
    <t>050000678872</t>
  </si>
  <si>
    <t>050000689249</t>
  </si>
  <si>
    <t>050000689279</t>
  </si>
  <si>
    <t>050000688351</t>
  </si>
  <si>
    <t>050000700827</t>
  </si>
  <si>
    <t>050000700835</t>
  </si>
  <si>
    <t>050000681461</t>
  </si>
  <si>
    <t>050000691560</t>
  </si>
  <si>
    <t>050000697801</t>
  </si>
  <si>
    <t>050000688350</t>
  </si>
  <si>
    <t>050000687376</t>
  </si>
  <si>
    <t>050000704931</t>
  </si>
  <si>
    <t>050000704934</t>
  </si>
  <si>
    <t>050000704935</t>
  </si>
  <si>
    <t>050000691555</t>
  </si>
  <si>
    <t>050000709817</t>
  </si>
  <si>
    <t>050000709818</t>
  </si>
  <si>
    <t>050000682443</t>
  </si>
  <si>
    <t>050000679019</t>
  </si>
  <si>
    <t>050000693148</t>
  </si>
  <si>
    <t>050000693149</t>
  </si>
  <si>
    <t>050000712472</t>
  </si>
  <si>
    <t>040000162619</t>
  </si>
  <si>
    <t>050000679056</t>
  </si>
  <si>
    <t>050000679061</t>
  </si>
  <si>
    <t>040000156248</t>
  </si>
  <si>
    <t>040000160009</t>
  </si>
  <si>
    <t>050000640556</t>
  </si>
  <si>
    <t>050000668780</t>
  </si>
  <si>
    <t>050000600844</t>
  </si>
  <si>
    <t>050000637350</t>
  </si>
  <si>
    <t>050000600849</t>
  </si>
  <si>
    <t>050000627687</t>
  </si>
  <si>
    <t>050000645703</t>
  </si>
  <si>
    <t>050000645707</t>
  </si>
  <si>
    <t>050000645713</t>
  </si>
  <si>
    <t>050000645716</t>
  </si>
  <si>
    <t>050000645718</t>
  </si>
  <si>
    <t>050000645720</t>
  </si>
  <si>
    <t>050000648448</t>
  </si>
  <si>
    <t>050000645715</t>
  </si>
  <si>
    <t>050000645719</t>
  </si>
  <si>
    <t>050000645729</t>
  </si>
  <si>
    <t>050000645704</t>
  </si>
  <si>
    <t>050000645708</t>
  </si>
  <si>
    <t>050000645710</t>
  </si>
  <si>
    <t>050000645714</t>
  </si>
  <si>
    <t>050000777848</t>
  </si>
  <si>
    <t>050000777849</t>
  </si>
  <si>
    <t>040000145594</t>
  </si>
  <si>
    <t>050000728849</t>
  </si>
  <si>
    <t>050000777845</t>
  </si>
  <si>
    <t>050000624203</t>
  </si>
  <si>
    <t>050000620639</t>
  </si>
  <si>
    <t>050000624196</t>
  </si>
  <si>
    <t>050000620587</t>
  </si>
  <si>
    <t>050000610030</t>
  </si>
  <si>
    <t>050000655823</t>
  </si>
  <si>
    <t>050000652992</t>
  </si>
  <si>
    <t>050000640557</t>
  </si>
  <si>
    <t>050000652993</t>
  </si>
  <si>
    <t>040000152667</t>
  </si>
  <si>
    <t>050000626702</t>
  </si>
  <si>
    <t>050000626703</t>
  </si>
  <si>
    <t>050000628750</t>
  </si>
  <si>
    <t>050000628760</t>
  </si>
  <si>
    <t>050000628738</t>
  </si>
  <si>
    <t>050000628740</t>
  </si>
  <si>
    <t>050000628743</t>
  </si>
  <si>
    <t>050000628747</t>
  </si>
  <si>
    <t>050000628762</t>
  </si>
  <si>
    <t>050000641000</t>
  </si>
  <si>
    <t>050000628741</t>
  </si>
  <si>
    <t>050000628767</t>
  </si>
  <si>
    <t>050000647939</t>
  </si>
  <si>
    <t>050000668609</t>
  </si>
  <si>
    <t>050000587447</t>
  </si>
  <si>
    <t>050000634228</t>
  </si>
  <si>
    <t>050000630755</t>
  </si>
  <si>
    <t>050000675861</t>
  </si>
  <si>
    <t>050000675865</t>
  </si>
  <si>
    <t>050000529888</t>
  </si>
  <si>
    <t>050000632829</t>
  </si>
  <si>
    <t>050000675849</t>
  </si>
  <si>
    <t>050000675850</t>
  </si>
  <si>
    <t>050000675854</t>
  </si>
  <si>
    <t>050000675856</t>
  </si>
  <si>
    <t>050000675862</t>
  </si>
  <si>
    <t>050000675825</t>
  </si>
  <si>
    <t>050000675832</t>
  </si>
  <si>
    <t>050000675838</t>
  </si>
  <si>
    <t>050000675807</t>
  </si>
  <si>
    <t>050000675809</t>
  </si>
  <si>
    <t>050000675811</t>
  </si>
  <si>
    <t>050000675815</t>
  </si>
  <si>
    <t>050000647914</t>
  </si>
  <si>
    <t>050000636883</t>
  </si>
  <si>
    <t>050000777855</t>
  </si>
  <si>
    <t>050000777858</t>
  </si>
  <si>
    <t>050000675808</t>
  </si>
  <si>
    <t>050000626969</t>
  </si>
  <si>
    <t>050000675818</t>
  </si>
  <si>
    <t>050000675820</t>
  </si>
  <si>
    <t>050000675822</t>
  </si>
  <si>
    <t>050000675829</t>
  </si>
  <si>
    <t>040000154748</t>
  </si>
  <si>
    <t>050000668781</t>
  </si>
  <si>
    <t>050000668782</t>
  </si>
  <si>
    <t>050000679187</t>
  </si>
  <si>
    <t>050000598636</t>
  </si>
  <si>
    <t>050000679220</t>
  </si>
  <si>
    <t>040000144846</t>
  </si>
  <si>
    <t>050000595525</t>
  </si>
  <si>
    <t>050000737703</t>
  </si>
  <si>
    <t>050000737704</t>
  </si>
  <si>
    <t>050000705625</t>
  </si>
  <si>
    <t>050000726664</t>
  </si>
  <si>
    <t>050000729208</t>
  </si>
  <si>
    <t>050000691114</t>
  </si>
  <si>
    <t>050000737708</t>
  </si>
  <si>
    <t>050000737712</t>
  </si>
  <si>
    <t>050000700660</t>
  </si>
  <si>
    <t>050000728016</t>
  </si>
  <si>
    <t>050000728018</t>
  </si>
  <si>
    <t>050000728024</t>
  </si>
  <si>
    <t>050000727997</t>
  </si>
  <si>
    <t>050000777861</t>
  </si>
  <si>
    <t>050000708916</t>
  </si>
  <si>
    <t>050000712486</t>
  </si>
  <si>
    <t>040000169496</t>
  </si>
  <si>
    <t>050000697786</t>
  </si>
  <si>
    <t>050000695291</t>
  </si>
  <si>
    <t>050000728142</t>
  </si>
  <si>
    <t>050000728145</t>
  </si>
  <si>
    <t>050000728153</t>
  </si>
  <si>
    <t>050000728028</t>
  </si>
  <si>
    <t>050000700869</t>
  </si>
  <si>
    <t>050000700871</t>
  </si>
  <si>
    <t>050000699253</t>
  </si>
  <si>
    <t>040000168484</t>
  </si>
  <si>
    <t>050000729381</t>
  </si>
  <si>
    <t>050000681643</t>
  </si>
  <si>
    <t>050000681645</t>
  </si>
  <si>
    <t>050000681651</t>
  </si>
  <si>
    <t>050000692263</t>
  </si>
  <si>
    <t>050000729383</t>
  </si>
  <si>
    <t>050000729389</t>
  </si>
  <si>
    <t>050000729394</t>
  </si>
  <si>
    <t>050000692501</t>
  </si>
  <si>
    <t>050000718433</t>
  </si>
  <si>
    <t>050000718442</t>
  </si>
  <si>
    <t>040000170955</t>
  </si>
  <si>
    <t>050000718449</t>
  </si>
  <si>
    <t>050000718458</t>
  </si>
  <si>
    <t>040000167089</t>
  </si>
  <si>
    <t>050000777875</t>
  </si>
  <si>
    <t>050000777880</t>
  </si>
  <si>
    <t>050000725064</t>
  </si>
  <si>
    <t>050000728209</t>
  </si>
  <si>
    <t>050000728214</t>
  </si>
  <si>
    <t>040000170410</t>
  </si>
  <si>
    <t>050000694724</t>
  </si>
  <si>
    <t>040000170415</t>
  </si>
  <si>
    <t>050000718431</t>
  </si>
  <si>
    <t>050000740544</t>
  </si>
  <si>
    <t>050000740511</t>
  </si>
  <si>
    <t>050000729074</t>
  </si>
  <si>
    <t>050000740517</t>
  </si>
  <si>
    <t>050000740519</t>
  </si>
  <si>
    <t>050000739217</t>
  </si>
  <si>
    <t>050000734255</t>
  </si>
  <si>
    <t>050000732129</t>
  </si>
  <si>
    <t>050000734203</t>
  </si>
  <si>
    <t>050000740485</t>
  </si>
  <si>
    <t>050000740486</t>
  </si>
  <si>
    <t>050000740487</t>
  </si>
  <si>
    <t>050000734261</t>
  </si>
  <si>
    <t>050000740489</t>
  </si>
  <si>
    <t>050000740490</t>
  </si>
  <si>
    <t>050000740491</t>
  </si>
  <si>
    <t>050000740502</t>
  </si>
  <si>
    <t>050000740503</t>
  </si>
  <si>
    <t>050000740504</t>
  </si>
  <si>
    <t>050000711426</t>
  </si>
  <si>
    <t>050000711429</t>
  </si>
  <si>
    <t>050000734186</t>
  </si>
  <si>
    <t>050000734225</t>
  </si>
  <si>
    <t>050000734226</t>
  </si>
  <si>
    <t>050000734194</t>
  </si>
  <si>
    <t>050000734238</t>
  </si>
  <si>
    <t>050000740552</t>
  </si>
  <si>
    <t>050000732119</t>
  </si>
  <si>
    <t>050000732120</t>
  </si>
  <si>
    <t>050000711404</t>
  </si>
  <si>
    <t>050000734207</t>
  </si>
  <si>
    <t>050000734208</t>
  </si>
  <si>
    <t>050000734211</t>
  </si>
  <si>
    <t>050000734213</t>
  </si>
  <si>
    <t>050000737147</t>
  </si>
  <si>
    <t>050000734222</t>
  </si>
  <si>
    <t>040000162319</t>
  </si>
  <si>
    <t>050000738405</t>
  </si>
  <si>
    <t>050000738411</t>
  </si>
  <si>
    <t>050000738412</t>
  </si>
  <si>
    <t>050000738805</t>
  </si>
  <si>
    <t>050000739352</t>
  </si>
  <si>
    <t>050000734169</t>
  </si>
  <si>
    <t>050000734177</t>
  </si>
  <si>
    <t>050000735382</t>
  </si>
  <si>
    <t>050000739287</t>
  </si>
  <si>
    <t>050000739292</t>
  </si>
  <si>
    <t>050000739295</t>
  </si>
  <si>
    <t>050000717491</t>
  </si>
  <si>
    <t>040000165348</t>
  </si>
  <si>
    <t>050000738360</t>
  </si>
  <si>
    <t>050000738367</t>
  </si>
  <si>
    <t>040000170693</t>
  </si>
  <si>
    <t>040000165025</t>
  </si>
  <si>
    <t>040000166984</t>
  </si>
  <si>
    <t>050000739727</t>
  </si>
  <si>
    <t>050000739729</t>
  </si>
  <si>
    <t>050000739732</t>
  </si>
  <si>
    <t>050000691959</t>
  </si>
  <si>
    <t>050000718004</t>
  </si>
  <si>
    <t>050000705633</t>
  </si>
  <si>
    <t>050000697204</t>
  </si>
  <si>
    <t>050000726211</t>
  </si>
  <si>
    <t>050000727067</t>
  </si>
  <si>
    <t>050000727069</t>
  </si>
  <si>
    <t>050000737156</t>
  </si>
  <si>
    <t>040000170003</t>
  </si>
  <si>
    <t>040000169778</t>
  </si>
  <si>
    <t>050000737127</t>
  </si>
  <si>
    <t>050000737130</t>
  </si>
  <si>
    <t>040000171154</t>
  </si>
  <si>
    <t>040000171156</t>
  </si>
  <si>
    <t>050000713876</t>
  </si>
  <si>
    <t>050000738285</t>
  </si>
  <si>
    <t>050000738286</t>
  </si>
  <si>
    <t>050000738283</t>
  </si>
  <si>
    <t>050000707033</t>
  </si>
  <si>
    <t>050000761555</t>
  </si>
  <si>
    <t>KHI/HO/D/MR/EXPORTS/P/42697/06/2024</t>
  </si>
  <si>
    <t>040000175758</t>
  </si>
  <si>
    <t>050000730192</t>
  </si>
  <si>
    <t>050000730195</t>
  </si>
  <si>
    <t>040000170938</t>
  </si>
  <si>
    <t>050000737100</t>
  </si>
  <si>
    <t>050000737117</t>
  </si>
  <si>
    <t>050000734035</t>
  </si>
  <si>
    <t>050000734037</t>
  </si>
  <si>
    <t>050000734038</t>
  </si>
  <si>
    <t>050000734041</t>
  </si>
  <si>
    <t>040000172014</t>
  </si>
  <si>
    <t>050000734058</t>
  </si>
  <si>
    <t>050000734061</t>
  </si>
  <si>
    <t>050000735368</t>
  </si>
  <si>
    <t>050000735370</t>
  </si>
  <si>
    <t>050000735418</t>
  </si>
  <si>
    <t>050000735422</t>
  </si>
  <si>
    <t>050000737124</t>
  </si>
  <si>
    <t>050000737126</t>
  </si>
  <si>
    <t>050000737128</t>
  </si>
  <si>
    <t>050000735433</t>
  </si>
  <si>
    <t>040000171211</t>
  </si>
  <si>
    <t>050000734021</t>
  </si>
  <si>
    <t>050000718118</t>
  </si>
  <si>
    <t>050000718119</t>
  </si>
  <si>
    <t>050000734020</t>
  </si>
  <si>
    <t>050000734023</t>
  </si>
  <si>
    <t>050000734024</t>
  </si>
  <si>
    <t>050000734034</t>
  </si>
  <si>
    <t>050000734043</t>
  </si>
  <si>
    <t>040000170687</t>
  </si>
  <si>
    <t>050000740665</t>
  </si>
  <si>
    <t>050000734052</t>
  </si>
  <si>
    <t>050000734053</t>
  </si>
  <si>
    <t>050000740674</t>
  </si>
  <si>
    <t>050000740675</t>
  </si>
  <si>
    <t>050000740676</t>
  </si>
  <si>
    <t>050000740677</t>
  </si>
  <si>
    <t>050000734135</t>
  </si>
  <si>
    <t>050000723980</t>
  </si>
  <si>
    <t>050000723981</t>
  </si>
  <si>
    <t>050000723984</t>
  </si>
  <si>
    <t>050000739481</t>
  </si>
  <si>
    <t>050000739482</t>
  </si>
  <si>
    <t>050000739483</t>
  </si>
  <si>
    <t>050000739486</t>
  </si>
  <si>
    <t>050000739503</t>
  </si>
  <si>
    <t>050000739504</t>
  </si>
  <si>
    <t>050000739471</t>
  </si>
  <si>
    <t>050000739476</t>
  </si>
  <si>
    <t>050000739498</t>
  </si>
  <si>
    <t>050000729101</t>
  </si>
  <si>
    <t>050000729102</t>
  </si>
  <si>
    <t>050000729105</t>
  </si>
  <si>
    <t>050000729106</t>
  </si>
  <si>
    <t>050000729422</t>
  </si>
  <si>
    <t>050000739366</t>
  </si>
  <si>
    <t>050000729094</t>
  </si>
  <si>
    <t>050000719848</t>
  </si>
  <si>
    <t>050000739355</t>
  </si>
  <si>
    <t>050000739358</t>
  </si>
  <si>
    <t>050000739362</t>
  </si>
  <si>
    <t>050000726696</t>
  </si>
  <si>
    <t>050000710184</t>
  </si>
  <si>
    <t>050000714403</t>
  </si>
  <si>
    <t>050000714405</t>
  </si>
  <si>
    <t>050000737092</t>
  </si>
  <si>
    <t>050000737098</t>
  </si>
  <si>
    <t>050000737102</t>
  </si>
  <si>
    <t>050000737105</t>
  </si>
  <si>
    <t>050000724650</t>
  </si>
  <si>
    <t>050000724653</t>
  </si>
  <si>
    <t>050000724658</t>
  </si>
  <si>
    <t>050000724660</t>
  </si>
  <si>
    <t>050000718461</t>
  </si>
  <si>
    <t>050000738447</t>
  </si>
  <si>
    <t>050000738454</t>
  </si>
  <si>
    <t>050000738457</t>
  </si>
  <si>
    <t>050000738463</t>
  </si>
  <si>
    <t>050000710182</t>
  </si>
  <si>
    <t>050000722048</t>
  </si>
  <si>
    <t>050000722055</t>
  </si>
  <si>
    <t>050000722057</t>
  </si>
  <si>
    <t>050000722063</t>
  </si>
  <si>
    <t>050000722064</t>
  </si>
  <si>
    <t>050000737139</t>
  </si>
  <si>
    <t>050000733529</t>
  </si>
  <si>
    <t>050000733532</t>
  </si>
  <si>
    <t>050000733533</t>
  </si>
  <si>
    <t>050000777893</t>
  </si>
  <si>
    <t>050000721493</t>
  </si>
  <si>
    <t>050000738451</t>
  </si>
  <si>
    <t>050000710208</t>
  </si>
  <si>
    <t>050000710211</t>
  </si>
  <si>
    <t>050000710212</t>
  </si>
  <si>
    <t>050000733525</t>
  </si>
  <si>
    <t>050000718469</t>
  </si>
  <si>
    <t>KHI/HO/D/MO/MC COMP/P/86993/04/2024</t>
  </si>
  <si>
    <t>040000170694</t>
  </si>
  <si>
    <t>050000738467</t>
  </si>
  <si>
    <t>050000761553</t>
  </si>
  <si>
    <t>050000719844</t>
  </si>
  <si>
    <t>050000756533</t>
  </si>
  <si>
    <t>050000756536</t>
  </si>
  <si>
    <t>KHI/HO/F/MR/IMPORTS/P/42964/06/2024</t>
  </si>
  <si>
    <t>040000177924</t>
  </si>
  <si>
    <t>KHI/HO/F/MR/IMPORTS/P/42942/06/2024</t>
  </si>
  <si>
    <t>040000177865</t>
  </si>
  <si>
    <t>050000738448</t>
  </si>
  <si>
    <t>050000692227</t>
  </si>
  <si>
    <t>050000739357</t>
  </si>
  <si>
    <t>KHI/HO/D/MR/IMPORTS/P/42700/06/2024</t>
  </si>
  <si>
    <t>040000175806</t>
  </si>
  <si>
    <t>050000738356</t>
  </si>
  <si>
    <t>040000141885</t>
  </si>
  <si>
    <t>040000125277</t>
  </si>
  <si>
    <t>050000685726</t>
  </si>
  <si>
    <t>050000653502</t>
  </si>
  <si>
    <t>050000777844</t>
  </si>
  <si>
    <t>050000704930</t>
  </si>
  <si>
    <t>050000709824</t>
  </si>
  <si>
    <t>050000781929</t>
  </si>
  <si>
    <t>050000767609</t>
  </si>
  <si>
    <t>050000759860</t>
  </si>
  <si>
    <t>050000782747</t>
  </si>
  <si>
    <t>050000782748</t>
  </si>
  <si>
    <t>050000779568</t>
  </si>
  <si>
    <t>050000782760</t>
  </si>
  <si>
    <t>040000181650</t>
  </si>
  <si>
    <t>050000780459</t>
  </si>
  <si>
    <t>050000781940</t>
  </si>
  <si>
    <t>050000751858</t>
  </si>
  <si>
    <t>040000181655</t>
  </si>
  <si>
    <t>050000782751</t>
  </si>
  <si>
    <t>050000782752</t>
  </si>
  <si>
    <t>050000740685</t>
  </si>
  <si>
    <t>KHI/HO/F/MR/IMPORTS/P/42724/06/2024</t>
  </si>
  <si>
    <t>040000175958</t>
  </si>
  <si>
    <t>050000739222</t>
  </si>
  <si>
    <t>050000722060</t>
  </si>
  <si>
    <t>050000750195</t>
  </si>
  <si>
    <t>050000777918</t>
  </si>
  <si>
    <t>050000782717</t>
  </si>
  <si>
    <t>050000782720</t>
  </si>
  <si>
    <t>050000782723</t>
  </si>
  <si>
    <t>050000798230</t>
  </si>
  <si>
    <t>050000798233</t>
  </si>
  <si>
    <t>050000798235</t>
  </si>
  <si>
    <t>050000798239</t>
  </si>
  <si>
    <t>050000798240</t>
  </si>
  <si>
    <t>050000798241</t>
  </si>
  <si>
    <t>050000798248</t>
  </si>
  <si>
    <t>050000798250</t>
  </si>
  <si>
    <t>050000798254</t>
  </si>
  <si>
    <t>050000798256</t>
  </si>
  <si>
    <t>050000798258</t>
  </si>
  <si>
    <t>050000798260</t>
  </si>
  <si>
    <t>050000798267</t>
  </si>
  <si>
    <t>050000798271</t>
  </si>
  <si>
    <t>050000798277</t>
  </si>
  <si>
    <t>050000782708</t>
  </si>
  <si>
    <t>050000815553</t>
  </si>
  <si>
    <t>050000815557</t>
  </si>
  <si>
    <t>050000815558</t>
  </si>
  <si>
    <t>050000815562</t>
  </si>
  <si>
    <t>050000815565</t>
  </si>
  <si>
    <t>050000813597</t>
  </si>
  <si>
    <t>050000813598</t>
  </si>
  <si>
    <t>050000813605</t>
  </si>
  <si>
    <t>050000813609</t>
  </si>
  <si>
    <t>050000813610</t>
  </si>
  <si>
    <t>050000813617</t>
  </si>
  <si>
    <t>050000813618</t>
  </si>
  <si>
    <t>050000813622</t>
  </si>
  <si>
    <t>050000813625</t>
  </si>
  <si>
    <t>050000813633</t>
  </si>
  <si>
    <t>050000813638</t>
  </si>
  <si>
    <t>050000813646</t>
  </si>
  <si>
    <t>050000813648</t>
  </si>
  <si>
    <t>050000813649</t>
  </si>
  <si>
    <t>050000793134</t>
  </si>
  <si>
    <t>050000793138</t>
  </si>
  <si>
    <t>050000793141</t>
  </si>
  <si>
    <t>050000781828</t>
  </si>
  <si>
    <t>050000813657</t>
  </si>
  <si>
    <t>050000813665</t>
  </si>
  <si>
    <t>050000788794</t>
  </si>
  <si>
    <t>050000788799</t>
  </si>
  <si>
    <t>050000788801</t>
  </si>
  <si>
    <t>050000793142</t>
  </si>
  <si>
    <t>050000793147</t>
  </si>
  <si>
    <t>050000793154</t>
  </si>
  <si>
    <t>050000788805</t>
  </si>
  <si>
    <t>050000788811</t>
  </si>
  <si>
    <t>050000788815</t>
  </si>
  <si>
    <t>050000813670</t>
  </si>
  <si>
    <t>050000791156</t>
  </si>
  <si>
    <t>050000778754</t>
  </si>
  <si>
    <t>050000778769</t>
  </si>
  <si>
    <t>050000782766</t>
  </si>
  <si>
    <t>050000798904</t>
  </si>
  <si>
    <t>050000798905</t>
  </si>
  <si>
    <t>050000798906</t>
  </si>
  <si>
    <t>050000798907</t>
  </si>
  <si>
    <t>050000798908</t>
  </si>
  <si>
    <t>040000181651</t>
  </si>
  <si>
    <t>050000779526</t>
  </si>
  <si>
    <t>050000779529</t>
  </si>
  <si>
    <t>050000779531</t>
  </si>
  <si>
    <t>050000779540</t>
  </si>
  <si>
    <t>050000790730</t>
  </si>
  <si>
    <t>050000786130</t>
  </si>
  <si>
    <t>050000786133</t>
  </si>
  <si>
    <t>050000786139</t>
  </si>
  <si>
    <t>050000786143</t>
  </si>
  <si>
    <t>050000786144</t>
  </si>
  <si>
    <t>050000786147</t>
  </si>
  <si>
    <t>050000786148</t>
  </si>
  <si>
    <t>050000786150</t>
  </si>
  <si>
    <t>050000789529</t>
  </si>
  <si>
    <t>050000789531</t>
  </si>
  <si>
    <t>050000798903</t>
  </si>
  <si>
    <t>050000781421</t>
  </si>
  <si>
    <t>050000781424</t>
  </si>
  <si>
    <t>050000781427</t>
  </si>
  <si>
    <t>050000781429</t>
  </si>
  <si>
    <t>050000781433</t>
  </si>
  <si>
    <t>050000781438</t>
  </si>
  <si>
    <t>050000782715</t>
  </si>
  <si>
    <t>050000791172</t>
  </si>
  <si>
    <t>050000791749</t>
  </si>
  <si>
    <t>050000818182</t>
  </si>
  <si>
    <t>050000818183</t>
  </si>
  <si>
    <t>050000818187</t>
  </si>
  <si>
    <t>050000818189</t>
  </si>
  <si>
    <t>050000818191</t>
  </si>
  <si>
    <t>050000791174</t>
  </si>
  <si>
    <t>050000791168</t>
  </si>
  <si>
    <t>050000798635</t>
  </si>
  <si>
    <t>050000798163</t>
  </si>
  <si>
    <t>050000818199</t>
  </si>
  <si>
    <t>040000181657</t>
  </si>
  <si>
    <t>050000817590</t>
  </si>
  <si>
    <t>040000181615</t>
  </si>
  <si>
    <t>050000814403</t>
  </si>
  <si>
    <t>050000814408</t>
  </si>
  <si>
    <t>050000814410</t>
  </si>
  <si>
    <t>050000814415</t>
  </si>
  <si>
    <t>050000814420</t>
  </si>
  <si>
    <t>050000814433</t>
  </si>
  <si>
    <t>050000817592</t>
  </si>
  <si>
    <t>050000817593</t>
  </si>
  <si>
    <t>050000817600</t>
  </si>
  <si>
    <t>050000818165</t>
  </si>
  <si>
    <t>050000818171</t>
  </si>
  <si>
    <t>050000818180</t>
  </si>
  <si>
    <t>050000791675</t>
  </si>
  <si>
    <t>050000817557</t>
  </si>
  <si>
    <t>050000817561</t>
  </si>
  <si>
    <t>050000817565</t>
  </si>
  <si>
    <t>050000817568</t>
  </si>
  <si>
    <t>050000817570</t>
  </si>
  <si>
    <t>050000789576</t>
  </si>
  <si>
    <t>050000787273</t>
  </si>
  <si>
    <t>050000787274</t>
  </si>
  <si>
    <t>050000787277</t>
  </si>
  <si>
    <t>050000787278</t>
  </si>
  <si>
    <t>050000787279</t>
  </si>
  <si>
    <t>050000787283</t>
  </si>
  <si>
    <t>050000817583</t>
  </si>
  <si>
    <t>050000779184</t>
  </si>
  <si>
    <t>050000779188</t>
  </si>
  <si>
    <t>050000789577</t>
  </si>
  <si>
    <t>050000779219</t>
  </si>
  <si>
    <t>050000779223</t>
  </si>
  <si>
    <t>050000811546</t>
  </si>
  <si>
    <t>050000795357</t>
  </si>
  <si>
    <t>050000795362</t>
  </si>
  <si>
    <t>050000795364</t>
  </si>
  <si>
    <t>050000795366</t>
  </si>
  <si>
    <t>050000795368</t>
  </si>
  <si>
    <t>050000795372</t>
  </si>
  <si>
    <t>050000795374</t>
  </si>
  <si>
    <t>050000815859</t>
  </si>
  <si>
    <t>050000815861</t>
  </si>
  <si>
    <t>050000815863</t>
  </si>
  <si>
    <t>050000815866</t>
  </si>
  <si>
    <t>050000800080</t>
  </si>
  <si>
    <t>050000800083</t>
  </si>
  <si>
    <t>050000800090</t>
  </si>
  <si>
    <t>050000781845</t>
  </si>
  <si>
    <t>050000781848</t>
  </si>
  <si>
    <t>050000781849</t>
  </si>
  <si>
    <t>050000781853</t>
  </si>
  <si>
    <t>050000781858</t>
  </si>
  <si>
    <t>050000812176</t>
  </si>
  <si>
    <t>050000812183</t>
  </si>
  <si>
    <t>050000781859</t>
  </si>
  <si>
    <t>050000778750</t>
  </si>
  <si>
    <t>050000779037</t>
  </si>
  <si>
    <t>050000789580</t>
  </si>
  <si>
    <t>050000779040</t>
  </si>
  <si>
    <t>050000789533</t>
  </si>
  <si>
    <t>050000789539</t>
  </si>
  <si>
    <t>050000789542</t>
  </si>
  <si>
    <t>050000789544</t>
  </si>
  <si>
    <t>050000789557</t>
  </si>
  <si>
    <t>050000789562</t>
  </si>
  <si>
    <t>050000762021</t>
  </si>
  <si>
    <t>050000762035</t>
  </si>
  <si>
    <t>050000762041</t>
  </si>
  <si>
    <t>050000762046</t>
  </si>
  <si>
    <t>050000762031</t>
  </si>
  <si>
    <t>050000762034</t>
  </si>
  <si>
    <t>050000762037</t>
  </si>
  <si>
    <t>050000762038</t>
  </si>
  <si>
    <t>050000751014</t>
  </si>
  <si>
    <t>FSD/FSD/D/MR/EXPORTS/P/42693/06/2024</t>
  </si>
  <si>
    <t>040000175705</t>
  </si>
  <si>
    <t>050000628763</t>
  </si>
  <si>
    <t>050000751022</t>
  </si>
  <si>
    <t>050000759554</t>
  </si>
  <si>
    <t>FSD/FSD/D/MR/EXPORTS/P/43107/07/2024</t>
  </si>
  <si>
    <t>040000180038</t>
  </si>
  <si>
    <t>050000759565</t>
  </si>
  <si>
    <t>050000751004</t>
  </si>
  <si>
    <t>050000759946</t>
  </si>
  <si>
    <t>050000759948</t>
  </si>
  <si>
    <t>050000760565</t>
  </si>
  <si>
    <t>050000760569</t>
  </si>
  <si>
    <t>050000645724</t>
  </si>
  <si>
    <t>050000760571</t>
  </si>
  <si>
    <t>050000767586</t>
  </si>
  <si>
    <t>050000767587</t>
  </si>
  <si>
    <t>050000759952</t>
  </si>
  <si>
    <t>050000759955</t>
  </si>
  <si>
    <t>050000759957</t>
  </si>
  <si>
    <t>050000767592</t>
  </si>
  <si>
    <t>050000767595</t>
  </si>
  <si>
    <t>050000653470</t>
  </si>
  <si>
    <t>050000737106</t>
  </si>
  <si>
    <t>050000767598</t>
  </si>
  <si>
    <t>050000767605</t>
  </si>
  <si>
    <t>050000756508</t>
  </si>
  <si>
    <t>050000756509</t>
  </si>
  <si>
    <t>050000756517</t>
  </si>
  <si>
    <t>050000751006</t>
  </si>
  <si>
    <t>050000719849</t>
  </si>
  <si>
    <t>050000729395</t>
  </si>
  <si>
    <t>050000653476</t>
  </si>
  <si>
    <t>KHI/HO/D/MR/IMPORTS/P/42723/06/2024</t>
  </si>
  <si>
    <t>040000175913</t>
  </si>
  <si>
    <t>050000775624</t>
  </si>
  <si>
    <t>050000751030</t>
  </si>
  <si>
    <t>050000751033</t>
  </si>
  <si>
    <t>050000751036</t>
  </si>
  <si>
    <t>050000751038</t>
  </si>
  <si>
    <t>050000751039</t>
  </si>
  <si>
    <t>050000751055</t>
  </si>
  <si>
    <t>050000751056</t>
  </si>
  <si>
    <t>050000751057</t>
  </si>
  <si>
    <t>050000751058</t>
  </si>
  <si>
    <t>050000770512</t>
  </si>
  <si>
    <t>050000770524</t>
  </si>
  <si>
    <t>050000770527</t>
  </si>
  <si>
    <t>050000770530</t>
  </si>
  <si>
    <t>KHI/HO/F/MR/IMPORTS/P/42900/06/2024</t>
  </si>
  <si>
    <t>040000177735</t>
  </si>
  <si>
    <t>KHI/HO/F/MR/IMPORTS/P/42923/06/2024</t>
  </si>
  <si>
    <t>040000177810</t>
  </si>
  <si>
    <t>050000758974</t>
  </si>
  <si>
    <t>050000758977</t>
  </si>
  <si>
    <t>050000758981</t>
  </si>
  <si>
    <t>050000758982</t>
  </si>
  <si>
    <t>SKT/SKT/D/MR/EXPORTS/P/42706/06/2024</t>
  </si>
  <si>
    <t>040000175856</t>
  </si>
  <si>
    <t>050000775597</t>
  </si>
  <si>
    <t>050000775600</t>
  </si>
  <si>
    <t>FSD/FSD/D/MR/INLAND TRANSIT/P/42794/06/2024</t>
  </si>
  <si>
    <t>040000176810</t>
  </si>
  <si>
    <t>KHI/HO/F/MR/IMPORTS/P/42909/06/2024</t>
  </si>
  <si>
    <t>040000177759</t>
  </si>
  <si>
    <t>050000775609</t>
  </si>
  <si>
    <t>050000775612</t>
  </si>
  <si>
    <t>050000775616</t>
  </si>
  <si>
    <t>KHI/HO/F/MR/IMPORTS/P/42913/06/2024</t>
  </si>
  <si>
    <t>040000177771</t>
  </si>
  <si>
    <t>050000751042</t>
  </si>
  <si>
    <t>050000747198</t>
  </si>
  <si>
    <t>050000747220</t>
  </si>
  <si>
    <t>050000747221</t>
  </si>
  <si>
    <t>050000747223</t>
  </si>
  <si>
    <t>MUL/MUL/F/MR/INLAND TRANSIT/P/42646/06/2024</t>
  </si>
  <si>
    <t>040000175275</t>
  </si>
  <si>
    <t>050000775567</t>
  </si>
  <si>
    <t>050000775585</t>
  </si>
  <si>
    <t>050000775586</t>
  </si>
  <si>
    <t>050000775592</t>
  </si>
  <si>
    <t>KHI/HO/D/MR/IMPORTS/P/42799/06/2024</t>
  </si>
  <si>
    <t>040000176868</t>
  </si>
  <si>
    <t>050000775575</t>
  </si>
  <si>
    <t>050000775576</t>
  </si>
  <si>
    <t>050000775581</t>
  </si>
  <si>
    <t>050000751059</t>
  </si>
  <si>
    <t>050000740488</t>
  </si>
  <si>
    <t>KHI/HO/D/MR/EXPORTS/P/42634/06/2024</t>
  </si>
  <si>
    <t>040000175156</t>
  </si>
  <si>
    <t>KHI/HO/F/MR/IMPORTS/P/42848/06/2024</t>
  </si>
  <si>
    <t>040000177106</t>
  </si>
  <si>
    <t>FSD/FSD/D/MR/EXPORTS/P/42837/06/2024</t>
  </si>
  <si>
    <t>040000177069</t>
  </si>
  <si>
    <t>050000728139</t>
  </si>
  <si>
    <t>050000628761</t>
  </si>
  <si>
    <t>050000751128</t>
  </si>
  <si>
    <t>050000751129</t>
  </si>
  <si>
    <t>050000751130</t>
  </si>
  <si>
    <t>050000751133</t>
  </si>
  <si>
    <t>050000751136</t>
  </si>
  <si>
    <t>050000751141</t>
  </si>
  <si>
    <t>KHI/HO/F/MR/IMPORTS/P/42896/06/2024</t>
  </si>
  <si>
    <t>040000177724</t>
  </si>
  <si>
    <t>050000758968</t>
  </si>
  <si>
    <t>KHI/HO/D/MR/EXPORTS/P/43077/07/2024</t>
  </si>
  <si>
    <t>040000179577</t>
  </si>
  <si>
    <t>050000751108</t>
  </si>
  <si>
    <t>050000751109</t>
  </si>
  <si>
    <t>050000751110</t>
  </si>
  <si>
    <t>050000761024</t>
  </si>
  <si>
    <t>050000758970</t>
  </si>
  <si>
    <t>050000758969</t>
  </si>
  <si>
    <t>KHI/HO/D/MR/IMPORTS/P/42714/06/2024</t>
  </si>
  <si>
    <t>040000175891</t>
  </si>
  <si>
    <t>050000746602</t>
  </si>
  <si>
    <t>050000766844</t>
  </si>
  <si>
    <t>050000765982</t>
  </si>
  <si>
    <t>050000747341</t>
  </si>
  <si>
    <t>050000747343</t>
  </si>
  <si>
    <t>KHI/HO/F/MR/IMPORTS/P/42788/06/2024</t>
  </si>
  <si>
    <t>040000176721</t>
  </si>
  <si>
    <t>MUL/MUL/F/MR/IMPORTS/P/42689/06/2024</t>
  </si>
  <si>
    <t>040000175651</t>
  </si>
  <si>
    <t>050000747354</t>
  </si>
  <si>
    <t>050000747362</t>
  </si>
  <si>
    <t>KHI/HO/D/MR/IMPORTS/P/42861/06/2024</t>
  </si>
  <si>
    <t>040000177432</t>
  </si>
  <si>
    <t>050000748838</t>
  </si>
  <si>
    <t>KHI/HO/D/MR/EXPORTS/P/43134/07/2024</t>
  </si>
  <si>
    <t>040000180306</t>
  </si>
  <si>
    <t>050000765984</t>
  </si>
  <si>
    <t>050000765998</t>
  </si>
  <si>
    <t>050000765999</t>
  </si>
  <si>
    <t>050000766000</t>
  </si>
  <si>
    <t>050000766001</t>
  </si>
  <si>
    <t>050000747294</t>
  </si>
  <si>
    <t>050000747296</t>
  </si>
  <si>
    <t>050000765992</t>
  </si>
  <si>
    <t>050000765995</t>
  </si>
  <si>
    <t>SKT/SKT/D/MR/IMPORTS/P/43075/07/2024</t>
  </si>
  <si>
    <t>040000179571</t>
  </si>
  <si>
    <t>050000770632</t>
  </si>
  <si>
    <t>KHI/HO/F/MR/IMPORTS/P/43110/07/2024</t>
  </si>
  <si>
    <t>040000180057</t>
  </si>
  <si>
    <t>050000760682</t>
  </si>
  <si>
    <t>SKT/SKT/D/MR/IMPORTS/P/42686/06/2024</t>
  </si>
  <si>
    <t>040000175603</t>
  </si>
  <si>
    <t>050000760684</t>
  </si>
  <si>
    <t>050000760687</t>
  </si>
  <si>
    <t>050000760694</t>
  </si>
  <si>
    <t>050000760697</t>
  </si>
  <si>
    <t>050000760698</t>
  </si>
  <si>
    <t>050000761039</t>
  </si>
  <si>
    <t>050000761041</t>
  </si>
  <si>
    <t>050000746614</t>
  </si>
  <si>
    <t>050000746617</t>
  </si>
  <si>
    <t>050000746621</t>
  </si>
  <si>
    <t>050000760679</t>
  </si>
  <si>
    <t>050000761028</t>
  </si>
  <si>
    <t>050000761029</t>
  </si>
  <si>
    <t>050000761030</t>
  </si>
  <si>
    <t>050000746629</t>
  </si>
  <si>
    <t>050000746633</t>
  </si>
  <si>
    <t>050000748229</t>
  </si>
  <si>
    <t>050000748230</t>
  </si>
  <si>
    <t>050000748233</t>
  </si>
  <si>
    <t>050000750301</t>
  </si>
  <si>
    <t>050000750307</t>
  </si>
  <si>
    <t>050000750308</t>
  </si>
  <si>
    <t>050000746605</t>
  </si>
  <si>
    <t>050000750251</t>
  </si>
  <si>
    <t>050000750252</t>
  </si>
  <si>
    <t>050000748237</t>
  </si>
  <si>
    <t>050000750312</t>
  </si>
  <si>
    <t>KHI/HO/F/MR/IMPORTS/P/43120/07/2024</t>
  </si>
  <si>
    <t>040000180219</t>
  </si>
  <si>
    <t>050000750296</t>
  </si>
  <si>
    <t>050000772509</t>
  </si>
  <si>
    <t>050000772513</t>
  </si>
  <si>
    <t>050000746598</t>
  </si>
  <si>
    <t>050000746604</t>
  </si>
  <si>
    <t>050000746606</t>
  </si>
  <si>
    <t>050000746609</t>
  </si>
  <si>
    <t>050000765990</t>
  </si>
  <si>
    <t>050000766017</t>
  </si>
  <si>
    <t>050000750194</t>
  </si>
  <si>
    <t>050000750201</t>
  </si>
  <si>
    <t>050000750204</t>
  </si>
  <si>
    <t>050000750210</t>
  </si>
  <si>
    <t>050000750212</t>
  </si>
  <si>
    <t>050000748845</t>
  </si>
  <si>
    <t>050000748847</t>
  </si>
  <si>
    <t>050000761096</t>
  </si>
  <si>
    <t>050000761098</t>
  </si>
  <si>
    <t>050000761124</t>
  </si>
  <si>
    <t>050000767582</t>
  </si>
  <si>
    <t>050000767583</t>
  </si>
  <si>
    <t>040000172831</t>
  </si>
  <si>
    <t>050000761107</t>
  </si>
  <si>
    <t>050000761110</t>
  </si>
  <si>
    <t>KHI/HO/F/MR/IMPORTS/P/42840/06/2024</t>
  </si>
  <si>
    <t>040000177080</t>
  </si>
  <si>
    <t>KHI/HO/F/MR/IMPORTS/P/42790/06/2024</t>
  </si>
  <si>
    <t>040000176771</t>
  </si>
  <si>
    <t>050000761121</t>
  </si>
  <si>
    <t>050000770539</t>
  </si>
  <si>
    <t>050000770547</t>
  </si>
  <si>
    <t>050000770558</t>
  </si>
  <si>
    <t>050000770627</t>
  </si>
  <si>
    <t>KHI/HO/F/MR/IMPORTS/P/42857/06/2024</t>
  </si>
  <si>
    <t>040000177423</t>
  </si>
  <si>
    <t>KHI/HO/F/MR/IMPORTS/P/42752/06/2024</t>
  </si>
  <si>
    <t>040000176261</t>
  </si>
  <si>
    <t>050000770705</t>
  </si>
  <si>
    <t>050000738806</t>
  </si>
  <si>
    <t>KHI/HO/F/MR/EXPORTS/P/42696/06/2024</t>
  </si>
  <si>
    <t>040000175735</t>
  </si>
  <si>
    <t>050000761128</t>
  </si>
  <si>
    <t>050000761129</t>
  </si>
  <si>
    <t>050000761131</t>
  </si>
  <si>
    <t>050000761133</t>
  </si>
  <si>
    <t>050000724547</t>
  </si>
  <si>
    <t>050000734042</t>
  </si>
  <si>
    <t>050000770626</t>
  </si>
  <si>
    <t>KHI/HO/F/MR/IMPORTS/P/42919/06/2024</t>
  </si>
  <si>
    <t>040000177804</t>
  </si>
  <si>
    <t>050000759820</t>
  </si>
  <si>
    <t>050000759829</t>
  </si>
  <si>
    <t>050000759858</t>
  </si>
  <si>
    <t>050000759861</t>
  </si>
  <si>
    <t>KHI/HO/D/MR/IMPORTS/P/43086/07/2024</t>
  </si>
  <si>
    <t>040000179652</t>
  </si>
  <si>
    <t>050000735420</t>
  </si>
  <si>
    <t>050000759830</t>
  </si>
  <si>
    <t>050000759837</t>
  </si>
  <si>
    <t>050000759864</t>
  </si>
  <si>
    <t>050000759792</t>
  </si>
  <si>
    <t>050000759795</t>
  </si>
  <si>
    <t>050000759797</t>
  </si>
  <si>
    <t>050000759799</t>
  </si>
  <si>
    <t>050000759802</t>
  </si>
  <si>
    <t>050000759803</t>
  </si>
  <si>
    <t>050000759804</t>
  </si>
  <si>
    <t>050000759806</t>
  </si>
  <si>
    <t>050000759812</t>
  </si>
  <si>
    <t>050000759813</t>
  </si>
  <si>
    <t>050000759840</t>
  </si>
  <si>
    <t>050000734029</t>
  </si>
  <si>
    <t>050000728172</t>
  </si>
  <si>
    <t>050000755859</t>
  </si>
  <si>
    <t>050000758903</t>
  </si>
  <si>
    <t>050000775548</t>
  </si>
  <si>
    <t>050000733521</t>
  </si>
  <si>
    <t>KHI/HO/D/MR/EXPORTS/P/42698/06/2024</t>
  </si>
  <si>
    <t>040000175779</t>
  </si>
  <si>
    <t>050000750198</t>
  </si>
  <si>
    <t>KHI/HO/F/MR/IMPORTS/P/43118/07/2024</t>
  </si>
  <si>
    <t>040000180211</t>
  </si>
  <si>
    <t>050000758899</t>
  </si>
  <si>
    <t>050000758901</t>
  </si>
  <si>
    <t>KHI/HO/F/MR/IMPORTS/P/42918/06/2024</t>
  </si>
  <si>
    <t>040000177792</t>
  </si>
  <si>
    <t>050000754487</t>
  </si>
  <si>
    <t>050000754488</t>
  </si>
  <si>
    <t>050000754493</t>
  </si>
  <si>
    <t>050000754509</t>
  </si>
  <si>
    <t>050000766664</t>
  </si>
  <si>
    <t>050000756610</t>
  </si>
  <si>
    <t>050000756582</t>
  </si>
  <si>
    <t>050000756583</t>
  </si>
  <si>
    <t>040000173186</t>
  </si>
  <si>
    <t>050000761973</t>
  </si>
  <si>
    <t>050000756576</t>
  </si>
  <si>
    <t>050000756584</t>
  </si>
  <si>
    <t>050000756588</t>
  </si>
  <si>
    <t>050000756590</t>
  </si>
  <si>
    <t>050000756591</t>
  </si>
  <si>
    <t>050000756594</t>
  </si>
  <si>
    <t>050000756598</t>
  </si>
  <si>
    <t>050000756601</t>
  </si>
  <si>
    <t>050000761142</t>
  </si>
  <si>
    <t>050000761143</t>
  </si>
  <si>
    <t>050000761145</t>
  </si>
  <si>
    <t>050000761213</t>
  </si>
  <si>
    <t>050000754498</t>
  </si>
  <si>
    <t>050000754499</t>
  </si>
  <si>
    <t>050000754516</t>
  </si>
  <si>
    <t>050000760032</t>
  </si>
  <si>
    <t>050000760033</t>
  </si>
  <si>
    <t>050000760035</t>
  </si>
  <si>
    <t>050000761197</t>
  </si>
  <si>
    <t>050000761970</t>
  </si>
  <si>
    <t>050000761971</t>
  </si>
  <si>
    <t>050000761979</t>
  </si>
  <si>
    <t>050000760037</t>
  </si>
  <si>
    <t>050000761185</t>
  </si>
  <si>
    <t>050000761206</t>
  </si>
  <si>
    <t>050000761208</t>
  </si>
  <si>
    <t>050000761210</t>
  </si>
  <si>
    <t>050000758016</t>
  </si>
  <si>
    <t>050000758022</t>
  </si>
  <si>
    <t>050000760043</t>
  </si>
  <si>
    <t>050000760046</t>
  </si>
  <si>
    <t>040000177989</t>
  </si>
  <si>
    <t>050000770618</t>
  </si>
  <si>
    <t>050000758010</t>
  </si>
  <si>
    <t>050000758015</t>
  </si>
  <si>
    <t>050000758028</t>
  </si>
  <si>
    <t>050000758030</t>
  </si>
  <si>
    <t>050000758033</t>
  </si>
  <si>
    <t>050000760052</t>
  </si>
  <si>
    <t>050000760056</t>
  </si>
  <si>
    <t>050000761951</t>
  </si>
  <si>
    <t>050000761957</t>
  </si>
  <si>
    <t>050000761967</t>
  </si>
  <si>
    <t>050000770324</t>
  </si>
  <si>
    <t>050000766656</t>
  </si>
  <si>
    <t>050000766657</t>
  </si>
  <si>
    <t>050000628755</t>
  </si>
  <si>
    <t>050000770691</t>
  </si>
  <si>
    <t>050000770694</t>
  </si>
  <si>
    <t>050000770698</t>
  </si>
  <si>
    <t>050000770301</t>
  </si>
  <si>
    <t>050000770302</t>
  </si>
  <si>
    <t>050000770303</t>
  </si>
  <si>
    <t>050000770309</t>
  </si>
  <si>
    <t>050000770313</t>
  </si>
  <si>
    <t>050000691337</t>
  </si>
  <si>
    <t>KHI/HO/D/MR/EXPORTS/P/43103/07/2024</t>
  </si>
  <si>
    <t>040000179981</t>
  </si>
  <si>
    <t>050000770315</t>
  </si>
  <si>
    <t>050000761184</t>
  </si>
  <si>
    <t>050000761209</t>
  </si>
  <si>
    <t>050000754518</t>
  </si>
  <si>
    <t>050000754520</t>
  </si>
  <si>
    <t>050000754521</t>
  </si>
  <si>
    <t>FSD/FSD/D/MR/EXPORTS/P/43100/07/2024</t>
  </si>
  <si>
    <t>040000179897</t>
  </si>
  <si>
    <t>050000770792</t>
  </si>
  <si>
    <t>050000770793</t>
  </si>
  <si>
    <t>050000770796</t>
  </si>
  <si>
    <t>050000759689</t>
  </si>
  <si>
    <t>050000759693</t>
  </si>
  <si>
    <t>050000759705</t>
  </si>
  <si>
    <t>050000751799</t>
  </si>
  <si>
    <t>050000626436</t>
  </si>
  <si>
    <t>050000769350</t>
  </si>
  <si>
    <t>050000769353</t>
  </si>
  <si>
    <t>050000769354</t>
  </si>
  <si>
    <t>050000769357</t>
  </si>
  <si>
    <t>050000769362</t>
  </si>
  <si>
    <t>050000769367</t>
  </si>
  <si>
    <t>050000748769</t>
  </si>
  <si>
    <t>050000748759</t>
  </si>
  <si>
    <t>KHI/HO/D/MR/IMPORTS/P/42619/06/2024</t>
  </si>
  <si>
    <t>040000175100</t>
  </si>
  <si>
    <t>040000175191</t>
  </si>
  <si>
    <t>KHI/HO/F/MR/IMPORTS/P/42842/06/2024</t>
  </si>
  <si>
    <t>040000177083</t>
  </si>
  <si>
    <t>050000770803</t>
  </si>
  <si>
    <t>050000770798</t>
  </si>
  <si>
    <t>050000770812</t>
  </si>
  <si>
    <t>050000748757</t>
  </si>
  <si>
    <t>050000748761</t>
  </si>
  <si>
    <t>050000748762</t>
  </si>
  <si>
    <t>050000771112</t>
  </si>
  <si>
    <t>050000770753</t>
  </si>
  <si>
    <t>050000770755</t>
  </si>
  <si>
    <t>050000770757</t>
  </si>
  <si>
    <t>050000770759</t>
  </si>
  <si>
    <t>050000770760</t>
  </si>
  <si>
    <t>050000770761</t>
  </si>
  <si>
    <t>050000770765</t>
  </si>
  <si>
    <t>040000174224</t>
  </si>
  <si>
    <t>050000771120</t>
  </si>
  <si>
    <t>050000771123</t>
  </si>
  <si>
    <t>050000770779</t>
  </si>
  <si>
    <t>050000770780</t>
  </si>
  <si>
    <t>050000770782</t>
  </si>
  <si>
    <t>050000770783</t>
  </si>
  <si>
    <t>050000767574</t>
  </si>
  <si>
    <t>050000767576</t>
  </si>
  <si>
    <t>050000745937</t>
  </si>
  <si>
    <t>050000745940</t>
  </si>
  <si>
    <t>050000711412</t>
  </si>
  <si>
    <t>050000769569</t>
  </si>
  <si>
    <t>MUL/MUL/F/MR/IMPORTS/P/42691/06/2024</t>
  </si>
  <si>
    <t>040000175665</t>
  </si>
  <si>
    <t>050000745949</t>
  </si>
  <si>
    <t>050000745951</t>
  </si>
  <si>
    <t>050000745953</t>
  </si>
  <si>
    <t>050000745957</t>
  </si>
  <si>
    <t>050000745961</t>
  </si>
  <si>
    <t>050000745962</t>
  </si>
  <si>
    <t>050000745967</t>
  </si>
  <si>
    <t>050000745968</t>
  </si>
  <si>
    <t>KHI/HO/D/MR/IMPORTS/P/42734/06/2024</t>
  </si>
  <si>
    <t>040000176125</t>
  </si>
  <si>
    <t>KHI/HO/D/MR/IMPORTS/P/43089/07/2024</t>
  </si>
  <si>
    <t>040000179743</t>
  </si>
  <si>
    <t>050000745974</t>
  </si>
  <si>
    <t>050000745980</t>
  </si>
  <si>
    <t>MUL/MUL/F/MR/IMPORTS/P/42707/06/2024</t>
  </si>
  <si>
    <t>040000175860</t>
  </si>
  <si>
    <t>050000607504</t>
  </si>
  <si>
    <t>050000721452</t>
  </si>
  <si>
    <t>FSD/FSD/D/MR/IMPORTS/P/43112/07/2024</t>
  </si>
  <si>
    <t>040000180069</t>
  </si>
  <si>
    <t>050000746009</t>
  </si>
  <si>
    <t>050000773591</t>
  </si>
  <si>
    <t>050000773592</t>
  </si>
  <si>
    <t>050000661397</t>
  </si>
  <si>
    <t>050000745990</t>
  </si>
  <si>
    <t>MUL/MUL/F/MR/IMPORTS/P/42758/06/2024</t>
  </si>
  <si>
    <t>040000176305</t>
  </si>
  <si>
    <t>KHI/HO/F/MR/IMPORTS/P/43133/07/2024</t>
  </si>
  <si>
    <t>040000180304</t>
  </si>
  <si>
    <t>050000760481</t>
  </si>
  <si>
    <t>050000760485</t>
  </si>
  <si>
    <t>050000769012</t>
  </si>
  <si>
    <t>050000769022</t>
  </si>
  <si>
    <t>050000760494</t>
  </si>
  <si>
    <t>050000760498</t>
  </si>
  <si>
    <t>050000769023</t>
  </si>
  <si>
    <t>050000760503</t>
  </si>
  <si>
    <t>050000760504</t>
  </si>
  <si>
    <t>050000760508</t>
  </si>
  <si>
    <t>KHI/HO/F/MR/IMPORTS/P/42851/06/2024</t>
  </si>
  <si>
    <t>040000177278</t>
  </si>
  <si>
    <t>050000769044</t>
  </si>
  <si>
    <t>050000769577</t>
  </si>
  <si>
    <t>050000769579</t>
  </si>
  <si>
    <t>050000769580</t>
  </si>
  <si>
    <t>050000769583</t>
  </si>
  <si>
    <t>KHI/HO/F/MR/IMPORTS/P/42755/06/2024</t>
  </si>
  <si>
    <t>040000176274</t>
  </si>
  <si>
    <t>050000769589</t>
  </si>
  <si>
    <t>KHI/HO/D/MR/IMPORTS/P/42608/06/2024</t>
  </si>
  <si>
    <t>040000174947</t>
  </si>
  <si>
    <t>050000745915</t>
  </si>
  <si>
    <t>050000776910</t>
  </si>
  <si>
    <t>050000776912</t>
  </si>
  <si>
    <t>050000751856</t>
  </si>
  <si>
    <t>050000751866</t>
  </si>
  <si>
    <t>050000751868</t>
  </si>
  <si>
    <t>050000751869</t>
  </si>
  <si>
    <t>050000776919</t>
  </si>
  <si>
    <t>050000751857</t>
  </si>
  <si>
    <t>LHR/LHR/D/MR/IMPORTS/P/42731/06/2024</t>
  </si>
  <si>
    <t>040000175994</t>
  </si>
  <si>
    <t>KHI/HO/D/MR/IMPORTS/P/42630/06/2024</t>
  </si>
  <si>
    <t>040000175130</t>
  </si>
  <si>
    <t>050000756699</t>
  </si>
  <si>
    <t>050000756701</t>
  </si>
  <si>
    <t>050000775566</t>
  </si>
  <si>
    <t>KHI/HO/F/MR/IMPORTS/P/42754/06/2024</t>
  </si>
  <si>
    <t>040000176268</t>
  </si>
  <si>
    <t>050000745909</t>
  </si>
  <si>
    <t>050000745912</t>
  </si>
  <si>
    <t>050000745916</t>
  </si>
  <si>
    <t>050000745922</t>
  </si>
  <si>
    <t>050000745927</t>
  </si>
  <si>
    <t>050000786723</t>
  </si>
  <si>
    <t>050000786727</t>
  </si>
  <si>
    <t>050000786728</t>
  </si>
  <si>
    <t>050000786732</t>
  </si>
  <si>
    <t>050000786736</t>
  </si>
  <si>
    <t>050000786737</t>
  </si>
  <si>
    <t>050000786742</t>
  </si>
  <si>
    <t>050000786743</t>
  </si>
  <si>
    <t>050000786748</t>
  </si>
  <si>
    <t>050000791163</t>
  </si>
  <si>
    <t>050000778148</t>
  </si>
  <si>
    <t>KHI/HO/F/MR/IMPORTS/P/43117/07/2024</t>
  </si>
  <si>
    <t>040000180208</t>
  </si>
  <si>
    <t>050000772127</t>
  </si>
  <si>
    <t>050000793121</t>
  </si>
  <si>
    <t>050000799971</t>
  </si>
  <si>
    <t>050000799973</t>
  </si>
  <si>
    <t>050000799974</t>
  </si>
  <si>
    <t>050000799975</t>
  </si>
  <si>
    <t>050000799977</t>
  </si>
  <si>
    <t>050000772142</t>
  </si>
  <si>
    <t>050000799981</t>
  </si>
  <si>
    <t>050000799982</t>
  </si>
  <si>
    <t>050000799983</t>
  </si>
  <si>
    <t>050000799987</t>
  </si>
  <si>
    <t>050000770748</t>
  </si>
  <si>
    <t>050000772145</t>
  </si>
  <si>
    <t>050000772146</t>
  </si>
  <si>
    <t>050000772147</t>
  </si>
  <si>
    <t>050000799996</t>
  </si>
  <si>
    <t>050000786409</t>
  </si>
  <si>
    <t>050000786410</t>
  </si>
  <si>
    <t>050000786415</t>
  </si>
  <si>
    <t>050000786416</t>
  </si>
  <si>
    <t>050000786419</t>
  </si>
  <si>
    <t>050000786424</t>
  </si>
  <si>
    <t>050000791907</t>
  </si>
  <si>
    <t>040000177296</t>
  </si>
  <si>
    <t>040000175066</t>
  </si>
  <si>
    <t>050000798627</t>
  </si>
  <si>
    <t>050000788832</t>
  </si>
  <si>
    <t>050000786380</t>
  </si>
  <si>
    <t>050000786403</t>
  </si>
  <si>
    <t>050000786407</t>
  </si>
  <si>
    <t>050000798194</t>
  </si>
  <si>
    <t>050000791712</t>
  </si>
  <si>
    <t>050000799687</t>
  </si>
  <si>
    <t>050000786761</t>
  </si>
  <si>
    <t>050000786767</t>
  </si>
  <si>
    <t>050000786777</t>
  </si>
  <si>
    <t>050000778140</t>
  </si>
  <si>
    <t>050000791913</t>
  </si>
  <si>
    <t>050000799702</t>
  </si>
  <si>
    <t>050000799703</t>
  </si>
  <si>
    <t>050000799705</t>
  </si>
  <si>
    <t>050000799706</t>
  </si>
  <si>
    <t>050000799711</t>
  </si>
  <si>
    <t>050000799713</t>
  </si>
  <si>
    <t>050000799714</t>
  </si>
  <si>
    <t>050000791916</t>
  </si>
  <si>
    <t>050000791923</t>
  </si>
  <si>
    <t>050000791924</t>
  </si>
  <si>
    <t>050000791928</t>
  </si>
  <si>
    <t>050000799731</t>
  </si>
  <si>
    <t>050000793130</t>
  </si>
  <si>
    <t>050000791932</t>
  </si>
  <si>
    <t>050000791933</t>
  </si>
  <si>
    <t>050000799741</t>
  </si>
  <si>
    <t>050000799744</t>
  </si>
  <si>
    <t>050000799746</t>
  </si>
  <si>
    <t>050000799747</t>
  </si>
  <si>
    <t>050000791947</t>
  </si>
  <si>
    <t>050000799754</t>
  </si>
  <si>
    <t>050000791965</t>
  </si>
  <si>
    <t>050000799764</t>
  </si>
  <si>
    <t>050000791166</t>
  </si>
  <si>
    <t>050000791677</t>
  </si>
  <si>
    <t>050000791683</t>
  </si>
  <si>
    <t>050000791684</t>
  </si>
  <si>
    <t>050000791695</t>
  </si>
  <si>
    <t>050000791696</t>
  </si>
  <si>
    <t>050000791697</t>
  </si>
  <si>
    <t>050000791706</t>
  </si>
  <si>
    <t>050000800661</t>
  </si>
  <si>
    <t>050000800665</t>
  </si>
  <si>
    <t>050000800666</t>
  </si>
  <si>
    <t>050000800681</t>
  </si>
  <si>
    <t>050000800688</t>
  </si>
  <si>
    <t>050000800689</t>
  </si>
  <si>
    <t>050000800698</t>
  </si>
  <si>
    <t>050000800714</t>
  </si>
  <si>
    <t>040000181656</t>
  </si>
  <si>
    <t>050000786718</t>
  </si>
  <si>
    <t>050000779043</t>
  </si>
  <si>
    <t>050000779521</t>
  </si>
  <si>
    <t>050000791170</t>
  </si>
  <si>
    <t>050000800660</t>
  </si>
  <si>
    <t>050000816055</t>
  </si>
  <si>
    <t>050000816238</t>
  </si>
  <si>
    <t>050000816239</t>
  </si>
  <si>
    <t>050000816244</t>
  </si>
  <si>
    <t>050000816248</t>
  </si>
  <si>
    <t>050000816257</t>
  </si>
  <si>
    <t>050000816259</t>
  </si>
  <si>
    <t>050000778163</t>
  </si>
  <si>
    <t>050000779052</t>
  </si>
  <si>
    <t>050000816269</t>
  </si>
  <si>
    <t>050000779063</t>
  </si>
  <si>
    <t>050000779064</t>
  </si>
  <si>
    <t>050000779065</t>
  </si>
  <si>
    <t>050000816272</t>
  </si>
  <si>
    <t>050000779074</t>
  </si>
  <si>
    <t>050000815234</t>
  </si>
  <si>
    <t>050000815598</t>
  </si>
  <si>
    <t>050000798048</t>
  </si>
  <si>
    <t>050000782730</t>
  </si>
  <si>
    <t>050000816051</t>
  </si>
  <si>
    <t>050000782734</t>
  </si>
  <si>
    <t>050000782736</t>
  </si>
  <si>
    <t>050000782738</t>
  </si>
  <si>
    <t>050000791233</t>
  </si>
  <si>
    <t>050000781841</t>
  </si>
  <si>
    <t>050000791185</t>
  </si>
  <si>
    <t>050000791190</t>
  </si>
  <si>
    <t>050000791201</t>
  </si>
  <si>
    <t>050000791202</t>
  </si>
  <si>
    <t>050000726682</t>
  </si>
  <si>
    <t>KHI/HO/F/MR/IMPORTS/P/42937/06/2024</t>
  </si>
  <si>
    <t>040000177854</t>
  </si>
  <si>
    <t>LHR/LHR/D/MR/IMPORTS/P/42797/06/2024</t>
  </si>
  <si>
    <t>040000176815</t>
  </si>
  <si>
    <t>050000760560</t>
  </si>
  <si>
    <t>050000760561</t>
  </si>
  <si>
    <t>050000770605</t>
  </si>
  <si>
    <t>050000748207</t>
  </si>
  <si>
    <t>050000748211</t>
  </si>
  <si>
    <t>050000748213</t>
  </si>
  <si>
    <t>050000748216</t>
  </si>
  <si>
    <t>050000748217</t>
  </si>
  <si>
    <t>050000748218</t>
  </si>
  <si>
    <t>050000748221</t>
  </si>
  <si>
    <t>KHI/HO/F/MR/IMPORTS/P/42838/06/2024</t>
  </si>
  <si>
    <t>040000177073</t>
  </si>
  <si>
    <t>050000776473</t>
  </si>
  <si>
    <t>050000776472</t>
  </si>
  <si>
    <t>050000776477</t>
  </si>
  <si>
    <t>050000770658</t>
  </si>
  <si>
    <t>050000628765</t>
  </si>
  <si>
    <t>050000770294</t>
  </si>
  <si>
    <t>050000770297</t>
  </si>
  <si>
    <t>050000776462</t>
  </si>
  <si>
    <t>050000776468</t>
  </si>
  <si>
    <t>050000776469</t>
  </si>
  <si>
    <t>050000776471</t>
  </si>
  <si>
    <t>050000746022</t>
  </si>
  <si>
    <t>050000746023</t>
  </si>
  <si>
    <t>KHI/HO/F/MR/IMPORTS/P/43108/07/2024</t>
  </si>
  <si>
    <t>040000180041</t>
  </si>
  <si>
    <t>050000858995</t>
  </si>
  <si>
    <t>050000855947</t>
  </si>
  <si>
    <t>050000855960</t>
  </si>
  <si>
    <t>050000835805</t>
  </si>
  <si>
    <t>050000835806</t>
  </si>
  <si>
    <t>050000824033</t>
  </si>
  <si>
    <t>050000858744</t>
  </si>
  <si>
    <t>050000858988</t>
  </si>
  <si>
    <t>050000839008</t>
  </si>
  <si>
    <t>050000822913</t>
  </si>
  <si>
    <t>050000822919</t>
  </si>
  <si>
    <t>050000822928</t>
  </si>
  <si>
    <t>050000822932</t>
  </si>
  <si>
    <t>050000824562</t>
  </si>
  <si>
    <t>050000824566</t>
  </si>
  <si>
    <t>050000824568</t>
  </si>
  <si>
    <t>050000833072</t>
  </si>
  <si>
    <t>050000833076</t>
  </si>
  <si>
    <t>050000834745</t>
  </si>
  <si>
    <t>050000834747</t>
  </si>
  <si>
    <t>050000834750</t>
  </si>
  <si>
    <t>050000824572</t>
  </si>
  <si>
    <t>050000824574</t>
  </si>
  <si>
    <t>050000824577</t>
  </si>
  <si>
    <t>050000824583</t>
  </si>
  <si>
    <t>050000833090</t>
  </si>
  <si>
    <t>050000834758</t>
  </si>
  <si>
    <t>050000835202</t>
  </si>
  <si>
    <t>050000835212</t>
  </si>
  <si>
    <t>050000835215</t>
  </si>
  <si>
    <t>050000845481</t>
  </si>
  <si>
    <t>050000846737</t>
  </si>
  <si>
    <t>050000853184</t>
  </si>
  <si>
    <t>050000832697</t>
  </si>
  <si>
    <t>050000822487</t>
  </si>
  <si>
    <t>050000822488</t>
  </si>
  <si>
    <t>050000822489</t>
  </si>
  <si>
    <t>050000822490</t>
  </si>
  <si>
    <t>050000822492</t>
  </si>
  <si>
    <t>050000822493</t>
  </si>
  <si>
    <t>050000822494</t>
  </si>
  <si>
    <t>050000822495</t>
  </si>
  <si>
    <t>050000822496</t>
  </si>
  <si>
    <t>050000822497</t>
  </si>
  <si>
    <t>050000822499</t>
  </si>
  <si>
    <t>050000822500</t>
  </si>
  <si>
    <t>050000822501</t>
  </si>
  <si>
    <t>050000822502</t>
  </si>
  <si>
    <t>050000822504</t>
  </si>
  <si>
    <t>050000822506</t>
  </si>
  <si>
    <t>050000822507</t>
  </si>
  <si>
    <t>050000822508</t>
  </si>
  <si>
    <t>050000822509</t>
  </si>
  <si>
    <t>050000822511</t>
  </si>
  <si>
    <t>050000822512</t>
  </si>
  <si>
    <t>050000822513</t>
  </si>
  <si>
    <t>050000822514</t>
  </si>
  <si>
    <t>050000822515</t>
  </si>
  <si>
    <t>050000822516</t>
  </si>
  <si>
    <t>050000822518</t>
  </si>
  <si>
    <t>050000822520</t>
  </si>
  <si>
    <t>050000822521</t>
  </si>
  <si>
    <t>050000822522</t>
  </si>
  <si>
    <t>050000849529</t>
  </si>
  <si>
    <t>050000849530</t>
  </si>
  <si>
    <t>050000822523</t>
  </si>
  <si>
    <t>050000822524</t>
  </si>
  <si>
    <t>050000822526</t>
  </si>
  <si>
    <t>050000822527</t>
  </si>
  <si>
    <t>050000822528</t>
  </si>
  <si>
    <t>050000822529</t>
  </si>
  <si>
    <t>050000822530</t>
  </si>
  <si>
    <t>050000822532</t>
  </si>
  <si>
    <t>050000822533</t>
  </si>
  <si>
    <t>050000822534</t>
  </si>
  <si>
    <t>050000822535</t>
  </si>
  <si>
    <t>050000822536</t>
  </si>
  <si>
    <t>050000822538</t>
  </si>
  <si>
    <t>050000822539</t>
  </si>
  <si>
    <t>050000822540</t>
  </si>
  <si>
    <t>050000822405</t>
  </si>
  <si>
    <t>050000822411</t>
  </si>
  <si>
    <t>050000822444</t>
  </si>
  <si>
    <t>050000822449</t>
  </si>
  <si>
    <t>050000822463</t>
  </si>
  <si>
    <t>050000822477</t>
  </si>
  <si>
    <t>050000822482</t>
  </si>
  <si>
    <t>050000822498</t>
  </si>
  <si>
    <t>050000822503</t>
  </si>
  <si>
    <t>050000822517</t>
  </si>
  <si>
    <t>050000822537</t>
  </si>
  <si>
    <t>050000822395</t>
  </si>
  <si>
    <t>050000822396</t>
  </si>
  <si>
    <t>050000822397</t>
  </si>
  <si>
    <t>050000822398</t>
  </si>
  <si>
    <t>050000822399</t>
  </si>
  <si>
    <t>050000822400</t>
  </si>
  <si>
    <t>050000822402</t>
  </si>
  <si>
    <t>050000822403</t>
  </si>
  <si>
    <t>050000822406</t>
  </si>
  <si>
    <t>050000822408</t>
  </si>
  <si>
    <t>050000822412</t>
  </si>
  <si>
    <t>050000822416</t>
  </si>
  <si>
    <t>050000822417</t>
  </si>
  <si>
    <t>050000822418</t>
  </si>
  <si>
    <t>050000822422</t>
  </si>
  <si>
    <t>050000822424</t>
  </si>
  <si>
    <t>050000822425</t>
  </si>
  <si>
    <t>050000822426</t>
  </si>
  <si>
    <t>050000822428</t>
  </si>
  <si>
    <t>050000822429</t>
  </si>
  <si>
    <t>050000822431</t>
  </si>
  <si>
    <t>050000822432</t>
  </si>
  <si>
    <t>050000822434</t>
  </si>
  <si>
    <t>050000822435</t>
  </si>
  <si>
    <t>050000822436</t>
  </si>
  <si>
    <t>050000822437</t>
  </si>
  <si>
    <t>050000822439</t>
  </si>
  <si>
    <t>050000822440</t>
  </si>
  <si>
    <t>050000822441</t>
  </si>
  <si>
    <t>050000822442</t>
  </si>
  <si>
    <t>050000822443</t>
  </si>
  <si>
    <t>050000822445</t>
  </si>
  <si>
    <t>050000822446</t>
  </si>
  <si>
    <t>050000822447</t>
  </si>
  <si>
    <t>050000822448</t>
  </si>
  <si>
    <t>050000822450</t>
  </si>
  <si>
    <t>050000822451</t>
  </si>
  <si>
    <t>050000822452</t>
  </si>
  <si>
    <t>050000822453</t>
  </si>
  <si>
    <t>050000822454</t>
  </si>
  <si>
    <t>050000822455</t>
  </si>
  <si>
    <t>050000822456</t>
  </si>
  <si>
    <t>050000822457</t>
  </si>
  <si>
    <t>050000822458</t>
  </si>
  <si>
    <t>050000822459</t>
  </si>
  <si>
    <t>050000822460</t>
  </si>
  <si>
    <t>050000822461</t>
  </si>
  <si>
    <t>050000822462</t>
  </si>
  <si>
    <t>050000822464</t>
  </si>
  <si>
    <t>050000822465</t>
  </si>
  <si>
    <t>050000822466</t>
  </si>
  <si>
    <t>050000822468</t>
  </si>
  <si>
    <t>050000822469</t>
  </si>
  <si>
    <t>050000822470</t>
  </si>
  <si>
    <t>050000822471</t>
  </si>
  <si>
    <t>050000822472</t>
  </si>
  <si>
    <t>050000822473</t>
  </si>
  <si>
    <t>050000822474</t>
  </si>
  <si>
    <t>050000822476</t>
  </si>
  <si>
    <t>050000822478</t>
  </si>
  <si>
    <t>050000822479</t>
  </si>
  <si>
    <t>050000822480</t>
  </si>
  <si>
    <t>050000822481</t>
  </si>
  <si>
    <t>050000822483</t>
  </si>
  <si>
    <t>050000822484</t>
  </si>
  <si>
    <t>050000822485</t>
  </si>
  <si>
    <t>050000824676</t>
  </si>
  <si>
    <t>050000824677</t>
  </si>
  <si>
    <t>050000825723</t>
  </si>
  <si>
    <t>050000825726</t>
  </si>
  <si>
    <t>050000825730</t>
  </si>
  <si>
    <t>050000825743</t>
  </si>
  <si>
    <t>050000831683</t>
  </si>
  <si>
    <t>050000831869</t>
  </si>
  <si>
    <t>050000831870</t>
  </si>
  <si>
    <t>050000831874</t>
  </si>
  <si>
    <t>050000879114</t>
  </si>
  <si>
    <t>050000836690</t>
  </si>
  <si>
    <t>050000836153</t>
  </si>
  <si>
    <t>050000836157</t>
  </si>
  <si>
    <t>050000836158</t>
  </si>
  <si>
    <t>050000836159</t>
  </si>
  <si>
    <t>050000836166</t>
  </si>
  <si>
    <t>050000825001</t>
  </si>
  <si>
    <t>050000825005</t>
  </si>
  <si>
    <t>050000825006</t>
  </si>
  <si>
    <t>050000844664</t>
  </si>
  <si>
    <t>050000822510</t>
  </si>
  <si>
    <t>050000861207</t>
  </si>
  <si>
    <t>050000861208</t>
  </si>
  <si>
    <t>050000830737</t>
  </si>
  <si>
    <t>050000830744</t>
  </si>
  <si>
    <t>050000830754</t>
  </si>
  <si>
    <t>050000830757</t>
  </si>
  <si>
    <t>050000830759</t>
  </si>
  <si>
    <t>050000830768</t>
  </si>
  <si>
    <t>050000840251</t>
  </si>
  <si>
    <t>050000840255</t>
  </si>
  <si>
    <t>050000837795</t>
  </si>
  <si>
    <t>050000840269</t>
  </si>
  <si>
    <t>050000833763</t>
  </si>
  <si>
    <t>050000843669</t>
  </si>
  <si>
    <t>050000824349</t>
  </si>
  <si>
    <t>050000848097</t>
  </si>
  <si>
    <t>050000848100</t>
  </si>
  <si>
    <t>050000824353</t>
  </si>
  <si>
    <t>050000873655</t>
  </si>
  <si>
    <t>050000873657</t>
  </si>
  <si>
    <t>050000873659</t>
  </si>
  <si>
    <t>050000836082</t>
  </si>
  <si>
    <t>050000862917</t>
  </si>
  <si>
    <t>050000837383</t>
  </si>
  <si>
    <t>050000837393</t>
  </si>
  <si>
    <t>050000823040</t>
  </si>
  <si>
    <t>050000826708</t>
  </si>
  <si>
    <t>050000826712</t>
  </si>
  <si>
    <t>050000840233</t>
  </si>
  <si>
    <t>050000846873</t>
  </si>
  <si>
    <t>050000858709</t>
  </si>
  <si>
    <t>050000836062</t>
  </si>
  <si>
    <t>050000836064</t>
  </si>
  <si>
    <t>050000836069</t>
  </si>
  <si>
    <t>050000836070</t>
  </si>
  <si>
    <t>050000847710</t>
  </si>
  <si>
    <t>050000847711</t>
  </si>
  <si>
    <t>050000847712</t>
  </si>
  <si>
    <t>050000847713</t>
  </si>
  <si>
    <t>050000847714</t>
  </si>
  <si>
    <t>050000847715</t>
  </si>
  <si>
    <t>050000847716</t>
  </si>
  <si>
    <t>050000847717</t>
  </si>
  <si>
    <t>050000826726</t>
  </si>
  <si>
    <t>050000826735</t>
  </si>
  <si>
    <t>050000846440</t>
  </si>
  <si>
    <t>050000846454</t>
  </si>
  <si>
    <t>050000832994</t>
  </si>
  <si>
    <t>050000846463</t>
  </si>
  <si>
    <t>050000849545</t>
  </si>
  <si>
    <t>050000849548</t>
  </si>
  <si>
    <t>050000838281</t>
  </si>
  <si>
    <t>050000823104</t>
  </si>
  <si>
    <t>050000838284</t>
  </si>
  <si>
    <t>050000823108</t>
  </si>
  <si>
    <t>050000823111</t>
  </si>
  <si>
    <t>050000823116</t>
  </si>
  <si>
    <t>050000823125</t>
  </si>
  <si>
    <t>050000823134</t>
  </si>
  <si>
    <t>050000823137</t>
  </si>
  <si>
    <t>050000835460</t>
  </si>
  <si>
    <t>050000835461</t>
  </si>
  <si>
    <t>050000845718</t>
  </si>
  <si>
    <t>050000835467</t>
  </si>
  <si>
    <t>050000834769</t>
  </si>
  <si>
    <t>050000836620</t>
  </si>
  <si>
    <t>050000836623</t>
  </si>
  <si>
    <t>050000836624</t>
  </si>
  <si>
    <t>050000834775</t>
  </si>
  <si>
    <t>050000836630</t>
  </si>
  <si>
    <t>050000836635</t>
  </si>
  <si>
    <t>050000825174</t>
  </si>
  <si>
    <t>050000825175</t>
  </si>
  <si>
    <t>050000825178</t>
  </si>
  <si>
    <t>050000835391</t>
  </si>
  <si>
    <t>050000835394</t>
  </si>
  <si>
    <t>050000842568</t>
  </si>
  <si>
    <t>050000835399</t>
  </si>
  <si>
    <t>050000831277</t>
  </si>
  <si>
    <t>050000831283</t>
  </si>
  <si>
    <t>050000831289</t>
  </si>
  <si>
    <t>050000832995</t>
  </si>
  <si>
    <t>050000832996</t>
  </si>
  <si>
    <t>050000849106</t>
  </si>
  <si>
    <t>050000836466</t>
  </si>
  <si>
    <t>050000872604</t>
  </si>
  <si>
    <t>050000824367</t>
  </si>
  <si>
    <t>050000863699</t>
  </si>
  <si>
    <t>050000824787</t>
  </si>
  <si>
    <t>050000843734</t>
  </si>
  <si>
    <t>050000821171</t>
  </si>
  <si>
    <t>050000821172</t>
  </si>
  <si>
    <t>050000821173</t>
  </si>
  <si>
    <t>050000821174</t>
  </si>
  <si>
    <t>050000821178</t>
  </si>
  <si>
    <t>050000821180</t>
  </si>
  <si>
    <t>050000821181</t>
  </si>
  <si>
    <t>050000821192</t>
  </si>
  <si>
    <t>050000821198</t>
  </si>
  <si>
    <t>050000823193</t>
  </si>
  <si>
    <t>050000826116</t>
  </si>
  <si>
    <t>050000826119</t>
  </si>
  <si>
    <t>050000826128</t>
  </si>
  <si>
    <t>050000827178</t>
  </si>
  <si>
    <t>050000872295</t>
  </si>
  <si>
    <t>050000878854</t>
  </si>
  <si>
    <t>050000878853</t>
  </si>
  <si>
    <t>050000846341</t>
  </si>
  <si>
    <t>050000824909</t>
  </si>
  <si>
    <t>050000824916</t>
  </si>
  <si>
    <t>050000824920</t>
  </si>
  <si>
    <t>050000827149</t>
  </si>
  <si>
    <t>050000827155</t>
  </si>
  <si>
    <t>050000827160</t>
  </si>
  <si>
    <t>050000827162</t>
  </si>
  <si>
    <t>050000827167</t>
  </si>
  <si>
    <t>050000827169</t>
  </si>
  <si>
    <t>050000823319</t>
  </si>
  <si>
    <t>050000823323</t>
  </si>
  <si>
    <t>050000823324</t>
  </si>
  <si>
    <t>050000836806</t>
  </si>
  <si>
    <t>050000836808</t>
  </si>
  <si>
    <t>050000836809</t>
  </si>
  <si>
    <t>050000836810</t>
  </si>
  <si>
    <t>050000836811</t>
  </si>
  <si>
    <t>050000836812</t>
  </si>
  <si>
    <t>050000836813</t>
  </si>
  <si>
    <t>050000836814</t>
  </si>
  <si>
    <t>050000836815</t>
  </si>
  <si>
    <t>050000836816</t>
  </si>
  <si>
    <t>050000836818</t>
  </si>
  <si>
    <t>050000836819</t>
  </si>
  <si>
    <t>050000836820</t>
  </si>
  <si>
    <t>050000836704</t>
  </si>
  <si>
    <t>050000836821</t>
  </si>
  <si>
    <t>050000836705</t>
  </si>
  <si>
    <t>050000836706</t>
  </si>
  <si>
    <t>050000836707</t>
  </si>
  <si>
    <t>050000836708</t>
  </si>
  <si>
    <t>050000836709</t>
  </si>
  <si>
    <t>050000836710</t>
  </si>
  <si>
    <t>050000836711</t>
  </si>
  <si>
    <t>050000836712</t>
  </si>
  <si>
    <t>050000836713</t>
  </si>
  <si>
    <t>050000836714</t>
  </si>
  <si>
    <t>050000836715</t>
  </si>
  <si>
    <t>050000836716</t>
  </si>
  <si>
    <t>050000836717</t>
  </si>
  <si>
    <t>050000836718</t>
  </si>
  <si>
    <t>050000836719</t>
  </si>
  <si>
    <t>050000836822</t>
  </si>
  <si>
    <t>050000836823</t>
  </si>
  <si>
    <t>050000836824</t>
  </si>
  <si>
    <t>050000836827</t>
  </si>
  <si>
    <t>050000836829</t>
  </si>
  <si>
    <t>050000836831</t>
  </si>
  <si>
    <t>050000836833</t>
  </si>
  <si>
    <t>050000836834</t>
  </si>
  <si>
    <t>050000836835</t>
  </si>
  <si>
    <t>050000836836</t>
  </si>
  <si>
    <t>050000821953</t>
  </si>
  <si>
    <t>050000821954</t>
  </si>
  <si>
    <t>050000821955</t>
  </si>
  <si>
    <t>050000821957</t>
  </si>
  <si>
    <t>050000836720</t>
  </si>
  <si>
    <t>050000836721</t>
  </si>
  <si>
    <t>050000836722</t>
  </si>
  <si>
    <t>050000836723</t>
  </si>
  <si>
    <t>050000836724</t>
  </si>
  <si>
    <t>050000836725</t>
  </si>
  <si>
    <t>050000836726</t>
  </si>
  <si>
    <t>050000836727</t>
  </si>
  <si>
    <t>050000836728</t>
  </si>
  <si>
    <t>050000836729</t>
  </si>
  <si>
    <t>050000836730</t>
  </si>
  <si>
    <t>050000836731</t>
  </si>
  <si>
    <t>050000836732</t>
  </si>
  <si>
    <t>050000836733</t>
  </si>
  <si>
    <t>050000836734</t>
  </si>
  <si>
    <t>050000836837</t>
  </si>
  <si>
    <t>050000836838</t>
  </si>
  <si>
    <t>050000836840</t>
  </si>
  <si>
    <t>050000836841</t>
  </si>
  <si>
    <t>050000836843</t>
  </si>
  <si>
    <t>050000836845</t>
  </si>
  <si>
    <t>050000836846</t>
  </si>
  <si>
    <t>050000836735</t>
  </si>
  <si>
    <t>050000836736</t>
  </si>
  <si>
    <t>050000836737</t>
  </si>
  <si>
    <t>050000836738</t>
  </si>
  <si>
    <t>050000836739</t>
  </si>
  <si>
    <t>050000836740</t>
  </si>
  <si>
    <t>050000836742</t>
  </si>
  <si>
    <t>050000836743</t>
  </si>
  <si>
    <t>050000836744</t>
  </si>
  <si>
    <t>050000836745</t>
  </si>
  <si>
    <t>050000836746</t>
  </si>
  <si>
    <t>050000836747</t>
  </si>
  <si>
    <t>050000836748</t>
  </si>
  <si>
    <t>050000836749</t>
  </si>
  <si>
    <t>050000836750</t>
  </si>
  <si>
    <t>050000836751</t>
  </si>
  <si>
    <t>050000836752</t>
  </si>
  <si>
    <t>050000836753</t>
  </si>
  <si>
    <t>050000836754</t>
  </si>
  <si>
    <t>050000836755</t>
  </si>
  <si>
    <t>050000836756</t>
  </si>
  <si>
    <t>050000836757</t>
  </si>
  <si>
    <t>050000836758</t>
  </si>
  <si>
    <t>050000836759</t>
  </si>
  <si>
    <t>050000836760</t>
  </si>
  <si>
    <t>050000836761</t>
  </si>
  <si>
    <t>050000836762</t>
  </si>
  <si>
    <t>050000836763</t>
  </si>
  <si>
    <t>050000836764</t>
  </si>
  <si>
    <t>050000836765</t>
  </si>
  <si>
    <t>050000836766</t>
  </si>
  <si>
    <t>050000836767</t>
  </si>
  <si>
    <t>050000842517</t>
  </si>
  <si>
    <t>050000836768</t>
  </si>
  <si>
    <t>050000836769</t>
  </si>
  <si>
    <t>050000836770</t>
  </si>
  <si>
    <t>050000836771</t>
  </si>
  <si>
    <t>050000836772</t>
  </si>
  <si>
    <t>050000836773</t>
  </si>
  <si>
    <t>050000836774</t>
  </si>
  <si>
    <t>050000836775</t>
  </si>
  <si>
    <t>050000842526</t>
  </si>
  <si>
    <t>050000836776</t>
  </si>
  <si>
    <t>050000836777</t>
  </si>
  <si>
    <t>050000836778</t>
  </si>
  <si>
    <t>050000836779</t>
  </si>
  <si>
    <t>050000836781</t>
  </si>
  <si>
    <t>050000836782</t>
  </si>
  <si>
    <t>050000836783</t>
  </si>
  <si>
    <t>050000836784</t>
  </si>
  <si>
    <t>050000836785</t>
  </si>
  <si>
    <t>050000836786</t>
  </si>
  <si>
    <t>050000836787</t>
  </si>
  <si>
    <t>050000836789</t>
  </si>
  <si>
    <t>050000836790</t>
  </si>
  <si>
    <t>050000836791</t>
  </si>
  <si>
    <t>050000836792</t>
  </si>
  <si>
    <t>050000836793</t>
  </si>
  <si>
    <t>050000836794</t>
  </si>
  <si>
    <t>050000836795</t>
  </si>
  <si>
    <t>050000836796</t>
  </si>
  <si>
    <t>050000836797</t>
  </si>
  <si>
    <t>050000836798</t>
  </si>
  <si>
    <t>050000836800</t>
  </si>
  <si>
    <t>050000836801</t>
  </si>
  <si>
    <t>050000836802</t>
  </si>
  <si>
    <t>050000836804</t>
  </si>
  <si>
    <t>050000836805</t>
  </si>
  <si>
    <t>050000860953</t>
  </si>
  <si>
    <t>050000860964</t>
  </si>
  <si>
    <t>050000878829</t>
  </si>
  <si>
    <t>050000857443</t>
  </si>
  <si>
    <t>050000857469</t>
  </si>
  <si>
    <t>050000878624</t>
  </si>
  <si>
    <t>050000865210</t>
  </si>
  <si>
    <t>050000858897</t>
  </si>
  <si>
    <t>050000865229</t>
  </si>
  <si>
    <t>050000858912</t>
  </si>
  <si>
    <t>050000859505</t>
  </si>
  <si>
    <t>050000874506</t>
  </si>
  <si>
    <t>050000874464</t>
  </si>
  <si>
    <t>050000874465</t>
  </si>
  <si>
    <t>050000874466</t>
  </si>
  <si>
    <t>050000874468</t>
  </si>
  <si>
    <t>050000874469</t>
  </si>
  <si>
    <t>050000874470</t>
  </si>
  <si>
    <t>050000874471</t>
  </si>
  <si>
    <t>050000874473</t>
  </si>
  <si>
    <t>050000874474</t>
  </si>
  <si>
    <t>050000874475</t>
  </si>
  <si>
    <t>050000874476</t>
  </si>
  <si>
    <t>050000874478</t>
  </si>
  <si>
    <t>050000874479</t>
  </si>
  <si>
    <t>050000874480</t>
  </si>
  <si>
    <t>050000874481</t>
  </si>
  <si>
    <t>050000874484</t>
  </si>
  <si>
    <t>050000874488</t>
  </si>
  <si>
    <t>050000874491</t>
  </si>
  <si>
    <t>050000874492</t>
  </si>
  <si>
    <t>050000874494</t>
  </si>
  <si>
    <t>050000874495</t>
  </si>
  <si>
    <t>050000874496</t>
  </si>
  <si>
    <t>050000874497</t>
  </si>
  <si>
    <t>050000874498</t>
  </si>
  <si>
    <t>050000874500</t>
  </si>
  <si>
    <t>050000874501</t>
  </si>
  <si>
    <t>050000874503</t>
  </si>
  <si>
    <t>050000874504</t>
  </si>
  <si>
    <t>050000874505</t>
  </si>
  <si>
    <t>050000874507</t>
  </si>
  <si>
    <t>050000874510</t>
  </si>
  <si>
    <t>050000874511</t>
  </si>
  <si>
    <t>050000874513</t>
  </si>
  <si>
    <t>050000874514</t>
  </si>
  <si>
    <t>050000874515</t>
  </si>
  <si>
    <t>050000874516</t>
  </si>
  <si>
    <t>050000874517</t>
  </si>
  <si>
    <t>050000874519</t>
  </si>
  <si>
    <t>050000874520</t>
  </si>
  <si>
    <t>050000874522</t>
  </si>
  <si>
    <t>050000874523</t>
  </si>
  <si>
    <t>050000874526</t>
  </si>
  <si>
    <t>050000874527</t>
  </si>
  <si>
    <t>050000874528</t>
  </si>
  <si>
    <t>050000874529</t>
  </si>
  <si>
    <t>050000874530</t>
  </si>
  <si>
    <t>050000872138</t>
  </si>
  <si>
    <t>050000874054</t>
  </si>
  <si>
    <t>050000878855</t>
  </si>
  <si>
    <t>POLICY NO.</t>
  </si>
  <si>
    <t>Assorted_code</t>
  </si>
  <si>
    <t>Premium</t>
  </si>
  <si>
    <t>29Apr250042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</si>
</sst>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\ dd\-mm\-yyyy"/>
    <numFmt numFmtId="166" formatCode="#,##0_);\(#,##0\)"/>
    <numFmt numFmtId="167" formatCode="#,##0.00_);\(#,##0.00\)"/>
    <numFmt numFmtId="168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4" fontId="2" fillId="2" borderId="0" xfId="1" applyNumberFormat="1" applyFont="1" applyFill="1" applyAlignment="1">
      <alignment vertical="top"/>
    </xf>
    <xf numFmtId="0" fontId="2" fillId="0" borderId="0" xfId="0" applyFon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1"/>
    </xf>
    <xf numFmtId="43" fontId="0" fillId="0" borderId="0" xfId="1" applyFont="1"/>
    <xf numFmtId="0" fontId="0" fillId="2" borderId="0" xfId="0" applyFill="1"/>
    <xf numFmtId="43" fontId="0" fillId="2" borderId="0" xfId="1" applyFont="1" applyFill="1"/>
    <xf numFmtId="43" fontId="0" fillId="0" borderId="0" xfId="1" applyFont="1" applyAlignment="1">
      <alignment vertical="top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5" fillId="0" borderId="0" xfId="0" applyFont="1"/>
    <xf numFmtId="168" fontId="6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168" fontId="0" fillId="0" borderId="0" xfId="0" applyNumberForma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baid Gulraiz" refreshedDate="45776.474751504633" createdVersion="8" refreshedVersion="8" minRefreshableVersion="3" recordCount="1738" xr:uid="{330553A6-7172-4420-8F72-F4C343912333}">
  <cacheSource type="worksheet">
    <worksheetSource ref="A2:AL1740" sheet="Sheet2"/>
  </cacheSource>
  <cacheFields count="38">
    <cacheField name="S.No." numFmtId="1">
      <sharedItems containsSemiMixedTypes="0" containsString="0" containsNumber="1" containsInteger="1" minValue="2" maxValue="2605"/>
    </cacheField>
    <cacheField name="Policy" numFmtId="0">
      <sharedItems count="346">
        <s v="KHI/HO/D/MO/PD COMP/P/55880/09/2021"/>
        <s v="KHI/HO/D/MO/PD COMP/P/56730/11/2021"/>
        <s v="KHI/HO/D/MO/PD COMP/P/56778/11/2021"/>
        <s v="KHI/HO/D/MO/PD COMP/P/56936/11/2021"/>
        <s v="KHI/HO/D/MO/PD COMP/P/58087/01/2022"/>
        <s v="KHI/HO/D/MO/PD COMP/P/58088/01/2022"/>
        <s v="KHI/HO/D/MO/PD COMP/P/58180/01/2022"/>
        <s v="KHI/HO/D/MO/PD COMP/P/58224/01/2022"/>
        <s v="KHI/HO/D/MO/PD COMP/P/58234/01/2022"/>
        <s v="KHI/HO/D/MO/PD COMP/P/58677/02/2022"/>
        <s v="KHI/HO/D/MO/PD COMP/P/58795/02/2022"/>
        <s v="KHI/HO/D/MO/PD COMP/P/59606/03/2022"/>
        <s v="KHI/HO/D/MO/PD COMP/P/60210/04/2022"/>
        <s v="KHI/HO/D/MO/PD COMP/P/60538/05/2022"/>
        <s v="KHI/HO/D/MO/PD COMP/P/60617/05/2022"/>
        <s v="KHI/HO/D/MO/PD COMP/P/60632/05/2022"/>
        <s v="KHI/HO/D/MO/PD COMP/P/61418/06/2022"/>
        <s v="KHI/HO/D/MO/PD COMP/P/62893/08/2022"/>
        <s v="KHI/HO/D/MO/PD COMP/P/63305/09/2022"/>
        <s v="KHI/HO/D/MO/PD COMP/P/63469/09/2022"/>
        <s v="KHI/HO/D/MO/PD COMP/P/63588/09/2022"/>
        <s v="KHI/HO/D/MO/PD COMP/P/66017/12/2022"/>
        <s v="KHI/HO/D/MO/PD COMP/P/66188/12/2022"/>
        <s v="KHI/HO/D/MO/PD COMP/P/66636/01/2023"/>
        <s v="KHI/HO/D/MO/PD COMP/P/66820/01/2023"/>
        <s v="KHI/HO/D/MO/PD COMP/P/66962/01/2023"/>
        <s v="KHI/HO/D/MO/PD COMP/P/66982/01/2023"/>
        <s v="KHI/HO/D/MO/PD COMP/P/66983/01/2023"/>
        <s v="KHI/HO/D/MO/PD COMP/P/66986/01/2023"/>
        <s v="KHI/HO/D/MO/PD COMP/P/67223/01/2023"/>
        <s v="KHI/HO/D/MO/PD COMP/P/67402/02/2023"/>
        <s v="KHI/HO/D/MO/PD COMP/P/67508/02/2023"/>
        <s v="KHI/HO/D/MO/PD COMP/P/67739/02/2023"/>
        <s v="KHI/HO/D/MO/PD COMP/P/67752/02/2023"/>
        <s v="KHI/HO/D/MO/PD COMP/P/67996/02/2023"/>
        <s v="KHI/HO/D/MO/PD COMP/P/68067/02/2023"/>
        <s v="KHI/HO/D/MO/PD COMP/P/68293/02/2023"/>
        <s v="KHI/HO/D/MO/PD COMP/P/68385/02/2023"/>
        <s v="KHI/HO/D/MO/PD COMP/P/68451/03/2023"/>
        <s v="KHI/HO/D/MO/PD COMP/P/68479/03/2023"/>
        <s v="KHI/HO/D/MO/PD COMP/P/68491/03/2023"/>
        <s v="KHI/HO/D/MO/PD COMP/P/68658/03/2023"/>
        <s v="KHI/HO/D/MO/PD COMP/P/68786/03/2023"/>
        <s v="KHI/HO/D/MO/PD COMP/P/68967/03/2023"/>
        <s v="KHI/HO/D/MO/PD COMP/P/68970/03/2023"/>
        <s v="KHI/HO/D/MO/PD COMP/P/69150/03/2023"/>
        <s v="KHI/HO/D/MO/PD COMP/P/69313/03/2023"/>
        <s v="KHI/HO/D/MO/PD COMP/P/69427/04/2023"/>
        <s v="KHI/HO/D/MO/PD COMP/P/69487/04/2023"/>
        <s v="KHI/HO/D/MO/PD COMP/P/69489/04/2023"/>
        <s v="KHI/HO/D/MO/PD COMP/P/69519/04/2023"/>
        <s v="KHI/HO/D/MO/PD COMP/P/69562/04/2023"/>
        <s v="KHI/HO/D/MO/PD COMP/P/69644/04/2023"/>
        <s v="KHI/HO/D/MO/PD COMP/P/69659/04/2023"/>
        <s v="KHI/HO/D/MO/PD COMP/P/69812/04/2023"/>
        <s v="KHI/HO/D/MO/PD COMP/P/69846/04/2023"/>
        <s v="KHI/HO/D/MO/PD COMP/P/69859/04/2023"/>
        <s v="KHI/HO/D/MO/PD COMP/P/69889/04/2023"/>
        <s v="KHI/HO/D/MO/PD COMP/P/70104/04/2023"/>
        <s v="KHI/HO/D/MO/PD COMP/P/70152/04/2023"/>
        <s v="KHI/HO/D/MO/PD COMP/P/70377/05/2023"/>
        <s v="KHI/HO/D/MO/PD COMP/P/70401/05/2023"/>
        <s v="KHI/HO/D/MO/PD COMP/P/70465/05/2023"/>
        <s v="KHI/HO/D/MO/PD COMP/P/70759/05/2023"/>
        <s v="KHI/HO/D/MO/PD COMP/P/70953/05/2023"/>
        <s v="KHI/HO/D/MO/PD COMP/P/71162/05/2023"/>
        <s v="KHI/HO/D/MO/PD COMP/P/71217/05/2023"/>
        <s v="KHI/HO/D/MO/PD COMP/P/71235/05/2023"/>
        <s v="KHI/HO/D/MO/PD COMP/P/71276/05/2023"/>
        <s v="KHI/HO/D/MO/PD COMP/P/71397/05/2023"/>
        <s v="KHI/HO/D/MO/PD COMP/P/71440/05/2023"/>
        <s v="KHI/HO/D/MO/PD COMP/P/71497/05/2023"/>
        <s v="KHI/HO/D/MO/PD COMP/P/71526/05/2023"/>
        <s v="KHI/HO/D/MO/PD COMP/P/71527/05/2023"/>
        <s v="KHI/HO/D/MO/PD COMP/P/71529/05/2023"/>
        <s v="KHI/HO/D/MO/PD COMP/P/71550/05/2023"/>
        <s v="KHI/HO/D/MO/PD COMP/P/71571/06/2023"/>
        <s v="KHI/HO/D/MO/PD COMP/P/71585/06/2023"/>
        <s v="KHI/HO/D/MO/PD COMP/P/71611/06/2023"/>
        <s v="KHI/HO/D/MO/PD COMP/P/71645/06/2023"/>
        <s v="KHI/HO/D/MO/PD COMP/P/71769/06/2023"/>
        <s v="KHI/HO/D/MO/PD COMP/P/71775/06/2023"/>
        <s v="KHI/HO/D/MO/PD COMP/P/71802/06/2023"/>
        <s v="KHI/HO/D/MO/PD COMP/P/71823/06/2023"/>
        <s v="KHI/HO/D/MO/PD COMP/P/71830/06/2023"/>
        <s v="KHI/HO/D/MO/PD COMP/P/71861/06/2023"/>
        <s v="KHI/HO/D/MO/PD COMP/P/71942/06/2023"/>
        <s v="KHI/HO/D/MO/PD COMP/P/72034/06/2023"/>
        <s v="KHI/HO/D/MO/PD COMP/P/72134/06/2023"/>
        <s v="KHI/HO/D/MO/PD COMP/P/72244/06/2023"/>
        <s v="KHI/HO/D/MO/PD COMP/P/72254/06/2023"/>
        <s v="KHI/HO/D/MO/PD COMP/P/72269/06/2023"/>
        <s v="KHI/HO/D/MO/PD COMP/P/72287/06/2023"/>
        <s v="KHI/HO/D/MO/PD COMP/P/72340/06/2023"/>
        <s v="KHI/HO/D/MO/PD COMP/P/72342/06/2023"/>
        <s v="KHI/HO/D/MO/PD COMP/P/72345/06/2023"/>
        <s v="KHI/HO/D/MO/PD COMP/P/72357/06/2023"/>
        <s v="KHI/HO/D/MO/PD COMP/P/72374/06/2023"/>
        <s v="KHI/HO/D/MO/PD COMP/P/72452/06/2023"/>
        <s v="KHI/HO/D/MO/PD COMP/P/72453/06/2023"/>
        <s v="LHR/LHR/D/MO/PD COMP/P/72469/06/2023"/>
        <s v="KHI/HO/D/MO/PD COMP/P/72496/06/2023"/>
        <s v="KHI/HO/D/MO/PD COMP/P/72544/07/2023"/>
        <s v="KHI/HO/D/MO/PD COMP/P/72630/07/2023"/>
        <s v="KHI/HO/D/MO/PD COMP/P/72637/07/2023"/>
        <s v="KHI/HO/D/MO/PD COMP/P/72640/07/2023"/>
        <s v="KHI/HO/D/MO/PD COMP/P/72869/07/2023"/>
        <s v="KHI/HO/D/MO/PD COMP/P/73009/07/2023"/>
        <s v="KHI/HO/D/MO/PD COMP/P/73026/07/2023"/>
        <s v="KHI/HO/D/MO/PD COMP/P/73091/07/2023"/>
        <s v="KHI/HO/D/MO/PD COMP/P/73241/07/2023"/>
        <s v="KHI/HO/D/MO/PD COMP/P/73243/07/2023"/>
        <s v="KHI/HO/D/MO/PD COMP/P/73293/07/2023"/>
        <s v="KHI/HO/D/MO/PD COMP/P/73304/07/2023"/>
        <s v="KHI/HO/D/MO/PD COMP/P/73441/07/2023"/>
        <s v="KHI/HO/D/MO/PD COMP/P/73442/07/2023"/>
        <s v="KHI/HO/D/MO/PD COMP/P/73674/08/2023"/>
        <s v="KHI/HO/D/MO/PD COMP/P/73715/08/2023"/>
        <s v="KHI/HO/D/MO/PD COMP/P/73717/08/2023"/>
        <s v="KHI/HO/D/MO/PD COMP/P/73754/08/2023"/>
        <s v="KHI/HO/D/MO/PD COMP/P/73801/08/2023"/>
        <s v="KHI/HO/D/MO/PD COMP/P/73868/08/2023"/>
        <s v="KHI/HO/D/MO/PD COMP/P/73919/08/2023"/>
        <s v="KHI/HO/D/MO/PD COMP/P/74078/08/2023"/>
        <s v="KHI/HO/D/MO/PD COMP/P/74086/08/2023"/>
        <s v="KHI/HO/D/MO/PD COMP/P/74186/08/2023"/>
        <s v="KHI/HO/D/MO/PD COMP/P/74210/08/2023"/>
        <s v="KHI/HO/D/MO/PD COMP/P/74216/08/2023"/>
        <s v="KHI/HO/D/MO/PD COMP/P/74543/08/2023"/>
        <s v="KHI/HO/D/MO/PD COMP/P/74723/08/2023"/>
        <s v="KHI/HO/D/MO/PD COMP/P/74810/09/2023"/>
        <s v="KHI/HO/D/MO/PD COMP/P/74876/09/2023"/>
        <s v="KHI/HO/D/MO/PD COMP/P/74911/09/2023"/>
        <s v="KHI/HO/D/MO/PD COMP/P/74978/09/2023"/>
        <s v="KHI/HO/D/MO/PD COMP/P/75012/09/2023"/>
        <s v="KHI/HO/D/MO/PD COMP/P/75077/09/2023"/>
        <s v="KHI/HO/D/MO/PD COMP/P/75107/09/2023"/>
        <s v="KHI/HO/D/MO/PD COMP/P/75196/09/2023"/>
        <s v="KHI/HO/D/MO/PD COMP/P/75207/09/2023"/>
        <s v="KHI/HO/D/MO/PD COMP/P/75280/09/2023"/>
        <s v="KHI/HO/D/MO/PD COMP/P/75306/09/2023"/>
        <s v="KHI/HO/D/MO/PD COMP/P/75338/09/2023"/>
        <s v="KHI/HO/D/MO/PD COMP/P/75398/09/2023"/>
        <s v="KHI/HO/D/MO/PD COMP/P/75461/09/2023"/>
        <s v="KHI/HO/D/MO/PD COMP/P/75467/09/2023"/>
        <s v="KHI/HO/D/MO/PD COMP/P/75481/09/2023"/>
        <s v="KHI/HO/D/MO/PD COMP/P/75482/09/2023"/>
        <s v="KHI/HO/D/MO/PD COMP/P/75531/09/2023"/>
        <s v="KHI/HO/D/MO/PD COMP/P/75557/09/2023"/>
        <s v="KHI/HO/D/MO/PD COMP/P/75612/09/2023"/>
        <s v="KHI/HO/D/MO/PD COMP/P/75664/09/2023"/>
        <s v="KHI/HO/D/MO/PD COMP/P/75686/09/2023"/>
        <s v="KHI/HO/D/MO/PD COMP/P/75766/09/2023"/>
        <s v="KHI/HO/D/MO/PD COMP/P/75790/09/2023"/>
        <s v="KHI/HO/D/MO/PD COMP/P/75904/09/2023"/>
        <s v="KHI/HO/D/MO/PD COMP/P/75909/09/2023"/>
        <s v="KHI/HO/D/MO/PD COMP/P/75922/09/2023"/>
        <s v="KHI/HO/D/MO/PD COMP/P/76064/10/2023"/>
        <s v="KHI/HO/D/MO/PD COMP/P/76091/10/2023"/>
        <s v="KHI/HO/D/MO/PD COMP/P/76133/10/2023"/>
        <s v="KHI/HO/D/MO/PD COMP/P/76175/10/2023"/>
        <s v="KHI/HO/D/MO/PD COMP/P/76244/10/2023"/>
        <s v="KHI/HO/D/MO/PD COMP/P/76260/10/2023"/>
        <s v="KHI/HO/D/MO/PD COMP/P/76359/10/2023"/>
        <s v="KHI/HO/D/MO/PD COMP/P/76388/10/2023"/>
        <s v="KHI/HO/D/MO/PD COMP/P/76395/10/2023"/>
        <s v="KHI/HO/D/MO/PD COMP/P/76396/10/2023"/>
        <s v="KHI/HO/D/MO/PD COMP/P/76446/10/2023"/>
        <s v="KHI/HO/D/MO/PD COMP/P/76483/10/2023"/>
        <s v="KHI/HO/D/MO/PD COMP/P/76598/10/2023"/>
        <s v="KHI/HO/D/MO/PD COMP/P/76610/10/2023"/>
        <s v="KHI/HO/D/MO/PD COMP/P/76741/10/2023"/>
        <s v="KHI/HO/D/MO/PD COMP/P/76761/10/2023"/>
        <s v="KHI/HO/D/MO/PD COMP/P/76893/10/2023"/>
        <s v="KHI/HO/D/MO/PD COMP/P/76952/10/2023"/>
        <s v="KHI/HO/D/MO/PD COMP/P/77162/10/2023"/>
        <s v="KHI/HO/D/MO/PD COMP/P/77184/10/2023"/>
        <s v="KHI/HO/D/MO/PD COMP/P/77260/10/2023"/>
        <s v="KHI/HO/D/MO/PD COMP/P/77290/10/2023"/>
        <s v="KHI/HO/D/MO/PD COMP/P/77505/11/2023"/>
        <s v="KHI/HO/D/MO/PD COMP/P/77587/11/2023"/>
        <s v="KHI/HO/D/MO/PD COMP/P/77710/11/2023"/>
        <s v="KHI/HO/D/MO/PD COMP/P/77728/11/2023"/>
        <s v="KHI/HO/D/MO/PD COMP/P/77829/11/2023"/>
        <s v="KHI/HO/D/MO/PD COMP/P/77838/11/2023"/>
        <s v="KHI/HO/D/MO/PD COMP/P/78000/11/2023"/>
        <s v="KHI/HO/D/MO/PD COMP/P/78048/11/2023"/>
        <s v="KHI/HO/D/MO/PD COMP/P/78105/11/2023"/>
        <s v="KHI/HO/D/MO/PD COMP/P/78106/11/2023"/>
        <s v="KHI/HO/D/MO/PD COMP/P/78413/11/2023"/>
        <s v="KHI/HO/D/MO/PD COMP/P/78617/11/2023"/>
        <s v="KHI/HO/D/MO/PD COMP/P/78627/11/2023"/>
        <s v="KHI/HO/D/MO/PD COMP/P/78700/11/2023"/>
        <s v="KHI/HO/D/MO/PD COMP/P/78711/11/2023"/>
        <s v="KHI/HO/D/MO/PD COMP/P/78712/11/2023"/>
        <s v="KHI/HO/D/MO/PD COMP/P/78924/11/2023"/>
        <s v="KHI/HO/D/MO/PD COMP/P/78965/12/2023"/>
        <s v="KHI/HO/D/MO/PD COMP/P/79160/12/2023"/>
        <s v="KHI/HO/D/MO/PD COMP/P/79216/12/2023"/>
        <s v="KHI/HO/D/MO/PD COMP/P/79264/12/2023"/>
        <s v="KHI/HO/D/MO/PD COMP/P/79555/12/2023"/>
        <s v="KHI/HO/D/MO/PD COMP/P/79674/12/2023"/>
        <s v="KHI/HO/D/MO/PD COMP/P/79778/12/2023"/>
        <s v="KHI/HO/D/MO/PD COMP/P/79781/12/2023"/>
        <s v="KHI/HO/D/MO/PD COMP/P/79786/12/2023"/>
        <s v="KHI/HO/D/MO/PD COMP/P/79789/12/2023"/>
        <s v="KHI/HO/D/MO/PD COMP/P/79792/12/2023"/>
        <s v="KHI/HO/D/MO/PD COMP/P/79995/12/2023"/>
        <s v="KHI/HO/D/MO/PD COMP/P/80038/12/2023"/>
        <s v="KHI/HO/D/MO/PD COMP/P/80099/12/2023"/>
        <s v="KHI/HO/D/MO/PD COMP/P/80138/12/2023"/>
        <s v="KHI/HO/D/MO/PD COMP/P/80196/12/2023"/>
        <s v="KHI/HO/D/MO/PD COMP/P/80225/12/2023"/>
        <s v="KHI/HO/D/MO/PD COMP/P/80386/12/2023"/>
        <s v="KHI/HO/D/MO/PD COMP/P/80398/12/2023"/>
        <s v="KHI/HO/D/MO/PD COMP/P/80460/12/2023"/>
        <s v="KHI/HO/D/MO/PD COMP/P/80502/12/2023"/>
        <s v="KHI/HO/D/MO/PD COMP/P/80571/12/2023"/>
        <s v="KHI/HO/D/MO/PD COMP/P/80787/01/2024"/>
        <s v="KHI/HO/D/MO/PD COMP/P/80822/12/2023"/>
        <s v="KHI/HO/D/MO/PD COMP/P/81037/01/2024"/>
        <s v="KHI/HO/D/MO/PD COMP/P/81070/01/2024"/>
        <s v="KHI/HO/D/MO/PD COMP/P/81071/01/2024"/>
        <s v="KHI/HO/D/MO/PD COMP/P/81079/01/2024"/>
        <s v="KHI/HO/D/MO/PD COMP/P/81085/01/2024"/>
        <s v="KHI/HO/D/MO/PD COMP/P/81129/01/2024"/>
        <s v="KHI/HO/D/MO/PD COMP/P/81140/01/2024"/>
        <s v="KHI/HO/D/MO/PD COMP/P/81150/01/2024"/>
        <s v="KHI/HO/D/MO/PD COMP/P/81227/01/2024"/>
        <s v="KHI/HO/D/MO/PD COMP/P/81234/01/2024"/>
        <s v="KHI/HO/D/MO/PD COMP/P/81237/01/2024"/>
        <s v="KHI/HO/D/MO/PD COMP/P/81238/01/2024"/>
        <s v="KHI/HO/D/MO/PD COMP/P/81250/01/2024"/>
        <s v="KHI/HO/D/MO/PD COMP/P/81303/01/2024"/>
        <s v="KHI/HO/D/MO/PD COMP/P/81389/01/2024"/>
        <s v="KHI/HO/D/MO/PD COMP/P/81509/01/2024"/>
        <s v="KHI/HO/D/MO/PD COMP/P/81647/01/2024"/>
        <s v="KHI/HO/D/MO/PD COMP/P/81649/01/2024"/>
        <s v="KHI/HO/D/MO/PD COMP/P/81651/01/2024"/>
        <s v="KHI/HO/D/MO/PD COMP/P/81773/01/2024"/>
        <s v="KHI/HO/D/MO/PD COMP/P/81949/01/2024"/>
        <s v="KHI/HO/D/MO/PD COMP/P/82032/01/2024"/>
        <s v="KHI/HO/D/MO/PD COMP/P/82033/01/2024"/>
        <s v="KHI/HO/D/MO/PD COMP/P/82038/01/2024"/>
        <s v="KHI/HO/D/MO/PD COMP/P/82039/01/2024"/>
        <s v="KHI/HO/D/MO/PD COMP/P/82341/01/2024"/>
        <s v="KHI/HO/D/MO/PD COMP/P/82352/01/2024"/>
        <s v="KHI/HO/D/MO/PD COMP/P/82595/01/2024"/>
        <s v="KHI/HO/D/MO/PD COMP/P/82809/01/2024"/>
        <s v="KHI/HO/D/MO/PD COMP/P/83059/02/2024"/>
        <s v="KHI/HO/D/MO/PD COMP/P/83084/02/2024"/>
        <s v="KHI/HO/D/MO/PD COMP/P/83100/02/2024"/>
        <s v="KHI/HO/D/MO/PD COMP/P/83148/02/2024"/>
        <s v="KHI/HO/D/MO/PD COMP/P/83149/02/2024"/>
        <s v="KHI/HO/D/MO/PD COMP/P/83150/02/2024"/>
        <s v="KHI/HO/D/MO/PD COMP/P/83236/02/2024"/>
        <s v="KHI/HO/D/MO/PD COMP/P/83363/02/2024"/>
        <s v="KHI/HO/D/MO/PD COMP/P/83395/02/2024"/>
        <s v="KHI/HO/D/MO/PD COMP/P/83417/02/2024"/>
        <s v="KHI/HO/D/MO/PD COMP/P/83798/02/2024"/>
        <s v="KHI/HO/D/MO/PD COMP/P/83807/02/2024"/>
        <s v="KHI/HO/D/MO/PD COMP/P/84297/02/2024"/>
        <s v="KHI/HO/D/MO/PD COMP/P/84310/02/2024"/>
        <s v="KHI/HO/D/MO/PD COMP/P/84313/02/2024"/>
        <s v="KHI/HO/D/MO/PD COMP/P/84320/02/2024"/>
        <s v="KHI/HO/D/MO/PD COMP/P/84332/02/2024"/>
        <s v="KHI/HO/D/MO/PD COMP/P/84422/02/2024"/>
        <s v="KHI/HO/D/MO/PD COMP/P/84474/02/2024"/>
        <s v="KHI/HO/D/MO/PD COMP/P/84536/02/2024"/>
        <s v="KHI/HO/D/MO/PD COMP/P/84759/02/2024"/>
        <s v="KHI/HO/D/MO/PD COMP/P/84811/03/2024"/>
        <s v="KHI/HO/D/MO/PD COMP/P/85404/03/2024"/>
        <s v="KHI/HO/D/MO/PD COMP/P/85426/03/2024"/>
        <s v="KHI/HO/D/MO/PD COMP/P/85529/03/2024"/>
        <s v="KHI/HO/D/MO/PD COMP/P/85659/03/2024"/>
        <s v="KHI/HO/D/MO/PD COMP/P/85951/03/2024"/>
        <s v="KHI/HO/D/MO/PD COMP/P/85957/03/2024"/>
        <s v="KHI/HO/D/MO/PD COMP/P/86001/03/2024"/>
        <s v="KHI/HO/D/MO/PD COMP/P/86058/03/2024"/>
        <s v="KHI/HO/D/MO/PD COMP/P/86059/03/2024"/>
        <s v="KHI/HO/D/MO/PD COMP/P/86224/03/2024"/>
        <s v="KHI/HO/D/MO/PD COMP/P/86227/03/2024"/>
        <s v="KHI/HO/D/MO/PD COMP/P/86281/03/2024"/>
        <s v="KHI/HO/D/MO/PD COMP/P/86282/03/2024"/>
        <s v="KHI/HO/D/MO/PD COMP/P/86465/04/2024"/>
        <s v="KHI/HO/D/MO/PD COMP/P/86543/04/2024"/>
        <s v="KHI/HO/D/MO/PD COMP/P/86712/04/2024"/>
        <s v="KHI/HO/D/MO/PD COMP/P/86767/04/2024"/>
        <s v="KHI/HO/D/MO/PD COMP/P/86772/04/2024"/>
        <s v="KHI/HO/D/MO/PD COMP/P/86784/04/2024"/>
        <s v="KHI/HO/D/MO/PD COMP/P/86903/04/2024"/>
        <s v="KHI/HO/D/MO/PD COMP/P/86908/04/2024"/>
        <s v="KHI/HO/D/MO/PD COMP/P/86988/04/2024"/>
        <s v="KHI/HO/D/MO/PD COMP/P/86993/04/2024"/>
        <s v="KHI/HO/D/MO/PD COMP/P/87034/04/2024"/>
        <s v="KHI/HO/D/MO/PD COMP/P/87177/04/2024"/>
        <s v="KHI/HO/D/MO/PD COMP/P/87192/04/2024"/>
        <s v="KHI/HO/D/MO/PD COMP/P/87245/04/2024"/>
        <s v="KHI/HO/D/MO/PD COMP/P/87329/04/2024"/>
        <s v="KHI/HO/D/MO/PD COMP/P/87330/04/2024"/>
        <s v="KHI/HO/D/MO/PD COMP/P/87332/04/2024"/>
        <s v="KHI/HO/D/MO/PD COMP/P/87374/04/2024"/>
        <s v="KHI/HO/D/MO/PD COMP/P/87412/04/2024"/>
        <s v="KHI/HO/D/MO/PD COMP/P/87773/04/2024"/>
        <s v="KHI/HO/D/MO/PD COMP/P/87795/04/2024"/>
        <s v="KHI/HO/D/MO/PD COMP/P/87982/04/2024"/>
        <s v="KHI/HO/D/MO/PD COMP/P/88019/04/2024"/>
        <s v="KHI/HO/D/MO/PD COMP/P/88022/04/2024"/>
        <s v="KHI/HO/D/MO/PD COMP/P/88233/05/2024"/>
        <s v="KHI/HO/D/MO/PD COMP/P/88278/05/2024"/>
        <s v="KHI/HO/D/MO/PD COMP/P/88493/05/2024"/>
        <s v="KHI/HO/D/MO/PD COMP/P/88544/05/2024"/>
        <s v="KHI/HO/D/MO/PD COMP/P/88548/05/2024"/>
        <s v="KHI/HO/D/MO/PD COMP/P/88809/05/2024"/>
        <s v="KHI/HO/D/MO/PD COMP/P/88906/05/2024"/>
        <s v="KHI/HO/D/MO/PD COMP/P/89186/05/2024"/>
        <s v="KHI/HO/D/MO/PD COMP/P/89642/05/2024"/>
        <s v="KHI/HO/D/MO/PD COMP/P/89691/05/2024"/>
        <s v="KHI/HO/D/MO/PD COMP/P/89944/05/2024"/>
        <s v="KHI/HO/D/MO/PD COMP/P/90023/05/2024"/>
        <s v="KHI/HO/D/MO/PD COMP/P/90147/06/2024"/>
        <s v="KHI/HO/D/MO/PD COMP/P/90200/06/2024"/>
        <s v="KHI/HO/D/MO/PD COMP/P/90239/06/2024"/>
        <s v="KHI/HO/D/MO/PD COMP/P/90330/06/2024"/>
        <s v="KHI/HO/D/MO/PD COMP/P/90562/06/2024"/>
        <s v="KHI/HO/D/MO/PD COMP/P/90588/06/2024"/>
        <s v="KHI/HO/D/MO/PD COMP/P/90772/06/2024"/>
        <s v="KHI/HO/D/MO/PD COMP/P/90854/06/2024"/>
        <s v="KHI/HO/D/MO/PD COMP/P/91005/06/2024"/>
        <s v="KHI/HO/D/MO/PD COMP/P/91006/06/2024"/>
        <s v="KHI/HO/D/MO/PD COMP/P/91940/06/2024"/>
        <s v="KHI/HO/D/MO/PD COMP/P/91959/06/2024"/>
        <s v="KHI/HO/D/MO/PD COMP/P/92076/07/2024"/>
        <s v="KHI/HO/D/MO/PD COMP/P/92396/07/2024"/>
        <s v="KHI/HO/D/MO/PD COMP/P/92900/07/2024"/>
        <s v="KHI/HO/D/MO/PD COMP/P/92999/07/2024"/>
        <s v="KHI/HO/D/MO/PD COMP/P/93280/07/2024"/>
        <s v="KHI/HO/D/MO/PD COMP/P/93592/07/2024"/>
        <s v="KHI/HO/D/MO/PD COMP/P/94240/07/2024"/>
        <s v="KHI/HO/D/MO/PD COMP/P/94279/07/2024"/>
        <s v="KHI/HO/D/MO/PD COMP/P/94343/07/2024"/>
        <s v="KHI/HO/D/MO/PD COMP/P/96324/08/2024"/>
        <s v="KHI/HO/D/MO/PD COMP/P/96789/09/2024"/>
        <s v="KHI/HO/D/MO/PD COMP/P/96816/09/2024"/>
        <s v="KHI/HO/D/MO/PD COMP/P/97308/09/2024"/>
        <s v="KHI/HO/D/MO/PD COMP/P/100636/10/2024"/>
      </sharedItems>
    </cacheField>
    <cacheField name="Endorsement" numFmtId="0">
      <sharedItems containsBlank="1" count="1676">
        <s v="KHI/HO/D/MO/PD COMP/E/18327/12/2021"/>
        <s v="KHI/HO/D/MO/PD COMP/E/48693/10/2024"/>
        <s v="KHI/HO/D/MO/PD COMP/E/18537/01/2022"/>
        <s v="KHI/HO/D/MO/PD COMP/E/21803/10/2022"/>
        <s v="KHI/HO/D/MO/PD COMP/E/48694/10/2024"/>
        <s v="KHI/HO/D/MO/PD COMP/E/18227/12/2021"/>
        <s v="KHI/HO/D/MO/PD COMP/E/21801/10/2022"/>
        <s v="KHI/HO/D/MO/PD COMP/E/48695/10/2024"/>
        <s v="KHI/HO/D/MO/PD COMP/E/22006/11/2022"/>
        <s v="KHI/HO/D/MO/PD COMP/E/48793/10/2024"/>
        <s v="KHI/HO/D/MO/PD COMP/E/18671/02/2022"/>
        <s v="KHI/HO/D/MO/PD COMP/E/19615/05/2022"/>
        <s v="KHI/HO/D/MO/PD COMP/E/19649/05/2022"/>
        <s v="KHI/HO/D/MO/PD COMP/E/21806/10/2022"/>
        <s v="KHI/HO/D/MO/PD COMP/E/50450/12/2024"/>
        <s v="KHI/HO/D/MO/PD COMP/E/22012/11/2022"/>
        <s v="KHI/HO/D/MO/PD COMP/E/22239/11/2022"/>
        <s v="KHI/HO/D/MO/PD COMP/E/50451/12/2024"/>
        <s v="KHI/HO/D/MO/PD COMP/E/18762/02/2022"/>
        <s v="KHI/HO/D/MO/PD COMP/E/48696/10/2024"/>
        <s v="KHI/HO/D/MO/PD COMP/E/22027/11/2022"/>
        <s v="KHI/HO/D/MO/PD COMP/E/22227/11/2022"/>
        <s v="KHI/HO/D/MO/PD COMP/E/22541/12/2022"/>
        <s v="KHI/HO/D/MO/PD COMP/E/48697/10/2024"/>
        <m/>
        <s v="KHI/HO/D/MO/PD COMP/E/22226/11/2022"/>
        <s v="KHI/HO/D/MO/PD COMP/E/22607/12/2022"/>
        <s v="KHI/HO/D/MO/PD COMP/E/48698/10/2024"/>
        <s v="KHI/HO/D/MO/PD COMP/E/21805/10/2022"/>
        <s v="KHI/HO/D/MO/PD COMP/E/48700/10/2024"/>
        <s v="KHI/HO/D/MO/PD COMP/E/22651/01/2023"/>
        <s v="KHI/HO/D/MO/PD COMP/E/48701/10/2024"/>
        <s v="KHI/HO/D/MO/PD COMP/E/22261/11/2022"/>
        <s v="KHI/HO/D/MO/PD COMP/E/22399/12/2022"/>
        <s v="KHI/HO/D/MO/PD COMP/E/22778/01/2023"/>
        <s v="KHI/HO/D/MO/PD COMP/E/23073/02/2023"/>
        <s v="KHI/HO/D/MO/PD COMP/E/48703/10/2024"/>
        <s v="KHI/HO/D/MO/PD COMP/E/24332/03/2023"/>
        <s v="KHI/HO/D/MO/PD COMP/E/48704/10/2024"/>
        <s v="KHI/HO/D/MO/PD COMP/E/24359/03/2023"/>
        <s v="KHI/HO/D/MO/PD COMP/E/21795/10/2022"/>
        <s v="KHI/HO/D/MO/PD COMP/E/48794/10/2024"/>
        <s v="KHI/HO/D/MO/PD COMP/E/21792/10/2022"/>
        <s v="KHI/HO/D/MO/PD COMP/E/23322/02/2023"/>
        <s v="KHI/HO/D/MO/PD COMP/E/48706/10/2024"/>
        <s v="KHI/HO/D/MO/PD COMP/E/21796/10/2022"/>
        <s v="KHI/HO/D/MO/PD COMP/E/21787/10/2022"/>
        <s v="KHI/HO/D/MO/PD COMP/E/48709/10/2024"/>
        <s v="KHI/HO/D/MO/PD COMP/E/21786/10/2022"/>
        <s v="KHI/HO/D/MO/PD COMP/E/27010/07/2023"/>
        <s v="KHI/HO/D/MO/PD COMP/E/28184/07/2023"/>
        <s v="KHI/HO/D/MO/PD COMP/E/28186/07/2023"/>
        <s v="KHI/HO/D/MO/PD COMP/E/48710/10/2024"/>
        <s v="KHI/HO/D/MO/PD COMP/E/21807/10/2022"/>
        <s v="KHI/HO/D/MO/PD COMP/E/59206/03/2025"/>
        <s v="KHI/HO/D/MO/PD COMP/E/25678/05/2023"/>
        <s v="KHI/HO/D/MO/PD COMP/E/23543/03/2023"/>
        <s v="KHI/HO/D/MO/PD COMP/E/23895/03/2023"/>
        <s v="KHI/HO/D/MO/PD COMP/E/23974/03/2023"/>
        <s v="KHI/HO/D/MO/PD COMP/E/27460/07/2023"/>
        <s v="KHI/HO/D/MO/PD COMP/E/28755/08/2023"/>
        <s v="KHI/HO/D/MO/PD COMP/E/30471/09/2023"/>
        <s v="KHI/HO/D/MO/PD COMP/E/33102/10/2023"/>
        <s v="KHI/HO/D/MO/PD COMP/E/34228/11/2023"/>
        <s v="KHI/HO/D/MO/PD COMP/E/35192/12/2023"/>
        <s v="KHI/HO/D/MO/PD COMP/E/50452/12/2024"/>
        <s v="KHI/HO/D/MO/PD COMP/E/27467/07/2023"/>
        <s v="KHI/HO/D/MO/PD COMP/E/28916/08/2023"/>
        <s v="KHI/HO/D/MO/PD COMP/E/28964/08/2023"/>
        <s v="KHI/HO/D/MO/PD COMP/E/35349/12/2023"/>
        <s v="KHI/HO/D/MO/PD COMP/E/48714/10/2024"/>
        <s v="KHI/HO/D/MO/PD COMP/E/24941/04/2023"/>
        <s v="KHI/HO/D/MO/PD COMP/E/37109/02/2024"/>
        <s v="KHI/HO/D/MO/PD COMP/E/45017/08/2024"/>
        <s v="KHI/HO/D/MO/PD COMP/E/34876/12/2023"/>
        <s v="KHI/HO/D/MO/PD COMP/E/34877/12/2023"/>
        <s v="KHI/HO/D/MO/PD COMP/E/34878/12/2023"/>
        <s v="KHI/HO/D/MO/PD COMP/E/34879/12/2023"/>
        <s v="KHI/HO/D/MO/PD COMP/E/34880/12/2023"/>
        <s v="KHI/HO/D/MO/PD COMP/E/35888/01/2024"/>
        <s v="KHI/HO/D/MO/PD COMP/E/50453/12/2024"/>
        <s v="KHI/HO/D/MO/PD COMP/E/35874/01/2024"/>
        <s v="KHI/HO/D/MO/PD COMP/E/24822/04/2023"/>
        <s v="KHI/HO/D/MO/PD COMP/E/34284/11/2023"/>
        <s v="KHI/HO/D/MO/PD COMP/E/35156/12/2023"/>
        <s v="KHI/HO/D/MO/PD COMP/E/36259/01/2024"/>
        <s v="KHI/HO/D/MO/PD COMP/E/40840/04/2024"/>
        <s v="KHI/HO/D/MO/PD COMP/E/37420/02/2024"/>
        <s v="KHI/HO/D/MO/PD COMP/E/50454/12/2024"/>
        <s v="KHI/HO/D/MO/PD COMP/E/38388/03/2024"/>
        <s v="KHI/HO/D/MO/PD COMP/E/50455/12/2024"/>
        <s v="KHI/HO/D/MO/PD COMP/E/35243/12/2023"/>
        <s v="KHI/HO/D/MO/PD COMP/E/36532/01/2024"/>
        <s v="KHI/HO/D/MO/PD COMP/E/36533/01/2024"/>
        <s v="KHI/HO/D/MO/PD COMP/E/36534/01/2024"/>
        <s v="KHI/HO/D/MO/PD COMP/E/36535/01/2024"/>
        <s v="KHI/HO/D/MO/PD COMP/E/40843/04/2024"/>
        <s v="KHI/HO/D/MO/PD COMP/E/35836/01/2024"/>
        <s v="KHI/HO/D/MO/PD COMP/E/36735/01/2024"/>
        <s v="KHI/HO/D/MO/PD COMP/E/50456/12/2024"/>
        <s v="KHI/HO/D/MO/PD COMP/E/35283/12/2023"/>
        <s v="KHI/HO/D/MO/PD COMP/E/36361/01/2024"/>
        <s v="KHI/HO/D/MO/PD COMP/E/40842/04/2024"/>
        <s v="KHI/HO/D/MO/PD COMP/E/29245/08/2023"/>
        <s v="KHI/HO/D/MO/PD COMP/E/35521/12/2023"/>
        <s v="KHI/HO/D/MO/PD COMP/E/48715/10/2024"/>
        <s v="KHI/HO/D/MO/PD COMP/E/34565/11/2023"/>
        <s v="KHI/HO/D/MO/PD COMP/E/35490/12/2023"/>
        <s v="KHI/HO/D/MO/PD COMP/E/40844/04/2024"/>
        <s v="KHI/HO/D/MO/PD COMP/E/26301/06/2023"/>
        <s v="KHI/HO/D/MO/PD COMP/E/35050/12/2023"/>
        <s v="KHI/HO/D/MO/PD COMP/E/35051/12/2023"/>
        <s v="KHI/HO/D/MO/PD COMP/E/36131/01/2024"/>
        <s v="KHI/HO/D/MO/PD COMP/E/36948/02/2024"/>
        <s v="KHI/HO/D/MO/PD COMP/E/48716/10/2024"/>
        <s v="KHI/HO/D/MO/PD COMP/E/36266/01/2024"/>
        <s v="KHI/HO/D/MO/PD COMP/E/37085/02/2024"/>
        <s v="KHI/HO/D/MO/PD COMP/E/40846/04/2024"/>
        <s v="KHI/HO/D/MO/PD COMP/E/27475/07/2023"/>
        <s v="KHI/HO/D/MO/PD COMP/E/34384/11/2023"/>
        <s v="KHI/HO/D/MO/PD COMP/E/26458/06/2023"/>
        <s v="KHI/HO/D/MO/PD COMP/E/25160/05/2023"/>
        <s v="KHI/HO/D/MO/PD COMP/E/25417/05/2023"/>
        <s v="KHI/HO/D/MO/PD COMP/E/32606/10/2023"/>
        <s v="KHI/HO/D/MO/PD COMP/E/48720/10/2024"/>
        <s v="KHI/HO/D/MO/PD COMP/E/38538/04/2024"/>
        <s v="KHI/HO/D/MO/PD COMP/E/50457/12/2024"/>
        <s v="KHI/HO/D/MO/PD COMP/E/40483/04/2024"/>
        <s v="KHI/HO/D/MO/PD COMP/E/40484/04/2024"/>
        <s v="KHI/HO/D/MO/PD COMP/E/48722/10/2024"/>
        <s v="KHI/HO/D/MO/PD COMP/E/38539/04/2024"/>
        <s v="KHI/HO/D/MO/PD COMP/E/50458/12/2024"/>
        <s v="KHI/HO/D/MO/PD COMP/E/40545/04/2024"/>
        <s v="KHI/HO/D/MO/PD COMP/E/40546/04/2024"/>
        <s v="KHI/HO/D/MO/PD COMP/E/50459/12/2024"/>
        <s v="KHI/HO/D/MO/PD COMP/E/40548/04/2024"/>
        <s v="KHI/HO/D/MO/PD COMP/E/40549/04/2024"/>
        <s v="KHI/HO/D/MO/PD COMP/E/59220/03/2025"/>
        <s v="KHI/HO/D/MO/PD COMP/E/40627/04/2024"/>
        <s v="KHI/HO/D/MO/PD COMP/E/50460/12/2024"/>
        <s v="KHI/HO/D/MO/PD COMP/E/25062/04/2023"/>
        <s v="KHI/HO/D/MO/PD COMP/E/33927/10/2023"/>
        <s v="KHI/HO/D/MO/PD COMP/E/40763/04/2024"/>
        <s v="KHI/HO/D/MO/PD COMP/E/34390/11/2023"/>
        <s v="KHI/HO/D/MO/PD COMP/E/35292/12/2023"/>
        <s v="KHI/HO/D/MO/PD COMP/E/48830/10/2024"/>
        <s v="KHI/HO/D/MO/PD COMP/E/40883/04/2024"/>
        <s v="KHI/HO/D/MO/PD COMP/E/48723/10/2024"/>
        <s v="KHI/HO/D/MO/PD COMP/E/25853/05/2023"/>
        <s v="KHI/HO/D/MO/PD COMP/E/38368/03/2024"/>
        <s v="KHI/HO/D/MO/PD COMP/E/41088/04/2024"/>
        <s v="KHI/HO/D/MO/PD COMP/E/48724/10/2024"/>
        <s v="KHI/HO/D/MO/PD COMP/E/26224/06/2023"/>
        <s v="KHI/HO/D/MO/PD COMP/E/27061/07/2023"/>
        <s v="KHI/HO/D/MO/PD COMP/E/28394/08/2023"/>
        <s v="KHI/HO/D/MO/PD COMP/E/37673/03/2024"/>
        <s v="KHI/HO/D/MO/PD COMP/E/38574/04/2024"/>
        <s v="KHI/HO/D/MO/PD COMP/E/48726/10/2024"/>
        <s v="KHI/HO/D/MO/PD COMP/E/35354/12/2023"/>
        <s v="KHI/HO/D/MO/PD COMP/E/36459/01/2024"/>
        <s v="KHI/HO/D/MO/PD COMP/E/37284/02/2024"/>
        <s v="KHI/HO/D/MO/PD COMP/E/38227/03/2024"/>
        <s v="KHI/HO/D/MO/PD COMP/E/40855/04/2024"/>
        <s v="KHI/HO/D/MO/PD COMP/E/34122/11/2023"/>
        <s v="KHI/HO/D/MO/PD COMP/E/35012/12/2023"/>
        <s v="KHI/HO/D/MO/PD COMP/E/35992/01/2024"/>
        <s v="KHI/HO/D/MO/PD COMP/E/36883/02/2024"/>
        <s v="KHI/HO/D/MO/PD COMP/E/37742/03/2024"/>
        <s v="KHI/HO/D/MO/PD COMP/E/48727/10/2024"/>
        <s v="KHI/HO/D/MO/PD COMP/E/30360/09/2023"/>
        <s v="KHI/HO/D/MO/PD COMP/E/41582/05/2024"/>
        <s v="KHI/HO/D/MO/PD COMP/E/50461/12/2024"/>
        <s v="KHI/HO/D/MO/PD COMP/E/40765/04/2024"/>
        <s v="KHI/HO/D/MO/PD COMP/E/41714/05/2024"/>
        <s v="KHI/HO/D/MO/PD COMP/E/50462/12/2024"/>
        <s v="KHI/HO/D/MO/PD COMP/E/38295/03/2024"/>
        <s v="KHI/HO/D/MO/PD COMP/E/41011/04/2024"/>
        <s v="KHI/HO/D/MO/PD COMP/E/41932/05/2024"/>
        <s v="KHI/HO/D/MO/PD COMP/E/59211/03/2025"/>
        <s v="KHI/HO/D/MO/PD COMP/E/26026/05/2023"/>
        <s v="KHI/HO/D/MO/PD COMP/E/41012/04/2024"/>
        <s v="KHI/HO/D/MO/PD COMP/E/41933/05/2024"/>
        <s v="KHI/HO/D/MO/PD COMP/E/50463/12/2024"/>
        <s v="KHI/HO/D/MO/PD COMP/E/26031/05/2023"/>
        <s v="KHI/HO/D/MO/PD COMP/E/26906/07/2023"/>
        <s v="KHI/HO/D/MO/PD COMP/E/28117/07/2023"/>
        <s v="KHI/HO/D/MO/PD COMP/E/35697/12/2023"/>
        <s v="KHI/HO/D/MO/PD COMP/E/50464/12/2024"/>
        <s v="KHI/HO/D/MO/PD COMP/E/35493/12/2023"/>
        <s v="KHI/HO/D/MO/PD COMP/E/41190/04/2024"/>
        <s v="KHI/HO/D/MO/PD COMP/E/48836/10/2024"/>
        <s v="KHI/HO/D/MO/PD COMP/E/41091/04/2024"/>
        <s v="KHI/HO/D/MO/PD COMP/E/48835/10/2024"/>
        <s v="KHI/HO/D/MO/PD COMP/E/41191/04/2024"/>
        <s v="KHI/HO/D/MO/PD COMP/E/48729/10/2024"/>
        <s v="KHI/HO/D/MO/PD COMP/E/38482/04/2024"/>
        <s v="KHI/HO/D/MO/PD COMP/E/41192/04/2024"/>
        <s v="KHI/HO/D/MO/PD COMP/E/42137/05/2024"/>
        <s v="KHI/HO/D/MO/PD COMP/E/59232/03/2025"/>
        <s v="KHI/HO/D/MO/PD COMP/E/38483/04/2024"/>
        <s v="KHI/HO/D/MO/PD COMP/E/38484/04/2024"/>
        <s v="KHI/HO/D/MO/PD COMP/E/41193/04/2024"/>
        <s v="KHI/HO/D/MO/PD COMP/E/42138/05/2024"/>
        <s v="KHI/HO/D/MO/PD COMP/E/48730/10/2024"/>
        <s v="KHI/HO/D/MO/PD COMP/E/41194/04/2024"/>
        <s v="KHI/HO/D/MO/PD COMP/E/48795/10/2024"/>
        <s v="KHI/HO/D/MO/PD COMP/E/42178/06/2024"/>
        <s v="KHI/HO/D/MO/PD COMP/E/50465/12/2024"/>
        <s v="KHI/HO/D/MO/PD COMP/E/42179/06/2024"/>
        <s v="KHI/HO/D/MO/PD COMP/E/50466/12/2024"/>
        <s v="KHI/HO/D/MO/PD COMP/E/36885/02/2024"/>
        <s v="KHI/HO/D/MO/PD COMP/E/40808/04/2024"/>
        <s v="KHI/HO/D/MO/PD COMP/E/40554/04/2024"/>
        <s v="KHI/HO/D/MO/PD COMP/E/48732/10/2024"/>
        <s v="KHI/HO/D/MO/PD COMP/E/42376/06/2024"/>
        <s v="KHI/HO/D/MO/PD COMP/E/48733/10/2024"/>
        <s v="KHI/HO/D/MO/PD COMP/E/37841/03/2024"/>
        <s v="KHI/HO/D/MO/PD COMP/E/50467/12/2024"/>
        <s v="KHI/HO/D/MO/PD COMP/E/40559/04/2024"/>
        <s v="KHI/HO/D/MO/PD COMP/E/48734/10/2024"/>
        <s v="KHI/HO/D/MO/PD COMP/E/27952/07/2023"/>
        <s v="KHI/HO/D/MO/PD COMP/E/28566/08/2023"/>
        <s v="KHI/HO/D/MO/PD COMP/E/30344/09/2023"/>
        <s v="KHI/HO/D/MO/PD COMP/E/32975/10/2023"/>
        <s v="KHI/HO/D/MO/PD COMP/E/34190/11/2023"/>
        <s v="KHI/HO/D/MO/PD COMP/E/35018/12/2023"/>
        <s v="KHI/HO/D/MO/PD COMP/E/36076/01/2024"/>
        <s v="KHI/HO/D/MO/PD COMP/E/36956/02/2024"/>
        <s v="KHI/HO/D/MO/PD COMP/E/37844/03/2024"/>
        <s v="KHI/HO/D/MO/PD COMP/E/40560/04/2024"/>
        <s v="KHI/HO/D/MO/PD COMP/E/41443/05/2024"/>
        <s v="KHI/HO/D/MO/PD COMP/E/42416/06/2024"/>
        <s v="KHI/HO/D/MO/PD COMP/E/48735/10/2024"/>
        <s v="KHI/HO/D/MO/PD COMP/E/40562/04/2024"/>
        <s v="KHI/HO/D/MO/PD COMP/E/41446/05/2024"/>
        <s v="KHI/HO/D/MO/PD COMP/E/50468/12/2024"/>
        <s v="KHI/HO/D/MO/PD COMP/E/42421/06/2024"/>
        <s v="KHI/HO/D/MO/PD COMP/E/59209/03/2025"/>
        <s v="KHI/HO/D/MO/PD COMP/E/37999/03/2024"/>
        <s v="KHI/HO/D/MO/PD COMP/E/40635/04/2024"/>
        <s v="KHI/HO/D/MO/PD COMP/E/41631/05/2024"/>
        <s v="KHI/HO/D/MO/PD COMP/E/42630/06/2024"/>
        <s v="KHI/HO/D/MO/PD COMP/E/48737/10/2024"/>
        <s v="KHI/HO/D/MO/PD COMP/E/40563/04/2024"/>
        <s v="KHI/HO/D/MO/PD COMP/E/41449/05/2024"/>
        <s v="KHI/HO/D/MO/PD COMP/E/42422/06/2024"/>
        <s v="KHI/HO/D/MO/PD COMP/E/50469/12/2024"/>
        <s v="KHI/HO/D/MO/PD COMP/E/42686/06/2024"/>
        <s v="KHI/HO/D/MO/PD COMP/E/59203/03/2025"/>
        <s v="KHI/HO/D/MO/PD COMP/E/40944/04/2024"/>
        <s v="KHI/HO/D/MO/PD COMP/E/38039/03/2024"/>
        <s v="KHI/HO/D/MO/PD COMP/E/40767/04/2024"/>
        <s v="KHI/HO/D/MO/PD COMP/E/41716/05/2024"/>
        <s v="KHI/HO/D/MO/PD COMP/E/40862/04/2024"/>
        <s v="KHI/HO/D/MO/PD COMP/E/41748/05/2024"/>
        <s v="KHI/HO/D/MO/PD COMP/E/42689/06/2024"/>
        <s v="KHI/HO/D/MO/PD COMP/E/48738/10/2024"/>
        <s v="KHI/HO/D/MO/PD COMP/E/40985/04/2024"/>
        <s v="KHI/HO/D/MO/PD COMP/E/41901/05/2024"/>
        <s v="KHI/HO/D/MO/PD COMP/E/42837/06/2024"/>
        <s v="KHI/HO/D/MO/PD COMP/E/50470/12/2024"/>
        <s v="KHI/HO/D/MO/PD COMP/E/41111/04/2024"/>
        <s v="KHI/HO/D/MO/PD COMP/E/41979/05/2024"/>
        <s v="KHI/HO/D/MO/PD COMP/E/42964/06/2024"/>
        <s v="KHI/HO/D/MO/PD COMP/E/50471/12/2024"/>
        <s v="KHI/HO/D/MO/PD COMP/E/38118/03/2024"/>
        <s v="KHI/HO/D/MO/PD COMP/E/40909/04/2024"/>
        <s v="KHI/HO/D/MO/PD COMP/E/41805/05/2024"/>
        <s v="KHI/HO/D/MO/PD COMP/E/50472/12/2024"/>
        <s v="KHI/HO/D/MO/PD COMP/E/40986/04/2024"/>
        <s v="KHI/HO/D/MO/PD COMP/E/41902/05/2024"/>
        <s v="KHI/HO/D/MO/PD COMP/E/42838/06/2024"/>
        <s v="KHI/HO/D/MO/PD COMP/E/48739/10/2024"/>
        <s v="KHI/HO/D/MO/PD COMP/E/42840/06/2024"/>
        <s v="KHI/HO/D/MO/PD COMP/E/48740/10/2024"/>
        <s v="KHI/HO/D/MO/PD COMP/E/42937/06/2024"/>
        <s v="KHI/HO/D/MO/PD COMP/E/28034/07/2023"/>
        <s v="KHI/HO/D/MO/PD COMP/E/29183/08/2023"/>
        <s v="KHI/HO/D/MO/PD COMP/E/30850/09/2023"/>
        <s v="KHI/HO/D/MO/PD COMP/E/33616/10/2023"/>
        <s v="KHI/HO/D/MO/PD COMP/E/34616/11/2023"/>
        <s v="KHI/HO/D/MO/PD COMP/E/35498/12/2023"/>
        <s v="KHI/HO/D/MO/PD COMP/E/36587/01/2024"/>
        <s v="KHI/HO/D/MO/PD COMP/E/37434/02/2024"/>
        <s v="KHI/HO/D/MO/PD COMP/E/38372/03/2024"/>
        <s v="KHI/HO/D/MO/PD COMP/E/41093/04/2024"/>
        <s v="KHI/HO/D/MO/PD COMP/E/41981/05/2024"/>
        <s v="KHI/HO/D/MO/PD COMP/E/42938/06/2024"/>
        <s v="KHI/HO/D/MO/PD COMP/E/48741/10/2024"/>
        <s v="LHR/LHR/D/MO/PD COMP/E/41195/04/2024"/>
        <s v="LHR/LHR/D/MO/PD COMP/E/42139/05/2024"/>
        <s v="LHR/LHR/D/MO/PD COMP/E/43075/07/2024"/>
        <s v="LHR/LHR/D/MO/PD COMP/E/48742/10/2024"/>
        <s v="KHI/HO/D/MO/PD COMP/E/28035/07/2023"/>
        <s v="KHI/HO/D/MO/PD COMP/E/29184/08/2023"/>
        <s v="KHI/HO/D/MO/PD COMP/E/30851/09/2023"/>
        <s v="KHI/HO/D/MO/PD COMP/E/33617/10/2023"/>
        <s v="KHI/HO/D/MO/PD COMP/E/34618/11/2023"/>
        <s v="KHI/HO/D/MO/PD COMP/E/35499/12/2023"/>
        <s v="KHI/HO/D/MO/PD COMP/E/48743/10/2024"/>
        <s v="KHI/HO/D/MO/PD COMP/E/28255/07/2023"/>
        <s v="KHI/HO/D/MO/PD COMP/E/37436/02/2024"/>
        <s v="KHI/HO/D/MO/PD COMP/E/40814/04/2024"/>
        <s v="KHI/HO/D/MO/PD COMP/E/48744/10/2024"/>
        <s v="KHI/HO/D/MO/PD COMP/E/28258/07/2023"/>
        <s v="KHI/HO/D/MO/PD COMP/E/35330/12/2023"/>
        <s v="KHI/HO/D/MO/PD COMP/E/35881/01/2024"/>
        <s v="KHI/HO/D/MO/PD COMP/E/48745/10/2024"/>
        <s v="KHI/HO/D/MO/PD COMP/E/28257/07/2023"/>
        <s v="KHI/HO/D/MO/PD COMP/E/40513/04/2024"/>
        <s v="KHI/HO/D/MO/PD COMP/E/41450/05/2024"/>
        <s v="KHI/HO/D/MO/PD COMP/E/42312/06/2024"/>
        <s v="KHI/HO/D/MO/PD COMP/E/43350/07/2024"/>
        <s v="KHI/HO/D/MO/PD COMP/E/48746/10/2024"/>
        <s v="KHI/HO/D/MO/PD COMP/E/28260/07/2023"/>
        <s v="KHI/HO/D/MO/PD COMP/E/43443/07/2024"/>
        <s v="KHI/HO/D/MO/PD COMP/E/48747/10/2024"/>
        <s v="KHI/HO/D/MO/PD COMP/E/28264/07/2023"/>
        <s v="KHI/HO/D/MO/PD COMP/E/43746/07/2024"/>
        <s v="KHI/HO/D/MO/PD COMP/E/50473/12/2024"/>
        <s v="KHI/HO/D/MO/PD COMP/E/28267/07/2023"/>
        <s v="KHI/HO/D/MO/PD COMP/E/38084/03/2024"/>
        <s v="KHI/HO/D/MO/PD COMP/E/40884/04/2024"/>
        <s v="KHI/HO/D/MO/PD COMP/E/41768/05/2024"/>
        <s v="KHI/HO/D/MO/PD COMP/E/42691/06/2024"/>
        <s v="KHI/HO/D/MO/PD COMP/E/43953/07/2024"/>
        <s v="KHI/HO/D/MO/PD COMP/E/50474/12/2024"/>
        <s v="KHI/HO/D/MO/PD COMP/E/28272/07/2023"/>
        <s v="KHI/HO/D/MO/PD COMP/E/33545/10/2023"/>
        <s v="KHI/HO/D/MO/PD COMP/E/36228/01/2024"/>
        <s v="KHI/HO/D/MO/PD COMP/E/37063/02/2024"/>
        <s v="KHI/HO/D/MO/PD COMP/E/37926/03/2024"/>
        <s v="KHI/HO/D/MO/PD COMP/E/40644/04/2024"/>
        <s v="KHI/HO/D/MO/PD COMP/E/41586/05/2024"/>
        <s v="KHI/HO/D/MO/PD COMP/E/42527/06/2024"/>
        <s v="KHI/HO/D/MO/PD COMP/E/43748/07/2024"/>
        <s v="KHI/HO/D/MO/PD COMP/E/48748/10/2024"/>
        <s v="KHI/HO/D/MO/PD COMP/E/28274/07/2023"/>
        <s v="KHI/HO/D/MO/PD COMP/E/41807/05/2024"/>
        <s v="KHI/HO/D/MO/PD COMP/E/42788/06/2024"/>
        <s v="KHI/HO/D/MO/PD COMP/E/44007/07/2024"/>
        <s v="KHI/HO/D/MO/PD COMP/E/50475/12/2024"/>
        <s v="KHI/HO/D/MO/PD COMP/E/28277/07/2023"/>
        <s v="KHI/HO/D/MO/PD COMP/E/38305/03/2024"/>
        <s v="KHI/HO/D/MO/PD COMP/E/41032/04/2024"/>
        <s v="KHI/HO/D/MO/PD COMP/E/41949/05/2024"/>
        <s v="KHI/HO/D/MO/PD COMP/E/42896/06/2024"/>
        <s v="KHI/HO/D/MO/PD COMP/E/44152/07/2024"/>
        <s v="KHI/HO/D/MO/PD COMP/E/50476/12/2024"/>
        <s v="KHI/HO/D/MO/PD COMP/E/28278/07/2023"/>
        <s v="KHI/HO/D/MO/PD COMP/E/48749/10/2024"/>
        <s v="KHI/HO/D/MO/PD COMP/E/28280/07/2023"/>
        <s v="KHI/HO/D/MO/PD COMP/E/35428/12/2023"/>
        <s v="KHI/HO/D/MO/PD COMP/E/38279/03/2024"/>
        <s v="KHI/HO/D/MO/PD COMP/E/40989/04/2024"/>
        <s v="KHI/HO/D/MO/PD COMP/E/41905/05/2024"/>
        <s v="KHI/HO/D/MO/PD COMP/E/42842/06/2024"/>
        <s v="KHI/HO/D/MO/PD COMP/E/44010/07/2024"/>
        <s v="KHI/HO/D/MO/PD COMP/E/50477/12/2024"/>
        <s v="KHI/HO/D/MO/PD COMP/E/28279/07/2023"/>
        <s v="KHI/HO/D/MO/PD COMP/E/34471/11/2023"/>
        <s v="KHI/HO/D/MO/PD COMP/E/48750/10/2024"/>
        <s v="KHI/HO/D/MO/PD COMP/E/28282/07/2023"/>
        <s v="KHI/HO/D/MO/PD COMP/E/42967/06/2024"/>
        <s v="KHI/HO/D/MO/PD COMP/E/44235/07/2024"/>
        <s v="KHI/HO/D/MO/PD COMP/E/50478/12/2024"/>
        <s v="KHI/HO/D/MO/PD COMP/E/28284/07/2023"/>
        <s v="KHI/HO/D/MO/PD COMP/E/35811/12/2023"/>
        <s v="KHI/HO/D/MO/PD COMP/E/36719/01/2024"/>
        <s v="KHI/HO/D/MO/PD COMP/E/37616/03/2024"/>
        <s v="KHI/HO/D/MO/PD COMP/E/38490/04/2024"/>
        <s v="KHI/HO/D/MO/PD COMP/E/41196/04/2024"/>
        <s v="KHI/HO/D/MO/PD COMP/E/44309/07/2024"/>
        <s v="KHI/HO/D/MO/PD COMP/E/50479/12/2024"/>
        <s v="KHI/HO/D/MO/PD COMP/E/29841/08/2023"/>
        <s v="KHI/HO/D/MO/PD COMP/E/48751/10/2024"/>
        <s v="KHI/HO/D/MO/PD COMP/E/29842/08/2023"/>
        <s v="KHI/HO/D/MO/PD COMP/E/36085/01/2024"/>
        <s v="KHI/HO/D/MO/PD COMP/E/37822/03/2024"/>
        <s v="KHI/HO/D/MO/PD COMP/E/40566/04/2024"/>
        <s v="KHI/HO/D/MO/PD COMP/E/40816/04/2024"/>
        <s v="KHI/HO/D/MO/PD COMP/E/48752/10/2024"/>
        <s v="KHI/HO/D/MO/PD COMP/E/29845/08/2023"/>
        <s v="KHI/HO/D/MO/PD COMP/E/48753/10/2024"/>
        <s v="KHI/HO/D/MO/PD COMP/E/29846/08/2023"/>
        <s v="KHI/HO/D/MO/PD COMP/E/36929/02/2024"/>
        <s v="KHI/HO/D/MO/PD COMP/E/37823/03/2024"/>
        <s v="KHI/HO/D/MO/PD COMP/E/40567/04/2024"/>
        <s v="KHI/HO/D/MO/PD COMP/E/40818/04/2024"/>
        <s v="KHI/HO/D/MO/PD COMP/E/48754/10/2024"/>
        <s v="KHI/HO/D/MO/PD COMP/E/29848/08/2023"/>
        <s v="KHI/HO/D/MO/PD COMP/E/48755/10/2024"/>
        <s v="KHI/HO/D/MO/PD COMP/E/29851/08/2023"/>
        <s v="KHI/HO/D/MO/PD COMP/E/43528/07/2024"/>
        <s v="KHI/HO/D/MO/PD COMP/E/44650/08/2024"/>
        <s v="KHI/HO/D/MO/PD COMP/E/48833/10/2024"/>
        <s v="KHI/HO/D/MO/PD COMP/E/29852/08/2023"/>
        <s v="KHI/HO/D/MO/PD COMP/E/40648/04/2024"/>
        <s v="KHI/HO/D/MO/PD COMP/E/41588/05/2024"/>
        <s v="KHI/HO/D/MO/PD COMP/E/43749/07/2024"/>
        <s v="KHI/HO/D/MO/PD COMP/E/48756/10/2024"/>
        <s v="KHI/HO/D/MO/PD COMP/E/29854/08/2023"/>
        <s v="KHI/HO/D/MO/PD COMP/E/40649/04/2024"/>
        <s v="KHI/HO/D/MO/PD COMP/E/41589/05/2024"/>
        <s v="KHI/HO/D/MO/PD COMP/E/42528/06/2024"/>
        <s v="KHI/HO/D/MO/PD COMP/E/43750/07/2024"/>
        <s v="KHI/HO/D/MO/PD COMP/E/44651/08/2024"/>
        <s v="KHI/HO/D/MO/PD COMP/E/48757/10/2024"/>
        <s v="KHI/HO/D/MO/PD COMP/E/29853/08/2023"/>
        <s v="KHI/HO/D/MO/PD COMP/E/48758/10/2024"/>
        <s v="KHI/HO/D/MO/PD COMP/E/29856/08/2023"/>
        <s v="KHI/HO/D/MO/PD COMP/E/41769/05/2024"/>
        <s v="KHI/HO/D/MO/PD COMP/E/42693/06/2024"/>
        <s v="KHI/HO/D/MO/PD COMP/E/44014/07/2024"/>
        <s v="KHI/HO/D/MO/PD COMP/E/44844/08/2024"/>
        <s v="KHI/HO/D/MO/PD COMP/E/48759/10/2024"/>
        <s v="KHI/HO/D/MO/PD COMP/E/29857/08/2023"/>
        <s v="KHI/HO/D/MO/PD COMP/E/42790/06/2024"/>
        <s v="KHI/HO/D/MO/PD COMP/E/44102/07/2024"/>
        <s v="KHI/HO/D/MO/PD COMP/E/44934/08/2024"/>
        <s v="KHI/HO/D/MO/PD COMP/E/48760/10/2024"/>
        <s v="KHI/HO/D/MO/PD COMP/E/29858/08/2023"/>
        <s v="KHI/HO/D/MO/PD COMP/E/37824/03/2024"/>
        <s v="KHI/HO/D/MO/PD COMP/E/40568/04/2024"/>
        <s v="KHI/HO/D/MO/PD COMP/E/41456/05/2024"/>
        <s v="KHI/HO/D/MO/PD COMP/E/42378/06/2024"/>
        <s v="KHI/HO/D/MO/PD COMP/E/43445/07/2024"/>
        <s v="KHI/HO/D/MO/PD COMP/E/44538/08/2024"/>
        <s v="KHI/HO/D/MO/PD COMP/E/48761/10/2024"/>
        <s v="KHI/HO/D/MO/PD COMP/E/29862/08/2023"/>
        <s v="KHI/HO/D/MO/PD COMP/E/43047/06/2024"/>
        <s v="KHI/HO/D/MO/PD COMP/E/44237/07/2024"/>
        <s v="KHI/HO/D/MO/PD COMP/E/45252/08/2024"/>
        <s v="KHI/HO/D/MO/PD COMP/E/48762/10/2024"/>
        <s v="KHI/HO/D/MO/PD COMP/E/29867/08/2023"/>
        <s v="KHI/HO/D/MO/PD COMP/E/35812/12/2023"/>
        <s v="KHI/HO/D/MO/PD COMP/E/43077/07/2024"/>
        <s v="KHI/HO/D/MO/PD COMP/E/50480/12/2024"/>
        <s v="KHI/HO/D/MO/PD COMP/E/30905/09/2023"/>
        <s v="KHI/HO/D/MO/PD COMP/E/44190/07/2024"/>
        <s v="KHI/HO/D/MO/PD COMP/E/48763/10/2024"/>
        <s v="KHI/HO/D/MO/PD COMP/E/30909/09/2023"/>
        <s v="KHI/HO/D/MO/PD COMP/E/48764/10/2024"/>
        <s v="KHI/HO/D/MO/PD COMP/E/30907/09/2023"/>
        <s v="KHI/HO/D/MO/PD COMP/E/35863/01/2024"/>
        <s v="KHI/HO/D/MO/PD COMP/E/36774/02/2024"/>
        <s v="KHI/HO/D/MO/PD COMP/E/37620/03/2024"/>
        <s v="KHI/HO/D/MO/PD COMP/E/38495/04/2024"/>
        <s v="KHI/HO/D/MO/PD COMP/E/40822/04/2024"/>
        <s v="KHI/HO/D/MO/PD COMP/E/48766/10/2024"/>
        <s v="KHI/HO/D/MO/PD COMP/E/40611/04/2024"/>
        <s v="KHI/HO/D/MO/PD COMP/E/41461/05/2024"/>
        <s v="KHI/HO/D/MO/PD COMP/E/42428/06/2024"/>
        <s v="KHI/HO/D/MO/PD COMP/E/43529/07/2024"/>
        <s v="KHI/HO/D/MO/PD COMP/E/45857/09/2024"/>
        <s v="KHI/HO/D/MO/PD COMP/E/50386/12/2024"/>
        <s v="KHI/HO/D/MO/PD COMP/E/30911/09/2023"/>
        <s v="KHI/HO/D/MO/PD COMP/E/35864/01/2024"/>
        <s v="KHI/HO/D/MO/PD COMP/E/37621/03/2024"/>
        <s v="KHI/HO/D/MO/PD COMP/E/38496/04/2024"/>
        <s v="KHI/HO/D/MO/PD COMP/E/40821/04/2024"/>
        <s v="KHI/HO/D/MO/PD COMP/E/48767/10/2024"/>
        <s v="KHI/HO/D/MO/PD COMP/E/30914/09/2023"/>
        <s v="KHI/HO/D/MO/PD COMP/E/45820/09/2024"/>
        <s v="KHI/HO/D/MO/PD COMP/E/48768/10/2024"/>
        <s v="KHI/HO/D/MO/PD COMP/E/30913/09/2023"/>
        <s v="KHI/HO/D/MO/PD COMP/E/41230/05/2024"/>
        <s v="KHI/HO/D/MO/PD COMP/E/42184/06/2024"/>
        <s v="KHI/HO/D/MO/PD COMP/E/43133/07/2024"/>
        <s v="KHI/HO/D/MO/PD COMP/E/44344/08/2024"/>
        <s v="KHI/HO/D/MO/PD COMP/E/45591/09/2024"/>
        <s v="KHI/HO/D/MO/PD COMP/E/48769/10/2024"/>
        <s v="KHI/HO/D/MO/PD COMP/E/30920/09/2023"/>
        <s v="KHI/HO/D/MO/PD COMP/E/41590/05/2024"/>
        <s v="KHI/HO/D/MO/PD COMP/E/42486/06/2024"/>
        <s v="KHI/HO/D/MO/PD COMP/E/43751/07/2024"/>
        <s v="KHI/HO/D/MO/PD COMP/E/44652/08/2024"/>
        <s v="KHI/HO/D/MO/PD COMP/E/45884/09/2024"/>
        <s v="KHI/HO/D/MO/PD COMP/E/48770/10/2024"/>
        <s v="KHI/HO/D/MO/PD COMP/E/45885/09/2024"/>
        <s v="KHI/HO/D/MO/PD COMP/E/30923/09/2023"/>
        <s v="KHI/HO/D/MO/PD COMP/E/45975/09/2024"/>
        <s v="KHI/HO/D/MO/PD COMP/E/48771/10/2024"/>
        <s v="KHI/HO/D/MO/PD COMP/E/30925/09/2023"/>
        <s v="KHI/HO/D/MO/PD COMP/E/40652/04/2024"/>
        <s v="KHI/HO/D/MO/PD COMP/E/42529/06/2024"/>
        <s v="KHI/HO/D/MO/PD COMP/E/43754/07/2024"/>
        <s v="KHI/HO/D/MO/PD COMP/E/44655/08/2024"/>
        <s v="KHI/HO/D/MO/PD COMP/E/45931/09/2024"/>
        <s v="KHI/HO/D/MO/PD COMP/E/50481/12/2024"/>
        <s v="KHI/HO/D/MO/PD COMP/E/30926/09/2023"/>
        <s v="KHI/HO/D/MO/PD COMP/E/34317/11/2023"/>
        <s v="KHI/HO/D/MO/PD COMP/E/43865/07/2024"/>
        <s v="KHI/HO/D/MO/PD COMP/E/44760/08/2024"/>
        <s v="KHI/HO/D/MO/PD COMP/E/45986/09/2024"/>
        <s v="KHI/HO/D/MO/PD COMP/E/48772/10/2024"/>
        <s v="KHI/HO/D/MO/PD COMP/E/30928/09/2023"/>
        <s v="KHI/HO/D/MO/PD COMP/E/36196/01/2024"/>
        <s v="KHI/HO/D/MO/PD COMP/E/37888/03/2024"/>
        <s v="KHI/HO/D/MO/PD COMP/E/40654/04/2024"/>
        <s v="KHI/HO/D/MO/PD COMP/E/41593/05/2024"/>
        <s v="KHI/HO/D/MO/PD COMP/E/42488/06/2024"/>
        <s v="KHI/HO/D/MO/PD COMP/E/43755/07/2024"/>
        <s v="KHI/HO/D/MO/PD COMP/E/44656/08/2024"/>
        <s v="KHI/HO/D/MO/PD COMP/E/45886/09/2024"/>
        <s v="KHI/HO/D/MO/PD COMP/E/48774/10/2024"/>
        <s v="KHI/HO/D/MO/PD COMP/E/30934/09/2023"/>
        <s v="KHI/HO/D/MO/PD COMP/E/38024/03/2024"/>
        <s v="KHI/HO/D/MO/PD COMP/E/40740/04/2024"/>
        <s v="KHI/HO/D/MO/PD COMP/E/41691/05/2024"/>
        <s v="KHI/HO/D/MO/PD COMP/E/42696/06/2024"/>
        <s v="KHI/HO/D/MO/PD COMP/E/44802/08/2024"/>
        <s v="KHI/HO/D/MO/PD COMP/E/45989/09/2024"/>
        <s v="KHI/HO/D/MO/PD COMP/E/48775/10/2024"/>
        <s v="KHI/HO/D/MO/PD COMP/E/30932/09/2023"/>
        <s v="KHI/HO/D/MO/PD COMP/E/36332/01/2024"/>
        <s v="KHI/HO/D/MO/PD COMP/E/42697/06/2024"/>
        <s v="KHI/HO/D/MO/PD COMP/E/43867/07/2024"/>
        <s v="KHI/HO/D/MO/PD COMP/E/44845/08/2024"/>
        <s v="KHI/HO/D/MO/PD COMP/E/45990/09/2024"/>
        <s v="KHI/HO/D/MO/PD COMP/E/48776/10/2024"/>
        <s v="KHI/HO/D/MO/PD COMP/E/30933/09/2023"/>
        <s v="KHI/HO/D/MO/PD COMP/E/42698/06/2024"/>
        <s v="KHI/HO/D/MO/PD COMP/E/43868/07/2024"/>
        <s v="KHI/HO/D/MO/PD COMP/E/44846/08/2024"/>
        <s v="KHI/HO/D/MO/PD COMP/E/45991/09/2024"/>
        <s v="KHI/HO/D/MO/PD COMP/E/50482/12/2024"/>
        <s v="KHI/HO/D/MO/PD COMP/E/30935/09/2023"/>
        <s v="KHI/HO/D/MO/PD COMP/E/45992/09/2024"/>
        <s v="KHI/HO/D/MO/PD COMP/E/48777/10/2024"/>
        <s v="KHI/HO/D/MO/PD COMP/E/30937/09/2023"/>
        <s v="KHI/HO/D/MO/PD COMP/E/45993/09/2024"/>
        <s v="KHI/HO/D/MO/PD COMP/E/50483/12/2024"/>
        <s v="KHI/HO/D/MO/PD COMP/E/30938/09/2023"/>
        <s v="KHI/HO/D/MO/PD COMP/E/38120/03/2024"/>
        <s v="KHI/HO/D/MO/PD COMP/E/48778/10/2024"/>
        <s v="KHI/HO/D/MO/PD COMP/E/30939/09/2023"/>
        <s v="KHI/HO/D/MO/PD COMP/E/48779/10/2024"/>
        <s v="KHI/HO/D/MO/PD COMP/E/30941/09/2023"/>
        <s v="KHI/HO/D/MO/PD COMP/E/48780/10/2024"/>
        <s v="KHI/HO/D/MO/PD COMP/E/30940/09/2023"/>
        <s v="KHI/HO/D/MO/PD COMP/E/38246/03/2024"/>
        <s v="KHI/HO/D/MO/PD COMP/E/48781/10/2024"/>
        <s v="KHI/HO/D/MO/PD COMP/E/30942/09/2023"/>
        <s v="KHI/HO/D/MO/PD COMP/E/40742/04/2024"/>
        <s v="KHI/HO/D/MO/PD COMP/E/41693/05/2024"/>
        <s v="KHI/HO/D/MO/PD COMP/E/42700/06/2024"/>
        <s v="KHI/HO/D/MO/PD COMP/E/43871/07/2024"/>
        <s v="KHI/HO/D/MO/PD COMP/E/44804/08/2024"/>
        <s v="KHI/HO/D/MO/PD COMP/E/45994/09/2024"/>
        <s v="KHI/HO/D/MO/PD COMP/E/48782/10/2024"/>
        <s v="KHI/HO/D/MO/PD COMP/E/30945/09/2023"/>
        <s v="KHI/HO/D/MO/PD COMP/E/41052/04/2024"/>
        <s v="KHI/HO/D/MO/PD COMP/E/42900/06/2024"/>
        <s v="KHI/HO/D/MO/PD COMP/E/48783/10/2024"/>
        <s v="KHI/HO/D/MO/PD COMP/E/30950/09/2023"/>
        <s v="KHI/HO/D/MO/PD COMP/E/45198/08/2024"/>
        <s v="KHI/HO/D/MO/PD COMP/E/46088/09/2024"/>
        <s v="KHI/HO/D/MO/PD COMP/E/48785/10/2024"/>
        <s v="KHI/HO/D/MO/PD COMP/E/30948/09/2023"/>
        <s v="KHI/HO/D/MO/PD COMP/E/41116/04/2024"/>
        <s v="KHI/HO/D/MO/PD COMP/E/41989/05/2024"/>
        <s v="KHI/HO/D/MO/PD COMP/E/42969/06/2024"/>
        <s v="KHI/HO/D/MO/PD COMP/E/44239/07/2024"/>
        <s v="KHI/HO/D/MO/PD COMP/E/48786/10/2024"/>
        <s v="KHI/HO/D/MO/PD COMP/E/30951/09/2023"/>
        <s v="KHI/HO/D/MO/PD COMP/E/44241/07/2024"/>
        <s v="KHI/HO/D/MO/PD COMP/E/45408/08/2024"/>
        <s v="KHI/HO/D/MO/PD COMP/E/46301/09/2024"/>
        <s v="KHI/HO/D/MO/PD COMP/E/48787/10/2024"/>
        <s v="KHI/HO/D/MO/PD COMP/E/33832/10/2023"/>
        <s v="KHI/HO/D/MO/PD COMP/E/45258/08/2024"/>
        <s v="KHI/HO/D/MO/PD COMP/E/48788/10/2024"/>
        <s v="KHI/HO/D/MO/PD COMP/E/33833/10/2023"/>
        <s v="KHI/HO/D/MO/PD COMP/E/41121/04/2024"/>
        <s v="KHI/HO/D/MO/PD COMP/E/42053/05/2024"/>
        <s v="KHI/HO/D/MO/PD COMP/E/43051/06/2024"/>
        <s v="KHI/HO/D/MO/PD COMP/E/44243/07/2024"/>
        <s v="KHI/HO/D/MO/PD COMP/E/45411/08/2024"/>
        <s v="KHI/HO/D/MO/PD COMP/E/50484/12/2024"/>
        <s v="KHI/HO/D/MO/PD COMP/E/33834/10/2023"/>
        <s v="KHI/HO/D/MO/PD COMP/E/41122/04/2024"/>
        <s v="KHI/HO/D/MO/PD COMP/E/42054/05/2024"/>
        <s v="KHI/HO/D/MO/PD COMP/E/43052/06/2024"/>
        <s v="KHI/HO/D/MO/PD COMP/E/44244/07/2024"/>
        <s v="KHI/HO/D/MO/PD COMP/E/45412/08/2024"/>
        <s v="KHI/HO/D/MO/PD COMP/E/48790/10/2024"/>
        <s v="KHI/HO/D/MO/PD COMP/E/33836/10/2023"/>
        <s v="KHI/HO/D/MO/PD COMP/E/42251/06/2024"/>
        <s v="KHI/HO/D/MO/PD COMP/E/43311/07/2024"/>
        <s v="KHI/HO/D/MO/PD COMP/E/44462/08/2024"/>
        <s v="KHI/HO/D/MO/PD COMP/E/45695/09/2024"/>
        <s v="KHI/HO/D/MO/PD COMP/E/46602/10/2024"/>
        <s v="KHI/HO/D/MO/PD COMP/E/50485/12/2024"/>
        <s v="KHI/HO/D/MO/PD COMP/E/33843/10/2023"/>
        <s v="KHI/HO/D/MO/PD COMP/E/44470/08/2024"/>
        <s v="KHI/HO/D/MO/PD COMP/E/46670/10/2024"/>
        <s v="KHI/HO/D/MO/PD COMP/E/48800/10/2024"/>
        <s v="KHI/HO/D/MO/PD COMP/E/33840/10/2023"/>
        <s v="KHI/HO/D/MO/PD COMP/E/37749/03/2024"/>
        <s v="KHI/HO/D/MO/PD COMP/E/40517/04/2024"/>
        <s v="KHI/HO/D/MO/PD COMP/E/41471/05/2024"/>
        <s v="KHI/HO/D/MO/PD COMP/E/42318/06/2024"/>
        <s v="KHI/HO/D/MO/PD COMP/E/43360/07/2024"/>
        <s v="KHI/HO/D/MO/PD COMP/E/44471/08/2024"/>
        <s v="KHI/HO/D/MO/PD COMP/E/45700/09/2024"/>
        <s v="KHI/HO/D/MO/PD COMP/E/46673/10/2024"/>
        <s v="KHI/HO/D/MO/PD COMP/E/48814/10/2024"/>
        <s v="KHI/HO/D/MO/PD COMP/E/33850/10/2023"/>
        <s v="KHI/HO/D/MO/PD COMP/E/42319/06/2024"/>
        <s v="KHI/HO/D/MO/PD COMP/E/43451/07/2024"/>
        <s v="KHI/HO/D/MO/PD COMP/E/44543/08/2024"/>
        <s v="KHI/HO/D/MO/PD COMP/E/45769/09/2024"/>
        <s v="KHI/HO/D/MO/PD COMP/E/46674/10/2024"/>
        <s v="KHI/HO/D/MO/PD COMP/E/50486/12/2024"/>
        <s v="KHI/HO/D/MO/PD COMP/E/46676/10/2024"/>
        <s v="KHI/HO/D/MO/PD COMP/E/33847/10/2023"/>
        <s v="KHI/HO/D/MO/PD COMP/E/37795/03/2024"/>
        <s v="KHI/HO/D/MO/PD COMP/E/40577/04/2024"/>
        <s v="KHI/HO/D/MO/PD COMP/E/41474/05/2024"/>
        <s v="KHI/HO/D/MO/PD COMP/E/42320/06/2024"/>
        <s v="KHI/HO/D/MO/PD COMP/E/43453/07/2024"/>
        <s v="KHI/HO/D/MO/PD COMP/E/44544/08/2024"/>
        <s v="KHI/HO/D/MO/PD COMP/E/45770/09/2024"/>
        <s v="KHI/HO/D/MO/PD COMP/E/46677/10/2024"/>
        <s v="KHI/HO/D/MO/PD COMP/E/50488/12/2024"/>
        <s v="KHI/HO/D/MO/PD COMP/E/33845/10/2023"/>
        <s v="KHI/HO/D/MO/PD COMP/E/37751/03/2024"/>
        <s v="KHI/HO/D/MO/PD COMP/E/40750/04/2024"/>
        <s v="KHI/HO/D/MO/PD COMP/E/48837/10/2024"/>
        <s v="KHI/HO/D/MO/PD COMP/E/33854/10/2023"/>
        <s v="KHI/HO/D/MO/PD COMP/E/37796/03/2024"/>
        <s v="KHI/HO/D/MO/PD COMP/E/40578/04/2024"/>
        <s v="KHI/HO/D/MO/PD COMP/E/50489/12/2024"/>
        <s v="KHI/HO/D/MO/PD COMP/E/33618/10/2023"/>
        <s v="KHI/HO/D/MO/PD COMP/E/33857/10/2023"/>
        <s v="KHI/HO/D/MO/PD COMP/E/34624/11/2023"/>
        <s v="KHI/HO/D/MO/PD COMP/E/35509/12/2023"/>
        <s v="KHI/HO/D/MO/PD COMP/E/36588/01/2024"/>
        <s v="KHI/HO/D/MO/PD COMP/E/37445/02/2024"/>
        <s v="KHI/HO/D/MO/PD COMP/E/38373/03/2024"/>
        <s v="KHI/HO/D/MO/PD COMP/E/41094/04/2024"/>
        <s v="KHI/HO/D/MO/PD COMP/E/48791/10/2024"/>
        <s v="KHI/HO/D/MO/PD COMP/E/34265/11/2023"/>
        <s v="KHI/HO/D/MO/PD COMP/E/33863/10/2023"/>
        <s v="KHI/HO/D/MO/PD COMP/E/40663/04/2024"/>
        <s v="KHI/HO/D/MO/PD COMP/E/41598/05/2024"/>
        <s v="KHI/HO/D/MO/PD COMP/E/42533/06/2024"/>
        <s v="KHI/HO/D/MO/PD COMP/E/43760/07/2024"/>
        <s v="KHI/HO/D/MO/PD COMP/E/44662/08/2024"/>
        <s v="KHI/HO/D/MO/PD COMP/E/45892/09/2024"/>
        <s v="KHI/HO/D/MO/PD COMP/E/50490/12/2024"/>
        <s v="KHI/HO/D/MO/PD COMP/E/33875/10/2023"/>
        <s v="KHI/HO/D/MO/PD COMP/E/34270/11/2023"/>
        <s v="KHI/HO/D/MO/PD COMP/E/36297/01/2024"/>
        <s v="KHI/HO/D/MO/PD COMP/E/40666/04/2024"/>
        <s v="KHI/HO/D/MO/PD COMP/E/48816/10/2024"/>
        <s v="KHI/HO/D/MO/PD COMP/E/33874/10/2023"/>
        <s v="KHI/HO/D/MO/PD COMP/E/40911/04/2024"/>
        <s v="KHI/HO/D/MO/PD COMP/E/40912/04/2024"/>
        <s v="KHI/HO/D/MO/PD COMP/E/41809/05/2024"/>
        <s v="KHI/HO/D/MO/PD COMP/E/42706/06/2024"/>
        <s v="KHI/HO/D/MO/PD COMP/E/44015/07/2024"/>
        <s v="KHI/HO/D/MO/PD COMP/E/44884/08/2024"/>
        <s v="KHI/HO/D/MO/PD COMP/E/46178/09/2024"/>
        <s v="KHI/HO/D/MO/PD COMP/E/47974/10/2024"/>
        <s v="KHI/HO/D/MO/PD COMP/E/50491/12/2024"/>
        <s v="KHI/HO/D/MO/PD COMP/E/33879/10/2023"/>
        <s v="KHI/HO/D/MO/PD COMP/E/38248/03/2024"/>
        <s v="KHI/HO/D/MO/PD COMP/E/40948/04/2024"/>
        <s v="KHI/HO/D/MO/PD COMP/E/41810/05/2024"/>
        <s v="KHI/HO/D/MO/PD COMP/E/42794/06/2024"/>
        <s v="KHI/HO/D/MO/PD COMP/E/44016/07/2024"/>
        <s v="KHI/HO/D/MO/PD COMP/E/44938/08/2024"/>
        <s v="KHI/HO/D/MO/PD COMP/E/46089/09/2024"/>
        <s v="KHI/HO/D/MO/PD COMP/E/47975/10/2024"/>
        <s v="KHI/HO/D/MO/PD COMP/E/50492/12/2024"/>
        <s v="KHI/HO/D/MO/PD COMP/E/33881/10/2023"/>
        <s v="KHI/HO/D/MO/PD COMP/E/42707/06/2024"/>
        <s v="KHI/HO/D/MO/PD COMP/E/43876/07/2024"/>
        <s v="KHI/HO/D/MO/PD COMP/E/44850/08/2024"/>
        <s v="KHI/HO/D/MO/PD COMP/E/45999/09/2024"/>
        <s v="KHI/HO/D/MO/PD COMP/E/50493/12/2024"/>
        <s v="KHI/HO/D/MO/PD COMP/E/33886/10/2023"/>
        <s v="KHI/HO/D/MO/PD COMP/E/45261/08/2024"/>
        <s v="KHI/HO/D/MO/PD COMP/E/46304/09/2024"/>
        <s v="KHI/HO/D/MO/PD COMP/E/50494/12/2024"/>
        <s v="KHI/HO/D/MO/PD COMP/E/33887/10/2023"/>
        <s v="KHI/HO/D/MO/PD COMP/E/48838/10/2024"/>
        <s v="KHI/HO/D/MO/PD COMP/E/41057/04/2024"/>
        <s v="KHI/HO/D/MO/PD COMP/E/33890/10/2023"/>
        <s v="KHI/HO/D/MO/PD COMP/E/41123/04/2024"/>
        <s v="KHI/HO/D/MO/PD COMP/E/42055/05/2024"/>
        <s v="KHI/HO/D/MO/PD COMP/E/43053/06/2024"/>
        <s v="KHI/HO/D/MO/PD COMP/E/44245/07/2024"/>
        <s v="KHI/HO/D/MO/PD COMP/E/45415/08/2024"/>
        <s v="KHI/HO/D/MO/PD COMP/E/46480/10/2024"/>
        <s v="KHI/HO/D/MO/PD COMP/E/50495/12/2024"/>
        <s v="KHI/HO/D/MO/PD COMP/E/34731/12/2023"/>
        <s v="KHI/HO/D/MO/PD COMP/E/35568/12/2023"/>
        <s v="KHI/HO/D/MO/PD COMP/E/48820/10/2024"/>
        <s v="KHI/HO/D/MO/PD COMP/E/35570/12/2023"/>
        <s v="KHI/HO/D/MO/PD COMP/E/35866/01/2024"/>
        <s v="KHI/HO/D/MO/PD COMP/E/43134/07/2024"/>
        <s v="KHI/HO/D/MO/PD COMP/E/48632/11/2024"/>
        <s v="KHI/HO/D/MO/PD COMP/E/48633/11/2024"/>
        <s v="KHI/HO/D/MO/PD COMP/E/48634/11/2024"/>
        <s v="KHI/HO/D/MO/PD COMP/E/48635/11/2024"/>
        <s v="KHI/HO/D/MO/PD COMP/E/50496/12/2024"/>
        <s v="KHI/HO/D/MO/PD COMP/E/35577/12/2023"/>
        <s v="KHI/HO/D/MO/PD COMP/E/42189/06/2024"/>
        <s v="KHI/HO/D/MO/PD COMP/E/46682/10/2024"/>
        <s v="KHI/HO/D/MO/PD COMP/E/48639/11/2024"/>
        <s v="KHI/HO/D/MO/PD COMP/E/50497/12/2024"/>
        <s v="KHI/HO/D/MO/PD COMP/E/35574/12/2023"/>
        <s v="KHI/HO/D/MO/PD COMP/E/41267/05/2024"/>
        <s v="KHI/HO/D/MO/PD COMP/E/42190/06/2024"/>
        <s v="KHI/HO/D/MO/PD COMP/E/48805/10/2024"/>
        <s v="KHI/HO/D/MO/PD COMP/E/34907/12/2023"/>
        <s v="KHI/HO/D/MO/PD COMP/E/35579/12/2023"/>
        <s v="KHI/HO/D/MO/PD COMP/E/35966/01/2024"/>
        <s v="KHI/HO/D/MO/PD COMP/E/36854/02/2024"/>
        <s v="KHI/HO/D/MO/PD COMP/E/37691/03/2024"/>
        <s v="KHI/HO/D/MO/PD COMP/E/40493/04/2024"/>
        <s v="KHI/HO/D/MO/PD COMP/E/41482/05/2024"/>
        <s v="KHI/HO/D/MO/PD COMP/E/42270/06/2024"/>
        <s v="KHI/HO/D/MO/PD COMP/E/43317/07/2024"/>
        <s v="KHI/HO/D/MO/PD COMP/E/44478/08/2024"/>
        <s v="KHI/HO/D/MO/PD COMP/E/45704/09/2024"/>
        <s v="KHI/HO/D/MO/PD COMP/E/46684/10/2024"/>
        <s v="KHI/HO/D/MO/PD COMP/E/48641/11/2024"/>
        <s v="KHI/HO/D/MO/PD COMP/E/50498/12/2024"/>
        <s v="KHI/HO/D/MO/PD COMP/E/34984/12/2023"/>
        <s v="KHI/HO/D/MO/PD COMP/E/35580/12/2023"/>
        <s v="KHI/HO/D/MO/PD COMP/E/35924/01/2024"/>
        <s v="KHI/HO/D/MO/PD COMP/E/36855/02/2024"/>
        <s v="KHI/HO/D/MO/PD COMP/E/37692/03/2024"/>
        <s v="KHI/HO/D/MO/PD COMP/E/38577/04/2024"/>
        <s v="KHI/HO/D/MO/PD COMP/E/41483/05/2024"/>
        <s v="KHI/HO/D/MO/PD COMP/E/42271/06/2024"/>
        <s v="KHI/HO/D/MO/PD COMP/E/43220/07/2024"/>
        <s v="KHI/HO/D/MO/PD COMP/E/44479/08/2024"/>
        <s v="KHI/HO/D/MO/PD COMP/E/45705/09/2024"/>
        <s v="KHI/HO/D/MO/PD COMP/E/46685/10/2024"/>
        <s v="KHI/HO/D/MO/PD COMP/E/48642/11/2024"/>
        <s v="KHI/HO/D/MO/PD COMP/E/50499/12/2024"/>
        <s v="KHI/HO/D/MO/PD COMP/E/35583/12/2023"/>
        <s v="KHI/HO/D/MO/PD COMP/E/37027/02/2024"/>
        <s v="KHI/HO/D/MO/PD COMP/E/37894/03/2024"/>
        <s v="KHI/HO/D/MO/PD COMP/E/40667/04/2024"/>
        <s v="KHI/HO/D/MO/PD COMP/E/41601/05/2024"/>
        <s v="KHI/HO/D/MO/PD COMP/E/42490/06/2024"/>
        <s v="KHI/HO/D/MO/PD COMP/E/43763/07/2024"/>
        <s v="KHI/HO/D/MO/PD COMP/E/44665/08/2024"/>
        <s v="KHI/HO/D/MO/PD COMP/E/45895/09/2024"/>
        <s v="KHI/HO/D/MO/PD COMP/E/47060/10/2024"/>
        <s v="KHI/HO/D/MO/PD COMP/E/50500/12/2024"/>
        <s v="KHI/HO/D/MO/PD COMP/E/35186/12/2023"/>
        <s v="KHI/HO/D/MO/PD COMP/E/35586/12/2023"/>
        <s v="KHI/HO/D/MO/PD COMP/E/36299/01/2024"/>
        <s v="KHI/HO/D/MO/PD COMP/E/50501/12/2024"/>
        <s v="KHI/HO/D/MO/PD COMP/E/35590/12/2023"/>
        <s v="KHI/HO/D/MO/PD COMP/E/42634/06/2024"/>
        <s v="KHI/HO/D/MO/PD COMP/E/43817/07/2024"/>
        <s v="KHI/HO/D/MO/PD COMP/E/44765/08/2024"/>
        <s v="KHI/HO/D/MO/PD COMP/E/46004/09/2024"/>
        <s v="KHI/HO/D/MO/PD COMP/E/47920/10/2024"/>
        <s v="KHI/HO/D/MO/PD COMP/E/49189/11/2024"/>
        <s v="KHI/HO/D/MO/PD COMP/E/50502/12/2024"/>
        <s v="KHI/HO/D/MO/PD COMP/E/35024/12/2023"/>
        <s v="KHI/HO/D/MO/PD COMP/E/35588/12/2023"/>
        <s v="KHI/HO/D/MO/PD COMP/E/36106/01/2024"/>
        <s v="KHI/HO/D/MO/PD COMP/E/36970/02/2024"/>
        <s v="KHI/HO/D/MO/PD COMP/E/37849/03/2024"/>
        <s v="KHI/HO/D/MO/PD COMP/E/40583/04/2024"/>
        <s v="KHI/HO/D/MO/PD COMP/E/41485/05/2024"/>
        <s v="KHI/HO/D/MO/PD COMP/E/42434/06/2024"/>
        <s v="KHI/HO/D/MO/PD COMP/E/43456/07/2024"/>
        <s v="KHI/HO/D/MO/PD COMP/E/44573/08/2024"/>
        <s v="KHI/HO/D/MO/PD COMP/E/45825/09/2024"/>
        <s v="KHI/HO/D/MO/PD COMP/E/47061/10/2024"/>
        <s v="KHI/HO/D/MO/PD COMP/E/50503/12/2024"/>
        <s v="KHI/HO/D/MO/PD COMP/E/35451/12/2023"/>
        <s v="KHI/HO/D/MO/PD COMP/E/35602/12/2023"/>
        <s v="KHI/HO/D/MO/PD COMP/E/36488/01/2024"/>
        <s v="KHI/HO/D/MO/PD COMP/E/37379/02/2024"/>
        <s v="KHI/HO/D/MO/PD COMP/E/38282/03/2024"/>
        <s v="KHI/HO/D/MO/PD COMP/E/40992/04/2024"/>
        <s v="KHI/HO/D/MO/PD COMP/E/41908/05/2024"/>
        <s v="KHI/HO/D/MO/PD COMP/E/42848/06/2024"/>
        <s v="KHI/HO/D/MO/PD COMP/E/44109/07/2024"/>
        <s v="KHI/HO/D/MO/PD COMP/E/45201/08/2024"/>
        <s v="KHI/HO/D/MO/PD COMP/E/46183/09/2024"/>
        <s v="KHI/HO/D/MO/PD COMP/E/48095/10/2024"/>
        <s v="KHI/HO/D/MO/PD COMP/E/50504/12/2024"/>
        <s v="KHI/HO/D/MO/PD COMP/E/35606/12/2023"/>
        <s v="KHI/HO/D/MO/PD COMP/E/36396/01/2024"/>
        <s v="KHI/HO/D/MO/PD COMP/E/36397/01/2024"/>
        <s v="KHI/HO/D/MO/PD COMP/E/37234/02/2024"/>
        <s v="KHI/HO/D/MO/PD COMP/E/38088/03/2024"/>
        <s v="KHI/HO/D/MO/PD COMP/E/40888/04/2024"/>
        <s v="KHI/HO/D/MO/PD COMP/E/41772/05/2024"/>
        <s v="KHI/HO/D/MO/PD COMP/E/42714/06/2024"/>
        <s v="KHI/HO/D/MO/PD COMP/E/44022/07/2024"/>
        <s v="KHI/HO/D/MO/PD COMP/E/44888/08/2024"/>
        <s v="KHI/HO/D/MO/PD COMP/E/46094/09/2024"/>
        <s v="KHI/HO/D/MO/PD COMP/E/47982/10/2024"/>
        <s v="KHI/HO/D/MO/PD COMP/E/50505/12/2024"/>
        <s v="KHI/HO/D/MO/PD COMP/E/35605/12/2023"/>
        <s v="KHI/HO/D/MO/PD COMP/E/38285/03/2024"/>
        <s v="KHI/HO/D/MO/PD COMP/E/40995/04/2024"/>
        <s v="KHI/HO/D/MO/PD COMP/E/41911/05/2024"/>
        <s v="KHI/HO/D/MO/PD COMP/E/42851/06/2024"/>
        <s v="KHI/HO/D/MO/PD COMP/E/44112/07/2024"/>
        <s v="KHI/HO/D/MO/PD COMP/E/45204/08/2024"/>
        <s v="KHI/HO/D/MO/PD COMP/E/46186/09/2024"/>
        <s v="KHI/HO/D/MO/PD COMP/E/48799/10/2024"/>
        <s v="KHI/HO/D/MO/PD COMP/E/35608/12/2023"/>
        <s v="KHI/HO/D/MO/PD COMP/E/45264/08/2024"/>
        <s v="KHI/HO/D/MO/PD COMP/E/50506/12/2024"/>
        <s v="KHI/HO/D/MO/PD COMP/E/48395/10/2024"/>
        <s v="KHI/HO/D/MO/PD COMP/E/59186/03/2025"/>
        <s v="KHI/HO/D/MO/PD COMP/E/35534/12/2023"/>
        <s v="KHI/HO/D/MO/PD COMP/E/35607/12/2023"/>
        <s v="KHI/HO/D/MO/PD COMP/E/36611/01/2024"/>
        <s v="KHI/HO/D/MO/PD COMP/E/37452/02/2024"/>
        <s v="KHI/HO/D/MO/PD COMP/E/38398/03/2024"/>
        <s v="KHI/HO/D/MO/PD COMP/E/41126/04/2024"/>
        <s v="KHI/HO/D/MO/PD COMP/E/41997/05/2024"/>
        <s v="KHI/HO/D/MO/PD COMP/E/42972/06/2024"/>
        <s v="KHI/HO/D/MO/PD COMP/E/44248/07/2024"/>
        <s v="KHI/HO/D/MO/PD COMP/E/45418/08/2024"/>
        <s v="KHI/HO/D/MO/PD COMP/E/46348/10/2024"/>
        <s v="KHI/HO/D/MO/PD COMP/E/48396/10/2024"/>
        <s v="KHI/HO/D/MO/PD COMP/E/50507/12/2024"/>
        <s v="KHI/HO/D/MO/PD COMP/E/35611/12/2023"/>
        <s v="KHI/HO/D/MO/PD COMP/E/35853/01/2024"/>
        <s v="KHI/HO/D/MO/PD COMP/E/36749/01/2024"/>
        <s v="KHI/HO/D/MO/PD COMP/E/50508/12/2024"/>
        <s v="KHI/HO/D/MO/PD COMP/E/35869/01/2024"/>
        <s v="KHI/HO/D/MO/PD COMP/E/43086/07/2024"/>
        <s v="KHI/HO/D/MO/PD COMP/E/45519/09/2024"/>
        <s v="KHI/HO/D/MO/PD COMP/E/48479/11/2024"/>
        <s v="KHI/HO/D/MO/PD COMP/E/35624/12/2023"/>
        <s v="KHI/HO/D/MO/PD COMP/E/50509/12/2024"/>
        <s v="KHI/HO/D/MO/PD COMP/E/35625/12/2023"/>
        <s v="KHI/HO/D/MO/PD COMP/E/36007/01/2024"/>
        <s v="KHI/HO/D/MO/PD COMP/E/36909/02/2024"/>
        <s v="KHI/HO/D/MO/PD COMP/E/37754/03/2024"/>
        <s v="KHI/HO/D/MO/PD COMP/E/40521/04/2024"/>
        <s v="KHI/HO/D/MO/PD COMP/E/41489/05/2024"/>
        <s v="KHI/HO/D/MO/PD COMP/E/42324/06/2024"/>
        <s v="KHI/HO/D/MO/PD COMP/E/43363/07/2024"/>
        <s v="KHI/HO/D/MO/PD COMP/E/48813/10/2024"/>
        <s v="KHI/HO/D/MO/PD COMP/E/35633/12/2023"/>
        <s v="KHI/HO/D/MO/PD COMP/E/36109/01/2024"/>
        <s v="KHI/HO/D/MO/PD COMP/E/36973/02/2024"/>
        <s v="KHI/HO/D/MO/PD COMP/E/37851/03/2024"/>
        <s v="KHI/HO/D/MO/PD COMP/E/40586/04/2024"/>
        <s v="KHI/HO/D/MO/PD COMP/E/41493/05/2024"/>
        <s v="KHI/HO/D/MO/PD COMP/E/42436/06/2024"/>
        <s v="KHI/HO/D/MO/PD COMP/E/43459/07/2024"/>
        <s v="KHI/HO/D/MO/PD COMP/E/44575/08/2024"/>
        <s v="KHI/HO/D/MO/PD COMP/E/45827/09/2024"/>
        <s v="KHI/HO/D/MO/PD COMP/E/47064/10/2024"/>
        <s v="KHI/HO/D/MO/PD COMP/E/48901/11/2024"/>
        <s v="KHI/HO/D/MO/PD COMP/E/50510/12/2024"/>
        <s v="KHI/HO/D/MO/PD COMP/E/35634/12/2023"/>
        <s v="KHI/HO/D/MO/PD COMP/E/40679/04/2024"/>
        <s v="KHI/HO/D/MO/PD COMP/E/41605/05/2024"/>
        <s v="KHI/HO/D/MO/PD COMP/E/42536/06/2024"/>
        <s v="KHI/HO/D/MO/PD COMP/E/43766/07/2024"/>
        <s v="KHI/HO/D/MO/PD COMP/E/44668/08/2024"/>
        <s v="KHI/HO/D/MO/PD COMP/E/45897/09/2024"/>
        <s v="KHI/HO/D/MO/PD COMP/E/47065/10/2024"/>
        <s v="KHI/HO/D/MO/PD COMP/E/48966/11/2024"/>
        <s v="KHI/HO/D/MO/PD COMP/E/50511/12/2024"/>
        <s v="KHI/HO/D/MO/PD COMP/E/35636/12/2023"/>
        <s v="KHI/HO/D/MO/PD COMP/E/45424/08/2024"/>
        <s v="KHI/HO/D/MO/PD COMP/E/46442/10/2024"/>
        <s v="KHI/HO/D/MO/PD COMP/E/48792/10/2024"/>
        <s v="KHI/HO/D/MO/PD COMP/E/41494/05/2024"/>
        <s v="KHI/HO/D/MO/PD COMP/E/42326/06/2024"/>
        <s v="KHI/HO/D/MO/PD COMP/E/43364/07/2024"/>
        <s v="KHI/HO/D/MO/PD COMP/E/44483/08/2024"/>
        <s v="KHI/HO/D/MO/PD COMP/E/45709/09/2024"/>
        <s v="KHI/HO/D/MO/PD COMP/E/46742/10/2024"/>
        <s v="KHI/HO/D/MO/PD COMP/E/48672/11/2024"/>
        <s v="KHI/HO/D/MO/PD COMP/E/50512/12/2024"/>
        <s v="KHI/HO/D/MO/PD COMP/E/37347/02/2024"/>
        <s v="KHI/HO/D/MO/PD COMP/E/48828/10/2024"/>
        <s v="KHI/HO/D/MO/PD COMP/E/40833/04/2024"/>
        <s v="KHI/HO/D/MO/PD COMP/E/46598/10/2024"/>
        <s v="KHI/HO/D/MO/PD COMP/E/46600/10/2024"/>
        <s v="KHI/HO/D/MO/PD COMP/E/46603/10/2024"/>
        <s v="KHI/HO/D/MO/PD COMP/E/46604/10/2024"/>
        <s v="KHI/HO/D/MO/PD COMP/E/46605/10/2024"/>
        <s v="KHI/HO/D/MO/PD COMP/E/46606/10/2024"/>
        <s v="KHI/HO/D/MO/PD COMP/E/46607/10/2024"/>
        <s v="KHI/HO/D/MO/PD COMP/E/48359/10/2024"/>
        <s v="KHI/HO/D/MO/PD COMP/E/49332/11/2024"/>
        <s v="KHI/HO/D/MO/PD COMP/E/59170/03/2025"/>
        <s v="KHI/HO/D/MO/PD COMP/E/46353/10/2024"/>
        <s v="KHI/HO/D/MO/PD COMP/E/48401/10/2024"/>
        <s v="KHI/HO/D/MO/PD COMP/E/49509/11/2024"/>
        <s v="KHI/HO/D/MO/PD COMP/E/59197/03/2025"/>
        <s v="KHI/HO/D/MO/PD COMP/E/35644/12/2023"/>
        <s v="KHI/HO/D/MO/PD COMP/E/38053/03/2024"/>
        <s v="KHI/HO/D/MO/PD COMP/E/40778/04/2024"/>
        <s v="KHI/HO/D/MO/PD COMP/E/41727/05/2024"/>
        <s v="KHI/HO/D/MO/PD COMP/E/48825/10/2024"/>
        <s v="KHI/HO/D/MO/PD COMP/E/35647/12/2023"/>
        <s v="KHI/HO/D/MO/PD COMP/E/44025/07/2024"/>
        <s v="KHI/HO/D/MO/PD COMP/E/50513/12/2024"/>
        <s v="KHI/HO/D/MO/PD COMP/E/35648/12/2023"/>
        <s v="KHI/HO/D/MO/PD COMP/E/41817/05/2024"/>
        <s v="KHI/HO/D/MO/PD COMP/E/42797/06/2024"/>
        <s v="KHI/HO/D/MO/PD COMP/E/44027/07/2024"/>
        <s v="KHI/HO/D/MO/PD COMP/E/44941/08/2024"/>
        <s v="KHI/HO/D/MO/PD COMP/E/46095/09/2024"/>
        <s v="KHI/HO/D/MO/PD COMP/E/48100/10/2024"/>
        <s v="KHI/HO/D/MO/PD COMP/E/48804/10/2024"/>
        <s v="KHI/HO/D/MO/PD COMP/E/47986/10/2024"/>
        <s v="KHI/HO/D/MO/PD COMP/E/35650/12/2023"/>
        <s v="KHI/HO/D/MO/PD COMP/E/37348/02/2024"/>
        <s v="KHI/HO/D/MO/PD COMP/E/38254/03/2024"/>
        <s v="KHI/HO/D/MO/PD COMP/E/40970/04/2024"/>
        <s v="KHI/HO/D/MO/PD COMP/E/41858/05/2024"/>
        <s v="KHI/HO/D/MO/PD COMP/E/42799/06/2024"/>
        <s v="KHI/HO/D/MO/PD COMP/E/44115/07/2024"/>
        <s v="KHI/HO/D/MO/PD COMP/E/44943/08/2024"/>
        <s v="KHI/HO/D/MO/PD COMP/E/46193/09/2024"/>
        <s v="KHI/HO/D/MO/PD COMP/E/47987/10/2024"/>
        <s v="KHI/HO/D/MO/PD COMP/E/49222/11/2024"/>
        <s v="KHI/HO/D/MO/PD COMP/E/50514/12/2024"/>
        <s v="KHI/HO/D/MO/PD COMP/E/35651/12/2023"/>
        <s v="KHI/HO/D/MO/PD COMP/E/45206/08/2024"/>
        <s v="KHI/HO/D/MO/PD COMP/E/46194/09/2024"/>
        <s v="KHI/HO/D/MO/PD COMP/E/48102/10/2024"/>
        <s v="KHI/HO/D/MO/PD COMP/E/48384/10/2024"/>
        <s v="KHI/HO/D/MO/PD COMP/E/50515/12/2024"/>
        <s v="KHI/HO/D/MO/PD COMP/E/35655/12/2023"/>
        <s v="KHI/HO/D/MO/PD COMP/E/36342/01/2024"/>
        <s v="KHI/HO/D/MO/PD COMP/E/48832/10/2024"/>
        <s v="KHI/HO/D/MO/PD COMP/E/35656/12/2023"/>
        <s v="KHI/HO/D/MO/PD COMP/E/36594/01/2024"/>
        <s v="KHI/HO/D/MO/PD COMP/E/37461/02/2024"/>
        <s v="KHI/HO/D/MO/PD COMP/E/38378/03/2024"/>
        <s v="KHI/HO/D/MO/PD COMP/E/41098/04/2024"/>
        <s v="KHI/HO/D/MO/PD COMP/E/42005/05/2024"/>
        <s v="KHI/HO/D/MO/PD COMP/E/42942/06/2024"/>
        <s v="KHI/HO/D/MO/PD COMP/E/44210/07/2024"/>
        <s v="KHI/HO/D/MO/PD COMP/E/45428/08/2024"/>
        <s v="KHI/HO/D/MO/PD COMP/E/46355/10/2024"/>
        <s v="KHI/HO/D/MO/PD COMP/E/48361/10/2024"/>
        <s v="KHI/HO/D/MO/PD COMP/E/48798/10/2024"/>
        <s v="KHI/HO/D/MO/PD COMP/E/35662/12/2023"/>
        <s v="KHI/HO/D/MO/PD COMP/E/42028/05/2024"/>
        <s v="KHI/HO/D/MO/PD COMP/E/42029/05/2024"/>
        <s v="KHI/HO/D/MO/PD COMP/E/42030/05/2024"/>
        <s v="KHI/HO/D/MO/PD COMP/E/42031/05/2024"/>
        <s v="KHI/HO/D/MO/PD COMP/E/42032/05/2024"/>
        <s v="KHI/HO/D/MO/PD COMP/E/44262/07/2024"/>
        <s v="KHI/HO/D/MO/PD COMP/E/44263/07/2024"/>
        <s v="KHI/HO/D/MO/PD COMP/E/45430/08/2024"/>
        <s v="KHI/HO/D/MO/PD COMP/E/46357/10/2024"/>
        <s v="KHI/HO/D/MO/PD COMP/E/48363/10/2024"/>
        <s v="KHI/HO/D/MO/PD COMP/E/48809/10/2024"/>
        <s v="KHI/HO/D/MO/PD COMP/E/35661/12/2023"/>
        <s v="KHI/HO/D/MO/PD COMP/E/36619/01/2024"/>
        <s v="KHI/HO/D/MO/PD COMP/E/37464/02/2024"/>
        <s v="KHI/HO/D/MO/PD COMP/E/38405/03/2024"/>
        <s v="KHI/HO/D/MO/PD COMP/E/41138/04/2024"/>
        <s v="KHI/HO/D/MO/PD COMP/E/42008/05/2024"/>
        <s v="KHI/HO/D/MO/PD COMP/E/42979/06/2024"/>
        <s v="KHI/HO/D/MO/PD COMP/E/44265/07/2024"/>
        <s v="KHI/HO/D/MO/PD COMP/E/45432/08/2024"/>
        <s v="KHI/HO/D/MO/PD COMP/E/46359/10/2024"/>
        <s v="KHI/HO/D/MO/PD COMP/E/48405/10/2024"/>
        <s v="KHI/HO/D/MO/PD COMP/E/50516/12/2024"/>
        <s v="KHI/HO/D/MO/PD COMP/E/38406/03/2024"/>
        <s v="KHI/HO/D/MO/PD COMP/E/50517/12/2024"/>
        <s v="KHI/HO/D/MO/PD COMP/E/43089/07/2024"/>
        <s v="KHI/HO/D/MO/PD COMP/E/44266/07/2024"/>
        <s v="KHI/HO/D/MO/PD COMP/E/45522/09/2024"/>
        <s v="KHI/HO/D/MO/PD COMP/E/50518/12/2024"/>
        <s v="KHI/HO/D/MO/PD COMP/E/48483/11/2024"/>
        <s v="KHI/HO/D/MO/PD COMP/E/49601/12/2024"/>
        <s v="KHI/HO/D/MO/PD COMP/E/51554/01/2025"/>
        <s v="KHI/HO/D/MO/PD COMP/E/59199/03/2025"/>
        <s v="KHI/HO/D/MO/PD COMP/E/36861/02/2024"/>
        <s v="KHI/HO/D/MO/PD COMP/E/37706/03/2024"/>
        <s v="KHI/HO/D/MO/PD COMP/E/46461/10/2024"/>
        <s v="KHI/HO/D/MO/PD COMP/E/36912/02/2024"/>
        <s v="KHI/HO/D/MO/PD COMP/E/37757/03/2024"/>
        <s v="KHI/HO/D/MO/PD COMP/E/40524/04/2024"/>
        <s v="KHI/HO/D/MO/PD COMP/E/41499/05/2024"/>
        <s v="KHI/HO/D/MO/PD COMP/E/42327/06/2024"/>
        <s v="KHI/HO/D/MO/PD COMP/E/43366/07/2024"/>
        <s v="KHI/HO/D/MO/PD COMP/E/44487/08/2024"/>
        <s v="KHI/HO/D/MO/PD COMP/E/45713/09/2024"/>
        <s v="KHI/HO/D/MO/PD COMP/E/46744/10/2024"/>
        <s v="KHI/HO/D/MO/PD COMP/E/48673/11/2024"/>
        <s v="KHI/HO/D/MO/PD COMP/E/49815/12/2024"/>
        <s v="KHI/HO/D/MO/PD COMP/E/50519/12/2024"/>
        <s v="KHI/HO/D/MO/PD COMP/E/36913/02/2024"/>
        <s v="KHI/HO/D/MO/PD COMP/E/37758/03/2024"/>
        <s v="KHI/HO/D/MO/PD COMP/E/40525/04/2024"/>
        <s v="KHI/HO/D/MO/PD COMP/E/41500/05/2024"/>
        <s v="KHI/HO/D/MO/PD COMP/E/43367/07/2024"/>
        <s v="KHI/HO/D/MO/PD COMP/E/44488/08/2024"/>
        <s v="KHI/HO/D/MO/PD COMP/E/45714/09/2024"/>
        <s v="KHI/HO/D/MO/PD COMP/E/46745/10/2024"/>
        <s v="KHI/HO/D/MO/PD COMP/E/49885/12/2024"/>
        <s v="KHI/HO/D/MO/PD COMP/E/50520/12/2024"/>
        <s v="KHI/HO/D/MO/PD COMP/E/49776/12/2024"/>
        <s v="KHI/HO/D/MO/PD COMP/E/46746/10/2024"/>
        <s v="KHI/HO/D/MO/PD COMP/E/48674/11/2024"/>
        <s v="KHI/HO/D/MO/PD COMP/E/49886/12/2024"/>
        <s v="KHI/HO/D/MO/PD COMP/E/51956/01/2025"/>
        <s v="KHI/HO/D/MO/PD COMP/E/59233/03/2025"/>
        <s v="KHI/HO/D/MO/PD COMP/E/41238/05/2024"/>
        <s v="KHI/HO/D/MO/PD COMP/E/42200/06/2024"/>
        <s v="KHI/HO/D/MO/PD COMP/E/43146/07/2024"/>
        <s v="KHI/HO/D/MO/PD COMP/E/50521/12/2024"/>
        <s v="KHI/HO/D/MO/PD COMP/E/41207/04/2024"/>
        <s v="KHI/HO/D/MO/PD COMP/E/41208/04/2024"/>
        <s v="KHI/HO/D/MO/PD COMP/E/41209/04/2024"/>
        <s v="KHI/HO/D/MO/PD COMP/E/50522/12/2024"/>
        <s v="KHI/HO/D/MO/PD COMP/E/48557/11/2024"/>
        <s v="KHI/HO/D/MO/PD COMP/E/49703/12/2024"/>
        <s v="KHI/HO/D/MO/PD COMP/E/59218/03/2025"/>
        <s v="KHI/HO/D/MO/PD COMP/E/50819/01/2025"/>
        <s v="KHI/HO/D/MO/PD COMP/E/59205/03/2025"/>
        <s v="KHI/HO/D/MO/PD COMP/E/41276/05/2024"/>
        <s v="KHI/HO/D/MO/PD COMP/E/41277/05/2024"/>
        <s v="KHI/HO/D/MO/PD COMP/E/41278/05/2024"/>
        <s v="KHI/HO/D/MO/PD COMP/E/41279/05/2024"/>
        <s v="KHI/HO/D/MO/PD COMP/E/50523/12/2024"/>
        <s v="KHI/HO/D/MO/PD COMP/E/42279/06/2024"/>
        <s v="KHI/HO/D/MO/PD COMP/E/45719/09/2024"/>
        <s v="KHI/HO/D/MO/PD COMP/E/59193/03/2025"/>
        <s v="KHI/HO/D/MO/PD COMP/E/41506/05/2024"/>
        <s v="KHI/HO/D/MO/PD COMP/E/42330/06/2024"/>
        <s v="KHI/HO/D/MO/PD COMP/E/43370/07/2024"/>
        <s v="KHI/HO/D/MO/PD COMP/E/44494/08/2024"/>
        <s v="KHI/HO/D/MO/PD COMP/E/45720/09/2024"/>
        <s v="KHI/HO/D/MO/PD COMP/E/46748/10/2024"/>
        <s v="KHI/HO/D/MO/PD COMP/E/48676/11/2024"/>
        <s v="KHI/HO/D/MO/PD COMP/E/49887/12/2024"/>
        <s v="KHI/HO/D/MO/PD COMP/E/50524/12/2024"/>
        <s v="KHI/HO/D/MO/PD COMP/E/40619/04/2024"/>
        <s v="KHI/HO/D/MO/PD COMP/E/41512/05/2024"/>
        <s v="KHI/HO/D/MO/PD COMP/E/42439/06/2024"/>
        <s v="KHI/HO/D/MO/PD COMP/E/43536/07/2024"/>
        <s v="KHI/HO/D/MO/PD COMP/E/44626/08/2024"/>
        <s v="KHI/HO/D/MO/PD COMP/E/44627/08/2024"/>
        <s v="KHI/HO/D/MO/PD COMP/E/45831/09/2024"/>
        <s v="KHI/HO/D/MO/PD COMP/E/46837/10/2024"/>
        <s v="KHI/HO/D/MO/PD COMP/E/48920/11/2024"/>
        <s v="KHI/HO/D/MO/PD COMP/E/49906/12/2024"/>
        <s v="KHI/HO/D/MO/PD COMP/E/50525/12/2024"/>
        <s v="KHI/HO/D/MO/PD COMP/E/51516/01/2025"/>
        <s v="KHI/HO/D/MO/PD COMP/E/59201/03/2025"/>
        <s v="KHI/HO/D/MO/PD COMP/E/42334/06/2024"/>
        <s v="KHI/HO/D/MO/PD COMP/E/43460/07/2024"/>
        <s v="KHI/HO/D/MO/PD COMP/E/44546/08/2024"/>
        <s v="KHI/HO/D/MO/PD COMP/E/45773/09/2024"/>
        <s v="KHI/HO/D/MO/PD COMP/E/46752/10/2024"/>
        <s v="KHI/HO/D/MO/PD COMP/E/48857/11/2024"/>
        <s v="KHI/HO/D/MO/PD COMP/E/49830/12/2024"/>
        <s v="KHI/HO/D/MO/PD COMP/E/50527/12/2024"/>
        <s v="KHI/HO/D/MO/PD COMP/E/48924/11/2024"/>
        <s v="KHI/HO/D/MO/PD COMP/E/48927/11/2024"/>
        <s v="KHI/HO/D/MO/PD COMP/E/50071/12/2024"/>
        <s v="KHI/HO/D/MO/PD COMP/E/59189/03/2025"/>
        <s v="KHI/HO/D/MO/PD COMP/E/37076/02/2024"/>
        <s v="KHI/HO/D/MO/PD COMP/E/37983/03/2024"/>
        <s v="KHI/HO/D/MO/PD COMP/E/37984/03/2024"/>
        <s v="KHI/HO/D/MO/PD COMP/E/41653/05/2024"/>
        <s v="KHI/HO/D/MO/PD COMP/E/42608/06/2024"/>
        <s v="KHI/HO/D/MO/PD COMP/E/43827/07/2024"/>
        <s v="KHI/HO/D/MO/PD COMP/E/44711/08/2024"/>
        <s v="KHI/HO/D/MO/PD COMP/E/46015/09/2024"/>
        <s v="KHI/HO/D/MO/PD COMP/E/47902/10/2024"/>
        <s v="KHI/HO/D/MO/PD COMP/E/48992/11/2024"/>
        <s v="KHI/HO/D/MO/PD COMP/E/50528/12/2024"/>
        <s v="KHI/HO/D/MO/PD COMP/E/37105/02/2024"/>
        <s v="KHI/HO/D/MO/PD COMP/E/37111/02/2024"/>
        <s v="KHI/HO/D/MO/PD COMP/E/40696/04/2024"/>
        <s v="KHI/HO/D/MO/PD COMP/E/41654/05/2024"/>
        <s v="KHI/HO/D/MO/PD COMP/E/43828/07/2024"/>
        <s v="KHI/HO/D/MO/PD COMP/E/44775/08/2024"/>
        <s v="KHI/HO/D/MO/PD COMP/E/46016/09/2024"/>
        <s v="KHI/HO/D/MO/PD COMP/E/47927/10/2024"/>
        <s v="KHI/HO/D/MO/PD COMP/E/49054/11/2024"/>
        <s v="KHI/HO/D/MO/PD COMP/E/50151/12/2024"/>
        <s v="KHI/HO/D/MO/PD COMP/E/50529/12/2024"/>
        <s v="KHI/HO/D/MO/PD COMP/E/42723/06/2024"/>
        <s v="KHI/HO/D/MO/PD COMP/E/42724/06/2024"/>
        <s v="KHI/HO/D/MO/PD COMP/E/43881/07/2024"/>
        <s v="KHI/HO/D/MO/PD COMP/E/59184/03/2025"/>
        <s v="KHI/HO/D/MO/PD COMP/E/47994/10/2024"/>
        <s v="KHI/HO/D/MO/PD COMP/E/49108/11/2024"/>
        <s v="KHI/HO/D/MO/PD COMP/E/50210/12/2024"/>
        <s v="KHI/HO/D/MO/PD COMP/E/59231/03/2025"/>
        <s v="KHI/HO/D/MO/PD COMP/E/40870/04/2024"/>
        <s v="KHI/HO/D/MO/PD COMP/E/41752/05/2024"/>
        <s v="KHI/HO/D/MO/PD COMP/E/44897/08/2024"/>
        <s v="KHI/HO/D/MO/PD COMP/E/50530/12/2024"/>
        <s v="KHI/HO/D/MO/PD COMP/E/46198/09/2024"/>
        <s v="KHI/HO/D/MO/PD COMP/E/47995/10/2024"/>
        <s v="KHI/HO/D/MO/PD COMP/E/49144/11/2024"/>
        <s v="KHI/HO/D/MO/PD COMP/E/50273/12/2024"/>
        <s v="KHI/HO/D/MO/PD COMP/E/50531/12/2024"/>
        <s v="KHI/HO/D/MO/PD COMP/E/42731/06/2024"/>
        <s v="KHI/HO/D/MO/PD COMP/E/48834/10/2024"/>
        <s v="KHI/HO/D/MO/PD COMP/E/50318/12/2024"/>
        <s v="KHI/HO/D/MO/PD COMP/E/50532/12/2024"/>
        <s v="KHI/HO/D/MO/PD COMP/E/38310/03/2024"/>
        <s v="KHI/HO/D/MO/PD COMP/E/41037/04/2024"/>
        <s v="KHI/HO/D/MO/PD COMP/E/41954/05/2024"/>
        <s v="KHI/HO/D/MO/PD COMP/E/42909/06/2024"/>
        <s v="KHI/HO/D/MO/PD COMP/E/44162/07/2024"/>
        <s v="KHI/HO/D/MO/PD COMP/E/45265/08/2024"/>
        <s v="KHI/HO/D/MO/PD COMP/E/46307/09/2024"/>
        <s v="KHI/HO/D/MO/PD COMP/E/48176/10/2024"/>
        <s v="KHI/HO/D/MO/PD COMP/E/48812/10/2024"/>
        <s v="KHI/HO/D/MO/PD COMP/E/38092/03/2024"/>
        <s v="KHI/HO/D/MO/PD COMP/E/40892/04/2024"/>
        <s v="KHI/HO/D/MO/PD COMP/E/41776/05/2024"/>
        <s v="KHI/HO/D/MO/PD COMP/E/42734/06/2024"/>
        <s v="KHI/HO/D/MO/PD COMP/E/44036/07/2024"/>
        <s v="KHI/HO/D/MO/PD COMP/E/44901/08/2024"/>
        <s v="KHI/HO/D/MO/PD COMP/E/46202/09/2024"/>
        <s v="KHI/HO/D/MO/PD COMP/E/47999/10/2024"/>
        <s v="KHI/HO/D/MO/PD COMP/E/49145/11/2024"/>
        <s v="KHI/HO/D/MO/PD COMP/E/50274/12/2024"/>
        <s v="KHI/HO/D/MO/PD COMP/E/50533/12/2024"/>
        <s v="KHI/HO/D/MO/PD COMP/E/41001/04/2024"/>
        <s v="KHI/HO/D/MO/PD COMP/E/41917/05/2024"/>
        <s v="KHI/HO/D/MO/PD COMP/E/42857/06/2024"/>
        <s v="KHI/HO/D/MO/PD COMP/E/44121/07/2024"/>
        <s v="KHI/HO/D/MO/PD COMP/E/45210/08/2024"/>
        <s v="KHI/HO/D/MO/PD COMP/E/46203/09/2024"/>
        <s v="KHI/HO/D/MO/PD COMP/E/48107/10/2024"/>
        <s v="KHI/HO/D/MO/PD COMP/E/49249/11/2024"/>
        <s v="KHI/HO/D/MO/PD COMP/E/50357/12/2024"/>
        <s v="KHI/HO/D/MO/PD COMP/E/50535/12/2024"/>
        <s v="KHI/HO/D/MO/PD COMP/E/37472/02/2024"/>
        <s v="KHI/HO/D/MO/PD COMP/E/38333/03/2024"/>
        <s v="KHI/HO/D/MO/PD COMP/E/41060/04/2024"/>
        <s v="KHI/HO/D/MO/PD COMP/E/42011/05/2024"/>
        <s v="KHI/HO/D/MO/PD COMP/E/42913/06/2024"/>
        <s v="KHI/HO/D/MO/PD COMP/E/44213/07/2024"/>
        <s v="KHI/HO/D/MO/PD COMP/E/45269/08/2024"/>
        <s v="KHI/HO/D/MO/PD COMP/E/46311/09/2024"/>
        <s v="KHI/HO/D/MO/PD COMP/E/48221/10/2024"/>
        <s v="KHI/HO/D/MO/PD COMP/E/49335/11/2024"/>
        <s v="KHI/HO/D/MO/PD COMP/E/50407/12/2024"/>
        <s v="KHI/HO/D/MO/PD COMP/E/50536/12/2024"/>
        <s v="KHI/HO/D/MO/PD COMP/E/43222/07/2024"/>
        <s v="KHI/HO/D/MO/PD COMP/E/44499/08/2024"/>
        <s v="KHI/HO/D/MO/PD COMP/E/45725/09/2024"/>
        <s v="KHI/HO/D/MO/PD COMP/E/46702/10/2024"/>
        <s v="KHI/HO/D/MO/PD COMP/E/48563/11/2024"/>
        <s v="KHI/HO/D/MO/PD COMP/E/49710/12/2024"/>
        <s v="KHI/HO/D/MO/PD COMP/E/50537/12/2024"/>
        <s v="KHI/HO/D/MO/PD COMP/E/43461/07/2024"/>
        <s v="KHI/HO/D/MO/PD COMP/E/44547/08/2024"/>
        <s v="KHI/HO/D/MO/PD COMP/E/45774/09/2024"/>
        <s v="KHI/HO/D/MO/PD COMP/E/46753/10/2024"/>
        <s v="KHI/HO/D/MO/PD COMP/E/48815/10/2024"/>
        <s v="KHI/HO/D/MO/PD COMP/E/37799/03/2024"/>
        <s v="KHI/HO/D/MO/PD COMP/E/40596/04/2024"/>
        <s v="KHI/HO/D/MO/PD COMP/E/41522/05/2024"/>
        <s v="KHI/HO/D/MO/PD COMP/E/42337/06/2024"/>
        <s v="KHI/HO/D/MO/PD COMP/E/43462/07/2024"/>
        <s v="KHI/HO/D/MO/PD COMP/E/44548/08/2024"/>
        <s v="KHI/HO/D/MO/PD COMP/E/45775/09/2024"/>
        <s v="KHI/HO/D/MO/PD COMP/E/46754/10/2024"/>
        <s v="KHI/HO/D/MO/PD COMP/E/48863/11/2024"/>
        <s v="KHI/HO/D/MO/PD COMP/E/49831/12/2024"/>
        <s v="KHI/HO/D/MO/PD COMP/E/50538/12/2024"/>
        <s v="KHI/HO/D/MO/PD COMP/E/50539/12/2024"/>
        <s v="KHI/HO/D/MO/PD COMP/E/42207/06/2024"/>
        <s v="KHI/HO/D/MO/PD COMP/E/50540/12/2024"/>
        <s v="KHI/HO/D/MO/PD COMP/E/43327/07/2024"/>
        <s v="KHI/HO/D/MO/PD COMP/E/44502/08/2024"/>
        <s v="KHI/HO/D/MO/PD COMP/E/48818/10/2024"/>
        <s v="KHI/HO/D/MO/PD COMP/E/52564/02/2025"/>
        <s v="KHI/HO/D/MO/PD COMP/E/52646/02/2025"/>
        <s v="KHI/HO/D/MO/PD COMP/E/37985/03/2024"/>
        <s v="KHI/HO/D/MO/PD COMP/E/40702/04/2024"/>
        <s v="KHI/HO/D/MO/PD COMP/E/41656/05/2024"/>
        <s v="KHI/HO/D/MO/PD COMP/E/50541/12/2024"/>
        <s v="KHI/HO/D/MO/PD COMP/E/43563/07/2024"/>
        <s v="KHI/HO/D/MO/PD COMP/E/44630/08/2024"/>
        <s v="KHI/HO/D/MO/PD COMP/E/45837/09/2024"/>
        <s v="KHI/HO/D/MO/PD COMP/E/46840/10/2024"/>
        <s v="KHI/HO/D/MO/PD COMP/E/48932/11/2024"/>
        <s v="KHI/HO/D/MO/PD COMP/E/49910/12/2024"/>
        <s v="KHI/HO/D/MO/PD COMP/E/50542/12/2024"/>
        <s v="KHI/HO/D/MO/PD COMP/E/41613/05/2024"/>
        <s v="KHI/HO/D/MO/PD COMP/E/42540/06/2024"/>
        <s v="KHI/HO/D/MO/PD COMP/E/43773/07/2024"/>
        <s v="KHI/HO/D/MO/PD COMP/E/44682/08/2024"/>
        <s v="KHI/HO/D/MO/PD COMP/E/45910/09/2024"/>
        <s v="KHI/HO/D/MO/PD COMP/E/47080/10/2024"/>
        <s v="KHI/HO/D/MO/PD COMP/E/48970/11/2024"/>
        <s v="KHI/HO/D/MO/PD COMP/E/50073/12/2024"/>
        <s v="KHI/HO/D/MO/PD COMP/E/50543/12/2024"/>
        <s v="KHI/HO/D/MO/PD COMP/E/41754/05/2024"/>
        <s v="KHI/HO/D/MO/PD COMP/E/48002/10/2024"/>
        <s v="KHI/HO/D/MO/PD COMP/E/48386/10/2024"/>
        <s v="KHI/HO/D/MO/PD COMP/E/38258/03/2024"/>
        <s v="KHI/HO/D/MO/PD COMP/E/40955/04/2024"/>
        <s v="KHI/HO/D/MO/PD COMP/E/50320/12/2024"/>
        <s v="KHI/HO/D/MO/PD COMP/E/50544/12/2024"/>
        <s v="KHI/HO/D/MO/PD COMP/E/38293/03/2024"/>
        <s v="KHI/HO/D/MO/PD COMP/E/50546/12/2024"/>
        <s v="KHI/HO/D/MO/PD COMP/E/42013/05/2024"/>
        <s v="KHI/HO/D/MO/PD COMP/E/42014/05/2024"/>
        <s v="KHI/HO/D/MO/PD COMP/E/48824/10/2024"/>
        <s v="KHI/HO/D/MO/PD COMP/E/41960/05/2024"/>
        <s v="KHI/HO/D/MO/PD COMP/E/42918/06/2024"/>
        <s v="KHI/HO/D/MO/PD COMP/E/44170/07/2024"/>
        <s v="KHI/HO/D/MO/PD COMP/E/45274/08/2024"/>
        <s v="KHI/HO/D/MO/PD COMP/E/46314/09/2024"/>
        <s v="KHI/HO/D/MO/PD COMP/E/48180/10/2024"/>
        <s v="KHI/HO/D/MO/PD COMP/E/49286/11/2024"/>
        <s v="KHI/HO/D/MO/PD COMP/E/50410/12/2024"/>
        <s v="KHI/HO/D/MO/PD COMP/E/50547/12/2024"/>
        <s v="KHI/HO/D/MO/PD COMP/E/41961/05/2024"/>
        <s v="KHI/HO/D/MO/PD COMP/E/42919/06/2024"/>
        <s v="KHI/HO/D/MO/PD COMP/E/44171/07/2024"/>
        <s v="KHI/HO/D/MO/PD COMP/E/45275/08/2024"/>
        <s v="KHI/HO/D/MO/PD COMP/E/46315/09/2024"/>
        <s v="KHI/HO/D/MO/PD COMP/E/48181/10/2024"/>
        <s v="KHI/HO/D/MO/PD COMP/E/49287/11/2024"/>
        <s v="KHI/HO/D/MO/PD COMP/E/50411/12/2024"/>
        <s v="KHI/HO/D/MO/PD COMP/E/50548/12/2024"/>
        <s v="KHI/HO/D/MO/PD COMP/E/48153/10/2024"/>
        <s v="KHI/HO/D/MO/PD COMP/E/49253/11/2024"/>
        <s v="KHI/HO/D/MO/PD COMP/E/50361/12/2024"/>
        <s v="KHI/HO/D/MO/PD COMP/E/51815/01/2025"/>
        <s v="KHI/HO/D/MO/PD COMP/E/52734/02/2025"/>
        <s v="KHI/HO/D/MO/PD COMP/E/59202/03/2025"/>
        <s v="KHI/HO/D/MO/PD COMP/E/38443/03/2024"/>
        <s v="KHI/HO/D/MO/PD COMP/E/41169/04/2024"/>
        <s v="KHI/HO/D/MO/PD COMP/E/42073/05/2024"/>
        <s v="KHI/HO/D/MO/PD COMP/E/43062/06/2024"/>
        <s v="KHI/HO/D/MO/PD COMP/E/50550/12/2024"/>
        <s v="KHI/HO/D/MO/PD COMP/E/38409/03/2024"/>
        <s v="KHI/HO/D/MO/PD COMP/E/41143/04/2024"/>
        <s v="KHI/HO/D/MO/PD COMP/E/42074/05/2024"/>
        <s v="KHI/HO/D/MO/PD COMP/E/42982/06/2024"/>
        <s v="KHI/HO/D/MO/PD COMP/E/44275/07/2024"/>
        <s v="KHI/HO/D/MO/PD COMP/E/45440/08/2024"/>
        <s v="KHI/HO/D/MO/PD COMP/E/48806/10/2024"/>
        <s v="KHI/HO/D/MO/PD COMP/E/38410/03/2024"/>
        <s v="KHI/HO/D/MO/PD COMP/E/41144/04/2024"/>
        <s v="KHI/HO/D/MO/PD COMP/E/42075/05/2024"/>
        <s v="KHI/HO/D/MO/PD COMP/E/42983/06/2024"/>
        <s v="KHI/HO/D/MO/PD COMP/E/44276/07/2024"/>
        <s v="KHI/HO/D/MO/PD COMP/E/45441/08/2024"/>
        <s v="KHI/HO/D/MO/PD COMP/E/46363/10/2024"/>
        <s v="KHI/HO/D/MO/PD COMP/E/48414/10/2024"/>
        <s v="KHI/HO/D/MO/PD COMP/E/49512/11/2024"/>
        <s v="KHI/HO/D/MO/PD COMP/E/50551/12/2024"/>
        <s v="KHI/HO/D/MO/PD COMP/E/40976/04/2024"/>
        <s v="KHI/HO/D/MO/PD COMP/E/50325/12/2024"/>
        <s v="KHI/HO/D/MO/PD COMP/E/50552/12/2024"/>
        <s v="KHI/HO/D/MO/PD COMP/E/38523/04/2024"/>
        <s v="KHI/HO/D/MO/PD COMP/E/41216/04/2024"/>
        <s v="KHI/HO/D/MO/PD COMP/E/42147/05/2024"/>
        <s v="KHI/HO/D/MO/PD COMP/E/43100/07/2024"/>
        <s v="KHI/HO/D/MO/PD COMP/E/44358/08/2024"/>
        <s v="KHI/HO/D/MO/PD COMP/E/45614/09/2024"/>
        <s v="KHI/HO/D/MO/PD COMP/E/46513/10/2024"/>
        <s v="KHI/HO/D/MO/PD COMP/E/48511/11/2024"/>
        <s v="KHI/HO/D/MO/PD COMP/E/49607/12/2024"/>
        <s v="KHI/HO/D/MO/PD COMP/E/50554/12/2024"/>
        <s v="KHI/HO/D/MO/PD COMP/E/42646/06/2024"/>
        <s v="KHI/HO/D/MO/PD COMP/E/48807/10/2024"/>
        <s v="KHI/HO/D/MO/PD COMP/E/46137/09/2024"/>
        <s v="KHI/HO/D/MO/PD COMP/E/48010/10/2024"/>
        <s v="KHI/HO/D/MO/PD COMP/E/49112/11/2024"/>
        <s v="KHI/HO/D/MO/PD COMP/E/50213/12/2024"/>
        <s v="KHI/HO/D/MO/PD COMP/E/51668/01/2025"/>
        <s v="KHI/HO/D/MO/PD COMP/E/52396/02/2025"/>
        <s v="KHI/HO/D/MO/PD COMP/E/53501/03/2025"/>
        <s v="KHI/HO/D/MO/PD COMP/E/59234/03/2025"/>
        <s v="KHI/HO/D/MO/PD COMP/E/41735/05/2024"/>
        <s v="KHI/HO/D/MO/PD COMP/E/48822/10/2024"/>
        <s v="KHI/HO/D/MO/PD COMP/E/40977/04/2024"/>
        <s v="KHI/HO/D/MO/PD COMP/E/41865/05/2024"/>
        <s v="KHI/HO/D/MO/PD COMP/E/50555/12/2024"/>
        <s v="KHI/HO/D/MO/PD COMP/E/44952/08/2024"/>
        <s v="KHI/HO/D/MO/PD COMP/E/48827/10/2024"/>
        <s v="KHI/HO/D/MO/PD COMP/E/41867/05/2024"/>
        <s v="KHI/HO/D/MO/PD COMP/E/48015/10/2024"/>
        <s v="KHI/HO/D/MO/PD COMP/E/49229/11/2024"/>
        <s v="KHI/HO/D/MO/PD COMP/E/50326/12/2024"/>
        <s v="KHI/HO/D/MO/PD COMP/E/51777/01/2025"/>
        <s v="KHI/HO/D/MO/PD COMP/E/52573/02/2025"/>
        <s v="KHI/HO/D/MO/PD COMP/E/59176/03/2025"/>
        <s v="KHI/HO/D/MO/PD COMP/E/49114/11/2024"/>
        <s v="KHI/HO/D/MO/PD COMP/E/41005/04/2024"/>
        <s v="KHI/HO/D/MO/PD COMP/E/41919/05/2024"/>
        <s v="KHI/HO/D/MO/PD COMP/E/42861/06/2024"/>
        <s v="KHI/HO/D/MO/PD COMP/E/44129/07/2024"/>
        <s v="KHI/HO/D/MO/PD COMP/E/45215/08/2024"/>
        <s v="KHI/HO/D/MO/PD COMP/E/46217/09/2024"/>
        <s v="KHI/HO/D/MO/PD COMP/E/48112/10/2024"/>
        <s v="KHI/HO/D/MO/PD COMP/E/49254/11/2024"/>
        <s v="KHI/HO/D/MO/PD COMP/E/50362/12/2024"/>
        <s v="KHI/HO/D/MO/PD COMP/E/50556/12/2024"/>
        <s v="KHI/HO/D/MO/PD COMP/E/50095/12/2024"/>
        <s v="KHI/HO/D/MO/PD COMP/E/50557/12/2024"/>
        <s v="KHI/HO/D/MO/PD COMP/E/41102/04/2024"/>
        <s v="KHI/HO/D/MO/PD COMP/E/42017/05/2024"/>
        <s v="KHI/HO/D/MO/PD COMP/E/42946/06/2024"/>
        <s v="KHI/HO/D/MO/PD COMP/E/44217/07/2024"/>
        <s v="KHI/HO/D/MO/PD COMP/E/45444/08/2024"/>
        <s v="KHI/HO/D/MO/PD COMP/E/46365/10/2024"/>
        <s v="KHI/HO/D/MO/PD COMP/E/48366/10/2024"/>
        <s v="KHI/HO/D/MO/PD COMP/E/49339/11/2024"/>
        <s v="KHI/HO/D/MO/PD COMP/E/50443/12/2024"/>
        <s v="KHI/HO/D/MO/PD COMP/E/50558/12/2024"/>
        <s v="KHI/HO/D/MO/PD COMP/E/41171/04/2024"/>
        <s v="KHI/HO/D/MO/PD COMP/E/42078/05/2024"/>
        <s v="KHI/HO/D/MO/PD COMP/E/43103/07/2024"/>
        <s v="KHI/HO/D/MO/PD COMP/E/44279/07/2024"/>
        <s v="KHI/HO/D/MO/PD COMP/E/45528/09/2024"/>
        <s v="KHI/HO/D/MO/PD COMP/E/46516/10/2024"/>
        <s v="KHI/HO/D/MO/PD COMP/E/48487/11/2024"/>
        <s v="KHI/HO/D/MO/PD COMP/E/49569/12/2024"/>
        <s v="KHI/HO/D/MO/PD COMP/E/50559/12/2024"/>
        <s v="KHI/HO/D/MO/PD COMP/E/51974/02/2025"/>
        <s v="KHI/HO/D/MO/PD COMP/E/51975/02/2025"/>
        <s v="KHI/HO/D/MO/PD COMP/E/51976/02/2025"/>
        <s v="KHI/HO/D/MO/PD COMP/E/51977/02/2025"/>
        <s v="KHI/HO/D/MO/PD COMP/E/51978/02/2025"/>
        <s v="KHI/HO/D/MO/PD COMP/E/51979/02/2025"/>
        <s v="KHI/HO/D/MO/PD COMP/E/51980/02/2025"/>
        <s v="KHI/HO/D/MO/PD COMP/E/51981/02/2025"/>
        <s v="KHI/HO/D/MO/PD COMP/E/52080/02/2025"/>
        <s v="KHI/HO/D/MO/PD COMP/E/52081/02/2025"/>
        <s v="KHI/HO/D/MO/PD COMP/E/59221/03/2025"/>
        <s v="KHI/HO/D/MO/PD COMP/E/41174/04/2024"/>
        <s v="KHI/HO/D/MO/PD COMP/E/42081/05/2024"/>
        <s v="KHI/HO/D/MO/PD COMP/E/43064/06/2024"/>
        <s v="KHI/HO/D/MO/PD COMP/E/44281/07/2024"/>
        <s v="KHI/HO/D/MO/PD COMP/E/45445/08/2024"/>
        <s v="KHI/HO/D/MO/PD COMP/E/46518/10/2024"/>
        <s v="KHI/HO/D/MO/PD COMP/E/48416/10/2024"/>
        <s v="KHI/HO/D/MO/PD COMP/E/49551/11/2024"/>
        <s v="KHI/HO/D/MO/PD COMP/E/50560/12/2024"/>
        <s v="KHI/HO/D/MO/PD COMP/E/42128/05/2024"/>
        <s v="KHI/HO/D/MO/PD COMP/E/43107/07/2024"/>
        <s v="KHI/HO/D/MO/PD COMP/E/44317/07/2024"/>
        <s v="KHI/HO/D/MO/PD COMP/E/45532/09/2024"/>
        <s v="KHI/HO/D/MO/PD COMP/E/46522/10/2024"/>
        <s v="KHI/HO/D/MO/PD COMP/E/50561/12/2024"/>
        <s v="KHI/HO/D/MO/PD COMP/E/42209/06/2024"/>
        <s v="KHI/HO/D/MO/PD COMP/E/43155/07/2024"/>
        <s v="KHI/HO/D/MO/PD COMP/E/44361/08/2024"/>
        <s v="KHI/HO/D/MO/PD COMP/E/45618/09/2024"/>
        <s v="KHI/HO/D/MO/PD COMP/E/59212/03/2025"/>
        <s v="KHI/HO/D/MO/PD COMP/E/41222/04/2024"/>
        <s v="KHI/HO/D/MO/PD COMP/E/42149/05/2024"/>
        <s v="KHI/HO/D/MO/PD COMP/E/43108/07/2024"/>
        <s v="KHI/HO/D/MO/PD COMP/E/44362/08/2024"/>
        <s v="KHI/HO/D/MO/PD COMP/E/45620/09/2024"/>
        <s v="KHI/HO/D/MO/PD COMP/E/46523/10/2024"/>
        <s v="KHI/HO/D/MO/PD COMP/E/48513/11/2024"/>
        <s v="KHI/HO/D/MO/PD COMP/E/49612/12/2024"/>
        <s v="KHI/HO/D/MO/PD COMP/E/50562/12/2024"/>
        <s v="KHI/HO/D/MO/PD COMP/E/41224/04/2024"/>
        <s v="KHI/HO/D/MO/PD COMP/E/42150/05/2024"/>
        <s v="KHI/HO/D/MO/PD COMP/E/43110/07/2024"/>
        <s v="KHI/HO/D/MO/PD COMP/E/44363/08/2024"/>
        <s v="KHI/HO/D/MO/PD COMP/E/45621/09/2024"/>
        <s v="KHI/HO/D/MO/PD COMP/E/46524/10/2024"/>
        <s v="KHI/HO/D/MO/PD COMP/E/48514/11/2024"/>
        <s v="KHI/HO/D/MO/PD COMP/E/49614/12/2024"/>
        <s v="KHI/HO/D/MO/PD COMP/E/50564/12/2024"/>
        <s v="KHI/HO/D/MO/PD COMP/E/41541/05/2024"/>
        <s v="KHI/HO/D/MO/PD COMP/E/43330/07/2024"/>
        <s v="KHI/HO/D/MO/PD COMP/E/43331/07/2024"/>
        <s v="KHI/HO/D/MO/PD COMP/E/59175/03/2025"/>
        <s v="KHI/HO/D/MO/PD COMP/E/44552/08/2024"/>
        <s v="KHI/HO/D/MO/PD COMP/E/45779/09/2024"/>
        <s v="KHI/HO/D/MO/PD COMP/E/46758/10/2024"/>
        <s v="KHI/HO/D/MO/PD COMP/E/48872/11/2024"/>
        <s v="KHI/HO/D/MO/PD COMP/E/49835/12/2024"/>
        <s v="KHI/HO/D/MO/PD COMP/E/50565/12/2024"/>
        <s v="KHI/HO/D/MO/PD COMP/E/46712/10/2024"/>
        <s v="KHI/HO/D/MO/PD COMP/E/48653/11/2024"/>
        <s v="KHI/HO/D/MO/PD COMP/E/49782/12/2024"/>
        <s v="KHI/HO/D/MO/PD COMP/E/50835/01/2025"/>
        <s v="KHI/HO/D/MO/PD COMP/E/52085/02/2025"/>
        <s v="KHI/HO/D/MO/PD COMP/E/52888/03/2025"/>
        <s v="KHI/HO/D/MO/PD COMP/E/59222/03/2025"/>
        <s v="KHI/HO/D/MO/PD COMP/E/41550/05/2024"/>
        <s v="KHI/HO/D/MO/PD COMP/E/42292/06/2024"/>
        <s v="KHI/HO/D/MO/PD COMP/E/43333/07/2024"/>
        <s v="KHI/HO/D/MO/PD COMP/E/50566/12/2024"/>
        <s v="KHI/HO/D/MO/PD COMP/E/41551/05/2024"/>
        <s v="KHI/HO/D/MO/PD COMP/E/44582/08/2024"/>
        <s v="KHI/HO/D/MO/PD COMP/E/45841/09/2024"/>
        <s v="KHI/HO/D/MO/PD COMP/E/47087/10/2024"/>
        <s v="KHI/HO/D/MO/PD COMP/E/50567/12/2024"/>
        <s v="KHI/HO/D/MO/PD COMP/E/52889/03/2025"/>
        <s v="KHI/HO/D/MO/PD COMP/E/59225/03/2025"/>
        <s v="KHI/HO/D/MO/PD COMP/E/41617/05/2024"/>
        <s v="KHI/HO/D/MO/PD COMP/E/42541/06/2024"/>
        <s v="KHI/HO/D/MO/PD COMP/E/43777/07/2024"/>
        <s v="KHI/HO/D/MO/PD COMP/E/44687/08/2024"/>
        <s v="KHI/HO/D/MO/PD COMP/E/45915/09/2024"/>
        <s v="KHI/HO/D/MO/PD COMP/E/47088/10/2024"/>
        <s v="KHI/HO/D/MO/PD COMP/E/48971/11/2024"/>
        <s v="KHI/HO/D/MO/PD COMP/E/50076/12/2024"/>
        <s v="KHI/HO/D/MO/PD COMP/E/50568/12/2024"/>
        <s v="KHI/HO/D/MO/PD COMP/E/42295/06/2024"/>
        <s v="KHI/HO/D/MO/PD COMP/E/44511/08/2024"/>
        <s v="KHI/HO/D/MO/PD COMP/E/45737/09/2024"/>
        <s v="KHI/HO/D/MO/PD COMP/E/46715/10/2024"/>
        <s v="KHI/HO/D/MO/PD COMP/E/48572/11/2024"/>
        <s v="KHI/HO/D/MO/PD COMP/E/50569/12/2024"/>
        <s v="KHI/HO/D/MO/PD COMP/E/41757/05/2024"/>
        <s v="KHI/HO/D/MO/PD COMP/E/42752/06/2024"/>
        <s v="KHI/HO/D/MO/PD COMP/E/43961/07/2024"/>
        <s v="KHI/HO/D/MO/PD COMP/E/44861/08/2024"/>
        <s v="KHI/HO/D/MO/PD COMP/E/46106/09/2024"/>
        <s v="KHI/HO/D/MO/PD COMP/E/48023/10/2024"/>
        <s v="KHI/HO/D/MO/PD COMP/E/49118/11/2024"/>
        <s v="KHI/HO/D/MO/PD COMP/E/50249/12/2024"/>
        <s v="KHI/HO/D/MO/PD COMP/E/50570/12/2024"/>
        <s v="KHI/HO/D/MO/PD COMP/E/50616/12/2024"/>
        <s v="KHI/HO/D/MO/PD COMP/E/51874/01/2025"/>
        <s v="KHI/HO/D/MO/PD COMP/E/52764/02/2025"/>
        <s v="KHI/HO/D/MO/PD COMP/E/59007/03/2025"/>
        <s v="KHI/HO/D/MO/PD COMP/E/59228/03/2025"/>
        <s v="KHI/HO/D/MO/PD COMP/E/41287/05/2024"/>
        <s v="KHI/HO/D/MO/PD COMP/E/48801/10/2024"/>
        <s v="KHI/HO/D/MO/PD COMP/E/41758/05/2024"/>
        <s v="KHI/HO/D/MO/PD COMP/E/42754/06/2024"/>
        <s v="KHI/HO/D/MO/PD COMP/E/43963/07/2024"/>
        <s v="KHI/HO/D/MO/PD COMP/E/44862/08/2024"/>
        <s v="KHI/HO/D/MO/PD COMP/E/46107/09/2024"/>
        <s v="KHI/HO/D/MO/PD COMP/E/48025/10/2024"/>
        <s v="KHI/HO/D/MO/PD COMP/E/48810/10/2024"/>
        <s v="KHI/HO/D/MO/PD COMP/E/41759/05/2024"/>
        <s v="KHI/HO/D/MO/PD COMP/E/42755/06/2024"/>
        <s v="KHI/HO/D/MO/PD COMP/E/43964/07/2024"/>
        <s v="KHI/HO/D/MO/PD COMP/E/44863/08/2024"/>
        <s v="KHI/HO/D/MO/PD COMP/E/46108/09/2024"/>
        <s v="KHI/HO/D/MO/PD COMP/E/48026/10/2024"/>
        <s v="KHI/HO/D/MO/PD COMP/E/49120/11/2024"/>
        <s v="KHI/HO/D/MO/PD COMP/E/50250/12/2024"/>
        <s v="KHI/HO/D/MO/PD COMP/E/50573/12/2024"/>
        <s v="KHI/HO/D/MO/PD COMP/E/41762/05/2024"/>
        <s v="KHI/HO/D/MO/PD COMP/E/42758/06/2024"/>
        <s v="KHI/HO/D/MO/PD COMP/E/43967/07/2024"/>
        <s v="KHI/HO/D/MO/PD COMP/E/44819/08/2024"/>
        <s v="KHI/HO/D/MO/PD COMP/E/46046/09/2024"/>
        <s v="KHI/HO/D/MO/PD COMP/E/48034/10/2024"/>
        <s v="KHI/HO/D/MO/PD COMP/E/49123/11/2024"/>
        <s v="KHI/HO/D/MO/PD COMP/E/50218/12/2024"/>
        <s v="KHI/HO/D/MO/PD COMP/E/59169/03/2025"/>
        <s v="KHI/HO/D/MO/PD COMP/E/41965/05/2024"/>
        <s v="KHI/HO/D/MO/PD COMP/E/42923/06/2024"/>
        <s v="KHI/HO/D/MO/PD COMP/E/44176/07/2024"/>
        <s v="KHI/HO/D/MO/PD COMP/E/45283/08/2024"/>
        <s v="KHI/HO/D/MO/PD COMP/E/46320/09/2024"/>
        <s v="KHI/HO/D/MO/PD COMP/E/48185/10/2024"/>
        <s v="KHI/HO/D/MO/PD COMP/E/48808/10/2024"/>
        <s v="KHI/HO/D/MO/PD COMP/E/50363/12/2024"/>
        <s v="KHI/HO/D/MO/PD COMP/E/51650/01/2025"/>
        <s v="KHI/HO/D/MO/PD COMP/E/49290/11/2024"/>
        <s v="KHI/HO/D/MO/PD COMP/E/50417/12/2024"/>
        <s v="KHI/HO/D/MO/PD COMP/E/51857/01/2025"/>
        <s v="KHI/HO/D/MO/PD COMP/E/52634/02/2025"/>
        <s v="KHI/HO/D/MO/PD COMP/E/59174/03/2025"/>
        <s v="KHI/HO/D/MO/PD COMP/E/48963/11/2024"/>
        <s v="KHI/HO/D/MO/PD COMP/E/42086/05/2024"/>
        <s v="KHI/HO/D/MO/PD COMP/E/43112/07/2024"/>
        <s v="KHI/HO/D/MO/PD COMP/E/44286/07/2024"/>
        <s v="KHI/HO/D/MO/PD COMP/E/45533/09/2024"/>
        <s v="KHI/HO/D/MO/PD COMP/E/59178/03/2025"/>
        <s v="KHI/HO/D/MO/PD COMP/E/42211/06/2024"/>
        <s v="KHI/HO/D/MO/PD COMP/E/43157/07/2024"/>
        <s v="KHI/HO/D/MO/PD COMP/E/44415/08/2024"/>
        <s v="KHI/HO/D/MO/PD COMP/E/45626/09/2024"/>
        <s v="KHI/HO/D/MO/PD COMP/E/46717/10/2024"/>
        <s v="KHI/HO/D/MO/PD COMP/E/48574/11/2024"/>
        <s v="KHI/HO/D/MO/PD COMP/E/48811/10/2024"/>
        <s v="KHI/HO/D/MO/PD COMP/E/42212/06/2024"/>
        <s v="KHI/HO/D/MO/PD COMP/E/43158/07/2024"/>
        <s v="KHI/HO/D/MO/PD COMP/E/44416/08/2024"/>
        <s v="KHI/HO/D/MO/PD COMP/E/45627/09/2024"/>
        <s v="KHI/HO/D/MO/PD COMP/E/46718/10/2024"/>
        <s v="KHI/HO/D/MO/PD COMP/E/48575/11/2024"/>
        <s v="KHI/HO/D/MO/PD COMP/E/49720/12/2024"/>
        <s v="KHI/HO/D/MO/PD COMP/E/50575/12/2024"/>
        <s v="KHI/HO/D/MO/PD COMP/E/50839/01/2025"/>
        <s v="KHI/HO/D/MO/PD COMP/E/52088/02/2025"/>
        <s v="KHI/HO/D/MO/PD COMP/E/59185/03/2025"/>
        <s v="KHI/HO/D/MO/PD COMP/E/42346/06/2024"/>
        <s v="KHI/HO/D/MO/PD COMP/E/43375/07/2024"/>
        <s v="KHI/HO/D/MO/PD COMP/E/44514/08/2024"/>
        <s v="KHI/HO/D/MO/PD COMP/E/48821/10/2024"/>
        <s v="KHI/HO/D/MO/PD COMP/E/43478/07/2024"/>
        <s v="KHI/HO/D/MO/PD COMP/E/48876/11/2024"/>
        <s v="KHI/HO/D/MO/PD COMP/E/49870/12/2024"/>
        <s v="KHI/HO/D/MO/PD COMP/E/50577/12/2024"/>
        <s v="KHI/HO/D/MO/PD COMP/E/42619/06/2024"/>
        <s v="KHI/HO/D/MO/PD COMP/E/48819/10/2024"/>
        <s v="KHI/HO/D/MO/PD COMP/E/49058/11/2024"/>
        <s v="KHI/HO/D/MO/PD COMP/E/50161/12/2024"/>
        <s v="KHI/HO/D/MO/PD COMP/E/50579/12/2024"/>
        <s v="KHI/HO/D/MO/PD COMP/E/43973/07/2024"/>
        <s v="KHI/HO/D/MO/PD COMP/E/44871/08/2024"/>
        <s v="KHI/HO/D/MO/PD COMP/E/46117/09/2024"/>
        <s v="KHI/HO/D/MO/PD COMP/E/48042/10/2024"/>
        <s v="KHI/HO/D/MO/PD COMP/E/49129/11/2024"/>
        <s v="KHI/HO/D/MO/PD COMP/E/50256/12/2024"/>
        <s v="KHI/HO/D/MO/PD COMP/E/50580/12/2024"/>
        <s v="KHI/HO/D/MO/PD COMP/E/42948/06/2024"/>
        <s v="KHI/HO/D/MO/PD COMP/E/44223/07/2024"/>
        <s v="KHI/HO/D/MO/PD COMP/E/45453/08/2024"/>
        <s v="KHI/HO/D/MO/PD COMP/E/59210/03/2025"/>
        <s v="KHI/HO/D/MO/PD COMP/E/43117/07/2024"/>
        <s v="KHI/HO/D/MO/PD COMP/E/45536/09/2024"/>
        <s v="KHI/HO/D/MO/PD COMP/E/45537/09/2024"/>
        <s v="KHI/HO/D/MO/PD COMP/E/46531/10/2024"/>
        <s v="KHI/HO/D/MO/PD COMP/E/48490/11/2024"/>
        <s v="KHI/HO/D/MO/PD COMP/E/49619/12/2024"/>
        <s v="KHI/HO/D/MO/PD COMP/E/50581/12/2024"/>
        <s v="KHI/HO/D/MO/PD COMP/E/43118/07/2024"/>
        <s v="KHI/HO/D/MO/PD COMP/E/44320/07/2024"/>
        <s v="KHI/HO/D/MO/PD COMP/E/45539/09/2024"/>
        <s v="KHI/HO/D/MO/PD COMP/E/46533/10/2024"/>
        <s v="KHI/HO/D/MO/PD COMP/E/48492/11/2024"/>
        <s v="KHI/HO/D/MO/PD COMP/E/49621/12/2024"/>
        <s v="KHI/HO/D/MO/PD COMP/E/50582/12/2024"/>
        <s v="KHI/HO/D/MO/PD COMP/E/43120/07/2024"/>
        <s v="KHI/HO/D/MO/PD COMP/E/48802/10/2024"/>
        <s v="KHI/HO/D/MO/PD COMP/E/43159/07/2024"/>
        <s v="KHI/HO/D/MO/PD COMP/E/44380/08/2024"/>
        <s v="KHI/HO/D/MO/PD COMP/E/45630/09/2024"/>
        <s v="KHI/HO/D/MO/PD COMP/E/46537/10/2024"/>
        <s v="KHI/HO/D/MO/PD COMP/E/48579/11/2024"/>
        <s v="KHI/HO/D/MO/PD COMP/E/48797/10/2024"/>
        <s v="KHI/HO/D/MO/PD COMP/E/46539/10/2024"/>
        <s v="KHI/HO/D/MO/PD COMP/E/48581/11/2024"/>
        <s v="KHI/HO/D/MO/PD COMP/E/49723/12/2024"/>
        <s v="KHI/HO/D/MO/PD COMP/E/50696/01/2025"/>
        <s v="KHI/HO/D/MO/PD COMP/E/52009/02/2025"/>
        <s v="KHI/HO/D/MO/PD COMP/E/52848/03/2025"/>
        <s v="KHI/HO/D/MO/PD COMP/E/59183/03/2025"/>
        <s v="KHI/HO/D/MO/PD COMP/E/43162/07/2024"/>
        <s v="KHI/HO/D/MO/PD COMP/E/44384/08/2024"/>
        <s v="KHI/HO/D/MO/PD COMP/E/45635/09/2024"/>
        <s v="KHI/HO/D/MO/PD COMP/E/46541/10/2024"/>
        <s v="KHI/HO/D/MO/PD COMP/E/48583/11/2024"/>
        <s v="KHI/HO/D/MO/PD COMP/E/49725/12/2024"/>
        <s v="KHI/HO/D/MO/PD COMP/E/50583/12/2024"/>
        <s v="KHI/HO/D/MO/PD COMP/E/43339/07/2024"/>
        <s v="KHI/HO/D/MO/PD COMP/E/44518/08/2024"/>
        <s v="KHI/HO/D/MO/PD COMP/E/45743/09/2024"/>
        <s v="KHI/HO/D/MO/PD COMP/E/46725/10/2024"/>
        <s v="KHI/HO/D/MO/PD COMP/E/48659/11/2024"/>
        <s v="KHI/HO/D/MO/PD COMP/E/49788/12/2024"/>
        <s v="KHI/HO/D/MO/PD COMP/E/50584/12/2024"/>
        <s v="KHI/HO/D/MO/PD COMP/E/53094/03/2025"/>
        <s v="KHI/HO/D/MO/PD COMP/E/59219/03/2025"/>
        <s v="KHI/HO/D/MO/PD COMP/E/47097/10/2024"/>
        <s v="KHI/HO/D/MO/PD COMP/E/48941/11/2024"/>
        <s v="KHI/HO/D/MO/PD COMP/E/49952/12/2024"/>
        <s v="KHI/HO/D/MO/PD COMP/E/51525/01/2025"/>
        <s v="KHI/HO/D/MO/PD COMP/E/52246/02/2025"/>
        <s v="KHI/HO/D/MO/PD COMP/E/53159/03/2025"/>
        <s v="KHI/HO/D/MO/PD COMP/E/59216/03/2025"/>
        <s v="KHI/HO/D/MO/PD COMP/E/43849/07/2024"/>
        <s v="KHI/HO/D/MO/PD COMP/E/48826/10/2024"/>
        <s v="KHI/HO/D/MO/PD COMP/E/50101/12/2024"/>
        <s v="KHI/HO/D/MO/PD COMP/E/59200/03/2025"/>
        <s v="KHI/HO/D/MO/PD COMP/E/50370/12/2024"/>
        <s v="KHI/HO/D/MO/PD COMP/E/50586/12/2024"/>
        <s v="KHI/HO/D/MO/PD COMP/E/49072/11/2024"/>
        <s v="KHI/HO/D/MO/PD COMP/E/50164/12/2024"/>
        <s v="KHI/HO/D/MO/PD COMP/E/51636/01/2025"/>
        <s v="KHI/HO/D/MO/PD COMP/E/52409/02/2025"/>
        <s v="KHI/HO/D/MO/PD COMP/E/53520/03/2025"/>
        <s v="KHI/HO/D/MO/PD COMP/E/59208/03/2025"/>
        <s v="KHI/HO/D/MO/PD COMP/E/44295/07/2024"/>
        <s v="KHI/HO/D/MO/PD COMP/E/45459/08/2024"/>
        <s v="KHI/HO/D/MO/PD COMP/E/46543/10/2024"/>
        <s v="KHI/HO/D/MO/PD COMP/E/48426/10/2024"/>
        <s v="KHI/HO/D/MO/PD COMP/E/49555/11/2024"/>
        <s v="KHI/HO/D/MO/PD COMP/E/50587/12/2024"/>
        <s v="KHI/HO/D/MO/PD COMP/E/44140/07/2024"/>
        <s v="KHI/HO/D/MO/PD COMP/E/44969/08/2024"/>
        <s v="KHI/HO/D/MO/PD COMP/E/46235/09/2024"/>
        <s v="KHI/HO/D/MO/PD COMP/E/48047/10/2024"/>
        <s v="KHI/HO/D/MO/PD COMP/E/49233/11/2024"/>
        <s v="KHI/HO/D/MO/PD COMP/E/50338/12/2024"/>
        <s v="KHI/HO/D/MO/PD COMP/E/50589/12/2024"/>
        <s v="KHI/HO/D/MO/PD COMP/E/46123/09/2024"/>
        <s v="KHI/HO/D/MO/PD COMP/E/48125/10/2024"/>
        <s v="KHI/HO/D/MO/PD COMP/E/48796/10/2024"/>
        <s v="KHI/HO/D/MO/PD COMP/E/44526/08/2024"/>
        <s v="KHI/HO/D/MO/PD COMP/E/45753/09/2024"/>
        <s v="KHI/HO/D/MO/PD COMP/E/46767/10/2024"/>
        <s v="KHI/HO/D/MO/PD COMP/E/59181/03/2025"/>
        <s v="KHI/HO/D/MO/PD COMP/E/44700/08/2024"/>
        <s v="KHI/HO/D/MO/PD COMP/E/45928/09/2024"/>
        <s v="KHI/HO/D/MO/PD COMP/E/47113/10/2024"/>
        <s v="KHI/HO/D/MO/PD COMP/E/48950/11/2024"/>
        <s v="KHI/HO/D/MO/PD COMP/E/50084/12/2024"/>
        <s v="KHI/HO/D/MO/PD COMP/E/50591/12/2024"/>
        <s v="KHI/HO/D/MO/PD COMP/E/45929/09/2024"/>
        <s v="KHI/HO/D/MO/PD COMP/E/50592/12/2024"/>
        <s v="KHI/HO/D/MO/PD COMP/E/48429/10/2024"/>
        <s v="KHI/HO/D/MO/PD COMP/E/49521/11/2024"/>
        <s v="KHI/HO/D/MO/PD COMP/E/50626/12/2024"/>
        <s v="KHI/HO/D/MO/PD COMP/E/51888/01/2025"/>
        <s v="KHI/HO/D/MO/PD COMP/E/52771/02/2025"/>
        <s v="KHI/HO/D/MO/PD COMP/E/59022/03/2025"/>
        <s v="KHI/HO/D/MO/PD COMP/E/59224/03/2025"/>
        <s v="KHI/HO/D/MO/PD COMP/E/45292/08/2024"/>
        <s v="KHI/HO/D/MO/PD COMP/E/46327/09/2024"/>
        <s v="KHI/HO/D/MO/PD COMP/E/48188/10/2024"/>
        <s v="KHI/HO/D/MO/PD COMP/E/48831/10/2024"/>
        <s v="KHI/HO/D/MO/PD COMP/E/46550/10/2024"/>
        <s v="KHI/HO/D/MO/PD COMP/E/59097/04/2025"/>
        <s v="KHI/HO/D/MO/PD COMP/E/59196/03/2025"/>
        <s v="KHI/HO/D/MO/PD COMP/E/59099/04/2025"/>
        <s v="KHI/HO/D/MO/PD COMP/E/59227/03/2025"/>
        <s v="KHI/HO/D/MO/PD COMP/E/46554/10/2024"/>
        <s v="KHI/HO/D/MO/PD COMP/E/48521/11/2024"/>
        <s v="KHI/HO/D/MO/PD COMP/E/49630/12/2024"/>
        <s v="KHI/HO/D/MO/PD COMP/E/50699/01/2025"/>
        <s v="KHI/HO/D/MO/PD COMP/E/52012/02/2025"/>
        <s v="KHI/HO/D/MO/PD COMP/E/52808/02/2025"/>
        <s v="KHI/HO/D/MO/PD COMP/E/59101/04/2025"/>
        <s v="KHI/HO/D/MO/PD COMP/E/59179/03/2025"/>
        <s v="KHI/HO/D/MO/PD COMP/E/46560/10/2024"/>
        <s v="KHI/HO/D/MO/PD COMP/E/48505/11/2024"/>
        <s v="KHI/HO/D/MO/PD COMP/E/49577/12/2024"/>
        <s v="KHI/HO/D/MO/PD COMP/E/50674/12/2024"/>
        <s v="KHI/HO/D/MO/PD COMP/E/51936/01/2025"/>
        <s v="KHI/HO/D/MO/PD COMP/E/59180/03/2025"/>
        <s v="KHI/HO/D/MO/PD COMP/E/46735/10/2024"/>
        <s v="KHI/HO/D/MO/PD COMP/E/48591/11/2024"/>
        <s v="KHI/HO/D/MO/PD COMP/E/49734/12/2024"/>
        <s v="KHI/HO/D/MO/PD COMP/E/50731/01/2025"/>
        <s v="KHI/HO/D/MO/PD COMP/E/52061/02/2025"/>
        <s v="KHI/HO/D/MO/PD COMP/E/52859/03/2025"/>
        <s v="KHI/HO/D/MO/PD COMP/E/59150/04/2025"/>
        <s v="KHI/HO/D/MO/PD COMP/E/59173/03/2025"/>
        <s v="KHI/HO/D/MO/PD COMP/E/50853/01/2025"/>
        <s v="KHI/HO/D/MO/PD COMP/E/59215/03/2025"/>
        <s v="KHI/HO/D/MO/PD COMP/E/46847/10/2024"/>
        <s v="KHI/HO/D/MO/PD COMP/E/48953/11/2024"/>
        <s v="KHI/HO/D/MO/PD COMP/E/49924/12/2024"/>
        <s v="KHI/HO/D/MO/PD COMP/E/59171/03/2025"/>
        <s v="KHI/HO/D/MO/PD COMP/E/49352/11/2024"/>
        <s v="KHI/HO/D/MO/PD COMP/E/50422/12/2024"/>
        <s v="KHI/HO/D/MO/PD COMP/E/51897/01/2025"/>
        <s v="KHI/HO/D/MO/PD COMP/E/52749/02/2025"/>
        <s v="KHI/HO/D/MO/PD COMP/E/58983/03/2025"/>
        <s v="KHI/HO/D/MO/PD COMP/E/59235/03/2025"/>
      </sharedItems>
    </cacheField>
    <cacheField name="Branch CoverNote No." numFmtId="0">
      <sharedItems/>
    </cacheField>
    <cacheField name="Class" numFmtId="0">
      <sharedItems/>
    </cacheField>
    <cacheField name="Issue Date" numFmtId="165">
      <sharedItems containsSemiMixedTypes="0" containsNonDate="0" containsDate="1" containsString="0" minDate="2021-12-12T00:00:00" maxDate="2025-04-05T00:00:00"/>
    </cacheField>
    <cacheField name="Period_x000a_From" numFmtId="165">
      <sharedItems containsSemiMixedTypes="0" containsNonDate="0" containsDate="1" containsString="0" minDate="2021-09-21T00:00:00" maxDate="2024-10-26T00:00:00"/>
    </cacheField>
    <cacheField name="Period_x000a_To" numFmtId="165">
      <sharedItems containsSemiMixedTypes="0" containsNonDate="0" containsDate="1" containsString="0" minDate="2022-09-20T00:00:00" maxDate="2025-10-25T00:00:00"/>
    </cacheField>
    <cacheField name="Client_x000a_Code" numFmtId="0">
      <sharedItems/>
    </cacheField>
    <cacheField name="Client Name" numFmtId="0">
      <sharedItems/>
    </cacheField>
    <cacheField name="Insured Name" numFmtId="0">
      <sharedItems containsBlank="1"/>
    </cacheField>
    <cacheField name="Vehicle Name" numFmtId="0">
      <sharedItems containsBlank="1"/>
    </cacheField>
    <cacheField name="REG" numFmtId="0">
      <sharedItems containsBlank="1"/>
    </cacheField>
    <cacheField name="ENGINE" numFmtId="0">
      <sharedItems containsBlank="1"/>
    </cacheField>
    <cacheField name="CHASSIS" numFmtId="0">
      <sharedItems containsBlank="1"/>
    </cacheField>
    <cacheField name="MODEL" numFmtId="0">
      <sharedItems containsBlank="1"/>
    </cacheField>
    <cacheField name="NIC" numFmtId="0">
      <sharedItems containsBlank="1"/>
    </cacheField>
    <cacheField name="MOBILE" numFmtId="0">
      <sharedItems containsNonDate="0" containsString="0" containsBlank="1"/>
    </cacheField>
    <cacheField name="Type" numFmtId="0">
      <sharedItems/>
    </cacheField>
    <cacheField name="AGENCY CODE" numFmtId="0">
      <sharedItems/>
    </cacheField>
    <cacheField name="Sum Covered" numFmtId="0">
      <sharedItems containsString="0" containsBlank="1" containsNumber="1" containsInteger="1" minValue="-7400000" maxValue="22500000"/>
    </cacheField>
    <cacheField name="Gross" numFmtId="166">
      <sharedItems containsSemiMixedTypes="0" containsString="0" containsNumber="1" containsInteger="1" minValue="-459660" maxValue="390350"/>
    </cacheField>
    <cacheField name="FIF" numFmtId="166">
      <sharedItems containsSemiMixedTypes="0" containsString="0" containsNumber="1" containsInteger="1" minValue="-4597" maxValue="3904"/>
    </cacheField>
    <cacheField name="FED" numFmtId="166">
      <sharedItems containsSemiMixedTypes="0" containsString="0" containsNumber="1" containsInteger="1" minValue="-8912" maxValue="50746"/>
    </cacheField>
    <cacheField name="SD" numFmtId="166">
      <sharedItems containsSemiMixedTypes="0" containsString="0" containsNumber="1" containsInteger="1" minValue="-50" maxValue="500"/>
    </cacheField>
    <cacheField name="Net " numFmtId="167">
      <sharedItems containsSemiMixedTypes="0" containsString="0" containsNumber="1" containsInteger="1" minValue="-464257" maxValue="445000"/>
    </cacheField>
    <cacheField name="Paid" numFmtId="167">
      <sharedItems containsSemiMixedTypes="0" containsString="0" containsNumber="1" containsInteger="1" minValue="-45000" maxValue="78781"/>
    </cacheField>
    <cacheField name="Co Paid" numFmtId="3">
      <sharedItems containsSemiMixedTypes="0" containsString="0" containsNumber="1" containsInteger="1" minValue="0" maxValue="0"/>
    </cacheField>
    <cacheField name="Outstanding" numFmtId="166">
      <sharedItems containsSemiMixedTypes="0" containsString="0" containsNumber="1" containsInteger="1" minValue="-464257" maxValue="445000"/>
    </cacheField>
    <cacheField name="Not Due" numFmtId="166">
      <sharedItems containsSemiMixedTypes="0" containsString="0" containsNumber="1" containsInteger="1" minValue="0" maxValue="0"/>
    </cacheField>
    <cacheField name="Due" numFmtId="166">
      <sharedItems containsSemiMixedTypes="0" containsString="0" containsNumber="1" containsInteger="1" minValue="-464257" maxValue="445000"/>
    </cacheField>
    <cacheField name="Leader Name" numFmtId="0">
      <sharedItems containsNonDate="0" containsString="0" containsBlank="1"/>
    </cacheField>
    <cacheField name="Leader Policy No" numFmtId="0">
      <sharedItems containsBlank="1"/>
    </cacheField>
    <cacheField name="Leader Endr No" numFmtId="0">
      <sharedItems containsNonDate="0" containsString="0" containsBlank="1"/>
    </cacheField>
    <cacheField name="Custodian Name" numFmtId="0">
      <sharedItems containsBlank="1"/>
    </cacheField>
    <cacheField name="Actual Milage" numFmtId="0">
      <sharedItems containsString="0" containsBlank="1" containsNumber="1" minValue="0.17" maxValue="9550.399999999976"/>
    </cacheField>
    <cacheField name="Charge Milage" numFmtId="0">
      <sharedItems containsString="0" containsBlank="1" containsNumber="1" minValue="0.17" maxValue="3587.749118148773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8">
  <r>
    <n v="2"/>
    <x v="0"/>
    <x v="0"/>
    <s v=" -"/>
    <s v=" MOTOR"/>
    <d v="2021-12-22T00:00:00"/>
    <d v="2021-09-21T00:00:00"/>
    <d v="2022-09-20T00:00:00"/>
    <s v=" 08802641"/>
    <s v="Mr. Muhammad Ramzan_x000a_CNIC# 17101-4623280-9_x000a_CELL# 0333-9558134 / 0347-9002576"/>
    <m/>
    <s v="TOYOTA COROLLA  XLI"/>
    <s v="WD-206"/>
    <s v="Y558252"/>
    <s v="NZE140-2138364"/>
    <s v="2012"/>
    <s v="17101-4623280-9"/>
    <m/>
    <s v=" D"/>
    <s v="09000221-Muhammad Irfan"/>
    <n v="1900000"/>
    <n v="1956"/>
    <n v="20"/>
    <n v="255"/>
    <n v="0"/>
    <n v="2231"/>
    <n v="0"/>
    <n v="0"/>
    <n v="2231"/>
    <n v="0"/>
    <n v="2231"/>
    <m/>
    <m/>
    <m/>
    <m/>
    <m/>
    <m/>
    <s v="mayazkhan957@gmail.com"/>
  </r>
  <r>
    <n v="3"/>
    <x v="0"/>
    <x v="1"/>
    <s v=" -"/>
    <s v=" MOTOR"/>
    <d v="2024-10-31T00:00:00"/>
    <d v="2021-09-21T00:00:00"/>
    <d v="2022-09-20T00:00:00"/>
    <s v=" 08802641"/>
    <s v="Mr. Muhammad Ramzan_x000a_CNIC# 17101-4623280-9_x000a_CELL# 0333-9558134 / 0347-9002576"/>
    <m/>
    <s v="TOYOTA COROLLA  XLI"/>
    <s v="WD-206"/>
    <s v="Y558252"/>
    <s v="NZE140-2138364"/>
    <s v="2012"/>
    <s v="17101-4623280-9"/>
    <m/>
    <s v=" D"/>
    <s v="09000221-Muhammad Irfan"/>
    <n v="-1"/>
    <n v="-2209"/>
    <n v="-22"/>
    <n v="0"/>
    <n v="0"/>
    <n v="-2231"/>
    <n v="0"/>
    <n v="0"/>
    <n v="-2231"/>
    <n v="0"/>
    <n v="-2231"/>
    <m/>
    <m/>
    <m/>
    <m/>
    <m/>
    <m/>
    <m/>
  </r>
  <r>
    <n v="4"/>
    <x v="1"/>
    <x v="2"/>
    <s v=" -"/>
    <s v=" MOTOR"/>
    <d v="2022-01-31T00:00:00"/>
    <d v="2021-11-08T00:00:00"/>
    <d v="2022-11-07T00:00:00"/>
    <s v=" 08803143"/>
    <s v="Ms. Mumtaz Bushra_x000a_CELL# 03348706662"/>
    <m/>
    <s v="NISSAN DAYZ"/>
    <s v="AHY-973"/>
    <s v="3B20-JY6220"/>
    <s v="B21W-0222046"/>
    <s v="2015"/>
    <s v="33100-4566935-6"/>
    <m/>
    <s v=" D"/>
    <s v="09000221-Muhammad Irfan"/>
    <n v="1400000"/>
    <n v="2436"/>
    <n v="25"/>
    <n v="316"/>
    <n v="0"/>
    <n v="2777"/>
    <n v="813"/>
    <n v="0"/>
    <n v="1964"/>
    <n v="0"/>
    <n v="1964"/>
    <m/>
    <m/>
    <m/>
    <m/>
    <m/>
    <m/>
    <m/>
  </r>
  <r>
    <n v="5"/>
    <x v="1"/>
    <x v="3"/>
    <s v=" -"/>
    <s v=" MOTOR"/>
    <d v="2022-10-11T00:00:00"/>
    <d v="2021-11-08T00:00:00"/>
    <d v="2022-11-07T00:00:00"/>
    <s v=" 08803143"/>
    <s v="Ms. Mumtaz Bushra_x000a_CELL# 03348706662"/>
    <m/>
    <s v="NISSAN DAYZ"/>
    <s v="AHY-973"/>
    <s v="3B20-JY6220"/>
    <s v="B21W-0222046"/>
    <s v="2015"/>
    <s v="33100-4566935-6"/>
    <m/>
    <s v=" D"/>
    <s v="09000221-Muhammad Irfan"/>
    <n v="1400000"/>
    <n v="1124"/>
    <n v="12"/>
    <n v="146"/>
    <n v="0"/>
    <n v="1282"/>
    <n v="0"/>
    <n v="0"/>
    <n v="1282"/>
    <n v="0"/>
    <n v="1282"/>
    <m/>
    <m/>
    <m/>
    <m/>
    <n v="2106.4182090347349"/>
    <n v="1327.8243493516572"/>
    <m/>
  </r>
  <r>
    <n v="6"/>
    <x v="1"/>
    <x v="4"/>
    <s v=" -"/>
    <s v=" MOTOR"/>
    <d v="2024-10-31T00:00:00"/>
    <d v="2021-11-08T00:00:00"/>
    <d v="2022-11-07T00:00:00"/>
    <s v=" 08803143"/>
    <s v="Ms. Mumtaz Bushra_x000a_CELL# 03348706662"/>
    <m/>
    <s v="NISSAN DAYZ"/>
    <s v="AHY-973"/>
    <s v="3B20-JY6220"/>
    <s v="B21W-0222046"/>
    <s v="2015"/>
    <s v="33100-4566935-6"/>
    <m/>
    <s v=" D"/>
    <s v="09000221-Muhammad Irfan"/>
    <n v="-1"/>
    <n v="-3214"/>
    <n v="-32"/>
    <n v="0"/>
    <n v="0"/>
    <n v="-3246"/>
    <n v="0"/>
    <n v="0"/>
    <n v="-3246"/>
    <n v="0"/>
    <n v="-3246"/>
    <m/>
    <m/>
    <m/>
    <m/>
    <m/>
    <m/>
    <m/>
  </r>
  <r>
    <n v="7"/>
    <x v="2"/>
    <x v="5"/>
    <s v=" -"/>
    <s v=" MOTOR"/>
    <d v="2021-12-12T00:00:00"/>
    <d v="2021-11-11T00:00:00"/>
    <d v="2022-11-10T00:00:00"/>
    <s v=" 08803172"/>
    <s v="Mr. Waqas Khan_x000a_CNIC # 61101-0177170-1_x000a_NTN # 2881163-1_x000a_CELL # 0321-5048444"/>
    <m/>
    <s v="TOYOTA COROLLA ALTIS GRAN"/>
    <m/>
    <s v="Q347055"/>
    <s v="ZRE172R-7046163"/>
    <s v="2020"/>
    <m/>
    <m/>
    <s v=" D"/>
    <s v="09000248-Hassan Malik"/>
    <n v="3899000"/>
    <n v="4533"/>
    <n v="46"/>
    <n v="590"/>
    <n v="0"/>
    <n v="5169"/>
    <n v="0"/>
    <n v="0"/>
    <n v="5169"/>
    <n v="0"/>
    <n v="5169"/>
    <m/>
    <m/>
    <m/>
    <m/>
    <m/>
    <m/>
    <m/>
  </r>
  <r>
    <n v="8"/>
    <x v="2"/>
    <x v="6"/>
    <s v=" -"/>
    <s v=" MOTOR"/>
    <d v="2022-10-11T00:00:00"/>
    <d v="2021-11-11T00:00:00"/>
    <d v="2022-11-10T00:00:00"/>
    <s v=" 08803172"/>
    <s v="Mr. Waqas Khan_x000a_CNIC # 61101-0177170-1_x000a_NTN # 2881163-1_x000a_CELL # 0321-5048444"/>
    <m/>
    <s v="TOYOTA COROLLA ALTIS GRAN"/>
    <m/>
    <s v="Q347055"/>
    <s v="ZRE172R-7046163"/>
    <s v="2020"/>
    <m/>
    <m/>
    <s v=" D"/>
    <s v="09000248-Hassan Malik"/>
    <n v="3899000"/>
    <n v="3613"/>
    <n v="36"/>
    <n v="469"/>
    <n v="0"/>
    <n v="4118"/>
    <n v="0"/>
    <n v="0"/>
    <n v="4118"/>
    <n v="0"/>
    <n v="4118"/>
    <m/>
    <m/>
    <m/>
    <m/>
    <n v="1835.003593800019"/>
    <n v="1534.1142035302619"/>
    <m/>
  </r>
  <r>
    <n v="9"/>
    <x v="2"/>
    <x v="7"/>
    <s v=" -"/>
    <s v=" MOTOR"/>
    <d v="2024-10-31T00:00:00"/>
    <d v="2021-11-11T00:00:00"/>
    <d v="2022-11-10T00:00:00"/>
    <s v=" 08803172"/>
    <s v="Mr. Waqas Khan_x000a_CNIC # 61101-0177170-1_x000a_NTN # 2881163-1_x000a_CELL # 0321-5048444"/>
    <m/>
    <s v="TOYOTA COROLLA ALTIS GRAN"/>
    <m/>
    <s v="Q347055"/>
    <s v="ZRE172R-7046163"/>
    <s v="2020"/>
    <m/>
    <m/>
    <s v=" D"/>
    <s v="09000248-Hassan Malik"/>
    <n v="-1"/>
    <n v="-9195"/>
    <n v="-92"/>
    <n v="0"/>
    <n v="0"/>
    <n v="-9287"/>
    <n v="0"/>
    <n v="0"/>
    <n v="-9287"/>
    <n v="0"/>
    <n v="-9287"/>
    <m/>
    <m/>
    <m/>
    <m/>
    <m/>
    <m/>
    <m/>
  </r>
  <r>
    <n v="10"/>
    <x v="3"/>
    <x v="8"/>
    <s v=" -"/>
    <s v=" MOTOR"/>
    <d v="2022-11-02T00:00:00"/>
    <d v="2021-11-18T00:00:00"/>
    <d v="2022-11-17T00:00:00"/>
    <s v=" 08802248"/>
    <s v="M/S. ARIF HABIB LIMITED_x000a_User: Mr. Amir Hassan_x000a_Cell No: 03218282839"/>
    <m/>
    <s v="SUZUKI ALTO AGS A/T"/>
    <m/>
    <s v="193511"/>
    <s v="1093470"/>
    <s v="2021"/>
    <m/>
    <m/>
    <s v=" D"/>
    <s v="09000313-Abdus Saboor Khan"/>
    <n v="1950000"/>
    <n v="889"/>
    <n v="9"/>
    <n v="115"/>
    <n v="0"/>
    <n v="1013"/>
    <n v="0"/>
    <n v="0"/>
    <n v="1013"/>
    <n v="0"/>
    <n v="1013"/>
    <m/>
    <m/>
    <m/>
    <m/>
    <n v="828.16020109960402"/>
    <n v="755.80090351037109"/>
    <m/>
  </r>
  <r>
    <n v="11"/>
    <x v="3"/>
    <x v="9"/>
    <s v=" -"/>
    <s v=" MOTOR"/>
    <d v="2024-10-31T00:00:00"/>
    <d v="2021-11-18T00:00:00"/>
    <d v="2022-11-17T00:00:00"/>
    <s v=" 08802248"/>
    <s v="M/S. ARIF HABIB LIMITED_x000a_User: Mr. Amir Hassan_x000a_Cell No: 03218282839"/>
    <m/>
    <s v="SUZUKI ALTO AGS A/T"/>
    <m/>
    <s v="193511"/>
    <s v="1093470"/>
    <s v="2021"/>
    <m/>
    <m/>
    <s v=" D"/>
    <s v="09000313-Abdus Saboor Khan"/>
    <n v="-1"/>
    <n v="-1003"/>
    <n v="-10"/>
    <n v="0"/>
    <n v="0"/>
    <n v="-1013"/>
    <n v="0"/>
    <n v="0"/>
    <n v="-1013"/>
    <n v="0"/>
    <n v="-1013"/>
    <m/>
    <m/>
    <m/>
    <m/>
    <m/>
    <m/>
    <m/>
  </r>
  <r>
    <n v="20"/>
    <x v="4"/>
    <x v="10"/>
    <s v=" -"/>
    <s v=" MOTOR"/>
    <d v="2022-02-05T00:00:00"/>
    <d v="2022-01-04T00:00:00"/>
    <d v="2023-01-03T00:00:00"/>
    <s v=" 08804041"/>
    <s v="Mr. Masud Mir_x000a_CNIC# 35202-2821316-9_x000a_Cell No. 0300-4138769"/>
    <m/>
    <s v="SUZUKI SWIFT GL M/T"/>
    <s v="LE-4079"/>
    <s v="13004044"/>
    <s v="PK10004039"/>
    <s v="2011"/>
    <m/>
    <m/>
    <s v=" D"/>
    <s v="09000221-Muhammad Irfan"/>
    <n v="1400000"/>
    <n v="92"/>
    <n v="1"/>
    <n v="12"/>
    <n v="0"/>
    <n v="105"/>
    <n v="0"/>
    <n v="0"/>
    <n v="105"/>
    <n v="0"/>
    <n v="105"/>
    <m/>
    <m/>
    <m/>
    <m/>
    <m/>
    <m/>
    <s v="musaudmir1932@gmail.com"/>
  </r>
  <r>
    <n v="21"/>
    <x v="4"/>
    <x v="11"/>
    <s v=" -"/>
    <s v=" MOTOR"/>
    <d v="2022-05-06T00:00:00"/>
    <d v="2022-01-04T00:00:00"/>
    <d v="2023-01-03T00:00:00"/>
    <s v=" 08804041"/>
    <s v="Mr. Masud Mir_x000a_CNIC# 35202-2821316-9_x000a_Cell No. 0300-4138769"/>
    <m/>
    <s v="SUZUKI SWIFT GL M/T"/>
    <s v="LE-4079"/>
    <s v="13004044"/>
    <s v="PK10004039"/>
    <s v="2011"/>
    <m/>
    <m/>
    <s v=" D"/>
    <s v="09000221-Muhammad Irfan"/>
    <n v="1400000"/>
    <n v="1081"/>
    <n v="11"/>
    <n v="140"/>
    <n v="0"/>
    <n v="1232"/>
    <n v="0"/>
    <n v="0"/>
    <n v="1232"/>
    <n v="0"/>
    <n v="1232"/>
    <m/>
    <m/>
    <m/>
    <m/>
    <m/>
    <m/>
    <s v="musaudmir1932@gmail.com"/>
  </r>
  <r>
    <n v="22"/>
    <x v="4"/>
    <x v="12"/>
    <s v=" -"/>
    <s v=" MOTOR"/>
    <d v="2022-05-06T00:00:00"/>
    <d v="2022-01-04T00:00:00"/>
    <d v="2023-01-03T00:00:00"/>
    <s v=" 08804041"/>
    <s v="Mr. Masud Mir_x000a_CNIC# 35202-2821316-9_x000a_Cell No. 0300-4138769"/>
    <m/>
    <s v="SUZUKI SWIFT GL M/T"/>
    <s v="LE-4079"/>
    <s v="13004044"/>
    <s v="PK10004039"/>
    <s v="2011"/>
    <m/>
    <m/>
    <s v=" D"/>
    <s v="09000221-Muhammad Irfan"/>
    <n v="1400000"/>
    <n v="1001"/>
    <n v="10"/>
    <n v="130"/>
    <n v="0"/>
    <n v="1141"/>
    <n v="0"/>
    <n v="0"/>
    <n v="1141"/>
    <n v="0"/>
    <n v="1141"/>
    <m/>
    <m/>
    <m/>
    <m/>
    <m/>
    <m/>
    <s v="musaudmir1932@gmail.com"/>
  </r>
  <r>
    <n v="23"/>
    <x v="4"/>
    <x v="13"/>
    <s v=" -"/>
    <s v=" MOTOR"/>
    <d v="2022-10-11T00:00:00"/>
    <d v="2022-01-04T00:00:00"/>
    <d v="2023-01-03T00:00:00"/>
    <s v=" 08804041"/>
    <s v="Mr. Masud Mir_x000a_CNIC# 35202-2821316-9_x000a_Cell No. 0300-4138769"/>
    <m/>
    <s v="SUZUKI SWIFT GL M/T"/>
    <s v="LE-4079"/>
    <s v="13004044"/>
    <s v="PK10004039"/>
    <s v="2011"/>
    <m/>
    <m/>
    <s v=" D"/>
    <s v="09000221-Muhammad Irfan"/>
    <n v="1400000"/>
    <n v="93"/>
    <n v="1"/>
    <n v="11"/>
    <n v="0"/>
    <n v="105"/>
    <n v="0"/>
    <n v="0"/>
    <n v="105"/>
    <n v="0"/>
    <n v="105"/>
    <m/>
    <m/>
    <m/>
    <m/>
    <n v="108.84577062814"/>
    <n v="108.84577062814"/>
    <s v="musaudmir1932@gmail.com"/>
  </r>
  <r>
    <n v="24"/>
    <x v="4"/>
    <x v="14"/>
    <s v=" -"/>
    <s v=" MOTOR"/>
    <d v="2024-12-29T00:00:00"/>
    <d v="2022-01-04T00:00:00"/>
    <d v="2023-01-03T00:00:00"/>
    <s v=" 08804041"/>
    <s v="Mr. Masud Mir_x000a_CNIC# 35202-2821316-9_x000a_Cell No. 0300-4138769"/>
    <m/>
    <s v="SUZUKI SWIFT GL M/T"/>
    <s v="LE-4079"/>
    <s v="13004044"/>
    <s v="PK10004039"/>
    <s v="2011"/>
    <m/>
    <m/>
    <s v=" D"/>
    <s v="09000221-Muhammad Irfan"/>
    <n v="-1"/>
    <n v="-2265"/>
    <n v="-23"/>
    <n v="-295"/>
    <n v="0"/>
    <n v="-2583"/>
    <n v="0"/>
    <n v="0"/>
    <n v="-2583"/>
    <n v="0"/>
    <n v="-2583"/>
    <m/>
    <m/>
    <m/>
    <m/>
    <m/>
    <m/>
    <m/>
  </r>
  <r>
    <n v="25"/>
    <x v="5"/>
    <x v="15"/>
    <s v=" -"/>
    <s v=" MOTOR"/>
    <d v="2022-11-02T00:00:00"/>
    <d v="2022-01-13T00:00:00"/>
    <d v="2023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203"/>
    <n v="2"/>
    <n v="26"/>
    <n v="0"/>
    <n v="231"/>
    <n v="0"/>
    <n v="0"/>
    <n v="231"/>
    <n v="0"/>
    <n v="231"/>
    <m/>
    <m/>
    <m/>
    <m/>
    <n v="59.711286261513166"/>
    <n v="59.711286261513166"/>
    <s v="starcom647@yahoo.com"/>
  </r>
  <r>
    <n v="26"/>
    <x v="5"/>
    <x v="16"/>
    <s v=" -"/>
    <s v=" MOTOR"/>
    <d v="2022-11-23T00:00:00"/>
    <d v="2022-01-13T00:00:00"/>
    <d v="2023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669"/>
    <n v="6"/>
    <n v="87"/>
    <n v="0"/>
    <n v="762"/>
    <n v="0"/>
    <n v="0"/>
    <n v="762"/>
    <n v="0"/>
    <n v="762"/>
    <m/>
    <m/>
    <m/>
    <m/>
    <n v="197.49642605794898"/>
    <n v="197.49642605794898"/>
    <s v="starcom647@yahoo.com"/>
  </r>
  <r>
    <n v="27"/>
    <x v="5"/>
    <x v="17"/>
    <s v=" -"/>
    <s v=" MOTOR"/>
    <d v="2024-12-29T00:00:00"/>
    <d v="2022-01-13T00:00:00"/>
    <d v="2023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-1"/>
    <n v="-871"/>
    <n v="-9"/>
    <n v="-113"/>
    <n v="0"/>
    <n v="-993"/>
    <n v="0"/>
    <n v="0"/>
    <n v="-993"/>
    <n v="0"/>
    <n v="-993"/>
    <m/>
    <m/>
    <m/>
    <m/>
    <m/>
    <m/>
    <m/>
  </r>
  <r>
    <n v="29"/>
    <x v="6"/>
    <x v="18"/>
    <s v=" -"/>
    <s v=" MOTOR"/>
    <d v="2022-02-17T00:00:00"/>
    <d v="2022-01-17T00:00:00"/>
    <d v="2023-01-16T00:00:00"/>
    <s v=" 08804115"/>
    <s v="Mr. Shaikh Muhammad Usama Noman_x000a_CNIC# 4220193638919_x000a_Cell No. 03443014737"/>
    <m/>
    <s v="DAIHATSU MIRA"/>
    <s v="BLN-782"/>
    <s v="KF-J340463"/>
    <s v="LA310S-103993"/>
    <s v="2016"/>
    <m/>
    <m/>
    <s v=" D"/>
    <s v="09000324-Smart PFM (Pvt.) Limited"/>
    <n v="1400000"/>
    <n v="145"/>
    <n v="2"/>
    <n v="19"/>
    <n v="0"/>
    <n v="166"/>
    <n v="0"/>
    <n v="0"/>
    <n v="166"/>
    <n v="0"/>
    <n v="166"/>
    <m/>
    <m/>
    <m/>
    <m/>
    <m/>
    <m/>
    <s v="s.usama.noman@gmail.com"/>
  </r>
  <r>
    <n v="30"/>
    <x v="6"/>
    <x v="19"/>
    <s v=" -"/>
    <s v=" MOTOR"/>
    <d v="2024-10-31T00:00:00"/>
    <d v="2022-01-17T00:00:00"/>
    <d v="2023-01-16T00:00:00"/>
    <s v=" 08804115"/>
    <s v="Mr. Shaikh Muhammad Usama Noman_x000a_CNIC# 4220193638919_x000a_Cell No. 03443014737"/>
    <m/>
    <s v="DAIHATSU MIRA"/>
    <s v="BLN-782"/>
    <s v="KF-J340463"/>
    <s v="LA310S-103993"/>
    <s v="2016"/>
    <m/>
    <m/>
    <s v=" D"/>
    <s v="09000324-Smart PFM (Pvt.) Limited"/>
    <n v="-1"/>
    <n v="-164"/>
    <n v="-2"/>
    <n v="0"/>
    <n v="0"/>
    <n v="-166"/>
    <n v="0"/>
    <n v="0"/>
    <n v="-166"/>
    <n v="0"/>
    <n v="-166"/>
    <m/>
    <m/>
    <m/>
    <m/>
    <m/>
    <m/>
    <m/>
  </r>
  <r>
    <n v="31"/>
    <x v="7"/>
    <x v="20"/>
    <s v=" -"/>
    <s v=" MOTOR"/>
    <d v="2022-11-02T00:00:00"/>
    <d v="2022-01-19T00:00:00"/>
    <d v="2023-01-18T00:00:00"/>
    <s v=" 08804148"/>
    <s v="Mr. Hassan Ahmed_x000a_CNIC# 37405-4482774-7_x000a_Cell No. 03445287446"/>
    <m/>
    <s v="TOYOTA YARIS ATIV AT"/>
    <s v="BTX-660"/>
    <s v="2A26538"/>
    <s v="7015943"/>
    <s v="2021"/>
    <m/>
    <m/>
    <s v=" D"/>
    <s v="09000324-Smart PFM (Pvt.) Limited"/>
    <n v="2800000"/>
    <n v="2042"/>
    <n v="19"/>
    <n v="0"/>
    <n v="0"/>
    <n v="2061"/>
    <n v="0"/>
    <n v="0"/>
    <n v="2061"/>
    <n v="0"/>
    <n v="2061"/>
    <m/>
    <m/>
    <m/>
    <m/>
    <n v="1382.6682458710932"/>
    <n v="1066.216324610029"/>
    <s v="hassaan_ahmed@msn.com"/>
  </r>
  <r>
    <n v="32"/>
    <x v="7"/>
    <x v="21"/>
    <s v=" -"/>
    <s v=" MOTOR"/>
    <d v="2022-11-23T00:00:00"/>
    <d v="2022-01-19T00:00:00"/>
    <d v="2023-01-18T00:00:00"/>
    <s v=" 08804148"/>
    <s v="Mr. Hassan Ahmed_x000a_CNIC# 37405-4482774-7_x000a_Cell No. 03445287446"/>
    <m/>
    <s v="TOYOTA YARIS ATIV AT"/>
    <s v="BTX-660"/>
    <s v="2A26538"/>
    <s v="7015943"/>
    <s v="2021"/>
    <m/>
    <m/>
    <s v=" D"/>
    <s v="09000324-Smart PFM (Pvt.) Limited"/>
    <n v="2800000"/>
    <n v="341"/>
    <n v="3"/>
    <n v="0"/>
    <n v="0"/>
    <n v="344"/>
    <n v="0"/>
    <n v="0"/>
    <n v="344"/>
    <n v="0"/>
    <n v="344"/>
    <m/>
    <m/>
    <m/>
    <m/>
    <n v="178.72178559364599"/>
    <n v="178.72178559364599"/>
    <s v="hassaan_ahmed@msn.com"/>
  </r>
  <r>
    <n v="33"/>
    <x v="7"/>
    <x v="22"/>
    <s v=" -"/>
    <s v=" MOTOR"/>
    <d v="2022-12-24T00:00:00"/>
    <d v="2022-01-19T00:00:00"/>
    <d v="2023-01-18T00:00:00"/>
    <s v=" 08804148"/>
    <s v="Mr. Hassan Ahmed_x000a_CNIC# 37405-4482774-7_x000a_Cell No. 03445287446"/>
    <s v="..."/>
    <s v="TOYOTA YARIS ATIV AT"/>
    <s v="BTX-660"/>
    <s v="2A26538"/>
    <s v="7015943"/>
    <s v="2021"/>
    <m/>
    <m/>
    <s v=" D"/>
    <s v="09000324-Smart PFM (Pvt.) Limited"/>
    <n v="2800000"/>
    <n v="656"/>
    <n v="8"/>
    <n v="395"/>
    <n v="0"/>
    <n v="1059"/>
    <n v="0"/>
    <n v="0"/>
    <n v="1059"/>
    <n v="0"/>
    <n v="1059"/>
    <m/>
    <m/>
    <m/>
    <m/>
    <n v="704.40178543007596"/>
    <n v="548.62537985032702"/>
    <s v="hassaan_ahmed@msn.com"/>
  </r>
  <r>
    <n v="34"/>
    <x v="7"/>
    <x v="23"/>
    <s v=" -"/>
    <s v=" MOTOR"/>
    <d v="2024-10-31T00:00:00"/>
    <d v="2022-01-19T00:00:00"/>
    <d v="2023-01-18T00:00:00"/>
    <s v=" 08804148"/>
    <s v="Mr. Hassan Ahmed_x000a_CNIC# 37405-4482774-7_x000a_Cell No. 03445287446"/>
    <s v="..."/>
    <s v="TOYOTA YARIS ATIV AT"/>
    <s v="BTX-660"/>
    <s v="2A26538"/>
    <s v="7015943"/>
    <s v="2021"/>
    <m/>
    <m/>
    <s v=" D"/>
    <s v="09000324-Smart PFM (Pvt.) Limited"/>
    <n v="-1"/>
    <n v="-3430"/>
    <n v="-34"/>
    <n v="0"/>
    <n v="0"/>
    <n v="-3464"/>
    <n v="0"/>
    <n v="0"/>
    <n v="-3464"/>
    <n v="0"/>
    <n v="-3464"/>
    <m/>
    <m/>
    <m/>
    <m/>
    <m/>
    <m/>
    <m/>
  </r>
  <r>
    <n v="35"/>
    <x v="8"/>
    <x v="24"/>
    <s v=" -"/>
    <s v=" MOTOR"/>
    <d v="2022-01-22T00:00:00"/>
    <d v="2022-01-20T00:00:00"/>
    <d v="2023-01-19T00:00:00"/>
    <s v=" 08804155"/>
    <s v="Mr. Muhammad Ismail Mian_x000a_CNIC# 35202-2462925-7_x000a_CELL# 03244370464"/>
    <m/>
    <s v="SUZUKI ALTO VXL"/>
    <s v="AGF-857"/>
    <s v="6R193595"/>
    <s v="NF1AET306H1093581"/>
    <s v="2021"/>
    <m/>
    <m/>
    <s v=" D"/>
    <s v="09000324-Smart PFM (Pvt.) Limited"/>
    <n v="-1"/>
    <n v="13217"/>
    <n v="132"/>
    <n v="1718"/>
    <n v="50"/>
    <n v="15117"/>
    <n v="13815"/>
    <n v="0"/>
    <n v="1302"/>
    <n v="0"/>
    <n v="1302"/>
    <m/>
    <m/>
    <m/>
    <m/>
    <m/>
    <m/>
    <s v="muhammadwaqasrph@gmail.com"/>
  </r>
  <r>
    <n v="36"/>
    <x v="8"/>
    <x v="25"/>
    <s v=" -"/>
    <s v=" MOTOR"/>
    <d v="2022-11-23T00:00:00"/>
    <d v="2022-01-20T00:00:00"/>
    <d v="2023-01-19T00:00:00"/>
    <s v=" 08804155"/>
    <s v="Mr. Muhammad Ismail Mian_x000a_CNIC# 35202-2462925-7_x000a_CELL# 03244370464"/>
    <m/>
    <s v="SUZUKI ALTO VXL"/>
    <s v="AGF-857"/>
    <s v="6R193595"/>
    <s v="NF1AET306H1093581"/>
    <s v="2021"/>
    <m/>
    <m/>
    <s v=" D"/>
    <s v="09000324-Smart PFM (Pvt.) Limited"/>
    <n v="1527000"/>
    <n v="1451"/>
    <n v="14"/>
    <n v="189"/>
    <n v="0"/>
    <n v="1654"/>
    <n v="75"/>
    <n v="0"/>
    <n v="1579"/>
    <n v="0"/>
    <n v="1579"/>
    <m/>
    <m/>
    <m/>
    <m/>
    <n v="2453.3274707847881"/>
    <n v="1575.0469660059262"/>
    <s v="muhammadwaqasrph@gmail.com"/>
  </r>
  <r>
    <n v="37"/>
    <x v="8"/>
    <x v="26"/>
    <s v=" -"/>
    <s v=" MOTOR"/>
    <d v="2022-12-29T00:00:00"/>
    <d v="2022-01-20T00:00:00"/>
    <d v="2023-01-19T00:00:00"/>
    <s v=" 08804155"/>
    <s v="Mr. Muhammad Ismail Mian_x000a_CNIC# 35202-2462925-7_x000a_CELL# 03244370464"/>
    <m/>
    <s v="SUZUKI ALTO VXL"/>
    <s v="AGF-857"/>
    <s v="6R193595"/>
    <s v="NF1AET306H1093581"/>
    <s v="2021"/>
    <m/>
    <m/>
    <s v=" D"/>
    <s v="09000324-Smart PFM (Pvt.) Limited"/>
    <n v="1527000"/>
    <n v="1420"/>
    <n v="15"/>
    <n v="184"/>
    <n v="0"/>
    <n v="1619"/>
    <n v="0"/>
    <n v="0"/>
    <n v="1619"/>
    <n v="0"/>
    <n v="1619"/>
    <m/>
    <m/>
    <m/>
    <m/>
    <n v="2131.4092998005171"/>
    <n v="1540.4797740550091"/>
    <s v="muhammadwaqasrph@gmail.com"/>
  </r>
  <r>
    <n v="38"/>
    <x v="8"/>
    <x v="27"/>
    <s v=" -"/>
    <s v=" MOTOR"/>
    <d v="2024-10-31T00:00:00"/>
    <d v="2022-01-20T00:00:00"/>
    <d v="2023-01-19T00:00:00"/>
    <s v=" 08804155"/>
    <s v="Mr. Muhammad Ismail Mian_x000a_CNIC# 35202-2462925-7_x000a_CELL# 03244370464"/>
    <m/>
    <s v="SUZUKI ALTO VXL"/>
    <s v="AGF-857"/>
    <s v="6R193595"/>
    <s v="NF1AET306H1093581"/>
    <s v="2021"/>
    <m/>
    <m/>
    <s v=" D"/>
    <s v="09000324-Smart PFM (Pvt.) Limited"/>
    <n v="-1"/>
    <n v="-4455"/>
    <n v="-45"/>
    <n v="0"/>
    <n v="0"/>
    <n v="-4500"/>
    <n v="0"/>
    <n v="0"/>
    <n v="-4500"/>
    <n v="0"/>
    <n v="-4500"/>
    <m/>
    <m/>
    <m/>
    <m/>
    <m/>
    <m/>
    <m/>
  </r>
  <r>
    <n v="42"/>
    <x v="9"/>
    <x v="28"/>
    <s v=" -"/>
    <s v=" MOTOR"/>
    <d v="2022-10-11T00:00:00"/>
    <d v="2022-02-01T00:00:00"/>
    <d v="2023-01-31T00:00:00"/>
    <s v=" 08804445"/>
    <s v="Miss. Syeda Bisma Haider_x000a_CNIC# 42201-2639277-8_x000a_Cell No. 0345-2410113"/>
    <m/>
    <s v="TOYOTA PIXIS EPOCH A/T"/>
    <s v="BPH-058"/>
    <s v="KF-J247694"/>
    <s v="1036112"/>
    <s v="2015"/>
    <m/>
    <m/>
    <s v=" D"/>
    <s v="09000221-Muhammad Irfan"/>
    <n v="1612000"/>
    <n v="3483"/>
    <n v="35"/>
    <n v="452"/>
    <n v="0"/>
    <n v="3970"/>
    <n v="0"/>
    <n v="0"/>
    <n v="3970"/>
    <n v="0"/>
    <n v="3970"/>
    <m/>
    <m/>
    <m/>
    <m/>
    <n v="3715.4416598334155"/>
    <n v="3587.7491181487731"/>
    <s v="bisma_haider@live.com"/>
  </r>
  <r>
    <n v="43"/>
    <x v="9"/>
    <x v="29"/>
    <s v=" -"/>
    <s v=" MOTOR"/>
    <d v="2024-10-31T00:00:00"/>
    <d v="2022-02-01T00:00:00"/>
    <d v="2023-01-31T00:00:00"/>
    <s v=" 08804445"/>
    <s v="Miss. Syeda Bisma Haider_x000a_CNIC# 42201-2639277-8_x000a_Cell No. 0345-2410113"/>
    <m/>
    <s v="TOYOTA PIXIS EPOCH A/T"/>
    <s v="BPH-058"/>
    <s v="KF-J247694"/>
    <s v="1036112"/>
    <s v="2015"/>
    <m/>
    <m/>
    <s v=" D"/>
    <s v="09000221-Muhammad Irfan"/>
    <n v="-1"/>
    <n v="-3931"/>
    <n v="-39"/>
    <n v="0"/>
    <n v="0"/>
    <n v="-3970"/>
    <n v="0"/>
    <n v="0"/>
    <n v="-3970"/>
    <n v="0"/>
    <n v="-3970"/>
    <m/>
    <m/>
    <m/>
    <s v="MAHRUKH"/>
    <m/>
    <m/>
    <m/>
  </r>
  <r>
    <n v="44"/>
    <x v="10"/>
    <x v="30"/>
    <s v=" -"/>
    <s v=" MOTOR"/>
    <d v="2023-01-03T00:00:00"/>
    <d v="2022-01-24T00:00:00"/>
    <d v="2023-01-23T00:00:00"/>
    <s v=" 08804538"/>
    <s v="Mr. Abdul Malik Ghori_x000a_CNIC# 42301-3931939-5_x000a_CELL# 03313334417"/>
    <s v="....."/>
    <s v="TOYOTA COROLLA ALTIS 1.6"/>
    <s v="BSW-164"/>
    <s v="Q071086"/>
    <s v="ZRE171R-6048579"/>
    <s v="2021"/>
    <m/>
    <m/>
    <s v=" D"/>
    <s v="09000324-Smart PFM (Pvt.) Limited"/>
    <n v="3700000"/>
    <n v="683"/>
    <n v="7"/>
    <n v="89"/>
    <n v="0"/>
    <n v="779"/>
    <n v="0"/>
    <n v="0"/>
    <n v="779"/>
    <n v="0"/>
    <n v="779"/>
    <m/>
    <m/>
    <m/>
    <m/>
    <m/>
    <m/>
    <s v="malikghori@aol.com"/>
  </r>
  <r>
    <n v="45"/>
    <x v="10"/>
    <x v="31"/>
    <s v=" -"/>
    <s v=" MOTOR"/>
    <d v="2024-10-31T00:00:00"/>
    <d v="2022-01-24T00:00:00"/>
    <d v="2023-01-23T00:00:00"/>
    <s v=" 08804538"/>
    <s v="Mr. Abdul Malik Ghori_x000a_CNIC# 42301-3931939-5_x000a_CELL# 03313334417"/>
    <s v="....."/>
    <s v="TOYOTA COROLLA ALTIS 1.6"/>
    <s v="BSW-164"/>
    <s v="Q071086"/>
    <s v="ZRE171R-6048579"/>
    <s v="2021"/>
    <m/>
    <m/>
    <s v=" D"/>
    <s v="09000324-Smart PFM (Pvt.) Limited"/>
    <n v="-1"/>
    <n v="-771"/>
    <n v="-8"/>
    <n v="0"/>
    <n v="0"/>
    <n v="-779"/>
    <n v="0"/>
    <n v="0"/>
    <n v="-779"/>
    <n v="0"/>
    <n v="-779"/>
    <m/>
    <m/>
    <m/>
    <m/>
    <m/>
    <m/>
    <m/>
  </r>
  <r>
    <n v="49"/>
    <x v="11"/>
    <x v="32"/>
    <s v=" -"/>
    <s v=" MOTOR"/>
    <d v="2022-11-24T00:00:00"/>
    <d v="2022-03-07T00:00:00"/>
    <d v="2023-03-06T00:00:00"/>
    <s v=" 08805070"/>
    <s v="Ms. Fahmida Sarfaraz_x000a_CNIC# 35201-1539446-0_x000a_CELL# 0300-4331273"/>
    <m/>
    <s v="TOYOTA YARIS GLI MT"/>
    <s v="ACC-629"/>
    <s v="2A04449"/>
    <s v="NSP150R-7002240"/>
    <s v="2020"/>
    <m/>
    <m/>
    <s v=" D"/>
    <s v="09000226-Yasir Muhammad"/>
    <n v="2500000"/>
    <n v="336"/>
    <n v="3"/>
    <n v="0"/>
    <n v="0"/>
    <n v="339"/>
    <n v="0"/>
    <n v="0"/>
    <n v="339"/>
    <n v="0"/>
    <n v="339"/>
    <m/>
    <m/>
    <m/>
    <m/>
    <n v="195.47546162141199"/>
    <n v="195.47546162141199"/>
    <s v="fahmida.safaraz@gmail.com"/>
  </r>
  <r>
    <n v="50"/>
    <x v="11"/>
    <x v="33"/>
    <s v=" -"/>
    <s v=" MOTOR"/>
    <d v="2022-12-07T00:00:00"/>
    <d v="2022-03-07T00:00:00"/>
    <d v="2023-03-06T00:00:00"/>
    <s v=" 08805070"/>
    <s v="Ms. Fahmida Sarfaraz_x000a_CNIC# 35201-1539446-0_x000a_CELL# 0300-4331273"/>
    <m/>
    <s v="TOYOTA YARIS GLI MT"/>
    <s v="ACC-629"/>
    <s v="2A04449"/>
    <s v="NSP150R-7002240"/>
    <s v="2020"/>
    <m/>
    <m/>
    <s v=" D"/>
    <s v="09000226-Yasir Muhammad"/>
    <n v="2500000"/>
    <n v="202"/>
    <n v="2"/>
    <n v="0"/>
    <n v="0"/>
    <n v="204"/>
    <n v="0"/>
    <n v="0"/>
    <n v="204"/>
    <n v="0"/>
    <n v="204"/>
    <m/>
    <m/>
    <m/>
    <m/>
    <n v="118.29875994674201"/>
    <n v="118.29875994674201"/>
    <s v="fahmida.safaraz@gmail.com"/>
  </r>
  <r>
    <n v="51"/>
    <x v="11"/>
    <x v="34"/>
    <s v=" -"/>
    <s v=" MOTOR"/>
    <d v="2023-01-16T00:00:00"/>
    <d v="2022-03-07T00:00:00"/>
    <d v="2023-03-06T00:00:00"/>
    <s v=" 08805070"/>
    <s v="Ms. Fahmida Sarfaraz_x000a_CNIC# 35201-1539446-0_x000a_CELL# 0300-4331273"/>
    <m/>
    <s v="TOYOTA YARIS GLI MT"/>
    <s v="ACC-629"/>
    <s v="2A04449"/>
    <s v="NSP150R-7002240"/>
    <s v="2020"/>
    <m/>
    <m/>
    <s v=" D"/>
    <s v="09000226-Yasir Muhammad"/>
    <n v="2500000"/>
    <n v="111"/>
    <n v="0"/>
    <n v="0"/>
    <n v="0"/>
    <n v="111"/>
    <n v="0"/>
    <n v="0"/>
    <n v="111"/>
    <n v="0"/>
    <n v="111"/>
    <m/>
    <m/>
    <m/>
    <m/>
    <n v="64.672563317218092"/>
    <n v="64.672563317218092"/>
    <s v="fahmida.safaraz@gmail.com"/>
  </r>
  <r>
    <n v="52"/>
    <x v="11"/>
    <x v="35"/>
    <s v=" -"/>
    <s v=" MOTOR"/>
    <d v="2023-02-10T00:00:00"/>
    <d v="2022-03-07T00:00:00"/>
    <d v="2023-03-06T00:00:00"/>
    <s v=" 08805070"/>
    <s v="Ms. Fahmida Sarfaraz_x000a_CNIC# 35201-1539446-0_x000a_CELL# 0300-4331273"/>
    <m/>
    <s v="TOYOTA YARIS GLI MT"/>
    <s v="ACC-629"/>
    <s v="2A04449"/>
    <s v="NSP150R-7002240"/>
    <s v="2020"/>
    <m/>
    <m/>
    <s v=" D"/>
    <s v="09000226-Yasir Muhammad"/>
    <n v="2500000"/>
    <n v="336"/>
    <n v="3"/>
    <n v="0"/>
    <n v="0"/>
    <n v="339"/>
    <n v="0"/>
    <n v="0"/>
    <n v="339"/>
    <n v="0"/>
    <n v="339"/>
    <m/>
    <m/>
    <m/>
    <m/>
    <n v="197.60380070139701"/>
    <n v="197.60380070139701"/>
    <s v="fahmida.safaraz@gmail.com"/>
  </r>
  <r>
    <n v="53"/>
    <x v="11"/>
    <x v="36"/>
    <s v=" -"/>
    <s v=" MOTOR"/>
    <d v="2024-10-31T00:00:00"/>
    <d v="2022-03-07T00:00:00"/>
    <d v="2023-03-06T00:00:00"/>
    <s v=" 08805070"/>
    <s v="Ms. Fahmida Sarfaraz_x000a_CNIC# 35201-1539446-0_x000a_CELL# 0300-4331273"/>
    <m/>
    <s v="TOYOTA YARIS GLI MT"/>
    <s v="ACC-629"/>
    <s v="2A04449"/>
    <s v="NSP150R-7002240"/>
    <s v="2020"/>
    <m/>
    <m/>
    <s v=" D"/>
    <s v="09000226-Yasir Muhammad"/>
    <n v="-1"/>
    <n v="-983"/>
    <n v="-10"/>
    <n v="0"/>
    <n v="0"/>
    <n v="-993"/>
    <n v="0"/>
    <n v="0"/>
    <n v="-993"/>
    <n v="0"/>
    <n v="-993"/>
    <m/>
    <m/>
    <m/>
    <m/>
    <m/>
    <m/>
    <m/>
  </r>
  <r>
    <n v="59"/>
    <x v="12"/>
    <x v="37"/>
    <s v=" -"/>
    <s v=" MOTOR"/>
    <d v="2023-03-27T00:00:00"/>
    <d v="2022-04-08T00:00:00"/>
    <d v="2023-04-07T00:00:00"/>
    <s v=" 08805421"/>
    <s v="Mr. Sheikh Rizwan Ahmed_x000a_CNIC # 33100-0997944-9_x000a_CELL # 0332-7866612 / 0311-1150000"/>
    <m/>
    <s v="SUZUKI SWIFT GL M/T"/>
    <s v="AKH-269"/>
    <s v="13042650"/>
    <s v="10042652"/>
    <s v="2018"/>
    <m/>
    <m/>
    <s v=" D"/>
    <s v="09000309-Zeeshan Mohi-u-din"/>
    <n v="1800000"/>
    <n v="471"/>
    <n v="4"/>
    <n v="61"/>
    <n v="0"/>
    <n v="536"/>
    <n v="0"/>
    <n v="0"/>
    <n v="536"/>
    <n v="0"/>
    <n v="536"/>
    <m/>
    <m/>
    <m/>
    <m/>
    <n v="401.53757674572904"/>
    <n v="401.37383122255602"/>
    <s v="daudahmad.sh@gmail.com"/>
  </r>
  <r>
    <n v="60"/>
    <x v="12"/>
    <x v="38"/>
    <s v=" -"/>
    <s v=" MOTOR"/>
    <d v="2024-10-31T00:00:00"/>
    <d v="2022-04-08T00:00:00"/>
    <d v="2023-04-07T00:00:00"/>
    <s v=" 08805421"/>
    <s v="Mr. Sheikh Rizwan Ahmed_x000a_CNIC # 33100-0997944-9_x000a_CELL # 0332-7866612 / 0311-1150000"/>
    <s v="."/>
    <s v="SUZUKI SWIFT GL M/T"/>
    <s v="AKH-269"/>
    <s v="13042650"/>
    <s v="10042652"/>
    <s v="2018"/>
    <m/>
    <m/>
    <s v=" D"/>
    <s v="09000309-Zeeshan Mohi-u-din"/>
    <n v="-1"/>
    <n v="-531"/>
    <n v="-5"/>
    <n v="0"/>
    <n v="0"/>
    <n v="-536"/>
    <n v="0"/>
    <n v="0"/>
    <n v="-536"/>
    <n v="0"/>
    <n v="-536"/>
    <m/>
    <m/>
    <m/>
    <m/>
    <m/>
    <m/>
    <m/>
  </r>
  <r>
    <n v="61"/>
    <x v="13"/>
    <x v="24"/>
    <s v=" -"/>
    <s v=" MOTOR"/>
    <d v="2022-05-06T00:00:00"/>
    <d v="2022-04-26T00:00:00"/>
    <d v="2023-04-25T00:00:00"/>
    <s v=" 08805684"/>
    <s v="M/s. First Habib Modaraba A/c. Rizwan Mehdi_x000a_CNIC# 3110188554279_x000a_CELL# 0321-6980301"/>
    <m/>
    <s v="HONDA CIVIC 1.8 I-VTEC OR"/>
    <s v="AQA-637"/>
    <s v="R18Z12955734"/>
    <s v="NFBFC6668LR059632"/>
    <s v="2020"/>
    <m/>
    <m/>
    <s v=" D"/>
    <s v="09000221-Muhammad Irfan"/>
    <m/>
    <n v="33798"/>
    <n v="338"/>
    <n v="4394"/>
    <n v="50"/>
    <n v="38580"/>
    <n v="38581"/>
    <n v="0"/>
    <n v="-1"/>
    <n v="0"/>
    <n v="-1"/>
    <m/>
    <m/>
    <m/>
    <m/>
    <m/>
    <m/>
    <s v="rizwanmehdi@gmail.com"/>
  </r>
  <r>
    <n v="62"/>
    <x v="13"/>
    <x v="39"/>
    <s v=" -"/>
    <s v=" MOTOR"/>
    <d v="2023-03-28T00:00:00"/>
    <d v="2022-04-26T00:00:00"/>
    <d v="2023-04-25T00:00:00"/>
    <s v=" 08805684"/>
    <s v="M/s. First Habib Modaraba A/c. Rizwan Mehdi_x000a_CNIC# 3110188554279_x000a_CELL# 0321-6980301"/>
    <s v="."/>
    <s v="HONDA CIVIC 1.8 I-VTEC OR"/>
    <s v="AQA-637"/>
    <s v="R18Z12955734"/>
    <s v="NFBFC6668LR059632"/>
    <s v="2020"/>
    <m/>
    <m/>
    <s v=" D"/>
    <s v="09000221-Muhammad Irfan"/>
    <n v="3897000"/>
    <n v="90"/>
    <n v="1"/>
    <n v="0"/>
    <n v="0"/>
    <n v="91"/>
    <n v="90"/>
    <n v="0"/>
    <n v="1"/>
    <n v="0"/>
    <n v="1"/>
    <m/>
    <m/>
    <m/>
    <m/>
    <m/>
    <m/>
    <s v="rizwanmehdi@gmail.com"/>
  </r>
  <r>
    <n v="63"/>
    <x v="14"/>
    <x v="40"/>
    <s v=" -"/>
    <s v=" MOTOR"/>
    <d v="2022-10-11T00:00:00"/>
    <d v="2022-05-10T00:00:00"/>
    <d v="2023-05-09T00:00:00"/>
    <s v=" 08805710"/>
    <s v="Mr. Hamza Saleem Mirza_x000a_CNIC# 42101-8566667-9_x000a_CELL# 0334-1120985 / 0345-3637394"/>
    <m/>
    <s v="SUZUKI ALTO"/>
    <s v="BWN-587"/>
    <s v="226621"/>
    <s v="1126643"/>
    <s v="2022"/>
    <m/>
    <m/>
    <s v=" D"/>
    <s v="09000221-Muhammad Irfan"/>
    <n v="1700000"/>
    <n v="850"/>
    <n v="9"/>
    <n v="110"/>
    <n v="0"/>
    <n v="969"/>
    <n v="0"/>
    <n v="0"/>
    <n v="969"/>
    <n v="0"/>
    <n v="969"/>
    <m/>
    <m/>
    <m/>
    <m/>
    <n v="920.23396763811604"/>
    <n v="828.19647408850301"/>
    <s v="auganzebaccamba@gmail.com"/>
  </r>
  <r>
    <n v="64"/>
    <x v="14"/>
    <x v="41"/>
    <s v=" -"/>
    <s v=" MOTOR"/>
    <d v="2024-10-31T00:00:00"/>
    <d v="2022-05-10T00:00:00"/>
    <d v="2023-05-09T00:00:00"/>
    <s v=" 08805710"/>
    <s v="Mr. Hamza Saleem Mirza_x000a_CNIC# 42101-8566667-9_x000a_CELL# 0334-1120985 / 0345-3637394"/>
    <m/>
    <s v="SUZUKI ALTO"/>
    <s v="BWN-587"/>
    <s v="226621"/>
    <s v="1126643"/>
    <s v="2022"/>
    <m/>
    <m/>
    <s v=" D"/>
    <s v="09000221-Muhammad Irfan"/>
    <n v="-1"/>
    <n v="-959"/>
    <n v="-10"/>
    <n v="0"/>
    <n v="0"/>
    <n v="-969"/>
    <n v="0"/>
    <n v="0"/>
    <n v="-969"/>
    <n v="0"/>
    <n v="-969"/>
    <m/>
    <m/>
    <m/>
    <m/>
    <m/>
    <m/>
    <m/>
  </r>
  <r>
    <n v="65"/>
    <x v="15"/>
    <x v="42"/>
    <s v=" -"/>
    <s v=" MOTOR"/>
    <d v="2022-10-11T00:00:00"/>
    <d v="2022-05-09T00:00:00"/>
    <d v="2023-05-08T00:00:00"/>
    <s v=" 08805720"/>
    <s v="Mr. Farhan Latif _x000a_CNIC# 33102-9360190-7_x000a_CELL# 0334-8706662 / 0311-1150000"/>
    <m/>
    <s v="SUZUKI SWIFT GL M/T"/>
    <s v="LEH-15-4224"/>
    <s v="13028843"/>
    <s v="10028850"/>
    <s v="2015"/>
    <m/>
    <m/>
    <s v=" D"/>
    <s v="09000309-Zeeshan Mohi-u-din"/>
    <n v="1800000"/>
    <n v="381"/>
    <n v="4"/>
    <n v="49"/>
    <n v="0"/>
    <n v="434"/>
    <n v="0"/>
    <n v="0"/>
    <n v="434"/>
    <n v="0"/>
    <n v="434"/>
    <m/>
    <m/>
    <m/>
    <m/>
    <n v="802.95779166759303"/>
    <n v="351.72397173676001"/>
    <s v="daudahmad.sh@gmail.com"/>
  </r>
  <r>
    <n v="66"/>
    <x v="15"/>
    <x v="43"/>
    <s v=" -"/>
    <s v=" MOTOR"/>
    <d v="2023-02-28T00:00:00"/>
    <d v="2022-05-09T00:00:00"/>
    <d v="2023-05-08T00:00:00"/>
    <s v=" 08805720"/>
    <s v="Mr. Farhan Latif _x000a_CNIC# 33102-9360190-7_x000a_CELL# 0334-8706662 / 0311-1150000"/>
    <m/>
    <s v="SUZUKI SWIFT GL M/T"/>
    <s v="LEH-15-4224"/>
    <s v="13028843"/>
    <s v="10028850"/>
    <s v="2015"/>
    <m/>
    <m/>
    <s v=" D"/>
    <s v="09000309-Zeeshan Mohi-u-din"/>
    <n v="1800000"/>
    <n v="-381"/>
    <n v="-4"/>
    <n v="0"/>
    <n v="0"/>
    <n v="-385"/>
    <n v="0"/>
    <n v="0"/>
    <n v="-385"/>
    <n v="0"/>
    <n v="-385"/>
    <m/>
    <m/>
    <m/>
    <m/>
    <m/>
    <m/>
    <s v="daudahmad.sh@gmail.com"/>
  </r>
  <r>
    <n v="67"/>
    <x v="15"/>
    <x v="44"/>
    <s v=" -"/>
    <s v=" MOTOR"/>
    <d v="2024-10-31T00:00:00"/>
    <d v="2022-05-09T00:00:00"/>
    <d v="2023-05-08T00:00:00"/>
    <s v=" 08805720"/>
    <s v="Mr. Farhan Latif _x000a_CNIC# 33102-9360190-7_x000a_CELL# 0334-8706662 / 0311-1150000"/>
    <m/>
    <s v="SUZUKI SWIFT GL M/T"/>
    <s v="LEH-15-4224"/>
    <s v="13028843"/>
    <s v="10028850"/>
    <s v="2015"/>
    <m/>
    <m/>
    <s v=" D"/>
    <s v="09000309-Zeeshan Mohi-u-din"/>
    <n v="-1"/>
    <n v="-49"/>
    <n v="0"/>
    <n v="0"/>
    <n v="0"/>
    <n v="-49"/>
    <n v="0"/>
    <n v="0"/>
    <n v="-49"/>
    <n v="0"/>
    <n v="-49"/>
    <m/>
    <m/>
    <m/>
    <m/>
    <m/>
    <m/>
    <m/>
  </r>
  <r>
    <n v="73"/>
    <x v="16"/>
    <x v="24"/>
    <s v=" -"/>
    <s v=" MOTOR"/>
    <d v="2022-06-10T00:00:00"/>
    <d v="2022-06-08T00:00:00"/>
    <d v="2023-06-07T00:00:00"/>
    <s v=" 08806239"/>
    <s v="Mr. Muhammad Hamza Khan_x000a_CNIC #. 41303-9598215-7_x000a_CELL #. 0332-2515431"/>
    <m/>
    <s v="SUZUKI ALTO"/>
    <s v="BSR-460"/>
    <s v="6R137750"/>
    <s v="NF1AET306H1037745"/>
    <s v="2020"/>
    <m/>
    <m/>
    <s v=" D"/>
    <s v="09000221-Muhammad Irfan"/>
    <n v="-1"/>
    <n v="14719"/>
    <n v="147"/>
    <n v="1914"/>
    <n v="50"/>
    <n v="16830"/>
    <n v="17234"/>
    <n v="0"/>
    <n v="-404"/>
    <n v="0"/>
    <n v="-404"/>
    <m/>
    <m/>
    <m/>
    <s v="MAHRUKH"/>
    <m/>
    <m/>
    <s v="humza4948@gmail.com"/>
  </r>
  <r>
    <n v="74"/>
    <x v="16"/>
    <x v="45"/>
    <s v=" -"/>
    <s v=" MOTOR"/>
    <d v="2022-10-11T00:00:00"/>
    <d v="2022-06-08T00:00:00"/>
    <d v="2023-06-07T00:00:00"/>
    <s v=" 08806239"/>
    <s v="Mr. Muhammad Hamza Khan_x000a_CNIC #. 41303-9598215-7_x000a_CELL #. 0310-2323273"/>
    <m/>
    <s v="SUZUKI ALTO"/>
    <s v="BSR-460"/>
    <s v="6R137750"/>
    <s v="NF1AET306H1037745"/>
    <s v="2020"/>
    <m/>
    <m/>
    <s v=" D"/>
    <s v="09000221-Muhammad Irfan"/>
    <n v="1700000"/>
    <n v="401"/>
    <n v="3"/>
    <n v="0"/>
    <n v="0"/>
    <n v="404"/>
    <n v="0"/>
    <n v="0"/>
    <n v="404"/>
    <n v="0"/>
    <n v="404"/>
    <m/>
    <m/>
    <m/>
    <s v="MAHRUKH"/>
    <n v="345.73010192085098"/>
    <n v="345.73010192085098"/>
    <s v="humza4948@gmail.com"/>
  </r>
  <r>
    <n v="79"/>
    <x v="17"/>
    <x v="46"/>
    <s v=" -"/>
    <s v=" MOTOR"/>
    <d v="2022-10-11T00:00:00"/>
    <d v="2022-08-11T00:00:00"/>
    <d v="2023-08-10T00:00:00"/>
    <s v=" 08804672"/>
    <s v="Mr. Farooq Azam_x000a_CNIC# 42301-0842007-5_x000a_CELL# 03002367384"/>
    <m/>
    <s v="SUZUKI ALTO VXR"/>
    <s v="BWW-289"/>
    <s v="6R235261"/>
    <s v="NF1AET306H1135259"/>
    <s v="2022"/>
    <m/>
    <m/>
    <s v=" D"/>
    <s v="09000221-Muhammad Irfan"/>
    <n v="2500000"/>
    <n v="1491"/>
    <n v="15"/>
    <n v="193"/>
    <n v="0"/>
    <n v="1699"/>
    <n v="0"/>
    <n v="0"/>
    <n v="1699"/>
    <n v="0"/>
    <n v="1699"/>
    <m/>
    <m/>
    <m/>
    <m/>
    <n v="1299.2113200918902"/>
    <n v="987.99642412335311"/>
    <s v="memonfazam@gmail.com"/>
  </r>
  <r>
    <n v="80"/>
    <x v="17"/>
    <x v="47"/>
    <s v=" -"/>
    <s v=" MOTOR"/>
    <d v="2024-10-31T00:00:00"/>
    <d v="2022-08-11T00:00:00"/>
    <d v="2023-08-10T00:00:00"/>
    <s v=" 08804672"/>
    <s v="Mr. Farooq Azam_x000a_CNIC# 42301-0842007-5_x000a_CELL# 03002367384"/>
    <m/>
    <s v="SUZUKI ALTO VXR"/>
    <s v="BWW-289"/>
    <s v="6R235261"/>
    <s v="NF1AET306H1135259"/>
    <s v="2022"/>
    <m/>
    <m/>
    <s v=" D"/>
    <s v="09000221-Muhammad Irfan"/>
    <n v="-1"/>
    <n v="-1682"/>
    <n v="-17"/>
    <n v="0"/>
    <n v="0"/>
    <n v="-1699"/>
    <n v="0"/>
    <n v="0"/>
    <n v="-1699"/>
    <n v="0"/>
    <n v="-1699"/>
    <m/>
    <m/>
    <m/>
    <m/>
    <m/>
    <m/>
    <m/>
  </r>
  <r>
    <n v="81"/>
    <x v="18"/>
    <x v="24"/>
    <s v=" -"/>
    <s v=" MOTOR"/>
    <d v="2022-09-02T00:00:00"/>
    <d v="2022-09-07T00:00:00"/>
    <d v="2023-09-06T00:00:00"/>
    <s v=" 08800738"/>
    <s v="M/s. Nextbridge Private Limited. _x000a_NTN- 1132123"/>
    <m/>
    <s v="TOYOTA HIACE"/>
    <s v="LEH-19-4869"/>
    <s v="2TR2419668"/>
    <s v="TRH2190014585"/>
    <s v="2012"/>
    <s v="35202-1794756-1"/>
    <m/>
    <s v=" D"/>
    <s v="09000221-Muhammad Irfan"/>
    <m/>
    <n v="25392"/>
    <n v="254"/>
    <n v="3301"/>
    <n v="50"/>
    <n v="28997"/>
    <n v="29371"/>
    <n v="0"/>
    <n v="-374"/>
    <n v="0"/>
    <n v="-374"/>
    <m/>
    <m/>
    <m/>
    <s v="MAHRUKH"/>
    <m/>
    <m/>
    <s v="procurement@nxb.com.pk,fahad.anwar@salaamtakaful.com,abdul.mannan@nxb.com.pk"/>
  </r>
  <r>
    <n v="82"/>
    <x v="18"/>
    <x v="48"/>
    <s v=" -"/>
    <s v=" MOTOR"/>
    <d v="2022-10-11T00:00:00"/>
    <d v="2022-09-07T00:00:00"/>
    <d v="2023-09-06T00:00:00"/>
    <s v=" 08800738"/>
    <s v="M/s. Nextbridge Private Limited. _x000a_NTN- 1132123"/>
    <m/>
    <s v="TOYOTA HIACE"/>
    <s v="LEH-19-4869"/>
    <s v="2TR2419668"/>
    <s v="TRH2190014585"/>
    <s v="2012"/>
    <s v="35202-1794756-1"/>
    <m/>
    <s v=" D"/>
    <s v="09000221-Muhammad Irfan"/>
    <n v="2929000"/>
    <n v="388"/>
    <n v="4"/>
    <n v="50"/>
    <n v="0"/>
    <n v="442"/>
    <n v="68"/>
    <n v="0"/>
    <n v="374"/>
    <n v="0"/>
    <n v="374"/>
    <m/>
    <m/>
    <m/>
    <s v="MAHRUKH"/>
    <n v="1363.2772158989869"/>
    <n v="220.12357265383301"/>
    <s v="procurement@nxb.com.pk,fahad.anwar@salaamtakaful.com,abdul.mannan@nxb.com.pk"/>
  </r>
  <r>
    <n v="83"/>
    <x v="19"/>
    <x v="49"/>
    <s v=" -"/>
    <s v=" MOTOR"/>
    <d v="2023-07-06T00:00:00"/>
    <d v="2022-08-31T00:00:00"/>
    <d v="2023-08-30T00:00:00"/>
    <s v=" 08802904"/>
    <s v="Mr. Abdul Hameed _x000a_CNIC # 42201-7010075-5 CELL # 0333-2287395"/>
    <m/>
    <s v="TOYOTA VITZ"/>
    <s v="BKG-060"/>
    <s v="1KR-1496719"/>
    <s v="KSP130-2123733"/>
    <s v="2014"/>
    <m/>
    <m/>
    <s v=" D"/>
    <s v="09000313-Abdus Saboor Khan"/>
    <n v="2575000"/>
    <n v="111"/>
    <n v="1"/>
    <n v="14"/>
    <n v="0"/>
    <n v="126"/>
    <n v="0"/>
    <n v="0"/>
    <n v="126"/>
    <n v="0"/>
    <n v="126"/>
    <m/>
    <m/>
    <m/>
    <m/>
    <n v="71.196371702983186"/>
    <n v="71.196371702983186"/>
    <s v="hameed@arifhabibltd.com"/>
  </r>
  <r>
    <n v="84"/>
    <x v="19"/>
    <x v="50"/>
    <s v=" -"/>
    <s v=" MOTOR"/>
    <d v="2023-07-31T00:00:00"/>
    <d v="2022-08-31T00:00:00"/>
    <d v="2023-08-30T00:00:00"/>
    <s v=" 08802904"/>
    <s v="Mr. Abdul Hameed _x000a_CNIC # 42201-7010075-5 CELL # 0333-2287395"/>
    <m/>
    <s v="TOYOTA VITZ"/>
    <s v="BKG-060"/>
    <s v="1KR-1496719"/>
    <s v="KSP130-2123733"/>
    <s v="2014"/>
    <m/>
    <m/>
    <s v=" D"/>
    <s v="09000313-Abdus Saboor Khan"/>
    <n v="2575000"/>
    <n v="209"/>
    <n v="3"/>
    <n v="28"/>
    <n v="0"/>
    <n v="240"/>
    <n v="0"/>
    <n v="0"/>
    <n v="240"/>
    <n v="0"/>
    <n v="240"/>
    <m/>
    <m/>
    <m/>
    <m/>
    <m/>
    <m/>
    <s v="hameed@arifhabibltd.com"/>
  </r>
  <r>
    <n v="85"/>
    <x v="19"/>
    <x v="51"/>
    <s v=" -"/>
    <s v=" MOTOR"/>
    <d v="2023-07-31T00:00:00"/>
    <d v="2022-08-31T00:00:00"/>
    <d v="2023-08-30T00:00:00"/>
    <s v=" 08802904"/>
    <s v="Mr. Abdul Hameed _x000a_CNIC # 42201-7010075-5 CELL # 0333-2287395"/>
    <m/>
    <s v="TOYOTA VITZ"/>
    <s v="BKG-060"/>
    <s v="1KR-1496719"/>
    <s v="KSP130-2123733"/>
    <s v="2014"/>
    <m/>
    <m/>
    <s v=" D"/>
    <s v="09000313-Abdus Saboor Khan"/>
    <n v="2575000"/>
    <n v="209"/>
    <n v="3"/>
    <n v="28"/>
    <n v="0"/>
    <n v="240"/>
    <n v="0"/>
    <n v="0"/>
    <n v="240"/>
    <n v="0"/>
    <n v="240"/>
    <m/>
    <m/>
    <m/>
    <m/>
    <n v="135.87"/>
    <n v="135.87"/>
    <s v="hameed@arifhabibltd.com"/>
  </r>
  <r>
    <n v="86"/>
    <x v="19"/>
    <x v="52"/>
    <s v=" -"/>
    <s v=" MOTOR"/>
    <d v="2024-10-31T00:00:00"/>
    <d v="2022-08-31T00:00:00"/>
    <d v="2023-08-30T00:00:00"/>
    <s v=" 08802904"/>
    <s v="Mr. Abdul Hameed _x000a_CNIC # 42201-7010075-5 CELL # 0333-2287395"/>
    <m/>
    <s v="TOYOTA VITZ"/>
    <s v="BKG-060"/>
    <s v="1KR-1496719"/>
    <s v="KSP130-2123733"/>
    <s v="2014"/>
    <m/>
    <m/>
    <s v=" D"/>
    <s v="09000313-Abdus Saboor Khan"/>
    <n v="-1"/>
    <n v="-600"/>
    <n v="-6"/>
    <n v="0"/>
    <n v="0"/>
    <n v="-606"/>
    <n v="0"/>
    <n v="0"/>
    <n v="-606"/>
    <n v="0"/>
    <n v="-606"/>
    <m/>
    <m/>
    <m/>
    <m/>
    <m/>
    <m/>
    <m/>
  </r>
  <r>
    <n v="87"/>
    <x v="20"/>
    <x v="53"/>
    <s v=" -"/>
    <s v=" MOTOR"/>
    <d v="2022-10-11T00:00:00"/>
    <d v="2022-09-09T00:00:00"/>
    <d v="2023-09-08T00:00:00"/>
    <s v=" 08807472"/>
    <s v="Mrs. Nighat Zubair _x000a_CNIC # 42301-0864749-0_x000a_CELL# +92 300 8254002"/>
    <m/>
    <s v="KIA SPORTAGE AWD"/>
    <s v="BK-6120"/>
    <s v="G4NAMH329679"/>
    <s v="NNAQL51AZKP516648"/>
    <s v="2022"/>
    <m/>
    <m/>
    <s v=" D"/>
    <s v="09000221-Muhammad Irfan"/>
    <n v="6250000"/>
    <n v="1084"/>
    <n v="11"/>
    <n v="141"/>
    <n v="0"/>
    <n v="1236"/>
    <n v="0"/>
    <n v="0"/>
    <n v="1236"/>
    <n v="0"/>
    <n v="1236"/>
    <m/>
    <m/>
    <m/>
    <m/>
    <n v="287.285111676795"/>
    <n v="287.285111676795"/>
    <s v="mz7693@yahoo.com"/>
  </r>
  <r>
    <n v="88"/>
    <x v="20"/>
    <x v="54"/>
    <s v=" -"/>
    <s v=" MOTOR"/>
    <d v="2025-03-29T00:00:00"/>
    <d v="2022-09-09T00:00:00"/>
    <d v="2023-09-08T00:00:00"/>
    <s v=" 08807472"/>
    <s v="Mrs. Nighat Zubair _x000a_CNIC # 42301-0864749-0_x000a_CELL# +92 300 8254002"/>
    <m/>
    <s v="KIA SPORTAGE AWD"/>
    <s v="BK-6120"/>
    <s v="G4NAMH329679"/>
    <s v="NNAQL51AZKP516648"/>
    <s v="2022"/>
    <m/>
    <m/>
    <s v=" D"/>
    <s v="09000221-Muhammad Irfan"/>
    <n v="-1"/>
    <n v="-1225"/>
    <n v="-11"/>
    <n v="0"/>
    <n v="0"/>
    <n v="-1236"/>
    <n v="0"/>
    <n v="0"/>
    <n v="-1236"/>
    <n v="0"/>
    <n v="-1236"/>
    <m/>
    <m/>
    <m/>
    <m/>
    <m/>
    <m/>
    <m/>
  </r>
  <r>
    <n v="104"/>
    <x v="21"/>
    <x v="24"/>
    <s v=" -"/>
    <s v=" MOTOR"/>
    <d v="2022-12-22T00:00:00"/>
    <d v="2022-12-21T00:00:00"/>
    <d v="2023-12-20T00:00:00"/>
    <s v=" 08808858"/>
    <s v="Mr. Muhammad Ali Raza Hussain_x000a_CNIC# 42201-4833830-3_x000a_CELL# +92 333 2016338"/>
    <m/>
    <s v="TOYOTA COROLLA ALTIS GRAN"/>
    <s v="BPJ-375"/>
    <s v="Q337896"/>
    <s v="ZRE172R-7037049"/>
    <s v="2019"/>
    <s v="42201-4833830-3"/>
    <m/>
    <s v=" D"/>
    <s v="09000313-Abdus Saboor Khan"/>
    <n v="4000000"/>
    <n v="4343"/>
    <n v="43"/>
    <n v="564"/>
    <n v="50"/>
    <n v="5000"/>
    <n v="5001"/>
    <n v="0"/>
    <n v="-1"/>
    <n v="0"/>
    <n v="-1"/>
    <m/>
    <m/>
    <m/>
    <m/>
    <m/>
    <m/>
    <s v="m.aliraza@arifhabibltd.com"/>
  </r>
  <r>
    <n v="105"/>
    <x v="21"/>
    <x v="55"/>
    <s v=" -"/>
    <s v=" MOTOR"/>
    <d v="2023-05-23T00:00:00"/>
    <d v="2022-12-21T00:00:00"/>
    <d v="2023-12-20T00:00:00"/>
    <s v=" 08808858"/>
    <s v="Mr. Muhammad Ali Raza Hussain_x000a_CNIC# 42201-4833830-3_x000a_CELL# +92 333 2016338"/>
    <m/>
    <s v="TOYOTA COROLLA ALTIS GRAN"/>
    <s v="BPJ-375"/>
    <s v="Q337896"/>
    <s v="ZRE172R-7037049"/>
    <s v="2019"/>
    <s v="42201-4833830-3"/>
    <m/>
    <s v=" D"/>
    <s v="09000313-Abdus Saboor Khan"/>
    <n v="4000000"/>
    <n v="3412"/>
    <n v="34"/>
    <n v="444"/>
    <n v="0"/>
    <n v="3890"/>
    <n v="3889"/>
    <n v="0"/>
    <n v="1"/>
    <n v="0"/>
    <n v="1"/>
    <m/>
    <m/>
    <m/>
    <m/>
    <n v="900.15934774564801"/>
    <n v="709.2143561557549"/>
    <s v="m.aliraza@arifhabibltd.com"/>
  </r>
  <r>
    <n v="106"/>
    <x v="22"/>
    <x v="24"/>
    <s v=" -"/>
    <s v=" MOTOR"/>
    <d v="2022-12-28T00:00:00"/>
    <d v="2022-12-28T00:00:00"/>
    <d v="2023-12-27T00:00:00"/>
    <s v=" 08808954"/>
    <s v="Mr. Tahir Raza_x000a_CNIC# 42101-1919646-5_x000a_CELL# 03341873239"/>
    <m/>
    <s v="SUZUKI Suzuki Swift GL CV"/>
    <m/>
    <s v="K12M-1013060"/>
    <s v="NF1A2L412113060"/>
    <s v="2022"/>
    <s v="42101-1919646-5"/>
    <m/>
    <s v=" D"/>
    <s v="09000221-Muhammad Irfan"/>
    <m/>
    <n v="4343"/>
    <n v="43"/>
    <n v="564"/>
    <n v="50"/>
    <n v="5000"/>
    <n v="5003"/>
    <n v="0"/>
    <n v="-3"/>
    <n v="0"/>
    <n v="-3"/>
    <m/>
    <m/>
    <m/>
    <m/>
    <m/>
    <m/>
    <s v="tahir.raza1@hbl.com"/>
  </r>
  <r>
    <n v="107"/>
    <x v="22"/>
    <x v="56"/>
    <s v=" -"/>
    <s v=" MOTOR"/>
    <d v="2023-03-06T00:00:00"/>
    <d v="2022-12-28T00:00:00"/>
    <d v="2023-12-27T00:00:00"/>
    <s v=" 08808954"/>
    <s v="Mr. Tahir Raza_x000a_CNIC# 42101-1919646-5_x000a_CELL# 03341873239"/>
    <m/>
    <s v="SUZUKI Suzuki Swift GL CV"/>
    <m/>
    <s v="K12M-1013060"/>
    <s v="NF1A2L412113060"/>
    <s v="2022"/>
    <s v="42101-1919646-5"/>
    <m/>
    <s v=" D"/>
    <s v="09000221-Muhammad Irfan"/>
    <n v="3445000"/>
    <n v="5530"/>
    <n v="55"/>
    <n v="718"/>
    <n v="0"/>
    <n v="6303"/>
    <n v="6300"/>
    <n v="0"/>
    <n v="3"/>
    <n v="0"/>
    <n v="3"/>
    <m/>
    <m/>
    <m/>
    <m/>
    <n v="2282.1314455921952"/>
    <n v="1337.856150015431"/>
    <s v="tahir.raza1@hbl.com"/>
  </r>
  <r>
    <n v="109"/>
    <x v="23"/>
    <x v="57"/>
    <s v=" -"/>
    <s v=" MOTOR"/>
    <d v="2023-03-13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3834"/>
    <n v="39"/>
    <n v="498"/>
    <n v="0"/>
    <n v="4371"/>
    <n v="0"/>
    <n v="0"/>
    <n v="4371"/>
    <n v="0"/>
    <n v="4371"/>
    <m/>
    <m/>
    <m/>
    <m/>
    <n v="1710.6711746723399"/>
    <n v="570.12592898746402"/>
    <m/>
  </r>
  <r>
    <n v="110"/>
    <x v="23"/>
    <x v="58"/>
    <s v=" -"/>
    <s v=" MOTOR"/>
    <d v="2023-03-14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72"/>
    <n v="0"/>
    <n v="9"/>
    <n v="0"/>
    <n v="81"/>
    <n v="0"/>
    <n v="0"/>
    <n v="81"/>
    <n v="0"/>
    <n v="81"/>
    <m/>
    <m/>
    <m/>
    <m/>
    <n v="10.497902268487302"/>
    <n v="10.497902268487302"/>
    <m/>
  </r>
  <r>
    <n v="111"/>
    <x v="23"/>
    <x v="59"/>
    <s v=" -"/>
    <s v=" MOTOR"/>
    <d v="2023-07-19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46"/>
    <n v="1"/>
    <n v="7"/>
    <n v="0"/>
    <n v="54"/>
    <n v="0"/>
    <n v="0"/>
    <n v="54"/>
    <n v="0"/>
    <n v="54"/>
    <m/>
    <m/>
    <m/>
    <m/>
    <n v="6.9565840690111793"/>
    <n v="6.9565840690111793"/>
    <m/>
  </r>
  <r>
    <n v="112"/>
    <x v="23"/>
    <x v="60"/>
    <s v=" -"/>
    <s v=" MOTOR"/>
    <d v="2023-08-15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654"/>
    <n v="6"/>
    <n v="84"/>
    <n v="0"/>
    <n v="744"/>
    <n v="0"/>
    <n v="0"/>
    <n v="744"/>
    <n v="0"/>
    <n v="744"/>
    <m/>
    <m/>
    <m/>
    <m/>
    <n v="97.02"/>
    <n v="97.02"/>
    <m/>
  </r>
  <r>
    <n v="113"/>
    <x v="23"/>
    <x v="61"/>
    <s v=" -"/>
    <s v=" MOTOR"/>
    <d v="2023-09-14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340"/>
    <n v="4"/>
    <n v="44"/>
    <n v="0"/>
    <n v="388"/>
    <n v="0"/>
    <n v="0"/>
    <n v="388"/>
    <n v="0"/>
    <n v="388"/>
    <m/>
    <m/>
    <m/>
    <m/>
    <n v="111.98"/>
    <n v="98.6"/>
    <m/>
  </r>
  <r>
    <n v="114"/>
    <x v="23"/>
    <x v="62"/>
    <s v=" -"/>
    <s v=" MOTOR"/>
    <d v="2023-10-13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2336"/>
    <n v="23"/>
    <n v="304"/>
    <n v="0"/>
    <n v="2663"/>
    <n v="0"/>
    <n v="0"/>
    <n v="2663"/>
    <n v="0"/>
    <n v="2663"/>
    <m/>
    <m/>
    <m/>
    <m/>
    <n v="976.61"/>
    <n v="697.71"/>
    <m/>
  </r>
  <r>
    <n v="115"/>
    <x v="23"/>
    <x v="63"/>
    <s v=" -"/>
    <s v=" MOTOR"/>
    <d v="2023-11-15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93"/>
    <n v="1"/>
    <n v="12"/>
    <n v="0"/>
    <n v="106"/>
    <n v="0"/>
    <n v="0"/>
    <n v="106"/>
    <n v="0"/>
    <n v="106"/>
    <m/>
    <m/>
    <m/>
    <m/>
    <n v="27.71"/>
    <n v="27.71"/>
    <m/>
  </r>
  <r>
    <n v="116"/>
    <x v="23"/>
    <x v="64"/>
    <s v=" -"/>
    <s v=" MOTOR"/>
    <d v="2023-12-15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1559"/>
    <n v="16"/>
    <n v="203"/>
    <n v="0"/>
    <n v="1778"/>
    <n v="0"/>
    <n v="0"/>
    <n v="1778"/>
    <n v="0"/>
    <n v="1778"/>
    <m/>
    <m/>
    <m/>
    <m/>
    <n v="548.37000000000103"/>
    <n v="465.97"/>
    <m/>
  </r>
  <r>
    <n v="117"/>
    <x v="23"/>
    <x v="65"/>
    <s v=" -"/>
    <s v=" MOTOR"/>
    <d v="2024-12-29T00:00:00"/>
    <d v="2023-01-13T00:00:00"/>
    <d v="2024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-1"/>
    <n v="-10084"/>
    <n v="-101"/>
    <n v="0"/>
    <n v="0"/>
    <n v="-10185"/>
    <n v="0"/>
    <n v="0"/>
    <n v="-10185"/>
    <n v="0"/>
    <n v="-10185"/>
    <m/>
    <m/>
    <m/>
    <m/>
    <m/>
    <m/>
    <m/>
  </r>
  <r>
    <n v="122"/>
    <x v="24"/>
    <x v="24"/>
    <s v=" -"/>
    <s v=" MOTOR"/>
    <d v="2023-01-16T00:00:00"/>
    <d v="2023-01-11T00:00:00"/>
    <d v="2024-01-10T00:00:00"/>
    <s v=" 08809239"/>
    <s v="Mr. Muhammad Habibuddin Siddiqui_x000a_CNIC# 42201-3944769-9_x000a_CELL# 03312823364"/>
    <m/>
    <s v="TOYOTA COROLLA 1.3 XLI"/>
    <s v="BHH-154"/>
    <s v="Z476361"/>
    <s v="NZE170R-4103039"/>
    <s v="2017"/>
    <m/>
    <m/>
    <s v=" D"/>
    <s v="09000221-Muhammad Irfan"/>
    <n v="2350000"/>
    <n v="4343"/>
    <n v="43"/>
    <n v="564"/>
    <n v="50"/>
    <n v="5000"/>
    <n v="5005"/>
    <n v="0"/>
    <n v="-5"/>
    <n v="0"/>
    <n v="-5"/>
    <m/>
    <m/>
    <m/>
    <m/>
    <m/>
    <m/>
    <s v="habibsiddiqui8724@gmail.com"/>
  </r>
  <r>
    <n v="123"/>
    <x v="24"/>
    <x v="66"/>
    <s v=" -"/>
    <s v=" MOTOR"/>
    <d v="2023-07-19T00:00:00"/>
    <d v="2023-01-11T00:00:00"/>
    <d v="2024-01-10T00:00:00"/>
    <s v=" 08809239"/>
    <s v="Mr. Muhammad Habibuddin Siddiqui_x000a_CNIC# 42201-3944769-9_x000a_CELL# 03312823364"/>
    <m/>
    <s v="TOYOTA COROLLA 1.3 XLI"/>
    <s v="BHH-154"/>
    <s v="Z476361"/>
    <s v="NZE170R-4103039"/>
    <s v="2017"/>
    <m/>
    <m/>
    <s v=" D"/>
    <s v="09000221-Muhammad Irfan"/>
    <n v="2350000"/>
    <n v="1352"/>
    <n v="14"/>
    <n v="176"/>
    <n v="0"/>
    <n v="1542"/>
    <n v="1537"/>
    <n v="0"/>
    <n v="5"/>
    <n v="0"/>
    <n v="5"/>
    <m/>
    <m/>
    <m/>
    <m/>
    <n v="523.42682406097606"/>
    <n v="478.59682406097608"/>
    <m/>
  </r>
  <r>
    <n v="124"/>
    <x v="25"/>
    <x v="24"/>
    <s v=" -"/>
    <s v=" MOTOR"/>
    <d v="2023-01-20T00:00:00"/>
    <d v="2023-01-18T00:00:00"/>
    <d v="2024-01-17T00:00:00"/>
    <s v=" 08809333"/>
    <s v="Mr. Abdul Jabbar Shakir_x000a_CNIC# 35202-6924616-1_x000a_CELL# 03004497468"/>
    <m/>
    <s v="HONDA CIVIC 1.8 I-VTEC OR"/>
    <s v="LEF-19-3848"/>
    <s v="R18Z12952045"/>
    <s v="NFBFC6667KR055473"/>
    <s v="2019"/>
    <s v="35202-6924616-1"/>
    <m/>
    <s v=" D"/>
    <s v="09000221-Muhammad Irfan"/>
    <n v="0"/>
    <n v="4343"/>
    <n v="43"/>
    <n v="564"/>
    <n v="50"/>
    <n v="5000"/>
    <n v="5008"/>
    <n v="0"/>
    <n v="-8"/>
    <n v="0"/>
    <n v="-8"/>
    <m/>
    <m/>
    <m/>
    <m/>
    <m/>
    <m/>
    <s v="zoya.mohid@gmail.com"/>
  </r>
  <r>
    <n v="125"/>
    <x v="25"/>
    <x v="67"/>
    <s v=" -"/>
    <s v=" MOTOR"/>
    <d v="2023-08-18T00:00:00"/>
    <d v="2023-01-18T00:00:00"/>
    <d v="2024-01-17T00:00:00"/>
    <s v=" 08809333"/>
    <s v="Mr. Abdul Jabbar Shakir_x000a_CNIC# 35202-6924616-1_x000a_CELL# 03004497468"/>
    <m/>
    <s v="HONDA CIVIC 1.8 I-VTEC OR"/>
    <s v="LEF-19-3848"/>
    <s v="R18Z12952045"/>
    <s v="NFBFC6667KR055473"/>
    <s v="2019"/>
    <s v="35202-6924616-1"/>
    <m/>
    <s v=" D"/>
    <s v="09000221-Muhammad Irfan"/>
    <n v="3500000"/>
    <n v="110"/>
    <n v="1"/>
    <n v="14"/>
    <n v="0"/>
    <n v="125"/>
    <n v="117"/>
    <n v="0"/>
    <n v="8"/>
    <n v="0"/>
    <n v="8"/>
    <m/>
    <m/>
    <m/>
    <m/>
    <n v="26.05"/>
    <n v="26.05"/>
    <s v="zoya.mohid@gmail.com"/>
  </r>
  <r>
    <n v="126"/>
    <x v="26"/>
    <x v="68"/>
    <s v=" -"/>
    <s v=" MOTOR"/>
    <d v="2023-08-21T00:00:00"/>
    <d v="2023-01-20T00:00:00"/>
    <d v="2024-01-19T00:00:00"/>
    <s v=" 08809347"/>
    <s v="Mr. Saghir Ahmed Khan Afridi_x000a_CNIC# 42201-0763320-3_x000a_CELL# 03332229000 - 03332200000"/>
    <m/>
    <s v="TOYOTA FORTUNER 4X4 AT LE"/>
    <s v="BT-1011"/>
    <s v="1GD5220168"/>
    <s v="GUN156R-1102553"/>
    <s v="2023"/>
    <s v="42201-0763320-3"/>
    <m/>
    <s v=" D"/>
    <s v="09000221-Muhammad Irfan"/>
    <n v="11600000"/>
    <n v="1"/>
    <n v="0"/>
    <n v="0"/>
    <n v="0"/>
    <n v="1"/>
    <n v="0"/>
    <n v="0"/>
    <n v="1"/>
    <n v="0"/>
    <n v="1"/>
    <m/>
    <m/>
    <m/>
    <m/>
    <n v="0.18"/>
    <n v="0.18"/>
    <s v="adeebafridi@gmail.com"/>
  </r>
  <r>
    <n v="127"/>
    <x v="26"/>
    <x v="69"/>
    <s v=" -"/>
    <s v=" MOTOR"/>
    <d v="2023-12-21T00:00:00"/>
    <d v="2023-01-20T00:00:00"/>
    <d v="2024-01-19T00:00:00"/>
    <s v=" 08809347"/>
    <s v="Mr. Saghir Ahmed Khan Afridi_x000a_CNIC# 42201-0763320-3_x000a_CELL# 03332229000 - 03332200000"/>
    <m/>
    <s v="TOYOTA FORTUNER 4X4 AT LE"/>
    <s v="BT-1011"/>
    <s v="1GD5220168"/>
    <s v="GUN156R-1102553"/>
    <s v="2023"/>
    <s v="42201-0763320-3"/>
    <m/>
    <s v=" D"/>
    <s v="09000221-Muhammad Irfan"/>
    <n v="11600000"/>
    <n v="6172"/>
    <n v="62"/>
    <n v="803"/>
    <n v="0"/>
    <n v="7037"/>
    <n v="0"/>
    <n v="0"/>
    <n v="7037"/>
    <n v="0"/>
    <n v="7037"/>
    <m/>
    <m/>
    <m/>
    <m/>
    <n v="453.71"/>
    <n v="442.75000000000006"/>
    <m/>
  </r>
  <r>
    <n v="128"/>
    <x v="26"/>
    <x v="70"/>
    <s v=" -"/>
    <s v=" MOTOR"/>
    <d v="2024-10-31T00:00:00"/>
    <d v="2023-01-20T00:00:00"/>
    <d v="2024-01-19T00:00:00"/>
    <s v=" 08809347"/>
    <s v="Mr. Saghir Ahmed Khan Afridi_x000a_CNIC# 42201-0763320-3_x000a_CELL# 03332229000 - 03332200000"/>
    <s v="."/>
    <s v="TOYOTA FORTUNER 4X4 AT LE"/>
    <s v="BT-1011"/>
    <s v="1GD5220168"/>
    <s v="GUN156R-1102553"/>
    <s v="2023"/>
    <s v="42201-0763320-3"/>
    <m/>
    <s v=" D"/>
    <s v="09000221-Muhammad Irfan"/>
    <n v="-1"/>
    <n v="-6968"/>
    <n v="-70"/>
    <n v="0"/>
    <n v="0"/>
    <n v="-7038"/>
    <n v="0"/>
    <n v="0"/>
    <n v="-7038"/>
    <n v="0"/>
    <n v="-7038"/>
    <m/>
    <m/>
    <m/>
    <m/>
    <m/>
    <m/>
    <m/>
  </r>
  <r>
    <n v="129"/>
    <x v="27"/>
    <x v="24"/>
    <s v=" -"/>
    <s v=" MOTOR"/>
    <d v="2023-01-23T00:00:00"/>
    <d v="2023-01-19T00:00:00"/>
    <d v="2024-01-18T00:00:00"/>
    <s v=" 08809349"/>
    <s v="Mr. Imdad Ali Jokhio_x000a_CNIC# 4130638713667_x000a_CELL# 03333888456"/>
    <m/>
    <s v="TOYOTA YARIS ATIV X 1.5 A"/>
    <s v="BAY-980"/>
    <s v="2A02389"/>
    <s v="NSP151R-9501524"/>
    <s v="2020"/>
    <s v="41306-3871366-7"/>
    <m/>
    <s v=" D"/>
    <s v="09000221-Muhammad Irfan"/>
    <n v="3500000"/>
    <n v="4343"/>
    <n v="43"/>
    <n v="564"/>
    <n v="50"/>
    <n v="5000"/>
    <n v="5099"/>
    <n v="0"/>
    <n v="-99"/>
    <n v="0"/>
    <n v="-99"/>
    <m/>
    <m/>
    <m/>
    <m/>
    <m/>
    <m/>
    <s v="faisalmadni33@gmail.com"/>
  </r>
  <r>
    <n v="130"/>
    <x v="27"/>
    <x v="71"/>
    <s v=" -"/>
    <s v=" MOTOR"/>
    <d v="2023-04-20T00:00:00"/>
    <d v="2023-01-19T00:00:00"/>
    <d v="2024-01-18T00:00:00"/>
    <s v=" 08809349"/>
    <s v="Mr. Imdad Ali Jokhio_x000a_CNIC# 4130638713667_x000a_CELL# 03333888456"/>
    <m/>
    <s v="TOYOTA YARIS ATIV X 1.5 A"/>
    <s v="BAY-980"/>
    <s v="2A02389"/>
    <s v="NSP151R-9501524"/>
    <s v="2020"/>
    <s v="41306-3871366-7"/>
    <m/>
    <s v=" D"/>
    <s v="09000221-Muhammad Irfan"/>
    <n v="3500000"/>
    <n v="2480"/>
    <n v="25"/>
    <n v="322"/>
    <n v="0"/>
    <n v="2827"/>
    <n v="2728"/>
    <n v="0"/>
    <n v="99"/>
    <n v="0"/>
    <n v="99"/>
    <m/>
    <m/>
    <m/>
    <m/>
    <n v="2657.554267831586"/>
    <n v="551.899415974617"/>
    <s v="faisalmadni33@gmail.com"/>
  </r>
  <r>
    <n v="131"/>
    <x v="28"/>
    <x v="24"/>
    <s v=" -"/>
    <s v=" MOTOR"/>
    <d v="2023-01-23T00:00:00"/>
    <d v="2023-01-19T00:00:00"/>
    <d v="2024-01-18T00:00:00"/>
    <s v=" 08801473"/>
    <s v="Mr. Muhammad Arqam_x000a_CNIC# 42101-3130615-7_x000a_CELL# +92 334 2011555"/>
    <m/>
    <s v="TOYOTA COROLLA ALTIS GRAN"/>
    <s v="BXF-554"/>
    <s v="Q362270"/>
    <s v="ZRE172R-7061440"/>
    <s v="2022"/>
    <s v="42101-3130615-7"/>
    <m/>
    <s v=" D"/>
    <s v="09000249-Amna Khurram"/>
    <n v="6000000"/>
    <n v="4343"/>
    <n v="43"/>
    <n v="564"/>
    <n v="50"/>
    <n v="5000"/>
    <n v="5002"/>
    <n v="0"/>
    <n v="-2"/>
    <n v="0"/>
    <n v="-2"/>
    <m/>
    <m/>
    <m/>
    <m/>
    <m/>
    <m/>
    <s v="muhammad.arqam@bbraun.com"/>
  </r>
  <r>
    <n v="132"/>
    <x v="28"/>
    <x v="72"/>
    <s v=" -"/>
    <s v=" MOTOR"/>
    <d v="2024-02-15T00:00:00"/>
    <d v="2023-01-19T00:00:00"/>
    <d v="2024-01-18T00:00:00"/>
    <s v=" 08801473"/>
    <s v="Mr. Muhammad Arqam_x000a_CNIC# 42101-3130615-7_x000a_CELL# +92 334 2011555"/>
    <m/>
    <s v="TOYOTA COROLLA ALTIS GRAN"/>
    <s v="BXF-554"/>
    <s v="Q362270"/>
    <s v="ZRE172R-7061440"/>
    <s v="2022"/>
    <s v="42101-3130615-7"/>
    <m/>
    <s v=" D"/>
    <s v="09000249-Amna Khurram"/>
    <n v="6000000"/>
    <n v="5998"/>
    <n v="60"/>
    <n v="780"/>
    <n v="0"/>
    <n v="6838"/>
    <n v="6836"/>
    <n v="0"/>
    <n v="2"/>
    <n v="0"/>
    <n v="2"/>
    <m/>
    <m/>
    <m/>
    <m/>
    <n v="954.33000000000106"/>
    <n v="852.0200000000001"/>
    <m/>
  </r>
  <r>
    <n v="133"/>
    <x v="29"/>
    <x v="24"/>
    <s v=" -"/>
    <s v=" MOTOR"/>
    <d v="2023-01-31T00:00:00"/>
    <d v="2023-01-31T00:00:00"/>
    <d v="2024-01-30T00:00:00"/>
    <s v=" 08804475"/>
    <s v="Mr. Iqbal_x000a_CNIC# 42201-0780194-9_x000a_Cell No. 0300-9209292"/>
    <m/>
    <s v="TOYOTA COROLLA"/>
    <s v="BPQ-904"/>
    <s v="Z551750"/>
    <s v="4177609"/>
    <s v="2019"/>
    <m/>
    <m/>
    <s v=" D"/>
    <s v="09000221-Muhammad Irfan"/>
    <m/>
    <n v="23412"/>
    <n v="234"/>
    <n v="3044"/>
    <n v="50"/>
    <n v="26740"/>
    <n v="27110"/>
    <n v="0"/>
    <n v="-370"/>
    <n v="0"/>
    <n v="-370"/>
    <m/>
    <m/>
    <m/>
    <s v="SEERAT AZMAT"/>
    <m/>
    <m/>
    <s v="iqbalkodwavi@hotmail.com"/>
  </r>
  <r>
    <n v="134"/>
    <x v="29"/>
    <x v="73"/>
    <s v=" -"/>
    <s v=" MOTOR"/>
    <d v="2024-08-23T00:00:00"/>
    <d v="2023-01-31T00:00:00"/>
    <d v="2024-01-30T00:00:00"/>
    <s v=" 08804475"/>
    <s v="Mr. Iqbal_x000a_CNIC# 42201-0780194-9_x000a_Cell No. 0300-9209292"/>
    <m/>
    <s v="TOYOTA COROLLA"/>
    <s v="BPQ-904"/>
    <s v="Z551750"/>
    <s v="4177609"/>
    <s v="2019"/>
    <m/>
    <m/>
    <s v=" D"/>
    <s v="09000221-Muhammad Irfan"/>
    <n v="2701000"/>
    <n v="319"/>
    <n v="3"/>
    <n v="48"/>
    <n v="0"/>
    <n v="370"/>
    <n v="0"/>
    <n v="0"/>
    <n v="370"/>
    <n v="0"/>
    <n v="370"/>
    <m/>
    <m/>
    <m/>
    <s v="SEERAT AZMAT"/>
    <n v="221.3"/>
    <n v="197.71"/>
    <m/>
  </r>
  <r>
    <n v="161"/>
    <x v="30"/>
    <x v="74"/>
    <s v=" -"/>
    <s v=" MOTOR"/>
    <d v="2023-12-04T00:00:00"/>
    <d v="2023-02-02T00:00:00"/>
    <d v="2024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4000000"/>
    <n v="4712"/>
    <n v="47"/>
    <n v="613"/>
    <n v="0"/>
    <n v="5372"/>
    <n v="0"/>
    <n v="0"/>
    <n v="5372"/>
    <n v="0"/>
    <n v="5372"/>
    <m/>
    <m/>
    <m/>
    <s v="Muzammil Sabir"/>
    <n v="1553.9700000000009"/>
    <n v="979.32"/>
    <m/>
  </r>
  <r>
    <n v="162"/>
    <x v="30"/>
    <x v="75"/>
    <s v=" -"/>
    <s v=" MOTOR"/>
    <d v="2023-12-04T00:00:00"/>
    <d v="2023-02-02T00:00:00"/>
    <d v="2024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4000000"/>
    <n v="4382"/>
    <n v="44"/>
    <n v="570"/>
    <n v="0"/>
    <n v="4996"/>
    <n v="0"/>
    <n v="0"/>
    <n v="4996"/>
    <n v="0"/>
    <n v="4996"/>
    <m/>
    <m/>
    <m/>
    <s v="Muzammil Sabir"/>
    <n v="1376.34"/>
    <n v="910.1"/>
    <m/>
  </r>
  <r>
    <n v="163"/>
    <x v="30"/>
    <x v="76"/>
    <s v=" -"/>
    <s v=" MOTOR"/>
    <d v="2023-12-04T00:00:00"/>
    <d v="2023-02-02T00:00:00"/>
    <d v="2024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4000000"/>
    <n v="4502"/>
    <n v="45"/>
    <n v="585"/>
    <n v="0"/>
    <n v="5132"/>
    <n v="0"/>
    <n v="0"/>
    <n v="5132"/>
    <n v="0"/>
    <n v="5132"/>
    <m/>
    <m/>
    <m/>
    <s v="Muzammil Sabir"/>
    <n v="1401.6300000000012"/>
    <n v="935"/>
    <m/>
  </r>
  <r>
    <n v="164"/>
    <x v="30"/>
    <x v="77"/>
    <s v=" -"/>
    <s v=" MOTOR"/>
    <d v="2023-12-04T00:00:00"/>
    <d v="2023-02-02T00:00:00"/>
    <d v="2024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4000000"/>
    <n v="5139"/>
    <n v="51"/>
    <n v="668"/>
    <n v="0"/>
    <n v="5858"/>
    <n v="0"/>
    <n v="0"/>
    <n v="5858"/>
    <n v="0"/>
    <n v="5858"/>
    <m/>
    <m/>
    <m/>
    <s v="Muzammil Sabir"/>
    <n v="1552.87"/>
    <n v="1067.46"/>
    <m/>
  </r>
  <r>
    <n v="165"/>
    <x v="30"/>
    <x v="78"/>
    <s v=" -"/>
    <s v=" MOTOR"/>
    <d v="2023-12-04T00:00:00"/>
    <d v="2023-02-02T00:00:00"/>
    <d v="2024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4000000"/>
    <n v="4424"/>
    <n v="44"/>
    <n v="575"/>
    <n v="0"/>
    <n v="5043"/>
    <n v="0"/>
    <n v="0"/>
    <n v="5043"/>
    <n v="0"/>
    <n v="5043"/>
    <m/>
    <m/>
    <m/>
    <s v="Muzammil Sabir"/>
    <n v="1335.0800000000004"/>
    <n v="918.88"/>
    <m/>
  </r>
  <r>
    <n v="166"/>
    <x v="30"/>
    <x v="79"/>
    <s v=" -"/>
    <s v=" MOTOR"/>
    <d v="2024-01-03T00:00:00"/>
    <d v="2023-02-02T00:00:00"/>
    <d v="2024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4000000"/>
    <n v="3932"/>
    <n v="40"/>
    <n v="511"/>
    <n v="0"/>
    <n v="4483"/>
    <n v="0"/>
    <n v="0"/>
    <n v="4483"/>
    <n v="0"/>
    <n v="4483"/>
    <m/>
    <m/>
    <m/>
    <s v="Muzammil Sabir"/>
    <n v="1172.7400000000009"/>
    <n v="817.07"/>
    <m/>
  </r>
  <r>
    <n v="167"/>
    <x v="30"/>
    <x v="80"/>
    <s v=" -"/>
    <s v=" MOTOR"/>
    <d v="2024-12-29T00:00:00"/>
    <d v="2023-02-02T00:00:00"/>
    <d v="2024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-1"/>
    <n v="-30578"/>
    <n v="-306"/>
    <n v="0"/>
    <n v="0"/>
    <n v="-30884"/>
    <n v="0"/>
    <n v="0"/>
    <n v="-30884"/>
    <n v="0"/>
    <n v="-30884"/>
    <m/>
    <m/>
    <m/>
    <s v="Muzammil Sabir"/>
    <m/>
    <m/>
    <m/>
  </r>
  <r>
    <n v="168"/>
    <x v="31"/>
    <x v="24"/>
    <s v=" -"/>
    <s v=" MOTOR"/>
    <d v="2023-02-07T00:00:00"/>
    <d v="2023-01-31T00:00:00"/>
    <d v="2024-01-30T00:00:00"/>
    <s v=" 08809642"/>
    <s v="Mr. Zain Rauf_x000a_CNIC# 33100-4776237-3_x000a_CELL# 0333-6566173"/>
    <m/>
    <s v="SUZUKI WAGON R VXL"/>
    <s v="AGR 781"/>
    <s v="PK10B226863"/>
    <s v="A1J310PK10126866"/>
    <s v="2021"/>
    <s v="33100-4776237-3"/>
    <m/>
    <s v=" D"/>
    <s v="09000221-Muhammad Irfan"/>
    <n v="2300000"/>
    <n v="4343"/>
    <n v="43"/>
    <n v="564"/>
    <n v="50"/>
    <n v="5000"/>
    <n v="5002"/>
    <n v="0"/>
    <n v="-2"/>
    <n v="0"/>
    <n v="-2"/>
    <m/>
    <m/>
    <m/>
    <s v="Abdullah Khan"/>
    <m/>
    <m/>
    <s v="zainrauf71@gmail.com"/>
  </r>
  <r>
    <n v="169"/>
    <x v="31"/>
    <x v="81"/>
    <s v=" -"/>
    <s v=" MOTOR"/>
    <d v="2024-01-02T00:00:00"/>
    <d v="2023-12-31T00:00:00"/>
    <d v="2024-12-30T00:00:00"/>
    <s v=" 08809642"/>
    <s v="Mr. Zain Rauf_x000a_CNIC# 33100-4776237-3_x000a_CELL# 0333-6566173"/>
    <m/>
    <s v="SUZUKI WAGON R VXL"/>
    <s v="AGR 781"/>
    <s v="PK10B226863"/>
    <s v="A1J310PK10126866"/>
    <s v="2021"/>
    <s v="33100-4776237-3"/>
    <m/>
    <s v=" D"/>
    <s v="09000221-Muhammad Irfan"/>
    <n v="2300000"/>
    <n v="4211"/>
    <n v="43"/>
    <n v="0"/>
    <n v="0"/>
    <n v="4254"/>
    <n v="4252"/>
    <n v="0"/>
    <n v="2"/>
    <n v="0"/>
    <n v="2"/>
    <m/>
    <m/>
    <m/>
    <s v="Abdullah Khan"/>
    <m/>
    <m/>
    <s v="zainrauf71@gmail.com"/>
  </r>
  <r>
    <n v="175"/>
    <x v="32"/>
    <x v="24"/>
    <s v=" -"/>
    <s v=" MOTOR"/>
    <d v="2023-02-14T00:00:00"/>
    <d v="2023-02-14T00:00:00"/>
    <d v="2024-02-13T00:00:00"/>
    <s v=" 08809746"/>
    <s v="Mr. Shahid Aftab Ahmad_x000a_CNIC # 33102-1756863-7_x000a_CELL # 0300-6685993"/>
    <m/>
    <s v="KIA PICANTO 1.0L M/T"/>
    <m/>
    <s v="G3LANP030857"/>
    <s v="NNATA52AXKP504060"/>
    <s v="2023"/>
    <m/>
    <m/>
    <s v=" D"/>
    <s v="09000305-Jawaria Kaleem"/>
    <n v="3200000"/>
    <n v="4343"/>
    <n v="43"/>
    <n v="564"/>
    <n v="50"/>
    <n v="5000"/>
    <n v="4943"/>
    <n v="0"/>
    <n v="57"/>
    <n v="0"/>
    <n v="57"/>
    <m/>
    <m/>
    <m/>
    <m/>
    <m/>
    <m/>
    <s v="shahidaftab550@gmail.com"/>
  </r>
  <r>
    <n v="176"/>
    <x v="32"/>
    <x v="82"/>
    <s v=" -"/>
    <s v=" MOTOR"/>
    <d v="2023-04-14T00:00:00"/>
    <d v="2023-02-14T00:00:00"/>
    <d v="2024-02-13T00:00:00"/>
    <s v=" 08809746"/>
    <s v="Mr. Shahid Aftab Ahmad_x000a_CNIC # 33102-1756863-7_x000a_CELL # 0300-6685993"/>
    <s v="."/>
    <s v="KIA PICANTO 1.0L M/T"/>
    <m/>
    <s v="G3LANP030857"/>
    <s v="NNATA52AXKP504060"/>
    <s v="2023"/>
    <m/>
    <m/>
    <s v=" D"/>
    <s v="09000305-Jawaria Kaleem"/>
    <n v="3200000"/>
    <n v="-1755"/>
    <n v="-17"/>
    <n v="-228"/>
    <n v="0"/>
    <n v="-2000"/>
    <n v="-1943"/>
    <n v="0"/>
    <n v="-57"/>
    <n v="0"/>
    <n v="-57"/>
    <m/>
    <m/>
    <m/>
    <m/>
    <m/>
    <m/>
    <m/>
  </r>
  <r>
    <n v="177"/>
    <x v="33"/>
    <x v="83"/>
    <s v=" -"/>
    <s v=" MOTOR"/>
    <d v="2023-11-16T00:00:00"/>
    <d v="2023-02-13T00:00:00"/>
    <d v="2024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4000000"/>
    <n v="3955"/>
    <n v="40"/>
    <n v="514"/>
    <n v="0"/>
    <n v="4509"/>
    <n v="0"/>
    <n v="0"/>
    <n v="4509"/>
    <n v="0"/>
    <n v="4509"/>
    <m/>
    <m/>
    <m/>
    <s v="Abdullah Khan"/>
    <n v="1006.12"/>
    <n v="821.85"/>
    <m/>
  </r>
  <r>
    <n v="178"/>
    <x v="33"/>
    <x v="84"/>
    <s v=" -"/>
    <s v=" MOTOR"/>
    <d v="2023-12-14T00:00:00"/>
    <d v="2023-02-13T00:00:00"/>
    <d v="2024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4000000"/>
    <n v="3792"/>
    <n v="38"/>
    <n v="493"/>
    <n v="0"/>
    <n v="4323"/>
    <n v="0"/>
    <n v="0"/>
    <n v="4323"/>
    <n v="0"/>
    <n v="4323"/>
    <m/>
    <m/>
    <m/>
    <s v="Abdullah Khan"/>
    <n v="1035.3900000000001"/>
    <n v="788.40000000000009"/>
    <m/>
  </r>
  <r>
    <n v="179"/>
    <x v="33"/>
    <x v="85"/>
    <s v=" -"/>
    <s v=" MOTOR"/>
    <d v="2024-01-15T00:00:00"/>
    <d v="2023-02-13T00:00:00"/>
    <d v="2024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4000000"/>
    <n v="5034"/>
    <n v="50"/>
    <n v="655"/>
    <n v="0"/>
    <n v="5739"/>
    <n v="0"/>
    <n v="0"/>
    <n v="5739"/>
    <n v="0"/>
    <n v="5739"/>
    <m/>
    <m/>
    <m/>
    <s v="Abdullah Khan"/>
    <n v="1447.18"/>
    <n v="1046.3300000000002"/>
    <m/>
  </r>
  <r>
    <n v="180"/>
    <x v="33"/>
    <x v="86"/>
    <s v=" -"/>
    <s v=" MOTOR"/>
    <d v="2024-04-17T00:00:00"/>
    <d v="2023-02-13T00:00:00"/>
    <d v="2024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-1"/>
    <n v="-12781"/>
    <n v="-128"/>
    <n v="-1662"/>
    <n v="0"/>
    <n v="-14571"/>
    <n v="0"/>
    <n v="0"/>
    <n v="-14571"/>
    <n v="0"/>
    <n v="-14571"/>
    <m/>
    <m/>
    <m/>
    <s v="Abdullah Khan"/>
    <m/>
    <m/>
    <m/>
  </r>
  <r>
    <n v="181"/>
    <x v="34"/>
    <x v="87"/>
    <s v=" -"/>
    <s v=" MOTOR"/>
    <d v="2024-02-27T00:00:00"/>
    <d v="2023-02-13T00:00:00"/>
    <d v="2024-02-12T00:00:00"/>
    <s v=" 08809783"/>
    <s v="Mr. Muhammad Usman Riaz_x000a_CNIC# 42501-9168000-1_x000a_CELL# 03463254968"/>
    <m/>
    <s v="SUZUKI ALTO VX"/>
    <s v="BRV-183"/>
    <s v="6R137237"/>
    <s v="NF1AET306H1037240"/>
    <s v="2020"/>
    <s v="42501-9168000-1"/>
    <m/>
    <s v=" D"/>
    <s v="09000221-Muhammad Irfan"/>
    <n v="1700000"/>
    <n v="1028"/>
    <n v="10"/>
    <n v="134"/>
    <n v="0"/>
    <n v="1172"/>
    <n v="0"/>
    <n v="0"/>
    <n v="1172"/>
    <n v="0"/>
    <n v="1172"/>
    <m/>
    <m/>
    <m/>
    <s v="Syed Waqas"/>
    <n v="601.34"/>
    <n v="502.82000000000005"/>
    <m/>
  </r>
  <r>
    <n v="182"/>
    <x v="34"/>
    <x v="88"/>
    <s v=" -"/>
    <s v=" MOTOR"/>
    <d v="2024-12-29T00:00:00"/>
    <d v="2023-02-13T00:00:00"/>
    <d v="2024-02-12T00:00:00"/>
    <s v=" 08809783"/>
    <s v="Mr. Muhammad Usman Riaz_x000a_CNIC# 42501-9168000-1_x000a_CELL# 03463254968"/>
    <m/>
    <s v="SUZUKI ALTO VX"/>
    <s v="BRV-183"/>
    <s v="6R137237"/>
    <s v="NF1AET306H1037240"/>
    <s v="2020"/>
    <s v="42501-9168000-1"/>
    <m/>
    <s v=" D"/>
    <s v="09000221-Muhammad Irfan"/>
    <n v="-1"/>
    <n v="-1160"/>
    <n v="-12"/>
    <n v="0"/>
    <n v="0"/>
    <n v="-1172"/>
    <n v="0"/>
    <n v="0"/>
    <n v="-1172"/>
    <n v="0"/>
    <n v="-1172"/>
    <m/>
    <m/>
    <m/>
    <s v="Syed Waqas"/>
    <m/>
    <m/>
    <m/>
  </r>
  <r>
    <n v="183"/>
    <x v="35"/>
    <x v="89"/>
    <s v=" -"/>
    <s v=" MOTOR"/>
    <d v="2024-03-27T00:00:00"/>
    <d v="2023-02-17T00:00:00"/>
    <d v="2024-02-16T00:00:00"/>
    <s v=" 08809813"/>
    <s v="Mrs. Phool Salman_x000a_CNIC# 33100-1654651-4_x000a_CELL# 03127035566"/>
    <m/>
    <s v="TOYOTA COROLLA ALTIS GRAN"/>
    <s v="LEB-15-4144"/>
    <s v="Q307594"/>
    <s v="ZRE172R7006625"/>
    <s v="2015"/>
    <m/>
    <m/>
    <s v=" D"/>
    <s v="09000221-Muhammad Irfan"/>
    <n v="3200000"/>
    <n v="577"/>
    <n v="5"/>
    <n v="75"/>
    <n v="0"/>
    <n v="657"/>
    <n v="0"/>
    <n v="0"/>
    <n v="657"/>
    <n v="0"/>
    <n v="657"/>
    <m/>
    <m/>
    <m/>
    <s v="Muhammad Qiran"/>
    <n v="173"/>
    <n v="149.69"/>
    <m/>
  </r>
  <r>
    <n v="184"/>
    <x v="35"/>
    <x v="90"/>
    <s v=" -"/>
    <s v=" MOTOR"/>
    <d v="2024-12-29T00:00:00"/>
    <d v="2023-02-17T00:00:00"/>
    <d v="2024-02-16T00:00:00"/>
    <s v=" 08809813"/>
    <s v="Mrs. Phool Salman_x000a_CNIC# 33100-1654651-4_x000a_CELL# 03127035566"/>
    <m/>
    <s v="TOYOTA COROLLA ALTIS GRAN"/>
    <s v="LEB-15-4144"/>
    <s v="Q307594"/>
    <s v="ZRE172R7006625"/>
    <s v="2015"/>
    <m/>
    <m/>
    <s v=" D"/>
    <s v="09000221-Muhammad Irfan"/>
    <n v="-1"/>
    <n v="-650"/>
    <n v="-7"/>
    <n v="0"/>
    <n v="0"/>
    <n v="-657"/>
    <n v="0"/>
    <n v="0"/>
    <n v="-657"/>
    <n v="0"/>
    <n v="-657"/>
    <m/>
    <m/>
    <m/>
    <s v="Muhammad Qiran"/>
    <m/>
    <m/>
    <m/>
  </r>
  <r>
    <n v="185"/>
    <x v="36"/>
    <x v="91"/>
    <s v=" -"/>
    <s v=" MOTOR"/>
    <d v="2023-12-19T00:00:00"/>
    <d v="2023-02-24T00:00:00"/>
    <d v="2024-02-23T00:00:00"/>
    <s v=" 08808868"/>
    <s v="Mr. Iftikhar Ahmed Bajwa_x000a_CNIC# 35201-0517258-1_x000a_CELL# 03004008652"/>
    <m/>
    <s v="HONDA CITY I-VTEC"/>
    <s v="LED-19-5719"/>
    <s v="L13Z17521592"/>
    <s v="NFBGM1647JR237501"/>
    <s v="2018"/>
    <s v="35201-0517258-1"/>
    <m/>
    <s v=" D"/>
    <s v="09000221-Muhammad Irfan"/>
    <n v="2500000"/>
    <n v="3751"/>
    <n v="37"/>
    <n v="488"/>
    <n v="0"/>
    <n v="4276"/>
    <n v="0"/>
    <n v="0"/>
    <n v="4276"/>
    <n v="0"/>
    <n v="4276"/>
    <m/>
    <m/>
    <m/>
    <s v="Syed Waqas"/>
    <n v="2077.6799999999998"/>
    <n v="1264.02"/>
    <m/>
  </r>
  <r>
    <n v="186"/>
    <x v="36"/>
    <x v="92"/>
    <s v=" -"/>
    <s v=" MOTOR"/>
    <d v="2024-01-24T00:00:00"/>
    <d v="2023-02-24T00:00:00"/>
    <d v="2024-02-23T00:00:00"/>
    <s v=" 08808868"/>
    <s v="Mr. Iftikhar Ahmed Bajwa_x000a_CNIC# 35201-0517258-1_x000a_CELL# 03004008652"/>
    <m/>
    <s v="HONDA CITY I-VTEC"/>
    <s v="LED-19-5719"/>
    <s v="L13Z17521592"/>
    <s v="NFBGM1647JR237501"/>
    <s v="2018"/>
    <s v="35201-0517258-1"/>
    <m/>
    <s v=" D"/>
    <s v="09000221-Muhammad Irfan"/>
    <n v="2500000"/>
    <n v="4022"/>
    <n v="41"/>
    <n v="523"/>
    <n v="0"/>
    <n v="4586"/>
    <n v="0"/>
    <n v="0"/>
    <n v="4586"/>
    <n v="0"/>
    <n v="4586"/>
    <m/>
    <m/>
    <m/>
    <s v="Syed Waqas"/>
    <n v="2426.5666827"/>
    <n v="1339.94"/>
    <m/>
  </r>
  <r>
    <n v="187"/>
    <x v="36"/>
    <x v="93"/>
    <s v=" -"/>
    <s v=" MOTOR"/>
    <d v="2024-01-24T00:00:00"/>
    <d v="2023-02-24T00:00:00"/>
    <d v="2024-02-23T00:00:00"/>
    <s v=" 08808868"/>
    <s v="Mr. Iftikhar Ahmed Bajwa_x000a_CNIC# 35201-0517258-1_x000a_CELL# 03004008652"/>
    <m/>
    <s v="HONDA CITY I-VTEC"/>
    <s v="LED-19-5719"/>
    <s v="L13Z17521592"/>
    <s v="NFBGM1647JR237501"/>
    <s v="2018"/>
    <s v="35201-0517258-1"/>
    <m/>
    <s v=" D"/>
    <s v="09000221-Muhammad Irfan"/>
    <n v="2500000"/>
    <n v="4105"/>
    <n v="41"/>
    <n v="533"/>
    <n v="0"/>
    <n v="4679"/>
    <n v="0"/>
    <n v="0"/>
    <n v="4679"/>
    <n v="0"/>
    <n v="4679"/>
    <m/>
    <m/>
    <m/>
    <s v="Syed Waqas"/>
    <n v="5556.6421331319807"/>
    <n v="1366.14"/>
    <m/>
  </r>
  <r>
    <n v="188"/>
    <x v="36"/>
    <x v="94"/>
    <s v=" -"/>
    <s v=" MOTOR"/>
    <d v="2024-01-24T00:00:00"/>
    <d v="2023-02-24T00:00:00"/>
    <d v="2024-02-23T00:00:00"/>
    <s v=" 08808868"/>
    <s v="Mr. Iftikhar Ahmed Bajwa_x000a_CNIC# 35201-0517258-1_x000a_CELL# 03004008652"/>
    <m/>
    <s v="HONDA CITY I-VTEC"/>
    <s v="LED-19-5719"/>
    <s v="L13Z17521592"/>
    <s v="NFBGM1647JR237501"/>
    <s v="2018"/>
    <s v="35201-0517258-1"/>
    <m/>
    <s v=" D"/>
    <s v="09000221-Muhammad Irfan"/>
    <n v="2500000"/>
    <n v="3843"/>
    <n v="38"/>
    <n v="500"/>
    <n v="0"/>
    <n v="4381"/>
    <n v="0"/>
    <n v="0"/>
    <n v="4381"/>
    <n v="0"/>
    <n v="4381"/>
    <m/>
    <m/>
    <m/>
    <s v="Syed Waqas"/>
    <n v="4518.7500000000109"/>
    <n v="1280.19"/>
    <m/>
  </r>
  <r>
    <n v="189"/>
    <x v="36"/>
    <x v="95"/>
    <s v=" -"/>
    <s v=" MOTOR"/>
    <d v="2024-01-24T00:00:00"/>
    <d v="2023-02-24T00:00:00"/>
    <d v="2024-02-23T00:00:00"/>
    <s v=" 08808868"/>
    <s v="Mr. Iftikhar Ahmed Bajwa_x000a_CNIC# 35201-0517258-1_x000a_CELL# 03004008652"/>
    <m/>
    <s v="HONDA CITY I-VTEC"/>
    <s v="LED-19-5719"/>
    <s v="L13Z17521592"/>
    <s v="NFBGM1647JR237501"/>
    <s v="2018"/>
    <s v="35201-0517258-1"/>
    <m/>
    <s v=" D"/>
    <s v="09000221-Muhammad Irfan"/>
    <n v="2500000"/>
    <n v="4138"/>
    <n v="41"/>
    <n v="538"/>
    <n v="0"/>
    <n v="4717"/>
    <n v="0"/>
    <n v="0"/>
    <n v="4717"/>
    <n v="0"/>
    <n v="4717"/>
    <m/>
    <m/>
    <m/>
    <s v="Syed Waqas"/>
    <n v="2120.9500000000021"/>
    <n v="1378.4"/>
    <m/>
  </r>
  <r>
    <n v="190"/>
    <x v="36"/>
    <x v="96"/>
    <s v=" -"/>
    <s v=" MOTOR"/>
    <d v="2024-04-17T00:00:00"/>
    <d v="2023-02-24T00:00:00"/>
    <d v="2024-02-23T00:00:00"/>
    <s v=" 08808868"/>
    <s v="Mr. Iftikhar Ahmed Bajwa_x000a_CNIC# 35201-0517258-1_x000a_CELL# 03004008652"/>
    <m/>
    <s v="HONDA CITY I-VTEC"/>
    <s v="LED-19-5719"/>
    <s v="L13Z17521592"/>
    <s v="NFBGM1647JR237501"/>
    <s v="2018"/>
    <s v="35201-0517258-1"/>
    <m/>
    <s v=" D"/>
    <s v="09000221-Muhammad Irfan"/>
    <n v="-1"/>
    <n v="-19858"/>
    <n v="-199"/>
    <n v="-2582"/>
    <n v="0"/>
    <n v="-22639"/>
    <n v="0"/>
    <n v="0"/>
    <n v="-22639"/>
    <n v="0"/>
    <n v="-22639"/>
    <m/>
    <m/>
    <m/>
    <s v="Syed Waqas"/>
    <m/>
    <m/>
    <m/>
  </r>
  <r>
    <n v="191"/>
    <x v="37"/>
    <x v="97"/>
    <s v=" -"/>
    <s v=" MOTOR"/>
    <d v="2024-01-01T00:00:00"/>
    <d v="2023-02-28T00:00:00"/>
    <d v="2024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4800000"/>
    <n v="4336"/>
    <n v="43"/>
    <n v="563"/>
    <n v="0"/>
    <n v="4942"/>
    <n v="0"/>
    <n v="0"/>
    <n v="4942"/>
    <n v="0"/>
    <n v="4942"/>
    <m/>
    <m/>
    <m/>
    <s v="Syed Waqas"/>
    <n v="2735.3799999999987"/>
    <n v="751.26"/>
    <m/>
  </r>
  <r>
    <n v="192"/>
    <x v="37"/>
    <x v="98"/>
    <s v=" -"/>
    <s v=" MOTOR"/>
    <d v="2024-01-31T00:00:00"/>
    <d v="2023-02-28T00:00:00"/>
    <d v="2024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4800000"/>
    <n v="4170"/>
    <n v="42"/>
    <n v="542"/>
    <n v="0"/>
    <n v="4754"/>
    <n v="0"/>
    <n v="0"/>
    <n v="4754"/>
    <n v="0"/>
    <n v="4754"/>
    <m/>
    <m/>
    <m/>
    <s v="Syed Waqas"/>
    <n v="2092.4099999999971"/>
    <n v="723.14"/>
    <m/>
  </r>
  <r>
    <n v="193"/>
    <x v="37"/>
    <x v="99"/>
    <s v=" -"/>
    <s v=" MOTOR"/>
    <d v="2024-12-29T00:00:00"/>
    <d v="2023-02-28T00:00:00"/>
    <d v="2024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-1"/>
    <n v="-9600"/>
    <n v="-96"/>
    <n v="0"/>
    <n v="0"/>
    <n v="-9696"/>
    <n v="0"/>
    <n v="0"/>
    <n v="-9696"/>
    <n v="0"/>
    <n v="-9696"/>
    <m/>
    <m/>
    <m/>
    <s v="Syed Waqas"/>
    <m/>
    <m/>
    <m/>
  </r>
  <r>
    <n v="194"/>
    <x v="38"/>
    <x v="100"/>
    <s v=" -"/>
    <s v=" MOTOR"/>
    <d v="2023-12-19T00:00:00"/>
    <d v="2023-02-17T00:00:00"/>
    <d v="2024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3200000"/>
    <n v="4120"/>
    <n v="41"/>
    <n v="535"/>
    <n v="0"/>
    <n v="4696"/>
    <n v="0"/>
    <n v="0"/>
    <n v="4696"/>
    <n v="0"/>
    <n v="4696"/>
    <m/>
    <m/>
    <m/>
    <s v="Muhammad Qiran"/>
    <n v="2575.27"/>
    <n v="1072.46"/>
    <m/>
  </r>
  <r>
    <n v="195"/>
    <x v="38"/>
    <x v="101"/>
    <s v=" -"/>
    <s v=" MOTOR"/>
    <d v="2024-01-18T00:00:00"/>
    <d v="2023-02-17T00:00:00"/>
    <d v="2024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3200000"/>
    <n v="3464"/>
    <n v="35"/>
    <n v="451"/>
    <n v="0"/>
    <n v="3950"/>
    <n v="0"/>
    <n v="0"/>
    <n v="3950"/>
    <n v="0"/>
    <n v="3950"/>
    <m/>
    <m/>
    <m/>
    <s v="Muhammad Qiran"/>
    <n v="2225.96"/>
    <n v="902.08"/>
    <m/>
  </r>
  <r>
    <n v="196"/>
    <x v="38"/>
    <x v="102"/>
    <s v=" -"/>
    <s v=" MOTOR"/>
    <d v="2024-04-17T00:00:00"/>
    <d v="2023-02-17T00:00:00"/>
    <d v="2024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-1"/>
    <n v="-7584"/>
    <n v="-76"/>
    <n v="-986"/>
    <n v="0"/>
    <n v="-8646"/>
    <n v="0"/>
    <n v="0"/>
    <n v="-8646"/>
    <n v="0"/>
    <n v="-8646"/>
    <m/>
    <m/>
    <m/>
    <s v="Muhammad Qiran"/>
    <m/>
    <m/>
    <m/>
  </r>
  <r>
    <n v="197"/>
    <x v="39"/>
    <x v="103"/>
    <s v=" -"/>
    <s v=" MOTOR"/>
    <d v="2023-08-29T00:00:00"/>
    <d v="2023-02-27T00:00:00"/>
    <d v="2024-02-26T00:00:00"/>
    <s v=" 08810045"/>
    <s v="Mr. Shabir Ahmad Khan_x000a_CNIC# 35202-2108760-3_x000a_CELL# 03224634801"/>
    <m/>
    <s v="CHANGAN OSHAN X7 FUTURE S"/>
    <s v="ANK-492"/>
    <s v="JL473Q7NN8AH117223"/>
    <s v="NKMASE2E6N1000900"/>
    <s v="2022"/>
    <s v="35202-2108760-3"/>
    <m/>
    <s v=" D"/>
    <s v="09000221-Muhammad Irfan"/>
    <n v="8000000"/>
    <n v="7629"/>
    <n v="76"/>
    <n v="991"/>
    <n v="0"/>
    <n v="8696"/>
    <n v="8693"/>
    <n v="0"/>
    <n v="3"/>
    <n v="0"/>
    <n v="3"/>
    <m/>
    <m/>
    <m/>
    <s v="Muhammad Qiran"/>
    <n v="2946.8999999999755"/>
    <n v="793.8"/>
    <s v="shabbirbros05@gmail.com"/>
  </r>
  <r>
    <n v="198"/>
    <x v="39"/>
    <x v="104"/>
    <s v=" -"/>
    <s v=" MOTOR"/>
    <d v="2023-12-27T00:00:00"/>
    <d v="2023-02-27T00:00:00"/>
    <d v="2024-02-26T00:00:00"/>
    <s v=" 08810045"/>
    <s v="Mr. Shabir Ahmad Khan_x000a_CNIC# 35202-2108760-3_x000a_CELL# 03224634801"/>
    <m/>
    <s v="CHANGAN OSHAN X7 FUTURE S"/>
    <s v="ANK-492"/>
    <s v="JL473Q7NN8AH117223"/>
    <s v="NKMASE2E6N1000900"/>
    <s v="2022"/>
    <s v="35202-2108760-3"/>
    <m/>
    <s v=" D"/>
    <s v="09000221-Muhammad Irfan"/>
    <n v="8000000"/>
    <n v="9202"/>
    <n v="92"/>
    <n v="1197"/>
    <n v="0"/>
    <n v="10491"/>
    <n v="0"/>
    <n v="0"/>
    <n v="10491"/>
    <n v="0"/>
    <n v="10491"/>
    <m/>
    <m/>
    <m/>
    <s v="Muhammad Qiran"/>
    <n v="3115.6699999999928"/>
    <n v="957.45"/>
    <m/>
  </r>
  <r>
    <n v="199"/>
    <x v="39"/>
    <x v="105"/>
    <s v=" -"/>
    <s v=" MOTOR"/>
    <d v="2024-10-31T00:00:00"/>
    <d v="2023-02-27T00:00:00"/>
    <d v="2024-02-26T00:00:00"/>
    <s v=" 08810045"/>
    <s v="Mr. Shabir Ahmad Khan_x000a_CNIC# 35202-2108760-3_x000a_CELL# 03224634801"/>
    <m/>
    <s v="CHANGAN OSHAN X7 FUTURE S"/>
    <s v="ANK-492"/>
    <s v="JL473Q7NN8AH117223"/>
    <s v="NKMASE2E6N1000900"/>
    <s v="2022"/>
    <s v="35202-2108760-3"/>
    <m/>
    <s v=" D"/>
    <s v="09000221-Muhammad Irfan"/>
    <n v="-1"/>
    <n v="-10390"/>
    <n v="-104"/>
    <n v="0"/>
    <n v="0"/>
    <n v="-10494"/>
    <n v="0"/>
    <n v="0"/>
    <n v="-10494"/>
    <n v="0"/>
    <n v="-10494"/>
    <m/>
    <m/>
    <m/>
    <s v="Muhammad Qiran"/>
    <m/>
    <m/>
    <m/>
  </r>
  <r>
    <n v="200"/>
    <x v="40"/>
    <x v="106"/>
    <s v=" -"/>
    <s v=" MOTOR"/>
    <d v="2023-11-25T00:00:00"/>
    <d v="2023-02-24T00:00:00"/>
    <d v="2024-02-23T00:00:00"/>
    <s v=" 08810049"/>
    <s v="Mr. Muhammad Asghar_x000a_CNIC# 42301-4376074-7_x000a_CELL# 0300-9251713"/>
    <m/>
    <s v="TOYOTA VITZ"/>
    <s v="ASN-799"/>
    <s v="1KR-0735474"/>
    <s v="KSP90-2075945"/>
    <s v="2009"/>
    <s v="42301-4376074-7"/>
    <m/>
    <s v=" D"/>
    <s v="09000221-Muhammad Irfan"/>
    <n v="1500000"/>
    <n v="1343"/>
    <n v="13"/>
    <n v="175"/>
    <n v="0"/>
    <n v="1531"/>
    <n v="0"/>
    <n v="0"/>
    <n v="1531"/>
    <n v="0"/>
    <n v="1531"/>
    <m/>
    <m/>
    <m/>
    <s v="Abdullah Khan"/>
    <n v="765.49"/>
    <n v="744.8"/>
    <m/>
  </r>
  <r>
    <n v="201"/>
    <x v="40"/>
    <x v="107"/>
    <s v=" -"/>
    <s v=" MOTOR"/>
    <d v="2023-12-27T00:00:00"/>
    <d v="2023-02-24T00:00:00"/>
    <d v="2024-02-23T00:00:00"/>
    <s v=" 08810049"/>
    <s v="Mr. Muhammad Asghar_x000a_CNIC# 42301-4376074-7_x000a_CELL# 0300-9251713"/>
    <m/>
    <s v="TOYOTA VITZ"/>
    <s v="ASN-799"/>
    <s v="1KR-0735474"/>
    <s v="KSP90-2075945"/>
    <s v="2009"/>
    <s v="42301-4376074-7"/>
    <m/>
    <s v=" D"/>
    <s v="09000221-Muhammad Irfan"/>
    <n v="1500000"/>
    <n v="1276"/>
    <n v="13"/>
    <n v="165"/>
    <n v="0"/>
    <n v="1454"/>
    <n v="0"/>
    <n v="0"/>
    <n v="1454"/>
    <n v="0"/>
    <n v="1454"/>
    <m/>
    <m/>
    <m/>
    <s v="Abdullah Khan"/>
    <n v="795.63"/>
    <n v="708.3"/>
    <m/>
  </r>
  <r>
    <n v="202"/>
    <x v="40"/>
    <x v="108"/>
    <s v=" -"/>
    <s v=" MOTOR"/>
    <d v="2024-04-17T00:00:00"/>
    <d v="2023-02-24T00:00:00"/>
    <d v="2024-02-23T00:00:00"/>
    <s v=" 08810049"/>
    <s v="Mr. Muhammad Asghar_x000a_CNIC# 42301-4376074-7_x000a_CELL# 0300-9251713"/>
    <m/>
    <s v="TOYOTA VITZ"/>
    <s v="ASN-799"/>
    <s v="1KR-0735474"/>
    <s v="KSP90-2075945"/>
    <s v="2009"/>
    <s v="42301-4376074-7"/>
    <m/>
    <s v=" D"/>
    <s v="09000221-Muhammad Irfan"/>
    <n v="-1"/>
    <n v="-2619"/>
    <n v="-26"/>
    <n v="-340"/>
    <n v="0"/>
    <n v="-2985"/>
    <n v="0"/>
    <n v="0"/>
    <n v="-2985"/>
    <n v="0"/>
    <n v="-2985"/>
    <m/>
    <m/>
    <m/>
    <s v="Abdullah Khan"/>
    <m/>
    <m/>
    <m/>
  </r>
  <r>
    <n v="203"/>
    <x v="41"/>
    <x v="109"/>
    <s v=" -"/>
    <s v=" MOTOR"/>
    <d v="2023-06-10T00:00:00"/>
    <d v="2023-03-09T00:00:00"/>
    <d v="2024-03-08T00:00:00"/>
    <s v=" 08810118"/>
    <s v="Mr. Muhammad Furqan_x000a_CNIC# 42401-3540424-3_x000a_CELL# +92 315 2908706"/>
    <m/>
    <s v="HONDA CIVIC"/>
    <s v="BNB-382"/>
    <s v="R18Z12938265"/>
    <s v="NFBFC665XJR041685"/>
    <s v="2018"/>
    <m/>
    <m/>
    <s v=" D"/>
    <s v="09000313-Abdus Saboor Khan"/>
    <n v="4500000"/>
    <n v="1673"/>
    <n v="16"/>
    <n v="217"/>
    <n v="0"/>
    <n v="1906"/>
    <n v="1905"/>
    <n v="0"/>
    <n v="1"/>
    <n v="0"/>
    <n v="1"/>
    <m/>
    <m/>
    <m/>
    <m/>
    <n v="360.00632519570604"/>
    <n v="309.12657904930904"/>
    <m/>
  </r>
  <r>
    <n v="204"/>
    <x v="41"/>
    <x v="110"/>
    <s v=" -"/>
    <s v=" MOTOR"/>
    <d v="2023-12-11T00:00:00"/>
    <d v="2023-03-09T00:00:00"/>
    <d v="2024-03-08T00:00:00"/>
    <s v=" 08810118"/>
    <s v="Mr. Muhammad Furqan_x000a_CNIC# 42401-3540424-3_x000a_CELL# +92 315 2908706"/>
    <m/>
    <s v="HONDA CIVIC"/>
    <s v="BNB-382"/>
    <s v="R18Z12938265"/>
    <s v="NFBFC665XJR041685"/>
    <s v="2018"/>
    <m/>
    <m/>
    <s v=" D"/>
    <s v="09000313-Abdus Saboor Khan"/>
    <n v="4500000"/>
    <n v="251"/>
    <n v="2"/>
    <n v="32"/>
    <n v="0"/>
    <n v="285"/>
    <n v="0"/>
    <n v="0"/>
    <n v="285"/>
    <n v="0"/>
    <n v="285"/>
    <m/>
    <m/>
    <m/>
    <m/>
    <n v="46.29"/>
    <n v="46.29"/>
    <m/>
  </r>
  <r>
    <n v="205"/>
    <x v="41"/>
    <x v="111"/>
    <s v=" -"/>
    <s v=" MOTOR"/>
    <d v="2023-12-11T00:00:00"/>
    <d v="2023-03-09T00:00:00"/>
    <d v="2024-03-08T00:00:00"/>
    <s v=" 08810118"/>
    <s v="Mr. Muhammad Furqan_x000a_CNIC# 42401-3540424-3_x000a_CELL# +92 315 2908706"/>
    <m/>
    <s v="HONDA CIVIC"/>
    <s v="BNB-382"/>
    <s v="R18Z12938265"/>
    <s v="NFBFC665XJR041685"/>
    <s v="2018"/>
    <m/>
    <m/>
    <s v=" D"/>
    <s v="09000313-Abdus Saboor Khan"/>
    <n v="4500000"/>
    <n v="871"/>
    <n v="9"/>
    <n v="113"/>
    <n v="0"/>
    <n v="993"/>
    <n v="0"/>
    <n v="0"/>
    <n v="993"/>
    <n v="0"/>
    <n v="993"/>
    <m/>
    <m/>
    <m/>
    <m/>
    <n v="161.14000000000001"/>
    <n v="161.14000000000001"/>
    <m/>
  </r>
  <r>
    <n v="206"/>
    <x v="41"/>
    <x v="112"/>
    <s v=" -"/>
    <s v=" MOTOR"/>
    <d v="2024-01-11T00:00:00"/>
    <d v="2023-03-09T00:00:00"/>
    <d v="2024-03-08T00:00:00"/>
    <s v=" 08810118"/>
    <s v="Mr. Muhammad Furqan_x000a_CNIC# 42401-3540424-3_x000a_CELL# +92 315 2908706"/>
    <m/>
    <s v="HONDA CIVIC"/>
    <s v="BNB-382"/>
    <s v="R18Z12938265"/>
    <s v="NFBFC665XJR041685"/>
    <s v="2018"/>
    <m/>
    <m/>
    <s v=" D"/>
    <s v="09000313-Abdus Saboor Khan"/>
    <n v="4500000"/>
    <n v="1636"/>
    <n v="16"/>
    <n v="213"/>
    <n v="0"/>
    <n v="1865"/>
    <n v="0"/>
    <n v="0"/>
    <n v="1865"/>
    <n v="0"/>
    <n v="1865"/>
    <m/>
    <m/>
    <m/>
    <m/>
    <n v="328.15"/>
    <n v="302.58"/>
    <m/>
  </r>
  <r>
    <n v="207"/>
    <x v="41"/>
    <x v="113"/>
    <s v=" -"/>
    <s v=" MOTOR"/>
    <d v="2024-02-12T00:00:00"/>
    <d v="2023-03-09T00:00:00"/>
    <d v="2024-03-08T00:00:00"/>
    <s v=" 08810118"/>
    <s v="Mr. Muhammad Furqan_x000a_CNIC# 42401-3540424-3_x000a_CELL# +92 315 2908706"/>
    <m/>
    <s v="HONDA CIVIC"/>
    <s v="BNB-382"/>
    <s v="R18Z12938265"/>
    <s v="NFBFC665XJR041685"/>
    <s v="2018"/>
    <m/>
    <m/>
    <s v=" D"/>
    <s v="09000313-Abdus Saboor Khan"/>
    <n v="4500000"/>
    <n v="757"/>
    <n v="8"/>
    <n v="98"/>
    <n v="0"/>
    <n v="863"/>
    <n v="0"/>
    <n v="0"/>
    <n v="863"/>
    <n v="0"/>
    <n v="863"/>
    <m/>
    <m/>
    <m/>
    <m/>
    <n v="139.87"/>
    <n v="139.87"/>
    <m/>
  </r>
  <r>
    <n v="208"/>
    <x v="41"/>
    <x v="114"/>
    <s v=" -"/>
    <s v=" MOTOR"/>
    <d v="2024-10-31T00:00:00"/>
    <d v="2023-03-09T00:00:00"/>
    <d v="2024-03-08T00:00:00"/>
    <s v=" 08810118"/>
    <s v="Mr. Muhammad Furqan_x000a_CNIC# 42401-3540424-3_x000a_CELL# +92 315 2908706"/>
    <m/>
    <s v="HONDA CIVIC"/>
    <s v="BNB-382"/>
    <s v="R18Z12938265"/>
    <s v="NFBFC665XJR041685"/>
    <s v="2018"/>
    <m/>
    <m/>
    <s v=" D"/>
    <s v="09000313-Abdus Saboor Khan"/>
    <n v="-1"/>
    <n v="-3967"/>
    <n v="-40"/>
    <n v="0"/>
    <n v="0"/>
    <n v="-4007"/>
    <n v="0"/>
    <n v="0"/>
    <n v="-4007"/>
    <n v="0"/>
    <n v="-4007"/>
    <m/>
    <m/>
    <m/>
    <m/>
    <m/>
    <m/>
    <m/>
  </r>
  <r>
    <n v="210"/>
    <x v="42"/>
    <x v="115"/>
    <s v=" -"/>
    <s v=" MOTOR"/>
    <d v="2024-01-15T00:00:00"/>
    <d v="2023-03-14T00:00:00"/>
    <d v="2024-03-12T00:00:00"/>
    <s v=" 08810191"/>
    <s v="Khawaja Suhail Ahmad _x000a_CNIC: 42201-8554869-1_x000a_Cell No.0312-9964692"/>
    <m/>
    <s v="HONDA VEZEL HYBRID A/T."/>
    <s v="BF-7356"/>
    <s v="LEB-H15055068"/>
    <s v="RU3-1105064"/>
    <s v="2015"/>
    <m/>
    <m/>
    <s v=" D"/>
    <s v="09000221-Muhammad Irfan"/>
    <n v="4500000"/>
    <n v="4255"/>
    <n v="42"/>
    <n v="553"/>
    <n v="0"/>
    <n v="4850"/>
    <n v="0"/>
    <n v="0"/>
    <n v="4850"/>
    <n v="0"/>
    <n v="4850"/>
    <m/>
    <m/>
    <m/>
    <s v="ASMA RIAZ"/>
    <n v="998.19000000000096"/>
    <n v="787.51"/>
    <m/>
  </r>
  <r>
    <n v="211"/>
    <x v="42"/>
    <x v="116"/>
    <s v=" -"/>
    <s v=" MOTOR"/>
    <d v="2024-02-14T00:00:00"/>
    <d v="2023-03-14T00:00:00"/>
    <d v="2024-03-12T00:00:00"/>
    <s v=" 08810191"/>
    <s v="Khawaja Suhail Ahmad _x000a_CNIC: 42201-8554869-1_x000a_Cell No.0312-9964692"/>
    <m/>
    <s v="HONDA VEZEL HYBRID A/T."/>
    <s v="BF-7356"/>
    <s v="LEB-H15055068"/>
    <s v="RU3-1105064"/>
    <s v="2015"/>
    <m/>
    <m/>
    <s v=" D"/>
    <s v="09000221-Muhammad Irfan"/>
    <n v="4500000"/>
    <n v="3411"/>
    <n v="34"/>
    <n v="443"/>
    <n v="0"/>
    <n v="3888"/>
    <n v="0"/>
    <n v="0"/>
    <n v="3888"/>
    <n v="0"/>
    <n v="3888"/>
    <m/>
    <m/>
    <m/>
    <s v="ASMA RIAZ"/>
    <n v="780.56000000000097"/>
    <n v="631.21"/>
    <m/>
  </r>
  <r>
    <n v="212"/>
    <x v="42"/>
    <x v="117"/>
    <s v=" -"/>
    <s v=" MOTOR"/>
    <d v="2024-04-17T00:00:00"/>
    <d v="2023-03-14T00:00:00"/>
    <d v="2024-03-12T00:00:00"/>
    <s v=" 08810191"/>
    <s v="Khawaja Suhail Ahmad _x000a_CNIC: 42201-8554869-1_x000a_Cell No.0312-9964692"/>
    <m/>
    <s v="HONDA VEZEL HYBRID A/T."/>
    <s v="BF-7356"/>
    <s v="LEB-H15055068"/>
    <s v="RU3-1105064"/>
    <s v="2015"/>
    <m/>
    <m/>
    <s v=" D"/>
    <s v="09000221-Muhammad Irfan"/>
    <n v="-1"/>
    <n v="-7665"/>
    <n v="-77"/>
    <n v="-996"/>
    <n v="0"/>
    <n v="-8738"/>
    <n v="0"/>
    <n v="0"/>
    <n v="-8738"/>
    <n v="0"/>
    <n v="-8738"/>
    <m/>
    <m/>
    <m/>
    <s v="ASMA RIAZ"/>
    <m/>
    <m/>
    <m/>
  </r>
  <r>
    <n v="213"/>
    <x v="43"/>
    <x v="24"/>
    <s v=" -"/>
    <s v=" MOTOR"/>
    <d v="2023-03-20T00:00:00"/>
    <d v="2023-03-17T00:00:00"/>
    <d v="2024-03-16T00:00:00"/>
    <s v=" 08810280"/>
    <s v="Sheraz Sheikh (The Film Makers)_x000a_CNIC: 42201-7658249-5_x000a_Cell: 03340027274"/>
    <m/>
    <s v="HONDA CIVIC"/>
    <s v="BHP-909"/>
    <s v="L15B71402759"/>
    <s v="NFBFC1665HR009247"/>
    <s v="2017"/>
    <m/>
    <m/>
    <s v=" D"/>
    <s v="09000221-Muhammad Irfan"/>
    <m/>
    <n v="4386"/>
    <n v="44"/>
    <n v="570"/>
    <n v="0"/>
    <n v="5000"/>
    <n v="5008"/>
    <n v="0"/>
    <n v="-8"/>
    <n v="0"/>
    <n v="-8"/>
    <m/>
    <m/>
    <m/>
    <s v="Syed Waqas"/>
    <m/>
    <m/>
    <s v="shiraz.s.sheikh@icloud.com"/>
  </r>
  <r>
    <n v="214"/>
    <x v="43"/>
    <x v="118"/>
    <s v=" -"/>
    <s v=" MOTOR"/>
    <d v="2023-07-19T00:00:00"/>
    <d v="2023-03-17T00:00:00"/>
    <d v="2024-03-16T00:00:00"/>
    <s v=" 08804256"/>
    <s v="Sheraz Sheikh (The Film Makers)_x000a_CNIC: 42201-7658249-5_x000a_Cell: 03340027274"/>
    <m/>
    <s v="HONDA CIVIC"/>
    <s v="BHP-909"/>
    <s v="L15B71402759"/>
    <s v="NFBFC1665HR009247"/>
    <s v="2017"/>
    <m/>
    <m/>
    <s v=" D"/>
    <s v="09000221-Muhammad Irfan"/>
    <n v="4000000"/>
    <n v="1979"/>
    <n v="20"/>
    <n v="257"/>
    <n v="0"/>
    <n v="2256"/>
    <n v="2250"/>
    <n v="0"/>
    <n v="6"/>
    <n v="0"/>
    <n v="6"/>
    <m/>
    <m/>
    <m/>
    <s v="Syed Waqas"/>
    <n v="420.52013972717401"/>
    <n v="411.31641137051906"/>
    <s v="shiraz.s.sheikh@icloud.com"/>
  </r>
  <r>
    <n v="215"/>
    <x v="43"/>
    <x v="119"/>
    <s v=" -"/>
    <s v=" MOTOR"/>
    <d v="2023-11-17T00:00:00"/>
    <d v="2023-03-17T00:00:00"/>
    <d v="2024-03-16T00:00:00"/>
    <s v=" 08810280"/>
    <s v="Sheraz Sheikh (The Film Makers)_x000a_CNIC: 42201-7658249-5_x000a_Cell: 03340027274"/>
    <m/>
    <s v="HONDA CIVIC"/>
    <s v="BHP-909"/>
    <s v="L15B71402759"/>
    <s v="NFBFC1665HR009247"/>
    <s v="2017"/>
    <m/>
    <m/>
    <s v=" D"/>
    <s v="09000221-Muhammad Irfan"/>
    <n v="4000000"/>
    <n v="2354"/>
    <n v="24"/>
    <n v="306"/>
    <n v="0"/>
    <n v="2684"/>
    <n v="2682"/>
    <n v="0"/>
    <n v="2"/>
    <n v="0"/>
    <n v="2"/>
    <m/>
    <m/>
    <m/>
    <s v="Syed Waqas"/>
    <n v="630.47"/>
    <n v="489.45000000000005"/>
    <m/>
  </r>
  <r>
    <n v="216"/>
    <x v="44"/>
    <x v="24"/>
    <s v=" -"/>
    <s v=" MOTOR"/>
    <d v="2023-03-20T00:00:00"/>
    <d v="2023-03-15T00:00:00"/>
    <d v="2024-03-14T00:00:00"/>
    <s v=" 08810284"/>
    <s v="Mr. Haris Naeem_x000a_CNIC# 35202-6669147-3_x000a_CELL# 0304 0444440 - 03059998925"/>
    <m/>
    <s v="TOYOTA FORTUNER"/>
    <s v="AMF-205"/>
    <s v="2TRA318997"/>
    <s v="TGN156R-0441656"/>
    <s v="2017"/>
    <s v="35202-6669147-3"/>
    <m/>
    <s v=" D"/>
    <s v="09000221-Muhammad Irfan"/>
    <n v="-1"/>
    <n v="4343"/>
    <n v="43"/>
    <n v="564"/>
    <n v="50"/>
    <n v="5000"/>
    <n v="5001"/>
    <n v="0"/>
    <n v="-1"/>
    <n v="0"/>
    <n v="-1"/>
    <m/>
    <m/>
    <m/>
    <s v="Syed Waqas"/>
    <m/>
    <m/>
    <m/>
  </r>
  <r>
    <n v="217"/>
    <x v="44"/>
    <x v="120"/>
    <s v=" -"/>
    <s v=" MOTOR"/>
    <d v="2023-06-16T00:00:00"/>
    <d v="2023-03-15T00:00:00"/>
    <d v="2024-03-14T00:00:00"/>
    <s v=" 08810284"/>
    <s v="Mr. Haris Naeem_x000a_CNIC# 35202-6669147-3_x000a_CELL# 0304 0444440 - 03059998925"/>
    <m/>
    <s v="TOYOTA FORTUNER"/>
    <s v="AMF-205"/>
    <s v="2TRA318997"/>
    <s v="TGN156R-0441656"/>
    <s v="2017"/>
    <s v="35202-6669147-3"/>
    <m/>
    <s v=" D"/>
    <s v="09000221-Muhammad Irfan"/>
    <n v="20300000"/>
    <n v="5857"/>
    <n v="59"/>
    <n v="761"/>
    <n v="0"/>
    <n v="6677"/>
    <n v="6676"/>
    <n v="0"/>
    <n v="1"/>
    <n v="0"/>
    <n v="1"/>
    <m/>
    <m/>
    <m/>
    <s v="Syed Waqas"/>
    <n v="2400.9854345677422"/>
    <n v="240.14958509231201"/>
    <m/>
  </r>
  <r>
    <n v="218"/>
    <x v="45"/>
    <x v="121"/>
    <s v=" -"/>
    <s v=" MOTOR"/>
    <d v="2023-05-05T00:00:00"/>
    <d v="2023-03-22T00:00:00"/>
    <d v="2024-03-21T00:00:00"/>
    <s v=" 08810385"/>
    <s v="Mrs. Gul Zareen_x000a_CNIC# 45203-9559789-6_x000a_CELL# 0341-2250982"/>
    <m/>
    <s v="CHANGAN KARVAAN PLUS"/>
    <s v="CZ-7085"/>
    <s v="JL466Q9M69U507704"/>
    <s v="NKMAAB3D1N1012060"/>
    <s v="2022"/>
    <m/>
    <m/>
    <s v=" D"/>
    <s v="09000218-Mohsin Murtaza Hussain"/>
    <n v="2500000"/>
    <n v="1631"/>
    <n v="16"/>
    <n v="212"/>
    <n v="0"/>
    <n v="1859"/>
    <n v="0"/>
    <n v="0"/>
    <n v="1859"/>
    <n v="0"/>
    <n v="1859"/>
    <m/>
    <m/>
    <m/>
    <m/>
    <n v="1662.5030332037331"/>
    <n v="543.39945165111203"/>
    <m/>
  </r>
  <r>
    <n v="219"/>
    <x v="45"/>
    <x v="122"/>
    <s v=" -"/>
    <s v=" MOTOR"/>
    <d v="2023-05-16T00:00:00"/>
    <d v="2023-03-22T00:00:00"/>
    <d v="2024-03-21T00:00:00"/>
    <s v=" 08810385"/>
    <s v="Mrs. Gul Zareen_x000a_CNIC# 45203-9559789-6_x000a_CELL# 0341-2250982"/>
    <m/>
    <s v="CHANGAN KARVAAN PLUS"/>
    <s v="CZ-7085"/>
    <s v="JL466Q9M69U507704"/>
    <s v="NKMAAB3D1N1012060"/>
    <s v="2022"/>
    <m/>
    <m/>
    <s v=" D"/>
    <s v="09000218-Mohsin Murtaza Hussain"/>
    <n v="-1"/>
    <n v="-1754"/>
    <n v="-18"/>
    <n v="-228"/>
    <n v="0"/>
    <n v="-2000"/>
    <n v="-141"/>
    <n v="0"/>
    <n v="-1859"/>
    <n v="0"/>
    <n v="-1859"/>
    <m/>
    <m/>
    <m/>
    <m/>
    <m/>
    <m/>
    <m/>
  </r>
  <r>
    <n v="220"/>
    <x v="46"/>
    <x v="123"/>
    <s v=" -"/>
    <s v=" MOTOR"/>
    <d v="2023-10-02T00:00:00"/>
    <d v="2023-03-29T00:00:00"/>
    <d v="2024-03-28T00:00:00"/>
    <s v=" 08805359"/>
    <s v="Hammad Ashfaq_x000a_CNIC: 42301-2383248-3_x000a_Phone Number: 03222928149"/>
    <m/>
    <s v="HONDA CITY"/>
    <s v="BMK-151"/>
    <s v="L13Z17511516"/>
    <s v="R224552"/>
    <s v="2018"/>
    <m/>
    <m/>
    <s v=" D"/>
    <s v="09000324-Smart PFM (Pvt.) Limited"/>
    <n v="3500000"/>
    <n v="5209"/>
    <n v="52"/>
    <n v="677"/>
    <n v="0"/>
    <n v="5938"/>
    <n v="0"/>
    <n v="0"/>
    <n v="5938"/>
    <n v="0"/>
    <n v="5938"/>
    <m/>
    <m/>
    <m/>
    <s v="Syed Waqas"/>
    <n v="1965.3000000000022"/>
    <n v="1237.0900000000001"/>
    <s v="hammadashfaq93@gmail.com"/>
  </r>
  <r>
    <n v="221"/>
    <x v="46"/>
    <x v="124"/>
    <s v=" -"/>
    <s v=" MOTOR"/>
    <d v="2024-10-31T00:00:00"/>
    <d v="2023-03-29T00:00:00"/>
    <d v="2024-03-28T00:00:00"/>
    <s v=" 08805359"/>
    <s v="Hammad Ashfaq_x000a_CNIC: 42301-2383248-3_x000a_Phone Number: 03222928149"/>
    <m/>
    <s v="HONDA CITY"/>
    <s v="BMK-151"/>
    <s v="L13Z17511516"/>
    <s v="R224552"/>
    <s v="2018"/>
    <m/>
    <m/>
    <s v=" D"/>
    <s v="09000324-Smart PFM (Pvt.) Limited"/>
    <n v="-1"/>
    <n v="-5879"/>
    <n v="-59"/>
    <n v="0"/>
    <n v="0"/>
    <n v="-5938"/>
    <n v="0"/>
    <n v="0"/>
    <n v="-5938"/>
    <n v="0"/>
    <n v="-5938"/>
    <m/>
    <m/>
    <m/>
    <s v="Syed Waqas"/>
    <m/>
    <m/>
    <m/>
  </r>
  <r>
    <n v="222"/>
    <x v="47"/>
    <x v="125"/>
    <s v=" -"/>
    <s v=" MOTOR"/>
    <d v="2024-04-02T00:00:00"/>
    <d v="2023-03-31T00:00:00"/>
    <d v="2024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5189"/>
    <n v="52"/>
    <n v="674"/>
    <n v="0"/>
    <n v="5915"/>
    <n v="0"/>
    <n v="0"/>
    <n v="5915"/>
    <n v="0"/>
    <n v="5915"/>
    <m/>
    <m/>
    <m/>
    <s v="AREEBA FATIMA"/>
    <n v="1768.9200000000028"/>
    <n v="1078.44"/>
    <m/>
  </r>
  <r>
    <n v="223"/>
    <x v="47"/>
    <x v="126"/>
    <s v=" -"/>
    <s v=" MOTOR"/>
    <d v="2024-12-29T00:00:00"/>
    <d v="2023-03-31T00:00:00"/>
    <d v="2024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-1"/>
    <n v="-5856"/>
    <n v="-59"/>
    <n v="0"/>
    <n v="0"/>
    <n v="-5915"/>
    <n v="0"/>
    <n v="0"/>
    <n v="-5915"/>
    <n v="0"/>
    <n v="-5915"/>
    <m/>
    <m/>
    <m/>
    <s v="AREEBA FATIMA"/>
    <m/>
    <m/>
    <m/>
  </r>
  <r>
    <n v="224"/>
    <x v="48"/>
    <x v="24"/>
    <s v=" -"/>
    <s v=" MOTOR"/>
    <d v="2023-04-05T00:00:00"/>
    <d v="2023-04-04T00:00:00"/>
    <d v="2024-04-03T00:00:00"/>
    <s v=" 08810585"/>
    <s v="Mr. Qamar Abbas_x000a_CNIC# 33100-0775714-5_x000a_CELL# 0302-7079790"/>
    <m/>
    <s v="TOYOTA VITZ"/>
    <s v="LEB-15-1042"/>
    <s v="1KR1205207"/>
    <s v="KSP1302010230"/>
    <s v="2011"/>
    <m/>
    <m/>
    <s v=" D"/>
    <s v="09000221-Muhammad Irfan"/>
    <n v="2000000"/>
    <n v="4343"/>
    <n v="43"/>
    <n v="564"/>
    <n v="50"/>
    <n v="5000"/>
    <n v="5165"/>
    <n v="0"/>
    <n v="-165"/>
    <n v="0"/>
    <n v="-165"/>
    <m/>
    <m/>
    <m/>
    <s v="Abdullah Khan"/>
    <m/>
    <m/>
    <s v="qamara038@gmail.com"/>
  </r>
  <r>
    <n v="225"/>
    <x v="48"/>
    <x v="127"/>
    <s v=" -"/>
    <s v=" MOTOR"/>
    <d v="2024-04-04T00:00:00"/>
    <d v="2023-04-04T00:00:00"/>
    <d v="2024-04-03T00:00:00"/>
    <s v=" 08810585"/>
    <s v="Mr. Qamar Abbas_x000a_CNIC# 33100-0775714-5_x000a_CELL# 0302-7079790"/>
    <m/>
    <s v="TOYOTA VITZ"/>
    <s v="LEB-15-1042"/>
    <s v="1KR1205207"/>
    <s v="KSP1302010230"/>
    <s v="2011"/>
    <m/>
    <m/>
    <s v=" D"/>
    <s v="09000221-Muhammad Irfan"/>
    <n v="2000000"/>
    <n v="-274"/>
    <n v="-2"/>
    <n v="441"/>
    <n v="0"/>
    <n v="165"/>
    <n v="0"/>
    <n v="0"/>
    <n v="165"/>
    <n v="0"/>
    <n v="165"/>
    <m/>
    <m/>
    <m/>
    <s v="Abdullah Khan"/>
    <n v="60.33"/>
    <n v="60.33"/>
    <m/>
  </r>
  <r>
    <n v="226"/>
    <x v="49"/>
    <x v="128"/>
    <s v=" -"/>
    <s v=" MOTOR"/>
    <d v="2024-04-04T00:00:00"/>
    <d v="2023-04-04T00:00:00"/>
    <d v="2024-04-03T00:00:00"/>
    <s v=" 08810588"/>
    <s v="Mr. Taj Muhammad_x000a_CNIC# 44202-5288244-9_x000a_CELL# 0300-0565627"/>
    <m/>
    <s v="SUZUKI ALTO VX"/>
    <s v="BQW-717"/>
    <s v="6R113251"/>
    <s v="NF1AET306H1013221"/>
    <s v="2019"/>
    <s v="44202-5288244-9"/>
    <m/>
    <s v=" D"/>
    <s v="09000221-Muhammad Irfan"/>
    <n v="2400000"/>
    <n v="1834"/>
    <n v="19"/>
    <n v="239"/>
    <n v="0"/>
    <n v="2092"/>
    <n v="0"/>
    <n v="0"/>
    <n v="2092"/>
    <n v="0"/>
    <n v="2092"/>
    <m/>
    <m/>
    <m/>
    <s v="MATEEN QURESHI"/>
    <n v="910.52000000000112"/>
    <n v="636.51"/>
    <m/>
  </r>
  <r>
    <n v="227"/>
    <x v="49"/>
    <x v="129"/>
    <s v=" -"/>
    <s v=" MOTOR"/>
    <d v="2024-10-31T00:00:00"/>
    <d v="2023-04-04T00:00:00"/>
    <d v="2024-04-03T00:00:00"/>
    <s v=" 08810588"/>
    <s v="Mr. Taj Muhammad_x000a_CNIC# 44202-5288244-9_x000a_CELL# 0300-0565627"/>
    <m/>
    <s v="SUZUKI ALTO VX"/>
    <s v="BQW-717"/>
    <s v="6R113251"/>
    <s v="NF1AET306H1013221"/>
    <s v="2019"/>
    <s v="44202-5288244-9"/>
    <m/>
    <s v=" D"/>
    <s v="09000221-Muhammad Irfan"/>
    <n v="-1"/>
    <n v="-2071"/>
    <n v="-21"/>
    <n v="0"/>
    <n v="0"/>
    <n v="-2092"/>
    <n v="0"/>
    <n v="0"/>
    <n v="-2092"/>
    <n v="0"/>
    <n v="-2092"/>
    <m/>
    <m/>
    <m/>
    <s v="MATEEN QURESHI"/>
    <m/>
    <m/>
    <m/>
  </r>
  <r>
    <n v="228"/>
    <x v="50"/>
    <x v="130"/>
    <s v=" -"/>
    <s v=" MOTOR"/>
    <d v="2024-04-02T00:00:00"/>
    <d v="2023-03-31T00:00:00"/>
    <d v="2024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300"/>
    <n v="13"/>
    <n v="169"/>
    <n v="0"/>
    <n v="1482"/>
    <n v="0"/>
    <n v="0"/>
    <n v="1482"/>
    <n v="0"/>
    <n v="1482"/>
    <m/>
    <m/>
    <m/>
    <s v="Syed Waqas"/>
    <n v="1986.7600000000127"/>
    <n v="1077.67"/>
    <m/>
  </r>
  <r>
    <n v="229"/>
    <x v="50"/>
    <x v="131"/>
    <s v=" -"/>
    <s v=" MOTOR"/>
    <d v="2024-12-29T00:00:00"/>
    <d v="2023-03-31T00:00:00"/>
    <d v="2024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-1"/>
    <n v="-1467"/>
    <n v="-15"/>
    <n v="0"/>
    <n v="0"/>
    <n v="-1482"/>
    <n v="0"/>
    <n v="0"/>
    <n v="-1482"/>
    <n v="0"/>
    <n v="-1482"/>
    <m/>
    <m/>
    <m/>
    <s v="Syed Waqas"/>
    <m/>
    <m/>
    <m/>
  </r>
  <r>
    <n v="232"/>
    <x v="51"/>
    <x v="132"/>
    <s v=" -"/>
    <s v=" MOTOR"/>
    <d v="2024-04-08T00:00:00"/>
    <d v="2023-04-05T00:00:00"/>
    <d v="2024-04-04T00:00:00"/>
    <s v=" 08810635"/>
    <s v="Ms. Tayyaba Akram_x000a_CNIC: 3830163617894  Cell No. 03005822017"/>
    <m/>
    <s v="SUZUKI CULTUS VXL M/T"/>
    <s v="LEH-17-1959"/>
    <s v="PK10K105149"/>
    <s v="NF1AVK31H10005141"/>
    <s v="2017"/>
    <m/>
    <m/>
    <s v=" D"/>
    <s v="09000221-Muhammad Irfan"/>
    <n v="2700000"/>
    <n v="1461"/>
    <n v="15"/>
    <n v="190"/>
    <n v="0"/>
    <n v="1666"/>
    <n v="0"/>
    <n v="0"/>
    <n v="1666"/>
    <n v="0"/>
    <n v="1666"/>
    <m/>
    <m/>
    <m/>
    <s v="Syed Waqas"/>
    <n v="1650.1900000000578"/>
    <n v="451.24"/>
    <m/>
  </r>
  <r>
    <n v="233"/>
    <x v="51"/>
    <x v="133"/>
    <s v=" -"/>
    <s v=" MOTOR"/>
    <d v="2024-04-08T00:00:00"/>
    <d v="2023-04-05T00:00:00"/>
    <d v="2024-04-04T00:00:00"/>
    <s v=" 08810635"/>
    <s v="Ms. Tayyaba Akram_x000a_CNIC: 3830163617894  Cell No. 03005822017"/>
    <m/>
    <s v="SUZUKI CULTUS VXL M/T"/>
    <s v="LEH-17-1959"/>
    <s v="PK10K105149"/>
    <s v="NF1AVK31H10005141"/>
    <s v="2017"/>
    <m/>
    <m/>
    <s v=" D"/>
    <s v="09000221-Muhammad Irfan"/>
    <n v="2700000"/>
    <n v="1173"/>
    <n v="12"/>
    <n v="152"/>
    <n v="0"/>
    <n v="1337"/>
    <n v="0"/>
    <n v="0"/>
    <n v="1337"/>
    <n v="0"/>
    <n v="1337"/>
    <m/>
    <m/>
    <m/>
    <s v="Syed Waqas"/>
    <n v="1513.7000000000328"/>
    <n v="362.38"/>
    <m/>
  </r>
  <r>
    <n v="234"/>
    <x v="51"/>
    <x v="134"/>
    <s v=" -"/>
    <s v=" MOTOR"/>
    <d v="2024-12-29T00:00:00"/>
    <d v="2023-04-05T00:00:00"/>
    <d v="2024-04-04T00:00:00"/>
    <s v=" 08810635"/>
    <s v="Ms. Tayyaba Akram_x000a_CNIC: 3830163617894  Cell No. 03005822017"/>
    <m/>
    <s v="SUZUKI CULTUS VXL M/T"/>
    <s v="LEH-17-1959"/>
    <s v="PK10K105149"/>
    <s v="NF1AVK31H10005141"/>
    <s v="2017"/>
    <m/>
    <m/>
    <s v=" D"/>
    <s v="09000221-Muhammad Irfan"/>
    <n v="-1"/>
    <n v="-2973"/>
    <n v="-30"/>
    <n v="0"/>
    <n v="0"/>
    <n v="-3003"/>
    <n v="0"/>
    <n v="0"/>
    <n v="-3003"/>
    <n v="0"/>
    <n v="-3003"/>
    <m/>
    <m/>
    <m/>
    <s v="Syed Waqas"/>
    <m/>
    <m/>
    <m/>
  </r>
  <r>
    <n v="236"/>
    <x v="52"/>
    <x v="24"/>
    <s v=" -"/>
    <s v=" MOTOR"/>
    <d v="2023-04-11T00:00:00"/>
    <d v="2023-04-06T00:00:00"/>
    <d v="2024-04-05T00:00:00"/>
    <s v=" 08810669"/>
    <s v="Kamran Zafar_x000a_CNIC: 42101-8864576-5_x000a_Phone Number: 03353550710"/>
    <m/>
    <s v="SUZUKI Suzuki Swift"/>
    <s v="BWJ-105"/>
    <s v="R1002764"/>
    <s v="S00102785"/>
    <s v="2022"/>
    <m/>
    <m/>
    <s v=" D"/>
    <s v="09000221-Muhammad Irfan"/>
    <n v="4960000"/>
    <n v="4343"/>
    <n v="43"/>
    <n v="564"/>
    <n v="50"/>
    <n v="5000"/>
    <n v="5362"/>
    <n v="0"/>
    <n v="-362"/>
    <n v="0"/>
    <n v="-362"/>
    <m/>
    <m/>
    <m/>
    <s v="Syed Waqas"/>
    <m/>
    <m/>
    <s v="kamran.zafar@paksuzuki.com.pk"/>
  </r>
  <r>
    <n v="237"/>
    <x v="52"/>
    <x v="135"/>
    <s v=" -"/>
    <s v=" MOTOR"/>
    <d v="2024-04-08T00:00:00"/>
    <d v="2023-04-06T00:00:00"/>
    <d v="2024-04-05T00:00:00"/>
    <s v=" 08810669"/>
    <s v="Kamran Zafar_x000a_CNIC: 42101-8864576-5_x000a_Phone Number: 03353550710"/>
    <m/>
    <s v="SUZUKI Suzuki Swift"/>
    <s v="BWJ-105"/>
    <s v="R1002764"/>
    <s v="S00102785"/>
    <s v="2022"/>
    <m/>
    <m/>
    <s v=" D"/>
    <s v="09000221-Muhammad Irfan"/>
    <n v="4960000"/>
    <n v="317"/>
    <n v="4"/>
    <n v="41"/>
    <n v="0"/>
    <n v="362"/>
    <n v="0"/>
    <n v="0"/>
    <n v="362"/>
    <n v="0"/>
    <n v="362"/>
    <m/>
    <m/>
    <m/>
    <s v="Syed Waqas"/>
    <n v="53.209999999999994"/>
    <n v="53.209999999999994"/>
    <m/>
  </r>
  <r>
    <n v="238"/>
    <x v="53"/>
    <x v="136"/>
    <s v=" -"/>
    <s v=" MOTOR"/>
    <d v="2024-04-08T00:00:00"/>
    <d v="2023-04-08T00:00:00"/>
    <d v="2024-04-07T00:00:00"/>
    <s v=" 08810675"/>
    <s v="Abdul Naveed_x000a_CNIC: 42201-5773313-5_x000a_Phone Number: 03352309844"/>
    <m/>
    <s v="SUZUKI CULTUS"/>
    <s v="BUQ-609"/>
    <s v="PK10K186729"/>
    <s v="NF1AVK31H10086720"/>
    <s v="2021"/>
    <m/>
    <m/>
    <s v=" D"/>
    <s v="09000221-Muhammad Irfan"/>
    <n v="3500000"/>
    <n v="787"/>
    <n v="8"/>
    <n v="102"/>
    <n v="0"/>
    <n v="897"/>
    <n v="0"/>
    <n v="0"/>
    <n v="897"/>
    <n v="0"/>
    <n v="897"/>
    <m/>
    <m/>
    <m/>
    <s v="Syed Waqas"/>
    <n v="187.13"/>
    <n v="187.13"/>
    <m/>
  </r>
  <r>
    <n v="239"/>
    <x v="53"/>
    <x v="137"/>
    <s v=" -"/>
    <s v=" MOTOR"/>
    <d v="2025-03-29T00:00:00"/>
    <d v="2023-04-08T00:00:00"/>
    <d v="2024-04-07T00:00:00"/>
    <s v=" 08810675"/>
    <s v="Abdul Naveed_x000a_CNIC: 42201-5773313-5_x000a_Phone Number: 03352309844"/>
    <m/>
    <s v="SUZUKI CULTUS"/>
    <s v="BUQ-609"/>
    <s v="PK10K186729"/>
    <s v="NF1AVK31H10086720"/>
    <s v="2021"/>
    <m/>
    <m/>
    <s v=" D"/>
    <s v="09000221-Muhammad Irfan"/>
    <n v="-1"/>
    <n v="-889"/>
    <n v="-8"/>
    <n v="0"/>
    <n v="0"/>
    <n v="-897"/>
    <n v="0"/>
    <n v="0"/>
    <n v="-897"/>
    <n v="0"/>
    <n v="-897"/>
    <m/>
    <m/>
    <m/>
    <s v="Syed Waqas"/>
    <m/>
    <m/>
    <m/>
  </r>
  <r>
    <n v="240"/>
    <x v="54"/>
    <x v="138"/>
    <s v=" -"/>
    <s v=" MOTOR"/>
    <d v="2024-04-14T00:00:00"/>
    <d v="2023-04-12T00:00:00"/>
    <d v="2024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3435"/>
    <n v="34"/>
    <n v="446"/>
    <n v="0"/>
    <n v="3915"/>
    <n v="0"/>
    <n v="0"/>
    <n v="3915"/>
    <n v="0"/>
    <n v="3915"/>
    <m/>
    <m/>
    <m/>
    <s v="Muhammad Qiran"/>
    <n v="336.17000000000007"/>
    <n v="336.17000000000007"/>
    <m/>
  </r>
  <r>
    <n v="241"/>
    <x v="54"/>
    <x v="139"/>
    <s v=" -"/>
    <s v=" MOTOR"/>
    <d v="2024-12-29T00:00:00"/>
    <d v="2023-04-12T00:00:00"/>
    <d v="2024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-1"/>
    <n v="-3876"/>
    <n v="-39"/>
    <n v="0"/>
    <n v="0"/>
    <n v="-3915"/>
    <n v="0"/>
    <n v="0"/>
    <n v="-3915"/>
    <n v="0"/>
    <n v="-3915"/>
    <m/>
    <m/>
    <m/>
    <s v="Muhammad Qiran"/>
    <m/>
    <m/>
    <m/>
  </r>
  <r>
    <n v="242"/>
    <x v="55"/>
    <x v="24"/>
    <s v=" -"/>
    <s v=" MOTOR"/>
    <d v="2023-04-17T00:00:00"/>
    <d v="2023-04-14T00:00:00"/>
    <d v="2024-04-13T00:00:00"/>
    <s v=" 08810751"/>
    <s v="Mr. Tabussam Tufail_x000a_Cell No. 0305-7678764 CNIC No. 33102-3796468-0"/>
    <m/>
    <s v="SUZUKI WAGON R VXL"/>
    <s v="AUJ-722"/>
    <s v="217067"/>
    <s v="101170606"/>
    <s v="2021"/>
    <m/>
    <m/>
    <s v=" D"/>
    <s v="09000221-Muhammad Irfan"/>
    <n v="-1"/>
    <n v="4343"/>
    <n v="43"/>
    <n v="564"/>
    <n v="50"/>
    <n v="5000"/>
    <n v="4999"/>
    <n v="0"/>
    <n v="1"/>
    <n v="0"/>
    <n v="1"/>
    <m/>
    <m/>
    <m/>
    <s v="MATEEN QURESHI"/>
    <m/>
    <m/>
    <s v="tabussam.qadri@gmail.com"/>
  </r>
  <r>
    <n v="243"/>
    <x v="55"/>
    <x v="140"/>
    <s v=" -"/>
    <s v=" MOTOR"/>
    <d v="2023-04-30T00:00:00"/>
    <d v="2023-04-14T00:00:00"/>
    <d v="2024-04-13T00:00:00"/>
    <s v=" 08810751"/>
    <s v="Mr. Tabussam Tufail_x000a_Cell No. 0305-7678764 CNIC No. 33102-3796468-0"/>
    <m/>
    <s v="SUZUKI WAGON R VXL"/>
    <s v="AUJ-722"/>
    <s v="217067"/>
    <s v="101170606"/>
    <s v="2021"/>
    <m/>
    <m/>
    <s v=" D"/>
    <s v="09000221-Muhammad Irfan"/>
    <n v="2500000"/>
    <n v="39473"/>
    <n v="395"/>
    <n v="5132"/>
    <n v="0"/>
    <n v="45000"/>
    <n v="-45000"/>
    <n v="0"/>
    <n v="90000"/>
    <n v="0"/>
    <n v="90000"/>
    <m/>
    <m/>
    <m/>
    <s v="MATEEN QURESHI"/>
    <m/>
    <m/>
    <s v="tabussam.qadri@gmail.com"/>
  </r>
  <r>
    <n v="244"/>
    <x v="55"/>
    <x v="141"/>
    <s v=" -"/>
    <s v=" MOTOR"/>
    <d v="2023-10-31T00:00:00"/>
    <d v="2023-04-14T00:00:00"/>
    <d v="2024-04-13T00:00:00"/>
    <s v=" 08810751"/>
    <s v="Mr. Tabussam Tufail_x000a_Cell No. 0305-7678764 CNIC No. 33102-3796468-0"/>
    <s v="."/>
    <s v="SUZUKI WAGON R VXL"/>
    <s v="AUJ-722"/>
    <s v="217067"/>
    <s v="101170606"/>
    <s v="2021"/>
    <m/>
    <m/>
    <s v=" D"/>
    <s v="09000221-Muhammad Irfan"/>
    <n v="-1"/>
    <n v="-39473"/>
    <n v="-395"/>
    <n v="-5133"/>
    <n v="0"/>
    <n v="-45001"/>
    <n v="45000"/>
    <n v="0"/>
    <n v="-90001"/>
    <n v="0"/>
    <n v="-90001"/>
    <m/>
    <m/>
    <m/>
    <s v="MATEEN QURESHI"/>
    <m/>
    <m/>
    <s v="tabussam.qadri@gmail.com"/>
  </r>
  <r>
    <n v="245"/>
    <x v="56"/>
    <x v="24"/>
    <s v=" -"/>
    <s v=" MOTOR"/>
    <d v="2023-04-17T00:00:00"/>
    <d v="2023-04-16T00:00:00"/>
    <d v="2024-04-15T00:00:00"/>
    <s v=" 08810759"/>
    <s v="Muhammad Faizan Aslam_x000a_CNIC No: 42201-6844774-5_x000a_Phone Number: 03330325205"/>
    <m/>
    <s v="SUZUKI CULTUS"/>
    <s v="BUU-264"/>
    <s v="PK10K187086"/>
    <s v="NF1AVK31H10087036"/>
    <s v="2021"/>
    <m/>
    <m/>
    <s v=" D"/>
    <s v="09000221-Muhammad Irfan"/>
    <n v="2900000"/>
    <n v="4343"/>
    <n v="43"/>
    <n v="564"/>
    <n v="50"/>
    <n v="5000"/>
    <n v="5537"/>
    <n v="0"/>
    <n v="-537"/>
    <n v="0"/>
    <n v="-537"/>
    <m/>
    <m/>
    <m/>
    <s v="Syed Waqas"/>
    <m/>
    <m/>
    <s v="bm.faizan@gmail.com"/>
  </r>
  <r>
    <n v="246"/>
    <x v="56"/>
    <x v="142"/>
    <s v=" -"/>
    <s v=" MOTOR"/>
    <d v="2024-04-16T00:00:00"/>
    <d v="2023-04-16T00:00:00"/>
    <d v="2024-04-15T00:00:00"/>
    <s v=" 08810759"/>
    <s v="Muhammad Faizan Aslam_x000a_CNIC No: 42201-6844774-5_x000a_Phone Number: 03330325205"/>
    <m/>
    <s v="SUZUKI CULTUS A/T"/>
    <s v="BUU-264"/>
    <s v="PK10K187086"/>
    <s v="NF1AVK31H10087036"/>
    <s v="2021"/>
    <m/>
    <m/>
    <s v=" D"/>
    <s v="09000221-Muhammad Irfan"/>
    <n v="2900000"/>
    <n v="471"/>
    <n v="5"/>
    <n v="61"/>
    <n v="0"/>
    <n v="537"/>
    <n v="0"/>
    <n v="0"/>
    <n v="537"/>
    <n v="0"/>
    <n v="537"/>
    <m/>
    <m/>
    <m/>
    <s v="Syed Waqas"/>
    <n v="135.14000000000001"/>
    <n v="135.14000000000001"/>
    <m/>
  </r>
  <r>
    <n v="248"/>
    <x v="57"/>
    <x v="143"/>
    <s v=" -"/>
    <s v=" MOTOR"/>
    <d v="2023-11-17T00:00:00"/>
    <d v="2023-04-17T00:00:00"/>
    <d v="2024-04-16T00:00:00"/>
    <s v=" 08810781"/>
    <s v="Afzal Ali_x000a_CNIC:43201-0934568-5_x000a_Phone Number: 0335-1323262"/>
    <m/>
    <s v="TOYOTA VITZ"/>
    <s v="BCG-868"/>
    <s v="1KE-1202131"/>
    <s v="KSP130-2009031"/>
    <s v="2011"/>
    <m/>
    <m/>
    <s v=" D"/>
    <s v="09000221-Muhammad Irfan"/>
    <n v="2000000"/>
    <n v="1723"/>
    <n v="17"/>
    <n v="224"/>
    <n v="0"/>
    <n v="1964"/>
    <n v="0"/>
    <n v="0"/>
    <n v="1964"/>
    <n v="0"/>
    <n v="1964"/>
    <m/>
    <m/>
    <m/>
    <s v="Muhammad Qiran"/>
    <n v="760.98"/>
    <n v="716.92"/>
    <m/>
  </r>
  <r>
    <n v="249"/>
    <x v="57"/>
    <x v="144"/>
    <s v=" -"/>
    <s v=" MOTOR"/>
    <d v="2023-12-19T00:00:00"/>
    <d v="2023-04-17T00:00:00"/>
    <d v="2024-04-16T00:00:00"/>
    <s v=" 08810781"/>
    <s v="Afzal Ali_x000a_CNIC:43201-0934568-5_x000a_Phone Number: 0335-1323262"/>
    <m/>
    <s v="TOYOTA VITZ"/>
    <s v="BCG-868"/>
    <s v="1KE-1202131"/>
    <s v="KSP130-2009031"/>
    <s v="2011"/>
    <m/>
    <m/>
    <s v=" D"/>
    <s v="09000221-Muhammad Irfan"/>
    <n v="2000000"/>
    <n v="1655"/>
    <n v="16"/>
    <n v="215"/>
    <n v="0"/>
    <n v="1886"/>
    <n v="0"/>
    <n v="0"/>
    <n v="1886"/>
    <n v="0"/>
    <n v="1886"/>
    <m/>
    <m/>
    <m/>
    <s v="Muhammad Qiran"/>
    <n v="705.05"/>
    <n v="689.09"/>
    <m/>
  </r>
  <r>
    <n v="250"/>
    <x v="57"/>
    <x v="145"/>
    <s v=" -"/>
    <s v=" MOTOR"/>
    <d v="2024-10-31T00:00:00"/>
    <d v="2023-04-17T00:00:00"/>
    <d v="2024-04-16T00:00:00"/>
    <s v=" 08810781"/>
    <s v="Afzal Ali_x000a_CNIC:43201-0934568-5_x000a_Phone Number: 0335-1323262"/>
    <m/>
    <s v="TOYOTA VITZ"/>
    <s v="BCG-868"/>
    <s v="1KE-1202131"/>
    <s v="KSP130-2009031"/>
    <s v="2011"/>
    <m/>
    <m/>
    <s v=" D"/>
    <s v="09000221-Muhammad Irfan"/>
    <n v="-1"/>
    <n v="-3812"/>
    <n v="-38"/>
    <n v="0"/>
    <n v="0"/>
    <n v="-3850"/>
    <n v="0"/>
    <n v="0"/>
    <n v="-3850"/>
    <n v="0"/>
    <n v="-3850"/>
    <m/>
    <m/>
    <m/>
    <s v="Muhammad Qiran"/>
    <m/>
    <m/>
    <m/>
  </r>
  <r>
    <n v="255"/>
    <x v="58"/>
    <x v="146"/>
    <s v=" -"/>
    <s v=" MOTOR"/>
    <d v="2024-04-18T00:00:00"/>
    <d v="2023-04-18T00:00:00"/>
    <d v="2024-04-17T00:00:00"/>
    <s v=" 08810921"/>
    <s v="Muhammad Yousuf_x000a_CNIC: 42000-0424031-1_x000a_Phone Number: 03162676106"/>
    <m/>
    <s v="KIA PICANTO A/T"/>
    <s v="BTA-423"/>
    <s v="G3LALP083065"/>
    <s v="NNATA52AZK9704540"/>
    <s v="2021"/>
    <m/>
    <m/>
    <s v=" D"/>
    <s v="09000221-Muhammad Irfan"/>
    <n v="3000000"/>
    <n v="574"/>
    <n v="6"/>
    <n v="75"/>
    <n v="0"/>
    <n v="655"/>
    <n v="0"/>
    <n v="0"/>
    <n v="655"/>
    <n v="0"/>
    <n v="655"/>
    <m/>
    <m/>
    <m/>
    <s v="Syed Waqas"/>
    <n v="175.57000000000005"/>
    <n v="159.46"/>
    <m/>
  </r>
  <r>
    <n v="256"/>
    <x v="58"/>
    <x v="147"/>
    <s v=" -"/>
    <s v=" MOTOR"/>
    <d v="2024-10-31T00:00:00"/>
    <d v="2023-04-18T00:00:00"/>
    <d v="2024-04-17T00:00:00"/>
    <s v=" 08810921"/>
    <s v="Muhammad Yousuf_x000a_CNIC: 42000-0424031-1_x000a_Phone Number: 03162676106"/>
    <m/>
    <s v="KIA PICANTO A/T"/>
    <s v="BTA-423"/>
    <s v="G3LALP083065"/>
    <s v="NNATA52AZK9704540"/>
    <s v="2021"/>
    <m/>
    <m/>
    <s v=" D"/>
    <s v="09000221-Muhammad Irfan"/>
    <n v="-1"/>
    <n v="-649"/>
    <n v="-6"/>
    <n v="0"/>
    <n v="0"/>
    <n v="-655"/>
    <n v="0"/>
    <n v="0"/>
    <n v="-655"/>
    <n v="0"/>
    <n v="-655"/>
    <m/>
    <m/>
    <m/>
    <s v="Syed Waqas"/>
    <m/>
    <m/>
    <m/>
  </r>
  <r>
    <n v="257"/>
    <x v="59"/>
    <x v="148"/>
    <s v=" -"/>
    <s v=" MOTOR"/>
    <d v="2023-05-26T00:00:00"/>
    <d v="2023-04-26T00:00:00"/>
    <d v="2024-04-25T00:00:00"/>
    <s v=" 08810942"/>
    <s v="M/s. Master Management Private Limited _x000a_User Name: Manzar Alam Chughtai_x000a_CNIC: 42101-1573674-3_x000a_Phone Number: 0333-3005000_x000a_NTN: 2565752-6"/>
    <m/>
    <s v="TOYOTA COROLLA"/>
    <s v="BDS-202"/>
    <s v="Q024757"/>
    <s v="ZRE171R-6002237"/>
    <s v="2015"/>
    <m/>
    <m/>
    <s v=" D"/>
    <s v="09000355-Asif Azeem"/>
    <n v="3500000"/>
    <n v="3264"/>
    <n v="32"/>
    <n v="424"/>
    <n v="0"/>
    <n v="3720"/>
    <n v="0"/>
    <n v="0"/>
    <n v="3720"/>
    <n v="0"/>
    <n v="3720"/>
    <m/>
    <m/>
    <m/>
    <s v="MATEEN QURESHI"/>
    <n v="850.03975070099011"/>
    <n v="775.45385504776004"/>
    <s v="nomankhan@mastermanagement.pk,ammadali@mastermanagement.pk"/>
  </r>
  <r>
    <n v="258"/>
    <x v="59"/>
    <x v="149"/>
    <s v=" -"/>
    <s v=" MOTOR"/>
    <d v="2024-03-26T00:00:00"/>
    <d v="2023-04-26T00:00:00"/>
    <d v="2024-04-25T00:00:00"/>
    <s v=" 08810942"/>
    <s v="M/s. Master Management Private Limited _x000a_User Name: Manzar Alam Chughtai_x000a_CNIC: 42101-1573674-3_x000a_Phone Number: 0333-3005000_x000a_NTN: 2565752-6"/>
    <m/>
    <s v="TOYOTA COROLLA"/>
    <s v="BDS-202"/>
    <s v="Q024757"/>
    <s v="ZRE171R-6002237"/>
    <s v="2015"/>
    <m/>
    <m/>
    <s v=" D"/>
    <s v="09000355-Asif Azeem"/>
    <n v="3500000"/>
    <n v="3949"/>
    <n v="40"/>
    <n v="513"/>
    <n v="0"/>
    <n v="4502"/>
    <n v="0"/>
    <n v="0"/>
    <n v="4502"/>
    <n v="0"/>
    <n v="4502"/>
    <m/>
    <m/>
    <m/>
    <s v="MATEEN QURESHI"/>
    <n v="991.99000000000103"/>
    <n v="938.82"/>
    <m/>
  </r>
  <r>
    <n v="259"/>
    <x v="59"/>
    <x v="150"/>
    <s v=" -"/>
    <s v=" MOTOR"/>
    <d v="2024-04-26T00:00:00"/>
    <d v="2023-04-26T00:00:00"/>
    <d v="2024-04-25T00:00:00"/>
    <s v=" 08810942"/>
    <s v="M/s. Master Management Private Limited _x000a_User Name: Manzar Alam Chughtai_x000a_CNIC: 42101-1573674-3_x000a_Phone Number: 0333-3005000_x000a_NTN: 2565752-6"/>
    <m/>
    <s v="TOYOTA COROLLA"/>
    <s v="BDS-202"/>
    <s v="Q024757"/>
    <s v="ZRE171R-6002237"/>
    <s v="2015"/>
    <m/>
    <m/>
    <s v=" D"/>
    <s v="09000355-Asif Azeem"/>
    <n v="3500000"/>
    <n v="3589"/>
    <n v="36"/>
    <n v="466"/>
    <n v="0"/>
    <n v="4091"/>
    <n v="0"/>
    <n v="0"/>
    <n v="4091"/>
    <n v="0"/>
    <n v="4091"/>
    <m/>
    <m/>
    <m/>
    <s v="MATEEN QURESHI"/>
    <m/>
    <m/>
    <m/>
  </r>
  <r>
    <n v="260"/>
    <x v="59"/>
    <x v="151"/>
    <s v=" -"/>
    <s v=" MOTOR"/>
    <d v="2024-10-31T00:00:00"/>
    <d v="2023-04-26T00:00:00"/>
    <d v="2024-04-25T00:00:00"/>
    <s v=" 08810942"/>
    <s v="M/s. Master Management Private Limited _x000a_User Name: Manzar Alam Chughtai_x000a_CNIC: 42101-1573674-3_x000a_Phone Number: 0333-3005000_x000a_NTN: 2565752-6"/>
    <m/>
    <s v="TOYOTA COROLLA"/>
    <s v="BDS-202"/>
    <s v="Q024757"/>
    <s v="ZRE171R-6002237"/>
    <s v="2015"/>
    <m/>
    <m/>
    <s v=" D"/>
    <s v="09000355-Asif Azeem"/>
    <n v="-1"/>
    <n v="-12191"/>
    <n v="-122"/>
    <n v="0"/>
    <n v="0"/>
    <n v="-12313"/>
    <n v="0"/>
    <n v="0"/>
    <n v="-12313"/>
    <n v="0"/>
    <n v="-12313"/>
    <m/>
    <m/>
    <m/>
    <s v="MATEEN QURESHI"/>
    <m/>
    <m/>
    <m/>
  </r>
  <r>
    <n v="262"/>
    <x v="60"/>
    <x v="152"/>
    <s v=" -"/>
    <s v=" MOTOR"/>
    <d v="2023-06-07T00:00:00"/>
    <d v="2023-05-03T00:00:00"/>
    <d v="2024-05-02T00:00:00"/>
    <s v=" 08811054"/>
    <s v="Mr. Muhammad Akhtar_x000a_CNIC: 42201-7772194-1_x000a_Phone Number: 0334-2103000"/>
    <m/>
    <s v="SUZUKI BOLAN"/>
    <s v="CV-1798"/>
    <s v="PK1902049"/>
    <s v="SV308PK01018585"/>
    <s v="2015"/>
    <m/>
    <m/>
    <s v=" D"/>
    <s v="09000355-Asif Azeem"/>
    <n v="1000000"/>
    <n v="325"/>
    <n v="3"/>
    <n v="42"/>
    <n v="0"/>
    <n v="370"/>
    <n v="0"/>
    <n v="0"/>
    <n v="370"/>
    <n v="0"/>
    <n v="370"/>
    <m/>
    <m/>
    <m/>
    <s v="MATEEN QURESHI"/>
    <n v="269.50300936553998"/>
    <n v="269.50300936553998"/>
    <s v="nomankhan@mastermanagement.pk,ammadali@mastermanagement.pk"/>
  </r>
  <r>
    <n v="263"/>
    <x v="60"/>
    <x v="153"/>
    <s v=" -"/>
    <s v=" MOTOR"/>
    <d v="2023-07-06T00:00:00"/>
    <d v="2023-05-03T00:00:00"/>
    <d v="2024-05-02T00:00:00"/>
    <s v=" 08811054"/>
    <s v="Mr. Muhammad Akhtar_x000a_CNIC: 42201-7772194-1_x000a_Phone Number: 0334-2103000"/>
    <m/>
    <s v="SUZUKI BOLAN"/>
    <s v="CV-1798"/>
    <s v="PK1902049"/>
    <s v="SV308PK01018585"/>
    <s v="2015"/>
    <m/>
    <m/>
    <s v=" D"/>
    <s v="09000355-Asif Azeem"/>
    <n v="1000000"/>
    <n v="397"/>
    <n v="4"/>
    <n v="52"/>
    <n v="0"/>
    <n v="453"/>
    <n v="0"/>
    <n v="0"/>
    <n v="453"/>
    <n v="0"/>
    <n v="453"/>
    <m/>
    <m/>
    <m/>
    <s v="MATEEN QURESHI"/>
    <n v="384.75935132373905"/>
    <n v="327.86685546150204"/>
    <s v="nomankhan@mastermanagement.pk,ammadali@mastermanagement.pk"/>
  </r>
  <r>
    <n v="264"/>
    <x v="60"/>
    <x v="154"/>
    <s v=" -"/>
    <s v=" MOTOR"/>
    <d v="2023-08-03T00:00:00"/>
    <d v="2023-05-03T00:00:00"/>
    <d v="2024-05-02T00:00:00"/>
    <s v=" 08811054"/>
    <s v="Mr. Muhammad Akhtar_x000a_CNIC: 42201-7772194-1_x000a_Phone Number: 0334-2103000"/>
    <m/>
    <s v="SUZUKI BOLAN"/>
    <s v="CV-1798"/>
    <s v="PK1902049"/>
    <s v="SV308PK01018585"/>
    <s v="2015"/>
    <m/>
    <m/>
    <s v=" D"/>
    <s v="09000355-Asif Azeem"/>
    <n v="1000000"/>
    <n v="117"/>
    <n v="1"/>
    <n v="15"/>
    <n v="0"/>
    <n v="133"/>
    <n v="0"/>
    <n v="0"/>
    <n v="133"/>
    <n v="0"/>
    <n v="133"/>
    <m/>
    <m/>
    <m/>
    <s v="MATEEN QURESHI"/>
    <n v="97.09"/>
    <n v="97.09"/>
    <s v="nomankhan@mastermanagement.pk,ammadali@mastermanagement.pk"/>
  </r>
  <r>
    <n v="265"/>
    <x v="60"/>
    <x v="155"/>
    <s v=" -"/>
    <s v=" MOTOR"/>
    <d v="2024-03-04T00:00:00"/>
    <d v="2023-05-03T00:00:00"/>
    <d v="2024-05-02T00:00:00"/>
    <s v=" 08811054"/>
    <s v="Mr. Muhammad Akhtar_x000a_CNIC: 42201-7772194-1_x000a_Phone Number: 0334-2103000"/>
    <m/>
    <s v="SUZUKI BOLAN"/>
    <s v="CV-1798"/>
    <s v="PK1902049"/>
    <s v="SV308PK01018585"/>
    <s v="2015"/>
    <m/>
    <m/>
    <s v=" D"/>
    <s v="09000355-Asif Azeem"/>
    <n v="1000000"/>
    <n v="235"/>
    <n v="2"/>
    <n v="30"/>
    <n v="0"/>
    <n v="267"/>
    <n v="0"/>
    <n v="0"/>
    <n v="267"/>
    <n v="0"/>
    <n v="267"/>
    <m/>
    <m/>
    <m/>
    <s v="MATEEN QURESHI"/>
    <n v="195.17"/>
    <n v="195.17"/>
    <m/>
  </r>
  <r>
    <n v="266"/>
    <x v="60"/>
    <x v="156"/>
    <s v=" -"/>
    <s v=" MOTOR"/>
    <d v="2024-04-03T00:00:00"/>
    <d v="2023-05-03T00:00:00"/>
    <d v="2024-05-02T00:00:00"/>
    <s v=" 08811054"/>
    <s v="Mr. Muhammad Akhtar_x000a_CNIC: 42201-7772194-1_x000a_Phone Number: 0334-2103000"/>
    <m/>
    <s v="SUZUKI BOLAN"/>
    <s v="CV-1798"/>
    <s v="PK1902049"/>
    <s v="SV308PK01018585"/>
    <s v="2015"/>
    <m/>
    <m/>
    <s v=" D"/>
    <s v="09000355-Asif Azeem"/>
    <n v="1000000"/>
    <n v="283"/>
    <n v="3"/>
    <n v="37"/>
    <n v="0"/>
    <n v="323"/>
    <n v="0"/>
    <n v="0"/>
    <n v="323"/>
    <n v="0"/>
    <n v="323"/>
    <m/>
    <m/>
    <m/>
    <s v="MATEEN QURESHI"/>
    <n v="292.24000000000007"/>
    <n v="235.13000000000002"/>
    <m/>
  </r>
  <r>
    <n v="267"/>
    <x v="60"/>
    <x v="157"/>
    <s v=" -"/>
    <s v=" MOTOR"/>
    <d v="2024-10-31T00:00:00"/>
    <d v="2023-05-03T00:00:00"/>
    <d v="2024-05-02T00:00:00"/>
    <s v=" 08811054"/>
    <s v="Mr. Muhammad Akhtar_x000a_CNIC: 42201-7772194-1_x000a_Phone Number: 0334-2103000"/>
    <m/>
    <s v="SUZUKI BOLAN"/>
    <s v="CV-1798"/>
    <s v="PK1902049"/>
    <s v="SV308PK01018585"/>
    <s v="2015"/>
    <m/>
    <m/>
    <s v=" D"/>
    <s v="09000355-Asif Azeem"/>
    <n v="-1"/>
    <n v="-1531"/>
    <n v="-15"/>
    <n v="0"/>
    <n v="0"/>
    <n v="-1546"/>
    <n v="0"/>
    <n v="0"/>
    <n v="-1546"/>
    <n v="0"/>
    <n v="-1546"/>
    <m/>
    <m/>
    <m/>
    <s v="MATEEN QURESHI"/>
    <m/>
    <m/>
    <m/>
  </r>
  <r>
    <n v="268"/>
    <x v="61"/>
    <x v="158"/>
    <s v=" -"/>
    <s v=" MOTOR"/>
    <d v="2023-12-21T00:00:00"/>
    <d v="2023-04-20T00:00:00"/>
    <d v="2024-04-19T00:00:00"/>
    <s v=" 08811066"/>
    <s v="Muhammad Noman Faisal_x000a_CNIC: 3520229337289_x000a_Cell: 0302-8604555"/>
    <m/>
    <s v="KIA PICANTO A/T"/>
    <s v="BTA-795"/>
    <s v="G3LALP082945"/>
    <s v="NNATA52AZKP704533"/>
    <s v="2021"/>
    <m/>
    <m/>
    <s v=" D"/>
    <s v="09000221-Muhammad Irfan"/>
    <n v="3000000"/>
    <n v="1210"/>
    <n v="12"/>
    <n v="157"/>
    <n v="0"/>
    <n v="1379"/>
    <n v="0"/>
    <n v="0"/>
    <n v="1379"/>
    <n v="0"/>
    <n v="1379"/>
    <m/>
    <m/>
    <m/>
    <s v="Syed Waqas"/>
    <n v="335.92000000000007"/>
    <n v="335.92000000000007"/>
    <m/>
  </r>
  <r>
    <n v="269"/>
    <x v="61"/>
    <x v="159"/>
    <s v=" -"/>
    <s v=" MOTOR"/>
    <d v="2024-01-22T00:00:00"/>
    <d v="2023-04-20T00:00:00"/>
    <d v="2024-04-19T00:00:00"/>
    <s v=" 08811066"/>
    <s v="Muhammad Noman Faisal_x000a_CNIC: 3520229337289_x000a_Cell: 0302-8604555"/>
    <m/>
    <s v="KIA PICANTO A/T"/>
    <s v="BTA-795"/>
    <s v="G3LALP082945"/>
    <s v="NNATA52AZKP704533"/>
    <s v="2021"/>
    <m/>
    <m/>
    <s v=" D"/>
    <s v="09000221-Muhammad Irfan"/>
    <n v="3000000"/>
    <n v="431"/>
    <n v="4"/>
    <n v="57"/>
    <n v="0"/>
    <n v="492"/>
    <n v="0"/>
    <n v="0"/>
    <n v="492"/>
    <n v="0"/>
    <n v="492"/>
    <m/>
    <m/>
    <m/>
    <s v="Syed Waqas"/>
    <n v="164.64"/>
    <n v="119.67"/>
    <m/>
  </r>
  <r>
    <n v="270"/>
    <x v="61"/>
    <x v="160"/>
    <s v=" -"/>
    <s v=" MOTOR"/>
    <d v="2024-02-20T00:00:00"/>
    <d v="2023-04-20T00:00:00"/>
    <d v="2024-04-19T00:00:00"/>
    <s v=" 08811066"/>
    <s v="Muhammad Noman Faisal_x000a_CNIC: 3520229337289_x000a_Cell: 0302-8604555"/>
    <m/>
    <s v="KIA PICANTO A/T"/>
    <s v="BTA-795"/>
    <s v="G3LALP082945"/>
    <s v="NNATA52AZKP704533"/>
    <s v="2021"/>
    <m/>
    <m/>
    <s v=" D"/>
    <s v="09000221-Muhammad Irfan"/>
    <n v="3000000"/>
    <n v="581"/>
    <n v="5"/>
    <n v="75"/>
    <n v="0"/>
    <n v="661"/>
    <n v="0"/>
    <n v="0"/>
    <n v="661"/>
    <n v="0"/>
    <n v="661"/>
    <m/>
    <m/>
    <m/>
    <s v="Syed Waqas"/>
    <n v="160.9"/>
    <n v="160.9"/>
    <m/>
  </r>
  <r>
    <n v="271"/>
    <x v="61"/>
    <x v="161"/>
    <s v=" -"/>
    <s v=" MOTOR"/>
    <d v="2024-03-21T00:00:00"/>
    <d v="2023-04-20T00:00:00"/>
    <d v="2024-04-19T00:00:00"/>
    <s v=" 08811066"/>
    <s v="Muhammad Noman Faisal_x000a_CNIC: 3520229337289_x000a_Cell: 0302-8604555"/>
    <m/>
    <s v="KIA PICANTO A/T"/>
    <s v="BTA-795"/>
    <s v="G3LALP082945"/>
    <s v="NNATA52AZKP704533"/>
    <s v="2021"/>
    <m/>
    <m/>
    <s v=" D"/>
    <s v="09000221-Muhammad Irfan"/>
    <n v="3000000"/>
    <n v="1418"/>
    <n v="14"/>
    <n v="184"/>
    <n v="0"/>
    <n v="1616"/>
    <n v="0"/>
    <n v="0"/>
    <n v="1616"/>
    <n v="0"/>
    <n v="1616"/>
    <m/>
    <m/>
    <m/>
    <s v="Syed Waqas"/>
    <n v="399.71"/>
    <n v="393.2700000000001"/>
    <m/>
  </r>
  <r>
    <n v="272"/>
    <x v="61"/>
    <x v="162"/>
    <s v=" -"/>
    <s v=" MOTOR"/>
    <d v="2024-04-17T00:00:00"/>
    <d v="2023-04-20T00:00:00"/>
    <d v="2024-04-19T00:00:00"/>
    <s v=" 08811066"/>
    <s v="Muhammad Noman Faisal_x000a_CNIC: 3520229337289_x000a_Cell: 0302-8604555"/>
    <m/>
    <s v="KIA PICANTO A/T"/>
    <s v="BTA-795"/>
    <s v="G3LALP082945"/>
    <s v="NNATA52AZKP704533"/>
    <s v="2021"/>
    <m/>
    <m/>
    <s v=" D"/>
    <s v="09000221-Muhammad Irfan"/>
    <n v="-1"/>
    <n v="-3639"/>
    <n v="-36"/>
    <n v="-473"/>
    <n v="0"/>
    <n v="-4148"/>
    <n v="0"/>
    <n v="0"/>
    <n v="-4148"/>
    <n v="0"/>
    <n v="-4148"/>
    <m/>
    <m/>
    <m/>
    <s v="Syed Waqas"/>
    <m/>
    <m/>
    <m/>
  </r>
  <r>
    <n v="273"/>
    <x v="62"/>
    <x v="163"/>
    <s v=" -"/>
    <s v=" MOTOR"/>
    <d v="2023-11-10T00:00:00"/>
    <d v="2023-05-05T00:00:00"/>
    <d v="2024-05-04T00:00:00"/>
    <s v=" 08811094"/>
    <s v="Mr. Muhammad Shahid_x000a_CNIC: 4130368457729_x000a_Cell: 0300-3015679"/>
    <m/>
    <s v="HONDA BRV - S"/>
    <s v="BG-3227"/>
    <s v="L15213502111"/>
    <s v="NFB041825HR00214"/>
    <s v="2017"/>
    <m/>
    <m/>
    <s v=" D"/>
    <s v="09000387-Gulnaz Fatima"/>
    <n v="3100000"/>
    <n v="104"/>
    <n v="1"/>
    <n v="14"/>
    <n v="0"/>
    <n v="119"/>
    <n v="0"/>
    <n v="0"/>
    <n v="119"/>
    <n v="0"/>
    <n v="119"/>
    <m/>
    <m/>
    <m/>
    <m/>
    <n v="28.16"/>
    <n v="28.1"/>
    <m/>
  </r>
  <r>
    <n v="274"/>
    <x v="62"/>
    <x v="164"/>
    <s v=" -"/>
    <s v=" MOTOR"/>
    <d v="2023-12-08T00:00:00"/>
    <d v="2023-05-05T00:00:00"/>
    <d v="2024-05-04T00:00:00"/>
    <s v=" 08811094"/>
    <s v="Mr. Muhammad Shahid_x000a_CNIC: 4130368457729_x000a_Cell: 0300-3015679"/>
    <m/>
    <s v="HONDA BRV - S"/>
    <s v="BG-3227"/>
    <s v="L15213502111"/>
    <s v="NFB041825HR00214"/>
    <s v="2017"/>
    <m/>
    <m/>
    <s v=" D"/>
    <s v="09000387-Gulnaz Fatima"/>
    <n v="3100000"/>
    <n v="128"/>
    <n v="1"/>
    <n v="17"/>
    <n v="0"/>
    <n v="146"/>
    <n v="0"/>
    <n v="0"/>
    <n v="146"/>
    <n v="0"/>
    <n v="146"/>
    <m/>
    <m/>
    <m/>
    <m/>
    <n v="34.47999999999999"/>
    <n v="34.47999999999999"/>
    <m/>
  </r>
  <r>
    <n v="275"/>
    <x v="62"/>
    <x v="165"/>
    <s v=" -"/>
    <s v=" MOTOR"/>
    <d v="2024-01-05T00:00:00"/>
    <d v="2023-05-05T00:00:00"/>
    <d v="2024-05-04T00:00:00"/>
    <s v=" 08811094"/>
    <s v="Mr. Muhammad Shahid_x000a_CNIC: 4130368457729_x000a_Cell: 0300-3015679"/>
    <m/>
    <s v="HONDA BRV - S"/>
    <s v="BG-3227"/>
    <s v="L15213502111"/>
    <s v="NFB041825HR00214"/>
    <s v="2017"/>
    <m/>
    <m/>
    <s v=" D"/>
    <s v="09000387-Gulnaz Fatima"/>
    <n v="3100000"/>
    <n v="477"/>
    <n v="5"/>
    <n v="62"/>
    <n v="0"/>
    <n v="544"/>
    <n v="0"/>
    <n v="0"/>
    <n v="544"/>
    <n v="0"/>
    <n v="544"/>
    <m/>
    <m/>
    <m/>
    <m/>
    <n v="128.09"/>
    <n v="128.09"/>
    <m/>
  </r>
  <r>
    <n v="276"/>
    <x v="62"/>
    <x v="166"/>
    <s v=" -"/>
    <s v=" MOTOR"/>
    <d v="2024-02-07T00:00:00"/>
    <d v="2023-05-05T00:00:00"/>
    <d v="2024-05-04T00:00:00"/>
    <s v=" 08811094"/>
    <s v="Mr. Muhammad Shahid_x000a_CNIC: 4130368457729_x000a_Cell: 0300-3015679"/>
    <m/>
    <s v="HONDA BRV - S"/>
    <s v="BG-3227"/>
    <s v="L15213502111"/>
    <s v="NFB041825HR00214"/>
    <s v="2017"/>
    <m/>
    <m/>
    <s v=" D"/>
    <s v="09000387-Gulnaz Fatima"/>
    <n v="3100000"/>
    <n v="317"/>
    <n v="3"/>
    <n v="41"/>
    <n v="0"/>
    <n v="361"/>
    <n v="0"/>
    <n v="0"/>
    <n v="361"/>
    <n v="0"/>
    <n v="361"/>
    <m/>
    <m/>
    <m/>
    <m/>
    <n v="85.08"/>
    <n v="85.08"/>
    <m/>
  </r>
  <r>
    <n v="277"/>
    <x v="62"/>
    <x v="167"/>
    <s v=" -"/>
    <s v=" MOTOR"/>
    <d v="2024-03-05T00:00:00"/>
    <d v="2023-05-05T00:00:00"/>
    <d v="2024-05-04T00:00:00"/>
    <s v=" 08811094"/>
    <s v="Mr. Muhammad Shahid_x000a_CNIC: 4130368457729_x000a_Cell: 0300-3015679"/>
    <m/>
    <s v="HONDA BRV - S"/>
    <s v="BG-3227"/>
    <s v="L15213502111"/>
    <s v="NFB041825HR00214"/>
    <s v="2017"/>
    <m/>
    <m/>
    <s v=" D"/>
    <s v="09000387-Gulnaz Fatima"/>
    <n v="3100000"/>
    <n v="183"/>
    <n v="2"/>
    <n v="24"/>
    <n v="0"/>
    <n v="209"/>
    <n v="0"/>
    <n v="0"/>
    <n v="209"/>
    <n v="0"/>
    <n v="209"/>
    <m/>
    <m/>
    <m/>
    <m/>
    <n v="49.1"/>
    <n v="49.1"/>
    <m/>
  </r>
  <r>
    <n v="278"/>
    <x v="62"/>
    <x v="168"/>
    <s v=" -"/>
    <s v=" MOTOR"/>
    <d v="2024-10-31T00:00:00"/>
    <d v="2023-05-05T00:00:00"/>
    <d v="2024-05-04T00:00:00"/>
    <s v=" 08811094"/>
    <s v="Mr. Muhammad Shahid_x000a_CNIC: 4130368457729_x000a_Cell: 0300-3015679"/>
    <m/>
    <s v="HONDA BRV - S"/>
    <s v="BG-3227"/>
    <s v="L15213502111"/>
    <s v="NFB041825HR00214"/>
    <s v="2017"/>
    <m/>
    <m/>
    <s v=" D"/>
    <s v="09000387-Gulnaz Fatima"/>
    <n v="-1"/>
    <n v="-1365"/>
    <n v="-14"/>
    <n v="0"/>
    <n v="0"/>
    <n v="-1379"/>
    <n v="0"/>
    <n v="0"/>
    <n v="-1379"/>
    <n v="0"/>
    <n v="-1379"/>
    <m/>
    <m/>
    <m/>
    <m/>
    <m/>
    <m/>
    <m/>
  </r>
  <r>
    <n v="282"/>
    <x v="63"/>
    <x v="24"/>
    <s v=" -"/>
    <s v=" MOTOR"/>
    <d v="2023-05-11T00:00:00"/>
    <d v="2023-05-09T00:00:00"/>
    <d v="2024-05-08T00:00:00"/>
    <s v=" 08810404"/>
    <s v="Muiz Hassan _x000a_CNIC No. 17301-0259708-5_x000a_Cell No. 0335-3131023"/>
    <m/>
    <s v="TOYOTA PASSO"/>
    <s v="LEH-4353"/>
    <s v="1539913"/>
    <s v="0034796"/>
    <s v="2015"/>
    <m/>
    <m/>
    <s v=" D"/>
    <s v="09000221-Muhammad Irfan"/>
    <n v="-1"/>
    <n v="4343"/>
    <n v="43"/>
    <n v="564"/>
    <n v="50"/>
    <n v="5000"/>
    <n v="5006"/>
    <n v="0"/>
    <n v="-6"/>
    <n v="0"/>
    <n v="-6"/>
    <m/>
    <m/>
    <m/>
    <s v="ASMA RIAZ"/>
    <m/>
    <m/>
    <s v="2651555@gmail.com"/>
  </r>
  <r>
    <n v="283"/>
    <x v="63"/>
    <x v="169"/>
    <s v=" -"/>
    <s v=" MOTOR"/>
    <d v="2023-09-09T00:00:00"/>
    <d v="2023-05-09T00:00:00"/>
    <d v="2024-05-08T00:00:00"/>
    <s v=" 08810404"/>
    <s v="Muiz Hassan _x000a_CNIC No. 17301-0259708-5_x000a_Cell No. 0335-3131023"/>
    <m/>
    <s v="TOYOTA PASSO"/>
    <s v="LEH-4353"/>
    <s v="1539913"/>
    <s v="0034796"/>
    <s v="2015"/>
    <m/>
    <m/>
    <s v=" D"/>
    <s v="09000221-Muhammad Irfan"/>
    <n v="2750000"/>
    <n v="1989"/>
    <n v="20"/>
    <n v="259"/>
    <n v="0"/>
    <n v="2268"/>
    <n v="2262"/>
    <n v="0"/>
    <n v="6"/>
    <n v="0"/>
    <n v="6"/>
    <m/>
    <m/>
    <m/>
    <s v="ASMA RIAZ"/>
    <n v="1019.829999999999"/>
    <n v="601.97"/>
    <m/>
  </r>
  <r>
    <n v="284"/>
    <x v="64"/>
    <x v="170"/>
    <s v=" -"/>
    <s v=" MOTOR"/>
    <d v="2024-05-13T00:00:00"/>
    <d v="2023-05-13T00:00:00"/>
    <d v="2024-05-12T00:00:00"/>
    <s v=" 08811209"/>
    <s v="Muhammad Musharraf Kaleem_x000a_CNIC: 42501-8793790-9_x000a_Phone Number: 0332-3263250"/>
    <m/>
    <s v="SUZUKI ALTO VX"/>
    <s v="BWQ-173"/>
    <s v="6R229466"/>
    <s v="NF1AET306H1129439"/>
    <s v="2022"/>
    <m/>
    <m/>
    <s v=" D"/>
    <s v="09000221-Muhammad Irfan"/>
    <n v="1800000"/>
    <n v="1039"/>
    <n v="10"/>
    <n v="135"/>
    <n v="0"/>
    <n v="1184"/>
    <n v="0"/>
    <n v="0"/>
    <n v="1184"/>
    <n v="0"/>
    <n v="1184"/>
    <m/>
    <m/>
    <m/>
    <s v="Syed Waqas"/>
    <n v="648.29000000000008"/>
    <n v="479.91"/>
    <m/>
  </r>
  <r>
    <n v="285"/>
    <x v="64"/>
    <x v="171"/>
    <s v=" -"/>
    <s v=" MOTOR"/>
    <d v="2024-12-29T00:00:00"/>
    <d v="2023-05-13T00:00:00"/>
    <d v="2024-05-12T00:00:00"/>
    <s v=" 08811209"/>
    <s v="Muhammad Musharraf Kaleem_x000a_CNIC: 42501-8793790-9_x000a_Phone Number: 0332-3263250"/>
    <m/>
    <s v="SUZUKI ALTO VX"/>
    <s v="BWQ-173"/>
    <s v="6R229466"/>
    <s v="NF1AET306H1129439"/>
    <s v="2022"/>
    <m/>
    <m/>
    <s v=" D"/>
    <s v="09000221-Muhammad Irfan"/>
    <n v="-1"/>
    <n v="-1172"/>
    <n v="-12"/>
    <n v="0"/>
    <n v="0"/>
    <n v="-1184"/>
    <n v="0"/>
    <n v="0"/>
    <n v="-1184"/>
    <n v="0"/>
    <n v="-1184"/>
    <m/>
    <m/>
    <m/>
    <s v="Syed Waqas"/>
    <m/>
    <m/>
    <m/>
  </r>
  <r>
    <n v="291"/>
    <x v="65"/>
    <x v="172"/>
    <s v=" -"/>
    <s v=" MOTOR"/>
    <d v="2024-04-16T00:00:00"/>
    <d v="2023-05-16T00:00:00"/>
    <d v="2024-05-15T00:00:00"/>
    <s v=" 08811317"/>
    <s v="Raja Imran Arif_x000a_CNIC No. 82102-7167702-9_x000a_Cell No. 0333-3622854"/>
    <m/>
    <s v="SUZUKI MEHRAN"/>
    <s v="LEC-18-2741"/>
    <s v="PKB721932"/>
    <s v="SB308PK01260435"/>
    <s v="2018"/>
    <m/>
    <m/>
    <s v=" D"/>
    <s v="09000221-Muhammad Irfan"/>
    <n v="1200000"/>
    <n v="832"/>
    <n v="8"/>
    <n v="109"/>
    <n v="0"/>
    <n v="949"/>
    <n v="0"/>
    <n v="0"/>
    <n v="949"/>
    <n v="0"/>
    <n v="949"/>
    <m/>
    <m/>
    <m/>
    <s v="Abdullah Khan"/>
    <n v="1072.060000000024"/>
    <n v="576.68000000000006"/>
    <m/>
  </r>
  <r>
    <n v="292"/>
    <x v="65"/>
    <x v="173"/>
    <s v=" -"/>
    <s v=" MOTOR"/>
    <d v="2024-05-16T00:00:00"/>
    <d v="2023-05-16T00:00:00"/>
    <d v="2024-05-15T00:00:00"/>
    <s v=" 08811317"/>
    <s v="Raja Imran Arif_x000a_CNIC No. 82102-7167702-9_x000a_Cell No. 0333-3622854"/>
    <m/>
    <s v="SUZUKI MEHRAN"/>
    <s v="LEC-18-2741"/>
    <s v="PKB721932"/>
    <s v="SB308PK01260435"/>
    <s v="2018"/>
    <m/>
    <m/>
    <s v=" D"/>
    <s v="09000221-Muhammad Irfan"/>
    <n v="1200000"/>
    <n v="378"/>
    <n v="4"/>
    <n v="50"/>
    <n v="0"/>
    <n v="432"/>
    <n v="0"/>
    <n v="0"/>
    <n v="432"/>
    <n v="0"/>
    <n v="432"/>
    <m/>
    <m/>
    <m/>
    <s v="Abdullah Khan"/>
    <n v="641.43000000001905"/>
    <n v="262.15000000000003"/>
    <m/>
  </r>
  <r>
    <n v="293"/>
    <x v="65"/>
    <x v="174"/>
    <s v=" -"/>
    <s v=" MOTOR"/>
    <d v="2024-12-29T00:00:00"/>
    <d v="2023-05-16T00:00:00"/>
    <d v="2024-05-15T00:00:00"/>
    <s v=" 08811317"/>
    <s v="Raja Imran Arif_x000a_CNIC No. 82102-7167702-9_x000a_Cell No. 0333-3622854"/>
    <m/>
    <s v="SUZUKI MEHRAN"/>
    <s v="LEC-18-2741"/>
    <s v="PKB721932"/>
    <s v="SB308PK01260435"/>
    <s v="2018"/>
    <m/>
    <m/>
    <s v=" D"/>
    <s v="09000221-Muhammad Irfan"/>
    <n v="-1"/>
    <n v="-1367"/>
    <n v="-14"/>
    <n v="0"/>
    <n v="0"/>
    <n v="-1381"/>
    <n v="0"/>
    <n v="0"/>
    <n v="-1381"/>
    <n v="0"/>
    <n v="-1381"/>
    <m/>
    <m/>
    <m/>
    <s v="Abdullah Khan"/>
    <m/>
    <m/>
    <m/>
  </r>
  <r>
    <n v="294"/>
    <x v="66"/>
    <x v="175"/>
    <s v=" -"/>
    <s v=" MOTOR"/>
    <d v="2024-03-24T00:00:00"/>
    <d v="2023-05-23T00:00:00"/>
    <d v="2024-05-22T00:00:00"/>
    <s v=" 08811344"/>
    <s v="Mr. Abdul Khalil _x000a_CNIC: 3710117193139_x000a_Cell :0333-5189323"/>
    <m/>
    <s v="KIA SPORTAGE FWD"/>
    <s v="ARE-863"/>
    <s v="G4NALH322516"/>
    <s v="NNAQL51AZKP504606"/>
    <s v="2020"/>
    <m/>
    <m/>
    <s v=" D"/>
    <s v="09000221-Muhammad Irfan"/>
    <n v="7000000"/>
    <n v="1044"/>
    <n v="11"/>
    <n v="136"/>
    <n v="0"/>
    <n v="1191"/>
    <n v="0"/>
    <n v="0"/>
    <n v="1191"/>
    <n v="0"/>
    <n v="1191"/>
    <m/>
    <m/>
    <m/>
    <s v="ASMA RIAZ"/>
    <n v="124.3"/>
    <n v="124.3"/>
    <m/>
  </r>
  <r>
    <n v="295"/>
    <x v="66"/>
    <x v="176"/>
    <s v=" -"/>
    <s v=" MOTOR"/>
    <d v="2024-04-23T00:00:00"/>
    <d v="2023-05-23T00:00:00"/>
    <d v="2024-05-22T00:00:00"/>
    <s v=" 08811344"/>
    <s v="Mr. Abdul Khalil _x000a_CNIC: 3710117193139_x000a_Cell :0333-5189323"/>
    <m/>
    <s v="KIA SPORTAGE FWD"/>
    <s v="ARE-863"/>
    <s v="G4NALH322516"/>
    <s v="NNAQL51AZKP504606"/>
    <s v="2020"/>
    <m/>
    <m/>
    <s v=" D"/>
    <s v="09000221-Muhammad Irfan"/>
    <n v="7000000"/>
    <n v="3699"/>
    <n v="37"/>
    <n v="480"/>
    <n v="0"/>
    <n v="4216"/>
    <n v="0"/>
    <n v="0"/>
    <n v="4216"/>
    <n v="0"/>
    <n v="4216"/>
    <m/>
    <m/>
    <m/>
    <s v="ASMA RIAZ"/>
    <n v="1273.8500000000181"/>
    <n v="439.29000000000008"/>
    <m/>
  </r>
  <r>
    <n v="296"/>
    <x v="66"/>
    <x v="177"/>
    <s v=" -"/>
    <s v=" MOTOR"/>
    <d v="2024-05-23T00:00:00"/>
    <d v="2023-05-23T00:00:00"/>
    <d v="2024-05-22T00:00:00"/>
    <s v=" 08811344"/>
    <s v="Mr. Abdul Khalil _x000a_CNIC: 3710117193139_x000a_Cell :0333-5189323"/>
    <m/>
    <s v="KIA SPORTAGE FWD"/>
    <s v="ARE-863"/>
    <s v="G4NALH322516"/>
    <s v="NNAQL51AZKP504606"/>
    <s v="2020"/>
    <m/>
    <m/>
    <s v=" D"/>
    <s v="09000221-Muhammad Irfan"/>
    <n v="7000000"/>
    <n v="1463"/>
    <n v="14"/>
    <n v="190"/>
    <n v="0"/>
    <n v="1667"/>
    <n v="0"/>
    <n v="0"/>
    <n v="1667"/>
    <n v="0"/>
    <n v="1667"/>
    <m/>
    <m/>
    <m/>
    <s v="ASMA RIAZ"/>
    <n v="173.9"/>
    <n v="173.9"/>
    <m/>
  </r>
  <r>
    <n v="297"/>
    <x v="66"/>
    <x v="178"/>
    <s v=" -"/>
    <s v=" MOTOR"/>
    <d v="2025-03-29T00:00:00"/>
    <d v="2023-05-23T00:00:00"/>
    <d v="2024-05-22T00:00:00"/>
    <s v=" 08811344"/>
    <s v="Mr. Abdul Khalil _x000a_CNIC: 3710117193139_x000a_Cell :0333-5189323"/>
    <m/>
    <s v="KIA SPORTAGE FWD"/>
    <s v="ARE-863"/>
    <s v="G4NALH322516"/>
    <s v="NNAQL51AZKP504606"/>
    <s v="2020"/>
    <m/>
    <m/>
    <s v=" D"/>
    <s v="09000221-Muhammad Irfan"/>
    <n v="-1"/>
    <n v="-7012"/>
    <n v="-62"/>
    <n v="0"/>
    <n v="0"/>
    <n v="-7074"/>
    <n v="0"/>
    <n v="0"/>
    <n v="-7074"/>
    <n v="0"/>
    <n v="-7074"/>
    <m/>
    <m/>
    <m/>
    <s v="ASMA RIAZ"/>
    <m/>
    <m/>
    <m/>
  </r>
  <r>
    <n v="298"/>
    <x v="67"/>
    <x v="24"/>
    <s v=" -"/>
    <s v=" MOTOR"/>
    <d v="2023-05-24T00:00:00"/>
    <d v="2023-05-22T00:00:00"/>
    <d v="2024-05-21T00:00:00"/>
    <s v=" 08811349"/>
    <s v="Zeeshan Ali Khan _x000a_CNIC No. 42201-7812645-3_x000a_Cell No. 0300-9220203"/>
    <m/>
    <s v="TOYOTA COROLLA"/>
    <s v="BDX-649"/>
    <s v="Z207650"/>
    <s v="NZE170R-4021656"/>
    <s v="2015"/>
    <m/>
    <m/>
    <s v=" D"/>
    <s v="09000221-Muhammad Irfan"/>
    <n v="-1"/>
    <n v="4343"/>
    <n v="43"/>
    <n v="564"/>
    <n v="50"/>
    <n v="5000"/>
    <n v="5002"/>
    <n v="0"/>
    <n v="-2"/>
    <n v="0"/>
    <n v="-2"/>
    <m/>
    <m/>
    <m/>
    <s v="ASMA RIAZ"/>
    <m/>
    <m/>
    <s v="shan_ali20@yahoo.com"/>
  </r>
  <r>
    <n v="299"/>
    <x v="67"/>
    <x v="179"/>
    <s v=" -"/>
    <s v=" MOTOR"/>
    <d v="2023-05-31T00:00:00"/>
    <d v="2023-05-22T00:00:00"/>
    <d v="2024-05-21T00:00:00"/>
    <s v=" 08811349"/>
    <s v="Zeeshan Ali Khan _x000a_CNIC No. 42201-7812645-3_x000a_Cell No. 0300-9220203"/>
    <m/>
    <s v="TOYOTA COROLLA"/>
    <s v="BDX-649"/>
    <s v="Z207650"/>
    <s v="NZE170R-4021656"/>
    <s v="2015"/>
    <m/>
    <m/>
    <s v=" D"/>
    <s v="09000221-Muhammad Irfan"/>
    <n v="3200000"/>
    <n v="51753"/>
    <n v="518"/>
    <n v="6729"/>
    <n v="0"/>
    <n v="59000"/>
    <n v="58998"/>
    <n v="0"/>
    <n v="2"/>
    <n v="0"/>
    <n v="2"/>
    <m/>
    <m/>
    <m/>
    <s v="ASMA RIAZ"/>
    <m/>
    <m/>
    <s v="shan_ali20@yahoo.com"/>
  </r>
  <r>
    <n v="300"/>
    <x v="68"/>
    <x v="180"/>
    <s v=" -"/>
    <s v=" MOTOR"/>
    <d v="2024-04-23T00:00:00"/>
    <d v="2023-05-23T00:00:00"/>
    <d v="2024-05-22T00:00:00"/>
    <s v=" 08805984"/>
    <s v="Mr. Usman Khalid_x000a_CNIC: 4220112519175_x000a_Phone Number: 0314 2578337"/>
    <m/>
    <s v="TOYOTA YARIS ATIV CVT"/>
    <s v="BWS-336"/>
    <s v="2A52169"/>
    <s v="R-7032887"/>
    <s v="2022"/>
    <m/>
    <m/>
    <s v=" D"/>
    <s v="09000221-Muhammad Irfan"/>
    <n v="5000000"/>
    <n v="582"/>
    <n v="5"/>
    <n v="75"/>
    <n v="0"/>
    <n v="662"/>
    <n v="0"/>
    <n v="0"/>
    <n v="662"/>
    <n v="0"/>
    <n v="662"/>
    <m/>
    <m/>
    <m/>
    <s v="ASMA RIAZ"/>
    <n v="132.06"/>
    <n v="120.72"/>
    <m/>
  </r>
  <r>
    <n v="301"/>
    <x v="68"/>
    <x v="181"/>
    <s v=" -"/>
    <s v=" MOTOR"/>
    <d v="2024-05-23T00:00:00"/>
    <d v="2023-05-23T00:00:00"/>
    <d v="2024-05-22T00:00:00"/>
    <s v=" 08805984"/>
    <s v="Mr. Usman Khalid_x000a_CNIC: 4220112519175_x000a_Phone Number: 0314 2578337"/>
    <m/>
    <s v="TOYOTA YARIS ATIV CVT"/>
    <s v="BWS-336"/>
    <s v="2A52169"/>
    <s v="R-7032887"/>
    <s v="2022"/>
    <m/>
    <m/>
    <s v=" D"/>
    <s v="09000221-Muhammad Irfan"/>
    <n v="5000000"/>
    <n v="227"/>
    <n v="2"/>
    <n v="29"/>
    <n v="0"/>
    <n v="258"/>
    <n v="0"/>
    <n v="0"/>
    <n v="258"/>
    <n v="0"/>
    <n v="258"/>
    <m/>
    <m/>
    <m/>
    <s v="ASMA RIAZ"/>
    <n v="47.24"/>
    <n v="47.24"/>
    <m/>
  </r>
  <r>
    <n v="302"/>
    <x v="68"/>
    <x v="182"/>
    <s v=" -"/>
    <s v=" MOTOR"/>
    <d v="2024-12-29T00:00:00"/>
    <d v="2023-05-23T00:00:00"/>
    <d v="2024-05-22T00:00:00"/>
    <s v=" 08805984"/>
    <s v="Mr. Usman Khalid_x000a_CNIC: 4220112519175_x000a_Phone Number: 0314 2578337"/>
    <m/>
    <s v="TOYOTA YARIS ATIV CVT"/>
    <s v="BWS-336"/>
    <s v="2A52169"/>
    <s v="R-7032887"/>
    <s v="2022"/>
    <m/>
    <m/>
    <s v=" D"/>
    <s v="09000221-Muhammad Irfan"/>
    <n v="-1"/>
    <n v="-911"/>
    <n v="-9"/>
    <n v="0"/>
    <n v="0"/>
    <n v="-920"/>
    <n v="0"/>
    <n v="0"/>
    <n v="-920"/>
    <n v="0"/>
    <n v="-920"/>
    <m/>
    <m/>
    <m/>
    <s v="ASMA RIAZ"/>
    <m/>
    <m/>
    <m/>
  </r>
  <r>
    <n v="305"/>
    <x v="69"/>
    <x v="183"/>
    <s v=" -"/>
    <s v=" MOTOR"/>
    <d v="2023-05-31T00:00:00"/>
    <d v="2023-05-29T00:00:00"/>
    <d v="2024-05-28T00:00:00"/>
    <s v=" 08005042"/>
    <s v="Mr. Shahzad Sher Ali_x000a_Cell No. 0334-3344678"/>
    <m/>
    <s v="SUZUKI SWIFT DLX EURO II"/>
    <s v="BTM-425"/>
    <s v="PKS13050477"/>
    <s v="RS413PK10050493"/>
    <s v="2021"/>
    <m/>
    <m/>
    <s v=" D"/>
    <s v="09000221-Muhammad Irfan"/>
    <n v="2200000"/>
    <n v="34166"/>
    <n v="342"/>
    <n v="4442"/>
    <n v="50"/>
    <n v="39000"/>
    <n v="0"/>
    <n v="0"/>
    <n v="39000"/>
    <n v="0"/>
    <n v="39000"/>
    <m/>
    <m/>
    <m/>
    <s v="Direct Client"/>
    <m/>
    <m/>
    <m/>
  </r>
  <r>
    <n v="306"/>
    <x v="69"/>
    <x v="184"/>
    <s v=" -"/>
    <s v=" MOTOR"/>
    <d v="2023-07-05T00:00:00"/>
    <d v="2023-05-29T00:00:00"/>
    <d v="2024-05-28T00:00:00"/>
    <s v=" 08005042"/>
    <s v="Mr. Shahzad Sher Ali_x000a_Cell No. 0334-3344678"/>
    <m/>
    <s v="SUZUKI SWIFT DLX EURO II"/>
    <s v="BTM-425"/>
    <s v="PKS13050477"/>
    <s v="RS413PK10050493"/>
    <s v="2021"/>
    <m/>
    <m/>
    <s v=" D"/>
    <s v="09000221-Muhammad Irfan"/>
    <n v="2200000"/>
    <n v="1752"/>
    <n v="17"/>
    <n v="228"/>
    <n v="0"/>
    <n v="1997"/>
    <n v="0"/>
    <n v="0"/>
    <n v="1997"/>
    <n v="0"/>
    <n v="1997"/>
    <m/>
    <m/>
    <m/>
    <s v="Direct Client"/>
    <n v="727.53332023758401"/>
    <n v="662.46609762068499"/>
    <m/>
  </r>
  <r>
    <n v="307"/>
    <x v="69"/>
    <x v="185"/>
    <s v=" -"/>
    <s v=" MOTOR"/>
    <d v="2023-07-29T00:00:00"/>
    <d v="2023-05-29T00:00:00"/>
    <d v="2024-05-28T00:00:00"/>
    <s v=" 08005042"/>
    <s v="Mr. Shahzad Sher Ali_x000a_Cell No. 0334-3344678"/>
    <m/>
    <s v="SUZUKI SWIFT DLX EURO II"/>
    <s v="BTM-425"/>
    <s v="PKS13050477"/>
    <s v="RS413PK10050493"/>
    <s v="2021"/>
    <m/>
    <m/>
    <s v=" D"/>
    <s v="09000221-Muhammad Irfan"/>
    <n v="2200000"/>
    <n v="1980"/>
    <n v="20"/>
    <n v="257"/>
    <n v="0"/>
    <n v="2257"/>
    <n v="0"/>
    <n v="0"/>
    <n v="2257"/>
    <n v="0"/>
    <n v="2257"/>
    <m/>
    <m/>
    <m/>
    <s v="Direct Client"/>
    <n v="779.19000000000096"/>
    <n v="748.64000000000101"/>
    <m/>
  </r>
  <r>
    <n v="308"/>
    <x v="69"/>
    <x v="186"/>
    <s v=" -"/>
    <s v=" MOTOR"/>
    <d v="2023-12-29T00:00:00"/>
    <d v="2023-05-29T00:00:00"/>
    <d v="2024-05-28T00:00:00"/>
    <s v=" 08005042"/>
    <s v="Mr. Shahzad Sher Ali_x000a_Cell No. 0334-3344678"/>
    <m/>
    <s v="SUZUKI SWIFT DLX EURO II"/>
    <s v="BTM-425"/>
    <s v="PKS13050477"/>
    <s v="RS413PK10050493"/>
    <s v="2021"/>
    <m/>
    <m/>
    <s v=" D"/>
    <s v="09000221-Muhammad Irfan"/>
    <n v="2200000"/>
    <n v="-29824"/>
    <n v="-298"/>
    <n v="-3878"/>
    <n v="0"/>
    <n v="-34000"/>
    <n v="0"/>
    <n v="0"/>
    <n v="-34000"/>
    <n v="0"/>
    <n v="-34000"/>
    <m/>
    <m/>
    <m/>
    <s v="Direct Client"/>
    <m/>
    <m/>
    <m/>
  </r>
  <r>
    <n v="309"/>
    <x v="69"/>
    <x v="187"/>
    <s v=" -"/>
    <s v=" MOTOR"/>
    <d v="2024-12-29T00:00:00"/>
    <d v="2023-05-29T00:00:00"/>
    <d v="2024-05-28T00:00:00"/>
    <s v=" 08005042"/>
    <s v="Mr. Shahzad Sher Ali_x000a_Cell No. 0334-3344678"/>
    <m/>
    <s v="SUZUKI SWIFT DLX EURO II"/>
    <s v="BTM-425"/>
    <s v="PKS13050477"/>
    <s v="RS413PK10050493"/>
    <s v="2021"/>
    <m/>
    <m/>
    <s v=" D"/>
    <s v="09000221-Muhammad Irfan"/>
    <n v="-1"/>
    <n v="-9162"/>
    <n v="-92"/>
    <n v="0"/>
    <n v="0"/>
    <n v="-9254"/>
    <n v="0"/>
    <n v="0"/>
    <n v="-9254"/>
    <n v="0"/>
    <n v="-9254"/>
    <m/>
    <m/>
    <m/>
    <s v="Direct Client"/>
    <m/>
    <m/>
    <m/>
  </r>
  <r>
    <n v="310"/>
    <x v="70"/>
    <x v="24"/>
    <s v=" -"/>
    <s v=" MOTOR"/>
    <d v="2023-05-30T00:00:00"/>
    <d v="2023-05-25T00:00:00"/>
    <d v="2024-05-24T00:00:00"/>
    <s v=" 08811434"/>
    <s v="Mr. Rooman Khan_x000a_CNIC: 42301-3221985-3_x000a_Cell: 03149714471"/>
    <m/>
    <s v="SUZUKI ALTO"/>
    <s v="BWQ-584"/>
    <s v="6R229146"/>
    <s v="NF1AET306H1129109"/>
    <s v="2022"/>
    <m/>
    <m/>
    <s v=" D"/>
    <s v="09000221-Muhammad Irfan"/>
    <n v="2300000"/>
    <n v="4343"/>
    <n v="43"/>
    <n v="564"/>
    <n v="50"/>
    <n v="5000"/>
    <n v="5001"/>
    <n v="0"/>
    <n v="-1"/>
    <n v="0"/>
    <n v="-1"/>
    <m/>
    <m/>
    <m/>
    <s v="Syed Waqas"/>
    <m/>
    <m/>
    <s v="rooman.khattak@yahoo.com"/>
  </r>
  <r>
    <n v="311"/>
    <x v="70"/>
    <x v="188"/>
    <s v=" -"/>
    <s v=" MOTOR"/>
    <d v="2023-12-27T00:00:00"/>
    <d v="2023-05-25T00:00:00"/>
    <d v="2024-05-24T00:00:00"/>
    <s v=" 08811434"/>
    <s v="Mr. Rooman Khan_x000a_CNIC: 42301-3221985-3_x000a_Cell: 03149714471"/>
    <m/>
    <s v="SUZUKI ALTO"/>
    <s v="BWQ-584"/>
    <s v="6R229146"/>
    <s v="NF1AET306H1129109"/>
    <s v="2022"/>
    <m/>
    <m/>
    <s v=" D"/>
    <s v="09000221-Muhammad Irfan"/>
    <n v="2300000"/>
    <n v="2307"/>
    <n v="23"/>
    <n v="300"/>
    <n v="0"/>
    <n v="2630"/>
    <n v="2629"/>
    <n v="0"/>
    <n v="1"/>
    <n v="0"/>
    <n v="1"/>
    <m/>
    <m/>
    <m/>
    <s v="Syed Waqas"/>
    <n v="894.15000000000111"/>
    <n v="834.07"/>
    <m/>
  </r>
  <r>
    <n v="312"/>
    <x v="71"/>
    <x v="189"/>
    <s v=" -"/>
    <s v=" MOTOR"/>
    <d v="2024-04-30T00:00:00"/>
    <d v="2023-05-30T00:00:00"/>
    <d v="2024-05-29T00:00:00"/>
    <s v=" 08811458"/>
    <s v="Mr. Muhammad Ali_x000a_CNIC: 42301-8673200-5_x000a_Phone Number: 03212437881"/>
    <m/>
    <s v="SUZUKI ALTO"/>
    <s v="BQP-906"/>
    <s v="6R104109"/>
    <s v="NF1AET306H1004076"/>
    <s v="2019"/>
    <m/>
    <m/>
    <s v=" D"/>
    <s v="09000221-Muhammad Irfan"/>
    <n v="2000000"/>
    <n v="1972"/>
    <n v="20"/>
    <n v="257"/>
    <n v="0"/>
    <n v="2249"/>
    <n v="0"/>
    <n v="0"/>
    <n v="2249"/>
    <n v="0"/>
    <n v="2249"/>
    <m/>
    <m/>
    <m/>
    <s v="Syed Waqas"/>
    <n v="862.95000000000107"/>
    <n v="821.15000000000009"/>
    <m/>
  </r>
  <r>
    <n v="313"/>
    <x v="71"/>
    <x v="190"/>
    <s v=" -"/>
    <s v=" MOTOR"/>
    <d v="2024-10-31T00:00:00"/>
    <d v="2023-05-30T00:00:00"/>
    <d v="2024-05-29T00:00:00"/>
    <s v=" 08811458"/>
    <s v="Mr. Muhammad Ali_x000a_CNIC: 42301-8673200-5_x000a_Phone Number: 03212437881"/>
    <m/>
    <s v="SUZUKI ALTO"/>
    <s v="BQP-906"/>
    <s v="6R104109"/>
    <s v="NF1AET306H1004076"/>
    <s v="2019"/>
    <m/>
    <m/>
    <s v=" D"/>
    <s v="09000221-Muhammad Irfan"/>
    <n v="-1"/>
    <n v="-2227"/>
    <n v="-22"/>
    <n v="0"/>
    <n v="0"/>
    <n v="-2249"/>
    <n v="0"/>
    <n v="0"/>
    <n v="-2249"/>
    <n v="0"/>
    <n v="-2249"/>
    <m/>
    <m/>
    <m/>
    <s v="Syed Waqas"/>
    <m/>
    <m/>
    <m/>
  </r>
  <r>
    <n v="314"/>
    <x v="72"/>
    <x v="191"/>
    <s v=" -"/>
    <s v=" MOTOR"/>
    <d v="2024-04-27T00:00:00"/>
    <d v="2023-05-26T00:00:00"/>
    <d v="2024-05-25T00:00:00"/>
    <s v=" 08811438"/>
    <s v="Mr. Shahrukh Shayan Sarfaraz _x000a_CNIC: 4210185088989_x000a_Cell: 0345-3827232"/>
    <m/>
    <s v="SUZUKI ALTO"/>
    <s v="BTS-162"/>
    <s v="6R167618"/>
    <s v="NF1AET306H1067525"/>
    <s v="2021"/>
    <m/>
    <m/>
    <s v=" D"/>
    <s v="09000221-Muhammad Irfan"/>
    <n v="1950000"/>
    <n v="2560"/>
    <n v="26"/>
    <n v="332"/>
    <n v="0"/>
    <n v="2918"/>
    <n v="0"/>
    <n v="0"/>
    <n v="2918"/>
    <n v="0"/>
    <n v="2918"/>
    <m/>
    <m/>
    <m/>
    <s v="ASMA RIAZ"/>
    <n v="3627.8299999999103"/>
    <n v="1092.7699999999991"/>
    <m/>
  </r>
  <r>
    <n v="315"/>
    <x v="72"/>
    <x v="192"/>
    <s v=" -"/>
    <s v=" MOTOR"/>
    <d v="2024-10-31T00:00:00"/>
    <d v="2023-05-26T00:00:00"/>
    <d v="2024-05-25T00:00:00"/>
    <s v=" 08811438"/>
    <s v="Mr. Shahrukh Shayan Sarfaraz _x000a_CNIC: 4210185088989_x000a_Cell: 0345-3827232"/>
    <m/>
    <s v="SUZUKI ALTO"/>
    <s v="BTS-162"/>
    <s v="6R167618"/>
    <s v="NF1AET306H1067525"/>
    <s v="2021"/>
    <m/>
    <m/>
    <s v=" D"/>
    <s v="09000221-Muhammad Irfan"/>
    <n v="-1"/>
    <n v="-2889"/>
    <n v="-29"/>
    <n v="0"/>
    <n v="0"/>
    <n v="-2918"/>
    <n v="0"/>
    <n v="0"/>
    <n v="-2918"/>
    <n v="0"/>
    <n v="-2918"/>
    <m/>
    <m/>
    <m/>
    <s v="ASMA RIAZ"/>
    <m/>
    <m/>
    <m/>
  </r>
  <r>
    <n v="316"/>
    <x v="73"/>
    <x v="193"/>
    <s v=" -"/>
    <s v=" MOTOR"/>
    <d v="2024-04-30T00:00:00"/>
    <d v="2023-05-30T00:00:00"/>
    <d v="2024-05-29T00:00:00"/>
    <s v=" 08804736"/>
    <s v="Aeysha Azfar _x000a_CNIC No. 35202-6026604-2_x000a_Cell No. 0307-4411881"/>
    <m/>
    <s v="HYUNDAI TUCSON"/>
    <s v="AHH-249"/>
    <s v="G4NAMU166161"/>
    <s v="PMHJ2813MNN205572"/>
    <s v="2022"/>
    <m/>
    <m/>
    <s v=" D"/>
    <s v="09000221-Muhammad Irfan"/>
    <n v="7000000"/>
    <n v="3680"/>
    <n v="36"/>
    <n v="478"/>
    <n v="0"/>
    <n v="4194"/>
    <n v="0"/>
    <n v="0"/>
    <n v="4194"/>
    <n v="0"/>
    <n v="4194"/>
    <m/>
    <m/>
    <m/>
    <s v="Syed Waqas"/>
    <n v="575.8599999999991"/>
    <n v="437.15"/>
    <m/>
  </r>
  <r>
    <n v="317"/>
    <x v="73"/>
    <x v="194"/>
    <s v=" -"/>
    <s v=" MOTOR"/>
    <d v="2024-10-31T00:00:00"/>
    <d v="2023-05-30T00:00:00"/>
    <d v="2024-05-29T00:00:00"/>
    <s v=" 08804736"/>
    <s v="Aeysha Azfar _x000a_CNIC No. 35202-6026604-2_x000a_Cell No. 0307-4411881"/>
    <m/>
    <s v="HYUNDAI TUCSON"/>
    <s v="AHH-249"/>
    <s v="G4NAMU166161"/>
    <s v="PMHJ2813MNN205572"/>
    <s v="2022"/>
    <m/>
    <m/>
    <s v=" D"/>
    <s v="09000221-Muhammad Irfan"/>
    <n v="-1"/>
    <n v="-4152"/>
    <n v="-42"/>
    <n v="0"/>
    <n v="0"/>
    <n v="-4194"/>
    <n v="0"/>
    <n v="0"/>
    <n v="-4194"/>
    <n v="0"/>
    <n v="-4194"/>
    <m/>
    <m/>
    <m/>
    <s v="Syed Waqas"/>
    <m/>
    <m/>
    <m/>
  </r>
  <r>
    <n v="318"/>
    <x v="74"/>
    <x v="195"/>
    <s v=" -"/>
    <s v=" MOTOR"/>
    <d v="2024-04-02T00:00:00"/>
    <d v="2023-05-31T00:00:00"/>
    <d v="2024-05-30T00:00:00"/>
    <s v=" 08811479"/>
    <s v="Mohammad Zohaib Khalid _x000a_CNIC No. 42301-1967868-5_x000a_Cell No. 0331-2281418"/>
    <m/>
    <s v="HYUNDAI TUCSON"/>
    <s v="BJ-2620"/>
    <s v="G4NALU078716"/>
    <s v="PMHJ2813MMN202301"/>
    <s v="2021"/>
    <m/>
    <m/>
    <s v=" D"/>
    <s v="09000221-Muhammad Irfan"/>
    <n v="8000000"/>
    <n v="4302"/>
    <n v="43"/>
    <n v="560"/>
    <n v="0"/>
    <n v="4905"/>
    <n v="0"/>
    <n v="0"/>
    <n v="4905"/>
    <n v="0"/>
    <n v="4905"/>
    <m/>
    <m/>
    <m/>
    <s v="Syed Waqas"/>
    <n v="459.8300000000001"/>
    <n v="447.55"/>
    <m/>
  </r>
  <r>
    <n v="319"/>
    <x v="74"/>
    <x v="196"/>
    <s v=" -"/>
    <s v=" MOTOR"/>
    <d v="2024-04-30T00:00:00"/>
    <d v="2023-05-31T00:00:00"/>
    <d v="2024-05-30T00:00:00"/>
    <s v=" 08811479"/>
    <s v="Mohammad Zohaib Khalid _x000a_CNIC No. 42301-1967868-5_x000a_Cell No. 0331-2281418"/>
    <m/>
    <s v="HYUNDAI TUCSON"/>
    <s v="BJ-2620"/>
    <s v="G4NALU078716"/>
    <s v="PMHJ2813MMN202301"/>
    <s v="2021"/>
    <m/>
    <m/>
    <s v=" D"/>
    <s v="09000221-Muhammad Irfan"/>
    <n v="8000000"/>
    <n v="5053"/>
    <n v="51"/>
    <n v="656"/>
    <n v="0"/>
    <n v="5760"/>
    <n v="0"/>
    <n v="0"/>
    <n v="5760"/>
    <n v="0"/>
    <n v="5760"/>
    <m/>
    <m/>
    <m/>
    <s v="Syed Waqas"/>
    <n v="525.780000000001"/>
    <n v="525.520000000001"/>
    <m/>
  </r>
  <r>
    <n v="320"/>
    <x v="74"/>
    <x v="197"/>
    <s v=" -"/>
    <s v=" MOTOR"/>
    <d v="2024-05-31T00:00:00"/>
    <d v="2023-05-31T00:00:00"/>
    <d v="2024-05-30T00:00:00"/>
    <s v=" 08811479"/>
    <s v="Mohammad Zohaib Khalid _x000a_CNIC No. 42301-1967868-5_x000a_Cell No. 0331-2281418"/>
    <m/>
    <s v="HYUNDAI TUCSON"/>
    <s v="BJ-2620"/>
    <s v="G4NALU078716"/>
    <s v="PMHJ2813MMN202301"/>
    <s v="2021"/>
    <m/>
    <m/>
    <s v=" D"/>
    <s v="09000221-Muhammad Irfan"/>
    <n v="8000000"/>
    <n v="4032"/>
    <n v="41"/>
    <n v="524"/>
    <n v="0"/>
    <n v="4597"/>
    <n v="0"/>
    <n v="0"/>
    <n v="4597"/>
    <n v="0"/>
    <n v="4597"/>
    <m/>
    <m/>
    <m/>
    <s v="Syed Waqas"/>
    <n v="437.61000000000007"/>
    <n v="419.72"/>
    <m/>
  </r>
  <r>
    <n v="321"/>
    <x v="74"/>
    <x v="198"/>
    <s v=" -"/>
    <s v=" MOTOR"/>
    <d v="2025-03-29T00:00:00"/>
    <d v="2023-05-31T00:00:00"/>
    <d v="2024-05-30T00:00:00"/>
    <s v=" 08811479"/>
    <s v="Mohammad Zohaib Khalid _x000a_CNIC No. 42301-1967868-5_x000a_Cell No. 0331-2281418"/>
    <m/>
    <s v="HYUNDAI TUCSON"/>
    <s v="BJ-2620"/>
    <s v="G4NALU078716"/>
    <s v="PMHJ2813MMN202301"/>
    <s v="2021"/>
    <m/>
    <m/>
    <s v=" D"/>
    <s v="09000221-Muhammad Irfan"/>
    <n v="-1"/>
    <n v="-15128"/>
    <n v="-134"/>
    <n v="0"/>
    <n v="0"/>
    <n v="-15262"/>
    <n v="0"/>
    <n v="0"/>
    <n v="-15262"/>
    <n v="0"/>
    <n v="-15262"/>
    <m/>
    <m/>
    <m/>
    <s v="Syed Waqas"/>
    <m/>
    <m/>
    <m/>
  </r>
  <r>
    <n v="322"/>
    <x v="75"/>
    <x v="199"/>
    <s v=" -"/>
    <s v=" MOTOR"/>
    <d v="2024-04-02T00:00:00"/>
    <d v="2023-05-31T00:00:00"/>
    <d v="2024-05-30T00:00:00"/>
    <s v=" 08811493"/>
    <s v="Mr. Muhammad Usama_x000a_CNIC: 34101-4954824-3_x000a_Phone Number: 0321-9141234"/>
    <m/>
    <s v="TOYOTA FORTUNER"/>
    <s v="BL-4536"/>
    <s v="1GD5064101"/>
    <s v="GUN156R-1096222"/>
    <s v="2023"/>
    <m/>
    <m/>
    <s v=" D"/>
    <s v="09000221-Muhammad Irfan"/>
    <n v="16000000"/>
    <n v="15647"/>
    <n v="156"/>
    <n v="2034"/>
    <n v="0"/>
    <n v="17837"/>
    <n v="0"/>
    <n v="0"/>
    <n v="17837"/>
    <n v="0"/>
    <n v="17837"/>
    <m/>
    <m/>
    <m/>
    <s v="MATEEN QURESHI"/>
    <n v="907.45000000000107"/>
    <n v="813.84"/>
    <m/>
  </r>
  <r>
    <n v="323"/>
    <x v="75"/>
    <x v="200"/>
    <s v=" -"/>
    <s v=" MOTOR"/>
    <d v="2024-04-02T00:00:00"/>
    <d v="2023-05-31T00:00:00"/>
    <d v="2024-05-30T00:00:00"/>
    <s v=" 08811493"/>
    <s v="Mr. Muhammad Usama_x000a_CNIC: 34101-4954824-3_x000a_Phone Number: 0321-9141234"/>
    <m/>
    <s v="TOYOTA FORTUNER"/>
    <s v="BL-4536"/>
    <s v="1GD5064101"/>
    <s v="GUN156R-1096222"/>
    <s v="2023"/>
    <m/>
    <m/>
    <s v=" D"/>
    <s v="09000221-Muhammad Irfan"/>
    <n v="16000000"/>
    <n v="21606"/>
    <n v="217"/>
    <n v="2810"/>
    <n v="0"/>
    <n v="24633"/>
    <n v="0"/>
    <n v="0"/>
    <n v="24633"/>
    <n v="0"/>
    <n v="24633"/>
    <m/>
    <m/>
    <m/>
    <s v="MATEEN QURESHI"/>
    <n v="2996.8400000000493"/>
    <n v="1124.2099999999991"/>
    <m/>
  </r>
  <r>
    <n v="324"/>
    <x v="75"/>
    <x v="201"/>
    <s v=" -"/>
    <s v=" MOTOR"/>
    <d v="2024-04-30T00:00:00"/>
    <d v="2023-05-31T00:00:00"/>
    <d v="2024-05-30T00:00:00"/>
    <s v=" 08811493"/>
    <s v="Mr. Muhammad Usama_x000a_CNIC: 34101-4954824-3_x000a_Phone Number: 0321-9141234"/>
    <m/>
    <s v="TOYOTA FORTUNER"/>
    <s v="BL-4536"/>
    <s v="1GD5064101"/>
    <s v="GUN156R-1096222"/>
    <s v="2023"/>
    <m/>
    <m/>
    <s v=" D"/>
    <s v="09000221-Muhammad Irfan"/>
    <n v="16000000"/>
    <n v="25042"/>
    <n v="250"/>
    <n v="3255"/>
    <n v="0"/>
    <n v="28547"/>
    <n v="0"/>
    <n v="0"/>
    <n v="28547"/>
    <n v="0"/>
    <n v="28547"/>
    <m/>
    <m/>
    <m/>
    <s v="MATEEN QURESHI"/>
    <n v="2692.0300000000148"/>
    <n v="1302.8300000000002"/>
    <m/>
  </r>
  <r>
    <n v="325"/>
    <x v="75"/>
    <x v="202"/>
    <s v=" -"/>
    <s v=" MOTOR"/>
    <d v="2024-05-31T00:00:00"/>
    <d v="2023-05-31T00:00:00"/>
    <d v="2024-05-30T00:00:00"/>
    <s v=" 08811493"/>
    <s v="Mr. Muhammad Usama_x000a_CNIC: 34101-4954824-3_x000a_Phone Number: 0321-9141234"/>
    <m/>
    <s v="TOYOTA FORTUNER"/>
    <s v="BL-4536"/>
    <s v="1GD5064101"/>
    <s v="GUN156R-1096222"/>
    <s v="2023"/>
    <m/>
    <m/>
    <s v=" D"/>
    <s v="09000221-Muhammad Irfan"/>
    <n v="16000000"/>
    <n v="15012"/>
    <n v="150"/>
    <n v="1951"/>
    <n v="0"/>
    <n v="17113"/>
    <n v="0"/>
    <n v="0"/>
    <n v="17113"/>
    <n v="0"/>
    <n v="17113"/>
    <m/>
    <m/>
    <m/>
    <s v="MATEEN QURESHI"/>
    <n v="2430.3200000000661"/>
    <n v="781.02"/>
    <m/>
  </r>
  <r>
    <n v="326"/>
    <x v="75"/>
    <x v="203"/>
    <s v=" -"/>
    <s v=" MOTOR"/>
    <d v="2024-10-31T00:00:00"/>
    <d v="2023-05-31T00:00:00"/>
    <d v="2024-05-30T00:00:00"/>
    <s v=" 08811493"/>
    <s v="Mr. Muhammad Usama_x000a_CNIC: 34101-4954824-3_x000a_Phone Number: 0321-9141234"/>
    <m/>
    <s v="TOYOTA FORTUNER"/>
    <s v="BL-4536"/>
    <s v="1GD5064101"/>
    <s v="GUN156R-1096222"/>
    <s v="2023"/>
    <m/>
    <m/>
    <s v=" D"/>
    <s v="09000221-Muhammad Irfan"/>
    <n v="-1"/>
    <n v="-87257"/>
    <n v="-873"/>
    <n v="0"/>
    <n v="0"/>
    <n v="-88130"/>
    <n v="0"/>
    <n v="0"/>
    <n v="-88130"/>
    <n v="0"/>
    <n v="-88130"/>
    <m/>
    <m/>
    <m/>
    <s v="MATEEN QURESHI"/>
    <m/>
    <m/>
    <m/>
  </r>
  <r>
    <n v="327"/>
    <x v="76"/>
    <x v="204"/>
    <s v=" -"/>
    <s v=" MOTOR"/>
    <d v="2024-04-30T00:00:00"/>
    <d v="2023-05-30T00:00:00"/>
    <d v="2024-05-29T00:00:00"/>
    <s v=" 08811500"/>
    <s v="FAISAL SHAHZAD_x000a_CNIC: 42201-1480640-7_x000a_Phone Number: 0336-2361382"/>
    <m/>
    <s v="SUZUKI ALTO VXL"/>
    <s v="BWS-848"/>
    <s v="6R233004"/>
    <s v="NF1AET306H1133309"/>
    <s v="2022"/>
    <m/>
    <m/>
    <s v=" D"/>
    <s v="09000221-Muhammad Irfan"/>
    <n v="2200000"/>
    <n v="2662"/>
    <n v="27"/>
    <n v="346"/>
    <n v="0"/>
    <n v="3035"/>
    <n v="0"/>
    <n v="0"/>
    <n v="3035"/>
    <n v="0"/>
    <n v="3035"/>
    <m/>
    <m/>
    <m/>
    <s v="MATEEN QURESHI"/>
    <n v="1795.750000000003"/>
    <n v="1005.5400000000002"/>
    <m/>
  </r>
  <r>
    <n v="328"/>
    <x v="76"/>
    <x v="205"/>
    <s v=" -"/>
    <s v=" MOTOR"/>
    <d v="2024-10-31T00:00:00"/>
    <d v="2023-05-30T00:00:00"/>
    <d v="2024-05-29T00:00:00"/>
    <s v=" 08811500"/>
    <s v="FAISAL SHAHZAD_x000a_CNIC: 42201-1480640-7_x000a_Phone Number: 0336-2361382"/>
    <m/>
    <s v="SUZUKI ALTO VXL"/>
    <s v="BWS-848"/>
    <s v="6R233004"/>
    <s v="NF1AET306H1133309"/>
    <s v="2022"/>
    <m/>
    <m/>
    <s v=" D"/>
    <s v="09000221-Muhammad Irfan"/>
    <n v="-1"/>
    <n v="-3005"/>
    <n v="-30"/>
    <n v="0"/>
    <n v="0"/>
    <n v="-3035"/>
    <n v="0"/>
    <n v="0"/>
    <n v="-3035"/>
    <n v="0"/>
    <n v="-3035"/>
    <m/>
    <m/>
    <m/>
    <s v="MATEEN QURESHI"/>
    <m/>
    <m/>
    <m/>
  </r>
  <r>
    <n v="329"/>
    <x v="77"/>
    <x v="206"/>
    <s v=" -"/>
    <s v=" MOTOR"/>
    <d v="2024-06-03T00:00:00"/>
    <d v="2023-06-01T00:00:00"/>
    <d v="2024-05-31T00:00:00"/>
    <s v=" 08811509"/>
    <s v="Muhammad Amir_x000a_CNIC: 41307-2203522-7_x000a_Phone Number: 0300-3002031"/>
    <m/>
    <s v="SUZUKI ALTO VXR"/>
    <s v="BUQ-018"/>
    <s v="6R184603"/>
    <s v="NF1AET306H1084618"/>
    <s v="2021"/>
    <m/>
    <m/>
    <s v=" D"/>
    <s v="09000221-Muhammad Irfan"/>
    <n v="2000000"/>
    <n v="1612"/>
    <n v="16"/>
    <n v="209"/>
    <n v="0"/>
    <n v="1837"/>
    <n v="0"/>
    <n v="0"/>
    <n v="1837"/>
    <n v="0"/>
    <n v="1837"/>
    <m/>
    <m/>
    <m/>
    <s v="Syed Waqas"/>
    <n v="1712.8300000000202"/>
    <n v="672.25"/>
    <m/>
  </r>
  <r>
    <n v="330"/>
    <x v="77"/>
    <x v="207"/>
    <s v=" -"/>
    <s v=" MOTOR"/>
    <d v="2024-12-29T00:00:00"/>
    <d v="2023-06-01T00:00:00"/>
    <d v="2024-05-31T00:00:00"/>
    <s v=" 08811509"/>
    <s v="Muhammad Amir_x000a_CNIC: 41307-2203522-7_x000a_Phone Number: 0300-3002031"/>
    <m/>
    <s v="SUZUKI ALTO VXR"/>
    <s v="BUQ-018"/>
    <s v="6R184603"/>
    <s v="NF1AET306H1084618"/>
    <s v="2021"/>
    <m/>
    <m/>
    <s v=" D"/>
    <s v="09000221-Muhammad Irfan"/>
    <n v="-1"/>
    <n v="-1819"/>
    <n v="-18"/>
    <n v="0"/>
    <n v="0"/>
    <n v="-1837"/>
    <n v="0"/>
    <n v="0"/>
    <n v="-1837"/>
    <n v="0"/>
    <n v="-1837"/>
    <m/>
    <m/>
    <m/>
    <s v="Syed Waqas"/>
    <m/>
    <m/>
    <m/>
  </r>
  <r>
    <n v="334"/>
    <x v="78"/>
    <x v="208"/>
    <s v=" -"/>
    <s v=" MOTOR"/>
    <d v="2024-06-03T00:00:00"/>
    <d v="2023-06-01T00:00:00"/>
    <d v="2024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2200000"/>
    <n v="3698"/>
    <n v="37"/>
    <n v="481"/>
    <n v="0"/>
    <n v="4216"/>
    <n v="0"/>
    <n v="0"/>
    <n v="4216"/>
    <n v="0"/>
    <n v="4216"/>
    <m/>
    <m/>
    <m/>
    <s v="MATEEN QURESHI"/>
    <n v="7544.6800000000176"/>
    <n v="1395"/>
    <m/>
  </r>
  <r>
    <n v="335"/>
    <x v="78"/>
    <x v="209"/>
    <s v=" -"/>
    <s v=" MOTOR"/>
    <d v="2024-12-29T00:00:00"/>
    <d v="2023-06-01T00:00:00"/>
    <d v="2024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-1"/>
    <n v="-4174"/>
    <n v="-42"/>
    <n v="0"/>
    <n v="0"/>
    <n v="-4216"/>
    <n v="0"/>
    <n v="0"/>
    <n v="-4216"/>
    <n v="0"/>
    <n v="-4216"/>
    <m/>
    <m/>
    <m/>
    <s v="MATEEN QURESHI"/>
    <m/>
    <m/>
    <m/>
  </r>
  <r>
    <n v="336"/>
    <x v="79"/>
    <x v="210"/>
    <s v=" -"/>
    <s v=" MOTOR"/>
    <d v="2024-02-07T00:00:00"/>
    <d v="2023-06-06T00:00:00"/>
    <d v="2024-06-05T00:00:00"/>
    <s v=" 08806346"/>
    <s v="Syed Saad Hussain_x000a_CNIC# 42201-0331689-9_x000a_CELL# 0300-2170508"/>
    <m/>
    <s v="SUZUKI SWIFT GL M/T"/>
    <s v="BFU-662"/>
    <s v="PKS13032072"/>
    <s v="RS413PK10032081"/>
    <s v="2016"/>
    <m/>
    <m/>
    <s v=" D"/>
    <s v="09000221-Muhammad Irfan"/>
    <n v="1750000"/>
    <n v="47"/>
    <n v="0"/>
    <n v="5"/>
    <n v="0"/>
    <n v="52"/>
    <n v="0"/>
    <n v="0"/>
    <n v="52"/>
    <n v="0"/>
    <n v="52"/>
    <m/>
    <m/>
    <m/>
    <s v="AREEBA FATIMA"/>
    <n v="21.379999999999978"/>
    <n v="21.379999999999978"/>
    <m/>
  </r>
  <r>
    <n v="337"/>
    <x v="79"/>
    <x v="211"/>
    <s v=" -"/>
    <s v=" MOTOR"/>
    <d v="2024-04-17T00:00:00"/>
    <d v="2023-06-06T00:00:00"/>
    <d v="2024-06-05T00:00:00"/>
    <s v=" 08806346"/>
    <s v="Syed Saad Hussain_x000a_CNIC# 42201-0331689-9_x000a_CELL# 0300-2170508"/>
    <m/>
    <s v="SUZUKI SWIFT GL M/T"/>
    <s v="BFU-662"/>
    <s v="PKS13032072"/>
    <s v="RS413PK10032081"/>
    <s v="2016"/>
    <m/>
    <m/>
    <s v=" D"/>
    <s v="09000221-Muhammad Irfan"/>
    <n v="-1"/>
    <n v="-46"/>
    <n v="0"/>
    <n v="-6"/>
    <n v="0"/>
    <n v="-52"/>
    <n v="0"/>
    <n v="0"/>
    <n v="-52"/>
    <n v="0"/>
    <n v="-52"/>
    <m/>
    <m/>
    <m/>
    <s v="AREEBA FATIMA"/>
    <m/>
    <m/>
    <m/>
  </r>
  <r>
    <n v="341"/>
    <x v="80"/>
    <x v="212"/>
    <s v=" -"/>
    <s v=" MOTOR"/>
    <d v="2024-04-08T00:00:00"/>
    <d v="2023-06-06T00:00:00"/>
    <d v="2024-06-05T00:00:00"/>
    <s v=" 08811591"/>
    <s v="Raza Ur Rehman _x000a_CNIC No. 35201-5358500-5_x000a_Cell No. 0333-0225267/0321-9204275"/>
    <m/>
    <s v="SUZUKI ALTO VXL"/>
    <s v="BYS-148"/>
    <s v="6R273337"/>
    <s v="NF1AET306H1173278"/>
    <s v="2023"/>
    <m/>
    <m/>
    <s v=" D"/>
    <s v="09000230-Yasmeen Jatoi"/>
    <n v="2935000"/>
    <n v="2535"/>
    <n v="25"/>
    <n v="329"/>
    <n v="0"/>
    <n v="2889"/>
    <n v="0"/>
    <n v="0"/>
    <n v="2889"/>
    <n v="0"/>
    <n v="2889"/>
    <m/>
    <m/>
    <m/>
    <m/>
    <n v="755.13000000000102"/>
    <n v="718.59000000000106"/>
    <m/>
  </r>
  <r>
    <n v="342"/>
    <x v="80"/>
    <x v="213"/>
    <s v=" -"/>
    <s v=" MOTOR"/>
    <d v="2024-10-31T00:00:00"/>
    <d v="2023-06-06T00:00:00"/>
    <d v="2024-06-05T00:00:00"/>
    <s v=" 08811591"/>
    <s v="Raza Ur Rehman _x000a_CNIC No. 35201-5358500-5_x000a_Cell No. 0333-0225267/0321-9204275"/>
    <m/>
    <s v="SUZUKI ALTO VXL"/>
    <s v="BYS-148"/>
    <s v="6R273337"/>
    <s v="NF1AET306H1173278"/>
    <s v="2023"/>
    <m/>
    <m/>
    <s v=" D"/>
    <s v="09000230-Yasmeen Jatoi"/>
    <n v="-1"/>
    <n v="-2860"/>
    <n v="-29"/>
    <n v="0"/>
    <n v="0"/>
    <n v="-2889"/>
    <n v="0"/>
    <n v="0"/>
    <n v="-2889"/>
    <n v="0"/>
    <n v="-2889"/>
    <m/>
    <m/>
    <m/>
    <m/>
    <m/>
    <m/>
    <m/>
  </r>
  <r>
    <n v="344"/>
    <x v="81"/>
    <x v="214"/>
    <s v=" -"/>
    <s v=" MOTOR"/>
    <d v="2024-06-07T00:00:00"/>
    <d v="2023-06-07T00:00:00"/>
    <d v="2024-06-06T00:00:00"/>
    <s v=" 08811596"/>
    <s v="Mr. Shaheryar Shakeel_x000a_CNIC: 42101-1638769-1_x000a_Phone Number: 0300 2138964"/>
    <m/>
    <s v="TOYOTA COROLLA"/>
    <s v="BHG-699"/>
    <s v="Z472672"/>
    <s v="NZE170R-4099060"/>
    <s v="2016"/>
    <m/>
    <m/>
    <s v=" D"/>
    <s v="09000221-Muhammad Irfan"/>
    <n v="2500000"/>
    <n v="1615"/>
    <n v="16"/>
    <n v="210"/>
    <n v="0"/>
    <n v="1841"/>
    <n v="0"/>
    <n v="0"/>
    <n v="1841"/>
    <n v="0"/>
    <n v="1841"/>
    <m/>
    <m/>
    <m/>
    <s v="MATEEN QURESHI"/>
    <n v="556.25"/>
    <n v="537.47"/>
    <m/>
  </r>
  <r>
    <n v="345"/>
    <x v="81"/>
    <x v="215"/>
    <s v=" -"/>
    <s v=" MOTOR"/>
    <d v="2024-10-31T00:00:00"/>
    <d v="2023-06-07T00:00:00"/>
    <d v="2024-06-06T00:00:00"/>
    <s v=" 08811596"/>
    <s v="Mr. Shaheryar Shakeel_x000a_CNIC: 42101-1638769-1_x000a_Phone Number: 0300 2138964"/>
    <m/>
    <s v="TOYOTA COROLLA"/>
    <s v="BHG-699"/>
    <s v="Z472672"/>
    <s v="NZE170R-4099060"/>
    <s v="2016"/>
    <m/>
    <m/>
    <s v=" D"/>
    <s v="09000221-Muhammad Irfan"/>
    <n v="-1"/>
    <n v="-1823"/>
    <n v="-18"/>
    <n v="0"/>
    <n v="0"/>
    <n v="-1841"/>
    <n v="0"/>
    <n v="0"/>
    <n v="-1841"/>
    <n v="0"/>
    <n v="-1841"/>
    <m/>
    <m/>
    <m/>
    <s v="MATEEN QURESHI"/>
    <m/>
    <m/>
    <m/>
  </r>
  <r>
    <n v="346"/>
    <x v="82"/>
    <x v="216"/>
    <s v=" -"/>
    <s v=" MOTOR"/>
    <d v="2024-03-08T00:00:00"/>
    <d v="2023-06-08T00:00:00"/>
    <d v="2024-06-07T00:00:00"/>
    <s v=" 08811619"/>
    <s v="Mr. Arsalan Ahmed_x000a_CNIC: 42201-0287516-5_x000a_Phone Number: 03452862024"/>
    <m/>
    <s v="HONDA CITY"/>
    <s v="BJM-536"/>
    <s v="L13Z17460697"/>
    <s v="NFBGM1547HR203635"/>
    <s v="2017"/>
    <m/>
    <m/>
    <s v=" D"/>
    <s v="09000221-Muhammad Irfan"/>
    <n v="2700000"/>
    <n v="566"/>
    <n v="5"/>
    <n v="73"/>
    <n v="0"/>
    <n v="644"/>
    <n v="0"/>
    <n v="0"/>
    <n v="644"/>
    <n v="0"/>
    <n v="644"/>
    <m/>
    <m/>
    <m/>
    <s v="Syed Waqas"/>
    <n v="174.26000000000005"/>
    <n v="174.26000000000005"/>
    <m/>
  </r>
  <r>
    <n v="347"/>
    <x v="82"/>
    <x v="217"/>
    <s v=" -"/>
    <s v=" MOTOR"/>
    <d v="2024-12-29T00:00:00"/>
    <d v="2023-06-08T00:00:00"/>
    <d v="2024-06-07T00:00:00"/>
    <s v=" 08811619"/>
    <s v="Mr. Arsalan Ahmed_x000a_CNIC: 42201-0287516-5_x000a_Phone Number: 03452862024"/>
    <m/>
    <s v="HONDA CITY"/>
    <s v="BJM-536"/>
    <s v="L13Z17460697"/>
    <s v="NFBGM1547HR203635"/>
    <s v="2017"/>
    <m/>
    <m/>
    <s v=" D"/>
    <s v="09000221-Muhammad Irfan"/>
    <n v="-1"/>
    <n v="-638"/>
    <n v="-6"/>
    <n v="0"/>
    <n v="0"/>
    <n v="-644"/>
    <n v="0"/>
    <n v="0"/>
    <n v="-644"/>
    <n v="0"/>
    <n v="-644"/>
    <m/>
    <m/>
    <m/>
    <s v="Syed Waqas"/>
    <m/>
    <m/>
    <m/>
  </r>
  <r>
    <n v="348"/>
    <x v="83"/>
    <x v="218"/>
    <s v=" -"/>
    <s v=" MOTOR"/>
    <d v="2024-04-08T00:00:00"/>
    <d v="2023-06-08T00:00:00"/>
    <d v="2024-06-07T00:00:00"/>
    <s v=" 08811620"/>
    <s v="Mr. Farrukh Qamar_x000a_CNIC: 42201-0256922-3_x000a_Phone Number: 03330325173"/>
    <m/>
    <s v="SUZUKI Suzuki Swift"/>
    <s v="BXR-139"/>
    <s v="K12MR1008655"/>
    <s v="NF1SZC63S00108630"/>
    <s v="2022"/>
    <m/>
    <m/>
    <s v=" D"/>
    <s v="09000221-Muhammad Irfan"/>
    <n v="4500000"/>
    <n v="1962"/>
    <n v="20"/>
    <n v="255"/>
    <n v="0"/>
    <n v="2237"/>
    <n v="0"/>
    <n v="0"/>
    <n v="2237"/>
    <n v="0"/>
    <n v="2237"/>
    <m/>
    <m/>
    <m/>
    <s v="Syed Waqas"/>
    <n v="398.23"/>
    <n v="363.06"/>
    <m/>
  </r>
  <r>
    <n v="349"/>
    <x v="83"/>
    <x v="219"/>
    <s v=" -"/>
    <s v=" MOTOR"/>
    <d v="2024-10-31T00:00:00"/>
    <d v="2023-06-08T00:00:00"/>
    <d v="2024-06-07T00:00:00"/>
    <s v=" 08811620"/>
    <s v="Mr. Farrukh Qamar_x000a_CNIC: 42201-0256922-3_x000a_Phone Number: 03330325173"/>
    <m/>
    <s v="SUZUKI Suzuki Swift"/>
    <s v="BXR-139"/>
    <s v="K12MR1008655"/>
    <s v="NF1SZC63S00108630"/>
    <s v="2022"/>
    <m/>
    <m/>
    <s v=" D"/>
    <s v="09000221-Muhammad Irfan"/>
    <n v="-1"/>
    <n v="-2215"/>
    <n v="-22"/>
    <n v="0"/>
    <n v="0"/>
    <n v="-2237"/>
    <n v="0"/>
    <n v="0"/>
    <n v="-2237"/>
    <n v="0"/>
    <n v="-2237"/>
    <m/>
    <m/>
    <m/>
    <s v="Syed Waqas"/>
    <m/>
    <m/>
    <m/>
  </r>
  <r>
    <n v="350"/>
    <x v="84"/>
    <x v="220"/>
    <s v=" -"/>
    <s v=" MOTOR"/>
    <d v="2023-07-25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2490"/>
    <n v="25"/>
    <n v="324"/>
    <n v="0"/>
    <n v="2839"/>
    <n v="0"/>
    <n v="0"/>
    <n v="2839"/>
    <n v="0"/>
    <n v="2839"/>
    <m/>
    <m/>
    <m/>
    <s v="MATEEN QURESHI"/>
    <n v="666.26399343598814"/>
    <n v="591.96849874639793"/>
    <m/>
  </r>
  <r>
    <n v="351"/>
    <x v="84"/>
    <x v="221"/>
    <s v=" -"/>
    <s v=" MOTOR"/>
    <d v="2023-08-08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2510"/>
    <n v="25"/>
    <n v="326"/>
    <n v="0"/>
    <n v="2861"/>
    <n v="0"/>
    <n v="0"/>
    <n v="2861"/>
    <n v="0"/>
    <n v="2861"/>
    <m/>
    <m/>
    <m/>
    <s v="MATEEN QURESHI"/>
    <n v="629.65"/>
    <n v="596.28"/>
    <m/>
  </r>
  <r>
    <n v="352"/>
    <x v="84"/>
    <x v="222"/>
    <s v=" -"/>
    <s v=" MOTOR"/>
    <d v="2023-09-08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2429"/>
    <n v="24"/>
    <n v="316"/>
    <n v="0"/>
    <n v="2769"/>
    <n v="0"/>
    <n v="0"/>
    <n v="2769"/>
    <n v="0"/>
    <n v="2769"/>
    <m/>
    <m/>
    <m/>
    <s v="MATEEN QURESHI"/>
    <n v="654.79999999999995"/>
    <n v="644.32000000000005"/>
    <m/>
  </r>
  <r>
    <n v="353"/>
    <x v="84"/>
    <x v="223"/>
    <s v=" -"/>
    <s v=" MOTOR"/>
    <d v="2023-10-09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2081"/>
    <n v="21"/>
    <n v="270"/>
    <n v="0"/>
    <n v="2372"/>
    <n v="0"/>
    <n v="0"/>
    <n v="2372"/>
    <n v="0"/>
    <n v="2372"/>
    <m/>
    <m/>
    <m/>
    <s v="MATEEN QURESHI"/>
    <n v="675.96"/>
    <n v="617.53"/>
    <m/>
  </r>
  <r>
    <n v="354"/>
    <x v="84"/>
    <x v="224"/>
    <s v=" -"/>
    <s v=" MOTOR"/>
    <d v="2023-11-13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3468"/>
    <n v="34"/>
    <n v="451"/>
    <n v="0"/>
    <n v="3953"/>
    <n v="0"/>
    <n v="0"/>
    <n v="3953"/>
    <n v="0"/>
    <n v="3953"/>
    <m/>
    <m/>
    <m/>
    <s v="MATEEN QURESHI"/>
    <n v="1271.3400000000001"/>
    <n v="1029.7"/>
    <m/>
  </r>
  <r>
    <n v="355"/>
    <x v="84"/>
    <x v="225"/>
    <s v=" -"/>
    <s v=" MOTOR"/>
    <d v="2023-12-08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3465"/>
    <n v="35"/>
    <n v="450"/>
    <n v="0"/>
    <n v="3950"/>
    <n v="0"/>
    <n v="0"/>
    <n v="3950"/>
    <n v="0"/>
    <n v="3950"/>
    <m/>
    <m/>
    <m/>
    <s v="MATEEN QURESHI"/>
    <n v="1317.25"/>
    <n v="1028.71"/>
    <m/>
  </r>
  <r>
    <n v="356"/>
    <x v="84"/>
    <x v="226"/>
    <s v=" -"/>
    <s v=" MOTOR"/>
    <d v="2024-01-09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4066"/>
    <n v="41"/>
    <n v="529"/>
    <n v="0"/>
    <n v="4636"/>
    <n v="0"/>
    <n v="0"/>
    <n v="4636"/>
    <n v="0"/>
    <n v="4636"/>
    <m/>
    <m/>
    <m/>
    <s v="MATEEN QURESHI"/>
    <n v="1823.45"/>
    <n v="1206.81"/>
    <m/>
  </r>
  <r>
    <n v="357"/>
    <x v="84"/>
    <x v="227"/>
    <s v=" -"/>
    <s v=" MOTOR"/>
    <d v="2024-02-12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3399"/>
    <n v="33"/>
    <n v="441"/>
    <n v="0"/>
    <n v="3873"/>
    <n v="0"/>
    <n v="0"/>
    <n v="3873"/>
    <n v="0"/>
    <n v="3873"/>
    <m/>
    <m/>
    <m/>
    <s v="MATEEN QURESHI"/>
    <n v="1162.19"/>
    <n v="1008.57"/>
    <m/>
  </r>
  <r>
    <n v="358"/>
    <x v="84"/>
    <x v="228"/>
    <s v=" -"/>
    <s v=" MOTOR"/>
    <d v="2024-03-08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3194"/>
    <n v="32"/>
    <n v="415"/>
    <n v="0"/>
    <n v="3641"/>
    <n v="0"/>
    <n v="0"/>
    <n v="3641"/>
    <n v="0"/>
    <n v="3641"/>
    <m/>
    <m/>
    <m/>
    <s v="MATEEN QURESHI"/>
    <n v="1122.49"/>
    <n v="948.49"/>
    <m/>
  </r>
  <r>
    <n v="359"/>
    <x v="84"/>
    <x v="229"/>
    <s v=" -"/>
    <s v=" MOTOR"/>
    <d v="2024-04-08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3597"/>
    <n v="36"/>
    <n v="468"/>
    <n v="0"/>
    <n v="4101"/>
    <n v="0"/>
    <n v="0"/>
    <n v="4101"/>
    <n v="0"/>
    <n v="4101"/>
    <m/>
    <m/>
    <m/>
    <s v="MATEEN QURESHI"/>
    <n v="1335.64"/>
    <n v="1069.04"/>
    <m/>
  </r>
  <r>
    <n v="360"/>
    <x v="84"/>
    <x v="230"/>
    <s v=" -"/>
    <s v=" MOTOR"/>
    <d v="2024-05-13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3278"/>
    <n v="33"/>
    <n v="426"/>
    <n v="0"/>
    <n v="3737"/>
    <n v="0"/>
    <n v="0"/>
    <n v="3737"/>
    <n v="0"/>
    <n v="3737"/>
    <m/>
    <m/>
    <m/>
    <s v="MATEEN QURESHI"/>
    <n v="1138.2"/>
    <n v="972.92"/>
    <m/>
  </r>
  <r>
    <n v="361"/>
    <x v="84"/>
    <x v="231"/>
    <s v=" -"/>
    <s v=" MOTOR"/>
    <d v="2024-06-10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3500000"/>
    <n v="4208"/>
    <n v="42"/>
    <n v="547"/>
    <n v="0"/>
    <n v="4797"/>
    <n v="0"/>
    <n v="0"/>
    <n v="4797"/>
    <n v="0"/>
    <n v="4797"/>
    <m/>
    <m/>
    <m/>
    <s v="MATEEN QURESHI"/>
    <n v="1872.85"/>
    <n v="1248.6100000000001"/>
    <m/>
  </r>
  <r>
    <n v="362"/>
    <x v="84"/>
    <x v="232"/>
    <s v=" -"/>
    <s v=" MOTOR"/>
    <d v="2024-10-31T00:00:00"/>
    <d v="2023-06-08T00:00:00"/>
    <d v="2024-06-07T00:00:00"/>
    <s v=" 08811626"/>
    <s v="Azeem Hussain Siddqui _x000a_CNIC No. 42201-1212374-1_x000a_Cell No. 0332-8234593"/>
    <m/>
    <s v="TOYOTA COROLLA"/>
    <s v="BFF-087"/>
    <s v="Z407506"/>
    <s v="NZE170R-4066223"/>
    <s v="2016"/>
    <m/>
    <m/>
    <s v=" D"/>
    <s v="09000355-Asif Azeem"/>
    <n v="-1"/>
    <n v="-43098"/>
    <n v="-431"/>
    <n v="0"/>
    <n v="0"/>
    <n v="-43529"/>
    <n v="0"/>
    <n v="0"/>
    <n v="-43529"/>
    <n v="0"/>
    <n v="-43529"/>
    <m/>
    <m/>
    <m/>
    <s v="MATEEN QURESHI"/>
    <m/>
    <m/>
    <m/>
  </r>
  <r>
    <n v="364"/>
    <x v="85"/>
    <x v="233"/>
    <s v=" -"/>
    <s v=" MOTOR"/>
    <d v="2024-04-08T00:00:00"/>
    <d v="2023-06-08T00:00:00"/>
    <d v="2024-06-07T00:00:00"/>
    <s v=" 08811642"/>
    <s v="Afzan Ahmad _x000a_CNIC No. 35102-2620833-1_x000a_Cell No.  0321-7330522"/>
    <m/>
    <s v="SUZUKI ALTO VXR"/>
    <s v="AEE-245"/>
    <s v="6R176608"/>
    <s v="NF1AET306H1076605"/>
    <s v="2021"/>
    <m/>
    <m/>
    <s v=" D"/>
    <s v="09000221-Muhammad Irfan"/>
    <n v="2300000"/>
    <n v="77"/>
    <n v="1"/>
    <n v="10"/>
    <n v="0"/>
    <n v="88"/>
    <n v="0"/>
    <n v="0"/>
    <n v="88"/>
    <n v="0"/>
    <n v="88"/>
    <m/>
    <m/>
    <m/>
    <s v="_x0009_Syed Asim"/>
    <n v="28.02"/>
    <n v="28.02"/>
    <m/>
  </r>
  <r>
    <n v="365"/>
    <x v="85"/>
    <x v="234"/>
    <s v=" -"/>
    <s v=" MOTOR"/>
    <d v="2024-05-13T00:00:00"/>
    <d v="2023-06-08T00:00:00"/>
    <d v="2024-06-07T00:00:00"/>
    <s v=" 08811642"/>
    <s v="Afzan Ahmad _x000a_CNIC No. 35102-2620833-1_x000a_Cell No.  0321-7330522"/>
    <m/>
    <s v="SUZUKI ALTO VXR"/>
    <s v="AEE-245"/>
    <s v="6R176608"/>
    <s v="NF1AET306H1076605"/>
    <s v="2021"/>
    <m/>
    <m/>
    <s v=" D"/>
    <s v="09000221-Muhammad Irfan"/>
    <n v="2300000"/>
    <n v="430"/>
    <n v="5"/>
    <n v="57"/>
    <n v="0"/>
    <n v="492"/>
    <n v="0"/>
    <n v="0"/>
    <n v="492"/>
    <n v="0"/>
    <n v="492"/>
    <m/>
    <m/>
    <m/>
    <s v="_x0009_Syed Asim"/>
    <n v="168.18"/>
    <n v="156.05000000000001"/>
    <m/>
  </r>
  <r>
    <n v="366"/>
    <x v="85"/>
    <x v="235"/>
    <s v=" -"/>
    <s v=" MOTOR"/>
    <d v="2024-12-29T00:00:00"/>
    <d v="2023-06-08T00:00:00"/>
    <d v="2024-06-07T00:00:00"/>
    <s v=" 08811642"/>
    <s v="Afzan Ahmad _x000a_CNIC No. 35102-2620833-1_x000a_Cell No.  0321-7330522"/>
    <m/>
    <s v="SUZUKI ALTO VXR"/>
    <s v="AEE-245"/>
    <s v="6R176608"/>
    <s v="NF1AET306H1076605"/>
    <s v="2021"/>
    <m/>
    <m/>
    <s v=" D"/>
    <s v="09000221-Muhammad Irfan"/>
    <n v="-1"/>
    <n v="-574"/>
    <n v="-6"/>
    <n v="0"/>
    <n v="0"/>
    <n v="-580"/>
    <n v="0"/>
    <n v="0"/>
    <n v="-580"/>
    <n v="0"/>
    <n v="-580"/>
    <m/>
    <m/>
    <m/>
    <s v="_x0009_Syed Asim"/>
    <m/>
    <m/>
    <m/>
  </r>
  <r>
    <n v="370"/>
    <x v="86"/>
    <x v="236"/>
    <s v=" -"/>
    <s v=" MOTOR"/>
    <d v="2024-06-10T00:00:00"/>
    <d v="2023-06-09T00:00:00"/>
    <d v="2024-06-08T00:00:00"/>
    <s v=" 08809837"/>
    <s v="Adnan Saleem _x000a_CNIC No. 42301-3410019-3_x000a_Phone Number. 0321-2490331"/>
    <m/>
    <s v="TOYOTA COROLLA ALTIS"/>
    <s v="BWX-544"/>
    <s v="Q096927"/>
    <s v="ZRE171R-6074422"/>
    <s v="2022"/>
    <m/>
    <m/>
    <s v=" D"/>
    <s v="09000221-Muhammad Irfan"/>
    <n v="6500000"/>
    <n v="7119"/>
    <n v="71"/>
    <n v="926"/>
    <n v="0"/>
    <n v="8116"/>
    <n v="0"/>
    <n v="0"/>
    <n v="8116"/>
    <n v="0"/>
    <n v="8116"/>
    <m/>
    <m/>
    <m/>
    <s v="MATEEN QURESHI"/>
    <n v="957.50000000000205"/>
    <n v="911.56000000000097"/>
    <m/>
  </r>
  <r>
    <n v="371"/>
    <x v="86"/>
    <x v="237"/>
    <s v=" -"/>
    <s v=" MOTOR"/>
    <d v="2025-03-29T00:00:00"/>
    <d v="2023-06-09T00:00:00"/>
    <d v="2024-06-08T00:00:00"/>
    <s v=" 08809837"/>
    <s v="Adnan Saleem _x000a_CNIC No. 42301-3410019-3_x000a_Phone Number. 0321-2490331"/>
    <m/>
    <s v="TOYOTA COROLLA ALTIS"/>
    <s v="BWX-544"/>
    <s v="Q096927"/>
    <s v="ZRE171R-6074422"/>
    <s v="2022"/>
    <m/>
    <m/>
    <s v=" D"/>
    <s v="09000221-Muhammad Irfan"/>
    <n v="-1"/>
    <n v="-8045"/>
    <n v="-71"/>
    <n v="0"/>
    <n v="0"/>
    <n v="-8116"/>
    <n v="0"/>
    <n v="0"/>
    <n v="-8116"/>
    <n v="0"/>
    <n v="-8116"/>
    <m/>
    <m/>
    <m/>
    <s v="MATEEN QURESHI"/>
    <m/>
    <m/>
    <m/>
  </r>
  <r>
    <n v="372"/>
    <x v="87"/>
    <x v="238"/>
    <s v=" -"/>
    <s v=" MOTOR"/>
    <d v="2024-03-15T00:00:00"/>
    <d v="2023-06-14T00:00:00"/>
    <d v="2024-06-13T00:00:00"/>
    <s v=" 08811721"/>
    <s v="Mr. Waheed Ashraf Chaudhary_x000a_CNIC: 3660235750533_x000a_Cell: 03007728210"/>
    <m/>
    <s v="SUZUKI CULTUS"/>
    <s v="LEH18-3262"/>
    <s v="PK10K121517"/>
    <s v="NF1AVK31H10021498"/>
    <s v="2018"/>
    <m/>
    <m/>
    <s v=" D"/>
    <s v="09000221-Muhammad Irfan"/>
    <n v="2500000"/>
    <n v="1337"/>
    <n v="13"/>
    <n v="174"/>
    <n v="0"/>
    <n v="1524"/>
    <n v="0"/>
    <n v="0"/>
    <n v="1524"/>
    <n v="0"/>
    <n v="1524"/>
    <m/>
    <m/>
    <m/>
    <s v="Syed Waqas"/>
    <n v="476.71"/>
    <n v="444.81"/>
    <m/>
  </r>
  <r>
    <n v="373"/>
    <x v="87"/>
    <x v="239"/>
    <s v=" -"/>
    <s v=" MOTOR"/>
    <d v="2024-04-14T00:00:00"/>
    <d v="2023-06-14T00:00:00"/>
    <d v="2024-06-13T00:00:00"/>
    <s v=" 08811721"/>
    <s v="Mr. Waheed Ashraf Chaudhary_x000a_CNIC: 3660235750533_x000a_Cell: 03007728210"/>
    <m/>
    <s v="SUZUKI CULTUS"/>
    <s v="LEH18-3262"/>
    <s v="PK10K121517"/>
    <s v="NF1AVK31H10021498"/>
    <s v="2018"/>
    <m/>
    <m/>
    <s v=" D"/>
    <s v="09000221-Muhammad Irfan"/>
    <n v="2500000"/>
    <n v="867"/>
    <n v="9"/>
    <n v="113"/>
    <n v="0"/>
    <n v="989"/>
    <n v="0"/>
    <n v="0"/>
    <n v="989"/>
    <n v="0"/>
    <n v="989"/>
    <m/>
    <m/>
    <m/>
    <s v="Syed Waqas"/>
    <n v="566.64000000000101"/>
    <n v="288.73"/>
    <m/>
  </r>
  <r>
    <n v="374"/>
    <x v="87"/>
    <x v="240"/>
    <s v=" -"/>
    <s v=" MOTOR"/>
    <d v="2024-05-14T00:00:00"/>
    <d v="2023-06-14T00:00:00"/>
    <d v="2024-06-13T00:00:00"/>
    <s v=" 08811721"/>
    <s v="Mr. Waheed Ashraf Chaudhary_x000a_CNIC: 3660235750533_x000a_Cell: 03007728210"/>
    <m/>
    <s v="SUZUKI CULTUS"/>
    <s v="LEH18-3262"/>
    <s v="PK10K121517"/>
    <s v="NF1AVK31H10021498"/>
    <s v="2018"/>
    <m/>
    <m/>
    <s v=" D"/>
    <s v="09000221-Muhammad Irfan"/>
    <n v="2500000"/>
    <n v="1101"/>
    <n v="11"/>
    <n v="143"/>
    <n v="0"/>
    <n v="1255"/>
    <n v="0"/>
    <n v="0"/>
    <n v="1255"/>
    <n v="0"/>
    <n v="1255"/>
    <m/>
    <m/>
    <m/>
    <s v="Syed Waqas"/>
    <n v="639.09000000000106"/>
    <n v="367.15"/>
    <m/>
  </r>
  <r>
    <n v="375"/>
    <x v="87"/>
    <x v="241"/>
    <s v=" -"/>
    <s v=" MOTOR"/>
    <d v="2024-06-14T00:00:00"/>
    <d v="2023-06-14T00:00:00"/>
    <d v="2024-06-13T00:00:00"/>
    <s v=" 08811721"/>
    <s v="Mr. Waheed Ashraf Chaudhary_x000a_CNIC: 3660235750533_x000a_Cell: 03007728210"/>
    <m/>
    <s v="SUZUKI CULTUS"/>
    <s v="LEH18-3262"/>
    <s v="PK10K121517"/>
    <s v="NF1AVK31H10021498"/>
    <s v="2018"/>
    <m/>
    <m/>
    <s v=" D"/>
    <s v="09000221-Muhammad Irfan"/>
    <n v="2500000"/>
    <n v="664"/>
    <n v="6"/>
    <n v="86"/>
    <n v="0"/>
    <n v="756"/>
    <n v="0"/>
    <n v="0"/>
    <n v="756"/>
    <n v="0"/>
    <n v="756"/>
    <m/>
    <m/>
    <m/>
    <s v="Syed Waqas"/>
    <n v="360.6"/>
    <n v="360.6"/>
    <m/>
  </r>
  <r>
    <n v="376"/>
    <x v="87"/>
    <x v="242"/>
    <s v=" -"/>
    <s v=" MOTOR"/>
    <d v="2024-10-31T00:00:00"/>
    <d v="2023-06-14T00:00:00"/>
    <d v="2024-06-13T00:00:00"/>
    <s v=" 08811721"/>
    <s v="Mr. Waheed Ashraf Chaudhary_x000a_CNIC: 3660235750533_x000a_Cell: 03007728210"/>
    <m/>
    <s v="SUZUKI CULTUS"/>
    <s v="LEH18-3262"/>
    <s v="PK10K121517"/>
    <s v="NF1AVK31H10021498"/>
    <s v="2018"/>
    <m/>
    <m/>
    <s v=" D"/>
    <s v="09000221-Muhammad Irfan"/>
    <n v="-1"/>
    <n v="-4479"/>
    <n v="-45"/>
    <n v="0"/>
    <n v="0"/>
    <n v="-4524"/>
    <n v="0"/>
    <n v="0"/>
    <n v="-4524"/>
    <n v="0"/>
    <n v="-4524"/>
    <m/>
    <m/>
    <m/>
    <s v="Syed Waqas"/>
    <m/>
    <m/>
    <m/>
  </r>
  <r>
    <n v="377"/>
    <x v="88"/>
    <x v="243"/>
    <s v=" -"/>
    <s v=" MOTOR"/>
    <d v="2024-04-08T00:00:00"/>
    <d v="2023-06-08T00:00:00"/>
    <d v="2024-06-07T00:00:00"/>
    <s v=" 08806239"/>
    <s v="Mr. Muhammad Hamza Khan_x000a_CNIC #. 41303-9598215-7_x000a_CELL #. 0310-2323273"/>
    <m/>
    <s v="SUZUKI ALTO"/>
    <s v="BSR-460"/>
    <s v="6R137750"/>
    <s v="NF1AET306H1037745"/>
    <s v="2020"/>
    <m/>
    <m/>
    <s v=" D"/>
    <s v="09000221-Muhammad Irfan"/>
    <n v="1700000"/>
    <n v="697"/>
    <n v="7"/>
    <n v="91"/>
    <n v="0"/>
    <n v="795"/>
    <n v="0"/>
    <n v="0"/>
    <n v="795"/>
    <n v="0"/>
    <n v="795"/>
    <m/>
    <m/>
    <m/>
    <s v="SEERAT AZMAT"/>
    <n v="341.17"/>
    <n v="341.17"/>
    <m/>
  </r>
  <r>
    <n v="378"/>
    <x v="88"/>
    <x v="244"/>
    <s v=" -"/>
    <s v=" MOTOR"/>
    <d v="2024-05-13T00:00:00"/>
    <d v="2023-06-08T00:00:00"/>
    <d v="2024-06-07T00:00:00"/>
    <s v=" 08806239"/>
    <s v="Mr. Muhammad Hamza Khan_x000a_CNIC #. 41303-9598215-7_x000a_CELL #. 0310-2323273"/>
    <m/>
    <s v="SUZUKI ALTO"/>
    <s v="BSR-460"/>
    <s v="6R137750"/>
    <s v="NF1AET306H1037745"/>
    <s v="2020"/>
    <m/>
    <m/>
    <s v=" D"/>
    <s v="09000221-Muhammad Irfan"/>
    <n v="1700000"/>
    <n v="828"/>
    <n v="8"/>
    <n v="107"/>
    <n v="0"/>
    <n v="943"/>
    <n v="0"/>
    <n v="0"/>
    <n v="943"/>
    <n v="0"/>
    <n v="943"/>
    <m/>
    <m/>
    <m/>
    <s v="SEERAT AZMAT"/>
    <n v="469.07000000000005"/>
    <n v="405.1400000000001"/>
    <m/>
  </r>
  <r>
    <n v="379"/>
    <x v="88"/>
    <x v="245"/>
    <s v=" -"/>
    <s v=" MOTOR"/>
    <d v="2024-06-10T00:00:00"/>
    <d v="2023-06-08T00:00:00"/>
    <d v="2024-06-07T00:00:00"/>
    <s v=" 08806239"/>
    <s v="Mr. Muhammad Hamza Khan_x000a_CNIC #. 41303-9598215-7_x000a_CELL #. 0310-2323273"/>
    <m/>
    <s v="SUZUKI ALTO"/>
    <s v="BSR-460"/>
    <s v="6R137750"/>
    <s v="NF1AET306H1037745"/>
    <s v="2020"/>
    <m/>
    <m/>
    <s v=" D"/>
    <s v="09000221-Muhammad Irfan"/>
    <n v="1700000"/>
    <n v="1262"/>
    <n v="12"/>
    <n v="164"/>
    <n v="0"/>
    <n v="1438"/>
    <n v="0"/>
    <n v="0"/>
    <n v="1438"/>
    <n v="0"/>
    <n v="1438"/>
    <m/>
    <m/>
    <m/>
    <s v="SEERAT AZMAT"/>
    <n v="666.770000000001"/>
    <n v="616.780000000001"/>
    <m/>
  </r>
  <r>
    <n v="380"/>
    <x v="88"/>
    <x v="246"/>
    <s v=" -"/>
    <s v=" MOTOR"/>
    <d v="2024-12-29T00:00:00"/>
    <d v="2023-06-08T00:00:00"/>
    <d v="2024-06-07T00:00:00"/>
    <s v=" 08806239"/>
    <s v="Mr. Muhammad Hamza Khan_x000a_CNIC #. 41303-9598215-7_x000a_CELL #. 0310-2323273"/>
    <m/>
    <s v="SUZUKI ALTO"/>
    <s v="BSR-460"/>
    <s v="6R137750"/>
    <s v="NF1AET306H1037745"/>
    <s v="2020"/>
    <m/>
    <m/>
    <s v=" D"/>
    <s v="09000221-Muhammad Irfan"/>
    <n v="-1"/>
    <n v="-3145"/>
    <n v="-31"/>
    <n v="0"/>
    <n v="0"/>
    <n v="-3176"/>
    <n v="0"/>
    <n v="0"/>
    <n v="-3176"/>
    <n v="0"/>
    <n v="-3176"/>
    <m/>
    <m/>
    <m/>
    <s v="SEERAT AZMAT"/>
    <m/>
    <m/>
    <m/>
  </r>
  <r>
    <n v="382"/>
    <x v="89"/>
    <x v="247"/>
    <s v=" -"/>
    <s v=" MOTOR"/>
    <d v="2024-06-20T00:00:00"/>
    <d v="2023-06-20T00:00:00"/>
    <d v="2024-06-19T00:00:00"/>
    <s v=" 08811820"/>
    <s v="Mrs. Bushra Irfan _x000a_CNIC No. 42101-2478039-2_x000a_Cell No. 0331-2336291"/>
    <m/>
    <s v="TOYOTA COROLLA ALTIS"/>
    <s v="BRA-252"/>
    <s v="Q062603"/>
    <s v="ZRE171R-6040101"/>
    <s v="2019"/>
    <m/>
    <m/>
    <s v=" D"/>
    <s v="09000221-Muhammad Irfan"/>
    <n v="4500000"/>
    <n v="1364"/>
    <n v="13"/>
    <n v="177"/>
    <n v="0"/>
    <n v="1554"/>
    <n v="0"/>
    <n v="0"/>
    <n v="1554"/>
    <n v="0"/>
    <n v="1554"/>
    <m/>
    <m/>
    <m/>
    <s v="Syed Waqas"/>
    <n v="253.92"/>
    <n v="252.21"/>
    <m/>
  </r>
  <r>
    <n v="383"/>
    <x v="89"/>
    <x v="248"/>
    <s v=" -"/>
    <s v=" MOTOR"/>
    <d v="2025-03-29T00:00:00"/>
    <d v="2023-06-20T00:00:00"/>
    <d v="2024-06-19T00:00:00"/>
    <s v=" 08811820"/>
    <s v="Mrs. Bushra Irfan _x000a_CNIC No. 42101-2478039-2_x000a_Cell No. 0331-2336291"/>
    <m/>
    <s v="TOYOTA COROLLA ALTIS"/>
    <s v="BRA-252"/>
    <s v="Q062603"/>
    <s v="ZRE171R-6040101"/>
    <s v="2019"/>
    <m/>
    <m/>
    <s v=" D"/>
    <s v="09000221-Muhammad Irfan"/>
    <n v="-1"/>
    <n v="-1540"/>
    <n v="-14"/>
    <n v="0"/>
    <n v="0"/>
    <n v="-1554"/>
    <n v="0"/>
    <n v="0"/>
    <n v="-1554"/>
    <n v="0"/>
    <n v="-1554"/>
    <m/>
    <m/>
    <m/>
    <s v="Syed Waqas"/>
    <m/>
    <m/>
    <m/>
  </r>
  <r>
    <n v="384"/>
    <x v="90"/>
    <x v="24"/>
    <s v=" -"/>
    <s v=" MOTOR"/>
    <d v="2023-06-21T00:00:00"/>
    <d v="2023-06-20T00:00:00"/>
    <d v="2024-06-19T00:00:00"/>
    <s v=" 08003111"/>
    <s v="Mr. Athar Ahmed Khan_x000a_CNIC: 42101-1623455-7_x000a_Phone Number: 0336-2153284"/>
    <m/>
    <s v="TOYOTA YARIS GLI MT"/>
    <s v="BXH-862"/>
    <s v="2A-53539"/>
    <s v="NSP150R-7033843"/>
    <s v="2022"/>
    <m/>
    <m/>
    <s v=" D"/>
    <s v="09000221-Muhammad Irfan"/>
    <n v="3000000"/>
    <n v="4343"/>
    <n v="43"/>
    <n v="564"/>
    <n v="50"/>
    <n v="5000"/>
    <n v="5454"/>
    <n v="0"/>
    <n v="-454"/>
    <n v="0"/>
    <n v="-454"/>
    <m/>
    <m/>
    <m/>
    <s v="ASMA RIAZ"/>
    <m/>
    <m/>
    <s v="atharahmedkhan400@gmail.com"/>
  </r>
  <r>
    <n v="385"/>
    <x v="90"/>
    <x v="249"/>
    <s v=" -"/>
    <s v=" MOTOR"/>
    <d v="2024-04-21T00:00:00"/>
    <d v="2023-06-20T00:00:00"/>
    <d v="2024-06-19T00:00:00"/>
    <s v=" 08003111"/>
    <s v="Mr. Athar Ahmed Khan_x000a_CNIC: 42101-1623455-7_x000a_Phone Number: 0336-2153284"/>
    <m/>
    <s v="TOYOTA YARIS GLI MT"/>
    <s v="BXH-862"/>
    <s v="2A-53539"/>
    <s v="NSP150R-7033843"/>
    <s v="2022"/>
    <m/>
    <m/>
    <s v=" D"/>
    <s v="09000221-Muhammad Irfan"/>
    <n v="3000000"/>
    <n v="398"/>
    <n v="4"/>
    <n v="52"/>
    <n v="0"/>
    <n v="454"/>
    <n v="0"/>
    <n v="0"/>
    <n v="454"/>
    <n v="0"/>
    <n v="454"/>
    <m/>
    <m/>
    <m/>
    <s v="ASMA RIAZ"/>
    <n v="110.68"/>
    <n v="110.68"/>
    <m/>
  </r>
  <r>
    <n v="386"/>
    <x v="91"/>
    <x v="24"/>
    <s v=" -"/>
    <s v=" MOTOR"/>
    <d v="2023-06-21T00:00:00"/>
    <d v="2023-06-16T00:00:00"/>
    <d v="2024-06-15T00:00:00"/>
    <s v=" 08811840"/>
    <s v="Raja Imran Mujahid _x000a_CNIC No. 82103-6533880-1_x000a_Cell No. 0312-3993339"/>
    <m/>
    <s v="KIA SPORTAGE AWD"/>
    <s v="AYH-274"/>
    <s v="G4NAMH330049"/>
    <s v="NNAQL51AZKP516710"/>
    <s v="2022"/>
    <m/>
    <m/>
    <s v=" D"/>
    <s v="09000221-Muhammad Irfan"/>
    <n v="8400000"/>
    <n v="4343"/>
    <n v="43"/>
    <n v="564"/>
    <n v="50"/>
    <n v="5000"/>
    <n v="5102"/>
    <n v="0"/>
    <n v="-102"/>
    <n v="0"/>
    <n v="-102"/>
    <m/>
    <m/>
    <m/>
    <s v="MATEEN QURESHI"/>
    <m/>
    <m/>
    <s v="arcturus_2017@hotmail.com"/>
  </r>
  <r>
    <n v="387"/>
    <x v="91"/>
    <x v="250"/>
    <s v=" -"/>
    <s v=" MOTOR"/>
    <d v="2024-03-17T00:00:00"/>
    <d v="2023-06-16T00:00:00"/>
    <d v="2024-06-15T00:00:00"/>
    <s v=" 08811840"/>
    <s v="Raja Imran Mujahid _x000a_CNIC No. 82103-6533880-1_x000a_Cell No. 0312-3993339"/>
    <m/>
    <s v="KIA SPORTAGE AWD"/>
    <s v="AYH-274"/>
    <s v="G4NAMH330049"/>
    <s v="NNAQL51AZKP516710"/>
    <s v="2022"/>
    <m/>
    <m/>
    <s v=" D"/>
    <s v="09000221-Muhammad Irfan"/>
    <n v="8400000"/>
    <n v="6"/>
    <n v="1"/>
    <n v="1"/>
    <n v="0"/>
    <n v="8"/>
    <n v="0"/>
    <n v="0"/>
    <n v="8"/>
    <n v="0"/>
    <n v="8"/>
    <m/>
    <m/>
    <m/>
    <s v="MATEEN QURESHI"/>
    <n v="0.7"/>
    <n v="0.7"/>
    <m/>
  </r>
  <r>
    <n v="388"/>
    <x v="91"/>
    <x v="251"/>
    <s v=" -"/>
    <s v=" MOTOR"/>
    <d v="2024-04-16T00:00:00"/>
    <d v="2023-06-16T00:00:00"/>
    <d v="2024-06-15T00:00:00"/>
    <s v=" 08811840"/>
    <s v="Raja Imran Mujahid _x000a_CNIC No. 82103-6533880-1_x000a_Cell No. 0312-3993339"/>
    <m/>
    <s v="KIA SPORTAGE AWD"/>
    <s v="AYH-274"/>
    <s v="G4NAMH330049"/>
    <s v="NNAQL51AZKP516710"/>
    <s v="2022"/>
    <m/>
    <m/>
    <s v=" D"/>
    <s v="09000221-Muhammad Irfan"/>
    <n v="8400000"/>
    <n v="63"/>
    <n v="0"/>
    <n v="8"/>
    <n v="0"/>
    <n v="71"/>
    <n v="0"/>
    <n v="0"/>
    <n v="71"/>
    <n v="0"/>
    <n v="71"/>
    <m/>
    <m/>
    <m/>
    <s v="MATEEN QURESHI"/>
    <n v="6.15"/>
    <n v="6.15"/>
    <m/>
  </r>
  <r>
    <n v="389"/>
    <x v="91"/>
    <x v="252"/>
    <s v=" -"/>
    <s v=" MOTOR"/>
    <d v="2024-05-16T00:00:00"/>
    <d v="2023-06-16T00:00:00"/>
    <d v="2024-06-15T00:00:00"/>
    <s v=" 08811840"/>
    <s v="Raja Imran Mujahid _x000a_CNIC No. 82103-6533880-1_x000a_Cell No. 0312-3993339"/>
    <m/>
    <s v="KIA SPORTAGE AWD"/>
    <s v="AYH-274"/>
    <s v="G4NAMH330049"/>
    <s v="NNAQL51AZKP516710"/>
    <s v="2022"/>
    <m/>
    <m/>
    <s v=" D"/>
    <s v="09000221-Muhammad Irfan"/>
    <n v="8400000"/>
    <n v="20"/>
    <n v="0"/>
    <n v="3"/>
    <n v="0"/>
    <n v="23"/>
    <n v="0"/>
    <n v="0"/>
    <n v="23"/>
    <n v="0"/>
    <n v="23"/>
    <m/>
    <m/>
    <m/>
    <s v="MATEEN QURESHI"/>
    <n v="1.97"/>
    <n v="1.97"/>
    <m/>
  </r>
  <r>
    <n v="390"/>
    <x v="92"/>
    <x v="253"/>
    <s v=" -"/>
    <s v=" MOTOR"/>
    <d v="2024-04-17T00:00:00"/>
    <d v="2023-06-17T00:00:00"/>
    <d v="2024-06-16T00:00:00"/>
    <s v=" 08811854"/>
    <s v="Mrs. Nosheen Niazi_x000a_CNIC: 42501-7291756-2_x000a_Phone Number: 03004356666"/>
    <m/>
    <s v="TOYOTA YARIS ATIV CVT"/>
    <s v="AGT-028"/>
    <s v="2A44809"/>
    <s v="NSP150R7028080"/>
    <s v="2022"/>
    <m/>
    <m/>
    <s v=" D"/>
    <s v="09000221-Muhammad Irfan"/>
    <n v="4000000"/>
    <n v="3580"/>
    <n v="36"/>
    <n v="466"/>
    <n v="0"/>
    <n v="4082"/>
    <n v="0"/>
    <n v="0"/>
    <n v="4082"/>
    <n v="0"/>
    <n v="4082"/>
    <m/>
    <m/>
    <m/>
    <s v="Syed Waqas"/>
    <n v="827.01"/>
    <n v="744.58"/>
    <m/>
  </r>
  <r>
    <n v="391"/>
    <x v="92"/>
    <x v="254"/>
    <s v=" -"/>
    <s v=" MOTOR"/>
    <d v="2024-05-17T00:00:00"/>
    <d v="2023-06-17T00:00:00"/>
    <d v="2024-06-16T00:00:00"/>
    <s v=" 08811854"/>
    <s v="Mrs. Nosheen Niazi_x000a_CNIC: 42501-7291756-2_x000a_Phone Number: 03004356666"/>
    <m/>
    <s v="TOYOTA YARIS ATIV CVT"/>
    <s v="AGT-028"/>
    <s v="2A44809"/>
    <s v="NSP150R7028080"/>
    <s v="2022"/>
    <m/>
    <m/>
    <s v=" D"/>
    <s v="09000221-Muhammad Irfan"/>
    <n v="4000000"/>
    <n v="2841"/>
    <n v="28"/>
    <n v="369"/>
    <n v="0"/>
    <n v="3238"/>
    <n v="0"/>
    <n v="0"/>
    <n v="3238"/>
    <n v="0"/>
    <n v="3238"/>
    <m/>
    <m/>
    <m/>
    <s v="Syed Waqas"/>
    <n v="697.85"/>
    <n v="590.91000000000008"/>
    <m/>
  </r>
  <r>
    <n v="392"/>
    <x v="92"/>
    <x v="255"/>
    <s v=" -"/>
    <s v=" MOTOR"/>
    <d v="2024-06-20T00:00:00"/>
    <d v="2023-06-17T00:00:00"/>
    <d v="2024-06-16T00:00:00"/>
    <s v=" 08811854"/>
    <s v="Mrs. Nosheen Niazi_x000a_CNIC: 42501-7291756-2_x000a_Phone Number: 03004356666"/>
    <m/>
    <s v="TOYOTA YARIS ATIV CVT"/>
    <s v="AGT-028"/>
    <s v="2A44809"/>
    <s v="NSP150R7028080"/>
    <s v="2022"/>
    <m/>
    <m/>
    <s v=" D"/>
    <s v="09000221-Muhammad Irfan"/>
    <n v="4000000"/>
    <n v="2044"/>
    <n v="20"/>
    <n v="266"/>
    <n v="0"/>
    <n v="2330"/>
    <n v="0"/>
    <n v="0"/>
    <n v="2330"/>
    <n v="0"/>
    <n v="2330"/>
    <m/>
    <m/>
    <m/>
    <s v="Syed Waqas"/>
    <n v="482.6"/>
    <n v="425.21"/>
    <m/>
  </r>
  <r>
    <n v="393"/>
    <x v="92"/>
    <x v="256"/>
    <s v=" -"/>
    <s v=" MOTOR"/>
    <d v="2024-10-31T00:00:00"/>
    <d v="2023-06-17T00:00:00"/>
    <d v="2024-06-16T00:00:00"/>
    <s v=" 08811854"/>
    <s v="Mrs. Nosheen Niazi_x000a_CNIC: 42501-7291756-2_x000a_Phone Number: 03004356666"/>
    <m/>
    <s v="TOYOTA YARIS ATIV CVT"/>
    <s v="AGT-028"/>
    <s v="2A44809"/>
    <s v="NSP150R7028080"/>
    <s v="2022"/>
    <m/>
    <m/>
    <s v=" D"/>
    <s v="09000221-Muhammad Irfan"/>
    <n v="-1"/>
    <n v="-9554"/>
    <n v="-96"/>
    <n v="0"/>
    <n v="0"/>
    <n v="-9650"/>
    <n v="0"/>
    <n v="0"/>
    <n v="-9650"/>
    <n v="0"/>
    <n v="-9650"/>
    <m/>
    <m/>
    <m/>
    <s v="Syed Waqas"/>
    <m/>
    <m/>
    <m/>
  </r>
  <r>
    <n v="401"/>
    <x v="93"/>
    <x v="257"/>
    <s v=" -"/>
    <s v=" MOTOR"/>
    <d v="2024-04-22T00:00:00"/>
    <d v="2023-06-22T00:00:00"/>
    <d v="2024-06-21T00:00:00"/>
    <s v=" 08811870"/>
    <s v="Mr. Syed Raza Ali_x000a_CNIC: 42101-1768510-1_x000a_Phone Number: 03002034395"/>
    <m/>
    <s v="HONDA CITY"/>
    <s v="BNL-382"/>
    <s v="L15A79790531"/>
    <s v="NFBGM2669JR227334"/>
    <s v="2018"/>
    <m/>
    <m/>
    <s v=" D"/>
    <s v="09000221-Muhammad Irfan"/>
    <n v="3350000"/>
    <n v="2679"/>
    <n v="27"/>
    <n v="348"/>
    <n v="0"/>
    <n v="3054"/>
    <n v="0"/>
    <n v="0"/>
    <n v="3054"/>
    <n v="0"/>
    <n v="3054"/>
    <m/>
    <m/>
    <m/>
    <s v="MATEEN QURESHI"/>
    <n v="842.54000000000019"/>
    <n v="664.49"/>
    <m/>
  </r>
  <r>
    <n v="402"/>
    <x v="93"/>
    <x v="258"/>
    <s v=" -"/>
    <s v=" MOTOR"/>
    <d v="2024-05-22T00:00:00"/>
    <d v="2023-06-22T00:00:00"/>
    <d v="2024-06-21T00:00:00"/>
    <s v=" 08811870"/>
    <s v="Mr. Syed Raza Ali_x000a_CNIC: 42101-1768510-1_x000a_Phone Number: 03002034395"/>
    <m/>
    <s v="HONDA CITY"/>
    <s v="BNL-382"/>
    <s v="L15A79790531"/>
    <s v="NFBGM2669JR227334"/>
    <s v="2018"/>
    <m/>
    <m/>
    <s v=" D"/>
    <s v="09000221-Muhammad Irfan"/>
    <n v="3350000"/>
    <n v="3361"/>
    <n v="34"/>
    <n v="437"/>
    <n v="0"/>
    <n v="3832"/>
    <n v="0"/>
    <n v="0"/>
    <n v="3832"/>
    <n v="0"/>
    <n v="3832"/>
    <m/>
    <m/>
    <m/>
    <s v="MATEEN QURESHI"/>
    <n v="1062.4100000000001"/>
    <n v="833.74"/>
    <m/>
  </r>
  <r>
    <n v="403"/>
    <x v="93"/>
    <x v="259"/>
    <s v=" -"/>
    <s v=" MOTOR"/>
    <d v="2024-06-24T00:00:00"/>
    <d v="2023-06-22T00:00:00"/>
    <d v="2024-06-21T00:00:00"/>
    <s v=" 08811870"/>
    <s v="Mr. Syed Raza Ali_x000a_CNIC: 42101-1768510-1_x000a_Phone Number: 03002034395"/>
    <m/>
    <s v="HONDA CITY"/>
    <s v="BNL-382"/>
    <s v="L15A79790531"/>
    <s v="NFBGM2669JR227334"/>
    <s v="2018"/>
    <m/>
    <m/>
    <s v=" D"/>
    <s v="09000221-Muhammad Irfan"/>
    <n v="3350000"/>
    <n v="3111"/>
    <n v="31"/>
    <n v="405"/>
    <n v="0"/>
    <n v="3547"/>
    <n v="0"/>
    <n v="0"/>
    <n v="3547"/>
    <n v="0"/>
    <n v="3547"/>
    <m/>
    <m/>
    <m/>
    <s v="MATEEN QURESHI"/>
    <n v="1057.7699999999991"/>
    <n v="771.73"/>
    <m/>
  </r>
  <r>
    <n v="404"/>
    <x v="93"/>
    <x v="260"/>
    <s v=" -"/>
    <s v=" MOTOR"/>
    <d v="2024-12-29T00:00:00"/>
    <d v="2023-06-22T00:00:00"/>
    <d v="2024-06-21T00:00:00"/>
    <s v=" 08811870"/>
    <s v="Mr. Syed Raza Ali_x000a_CNIC: 42101-1768510-1_x000a_Phone Number: 03002034395"/>
    <m/>
    <s v="HONDA CITY"/>
    <s v="BNL-382"/>
    <s v="L15A79790531"/>
    <s v="NFBGM2669JR227334"/>
    <s v="2018"/>
    <m/>
    <m/>
    <s v=" D"/>
    <s v="09000221-Muhammad Irfan"/>
    <n v="-1"/>
    <n v="-10330"/>
    <n v="-103"/>
    <n v="0"/>
    <n v="0"/>
    <n v="-10433"/>
    <n v="0"/>
    <n v="0"/>
    <n v="-10433"/>
    <n v="0"/>
    <n v="-10433"/>
    <m/>
    <m/>
    <m/>
    <s v="MATEEN QURESHI"/>
    <m/>
    <m/>
    <m/>
  </r>
  <r>
    <n v="405"/>
    <x v="94"/>
    <x v="261"/>
    <s v=" -"/>
    <s v=" MOTOR"/>
    <d v="2024-04-29T00:00:00"/>
    <d v="2023-06-27T00:00:00"/>
    <d v="2024-06-26T00:00:00"/>
    <s v=" 08806527"/>
    <s v="Muhammad Tayyab_x000a_CNIC No. 35201-4959978-7_x000a_Phone Number. 0323-4179417"/>
    <m/>
    <s v="SUZUKI Suzuki Swift GL CV"/>
    <s v="ALP-818"/>
    <s v="K12MR1005725"/>
    <s v="NF1SZC63S001057218"/>
    <s v="2022"/>
    <m/>
    <m/>
    <s v=" D"/>
    <s v="09000221-Muhammad Irfan"/>
    <n v="4800000"/>
    <n v="1096"/>
    <n v="11"/>
    <n v="142"/>
    <n v="0"/>
    <n v="1249"/>
    <n v="0"/>
    <n v="0"/>
    <n v="1249"/>
    <n v="0"/>
    <n v="1249"/>
    <m/>
    <m/>
    <m/>
    <s v="Syed Waqas"/>
    <n v="341.16"/>
    <n v="189.9"/>
    <m/>
  </r>
  <r>
    <n v="406"/>
    <x v="94"/>
    <x v="262"/>
    <s v=" -"/>
    <s v=" MOTOR"/>
    <d v="2024-05-27T00:00:00"/>
    <d v="2023-06-27T00:00:00"/>
    <d v="2024-06-26T00:00:00"/>
    <s v=" 08806527"/>
    <s v="Muhammad Tayyab_x000a_CNIC No. 35201-4959978-7_x000a_Phone Number. 0323-4179417"/>
    <m/>
    <s v="SUZUKI Suzuki Swift GL CV"/>
    <s v="ALP-818"/>
    <s v="K12MR1005725"/>
    <s v="NF1SZC63S001057218"/>
    <s v="2022"/>
    <m/>
    <m/>
    <s v=" D"/>
    <s v="09000221-Muhammad Irfan"/>
    <n v="4800000"/>
    <n v="395"/>
    <n v="4"/>
    <n v="52"/>
    <n v="0"/>
    <n v="451"/>
    <n v="0"/>
    <n v="0"/>
    <n v="451"/>
    <n v="0"/>
    <n v="451"/>
    <m/>
    <m/>
    <m/>
    <s v="Syed Waqas"/>
    <n v="92.230000000000089"/>
    <n v="68.600000000000009"/>
    <m/>
  </r>
  <r>
    <n v="407"/>
    <x v="94"/>
    <x v="263"/>
    <s v=" -"/>
    <s v=" MOTOR"/>
    <d v="2024-06-27T00:00:00"/>
    <d v="2023-06-27T00:00:00"/>
    <d v="2024-06-26T00:00:00"/>
    <s v=" 08806527"/>
    <s v="Muhammad Tayyab_x000a_CNIC No. 35201-4959978-7_x000a_Phone Number. 0323-4179417"/>
    <m/>
    <s v="SUZUKI Suzuki Swift GL CV"/>
    <s v="ALP-818"/>
    <s v="K12MR1005725"/>
    <s v="NF1SZC63S001057218"/>
    <s v="2022"/>
    <m/>
    <m/>
    <s v=" D"/>
    <s v="09000221-Muhammad Irfan"/>
    <n v="4800000"/>
    <n v="295"/>
    <n v="3"/>
    <n v="38"/>
    <n v="0"/>
    <n v="336"/>
    <n v="0"/>
    <n v="0"/>
    <n v="336"/>
    <n v="0"/>
    <n v="336"/>
    <m/>
    <m/>
    <m/>
    <s v="Syed Waqas"/>
    <n v="51.21"/>
    <n v="51.21"/>
    <m/>
  </r>
  <r>
    <n v="408"/>
    <x v="94"/>
    <x v="264"/>
    <s v=" -"/>
    <s v=" MOTOR"/>
    <d v="2024-12-29T00:00:00"/>
    <d v="2023-06-27T00:00:00"/>
    <d v="2024-06-26T00:00:00"/>
    <s v=" 08806527"/>
    <s v="Muhammad Tayyab_x000a_CNIC No. 35201-4959978-7_x000a_Phone Number. 0323-4179417"/>
    <m/>
    <s v="SUZUKI Suzuki Swift GL CV"/>
    <s v="ALP-818"/>
    <s v="K12MR1005725"/>
    <s v="NF1SZC63S001057218"/>
    <s v="2022"/>
    <m/>
    <m/>
    <s v=" D"/>
    <s v="09000221-Muhammad Irfan"/>
    <n v="-1"/>
    <n v="-2016"/>
    <n v="-20"/>
    <n v="0"/>
    <n v="0"/>
    <n v="-2036"/>
    <n v="0"/>
    <n v="0"/>
    <n v="-2036"/>
    <n v="0"/>
    <n v="-2036"/>
    <m/>
    <m/>
    <m/>
    <s v="Syed Waqas"/>
    <m/>
    <m/>
    <m/>
  </r>
  <r>
    <n v="409"/>
    <x v="95"/>
    <x v="265"/>
    <s v=" -"/>
    <s v=" MOTOR"/>
    <d v="2024-03-19T00:00:00"/>
    <d v="2023-06-19T00:00:00"/>
    <d v="2024-06-18T00:00:00"/>
    <s v=" 08811876"/>
    <s v="Muhammad Farhan _x000a_CNIC No. 42000-0380803-3_x000a_Cell No. 0345-2959546"/>
    <m/>
    <s v="SUZUKI Swift GLX CVT"/>
    <s v="BWK-326"/>
    <s v="K12MR1002837"/>
    <s v="NF1SZC63S00102863"/>
    <s v="2022"/>
    <m/>
    <m/>
    <s v=" D"/>
    <s v="09000221-Muhammad Irfan"/>
    <n v="4500000"/>
    <n v="2261"/>
    <n v="23"/>
    <n v="294"/>
    <n v="0"/>
    <n v="2578"/>
    <n v="0"/>
    <n v="0"/>
    <n v="2578"/>
    <n v="0"/>
    <n v="2578"/>
    <m/>
    <m/>
    <m/>
    <s v="Syed Waqas"/>
    <n v="462.06"/>
    <n v="418.28"/>
    <m/>
  </r>
  <r>
    <n v="410"/>
    <x v="95"/>
    <x v="266"/>
    <s v=" -"/>
    <s v=" MOTOR"/>
    <d v="2024-04-19T00:00:00"/>
    <d v="2023-06-19T00:00:00"/>
    <d v="2024-06-18T00:00:00"/>
    <s v=" 08811876"/>
    <s v="Muhammad Farhan _x000a_CNIC No. 42000-0380803-3_x000a_Cell No. 0345-2959546"/>
    <m/>
    <s v="SUZUKI Swift GLX CVT"/>
    <s v="BWK-326"/>
    <s v="K12MR1002837"/>
    <s v="NF1SZC63S00102863"/>
    <s v="2022"/>
    <m/>
    <m/>
    <s v=" D"/>
    <s v="09000221-Muhammad Irfan"/>
    <n v="4500000"/>
    <n v="2266"/>
    <n v="22"/>
    <n v="294"/>
    <n v="0"/>
    <n v="2582"/>
    <n v="0"/>
    <n v="0"/>
    <n v="2582"/>
    <n v="0"/>
    <n v="2582"/>
    <m/>
    <m/>
    <m/>
    <s v="Syed Waqas"/>
    <n v="419.13"/>
    <n v="419.13"/>
    <m/>
  </r>
  <r>
    <n v="411"/>
    <x v="95"/>
    <x v="267"/>
    <s v=" -"/>
    <s v=" MOTOR"/>
    <d v="2024-05-20T00:00:00"/>
    <d v="2023-06-19T00:00:00"/>
    <d v="2024-06-18T00:00:00"/>
    <s v=" 08811876"/>
    <s v="Muhammad Farhan _x000a_CNIC No. 42000-0380803-3_x000a_Cell No. 0345-2959546"/>
    <m/>
    <s v="SUZUKI Swift GLX CVT"/>
    <s v="BWK-326"/>
    <s v="K12MR1002837"/>
    <s v="NF1SZC63S00102863"/>
    <s v="2022"/>
    <m/>
    <m/>
    <s v=" D"/>
    <s v="09000221-Muhammad Irfan"/>
    <n v="4500000"/>
    <n v="2863"/>
    <n v="29"/>
    <n v="373"/>
    <n v="0"/>
    <n v="3265"/>
    <n v="0"/>
    <n v="0"/>
    <n v="3265"/>
    <n v="0"/>
    <n v="3265"/>
    <m/>
    <m/>
    <m/>
    <s v="Syed Waqas"/>
    <n v="691.54000000000019"/>
    <n v="529.97"/>
    <m/>
  </r>
  <r>
    <n v="412"/>
    <x v="95"/>
    <x v="268"/>
    <s v=" -"/>
    <s v=" MOTOR"/>
    <d v="2024-12-29T00:00:00"/>
    <d v="2023-06-19T00:00:00"/>
    <d v="2024-06-18T00:00:00"/>
    <s v=" 08811876"/>
    <s v="Muhammad Farhan _x000a_CNIC No. 42000-0380803-3_x000a_Cell No. 0345-2959546"/>
    <m/>
    <s v="SUZUKI Swift GLX CVT"/>
    <s v="BWK-326"/>
    <s v="K12MR1002837"/>
    <s v="NF1SZC63S00102863"/>
    <s v="2022"/>
    <m/>
    <m/>
    <s v=" D"/>
    <s v="09000221-Muhammad Irfan"/>
    <n v="-1"/>
    <n v="-8342"/>
    <n v="-83"/>
    <n v="0"/>
    <n v="0"/>
    <n v="-8425"/>
    <n v="0"/>
    <n v="0"/>
    <n v="-8425"/>
    <n v="0"/>
    <n v="-8425"/>
    <m/>
    <m/>
    <m/>
    <s v="Syed Waqas"/>
    <m/>
    <m/>
    <m/>
  </r>
  <r>
    <n v="425"/>
    <x v="96"/>
    <x v="269"/>
    <s v=" -"/>
    <s v=" MOTOR"/>
    <d v="2024-04-22T00:00:00"/>
    <d v="2023-06-22T00:00:00"/>
    <d v="2024-06-21T00:00:00"/>
    <s v=" 08811884"/>
    <s v="Mr. Mazhar Rasheed_x000a_CNIC: 33100-5497040-9_x000a_Phone Number: 03026090510"/>
    <m/>
    <s v="TOYOTA Rommy"/>
    <s v="AMT-402"/>
    <s v="1KR2286890"/>
    <s v="M900A0279488"/>
    <s v="2023"/>
    <m/>
    <m/>
    <s v=" D"/>
    <s v="09000221-Muhammad Irfan"/>
    <n v="3800000"/>
    <n v="5607"/>
    <n v="56"/>
    <n v="728"/>
    <n v="0"/>
    <n v="6391"/>
    <n v="0"/>
    <n v="0"/>
    <n v="6391"/>
    <n v="0"/>
    <n v="6391"/>
    <m/>
    <m/>
    <m/>
    <s v="MATEEN QURESHI"/>
    <n v="1779.02"/>
    <n v="1228.55"/>
    <m/>
  </r>
  <r>
    <n v="426"/>
    <x v="96"/>
    <x v="270"/>
    <s v=" -"/>
    <s v=" MOTOR"/>
    <d v="2024-05-22T00:00:00"/>
    <d v="2023-06-22T00:00:00"/>
    <d v="2024-06-21T00:00:00"/>
    <s v=" 08811884"/>
    <s v="Mr. Mazhar Rasheed_x000a_CNIC: 33100-5497040-9_x000a_Phone Number: 03026090510"/>
    <m/>
    <s v="TOYOTA Rommy"/>
    <s v="AMT-402"/>
    <s v="1KR2286890"/>
    <s v="M900A0279488"/>
    <s v="2023"/>
    <m/>
    <m/>
    <s v=" D"/>
    <s v="09000221-Muhammad Irfan"/>
    <n v="3800000"/>
    <n v="5660"/>
    <n v="56"/>
    <n v="736"/>
    <n v="0"/>
    <n v="6452"/>
    <n v="0"/>
    <n v="0"/>
    <n v="6452"/>
    <n v="0"/>
    <n v="6452"/>
    <m/>
    <m/>
    <m/>
    <s v="MATEEN QURESHI"/>
    <n v="1491.3000000000011"/>
    <n v="1240.44"/>
    <m/>
  </r>
  <r>
    <n v="427"/>
    <x v="96"/>
    <x v="271"/>
    <s v=" -"/>
    <s v=" MOTOR"/>
    <d v="2024-06-24T00:00:00"/>
    <d v="2023-06-22T00:00:00"/>
    <d v="2024-06-21T00:00:00"/>
    <s v=" 08811884"/>
    <s v="Mr. Mazhar Rasheed_x000a_CNIC: 33100-5497040-9_x000a_Phone Number: 03026090510"/>
    <m/>
    <s v="TOYOTA Rommy"/>
    <s v="AMT-402"/>
    <s v="1KR2286890"/>
    <s v="M900A0279488"/>
    <s v="2023"/>
    <m/>
    <m/>
    <s v=" D"/>
    <s v="09000221-Muhammad Irfan"/>
    <n v="3800000"/>
    <n v="5432"/>
    <n v="54"/>
    <n v="707"/>
    <n v="0"/>
    <n v="6193"/>
    <n v="0"/>
    <n v="0"/>
    <n v="6193"/>
    <n v="0"/>
    <n v="6193"/>
    <m/>
    <m/>
    <m/>
    <s v="MATEEN QURESHI"/>
    <n v="2504.9900000000052"/>
    <n v="1190.42"/>
    <m/>
  </r>
  <r>
    <n v="428"/>
    <x v="96"/>
    <x v="272"/>
    <s v=" -"/>
    <s v=" MOTOR"/>
    <d v="2024-10-31T00:00:00"/>
    <d v="2023-06-22T00:00:00"/>
    <d v="2024-06-21T00:00:00"/>
    <s v=" 08811884"/>
    <s v="Mr. Mazhar Rasheed_x000a_CNIC: 33100-5497040-9_x000a_Phone Number: 03026090510"/>
    <m/>
    <s v="TOYOTA Rommy"/>
    <s v="AMT-402"/>
    <s v="1KR2286890"/>
    <s v="M900A0279488"/>
    <s v="2023"/>
    <m/>
    <m/>
    <s v=" D"/>
    <s v="09000221-Muhammad Irfan"/>
    <n v="-1"/>
    <n v="-18848"/>
    <n v="-188"/>
    <n v="0"/>
    <n v="0"/>
    <n v="-19036"/>
    <n v="0"/>
    <n v="0"/>
    <n v="-19036"/>
    <n v="0"/>
    <n v="-19036"/>
    <m/>
    <m/>
    <m/>
    <s v="MATEEN QURESHI"/>
    <m/>
    <m/>
    <m/>
  </r>
  <r>
    <n v="429"/>
    <x v="97"/>
    <x v="273"/>
    <s v=" -"/>
    <s v=" MOTOR"/>
    <d v="2024-06-24T00:00:00"/>
    <d v="2023-06-22T00:00:00"/>
    <d v="2024-06-21T00:00:00"/>
    <s v=" 08811871"/>
    <s v="Mr. Ahsan Arshad_x000a_CNIC: 44103-9097586-3_x000a_Phone Number:0334-2802082"/>
    <m/>
    <s v="HONDA CITY"/>
    <s v="BVX-391"/>
    <s v="L15Z81003381"/>
    <s v="NFBGN9641MR009512"/>
    <s v="2022"/>
    <m/>
    <m/>
    <s v=" D"/>
    <s v="09000221-Muhammad Irfan"/>
    <n v="5000000"/>
    <n v="1161"/>
    <n v="11"/>
    <n v="151"/>
    <n v="0"/>
    <n v="1323"/>
    <n v="0"/>
    <n v="0"/>
    <n v="1323"/>
    <n v="0"/>
    <n v="1323"/>
    <m/>
    <m/>
    <m/>
    <s v="ASMA RIAZ"/>
    <n v="192.95"/>
    <n v="192.95"/>
    <m/>
  </r>
  <r>
    <n v="430"/>
    <x v="97"/>
    <x v="274"/>
    <s v=" -"/>
    <s v=" MOTOR"/>
    <d v="2024-10-31T00:00:00"/>
    <d v="2023-06-22T00:00:00"/>
    <d v="2024-06-21T00:00:00"/>
    <s v=" 08811871"/>
    <s v="Mr. Ahsan Arshad_x000a_CNIC: 44103-9097586-3_x000a_Phone Number:0334-2802082"/>
    <m/>
    <s v="HONDA CITY"/>
    <s v="BVX-391"/>
    <s v="L15Z81003381"/>
    <s v="NFBGN9641MR009512"/>
    <s v="2022"/>
    <m/>
    <m/>
    <s v=" D"/>
    <s v="09000221-Muhammad Irfan"/>
    <n v="-1"/>
    <n v="-1310"/>
    <n v="-13"/>
    <n v="0"/>
    <n v="0"/>
    <n v="-1323"/>
    <n v="0"/>
    <n v="0"/>
    <n v="-1323"/>
    <n v="0"/>
    <n v="-1323"/>
    <m/>
    <m/>
    <m/>
    <s v="ASMA RIAZ"/>
    <m/>
    <m/>
    <m/>
  </r>
  <r>
    <n v="431"/>
    <x v="98"/>
    <x v="24"/>
    <s v=" -"/>
    <s v=" MOTOR"/>
    <d v="2023-06-27T00:00:00"/>
    <d v="2023-06-26T00:00:00"/>
    <d v="2024-06-25T00:00:00"/>
    <s v=" 08811926"/>
    <s v="Mr. Younus Abdul Hameed _x000a_CNIC: 42201-2903459-7_x000a_Phone Number: 0333-3256182"/>
    <m/>
    <s v="DAIHATSU HIJET VAN A/T"/>
    <s v="CZ-2002"/>
    <s v="KF-QR24072"/>
    <s v="S321V-0259508"/>
    <s v="2015"/>
    <m/>
    <m/>
    <s v=" D"/>
    <s v="09000221-Muhammad Irfan"/>
    <n v="1500000"/>
    <n v="4343"/>
    <n v="43"/>
    <n v="564"/>
    <n v="50"/>
    <n v="5000"/>
    <n v="5557"/>
    <n v="0"/>
    <n v="-557"/>
    <n v="0"/>
    <n v="-557"/>
    <m/>
    <m/>
    <m/>
    <s v="ASMA RIAZ"/>
    <m/>
    <m/>
    <s v="younushameedhy@gmail.com"/>
  </r>
  <r>
    <n v="432"/>
    <x v="98"/>
    <x v="275"/>
    <s v=" -"/>
    <s v=" MOTOR"/>
    <d v="2024-06-26T00:00:00"/>
    <d v="2023-06-26T00:00:00"/>
    <d v="2024-06-25T00:00:00"/>
    <s v=" 08811926"/>
    <s v="Mr. Younus Abdul Hameed _x000a_CNIC: 42201-2903459-7_x000a_Phone Number: 0333-3256182"/>
    <m/>
    <s v="DAIHATSU HIJET VAN A/T"/>
    <s v="CZ-2002"/>
    <s v="KF-QR24072"/>
    <s v="S321V-0259508"/>
    <s v="2015"/>
    <m/>
    <m/>
    <s v=" D"/>
    <s v="09000221-Muhammad Irfan"/>
    <n v="1500000"/>
    <n v="489"/>
    <n v="5"/>
    <n v="63"/>
    <n v="0"/>
    <n v="557"/>
    <n v="0"/>
    <n v="0"/>
    <n v="557"/>
    <n v="0"/>
    <n v="557"/>
    <m/>
    <m/>
    <m/>
    <s v="ASMA RIAZ"/>
    <n v="331.17"/>
    <n v="271.66000000000003"/>
    <m/>
  </r>
  <r>
    <n v="433"/>
    <x v="99"/>
    <x v="276"/>
    <s v=" -"/>
    <s v=" MOTOR"/>
    <d v="2023-07-27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1748"/>
    <n v="18"/>
    <n v="228"/>
    <n v="0"/>
    <n v="1994"/>
    <n v="0"/>
    <n v="0"/>
    <n v="1994"/>
    <n v="0"/>
    <n v="1994"/>
    <m/>
    <m/>
    <m/>
    <s v="MATEEN QURESHI"/>
    <n v="639.6"/>
    <n v="539.6"/>
    <m/>
  </r>
  <r>
    <n v="434"/>
    <x v="99"/>
    <x v="277"/>
    <s v=" -"/>
    <s v=" MOTOR"/>
    <d v="2023-08-28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1773"/>
    <n v="17"/>
    <n v="230"/>
    <n v="0"/>
    <n v="2020"/>
    <n v="0"/>
    <n v="0"/>
    <n v="2020"/>
    <n v="0"/>
    <n v="2020"/>
    <m/>
    <m/>
    <m/>
    <s v="MATEEN QURESHI"/>
    <n v="643.4"/>
    <n v="556.23"/>
    <m/>
  </r>
  <r>
    <n v="435"/>
    <x v="99"/>
    <x v="278"/>
    <s v=" -"/>
    <s v=" MOTOR"/>
    <d v="2023-09-26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1378"/>
    <n v="14"/>
    <n v="179"/>
    <n v="0"/>
    <n v="1571"/>
    <n v="0"/>
    <n v="0"/>
    <n v="1571"/>
    <n v="0"/>
    <n v="1571"/>
    <m/>
    <m/>
    <m/>
    <s v="MATEEN QURESHI"/>
    <n v="602.21"/>
    <n v="530.99"/>
    <m/>
  </r>
  <r>
    <n v="436"/>
    <x v="99"/>
    <x v="279"/>
    <s v=" -"/>
    <s v=" MOTOR"/>
    <d v="2023-10-27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1446"/>
    <n v="15"/>
    <n v="188"/>
    <n v="0"/>
    <n v="1649"/>
    <n v="0"/>
    <n v="0"/>
    <n v="1649"/>
    <n v="0"/>
    <n v="1649"/>
    <m/>
    <m/>
    <m/>
    <s v="MATEEN QURESHI"/>
    <n v="692.63"/>
    <n v="557.39"/>
    <m/>
  </r>
  <r>
    <n v="437"/>
    <x v="99"/>
    <x v="280"/>
    <s v=" -"/>
    <s v=" MOTOR"/>
    <d v="2023-11-28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1316"/>
    <n v="13"/>
    <n v="171"/>
    <n v="0"/>
    <n v="1500"/>
    <n v="0"/>
    <n v="0"/>
    <n v="1500"/>
    <n v="0"/>
    <n v="1500"/>
    <m/>
    <m/>
    <m/>
    <s v="MATEEN QURESHI"/>
    <n v="572.24"/>
    <n v="507.1400000000001"/>
    <m/>
  </r>
  <r>
    <n v="438"/>
    <x v="99"/>
    <x v="281"/>
    <s v=" -"/>
    <s v=" MOTOR"/>
    <d v="2023-12-27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933"/>
    <n v="9"/>
    <n v="121"/>
    <n v="0"/>
    <n v="1063"/>
    <n v="0"/>
    <n v="0"/>
    <n v="1063"/>
    <n v="0"/>
    <n v="1063"/>
    <m/>
    <m/>
    <m/>
    <s v="MATEEN QURESHI"/>
    <n v="426.12"/>
    <n v="359.54"/>
    <m/>
  </r>
  <r>
    <n v="439"/>
    <x v="99"/>
    <x v="282"/>
    <s v=" -"/>
    <s v=" MOTOR"/>
    <d v="2024-01-26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1490"/>
    <n v="15"/>
    <n v="195"/>
    <n v="0"/>
    <n v="1700"/>
    <n v="0"/>
    <n v="0"/>
    <n v="1700"/>
    <n v="0"/>
    <n v="1700"/>
    <m/>
    <m/>
    <m/>
    <s v="MATEEN QURESHI"/>
    <n v="810.80000000000121"/>
    <n v="575.33000000000004"/>
    <m/>
  </r>
  <r>
    <n v="440"/>
    <x v="99"/>
    <x v="283"/>
    <s v=" -"/>
    <s v=" MOTOR"/>
    <d v="2024-02-27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979"/>
    <n v="10"/>
    <n v="127"/>
    <n v="0"/>
    <n v="1116"/>
    <n v="0"/>
    <n v="0"/>
    <n v="1116"/>
    <n v="0"/>
    <n v="1116"/>
    <m/>
    <m/>
    <m/>
    <s v="MATEEN QURESHI"/>
    <n v="398.44"/>
    <n v="378.24000000000007"/>
    <m/>
  </r>
  <r>
    <n v="441"/>
    <x v="99"/>
    <x v="284"/>
    <s v=" -"/>
    <s v=" MOTOR"/>
    <d v="2024-03-26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1379"/>
    <n v="14"/>
    <n v="179"/>
    <n v="0"/>
    <n v="1572"/>
    <n v="0"/>
    <n v="0"/>
    <n v="1572"/>
    <n v="0"/>
    <n v="1572"/>
    <m/>
    <m/>
    <m/>
    <s v="MATEEN QURESHI"/>
    <n v="596.63"/>
    <n v="532.29"/>
    <m/>
  </r>
  <r>
    <n v="442"/>
    <x v="99"/>
    <x v="285"/>
    <s v=" -"/>
    <s v=" MOTOR"/>
    <d v="2024-04-27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2564"/>
    <n v="26"/>
    <n v="334"/>
    <n v="0"/>
    <n v="2924"/>
    <n v="0"/>
    <n v="0"/>
    <n v="2924"/>
    <n v="0"/>
    <n v="2924"/>
    <m/>
    <m/>
    <m/>
    <s v="MATEEN QURESHI"/>
    <n v="1862.51"/>
    <n v="989.33"/>
    <m/>
  </r>
  <r>
    <n v="443"/>
    <x v="99"/>
    <x v="286"/>
    <s v=" -"/>
    <s v=" MOTOR"/>
    <d v="2024-05-27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2346"/>
    <n v="23"/>
    <n v="304"/>
    <n v="0"/>
    <n v="2673"/>
    <n v="0"/>
    <n v="0"/>
    <n v="2673"/>
    <n v="0"/>
    <n v="2673"/>
    <m/>
    <m/>
    <m/>
    <s v="MATEEN QURESHI"/>
    <n v="1142.93"/>
    <n v="903.67"/>
    <m/>
  </r>
  <r>
    <n v="444"/>
    <x v="99"/>
    <x v="287"/>
    <s v=" -"/>
    <s v=" MOTOR"/>
    <d v="2024-06-26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2700000"/>
    <n v="2371"/>
    <n v="23"/>
    <n v="308"/>
    <n v="0"/>
    <n v="2702"/>
    <n v="0"/>
    <n v="0"/>
    <n v="2702"/>
    <n v="0"/>
    <n v="2702"/>
    <m/>
    <m/>
    <m/>
    <s v="MATEEN QURESHI"/>
    <n v="1117.6100000000001"/>
    <n v="913.91"/>
    <m/>
  </r>
  <r>
    <n v="445"/>
    <x v="99"/>
    <x v="288"/>
    <s v=" -"/>
    <s v=" MOTOR"/>
    <d v="2024-10-31T00:00:00"/>
    <d v="2023-06-26T00:00:00"/>
    <d v="2024-06-25T00:00:00"/>
    <s v=" 08811927"/>
    <s v="Mr. Arsalan Rasheed_x000a_CNIC: 42201-1488078-5_x000a_Phone Number: 03218720017/03324959476"/>
    <m/>
    <s v="SUZUKI ALTO"/>
    <s v="BXQ-522"/>
    <s v="6R250219"/>
    <s v="NF1AET306H1150258"/>
    <s v="2022"/>
    <m/>
    <m/>
    <s v=" D"/>
    <s v="09000355-Asif Azeem"/>
    <n v="-1"/>
    <n v="-22261"/>
    <n v="-223"/>
    <n v="0"/>
    <n v="0"/>
    <n v="-22484"/>
    <n v="0"/>
    <n v="0"/>
    <n v="-22484"/>
    <n v="0"/>
    <n v="-22484"/>
    <m/>
    <m/>
    <m/>
    <s v="MATEEN QURESHI"/>
    <m/>
    <m/>
    <m/>
  </r>
  <r>
    <n v="446"/>
    <x v="100"/>
    <x v="289"/>
    <s v=" -"/>
    <s v=" MOTOR"/>
    <d v="2024-04-30T00:00:00"/>
    <d v="2023-06-30T00:00:00"/>
    <d v="2024-06-29T00:00:00"/>
    <s v=" 08806573"/>
    <s v="Mr. Faheem Khan_x000a_CNIC # 35202-6578326-7 , Cell # 0321-4563292"/>
    <m/>
    <s v="SUZUKI ALTO"/>
    <s v="AEM-741"/>
    <s v="6R173999"/>
    <s v="H1073921"/>
    <s v="2021"/>
    <m/>
    <m/>
    <s v=" D"/>
    <s v="09000221-Muhammad Irfan"/>
    <n v="1900000"/>
    <n v="1990"/>
    <n v="20"/>
    <n v="318"/>
    <n v="0"/>
    <n v="2328"/>
    <n v="0"/>
    <n v="0"/>
    <n v="2328"/>
    <n v="0"/>
    <n v="2328"/>
    <m/>
    <m/>
    <m/>
    <s v="ASMA RIAZ"/>
    <n v="1236.420000000003"/>
    <n v="894.42"/>
    <m/>
  </r>
  <r>
    <n v="447"/>
    <x v="100"/>
    <x v="290"/>
    <s v=" -"/>
    <s v=" MOTOR"/>
    <d v="2024-05-31T00:00:00"/>
    <d v="2023-06-30T00:00:00"/>
    <d v="2024-06-29T00:00:00"/>
    <s v=" 08806573"/>
    <s v="Mr. Faheem Khan_x000a_CNIC # 35202-6578326-7 , Cell # 0321-4563292"/>
    <m/>
    <s v="SUZUKI ALTO"/>
    <s v="AEM-741"/>
    <s v="6R173999"/>
    <s v="H1073921"/>
    <s v="2021"/>
    <m/>
    <m/>
    <s v=" D"/>
    <s v="09000221-Muhammad Irfan"/>
    <n v="1900000"/>
    <n v="2213"/>
    <n v="22"/>
    <n v="354"/>
    <n v="0"/>
    <n v="2589"/>
    <n v="0"/>
    <n v="0"/>
    <n v="2589"/>
    <n v="0"/>
    <n v="2589"/>
    <m/>
    <m/>
    <m/>
    <s v="ASMA RIAZ"/>
    <n v="1033.29"/>
    <n v="994.51"/>
    <m/>
  </r>
  <r>
    <n v="448"/>
    <x v="100"/>
    <x v="291"/>
    <s v=" -"/>
    <s v=" MOTOR"/>
    <d v="2024-07-01T00:00:00"/>
    <d v="2023-06-30T00:00:00"/>
    <d v="2024-06-29T00:00:00"/>
    <s v=" 08806573"/>
    <s v="Mr. Faheem Khan_x000a_CNIC # 35202-6578326-7 , Cell # 0321-4563292"/>
    <m/>
    <s v="SUZUKI ALTO"/>
    <s v="AEM-741"/>
    <s v="6R173999"/>
    <s v="H1073921"/>
    <s v="2021"/>
    <m/>
    <m/>
    <s v=" D"/>
    <s v="09000221-Muhammad Irfan"/>
    <n v="1900000"/>
    <n v="1925"/>
    <n v="20"/>
    <n v="309"/>
    <n v="0"/>
    <n v="2254"/>
    <n v="0"/>
    <n v="0"/>
    <n v="2254"/>
    <n v="0"/>
    <n v="2254"/>
    <m/>
    <m/>
    <m/>
    <s v="ASMA RIAZ"/>
    <n v="1118.68"/>
    <n v="866.4"/>
    <m/>
  </r>
  <r>
    <n v="449"/>
    <x v="100"/>
    <x v="292"/>
    <s v=" -"/>
    <s v=" MOTOR"/>
    <d v="2024-10-31T00:00:00"/>
    <d v="2023-06-30T00:00:00"/>
    <d v="2024-06-29T00:00:00"/>
    <s v=" 08806573"/>
    <s v="Mr. Faheem Khan_x000a_CNIC # 35202-6578326-7 , Cell # 0321-4563292"/>
    <m/>
    <s v="SUZUKI ALTO"/>
    <s v="AEM-741"/>
    <s v="6R173999"/>
    <s v="H1073921"/>
    <s v="2021"/>
    <m/>
    <m/>
    <s v=" D"/>
    <s v="09000221-Muhammad Irfan"/>
    <n v="-1"/>
    <n v="-7100"/>
    <n v="-71"/>
    <n v="0"/>
    <n v="0"/>
    <n v="-7171"/>
    <n v="0"/>
    <n v="0"/>
    <n v="-7171"/>
    <n v="0"/>
    <n v="-7171"/>
    <m/>
    <m/>
    <m/>
    <s v="ASMA RIAZ"/>
    <m/>
    <m/>
    <m/>
  </r>
  <r>
    <n v="450"/>
    <x v="101"/>
    <x v="293"/>
    <s v=" -"/>
    <s v=" MOTOR"/>
    <d v="2023-07-27T00:00:00"/>
    <d v="2023-06-26T00:00:00"/>
    <d v="2024-06-25T00:00:00"/>
    <s v=" 08004864"/>
    <s v="Muhammad Junaid _x000a_CNIC No. 42301-1124097-9_x000a_Cell No. 0321-9283174"/>
    <m/>
    <s v="KIA SPORTAGE AWD"/>
    <s v="BH-8565"/>
    <s v="G4NALH306394"/>
    <s v="NNAQL51AZKP503229"/>
    <s v="2020"/>
    <m/>
    <m/>
    <s v=" D"/>
    <s v="09000355-Asif Azeem"/>
    <n v="7500000"/>
    <n v="1098"/>
    <n v="11"/>
    <n v="142"/>
    <n v="0"/>
    <n v="1251"/>
    <n v="0"/>
    <n v="0"/>
    <n v="1251"/>
    <n v="0"/>
    <n v="1251"/>
    <m/>
    <m/>
    <m/>
    <s v="ASMA RIAZ"/>
    <n v="121.74"/>
    <n v="121.74"/>
    <m/>
  </r>
  <r>
    <n v="451"/>
    <x v="101"/>
    <x v="294"/>
    <s v=" -"/>
    <s v=" MOTOR"/>
    <d v="2023-08-28T00:00:00"/>
    <d v="2023-06-26T00:00:00"/>
    <d v="2024-06-25T00:00:00"/>
    <s v=" 08004864"/>
    <s v="Muhammad Junaid _x000a_CNIC No. 42301-1124097-9_x000a_Cell No. 0321-9283174"/>
    <m/>
    <s v="KIA SPORTAGE AWD"/>
    <s v="BH-8565"/>
    <s v="G4NALH306394"/>
    <s v="NNAQL51AZKP503229"/>
    <s v="2020"/>
    <m/>
    <m/>
    <s v=" D"/>
    <s v="09000355-Asif Azeem"/>
    <n v="7500000"/>
    <n v="2301"/>
    <n v="23"/>
    <n v="299"/>
    <n v="0"/>
    <n v="2623"/>
    <n v="0"/>
    <n v="0"/>
    <n v="2623"/>
    <n v="0"/>
    <n v="2623"/>
    <m/>
    <m/>
    <m/>
    <s v="ASMA RIAZ"/>
    <n v="303.80000000000007"/>
    <n v="256.79000000000002"/>
    <m/>
  </r>
  <r>
    <n v="452"/>
    <x v="101"/>
    <x v="295"/>
    <s v=" -"/>
    <s v=" MOTOR"/>
    <d v="2023-09-26T00:00:00"/>
    <d v="2023-06-26T00:00:00"/>
    <d v="2024-06-25T00:00:00"/>
    <s v=" 08004864"/>
    <s v="Muhammad Junaid _x000a_CNIC No. 42301-1124097-9_x000a_Cell No. 0321-9283174"/>
    <m/>
    <s v="KIA SPORTAGE AWD"/>
    <s v="BH-8565"/>
    <s v="G4NALH306394"/>
    <s v="NNAQL51AZKP503229"/>
    <s v="2020"/>
    <m/>
    <m/>
    <s v=" D"/>
    <s v="09000355-Asif Azeem"/>
    <n v="7500000"/>
    <n v="540"/>
    <n v="6"/>
    <n v="71"/>
    <n v="0"/>
    <n v="617"/>
    <n v="0"/>
    <n v="0"/>
    <n v="617"/>
    <n v="0"/>
    <n v="617"/>
    <m/>
    <m/>
    <m/>
    <s v="ASMA RIAZ"/>
    <n v="75.010000000000005"/>
    <n v="75.010000000000005"/>
    <m/>
  </r>
  <r>
    <n v="453"/>
    <x v="101"/>
    <x v="296"/>
    <s v=" -"/>
    <s v=" MOTOR"/>
    <d v="2023-10-27T00:00:00"/>
    <d v="2023-06-26T00:00:00"/>
    <d v="2024-06-25T00:00:00"/>
    <s v=" 08004864"/>
    <s v="Muhammad Junaid _x000a_CNIC No. 42301-1124097-9_x000a_Cell No. 0321-9283174"/>
    <m/>
    <s v="KIA SPORTAGE AWD"/>
    <s v="BH-8565"/>
    <s v="G4NALH306394"/>
    <s v="NNAQL51AZKP503229"/>
    <s v="2020"/>
    <m/>
    <m/>
    <s v=" D"/>
    <s v="09000355-Asif Azeem"/>
    <n v="7500000"/>
    <n v="539"/>
    <n v="5"/>
    <n v="70"/>
    <n v="0"/>
    <n v="614"/>
    <n v="0"/>
    <n v="0"/>
    <n v="614"/>
    <n v="0"/>
    <n v="614"/>
    <m/>
    <m/>
    <m/>
    <s v="ASMA RIAZ"/>
    <n v="74.66"/>
    <n v="74.66"/>
    <m/>
  </r>
  <r>
    <n v="454"/>
    <x v="101"/>
    <x v="297"/>
    <s v=" -"/>
    <s v=" MOTOR"/>
    <d v="2023-11-28T00:00:00"/>
    <d v="2023-06-26T00:00:00"/>
    <d v="2024-06-25T00:00:00"/>
    <s v=" 08004864"/>
    <s v="Muhammad Junaid _x000a_CNIC No. 42301-1124097-9_x000a_Cell No. 0321-9283174"/>
    <m/>
    <s v="KIA SPORTAGE AWD"/>
    <s v="BH-8565"/>
    <s v="G4NALH306394"/>
    <s v="NNAQL51AZKP503229"/>
    <s v="2020"/>
    <m/>
    <m/>
    <s v=" D"/>
    <s v="09000355-Asif Azeem"/>
    <n v="7500000"/>
    <n v="704"/>
    <n v="7"/>
    <n v="91"/>
    <n v="0"/>
    <n v="802"/>
    <n v="0"/>
    <n v="0"/>
    <n v="802"/>
    <n v="0"/>
    <n v="802"/>
    <m/>
    <m/>
    <m/>
    <s v="ASMA RIAZ"/>
    <n v="97.45999999999998"/>
    <n v="97.45999999999998"/>
    <m/>
  </r>
  <r>
    <n v="455"/>
    <x v="101"/>
    <x v="298"/>
    <s v=" -"/>
    <s v=" MOTOR"/>
    <d v="2023-12-27T00:00:00"/>
    <d v="2023-06-26T00:00:00"/>
    <d v="2024-06-25T00:00:00"/>
    <s v=" 08004864"/>
    <s v="Muhammad Junaid _x000a_CNIC No. 42301-1124097-9_x000a_Cell No. 0321-9283174"/>
    <m/>
    <s v="KIA SPORTAGE AWD"/>
    <s v="BH-8565"/>
    <s v="G4NALH306394"/>
    <s v="NNAQL51AZKP503229"/>
    <s v="2020"/>
    <m/>
    <m/>
    <s v=" D"/>
    <s v="09000355-Asif Azeem"/>
    <n v="7500000"/>
    <n v="647"/>
    <n v="7"/>
    <n v="84"/>
    <n v="0"/>
    <n v="738"/>
    <n v="0"/>
    <n v="0"/>
    <n v="738"/>
    <n v="0"/>
    <n v="738"/>
    <m/>
    <m/>
    <m/>
    <s v="ASMA RIAZ"/>
    <n v="89.82"/>
    <n v="89.82"/>
    <m/>
  </r>
  <r>
    <n v="456"/>
    <x v="101"/>
    <x v="299"/>
    <s v=" -"/>
    <s v=" MOTOR"/>
    <d v="2024-10-31T00:00:00"/>
    <d v="2023-06-26T00:00:00"/>
    <d v="2024-06-25T00:00:00"/>
    <s v=" 08004864"/>
    <s v="Muhammad Junaid _x000a_CNIC No. 42301-1124097-9_x000a_Cell No. 0321-9283174"/>
    <m/>
    <s v="KIA SPORTAGE AWD"/>
    <s v="BH-8565"/>
    <s v="G4NALH306394"/>
    <s v="NNAQL51AZKP503229"/>
    <s v="2020"/>
    <m/>
    <m/>
    <s v=" D"/>
    <s v="09000355-Asif Azeem"/>
    <n v="-1"/>
    <n v="-6579"/>
    <n v="-66"/>
    <n v="0"/>
    <n v="0"/>
    <n v="-6645"/>
    <n v="0"/>
    <n v="0"/>
    <n v="-6645"/>
    <n v="0"/>
    <n v="-6645"/>
    <m/>
    <m/>
    <m/>
    <s v="ASMA RIAZ"/>
    <m/>
    <m/>
    <m/>
  </r>
  <r>
    <n v="457"/>
    <x v="102"/>
    <x v="300"/>
    <s v=" -"/>
    <s v=" MOTOR"/>
    <d v="2023-07-31T00:00:00"/>
    <d v="2023-06-27T00:00:00"/>
    <d v="2024-06-26T00:00:00"/>
    <s v=" 08811974"/>
    <s v="Irfan Iftikhar _x000a_CNIC No.  42201-3864204-9_x000a_Cell No. 0321-9260667"/>
    <m/>
    <s v="TOYOTA PIXIS EPOCH A/T"/>
    <s v="BGU-652"/>
    <s v="KF-G302249"/>
    <s v="LA300A-1015576"/>
    <s v="2013"/>
    <m/>
    <m/>
    <s v=" D"/>
    <s v="09000221-Muhammad Irfan"/>
    <n v="1500000"/>
    <n v="20900"/>
    <n v="209"/>
    <n v="2717"/>
    <n v="0"/>
    <n v="23826"/>
    <n v="0"/>
    <n v="0"/>
    <n v="23826"/>
    <n v="0"/>
    <n v="23826"/>
    <m/>
    <m/>
    <m/>
    <s v="ASMA RIAZ"/>
    <m/>
    <m/>
    <s v="irfan.iftikhar@hotmail.com"/>
  </r>
  <r>
    <n v="458"/>
    <x v="102"/>
    <x v="301"/>
    <s v=" -"/>
    <s v=" MOTOR"/>
    <d v="2024-02-27T00:00:00"/>
    <d v="2023-06-27T00:00:00"/>
    <d v="2024-06-26T00:00:00"/>
    <s v=" 08811974"/>
    <s v="Irfan Iftikhar _x000a_CNIC No.  42201-3864204-9_x000a_Cell No. 0321-9260667"/>
    <m/>
    <s v="TOYOTA PIXIS EPOCH A/T"/>
    <s v="BGU-652"/>
    <s v="KF-G302249"/>
    <s v="LA300A-1015576"/>
    <s v="2013"/>
    <m/>
    <m/>
    <s v=" D"/>
    <s v="09000221-Muhammad Irfan"/>
    <n v="1500000"/>
    <n v="2214"/>
    <n v="22"/>
    <n v="288"/>
    <n v="0"/>
    <n v="2524"/>
    <n v="0"/>
    <n v="0"/>
    <n v="2524"/>
    <n v="0"/>
    <n v="2524"/>
    <m/>
    <m/>
    <m/>
    <s v="ASMA RIAZ"/>
    <n v="3409.96"/>
    <n v="1234.26"/>
    <m/>
  </r>
  <r>
    <n v="459"/>
    <x v="102"/>
    <x v="302"/>
    <s v=" -"/>
    <s v=" MOTOR"/>
    <d v="2024-04-17T00:00:00"/>
    <d v="2023-06-27T00:00:00"/>
    <d v="2024-06-26T00:00:00"/>
    <s v=" 08811974"/>
    <s v="Irfan Iftikhar _x000a_CNIC No.  42201-3864204-9_x000a_Cell No. 0321-9260667"/>
    <s v="."/>
    <s v="TOYOTA PIXIS EPOCH A/T"/>
    <s v="BGU-652"/>
    <s v="KF-G302249"/>
    <s v="LA300A-1015576"/>
    <s v="2013"/>
    <m/>
    <m/>
    <s v=" D"/>
    <s v="09000221-Muhammad Irfan"/>
    <n v="1500000"/>
    <n v="-2214"/>
    <n v="-22"/>
    <n v="-288"/>
    <n v="0"/>
    <n v="-2524"/>
    <n v="0"/>
    <n v="0"/>
    <n v="-2524"/>
    <n v="0"/>
    <n v="-2524"/>
    <m/>
    <m/>
    <m/>
    <s v="ASMA RIAZ"/>
    <m/>
    <m/>
    <m/>
  </r>
  <r>
    <n v="460"/>
    <x v="102"/>
    <x v="303"/>
    <s v=" -"/>
    <s v=" MOTOR"/>
    <d v="2024-10-31T00:00:00"/>
    <d v="2023-06-27T00:00:00"/>
    <d v="2024-06-26T00:00:00"/>
    <s v=" 08811974"/>
    <s v="Irfan Iftikhar _x000a_CNIC No.  42201-3864204-9_x000a_Cell No. 0321-9260667"/>
    <s v="."/>
    <s v="TOYOTA PIXIS EPOCH A/T"/>
    <s v="BGU-652"/>
    <s v="KF-G302249"/>
    <s v="LA300A-1015576"/>
    <s v="2013"/>
    <m/>
    <m/>
    <s v=" D"/>
    <s v="09000221-Muhammad Irfan"/>
    <n v="-1"/>
    <n v="-23590"/>
    <n v="-236"/>
    <n v="0"/>
    <n v="0"/>
    <n v="-23826"/>
    <n v="0"/>
    <n v="0"/>
    <n v="-23826"/>
    <n v="0"/>
    <n v="-23826"/>
    <m/>
    <m/>
    <m/>
    <s v="ASMA RIAZ"/>
    <m/>
    <m/>
    <m/>
  </r>
  <r>
    <n v="461"/>
    <x v="103"/>
    <x v="304"/>
    <s v=" -"/>
    <s v=" MOTOR"/>
    <d v="2023-07-31T00:00:00"/>
    <d v="2023-07-04T00:00:00"/>
    <d v="2024-07-03T00:00:00"/>
    <s v=" 08003456"/>
    <s v="Mr. Qayum Shah_x000a_CNIC: 4220103834713_x000a_Cell: 03212525332"/>
    <m/>
    <s v="HONDA VEZEL HYBRID A/T."/>
    <s v="BJ-6770"/>
    <s v="LEB-5914466"/>
    <s v="RU3-1214459"/>
    <s v="2016"/>
    <m/>
    <m/>
    <s v=" D"/>
    <s v="09000106-Tayyab Khalique"/>
    <n v="6000000"/>
    <n v="100876"/>
    <n v="1009"/>
    <n v="13115"/>
    <n v="0"/>
    <n v="115000"/>
    <n v="0"/>
    <n v="0"/>
    <n v="115000"/>
    <n v="0"/>
    <n v="115000"/>
    <m/>
    <m/>
    <m/>
    <s v="_x0009_Tayyab Khalique"/>
    <m/>
    <m/>
    <s v="Qayum.shah@outlook.com"/>
  </r>
  <r>
    <n v="462"/>
    <x v="103"/>
    <x v="305"/>
    <s v=" -"/>
    <s v=" MOTOR"/>
    <d v="2023-12-20T00:00:00"/>
    <d v="2023-07-04T00:00:00"/>
    <d v="2024-07-03T00:00:00"/>
    <s v=" 08003456"/>
    <s v="Mr. Qayum Shah_x000a_CNIC: 4220103834713_x000a_Cell: 03212525332"/>
    <s v="."/>
    <s v="HONDA VEZEL HYBRID A/T."/>
    <s v="BJ-6770"/>
    <s v="LEB-5914466"/>
    <s v="RU3-1214459"/>
    <s v="2016"/>
    <m/>
    <m/>
    <s v=" D"/>
    <s v="09000106-Tayyab Khalique"/>
    <n v="6000000"/>
    <n v="75857"/>
    <n v="758"/>
    <n v="9861"/>
    <n v="0"/>
    <n v="86476"/>
    <n v="78781"/>
    <n v="0"/>
    <n v="7695"/>
    <n v="0"/>
    <n v="7695"/>
    <m/>
    <m/>
    <m/>
    <s v="_x0009_Tayyab Khalique"/>
    <m/>
    <m/>
    <s v="Qayum.shah@outlook.com"/>
  </r>
  <r>
    <n v="463"/>
    <x v="103"/>
    <x v="306"/>
    <s v=" -"/>
    <s v=" MOTOR"/>
    <d v="2024-01-02T00:00:00"/>
    <d v="2023-07-04T00:00:00"/>
    <d v="2024-07-03T00:00:00"/>
    <s v=" 08003456"/>
    <s v="Mr. Qayum Shah_x000a_CNIC: 4220103834713_x000a_Cell: 03212525332"/>
    <s v="."/>
    <s v="HONDA VEZEL HYBRID A/T."/>
    <s v="BJ-6770"/>
    <s v="LEB-5914466"/>
    <s v="RU3-1214459"/>
    <s v="2016"/>
    <m/>
    <m/>
    <s v=" D"/>
    <s v="09000106-Tayyab Khalique"/>
    <n v="6000000"/>
    <n v="-7619"/>
    <n v="-77"/>
    <n v="0"/>
    <n v="0"/>
    <n v="-7696"/>
    <n v="0"/>
    <n v="0"/>
    <n v="-7696"/>
    <n v="0"/>
    <n v="-7696"/>
    <m/>
    <m/>
    <m/>
    <s v="_x0009_Tayyab Khalique"/>
    <m/>
    <m/>
    <s v="Qayum.shah@outlook.com"/>
  </r>
  <r>
    <n v="464"/>
    <x v="103"/>
    <x v="307"/>
    <s v=" -"/>
    <s v=" MOTOR"/>
    <d v="2024-10-31T00:00:00"/>
    <d v="2023-07-04T00:00:00"/>
    <d v="2024-07-03T00:00:00"/>
    <s v=" 08003456"/>
    <s v="Mr. Qayum Shah_x000a_CNIC: 4220103834713_x000a_Cell: 03212525332"/>
    <s v="."/>
    <s v="HONDA VEZEL HYBRID A/T."/>
    <s v="BJ-6770"/>
    <s v="LEB-5914466"/>
    <s v="RU3-1214459"/>
    <s v="2016"/>
    <m/>
    <m/>
    <s v=" D"/>
    <s v="09000106-Tayyab Khalique"/>
    <n v="-1"/>
    <n v="-113860"/>
    <n v="-1139"/>
    <n v="0"/>
    <n v="0"/>
    <n v="-114999"/>
    <n v="0"/>
    <n v="0"/>
    <n v="-114999"/>
    <n v="0"/>
    <n v="-114999"/>
    <m/>
    <m/>
    <m/>
    <s v="_x0009_Tayyab Khalique"/>
    <m/>
    <m/>
    <m/>
  </r>
  <r>
    <n v="465"/>
    <x v="104"/>
    <x v="308"/>
    <s v=" -"/>
    <s v=" MOTOR"/>
    <d v="2023-07-31T00:00:00"/>
    <d v="2023-07-05T00:00:00"/>
    <d v="2024-07-04T00:00:00"/>
    <s v=" 08812013"/>
    <s v="Mr. Muhammad Rayyan Alam_x000a_CNIC: 4220181429613_x000a_Phone Number: 03362232741"/>
    <m/>
    <s v="HONDA CIVIC"/>
    <s v="BQY-364"/>
    <s v="R18Z12952528"/>
    <s v="NFBFC6661KR055954"/>
    <s v="2019"/>
    <m/>
    <m/>
    <s v=" D"/>
    <s v="09000221-Muhammad Irfan"/>
    <n v="5000000"/>
    <n v="83332"/>
    <n v="834"/>
    <n v="10834"/>
    <n v="0"/>
    <n v="95000"/>
    <n v="0"/>
    <n v="0"/>
    <n v="95000"/>
    <n v="0"/>
    <n v="95000"/>
    <m/>
    <m/>
    <m/>
    <s v="Syed Waqas"/>
    <m/>
    <m/>
    <s v="rayyanalam46@gmail.com"/>
  </r>
  <r>
    <n v="466"/>
    <x v="104"/>
    <x v="309"/>
    <s v=" -"/>
    <s v=" MOTOR"/>
    <d v="2024-04-05T00:00:00"/>
    <d v="2023-07-05T00:00:00"/>
    <d v="2024-07-04T00:00:00"/>
    <s v=" 08812013"/>
    <s v="Mr. Muhammad Rayyan Alam_x000a_CNIC: 4220181429613_x000a_Phone Number: 03362232741"/>
    <m/>
    <s v="HONDA CIVIC"/>
    <s v="BQY-364"/>
    <s v="R18Z12952528"/>
    <s v="NFBFC6661KR055954"/>
    <s v="2019"/>
    <m/>
    <m/>
    <s v=" D"/>
    <s v="09000221-Muhammad Irfan"/>
    <n v="5000000"/>
    <n v="2922"/>
    <n v="29"/>
    <n v="379"/>
    <n v="0"/>
    <n v="3330"/>
    <n v="0"/>
    <n v="0"/>
    <n v="3330"/>
    <n v="0"/>
    <n v="3330"/>
    <m/>
    <m/>
    <m/>
    <s v="Syed Waqas"/>
    <n v="515.67999999999995"/>
    <n v="485.95000000000005"/>
    <m/>
  </r>
  <r>
    <n v="467"/>
    <x v="104"/>
    <x v="310"/>
    <s v=" -"/>
    <s v=" MOTOR"/>
    <d v="2024-05-13T00:00:00"/>
    <d v="2023-07-05T00:00:00"/>
    <d v="2024-07-04T00:00:00"/>
    <s v=" 08812013"/>
    <s v="Mr. Muhammad Rayyan Alam_x000a_CNIC: 4220181429613_x000a_Phone Number: 03362232741"/>
    <m/>
    <s v="HONDA CIVIC"/>
    <s v="BQY-364"/>
    <s v="R18Z12952528"/>
    <s v="NFBFC6661KR055954"/>
    <s v="2019"/>
    <m/>
    <m/>
    <s v=" D"/>
    <s v="09000221-Muhammad Irfan"/>
    <n v="5000000"/>
    <n v="3004"/>
    <n v="30"/>
    <n v="391"/>
    <n v="0"/>
    <n v="3425"/>
    <n v="0"/>
    <n v="0"/>
    <n v="3425"/>
    <n v="0"/>
    <n v="3425"/>
    <m/>
    <m/>
    <m/>
    <s v="Syed Waqas"/>
    <n v="525.29000000000008"/>
    <n v="500.24"/>
    <m/>
  </r>
  <r>
    <n v="468"/>
    <x v="104"/>
    <x v="311"/>
    <s v=" -"/>
    <s v=" MOTOR"/>
    <d v="2024-06-06T00:00:00"/>
    <d v="2023-07-05T00:00:00"/>
    <d v="2024-07-04T00:00:00"/>
    <s v=" 08812013"/>
    <s v="Mr. Muhammad Rayyan Alam_x000a_CNIC: 4220181429613_x000a_Phone Number: 03362232741"/>
    <m/>
    <s v="HONDA CIVIC"/>
    <s v="BQY-364"/>
    <s v="R18Z12952528"/>
    <s v="NFBFC6661KR055954"/>
    <s v="2019"/>
    <m/>
    <m/>
    <s v=" D"/>
    <s v="09000221-Muhammad Irfan"/>
    <n v="5000000"/>
    <n v="3489"/>
    <n v="35"/>
    <n v="454"/>
    <n v="0"/>
    <n v="3978"/>
    <n v="0"/>
    <n v="0"/>
    <n v="3978"/>
    <n v="0"/>
    <n v="3978"/>
    <m/>
    <m/>
    <m/>
    <s v="Syed Waqas"/>
    <n v="584.46"/>
    <n v="581.07000000000005"/>
    <m/>
  </r>
  <r>
    <n v="469"/>
    <x v="104"/>
    <x v="312"/>
    <s v=" -"/>
    <s v=" MOTOR"/>
    <d v="2024-07-05T00:00:00"/>
    <d v="2023-07-05T00:00:00"/>
    <d v="2024-07-04T00:00:00"/>
    <s v=" 08812013"/>
    <s v="Mr. Muhammad Rayyan Alam_x000a_CNIC: 4220181429613_x000a_Phone Number: 03362232741"/>
    <m/>
    <s v="HONDA CIVIC"/>
    <s v="BQY-364"/>
    <s v="R18Z12952528"/>
    <s v="NFBFC6661KR055954"/>
    <s v="2019"/>
    <m/>
    <m/>
    <s v=" D"/>
    <s v="09000221-Muhammad Irfan"/>
    <n v="5000000"/>
    <n v="4860"/>
    <n v="49"/>
    <n v="729"/>
    <n v="0"/>
    <n v="5638"/>
    <n v="0"/>
    <n v="0"/>
    <n v="5638"/>
    <n v="0"/>
    <n v="5638"/>
    <m/>
    <m/>
    <m/>
    <s v="Syed Waqas"/>
    <n v="941.73000000000104"/>
    <n v="823.74"/>
    <m/>
  </r>
  <r>
    <n v="470"/>
    <x v="104"/>
    <x v="313"/>
    <s v=" -"/>
    <s v=" MOTOR"/>
    <d v="2024-10-31T00:00:00"/>
    <d v="2023-07-05T00:00:00"/>
    <d v="2024-07-04T00:00:00"/>
    <s v=" 08812013"/>
    <s v="Mr. Muhammad Rayyan Alam_x000a_CNIC: 4220181429613_x000a_Phone Number: 03362232741"/>
    <m/>
    <s v="HONDA CIVIC"/>
    <s v="BQY-364"/>
    <s v="R18Z12952528"/>
    <s v="NFBFC6661KR055954"/>
    <s v="2019"/>
    <m/>
    <m/>
    <s v=" D"/>
    <s v="09000221-Muhammad Irfan"/>
    <n v="-1"/>
    <n v="-110268"/>
    <n v="-1103"/>
    <n v="0"/>
    <n v="0"/>
    <n v="-111371"/>
    <n v="0"/>
    <n v="0"/>
    <n v="-111371"/>
    <n v="0"/>
    <n v="-111371"/>
    <m/>
    <m/>
    <m/>
    <s v="Syed Waqas"/>
    <m/>
    <m/>
    <m/>
  </r>
  <r>
    <n v="471"/>
    <x v="105"/>
    <x v="314"/>
    <s v=" -"/>
    <s v=" MOTOR"/>
    <d v="2023-07-31T00:00:00"/>
    <d v="2023-07-06T00:00:00"/>
    <d v="2024-07-05T00:00:00"/>
    <s v=" 08810051"/>
    <s v="Mr. Muhammad Ammar_x000a_CNIC: 4220185118685_x000a_Phone Number: 03083273137"/>
    <m/>
    <s v="KIA KIA SPORTAGE"/>
    <s v="BJ-0798"/>
    <s v="G4NALH334377"/>
    <s v="NNAQL51AZLP100938"/>
    <s v="2021"/>
    <m/>
    <m/>
    <s v=" D"/>
    <s v="09000221-Muhammad Irfan"/>
    <n v="5800000"/>
    <n v="97368"/>
    <n v="974"/>
    <n v="12658"/>
    <n v="0"/>
    <n v="111000"/>
    <n v="0"/>
    <n v="0"/>
    <n v="111000"/>
    <n v="0"/>
    <n v="111000"/>
    <m/>
    <m/>
    <m/>
    <s v="MATEEN QURESHI"/>
    <m/>
    <m/>
    <s v="abudujanashaikh@gmail.com"/>
  </r>
  <r>
    <n v="472"/>
    <x v="105"/>
    <x v="315"/>
    <s v=" -"/>
    <s v=" MOTOR"/>
    <d v="2024-07-09T00:00:00"/>
    <d v="2023-07-06T00:00:00"/>
    <d v="2024-07-05T00:00:00"/>
    <s v=" 08810051"/>
    <s v="Mr. Muhammad Ammar_x000a_CNIC: 4220185118685_x000a_Phone Number: 03083273137"/>
    <m/>
    <s v="KIA KIA SPORTAGE"/>
    <s v="BJ-0798"/>
    <s v="G4NALH334377"/>
    <s v="NNAQL51AZLP100938"/>
    <s v="2021"/>
    <m/>
    <m/>
    <s v=" D"/>
    <s v="09000221-Muhammad Irfan"/>
    <n v="5800000"/>
    <n v="2658"/>
    <n v="27"/>
    <n v="399"/>
    <n v="0"/>
    <n v="3084"/>
    <n v="0"/>
    <n v="0"/>
    <n v="3084"/>
    <n v="0"/>
    <n v="3084"/>
    <m/>
    <m/>
    <m/>
    <s v="MATEEN QURESHI"/>
    <n v="463.09"/>
    <n v="387.79"/>
    <m/>
  </r>
  <r>
    <n v="473"/>
    <x v="105"/>
    <x v="316"/>
    <s v=" -"/>
    <s v=" MOTOR"/>
    <d v="2024-10-31T00:00:00"/>
    <d v="2023-07-06T00:00:00"/>
    <d v="2024-07-05T00:00:00"/>
    <s v=" 08810051"/>
    <s v="Mr. Muhammad Ammar_x000a_CNIC: 4220185118685_x000a_Phone Number: 03083273137"/>
    <m/>
    <s v="KIA KIA SPORTAGE"/>
    <s v="BJ-0798"/>
    <s v="G4NALH334377"/>
    <s v="NNAQL51AZLP100938"/>
    <s v="2021"/>
    <m/>
    <m/>
    <s v=" D"/>
    <s v="09000221-Muhammad Irfan"/>
    <n v="-1"/>
    <n v="-112954"/>
    <n v="-1130"/>
    <n v="0"/>
    <n v="0"/>
    <n v="-114084"/>
    <n v="0"/>
    <n v="0"/>
    <n v="-114084"/>
    <n v="0"/>
    <n v="-114084"/>
    <m/>
    <m/>
    <m/>
    <s v="MATEEN QURESHI"/>
    <m/>
    <m/>
    <m/>
  </r>
  <r>
    <n v="474"/>
    <x v="106"/>
    <x v="317"/>
    <s v=" -"/>
    <s v=" MOTOR"/>
    <d v="2023-07-31T00:00:00"/>
    <d v="2023-07-12T00:00:00"/>
    <d v="2024-07-11T00:00:00"/>
    <s v=" 08812092"/>
    <s v="Mr. Amaan Naqib Qureshi_x000a_CNIC: 42201-1995430-3_x000a_Phone Number: 03222614168"/>
    <m/>
    <s v="SUZUKI ALTO"/>
    <s v="BXF-166"/>
    <s v="6R240819"/>
    <s v="NF1AET306H1140814"/>
    <s v="2022"/>
    <m/>
    <m/>
    <s v=" D"/>
    <s v="09000221-Muhammad Irfan"/>
    <n v="3000000"/>
    <n v="48245"/>
    <n v="483"/>
    <n v="6272"/>
    <n v="0"/>
    <n v="55000"/>
    <n v="0"/>
    <n v="0"/>
    <n v="55000"/>
    <n v="0"/>
    <n v="55000"/>
    <m/>
    <m/>
    <m/>
    <s v="Syed Waqas"/>
    <m/>
    <m/>
    <s v="amannaqib@gmail.com"/>
  </r>
  <r>
    <n v="475"/>
    <x v="106"/>
    <x v="318"/>
    <s v=" -"/>
    <s v=" MOTOR"/>
    <d v="2024-07-12T00:00:00"/>
    <d v="2023-07-12T00:00:00"/>
    <d v="2024-07-11T00:00:00"/>
    <s v=" 08812092"/>
    <s v="Mr. Amaan Naqib Qureshi_x000a_CNIC: 42201-1995430-3_x000a_Phone Number: 03222614168"/>
    <m/>
    <s v="SUZUKI ALTO"/>
    <s v="BXF-166"/>
    <s v="6R240819"/>
    <s v="NF1AET306H1140814"/>
    <s v="2022"/>
    <m/>
    <m/>
    <s v=" D"/>
    <s v="09000221-Muhammad Irfan"/>
    <n v="3000000"/>
    <n v="1011"/>
    <n v="10"/>
    <n v="152"/>
    <n v="0"/>
    <n v="1173"/>
    <n v="0"/>
    <n v="0"/>
    <n v="1173"/>
    <n v="0"/>
    <n v="1173"/>
    <m/>
    <m/>
    <m/>
    <s v="Syed Waqas"/>
    <n v="285.7"/>
    <n v="285.7"/>
    <m/>
  </r>
  <r>
    <n v="476"/>
    <x v="106"/>
    <x v="319"/>
    <s v=" -"/>
    <s v=" MOTOR"/>
    <d v="2024-12-29T00:00:00"/>
    <d v="2023-07-12T00:00:00"/>
    <d v="2024-07-11T00:00:00"/>
    <s v=" 08812092"/>
    <s v="Mr. Amaan Naqib Qureshi_x000a_CNIC: 42201-1995430-3_x000a_Phone Number: 03222614168"/>
    <m/>
    <s v="SUZUKI ALTO"/>
    <s v="BXF-166"/>
    <s v="6R240819"/>
    <s v="NF1AET306H1140814"/>
    <s v="2022"/>
    <m/>
    <m/>
    <s v=" D"/>
    <s v="09000221-Muhammad Irfan"/>
    <n v="-1"/>
    <n v="-55617"/>
    <n v="-556"/>
    <n v="0"/>
    <n v="0"/>
    <n v="-56173"/>
    <n v="0"/>
    <n v="0"/>
    <n v="-56173"/>
    <n v="0"/>
    <n v="-56173"/>
    <m/>
    <m/>
    <m/>
    <s v="Syed Waqas"/>
    <m/>
    <m/>
    <m/>
  </r>
  <r>
    <n v="483"/>
    <x v="107"/>
    <x v="320"/>
    <s v=" -"/>
    <s v=" MOTOR"/>
    <d v="2023-07-31T00:00:00"/>
    <d v="2023-07-18T00:00:00"/>
    <d v="2024-07-17T00:00:00"/>
    <s v=" 08812152"/>
    <s v="Mr. Saqlain Abbas_x000a_CNIC: 4220165035229_x000a_Phone Number: 03337003132"/>
    <m/>
    <s v="SUZUKI ALTO"/>
    <s v="BXG-580"/>
    <s v="6R242869"/>
    <s v="NF1AET306H1142045"/>
    <s v="2022"/>
    <m/>
    <m/>
    <s v=" D"/>
    <s v="09000221-Muhammad Irfan"/>
    <n v="3100000"/>
    <n v="50000"/>
    <n v="500"/>
    <n v="6500"/>
    <n v="0"/>
    <n v="57000"/>
    <n v="0"/>
    <n v="0"/>
    <n v="57000"/>
    <n v="0"/>
    <n v="57000"/>
    <m/>
    <m/>
    <m/>
    <s v="MATEEN QURESHI"/>
    <m/>
    <m/>
    <s v="saqlain.abbas1983@gmail.com"/>
  </r>
  <r>
    <n v="484"/>
    <x v="107"/>
    <x v="321"/>
    <s v=" -"/>
    <s v=" MOTOR"/>
    <d v="2024-03-18T00:00:00"/>
    <d v="2023-07-18T00:00:00"/>
    <d v="2024-07-17T00:00:00"/>
    <s v=" 08812152"/>
    <s v="Mr. Saqlain Abbas_x000a_CNIC: 4220165035229_x000a_Phone Number: 03337003132"/>
    <m/>
    <s v="SUZUKI ALTO"/>
    <s v="BXG-580"/>
    <s v="6R242869"/>
    <s v="NF1AET306H1142045"/>
    <s v="2022"/>
    <m/>
    <m/>
    <s v=" D"/>
    <s v="09000221-Muhammad Irfan"/>
    <n v="3100000"/>
    <n v="993"/>
    <n v="10"/>
    <n v="129"/>
    <n v="0"/>
    <n v="1132"/>
    <n v="0"/>
    <n v="0"/>
    <n v="1132"/>
    <n v="0"/>
    <n v="1132"/>
    <m/>
    <m/>
    <m/>
    <s v="MATEEN QURESHI"/>
    <n v="290.45"/>
    <n v="266.56"/>
    <m/>
  </r>
  <r>
    <n v="485"/>
    <x v="107"/>
    <x v="322"/>
    <s v=" -"/>
    <s v=" MOTOR"/>
    <d v="2024-04-18T00:00:00"/>
    <d v="2023-07-18T00:00:00"/>
    <d v="2024-07-17T00:00:00"/>
    <s v=" 08812152"/>
    <s v="Mr. Saqlain Abbas_x000a_CNIC: 4220165035229_x000a_Phone Number: 03337003132"/>
    <m/>
    <s v="SUZUKI ALTO"/>
    <s v="BXG-580"/>
    <s v="6R242869"/>
    <s v="NF1AET306H1142045"/>
    <s v="2022"/>
    <m/>
    <m/>
    <s v=" D"/>
    <s v="09000221-Muhammad Irfan"/>
    <n v="3100000"/>
    <n v="1755"/>
    <n v="18"/>
    <n v="228"/>
    <n v="0"/>
    <n v="2001"/>
    <n v="0"/>
    <n v="0"/>
    <n v="2001"/>
    <n v="0"/>
    <n v="2001"/>
    <m/>
    <m/>
    <m/>
    <s v="MATEEN QURESHI"/>
    <n v="503.11000000000104"/>
    <n v="471.530000000001"/>
    <m/>
  </r>
  <r>
    <n v="486"/>
    <x v="107"/>
    <x v="323"/>
    <s v=" -"/>
    <s v=" MOTOR"/>
    <d v="2024-05-19T00:00:00"/>
    <d v="2023-07-18T00:00:00"/>
    <d v="2024-07-17T00:00:00"/>
    <s v=" 08812152"/>
    <s v="Mr. Saqlain Abbas_x000a_CNIC: 4220165035229_x000a_Phone Number: 03337003132"/>
    <m/>
    <s v="SUZUKI ALTO"/>
    <s v="BXG-580"/>
    <s v="6R242869"/>
    <s v="NF1AET306H1142045"/>
    <s v="2022"/>
    <m/>
    <m/>
    <s v=" D"/>
    <s v="09000221-Muhammad Irfan"/>
    <n v="3100000"/>
    <n v="1656"/>
    <n v="16"/>
    <n v="215"/>
    <n v="0"/>
    <n v="1887"/>
    <n v="0"/>
    <n v="0"/>
    <n v="1887"/>
    <n v="0"/>
    <n v="1887"/>
    <m/>
    <m/>
    <m/>
    <s v="MATEEN QURESHI"/>
    <n v="531.2900000000011"/>
    <n v="444.17"/>
    <m/>
  </r>
  <r>
    <n v="487"/>
    <x v="107"/>
    <x v="324"/>
    <s v=" -"/>
    <s v=" MOTOR"/>
    <d v="2024-06-20T00:00:00"/>
    <d v="2023-07-18T00:00:00"/>
    <d v="2024-07-17T00:00:00"/>
    <s v=" 08812152"/>
    <s v="Mr. Saqlain Abbas_x000a_CNIC: 4220165035229_x000a_Phone Number: 03337003132"/>
    <m/>
    <s v="SUZUKI ALTO"/>
    <s v="BXG-580"/>
    <s v="6R242869"/>
    <s v="NF1AET306H1142045"/>
    <s v="2022"/>
    <m/>
    <m/>
    <s v=" D"/>
    <s v="09000221-Muhammad Irfan"/>
    <n v="3100000"/>
    <n v="2079"/>
    <n v="21"/>
    <n v="271"/>
    <n v="0"/>
    <n v="2371"/>
    <n v="0"/>
    <n v="0"/>
    <n v="2371"/>
    <n v="0"/>
    <n v="2371"/>
    <m/>
    <m/>
    <m/>
    <s v="MATEEN QURESHI"/>
    <n v="635.650000000001"/>
    <n v="558.84"/>
    <m/>
  </r>
  <r>
    <n v="488"/>
    <x v="107"/>
    <x v="325"/>
    <s v=" -"/>
    <s v=" MOTOR"/>
    <d v="2024-07-19T00:00:00"/>
    <d v="2023-07-18T00:00:00"/>
    <d v="2024-07-17T00:00:00"/>
    <s v=" 08812152"/>
    <s v="Mr. Saqlain Abbas_x000a_CNIC: 4220165035229_x000a_Phone Number: 03337003132"/>
    <m/>
    <s v="SUZUKI ALTO"/>
    <s v="BXG-580"/>
    <s v="6R242869"/>
    <s v="NF1AET306H1142045"/>
    <s v="2022"/>
    <m/>
    <m/>
    <s v=" D"/>
    <s v="09000221-Muhammad Irfan"/>
    <n v="3100000"/>
    <n v="2248"/>
    <n v="22"/>
    <n v="337"/>
    <n v="0"/>
    <n v="2607"/>
    <n v="0"/>
    <n v="0"/>
    <n v="2607"/>
    <n v="0"/>
    <n v="2607"/>
    <m/>
    <m/>
    <m/>
    <s v="MATEEN QURESHI"/>
    <n v="700.89000000000101"/>
    <n v="613.55000000000007"/>
    <m/>
  </r>
  <r>
    <n v="489"/>
    <x v="107"/>
    <x v="326"/>
    <s v=" -"/>
    <s v=" MOTOR"/>
    <d v="2024-12-29T00:00:00"/>
    <d v="2023-07-18T00:00:00"/>
    <d v="2024-07-17T00:00:00"/>
    <s v=" 08812152"/>
    <s v="Mr. Saqlain Abbas_x000a_CNIC: 4220165035229_x000a_Phone Number: 03337003132"/>
    <m/>
    <s v="SUZUKI ALTO"/>
    <s v="BXG-580"/>
    <s v="6R242869"/>
    <s v="NF1AET306H1142045"/>
    <s v="2022"/>
    <m/>
    <m/>
    <s v=" D"/>
    <s v="09000221-Muhammad Irfan"/>
    <n v="-1"/>
    <n v="-66335"/>
    <n v="-663"/>
    <n v="0"/>
    <n v="0"/>
    <n v="-66998"/>
    <n v="0"/>
    <n v="0"/>
    <n v="-66998"/>
    <n v="0"/>
    <n v="-66998"/>
    <m/>
    <m/>
    <m/>
    <s v="MATEEN QURESHI"/>
    <m/>
    <m/>
    <m/>
  </r>
  <r>
    <n v="490"/>
    <x v="108"/>
    <x v="327"/>
    <s v=" -"/>
    <s v=" MOTOR"/>
    <d v="2023-07-31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65789"/>
    <n v="658"/>
    <n v="8553"/>
    <n v="0"/>
    <n v="75000"/>
    <n v="0"/>
    <n v="0"/>
    <n v="75000"/>
    <n v="0"/>
    <n v="75000"/>
    <m/>
    <m/>
    <m/>
    <s v="Syed Waqas"/>
    <m/>
    <m/>
    <s v="itisshahwar@gmail.com"/>
  </r>
  <r>
    <n v="491"/>
    <x v="108"/>
    <x v="328"/>
    <s v=" -"/>
    <s v=" MOTOR"/>
    <d v="2023-10-26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-981"/>
    <n v="-10"/>
    <n v="-127"/>
    <n v="0"/>
    <n v="-1118"/>
    <n v="0"/>
    <n v="0"/>
    <n v="-1118"/>
    <n v="0"/>
    <n v="-1118"/>
    <m/>
    <m/>
    <m/>
    <s v="Syed Waqas"/>
    <m/>
    <m/>
    <s v="itisshahwar@gmail.com"/>
  </r>
  <r>
    <n v="492"/>
    <x v="108"/>
    <x v="329"/>
    <s v=" -"/>
    <s v=" MOTOR"/>
    <d v="2024-01-13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4059"/>
    <n v="40"/>
    <n v="527"/>
    <n v="0"/>
    <n v="4626"/>
    <n v="0"/>
    <n v="0"/>
    <n v="4626"/>
    <n v="0"/>
    <n v="4626"/>
    <m/>
    <m/>
    <m/>
    <s v="Syed Waqas"/>
    <n v="2457.0500000000011"/>
    <n v="1056.3600000000001"/>
    <m/>
  </r>
  <r>
    <n v="493"/>
    <x v="108"/>
    <x v="330"/>
    <s v=" -"/>
    <s v=" MOTOR"/>
    <d v="2024-02-14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3977"/>
    <n v="40"/>
    <n v="517"/>
    <n v="0"/>
    <n v="4534"/>
    <n v="0"/>
    <n v="0"/>
    <n v="4534"/>
    <n v="0"/>
    <n v="4534"/>
    <m/>
    <m/>
    <m/>
    <s v="Syed Waqas"/>
    <n v="2751.3399999999938"/>
    <n v="1034.8700000000001"/>
    <m/>
  </r>
  <r>
    <n v="494"/>
    <x v="108"/>
    <x v="331"/>
    <s v=" -"/>
    <s v=" MOTOR"/>
    <d v="2024-03-13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4118"/>
    <n v="41"/>
    <n v="536"/>
    <n v="0"/>
    <n v="4695"/>
    <n v="0"/>
    <n v="0"/>
    <n v="4695"/>
    <n v="0"/>
    <n v="4695"/>
    <m/>
    <m/>
    <m/>
    <s v="Syed Waqas"/>
    <n v="2056.44"/>
    <n v="1071.43"/>
    <m/>
  </r>
  <r>
    <n v="495"/>
    <x v="108"/>
    <x v="332"/>
    <s v=" -"/>
    <s v=" MOTOR"/>
    <d v="2024-04-14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4035"/>
    <n v="41"/>
    <n v="524"/>
    <n v="0"/>
    <n v="4600"/>
    <n v="0"/>
    <n v="0"/>
    <n v="4600"/>
    <n v="0"/>
    <n v="4600"/>
    <m/>
    <m/>
    <m/>
    <s v="Syed Waqas"/>
    <n v="1752.15"/>
    <n v="1050.1200000000001"/>
    <m/>
  </r>
  <r>
    <n v="496"/>
    <x v="108"/>
    <x v="333"/>
    <s v=" -"/>
    <s v=" MOTOR"/>
    <d v="2024-05-13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4064"/>
    <n v="40"/>
    <n v="528"/>
    <n v="0"/>
    <n v="4632"/>
    <n v="0"/>
    <n v="0"/>
    <n v="4632"/>
    <n v="0"/>
    <n v="4632"/>
    <m/>
    <m/>
    <m/>
    <s v="Syed Waqas"/>
    <n v="2362.4300000000012"/>
    <n v="1057.72"/>
    <m/>
  </r>
  <r>
    <n v="497"/>
    <x v="108"/>
    <x v="334"/>
    <s v=" -"/>
    <s v=" MOTOR"/>
    <d v="2024-06-12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4510"/>
    <n v="45"/>
    <n v="587"/>
    <n v="0"/>
    <n v="5142"/>
    <n v="0"/>
    <n v="0"/>
    <n v="5142"/>
    <n v="0"/>
    <n v="5142"/>
    <m/>
    <m/>
    <m/>
    <s v="Syed Waqas"/>
    <n v="2675.8"/>
    <n v="1174.02"/>
    <m/>
  </r>
  <r>
    <n v="498"/>
    <x v="108"/>
    <x v="335"/>
    <s v=" -"/>
    <s v=" MOTOR"/>
    <d v="2024-07-12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4000000"/>
    <n v="3883"/>
    <n v="39"/>
    <n v="583"/>
    <n v="0"/>
    <n v="4505"/>
    <n v="0"/>
    <n v="0"/>
    <n v="4505"/>
    <n v="0"/>
    <n v="4505"/>
    <m/>
    <m/>
    <m/>
    <s v="Syed Waqas"/>
    <n v="1864.11"/>
    <n v="1028.0700000000008"/>
    <m/>
  </r>
  <r>
    <n v="499"/>
    <x v="108"/>
    <x v="336"/>
    <s v=" -"/>
    <s v=" MOTOR"/>
    <d v="2024-10-31T00:00:00"/>
    <d v="2023-07-12T00:00:00"/>
    <d v="2024-07-11T00:00:00"/>
    <s v=" 08812155"/>
    <s v="Mr. Shahwar Khalid_x000a_CNIC: 3520268702691_x000a_Phone Number: 03311334033"/>
    <m/>
    <s v="TOYOTA COROLLA"/>
    <s v="LEB-17A-16"/>
    <s v="Q326341"/>
    <s v="2RE172R7025452"/>
    <s v="2017"/>
    <m/>
    <m/>
    <s v=" D"/>
    <s v="09000355-Asif Azeem"/>
    <n v="-1"/>
    <n v="-105560"/>
    <n v="-1056"/>
    <n v="0"/>
    <n v="0"/>
    <n v="-106616"/>
    <n v="0"/>
    <n v="0"/>
    <n v="-106616"/>
    <n v="0"/>
    <n v="-106616"/>
    <m/>
    <m/>
    <m/>
    <s v="Syed Waqas"/>
    <m/>
    <m/>
    <m/>
  </r>
  <r>
    <n v="502"/>
    <x v="109"/>
    <x v="337"/>
    <s v=" -"/>
    <s v=" MOTOR"/>
    <d v="2023-07-31T00:00:00"/>
    <d v="2023-07-20T00:00:00"/>
    <d v="2024-07-19T00:00:00"/>
    <s v=" 08812178"/>
    <s v="Mr. Muhammad Azam_x000a_CNIC: 42101-1540289-1_x000a_Phone Number: 03453144536"/>
    <m/>
    <s v="SUZUKI SWIFT A/T"/>
    <s v="BJB-744"/>
    <s v="PKS13035683"/>
    <s v="RS413PK10035697"/>
    <s v="2017"/>
    <m/>
    <m/>
    <s v=" D"/>
    <s v="09000221-Muhammad Irfan"/>
    <n v="2300000"/>
    <n v="35964"/>
    <n v="360"/>
    <n v="4676"/>
    <n v="0"/>
    <n v="41000"/>
    <n v="0"/>
    <n v="0"/>
    <n v="41000"/>
    <n v="0"/>
    <n v="41000"/>
    <m/>
    <m/>
    <m/>
    <s v="Syed Waqas"/>
    <m/>
    <m/>
    <s v="zohaib_azam94@hotmail.com"/>
  </r>
  <r>
    <n v="503"/>
    <x v="109"/>
    <x v="338"/>
    <s v=" -"/>
    <s v=" MOTOR"/>
    <d v="2024-05-20T00:00:00"/>
    <d v="2023-07-20T00:00:00"/>
    <d v="2024-07-19T00:00:00"/>
    <s v=" 08812178"/>
    <s v="Mr. Muhammad Azam_x000a_CNIC: 42101-1540289-1_x000a_Phone Number: 03453144536"/>
    <m/>
    <s v="SUZUKI SWIFT A/T"/>
    <s v="BJB-744"/>
    <s v="PKS13035683"/>
    <s v="RS413PK10035697"/>
    <s v="2017"/>
    <m/>
    <m/>
    <s v=" D"/>
    <s v="09000221-Muhammad Irfan"/>
    <n v="2300000"/>
    <n v="434"/>
    <n v="4"/>
    <n v="56"/>
    <n v="0"/>
    <n v="494"/>
    <n v="0"/>
    <n v="0"/>
    <n v="494"/>
    <n v="0"/>
    <n v="494"/>
    <m/>
    <m/>
    <m/>
    <s v="Syed Waqas"/>
    <n v="156.77000000000001"/>
    <n v="156.77000000000001"/>
    <m/>
  </r>
  <r>
    <n v="504"/>
    <x v="109"/>
    <x v="339"/>
    <s v=" -"/>
    <s v=" MOTOR"/>
    <d v="2024-06-22T00:00:00"/>
    <d v="2023-07-20T00:00:00"/>
    <d v="2024-07-19T00:00:00"/>
    <s v=" 08812178"/>
    <s v="Mr. Muhammad Azam_x000a_CNIC: 42101-1540289-1_x000a_Phone Number: 03453144536"/>
    <m/>
    <s v="SUZUKI SWIFT A/T"/>
    <s v="BJB-744"/>
    <s v="PKS13035683"/>
    <s v="RS413PK10035697"/>
    <s v="2017"/>
    <m/>
    <m/>
    <s v=" D"/>
    <s v="09000221-Muhammad Irfan"/>
    <n v="2300000"/>
    <n v="770"/>
    <n v="8"/>
    <n v="100"/>
    <n v="0"/>
    <n v="878"/>
    <n v="0"/>
    <n v="0"/>
    <n v="878"/>
    <n v="0"/>
    <n v="878"/>
    <m/>
    <m/>
    <m/>
    <s v="Syed Waqas"/>
    <n v="295.11"/>
    <n v="278.54000000000002"/>
    <m/>
  </r>
  <r>
    <n v="505"/>
    <x v="109"/>
    <x v="340"/>
    <s v=" -"/>
    <s v=" MOTOR"/>
    <d v="2024-07-23T00:00:00"/>
    <d v="2023-07-20T00:00:00"/>
    <d v="2024-07-19T00:00:00"/>
    <s v=" 08812178"/>
    <s v="Mr. Muhammad Azam_x000a_CNIC: 42101-1540289-1_x000a_Phone Number: 03453144536"/>
    <m/>
    <s v="SUZUKI SWIFT A/T"/>
    <s v="BJB-744"/>
    <s v="PKS13035683"/>
    <s v="RS413PK10035697"/>
    <s v="2017"/>
    <m/>
    <m/>
    <s v=" D"/>
    <s v="09000221-Muhammad Irfan"/>
    <n v="2300000"/>
    <n v="435"/>
    <n v="4"/>
    <n v="65"/>
    <n v="0"/>
    <n v="504"/>
    <n v="0"/>
    <n v="0"/>
    <n v="504"/>
    <n v="0"/>
    <n v="504"/>
    <m/>
    <m/>
    <m/>
    <s v="Syed Waqas"/>
    <n v="160.11000000000001"/>
    <n v="160.11000000000001"/>
    <m/>
  </r>
  <r>
    <n v="506"/>
    <x v="109"/>
    <x v="341"/>
    <s v=" -"/>
    <s v=" MOTOR"/>
    <d v="2024-12-29T00:00:00"/>
    <d v="2023-07-20T00:00:00"/>
    <d v="2024-07-19T00:00:00"/>
    <s v=" 08812178"/>
    <s v="Mr. Muhammad Azam_x000a_CNIC: 42101-1540289-1_x000a_Phone Number: 03453144536"/>
    <m/>
    <s v="SUZUKI SWIFT A/T"/>
    <s v="BJB-744"/>
    <s v="PKS13035683"/>
    <s v="RS413PK10035697"/>
    <s v="2017"/>
    <m/>
    <m/>
    <s v=" D"/>
    <s v="09000221-Muhammad Irfan"/>
    <n v="-1"/>
    <n v="-42451"/>
    <n v="-425"/>
    <n v="0"/>
    <n v="0"/>
    <n v="-42876"/>
    <n v="0"/>
    <n v="0"/>
    <n v="-42876"/>
    <n v="0"/>
    <n v="-42876"/>
    <m/>
    <m/>
    <m/>
    <s v="Syed Waqas"/>
    <m/>
    <m/>
    <m/>
  </r>
  <r>
    <n v="507"/>
    <x v="110"/>
    <x v="342"/>
    <s v=" -"/>
    <s v=" MOTOR"/>
    <d v="2023-07-31T00:00:00"/>
    <d v="2023-07-24T00:00:00"/>
    <d v="2024-07-23T00:00:00"/>
    <s v=" 08812233"/>
    <s v="Mr. Saad Ullah Naeem_x000a_CNIC: 3520290350837_x000a_Phone Number: 03322331195"/>
    <m/>
    <s v="TOYOTA COROLLA ALTIS 1.6"/>
    <s v="Un-Reg"/>
    <s v="Q105437"/>
    <s v="ZRE171R-6082969"/>
    <s v="2023"/>
    <m/>
    <m/>
    <s v=" D"/>
    <s v="09000221-Muhammad Irfan"/>
    <n v="6900000"/>
    <n v="116666"/>
    <n v="1167"/>
    <n v="15167"/>
    <n v="0"/>
    <n v="133000"/>
    <n v="0"/>
    <n v="0"/>
    <n v="133000"/>
    <n v="0"/>
    <n v="133000"/>
    <m/>
    <m/>
    <m/>
    <s v="MATEEN QURESHI"/>
    <m/>
    <m/>
    <m/>
  </r>
  <r>
    <n v="508"/>
    <x v="110"/>
    <x v="343"/>
    <s v=" -"/>
    <s v=" MOTOR"/>
    <d v="2024-03-25T00:00:00"/>
    <d v="2023-07-24T00:00:00"/>
    <d v="2024-07-23T00:00:00"/>
    <s v=" 08812233"/>
    <s v="Mr. Saad Ullah Naeem_x000a_CNIC: 3520290350837_x000a_Phone Number: 03322331195"/>
    <m/>
    <s v="TOYOTA COROLLA ALTIS 1.6"/>
    <s v="Un-Reg"/>
    <s v="Q105437"/>
    <s v="ZRE171R-6082969"/>
    <s v="2023"/>
    <m/>
    <m/>
    <s v=" D"/>
    <s v="09000221-Muhammad Irfan"/>
    <n v="6900000"/>
    <n v="4132"/>
    <n v="41"/>
    <n v="537"/>
    <n v="0"/>
    <n v="4710"/>
    <n v="0"/>
    <n v="0"/>
    <n v="4710"/>
    <n v="0"/>
    <n v="4710"/>
    <m/>
    <m/>
    <m/>
    <s v="MATEEN QURESHI"/>
    <n v="1247.490000000035"/>
    <n v="498.23"/>
    <m/>
  </r>
  <r>
    <n v="509"/>
    <x v="110"/>
    <x v="344"/>
    <s v=" -"/>
    <s v=" MOTOR"/>
    <d v="2024-04-24T00:00:00"/>
    <d v="2023-07-24T00:00:00"/>
    <d v="2024-07-23T00:00:00"/>
    <s v=" 08812233"/>
    <s v="Mr. Saad Ullah Naeem_x000a_CNIC: 3520290350837_x000a_Phone Number: 03322331195"/>
    <m/>
    <s v="TOYOTA COROLLA ALTIS 1.6"/>
    <s v="Un-Reg"/>
    <s v="Q105437"/>
    <s v="ZRE171R-6082969"/>
    <s v="2023"/>
    <m/>
    <m/>
    <s v=" D"/>
    <s v="09000221-Muhammad Irfan"/>
    <n v="6900000"/>
    <n v="3193"/>
    <n v="32"/>
    <n v="416"/>
    <n v="0"/>
    <n v="3641"/>
    <n v="0"/>
    <n v="0"/>
    <n v="3641"/>
    <n v="0"/>
    <n v="3641"/>
    <m/>
    <m/>
    <m/>
    <s v="MATEEN QURESHI"/>
    <n v="926.1600000000351"/>
    <n v="385.28"/>
    <m/>
  </r>
  <r>
    <n v="510"/>
    <x v="110"/>
    <x v="345"/>
    <s v=" -"/>
    <s v=" MOTOR"/>
    <d v="2024-05-24T00:00:00"/>
    <d v="2023-07-24T00:00:00"/>
    <d v="2024-07-23T00:00:00"/>
    <s v=" 08812233"/>
    <s v="Mr. Saad Ullah Naeem_x000a_CNIC: 3520290350837_x000a_Phone Number: 03322331195"/>
    <m/>
    <s v="TOYOTA COROLLA ALTIS 1.6"/>
    <s v="Un-Reg"/>
    <s v="Q105437"/>
    <s v="ZRE171R-6082969"/>
    <s v="2023"/>
    <m/>
    <m/>
    <s v=" D"/>
    <s v="09000221-Muhammad Irfan"/>
    <n v="6900000"/>
    <n v="3277"/>
    <n v="33"/>
    <n v="426"/>
    <n v="0"/>
    <n v="3736"/>
    <n v="0"/>
    <n v="0"/>
    <n v="3736"/>
    <n v="0"/>
    <n v="3736"/>
    <m/>
    <m/>
    <m/>
    <s v="MATEEN QURESHI"/>
    <n v="457.03"/>
    <n v="395.20000000000005"/>
    <m/>
  </r>
  <r>
    <n v="511"/>
    <x v="110"/>
    <x v="346"/>
    <s v=" -"/>
    <s v=" MOTOR"/>
    <d v="2024-06-25T00:00:00"/>
    <d v="2023-07-24T00:00:00"/>
    <d v="2024-07-23T00:00:00"/>
    <s v=" 08812233"/>
    <s v="Mr. Saad Ullah Naeem_x000a_CNIC: 3520290350837_x000a_Phone Number: 03322331195"/>
    <m/>
    <s v="TOYOTA COROLLA ALTIS 1.6"/>
    <s v="Un-Reg"/>
    <s v="Q105437"/>
    <s v="ZRE171R-6082969"/>
    <s v="2023"/>
    <m/>
    <m/>
    <s v=" D"/>
    <s v="09000221-Muhammad Irfan"/>
    <n v="6900000"/>
    <n v="4797"/>
    <n v="48"/>
    <n v="623"/>
    <n v="0"/>
    <n v="5468"/>
    <n v="0"/>
    <n v="0"/>
    <n v="5468"/>
    <n v="0"/>
    <n v="5468"/>
    <m/>
    <m/>
    <m/>
    <s v="MATEEN QURESHI"/>
    <n v="869.74000000000694"/>
    <n v="578.93000000000006"/>
    <m/>
  </r>
  <r>
    <n v="512"/>
    <x v="110"/>
    <x v="347"/>
    <s v=" -"/>
    <s v=" MOTOR"/>
    <d v="2024-07-26T00:00:00"/>
    <d v="2023-07-24T00:00:00"/>
    <d v="2024-07-23T00:00:00"/>
    <s v=" 08812233"/>
    <s v="Mr. Saad Ullah Naeem_x000a_CNIC: 3520290350837_x000a_Phone Number: 03322331195"/>
    <m/>
    <s v="TOYOTA COROLLA ALTIS 1.6"/>
    <s v="Un-Reg"/>
    <s v="Q105437"/>
    <s v="ZRE171R-6082969"/>
    <s v="2023"/>
    <m/>
    <m/>
    <s v=" D"/>
    <s v="09000221-Muhammad Irfan"/>
    <n v="6900000"/>
    <n v="1540"/>
    <n v="15"/>
    <n v="231"/>
    <n v="0"/>
    <n v="1786"/>
    <n v="0"/>
    <n v="0"/>
    <n v="1786"/>
    <n v="0"/>
    <n v="1786"/>
    <m/>
    <m/>
    <m/>
    <s v="MATEEN QURESHI"/>
    <n v="194.48"/>
    <n v="189.15"/>
    <m/>
  </r>
  <r>
    <n v="513"/>
    <x v="110"/>
    <x v="348"/>
    <s v=" -"/>
    <s v=" MOTOR"/>
    <d v="2024-12-29T00:00:00"/>
    <d v="2023-07-24T00:00:00"/>
    <d v="2024-07-23T00:00:00"/>
    <s v=" 08812233"/>
    <s v="Mr. Saad Ullah Naeem_x000a_CNIC: 3520290350837_x000a_Phone Number: 03322331195"/>
    <m/>
    <s v="TOYOTA COROLLA ALTIS 1.6"/>
    <s v="Un-Reg"/>
    <s v="Q105437"/>
    <s v="ZRE171R-6082969"/>
    <s v="2023"/>
    <m/>
    <m/>
    <s v=" D"/>
    <s v="09000221-Muhammad Irfan"/>
    <n v="-1"/>
    <n v="-150833"/>
    <n v="-1508"/>
    <n v="0"/>
    <n v="0"/>
    <n v="-152341"/>
    <n v="0"/>
    <n v="0"/>
    <n v="-152341"/>
    <n v="0"/>
    <n v="-152341"/>
    <m/>
    <m/>
    <m/>
    <s v="MATEEN QURESHI"/>
    <m/>
    <m/>
    <m/>
  </r>
  <r>
    <n v="514"/>
    <x v="111"/>
    <x v="349"/>
    <s v=" -"/>
    <s v=" MOTOR"/>
    <d v="2023-07-31T00:00:00"/>
    <d v="2023-07-22T00:00:00"/>
    <d v="2024-07-21T00:00:00"/>
    <s v=" 08812219"/>
    <s v="Mr. Hammad Abbasi_x000a_CNIC: 4210122689299_x000a_Phone Number: 03332468602"/>
    <m/>
    <s v="HONDA CITY I-VTEC"/>
    <s v="BRW-281"/>
    <s v="L13Z17539088"/>
    <s v="NFBGM1542LR260950"/>
    <s v="2020"/>
    <m/>
    <m/>
    <s v=" D"/>
    <s v="09000221-Muhammad Irfan"/>
    <n v="3500000"/>
    <n v="57016"/>
    <n v="571"/>
    <n v="7413"/>
    <n v="0"/>
    <n v="65000"/>
    <n v="0"/>
    <n v="0"/>
    <n v="65000"/>
    <n v="0"/>
    <n v="65000"/>
    <m/>
    <m/>
    <m/>
    <s v="Syed Waqas"/>
    <m/>
    <m/>
    <m/>
  </r>
  <r>
    <n v="515"/>
    <x v="111"/>
    <x v="350"/>
    <s v=" -"/>
    <s v=" MOTOR"/>
    <d v="2024-10-31T00:00:00"/>
    <d v="2023-07-22T00:00:00"/>
    <d v="2024-07-21T00:00:00"/>
    <s v=" 08812219"/>
    <s v="Mr. Hammad Abbasi_x000a_CNIC: 4210122689299_x000a_Phone Number: 03332468602"/>
    <m/>
    <s v="HONDA CITY I-VTEC"/>
    <s v="BRW-281"/>
    <s v="L13Z17539088"/>
    <s v="NFBGM1542LR260950"/>
    <s v="2020"/>
    <m/>
    <m/>
    <s v=" D"/>
    <s v="09000221-Muhammad Irfan"/>
    <n v="-1"/>
    <n v="-64356"/>
    <n v="-644"/>
    <n v="0"/>
    <n v="0"/>
    <n v="-65000"/>
    <n v="0"/>
    <n v="0"/>
    <n v="-65000"/>
    <n v="0"/>
    <n v="-65000"/>
    <m/>
    <m/>
    <m/>
    <s v="Syed Waqas"/>
    <m/>
    <m/>
    <m/>
  </r>
  <r>
    <n v="516"/>
    <x v="112"/>
    <x v="351"/>
    <s v=" -"/>
    <s v=" MOTOR"/>
    <d v="2023-07-31T00:00:00"/>
    <d v="2023-07-22T00:00:00"/>
    <d v="2024-07-21T00:00:00"/>
    <s v=" 08812218"/>
    <s v="Mr. Muhammad Kashif Khursheed_x000a_CNIC: 42101-7244161-5_x000a_Phone Number: 0300-8268356"/>
    <m/>
    <s v="HONDA CITY I-VTEC P/T"/>
    <s v="BJV-347"/>
    <s v="L13Z17461893"/>
    <s v="NFBGM1640HR204902"/>
    <s v="2017"/>
    <m/>
    <m/>
    <s v=" D"/>
    <s v="09000221-Muhammad Irfan"/>
    <n v="3400000"/>
    <n v="55262"/>
    <n v="553"/>
    <n v="7185"/>
    <n v="0"/>
    <n v="63000"/>
    <n v="0"/>
    <n v="0"/>
    <n v="63000"/>
    <n v="0"/>
    <n v="63000"/>
    <m/>
    <m/>
    <m/>
    <s v="MATEEN QURESHI"/>
    <m/>
    <m/>
    <m/>
  </r>
  <r>
    <n v="517"/>
    <x v="112"/>
    <x v="352"/>
    <s v=" -"/>
    <s v=" MOTOR"/>
    <d v="2023-12-22T00:00:00"/>
    <d v="2023-07-22T00:00:00"/>
    <d v="2024-07-21T00:00:00"/>
    <s v=" 08812218"/>
    <s v="Mr. Muhammad Kashif Khursheed_x000a_CNIC: 42101-7244161-5_x000a_Phone Number: 0300-8268356"/>
    <m/>
    <s v="HONDA CITY I-VTEC P/T"/>
    <s v="BJV-347"/>
    <s v="L13Z17461893"/>
    <s v="NFBGM1640HR204902"/>
    <s v="2017"/>
    <m/>
    <m/>
    <s v=" D"/>
    <s v="09000221-Muhammad Irfan"/>
    <n v="3400000"/>
    <n v="-4934"/>
    <n v="-50"/>
    <n v="-642"/>
    <n v="0"/>
    <n v="-5626"/>
    <n v="0"/>
    <n v="0"/>
    <n v="-5626"/>
    <n v="0"/>
    <n v="-5626"/>
    <m/>
    <m/>
    <m/>
    <s v="MATEEN QURESHI"/>
    <m/>
    <m/>
    <m/>
  </r>
  <r>
    <n v="518"/>
    <x v="112"/>
    <x v="353"/>
    <s v=" -"/>
    <s v=" MOTOR"/>
    <d v="2024-03-22T00:00:00"/>
    <d v="2023-07-22T00:00:00"/>
    <d v="2024-07-21T00:00:00"/>
    <s v=" 08812218"/>
    <s v="Mr. Muhammad Kashif Khursheed_x000a_CNIC: 42101-7244161-5_x000a_Phone Number: 0300-8268356"/>
    <m/>
    <s v="HONDA CITY I-VTEC P/T"/>
    <s v="BJV-347"/>
    <s v="L13Z17461893"/>
    <s v="NFBGM1640HR204902"/>
    <s v="2017"/>
    <m/>
    <m/>
    <s v=" D"/>
    <s v="09000221-Muhammad Irfan"/>
    <n v="3400000"/>
    <n v="4070"/>
    <n v="40"/>
    <n v="529"/>
    <n v="0"/>
    <n v="4639"/>
    <n v="0"/>
    <n v="0"/>
    <n v="4639"/>
    <n v="0"/>
    <n v="4639"/>
    <m/>
    <m/>
    <m/>
    <s v="MATEEN QURESHI"/>
    <n v="1291.910000000001"/>
    <n v="994.36"/>
    <m/>
  </r>
  <r>
    <n v="519"/>
    <x v="112"/>
    <x v="354"/>
    <s v=" -"/>
    <s v=" MOTOR"/>
    <d v="2024-04-22T00:00:00"/>
    <d v="2023-07-22T00:00:00"/>
    <d v="2024-07-21T00:00:00"/>
    <s v=" 08812218"/>
    <s v="Mr. Muhammad Kashif Khursheed_x000a_CNIC: 42101-7244161-5_x000a_Phone Number: 0300-8268356"/>
    <m/>
    <s v="HONDA CITY I-VTEC P/T"/>
    <s v="BJV-347"/>
    <s v="L13Z17461893"/>
    <s v="NFBGM1640HR204902"/>
    <s v="2017"/>
    <m/>
    <m/>
    <s v=" D"/>
    <s v="09000221-Muhammad Irfan"/>
    <n v="3400000"/>
    <n v="5267"/>
    <n v="53"/>
    <n v="684"/>
    <n v="0"/>
    <n v="6004"/>
    <n v="0"/>
    <n v="0"/>
    <n v="6004"/>
    <n v="0"/>
    <n v="6004"/>
    <m/>
    <m/>
    <m/>
    <s v="MATEEN QURESHI"/>
    <n v="1649.0300000000029"/>
    <n v="1287.23"/>
    <m/>
  </r>
  <r>
    <n v="520"/>
    <x v="112"/>
    <x v="355"/>
    <s v=" -"/>
    <s v=" MOTOR"/>
    <d v="2024-05-22T00:00:00"/>
    <d v="2023-07-22T00:00:00"/>
    <d v="2024-07-21T00:00:00"/>
    <s v=" 08812218"/>
    <s v="Mr. Muhammad Kashif Khursheed_x000a_CNIC: 42101-7244161-5_x000a_Phone Number: 0300-8268356"/>
    <m/>
    <s v="HONDA CITY I-VTEC P/T"/>
    <s v="BJV-347"/>
    <s v="L13Z17461893"/>
    <s v="NFBGM1640HR204902"/>
    <s v="2017"/>
    <m/>
    <m/>
    <s v=" D"/>
    <s v="09000221-Muhammad Irfan"/>
    <n v="3400000"/>
    <n v="5195"/>
    <n v="52"/>
    <n v="676"/>
    <n v="0"/>
    <n v="5923"/>
    <n v="0"/>
    <n v="0"/>
    <n v="5923"/>
    <n v="0"/>
    <n v="5923"/>
    <m/>
    <m/>
    <m/>
    <s v="MATEEN QURESHI"/>
    <n v="1668.690000000003"/>
    <n v="1269.52"/>
    <m/>
  </r>
  <r>
    <n v="521"/>
    <x v="112"/>
    <x v="356"/>
    <s v=" -"/>
    <s v=" MOTOR"/>
    <d v="2024-06-24T00:00:00"/>
    <d v="2023-07-22T00:00:00"/>
    <d v="2024-07-21T00:00:00"/>
    <s v=" 08812218"/>
    <s v="Mr. Muhammad Kashif Khursheed_x000a_CNIC: 42101-7244161-5_x000a_Phone Number: 0300-8268356"/>
    <m/>
    <s v="HONDA CITY I-VTEC P/T"/>
    <s v="BJV-347"/>
    <s v="L13Z17461893"/>
    <s v="NFBGM1640HR204902"/>
    <s v="2017"/>
    <m/>
    <m/>
    <s v=" D"/>
    <s v="09000221-Muhammad Irfan"/>
    <n v="3400000"/>
    <n v="5054"/>
    <n v="50"/>
    <n v="657"/>
    <n v="0"/>
    <n v="5761"/>
    <n v="0"/>
    <n v="0"/>
    <n v="5761"/>
    <n v="0"/>
    <n v="5761"/>
    <m/>
    <m/>
    <m/>
    <s v="MATEEN QURESHI"/>
    <n v="1690.7200000000009"/>
    <n v="1234.71"/>
    <m/>
  </r>
  <r>
    <n v="522"/>
    <x v="112"/>
    <x v="357"/>
    <s v=" -"/>
    <s v=" MOTOR"/>
    <d v="2024-07-23T00:00:00"/>
    <d v="2023-07-22T00:00:00"/>
    <d v="2024-07-21T00:00:00"/>
    <s v=" 08812218"/>
    <s v="Mr. Muhammad Kashif Khursheed_x000a_CNIC: 42101-7244161-5_x000a_Phone Number: 0300-8268356"/>
    <m/>
    <s v="HONDA CITY I-VTEC P/T"/>
    <s v="BJV-347"/>
    <s v="L13Z17461893"/>
    <s v="NFBGM1640HR204902"/>
    <s v="2017"/>
    <m/>
    <m/>
    <s v=" D"/>
    <s v="09000221-Muhammad Irfan"/>
    <n v="3400000"/>
    <n v="4970"/>
    <n v="50"/>
    <n v="746"/>
    <n v="0"/>
    <n v="5766"/>
    <n v="0"/>
    <n v="0"/>
    <n v="5766"/>
    <n v="0"/>
    <n v="5766"/>
    <m/>
    <m/>
    <m/>
    <s v="MATEEN QURESHI"/>
    <n v="1777.049999999999"/>
    <n v="1236.23"/>
    <m/>
  </r>
  <r>
    <n v="523"/>
    <x v="112"/>
    <x v="358"/>
    <s v=" -"/>
    <s v=" MOTOR"/>
    <d v="2024-12-29T00:00:00"/>
    <d v="2023-07-22T00:00:00"/>
    <d v="2024-07-21T00:00:00"/>
    <s v=" 08812218"/>
    <s v="Mr. Muhammad Kashif Khursheed_x000a_CNIC: 42101-7244161-5_x000a_Phone Number: 0300-8268356"/>
    <m/>
    <s v="HONDA CITY I-VTEC P/T"/>
    <s v="BJV-347"/>
    <s v="L13Z17461893"/>
    <s v="NFBGM1640HR204902"/>
    <s v="2017"/>
    <m/>
    <m/>
    <s v=" D"/>
    <s v="09000221-Muhammad Irfan"/>
    <n v="-1"/>
    <n v="-84621"/>
    <n v="-846"/>
    <n v="0"/>
    <n v="0"/>
    <n v="-85467"/>
    <n v="0"/>
    <n v="0"/>
    <n v="-85467"/>
    <n v="0"/>
    <n v="-85467"/>
    <m/>
    <m/>
    <m/>
    <s v="MATEEN QURESHI"/>
    <m/>
    <m/>
    <m/>
  </r>
  <r>
    <n v="524"/>
    <x v="113"/>
    <x v="359"/>
    <s v=" -"/>
    <s v=" MOTOR"/>
    <d v="2023-07-31T00:00:00"/>
    <d v="2023-07-21T00:00:00"/>
    <d v="2024-07-20T00:00:00"/>
    <s v=" 08812217"/>
    <s v="Mr. Bilal Ahmed_x000a_CNIC: 3740581740113_x000a_Phone Number: 03215304681"/>
    <m/>
    <s v="PRINCE PEARL"/>
    <s v="BBZ-432"/>
    <s v="N04603187W"/>
    <s v="RAILPPM22H04325"/>
    <s v="2023"/>
    <m/>
    <m/>
    <s v=" D"/>
    <s v="09000221-Muhammad Irfan"/>
    <n v="2000000"/>
    <n v="30701"/>
    <n v="307"/>
    <n v="3992"/>
    <n v="0"/>
    <n v="35000"/>
    <n v="0"/>
    <n v="0"/>
    <n v="35000"/>
    <n v="0"/>
    <n v="35000"/>
    <m/>
    <m/>
    <m/>
    <s v="MATEEN QURESHI"/>
    <m/>
    <m/>
    <s v="laliba1985@gmail.com"/>
  </r>
  <r>
    <n v="525"/>
    <x v="113"/>
    <x v="360"/>
    <s v=" -"/>
    <s v=" MOTOR"/>
    <d v="2023-11-22T00:00:00"/>
    <d v="2023-07-21T00:00:00"/>
    <d v="2024-07-20T00:00:00"/>
    <s v=" 08812217"/>
    <s v="Mr. Bilal Ahmed_x000a_CNIC: 3740581740113_x000a_Phone Number: 03215304681"/>
    <m/>
    <s v="PRINCE PEARL"/>
    <s v="BBZ-432"/>
    <s v="N04603187W"/>
    <s v="RAILPPM22H04325"/>
    <s v="2023"/>
    <m/>
    <m/>
    <s v=" D"/>
    <s v="09000221-Muhammad Irfan"/>
    <n v="2000000"/>
    <n v="2791"/>
    <n v="28"/>
    <n v="363"/>
    <n v="0"/>
    <n v="3182"/>
    <n v="3148"/>
    <n v="0"/>
    <n v="34"/>
    <n v="0"/>
    <n v="34"/>
    <m/>
    <m/>
    <m/>
    <s v="MATEEN QURESHI"/>
    <n v="1378.2200000000009"/>
    <n v="1163.3800000000001"/>
    <m/>
  </r>
  <r>
    <n v="526"/>
    <x v="113"/>
    <x v="361"/>
    <s v=" -"/>
    <s v=" MOTOR"/>
    <d v="2024-10-31T00:00:00"/>
    <d v="2023-07-21T00:00:00"/>
    <d v="2024-07-20T00:00:00"/>
    <s v=" 08812217"/>
    <s v="Mr. Bilal Ahmed_x000a_CNIC: 3740581740113_x000a_Phone Number: 03215304681"/>
    <m/>
    <s v="PRINCE PEARL"/>
    <s v="BBZ-432"/>
    <s v="N04603187W"/>
    <s v="RAILPPM22H04325"/>
    <s v="2023"/>
    <m/>
    <m/>
    <s v=" D"/>
    <s v="09000221-Muhammad Irfan"/>
    <n v="-1"/>
    <n v="-34687"/>
    <n v="-347"/>
    <n v="0"/>
    <n v="0"/>
    <n v="-35034"/>
    <n v="0"/>
    <n v="0"/>
    <n v="-35034"/>
    <n v="0"/>
    <n v="-35034"/>
    <m/>
    <m/>
    <m/>
    <s v="MATEEN QURESHI"/>
    <m/>
    <m/>
    <m/>
  </r>
  <r>
    <n v="527"/>
    <x v="114"/>
    <x v="362"/>
    <s v=" -"/>
    <s v=" MOTOR"/>
    <d v="2023-07-31T00:00:00"/>
    <d v="2023-07-27T00:00:00"/>
    <d v="2024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21-Muhammad Irfan"/>
    <n v="6000000"/>
    <n v="100876"/>
    <n v="1009"/>
    <n v="13115"/>
    <n v="0"/>
    <n v="115000"/>
    <n v="0"/>
    <n v="0"/>
    <n v="115000"/>
    <n v="0"/>
    <n v="115000"/>
    <m/>
    <m/>
    <m/>
    <s v="MATEEN QURESHI"/>
    <m/>
    <m/>
    <m/>
  </r>
  <r>
    <n v="528"/>
    <x v="114"/>
    <x v="363"/>
    <s v=" -"/>
    <s v=" MOTOR"/>
    <d v="2024-06-27T00:00:00"/>
    <d v="2023-07-27T00:00:00"/>
    <d v="2024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21-Muhammad Irfan"/>
    <n v="6000000"/>
    <n v="1369"/>
    <n v="14"/>
    <n v="178"/>
    <n v="0"/>
    <n v="1561"/>
    <n v="0"/>
    <n v="0"/>
    <n v="1561"/>
    <n v="0"/>
    <n v="1561"/>
    <m/>
    <m/>
    <m/>
    <s v="MATEEN QURESHI"/>
    <n v="190.03"/>
    <n v="190.03"/>
    <m/>
  </r>
  <r>
    <n v="529"/>
    <x v="114"/>
    <x v="364"/>
    <s v=" -"/>
    <s v=" MOTOR"/>
    <d v="2024-07-29T00:00:00"/>
    <d v="2023-07-27T00:00:00"/>
    <d v="2024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21-Muhammad Irfan"/>
    <n v="6000000"/>
    <n v="1389"/>
    <n v="14"/>
    <n v="208"/>
    <n v="0"/>
    <n v="1611"/>
    <n v="0"/>
    <n v="0"/>
    <n v="1611"/>
    <n v="0"/>
    <n v="1611"/>
    <m/>
    <m/>
    <m/>
    <s v="MATEEN QURESHI"/>
    <n v="196.14"/>
    <n v="196.14"/>
    <m/>
  </r>
  <r>
    <n v="530"/>
    <x v="114"/>
    <x v="365"/>
    <s v=" -"/>
    <s v=" MOTOR"/>
    <d v="2024-12-29T00:00:00"/>
    <d v="2023-07-27T00:00:00"/>
    <d v="2024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21-Muhammad Irfan"/>
    <n v="-1"/>
    <n v="-117002"/>
    <n v="-1170"/>
    <n v="0"/>
    <n v="0"/>
    <n v="-118172"/>
    <n v="0"/>
    <n v="0"/>
    <n v="-118172"/>
    <n v="0"/>
    <n v="-118172"/>
    <m/>
    <m/>
    <m/>
    <s v="MATEEN QURESHI"/>
    <m/>
    <m/>
    <m/>
  </r>
  <r>
    <n v="531"/>
    <x v="115"/>
    <x v="366"/>
    <s v=" -"/>
    <s v=" MOTOR"/>
    <d v="2023-07-31T00:00:00"/>
    <d v="2023-07-30T00:00:00"/>
    <d v="2024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21-Muhammad Irfan"/>
    <n v="4500000"/>
    <n v="74561"/>
    <n v="746"/>
    <n v="9693"/>
    <n v="0"/>
    <n v="85000"/>
    <n v="0"/>
    <n v="0"/>
    <n v="85000"/>
    <n v="0"/>
    <n v="85000"/>
    <m/>
    <m/>
    <m/>
    <s v="Syed Waqas"/>
    <m/>
    <m/>
    <m/>
  </r>
  <r>
    <n v="532"/>
    <x v="115"/>
    <x v="367"/>
    <s v=" -"/>
    <s v=" MOTOR"/>
    <d v="2023-12-30T00:00:00"/>
    <d v="2023-07-30T00:00:00"/>
    <d v="2024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21-Muhammad Irfan"/>
    <n v="4500000"/>
    <n v="2959"/>
    <n v="30"/>
    <n v="385"/>
    <n v="0"/>
    <n v="3374"/>
    <n v="0"/>
    <n v="0"/>
    <n v="3374"/>
    <n v="0"/>
    <n v="3374"/>
    <m/>
    <m/>
    <m/>
    <s v="Syed Waqas"/>
    <n v="562.94000000000005"/>
    <n v="547.16"/>
    <m/>
  </r>
  <r>
    <n v="533"/>
    <x v="115"/>
    <x v="368"/>
    <s v=" -"/>
    <s v=" MOTOR"/>
    <d v="2024-01-30T00:00:00"/>
    <d v="2023-07-30T00:00:00"/>
    <d v="2024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21-Muhammad Irfan"/>
    <n v="4500000"/>
    <n v="4739"/>
    <n v="47"/>
    <n v="616"/>
    <n v="0"/>
    <n v="5402"/>
    <n v="0"/>
    <n v="0"/>
    <n v="5402"/>
    <n v="0"/>
    <n v="5402"/>
    <m/>
    <m/>
    <m/>
    <s v="Syed Waqas"/>
    <n v="1400.9700000000091"/>
    <n v="877.14"/>
    <m/>
  </r>
  <r>
    <n v="534"/>
    <x v="115"/>
    <x v="369"/>
    <s v=" -"/>
    <s v=" MOTOR"/>
    <d v="2024-03-02T00:00:00"/>
    <d v="2023-07-30T00:00:00"/>
    <d v="2024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21-Muhammad Irfan"/>
    <n v="4500000"/>
    <n v="4023"/>
    <n v="41"/>
    <n v="523"/>
    <n v="0"/>
    <n v="4587"/>
    <n v="0"/>
    <n v="0"/>
    <n v="4587"/>
    <n v="0"/>
    <n v="4587"/>
    <m/>
    <m/>
    <m/>
    <s v="Syed Waqas"/>
    <n v="820.75000000000102"/>
    <n v="744.46"/>
    <m/>
  </r>
  <r>
    <n v="535"/>
    <x v="115"/>
    <x v="370"/>
    <s v=" -"/>
    <s v=" MOTOR"/>
    <d v="2024-04-02T00:00:00"/>
    <d v="2023-07-30T00:00:00"/>
    <d v="2024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21-Muhammad Irfan"/>
    <n v="4500000"/>
    <n v="4857"/>
    <n v="48"/>
    <n v="631"/>
    <n v="0"/>
    <n v="5536"/>
    <n v="0"/>
    <n v="0"/>
    <n v="5536"/>
    <n v="0"/>
    <n v="5536"/>
    <m/>
    <m/>
    <m/>
    <s v="Syed Waqas"/>
    <n v="1562.509999999997"/>
    <n v="899.04000000000019"/>
    <m/>
  </r>
  <r>
    <n v="536"/>
    <x v="115"/>
    <x v="371"/>
    <s v=" -"/>
    <s v=" MOTOR"/>
    <d v="2024-04-30T00:00:00"/>
    <d v="2023-07-30T00:00:00"/>
    <d v="2024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21-Muhammad Irfan"/>
    <n v="4500000"/>
    <n v="1769"/>
    <n v="18"/>
    <n v="230"/>
    <n v="0"/>
    <n v="2017"/>
    <n v="0"/>
    <n v="0"/>
    <n v="2017"/>
    <n v="0"/>
    <n v="2017"/>
    <m/>
    <m/>
    <m/>
    <s v="Syed Waqas"/>
    <n v="331.09"/>
    <n v="327.40000000000003"/>
    <m/>
  </r>
  <r>
    <n v="537"/>
    <x v="115"/>
    <x v="372"/>
    <s v=" -"/>
    <s v=" MOTOR"/>
    <d v="2024-07-30T00:00:00"/>
    <d v="2023-07-30T00:00:00"/>
    <d v="2024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21-Muhammad Irfan"/>
    <n v="4500000"/>
    <n v="11"/>
    <n v="0"/>
    <n v="2"/>
    <n v="0"/>
    <n v="13"/>
    <n v="0"/>
    <n v="0"/>
    <n v="13"/>
    <n v="0"/>
    <n v="13"/>
    <m/>
    <m/>
    <m/>
    <s v="Syed Waqas"/>
    <n v="2.14"/>
    <n v="2.14"/>
    <m/>
  </r>
  <r>
    <n v="538"/>
    <x v="115"/>
    <x v="373"/>
    <s v=" -"/>
    <s v=" MOTOR"/>
    <d v="2024-12-29T00:00:00"/>
    <d v="2023-07-30T00:00:00"/>
    <d v="2024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21-Muhammad Irfan"/>
    <n v="-1"/>
    <n v="-104880"/>
    <n v="-1049"/>
    <n v="0"/>
    <n v="0"/>
    <n v="-105929"/>
    <n v="0"/>
    <n v="0"/>
    <n v="-105929"/>
    <n v="0"/>
    <n v="-105929"/>
    <m/>
    <m/>
    <m/>
    <s v="Syed Waqas"/>
    <m/>
    <m/>
    <m/>
  </r>
  <r>
    <n v="539"/>
    <x v="116"/>
    <x v="374"/>
    <s v=" -"/>
    <s v=" MOTOR"/>
    <d v="2023-08-31T00:00:00"/>
    <d v="2023-08-04T00:00:00"/>
    <d v="2024-08-03T00:00:00"/>
    <s v=" 08812379"/>
    <s v="Mrs. Shazia Masood_x000a_CNIC: 4220185435080_x000a_Cell: 03002623624"/>
    <m/>
    <s v="SUZUKI ALTO VXL"/>
    <s v="BXG-774"/>
    <s v="6R242501"/>
    <s v="NF1AET306H1142520"/>
    <s v="2022"/>
    <m/>
    <m/>
    <s v=" D"/>
    <s v="09000342-Comet Solution Company"/>
    <n v="2900000"/>
    <n v="46491"/>
    <n v="465"/>
    <n v="6044"/>
    <n v="0"/>
    <n v="53000"/>
    <n v="0"/>
    <n v="0"/>
    <n v="53000"/>
    <n v="0"/>
    <n v="53000"/>
    <m/>
    <m/>
    <m/>
    <m/>
    <m/>
    <m/>
    <s v="masoodpso@hotmail.com"/>
  </r>
  <r>
    <n v="540"/>
    <x v="116"/>
    <x v="375"/>
    <s v=" -"/>
    <s v=" MOTOR"/>
    <d v="2024-10-31T00:00:00"/>
    <d v="2023-08-04T00:00:00"/>
    <d v="2024-08-03T00:00:00"/>
    <s v=" 08812379"/>
    <s v="Mrs. Shazia Masood_x000a_CNIC: 4220185435080_x000a_Cell: 03002623624"/>
    <m/>
    <s v="SUZUKI ALTO VXL"/>
    <s v="BXG-774"/>
    <s v="6R242501"/>
    <s v="NF1AET306H1142520"/>
    <s v="2022"/>
    <m/>
    <m/>
    <s v=" D"/>
    <s v="09000342-Comet Solution Company"/>
    <n v="-1"/>
    <n v="-52475"/>
    <n v="-525"/>
    <n v="0"/>
    <n v="0"/>
    <n v="-53000"/>
    <n v="0"/>
    <n v="0"/>
    <n v="-53000"/>
    <n v="0"/>
    <n v="-53000"/>
    <m/>
    <m/>
    <m/>
    <m/>
    <m/>
    <m/>
    <m/>
  </r>
  <r>
    <n v="541"/>
    <x v="117"/>
    <x v="376"/>
    <s v=" -"/>
    <s v=" MOTOR"/>
    <d v="2023-08-31T00:00:00"/>
    <d v="2023-08-07T00:00:00"/>
    <d v="2024-08-06T00:00:00"/>
    <s v=" 08812398"/>
    <s v="Mr. Hammad Rais Suri_x000a_CNIC: 3520123531493_x000a_Phone Number: 03134021070"/>
    <m/>
    <s v="HONDA CIVIC I-VTEC PROSME"/>
    <s v="AYP-563"/>
    <s v="R18Z1-1828607"/>
    <s v="NFBFB2667CR102286"/>
    <s v="2012"/>
    <m/>
    <m/>
    <s v=" D"/>
    <s v="09000221-Muhammad Irfan"/>
    <n v="2000000"/>
    <n v="30701"/>
    <n v="307"/>
    <n v="3992"/>
    <n v="0"/>
    <n v="35000"/>
    <n v="0"/>
    <n v="0"/>
    <n v="35000"/>
    <n v="0"/>
    <n v="35000"/>
    <m/>
    <m/>
    <m/>
    <s v="AREEBA FATIMA"/>
    <m/>
    <m/>
    <s v="hammadsuri@gmail.com"/>
  </r>
  <r>
    <n v="542"/>
    <x v="117"/>
    <x v="377"/>
    <s v=" -"/>
    <s v=" MOTOR"/>
    <d v="2024-01-09T00:00:00"/>
    <d v="2023-08-07T00:00:00"/>
    <d v="2024-08-06T00:00:00"/>
    <s v=" 08812398"/>
    <s v="Mr. Hammad Rais Suri_x000a_CNIC: 3520123531493_x000a_Phone Number: 03134021070"/>
    <m/>
    <s v="HONDA CIVIC I-VTEC PROSME"/>
    <s v="AYP-563"/>
    <s v="R18Z1-1828607"/>
    <s v="NFBFB2667CR102286"/>
    <s v="2012"/>
    <m/>
    <m/>
    <s v=" D"/>
    <s v="09000221-Muhammad Irfan"/>
    <n v="2000000"/>
    <n v="1665"/>
    <n v="17"/>
    <n v="217"/>
    <n v="0"/>
    <n v="1899"/>
    <n v="0"/>
    <n v="0"/>
    <n v="1899"/>
    <n v="0"/>
    <n v="1899"/>
    <m/>
    <m/>
    <m/>
    <s v="AREEBA FATIMA"/>
    <n v="703.42"/>
    <n v="693.53"/>
    <m/>
  </r>
  <r>
    <n v="543"/>
    <x v="117"/>
    <x v="378"/>
    <s v=" -"/>
    <s v=" MOTOR"/>
    <d v="2024-03-07T00:00:00"/>
    <d v="2023-08-07T00:00:00"/>
    <d v="2024-08-06T00:00:00"/>
    <s v=" 08812398"/>
    <s v="Mr. Hammad Rais Suri_x000a_CNIC: 3520123531493_x000a_Phone Number: 03134021070"/>
    <m/>
    <s v="HONDA CIVIC I-VTEC PROSME"/>
    <s v="AYP-563"/>
    <s v="R18Z1-1828607"/>
    <s v="NFBFB2667CR102286"/>
    <s v="2012"/>
    <m/>
    <m/>
    <s v=" D"/>
    <s v="09000221-Muhammad Irfan"/>
    <n v="2000000"/>
    <n v="1424"/>
    <n v="14"/>
    <n v="185"/>
    <n v="0"/>
    <n v="1623"/>
    <n v="0"/>
    <n v="0"/>
    <n v="1623"/>
    <n v="0"/>
    <n v="1623"/>
    <m/>
    <m/>
    <m/>
    <s v="AREEBA FATIMA"/>
    <n v="660.14"/>
    <n v="593.41"/>
    <m/>
  </r>
  <r>
    <n v="544"/>
    <x v="117"/>
    <x v="379"/>
    <s v=" -"/>
    <s v=" MOTOR"/>
    <d v="2024-04-08T00:00:00"/>
    <d v="2023-08-07T00:00:00"/>
    <d v="2024-08-06T00:00:00"/>
    <s v=" 08812398"/>
    <s v="Mr. Hammad Rais Suri_x000a_CNIC: 3520123531493_x000a_Phone Number: 03134021070"/>
    <m/>
    <s v="HONDA CIVIC I-VTEC PROSME"/>
    <s v="AYP-563"/>
    <s v="R18Z1-1828607"/>
    <s v="NFBFB2667CR102286"/>
    <s v="2012"/>
    <m/>
    <m/>
    <s v=" D"/>
    <s v="09000221-Muhammad Irfan"/>
    <n v="2000000"/>
    <n v="1888"/>
    <n v="19"/>
    <n v="246"/>
    <n v="0"/>
    <n v="2153"/>
    <n v="0"/>
    <n v="0"/>
    <n v="2153"/>
    <n v="0"/>
    <n v="2153"/>
    <m/>
    <m/>
    <m/>
    <s v="AREEBA FATIMA"/>
    <n v="816.5300000000002"/>
    <n v="786.67"/>
    <m/>
  </r>
  <r>
    <n v="545"/>
    <x v="117"/>
    <x v="380"/>
    <s v=" -"/>
    <s v=" MOTOR"/>
    <d v="2024-04-17T00:00:00"/>
    <d v="2023-08-07T00:00:00"/>
    <d v="2024-08-06T00:00:00"/>
    <s v=" 08812398"/>
    <s v="Mr. Hammad Rais Suri_x000a_CNIC: 3520123531493_x000a_Phone Number: 03134021070"/>
    <m/>
    <s v="HONDA CIVIC I-VTEC PROSME"/>
    <s v="AYP-563"/>
    <s v="R18Z1-1828607"/>
    <s v="NFBFB2667CR102286"/>
    <s v="2012"/>
    <m/>
    <m/>
    <s v=" D"/>
    <s v="09000221-Muhammad Irfan"/>
    <n v="-1"/>
    <n v="-3089"/>
    <n v="-31"/>
    <n v="-402"/>
    <n v="0"/>
    <n v="-3522"/>
    <n v="0"/>
    <n v="0"/>
    <n v="-3522"/>
    <n v="0"/>
    <n v="-3522"/>
    <m/>
    <m/>
    <m/>
    <s v="AREEBA FATIMA"/>
    <m/>
    <m/>
    <m/>
  </r>
  <r>
    <n v="546"/>
    <x v="117"/>
    <x v="381"/>
    <s v=" -"/>
    <s v=" MOTOR"/>
    <d v="2024-10-31T00:00:00"/>
    <d v="2023-08-07T00:00:00"/>
    <d v="2024-08-06T00:00:00"/>
    <s v=" 08812398"/>
    <s v="Mr. Hammad Rais Suri_x000a_CNIC: 3520123531493_x000a_Phone Number: 03134021070"/>
    <m/>
    <s v="HONDA CIVIC I-VTEC PROSME"/>
    <s v="AYP-563"/>
    <s v="R18Z1-1828607"/>
    <s v="NFBFB2667CR102286"/>
    <s v="2012"/>
    <m/>
    <m/>
    <s v=" D"/>
    <s v="09000221-Muhammad Irfan"/>
    <n v="-1"/>
    <n v="-36785"/>
    <n v="-368"/>
    <n v="0"/>
    <n v="0"/>
    <n v="-37153"/>
    <n v="0"/>
    <n v="0"/>
    <n v="-37153"/>
    <n v="0"/>
    <n v="-37153"/>
    <m/>
    <m/>
    <m/>
    <s v="AREEBA FATIMA"/>
    <m/>
    <m/>
    <m/>
  </r>
  <r>
    <n v="547"/>
    <x v="118"/>
    <x v="382"/>
    <s v=" -"/>
    <s v=" MOTOR"/>
    <d v="2023-08-31T00:00:00"/>
    <d v="2023-08-07T00:00:00"/>
    <d v="2024-08-06T00:00:00"/>
    <s v=" 08812399"/>
    <s v="Mr. Muhammad Shehroze Khan_x000a_CNIC: 4220161166233_x000a_Phone Number: 03312148755"/>
    <m/>
    <s v="DAIHATSU MIRA"/>
    <s v="BXP-740"/>
    <s v="KF-J879420"/>
    <s v="LA350S-0196373"/>
    <s v="2022"/>
    <m/>
    <m/>
    <s v=" D"/>
    <s v="09000221-Muhammad Irfan"/>
    <n v="3000000"/>
    <n v="48245"/>
    <n v="483"/>
    <n v="6272"/>
    <n v="0"/>
    <n v="55000"/>
    <n v="0"/>
    <n v="0"/>
    <n v="55000"/>
    <n v="0"/>
    <n v="55000"/>
    <m/>
    <m/>
    <m/>
    <s v="Syed Waqas"/>
    <m/>
    <m/>
    <s v="shehrozekhan94@gmail.com"/>
  </r>
  <r>
    <n v="548"/>
    <x v="118"/>
    <x v="383"/>
    <s v=" -"/>
    <s v=" MOTOR"/>
    <d v="2024-10-31T00:00:00"/>
    <d v="2023-08-07T00:00:00"/>
    <d v="2024-08-06T00:00:00"/>
    <s v=" 08812399"/>
    <s v="Mr. Muhammad Shehroze Khan_x000a_CNIC: 4220161166233_x000a_Phone Number: 03312148755"/>
    <m/>
    <s v="DAIHATSU MIRA"/>
    <s v="BXP-740"/>
    <s v="KF-J879420"/>
    <s v="LA350S-0196373"/>
    <s v="2022"/>
    <m/>
    <m/>
    <s v=" D"/>
    <s v="09000221-Muhammad Irfan"/>
    <n v="-1"/>
    <n v="-54455"/>
    <n v="-545"/>
    <n v="0"/>
    <n v="0"/>
    <n v="-55000"/>
    <n v="0"/>
    <n v="0"/>
    <n v="-55000"/>
    <n v="0"/>
    <n v="-55000"/>
    <m/>
    <m/>
    <m/>
    <s v="Syed Waqas"/>
    <m/>
    <m/>
    <m/>
  </r>
  <r>
    <n v="549"/>
    <x v="119"/>
    <x v="384"/>
    <s v=" -"/>
    <s v=" MOTOR"/>
    <d v="2023-08-31T00:00:00"/>
    <d v="2023-08-07T00:00:00"/>
    <d v="2024-08-06T00:00:00"/>
    <s v=" 08812413"/>
    <s v="Mr. Abbas Saeed Hakeem_x000a_CNIC: 3420129123795_x000a_Phone Number: 03335557790"/>
    <m/>
    <s v="KIA SPORTAGE FWD"/>
    <s v="APK-512"/>
    <s v="G4NAKH046427"/>
    <s v="NNAQL51AZKP501323"/>
    <s v="2020"/>
    <m/>
    <m/>
    <s v=" D"/>
    <s v="09000221-Muhammad Irfan"/>
    <n v="7000000"/>
    <n v="118420"/>
    <n v="1185"/>
    <n v="15395"/>
    <n v="0"/>
    <n v="135000"/>
    <n v="0"/>
    <n v="0"/>
    <n v="135000"/>
    <n v="0"/>
    <n v="135000"/>
    <m/>
    <m/>
    <m/>
    <s v="AREEBA FATIMA"/>
    <m/>
    <m/>
    <m/>
  </r>
  <r>
    <n v="550"/>
    <x v="119"/>
    <x v="385"/>
    <s v=" -"/>
    <s v=" MOTOR"/>
    <d v="2024-02-07T00:00:00"/>
    <d v="2023-08-07T00:00:00"/>
    <d v="2024-08-06T00:00:00"/>
    <s v=" 08812413"/>
    <s v="Mr. Abbas Saeed Hakeem_x000a_CNIC: 3420129123795_x000a_Phone Number: 03335557790"/>
    <m/>
    <s v="KIA SPORTAGE FWD"/>
    <s v="APK-512"/>
    <s v="G4NAKH046427"/>
    <s v="NNAQL51AZKP501323"/>
    <s v="2020"/>
    <m/>
    <m/>
    <s v=" D"/>
    <s v="09000221-Muhammad Irfan"/>
    <n v="7000000"/>
    <n v="4027"/>
    <n v="41"/>
    <n v="524"/>
    <n v="0"/>
    <n v="4592"/>
    <n v="0"/>
    <n v="0"/>
    <n v="4592"/>
    <n v="0"/>
    <n v="4592"/>
    <m/>
    <m/>
    <m/>
    <s v="AREEBA FATIMA"/>
    <n v="2107.3399999999961"/>
    <n v="478.4"/>
    <m/>
  </r>
  <r>
    <n v="551"/>
    <x v="119"/>
    <x v="386"/>
    <s v=" -"/>
    <s v=" MOTOR"/>
    <d v="2024-03-07T00:00:00"/>
    <d v="2023-08-07T00:00:00"/>
    <d v="2024-08-06T00:00:00"/>
    <s v=" 08812413"/>
    <s v="Mr. Abbas Saeed Hakeem_x000a_CNIC: 3420129123795_x000a_Phone Number: 03335557790"/>
    <m/>
    <s v="KIA SPORTAGE FWD"/>
    <s v="APK-512"/>
    <s v="G4NAKH046427"/>
    <s v="NNAQL51AZKP501323"/>
    <s v="2020"/>
    <m/>
    <m/>
    <s v=" D"/>
    <s v="09000221-Muhammad Irfan"/>
    <n v="7000000"/>
    <n v="2916"/>
    <n v="29"/>
    <n v="379"/>
    <n v="0"/>
    <n v="3324"/>
    <n v="0"/>
    <n v="0"/>
    <n v="3324"/>
    <n v="0"/>
    <n v="3324"/>
    <m/>
    <m/>
    <m/>
    <s v="AREEBA FATIMA"/>
    <n v="859.13"/>
    <n v="346.5200000000001"/>
    <m/>
  </r>
  <r>
    <n v="552"/>
    <x v="119"/>
    <x v="387"/>
    <s v=" -"/>
    <s v=" MOTOR"/>
    <d v="2024-04-08T00:00:00"/>
    <d v="2023-08-07T00:00:00"/>
    <d v="2024-08-06T00:00:00"/>
    <s v=" 08812413"/>
    <s v="Mr. Abbas Saeed Hakeem_x000a_CNIC: 3420129123795_x000a_Phone Number: 03335557790"/>
    <m/>
    <s v="KIA SPORTAGE FWD"/>
    <s v="APK-512"/>
    <s v="G4NAKH046427"/>
    <s v="NNAQL51AZKP501323"/>
    <s v="2020"/>
    <m/>
    <m/>
    <s v=" D"/>
    <s v="09000221-Muhammad Irfan"/>
    <n v="7000000"/>
    <n v="4927"/>
    <n v="49"/>
    <n v="640"/>
    <n v="0"/>
    <n v="5616"/>
    <n v="0"/>
    <n v="0"/>
    <n v="5616"/>
    <n v="0"/>
    <n v="5616"/>
    <m/>
    <m/>
    <m/>
    <s v="AREEBA FATIMA"/>
    <n v="2069.7900000000031"/>
    <n v="585"/>
    <m/>
  </r>
  <r>
    <n v="553"/>
    <x v="119"/>
    <x v="388"/>
    <s v=" -"/>
    <s v=" MOTOR"/>
    <d v="2024-04-17T00:00:00"/>
    <d v="2023-08-07T00:00:00"/>
    <d v="2024-08-06T00:00:00"/>
    <s v=" 08812413"/>
    <s v="Mr. Abbas Saeed Hakeem_x000a_CNIC: 3420129123795_x000a_Phone Number: 03335557790"/>
    <m/>
    <s v="KIA SPORTAGE FWD"/>
    <s v="APK-512"/>
    <s v="G4NAKH046427"/>
    <s v="NNAQL51AZKP501323"/>
    <s v="2020"/>
    <m/>
    <m/>
    <s v=" D"/>
    <s v="09000221-Muhammad Irfan"/>
    <n v="-1"/>
    <n v="-6944"/>
    <n v="-69"/>
    <n v="-903"/>
    <n v="0"/>
    <n v="-7916"/>
    <n v="0"/>
    <n v="0"/>
    <n v="-7916"/>
    <n v="0"/>
    <n v="-7916"/>
    <m/>
    <m/>
    <m/>
    <s v="AREEBA FATIMA"/>
    <m/>
    <m/>
    <m/>
  </r>
  <r>
    <n v="554"/>
    <x v="119"/>
    <x v="389"/>
    <s v=" -"/>
    <s v=" MOTOR"/>
    <d v="2024-10-31T00:00:00"/>
    <d v="2023-08-07T00:00:00"/>
    <d v="2024-08-06T00:00:00"/>
    <s v=" 08812413"/>
    <s v="Mr. Abbas Saeed Hakeem_x000a_CNIC: 3420129123795_x000a_Phone Number: 03335557790"/>
    <m/>
    <s v="KIA SPORTAGE FWD"/>
    <s v="APK-512"/>
    <s v="G4NAKH046427"/>
    <s v="NNAQL51AZKP501323"/>
    <s v="2020"/>
    <m/>
    <m/>
    <s v=" D"/>
    <s v="09000221-Muhammad Irfan"/>
    <n v="-1"/>
    <n v="-139224"/>
    <n v="-1392"/>
    <n v="0"/>
    <n v="0"/>
    <n v="-140616"/>
    <n v="0"/>
    <n v="0"/>
    <n v="-140616"/>
    <n v="0"/>
    <n v="-140616"/>
    <m/>
    <m/>
    <m/>
    <s v="AREEBA FATIMA"/>
    <m/>
    <m/>
    <m/>
  </r>
  <r>
    <n v="555"/>
    <x v="120"/>
    <x v="390"/>
    <s v=" -"/>
    <s v=" MOTOR"/>
    <d v="2023-08-31T00:00:00"/>
    <d v="2023-08-09T00:00:00"/>
    <d v="2024-08-08T00:00:00"/>
    <s v=" 08812426"/>
    <s v="Mr. Anayat Ullah Khan   _x000a_CNIC: 3520229422851_x000a_Phone Number: 03205550416"/>
    <m/>
    <s v="HONDA BRV I-VTEC S STD"/>
    <s v="LEA-17A-57"/>
    <s v="L15Z13503439"/>
    <s v="NFBDG1835HR003446"/>
    <s v="2017"/>
    <m/>
    <m/>
    <s v=" D"/>
    <s v="09000221-Muhammad Irfan"/>
    <n v="4000000"/>
    <n v="65789"/>
    <n v="658"/>
    <n v="8553"/>
    <n v="0"/>
    <n v="75000"/>
    <n v="0"/>
    <n v="0"/>
    <n v="75000"/>
    <n v="0"/>
    <n v="75000"/>
    <m/>
    <m/>
    <m/>
    <s v="AREEBA FATIMA"/>
    <m/>
    <m/>
    <s v="anayatullah_khan@yahoo.com"/>
  </r>
  <r>
    <n v="556"/>
    <x v="120"/>
    <x v="391"/>
    <s v=" -"/>
    <s v=" MOTOR"/>
    <d v="2024-10-31T00:00:00"/>
    <d v="2023-08-09T00:00:00"/>
    <d v="2024-08-08T00:00:00"/>
    <s v=" 08812426"/>
    <s v="Mr. Anayat Ullah Khan   _x000a_CNIC: 3520229422851_x000a_Phone Number: 03205550416"/>
    <m/>
    <s v="HONDA BRV I-VTEC S STD"/>
    <s v="LEA-17A-57"/>
    <s v="L15Z13503439"/>
    <s v="NFBDG1835HR003446"/>
    <s v="2017"/>
    <m/>
    <m/>
    <s v=" D"/>
    <s v="09000221-Muhammad Irfan"/>
    <n v="-1"/>
    <n v="-74257"/>
    <n v="-743"/>
    <n v="0"/>
    <n v="0"/>
    <n v="-75000"/>
    <n v="0"/>
    <n v="0"/>
    <n v="-75000"/>
    <n v="0"/>
    <n v="-75000"/>
    <m/>
    <m/>
    <m/>
    <s v="AREEBA FATIMA"/>
    <m/>
    <m/>
    <m/>
  </r>
  <r>
    <n v="558"/>
    <x v="121"/>
    <x v="392"/>
    <s v=" -"/>
    <s v=" MOTOR"/>
    <d v="2023-08-31T00:00:00"/>
    <d v="2023-08-10T00:00:00"/>
    <d v="2024-08-09T00:00:00"/>
    <s v=" 08812459"/>
    <s v="Mr. Syed Atta Ur Rehman_x000a_CNIC: 4220170365921_x000a_Phone Number: 03343873466"/>
    <m/>
    <s v="SUZUKI ALTO VX"/>
    <s v="BUF-614"/>
    <s v="6R177658"/>
    <s v="NF1AET306H1079005"/>
    <s v="2021"/>
    <m/>
    <m/>
    <s v=" D"/>
    <s v="09000221-Muhammad Irfan"/>
    <n v="2200000"/>
    <n v="34209"/>
    <n v="343"/>
    <n v="4448"/>
    <n v="0"/>
    <n v="39000"/>
    <n v="0"/>
    <n v="0"/>
    <n v="39000"/>
    <n v="0"/>
    <n v="39000"/>
    <m/>
    <m/>
    <m/>
    <s v="AFSHEEN ISMAIL"/>
    <m/>
    <m/>
    <m/>
  </r>
  <r>
    <n v="559"/>
    <x v="121"/>
    <x v="393"/>
    <s v=" -"/>
    <s v=" MOTOR"/>
    <d v="2024-07-10T00:00:00"/>
    <d v="2023-08-10T00:00:00"/>
    <d v="2024-08-09T00:00:00"/>
    <s v=" 08812459"/>
    <s v="Mr. Syed Atta Ur Rehman_x000a_CNIC: 4220170365921_x000a_Phone Number: 03343873466"/>
    <m/>
    <s v="SUZUKI ALTO VX"/>
    <s v="BUF-614"/>
    <s v="6R177658"/>
    <s v="NF1AET306H1079005"/>
    <s v="2021"/>
    <m/>
    <m/>
    <s v=" D"/>
    <s v="09000221-Muhammad Irfan"/>
    <n v="2200000"/>
    <n v="1366"/>
    <n v="14"/>
    <n v="205"/>
    <n v="0"/>
    <n v="1585"/>
    <n v="0"/>
    <n v="0"/>
    <n v="1585"/>
    <n v="0"/>
    <n v="1585"/>
    <m/>
    <m/>
    <m/>
    <s v="AFSHEEN ISMAIL"/>
    <n v="749.27999999999815"/>
    <n v="524.63"/>
    <m/>
  </r>
  <r>
    <n v="560"/>
    <x v="121"/>
    <x v="394"/>
    <s v=" -"/>
    <s v=" MOTOR"/>
    <d v="2024-08-13T00:00:00"/>
    <d v="2023-08-10T00:00:00"/>
    <d v="2024-08-09T00:00:00"/>
    <s v=" 08812459"/>
    <s v="Mr. Syed Atta Ur Rehman_x000a_CNIC: 4220170365921_x000a_Phone Number: 03343873466"/>
    <m/>
    <s v="SUZUKI ALTO VX"/>
    <s v="BUF-614"/>
    <s v="6R177658"/>
    <s v="NF1AET306H1079005"/>
    <s v="2021"/>
    <m/>
    <m/>
    <s v=" D"/>
    <s v="09000221-Muhammad Irfan"/>
    <n v="2200000"/>
    <n v="1656"/>
    <n v="17"/>
    <n v="249"/>
    <n v="0"/>
    <n v="1922"/>
    <n v="0"/>
    <n v="0"/>
    <n v="1922"/>
    <n v="0"/>
    <n v="1922"/>
    <m/>
    <m/>
    <m/>
    <s v="AFSHEEN ISMAIL"/>
    <n v="1012.8499999999981"/>
    <n v="636.1"/>
    <m/>
  </r>
  <r>
    <n v="561"/>
    <x v="121"/>
    <x v="395"/>
    <s v=" -"/>
    <s v=" MOTOR"/>
    <d v="2024-10-31T00:00:00"/>
    <d v="2023-08-10T00:00:00"/>
    <d v="2024-08-09T00:00:00"/>
    <s v=" 08812459"/>
    <s v="Mr. Syed Atta Ur Rehman_x000a_CNIC: 4220170365921_x000a_Phone Number: 03343873466"/>
    <m/>
    <s v="SUZUKI ALTO VX"/>
    <s v="BUF-614"/>
    <s v="6R177658"/>
    <s v="NF1AET306H1079005"/>
    <s v="2021"/>
    <m/>
    <m/>
    <s v=" D"/>
    <s v="09000221-Muhammad Irfan"/>
    <n v="-1"/>
    <n v="-42086"/>
    <n v="-421"/>
    <n v="0"/>
    <n v="0"/>
    <n v="-42507"/>
    <n v="0"/>
    <n v="0"/>
    <n v="-42507"/>
    <n v="0"/>
    <n v="-42507"/>
    <m/>
    <m/>
    <m/>
    <s v="AFSHEEN ISMAIL"/>
    <m/>
    <m/>
    <m/>
  </r>
  <r>
    <n v="563"/>
    <x v="122"/>
    <x v="396"/>
    <s v=" -"/>
    <s v=" MOTOR"/>
    <d v="2023-08-31T00:00:00"/>
    <d v="2023-08-11T00:00:00"/>
    <d v="2024-08-10T00:00:00"/>
    <s v=" 08812469"/>
    <s v="Mr. Savio Martin Pereira_x000a_CNIC: 4200003871739_x000a_Phone Number: 03213752065"/>
    <m/>
    <s v="HONDA CITY I-VTEC"/>
    <s v="BAW-438"/>
    <s v="L13Z17503978"/>
    <s v="NFBGM1646HR215175"/>
    <s v="2017"/>
    <m/>
    <m/>
    <s v=" D"/>
    <s v="09000221-Muhammad Irfan"/>
    <n v="3300000"/>
    <n v="53507"/>
    <n v="536"/>
    <n v="6957"/>
    <n v="0"/>
    <n v="61000"/>
    <n v="0"/>
    <n v="0"/>
    <n v="61000"/>
    <n v="0"/>
    <n v="61000"/>
    <m/>
    <m/>
    <m/>
    <s v="AREEBA FATIMA"/>
    <m/>
    <m/>
    <s v="savio29mp@gmail.com"/>
  </r>
  <r>
    <n v="564"/>
    <x v="122"/>
    <x v="397"/>
    <s v=" -"/>
    <s v=" MOTOR"/>
    <d v="2024-04-14T00:00:00"/>
    <d v="2023-08-11T00:00:00"/>
    <d v="2024-08-10T00:00:00"/>
    <s v=" 08812469"/>
    <s v="Mr. Savio Martin Pereira_x000a_CNIC: 4200003871739_x000a_Phone Number: 03213752065"/>
    <m/>
    <s v="HONDA CITY I-VTEC"/>
    <s v="BAW-438"/>
    <s v="L13Z17503978"/>
    <s v="NFBGM1646HR215175"/>
    <s v="2017"/>
    <m/>
    <m/>
    <s v=" D"/>
    <s v="09000221-Muhammad Irfan"/>
    <n v="3300000"/>
    <n v="2196"/>
    <n v="22"/>
    <n v="285"/>
    <n v="0"/>
    <n v="2503"/>
    <n v="2500"/>
    <n v="0"/>
    <n v="3"/>
    <n v="0"/>
    <n v="3"/>
    <m/>
    <m/>
    <m/>
    <s v="AREEBA FATIMA"/>
    <n v="553.48"/>
    <n v="553.48"/>
    <m/>
  </r>
  <r>
    <n v="565"/>
    <x v="122"/>
    <x v="398"/>
    <s v=" -"/>
    <s v=" MOTOR"/>
    <d v="2024-05-13T00:00:00"/>
    <d v="2023-08-11T00:00:00"/>
    <d v="2024-08-10T00:00:00"/>
    <s v=" 08812469"/>
    <s v="Mr. Savio Martin Pereira_x000a_CNIC: 4200003871739_x000a_Phone Number: 03213752065"/>
    <m/>
    <s v="HONDA CITY I-VTEC"/>
    <s v="BAW-438"/>
    <s v="L13Z17503978"/>
    <s v="NFBGM1646HR215175"/>
    <s v="2017"/>
    <m/>
    <m/>
    <s v=" D"/>
    <s v="09000221-Muhammad Irfan"/>
    <n v="3300000"/>
    <n v="2249"/>
    <n v="22"/>
    <n v="293"/>
    <n v="0"/>
    <n v="2564"/>
    <n v="2550"/>
    <n v="0"/>
    <n v="14"/>
    <n v="0"/>
    <n v="14"/>
    <m/>
    <m/>
    <m/>
    <s v="AREEBA FATIMA"/>
    <n v="584.35"/>
    <n v="567.28"/>
    <m/>
  </r>
  <r>
    <n v="566"/>
    <x v="122"/>
    <x v="399"/>
    <s v=" -"/>
    <s v=" MOTOR"/>
    <d v="2024-07-13T00:00:00"/>
    <d v="2023-08-11T00:00:00"/>
    <d v="2024-08-10T00:00:00"/>
    <s v=" 08812469"/>
    <s v="Mr. Savio Martin Pereira_x000a_CNIC: 4200003871739_x000a_Phone Number: 03213752065"/>
    <m/>
    <s v="HONDA CITY I-VTEC"/>
    <s v="BAW-438"/>
    <s v="L13Z17503978"/>
    <s v="NFBGM1646HR215175"/>
    <s v="2017"/>
    <m/>
    <m/>
    <s v=" D"/>
    <s v="09000221-Muhammad Irfan"/>
    <n v="3300000"/>
    <n v="2463"/>
    <n v="25"/>
    <n v="369"/>
    <n v="0"/>
    <n v="2857"/>
    <n v="0"/>
    <n v="0"/>
    <n v="2857"/>
    <n v="0"/>
    <n v="2857"/>
    <m/>
    <m/>
    <m/>
    <s v="AREEBA FATIMA"/>
    <n v="664.37"/>
    <n v="632.51"/>
    <m/>
  </r>
  <r>
    <n v="567"/>
    <x v="122"/>
    <x v="400"/>
    <s v=" -"/>
    <s v=" MOTOR"/>
    <d v="2024-10-31T00:00:00"/>
    <d v="2023-08-11T00:00:00"/>
    <d v="2024-08-10T00:00:00"/>
    <s v=" 08812469"/>
    <s v="Mr. Savio Martin Pereira_x000a_CNIC: 4200003871739_x000a_Phone Number: 03213752065"/>
    <m/>
    <s v="HONDA CITY I-VTEC"/>
    <s v="BAW-438"/>
    <s v="L13Z17503978"/>
    <s v="NFBGM1646HR215175"/>
    <s v="2017"/>
    <m/>
    <m/>
    <s v=" D"/>
    <s v="09000221-Muhammad Irfan"/>
    <n v="-1"/>
    <n v="-63242"/>
    <n v="-632"/>
    <n v="0"/>
    <n v="0"/>
    <n v="-63874"/>
    <n v="0"/>
    <n v="0"/>
    <n v="-63874"/>
    <n v="0"/>
    <n v="-63874"/>
    <m/>
    <m/>
    <m/>
    <s v="AREEBA FATIMA"/>
    <m/>
    <m/>
    <m/>
  </r>
  <r>
    <n v="568"/>
    <x v="123"/>
    <x v="401"/>
    <s v=" -"/>
    <s v=" MOTOR"/>
    <d v="2023-08-31T00:00:00"/>
    <d v="2023-08-12T00:00:00"/>
    <d v="2024-08-11T00:00:00"/>
    <s v=" 08812475"/>
    <s v="Mr. Asad Aslam_x000a_CNIC: 4410416891087_x000a_Phone Number: 03131023258"/>
    <m/>
    <s v="SUZUKI ALTO VXL"/>
    <s v="BWX-268"/>
    <s v="6R235980"/>
    <s v="NF1AET306H1135949"/>
    <s v="2022"/>
    <m/>
    <m/>
    <s v=" D"/>
    <s v="09000221-Muhammad Irfan"/>
    <n v="2800000"/>
    <n v="44736"/>
    <n v="448"/>
    <n v="5816"/>
    <n v="0"/>
    <n v="51000"/>
    <n v="0"/>
    <n v="0"/>
    <n v="51000"/>
    <n v="0"/>
    <n v="51000"/>
    <m/>
    <m/>
    <m/>
    <s v="Syed Waqas"/>
    <m/>
    <m/>
    <s v="engrasad468@gmail.com"/>
  </r>
  <r>
    <n v="569"/>
    <x v="123"/>
    <x v="402"/>
    <s v=" -"/>
    <s v=" MOTOR"/>
    <d v="2024-04-14T00:00:00"/>
    <d v="2023-08-12T00:00:00"/>
    <d v="2024-08-11T00:00:00"/>
    <s v=" 08812475"/>
    <s v="Mr. Asad Aslam_x000a_CNIC: 4410416891087_x000a_Phone Number: 03131023258"/>
    <m/>
    <s v="SUZUKI ALTO VXL"/>
    <s v="BWX-268"/>
    <s v="6R235980"/>
    <s v="NF1AET306H1135949"/>
    <s v="2022"/>
    <m/>
    <m/>
    <s v=" D"/>
    <s v="09000221-Muhammad Irfan"/>
    <n v="2800000"/>
    <n v="173"/>
    <n v="2"/>
    <n v="23"/>
    <n v="0"/>
    <n v="198"/>
    <n v="0"/>
    <n v="0"/>
    <n v="198"/>
    <n v="0"/>
    <n v="198"/>
    <m/>
    <m/>
    <m/>
    <s v="Syed Waqas"/>
    <n v="51.590000000000103"/>
    <n v="51.590000000000103"/>
    <m/>
  </r>
  <r>
    <n v="570"/>
    <x v="123"/>
    <x v="403"/>
    <s v=" -"/>
    <s v=" MOTOR"/>
    <d v="2024-05-13T00:00:00"/>
    <d v="2023-08-12T00:00:00"/>
    <d v="2024-08-11T00:00:00"/>
    <s v=" 08812475"/>
    <s v="Mr. Asad Aslam_x000a_CNIC: 4410416891087_x000a_Phone Number: 03131023258"/>
    <m/>
    <s v="SUZUKI ALTO VXL"/>
    <s v="BWX-268"/>
    <s v="6R235980"/>
    <s v="NF1AET306H1135949"/>
    <s v="2022"/>
    <m/>
    <m/>
    <s v=" D"/>
    <s v="09000221-Muhammad Irfan"/>
    <n v="2800000"/>
    <n v="825"/>
    <n v="8"/>
    <n v="107"/>
    <n v="0"/>
    <n v="940"/>
    <n v="0"/>
    <n v="0"/>
    <n v="940"/>
    <n v="0"/>
    <n v="940"/>
    <m/>
    <m/>
    <m/>
    <s v="Syed Waqas"/>
    <n v="262.99"/>
    <n v="244.71"/>
    <m/>
  </r>
  <r>
    <n v="571"/>
    <x v="123"/>
    <x v="404"/>
    <s v=" -"/>
    <s v=" MOTOR"/>
    <d v="2024-06-12T00:00:00"/>
    <d v="2023-08-12T00:00:00"/>
    <d v="2024-08-11T00:00:00"/>
    <s v=" 08812475"/>
    <s v="Mr. Asad Aslam_x000a_CNIC: 4410416891087_x000a_Phone Number: 03131023258"/>
    <m/>
    <s v="SUZUKI ALTO VXL"/>
    <s v="BWX-268"/>
    <s v="6R235980"/>
    <s v="NF1AET306H1135949"/>
    <s v="2022"/>
    <m/>
    <m/>
    <s v=" D"/>
    <s v="09000221-Muhammad Irfan"/>
    <n v="2800000"/>
    <n v="819"/>
    <n v="8"/>
    <n v="107"/>
    <n v="0"/>
    <n v="934"/>
    <n v="0"/>
    <n v="0"/>
    <n v="934"/>
    <n v="0"/>
    <n v="934"/>
    <m/>
    <m/>
    <m/>
    <s v="Syed Waqas"/>
    <n v="279.59000000000003"/>
    <n v="243.5"/>
    <m/>
  </r>
  <r>
    <n v="572"/>
    <x v="123"/>
    <x v="405"/>
    <s v=" -"/>
    <s v=" MOTOR"/>
    <d v="2024-07-13T00:00:00"/>
    <d v="2023-08-12T00:00:00"/>
    <d v="2024-08-11T00:00:00"/>
    <s v=" 08812475"/>
    <s v="Mr. Asad Aslam_x000a_CNIC: 4410416891087_x000a_Phone Number: 03131023258"/>
    <m/>
    <s v="SUZUKI ALTO VXL"/>
    <s v="BWX-268"/>
    <s v="6R235980"/>
    <s v="NF1AET306H1135949"/>
    <s v="2022"/>
    <m/>
    <m/>
    <s v=" D"/>
    <s v="09000221-Muhammad Irfan"/>
    <n v="2800000"/>
    <n v="363"/>
    <n v="4"/>
    <n v="55"/>
    <n v="0"/>
    <n v="422"/>
    <n v="0"/>
    <n v="0"/>
    <n v="422"/>
    <n v="0"/>
    <n v="422"/>
    <m/>
    <m/>
    <m/>
    <s v="Syed Waqas"/>
    <n v="290.87999999999903"/>
    <n v="109.69"/>
    <m/>
  </r>
  <r>
    <n v="573"/>
    <x v="123"/>
    <x v="406"/>
    <s v=" -"/>
    <s v=" MOTOR"/>
    <d v="2024-08-13T00:00:00"/>
    <d v="2023-08-12T00:00:00"/>
    <d v="2024-08-11T00:00:00"/>
    <s v=" 08812475"/>
    <s v="Mr. Asad Aslam_x000a_CNIC: 4410416891087_x000a_Phone Number: 03131023258"/>
    <m/>
    <s v="SUZUKI ALTO VXL"/>
    <s v="BWX-268"/>
    <s v="6R235980"/>
    <s v="NF1AET306H1135949"/>
    <s v="2022"/>
    <m/>
    <m/>
    <s v=" D"/>
    <s v="09000221-Muhammad Irfan"/>
    <n v="2800000"/>
    <n v="782"/>
    <n v="8"/>
    <n v="117"/>
    <n v="0"/>
    <n v="907"/>
    <n v="0"/>
    <n v="0"/>
    <n v="907"/>
    <n v="0"/>
    <n v="907"/>
    <m/>
    <m/>
    <m/>
    <s v="Syed Waqas"/>
    <n v="280.87000000000006"/>
    <n v="236.87"/>
    <m/>
  </r>
  <r>
    <n v="574"/>
    <x v="123"/>
    <x v="407"/>
    <s v=" -"/>
    <s v=" MOTOR"/>
    <d v="2024-10-31T00:00:00"/>
    <d v="2023-08-12T00:00:00"/>
    <d v="2024-08-11T00:00:00"/>
    <s v=" 08812475"/>
    <s v="Mr. Asad Aslam_x000a_CNIC: 4410416891087_x000a_Phone Number: 03131023258"/>
    <m/>
    <s v="SUZUKI ALTO VXL"/>
    <s v="BWX-268"/>
    <s v="6R235980"/>
    <s v="NF1AET306H1135949"/>
    <s v="2022"/>
    <m/>
    <m/>
    <s v=" D"/>
    <s v="09000221-Muhammad Irfan"/>
    <n v="-1"/>
    <n v="-53862"/>
    <n v="-539"/>
    <n v="0"/>
    <n v="0"/>
    <n v="-54401"/>
    <n v="0"/>
    <n v="0"/>
    <n v="-54401"/>
    <n v="0"/>
    <n v="-54401"/>
    <m/>
    <m/>
    <m/>
    <s v="Syed Waqas"/>
    <m/>
    <m/>
    <m/>
  </r>
  <r>
    <n v="575"/>
    <x v="124"/>
    <x v="408"/>
    <s v=" -"/>
    <s v=" MOTOR"/>
    <d v="2023-08-31T00:00:00"/>
    <d v="2023-08-17T00:00:00"/>
    <d v="2024-08-16T00:00:00"/>
    <s v=" 08812563"/>
    <s v="Mr. Syed Farid Jaffery_x000a_CNIC: 4220114849857_x000a_Phone Number: 03008206222 - 03333324032"/>
    <m/>
    <s v="TOYOTA PRIUS HYBRID"/>
    <s v="BAS-521"/>
    <s v="2ZR-4923272"/>
    <s v="ZVW30-5239046"/>
    <s v="2010"/>
    <m/>
    <m/>
    <s v=" D"/>
    <s v="09000221-Muhammad Irfan"/>
    <n v="3000000"/>
    <n v="48245"/>
    <n v="483"/>
    <n v="6272"/>
    <n v="0"/>
    <n v="55000"/>
    <n v="0"/>
    <n v="0"/>
    <n v="55000"/>
    <n v="0"/>
    <n v="55000"/>
    <m/>
    <m/>
    <m/>
    <s v="Syed Waqas"/>
    <m/>
    <m/>
    <s v="faridgr8@gmail.com"/>
  </r>
  <r>
    <n v="576"/>
    <x v="124"/>
    <x v="409"/>
    <s v=" -"/>
    <s v=" MOTOR"/>
    <d v="2024-10-31T00:00:00"/>
    <d v="2023-08-17T00:00:00"/>
    <d v="2024-08-16T00:00:00"/>
    <s v=" 08812563"/>
    <s v="Mr. Syed Farid Jaffery_x000a_CNIC: 4220114849857_x000a_Phone Number: 03008206222 - 03333324032"/>
    <m/>
    <s v="TOYOTA PRIUS HYBRID"/>
    <s v="BAS-521"/>
    <s v="2ZR-4923272"/>
    <s v="ZVW30-5239046"/>
    <s v="2010"/>
    <m/>
    <m/>
    <s v=" D"/>
    <s v="09000221-Muhammad Irfan"/>
    <n v="-1"/>
    <n v="-54455"/>
    <n v="-545"/>
    <n v="0"/>
    <n v="0"/>
    <n v="-55000"/>
    <n v="0"/>
    <n v="0"/>
    <n v="-55000"/>
    <n v="0"/>
    <n v="-55000"/>
    <m/>
    <m/>
    <m/>
    <s v="Syed Waqas"/>
    <m/>
    <m/>
    <m/>
  </r>
  <r>
    <n v="577"/>
    <x v="125"/>
    <x v="410"/>
    <s v=" -"/>
    <s v=" MOTOR"/>
    <d v="2023-08-31T00:00:00"/>
    <d v="2023-08-18T00:00:00"/>
    <d v="2024-08-17T00:00:00"/>
    <s v=" 08812582"/>
    <s v="Mr. Jai Kumar_x000a_CNIC: 41304-8650541-9_x000a_Phone Number: 03149200508"/>
    <m/>
    <s v="SUZUKI CULTUS VXL"/>
    <s v="BKL-694"/>
    <s v="PK10K108994"/>
    <s v="NF1AVK31H10008997"/>
    <s v="2017"/>
    <m/>
    <m/>
    <s v=" D"/>
    <s v="09000221-Muhammad Irfan"/>
    <n v="2500000"/>
    <n v="39473"/>
    <n v="395"/>
    <n v="5132"/>
    <n v="0"/>
    <n v="45000"/>
    <n v="0"/>
    <n v="0"/>
    <n v="45000"/>
    <n v="0"/>
    <n v="45000"/>
    <m/>
    <m/>
    <m/>
    <s v="Syed Waqas"/>
    <m/>
    <m/>
    <s v="drs_jays@yahoo.com"/>
  </r>
  <r>
    <n v="578"/>
    <x v="125"/>
    <x v="411"/>
    <s v=" -"/>
    <s v=" MOTOR"/>
    <d v="2024-05-19T00:00:00"/>
    <d v="2023-08-18T00:00:00"/>
    <d v="2024-08-17T00:00:00"/>
    <s v=" 08812582"/>
    <s v="Mr. Jai Kumar_x000a_CNIC: 41304-8650541-9_x000a_Phone Number: 03149200508"/>
    <m/>
    <s v="SUZUKI CULTUS VXL"/>
    <s v="BKL-694"/>
    <s v="PK10K108994"/>
    <s v="NF1AVK31H10008997"/>
    <s v="2017"/>
    <m/>
    <m/>
    <s v=" D"/>
    <s v="09000221-Muhammad Irfan"/>
    <n v="2500000"/>
    <n v="1830"/>
    <n v="18"/>
    <n v="237"/>
    <n v="0"/>
    <n v="2085"/>
    <n v="0"/>
    <n v="0"/>
    <n v="2085"/>
    <n v="0"/>
    <n v="2085"/>
    <m/>
    <m/>
    <m/>
    <s v="Syed Waqas"/>
    <n v="976.53000000000407"/>
    <n v="609.04000000000008"/>
    <m/>
  </r>
  <r>
    <n v="579"/>
    <x v="125"/>
    <x v="412"/>
    <s v=" -"/>
    <s v=" MOTOR"/>
    <d v="2024-06-20T00:00:00"/>
    <d v="2023-08-18T00:00:00"/>
    <d v="2024-08-17T00:00:00"/>
    <s v=" 08812582"/>
    <s v="Mr. Jai Kumar_x000a_CNIC: 41304-8650541-9_x000a_Phone Number: 03149200508"/>
    <m/>
    <s v="SUZUKI CULTUS VXL"/>
    <s v="BKL-694"/>
    <s v="PK10K108994"/>
    <s v="NF1AVK31H10008997"/>
    <s v="2017"/>
    <m/>
    <m/>
    <s v=" D"/>
    <s v="09000221-Muhammad Irfan"/>
    <n v="2500000"/>
    <n v="1608"/>
    <n v="17"/>
    <n v="210"/>
    <n v="0"/>
    <n v="1835"/>
    <n v="0"/>
    <n v="0"/>
    <n v="1835"/>
    <n v="0"/>
    <n v="1835"/>
    <m/>
    <m/>
    <m/>
    <s v="Syed Waqas"/>
    <n v="908.23000000001002"/>
    <n v="535.82000000000005"/>
    <m/>
  </r>
  <r>
    <n v="580"/>
    <x v="125"/>
    <x v="413"/>
    <s v=" -"/>
    <s v=" MOTOR"/>
    <d v="2024-07-24T00:00:00"/>
    <d v="2023-08-18T00:00:00"/>
    <d v="2024-08-17T00:00:00"/>
    <s v=" 08812582"/>
    <s v="Mr. Jai Kumar_x000a_CNIC: 41304-8650541-9_x000a_Phone Number: 03149200508"/>
    <m/>
    <s v="SUZUKI CULTUS VXL"/>
    <s v="BKL-694"/>
    <s v="PK10K108994"/>
    <s v="NF1AVK31H10008997"/>
    <s v="2017"/>
    <m/>
    <m/>
    <s v=" D"/>
    <s v="09000221-Muhammad Irfan"/>
    <n v="2500000"/>
    <n v="1444"/>
    <n v="14"/>
    <n v="216"/>
    <n v="0"/>
    <n v="1674"/>
    <n v="0"/>
    <n v="0"/>
    <n v="1674"/>
    <n v="0"/>
    <n v="1674"/>
    <m/>
    <m/>
    <m/>
    <s v="Syed Waqas"/>
    <n v="960.02000000000805"/>
    <n v="488.55"/>
    <m/>
  </r>
  <r>
    <n v="581"/>
    <x v="125"/>
    <x v="414"/>
    <s v=" -"/>
    <s v=" MOTOR"/>
    <d v="2024-08-20T00:00:00"/>
    <d v="2023-08-18T00:00:00"/>
    <d v="2024-08-17T00:00:00"/>
    <s v=" 08812582"/>
    <s v="Mr. Jai Kumar_x000a_CNIC: 41304-8650541-9_x000a_Phone Number: 03149200508"/>
    <m/>
    <s v="SUZUKI CULTUS VXL"/>
    <s v="BKL-694"/>
    <s v="PK10K108994"/>
    <s v="NF1AVK31H10008997"/>
    <s v="2017"/>
    <m/>
    <m/>
    <s v=" D"/>
    <s v="09000221-Muhammad Irfan"/>
    <n v="2500000"/>
    <n v="1685"/>
    <n v="17"/>
    <n v="253"/>
    <n v="0"/>
    <n v="1955"/>
    <n v="0"/>
    <n v="0"/>
    <n v="1955"/>
    <n v="0"/>
    <n v="1955"/>
    <m/>
    <m/>
    <m/>
    <s v="Syed Waqas"/>
    <n v="905.57000000000812"/>
    <n v="570.25"/>
    <m/>
  </r>
  <r>
    <n v="582"/>
    <x v="125"/>
    <x v="415"/>
    <s v=" -"/>
    <s v=" MOTOR"/>
    <d v="2024-10-31T00:00:00"/>
    <d v="2023-08-18T00:00:00"/>
    <d v="2024-08-17T00:00:00"/>
    <s v=" 08812582"/>
    <s v="Mr. Jai Kumar_x000a_CNIC: 41304-8650541-9_x000a_Phone Number: 03149200508"/>
    <m/>
    <s v="SUZUKI CULTUS VXL"/>
    <s v="BKL-694"/>
    <s v="PK10K108994"/>
    <s v="NF1AVK31H10008997"/>
    <s v="2017"/>
    <m/>
    <m/>
    <s v=" D"/>
    <s v="09000221-Muhammad Irfan"/>
    <n v="-1"/>
    <n v="-52029"/>
    <n v="-520"/>
    <n v="0"/>
    <n v="0"/>
    <n v="-52549"/>
    <n v="0"/>
    <n v="0"/>
    <n v="-52549"/>
    <n v="0"/>
    <n v="-52549"/>
    <m/>
    <m/>
    <m/>
    <s v="Syed Waqas"/>
    <m/>
    <m/>
    <m/>
  </r>
  <r>
    <n v="584"/>
    <x v="126"/>
    <x v="416"/>
    <s v=" -"/>
    <s v=" MOTOR"/>
    <d v="2023-08-31T00:00:00"/>
    <d v="2023-08-21T00:00:00"/>
    <d v="2024-08-20T00:00:00"/>
    <s v=" 08812602"/>
    <s v="Mr. Naveed Anjum_x000a_CNIC: 36602-0927628-5_x000a_Phone Number: 03007722073"/>
    <m/>
    <s v="SUZUKI CULTUS VXL"/>
    <s v="LEA-19-4864"/>
    <s v="PK10K132893"/>
    <s v="NF1AVK31H10032895"/>
    <s v="2019"/>
    <m/>
    <m/>
    <s v=" D"/>
    <s v="09000221-Muhammad Irfan"/>
    <n v="2800000"/>
    <n v="44736"/>
    <n v="448"/>
    <n v="5816"/>
    <n v="0"/>
    <n v="51000"/>
    <n v="0"/>
    <n v="0"/>
    <n v="51000"/>
    <n v="0"/>
    <n v="51000"/>
    <m/>
    <m/>
    <m/>
    <s v="Syed Waqas"/>
    <m/>
    <m/>
    <s v="mnaveedanjum633@gmail.com"/>
  </r>
  <r>
    <n v="585"/>
    <x v="126"/>
    <x v="417"/>
    <s v=" -"/>
    <s v=" MOTOR"/>
    <d v="2024-06-22T00:00:00"/>
    <d v="2023-08-21T00:00:00"/>
    <d v="2024-08-20T00:00:00"/>
    <s v=" 08812602"/>
    <s v="Mr. Naveed Anjum_x000a_CNIC: 36602-0927628-5_x000a_Phone Number: 03007722073"/>
    <m/>
    <s v="SUZUKI CULTUS VXL"/>
    <s v="LEA-19-4864"/>
    <s v="PK10K132893"/>
    <s v="NF1AVK31H10032895"/>
    <s v="2019"/>
    <m/>
    <m/>
    <s v=" D"/>
    <s v="09000221-Muhammad Irfan"/>
    <n v="2800000"/>
    <n v="133"/>
    <n v="1"/>
    <n v="18"/>
    <n v="0"/>
    <n v="152"/>
    <n v="0"/>
    <n v="0"/>
    <n v="152"/>
    <n v="0"/>
    <n v="152"/>
    <m/>
    <m/>
    <m/>
    <s v="Syed Waqas"/>
    <n v="39.699999999999967"/>
    <n v="39.699999999999967"/>
    <m/>
  </r>
  <r>
    <n v="586"/>
    <x v="126"/>
    <x v="418"/>
    <s v=" -"/>
    <s v=" MOTOR"/>
    <d v="2024-07-25T00:00:00"/>
    <d v="2023-08-21T00:00:00"/>
    <d v="2024-08-20T00:00:00"/>
    <s v=" 08812602"/>
    <s v="Mr. Naveed Anjum_x000a_CNIC: 36602-0927628-5_x000a_Phone Number: 03007722073"/>
    <m/>
    <s v="SUZUKI CULTUS VXL"/>
    <s v="LEA-19-4864"/>
    <s v="PK10K132893"/>
    <s v="NF1AVK31H10032895"/>
    <s v="2019"/>
    <m/>
    <m/>
    <s v=" D"/>
    <s v="09000221-Muhammad Irfan"/>
    <n v="2800000"/>
    <n v="502"/>
    <n v="5"/>
    <n v="75"/>
    <n v="0"/>
    <n v="582"/>
    <n v="0"/>
    <n v="0"/>
    <n v="582"/>
    <n v="0"/>
    <n v="582"/>
    <m/>
    <m/>
    <m/>
    <s v="Syed Waqas"/>
    <n v="474.14000000000306"/>
    <n v="151.51"/>
    <m/>
  </r>
  <r>
    <n v="587"/>
    <x v="126"/>
    <x v="419"/>
    <s v=" -"/>
    <s v=" MOTOR"/>
    <d v="2024-08-22T00:00:00"/>
    <d v="2023-08-21T00:00:00"/>
    <d v="2024-08-20T00:00:00"/>
    <s v=" 08812602"/>
    <s v="Mr. Naveed Anjum_x000a_CNIC: 36602-0927628-5_x000a_Phone Number: 03007722073"/>
    <m/>
    <s v="SUZUKI CULTUS VXL"/>
    <s v="LEA-19-4864"/>
    <s v="PK10K132893"/>
    <s v="NF1AVK31H10032895"/>
    <s v="2019"/>
    <m/>
    <m/>
    <s v=" D"/>
    <s v="09000221-Muhammad Irfan"/>
    <n v="2800000"/>
    <n v="253"/>
    <n v="3"/>
    <n v="38"/>
    <n v="0"/>
    <n v="294"/>
    <n v="0"/>
    <n v="0"/>
    <n v="294"/>
    <n v="0"/>
    <n v="294"/>
    <m/>
    <m/>
    <m/>
    <s v="Syed Waqas"/>
    <n v="221.770000000002"/>
    <n v="76.389999999999986"/>
    <m/>
  </r>
  <r>
    <n v="588"/>
    <x v="126"/>
    <x v="420"/>
    <s v=" -"/>
    <s v=" MOTOR"/>
    <d v="2024-10-31T00:00:00"/>
    <d v="2023-08-21T00:00:00"/>
    <d v="2024-08-20T00:00:00"/>
    <s v=" 08812602"/>
    <s v="Mr. Naveed Anjum_x000a_CNIC: 36602-0927628-5_x000a_Phone Number: 03007722073"/>
    <m/>
    <s v="SUZUKI CULTUS VXL"/>
    <s v="LEA-19-4864"/>
    <s v="PK10K132893"/>
    <s v="NF1AVK31H10032895"/>
    <s v="2019"/>
    <m/>
    <m/>
    <s v=" D"/>
    <s v="09000221-Muhammad Irfan"/>
    <n v="-1"/>
    <n v="-51513"/>
    <n v="-515"/>
    <n v="0"/>
    <n v="0"/>
    <n v="-52028"/>
    <n v="0"/>
    <n v="0"/>
    <n v="-52028"/>
    <n v="0"/>
    <n v="-52028"/>
    <m/>
    <m/>
    <m/>
    <s v="Syed Waqas"/>
    <m/>
    <m/>
    <m/>
  </r>
  <r>
    <n v="589"/>
    <x v="127"/>
    <x v="421"/>
    <s v=" -"/>
    <s v=" MOTOR"/>
    <d v="2023-08-31T00:00:00"/>
    <d v="2023-08-07T00:00:00"/>
    <d v="2024-08-06T00:00:00"/>
    <s v=" 08812606"/>
    <s v="Mr. Muhammad Sameed_x000a_CNIC: 4210185028253_x000a_Phone Number: 03323482201"/>
    <m/>
    <s v="PROTON SAGA 1.3 L R3"/>
    <s v="BUH-882"/>
    <s v="S4PEWW7968"/>
    <s v="158752"/>
    <s v="2021"/>
    <m/>
    <m/>
    <s v=" D"/>
    <s v="09000221-Muhammad Irfan"/>
    <n v="3000000"/>
    <n v="48245"/>
    <n v="483"/>
    <n v="6272"/>
    <n v="0"/>
    <n v="55000"/>
    <n v="0"/>
    <n v="0"/>
    <n v="55000"/>
    <n v="0"/>
    <n v="55000"/>
    <m/>
    <m/>
    <m/>
    <s v="Syed Waqas"/>
    <m/>
    <m/>
    <m/>
  </r>
  <r>
    <n v="590"/>
    <x v="127"/>
    <x v="422"/>
    <s v=" -"/>
    <s v=" MOTOR"/>
    <d v="2024-03-07T00:00:00"/>
    <d v="2023-08-07T00:00:00"/>
    <d v="2024-08-06T00:00:00"/>
    <s v=" 08812606"/>
    <s v="Mr. Muhammad Sameed_x000a_CNIC: 4210185028253_x000a_Phone Number: 03323482201"/>
    <m/>
    <s v="PROTON SAGA 1.3 L R3"/>
    <s v="BUH-882"/>
    <s v="S4PEWW7968"/>
    <s v="158752"/>
    <s v="2021"/>
    <m/>
    <m/>
    <s v=" D"/>
    <s v="09000221-Muhammad Irfan"/>
    <n v="3000000"/>
    <n v="3453"/>
    <n v="35"/>
    <n v="449"/>
    <n v="0"/>
    <n v="3937"/>
    <n v="0"/>
    <n v="0"/>
    <n v="3937"/>
    <n v="0"/>
    <n v="3937"/>
    <m/>
    <m/>
    <m/>
    <s v="Syed Waqas"/>
    <n v="1614.4600000000009"/>
    <n v="957.38"/>
    <m/>
  </r>
  <r>
    <n v="591"/>
    <x v="127"/>
    <x v="423"/>
    <s v=" -"/>
    <s v=" MOTOR"/>
    <d v="2024-04-08T00:00:00"/>
    <d v="2023-08-07T00:00:00"/>
    <d v="2024-08-06T00:00:00"/>
    <s v=" 08812606"/>
    <s v="Mr. Muhammad Sameed_x000a_CNIC: 4210185028253_x000a_Phone Number: 03323482201"/>
    <m/>
    <s v="PROTON SAGA 1.3 L R3"/>
    <s v="BUH-882"/>
    <s v="S4PEWW7968"/>
    <s v="158752"/>
    <s v="2021"/>
    <m/>
    <m/>
    <s v=" D"/>
    <s v="09000221-Muhammad Irfan"/>
    <n v="3000000"/>
    <n v="3648"/>
    <n v="36"/>
    <n v="475"/>
    <n v="0"/>
    <n v="4159"/>
    <n v="0"/>
    <n v="0"/>
    <n v="4159"/>
    <n v="0"/>
    <n v="4159"/>
    <m/>
    <m/>
    <m/>
    <s v="Syed Waqas"/>
    <n v="1484.5200000000009"/>
    <n v="1011.63"/>
    <m/>
  </r>
  <r>
    <n v="592"/>
    <x v="127"/>
    <x v="424"/>
    <s v=" -"/>
    <s v=" MOTOR"/>
    <d v="2024-05-13T00:00:00"/>
    <d v="2023-08-07T00:00:00"/>
    <d v="2024-08-06T00:00:00"/>
    <s v=" 08812606"/>
    <s v="Mr. Muhammad Sameed_x000a_CNIC: 4210185028253_x000a_Phone Number: 03323482201"/>
    <m/>
    <s v="PROTON SAGA 1.3 L R3"/>
    <s v="BUH-882"/>
    <s v="S4PEWW7968"/>
    <s v="158752"/>
    <s v="2021"/>
    <m/>
    <m/>
    <s v=" D"/>
    <s v="09000221-Muhammad Irfan"/>
    <n v="3000000"/>
    <n v="2949"/>
    <n v="30"/>
    <n v="383"/>
    <n v="0"/>
    <n v="3362"/>
    <n v="0"/>
    <n v="0"/>
    <n v="3362"/>
    <n v="0"/>
    <n v="3362"/>
    <m/>
    <m/>
    <m/>
    <s v="Syed Waqas"/>
    <n v="1097.53"/>
    <n v="817.95"/>
    <m/>
  </r>
  <r>
    <n v="593"/>
    <x v="127"/>
    <x v="425"/>
    <s v=" -"/>
    <s v=" MOTOR"/>
    <d v="2024-06-07T00:00:00"/>
    <d v="2023-08-07T00:00:00"/>
    <d v="2024-08-06T00:00:00"/>
    <s v=" 08812606"/>
    <s v="Mr. Muhammad Sameed_x000a_CNIC: 4210185028253_x000a_Phone Number: 03323482201"/>
    <m/>
    <s v="PROTON SAGA 1.3 L R3"/>
    <s v="BUH-882"/>
    <s v="S4PEWW7968"/>
    <s v="158752"/>
    <s v="2021"/>
    <m/>
    <m/>
    <s v=" D"/>
    <s v="09000221-Muhammad Irfan"/>
    <n v="3000000"/>
    <n v="3671"/>
    <n v="36"/>
    <n v="477"/>
    <n v="0"/>
    <n v="4184"/>
    <n v="0"/>
    <n v="0"/>
    <n v="4184"/>
    <n v="0"/>
    <n v="4184"/>
    <m/>
    <m/>
    <m/>
    <s v="Syed Waqas"/>
    <n v="1792.17"/>
    <n v="1017.46"/>
    <m/>
  </r>
  <r>
    <n v="594"/>
    <x v="127"/>
    <x v="426"/>
    <s v=" -"/>
    <s v=" MOTOR"/>
    <d v="2024-07-09T00:00:00"/>
    <d v="2023-08-07T00:00:00"/>
    <d v="2024-08-06T00:00:00"/>
    <s v=" 08812606"/>
    <s v="Mr. Muhammad Sameed_x000a_CNIC: 4210185028253_x000a_Phone Number: 03323482201"/>
    <m/>
    <s v="PROTON SAGA 1.3 L R3"/>
    <s v="BUH-882"/>
    <s v="S4PEWW7968"/>
    <s v="158752"/>
    <s v="2021"/>
    <m/>
    <m/>
    <s v=" D"/>
    <s v="09000221-Muhammad Irfan"/>
    <n v="3000000"/>
    <n v="3269"/>
    <n v="33"/>
    <n v="490"/>
    <n v="0"/>
    <n v="3792"/>
    <n v="0"/>
    <n v="0"/>
    <n v="3792"/>
    <n v="0"/>
    <n v="3792"/>
    <m/>
    <m/>
    <m/>
    <s v="Syed Waqas"/>
    <n v="1357.7800000000009"/>
    <n v="922.11"/>
    <m/>
  </r>
  <r>
    <n v="595"/>
    <x v="127"/>
    <x v="427"/>
    <s v=" -"/>
    <s v=" MOTOR"/>
    <d v="2024-08-08T00:00:00"/>
    <d v="2023-08-07T00:00:00"/>
    <d v="2024-08-06T00:00:00"/>
    <s v=" 08812606"/>
    <s v="Mr. Muhammad Sameed_x000a_CNIC: 4210185028253_x000a_Phone Number: 03323482201"/>
    <m/>
    <s v="PROTON SAGA 1.3 L R3"/>
    <s v="BUH-882"/>
    <s v="S4PEWW7968"/>
    <s v="158752"/>
    <s v="2021"/>
    <m/>
    <m/>
    <s v=" D"/>
    <s v="09000221-Muhammad Irfan"/>
    <n v="3000000"/>
    <n v="1510"/>
    <n v="15"/>
    <n v="227"/>
    <n v="0"/>
    <n v="1752"/>
    <n v="0"/>
    <n v="0"/>
    <n v="1752"/>
    <n v="0"/>
    <n v="1752"/>
    <m/>
    <m/>
    <m/>
    <s v="Syed Waqas"/>
    <n v="597.57000000000107"/>
    <n v="426.42"/>
    <m/>
  </r>
  <r>
    <n v="596"/>
    <x v="127"/>
    <x v="428"/>
    <s v=" -"/>
    <s v=" MOTOR"/>
    <d v="2024-10-31T00:00:00"/>
    <d v="2023-08-07T00:00:00"/>
    <d v="2024-08-06T00:00:00"/>
    <s v=" 08812606"/>
    <s v="Mr. Muhammad Sameed_x000a_CNIC: 4210185028253_x000a_Phone Number: 03323482201"/>
    <m/>
    <s v="PROTON SAGA 1.3 L R3"/>
    <s v="BUH-882"/>
    <s v="S4PEWW7968"/>
    <s v="158752"/>
    <s v="2021"/>
    <m/>
    <m/>
    <s v=" D"/>
    <s v="09000221-Muhammad Irfan"/>
    <n v="-1"/>
    <n v="-75432"/>
    <n v="-754"/>
    <n v="0"/>
    <n v="0"/>
    <n v="-76186"/>
    <n v="0"/>
    <n v="0"/>
    <n v="-76186"/>
    <n v="0"/>
    <n v="-76186"/>
    <m/>
    <m/>
    <m/>
    <s v="Syed Waqas"/>
    <m/>
    <m/>
    <m/>
  </r>
  <r>
    <n v="598"/>
    <x v="128"/>
    <x v="429"/>
    <s v=" -"/>
    <s v=" MOTOR"/>
    <d v="2023-08-31T00:00:00"/>
    <d v="2023-08-28T00:00:00"/>
    <d v="2024-08-27T00:00:00"/>
    <s v=" 08812720"/>
    <s v="Mr. Noman Khan_x000a_CNIC: 4210117099075_x000a_Phone Number: 03009221581"/>
    <m/>
    <s v="SUZUKI ALTO"/>
    <s v="BVL-898"/>
    <s v="6R196681"/>
    <s v="NF1AET306H1096600"/>
    <s v="2021"/>
    <m/>
    <m/>
    <s v=" D"/>
    <s v="09000221-Muhammad Irfan"/>
    <n v="2200000"/>
    <n v="34209"/>
    <n v="343"/>
    <n v="4448"/>
    <n v="0"/>
    <n v="39000"/>
    <n v="0"/>
    <n v="0"/>
    <n v="39000"/>
    <n v="0"/>
    <n v="39000"/>
    <m/>
    <m/>
    <m/>
    <s v="Syed Waqas"/>
    <m/>
    <m/>
    <s v="Noman.khan@hotmail.com"/>
  </r>
  <r>
    <n v="599"/>
    <x v="128"/>
    <x v="430"/>
    <s v=" -"/>
    <s v=" MOTOR"/>
    <d v="2024-06-28T00:00:00"/>
    <d v="2023-08-28T00:00:00"/>
    <d v="2024-08-27T00:00:00"/>
    <s v=" 08812720"/>
    <s v="Mr. Noman Khan_x000a_CNIC: 4210117099075_x000a_Phone Number: 03009221581"/>
    <m/>
    <s v="SUZUKI ALTO"/>
    <s v="BVL-898"/>
    <s v="6R196681"/>
    <s v="NF1AET306H1096600"/>
    <s v="2021"/>
    <m/>
    <m/>
    <s v=" D"/>
    <s v="09000221-Muhammad Irfan"/>
    <n v="2200000"/>
    <n v="693"/>
    <n v="7"/>
    <n v="90"/>
    <n v="0"/>
    <n v="790"/>
    <n v="0"/>
    <n v="0"/>
    <n v="790"/>
    <n v="0"/>
    <n v="790"/>
    <m/>
    <m/>
    <m/>
    <s v="Syed Waqas"/>
    <n v="263.03000000000003"/>
    <n v="263.03000000000003"/>
    <m/>
  </r>
  <r>
    <n v="600"/>
    <x v="128"/>
    <x v="431"/>
    <s v=" -"/>
    <s v=" MOTOR"/>
    <d v="2024-07-30T00:00:00"/>
    <d v="2023-08-28T00:00:00"/>
    <d v="2024-08-27T00:00:00"/>
    <s v=" 08812720"/>
    <s v="Mr. Noman Khan_x000a_CNIC: 4210117099075_x000a_Phone Number: 03009221581"/>
    <m/>
    <s v="SUZUKI ALTO"/>
    <s v="BVL-898"/>
    <s v="6R196681"/>
    <s v="NF1AET306H1096600"/>
    <s v="2021"/>
    <m/>
    <m/>
    <s v=" D"/>
    <s v="09000221-Muhammad Irfan"/>
    <n v="2200000"/>
    <n v="546"/>
    <n v="5"/>
    <n v="82"/>
    <n v="0"/>
    <n v="633"/>
    <n v="0"/>
    <n v="0"/>
    <n v="633"/>
    <n v="0"/>
    <n v="633"/>
    <m/>
    <m/>
    <m/>
    <s v="Syed Waqas"/>
    <n v="210.10000000000002"/>
    <n v="210.10000000000002"/>
    <m/>
  </r>
  <r>
    <n v="601"/>
    <x v="128"/>
    <x v="432"/>
    <s v=" -"/>
    <s v=" MOTOR"/>
    <d v="2024-08-29T00:00:00"/>
    <d v="2023-08-28T00:00:00"/>
    <d v="2024-08-27T00:00:00"/>
    <s v=" 08812720"/>
    <s v="Mr. Noman Khan_x000a_CNIC: 4210117099075_x000a_Phone Number: 03009221581"/>
    <m/>
    <s v="SUZUKI ALTO"/>
    <s v="BVL-898"/>
    <s v="6R196681"/>
    <s v="NF1AET306H1096600"/>
    <s v="2021"/>
    <m/>
    <m/>
    <s v=" D"/>
    <s v="09000221-Muhammad Irfan"/>
    <n v="2200000"/>
    <n v="385"/>
    <n v="4"/>
    <n v="58"/>
    <n v="0"/>
    <n v="447"/>
    <n v="0"/>
    <n v="0"/>
    <n v="447"/>
    <n v="0"/>
    <n v="447"/>
    <m/>
    <m/>
    <m/>
    <s v="Syed Waqas"/>
    <n v="196.76999999999902"/>
    <n v="147.88000000000002"/>
    <m/>
  </r>
  <r>
    <n v="602"/>
    <x v="128"/>
    <x v="433"/>
    <s v=" -"/>
    <s v=" MOTOR"/>
    <d v="2024-10-31T00:00:00"/>
    <d v="2023-08-28T00:00:00"/>
    <d v="2024-08-27T00:00:00"/>
    <s v=" 08812720"/>
    <s v="Mr. Noman Khan_x000a_CNIC: 4210117099075_x000a_Phone Number: 03009221581"/>
    <m/>
    <s v="SUZUKI ALTO"/>
    <s v="BVL-898"/>
    <s v="6R196681"/>
    <s v="NF1AET306H1096600"/>
    <s v="2021"/>
    <m/>
    <m/>
    <s v=" D"/>
    <s v="09000221-Muhammad Irfan"/>
    <n v="-1"/>
    <n v="-40465"/>
    <n v="-405"/>
    <n v="0"/>
    <n v="0"/>
    <n v="-40870"/>
    <n v="0"/>
    <n v="0"/>
    <n v="-40870"/>
    <n v="0"/>
    <n v="-40870"/>
    <m/>
    <m/>
    <m/>
    <s v="Syed Waqas"/>
    <m/>
    <m/>
    <m/>
  </r>
  <r>
    <n v="603"/>
    <x v="129"/>
    <x v="434"/>
    <s v=" -"/>
    <s v=" MOTOR"/>
    <d v="2023-08-31T00:00:00"/>
    <d v="2023-08-30T00:00:00"/>
    <d v="2024-08-29T00:00:00"/>
    <s v=" 08812802"/>
    <s v="Mr. Nadeem Khalid_x000a_CNIC: 3310009462281_x000a_Phone Number: 03219663878"/>
    <m/>
    <s v="SUZUKI ALTO VXL"/>
    <s v="BSW-748"/>
    <s v="6R109528"/>
    <s v="NF1AET306H1009500"/>
    <s v="2019"/>
    <m/>
    <m/>
    <s v=" D"/>
    <s v="09000221-Muhammad Irfan"/>
    <n v="2000000"/>
    <n v="30701"/>
    <n v="307"/>
    <n v="3992"/>
    <n v="0"/>
    <n v="35000"/>
    <n v="0"/>
    <n v="0"/>
    <n v="35000"/>
    <n v="0"/>
    <n v="35000"/>
    <m/>
    <m/>
    <m/>
    <s v="Syed Waqas"/>
    <m/>
    <m/>
    <m/>
  </r>
  <r>
    <n v="604"/>
    <x v="129"/>
    <x v="435"/>
    <s v=" -"/>
    <s v=" MOTOR"/>
    <d v="2023-12-30T00:00:00"/>
    <d v="2023-08-30T00:00:00"/>
    <d v="2024-08-29T00:00:00"/>
    <s v=" 08812802"/>
    <s v="Mr. Nadeem Khalid_x000a_CNIC: 3310009462281_x000a_Phone Number: 03219663878"/>
    <m/>
    <s v="SUZUKI ALTO VXL"/>
    <s v="BSW-748"/>
    <s v="6R109528"/>
    <s v="NF1AET306H1009500"/>
    <s v="2019"/>
    <m/>
    <m/>
    <s v=" D"/>
    <s v="09000221-Muhammad Irfan"/>
    <n v="2000000"/>
    <n v="2125"/>
    <n v="21"/>
    <n v="276"/>
    <n v="0"/>
    <n v="2422"/>
    <n v="0"/>
    <n v="0"/>
    <n v="2422"/>
    <n v="0"/>
    <n v="2422"/>
    <m/>
    <m/>
    <m/>
    <s v="Syed Waqas"/>
    <n v="1075.3500000000001"/>
    <n v="885.15000000000009"/>
    <m/>
  </r>
  <r>
    <n v="605"/>
    <x v="129"/>
    <x v="436"/>
    <s v=" -"/>
    <s v=" MOTOR"/>
    <d v="2024-07-01T00:00:00"/>
    <d v="2023-08-30T00:00:00"/>
    <d v="2024-08-29T00:00:00"/>
    <s v=" 08812802"/>
    <s v="Mr. Nadeem Khalid_x000a_CNIC: 3310009462281_x000a_Phone Number: 03219663878"/>
    <m/>
    <s v="SUZUKI ALTO VXL"/>
    <s v="BSW-748"/>
    <s v="6R109528"/>
    <s v="NF1AET306H1009500"/>
    <s v="2019"/>
    <m/>
    <m/>
    <s v=" D"/>
    <s v="09000221-Muhammad Irfan"/>
    <n v="2000000"/>
    <n v="1777"/>
    <n v="18"/>
    <n v="231"/>
    <n v="0"/>
    <n v="2026"/>
    <n v="0"/>
    <n v="0"/>
    <n v="2026"/>
    <n v="0"/>
    <n v="2026"/>
    <m/>
    <m/>
    <m/>
    <s v="Syed Waqas"/>
    <n v="753.78000000000111"/>
    <n v="739.520000000001"/>
    <m/>
  </r>
  <r>
    <n v="606"/>
    <x v="129"/>
    <x v="437"/>
    <s v=" -"/>
    <s v=" MOTOR"/>
    <d v="2024-12-29T00:00:00"/>
    <d v="2023-08-30T00:00:00"/>
    <d v="2024-08-29T00:00:00"/>
    <s v=" 08812802"/>
    <s v="Mr. Nadeem Khalid_x000a_CNIC: 3310009462281_x000a_Phone Number: 03219663878"/>
    <m/>
    <s v="SUZUKI ALTO VXL"/>
    <s v="BSW-748"/>
    <s v="6R109528"/>
    <s v="NF1AET306H1009500"/>
    <s v="2019"/>
    <m/>
    <m/>
    <s v=" D"/>
    <s v="09000221-Muhammad Irfan"/>
    <n v="-1"/>
    <n v="-39057"/>
    <n v="-391"/>
    <n v="0"/>
    <n v="0"/>
    <n v="-39448"/>
    <n v="0"/>
    <n v="0"/>
    <n v="-39448"/>
    <n v="0"/>
    <n v="-39448"/>
    <m/>
    <m/>
    <m/>
    <s v="Syed Waqas"/>
    <m/>
    <m/>
    <m/>
  </r>
  <r>
    <n v="607"/>
    <x v="130"/>
    <x v="438"/>
    <s v=" -"/>
    <s v=" MOTOR"/>
    <d v="2023-09-30T00:00:00"/>
    <d v="2023-09-01T00:00:00"/>
    <d v="2024-08-31T00:00:00"/>
    <s v=" 08812831"/>
    <s v="Mr. Imran Ali_x000a_CNIC:  4230122599805_x000a_Phone Number: 03212166616"/>
    <m/>
    <s v="TOYOTA COROLLA ALTIS 1.8"/>
    <s v="BXR-666"/>
    <s v="Q350428"/>
    <s v="ZRE172R- 7048589"/>
    <s v="2021"/>
    <m/>
    <m/>
    <s v=" D"/>
    <s v="09000221-Muhammad Irfan"/>
    <n v="5900000"/>
    <n v="99122"/>
    <n v="992"/>
    <n v="12886"/>
    <n v="0"/>
    <n v="113000"/>
    <n v="0"/>
    <n v="0"/>
    <n v="113000"/>
    <n v="0"/>
    <n v="113000"/>
    <m/>
    <m/>
    <m/>
    <s v="Syed Waqas"/>
    <m/>
    <m/>
    <m/>
  </r>
  <r>
    <n v="608"/>
    <x v="130"/>
    <x v="439"/>
    <s v=" -"/>
    <s v=" MOTOR"/>
    <d v="2024-07-26T00:00:00"/>
    <d v="2023-09-01T00:00:00"/>
    <d v="2024-08-31T00:00:00"/>
    <s v=" 08812831"/>
    <s v="Mr. Imran Ali_x000a_CNIC:  4230122599805_x000a_Phone Number: 03212166616"/>
    <m/>
    <s v="TOYOTA COROLLA ALTIS 1.8"/>
    <s v="BXR-666"/>
    <s v="Q350428"/>
    <s v="ZRE172R- 7048589"/>
    <s v="2021"/>
    <m/>
    <m/>
    <s v=" D"/>
    <s v="09000221-Muhammad Irfan"/>
    <n v="5900000"/>
    <n v="21966"/>
    <n v="220"/>
    <n v="0"/>
    <n v="0"/>
    <n v="22186"/>
    <n v="0"/>
    <n v="0"/>
    <n v="22186"/>
    <n v="0"/>
    <n v="22186"/>
    <m/>
    <m/>
    <m/>
    <s v="Syed Waqas"/>
    <m/>
    <m/>
    <s v="imranalikatchi@outlook.com"/>
  </r>
  <r>
    <n v="609"/>
    <x v="130"/>
    <x v="440"/>
    <s v=" -"/>
    <s v=" MOTOR"/>
    <d v="2024-10-31T00:00:00"/>
    <d v="2023-09-01T00:00:00"/>
    <d v="2024-08-31T00:00:00"/>
    <s v=" 08812831"/>
    <s v="Mr. Imran Ali_x000a_CNIC:  4230122599805_x000a_Phone Number: 03212166616"/>
    <m/>
    <s v="TOYOTA COROLLA ALTIS 1.8"/>
    <s v="BXR-666"/>
    <s v="Q350428"/>
    <s v="ZRE172R- 7048589"/>
    <s v="2021"/>
    <m/>
    <m/>
    <s v=" D"/>
    <s v="09000221-Muhammad Irfan"/>
    <n v="-1"/>
    <n v="-133848"/>
    <n v="-1338"/>
    <n v="0"/>
    <n v="0"/>
    <n v="-135186"/>
    <n v="0"/>
    <n v="0"/>
    <n v="-135186"/>
    <n v="0"/>
    <n v="-135186"/>
    <m/>
    <m/>
    <m/>
    <s v="Syed Waqas"/>
    <m/>
    <m/>
    <m/>
  </r>
  <r>
    <n v="610"/>
    <x v="131"/>
    <x v="441"/>
    <s v=" -"/>
    <s v=" MOTOR"/>
    <d v="2023-09-30T00:00:00"/>
    <d v="2023-08-29T00:00:00"/>
    <d v="2024-08-28T00:00:00"/>
    <s v=" 08812847"/>
    <s v="Mr. Zeeshan Haider _x000a_CNIC: 3520135437173_x000a_Cell: 03324217779"/>
    <m/>
    <s v="SUZUKI CULTUS VXL"/>
    <s v="LEF-19-2126"/>
    <s v="PK10K142478"/>
    <s v="NF1AVK31H10042442"/>
    <s v="2019"/>
    <m/>
    <m/>
    <s v=" D"/>
    <s v="09000221-Muhammad Irfan"/>
    <n v="2500000"/>
    <n v="39473"/>
    <n v="395"/>
    <n v="5132"/>
    <n v="0"/>
    <n v="45000"/>
    <n v="0"/>
    <n v="0"/>
    <n v="45000"/>
    <n v="0"/>
    <n v="45000"/>
    <m/>
    <m/>
    <m/>
    <s v="AFSHEEN ISMAIL"/>
    <m/>
    <m/>
    <m/>
  </r>
  <r>
    <n v="611"/>
    <x v="131"/>
    <x v="442"/>
    <s v=" -"/>
    <s v=" MOTOR"/>
    <d v="2024-10-31T00:00:00"/>
    <d v="2023-08-29T00:00:00"/>
    <d v="2024-08-28T00:00:00"/>
    <s v=" 08812847"/>
    <s v="Mr. Zeeshan Haider _x000a_CNIC: 3520135437173_x000a_Cell: 03324217779"/>
    <m/>
    <s v="SUZUKI CULTUS VXL"/>
    <s v="LEF-19-2126"/>
    <s v="PK10K142478"/>
    <s v="NF1AVK31H10042442"/>
    <s v="2019"/>
    <m/>
    <m/>
    <s v=" D"/>
    <s v="09000221-Muhammad Irfan"/>
    <n v="-1"/>
    <n v="-44554"/>
    <n v="-446"/>
    <n v="0"/>
    <n v="0"/>
    <n v="-45000"/>
    <n v="0"/>
    <n v="0"/>
    <n v="-45000"/>
    <n v="0"/>
    <n v="-45000"/>
    <m/>
    <m/>
    <m/>
    <s v="AFSHEEN ISMAIL"/>
    <m/>
    <m/>
    <m/>
  </r>
  <r>
    <n v="612"/>
    <x v="132"/>
    <x v="443"/>
    <s v=" -"/>
    <s v=" MOTOR"/>
    <d v="2023-09-30T00:00:00"/>
    <d v="2023-09-01T00:00:00"/>
    <d v="2024-08-31T00:00:00"/>
    <s v=" 08812865"/>
    <s v="Mr. Fahad Muhammad Iqbal_x000a_CNIC: 42201-9570392-1_x000a_Cell: 03452116695"/>
    <m/>
    <s v="TOYOTA VITZ"/>
    <s v="BTU-357"/>
    <s v="1KR-2494203"/>
    <s v="KSP130-4027907"/>
    <s v="2019"/>
    <m/>
    <m/>
    <s v=" D"/>
    <s v="09000221-Muhammad Irfan"/>
    <n v="3195000"/>
    <n v="51666"/>
    <n v="517"/>
    <n v="6717"/>
    <n v="0"/>
    <n v="58900"/>
    <n v="0"/>
    <n v="0"/>
    <n v="58900"/>
    <n v="0"/>
    <n v="58900"/>
    <m/>
    <m/>
    <m/>
    <s v="AFSHEEN ISMAIL"/>
    <m/>
    <m/>
    <m/>
  </r>
  <r>
    <n v="613"/>
    <x v="132"/>
    <x v="444"/>
    <s v=" -"/>
    <s v=" MOTOR"/>
    <d v="2024-01-02T00:00:00"/>
    <d v="2023-09-01T00:00:00"/>
    <d v="2024-08-31T00:00:00"/>
    <s v=" 08812865"/>
    <s v="Mr. Fahad Muhammad Iqbal_x000a_CNIC: 42201-9570392-1_x000a_Cell: 03452116695"/>
    <m/>
    <s v="TOYOTA VITZ"/>
    <s v="BTU-357"/>
    <s v="1KR-2494203"/>
    <s v="KSP130-4027907"/>
    <s v="2019"/>
    <m/>
    <m/>
    <s v=" D"/>
    <s v="09000221-Muhammad Irfan"/>
    <n v="3195000"/>
    <n v="3171"/>
    <n v="32"/>
    <n v="412"/>
    <n v="0"/>
    <n v="3615"/>
    <n v="0"/>
    <n v="0"/>
    <n v="3615"/>
    <n v="0"/>
    <n v="3615"/>
    <m/>
    <m/>
    <m/>
    <s v="AFSHEEN ISMAIL"/>
    <n v="850.64000000000101"/>
    <n v="825.42"/>
    <m/>
  </r>
  <r>
    <n v="614"/>
    <x v="132"/>
    <x v="445"/>
    <s v=" -"/>
    <s v=" MOTOR"/>
    <d v="2024-02-01T00:00:00"/>
    <d v="2023-09-01T00:00:00"/>
    <d v="2024-08-31T00:00:00"/>
    <s v=" 08812865"/>
    <s v="Mr. Fahad Muhammad Iqbal_x000a_CNIC: 42201-9570392-1_x000a_Cell: 03452116695"/>
    <m/>
    <s v="TOYOTA VITZ"/>
    <s v="BTU-357"/>
    <s v="1KR-2494203"/>
    <s v="KSP130-4027907"/>
    <s v="2019"/>
    <m/>
    <m/>
    <s v=" D"/>
    <s v="09000221-Muhammad Irfan"/>
    <n v="3195000"/>
    <n v="3239"/>
    <n v="33"/>
    <n v="421"/>
    <n v="0"/>
    <n v="3693"/>
    <n v="0"/>
    <n v="0"/>
    <n v="3693"/>
    <n v="0"/>
    <n v="3693"/>
    <m/>
    <m/>
    <m/>
    <s v="AFSHEEN ISMAIL"/>
    <n v="856.90000000000009"/>
    <n v="843.96"/>
    <m/>
  </r>
  <r>
    <n v="615"/>
    <x v="132"/>
    <x v="446"/>
    <s v=" -"/>
    <s v=" MOTOR"/>
    <d v="2024-03-02T00:00:00"/>
    <d v="2023-09-01T00:00:00"/>
    <d v="2024-08-31T00:00:00"/>
    <s v=" 08812865"/>
    <s v="Mr. Fahad Muhammad Iqbal_x000a_CNIC: 42201-9570392-1_x000a_Cell: 03452116695"/>
    <m/>
    <s v="TOYOTA VITZ"/>
    <s v="BTU-357"/>
    <s v="1KR-2494203"/>
    <s v="KSP130-4027907"/>
    <s v="2019"/>
    <m/>
    <m/>
    <s v=" D"/>
    <s v="09000221-Muhammad Irfan"/>
    <n v="3195000"/>
    <n v="2991"/>
    <n v="29"/>
    <n v="389"/>
    <n v="0"/>
    <n v="3409"/>
    <n v="0"/>
    <n v="0"/>
    <n v="3409"/>
    <n v="0"/>
    <n v="3409"/>
    <m/>
    <m/>
    <m/>
    <s v="AFSHEEN ISMAIL"/>
    <n v="818.08"/>
    <n v="778.54000000000019"/>
    <m/>
  </r>
  <r>
    <n v="616"/>
    <x v="132"/>
    <x v="447"/>
    <s v=" -"/>
    <s v=" MOTOR"/>
    <d v="2024-04-02T00:00:00"/>
    <d v="2023-09-01T00:00:00"/>
    <d v="2024-08-31T00:00:00"/>
    <s v=" 08812865"/>
    <s v="Mr. Fahad Muhammad Iqbal_x000a_CNIC: 42201-9570392-1_x000a_Cell: 03452116695"/>
    <m/>
    <s v="TOYOTA VITZ"/>
    <s v="BTU-357"/>
    <s v="1KR-2494203"/>
    <s v="KSP130-4027907"/>
    <s v="2019"/>
    <m/>
    <m/>
    <s v=" D"/>
    <s v="09000221-Muhammad Irfan"/>
    <n v="3195000"/>
    <n v="3163"/>
    <n v="32"/>
    <n v="411"/>
    <n v="0"/>
    <n v="3606"/>
    <n v="0"/>
    <n v="0"/>
    <n v="3606"/>
    <n v="0"/>
    <n v="3606"/>
    <m/>
    <m/>
    <m/>
    <s v="AFSHEEN ISMAIL"/>
    <n v="906.5"/>
    <n v="823.90000000000009"/>
    <m/>
  </r>
  <r>
    <n v="617"/>
    <x v="132"/>
    <x v="448"/>
    <s v=" -"/>
    <s v=" MOTOR"/>
    <d v="2024-04-17T00:00:00"/>
    <d v="2023-09-01T00:00:00"/>
    <d v="2024-08-31T00:00:00"/>
    <s v=" 08812865"/>
    <s v="Mr. Fahad Muhammad Iqbal_x000a_CNIC: 42201-9570392-1_x000a_Cell: 03452116695"/>
    <m/>
    <s v="TOYOTA VITZ"/>
    <s v="BTU-357"/>
    <s v="1KR-2494203"/>
    <s v="KSP130-4027907"/>
    <s v="2019"/>
    <m/>
    <m/>
    <s v=" D"/>
    <s v="09000221-Muhammad Irfan"/>
    <n v="-1"/>
    <n v="-9401"/>
    <n v="-94"/>
    <n v="-1222"/>
    <n v="0"/>
    <n v="-10717"/>
    <n v="0"/>
    <n v="0"/>
    <n v="-10717"/>
    <n v="0"/>
    <n v="-10717"/>
    <m/>
    <m/>
    <m/>
    <s v="AFSHEEN ISMAIL"/>
    <m/>
    <m/>
    <m/>
  </r>
  <r>
    <n v="618"/>
    <x v="132"/>
    <x v="449"/>
    <s v=" -"/>
    <s v=" MOTOR"/>
    <d v="2024-10-31T00:00:00"/>
    <d v="2023-09-01T00:00:00"/>
    <d v="2024-08-31T00:00:00"/>
    <s v=" 08812865"/>
    <s v="Mr. Fahad Muhammad Iqbal_x000a_CNIC: 42201-9570392-1_x000a_Cell: 03452116695"/>
    <m/>
    <s v="TOYOTA VITZ"/>
    <s v="BTU-357"/>
    <s v="1KR-2494203"/>
    <s v="KSP130-4027907"/>
    <s v="2019"/>
    <m/>
    <m/>
    <s v=" D"/>
    <s v="09000221-Muhammad Irfan"/>
    <n v="-1"/>
    <n v="-61887"/>
    <n v="-619"/>
    <n v="0"/>
    <n v="0"/>
    <n v="-62506"/>
    <n v="0"/>
    <n v="0"/>
    <n v="-62506"/>
    <n v="0"/>
    <n v="-62506"/>
    <m/>
    <m/>
    <m/>
    <s v="AFSHEEN ISMAIL"/>
    <m/>
    <m/>
    <m/>
  </r>
  <r>
    <n v="619"/>
    <x v="133"/>
    <x v="450"/>
    <s v=" -"/>
    <s v=" MOTOR"/>
    <d v="2024-04-09T00:00:00"/>
    <d v="2023-09-09T00:00:00"/>
    <d v="2024-09-08T00:00:00"/>
    <s v=" 08807472"/>
    <s v="Mrs. Nighat Zubair _x000a_CNIC # 42301-0864749-0_x000a_CELL# +92 300 8254002"/>
    <m/>
    <s v="KIA SPORTAGE AWD"/>
    <s v="BK-6120"/>
    <s v="G4NAMH329679"/>
    <s v="NNAQL51AZKP516648"/>
    <s v="2022"/>
    <m/>
    <m/>
    <s v=" D"/>
    <s v="09000221-Muhammad Irfan"/>
    <n v="6250000"/>
    <n v="2950"/>
    <n v="29"/>
    <n v="383"/>
    <n v="0"/>
    <n v="3362"/>
    <n v="0"/>
    <n v="0"/>
    <n v="3362"/>
    <n v="0"/>
    <n v="3362"/>
    <m/>
    <m/>
    <m/>
    <s v="Sarim Raza"/>
    <n v="487.28"/>
    <n v="487.28"/>
    <m/>
  </r>
  <r>
    <n v="620"/>
    <x v="133"/>
    <x v="451"/>
    <s v=" -"/>
    <s v=" MOTOR"/>
    <d v="2024-05-13T00:00:00"/>
    <d v="2023-09-09T00:00:00"/>
    <d v="2024-09-08T00:00:00"/>
    <s v=" 08807472"/>
    <s v="Mrs. Nighat Zubair _x000a_CNIC # 42301-0864749-0_x000a_CELL# +92 300 8254002"/>
    <m/>
    <s v="KIA SPORTAGE AWD"/>
    <s v="BK-6120"/>
    <s v="G4NAMH329679"/>
    <s v="NNAQL51AZKP516648"/>
    <s v="2022"/>
    <m/>
    <m/>
    <s v=" D"/>
    <s v="09000221-Muhammad Irfan"/>
    <n v="6250000"/>
    <n v="660"/>
    <n v="7"/>
    <n v="86"/>
    <n v="0"/>
    <n v="753"/>
    <n v="0"/>
    <n v="0"/>
    <n v="753"/>
    <n v="0"/>
    <n v="753"/>
    <m/>
    <m/>
    <m/>
    <s v="Sarim Raza"/>
    <n v="109.21"/>
    <n v="109.21"/>
    <m/>
  </r>
  <r>
    <n v="621"/>
    <x v="133"/>
    <x v="452"/>
    <s v=" -"/>
    <s v=" MOTOR"/>
    <d v="2024-06-10T00:00:00"/>
    <d v="2023-09-09T00:00:00"/>
    <d v="2024-09-08T00:00:00"/>
    <s v=" 08807472"/>
    <s v="Mrs. Nighat Zubair _x000a_CNIC # 42301-0864749-0_x000a_CELL# +92 300 8254002"/>
    <m/>
    <s v="KIA SPORTAGE AWD"/>
    <s v="BK-6120"/>
    <s v="G4NAMH329679"/>
    <s v="NNAQL51AZKP516648"/>
    <s v="2022"/>
    <m/>
    <m/>
    <s v=" D"/>
    <s v="09000221-Muhammad Irfan"/>
    <n v="6250000"/>
    <n v="72"/>
    <n v="1"/>
    <n v="10"/>
    <n v="0"/>
    <n v="83"/>
    <n v="0"/>
    <n v="0"/>
    <n v="83"/>
    <n v="0"/>
    <n v="83"/>
    <m/>
    <m/>
    <m/>
    <s v="Sarim Raza"/>
    <n v="11.979999999999992"/>
    <n v="11.979999999999992"/>
    <m/>
  </r>
  <r>
    <n v="622"/>
    <x v="133"/>
    <x v="453"/>
    <s v=" -"/>
    <s v=" MOTOR"/>
    <d v="2024-07-10T00:00:00"/>
    <d v="2023-09-09T00:00:00"/>
    <d v="2024-09-08T00:00:00"/>
    <s v=" 08807472"/>
    <s v="Mrs. Nighat Zubair _x000a_CNIC # 42301-0864749-0_x000a_CELL# +92 300 8254002"/>
    <m/>
    <s v="KIA SPORTAGE AWD"/>
    <s v="BK-6120"/>
    <s v="G4NAMH329679"/>
    <s v="NNAQL51AZKP516648"/>
    <s v="2022"/>
    <m/>
    <m/>
    <s v=" D"/>
    <s v="09000221-Muhammad Irfan"/>
    <n v="6250000"/>
    <n v="106"/>
    <n v="1"/>
    <n v="16"/>
    <n v="0"/>
    <n v="123"/>
    <n v="0"/>
    <n v="0"/>
    <n v="123"/>
    <n v="0"/>
    <n v="123"/>
    <m/>
    <m/>
    <m/>
    <s v="Sarim Raza"/>
    <n v="17.72999999999999"/>
    <n v="17.72999999999999"/>
    <m/>
  </r>
  <r>
    <n v="623"/>
    <x v="133"/>
    <x v="454"/>
    <s v=" -"/>
    <s v=" MOTOR"/>
    <d v="2024-09-11T00:00:00"/>
    <d v="2023-09-09T00:00:00"/>
    <d v="2024-09-08T00:00:00"/>
    <s v=" 08807472"/>
    <s v="Mrs. Nighat Zubair _x000a_CNIC # 42301-0864749-0_x000a_CELL# +92 300 8254002"/>
    <m/>
    <s v="KIA SPORTAGE AWD"/>
    <s v="BK-6120"/>
    <s v="G4NAMH329679"/>
    <s v="NNAQL51AZKP516648"/>
    <s v="2022"/>
    <m/>
    <m/>
    <s v=" D"/>
    <s v="09000221-Muhammad Irfan"/>
    <n v="6250000"/>
    <n v="2229"/>
    <n v="22"/>
    <n v="334"/>
    <n v="0"/>
    <n v="2585"/>
    <n v="0"/>
    <n v="0"/>
    <n v="2585"/>
    <n v="0"/>
    <n v="2585"/>
    <m/>
    <m/>
    <m/>
    <s v="Sarim Raza"/>
    <n v="374.45000000000005"/>
    <n v="374.45000000000005"/>
    <m/>
  </r>
  <r>
    <n v="624"/>
    <x v="133"/>
    <x v="455"/>
    <s v=" -"/>
    <s v=" MOTOR"/>
    <d v="2024-12-26T00:00:00"/>
    <d v="2023-09-09T00:00:00"/>
    <d v="2024-09-08T00:00:00"/>
    <s v=" 08807472"/>
    <s v="Mrs. Nighat Zubair _x000a_CNIC # 42301-0864749-0_x000a_CELL# +92 300 8254002"/>
    <m/>
    <s v="KIA SPORTAGE AWD"/>
    <s v="BK-6120"/>
    <s v="G4NAMH329679"/>
    <s v="NNAQL51AZKP516648"/>
    <s v="2022"/>
    <m/>
    <m/>
    <s v=" D"/>
    <s v="09000221-Muhammad Irfan"/>
    <n v="-1"/>
    <n v="-6838"/>
    <n v="-68"/>
    <n v="0"/>
    <n v="0"/>
    <n v="-6906"/>
    <n v="0"/>
    <n v="0"/>
    <n v="-6906"/>
    <n v="0"/>
    <n v="-6906"/>
    <m/>
    <m/>
    <m/>
    <s v="Sarim Raza"/>
    <m/>
    <m/>
    <s v="mz7693@yahoo.com"/>
  </r>
  <r>
    <n v="625"/>
    <x v="134"/>
    <x v="456"/>
    <s v=" -"/>
    <s v=" MOTOR"/>
    <d v="2023-09-30T00:00:00"/>
    <d v="2023-09-01T00:00:00"/>
    <d v="2024-08-31T00:00:00"/>
    <s v=" 08812901"/>
    <s v="Mr. Ali Ather Khan _x000a_Cell: 0316 030397_x000a_CNIC: 42101-3772675-5"/>
    <m/>
    <s v="TOYOTA COROLLA GLI"/>
    <s v="BKY-210"/>
    <s v="Z400323"/>
    <s v="NZE170R-4127048"/>
    <s v="2017"/>
    <m/>
    <m/>
    <s v=" D"/>
    <s v="09000221-Muhammad Irfan"/>
    <n v="2200000"/>
    <n v="34209"/>
    <n v="343"/>
    <n v="4448"/>
    <n v="0"/>
    <n v="39000"/>
    <n v="0"/>
    <n v="0"/>
    <n v="39000"/>
    <n v="0"/>
    <n v="39000"/>
    <m/>
    <m/>
    <m/>
    <s v="AFSHEEN ISMAIL"/>
    <m/>
    <m/>
    <m/>
  </r>
  <r>
    <n v="626"/>
    <x v="134"/>
    <x v="457"/>
    <s v=" -"/>
    <s v=" MOTOR"/>
    <d v="2024-01-02T00:00:00"/>
    <d v="2023-09-01T00:00:00"/>
    <d v="2024-08-31T00:00:00"/>
    <s v=" 08812901"/>
    <s v="Mr. Ali Ather Khan _x000a_Cell: 0316 030397_x000a_CNIC: 42101-3772675-5"/>
    <m/>
    <s v="TOYOTA COROLLA GLI"/>
    <s v="BKY-210"/>
    <s v="Z400323"/>
    <s v="NZE170R-4127048"/>
    <s v="2017"/>
    <m/>
    <m/>
    <s v=" D"/>
    <s v="09000221-Muhammad Irfan"/>
    <n v="2200000"/>
    <n v="3020"/>
    <n v="30"/>
    <n v="393"/>
    <n v="0"/>
    <n v="3443"/>
    <n v="0"/>
    <n v="0"/>
    <n v="3443"/>
    <n v="0"/>
    <n v="3443"/>
    <m/>
    <m/>
    <m/>
    <s v="AFSHEEN ISMAIL"/>
    <n v="1337.2300000000009"/>
    <n v="1141.75"/>
    <m/>
  </r>
  <r>
    <n v="627"/>
    <x v="134"/>
    <x v="458"/>
    <s v=" -"/>
    <s v=" MOTOR"/>
    <d v="2024-03-02T00:00:00"/>
    <d v="2023-09-01T00:00:00"/>
    <d v="2024-08-31T00:00:00"/>
    <s v=" 08812901"/>
    <s v="Mr. Ali Ather Khan _x000a_Cell: 0316 030397_x000a_CNIC: 42101-3772675-5"/>
    <m/>
    <s v="TOYOTA COROLLA GLI"/>
    <s v="BKY-210"/>
    <s v="Z400323"/>
    <s v="NZE170R-4127048"/>
    <s v="2017"/>
    <m/>
    <m/>
    <s v=" D"/>
    <s v="09000221-Muhammad Irfan"/>
    <n v="2200000"/>
    <n v="2831"/>
    <n v="29"/>
    <n v="368"/>
    <n v="0"/>
    <n v="3228"/>
    <n v="0"/>
    <n v="0"/>
    <n v="3228"/>
    <n v="0"/>
    <n v="3228"/>
    <m/>
    <m/>
    <m/>
    <s v="AFSHEEN ISMAIL"/>
    <n v="1131.04"/>
    <n v="1070.24"/>
    <m/>
  </r>
  <r>
    <n v="628"/>
    <x v="134"/>
    <x v="459"/>
    <s v=" -"/>
    <s v=" MOTOR"/>
    <d v="2024-04-02T00:00:00"/>
    <d v="2023-09-01T00:00:00"/>
    <d v="2024-08-31T00:00:00"/>
    <s v=" 08812901"/>
    <s v="Mr. Ali Ather Khan _x000a_Cell: 0316 030397_x000a_CNIC: 42101-3772675-5"/>
    <m/>
    <s v="TOYOTA COROLLA GLI"/>
    <s v="BKY-210"/>
    <s v="Z400323"/>
    <s v="NZE170R-4127048"/>
    <s v="2017"/>
    <m/>
    <m/>
    <s v=" D"/>
    <s v="09000221-Muhammad Irfan"/>
    <n v="2200000"/>
    <n v="3087"/>
    <n v="30"/>
    <n v="401"/>
    <n v="0"/>
    <n v="3518"/>
    <n v="0"/>
    <n v="0"/>
    <n v="3518"/>
    <n v="0"/>
    <n v="3518"/>
    <m/>
    <m/>
    <m/>
    <s v="AFSHEEN ISMAIL"/>
    <n v="1295.75"/>
    <n v="1165.6300000000001"/>
    <m/>
  </r>
  <r>
    <n v="629"/>
    <x v="134"/>
    <x v="460"/>
    <s v=" -"/>
    <s v=" MOTOR"/>
    <d v="2024-04-17T00:00:00"/>
    <d v="2023-09-01T00:00:00"/>
    <d v="2024-08-31T00:00:00"/>
    <s v=" 08812901"/>
    <s v="Mr. Ali Ather Khan _x000a_Cell: 0316 030397_x000a_CNIC: 42101-3772675-5"/>
    <m/>
    <s v="TOYOTA COROLLA GLI"/>
    <s v="BKY-210"/>
    <s v="Z400323"/>
    <s v="NZE170R-4127048"/>
    <s v="2017"/>
    <m/>
    <m/>
    <s v=" D"/>
    <s v="09000221-Muhammad Irfan"/>
    <n v="-1"/>
    <n v="-5851"/>
    <n v="-59"/>
    <n v="-761"/>
    <n v="0"/>
    <n v="-6671"/>
    <n v="0"/>
    <n v="0"/>
    <n v="-6671"/>
    <n v="0"/>
    <n v="-6671"/>
    <m/>
    <m/>
    <m/>
    <s v="AFSHEEN ISMAIL"/>
    <m/>
    <m/>
    <m/>
  </r>
  <r>
    <n v="630"/>
    <x v="134"/>
    <x v="461"/>
    <s v=" -"/>
    <s v=" MOTOR"/>
    <d v="2024-10-31T00:00:00"/>
    <d v="2023-09-01T00:00:00"/>
    <d v="2024-08-31T00:00:00"/>
    <s v=" 08812901"/>
    <s v="Mr. Ali Ather Khan _x000a_Cell: 0316 030397_x000a_CNIC: 42101-3772675-5"/>
    <m/>
    <s v="TOYOTA COROLLA GLI"/>
    <s v="BKY-210"/>
    <s v="Z400323"/>
    <s v="NZE170R-4127048"/>
    <s v="2017"/>
    <m/>
    <m/>
    <s v=" D"/>
    <s v="09000221-Muhammad Irfan"/>
    <n v="-1"/>
    <n v="-42097"/>
    <n v="-421"/>
    <n v="0"/>
    <n v="0"/>
    <n v="-42518"/>
    <n v="0"/>
    <n v="0"/>
    <n v="-42518"/>
    <n v="0"/>
    <n v="-42518"/>
    <m/>
    <m/>
    <m/>
    <s v="AFSHEEN ISMAIL"/>
    <m/>
    <m/>
    <m/>
  </r>
  <r>
    <n v="631"/>
    <x v="135"/>
    <x v="462"/>
    <s v=" -"/>
    <s v=" MOTOR"/>
    <d v="2023-09-30T00:00:00"/>
    <d v="2023-09-07T00:00:00"/>
    <d v="2024-09-06T00:00:00"/>
    <s v=" 08804776"/>
    <s v="Mr. Athar Abbas_x000a_CNIC: 4220165254195_x000a_Cell: 03212053342"/>
    <m/>
    <s v="CHANGAN ALSVIN"/>
    <s v="AZV-441"/>
    <s v="531399"/>
    <s v="1006593"/>
    <s v="2022"/>
    <m/>
    <m/>
    <s v=" D"/>
    <s v="09000221-Muhammad Irfan"/>
    <n v="4500000"/>
    <n v="74561"/>
    <n v="746"/>
    <n v="9693"/>
    <n v="0"/>
    <n v="85000"/>
    <n v="0"/>
    <n v="0"/>
    <n v="85000"/>
    <n v="0"/>
    <n v="85000"/>
    <m/>
    <m/>
    <m/>
    <s v="MUHAMMAD WAQAS"/>
    <m/>
    <m/>
    <s v="atharabbas84@gmail.com"/>
  </r>
  <r>
    <n v="632"/>
    <x v="135"/>
    <x v="463"/>
    <s v=" -"/>
    <s v=" MOTOR"/>
    <d v="2024-09-11T00:00:00"/>
    <d v="2023-09-07T00:00:00"/>
    <d v="2024-09-06T00:00:00"/>
    <s v=" 08804776"/>
    <s v="Mr. Athar Abbas_x000a_CNIC: 4220165254195_x000a_Cell: 03212053342"/>
    <m/>
    <s v="CHANGAN ALSVIN"/>
    <s v="AZV-441"/>
    <s v="531399"/>
    <s v="1006593"/>
    <s v="2022"/>
    <m/>
    <m/>
    <s v=" D"/>
    <s v="09000221-Muhammad Irfan"/>
    <n v="4500000"/>
    <n v="2025"/>
    <n v="20"/>
    <n v="304"/>
    <n v="0"/>
    <n v="2349"/>
    <n v="0"/>
    <n v="0"/>
    <n v="2349"/>
    <n v="0"/>
    <n v="2349"/>
    <m/>
    <m/>
    <m/>
    <s v="MUHAMMAD WAQAS"/>
    <n v="631.46000000000902"/>
    <n v="381.19000000000005"/>
    <m/>
  </r>
  <r>
    <n v="633"/>
    <x v="135"/>
    <x v="464"/>
    <s v=" -"/>
    <s v=" MOTOR"/>
    <d v="2024-10-31T00:00:00"/>
    <d v="2023-09-07T00:00:00"/>
    <d v="2024-09-06T00:00:00"/>
    <s v=" 08804776"/>
    <s v="Mr. Athar Abbas_x000a_CNIC: 4220165254195_x000a_Cell: 03212053342"/>
    <m/>
    <s v="CHANGAN ALSVIN"/>
    <s v="AZV-441"/>
    <s v="531399"/>
    <s v="1006593"/>
    <s v="2022"/>
    <m/>
    <m/>
    <s v=" D"/>
    <s v="09000221-Muhammad Irfan"/>
    <n v="-1"/>
    <n v="-86484"/>
    <n v="-865"/>
    <n v="0"/>
    <n v="0"/>
    <n v="-87349"/>
    <n v="0"/>
    <n v="0"/>
    <n v="-87349"/>
    <n v="0"/>
    <n v="-87349"/>
    <m/>
    <m/>
    <m/>
    <s v="MUHAMMAD WAQAS"/>
    <m/>
    <m/>
    <m/>
  </r>
  <r>
    <n v="634"/>
    <x v="136"/>
    <x v="465"/>
    <s v=" -"/>
    <s v=" MOTOR"/>
    <d v="2023-09-30T00:00:00"/>
    <d v="2023-09-01T00:00:00"/>
    <d v="2024-08-31T00:00:00"/>
    <s v=" 08802519"/>
    <s v="Mr. Ahmed Zubair Kapadia_x000a_CNIC# 42301-1667981-1_x000a_CELL# 0346-8559855"/>
    <m/>
    <s v="PRINCE GLORY 580 PRO TURB"/>
    <s v="BJ-7636"/>
    <s v="SFG15T-21028652"/>
    <s v="PDF580PALR21H1590"/>
    <s v="2021"/>
    <m/>
    <m/>
    <s v=" D"/>
    <s v="09000221-Muhammad Irfan"/>
    <n v="4549500"/>
    <n v="75429"/>
    <n v="755"/>
    <n v="9806"/>
    <n v="0"/>
    <n v="85990"/>
    <n v="0"/>
    <n v="0"/>
    <n v="85990"/>
    <n v="0"/>
    <n v="85990"/>
    <m/>
    <m/>
    <m/>
    <s v="Rehan Ali Bashir"/>
    <m/>
    <m/>
    <m/>
  </r>
  <r>
    <n v="635"/>
    <x v="136"/>
    <x v="466"/>
    <s v=" -"/>
    <s v=" MOTOR"/>
    <d v="2024-05-01T00:00:00"/>
    <d v="2023-09-01T00:00:00"/>
    <d v="2024-08-31T00:00:00"/>
    <s v=" 08802519"/>
    <s v="Mr. Ahmed Zubair Kapadia_x000a_CNIC# 42301-1667981-1_x000a_CELL# 0346-8559855"/>
    <m/>
    <s v="PRINCE GLORY 580 PRO TURB"/>
    <s v="BJ-7636"/>
    <s v="SFG15T-21028652"/>
    <s v="PDF580PALR21H1590"/>
    <s v="2021"/>
    <m/>
    <m/>
    <s v=" D"/>
    <s v="09000221-Muhammad Irfan"/>
    <n v="4549500"/>
    <n v="2839"/>
    <n v="29"/>
    <n v="370"/>
    <n v="0"/>
    <n v="3238"/>
    <n v="0"/>
    <n v="0"/>
    <n v="3238"/>
    <n v="0"/>
    <n v="3238"/>
    <m/>
    <m/>
    <m/>
    <s v="Rehan Ali Bashir"/>
    <n v="556.43000000000109"/>
    <n v="519.99"/>
    <m/>
  </r>
  <r>
    <n v="636"/>
    <x v="136"/>
    <x v="467"/>
    <s v=" -"/>
    <s v=" MOTOR"/>
    <d v="2024-06-03T00:00:00"/>
    <d v="2023-09-01T00:00:00"/>
    <d v="2024-08-31T00:00:00"/>
    <s v=" 08802519"/>
    <s v="Mr. Ahmed Zubair Kapadia_x000a_CNIC# 42301-1667981-1_x000a_CELL# 0346-8559855"/>
    <m/>
    <s v="PRINCE GLORY 580 PRO TURB"/>
    <s v="BJ-7636"/>
    <s v="SFG15T-21028652"/>
    <s v="PDF580PALR21H1590"/>
    <s v="2021"/>
    <m/>
    <m/>
    <s v=" D"/>
    <s v="09000221-Muhammad Irfan"/>
    <n v="4549500"/>
    <n v="4576"/>
    <n v="45"/>
    <n v="594"/>
    <n v="0"/>
    <n v="5215"/>
    <n v="0"/>
    <n v="0"/>
    <n v="5215"/>
    <n v="0"/>
    <n v="5215"/>
    <m/>
    <m/>
    <m/>
    <s v="Rehan Ali Bashir"/>
    <n v="1394.7700000000179"/>
    <n v="837.29000000000019"/>
    <m/>
  </r>
  <r>
    <n v="637"/>
    <x v="136"/>
    <x v="468"/>
    <s v=" -"/>
    <s v=" MOTOR"/>
    <d v="2024-07-02T00:00:00"/>
    <d v="2023-09-01T00:00:00"/>
    <d v="2024-08-31T00:00:00"/>
    <s v=" 08802519"/>
    <s v="Mr. Ahmed Zubair Kapadia_x000a_CNIC# 42301-1667981-1_x000a_CELL# 0346-8559855"/>
    <m/>
    <s v="PRINCE GLORY 580 PRO TURB"/>
    <s v="BJ-7636"/>
    <s v="SFG15T-21028652"/>
    <s v="PDF580PALR21H1590"/>
    <s v="2021"/>
    <m/>
    <m/>
    <s v=" D"/>
    <s v="09000221-Muhammad Irfan"/>
    <n v="4549500"/>
    <n v="4595"/>
    <n v="46"/>
    <n v="689"/>
    <n v="0"/>
    <n v="5330"/>
    <n v="0"/>
    <n v="0"/>
    <n v="5330"/>
    <n v="0"/>
    <n v="5330"/>
    <m/>
    <m/>
    <m/>
    <s v="Rehan Ali Bashir"/>
    <n v="931.65000000000111"/>
    <n v="856.05"/>
    <m/>
  </r>
  <r>
    <n v="638"/>
    <x v="136"/>
    <x v="469"/>
    <s v=" -"/>
    <s v=" MOTOR"/>
    <d v="2024-08-02T00:00:00"/>
    <d v="2023-09-01T00:00:00"/>
    <d v="2024-08-31T00:00:00"/>
    <s v=" 08802519"/>
    <s v="Mr. Ahmed Zubair Kapadia_x000a_CNIC# 42301-1667981-1_x000a_CELL# 0346-8559855"/>
    <m/>
    <s v="PRINCE GLORY 580 PRO TURB"/>
    <s v="BJ-7636"/>
    <s v="SFG15T-21028652"/>
    <s v="PDF580PALR21H1590"/>
    <s v="2021"/>
    <m/>
    <m/>
    <s v=" D"/>
    <s v="09000221-Muhammad Irfan"/>
    <n v="4549500"/>
    <n v="4455"/>
    <n v="45"/>
    <n v="668"/>
    <n v="0"/>
    <n v="5168"/>
    <n v="0"/>
    <n v="0"/>
    <n v="5168"/>
    <n v="0"/>
    <n v="5168"/>
    <m/>
    <m/>
    <m/>
    <s v="Rehan Ali Bashir"/>
    <n v="869.47"/>
    <n v="829.48"/>
    <m/>
  </r>
  <r>
    <n v="639"/>
    <x v="136"/>
    <x v="470"/>
    <s v=" -"/>
    <s v=" MOTOR"/>
    <d v="2024-09-04T00:00:00"/>
    <d v="2023-09-01T00:00:00"/>
    <d v="2024-08-31T00:00:00"/>
    <s v=" 08802519"/>
    <s v="Mr. Ahmed Zubair Kapadia_x000a_CNIC# 42301-1667981-1_x000a_CELL# 0346-8559855"/>
    <m/>
    <s v="PRINCE GLORY 580 PRO TURB"/>
    <s v="BJ-7636"/>
    <s v="SFG15T-21028652"/>
    <s v="PDF580PALR21H1590"/>
    <s v="2021"/>
    <m/>
    <m/>
    <s v=" D"/>
    <s v="09000221-Muhammad Irfan"/>
    <n v="4549500"/>
    <n v="1935"/>
    <n v="19"/>
    <n v="290"/>
    <n v="0"/>
    <n v="2244"/>
    <n v="0"/>
    <n v="0"/>
    <n v="2244"/>
    <n v="0"/>
    <n v="2244"/>
    <m/>
    <m/>
    <m/>
    <s v="Rehan Ali Bashir"/>
    <n v="360.05000000000007"/>
    <n v="360.05000000000007"/>
    <m/>
  </r>
  <r>
    <n v="640"/>
    <x v="136"/>
    <x v="471"/>
    <s v=" -"/>
    <s v=" MOTOR"/>
    <d v="2024-10-31T00:00:00"/>
    <d v="2023-09-01T00:00:00"/>
    <d v="2024-08-31T00:00:00"/>
    <s v=" 08802519"/>
    <s v="Mr. Ahmed Zubair Kapadia_x000a_CNIC# 42301-1667981-1_x000a_CELL# 0346-8559855"/>
    <m/>
    <s v="PRINCE GLORY 580 PRO TURB"/>
    <s v="BJ-7636"/>
    <s v="SFG15T-21028652"/>
    <s v="PDF580PALR21H1590"/>
    <s v="2021"/>
    <m/>
    <m/>
    <s v=" D"/>
    <s v="09000221-Muhammad Irfan"/>
    <n v="-1"/>
    <n v="-106124"/>
    <n v="-1061"/>
    <n v="0"/>
    <n v="0"/>
    <n v="-107185"/>
    <n v="0"/>
    <n v="0"/>
    <n v="-107185"/>
    <n v="0"/>
    <n v="-107185"/>
    <m/>
    <m/>
    <m/>
    <s v="Rehan Ali Bashir"/>
    <m/>
    <m/>
    <m/>
  </r>
  <r>
    <n v="643"/>
    <x v="137"/>
    <x v="472"/>
    <s v=" -"/>
    <s v=" MOTOR"/>
    <d v="2023-09-30T00:00:00"/>
    <d v="2023-09-11T00:00:00"/>
    <d v="2024-09-10T00:00:00"/>
    <s v=" 08812960"/>
    <s v="Mr. Syed Rizwan Ali_x000a_CNIC: 3740503298773_x000a_Cell: 03215388777"/>
    <m/>
    <s v="HONDA CIVIC I-VTEC"/>
    <s v="ZH-396"/>
    <s v="2543711"/>
    <s v="107136"/>
    <s v="2013"/>
    <m/>
    <m/>
    <s v=" D"/>
    <s v="09000221-Muhammad Irfan"/>
    <n v="3500000"/>
    <n v="57016"/>
    <n v="571"/>
    <n v="7413"/>
    <n v="0"/>
    <n v="65000"/>
    <n v="0"/>
    <n v="0"/>
    <n v="65000"/>
    <n v="0"/>
    <n v="65000"/>
    <m/>
    <m/>
    <m/>
    <s v="MUHAMMAD WAQAS"/>
    <m/>
    <m/>
    <s v="voiceplus1@gmail.com"/>
  </r>
  <r>
    <n v="644"/>
    <x v="137"/>
    <x v="473"/>
    <s v=" -"/>
    <s v=" MOTOR"/>
    <d v="2024-05-13T00:00:00"/>
    <d v="2023-09-11T00:00:00"/>
    <d v="2024-09-10T00:00:00"/>
    <s v=" 08812960"/>
    <s v="Mr. Syed Rizwan Ali_x000a_CNIC: 3740503298773_x000a_Cell: 03215388777"/>
    <m/>
    <s v="HONDA CIVIC I-VTEC"/>
    <s v="ZH-396"/>
    <s v="2543711"/>
    <s v="107136"/>
    <s v="2013"/>
    <m/>
    <m/>
    <s v=" D"/>
    <s v="09000221-Muhammad Irfan"/>
    <n v="3500000"/>
    <n v="2296"/>
    <n v="23"/>
    <n v="299"/>
    <n v="0"/>
    <n v="2618"/>
    <n v="0"/>
    <n v="0"/>
    <n v="2618"/>
    <n v="0"/>
    <n v="2618"/>
    <m/>
    <m/>
    <m/>
    <s v="MUHAMMAD WAQAS"/>
    <n v="985.91000000002009"/>
    <n v="545.99"/>
    <m/>
  </r>
  <r>
    <n v="645"/>
    <x v="137"/>
    <x v="474"/>
    <s v=" -"/>
    <s v=" MOTOR"/>
    <d v="2024-06-11T00:00:00"/>
    <d v="2023-09-11T00:00:00"/>
    <d v="2024-09-10T00:00:00"/>
    <s v=" 08812960"/>
    <s v="Mr. Syed Rizwan Ali_x000a_CNIC: 3740503298773_x000a_Cell: 03215388777"/>
    <m/>
    <s v="HONDA CIVIC I-VTEC"/>
    <s v="ZH-396"/>
    <s v="2543711"/>
    <s v="107136"/>
    <s v="2013"/>
    <m/>
    <m/>
    <s v=" D"/>
    <s v="09000221-Muhammad Irfan"/>
    <n v="3500000"/>
    <n v="3047"/>
    <n v="30"/>
    <n v="396"/>
    <n v="0"/>
    <n v="3473"/>
    <n v="0"/>
    <n v="0"/>
    <n v="3473"/>
    <n v="0"/>
    <n v="3473"/>
    <m/>
    <m/>
    <m/>
    <s v="MUHAMMAD WAQAS"/>
    <n v="1026.2800000000059"/>
    <n v="724.39"/>
    <m/>
  </r>
  <r>
    <n v="646"/>
    <x v="137"/>
    <x v="475"/>
    <s v=" -"/>
    <s v=" MOTOR"/>
    <d v="2024-07-13T00:00:00"/>
    <d v="2023-09-11T00:00:00"/>
    <d v="2024-09-10T00:00:00"/>
    <s v=" 08812960"/>
    <s v="Mr. Syed Rizwan Ali_x000a_CNIC: 3740503298773_x000a_Cell: 03215388777"/>
    <m/>
    <s v="HONDA CIVIC I-VTEC"/>
    <s v="ZH-396"/>
    <s v="2543711"/>
    <s v="107136"/>
    <s v="2013"/>
    <m/>
    <m/>
    <s v=" D"/>
    <s v="09000221-Muhammad Irfan"/>
    <n v="3500000"/>
    <n v="4010"/>
    <n v="40"/>
    <n v="602"/>
    <n v="0"/>
    <n v="4652"/>
    <n v="0"/>
    <n v="0"/>
    <n v="4652"/>
    <n v="0"/>
    <n v="4652"/>
    <m/>
    <m/>
    <m/>
    <s v="MUHAMMAD WAQAS"/>
    <n v="2116.9200000000119"/>
    <n v="969.19"/>
    <m/>
  </r>
  <r>
    <n v="647"/>
    <x v="137"/>
    <x v="476"/>
    <s v=" -"/>
    <s v=" MOTOR"/>
    <d v="2024-08-13T00:00:00"/>
    <d v="2023-09-11T00:00:00"/>
    <d v="2024-09-10T00:00:00"/>
    <s v=" 08812960"/>
    <s v="Mr. Syed Rizwan Ali_x000a_CNIC: 3740503298773_x000a_Cell: 03215388777"/>
    <m/>
    <s v="HONDA CIVIC I-VTEC"/>
    <s v="ZH-396"/>
    <s v="2543711"/>
    <s v="107136"/>
    <s v="2013"/>
    <m/>
    <m/>
    <s v=" D"/>
    <s v="09000221-Muhammad Irfan"/>
    <n v="3500000"/>
    <n v="2780"/>
    <n v="28"/>
    <n v="417"/>
    <n v="0"/>
    <n v="3225"/>
    <n v="0"/>
    <n v="0"/>
    <n v="3225"/>
    <n v="0"/>
    <n v="3225"/>
    <m/>
    <m/>
    <m/>
    <s v="MUHAMMAD WAQAS"/>
    <n v="871.54000000000121"/>
    <n v="672.13"/>
    <m/>
  </r>
  <r>
    <n v="648"/>
    <x v="137"/>
    <x v="477"/>
    <s v=" -"/>
    <s v=" MOTOR"/>
    <d v="2024-09-14T00:00:00"/>
    <d v="2023-09-11T00:00:00"/>
    <d v="2024-09-10T00:00:00"/>
    <s v=" 08812960"/>
    <s v="Mr. Syed Rizwan Ali_x000a_CNIC: 3740503298773_x000a_Cell: 03215388777"/>
    <m/>
    <s v="HONDA CIVIC I-VTEC"/>
    <s v="ZH-396"/>
    <s v="2543711"/>
    <s v="107136"/>
    <s v="2013"/>
    <m/>
    <m/>
    <s v=" D"/>
    <s v="09000221-Muhammad Irfan"/>
    <n v="3500000"/>
    <n v="2501"/>
    <n v="25"/>
    <n v="375"/>
    <n v="0"/>
    <n v="2901"/>
    <n v="0"/>
    <n v="0"/>
    <n v="2901"/>
    <n v="0"/>
    <n v="2901"/>
    <m/>
    <m/>
    <m/>
    <s v="MUHAMMAD WAQAS"/>
    <n v="860.62000000000489"/>
    <n v="605.23"/>
    <m/>
  </r>
  <r>
    <n v="649"/>
    <x v="137"/>
    <x v="478"/>
    <s v=" -"/>
    <s v=" MOTOR"/>
    <d v="2024-10-31T00:00:00"/>
    <d v="2023-09-11T00:00:00"/>
    <d v="2024-09-10T00:00:00"/>
    <s v=" 08812960"/>
    <s v="Mr. Syed Rizwan Ali_x000a_CNIC: 3740503298773_x000a_Cell: 03215388777"/>
    <m/>
    <s v="HONDA CIVIC I-VTEC"/>
    <s v="ZH-396"/>
    <s v="2543711"/>
    <s v="107136"/>
    <s v="2013"/>
    <m/>
    <m/>
    <s v=" D"/>
    <s v="09000221-Muhammad Irfan"/>
    <n v="-1"/>
    <n v="-81058"/>
    <n v="-811"/>
    <n v="0"/>
    <n v="0"/>
    <n v="-81869"/>
    <n v="0"/>
    <n v="0"/>
    <n v="-81869"/>
    <n v="0"/>
    <n v="-81869"/>
    <m/>
    <m/>
    <m/>
    <s v="MUHAMMAD WAQAS"/>
    <m/>
    <m/>
    <m/>
  </r>
  <r>
    <n v="650"/>
    <x v="138"/>
    <x v="24"/>
    <s v=" -"/>
    <s v=" MOTOR"/>
    <d v="2023-09-12T00:00:00"/>
    <d v="2023-09-11T00:00:00"/>
    <d v="2024-09-10T00:00:00"/>
    <s v=" 08805936"/>
    <s v="Waseem Asghar Chughtai_x000a_CNIC:  4230148677867_x000a_Phone Number: 03008255294"/>
    <m/>
    <s v="TOYOTA LAND CRUISER PRADO"/>
    <s v="APA-556"/>
    <s v="2TR-1159925"/>
    <s v="TRJ150-0026416"/>
    <s v="2012"/>
    <m/>
    <m/>
    <s v=" D"/>
    <s v="09000221-Muhammad Irfan"/>
    <n v="15000000"/>
    <n v="4343"/>
    <n v="43"/>
    <n v="564"/>
    <n v="50"/>
    <n v="5000"/>
    <n v="5400"/>
    <n v="0"/>
    <n v="-400"/>
    <n v="0"/>
    <n v="-400"/>
    <m/>
    <m/>
    <m/>
    <s v="Syed Waqas"/>
    <m/>
    <m/>
    <s v="waseemchughtai62@gmail.com"/>
  </r>
  <r>
    <n v="651"/>
    <x v="138"/>
    <x v="479"/>
    <s v=" -"/>
    <s v=" MOTOR"/>
    <d v="2024-09-14T00:00:00"/>
    <d v="2023-09-11T00:00:00"/>
    <d v="2024-09-10T00:00:00"/>
    <s v=" 08805936"/>
    <s v="Waseem Asghar Chughtai_x000a_CNIC:  4230148677867_x000a_Phone Number: 03008255294"/>
    <m/>
    <s v="TOYOTA LAND CRUISER PRADO"/>
    <s v="APA-556"/>
    <s v="2TR-1159925"/>
    <s v="TRJ150-0026416"/>
    <s v="2012"/>
    <m/>
    <m/>
    <s v=" D"/>
    <s v="09000221-Muhammad Irfan"/>
    <n v="15000000"/>
    <n v="345"/>
    <n v="3"/>
    <n v="52"/>
    <n v="0"/>
    <n v="400"/>
    <n v="0"/>
    <n v="0"/>
    <n v="400"/>
    <n v="0"/>
    <n v="400"/>
    <m/>
    <m/>
    <m/>
    <s v="Syed Waqas"/>
    <n v="19.39"/>
    <n v="19.39"/>
    <m/>
  </r>
  <r>
    <n v="652"/>
    <x v="139"/>
    <x v="480"/>
    <s v=" -"/>
    <s v=" MOTOR"/>
    <d v="2023-09-30T00:00:00"/>
    <d v="2023-09-11T00:00:00"/>
    <d v="2024-09-10T00:00:00"/>
    <s v=" 08812992"/>
    <s v="Mr. Yasir Nomi_x000a_CNIC:  4220107815455_x000a_Phone Number: 03362386655"/>
    <m/>
    <s v="SUZUKI ALTO VX"/>
    <s v="BXJ-858"/>
    <s v="6R248115"/>
    <s v="NF1AET306H1148115"/>
    <s v="2022"/>
    <m/>
    <m/>
    <s v=" D"/>
    <s v="09000355-Asif Azeem"/>
    <n v="2200000"/>
    <n v="34209"/>
    <n v="343"/>
    <n v="4448"/>
    <n v="0"/>
    <n v="39000"/>
    <n v="0"/>
    <n v="0"/>
    <n v="39000"/>
    <n v="0"/>
    <n v="39000"/>
    <m/>
    <m/>
    <m/>
    <s v="Syed Waqas"/>
    <m/>
    <m/>
    <m/>
  </r>
  <r>
    <n v="653"/>
    <x v="139"/>
    <x v="481"/>
    <s v=" -"/>
    <s v=" MOTOR"/>
    <d v="2024-09-19T00:00:00"/>
    <d v="2023-09-11T00:00:00"/>
    <d v="2024-09-10T00:00:00"/>
    <s v=" 08812992"/>
    <s v="Mr. Yasir Nomi_x000a_CNIC:  4220107815455_x000a_Phone Number: 03362386655"/>
    <m/>
    <s v="SUZUKI ALTO VX"/>
    <s v="BXJ-858"/>
    <s v="6R248115"/>
    <s v="NF1AET306H1148115"/>
    <s v="2022"/>
    <m/>
    <m/>
    <s v=" D"/>
    <s v="09000355-Asif Azeem"/>
    <n v="2200000"/>
    <n v="301"/>
    <n v="3"/>
    <n v="45"/>
    <n v="0"/>
    <n v="349"/>
    <n v="0"/>
    <n v="0"/>
    <n v="349"/>
    <n v="0"/>
    <n v="349"/>
    <m/>
    <m/>
    <m/>
    <s v="Syed Waqas"/>
    <n v="173.63"/>
    <n v="145.4"/>
    <m/>
  </r>
  <r>
    <n v="654"/>
    <x v="139"/>
    <x v="482"/>
    <s v=" -"/>
    <s v=" MOTOR"/>
    <d v="2024-10-31T00:00:00"/>
    <d v="2023-09-11T00:00:00"/>
    <d v="2024-09-10T00:00:00"/>
    <s v=" 08812992"/>
    <s v="Mr. Yasir Nomi_x000a_CNIC:  4220107815455_x000a_Phone Number: 03362386655"/>
    <m/>
    <s v="SUZUKI ALTO VX"/>
    <s v="BXJ-858"/>
    <s v="6R248115"/>
    <s v="NF1AET306H1148115"/>
    <s v="2022"/>
    <m/>
    <m/>
    <s v=" D"/>
    <s v="09000355-Asif Azeem"/>
    <n v="-1"/>
    <n v="-38959"/>
    <n v="-390"/>
    <n v="0"/>
    <n v="0"/>
    <n v="-39349"/>
    <n v="0"/>
    <n v="0"/>
    <n v="-39349"/>
    <n v="0"/>
    <n v="-39349"/>
    <m/>
    <m/>
    <m/>
    <s v="Syed Waqas"/>
    <m/>
    <m/>
    <m/>
  </r>
  <r>
    <n v="655"/>
    <x v="140"/>
    <x v="483"/>
    <s v=" -"/>
    <s v=" MOTOR"/>
    <d v="2023-09-30T00:00:00"/>
    <d v="2023-09-12T00:00:00"/>
    <d v="2024-09-11T00:00:00"/>
    <s v=" 08812999"/>
    <s v="Mr. Muhammad Asif_x000a_CNIC No: 3520134546079_x000a_Phone Number:  03234294833"/>
    <m/>
    <s v="TOYOTA YARIS GLI CVT"/>
    <s v="AKF-619"/>
    <s v="2A52269"/>
    <s v="NSP150R-7033015"/>
    <s v="2022"/>
    <m/>
    <m/>
    <s v=" D"/>
    <s v="09000221-Muhammad Irfan"/>
    <n v="4000000"/>
    <n v="65789"/>
    <n v="658"/>
    <n v="8553"/>
    <n v="0"/>
    <n v="75000"/>
    <n v="0"/>
    <n v="0"/>
    <n v="75000"/>
    <n v="0"/>
    <n v="75000"/>
    <m/>
    <m/>
    <m/>
    <s v="Syed Waqas"/>
    <m/>
    <m/>
    <s v="muhammadasiph42@gmail.com"/>
  </r>
  <r>
    <n v="656"/>
    <x v="140"/>
    <x v="484"/>
    <s v=" -"/>
    <s v=" MOTOR"/>
    <d v="2024-04-14T00:00:00"/>
    <d v="2023-09-12T00:00:00"/>
    <d v="2024-09-11T00:00:00"/>
    <s v=" 08812999"/>
    <s v="Mr. Muhammad Asif_x000a_CNIC No: 3520134546079_x000a_Phone Number:  03234294833"/>
    <m/>
    <s v="TOYOTA YARIS GLI CVT"/>
    <s v="AKF-619"/>
    <s v="2A52269"/>
    <s v="NSP150R-7033015"/>
    <s v="2022"/>
    <m/>
    <m/>
    <s v=" D"/>
    <s v="09000221-Muhammad Irfan"/>
    <n v="4000000"/>
    <n v="3353"/>
    <n v="34"/>
    <n v="436"/>
    <n v="0"/>
    <n v="3823"/>
    <n v="0"/>
    <n v="0"/>
    <n v="3823"/>
    <n v="0"/>
    <n v="3823"/>
    <m/>
    <m/>
    <m/>
    <s v="Syed Waqas"/>
    <n v="1745.680000000026"/>
    <n v="696.89"/>
    <m/>
  </r>
  <r>
    <n v="657"/>
    <x v="140"/>
    <x v="485"/>
    <s v=" -"/>
    <s v=" MOTOR"/>
    <d v="2024-06-12T00:00:00"/>
    <d v="2023-09-12T00:00:00"/>
    <d v="2024-09-11T00:00:00"/>
    <s v=" 08812999"/>
    <s v="Mr. Muhammad Asif_x000a_CNIC No: 3520134546079_x000a_Phone Number:  03234294833"/>
    <m/>
    <s v="TOYOTA YARIS GLI CVT"/>
    <s v="AKF-619"/>
    <s v="2A52269"/>
    <s v="NSP150R-7033015"/>
    <s v="2022"/>
    <m/>
    <m/>
    <s v=" D"/>
    <s v="09000221-Muhammad Irfan"/>
    <n v="4000000"/>
    <n v="3117"/>
    <n v="31"/>
    <n v="405"/>
    <n v="0"/>
    <n v="3553"/>
    <n v="0"/>
    <n v="0"/>
    <n v="3553"/>
    <n v="0"/>
    <n v="3553"/>
    <m/>
    <m/>
    <m/>
    <s v="Syed Waqas"/>
    <n v="1998.5700000000672"/>
    <n v="647.73"/>
    <m/>
  </r>
  <r>
    <n v="658"/>
    <x v="140"/>
    <x v="486"/>
    <s v=" -"/>
    <s v=" MOTOR"/>
    <d v="2024-07-13T00:00:00"/>
    <d v="2023-09-12T00:00:00"/>
    <d v="2024-09-11T00:00:00"/>
    <s v=" 08812999"/>
    <s v="Mr. Muhammad Asif_x000a_CNIC No: 3520134546079_x000a_Phone Number:  03234294833"/>
    <m/>
    <s v="TOYOTA YARIS GLI CVT"/>
    <s v="AKF-619"/>
    <s v="2A52269"/>
    <s v="NSP150R-7033015"/>
    <s v="2022"/>
    <m/>
    <m/>
    <s v=" D"/>
    <s v="09000221-Muhammad Irfan"/>
    <n v="4000000"/>
    <n v="2554"/>
    <n v="26"/>
    <n v="383"/>
    <n v="0"/>
    <n v="2963"/>
    <n v="0"/>
    <n v="0"/>
    <n v="2963"/>
    <n v="0"/>
    <n v="2963"/>
    <m/>
    <m/>
    <m/>
    <s v="Syed Waqas"/>
    <n v="862.2800000000002"/>
    <n v="539.91999999999996"/>
    <m/>
  </r>
  <r>
    <n v="659"/>
    <x v="140"/>
    <x v="487"/>
    <s v=" -"/>
    <s v=" MOTOR"/>
    <d v="2024-08-13T00:00:00"/>
    <d v="2023-09-12T00:00:00"/>
    <d v="2024-09-11T00:00:00"/>
    <s v=" 08812999"/>
    <s v="Mr. Muhammad Asif_x000a_CNIC No: 3520134546079_x000a_Phone Number:  03234294833"/>
    <m/>
    <s v="TOYOTA YARIS GLI CVT"/>
    <s v="AKF-619"/>
    <s v="2A52269"/>
    <s v="NSP150R-7033015"/>
    <s v="2022"/>
    <m/>
    <m/>
    <s v=" D"/>
    <s v="09000221-Muhammad Irfan"/>
    <n v="4000000"/>
    <n v="2736"/>
    <n v="27"/>
    <n v="410"/>
    <n v="0"/>
    <n v="3173"/>
    <n v="0"/>
    <n v="0"/>
    <n v="3173"/>
    <n v="0"/>
    <n v="3173"/>
    <m/>
    <m/>
    <m/>
    <s v="Syed Waqas"/>
    <n v="868.46999999999912"/>
    <n v="577.96"/>
    <m/>
  </r>
  <r>
    <n v="660"/>
    <x v="140"/>
    <x v="488"/>
    <s v=" -"/>
    <s v=" MOTOR"/>
    <d v="2024-09-14T00:00:00"/>
    <d v="2023-09-12T00:00:00"/>
    <d v="2024-09-11T00:00:00"/>
    <s v=" 08812999"/>
    <s v="Mr. Muhammad Asif_x000a_CNIC No: 3520134546079_x000a_Phone Number:  03234294833"/>
    <m/>
    <s v="TOYOTA YARIS GLI CVT"/>
    <s v="AKF-619"/>
    <s v="2A52269"/>
    <s v="NSP150R-7033015"/>
    <s v="2022"/>
    <m/>
    <m/>
    <s v=" D"/>
    <s v="09000221-Muhammad Irfan"/>
    <n v="4000000"/>
    <n v="4959"/>
    <n v="50"/>
    <n v="744"/>
    <n v="0"/>
    <n v="5753"/>
    <n v="0"/>
    <n v="0"/>
    <n v="5753"/>
    <n v="0"/>
    <n v="5753"/>
    <m/>
    <m/>
    <m/>
    <s v="Syed Waqas"/>
    <n v="1501.309999999999"/>
    <n v="1048.4000000000001"/>
    <m/>
  </r>
  <r>
    <n v="661"/>
    <x v="140"/>
    <x v="489"/>
    <s v=" -"/>
    <s v=" MOTOR"/>
    <d v="2024-12-29T00:00:00"/>
    <d v="2023-09-12T00:00:00"/>
    <d v="2024-09-11T00:00:00"/>
    <s v=" 08812999"/>
    <s v="Mr. Muhammad Asif_x000a_CNIC No: 3520134546079_x000a_Phone Number:  03234294833"/>
    <m/>
    <s v="TOYOTA YARIS GLI CVT"/>
    <s v="AKF-619"/>
    <s v="2A52269"/>
    <s v="NSP150R-7033015"/>
    <s v="2022"/>
    <m/>
    <m/>
    <s v=" D"/>
    <s v="09000221-Muhammad Irfan"/>
    <n v="-1"/>
    <n v="-93332"/>
    <n v="-933"/>
    <n v="0"/>
    <n v="0"/>
    <n v="-94265"/>
    <n v="0"/>
    <n v="0"/>
    <n v="-94265"/>
    <n v="0"/>
    <n v="-94265"/>
    <m/>
    <m/>
    <m/>
    <s v="Syed Waqas"/>
    <m/>
    <m/>
    <m/>
  </r>
  <r>
    <n v="662"/>
    <x v="141"/>
    <x v="490"/>
    <s v=" -"/>
    <s v=" MOTOR"/>
    <d v="2023-09-30T00:00:00"/>
    <d v="2023-09-15T00:00:00"/>
    <d v="2024-09-14T00:00:00"/>
    <s v=" 08802458"/>
    <s v="Mrs. Tanveer Shah_x000a_CNIC #. 42301-1862673-4_x000a_CELL #. 0300-8200788"/>
    <m/>
    <s v="AUDI A6 1.8 TFSI EXECUTIV"/>
    <s v="BJT-595"/>
    <s v="CYG010120"/>
    <s v="WAUZZZ4G9HN116365"/>
    <s v="2017"/>
    <m/>
    <m/>
    <s v=" D"/>
    <s v="09000221-Muhammad Irfan"/>
    <n v="10000000"/>
    <n v="171059"/>
    <n v="1710"/>
    <n v="22231"/>
    <n v="0"/>
    <n v="195000"/>
    <n v="0"/>
    <n v="0"/>
    <n v="195000"/>
    <n v="0"/>
    <n v="195000"/>
    <m/>
    <m/>
    <m/>
    <s v="Sarosh Hassan"/>
    <m/>
    <m/>
    <m/>
  </r>
  <r>
    <n v="663"/>
    <x v="141"/>
    <x v="491"/>
    <s v=" -"/>
    <s v=" MOTOR"/>
    <d v="2023-11-16T00:00:00"/>
    <d v="2023-09-15T00:00:00"/>
    <d v="2024-09-14T00:00:00"/>
    <s v=" 08802458"/>
    <s v="Mrs. Tanveer Shah_x000a_CNIC #. 42301-1862673-4_x000a_CELL #. 0300-8200788"/>
    <m/>
    <s v="AUDI A6 1.8 TFSI EXECUTIV"/>
    <s v="BJT-595"/>
    <s v="CYG010120"/>
    <s v="WAUZZZ4G9HN116365"/>
    <s v="2017"/>
    <m/>
    <m/>
    <s v=" D"/>
    <s v="09000221-Muhammad Irfan"/>
    <n v="10000000"/>
    <n v="400"/>
    <n v="4"/>
    <n v="52"/>
    <n v="0"/>
    <n v="456"/>
    <n v="450"/>
    <n v="0"/>
    <n v="6"/>
    <n v="0"/>
    <n v="6"/>
    <m/>
    <m/>
    <m/>
    <s v="Sarosh Hassan"/>
    <n v="33.339999999999968"/>
    <n v="33.339999999999968"/>
    <m/>
  </r>
  <r>
    <n v="664"/>
    <x v="141"/>
    <x v="492"/>
    <s v=" -"/>
    <s v=" MOTOR"/>
    <d v="2024-07-19T00:00:00"/>
    <d v="2023-09-15T00:00:00"/>
    <d v="2024-09-14T00:00:00"/>
    <s v=" 08802458"/>
    <s v="Mrs. Tanveer Shah_x000a_CNIC #. 42301-1862673-4_x000a_CELL #. 0300-8200788"/>
    <m/>
    <s v="AUDI A6 1.8 TFSI EXECUTIV"/>
    <s v="BJT-595"/>
    <s v="CYG010120"/>
    <s v="WAUZZZ4G9HN116365"/>
    <s v="2017"/>
    <m/>
    <m/>
    <s v=" D"/>
    <s v="09000221-Muhammad Irfan"/>
    <n v="10000000"/>
    <n v="476"/>
    <n v="5"/>
    <n v="71"/>
    <n v="0"/>
    <n v="552"/>
    <n v="0"/>
    <n v="0"/>
    <n v="552"/>
    <n v="0"/>
    <n v="552"/>
    <m/>
    <m/>
    <m/>
    <s v="Sarosh Hassan"/>
    <n v="40.300000000000004"/>
    <n v="40.300000000000004"/>
    <m/>
  </r>
  <r>
    <n v="665"/>
    <x v="141"/>
    <x v="493"/>
    <s v=" -"/>
    <s v=" MOTOR"/>
    <d v="2024-08-16T00:00:00"/>
    <d v="2023-09-15T00:00:00"/>
    <d v="2024-09-14T00:00:00"/>
    <s v=" 08802458"/>
    <s v="Mrs. Tanveer Shah_x000a_CNIC #. 42301-1862673-4_x000a_CELL #. 0300-8200788"/>
    <m/>
    <s v="AUDI A6 1.8 TFSI EXECUTIV"/>
    <s v="BJT-595"/>
    <s v="CYG010120"/>
    <s v="WAUZZZ4G9HN116365"/>
    <s v="2017"/>
    <m/>
    <m/>
    <s v=" D"/>
    <s v="09000221-Muhammad Irfan"/>
    <n v="10000000"/>
    <n v="724"/>
    <n v="7"/>
    <n v="109"/>
    <n v="0"/>
    <n v="840"/>
    <n v="0"/>
    <n v="0"/>
    <n v="840"/>
    <n v="0"/>
    <n v="840"/>
    <m/>
    <m/>
    <m/>
    <s v="Sarosh Hassan"/>
    <n v="61.379999999999903"/>
    <n v="61.379999999999903"/>
    <m/>
  </r>
  <r>
    <n v="666"/>
    <x v="141"/>
    <x v="494"/>
    <s v=" -"/>
    <s v=" MOTOR"/>
    <d v="2024-09-20T00:00:00"/>
    <d v="2023-09-15T00:00:00"/>
    <d v="2024-09-14T00:00:00"/>
    <s v=" 08802458"/>
    <s v="Mrs. Tanveer Shah_x000a_CNIC #. 42301-1862673-4_x000a_CELL #. 0300-8200788"/>
    <m/>
    <s v="AUDI A6 1.8 TFSI EXECUTIV"/>
    <s v="BJT-595"/>
    <s v="CYG010120"/>
    <s v="WAUZZZ4G9HN116365"/>
    <s v="2017"/>
    <m/>
    <m/>
    <s v=" D"/>
    <s v="09000221-Muhammad Irfan"/>
    <n v="10000000"/>
    <n v="1249"/>
    <n v="12"/>
    <n v="187"/>
    <n v="0"/>
    <n v="1448"/>
    <n v="0"/>
    <n v="0"/>
    <n v="1448"/>
    <n v="0"/>
    <n v="1448"/>
    <m/>
    <m/>
    <m/>
    <s v="Sarosh Hassan"/>
    <n v="105.58"/>
    <n v="105.58"/>
    <m/>
  </r>
  <r>
    <n v="667"/>
    <x v="141"/>
    <x v="495"/>
    <s v=" -"/>
    <s v=" MOTOR"/>
    <d v="2024-10-31T00:00:00"/>
    <d v="2023-09-15T00:00:00"/>
    <d v="2024-09-14T00:00:00"/>
    <s v=" 08802458"/>
    <s v="Mrs. Tanveer Shah_x000a_CNIC #. 42301-1862673-4_x000a_CELL #. 0300-8200788"/>
    <m/>
    <s v="AUDI A6 1.8 TFSI EXECUTIV"/>
    <s v="BJT-595"/>
    <s v="CYG010120"/>
    <s v="WAUZZZ4G9HN116365"/>
    <s v="2017"/>
    <m/>
    <m/>
    <s v=" D"/>
    <s v="09000221-Muhammad Irfan"/>
    <n v="-1"/>
    <n v="-195887"/>
    <n v="-1959"/>
    <n v="0"/>
    <n v="0"/>
    <n v="-197846"/>
    <n v="0"/>
    <n v="0"/>
    <n v="-197846"/>
    <n v="0"/>
    <n v="-197846"/>
    <m/>
    <m/>
    <m/>
    <s v="Sarosh Hassan"/>
    <m/>
    <m/>
    <m/>
  </r>
  <r>
    <n v="668"/>
    <x v="142"/>
    <x v="496"/>
    <s v=" -"/>
    <s v=" MOTOR"/>
    <d v="2023-09-30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48245"/>
    <n v="483"/>
    <n v="6272"/>
    <n v="0"/>
    <n v="55000"/>
    <n v="0"/>
    <n v="0"/>
    <n v="55000"/>
    <n v="0"/>
    <n v="55000"/>
    <m/>
    <m/>
    <m/>
    <s v="Syed Waqas"/>
    <m/>
    <m/>
    <m/>
  </r>
  <r>
    <n v="669"/>
    <x v="142"/>
    <x v="497"/>
    <s v=" -"/>
    <s v=" MOTOR"/>
    <d v="2024-01-11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1089"/>
    <n v="11"/>
    <n v="142"/>
    <n v="0"/>
    <n v="1242"/>
    <n v="1240"/>
    <n v="0"/>
    <n v="2"/>
    <n v="0"/>
    <n v="2"/>
    <m/>
    <m/>
    <m/>
    <s v="Syed Waqas"/>
    <n v="335.73"/>
    <n v="302.44000000000005"/>
    <m/>
  </r>
  <r>
    <n v="670"/>
    <x v="142"/>
    <x v="498"/>
    <s v=" -"/>
    <s v=" MOTOR"/>
    <d v="2024-03-11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813"/>
    <n v="8"/>
    <n v="106"/>
    <n v="0"/>
    <n v="927"/>
    <n v="0"/>
    <n v="0"/>
    <n v="927"/>
    <n v="0"/>
    <n v="927"/>
    <m/>
    <m/>
    <m/>
    <s v="Syed Waqas"/>
    <n v="225.54000000000005"/>
    <n v="225.54000000000005"/>
    <m/>
  </r>
  <r>
    <n v="671"/>
    <x v="142"/>
    <x v="499"/>
    <s v=" -"/>
    <s v=" MOTOR"/>
    <d v="2024-04-14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936"/>
    <n v="9"/>
    <n v="121"/>
    <n v="0"/>
    <n v="1066"/>
    <n v="0"/>
    <n v="0"/>
    <n v="1066"/>
    <n v="0"/>
    <n v="1066"/>
    <m/>
    <m/>
    <m/>
    <s v="Syed Waqas"/>
    <n v="312.27000000000004"/>
    <n v="259.35000000000002"/>
    <m/>
  </r>
  <r>
    <n v="672"/>
    <x v="142"/>
    <x v="500"/>
    <s v=" -"/>
    <s v=" MOTOR"/>
    <d v="2024-05-13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1084"/>
    <n v="11"/>
    <n v="141"/>
    <n v="0"/>
    <n v="1236"/>
    <n v="0"/>
    <n v="0"/>
    <n v="1236"/>
    <n v="0"/>
    <n v="1236"/>
    <m/>
    <m/>
    <m/>
    <s v="Syed Waqas"/>
    <n v="356.15000000000111"/>
    <n v="300.7"/>
    <m/>
  </r>
  <r>
    <n v="673"/>
    <x v="142"/>
    <x v="501"/>
    <s v=" -"/>
    <s v=" MOTOR"/>
    <d v="2024-06-11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1254"/>
    <n v="13"/>
    <n v="164"/>
    <n v="0"/>
    <n v="1431"/>
    <n v="0"/>
    <n v="0"/>
    <n v="1431"/>
    <n v="0"/>
    <n v="1431"/>
    <m/>
    <m/>
    <m/>
    <s v="Syed Waqas"/>
    <n v="398.99000000000007"/>
    <n v="347.95000000000005"/>
    <m/>
  </r>
  <r>
    <n v="674"/>
    <x v="142"/>
    <x v="502"/>
    <s v=" -"/>
    <s v=" MOTOR"/>
    <d v="2024-07-13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1201"/>
    <n v="12"/>
    <n v="180"/>
    <n v="0"/>
    <n v="1393"/>
    <n v="0"/>
    <n v="0"/>
    <n v="1393"/>
    <n v="0"/>
    <n v="1393"/>
    <m/>
    <m/>
    <m/>
    <s v="Syed Waqas"/>
    <n v="344.12"/>
    <n v="338.96"/>
    <m/>
  </r>
  <r>
    <n v="675"/>
    <x v="142"/>
    <x v="503"/>
    <s v=" -"/>
    <s v=" MOTOR"/>
    <d v="2024-08-13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1544"/>
    <n v="15"/>
    <n v="232"/>
    <n v="0"/>
    <n v="1791"/>
    <n v="0"/>
    <n v="0"/>
    <n v="1791"/>
    <n v="0"/>
    <n v="1791"/>
    <m/>
    <m/>
    <m/>
    <s v="Syed Waqas"/>
    <n v="504.73000000000104"/>
    <n v="436.1400000000001"/>
    <m/>
  </r>
  <r>
    <n v="676"/>
    <x v="142"/>
    <x v="504"/>
    <s v=" -"/>
    <s v=" MOTOR"/>
    <d v="2024-09-14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3000000"/>
    <n v="563"/>
    <n v="6"/>
    <n v="84"/>
    <n v="0"/>
    <n v="653"/>
    <n v="0"/>
    <n v="0"/>
    <n v="653"/>
    <n v="0"/>
    <n v="653"/>
    <m/>
    <m/>
    <m/>
    <s v="Syed Waqas"/>
    <n v="158.97"/>
    <n v="158.97"/>
    <m/>
  </r>
  <r>
    <n v="677"/>
    <x v="142"/>
    <x v="505"/>
    <s v=" -"/>
    <s v=" MOTOR"/>
    <d v="2024-10-31T00:00:00"/>
    <d v="2023-09-11T00:00:00"/>
    <d v="2024-09-10T00:00:00"/>
    <s v=" 08813022"/>
    <s v="Mr. Sikandar Khan_x000a_CNIC:  4220188058517_x000a_Phone Number: 03142215721"/>
    <m/>
    <s v="TOYOTA COROLLA"/>
    <s v="BDX-649"/>
    <s v="Z207650"/>
    <s v="NZE170R-4021656"/>
    <s v="2015"/>
    <m/>
    <m/>
    <s v=" D"/>
    <s v="09000221-Muhammad Irfan"/>
    <n v="-1"/>
    <n v="-62870"/>
    <n v="-629"/>
    <n v="0"/>
    <n v="0"/>
    <n v="-63499"/>
    <n v="0"/>
    <n v="0"/>
    <n v="-63499"/>
    <n v="0"/>
    <n v="-63499"/>
    <m/>
    <m/>
    <m/>
    <s v="Syed Waqas"/>
    <m/>
    <m/>
    <m/>
  </r>
  <r>
    <n v="678"/>
    <x v="143"/>
    <x v="506"/>
    <s v=" -"/>
    <s v=" MOTOR"/>
    <d v="2023-09-30T00:00:00"/>
    <d v="2023-09-15T00:00:00"/>
    <d v="2024-09-14T00:00:00"/>
    <s v=" 08813042"/>
    <s v="Mr. Khawar Afridi_x000a_CNIC: 42201-4443374-7_x000a_CELL: 0332-2231699"/>
    <m/>
    <s v="SUZUKI Suzuki Swift"/>
    <s v="BZC-101"/>
    <s v="K12MR1006952"/>
    <s v="NF1SZC63S00107045"/>
    <s v="2022"/>
    <m/>
    <m/>
    <s v=" D"/>
    <s v="09000355-Asif Azeem"/>
    <n v="4000000"/>
    <n v="65789"/>
    <n v="658"/>
    <n v="8553"/>
    <n v="0"/>
    <n v="75000"/>
    <n v="0"/>
    <n v="0"/>
    <n v="75000"/>
    <n v="0"/>
    <n v="75000"/>
    <m/>
    <m/>
    <m/>
    <s v="ASIF AZEEM"/>
    <m/>
    <m/>
    <m/>
  </r>
  <r>
    <n v="679"/>
    <x v="143"/>
    <x v="507"/>
    <s v=" -"/>
    <s v=" MOTOR"/>
    <d v="2024-03-15T00:00:00"/>
    <d v="2023-09-15T00:00:00"/>
    <d v="2024-09-14T00:00:00"/>
    <s v=" 08813042"/>
    <s v="Mr. Khawar Afridi_x000a_CNIC: 42201-4443374-7_x000a_CELL: 0332-2231699"/>
    <m/>
    <s v="SUZUKI Suzuki Swift"/>
    <s v="BZC-101"/>
    <s v="K12MR1006952"/>
    <s v="NF1SZC63S00107045"/>
    <s v="2022"/>
    <m/>
    <m/>
    <s v=" D"/>
    <s v="09000355-Asif Azeem"/>
    <n v="4000000"/>
    <n v="228"/>
    <n v="3"/>
    <n v="30"/>
    <n v="0"/>
    <n v="261"/>
    <n v="0"/>
    <n v="0"/>
    <n v="261"/>
    <n v="0"/>
    <n v="261"/>
    <m/>
    <m/>
    <m/>
    <s v="ASIF AZEEM"/>
    <n v="47.67"/>
    <n v="47.67"/>
    <m/>
  </r>
  <r>
    <n v="680"/>
    <x v="143"/>
    <x v="508"/>
    <s v=" -"/>
    <s v=" MOTOR"/>
    <d v="2024-04-15T00:00:00"/>
    <d v="2023-09-15T00:00:00"/>
    <d v="2024-09-14T00:00:00"/>
    <s v=" 08813042"/>
    <s v="Mr. Khawar Afridi_x000a_CNIC: 42201-4443374-7_x000a_CELL: 0332-2231699"/>
    <m/>
    <s v="SUZUKI Suzuki Swift"/>
    <s v="BZC-101"/>
    <s v="K12MR1006952"/>
    <s v="NF1SZC63S00107045"/>
    <s v="2022"/>
    <m/>
    <m/>
    <s v=" D"/>
    <s v="09000355-Asif Azeem"/>
    <n v="4000000"/>
    <n v="2527"/>
    <n v="25"/>
    <n v="329"/>
    <n v="0"/>
    <n v="2881"/>
    <n v="0"/>
    <n v="0"/>
    <n v="2881"/>
    <n v="0"/>
    <n v="2881"/>
    <m/>
    <m/>
    <m/>
    <s v="ASIF AZEEM"/>
    <n v="542.4"/>
    <n v="525.46"/>
    <m/>
  </r>
  <r>
    <n v="681"/>
    <x v="143"/>
    <x v="509"/>
    <s v=" -"/>
    <s v=" MOTOR"/>
    <d v="2024-05-16T00:00:00"/>
    <d v="2023-09-15T00:00:00"/>
    <d v="2024-09-14T00:00:00"/>
    <s v=" 08813042"/>
    <s v="Mr. Khawar Afridi_x000a_CNIC: 42201-4443374-7_x000a_CELL: 0332-2231699"/>
    <m/>
    <s v="SUZUKI Suzuki Swift"/>
    <s v="BZC-101"/>
    <s v="K12MR1006952"/>
    <s v="NF1SZC63S00107045"/>
    <s v="2022"/>
    <m/>
    <m/>
    <s v=" D"/>
    <s v="09000355-Asif Azeem"/>
    <n v="4000000"/>
    <n v="4124"/>
    <n v="41"/>
    <n v="536"/>
    <n v="0"/>
    <n v="4701"/>
    <n v="0"/>
    <n v="0"/>
    <n v="4701"/>
    <n v="0"/>
    <n v="4701"/>
    <m/>
    <m/>
    <m/>
    <s v="ASIF AZEEM"/>
    <n v="1021.48"/>
    <n v="857.24"/>
    <m/>
  </r>
  <r>
    <n v="682"/>
    <x v="143"/>
    <x v="510"/>
    <s v=" -"/>
    <s v=" MOTOR"/>
    <d v="2024-06-20T00:00:00"/>
    <d v="2023-09-15T00:00:00"/>
    <d v="2024-09-14T00:00:00"/>
    <s v=" 08813042"/>
    <s v="Mr. Khawar Afridi_x000a_CNIC: 42201-4443374-7_x000a_CELL: 0332-2231699"/>
    <m/>
    <s v="SUZUKI Suzuki Swift"/>
    <s v="BZC-101"/>
    <s v="K12MR1006952"/>
    <s v="NF1SZC63S00107045"/>
    <s v="2022"/>
    <m/>
    <m/>
    <s v=" D"/>
    <s v="09000355-Asif Azeem"/>
    <n v="4000000"/>
    <n v="4214"/>
    <n v="42"/>
    <n v="548"/>
    <n v="0"/>
    <n v="4804"/>
    <n v="0"/>
    <n v="0"/>
    <n v="4804"/>
    <n v="0"/>
    <n v="4804"/>
    <m/>
    <m/>
    <m/>
    <s v="ASIF AZEEM"/>
    <n v="987.54000000000019"/>
    <n v="876.48"/>
    <m/>
  </r>
  <r>
    <n v="683"/>
    <x v="143"/>
    <x v="511"/>
    <s v=" -"/>
    <s v=" MOTOR"/>
    <d v="2024-08-17T00:00:00"/>
    <d v="2023-09-15T00:00:00"/>
    <d v="2024-09-14T00:00:00"/>
    <s v=" 08813042"/>
    <s v="Mr. Khawar Afridi_x000a_CNIC: 42201-4443374-7_x000a_CELL: 0332-2231699"/>
    <m/>
    <s v="SUZUKI Suzuki Swift"/>
    <s v="BZC-101"/>
    <s v="K12MR1006952"/>
    <s v="NF1SZC63S00107045"/>
    <s v="2022"/>
    <m/>
    <m/>
    <s v=" D"/>
    <s v="09000355-Asif Azeem"/>
    <n v="4000000"/>
    <n v="2311"/>
    <n v="23"/>
    <n v="347"/>
    <n v="0"/>
    <n v="2681"/>
    <n v="0"/>
    <n v="0"/>
    <n v="2681"/>
    <n v="0"/>
    <n v="2681"/>
    <m/>
    <m/>
    <m/>
    <s v="ASIF AZEEM"/>
    <n v="515.34"/>
    <n v="489.01"/>
    <m/>
  </r>
  <r>
    <n v="684"/>
    <x v="143"/>
    <x v="512"/>
    <s v=" -"/>
    <s v=" MOTOR"/>
    <d v="2024-09-20T00:00:00"/>
    <d v="2023-09-15T00:00:00"/>
    <d v="2024-09-14T00:00:00"/>
    <s v=" 08813042"/>
    <s v="Mr. Khawar Afridi_x000a_CNIC: 42201-4443374-7_x000a_CELL: 0332-2231699"/>
    <m/>
    <s v="SUZUKI Suzuki Swift"/>
    <s v="BZC-101"/>
    <s v="K12MR1006952"/>
    <s v="NF1SZC63S00107045"/>
    <s v="2022"/>
    <m/>
    <m/>
    <s v=" D"/>
    <s v="09000355-Asif Azeem"/>
    <n v="4000000"/>
    <n v="3216"/>
    <n v="32"/>
    <n v="482"/>
    <n v="0"/>
    <n v="3730"/>
    <n v="0"/>
    <n v="0"/>
    <n v="3730"/>
    <n v="0"/>
    <n v="3730"/>
    <m/>
    <m/>
    <m/>
    <s v="ASIF AZEEM"/>
    <n v="696.44"/>
    <n v="681.41"/>
    <m/>
  </r>
  <r>
    <n v="685"/>
    <x v="143"/>
    <x v="513"/>
    <s v=" -"/>
    <s v=" MOTOR"/>
    <d v="2024-10-31T00:00:00"/>
    <d v="2023-09-15T00:00:00"/>
    <d v="2024-09-14T00:00:00"/>
    <s v=" 08813042"/>
    <s v="Mr. Khawar Afridi_x000a_CNIC: 42201-4443374-7_x000a_CELL: 0332-2231699"/>
    <m/>
    <s v="SUZUKI Suzuki Swift"/>
    <s v="BZC-101"/>
    <s v="K12MR1006952"/>
    <s v="NF1SZC63S00107045"/>
    <s v="2022"/>
    <m/>
    <m/>
    <s v=" D"/>
    <s v="09000355-Asif Azeem"/>
    <n v="-1"/>
    <n v="-93127"/>
    <n v="-931"/>
    <n v="0"/>
    <n v="0"/>
    <n v="-94058"/>
    <n v="0"/>
    <n v="0"/>
    <n v="-94058"/>
    <n v="0"/>
    <n v="-94058"/>
    <m/>
    <m/>
    <m/>
    <s v="ASIF AZEEM"/>
    <m/>
    <m/>
    <m/>
  </r>
  <r>
    <n v="686"/>
    <x v="144"/>
    <x v="514"/>
    <s v=" -"/>
    <s v=" MOTOR"/>
    <d v="2023-09-30T00:00:00"/>
    <d v="2023-09-16T00:00:00"/>
    <d v="2024-09-15T00:00:00"/>
    <s v=" 08813045"/>
    <s v="Mr. Mukhtiar Hussain_x000a_CNIC:  4540208392673_x000a_Phone Number: 03342823785"/>
    <m/>
    <s v="HYUNDAI TUCSON"/>
    <s v="BM-0085"/>
    <s v="G4NAMU153133"/>
    <s v="PMHJ2813MNN206281"/>
    <s v="2022"/>
    <m/>
    <m/>
    <s v=" D"/>
    <s v="09000355-Asif Azeem"/>
    <n v="9000000"/>
    <n v="153507"/>
    <n v="1536"/>
    <n v="19957"/>
    <n v="0"/>
    <n v="175000"/>
    <n v="0"/>
    <n v="0"/>
    <n v="175000"/>
    <n v="0"/>
    <n v="175000"/>
    <m/>
    <m/>
    <m/>
    <s v="Syed Waqas"/>
    <m/>
    <m/>
    <s v="khankhabkhan@gmail.com"/>
  </r>
  <r>
    <n v="687"/>
    <x v="144"/>
    <x v="515"/>
    <s v=" -"/>
    <s v=" MOTOR"/>
    <d v="2024-01-16T00:00:00"/>
    <d v="2023-09-16T00:00:00"/>
    <d v="2024-09-15T00:00:00"/>
    <s v=" 08813045"/>
    <s v="Mr. Mukhtiar Hussain_x000a_CNIC:  4540208392673_x000a_Phone Number: 03342823785"/>
    <m/>
    <s v="HYUNDAI TUCSON"/>
    <s v="BM-0085"/>
    <s v="G4NAMU153133"/>
    <s v="PMHJ2813MNN206281"/>
    <s v="2022"/>
    <m/>
    <m/>
    <s v=" D"/>
    <s v="09000355-Asif Azeem"/>
    <n v="9000000"/>
    <n v="1673"/>
    <n v="17"/>
    <n v="218"/>
    <n v="0"/>
    <n v="1908"/>
    <n v="3816"/>
    <n v="0"/>
    <n v="-1908"/>
    <n v="0"/>
    <n v="-1908"/>
    <m/>
    <m/>
    <m/>
    <s v="Syed Waqas"/>
    <n v="271.81000000000006"/>
    <n v="193.5"/>
    <m/>
  </r>
  <r>
    <n v="688"/>
    <x v="144"/>
    <x v="516"/>
    <s v=" -"/>
    <s v=" MOTOR"/>
    <d v="2024-06-20T00:00:00"/>
    <d v="2023-09-16T00:00:00"/>
    <d v="2024-09-15T00:00:00"/>
    <s v=" 08813045"/>
    <s v="Mr. Mukhtiar Hussain_x000a_CNIC:  4540208392673_x000a_Phone Number: 03342823785"/>
    <m/>
    <s v="HYUNDAI TUCSON"/>
    <s v="BM-0085"/>
    <s v="G4NAMU153133"/>
    <s v="PMHJ2813MNN206281"/>
    <s v="2022"/>
    <m/>
    <m/>
    <s v=" D"/>
    <s v="09000355-Asif Azeem"/>
    <n v="9000000"/>
    <n v="910"/>
    <n v="9"/>
    <n v="119"/>
    <n v="0"/>
    <n v="1038"/>
    <n v="0"/>
    <n v="0"/>
    <n v="1038"/>
    <n v="0"/>
    <n v="1038"/>
    <m/>
    <m/>
    <m/>
    <s v="Syed Waqas"/>
    <n v="105.27"/>
    <n v="105.27"/>
    <m/>
  </r>
  <r>
    <n v="689"/>
    <x v="144"/>
    <x v="517"/>
    <s v=" -"/>
    <s v=" MOTOR"/>
    <d v="2024-07-19T00:00:00"/>
    <d v="2023-09-16T00:00:00"/>
    <d v="2024-09-15T00:00:00"/>
    <s v=" 08813045"/>
    <s v="Mr. Mukhtiar Hussain_x000a_CNIC:  4540208392673_x000a_Phone Number: 03342823785"/>
    <m/>
    <s v="HYUNDAI TUCSON"/>
    <s v="BM-0085"/>
    <s v="G4NAMU153133"/>
    <s v="PMHJ2813MNN206281"/>
    <s v="2022"/>
    <m/>
    <m/>
    <s v=" D"/>
    <s v="09000355-Asif Azeem"/>
    <n v="9000000"/>
    <n v="705"/>
    <n v="7"/>
    <n v="106"/>
    <n v="0"/>
    <n v="818"/>
    <n v="0"/>
    <n v="0"/>
    <n v="818"/>
    <n v="0"/>
    <n v="818"/>
    <m/>
    <m/>
    <m/>
    <s v="Syed Waqas"/>
    <n v="82.99"/>
    <n v="82.99"/>
    <m/>
  </r>
  <r>
    <n v="690"/>
    <x v="144"/>
    <x v="518"/>
    <s v=" -"/>
    <s v=" MOTOR"/>
    <d v="2024-08-20T00:00:00"/>
    <d v="2023-09-16T00:00:00"/>
    <d v="2024-09-15T00:00:00"/>
    <s v=" 08813045"/>
    <s v="Mr. Mukhtiar Hussain_x000a_CNIC:  4540208392673_x000a_Phone Number: 03342823785"/>
    <m/>
    <s v="HYUNDAI TUCSON"/>
    <s v="BM-0085"/>
    <s v="G4NAMU153133"/>
    <s v="PMHJ2813MNN206281"/>
    <s v="2022"/>
    <m/>
    <m/>
    <s v=" D"/>
    <s v="09000355-Asif Azeem"/>
    <n v="9000000"/>
    <n v="373"/>
    <n v="4"/>
    <n v="56"/>
    <n v="0"/>
    <n v="433"/>
    <n v="0"/>
    <n v="0"/>
    <n v="433"/>
    <n v="0"/>
    <n v="433"/>
    <m/>
    <m/>
    <m/>
    <s v="Syed Waqas"/>
    <n v="43.8900000000001"/>
    <n v="43.8900000000001"/>
    <m/>
  </r>
  <r>
    <n v="691"/>
    <x v="144"/>
    <x v="519"/>
    <s v=" -"/>
    <s v=" MOTOR"/>
    <d v="2024-09-20T00:00:00"/>
    <d v="2023-09-16T00:00:00"/>
    <d v="2024-09-15T00:00:00"/>
    <s v=" 08813045"/>
    <s v="Mr. Mukhtiar Hussain_x000a_CNIC:  4540208392673_x000a_Phone Number: 03342823785"/>
    <m/>
    <s v="HYUNDAI TUCSON"/>
    <s v="BM-0085"/>
    <s v="G4NAMU153133"/>
    <s v="PMHJ2813MNN206281"/>
    <s v="2022"/>
    <m/>
    <m/>
    <s v=" D"/>
    <s v="09000355-Asif Azeem"/>
    <n v="9000000"/>
    <n v="1316"/>
    <n v="13"/>
    <n v="197"/>
    <n v="0"/>
    <n v="1526"/>
    <n v="0"/>
    <n v="0"/>
    <n v="1526"/>
    <n v="0"/>
    <n v="1526"/>
    <m/>
    <m/>
    <m/>
    <s v="Syed Waqas"/>
    <n v="249.39"/>
    <n v="154.79000000000002"/>
    <m/>
  </r>
  <r>
    <n v="692"/>
    <x v="144"/>
    <x v="520"/>
    <s v=" -"/>
    <s v=" MOTOR"/>
    <d v="2024-10-31T00:00:00"/>
    <d v="2023-09-16T00:00:00"/>
    <d v="2024-09-15T00:00:00"/>
    <s v=" 08813045"/>
    <s v="Mr. Mukhtiar Hussain_x000a_CNIC:  4540208392673_x000a_Phone Number: 03342823785"/>
    <m/>
    <s v="HYUNDAI TUCSON"/>
    <s v="BM-0085"/>
    <s v="G4NAMU153133"/>
    <s v="PMHJ2813MNN206281"/>
    <s v="2022"/>
    <m/>
    <m/>
    <s v=" D"/>
    <s v="09000355-Asif Azeem"/>
    <n v="-1"/>
    <n v="-175155"/>
    <n v="-1752"/>
    <n v="0"/>
    <n v="0"/>
    <n v="-176907"/>
    <n v="0"/>
    <n v="0"/>
    <n v="-176907"/>
    <n v="0"/>
    <n v="-176907"/>
    <m/>
    <m/>
    <m/>
    <s v="Syed Waqas"/>
    <m/>
    <m/>
    <m/>
  </r>
  <r>
    <n v="693"/>
    <x v="145"/>
    <x v="521"/>
    <s v=" -"/>
    <s v=" MOTOR"/>
    <d v="2023-09-30T00:00:00"/>
    <d v="2023-09-16T00:00:00"/>
    <d v="2024-09-15T00:00:00"/>
    <s v=" 08813053"/>
    <s v="Mr. Muhammad Hamid_x000a_CNIC:  4250180902581_x000a_Phone Number: 03313780625"/>
    <m/>
    <s v="SUZUKI Suzuki Swift"/>
    <s v="BXM-994"/>
    <s v="K12MR1008036"/>
    <s v="NF1SZC63S00108019"/>
    <s v="2022"/>
    <m/>
    <m/>
    <s v=" D"/>
    <s v="09000355-Asif Azeem"/>
    <n v="4700000"/>
    <n v="78069"/>
    <n v="781"/>
    <n v="10150"/>
    <n v="0"/>
    <n v="89000"/>
    <n v="0"/>
    <n v="0"/>
    <n v="89000"/>
    <n v="0"/>
    <n v="89000"/>
    <m/>
    <m/>
    <m/>
    <s v="Syed Waqas"/>
    <m/>
    <m/>
    <m/>
  </r>
  <r>
    <n v="694"/>
    <x v="145"/>
    <x v="522"/>
    <s v=" -"/>
    <s v=" MOTOR"/>
    <d v="2024-06-20T00:00:00"/>
    <d v="2023-09-16T00:00:00"/>
    <d v="2024-09-15T00:00:00"/>
    <s v=" 08813053"/>
    <s v="Mr. Muhammad Hamid_x000a_CNIC:  4250180902581_x000a_Phone Number: 03313780625"/>
    <m/>
    <s v="SUZUKI Suzuki Swift"/>
    <s v="BXM-994"/>
    <s v="K12MR1008036"/>
    <s v="NF1SZC63S00108019"/>
    <s v="2022"/>
    <m/>
    <m/>
    <s v=" D"/>
    <s v="09000355-Asif Azeem"/>
    <n v="4700000"/>
    <n v="67"/>
    <n v="0"/>
    <n v="9"/>
    <n v="0"/>
    <n v="76"/>
    <n v="0"/>
    <n v="0"/>
    <n v="76"/>
    <n v="0"/>
    <n v="76"/>
    <m/>
    <m/>
    <m/>
    <s v="Syed Waqas"/>
    <n v="15.15"/>
    <n v="15.15"/>
    <m/>
  </r>
  <r>
    <n v="695"/>
    <x v="145"/>
    <x v="523"/>
    <s v=" -"/>
    <s v=" MOTOR"/>
    <d v="2024-07-19T00:00:00"/>
    <d v="2023-09-16T00:00:00"/>
    <d v="2024-09-15T00:00:00"/>
    <s v=" 08813053"/>
    <s v="Mr. Muhammad Hamid_x000a_CNIC:  4250180902581_x000a_Phone Number: 03313780625"/>
    <m/>
    <s v="SUZUKI Suzuki Swift"/>
    <s v="BXM-994"/>
    <s v="K12MR1008036"/>
    <s v="NF1SZC63S00108019"/>
    <s v="2022"/>
    <m/>
    <m/>
    <s v=" D"/>
    <s v="09000355-Asif Azeem"/>
    <n v="4700000"/>
    <n v="2523"/>
    <n v="25"/>
    <n v="378"/>
    <n v="0"/>
    <n v="2926"/>
    <n v="0"/>
    <n v="0"/>
    <n v="2926"/>
    <n v="0"/>
    <n v="2926"/>
    <m/>
    <m/>
    <m/>
    <s v="Syed Waqas"/>
    <n v="784.16000000000122"/>
    <n v="567.86"/>
    <m/>
  </r>
  <r>
    <n v="696"/>
    <x v="145"/>
    <x v="524"/>
    <s v=" -"/>
    <s v=" MOTOR"/>
    <d v="2024-08-20T00:00:00"/>
    <d v="2023-09-16T00:00:00"/>
    <d v="2024-09-15T00:00:00"/>
    <s v=" 08813053"/>
    <s v="Mr. Muhammad Hamid_x000a_CNIC:  4250180902581_x000a_Phone Number: 03313780625"/>
    <m/>
    <s v="SUZUKI Suzuki Swift"/>
    <s v="BXM-994"/>
    <s v="K12MR1008036"/>
    <s v="NF1SZC63S00108019"/>
    <s v="2022"/>
    <m/>
    <m/>
    <s v=" D"/>
    <s v="09000355-Asif Azeem"/>
    <n v="4700000"/>
    <n v="4790"/>
    <n v="48"/>
    <n v="718"/>
    <n v="0"/>
    <n v="5556"/>
    <n v="0"/>
    <n v="0"/>
    <n v="5556"/>
    <n v="0"/>
    <n v="5556"/>
    <m/>
    <m/>
    <m/>
    <s v="Syed Waqas"/>
    <n v="1368.64"/>
    <n v="1077.9599999999991"/>
    <m/>
  </r>
  <r>
    <n v="697"/>
    <x v="145"/>
    <x v="525"/>
    <s v=" -"/>
    <s v=" MOTOR"/>
    <d v="2024-09-20T00:00:00"/>
    <d v="2023-09-16T00:00:00"/>
    <d v="2024-09-15T00:00:00"/>
    <s v=" 08813053"/>
    <s v="Mr. Muhammad Hamid_x000a_CNIC:  4250180902581_x000a_Phone Number: 03313780625"/>
    <m/>
    <s v="SUZUKI Suzuki Swift"/>
    <s v="BXM-994"/>
    <s v="K12MR1008036"/>
    <s v="NF1SZC63S00108019"/>
    <s v="2022"/>
    <m/>
    <m/>
    <s v=" D"/>
    <s v="09000355-Asif Azeem"/>
    <n v="4700000"/>
    <n v="408"/>
    <n v="4"/>
    <n v="61"/>
    <n v="0"/>
    <n v="473"/>
    <n v="0"/>
    <n v="0"/>
    <n v="473"/>
    <n v="0"/>
    <n v="473"/>
    <m/>
    <m/>
    <m/>
    <s v="Syed Waqas"/>
    <n v="127.44"/>
    <n v="91.99"/>
    <m/>
  </r>
  <r>
    <n v="698"/>
    <x v="145"/>
    <x v="526"/>
    <s v=" -"/>
    <s v=" MOTOR"/>
    <d v="2024-12-29T00:00:00"/>
    <d v="2023-09-16T00:00:00"/>
    <d v="2024-09-15T00:00:00"/>
    <s v=" 08813053"/>
    <s v="Mr. Muhammad Hamid_x000a_CNIC:  4250180902581_x000a_Phone Number: 03313780625"/>
    <m/>
    <s v="SUZUKI Suzuki Swift"/>
    <s v="BXM-994"/>
    <s v="K12MR1008036"/>
    <s v="NF1SZC63S00108019"/>
    <s v="2022"/>
    <m/>
    <m/>
    <s v=" D"/>
    <s v="09000355-Asif Azeem"/>
    <n v="-1"/>
    <n v="-97060"/>
    <n v="-971"/>
    <n v="0"/>
    <n v="0"/>
    <n v="-98031"/>
    <n v="0"/>
    <n v="0"/>
    <n v="-98031"/>
    <n v="0"/>
    <n v="-98031"/>
    <m/>
    <m/>
    <m/>
    <s v="Syed Waqas"/>
    <m/>
    <m/>
    <m/>
  </r>
  <r>
    <n v="699"/>
    <x v="146"/>
    <x v="527"/>
    <s v=" -"/>
    <s v=" MOTOR"/>
    <d v="2023-09-30T00:00:00"/>
    <d v="2023-09-16T00:00:00"/>
    <d v="2024-09-15T00:00:00"/>
    <s v=" 08813055"/>
    <s v="Mrs. Shazia Perveen_x000a_CNIC No: 4220105854942_x000a_Phone Number:  03313683717"/>
    <m/>
    <s v="SUZUKI CULTUS VXL"/>
    <s v="BXJ-838"/>
    <s v="PK10K201210"/>
    <s v="NF1AVK31H10101200"/>
    <s v="2022"/>
    <m/>
    <m/>
    <s v=" D"/>
    <s v="09000355-Asif Azeem"/>
    <n v="3500000"/>
    <n v="57016"/>
    <n v="571"/>
    <n v="7413"/>
    <n v="0"/>
    <n v="65000"/>
    <n v="0"/>
    <n v="0"/>
    <n v="65000"/>
    <n v="0"/>
    <n v="65000"/>
    <m/>
    <m/>
    <m/>
    <s v="Syed Waqas"/>
    <m/>
    <m/>
    <m/>
  </r>
  <r>
    <n v="700"/>
    <x v="146"/>
    <x v="528"/>
    <s v=" -"/>
    <s v=" MOTOR"/>
    <d v="2024-09-20T00:00:00"/>
    <d v="2023-09-16T00:00:00"/>
    <d v="2024-09-15T00:00:00"/>
    <s v=" 08813055"/>
    <s v="Mrs. Shazia Perveen_x000a_CNIC No: 4220105854942_x000a_Phone Number:  03313683717"/>
    <m/>
    <s v="SUZUKI CULTUS VXL"/>
    <s v="BXJ-838"/>
    <s v="PK10K201210"/>
    <s v="NF1AVK31H10101200"/>
    <s v="2022"/>
    <m/>
    <m/>
    <s v=" D"/>
    <s v="09000355-Asif Azeem"/>
    <n v="3500000"/>
    <n v="2035"/>
    <n v="20"/>
    <n v="305"/>
    <n v="0"/>
    <n v="2360"/>
    <n v="0"/>
    <n v="0"/>
    <n v="2360"/>
    <n v="0"/>
    <n v="2360"/>
    <m/>
    <m/>
    <m/>
    <s v="Syed Waqas"/>
    <n v="710.520000000001"/>
    <n v="614.45000000000005"/>
    <m/>
  </r>
  <r>
    <n v="701"/>
    <x v="146"/>
    <x v="529"/>
    <s v=" -"/>
    <s v=" MOTOR"/>
    <d v="2024-10-31T00:00:00"/>
    <d v="2023-09-16T00:00:00"/>
    <d v="2024-09-15T00:00:00"/>
    <s v=" 08813055"/>
    <s v="Mrs. Shazia Perveen_x000a_CNIC No: 4220105854942_x000a_Phone Number:  03313683717"/>
    <m/>
    <s v="SUZUKI CULTUS VXL"/>
    <s v="BXJ-838"/>
    <s v="PK10K201210"/>
    <s v="NF1AVK31H10101200"/>
    <s v="2022"/>
    <m/>
    <m/>
    <s v=" D"/>
    <s v="09000355-Asif Azeem"/>
    <n v="-1"/>
    <n v="-66693"/>
    <n v="-667"/>
    <n v="0"/>
    <n v="0"/>
    <n v="-67360"/>
    <n v="0"/>
    <n v="0"/>
    <n v="-67360"/>
    <n v="0"/>
    <n v="-67360"/>
    <m/>
    <m/>
    <m/>
    <s v="Syed Waqas"/>
    <m/>
    <m/>
    <m/>
  </r>
  <r>
    <n v="702"/>
    <x v="147"/>
    <x v="530"/>
    <s v=" -"/>
    <s v=" MOTOR"/>
    <d v="2023-09-30T00:00:00"/>
    <d v="2023-09-15T00:00:00"/>
    <d v="2024-09-14T00:00:00"/>
    <s v=" 08813078"/>
    <s v="Mr. Fahad Nazir_x000a_CNIC:  4130320373465_x000a_Cell: 03332643214"/>
    <m/>
    <s v="SUZUKI ALTO VXR"/>
    <s v="BUP-115"/>
    <s v="6R182389"/>
    <s v="NF1AET306H1082376"/>
    <s v="2021"/>
    <m/>
    <m/>
    <s v=" D"/>
    <s v="09000221-Muhammad Irfan"/>
    <n v="2400000"/>
    <n v="37718"/>
    <n v="378"/>
    <n v="4904"/>
    <n v="0"/>
    <n v="43000"/>
    <n v="0"/>
    <n v="0"/>
    <n v="43000"/>
    <n v="0"/>
    <n v="43000"/>
    <m/>
    <m/>
    <m/>
    <s v="Syed Waqas"/>
    <m/>
    <m/>
    <s v="fahadnazirmemon@gmail.com"/>
  </r>
  <r>
    <n v="703"/>
    <x v="147"/>
    <x v="531"/>
    <s v=" -"/>
    <s v=" MOTOR"/>
    <d v="2024-09-20T00:00:00"/>
    <d v="2023-09-15T00:00:00"/>
    <d v="2024-09-14T00:00:00"/>
    <s v=" 08813078"/>
    <s v="Mr. Fahad Nazir_x000a_CNIC:  4130320373465_x000a_Cell: 03332643214"/>
    <m/>
    <s v="SUZUKI ALTO VXR"/>
    <s v="BUP-115"/>
    <s v="6R182389"/>
    <s v="NF1AET306H1082376"/>
    <s v="2021"/>
    <m/>
    <m/>
    <s v=" D"/>
    <s v="09000221-Muhammad Irfan"/>
    <n v="2400000"/>
    <n v="1600"/>
    <n v="16"/>
    <n v="240"/>
    <n v="0"/>
    <n v="1856"/>
    <n v="0"/>
    <n v="0"/>
    <n v="1856"/>
    <n v="0"/>
    <n v="1856"/>
    <m/>
    <m/>
    <m/>
    <s v="Syed Waqas"/>
    <n v="565.60000000000105"/>
    <n v="564.37000000000103"/>
    <m/>
  </r>
  <r>
    <n v="704"/>
    <x v="147"/>
    <x v="532"/>
    <s v=" -"/>
    <s v=" MOTOR"/>
    <d v="2024-12-29T00:00:00"/>
    <d v="2023-09-15T00:00:00"/>
    <d v="2024-09-14T00:00:00"/>
    <s v=" 08813078"/>
    <s v="Mr. Fahad Nazir_x000a_CNIC:  4130320373465_x000a_Cell: 03332643214"/>
    <m/>
    <s v="SUZUKI ALTO VXR"/>
    <s v="BUP-115"/>
    <s v="6R182389"/>
    <s v="NF1AET306H1082376"/>
    <s v="2021"/>
    <m/>
    <m/>
    <s v=" D"/>
    <s v="09000221-Muhammad Irfan"/>
    <n v="-1"/>
    <n v="-44412"/>
    <n v="-444"/>
    <n v="0"/>
    <n v="0"/>
    <n v="-44856"/>
    <n v="0"/>
    <n v="0"/>
    <n v="-44856"/>
    <n v="0"/>
    <n v="-44856"/>
    <m/>
    <m/>
    <m/>
    <s v="Syed Waqas"/>
    <m/>
    <m/>
    <m/>
  </r>
  <r>
    <n v="705"/>
    <x v="148"/>
    <x v="533"/>
    <s v=" -"/>
    <s v=" MOTOR"/>
    <d v="2023-09-30T00:00:00"/>
    <d v="2023-09-19T00:00:00"/>
    <d v="2024-09-18T00:00:00"/>
    <s v=" 08813087"/>
    <s v="Mr. Zeeshan Ahmad_x000a_CNIC: 3520260912851_x000a_Cell: 03310403987"/>
    <m/>
    <s v="HONDA N WGN"/>
    <s v="LEH-17-716"/>
    <s v="SO7A7196603"/>
    <s v="JH12038380"/>
    <s v="2014"/>
    <m/>
    <m/>
    <s v=" D"/>
    <s v="09000221-Muhammad Irfan"/>
    <n v="2800000"/>
    <n v="44736"/>
    <n v="448"/>
    <n v="5816"/>
    <n v="0"/>
    <n v="51000"/>
    <n v="0"/>
    <n v="0"/>
    <n v="51000"/>
    <n v="0"/>
    <n v="51000"/>
    <m/>
    <m/>
    <m/>
    <s v="MUHAMMAD WAQAS"/>
    <m/>
    <m/>
    <s v="faizan.sarwar@hotmail.com"/>
  </r>
  <r>
    <n v="706"/>
    <x v="148"/>
    <x v="534"/>
    <s v=" -"/>
    <s v=" MOTOR"/>
    <d v="2024-03-19T00:00:00"/>
    <d v="2023-09-19T00:00:00"/>
    <d v="2024-09-18T00:00:00"/>
    <s v=" 08813087"/>
    <s v="Mr. Zeeshan Ahmad_x000a_CNIC: 3520260912851_x000a_Cell: 03310403987"/>
    <m/>
    <s v="HONDA N WGN"/>
    <s v="LEH-17-716"/>
    <s v="SO7A7196603"/>
    <s v="JH12038380"/>
    <s v="2014"/>
    <m/>
    <m/>
    <s v=" D"/>
    <s v="09000221-Muhammad Irfan"/>
    <n v="2800000"/>
    <n v="2953"/>
    <n v="30"/>
    <n v="384"/>
    <n v="0"/>
    <n v="3367"/>
    <n v="0"/>
    <n v="0"/>
    <n v="3367"/>
    <n v="0"/>
    <n v="3367"/>
    <m/>
    <m/>
    <m/>
    <s v="MUHAMMAD WAQAS"/>
    <n v="1803.5599999999984"/>
    <n v="876.73000000000104"/>
    <m/>
  </r>
  <r>
    <n v="707"/>
    <x v="148"/>
    <x v="535"/>
    <s v=" -"/>
    <s v=" MOTOR"/>
    <d v="2024-10-31T00:00:00"/>
    <d v="2023-09-19T00:00:00"/>
    <d v="2024-09-18T00:00:00"/>
    <s v=" 08813087"/>
    <s v="Mr. Zeeshan Ahmad_x000a_CNIC: 3520260912851_x000a_Cell: 03310403987"/>
    <m/>
    <s v="HONDA N WGN"/>
    <s v="LEH-17-716"/>
    <s v="SO7A7196603"/>
    <s v="JH12038380"/>
    <s v="2014"/>
    <m/>
    <m/>
    <s v=" D"/>
    <s v="09000221-Muhammad Irfan"/>
    <n v="-1"/>
    <n v="-53829"/>
    <n v="-538"/>
    <n v="0"/>
    <n v="0"/>
    <n v="-54367"/>
    <n v="0"/>
    <n v="0"/>
    <n v="-54367"/>
    <n v="0"/>
    <n v="-54367"/>
    <m/>
    <m/>
    <m/>
    <s v="MUHAMMAD WAQAS"/>
    <m/>
    <m/>
    <m/>
  </r>
  <r>
    <n v="708"/>
    <x v="149"/>
    <x v="536"/>
    <s v=" -"/>
    <s v=" MOTOR"/>
    <d v="2023-09-30T00:00:00"/>
    <d v="2023-09-20T00:00:00"/>
    <d v="2024-09-19T00:00:00"/>
    <s v=" 08812295"/>
    <s v="Mr. Muhammad Adnan Siddiqui_x000a_CNIC: 37405-3319225-3_x000a_Cell: 0321-5573573 / 0332-8282249"/>
    <m/>
    <s v="HYUNDAI TUCSON"/>
    <s v="BJ-5109"/>
    <s v="G4NAMU097034"/>
    <s v="PMHJ2813SMN203816"/>
    <s v="2021"/>
    <m/>
    <m/>
    <s v=" D"/>
    <s v="09000221-Muhammad Irfan"/>
    <n v="8000000"/>
    <n v="135964"/>
    <n v="1360"/>
    <n v="17676"/>
    <n v="0"/>
    <n v="155000"/>
    <n v="0"/>
    <n v="0"/>
    <n v="155000"/>
    <n v="0"/>
    <n v="155000"/>
    <m/>
    <m/>
    <m/>
    <s v="MUHAMMAD WAQAS"/>
    <m/>
    <m/>
    <m/>
  </r>
  <r>
    <n v="709"/>
    <x v="149"/>
    <x v="537"/>
    <s v=" -"/>
    <s v=" MOTOR"/>
    <d v="2024-10-31T00:00:00"/>
    <d v="2023-09-20T00:00:00"/>
    <d v="2024-09-19T00:00:00"/>
    <s v=" 08812295"/>
    <s v="Mr. Muhammad Adnan Siddiqui_x000a_CNIC: 37405-3319225-3_x000a_Cell: 0321-5573573 / 0332-8282249"/>
    <m/>
    <s v="HYUNDAI TUCSON"/>
    <s v="BJ-5109"/>
    <s v="G4NAMU097034"/>
    <s v="PMHJ2813SMN203816"/>
    <s v="2021"/>
    <m/>
    <m/>
    <s v=" D"/>
    <s v="09000221-Muhammad Irfan"/>
    <n v="-1"/>
    <n v="-153465"/>
    <n v="-1535"/>
    <n v="0"/>
    <n v="0"/>
    <n v="-155000"/>
    <n v="0"/>
    <n v="0"/>
    <n v="-155000"/>
    <n v="0"/>
    <n v="-155000"/>
    <m/>
    <m/>
    <m/>
    <s v="MUHAMMAD WAQAS"/>
    <m/>
    <m/>
    <m/>
  </r>
  <r>
    <n v="710"/>
    <x v="150"/>
    <x v="538"/>
    <s v=" -"/>
    <s v=" MOTOR"/>
    <d v="2023-09-30T00:00:00"/>
    <d v="2023-09-19T00:00:00"/>
    <d v="2024-09-18T00:00:00"/>
    <s v=" 08813133"/>
    <s v="Mrs. Aqsa Javed_x000a_CNIC No: 37405-5785523-6_x000a_Phone Number:  03237565158"/>
    <m/>
    <s v="PRINCE PEARL"/>
    <s v="ACU-816"/>
    <s v="L11610482W"/>
    <s v="RAILPPM21C02100"/>
    <s v="2021"/>
    <m/>
    <m/>
    <s v=" D"/>
    <s v="09000221-Muhammad Irfan"/>
    <n v="2000000"/>
    <n v="30701"/>
    <n v="307"/>
    <n v="3992"/>
    <n v="0"/>
    <n v="35000"/>
    <n v="0"/>
    <n v="0"/>
    <n v="35000"/>
    <n v="0"/>
    <n v="35000"/>
    <m/>
    <m/>
    <m/>
    <s v="Syed Waqas"/>
    <m/>
    <m/>
    <m/>
  </r>
  <r>
    <n v="711"/>
    <x v="150"/>
    <x v="539"/>
    <s v=" -"/>
    <s v=" MOTOR"/>
    <d v="2024-10-31T00:00:00"/>
    <d v="2023-09-19T00:00:00"/>
    <d v="2024-09-18T00:00:00"/>
    <s v=" 08813133"/>
    <s v="Mrs. Aqsa Javed_x000a_CNIC No: 37405-5785523-6_x000a_Phone Number:  03237565158"/>
    <m/>
    <s v="PRINCE PEARL"/>
    <s v="ACU-816"/>
    <s v="L11610482W"/>
    <s v="RAILPPM21C02100"/>
    <s v="2021"/>
    <m/>
    <m/>
    <s v=" D"/>
    <s v="09000221-Muhammad Irfan"/>
    <n v="-1"/>
    <n v="-34653"/>
    <n v="-347"/>
    <n v="0"/>
    <n v="0"/>
    <n v="-35000"/>
    <n v="0"/>
    <n v="0"/>
    <n v="-35000"/>
    <n v="0"/>
    <n v="-35000"/>
    <m/>
    <m/>
    <m/>
    <s v="Syed Waqas"/>
    <m/>
    <m/>
    <m/>
  </r>
  <r>
    <n v="712"/>
    <x v="151"/>
    <x v="540"/>
    <s v=" -"/>
    <s v=" MOTOR"/>
    <d v="2023-09-30T00:00:00"/>
    <d v="2023-09-21T00:00:00"/>
    <d v="2024-09-20T00:00:00"/>
    <s v=" 08811349"/>
    <s v="Mr. Zeeshan Ali Khan_x000a_CNIC No: 4220178126453_x000a_Phone Number:  03009220203"/>
    <m/>
    <s v="SUZUKI ALTO VXR"/>
    <s v="BQQ-690"/>
    <s v="6R103616"/>
    <s v="NF1AET306H1003515"/>
    <s v="2019"/>
    <m/>
    <m/>
    <s v=" D"/>
    <s v="09000221-Muhammad Irfan"/>
    <n v="2500000"/>
    <n v="39473"/>
    <n v="395"/>
    <n v="5132"/>
    <n v="0"/>
    <n v="45000"/>
    <n v="0"/>
    <n v="0"/>
    <n v="45000"/>
    <n v="0"/>
    <n v="45000"/>
    <m/>
    <m/>
    <m/>
    <s v="Syed Waqas"/>
    <m/>
    <m/>
    <m/>
  </r>
  <r>
    <n v="713"/>
    <x v="151"/>
    <x v="541"/>
    <s v=" -"/>
    <s v=" MOTOR"/>
    <d v="2024-03-21T00:00:00"/>
    <d v="2023-09-21T00:00:00"/>
    <d v="2024-09-20T00:00:00"/>
    <s v=" 08811349"/>
    <s v="Mr. Zeeshan Ali Khan_x000a_CNIC No: 4220178126453_x000a_Phone Number:  03009220203"/>
    <m/>
    <s v="SUZUKI ALTO VXR"/>
    <s v="BQQ-690"/>
    <s v="6R103616"/>
    <s v="NF1AET306H1003515"/>
    <s v="2019"/>
    <m/>
    <m/>
    <s v=" D"/>
    <s v="09000221-Muhammad Irfan"/>
    <n v="2500000"/>
    <n v="1540"/>
    <n v="16"/>
    <n v="200"/>
    <n v="0"/>
    <n v="1756"/>
    <n v="0"/>
    <n v="0"/>
    <n v="1756"/>
    <n v="0"/>
    <n v="1756"/>
    <m/>
    <m/>
    <m/>
    <s v="Syed Waqas"/>
    <n v="947.20999999999901"/>
    <n v="513.09"/>
    <m/>
  </r>
  <r>
    <n v="714"/>
    <x v="151"/>
    <x v="542"/>
    <s v=" -"/>
    <s v=" MOTOR"/>
    <d v="2024-10-31T00:00:00"/>
    <d v="2023-09-21T00:00:00"/>
    <d v="2024-09-20T00:00:00"/>
    <s v=" 08811349"/>
    <s v="Mr. Zeeshan Ali Khan_x000a_CNIC No: 4220178126453_x000a_Phone Number:  03009220203"/>
    <m/>
    <s v="SUZUKI ALTO VXR"/>
    <s v="BQQ-690"/>
    <s v="6R103616"/>
    <s v="NF1AET306H1003515"/>
    <s v="2019"/>
    <m/>
    <m/>
    <s v=" D"/>
    <s v="09000221-Muhammad Irfan"/>
    <n v="-1"/>
    <n v="-46293"/>
    <n v="-463"/>
    <n v="0"/>
    <n v="0"/>
    <n v="-46756"/>
    <n v="0"/>
    <n v="0"/>
    <n v="-46756"/>
    <n v="0"/>
    <n v="-46756"/>
    <m/>
    <m/>
    <m/>
    <s v="Syed Waqas"/>
    <m/>
    <m/>
    <m/>
  </r>
  <r>
    <n v="716"/>
    <x v="152"/>
    <x v="543"/>
    <s v=" -"/>
    <s v=" MOTOR"/>
    <d v="2023-09-30T00:00:00"/>
    <d v="2023-09-15T00:00:00"/>
    <d v="2024-09-14T00:00:00"/>
    <s v=" 08813183"/>
    <s v="Syed Abid Hussain Shah_x000a_CNIC #. 42501-1437449-1_x000a_CELL #. 0333-4348422"/>
    <m/>
    <s v="SUZUKI CULTUS VXL"/>
    <s v="BUN-095"/>
    <s v="PK10K184850"/>
    <s v="NF1AVK31H10084850"/>
    <s v="2021"/>
    <m/>
    <m/>
    <s v=" D"/>
    <s v="09000539-Rehan Ali Basheer"/>
    <n v="3200000"/>
    <n v="51753"/>
    <n v="518"/>
    <n v="6729"/>
    <n v="0"/>
    <n v="59000"/>
    <n v="0"/>
    <n v="0"/>
    <n v="59000"/>
    <n v="0"/>
    <n v="59000"/>
    <m/>
    <m/>
    <m/>
    <s v="Rehan Ali Bashir"/>
    <m/>
    <m/>
    <m/>
  </r>
  <r>
    <n v="717"/>
    <x v="152"/>
    <x v="544"/>
    <s v=" -"/>
    <s v=" MOTOR"/>
    <d v="2024-04-15T00:00:00"/>
    <d v="2023-09-15T00:00:00"/>
    <d v="2024-09-14T00:00:00"/>
    <s v=" 08813183"/>
    <s v="Syed Abid Hussain Shah_x000a_CNIC #. 42501-1437449-1_x000a_CELL #. 0333-4348422"/>
    <m/>
    <s v="SUZUKI CULTUS VXL"/>
    <s v="BUN-095"/>
    <s v="PK10K184850"/>
    <s v="NF1AVK31H10084850"/>
    <s v="2021"/>
    <m/>
    <m/>
    <s v=" D"/>
    <s v="09000539-Rehan Ali Basheer"/>
    <n v="3200000"/>
    <n v="523"/>
    <n v="5"/>
    <n v="67"/>
    <n v="0"/>
    <n v="595"/>
    <n v="0"/>
    <n v="0"/>
    <n v="595"/>
    <n v="0"/>
    <n v="595"/>
    <m/>
    <m/>
    <m/>
    <s v="Rehan Ali Bashir"/>
    <n v="163.57"/>
    <n v="135.99"/>
    <m/>
  </r>
  <r>
    <n v="718"/>
    <x v="152"/>
    <x v="545"/>
    <s v=" -"/>
    <s v=" MOTOR"/>
    <d v="2024-05-16T00:00:00"/>
    <d v="2023-09-15T00:00:00"/>
    <d v="2024-09-14T00:00:00"/>
    <s v=" 08813183"/>
    <s v="Syed Abid Hussain Shah_x000a_CNIC #. 42501-1437449-1_x000a_CELL #. 0333-4348422"/>
    <m/>
    <s v="SUZUKI CULTUS VXL"/>
    <s v="BUN-095"/>
    <s v="PK10K184850"/>
    <s v="NF1AVK31H10084850"/>
    <s v="2021"/>
    <m/>
    <m/>
    <s v=" D"/>
    <s v="09000539-Rehan Ali Basheer"/>
    <n v="3200000"/>
    <n v="312"/>
    <n v="3"/>
    <n v="41"/>
    <n v="0"/>
    <n v="356"/>
    <n v="0"/>
    <n v="0"/>
    <n v="356"/>
    <n v="0"/>
    <n v="356"/>
    <m/>
    <m/>
    <m/>
    <s v="Rehan Ali Bashir"/>
    <n v="81.180000000000007"/>
    <n v="81.180000000000007"/>
    <m/>
  </r>
  <r>
    <n v="719"/>
    <x v="152"/>
    <x v="546"/>
    <s v=" -"/>
    <s v=" MOTOR"/>
    <d v="2024-06-20T00:00:00"/>
    <d v="2023-09-15T00:00:00"/>
    <d v="2024-09-14T00:00:00"/>
    <s v=" 08813183"/>
    <s v="Syed Abid Hussain Shah_x000a_CNIC #. 42501-1437449-1_x000a_CELL #. 0333-4348422"/>
    <m/>
    <s v="SUZUKI CULTUS VXL"/>
    <s v="BUN-095"/>
    <s v="PK10K184850"/>
    <s v="NF1AVK31H10084850"/>
    <s v="2021"/>
    <m/>
    <m/>
    <s v=" D"/>
    <s v="09000539-Rehan Ali Basheer"/>
    <n v="3200000"/>
    <n v="297"/>
    <n v="3"/>
    <n v="39"/>
    <n v="0"/>
    <n v="339"/>
    <n v="0"/>
    <n v="0"/>
    <n v="339"/>
    <n v="0"/>
    <n v="339"/>
    <m/>
    <m/>
    <m/>
    <s v="Rehan Ali Bashir"/>
    <n v="81.45"/>
    <n v="77.41"/>
    <m/>
  </r>
  <r>
    <n v="720"/>
    <x v="152"/>
    <x v="547"/>
    <s v=" -"/>
    <s v=" MOTOR"/>
    <d v="2024-07-19T00:00:00"/>
    <d v="2023-09-15T00:00:00"/>
    <d v="2024-09-14T00:00:00"/>
    <s v=" 08813183"/>
    <s v="Syed Abid Hussain Shah_x000a_CNIC #. 42501-1437449-1_x000a_CELL #. 0333-4348422"/>
    <m/>
    <s v="SUZUKI CULTUS VXL"/>
    <s v="BUN-095"/>
    <s v="PK10K184850"/>
    <s v="NF1AVK31H10084850"/>
    <s v="2021"/>
    <m/>
    <m/>
    <s v=" D"/>
    <s v="09000539-Rehan Ali Basheer"/>
    <n v="3200000"/>
    <n v="1078"/>
    <n v="11"/>
    <n v="162"/>
    <n v="0"/>
    <n v="1251"/>
    <n v="0"/>
    <n v="0"/>
    <n v="1251"/>
    <n v="0"/>
    <n v="1251"/>
    <m/>
    <m/>
    <m/>
    <s v="Rehan Ali Bashir"/>
    <n v="408.4"/>
    <n v="285.57"/>
    <m/>
  </r>
  <r>
    <n v="721"/>
    <x v="152"/>
    <x v="548"/>
    <s v=" -"/>
    <s v=" MOTOR"/>
    <d v="2024-08-17T00:00:00"/>
    <d v="2023-09-15T00:00:00"/>
    <d v="2024-09-14T00:00:00"/>
    <s v=" 08813183"/>
    <s v="Syed Abid Hussain Shah_x000a_CNIC #. 42501-1437449-1_x000a_CELL #. 0333-4348422"/>
    <m/>
    <s v="SUZUKI CULTUS VXL"/>
    <s v="BUN-095"/>
    <s v="PK10K184850"/>
    <s v="NF1AVK31H10084850"/>
    <s v="2021"/>
    <m/>
    <m/>
    <s v=" D"/>
    <s v="09000539-Rehan Ali Basheer"/>
    <n v="3200000"/>
    <n v="34"/>
    <n v="0"/>
    <n v="5"/>
    <n v="0"/>
    <n v="39"/>
    <n v="0"/>
    <n v="0"/>
    <n v="39"/>
    <n v="0"/>
    <n v="39"/>
    <m/>
    <m/>
    <m/>
    <s v="Rehan Ali Bashir"/>
    <n v="9"/>
    <n v="9"/>
    <m/>
  </r>
  <r>
    <n v="722"/>
    <x v="152"/>
    <x v="549"/>
    <s v=" -"/>
    <s v=" MOTOR"/>
    <d v="2024-09-20T00:00:00"/>
    <d v="2023-09-15T00:00:00"/>
    <d v="2024-09-14T00:00:00"/>
    <s v=" 08813183"/>
    <s v="Syed Abid Hussain Shah_x000a_CNIC #. 42501-1437449-1_x000a_CELL #. 0333-4348422"/>
    <m/>
    <s v="SUZUKI CULTUS VXL"/>
    <s v="BUN-095"/>
    <s v="PK10K184850"/>
    <s v="NF1AVK31H10084850"/>
    <s v="2021"/>
    <m/>
    <m/>
    <s v=" D"/>
    <s v="09000539-Rehan Ali Basheer"/>
    <n v="3200000"/>
    <n v="340"/>
    <n v="3"/>
    <n v="51"/>
    <n v="0"/>
    <n v="394"/>
    <n v="0"/>
    <n v="0"/>
    <n v="394"/>
    <n v="0"/>
    <n v="394"/>
    <m/>
    <m/>
    <m/>
    <s v="Rehan Ali Bashir"/>
    <n v="100.61"/>
    <n v="90"/>
    <m/>
  </r>
  <r>
    <n v="723"/>
    <x v="152"/>
    <x v="550"/>
    <s v=" -"/>
    <s v=" MOTOR"/>
    <d v="2024-10-31T00:00:00"/>
    <d v="2023-09-15T00:00:00"/>
    <d v="2024-09-14T00:00:00"/>
    <s v=" 08813183"/>
    <s v="Syed Abid Hussain Shah_x000a_CNIC #. 42501-1437449-1_x000a_CELL #. 0333-4348422"/>
    <m/>
    <s v="SUZUKI CULTUS VXL"/>
    <s v="BUN-095"/>
    <s v="PK10K184850"/>
    <s v="NF1AVK31H10084850"/>
    <s v="2021"/>
    <m/>
    <m/>
    <s v=" D"/>
    <s v="09000539-Rehan Ali Basheer"/>
    <n v="-1"/>
    <n v="-61360"/>
    <n v="-614"/>
    <n v="0"/>
    <n v="0"/>
    <n v="-61974"/>
    <n v="0"/>
    <n v="0"/>
    <n v="-61974"/>
    <n v="0"/>
    <n v="-61974"/>
    <m/>
    <m/>
    <m/>
    <s v="Rehan Ali Bashir"/>
    <m/>
    <m/>
    <m/>
  </r>
  <r>
    <n v="724"/>
    <x v="153"/>
    <x v="551"/>
    <s v=" -"/>
    <s v=" MOTOR"/>
    <d v="2023-09-30T00:00:00"/>
    <d v="2023-09-25T00:00:00"/>
    <d v="2024-09-24T00:00:00"/>
    <s v=" 08813191"/>
    <s v="Mr. Muhammad Irfan Tariq_x000a_CNIC No: 4210115251317_x000a_Phone Number:  03322597872"/>
    <m/>
    <s v="SUZUKI Swift GLX CVT"/>
    <s v="BXF-228"/>
    <s v="K12MR1005786"/>
    <s v="NF1SZC63S00105907"/>
    <s v="2022"/>
    <m/>
    <m/>
    <s v=" D"/>
    <s v="09000221-Muhammad Irfan"/>
    <n v="5000000"/>
    <n v="83332"/>
    <n v="834"/>
    <n v="10834"/>
    <n v="0"/>
    <n v="95000"/>
    <n v="0"/>
    <n v="0"/>
    <n v="95000"/>
    <n v="0"/>
    <n v="95000"/>
    <m/>
    <m/>
    <m/>
    <s v="Syed Waqas"/>
    <m/>
    <m/>
    <m/>
  </r>
  <r>
    <n v="725"/>
    <x v="153"/>
    <x v="552"/>
    <s v=" -"/>
    <s v=" MOTOR"/>
    <d v="2024-04-25T00:00:00"/>
    <d v="2023-09-25T00:00:00"/>
    <d v="2024-09-24T00:00:00"/>
    <s v=" 08813191"/>
    <s v="Mr. Muhammad Irfan Tariq_x000a_CNIC No: 4210115251317_x000a_Phone Number:  03322597872"/>
    <m/>
    <s v="SUZUKI Swift GLX CVT"/>
    <s v="BXF-228"/>
    <s v="K12MR1005786"/>
    <s v="NF1SZC63S00105907"/>
    <s v="2022"/>
    <m/>
    <m/>
    <s v=" D"/>
    <s v="09000221-Muhammad Irfan"/>
    <n v="5000000"/>
    <n v="397"/>
    <n v="3"/>
    <n v="51"/>
    <n v="0"/>
    <n v="451"/>
    <n v="0"/>
    <n v="0"/>
    <n v="451"/>
    <n v="0"/>
    <n v="451"/>
    <m/>
    <m/>
    <m/>
    <s v="Syed Waqas"/>
    <n v="88.090000000000074"/>
    <n v="65.899999999999977"/>
    <m/>
  </r>
  <r>
    <n v="726"/>
    <x v="153"/>
    <x v="553"/>
    <s v=" -"/>
    <s v=" MOTOR"/>
    <d v="2024-06-25T00:00:00"/>
    <d v="2023-09-25T00:00:00"/>
    <d v="2024-09-24T00:00:00"/>
    <s v=" 08813191"/>
    <s v="Mr. Muhammad Irfan Tariq_x000a_CNIC No: 4210115251317_x000a_Phone Number:  03322597872"/>
    <m/>
    <s v="SUZUKI Swift GLX CVT"/>
    <s v="BXF-228"/>
    <s v="K12MR1005786"/>
    <s v="NF1SZC63S00105907"/>
    <s v="2022"/>
    <m/>
    <m/>
    <s v=" D"/>
    <s v="09000221-Muhammad Irfan"/>
    <n v="5000000"/>
    <n v="135"/>
    <n v="2"/>
    <n v="18"/>
    <n v="0"/>
    <n v="155"/>
    <n v="0"/>
    <n v="0"/>
    <n v="155"/>
    <n v="0"/>
    <n v="155"/>
    <m/>
    <m/>
    <m/>
    <s v="Syed Waqas"/>
    <n v="22.59"/>
    <n v="22.59"/>
    <m/>
  </r>
  <r>
    <n v="727"/>
    <x v="153"/>
    <x v="554"/>
    <s v=" -"/>
    <s v=" MOTOR"/>
    <d v="2024-10-31T00:00:00"/>
    <d v="2023-09-25T00:00:00"/>
    <d v="2024-09-24T00:00:00"/>
    <s v=" 08813191"/>
    <s v="Mr. Muhammad Irfan Tariq_x000a_CNIC No: 4210115251317_x000a_Phone Number:  03322597872"/>
    <m/>
    <s v="SUZUKI Swift GLX CVT"/>
    <s v="BXF-228"/>
    <s v="K12MR1005786"/>
    <s v="NF1SZC63S00105907"/>
    <s v="2022"/>
    <m/>
    <m/>
    <s v=" D"/>
    <s v="09000221-Muhammad Irfan"/>
    <n v="-1"/>
    <n v="-94659"/>
    <n v="-947"/>
    <n v="0"/>
    <n v="0"/>
    <n v="-95606"/>
    <n v="0"/>
    <n v="0"/>
    <n v="-95606"/>
    <n v="0"/>
    <n v="-95606"/>
    <m/>
    <m/>
    <m/>
    <s v="Syed Waqas"/>
    <m/>
    <m/>
    <m/>
  </r>
  <r>
    <n v="731"/>
    <x v="154"/>
    <x v="555"/>
    <s v=" -"/>
    <s v=" MOTOR"/>
    <d v="2023-09-30T00:00:00"/>
    <d v="2023-09-23T00:00:00"/>
    <d v="2024-09-22T00:00:00"/>
    <s v=" 08813255"/>
    <s v="Ms. Saeeda Kanwal_x000a_CNIC: 4240145687400_x000a_Phone Number: 03452330386"/>
    <m/>
    <s v="SUZUKI ALTO VXL"/>
    <s v="BXE-870"/>
    <s v="6R241002"/>
    <s v="NF1AET306H1141036"/>
    <s v="2022"/>
    <m/>
    <m/>
    <s v=" D"/>
    <s v="09000221-Muhammad Irfan"/>
    <n v="2900000"/>
    <n v="46491"/>
    <n v="465"/>
    <n v="6044"/>
    <n v="0"/>
    <n v="53000"/>
    <n v="0"/>
    <n v="0"/>
    <n v="53000"/>
    <n v="0"/>
    <n v="53000"/>
    <m/>
    <m/>
    <m/>
    <s v="Syed Waqas"/>
    <m/>
    <m/>
    <m/>
  </r>
  <r>
    <n v="732"/>
    <x v="154"/>
    <x v="556"/>
    <s v=" -"/>
    <s v=" MOTOR"/>
    <d v="2024-08-27T00:00:00"/>
    <d v="2023-09-23T00:00:00"/>
    <d v="2024-09-22T00:00:00"/>
    <s v=" 08813255"/>
    <s v="Ms. Saeeda Kanwal_x000a_CNIC: 4240145687400_x000a_Phone Number: 03452330386"/>
    <m/>
    <s v="SUZUKI ALTO VXL"/>
    <s v="BXE-870"/>
    <s v="6R241002"/>
    <s v="NF1AET306H1141036"/>
    <s v="2022"/>
    <m/>
    <m/>
    <s v=" D"/>
    <s v="09000221-Muhammad Irfan"/>
    <n v="2900000"/>
    <n v="619"/>
    <n v="6"/>
    <n v="93"/>
    <n v="0"/>
    <n v="718"/>
    <n v="0"/>
    <n v="0"/>
    <n v="718"/>
    <n v="0"/>
    <n v="718"/>
    <m/>
    <m/>
    <m/>
    <s v="Syed Waqas"/>
    <n v="183.94"/>
    <n v="180.28"/>
    <m/>
  </r>
  <r>
    <n v="733"/>
    <x v="154"/>
    <x v="557"/>
    <s v=" -"/>
    <s v=" MOTOR"/>
    <d v="2024-09-24T00:00:00"/>
    <d v="2023-09-23T00:00:00"/>
    <d v="2024-09-22T00:00:00"/>
    <s v=" 08813255"/>
    <s v="Ms. Saeeda Kanwal_x000a_CNIC: 4240145687400_x000a_Phone Number: 03452330386"/>
    <m/>
    <s v="SUZUKI ALTO VXL"/>
    <s v="BXE-870"/>
    <s v="6R241002"/>
    <s v="NF1AET306H1141036"/>
    <s v="2022"/>
    <m/>
    <m/>
    <s v=" D"/>
    <s v="09000221-Muhammad Irfan"/>
    <n v="2900000"/>
    <n v="2397"/>
    <n v="24"/>
    <n v="359"/>
    <n v="0"/>
    <n v="2780"/>
    <n v="0"/>
    <n v="0"/>
    <n v="2780"/>
    <n v="0"/>
    <n v="2780"/>
    <m/>
    <m/>
    <m/>
    <s v="Syed Waqas"/>
    <n v="735.60000000000207"/>
    <n v="700.37000000000205"/>
    <m/>
  </r>
  <r>
    <n v="734"/>
    <x v="154"/>
    <x v="558"/>
    <s v=" -"/>
    <s v=" MOTOR"/>
    <d v="2024-10-31T00:00:00"/>
    <d v="2023-09-23T00:00:00"/>
    <d v="2024-09-22T00:00:00"/>
    <s v=" 08813255"/>
    <s v="Ms. Saeeda Kanwal_x000a_CNIC: 4240145687400_x000a_Phone Number: 03452330386"/>
    <m/>
    <s v="SUZUKI ALTO VXL"/>
    <s v="BXE-870"/>
    <s v="6R241002"/>
    <s v="NF1AET306H1141036"/>
    <s v="2022"/>
    <m/>
    <m/>
    <s v=" D"/>
    <s v="09000221-Muhammad Irfan"/>
    <n v="-1"/>
    <n v="-55939"/>
    <n v="-559"/>
    <n v="0"/>
    <n v="0"/>
    <n v="-56498"/>
    <n v="0"/>
    <n v="0"/>
    <n v="-56498"/>
    <n v="0"/>
    <n v="-56498"/>
    <m/>
    <m/>
    <m/>
    <s v="Syed Waqas"/>
    <m/>
    <m/>
    <m/>
  </r>
  <r>
    <n v="735"/>
    <x v="155"/>
    <x v="559"/>
    <s v=" -"/>
    <s v=" MOTOR"/>
    <d v="2023-09-30T00:00:00"/>
    <d v="2023-09-27T00:00:00"/>
    <d v="2024-09-26T00:00:00"/>
    <s v=" 08813261"/>
    <s v="Mr. Nusrat Hussain_x000a_Cell: 03008286215_x000a_CNIC: 4130413637021"/>
    <m/>
    <s v="TOYOTA COROLLA ALTIS M/T"/>
    <s v="BPQ-797"/>
    <s v="Z540216"/>
    <s v="NZE170R-4166023"/>
    <s v="2018"/>
    <m/>
    <m/>
    <s v=" D"/>
    <s v="09000221-Muhammad Irfan"/>
    <n v="3500000"/>
    <n v="57016"/>
    <n v="571"/>
    <n v="7413"/>
    <n v="0"/>
    <n v="65000"/>
    <n v="0"/>
    <n v="0"/>
    <n v="65000"/>
    <n v="0"/>
    <n v="65000"/>
    <m/>
    <m/>
    <m/>
    <s v="_x0009_Aamir Hussain"/>
    <m/>
    <m/>
    <m/>
  </r>
  <r>
    <n v="736"/>
    <x v="155"/>
    <x v="560"/>
    <s v=" -"/>
    <s v=" MOTOR"/>
    <d v="2024-04-29T00:00:00"/>
    <d v="2023-09-27T00:00:00"/>
    <d v="2024-09-26T00:00:00"/>
    <s v=" 08813261"/>
    <s v="Mr. Nusrat Hussain_x000a_Cell: 03008286215_x000a_CNIC: 4130413637021"/>
    <m/>
    <s v="TOYOTA COROLLA ALTIS M/T"/>
    <s v="BPQ-797"/>
    <s v="Z540216"/>
    <s v="NZE170R-4166023"/>
    <s v="2018"/>
    <m/>
    <m/>
    <s v=" D"/>
    <s v="09000221-Muhammad Irfan"/>
    <n v="3500000"/>
    <n v="2576"/>
    <n v="26"/>
    <n v="335"/>
    <n v="0"/>
    <n v="2937"/>
    <n v="0"/>
    <n v="0"/>
    <n v="2937"/>
    <n v="0"/>
    <n v="2937"/>
    <m/>
    <m/>
    <m/>
    <s v="_x0009_Aamir Hussain"/>
    <n v="700.91000000000122"/>
    <n v="612.26"/>
    <m/>
  </r>
  <r>
    <n v="737"/>
    <x v="155"/>
    <x v="561"/>
    <s v=" -"/>
    <s v=" MOTOR"/>
    <d v="2024-05-27T00:00:00"/>
    <d v="2023-09-27T00:00:00"/>
    <d v="2024-09-26T00:00:00"/>
    <s v=" 08813261"/>
    <s v="Mr. Nusrat Hussain_x000a_Cell: 03008286215_x000a_CNIC: 4130413637021"/>
    <m/>
    <s v="TOYOTA COROLLA ALTIS M/T"/>
    <s v="BPQ-797"/>
    <s v="Z540216"/>
    <s v="NZE170R-4166023"/>
    <s v="2018"/>
    <m/>
    <m/>
    <s v=" D"/>
    <s v="09000221-Muhammad Irfan"/>
    <n v="3500000"/>
    <n v="3744"/>
    <n v="38"/>
    <n v="487"/>
    <n v="0"/>
    <n v="4269"/>
    <n v="0"/>
    <n v="0"/>
    <n v="4269"/>
    <n v="0"/>
    <n v="4269"/>
    <m/>
    <m/>
    <m/>
    <s v="_x0009_Aamir Hussain"/>
    <n v="1297.9100000000021"/>
    <n v="889.83"/>
    <m/>
  </r>
  <r>
    <n v="738"/>
    <x v="155"/>
    <x v="562"/>
    <s v=" -"/>
    <s v=" MOTOR"/>
    <d v="2024-06-27T00:00:00"/>
    <d v="2023-09-27T00:00:00"/>
    <d v="2024-09-26T00:00:00"/>
    <s v=" 08813261"/>
    <s v="Mr. Nusrat Hussain_x000a_Cell: 03008286215_x000a_CNIC: 4130413637021"/>
    <m/>
    <s v="TOYOTA COROLLA ALTIS M/T"/>
    <s v="BPQ-797"/>
    <s v="Z540216"/>
    <s v="NZE170R-4166023"/>
    <s v="2018"/>
    <m/>
    <m/>
    <s v=" D"/>
    <s v="09000221-Muhammad Irfan"/>
    <n v="3500000"/>
    <n v="4192"/>
    <n v="42"/>
    <n v="545"/>
    <n v="0"/>
    <n v="4779"/>
    <n v="0"/>
    <n v="0"/>
    <n v="4779"/>
    <n v="0"/>
    <n v="4779"/>
    <m/>
    <m/>
    <m/>
    <s v="_x0009_Aamir Hussain"/>
    <n v="1486.059999999999"/>
    <n v="996.01"/>
    <m/>
  </r>
  <r>
    <n v="739"/>
    <x v="155"/>
    <x v="563"/>
    <s v=" -"/>
    <s v=" MOTOR"/>
    <d v="2024-07-30T00:00:00"/>
    <d v="2023-09-27T00:00:00"/>
    <d v="2024-09-26T00:00:00"/>
    <s v=" 08813261"/>
    <s v="Mr. Nusrat Hussain_x000a_Cell: 03008286215_x000a_CNIC: 4130413637021"/>
    <m/>
    <s v="TOYOTA COROLLA ALTIS M/T"/>
    <s v="BPQ-797"/>
    <s v="Z540216"/>
    <s v="NZE170R-4166023"/>
    <s v="2018"/>
    <m/>
    <m/>
    <s v=" D"/>
    <s v="09000221-Muhammad Irfan"/>
    <n v="3500000"/>
    <n v="3436"/>
    <n v="34"/>
    <n v="515"/>
    <n v="0"/>
    <n v="3985"/>
    <n v="0"/>
    <n v="0"/>
    <n v="3985"/>
    <n v="0"/>
    <n v="3985"/>
    <m/>
    <m/>
    <m/>
    <s v="_x0009_Aamir Hussain"/>
    <n v="977.85000000000105"/>
    <n v="830.92"/>
    <m/>
  </r>
  <r>
    <n v="740"/>
    <x v="155"/>
    <x v="564"/>
    <s v=" -"/>
    <s v=" MOTOR"/>
    <d v="2024-10-31T00:00:00"/>
    <d v="2023-09-27T00:00:00"/>
    <d v="2024-09-26T00:00:00"/>
    <s v=" 08813261"/>
    <s v="Mr. Nusrat Hussain_x000a_Cell: 03008286215_x000a_CNIC: 4130413637021"/>
    <m/>
    <s v="TOYOTA COROLLA ALTIS M/T"/>
    <s v="BPQ-797"/>
    <s v="Z540216"/>
    <s v="NZE170R-4166023"/>
    <s v="2018"/>
    <m/>
    <m/>
    <s v=" D"/>
    <s v="09000221-Muhammad Irfan"/>
    <n v="-1"/>
    <n v="-80168"/>
    <n v="-802"/>
    <n v="0"/>
    <n v="0"/>
    <n v="-80970"/>
    <n v="0"/>
    <n v="0"/>
    <n v="-80970"/>
    <n v="0"/>
    <n v="-80970"/>
    <m/>
    <m/>
    <m/>
    <s v="_x0009_Aamir Hussain"/>
    <m/>
    <m/>
    <m/>
  </r>
  <r>
    <n v="741"/>
    <x v="156"/>
    <x v="565"/>
    <s v=" -"/>
    <s v=" MOTOR"/>
    <d v="2023-09-30T00:00:00"/>
    <d v="2023-09-27T00:00:00"/>
    <d v="2024-09-26T00:00:00"/>
    <s v=" 08813269"/>
    <s v="Mr. Muhammad Shoaib_x000a_CNIC No: 4210152460591_x000a_Phone Number:  03337024824"/>
    <m/>
    <s v="SUZUKI ALTO VXL"/>
    <s v="BXQ-873"/>
    <s v="6R248911"/>
    <s v="NF1AET306H1148937"/>
    <s v="2022"/>
    <m/>
    <m/>
    <s v=" D"/>
    <s v="09000355-Asif Azeem"/>
    <n v="3000000"/>
    <n v="48245"/>
    <n v="483"/>
    <n v="6272"/>
    <n v="0"/>
    <n v="55000"/>
    <n v="0"/>
    <n v="0"/>
    <n v="55000"/>
    <n v="0"/>
    <n v="55000"/>
    <m/>
    <m/>
    <m/>
    <s v="Syed Waqas"/>
    <m/>
    <m/>
    <m/>
  </r>
  <r>
    <n v="742"/>
    <x v="156"/>
    <x v="566"/>
    <s v=" -"/>
    <s v=" MOTOR"/>
    <d v="2024-07-30T00:00:00"/>
    <d v="2023-09-27T00:00:00"/>
    <d v="2024-09-26T00:00:00"/>
    <s v=" 08813269"/>
    <s v="Mr. Muhammad Shoaib_x000a_CNIC No: 4210152460591_x000a_Phone Number:  03337024824"/>
    <m/>
    <s v="SUZUKI ALTO VXL"/>
    <s v="BXQ-873"/>
    <s v="6R248911"/>
    <s v="NF1AET306H1148937"/>
    <s v="2022"/>
    <m/>
    <m/>
    <s v=" D"/>
    <s v="09000355-Asif Azeem"/>
    <n v="3000000"/>
    <n v="1819"/>
    <n v="18"/>
    <n v="273"/>
    <n v="0"/>
    <n v="2110"/>
    <n v="0"/>
    <n v="0"/>
    <n v="2110"/>
    <n v="0"/>
    <n v="2110"/>
    <m/>
    <m/>
    <m/>
    <s v="Syed Waqas"/>
    <n v="3786.919999999981"/>
    <n v="641.33000000000004"/>
    <m/>
  </r>
  <r>
    <n v="743"/>
    <x v="156"/>
    <x v="567"/>
    <s v=" -"/>
    <s v=" MOTOR"/>
    <d v="2024-08-31T00:00:00"/>
    <d v="2023-09-27T00:00:00"/>
    <d v="2024-09-26T00:00:00"/>
    <s v=" 08813269"/>
    <s v="Mr. Muhammad Shoaib_x000a_CNIC No: 4210152460591_x000a_Phone Number:  03337024824"/>
    <m/>
    <s v="SUZUKI ALTO VXL"/>
    <s v="BXQ-873"/>
    <s v="6R248911"/>
    <s v="NF1AET306H1148937"/>
    <s v="2022"/>
    <m/>
    <m/>
    <s v=" D"/>
    <s v="09000355-Asif Azeem"/>
    <n v="3000000"/>
    <n v="1135"/>
    <n v="11"/>
    <n v="170"/>
    <n v="0"/>
    <n v="1316"/>
    <n v="0"/>
    <n v="0"/>
    <n v="1316"/>
    <n v="0"/>
    <n v="1316"/>
    <m/>
    <m/>
    <m/>
    <s v="Syed Waqas"/>
    <n v="1358.7399999999991"/>
    <n v="400.0800000000001"/>
    <m/>
  </r>
  <r>
    <n v="744"/>
    <x v="156"/>
    <x v="568"/>
    <s v=" -"/>
    <s v=" MOTOR"/>
    <d v="2024-09-28T00:00:00"/>
    <d v="2023-09-27T00:00:00"/>
    <d v="2024-09-26T00:00:00"/>
    <s v=" 08813269"/>
    <s v="Mr. Muhammad Shoaib_x000a_CNIC No: 4210152460591_x000a_Phone Number:  03337024824"/>
    <m/>
    <s v="SUZUKI ALTO VXL"/>
    <s v="BXQ-873"/>
    <s v="6R248911"/>
    <s v="NF1AET306H1148937"/>
    <s v="2022"/>
    <m/>
    <m/>
    <s v=" D"/>
    <s v="09000355-Asif Azeem"/>
    <n v="3000000"/>
    <n v="795"/>
    <n v="8"/>
    <n v="119"/>
    <n v="0"/>
    <n v="922"/>
    <n v="0"/>
    <n v="0"/>
    <n v="922"/>
    <n v="0"/>
    <n v="922"/>
    <m/>
    <m/>
    <m/>
    <s v="Syed Waqas"/>
    <n v="335.5"/>
    <n v="280.17"/>
    <m/>
  </r>
  <r>
    <n v="745"/>
    <x v="156"/>
    <x v="569"/>
    <s v=" -"/>
    <s v=" MOTOR"/>
    <d v="2024-10-31T00:00:00"/>
    <d v="2023-09-27T00:00:00"/>
    <d v="2024-09-26T00:00:00"/>
    <s v=" 08813269"/>
    <s v="Mr. Muhammad Shoaib_x000a_CNIC No: 4210152460591_x000a_Phone Number:  03337024824"/>
    <m/>
    <s v="SUZUKI ALTO VXL"/>
    <s v="BXQ-873"/>
    <s v="6R248911"/>
    <s v="NF1AET306H1148937"/>
    <s v="2022"/>
    <m/>
    <m/>
    <s v=" D"/>
    <s v="09000355-Asif Azeem"/>
    <n v="-1"/>
    <n v="-58760"/>
    <n v="-588"/>
    <n v="0"/>
    <n v="0"/>
    <n v="-59348"/>
    <n v="0"/>
    <n v="0"/>
    <n v="-59348"/>
    <n v="0"/>
    <n v="-59348"/>
    <m/>
    <m/>
    <m/>
    <s v="Syed Waqas"/>
    <m/>
    <m/>
    <m/>
  </r>
  <r>
    <n v="746"/>
    <x v="157"/>
    <x v="570"/>
    <s v=" -"/>
    <s v=" MOTOR"/>
    <d v="2023-10-31T00:00:00"/>
    <d v="2023-09-25T00:00:00"/>
    <d v="2024-09-24T00:00:00"/>
    <s v=" 08813316"/>
    <s v="Mr. Muhammad Aamir Aftab_x000a_CNIC No: 3840322499899_x000a_Phone Number:  03454009351"/>
    <m/>
    <s v="HONDA CITY I-VTEC"/>
    <s v="LE-18A-9844"/>
    <s v="L13Z17517380"/>
    <s v="NFBGM1545JR232640"/>
    <s v="2018"/>
    <m/>
    <m/>
    <s v=" D"/>
    <s v="09000221-Muhammad Irfan"/>
    <n v="3800000"/>
    <n v="60178"/>
    <n v="602"/>
    <n v="7823"/>
    <n v="0"/>
    <n v="68603"/>
    <n v="0"/>
    <n v="0"/>
    <n v="68603"/>
    <n v="0"/>
    <n v="68603"/>
    <m/>
    <m/>
    <m/>
    <s v="Syed Waqas"/>
    <m/>
    <m/>
    <s v="aamiraftab@gmail.com"/>
  </r>
  <r>
    <n v="747"/>
    <x v="157"/>
    <x v="571"/>
    <s v=" -"/>
    <s v=" MOTOR"/>
    <d v="2024-08-29T00:00:00"/>
    <d v="2023-09-25T00:00:00"/>
    <d v="2024-09-24T00:00:00"/>
    <s v=" 08813316"/>
    <s v="Mr. Muhammad Aamir Aftab_x000a_CNIC No: 3840322499899_x000a_Phone Number:  03454009351"/>
    <m/>
    <s v="HONDA CITY I-VTEC"/>
    <s v="LE-18A-9844"/>
    <s v="L13Z17517380"/>
    <s v="NFBGM1545JR232640"/>
    <s v="2018"/>
    <m/>
    <m/>
    <s v=" D"/>
    <s v="09000221-Muhammad Irfan"/>
    <n v="3800000"/>
    <n v="3788"/>
    <n v="38"/>
    <n v="568"/>
    <n v="0"/>
    <n v="4394"/>
    <n v="0"/>
    <n v="0"/>
    <n v="4394"/>
    <n v="0"/>
    <n v="4394"/>
    <m/>
    <m/>
    <m/>
    <s v="Syed Waqas"/>
    <n v="886.70000000000107"/>
    <n v="844.56"/>
    <m/>
  </r>
  <r>
    <n v="748"/>
    <x v="157"/>
    <x v="572"/>
    <s v=" -"/>
    <s v=" MOTOR"/>
    <d v="2024-10-31T00:00:00"/>
    <d v="2023-09-25T00:00:00"/>
    <d v="2024-09-24T00:00:00"/>
    <s v=" 08813316"/>
    <s v="Mr. Muhammad Aamir Aftab_x000a_CNIC No: 3840322499899_x000a_Phone Number:  03454009351"/>
    <m/>
    <s v="HONDA CITY I-VTEC"/>
    <s v="LE-18A-9844"/>
    <s v="L13Z17517380"/>
    <s v="NFBGM1545JR232640"/>
    <s v="2018"/>
    <m/>
    <m/>
    <s v=" D"/>
    <s v="09000221-Muhammad Irfan"/>
    <n v="-1"/>
    <n v="-72274"/>
    <n v="-723"/>
    <n v="0"/>
    <n v="0"/>
    <n v="-72997"/>
    <n v="0"/>
    <n v="0"/>
    <n v="-72997"/>
    <n v="0"/>
    <n v="-72997"/>
    <m/>
    <m/>
    <m/>
    <s v="Syed Waqas"/>
    <m/>
    <m/>
    <m/>
  </r>
  <r>
    <n v="749"/>
    <x v="158"/>
    <x v="573"/>
    <s v=" -"/>
    <s v=" MOTOR"/>
    <d v="2023-10-31T00:00:00"/>
    <d v="2023-09-28T00:00:00"/>
    <d v="2024-09-27T00:00:00"/>
    <s v=" 08813329"/>
    <s v="Toqeer Hussain_x000a_CNIC: 33104-2203243-5_x000a_Phone Number: 03227957931 - 03008472867"/>
    <m/>
    <s v="SUZUKI ALTO VXL"/>
    <s v="AJN-326"/>
    <s v="6R222064"/>
    <s v="NF1AET306H1122078"/>
    <s v="2022"/>
    <m/>
    <m/>
    <s v=" D"/>
    <s v="09000221-Muhammad Irfan"/>
    <n v="3000000"/>
    <n v="46869"/>
    <n v="469"/>
    <n v="6092"/>
    <n v="0"/>
    <n v="53430"/>
    <n v="0"/>
    <n v="0"/>
    <n v="53430"/>
    <n v="0"/>
    <n v="53430"/>
    <m/>
    <m/>
    <m/>
    <s v="Syed Waqas"/>
    <m/>
    <m/>
    <m/>
  </r>
  <r>
    <n v="750"/>
    <x v="158"/>
    <x v="574"/>
    <s v=" -"/>
    <s v=" MOTOR"/>
    <d v="2024-04-29T00:00:00"/>
    <d v="2023-09-28T00:00:00"/>
    <d v="2024-09-27T00:00:00"/>
    <s v=" 08813329"/>
    <s v="Toqeer Hussain_x000a_CNIC: 33104-2203243-5_x000a_Phone Number: 03227957931 - 03008472867"/>
    <m/>
    <s v="SUZUKI ALTO VXL"/>
    <s v="AJN-326"/>
    <s v="6R222064"/>
    <s v="NF1AET306H1122078"/>
    <s v="2022"/>
    <m/>
    <m/>
    <s v=" D"/>
    <s v="09000221-Muhammad Irfan"/>
    <n v="3000000"/>
    <n v="2546"/>
    <n v="25"/>
    <n v="331"/>
    <n v="0"/>
    <n v="2902"/>
    <n v="0"/>
    <n v="0"/>
    <n v="2902"/>
    <n v="0"/>
    <n v="2902"/>
    <m/>
    <m/>
    <m/>
    <s v="Syed Waqas"/>
    <n v="1046.5600000000009"/>
    <n v="706.06"/>
    <m/>
  </r>
  <r>
    <n v="751"/>
    <x v="158"/>
    <x v="575"/>
    <s v=" -"/>
    <s v=" MOTOR"/>
    <d v="2024-05-29T00:00:00"/>
    <d v="2023-09-28T00:00:00"/>
    <d v="2024-09-27T00:00:00"/>
    <s v=" 08813329"/>
    <s v="Toqeer Hussain_x000a_CNIC: 33104-2203243-5_x000a_Phone Number: 03227957931 - 03008472867"/>
    <m/>
    <s v="SUZUKI ALTO VXL"/>
    <s v="AJN-326"/>
    <s v="6R222064"/>
    <s v="NF1AET306H1122078"/>
    <s v="2022"/>
    <m/>
    <m/>
    <s v=" D"/>
    <s v="09000221-Muhammad Irfan"/>
    <n v="3000000"/>
    <n v="1047"/>
    <n v="11"/>
    <n v="136"/>
    <n v="0"/>
    <n v="1194"/>
    <n v="0"/>
    <n v="0"/>
    <n v="1194"/>
    <n v="0"/>
    <n v="1194"/>
    <m/>
    <m/>
    <m/>
    <s v="Syed Waqas"/>
    <n v="718.80999999999915"/>
    <n v="290.49"/>
    <m/>
  </r>
  <r>
    <n v="752"/>
    <x v="158"/>
    <x v="576"/>
    <s v=" -"/>
    <s v=" MOTOR"/>
    <d v="2024-06-28T00:00:00"/>
    <d v="2023-09-28T00:00:00"/>
    <d v="2024-09-27T00:00:00"/>
    <s v=" 08813329"/>
    <s v="Toqeer Hussain_x000a_CNIC: 33104-2203243-5_x000a_Phone Number: 03227957931 - 03008472867"/>
    <m/>
    <s v="SUZUKI ALTO VXL"/>
    <s v="AJN-326"/>
    <s v="6R222064"/>
    <s v="NF1AET306H1122078"/>
    <s v="2022"/>
    <m/>
    <m/>
    <s v=" D"/>
    <s v="09000221-Muhammad Irfan"/>
    <n v="3000000"/>
    <n v="1287"/>
    <n v="13"/>
    <n v="167"/>
    <n v="0"/>
    <n v="1467"/>
    <n v="0"/>
    <n v="0"/>
    <n v="1467"/>
    <n v="0"/>
    <n v="1467"/>
    <m/>
    <m/>
    <m/>
    <s v="Syed Waqas"/>
    <n v="759.69"/>
    <n v="356.8900000000001"/>
    <m/>
  </r>
  <r>
    <n v="753"/>
    <x v="158"/>
    <x v="577"/>
    <s v=" -"/>
    <s v=" MOTOR"/>
    <d v="2024-07-30T00:00:00"/>
    <d v="2023-09-28T00:00:00"/>
    <d v="2024-09-27T00:00:00"/>
    <s v=" 08813329"/>
    <s v="Toqeer Hussain_x000a_CNIC: 33104-2203243-5_x000a_Phone Number: 03227957931 - 03008472867"/>
    <m/>
    <s v="SUZUKI ALTO VXL"/>
    <s v="AJN-326"/>
    <s v="6R222064"/>
    <s v="NF1AET306H1122078"/>
    <s v="2022"/>
    <m/>
    <m/>
    <s v=" D"/>
    <s v="09000221-Muhammad Irfan"/>
    <n v="3000000"/>
    <n v="596"/>
    <n v="6"/>
    <n v="89"/>
    <n v="0"/>
    <n v="691"/>
    <n v="0"/>
    <n v="0"/>
    <n v="691"/>
    <n v="0"/>
    <n v="691"/>
    <m/>
    <m/>
    <m/>
    <s v="Syed Waqas"/>
    <n v="271.15000000000003"/>
    <n v="168.25"/>
    <m/>
  </r>
  <r>
    <n v="754"/>
    <x v="158"/>
    <x v="578"/>
    <s v=" -"/>
    <s v=" MOTOR"/>
    <d v="2024-08-31T00:00:00"/>
    <d v="2023-09-28T00:00:00"/>
    <d v="2024-09-27T00:00:00"/>
    <s v=" 08813329"/>
    <s v="Toqeer Hussain_x000a_CNIC: 33104-2203243-5_x000a_Phone Number: 03227957931 - 03008472867"/>
    <m/>
    <s v="SUZUKI ALTO VXL"/>
    <s v="AJN-326"/>
    <s v="6R222064"/>
    <s v="NF1AET306H1122078"/>
    <s v="2022"/>
    <m/>
    <m/>
    <s v=" D"/>
    <s v="09000221-Muhammad Irfan"/>
    <n v="3000000"/>
    <n v="1136"/>
    <n v="11"/>
    <n v="170"/>
    <n v="0"/>
    <n v="1317"/>
    <n v="0"/>
    <n v="0"/>
    <n v="1317"/>
    <n v="0"/>
    <n v="1317"/>
    <m/>
    <m/>
    <m/>
    <s v="Syed Waqas"/>
    <n v="822.47"/>
    <n v="320.42"/>
    <m/>
  </r>
  <r>
    <n v="755"/>
    <x v="158"/>
    <x v="579"/>
    <s v=" -"/>
    <s v=" MOTOR"/>
    <d v="2024-12-29T00:00:00"/>
    <d v="2023-09-28T00:00:00"/>
    <d v="2024-09-27T00:00:00"/>
    <s v=" 08813329"/>
    <s v="Toqeer Hussain_x000a_CNIC: 33104-2203243-5_x000a_Phone Number: 03227957931 - 03008472867"/>
    <m/>
    <s v="SUZUKI ALTO VXL"/>
    <s v="AJN-326"/>
    <s v="6R222064"/>
    <s v="NF1AET306H1122078"/>
    <s v="2022"/>
    <m/>
    <m/>
    <s v=" D"/>
    <s v="09000221-Muhammad Irfan"/>
    <n v="-1"/>
    <n v="-60397"/>
    <n v="-604"/>
    <n v="0"/>
    <n v="0"/>
    <n v="-61001"/>
    <n v="0"/>
    <n v="0"/>
    <n v="-61001"/>
    <n v="0"/>
    <n v="-61001"/>
    <m/>
    <m/>
    <m/>
    <s v="Syed Waqas"/>
    <m/>
    <m/>
    <m/>
  </r>
  <r>
    <n v="759"/>
    <x v="159"/>
    <x v="580"/>
    <s v=" -"/>
    <s v=" MOTOR"/>
    <d v="2023-10-31T00:00:00"/>
    <d v="2023-09-28T00:00:00"/>
    <d v="2024-09-27T00:00:00"/>
    <s v=" 08813287"/>
    <s v="Mr. S Muhammad Khuram Shahzad_x000a_CNIC No: 3740528436135_x000a_Phone Number:  03225135707"/>
    <m/>
    <s v="NISSAN DAYZ"/>
    <s v="ADT-553"/>
    <s v="3B20-KG4090"/>
    <s v="B21W-0237212"/>
    <s v="2015"/>
    <m/>
    <m/>
    <s v=" D"/>
    <s v="09000221-Muhammad Irfan"/>
    <n v="2000000"/>
    <n v="30390"/>
    <n v="303"/>
    <n v="3951"/>
    <n v="0"/>
    <n v="34644"/>
    <n v="0"/>
    <n v="0"/>
    <n v="34644"/>
    <n v="0"/>
    <n v="34644"/>
    <m/>
    <m/>
    <m/>
    <s v="Fizza Sheikh"/>
    <m/>
    <m/>
    <m/>
  </r>
  <r>
    <n v="760"/>
    <x v="159"/>
    <x v="581"/>
    <s v=" -"/>
    <s v=" MOTOR"/>
    <d v="2024-04-29T00:00:00"/>
    <d v="2023-09-28T00:00:00"/>
    <d v="2024-09-27T00:00:00"/>
    <s v=" 08813287"/>
    <s v="Mr. S Muhammad Khuram Shahzad_x000a_CNIC No: 3740528436135_x000a_Phone Number:  03225135707"/>
    <m/>
    <s v="NISSAN DAYZ"/>
    <s v="ADT-553"/>
    <s v="3B20-KG4090"/>
    <s v="B21W-0237212"/>
    <s v="2015"/>
    <m/>
    <m/>
    <s v=" D"/>
    <s v="09000221-Muhammad Irfan"/>
    <n v="2000000"/>
    <n v="531"/>
    <n v="5"/>
    <n v="69"/>
    <n v="0"/>
    <n v="605"/>
    <n v="0"/>
    <n v="0"/>
    <n v="605"/>
    <n v="0"/>
    <n v="605"/>
    <m/>
    <m/>
    <m/>
    <s v="Fizza Sheikh"/>
    <n v="234"/>
    <n v="221.93"/>
    <m/>
  </r>
  <r>
    <n v="761"/>
    <x v="159"/>
    <x v="582"/>
    <s v=" -"/>
    <s v=" MOTOR"/>
    <d v="2024-05-29T00:00:00"/>
    <d v="2023-09-28T00:00:00"/>
    <d v="2024-09-27T00:00:00"/>
    <s v=" 08813287"/>
    <s v="Mr. S Muhammad Khuram Shahzad_x000a_CNIC No: 3740528436135_x000a_Phone Number:  03225135707"/>
    <m/>
    <s v="NISSAN DAYZ"/>
    <s v="ADT-553"/>
    <s v="3B20-KG4090"/>
    <s v="B21W-0237212"/>
    <s v="2015"/>
    <m/>
    <m/>
    <s v=" D"/>
    <s v="09000221-Muhammad Irfan"/>
    <n v="2000000"/>
    <n v="930"/>
    <n v="9"/>
    <n v="120"/>
    <n v="0"/>
    <n v="1059"/>
    <n v="0"/>
    <n v="0"/>
    <n v="1059"/>
    <n v="0"/>
    <n v="1059"/>
    <m/>
    <m/>
    <m/>
    <s v="Fizza Sheikh"/>
    <n v="550.12000000000103"/>
    <n v="387.48"/>
    <m/>
  </r>
  <r>
    <n v="762"/>
    <x v="159"/>
    <x v="583"/>
    <s v=" -"/>
    <s v=" MOTOR"/>
    <d v="2024-06-28T00:00:00"/>
    <d v="2023-09-28T00:00:00"/>
    <d v="2024-09-27T00:00:00"/>
    <s v=" 08813287"/>
    <s v="Mr. S Muhammad Khuram Shahzad_x000a_CNIC No: 3740528436135_x000a_Phone Number:  03225135707"/>
    <m/>
    <s v="NISSAN DAYZ"/>
    <s v="ADT-553"/>
    <s v="3B20-KG4090"/>
    <s v="B21W-0237212"/>
    <s v="2015"/>
    <m/>
    <m/>
    <s v=" D"/>
    <s v="09000221-Muhammad Irfan"/>
    <n v="2000000"/>
    <n v="1272"/>
    <n v="13"/>
    <n v="166"/>
    <n v="0"/>
    <n v="1451"/>
    <n v="0"/>
    <n v="0"/>
    <n v="1451"/>
    <n v="0"/>
    <n v="1451"/>
    <m/>
    <m/>
    <m/>
    <s v="Fizza Sheikh"/>
    <n v="1417.649999999998"/>
    <n v="530.24"/>
    <m/>
  </r>
  <r>
    <n v="763"/>
    <x v="159"/>
    <x v="584"/>
    <s v=" -"/>
    <s v=" MOTOR"/>
    <d v="2024-07-30T00:00:00"/>
    <d v="2023-09-28T00:00:00"/>
    <d v="2024-09-27T00:00:00"/>
    <s v=" 08813287"/>
    <s v="Mr. S Muhammad Khuram Shahzad_x000a_CNIC No: 3740528436135_x000a_Phone Number:  03225135707"/>
    <m/>
    <s v="NISSAN DAYZ"/>
    <s v="ADT-553"/>
    <s v="3B20-KG4090"/>
    <s v="B21W-0237212"/>
    <s v="2015"/>
    <m/>
    <m/>
    <s v=" D"/>
    <s v="09000221-Muhammad Irfan"/>
    <n v="2000000"/>
    <n v="372"/>
    <n v="4"/>
    <n v="56"/>
    <n v="0"/>
    <n v="432"/>
    <n v="0"/>
    <n v="0"/>
    <n v="432"/>
    <n v="0"/>
    <n v="432"/>
    <m/>
    <m/>
    <m/>
    <s v="Fizza Sheikh"/>
    <n v="393.72000000000304"/>
    <n v="157.73000000000002"/>
    <m/>
  </r>
  <r>
    <n v="764"/>
    <x v="159"/>
    <x v="585"/>
    <s v=" -"/>
    <s v=" MOTOR"/>
    <d v="2024-08-31T00:00:00"/>
    <d v="2023-09-28T00:00:00"/>
    <d v="2024-09-27T00:00:00"/>
    <s v=" 08813287"/>
    <s v="Mr. S Muhammad Khuram Shahzad_x000a_CNIC No: 3740528436135_x000a_Phone Number:  03225135707"/>
    <m/>
    <s v="NISSAN DAYZ"/>
    <s v="ADT-553"/>
    <s v="3B20-KG4090"/>
    <s v="B21W-0237212"/>
    <s v="2015"/>
    <m/>
    <m/>
    <s v=" D"/>
    <s v="09000221-Muhammad Irfan"/>
    <n v="2000000"/>
    <n v="274"/>
    <n v="3"/>
    <n v="41"/>
    <n v="0"/>
    <n v="318"/>
    <n v="0"/>
    <n v="0"/>
    <n v="318"/>
    <n v="0"/>
    <n v="318"/>
    <m/>
    <m/>
    <m/>
    <s v="Fizza Sheikh"/>
    <n v="118.74"/>
    <n v="116.08000000000001"/>
    <m/>
  </r>
  <r>
    <n v="765"/>
    <x v="159"/>
    <x v="586"/>
    <s v=" -"/>
    <s v=" MOTOR"/>
    <d v="2024-10-31T00:00:00"/>
    <d v="2023-09-28T00:00:00"/>
    <d v="2024-09-27T00:00:00"/>
    <s v=" 08813287"/>
    <s v="Mr. S Muhammad Khuram Shahzad_x000a_CNIC No: 3740528436135_x000a_Phone Number:  03225135707"/>
    <m/>
    <s v="NISSAN DAYZ"/>
    <s v="ADT-553"/>
    <s v="3B20-KG4090"/>
    <s v="B21W-0237212"/>
    <s v="2015"/>
    <m/>
    <m/>
    <s v=" D"/>
    <s v="09000221-Muhammad Irfan"/>
    <n v="-1"/>
    <n v="-38128"/>
    <n v="-381"/>
    <n v="0"/>
    <n v="0"/>
    <n v="-38509"/>
    <n v="0"/>
    <n v="0"/>
    <n v="-38509"/>
    <n v="0"/>
    <n v="-38509"/>
    <m/>
    <m/>
    <m/>
    <s v="Fizza Sheikh"/>
    <m/>
    <m/>
    <m/>
  </r>
  <r>
    <n v="766"/>
    <x v="160"/>
    <x v="587"/>
    <s v=" -"/>
    <s v=" MOTOR"/>
    <d v="2023-10-31T00:00:00"/>
    <d v="2023-10-04T00:00:00"/>
    <d v="2024-10-03T00:00:00"/>
    <s v=" 08809653"/>
    <s v="Mr. Muneeb Khalil Sheikh_x000a_CNIC: 3520248084143_x000a_Phone Number: 03244449440"/>
    <m/>
    <s v="SUZUKI Swift GLX CVT"/>
    <s v="Un-Reg"/>
    <s v="K12MR1016553"/>
    <s v="NF1SZC63S00116550"/>
    <s v="2023"/>
    <m/>
    <m/>
    <s v=" D"/>
    <s v="09000221-Muhammad Irfan"/>
    <n v="4985000"/>
    <n v="83069"/>
    <n v="831"/>
    <n v="10800"/>
    <n v="0"/>
    <n v="94700"/>
    <n v="0"/>
    <n v="0"/>
    <n v="94700"/>
    <n v="0"/>
    <n v="94700"/>
    <m/>
    <m/>
    <m/>
    <s v="Syed Waqas"/>
    <m/>
    <m/>
    <m/>
  </r>
  <r>
    <n v="767"/>
    <x v="160"/>
    <x v="588"/>
    <s v=" -"/>
    <s v=" MOTOR"/>
    <d v="2024-06-05T00:00:00"/>
    <d v="2023-10-04T00:00:00"/>
    <d v="2024-10-03T00:00:00"/>
    <s v=" 08809653"/>
    <s v="Mr. Muneeb Khalil Sheikh_x000a_CNIC: 3520248084143_x000a_Phone Number: 03244449440"/>
    <m/>
    <s v="SUZUKI Swift GLX CVT"/>
    <s v="Un-Reg"/>
    <s v="K12MR1016553"/>
    <s v="NF1SZC63S00116550"/>
    <s v="2023"/>
    <m/>
    <m/>
    <s v=" D"/>
    <s v="09000221-Muhammad Irfan"/>
    <n v="4985000"/>
    <n v="2570"/>
    <n v="25"/>
    <n v="334"/>
    <n v="0"/>
    <n v="2929"/>
    <n v="0"/>
    <n v="0"/>
    <n v="2929"/>
    <n v="0"/>
    <n v="2929"/>
    <m/>
    <m/>
    <m/>
    <s v="Syed Waqas"/>
    <n v="543.37999999999897"/>
    <n v="429.09"/>
    <m/>
  </r>
  <r>
    <n v="768"/>
    <x v="160"/>
    <x v="589"/>
    <s v=" -"/>
    <s v=" MOTOR"/>
    <d v="2024-07-04T00:00:00"/>
    <d v="2023-10-04T00:00:00"/>
    <d v="2024-10-03T00:00:00"/>
    <s v=" 08809653"/>
    <s v="Mr. Muneeb Khalil Sheikh_x000a_CNIC: 3520248084143_x000a_Phone Number: 03244449440"/>
    <m/>
    <s v="SUZUKI Swift GLX CVT"/>
    <s v="Un-Reg"/>
    <s v="K12MR1016553"/>
    <s v="NF1SZC63S00116550"/>
    <s v="2023"/>
    <m/>
    <m/>
    <s v=" D"/>
    <s v="09000221-Muhammad Irfan"/>
    <n v="4985000"/>
    <n v="3215"/>
    <n v="32"/>
    <n v="482"/>
    <n v="0"/>
    <n v="3729"/>
    <n v="0"/>
    <n v="0"/>
    <n v="3729"/>
    <n v="0"/>
    <n v="3729"/>
    <m/>
    <m/>
    <m/>
    <s v="Syed Waqas"/>
    <n v="1399.7200000000441"/>
    <n v="546.35"/>
    <m/>
  </r>
  <r>
    <n v="769"/>
    <x v="160"/>
    <x v="590"/>
    <s v=" -"/>
    <s v=" MOTOR"/>
    <d v="2024-08-06T00:00:00"/>
    <d v="2023-10-04T00:00:00"/>
    <d v="2024-10-03T00:00:00"/>
    <s v=" 08809653"/>
    <s v="Mr. Muneeb Khalil Sheikh_x000a_CNIC: 3520248084143_x000a_Phone Number: 03244449440"/>
    <m/>
    <s v="SUZUKI Swift GLX CVT"/>
    <s v="Un-Reg"/>
    <s v="K12MR1016553"/>
    <s v="NF1SZC63S00116550"/>
    <s v="2023"/>
    <m/>
    <m/>
    <s v=" D"/>
    <s v="09000221-Muhammad Irfan"/>
    <n v="4985000"/>
    <n v="3654"/>
    <n v="37"/>
    <n v="548"/>
    <n v="0"/>
    <n v="4239"/>
    <n v="0"/>
    <n v="0"/>
    <n v="4239"/>
    <n v="0"/>
    <n v="4239"/>
    <m/>
    <m/>
    <m/>
    <s v="Syed Waqas"/>
    <n v="767.90999999999917"/>
    <n v="621.09"/>
    <m/>
  </r>
  <r>
    <n v="770"/>
    <x v="160"/>
    <x v="591"/>
    <s v=" -"/>
    <s v=" MOTOR"/>
    <d v="2024-09-06T00:00:00"/>
    <d v="2023-10-04T00:00:00"/>
    <d v="2024-10-03T00:00:00"/>
    <s v=" 08809653"/>
    <s v="Mr. Muneeb Khalil Sheikh_x000a_CNIC: 3520248084143_x000a_Phone Number: 03244449440"/>
    <m/>
    <s v="SUZUKI Swift GLX CVT"/>
    <s v="Un-Reg"/>
    <s v="K12MR1016553"/>
    <s v="NF1SZC63S00116550"/>
    <s v="2023"/>
    <m/>
    <m/>
    <s v=" D"/>
    <s v="09000221-Muhammad Irfan"/>
    <n v="4985000"/>
    <n v="2005"/>
    <n v="20"/>
    <n v="301"/>
    <n v="0"/>
    <n v="2326"/>
    <n v="0"/>
    <n v="0"/>
    <n v="2326"/>
    <n v="0"/>
    <n v="2326"/>
    <m/>
    <m/>
    <m/>
    <s v="Syed Waqas"/>
    <n v="407.78"/>
    <n v="340.74"/>
    <m/>
  </r>
  <r>
    <n v="771"/>
    <x v="160"/>
    <x v="592"/>
    <s v=" -"/>
    <s v=" MOTOR"/>
    <d v="2024-10-07T00:00:00"/>
    <d v="2023-10-04T00:00:00"/>
    <d v="2024-10-03T00:00:00"/>
    <s v=" 08809653"/>
    <s v="Mr. Muneeb Khalil Sheikh_x000a_CNIC: 3520248084143_x000a_Phone Number: 03244449440"/>
    <m/>
    <s v="SUZUKI Swift GLX CVT"/>
    <s v="Un-Reg"/>
    <s v="K12MR1016553"/>
    <s v="NF1SZC63S00116550"/>
    <s v="2023"/>
    <m/>
    <m/>
    <s v=" D"/>
    <s v="09000221-Muhammad Irfan"/>
    <n v="4985000"/>
    <n v="2883"/>
    <n v="29"/>
    <n v="432"/>
    <n v="0"/>
    <n v="3344"/>
    <n v="0"/>
    <n v="0"/>
    <n v="3344"/>
    <n v="0"/>
    <n v="3344"/>
    <m/>
    <m/>
    <m/>
    <s v="Syed Waqas"/>
    <n v="550.78"/>
    <n v="489.5200000000001"/>
    <m/>
  </r>
  <r>
    <n v="772"/>
    <x v="160"/>
    <x v="593"/>
    <s v=" -"/>
    <s v=" MOTOR"/>
    <d v="2024-12-29T00:00:00"/>
    <d v="2023-10-04T00:00:00"/>
    <d v="2024-10-03T00:00:00"/>
    <s v=" 08809653"/>
    <s v="Mr. Muneeb Khalil Sheikh_x000a_CNIC: 3520248084143_x000a_Phone Number: 03244449440"/>
    <m/>
    <s v="SUZUKI Swift GLX CVT"/>
    <s v="Un-Reg"/>
    <s v="K12MR1016553"/>
    <s v="NF1SZC63S00116550"/>
    <s v="2023"/>
    <m/>
    <m/>
    <s v=" D"/>
    <s v="09000221-Muhammad Irfan"/>
    <n v="-1"/>
    <n v="-110165"/>
    <n v="-1102"/>
    <n v="0"/>
    <n v="0"/>
    <n v="-111267"/>
    <n v="0"/>
    <n v="0"/>
    <n v="-111267"/>
    <n v="0"/>
    <n v="-111267"/>
    <m/>
    <m/>
    <m/>
    <s v="Syed Waqas"/>
    <m/>
    <m/>
    <m/>
  </r>
  <r>
    <n v="773"/>
    <x v="161"/>
    <x v="594"/>
    <s v=" -"/>
    <s v=" MOTOR"/>
    <d v="2023-10-31T00:00:00"/>
    <d v="2023-10-04T00:00:00"/>
    <d v="2024-10-03T00:00:00"/>
    <s v=" 08813391"/>
    <s v="Mr. Muhammad Irfan_x000a_CNIC: 4230170953247_x000a_Phone Number: 03238227055"/>
    <m/>
    <s v="KIA SPORTAGE"/>
    <s v="BJ-5546"/>
    <s v="G4NAMH315418"/>
    <s v="NNAQL51AZKP512889"/>
    <s v="2021"/>
    <m/>
    <m/>
    <s v=" D"/>
    <s v="09000221-Muhammad Irfan"/>
    <n v="8000000"/>
    <n v="135964"/>
    <n v="1360"/>
    <n v="17676"/>
    <n v="0"/>
    <n v="155000"/>
    <n v="0"/>
    <n v="0"/>
    <n v="155000"/>
    <n v="0"/>
    <n v="155000"/>
    <m/>
    <m/>
    <m/>
    <s v="Syed Waqas"/>
    <m/>
    <m/>
    <m/>
  </r>
  <r>
    <n v="774"/>
    <x v="161"/>
    <x v="595"/>
    <s v=" -"/>
    <s v=" MOTOR"/>
    <d v="2024-08-07T00:00:00"/>
    <d v="2023-10-04T00:00:00"/>
    <d v="2024-10-03T00:00:00"/>
    <s v=" 08813391"/>
    <s v="Mr. Muhammad Irfan_x000a_CNIC: 4230170953247_x000a_Phone Number: 03238227055"/>
    <m/>
    <s v="KIA SPORTAGE"/>
    <s v="BJ-5546"/>
    <s v="G4NAMH315418"/>
    <s v="NNAQL51AZKP512889"/>
    <s v="2021"/>
    <m/>
    <m/>
    <s v=" D"/>
    <s v="09000221-Muhammad Irfan"/>
    <n v="8000000"/>
    <n v="2217"/>
    <n v="23"/>
    <n v="332"/>
    <n v="0"/>
    <n v="2572"/>
    <n v="0"/>
    <n v="0"/>
    <n v="2572"/>
    <n v="0"/>
    <n v="2572"/>
    <m/>
    <m/>
    <m/>
    <s v="Syed Waqas"/>
    <m/>
    <m/>
    <m/>
  </r>
  <r>
    <n v="775"/>
    <x v="161"/>
    <x v="596"/>
    <s v=" -"/>
    <s v=" MOTOR"/>
    <d v="2024-10-09T00:00:00"/>
    <d v="2023-10-04T00:00:00"/>
    <d v="2024-10-03T00:00:00"/>
    <s v=" 08813391"/>
    <s v="Mr. Muhammad Irfan_x000a_CNIC: 4230170953247_x000a_Phone Number: 03238227055"/>
    <m/>
    <s v="KIA SPORTAGE"/>
    <s v="BJ-5546"/>
    <s v="G4NAMH315418"/>
    <s v="NNAQL51AZKP512889"/>
    <s v="2021"/>
    <m/>
    <m/>
    <s v=" D"/>
    <s v="09000221-Muhammad Irfan"/>
    <n v="8000000"/>
    <n v="4407"/>
    <n v="44"/>
    <n v="661"/>
    <n v="0"/>
    <n v="5112"/>
    <n v="0"/>
    <n v="0"/>
    <n v="5112"/>
    <n v="0"/>
    <n v="5112"/>
    <m/>
    <m/>
    <m/>
    <s v="Syed Waqas"/>
    <m/>
    <m/>
    <m/>
  </r>
  <r>
    <n v="776"/>
    <x v="161"/>
    <x v="597"/>
    <s v=" -"/>
    <s v=" MOTOR"/>
    <d v="2024-10-31T00:00:00"/>
    <d v="2023-10-04T00:00:00"/>
    <d v="2024-10-03T00:00:00"/>
    <s v=" 08813391"/>
    <s v="Mr. Muhammad Irfan_x000a_CNIC: 4230170953247_x000a_Phone Number: 03238227055"/>
    <m/>
    <s v="KIA SPORTAGE"/>
    <s v="BJ-5546"/>
    <s v="G4NAMH315418"/>
    <s v="NNAQL51AZKP512889"/>
    <s v="2021"/>
    <m/>
    <m/>
    <s v=" D"/>
    <s v="09000221-Muhammad Irfan"/>
    <n v="-1"/>
    <n v="-161073"/>
    <n v="-1611"/>
    <n v="0"/>
    <n v="0"/>
    <n v="-162684"/>
    <n v="0"/>
    <n v="0"/>
    <n v="-162684"/>
    <n v="0"/>
    <n v="-162684"/>
    <m/>
    <m/>
    <m/>
    <s v="Syed Waqas"/>
    <m/>
    <m/>
    <m/>
  </r>
  <r>
    <n v="785"/>
    <x v="162"/>
    <x v="598"/>
    <s v=" -"/>
    <s v=" MOTOR"/>
    <d v="2023-10-31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35964"/>
    <n v="360"/>
    <n v="4676"/>
    <n v="0"/>
    <n v="41000"/>
    <n v="0"/>
    <n v="0"/>
    <n v="41000"/>
    <n v="0"/>
    <n v="41000"/>
    <m/>
    <m/>
    <m/>
    <s v="Syed Waqas"/>
    <m/>
    <m/>
    <m/>
  </r>
  <r>
    <n v="786"/>
    <x v="162"/>
    <x v="599"/>
    <s v=" -"/>
    <s v=" MOTOR"/>
    <d v="2024-03-05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3346"/>
    <n v="33"/>
    <n v="435"/>
    <n v="0"/>
    <n v="3814"/>
    <n v="0"/>
    <n v="0"/>
    <n v="3814"/>
    <n v="0"/>
    <n v="3814"/>
    <m/>
    <m/>
    <m/>
    <s v="Syed Waqas"/>
    <n v="2559.6499999999965"/>
    <n v="1209.22"/>
    <m/>
  </r>
  <r>
    <n v="787"/>
    <x v="162"/>
    <x v="600"/>
    <s v=" -"/>
    <s v=" MOTOR"/>
    <d v="2024-04-05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3446"/>
    <n v="35"/>
    <n v="448"/>
    <n v="0"/>
    <n v="3929"/>
    <n v="0"/>
    <n v="0"/>
    <n v="3929"/>
    <n v="0"/>
    <n v="3929"/>
    <m/>
    <m/>
    <m/>
    <s v="Syed Waqas"/>
    <n v="2155.4199999999942"/>
    <n v="1245.3500000000001"/>
    <m/>
  </r>
  <r>
    <n v="788"/>
    <x v="162"/>
    <x v="601"/>
    <s v=" -"/>
    <s v=" MOTOR"/>
    <d v="2024-05-13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2828"/>
    <n v="28"/>
    <n v="368"/>
    <n v="0"/>
    <n v="3224"/>
    <n v="0"/>
    <n v="0"/>
    <n v="3224"/>
    <n v="0"/>
    <n v="3224"/>
    <m/>
    <m/>
    <m/>
    <s v="Syed Waqas"/>
    <n v="1941.0700000000043"/>
    <n v="1021.8"/>
    <m/>
  </r>
  <r>
    <n v="789"/>
    <x v="162"/>
    <x v="602"/>
    <s v=" -"/>
    <s v=" MOTOR"/>
    <d v="2024-06-06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1683"/>
    <n v="17"/>
    <n v="219"/>
    <n v="0"/>
    <n v="1919"/>
    <n v="0"/>
    <n v="0"/>
    <n v="1919"/>
    <n v="0"/>
    <n v="1919"/>
    <m/>
    <m/>
    <m/>
    <s v="Syed Waqas"/>
    <n v="853.76"/>
    <n v="608.64"/>
    <m/>
  </r>
  <r>
    <n v="790"/>
    <x v="162"/>
    <x v="603"/>
    <s v=" -"/>
    <s v=" MOTOR"/>
    <d v="2024-07-05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1558"/>
    <n v="16"/>
    <n v="234"/>
    <n v="0"/>
    <n v="1808"/>
    <n v="0"/>
    <n v="0"/>
    <n v="1808"/>
    <n v="0"/>
    <n v="1808"/>
    <m/>
    <m/>
    <m/>
    <s v="Syed Waqas"/>
    <n v="606.93000000000006"/>
    <n v="573.49"/>
    <m/>
  </r>
  <r>
    <n v="791"/>
    <x v="162"/>
    <x v="604"/>
    <s v=" -"/>
    <s v=" MOTOR"/>
    <d v="2024-08-07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834"/>
    <n v="8"/>
    <n v="125"/>
    <n v="0"/>
    <n v="967"/>
    <n v="0"/>
    <n v="0"/>
    <n v="967"/>
    <n v="0"/>
    <n v="967"/>
    <m/>
    <m/>
    <m/>
    <s v="Syed Waqas"/>
    <n v="377.17999999999904"/>
    <n v="306.39000000000004"/>
    <m/>
  </r>
  <r>
    <n v="792"/>
    <x v="162"/>
    <x v="605"/>
    <s v=" -"/>
    <s v=" MOTOR"/>
    <d v="2024-09-06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819"/>
    <n v="8"/>
    <n v="123"/>
    <n v="0"/>
    <n v="950"/>
    <n v="0"/>
    <n v="0"/>
    <n v="950"/>
    <n v="0"/>
    <n v="950"/>
    <m/>
    <m/>
    <m/>
    <s v="Syed Waqas"/>
    <n v="313.05"/>
    <n v="300.82000000000005"/>
    <m/>
  </r>
  <r>
    <n v="793"/>
    <x v="162"/>
    <x v="606"/>
    <s v=" -"/>
    <s v=" MOTOR"/>
    <d v="2024-10-09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2300000"/>
    <n v="1362"/>
    <n v="14"/>
    <n v="204"/>
    <n v="0"/>
    <n v="1580"/>
    <n v="0"/>
    <n v="0"/>
    <n v="1580"/>
    <n v="0"/>
    <n v="1580"/>
    <m/>
    <m/>
    <m/>
    <s v="Syed Waqas"/>
    <n v="537.35000000000105"/>
    <n v="500.79"/>
    <m/>
  </r>
  <r>
    <n v="794"/>
    <x v="162"/>
    <x v="607"/>
    <s v=" -"/>
    <s v=" MOTOR"/>
    <d v="2024-10-31T00:00:00"/>
    <d v="2023-10-05T00:00:00"/>
    <d v="2024-10-04T00:00:00"/>
    <s v=" 08811349"/>
    <s v="Mr. Zeeshan Ali Khan_x000a_CNIC: 42201-7812645-3_x000a_Cell: 03009220203"/>
    <m/>
    <s v="SUZUKI ALTO VXR"/>
    <s v="BUT-492"/>
    <s v="65159298"/>
    <s v="NF1AET306H1059316"/>
    <s v="2021"/>
    <m/>
    <m/>
    <s v=" D"/>
    <s v="09000221-Muhammad Irfan"/>
    <n v="-1"/>
    <n v="-58605"/>
    <n v="-586"/>
    <n v="0"/>
    <n v="0"/>
    <n v="-59191"/>
    <n v="0"/>
    <n v="0"/>
    <n v="-59191"/>
    <n v="0"/>
    <n v="-59191"/>
    <m/>
    <m/>
    <m/>
    <s v="Syed Waqas"/>
    <m/>
    <m/>
    <m/>
  </r>
  <r>
    <n v="795"/>
    <x v="163"/>
    <x v="608"/>
    <s v=" -"/>
    <s v=" MOTOR"/>
    <d v="2023-10-31T00:00:00"/>
    <d v="2023-10-06T00:00:00"/>
    <d v="2024-10-05T00:00:00"/>
    <s v=" 08813391"/>
    <s v="Mr. Muhammad Irfan_x000a_Cell No. 03238227055_x000a_CNIC No. 42301-7095324-7"/>
    <m/>
    <s v="TOYOTA FORTUNER"/>
    <s v="BK-7237"/>
    <s v="1GD5217598"/>
    <s v="GUN156R-1100925"/>
    <s v="2022"/>
    <m/>
    <m/>
    <s v=" D"/>
    <s v="09000221-Muhammad Irfan"/>
    <n v="22500000"/>
    <n v="390350"/>
    <n v="3904"/>
    <n v="50746"/>
    <n v="0"/>
    <n v="445000"/>
    <n v="0"/>
    <n v="0"/>
    <n v="445000"/>
    <n v="0"/>
    <n v="445000"/>
    <m/>
    <m/>
    <m/>
    <s v="Syed Waqas"/>
    <m/>
    <m/>
    <m/>
  </r>
  <r>
    <n v="796"/>
    <x v="163"/>
    <x v="609"/>
    <s v=" -"/>
    <s v=" MOTOR"/>
    <d v="2024-06-06T00:00:00"/>
    <d v="2023-10-06T00:00:00"/>
    <d v="2024-10-05T00:00:00"/>
    <s v=" 08813391"/>
    <s v="Mr. Muhammad Irfan_x000a_Cell No. 03238227055_x000a_CNIC No. 42301-7095324-7"/>
    <m/>
    <s v="TOYOTA FORTUNER"/>
    <s v="BK-7237"/>
    <s v="1GD5217598"/>
    <s v="GUN156R-1100925"/>
    <s v="2022"/>
    <m/>
    <m/>
    <s v=" D"/>
    <s v="09000221-Muhammad Irfan"/>
    <n v="22500000"/>
    <n v="3094"/>
    <n v="31"/>
    <n v="403"/>
    <n v="0"/>
    <n v="3528"/>
    <n v="0"/>
    <n v="0"/>
    <n v="3528"/>
    <n v="0"/>
    <n v="3528"/>
    <m/>
    <m/>
    <m/>
    <s v="Syed Waqas"/>
    <n v="119.15"/>
    <n v="114.44999999999999"/>
    <m/>
  </r>
  <r>
    <n v="797"/>
    <x v="163"/>
    <x v="610"/>
    <s v=" -"/>
    <s v=" MOTOR"/>
    <d v="2024-07-09T00:00:00"/>
    <d v="2023-10-06T00:00:00"/>
    <d v="2024-10-05T00:00:00"/>
    <s v=" 08813391"/>
    <s v="Mr. Muhammad Irfan_x000a_Cell No. 03238227055_x000a_CNIC No. 42301-7095324-7"/>
    <m/>
    <s v="TOYOTA FORTUNER"/>
    <s v="BK-7237"/>
    <s v="1GD5217598"/>
    <s v="GUN156R-1100925"/>
    <s v="2022"/>
    <m/>
    <m/>
    <s v=" D"/>
    <s v="09000221-Muhammad Irfan"/>
    <n v="22500000"/>
    <n v="3383"/>
    <n v="34"/>
    <n v="507"/>
    <n v="0"/>
    <n v="3924"/>
    <n v="0"/>
    <n v="0"/>
    <n v="3924"/>
    <n v="0"/>
    <n v="3924"/>
    <m/>
    <m/>
    <m/>
    <s v="Syed Waqas"/>
    <n v="127.31"/>
    <n v="127.31"/>
    <m/>
  </r>
  <r>
    <n v="798"/>
    <x v="163"/>
    <x v="611"/>
    <s v=" -"/>
    <s v=" MOTOR"/>
    <d v="2024-08-08T00:00:00"/>
    <d v="2023-10-06T00:00:00"/>
    <d v="2024-10-05T00:00:00"/>
    <s v=" 08813391"/>
    <s v="Mr. Muhammad Irfan_x000a_Cell No. 03238227055_x000a_CNIC No. 42301-7095324-7"/>
    <m/>
    <s v="TOYOTA FORTUNER"/>
    <s v="BK-7237"/>
    <s v="1GD5217598"/>
    <s v="GUN156R-1100925"/>
    <s v="2022"/>
    <m/>
    <m/>
    <s v=" D"/>
    <s v="09000221-Muhammad Irfan"/>
    <n v="22500000"/>
    <n v="2232"/>
    <n v="22"/>
    <n v="335"/>
    <n v="0"/>
    <n v="2589"/>
    <n v="0"/>
    <n v="0"/>
    <n v="2589"/>
    <n v="0"/>
    <n v="2589"/>
    <m/>
    <m/>
    <m/>
    <s v="Syed Waqas"/>
    <n v="84"/>
    <n v="84"/>
    <m/>
  </r>
  <r>
    <n v="799"/>
    <x v="163"/>
    <x v="612"/>
    <s v=" -"/>
    <s v=" MOTOR"/>
    <d v="2024-09-07T00:00:00"/>
    <d v="2023-10-06T00:00:00"/>
    <d v="2024-10-05T00:00:00"/>
    <s v=" 08813391"/>
    <s v="Mr. Muhammad Irfan_x000a_Cell No. 03238227055_x000a_CNIC No. 42301-7095324-7"/>
    <m/>
    <s v="TOYOTA FORTUNER"/>
    <s v="BK-7237"/>
    <s v="1GD5217598"/>
    <s v="GUN156R-1100925"/>
    <s v="2022"/>
    <m/>
    <m/>
    <s v=" D"/>
    <s v="09000221-Muhammad Irfan"/>
    <n v="22500000"/>
    <n v="3737"/>
    <n v="37"/>
    <n v="560"/>
    <n v="0"/>
    <n v="4334"/>
    <n v="0"/>
    <n v="0"/>
    <n v="4334"/>
    <n v="0"/>
    <n v="4334"/>
    <m/>
    <m/>
    <m/>
    <s v="Syed Waqas"/>
    <n v="140.64000000000001"/>
    <n v="140.64000000000001"/>
    <m/>
  </r>
  <r>
    <n v="800"/>
    <x v="163"/>
    <x v="613"/>
    <s v=" -"/>
    <s v=" MOTOR"/>
    <d v="2024-10-09T00:00:00"/>
    <d v="2023-10-06T00:00:00"/>
    <d v="2024-10-05T00:00:00"/>
    <s v=" 08813391"/>
    <s v="Mr. Muhammad Irfan_x000a_Cell No. 03238227055_x000a_CNIC No. 42301-7095324-7"/>
    <m/>
    <s v="TOYOTA FORTUNER"/>
    <s v="BK-7237"/>
    <s v="1GD5217598"/>
    <s v="GUN156R-1100925"/>
    <s v="2022"/>
    <m/>
    <m/>
    <s v=" D"/>
    <s v="09000221-Muhammad Irfan"/>
    <n v="22500000"/>
    <n v="4209"/>
    <n v="42"/>
    <n v="631"/>
    <n v="0"/>
    <n v="4882"/>
    <n v="0"/>
    <n v="0"/>
    <n v="4882"/>
    <n v="0"/>
    <n v="4882"/>
    <m/>
    <m/>
    <m/>
    <s v="Syed Waqas"/>
    <n v="158.37"/>
    <n v="158.37"/>
    <m/>
  </r>
  <r>
    <n v="801"/>
    <x v="163"/>
    <x v="614"/>
    <s v=" -"/>
    <s v=" MOTOR"/>
    <d v="2024-12-29T00:00:00"/>
    <d v="2023-10-06T00:00:00"/>
    <d v="2024-10-05T00:00:00"/>
    <s v=" 08813391"/>
    <s v="Mr. Muhammad Irfan_x000a_Cell No. 03238227055_x000a_CNIC No. 42301-7095324-7"/>
    <m/>
    <s v="TOYOTA FORTUNER"/>
    <s v="BK-7237"/>
    <s v="1GD5217598"/>
    <s v="GUN156R-1100925"/>
    <s v="2022"/>
    <m/>
    <m/>
    <s v=" D"/>
    <s v="09000221-Muhammad Irfan"/>
    <n v="-1"/>
    <n v="-459660"/>
    <n v="-4597"/>
    <n v="0"/>
    <n v="0"/>
    <n v="-464257"/>
    <n v="0"/>
    <n v="0"/>
    <n v="-464257"/>
    <n v="0"/>
    <n v="-464257"/>
    <m/>
    <m/>
    <m/>
    <s v="Syed Waqas"/>
    <m/>
    <m/>
    <m/>
  </r>
  <r>
    <n v="805"/>
    <x v="164"/>
    <x v="24"/>
    <s v=" -"/>
    <s v=" MOTOR"/>
    <d v="2023-10-09T00:00:00"/>
    <d v="2023-10-07T00:00:00"/>
    <d v="2024-10-06T00:00:00"/>
    <s v=" 08807783"/>
    <s v="Mr. Khan Jalal Azar_x000a_CNIC# 42101-2984919-7_x000a_CELL# +92 332 3026774"/>
    <m/>
    <s v="SUZUKI CULTUS VXL"/>
    <s v="BKB-129"/>
    <s v="PK10K103978"/>
    <s v="NF1AVK31H10003967"/>
    <s v="2017"/>
    <m/>
    <m/>
    <s v=" D"/>
    <s v="09000221-Muhammad Irfan"/>
    <n v="2500000"/>
    <n v="4343"/>
    <n v="43"/>
    <n v="564"/>
    <n v="50"/>
    <n v="5000"/>
    <n v="5099"/>
    <n v="0"/>
    <n v="-99"/>
    <n v="0"/>
    <n v="-99"/>
    <m/>
    <m/>
    <m/>
    <s v="Sarim Raza"/>
    <m/>
    <m/>
    <s v="Jalal_32@hotmail.com"/>
  </r>
  <r>
    <n v="806"/>
    <x v="164"/>
    <x v="615"/>
    <s v=" -"/>
    <s v=" MOTOR"/>
    <d v="2024-10-09T00:00:00"/>
    <d v="2023-10-07T00:00:00"/>
    <d v="2024-10-06T00:00:00"/>
    <s v=" 08807783"/>
    <s v="Mr. Khan Jalal Azar_x000a_CNIC# 42101-2984919-7_x000a_CELL# +92 332 3026774"/>
    <m/>
    <s v="SUZUKI CULTUS VXL"/>
    <s v="BKB-129"/>
    <s v="PK10K103978"/>
    <s v="NF1AVK31H10003967"/>
    <s v="2017"/>
    <m/>
    <m/>
    <s v=" D"/>
    <s v="09000221-Muhammad Irfan"/>
    <n v="2500000"/>
    <n v="85"/>
    <n v="1"/>
    <n v="13"/>
    <n v="0"/>
    <n v="99"/>
    <n v="0"/>
    <n v="0"/>
    <n v="99"/>
    <n v="0"/>
    <n v="99"/>
    <m/>
    <m/>
    <m/>
    <s v="Sarim Raza"/>
    <n v="29.009999999999987"/>
    <n v="29.009999999999987"/>
    <m/>
  </r>
  <r>
    <n v="807"/>
    <x v="165"/>
    <x v="616"/>
    <s v=" -"/>
    <s v=" MOTOR"/>
    <d v="2023-10-31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41227"/>
    <n v="413"/>
    <n v="5360"/>
    <n v="0"/>
    <n v="47000"/>
    <n v="0"/>
    <n v="0"/>
    <n v="47000"/>
    <n v="0"/>
    <n v="47000"/>
    <m/>
    <m/>
    <m/>
    <s v="AFSHEEN ISMAIL"/>
    <m/>
    <m/>
    <s v="qaseem.alvi@gmail.com"/>
  </r>
  <r>
    <n v="808"/>
    <x v="165"/>
    <x v="617"/>
    <s v=" -"/>
    <s v=" MOTOR"/>
    <d v="2024-03-06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3495"/>
    <n v="34"/>
    <n v="454"/>
    <n v="0"/>
    <n v="3983"/>
    <n v="0"/>
    <n v="0"/>
    <n v="3983"/>
    <n v="0"/>
    <n v="3983"/>
    <m/>
    <m/>
    <m/>
    <s v="AFSHEEN ISMAIL"/>
    <n v="2435.2000000000153"/>
    <n v="1119.93"/>
    <m/>
  </r>
  <r>
    <n v="809"/>
    <x v="165"/>
    <x v="618"/>
    <s v=" -"/>
    <s v=" MOTOR"/>
    <d v="2024-04-08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3453"/>
    <n v="35"/>
    <n v="449"/>
    <n v="0"/>
    <n v="3937"/>
    <n v="0"/>
    <n v="0"/>
    <n v="3937"/>
    <n v="0"/>
    <n v="3937"/>
    <m/>
    <m/>
    <m/>
    <s v="AFSHEEN ISMAIL"/>
    <n v="2054.2000000000262"/>
    <n v="1106.92"/>
    <m/>
  </r>
  <r>
    <n v="810"/>
    <x v="165"/>
    <x v="619"/>
    <s v=" -"/>
    <s v=" MOTOR"/>
    <d v="2024-05-13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2893"/>
    <n v="29"/>
    <n v="376"/>
    <n v="0"/>
    <n v="3298"/>
    <n v="0"/>
    <n v="0"/>
    <n v="3298"/>
    <n v="0"/>
    <n v="3298"/>
    <m/>
    <m/>
    <m/>
    <s v="AFSHEEN ISMAIL"/>
    <n v="2168.210000000026"/>
    <n v="926.26"/>
    <m/>
  </r>
  <r>
    <n v="811"/>
    <x v="165"/>
    <x v="620"/>
    <s v=" -"/>
    <s v=" MOTOR"/>
    <d v="2024-06-06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3151"/>
    <n v="31"/>
    <n v="410"/>
    <n v="0"/>
    <n v="3592"/>
    <n v="0"/>
    <n v="0"/>
    <n v="3592"/>
    <n v="0"/>
    <n v="3592"/>
    <m/>
    <m/>
    <m/>
    <s v="AFSHEEN ISMAIL"/>
    <n v="2195.9900000000171"/>
    <n v="1008.6500000000001"/>
    <m/>
  </r>
  <r>
    <n v="812"/>
    <x v="165"/>
    <x v="621"/>
    <s v=" -"/>
    <s v=" MOTOR"/>
    <d v="2024-07-09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2810"/>
    <n v="28"/>
    <n v="421"/>
    <n v="0"/>
    <n v="3259"/>
    <n v="0"/>
    <n v="0"/>
    <n v="3259"/>
    <n v="0"/>
    <n v="3259"/>
    <m/>
    <m/>
    <m/>
    <s v="AFSHEEN ISMAIL"/>
    <n v="1676.8200000000193"/>
    <n v="915.99"/>
    <m/>
  </r>
  <r>
    <n v="813"/>
    <x v="165"/>
    <x v="622"/>
    <s v=" -"/>
    <s v=" MOTOR"/>
    <d v="2024-08-08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3450"/>
    <n v="35"/>
    <n v="518"/>
    <n v="0"/>
    <n v="4003"/>
    <n v="0"/>
    <n v="0"/>
    <n v="4003"/>
    <n v="0"/>
    <n v="4003"/>
    <m/>
    <m/>
    <m/>
    <s v="AFSHEEN ISMAIL"/>
    <n v="2632.3400000000374"/>
    <n v="1124.8700000000001"/>
    <m/>
  </r>
  <r>
    <n v="814"/>
    <x v="165"/>
    <x v="623"/>
    <s v=" -"/>
    <s v=" MOTOR"/>
    <d v="2024-09-07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2817"/>
    <n v="28"/>
    <n v="423"/>
    <n v="0"/>
    <n v="3268"/>
    <n v="0"/>
    <n v="0"/>
    <n v="3268"/>
    <n v="0"/>
    <n v="3268"/>
    <m/>
    <m/>
    <m/>
    <s v="AFSHEEN ISMAIL"/>
    <n v="1413.9500000000041"/>
    <n v="918.07"/>
    <m/>
  </r>
  <r>
    <n v="815"/>
    <x v="165"/>
    <x v="624"/>
    <s v=" -"/>
    <s v=" MOTOR"/>
    <d v="2024-10-09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2600000"/>
    <n v="1842"/>
    <n v="18"/>
    <n v="276"/>
    <n v="0"/>
    <n v="2136"/>
    <n v="0"/>
    <n v="0"/>
    <n v="2136"/>
    <n v="0"/>
    <n v="2136"/>
    <m/>
    <m/>
    <m/>
    <s v="AFSHEEN ISMAIL"/>
    <n v="674.84000000000106"/>
    <n v="600.01"/>
    <m/>
  </r>
  <r>
    <n v="816"/>
    <x v="165"/>
    <x v="625"/>
    <s v=" -"/>
    <s v=" MOTOR"/>
    <d v="2024-12-29T00:00:00"/>
    <d v="2023-10-06T00:00:00"/>
    <d v="2024-10-05T00:00:00"/>
    <s v=" 08813438"/>
    <s v="Mr. Muhammad Qaseem Raza _x000a_CNIC: 37406-0951770-9_x000a_Cell:  03136801772"/>
    <m/>
    <s v="SUZUKI CIAZ"/>
    <s v="AKC-762"/>
    <s v="K14BS139844"/>
    <s v="MMSCVC41S00101321"/>
    <s v="2018"/>
    <m/>
    <m/>
    <s v=" D"/>
    <s v="09000221-Muhammad Irfan"/>
    <n v="-1"/>
    <n v="-73739"/>
    <n v="-737"/>
    <n v="0"/>
    <n v="0"/>
    <n v="-74476"/>
    <n v="0"/>
    <n v="0"/>
    <n v="-74476"/>
    <n v="0"/>
    <n v="-74476"/>
    <m/>
    <m/>
    <m/>
    <s v="AFSHEEN ISMAIL"/>
    <m/>
    <m/>
    <m/>
  </r>
  <r>
    <n v="817"/>
    <x v="166"/>
    <x v="626"/>
    <s v=" -"/>
    <s v=" MOTOR"/>
    <d v="2023-10-31T00:00:00"/>
    <d v="2023-10-05T00:00:00"/>
    <d v="2024-10-04T00:00:00"/>
    <s v=" 08813439"/>
    <s v="Mr. Muhammad Shahmeer Iftikhar  _x000a_CNIC: 4220155945385_x000a_Cell: 03182123310"/>
    <m/>
    <s v="SUZUKI CULTUS"/>
    <s v="BMZ-441"/>
    <s v="PK10K125342"/>
    <s v="NF1AVK31H10025311"/>
    <s v="2018"/>
    <m/>
    <m/>
    <s v=" D"/>
    <s v="09000221-Muhammad Irfan"/>
    <n v="2000000"/>
    <n v="30701"/>
    <n v="307"/>
    <n v="3992"/>
    <n v="0"/>
    <n v="35000"/>
    <n v="0"/>
    <n v="0"/>
    <n v="35000"/>
    <n v="0"/>
    <n v="35000"/>
    <m/>
    <m/>
    <m/>
    <s v="AFSHEEN ISMAIL"/>
    <m/>
    <m/>
    <m/>
  </r>
  <r>
    <n v="818"/>
    <x v="166"/>
    <x v="627"/>
    <s v=" -"/>
    <s v=" MOTOR"/>
    <d v="2024-03-05T00:00:00"/>
    <d v="2023-10-05T00:00:00"/>
    <d v="2024-10-04T00:00:00"/>
    <s v=" 08813439"/>
    <s v="Mr. Muhammad Shahmeer Iftikhar  _x000a_CNIC: 4220155945385_x000a_Cell: 03182123310"/>
    <m/>
    <s v="SUZUKI CULTUS"/>
    <s v="BMZ-441"/>
    <s v="PK10K125342"/>
    <s v="NF1AVK31H10025311"/>
    <s v="2018"/>
    <m/>
    <m/>
    <s v=" D"/>
    <s v="09000221-Muhammad Irfan"/>
    <n v="2000000"/>
    <n v="1269"/>
    <n v="12"/>
    <n v="164"/>
    <n v="0"/>
    <n v="1445"/>
    <n v="0"/>
    <n v="0"/>
    <n v="1445"/>
    <n v="0"/>
    <n v="1445"/>
    <m/>
    <m/>
    <m/>
    <s v="AFSHEEN ISMAIL"/>
    <n v="538.51"/>
    <n v="527.78"/>
    <m/>
  </r>
  <r>
    <n v="819"/>
    <x v="166"/>
    <x v="628"/>
    <s v=" -"/>
    <s v=" MOTOR"/>
    <d v="2024-04-16T00:00:00"/>
    <d v="2023-10-05T00:00:00"/>
    <d v="2024-10-04T00:00:00"/>
    <s v=" 08813439"/>
    <s v="Mr. Muhammad Shahmeer Iftikhar  _x000a_CNIC: 4220155945385_x000a_Cell: 03182123310"/>
    <m/>
    <s v="SUZUKI CULTUS"/>
    <s v="BMZ-441"/>
    <s v="PK10K125342"/>
    <s v="NF1AVK31H10025311"/>
    <s v="2018"/>
    <m/>
    <m/>
    <s v=" D"/>
    <s v="09000221-Muhammad Irfan"/>
    <n v="2000000"/>
    <n v="-1918"/>
    <n v="-19"/>
    <n v="0"/>
    <n v="0"/>
    <n v="-1937"/>
    <n v="0"/>
    <n v="0"/>
    <n v="-1937"/>
    <n v="0"/>
    <n v="-1937"/>
    <m/>
    <m/>
    <m/>
    <s v="AFSHEEN ISMAIL"/>
    <m/>
    <m/>
    <m/>
  </r>
  <r>
    <n v="820"/>
    <x v="166"/>
    <x v="629"/>
    <s v=" -"/>
    <s v=" MOTOR"/>
    <d v="2024-10-31T00:00:00"/>
    <d v="2023-10-05T00:00:00"/>
    <d v="2024-10-04T00:00:00"/>
    <s v=" 08813439"/>
    <s v="Mr. Muhammad Shahmeer Iftikhar  _x000a_CNIC: 4220155945385_x000a_Cell: 03182123310"/>
    <m/>
    <s v="SUZUKI CULTUS"/>
    <s v="BMZ-441"/>
    <s v="PK10K125342"/>
    <s v="NF1AVK31H10025311"/>
    <s v="2018"/>
    <m/>
    <m/>
    <s v=" D"/>
    <s v="09000221-Muhammad Irfan"/>
    <n v="-1"/>
    <n v="-34166"/>
    <n v="-342"/>
    <n v="0"/>
    <n v="0"/>
    <n v="-34508"/>
    <n v="0"/>
    <n v="0"/>
    <n v="-34508"/>
    <n v="0"/>
    <n v="-34508"/>
    <m/>
    <m/>
    <m/>
    <s v="AFSHEEN ISMAIL"/>
    <m/>
    <m/>
    <m/>
  </r>
  <r>
    <n v="821"/>
    <x v="167"/>
    <x v="630"/>
    <s v=" -"/>
    <s v=" MOTOR"/>
    <d v="2023-10-31T00:00:00"/>
    <d v="2023-10-06T00:00:00"/>
    <d v="2024-10-05T00:00:00"/>
    <s v=" 08813464"/>
    <s v="Muddasir Ali Jokhio_x000a_CNIC: 4130608283093_x000a_Cell No. 03333888456"/>
    <m/>
    <s v="TOYOTA FORTUNER"/>
    <s v="BG-7794"/>
    <s v="1GD0434603"/>
    <s v="GUN156R-1090426"/>
    <s v="2018"/>
    <m/>
    <m/>
    <s v=" D"/>
    <s v="09000221-Muhammad Irfan"/>
    <n v="11000000"/>
    <n v="188596"/>
    <n v="1886"/>
    <n v="24518"/>
    <n v="0"/>
    <n v="215000"/>
    <n v="0"/>
    <n v="0"/>
    <n v="215000"/>
    <n v="0"/>
    <n v="215000"/>
    <m/>
    <m/>
    <m/>
    <s v="Syed Waqas"/>
    <m/>
    <m/>
    <m/>
  </r>
  <r>
    <n v="822"/>
    <x v="167"/>
    <x v="631"/>
    <s v=" -"/>
    <s v=" MOTOR"/>
    <d v="2024-03-06T00:00:00"/>
    <d v="2023-10-06T00:00:00"/>
    <d v="2024-10-05T00:00:00"/>
    <s v=" 08813464"/>
    <s v="Muddasir Ali Jokhio_x000a_CNIC: 4130608283093_x000a_Cell No. 03333888456"/>
    <m/>
    <s v="TOYOTA FORTUNER"/>
    <s v="BG-7794"/>
    <s v="1GD0434603"/>
    <s v="GUN156R-1090426"/>
    <s v="2018"/>
    <m/>
    <m/>
    <s v=" D"/>
    <s v="09000221-Muhammad Irfan"/>
    <n v="11000000"/>
    <n v="16924"/>
    <n v="169"/>
    <n v="2200"/>
    <n v="0"/>
    <n v="19293"/>
    <n v="0"/>
    <n v="0"/>
    <n v="19293"/>
    <n v="0"/>
    <n v="19293"/>
    <m/>
    <m/>
    <m/>
    <s v="Syed Waqas"/>
    <n v="5669.4200000001874"/>
    <n v="1280.53"/>
    <m/>
  </r>
  <r>
    <n v="823"/>
    <x v="167"/>
    <x v="632"/>
    <s v=" -"/>
    <s v=" MOTOR"/>
    <d v="2024-04-08T00:00:00"/>
    <d v="2023-10-06T00:00:00"/>
    <d v="2024-10-05T00:00:00"/>
    <s v=" 08813464"/>
    <s v="Muddasir Ali Jokhio_x000a_CNIC: 4130608283093_x000a_Cell No. 03333888456"/>
    <m/>
    <s v="TOYOTA FORTUNER"/>
    <s v="BG-7794"/>
    <s v="1GD0434603"/>
    <s v="GUN156R-1090426"/>
    <s v="2018"/>
    <m/>
    <m/>
    <s v=" D"/>
    <s v="09000221-Muhammad Irfan"/>
    <n v="11000000"/>
    <n v="15683"/>
    <n v="157"/>
    <n v="2038"/>
    <n v="0"/>
    <n v="17878"/>
    <n v="0"/>
    <n v="0"/>
    <n v="17878"/>
    <n v="0"/>
    <n v="17878"/>
    <m/>
    <m/>
    <m/>
    <s v="Syed Waqas"/>
    <n v="3114.6500000000483"/>
    <n v="1186.56"/>
    <m/>
  </r>
  <r>
    <n v="824"/>
    <x v="167"/>
    <x v="633"/>
    <s v=" -"/>
    <s v=" MOTOR"/>
    <d v="2024-12-29T00:00:00"/>
    <d v="2023-10-06T00:00:00"/>
    <d v="2024-10-05T00:00:00"/>
    <s v=" 08813464"/>
    <s v="Muddasir Ali Jokhio_x000a_CNIC: 4130608283093_x000a_Cell No. 03333888456"/>
    <m/>
    <s v="TOYOTA FORTUNER"/>
    <s v="BG-7794"/>
    <s v="1GD0434603"/>
    <s v="GUN156R-1090426"/>
    <s v="2018"/>
    <m/>
    <m/>
    <s v=" D"/>
    <s v="09000221-Muhammad Irfan"/>
    <n v="-1"/>
    <n v="-249674"/>
    <n v="-2497"/>
    <n v="0"/>
    <n v="0"/>
    <n v="-252171"/>
    <n v="0"/>
    <n v="0"/>
    <n v="-252171"/>
    <n v="0"/>
    <n v="-252171"/>
    <m/>
    <m/>
    <m/>
    <s v="Syed Waqas"/>
    <m/>
    <m/>
    <m/>
  </r>
  <r>
    <n v="825"/>
    <x v="168"/>
    <x v="634"/>
    <s v=" -"/>
    <s v=" MOTOR"/>
    <d v="2023-10-27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5000000"/>
    <n v="2056"/>
    <n v="21"/>
    <n v="268"/>
    <n v="0"/>
    <n v="2345"/>
    <n v="0"/>
    <n v="0"/>
    <n v="2345"/>
    <n v="0"/>
    <n v="2345"/>
    <m/>
    <m/>
    <m/>
    <s v="ASIF AZEEM"/>
    <n v="575.71"/>
    <n v="405.57"/>
    <m/>
  </r>
  <r>
    <n v="826"/>
    <x v="168"/>
    <x v="635"/>
    <s v=" -"/>
    <s v=" MOTOR"/>
    <d v="2023-10-31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5000000"/>
    <n v="81276"/>
    <n v="813"/>
    <n v="10566"/>
    <n v="0"/>
    <n v="92655"/>
    <n v="0"/>
    <n v="0"/>
    <n v="92655"/>
    <n v="0"/>
    <n v="92655"/>
    <m/>
    <m/>
    <m/>
    <s v="ASIF AZEEM"/>
    <m/>
    <m/>
    <m/>
  </r>
  <r>
    <n v="827"/>
    <x v="168"/>
    <x v="636"/>
    <s v=" -"/>
    <s v=" MOTOR"/>
    <d v="2023-11-28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5000000"/>
    <n v="4352"/>
    <n v="43"/>
    <n v="566"/>
    <n v="0"/>
    <n v="4961"/>
    <n v="0"/>
    <n v="0"/>
    <n v="4961"/>
    <n v="0"/>
    <n v="4961"/>
    <m/>
    <m/>
    <m/>
    <s v="ASIF AZEEM"/>
    <n v="1056.02"/>
    <n v="858.05"/>
    <m/>
  </r>
  <r>
    <n v="828"/>
    <x v="168"/>
    <x v="637"/>
    <s v=" -"/>
    <s v=" MOTOR"/>
    <d v="2023-12-27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5000000"/>
    <n v="4174"/>
    <n v="42"/>
    <n v="542"/>
    <n v="0"/>
    <n v="4758"/>
    <n v="0"/>
    <n v="0"/>
    <n v="4758"/>
    <n v="0"/>
    <n v="4758"/>
    <m/>
    <m/>
    <m/>
    <s v="ASIF AZEEM"/>
    <n v="1204.8899999999992"/>
    <n v="822.8"/>
    <m/>
  </r>
  <r>
    <n v="829"/>
    <x v="168"/>
    <x v="638"/>
    <s v=" -"/>
    <s v=" MOTOR"/>
    <d v="2024-01-26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5000000"/>
    <n v="5607"/>
    <n v="56"/>
    <n v="729"/>
    <n v="0"/>
    <n v="6392"/>
    <n v="0"/>
    <n v="0"/>
    <n v="6392"/>
    <n v="0"/>
    <n v="6392"/>
    <m/>
    <m/>
    <m/>
    <s v="ASIF AZEEM"/>
    <n v="1415.5099999999991"/>
    <n v="1105.6600000000001"/>
    <m/>
  </r>
  <r>
    <n v="830"/>
    <x v="168"/>
    <x v="639"/>
    <s v=" -"/>
    <s v=" MOTOR"/>
    <d v="2024-02-27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5000000"/>
    <n v="4889"/>
    <n v="49"/>
    <n v="636"/>
    <n v="0"/>
    <n v="5574"/>
    <n v="0"/>
    <n v="0"/>
    <n v="5574"/>
    <n v="0"/>
    <n v="5574"/>
    <m/>
    <m/>
    <m/>
    <s v="ASIF AZEEM"/>
    <n v="1479.26"/>
    <n v="964.4"/>
    <m/>
  </r>
  <r>
    <n v="831"/>
    <x v="168"/>
    <x v="640"/>
    <s v=" -"/>
    <s v=" MOTOR"/>
    <d v="2024-03-26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5000000"/>
    <n v="3857"/>
    <n v="39"/>
    <n v="501"/>
    <n v="0"/>
    <n v="4397"/>
    <n v="0"/>
    <n v="0"/>
    <n v="4397"/>
    <n v="0"/>
    <n v="4397"/>
    <m/>
    <m/>
    <m/>
    <s v="ASIF AZEEM"/>
    <n v="1022.079999999999"/>
    <n v="760.68"/>
    <m/>
  </r>
  <r>
    <n v="832"/>
    <x v="168"/>
    <x v="641"/>
    <s v=" -"/>
    <s v=" MOTOR"/>
    <d v="2024-04-27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5000000"/>
    <n v="395"/>
    <n v="3"/>
    <n v="51"/>
    <n v="0"/>
    <n v="449"/>
    <n v="0"/>
    <n v="0"/>
    <n v="449"/>
    <n v="0"/>
    <n v="449"/>
    <m/>
    <m/>
    <m/>
    <s v="ASIF AZEEM"/>
    <n v="80.17"/>
    <n v="77.64"/>
    <m/>
  </r>
  <r>
    <n v="833"/>
    <x v="168"/>
    <x v="642"/>
    <s v=" -"/>
    <s v=" MOTOR"/>
    <d v="2024-10-31T00:00:00"/>
    <d v="2023-09-26T00:00:00"/>
    <d v="2024-09-25T00:00:00"/>
    <s v=" 08811021"/>
    <s v="Mr. Adeeb Ahmed Khan Afridi_x000a_CNIC: 4220107633141_x000a_Phone Number: 0333-2200000"/>
    <m/>
    <s v="TOYOTA COROLLA ALTIS 1.6"/>
    <s v="BYB-101"/>
    <s v="Q072351"/>
    <s v="ZRE171R-6049818"/>
    <s v="2021"/>
    <m/>
    <m/>
    <s v=" D"/>
    <s v="09000355-Asif Azeem"/>
    <n v="-1"/>
    <n v="-120328"/>
    <n v="-1203"/>
    <n v="0"/>
    <n v="0"/>
    <n v="-121531"/>
    <n v="0"/>
    <n v="0"/>
    <n v="-121531"/>
    <n v="0"/>
    <n v="-121531"/>
    <m/>
    <m/>
    <m/>
    <s v="ASIF AZEEM"/>
    <m/>
    <m/>
    <m/>
  </r>
  <r>
    <n v="848"/>
    <x v="169"/>
    <x v="24"/>
    <s v=" -"/>
    <s v=" MOTOR"/>
    <d v="2023-10-13T00:00:00"/>
    <d v="2023-10-12T00:00:00"/>
    <d v="2024-10-11T00:00:00"/>
    <s v=" 08813042"/>
    <s v="Mr. Khawar Afridi _x000a_CNIC No. 42201-4443374-7_x000a_Cell No. 0332-2231699"/>
    <m/>
    <s v="DAIHATSU MIRA"/>
    <s v="BTB-101"/>
    <s v="KF-H707028"/>
    <s v="LA360S-0022510"/>
    <s v="2018"/>
    <m/>
    <m/>
    <s v=" D"/>
    <s v="09000355-Asif Azeem"/>
    <n v="-1"/>
    <n v="4343"/>
    <n v="43"/>
    <n v="564"/>
    <n v="50"/>
    <n v="5000"/>
    <n v="5002"/>
    <n v="0"/>
    <n v="-2"/>
    <n v="0"/>
    <n v="-2"/>
    <m/>
    <m/>
    <m/>
    <s v="AFSHEEN ISMAIL"/>
    <m/>
    <m/>
    <s v="nomankhan@mastermanagement.pk,ammadali@mastermanagement.pk"/>
  </r>
  <r>
    <n v="849"/>
    <x v="169"/>
    <x v="643"/>
    <s v=" -"/>
    <s v=" MOTOR"/>
    <d v="2023-11-15T00:00:00"/>
    <d v="2023-10-12T00:00:00"/>
    <d v="2024-10-11T00:00:00"/>
    <s v=" 08813042"/>
    <s v="Mr. Khawar Afridi _x000a_CNIC No. 42201-4443374-7_x000a_Cell No. 0332-2231699"/>
    <m/>
    <s v="DAIHATSU MIRA"/>
    <s v="BTB-101"/>
    <s v="KF-H707028"/>
    <s v="LA360S-0022510"/>
    <s v="2018"/>
    <m/>
    <m/>
    <s v=" D"/>
    <s v="09000355-Asif Azeem"/>
    <n v="2500000"/>
    <n v="2814"/>
    <n v="28"/>
    <n v="366"/>
    <n v="0"/>
    <n v="3208"/>
    <n v="3206"/>
    <n v="0"/>
    <n v="2"/>
    <n v="0"/>
    <n v="2"/>
    <m/>
    <m/>
    <m/>
    <s v="AFSHEEN ISMAIL"/>
    <n v="1498.9899999999971"/>
    <n v="1109.8400000000001"/>
    <m/>
  </r>
  <r>
    <n v="850"/>
    <x v="170"/>
    <x v="644"/>
    <s v=" -"/>
    <s v=" MOTOR"/>
    <d v="2023-10-31T00:00:00"/>
    <d v="2023-10-12T00:00:00"/>
    <d v="2024-10-11T00:00:00"/>
    <s v=" 08813582"/>
    <s v="Mr. Sohail Rasheed_x000a_CNIC No. 33100-0973887-5_x000a_Cell No. 0333-6539068"/>
    <m/>
    <s v="HYUNDAI TUCSON"/>
    <s v="AVD-485"/>
    <s v="G4NAMU103252"/>
    <s v="PMHJ2813SMN204288"/>
    <s v="2021"/>
    <m/>
    <m/>
    <s v=" D"/>
    <s v="09000221-Muhammad Irfan"/>
    <n v="8000000"/>
    <n v="135964"/>
    <n v="1360"/>
    <n v="17676"/>
    <n v="0"/>
    <n v="155000"/>
    <n v="0"/>
    <n v="0"/>
    <n v="155000"/>
    <n v="0"/>
    <n v="155000"/>
    <m/>
    <m/>
    <m/>
    <s v="MUHAMMAD WAQAS"/>
    <m/>
    <m/>
    <s v="sohailrasheed89000@gmail.com"/>
  </r>
  <r>
    <n v="851"/>
    <x v="170"/>
    <x v="645"/>
    <s v=" -"/>
    <s v=" MOTOR"/>
    <d v="2024-04-14T00:00:00"/>
    <d v="2023-10-12T00:00:00"/>
    <d v="2024-10-11T00:00:00"/>
    <s v=" 08813582"/>
    <s v="Mr. Sohail Rasheed_x000a_CNIC No. 33100-0973887-5_x000a_Cell No. 0333-6539068"/>
    <m/>
    <s v="HYUNDAI TUCSON"/>
    <s v="AVD-485"/>
    <s v="G4NAMU103252"/>
    <s v="PMHJ2813SMN204288"/>
    <s v="2021"/>
    <m/>
    <m/>
    <s v=" D"/>
    <s v="09000221-Muhammad Irfan"/>
    <n v="8000000"/>
    <n v="509"/>
    <n v="5"/>
    <n v="66"/>
    <n v="0"/>
    <n v="580"/>
    <n v="0"/>
    <n v="0"/>
    <n v="580"/>
    <n v="0"/>
    <n v="580"/>
    <m/>
    <m/>
    <m/>
    <s v="MUHAMMAD WAQAS"/>
    <n v="52.89"/>
    <n v="52.89"/>
    <m/>
  </r>
  <r>
    <n v="852"/>
    <x v="170"/>
    <x v="646"/>
    <s v=" -"/>
    <s v=" MOTOR"/>
    <d v="2024-05-13T00:00:00"/>
    <d v="2023-10-12T00:00:00"/>
    <d v="2024-10-11T00:00:00"/>
    <s v=" 08813582"/>
    <s v="Mr. Sohail Rasheed_x000a_CNIC No. 33100-0973887-5_x000a_Cell No. 0333-6539068"/>
    <m/>
    <s v="HYUNDAI TUCSON"/>
    <s v="AVD-485"/>
    <s v="G4NAMU103252"/>
    <s v="PMHJ2813SMN204288"/>
    <s v="2021"/>
    <m/>
    <m/>
    <s v=" D"/>
    <s v="09000221-Muhammad Irfan"/>
    <n v="8000000"/>
    <n v="1288"/>
    <n v="13"/>
    <n v="168"/>
    <n v="0"/>
    <n v="1469"/>
    <n v="0"/>
    <n v="0"/>
    <n v="1469"/>
    <n v="0"/>
    <n v="1469"/>
    <m/>
    <m/>
    <m/>
    <s v="MUHAMMAD WAQAS"/>
    <n v="793.84000000000208"/>
    <n v="134.08000000000001"/>
    <m/>
  </r>
  <r>
    <n v="853"/>
    <x v="170"/>
    <x v="647"/>
    <s v=" -"/>
    <s v=" MOTOR"/>
    <d v="2024-06-12T00:00:00"/>
    <d v="2023-10-12T00:00:00"/>
    <d v="2024-10-11T00:00:00"/>
    <s v=" 08813582"/>
    <s v="Mr. Sohail Rasheed_x000a_CNIC No. 33100-0973887-5_x000a_Cell No. 0333-6539068"/>
    <m/>
    <s v="HYUNDAI TUCSON"/>
    <s v="AVD-485"/>
    <s v="G4NAMU103252"/>
    <s v="PMHJ2813SMN204288"/>
    <s v="2021"/>
    <m/>
    <m/>
    <s v=" D"/>
    <s v="09000221-Muhammad Irfan"/>
    <n v="8000000"/>
    <n v="1118"/>
    <n v="11"/>
    <n v="145"/>
    <n v="0"/>
    <n v="1274"/>
    <n v="0"/>
    <n v="0"/>
    <n v="1274"/>
    <n v="0"/>
    <n v="1274"/>
    <m/>
    <m/>
    <m/>
    <s v="MUHAMMAD WAQAS"/>
    <n v="769.16000000002111"/>
    <n v="116.25"/>
    <m/>
  </r>
  <r>
    <n v="854"/>
    <x v="170"/>
    <x v="648"/>
    <s v=" -"/>
    <s v=" MOTOR"/>
    <d v="2024-07-13T00:00:00"/>
    <d v="2023-10-12T00:00:00"/>
    <d v="2024-10-11T00:00:00"/>
    <s v=" 08813582"/>
    <s v="Mr. Sohail Rasheed_x000a_CNIC No. 33100-0973887-5_x000a_Cell No. 0333-6539068"/>
    <m/>
    <s v="HYUNDAI TUCSON"/>
    <s v="AVD-485"/>
    <s v="G4NAMU103252"/>
    <s v="PMHJ2813SMN204288"/>
    <s v="2021"/>
    <m/>
    <m/>
    <s v=" D"/>
    <s v="09000221-Muhammad Irfan"/>
    <n v="8000000"/>
    <n v="2224"/>
    <n v="22"/>
    <n v="334"/>
    <n v="0"/>
    <n v="2580"/>
    <n v="0"/>
    <n v="0"/>
    <n v="2580"/>
    <n v="0"/>
    <n v="2580"/>
    <m/>
    <m/>
    <m/>
    <s v="MUHAMMAD WAQAS"/>
    <n v="768.21"/>
    <n v="235.47"/>
    <m/>
  </r>
  <r>
    <n v="855"/>
    <x v="170"/>
    <x v="649"/>
    <s v=" -"/>
    <s v=" MOTOR"/>
    <d v="2024-08-13T00:00:00"/>
    <d v="2023-10-12T00:00:00"/>
    <d v="2024-10-11T00:00:00"/>
    <s v=" 08813582"/>
    <s v="Mr. Sohail Rasheed_x000a_CNIC No. 33100-0973887-5_x000a_Cell No. 0333-6539068"/>
    <m/>
    <s v="HYUNDAI TUCSON"/>
    <s v="AVD-485"/>
    <s v="G4NAMU103252"/>
    <s v="PMHJ2813SMN204288"/>
    <s v="2021"/>
    <m/>
    <m/>
    <s v=" D"/>
    <s v="09000221-Muhammad Irfan"/>
    <n v="8000000"/>
    <n v="2805"/>
    <n v="28"/>
    <n v="421"/>
    <n v="0"/>
    <n v="3254"/>
    <n v="0"/>
    <n v="0"/>
    <n v="3254"/>
    <n v="0"/>
    <n v="3254"/>
    <m/>
    <m/>
    <m/>
    <s v="MUHAMMAD WAQAS"/>
    <n v="961.20999999999708"/>
    <n v="297"/>
    <m/>
  </r>
  <r>
    <n v="856"/>
    <x v="170"/>
    <x v="650"/>
    <s v=" -"/>
    <s v=" MOTOR"/>
    <d v="2024-09-14T00:00:00"/>
    <d v="2023-10-12T00:00:00"/>
    <d v="2024-10-11T00:00:00"/>
    <s v=" 08813582"/>
    <s v="Mr. Sohail Rasheed_x000a_CNIC No. 33100-0973887-5_x000a_Cell No. 0333-6539068"/>
    <m/>
    <s v="HYUNDAI TUCSON"/>
    <s v="AVD-485"/>
    <s v="G4NAMU103252"/>
    <s v="PMHJ2813SMN204288"/>
    <s v="2021"/>
    <m/>
    <m/>
    <s v=" D"/>
    <s v="09000221-Muhammad Irfan"/>
    <n v="8000000"/>
    <n v="1766"/>
    <n v="18"/>
    <n v="265"/>
    <n v="0"/>
    <n v="2049"/>
    <n v="0"/>
    <n v="0"/>
    <n v="2049"/>
    <n v="0"/>
    <n v="2049"/>
    <m/>
    <m/>
    <m/>
    <s v="MUHAMMAD WAQAS"/>
    <n v="186.95"/>
    <n v="186.95"/>
    <m/>
  </r>
  <r>
    <n v="857"/>
    <x v="170"/>
    <x v="651"/>
    <s v=" -"/>
    <s v=" MOTOR"/>
    <d v="2024-12-29T00:00:00"/>
    <d v="2023-10-12T00:00:00"/>
    <d v="2024-10-11T00:00:00"/>
    <s v=" 08813582"/>
    <s v="Mr. Sohail Rasheed_x000a_CNIC No. 33100-0973887-5_x000a_Cell No. 0333-6539068"/>
    <m/>
    <s v="HYUNDAI TUCSON"/>
    <s v="AVD-485"/>
    <s v="G4NAMU103252"/>
    <s v="PMHJ2813SMN204288"/>
    <s v="2021"/>
    <m/>
    <m/>
    <s v=" D"/>
    <s v="09000221-Muhammad Irfan"/>
    <n v="-1"/>
    <n v="-164560"/>
    <n v="-1646"/>
    <n v="0"/>
    <n v="0"/>
    <n v="-166206"/>
    <n v="0"/>
    <n v="0"/>
    <n v="-166206"/>
    <n v="0"/>
    <n v="-166206"/>
    <m/>
    <m/>
    <m/>
    <s v="MUHAMMAD WAQAS"/>
    <m/>
    <m/>
    <m/>
  </r>
  <r>
    <n v="878"/>
    <x v="171"/>
    <x v="652"/>
    <s v=" -"/>
    <s v=" MOTOR"/>
    <d v="2023-10-31T00:00:00"/>
    <d v="2023-10-13T00:00:00"/>
    <d v="2024-10-12T00:00:00"/>
    <s v=" 08813639"/>
    <s v="Mr. Ahsen Ali_x000a_CNIC: 1350342285855_x000a_Phone Number: 03145013222"/>
    <m/>
    <s v="SUZUKI CULTUS VXR"/>
    <s v="AKA-867"/>
    <s v="PK10K126428"/>
    <s v="NF1AVK31H10026405"/>
    <s v="2018"/>
    <m/>
    <m/>
    <s v=" D"/>
    <s v="09000221-Muhammad Irfan"/>
    <n v="2500000"/>
    <n v="39473"/>
    <n v="395"/>
    <n v="5132"/>
    <n v="0"/>
    <n v="45000"/>
    <n v="0"/>
    <n v="0"/>
    <n v="45000"/>
    <n v="0"/>
    <n v="45000"/>
    <m/>
    <m/>
    <m/>
    <s v="Syed Waqas"/>
    <m/>
    <m/>
    <s v="ahsenali381@gmail.com"/>
  </r>
  <r>
    <n v="879"/>
    <x v="171"/>
    <x v="653"/>
    <s v=" -"/>
    <s v=" MOTOR"/>
    <d v="2023-11-15T00:00:00"/>
    <d v="2023-10-13T00:00:00"/>
    <d v="2024-10-12T00:00:00"/>
    <s v=" 08813639"/>
    <s v="Mr. Ahsen Ali_x000a_CNIC: 1350342285855_x000a_Phone Number: 03145013222"/>
    <m/>
    <s v="SUZUKI CULTUS VXR"/>
    <s v="AKA-867"/>
    <s v="PK10K126428"/>
    <s v="NF1AVK31H10026405"/>
    <s v="2018"/>
    <m/>
    <m/>
    <s v=" D"/>
    <s v="09000221-Muhammad Irfan"/>
    <n v="2500000"/>
    <n v="3387"/>
    <n v="34"/>
    <n v="440"/>
    <n v="0"/>
    <n v="3861"/>
    <n v="3681"/>
    <n v="0"/>
    <n v="180"/>
    <n v="0"/>
    <n v="180"/>
    <m/>
    <m/>
    <m/>
    <s v="Syed Waqas"/>
    <n v="1979.6"/>
    <n v="1127.9699999999991"/>
    <m/>
  </r>
  <r>
    <n v="880"/>
    <x v="171"/>
    <x v="654"/>
    <s v=" -"/>
    <s v=" MOTOR"/>
    <d v="2024-01-16T00:00:00"/>
    <d v="2023-10-13T00:00:00"/>
    <d v="2024-10-12T00:00:00"/>
    <s v=" 08813639"/>
    <s v="Mr. Ahsen Ali_x000a_CNIC: 1350342285855_x000a_Phone Number: 03145013222"/>
    <m/>
    <s v="SUZUKI CULTUS VXR"/>
    <s v="AKA-867"/>
    <s v="PK10K126428"/>
    <s v="NF1AVK31H10026405"/>
    <s v="2018"/>
    <m/>
    <m/>
    <s v=" D"/>
    <s v="09000221-Muhammad Irfan"/>
    <n v="2500000"/>
    <n v="406"/>
    <n v="4"/>
    <n v="52"/>
    <n v="0"/>
    <n v="462"/>
    <n v="443"/>
    <n v="0"/>
    <n v="19"/>
    <n v="0"/>
    <n v="19"/>
    <m/>
    <m/>
    <m/>
    <s v="Syed Waqas"/>
    <n v="480.44"/>
    <n v="135"/>
    <m/>
  </r>
  <r>
    <n v="881"/>
    <x v="171"/>
    <x v="655"/>
    <s v=" -"/>
    <s v=" MOTOR"/>
    <d v="2024-04-14T00:00:00"/>
    <d v="2023-10-13T00:00:00"/>
    <d v="2024-10-12T00:00:00"/>
    <s v=" 08813639"/>
    <s v="Mr. Ahsen Ali_x000a_CNIC: 1350342285855_x000a_Phone Number: 03145013222"/>
    <m/>
    <s v="SUZUKI CULTUS VXR"/>
    <s v="AKA-867"/>
    <s v="PK10K126428"/>
    <s v="NF1AVK31H10026405"/>
    <s v="2018"/>
    <m/>
    <m/>
    <s v=" D"/>
    <s v="09000221-Muhammad Irfan"/>
    <n v="2500000"/>
    <n v="3893"/>
    <n v="39"/>
    <n v="506"/>
    <n v="0"/>
    <n v="4438"/>
    <n v="0"/>
    <n v="0"/>
    <n v="4438"/>
    <n v="0"/>
    <n v="4438"/>
    <m/>
    <m/>
    <m/>
    <s v="Syed Waqas"/>
    <n v="2867.4600000000009"/>
    <n v="1297.01"/>
    <m/>
  </r>
  <r>
    <n v="882"/>
    <x v="171"/>
    <x v="656"/>
    <s v=" -"/>
    <s v=" MOTOR"/>
    <d v="2024-10-31T00:00:00"/>
    <d v="2023-10-13T00:00:00"/>
    <d v="2024-10-12T00:00:00"/>
    <s v=" 08813639"/>
    <s v="Mr. Ahsen Ali_x000a_CNIC: 1350342285855_x000a_Phone Number: 03145013222"/>
    <m/>
    <s v="SUZUKI CULTUS VXR"/>
    <s v="AKA-867"/>
    <s v="PK10K126428"/>
    <s v="NF1AVK31H10026405"/>
    <s v="2018"/>
    <m/>
    <m/>
    <s v=" D"/>
    <s v="09000221-Muhammad Irfan"/>
    <n v="-1"/>
    <n v="-49146"/>
    <n v="-491"/>
    <n v="0"/>
    <n v="0"/>
    <n v="-49637"/>
    <n v="0"/>
    <n v="0"/>
    <n v="-49637"/>
    <n v="0"/>
    <n v="-49637"/>
    <m/>
    <m/>
    <m/>
    <s v="Syed Waqas"/>
    <m/>
    <m/>
    <m/>
  </r>
  <r>
    <n v="883"/>
    <x v="172"/>
    <x v="657"/>
    <s v=" -"/>
    <s v=" MOTOR"/>
    <d v="2023-10-31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79823"/>
    <n v="799"/>
    <n v="10378"/>
    <n v="0"/>
    <n v="91000"/>
    <n v="0"/>
    <n v="0"/>
    <n v="91000"/>
    <n v="0"/>
    <n v="91000"/>
    <m/>
    <m/>
    <m/>
    <s v="Muhammad Danish"/>
    <m/>
    <m/>
    <m/>
  </r>
  <r>
    <n v="884"/>
    <x v="172"/>
    <x v="658"/>
    <s v=" -"/>
    <s v=" MOTOR"/>
    <d v="2024-04-19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3230"/>
    <n v="32"/>
    <n v="420"/>
    <n v="0"/>
    <n v="3682"/>
    <n v="0"/>
    <n v="0"/>
    <n v="3682"/>
    <n v="0"/>
    <n v="3682"/>
    <m/>
    <m/>
    <m/>
    <s v="Muhammad Danish"/>
    <n v="581.32000000000107"/>
    <n v="560.35"/>
    <m/>
  </r>
  <r>
    <n v="885"/>
    <x v="172"/>
    <x v="659"/>
    <s v=" -"/>
    <s v=" MOTOR"/>
    <d v="2024-04-19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3878"/>
    <n v="39"/>
    <n v="504"/>
    <n v="0"/>
    <n v="4421"/>
    <n v="0"/>
    <n v="0"/>
    <n v="4421"/>
    <n v="0"/>
    <n v="4421"/>
    <m/>
    <m/>
    <m/>
    <s v="Muhammad Danish"/>
    <n v="759.6"/>
    <n v="672.19"/>
    <m/>
  </r>
  <r>
    <n v="886"/>
    <x v="172"/>
    <x v="660"/>
    <s v=" -"/>
    <s v=" MOTOR"/>
    <d v="2024-05-20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3806"/>
    <n v="38"/>
    <n v="495"/>
    <n v="0"/>
    <n v="4339"/>
    <n v="0"/>
    <n v="0"/>
    <n v="4339"/>
    <n v="0"/>
    <n v="4339"/>
    <m/>
    <m/>
    <m/>
    <s v="Muhammad Danish"/>
    <n v="768.88"/>
    <n v="659.64"/>
    <m/>
  </r>
  <r>
    <n v="887"/>
    <x v="172"/>
    <x v="661"/>
    <s v=" -"/>
    <s v=" MOTOR"/>
    <d v="2024-06-20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3666"/>
    <n v="36"/>
    <n v="476"/>
    <n v="0"/>
    <n v="4178"/>
    <n v="0"/>
    <n v="0"/>
    <n v="4178"/>
    <n v="0"/>
    <n v="4178"/>
    <m/>
    <m/>
    <m/>
    <s v="Muhammad Danish"/>
    <n v="639.01"/>
    <n v="634.91000000000008"/>
    <m/>
  </r>
  <r>
    <n v="888"/>
    <x v="172"/>
    <x v="662"/>
    <s v=" -"/>
    <s v=" MOTOR"/>
    <d v="2024-07-24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4267"/>
    <n v="43"/>
    <n v="640"/>
    <n v="0"/>
    <n v="4950"/>
    <n v="0"/>
    <n v="0"/>
    <n v="4950"/>
    <n v="0"/>
    <n v="4950"/>
    <m/>
    <m/>
    <m/>
    <s v="Muhammad Danish"/>
    <n v="830.84"/>
    <n v="752.86"/>
    <m/>
  </r>
  <r>
    <n v="889"/>
    <x v="172"/>
    <x v="663"/>
    <s v=" -"/>
    <s v=" MOTOR"/>
    <d v="2024-08-20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4402"/>
    <n v="44"/>
    <n v="660"/>
    <n v="0"/>
    <n v="5106"/>
    <n v="0"/>
    <n v="0"/>
    <n v="5106"/>
    <n v="0"/>
    <n v="5106"/>
    <m/>
    <m/>
    <m/>
    <s v="Muhammad Danish"/>
    <n v="830.95"/>
    <n v="776.37"/>
    <m/>
  </r>
  <r>
    <n v="890"/>
    <x v="172"/>
    <x v="664"/>
    <s v=" -"/>
    <s v=" MOTOR"/>
    <d v="2024-09-26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4418"/>
    <n v="44"/>
    <n v="663"/>
    <n v="0"/>
    <n v="5125"/>
    <n v="0"/>
    <n v="0"/>
    <n v="5125"/>
    <n v="0"/>
    <n v="5125"/>
    <m/>
    <m/>
    <m/>
    <s v="Muhammad Danish"/>
    <n v="783.64"/>
    <n v="779.23"/>
    <m/>
  </r>
  <r>
    <n v="891"/>
    <x v="172"/>
    <x v="665"/>
    <s v=" -"/>
    <s v=" MOTOR"/>
    <d v="2024-10-21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4800000"/>
    <n v="4312"/>
    <n v="43"/>
    <n v="647"/>
    <n v="0"/>
    <n v="5002"/>
    <n v="0"/>
    <n v="0"/>
    <n v="5002"/>
    <n v="0"/>
    <n v="5002"/>
    <m/>
    <m/>
    <m/>
    <s v="Muhammad Danish"/>
    <n v="766.26"/>
    <n v="760.96"/>
    <m/>
  </r>
  <r>
    <n v="892"/>
    <x v="172"/>
    <x v="666"/>
    <s v=" -"/>
    <s v=" MOTOR"/>
    <d v="2024-12-29T00:00:00"/>
    <d v="2023-10-19T00:00:00"/>
    <d v="2024-10-18T00:00:00"/>
    <s v=" 08807988"/>
    <s v="Syed Abdul Haseeb _x000a_CNIC #. 42201-7303540-3_x000a_CELL #. 0336-1819350"/>
    <m/>
    <s v="SUZUKI Suzuki Swift"/>
    <s v="BXT-601"/>
    <s v="1008743"/>
    <s v="108787"/>
    <s v="2022"/>
    <m/>
    <m/>
    <s v=" D"/>
    <s v="09000221-Muhammad Irfan"/>
    <n v="-1"/>
    <n v="-126538"/>
    <n v="-1265"/>
    <n v="0"/>
    <n v="0"/>
    <n v="-127803"/>
    <n v="0"/>
    <n v="0"/>
    <n v="-127803"/>
    <n v="0"/>
    <n v="-127803"/>
    <m/>
    <m/>
    <m/>
    <s v="Muhammad Danish"/>
    <m/>
    <m/>
    <m/>
  </r>
  <r>
    <n v="893"/>
    <x v="173"/>
    <x v="667"/>
    <s v=" -"/>
    <s v=" MOTOR"/>
    <d v="2023-10-31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51753"/>
    <n v="518"/>
    <n v="6729"/>
    <n v="0"/>
    <n v="59000"/>
    <n v="0"/>
    <n v="0"/>
    <n v="59000"/>
    <n v="0"/>
    <n v="59000"/>
    <m/>
    <m/>
    <m/>
    <s v="MUHAMMAD WAQAS"/>
    <m/>
    <m/>
    <s v="m_bilalqureshi@hotmail.com"/>
  </r>
  <r>
    <n v="894"/>
    <x v="173"/>
    <x v="668"/>
    <s v=" -"/>
    <s v=" MOTOR"/>
    <d v="2024-03-21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790"/>
    <n v="8"/>
    <n v="102"/>
    <n v="0"/>
    <n v="900"/>
    <n v="0"/>
    <n v="0"/>
    <n v="900"/>
    <n v="0"/>
    <n v="900"/>
    <m/>
    <m/>
    <m/>
    <s v="MUHAMMAD WAQAS"/>
    <n v="249.58"/>
    <n v="205.36"/>
    <m/>
  </r>
  <r>
    <n v="895"/>
    <x v="173"/>
    <x v="669"/>
    <s v=" -"/>
    <s v=" MOTOR"/>
    <d v="2024-04-21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792"/>
    <n v="8"/>
    <n v="103"/>
    <n v="0"/>
    <n v="903"/>
    <n v="0"/>
    <n v="0"/>
    <n v="903"/>
    <n v="0"/>
    <n v="903"/>
    <m/>
    <m/>
    <m/>
    <s v="MUHAMMAD WAQAS"/>
    <n v="206.17"/>
    <n v="206.17"/>
    <m/>
  </r>
  <r>
    <n v="896"/>
    <x v="173"/>
    <x v="670"/>
    <s v=" -"/>
    <s v=" MOTOR"/>
    <d v="2024-05-20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1601"/>
    <n v="16"/>
    <n v="209"/>
    <n v="0"/>
    <n v="1826"/>
    <n v="0"/>
    <n v="0"/>
    <n v="1826"/>
    <n v="0"/>
    <n v="1826"/>
    <m/>
    <m/>
    <m/>
    <s v="MUHAMMAD WAQAS"/>
    <n v="446.66"/>
    <n v="416.99"/>
    <m/>
  </r>
  <r>
    <n v="897"/>
    <x v="173"/>
    <x v="671"/>
    <s v=" -"/>
    <s v=" MOTOR"/>
    <d v="2024-06-22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1488"/>
    <n v="15"/>
    <n v="193"/>
    <n v="0"/>
    <n v="1696"/>
    <n v="0"/>
    <n v="0"/>
    <n v="1696"/>
    <n v="0"/>
    <n v="1696"/>
    <m/>
    <m/>
    <m/>
    <s v="MUHAMMAD WAQAS"/>
    <n v="429.92"/>
    <n v="387.36"/>
    <m/>
  </r>
  <r>
    <n v="898"/>
    <x v="173"/>
    <x v="672"/>
    <s v=" -"/>
    <s v=" MOTOR"/>
    <d v="2024-07-24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1506"/>
    <n v="15"/>
    <n v="226"/>
    <n v="0"/>
    <n v="1747"/>
    <n v="0"/>
    <n v="0"/>
    <n v="1747"/>
    <n v="0"/>
    <n v="1747"/>
    <m/>
    <m/>
    <m/>
    <s v="MUHAMMAD WAQAS"/>
    <n v="536.03"/>
    <n v="398.9"/>
    <m/>
  </r>
  <r>
    <n v="899"/>
    <x v="173"/>
    <x v="673"/>
    <s v=" -"/>
    <s v=" MOTOR"/>
    <d v="2024-08-22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1849"/>
    <n v="19"/>
    <n v="278"/>
    <n v="0"/>
    <n v="2146"/>
    <n v="0"/>
    <n v="0"/>
    <n v="2146"/>
    <n v="0"/>
    <n v="2146"/>
    <m/>
    <m/>
    <m/>
    <s v="MUHAMMAD WAQAS"/>
    <n v="823.74"/>
    <n v="489.85"/>
    <m/>
  </r>
  <r>
    <n v="900"/>
    <x v="173"/>
    <x v="674"/>
    <s v=" -"/>
    <s v=" MOTOR"/>
    <d v="2024-09-24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3585"/>
    <n v="36"/>
    <n v="538"/>
    <n v="0"/>
    <n v="4159"/>
    <n v="0"/>
    <n v="0"/>
    <n v="4159"/>
    <n v="0"/>
    <n v="4159"/>
    <m/>
    <m/>
    <m/>
    <s v="MUHAMMAD WAQAS"/>
    <n v="1024.9100000000001"/>
    <n v="948.8"/>
    <m/>
  </r>
  <r>
    <n v="901"/>
    <x v="173"/>
    <x v="675"/>
    <s v=" -"/>
    <s v=" MOTOR"/>
    <d v="2024-10-21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3200000"/>
    <n v="1547"/>
    <n v="15"/>
    <n v="232"/>
    <n v="0"/>
    <n v="1794"/>
    <n v="0"/>
    <n v="0"/>
    <n v="1794"/>
    <n v="0"/>
    <n v="1794"/>
    <m/>
    <m/>
    <m/>
    <s v="MUHAMMAD WAQAS"/>
    <n v="409.28"/>
    <n v="409.28"/>
    <m/>
  </r>
  <r>
    <n v="902"/>
    <x v="173"/>
    <x v="676"/>
    <s v=" -"/>
    <s v=" MOTOR"/>
    <d v="2024-12-29T00:00:00"/>
    <d v="2023-10-20T00:00:00"/>
    <d v="2024-10-19T00:00:00"/>
    <s v=" 08813706"/>
    <s v="Mr. Muhammad Bilal Qureshi_x000a_CNIC: 4200005132125_x000a_Cell: 0332-3521661"/>
    <m/>
    <s v="SUZUKI CULTUS VXR"/>
    <s v="BUP-561"/>
    <s v="PK10K184535"/>
    <s v="NF1AVK31H10084545"/>
    <s v="2021"/>
    <m/>
    <m/>
    <s v=" D"/>
    <s v="09000221-Muhammad Irfan"/>
    <n v="-1"/>
    <n v="-73437"/>
    <n v="-734"/>
    <n v="0"/>
    <n v="0"/>
    <n v="-74171"/>
    <n v="0"/>
    <n v="0"/>
    <n v="-74171"/>
    <n v="0"/>
    <n v="-74171"/>
    <m/>
    <m/>
    <m/>
    <s v="MUHAMMAD WAQAS"/>
    <m/>
    <m/>
    <m/>
  </r>
  <r>
    <n v="903"/>
    <x v="174"/>
    <x v="677"/>
    <s v=" -"/>
    <s v=" MOTOR"/>
    <d v="2023-10-31T00:00:00"/>
    <d v="2023-10-16T00:00:00"/>
    <d v="2024-10-15T00:00:00"/>
    <s v=" 08813731"/>
    <s v="Mr. Muhammad Abdul Ali Moiz _x000a_CNIC: 42201-0514560-7_x000a_Cell: 03333197513"/>
    <m/>
    <s v="TOYOTA COROLLA GLI"/>
    <s v="BJJ-032"/>
    <s v="Z491047"/>
    <s v="NZE170R-4117539"/>
    <s v="2017"/>
    <m/>
    <m/>
    <s v=" D"/>
    <s v="09000221-Muhammad Irfan"/>
    <n v="3500000"/>
    <n v="57016"/>
    <n v="571"/>
    <n v="7413"/>
    <n v="0"/>
    <n v="65000"/>
    <n v="0"/>
    <n v="0"/>
    <n v="65000"/>
    <n v="0"/>
    <n v="65000"/>
    <m/>
    <m/>
    <m/>
    <s v="AFSHEEN ISMAIL"/>
    <m/>
    <m/>
    <m/>
  </r>
  <r>
    <n v="904"/>
    <x v="174"/>
    <x v="678"/>
    <s v=" -"/>
    <s v=" MOTOR"/>
    <d v="2024-06-20T00:00:00"/>
    <d v="2023-10-16T00:00:00"/>
    <d v="2024-10-15T00:00:00"/>
    <s v=" 08813731"/>
    <s v="Mr. Muhammad Abdul Ali Moiz _x000a_CNIC: 42201-0514560-7_x000a_Cell: 0333-2332103"/>
    <m/>
    <s v="TOYOTA COROLLA GLI"/>
    <s v="BJJ-032"/>
    <s v="Z491047"/>
    <s v="NZE170R-4117539"/>
    <s v="2017"/>
    <m/>
    <m/>
    <s v=" D"/>
    <s v="09000221-Muhammad Irfan"/>
    <n v="3500000"/>
    <n v="3408"/>
    <n v="34"/>
    <n v="443"/>
    <n v="0"/>
    <n v="3885"/>
    <n v="0"/>
    <n v="0"/>
    <n v="3885"/>
    <n v="0"/>
    <n v="3885"/>
    <m/>
    <m/>
    <m/>
    <s v="AFSHEEN ISMAIL"/>
    <n v="890.14"/>
    <n v="809.39"/>
    <m/>
  </r>
  <r>
    <n v="905"/>
    <x v="174"/>
    <x v="679"/>
    <s v=" -"/>
    <s v=" MOTOR"/>
    <d v="2024-07-19T00:00:00"/>
    <d v="2023-10-16T00:00:00"/>
    <d v="2024-10-15T00:00:00"/>
    <s v=" 08813731"/>
    <s v="Mr. Muhammad Abdul Ali Moiz _x000a_CNIC: 42201-0514560-7_x000a_Cell: 0333-2332103"/>
    <m/>
    <s v="TOYOTA COROLLA GLI"/>
    <s v="BJJ-032"/>
    <s v="Z491047"/>
    <s v="NZE170R-4117539"/>
    <s v="2017"/>
    <m/>
    <m/>
    <s v=" D"/>
    <s v="09000221-Muhammad Irfan"/>
    <n v="3500000"/>
    <n v="2349"/>
    <n v="23"/>
    <n v="352"/>
    <n v="0"/>
    <n v="2724"/>
    <n v="0"/>
    <n v="0"/>
    <n v="2724"/>
    <n v="0"/>
    <n v="2724"/>
    <m/>
    <m/>
    <m/>
    <s v="AFSHEEN ISMAIL"/>
    <n v="590.16000000000008"/>
    <n v="567.95000000000005"/>
    <m/>
  </r>
  <r>
    <n v="906"/>
    <x v="174"/>
    <x v="680"/>
    <s v=" -"/>
    <s v=" MOTOR"/>
    <d v="2024-08-20T00:00:00"/>
    <d v="2023-10-16T00:00:00"/>
    <d v="2024-10-15T00:00:00"/>
    <s v=" 08813731"/>
    <s v="Mr. Muhammad Abdul Ali Moiz _x000a_CNIC: 42201-0514560-7_x000a_Cell: 0333-2332103"/>
    <m/>
    <s v="TOYOTA COROLLA GLI"/>
    <s v="BJJ-032"/>
    <s v="Z491047"/>
    <s v="NZE170R-4117539"/>
    <s v="2017"/>
    <m/>
    <m/>
    <s v=" D"/>
    <s v="09000221-Muhammad Irfan"/>
    <n v="3500000"/>
    <n v="3472"/>
    <n v="35"/>
    <n v="521"/>
    <n v="0"/>
    <n v="4028"/>
    <n v="0"/>
    <n v="0"/>
    <n v="4028"/>
    <n v="0"/>
    <n v="4028"/>
    <m/>
    <m/>
    <m/>
    <s v="AFSHEEN ISMAIL"/>
    <n v="856.37"/>
    <n v="839.72"/>
    <m/>
  </r>
  <r>
    <n v="907"/>
    <x v="174"/>
    <x v="681"/>
    <s v=" -"/>
    <s v=" MOTOR"/>
    <d v="2024-09-20T00:00:00"/>
    <d v="2023-10-16T00:00:00"/>
    <d v="2024-10-15T00:00:00"/>
    <s v=" 08813731"/>
    <s v="Mr. Muhammad Abdul Ali Moiz _x000a_CNIC: 42201-0514560-7_x000a_Cell: 0333-2332103"/>
    <m/>
    <s v="TOYOTA COROLLA GLI"/>
    <s v="BJJ-032"/>
    <s v="Z491047"/>
    <s v="NZE170R-4117539"/>
    <s v="2017"/>
    <m/>
    <m/>
    <s v=" D"/>
    <s v="09000221-Muhammad Irfan"/>
    <n v="3500000"/>
    <n v="2909"/>
    <n v="29"/>
    <n v="436"/>
    <n v="0"/>
    <n v="3374"/>
    <n v="0"/>
    <n v="0"/>
    <n v="3374"/>
    <n v="0"/>
    <n v="3374"/>
    <m/>
    <m/>
    <m/>
    <s v="AFSHEEN ISMAIL"/>
    <n v="713.86"/>
    <n v="703.71"/>
    <m/>
  </r>
  <r>
    <n v="908"/>
    <x v="174"/>
    <x v="682"/>
    <s v=" -"/>
    <s v=" MOTOR"/>
    <d v="2024-12-29T00:00:00"/>
    <d v="2023-10-16T00:00:00"/>
    <d v="2024-10-15T00:00:00"/>
    <s v=" 08813731"/>
    <s v="Mr. Muhammad Abdul Ali Moiz _x000a_CNIC: 42201-0514560-7_x000a_Cell: 0333-2332103"/>
    <m/>
    <s v="TOYOTA COROLLA GLI"/>
    <s v="BJJ-032"/>
    <s v="Z491047"/>
    <s v="NZE170R-4117539"/>
    <s v="2017"/>
    <m/>
    <m/>
    <s v=" D"/>
    <s v="09000221-Muhammad Irfan"/>
    <n v="-1"/>
    <n v="-78229"/>
    <n v="-782"/>
    <n v="0"/>
    <n v="0"/>
    <n v="-79011"/>
    <n v="0"/>
    <n v="0"/>
    <n v="-79011"/>
    <n v="0"/>
    <n v="-79011"/>
    <m/>
    <m/>
    <m/>
    <s v="AFSHEEN ISMAIL"/>
    <m/>
    <m/>
    <m/>
  </r>
  <r>
    <n v="917"/>
    <x v="175"/>
    <x v="683"/>
    <s v=" -"/>
    <s v=" MOTOR"/>
    <d v="2023-10-31T00:00:00"/>
    <d v="2023-10-24T00:00:00"/>
    <d v="2024-10-23T00:00:00"/>
    <s v=" 08813805"/>
    <s v="Mrs. Nazia Kashif_x000a_CNIC: 4210109172144_x000a_Phone Number: 03218252008"/>
    <m/>
    <s v="HYUNDAI TUCSON"/>
    <s v="BJ-6003"/>
    <s v="G4NAMU099907"/>
    <s v="PMHJ2813SMN203948"/>
    <s v="2021"/>
    <m/>
    <m/>
    <s v=" D"/>
    <s v="09000221-Muhammad Irfan"/>
    <n v="8000000"/>
    <n v="135964"/>
    <n v="1360"/>
    <n v="17676"/>
    <n v="0"/>
    <n v="155000"/>
    <n v="0"/>
    <n v="0"/>
    <n v="155000"/>
    <n v="0"/>
    <n v="155000"/>
    <m/>
    <m/>
    <m/>
    <s v="Syed Waqas"/>
    <m/>
    <m/>
    <m/>
  </r>
  <r>
    <n v="918"/>
    <x v="175"/>
    <x v="684"/>
    <s v=" -"/>
    <s v=" MOTOR"/>
    <d v="2024-08-29T00:00:00"/>
    <d v="2023-10-24T00:00:00"/>
    <d v="2024-10-23T00:00:00"/>
    <s v=" 08813805"/>
    <s v="Mrs. Nazia Kashif_x000a_CNIC: 4210109172144_x000a_Phone Number: 03218252008"/>
    <m/>
    <s v="HYUNDAI TUCSON"/>
    <s v="BJ-6003"/>
    <s v="G4NAMU099907"/>
    <s v="PMHJ2813SMN203948"/>
    <s v="2021"/>
    <m/>
    <m/>
    <s v=" D"/>
    <s v="09000221-Muhammad Irfan"/>
    <n v="8000000"/>
    <n v="1042"/>
    <n v="10"/>
    <n v="156"/>
    <n v="0"/>
    <n v="1208"/>
    <n v="0"/>
    <n v="0"/>
    <n v="1208"/>
    <n v="0"/>
    <n v="1208"/>
    <m/>
    <m/>
    <m/>
    <s v="Syed Waqas"/>
    <n v="146.52000000000001"/>
    <n v="110.26"/>
    <m/>
  </r>
  <r>
    <n v="919"/>
    <x v="175"/>
    <x v="685"/>
    <s v=" -"/>
    <s v=" MOTOR"/>
    <d v="2024-09-28T00:00:00"/>
    <d v="2023-10-24T00:00:00"/>
    <d v="2024-10-23T00:00:00"/>
    <s v=" 08813805"/>
    <s v="Mrs. Nazia Kashif_x000a_CNIC: 4210109172144_x000a_Phone Number: 03218252008"/>
    <m/>
    <s v="HYUNDAI TUCSON"/>
    <s v="BJ-6003"/>
    <s v="G4NAMU099907"/>
    <s v="PMHJ2813SMN203948"/>
    <s v="2021"/>
    <m/>
    <m/>
    <s v=" D"/>
    <s v="09000221-Muhammad Irfan"/>
    <n v="8000000"/>
    <n v="343"/>
    <n v="3"/>
    <n v="51"/>
    <n v="0"/>
    <n v="397"/>
    <n v="0"/>
    <n v="0"/>
    <n v="397"/>
    <n v="0"/>
    <n v="397"/>
    <m/>
    <m/>
    <m/>
    <s v="Syed Waqas"/>
    <n v="36.18"/>
    <n v="36.18"/>
    <m/>
  </r>
  <r>
    <n v="920"/>
    <x v="175"/>
    <x v="686"/>
    <s v=" -"/>
    <s v=" MOTOR"/>
    <d v="2024-12-29T00:00:00"/>
    <d v="2023-10-24T00:00:00"/>
    <d v="2024-10-23T00:00:00"/>
    <s v=" 08813805"/>
    <s v="Mrs. Nazia Kashif_x000a_CNIC: 4210109172144_x000a_Phone Number: 03218252008"/>
    <m/>
    <s v="HYUNDAI TUCSON"/>
    <s v="BJ-6003"/>
    <s v="G4NAMU099907"/>
    <s v="PMHJ2813SMN203948"/>
    <s v="2021"/>
    <m/>
    <m/>
    <s v=" D"/>
    <s v="09000221-Muhammad Irfan"/>
    <n v="-1"/>
    <n v="-155054"/>
    <n v="-1551"/>
    <n v="0"/>
    <n v="0"/>
    <n v="-156605"/>
    <n v="0"/>
    <n v="0"/>
    <n v="-156605"/>
    <n v="0"/>
    <n v="-156605"/>
    <m/>
    <m/>
    <m/>
    <s v="Syed Waqas"/>
    <m/>
    <m/>
    <m/>
  </r>
  <r>
    <n v="921"/>
    <x v="176"/>
    <x v="687"/>
    <s v=" -"/>
    <s v=" MOTOR"/>
    <d v="2023-10-31T00:00:00"/>
    <d v="2023-10-21T00:00:00"/>
    <d v="2024-10-20T00:00:00"/>
    <s v=" 08813813"/>
    <s v="Mr. Zafar Iqbal Awan_x000a_CNIC: 3740247546065_x000a_Phone Number: 03345260889"/>
    <m/>
    <s v="SUZUKI MEHRAN"/>
    <s v="FT-173"/>
    <s v="PKB628840"/>
    <s v="SB308PK01166418"/>
    <s v="2015"/>
    <m/>
    <m/>
    <s v=" D"/>
    <s v="09000221-Muhammad Irfan"/>
    <n v="1200000"/>
    <n v="16666"/>
    <n v="167"/>
    <n v="2167"/>
    <n v="0"/>
    <n v="19000"/>
    <n v="0"/>
    <n v="0"/>
    <n v="19000"/>
    <n v="0"/>
    <n v="19000"/>
    <m/>
    <m/>
    <m/>
    <s v="Syed Waqas"/>
    <m/>
    <m/>
    <m/>
  </r>
  <r>
    <n v="922"/>
    <x v="176"/>
    <x v="688"/>
    <s v=" -"/>
    <s v=" MOTOR"/>
    <d v="2024-10-31T00:00:00"/>
    <d v="2023-10-21T00:00:00"/>
    <d v="2024-10-20T00:00:00"/>
    <s v=" 08813813"/>
    <s v="Mr. Zafar Iqbal Awan_x000a_CNIC: 3740247546065_x000a_Phone Number: 03345260889"/>
    <m/>
    <s v="SUZUKI MEHRAN"/>
    <s v="FT-173"/>
    <s v="PKB628840"/>
    <s v="SB308PK01166418"/>
    <s v="2015"/>
    <m/>
    <m/>
    <s v=" D"/>
    <s v="09000221-Muhammad Irfan"/>
    <n v="-1"/>
    <n v="-18812"/>
    <n v="-188"/>
    <n v="0"/>
    <n v="0"/>
    <n v="-19000"/>
    <n v="0"/>
    <n v="0"/>
    <n v="-19000"/>
    <n v="0"/>
    <n v="-19000"/>
    <m/>
    <m/>
    <m/>
    <s v="Syed Waqas"/>
    <m/>
    <m/>
    <m/>
  </r>
  <r>
    <n v="923"/>
    <x v="177"/>
    <x v="24"/>
    <s v=" -"/>
    <s v=" MOTOR"/>
    <d v="2023-10-28T00:00:00"/>
    <d v="2023-10-25T00:00:00"/>
    <d v="2024-10-24T00:00:00"/>
    <s v=" 08813835"/>
    <s v="Mrs. Tanzila Riaz_x000a_CNIC: 4250153288946_x000a_Cell: 03218201728"/>
    <m/>
    <s v="DAIHATSU MIRA EIS"/>
    <s v="BWE-240"/>
    <s v="KF-J638335"/>
    <s v="LA350S-0088116"/>
    <s v="2018"/>
    <m/>
    <m/>
    <s v=" D"/>
    <s v="09000221-Muhammad Irfan"/>
    <n v="2500000"/>
    <n v="4343"/>
    <n v="43"/>
    <n v="564"/>
    <n v="50"/>
    <n v="5000"/>
    <n v="5014"/>
    <n v="0"/>
    <n v="-14"/>
    <n v="0"/>
    <n v="-14"/>
    <m/>
    <m/>
    <m/>
    <s v="AFSHEEN ISMAIL"/>
    <m/>
    <m/>
    <s v="ahsan.baripm@gmail.com"/>
  </r>
  <r>
    <n v="924"/>
    <x v="177"/>
    <x v="689"/>
    <s v=" -"/>
    <s v=" MOTOR"/>
    <d v="2024-04-25T00:00:00"/>
    <d v="2023-10-25T00:00:00"/>
    <d v="2024-10-24T00:00:00"/>
    <s v=" 08813835"/>
    <s v="Mrs. Tanzila Riaz_x000a_CNIC: 4250153288946_x000a_Cell: 03218201728"/>
    <m/>
    <s v="DAIHATSU MIRA EIS"/>
    <s v="BWE-240"/>
    <s v="KF-J638335"/>
    <s v="LA350S-0088116"/>
    <s v="2018"/>
    <m/>
    <m/>
    <s v=" D"/>
    <s v="09000221-Muhammad Irfan"/>
    <n v="2500000"/>
    <n v="1910"/>
    <n v="19"/>
    <n v="249"/>
    <n v="0"/>
    <n v="2178"/>
    <n v="2164"/>
    <n v="0"/>
    <n v="14"/>
    <n v="0"/>
    <n v="14"/>
    <m/>
    <m/>
    <m/>
    <s v="AFSHEEN ISMAIL"/>
    <n v="788.88000000000102"/>
    <n v="635.52"/>
    <m/>
  </r>
  <r>
    <n v="926"/>
    <x v="178"/>
    <x v="690"/>
    <s v=" -"/>
    <s v=" MOTOR"/>
    <d v="2023-10-31T00:00:00"/>
    <d v="2023-10-28T00:00:00"/>
    <d v="2024-10-27T00:00:00"/>
    <s v=" 08809635"/>
    <s v="Mr. Zeeshan Ali_x000a_CNIC: 4210176490019_x000a_Cell: 03152709408"/>
    <m/>
    <s v="TOYOTA COROLLA GLI"/>
    <s v="BMH-952"/>
    <s v="Z522020"/>
    <s v="NZE170R-414851"/>
    <s v="2018"/>
    <m/>
    <m/>
    <s v=" D"/>
    <s v="09000221-Muhammad Irfan"/>
    <n v="3000000"/>
    <n v="48245"/>
    <n v="483"/>
    <n v="6272"/>
    <n v="0"/>
    <n v="55000"/>
    <n v="0"/>
    <n v="0"/>
    <n v="55000"/>
    <n v="0"/>
    <n v="55000"/>
    <m/>
    <m/>
    <m/>
    <s v="MUHAMMAD WAQAS"/>
    <m/>
    <m/>
    <m/>
  </r>
  <r>
    <n v="927"/>
    <x v="178"/>
    <x v="691"/>
    <s v=" -"/>
    <s v=" MOTOR"/>
    <d v="2024-04-29T00:00:00"/>
    <d v="2023-10-28T00:00:00"/>
    <d v="2024-10-27T00:00:00"/>
    <s v=" 08809635"/>
    <s v="Mr. Zeeshan Ali_x000a_CNIC: 4210176490019_x000a_Cell: 03152709408"/>
    <m/>
    <s v="TOYOTA COROLLA GLI"/>
    <s v="BMH-952"/>
    <s v="Z522020"/>
    <s v="NZE170R-414851"/>
    <s v="2018"/>
    <m/>
    <m/>
    <s v=" D"/>
    <s v="09000221-Muhammad Irfan"/>
    <n v="3000000"/>
    <n v="3676"/>
    <n v="36"/>
    <n v="477"/>
    <n v="0"/>
    <n v="4189"/>
    <n v="0"/>
    <n v="0"/>
    <n v="4189"/>
    <n v="0"/>
    <n v="4189"/>
    <m/>
    <m/>
    <m/>
    <s v="MUHAMMAD WAQAS"/>
    <n v="2109.8700000000117"/>
    <n v="1018.7700000000001"/>
    <m/>
  </r>
  <r>
    <n v="928"/>
    <x v="178"/>
    <x v="692"/>
    <s v=" -"/>
    <s v=" MOTOR"/>
    <d v="2024-05-29T00:00:00"/>
    <d v="2023-10-28T00:00:00"/>
    <d v="2024-10-27T00:00:00"/>
    <s v=" 08809635"/>
    <s v="Mr. Zeeshan Ali_x000a_CNIC: 4210176490019_x000a_Cell: 03152709408"/>
    <m/>
    <s v="TOYOTA COROLLA GLI"/>
    <s v="BMH-952"/>
    <s v="Z522020"/>
    <s v="NZE170R-414851"/>
    <s v="2018"/>
    <m/>
    <m/>
    <s v=" D"/>
    <s v="09000221-Muhammad Irfan"/>
    <n v="3000000"/>
    <n v="4673"/>
    <n v="47"/>
    <n v="608"/>
    <n v="0"/>
    <n v="5328"/>
    <n v="0"/>
    <n v="0"/>
    <n v="5328"/>
    <n v="0"/>
    <n v="5328"/>
    <m/>
    <m/>
    <m/>
    <s v="MUHAMMAD WAQAS"/>
    <n v="3166.7600000000211"/>
    <n v="1295.97"/>
    <m/>
  </r>
  <r>
    <n v="929"/>
    <x v="178"/>
    <x v="693"/>
    <s v=" -"/>
    <s v=" MOTOR"/>
    <d v="2024-06-28T00:00:00"/>
    <d v="2023-10-28T00:00:00"/>
    <d v="2024-10-27T00:00:00"/>
    <s v=" 08809635"/>
    <s v="Mr. Zeeshan Ali_x000a_CNIC: 4210176490019_x000a_Cell: 03152709408"/>
    <m/>
    <s v="TOYOTA COROLLA GLI"/>
    <s v="BMH-952"/>
    <s v="Z522020"/>
    <s v="NZE170R-414851"/>
    <s v="2018"/>
    <m/>
    <m/>
    <s v=" D"/>
    <s v="09000221-Muhammad Irfan"/>
    <n v="3000000"/>
    <n v="4766"/>
    <n v="48"/>
    <n v="619"/>
    <n v="0"/>
    <n v="5433"/>
    <n v="0"/>
    <n v="0"/>
    <n v="5433"/>
    <n v="0"/>
    <n v="5433"/>
    <m/>
    <m/>
    <m/>
    <s v="MUHAMMAD WAQAS"/>
    <n v="2735.5899999999879"/>
    <n v="1321.75"/>
    <m/>
  </r>
  <r>
    <n v="930"/>
    <x v="178"/>
    <x v="694"/>
    <s v=" -"/>
    <s v=" MOTOR"/>
    <d v="2024-07-30T00:00:00"/>
    <d v="2023-10-28T00:00:00"/>
    <d v="2024-10-27T00:00:00"/>
    <s v=" 08809635"/>
    <s v="Mr. Zeeshan Ali_x000a_CNIC: 4210176490019_x000a_Cell: 03152709408"/>
    <m/>
    <s v="TOYOTA COROLLA GLI"/>
    <s v="BMH-952"/>
    <s v="Z522020"/>
    <s v="NZE170R-414851"/>
    <s v="2018"/>
    <m/>
    <m/>
    <s v=" D"/>
    <s v="09000221-Muhammad Irfan"/>
    <n v="3000000"/>
    <n v="4560"/>
    <n v="46"/>
    <n v="684"/>
    <n v="0"/>
    <n v="5290"/>
    <n v="0"/>
    <n v="0"/>
    <n v="5290"/>
    <n v="0"/>
    <n v="5290"/>
    <m/>
    <m/>
    <m/>
    <s v="MUHAMMAD WAQAS"/>
    <n v="3044.3500000000035"/>
    <n v="1286.67"/>
    <m/>
  </r>
  <r>
    <n v="931"/>
    <x v="178"/>
    <x v="695"/>
    <s v=" -"/>
    <s v=" MOTOR"/>
    <d v="2024-08-31T00:00:00"/>
    <d v="2023-10-28T00:00:00"/>
    <d v="2024-10-27T00:00:00"/>
    <s v=" 08809635"/>
    <s v="Mr. Zeeshan Ali_x000a_CNIC: 4210176490019_x000a_Cell: 03152709408"/>
    <m/>
    <s v="TOYOTA COROLLA GLI"/>
    <s v="BMH-952"/>
    <s v="Z522020"/>
    <s v="NZE170R-414851"/>
    <s v="2018"/>
    <m/>
    <m/>
    <s v=" D"/>
    <s v="09000221-Muhammad Irfan"/>
    <n v="3000000"/>
    <n v="4686"/>
    <n v="47"/>
    <n v="703"/>
    <n v="0"/>
    <n v="5436"/>
    <n v="0"/>
    <n v="0"/>
    <n v="5436"/>
    <n v="0"/>
    <n v="5436"/>
    <m/>
    <m/>
    <m/>
    <s v="MUHAMMAD WAQAS"/>
    <n v="4483.4100000000662"/>
    <n v="1322.12"/>
    <m/>
  </r>
  <r>
    <n v="932"/>
    <x v="178"/>
    <x v="696"/>
    <s v=" -"/>
    <s v=" MOTOR"/>
    <d v="2024-10-05T00:00:00"/>
    <d v="2023-10-28T00:00:00"/>
    <d v="2024-10-27T00:00:00"/>
    <s v=" 08809635"/>
    <s v="Mr. Zeeshan Ali_x000a_CNIC: 4210176490019_x000a_Cell: 03152709408"/>
    <m/>
    <s v="TOYOTA COROLLA GLI"/>
    <s v="BMH-952"/>
    <s v="Z522020"/>
    <s v="NZE170R-414851"/>
    <s v="2018"/>
    <m/>
    <m/>
    <s v=" D"/>
    <s v="09000221-Muhammad Irfan"/>
    <n v="3000000"/>
    <n v="4744"/>
    <n v="47"/>
    <n v="712"/>
    <n v="0"/>
    <n v="5503"/>
    <n v="0"/>
    <n v="0"/>
    <n v="5503"/>
    <n v="0"/>
    <n v="5503"/>
    <m/>
    <m/>
    <m/>
    <s v="MUHAMMAD WAQAS"/>
    <n v="3787.9400000000223"/>
    <n v="1338.47"/>
    <m/>
  </r>
  <r>
    <n v="933"/>
    <x v="178"/>
    <x v="697"/>
    <s v=" -"/>
    <s v=" MOTOR"/>
    <d v="2024-12-29T00:00:00"/>
    <d v="2023-10-28T00:00:00"/>
    <d v="2024-10-27T00:00:00"/>
    <s v=" 08809635"/>
    <s v="Mr. Zeeshan Ali_x000a_CNIC: 4210176490019_x000a_Cell: 03152709408"/>
    <m/>
    <s v="TOYOTA COROLLA GLI"/>
    <s v="BMH-952"/>
    <s v="Z522020"/>
    <s v="NZE170R-414851"/>
    <s v="2018"/>
    <m/>
    <m/>
    <s v=" D"/>
    <s v="09000221-Muhammad Irfan"/>
    <n v="-1"/>
    <n v="-85326"/>
    <n v="-853"/>
    <n v="0"/>
    <n v="0"/>
    <n v="-86179"/>
    <n v="0"/>
    <n v="0"/>
    <n v="-86179"/>
    <n v="0"/>
    <n v="-86179"/>
    <m/>
    <m/>
    <m/>
    <s v="MUHAMMAD WAQAS"/>
    <m/>
    <m/>
    <m/>
  </r>
  <r>
    <n v="949"/>
    <x v="179"/>
    <x v="698"/>
    <s v=" -"/>
    <s v=" MOTOR"/>
    <d v="2023-12-01T00:00:00"/>
    <d v="2023-10-30T00:00:00"/>
    <d v="2024-10-29T00:00:00"/>
    <s v=" 08813949"/>
    <s v="Mr. Saqib Raza _x000a_CNIC: 4230110001937_x000a_Cell: 03219239337"/>
    <m/>
    <s v="TOYOTA COROLLA"/>
    <s v="BFL-564"/>
    <s v="Z398701"/>
    <s v="NZE170R-4063954"/>
    <s v="2016"/>
    <m/>
    <m/>
    <s v=" D"/>
    <s v="09000210-Tariq Shahzad"/>
    <n v="3200000"/>
    <n v="1367"/>
    <n v="14"/>
    <n v="178"/>
    <n v="0"/>
    <n v="1559"/>
    <n v="0"/>
    <n v="0"/>
    <n v="1559"/>
    <n v="0"/>
    <n v="1559"/>
    <m/>
    <m/>
    <m/>
    <s v="AFSHEEN ISMAIL"/>
    <n v="625.68000000000006"/>
    <n v="355.97"/>
    <m/>
  </r>
  <r>
    <n v="950"/>
    <x v="179"/>
    <x v="699"/>
    <s v=" -"/>
    <s v=" MOTOR"/>
    <d v="2023-12-29T00:00:00"/>
    <d v="2023-10-30T00:00:00"/>
    <d v="2024-10-29T00:00:00"/>
    <s v=" 08813949"/>
    <s v="Mr. Saqib Raza _x000a_CNIC: 4230110001937_x000a_Cell: 03219239337"/>
    <m/>
    <s v="TOYOTA COROLLA"/>
    <s v="BFL-564"/>
    <s v="Z398701"/>
    <s v="NZE170R-4063954"/>
    <s v="2016"/>
    <m/>
    <m/>
    <s v=" D"/>
    <s v="09000210-Tariq Shahzad"/>
    <n v="3200000"/>
    <n v="50386"/>
    <n v="504"/>
    <n v="6551"/>
    <n v="0"/>
    <n v="57441"/>
    <n v="0"/>
    <n v="0"/>
    <n v="57441"/>
    <n v="0"/>
    <n v="57441"/>
    <m/>
    <m/>
    <m/>
    <s v="AFSHEEN ISMAIL"/>
    <m/>
    <m/>
    <m/>
  </r>
  <r>
    <n v="951"/>
    <x v="179"/>
    <x v="700"/>
    <s v=" -"/>
    <s v=" MOTOR"/>
    <d v="2024-10-31T00:00:00"/>
    <d v="2023-10-30T00:00:00"/>
    <d v="2024-10-29T00:00:00"/>
    <s v=" 08813949"/>
    <s v="Mr. Saqib Raza _x000a_CNIC: 4230110001937_x000a_Cell: 03219239337"/>
    <m/>
    <s v="TOYOTA COROLLA"/>
    <s v="BFL-564"/>
    <s v="Z398701"/>
    <s v="NZE170R-4063954"/>
    <s v="2016"/>
    <m/>
    <m/>
    <s v=" D"/>
    <s v="09000210-Tariq Shahzad"/>
    <n v="-1"/>
    <n v="-58416"/>
    <n v="-584"/>
    <n v="0"/>
    <n v="0"/>
    <n v="-59000"/>
    <n v="0"/>
    <n v="0"/>
    <n v="-59000"/>
    <n v="0"/>
    <n v="-59000"/>
    <m/>
    <m/>
    <m/>
    <s v="AFSHEEN ISMAIL"/>
    <m/>
    <m/>
    <m/>
  </r>
  <r>
    <n v="952"/>
    <x v="180"/>
    <x v="701"/>
    <s v=" -"/>
    <s v=" MOTOR"/>
    <d v="2023-12-29T00:00:00"/>
    <d v="2023-11-01T00:00:00"/>
    <d v="2024-10-31T00:00:00"/>
    <s v=" 08810783"/>
    <s v="Mr. Saeed Ahmed_x000a_CNIC No: 4120575781255_x000a_Phone Number:  03343926061"/>
    <m/>
    <s v="TOYOTA YARIS ATIV CVT"/>
    <s v="BSC 711"/>
    <s v="2A05456"/>
    <s v="NSP150R-7002850"/>
    <s v="2020"/>
    <m/>
    <m/>
    <s v=" D"/>
    <s v="09000210-Tariq Shahzad"/>
    <n v="3400000"/>
    <n v="54281"/>
    <n v="543"/>
    <n v="7057"/>
    <n v="0"/>
    <n v="61881"/>
    <n v="0"/>
    <n v="0"/>
    <n v="61881"/>
    <n v="0"/>
    <n v="61881"/>
    <m/>
    <m/>
    <m/>
    <s v="Fizza Sheikh"/>
    <m/>
    <m/>
    <m/>
  </r>
  <r>
    <n v="953"/>
    <x v="180"/>
    <x v="702"/>
    <s v=" -"/>
    <s v=" MOTOR"/>
    <d v="2024-01-02T00:00:00"/>
    <d v="2023-11-01T00:00:00"/>
    <d v="2024-10-31T00:00:00"/>
    <s v=" 08810783"/>
    <s v="Mr. Saeed Ahmed_x000a_CNIC No: 4120575781255_x000a_Phone Number:  03343926061"/>
    <m/>
    <s v="TOYOTA YARIS ATIV CVT"/>
    <s v="BSC 711"/>
    <s v="2A05456"/>
    <s v="NSP150R-7002850"/>
    <s v="2020"/>
    <m/>
    <m/>
    <s v=" D"/>
    <s v="09000210-Tariq Shahzad"/>
    <n v="3400000"/>
    <n v="2067"/>
    <n v="21"/>
    <n v="268"/>
    <n v="0"/>
    <n v="2356"/>
    <n v="0"/>
    <n v="0"/>
    <n v="2356"/>
    <n v="0"/>
    <n v="2356"/>
    <m/>
    <m/>
    <m/>
    <s v="Fizza Sheikh"/>
    <n v="1355.2900000000379"/>
    <n v="505.32000000000005"/>
    <m/>
  </r>
  <r>
    <n v="954"/>
    <x v="180"/>
    <x v="703"/>
    <s v=" -"/>
    <s v=" MOTOR"/>
    <d v="2024-07-02T00:00:00"/>
    <d v="2023-11-01T00:00:00"/>
    <d v="2024-10-31T00:00:00"/>
    <s v=" 08810783"/>
    <s v="Mr. Saeed Ahmed_x000a_CNIC No: 4120575781255_x000a_Phone Number:  03343926061"/>
    <m/>
    <s v="TOYOTA YARIS ATIV CVT"/>
    <s v="BSC 711"/>
    <s v="2A05456"/>
    <s v="NSP150R-7002850"/>
    <s v="2020"/>
    <m/>
    <m/>
    <s v=" D"/>
    <s v="09000210-Tariq Shahzad"/>
    <n v="3400000"/>
    <n v="1796"/>
    <n v="18"/>
    <n v="269"/>
    <n v="0"/>
    <n v="2083"/>
    <n v="0"/>
    <n v="0"/>
    <n v="2083"/>
    <n v="0"/>
    <n v="2083"/>
    <m/>
    <m/>
    <m/>
    <s v="Fizza Sheikh"/>
    <n v="1626.5800000000452"/>
    <n v="446.72"/>
    <m/>
  </r>
  <r>
    <n v="955"/>
    <x v="180"/>
    <x v="704"/>
    <s v=" -"/>
    <s v=" MOTOR"/>
    <d v="2024-11-05T00:00:00"/>
    <d v="2023-11-01T00:00:00"/>
    <d v="2024-10-31T00:00:00"/>
    <s v=" 08810783"/>
    <s v="Mr. Saeed Ahmed_x000a_CNIC No: 4120575781255_x000a_Phone Number:  03343926061"/>
    <m/>
    <s v="TOYOTA YARIS ATIV CVT"/>
    <s v="BSC 711"/>
    <s v="2A05456"/>
    <s v="NSP150R-7002850"/>
    <s v="2020"/>
    <m/>
    <m/>
    <s v=" D"/>
    <s v="09000210-Tariq Shahzad"/>
    <n v="3400000"/>
    <n v="1481"/>
    <n v="15"/>
    <n v="222"/>
    <n v="0"/>
    <n v="1718"/>
    <n v="0"/>
    <n v="0"/>
    <n v="1718"/>
    <n v="0"/>
    <n v="1718"/>
    <m/>
    <m/>
    <m/>
    <s v="Fizza Sheikh"/>
    <n v="381.34"/>
    <n v="368.59"/>
    <m/>
  </r>
  <r>
    <n v="956"/>
    <x v="180"/>
    <x v="705"/>
    <s v=" -"/>
    <s v=" MOTOR"/>
    <d v="2024-11-05T00:00:00"/>
    <d v="2023-11-01T00:00:00"/>
    <d v="2024-10-31T00:00:00"/>
    <s v=" 08810783"/>
    <s v="Mr. Saeed Ahmed_x000a_CNIC No: 4120575781255_x000a_Phone Number:  03343926061"/>
    <m/>
    <s v="TOYOTA YARIS ATIV CVT"/>
    <s v="BSC 711"/>
    <s v="2A05456"/>
    <s v="NSP150R-7002850"/>
    <s v="2020"/>
    <m/>
    <m/>
    <s v=" D"/>
    <s v="09000210-Tariq Shahzad"/>
    <n v="3400000"/>
    <n v="469"/>
    <n v="5"/>
    <n v="70"/>
    <n v="0"/>
    <n v="544"/>
    <n v="0"/>
    <n v="0"/>
    <n v="544"/>
    <n v="0"/>
    <n v="544"/>
    <m/>
    <m/>
    <m/>
    <s v="Fizza Sheikh"/>
    <n v="334.71000000000504"/>
    <n v="116.71"/>
    <m/>
  </r>
  <r>
    <n v="957"/>
    <x v="180"/>
    <x v="706"/>
    <s v=" -"/>
    <s v=" MOTOR"/>
    <d v="2024-11-05T00:00:00"/>
    <d v="2023-11-01T00:00:00"/>
    <d v="2024-10-31T00:00:00"/>
    <s v=" 08810783"/>
    <s v="Mr. Saeed Ahmed_x000a_CNIC No: 4120575781255_x000a_Phone Number:  03343926061"/>
    <m/>
    <s v="TOYOTA YARIS ATIV CVT"/>
    <s v="BSC 711"/>
    <s v="2A05456"/>
    <s v="NSP150R-7002850"/>
    <s v="2020"/>
    <m/>
    <m/>
    <s v=" D"/>
    <s v="09000210-Tariq Shahzad"/>
    <n v="3400000"/>
    <n v="1597"/>
    <n v="16"/>
    <n v="239"/>
    <n v="0"/>
    <n v="1852"/>
    <n v="0"/>
    <n v="0"/>
    <n v="1852"/>
    <n v="0"/>
    <n v="1852"/>
    <m/>
    <m/>
    <m/>
    <s v="Fizza Sheikh"/>
    <n v="408.49"/>
    <n v="397.35"/>
    <m/>
  </r>
  <r>
    <n v="958"/>
    <x v="180"/>
    <x v="707"/>
    <s v=" -"/>
    <s v=" MOTOR"/>
    <d v="2024-11-05T00:00:00"/>
    <d v="2023-11-01T00:00:00"/>
    <d v="2024-10-31T00:00:00"/>
    <s v=" 08810783"/>
    <s v="Mr. Saeed Ahmed_x000a_CNIC No: 4120575781255_x000a_Phone Number:  03343926061"/>
    <m/>
    <s v="TOYOTA YARIS ATIV CVT"/>
    <s v="BSC 711"/>
    <s v="2A05456"/>
    <s v="NSP150R-7002850"/>
    <s v="2020"/>
    <m/>
    <m/>
    <s v=" D"/>
    <s v="09000210-Tariq Shahzad"/>
    <n v="3400000"/>
    <n v="1738"/>
    <n v="17"/>
    <n v="261"/>
    <n v="0"/>
    <n v="2016"/>
    <n v="0"/>
    <n v="0"/>
    <n v="2016"/>
    <n v="0"/>
    <n v="2016"/>
    <m/>
    <m/>
    <m/>
    <s v="Fizza Sheikh"/>
    <n v="466.26000000000005"/>
    <n v="432.64"/>
    <m/>
  </r>
  <r>
    <n v="959"/>
    <x v="180"/>
    <x v="708"/>
    <s v=" -"/>
    <s v=" MOTOR"/>
    <d v="2024-12-29T00:00:00"/>
    <d v="2023-11-01T00:00:00"/>
    <d v="2024-10-31T00:00:00"/>
    <s v=" 08810783"/>
    <s v="Mr. Saeed Ahmed_x000a_CNIC No: 4120575781255_x000a_Phone Number:  03343926061"/>
    <m/>
    <s v="TOYOTA YARIS ATIV CVT"/>
    <s v="BSC 711"/>
    <s v="2A05456"/>
    <s v="NSP150R-7002850"/>
    <s v="2020"/>
    <m/>
    <m/>
    <s v=" D"/>
    <s v="09000210-Tariq Shahzad"/>
    <n v="-1"/>
    <n v="-71733"/>
    <n v="-717"/>
    <n v="0"/>
    <n v="0"/>
    <n v="-72450"/>
    <n v="0"/>
    <n v="0"/>
    <n v="-72450"/>
    <n v="0"/>
    <n v="-72450"/>
    <m/>
    <m/>
    <m/>
    <s v="Fizza Sheikh"/>
    <m/>
    <m/>
    <m/>
  </r>
  <r>
    <n v="965"/>
    <x v="181"/>
    <x v="709"/>
    <s v=" -"/>
    <s v=" MOTOR"/>
    <d v="2023-12-29T00:00:00"/>
    <d v="2023-11-02T00:00:00"/>
    <d v="2024-11-01T00:00:00"/>
    <s v=" 08814001"/>
    <s v="Mr. Khalil Ahmed_x000a_CNIC: 4550497752359_x000a_Cell: 03352741410"/>
    <m/>
    <s v="SUZUKI CULTUS VXL"/>
    <s v="BUN-135"/>
    <s v="PK10K184558"/>
    <s v="NF1AVK31H10084561"/>
    <s v="2021"/>
    <m/>
    <m/>
    <s v=" D"/>
    <s v="09000210-Tariq Shahzad"/>
    <n v="2800000"/>
    <n v="43266"/>
    <n v="433"/>
    <n v="5624"/>
    <n v="0"/>
    <n v="49323"/>
    <n v="0"/>
    <n v="0"/>
    <n v="49323"/>
    <n v="0"/>
    <n v="49323"/>
    <m/>
    <m/>
    <m/>
    <s v="AFSHEEN ISMAIL"/>
    <m/>
    <m/>
    <m/>
  </r>
  <r>
    <n v="966"/>
    <x v="181"/>
    <x v="710"/>
    <s v=" -"/>
    <s v=" MOTOR"/>
    <d v="2024-06-03T00:00:00"/>
    <d v="2023-11-02T00:00:00"/>
    <d v="2024-11-01T00:00:00"/>
    <s v=" 08814001"/>
    <s v="Mr. Khalil Ahmed_x000a_CNIC: 4550497752359_x000a_Cell: 03352741410"/>
    <m/>
    <s v="SUZUKI CULTUS VXL"/>
    <s v="BUN-135"/>
    <s v="PK10K184558"/>
    <s v="NF1AVK31H10084561"/>
    <s v="2021"/>
    <m/>
    <m/>
    <s v=" D"/>
    <s v="09000210-Tariq Shahzad"/>
    <n v="2800000"/>
    <n v="2031"/>
    <n v="20"/>
    <n v="264"/>
    <n v="0"/>
    <n v="2315"/>
    <n v="0"/>
    <n v="0"/>
    <n v="2315"/>
    <n v="0"/>
    <n v="2315"/>
    <m/>
    <m/>
    <m/>
    <s v="AFSHEEN ISMAIL"/>
    <n v="604.74000000000103"/>
    <n v="603.59000000000106"/>
    <m/>
  </r>
  <r>
    <n v="967"/>
    <x v="181"/>
    <x v="711"/>
    <s v=" -"/>
    <s v=" MOTOR"/>
    <d v="2024-10-09T00:00:00"/>
    <d v="2023-11-02T00:00:00"/>
    <d v="2024-11-01T00:00:00"/>
    <s v=" 08814001"/>
    <s v="Mr. Khalil Ahmed_x000a_CNIC: 4550497752359_x000a_Cell: 03352741410"/>
    <m/>
    <s v="SUZUKI CULTUS VXL"/>
    <s v="BUN-135"/>
    <s v="PK10K184558"/>
    <s v="NF1AVK31H10084561"/>
    <s v="2021"/>
    <m/>
    <m/>
    <s v=" D"/>
    <s v="09000210-Tariq Shahzad"/>
    <n v="2800000"/>
    <n v="1866"/>
    <n v="19"/>
    <n v="280"/>
    <n v="0"/>
    <n v="2165"/>
    <n v="0"/>
    <n v="0"/>
    <n v="2165"/>
    <n v="0"/>
    <n v="2165"/>
    <m/>
    <m/>
    <m/>
    <s v="AFSHEEN ISMAIL"/>
    <n v="634.89"/>
    <n v="563.92000000000007"/>
    <m/>
  </r>
  <r>
    <n v="968"/>
    <x v="181"/>
    <x v="712"/>
    <s v=" -"/>
    <s v=" MOTOR"/>
    <d v="2024-11-05T00:00:00"/>
    <d v="2023-11-02T00:00:00"/>
    <d v="2024-11-01T00:00:00"/>
    <s v=" 08814001"/>
    <s v="Mr. Khalil Ahmed_x000a_CNIC: 4550497752359_x000a_Cell: 03352741410"/>
    <m/>
    <s v="SUZUKI CULTUS VXL"/>
    <s v="BUN-135"/>
    <s v="PK10K184558"/>
    <s v="NF1AVK31H10084561"/>
    <s v="2021"/>
    <m/>
    <m/>
    <s v=" D"/>
    <s v="09000210-Tariq Shahzad"/>
    <n v="2800000"/>
    <n v="2448"/>
    <n v="24"/>
    <n v="367"/>
    <n v="0"/>
    <n v="2839"/>
    <n v="0"/>
    <n v="0"/>
    <n v="2839"/>
    <n v="0"/>
    <n v="2839"/>
    <m/>
    <m/>
    <m/>
    <s v="AFSHEEN ISMAIL"/>
    <n v="740.31"/>
    <n v="740.31"/>
    <m/>
  </r>
  <r>
    <n v="969"/>
    <x v="181"/>
    <x v="713"/>
    <s v=" -"/>
    <s v=" MOTOR"/>
    <d v="2024-12-29T00:00:00"/>
    <d v="2023-11-02T00:00:00"/>
    <d v="2024-11-01T00:00:00"/>
    <s v=" 08814001"/>
    <s v="Mr. Khalil Ahmed_x000a_CNIC: 4550497752359_x000a_Cell: 03352741410"/>
    <m/>
    <s v="SUZUKI CULTUS VXL"/>
    <s v="BUN-135"/>
    <s v="PK10K184558"/>
    <s v="NF1AVK31H10084561"/>
    <s v="2021"/>
    <m/>
    <m/>
    <s v=" D"/>
    <s v="09000210-Tariq Shahzad"/>
    <n v="-1"/>
    <n v="-56081"/>
    <n v="-561"/>
    <n v="0"/>
    <n v="0"/>
    <n v="-56642"/>
    <n v="0"/>
    <n v="0"/>
    <n v="-56642"/>
    <n v="0"/>
    <n v="-56642"/>
    <m/>
    <m/>
    <m/>
    <s v="AFSHEEN ISMAIL"/>
    <m/>
    <m/>
    <m/>
  </r>
  <r>
    <n v="970"/>
    <x v="182"/>
    <x v="714"/>
    <s v=" -"/>
    <s v=" MOTOR"/>
    <d v="2023-12-29T00:00:00"/>
    <d v="2023-11-02T00:00:00"/>
    <d v="2024-11-01T00:00:00"/>
    <s v=" 08805710"/>
    <s v="Mr. Hamza Saleem Mirza_x000a_CNIC# 42101-8566667-9_x000a_CELL# 0334-1120985"/>
    <m/>
    <s v="SUZUKI ALTO VXR"/>
    <s v="BWN-587"/>
    <s v="6R226621"/>
    <s v="NF1AET306H1126643"/>
    <s v="2022"/>
    <m/>
    <m/>
    <s v=" D"/>
    <s v="09000221-Muhammad Irfan"/>
    <n v="2100000"/>
    <n v="31860"/>
    <n v="319"/>
    <n v="4142"/>
    <n v="0"/>
    <n v="36321"/>
    <n v="0"/>
    <n v="0"/>
    <n v="36321"/>
    <n v="0"/>
    <n v="36321"/>
    <m/>
    <m/>
    <m/>
    <s v="Syed Waqas"/>
    <m/>
    <m/>
    <m/>
  </r>
  <r>
    <n v="971"/>
    <x v="182"/>
    <x v="715"/>
    <s v=" -"/>
    <s v=" MOTOR"/>
    <d v="2024-05-02T00:00:00"/>
    <d v="2023-11-02T00:00:00"/>
    <d v="2024-11-01T00:00:00"/>
    <s v=" 08805710"/>
    <s v="Mr. Hamza Saleem Mirza_x000a_CNIC# 42101-8566667-9_x000a_CELL# 0334-1120985"/>
    <m/>
    <s v="SUZUKI ALTO VXR"/>
    <s v="BWN-587"/>
    <s v="6R226621"/>
    <s v="NF1AET306H1126643"/>
    <s v="2022"/>
    <m/>
    <m/>
    <s v=" D"/>
    <s v="09000221-Muhammad Irfan"/>
    <n v="2100000"/>
    <n v="1090"/>
    <n v="11"/>
    <n v="142"/>
    <n v="0"/>
    <n v="1243"/>
    <n v="0"/>
    <n v="0"/>
    <n v="1243"/>
    <n v="0"/>
    <n v="1243"/>
    <m/>
    <m/>
    <m/>
    <s v="Syed Waqas"/>
    <n v="446.12000000000006"/>
    <n v="432.22"/>
    <m/>
  </r>
  <r>
    <n v="972"/>
    <x v="182"/>
    <x v="716"/>
    <s v=" -"/>
    <s v=" MOTOR"/>
    <d v="2024-06-03T00:00:00"/>
    <d v="2023-11-02T00:00:00"/>
    <d v="2024-11-01T00:00:00"/>
    <s v=" 08805710"/>
    <s v="Mr. Hamza Saleem Mirza_x000a_CNIC# 42101-8566667-9_x000a_CELL# 0334-1120985"/>
    <m/>
    <s v="SUZUKI ALTO VXR"/>
    <s v="BWN-587"/>
    <s v="6R226621"/>
    <s v="NF1AET306H1126643"/>
    <s v="2022"/>
    <m/>
    <m/>
    <s v=" D"/>
    <s v="09000221-Muhammad Irfan"/>
    <n v="2100000"/>
    <n v="1364"/>
    <n v="13"/>
    <n v="177"/>
    <n v="0"/>
    <n v="1554"/>
    <n v="0"/>
    <n v="0"/>
    <n v="1554"/>
    <n v="0"/>
    <n v="1554"/>
    <m/>
    <m/>
    <m/>
    <s v="Syed Waqas"/>
    <n v="650.31000000000006"/>
    <n v="541.71"/>
    <m/>
  </r>
  <r>
    <n v="973"/>
    <x v="182"/>
    <x v="717"/>
    <s v=" -"/>
    <s v=" MOTOR"/>
    <d v="2024-10-31T00:00:00"/>
    <d v="2023-11-02T00:00:00"/>
    <d v="2024-11-01T00:00:00"/>
    <s v=" 08805710"/>
    <s v="Mr. Hamza Saleem Mirza_x000a_CNIC# 42101-8566667-9_x000a_CELL# 0334-1120985"/>
    <m/>
    <s v="SUZUKI ALTO VXR"/>
    <s v="BWN-587"/>
    <s v="6R226621"/>
    <s v="NF1AET306H1126643"/>
    <s v="2022"/>
    <m/>
    <m/>
    <s v=" D"/>
    <s v="09000221-Muhammad Irfan"/>
    <n v="-1"/>
    <n v="-38731"/>
    <n v="-387"/>
    <n v="0"/>
    <n v="0"/>
    <n v="-39118"/>
    <n v="0"/>
    <n v="0"/>
    <n v="-39118"/>
    <n v="0"/>
    <n v="-39118"/>
    <m/>
    <m/>
    <m/>
    <s v="Syed Waqas"/>
    <m/>
    <m/>
    <m/>
  </r>
  <r>
    <n v="979"/>
    <x v="183"/>
    <x v="718"/>
    <s v=" -"/>
    <s v=" MOTOR"/>
    <d v="2023-12-04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947"/>
    <n v="10"/>
    <n v="124"/>
    <n v="0"/>
    <n v="1081"/>
    <n v="0"/>
    <n v="0"/>
    <n v="1081"/>
    <n v="0"/>
    <n v="1081"/>
    <m/>
    <m/>
    <m/>
    <s v="Syed Waqas"/>
    <n v="137.42000000000002"/>
    <n v="131.5"/>
    <m/>
  </r>
  <r>
    <n v="980"/>
    <x v="183"/>
    <x v="719"/>
    <s v=" -"/>
    <s v=" MOTOR"/>
    <d v="2023-12-29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99929"/>
    <n v="999"/>
    <n v="12991"/>
    <n v="0"/>
    <n v="113919"/>
    <n v="0"/>
    <n v="0"/>
    <n v="113919"/>
    <n v="0"/>
    <n v="113919"/>
    <m/>
    <m/>
    <m/>
    <s v="Syed Waqas"/>
    <m/>
    <m/>
    <m/>
  </r>
  <r>
    <n v="981"/>
    <x v="183"/>
    <x v="720"/>
    <s v=" -"/>
    <s v=" MOTOR"/>
    <d v="2024-01-04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1470"/>
    <n v="15"/>
    <n v="191"/>
    <n v="0"/>
    <n v="1676"/>
    <n v="0"/>
    <n v="0"/>
    <n v="1676"/>
    <n v="0"/>
    <n v="1676"/>
    <m/>
    <m/>
    <m/>
    <s v="Syed Waqas"/>
    <n v="220.64"/>
    <n v="204.07"/>
    <m/>
  </r>
  <r>
    <n v="982"/>
    <x v="183"/>
    <x v="721"/>
    <s v=" -"/>
    <s v=" MOTOR"/>
    <d v="2024-02-06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325"/>
    <n v="3"/>
    <n v="42"/>
    <n v="0"/>
    <n v="370"/>
    <n v="0"/>
    <n v="0"/>
    <n v="370"/>
    <n v="0"/>
    <n v="370"/>
    <m/>
    <m/>
    <m/>
    <s v="Syed Waqas"/>
    <n v="48.33"/>
    <n v="45"/>
    <m/>
  </r>
  <r>
    <n v="983"/>
    <x v="183"/>
    <x v="722"/>
    <s v=" -"/>
    <s v=" MOTOR"/>
    <d v="2024-03-04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870"/>
    <n v="9"/>
    <n v="113"/>
    <n v="0"/>
    <n v="992"/>
    <n v="0"/>
    <n v="0"/>
    <n v="992"/>
    <n v="0"/>
    <n v="992"/>
    <m/>
    <m/>
    <m/>
    <s v="Syed Waqas"/>
    <n v="165.29"/>
    <n v="120.69"/>
    <m/>
  </r>
  <r>
    <n v="984"/>
    <x v="183"/>
    <x v="723"/>
    <s v=" -"/>
    <s v=" MOTOR"/>
    <d v="2024-04-04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788"/>
    <n v="8"/>
    <n v="102"/>
    <n v="0"/>
    <n v="898"/>
    <n v="0"/>
    <n v="0"/>
    <n v="898"/>
    <n v="0"/>
    <n v="898"/>
    <m/>
    <m/>
    <m/>
    <s v="Syed Waqas"/>
    <n v="165.43"/>
    <n v="109.21"/>
    <m/>
  </r>
  <r>
    <n v="985"/>
    <x v="183"/>
    <x v="724"/>
    <s v=" -"/>
    <s v=" MOTOR"/>
    <d v="2024-05-13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667"/>
    <n v="6"/>
    <n v="87"/>
    <n v="0"/>
    <n v="760"/>
    <n v="0"/>
    <n v="0"/>
    <n v="760"/>
    <n v="0"/>
    <n v="760"/>
    <m/>
    <m/>
    <m/>
    <s v="Syed Waqas"/>
    <n v="133.38"/>
    <n v="92.5"/>
    <m/>
  </r>
  <r>
    <n v="986"/>
    <x v="183"/>
    <x v="725"/>
    <s v=" -"/>
    <s v=" MOTOR"/>
    <d v="2024-06-06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1277"/>
    <n v="13"/>
    <n v="166"/>
    <n v="0"/>
    <n v="1456"/>
    <n v="0"/>
    <n v="0"/>
    <n v="1456"/>
    <n v="0"/>
    <n v="1456"/>
    <m/>
    <m/>
    <m/>
    <s v="Syed Waqas"/>
    <n v="214.76"/>
    <n v="177.43"/>
    <m/>
  </r>
  <r>
    <n v="987"/>
    <x v="183"/>
    <x v="726"/>
    <s v=" -"/>
    <s v=" MOTOR"/>
    <d v="2024-07-04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379"/>
    <n v="4"/>
    <n v="57"/>
    <n v="0"/>
    <n v="440"/>
    <n v="0"/>
    <n v="0"/>
    <n v="440"/>
    <n v="0"/>
    <n v="440"/>
    <m/>
    <m/>
    <m/>
    <s v="Syed Waqas"/>
    <n v="53.45"/>
    <n v="53.45"/>
    <m/>
  </r>
  <r>
    <n v="988"/>
    <x v="183"/>
    <x v="727"/>
    <s v=" -"/>
    <s v=" MOTOR"/>
    <d v="2024-08-07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97"/>
    <n v="1"/>
    <n v="15"/>
    <n v="0"/>
    <n v="113"/>
    <n v="0"/>
    <n v="0"/>
    <n v="113"/>
    <n v="0"/>
    <n v="113"/>
    <m/>
    <m/>
    <m/>
    <s v="Syed Waqas"/>
    <n v="13.67"/>
    <n v="13.67"/>
    <m/>
  </r>
  <r>
    <n v="989"/>
    <x v="183"/>
    <x v="728"/>
    <s v=" -"/>
    <s v=" MOTOR"/>
    <d v="2024-09-06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1482"/>
    <n v="15"/>
    <n v="222"/>
    <n v="0"/>
    <n v="1719"/>
    <n v="0"/>
    <n v="0"/>
    <n v="1719"/>
    <n v="0"/>
    <n v="1719"/>
    <m/>
    <m/>
    <m/>
    <s v="Syed Waqas"/>
    <n v="243.33"/>
    <n v="209.09"/>
    <m/>
  </r>
  <r>
    <n v="990"/>
    <x v="183"/>
    <x v="729"/>
    <s v=" -"/>
    <s v=" MOTOR"/>
    <d v="2024-10-09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13"/>
    <n v="0"/>
    <n v="2"/>
    <n v="0"/>
    <n v="15"/>
    <n v="0"/>
    <n v="0"/>
    <n v="15"/>
    <n v="0"/>
    <n v="15"/>
    <m/>
    <m/>
    <m/>
    <s v="Syed Waqas"/>
    <n v="1.77"/>
    <n v="1.77"/>
    <m/>
  </r>
  <r>
    <n v="991"/>
    <x v="183"/>
    <x v="730"/>
    <s v=" -"/>
    <s v=" MOTOR"/>
    <d v="2024-11-05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6000000"/>
    <n v="856"/>
    <n v="9"/>
    <n v="128"/>
    <n v="0"/>
    <n v="993"/>
    <n v="0"/>
    <n v="0"/>
    <n v="993"/>
    <n v="0"/>
    <n v="993"/>
    <m/>
    <m/>
    <m/>
    <s v="Syed Waqas"/>
    <n v="120.75"/>
    <n v="120.75"/>
    <m/>
  </r>
  <r>
    <n v="992"/>
    <x v="183"/>
    <x v="731"/>
    <s v=" -"/>
    <s v=" MOTOR"/>
    <d v="2024-12-29T00:00:00"/>
    <d v="2023-11-04T00:00:00"/>
    <d v="2024-11-03T00:00:00"/>
    <s v=" 08814042"/>
    <s v="Mr. Sheikh Hamza Shahzad_x000a_CNIC: 4200025792387_x000a_Phone Number: 03444916486"/>
    <m/>
    <s v="TOYOTA COROLLA ALTIS"/>
    <s v="BVV-159"/>
    <s v="Q088021"/>
    <s v="ZRE171R-6065478"/>
    <s v="2022"/>
    <m/>
    <m/>
    <s v=" D"/>
    <s v="09000210-Tariq Shahzad"/>
    <n v="-1"/>
    <n v="-123200"/>
    <n v="-1232"/>
    <n v="0"/>
    <n v="0"/>
    <n v="-124432"/>
    <n v="0"/>
    <n v="0"/>
    <n v="-124432"/>
    <n v="0"/>
    <n v="-124432"/>
    <m/>
    <m/>
    <m/>
    <s v="Syed Waqas"/>
    <m/>
    <m/>
    <m/>
  </r>
  <r>
    <n v="993"/>
    <x v="184"/>
    <x v="732"/>
    <s v=" -"/>
    <s v=" MOTOR"/>
    <d v="2023-12-07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3683"/>
    <n v="37"/>
    <n v="479"/>
    <n v="0"/>
    <n v="4199"/>
    <n v="0"/>
    <n v="0"/>
    <n v="4199"/>
    <n v="0"/>
    <n v="4199"/>
    <m/>
    <m/>
    <m/>
    <s v="Syed Waqas"/>
    <n v="1489.99"/>
    <n v="1021.48"/>
    <m/>
  </r>
  <r>
    <n v="994"/>
    <x v="184"/>
    <x v="733"/>
    <s v=" -"/>
    <s v=" MOTOR"/>
    <d v="2023-12-29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44562"/>
    <n v="446"/>
    <n v="5793"/>
    <n v="0"/>
    <n v="50801"/>
    <n v="0"/>
    <n v="0"/>
    <n v="50801"/>
    <n v="0"/>
    <n v="50801"/>
    <m/>
    <m/>
    <m/>
    <s v="Syed Waqas"/>
    <m/>
    <m/>
    <m/>
  </r>
  <r>
    <n v="995"/>
    <x v="184"/>
    <x v="734"/>
    <s v=" -"/>
    <s v=" MOTOR"/>
    <d v="2024-01-03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4776"/>
    <n v="48"/>
    <n v="621"/>
    <n v="0"/>
    <n v="5445"/>
    <n v="0"/>
    <n v="0"/>
    <n v="5445"/>
    <n v="0"/>
    <n v="5445"/>
    <m/>
    <m/>
    <m/>
    <s v="Syed Waqas"/>
    <n v="1913.9899999999971"/>
    <n v="1324.61"/>
    <m/>
  </r>
  <r>
    <n v="996"/>
    <x v="184"/>
    <x v="735"/>
    <s v=" -"/>
    <s v=" MOTOR"/>
    <d v="2024-02-06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4651"/>
    <n v="46"/>
    <n v="605"/>
    <n v="0"/>
    <n v="5302"/>
    <n v="0"/>
    <n v="0"/>
    <n v="5302"/>
    <n v="0"/>
    <n v="5302"/>
    <m/>
    <m/>
    <m/>
    <s v="Syed Waqas"/>
    <n v="1693.9399999999991"/>
    <n v="1289.3200000000002"/>
    <m/>
  </r>
  <r>
    <n v="997"/>
    <x v="184"/>
    <x v="736"/>
    <s v=" -"/>
    <s v=" MOTOR"/>
    <d v="2024-03-04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3334"/>
    <n v="34"/>
    <n v="434"/>
    <n v="0"/>
    <n v="3802"/>
    <n v="0"/>
    <n v="0"/>
    <n v="3802"/>
    <n v="0"/>
    <n v="3802"/>
    <m/>
    <m/>
    <m/>
    <s v="Syed Waqas"/>
    <n v="1201.0399999999979"/>
    <n v="925.32000000000107"/>
    <m/>
  </r>
  <r>
    <n v="998"/>
    <x v="184"/>
    <x v="737"/>
    <s v=" -"/>
    <s v=" MOTOR"/>
    <d v="2024-04-03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4564"/>
    <n v="45"/>
    <n v="593"/>
    <n v="0"/>
    <n v="5202"/>
    <n v="0"/>
    <n v="0"/>
    <n v="5202"/>
    <n v="0"/>
    <n v="5202"/>
    <m/>
    <m/>
    <m/>
    <s v="Syed Waqas"/>
    <n v="1887.3999999999951"/>
    <n v="1265.42"/>
    <m/>
  </r>
  <r>
    <n v="999"/>
    <x v="184"/>
    <x v="738"/>
    <s v=" -"/>
    <s v=" MOTOR"/>
    <d v="2024-05-13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3891"/>
    <n v="39"/>
    <n v="506"/>
    <n v="0"/>
    <n v="4436"/>
    <n v="0"/>
    <n v="0"/>
    <n v="4436"/>
    <n v="0"/>
    <n v="4436"/>
    <m/>
    <m/>
    <m/>
    <s v="Syed Waqas"/>
    <n v="1528.249999999997"/>
    <n v="1079.52"/>
    <m/>
  </r>
  <r>
    <n v="1000"/>
    <x v="184"/>
    <x v="739"/>
    <s v=" -"/>
    <s v=" MOTOR"/>
    <d v="2024-06-06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4162"/>
    <n v="42"/>
    <n v="541"/>
    <n v="0"/>
    <n v="4745"/>
    <n v="0"/>
    <n v="0"/>
    <n v="4745"/>
    <n v="0"/>
    <n v="4745"/>
    <m/>
    <m/>
    <m/>
    <s v="Syed Waqas"/>
    <n v="1689.2199999999971"/>
    <n v="1154.55"/>
    <m/>
  </r>
  <r>
    <n v="1001"/>
    <x v="184"/>
    <x v="740"/>
    <s v=" -"/>
    <s v=" MOTOR"/>
    <d v="2024-07-03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3997"/>
    <n v="40"/>
    <n v="600"/>
    <n v="0"/>
    <n v="4637"/>
    <n v="0"/>
    <n v="0"/>
    <n v="4637"/>
    <n v="0"/>
    <n v="4637"/>
    <m/>
    <m/>
    <m/>
    <s v="Syed Waqas"/>
    <n v="1400.920000000001"/>
    <n v="1128.2"/>
    <m/>
  </r>
  <r>
    <n v="1002"/>
    <x v="184"/>
    <x v="741"/>
    <s v=" -"/>
    <s v=" MOTOR"/>
    <d v="2024-08-07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4003"/>
    <n v="40"/>
    <n v="601"/>
    <n v="0"/>
    <n v="4644"/>
    <n v="0"/>
    <n v="0"/>
    <n v="4644"/>
    <n v="0"/>
    <n v="4644"/>
    <m/>
    <m/>
    <m/>
    <s v="Syed Waqas"/>
    <n v="1673.8599999999972"/>
    <n v="1129.8"/>
    <m/>
  </r>
  <r>
    <n v="1003"/>
    <x v="184"/>
    <x v="742"/>
    <s v=" -"/>
    <s v=" MOTOR"/>
    <d v="2024-09-06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3630"/>
    <n v="36"/>
    <n v="545"/>
    <n v="0"/>
    <n v="4211"/>
    <n v="0"/>
    <n v="0"/>
    <n v="4211"/>
    <n v="0"/>
    <n v="4211"/>
    <m/>
    <m/>
    <m/>
    <s v="Syed Waqas"/>
    <n v="1208.3000000000009"/>
    <n v="1024.26"/>
    <m/>
  </r>
  <r>
    <n v="1004"/>
    <x v="184"/>
    <x v="743"/>
    <s v=" -"/>
    <s v=" MOTOR"/>
    <d v="2024-10-09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2245"/>
    <n v="22"/>
    <n v="337"/>
    <n v="0"/>
    <n v="2604"/>
    <n v="0"/>
    <n v="0"/>
    <n v="2604"/>
    <n v="0"/>
    <n v="2604"/>
    <m/>
    <m/>
    <m/>
    <s v="Syed Waqas"/>
    <n v="653.62000000000103"/>
    <n v="633.43000000000006"/>
    <m/>
  </r>
  <r>
    <n v="1005"/>
    <x v="184"/>
    <x v="744"/>
    <s v=" -"/>
    <s v=" MOTOR"/>
    <d v="2024-11-05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3000000"/>
    <n v="1128"/>
    <n v="11"/>
    <n v="169"/>
    <n v="0"/>
    <n v="1308"/>
    <n v="0"/>
    <n v="0"/>
    <n v="1308"/>
    <n v="0"/>
    <n v="1308"/>
    <m/>
    <m/>
    <m/>
    <s v="Syed Waqas"/>
    <n v="1522.4699999999791"/>
    <n v="318.64000000000004"/>
    <m/>
  </r>
  <r>
    <n v="1006"/>
    <x v="184"/>
    <x v="745"/>
    <s v=" -"/>
    <s v=" MOTOR"/>
    <d v="2024-12-29T00:00:00"/>
    <d v="2023-11-03T00:00:00"/>
    <d v="2024-11-02T00:00:00"/>
    <s v=" 08814045"/>
    <s v="Mr. Syed Faraz Uddin_x000a_CNIC: 42101-1619337-9_x000a_CELL NO: 03142362126"/>
    <m/>
    <s v="PROTON SAGA"/>
    <s v="BUN-315"/>
    <s v="S4PEWJ7749"/>
    <s v="PL1BT3SRRRMB154658"/>
    <s v="2021"/>
    <m/>
    <m/>
    <s v=" D"/>
    <s v="09000210-Tariq Shahzad"/>
    <n v="-1"/>
    <n v="-100333"/>
    <n v="-1003"/>
    <n v="0"/>
    <n v="0"/>
    <n v="-101336"/>
    <n v="0"/>
    <n v="0"/>
    <n v="-101336"/>
    <n v="0"/>
    <n v="-101336"/>
    <m/>
    <m/>
    <m/>
    <s v="Syed Waqas"/>
    <m/>
    <m/>
    <m/>
  </r>
  <r>
    <n v="1013"/>
    <x v="185"/>
    <x v="746"/>
    <s v=" -"/>
    <s v=" MOTOR"/>
    <d v="2023-12-29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210-Tariq Shahzad"/>
    <n v="4000000"/>
    <n v="61805"/>
    <n v="618"/>
    <n v="8035"/>
    <n v="0"/>
    <n v="70458"/>
    <n v="0"/>
    <n v="0"/>
    <n v="70458"/>
    <n v="0"/>
    <n v="70458"/>
    <m/>
    <m/>
    <m/>
    <s v="Syed Waqas"/>
    <m/>
    <m/>
    <m/>
  </r>
  <r>
    <n v="1014"/>
    <x v="185"/>
    <x v="747"/>
    <s v=" -"/>
    <s v=" MOTOR"/>
    <d v="2024-02-12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4899"/>
    <n v="49"/>
    <n v="637"/>
    <n v="0"/>
    <n v="5585"/>
    <n v="0"/>
    <n v="0"/>
    <n v="5585"/>
    <n v="0"/>
    <n v="5585"/>
    <m/>
    <m/>
    <m/>
    <s v="Syed Waqas"/>
    <n v="2729.2800000000652"/>
    <n v="1018.13"/>
    <m/>
  </r>
  <r>
    <n v="1015"/>
    <x v="185"/>
    <x v="748"/>
    <s v=" -"/>
    <s v=" MOTOR"/>
    <d v="2024-03-11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4266"/>
    <n v="43"/>
    <n v="555"/>
    <n v="0"/>
    <n v="4864"/>
    <n v="0"/>
    <n v="0"/>
    <n v="4864"/>
    <n v="0"/>
    <n v="4864"/>
    <m/>
    <m/>
    <m/>
    <s v="Syed Waqas"/>
    <n v="1259.670000000001"/>
    <n v="886.67"/>
    <m/>
  </r>
  <r>
    <n v="1016"/>
    <x v="185"/>
    <x v="749"/>
    <s v=" -"/>
    <s v=" MOTOR"/>
    <d v="2024-04-14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2704"/>
    <n v="27"/>
    <n v="351"/>
    <n v="0"/>
    <n v="3082"/>
    <n v="0"/>
    <n v="0"/>
    <n v="3082"/>
    <n v="0"/>
    <n v="3082"/>
    <m/>
    <m/>
    <m/>
    <s v="Syed Waqas"/>
    <n v="2238.2800000000561"/>
    <n v="562.11"/>
    <m/>
  </r>
  <r>
    <n v="1017"/>
    <x v="185"/>
    <x v="750"/>
    <s v=" -"/>
    <s v=" MOTOR"/>
    <d v="2024-05-13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2466"/>
    <n v="24"/>
    <n v="321"/>
    <n v="0"/>
    <n v="2811"/>
    <n v="0"/>
    <n v="0"/>
    <n v="2811"/>
    <n v="0"/>
    <n v="2811"/>
    <m/>
    <m/>
    <m/>
    <s v="Syed Waqas"/>
    <n v="513.06000000000006"/>
    <n v="513.06000000000006"/>
    <m/>
  </r>
  <r>
    <n v="1018"/>
    <x v="185"/>
    <x v="751"/>
    <s v=" -"/>
    <s v=" MOTOR"/>
    <d v="2024-06-11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3837"/>
    <n v="39"/>
    <n v="499"/>
    <n v="0"/>
    <n v="4375"/>
    <n v="0"/>
    <n v="0"/>
    <n v="4375"/>
    <n v="0"/>
    <n v="4375"/>
    <m/>
    <m/>
    <m/>
    <s v="Syed Waqas"/>
    <n v="3454.7300000000769"/>
    <n v="797.83"/>
    <m/>
  </r>
  <r>
    <n v="1019"/>
    <x v="185"/>
    <x v="752"/>
    <s v=" -"/>
    <s v=" MOTOR"/>
    <d v="2024-07-13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3603"/>
    <n v="36"/>
    <n v="541"/>
    <n v="0"/>
    <n v="4180"/>
    <n v="0"/>
    <n v="0"/>
    <n v="4180"/>
    <n v="0"/>
    <n v="4180"/>
    <m/>
    <m/>
    <m/>
    <s v="Syed Waqas"/>
    <n v="1007.9200000000051"/>
    <n v="762.37"/>
    <m/>
  </r>
  <r>
    <n v="1020"/>
    <x v="185"/>
    <x v="753"/>
    <s v=" -"/>
    <s v=" MOTOR"/>
    <d v="2024-08-13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3270"/>
    <n v="33"/>
    <n v="490"/>
    <n v="0"/>
    <n v="3793"/>
    <n v="0"/>
    <n v="0"/>
    <n v="3793"/>
    <n v="0"/>
    <n v="3793"/>
    <m/>
    <m/>
    <m/>
    <s v="Syed Waqas"/>
    <n v="1018.100000000009"/>
    <n v="691.23"/>
    <m/>
  </r>
  <r>
    <n v="1021"/>
    <x v="185"/>
    <x v="754"/>
    <s v=" -"/>
    <s v=" MOTOR"/>
    <d v="2024-09-14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1703"/>
    <n v="17"/>
    <n v="255"/>
    <n v="0"/>
    <n v="1975"/>
    <n v="0"/>
    <n v="0"/>
    <n v="1975"/>
    <n v="0"/>
    <n v="1975"/>
    <m/>
    <m/>
    <m/>
    <s v="Syed Waqas"/>
    <n v="1126.280000000045"/>
    <n v="360.3"/>
    <m/>
  </r>
  <r>
    <n v="1022"/>
    <x v="185"/>
    <x v="755"/>
    <s v=" -"/>
    <s v=" MOTOR"/>
    <d v="2024-10-14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4000000"/>
    <n v="2742"/>
    <n v="27"/>
    <n v="411"/>
    <n v="0"/>
    <n v="3180"/>
    <n v="0"/>
    <n v="0"/>
    <n v="3180"/>
    <n v="0"/>
    <n v="3180"/>
    <m/>
    <m/>
    <m/>
    <s v="Syed Waqas"/>
    <n v="665.62"/>
    <n v="579.93000000000006"/>
    <m/>
  </r>
  <r>
    <n v="1023"/>
    <x v="185"/>
    <x v="756"/>
    <s v=" -"/>
    <s v=" MOTOR"/>
    <d v="2024-12-29T00:00:00"/>
    <d v="2023-11-11T00:00:00"/>
    <d v="2024-11-10T00:00:00"/>
    <s v=" 08814097"/>
    <s v="Mr. Syed Hammad Raza_x000a_CNIC: 3630269346129_x000a_Phone Number: 03008734088"/>
    <m/>
    <s v="HONDA CIVIC I-VTEC A/T"/>
    <s v="AEH-231"/>
    <s v="R18Z12917028"/>
    <s v="NFBFC6662HR020395"/>
    <s v="2017"/>
    <m/>
    <m/>
    <s v=" D"/>
    <s v="09000607-Al Meezan Autos"/>
    <n v="-1"/>
    <n v="-103270"/>
    <n v="-1033"/>
    <n v="0"/>
    <n v="0"/>
    <n v="-104303"/>
    <n v="0"/>
    <n v="0"/>
    <n v="-104303"/>
    <n v="0"/>
    <n v="-104303"/>
    <m/>
    <m/>
    <m/>
    <s v="Syed Waqas"/>
    <m/>
    <m/>
    <m/>
  </r>
  <r>
    <n v="1029"/>
    <x v="186"/>
    <x v="757"/>
    <s v=" -"/>
    <s v=" MOTOR"/>
    <d v="2023-12-14T00:00:00"/>
    <d v="2023-11-13T00:00:00"/>
    <d v="2024-11-12T00:00:00"/>
    <s v=" 08814120"/>
    <s v="Mr. Naseer Ahmed_x000a_CNIC: 3650195360971_x000a_Cell: 03024054817"/>
    <m/>
    <s v="KIA KIA SPORTAGE AWD"/>
    <s v="ABB-721"/>
    <s v="G4NALH323789"/>
    <s v="NNAOL51AZKP505384"/>
    <s v="2020"/>
    <m/>
    <m/>
    <s v=" D"/>
    <s v="09000210-Tariq Shahzad"/>
    <n v="7000000"/>
    <n v="378"/>
    <n v="4"/>
    <n v="50"/>
    <n v="0"/>
    <n v="432"/>
    <n v="0"/>
    <n v="0"/>
    <n v="432"/>
    <n v="0"/>
    <n v="432"/>
    <m/>
    <m/>
    <m/>
    <s v="AFSHEEN ISMAIL"/>
    <n v="224.44000000000401"/>
    <n v="45"/>
    <m/>
  </r>
  <r>
    <n v="1030"/>
    <x v="186"/>
    <x v="758"/>
    <s v=" -"/>
    <s v=" MOTOR"/>
    <d v="2023-12-29T00:00:00"/>
    <d v="2023-11-13T00:00:00"/>
    <d v="2024-11-12T00:00:00"/>
    <s v=" 08814120"/>
    <s v="Mr. Naseer Ahmed_x000a_CNIC: 3650195360971_x000a_Cell: 03024054817"/>
    <m/>
    <s v="KIA KIA SPORTAGE AWD"/>
    <s v="ABB-721"/>
    <s v="G4NALH323789"/>
    <s v="NNAOL51AZKP505384"/>
    <s v="2020"/>
    <m/>
    <m/>
    <s v=" D"/>
    <s v="09000210-Tariq Shahzad"/>
    <n v="7000000"/>
    <n v="118042"/>
    <n v="1181"/>
    <n v="15345"/>
    <n v="0"/>
    <n v="134568"/>
    <n v="0"/>
    <n v="0"/>
    <n v="134568"/>
    <n v="0"/>
    <n v="134568"/>
    <m/>
    <m/>
    <m/>
    <s v="AFSHEEN ISMAIL"/>
    <m/>
    <m/>
    <m/>
  </r>
  <r>
    <n v="1031"/>
    <x v="186"/>
    <x v="759"/>
    <s v=" -"/>
    <s v=" MOTOR"/>
    <d v="2024-01-16T00:00:00"/>
    <d v="2023-11-13T00:00:00"/>
    <d v="2024-11-12T00:00:00"/>
    <s v=" 08814120"/>
    <s v="Mr. Naseer Ahmed_x000a_CNIC: 3650195360971_x000a_Cell: 03024054817"/>
    <m/>
    <s v="KIA KIA SPORTAGE AWD"/>
    <s v="ABB-721"/>
    <s v="G4NALH323789"/>
    <s v="NNAOL51AZKP505384"/>
    <s v="2020"/>
    <m/>
    <m/>
    <s v=" D"/>
    <s v="09000210-Tariq Shahzad"/>
    <n v="7000000"/>
    <n v="1636"/>
    <n v="16"/>
    <n v="213"/>
    <n v="0"/>
    <n v="1865"/>
    <n v="0"/>
    <n v="0"/>
    <n v="1865"/>
    <n v="0"/>
    <n v="1865"/>
    <m/>
    <m/>
    <m/>
    <s v="AFSHEEN ISMAIL"/>
    <n v="209.08"/>
    <n v="194.61"/>
    <m/>
  </r>
  <r>
    <n v="1032"/>
    <x v="186"/>
    <x v="760"/>
    <s v=" -"/>
    <s v=" MOTOR"/>
    <d v="2024-12-29T00:00:00"/>
    <d v="2023-11-13T00:00:00"/>
    <d v="2024-11-12T00:00:00"/>
    <s v=" 08814120"/>
    <s v="Mr. Naseer Ahmed_x000a_CNIC: 3650195360971_x000a_Cell: 03024054817"/>
    <m/>
    <s v="KIA KIA SPORTAGE AWD"/>
    <s v="ABB-721"/>
    <s v="G4NALH323789"/>
    <s v="NNAOL51AZKP505384"/>
    <s v="2020"/>
    <m/>
    <m/>
    <s v=" D"/>
    <s v="09000210-Tariq Shahzad"/>
    <n v="-1"/>
    <n v="-135510"/>
    <n v="-1355"/>
    <n v="0"/>
    <n v="0"/>
    <n v="-136865"/>
    <n v="0"/>
    <n v="0"/>
    <n v="-136865"/>
    <n v="0"/>
    <n v="-136865"/>
    <m/>
    <m/>
    <m/>
    <s v="AFSHEEN ISMAIL"/>
    <m/>
    <m/>
    <m/>
  </r>
  <r>
    <n v="1048"/>
    <x v="187"/>
    <x v="761"/>
    <s v=" -"/>
    <s v=" MOTOR"/>
    <d v="2023-12-29T00:00:00"/>
    <d v="2023-11-14T00:00:00"/>
    <d v="2024-11-13T00:00:00"/>
    <s v=" 08814139"/>
    <s v="Mr. Fahad Mateen_x000a_CNIC: 42101-0628648-9_x000a_CELL NO: 03340328258, 03152897190"/>
    <m/>
    <s v="SUZUKI ALTO VXL AGS"/>
    <s v="BXL-725"/>
    <s v="6R247865"/>
    <s v="NF1AET306H1147981"/>
    <s v="2022"/>
    <m/>
    <m/>
    <s v=" D"/>
    <s v="09000210-Tariq Shahzad"/>
    <n v="2935000"/>
    <n v="45488"/>
    <n v="454"/>
    <n v="5913"/>
    <n v="0"/>
    <n v="51855"/>
    <n v="0"/>
    <n v="0"/>
    <n v="51855"/>
    <n v="0"/>
    <n v="51855"/>
    <m/>
    <m/>
    <m/>
    <s v="Syed Waqas"/>
    <m/>
    <m/>
    <m/>
  </r>
  <r>
    <n v="1049"/>
    <x v="187"/>
    <x v="762"/>
    <s v=" -"/>
    <s v=" MOTOR"/>
    <d v="2024-06-14T00:00:00"/>
    <d v="2023-11-14T00:00:00"/>
    <d v="2024-11-13T00:00:00"/>
    <s v=" 08814139"/>
    <s v="Mr. Fahad Mateen_x000a_CNIC: 42101-0628648-9_x000a_CELL NO: 03340328258, 03152897190"/>
    <m/>
    <s v="SUZUKI ALTO VXL AGS"/>
    <s v="BXL-725"/>
    <s v="6R247865"/>
    <s v="NF1AET306H1147981"/>
    <s v="2022"/>
    <m/>
    <m/>
    <s v=" D"/>
    <s v="09000210-Tariq Shahzad"/>
    <n v="2935000"/>
    <n v="3629"/>
    <n v="36"/>
    <n v="472"/>
    <n v="0"/>
    <n v="4137"/>
    <n v="0"/>
    <n v="0"/>
    <n v="4137"/>
    <n v="0"/>
    <n v="4137"/>
    <m/>
    <m/>
    <m/>
    <s v="Syed Waqas"/>
    <n v="1295.79"/>
    <n v="1028.49"/>
    <m/>
  </r>
  <r>
    <n v="1050"/>
    <x v="187"/>
    <x v="763"/>
    <s v=" -"/>
    <s v=" MOTOR"/>
    <d v="2024-07-15T00:00:00"/>
    <d v="2023-11-14T00:00:00"/>
    <d v="2024-11-13T00:00:00"/>
    <s v=" 08814139"/>
    <s v="Mr. Fahad Mateen_x000a_CNIC: 42101-0628648-9_x000a_CELL NO: 03340328258, 03152897190"/>
    <m/>
    <s v="SUZUKI ALTO VXL AGS"/>
    <s v="BXL-725"/>
    <s v="6R247865"/>
    <s v="NF1AET306H1147981"/>
    <s v="2022"/>
    <m/>
    <m/>
    <s v=" D"/>
    <s v="09000210-Tariq Shahzad"/>
    <n v="2935000"/>
    <n v="1998"/>
    <n v="20"/>
    <n v="300"/>
    <n v="0"/>
    <n v="2318"/>
    <n v="0"/>
    <n v="0"/>
    <n v="2318"/>
    <n v="0"/>
    <n v="2318"/>
    <m/>
    <m/>
    <m/>
    <s v="Syed Waqas"/>
    <n v="703.35"/>
    <n v="576.91"/>
    <m/>
  </r>
  <r>
    <n v="1051"/>
    <x v="187"/>
    <x v="764"/>
    <s v=" -"/>
    <s v=" MOTOR"/>
    <d v="2024-08-16T00:00:00"/>
    <d v="2023-11-14T00:00:00"/>
    <d v="2024-11-13T00:00:00"/>
    <s v=" 08814139"/>
    <s v="Mr. Fahad Mateen_x000a_CNIC: 42101-0628648-9_x000a_CELL NO: 03340328258, 03152897190"/>
    <m/>
    <s v="SUZUKI ALTO VXL AGS"/>
    <s v="BXL-725"/>
    <s v="6R247865"/>
    <s v="NF1AET306H1147981"/>
    <s v="2022"/>
    <m/>
    <m/>
    <s v=" D"/>
    <s v="09000210-Tariq Shahzad"/>
    <n v="2935000"/>
    <n v="2947"/>
    <n v="29"/>
    <n v="442"/>
    <n v="0"/>
    <n v="3418"/>
    <n v="0"/>
    <n v="0"/>
    <n v="3418"/>
    <n v="0"/>
    <n v="3418"/>
    <m/>
    <m/>
    <m/>
    <s v="Syed Waqas"/>
    <n v="1004.98"/>
    <n v="849.83"/>
    <m/>
  </r>
  <r>
    <n v="1052"/>
    <x v="187"/>
    <x v="765"/>
    <s v=" -"/>
    <s v=" MOTOR"/>
    <d v="2024-09-20T00:00:00"/>
    <d v="2023-11-14T00:00:00"/>
    <d v="2024-11-13T00:00:00"/>
    <s v=" 08814139"/>
    <s v="Mr. Fahad Mateen_x000a_CNIC: 42101-0628648-9_x000a_CELL NO: 03340328258, 03152897190"/>
    <m/>
    <s v="SUZUKI ALTO VXL AGS"/>
    <s v="BXL-725"/>
    <s v="6R247865"/>
    <s v="NF1AET306H1147981"/>
    <s v="2022"/>
    <m/>
    <m/>
    <s v=" D"/>
    <s v="09000210-Tariq Shahzad"/>
    <n v="2935000"/>
    <n v="3792"/>
    <n v="38"/>
    <n v="569"/>
    <n v="0"/>
    <n v="4399"/>
    <n v="0"/>
    <n v="0"/>
    <n v="4399"/>
    <n v="0"/>
    <n v="4399"/>
    <m/>
    <m/>
    <m/>
    <s v="Syed Waqas"/>
    <n v="1315.29"/>
    <n v="1094.3400000000001"/>
    <m/>
  </r>
  <r>
    <n v="1053"/>
    <x v="187"/>
    <x v="766"/>
    <s v=" -"/>
    <s v=" MOTOR"/>
    <d v="2024-10-17T00:00:00"/>
    <d v="2023-11-14T00:00:00"/>
    <d v="2024-11-13T00:00:00"/>
    <s v=" 08814139"/>
    <s v="Mr. Fahad Mateen_x000a_CNIC: 42101-0628648-9_x000a_CELL NO: 03340328258, 03152897190"/>
    <m/>
    <s v="SUZUKI ALTO VXL AGS"/>
    <s v="BXL-725"/>
    <s v="6R247865"/>
    <s v="NF1AET306H1147981"/>
    <s v="2022"/>
    <m/>
    <m/>
    <s v=" D"/>
    <s v="09000210-Tariq Shahzad"/>
    <n v="2935000"/>
    <n v="3850"/>
    <n v="38"/>
    <n v="577"/>
    <n v="0"/>
    <n v="4465"/>
    <n v="0"/>
    <n v="0"/>
    <n v="4465"/>
    <n v="0"/>
    <n v="4465"/>
    <m/>
    <m/>
    <m/>
    <s v="Syed Waqas"/>
    <n v="1444.63"/>
    <n v="1110.6000000000001"/>
    <m/>
  </r>
  <r>
    <n v="1054"/>
    <x v="187"/>
    <x v="767"/>
    <s v=" -"/>
    <s v=" MOTOR"/>
    <d v="2024-11-21T00:00:00"/>
    <d v="2023-11-14T00:00:00"/>
    <d v="2024-11-13T00:00:00"/>
    <s v=" 08814139"/>
    <s v="Mr. Fahad Mateen_x000a_CNIC: 42101-0628648-9_x000a_CELL NO: 03340328258, 03152897190"/>
    <m/>
    <s v="SUZUKI ALTO VXL AGS"/>
    <s v="BXL-725"/>
    <s v="6R247865"/>
    <s v="NF1AET306H1147981"/>
    <s v="2022"/>
    <m/>
    <m/>
    <s v=" D"/>
    <s v="09000210-Tariq Shahzad"/>
    <n v="2935000"/>
    <n v="4297"/>
    <n v="43"/>
    <n v="645"/>
    <n v="0"/>
    <n v="4985"/>
    <n v="0"/>
    <n v="0"/>
    <n v="4985"/>
    <n v="0"/>
    <n v="4985"/>
    <m/>
    <m/>
    <m/>
    <s v="Syed Waqas"/>
    <n v="1667.8300000000011"/>
    <n v="1239.52"/>
    <m/>
  </r>
  <r>
    <n v="1055"/>
    <x v="187"/>
    <x v="768"/>
    <s v=" -"/>
    <s v=" MOTOR"/>
    <d v="2024-12-29T00:00:00"/>
    <d v="2023-11-14T00:00:00"/>
    <d v="2024-11-13T00:00:00"/>
    <s v=" 08814139"/>
    <s v="Mr. Fahad Mateen_x000a_CNIC: 42101-0628648-9_x000a_CELL NO: 03340328258, 03152897190"/>
    <m/>
    <s v="SUZUKI ALTO VXL AGS"/>
    <s v="BXL-725"/>
    <s v="6R247865"/>
    <s v="NF1AET306H1147981"/>
    <s v="2022"/>
    <m/>
    <m/>
    <s v=" D"/>
    <s v="09000210-Tariq Shahzad"/>
    <n v="-1"/>
    <n v="-74829"/>
    <n v="-748"/>
    <n v="0"/>
    <n v="0"/>
    <n v="-75577"/>
    <n v="0"/>
    <n v="0"/>
    <n v="-75577"/>
    <n v="0"/>
    <n v="-75577"/>
    <m/>
    <m/>
    <m/>
    <s v="Syed Waqas"/>
    <m/>
    <m/>
    <m/>
  </r>
  <r>
    <n v="1056"/>
    <x v="188"/>
    <x v="769"/>
    <s v=" -"/>
    <s v=" MOTOR"/>
    <d v="2023-12-08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679"/>
    <n v="7"/>
    <n v="89"/>
    <n v="0"/>
    <n v="775"/>
    <n v="0"/>
    <n v="0"/>
    <n v="775"/>
    <n v="0"/>
    <n v="775"/>
    <m/>
    <m/>
    <m/>
    <s v="Syed Waqas"/>
    <n v="263.63"/>
    <n v="174.42"/>
    <m/>
  </r>
  <r>
    <n v="1057"/>
    <x v="188"/>
    <x v="770"/>
    <s v=" -"/>
    <s v=" MOTOR"/>
    <d v="2023-12-29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51951"/>
    <n v="520"/>
    <n v="6754"/>
    <n v="0"/>
    <n v="59225"/>
    <n v="0"/>
    <n v="0"/>
    <n v="59225"/>
    <n v="0"/>
    <n v="59225"/>
    <m/>
    <m/>
    <m/>
    <s v="Syed Waqas"/>
    <m/>
    <m/>
    <m/>
  </r>
  <r>
    <n v="1058"/>
    <x v="188"/>
    <x v="771"/>
    <s v=" -"/>
    <s v=" MOTOR"/>
    <d v="2024-01-09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1796"/>
    <n v="18"/>
    <n v="233"/>
    <n v="0"/>
    <n v="2047"/>
    <n v="0"/>
    <n v="0"/>
    <n v="2047"/>
    <n v="0"/>
    <n v="2047"/>
    <m/>
    <m/>
    <m/>
    <s v="Syed Waqas"/>
    <n v="1329.6600000000431"/>
    <n v="459.87000000000006"/>
    <m/>
  </r>
  <r>
    <n v="1059"/>
    <x v="188"/>
    <x v="772"/>
    <s v=" -"/>
    <s v=" MOTOR"/>
    <d v="2024-02-12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2043"/>
    <n v="20"/>
    <n v="265"/>
    <n v="0"/>
    <n v="2328"/>
    <n v="0"/>
    <n v="0"/>
    <n v="2328"/>
    <n v="0"/>
    <n v="2328"/>
    <m/>
    <m/>
    <m/>
    <s v="Syed Waqas"/>
    <n v="2030.630000000084"/>
    <n v="523.24"/>
    <m/>
  </r>
  <r>
    <n v="1060"/>
    <x v="188"/>
    <x v="773"/>
    <s v=" -"/>
    <s v=" MOTOR"/>
    <d v="2024-03-08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1369"/>
    <n v="14"/>
    <n v="178"/>
    <n v="0"/>
    <n v="1561"/>
    <n v="0"/>
    <n v="0"/>
    <n v="1561"/>
    <n v="0"/>
    <n v="1561"/>
    <m/>
    <m/>
    <m/>
    <s v="Syed Waqas"/>
    <n v="648.01000000000101"/>
    <n v="350.85"/>
    <m/>
  </r>
  <r>
    <n v="1061"/>
    <x v="188"/>
    <x v="774"/>
    <s v=" -"/>
    <s v=" MOTOR"/>
    <d v="2024-04-08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1867"/>
    <n v="18"/>
    <n v="243"/>
    <n v="0"/>
    <n v="2128"/>
    <n v="0"/>
    <n v="0"/>
    <n v="2128"/>
    <n v="0"/>
    <n v="2128"/>
    <m/>
    <m/>
    <m/>
    <s v="Syed Waqas"/>
    <n v="508"/>
    <n v="477.78"/>
    <m/>
  </r>
  <r>
    <n v="1062"/>
    <x v="188"/>
    <x v="775"/>
    <s v=" -"/>
    <s v=" MOTOR"/>
    <d v="2024-05-13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1984"/>
    <n v="20"/>
    <n v="258"/>
    <n v="0"/>
    <n v="2262"/>
    <n v="0"/>
    <n v="0"/>
    <n v="2262"/>
    <n v="0"/>
    <n v="2262"/>
    <m/>
    <m/>
    <m/>
    <s v="Syed Waqas"/>
    <n v="690.82"/>
    <n v="509.09"/>
    <m/>
  </r>
  <r>
    <n v="1063"/>
    <x v="188"/>
    <x v="776"/>
    <s v=" -"/>
    <s v=" MOTOR"/>
    <d v="2024-06-10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3471"/>
    <n v="35"/>
    <n v="451"/>
    <n v="0"/>
    <n v="3957"/>
    <n v="0"/>
    <n v="0"/>
    <n v="3957"/>
    <n v="0"/>
    <n v="3957"/>
    <m/>
    <m/>
    <m/>
    <s v="Syed Waqas"/>
    <n v="957.39000000000112"/>
    <n v="889.69"/>
    <m/>
  </r>
  <r>
    <n v="1064"/>
    <x v="188"/>
    <x v="777"/>
    <s v=" -"/>
    <s v=" MOTOR"/>
    <d v="2024-07-09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2362"/>
    <n v="24"/>
    <n v="354"/>
    <n v="0"/>
    <n v="2740"/>
    <n v="0"/>
    <n v="0"/>
    <n v="2740"/>
    <n v="0"/>
    <n v="2740"/>
    <m/>
    <m/>
    <m/>
    <s v="Syed Waqas"/>
    <n v="1073.8700000000081"/>
    <n v="616.07000000000005"/>
    <m/>
  </r>
  <r>
    <n v="1065"/>
    <x v="188"/>
    <x v="778"/>
    <s v=" -"/>
    <s v=" MOTOR"/>
    <d v="2024-08-08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2751"/>
    <n v="28"/>
    <n v="413"/>
    <n v="0"/>
    <n v="3192"/>
    <n v="0"/>
    <n v="0"/>
    <n v="3192"/>
    <n v="0"/>
    <n v="3192"/>
    <m/>
    <m/>
    <m/>
    <s v="Syed Waqas"/>
    <n v="1147.8000000000059"/>
    <n v="717.51"/>
    <m/>
  </r>
  <r>
    <n v="1066"/>
    <x v="188"/>
    <x v="779"/>
    <s v=" -"/>
    <s v=" MOTOR"/>
    <d v="2024-09-11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3556"/>
    <n v="36"/>
    <n v="533"/>
    <n v="0"/>
    <n v="4125"/>
    <n v="0"/>
    <n v="0"/>
    <n v="4125"/>
    <n v="0"/>
    <n v="4125"/>
    <m/>
    <m/>
    <m/>
    <s v="Syed Waqas"/>
    <n v="2087.3700000000381"/>
    <n v="926.79000000000019"/>
    <m/>
  </r>
  <r>
    <n v="1067"/>
    <x v="188"/>
    <x v="780"/>
    <s v=" -"/>
    <s v=" MOTOR"/>
    <d v="2024-10-14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3250000"/>
    <n v="3192"/>
    <n v="32"/>
    <n v="479"/>
    <n v="0"/>
    <n v="3703"/>
    <n v="0"/>
    <n v="0"/>
    <n v="3703"/>
    <n v="0"/>
    <n v="3703"/>
    <m/>
    <m/>
    <m/>
    <s v="Syed Waqas"/>
    <n v="883.69000000000096"/>
    <n v="831.86000000000104"/>
    <m/>
  </r>
  <r>
    <n v="1068"/>
    <x v="188"/>
    <x v="781"/>
    <s v=" -"/>
    <s v=" MOTOR"/>
    <d v="2024-12-29T00:00:00"/>
    <d v="2023-11-08T00:00:00"/>
    <d v="2024-11-07T00:00:00"/>
    <s v=" 08809638"/>
    <s v="Mr. Abdul Rehman Aslam_x000a_CNIC: 31202-3480724-1_x000a_Phone Number: 03008037770"/>
    <m/>
    <s v="CHANGAN ALSVIN M/T"/>
    <s v="AXW-201"/>
    <s v="138109"/>
    <s v="10038125"/>
    <s v="2022"/>
    <m/>
    <m/>
    <s v=" D"/>
    <s v="09000210-Tariq Shahzad"/>
    <n v="-1"/>
    <n v="-87171"/>
    <n v="-872"/>
    <n v="0"/>
    <n v="0"/>
    <n v="-88043"/>
    <n v="0"/>
    <n v="0"/>
    <n v="-88043"/>
    <n v="0"/>
    <n v="-88043"/>
    <m/>
    <m/>
    <m/>
    <s v="Syed Waqas"/>
    <m/>
    <m/>
    <m/>
  </r>
  <r>
    <n v="1076"/>
    <x v="189"/>
    <x v="782"/>
    <s v=" -"/>
    <s v=" MOTOR"/>
    <d v="2023-12-23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705"/>
    <n v="7"/>
    <n v="92"/>
    <n v="0"/>
    <n v="804"/>
    <n v="0"/>
    <n v="0"/>
    <n v="804"/>
    <n v="0"/>
    <n v="804"/>
    <m/>
    <m/>
    <m/>
    <s v="Fizza Sheikh"/>
    <n v="496.45000000000005"/>
    <n v="392.34"/>
    <m/>
  </r>
  <r>
    <n v="1077"/>
    <x v="189"/>
    <x v="783"/>
    <s v=" -"/>
    <s v=" MOTOR"/>
    <d v="2023-12-29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21224"/>
    <n v="213"/>
    <n v="2759"/>
    <n v="0"/>
    <n v="24196"/>
    <n v="0"/>
    <n v="0"/>
    <n v="24196"/>
    <n v="0"/>
    <n v="24196"/>
    <m/>
    <m/>
    <m/>
    <s v="Fizza Sheikh"/>
    <m/>
    <m/>
    <m/>
  </r>
  <r>
    <n v="1078"/>
    <x v="189"/>
    <x v="784"/>
    <s v=" -"/>
    <s v=" MOTOR"/>
    <d v="2024-01-23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1248"/>
    <n v="12"/>
    <n v="163"/>
    <n v="0"/>
    <n v="1423"/>
    <n v="0"/>
    <n v="0"/>
    <n v="1423"/>
    <n v="0"/>
    <n v="1423"/>
    <m/>
    <m/>
    <m/>
    <s v="Fizza Sheikh"/>
    <n v="1033.5299999999979"/>
    <n v="695.87"/>
    <m/>
  </r>
  <r>
    <n v="1079"/>
    <x v="189"/>
    <x v="785"/>
    <s v=" -"/>
    <s v=" MOTOR"/>
    <d v="2024-02-22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315"/>
    <n v="3"/>
    <n v="41"/>
    <n v="0"/>
    <n v="359"/>
    <n v="0"/>
    <n v="0"/>
    <n v="359"/>
    <n v="0"/>
    <n v="359"/>
    <m/>
    <m/>
    <m/>
    <s v="Fizza Sheikh"/>
    <n v="297.61"/>
    <n v="175.35"/>
    <m/>
  </r>
  <r>
    <n v="1080"/>
    <x v="189"/>
    <x v="786"/>
    <s v=" -"/>
    <s v=" MOTOR"/>
    <d v="2024-03-22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191"/>
    <n v="2"/>
    <n v="24"/>
    <n v="0"/>
    <n v="217"/>
    <n v="0"/>
    <n v="0"/>
    <n v="217"/>
    <n v="0"/>
    <n v="217"/>
    <m/>
    <m/>
    <m/>
    <s v="Fizza Sheikh"/>
    <n v="105.28"/>
    <n v="105.28"/>
    <m/>
  </r>
  <r>
    <n v="1081"/>
    <x v="189"/>
    <x v="787"/>
    <s v=" -"/>
    <s v=" MOTOR"/>
    <d v="2024-04-22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619"/>
    <n v="6"/>
    <n v="81"/>
    <n v="0"/>
    <n v="706"/>
    <n v="0"/>
    <n v="0"/>
    <n v="706"/>
    <n v="0"/>
    <n v="706"/>
    <m/>
    <m/>
    <m/>
    <s v="Fizza Sheikh"/>
    <n v="526.24999999999807"/>
    <n v="345.06"/>
    <m/>
  </r>
  <r>
    <n v="1082"/>
    <x v="189"/>
    <x v="788"/>
    <s v=" -"/>
    <s v=" MOTOR"/>
    <d v="2024-05-22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140"/>
    <n v="2"/>
    <n v="18"/>
    <n v="0"/>
    <n v="160"/>
    <n v="0"/>
    <n v="0"/>
    <n v="160"/>
    <n v="0"/>
    <n v="160"/>
    <m/>
    <m/>
    <m/>
    <s v="Fizza Sheikh"/>
    <n v="77.89"/>
    <n v="77.89"/>
    <m/>
  </r>
  <r>
    <n v="1083"/>
    <x v="189"/>
    <x v="789"/>
    <s v=" -"/>
    <s v=" MOTOR"/>
    <d v="2024-06-24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223"/>
    <n v="2"/>
    <n v="29"/>
    <n v="0"/>
    <n v="254"/>
    <n v="0"/>
    <n v="0"/>
    <n v="254"/>
    <n v="0"/>
    <n v="254"/>
    <m/>
    <m/>
    <m/>
    <s v="Fizza Sheikh"/>
    <n v="157.18"/>
    <n v="124.25"/>
    <m/>
  </r>
  <r>
    <n v="1084"/>
    <x v="189"/>
    <x v="790"/>
    <s v=" -"/>
    <s v=" MOTOR"/>
    <d v="2024-07-25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292"/>
    <n v="3"/>
    <n v="44"/>
    <n v="0"/>
    <n v="339"/>
    <n v="0"/>
    <n v="0"/>
    <n v="339"/>
    <n v="0"/>
    <n v="339"/>
    <m/>
    <m/>
    <m/>
    <s v="Fizza Sheikh"/>
    <n v="232.89"/>
    <n v="165.72"/>
    <m/>
  </r>
  <r>
    <n v="1085"/>
    <x v="189"/>
    <x v="791"/>
    <s v=" -"/>
    <s v=" MOTOR"/>
    <d v="2024-08-27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200"/>
    <n v="2"/>
    <n v="30"/>
    <n v="0"/>
    <n v="232"/>
    <n v="0"/>
    <n v="0"/>
    <n v="232"/>
    <n v="0"/>
    <n v="232"/>
    <m/>
    <m/>
    <m/>
    <s v="Fizza Sheikh"/>
    <n v="167.93"/>
    <n v="113.29"/>
    <m/>
  </r>
  <r>
    <n v="1086"/>
    <x v="189"/>
    <x v="792"/>
    <s v=" -"/>
    <s v=" MOTOR"/>
    <d v="2024-09-26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437"/>
    <n v="4"/>
    <n v="66"/>
    <n v="0"/>
    <n v="507"/>
    <n v="0"/>
    <n v="0"/>
    <n v="507"/>
    <n v="0"/>
    <n v="507"/>
    <m/>
    <m/>
    <m/>
    <s v="Fizza Sheikh"/>
    <n v="379.54999999999905"/>
    <n v="248.04000000000005"/>
    <m/>
  </r>
  <r>
    <n v="1087"/>
    <x v="189"/>
    <x v="793"/>
    <s v=" -"/>
    <s v=" MOTOR"/>
    <d v="2024-10-23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1500000"/>
    <n v="127"/>
    <n v="1"/>
    <n v="19"/>
    <n v="0"/>
    <n v="147"/>
    <n v="0"/>
    <n v="0"/>
    <n v="147"/>
    <n v="0"/>
    <n v="147"/>
    <m/>
    <m/>
    <m/>
    <s v="Fizza Sheikh"/>
    <n v="165.719999999999"/>
    <n v="71.540000000000006"/>
    <m/>
  </r>
  <r>
    <n v="1088"/>
    <x v="189"/>
    <x v="794"/>
    <s v=" -"/>
    <s v=" MOTOR"/>
    <d v="2024-12-29T00:00:00"/>
    <d v="2023-11-22T00:00:00"/>
    <d v="2024-11-21T00:00:00"/>
    <s v=" 08814273"/>
    <s v="Mr. Syed Farrukh Hussain_x000a_CNIC No: 35202-6403427-3_x000a_Phone Number:  03014550204"/>
    <m/>
    <s v="SUZUKI BOLAN"/>
    <s v="LEC-18A-6175"/>
    <s v="PKT987453"/>
    <s v="SV308PK01103937"/>
    <s v="2018"/>
    <m/>
    <m/>
    <s v=" D"/>
    <s v="09000210-Tariq Shahzad"/>
    <n v="-1"/>
    <n v="-29053"/>
    <n v="-291"/>
    <n v="0"/>
    <n v="0"/>
    <n v="-29344"/>
    <n v="0"/>
    <n v="0"/>
    <n v="-29344"/>
    <n v="0"/>
    <n v="-29344"/>
    <m/>
    <m/>
    <m/>
    <s v="Fizza Sheikh"/>
    <m/>
    <m/>
    <m/>
  </r>
  <r>
    <n v="1090"/>
    <x v="190"/>
    <x v="795"/>
    <s v=" -"/>
    <s v=" MOTOR"/>
    <d v="2023-12-29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50876"/>
    <n v="509"/>
    <n v="6615"/>
    <n v="0"/>
    <n v="58000"/>
    <n v="0"/>
    <n v="0"/>
    <n v="58000"/>
    <n v="0"/>
    <n v="58000"/>
    <m/>
    <m/>
    <m/>
    <s v="Syed Waqas"/>
    <m/>
    <m/>
    <m/>
  </r>
  <r>
    <n v="1091"/>
    <x v="190"/>
    <x v="796"/>
    <s v=" -"/>
    <s v=" MOTOR"/>
    <d v="2024-01-18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1291"/>
    <n v="13"/>
    <n v="167"/>
    <n v="0"/>
    <n v="1471"/>
    <n v="0"/>
    <n v="0"/>
    <n v="1471"/>
    <n v="0"/>
    <n v="1471"/>
    <m/>
    <m/>
    <m/>
    <s v="Syed Waqas"/>
    <n v="870.54000000001906"/>
    <n v="341.01000000000005"/>
    <m/>
  </r>
  <r>
    <n v="1092"/>
    <x v="190"/>
    <x v="797"/>
    <s v=" -"/>
    <s v=" MOTOR"/>
    <d v="2024-01-18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1771"/>
    <n v="18"/>
    <n v="231"/>
    <n v="0"/>
    <n v="2020"/>
    <n v="0"/>
    <n v="0"/>
    <n v="2020"/>
    <n v="0"/>
    <n v="2020"/>
    <m/>
    <m/>
    <m/>
    <s v="Syed Waqas"/>
    <n v="1599.1000000000622"/>
    <n v="468.79000000000008"/>
    <m/>
  </r>
  <r>
    <n v="1093"/>
    <x v="190"/>
    <x v="798"/>
    <s v=" -"/>
    <s v=" MOTOR"/>
    <d v="2024-02-19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1775"/>
    <n v="18"/>
    <n v="230"/>
    <n v="0"/>
    <n v="2023"/>
    <n v="0"/>
    <n v="0"/>
    <n v="2023"/>
    <n v="0"/>
    <n v="2023"/>
    <m/>
    <m/>
    <m/>
    <s v="Syed Waqas"/>
    <n v="1411.390000000046"/>
    <n v="468.78"/>
    <m/>
  </r>
  <r>
    <n v="1094"/>
    <x v="190"/>
    <x v="799"/>
    <s v=" -"/>
    <s v=" MOTOR"/>
    <d v="2024-03-18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1387"/>
    <n v="13"/>
    <n v="180"/>
    <n v="0"/>
    <n v="1580"/>
    <n v="0"/>
    <n v="0"/>
    <n v="1580"/>
    <n v="0"/>
    <n v="1580"/>
    <m/>
    <m/>
    <m/>
    <s v="Syed Waqas"/>
    <n v="526.63"/>
    <n v="366.25"/>
    <m/>
  </r>
  <r>
    <n v="1095"/>
    <x v="190"/>
    <x v="800"/>
    <s v=" -"/>
    <s v=" MOTOR"/>
    <d v="2024-04-18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1729"/>
    <n v="18"/>
    <n v="225"/>
    <n v="0"/>
    <n v="1972"/>
    <n v="0"/>
    <n v="0"/>
    <n v="1972"/>
    <n v="0"/>
    <n v="1972"/>
    <m/>
    <m/>
    <m/>
    <s v="Syed Waqas"/>
    <n v="487.3900000000001"/>
    <n v="457.17"/>
    <m/>
  </r>
  <r>
    <n v="1096"/>
    <x v="190"/>
    <x v="801"/>
    <s v=" -"/>
    <s v=" MOTOR"/>
    <d v="2024-05-19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2767"/>
    <n v="27"/>
    <n v="360"/>
    <n v="0"/>
    <n v="3154"/>
    <n v="0"/>
    <n v="0"/>
    <n v="3154"/>
    <n v="0"/>
    <n v="3154"/>
    <m/>
    <m/>
    <m/>
    <s v="Syed Waqas"/>
    <n v="951.77000000000112"/>
    <n v="730.77"/>
    <m/>
  </r>
  <r>
    <n v="1097"/>
    <x v="190"/>
    <x v="802"/>
    <s v=" -"/>
    <s v=" MOTOR"/>
    <d v="2024-06-20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2601"/>
    <n v="26"/>
    <n v="338"/>
    <n v="0"/>
    <n v="2965"/>
    <n v="0"/>
    <n v="0"/>
    <n v="2965"/>
    <n v="0"/>
    <n v="2965"/>
    <m/>
    <m/>
    <m/>
    <s v="Syed Waqas"/>
    <n v="725.71000000000106"/>
    <n v="687.36"/>
    <m/>
  </r>
  <r>
    <n v="1098"/>
    <x v="190"/>
    <x v="803"/>
    <s v=" -"/>
    <s v=" MOTOR"/>
    <d v="2024-07-24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2624"/>
    <n v="26"/>
    <n v="394"/>
    <n v="0"/>
    <n v="3044"/>
    <n v="0"/>
    <n v="0"/>
    <n v="3044"/>
    <n v="0"/>
    <n v="3044"/>
    <m/>
    <m/>
    <m/>
    <s v="Syed Waqas"/>
    <n v="1317.640000000011"/>
    <n v="705.47"/>
    <m/>
  </r>
  <r>
    <n v="1099"/>
    <x v="190"/>
    <x v="804"/>
    <s v=" -"/>
    <s v=" MOTOR"/>
    <d v="2024-08-20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2814"/>
    <n v="28"/>
    <n v="422"/>
    <n v="0"/>
    <n v="3264"/>
    <n v="0"/>
    <n v="0"/>
    <n v="3264"/>
    <n v="0"/>
    <n v="3264"/>
    <m/>
    <m/>
    <m/>
    <s v="Syed Waqas"/>
    <n v="1045.440000000003"/>
    <n v="757.11"/>
    <m/>
  </r>
  <r>
    <n v="1100"/>
    <x v="190"/>
    <x v="805"/>
    <s v=" -"/>
    <s v=" MOTOR"/>
    <d v="2024-09-24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3556"/>
    <n v="36"/>
    <n v="534"/>
    <n v="0"/>
    <n v="4126"/>
    <n v="0"/>
    <n v="0"/>
    <n v="4126"/>
    <n v="0"/>
    <n v="4126"/>
    <m/>
    <m/>
    <m/>
    <s v="Syed Waqas"/>
    <n v="2094.5700000000384"/>
    <n v="956.35000000000105"/>
    <m/>
  </r>
  <r>
    <n v="1101"/>
    <x v="190"/>
    <x v="806"/>
    <s v=" -"/>
    <s v=" MOTOR"/>
    <d v="2024-10-21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3150000"/>
    <n v="3043"/>
    <n v="30"/>
    <n v="456"/>
    <n v="0"/>
    <n v="3529"/>
    <n v="0"/>
    <n v="0"/>
    <n v="3529"/>
    <n v="0"/>
    <n v="3529"/>
    <m/>
    <m/>
    <m/>
    <s v="Syed Waqas"/>
    <n v="896.66000000000122"/>
    <n v="818.12"/>
    <m/>
  </r>
  <r>
    <n v="1102"/>
    <x v="190"/>
    <x v="807"/>
    <s v=" -"/>
    <s v=" MOTOR"/>
    <d v="2024-12-29T00:00:00"/>
    <d v="2023-11-18T00:00:00"/>
    <d v="2024-11-17T00:00:00"/>
    <s v=" 08809638"/>
    <s v="Mr. Abdul Rehman Aslam_x000a_CNIC: 3120234807241_x000a_Phone Number: 03008037770"/>
    <m/>
    <s v="SUZUKI CULTUS VXL"/>
    <s v="RI-890"/>
    <s v="138109"/>
    <s v="10038125"/>
    <s v="2019"/>
    <m/>
    <m/>
    <s v=" D"/>
    <s v="09000210-Tariq Shahzad"/>
    <n v="-1"/>
    <n v="-86285"/>
    <n v="-863"/>
    <n v="0"/>
    <n v="0"/>
    <n v="-87148"/>
    <n v="0"/>
    <n v="0"/>
    <n v="-87148"/>
    <n v="0"/>
    <n v="-87148"/>
    <m/>
    <m/>
    <m/>
    <s v="Syed Waqas"/>
    <m/>
    <m/>
    <m/>
  </r>
  <r>
    <n v="1103"/>
    <x v="191"/>
    <x v="808"/>
    <s v=" -"/>
    <s v=" MOTOR"/>
    <d v="2023-12-29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9000000"/>
    <n v="149840"/>
    <n v="1499"/>
    <n v="19480"/>
    <n v="0"/>
    <n v="170819"/>
    <n v="0"/>
    <n v="0"/>
    <n v="170819"/>
    <n v="0"/>
    <n v="170819"/>
    <m/>
    <m/>
    <m/>
    <s v="AFSHEEN ISMAIL"/>
    <m/>
    <m/>
    <m/>
  </r>
  <r>
    <n v="1104"/>
    <x v="191"/>
    <x v="809"/>
    <s v=" -"/>
    <s v=" MOTOR"/>
    <d v="2024-03-22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9000000"/>
    <n v="4352"/>
    <n v="43"/>
    <n v="565"/>
    <n v="0"/>
    <n v="4960"/>
    <n v="0"/>
    <n v="0"/>
    <n v="4960"/>
    <n v="0"/>
    <n v="4960"/>
    <m/>
    <m/>
    <m/>
    <s v="AFSHEEN ISMAIL"/>
    <n v="523.72"/>
    <n v="402.24"/>
    <m/>
  </r>
  <r>
    <n v="1105"/>
    <x v="191"/>
    <x v="810"/>
    <s v=" -"/>
    <s v=" MOTOR"/>
    <d v="2024-04-22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9000000"/>
    <n v="5087"/>
    <n v="51"/>
    <n v="662"/>
    <n v="0"/>
    <n v="5800"/>
    <n v="0"/>
    <n v="0"/>
    <n v="5800"/>
    <n v="0"/>
    <n v="5800"/>
    <m/>
    <m/>
    <m/>
    <s v="AFSHEEN ISMAIL"/>
    <n v="1486.1400000000008"/>
    <n v="470.39"/>
    <m/>
  </r>
  <r>
    <n v="1106"/>
    <x v="191"/>
    <x v="811"/>
    <s v=" -"/>
    <s v=" MOTOR"/>
    <d v="2024-05-22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9000000"/>
    <n v="5930"/>
    <n v="59"/>
    <n v="771"/>
    <n v="0"/>
    <n v="6760"/>
    <n v="0"/>
    <n v="0"/>
    <n v="6760"/>
    <n v="0"/>
    <n v="6760"/>
    <m/>
    <m/>
    <m/>
    <s v="AFSHEEN ISMAIL"/>
    <n v="727.7"/>
    <n v="548.41"/>
    <m/>
  </r>
  <r>
    <n v="1107"/>
    <x v="191"/>
    <x v="812"/>
    <s v=" -"/>
    <s v=" MOTOR"/>
    <d v="2024-06-24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9000000"/>
    <n v="4084"/>
    <n v="41"/>
    <n v="531"/>
    <n v="0"/>
    <n v="4656"/>
    <n v="0"/>
    <n v="0"/>
    <n v="4656"/>
    <n v="0"/>
    <n v="4656"/>
    <m/>
    <m/>
    <m/>
    <s v="AFSHEEN ISMAIL"/>
    <n v="452.94"/>
    <n v="377.59"/>
    <m/>
  </r>
  <r>
    <n v="1108"/>
    <x v="191"/>
    <x v="813"/>
    <s v=" -"/>
    <s v=" MOTOR"/>
    <d v="2024-07-25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9000000"/>
    <n v="5445"/>
    <n v="54"/>
    <n v="817"/>
    <n v="0"/>
    <n v="6316"/>
    <n v="0"/>
    <n v="0"/>
    <n v="6316"/>
    <n v="0"/>
    <n v="6316"/>
    <m/>
    <m/>
    <m/>
    <s v="AFSHEEN ISMAIL"/>
    <n v="670.22"/>
    <n v="512.13"/>
    <m/>
  </r>
  <r>
    <n v="1109"/>
    <x v="191"/>
    <x v="814"/>
    <s v=" -"/>
    <s v=" MOTOR"/>
    <d v="2024-08-27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9000000"/>
    <n v="8944"/>
    <n v="89"/>
    <n v="1342"/>
    <n v="0"/>
    <n v="10375"/>
    <n v="0"/>
    <n v="0"/>
    <n v="10375"/>
    <n v="0"/>
    <n v="10375"/>
    <m/>
    <m/>
    <m/>
    <s v="AFSHEEN ISMAIL"/>
    <n v="3084.5999999999967"/>
    <n v="841.33"/>
    <m/>
  </r>
  <r>
    <n v="1110"/>
    <x v="191"/>
    <x v="815"/>
    <s v=" -"/>
    <s v=" MOTOR"/>
    <d v="2024-09-26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9000000"/>
    <n v="7356"/>
    <n v="74"/>
    <n v="1104"/>
    <n v="0"/>
    <n v="8534"/>
    <n v="0"/>
    <n v="0"/>
    <n v="8534"/>
    <n v="0"/>
    <n v="8534"/>
    <m/>
    <m/>
    <m/>
    <s v="AFSHEEN ISMAIL"/>
    <n v="2296.2799999999979"/>
    <n v="692"/>
    <m/>
  </r>
  <r>
    <n v="1111"/>
    <x v="191"/>
    <x v="816"/>
    <s v=" -"/>
    <s v=" MOTOR"/>
    <d v="2024-10-31T00:00:00"/>
    <d v="2023-11-22T00:00:00"/>
    <d v="2024-11-21T00:00:00"/>
    <s v=" 08814368"/>
    <s v="Mr. Jahangir Khan_x000a_CNIC: 4210158839601_x000a_Cell: 03212023444"/>
    <m/>
    <s v="TOYOTA HILUX REVO"/>
    <s v="KW-8915"/>
    <s v="1GD0468007"/>
    <s v="GUN126R-5531688"/>
    <s v="2018"/>
    <m/>
    <m/>
    <s v=" D"/>
    <s v="09000210-Tariq Shahzad"/>
    <n v="-1"/>
    <n v="-216059"/>
    <n v="-2161"/>
    <n v="0"/>
    <n v="0"/>
    <n v="-218220"/>
    <n v="0"/>
    <n v="0"/>
    <n v="-218220"/>
    <n v="0"/>
    <n v="-218220"/>
    <m/>
    <m/>
    <m/>
    <s v="AFSHEEN ISMAIL"/>
    <m/>
    <m/>
    <m/>
  </r>
  <r>
    <n v="1112"/>
    <x v="192"/>
    <x v="817"/>
    <s v=" -"/>
    <s v=" MOTOR"/>
    <d v="2023-12-29T00:00:00"/>
    <d v="2023-11-25T00:00:00"/>
    <d v="2024-11-24T00:00:00"/>
    <s v=" 08810288"/>
    <s v="Mr. Shakeel Ahmed Shah_x000a_CNIC: 37405-0648210-7_x000a_Cell: 03242163424"/>
    <m/>
    <s v="TOYOTA COROLLA ALTIS"/>
    <s v="BAS-288"/>
    <s v="Q101363"/>
    <s v="ZRE171R-6078854"/>
    <s v="2022"/>
    <m/>
    <m/>
    <s v=" D"/>
    <s v="09000210-Tariq Shahzad"/>
    <n v="6300000"/>
    <n v="98221"/>
    <n v="982"/>
    <n v="12769"/>
    <n v="0"/>
    <n v="111972"/>
    <n v="0"/>
    <n v="0"/>
    <n v="111972"/>
    <n v="0"/>
    <n v="111972"/>
    <m/>
    <m/>
    <m/>
    <s v="AFSHEEN ISMAIL"/>
    <m/>
    <m/>
    <m/>
  </r>
  <r>
    <n v="1113"/>
    <x v="192"/>
    <x v="818"/>
    <s v=" -"/>
    <s v=" MOTOR"/>
    <d v="2024-08-29T00:00:00"/>
    <d v="2023-11-25T00:00:00"/>
    <d v="2024-11-24T00:00:00"/>
    <s v=" 08810288"/>
    <s v="Mr. Shakeel Ahmed Shah_x000a_CNIC: 37405-0648210-7_x000a_Cell: 03242163424"/>
    <m/>
    <s v="TOYOTA COROLLA ALTIS"/>
    <s v="BAS-288"/>
    <s v="Q101363"/>
    <s v="ZRE171R-6078854"/>
    <s v="2022"/>
    <m/>
    <m/>
    <s v=" D"/>
    <s v="09000210-Tariq Shahzad"/>
    <n v="6300000"/>
    <n v="5597"/>
    <n v="56"/>
    <n v="839"/>
    <n v="0"/>
    <n v="6492"/>
    <n v="5999"/>
    <n v="0"/>
    <n v="493"/>
    <n v="0"/>
    <n v="493"/>
    <m/>
    <m/>
    <m/>
    <s v="AFSHEEN ISMAIL"/>
    <n v="951.54000000000121"/>
    <n v="752.97"/>
    <m/>
  </r>
  <r>
    <n v="1114"/>
    <x v="192"/>
    <x v="819"/>
    <s v=" -"/>
    <s v=" MOTOR"/>
    <d v="2024-12-29T00:00:00"/>
    <d v="2023-11-25T00:00:00"/>
    <d v="2024-11-24T00:00:00"/>
    <s v=" 08810288"/>
    <s v="Mr. Shakeel Ahmed Shah_x000a_CNIC: 37405-0648210-7_x000a_Cell: 03242163424"/>
    <m/>
    <s v="TOYOTA COROLLA ALTIS"/>
    <s v="BAS-288"/>
    <s v="Q101363"/>
    <s v="ZRE171R-6078854"/>
    <s v="2022"/>
    <m/>
    <m/>
    <s v=" D"/>
    <s v="09000210-Tariq Shahzad"/>
    <n v="-1"/>
    <n v="-111351"/>
    <n v="-1114"/>
    <n v="0"/>
    <n v="0"/>
    <n v="-112465"/>
    <n v="0"/>
    <n v="0"/>
    <n v="-112465"/>
    <n v="0"/>
    <n v="-112465"/>
    <m/>
    <m/>
    <m/>
    <s v="AFSHEEN ISMAIL"/>
    <m/>
    <m/>
    <m/>
  </r>
  <r>
    <n v="1115"/>
    <x v="193"/>
    <x v="820"/>
    <s v=" -"/>
    <s v=" MOTOR"/>
    <d v="2024-10-30T00:00:00"/>
    <d v="2023-11-28T00:00:00"/>
    <d v="2024-11-27T00:00:00"/>
    <s v=" 08810457"/>
    <s v="Mr. Muhammad Kamran Khan_x000a_CNIC: 4230108686045_x000a_Phone Number: 03219085148"/>
    <m/>
    <s v="SUZUKI ALTO VXL"/>
    <s v="BTA-551"/>
    <s v="6R149605"/>
    <s v="NF1AET306H1049539"/>
    <s v="2021"/>
    <m/>
    <m/>
    <s v=" D"/>
    <s v="09000210-Tariq Shahzad"/>
    <n v="2600000"/>
    <n v="3199"/>
    <n v="32"/>
    <n v="480"/>
    <n v="0"/>
    <n v="3711"/>
    <n v="0"/>
    <n v="0"/>
    <n v="3711"/>
    <n v="0"/>
    <n v="3711"/>
    <m/>
    <m/>
    <m/>
    <s v="Syed Waqas"/>
    <n v="1201.0099999999991"/>
    <n v="1042.26"/>
    <m/>
  </r>
  <r>
    <n v="1116"/>
    <x v="193"/>
    <x v="821"/>
    <s v=" -"/>
    <s v=" MOTOR"/>
    <d v="2025-03-29T00:00:00"/>
    <d v="2023-11-28T00:00:00"/>
    <d v="2024-11-27T00:00:00"/>
    <s v=" 08810457"/>
    <s v="Mr. Muhammad Kamran Khan_x000a_CNIC: 4230108686045_x000a_Phone Number: 03219085148"/>
    <m/>
    <s v="SUZUKI ALTO VXL"/>
    <s v="BTA-551"/>
    <s v="6R149605"/>
    <s v="NF1AET306H1049539"/>
    <s v="2021"/>
    <m/>
    <m/>
    <s v=" D"/>
    <s v="09000210-Tariq Shahzad"/>
    <n v="-1"/>
    <n v="-3678"/>
    <n v="-33"/>
    <n v="0"/>
    <n v="0"/>
    <n v="-3711"/>
    <n v="0"/>
    <n v="0"/>
    <n v="-3711"/>
    <n v="0"/>
    <n v="-3711"/>
    <m/>
    <m/>
    <m/>
    <s v="Syed Waqas"/>
    <m/>
    <m/>
    <m/>
  </r>
  <r>
    <n v="1117"/>
    <x v="194"/>
    <x v="822"/>
    <s v=" -"/>
    <s v=" MOTOR"/>
    <d v="2023-12-27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286"/>
    <n v="13"/>
    <n v="168"/>
    <n v="0"/>
    <n v="1467"/>
    <n v="0"/>
    <n v="0"/>
    <n v="1467"/>
    <n v="0"/>
    <n v="1467"/>
    <m/>
    <m/>
    <m/>
    <s v="Syed Waqas"/>
    <n v="642.92000000000007"/>
    <n v="595.6"/>
    <m/>
  </r>
  <r>
    <n v="1118"/>
    <x v="194"/>
    <x v="823"/>
    <s v=" -"/>
    <s v=" MOTOR"/>
    <d v="2023-12-29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25906"/>
    <n v="259"/>
    <n v="3368"/>
    <n v="0"/>
    <n v="29533"/>
    <n v="0"/>
    <n v="0"/>
    <n v="29533"/>
    <n v="0"/>
    <n v="29533"/>
    <m/>
    <m/>
    <m/>
    <s v="Syed Waqas"/>
    <m/>
    <m/>
    <m/>
  </r>
  <r>
    <n v="1119"/>
    <x v="194"/>
    <x v="824"/>
    <s v=" -"/>
    <s v=" MOTOR"/>
    <d v="2024-01-27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438"/>
    <n v="15"/>
    <n v="187"/>
    <n v="0"/>
    <n v="1640"/>
    <n v="0"/>
    <n v="0"/>
    <n v="1640"/>
    <n v="0"/>
    <n v="1640"/>
    <m/>
    <m/>
    <m/>
    <s v="Syed Waqas"/>
    <n v="799.92000000000121"/>
    <n v="664.96"/>
    <m/>
  </r>
  <r>
    <n v="1120"/>
    <x v="194"/>
    <x v="825"/>
    <s v=" -"/>
    <s v=" MOTOR"/>
    <d v="2024-02-27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308"/>
    <n v="13"/>
    <n v="170"/>
    <n v="0"/>
    <n v="1491"/>
    <n v="0"/>
    <n v="0"/>
    <n v="1491"/>
    <n v="0"/>
    <n v="1491"/>
    <m/>
    <m/>
    <m/>
    <s v="Syed Waqas"/>
    <n v="657.88"/>
    <n v="604.30000000000007"/>
    <m/>
  </r>
  <r>
    <n v="1121"/>
    <x v="194"/>
    <x v="826"/>
    <s v=" -"/>
    <s v=" MOTOR"/>
    <d v="2024-03-27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538"/>
    <n v="15"/>
    <n v="200"/>
    <n v="0"/>
    <n v="1753"/>
    <n v="0"/>
    <n v="0"/>
    <n v="1753"/>
    <n v="0"/>
    <n v="1753"/>
    <m/>
    <m/>
    <m/>
    <s v="Syed Waqas"/>
    <n v="762.93"/>
    <n v="710.15"/>
    <m/>
  </r>
  <r>
    <n v="1122"/>
    <x v="194"/>
    <x v="827"/>
    <s v=" -"/>
    <s v=" MOTOR"/>
    <d v="2024-04-29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561"/>
    <n v="16"/>
    <n v="202"/>
    <n v="0"/>
    <n v="1779"/>
    <n v="0"/>
    <n v="0"/>
    <n v="1779"/>
    <n v="0"/>
    <n v="1779"/>
    <m/>
    <m/>
    <m/>
    <s v="Syed Waqas"/>
    <n v="801.93000000000097"/>
    <n v="721.61"/>
    <m/>
  </r>
  <r>
    <n v="1123"/>
    <x v="194"/>
    <x v="828"/>
    <s v=" -"/>
    <s v=" MOTOR"/>
    <d v="2024-05-27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2055"/>
    <n v="20"/>
    <n v="267"/>
    <n v="0"/>
    <n v="2342"/>
    <n v="0"/>
    <n v="0"/>
    <n v="2342"/>
    <n v="0"/>
    <n v="2342"/>
    <m/>
    <m/>
    <m/>
    <s v="Syed Waqas"/>
    <n v="1114.6400000000001"/>
    <n v="949.33"/>
    <m/>
  </r>
  <r>
    <n v="1124"/>
    <x v="194"/>
    <x v="829"/>
    <s v=" -"/>
    <s v=" MOTOR"/>
    <d v="2024-06-27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583"/>
    <n v="16"/>
    <n v="206"/>
    <n v="0"/>
    <n v="1805"/>
    <n v="0"/>
    <n v="0"/>
    <n v="1805"/>
    <n v="0"/>
    <n v="1805"/>
    <m/>
    <m/>
    <m/>
    <s v="Syed Waqas"/>
    <n v="814.71"/>
    <n v="731.51"/>
    <m/>
  </r>
  <r>
    <n v="1125"/>
    <x v="194"/>
    <x v="830"/>
    <s v=" -"/>
    <s v=" MOTOR"/>
    <d v="2024-07-30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607"/>
    <n v="16"/>
    <n v="241"/>
    <n v="0"/>
    <n v="1864"/>
    <n v="0"/>
    <n v="0"/>
    <n v="1864"/>
    <n v="0"/>
    <n v="1864"/>
    <m/>
    <m/>
    <m/>
    <s v="Syed Waqas"/>
    <n v="816.05000000000121"/>
    <n v="756.14"/>
    <m/>
  </r>
  <r>
    <n v="1126"/>
    <x v="194"/>
    <x v="831"/>
    <s v=" -"/>
    <s v=" MOTOR"/>
    <d v="2024-08-31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713"/>
    <n v="17"/>
    <n v="257"/>
    <n v="0"/>
    <n v="1987"/>
    <n v="0"/>
    <n v="0"/>
    <n v="1987"/>
    <n v="0"/>
    <n v="1987"/>
    <m/>
    <m/>
    <m/>
    <s v="Syed Waqas"/>
    <n v="908.17000000000121"/>
    <n v="805.08"/>
    <m/>
  </r>
  <r>
    <n v="1127"/>
    <x v="194"/>
    <x v="832"/>
    <s v=" -"/>
    <s v=" MOTOR"/>
    <d v="2024-10-01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071"/>
    <n v="11"/>
    <n v="161"/>
    <n v="0"/>
    <n v="1243"/>
    <n v="0"/>
    <n v="0"/>
    <n v="1243"/>
    <n v="0"/>
    <n v="1243"/>
    <m/>
    <m/>
    <m/>
    <s v="Syed Waqas"/>
    <n v="504.0200000000001"/>
    <n v="504.0200000000001"/>
    <m/>
  </r>
  <r>
    <n v="1128"/>
    <x v="194"/>
    <x v="833"/>
    <s v=" -"/>
    <s v=" MOTOR"/>
    <d v="2024-10-30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1800000"/>
    <n v="1657"/>
    <n v="17"/>
    <n v="249"/>
    <n v="0"/>
    <n v="1923"/>
    <n v="0"/>
    <n v="0"/>
    <n v="1923"/>
    <n v="0"/>
    <n v="1923"/>
    <m/>
    <m/>
    <m/>
    <s v="Syed Waqas"/>
    <n v="856.15000000000009"/>
    <n v="780"/>
    <m/>
  </r>
  <r>
    <n v="1129"/>
    <x v="194"/>
    <x v="834"/>
    <s v=" -"/>
    <s v=" MOTOR"/>
    <d v="2024-12-29T00:00:00"/>
    <d v="2023-11-27T00:00:00"/>
    <d v="2024-11-26T00:00:00"/>
    <s v=" 08809552"/>
    <s v="Mr. Mohammad Shaheer Jaffery_x000a_CNIC: 4220195389113 _x000a_Phone Number: 03358206222 - 03358206222"/>
    <m/>
    <s v="TOYOTA PASSO"/>
    <s v="BAL-082"/>
    <s v="1KR-1136695"/>
    <s v="KGC30-0041532"/>
    <s v="2010"/>
    <m/>
    <m/>
    <s v=" D"/>
    <s v="09000210-Tariq Shahzad"/>
    <n v="-1"/>
    <n v="-48344"/>
    <n v="-483"/>
    <n v="0"/>
    <n v="0"/>
    <n v="-48827"/>
    <n v="0"/>
    <n v="0"/>
    <n v="-48827"/>
    <n v="0"/>
    <n v="-48827"/>
    <m/>
    <m/>
    <m/>
    <s v="Syed Waqas"/>
    <m/>
    <m/>
    <m/>
  </r>
  <r>
    <n v="1134"/>
    <x v="195"/>
    <x v="835"/>
    <s v=" -"/>
    <s v=" MOTOR"/>
    <d v="2023-12-29T00:00:00"/>
    <d v="2023-11-30T00:00:00"/>
    <d v="2024-11-29T00:00:00"/>
    <s v=" 08814490"/>
    <s v="Mr. Bakhsh Ali Abro_x000a_CNIC: 4320377902263_x000a_Cell: 03335862556"/>
    <m/>
    <s v="TOYOTA COROLLA ALTIS"/>
    <s v="BVC-063"/>
    <s v="Q084045"/>
    <s v="ZRE171R-6061612"/>
    <s v="2021"/>
    <m/>
    <m/>
    <s v=" D"/>
    <s v="09000210-Tariq Shahzad"/>
    <n v="5000000"/>
    <n v="83332"/>
    <n v="834"/>
    <n v="10834"/>
    <n v="0"/>
    <n v="95000"/>
    <n v="0"/>
    <n v="0"/>
    <n v="95000"/>
    <n v="0"/>
    <n v="95000"/>
    <m/>
    <m/>
    <m/>
    <s v="AFSHEEN ISMAIL"/>
    <m/>
    <m/>
    <m/>
  </r>
  <r>
    <n v="1135"/>
    <x v="195"/>
    <x v="836"/>
    <s v=" -"/>
    <s v=" MOTOR"/>
    <d v="2024-01-01T00:00:00"/>
    <d v="2023-11-30T00:00:00"/>
    <d v="2024-11-29T00:00:00"/>
    <s v=" 08814490"/>
    <s v="Mr. Bakhsh Ali Abro_x000a_CNIC: 4320377902263_x000a_Cell: 03335862556"/>
    <m/>
    <s v="TOYOTA COROLLA ALTIS"/>
    <s v="BVC-063"/>
    <s v="Q084045"/>
    <s v="ZRE171R-6061612"/>
    <s v="2021"/>
    <m/>
    <m/>
    <s v=" D"/>
    <s v="09000210-Tariq Shahzad"/>
    <n v="5000000"/>
    <n v="631"/>
    <n v="6"/>
    <n v="82"/>
    <n v="0"/>
    <n v="719"/>
    <n v="0"/>
    <n v="0"/>
    <n v="719"/>
    <n v="0"/>
    <n v="719"/>
    <m/>
    <m/>
    <m/>
    <s v="AFSHEEN ISMAIL"/>
    <n v="164.7"/>
    <n v="105.04"/>
    <m/>
  </r>
  <r>
    <n v="1136"/>
    <x v="195"/>
    <x v="837"/>
    <s v=" -"/>
    <s v=" MOTOR"/>
    <d v="2024-01-31T00:00:00"/>
    <d v="2023-11-30T00:00:00"/>
    <d v="2024-11-29T00:00:00"/>
    <s v=" 08814490"/>
    <s v="Mr. Bakhsh Ali Abro_x000a_CNIC: 4320377902263_x000a_Cell: 03335862556"/>
    <m/>
    <s v="TOYOTA COROLLA ALTIS"/>
    <s v="BVC-063"/>
    <s v="Q084045"/>
    <s v="ZRE171R-6061612"/>
    <s v="2021"/>
    <m/>
    <m/>
    <s v=" D"/>
    <s v="09000210-Tariq Shahzad"/>
    <n v="5000000"/>
    <n v="12"/>
    <n v="0"/>
    <n v="1"/>
    <n v="0"/>
    <n v="13"/>
    <n v="0"/>
    <n v="0"/>
    <n v="13"/>
    <n v="0"/>
    <n v="13"/>
    <m/>
    <m/>
    <m/>
    <s v="AFSHEEN ISMAIL"/>
    <n v="2.04"/>
    <n v="2.04"/>
    <m/>
  </r>
  <r>
    <n v="1137"/>
    <x v="195"/>
    <x v="838"/>
    <s v=" -"/>
    <s v=" MOTOR"/>
    <d v="2024-12-29T00:00:00"/>
    <d v="2023-11-30T00:00:00"/>
    <d v="2024-11-29T00:00:00"/>
    <s v=" 08814490"/>
    <s v="Mr. Bakhsh Ali Abro_x000a_CNIC: 4320377902263_x000a_Cell: 03335862556"/>
    <m/>
    <s v="TOYOTA COROLLA ALTIS"/>
    <s v="BVC-063"/>
    <s v="Q084045"/>
    <s v="ZRE171R-6061612"/>
    <s v="2021"/>
    <m/>
    <m/>
    <s v=" D"/>
    <s v="09000210-Tariq Shahzad"/>
    <n v="-1"/>
    <n v="-94784"/>
    <n v="-948"/>
    <n v="0"/>
    <n v="0"/>
    <n v="-95732"/>
    <n v="0"/>
    <n v="0"/>
    <n v="-95732"/>
    <n v="0"/>
    <n v="-95732"/>
    <m/>
    <m/>
    <m/>
    <s v="AFSHEEN ISMAIL"/>
    <m/>
    <m/>
    <m/>
  </r>
  <r>
    <n v="1141"/>
    <x v="196"/>
    <x v="24"/>
    <s v=" -"/>
    <s v=" MOTOR"/>
    <d v="2023-12-01T00:00:00"/>
    <d v="2023-12-01T00:00:00"/>
    <d v="2024-11-30T00:00:00"/>
    <s v=" 08811974"/>
    <s v="Mr. Irfan Iftikhar _x000a_CNIC: 42201-3864204-9_x000a_Cell: 0321-9260667"/>
    <m/>
    <s v="SUZUKI ALTO VXR"/>
    <s v="BZE-268"/>
    <s v="6R287243"/>
    <s v="NF1AET306H1187281"/>
    <s v="2023"/>
    <m/>
    <m/>
    <s v=" D"/>
    <s v="09000210-Tariq Shahzad"/>
    <n v="2900000"/>
    <n v="4343"/>
    <n v="43"/>
    <n v="564"/>
    <n v="50"/>
    <n v="5000"/>
    <n v="5002"/>
    <n v="0"/>
    <n v="-2"/>
    <n v="0"/>
    <n v="-2"/>
    <m/>
    <m/>
    <m/>
    <s v="MUHAMMAD WAQAS"/>
    <m/>
    <m/>
    <s v="irfan.iftikhar@hotmail.com"/>
  </r>
  <r>
    <n v="1142"/>
    <x v="196"/>
    <x v="839"/>
    <s v=" -"/>
    <s v=" MOTOR"/>
    <d v="2024-01-02T00:00:00"/>
    <d v="2023-12-01T00:00:00"/>
    <d v="2024-11-30T00:00:00"/>
    <s v=" 08811974"/>
    <s v="Mr. Irfan Iftikhar _x000a_CNIC: 42201-3864204-9_x000a_Cell: 0321-9260667"/>
    <m/>
    <s v="SUZUKI ALTO VXR"/>
    <s v="BZE-268"/>
    <s v="6R287243"/>
    <s v="NF1AET306H1187281"/>
    <s v="2023"/>
    <m/>
    <m/>
    <s v=" D"/>
    <s v="09000210-Tariq Shahzad"/>
    <n v="2900000"/>
    <n v="3559"/>
    <n v="36"/>
    <n v="463"/>
    <n v="0"/>
    <n v="4058"/>
    <n v="4056"/>
    <n v="0"/>
    <n v="2"/>
    <n v="0"/>
    <n v="2"/>
    <m/>
    <m/>
    <m/>
    <s v="MUHAMMAD WAQAS"/>
    <n v="1340.68"/>
    <n v="1020.699999999999"/>
    <m/>
  </r>
  <r>
    <n v="1147"/>
    <x v="197"/>
    <x v="840"/>
    <s v=" -"/>
    <s v=" MOTOR"/>
    <d v="2024-07-01T00:00:00"/>
    <d v="2023-11-29T00:00:00"/>
    <d v="2024-11-28T00:00:00"/>
    <s v=" 08814571"/>
    <s v="Mr. Muhammad Ajmal Nasir_x000a_Cell: 03458491956 _x000a_CNIC: 3740578177255"/>
    <m/>
    <s v="KIA KIA SPORTAGE"/>
    <s v="ARS-045"/>
    <s v="G4NALH318143"/>
    <s v="NNAQL51AZKP504807"/>
    <s v="2020"/>
    <m/>
    <m/>
    <s v=" D"/>
    <s v="09000249-Amna Khurram"/>
    <n v="6700000"/>
    <n v="3100"/>
    <n v="30"/>
    <n v="402"/>
    <n v="0"/>
    <n v="3532"/>
    <n v="7064"/>
    <n v="0"/>
    <n v="-3532"/>
    <n v="0"/>
    <n v="-3532"/>
    <m/>
    <m/>
    <m/>
    <s v="KHURRAM ANIS"/>
    <n v="1181.5000000000391"/>
    <n v="384.86"/>
    <m/>
  </r>
  <r>
    <n v="1148"/>
    <x v="197"/>
    <x v="841"/>
    <s v=" -"/>
    <s v=" MOTOR"/>
    <d v="2024-09-03T00:00:00"/>
    <d v="2023-11-29T00:00:00"/>
    <d v="2024-11-28T00:00:00"/>
    <s v=" 08814571"/>
    <s v="Mr. Muhammad Ajmal Nasir_x000a_Cell: 03458491956 _x000a_CNIC: 3740578177255"/>
    <m/>
    <s v="KIA KIA SPORTAGE"/>
    <s v="ARS-045"/>
    <s v="G4NALH318143"/>
    <s v="NNAQL51AZKP504807"/>
    <s v="2020"/>
    <m/>
    <m/>
    <s v=" D"/>
    <s v="09000249-Amna Khurram"/>
    <n v="6700000"/>
    <n v="3019"/>
    <n v="30"/>
    <n v="453"/>
    <n v="0"/>
    <n v="3502"/>
    <n v="0"/>
    <n v="0"/>
    <n v="3502"/>
    <n v="0"/>
    <n v="3502"/>
    <m/>
    <m/>
    <m/>
    <s v="KHURRAM ANIS"/>
    <n v="384.3900000000001"/>
    <n v="381.63"/>
    <m/>
  </r>
  <r>
    <n v="1149"/>
    <x v="197"/>
    <x v="842"/>
    <s v=" -"/>
    <s v=" MOTOR"/>
    <d v="2024-11-01T00:00:00"/>
    <d v="2023-11-29T00:00:00"/>
    <d v="2024-11-28T00:00:00"/>
    <s v=" 08814571"/>
    <s v="Mr. Muhammad Ajmal Nasir_x000a_Cell: 03458491956 _x000a_CNIC: 3740578177255"/>
    <m/>
    <s v="KIA KIA SPORTAGE"/>
    <s v="ARS-045"/>
    <s v="G4NALH318143"/>
    <s v="NNAQL51AZKP504807"/>
    <s v="2020"/>
    <m/>
    <m/>
    <s v=" D"/>
    <s v="09000249-Amna Khurram"/>
    <n v="6700000"/>
    <n v="2163"/>
    <n v="22"/>
    <n v="325"/>
    <n v="0"/>
    <n v="2510"/>
    <n v="2480"/>
    <n v="0"/>
    <n v="30"/>
    <n v="0"/>
    <n v="30"/>
    <m/>
    <m/>
    <m/>
    <s v="KHURRAM ANIS"/>
    <n v="295.95"/>
    <n v="273.40000000000003"/>
    <m/>
  </r>
  <r>
    <n v="1162"/>
    <x v="198"/>
    <x v="843"/>
    <s v=" -"/>
    <s v=" MOTOR"/>
    <d v="2023-12-29T00:00:00"/>
    <d v="2023-12-04T00:00:00"/>
    <d v="2024-12-03T00:00:00"/>
    <s v=" 08814603"/>
    <s v="Mr. Saqib Ali Malik          _x000a_CNIC No: 42501-6061803-1_x000a_Phone Number: 03265008595"/>
    <m/>
    <s v="TOYOTA COROLLA ALTIS CVT"/>
    <s v="BDV-466"/>
    <s v="Q310611"/>
    <s v="ZRE172R-7009601"/>
    <s v="2015"/>
    <m/>
    <m/>
    <s v=" D"/>
    <s v="09000210-Tariq Shahzad"/>
    <n v="3000000"/>
    <n v="48245"/>
    <n v="483"/>
    <n v="6272"/>
    <n v="0"/>
    <n v="55000"/>
    <n v="0"/>
    <n v="0"/>
    <n v="55000"/>
    <n v="0"/>
    <n v="55000"/>
    <m/>
    <m/>
    <m/>
    <s v="Syed Waqas"/>
    <m/>
    <m/>
    <m/>
  </r>
  <r>
    <n v="1163"/>
    <x v="198"/>
    <x v="844"/>
    <s v=" -"/>
    <s v=" MOTOR"/>
    <d v="2024-12-29T00:00:00"/>
    <d v="2023-12-04T00:00:00"/>
    <d v="2024-12-03T00:00:00"/>
    <s v=" 08814603"/>
    <s v="Mr. Saqib Ali Malik          _x000a_CNIC No: 42501-6061803-1_x000a_Phone Number: 03265008595"/>
    <m/>
    <s v="TOYOTA COROLLA ALTIS CVT"/>
    <s v="BDV-466"/>
    <s v="Q310611"/>
    <s v="ZRE172R-7009601"/>
    <s v="2015"/>
    <m/>
    <m/>
    <s v=" D"/>
    <s v="09000210-Tariq Shahzad"/>
    <n v="-1"/>
    <n v="-54455"/>
    <n v="-545"/>
    <n v="0"/>
    <n v="0"/>
    <n v="-55000"/>
    <n v="0"/>
    <n v="0"/>
    <n v="-55000"/>
    <n v="0"/>
    <n v="-55000"/>
    <m/>
    <m/>
    <m/>
    <s v="Syed Waqas"/>
    <m/>
    <m/>
    <m/>
  </r>
  <r>
    <n v="1164"/>
    <x v="199"/>
    <x v="845"/>
    <s v=" -"/>
    <s v=" MOTOR"/>
    <d v="2023-12-29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2600000"/>
    <n v="41227"/>
    <n v="413"/>
    <n v="5360"/>
    <n v="0"/>
    <n v="47000"/>
    <n v="0"/>
    <n v="0"/>
    <n v="47000"/>
    <n v="0"/>
    <n v="47000"/>
    <m/>
    <m/>
    <m/>
    <s v="MUHAMMAD WAQAS"/>
    <m/>
    <m/>
    <m/>
  </r>
  <r>
    <n v="1165"/>
    <x v="199"/>
    <x v="846"/>
    <s v=" -"/>
    <s v=" MOTOR"/>
    <d v="2024-01-05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2600000"/>
    <n v="2256"/>
    <n v="22"/>
    <n v="293"/>
    <n v="0"/>
    <n v="2571"/>
    <n v="0"/>
    <n v="0"/>
    <n v="2571"/>
    <n v="0"/>
    <n v="2571"/>
    <m/>
    <m/>
    <m/>
    <s v="MUHAMMAD WAQAS"/>
    <n v="890.65999999999894"/>
    <n v="722.67"/>
    <m/>
  </r>
  <r>
    <n v="1166"/>
    <x v="199"/>
    <x v="847"/>
    <s v=" -"/>
    <s v=" MOTOR"/>
    <d v="2024-02-07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2600000"/>
    <n v="2773"/>
    <n v="28"/>
    <n v="361"/>
    <n v="0"/>
    <n v="3162"/>
    <n v="0"/>
    <n v="0"/>
    <n v="3162"/>
    <n v="0"/>
    <n v="3162"/>
    <m/>
    <m/>
    <m/>
    <s v="MUHAMMAD WAQAS"/>
    <n v="1053.9299999999992"/>
    <n v="888.57"/>
    <m/>
  </r>
  <r>
    <n v="1167"/>
    <x v="199"/>
    <x v="848"/>
    <s v=" -"/>
    <s v=" MOTOR"/>
    <d v="2024-03-05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2600000"/>
    <n v="2192"/>
    <n v="22"/>
    <n v="285"/>
    <n v="0"/>
    <n v="2499"/>
    <n v="0"/>
    <n v="0"/>
    <n v="2499"/>
    <n v="0"/>
    <n v="2499"/>
    <m/>
    <m/>
    <m/>
    <s v="MUHAMMAD WAQAS"/>
    <n v="843.63"/>
    <n v="702.48"/>
    <m/>
  </r>
  <r>
    <n v="1168"/>
    <x v="199"/>
    <x v="849"/>
    <s v=" -"/>
    <s v=" MOTOR"/>
    <d v="2024-04-05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2600000"/>
    <n v="2323"/>
    <n v="23"/>
    <n v="302"/>
    <n v="0"/>
    <n v="2648"/>
    <n v="0"/>
    <n v="0"/>
    <n v="2648"/>
    <n v="0"/>
    <n v="2648"/>
    <m/>
    <m/>
    <m/>
    <s v="MUHAMMAD WAQAS"/>
    <n v="912.42"/>
    <n v="744.31"/>
    <m/>
  </r>
  <r>
    <n v="1169"/>
    <x v="199"/>
    <x v="850"/>
    <s v=" -"/>
    <s v=" MOTOR"/>
    <d v="2024-05-13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2600000"/>
    <n v="2151"/>
    <n v="22"/>
    <n v="280"/>
    <n v="0"/>
    <n v="2453"/>
    <n v="0"/>
    <n v="0"/>
    <n v="2453"/>
    <n v="0"/>
    <n v="2453"/>
    <m/>
    <m/>
    <m/>
    <s v="MUHAMMAD WAQAS"/>
    <n v="796.43"/>
    <n v="689.39"/>
    <m/>
  </r>
  <r>
    <n v="1170"/>
    <x v="199"/>
    <x v="851"/>
    <s v=" -"/>
    <s v=" MOTOR"/>
    <d v="2024-06-06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2600000"/>
    <n v="2062"/>
    <n v="20"/>
    <n v="267"/>
    <n v="0"/>
    <n v="2349"/>
    <n v="0"/>
    <n v="0"/>
    <n v="2349"/>
    <n v="0"/>
    <n v="2349"/>
    <m/>
    <m/>
    <m/>
    <s v="MUHAMMAD WAQAS"/>
    <n v="947.5"/>
    <n v="660.18"/>
    <m/>
  </r>
  <r>
    <n v="1171"/>
    <x v="199"/>
    <x v="852"/>
    <s v=" -"/>
    <s v=" MOTOR"/>
    <d v="2024-07-05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2600000"/>
    <n v="1463"/>
    <n v="15"/>
    <n v="220"/>
    <n v="0"/>
    <n v="1698"/>
    <n v="0"/>
    <n v="0"/>
    <n v="1698"/>
    <n v="0"/>
    <n v="1698"/>
    <m/>
    <m/>
    <m/>
    <s v="MUHAMMAD WAQAS"/>
    <n v="508.54"/>
    <n v="476.89"/>
    <m/>
  </r>
  <r>
    <n v="1172"/>
    <x v="199"/>
    <x v="853"/>
    <s v=" -"/>
    <s v=" MOTOR"/>
    <d v="2024-10-31T00:00:00"/>
    <d v="2023-12-05T00:00:00"/>
    <d v="2024-12-04T00:00:00"/>
    <s v=" 08814601"/>
    <s v="Mr. Syed Sameer Ali_x000a_CNIC: 4210142239417_x000a_Cell: 0300-9224894"/>
    <m/>
    <s v="NISSAN DAYZ"/>
    <s v="BQB-025"/>
    <s v="3B20-LS5199"/>
    <s v="B21W-0414116"/>
    <s v="2017"/>
    <m/>
    <m/>
    <s v=" D"/>
    <s v="09000210-Tariq Shahzad"/>
    <n v="-1"/>
    <n v="-63743"/>
    <n v="-637"/>
    <n v="0"/>
    <n v="0"/>
    <n v="-64380"/>
    <n v="0"/>
    <n v="0"/>
    <n v="-64380"/>
    <n v="0"/>
    <n v="-64380"/>
    <m/>
    <m/>
    <m/>
    <s v="MUHAMMAD WAQAS"/>
    <m/>
    <m/>
    <m/>
  </r>
  <r>
    <n v="1175"/>
    <x v="200"/>
    <x v="854"/>
    <s v=" -"/>
    <s v=" MOTOR"/>
    <d v="2023-12-29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78069"/>
    <n v="781"/>
    <n v="10150"/>
    <n v="0"/>
    <n v="89000"/>
    <n v="0"/>
    <n v="0"/>
    <n v="89000"/>
    <n v="0"/>
    <n v="89000"/>
    <m/>
    <m/>
    <m/>
    <s v="AFSHEEN ISMAIL"/>
    <m/>
    <m/>
    <m/>
  </r>
  <r>
    <n v="1176"/>
    <x v="200"/>
    <x v="855"/>
    <s v=" -"/>
    <s v=" MOTOR"/>
    <d v="2024-01-09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3775"/>
    <n v="38"/>
    <n v="490"/>
    <n v="0"/>
    <n v="4303"/>
    <n v="0"/>
    <n v="0"/>
    <n v="4303"/>
    <n v="0"/>
    <n v="4303"/>
    <m/>
    <m/>
    <m/>
    <s v="AFSHEEN ISMAIL"/>
    <n v="1811.3899999999981"/>
    <n v="667.79000000000019"/>
    <m/>
  </r>
  <r>
    <n v="1177"/>
    <x v="200"/>
    <x v="856"/>
    <s v=" -"/>
    <s v=" MOTOR"/>
    <d v="2024-02-12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5317"/>
    <n v="53"/>
    <n v="692"/>
    <n v="0"/>
    <n v="6062"/>
    <n v="0"/>
    <n v="0"/>
    <n v="6062"/>
    <n v="0"/>
    <n v="6062"/>
    <m/>
    <m/>
    <m/>
    <s v="AFSHEEN ISMAIL"/>
    <n v="2707.97"/>
    <n v="940.96"/>
    <m/>
  </r>
  <r>
    <n v="1178"/>
    <x v="200"/>
    <x v="857"/>
    <s v=" -"/>
    <s v=" MOTOR"/>
    <d v="2024-03-08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4671"/>
    <n v="47"/>
    <n v="607"/>
    <n v="0"/>
    <n v="5325"/>
    <n v="0"/>
    <n v="0"/>
    <n v="5325"/>
    <n v="0"/>
    <n v="5325"/>
    <m/>
    <m/>
    <m/>
    <s v="AFSHEEN ISMAIL"/>
    <n v="2396.4599999999914"/>
    <n v="826.3"/>
    <m/>
  </r>
  <r>
    <n v="1179"/>
    <x v="200"/>
    <x v="858"/>
    <s v=" -"/>
    <s v=" MOTOR"/>
    <d v="2024-04-08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5997"/>
    <n v="60"/>
    <n v="779"/>
    <n v="0"/>
    <n v="6836"/>
    <n v="0"/>
    <n v="0"/>
    <n v="6836"/>
    <n v="0"/>
    <n v="6836"/>
    <m/>
    <m/>
    <m/>
    <s v="AFSHEEN ISMAIL"/>
    <n v="2906.0399999999991"/>
    <n v="1061.3399999999999"/>
    <m/>
  </r>
  <r>
    <n v="1180"/>
    <x v="200"/>
    <x v="859"/>
    <s v=" -"/>
    <s v=" MOTOR"/>
    <d v="2024-05-13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4103"/>
    <n v="41"/>
    <n v="534"/>
    <n v="0"/>
    <n v="4678"/>
    <n v="0"/>
    <n v="0"/>
    <n v="4678"/>
    <n v="0"/>
    <n v="4678"/>
    <m/>
    <m/>
    <m/>
    <s v="AFSHEEN ISMAIL"/>
    <n v="1791.239999999995"/>
    <n v="725.87"/>
    <m/>
  </r>
  <r>
    <n v="1181"/>
    <x v="200"/>
    <x v="860"/>
    <s v=" -"/>
    <s v=" MOTOR"/>
    <d v="2024-06-10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5526"/>
    <n v="55"/>
    <n v="718"/>
    <n v="0"/>
    <n v="6299"/>
    <n v="0"/>
    <n v="0"/>
    <n v="6299"/>
    <n v="0"/>
    <n v="6299"/>
    <m/>
    <m/>
    <m/>
    <s v="AFSHEEN ISMAIL"/>
    <n v="3285.03"/>
    <n v="977.68"/>
    <m/>
  </r>
  <r>
    <n v="1182"/>
    <x v="200"/>
    <x v="861"/>
    <s v=" -"/>
    <s v=" MOTOR"/>
    <d v="2024-07-09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6454"/>
    <n v="65"/>
    <n v="968"/>
    <n v="0"/>
    <n v="7487"/>
    <n v="0"/>
    <n v="0"/>
    <n v="7487"/>
    <n v="0"/>
    <n v="7487"/>
    <m/>
    <m/>
    <m/>
    <s v="AFSHEEN ISMAIL"/>
    <n v="2966.4099999999944"/>
    <n v="1162.2699999999991"/>
    <m/>
  </r>
  <r>
    <n v="1183"/>
    <x v="200"/>
    <x v="862"/>
    <s v=" -"/>
    <s v=" MOTOR"/>
    <d v="2024-08-08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6259"/>
    <n v="63"/>
    <n v="939"/>
    <n v="0"/>
    <n v="7261"/>
    <n v="0"/>
    <n v="0"/>
    <n v="7261"/>
    <n v="0"/>
    <n v="7261"/>
    <m/>
    <m/>
    <m/>
    <s v="AFSHEEN ISMAIL"/>
    <n v="2737.6399999999981"/>
    <n v="1127.1400000000001"/>
    <m/>
  </r>
  <r>
    <n v="1184"/>
    <x v="200"/>
    <x v="863"/>
    <s v=" -"/>
    <s v=" MOTOR"/>
    <d v="2024-09-11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5633"/>
    <n v="56"/>
    <n v="845"/>
    <n v="0"/>
    <n v="6534"/>
    <n v="0"/>
    <n v="0"/>
    <n v="6534"/>
    <n v="0"/>
    <n v="6534"/>
    <m/>
    <m/>
    <m/>
    <s v="AFSHEEN ISMAIL"/>
    <n v="2263.949999999998"/>
    <n v="1014.45"/>
    <m/>
  </r>
  <r>
    <n v="1185"/>
    <x v="200"/>
    <x v="864"/>
    <s v=" -"/>
    <s v=" MOTOR"/>
    <d v="2024-10-14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5007"/>
    <n v="50"/>
    <n v="751"/>
    <n v="0"/>
    <n v="5808"/>
    <n v="0"/>
    <n v="0"/>
    <n v="5808"/>
    <n v="0"/>
    <n v="5808"/>
    <m/>
    <m/>
    <m/>
    <s v="AFSHEEN ISMAIL"/>
    <n v="2572.0699999999979"/>
    <n v="901.58"/>
    <m/>
  </r>
  <r>
    <n v="1186"/>
    <x v="200"/>
    <x v="865"/>
    <s v=" -"/>
    <s v=" MOTOR"/>
    <d v="2024-11-11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4700000"/>
    <n v="3233"/>
    <n v="32"/>
    <n v="485"/>
    <n v="0"/>
    <n v="3750"/>
    <n v="0"/>
    <n v="0"/>
    <n v="3750"/>
    <n v="0"/>
    <n v="3750"/>
    <m/>
    <m/>
    <m/>
    <s v="AFSHEEN ISMAIL"/>
    <n v="1781.0099999999991"/>
    <n v="582.23"/>
    <m/>
  </r>
  <r>
    <n v="1187"/>
    <x v="200"/>
    <x v="866"/>
    <s v=" -"/>
    <s v=" MOTOR"/>
    <d v="2024-12-29T00:00:00"/>
    <d v="2023-12-08T00:00:00"/>
    <d v="2024-12-07T00:00:00"/>
    <s v=" 08814743"/>
    <s v="Mr. Muhammad Waseem Khan _x000a_CNIC No. 35202-2690534-3_x000a_Cell No. 0345-4021619"/>
    <m/>
    <s v="HONDA CITY ASPIRE"/>
    <s v="AGW-653"/>
    <s v="L15Z81003149"/>
    <s v="NFBGN9668MR00872"/>
    <s v="2021"/>
    <m/>
    <m/>
    <s v=" D"/>
    <s v="09000210-Tariq Shahzad"/>
    <n v="-1"/>
    <n v="-151825"/>
    <n v="-1518"/>
    <n v="0"/>
    <n v="0"/>
    <n v="-153343"/>
    <n v="0"/>
    <n v="0"/>
    <n v="-153343"/>
    <n v="0"/>
    <n v="-153343"/>
    <m/>
    <m/>
    <m/>
    <s v="AFSHEEN ISMAIL"/>
    <m/>
    <m/>
    <m/>
  </r>
  <r>
    <n v="1188"/>
    <x v="201"/>
    <x v="867"/>
    <s v=" -"/>
    <s v=" MOTOR"/>
    <d v="2023-12-29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100876"/>
    <n v="1009"/>
    <n v="13115"/>
    <n v="0"/>
    <n v="115000"/>
    <n v="0"/>
    <n v="0"/>
    <n v="115000"/>
    <n v="0"/>
    <n v="115000"/>
    <m/>
    <m/>
    <m/>
    <s v="Syed Waqas"/>
    <m/>
    <m/>
    <m/>
  </r>
  <r>
    <n v="1189"/>
    <x v="201"/>
    <x v="868"/>
    <s v=" -"/>
    <s v=" MOTOR"/>
    <d v="2024-04-14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7140"/>
    <n v="71"/>
    <n v="928"/>
    <n v="0"/>
    <n v="8139"/>
    <n v="0"/>
    <n v="0"/>
    <n v="8139"/>
    <n v="0"/>
    <n v="8139"/>
    <m/>
    <m/>
    <m/>
    <s v="Syed Waqas"/>
    <n v="1022.87"/>
    <n v="990.40000000000009"/>
    <m/>
  </r>
  <r>
    <n v="1190"/>
    <x v="201"/>
    <x v="869"/>
    <s v=" -"/>
    <s v=" MOTOR"/>
    <d v="2024-05-13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4503"/>
    <n v="46"/>
    <n v="586"/>
    <n v="0"/>
    <n v="5135"/>
    <n v="0"/>
    <n v="0"/>
    <n v="5135"/>
    <n v="0"/>
    <n v="5135"/>
    <m/>
    <m/>
    <m/>
    <s v="Syed Waqas"/>
    <n v="1430.1100000000013"/>
    <n v="624.80000000000007"/>
    <m/>
  </r>
  <r>
    <n v="1191"/>
    <x v="201"/>
    <x v="870"/>
    <s v=" -"/>
    <s v=" MOTOR"/>
    <d v="2024-06-12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5905"/>
    <n v="59"/>
    <n v="767"/>
    <n v="0"/>
    <n v="6731"/>
    <n v="0"/>
    <n v="0"/>
    <n v="6731"/>
    <n v="0"/>
    <n v="6731"/>
    <m/>
    <m/>
    <m/>
    <s v="Syed Waqas"/>
    <n v="818.76"/>
    <n v="818.76"/>
    <m/>
  </r>
  <r>
    <n v="1192"/>
    <x v="201"/>
    <x v="871"/>
    <s v=" -"/>
    <s v=" MOTOR"/>
    <d v="2024-07-13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5578"/>
    <n v="56"/>
    <n v="837"/>
    <n v="0"/>
    <n v="6471"/>
    <n v="0"/>
    <n v="0"/>
    <n v="6471"/>
    <n v="0"/>
    <n v="6471"/>
    <m/>
    <m/>
    <m/>
    <s v="Syed Waqas"/>
    <n v="881.1600000000002"/>
    <n v="787.21"/>
    <m/>
  </r>
  <r>
    <n v="1193"/>
    <x v="201"/>
    <x v="872"/>
    <s v=" -"/>
    <s v=" MOTOR"/>
    <d v="2024-08-13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6017"/>
    <n v="60"/>
    <n v="902"/>
    <n v="0"/>
    <n v="6979"/>
    <n v="0"/>
    <n v="0"/>
    <n v="6979"/>
    <n v="0"/>
    <n v="6979"/>
    <m/>
    <m/>
    <m/>
    <s v="Syed Waqas"/>
    <n v="900.65000000000009"/>
    <n v="848.88"/>
    <m/>
  </r>
  <r>
    <n v="1194"/>
    <x v="201"/>
    <x v="873"/>
    <s v=" -"/>
    <s v=" MOTOR"/>
    <d v="2024-09-14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4011"/>
    <n v="40"/>
    <n v="602"/>
    <n v="0"/>
    <n v="4653"/>
    <n v="0"/>
    <n v="0"/>
    <n v="4653"/>
    <n v="0"/>
    <n v="4653"/>
    <m/>
    <m/>
    <m/>
    <s v="Syed Waqas"/>
    <n v="593.48"/>
    <n v="566.18000000000006"/>
    <m/>
  </r>
  <r>
    <n v="1195"/>
    <x v="201"/>
    <x v="874"/>
    <s v=" -"/>
    <s v=" MOTOR"/>
    <d v="2024-10-14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4749"/>
    <n v="47"/>
    <n v="712"/>
    <n v="0"/>
    <n v="5508"/>
    <n v="0"/>
    <n v="0"/>
    <n v="5508"/>
    <n v="0"/>
    <n v="5508"/>
    <m/>
    <m/>
    <m/>
    <s v="Syed Waqas"/>
    <n v="683.7800000000002"/>
    <n v="670.21"/>
    <m/>
  </r>
  <r>
    <n v="1196"/>
    <x v="201"/>
    <x v="875"/>
    <s v=" -"/>
    <s v=" MOTOR"/>
    <d v="2024-11-13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6000000"/>
    <n v="5446"/>
    <n v="54"/>
    <n v="817"/>
    <n v="0"/>
    <n v="6317"/>
    <n v="0"/>
    <n v="0"/>
    <n v="6317"/>
    <n v="0"/>
    <n v="6317"/>
    <m/>
    <m/>
    <m/>
    <s v="Syed Waqas"/>
    <n v="1482.6100000000033"/>
    <n v="768.55"/>
    <m/>
  </r>
  <r>
    <n v="1197"/>
    <x v="201"/>
    <x v="876"/>
    <s v=" -"/>
    <s v=" MOTOR"/>
    <d v="2024-12-29T00:00:00"/>
    <d v="2023-12-12T00:00:00"/>
    <d v="2024-12-11T00:00:00"/>
    <s v=" 08814789"/>
    <s v="Mr. Naeem Aman_x000a_CNIC No: 3630241325935_x000a_Phone Number:  03126611562"/>
    <m/>
    <s v="PRINCE GLORY 580 PRO TURB"/>
    <s v="AYD-937"/>
    <s v="SFG15T-21778472"/>
    <s v="PDF580PALR22C3482"/>
    <s v="2022"/>
    <m/>
    <m/>
    <s v=" D"/>
    <s v="09000210-Tariq Shahzad"/>
    <n v="-1"/>
    <n v="-163300"/>
    <n v="-1633"/>
    <n v="0"/>
    <n v="0"/>
    <n v="-164933"/>
    <n v="0"/>
    <n v="0"/>
    <n v="-164933"/>
    <n v="0"/>
    <n v="-164933"/>
    <m/>
    <m/>
    <m/>
    <s v="Syed Waqas"/>
    <m/>
    <m/>
    <m/>
  </r>
  <r>
    <n v="1203"/>
    <x v="202"/>
    <x v="877"/>
    <s v=" -"/>
    <s v=" MOTOR"/>
    <d v="2023-12-29T00:00:00"/>
    <d v="2023-09-27T00:00:00"/>
    <d v="2024-09-26T00:00:00"/>
    <s v=" 08802690"/>
    <s v="M/s. Habib Bank Limited as Lessor and Mr. Muhammad Mubashir Rafiq as Lessee_x000a_CNIC# 36502-0158179-5_x000a_CELL# 0306-7816248"/>
    <m/>
    <s v="HONDA CITY 1.2  LS CVT"/>
    <s v="AUK-251"/>
    <s v="L12B51002191"/>
    <s v="NFBGN862XMR002907"/>
    <s v="2021"/>
    <m/>
    <m/>
    <s v=" D"/>
    <s v="09000309-Zeeshan Mohi-u-din"/>
    <n v="1200000"/>
    <n v="37004"/>
    <n v="370"/>
    <n v="4811"/>
    <n v="0"/>
    <n v="42185"/>
    <n v="0"/>
    <n v="0"/>
    <n v="42185"/>
    <n v="0"/>
    <n v="42185"/>
    <m/>
    <m/>
    <m/>
    <s v="Muhammad Fiaz"/>
    <m/>
    <m/>
    <m/>
  </r>
  <r>
    <n v="1204"/>
    <x v="202"/>
    <x v="878"/>
    <s v=" -"/>
    <s v=" MOTOR"/>
    <d v="2024-08-31T00:00:00"/>
    <d v="2023-09-27T00:00:00"/>
    <d v="2024-09-26T00:00:00"/>
    <s v=" 08802690"/>
    <s v="M/s. Habib Bank Limited as Lessor and Mr. Muhammad Mubashir Rafiq as Lessee_x000a_CNIC# 36502-0158179-5_x000a_CELL# 0306-7816248"/>
    <m/>
    <s v="HONDA CITY 1.2  LS CVT"/>
    <s v="AUK-251"/>
    <s v="L12B51002191"/>
    <s v="NFBGN862XMR002907"/>
    <s v="2021"/>
    <m/>
    <m/>
    <s v=" D"/>
    <s v="09000309-Zeeshan Mohi-u-din"/>
    <n v="1200000"/>
    <n v="716"/>
    <n v="7"/>
    <n v="107"/>
    <n v="0"/>
    <n v="830"/>
    <n v="624"/>
    <n v="0"/>
    <n v="206"/>
    <n v="0"/>
    <n v="206"/>
    <m/>
    <m/>
    <m/>
    <s v="Muhammad Fiaz"/>
    <n v="2023.6100000000652"/>
    <n v="505.34"/>
    <m/>
  </r>
  <r>
    <n v="1205"/>
    <x v="202"/>
    <x v="879"/>
    <s v=" -"/>
    <s v=" MOTOR"/>
    <d v="2024-10-04T00:00:00"/>
    <d v="2023-09-27T00:00:00"/>
    <d v="2024-09-26T00:00:00"/>
    <s v=" 08802690"/>
    <s v="M/s. Habib Bank Limited as Lessor and Mr. Muhammad Mubashir Rafiq as Lessee_x000a_CNIC# 36502-0158179-5_x000a_CELL# 0306-7816248"/>
    <m/>
    <s v="HONDA CITY 1.2  LS CVT"/>
    <s v="AUK-251"/>
    <s v="L12B51002191"/>
    <s v="NFBGN862XMR002907"/>
    <s v="2021"/>
    <m/>
    <m/>
    <s v=" D"/>
    <s v="09000309-Zeeshan Mohi-u-din"/>
    <n v="1200000"/>
    <n v="349"/>
    <n v="4"/>
    <n v="53"/>
    <n v="0"/>
    <n v="406"/>
    <n v="0"/>
    <n v="0"/>
    <n v="406"/>
    <n v="0"/>
    <n v="406"/>
    <m/>
    <m/>
    <m/>
    <s v="Muhammad Fiaz"/>
    <n v="588.25000000001307"/>
    <n v="247.16"/>
    <m/>
  </r>
  <r>
    <n v="1206"/>
    <x v="202"/>
    <x v="880"/>
    <s v=" -"/>
    <s v=" MOTOR"/>
    <d v="2024-10-31T00:00:00"/>
    <d v="2023-09-27T00:00:00"/>
    <d v="2024-09-26T00:00:00"/>
    <s v=" 08802690"/>
    <s v="M/s. Habib Bank Limited as Lessor and Mr. Muhammad Mubashir Rafiq as Lessee_x000a_CNIC# 36502-0158179-5_x000a_CELL# 0306-7816248"/>
    <m/>
    <s v="HONDA CITY 1.2  LS CVT"/>
    <s v="AUK-251"/>
    <s v="L12B51002191"/>
    <s v="NFBGN862XMR002907"/>
    <s v="2021"/>
    <m/>
    <m/>
    <s v=" D"/>
    <s v="09000309-Zeeshan Mohi-u-din"/>
    <n v="-1"/>
    <n v="-42373"/>
    <n v="-424"/>
    <n v="0"/>
    <n v="0"/>
    <n v="-42797"/>
    <n v="0"/>
    <n v="0"/>
    <n v="-42797"/>
    <n v="0"/>
    <n v="-42797"/>
    <m/>
    <m/>
    <m/>
    <s v="Muhammad Fiaz"/>
    <m/>
    <m/>
    <m/>
  </r>
  <r>
    <n v="1207"/>
    <x v="203"/>
    <x v="24"/>
    <s v=" -"/>
    <s v=" MOTOR"/>
    <d v="2023-12-15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"/>
    <m/>
    <m/>
    <s v="umair.anwar@ideas.com.pk"/>
  </r>
  <r>
    <n v="1208"/>
    <x v="203"/>
    <x v="881"/>
    <s v=" -"/>
    <s v=" MOTOR"/>
    <d v="2024-05-13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3000000"/>
    <n v="2592"/>
    <n v="26"/>
    <n v="337"/>
    <n v="0"/>
    <n v="2955"/>
    <n v="0"/>
    <n v="0"/>
    <n v="2955"/>
    <n v="0"/>
    <n v="2955"/>
    <m/>
    <m/>
    <m/>
    <s v="Maria Tauqeer"/>
    <n v="1436.2800000000491"/>
    <n v="718.77"/>
    <m/>
  </r>
  <r>
    <n v="1209"/>
    <x v="203"/>
    <x v="882"/>
    <s v=" -"/>
    <s v=" MOTOR"/>
    <d v="2024-06-06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3000000"/>
    <n v="2575"/>
    <n v="25"/>
    <n v="334"/>
    <n v="0"/>
    <n v="2934"/>
    <n v="0"/>
    <n v="0"/>
    <n v="2934"/>
    <n v="0"/>
    <n v="2934"/>
    <m/>
    <m/>
    <m/>
    <s v="Maria Tauqeer"/>
    <n v="1703.200000000053"/>
    <n v="713.66"/>
    <m/>
  </r>
  <r>
    <n v="1210"/>
    <x v="203"/>
    <x v="883"/>
    <s v=" -"/>
    <s v=" MOTOR"/>
    <d v="2024-07-05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3000000"/>
    <n v="2036"/>
    <n v="20"/>
    <n v="305"/>
    <n v="0"/>
    <n v="2361"/>
    <n v="0"/>
    <n v="0"/>
    <n v="2361"/>
    <n v="0"/>
    <n v="2361"/>
    <m/>
    <m/>
    <m/>
    <s v="Maria Tauqeer"/>
    <n v="581.09"/>
    <n v="574.51"/>
    <m/>
  </r>
  <r>
    <n v="1211"/>
    <x v="203"/>
    <x v="884"/>
    <s v=" -"/>
    <s v=" MOTOR"/>
    <d v="2024-08-07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3000000"/>
    <n v="1552"/>
    <n v="16"/>
    <n v="233"/>
    <n v="0"/>
    <n v="1801"/>
    <n v="0"/>
    <n v="0"/>
    <n v="1801"/>
    <n v="0"/>
    <n v="1801"/>
    <m/>
    <m/>
    <m/>
    <s v="Maria Tauqeer"/>
    <n v="464.01000000000005"/>
    <n v="438.52"/>
    <m/>
  </r>
  <r>
    <n v="1212"/>
    <x v="203"/>
    <x v="885"/>
    <s v=" -"/>
    <s v=" MOTOR"/>
    <d v="2024-09-06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3000000"/>
    <n v="1694"/>
    <n v="17"/>
    <n v="254"/>
    <n v="0"/>
    <n v="1965"/>
    <n v="0"/>
    <n v="0"/>
    <n v="1965"/>
    <n v="0"/>
    <n v="1965"/>
    <m/>
    <m/>
    <m/>
    <s v="Maria Tauqeer"/>
    <n v="608.20000000000107"/>
    <n v="478.3900000000001"/>
    <m/>
  </r>
  <r>
    <n v="1213"/>
    <x v="203"/>
    <x v="886"/>
    <s v=" -"/>
    <s v=" MOTOR"/>
    <d v="2024-10-09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3000000"/>
    <n v="1781"/>
    <n v="18"/>
    <n v="267"/>
    <n v="0"/>
    <n v="2066"/>
    <n v="0"/>
    <n v="0"/>
    <n v="2066"/>
    <n v="0"/>
    <n v="2066"/>
    <m/>
    <m/>
    <m/>
    <s v="Maria Tauqeer"/>
    <n v="1196.2000000000151"/>
    <n v="502.19"/>
    <m/>
  </r>
  <r>
    <n v="1214"/>
    <x v="203"/>
    <x v="887"/>
    <s v=" -"/>
    <s v=" MOTOR"/>
    <d v="2024-11-06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3000000"/>
    <n v="1455"/>
    <n v="15"/>
    <n v="218"/>
    <n v="0"/>
    <n v="1688"/>
    <n v="0"/>
    <n v="0"/>
    <n v="1688"/>
    <n v="0"/>
    <n v="1688"/>
    <m/>
    <m/>
    <m/>
    <s v="Maria Tauqeer"/>
    <n v="1245.3500000000481"/>
    <n v="410.73000000000008"/>
    <m/>
  </r>
  <r>
    <n v="1215"/>
    <x v="203"/>
    <x v="888"/>
    <s v=" -"/>
    <s v=" MOTOR"/>
    <d v="2024-12-29T00:00:00"/>
    <d v="2023-12-05T00:00:00"/>
    <d v="2024-12-04T00:00:00"/>
    <s v=" 08808592"/>
    <s v="Mr. Muhammad Umair_x000a_CNIC # 42101-8855079-7_x000a_Cell # 03008230054"/>
    <m/>
    <s v="TOYOTA COROLLA ALTIS 1.6"/>
    <s v="BEA-565"/>
    <s v="Q026864"/>
    <s v="ZRE171R-6004347"/>
    <s v="2015"/>
    <m/>
    <m/>
    <s v=" D"/>
    <s v="09000221-Muhammad Irfan"/>
    <n v="-1"/>
    <n v="-15663"/>
    <n v="-157"/>
    <n v="0"/>
    <n v="0"/>
    <n v="-15820"/>
    <n v="0"/>
    <n v="0"/>
    <n v="-15820"/>
    <n v="0"/>
    <n v="-15820"/>
    <m/>
    <m/>
    <m/>
    <s v="Maria Tauqeer"/>
    <m/>
    <m/>
    <m/>
  </r>
  <r>
    <n v="1217"/>
    <x v="204"/>
    <x v="889"/>
    <s v=" -"/>
    <s v=" MOTOR"/>
    <d v="2024-02-22T00:00:00"/>
    <d v="2023-12-21T00:00:00"/>
    <d v="2024-12-20T00:00:00"/>
    <s v=" 08808836"/>
    <s v="Mr. Sarang Abdullah_x000a_CNIC# 41307-0784556-1_x000a_CELL# 03333646877"/>
    <m/>
    <s v="HONDA CITY I-VTEC A/T PT"/>
    <s v="BER-641"/>
    <s v="L13Z17436708"/>
    <s v="NFBGM1641FR176168"/>
    <s v="2015"/>
    <s v="41307-0784556-1"/>
    <m/>
    <s v=" D"/>
    <s v="09000221-Muhammad Irfan"/>
    <n v="2500000"/>
    <n v="3546"/>
    <n v="36"/>
    <n v="461"/>
    <n v="0"/>
    <n v="4043"/>
    <n v="0"/>
    <n v="0"/>
    <n v="4043"/>
    <n v="0"/>
    <n v="4043"/>
    <m/>
    <m/>
    <m/>
    <s v="Maria Tauqeer"/>
    <n v="1782.99"/>
    <n v="1181.3600000000001"/>
    <m/>
  </r>
  <r>
    <n v="1218"/>
    <x v="204"/>
    <x v="890"/>
    <s v=" -"/>
    <s v=" MOTOR"/>
    <d v="2024-10-31T00:00:00"/>
    <d v="2023-12-21T00:00:00"/>
    <d v="2024-12-20T00:00:00"/>
    <s v=" 08808836"/>
    <s v="Mr. Sarang Abdullah_x000a_CNIC# 41307-0784556-1_x000a_CELL# 03333646877"/>
    <m/>
    <s v="HONDA CITY I-VTEC A/T PT"/>
    <s v="BER-641"/>
    <s v="L13Z17436708"/>
    <s v="NFBGM1641FR176168"/>
    <s v="2015"/>
    <s v="41307-0784556-1"/>
    <m/>
    <s v=" D"/>
    <s v="09000221-Muhammad Irfan"/>
    <n v="-1"/>
    <n v="-4003"/>
    <n v="-40"/>
    <n v="0"/>
    <n v="0"/>
    <n v="-4043"/>
    <n v="0"/>
    <n v="0"/>
    <n v="-4043"/>
    <n v="0"/>
    <n v="-4043"/>
    <m/>
    <m/>
    <m/>
    <s v="Maria Tauqeer"/>
    <m/>
    <m/>
    <m/>
  </r>
  <r>
    <n v="1219"/>
    <x v="205"/>
    <x v="891"/>
    <s v=" -"/>
    <s v=" MOTOR"/>
    <d v="2024-04-1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-1"/>
    <n v="-15313"/>
    <n v="-153"/>
    <n v="-1991"/>
    <n v="0"/>
    <n v="-17457"/>
    <n v="0"/>
    <n v="0"/>
    <n v="-17457"/>
    <n v="0"/>
    <n v="-17457"/>
    <m/>
    <m/>
    <m/>
    <s v="Maria Tauqeer"/>
    <m/>
    <m/>
    <m/>
  </r>
  <r>
    <n v="1220"/>
    <x v="205"/>
    <x v="892"/>
    <s v=" -"/>
    <s v=" MOTOR"/>
    <d v="2024-10-0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17284"/>
    <n v="172"/>
    <n v="0"/>
    <n v="0"/>
    <n v="17456"/>
    <n v="0"/>
    <n v="0"/>
    <n v="17456"/>
    <n v="0"/>
    <n v="17456"/>
    <m/>
    <m/>
    <m/>
    <s v="Maria Tauqeer"/>
    <m/>
    <m/>
    <s v="mshaherwala@gmail.com"/>
  </r>
  <r>
    <n v="1221"/>
    <x v="205"/>
    <x v="893"/>
    <s v=" -"/>
    <s v=" MOTOR"/>
    <d v="2024-10-0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4692"/>
    <n v="47"/>
    <n v="704"/>
    <n v="0"/>
    <n v="5443"/>
    <n v="0"/>
    <n v="0"/>
    <n v="5443"/>
    <n v="0"/>
    <n v="5443"/>
    <m/>
    <m/>
    <m/>
    <s v="Maria Tauqeer"/>
    <n v="682.67000000000121"/>
    <n v="593.06000000000006"/>
    <m/>
  </r>
  <r>
    <n v="1222"/>
    <x v="205"/>
    <x v="894"/>
    <s v=" -"/>
    <s v=" MOTOR"/>
    <d v="2024-10-0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3897"/>
    <n v="39"/>
    <n v="584"/>
    <n v="0"/>
    <n v="4520"/>
    <n v="0"/>
    <n v="0"/>
    <n v="4520"/>
    <n v="0"/>
    <n v="4520"/>
    <m/>
    <m/>
    <m/>
    <s v="Maria Tauqeer"/>
    <n v="492.75"/>
    <n v="492.29"/>
    <m/>
  </r>
  <r>
    <n v="1223"/>
    <x v="205"/>
    <x v="895"/>
    <s v=" -"/>
    <s v=" MOTOR"/>
    <d v="2024-10-0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6297"/>
    <n v="63"/>
    <n v="944"/>
    <n v="0"/>
    <n v="7304"/>
    <n v="0"/>
    <n v="0"/>
    <n v="7304"/>
    <n v="0"/>
    <n v="7304"/>
    <m/>
    <m/>
    <m/>
    <s v="Maria Tauqeer"/>
    <n v="858.09"/>
    <n v="795.95"/>
    <m/>
  </r>
  <r>
    <n v="1224"/>
    <x v="205"/>
    <x v="896"/>
    <s v=" -"/>
    <s v=" MOTOR"/>
    <d v="2024-10-0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3975"/>
    <n v="40"/>
    <n v="596"/>
    <n v="0"/>
    <n v="4611"/>
    <n v="0"/>
    <n v="0"/>
    <n v="4611"/>
    <n v="0"/>
    <n v="4611"/>
    <m/>
    <m/>
    <m/>
    <s v="Maria Tauqeer"/>
    <n v="507.62"/>
    <n v="502.41"/>
    <m/>
  </r>
  <r>
    <n v="1225"/>
    <x v="205"/>
    <x v="897"/>
    <s v=" -"/>
    <s v=" MOTOR"/>
    <d v="2024-10-0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5315"/>
    <n v="53"/>
    <n v="797"/>
    <n v="0"/>
    <n v="6165"/>
    <n v="0"/>
    <n v="0"/>
    <n v="6165"/>
    <n v="0"/>
    <n v="6165"/>
    <m/>
    <m/>
    <m/>
    <s v="Maria Tauqeer"/>
    <n v="743.18"/>
    <n v="672.02"/>
    <m/>
  </r>
  <r>
    <n v="1226"/>
    <x v="205"/>
    <x v="898"/>
    <s v=" -"/>
    <s v=" MOTOR"/>
    <d v="2024-10-0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9163"/>
    <n v="92"/>
    <n v="1375"/>
    <n v="0"/>
    <n v="10630"/>
    <n v="0"/>
    <n v="0"/>
    <n v="10630"/>
    <n v="0"/>
    <n v="10630"/>
    <m/>
    <m/>
    <m/>
    <s v="Maria Tauqeer"/>
    <n v="1631.78"/>
    <n v="1158.17"/>
    <m/>
  </r>
  <r>
    <n v="1227"/>
    <x v="205"/>
    <x v="899"/>
    <s v=" -"/>
    <s v=" MOTOR"/>
    <d v="2024-10-28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4503"/>
    <n v="45"/>
    <n v="676"/>
    <n v="0"/>
    <n v="5224"/>
    <n v="0"/>
    <n v="0"/>
    <n v="5224"/>
    <n v="0"/>
    <n v="5224"/>
    <m/>
    <m/>
    <m/>
    <s v="Maria Tauqeer"/>
    <n v="612.30000000000007"/>
    <n v="568.96"/>
    <m/>
  </r>
  <r>
    <n v="1228"/>
    <x v="205"/>
    <x v="900"/>
    <s v=" -"/>
    <s v=" MOTOR"/>
    <d v="2024-11-27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6700000"/>
    <n v="6356"/>
    <n v="64"/>
    <n v="954"/>
    <n v="0"/>
    <n v="7374"/>
    <n v="0"/>
    <n v="0"/>
    <n v="7374"/>
    <n v="0"/>
    <n v="7374"/>
    <m/>
    <m/>
    <m/>
    <s v="Maria Tauqeer"/>
    <n v="814.84"/>
    <n v="803.52"/>
    <m/>
  </r>
  <r>
    <n v="1229"/>
    <x v="205"/>
    <x v="901"/>
    <s v=" -"/>
    <s v=" MOTOR"/>
    <d v="2025-03-29T00:00:00"/>
    <d v="2023-12-26T00:00:00"/>
    <d v="2024-12-25T00:00:00"/>
    <s v=" 08808908"/>
    <s v="Mr. Mustansir Shaherwala_x000a_CNIC# 42301-3066909-1_x000a_CELL# 03452388625"/>
    <m/>
    <s v="KIA SPORTAGE"/>
    <s v="BK-0253"/>
    <s v="G4NAMH306727"/>
    <s v="NNAQL51AZKP306162"/>
    <s v="2021"/>
    <s v="42301-3066909-1"/>
    <m/>
    <s v=" D"/>
    <s v="09000221-Muhammad Irfan"/>
    <n v="-1"/>
    <n v="-50820"/>
    <n v="-450"/>
    <n v="0"/>
    <n v="0"/>
    <n v="-51270"/>
    <n v="0"/>
    <n v="0"/>
    <n v="-51270"/>
    <n v="0"/>
    <n v="-51270"/>
    <m/>
    <m/>
    <m/>
    <s v="Maria Tauqeer"/>
    <m/>
    <m/>
    <m/>
  </r>
  <r>
    <n v="1230"/>
    <x v="206"/>
    <x v="902"/>
    <s v=" -"/>
    <s v=" MOTOR"/>
    <d v="2024-10-01T00:00:00"/>
    <d v="2023-12-27T00:00:00"/>
    <d v="2024-12-26T00:00:00"/>
    <s v=" 08808942"/>
    <s v="Mr. Karim Jiwani_x000a_CNIC# 42201-0647509-3_x000a_CELL# 0300-8241895"/>
    <m/>
    <s v="SUZUKI WAGON R VXL"/>
    <s v="BNA-820"/>
    <s v="PK10B164530"/>
    <s v="A1J310PK10064515"/>
    <s v="2018"/>
    <s v="42201-0647509-3"/>
    <m/>
    <s v=" D"/>
    <s v="09000221-Muhammad Irfan"/>
    <n v="1700000"/>
    <n v="781"/>
    <n v="8"/>
    <n v="117"/>
    <n v="0"/>
    <n v="906"/>
    <n v="0"/>
    <n v="0"/>
    <n v="906"/>
    <n v="0"/>
    <n v="906"/>
    <m/>
    <m/>
    <m/>
    <s v="Maria Tauqeer"/>
    <n v="394.79"/>
    <n v="389.18000000000006"/>
    <m/>
  </r>
  <r>
    <n v="1231"/>
    <x v="206"/>
    <x v="903"/>
    <s v=" -"/>
    <s v=" MOTOR"/>
    <d v="2024-10-30T00:00:00"/>
    <d v="2023-12-27T00:00:00"/>
    <d v="2024-12-26T00:00:00"/>
    <s v=" 08808942"/>
    <s v="Mr. Karim Jiwani_x000a_CNIC# 42201-0647509-3_x000a_CELL# 0300-8241895"/>
    <m/>
    <s v="SUZUKI WAGON R VXL"/>
    <s v="BNA-820"/>
    <s v="PK10B164530"/>
    <s v="A1J310PK10064515"/>
    <s v="2018"/>
    <s v="42201-0647509-3"/>
    <m/>
    <s v=" D"/>
    <s v="09000221-Muhammad Irfan"/>
    <n v="1700000"/>
    <n v="490"/>
    <n v="5"/>
    <n v="74"/>
    <n v="0"/>
    <n v="569"/>
    <n v="0"/>
    <n v="0"/>
    <n v="569"/>
    <n v="0"/>
    <n v="569"/>
    <m/>
    <m/>
    <m/>
    <s v="Maria Tauqeer"/>
    <n v="243.98"/>
    <n v="243.98"/>
    <m/>
  </r>
  <r>
    <n v="1232"/>
    <x v="206"/>
    <x v="904"/>
    <s v=" -"/>
    <s v=" MOTOR"/>
    <d v="2024-11-28T00:00:00"/>
    <d v="2023-12-27T00:00:00"/>
    <d v="2024-12-26T00:00:00"/>
    <s v=" 08808942"/>
    <s v="Mr. Karim Jiwani_x000a_CNIC# 42201-0647509-3_x000a_CELL# 0300-8241895"/>
    <m/>
    <s v="SUZUKI WAGON R VXL"/>
    <s v="BNA-820"/>
    <s v="PK10B164530"/>
    <s v="A1J310PK10064515"/>
    <s v="2018"/>
    <s v="42201-0647509-3"/>
    <m/>
    <s v=" D"/>
    <s v="09000221-Muhammad Irfan"/>
    <n v="1700000"/>
    <n v="363"/>
    <n v="4"/>
    <n v="55"/>
    <n v="0"/>
    <n v="422"/>
    <n v="0"/>
    <n v="0"/>
    <n v="422"/>
    <n v="0"/>
    <n v="422"/>
    <m/>
    <m/>
    <m/>
    <s v="Maria Tauqeer"/>
    <n v="180.98"/>
    <n v="180.98"/>
    <m/>
  </r>
  <r>
    <n v="1233"/>
    <x v="206"/>
    <x v="905"/>
    <s v=" -"/>
    <s v=" MOTOR"/>
    <d v="2025-03-29T00:00:00"/>
    <d v="2023-12-27T00:00:00"/>
    <d v="2024-12-26T00:00:00"/>
    <s v=" 08808942"/>
    <s v="Mr. Karim Jiwani_x000a_CNIC# 42201-0647509-3_x000a_CELL# 0300-8241895"/>
    <m/>
    <s v="SUZUKI WAGON R VXL"/>
    <s v="BNA-820"/>
    <s v="PK10B164530"/>
    <s v="A1J310PK10064515"/>
    <s v="2018"/>
    <s v="42201-0647509-3"/>
    <m/>
    <s v=" D"/>
    <s v="09000221-Muhammad Irfan"/>
    <n v="-1"/>
    <n v="-1880"/>
    <n v="-17"/>
    <n v="0"/>
    <n v="0"/>
    <n v="-1897"/>
    <n v="0"/>
    <n v="0"/>
    <n v="-1897"/>
    <n v="0"/>
    <n v="-1897"/>
    <m/>
    <m/>
    <m/>
    <s v="Maria Tauqeer"/>
    <m/>
    <m/>
    <m/>
  </r>
  <r>
    <n v="1247"/>
    <x v="207"/>
    <x v="906"/>
    <s v=" -"/>
    <s v=" MOTOR"/>
    <d v="2023-12-29T00:00:00"/>
    <d v="2023-12-16T00:00:00"/>
    <d v="2024-12-15T00:00:00"/>
    <s v=" 08814890"/>
    <s v="Mr. Khawaja Absar Hafeez_x000a_CNIC: 4210185256937_x000a_Phone Number: 03463254084"/>
    <m/>
    <s v="HONDA CITY I-VTEC P/T"/>
    <s v="BKT-711"/>
    <s v="L13Z17501912"/>
    <s v="NFBGM1646HR211840"/>
    <s v="2017"/>
    <m/>
    <m/>
    <s v=" D"/>
    <s v="09000210-Tariq Shahzad"/>
    <n v="2800000"/>
    <n v="44736"/>
    <n v="448"/>
    <n v="5816"/>
    <n v="0"/>
    <n v="51000"/>
    <n v="0"/>
    <n v="0"/>
    <n v="51000"/>
    <n v="0"/>
    <n v="51000"/>
    <m/>
    <m/>
    <m/>
    <s v="Fizza Sheikh"/>
    <m/>
    <m/>
    <m/>
  </r>
  <r>
    <n v="1248"/>
    <x v="207"/>
    <x v="907"/>
    <s v=" -"/>
    <s v=" MOTOR"/>
    <d v="2024-03-17T00:00:00"/>
    <d v="2023-12-16T00:00:00"/>
    <d v="2024-12-15T00:00:00"/>
    <s v=" 08814890"/>
    <s v="Mr. Khawaja Absar Hafeez_x000a_CNIC: 4210185256937_x000a_Phone Number: 03463254084"/>
    <m/>
    <s v="HONDA CITY I-VTEC P/T"/>
    <s v="BKT-711"/>
    <s v="L13Z17501912"/>
    <s v="NFBGM1646HR211840"/>
    <s v="2017"/>
    <m/>
    <m/>
    <s v=" D"/>
    <s v="09000210-Tariq Shahzad"/>
    <n v="2800000"/>
    <n v="540"/>
    <n v="6"/>
    <n v="70"/>
    <n v="0"/>
    <n v="616"/>
    <n v="0"/>
    <n v="0"/>
    <n v="616"/>
    <n v="0"/>
    <n v="616"/>
    <m/>
    <m/>
    <m/>
    <s v="Fizza Sheikh"/>
    <n v="194.71"/>
    <n v="160.43"/>
    <m/>
  </r>
  <r>
    <n v="1249"/>
    <x v="207"/>
    <x v="908"/>
    <s v=" -"/>
    <s v=" MOTOR"/>
    <d v="2024-04-16T00:00:00"/>
    <d v="2023-12-16T00:00:00"/>
    <d v="2024-12-15T00:00:00"/>
    <s v=" 08814890"/>
    <s v="Mr. Khawaja Absar Hafeez_x000a_CNIC: 4210185256937_x000a_Phone Number: 03463254084"/>
    <m/>
    <s v="HONDA CITY I-VTEC P/T"/>
    <s v="BKT-711"/>
    <s v="L13Z17501912"/>
    <s v="NFBGM1646HR211840"/>
    <s v="2017"/>
    <m/>
    <m/>
    <s v=" D"/>
    <s v="09000210-Tariq Shahzad"/>
    <n v="2800000"/>
    <n v="1169"/>
    <n v="11"/>
    <n v="152"/>
    <n v="0"/>
    <n v="1332"/>
    <n v="0"/>
    <n v="0"/>
    <n v="1332"/>
    <n v="0"/>
    <n v="1332"/>
    <m/>
    <m/>
    <m/>
    <s v="Fizza Sheikh"/>
    <n v="348.1400000000001"/>
    <n v="346.91"/>
    <m/>
  </r>
  <r>
    <n v="1250"/>
    <x v="207"/>
    <x v="909"/>
    <s v=" -"/>
    <s v=" MOTOR"/>
    <d v="2024-05-16T00:00:00"/>
    <d v="2023-12-16T00:00:00"/>
    <d v="2024-12-15T00:00:00"/>
    <s v=" 08814890"/>
    <s v="Mr. Khawaja Absar Hafeez_x000a_CNIC: 4210185256937_x000a_Phone Number: 03463254084"/>
    <m/>
    <s v="HONDA CITY I-VTEC P/T"/>
    <s v="BKT-711"/>
    <s v="L13Z17501912"/>
    <s v="NFBGM1646HR211840"/>
    <s v="2017"/>
    <m/>
    <m/>
    <s v=" D"/>
    <s v="09000210-Tariq Shahzad"/>
    <n v="2800000"/>
    <n v="628"/>
    <n v="7"/>
    <n v="82"/>
    <n v="0"/>
    <n v="717"/>
    <n v="0"/>
    <n v="0"/>
    <n v="717"/>
    <n v="0"/>
    <n v="717"/>
    <m/>
    <m/>
    <m/>
    <s v="Fizza Sheikh"/>
    <n v="212.13000000000002"/>
    <n v="187.28"/>
    <m/>
  </r>
  <r>
    <n v="1251"/>
    <x v="207"/>
    <x v="910"/>
    <s v=" -"/>
    <s v=" MOTOR"/>
    <d v="2024-10-31T00:00:00"/>
    <d v="2023-12-16T00:00:00"/>
    <d v="2024-12-15T00:00:00"/>
    <s v=" 08814890"/>
    <s v="Mr. Khawaja Absar Hafeez_x000a_CNIC: 4210185256937_x000a_Phone Number: 03463254084"/>
    <m/>
    <s v="HONDA CITY I-VTEC P/T"/>
    <s v="BKT-711"/>
    <s v="L13Z17501912"/>
    <s v="NFBGM1646HR211840"/>
    <s v="2017"/>
    <m/>
    <m/>
    <s v=" D"/>
    <s v="09000210-Tariq Shahzad"/>
    <n v="-1"/>
    <n v="-53134"/>
    <n v="-531"/>
    <n v="0"/>
    <n v="0"/>
    <n v="-53665"/>
    <n v="0"/>
    <n v="0"/>
    <n v="-53665"/>
    <n v="0"/>
    <n v="-53665"/>
    <m/>
    <m/>
    <m/>
    <s v="Fizza Sheikh"/>
    <m/>
    <m/>
    <m/>
  </r>
  <r>
    <n v="1254"/>
    <x v="208"/>
    <x v="911"/>
    <s v=" -"/>
    <s v=" MOTOR"/>
    <d v="2023-12-29T00:00:00"/>
    <d v="2023-12-18T00:00:00"/>
    <d v="2024-12-17T00:00:00"/>
    <s v=" 08814897"/>
    <s v="Mr. Amir Murtaza_x000a_CNIC: 42201-0466699-3_x000a_Cell: 03219261090"/>
    <m/>
    <s v="HONDA CITY 1.5 ASPIRE CVT"/>
    <s v="BVF-060"/>
    <s v="L15Z81002328"/>
    <s v="NFBGN9662MR007303"/>
    <s v="2021"/>
    <m/>
    <m/>
    <s v=" D"/>
    <s v="09000210-Tariq Shahzad"/>
    <n v="4500000"/>
    <n v="74561"/>
    <n v="746"/>
    <n v="9693"/>
    <n v="0"/>
    <n v="85000"/>
    <n v="0"/>
    <n v="0"/>
    <n v="85000"/>
    <n v="0"/>
    <n v="85000"/>
    <m/>
    <m/>
    <m/>
    <s v="AFSHEEN ISMAIL"/>
    <m/>
    <m/>
    <m/>
  </r>
  <r>
    <n v="1255"/>
    <x v="208"/>
    <x v="912"/>
    <s v=" -"/>
    <s v=" MOTOR"/>
    <d v="2024-07-24T00:00:00"/>
    <d v="2023-12-18T00:00:00"/>
    <d v="2024-12-17T00:00:00"/>
    <s v=" 08814897"/>
    <s v="Mr. Amir Murtaza_x000a_CNIC: 42201-0466699-3_x000a_Cell: 03219261090"/>
    <m/>
    <s v="HONDA CITY 1.5 ASPIRE CVT"/>
    <s v="BVF-060"/>
    <s v="L15Z81002328"/>
    <s v="NFBGN9662MR007303"/>
    <s v="2021"/>
    <m/>
    <m/>
    <s v=" D"/>
    <s v="09000210-Tariq Shahzad"/>
    <n v="4500000"/>
    <n v="2150"/>
    <n v="21"/>
    <n v="322"/>
    <n v="0"/>
    <n v="2493"/>
    <n v="0"/>
    <n v="0"/>
    <n v="2493"/>
    <n v="0"/>
    <n v="2493"/>
    <m/>
    <m/>
    <m/>
    <s v="AFSHEEN ISMAIL"/>
    <n v="404.42"/>
    <n v="404.42"/>
    <m/>
  </r>
  <r>
    <n v="1256"/>
    <x v="208"/>
    <x v="913"/>
    <s v=" -"/>
    <s v=" MOTOR"/>
    <d v="2024-12-29T00:00:00"/>
    <d v="2023-12-18T00:00:00"/>
    <d v="2024-12-17T00:00:00"/>
    <s v=" 08814897"/>
    <s v="Mr. Amir Murtaza_x000a_CNIC: 42201-0466699-3_x000a_Cell: 03219261090"/>
    <m/>
    <s v="HONDA CITY 1.5 ASPIRE CVT"/>
    <s v="BVF-060"/>
    <s v="L15Z81002328"/>
    <s v="NFBGN9662MR007303"/>
    <s v="2021"/>
    <m/>
    <m/>
    <s v=" D"/>
    <s v="09000210-Tariq Shahzad"/>
    <n v="-1"/>
    <n v="-86627"/>
    <n v="-866"/>
    <n v="0"/>
    <n v="0"/>
    <n v="-87493"/>
    <n v="0"/>
    <n v="0"/>
    <n v="-87493"/>
    <n v="0"/>
    <n v="-87493"/>
    <m/>
    <m/>
    <m/>
    <s v="AFSHEEN ISMAIL"/>
    <m/>
    <m/>
    <m/>
  </r>
  <r>
    <n v="1257"/>
    <x v="209"/>
    <x v="914"/>
    <s v=" -"/>
    <s v=" MOTOR"/>
    <d v="2023-12-29T00:00:00"/>
    <d v="2023-12-20T00:00:00"/>
    <d v="2024-12-19T00:00:00"/>
    <s v=" 08814931"/>
    <s v="Mr. Asif Bukhtiar_x000a_CNIC No: 3630277619233_x000a_Phone Number:  03026971252"/>
    <m/>
    <s v="HONDA CITY I-VTEC"/>
    <s v="LEA-17A-5356"/>
    <s v="L13Z17502258"/>
    <s v="NFBGM154XHR212359"/>
    <s v="2017"/>
    <m/>
    <m/>
    <s v=" D"/>
    <s v="09000210-Tariq Shahzad"/>
    <n v="3250000"/>
    <n v="52630"/>
    <n v="527"/>
    <n v="6843"/>
    <n v="0"/>
    <n v="60000"/>
    <n v="0"/>
    <n v="0"/>
    <n v="60000"/>
    <n v="0"/>
    <n v="60000"/>
    <m/>
    <m/>
    <m/>
    <s v="Syed Waqas"/>
    <m/>
    <m/>
    <m/>
  </r>
  <r>
    <n v="1258"/>
    <x v="209"/>
    <x v="915"/>
    <s v=" -"/>
    <s v=" MOTOR"/>
    <d v="2024-05-20T00:00:00"/>
    <d v="2023-12-20T00:00:00"/>
    <d v="2024-12-19T00:00:00"/>
    <s v=" 08814931"/>
    <s v="Mr. Asif Bukhtiar_x000a_CNIC No: 3630277619233_x000a_Phone Number:  03026971252"/>
    <m/>
    <s v="HONDA CITY I-VTEC"/>
    <s v="LEA-17A-5356"/>
    <s v="L13Z17502258"/>
    <s v="NFBGM154XHR212359"/>
    <s v="2017"/>
    <m/>
    <m/>
    <s v=" D"/>
    <s v="09000210-Tariq Shahzad"/>
    <n v="3250000"/>
    <n v="737"/>
    <n v="7"/>
    <n v="96"/>
    <n v="0"/>
    <n v="840"/>
    <n v="0"/>
    <n v="0"/>
    <n v="840"/>
    <n v="0"/>
    <n v="840"/>
    <m/>
    <m/>
    <m/>
    <s v="Syed Waqas"/>
    <n v="188.9"/>
    <n v="188.9"/>
    <m/>
  </r>
  <r>
    <n v="1259"/>
    <x v="209"/>
    <x v="916"/>
    <s v=" -"/>
    <s v=" MOTOR"/>
    <d v="2024-06-22T00:00:00"/>
    <d v="2023-12-20T00:00:00"/>
    <d v="2024-12-19T00:00:00"/>
    <s v=" 08814931"/>
    <s v="Mr. Asif Bukhtiar_x000a_CNIC No: 3630277619233_x000a_Phone Number:  03026971252"/>
    <m/>
    <s v="HONDA CITY I-VTEC"/>
    <s v="LEA-17A-5356"/>
    <s v="L13Z17502258"/>
    <s v="NFBGM154XHR212359"/>
    <s v="2017"/>
    <m/>
    <m/>
    <s v=" D"/>
    <s v="09000210-Tariq Shahzad"/>
    <n v="3250000"/>
    <n v="1145"/>
    <n v="12"/>
    <n v="149"/>
    <n v="0"/>
    <n v="1306"/>
    <n v="0"/>
    <n v="0"/>
    <n v="1306"/>
    <n v="0"/>
    <n v="1306"/>
    <m/>
    <m/>
    <m/>
    <s v="Syed Waqas"/>
    <n v="709.45"/>
    <n v="293.84000000000003"/>
    <m/>
  </r>
  <r>
    <n v="1260"/>
    <x v="209"/>
    <x v="917"/>
    <s v=" -"/>
    <s v=" MOTOR"/>
    <d v="2024-07-24T00:00:00"/>
    <d v="2023-12-20T00:00:00"/>
    <d v="2024-12-19T00:00:00"/>
    <s v=" 08814931"/>
    <s v="Mr. Asif Bukhtiar_x000a_CNIC No: 3630277619233_x000a_Phone Number:  03026971252"/>
    <m/>
    <s v="HONDA CITY I-VTEC"/>
    <s v="LEA-17A-5356"/>
    <s v="L13Z17502258"/>
    <s v="NFBGM154XHR212359"/>
    <s v="2017"/>
    <m/>
    <m/>
    <s v=" D"/>
    <s v="09000210-Tariq Shahzad"/>
    <n v="3250000"/>
    <n v="1324"/>
    <n v="13"/>
    <n v="199"/>
    <n v="0"/>
    <n v="1536"/>
    <n v="0"/>
    <n v="0"/>
    <n v="1536"/>
    <n v="0"/>
    <n v="1536"/>
    <m/>
    <m/>
    <m/>
    <s v="Syed Waqas"/>
    <n v="375.86"/>
    <n v="345.15"/>
    <m/>
  </r>
  <r>
    <n v="1261"/>
    <x v="209"/>
    <x v="918"/>
    <s v=" -"/>
    <s v=" MOTOR"/>
    <d v="2024-08-22T00:00:00"/>
    <d v="2023-12-20T00:00:00"/>
    <d v="2024-12-19T00:00:00"/>
    <s v=" 08814931"/>
    <s v="Mr. Asif Bukhtiar_x000a_CNIC No: 3630277619233_x000a_Phone Number:  03026971252"/>
    <m/>
    <s v="HONDA CITY I-VTEC"/>
    <s v="LEA-17A-5356"/>
    <s v="L13Z17502258"/>
    <s v="NFBGM154XHR212359"/>
    <s v="2017"/>
    <m/>
    <m/>
    <s v=" D"/>
    <s v="09000210-Tariq Shahzad"/>
    <n v="3250000"/>
    <n v="837"/>
    <n v="8"/>
    <n v="126"/>
    <n v="0"/>
    <n v="971"/>
    <n v="0"/>
    <n v="0"/>
    <n v="971"/>
    <n v="0"/>
    <n v="971"/>
    <m/>
    <m/>
    <m/>
    <s v="Syed Waqas"/>
    <n v="238.93"/>
    <n v="218.4"/>
    <m/>
  </r>
  <r>
    <n v="1262"/>
    <x v="209"/>
    <x v="919"/>
    <s v=" -"/>
    <s v=" MOTOR"/>
    <d v="2024-09-24T00:00:00"/>
    <d v="2023-12-20T00:00:00"/>
    <d v="2024-12-19T00:00:00"/>
    <s v=" 08814931"/>
    <s v="Mr. Asif Bukhtiar_x000a_CNIC No: 3630277619233_x000a_Phone Number:  03026971252"/>
    <m/>
    <s v="HONDA CITY I-VTEC"/>
    <s v="LEA-17A-5356"/>
    <s v="L13Z17502258"/>
    <s v="NFBGM154XHR212359"/>
    <s v="2017"/>
    <m/>
    <m/>
    <s v=" D"/>
    <s v="09000210-Tariq Shahzad"/>
    <n v="3250000"/>
    <n v="1206"/>
    <n v="12"/>
    <n v="181"/>
    <n v="0"/>
    <n v="1399"/>
    <n v="0"/>
    <n v="0"/>
    <n v="1399"/>
    <n v="0"/>
    <n v="1399"/>
    <m/>
    <m/>
    <m/>
    <s v="Syed Waqas"/>
    <n v="331.63"/>
    <n v="313.93"/>
    <m/>
  </r>
  <r>
    <n v="1263"/>
    <x v="209"/>
    <x v="920"/>
    <s v=" -"/>
    <s v=" MOTOR"/>
    <d v="2024-10-23T00:00:00"/>
    <d v="2023-12-20T00:00:00"/>
    <d v="2024-12-19T00:00:00"/>
    <s v=" 08814931"/>
    <s v="Mr. Asif Bukhtiar_x000a_CNIC No: 3630277619233_x000a_Phone Number:  03026971252"/>
    <m/>
    <s v="HONDA CITY I-VTEC"/>
    <s v="LEA-17A-5356"/>
    <s v="L13Z17502258"/>
    <s v="NFBGM154XHR212359"/>
    <s v="2017"/>
    <m/>
    <m/>
    <s v=" D"/>
    <s v="09000210-Tariq Shahzad"/>
    <n v="3250000"/>
    <n v="1017"/>
    <n v="10"/>
    <n v="152"/>
    <n v="0"/>
    <n v="1179"/>
    <n v="0"/>
    <n v="0"/>
    <n v="1179"/>
    <n v="0"/>
    <n v="1179"/>
    <m/>
    <m/>
    <m/>
    <s v="Syed Waqas"/>
    <n v="265.22000000000003"/>
    <n v="265.22000000000003"/>
    <m/>
  </r>
  <r>
    <n v="1264"/>
    <x v="209"/>
    <x v="921"/>
    <s v=" -"/>
    <s v=" MOTOR"/>
    <d v="2024-10-31T00:00:00"/>
    <d v="2023-12-20T00:00:00"/>
    <d v="2024-12-19T00:00:00"/>
    <s v=" 08814931"/>
    <s v="Mr. Asif Bukhtiar_x000a_CNIC No: 3630277619233_x000a_Phone Number:  03026971252"/>
    <m/>
    <s v="HONDA CITY I-VTEC"/>
    <s v="LEA-17A-5356"/>
    <s v="L13Z17502258"/>
    <s v="NFBGM154XHR212359"/>
    <s v="2017"/>
    <m/>
    <m/>
    <s v=" D"/>
    <s v="09000210-Tariq Shahzad"/>
    <n v="-1"/>
    <n v="-66565"/>
    <n v="-666"/>
    <n v="0"/>
    <n v="0"/>
    <n v="-67231"/>
    <n v="0"/>
    <n v="0"/>
    <n v="-67231"/>
    <n v="0"/>
    <n v="-67231"/>
    <m/>
    <m/>
    <m/>
    <s v="Syed Waqas"/>
    <m/>
    <m/>
    <m/>
  </r>
  <r>
    <n v="1265"/>
    <x v="210"/>
    <x v="24"/>
    <s v=" -"/>
    <s v=" MOTOR"/>
    <d v="2023-12-21T00:00:00"/>
    <d v="2023-12-19T00:00:00"/>
    <d v="2024-12-18T00:00:00"/>
    <s v=" 08814954"/>
    <s v="Mr. Rehan Mahmood_x000a_CNIC No: 4220102902779_x000a_Phone Number:  03463539325"/>
    <m/>
    <s v="SUZUKI ALTO VXR"/>
    <s v="BRS-757"/>
    <s v="6R133979"/>
    <s v="NF1AET306H1033801"/>
    <s v="2020"/>
    <m/>
    <m/>
    <s v=" D"/>
    <s v="09000210-Tariq Shahzad"/>
    <n v="2046000"/>
    <n v="4343"/>
    <n v="43"/>
    <n v="564"/>
    <n v="50"/>
    <n v="5000"/>
    <n v="5428"/>
    <n v="0"/>
    <n v="-428"/>
    <n v="0"/>
    <n v="-428"/>
    <m/>
    <m/>
    <m/>
    <s v="Syed Waqas"/>
    <m/>
    <m/>
    <s v="rehanmehmood83@gmail.com"/>
  </r>
  <r>
    <n v="1266"/>
    <x v="210"/>
    <x v="922"/>
    <s v=" -"/>
    <s v=" MOTOR"/>
    <d v="2024-10-21T00:00:00"/>
    <d v="2023-12-19T00:00:00"/>
    <d v="2024-12-18T00:00:00"/>
    <s v=" 08814954"/>
    <s v="Mr. Rehan Mahmood_x000a_CNIC No: 4220102902779_x000a_Phone Number:  03463539325"/>
    <m/>
    <s v="SUZUKI ALTO VXR"/>
    <s v="BRS-757"/>
    <s v="6R133979"/>
    <s v="NF1AET306H1033801"/>
    <s v="2020"/>
    <m/>
    <m/>
    <s v=" D"/>
    <s v="09000210-Tariq Shahzad"/>
    <n v="2046000"/>
    <n v="369"/>
    <n v="4"/>
    <n v="55"/>
    <n v="0"/>
    <n v="428"/>
    <n v="0"/>
    <n v="0"/>
    <n v="428"/>
    <n v="0"/>
    <n v="428"/>
    <m/>
    <m/>
    <m/>
    <s v="Syed Waqas"/>
    <n v="152.54000000000002"/>
    <n v="152.47"/>
    <m/>
  </r>
  <r>
    <n v="1267"/>
    <x v="211"/>
    <x v="923"/>
    <s v=" -"/>
    <s v=" MOTOR"/>
    <d v="2023-12-29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57016"/>
    <n v="571"/>
    <n v="7413"/>
    <n v="0"/>
    <n v="65000"/>
    <n v="0"/>
    <n v="0"/>
    <n v="65000"/>
    <n v="0"/>
    <n v="65000"/>
    <m/>
    <m/>
    <m/>
    <s v="Fizza Sheikh"/>
    <m/>
    <m/>
    <m/>
  </r>
  <r>
    <n v="1268"/>
    <x v="211"/>
    <x v="924"/>
    <s v=" -"/>
    <s v=" MOTOR"/>
    <d v="2024-02-22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2310"/>
    <n v="23"/>
    <n v="300"/>
    <n v="0"/>
    <n v="2633"/>
    <n v="0"/>
    <n v="0"/>
    <n v="2633"/>
    <n v="0"/>
    <n v="2633"/>
    <m/>
    <m/>
    <m/>
    <s v="Fizza Sheikh"/>
    <n v="862.01"/>
    <n v="548.73"/>
    <m/>
  </r>
  <r>
    <n v="1269"/>
    <x v="211"/>
    <x v="925"/>
    <s v=" -"/>
    <s v=" MOTOR"/>
    <d v="2024-03-21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1642"/>
    <n v="16"/>
    <n v="213"/>
    <n v="0"/>
    <n v="1871"/>
    <n v="0"/>
    <n v="0"/>
    <n v="1871"/>
    <n v="0"/>
    <n v="1871"/>
    <m/>
    <m/>
    <m/>
    <s v="Fizza Sheikh"/>
    <n v="521.06000000000006"/>
    <n v="389.87"/>
    <m/>
  </r>
  <r>
    <n v="1270"/>
    <x v="211"/>
    <x v="926"/>
    <s v=" -"/>
    <s v=" MOTOR"/>
    <d v="2024-04-21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1397"/>
    <n v="14"/>
    <n v="182"/>
    <n v="0"/>
    <n v="1593"/>
    <n v="0"/>
    <n v="0"/>
    <n v="1593"/>
    <n v="0"/>
    <n v="1593"/>
    <m/>
    <m/>
    <m/>
    <s v="Fizza Sheikh"/>
    <n v="368.3"/>
    <n v="332.47"/>
    <m/>
  </r>
  <r>
    <n v="1271"/>
    <x v="211"/>
    <x v="927"/>
    <s v=" -"/>
    <s v=" MOTOR"/>
    <d v="2024-05-21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1789"/>
    <n v="18"/>
    <n v="233"/>
    <n v="0"/>
    <n v="2040"/>
    <n v="0"/>
    <n v="0"/>
    <n v="2040"/>
    <n v="0"/>
    <n v="2040"/>
    <m/>
    <m/>
    <m/>
    <s v="Fizza Sheikh"/>
    <n v="561.44000000000108"/>
    <n v="425.17"/>
    <m/>
  </r>
  <r>
    <n v="1272"/>
    <x v="211"/>
    <x v="928"/>
    <s v=" -"/>
    <s v=" MOTOR"/>
    <d v="2024-06-22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1554"/>
    <n v="16"/>
    <n v="202"/>
    <n v="0"/>
    <n v="1772"/>
    <n v="0"/>
    <n v="0"/>
    <n v="1772"/>
    <n v="0"/>
    <n v="1772"/>
    <m/>
    <m/>
    <m/>
    <s v="Fizza Sheikh"/>
    <n v="406.87"/>
    <n v="369.58"/>
    <m/>
  </r>
  <r>
    <n v="1273"/>
    <x v="211"/>
    <x v="929"/>
    <s v=" -"/>
    <s v=" MOTOR"/>
    <d v="2024-07-25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2102"/>
    <n v="21"/>
    <n v="315"/>
    <n v="0"/>
    <n v="2438"/>
    <n v="0"/>
    <n v="0"/>
    <n v="2438"/>
    <n v="0"/>
    <n v="2438"/>
    <m/>
    <m/>
    <m/>
    <s v="Fizza Sheikh"/>
    <n v="785.84000000000106"/>
    <n v="508.44"/>
    <m/>
  </r>
  <r>
    <n v="1274"/>
    <x v="211"/>
    <x v="930"/>
    <s v=" -"/>
    <s v=" MOTOR"/>
    <d v="2024-08-22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3201"/>
    <n v="32"/>
    <n v="480"/>
    <n v="0"/>
    <n v="3713"/>
    <n v="0"/>
    <n v="0"/>
    <n v="3713"/>
    <n v="0"/>
    <n v="3713"/>
    <m/>
    <m/>
    <m/>
    <s v="Fizza Sheikh"/>
    <n v="1257.6100000000001"/>
    <n v="773.94"/>
    <m/>
  </r>
  <r>
    <n v="1275"/>
    <x v="211"/>
    <x v="931"/>
    <s v=" -"/>
    <s v=" MOTOR"/>
    <d v="2024-09-26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2810"/>
    <n v="28"/>
    <n v="422"/>
    <n v="0"/>
    <n v="3260"/>
    <n v="0"/>
    <n v="0"/>
    <n v="3260"/>
    <n v="0"/>
    <n v="3260"/>
    <m/>
    <m/>
    <m/>
    <s v="Fizza Sheikh"/>
    <n v="927.90000000000009"/>
    <n v="679.5"/>
    <m/>
  </r>
  <r>
    <n v="1276"/>
    <x v="211"/>
    <x v="932"/>
    <s v=" -"/>
    <s v=" MOTOR"/>
    <d v="2024-10-21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4500"/>
    <n v="45"/>
    <n v="675"/>
    <n v="0"/>
    <n v="5220"/>
    <n v="0"/>
    <n v="0"/>
    <n v="5220"/>
    <n v="0"/>
    <n v="5220"/>
    <m/>
    <m/>
    <m/>
    <s v="Fizza Sheikh"/>
    <n v="2007.0500000000011"/>
    <n v="1087.6200000000001"/>
    <m/>
  </r>
  <r>
    <n v="1277"/>
    <x v="211"/>
    <x v="933"/>
    <s v=" -"/>
    <s v=" MOTOR"/>
    <d v="2024-11-22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3500000"/>
    <n v="4644"/>
    <n v="46"/>
    <n v="696"/>
    <n v="0"/>
    <n v="5386"/>
    <n v="0"/>
    <n v="0"/>
    <n v="5386"/>
    <n v="0"/>
    <n v="5386"/>
    <m/>
    <m/>
    <m/>
    <s v="Fizza Sheikh"/>
    <n v="1599.0700000000011"/>
    <n v="1122.71"/>
    <m/>
  </r>
  <r>
    <n v="1278"/>
    <x v="211"/>
    <x v="934"/>
    <s v=" -"/>
    <s v=" MOTOR"/>
    <d v="2024-12-29T00:00:00"/>
    <d v="2023-12-21T00:00:00"/>
    <d v="2024-12-20T00:00:00"/>
    <s v=" 08802704"/>
    <s v="Mr. Yasheer_x000a_CNIC # 41303-6385361-3 Cell # 0311-4277008"/>
    <m/>
    <s v="TOYOTA VITZ"/>
    <s v="BVL-183"/>
    <s v="2232916"/>
    <s v="4002049"/>
    <s v="2018"/>
    <m/>
    <m/>
    <s v=" D"/>
    <s v="09000210-Tariq Shahzad"/>
    <n v="-1"/>
    <n v="-93986"/>
    <n v="-940"/>
    <n v="0"/>
    <n v="0"/>
    <n v="-94926"/>
    <n v="0"/>
    <n v="0"/>
    <n v="-94926"/>
    <n v="0"/>
    <n v="-94926"/>
    <m/>
    <m/>
    <m/>
    <s v="Fizza Sheikh"/>
    <m/>
    <m/>
    <m/>
  </r>
  <r>
    <n v="1279"/>
    <x v="212"/>
    <x v="935"/>
    <s v=" -"/>
    <s v=" MOTOR"/>
    <d v="2023-12-29T00:00:00"/>
    <d v="2023-12-22T00:00:00"/>
    <d v="2024-12-21T00:00:00"/>
    <s v=" 08809569"/>
    <s v="Mr. Umair _x000a_CNIC No: 4220191085875_x000a_Phone Number:  03212616730"/>
    <m/>
    <s v="SUZUKI SWIFT DLX"/>
    <s v="BNR-364"/>
    <s v="PKS13043269"/>
    <s v="RS413PK10043254"/>
    <s v="2018"/>
    <m/>
    <m/>
    <s v=" D"/>
    <s v="09000210-Tariq Shahzad"/>
    <n v="2500000"/>
    <n v="39473"/>
    <n v="395"/>
    <n v="5132"/>
    <n v="0"/>
    <n v="45000"/>
    <n v="0"/>
    <n v="0"/>
    <n v="45000"/>
    <n v="0"/>
    <n v="45000"/>
    <m/>
    <m/>
    <m/>
    <s v="Syed Waqas"/>
    <m/>
    <m/>
    <m/>
  </r>
  <r>
    <n v="1280"/>
    <x v="212"/>
    <x v="936"/>
    <s v=" -"/>
    <s v=" MOTOR"/>
    <d v="2024-08-27T00:00:00"/>
    <d v="2023-12-22T00:00:00"/>
    <d v="2024-12-21T00:00:00"/>
    <s v=" 08809569"/>
    <s v="Mr. Umair _x000a_CNIC No: 4220191085875_x000a_Phone Number:  03212616730"/>
    <m/>
    <s v="SUZUKI SWIFT DLX"/>
    <s v="BNR-364"/>
    <s v="PKS13043269"/>
    <s v="RS413PK10043254"/>
    <s v="2018"/>
    <m/>
    <m/>
    <s v=" D"/>
    <s v="09000210-Tariq Shahzad"/>
    <n v="2500000"/>
    <n v="639"/>
    <n v="6"/>
    <n v="96"/>
    <n v="0"/>
    <n v="741"/>
    <n v="0"/>
    <n v="0"/>
    <n v="741"/>
    <n v="0"/>
    <n v="741"/>
    <m/>
    <m/>
    <m/>
    <s v="Syed Waqas"/>
    <n v="263.76"/>
    <n v="216.16"/>
    <m/>
  </r>
  <r>
    <n v="1281"/>
    <x v="212"/>
    <x v="937"/>
    <s v=" -"/>
    <s v=" MOTOR"/>
    <d v="2024-09-26T00:00:00"/>
    <d v="2023-12-22T00:00:00"/>
    <d v="2024-12-21T00:00:00"/>
    <s v=" 08809569"/>
    <s v="Mr. Umair _x000a_CNIC No: 4220191085875_x000a_Phone Number:  03212616730"/>
    <m/>
    <s v="SUZUKI SWIFT DLX"/>
    <s v="BNR-364"/>
    <s v="PKS13043269"/>
    <s v="RS413PK10043254"/>
    <s v="2018"/>
    <m/>
    <m/>
    <s v=" D"/>
    <s v="09000210-Tariq Shahzad"/>
    <n v="2500000"/>
    <n v="813"/>
    <n v="8"/>
    <n v="122"/>
    <n v="0"/>
    <n v="943"/>
    <n v="0"/>
    <n v="0"/>
    <n v="943"/>
    <n v="0"/>
    <n v="943"/>
    <m/>
    <m/>
    <m/>
    <s v="Syed Waqas"/>
    <n v="330.26"/>
    <n v="275.25000000000006"/>
    <m/>
  </r>
  <r>
    <n v="1282"/>
    <x v="212"/>
    <x v="938"/>
    <s v=" -"/>
    <s v=" MOTOR"/>
    <d v="2024-10-23T00:00:00"/>
    <d v="2023-12-22T00:00:00"/>
    <d v="2024-12-21T00:00:00"/>
    <s v=" 08809569"/>
    <s v="Mr. Umair _x000a_CNIC No: 4220191085875_x000a_Phone Number:  03212616730"/>
    <m/>
    <s v="SUZUKI SWIFT DLX"/>
    <s v="BNR-364"/>
    <s v="PKS13043269"/>
    <s v="RS413PK10043254"/>
    <s v="2018"/>
    <m/>
    <m/>
    <s v=" D"/>
    <s v="09000210-Tariq Shahzad"/>
    <n v="2500000"/>
    <n v="1155"/>
    <n v="12"/>
    <n v="173"/>
    <n v="0"/>
    <n v="1340"/>
    <n v="0"/>
    <n v="0"/>
    <n v="1340"/>
    <n v="0"/>
    <n v="1340"/>
    <m/>
    <m/>
    <m/>
    <s v="Syed Waqas"/>
    <n v="491.3900000000001"/>
    <n v="391.36"/>
    <m/>
  </r>
  <r>
    <n v="1283"/>
    <x v="212"/>
    <x v="939"/>
    <s v=" -"/>
    <s v=" MOTOR"/>
    <d v="2024-10-30T00:00:00"/>
    <d v="2023-12-22T00:00:00"/>
    <d v="2024-12-21T00:00:00"/>
    <s v=" 08809569"/>
    <s v="Mr. Umair _x000a_CNIC No: 4220191085875_x000a_Phone Number:  03212616730"/>
    <m/>
    <s v="SUZUKI SWIFT DLX"/>
    <s v="BNR-364"/>
    <s v="PKS13043269"/>
    <s v="RS413PK10043254"/>
    <s v="2018"/>
    <m/>
    <m/>
    <s v=" D"/>
    <s v="09000210-Tariq Shahzad"/>
    <n v="-1"/>
    <n v="-2994"/>
    <n v="-30"/>
    <n v="0"/>
    <n v="0"/>
    <n v="-3024"/>
    <n v="0"/>
    <n v="0"/>
    <n v="-3024"/>
    <n v="0"/>
    <n v="-3024"/>
    <m/>
    <m/>
    <m/>
    <s v="Syed Waqas"/>
    <m/>
    <m/>
    <s v="umairy2j@live.com"/>
  </r>
  <r>
    <n v="1284"/>
    <x v="212"/>
    <x v="940"/>
    <s v=" -"/>
    <s v=" MOTOR"/>
    <d v="2024-12-29T00:00:00"/>
    <d v="2023-12-22T00:00:00"/>
    <d v="2024-12-21T00:00:00"/>
    <s v=" 08809569"/>
    <s v="Mr. Umair _x000a_CNIC No: 4220191085875_x000a_Phone Number:  03212616730"/>
    <m/>
    <s v="SUZUKI SWIFT DLX"/>
    <s v="BNR-364"/>
    <s v="PKS13043269"/>
    <s v="RS413PK10043254"/>
    <s v="2018"/>
    <m/>
    <m/>
    <s v=" D"/>
    <s v="09000210-Tariq Shahzad"/>
    <n v="-1"/>
    <n v="-44554"/>
    <n v="-446"/>
    <n v="0"/>
    <n v="0"/>
    <n v="-45000"/>
    <n v="0"/>
    <n v="0"/>
    <n v="-45000"/>
    <n v="0"/>
    <n v="-45000"/>
    <m/>
    <m/>
    <m/>
    <s v="Syed Waqas"/>
    <m/>
    <m/>
    <m/>
  </r>
  <r>
    <n v="1288"/>
    <x v="213"/>
    <x v="941"/>
    <s v=" -"/>
    <s v=" MOTOR"/>
    <d v="2023-12-29T00:00:00"/>
    <d v="2023-12-16T00:00:00"/>
    <d v="2024-12-15T00:00:00"/>
    <s v=" 08815009"/>
    <s v="Mr. Waqas Ahmed Khan_x000a_CNIC: 4210180522045_x000a_Cell: 03332192289"/>
    <m/>
    <s v="DAIHATSU MIRA"/>
    <s v="BGH-156"/>
    <s v="KH-J111461"/>
    <s v="LA300S-1252220"/>
    <s v="2014"/>
    <m/>
    <m/>
    <s v=" D"/>
    <s v="09000210-Tariq Shahzad"/>
    <n v="2200000"/>
    <n v="34209"/>
    <n v="343"/>
    <n v="4448"/>
    <n v="0"/>
    <n v="39000"/>
    <n v="0"/>
    <n v="0"/>
    <n v="39000"/>
    <n v="0"/>
    <n v="39000"/>
    <m/>
    <m/>
    <m/>
    <s v="AFSHEEN ISMAIL"/>
    <m/>
    <m/>
    <m/>
  </r>
  <r>
    <n v="1289"/>
    <x v="213"/>
    <x v="942"/>
    <s v=" -"/>
    <s v=" MOTOR"/>
    <d v="2024-01-16T00:00:00"/>
    <d v="2023-12-16T00:00:00"/>
    <d v="2024-12-15T00:00:00"/>
    <s v=" 08815009"/>
    <s v="Mr. Waqas Ahmed Khan_x000a_CNIC: 4210180522045_x000a_Cell: 03332192289"/>
    <m/>
    <s v="DAIHATSU MIRA"/>
    <s v="BGH-156"/>
    <s v="KH-J111461"/>
    <s v="LA300S-1252220"/>
    <s v="2014"/>
    <m/>
    <m/>
    <s v=" D"/>
    <s v="09000210-Tariq Shahzad"/>
    <n v="2200000"/>
    <n v="3090"/>
    <n v="30"/>
    <n v="401"/>
    <n v="0"/>
    <n v="3521"/>
    <n v="0"/>
    <n v="0"/>
    <n v="3521"/>
    <n v="0"/>
    <n v="3521"/>
    <m/>
    <m/>
    <m/>
    <s v="AFSHEEN ISMAIL"/>
    <n v="1199.6100000000001"/>
    <n v="1167.1600000000001"/>
    <m/>
  </r>
  <r>
    <n v="1290"/>
    <x v="213"/>
    <x v="943"/>
    <s v=" -"/>
    <s v=" MOTOR"/>
    <d v="2024-10-31T00:00:00"/>
    <d v="2023-12-16T00:00:00"/>
    <d v="2024-12-15T00:00:00"/>
    <s v=" 08815009"/>
    <s v="Mr. Waqas Ahmed Khan_x000a_CNIC: 4210180522045_x000a_Cell: 03332192289"/>
    <m/>
    <s v="DAIHATSU MIRA"/>
    <s v="BGH-156"/>
    <s v="KH-J111461"/>
    <s v="LA300S-1252220"/>
    <s v="2014"/>
    <m/>
    <m/>
    <s v=" D"/>
    <s v="09000210-Tariq Shahzad"/>
    <n v="-1"/>
    <n v="-42100"/>
    <n v="-421"/>
    <n v="0"/>
    <n v="0"/>
    <n v="-42521"/>
    <n v="0"/>
    <n v="0"/>
    <n v="-42521"/>
    <n v="0"/>
    <n v="-42521"/>
    <m/>
    <m/>
    <m/>
    <s v="AFSHEEN ISMAIL"/>
    <m/>
    <m/>
    <m/>
  </r>
  <r>
    <n v="1291"/>
    <x v="214"/>
    <x v="944"/>
    <s v=" -"/>
    <s v=" MOTOR"/>
    <d v="2023-12-29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69298"/>
    <n v="693"/>
    <n v="9009"/>
    <n v="0"/>
    <n v="79000"/>
    <n v="0"/>
    <n v="0"/>
    <n v="79000"/>
    <n v="0"/>
    <n v="79000"/>
    <m/>
    <m/>
    <m/>
    <s v="AFSHEEN ISMAIL"/>
    <m/>
    <m/>
    <m/>
  </r>
  <r>
    <n v="1292"/>
    <x v="214"/>
    <x v="945"/>
    <s v=" -"/>
    <s v=" MOTOR"/>
    <d v="2024-01-26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5603"/>
    <n v="56"/>
    <n v="729"/>
    <n v="0"/>
    <n v="6388"/>
    <n v="0"/>
    <n v="0"/>
    <n v="6388"/>
    <n v="0"/>
    <n v="6388"/>
    <m/>
    <m/>
    <m/>
    <s v="AFSHEEN ISMAIL"/>
    <n v="5153.88"/>
    <n v="1109.83"/>
    <m/>
  </r>
  <r>
    <n v="1293"/>
    <x v="214"/>
    <x v="946"/>
    <s v=" -"/>
    <s v=" MOTOR"/>
    <d v="2024-02-27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7043"/>
    <n v="71"/>
    <n v="915"/>
    <n v="0"/>
    <n v="8029"/>
    <n v="0"/>
    <n v="0"/>
    <n v="8029"/>
    <n v="0"/>
    <n v="8029"/>
    <m/>
    <m/>
    <m/>
    <s v="AFSHEEN ISMAIL"/>
    <n v="6297.3599999999933"/>
    <n v="1395"/>
    <m/>
  </r>
  <r>
    <n v="1294"/>
    <x v="214"/>
    <x v="947"/>
    <s v=" -"/>
    <s v=" MOTOR"/>
    <d v="2024-03-26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6570"/>
    <n v="66"/>
    <n v="854"/>
    <n v="0"/>
    <n v="7490"/>
    <n v="0"/>
    <n v="0"/>
    <n v="7490"/>
    <n v="0"/>
    <n v="7490"/>
    <m/>
    <m/>
    <m/>
    <s v="AFSHEEN ISMAIL"/>
    <n v="4184.9799999999968"/>
    <n v="1301.4100000000001"/>
    <m/>
  </r>
  <r>
    <n v="1295"/>
    <x v="214"/>
    <x v="948"/>
    <s v=" -"/>
    <s v=" MOTOR"/>
    <d v="2024-04-27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7031"/>
    <n v="70"/>
    <n v="915"/>
    <n v="0"/>
    <n v="8016"/>
    <n v="0"/>
    <n v="0"/>
    <n v="8016"/>
    <n v="0"/>
    <n v="8016"/>
    <m/>
    <m/>
    <m/>
    <s v="AFSHEEN ISMAIL"/>
    <n v="3684.75"/>
    <n v="1392.74"/>
    <m/>
  </r>
  <r>
    <n v="1296"/>
    <x v="214"/>
    <x v="949"/>
    <s v=" -"/>
    <s v=" MOTOR"/>
    <d v="2024-05-27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6816"/>
    <n v="68"/>
    <n v="886"/>
    <n v="0"/>
    <n v="7770"/>
    <n v="0"/>
    <n v="0"/>
    <n v="7770"/>
    <n v="0"/>
    <n v="7770"/>
    <m/>
    <m/>
    <m/>
    <s v="AFSHEEN ISMAIL"/>
    <n v="3502.1600000000008"/>
    <n v="1350"/>
    <m/>
  </r>
  <r>
    <n v="1297"/>
    <x v="214"/>
    <x v="950"/>
    <s v=" -"/>
    <s v=" MOTOR"/>
    <d v="2024-06-26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6538"/>
    <n v="65"/>
    <n v="849"/>
    <n v="0"/>
    <n v="7452"/>
    <n v="0"/>
    <n v="0"/>
    <n v="7452"/>
    <n v="0"/>
    <n v="7452"/>
    <m/>
    <m/>
    <m/>
    <s v="AFSHEEN ISMAIL"/>
    <n v="4583.4499999999935"/>
    <n v="1294.79"/>
    <m/>
  </r>
  <r>
    <n v="1298"/>
    <x v="214"/>
    <x v="951"/>
    <s v=" -"/>
    <s v=" MOTOR"/>
    <d v="2024-07-26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6637"/>
    <n v="66"/>
    <n v="995"/>
    <n v="0"/>
    <n v="7698"/>
    <n v="0"/>
    <n v="0"/>
    <n v="7698"/>
    <n v="0"/>
    <n v="7698"/>
    <m/>
    <m/>
    <m/>
    <s v="AFSHEEN ISMAIL"/>
    <n v="4838.4299999999921"/>
    <n v="1337.48"/>
    <m/>
  </r>
  <r>
    <n v="1299"/>
    <x v="214"/>
    <x v="952"/>
    <s v=" -"/>
    <s v=" MOTOR"/>
    <d v="2024-08-31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6763"/>
    <n v="68"/>
    <n v="1015"/>
    <n v="0"/>
    <n v="7846"/>
    <n v="0"/>
    <n v="0"/>
    <n v="7846"/>
    <n v="0"/>
    <n v="7846"/>
    <m/>
    <m/>
    <m/>
    <s v="AFSHEEN ISMAIL"/>
    <n v="3805.8599999999965"/>
    <n v="1363.15"/>
    <m/>
  </r>
  <r>
    <n v="1300"/>
    <x v="214"/>
    <x v="953"/>
    <s v=" -"/>
    <s v=" MOTOR"/>
    <d v="2024-10-01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6922"/>
    <n v="69"/>
    <n v="1038"/>
    <n v="0"/>
    <n v="8029"/>
    <n v="0"/>
    <n v="0"/>
    <n v="8029"/>
    <n v="0"/>
    <n v="8029"/>
    <m/>
    <m/>
    <m/>
    <s v="AFSHEEN ISMAIL"/>
    <n v="4152.1199999999963"/>
    <n v="1395"/>
    <m/>
  </r>
  <r>
    <n v="1301"/>
    <x v="214"/>
    <x v="954"/>
    <s v=" -"/>
    <s v=" MOTOR"/>
    <d v="2024-10-28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4200000"/>
    <n v="6693"/>
    <n v="67"/>
    <n v="1004"/>
    <n v="0"/>
    <n v="7764"/>
    <n v="0"/>
    <n v="0"/>
    <n v="7764"/>
    <n v="0"/>
    <n v="7764"/>
    <m/>
    <m/>
    <m/>
    <s v="AFSHEEN ISMAIL"/>
    <n v="3700.509999999997"/>
    <n v="1349"/>
    <m/>
  </r>
  <r>
    <n v="1302"/>
    <x v="214"/>
    <x v="955"/>
    <s v=" -"/>
    <s v=" MOTOR"/>
    <d v="2024-10-31T00:00:00"/>
    <d v="2023-12-26T00:00:00"/>
    <d v="2024-12-25T00:00:00"/>
    <s v=" 08815014"/>
    <s v="Mr. Tanveer Hussain_x000a_CNIC: 35201-8286012-7_x000a_Cell: 03214139918"/>
    <m/>
    <s v="CHANGAN ALSVIN LUMEIRE"/>
    <s v="ADY-297"/>
    <s v="JL473QFM3CAD50145"/>
    <s v="NKMA2ASE5L1000690"/>
    <s v="2021"/>
    <m/>
    <m/>
    <s v=" D"/>
    <s v="09000210-Tariq Shahzad"/>
    <n v="-1"/>
    <n v="-153943"/>
    <n v="-1539"/>
    <n v="0"/>
    <n v="0"/>
    <n v="-155482"/>
    <n v="0"/>
    <n v="0"/>
    <n v="-155482"/>
    <n v="0"/>
    <n v="-155482"/>
    <m/>
    <m/>
    <m/>
    <s v="AFSHEEN ISMAIL"/>
    <m/>
    <m/>
    <m/>
  </r>
  <r>
    <n v="1303"/>
    <x v="215"/>
    <x v="956"/>
    <s v=" -"/>
    <s v=" MOTOR"/>
    <d v="2023-12-29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30701"/>
    <n v="307"/>
    <n v="3992"/>
    <n v="0"/>
    <n v="35000"/>
    <n v="0"/>
    <n v="0"/>
    <n v="35000"/>
    <n v="0"/>
    <n v="35000"/>
    <m/>
    <m/>
    <m/>
    <s v="AFSHEEN ISMAIL"/>
    <m/>
    <m/>
    <m/>
  </r>
  <r>
    <n v="1304"/>
    <x v="215"/>
    <x v="957"/>
    <s v=" -"/>
    <s v=" MOTOR"/>
    <d v="2024-05-29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3344"/>
    <n v="34"/>
    <n v="435"/>
    <n v="0"/>
    <n v="3813"/>
    <n v="0"/>
    <n v="0"/>
    <n v="3813"/>
    <n v="0"/>
    <n v="3813"/>
    <m/>
    <m/>
    <m/>
    <s v="AFSHEEN ISMAIL"/>
    <m/>
    <m/>
    <m/>
  </r>
  <r>
    <n v="1305"/>
    <x v="215"/>
    <x v="958"/>
    <s v=" -"/>
    <s v=" MOTOR"/>
    <d v="2024-05-29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3346"/>
    <n v="33"/>
    <n v="434"/>
    <n v="0"/>
    <n v="3813"/>
    <n v="0"/>
    <n v="0"/>
    <n v="3813"/>
    <n v="0"/>
    <n v="3813"/>
    <m/>
    <m/>
    <m/>
    <s v="AFSHEEN ISMAIL"/>
    <m/>
    <m/>
    <m/>
  </r>
  <r>
    <n v="1306"/>
    <x v="215"/>
    <x v="959"/>
    <s v=" -"/>
    <s v=" MOTOR"/>
    <d v="2024-05-29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3128"/>
    <n v="32"/>
    <n v="407"/>
    <n v="0"/>
    <n v="3567"/>
    <n v="0"/>
    <n v="0"/>
    <n v="3567"/>
    <n v="0"/>
    <n v="3567"/>
    <m/>
    <m/>
    <m/>
    <s v="AFSHEEN ISMAIL"/>
    <m/>
    <m/>
    <m/>
  </r>
  <r>
    <n v="1307"/>
    <x v="215"/>
    <x v="960"/>
    <s v=" -"/>
    <s v=" MOTOR"/>
    <d v="2024-05-29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3345"/>
    <n v="33"/>
    <n v="435"/>
    <n v="0"/>
    <n v="3813"/>
    <n v="0"/>
    <n v="0"/>
    <n v="3813"/>
    <n v="0"/>
    <n v="3813"/>
    <m/>
    <m/>
    <m/>
    <s v="AFSHEEN ISMAIL"/>
    <m/>
    <m/>
    <m/>
  </r>
  <r>
    <n v="1308"/>
    <x v="215"/>
    <x v="961"/>
    <s v=" -"/>
    <s v=" MOTOR"/>
    <d v="2024-05-29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3237"/>
    <n v="32"/>
    <n v="421"/>
    <n v="0"/>
    <n v="3690"/>
    <n v="0"/>
    <n v="0"/>
    <n v="3690"/>
    <n v="0"/>
    <n v="3690"/>
    <m/>
    <m/>
    <m/>
    <s v="AFSHEEN ISMAIL"/>
    <m/>
    <m/>
    <m/>
  </r>
  <r>
    <n v="1309"/>
    <x v="215"/>
    <x v="962"/>
    <s v=" -"/>
    <s v=" MOTOR"/>
    <d v="2024-07-30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203"/>
    <n v="2"/>
    <n v="30"/>
    <n v="0"/>
    <n v="235"/>
    <n v="0"/>
    <n v="0"/>
    <n v="235"/>
    <n v="0"/>
    <n v="235"/>
    <m/>
    <m/>
    <m/>
    <s v="AFSHEEN ISMAIL"/>
    <n v="85.72"/>
    <n v="85.72"/>
    <m/>
  </r>
  <r>
    <n v="1310"/>
    <x v="215"/>
    <x v="963"/>
    <s v=" -"/>
    <s v=" MOTOR"/>
    <d v="2024-07-30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571"/>
    <n v="6"/>
    <n v="86"/>
    <n v="0"/>
    <n v="663"/>
    <n v="0"/>
    <n v="0"/>
    <n v="663"/>
    <n v="0"/>
    <n v="663"/>
    <m/>
    <m/>
    <m/>
    <s v="AFSHEEN ISMAIL"/>
    <n v="315.28000000000003"/>
    <n v="242.35"/>
    <m/>
  </r>
  <r>
    <n v="1311"/>
    <x v="215"/>
    <x v="964"/>
    <s v=" -"/>
    <s v=" MOTOR"/>
    <d v="2024-08-31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763"/>
    <n v="8"/>
    <n v="115"/>
    <n v="0"/>
    <n v="886"/>
    <n v="0"/>
    <n v="0"/>
    <n v="886"/>
    <n v="0"/>
    <n v="886"/>
    <m/>
    <m/>
    <m/>
    <s v="AFSHEEN ISMAIL"/>
    <n v="323.62"/>
    <n v="323.62"/>
    <m/>
  </r>
  <r>
    <n v="1312"/>
    <x v="215"/>
    <x v="965"/>
    <s v=" -"/>
    <s v=" MOTOR"/>
    <d v="2024-10-01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388"/>
    <n v="4"/>
    <n v="58"/>
    <n v="0"/>
    <n v="450"/>
    <n v="0"/>
    <n v="0"/>
    <n v="450"/>
    <n v="0"/>
    <n v="450"/>
    <m/>
    <m/>
    <m/>
    <s v="AFSHEEN ISMAIL"/>
    <n v="174.94"/>
    <n v="164.53"/>
    <m/>
  </r>
  <r>
    <n v="1313"/>
    <x v="215"/>
    <x v="966"/>
    <s v=" -"/>
    <s v=" MOTOR"/>
    <d v="2024-10-28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2000000"/>
    <n v="432"/>
    <n v="4"/>
    <n v="65"/>
    <n v="0"/>
    <n v="501"/>
    <n v="0"/>
    <n v="0"/>
    <n v="501"/>
    <n v="0"/>
    <n v="501"/>
    <m/>
    <m/>
    <m/>
    <s v="AFSHEEN ISMAIL"/>
    <n v="182.95"/>
    <n v="182.95"/>
    <m/>
  </r>
  <r>
    <n v="1314"/>
    <x v="215"/>
    <x v="967"/>
    <s v=" -"/>
    <s v=" MOTOR"/>
    <d v="2024-10-31T00:00:00"/>
    <d v="2023-12-26T00:00:00"/>
    <d v="2024-12-25T00:00:00"/>
    <s v=" 08815020"/>
    <s v="Mr. Javed Latif_x000a_CNIC: 3520226828001_x000a_Cell: 03344057874"/>
    <m/>
    <s v="SUZUKI WAGON R VXL"/>
    <s v="LFC-18A-8459"/>
    <s v="PK10B174796"/>
    <s v="10074799"/>
    <s v="2018"/>
    <m/>
    <m/>
    <s v=" D"/>
    <s v="09000210-Tariq Shahzad"/>
    <n v="-1"/>
    <n v="-55872"/>
    <n v="-559"/>
    <n v="0"/>
    <n v="0"/>
    <n v="-56431"/>
    <n v="0"/>
    <n v="0"/>
    <n v="-56431"/>
    <n v="0"/>
    <n v="-56431"/>
    <m/>
    <m/>
    <m/>
    <s v="AFSHEEN ISMAIL"/>
    <m/>
    <m/>
    <m/>
  </r>
  <r>
    <n v="1315"/>
    <x v="216"/>
    <x v="968"/>
    <s v=" -"/>
    <s v=" MOTOR"/>
    <d v="2023-12-29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39473"/>
    <n v="395"/>
    <n v="5132"/>
    <n v="0"/>
    <n v="45000"/>
    <n v="0"/>
    <n v="0"/>
    <n v="45000"/>
    <n v="0"/>
    <n v="45000"/>
    <m/>
    <m/>
    <m/>
    <s v="Syed Waqas"/>
    <m/>
    <m/>
    <m/>
  </r>
  <r>
    <n v="1316"/>
    <x v="216"/>
    <x v="969"/>
    <s v=" -"/>
    <s v=" MOTOR"/>
    <d v="2024-01-27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4036"/>
    <n v="41"/>
    <n v="525"/>
    <n v="0"/>
    <n v="4602"/>
    <n v="0"/>
    <n v="0"/>
    <n v="4602"/>
    <n v="0"/>
    <n v="4602"/>
    <m/>
    <m/>
    <m/>
    <s v="Syed Waqas"/>
    <n v="4193.1900000000232"/>
    <n v="1344.63"/>
    <m/>
  </r>
  <r>
    <n v="1317"/>
    <x v="216"/>
    <x v="970"/>
    <s v=" -"/>
    <s v=" MOTOR"/>
    <d v="2024-02-27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3131"/>
    <n v="31"/>
    <n v="407"/>
    <n v="0"/>
    <n v="3569"/>
    <n v="0"/>
    <n v="0"/>
    <n v="3569"/>
    <n v="0"/>
    <n v="3569"/>
    <m/>
    <m/>
    <m/>
    <s v="Syed Waqas"/>
    <n v="2667.55"/>
    <n v="1042.6899999999991"/>
    <m/>
  </r>
  <r>
    <n v="1318"/>
    <x v="216"/>
    <x v="971"/>
    <s v=" -"/>
    <s v=" MOTOR"/>
    <d v="2024-03-27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2967"/>
    <n v="29"/>
    <n v="385"/>
    <n v="0"/>
    <n v="3381"/>
    <n v="0"/>
    <n v="0"/>
    <n v="3381"/>
    <n v="0"/>
    <n v="3381"/>
    <m/>
    <m/>
    <m/>
    <s v="Syed Waqas"/>
    <n v="2190.9999999999891"/>
    <n v="987.92"/>
    <m/>
  </r>
  <r>
    <n v="1319"/>
    <x v="216"/>
    <x v="972"/>
    <s v=" -"/>
    <s v=" MOTOR"/>
    <d v="2024-04-29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3560"/>
    <n v="36"/>
    <n v="463"/>
    <n v="0"/>
    <n v="4059"/>
    <n v="0"/>
    <n v="0"/>
    <n v="4059"/>
    <n v="0"/>
    <n v="4059"/>
    <m/>
    <m/>
    <m/>
    <s v="Syed Waqas"/>
    <n v="3212.7200000000194"/>
    <n v="1185.9699999999991"/>
    <m/>
  </r>
  <r>
    <n v="1320"/>
    <x v="216"/>
    <x v="973"/>
    <s v=" -"/>
    <s v=" MOTOR"/>
    <d v="2024-05-27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3615"/>
    <n v="36"/>
    <n v="470"/>
    <n v="0"/>
    <n v="4121"/>
    <n v="0"/>
    <n v="0"/>
    <n v="4121"/>
    <n v="0"/>
    <n v="4121"/>
    <m/>
    <m/>
    <m/>
    <s v="Syed Waqas"/>
    <n v="2937.599999999994"/>
    <n v="1204.4100000000001"/>
    <m/>
  </r>
  <r>
    <n v="1321"/>
    <x v="216"/>
    <x v="974"/>
    <s v=" -"/>
    <s v=" MOTOR"/>
    <d v="2024-06-27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3418"/>
    <n v="34"/>
    <n v="444"/>
    <n v="0"/>
    <n v="3896"/>
    <n v="0"/>
    <n v="0"/>
    <n v="3896"/>
    <n v="0"/>
    <n v="3896"/>
    <m/>
    <m/>
    <m/>
    <s v="Syed Waqas"/>
    <n v="4033.2800000000752"/>
    <n v="1138.1500000000001"/>
    <m/>
  </r>
  <r>
    <n v="1322"/>
    <x v="216"/>
    <x v="975"/>
    <s v=" -"/>
    <s v=" MOTOR"/>
    <d v="2024-07-30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2642"/>
    <n v="26"/>
    <n v="396"/>
    <n v="0"/>
    <n v="3064"/>
    <n v="0"/>
    <n v="0"/>
    <n v="3064"/>
    <n v="0"/>
    <n v="3064"/>
    <m/>
    <m/>
    <m/>
    <s v="Syed Waqas"/>
    <n v="3507.1899999997013"/>
    <n v="895.48"/>
    <m/>
  </r>
  <r>
    <n v="1323"/>
    <x v="216"/>
    <x v="976"/>
    <s v=" -"/>
    <s v=" MOTOR"/>
    <d v="2024-08-31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2691"/>
    <n v="27"/>
    <n v="404"/>
    <n v="0"/>
    <n v="3122"/>
    <n v="0"/>
    <n v="0"/>
    <n v="3122"/>
    <n v="0"/>
    <n v="3122"/>
    <m/>
    <m/>
    <m/>
    <s v="Syed Waqas"/>
    <n v="2054.129999999996"/>
    <n v="912.09"/>
    <m/>
  </r>
  <r>
    <n v="1324"/>
    <x v="216"/>
    <x v="977"/>
    <s v=" -"/>
    <s v=" MOTOR"/>
    <d v="2024-10-01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639"/>
    <n v="6"/>
    <n v="96"/>
    <n v="0"/>
    <n v="741"/>
    <n v="0"/>
    <n v="0"/>
    <n v="741"/>
    <n v="0"/>
    <n v="741"/>
    <m/>
    <m/>
    <m/>
    <s v="Syed Waqas"/>
    <n v="219.51000000000005"/>
    <n v="216.41"/>
    <m/>
  </r>
  <r>
    <n v="1325"/>
    <x v="216"/>
    <x v="978"/>
    <s v=" -"/>
    <s v=" MOTOR"/>
    <d v="2024-10-30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2500000"/>
    <n v="810"/>
    <n v="8"/>
    <n v="121"/>
    <n v="0"/>
    <n v="939"/>
    <n v="0"/>
    <n v="0"/>
    <n v="939"/>
    <n v="0"/>
    <n v="939"/>
    <m/>
    <m/>
    <m/>
    <s v="Syed Waqas"/>
    <n v="675.74000000000387"/>
    <n v="274.45999999999998"/>
    <m/>
  </r>
  <r>
    <n v="1326"/>
    <x v="216"/>
    <x v="979"/>
    <s v=" -"/>
    <s v=" MOTOR"/>
    <d v="2024-12-29T00:00:00"/>
    <d v="2023-12-27T00:00:00"/>
    <d v="2024-12-26T00:00:00"/>
    <s v=" 08815039"/>
    <s v="Mr. Syed Shahrukh Anwar_x000a_CNIC No: 1500029424671_x000a_Phone Number:  03192121756"/>
    <m/>
    <s v="SUZUKI ALTO VXR"/>
    <s v="BYQ-034"/>
    <s v="6R270744"/>
    <s v="NF1AET306H1170736"/>
    <s v="2023"/>
    <m/>
    <m/>
    <s v=" D"/>
    <s v="09000210-Tariq Shahzad"/>
    <n v="-1"/>
    <n v="-75737"/>
    <n v="-757"/>
    <n v="0"/>
    <n v="0"/>
    <n v="-76494"/>
    <n v="0"/>
    <n v="0"/>
    <n v="-76494"/>
    <n v="0"/>
    <n v="-76494"/>
    <m/>
    <m/>
    <m/>
    <s v="Syed Waqas"/>
    <m/>
    <m/>
    <m/>
  </r>
  <r>
    <n v="1327"/>
    <x v="217"/>
    <x v="980"/>
    <s v=" -"/>
    <s v=" MOTOR"/>
    <d v="2024-03-27T00:00:00"/>
    <d v="2023-12-27T00:00:00"/>
    <d v="2024-12-26T00:00:00"/>
    <s v=" 08815060"/>
    <s v="Mr. Amir Murtaza _x000a_CNIC No. 42201-0466699-3_x000a_Cell No. 0321-9261090"/>
    <m/>
    <s v="SUZUKI ALTO VXL"/>
    <s v="BYE-410"/>
    <s v="6R264489"/>
    <s v="NF1AET306H1164441"/>
    <s v="2022"/>
    <m/>
    <m/>
    <s v=" D"/>
    <s v="09000210-Tariq Shahzad"/>
    <n v="2500000"/>
    <n v="1053"/>
    <n v="10"/>
    <n v="137"/>
    <n v="0"/>
    <n v="1200"/>
    <n v="0"/>
    <n v="0"/>
    <n v="1200"/>
    <n v="0"/>
    <n v="1200"/>
    <m/>
    <m/>
    <m/>
    <s v="AFSHEEN ISMAIL"/>
    <n v="365.3300000000001"/>
    <n v="350.98"/>
    <m/>
  </r>
  <r>
    <n v="1328"/>
    <x v="217"/>
    <x v="981"/>
    <s v=" -"/>
    <s v=" MOTOR"/>
    <d v="2024-12-29T00:00:00"/>
    <d v="2023-12-27T00:00:00"/>
    <d v="2024-12-26T00:00:00"/>
    <s v=" 08815060"/>
    <s v="Mr. Amir Murtaza _x000a_CNIC No. 42201-0466699-3_x000a_Cell No. 0321-9261090"/>
    <m/>
    <s v="SUZUKI ALTO VXL"/>
    <s v="BYE-410"/>
    <s v="6R264489"/>
    <s v="NF1AET306H1164441"/>
    <s v="2022"/>
    <m/>
    <m/>
    <s v=" D"/>
    <s v="09000210-Tariq Shahzad"/>
    <n v="-1"/>
    <n v="-1188"/>
    <n v="-12"/>
    <n v="0"/>
    <n v="0"/>
    <n v="-1200"/>
    <n v="0"/>
    <n v="0"/>
    <n v="-1200"/>
    <n v="0"/>
    <n v="-1200"/>
    <m/>
    <m/>
    <m/>
    <s v="AFSHEEN ISMAIL"/>
    <m/>
    <m/>
    <m/>
  </r>
  <r>
    <n v="1329"/>
    <x v="218"/>
    <x v="982"/>
    <s v=" -"/>
    <s v=" MOTOR"/>
    <d v="2024-07-01T00:00:00"/>
    <d v="2023-12-29T00:00:00"/>
    <d v="2024-12-28T00:00:00"/>
    <s v=" 08815108"/>
    <s v="Mrs. Farhana  _x000a_CNIC: 4220172070830_x000a_Cell: 03219260667"/>
    <m/>
    <s v="SUZUKI ALTO VXL"/>
    <s v="BRB-306"/>
    <s v="6R119411"/>
    <s v="NF1AET306H1019104"/>
    <s v="2019"/>
    <m/>
    <m/>
    <s v=" D"/>
    <s v="09000210-Tariq Shahzad"/>
    <n v="2100000"/>
    <n v="3299"/>
    <n v="33"/>
    <n v="429"/>
    <n v="0"/>
    <n v="3761"/>
    <n v="956"/>
    <n v="0"/>
    <n v="2805"/>
    <n v="0"/>
    <n v="2805"/>
    <m/>
    <m/>
    <m/>
    <s v="AFSHEEN ISMAIL"/>
    <n v="2381.4800000000009"/>
    <n v="1311.93"/>
    <m/>
  </r>
  <r>
    <n v="1330"/>
    <x v="218"/>
    <x v="983"/>
    <s v=" -"/>
    <s v=" MOTOR"/>
    <d v="2024-07-30T00:00:00"/>
    <d v="2023-12-29T00:00:00"/>
    <d v="2024-12-28T00:00:00"/>
    <s v=" 08815108"/>
    <s v="Mrs. Farhana  _x000a_CNIC: 4220172070830_x000a_Cell: 03219260667"/>
    <m/>
    <s v="SUZUKI ALTO VXL"/>
    <s v="BRB-306"/>
    <s v="6R119411"/>
    <s v="NF1AET306H1019104"/>
    <s v="2019"/>
    <m/>
    <m/>
    <s v=" D"/>
    <s v="09000210-Tariq Shahzad"/>
    <n v="2100000"/>
    <n v="3091"/>
    <n v="31"/>
    <n v="464"/>
    <n v="0"/>
    <n v="3586"/>
    <n v="0"/>
    <n v="0"/>
    <n v="3586"/>
    <n v="0"/>
    <n v="3586"/>
    <m/>
    <m/>
    <m/>
    <s v="AFSHEEN ISMAIL"/>
    <n v="2048.9100000000012"/>
    <n v="1249.8900000000001"/>
    <m/>
  </r>
  <r>
    <n v="1331"/>
    <x v="218"/>
    <x v="984"/>
    <s v=" -"/>
    <s v=" MOTOR"/>
    <d v="2024-09-03T00:00:00"/>
    <d v="2023-12-29T00:00:00"/>
    <d v="2024-12-28T00:00:00"/>
    <s v=" 08815108"/>
    <s v="Mrs. Farhana  _x000a_CNIC: 4220172070830_x000a_Cell: 03219260667"/>
    <m/>
    <s v="SUZUKI ALTO VXL"/>
    <s v="BRB-306"/>
    <s v="6R119411"/>
    <s v="NF1AET306H1019104"/>
    <s v="2019"/>
    <m/>
    <m/>
    <s v=" D"/>
    <s v="09000210-Tariq Shahzad"/>
    <n v="2100000"/>
    <n v="2103"/>
    <n v="21"/>
    <n v="315"/>
    <n v="0"/>
    <n v="2439"/>
    <n v="0"/>
    <n v="0"/>
    <n v="2439"/>
    <n v="0"/>
    <n v="2439"/>
    <m/>
    <m/>
    <m/>
    <s v="AFSHEEN ISMAIL"/>
    <n v="1035.72"/>
    <n v="849.14"/>
    <m/>
  </r>
  <r>
    <n v="1332"/>
    <x v="218"/>
    <x v="985"/>
    <s v=" -"/>
    <s v=" MOTOR"/>
    <d v="2024-12-29T00:00:00"/>
    <d v="2023-12-29T00:00:00"/>
    <d v="2024-12-28T00:00:00"/>
    <s v=" 08815108"/>
    <s v="Mrs. Farhana  _x000a_CNIC: 4220172070830_x000a_Cell: 03219260667"/>
    <m/>
    <s v="SUZUKI ALTO VXL"/>
    <s v="BRB-306"/>
    <s v="6R119411"/>
    <s v="NF1AET306H1019104"/>
    <s v="2019"/>
    <m/>
    <m/>
    <s v=" D"/>
    <s v="09000210-Tariq Shahzad"/>
    <n v="-1"/>
    <n v="-8743"/>
    <n v="-87"/>
    <n v="0"/>
    <n v="0"/>
    <n v="-8830"/>
    <n v="0"/>
    <n v="0"/>
    <n v="-8830"/>
    <n v="0"/>
    <n v="-8830"/>
    <m/>
    <m/>
    <m/>
    <s v="AFSHEEN ISMAIL"/>
    <m/>
    <m/>
    <m/>
  </r>
  <r>
    <n v="1334"/>
    <x v="219"/>
    <x v="986"/>
    <s v=" -"/>
    <s v=" MOTOR"/>
    <d v="2024-11-01T00:00:00"/>
    <d v="2023-12-30T00:00:00"/>
    <d v="2024-12-29T00:00:00"/>
    <s v=" 08815112"/>
    <s v="Mr. Muhammad Nasir_x000a_CNIC: 4230116597701_x000a_Cell: 03332228126"/>
    <m/>
    <s v="HONDA CITY ASPIRE"/>
    <s v="BNU-156"/>
    <s v="L15A79792943"/>
    <s v="NFBGM2668JR237787"/>
    <s v="2018"/>
    <m/>
    <m/>
    <s v=" D"/>
    <s v="09000210-Tariq Shahzad"/>
    <n v="3500000"/>
    <n v="157"/>
    <n v="2"/>
    <n v="24"/>
    <n v="0"/>
    <n v="183"/>
    <n v="0"/>
    <n v="0"/>
    <n v="183"/>
    <n v="0"/>
    <n v="183"/>
    <m/>
    <m/>
    <m/>
    <s v="Fizza Sheikh"/>
    <n v="38.19"/>
    <n v="38.19"/>
    <m/>
  </r>
  <r>
    <n v="1335"/>
    <x v="219"/>
    <x v="987"/>
    <s v=" -"/>
    <s v=" MOTOR"/>
    <d v="2024-12-02T00:00:00"/>
    <d v="2023-12-30T00:00:00"/>
    <d v="2024-12-29T00:00:00"/>
    <s v=" 08815112"/>
    <s v="Mr. Muhammad Nasir_x000a_CNIC: 4230116597701_x000a_Cell: 03332228126"/>
    <m/>
    <s v="HONDA CITY ASPIRE"/>
    <s v="BNU-156"/>
    <s v="L15A79792943"/>
    <s v="NFBGM2668JR237787"/>
    <s v="2018"/>
    <m/>
    <m/>
    <s v=" D"/>
    <s v="09000210-Tariq Shahzad"/>
    <n v="3500000"/>
    <n v="1408"/>
    <n v="14"/>
    <n v="211"/>
    <n v="0"/>
    <n v="1633"/>
    <n v="0"/>
    <n v="0"/>
    <n v="1633"/>
    <n v="0"/>
    <n v="1633"/>
    <m/>
    <m/>
    <m/>
    <s v="Fizza Sheikh"/>
    <n v="340.42000000000007"/>
    <n v="340.42000000000007"/>
    <m/>
  </r>
  <r>
    <n v="1336"/>
    <x v="219"/>
    <x v="988"/>
    <s v=" -"/>
    <s v=" MOTOR"/>
    <d v="2025-01-13T00:00:00"/>
    <d v="2023-12-30T00:00:00"/>
    <d v="2024-12-29T00:00:00"/>
    <s v=" 08815112"/>
    <s v="Mr. Muhammad Nasir_x000a_CNIC: 4230116597701_x000a_Cell: 03332228126"/>
    <m/>
    <s v="HONDA CITY ASPIRE"/>
    <s v="BNU-156"/>
    <s v="L15A79792943"/>
    <s v="NFBGM2668JR237787"/>
    <s v="2018"/>
    <m/>
    <m/>
    <s v=" D"/>
    <s v="09000210-Tariq Shahzad"/>
    <n v="3500000"/>
    <n v="657"/>
    <n v="7"/>
    <n v="99"/>
    <n v="0"/>
    <n v="763"/>
    <n v="0"/>
    <n v="0"/>
    <n v="763"/>
    <n v="0"/>
    <n v="763"/>
    <m/>
    <m/>
    <m/>
    <s v="Fizza Sheikh"/>
    <n v="204.17"/>
    <n v="159.05000000000001"/>
    <m/>
  </r>
  <r>
    <n v="1337"/>
    <x v="219"/>
    <x v="989"/>
    <s v=" -"/>
    <s v=" MOTOR"/>
    <d v="2025-03-29T00:00:00"/>
    <d v="2023-12-30T00:00:00"/>
    <d v="2024-12-29T00:00:00"/>
    <s v=" 08815112"/>
    <s v="Mr. Muhammad Nasir_x000a_CNIC: 4230116597701_x000a_Cell: 03332228126"/>
    <m/>
    <s v="HONDA CITY ASPIRE"/>
    <s v="BNU-156"/>
    <s v="L15A79792943"/>
    <s v="NFBGM2668JR237787"/>
    <s v="2018"/>
    <m/>
    <m/>
    <s v=" D"/>
    <s v="09000210-Tariq Shahzad"/>
    <n v="-1"/>
    <n v="-2556"/>
    <n v="-23"/>
    <n v="0"/>
    <n v="0"/>
    <n v="-2579"/>
    <n v="0"/>
    <n v="0"/>
    <n v="-2579"/>
    <n v="0"/>
    <n v="-2579"/>
    <m/>
    <m/>
    <m/>
    <s v="Fizza Sheikh"/>
    <m/>
    <m/>
    <m/>
  </r>
  <r>
    <n v="1345"/>
    <x v="220"/>
    <x v="24"/>
    <s v=" -"/>
    <s v=" MOTOR"/>
    <d v="2024-01-05T00:00:00"/>
    <d v="2024-01-04T00:00:00"/>
    <d v="2025-01-03T00:00:00"/>
    <s v=" 08814174"/>
    <s v="Mr. Shehzad Tabish_x000a_CNIC No: 4250103587981_x000a_Phone Number:  03362863034"/>
    <m/>
    <s v="SUZUKI ALTO VXR"/>
    <s v="BRG-301"/>
    <s v="6R128000"/>
    <s v="NF1AET306H1028081"/>
    <s v="2020"/>
    <m/>
    <m/>
    <s v=" D"/>
    <s v="09000355-Asif Azeem"/>
    <n v="-1"/>
    <n v="4343"/>
    <n v="43"/>
    <n v="564"/>
    <n v="50"/>
    <n v="5000"/>
    <n v="5001"/>
    <n v="0"/>
    <n v="-1"/>
    <n v="0"/>
    <n v="-1"/>
    <m/>
    <m/>
    <m/>
    <s v="Syed Waqas"/>
    <m/>
    <m/>
    <s v="Shahzadtabish@hotmail.com"/>
  </r>
  <r>
    <n v="1346"/>
    <x v="220"/>
    <x v="990"/>
    <s v=" -"/>
    <s v=" MOTOR"/>
    <d v="2024-02-06T00:00:00"/>
    <d v="2024-01-04T00:00:00"/>
    <d v="2025-01-03T00:00:00"/>
    <s v=" 08814174"/>
    <s v="Mr. Shehzad Tabish_x000a_CNIC No: 4250103587981_x000a_Phone Number:  03362863034"/>
    <m/>
    <s v="SUZUKI ALTO VXR"/>
    <s v="BRG-301"/>
    <s v="6R128000"/>
    <s v="NF1AET306H1028081"/>
    <s v="2020"/>
    <m/>
    <m/>
    <s v=" D"/>
    <s v="09000355-Asif Azeem"/>
    <n v="2100000"/>
    <n v="931"/>
    <n v="10"/>
    <n v="122"/>
    <n v="0"/>
    <n v="1063"/>
    <n v="0"/>
    <n v="0"/>
    <n v="1063"/>
    <n v="0"/>
    <n v="1063"/>
    <m/>
    <m/>
    <m/>
    <s v="Syed Waqas"/>
    <n v="556.33000000000004"/>
    <n v="460.25000000000006"/>
    <m/>
  </r>
  <r>
    <n v="1347"/>
    <x v="220"/>
    <x v="991"/>
    <s v=" -"/>
    <s v=" MOTOR"/>
    <d v="2024-03-05T00:00:00"/>
    <d v="2024-01-04T00:00:00"/>
    <d v="2025-01-03T00:00:00"/>
    <s v=" 08814174"/>
    <s v="Mr. Shehzad Tabish_x000a_CNIC No: 4250103587981_x000a_Phone Number:  03362863034"/>
    <m/>
    <s v="SUZUKI ALTO VXR"/>
    <s v="BRG-301"/>
    <s v="6R128000"/>
    <s v="NF1AET306H1028081"/>
    <s v="2020"/>
    <m/>
    <m/>
    <s v=" D"/>
    <s v="09000355-Asif Azeem"/>
    <n v="2100000"/>
    <n v="672"/>
    <n v="6"/>
    <n v="87"/>
    <n v="0"/>
    <n v="765"/>
    <n v="0"/>
    <n v="0"/>
    <n v="765"/>
    <n v="0"/>
    <n v="765"/>
    <m/>
    <m/>
    <m/>
    <s v="Syed Waqas"/>
    <n v="651.34"/>
    <n v="331.5800000000001"/>
    <m/>
  </r>
  <r>
    <n v="1348"/>
    <x v="220"/>
    <x v="992"/>
    <s v=" -"/>
    <s v=" MOTOR"/>
    <d v="2024-10-04T00:00:00"/>
    <d v="2024-01-04T00:00:00"/>
    <d v="2025-01-03T00:00:00"/>
    <s v=" 08814174"/>
    <s v="Mr. Shehzad Tabish_x000a_CNIC No: 4250103587981_x000a_Phone Number:  03362863034"/>
    <m/>
    <s v="SUZUKI ALTO VXR"/>
    <s v="BRG-301"/>
    <s v="6R128000"/>
    <s v="NF1AET306H1028081"/>
    <s v="2020"/>
    <m/>
    <m/>
    <s v=" D"/>
    <s v="09000355-Asif Azeem"/>
    <n v="-1"/>
    <n v="-1809"/>
    <n v="-18"/>
    <n v="0"/>
    <n v="0"/>
    <n v="-1827"/>
    <n v="0"/>
    <n v="0"/>
    <n v="-1827"/>
    <n v="0"/>
    <n v="-1827"/>
    <m/>
    <m/>
    <m/>
    <s v="Syed Waqas"/>
    <m/>
    <m/>
    <s v="Shahzadtabish@hotmail.com"/>
  </r>
  <r>
    <n v="1349"/>
    <x v="221"/>
    <x v="993"/>
    <s v=" -"/>
    <s v=" MOTOR"/>
    <d v="2024-02-07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3992"/>
    <n v="40"/>
    <n v="519"/>
    <n v="0"/>
    <n v="4551"/>
    <n v="0"/>
    <n v="0"/>
    <n v="4551"/>
    <n v="0"/>
    <n v="4551"/>
    <m/>
    <m/>
    <m/>
    <s v="Syed Waqas"/>
    <n v="2101.6000000000017"/>
    <n v="1256.05"/>
    <m/>
  </r>
  <r>
    <n v="1350"/>
    <x v="221"/>
    <x v="994"/>
    <s v=" -"/>
    <s v=" MOTOR"/>
    <d v="2024-03-05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3888"/>
    <n v="39"/>
    <n v="506"/>
    <n v="0"/>
    <n v="4433"/>
    <n v="0"/>
    <n v="0"/>
    <n v="4433"/>
    <n v="0"/>
    <n v="4433"/>
    <m/>
    <m/>
    <m/>
    <s v="Syed Waqas"/>
    <n v="2152.8500000000017"/>
    <n v="1223.53"/>
    <m/>
  </r>
  <r>
    <n v="1351"/>
    <x v="221"/>
    <x v="995"/>
    <s v=" -"/>
    <s v=" MOTOR"/>
    <d v="2024-04-05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3604"/>
    <n v="36"/>
    <n v="468"/>
    <n v="0"/>
    <n v="4108"/>
    <n v="0"/>
    <n v="0"/>
    <n v="4108"/>
    <n v="0"/>
    <n v="4108"/>
    <m/>
    <m/>
    <m/>
    <s v="Syed Waqas"/>
    <n v="1730.71"/>
    <n v="1133.67"/>
    <m/>
  </r>
  <r>
    <n v="1352"/>
    <x v="221"/>
    <x v="996"/>
    <s v=" -"/>
    <s v=" MOTOR"/>
    <d v="2024-05-13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2902"/>
    <n v="29"/>
    <n v="378"/>
    <n v="0"/>
    <n v="3309"/>
    <n v="0"/>
    <n v="0"/>
    <n v="3309"/>
    <n v="0"/>
    <n v="3309"/>
    <m/>
    <m/>
    <m/>
    <s v="Syed Waqas"/>
    <n v="1274.5600000000011"/>
    <n v="912.9"/>
    <m/>
  </r>
  <r>
    <n v="1353"/>
    <x v="221"/>
    <x v="997"/>
    <s v=" -"/>
    <s v=" MOTOR"/>
    <d v="2024-06-06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3067"/>
    <n v="31"/>
    <n v="398"/>
    <n v="0"/>
    <n v="3496"/>
    <n v="0"/>
    <n v="0"/>
    <n v="3496"/>
    <n v="0"/>
    <n v="3496"/>
    <m/>
    <m/>
    <m/>
    <s v="Syed Waqas"/>
    <n v="1229.7600000000009"/>
    <n v="964.22"/>
    <m/>
  </r>
  <r>
    <n v="1354"/>
    <x v="221"/>
    <x v="998"/>
    <s v=" -"/>
    <s v=" MOTOR"/>
    <d v="2024-07-05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3231"/>
    <n v="32"/>
    <n v="485"/>
    <n v="0"/>
    <n v="3748"/>
    <n v="0"/>
    <n v="0"/>
    <n v="3748"/>
    <n v="0"/>
    <n v="3748"/>
    <m/>
    <m/>
    <m/>
    <s v="Syed Waqas"/>
    <n v="2368.4200000000019"/>
    <n v="1033.74"/>
    <m/>
  </r>
  <r>
    <n v="1355"/>
    <x v="221"/>
    <x v="999"/>
    <s v=" -"/>
    <s v=" MOTOR"/>
    <d v="2024-08-07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2786"/>
    <n v="28"/>
    <n v="418"/>
    <n v="0"/>
    <n v="3232"/>
    <n v="0"/>
    <n v="0"/>
    <n v="3232"/>
    <n v="0"/>
    <n v="3232"/>
    <m/>
    <m/>
    <m/>
    <s v="Syed Waqas"/>
    <n v="1645.4500000000021"/>
    <n v="891.86"/>
    <m/>
  </r>
  <r>
    <n v="1356"/>
    <x v="221"/>
    <x v="1000"/>
    <s v=" -"/>
    <s v=" MOTOR"/>
    <d v="2024-09-06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3149"/>
    <n v="32"/>
    <n v="473"/>
    <n v="0"/>
    <n v="3654"/>
    <n v="0"/>
    <n v="0"/>
    <n v="3654"/>
    <n v="0"/>
    <n v="3654"/>
    <m/>
    <m/>
    <m/>
    <s v="Syed Waqas"/>
    <n v="1848.3100000000004"/>
    <n v="1008.0400000000002"/>
    <m/>
  </r>
  <r>
    <n v="1357"/>
    <x v="221"/>
    <x v="1001"/>
    <s v=" -"/>
    <s v=" MOTOR"/>
    <d v="2024-10-09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2351"/>
    <n v="24"/>
    <n v="353"/>
    <n v="0"/>
    <n v="2728"/>
    <n v="0"/>
    <n v="0"/>
    <n v="2728"/>
    <n v="0"/>
    <n v="2728"/>
    <m/>
    <m/>
    <m/>
    <s v="Syed Waqas"/>
    <n v="1541.5100000000009"/>
    <n v="752.34"/>
    <m/>
  </r>
  <r>
    <n v="1358"/>
    <x v="221"/>
    <x v="1002"/>
    <s v=" -"/>
    <s v=" MOTOR"/>
    <d v="2024-11-06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2447"/>
    <n v="24"/>
    <n v="367"/>
    <n v="0"/>
    <n v="2838"/>
    <n v="0"/>
    <n v="0"/>
    <n v="2838"/>
    <n v="0"/>
    <n v="2838"/>
    <m/>
    <m/>
    <m/>
    <s v="Syed Waqas"/>
    <n v="1377.49"/>
    <n v="782.85"/>
    <m/>
  </r>
  <r>
    <n v="1359"/>
    <x v="221"/>
    <x v="1003"/>
    <s v=" -"/>
    <s v=" MOTOR"/>
    <d v="2024-12-06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2650000"/>
    <n v="3194"/>
    <n v="32"/>
    <n v="479"/>
    <n v="0"/>
    <n v="3705"/>
    <n v="0"/>
    <n v="0"/>
    <n v="3705"/>
    <n v="0"/>
    <n v="3705"/>
    <m/>
    <m/>
    <m/>
    <s v="Syed Waqas"/>
    <n v="1744.9899999999991"/>
    <n v="1021.7900000000002"/>
    <m/>
  </r>
  <r>
    <n v="1360"/>
    <x v="221"/>
    <x v="1004"/>
    <s v=" -"/>
    <s v=" MOTOR"/>
    <d v="2024-12-29T00:00:00"/>
    <d v="2024-01-05T00:00:00"/>
    <d v="2025-01-04T00:00:00"/>
    <s v=" 08815209"/>
    <s v="Mr. Moaz Bin Ammar_x000a_CNIC No: 3840366897791_x000a_Phone Number:  03064200502"/>
    <m/>
    <s v="SUZUKI ALTO VXR"/>
    <s v="AQH-508"/>
    <s v="6R287606"/>
    <s v="NF1AET306H1187628"/>
    <s v="2023"/>
    <m/>
    <m/>
    <s v=" D"/>
    <s v="09000210-Tariq Shahzad"/>
    <n v="-1"/>
    <n v="-39408"/>
    <n v="-394"/>
    <n v="0"/>
    <n v="0"/>
    <n v="-39802"/>
    <n v="0"/>
    <n v="0"/>
    <n v="-39802"/>
    <n v="0"/>
    <n v="-39802"/>
    <m/>
    <m/>
    <m/>
    <s v="Syed Waqas"/>
    <m/>
    <m/>
    <m/>
  </r>
  <r>
    <n v="1361"/>
    <x v="222"/>
    <x v="1005"/>
    <s v=" -"/>
    <s v=" MOTOR"/>
    <d v="2024-02-07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644"/>
    <n v="7"/>
    <n v="84"/>
    <n v="0"/>
    <n v="735"/>
    <n v="0"/>
    <n v="0"/>
    <n v="735"/>
    <n v="0"/>
    <n v="735"/>
    <m/>
    <m/>
    <m/>
    <s v="Syed Waqas"/>
    <n v="269.57"/>
    <n v="243.59"/>
    <m/>
  </r>
  <r>
    <n v="1362"/>
    <x v="222"/>
    <x v="1006"/>
    <s v=" -"/>
    <s v=" MOTOR"/>
    <d v="2024-03-05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187"/>
    <n v="2"/>
    <n v="25"/>
    <n v="0"/>
    <n v="214"/>
    <n v="0"/>
    <n v="0"/>
    <n v="214"/>
    <n v="0"/>
    <n v="214"/>
    <m/>
    <m/>
    <m/>
    <s v="Syed Waqas"/>
    <n v="70.499999999999986"/>
    <n v="70.499999999999986"/>
    <m/>
  </r>
  <r>
    <n v="1363"/>
    <x v="222"/>
    <x v="1007"/>
    <s v=" -"/>
    <s v=" MOTOR"/>
    <d v="2024-04-05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502"/>
    <n v="5"/>
    <n v="65"/>
    <n v="0"/>
    <n v="572"/>
    <n v="0"/>
    <n v="0"/>
    <n v="572"/>
    <n v="0"/>
    <n v="572"/>
    <m/>
    <m/>
    <m/>
    <s v="Syed Waqas"/>
    <n v="942.48999999999899"/>
    <n v="189.49"/>
    <m/>
  </r>
  <r>
    <n v="1364"/>
    <x v="222"/>
    <x v="1008"/>
    <s v=" -"/>
    <s v=" MOTOR"/>
    <d v="2024-05-13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672"/>
    <n v="6"/>
    <n v="87"/>
    <n v="0"/>
    <n v="765"/>
    <n v="0"/>
    <n v="0"/>
    <n v="765"/>
    <n v="0"/>
    <n v="765"/>
    <m/>
    <m/>
    <m/>
    <s v="Syed Waqas"/>
    <n v="653.02"/>
    <n v="253.76000000000005"/>
    <m/>
  </r>
  <r>
    <n v="1365"/>
    <x v="222"/>
    <x v="1009"/>
    <s v=" -"/>
    <s v=" MOTOR"/>
    <d v="2024-07-05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826"/>
    <n v="8"/>
    <n v="124"/>
    <n v="0"/>
    <n v="958"/>
    <n v="0"/>
    <n v="0"/>
    <n v="958"/>
    <n v="0"/>
    <n v="958"/>
    <m/>
    <m/>
    <m/>
    <s v="Syed Waqas"/>
    <n v="377"/>
    <n v="317.30000000000007"/>
    <m/>
  </r>
  <r>
    <n v="1366"/>
    <x v="222"/>
    <x v="1010"/>
    <s v=" -"/>
    <s v=" MOTOR"/>
    <d v="2024-08-07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1290"/>
    <n v="13"/>
    <n v="194"/>
    <n v="0"/>
    <n v="1497"/>
    <n v="0"/>
    <n v="0"/>
    <n v="1497"/>
    <n v="0"/>
    <n v="1497"/>
    <m/>
    <m/>
    <m/>
    <s v="Syed Waqas"/>
    <n v="1242.99"/>
    <n v="496.32"/>
    <m/>
  </r>
  <r>
    <n v="1367"/>
    <x v="222"/>
    <x v="1011"/>
    <s v=" -"/>
    <s v=" MOTOR"/>
    <d v="2024-09-06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48"/>
    <n v="0"/>
    <n v="7"/>
    <n v="0"/>
    <n v="55"/>
    <n v="0"/>
    <n v="0"/>
    <n v="55"/>
    <n v="0"/>
    <n v="55"/>
    <m/>
    <m/>
    <m/>
    <s v="Syed Waqas"/>
    <n v="18.09"/>
    <n v="18.09"/>
    <m/>
  </r>
  <r>
    <n v="1368"/>
    <x v="222"/>
    <x v="1012"/>
    <s v=" -"/>
    <s v=" MOTOR"/>
    <d v="2024-10-09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92"/>
    <n v="1"/>
    <n v="14"/>
    <n v="0"/>
    <n v="107"/>
    <n v="0"/>
    <n v="0"/>
    <n v="107"/>
    <n v="0"/>
    <n v="107"/>
    <m/>
    <m/>
    <m/>
    <s v="Syed Waqas"/>
    <n v="35.659999999999982"/>
    <n v="35.659999999999982"/>
    <m/>
  </r>
  <r>
    <n v="1369"/>
    <x v="222"/>
    <x v="1013"/>
    <s v=" -"/>
    <s v=" MOTOR"/>
    <d v="2024-12-10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2200000"/>
    <n v="18"/>
    <n v="0"/>
    <n v="3"/>
    <n v="0"/>
    <n v="21"/>
    <n v="0"/>
    <n v="0"/>
    <n v="21"/>
    <n v="0"/>
    <n v="21"/>
    <m/>
    <m/>
    <m/>
    <s v="Syed Waqas"/>
    <n v="6.78"/>
    <n v="6.78"/>
    <m/>
  </r>
  <r>
    <n v="1370"/>
    <x v="222"/>
    <x v="1014"/>
    <s v=" -"/>
    <s v=" MOTOR"/>
    <d v="2024-12-29T00:00:00"/>
    <d v="2024-01-05T00:00:00"/>
    <d v="2025-01-04T00:00:00"/>
    <s v=" 08815209"/>
    <s v="Mr. Moaz Bin Ammar_x000a_CNIC No: 3840366897791_x000a_Phone Number:  03064200502"/>
    <m/>
    <s v="TOYOTA COROLLA"/>
    <s v="LE-13-5746"/>
    <s v="Y657416"/>
    <s v="NZE1402154406"/>
    <s v="2012"/>
    <m/>
    <m/>
    <s v=" D"/>
    <s v="09000210-Tariq Shahzad"/>
    <n v="-1"/>
    <n v="-4875"/>
    <n v="-49"/>
    <n v="0"/>
    <n v="0"/>
    <n v="-4924"/>
    <n v="0"/>
    <n v="0"/>
    <n v="-4924"/>
    <n v="0"/>
    <n v="-4924"/>
    <m/>
    <m/>
    <m/>
    <s v="Syed Waqas"/>
    <m/>
    <m/>
    <m/>
  </r>
  <r>
    <n v="1371"/>
    <x v="223"/>
    <x v="24"/>
    <s v=" -"/>
    <s v=" MOTOR"/>
    <d v="2024-01-05T00:00:00"/>
    <d v="2024-01-04T00:00:00"/>
    <d v="2025-01-03T00:00:00"/>
    <s v=" 08815215"/>
    <s v="Mr. Sohail Anjum _x000a_CNIC: 3410124166127_x000a_Phone Number: 03006400782 / 03026464664"/>
    <m/>
    <s v="TOYOTA COROLLA GLI"/>
    <s v="BQS-499"/>
    <s v="Z566023"/>
    <s v="NZE170R-4191435"/>
    <s v="2019"/>
    <m/>
    <m/>
    <s v=" D"/>
    <s v="09000210-Tariq Shahzad"/>
    <n v="5000000"/>
    <n v="4343"/>
    <n v="43"/>
    <n v="564"/>
    <n v="50"/>
    <n v="5000"/>
    <n v="5079"/>
    <n v="0"/>
    <n v="-79"/>
    <n v="0"/>
    <n v="-79"/>
    <m/>
    <m/>
    <m/>
    <s v="Fizza Sheikh"/>
    <m/>
    <m/>
    <s v="sohail1184@gmail.com"/>
  </r>
  <r>
    <n v="1372"/>
    <x v="223"/>
    <x v="1015"/>
    <s v=" -"/>
    <s v=" MOTOR"/>
    <d v="2024-12-05T00:00:00"/>
    <d v="2024-01-04T00:00:00"/>
    <d v="2025-01-03T00:00:00"/>
    <s v=" 08815215"/>
    <s v="Mr. Sohail Anjum _x000a_CNIC: 3410124166127_x000a_Phone Number: 03006400782 / 03026464664"/>
    <m/>
    <s v="TOYOTA COROLLA GLI"/>
    <s v="BQS-499"/>
    <s v="Z566023"/>
    <s v="NZE170R-4191435"/>
    <s v="2019"/>
    <m/>
    <m/>
    <s v=" D"/>
    <s v="09000210-Tariq Shahzad"/>
    <n v="5000000"/>
    <n v="265"/>
    <n v="3"/>
    <n v="40"/>
    <n v="0"/>
    <n v="308"/>
    <n v="229"/>
    <n v="0"/>
    <n v="79"/>
    <n v="0"/>
    <n v="79"/>
    <m/>
    <m/>
    <m/>
    <s v="Fizza Sheikh"/>
    <n v="212.36"/>
    <n v="45"/>
    <m/>
  </r>
  <r>
    <n v="1373"/>
    <x v="224"/>
    <x v="1016"/>
    <s v=" -"/>
    <s v=" MOTOR"/>
    <d v="2024-10-09T00:00:00"/>
    <d v="2024-01-05T00:00:00"/>
    <d v="2025-01-04T00:00:00"/>
    <s v=" 08815218"/>
    <s v="Mr. Muhammad Shoaib Kathuria _x000a_CNIC No. 42201-0381722-1_x000a_Cell No. 03009235279 - 03212713730"/>
    <m/>
    <s v="SUZUKI ALTO VXR"/>
    <s v="BZH-427"/>
    <s v="6R292221"/>
    <s v="NF1AET306H1192377"/>
    <s v="2024"/>
    <m/>
    <m/>
    <s v=" D"/>
    <s v="09000210-Tariq Shahzad"/>
    <n v="2622000"/>
    <n v="3583"/>
    <n v="36"/>
    <n v="538"/>
    <n v="0"/>
    <n v="4157"/>
    <n v="0"/>
    <n v="0"/>
    <n v="4157"/>
    <n v="0"/>
    <n v="4157"/>
    <m/>
    <m/>
    <m/>
    <s v="Syed Waqas"/>
    <n v="1325.7500000000009"/>
    <n v="1156.28"/>
    <m/>
  </r>
  <r>
    <n v="1374"/>
    <x v="224"/>
    <x v="1017"/>
    <s v=" -"/>
    <s v=" MOTOR"/>
    <d v="2024-11-06T00:00:00"/>
    <d v="2024-01-05T00:00:00"/>
    <d v="2025-01-04T00:00:00"/>
    <s v=" 08815218"/>
    <s v="Mr. Muhammad Shoaib Kathuria _x000a_CNIC No. 42201-0381722-1_x000a_Cell No. 03009235279 - 03212713730"/>
    <m/>
    <s v="SUZUKI ALTO VXR"/>
    <s v="BZH-427"/>
    <s v="6R292221"/>
    <s v="NF1AET306H1192377"/>
    <s v="2024"/>
    <m/>
    <m/>
    <s v=" D"/>
    <s v="09000210-Tariq Shahzad"/>
    <n v="2622000"/>
    <n v="3722"/>
    <n v="37"/>
    <n v="558"/>
    <n v="0"/>
    <n v="4317"/>
    <n v="0"/>
    <n v="0"/>
    <n v="4317"/>
    <n v="0"/>
    <n v="4317"/>
    <m/>
    <m/>
    <m/>
    <s v="Syed Waqas"/>
    <n v="1394.500000000002"/>
    <n v="1200.55"/>
    <m/>
  </r>
  <r>
    <n v="1375"/>
    <x v="224"/>
    <x v="1018"/>
    <s v=" -"/>
    <s v=" MOTOR"/>
    <d v="2024-12-10T00:00:00"/>
    <d v="2024-01-05T00:00:00"/>
    <d v="2025-01-04T00:00:00"/>
    <s v=" 08815218"/>
    <s v="Mr. Muhammad Shoaib Kathuria _x000a_CNIC No. 42201-0381722-1_x000a_Cell No. 03009235279 - 03212713730"/>
    <m/>
    <s v="SUZUKI ALTO VXR"/>
    <s v="BZH-427"/>
    <s v="6R292221"/>
    <s v="NF1AET306H1192377"/>
    <s v="2024"/>
    <m/>
    <m/>
    <s v=" D"/>
    <s v="09000210-Tariq Shahzad"/>
    <n v="2622000"/>
    <n v="3711"/>
    <n v="37"/>
    <n v="557"/>
    <n v="0"/>
    <n v="4305"/>
    <n v="0"/>
    <n v="0"/>
    <n v="4305"/>
    <n v="0"/>
    <n v="4305"/>
    <m/>
    <m/>
    <m/>
    <s v="Syed Waqas"/>
    <n v="1481.0900000000031"/>
    <n v="1196.8300000000002"/>
    <m/>
  </r>
  <r>
    <n v="1376"/>
    <x v="224"/>
    <x v="1019"/>
    <s v=" -"/>
    <s v=" MOTOR"/>
    <d v="2025-01-31T00:00:00"/>
    <d v="2024-01-05T00:00:00"/>
    <d v="2025-01-04T00:00:00"/>
    <s v=" 08815218"/>
    <s v="Mr. Muhammad Shoaib Kathuria _x000a_CNIC No. 42201-0381722-1_x000a_Cell No. 03009235279 - 03212713730"/>
    <m/>
    <s v="SUZUKI ALTO VXR"/>
    <s v="BZH-427"/>
    <s v="6R292221"/>
    <s v="NF1AET306H1192377"/>
    <s v="2024"/>
    <m/>
    <m/>
    <s v=" D"/>
    <s v="09000210-Tariq Shahzad"/>
    <n v="2622000"/>
    <n v="2852"/>
    <n v="29"/>
    <n v="428"/>
    <n v="0"/>
    <n v="3309"/>
    <n v="0"/>
    <n v="0"/>
    <n v="3309"/>
    <n v="0"/>
    <n v="3309"/>
    <m/>
    <m/>
    <m/>
    <s v="Syed Waqas"/>
    <n v="967.07000000000107"/>
    <n v="921.48000000000104"/>
    <m/>
  </r>
  <r>
    <n v="1377"/>
    <x v="224"/>
    <x v="1020"/>
    <s v=" -"/>
    <s v=" MOTOR"/>
    <d v="2025-03-29T00:00:00"/>
    <d v="2024-01-05T00:00:00"/>
    <d v="2025-01-04T00:00:00"/>
    <s v=" 08815218"/>
    <s v="Mr. Muhammad Shoaib Kathuria _x000a_CNIC No. 42201-0381722-1_x000a_Cell No. 03009235279 - 03212713730"/>
    <m/>
    <s v="SUZUKI ALTO VXR"/>
    <s v="BZH-427"/>
    <s v="6R292221"/>
    <s v="NF1AET306H1192377"/>
    <s v="2024"/>
    <m/>
    <m/>
    <s v=" D"/>
    <s v="09000210-Tariq Shahzad"/>
    <n v="-1"/>
    <n v="-15947"/>
    <n v="-141"/>
    <n v="0"/>
    <n v="0"/>
    <n v="-16088"/>
    <n v="0"/>
    <n v="0"/>
    <n v="-16088"/>
    <n v="0"/>
    <n v="-16088"/>
    <m/>
    <m/>
    <m/>
    <s v="Syed Waqas"/>
    <m/>
    <m/>
    <m/>
  </r>
  <r>
    <n v="1378"/>
    <x v="225"/>
    <x v="1021"/>
    <s v=" -"/>
    <s v=" MOTOR"/>
    <d v="2024-05-01T00:00:00"/>
    <d v="2024-01-01T00:00:00"/>
    <d v="2024-12-31T00:00:00"/>
    <s v=" 08815228"/>
    <s v="Mrs. Naghmana Naeem_x000a_CNIC: 3520127669192_x000a_Cell: 03009431630"/>
    <m/>
    <s v="SUZUKI SWIFT A/T"/>
    <s v="LEB-17A-5158"/>
    <s v="PKS13038538"/>
    <s v="RS413PK10038640"/>
    <s v="2017"/>
    <m/>
    <m/>
    <s v=" D"/>
    <s v="09000210-Tariq Shahzad"/>
    <n v="2000000"/>
    <n v="1014"/>
    <n v="10"/>
    <n v="132"/>
    <n v="0"/>
    <n v="1156"/>
    <n v="0"/>
    <n v="0"/>
    <n v="1156"/>
    <n v="0"/>
    <n v="1156"/>
    <m/>
    <m/>
    <m/>
    <s v="AFSHEEN ISMAIL"/>
    <n v="517.44000000000005"/>
    <n v="422.34"/>
    <m/>
  </r>
  <r>
    <n v="1379"/>
    <x v="225"/>
    <x v="1022"/>
    <s v=" -"/>
    <s v=" MOTOR"/>
    <d v="2024-06-03T00:00:00"/>
    <d v="2024-01-01T00:00:00"/>
    <d v="2024-12-31T00:00:00"/>
    <s v=" 08815228"/>
    <s v="Mrs. Naghmana Naeem_x000a_CNIC: 3520127669192_x000a_Cell: 03009431630"/>
    <m/>
    <s v="SUZUKI SWIFT A/T"/>
    <s v="LEB-17A-5158"/>
    <s v="PKS13038538"/>
    <s v="RS413PK10038640"/>
    <s v="2017"/>
    <m/>
    <m/>
    <s v=" D"/>
    <s v="09000210-Tariq Shahzad"/>
    <n v="2000000"/>
    <n v="1992"/>
    <n v="20"/>
    <n v="259"/>
    <n v="0"/>
    <n v="2271"/>
    <n v="0"/>
    <n v="0"/>
    <n v="2271"/>
    <n v="0"/>
    <n v="2271"/>
    <m/>
    <m/>
    <m/>
    <s v="AFSHEEN ISMAIL"/>
    <n v="1091.3700000000001"/>
    <n v="830.69"/>
    <m/>
  </r>
  <r>
    <n v="1380"/>
    <x v="225"/>
    <x v="1023"/>
    <s v=" -"/>
    <s v=" MOTOR"/>
    <d v="2024-07-02T00:00:00"/>
    <d v="2024-01-01T00:00:00"/>
    <d v="2024-12-31T00:00:00"/>
    <s v=" 08815228"/>
    <s v="Mrs. Naghmana Naeem_x000a_CNIC: 3520127669192_x000a_Cell: 03009431630"/>
    <m/>
    <s v="SUZUKI SWIFT A/T"/>
    <s v="LEB-17A-5158"/>
    <s v="PKS13038538"/>
    <s v="RS413PK10038640"/>
    <s v="2017"/>
    <m/>
    <m/>
    <s v=" D"/>
    <s v="09000210-Tariq Shahzad"/>
    <n v="2000000"/>
    <n v="716"/>
    <n v="7"/>
    <n v="107"/>
    <n v="0"/>
    <n v="830"/>
    <n v="0"/>
    <n v="0"/>
    <n v="830"/>
    <n v="0"/>
    <n v="830"/>
    <m/>
    <m/>
    <m/>
    <s v="AFSHEEN ISMAIL"/>
    <n v="485.71"/>
    <n v="303.2"/>
    <m/>
  </r>
  <r>
    <n v="1381"/>
    <x v="225"/>
    <x v="1024"/>
    <s v=" -"/>
    <s v=" MOTOR"/>
    <d v="2024-12-29T00:00:00"/>
    <d v="2024-01-01T00:00:00"/>
    <d v="2024-12-31T00:00:00"/>
    <s v=" 08815228"/>
    <s v="Mrs. Naghmana Naeem_x000a_CNIC: 3520127669192_x000a_Cell: 03009431630"/>
    <m/>
    <s v="SUZUKI SWIFT A/T"/>
    <s v="LEB-17A-5158"/>
    <s v="PKS13038538"/>
    <s v="RS413PK10038640"/>
    <s v="2017"/>
    <m/>
    <m/>
    <s v=" D"/>
    <s v="09000210-Tariq Shahzad"/>
    <n v="-1"/>
    <n v="-4215"/>
    <n v="-42"/>
    <n v="0"/>
    <n v="0"/>
    <n v="-4257"/>
    <n v="0"/>
    <n v="0"/>
    <n v="-4257"/>
    <n v="0"/>
    <n v="-4257"/>
    <m/>
    <m/>
    <m/>
    <s v="AFSHEEN ISMAIL"/>
    <m/>
    <m/>
    <m/>
  </r>
  <r>
    <n v="1382"/>
    <x v="226"/>
    <x v="1025"/>
    <s v=" -"/>
    <s v=" MOTOR"/>
    <d v="2024-04-30T00:00:00"/>
    <d v="2023-12-30T00:00:00"/>
    <d v="2024-12-29T00:00:00"/>
    <s v=" 08810745"/>
    <s v="Mr. Rana Muhammad Zuhaib_x000a_CNIC No: 4230181844525_x000a_Phone Number:  03326858607"/>
    <m/>
    <s v="TOYOTA C-HR HYBRID"/>
    <s v="Un-Reg"/>
    <s v="2ZR-2D01997"/>
    <s v="V"/>
    <s v="2019"/>
    <m/>
    <m/>
    <s v=" D"/>
    <s v="09000210-Tariq Shahzad"/>
    <n v="9000000"/>
    <n v="973"/>
    <n v="10"/>
    <n v="127"/>
    <n v="0"/>
    <n v="1110"/>
    <n v="0"/>
    <n v="0"/>
    <n v="1110"/>
    <n v="0"/>
    <n v="1110"/>
    <m/>
    <m/>
    <m/>
    <s v="Syed Waqas"/>
    <n v="116.23"/>
    <n v="90"/>
    <m/>
  </r>
  <r>
    <n v="1383"/>
    <x v="226"/>
    <x v="1026"/>
    <s v=" -"/>
    <s v=" MOTOR"/>
    <d v="2024-04-30T00:00:00"/>
    <d v="2023-12-30T00:00:00"/>
    <d v="2024-12-29T00:00:00"/>
    <s v=" 08810745"/>
    <s v="Mr. Rana Muhammad Zuhaib_x000a_CNIC No: 4230181844525_x000a_Phone Number:  03326858607"/>
    <m/>
    <s v="TOYOTA C-HR HYBRID"/>
    <s v="Un-Reg"/>
    <s v="2ZR-2D01997"/>
    <s v="V"/>
    <s v="2019"/>
    <m/>
    <m/>
    <s v=" D"/>
    <s v="09000210-Tariq Shahzad"/>
    <n v="9000000"/>
    <n v="1448"/>
    <n v="15"/>
    <n v="188"/>
    <n v="0"/>
    <n v="1651"/>
    <n v="0"/>
    <n v="0"/>
    <n v="1651"/>
    <n v="0"/>
    <n v="1651"/>
    <m/>
    <m/>
    <m/>
    <s v="Syed Waqas"/>
    <n v="190.5"/>
    <n v="133.88"/>
    <m/>
  </r>
  <r>
    <n v="1384"/>
    <x v="226"/>
    <x v="1027"/>
    <s v=" -"/>
    <s v=" MOTOR"/>
    <d v="2024-04-30T00:00:00"/>
    <d v="2023-12-30T00:00:00"/>
    <d v="2024-12-29T00:00:00"/>
    <s v=" 08810745"/>
    <s v="Mr. Rana Muhammad Zuhaib_x000a_CNIC No: 4230181844525_x000a_Phone Number:  03326858607"/>
    <m/>
    <s v="TOYOTA C-HR HYBRID"/>
    <s v="Un-Reg"/>
    <s v="2ZR-2D01997"/>
    <s v="V"/>
    <s v="2019"/>
    <m/>
    <m/>
    <s v=" D"/>
    <s v="09000210-Tariq Shahzad"/>
    <n v="9000000"/>
    <n v="60"/>
    <n v="0"/>
    <n v="8"/>
    <n v="0"/>
    <n v="68"/>
    <n v="0"/>
    <n v="0"/>
    <n v="68"/>
    <n v="0"/>
    <n v="68"/>
    <m/>
    <m/>
    <m/>
    <s v="Syed Waqas"/>
    <n v="5.51"/>
    <n v="5.51"/>
    <m/>
  </r>
  <r>
    <n v="1385"/>
    <x v="226"/>
    <x v="1028"/>
    <s v=" -"/>
    <s v=" MOTOR"/>
    <d v="2024-12-29T00:00:00"/>
    <d v="2023-12-30T00:00:00"/>
    <d v="2024-12-29T00:00:00"/>
    <s v=" 08810745"/>
    <s v="Mr. Rana Muhammad Zuhaib_x000a_CNIC No: 4230181844525_x000a_Phone Number:  03326858607"/>
    <m/>
    <s v="TOYOTA C-HR HYBRID"/>
    <s v="Un-Reg"/>
    <s v="2ZR-2D01997"/>
    <s v="V"/>
    <s v="2019"/>
    <m/>
    <m/>
    <s v=" D"/>
    <s v="09000210-Tariq Shahzad"/>
    <n v="-1"/>
    <n v="-2801"/>
    <n v="-28"/>
    <n v="0"/>
    <n v="0"/>
    <n v="-2829"/>
    <n v="0"/>
    <n v="0"/>
    <n v="-2829"/>
    <n v="0"/>
    <n v="-2829"/>
    <m/>
    <m/>
    <m/>
    <s v="Syed Waqas"/>
    <m/>
    <m/>
    <m/>
  </r>
  <r>
    <n v="1387"/>
    <x v="227"/>
    <x v="1029"/>
    <s v=" -"/>
    <s v=" MOTOR"/>
    <d v="2024-11-04T00:00:00"/>
    <d v="2024-01-02T00:00:00"/>
    <d v="2025-01-01T00:00:00"/>
    <s v=" 08803869"/>
    <s v="MAJLIS E ILMI SOCIETY_x000a_User Details: Mr. Suleman _x000a_CNIC No. 42101-7563892-3_x000a_NTN No. 3192611-8 Cell No. 0311-2859852"/>
    <m/>
    <s v="SUZUKI WAGON-R"/>
    <s v="BUU-889"/>
    <s v="PK10B220668"/>
    <s v="A1J310PK10120655"/>
    <s v="2021"/>
    <m/>
    <m/>
    <s v=" D"/>
    <s v="09000210-Tariq Shahzad"/>
    <n v="2800000"/>
    <n v="3740"/>
    <n v="37"/>
    <n v="561"/>
    <n v="0"/>
    <n v="4338"/>
    <n v="3497"/>
    <n v="0"/>
    <n v="841"/>
    <n v="0"/>
    <n v="841"/>
    <m/>
    <m/>
    <m/>
    <s v="AFSHEEN ISMAIL"/>
    <n v="2292.110000000001"/>
    <n v="1128.81"/>
    <m/>
  </r>
  <r>
    <n v="1388"/>
    <x v="227"/>
    <x v="1030"/>
    <s v=" -"/>
    <s v=" MOTOR"/>
    <d v="2024-12-04T00:00:00"/>
    <d v="2024-01-02T00:00:00"/>
    <d v="2025-01-01T00:00:00"/>
    <s v=" 08803869"/>
    <s v="MAJLIS E ILMI SOCIETY_x000a_User Details: Mr. Suleman _x000a_CNIC No. 42101-7563892-3_x000a_NTN No. 3192611-8 Cell No. 0311-2859852"/>
    <m/>
    <s v="SUZUKI WAGON-R"/>
    <s v="BUU-889"/>
    <s v="PK10B220668"/>
    <s v="A1J310PK10120655"/>
    <s v="2021"/>
    <m/>
    <m/>
    <s v=" D"/>
    <s v="09000210-Tariq Shahzad"/>
    <n v="2800000"/>
    <n v="3585"/>
    <n v="36"/>
    <n v="538"/>
    <n v="0"/>
    <n v="4159"/>
    <n v="0"/>
    <n v="0"/>
    <n v="4159"/>
    <n v="0"/>
    <n v="4159"/>
    <m/>
    <m/>
    <m/>
    <s v="AFSHEEN ISMAIL"/>
    <n v="2259.7200000000012"/>
    <n v="1081.99"/>
    <m/>
  </r>
  <r>
    <n v="1389"/>
    <x v="227"/>
    <x v="1031"/>
    <s v=" -"/>
    <s v=" MOTOR"/>
    <d v="2025-03-29T00:00:00"/>
    <d v="2024-01-02T00:00:00"/>
    <d v="2025-01-01T00:00:00"/>
    <s v=" 08803869"/>
    <s v="MAJLIS E ILMI SOCIETY_x000a_User Details: Mr. Suleman _x000a_CNIC No. 42101-7563892-3_x000a_NTN No. 3192611-8 Cell No. 0311-2859852"/>
    <m/>
    <s v="SUZUKI WAGON-R"/>
    <s v="BUU-889"/>
    <s v="PK10B220668"/>
    <s v="A1J310PK10120655"/>
    <s v="2021"/>
    <m/>
    <m/>
    <s v=" D"/>
    <s v="09000210-Tariq Shahzad"/>
    <n v="-1"/>
    <n v="-4956"/>
    <n v="-44"/>
    <n v="0"/>
    <n v="0"/>
    <n v="-5000"/>
    <n v="0"/>
    <n v="0"/>
    <n v="-5000"/>
    <n v="0"/>
    <n v="-5000"/>
    <m/>
    <m/>
    <m/>
    <s v="AFSHEEN ISMAIL"/>
    <m/>
    <m/>
    <m/>
  </r>
  <r>
    <n v="1390"/>
    <x v="228"/>
    <x v="1032"/>
    <s v=" -"/>
    <s v=" MOTOR"/>
    <d v="2025-01-06T00:00:00"/>
    <d v="2024-01-02T00:00:00"/>
    <d v="2025-01-01T00:00:00"/>
    <s v=" 08809042"/>
    <s v="Mr. Hassan Jawed_x000a_CNIC# 35201-1623616-7_x000a_CELL# 03014633239"/>
    <m/>
    <s v="SUZUKI CULTUS VXL"/>
    <s v="LE-19A-8365"/>
    <s v="PK10K152019"/>
    <s v="NF1AVK31H10052024"/>
    <s v="2019"/>
    <s v="35201-1623616-7"/>
    <m/>
    <s v=" D"/>
    <s v="09000221-Muhammad Irfan"/>
    <n v="2000000"/>
    <n v="1077"/>
    <n v="11"/>
    <n v="162"/>
    <n v="0"/>
    <n v="1250"/>
    <n v="0"/>
    <n v="0"/>
    <n v="1250"/>
    <n v="0"/>
    <n v="1250"/>
    <m/>
    <m/>
    <m/>
    <s v="Maria Tauqeer Qazi"/>
    <n v="456.43000000000006"/>
    <n v="456.43000000000006"/>
    <m/>
  </r>
  <r>
    <n v="1391"/>
    <x v="228"/>
    <x v="1033"/>
    <s v=" -"/>
    <s v=" MOTOR"/>
    <d v="2025-03-29T00:00:00"/>
    <d v="2024-01-02T00:00:00"/>
    <d v="2025-01-01T00:00:00"/>
    <s v=" 08809042"/>
    <s v="Mr. Hassan Jawed_x000a_CNIC# 35201-1623616-7_x000a_CELL# 03014633239"/>
    <m/>
    <s v="SUZUKI CULTUS VXL"/>
    <s v="LE-19A-8365"/>
    <s v="PK10K152019"/>
    <s v="NF1AVK31H10052024"/>
    <s v="2019"/>
    <s v="35201-1623616-7"/>
    <m/>
    <s v=" D"/>
    <s v="09000221-Muhammad Irfan"/>
    <n v="-1"/>
    <n v="-1239"/>
    <n v="-11"/>
    <n v="0"/>
    <n v="0"/>
    <n v="-1250"/>
    <n v="0"/>
    <n v="0"/>
    <n v="-1250"/>
    <n v="0"/>
    <n v="-1250"/>
    <m/>
    <m/>
    <m/>
    <s v="Maria Tauqeer Qazi"/>
    <m/>
    <m/>
    <m/>
  </r>
  <r>
    <n v="1392"/>
    <x v="229"/>
    <x v="24"/>
    <s v=" -"/>
    <s v=" MOTOR"/>
    <d v="2024-01-09T00:00:00"/>
    <d v="2024-01-02T00:00:00"/>
    <d v="2025-01-01T00:00:00"/>
    <s v=" 08809109"/>
    <s v="Mr. Muhammad Zahid_x000a_CNIC# 35202-3012290-5_x000a_CELL# 03214795836"/>
    <m/>
    <s v="SUZUKI CULTUS VXR"/>
    <s v="LEC-18A-2428"/>
    <s v="PK10K130946"/>
    <s v="NF1AVK31H10030932"/>
    <s v="2018"/>
    <s v="35202-3012290-5"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zahidmuhammad68@yahoo.com"/>
  </r>
  <r>
    <n v="1393"/>
    <x v="229"/>
    <x v="1034"/>
    <s v=" -"/>
    <s v=" MOTOR"/>
    <d v="2024-05-02T00:00:00"/>
    <d v="2024-01-02T00:00:00"/>
    <d v="2025-01-01T00:00:00"/>
    <s v=" 08809109"/>
    <s v="Mr. Muhammad Zahid_x000a_CNIC# 35202-3012290-5_x000a_CELL# 03214795836"/>
    <m/>
    <s v="SUZUKI CULTUS VXR"/>
    <s v="LEC-18A-2428"/>
    <s v="PK10K130946"/>
    <s v="NF1AVK31H10030932"/>
    <s v="2018"/>
    <s v="35202-3012290-5"/>
    <m/>
    <s v=" D"/>
    <s v="09000221-Muhammad Irfan"/>
    <n v="2100000"/>
    <n v="1859"/>
    <n v="19"/>
    <n v="242"/>
    <n v="0"/>
    <n v="2120"/>
    <n v="0"/>
    <n v="0"/>
    <n v="2120"/>
    <n v="0"/>
    <n v="2120"/>
    <m/>
    <m/>
    <m/>
    <s v="Maria Tauqeer Qazi"/>
    <n v="877.7800000000002"/>
    <n v="738.04000000000019"/>
    <m/>
  </r>
  <r>
    <n v="1394"/>
    <x v="229"/>
    <x v="1035"/>
    <s v=" -"/>
    <s v=" MOTOR"/>
    <d v="2024-05-02T00:00:00"/>
    <d v="2024-01-02T00:00:00"/>
    <d v="2025-01-01T00:00:00"/>
    <s v=" 08809109"/>
    <s v="Mr. Muhammad Zahid_x000a_CNIC# 35202-3012290-5_x000a_CELL# 03214795836"/>
    <m/>
    <s v="SUZUKI CULTUS VXR"/>
    <s v="LEC-18A-2428"/>
    <s v="PK10K130946"/>
    <s v="NF1AVK31H10030932"/>
    <s v="2018"/>
    <s v="35202-3012290-5"/>
    <m/>
    <s v=" D"/>
    <s v="09000221-Muhammad Irfan"/>
    <n v="2100000"/>
    <n v="1585"/>
    <n v="15"/>
    <n v="206"/>
    <n v="0"/>
    <n v="1806"/>
    <n v="0"/>
    <n v="0"/>
    <n v="1806"/>
    <n v="0"/>
    <n v="1806"/>
    <m/>
    <m/>
    <m/>
    <s v="Maria Tauqeer Qazi"/>
    <n v="691.63"/>
    <n v="629.23"/>
    <m/>
  </r>
  <r>
    <n v="1395"/>
    <x v="229"/>
    <x v="1036"/>
    <s v=" -"/>
    <s v=" MOTOR"/>
    <d v="2024-05-02T00:00:00"/>
    <d v="2024-01-02T00:00:00"/>
    <d v="2025-01-01T00:00:00"/>
    <s v=" 08809109"/>
    <s v="Mr. Muhammad Zahid_x000a_CNIC# 35202-3012290-5_x000a_CELL# 03214795836"/>
    <m/>
    <s v="SUZUKI CULTUS VXR"/>
    <s v="LEC-18A-2428"/>
    <s v="PK10K130946"/>
    <s v="NF1AVK31H10030932"/>
    <s v="2018"/>
    <s v="35202-3012290-5"/>
    <m/>
    <s v=" D"/>
    <s v="09000221-Muhammad Irfan"/>
    <n v="2100000"/>
    <n v="1787"/>
    <n v="18"/>
    <n v="232"/>
    <n v="0"/>
    <n v="2037"/>
    <n v="0"/>
    <n v="0"/>
    <n v="2037"/>
    <n v="0"/>
    <n v="2037"/>
    <m/>
    <m/>
    <m/>
    <s v="Maria Tauqeer Qazi"/>
    <n v="994.13"/>
    <n v="709.68"/>
    <m/>
  </r>
  <r>
    <n v="1396"/>
    <x v="229"/>
    <x v="1037"/>
    <s v=" -"/>
    <s v=" MOTOR"/>
    <d v="2024-05-02T00:00:00"/>
    <d v="2024-01-02T00:00:00"/>
    <d v="2025-01-01T00:00:00"/>
    <s v=" 08809109"/>
    <s v="Mr. Muhammad Zahid_x000a_CNIC# 35202-3012290-5_x000a_CELL# 03214795836"/>
    <m/>
    <s v="SUZUKI CULTUS VXR"/>
    <s v="LEC-18A-2428"/>
    <s v="PK10K130946"/>
    <s v="NF1AVK31H10030932"/>
    <s v="2018"/>
    <s v="35202-3012290-5"/>
    <m/>
    <s v=" D"/>
    <s v="09000221-Muhammad Irfan"/>
    <n v="2100000"/>
    <n v="1098"/>
    <n v="11"/>
    <n v="143"/>
    <n v="0"/>
    <n v="1252"/>
    <n v="0"/>
    <n v="0"/>
    <n v="1252"/>
    <n v="0"/>
    <n v="1252"/>
    <m/>
    <m/>
    <m/>
    <s v="Maria Tauqeer Qazi"/>
    <n v="467.62"/>
    <n v="434.84"/>
    <m/>
  </r>
  <r>
    <n v="1397"/>
    <x v="229"/>
    <x v="1038"/>
    <s v=" -"/>
    <s v=" MOTOR"/>
    <d v="2024-12-29T00:00:00"/>
    <d v="2024-01-02T00:00:00"/>
    <d v="2025-01-01T00:00:00"/>
    <s v=" 08809109"/>
    <s v="Mr. Muhammad Zahid_x000a_CNIC# 35202-3012290-5_x000a_CELL# 03214795836"/>
    <m/>
    <s v="SUZUKI CULTUS VXR"/>
    <s v="LEC-18A-2428"/>
    <s v="PK10K130946"/>
    <s v="NF1AVK31H10030932"/>
    <s v="2018"/>
    <s v="35202-3012290-5"/>
    <m/>
    <s v=" D"/>
    <s v="09000221-Muhammad Irfan"/>
    <n v="-1"/>
    <n v="-7193"/>
    <n v="-72"/>
    <n v="0"/>
    <n v="0"/>
    <n v="-7265"/>
    <n v="0"/>
    <n v="0"/>
    <n v="-7265"/>
    <n v="0"/>
    <n v="-7265"/>
    <m/>
    <m/>
    <m/>
    <s v="Maria Tauqeer Qazi"/>
    <m/>
    <m/>
    <m/>
  </r>
  <r>
    <n v="1398"/>
    <x v="230"/>
    <x v="1039"/>
    <s v=" -"/>
    <s v=" MOTOR"/>
    <d v="2024-06-06T00:00:00"/>
    <d v="2024-01-04T00:00:00"/>
    <d v="2025-01-03T00:00:00"/>
    <s v=" 08809242"/>
    <s v="Mr. Sameet Kumar_x000a_CNIC# 43201-4566029-7_x000a_CELL# 03343020757"/>
    <m/>
    <s v="SUZUKI CULTUS VXL"/>
    <s v="BPM-418"/>
    <s v="PK10K136529"/>
    <s v="NF1AVK31H10036531"/>
    <s v="2019"/>
    <s v="43201-4566029-7"/>
    <m/>
    <s v=" D"/>
    <s v="09000221-Muhammad Irfan"/>
    <n v="2000000"/>
    <n v="1036"/>
    <n v="10"/>
    <n v="134"/>
    <n v="0"/>
    <n v="1180"/>
    <n v="0"/>
    <n v="0"/>
    <n v="1180"/>
    <n v="0"/>
    <n v="1180"/>
    <m/>
    <m/>
    <m/>
    <s v="Maria Tauqeer Qazi"/>
    <m/>
    <m/>
    <m/>
  </r>
  <r>
    <n v="1399"/>
    <x v="230"/>
    <x v="1040"/>
    <s v=" -"/>
    <s v=" MOTOR"/>
    <d v="2024-09-06T00:00:00"/>
    <d v="2024-01-04T00:00:00"/>
    <d v="2025-01-03T00:00:00"/>
    <s v=" 08809242"/>
    <s v="Mr. Sameet Kumar_x000a_CNIC# 43201-4566029-7_x000a_CELL# 03343020757"/>
    <m/>
    <s v="SUZUKI CULTUS VXL"/>
    <s v="BPM-418"/>
    <s v="PK10K136529"/>
    <s v="NF1AVK31H10036531"/>
    <s v="2019"/>
    <s v="43201-4566029-7"/>
    <m/>
    <s v=" D"/>
    <s v="09000221-Muhammad Irfan"/>
    <n v="2000000"/>
    <n v="882"/>
    <n v="9"/>
    <n v="132"/>
    <n v="0"/>
    <n v="1023"/>
    <n v="0"/>
    <n v="0"/>
    <n v="1023"/>
    <n v="0"/>
    <n v="1023"/>
    <m/>
    <m/>
    <m/>
    <s v="Maria Tauqeer Qazi"/>
    <n v="372.71"/>
    <n v="372.71"/>
    <m/>
  </r>
  <r>
    <n v="1400"/>
    <x v="230"/>
    <x v="1041"/>
    <s v=" -"/>
    <s v=" MOTOR"/>
    <d v="2025-03-29T00:00:00"/>
    <d v="2024-01-04T00:00:00"/>
    <d v="2025-01-03T00:00:00"/>
    <s v=" 08809242"/>
    <s v="Mr. Sameet Kumar_x000a_CNIC# 43201-4566029-7_x000a_CELL# 03343020757"/>
    <m/>
    <s v="SUZUKI CULTUS VXL"/>
    <s v="BPM-418"/>
    <s v="PK10K136529"/>
    <s v="NF1AVK31H10036531"/>
    <s v="2019"/>
    <s v="43201-4566029-7"/>
    <m/>
    <s v=" D"/>
    <s v="09000221-Muhammad Irfan"/>
    <n v="-1"/>
    <n v="-2184"/>
    <n v="-19"/>
    <n v="0"/>
    <n v="0"/>
    <n v="-2203"/>
    <n v="0"/>
    <n v="0"/>
    <n v="-2203"/>
    <n v="0"/>
    <n v="-2203"/>
    <m/>
    <m/>
    <m/>
    <s v="Maria Tauqeer Qazi"/>
    <m/>
    <m/>
    <m/>
  </r>
  <r>
    <n v="1401"/>
    <x v="231"/>
    <x v="1042"/>
    <s v=" -"/>
    <s v=" MOTOR"/>
    <d v="2024-05-13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2000000"/>
    <n v="1723"/>
    <n v="17"/>
    <n v="224"/>
    <n v="0"/>
    <n v="1964"/>
    <n v="0"/>
    <n v="0"/>
    <n v="1964"/>
    <n v="0"/>
    <n v="1964"/>
    <m/>
    <m/>
    <m/>
    <s v="Maria Tauqeer Qazi"/>
    <n v="1139.1500000000001"/>
    <n v="717.38"/>
    <m/>
  </r>
  <r>
    <n v="1402"/>
    <x v="231"/>
    <x v="1043"/>
    <s v=" -"/>
    <s v=" MOTOR"/>
    <d v="2024-06-06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2000000"/>
    <n v="2255"/>
    <n v="23"/>
    <n v="294"/>
    <n v="0"/>
    <n v="2572"/>
    <n v="0"/>
    <n v="0"/>
    <n v="2572"/>
    <n v="0"/>
    <n v="2572"/>
    <m/>
    <m/>
    <m/>
    <s v="Maria Tauqeer Qazi"/>
    <n v="2028.4499999999971"/>
    <n v="939.42"/>
    <m/>
  </r>
  <r>
    <n v="1403"/>
    <x v="231"/>
    <x v="1044"/>
    <s v=" -"/>
    <s v=" MOTOR"/>
    <d v="2024-07-05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2000000"/>
    <n v="1684"/>
    <n v="17"/>
    <n v="253"/>
    <n v="0"/>
    <n v="1954"/>
    <n v="0"/>
    <n v="0"/>
    <n v="1954"/>
    <n v="0"/>
    <n v="1954"/>
    <m/>
    <m/>
    <m/>
    <s v="Maria Tauqeer Qazi"/>
    <n v="820.74"/>
    <n v="712.66"/>
    <m/>
  </r>
  <r>
    <n v="1404"/>
    <x v="231"/>
    <x v="1045"/>
    <s v=" -"/>
    <s v=" MOTOR"/>
    <d v="2024-08-07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2000000"/>
    <n v="1397"/>
    <n v="14"/>
    <n v="209"/>
    <n v="0"/>
    <n v="1620"/>
    <n v="0"/>
    <n v="0"/>
    <n v="1620"/>
    <n v="0"/>
    <n v="1620"/>
    <m/>
    <m/>
    <m/>
    <s v="Maria Tauqeer Qazi"/>
    <n v="855.76"/>
    <n v="591.93000000000006"/>
    <m/>
  </r>
  <r>
    <n v="1405"/>
    <x v="231"/>
    <x v="1046"/>
    <s v=" -"/>
    <s v=" MOTOR"/>
    <d v="2024-09-06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2000000"/>
    <n v="1313"/>
    <n v="13"/>
    <n v="197"/>
    <n v="0"/>
    <n v="1523"/>
    <n v="0"/>
    <n v="0"/>
    <n v="1523"/>
    <n v="0"/>
    <n v="1523"/>
    <m/>
    <m/>
    <m/>
    <s v="Maria Tauqeer Qazi"/>
    <n v="777.44"/>
    <n v="556.12"/>
    <m/>
  </r>
  <r>
    <n v="1406"/>
    <x v="231"/>
    <x v="1047"/>
    <s v=" -"/>
    <s v=" MOTOR"/>
    <d v="2024-10-09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2000000"/>
    <n v="1156"/>
    <n v="12"/>
    <n v="173"/>
    <n v="0"/>
    <n v="1341"/>
    <n v="0"/>
    <n v="0"/>
    <n v="1341"/>
    <n v="0"/>
    <n v="1341"/>
    <m/>
    <m/>
    <m/>
    <s v="Maria Tauqeer Qazi"/>
    <n v="848.75"/>
    <n v="489.96"/>
    <m/>
  </r>
  <r>
    <n v="1407"/>
    <x v="231"/>
    <x v="1048"/>
    <s v=" -"/>
    <s v=" MOTOR"/>
    <d v="2024-11-06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2000000"/>
    <n v="1229"/>
    <n v="12"/>
    <n v="184"/>
    <n v="0"/>
    <n v="1425"/>
    <n v="0"/>
    <n v="0"/>
    <n v="1425"/>
    <n v="0"/>
    <n v="1425"/>
    <m/>
    <m/>
    <m/>
    <s v="Maria Tauqeer Qazi"/>
    <n v="695.56"/>
    <n v="520.62"/>
    <m/>
  </r>
  <r>
    <n v="1408"/>
    <x v="231"/>
    <x v="1049"/>
    <s v=" -"/>
    <s v=" MOTOR"/>
    <d v="2024-12-10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2000000"/>
    <n v="835"/>
    <n v="8"/>
    <n v="125"/>
    <n v="0"/>
    <n v="968"/>
    <n v="0"/>
    <n v="0"/>
    <n v="968"/>
    <n v="0"/>
    <n v="968"/>
    <m/>
    <m/>
    <m/>
    <s v="Maria Tauqeer Qazi"/>
    <n v="524.43000000000006"/>
    <n v="353.48"/>
    <m/>
  </r>
  <r>
    <n v="1409"/>
    <x v="231"/>
    <x v="1050"/>
    <s v=" -"/>
    <s v=" MOTOR"/>
    <d v="2024-12-29T00:00:00"/>
    <d v="2024-01-05T00:00:00"/>
    <d v="2025-01-04T00:00:00"/>
    <s v=" 08809089"/>
    <s v="Mrs. Saba Naz_x000a_CNIC# 42201-9271543-4_x000a_CELL# 03336183786"/>
    <m/>
    <s v="SUZUKI WAGON R VXL"/>
    <s v="AFZ-096"/>
    <s v="PK10B154593"/>
    <s v="A1J310PK10054548"/>
    <s v="2018"/>
    <s v="42201-9271543-4"/>
    <m/>
    <s v=" D"/>
    <s v="09000221-Muhammad Irfan"/>
    <n v="-1"/>
    <n v="-13235"/>
    <n v="-132"/>
    <n v="0"/>
    <n v="0"/>
    <n v="-13367"/>
    <n v="0"/>
    <n v="0"/>
    <n v="-13367"/>
    <n v="0"/>
    <n v="-13367"/>
    <m/>
    <m/>
    <m/>
    <s v="Maria Tauqeer Qazi"/>
    <m/>
    <m/>
    <m/>
  </r>
  <r>
    <n v="1414"/>
    <x v="232"/>
    <x v="1051"/>
    <s v=" -"/>
    <s v=" MOTOR"/>
    <d v="2024-04-09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940"/>
    <n v="9"/>
    <n v="122"/>
    <n v="0"/>
    <n v="1071"/>
    <n v="0"/>
    <n v="0"/>
    <n v="1071"/>
    <n v="0"/>
    <n v="1071"/>
    <m/>
    <m/>
    <m/>
    <s v="Maria Tauqeer Qazi"/>
    <n v="373.6400000000001"/>
    <n v="340.32"/>
    <m/>
  </r>
  <r>
    <n v="1415"/>
    <x v="232"/>
    <x v="1052"/>
    <s v=" -"/>
    <s v=" MOTOR"/>
    <d v="2024-05-13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1242"/>
    <n v="12"/>
    <n v="161"/>
    <n v="0"/>
    <n v="1415"/>
    <n v="0"/>
    <n v="0"/>
    <n v="1415"/>
    <n v="0"/>
    <n v="1415"/>
    <m/>
    <m/>
    <m/>
    <s v="Maria Tauqeer Qazi"/>
    <n v="531.79"/>
    <n v="448.67"/>
    <m/>
  </r>
  <r>
    <n v="1416"/>
    <x v="232"/>
    <x v="1053"/>
    <s v=" -"/>
    <s v=" MOTOR"/>
    <d v="2024-06-10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1064"/>
    <n v="11"/>
    <n v="139"/>
    <n v="0"/>
    <n v="1214"/>
    <n v="0"/>
    <n v="0"/>
    <n v="1214"/>
    <n v="0"/>
    <n v="1214"/>
    <m/>
    <m/>
    <m/>
    <s v="Maria Tauqeer Qazi"/>
    <n v="1108.1600000000121"/>
    <n v="385.02"/>
    <m/>
  </r>
  <r>
    <n v="1417"/>
    <x v="232"/>
    <x v="1054"/>
    <s v=" -"/>
    <s v=" MOTOR"/>
    <d v="2024-07-10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668"/>
    <n v="7"/>
    <n v="100"/>
    <n v="0"/>
    <n v="775"/>
    <n v="0"/>
    <n v="0"/>
    <n v="775"/>
    <n v="0"/>
    <n v="775"/>
    <m/>
    <m/>
    <m/>
    <s v="Maria Tauqeer Qazi"/>
    <n v="283.42"/>
    <n v="245.94"/>
    <m/>
  </r>
  <r>
    <n v="1418"/>
    <x v="232"/>
    <x v="1055"/>
    <s v=" -"/>
    <s v=" MOTOR"/>
    <d v="2024-08-12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770"/>
    <n v="8"/>
    <n v="116"/>
    <n v="0"/>
    <n v="894"/>
    <n v="0"/>
    <n v="0"/>
    <n v="894"/>
    <n v="0"/>
    <n v="894"/>
    <m/>
    <m/>
    <m/>
    <s v="Maria Tauqeer Qazi"/>
    <m/>
    <m/>
    <m/>
  </r>
  <r>
    <n v="1419"/>
    <x v="232"/>
    <x v="1056"/>
    <s v=" -"/>
    <s v=" MOTOR"/>
    <d v="2024-08-12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770"/>
    <n v="8"/>
    <n v="116"/>
    <n v="0"/>
    <n v="894"/>
    <n v="0"/>
    <n v="0"/>
    <n v="894"/>
    <n v="0"/>
    <n v="894"/>
    <m/>
    <m/>
    <m/>
    <s v="Maria Tauqeer Qazi"/>
    <n v="386.28999999999905"/>
    <n v="283.74"/>
    <m/>
  </r>
  <r>
    <n v="1420"/>
    <x v="232"/>
    <x v="1057"/>
    <s v=" -"/>
    <s v=" MOTOR"/>
    <d v="2024-09-11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839"/>
    <n v="8"/>
    <n v="126"/>
    <n v="0"/>
    <n v="973"/>
    <n v="0"/>
    <n v="0"/>
    <n v="973"/>
    <n v="0"/>
    <n v="973"/>
    <m/>
    <m/>
    <m/>
    <s v="Maria Tauqeer Qazi"/>
    <n v="419.30999999999904"/>
    <n v="308.5"/>
    <m/>
  </r>
  <r>
    <n v="1421"/>
    <x v="232"/>
    <x v="1058"/>
    <s v=" -"/>
    <s v=" MOTOR"/>
    <d v="2024-10-10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234"/>
    <n v="2"/>
    <n v="35"/>
    <n v="0"/>
    <n v="271"/>
    <n v="0"/>
    <n v="0"/>
    <n v="271"/>
    <n v="0"/>
    <n v="271"/>
    <m/>
    <m/>
    <m/>
    <s v="Maria Tauqeer Qazi"/>
    <n v="116.18"/>
    <n v="85.97"/>
    <m/>
  </r>
  <r>
    <n v="1422"/>
    <x v="232"/>
    <x v="1059"/>
    <s v=" -"/>
    <s v=" MOTOR"/>
    <d v="2024-11-12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929"/>
    <n v="9"/>
    <n v="139"/>
    <n v="0"/>
    <n v="1077"/>
    <n v="0"/>
    <n v="0"/>
    <n v="1077"/>
    <n v="0"/>
    <n v="1077"/>
    <m/>
    <m/>
    <m/>
    <s v="Maria Tauqeer Qazi"/>
    <n v="368.91"/>
    <n v="341.07"/>
    <m/>
  </r>
  <r>
    <n v="1423"/>
    <x v="232"/>
    <x v="1060"/>
    <s v=" -"/>
    <s v=" MOTOR"/>
    <d v="2024-12-10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2300000"/>
    <n v="1565"/>
    <n v="16"/>
    <n v="235"/>
    <n v="0"/>
    <n v="1816"/>
    <n v="0"/>
    <n v="0"/>
    <n v="1816"/>
    <n v="0"/>
    <n v="1816"/>
    <m/>
    <m/>
    <m/>
    <s v="Maria Tauqeer Qazi"/>
    <n v="1162.7299999999991"/>
    <n v="575.92999999999995"/>
    <m/>
  </r>
  <r>
    <n v="1424"/>
    <x v="232"/>
    <x v="1061"/>
    <s v=" -"/>
    <s v=" MOTOR"/>
    <d v="2024-12-29T00:00:00"/>
    <d v="2024-01-09T00:00:00"/>
    <d v="2025-01-08T00:00:00"/>
    <s v=" 08809194"/>
    <s v="Mr. Pervaiz Akhtar_x000a_CNIC# 35202-9393454-7_x000a_CELL# 03000418786 - 03009492074"/>
    <m/>
    <s v="HONDA CITY"/>
    <s v="LE-15-4710"/>
    <s v="L13Z17421663"/>
    <s v="NFBGM1647ER158495"/>
    <s v="2014"/>
    <s v="35202-9393454-7"/>
    <m/>
    <s v=" D"/>
    <s v="09000221-Muhammad Irfan"/>
    <n v="-1"/>
    <n v="-10297"/>
    <n v="-103"/>
    <n v="0"/>
    <n v="0"/>
    <n v="-10400"/>
    <n v="0"/>
    <n v="0"/>
    <n v="-10400"/>
    <n v="0"/>
    <n v="-10400"/>
    <m/>
    <m/>
    <m/>
    <s v="Maria Tauqeer Qazi"/>
    <m/>
    <m/>
    <m/>
  </r>
  <r>
    <n v="1426"/>
    <x v="233"/>
    <x v="1062"/>
    <s v=" -"/>
    <s v=" MOTOR"/>
    <d v="2025-01-10T00:00:00"/>
    <d v="2024-01-09T00:00:00"/>
    <d v="2025-01-08T00:00:00"/>
    <s v=" 08815277"/>
    <s v="Mr. Areeb Irfan _x000a_CNIC: 4220182579605_x000a_Cell: 03212766331"/>
    <m/>
    <s v="TOYOTA COROLLA ALTIS"/>
    <s v="BCW-080"/>
    <s v="Q023630"/>
    <s v="NA0N0"/>
    <s v="2015"/>
    <m/>
    <m/>
    <s v=" D"/>
    <s v="09000210-Tariq Shahzad"/>
    <n v="3500000"/>
    <n v="377"/>
    <n v="4"/>
    <n v="57"/>
    <n v="0"/>
    <n v="438"/>
    <n v="0"/>
    <n v="0"/>
    <n v="438"/>
    <n v="0"/>
    <n v="438"/>
    <m/>
    <m/>
    <m/>
    <s v="AFSHEEN ISMAIL"/>
    <m/>
    <m/>
    <m/>
  </r>
  <r>
    <n v="1427"/>
    <x v="233"/>
    <x v="1063"/>
    <s v=" -"/>
    <s v=" MOTOR"/>
    <d v="2025-03-29T00:00:00"/>
    <d v="2024-01-09T00:00:00"/>
    <d v="2025-01-08T00:00:00"/>
    <s v=" 08815277"/>
    <s v="Mr. Areeb Irfan _x000a_CNIC: 4220182579605_x000a_Cell: 03212766331"/>
    <m/>
    <s v="TOYOTA COROLLA ALTIS"/>
    <s v="BCW-080"/>
    <s v="Q023630"/>
    <s v="NA0N0"/>
    <s v="2015"/>
    <m/>
    <m/>
    <s v=" D"/>
    <s v="09000210-Tariq Shahzad"/>
    <n v="-1"/>
    <n v="-434"/>
    <n v="-4"/>
    <n v="0"/>
    <n v="0"/>
    <n v="-438"/>
    <n v="0"/>
    <n v="0"/>
    <n v="-438"/>
    <n v="0"/>
    <n v="-438"/>
    <m/>
    <m/>
    <m/>
    <s v="AFSHEEN ISMAIL"/>
    <m/>
    <m/>
    <m/>
  </r>
  <r>
    <n v="1428"/>
    <x v="234"/>
    <x v="1064"/>
    <s v=" -"/>
    <s v=" MOTOR"/>
    <d v="2024-06-06T00:00:00"/>
    <d v="2024-01-06T00:00:00"/>
    <d v="2025-01-05T00:00:00"/>
    <s v=" 08815234"/>
    <s v="Mr. Muhammad Aslam_x000a_CNIC : 32302-4226909-7 CELL : 03084142820"/>
    <m/>
    <s v="SUZUKI ALTO VXR"/>
    <s v="APL - 4"/>
    <s v="6R292314"/>
    <s v="NF1AET306H1192294"/>
    <s v="2024"/>
    <m/>
    <m/>
    <s v=" D"/>
    <s v="09000210-Tariq Shahzad"/>
    <n v="2622000"/>
    <n v="4405"/>
    <n v="44"/>
    <n v="573"/>
    <n v="0"/>
    <n v="5022"/>
    <n v="0"/>
    <n v="0"/>
    <n v="5022"/>
    <n v="0"/>
    <n v="5022"/>
    <m/>
    <m/>
    <m/>
    <s v="AFSHEEN ISMAIL"/>
    <n v="9550.399999999976"/>
    <n v="1395"/>
    <m/>
  </r>
  <r>
    <n v="1429"/>
    <x v="234"/>
    <x v="1065"/>
    <s v=" -"/>
    <s v=" MOTOR"/>
    <d v="2024-07-09T00:00:00"/>
    <d v="2024-01-06T00:00:00"/>
    <d v="2025-01-05T00:00:00"/>
    <s v=" 08815234"/>
    <s v="Mr. Muhammad Aslam_x000a_CNIC : 32302-4226909-7 CELL : 03084142820"/>
    <m/>
    <s v="SUZUKI ALTO VXR"/>
    <s v="APL - 4"/>
    <s v="6R292314"/>
    <s v="NF1AET306H1192294"/>
    <s v="2024"/>
    <m/>
    <m/>
    <s v=" D"/>
    <s v="09000210-Tariq Shahzad"/>
    <n v="2622000"/>
    <n v="3870"/>
    <n v="39"/>
    <n v="580"/>
    <n v="0"/>
    <n v="4489"/>
    <n v="0"/>
    <n v="0"/>
    <n v="4489"/>
    <n v="0"/>
    <n v="4489"/>
    <m/>
    <m/>
    <m/>
    <s v="AFSHEEN ISMAIL"/>
    <n v="6837.0799999999945"/>
    <n v="1247.04"/>
    <m/>
  </r>
  <r>
    <n v="1430"/>
    <x v="234"/>
    <x v="1066"/>
    <s v=" -"/>
    <s v=" MOTOR"/>
    <d v="2024-08-08T00:00:00"/>
    <d v="2024-01-06T00:00:00"/>
    <d v="2025-01-05T00:00:00"/>
    <s v=" 08815234"/>
    <s v="Mr. Muhammad Aslam_x000a_CNIC : 32302-4226909-7 CELL : 03084142820"/>
    <m/>
    <s v="SUZUKI ALTO VXR"/>
    <s v="APL - 4"/>
    <s v="6R292314"/>
    <s v="NF1AET306H1192294"/>
    <s v="2024"/>
    <m/>
    <m/>
    <s v=" D"/>
    <s v="09000210-Tariq Shahzad"/>
    <n v="2622000"/>
    <n v="4190"/>
    <n v="42"/>
    <n v="629"/>
    <n v="0"/>
    <n v="4861"/>
    <n v="0"/>
    <n v="0"/>
    <n v="4861"/>
    <n v="0"/>
    <n v="4861"/>
    <m/>
    <m/>
    <m/>
    <s v="AFSHEEN ISMAIL"/>
    <n v="6284.4699999999957"/>
    <n v="1350.34"/>
    <m/>
  </r>
  <r>
    <n v="1431"/>
    <x v="234"/>
    <x v="1067"/>
    <s v=" -"/>
    <s v=" MOTOR"/>
    <d v="2024-09-07T00:00:00"/>
    <d v="2024-01-06T00:00:00"/>
    <d v="2025-01-05T00:00:00"/>
    <s v=" 08815234"/>
    <s v="Mr. Muhammad Aslam_x000a_CNIC : 32302-4226909-7 CELL : 03084142820"/>
    <m/>
    <s v="SUZUKI ALTO VXR"/>
    <s v="APL - 4"/>
    <s v="6R292314"/>
    <s v="NF1AET306H1192294"/>
    <s v="2024"/>
    <m/>
    <m/>
    <s v=" D"/>
    <s v="09000210-Tariq Shahzad"/>
    <n v="2622000"/>
    <n v="4074"/>
    <n v="41"/>
    <n v="611"/>
    <n v="0"/>
    <n v="4726"/>
    <n v="0"/>
    <n v="0"/>
    <n v="4726"/>
    <n v="0"/>
    <n v="4726"/>
    <m/>
    <m/>
    <m/>
    <s v="AFSHEEN ISMAIL"/>
    <n v="6301.8099999999968"/>
    <n v="1312.64"/>
    <m/>
  </r>
  <r>
    <n v="1432"/>
    <x v="234"/>
    <x v="1068"/>
    <s v=" -"/>
    <s v=" MOTOR"/>
    <d v="2024-10-09T00:00:00"/>
    <d v="2024-01-06T00:00:00"/>
    <d v="2025-01-05T00:00:00"/>
    <s v=" 08815234"/>
    <s v="Mr. Muhammad Aslam_x000a_CNIC : 32302-4226909-7 CELL : 03084142820"/>
    <m/>
    <s v="SUZUKI ALTO VXR"/>
    <s v="APL - 4"/>
    <s v="6R292314"/>
    <s v="NF1AET306H1192294"/>
    <s v="2024"/>
    <m/>
    <m/>
    <s v=" D"/>
    <s v="09000210-Tariq Shahzad"/>
    <n v="2622000"/>
    <n v="3892"/>
    <n v="39"/>
    <n v="584"/>
    <n v="0"/>
    <n v="4515"/>
    <n v="0"/>
    <n v="0"/>
    <n v="4515"/>
    <n v="0"/>
    <n v="4515"/>
    <m/>
    <m/>
    <m/>
    <s v="AFSHEEN ISMAIL"/>
    <n v="5730.5300000000016"/>
    <n v="1254.3699999999992"/>
    <m/>
  </r>
  <r>
    <n v="1433"/>
    <x v="234"/>
    <x v="1069"/>
    <s v=" -"/>
    <s v=" MOTOR"/>
    <d v="2024-11-08T00:00:00"/>
    <d v="2024-01-06T00:00:00"/>
    <d v="2025-01-05T00:00:00"/>
    <s v=" 08815234"/>
    <s v="Mr. Muhammad Aslam_x000a_CNIC : 32302-4226909-7 CELL : 03084142820"/>
    <m/>
    <s v="SUZUKI ALTO VXR"/>
    <s v="APL - 4"/>
    <s v="6R292314"/>
    <s v="NF1AET306H1192294"/>
    <s v="2024"/>
    <m/>
    <m/>
    <s v=" D"/>
    <s v="09000210-Tariq Shahzad"/>
    <n v="2622000"/>
    <n v="3862"/>
    <n v="39"/>
    <n v="579"/>
    <n v="0"/>
    <n v="4480"/>
    <n v="0"/>
    <n v="0"/>
    <n v="4480"/>
    <n v="0"/>
    <n v="4480"/>
    <m/>
    <m/>
    <m/>
    <s v="AFSHEEN ISMAIL"/>
    <n v="6254.7899999999945"/>
    <n v="1244.44"/>
    <m/>
  </r>
  <r>
    <n v="1434"/>
    <x v="234"/>
    <x v="1070"/>
    <s v=" -"/>
    <s v=" MOTOR"/>
    <d v="2024-12-07T00:00:00"/>
    <d v="2024-01-06T00:00:00"/>
    <d v="2025-01-05T00:00:00"/>
    <s v=" 08815234"/>
    <s v="Mr. Muhammad Aslam_x000a_CNIC : 32302-4226909-7 CELL : 03084142820"/>
    <m/>
    <s v="SUZUKI ALTO VXR"/>
    <s v="APL - 4"/>
    <s v="6R292314"/>
    <s v="NF1AET306H1192294"/>
    <s v="2024"/>
    <m/>
    <m/>
    <s v=" D"/>
    <s v="09000210-Tariq Shahzad"/>
    <n v="2622000"/>
    <n v="4190"/>
    <n v="42"/>
    <n v="628"/>
    <n v="0"/>
    <n v="4860"/>
    <n v="0"/>
    <n v="0"/>
    <n v="4860"/>
    <n v="0"/>
    <n v="4860"/>
    <m/>
    <m/>
    <m/>
    <s v="AFSHEEN ISMAIL"/>
    <n v="6081.7300000000068"/>
    <n v="1350"/>
    <m/>
  </r>
  <r>
    <n v="1435"/>
    <x v="234"/>
    <x v="1071"/>
    <s v=" -"/>
    <s v=" MOTOR"/>
    <d v="2024-12-29T00:00:00"/>
    <d v="2024-01-06T00:00:00"/>
    <d v="2025-01-05T00:00:00"/>
    <s v=" 08815234"/>
    <s v="Mr. Muhammad Aslam_x000a_CNIC : 32302-4226909-7 CELL : 03084142820"/>
    <m/>
    <s v="SUZUKI ALTO VXR"/>
    <s v="APL - 4"/>
    <s v="6R292314"/>
    <s v="NF1AET306H1192294"/>
    <s v="2024"/>
    <m/>
    <m/>
    <s v=" D"/>
    <s v="09000210-Tariq Shahzad"/>
    <n v="-1"/>
    <n v="-32627"/>
    <n v="-326"/>
    <n v="0"/>
    <n v="0"/>
    <n v="-32953"/>
    <n v="0"/>
    <n v="0"/>
    <n v="-32953"/>
    <n v="0"/>
    <n v="-32953"/>
    <m/>
    <m/>
    <m/>
    <s v="AFSHEEN ISMAIL"/>
    <m/>
    <m/>
    <m/>
  </r>
  <r>
    <n v="1436"/>
    <x v="235"/>
    <x v="24"/>
    <s v=" -"/>
    <s v=" MOTOR"/>
    <d v="2024-01-11T00:00:00"/>
    <d v="2024-01-10T00:00:00"/>
    <d v="2025-01-09T00:00:00"/>
    <s v=" 08815310"/>
    <s v="Mr. Sarfaraz Hussain Qureshi_x000a_Cell: 42201-6100168-1_x000a_Cell: 03366872586"/>
    <m/>
    <s v="SUZUKI WAGON R VXL"/>
    <s v="BWS-578"/>
    <s v="PK10B233816"/>
    <s v="A1J310PK10133814"/>
    <s v="2022"/>
    <m/>
    <m/>
    <s v=" D"/>
    <s v="09000210-Tariq Shahzad"/>
    <n v="3100000"/>
    <n v="4343"/>
    <n v="43"/>
    <n v="564"/>
    <n v="50"/>
    <n v="5000"/>
    <n v="5028"/>
    <n v="0"/>
    <n v="-28"/>
    <n v="0"/>
    <n v="-28"/>
    <m/>
    <m/>
    <m/>
    <s v="AFSHEEN ISMAIL"/>
    <m/>
    <m/>
    <s v="sarfaraz.princely@gmail.com"/>
  </r>
  <r>
    <n v="1437"/>
    <x v="235"/>
    <x v="1072"/>
    <s v=" -"/>
    <s v=" MOTOR"/>
    <d v="2024-11-12T00:00:00"/>
    <d v="2024-01-10T00:00:00"/>
    <d v="2025-01-09T00:00:00"/>
    <s v=" 08815310"/>
    <s v="Mr. Sarfaraz Hussain Qureshi_x000a_Cell: 42201-6100168-1_x000a_Cell: 03366872586"/>
    <m/>
    <s v="SUZUKI WAGON R VXL"/>
    <s v="BWS-578"/>
    <s v="PK10B233816"/>
    <s v="A1J310PK10133814"/>
    <s v="2022"/>
    <m/>
    <m/>
    <s v=" D"/>
    <s v="09000210-Tariq Shahzad"/>
    <n v="3100000"/>
    <n v="24"/>
    <n v="0"/>
    <n v="4"/>
    <n v="0"/>
    <n v="28"/>
    <n v="0"/>
    <n v="0"/>
    <n v="28"/>
    <n v="0"/>
    <n v="28"/>
    <m/>
    <m/>
    <m/>
    <s v="AFSHEEN ISMAIL"/>
    <n v="6.77"/>
    <n v="6.77"/>
    <m/>
  </r>
  <r>
    <n v="1445"/>
    <x v="236"/>
    <x v="1073"/>
    <s v=" -"/>
    <s v=" MOTOR"/>
    <d v="2024-11-12T00:00:00"/>
    <d v="2024-01-11T00:00:00"/>
    <d v="2025-01-10T00:00:00"/>
    <s v=" 08809239"/>
    <s v="Mr. Muhammad Habibuddin Siddiqui_x000a_CNIC# 42201-3944769-9_x000a_CELL# 03312823364"/>
    <m/>
    <s v="TOYOTA COROLLA 1.3 XLI"/>
    <s v="BHH-154"/>
    <s v="Z476361"/>
    <s v="NZE170R-4103039"/>
    <s v="2017"/>
    <m/>
    <m/>
    <s v=" D"/>
    <s v="09000221-Muhammad Irfan"/>
    <n v="2350000"/>
    <n v="1482"/>
    <n v="15"/>
    <n v="222"/>
    <n v="0"/>
    <n v="1719"/>
    <n v="0"/>
    <n v="0"/>
    <n v="1719"/>
    <n v="0"/>
    <n v="1719"/>
    <m/>
    <m/>
    <m/>
    <s v="Maria Tauqeer Qazi"/>
    <n v="709.73"/>
    <n v="533.6"/>
    <m/>
  </r>
  <r>
    <n v="1446"/>
    <x v="236"/>
    <x v="1074"/>
    <s v=" -"/>
    <s v=" MOTOR"/>
    <d v="2024-12-13T00:00:00"/>
    <d v="2024-01-11T00:00:00"/>
    <d v="2025-01-10T00:00:00"/>
    <s v=" 08809239"/>
    <s v="Mr. Muhammad Habibuddin Siddiqui_x000a_CNIC# 42201-3944769-9_x000a_CELL# 03312823364"/>
    <m/>
    <s v="TOYOTA COROLLA 1.3 XLI"/>
    <s v="BHH-154"/>
    <s v="Z476361"/>
    <s v="NZE170R-4103039"/>
    <s v="2017"/>
    <m/>
    <m/>
    <s v=" D"/>
    <s v="09000221-Muhammad Irfan"/>
    <n v="2350000"/>
    <n v="1102"/>
    <n v="11"/>
    <n v="165"/>
    <n v="0"/>
    <n v="1278"/>
    <n v="0"/>
    <n v="0"/>
    <n v="1278"/>
    <n v="0"/>
    <n v="1278"/>
    <m/>
    <m/>
    <m/>
    <s v="Maria Tauqeer Qazi"/>
    <n v="428.59"/>
    <n v="396.81000000000006"/>
    <m/>
  </r>
  <r>
    <n v="1447"/>
    <x v="236"/>
    <x v="1075"/>
    <s v=" -"/>
    <s v=" MOTOR"/>
    <d v="2025-03-29T00:00:00"/>
    <d v="2024-01-11T00:00:00"/>
    <d v="2025-01-10T00:00:00"/>
    <s v=" 08809239"/>
    <s v="Mr. Muhammad Habibuddin Siddiqui_x000a_CNIC# 42201-3944769-9_x000a_CELL# 03312823364"/>
    <m/>
    <s v="TOYOTA COROLLA 1.3 XLI"/>
    <s v="BHH-154"/>
    <s v="Z476361"/>
    <s v="NZE170R-4103039"/>
    <s v="2017"/>
    <m/>
    <m/>
    <s v=" D"/>
    <s v="09000221-Muhammad Irfan"/>
    <n v="-1"/>
    <n v="-2971"/>
    <n v="-26"/>
    <n v="0"/>
    <n v="0"/>
    <n v="-2997"/>
    <n v="0"/>
    <n v="0"/>
    <n v="-2997"/>
    <n v="0"/>
    <n v="-2997"/>
    <m/>
    <m/>
    <m/>
    <s v="Maria Tauqeer Qazi"/>
    <m/>
    <m/>
    <m/>
  </r>
  <r>
    <n v="1448"/>
    <x v="237"/>
    <x v="24"/>
    <s v=" -"/>
    <s v=" MOTOR"/>
    <d v="2024-01-13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-1"/>
    <n v="0"/>
    <n v="0"/>
    <n v="0"/>
    <n v="50"/>
    <n v="50"/>
    <n v="0"/>
    <n v="0"/>
    <n v="50"/>
    <n v="0"/>
    <n v="50"/>
    <m/>
    <m/>
    <m/>
    <s v="Maria Tauqeer Qazi"/>
    <m/>
    <m/>
    <s v="asim.duraiz@yahoo.com"/>
  </r>
  <r>
    <n v="1449"/>
    <x v="237"/>
    <x v="1076"/>
    <s v=" -"/>
    <s v=" MOTOR"/>
    <d v="2024-02-14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419"/>
    <n v="4"/>
    <n v="55"/>
    <n v="0"/>
    <n v="478"/>
    <n v="0"/>
    <n v="0"/>
    <n v="478"/>
    <n v="0"/>
    <n v="478"/>
    <m/>
    <m/>
    <m/>
    <s v="Maria Tauqeer Qazi"/>
    <n v="111.59"/>
    <n v="74.659999999999982"/>
    <m/>
  </r>
  <r>
    <n v="1450"/>
    <x v="237"/>
    <x v="1077"/>
    <s v=" -"/>
    <s v=" MOTOR"/>
    <d v="2024-03-13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439"/>
    <n v="5"/>
    <n v="57"/>
    <n v="0"/>
    <n v="501"/>
    <n v="0"/>
    <n v="0"/>
    <n v="501"/>
    <n v="0"/>
    <n v="501"/>
    <m/>
    <m/>
    <m/>
    <s v="Maria Tauqeer Qazi"/>
    <m/>
    <m/>
    <m/>
  </r>
  <r>
    <n v="1451"/>
    <x v="237"/>
    <x v="1078"/>
    <s v=" -"/>
    <s v=" MOTOR"/>
    <d v="2024-03-14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440"/>
    <n v="4"/>
    <n v="57"/>
    <n v="0"/>
    <n v="501"/>
    <n v="0"/>
    <n v="0"/>
    <n v="501"/>
    <n v="0"/>
    <n v="501"/>
    <m/>
    <m/>
    <m/>
    <s v="Maria Tauqeer Qazi"/>
    <n v="100.16"/>
    <n v="78.33"/>
    <m/>
  </r>
  <r>
    <n v="1452"/>
    <x v="237"/>
    <x v="1079"/>
    <s v=" -"/>
    <s v=" MOTOR"/>
    <d v="2024-05-14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1"/>
    <n v="0"/>
    <n v="0"/>
    <n v="0"/>
    <n v="1"/>
    <n v="0"/>
    <n v="0"/>
    <n v="1"/>
    <n v="0"/>
    <n v="1"/>
    <m/>
    <m/>
    <m/>
    <s v="Maria Tauqeer Qazi"/>
    <n v="0.17"/>
    <n v="0.17"/>
    <m/>
  </r>
  <r>
    <n v="1453"/>
    <x v="237"/>
    <x v="1080"/>
    <s v=" -"/>
    <s v=" MOTOR"/>
    <d v="2024-06-13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387"/>
    <n v="4"/>
    <n v="50"/>
    <n v="0"/>
    <n v="441"/>
    <n v="0"/>
    <n v="0"/>
    <n v="441"/>
    <n v="0"/>
    <n v="441"/>
    <m/>
    <m/>
    <m/>
    <s v="Maria Tauqeer Qazi"/>
    <n v="74.480000000000089"/>
    <n v="68.89"/>
    <m/>
  </r>
  <r>
    <n v="1454"/>
    <x v="237"/>
    <x v="1081"/>
    <s v=" -"/>
    <s v=" MOTOR"/>
    <d v="2024-07-15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1787"/>
    <n v="18"/>
    <n v="268"/>
    <n v="0"/>
    <n v="2073"/>
    <n v="0"/>
    <n v="0"/>
    <n v="2073"/>
    <n v="0"/>
    <n v="2073"/>
    <m/>
    <m/>
    <m/>
    <s v="Maria Tauqeer Qazi"/>
    <n v="413.63"/>
    <n v="324.04000000000002"/>
    <m/>
  </r>
  <r>
    <n v="1455"/>
    <x v="237"/>
    <x v="1082"/>
    <s v=" -"/>
    <s v=" MOTOR"/>
    <d v="2024-08-13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4983"/>
    <n v="50"/>
    <n v="747"/>
    <n v="0"/>
    <n v="5780"/>
    <n v="0"/>
    <n v="0"/>
    <n v="5780"/>
    <n v="0"/>
    <n v="5780"/>
    <m/>
    <m/>
    <m/>
    <s v="Maria Tauqeer Qazi"/>
    <n v="1341.97"/>
    <n v="903.4100000000002"/>
    <m/>
  </r>
  <r>
    <n v="1456"/>
    <x v="237"/>
    <x v="1083"/>
    <s v=" -"/>
    <s v=" MOTOR"/>
    <d v="2024-09-20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485"/>
    <n v="5"/>
    <n v="73"/>
    <n v="0"/>
    <n v="563"/>
    <n v="505"/>
    <n v="0"/>
    <n v="58"/>
    <n v="0"/>
    <n v="58"/>
    <m/>
    <m/>
    <m/>
    <s v="Maria Tauqeer Qazi"/>
    <n v="118.56"/>
    <n v="88.11"/>
    <m/>
  </r>
  <r>
    <n v="1457"/>
    <x v="237"/>
    <x v="1084"/>
    <s v=" -"/>
    <s v=" MOTOR"/>
    <d v="2024-10-16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1151"/>
    <n v="12"/>
    <n v="173"/>
    <n v="0"/>
    <n v="1336"/>
    <n v="0"/>
    <n v="0"/>
    <n v="1336"/>
    <n v="0"/>
    <n v="1336"/>
    <m/>
    <m/>
    <m/>
    <s v="Maria Tauqeer Qazi"/>
    <n v="212.32"/>
    <n v="208.88"/>
    <m/>
  </r>
  <r>
    <n v="1458"/>
    <x v="237"/>
    <x v="1085"/>
    <s v=" -"/>
    <s v=" MOTOR"/>
    <d v="2024-11-14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5600000"/>
    <n v="3743"/>
    <n v="37"/>
    <n v="561"/>
    <n v="0"/>
    <n v="4341"/>
    <n v="0"/>
    <n v="0"/>
    <n v="4341"/>
    <n v="0"/>
    <n v="4341"/>
    <m/>
    <m/>
    <m/>
    <s v="Maria Tauqeer Qazi"/>
    <n v="967.0300000000002"/>
    <n v="678.33"/>
    <m/>
  </r>
  <r>
    <n v="1459"/>
    <x v="237"/>
    <x v="1086"/>
    <s v=" -"/>
    <s v=" MOTOR"/>
    <d v="2024-12-29T00:00:00"/>
    <d v="2024-01-13T00:00:00"/>
    <d v="2025-01-12T00:00:00"/>
    <s v=" 08804042"/>
    <s v="Mr. Yasar Sattar_x000a_CNIC# 91506-0139010-5_x000a_CELL# 03104166440"/>
    <m/>
    <s v="MG HS 1.5 T"/>
    <s v="AGK-572"/>
    <s v="3150636"/>
    <s v="063373"/>
    <s v="2021"/>
    <m/>
    <m/>
    <s v=" D"/>
    <s v="09000324-Smart PFM (Pvt.) Limited"/>
    <n v="-1"/>
    <n v="-15406"/>
    <n v="-154"/>
    <n v="0"/>
    <n v="0"/>
    <n v="-15560"/>
    <n v="0"/>
    <n v="0"/>
    <n v="-15560"/>
    <n v="0"/>
    <n v="-15560"/>
    <m/>
    <m/>
    <m/>
    <s v="Maria Tauqeer Qazi"/>
    <m/>
    <m/>
    <m/>
  </r>
  <r>
    <n v="1460"/>
    <x v="238"/>
    <x v="1087"/>
    <s v=" -"/>
    <s v=" MOTOR"/>
    <d v="2024-02-14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2939000"/>
    <n v="257"/>
    <n v="3"/>
    <n v="33"/>
    <n v="0"/>
    <n v="293"/>
    <n v="0"/>
    <n v="0"/>
    <n v="293"/>
    <n v="0"/>
    <n v="293"/>
    <m/>
    <m/>
    <m/>
    <s v="Maria Tauqeer Qazi"/>
    <m/>
    <m/>
    <m/>
  </r>
  <r>
    <n v="1461"/>
    <x v="238"/>
    <x v="1088"/>
    <s v=" -"/>
    <s v=" MOTOR"/>
    <d v="2024-02-15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2939000"/>
    <n v="257"/>
    <n v="2"/>
    <n v="34"/>
    <n v="0"/>
    <n v="293"/>
    <n v="0"/>
    <n v="0"/>
    <n v="293"/>
    <n v="0"/>
    <n v="293"/>
    <m/>
    <m/>
    <m/>
    <s v="Maria Tauqeer Qazi"/>
    <n v="100.2"/>
    <n v="93.680000000000092"/>
    <m/>
  </r>
  <r>
    <n v="1462"/>
    <x v="238"/>
    <x v="1089"/>
    <s v=" -"/>
    <s v=" MOTOR"/>
    <d v="2024-04-14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961000"/>
    <n v="582"/>
    <n v="6"/>
    <n v="75"/>
    <n v="0"/>
    <n v="663"/>
    <n v="0"/>
    <n v="0"/>
    <n v="663"/>
    <n v="0"/>
    <n v="663"/>
    <m/>
    <m/>
    <m/>
    <s v="Maria Tauqeer Qazi"/>
    <n v="914.55999999999813"/>
    <n v="648.05000000000007"/>
    <m/>
  </r>
  <r>
    <n v="1463"/>
    <x v="238"/>
    <x v="1090"/>
    <s v=" -"/>
    <s v=" MOTOR"/>
    <d v="2024-05-14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961000"/>
    <n v="357"/>
    <n v="4"/>
    <n v="47"/>
    <n v="0"/>
    <n v="408"/>
    <n v="0"/>
    <n v="0"/>
    <n v="408"/>
    <n v="0"/>
    <n v="408"/>
    <m/>
    <m/>
    <m/>
    <s v="Maria Tauqeer Qazi"/>
    <n v="539.030000000001"/>
    <n v="398.75"/>
    <m/>
  </r>
  <r>
    <n v="1464"/>
    <x v="238"/>
    <x v="1091"/>
    <s v=" -"/>
    <s v=" MOTOR"/>
    <d v="2024-07-15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961000"/>
    <n v="965"/>
    <n v="10"/>
    <n v="145"/>
    <n v="0"/>
    <n v="1120"/>
    <n v="0"/>
    <n v="0"/>
    <n v="1120"/>
    <n v="0"/>
    <n v="1120"/>
    <m/>
    <m/>
    <m/>
    <s v="Maria Tauqeer Qazi"/>
    <n v="1307.920000000001"/>
    <n v="1094.3"/>
    <m/>
  </r>
  <r>
    <n v="1465"/>
    <x v="238"/>
    <x v="1092"/>
    <s v=" -"/>
    <s v=" MOTOR"/>
    <d v="2024-08-16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961000"/>
    <n v="810"/>
    <n v="8"/>
    <n v="121"/>
    <n v="0"/>
    <n v="939"/>
    <n v="0"/>
    <n v="0"/>
    <n v="939"/>
    <n v="0"/>
    <n v="939"/>
    <m/>
    <m/>
    <m/>
    <s v="Maria Tauqeer Qazi"/>
    <n v="1134.74"/>
    <n v="916.61000000000104"/>
    <m/>
  </r>
  <r>
    <n v="1466"/>
    <x v="238"/>
    <x v="1093"/>
    <s v=" -"/>
    <s v=" MOTOR"/>
    <d v="2024-09-20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961000"/>
    <n v="958"/>
    <n v="10"/>
    <n v="144"/>
    <n v="0"/>
    <n v="1112"/>
    <n v="0"/>
    <n v="0"/>
    <n v="1112"/>
    <n v="0"/>
    <n v="1112"/>
    <m/>
    <m/>
    <m/>
    <s v="Maria Tauqeer Qazi"/>
    <n v="1323.8700000000013"/>
    <n v="1088.44"/>
    <m/>
  </r>
  <r>
    <n v="1467"/>
    <x v="238"/>
    <x v="1094"/>
    <s v=" -"/>
    <s v=" MOTOR"/>
    <d v="2024-10-17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961000"/>
    <n v="660"/>
    <n v="7"/>
    <n v="99"/>
    <n v="0"/>
    <n v="766"/>
    <n v="0"/>
    <n v="0"/>
    <n v="766"/>
    <n v="0"/>
    <n v="766"/>
    <m/>
    <m/>
    <m/>
    <s v="Maria Tauqeer Qazi"/>
    <n v="880.26000000000101"/>
    <n v="749.00000000000102"/>
    <m/>
  </r>
  <r>
    <n v="1468"/>
    <x v="238"/>
    <x v="1095"/>
    <s v=" -"/>
    <s v=" MOTOR"/>
    <d v="2024-11-15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961000"/>
    <n v="1036"/>
    <n v="10"/>
    <n v="155"/>
    <n v="0"/>
    <n v="1201"/>
    <n v="0"/>
    <n v="0"/>
    <n v="1201"/>
    <n v="0"/>
    <n v="1201"/>
    <m/>
    <m/>
    <m/>
    <s v="Maria Tauqeer Qazi"/>
    <n v="1445.9400000000021"/>
    <n v="1175.6100000000001"/>
    <m/>
  </r>
  <r>
    <n v="1469"/>
    <x v="238"/>
    <x v="1096"/>
    <s v=" -"/>
    <s v=" MOTOR"/>
    <d v="2024-12-16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961000"/>
    <n v="913"/>
    <n v="9"/>
    <n v="137"/>
    <n v="0"/>
    <n v="1059"/>
    <n v="0"/>
    <n v="0"/>
    <n v="1059"/>
    <n v="0"/>
    <n v="1059"/>
    <m/>
    <m/>
    <m/>
    <s v="Maria Tauqeer Qazi"/>
    <n v="1316.2700000000009"/>
    <n v="1033.6500000000001"/>
    <m/>
  </r>
  <r>
    <n v="1470"/>
    <x v="238"/>
    <x v="1097"/>
    <s v=" -"/>
    <s v=" MOTOR"/>
    <d v="2024-12-29T00:00:00"/>
    <d v="2024-01-14T00:00:00"/>
    <d v="2025-01-13T00:00:00"/>
    <s v=" 08804527"/>
    <s v="Mr. Muhammad Farhan Hasan_x000a_CNIC# 42501-3367883-9_x000a_CELL# 0334-3185334"/>
    <m/>
    <s v="CHANGAN ALSVIN LUMEIRE"/>
    <s v="BVR-120"/>
    <s v="JL473QFM3CAD528611"/>
    <s v="NKMA2ASE5M1005811"/>
    <s v="2022"/>
    <m/>
    <m/>
    <s v=" D"/>
    <s v="09000221-Muhammad Irfan"/>
    <n v="-1"/>
    <n v="-7776"/>
    <n v="-78"/>
    <n v="0"/>
    <n v="0"/>
    <n v="-7854"/>
    <n v="0"/>
    <n v="0"/>
    <n v="-7854"/>
    <n v="0"/>
    <n v="-7854"/>
    <m/>
    <m/>
    <m/>
    <s v="Maria Tauqeer Qazi"/>
    <m/>
    <m/>
    <m/>
  </r>
  <r>
    <n v="1471"/>
    <x v="239"/>
    <x v="1098"/>
    <s v=" -"/>
    <s v=" MOTOR"/>
    <d v="2024-06-20T00:00:00"/>
    <d v="2024-01-16T00:00:00"/>
    <d v="2025-01-15T00:00:00"/>
    <s v=" 08806057"/>
    <s v="Mr. Imran Iqbal_x000a_CNIC# 35201-9409668-7_x000a_CELL# 03008472867"/>
    <m/>
    <s v="HONDA HRV-S"/>
    <s v="ANB-840"/>
    <s v="L15ZG1000771"/>
    <s v="NFBRV3859NR000778"/>
    <s v="2023"/>
    <s v="35201-9409668-7"/>
    <m/>
    <s v=" D"/>
    <s v="09000221-Muhammad Irfan"/>
    <n v="6200000"/>
    <n v="7831"/>
    <n v="78"/>
    <n v="1018"/>
    <n v="0"/>
    <n v="8927"/>
    <n v="0"/>
    <n v="0"/>
    <n v="8927"/>
    <n v="0"/>
    <n v="8927"/>
    <m/>
    <m/>
    <m/>
    <s v="Maria Tauqeer Qazi"/>
    <n v="2622.0500000000011"/>
    <n v="1051.8900000000001"/>
    <m/>
  </r>
  <r>
    <n v="1472"/>
    <x v="239"/>
    <x v="1099"/>
    <s v=" -"/>
    <s v=" MOTOR"/>
    <d v="2024-06-20T00:00:00"/>
    <d v="2024-01-16T00:00:00"/>
    <d v="2025-01-15T00:00:00"/>
    <s v=" 08806057"/>
    <s v="Mr. Imran Iqbal_x000a_CNIC# 35201-9409668-7_x000a_CELL# 03008472867"/>
    <m/>
    <s v="HONDA HRV-S"/>
    <s v="ANB-840"/>
    <s v="L15ZG1000771"/>
    <s v="NFBRV3859NR000778"/>
    <s v="2023"/>
    <s v="35201-9409668-7"/>
    <m/>
    <s v=" D"/>
    <s v="09000221-Muhammad Irfan"/>
    <n v="6200000"/>
    <n v="689"/>
    <n v="7"/>
    <n v="89"/>
    <n v="0"/>
    <n v="785"/>
    <n v="0"/>
    <n v="0"/>
    <n v="785"/>
    <n v="0"/>
    <n v="785"/>
    <m/>
    <m/>
    <m/>
    <s v="Maria Tauqeer Qazi"/>
    <n v="92.41"/>
    <n v="92.41"/>
    <m/>
  </r>
  <r>
    <n v="1473"/>
    <x v="239"/>
    <x v="1100"/>
    <s v=" -"/>
    <s v=" MOTOR"/>
    <d v="2024-07-19T00:00:00"/>
    <d v="2024-01-16T00:00:00"/>
    <d v="2025-01-15T00:00:00"/>
    <s v=" 08806057"/>
    <s v="Mr. Imran Iqbal_x000a_CNIC# 35201-9409668-7_x000a_CELL# 03008472867"/>
    <m/>
    <s v="HONDA HRV-S"/>
    <s v="ANB-840"/>
    <s v="L15ZG1000771"/>
    <s v="NFBRV3859NR000778"/>
    <s v="2023"/>
    <s v="35201-9409668-7"/>
    <m/>
    <s v=" D"/>
    <s v="09000221-Muhammad Irfan"/>
    <n v="6200000"/>
    <n v="734"/>
    <n v="7"/>
    <n v="110"/>
    <n v="0"/>
    <n v="851"/>
    <n v="0"/>
    <n v="0"/>
    <n v="851"/>
    <n v="0"/>
    <n v="851"/>
    <m/>
    <m/>
    <m/>
    <s v="Maria Tauqeer Qazi"/>
    <n v="192.11"/>
    <n v="100.25"/>
    <m/>
  </r>
  <r>
    <n v="1474"/>
    <x v="239"/>
    <x v="1101"/>
    <s v=" -"/>
    <s v=" MOTOR"/>
    <d v="2025-03-29T00:00:00"/>
    <d v="2024-01-16T00:00:00"/>
    <d v="2025-01-15T00:00:00"/>
    <s v=" 08806057"/>
    <s v="Mr. Imran Iqbal_x000a_CNIC# 35201-9409668-7_x000a_CELL# 03008472867"/>
    <m/>
    <s v="HONDA HRV-S"/>
    <s v="ANB-840"/>
    <s v="L15ZG1000771"/>
    <s v="NFBRV3859NR000778"/>
    <s v="2023"/>
    <s v="35201-9409668-7"/>
    <m/>
    <s v=" D"/>
    <s v="09000221-Muhammad Irfan"/>
    <n v="-1"/>
    <n v="-10470"/>
    <n v="-93"/>
    <n v="0"/>
    <n v="0"/>
    <n v="-10563"/>
    <n v="0"/>
    <n v="0"/>
    <n v="-10563"/>
    <n v="0"/>
    <n v="-10563"/>
    <m/>
    <m/>
    <m/>
    <s v="Maria Tauqeer Qazi"/>
    <m/>
    <m/>
    <m/>
  </r>
  <r>
    <n v="1487"/>
    <x v="240"/>
    <x v="1102"/>
    <s v=" -"/>
    <s v=" MOTOR"/>
    <d v="2024-10-21T00:00:00"/>
    <d v="2024-01-16T00:00:00"/>
    <d v="2025-01-15T00:00:00"/>
    <s v=" 08815509"/>
    <s v="Mr. Hassan Karamat _x000a_CNIC: 3520280235597_x000a_Cell: 03444582402"/>
    <m/>
    <s v="SUZUKI ALTO VXR"/>
    <s v="AJD-239"/>
    <s v="6R207556"/>
    <s v="NF1AET306H1107570"/>
    <s v="2022"/>
    <m/>
    <m/>
    <s v=" D"/>
    <s v="09000210-Tariq Shahzad"/>
    <n v="2400000"/>
    <n v="1586"/>
    <n v="16"/>
    <n v="238"/>
    <n v="0"/>
    <n v="1840"/>
    <n v="0"/>
    <n v="0"/>
    <n v="1840"/>
    <n v="0"/>
    <n v="1840"/>
    <m/>
    <m/>
    <m/>
    <s v="AFSHEEN ISMAIL"/>
    <n v="583.6700000000011"/>
    <n v="559.99"/>
    <m/>
  </r>
  <r>
    <n v="1488"/>
    <x v="240"/>
    <x v="1103"/>
    <s v=" -"/>
    <s v=" MOTOR"/>
    <d v="2024-11-18T00:00:00"/>
    <d v="2024-01-16T00:00:00"/>
    <d v="2025-01-15T00:00:00"/>
    <s v=" 08815509"/>
    <s v="Mr. Hassan Karamat _x000a_CNIC: 3520280235597_x000a_Cell: 03444582402"/>
    <m/>
    <s v="SUZUKI ALTO VXR"/>
    <s v="AJD-239"/>
    <s v="6R207556"/>
    <s v="NF1AET306H1107570"/>
    <s v="2022"/>
    <m/>
    <m/>
    <s v=" D"/>
    <s v="09000210-Tariq Shahzad"/>
    <n v="2400000"/>
    <n v="2572"/>
    <n v="26"/>
    <n v="386"/>
    <n v="0"/>
    <n v="2984"/>
    <n v="0"/>
    <n v="0"/>
    <n v="2984"/>
    <n v="0"/>
    <n v="2984"/>
    <m/>
    <m/>
    <m/>
    <s v="AFSHEEN ISMAIL"/>
    <n v="1843.9700000000321"/>
    <n v="907.33"/>
    <m/>
  </r>
  <r>
    <n v="1489"/>
    <x v="240"/>
    <x v="1104"/>
    <s v=" -"/>
    <s v=" MOTOR"/>
    <d v="2024-12-17T00:00:00"/>
    <d v="2024-01-16T00:00:00"/>
    <d v="2025-01-15T00:00:00"/>
    <s v=" 08815509"/>
    <s v="Mr. Hassan Karamat _x000a_CNIC: 3520280235597_x000a_Cell: 03444582402"/>
    <m/>
    <s v="SUZUKI ALTO VXR"/>
    <s v="AJD-239"/>
    <s v="6R207556"/>
    <s v="NF1AET306H1107570"/>
    <s v="2022"/>
    <m/>
    <m/>
    <s v=" D"/>
    <s v="09000210-Tariq Shahzad"/>
    <n v="2400000"/>
    <n v="1714"/>
    <n v="17"/>
    <n v="257"/>
    <n v="0"/>
    <n v="1988"/>
    <n v="0"/>
    <n v="0"/>
    <n v="1988"/>
    <n v="0"/>
    <n v="1988"/>
    <m/>
    <m/>
    <m/>
    <s v="AFSHEEN ISMAIL"/>
    <n v="639.35000000000105"/>
    <n v="604.9"/>
    <m/>
  </r>
  <r>
    <n v="1490"/>
    <x v="240"/>
    <x v="1105"/>
    <s v=" -"/>
    <s v=" MOTOR"/>
    <d v="2025-03-29T00:00:00"/>
    <d v="2024-01-16T00:00:00"/>
    <d v="2025-01-15T00:00:00"/>
    <s v=" 08815509"/>
    <s v="Mr. Hassan Karamat _x000a_CNIC: 3520280235597_x000a_Cell: 03444582402"/>
    <m/>
    <s v="SUZUKI ALTO VXR"/>
    <s v="AJD-239"/>
    <s v="6R207556"/>
    <s v="NF1AET306H1107570"/>
    <s v="2022"/>
    <m/>
    <m/>
    <s v=" D"/>
    <s v="09000210-Tariq Shahzad"/>
    <n v="-1"/>
    <n v="-6752"/>
    <n v="-60"/>
    <n v="0"/>
    <n v="0"/>
    <n v="-6812"/>
    <n v="0"/>
    <n v="0"/>
    <n v="-6812"/>
    <n v="0"/>
    <n v="-6812"/>
    <m/>
    <m/>
    <m/>
    <s v="AFSHEEN ISMAIL"/>
    <m/>
    <m/>
    <m/>
  </r>
  <r>
    <n v="1496"/>
    <x v="241"/>
    <x v="1106"/>
    <s v=" -"/>
    <s v=" MOTOR"/>
    <d v="2024-04-18T00:00:00"/>
    <d v="2024-01-17T00:00:00"/>
    <d v="2025-01-16T00:00:00"/>
    <s v=" 08809379"/>
    <s v="Mr. Jawad Zafar_x000a_CNIC# 35202-3384505-5_x000a_CELL# 0345-4268798"/>
    <m/>
    <s v="MAZDA SCRUM"/>
    <s v="LED-18-1689"/>
    <s v="K6A8975264"/>
    <s v="DG64V531345"/>
    <s v="2012"/>
    <s v="35202-3384505-5"/>
    <m/>
    <s v=" D"/>
    <s v="09000221-Muhammad Irfan"/>
    <n v="8000000"/>
    <n v="6668"/>
    <n v="67"/>
    <n v="866"/>
    <n v="0"/>
    <n v="7601"/>
    <n v="0"/>
    <n v="0"/>
    <n v="7601"/>
    <n v="0"/>
    <n v="7601"/>
    <m/>
    <m/>
    <m/>
    <s v="Maria Tauqeer Qazi"/>
    <n v="1540.299999999999"/>
    <n v="839.97"/>
    <m/>
  </r>
  <r>
    <n v="1497"/>
    <x v="241"/>
    <x v="1107"/>
    <s v=" -"/>
    <s v=" MOTOR"/>
    <d v="2024-05-17T00:00:00"/>
    <d v="2024-01-17T00:00:00"/>
    <d v="2025-01-16T00:00:00"/>
    <s v=" 08809379"/>
    <s v="Mr. Jawad Zafar_x000a_CNIC# 35202-3384505-5_x000a_CELL# 0345-4268798"/>
    <m/>
    <s v="MAZDA SCRUM"/>
    <s v="LED-18-1689"/>
    <s v="K6A8975264"/>
    <s v="DG64V531345"/>
    <s v="2012"/>
    <s v="35202-3384505-5"/>
    <m/>
    <s v=" D"/>
    <s v="09000221-Muhammad Irfan"/>
    <n v="8000000"/>
    <n v="4117"/>
    <n v="41"/>
    <n v="536"/>
    <n v="0"/>
    <n v="4694"/>
    <n v="0"/>
    <n v="0"/>
    <n v="4694"/>
    <n v="0"/>
    <n v="4694"/>
    <m/>
    <m/>
    <m/>
    <s v="Maria Tauqeer Qazi"/>
    <n v="490.50000000000102"/>
    <n v="428.31"/>
    <m/>
  </r>
  <r>
    <n v="1498"/>
    <x v="241"/>
    <x v="1108"/>
    <s v=" -"/>
    <s v=" MOTOR"/>
    <d v="2024-08-21T00:00:00"/>
    <d v="2024-01-17T00:00:00"/>
    <d v="2025-01-16T00:00:00"/>
    <s v=" 08809379"/>
    <s v="Mr. Jawad Zafar_x000a_CNIC# 35202-3384505-5_x000a_CELL# 0345-4268798"/>
    <m/>
    <s v="MAZDA SCRUM"/>
    <s v="LED-18-1689"/>
    <s v="K6A8975264"/>
    <s v="DG64V531345"/>
    <s v="2012"/>
    <s v="35202-3384505-5"/>
    <m/>
    <s v=" D"/>
    <s v="09000221-Muhammad Irfan"/>
    <n v="-7400000"/>
    <n v="722"/>
    <n v="7"/>
    <n v="108"/>
    <n v="0"/>
    <n v="837"/>
    <n v="0"/>
    <n v="0"/>
    <n v="837"/>
    <n v="0"/>
    <n v="837"/>
    <m/>
    <m/>
    <m/>
    <s v="Maria Tauqeer Qazi"/>
    <n v="400.61000000000104"/>
    <n v="305.64"/>
    <m/>
  </r>
  <r>
    <n v="1499"/>
    <x v="241"/>
    <x v="1109"/>
    <s v=" -"/>
    <s v=" MOTOR"/>
    <d v="2024-12-29T00:00:00"/>
    <d v="2024-01-17T00:00:00"/>
    <d v="2025-01-16T00:00:00"/>
    <s v=" 08809379"/>
    <s v="Mr. Jawad Zafar_x000a_CNIC# 35202-3384505-5_x000a_CELL# 0345-4268798"/>
    <m/>
    <s v="MAZDA SCRUM"/>
    <s v="LED-18-1689"/>
    <s v="K6A8975264"/>
    <s v="DG64V531345"/>
    <s v="2012"/>
    <s v="35202-3384505-5"/>
    <m/>
    <s v=" D"/>
    <s v="09000221-Muhammad Irfan"/>
    <n v="-1"/>
    <n v="-13002"/>
    <n v="-130"/>
    <n v="0"/>
    <n v="0"/>
    <n v="-13132"/>
    <n v="0"/>
    <n v="0"/>
    <n v="-13132"/>
    <n v="0"/>
    <n v="-13132"/>
    <m/>
    <m/>
    <m/>
    <s v="Maria Tauqeer Qazi"/>
    <m/>
    <m/>
    <m/>
  </r>
  <r>
    <n v="1500"/>
    <x v="242"/>
    <x v="1110"/>
    <s v=" -"/>
    <s v=" MOTOR"/>
    <d v="2024-09-26T00:00:00"/>
    <d v="2024-01-18T00:00:00"/>
    <d v="2025-01-17T00:00:00"/>
    <s v=" 08809293"/>
    <s v="Mr. Abdul Nasir_x000a_CNIC# 35202-2771672-1_x000a_CELL# 03075629688"/>
    <m/>
    <s v="HONDA CITY I-VTEC CVT 1.5"/>
    <s v="AJZ-987"/>
    <s v="L15Z81006580"/>
    <s v="NFBGN964XNR016850"/>
    <s v="2022"/>
    <s v="35202-2771672-1"/>
    <m/>
    <s v=" D"/>
    <s v="09000221-Muhammad Irfan"/>
    <n v="4200000"/>
    <n v="1543"/>
    <n v="15"/>
    <n v="231"/>
    <n v="0"/>
    <n v="1789"/>
    <n v="0"/>
    <n v="0"/>
    <n v="1789"/>
    <n v="0"/>
    <n v="1789"/>
    <m/>
    <m/>
    <m/>
    <s v="Maria Tauqeer Qazi"/>
    <n v="1308.989999999982"/>
    <n v="311.31"/>
    <m/>
  </r>
  <r>
    <n v="1501"/>
    <x v="242"/>
    <x v="1111"/>
    <s v=" -"/>
    <s v=" MOTOR"/>
    <d v="2024-10-21T00:00:00"/>
    <d v="2024-01-18T00:00:00"/>
    <d v="2025-01-17T00:00:00"/>
    <s v=" 08809293"/>
    <s v="Mr. Abdul Nasir_x000a_CNIC# 35202-2771672-1_x000a_CELL# 03075629688"/>
    <m/>
    <s v="HONDA CITY I-VTEC CVT 1.5"/>
    <s v="AJZ-987"/>
    <s v="L15Z81006580"/>
    <s v="NFBGN964XNR016850"/>
    <s v="2022"/>
    <s v="35202-2771672-1"/>
    <m/>
    <s v=" D"/>
    <s v="09000221-Muhammad Irfan"/>
    <n v="4200000"/>
    <n v="143"/>
    <n v="1"/>
    <n v="21"/>
    <n v="0"/>
    <n v="165"/>
    <n v="0"/>
    <n v="0"/>
    <n v="165"/>
    <n v="0"/>
    <n v="165"/>
    <m/>
    <m/>
    <m/>
    <s v="Maria Tauqeer Qazi"/>
    <n v="28.63999999999999"/>
    <n v="28.63999999999999"/>
    <m/>
  </r>
  <r>
    <n v="1502"/>
    <x v="242"/>
    <x v="1112"/>
    <s v=" -"/>
    <s v=" MOTOR"/>
    <d v="2024-11-19T00:00:00"/>
    <d v="2024-01-18T00:00:00"/>
    <d v="2025-01-17T00:00:00"/>
    <s v=" 08809293"/>
    <s v="Mr. Abdul Nasir_x000a_CNIC# 35202-2771672-1_x000a_CELL# 03075629688"/>
    <m/>
    <s v="HONDA CITY I-VTEC CVT 1.5"/>
    <s v="AJZ-987"/>
    <s v="L15Z81006580"/>
    <s v="NFBGN964XNR016850"/>
    <s v="2022"/>
    <s v="35202-2771672-1"/>
    <m/>
    <s v=" D"/>
    <s v="09000221-Muhammad Irfan"/>
    <n v="4200000"/>
    <n v="3103"/>
    <n v="31"/>
    <n v="465"/>
    <n v="0"/>
    <n v="3599"/>
    <n v="0"/>
    <n v="0"/>
    <n v="3599"/>
    <n v="0"/>
    <n v="3599"/>
    <m/>
    <m/>
    <m/>
    <s v="Maria Tauqeer Qazi"/>
    <n v="1095.2899999999991"/>
    <n v="625.14"/>
    <m/>
  </r>
  <r>
    <n v="1503"/>
    <x v="242"/>
    <x v="1113"/>
    <s v=" -"/>
    <s v=" MOTOR"/>
    <d v="2024-12-19T00:00:00"/>
    <d v="2024-01-18T00:00:00"/>
    <d v="2025-01-17T00:00:00"/>
    <s v=" 08809293"/>
    <s v="Mr. Abdul Nasir_x000a_CNIC# 35202-2771672-1_x000a_CELL# 03075629688"/>
    <m/>
    <s v="HONDA CITY I-VTEC CVT 1.5"/>
    <s v="AJZ-987"/>
    <s v="L15Z81006580"/>
    <s v="NFBGN964XNR016850"/>
    <s v="2022"/>
    <s v="35202-2771672-1"/>
    <m/>
    <s v=" D"/>
    <s v="09000221-Muhammad Irfan"/>
    <n v="4200000"/>
    <n v="2704"/>
    <n v="27"/>
    <n v="406"/>
    <n v="0"/>
    <n v="3137"/>
    <n v="0"/>
    <n v="0"/>
    <n v="3137"/>
    <n v="0"/>
    <n v="3137"/>
    <m/>
    <m/>
    <m/>
    <s v="Maria Tauqeer Qazi"/>
    <n v="908.07999999999902"/>
    <n v="545.26"/>
    <m/>
  </r>
  <r>
    <n v="1504"/>
    <x v="242"/>
    <x v="1114"/>
    <s v=" -"/>
    <s v=" MOTOR"/>
    <d v="2024-12-29T00:00:00"/>
    <d v="2024-01-18T00:00:00"/>
    <d v="2025-01-17T00:00:00"/>
    <s v=" 08809293"/>
    <s v="Mr. Abdul Nasir_x000a_CNIC# 35202-2771672-1_x000a_CELL# 03075629688"/>
    <m/>
    <s v="HONDA CITY I-VTEC CVT 1.5"/>
    <s v="AJZ-987"/>
    <s v="L15Z81006580"/>
    <s v="NFBGN964XNR016850"/>
    <s v="2022"/>
    <s v="35202-2771672-1"/>
    <m/>
    <s v=" D"/>
    <s v="09000221-Muhammad Irfan"/>
    <n v="-1"/>
    <n v="-8604"/>
    <n v="-86"/>
    <n v="0"/>
    <n v="0"/>
    <n v="-8690"/>
    <n v="0"/>
    <n v="0"/>
    <n v="-8690"/>
    <n v="0"/>
    <n v="-8690"/>
    <m/>
    <m/>
    <m/>
    <s v="Maria Tauqeer Qazi"/>
    <m/>
    <m/>
    <m/>
  </r>
  <r>
    <n v="1505"/>
    <x v="243"/>
    <x v="1115"/>
    <s v=" -"/>
    <s v=" MOTOR"/>
    <d v="2024-06-20T00:00:00"/>
    <d v="2024-01-19T00:00:00"/>
    <d v="2025-01-18T00:00:00"/>
    <s v=" 08809349"/>
    <s v="Mr. Imdad Ali Jokhio_x000a_CNIC# 4130638713667_x000a_CELL# 03333888456"/>
    <m/>
    <s v="TOYOTA YARIS ATIV X 1.5 A"/>
    <s v="BAY-980"/>
    <s v="2A02389"/>
    <s v="NSP151R-9501524"/>
    <s v="2020"/>
    <s v="41306-3871366-7"/>
    <m/>
    <s v=" D"/>
    <s v="09000221-Muhammad Irfan"/>
    <n v="3500000"/>
    <n v="3033"/>
    <n v="31"/>
    <n v="394"/>
    <n v="0"/>
    <n v="3458"/>
    <n v="0"/>
    <n v="0"/>
    <n v="3458"/>
    <n v="0"/>
    <n v="3458"/>
    <m/>
    <m/>
    <m/>
    <s v="Maria Tauqeer Qazi"/>
    <n v="1320.709999999998"/>
    <n v="721.2"/>
    <m/>
  </r>
  <r>
    <n v="1506"/>
    <x v="243"/>
    <x v="1116"/>
    <s v=" -"/>
    <s v=" MOTOR"/>
    <d v="2024-10-31T00:00:00"/>
    <d v="2024-01-19T00:00:00"/>
    <d v="2025-01-18T00:00:00"/>
    <s v=" 08809349"/>
    <s v="Mr. Imdad Ali Jokhio_x000a_CNIC# 4130638713667_x000a_CELL# 03333888456"/>
    <m/>
    <s v="TOYOTA YARIS ATIV X 1.5 A"/>
    <s v="BAY-980"/>
    <s v="2A02389"/>
    <s v="NSP151R-9501524"/>
    <s v="2020"/>
    <s v="41306-3871366-7"/>
    <m/>
    <s v=" D"/>
    <s v="09000221-Muhammad Irfan"/>
    <n v="-1"/>
    <n v="-3424"/>
    <n v="-34"/>
    <n v="0"/>
    <n v="0"/>
    <n v="-3458"/>
    <n v="0"/>
    <n v="0"/>
    <n v="-3458"/>
    <n v="0"/>
    <n v="-3458"/>
    <m/>
    <m/>
    <m/>
    <s v="Maria Tauqeer Qazi"/>
    <m/>
    <m/>
    <m/>
  </r>
  <r>
    <n v="1507"/>
    <x v="244"/>
    <x v="1117"/>
    <s v=" -"/>
    <s v=" MOTOR"/>
    <d v="2024-12-23T00:00:00"/>
    <d v="2024-01-20T00:00:00"/>
    <d v="2025-01-19T00:00:00"/>
    <s v=" 08809372"/>
    <s v="Ms. Kanza Abdul Haleem_x000a_CNIC# 42301-8403072-8_x000a_CELL# 03212066940 ? 03212381224"/>
    <m/>
    <s v="TOYOTA AQUA"/>
    <s v="BLJ-416"/>
    <s v="1NZ-7483303"/>
    <s v="NHP10-6392083"/>
    <s v="2015"/>
    <s v="42301-8403072-8"/>
    <m/>
    <s v=" D"/>
    <s v="09000221-Muhammad Irfan"/>
    <n v="3500000"/>
    <n v="3697"/>
    <n v="37"/>
    <n v="554"/>
    <n v="0"/>
    <n v="4288"/>
    <n v="0"/>
    <n v="0"/>
    <n v="4288"/>
    <n v="0"/>
    <n v="4288"/>
    <m/>
    <m/>
    <m/>
    <s v="Maria Tauqeer Qazi"/>
    <n v="1133.77"/>
    <n v="893.84"/>
    <m/>
  </r>
  <r>
    <n v="1508"/>
    <x v="244"/>
    <x v="1118"/>
    <s v=" -"/>
    <s v=" MOTOR"/>
    <d v="2024-12-29T00:00:00"/>
    <d v="2024-01-20T00:00:00"/>
    <d v="2025-01-19T00:00:00"/>
    <s v=" 08809372"/>
    <s v="Ms. Kanza Abdul Haleem_x000a_CNIC# 42301-8403072-8_x000a_CELL# 03212066940 ? 03212381224"/>
    <m/>
    <s v="TOYOTA AQUA"/>
    <s v="BLJ-416"/>
    <s v="1NZ-7483303"/>
    <s v="NHP10-6392083"/>
    <s v="2015"/>
    <s v="42301-8403072-8"/>
    <m/>
    <s v=" D"/>
    <s v="09000221-Muhammad Irfan"/>
    <n v="-1"/>
    <n v="-4246"/>
    <n v="-42"/>
    <n v="0"/>
    <n v="0"/>
    <n v="-4288"/>
    <n v="0"/>
    <n v="0"/>
    <n v="-4288"/>
    <n v="0"/>
    <n v="-4288"/>
    <m/>
    <m/>
    <m/>
    <s v="Maria Tauqeer Qazi"/>
    <m/>
    <m/>
    <m/>
  </r>
  <r>
    <n v="1512"/>
    <x v="245"/>
    <x v="1119"/>
    <s v=" -"/>
    <s v=" MOTOR"/>
    <d v="2024-03-25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9000000"/>
    <n v="5951"/>
    <n v="59"/>
    <n v="774"/>
    <n v="0"/>
    <n v="6784"/>
    <n v="0"/>
    <n v="0"/>
    <n v="6784"/>
    <n v="0"/>
    <n v="6784"/>
    <m/>
    <m/>
    <m/>
    <s v="AFSHEEN ISMAIL"/>
    <n v="2642.9299999999985"/>
    <n v="550.04999999999995"/>
    <m/>
  </r>
  <r>
    <n v="1513"/>
    <x v="245"/>
    <x v="1120"/>
    <s v=" -"/>
    <s v=" MOTOR"/>
    <d v="2024-04-24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9000000"/>
    <n v="2969"/>
    <n v="30"/>
    <n v="386"/>
    <n v="0"/>
    <n v="3385"/>
    <n v="0"/>
    <n v="0"/>
    <n v="3385"/>
    <n v="0"/>
    <n v="3385"/>
    <m/>
    <m/>
    <m/>
    <s v="AFSHEEN ISMAIL"/>
    <n v="326.60000000000002"/>
    <n v="274.64"/>
    <m/>
  </r>
  <r>
    <n v="1514"/>
    <x v="245"/>
    <x v="1121"/>
    <s v=" -"/>
    <s v=" MOTOR"/>
    <d v="2024-05-24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9000000"/>
    <n v="2010"/>
    <n v="20"/>
    <n v="261"/>
    <n v="0"/>
    <n v="2291"/>
    <n v="0"/>
    <n v="0"/>
    <n v="2291"/>
    <n v="0"/>
    <n v="2291"/>
    <m/>
    <m/>
    <m/>
    <s v="AFSHEEN ISMAIL"/>
    <n v="189.73"/>
    <n v="185.77"/>
    <m/>
  </r>
  <r>
    <n v="1515"/>
    <x v="245"/>
    <x v="1122"/>
    <s v=" -"/>
    <s v=" MOTOR"/>
    <d v="2024-06-25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9000000"/>
    <n v="947"/>
    <n v="10"/>
    <n v="123"/>
    <n v="0"/>
    <n v="1080"/>
    <n v="0"/>
    <n v="0"/>
    <n v="1080"/>
    <n v="0"/>
    <n v="1080"/>
    <m/>
    <m/>
    <m/>
    <s v="AFSHEEN ISMAIL"/>
    <n v="192.17"/>
    <n v="87.68"/>
    <m/>
  </r>
  <r>
    <n v="1516"/>
    <x v="245"/>
    <x v="1123"/>
    <s v=" -"/>
    <s v=" MOTOR"/>
    <d v="2024-07-26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9000000"/>
    <n v="1052"/>
    <n v="11"/>
    <n v="158"/>
    <n v="0"/>
    <n v="1221"/>
    <n v="0"/>
    <n v="0"/>
    <n v="1221"/>
    <n v="0"/>
    <n v="1221"/>
    <m/>
    <m/>
    <m/>
    <s v="AFSHEEN ISMAIL"/>
    <n v="98.979999999999976"/>
    <n v="98.979999999999976"/>
    <m/>
  </r>
  <r>
    <n v="1517"/>
    <x v="245"/>
    <x v="1124"/>
    <s v=" -"/>
    <s v=" MOTOR"/>
    <d v="2024-08-29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9000000"/>
    <n v="2857"/>
    <n v="29"/>
    <n v="429"/>
    <n v="0"/>
    <n v="3315"/>
    <n v="0"/>
    <n v="0"/>
    <n v="3315"/>
    <n v="0"/>
    <n v="3315"/>
    <m/>
    <m/>
    <m/>
    <s v="AFSHEEN ISMAIL"/>
    <n v="276.60000000000002"/>
    <n v="268.84000000000003"/>
    <m/>
  </r>
  <r>
    <n v="1518"/>
    <x v="245"/>
    <x v="1125"/>
    <s v=" -"/>
    <s v=" MOTOR"/>
    <d v="2024-09-28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9000000"/>
    <n v="1380"/>
    <n v="14"/>
    <n v="207"/>
    <n v="0"/>
    <n v="1601"/>
    <n v="0"/>
    <n v="0"/>
    <n v="1601"/>
    <n v="0"/>
    <n v="1601"/>
    <m/>
    <m/>
    <m/>
    <s v="AFSHEEN ISMAIL"/>
    <n v="129.92000000000002"/>
    <n v="129.92000000000002"/>
    <m/>
  </r>
  <r>
    <n v="1519"/>
    <x v="245"/>
    <x v="1126"/>
    <s v=" -"/>
    <s v=" MOTOR"/>
    <d v="2024-10-25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9000000"/>
    <n v="1825"/>
    <n v="18"/>
    <n v="274"/>
    <n v="0"/>
    <n v="2117"/>
    <n v="0"/>
    <n v="0"/>
    <n v="2117"/>
    <n v="0"/>
    <n v="2117"/>
    <m/>
    <m/>
    <m/>
    <s v="AFSHEEN ISMAIL"/>
    <n v="179.11"/>
    <n v="171.56"/>
    <m/>
  </r>
  <r>
    <n v="1520"/>
    <x v="245"/>
    <x v="1127"/>
    <s v=" -"/>
    <s v=" MOTOR"/>
    <d v="2024-10-31T00:00:00"/>
    <d v="2024-01-24T00:00:00"/>
    <d v="2025-01-23T00:00:00"/>
    <s v=" 08815597"/>
    <s v="Mr. Muhammad Naseer _x000a_CNIC No. 33105-2659411-7_x000a_Cell No. 0333-8294111"/>
    <m/>
    <s v="TOYOTA FORTUNER"/>
    <s v="BG-2304"/>
    <s v="2TRA254997"/>
    <s v="TGN156R-04407724"/>
    <s v="2017"/>
    <m/>
    <m/>
    <s v=" D"/>
    <s v="09000210-Tariq Shahzad"/>
    <n v="-1"/>
    <n v="-21578"/>
    <n v="-216"/>
    <n v="0"/>
    <n v="0"/>
    <n v="-21794"/>
    <n v="0"/>
    <n v="0"/>
    <n v="-21794"/>
    <n v="0"/>
    <n v="-21794"/>
    <m/>
    <m/>
    <m/>
    <s v="AFSHEEN ISMAIL"/>
    <m/>
    <m/>
    <m/>
  </r>
  <r>
    <n v="1521"/>
    <x v="246"/>
    <x v="1128"/>
    <s v=" -"/>
    <s v=" MOTOR"/>
    <d v="2024-03-18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1122"/>
    <n v="12"/>
    <n v="146"/>
    <n v="0"/>
    <n v="1280"/>
    <n v="0"/>
    <n v="0"/>
    <n v="1280"/>
    <n v="0"/>
    <n v="1280"/>
    <m/>
    <m/>
    <m/>
    <s v="Fizza Sheikh"/>
    <n v="817.31"/>
    <n v="776.09"/>
    <m/>
  </r>
  <r>
    <n v="1522"/>
    <x v="246"/>
    <x v="1129"/>
    <s v=" -"/>
    <s v=" MOTOR"/>
    <d v="2024-04-18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758"/>
    <n v="7"/>
    <n v="98"/>
    <n v="0"/>
    <n v="863"/>
    <n v="0"/>
    <n v="0"/>
    <n v="863"/>
    <n v="0"/>
    <n v="863"/>
    <m/>
    <m/>
    <m/>
    <s v="Fizza Sheikh"/>
    <n v="551.4"/>
    <n v="525.54"/>
    <m/>
  </r>
  <r>
    <n v="1523"/>
    <x v="246"/>
    <x v="1130"/>
    <s v=" -"/>
    <s v=" MOTOR"/>
    <d v="2024-05-19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707"/>
    <n v="7"/>
    <n v="92"/>
    <n v="0"/>
    <n v="806"/>
    <n v="0"/>
    <n v="0"/>
    <n v="806"/>
    <n v="0"/>
    <n v="806"/>
    <m/>
    <m/>
    <m/>
    <s v="Fizza Sheikh"/>
    <n v="546.80000000000007"/>
    <n v="489.85000000000008"/>
    <m/>
  </r>
  <r>
    <n v="1524"/>
    <x v="246"/>
    <x v="1131"/>
    <s v=" -"/>
    <s v=" MOTOR"/>
    <d v="2024-06-20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546"/>
    <n v="6"/>
    <n v="71"/>
    <n v="0"/>
    <n v="623"/>
    <n v="0"/>
    <n v="0"/>
    <n v="623"/>
    <n v="0"/>
    <n v="623"/>
    <m/>
    <m/>
    <m/>
    <s v="Fizza Sheikh"/>
    <n v="391.49"/>
    <n v="378.62"/>
    <m/>
  </r>
  <r>
    <n v="1525"/>
    <x v="246"/>
    <x v="1132"/>
    <s v=" -"/>
    <s v=" MOTOR"/>
    <d v="2024-07-24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783"/>
    <n v="8"/>
    <n v="118"/>
    <n v="0"/>
    <n v="909"/>
    <n v="0"/>
    <n v="0"/>
    <n v="909"/>
    <n v="0"/>
    <n v="909"/>
    <m/>
    <m/>
    <m/>
    <s v="Fizza Sheikh"/>
    <n v="592.43000000000006"/>
    <n v="553.54000000000008"/>
    <m/>
  </r>
  <r>
    <n v="1526"/>
    <x v="246"/>
    <x v="1133"/>
    <s v=" -"/>
    <s v=" MOTOR"/>
    <d v="2024-08-21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1026"/>
    <n v="10"/>
    <n v="154"/>
    <n v="0"/>
    <n v="1190"/>
    <n v="0"/>
    <n v="0"/>
    <n v="1190"/>
    <n v="0"/>
    <n v="1190"/>
    <m/>
    <m/>
    <m/>
    <s v="Fizza Sheikh"/>
    <n v="925.08000000000106"/>
    <n v="723.69"/>
    <m/>
  </r>
  <r>
    <n v="1527"/>
    <x v="246"/>
    <x v="1134"/>
    <s v=" -"/>
    <s v=" MOTOR"/>
    <d v="2024-09-26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1007"/>
    <n v="10"/>
    <n v="151"/>
    <n v="0"/>
    <n v="1168"/>
    <n v="0"/>
    <n v="0"/>
    <n v="1168"/>
    <n v="0"/>
    <n v="1168"/>
    <m/>
    <m/>
    <m/>
    <s v="Fizza Sheikh"/>
    <n v="998.82000000000107"/>
    <n v="709.8"/>
    <m/>
  </r>
  <r>
    <n v="1528"/>
    <x v="246"/>
    <x v="1135"/>
    <s v=" -"/>
    <s v=" MOTOR"/>
    <d v="2024-10-21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845"/>
    <n v="8"/>
    <n v="127"/>
    <n v="0"/>
    <n v="980"/>
    <n v="0"/>
    <n v="0"/>
    <n v="980"/>
    <n v="0"/>
    <n v="980"/>
    <m/>
    <m/>
    <m/>
    <s v="Fizza Sheikh"/>
    <n v="968.73"/>
    <n v="595.66999999999996"/>
    <m/>
  </r>
  <r>
    <n v="1529"/>
    <x v="246"/>
    <x v="1136"/>
    <s v=" -"/>
    <s v=" MOTOR"/>
    <d v="2024-11-19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469"/>
    <n v="5"/>
    <n v="70"/>
    <n v="0"/>
    <n v="544"/>
    <n v="0"/>
    <n v="0"/>
    <n v="544"/>
    <n v="0"/>
    <n v="544"/>
    <m/>
    <m/>
    <m/>
    <s v="Fizza Sheikh"/>
    <n v="529.70000000000005"/>
    <n v="331.1"/>
    <m/>
  </r>
  <r>
    <n v="1530"/>
    <x v="246"/>
    <x v="1137"/>
    <s v=" -"/>
    <s v=" MOTOR"/>
    <d v="2024-12-19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1200000"/>
    <n v="485"/>
    <n v="5"/>
    <n v="73"/>
    <n v="0"/>
    <n v="563"/>
    <n v="0"/>
    <n v="0"/>
    <n v="563"/>
    <n v="0"/>
    <n v="563"/>
    <m/>
    <m/>
    <m/>
    <s v="Fizza Sheikh"/>
    <n v="835.95"/>
    <n v="341.99"/>
    <m/>
  </r>
  <r>
    <n v="1531"/>
    <x v="246"/>
    <x v="1138"/>
    <s v=" -"/>
    <s v=" MOTOR"/>
    <d v="2024-12-29T00:00:00"/>
    <d v="2024-01-18T00:00:00"/>
    <d v="2025-01-17T00:00:00"/>
    <s v=" 08815598"/>
    <s v="Mr. Ali Hassan Baig_x000a_CNIC No. 35202-3060254-7_x000a_Cell No. 0301-4218029"/>
    <m/>
    <s v="FAW FAW V2 M/T"/>
    <s v="LED-5963"/>
    <s v="HF300022"/>
    <s v="LFP72APC9F5A05176"/>
    <s v="2015"/>
    <m/>
    <m/>
    <s v=" D"/>
    <s v="09000210-Tariq Shahzad"/>
    <n v="-1"/>
    <n v="-8838"/>
    <n v="-88"/>
    <n v="0"/>
    <n v="0"/>
    <n v="-8926"/>
    <n v="0"/>
    <n v="0"/>
    <n v="-8926"/>
    <n v="0"/>
    <n v="-8926"/>
    <m/>
    <m/>
    <m/>
    <s v="Fizza Sheikh"/>
    <m/>
    <m/>
    <m/>
  </r>
  <r>
    <n v="1533"/>
    <x v="247"/>
    <x v="1139"/>
    <s v=" -"/>
    <s v=" MOTOR"/>
    <d v="2024-04-22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2043"/>
    <n v="20"/>
    <n v="266"/>
    <n v="0"/>
    <n v="2329"/>
    <n v="0"/>
    <n v="0"/>
    <n v="2329"/>
    <n v="0"/>
    <n v="2329"/>
    <m/>
    <m/>
    <m/>
    <s v="AFSHEEN ISMAIL"/>
    <n v="2003.12"/>
    <n v="944.01"/>
    <m/>
  </r>
  <r>
    <n v="1534"/>
    <x v="247"/>
    <x v="1140"/>
    <s v=" -"/>
    <s v=" MOTOR"/>
    <d v="2024-05-22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812"/>
    <n v="8"/>
    <n v="106"/>
    <n v="0"/>
    <n v="926"/>
    <n v="0"/>
    <n v="0"/>
    <n v="926"/>
    <n v="0"/>
    <n v="926"/>
    <m/>
    <m/>
    <m/>
    <s v="AFSHEEN ISMAIL"/>
    <n v="375.2"/>
    <n v="375.2"/>
    <m/>
  </r>
  <r>
    <n v="1535"/>
    <x v="247"/>
    <x v="1141"/>
    <s v=" -"/>
    <s v=" MOTOR"/>
    <d v="2024-06-24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1185"/>
    <n v="12"/>
    <n v="153"/>
    <n v="0"/>
    <n v="1350"/>
    <n v="0"/>
    <n v="0"/>
    <n v="1350"/>
    <n v="0"/>
    <n v="1350"/>
    <m/>
    <m/>
    <m/>
    <s v="AFSHEEN ISMAIL"/>
    <n v="1270.5900000000031"/>
    <n v="547.23"/>
    <m/>
  </r>
  <r>
    <n v="1536"/>
    <x v="247"/>
    <x v="1142"/>
    <s v=" -"/>
    <s v=" MOTOR"/>
    <d v="2024-07-25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2494"/>
    <n v="25"/>
    <n v="374"/>
    <n v="0"/>
    <n v="2893"/>
    <n v="0"/>
    <n v="0"/>
    <n v="2893"/>
    <n v="0"/>
    <n v="2893"/>
    <m/>
    <m/>
    <m/>
    <s v="AFSHEEN ISMAIL"/>
    <n v="3099.6100000000019"/>
    <n v="1172.74"/>
    <m/>
  </r>
  <r>
    <n v="1537"/>
    <x v="247"/>
    <x v="1143"/>
    <s v=" -"/>
    <s v=" MOTOR"/>
    <d v="2024-08-27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2326"/>
    <n v="23"/>
    <n v="349"/>
    <n v="0"/>
    <n v="2698"/>
    <n v="0"/>
    <n v="0"/>
    <n v="2698"/>
    <n v="0"/>
    <n v="2698"/>
    <m/>
    <m/>
    <m/>
    <s v="AFSHEEN ISMAIL"/>
    <n v="2570.0600000000009"/>
    <n v="1093.7099999999991"/>
    <m/>
  </r>
  <r>
    <n v="1538"/>
    <x v="247"/>
    <x v="1144"/>
    <s v=" -"/>
    <s v=" MOTOR"/>
    <d v="2024-09-26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2493"/>
    <n v="25"/>
    <n v="374"/>
    <n v="0"/>
    <n v="2892"/>
    <n v="0"/>
    <n v="0"/>
    <n v="2892"/>
    <n v="0"/>
    <n v="2892"/>
    <m/>
    <m/>
    <m/>
    <s v="AFSHEEN ISMAIL"/>
    <n v="3277.3500000000045"/>
    <n v="1172.3900000000001"/>
    <m/>
  </r>
  <r>
    <n v="1539"/>
    <x v="247"/>
    <x v="1145"/>
    <s v=" -"/>
    <s v=" MOTOR"/>
    <d v="2024-10-23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2020"/>
    <n v="20"/>
    <n v="303"/>
    <n v="0"/>
    <n v="2343"/>
    <n v="0"/>
    <n v="0"/>
    <n v="2343"/>
    <n v="0"/>
    <n v="2343"/>
    <m/>
    <m/>
    <m/>
    <s v="AFSHEEN ISMAIL"/>
    <n v="2208.4900000000011"/>
    <n v="950.62"/>
    <m/>
  </r>
  <r>
    <n v="1540"/>
    <x v="247"/>
    <x v="1146"/>
    <s v=" -"/>
    <s v=" MOTOR"/>
    <d v="2024-11-25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1033"/>
    <n v="10"/>
    <n v="155"/>
    <n v="0"/>
    <n v="1198"/>
    <n v="0"/>
    <n v="0"/>
    <n v="1198"/>
    <n v="0"/>
    <n v="1198"/>
    <m/>
    <m/>
    <m/>
    <s v="AFSHEEN ISMAIL"/>
    <n v="627.56000000000108"/>
    <n v="485.32"/>
    <m/>
  </r>
  <r>
    <n v="1541"/>
    <x v="247"/>
    <x v="1147"/>
    <s v=" -"/>
    <s v=" MOTOR"/>
    <d v="2024-12-24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1800000"/>
    <n v="1882"/>
    <n v="19"/>
    <n v="282"/>
    <n v="0"/>
    <n v="2183"/>
    <n v="0"/>
    <n v="0"/>
    <n v="2183"/>
    <n v="0"/>
    <n v="2183"/>
    <m/>
    <m/>
    <m/>
    <s v="AFSHEEN ISMAIL"/>
    <n v="1880.760000000002"/>
    <n v="885.3"/>
    <m/>
  </r>
  <r>
    <n v="1542"/>
    <x v="247"/>
    <x v="1148"/>
    <s v=" -"/>
    <s v=" MOTOR"/>
    <d v="2024-12-29T00:00:00"/>
    <d v="2024-01-22T00:00:00"/>
    <d v="2025-01-21T00:00:00"/>
    <s v=" 08815686"/>
    <s v="Mr. Abdul Sami Qureshi _x000a_CNIC: 4200050580687_x000a_Cell: 03122329732"/>
    <m/>
    <s v="NISSAN MOCO"/>
    <s v="BLH-138"/>
    <s v="R06A-1496023"/>
    <s v="MG33S-66884"/>
    <s v="2014"/>
    <m/>
    <m/>
    <s v=" D"/>
    <s v="09000210-Tariq Shahzad"/>
    <n v="-1"/>
    <n v="-18626"/>
    <n v="-186"/>
    <n v="0"/>
    <n v="0"/>
    <n v="-18812"/>
    <n v="0"/>
    <n v="0"/>
    <n v="-18812"/>
    <n v="0"/>
    <n v="-18812"/>
    <m/>
    <m/>
    <m/>
    <s v="AFSHEEN ISMAIL"/>
    <m/>
    <m/>
    <m/>
  </r>
  <r>
    <n v="1559"/>
    <x v="248"/>
    <x v="1149"/>
    <s v=" -"/>
    <s v=" MOTOR"/>
    <d v="2024-02-27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2272"/>
    <n v="23"/>
    <n v="296"/>
    <n v="0"/>
    <n v="2591"/>
    <n v="0"/>
    <n v="0"/>
    <n v="2591"/>
    <n v="0"/>
    <n v="2591"/>
    <m/>
    <m/>
    <m/>
    <s v="AFSHEEN ISMAIL"/>
    <n v="867.3"/>
    <n v="630.35"/>
    <m/>
  </r>
  <r>
    <n v="1560"/>
    <x v="248"/>
    <x v="1150"/>
    <s v=" -"/>
    <s v=" MOTOR"/>
    <d v="2024-03-25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3625"/>
    <n v="36"/>
    <n v="471"/>
    <n v="0"/>
    <n v="4132"/>
    <n v="0"/>
    <n v="0"/>
    <n v="4132"/>
    <n v="0"/>
    <n v="4132"/>
    <m/>
    <m/>
    <m/>
    <s v="AFSHEEN ISMAIL"/>
    <n v="1436.799999999997"/>
    <n v="1005.1600000000002"/>
    <m/>
  </r>
  <r>
    <n v="1561"/>
    <x v="248"/>
    <x v="1151"/>
    <s v=" -"/>
    <s v=" MOTOR"/>
    <d v="2024-04-25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2715"/>
    <n v="28"/>
    <n v="353"/>
    <n v="0"/>
    <n v="3096"/>
    <n v="0"/>
    <n v="0"/>
    <n v="3096"/>
    <n v="0"/>
    <n v="3096"/>
    <m/>
    <m/>
    <m/>
    <s v="AFSHEEN ISMAIL"/>
    <n v="1317.2200000000078"/>
    <n v="753.13"/>
    <m/>
  </r>
  <r>
    <n v="1562"/>
    <x v="248"/>
    <x v="1152"/>
    <s v=" -"/>
    <s v=" MOTOR"/>
    <d v="2024-05-27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2461"/>
    <n v="24"/>
    <n v="320"/>
    <n v="0"/>
    <n v="2805"/>
    <n v="0"/>
    <n v="0"/>
    <n v="2805"/>
    <n v="0"/>
    <n v="2805"/>
    <m/>
    <m/>
    <m/>
    <s v="AFSHEEN ISMAIL"/>
    <n v="803.07999999999902"/>
    <n v="682.83"/>
    <m/>
  </r>
  <r>
    <n v="1563"/>
    <x v="248"/>
    <x v="1153"/>
    <s v=" -"/>
    <s v=" MOTOR"/>
    <d v="2024-06-25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1464"/>
    <n v="15"/>
    <n v="190"/>
    <n v="0"/>
    <n v="1669"/>
    <n v="0"/>
    <n v="0"/>
    <n v="1669"/>
    <n v="0"/>
    <n v="1669"/>
    <m/>
    <m/>
    <m/>
    <s v="AFSHEEN ISMAIL"/>
    <n v="516.63999999999805"/>
    <n v="405.99"/>
    <m/>
  </r>
  <r>
    <n v="1564"/>
    <x v="248"/>
    <x v="1154"/>
    <s v=" -"/>
    <s v=" MOTOR"/>
    <d v="2024-07-26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1655"/>
    <n v="17"/>
    <n v="248"/>
    <n v="0"/>
    <n v="1920"/>
    <n v="0"/>
    <n v="0"/>
    <n v="1920"/>
    <n v="0"/>
    <n v="1920"/>
    <m/>
    <m/>
    <m/>
    <s v="AFSHEEN ISMAIL"/>
    <n v="470.6"/>
    <n v="466.49"/>
    <m/>
  </r>
  <r>
    <n v="1565"/>
    <x v="248"/>
    <x v="1155"/>
    <s v=" -"/>
    <s v=" MOTOR"/>
    <d v="2024-08-29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2832"/>
    <n v="28"/>
    <n v="425"/>
    <n v="0"/>
    <n v="3285"/>
    <n v="0"/>
    <n v="0"/>
    <n v="3285"/>
    <n v="0"/>
    <n v="3285"/>
    <m/>
    <m/>
    <m/>
    <s v="AFSHEEN ISMAIL"/>
    <n v="1178.7300000000109"/>
    <n v="799.13"/>
    <m/>
  </r>
  <r>
    <n v="1566"/>
    <x v="248"/>
    <x v="1156"/>
    <s v=" -"/>
    <s v=" MOTOR"/>
    <d v="2024-09-28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2572"/>
    <n v="26"/>
    <n v="386"/>
    <n v="0"/>
    <n v="2984"/>
    <n v="0"/>
    <n v="0"/>
    <n v="2984"/>
    <n v="0"/>
    <n v="2984"/>
    <m/>
    <m/>
    <m/>
    <s v="AFSHEEN ISMAIL"/>
    <n v="835.5200000000001"/>
    <n v="725.95"/>
    <m/>
  </r>
  <r>
    <n v="1567"/>
    <x v="248"/>
    <x v="1157"/>
    <s v=" -"/>
    <s v=" MOTOR"/>
    <d v="2024-10-26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3205"/>
    <n v="32"/>
    <n v="481"/>
    <n v="0"/>
    <n v="3718"/>
    <n v="0"/>
    <n v="0"/>
    <n v="3718"/>
    <n v="0"/>
    <n v="3718"/>
    <m/>
    <m/>
    <m/>
    <s v="AFSHEEN ISMAIL"/>
    <n v="1047.67"/>
    <n v="905.09000000000106"/>
    <m/>
  </r>
  <r>
    <n v="1568"/>
    <x v="248"/>
    <x v="1158"/>
    <s v=" -"/>
    <s v=" MOTOR"/>
    <d v="2024-11-27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2653"/>
    <n v="27"/>
    <n v="398"/>
    <n v="0"/>
    <n v="3078"/>
    <n v="0"/>
    <n v="0"/>
    <n v="3078"/>
    <n v="0"/>
    <n v="3078"/>
    <m/>
    <m/>
    <m/>
    <s v="AFSHEEN ISMAIL"/>
    <n v="1057.1299999999972"/>
    <n v="748.90000000000009"/>
    <m/>
  </r>
  <r>
    <n v="1569"/>
    <x v="248"/>
    <x v="1159"/>
    <s v=" -"/>
    <s v=" MOTOR"/>
    <d v="2024-12-26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3000000"/>
    <n v="3800"/>
    <n v="38"/>
    <n v="570"/>
    <n v="0"/>
    <n v="4408"/>
    <n v="0"/>
    <n v="0"/>
    <n v="4408"/>
    <n v="0"/>
    <n v="4408"/>
    <m/>
    <m/>
    <m/>
    <s v="AFSHEEN ISMAIL"/>
    <n v="3018.4000000000569"/>
    <n v="1072.28"/>
    <m/>
  </r>
  <r>
    <n v="1570"/>
    <x v="248"/>
    <x v="1160"/>
    <s v=" -"/>
    <s v=" MOTOR"/>
    <d v="2024-12-29T00:00:00"/>
    <d v="2024-01-25T00:00:00"/>
    <d v="2025-01-24T00:00:00"/>
    <s v=" 08815771"/>
    <s v="Mr. Ghufran Irshad_x000a_CNIC: 4220168196803_x000a_Cell: 0333-4444353"/>
    <m/>
    <s v="SUZUKI ALTO VXR"/>
    <s v="BYW-767"/>
    <s v="6R277037"/>
    <s v="NF1AET306H1177027"/>
    <s v="2023"/>
    <m/>
    <m/>
    <s v=" D"/>
    <s v="09000210-Tariq Shahzad"/>
    <n v="-1"/>
    <n v="-33352"/>
    <n v="-334"/>
    <n v="0"/>
    <n v="0"/>
    <n v="-33686"/>
    <n v="0"/>
    <n v="0"/>
    <n v="-33686"/>
    <n v="0"/>
    <n v="-33686"/>
    <m/>
    <m/>
    <m/>
    <s v="AFSHEEN ISMAIL"/>
    <m/>
    <m/>
    <m/>
  </r>
  <r>
    <n v="1571"/>
    <x v="249"/>
    <x v="1161"/>
    <s v=" -"/>
    <s v=" MOTOR"/>
    <d v="2024-07-03T00:00:00"/>
    <d v="2024-02-03T00:00:00"/>
    <d v="2025-02-02T00:00:00"/>
    <s v=" 08809599"/>
    <s v="Mr. Mohammad Osama_x000a_CNIC# 33100-1018198-1_x000a_CELL# 0303-2727272"/>
    <m/>
    <s v="KIA PICANTO 1.0L A/T"/>
    <s v="ADD-689"/>
    <s v="G3LALP123885"/>
    <s v="NNATA52AZKP704489"/>
    <s v="2021"/>
    <s v="33100-1018198-1"/>
    <m/>
    <s v=" D"/>
    <s v="09000221-Muhammad Irfan"/>
    <n v="2600000"/>
    <n v="3521"/>
    <n v="35"/>
    <n v="528"/>
    <n v="0"/>
    <n v="4084"/>
    <n v="0"/>
    <n v="0"/>
    <n v="4084"/>
    <n v="0"/>
    <n v="4084"/>
    <m/>
    <m/>
    <m/>
    <s v="Maria Tauqeer Qazi"/>
    <n v="1702.4700000000009"/>
    <n v="1148.23"/>
    <m/>
  </r>
  <r>
    <n v="1572"/>
    <x v="249"/>
    <x v="1162"/>
    <s v=" -"/>
    <s v=" MOTOR"/>
    <d v="2024-08-07T00:00:00"/>
    <d v="2024-02-03T00:00:00"/>
    <d v="2025-02-02T00:00:00"/>
    <s v=" 08809599"/>
    <s v="Mr. Mohammad Osama_x000a_CNIC# 33100-1018198-1_x000a_CELL# 0303-2727272"/>
    <m/>
    <s v="KIA PICANTO 1.0L A/T"/>
    <s v="ADD-689"/>
    <s v="G3LALP123885"/>
    <s v="NNATA52AZKP704489"/>
    <s v="2021"/>
    <s v="33100-1018198-1"/>
    <m/>
    <s v=" D"/>
    <s v="09000221-Muhammad Irfan"/>
    <n v="2600000"/>
    <n v="3439"/>
    <n v="34"/>
    <n v="516"/>
    <n v="0"/>
    <n v="3989"/>
    <n v="0"/>
    <n v="0"/>
    <n v="3989"/>
    <n v="0"/>
    <n v="3989"/>
    <m/>
    <m/>
    <m/>
    <s v="Maria Tauqeer Qazi"/>
    <n v="1476.190000000001"/>
    <n v="1121.52"/>
    <m/>
  </r>
  <r>
    <n v="1573"/>
    <x v="249"/>
    <x v="1163"/>
    <s v=" -"/>
    <s v=" MOTOR"/>
    <d v="2024-09-06T00:00:00"/>
    <d v="2024-02-03T00:00:00"/>
    <d v="2025-02-02T00:00:00"/>
    <s v=" 08809599"/>
    <s v="Mr. Mohammad Osama_x000a_CNIC# 33100-1018198-1_x000a_CELL# 0303-2727272"/>
    <m/>
    <s v="KIA PICANTO 1.0L A/T"/>
    <s v="ADD-689"/>
    <s v="G3LALP123885"/>
    <s v="NNATA52AZKP704489"/>
    <s v="2021"/>
    <s v="33100-1018198-1"/>
    <m/>
    <s v=" D"/>
    <s v="09000221-Muhammad Irfan"/>
    <n v="2600000"/>
    <n v="3565"/>
    <n v="36"/>
    <n v="535"/>
    <n v="0"/>
    <n v="4136"/>
    <n v="0"/>
    <n v="0"/>
    <n v="4136"/>
    <n v="0"/>
    <n v="4136"/>
    <m/>
    <m/>
    <m/>
    <s v="Maria Tauqeer Qazi"/>
    <n v="1552.1200000000013"/>
    <n v="1162.46"/>
    <m/>
  </r>
  <r>
    <n v="1574"/>
    <x v="249"/>
    <x v="1164"/>
    <s v=" -"/>
    <s v=" MOTOR"/>
    <d v="2024-10-09T00:00:00"/>
    <d v="2024-02-03T00:00:00"/>
    <d v="2025-02-02T00:00:00"/>
    <s v=" 08809599"/>
    <s v="Mr. Mohammad Osama_x000a_CNIC# 33100-1018198-1_x000a_CELL# 0303-2727272"/>
    <m/>
    <s v="KIA PICANTO 1.0L A/T"/>
    <s v="ADD-689"/>
    <s v="G3LALP123885"/>
    <s v="NNATA52AZKP704489"/>
    <s v="2021"/>
    <s v="33100-1018198-1"/>
    <m/>
    <s v=" D"/>
    <s v="09000221-Muhammad Irfan"/>
    <n v="2600000"/>
    <n v="3313"/>
    <n v="33"/>
    <n v="497"/>
    <n v="0"/>
    <n v="3843"/>
    <n v="0"/>
    <n v="0"/>
    <n v="3843"/>
    <n v="0"/>
    <n v="3843"/>
    <m/>
    <m/>
    <m/>
    <s v="Maria Tauqeer Qazi"/>
    <n v="1577.3700000000013"/>
    <n v="1080.6600000000001"/>
    <m/>
  </r>
  <r>
    <n v="1575"/>
    <x v="249"/>
    <x v="1165"/>
    <s v=" -"/>
    <s v=" MOTOR"/>
    <d v="2024-11-04T00:00:00"/>
    <d v="2024-02-03T00:00:00"/>
    <d v="2025-02-02T00:00:00"/>
    <s v=" 08809599"/>
    <s v="Mr. Mohammad Osama_x000a_CNIC# 33100-1018198-1_x000a_CELL# 0303-2727272"/>
    <m/>
    <s v="KIA PICANTO 1.0L A/T"/>
    <s v="ADD-689"/>
    <s v="G3LALP123885"/>
    <s v="NNATA52AZKP704489"/>
    <s v="2021"/>
    <s v="33100-1018198-1"/>
    <m/>
    <s v=" D"/>
    <s v="09000221-Muhammad Irfan"/>
    <n v="2600000"/>
    <n v="3486"/>
    <n v="35"/>
    <n v="523"/>
    <n v="0"/>
    <n v="4044"/>
    <n v="0"/>
    <n v="0"/>
    <n v="4044"/>
    <n v="0"/>
    <n v="4044"/>
    <m/>
    <m/>
    <m/>
    <s v="Maria Tauqeer Qazi"/>
    <n v="1561.1500000000008"/>
    <n v="1137.3500000000001"/>
    <m/>
  </r>
  <r>
    <n v="1576"/>
    <x v="249"/>
    <x v="1166"/>
    <s v=" -"/>
    <s v=" MOTOR"/>
    <d v="2024-12-04T00:00:00"/>
    <d v="2024-02-03T00:00:00"/>
    <d v="2025-02-02T00:00:00"/>
    <s v=" 08809599"/>
    <s v="Mr. Mohammad Osama_x000a_CNIC# 33100-1018198-1_x000a_CELL# 0303-2727272"/>
    <m/>
    <s v="KIA PICANTO 1.0L A/T"/>
    <s v="ADD-689"/>
    <s v="G3LALP123885"/>
    <s v="NNATA52AZKP704489"/>
    <s v="2021"/>
    <s v="33100-1018198-1"/>
    <m/>
    <s v=" D"/>
    <s v="09000221-Muhammad Irfan"/>
    <n v="2600000"/>
    <n v="3550"/>
    <n v="36"/>
    <n v="533"/>
    <n v="0"/>
    <n v="4119"/>
    <n v="0"/>
    <n v="0"/>
    <n v="4119"/>
    <n v="0"/>
    <n v="4119"/>
    <m/>
    <m/>
    <m/>
    <s v="Maria Tauqeer Qazi"/>
    <n v="1476.4900000000009"/>
    <n v="1158.0700000000002"/>
    <m/>
  </r>
  <r>
    <n v="1577"/>
    <x v="249"/>
    <x v="1167"/>
    <s v=" -"/>
    <s v=" MOTOR"/>
    <d v="2024-12-29T00:00:00"/>
    <d v="2024-02-03T00:00:00"/>
    <d v="2025-02-02T00:00:00"/>
    <s v=" 08809599"/>
    <s v="Mr. Mohammad Osama_x000a_CNIC# 33100-1018198-1_x000a_CELL# 0303-2727272"/>
    <m/>
    <s v="KIA PICANTO 1.0L A/T"/>
    <s v="ADD-689"/>
    <s v="G3LALP123885"/>
    <s v="NNATA52AZKP704489"/>
    <s v="2021"/>
    <s v="33100-1018198-1"/>
    <m/>
    <s v=" D"/>
    <s v="09000221-Muhammad Irfan"/>
    <n v="-1"/>
    <n v="-23975"/>
    <n v="-240"/>
    <n v="0"/>
    <n v="0"/>
    <n v="-24215"/>
    <n v="0"/>
    <n v="0"/>
    <n v="-24215"/>
    <n v="0"/>
    <n v="-24215"/>
    <m/>
    <m/>
    <m/>
    <s v="Maria Tauqeer Qazi"/>
    <m/>
    <m/>
    <m/>
  </r>
  <r>
    <n v="1581"/>
    <x v="250"/>
    <x v="1168"/>
    <s v=" -"/>
    <s v=" MOTOR"/>
    <d v="2024-07-09T00:00:00"/>
    <d v="2024-02-06T00:00:00"/>
    <d v="2025-02-05T00:00:00"/>
    <s v=" 08815856"/>
    <s v="Mr. Shahbaz Ahmed _x000a_CNIC No. 42201-0150281-7_x000a_Cell No. 0300-9279681"/>
    <m/>
    <s v="TOYOTA COROLLA  XLI"/>
    <s v="BQP-188"/>
    <s v="567835"/>
    <s v="4192141"/>
    <s v="2019"/>
    <m/>
    <m/>
    <s v=" D"/>
    <s v="09000210-Tariq Shahzad"/>
    <n v="3500000"/>
    <n v="3434"/>
    <n v="34"/>
    <n v="515"/>
    <n v="0"/>
    <n v="3983"/>
    <n v="0"/>
    <n v="0"/>
    <n v="3983"/>
    <n v="0"/>
    <n v="3983"/>
    <m/>
    <m/>
    <m/>
    <s v="AFSHEEN ISMAIL"/>
    <n v="1015.6400000000011"/>
    <n v="830.73"/>
    <m/>
  </r>
  <r>
    <n v="1582"/>
    <x v="250"/>
    <x v="1169"/>
    <s v=" -"/>
    <s v=" MOTOR"/>
    <d v="2024-08-08T00:00:00"/>
    <d v="2024-02-06T00:00:00"/>
    <d v="2025-02-05T00:00:00"/>
    <s v=" 08815856"/>
    <s v="Mr. Shahbaz Ahmed _x000a_CNIC No. 42201-0150281-7_x000a_Cell No. 0300-9279681"/>
    <m/>
    <s v="TOYOTA COROLLA  XLI"/>
    <s v="BQP-188"/>
    <s v="567835"/>
    <s v="4192141"/>
    <s v="2019"/>
    <m/>
    <m/>
    <s v=" D"/>
    <s v="09000210-Tariq Shahzad"/>
    <n v="3500000"/>
    <n v="4036"/>
    <n v="40"/>
    <n v="605"/>
    <n v="0"/>
    <n v="4681"/>
    <n v="0"/>
    <n v="0"/>
    <n v="4681"/>
    <n v="0"/>
    <n v="4681"/>
    <m/>
    <m/>
    <m/>
    <s v="AFSHEEN ISMAIL"/>
    <n v="1093.230000000003"/>
    <n v="975.46000000000106"/>
    <m/>
  </r>
  <r>
    <n v="1583"/>
    <x v="250"/>
    <x v="1170"/>
    <s v=" -"/>
    <s v=" MOTOR"/>
    <d v="2024-09-07T00:00:00"/>
    <d v="2024-02-06T00:00:00"/>
    <d v="2025-02-05T00:00:00"/>
    <s v=" 08815856"/>
    <s v="Mr. Shahbaz Ahmed _x000a_CNIC No. 42201-0150281-7_x000a_Cell No. 0300-9279681"/>
    <m/>
    <s v="TOYOTA COROLLA  XLI"/>
    <s v="BQP-188"/>
    <s v="567835"/>
    <s v="4192141"/>
    <s v="2019"/>
    <m/>
    <m/>
    <s v=" D"/>
    <s v="09000210-Tariq Shahzad"/>
    <n v="3500000"/>
    <n v="4558"/>
    <n v="46"/>
    <n v="684"/>
    <n v="0"/>
    <n v="5288"/>
    <n v="0"/>
    <n v="0"/>
    <n v="5288"/>
    <n v="0"/>
    <n v="5288"/>
    <m/>
    <m/>
    <m/>
    <s v="AFSHEEN ISMAIL"/>
    <n v="1222.8500000000022"/>
    <n v="1102.380000000001"/>
    <m/>
  </r>
  <r>
    <n v="1584"/>
    <x v="250"/>
    <x v="1171"/>
    <s v=" -"/>
    <s v=" MOTOR"/>
    <d v="2024-10-09T00:00:00"/>
    <d v="2024-02-06T00:00:00"/>
    <d v="2025-02-05T00:00:00"/>
    <s v=" 08815856"/>
    <s v="Mr. Shahbaz Ahmed _x000a_CNIC No. 42201-0150281-7_x000a_Cell No. 0300-9279681"/>
    <m/>
    <s v="TOYOTA COROLLA  XLI"/>
    <s v="BQP-188"/>
    <s v="567835"/>
    <s v="4192141"/>
    <s v="2019"/>
    <m/>
    <m/>
    <s v=" D"/>
    <s v="09000210-Tariq Shahzad"/>
    <n v="3500000"/>
    <n v="3650"/>
    <n v="37"/>
    <n v="548"/>
    <n v="0"/>
    <n v="4235"/>
    <n v="0"/>
    <n v="0"/>
    <n v="4235"/>
    <n v="0"/>
    <n v="4235"/>
    <m/>
    <m/>
    <m/>
    <s v="AFSHEEN ISMAIL"/>
    <n v="1048.7500000000009"/>
    <n v="883.01000000000101"/>
    <m/>
  </r>
  <r>
    <n v="1585"/>
    <x v="250"/>
    <x v="1172"/>
    <s v=" -"/>
    <s v=" MOTOR"/>
    <d v="2024-10-31T00:00:00"/>
    <d v="2024-02-06T00:00:00"/>
    <d v="2025-02-05T00:00:00"/>
    <s v=" 08815856"/>
    <s v="Mr. Shahbaz Ahmed _x000a_CNIC No. 42201-0150281-7_x000a_Cell No. 0300-9279681"/>
    <m/>
    <s v="TOYOTA COROLLA  XLI"/>
    <s v="BQP-188"/>
    <s v="567835"/>
    <s v="4192141"/>
    <s v="2019"/>
    <m/>
    <m/>
    <s v=" D"/>
    <s v="09000210-Tariq Shahzad"/>
    <n v="-1"/>
    <n v="-18007"/>
    <n v="-180"/>
    <n v="0"/>
    <n v="0"/>
    <n v="-18187"/>
    <n v="0"/>
    <n v="0"/>
    <n v="-18187"/>
    <n v="0"/>
    <n v="-18187"/>
    <m/>
    <m/>
    <m/>
    <s v="AFSHEEN ISMAIL"/>
    <m/>
    <m/>
    <m/>
  </r>
  <r>
    <n v="1586"/>
    <x v="251"/>
    <x v="1173"/>
    <s v=" -"/>
    <s v=" MOTOR"/>
    <d v="2024-03-06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2179"/>
    <n v="22"/>
    <n v="284"/>
    <n v="0"/>
    <n v="2485"/>
    <n v="0"/>
    <n v="0"/>
    <n v="2485"/>
    <n v="0"/>
    <n v="2485"/>
    <m/>
    <m/>
    <m/>
    <s v="Syed Waqas"/>
    <n v="250.74"/>
    <n v="241.86"/>
    <m/>
  </r>
  <r>
    <n v="1587"/>
    <x v="251"/>
    <x v="1174"/>
    <s v=" -"/>
    <s v=" MOTOR"/>
    <d v="2024-04-09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1404"/>
    <n v="14"/>
    <n v="182"/>
    <n v="0"/>
    <n v="1600"/>
    <n v="0"/>
    <n v="0"/>
    <n v="1600"/>
    <n v="0"/>
    <n v="1600"/>
    <m/>
    <m/>
    <m/>
    <s v="Syed Waqas"/>
    <n v="186.33"/>
    <n v="155.97999999999999"/>
    <m/>
  </r>
  <r>
    <n v="1588"/>
    <x v="251"/>
    <x v="1175"/>
    <s v=" -"/>
    <s v=" MOTOR"/>
    <d v="2024-05-13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4532"/>
    <n v="46"/>
    <n v="590"/>
    <n v="0"/>
    <n v="5168"/>
    <n v="0"/>
    <n v="0"/>
    <n v="5168"/>
    <n v="0"/>
    <n v="5168"/>
    <m/>
    <m/>
    <m/>
    <s v="Syed Waqas"/>
    <n v="642.61000000000104"/>
    <n v="503.19"/>
    <m/>
  </r>
  <r>
    <n v="1589"/>
    <x v="251"/>
    <x v="1176"/>
    <s v=" -"/>
    <s v=" MOTOR"/>
    <d v="2024-06-06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2354"/>
    <n v="23"/>
    <n v="305"/>
    <n v="0"/>
    <n v="2682"/>
    <n v="0"/>
    <n v="0"/>
    <n v="2682"/>
    <n v="0"/>
    <n v="2682"/>
    <m/>
    <m/>
    <m/>
    <s v="Syed Waqas"/>
    <n v="260.90000000000003"/>
    <n v="260.90000000000003"/>
    <m/>
  </r>
  <r>
    <n v="1590"/>
    <x v="251"/>
    <x v="1177"/>
    <s v=" -"/>
    <s v=" MOTOR"/>
    <d v="2024-07-09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4170"/>
    <n v="42"/>
    <n v="626"/>
    <n v="0"/>
    <n v="4838"/>
    <n v="0"/>
    <n v="0"/>
    <n v="4838"/>
    <n v="0"/>
    <n v="4838"/>
    <m/>
    <m/>
    <m/>
    <s v="Syed Waqas"/>
    <n v="523.85"/>
    <n v="470.92"/>
    <m/>
  </r>
  <r>
    <n v="1591"/>
    <x v="251"/>
    <x v="1178"/>
    <s v=" -"/>
    <s v=" MOTOR"/>
    <d v="2024-08-08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1850"/>
    <n v="19"/>
    <n v="278"/>
    <n v="0"/>
    <n v="2147"/>
    <n v="0"/>
    <n v="0"/>
    <n v="2147"/>
    <n v="0"/>
    <n v="2147"/>
    <m/>
    <m/>
    <m/>
    <s v="Syed Waqas"/>
    <n v="229.01000000000005"/>
    <n v="209.04000000000005"/>
    <m/>
  </r>
  <r>
    <n v="1592"/>
    <x v="251"/>
    <x v="1179"/>
    <s v=" -"/>
    <s v=" MOTOR"/>
    <d v="2024-09-07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3298"/>
    <n v="33"/>
    <n v="495"/>
    <n v="0"/>
    <n v="3826"/>
    <n v="0"/>
    <n v="0"/>
    <n v="3826"/>
    <n v="0"/>
    <n v="3826"/>
    <m/>
    <m/>
    <m/>
    <s v="Syed Waqas"/>
    <n v="661.46"/>
    <n v="372.49000000000007"/>
    <m/>
  </r>
  <r>
    <n v="1593"/>
    <x v="251"/>
    <x v="1180"/>
    <s v=" -"/>
    <s v=" MOTOR"/>
    <d v="2024-10-09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2444"/>
    <n v="24"/>
    <n v="367"/>
    <n v="0"/>
    <n v="2835"/>
    <n v="0"/>
    <n v="0"/>
    <n v="2835"/>
    <n v="0"/>
    <n v="2835"/>
    <m/>
    <m/>
    <m/>
    <s v="Syed Waqas"/>
    <n v="295.29000000000002"/>
    <n v="276.11000000000007"/>
    <m/>
  </r>
  <r>
    <n v="1594"/>
    <x v="251"/>
    <x v="1181"/>
    <s v=" -"/>
    <s v=" MOTOR"/>
    <d v="2024-11-08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5113"/>
    <n v="51"/>
    <n v="767"/>
    <n v="0"/>
    <n v="5931"/>
    <n v="0"/>
    <n v="0"/>
    <n v="5931"/>
    <n v="0"/>
    <n v="5931"/>
    <m/>
    <m/>
    <m/>
    <s v="Syed Waqas"/>
    <n v="643.89"/>
    <n v="577.37"/>
    <m/>
  </r>
  <r>
    <n v="1595"/>
    <x v="251"/>
    <x v="1182"/>
    <s v=" -"/>
    <s v=" MOTOR"/>
    <d v="2024-12-07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7500000"/>
    <n v="5916"/>
    <n v="59"/>
    <n v="887"/>
    <n v="0"/>
    <n v="6862"/>
    <n v="0"/>
    <n v="0"/>
    <n v="6862"/>
    <n v="0"/>
    <n v="6862"/>
    <m/>
    <m/>
    <m/>
    <s v="Syed Waqas"/>
    <n v="1802.130000000036"/>
    <n v="668.08"/>
    <m/>
  </r>
  <r>
    <n v="1596"/>
    <x v="251"/>
    <x v="1183"/>
    <s v=" -"/>
    <s v=" MOTOR"/>
    <d v="2024-12-29T00:00:00"/>
    <d v="2024-02-06T00:00:00"/>
    <d v="2025-02-05T00:00:00"/>
    <s v=" 08815864"/>
    <s v="Mr. Hammad Ashiq _x000a_CNIC No. 35202-9043965-9_x000a_Cell No. 0323-2323507"/>
    <m/>
    <s v="KIA SPORTAGE FWD"/>
    <s v="ATB-054"/>
    <s v="G4NALH345231"/>
    <s v="NNAQL51AZKP510106"/>
    <s v="2021"/>
    <m/>
    <m/>
    <s v=" D"/>
    <s v="09000210-Tariq Shahzad"/>
    <n v="-1"/>
    <n v="-37994"/>
    <n v="-380"/>
    <n v="0"/>
    <n v="0"/>
    <n v="-38374"/>
    <n v="0"/>
    <n v="0"/>
    <n v="-38374"/>
    <n v="0"/>
    <n v="-38374"/>
    <m/>
    <m/>
    <m/>
    <s v="Syed Waqas"/>
    <m/>
    <m/>
    <m/>
  </r>
  <r>
    <n v="1601"/>
    <x v="252"/>
    <x v="24"/>
    <s v=" -"/>
    <s v=" MOTOR"/>
    <d v="2024-02-07T00:00:00"/>
    <d v="2024-02-07T00:00:00"/>
    <d v="2025-02-06T00:00:00"/>
    <s v=" 08809654"/>
    <s v="Mr. Ibrahim Ahmed Cheema_x000a_CNIC# 33100-0614095-5_x000a_CELL# 03096890000"/>
    <m/>
    <s v="TOYOTA COROLLA GLI"/>
    <s v="AAD-988"/>
    <s v="Z369757"/>
    <s v="NZE170R-4057040"/>
    <s v="2015"/>
    <s v="33100-0614095-5"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ibrahimacheema@gmail.com"/>
  </r>
  <r>
    <n v="1602"/>
    <x v="252"/>
    <x v="1184"/>
    <s v=" -"/>
    <s v=" MOTOR"/>
    <d v="2024-12-29T00:00:00"/>
    <d v="2024-02-07T00:00:00"/>
    <d v="2025-02-06T00:00:00"/>
    <s v=" 08809654"/>
    <s v="Mr. Ibrahim Ahmed Cheema_x000a_CNIC# 33100-0614095-5_x000a_CELL# 03096890000"/>
    <m/>
    <s v="TOYOTA COROLLA GLI"/>
    <s v="AAD-988"/>
    <s v="Z369757"/>
    <s v="NZE170R-4057040"/>
    <s v="2015"/>
    <s v="33100-0614095-5"/>
    <m/>
    <s v=" D"/>
    <s v="09000221-Muhammad Irfan"/>
    <n v="-1"/>
    <n v="-49"/>
    <n v="-1"/>
    <n v="0"/>
    <n v="0"/>
    <n v="-50"/>
    <n v="0"/>
    <n v="0"/>
    <n v="-50"/>
    <n v="0"/>
    <n v="-50"/>
    <m/>
    <m/>
    <m/>
    <s v="Maria Tauqeer Qazi"/>
    <m/>
    <m/>
    <m/>
  </r>
  <r>
    <n v="1603"/>
    <x v="253"/>
    <x v="1185"/>
    <s v=" -"/>
    <s v=" MOTOR"/>
    <d v="2024-06-03T00:00:00"/>
    <d v="2024-02-02T00:00:00"/>
    <d v="2025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4000000"/>
    <n v="245"/>
    <n v="3"/>
    <n v="32"/>
    <n v="0"/>
    <n v="280"/>
    <n v="0"/>
    <n v="0"/>
    <n v="280"/>
    <n v="0"/>
    <n v="280"/>
    <m/>
    <m/>
    <m/>
    <s v="Maria Tauqeer Qazi"/>
    <n v="85.130000000000095"/>
    <n v="51.05"/>
    <m/>
  </r>
  <r>
    <n v="1604"/>
    <x v="253"/>
    <x v="1186"/>
    <s v=" -"/>
    <s v=" MOTOR"/>
    <d v="2024-12-29T00:00:00"/>
    <d v="2024-02-02T00:00:00"/>
    <d v="2025-02-01T00:00:00"/>
    <s v=" 08809598"/>
    <s v="Syed Hammad Karim_x000a_CNIC# 42101-9980056-1_x000a_CELL# 03463330066"/>
    <m/>
    <s v="TOYOTA AQUA"/>
    <s v="BQL-996"/>
    <s v="1NZ-7748413"/>
    <s v="NHP10-2489038"/>
    <s v="2015"/>
    <s v="42101-9980056-1"/>
    <m/>
    <s v=" D"/>
    <s v="09000221-Muhammad Irfan"/>
    <n v="-1"/>
    <n v="-277"/>
    <n v="-3"/>
    <n v="0"/>
    <n v="0"/>
    <n v="-280"/>
    <n v="0"/>
    <n v="0"/>
    <n v="-280"/>
    <n v="0"/>
    <n v="-280"/>
    <m/>
    <m/>
    <m/>
    <s v="Maria Tauqeer Qazi"/>
    <m/>
    <m/>
    <m/>
  </r>
  <r>
    <n v="1605"/>
    <x v="254"/>
    <x v="1187"/>
    <s v=" -"/>
    <s v=" MOTOR"/>
    <d v="2024-07-04T00:00:00"/>
    <d v="2024-02-04T00:00:00"/>
    <d v="2025-02-03T00:00:00"/>
    <s v=" 08809612"/>
    <s v="Mr. Muhammad Fahad Ameen Ramay_x000a_CNIC# 36401-9258094-7_x000a_CELL# 03087267799 - 03136531775"/>
    <m/>
    <s v="CHANGAN ALSVIN LUMEIRE"/>
    <s v="ANE-091"/>
    <s v="JL473QFN3CAD51729"/>
    <s v="NKMA2ASE5N1010652"/>
    <s v="2023"/>
    <s v="36401-9258094-7"/>
    <m/>
    <s v=" D"/>
    <s v="09000221-Muhammad Irfan"/>
    <n v="3900000"/>
    <n v="970"/>
    <n v="10"/>
    <n v="146"/>
    <n v="0"/>
    <n v="1126"/>
    <n v="0"/>
    <n v="0"/>
    <n v="1126"/>
    <n v="0"/>
    <n v="1126"/>
    <m/>
    <m/>
    <m/>
    <s v="Maria Tauqeer Qazi"/>
    <n v="755.95"/>
    <n v="211.25"/>
    <m/>
  </r>
  <r>
    <n v="1606"/>
    <x v="254"/>
    <x v="1188"/>
    <s v=" -"/>
    <s v=" MOTOR"/>
    <d v="2024-08-07T00:00:00"/>
    <d v="2024-02-04T00:00:00"/>
    <d v="2025-02-03T00:00:00"/>
    <s v=" 08809612"/>
    <s v="Mr. Muhammad Fahad Ameen Ramay_x000a_CNIC# 36401-9258094-7_x000a_CELL# 03087267799 - 03136531775"/>
    <m/>
    <s v="CHANGAN ALSVIN LUMEIRE"/>
    <s v="ANE-091"/>
    <s v="JL473QFN3CAD51729"/>
    <s v="NKMA2ASE5N1010652"/>
    <s v="2023"/>
    <s v="36401-9258094-7"/>
    <m/>
    <s v=" D"/>
    <s v="09000221-Muhammad Irfan"/>
    <n v="3900000"/>
    <n v="671"/>
    <n v="7"/>
    <n v="101"/>
    <n v="0"/>
    <n v="779"/>
    <n v="0"/>
    <n v="0"/>
    <n v="779"/>
    <n v="0"/>
    <n v="779"/>
    <m/>
    <m/>
    <m/>
    <s v="Maria Tauqeer Qazi"/>
    <n v="663.34"/>
    <n v="146.17000000000002"/>
    <m/>
  </r>
  <r>
    <n v="1607"/>
    <x v="254"/>
    <x v="1189"/>
    <s v=" -"/>
    <s v=" MOTOR"/>
    <d v="2024-10-31T00:00:00"/>
    <d v="2024-02-04T00:00:00"/>
    <d v="2025-02-03T00:00:00"/>
    <s v=" 08809612"/>
    <s v="Mr. Muhammad Fahad Ameen Ramay_x000a_CNIC# 36401-9258094-7_x000a_CELL# 03087267799 - 03136531775"/>
    <m/>
    <s v="CHANGAN ALSVIN LUMEIRE"/>
    <s v="ANE-091"/>
    <s v="JL473QFN3CAD51729"/>
    <s v="NKMA2ASE5N1010652"/>
    <s v="2023"/>
    <s v="36401-9258094-7"/>
    <m/>
    <s v=" D"/>
    <s v="09000221-Muhammad Irfan"/>
    <n v="-1"/>
    <n v="-1886"/>
    <n v="-19"/>
    <n v="0"/>
    <n v="0"/>
    <n v="-1905"/>
    <n v="0"/>
    <n v="0"/>
    <n v="-1905"/>
    <n v="0"/>
    <n v="-1905"/>
    <m/>
    <m/>
    <m/>
    <s v="Maria Tauqeer Qazi"/>
    <m/>
    <m/>
    <m/>
  </r>
  <r>
    <n v="1609"/>
    <x v="255"/>
    <x v="1190"/>
    <s v=" -"/>
    <s v=" MOTOR"/>
    <d v="2025-02-21T00:00:00"/>
    <d v="2024-02-10T00:00:00"/>
    <d v="2025-02-09T00:00:00"/>
    <s v=" 08809737"/>
    <s v="Mr. Faz Khan_x000a_CNIC# 4220116754629_x000a_CELL# 03018486805"/>
    <m/>
    <s v="NISSAN DAYZ"/>
    <s v="BNB-919"/>
    <s v="3B20-JY9513"/>
    <s v="B21W-0223325"/>
    <s v="2015"/>
    <s v="4220116754629"/>
    <m/>
    <s v=" D"/>
    <s v="09000221-Muhammad Irfan"/>
    <n v="2300000"/>
    <n v="785"/>
    <n v="8"/>
    <n v="118"/>
    <n v="0"/>
    <n v="911"/>
    <n v="0"/>
    <n v="0"/>
    <n v="911"/>
    <n v="0"/>
    <n v="911"/>
    <m/>
    <m/>
    <m/>
    <s v="Maria Tauqeer Qazi"/>
    <n v="577.77"/>
    <n v="289.04000000000002"/>
    <m/>
  </r>
  <r>
    <n v="1610"/>
    <x v="255"/>
    <x v="1191"/>
    <s v=" -"/>
    <s v=" MOTOR"/>
    <d v="2025-02-26T00:00:00"/>
    <d v="2024-02-10T00:00:00"/>
    <d v="2025-02-09T00:00:00"/>
    <s v=" 08809737"/>
    <s v="Mr. Faz Khan_x000a_CNIC# 4220116754629_x000a_CELL# 03018486805"/>
    <m/>
    <s v="NISSAN DAYZ"/>
    <s v="BNB-919"/>
    <s v="3B20-JY9513"/>
    <s v="B21W-0223325"/>
    <s v="2015"/>
    <s v="4220116754629"/>
    <m/>
    <s v=" D"/>
    <s v="09000221-Muhammad Irfan"/>
    <n v="-1"/>
    <n v="-903"/>
    <n v="-8"/>
    <n v="0"/>
    <n v="0"/>
    <n v="-911"/>
    <n v="0"/>
    <n v="0"/>
    <n v="-911"/>
    <n v="0"/>
    <n v="-911"/>
    <m/>
    <m/>
    <m/>
    <s v="Maria Tauqeer Qazi"/>
    <m/>
    <m/>
    <s v="faz.khan25@hotmail.com"/>
  </r>
  <r>
    <n v="1614"/>
    <x v="256"/>
    <x v="24"/>
    <s v=" -"/>
    <s v=" MOTOR"/>
    <d v="2024-02-12T00:00:00"/>
    <d v="2024-02-13T00:00:00"/>
    <d v="2025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asad_id@hotmail.com"/>
  </r>
  <r>
    <n v="1615"/>
    <x v="256"/>
    <x v="1192"/>
    <s v=" -"/>
    <s v=" MOTOR"/>
    <d v="2024-03-14T00:00:00"/>
    <d v="2024-02-13T00:00:00"/>
    <d v="2025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4000000"/>
    <n v="5106"/>
    <n v="51"/>
    <n v="664"/>
    <n v="0"/>
    <n v="5821"/>
    <n v="0"/>
    <n v="0"/>
    <n v="5821"/>
    <n v="0"/>
    <n v="5821"/>
    <m/>
    <m/>
    <m/>
    <s v="Maria Tauqeer Qazi"/>
    <n v="1452.1100000000013"/>
    <n v="1061.22"/>
    <m/>
  </r>
  <r>
    <n v="1616"/>
    <x v="256"/>
    <x v="1193"/>
    <s v=" -"/>
    <s v=" MOTOR"/>
    <d v="2024-04-14T00:00:00"/>
    <d v="2024-02-13T00:00:00"/>
    <d v="2025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4000000"/>
    <n v="5151"/>
    <n v="52"/>
    <n v="669"/>
    <n v="0"/>
    <n v="5872"/>
    <n v="0"/>
    <n v="0"/>
    <n v="5872"/>
    <n v="0"/>
    <n v="5872"/>
    <m/>
    <m/>
    <m/>
    <s v="Maria Tauqeer Qazi"/>
    <n v="1842.12"/>
    <n v="1070.3900000000001"/>
    <m/>
  </r>
  <r>
    <n v="1617"/>
    <x v="256"/>
    <x v="1194"/>
    <s v=" -"/>
    <s v=" MOTOR"/>
    <d v="2024-05-14T00:00:00"/>
    <d v="2024-02-13T00:00:00"/>
    <d v="2025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4000000"/>
    <n v="2070"/>
    <n v="20"/>
    <n v="269"/>
    <n v="0"/>
    <n v="2359"/>
    <n v="0"/>
    <n v="0"/>
    <n v="2359"/>
    <n v="0"/>
    <n v="2359"/>
    <m/>
    <m/>
    <m/>
    <s v="Maria Tauqeer Qazi"/>
    <n v="760.97"/>
    <n v="430.46"/>
    <m/>
  </r>
  <r>
    <n v="1618"/>
    <x v="256"/>
    <x v="1195"/>
    <s v=" -"/>
    <s v=" MOTOR"/>
    <d v="2024-12-29T00:00:00"/>
    <d v="2024-02-13T00:00:00"/>
    <d v="2025-02-12T00:00:00"/>
    <s v=" 08809739"/>
    <s v="Mr. Asad Ali Nazeer_x000a_CNIC# 35202-3066538-1_x000a_CELL# 03001815220"/>
    <m/>
    <s v="TOYOTA COROLLA GLI"/>
    <s v="APC-835"/>
    <s v="Z567619"/>
    <s v="NZE170R-4193409"/>
    <s v="2019"/>
    <s v="35202-3066538-1"/>
    <m/>
    <s v=" D"/>
    <s v="09000221-Muhammad Irfan"/>
    <n v="-1"/>
    <n v="-13962"/>
    <n v="-140"/>
    <n v="0"/>
    <n v="0"/>
    <n v="-14102"/>
    <n v="0"/>
    <n v="0"/>
    <n v="-14102"/>
    <n v="0"/>
    <n v="-14102"/>
    <m/>
    <m/>
    <m/>
    <s v="Maria Tauqeer Qazi"/>
    <m/>
    <m/>
    <m/>
  </r>
  <r>
    <n v="1621"/>
    <x v="257"/>
    <x v="1196"/>
    <s v=" -"/>
    <s v=" MOTOR"/>
    <d v="2024-07-11T00:00:00"/>
    <d v="2024-02-09T00:00:00"/>
    <d v="2025-02-08T00:00:00"/>
    <s v=" 08815930"/>
    <s v="Mr. Hasnain _x000a_CNIC No. 42201-7355479-3_x000a_Cell No. 0311-8123679"/>
    <m/>
    <s v="SUZUKI ALTO VXR"/>
    <s v="BUV-407"/>
    <s v="6R187617"/>
    <s v="NF1AET306H1087668"/>
    <s v="2021"/>
    <m/>
    <m/>
    <s v=" D"/>
    <s v="09000210-Tariq Shahzad"/>
    <n v="2200000"/>
    <n v="2866"/>
    <n v="29"/>
    <n v="552"/>
    <n v="0"/>
    <n v="3447"/>
    <n v="0"/>
    <n v="0"/>
    <n v="3447"/>
    <n v="0"/>
    <n v="3447"/>
    <m/>
    <m/>
    <m/>
    <s v="Syed Waqas"/>
    <n v="1424.0900000000011"/>
    <n v="1142.19"/>
    <m/>
  </r>
  <r>
    <n v="1622"/>
    <x v="257"/>
    <x v="1197"/>
    <s v=" -"/>
    <s v=" MOTOR"/>
    <d v="2024-08-12T00:00:00"/>
    <d v="2024-02-09T00:00:00"/>
    <d v="2025-02-08T00:00:00"/>
    <s v=" 08815930"/>
    <s v="Mr. Hasnain _x000a_CNIC No. 42201-7355479-3_x000a_Cell No. 0311-8123679"/>
    <m/>
    <s v="SUZUKI ALTO VXR"/>
    <s v="BUV-407"/>
    <s v="6R187617"/>
    <s v="NF1AET306H1087668"/>
    <s v="2021"/>
    <m/>
    <m/>
    <s v=" D"/>
    <s v="09000210-Tariq Shahzad"/>
    <n v="2200000"/>
    <n v="3065"/>
    <n v="31"/>
    <n v="460"/>
    <n v="0"/>
    <n v="3556"/>
    <n v="0"/>
    <n v="0"/>
    <n v="3556"/>
    <n v="0"/>
    <n v="3556"/>
    <m/>
    <m/>
    <m/>
    <s v="Syed Waqas"/>
    <n v="1535.950000000001"/>
    <n v="1177.3800000000001"/>
    <m/>
  </r>
  <r>
    <n v="1623"/>
    <x v="257"/>
    <x v="1198"/>
    <s v=" -"/>
    <s v=" MOTOR"/>
    <d v="2024-09-11T00:00:00"/>
    <d v="2024-02-09T00:00:00"/>
    <d v="2025-02-08T00:00:00"/>
    <s v=" 08815930"/>
    <s v="Mr. Hasnain _x000a_CNIC No. 42201-7355479-3_x000a_Cell No. 0311-8123679"/>
    <m/>
    <s v="SUZUKI ALTO VXR"/>
    <s v="BUV-407"/>
    <s v="6R187617"/>
    <s v="NF1AET306H1087668"/>
    <s v="2021"/>
    <m/>
    <m/>
    <s v=" D"/>
    <s v="09000210-Tariq Shahzad"/>
    <n v="2200000"/>
    <n v="2988"/>
    <n v="30"/>
    <n v="448"/>
    <n v="0"/>
    <n v="3466"/>
    <n v="0"/>
    <n v="0"/>
    <n v="3466"/>
    <n v="0"/>
    <n v="3466"/>
    <m/>
    <m/>
    <m/>
    <s v="Syed Waqas"/>
    <n v="1492.69"/>
    <n v="1147.55"/>
    <m/>
  </r>
  <r>
    <n v="1624"/>
    <x v="257"/>
    <x v="1199"/>
    <s v=" -"/>
    <s v=" MOTOR"/>
    <d v="2024-10-10T00:00:00"/>
    <d v="2024-02-09T00:00:00"/>
    <d v="2025-02-08T00:00:00"/>
    <s v=" 08815930"/>
    <s v="Mr. Hasnain _x000a_CNIC No. 42201-7355479-3_x000a_Cell No. 0311-8123679"/>
    <m/>
    <s v="SUZUKI ALTO VXR"/>
    <s v="BUV-407"/>
    <s v="6R187617"/>
    <s v="NF1AET306H1087668"/>
    <s v="2021"/>
    <m/>
    <m/>
    <s v=" D"/>
    <s v="09000210-Tariq Shahzad"/>
    <n v="2200000"/>
    <n v="3028"/>
    <n v="30"/>
    <n v="454"/>
    <n v="0"/>
    <n v="3512"/>
    <n v="0"/>
    <n v="0"/>
    <n v="3512"/>
    <n v="0"/>
    <n v="3512"/>
    <m/>
    <m/>
    <m/>
    <s v="Syed Waqas"/>
    <n v="1404.1200000000019"/>
    <n v="1163.47"/>
    <m/>
  </r>
  <r>
    <n v="1625"/>
    <x v="257"/>
    <x v="1200"/>
    <s v=" -"/>
    <s v=" MOTOR"/>
    <d v="2024-11-12T00:00:00"/>
    <d v="2024-02-09T00:00:00"/>
    <d v="2025-02-08T00:00:00"/>
    <s v=" 08815930"/>
    <s v="Mr. Hasnain _x000a_CNIC No. 42201-7355479-3_x000a_Cell No. 0311-8123679"/>
    <m/>
    <s v="SUZUKI ALTO VXR"/>
    <s v="BUV-407"/>
    <s v="6R187617"/>
    <s v="NF1AET306H1087668"/>
    <s v="2021"/>
    <m/>
    <m/>
    <s v=" D"/>
    <s v="09000210-Tariq Shahzad"/>
    <n v="2200000"/>
    <n v="3142"/>
    <n v="31"/>
    <n v="471"/>
    <n v="0"/>
    <n v="3644"/>
    <n v="0"/>
    <n v="0"/>
    <n v="3644"/>
    <n v="0"/>
    <n v="3644"/>
    <m/>
    <m/>
    <m/>
    <s v="Syed Waqas"/>
    <n v="1408.5700000000024"/>
    <n v="1206.5900000000001"/>
    <m/>
  </r>
  <r>
    <n v="1626"/>
    <x v="257"/>
    <x v="1201"/>
    <s v=" -"/>
    <s v=" MOTOR"/>
    <d v="2024-12-10T00:00:00"/>
    <d v="2024-02-09T00:00:00"/>
    <d v="2025-02-08T00:00:00"/>
    <s v=" 08815930"/>
    <s v="Mr. Hasnain _x000a_CNIC No. 42201-7355479-3_x000a_Cell No. 0311-8123679"/>
    <m/>
    <s v="SUZUKI ALTO VXR"/>
    <s v="BUV-407"/>
    <s v="6R187617"/>
    <s v="NF1AET306H1087668"/>
    <s v="2021"/>
    <m/>
    <m/>
    <s v=" D"/>
    <s v="09000210-Tariq Shahzad"/>
    <n v="2200000"/>
    <n v="3022"/>
    <n v="30"/>
    <n v="453"/>
    <n v="0"/>
    <n v="3505"/>
    <n v="0"/>
    <n v="0"/>
    <n v="3505"/>
    <n v="0"/>
    <n v="3505"/>
    <m/>
    <m/>
    <m/>
    <s v="Syed Waqas"/>
    <n v="1341.3800000000019"/>
    <n v="1160.93"/>
    <m/>
  </r>
  <r>
    <n v="1627"/>
    <x v="257"/>
    <x v="1202"/>
    <s v=" -"/>
    <s v=" MOTOR"/>
    <d v="2024-12-29T00:00:00"/>
    <d v="2024-02-09T00:00:00"/>
    <d v="2025-02-08T00:00:00"/>
    <s v=" 08815930"/>
    <s v="Mr. Hasnain _x000a_CNIC No. 42201-7355479-3_x000a_Cell No. 0311-8123679"/>
    <m/>
    <s v="SUZUKI ALTO VXR"/>
    <s v="BUV-407"/>
    <s v="6R187617"/>
    <s v="NF1AET306H1087668"/>
    <s v="2021"/>
    <m/>
    <m/>
    <s v=" D"/>
    <s v="09000210-Tariq Shahzad"/>
    <n v="-1"/>
    <n v="-20921"/>
    <n v="-209"/>
    <n v="0"/>
    <n v="0"/>
    <n v="-21130"/>
    <n v="0"/>
    <n v="0"/>
    <n v="-21130"/>
    <n v="0"/>
    <n v="-21130"/>
    <m/>
    <m/>
    <m/>
    <s v="Syed Waqas"/>
    <m/>
    <m/>
    <m/>
  </r>
  <r>
    <n v="1628"/>
    <x v="258"/>
    <x v="1203"/>
    <s v=" -"/>
    <s v=" MOTOR"/>
    <d v="2024-05-13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5000000"/>
    <n v="7521"/>
    <n v="75"/>
    <n v="978"/>
    <n v="0"/>
    <n v="8574"/>
    <n v="0"/>
    <n v="0"/>
    <n v="8574"/>
    <n v="0"/>
    <n v="8574"/>
    <m/>
    <m/>
    <m/>
    <s v="AFSHEEN ISMAIL"/>
    <n v="3243.3500000000413"/>
    <n v="1252.55"/>
    <m/>
  </r>
  <r>
    <n v="1629"/>
    <x v="258"/>
    <x v="1204"/>
    <s v=" -"/>
    <s v=" MOTOR"/>
    <d v="2024-06-12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5000000"/>
    <n v="7121"/>
    <n v="72"/>
    <n v="926"/>
    <n v="0"/>
    <n v="8119"/>
    <n v="0"/>
    <n v="0"/>
    <n v="8119"/>
    <n v="0"/>
    <n v="8119"/>
    <m/>
    <m/>
    <m/>
    <s v="AFSHEEN ISMAIL"/>
    <n v="3455.5700000000452"/>
    <n v="1186.18"/>
    <m/>
  </r>
  <r>
    <n v="1630"/>
    <x v="258"/>
    <x v="1205"/>
    <s v=" -"/>
    <s v=" MOTOR"/>
    <d v="2024-07-13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5000000"/>
    <n v="7256"/>
    <n v="73"/>
    <n v="1089"/>
    <n v="0"/>
    <n v="8418"/>
    <n v="0"/>
    <n v="0"/>
    <n v="8418"/>
    <n v="0"/>
    <n v="8418"/>
    <m/>
    <m/>
    <m/>
    <s v="AFSHEEN ISMAIL"/>
    <n v="3122.8600000000501"/>
    <n v="1229.81"/>
    <m/>
  </r>
  <r>
    <n v="1631"/>
    <x v="258"/>
    <x v="1206"/>
    <s v=" -"/>
    <s v=" MOTOR"/>
    <d v="2024-08-13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5000000"/>
    <n v="6901"/>
    <n v="69"/>
    <n v="1035"/>
    <n v="0"/>
    <n v="8005"/>
    <n v="0"/>
    <n v="0"/>
    <n v="8005"/>
    <n v="0"/>
    <n v="8005"/>
    <m/>
    <m/>
    <m/>
    <s v="AFSHEEN ISMAIL"/>
    <n v="1868.2300000000009"/>
    <n v="1169.3700000000001"/>
    <m/>
  </r>
  <r>
    <n v="1632"/>
    <x v="258"/>
    <x v="1207"/>
    <s v=" -"/>
    <s v=" MOTOR"/>
    <d v="2024-09-14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5000000"/>
    <n v="7471"/>
    <n v="75"/>
    <n v="1121"/>
    <n v="0"/>
    <n v="8667"/>
    <n v="0"/>
    <n v="0"/>
    <n v="8667"/>
    <n v="0"/>
    <n v="8667"/>
    <m/>
    <m/>
    <m/>
    <s v="AFSHEEN ISMAIL"/>
    <n v="2163.7800000000034"/>
    <n v="1266.24"/>
    <m/>
  </r>
  <r>
    <n v="1633"/>
    <x v="258"/>
    <x v="1208"/>
    <s v=" -"/>
    <s v=" MOTOR"/>
    <d v="2024-10-14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5000000"/>
    <n v="7675"/>
    <n v="77"/>
    <n v="1151"/>
    <n v="0"/>
    <n v="8903"/>
    <n v="0"/>
    <n v="0"/>
    <n v="8903"/>
    <n v="0"/>
    <n v="8903"/>
    <m/>
    <m/>
    <m/>
    <s v="AFSHEEN ISMAIL"/>
    <n v="2734.1600000000112"/>
    <n v="1300.52"/>
    <m/>
  </r>
  <r>
    <n v="1634"/>
    <x v="258"/>
    <x v="1209"/>
    <s v=" -"/>
    <s v=" MOTOR"/>
    <d v="2024-11-13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5000000"/>
    <n v="7416"/>
    <n v="74"/>
    <n v="1112"/>
    <n v="0"/>
    <n v="8602"/>
    <n v="0"/>
    <n v="0"/>
    <n v="8602"/>
    <n v="0"/>
    <n v="8602"/>
    <m/>
    <m/>
    <m/>
    <s v="AFSHEEN ISMAIL"/>
    <n v="3566.850000000044"/>
    <n v="1256.77"/>
    <m/>
  </r>
  <r>
    <n v="1635"/>
    <x v="258"/>
    <x v="1210"/>
    <s v=" -"/>
    <s v=" MOTOR"/>
    <d v="2024-12-13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5000000"/>
    <n v="6670"/>
    <n v="67"/>
    <n v="1001"/>
    <n v="0"/>
    <n v="7738"/>
    <n v="0"/>
    <n v="0"/>
    <n v="7738"/>
    <n v="0"/>
    <n v="7738"/>
    <m/>
    <m/>
    <m/>
    <s v="AFSHEEN ISMAIL"/>
    <n v="2132.7600000000134"/>
    <n v="1130.24"/>
    <m/>
  </r>
  <r>
    <n v="1636"/>
    <x v="258"/>
    <x v="1211"/>
    <s v=" -"/>
    <s v=" MOTOR"/>
    <d v="2024-12-29T00:00:00"/>
    <d v="2024-02-12T00:00:00"/>
    <d v="2025-02-11T00:00:00"/>
    <s v=" 08815943"/>
    <s v="Mr. Rana Shakeel Azam _x000a_CNIC: 3650203610023_x000a_Cell: 03005261748"/>
    <m/>
    <s v="SUZUKI Swift GLX CVT"/>
    <s v="BAV-129"/>
    <s v="K12MR1008846"/>
    <s v="NF1SZC63S00108842"/>
    <s v="2022"/>
    <m/>
    <m/>
    <s v=" D"/>
    <s v="09000210-Tariq Shahzad"/>
    <n v="-1"/>
    <n v="-66362"/>
    <n v="-664"/>
    <n v="0"/>
    <n v="0"/>
    <n v="-67026"/>
    <n v="0"/>
    <n v="0"/>
    <n v="-67026"/>
    <n v="0"/>
    <n v="-67026"/>
    <m/>
    <m/>
    <m/>
    <s v="AFSHEEN ISMAIL"/>
    <m/>
    <m/>
    <m/>
  </r>
  <r>
    <n v="1651"/>
    <x v="259"/>
    <x v="1212"/>
    <s v=" -"/>
    <s v=" MOTOR"/>
    <d v="2024-05-17T00:00:00"/>
    <d v="2024-02-16T00:00:00"/>
    <d v="2025-02-15T00:00:00"/>
    <s v=" 08816042"/>
    <s v="Mr. Girdari Lal  _x000a_CNIC: 5140157882521_x000a_Cell: 03368544704"/>
    <m/>
    <s v="TOYOTA COROLLA ALTIS"/>
    <s v="BTM-280"/>
    <s v="Q071435"/>
    <s v="ZRE171R-6048906"/>
    <s v="2021"/>
    <m/>
    <m/>
    <s v=" D"/>
    <s v="09000210-Tariq Shahzad"/>
    <n v="5000000"/>
    <n v="617"/>
    <n v="6"/>
    <n v="80"/>
    <n v="0"/>
    <n v="703"/>
    <n v="688"/>
    <n v="0"/>
    <n v="15"/>
    <n v="0"/>
    <n v="15"/>
    <m/>
    <m/>
    <m/>
    <s v="AFSHEEN ISMAIL"/>
    <n v="103.81"/>
    <n v="102.7"/>
    <m/>
  </r>
  <r>
    <n v="1652"/>
    <x v="259"/>
    <x v="1213"/>
    <s v=" -"/>
    <s v=" MOTOR"/>
    <d v="2024-10-21T00:00:00"/>
    <d v="2024-02-16T00:00:00"/>
    <d v="2025-02-15T00:00:00"/>
    <s v=" 08816042"/>
    <s v="Mr. Girdari Lal  _x000a_CNIC: 5140157882521_x000a_Cell: 03368544704"/>
    <m/>
    <s v="TOYOTA COROLLA ALTIS"/>
    <s v="BTM-280"/>
    <s v="Q071435"/>
    <s v="ZRE171R-6048906"/>
    <s v="2021"/>
    <m/>
    <m/>
    <s v=" D"/>
    <s v="09000210-Tariq Shahzad"/>
    <n v="5000000"/>
    <n v="1744"/>
    <n v="17"/>
    <n v="261"/>
    <n v="0"/>
    <n v="2022"/>
    <n v="0"/>
    <n v="0"/>
    <n v="2022"/>
    <n v="0"/>
    <n v="2022"/>
    <m/>
    <m/>
    <m/>
    <s v="AFSHEEN ISMAIL"/>
    <n v="1358.15"/>
    <n v="295.36"/>
    <m/>
  </r>
  <r>
    <n v="1653"/>
    <x v="259"/>
    <x v="1214"/>
    <s v=" -"/>
    <s v=" MOTOR"/>
    <d v="2024-10-30T00:00:00"/>
    <d v="2024-02-16T00:00:00"/>
    <d v="2025-02-15T00:00:00"/>
    <s v=" 08816042"/>
    <s v="Mr. Girdari Lal  _x000a_CNIC: 5140157882521_x000a_Cell: 03368544704"/>
    <m/>
    <s v="TOYOTA COROLLA ALTIS"/>
    <s v="BTM-280"/>
    <s v="Q071435"/>
    <s v="ZRE171R-6048906"/>
    <s v="2021"/>
    <m/>
    <m/>
    <s v=" D"/>
    <s v="09000210-Tariq Shahzad"/>
    <n v="-1"/>
    <n v="-2017"/>
    <n v="-20"/>
    <n v="0"/>
    <n v="0"/>
    <n v="-2037"/>
    <n v="0"/>
    <n v="0"/>
    <n v="-2037"/>
    <n v="0"/>
    <n v="-2037"/>
    <m/>
    <m/>
    <m/>
    <s v="AFSHEEN ISMAIL"/>
    <m/>
    <m/>
    <s v="sk68544704@gmail.com"/>
  </r>
  <r>
    <n v="1654"/>
    <x v="260"/>
    <x v="1215"/>
    <s v=" -"/>
    <s v=" MOTOR"/>
    <d v="2024-03-21T00:00:00"/>
    <d v="2024-02-20T00:00:00"/>
    <d v="2025-02-19T00:00:00"/>
    <s v=" 08809871"/>
    <s v="Mrs. Saira Adnan_x000a_CNIC# 42301-2061696-6_x000a_CELL# 0321-2490331"/>
    <m/>
    <s v="KIA SPORTAGE"/>
    <s v="BK-2550"/>
    <s v="G4NAMH321952"/>
    <s v="NNAQL51AZLP103029"/>
    <s v="2022"/>
    <s v="42301-2061696-6"/>
    <m/>
    <s v=" D"/>
    <s v="09000221-Muhammad Irfan"/>
    <n v="6300000"/>
    <n v="6006"/>
    <n v="60"/>
    <n v="781"/>
    <n v="0"/>
    <n v="6847"/>
    <n v="0"/>
    <n v="0"/>
    <n v="6847"/>
    <n v="0"/>
    <n v="6847"/>
    <m/>
    <m/>
    <m/>
    <s v="Maria Tauqeer Qazi"/>
    <n v="821.44000000000096"/>
    <n v="793.31"/>
    <m/>
  </r>
  <r>
    <n v="1655"/>
    <x v="260"/>
    <x v="1216"/>
    <s v=" -"/>
    <s v=" MOTOR"/>
    <d v="2024-04-21T00:00:00"/>
    <d v="2024-02-20T00:00:00"/>
    <d v="2025-02-19T00:00:00"/>
    <s v=" 08809871"/>
    <s v="Mrs. Saira Adnan_x000a_CNIC# 42301-2061696-6_x000a_CELL# 0321-2490331"/>
    <m/>
    <s v="KIA SPORTAGE"/>
    <s v="BK-2550"/>
    <s v="G4NAMH321952"/>
    <s v="NNAQL51AZLP103029"/>
    <s v="2022"/>
    <s v="42301-2061696-6"/>
    <m/>
    <s v=" D"/>
    <s v="09000221-Muhammad Irfan"/>
    <n v="6300000"/>
    <n v="4819"/>
    <n v="48"/>
    <n v="626"/>
    <n v="0"/>
    <n v="5493"/>
    <n v="0"/>
    <n v="0"/>
    <n v="5493"/>
    <n v="0"/>
    <n v="5493"/>
    <m/>
    <m/>
    <m/>
    <s v="Maria Tauqeer Qazi"/>
    <n v="641.88"/>
    <n v="636.42999999999995"/>
    <m/>
  </r>
  <r>
    <n v="1656"/>
    <x v="260"/>
    <x v="1217"/>
    <s v=" -"/>
    <s v=" MOTOR"/>
    <d v="2024-12-23T00:00:00"/>
    <d v="2024-02-20T00:00:00"/>
    <d v="2025-02-19T00:00:00"/>
    <s v=" 08809871"/>
    <s v="Mrs. Saira Adnan_x000a_CNIC# 42301-2061696-6_x000a_CELL# 0321-2490331"/>
    <m/>
    <s v="KIA SPORTAGE"/>
    <s v="BK-2550"/>
    <s v="G4NAMH321952"/>
    <s v="NNAQL51AZLP103029"/>
    <s v="2022"/>
    <s v="42301-2061696-6"/>
    <m/>
    <s v=" D"/>
    <s v="09000221-Muhammad Irfan"/>
    <n v="6300000"/>
    <n v="5872"/>
    <n v="59"/>
    <n v="881"/>
    <n v="0"/>
    <n v="6812"/>
    <n v="0"/>
    <n v="0"/>
    <n v="6812"/>
    <n v="0"/>
    <n v="6812"/>
    <m/>
    <m/>
    <m/>
    <s v="Maria Tauqeer Qazi"/>
    <n v="885.27"/>
    <n v="789.38"/>
    <m/>
  </r>
  <r>
    <n v="1657"/>
    <x v="260"/>
    <x v="1218"/>
    <s v=" -"/>
    <s v=" MOTOR"/>
    <d v="2024-12-29T00:00:00"/>
    <d v="2024-02-20T00:00:00"/>
    <d v="2025-02-19T00:00:00"/>
    <s v=" 08809871"/>
    <s v="Mrs. Saira Adnan_x000a_CNIC# 42301-2061696-6_x000a_CELL# 0321-2490331"/>
    <m/>
    <s v="KIA SPORTAGE"/>
    <s v="BK-2550"/>
    <s v="G4NAMH321952"/>
    <s v="NNAQL51AZLP103029"/>
    <s v="2022"/>
    <s v="42301-2061696-6"/>
    <m/>
    <s v=" D"/>
    <s v="09000221-Muhammad Irfan"/>
    <n v="-1"/>
    <n v="-18962"/>
    <n v="-190"/>
    <n v="0"/>
    <n v="0"/>
    <n v="-19152"/>
    <n v="0"/>
    <n v="0"/>
    <n v="-19152"/>
    <n v="0"/>
    <n v="-19152"/>
    <m/>
    <m/>
    <m/>
    <s v="Maria Tauqeer Qazi"/>
    <m/>
    <m/>
    <m/>
  </r>
  <r>
    <n v="1662"/>
    <x v="261"/>
    <x v="1219"/>
    <s v=" -"/>
    <s v=" MOTOR"/>
    <d v="2024-03-22T00:00:00"/>
    <d v="2024-02-22T00:00:00"/>
    <d v="2025-02-21T00:00:00"/>
    <s v=" 08803869"/>
    <s v="Majlis e Ilmi (User Name: Suleman)  _x000a_CNIC: 4210175638923_x000a_Cell: 03142200820"/>
    <m/>
    <s v="CHANGAN ALSVIN"/>
    <s v="BTW-953"/>
    <s v="JL473QFM3CAD501547"/>
    <s v="NKMA2ASE5M1000861"/>
    <s v="2021"/>
    <m/>
    <m/>
    <s v=" D"/>
    <s v="09000210-Tariq Shahzad"/>
    <n v="3500000"/>
    <n v="1134"/>
    <n v="12"/>
    <n v="148"/>
    <n v="0"/>
    <n v="1294"/>
    <n v="0"/>
    <n v="0"/>
    <n v="1294"/>
    <n v="0"/>
    <n v="1294"/>
    <m/>
    <m/>
    <m/>
    <s v="AFSHEEN ISMAIL"/>
    <n v="287.87"/>
    <n v="269.74"/>
    <m/>
  </r>
  <r>
    <n v="1663"/>
    <x v="261"/>
    <x v="1220"/>
    <s v=" -"/>
    <s v=" MOTOR"/>
    <d v="2024-12-29T00:00:00"/>
    <d v="2024-02-22T00:00:00"/>
    <d v="2025-02-21T00:00:00"/>
    <s v=" 08803869"/>
    <s v="Majlis e Ilmi (User Name: Suleman)  _x000a_CNIC: 4210175638923_x000a_Cell: 03142200820"/>
    <m/>
    <s v="CHANGAN ALSVIN"/>
    <s v="BTW-953"/>
    <s v="JL473QFM3CAD501547"/>
    <s v="NKMA2ASE5M1000861"/>
    <s v="2021"/>
    <m/>
    <m/>
    <s v=" D"/>
    <s v="09000210-Tariq Shahzad"/>
    <n v="-1"/>
    <n v="-1281"/>
    <n v="-13"/>
    <n v="0"/>
    <n v="0"/>
    <n v="-1294"/>
    <n v="0"/>
    <n v="0"/>
    <n v="-1294"/>
    <n v="0"/>
    <n v="-1294"/>
    <m/>
    <m/>
    <m/>
    <s v="AFSHEEN ISMAIL"/>
    <m/>
    <m/>
    <m/>
  </r>
  <r>
    <n v="1664"/>
    <x v="262"/>
    <x v="1221"/>
    <s v=" -"/>
    <s v=" MOTOR"/>
    <d v="2024-05-27T00:00:00"/>
    <d v="2024-02-25T00:00:00"/>
    <d v="2025-02-24T00:00:00"/>
    <s v=" 08803488"/>
    <s v="Mr. Muhammad Saqib Ayub Khan_x000a_CNIC# 42000-9401427-7_x000a_Cell No. 0300 2115316"/>
    <m/>
    <s v="DAIHATSU MOVE"/>
    <s v="BVX-139"/>
    <s v="KF-L947233"/>
    <s v="LA150S-0146240"/>
    <s v="2018"/>
    <s v="42000-9401427-7"/>
    <m/>
    <s v=" D"/>
    <s v="09000221-Muhammad Irfan"/>
    <n v="2100000"/>
    <n v="2301"/>
    <n v="23"/>
    <n v="299"/>
    <n v="0"/>
    <n v="2623"/>
    <n v="0"/>
    <n v="0"/>
    <n v="2623"/>
    <n v="0"/>
    <n v="2623"/>
    <m/>
    <m/>
    <m/>
    <s v="Maria Tauqeer Qazi"/>
    <n v="1154.5700000000011"/>
    <n v="915.15"/>
    <m/>
  </r>
  <r>
    <n v="1665"/>
    <x v="262"/>
    <x v="1222"/>
    <s v=" -"/>
    <s v=" MOTOR"/>
    <d v="2024-05-27T00:00:00"/>
    <d v="2024-02-25T00:00:00"/>
    <d v="2025-02-24T00:00:00"/>
    <s v=" 08803488"/>
    <s v="Mr. Muhammad Saqib Ayub Khan_x000a_CNIC# 42000-9401427-7_x000a_Cell No. 0300 2115316"/>
    <m/>
    <s v="DAIHATSU MOVE"/>
    <s v="BVX-139"/>
    <s v="KF-L947233"/>
    <s v="LA150S-0146240"/>
    <s v="2018"/>
    <s v="42000-9401427-7"/>
    <m/>
    <s v=" D"/>
    <s v="09000221-Muhammad Irfan"/>
    <n v="2100000"/>
    <n v="418"/>
    <n v="5"/>
    <n v="55"/>
    <n v="0"/>
    <n v="478"/>
    <n v="0"/>
    <n v="0"/>
    <n v="478"/>
    <n v="0"/>
    <n v="478"/>
    <m/>
    <m/>
    <m/>
    <s v="Maria Tauqeer Qazi"/>
    <n v="215.76000000000005"/>
    <n v="166.57"/>
    <m/>
  </r>
  <r>
    <n v="1666"/>
    <x v="262"/>
    <x v="1223"/>
    <s v=" -"/>
    <s v=" MOTOR"/>
    <d v="2024-10-31T00:00:00"/>
    <d v="2024-02-25T00:00:00"/>
    <d v="2025-02-24T00:00:00"/>
    <s v=" 08803488"/>
    <s v="Mr. Muhammad Saqib Ayub Khan_x000a_CNIC# 42000-9401427-7_x000a_Cell No. 0300 2115316"/>
    <m/>
    <s v="DAIHATSU MOVE"/>
    <s v="BVX-139"/>
    <s v="KF-L947233"/>
    <s v="LA150S-0146240"/>
    <s v="2018"/>
    <s v="42000-9401427-7"/>
    <m/>
    <s v=" D"/>
    <s v="09000221-Muhammad Irfan"/>
    <n v="-1"/>
    <n v="-3070"/>
    <n v="-31"/>
    <n v="0"/>
    <n v="0"/>
    <n v="-3101"/>
    <n v="0"/>
    <n v="0"/>
    <n v="-3101"/>
    <n v="0"/>
    <n v="-3101"/>
    <m/>
    <m/>
    <m/>
    <s v="Maria Tauqeer Qazi"/>
    <m/>
    <m/>
    <m/>
  </r>
  <r>
    <n v="1667"/>
    <x v="263"/>
    <x v="1224"/>
    <s v=" -"/>
    <s v=" MOTOR"/>
    <d v="2024-05-24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3000000"/>
    <n v="303"/>
    <n v="3"/>
    <n v="40"/>
    <n v="0"/>
    <n v="346"/>
    <n v="0"/>
    <n v="0"/>
    <n v="346"/>
    <n v="0"/>
    <n v="346"/>
    <m/>
    <m/>
    <m/>
    <s v="Maria Tauqeer Qazi"/>
    <n v="83.95999999999998"/>
    <n v="83.95999999999998"/>
    <m/>
  </r>
  <r>
    <n v="1668"/>
    <x v="263"/>
    <x v="1225"/>
    <s v=" -"/>
    <s v=" MOTOR"/>
    <d v="2024-06-25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3000000"/>
    <n v="1280"/>
    <n v="13"/>
    <n v="166"/>
    <n v="0"/>
    <n v="1459"/>
    <n v="0"/>
    <n v="0"/>
    <n v="1459"/>
    <n v="0"/>
    <n v="1459"/>
    <m/>
    <m/>
    <m/>
    <s v="Maria Tauqeer Qazi"/>
    <n v="1008.7599999999981"/>
    <n v="355.03"/>
    <m/>
  </r>
  <r>
    <n v="1669"/>
    <x v="263"/>
    <x v="1226"/>
    <s v=" -"/>
    <s v=" MOTOR"/>
    <d v="2024-07-26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3000000"/>
    <n v="967"/>
    <n v="10"/>
    <n v="145"/>
    <n v="0"/>
    <n v="1122"/>
    <n v="0"/>
    <n v="0"/>
    <n v="1122"/>
    <n v="0"/>
    <n v="1122"/>
    <m/>
    <m/>
    <m/>
    <s v="Maria Tauqeer Qazi"/>
    <n v="1005.0299999999971"/>
    <n v="273.13000000000005"/>
    <m/>
  </r>
  <r>
    <n v="1670"/>
    <x v="263"/>
    <x v="1227"/>
    <s v=" -"/>
    <s v=" MOTOR"/>
    <d v="2024-08-29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3000000"/>
    <n v="1137"/>
    <n v="11"/>
    <n v="170"/>
    <n v="0"/>
    <n v="1318"/>
    <n v="0"/>
    <n v="0"/>
    <n v="1318"/>
    <n v="0"/>
    <n v="1318"/>
    <m/>
    <m/>
    <m/>
    <s v="Maria Tauqeer Qazi"/>
    <n v="322.49"/>
    <n v="320.87"/>
    <m/>
  </r>
  <r>
    <n v="1671"/>
    <x v="263"/>
    <x v="1228"/>
    <s v=" -"/>
    <s v=" MOTOR"/>
    <d v="2024-09-28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3000000"/>
    <n v="858"/>
    <n v="9"/>
    <n v="129"/>
    <n v="0"/>
    <n v="996"/>
    <n v="0"/>
    <n v="0"/>
    <n v="996"/>
    <n v="0"/>
    <n v="996"/>
    <m/>
    <m/>
    <m/>
    <s v="Maria Tauqeer Qazi"/>
    <n v="301.31"/>
    <n v="242.12"/>
    <m/>
  </r>
  <r>
    <n v="1672"/>
    <x v="263"/>
    <x v="1229"/>
    <s v=" -"/>
    <s v=" MOTOR"/>
    <d v="2024-10-25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3000000"/>
    <n v="296"/>
    <n v="3"/>
    <n v="44"/>
    <n v="0"/>
    <n v="343"/>
    <n v="0"/>
    <n v="0"/>
    <n v="343"/>
    <n v="0"/>
    <n v="343"/>
    <m/>
    <m/>
    <m/>
    <s v="Maria Tauqeer Qazi"/>
    <n v="83.200000000000102"/>
    <n v="83.200000000000102"/>
    <m/>
  </r>
  <r>
    <n v="1673"/>
    <x v="263"/>
    <x v="1230"/>
    <s v=" -"/>
    <s v=" MOTOR"/>
    <d v="2024-11-26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3000000"/>
    <n v="375"/>
    <n v="4"/>
    <n v="56"/>
    <n v="0"/>
    <n v="435"/>
    <n v="0"/>
    <n v="0"/>
    <n v="435"/>
    <n v="0"/>
    <n v="435"/>
    <m/>
    <m/>
    <m/>
    <s v="Maria Tauqeer Qazi"/>
    <n v="106.14"/>
    <n v="106.14"/>
    <m/>
  </r>
  <r>
    <n v="1674"/>
    <x v="263"/>
    <x v="1231"/>
    <s v=" -"/>
    <s v=" MOTOR"/>
    <d v="2024-12-26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3000000"/>
    <n v="370"/>
    <n v="4"/>
    <n v="55"/>
    <n v="0"/>
    <n v="429"/>
    <n v="0"/>
    <n v="0"/>
    <n v="429"/>
    <n v="0"/>
    <n v="429"/>
    <m/>
    <m/>
    <m/>
    <s v="Maria Tauqeer Qazi"/>
    <n v="104.13"/>
    <n v="104.13"/>
    <m/>
  </r>
  <r>
    <n v="1675"/>
    <x v="263"/>
    <x v="1232"/>
    <s v=" -"/>
    <s v=" MOTOR"/>
    <d v="2024-12-29T00:00:00"/>
    <d v="2024-02-24T00:00:00"/>
    <d v="2025-02-23T00:00:00"/>
    <s v=" 08809922"/>
    <s v="Mr. Aveenash_x000a_CNIC# 43205-4760688-5_x000a_CELL# 03313419349"/>
    <m/>
    <s v="SUZUKI CULTUS VXR"/>
    <s v="BVW-706"/>
    <s v="PK10K193419"/>
    <s v="NF1AVK31H10093407"/>
    <s v="2022"/>
    <s v="43205-4760688-5"/>
    <m/>
    <s v=" D"/>
    <s v="09000221-Muhammad Irfan"/>
    <n v="-1"/>
    <n v="-6384"/>
    <n v="-64"/>
    <n v="0"/>
    <n v="0"/>
    <n v="-6448"/>
    <n v="0"/>
    <n v="0"/>
    <n v="-6448"/>
    <n v="0"/>
    <n v="-6448"/>
    <m/>
    <m/>
    <m/>
    <s v="Maria Tauqeer Qazi"/>
    <m/>
    <m/>
    <m/>
  </r>
  <r>
    <n v="1676"/>
    <x v="264"/>
    <x v="1233"/>
    <s v=" -"/>
    <s v=" MOTOR"/>
    <d v="2024-05-24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5600000"/>
    <n v="5770"/>
    <n v="58"/>
    <n v="751"/>
    <n v="0"/>
    <n v="6579"/>
    <n v="0"/>
    <n v="0"/>
    <n v="6579"/>
    <n v="0"/>
    <n v="6579"/>
    <m/>
    <m/>
    <m/>
    <s v="Direct Client"/>
    <n v="1328.200000000001"/>
    <n v="858"/>
    <m/>
  </r>
  <r>
    <n v="1677"/>
    <x v="264"/>
    <x v="1234"/>
    <s v=" -"/>
    <s v=" MOTOR"/>
    <d v="2024-06-25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5600000"/>
    <n v="6668"/>
    <n v="67"/>
    <n v="866"/>
    <n v="0"/>
    <n v="7601"/>
    <n v="0"/>
    <n v="0"/>
    <n v="7601"/>
    <n v="0"/>
    <n v="7601"/>
    <m/>
    <m/>
    <m/>
    <s v="Direct Client"/>
    <n v="1836.4600000000009"/>
    <n v="991.17"/>
    <m/>
  </r>
  <r>
    <n v="1678"/>
    <x v="264"/>
    <x v="1235"/>
    <s v=" -"/>
    <s v=" MOTOR"/>
    <d v="2024-07-26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5600000"/>
    <n v="5893"/>
    <n v="59"/>
    <n v="884"/>
    <n v="0"/>
    <n v="6836"/>
    <n v="0"/>
    <n v="0"/>
    <n v="6836"/>
    <n v="0"/>
    <n v="6836"/>
    <m/>
    <m/>
    <m/>
    <s v="Direct Client"/>
    <n v="1251.8"/>
    <n v="891.48"/>
    <m/>
  </r>
  <r>
    <n v="1679"/>
    <x v="264"/>
    <x v="1236"/>
    <s v=" -"/>
    <s v=" MOTOR"/>
    <d v="2024-08-29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5600000"/>
    <n v="5428"/>
    <n v="54"/>
    <n v="814"/>
    <n v="0"/>
    <n v="6296"/>
    <n v="0"/>
    <n v="0"/>
    <n v="6296"/>
    <n v="0"/>
    <n v="6296"/>
    <m/>
    <m/>
    <m/>
    <s v="Direct Client"/>
    <n v="1042.49"/>
    <n v="820.8"/>
    <m/>
  </r>
  <r>
    <n v="1680"/>
    <x v="264"/>
    <x v="1237"/>
    <s v=" -"/>
    <s v=" MOTOR"/>
    <d v="2024-09-28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5600000"/>
    <n v="6895"/>
    <n v="69"/>
    <n v="1034"/>
    <n v="0"/>
    <n v="7998"/>
    <n v="0"/>
    <n v="0"/>
    <n v="7998"/>
    <n v="0"/>
    <n v="7998"/>
    <m/>
    <m/>
    <m/>
    <s v="Direct Client"/>
    <n v="1343.03"/>
    <n v="1042.82"/>
    <m/>
  </r>
  <r>
    <n v="1681"/>
    <x v="264"/>
    <x v="1238"/>
    <s v=" -"/>
    <s v=" MOTOR"/>
    <d v="2024-10-25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5600000"/>
    <n v="6345"/>
    <n v="63"/>
    <n v="952"/>
    <n v="0"/>
    <n v="7360"/>
    <n v="0"/>
    <n v="0"/>
    <n v="7360"/>
    <n v="0"/>
    <n v="7360"/>
    <m/>
    <m/>
    <m/>
    <s v="Direct Client"/>
    <n v="1390.38"/>
    <n v="959.67"/>
    <m/>
  </r>
  <r>
    <n v="1682"/>
    <x v="264"/>
    <x v="1239"/>
    <s v=" -"/>
    <s v=" MOTOR"/>
    <d v="2024-11-26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5600000"/>
    <n v="6097"/>
    <n v="61"/>
    <n v="914"/>
    <n v="0"/>
    <n v="7072"/>
    <n v="0"/>
    <n v="0"/>
    <n v="7072"/>
    <n v="0"/>
    <n v="7072"/>
    <m/>
    <m/>
    <m/>
    <s v="Direct Client"/>
    <n v="1055.8800000000001"/>
    <n v="922.34"/>
    <m/>
  </r>
  <r>
    <n v="1683"/>
    <x v="264"/>
    <x v="1240"/>
    <s v=" -"/>
    <s v=" MOTOR"/>
    <d v="2024-12-26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5600000"/>
    <n v="6951"/>
    <n v="70"/>
    <n v="1043"/>
    <n v="0"/>
    <n v="8064"/>
    <n v="0"/>
    <n v="0"/>
    <n v="8064"/>
    <n v="0"/>
    <n v="8064"/>
    <m/>
    <m/>
    <m/>
    <s v="Direct Client"/>
    <n v="1765.72"/>
    <n v="1051.5899999999999"/>
    <m/>
  </r>
  <r>
    <n v="1684"/>
    <x v="264"/>
    <x v="1241"/>
    <s v=" -"/>
    <s v=" MOTOR"/>
    <d v="2024-12-29T00:00:00"/>
    <d v="2024-02-24T00:00:00"/>
    <d v="2025-02-23T00:00:00"/>
    <s v=" 08812399"/>
    <s v="Mr. Muhammad Shehroze Khan _x000a_CNIC No. 42201-6116623-3_x000a_Cell No. 0331-2148755"/>
    <m/>
    <s v="TOYOTA RAIZE"/>
    <s v="BJ-2449"/>
    <s v="1KR-2702148"/>
    <s v="A200A-0056983"/>
    <s v="2020"/>
    <m/>
    <m/>
    <s v=" D"/>
    <s v="09000210-Tariq Shahzad"/>
    <n v="-1"/>
    <n v="-57234"/>
    <n v="-572"/>
    <n v="0"/>
    <n v="0"/>
    <n v="-57806"/>
    <n v="0"/>
    <n v="0"/>
    <n v="-57806"/>
    <n v="0"/>
    <n v="-57806"/>
    <m/>
    <m/>
    <m/>
    <s v="Direct Client"/>
    <m/>
    <m/>
    <m/>
  </r>
  <r>
    <n v="1685"/>
    <x v="265"/>
    <x v="24"/>
    <s v=" -"/>
    <s v=" MOTOR"/>
    <d v="2024-02-26T00:00:00"/>
    <d v="2024-02-23T00:00:00"/>
    <d v="2025-02-22T00:00:00"/>
    <s v=" 08816188"/>
    <s v="Mrs. Waseema Afzaal_x000a_CNIC No: 35202-3912545-4_x000a_Phone Number: 03324747453"/>
    <m/>
    <s v="HONDA CITY I-VTEC"/>
    <s v="LEA-14-1342"/>
    <s v="L13Z16420213"/>
    <s v="NFBGM154XER146360"/>
    <s v="2014"/>
    <m/>
    <m/>
    <s v=" D"/>
    <s v="09000210-Tariq Shahzad"/>
    <n v="-1"/>
    <n v="4343"/>
    <n v="43"/>
    <n v="564"/>
    <n v="50"/>
    <n v="5000"/>
    <n v="5051"/>
    <n v="0"/>
    <n v="-51"/>
    <n v="0"/>
    <n v="-51"/>
    <m/>
    <m/>
    <m/>
    <s v="Syed Waqas"/>
    <m/>
    <m/>
    <s v="sameeraibrahim@yahoo.com"/>
  </r>
  <r>
    <n v="1686"/>
    <x v="265"/>
    <x v="1242"/>
    <s v=" -"/>
    <s v=" MOTOR"/>
    <d v="2024-10-24T00:00:00"/>
    <d v="2024-02-23T00:00:00"/>
    <d v="2025-02-22T00:00:00"/>
    <s v=" 08816188"/>
    <s v="Mrs. Waseema Afzaal_x000a_CNIC No: 35202-3912545-4_x000a_Phone Number: 03324747453"/>
    <m/>
    <s v="HONDA CITY I-VTEC"/>
    <s v="LEA-14-1342"/>
    <s v="L13Z16420213"/>
    <s v="NFBGM154XER146360"/>
    <s v="2014"/>
    <m/>
    <m/>
    <s v=" D"/>
    <s v="09000210-Tariq Shahzad"/>
    <n v="3200000"/>
    <n v="44"/>
    <n v="0"/>
    <n v="7"/>
    <n v="0"/>
    <n v="51"/>
    <n v="0"/>
    <n v="0"/>
    <n v="51"/>
    <n v="0"/>
    <n v="51"/>
    <m/>
    <m/>
    <m/>
    <s v="Syed Waqas"/>
    <n v="11.719999999999992"/>
    <n v="11.719999999999992"/>
    <m/>
  </r>
  <r>
    <n v="1687"/>
    <x v="265"/>
    <x v="1243"/>
    <s v=" -"/>
    <s v=" MOTOR"/>
    <d v="2024-11-25T00:00:00"/>
    <d v="2024-02-23T00:00:00"/>
    <d v="2025-02-22T00:00:00"/>
    <s v=" 08816188"/>
    <s v="Mrs. Waseema Afzaal_x000a_CNIC No: 35202-3912545-4_x000a_Phone Number: 03324747453"/>
    <m/>
    <s v="HONDA CITY I-VTEC"/>
    <s v="LEA-14-1342"/>
    <s v="L13Z16420213"/>
    <s v="NFBGM154XER146360"/>
    <s v="2014"/>
    <m/>
    <m/>
    <s v=" D"/>
    <s v="09000210-Tariq Shahzad"/>
    <n v="3200000"/>
    <n v="410"/>
    <n v="4"/>
    <n v="62"/>
    <n v="0"/>
    <n v="476"/>
    <n v="0"/>
    <n v="0"/>
    <n v="476"/>
    <n v="0"/>
    <n v="476"/>
    <m/>
    <m/>
    <m/>
    <s v="Syed Waqas"/>
    <n v="113.51"/>
    <n v="108.72"/>
    <m/>
  </r>
  <r>
    <n v="1688"/>
    <x v="265"/>
    <x v="1244"/>
    <s v=" -"/>
    <s v=" MOTOR"/>
    <d v="2024-12-24T00:00:00"/>
    <d v="2024-02-23T00:00:00"/>
    <d v="2025-02-22T00:00:00"/>
    <s v=" 08816188"/>
    <s v="Mrs. Waseema Afzaal_x000a_CNIC No: 35202-3912545-4_x000a_Phone Number: 03324747453"/>
    <m/>
    <s v="HONDA CITY I-VTEC"/>
    <s v="LEA-14-1342"/>
    <s v="L13Z16420213"/>
    <s v="NFBGM154XER146360"/>
    <s v="2014"/>
    <m/>
    <m/>
    <s v=" D"/>
    <s v="09000210-Tariq Shahzad"/>
    <n v="3200000"/>
    <n v="1033"/>
    <n v="10"/>
    <n v="155"/>
    <n v="0"/>
    <n v="1198"/>
    <n v="0"/>
    <n v="0"/>
    <n v="1198"/>
    <n v="0"/>
    <n v="1198"/>
    <m/>
    <m/>
    <m/>
    <s v="Syed Waqas"/>
    <n v="273.40000000000003"/>
    <n v="273.40000000000003"/>
    <m/>
  </r>
  <r>
    <n v="1689"/>
    <x v="265"/>
    <x v="1245"/>
    <s v=" -"/>
    <s v=" MOTOR"/>
    <d v="2025-01-23T00:00:00"/>
    <d v="2024-02-23T00:00:00"/>
    <d v="2025-02-22T00:00:00"/>
    <s v=" 08816188"/>
    <s v="Mrs. Waseema Afzaal_x000a_CNIC No: 35202-3912545-4_x000a_Phone Number: 03324747453"/>
    <m/>
    <s v="HONDA CITY I-VTEC"/>
    <s v="LEA-14-1342"/>
    <s v="L13Z16420213"/>
    <s v="NFBGM154XER146360"/>
    <s v="2014"/>
    <m/>
    <m/>
    <s v=" D"/>
    <s v="09000210-Tariq Shahzad"/>
    <n v="3200000"/>
    <n v="423"/>
    <n v="4"/>
    <n v="63"/>
    <n v="0"/>
    <n v="490"/>
    <n v="0"/>
    <n v="0"/>
    <n v="490"/>
    <n v="0"/>
    <n v="490"/>
    <m/>
    <m/>
    <m/>
    <s v="Syed Waqas"/>
    <n v="111.26"/>
    <n v="111.26"/>
    <m/>
  </r>
  <r>
    <n v="1690"/>
    <x v="265"/>
    <x v="1246"/>
    <s v=" -"/>
    <s v=" MOTOR"/>
    <d v="2025-02-26T00:00:00"/>
    <d v="2024-02-23T00:00:00"/>
    <d v="2025-02-22T00:00:00"/>
    <s v=" 08816188"/>
    <s v="Mrs. Waseema Afzaal_x000a_CNIC No: 35202-3912545-4_x000a_Phone Number: 03324747453"/>
    <m/>
    <s v="HONDA CITY I-VTEC"/>
    <s v="LEA-14-1342"/>
    <s v="L13Z16420213"/>
    <s v="NFBGM154XER146360"/>
    <s v="2014"/>
    <m/>
    <m/>
    <s v=" D"/>
    <s v="09000210-Tariq Shahzad"/>
    <n v="3200000"/>
    <n v="2349"/>
    <n v="24"/>
    <n v="353"/>
    <n v="0"/>
    <n v="2726"/>
    <n v="0"/>
    <n v="0"/>
    <n v="2726"/>
    <n v="0"/>
    <n v="2726"/>
    <m/>
    <m/>
    <m/>
    <s v="Syed Waqas"/>
    <n v="702.1"/>
    <n v="622.25"/>
    <m/>
  </r>
  <r>
    <n v="1691"/>
    <x v="265"/>
    <x v="1247"/>
    <s v=" -"/>
    <s v=" MOTOR"/>
    <d v="2025-03-29T00:00:00"/>
    <d v="2024-02-23T00:00:00"/>
    <d v="2025-02-22T00:00:00"/>
    <s v=" 08816188"/>
    <s v="Mrs. Waseema Afzaal_x000a_CNIC No: 35202-3912545-4_x000a_Phone Number: 03324747453"/>
    <m/>
    <s v="HONDA CITY I-VTEC"/>
    <s v="LEA-14-1342"/>
    <s v="L13Z16420213"/>
    <s v="NFBGM154XER146360"/>
    <s v="2014"/>
    <m/>
    <m/>
    <s v=" D"/>
    <s v="09000210-Tariq Shahzad"/>
    <n v="-1"/>
    <n v="-4847"/>
    <n v="-43"/>
    <n v="0"/>
    <n v="0"/>
    <n v="-4890"/>
    <n v="0"/>
    <n v="0"/>
    <n v="-4890"/>
    <n v="0"/>
    <n v="-4890"/>
    <m/>
    <m/>
    <m/>
    <s v="Syed Waqas"/>
    <m/>
    <m/>
    <m/>
  </r>
  <r>
    <n v="1703"/>
    <x v="266"/>
    <x v="24"/>
    <s v=" -"/>
    <s v=" MOTOR"/>
    <d v="2024-02-27T00:00:00"/>
    <d v="2024-02-28T00:00:00"/>
    <d v="2025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danishjunejo36@gmail.com"/>
  </r>
  <r>
    <n v="1704"/>
    <x v="266"/>
    <x v="1248"/>
    <s v=" -"/>
    <s v=" MOTOR"/>
    <d v="2024-03-28T00:00:00"/>
    <d v="2024-02-28T00:00:00"/>
    <d v="2025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4800000"/>
    <n v="5701"/>
    <n v="57"/>
    <n v="741"/>
    <n v="0"/>
    <n v="6499"/>
    <n v="0"/>
    <n v="0"/>
    <n v="6499"/>
    <n v="0"/>
    <n v="6499"/>
    <m/>
    <m/>
    <m/>
    <s v="Maria Tauqeer Qazi"/>
    <n v="1651.8000000000002"/>
    <n v="988.07"/>
    <m/>
  </r>
  <r>
    <n v="1705"/>
    <x v="266"/>
    <x v="1249"/>
    <s v=" -"/>
    <s v=" MOTOR"/>
    <d v="2024-04-29T00:00:00"/>
    <d v="2024-02-28T00:00:00"/>
    <d v="2025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4800000"/>
    <n v="5164"/>
    <n v="52"/>
    <n v="671"/>
    <n v="0"/>
    <n v="5887"/>
    <n v="0"/>
    <n v="0"/>
    <n v="5887"/>
    <n v="0"/>
    <n v="5887"/>
    <m/>
    <m/>
    <m/>
    <s v="Maria Tauqeer Qazi"/>
    <n v="1495.1999999999991"/>
    <n v="895.4"/>
    <m/>
  </r>
  <r>
    <n v="1706"/>
    <x v="266"/>
    <x v="1250"/>
    <s v=" -"/>
    <s v=" MOTOR"/>
    <d v="2024-05-29T00:00:00"/>
    <d v="2024-02-28T00:00:00"/>
    <d v="2025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4800000"/>
    <n v="7113"/>
    <n v="71"/>
    <n v="925"/>
    <n v="0"/>
    <n v="8109"/>
    <n v="0"/>
    <n v="0"/>
    <n v="8109"/>
    <n v="0"/>
    <n v="8109"/>
    <m/>
    <m/>
    <m/>
    <s v="Maria Tauqeer Qazi"/>
    <n v="4985.5199999999968"/>
    <n v="1232.96"/>
    <m/>
  </r>
  <r>
    <n v="1707"/>
    <x v="266"/>
    <x v="1251"/>
    <s v=" -"/>
    <s v=" MOTOR"/>
    <d v="2024-06-28T00:00:00"/>
    <d v="2024-02-28T00:00:00"/>
    <d v="2025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4800000"/>
    <n v="4222"/>
    <n v="42"/>
    <n v="549"/>
    <n v="0"/>
    <n v="4813"/>
    <n v="0"/>
    <n v="0"/>
    <n v="4813"/>
    <n v="0"/>
    <n v="4813"/>
    <m/>
    <m/>
    <m/>
    <s v="Maria Tauqeer Qazi"/>
    <n v="3614.2499999999955"/>
    <n v="731.88"/>
    <m/>
  </r>
  <r>
    <n v="1708"/>
    <x v="266"/>
    <x v="1252"/>
    <s v=" -"/>
    <s v=" MOTOR"/>
    <d v="2024-12-29T00:00:00"/>
    <d v="2024-02-28T00:00:00"/>
    <d v="2025-02-27T00:00:00"/>
    <s v=" 08809982"/>
    <s v="Mr. Danish_x000a_CNIC# 41201-9289474-9_x000a_CELL# 03313289943 / 03172662169"/>
    <m/>
    <s v="TOYOTA COROLLA ALTIS 1.6"/>
    <s v="BVF-935"/>
    <s v="Q086226"/>
    <s v="ZRE171R-6063664"/>
    <s v="2021"/>
    <s v="41201-9289474-9"/>
    <m/>
    <s v=" D"/>
    <s v="09000221-Muhammad Irfan"/>
    <n v="-1"/>
    <n v="-25107"/>
    <n v="-251"/>
    <n v="0"/>
    <n v="0"/>
    <n v="-25358"/>
    <n v="0"/>
    <n v="0"/>
    <n v="-25358"/>
    <n v="0"/>
    <n v="-25358"/>
    <m/>
    <m/>
    <m/>
    <s v="Maria Tauqeer Qazi"/>
    <m/>
    <m/>
    <m/>
  </r>
  <r>
    <n v="1716"/>
    <x v="267"/>
    <x v="1253"/>
    <s v=" -"/>
    <s v=" MOTOR"/>
    <d v="2024-03-27T00:00:00"/>
    <d v="2024-02-27T00:00:00"/>
    <d v="2025-02-26T00:00:00"/>
    <s v=" 08816224"/>
    <s v="Mr. Saad Ullah Khan _x000a_CNIC No. 42101-1704207-1_x000a_Cell No. 0336-2012909"/>
    <m/>
    <s v="SUZUKI WAGON-R"/>
    <s v="BEW-279"/>
    <s v="K61-8641773"/>
    <s v="MH23S-443685"/>
    <s v="2012"/>
    <m/>
    <m/>
    <s v=" D"/>
    <s v="09000210-Tariq Shahzad"/>
    <n v="2000000"/>
    <n v="327"/>
    <n v="4"/>
    <n v="43"/>
    <n v="0"/>
    <n v="374"/>
    <n v="0"/>
    <n v="0"/>
    <n v="374"/>
    <n v="0"/>
    <n v="374"/>
    <m/>
    <m/>
    <m/>
    <s v="Syed Waqas"/>
    <n v="136.65"/>
    <n v="136.65"/>
    <m/>
  </r>
  <r>
    <n v="1717"/>
    <x v="267"/>
    <x v="1254"/>
    <s v=" -"/>
    <s v=" MOTOR"/>
    <d v="2024-04-29T00:00:00"/>
    <d v="2024-02-27T00:00:00"/>
    <d v="2025-02-26T00:00:00"/>
    <s v=" 08816224"/>
    <s v="Mr. Saad Ullah Khan _x000a_CNIC No. 42101-1704207-1_x000a_Cell No. 0336-2012909"/>
    <m/>
    <s v="SUZUKI WAGON-R"/>
    <s v="BEW-279"/>
    <s v="K61-8641773"/>
    <s v="MH23S-443685"/>
    <s v="2012"/>
    <m/>
    <m/>
    <s v=" D"/>
    <s v="09000210-Tariq Shahzad"/>
    <n v="2000000"/>
    <n v="296"/>
    <n v="3"/>
    <n v="39"/>
    <n v="0"/>
    <n v="338"/>
    <n v="0"/>
    <n v="0"/>
    <n v="338"/>
    <n v="0"/>
    <n v="338"/>
    <m/>
    <m/>
    <m/>
    <s v="Syed Waqas"/>
    <n v="123.41"/>
    <n v="123.41"/>
    <m/>
  </r>
  <r>
    <n v="1718"/>
    <x v="267"/>
    <x v="1255"/>
    <s v=" -"/>
    <s v=" MOTOR"/>
    <d v="2024-05-29T00:00:00"/>
    <d v="2024-02-27T00:00:00"/>
    <d v="2025-02-26T00:00:00"/>
    <s v=" 08816224"/>
    <s v="Mr. Saad Ullah Khan _x000a_CNIC No. 42101-1704207-1_x000a_Cell No. 0336-2012909"/>
    <m/>
    <s v="SUZUKI WAGON-R"/>
    <s v="BEW-279"/>
    <s v="K61-8641773"/>
    <s v="MH23S-443685"/>
    <s v="2012"/>
    <m/>
    <m/>
    <s v=" D"/>
    <s v="09000210-Tariq Shahzad"/>
    <n v="2000000"/>
    <n v="373"/>
    <n v="3"/>
    <n v="48"/>
    <n v="0"/>
    <n v="424"/>
    <n v="0"/>
    <n v="0"/>
    <n v="424"/>
    <n v="0"/>
    <n v="424"/>
    <m/>
    <m/>
    <m/>
    <s v="Syed Waqas"/>
    <n v="187.11"/>
    <n v="154.6"/>
    <m/>
  </r>
  <r>
    <n v="1719"/>
    <x v="267"/>
    <x v="1256"/>
    <s v=" -"/>
    <s v=" MOTOR"/>
    <d v="2024-06-27T00:00:00"/>
    <d v="2024-02-27T00:00:00"/>
    <d v="2025-02-26T00:00:00"/>
    <s v=" 08816224"/>
    <s v="Mr. Saad Ullah Khan _x000a_CNIC No. 42101-1704207-1_x000a_Cell No. 0336-2012909"/>
    <m/>
    <s v="SUZUKI WAGON-R"/>
    <s v="BEW-279"/>
    <s v="K61-8641773"/>
    <s v="MH23S-443685"/>
    <s v="2012"/>
    <m/>
    <m/>
    <s v=" D"/>
    <s v="09000210-Tariq Shahzad"/>
    <n v="2000000"/>
    <n v="824"/>
    <n v="9"/>
    <n v="107"/>
    <n v="0"/>
    <n v="940"/>
    <n v="0"/>
    <n v="0"/>
    <n v="940"/>
    <n v="0"/>
    <n v="940"/>
    <m/>
    <m/>
    <m/>
    <s v="Syed Waqas"/>
    <n v="344.85"/>
    <n v="342.84"/>
    <m/>
  </r>
  <r>
    <n v="1720"/>
    <x v="267"/>
    <x v="1257"/>
    <s v=" -"/>
    <s v=" MOTOR"/>
    <d v="2024-07-30T00:00:00"/>
    <d v="2024-02-27T00:00:00"/>
    <d v="2025-02-26T00:00:00"/>
    <s v=" 08816224"/>
    <s v="Mr. Saad Ullah Khan _x000a_CNIC No. 42101-1704207-1_x000a_Cell No. 0336-2012909"/>
    <m/>
    <s v="SUZUKI WAGON-R"/>
    <s v="BEW-279"/>
    <s v="K61-8641773"/>
    <s v="MH23S-443685"/>
    <s v="2012"/>
    <m/>
    <m/>
    <s v=" D"/>
    <s v="09000210-Tariq Shahzad"/>
    <n v="2000000"/>
    <n v="271"/>
    <n v="3"/>
    <n v="41"/>
    <n v="0"/>
    <n v="315"/>
    <n v="0"/>
    <n v="0"/>
    <n v="315"/>
    <n v="0"/>
    <n v="315"/>
    <m/>
    <m/>
    <m/>
    <s v="Syed Waqas"/>
    <n v="114.72"/>
    <n v="114.72"/>
    <m/>
  </r>
  <r>
    <n v="1721"/>
    <x v="267"/>
    <x v="1258"/>
    <s v=" -"/>
    <s v=" MOTOR"/>
    <d v="2024-08-31T00:00:00"/>
    <d v="2024-02-27T00:00:00"/>
    <d v="2025-02-26T00:00:00"/>
    <s v=" 08816224"/>
    <s v="Mr. Saad Ullah Khan _x000a_CNIC No. 42101-1704207-1_x000a_Cell No. 0336-2012909"/>
    <m/>
    <s v="SUZUKI WAGON-R"/>
    <s v="BEW-279"/>
    <s v="K61-8641773"/>
    <s v="MH23S-443685"/>
    <s v="2012"/>
    <m/>
    <m/>
    <s v=" D"/>
    <s v="09000210-Tariq Shahzad"/>
    <n v="2000000"/>
    <n v="184"/>
    <n v="2"/>
    <n v="28"/>
    <n v="0"/>
    <n v="214"/>
    <n v="0"/>
    <n v="0"/>
    <n v="214"/>
    <n v="0"/>
    <n v="214"/>
    <m/>
    <m/>
    <m/>
    <s v="Syed Waqas"/>
    <n v="77.930000000000007"/>
    <n v="77.930000000000007"/>
    <m/>
  </r>
  <r>
    <n v="1722"/>
    <x v="267"/>
    <x v="1259"/>
    <s v=" -"/>
    <s v=" MOTOR"/>
    <d v="2024-10-31T00:00:00"/>
    <d v="2024-02-27T00:00:00"/>
    <d v="2025-02-26T00:00:00"/>
    <s v=" 08816224"/>
    <s v="Mr. Saad Ullah Khan _x000a_CNIC No. 42101-1704207-1_x000a_Cell No. 0336-2012909"/>
    <m/>
    <s v="SUZUKI WAGON-R"/>
    <s v="BEW-279"/>
    <s v="K61-8641773"/>
    <s v="MH23S-443685"/>
    <s v="2012"/>
    <m/>
    <m/>
    <s v=" D"/>
    <s v="09000210-Tariq Shahzad"/>
    <n v="-1"/>
    <n v="-2579"/>
    <n v="-26"/>
    <n v="0"/>
    <n v="0"/>
    <n v="-2605"/>
    <n v="0"/>
    <n v="0"/>
    <n v="-2605"/>
    <n v="0"/>
    <n v="-2605"/>
    <m/>
    <m/>
    <m/>
    <s v="Syed Waqas"/>
    <m/>
    <m/>
    <m/>
  </r>
  <r>
    <n v="1723"/>
    <x v="268"/>
    <x v="1260"/>
    <s v=" -"/>
    <s v=" MOTOR"/>
    <d v="2024-03-27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2943"/>
    <n v="30"/>
    <n v="383"/>
    <n v="0"/>
    <n v="3356"/>
    <n v="0"/>
    <n v="0"/>
    <n v="3356"/>
    <n v="0"/>
    <n v="3356"/>
    <m/>
    <m/>
    <m/>
    <s v="AFSHEEN ISMAIL"/>
    <n v="6380.5499999999938"/>
    <n v="1227.71"/>
    <m/>
  </r>
  <r>
    <n v="1724"/>
    <x v="268"/>
    <x v="1261"/>
    <s v=" -"/>
    <s v=" MOTOR"/>
    <d v="2024-04-29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3129"/>
    <n v="31"/>
    <n v="407"/>
    <n v="0"/>
    <n v="3567"/>
    <n v="0"/>
    <n v="0"/>
    <n v="3567"/>
    <n v="0"/>
    <n v="3567"/>
    <m/>
    <m/>
    <m/>
    <s v="AFSHEEN ISMAIL"/>
    <n v="6989.6499999999887"/>
    <n v="1305"/>
    <m/>
  </r>
  <r>
    <n v="1725"/>
    <x v="268"/>
    <x v="1262"/>
    <s v=" -"/>
    <s v=" MOTOR"/>
    <d v="2024-05-29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3146"/>
    <n v="32"/>
    <n v="409"/>
    <n v="0"/>
    <n v="3587"/>
    <n v="0"/>
    <n v="0"/>
    <n v="3587"/>
    <n v="0"/>
    <n v="3587"/>
    <m/>
    <m/>
    <m/>
    <s v="AFSHEEN ISMAIL"/>
    <n v="6965.8699999999926"/>
    <n v="1312.08"/>
    <m/>
  </r>
  <r>
    <n v="1726"/>
    <x v="268"/>
    <x v="1263"/>
    <s v=" -"/>
    <s v=" MOTOR"/>
    <d v="2024-06-27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3345"/>
    <n v="33"/>
    <n v="435"/>
    <n v="0"/>
    <n v="3813"/>
    <n v="0"/>
    <n v="0"/>
    <n v="3813"/>
    <n v="0"/>
    <n v="3813"/>
    <m/>
    <m/>
    <m/>
    <s v="AFSHEEN ISMAIL"/>
    <n v="8144.7999999999829"/>
    <n v="1395"/>
    <m/>
  </r>
  <r>
    <n v="1727"/>
    <x v="268"/>
    <x v="1264"/>
    <s v=" -"/>
    <s v=" MOTOR"/>
    <d v="2024-07-30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3133"/>
    <n v="31"/>
    <n v="470"/>
    <n v="0"/>
    <n v="3634"/>
    <n v="0"/>
    <n v="0"/>
    <n v="3634"/>
    <n v="0"/>
    <n v="3634"/>
    <m/>
    <m/>
    <m/>
    <s v="AFSHEEN ISMAIL"/>
    <n v="7584.2499999999836"/>
    <n v="1329.32"/>
    <m/>
  </r>
  <r>
    <n v="1728"/>
    <x v="268"/>
    <x v="1265"/>
    <s v=" -"/>
    <s v=" MOTOR"/>
    <d v="2024-08-31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3249"/>
    <n v="33"/>
    <n v="488"/>
    <n v="0"/>
    <n v="3770"/>
    <n v="0"/>
    <n v="0"/>
    <n v="3770"/>
    <n v="0"/>
    <n v="3770"/>
    <m/>
    <m/>
    <m/>
    <s v="AFSHEEN ISMAIL"/>
    <n v="6924.2499999999891"/>
    <n v="1379.05"/>
    <m/>
  </r>
  <r>
    <n v="1729"/>
    <x v="268"/>
    <x v="1266"/>
    <s v=" -"/>
    <s v=" MOTOR"/>
    <d v="2024-10-01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3287"/>
    <n v="33"/>
    <n v="493"/>
    <n v="0"/>
    <n v="3813"/>
    <n v="0"/>
    <n v="0"/>
    <n v="3813"/>
    <n v="0"/>
    <n v="3813"/>
    <m/>
    <m/>
    <m/>
    <s v="AFSHEEN ISMAIL"/>
    <n v="8240.3499999999822"/>
    <n v="1395"/>
    <m/>
  </r>
  <r>
    <n v="1730"/>
    <x v="268"/>
    <x v="1267"/>
    <s v=" -"/>
    <s v=" MOTOR"/>
    <d v="2024-10-30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3156"/>
    <n v="32"/>
    <n v="473"/>
    <n v="0"/>
    <n v="3661"/>
    <n v="0"/>
    <n v="0"/>
    <n v="3661"/>
    <n v="0"/>
    <n v="3661"/>
    <m/>
    <m/>
    <m/>
    <s v="AFSHEEN ISMAIL"/>
    <n v="6805.1599999999853"/>
    <n v="1339.27"/>
    <m/>
  </r>
  <r>
    <n v="1731"/>
    <x v="268"/>
    <x v="1268"/>
    <s v=" -"/>
    <s v=" MOTOR"/>
    <d v="2024-11-28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2000000"/>
    <n v="2863"/>
    <n v="29"/>
    <n v="429"/>
    <n v="0"/>
    <n v="3321"/>
    <n v="0"/>
    <n v="0"/>
    <n v="3321"/>
    <n v="0"/>
    <n v="3321"/>
    <m/>
    <m/>
    <m/>
    <s v="AFSHEEN ISMAIL"/>
    <n v="6652.3899999999858"/>
    <n v="1215"/>
    <m/>
  </r>
  <r>
    <n v="1732"/>
    <x v="268"/>
    <x v="1269"/>
    <s v=" -"/>
    <s v=" MOTOR"/>
    <d v="2024-12-29T00:00:00"/>
    <d v="2024-02-27T00:00:00"/>
    <d v="2025-02-26T00:00:00"/>
    <s v=" 08816250"/>
    <s v="Mr. Najeeb Ullah _x000a_CNIC No. 38402-6660858-3_x000a_Cell No. 0304-4900090"/>
    <m/>
    <s v="SUZUKI ALTO VXR"/>
    <s v="ABC-738"/>
    <s v="6R145711"/>
    <s v="NF1AET306H1045694"/>
    <s v="2020"/>
    <m/>
    <m/>
    <s v=" D"/>
    <s v="09000210-Tariq Shahzad"/>
    <n v="-1"/>
    <n v="-32200"/>
    <n v="-322"/>
    <n v="0"/>
    <n v="0"/>
    <n v="-32522"/>
    <n v="0"/>
    <n v="0"/>
    <n v="-32522"/>
    <n v="0"/>
    <n v="-32522"/>
    <m/>
    <m/>
    <m/>
    <s v="AFSHEEN ISMAIL"/>
    <m/>
    <m/>
    <m/>
  </r>
  <r>
    <n v="1733"/>
    <x v="269"/>
    <x v="1270"/>
    <s v=" -"/>
    <s v=" MOTOR"/>
    <d v="2024-04-21T00:00:00"/>
    <d v="2024-02-21T00:00:00"/>
    <d v="2025-02-20T00:00:00"/>
    <s v=" 08809837"/>
    <s v="Mr. Adnan Saleem_x000a_CNIC# 42301-3410019-3_x000a_CELL# 0321-2490331"/>
    <m/>
    <s v="TOYOTA HILUX REVO V A/T"/>
    <s v="LA-4541"/>
    <s v="1GD5051978"/>
    <s v="GUN126R-5548056"/>
    <s v="2021"/>
    <s v="42301-3410019-3"/>
    <m/>
    <s v=" D"/>
    <s v="09000221-Muhammad Irfan"/>
    <n v="12300000"/>
    <n v="7043"/>
    <n v="70"/>
    <n v="916"/>
    <n v="0"/>
    <n v="8029"/>
    <n v="0"/>
    <n v="0"/>
    <n v="8029"/>
    <n v="0"/>
    <n v="8029"/>
    <m/>
    <m/>
    <m/>
    <s v="Maria Tauqeer Qazi"/>
    <n v="476.51000000000005"/>
    <n v="476.51000000000005"/>
    <m/>
  </r>
  <r>
    <n v="1734"/>
    <x v="269"/>
    <x v="1271"/>
    <s v=" -"/>
    <s v=" MOTOR"/>
    <d v="2024-12-23T00:00:00"/>
    <d v="2024-02-21T00:00:00"/>
    <d v="2025-02-20T00:00:00"/>
    <s v=" 08809837"/>
    <s v="Mr. Adnan Saleem_x000a_CNIC# 42301-3410019-3_x000a_CELL# 0321-2490331"/>
    <m/>
    <s v="TOYOTA HILUX REVO V A/T"/>
    <s v="LA-4541"/>
    <s v="1GD5051978"/>
    <s v="GUN126R-5548056"/>
    <s v="2021"/>
    <s v="42301-3410019-3"/>
    <m/>
    <s v=" D"/>
    <s v="09000221-Muhammad Irfan"/>
    <n v="12300000"/>
    <n v="13057"/>
    <n v="131"/>
    <n v="1959"/>
    <n v="0"/>
    <n v="15147"/>
    <n v="0"/>
    <n v="0"/>
    <n v="15147"/>
    <n v="0"/>
    <n v="15147"/>
    <m/>
    <m/>
    <m/>
    <s v="Maria Tauqeer Qazi"/>
    <n v="1357.0400000000029"/>
    <n v="899.1"/>
    <m/>
  </r>
  <r>
    <n v="1735"/>
    <x v="269"/>
    <x v="1272"/>
    <s v=" -"/>
    <s v=" MOTOR"/>
    <d v="2024-12-29T00:00:00"/>
    <d v="2024-02-21T00:00:00"/>
    <d v="2025-02-20T00:00:00"/>
    <s v=" 08809837"/>
    <s v="Mr. Adnan Saleem_x000a_CNIC# 42301-3410019-3_x000a_CELL# 0321-2490331"/>
    <m/>
    <s v="TOYOTA HILUX REVO V A/T"/>
    <s v="LA-4541"/>
    <s v="1GD5051978"/>
    <s v="GUN126R-5548056"/>
    <s v="2021"/>
    <s v="42301-3410019-3"/>
    <m/>
    <s v=" D"/>
    <s v="09000221-Muhammad Irfan"/>
    <n v="-1"/>
    <n v="-22947"/>
    <n v="-229"/>
    <n v="0"/>
    <n v="0"/>
    <n v="-23176"/>
    <n v="0"/>
    <n v="0"/>
    <n v="-23176"/>
    <n v="0"/>
    <n v="-23176"/>
    <m/>
    <m/>
    <m/>
    <s v="Maria Tauqeer Qazi"/>
    <m/>
    <m/>
    <m/>
  </r>
  <r>
    <n v="1738"/>
    <x v="270"/>
    <x v="1273"/>
    <s v=" -"/>
    <s v=" MOTOR"/>
    <d v="2024-04-02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5324"/>
    <n v="54"/>
    <n v="693"/>
    <n v="0"/>
    <n v="6071"/>
    <n v="0"/>
    <n v="0"/>
    <n v="6071"/>
    <n v="0"/>
    <n v="6071"/>
    <m/>
    <m/>
    <m/>
    <s v="Syed Waqas"/>
    <n v="2280.5300000000343"/>
    <n v="1054.98"/>
    <m/>
  </r>
  <r>
    <n v="1739"/>
    <x v="270"/>
    <x v="1274"/>
    <s v=" -"/>
    <s v=" MOTOR"/>
    <d v="2024-04-30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5477"/>
    <n v="54"/>
    <n v="712"/>
    <n v="0"/>
    <n v="6243"/>
    <n v="0"/>
    <n v="0"/>
    <n v="6243"/>
    <n v="0"/>
    <n v="6243"/>
    <m/>
    <m/>
    <m/>
    <s v="Syed Waqas"/>
    <n v="2107.5500000000102"/>
    <n v="1084.78"/>
    <m/>
  </r>
  <r>
    <n v="1740"/>
    <x v="270"/>
    <x v="1275"/>
    <s v=" -"/>
    <s v=" MOTOR"/>
    <d v="2024-05-31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6320"/>
    <n v="64"/>
    <n v="821"/>
    <n v="0"/>
    <n v="7205"/>
    <n v="0"/>
    <n v="0"/>
    <n v="7205"/>
    <n v="0"/>
    <n v="7205"/>
    <m/>
    <m/>
    <m/>
    <s v="Syed Waqas"/>
    <n v="2213.5900000000252"/>
    <n v="1252.5"/>
    <m/>
  </r>
  <r>
    <n v="1741"/>
    <x v="270"/>
    <x v="1276"/>
    <s v=" -"/>
    <s v=" MOTOR"/>
    <d v="2024-07-01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5496"/>
    <n v="55"/>
    <n v="715"/>
    <n v="0"/>
    <n v="6266"/>
    <n v="0"/>
    <n v="0"/>
    <n v="6266"/>
    <n v="0"/>
    <n v="6266"/>
    <m/>
    <m/>
    <m/>
    <s v="Syed Waqas"/>
    <n v="1704.2000000000021"/>
    <n v="1088.8900000000001"/>
    <m/>
  </r>
  <r>
    <n v="1742"/>
    <x v="270"/>
    <x v="1277"/>
    <s v=" -"/>
    <s v=" MOTOR"/>
    <d v="2024-08-02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5161"/>
    <n v="52"/>
    <n v="774"/>
    <n v="0"/>
    <n v="5987"/>
    <n v="0"/>
    <n v="0"/>
    <n v="5987"/>
    <n v="0"/>
    <n v="5987"/>
    <m/>
    <m/>
    <m/>
    <s v="Syed Waqas"/>
    <n v="2355.4900000000202"/>
    <n v="1040.46"/>
    <m/>
  </r>
  <r>
    <n v="1743"/>
    <x v="270"/>
    <x v="1278"/>
    <s v=" -"/>
    <s v=" MOTOR"/>
    <d v="2024-09-04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5447"/>
    <n v="54"/>
    <n v="817"/>
    <n v="0"/>
    <n v="6318"/>
    <n v="0"/>
    <n v="0"/>
    <n v="6318"/>
    <n v="0"/>
    <n v="6318"/>
    <m/>
    <m/>
    <m/>
    <s v="Syed Waqas"/>
    <n v="1777.0600000000022"/>
    <n v="1098.17"/>
    <m/>
  </r>
  <r>
    <n v="1744"/>
    <x v="270"/>
    <x v="1279"/>
    <s v=" -"/>
    <s v=" MOTOR"/>
    <d v="2024-10-05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5103"/>
    <n v="51"/>
    <n v="765"/>
    <n v="0"/>
    <n v="5919"/>
    <n v="0"/>
    <n v="0"/>
    <n v="5919"/>
    <n v="0"/>
    <n v="5919"/>
    <m/>
    <m/>
    <m/>
    <s v="Syed Waqas"/>
    <n v="2114.9100000000244"/>
    <n v="1028.3600000000001"/>
    <m/>
  </r>
  <r>
    <n v="1745"/>
    <x v="270"/>
    <x v="1280"/>
    <s v=" -"/>
    <s v=" MOTOR"/>
    <d v="2024-11-02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5690"/>
    <n v="57"/>
    <n v="853"/>
    <n v="0"/>
    <n v="6600"/>
    <n v="0"/>
    <n v="0"/>
    <n v="6600"/>
    <n v="0"/>
    <n v="6600"/>
    <m/>
    <m/>
    <m/>
    <s v="Syed Waqas"/>
    <n v="2178.52000000001"/>
    <n v="1146.75"/>
    <m/>
  </r>
  <r>
    <n v="1746"/>
    <x v="270"/>
    <x v="1281"/>
    <s v=" -"/>
    <s v=" MOTOR"/>
    <d v="2024-12-02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4200000"/>
    <n v="5444"/>
    <n v="54"/>
    <n v="817"/>
    <n v="0"/>
    <n v="6315"/>
    <n v="0"/>
    <n v="0"/>
    <n v="6315"/>
    <n v="0"/>
    <n v="6315"/>
    <m/>
    <m/>
    <m/>
    <s v="Syed Waqas"/>
    <n v="1787.249999999995"/>
    <n v="1097.3"/>
    <m/>
  </r>
  <r>
    <n v="1747"/>
    <x v="270"/>
    <x v="1282"/>
    <s v=" -"/>
    <s v=" MOTOR"/>
    <d v="2024-12-29T00:00:00"/>
    <d v="2024-02-29T00:00:00"/>
    <d v="2025-02-28T00:00:00"/>
    <s v=" 08816362"/>
    <s v="Mr. Kashan Nazir _x000a_CNIC No. 34101-2541871-9_x000a_Cell No. 0332-5854442"/>
    <m/>
    <s v="SUZUKI Suzuki Swift"/>
    <s v="BBF-722"/>
    <s v="K12MR1010594"/>
    <s v="NF1SZC63S00110617"/>
    <s v="2022"/>
    <m/>
    <m/>
    <s v=" D"/>
    <s v="09000210-Tariq Shahzad"/>
    <n v="-1"/>
    <n v="-56360"/>
    <n v="-564"/>
    <n v="0"/>
    <n v="0"/>
    <n v="-56924"/>
    <n v="0"/>
    <n v="0"/>
    <n v="-56924"/>
    <n v="0"/>
    <n v="-56924"/>
    <m/>
    <m/>
    <m/>
    <s v="Syed Waqas"/>
    <m/>
    <m/>
    <m/>
  </r>
  <r>
    <n v="1765"/>
    <x v="271"/>
    <x v="1283"/>
    <s v=" -"/>
    <s v=" MOTOR"/>
    <d v="2024-06-14T00:00:00"/>
    <d v="2024-03-14T00:00:00"/>
    <d v="2025-03-13T00:00:00"/>
    <s v=" 08810457"/>
    <s v="Muhammad Kamran Khan _x000a_CNIC: 42301-0868604-5_x000a_Phone Number: 0321-9085148"/>
    <m/>
    <s v="SUZUKI WAGON R VXL"/>
    <s v="BRY-272"/>
    <s v="PK108203085"/>
    <s v="A13310PK10103064"/>
    <s v="2020"/>
    <m/>
    <m/>
    <s v=" D"/>
    <s v="09000221-Muhammad Irfan"/>
    <n v="2700000"/>
    <n v="2231"/>
    <n v="22"/>
    <n v="290"/>
    <n v="0"/>
    <n v="2543"/>
    <n v="0"/>
    <n v="0"/>
    <n v="2543"/>
    <n v="0"/>
    <n v="2543"/>
    <m/>
    <m/>
    <m/>
    <s v="Maria Tauqeer Qazi"/>
    <n v="1081.68"/>
    <n v="687.87"/>
    <m/>
  </r>
  <r>
    <n v="1766"/>
    <x v="271"/>
    <x v="1284"/>
    <s v=" -"/>
    <s v=" MOTOR"/>
    <d v="2024-10-31T00:00:00"/>
    <d v="2024-03-14T00:00:00"/>
    <d v="2025-03-13T00:00:00"/>
    <s v=" 08810457"/>
    <s v="Muhammad Kamran Khan _x000a_CNIC: 42301-0868604-5_x000a_Phone Number: 0321-9085148"/>
    <m/>
    <s v="SUZUKI WAGON R VXL"/>
    <s v="BRY-272"/>
    <s v="PK108203085"/>
    <s v="A13310PK10103064"/>
    <s v="2020"/>
    <m/>
    <m/>
    <s v=" D"/>
    <s v="09000221-Muhammad Irfan"/>
    <n v="-1"/>
    <n v="-2518"/>
    <n v="-25"/>
    <n v="0"/>
    <n v="0"/>
    <n v="-2543"/>
    <n v="0"/>
    <n v="0"/>
    <n v="-2543"/>
    <n v="0"/>
    <n v="-2543"/>
    <m/>
    <m/>
    <m/>
    <s v="Maria Tauqeer Qazi"/>
    <m/>
    <m/>
    <m/>
  </r>
  <r>
    <n v="1768"/>
    <x v="272"/>
    <x v="24"/>
    <s v=" -"/>
    <s v=" MOTOR"/>
    <d v="2024-03-13T00:00:00"/>
    <d v="2024-03-13T00:00:00"/>
    <d v="2025-03-12T00:00:00"/>
    <s v=" 08803417"/>
    <s v="Mr. Muhab Ali Khichi _x000a_CNIC No. 43203-7396011-7_x000a_Cell No. 0333-2169624"/>
    <m/>
    <s v="TOYOTA COROLLA ALTIS GRAN"/>
    <s v="BVS-044"/>
    <s v="Q353511"/>
    <s v="ZRE172R-7052685"/>
    <s v="2021"/>
    <m/>
    <m/>
    <s v=" D"/>
    <s v="09000210-Tariq Shahzad"/>
    <n v="-1"/>
    <n v="4386"/>
    <n v="44"/>
    <n v="570"/>
    <n v="0"/>
    <n v="5000"/>
    <n v="5001"/>
    <n v="0"/>
    <n v="-1"/>
    <n v="0"/>
    <n v="-1"/>
    <m/>
    <m/>
    <m/>
    <s v="Syed Waqas"/>
    <m/>
    <m/>
    <s v="muhabkhichi@yahoo.com"/>
  </r>
  <r>
    <n v="1769"/>
    <x v="272"/>
    <x v="1285"/>
    <s v=" -"/>
    <s v=" MOTOR"/>
    <d v="2024-09-25T00:00:00"/>
    <d v="2024-03-13T00:00:00"/>
    <d v="2025-03-12T00:00:00"/>
    <s v=" 08803417"/>
    <s v="Mr. Muhab Ali Khichi _x000a_CNIC No. 43203-7396011-7_x000a_Cell No. 0333-2169624"/>
    <m/>
    <s v="TOYOTA COROLLA ALTIS GRAN"/>
    <s v="BVS-044"/>
    <s v="Q353511"/>
    <s v="ZRE172R-7052685"/>
    <s v="2021"/>
    <m/>
    <m/>
    <s v=" D"/>
    <s v="09000210-Tariq Shahzad"/>
    <n v="-1"/>
    <n v="63557"/>
    <n v="636"/>
    <n v="9534"/>
    <n v="0"/>
    <n v="73727"/>
    <n v="73726"/>
    <n v="0"/>
    <n v="1"/>
    <n v="0"/>
    <n v="1"/>
    <m/>
    <m/>
    <m/>
    <s v="Syed Waqas"/>
    <m/>
    <m/>
    <s v="muhabkhichi@yahoo.com"/>
  </r>
  <r>
    <n v="1770"/>
    <x v="273"/>
    <x v="1286"/>
    <s v=" -"/>
    <s v=" MOTOR"/>
    <d v="2024-10-21T00:00:00"/>
    <d v="2024-03-16T00:00:00"/>
    <d v="2025-03-15T00:00:00"/>
    <s v=" 08810395"/>
    <s v="Muhammad Asad Khan_x000a_CNIC: 35201-6163739-9_x000a_Phone Number: 03004971622"/>
    <m/>
    <s v="TOYOTA YARIS ATIV X CVT 1"/>
    <m/>
    <s v="2A59821"/>
    <s v="R-7038167"/>
    <s v="2023"/>
    <m/>
    <m/>
    <s v=" D"/>
    <s v="09000221-Muhammad Irfan"/>
    <n v="5200000"/>
    <n v="7168"/>
    <n v="72"/>
    <n v="1075"/>
    <n v="0"/>
    <n v="8315"/>
    <n v="0"/>
    <n v="0"/>
    <n v="8315"/>
    <n v="0"/>
    <n v="8315"/>
    <m/>
    <m/>
    <m/>
    <s v="Maria Tauqeer Qazi"/>
    <n v="1944.5400000000011"/>
    <n v="1165.5899999999999"/>
    <m/>
  </r>
  <r>
    <n v="1771"/>
    <x v="273"/>
    <x v="1287"/>
    <s v=" -"/>
    <s v=" MOTOR"/>
    <d v="2024-11-18T00:00:00"/>
    <d v="2024-03-16T00:00:00"/>
    <d v="2025-03-15T00:00:00"/>
    <s v=" 08810395"/>
    <s v="Muhammad Asad Khan_x000a_CNIC: 35201-6163739-9_x000a_Phone Number: 03004971622"/>
    <m/>
    <s v="TOYOTA YARIS ATIV X CVT 1"/>
    <m/>
    <s v="2A59821"/>
    <s v="R-7038167"/>
    <s v="2023"/>
    <m/>
    <m/>
    <s v=" D"/>
    <s v="09000221-Muhammad Irfan"/>
    <n v="5200000"/>
    <n v="7524"/>
    <n v="75"/>
    <n v="1128"/>
    <n v="0"/>
    <n v="8727"/>
    <n v="0"/>
    <n v="0"/>
    <n v="8727"/>
    <n v="0"/>
    <n v="8727"/>
    <m/>
    <m/>
    <m/>
    <s v="Maria Tauqeer Qazi"/>
    <n v="2236.3400000000011"/>
    <n v="1223.5199999999991"/>
    <m/>
  </r>
  <r>
    <n v="1772"/>
    <x v="273"/>
    <x v="1288"/>
    <s v=" -"/>
    <s v=" MOTOR"/>
    <d v="2024-12-17T00:00:00"/>
    <d v="2024-03-16T00:00:00"/>
    <d v="2025-03-15T00:00:00"/>
    <s v=" 08810395"/>
    <s v="Muhammad Asad Khan_x000a_CNIC: 35201-6163739-9_x000a_Phone Number: 03004971622"/>
    <m/>
    <s v="TOYOTA YARIS ATIV X CVT 1"/>
    <m/>
    <s v="2A59821"/>
    <s v="R-7038167"/>
    <s v="2023"/>
    <m/>
    <m/>
    <s v=" D"/>
    <s v="09000221-Muhammad Irfan"/>
    <n v="5200000"/>
    <n v="5936"/>
    <n v="59"/>
    <n v="890"/>
    <n v="0"/>
    <n v="6885"/>
    <n v="0"/>
    <n v="0"/>
    <n v="6885"/>
    <n v="0"/>
    <n v="6885"/>
    <m/>
    <m/>
    <m/>
    <s v="Maria Tauqeer Qazi"/>
    <n v="1682.0500000000002"/>
    <n v="965.3900000000001"/>
    <m/>
  </r>
  <r>
    <n v="1773"/>
    <x v="273"/>
    <x v="1289"/>
    <s v=" -"/>
    <s v=" MOTOR"/>
    <d v="2025-01-17T00:00:00"/>
    <d v="2024-03-16T00:00:00"/>
    <d v="2025-03-15T00:00:00"/>
    <s v=" 08810395"/>
    <s v="Muhammad Asad Khan_x000a_CNIC: 35201-6163739-9_x000a_Phone Number: 03004971622"/>
    <m/>
    <s v="TOYOTA YARIS ATIV X CVT 1"/>
    <m/>
    <s v="2A59821"/>
    <s v="R-7038167"/>
    <s v="2023"/>
    <m/>
    <m/>
    <s v=" D"/>
    <s v="09000221-Muhammad Irfan"/>
    <n v="5200000"/>
    <n v="6276"/>
    <n v="63"/>
    <n v="941"/>
    <n v="0"/>
    <n v="7280"/>
    <n v="0"/>
    <n v="0"/>
    <n v="7280"/>
    <n v="0"/>
    <n v="7280"/>
    <m/>
    <m/>
    <m/>
    <s v="Maria Tauqeer Qazi"/>
    <n v="1672.3400000000011"/>
    <n v="1020.73"/>
    <m/>
  </r>
  <r>
    <n v="1774"/>
    <x v="273"/>
    <x v="1290"/>
    <s v=" -"/>
    <s v=" MOTOR"/>
    <d v="2025-02-17T00:00:00"/>
    <d v="2024-03-16T00:00:00"/>
    <d v="2025-03-15T00:00:00"/>
    <s v=" 08810395"/>
    <s v="Muhammad Asad Khan_x000a_CNIC: 35201-6163739-9_x000a_Phone Number: 03004971622"/>
    <m/>
    <s v="TOYOTA YARIS ATIV X CVT 1"/>
    <m/>
    <s v="2A59821"/>
    <s v="R-7038167"/>
    <s v="2023"/>
    <m/>
    <m/>
    <s v=" D"/>
    <s v="09000221-Muhammad Irfan"/>
    <n v="5200000"/>
    <n v="5391"/>
    <n v="54"/>
    <n v="809"/>
    <n v="0"/>
    <n v="6254"/>
    <n v="0"/>
    <n v="0"/>
    <n v="6254"/>
    <n v="0"/>
    <n v="6254"/>
    <m/>
    <m/>
    <m/>
    <s v="Maria Tauqeer Qazi"/>
    <n v="1550.6400000000008"/>
    <n v="876.89"/>
    <m/>
  </r>
  <r>
    <n v="1775"/>
    <x v="273"/>
    <x v="1291"/>
    <s v=" -"/>
    <s v=" MOTOR"/>
    <d v="2025-03-17T00:00:00"/>
    <d v="2024-03-16T00:00:00"/>
    <d v="2025-03-15T00:00:00"/>
    <s v=" 08810395"/>
    <s v="Muhammad Asad Khan_x000a_CNIC: 35201-6163739-9_x000a_Phone Number: 03004971622"/>
    <m/>
    <s v="TOYOTA YARIS ATIV X CVT 1"/>
    <m/>
    <s v="2A59821"/>
    <s v="R-7038167"/>
    <s v="2023"/>
    <m/>
    <m/>
    <s v=" D"/>
    <s v="09000221-Muhammad Irfan"/>
    <n v="5200000"/>
    <n v="6083"/>
    <n v="61"/>
    <n v="912"/>
    <n v="0"/>
    <n v="7056"/>
    <n v="0"/>
    <n v="0"/>
    <n v="7056"/>
    <n v="0"/>
    <n v="7056"/>
    <m/>
    <m/>
    <m/>
    <s v="Maria Tauqeer Qazi"/>
    <n v="1807.5300000000002"/>
    <n v="989.17"/>
    <m/>
  </r>
  <r>
    <n v="1776"/>
    <x v="273"/>
    <x v="1292"/>
    <s v=" -"/>
    <s v=" MOTOR"/>
    <d v="2025-03-29T00:00:00"/>
    <d v="2024-03-16T00:00:00"/>
    <d v="2025-03-15T00:00:00"/>
    <s v=" 08810395"/>
    <s v="Muhammad Asad Khan_x000a_CNIC: 35201-6163739-9_x000a_Phone Number: 03004971622"/>
    <m/>
    <s v="TOYOTA YARIS ATIV X CVT 1"/>
    <m/>
    <s v="2A59821"/>
    <s v="R-7038167"/>
    <s v="2023"/>
    <m/>
    <m/>
    <s v=" D"/>
    <s v="09000221-Muhammad Irfan"/>
    <n v="-1"/>
    <n v="-44126"/>
    <n v="-391"/>
    <n v="0"/>
    <n v="0"/>
    <n v="-44517"/>
    <n v="0"/>
    <n v="0"/>
    <n v="-44517"/>
    <n v="0"/>
    <n v="-44517"/>
    <m/>
    <m/>
    <m/>
    <s v="Maria Tauqeer Qazi"/>
    <m/>
    <m/>
    <m/>
  </r>
  <r>
    <n v="1778"/>
    <x v="274"/>
    <x v="1293"/>
    <s v=" -"/>
    <s v=" MOTOR"/>
    <d v="2024-05-16T00:00:00"/>
    <d v="2024-03-16T00:00:00"/>
    <d v="2025-03-15T00:00:00"/>
    <s v=" 08816564"/>
    <s v="Mr. Muhammad Asim _x000a_CNIC No. 35202-6763006-7_x000a_Cell No. 0321-4441253"/>
    <m/>
    <s v="SUZUKI CULTUS VXL"/>
    <s v="ABT-648"/>
    <s v="PK10K167723"/>
    <s v="NF1AVK31H10067722"/>
    <s v="2021"/>
    <m/>
    <m/>
    <s v=" D"/>
    <s v="09000210-Tariq Shahzad"/>
    <n v="3000000"/>
    <n v="1786"/>
    <n v="18"/>
    <n v="232"/>
    <n v="0"/>
    <n v="2036"/>
    <n v="0"/>
    <n v="0"/>
    <n v="2036"/>
    <n v="0"/>
    <n v="2036"/>
    <m/>
    <m/>
    <m/>
    <s v="Fizza Sheikh"/>
    <n v="596.58000000000004"/>
    <n v="495.3300000000001"/>
    <m/>
  </r>
  <r>
    <n v="1779"/>
    <x v="274"/>
    <x v="1294"/>
    <s v=" -"/>
    <s v=" MOTOR"/>
    <d v="2024-10-31T00:00:00"/>
    <d v="2024-03-16T00:00:00"/>
    <d v="2025-03-15T00:00:00"/>
    <s v=" 08816564"/>
    <s v="Mr. Muhammad Asim _x000a_CNIC No. 35202-6763006-7_x000a_Cell No. 0321-4441253"/>
    <m/>
    <s v="SUZUKI CULTUS VXL"/>
    <s v="ABT-648"/>
    <s v="PK10K167723"/>
    <s v="NF1AVK31H10067722"/>
    <s v="2021"/>
    <m/>
    <m/>
    <s v=" D"/>
    <s v="09000210-Tariq Shahzad"/>
    <n v="-1"/>
    <n v="-2016"/>
    <n v="-20"/>
    <n v="0"/>
    <n v="0"/>
    <n v="-2036"/>
    <n v="0"/>
    <n v="0"/>
    <n v="-2036"/>
    <n v="0"/>
    <n v="-2036"/>
    <m/>
    <m/>
    <m/>
    <s v="Fizza Sheikh"/>
    <m/>
    <m/>
    <m/>
  </r>
  <r>
    <n v="1789"/>
    <x v="275"/>
    <x v="1295"/>
    <s v=" -"/>
    <s v=" MOTOR"/>
    <d v="2024-04-21T00:00:00"/>
    <d v="2024-03-21T00:00:00"/>
    <d v="2025-03-20T00:00:00"/>
    <s v=" 08816626"/>
    <s v="Mr. Tariq Javed _x000a_CNIC No. 35401-0821036-7_x000a_Cell No. 0300-4147320"/>
    <m/>
    <s v="SUZUKI CULTUS VXL"/>
    <s v="LEA-19-2053"/>
    <s v="PK10K131083"/>
    <s v="10031078"/>
    <s v="2018"/>
    <m/>
    <m/>
    <s v=" D"/>
    <s v="09000210-Tariq Shahzad"/>
    <n v="2600000"/>
    <n v="3405"/>
    <n v="34"/>
    <n v="443"/>
    <n v="0"/>
    <n v="3882"/>
    <n v="0"/>
    <n v="0"/>
    <n v="3882"/>
    <n v="0"/>
    <n v="3882"/>
    <m/>
    <m/>
    <m/>
    <s v="Syed Waqas"/>
    <n v="1793.02"/>
    <n v="1091.3"/>
    <m/>
  </r>
  <r>
    <n v="1790"/>
    <x v="275"/>
    <x v="1296"/>
    <s v=" -"/>
    <s v=" MOTOR"/>
    <d v="2024-05-21T00:00:00"/>
    <d v="2024-03-21T00:00:00"/>
    <d v="2025-03-20T00:00:00"/>
    <s v=" 08816626"/>
    <s v="Mr. Tariq Javed _x000a_CNIC No. 35401-0821036-7_x000a_Cell No. 0300-4147320"/>
    <m/>
    <s v="SUZUKI CULTUS VXL"/>
    <s v="LEA-19-2053"/>
    <s v="PK10K131083"/>
    <s v="10031078"/>
    <s v="2018"/>
    <m/>
    <m/>
    <s v=" D"/>
    <s v="09000210-Tariq Shahzad"/>
    <n v="2600000"/>
    <n v="1999"/>
    <n v="20"/>
    <n v="260"/>
    <n v="0"/>
    <n v="2279"/>
    <n v="0"/>
    <n v="0"/>
    <n v="2279"/>
    <n v="0"/>
    <n v="2279"/>
    <m/>
    <m/>
    <m/>
    <s v="Syed Waqas"/>
    <n v="883.17000000000121"/>
    <n v="640.33000000000004"/>
    <m/>
  </r>
  <r>
    <n v="1791"/>
    <x v="275"/>
    <x v="1297"/>
    <s v=" -"/>
    <s v=" MOTOR"/>
    <d v="2024-12-29T00:00:00"/>
    <d v="2024-03-21T00:00:00"/>
    <d v="2025-03-20T00:00:00"/>
    <s v=" 08816626"/>
    <s v="Mr. Tariq Javed _x000a_CNIC No. 35401-0821036-7_x000a_Cell No. 0300-4147320"/>
    <m/>
    <s v="SUZUKI CULTUS VXL"/>
    <s v="LEA-19-2053"/>
    <s v="PK10K131083"/>
    <s v="10031078"/>
    <s v="2018"/>
    <m/>
    <m/>
    <s v=" D"/>
    <s v="09000210-Tariq Shahzad"/>
    <n v="-1"/>
    <n v="-6100"/>
    <n v="-61"/>
    <n v="0"/>
    <n v="0"/>
    <n v="-6161"/>
    <n v="0"/>
    <n v="0"/>
    <n v="-6161"/>
    <n v="0"/>
    <n v="-6161"/>
    <m/>
    <m/>
    <m/>
    <s v="Syed Waqas"/>
    <m/>
    <m/>
    <m/>
  </r>
  <r>
    <n v="1792"/>
    <x v="276"/>
    <x v="1298"/>
    <s v=" -"/>
    <s v=" MOTOR"/>
    <d v="2024-08-22T00:00:00"/>
    <d v="2024-03-21T00:00:00"/>
    <d v="2025-03-20T00:00:00"/>
    <s v=" 08816627"/>
    <s v="Mr. Muhammad Usama _x000a_CNIC No. 34101-4954824-3_x000a_Cell No. 0321-9141234"/>
    <m/>
    <s v="HONDA CIVIC"/>
    <s v="AKW-813"/>
    <s v="L15BG7913263"/>
    <s v="NFBFE1655NR003252"/>
    <s v="2022"/>
    <m/>
    <m/>
    <s v=" D"/>
    <s v="09000210-Tariq Shahzad"/>
    <n v="7500000"/>
    <n v="4097"/>
    <n v="41"/>
    <n v="615"/>
    <n v="0"/>
    <n v="4753"/>
    <n v="0"/>
    <n v="0"/>
    <n v="4753"/>
    <n v="0"/>
    <n v="4753"/>
    <m/>
    <m/>
    <m/>
    <s v="Syed Waqas"/>
    <n v="1055.0900000000331"/>
    <n v="462.88"/>
    <m/>
  </r>
  <r>
    <n v="1793"/>
    <x v="276"/>
    <x v="1299"/>
    <s v=" -"/>
    <s v=" MOTOR"/>
    <d v="2024-10-31T00:00:00"/>
    <d v="2024-03-21T00:00:00"/>
    <d v="2025-03-20T00:00:00"/>
    <s v=" 08816627"/>
    <s v="Mr. Muhammad Usama _x000a_CNIC No. 34101-4954824-3_x000a_Cell No. 0321-9141234"/>
    <m/>
    <s v="HONDA CIVIC"/>
    <s v="AKW-813"/>
    <s v="L15BG7913263"/>
    <s v="NFBFE1655NR003252"/>
    <s v="2022"/>
    <m/>
    <m/>
    <s v=" D"/>
    <s v="09000210-Tariq Shahzad"/>
    <n v="-1"/>
    <n v="-4706"/>
    <n v="-47"/>
    <n v="0"/>
    <n v="0"/>
    <n v="-4753"/>
    <n v="0"/>
    <n v="0"/>
    <n v="-4753"/>
    <n v="0"/>
    <n v="-4753"/>
    <m/>
    <m/>
    <m/>
    <s v="Syed Waqas"/>
    <m/>
    <m/>
    <m/>
  </r>
  <r>
    <n v="1794"/>
    <x v="277"/>
    <x v="1300"/>
    <s v=" -"/>
    <s v=" MOTOR"/>
    <d v="2024-05-21T00:00:00"/>
    <d v="2024-03-21T00:00:00"/>
    <d v="2025-03-20T00:00:00"/>
    <s v=" 08816632"/>
    <s v="Mr. Muhammad Shakir Khan_x000a_CNIC No. 42101-2377962-9_x000a_Cell No. 0320-6661390"/>
    <m/>
    <s v="HONDA BRV - S I-VTEC"/>
    <s v="BJ-0822"/>
    <s v="14803747"/>
    <s v="20436"/>
    <s v="2021"/>
    <m/>
    <m/>
    <s v=" D"/>
    <s v="09000210-Tariq Shahzad"/>
    <n v="4500000"/>
    <n v="2947"/>
    <n v="29"/>
    <n v="383"/>
    <n v="0"/>
    <n v="3359"/>
    <n v="0"/>
    <n v="0"/>
    <n v="3359"/>
    <n v="0"/>
    <n v="3359"/>
    <m/>
    <m/>
    <m/>
    <s v="Fizza Sheikh"/>
    <n v="747.07999999999902"/>
    <n v="545.15"/>
    <m/>
  </r>
  <r>
    <n v="1795"/>
    <x v="277"/>
    <x v="1301"/>
    <s v=" -"/>
    <s v=" MOTOR"/>
    <d v="2024-10-21T00:00:00"/>
    <d v="2024-03-21T00:00:00"/>
    <d v="2025-03-20T00:00:00"/>
    <s v=" 08816632"/>
    <s v="Mr. Muhammad Shakir Khan_x000a_CNIC No. 42101-2377962-9_x000a_Cell No. 0320-6661390"/>
    <m/>
    <s v="HONDA BRV - S I-VTEC"/>
    <s v="BJ-0822"/>
    <s v="14803747"/>
    <s v="20436"/>
    <s v="2021"/>
    <m/>
    <m/>
    <s v=" D"/>
    <s v="09000210-Tariq Shahzad"/>
    <n v="4500000"/>
    <n v="4685"/>
    <n v="47"/>
    <n v="703"/>
    <n v="0"/>
    <n v="5435"/>
    <n v="0"/>
    <n v="0"/>
    <n v="5435"/>
    <n v="0"/>
    <n v="5435"/>
    <m/>
    <m/>
    <m/>
    <s v="Fizza Sheikh"/>
    <n v="1372.8600000000122"/>
    <n v="882.23"/>
    <m/>
  </r>
  <r>
    <n v="1796"/>
    <x v="277"/>
    <x v="1302"/>
    <s v=" -"/>
    <s v=" MOTOR"/>
    <d v="2024-11-22T00:00:00"/>
    <d v="2024-03-21T00:00:00"/>
    <d v="2025-03-20T00:00:00"/>
    <s v=" 08816632"/>
    <s v="Mr. Muhammad Shakir Khan_x000a_CNIC No. 42101-2377962-9_x000a_Cell No. 0320-6661390"/>
    <m/>
    <s v="HONDA BRV - S I-VTEC"/>
    <s v="BJ-0822"/>
    <s v="14803747"/>
    <s v="20436"/>
    <s v="2021"/>
    <m/>
    <m/>
    <s v=" D"/>
    <s v="09000210-Tariq Shahzad"/>
    <n v="4500000"/>
    <n v="3899"/>
    <n v="39"/>
    <n v="585"/>
    <n v="0"/>
    <n v="4523"/>
    <n v="0"/>
    <n v="0"/>
    <n v="4523"/>
    <n v="0"/>
    <n v="4523"/>
    <m/>
    <m/>
    <m/>
    <s v="Fizza Sheikh"/>
    <n v="1050.329999999997"/>
    <n v="734.36"/>
    <m/>
  </r>
  <r>
    <n v="1797"/>
    <x v="277"/>
    <x v="1303"/>
    <s v=" -"/>
    <s v=" MOTOR"/>
    <d v="2024-12-23T00:00:00"/>
    <d v="2024-03-21T00:00:00"/>
    <d v="2025-03-20T00:00:00"/>
    <s v=" 08816632"/>
    <s v="Mr. Muhammad Shakir Khan_x000a_CNIC No. 42101-2377962-9_x000a_Cell No. 0320-6661390"/>
    <m/>
    <s v="HONDA BRV - S I-VTEC"/>
    <s v="BJ-0822"/>
    <s v="14803747"/>
    <s v="20436"/>
    <s v="2021"/>
    <m/>
    <m/>
    <s v=" D"/>
    <s v="09000210-Tariq Shahzad"/>
    <n v="4500000"/>
    <n v="2945"/>
    <n v="29"/>
    <n v="442"/>
    <n v="0"/>
    <n v="3416"/>
    <n v="0"/>
    <n v="0"/>
    <n v="3416"/>
    <n v="0"/>
    <n v="3416"/>
    <m/>
    <m/>
    <m/>
    <s v="Fizza Sheikh"/>
    <n v="739.60000000000207"/>
    <n v="554.52"/>
    <m/>
  </r>
  <r>
    <n v="1798"/>
    <x v="277"/>
    <x v="1304"/>
    <s v=" -"/>
    <s v=" MOTOR"/>
    <d v="2025-01-22T00:00:00"/>
    <d v="2024-03-21T00:00:00"/>
    <d v="2025-03-20T00:00:00"/>
    <s v=" 08816632"/>
    <s v="Mr. Muhammad Shakir Khan_x000a_CNIC No. 42101-2377962-9_x000a_Cell No. 0320-6661390"/>
    <m/>
    <s v="HONDA BRV - S I-VTEC"/>
    <s v="BJ-0822"/>
    <s v="14803747"/>
    <s v="20436"/>
    <s v="2021"/>
    <m/>
    <m/>
    <s v=" D"/>
    <s v="09000210-Tariq Shahzad"/>
    <n v="4500000"/>
    <n v="2821"/>
    <n v="28"/>
    <n v="423"/>
    <n v="0"/>
    <n v="3272"/>
    <n v="0"/>
    <n v="0"/>
    <n v="3272"/>
    <n v="0"/>
    <n v="3272"/>
    <m/>
    <m/>
    <m/>
    <s v="Fizza Sheikh"/>
    <n v="545.7900000000011"/>
    <n v="530.89000000000101"/>
    <m/>
  </r>
  <r>
    <n v="1799"/>
    <x v="277"/>
    <x v="1305"/>
    <s v=" -"/>
    <s v=" MOTOR"/>
    <d v="2025-02-21T00:00:00"/>
    <d v="2024-03-21T00:00:00"/>
    <d v="2025-03-20T00:00:00"/>
    <s v=" 08816632"/>
    <s v="Mr. Muhammad Shakir Khan_x000a_CNIC No. 42101-2377962-9_x000a_Cell No. 0320-6661390"/>
    <m/>
    <s v="HONDA BRV - S I-VTEC"/>
    <s v="BJ-0822"/>
    <s v="14803747"/>
    <s v="20436"/>
    <s v="2021"/>
    <m/>
    <m/>
    <s v=" D"/>
    <s v="09000210-Tariq Shahzad"/>
    <n v="4500000"/>
    <n v="2759"/>
    <n v="28"/>
    <n v="414"/>
    <n v="0"/>
    <n v="3201"/>
    <n v="0"/>
    <n v="0"/>
    <n v="3201"/>
    <n v="0"/>
    <n v="3201"/>
    <m/>
    <m/>
    <m/>
    <s v="Fizza Sheikh"/>
    <n v="1048.97000000002"/>
    <n v="519.21"/>
    <m/>
  </r>
  <r>
    <n v="1800"/>
    <x v="277"/>
    <x v="1306"/>
    <s v=" -"/>
    <s v=" MOTOR"/>
    <d v="2025-03-29T00:00:00"/>
    <d v="2024-03-21T00:00:00"/>
    <d v="2025-03-20T00:00:00"/>
    <s v=" 08816632"/>
    <s v="Mr. Muhammad Shakir Khan_x000a_CNIC No. 42101-2377962-9_x000a_Cell No. 0320-6661390"/>
    <m/>
    <s v="HONDA BRV - S I-VTEC"/>
    <s v="BJ-0822"/>
    <s v="14803747"/>
    <s v="20436"/>
    <s v="2021"/>
    <m/>
    <m/>
    <s v=" D"/>
    <s v="09000210-Tariq Shahzad"/>
    <n v="-1"/>
    <n v="-23002"/>
    <n v="-204"/>
    <n v="0"/>
    <n v="0"/>
    <n v="-23206"/>
    <n v="0"/>
    <n v="0"/>
    <n v="-23206"/>
    <n v="0"/>
    <n v="-23206"/>
    <m/>
    <m/>
    <m/>
    <s v="Fizza Sheikh"/>
    <m/>
    <m/>
    <m/>
  </r>
  <r>
    <n v="1801"/>
    <x v="278"/>
    <x v="24"/>
    <s v=" -"/>
    <s v=" MOTOR"/>
    <d v="2024-03-25T00:00:00"/>
    <d v="2024-03-17T00:00:00"/>
    <d v="2025-03-16T00:00:00"/>
    <s v=" 08810309"/>
    <s v="Obaid Ur Rehman_x000a_CNIC:13101-0834178-9_x000a_Phone Number:03219800960"/>
    <m/>
    <s v="KIA SPORTAGE ALPHA"/>
    <s v="BBJ-283"/>
    <s v="G4NANH303046"/>
    <s v="NNAQL51AZKP518745"/>
    <s v="2023"/>
    <m/>
    <m/>
    <s v=" D"/>
    <s v="09000221-Muhammad Irfan"/>
    <n v="1000000"/>
    <n v="0"/>
    <n v="0"/>
    <n v="0"/>
    <n v="50"/>
    <n v="50"/>
    <n v="65"/>
    <n v="0"/>
    <n v="-15"/>
    <n v="0"/>
    <n v="-15"/>
    <m/>
    <m/>
    <m/>
    <s v="Maria Tauqeer Qazi"/>
    <m/>
    <m/>
    <s v="obaidia2000@hotmail.com"/>
  </r>
  <r>
    <n v="1802"/>
    <x v="278"/>
    <x v="1307"/>
    <s v=" -"/>
    <s v=" MOTOR"/>
    <d v="2024-11-18T00:00:00"/>
    <d v="2024-03-17T00:00:00"/>
    <d v="2025-03-16T00:00:00"/>
    <s v=" 08810309"/>
    <s v="Obaid Ur Rehman_x000a_CNIC:13101-0834178-9_x000a_Phone Number:03219800960"/>
    <m/>
    <s v="KIA SPORTAGE ALPHA"/>
    <s v="BBJ-283"/>
    <s v="G4NANH303046"/>
    <s v="NNAQL51AZKP518745"/>
    <s v="2023"/>
    <m/>
    <m/>
    <s v=" D"/>
    <s v="09000221-Muhammad Irfan"/>
    <n v="1000000"/>
    <n v="13"/>
    <n v="0"/>
    <n v="2"/>
    <n v="0"/>
    <n v="15"/>
    <n v="0"/>
    <n v="0"/>
    <n v="15"/>
    <n v="0"/>
    <n v="15"/>
    <m/>
    <m/>
    <m/>
    <s v="Maria Tauqeer Qazi"/>
    <m/>
    <m/>
    <m/>
  </r>
  <r>
    <n v="1803"/>
    <x v="279"/>
    <x v="1308"/>
    <s v=" -"/>
    <s v=" MOTOR"/>
    <d v="2024-04-22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3169"/>
    <n v="32"/>
    <n v="413"/>
    <n v="0"/>
    <n v="3614"/>
    <n v="0"/>
    <n v="0"/>
    <n v="3614"/>
    <n v="0"/>
    <n v="3614"/>
    <m/>
    <m/>
    <m/>
    <s v="Fizza Sheikh"/>
    <n v="1522.3300000000011"/>
    <n v="1056.1599999999992"/>
    <m/>
  </r>
  <r>
    <n v="1804"/>
    <x v="279"/>
    <x v="1309"/>
    <s v=" -"/>
    <s v=" MOTOR"/>
    <d v="2024-05-22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2843"/>
    <n v="29"/>
    <n v="369"/>
    <n v="0"/>
    <n v="3241"/>
    <n v="0"/>
    <n v="0"/>
    <n v="3241"/>
    <n v="0"/>
    <n v="3241"/>
    <m/>
    <m/>
    <m/>
    <s v="Fizza Sheikh"/>
    <n v="1473.28"/>
    <n v="946.77"/>
    <m/>
  </r>
  <r>
    <n v="1805"/>
    <x v="279"/>
    <x v="1310"/>
    <s v=" -"/>
    <s v=" MOTOR"/>
    <d v="2024-06-24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3404"/>
    <n v="34"/>
    <n v="443"/>
    <n v="0"/>
    <n v="3881"/>
    <n v="0"/>
    <n v="0"/>
    <n v="3881"/>
    <n v="0"/>
    <n v="3881"/>
    <m/>
    <m/>
    <m/>
    <s v="Fizza Sheikh"/>
    <n v="3232.4199999999942"/>
    <n v="1133.5299999999991"/>
    <m/>
  </r>
  <r>
    <n v="1806"/>
    <x v="279"/>
    <x v="1311"/>
    <s v=" -"/>
    <s v=" MOTOR"/>
    <d v="2024-07-25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3031"/>
    <n v="30"/>
    <n v="455"/>
    <n v="0"/>
    <n v="3516"/>
    <n v="0"/>
    <n v="0"/>
    <n v="3516"/>
    <n v="0"/>
    <n v="3516"/>
    <m/>
    <m/>
    <m/>
    <s v="Fizza Sheikh"/>
    <n v="1752.09"/>
    <n v="1026.76"/>
    <m/>
  </r>
  <r>
    <n v="1807"/>
    <x v="279"/>
    <x v="1312"/>
    <s v=" -"/>
    <s v=" MOTOR"/>
    <d v="2024-08-27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2561"/>
    <n v="26"/>
    <n v="384"/>
    <n v="0"/>
    <n v="2971"/>
    <n v="0"/>
    <n v="0"/>
    <n v="2971"/>
    <n v="0"/>
    <n v="2971"/>
    <m/>
    <m/>
    <m/>
    <s v="Fizza Sheikh"/>
    <n v="1431.5200000000009"/>
    <n v="868.14"/>
    <m/>
  </r>
  <r>
    <n v="1808"/>
    <x v="279"/>
    <x v="1313"/>
    <s v=" -"/>
    <s v=" MOTOR"/>
    <d v="2024-09-26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2510"/>
    <n v="25"/>
    <n v="377"/>
    <n v="0"/>
    <n v="2912"/>
    <n v="0"/>
    <n v="0"/>
    <n v="2912"/>
    <n v="0"/>
    <n v="2912"/>
    <m/>
    <m/>
    <m/>
    <s v="Fizza Sheikh"/>
    <n v="1136.42"/>
    <n v="850.68"/>
    <m/>
  </r>
  <r>
    <n v="1809"/>
    <x v="279"/>
    <x v="1314"/>
    <s v=" -"/>
    <s v=" MOTOR"/>
    <d v="2024-10-23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2970"/>
    <n v="30"/>
    <n v="445"/>
    <n v="0"/>
    <n v="3445"/>
    <n v="0"/>
    <n v="0"/>
    <n v="3445"/>
    <n v="0"/>
    <n v="3445"/>
    <m/>
    <m/>
    <m/>
    <s v="Fizza Sheikh"/>
    <n v="1423.29"/>
    <n v="1006.1799999999989"/>
    <m/>
  </r>
  <r>
    <n v="1810"/>
    <x v="279"/>
    <x v="1315"/>
    <s v=" -"/>
    <s v=" MOTOR"/>
    <d v="2024-11-25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3635"/>
    <n v="36"/>
    <n v="545"/>
    <n v="0"/>
    <n v="4216"/>
    <n v="0"/>
    <n v="0"/>
    <n v="4216"/>
    <n v="0"/>
    <n v="4216"/>
    <m/>
    <m/>
    <m/>
    <s v="Fizza Sheikh"/>
    <n v="2394.84"/>
    <n v="1231.21"/>
    <m/>
  </r>
  <r>
    <n v="1811"/>
    <x v="279"/>
    <x v="1316"/>
    <s v=" -"/>
    <s v=" MOTOR"/>
    <d v="2024-12-24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2500000"/>
    <n v="3224"/>
    <n v="32"/>
    <n v="483"/>
    <n v="0"/>
    <n v="3739"/>
    <n v="0"/>
    <n v="0"/>
    <n v="3739"/>
    <n v="0"/>
    <n v="3739"/>
    <m/>
    <m/>
    <m/>
    <s v="Fizza Sheikh"/>
    <n v="1465.2100000000009"/>
    <n v="1092.24"/>
    <m/>
  </r>
  <r>
    <n v="1812"/>
    <x v="279"/>
    <x v="1317"/>
    <s v=" -"/>
    <s v=" MOTOR"/>
    <d v="2024-12-29T00:00:00"/>
    <d v="2024-03-22T00:00:00"/>
    <d v="2025-03-21T00:00:00"/>
    <s v=" 08816639"/>
    <s v="Mr. Syed Haider Ali Zaidi _x000a_CNIC No. 42101-1828405-3_x000a_Cell No. 0310-5047196"/>
    <m/>
    <s v="SUZUKI WAGON R VXL"/>
    <s v="BPQ-894"/>
    <s v="PK10B1893905"/>
    <s v="A1J310PK10083909"/>
    <s v="2019"/>
    <m/>
    <m/>
    <s v=" D"/>
    <s v="09000210-Tariq Shahzad"/>
    <n v="-1"/>
    <n v="-31223"/>
    <n v="-312"/>
    <n v="0"/>
    <n v="0"/>
    <n v="-31535"/>
    <n v="0"/>
    <n v="0"/>
    <n v="-31535"/>
    <n v="0"/>
    <n v="-31535"/>
    <m/>
    <m/>
    <m/>
    <s v="Fizza Sheikh"/>
    <m/>
    <m/>
    <m/>
  </r>
  <r>
    <n v="1813"/>
    <x v="280"/>
    <x v="1318"/>
    <s v=" -"/>
    <s v=" MOTOR"/>
    <d v="2024-12-14T00:00:00"/>
    <d v="2024-02-13T00:00:00"/>
    <d v="2025-02-12T00:00:00"/>
    <s v=" 08809654"/>
    <s v="Mr. Ibrahim Ahmad Cheema_x000a_CNIC# 33100-0614095-5_x000a_CELL# 03096890000"/>
    <m/>
    <s v="SUZUKI CULTUS"/>
    <s v="ADD-894"/>
    <s v="632341"/>
    <s v="539212"/>
    <s v="2017"/>
    <s v="33100-0614095-5"/>
    <m/>
    <s v=" D"/>
    <s v="09000221-Muhammad Irfan"/>
    <n v="1400000"/>
    <n v="414"/>
    <n v="4"/>
    <n v="62"/>
    <n v="0"/>
    <n v="480"/>
    <n v="0"/>
    <n v="0"/>
    <n v="480"/>
    <n v="0"/>
    <n v="480"/>
    <m/>
    <m/>
    <m/>
    <s v="Maria Tauqeer Qazi"/>
    <n v="683.17000000001315"/>
    <n v="249.36"/>
    <m/>
  </r>
  <r>
    <n v="1814"/>
    <x v="280"/>
    <x v="1319"/>
    <s v=" -"/>
    <s v=" MOTOR"/>
    <d v="2024-12-29T00:00:00"/>
    <d v="2024-02-13T00:00:00"/>
    <d v="2025-02-12T00:00:00"/>
    <s v=" 08809654"/>
    <s v="Mr. Ibrahim Ahmad Cheema_x000a_CNIC# 33100-0614095-5_x000a_CELL# 03096890000"/>
    <m/>
    <s v="SUZUKI CULTUS"/>
    <s v="ADD-894"/>
    <s v="632341"/>
    <s v="539212"/>
    <s v="2017"/>
    <s v="33100-0614095-5"/>
    <m/>
    <s v=" D"/>
    <s v="09000221-Muhammad Irfan"/>
    <n v="-1"/>
    <n v="-475"/>
    <n v="-5"/>
    <n v="0"/>
    <n v="0"/>
    <n v="-480"/>
    <n v="0"/>
    <n v="0"/>
    <n v="-480"/>
    <n v="0"/>
    <n v="-480"/>
    <m/>
    <m/>
    <m/>
    <s v="Maria Tauqeer Qazi"/>
    <m/>
    <m/>
    <m/>
  </r>
  <r>
    <n v="1815"/>
    <x v="281"/>
    <x v="24"/>
    <s v=" -"/>
    <s v=" MOTOR"/>
    <d v="2024-03-27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sahilkitalash_143@yahoo.com"/>
  </r>
  <r>
    <n v="1816"/>
    <x v="281"/>
    <x v="1320"/>
    <s v=" -"/>
    <s v=" MOTOR"/>
    <d v="2024-04-27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2481"/>
    <n v="25"/>
    <n v="322"/>
    <n v="0"/>
    <n v="2828"/>
    <n v="0"/>
    <n v="0"/>
    <n v="2828"/>
    <n v="0"/>
    <n v="2828"/>
    <m/>
    <m/>
    <m/>
    <s v="Maria Tauqeer Qazi"/>
    <n v="1489.3000000000081"/>
    <n v="936.98"/>
    <m/>
  </r>
  <r>
    <n v="1817"/>
    <x v="281"/>
    <x v="1321"/>
    <s v=" -"/>
    <s v=" MOTOR"/>
    <d v="2024-05-27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2465"/>
    <n v="24"/>
    <n v="321"/>
    <n v="0"/>
    <n v="2810"/>
    <n v="0"/>
    <n v="0"/>
    <n v="2810"/>
    <n v="0"/>
    <n v="2810"/>
    <m/>
    <m/>
    <m/>
    <s v="Maria Tauqeer Qazi"/>
    <n v="1453.920000000011"/>
    <n v="931.69"/>
    <m/>
  </r>
  <r>
    <n v="1818"/>
    <x v="281"/>
    <x v="1322"/>
    <s v=" -"/>
    <s v=" MOTOR"/>
    <d v="2024-06-26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2703"/>
    <n v="27"/>
    <n v="351"/>
    <n v="0"/>
    <n v="3081"/>
    <n v="0"/>
    <n v="0"/>
    <n v="3081"/>
    <n v="0"/>
    <n v="3081"/>
    <m/>
    <m/>
    <m/>
    <s v="Maria Tauqeer Qazi"/>
    <n v="1750.4500000000151"/>
    <n v="1021.5400000000002"/>
    <m/>
  </r>
  <r>
    <n v="1819"/>
    <x v="281"/>
    <x v="1323"/>
    <s v=" -"/>
    <s v=" MOTOR"/>
    <d v="2024-07-26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2427"/>
    <n v="24"/>
    <n v="364"/>
    <n v="0"/>
    <n v="2815"/>
    <n v="0"/>
    <n v="0"/>
    <n v="2815"/>
    <n v="0"/>
    <n v="2815"/>
    <m/>
    <m/>
    <m/>
    <s v="Maria Tauqeer Qazi"/>
    <n v="1151.96"/>
    <n v="932.26"/>
    <m/>
  </r>
  <r>
    <n v="1820"/>
    <x v="281"/>
    <x v="1324"/>
    <s v=" -"/>
    <s v=" MOTOR"/>
    <d v="2024-08-31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2194"/>
    <n v="22"/>
    <n v="329"/>
    <n v="0"/>
    <n v="2545"/>
    <n v="0"/>
    <n v="0"/>
    <n v="2545"/>
    <n v="0"/>
    <n v="2545"/>
    <m/>
    <m/>
    <m/>
    <s v="Maria Tauqeer Qazi"/>
    <n v="1329.5000000000159"/>
    <n v="844.1600000000002"/>
    <m/>
  </r>
  <r>
    <n v="1821"/>
    <x v="281"/>
    <x v="1325"/>
    <s v=" -"/>
    <s v=" MOTOR"/>
    <d v="2024-10-01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2832"/>
    <n v="28"/>
    <n v="425"/>
    <n v="0"/>
    <n v="3285"/>
    <n v="0"/>
    <n v="0"/>
    <n v="3285"/>
    <n v="0"/>
    <n v="3285"/>
    <m/>
    <m/>
    <m/>
    <s v="Maria Tauqeer Qazi"/>
    <n v="2572.9700000000153"/>
    <n v="1087.67"/>
    <m/>
  </r>
  <r>
    <n v="1822"/>
    <x v="281"/>
    <x v="1326"/>
    <s v=" -"/>
    <s v=" MOTOR"/>
    <d v="2024-10-28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2951"/>
    <n v="30"/>
    <n v="443"/>
    <n v="0"/>
    <n v="3424"/>
    <n v="0"/>
    <n v="0"/>
    <n v="3424"/>
    <n v="0"/>
    <n v="3424"/>
    <m/>
    <m/>
    <m/>
    <s v="Maria Tauqeer Qazi"/>
    <n v="2009.2599999999961"/>
    <n v="1133.55"/>
    <m/>
  </r>
  <r>
    <n v="1823"/>
    <x v="281"/>
    <x v="1327"/>
    <s v=" -"/>
    <s v=" MOTOR"/>
    <d v="2024-11-27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2669"/>
    <n v="27"/>
    <n v="400"/>
    <n v="0"/>
    <n v="3096"/>
    <n v="0"/>
    <n v="0"/>
    <n v="3096"/>
    <n v="0"/>
    <n v="3096"/>
    <m/>
    <m/>
    <m/>
    <s v="Maria Tauqeer Qazi"/>
    <n v="1184.2100000000009"/>
    <n v="1025.67"/>
    <m/>
  </r>
  <r>
    <n v="1824"/>
    <x v="281"/>
    <x v="1328"/>
    <s v=" -"/>
    <s v=" MOTOR"/>
    <d v="2024-12-27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2200000"/>
    <n v="3416"/>
    <n v="34"/>
    <n v="512"/>
    <n v="0"/>
    <n v="3962"/>
    <n v="0"/>
    <n v="0"/>
    <n v="3962"/>
    <n v="0"/>
    <n v="3962"/>
    <m/>
    <m/>
    <m/>
    <s v="Maria Tauqeer Qazi"/>
    <n v="2299.7499999999973"/>
    <n v="1311.63"/>
    <m/>
  </r>
  <r>
    <n v="1825"/>
    <x v="281"/>
    <x v="1329"/>
    <s v=" -"/>
    <s v=" MOTOR"/>
    <d v="2024-12-29T00:00:00"/>
    <d v="2024-01-26T00:00:00"/>
    <d v="2025-01-25T00:00:00"/>
    <s v=" 08804273"/>
    <s v="Mr. Chaudhary Shahzad Iqbal_x000a_CNIC # 35202-6451466-5, Cell # 0322-2200061"/>
    <m/>
    <s v="SUZUKI CULTUS VXL"/>
    <s v="LEA-19-26"/>
    <s v="136058"/>
    <s v="10036049"/>
    <s v="2019"/>
    <m/>
    <m/>
    <s v=" D"/>
    <s v="09000221-Muhammad Irfan"/>
    <n v="-1"/>
    <n v="-27620"/>
    <n v="-276"/>
    <n v="0"/>
    <n v="0"/>
    <n v="-27896"/>
    <n v="0"/>
    <n v="0"/>
    <n v="-27896"/>
    <n v="0"/>
    <n v="-27896"/>
    <m/>
    <m/>
    <m/>
    <s v="Maria Tauqeer Qazi"/>
    <m/>
    <m/>
    <m/>
  </r>
  <r>
    <n v="1826"/>
    <x v="282"/>
    <x v="24"/>
    <s v=" -"/>
    <s v=" MOTOR"/>
    <d v="2024-03-28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saad94.sg@gmail.com"/>
  </r>
  <r>
    <n v="1827"/>
    <x v="282"/>
    <x v="1330"/>
    <s v=" -"/>
    <s v=" MOTOR"/>
    <d v="2024-04-29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7500000"/>
    <n v="1191"/>
    <n v="12"/>
    <n v="155"/>
    <n v="0"/>
    <n v="1358"/>
    <n v="0"/>
    <n v="0"/>
    <n v="1358"/>
    <n v="0"/>
    <n v="1358"/>
    <m/>
    <m/>
    <m/>
    <s v="Maria Tauqeer Qazi"/>
    <n v="132.11000000000001"/>
    <n v="132.11000000000001"/>
    <m/>
  </r>
  <r>
    <n v="1828"/>
    <x v="282"/>
    <x v="1331"/>
    <s v=" -"/>
    <s v=" MOTOR"/>
    <d v="2024-05-29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7500000"/>
    <n v="3733"/>
    <n v="37"/>
    <n v="485"/>
    <n v="0"/>
    <n v="4255"/>
    <n v="0"/>
    <n v="0"/>
    <n v="4255"/>
    <n v="0"/>
    <n v="4255"/>
    <m/>
    <m/>
    <m/>
    <s v="Maria Tauqeer Qazi"/>
    <n v="430.25"/>
    <n v="414.27"/>
    <m/>
  </r>
  <r>
    <n v="1829"/>
    <x v="282"/>
    <x v="1332"/>
    <s v=" -"/>
    <s v=" MOTOR"/>
    <d v="2024-07-01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7500000"/>
    <n v="1459"/>
    <n v="15"/>
    <n v="190"/>
    <n v="0"/>
    <n v="1664"/>
    <n v="0"/>
    <n v="0"/>
    <n v="1664"/>
    <n v="0"/>
    <n v="1664"/>
    <m/>
    <m/>
    <m/>
    <s v="Maria Tauqeer Qazi"/>
    <n v="168.27"/>
    <n v="162.02000000000001"/>
    <m/>
  </r>
  <r>
    <n v="1830"/>
    <x v="282"/>
    <x v="1333"/>
    <s v=" -"/>
    <s v=" MOTOR"/>
    <d v="2024-07-30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7500000"/>
    <n v="3137"/>
    <n v="31"/>
    <n v="470"/>
    <n v="0"/>
    <n v="3638"/>
    <n v="0"/>
    <n v="0"/>
    <n v="3638"/>
    <n v="0"/>
    <n v="3638"/>
    <m/>
    <m/>
    <m/>
    <s v="Maria Tauqeer Qazi"/>
    <n v="353.81000000000006"/>
    <n v="353.81000000000006"/>
    <m/>
  </r>
  <r>
    <n v="1831"/>
    <x v="282"/>
    <x v="1334"/>
    <s v=" -"/>
    <s v=" MOTOR"/>
    <d v="2024-09-03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7500000"/>
    <n v="3468"/>
    <n v="35"/>
    <n v="520"/>
    <n v="0"/>
    <n v="4023"/>
    <n v="0"/>
    <n v="0"/>
    <n v="4023"/>
    <n v="0"/>
    <n v="4023"/>
    <m/>
    <m/>
    <m/>
    <s v="Maria Tauqeer Qazi"/>
    <n v="416.1400000000001"/>
    <n v="391.45000000000005"/>
    <m/>
  </r>
  <r>
    <n v="1832"/>
    <x v="282"/>
    <x v="1335"/>
    <s v=" -"/>
    <s v=" MOTOR"/>
    <d v="2024-10-05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7500000"/>
    <n v="3421"/>
    <n v="34"/>
    <n v="513"/>
    <n v="0"/>
    <n v="3968"/>
    <n v="0"/>
    <n v="0"/>
    <n v="3968"/>
    <n v="0"/>
    <n v="3968"/>
    <m/>
    <m/>
    <m/>
    <s v="Maria Tauqeer Qazi"/>
    <n v="441.45000000000005"/>
    <n v="386.11000000000007"/>
    <m/>
  </r>
  <r>
    <n v="1833"/>
    <x v="282"/>
    <x v="1336"/>
    <s v=" -"/>
    <s v=" MOTOR"/>
    <d v="2024-11-01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7500000"/>
    <n v="2327"/>
    <n v="23"/>
    <n v="349"/>
    <n v="0"/>
    <n v="2699"/>
    <n v="0"/>
    <n v="0"/>
    <n v="2699"/>
    <n v="0"/>
    <n v="2699"/>
    <m/>
    <m/>
    <m/>
    <s v="Maria Tauqeer Qazi"/>
    <n v="262.64000000000004"/>
    <n v="262.64000000000004"/>
    <m/>
  </r>
  <r>
    <n v="1834"/>
    <x v="282"/>
    <x v="1337"/>
    <s v=" -"/>
    <s v=" MOTOR"/>
    <d v="2024-12-01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7500000"/>
    <n v="4225"/>
    <n v="42"/>
    <n v="634"/>
    <n v="0"/>
    <n v="4901"/>
    <n v="0"/>
    <n v="0"/>
    <n v="4901"/>
    <n v="0"/>
    <n v="4901"/>
    <m/>
    <m/>
    <m/>
    <s v="Maria Tauqeer Qazi"/>
    <n v="476.92000000000007"/>
    <n v="476.92000000000007"/>
    <m/>
  </r>
  <r>
    <n v="1835"/>
    <x v="282"/>
    <x v="1338"/>
    <s v=" -"/>
    <s v=" MOTOR"/>
    <d v="2024-12-29T00:00:00"/>
    <d v="2024-03-29T00:00:00"/>
    <d v="2025-03-28T00:00:00"/>
    <s v=" 08807704"/>
    <s v="Mr. Muhammad Saad_x000a_CNIC# 42101-2489555-7_x000a_CELL# 0334-3807954"/>
    <m/>
    <s v="KIA KIA SPORTAGE"/>
    <s v="BJ-7284"/>
    <s v="G4NAMH318822"/>
    <s v="NNAQL51AZKP307466"/>
    <s v="2021"/>
    <m/>
    <m/>
    <s v=" D"/>
    <s v="09000221-Muhammad Irfan"/>
    <n v="-1"/>
    <n v="-26293"/>
    <n v="-263"/>
    <n v="0"/>
    <n v="0"/>
    <n v="-26556"/>
    <n v="0"/>
    <n v="0"/>
    <n v="-26556"/>
    <n v="0"/>
    <n v="-26556"/>
    <m/>
    <m/>
    <m/>
    <s v="Maria Tauqeer Qazi"/>
    <m/>
    <m/>
    <m/>
  </r>
  <r>
    <n v="1836"/>
    <x v="283"/>
    <x v="1339"/>
    <s v=" -"/>
    <s v=" MOTOR"/>
    <d v="2025-02-03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2978"/>
    <n v="30"/>
    <n v="447"/>
    <n v="0"/>
    <n v="3455"/>
    <n v="0"/>
    <n v="0"/>
    <n v="3455"/>
    <n v="0"/>
    <n v="3455"/>
    <m/>
    <m/>
    <m/>
    <s v="Maria Tauqeer Qazi"/>
    <n v="898.54000000000019"/>
    <n v="630.17999999999995"/>
    <m/>
  </r>
  <r>
    <n v="1837"/>
    <x v="283"/>
    <x v="1340"/>
    <s v=" -"/>
    <s v=" MOTOR"/>
    <d v="2025-02-03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2350"/>
    <n v="24"/>
    <n v="353"/>
    <n v="0"/>
    <n v="2727"/>
    <n v="0"/>
    <n v="0"/>
    <n v="2727"/>
    <n v="0"/>
    <n v="2727"/>
    <m/>
    <m/>
    <m/>
    <s v="Maria Tauqeer Qazi"/>
    <n v="507.2700000000001"/>
    <n v="497.55000000000007"/>
    <m/>
  </r>
  <r>
    <n v="1838"/>
    <x v="283"/>
    <x v="1341"/>
    <s v=" -"/>
    <s v=" MOTOR"/>
    <d v="2025-02-03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2800"/>
    <n v="28"/>
    <n v="420"/>
    <n v="0"/>
    <n v="3248"/>
    <n v="0"/>
    <n v="0"/>
    <n v="3248"/>
    <n v="0"/>
    <n v="3248"/>
    <m/>
    <m/>
    <m/>
    <s v="Maria Tauqeer Qazi"/>
    <n v="920.19999999999902"/>
    <n v="592.53"/>
    <m/>
  </r>
  <r>
    <n v="1839"/>
    <x v="283"/>
    <x v="1342"/>
    <s v=" -"/>
    <s v=" MOTOR"/>
    <d v="2025-02-03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3109"/>
    <n v="31"/>
    <n v="466"/>
    <n v="0"/>
    <n v="3606"/>
    <n v="0"/>
    <n v="0"/>
    <n v="3606"/>
    <n v="0"/>
    <n v="3606"/>
    <m/>
    <m/>
    <m/>
    <s v="Maria Tauqeer Qazi"/>
    <n v="734.2"/>
    <n v="657.68"/>
    <m/>
  </r>
  <r>
    <n v="1840"/>
    <x v="283"/>
    <x v="1343"/>
    <s v=" -"/>
    <s v=" MOTOR"/>
    <d v="2025-02-03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3060"/>
    <n v="31"/>
    <n v="459"/>
    <n v="0"/>
    <n v="3550"/>
    <n v="0"/>
    <n v="0"/>
    <n v="3550"/>
    <n v="0"/>
    <n v="3550"/>
    <m/>
    <m/>
    <m/>
    <s v="Maria Tauqeer Qazi"/>
    <n v="724.04000000000019"/>
    <n v="648.09"/>
    <m/>
  </r>
  <r>
    <n v="1841"/>
    <x v="283"/>
    <x v="1344"/>
    <s v=" -"/>
    <s v=" MOTOR"/>
    <d v="2025-02-03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2237"/>
    <n v="22"/>
    <n v="335"/>
    <n v="0"/>
    <n v="2594"/>
    <n v="0"/>
    <n v="0"/>
    <n v="2594"/>
    <n v="0"/>
    <n v="2594"/>
    <m/>
    <m/>
    <m/>
    <s v="Maria Tauqeer Qazi"/>
    <n v="473.86000000000007"/>
    <n v="473.86000000000007"/>
    <m/>
  </r>
  <r>
    <n v="1842"/>
    <x v="283"/>
    <x v="1345"/>
    <s v=" -"/>
    <s v=" MOTOR"/>
    <d v="2025-02-03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1409"/>
    <n v="14"/>
    <n v="211"/>
    <n v="0"/>
    <n v="1634"/>
    <n v="0"/>
    <n v="0"/>
    <n v="1634"/>
    <n v="0"/>
    <n v="1634"/>
    <m/>
    <m/>
    <m/>
    <s v="Maria Tauqeer Qazi"/>
    <n v="310.20999999999998"/>
    <n v="298.09000000000003"/>
    <m/>
  </r>
  <r>
    <n v="1843"/>
    <x v="283"/>
    <x v="1346"/>
    <s v=" -"/>
    <s v=" MOTOR"/>
    <d v="2025-02-03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2890"/>
    <n v="29"/>
    <n v="433"/>
    <n v="0"/>
    <n v="3352"/>
    <n v="0"/>
    <n v="0"/>
    <n v="3352"/>
    <n v="0"/>
    <n v="3352"/>
    <m/>
    <m/>
    <m/>
    <s v="Maria Tauqeer Qazi"/>
    <n v="611.29"/>
    <n v="611.29"/>
    <m/>
  </r>
  <r>
    <n v="1844"/>
    <x v="283"/>
    <x v="1347"/>
    <s v=" -"/>
    <s v=" MOTOR"/>
    <d v="2025-02-06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6601"/>
    <n v="66"/>
    <n v="990"/>
    <n v="0"/>
    <n v="7657"/>
    <n v="0"/>
    <n v="0"/>
    <n v="7657"/>
    <n v="0"/>
    <n v="7657"/>
    <m/>
    <m/>
    <m/>
    <s v="Maria Tauqeer Qazi"/>
    <n v="1395"/>
    <n v="1395"/>
    <m/>
  </r>
  <r>
    <n v="1845"/>
    <x v="283"/>
    <x v="1348"/>
    <s v=" -"/>
    <s v=" MOTOR"/>
    <d v="2025-02-06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4000000"/>
    <n v="6025"/>
    <n v="60"/>
    <n v="904"/>
    <n v="0"/>
    <n v="6989"/>
    <n v="0"/>
    <n v="0"/>
    <n v="6989"/>
    <n v="0"/>
    <n v="6989"/>
    <m/>
    <m/>
    <m/>
    <s v="Maria Tauqeer Qazi"/>
    <n v="1357.39"/>
    <n v="1273.43"/>
    <m/>
  </r>
  <r>
    <n v="1846"/>
    <x v="283"/>
    <x v="1349"/>
    <s v=" -"/>
    <s v=" MOTOR"/>
    <d v="2025-03-29T00:00:00"/>
    <d v="2024-03-29T00:00:00"/>
    <d v="2025-03-28T00:00:00"/>
    <s v=" 08807140"/>
    <s v="Mr. Muhammad Hammad_x000a_CNIC# 42101-4364351-5_x000a_CELL# 0335-2964255"/>
    <m/>
    <s v="CHANGAN ALSVIN"/>
    <s v="BUN-475"/>
    <s v="JL473QFM3CAD517676"/>
    <s v="NKMA2ASE5M1002835"/>
    <s v="2021"/>
    <m/>
    <m/>
    <s v=" D"/>
    <s v="09000221-Muhammad Irfan"/>
    <n v="-1"/>
    <n v="-38472"/>
    <n v="-340"/>
    <n v="0"/>
    <n v="0"/>
    <n v="-38812"/>
    <n v="0"/>
    <n v="0"/>
    <n v="-38812"/>
    <n v="0"/>
    <n v="-38812"/>
    <m/>
    <m/>
    <m/>
    <s v="Maria Tauqeer Qazi"/>
    <m/>
    <m/>
    <m/>
  </r>
  <r>
    <n v="1848"/>
    <x v="284"/>
    <x v="24"/>
    <s v=" -"/>
    <s v=" MOTOR"/>
    <d v="2024-04-01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shakeel.shah767@gmail.com"/>
  </r>
  <r>
    <n v="1849"/>
    <x v="284"/>
    <x v="1350"/>
    <s v=" -"/>
    <s v=" MOTOR"/>
    <d v="2024-04-29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2300000"/>
    <n v="1999"/>
    <n v="20"/>
    <n v="260"/>
    <n v="0"/>
    <n v="2279"/>
    <n v="0"/>
    <n v="0"/>
    <n v="2279"/>
    <n v="0"/>
    <n v="2279"/>
    <m/>
    <m/>
    <m/>
    <s v="Maria Tauqeer Qazi"/>
    <n v="844.76"/>
    <n v="722.99"/>
    <m/>
  </r>
  <r>
    <n v="1850"/>
    <x v="284"/>
    <x v="1351"/>
    <s v=" -"/>
    <s v=" MOTOR"/>
    <d v="2024-05-29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2300000"/>
    <n v="1847"/>
    <n v="18"/>
    <n v="240"/>
    <n v="0"/>
    <n v="2105"/>
    <n v="0"/>
    <n v="0"/>
    <n v="2105"/>
    <n v="0"/>
    <n v="2105"/>
    <m/>
    <m/>
    <m/>
    <s v="Maria Tauqeer Qazi"/>
    <n v="739.37"/>
    <n v="669.11"/>
    <m/>
  </r>
  <r>
    <n v="1851"/>
    <x v="284"/>
    <x v="1352"/>
    <s v=" -"/>
    <s v=" MOTOR"/>
    <d v="2024-06-28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2300000"/>
    <n v="1884"/>
    <n v="19"/>
    <n v="245"/>
    <n v="0"/>
    <n v="2148"/>
    <n v="0"/>
    <n v="0"/>
    <n v="2148"/>
    <n v="0"/>
    <n v="2148"/>
    <m/>
    <m/>
    <m/>
    <s v="Maria Tauqeer Qazi"/>
    <n v="802.69999999999902"/>
    <n v="681.86"/>
    <m/>
  </r>
  <r>
    <n v="1852"/>
    <x v="284"/>
    <x v="1353"/>
    <s v=" -"/>
    <s v=" MOTOR"/>
    <d v="2024-07-30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2300000"/>
    <n v="1744"/>
    <n v="17"/>
    <n v="262"/>
    <n v="0"/>
    <n v="2023"/>
    <n v="0"/>
    <n v="0"/>
    <n v="2023"/>
    <n v="0"/>
    <n v="2023"/>
    <m/>
    <m/>
    <m/>
    <s v="Maria Tauqeer Qazi"/>
    <n v="670.71"/>
    <n v="640.94000000000005"/>
    <m/>
  </r>
  <r>
    <n v="1853"/>
    <x v="284"/>
    <x v="1354"/>
    <s v=" -"/>
    <s v=" MOTOR"/>
    <d v="2024-08-31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2300000"/>
    <n v="1880"/>
    <n v="19"/>
    <n v="282"/>
    <n v="0"/>
    <n v="2181"/>
    <n v="0"/>
    <n v="0"/>
    <n v="2181"/>
    <n v="0"/>
    <n v="2181"/>
    <m/>
    <m/>
    <m/>
    <s v="Maria Tauqeer Qazi"/>
    <n v="760.91"/>
    <n v="692.54000000000019"/>
    <m/>
  </r>
  <r>
    <n v="1854"/>
    <x v="284"/>
    <x v="1355"/>
    <s v=" -"/>
    <s v=" MOTOR"/>
    <d v="2024-10-05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2300000"/>
    <n v="1857"/>
    <n v="19"/>
    <n v="279"/>
    <n v="0"/>
    <n v="2155"/>
    <n v="0"/>
    <n v="0"/>
    <n v="2155"/>
    <n v="0"/>
    <n v="2155"/>
    <m/>
    <m/>
    <m/>
    <s v="Maria Tauqeer Qazi"/>
    <n v="738.83000000000106"/>
    <n v="682.9100000000002"/>
    <m/>
  </r>
  <r>
    <n v="1855"/>
    <x v="284"/>
    <x v="1356"/>
    <s v=" -"/>
    <s v=" MOTOR"/>
    <d v="2024-10-30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2300000"/>
    <n v="1837"/>
    <n v="18"/>
    <n v="276"/>
    <n v="0"/>
    <n v="2131"/>
    <n v="0"/>
    <n v="0"/>
    <n v="2131"/>
    <n v="0"/>
    <n v="2131"/>
    <m/>
    <m/>
    <m/>
    <s v="Maria Tauqeer Qazi"/>
    <n v="722.61"/>
    <n v="676.84"/>
    <m/>
  </r>
  <r>
    <n v="1856"/>
    <x v="284"/>
    <x v="1357"/>
    <s v=" -"/>
    <s v=" MOTOR"/>
    <d v="2024-11-29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2300000"/>
    <n v="1607"/>
    <n v="16"/>
    <n v="241"/>
    <n v="0"/>
    <n v="1864"/>
    <n v="0"/>
    <n v="0"/>
    <n v="1864"/>
    <n v="0"/>
    <n v="1864"/>
    <m/>
    <m/>
    <m/>
    <s v="Maria Tauqeer Qazi"/>
    <n v="624.42999999999995"/>
    <n v="591.30000000000007"/>
    <m/>
  </r>
  <r>
    <n v="1857"/>
    <x v="284"/>
    <x v="1358"/>
    <s v=" -"/>
    <s v=" MOTOR"/>
    <d v="2024-12-29T00:00:00"/>
    <d v="2024-03-28T00:00:00"/>
    <d v="2025-03-27T00:00:00"/>
    <s v=" 08810288"/>
    <s v="Shakeel Ahmed Shah_x000a_CNIC No: 37405-0648210-7_x000a_Phone Number: 03242163424"/>
    <m/>
    <s v="SUZUKI ALTO"/>
    <s v="APZ-504"/>
    <s v="6R115895"/>
    <s v="NF1AET306H1015918"/>
    <s v="2019"/>
    <m/>
    <m/>
    <s v=" D"/>
    <s v="09000221-Muhammad Irfan"/>
    <n v="-1"/>
    <n v="-16768"/>
    <n v="-168"/>
    <n v="0"/>
    <n v="0"/>
    <n v="-16936"/>
    <n v="0"/>
    <n v="0"/>
    <n v="-16936"/>
    <n v="0"/>
    <n v="-16936"/>
    <m/>
    <m/>
    <m/>
    <s v="Maria Tauqeer Qazi"/>
    <m/>
    <m/>
    <m/>
  </r>
  <r>
    <n v="1858"/>
    <x v="285"/>
    <x v="1359"/>
    <s v=" -"/>
    <s v=" MOTOR"/>
    <d v="2024-05-30T00:00:00"/>
    <d v="2024-03-30T00:00:00"/>
    <d v="2025-03-29T00:00:00"/>
    <s v=" 08816764"/>
    <s v="Mr. Muhammad Junaid_x000a_CNIC No. 42101-6761448-1_x000a_Cell No. 0346-2264350"/>
    <m/>
    <s v="DAIHATSU MIRA EIS"/>
    <s v="BZL-893"/>
    <s v="KF-J922125"/>
    <s v="LA350S-0218275"/>
    <s v="2020"/>
    <m/>
    <m/>
    <s v=" D"/>
    <s v="09000210-Tariq Shahzad"/>
    <n v="3600000"/>
    <n v="752"/>
    <n v="8"/>
    <n v="98"/>
    <n v="0"/>
    <n v="858"/>
    <n v="0"/>
    <n v="0"/>
    <n v="858"/>
    <n v="0"/>
    <n v="858"/>
    <m/>
    <m/>
    <m/>
    <s v="Syed Waqas"/>
    <n v="183.11"/>
    <n v="173.97"/>
    <m/>
  </r>
  <r>
    <n v="1859"/>
    <x v="285"/>
    <x v="1360"/>
    <s v=" -"/>
    <s v=" MOTOR"/>
    <d v="2024-07-01T00:00:00"/>
    <d v="2024-03-30T00:00:00"/>
    <d v="2025-03-29T00:00:00"/>
    <s v=" 08816764"/>
    <s v="Mr. Muhammad Junaid_x000a_CNIC No. 42101-6761448-1_x000a_Cell No. 0346-2264350"/>
    <m/>
    <s v="DAIHATSU MIRA EIS"/>
    <s v="BZL-893"/>
    <s v="KF-J922125"/>
    <s v="LA350S-0218275"/>
    <s v="2020"/>
    <m/>
    <m/>
    <s v=" D"/>
    <s v="09000210-Tariq Shahzad"/>
    <n v="3600000"/>
    <n v="766"/>
    <n v="8"/>
    <n v="100"/>
    <n v="0"/>
    <n v="874"/>
    <n v="0"/>
    <n v="0"/>
    <n v="874"/>
    <n v="0"/>
    <n v="874"/>
    <m/>
    <m/>
    <m/>
    <s v="Syed Waqas"/>
    <n v="615.21"/>
    <n v="176.86"/>
    <m/>
  </r>
  <r>
    <n v="1860"/>
    <x v="285"/>
    <x v="1361"/>
    <s v=" -"/>
    <s v=" MOTOR"/>
    <d v="2024-07-30T00:00:00"/>
    <d v="2024-03-30T00:00:00"/>
    <d v="2025-03-29T00:00:00"/>
    <s v=" 08816764"/>
    <s v="Mr. Muhammad Junaid_x000a_CNIC No. 42101-6761448-1_x000a_Cell No. 0346-2264350"/>
    <m/>
    <s v="DAIHATSU MIRA EIS"/>
    <s v="BZL-893"/>
    <s v="KF-J922125"/>
    <s v="LA350S-0218275"/>
    <s v="2020"/>
    <m/>
    <m/>
    <s v=" D"/>
    <s v="09000210-Tariq Shahzad"/>
    <n v="3600000"/>
    <n v="448"/>
    <n v="4"/>
    <n v="67"/>
    <n v="0"/>
    <n v="519"/>
    <n v="0"/>
    <n v="0"/>
    <n v="519"/>
    <n v="0"/>
    <n v="519"/>
    <m/>
    <m/>
    <m/>
    <s v="Syed Waqas"/>
    <n v="105.1"/>
    <n v="105.1"/>
    <m/>
  </r>
  <r>
    <n v="1861"/>
    <x v="285"/>
    <x v="1362"/>
    <s v=" -"/>
    <s v=" MOTOR"/>
    <d v="2024-09-03T00:00:00"/>
    <d v="2024-03-30T00:00:00"/>
    <d v="2025-03-29T00:00:00"/>
    <s v=" 08816764"/>
    <s v="Mr. Muhammad Junaid_x000a_CNIC No. 42101-6761448-1_x000a_Cell No. 0346-2264350"/>
    <m/>
    <s v="DAIHATSU MIRA EIS"/>
    <s v="BZL-893"/>
    <s v="KF-J922125"/>
    <s v="LA350S-0218275"/>
    <s v="2020"/>
    <m/>
    <m/>
    <s v=" D"/>
    <s v="09000210-Tariq Shahzad"/>
    <n v="3600000"/>
    <n v="862"/>
    <n v="9"/>
    <n v="129"/>
    <n v="0"/>
    <n v="1000"/>
    <n v="0"/>
    <n v="0"/>
    <n v="1000"/>
    <n v="0"/>
    <n v="1000"/>
    <m/>
    <m/>
    <m/>
    <s v="Syed Waqas"/>
    <n v="202.92"/>
    <n v="202.92"/>
    <m/>
  </r>
  <r>
    <n v="1862"/>
    <x v="285"/>
    <x v="1363"/>
    <s v=" -"/>
    <s v=" MOTOR"/>
    <d v="2024-10-05T00:00:00"/>
    <d v="2024-03-30T00:00:00"/>
    <d v="2025-03-29T00:00:00"/>
    <s v=" 08816764"/>
    <s v="Mr. Muhammad Junaid_x000a_CNIC No. 42101-6761448-1_x000a_Cell No. 0346-2264350"/>
    <m/>
    <s v="DAIHATSU MIRA EIS"/>
    <s v="BZL-893"/>
    <s v="KF-J922125"/>
    <s v="LA350S-0218275"/>
    <s v="2020"/>
    <m/>
    <m/>
    <s v=" D"/>
    <s v="09000210-Tariq Shahzad"/>
    <n v="3600000"/>
    <n v="221"/>
    <n v="2"/>
    <n v="33"/>
    <n v="0"/>
    <n v="256"/>
    <n v="0"/>
    <n v="0"/>
    <n v="256"/>
    <n v="0"/>
    <n v="256"/>
    <m/>
    <m/>
    <m/>
    <s v="Syed Waqas"/>
    <n v="52.1"/>
    <n v="52.1"/>
    <m/>
  </r>
  <r>
    <n v="1863"/>
    <x v="285"/>
    <x v="1364"/>
    <s v=" -"/>
    <s v=" MOTOR"/>
    <d v="2024-12-29T00:00:00"/>
    <d v="2024-03-30T00:00:00"/>
    <d v="2025-03-29T00:00:00"/>
    <s v=" 08816764"/>
    <s v="Mr. Muhammad Junaid_x000a_CNIC No. 42101-6761448-1_x000a_Cell No. 0346-2264350"/>
    <m/>
    <s v="DAIHATSU MIRA EIS"/>
    <s v="BZL-893"/>
    <s v="KF-J922125"/>
    <s v="LA350S-0218275"/>
    <s v="2020"/>
    <m/>
    <m/>
    <s v=" D"/>
    <s v="09000210-Tariq Shahzad"/>
    <n v="-1"/>
    <n v="-3472"/>
    <n v="-35"/>
    <n v="0"/>
    <n v="0"/>
    <n v="-3507"/>
    <n v="0"/>
    <n v="0"/>
    <n v="-3507"/>
    <n v="0"/>
    <n v="-3507"/>
    <m/>
    <m/>
    <m/>
    <s v="Syed Waqas"/>
    <m/>
    <m/>
    <m/>
  </r>
  <r>
    <n v="1869"/>
    <x v="286"/>
    <x v="1365"/>
    <s v=" -"/>
    <s v=" MOTOR"/>
    <d v="2024-06-03T00:00:00"/>
    <d v="2024-04-01T00:00:00"/>
    <d v="2025-03-31T00:00:00"/>
    <s v=" 08811974"/>
    <s v="Mr. Irfan Iftikhar_x000a_CNIC: 42201-3864204-9_x000a_Cell: 03219260667"/>
    <m/>
    <s v="MAZDA CAROL A/T"/>
    <s v="BMZ-781"/>
    <s v="R06A-K405945"/>
    <s v="HB36S-213131"/>
    <s v="2016"/>
    <m/>
    <m/>
    <s v=" D"/>
    <s v="09000210-Tariq Shahzad"/>
    <n v="2200000"/>
    <n v="2133"/>
    <n v="22"/>
    <n v="278"/>
    <n v="0"/>
    <n v="2433"/>
    <n v="0"/>
    <n v="0"/>
    <n v="2433"/>
    <n v="0"/>
    <n v="2433"/>
    <m/>
    <m/>
    <m/>
    <s v="Syed Waqas"/>
    <n v="992.57"/>
    <n v="805.71"/>
    <m/>
  </r>
  <r>
    <n v="1870"/>
    <x v="286"/>
    <x v="1366"/>
    <s v=" -"/>
    <s v=" MOTOR"/>
    <d v="2024-07-02T00:00:00"/>
    <d v="2024-04-01T00:00:00"/>
    <d v="2025-03-31T00:00:00"/>
    <s v=" 08811974"/>
    <s v="Mr. Irfan Iftikhar_x000a_CNIC: 42201-3864204-9_x000a_Cell: 03219260667"/>
    <m/>
    <s v="MAZDA CAROL A/T"/>
    <s v="BMZ-781"/>
    <s v="R06A-K405945"/>
    <s v="HB36S-213131"/>
    <s v="2016"/>
    <m/>
    <m/>
    <s v=" D"/>
    <s v="09000210-Tariq Shahzad"/>
    <n v="2200000"/>
    <n v="1710"/>
    <n v="17"/>
    <n v="257"/>
    <n v="0"/>
    <n v="1984"/>
    <n v="0"/>
    <n v="0"/>
    <n v="1984"/>
    <n v="0"/>
    <n v="1984"/>
    <m/>
    <m/>
    <m/>
    <s v="Syed Waqas"/>
    <n v="675.020000000001"/>
    <n v="657.12000000000103"/>
    <m/>
  </r>
  <r>
    <n v="1871"/>
    <x v="286"/>
    <x v="1367"/>
    <s v=" -"/>
    <s v=" MOTOR"/>
    <d v="2024-08-02T00:00:00"/>
    <d v="2024-04-01T00:00:00"/>
    <d v="2025-03-31T00:00:00"/>
    <s v=" 08811974"/>
    <s v="Mr. Irfan Iftikhar_x000a_CNIC: 42201-3864204-9_x000a_Cell: 03219260667"/>
    <m/>
    <s v="MAZDA CAROL A/T"/>
    <s v="BMZ-781"/>
    <s v="R06A-K405945"/>
    <s v="HB36S-213131"/>
    <s v="2016"/>
    <m/>
    <m/>
    <s v=" D"/>
    <s v="09000210-Tariq Shahzad"/>
    <n v="2200000"/>
    <n v="1219"/>
    <n v="12"/>
    <n v="183"/>
    <n v="0"/>
    <n v="1414"/>
    <n v="0"/>
    <n v="0"/>
    <n v="1414"/>
    <n v="0"/>
    <n v="1414"/>
    <m/>
    <m/>
    <m/>
    <s v="Syed Waqas"/>
    <n v="513.79"/>
    <n v="469.07000000000005"/>
    <m/>
  </r>
  <r>
    <n v="1872"/>
    <x v="286"/>
    <x v="1368"/>
    <s v=" -"/>
    <s v=" MOTOR"/>
    <d v="2024-09-04T00:00:00"/>
    <d v="2024-04-01T00:00:00"/>
    <d v="2025-03-31T00:00:00"/>
    <s v=" 08811974"/>
    <s v="Mr. Irfan Iftikhar_x000a_CNIC: 42201-3864204-9_x000a_Cell: 03219260667"/>
    <m/>
    <s v="MAZDA CAROL A/T"/>
    <s v="BMZ-781"/>
    <s v="R06A-K405945"/>
    <s v="HB36S-213131"/>
    <s v="2016"/>
    <m/>
    <m/>
    <s v=" D"/>
    <s v="09000210-Tariq Shahzad"/>
    <n v="2200000"/>
    <n v="1062"/>
    <n v="11"/>
    <n v="159"/>
    <n v="0"/>
    <n v="1232"/>
    <n v="0"/>
    <n v="0"/>
    <n v="1232"/>
    <n v="0"/>
    <n v="1232"/>
    <m/>
    <m/>
    <m/>
    <s v="Syed Waqas"/>
    <n v="421.52000000000112"/>
    <n v="408.75"/>
    <m/>
  </r>
  <r>
    <n v="1873"/>
    <x v="286"/>
    <x v="1369"/>
    <s v=" -"/>
    <s v=" MOTOR"/>
    <d v="2025-03-29T00:00:00"/>
    <d v="2024-04-01T00:00:00"/>
    <d v="2025-03-31T00:00:00"/>
    <s v=" 08811974"/>
    <s v="Mr. Irfan Iftikhar_x000a_CNIC: 42201-3864204-9_x000a_Cell: 03219260667"/>
    <m/>
    <s v="MAZDA CAROL A/T"/>
    <s v="BMZ-781"/>
    <s v="R06A-K405945"/>
    <s v="HB36S-213131"/>
    <s v="2016"/>
    <m/>
    <m/>
    <s v=" D"/>
    <s v="09000210-Tariq Shahzad"/>
    <n v="-1"/>
    <n v="-7001"/>
    <n v="-62"/>
    <n v="0"/>
    <n v="0"/>
    <n v="-7063"/>
    <n v="0"/>
    <n v="0"/>
    <n v="-7063"/>
    <n v="0"/>
    <n v="-7063"/>
    <m/>
    <m/>
    <m/>
    <s v="Syed Waqas"/>
    <m/>
    <m/>
    <m/>
  </r>
  <r>
    <n v="1879"/>
    <x v="287"/>
    <x v="24"/>
    <s v=" -"/>
    <s v=" MOTOR"/>
    <d v="2024-04-05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malik@cobuildltd.com"/>
  </r>
  <r>
    <n v="1880"/>
    <x v="287"/>
    <x v="1370"/>
    <s v=" -"/>
    <s v=" MOTOR"/>
    <d v="2024-04-30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5222"/>
    <n v="52"/>
    <n v="679"/>
    <n v="0"/>
    <n v="5953"/>
    <n v="0"/>
    <n v="0"/>
    <n v="5953"/>
    <n v="0"/>
    <n v="5953"/>
    <m/>
    <m/>
    <m/>
    <s v="Maria Tauqeer Qazi"/>
    <n v="2436.04000000002"/>
    <n v="1084.8700000000001"/>
    <m/>
  </r>
  <r>
    <n v="1881"/>
    <x v="287"/>
    <x v="1371"/>
    <s v=" -"/>
    <s v=" MOTOR"/>
    <d v="2024-05-31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6013"/>
    <n v="60"/>
    <n v="781"/>
    <n v="0"/>
    <n v="6854"/>
    <n v="0"/>
    <n v="0"/>
    <n v="6854"/>
    <n v="0"/>
    <n v="6854"/>
    <m/>
    <m/>
    <m/>
    <s v="Maria Tauqeer Qazi"/>
    <n v="2762.0400000000241"/>
    <n v="1248.67"/>
    <m/>
  </r>
  <r>
    <n v="1882"/>
    <x v="287"/>
    <x v="1372"/>
    <s v=" -"/>
    <s v=" MOTOR"/>
    <d v="2024-07-01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5587"/>
    <n v="56"/>
    <n v="727"/>
    <n v="0"/>
    <n v="6370"/>
    <n v="0"/>
    <n v="0"/>
    <n v="6370"/>
    <n v="0"/>
    <n v="6370"/>
    <m/>
    <m/>
    <m/>
    <s v="Maria Tauqeer Qazi"/>
    <n v="2518.8400000000011"/>
    <n v="1160.71"/>
    <m/>
  </r>
  <r>
    <n v="1883"/>
    <x v="287"/>
    <x v="1373"/>
    <s v=" -"/>
    <s v=" MOTOR"/>
    <d v="2024-08-02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5818"/>
    <n v="58"/>
    <n v="873"/>
    <n v="0"/>
    <n v="6749"/>
    <n v="0"/>
    <n v="0"/>
    <n v="6749"/>
    <n v="0"/>
    <n v="6749"/>
    <m/>
    <m/>
    <m/>
    <s v="Maria Tauqeer Qazi"/>
    <n v="2783.060000000004"/>
    <n v="1229.6400000000001"/>
    <m/>
  </r>
  <r>
    <n v="1884"/>
    <x v="287"/>
    <x v="1374"/>
    <s v=" -"/>
    <s v=" MOTOR"/>
    <d v="2024-09-04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4986"/>
    <n v="50"/>
    <n v="748"/>
    <n v="0"/>
    <n v="5784"/>
    <n v="0"/>
    <n v="0"/>
    <n v="5784"/>
    <n v="0"/>
    <n v="5784"/>
    <m/>
    <m/>
    <m/>
    <s v="Maria Tauqeer Qazi"/>
    <n v="2012.7999999999963"/>
    <n v="1053.9100000000001"/>
    <m/>
  </r>
  <r>
    <n v="1885"/>
    <x v="287"/>
    <x v="1375"/>
    <s v=" -"/>
    <s v=" MOTOR"/>
    <d v="2024-10-05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3937"/>
    <n v="39"/>
    <n v="590"/>
    <n v="0"/>
    <n v="4566"/>
    <n v="0"/>
    <n v="0"/>
    <n v="4566"/>
    <n v="0"/>
    <n v="4566"/>
    <m/>
    <m/>
    <m/>
    <s v="Maria Tauqeer Qazi"/>
    <n v="2540.8600000000311"/>
    <n v="832"/>
    <m/>
  </r>
  <r>
    <n v="1886"/>
    <x v="287"/>
    <x v="1376"/>
    <s v=" -"/>
    <s v=" MOTOR"/>
    <d v="2024-11-02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3756"/>
    <n v="38"/>
    <n v="563"/>
    <n v="0"/>
    <n v="4357"/>
    <n v="0"/>
    <n v="0"/>
    <n v="4357"/>
    <n v="0"/>
    <n v="4357"/>
    <m/>
    <m/>
    <m/>
    <s v="Maria Tauqeer Qazi"/>
    <n v="2427.2900000000518"/>
    <n v="793.81"/>
    <m/>
  </r>
  <r>
    <n v="1887"/>
    <x v="287"/>
    <x v="1377"/>
    <s v=" -"/>
    <s v=" MOTOR"/>
    <d v="2024-12-02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4000000"/>
    <n v="5161"/>
    <n v="52"/>
    <n v="774"/>
    <n v="0"/>
    <n v="5987"/>
    <n v="0"/>
    <n v="0"/>
    <n v="5987"/>
    <n v="0"/>
    <n v="5987"/>
    <m/>
    <m/>
    <m/>
    <s v="Maria Tauqeer Qazi"/>
    <n v="2026.019999999997"/>
    <n v="1091.1199999999992"/>
    <m/>
  </r>
  <r>
    <n v="1888"/>
    <x v="287"/>
    <x v="1378"/>
    <s v=" -"/>
    <s v=" MOTOR"/>
    <d v="2024-12-29T00:00:00"/>
    <d v="2024-03-31T00:00:00"/>
    <d v="2025-03-30T00:00:00"/>
    <s v=" 08810553"/>
    <s v="Imad Malik_x000a_CNIC: 35202-9892481-3_x000a_Cell: 03004790092"/>
    <m/>
    <s v="HONDA CIVIC"/>
    <s v="LE-13-7007"/>
    <s v="Z11542202"/>
    <s v="R102205"/>
    <s v="2012"/>
    <m/>
    <m/>
    <s v=" D"/>
    <s v="09000221-Muhammad Irfan"/>
    <n v="-1"/>
    <n v="-46208"/>
    <n v="-462"/>
    <n v="0"/>
    <n v="0"/>
    <n v="-46670"/>
    <n v="0"/>
    <n v="0"/>
    <n v="-46670"/>
    <n v="0"/>
    <n v="-46670"/>
    <m/>
    <m/>
    <m/>
    <s v="Maria Tauqeer Qazi"/>
    <m/>
    <m/>
    <m/>
  </r>
  <r>
    <n v="1902"/>
    <x v="288"/>
    <x v="24"/>
    <s v=" -"/>
    <s v=" MOTOR"/>
    <d v="2024-04-05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shujaatmubeen@gmail.com"/>
  </r>
  <r>
    <n v="1903"/>
    <x v="288"/>
    <x v="1379"/>
    <s v=" -"/>
    <s v=" MOTOR"/>
    <d v="2024-04-30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049"/>
    <n v="10"/>
    <n v="136"/>
    <n v="0"/>
    <n v="1195"/>
    <n v="0"/>
    <n v="0"/>
    <n v="1195"/>
    <n v="0"/>
    <n v="1195"/>
    <m/>
    <m/>
    <m/>
    <s v="Maria Tauqeer Qazi"/>
    <n v="2445.4500000000612"/>
    <n v="867.76"/>
    <m/>
  </r>
  <r>
    <n v="1904"/>
    <x v="288"/>
    <x v="1380"/>
    <s v=" -"/>
    <s v=" MOTOR"/>
    <d v="2024-05-31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445"/>
    <n v="15"/>
    <n v="188"/>
    <n v="0"/>
    <n v="1648"/>
    <n v="0"/>
    <n v="0"/>
    <n v="1648"/>
    <n v="0"/>
    <n v="1648"/>
    <m/>
    <m/>
    <m/>
    <s v="Maria Tauqeer Qazi"/>
    <n v="2178.0600000000159"/>
    <n v="1197.67"/>
    <m/>
  </r>
  <r>
    <n v="1905"/>
    <x v="288"/>
    <x v="1381"/>
    <s v=" -"/>
    <s v=" MOTOR"/>
    <d v="2024-07-01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454"/>
    <n v="14"/>
    <n v="189"/>
    <n v="0"/>
    <n v="1657"/>
    <n v="0"/>
    <n v="0"/>
    <n v="1657"/>
    <n v="0"/>
    <n v="1657"/>
    <m/>
    <m/>
    <m/>
    <s v="Maria Tauqeer Qazi"/>
    <n v="2812.4900000000302"/>
    <n v="1204.6100000000001"/>
    <m/>
  </r>
  <r>
    <n v="1906"/>
    <x v="288"/>
    <x v="1382"/>
    <s v=" -"/>
    <s v=" MOTOR"/>
    <d v="2024-08-02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390"/>
    <n v="14"/>
    <n v="209"/>
    <n v="0"/>
    <n v="1613"/>
    <n v="0"/>
    <n v="0"/>
    <n v="1613"/>
    <n v="0"/>
    <n v="1613"/>
    <m/>
    <m/>
    <m/>
    <s v="Maria Tauqeer Qazi"/>
    <n v="2651.9700000000248"/>
    <n v="1172.9100000000001"/>
    <m/>
  </r>
  <r>
    <n v="1907"/>
    <x v="288"/>
    <x v="1383"/>
    <s v=" -"/>
    <s v=" MOTOR"/>
    <d v="2024-09-04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367"/>
    <n v="14"/>
    <n v="205"/>
    <n v="0"/>
    <n v="1586"/>
    <n v="0"/>
    <n v="0"/>
    <n v="1586"/>
    <n v="0"/>
    <n v="1586"/>
    <m/>
    <m/>
    <m/>
    <s v="Maria Tauqeer Qazi"/>
    <n v="3241.5200000000918"/>
    <n v="1153.6000000000001"/>
    <m/>
  </r>
  <r>
    <n v="1908"/>
    <x v="288"/>
    <x v="1384"/>
    <s v=" -"/>
    <s v=" MOTOR"/>
    <d v="2024-10-05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235"/>
    <n v="12"/>
    <n v="185"/>
    <n v="0"/>
    <n v="1432"/>
    <n v="0"/>
    <n v="0"/>
    <n v="1432"/>
    <n v="0"/>
    <n v="1432"/>
    <m/>
    <m/>
    <m/>
    <s v="Maria Tauqeer Qazi"/>
    <n v="2052.8000000000293"/>
    <n v="1042.04"/>
    <m/>
  </r>
  <r>
    <n v="1909"/>
    <x v="288"/>
    <x v="1385"/>
    <s v=" -"/>
    <s v=" MOTOR"/>
    <d v="2024-11-02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263"/>
    <n v="13"/>
    <n v="189"/>
    <n v="0"/>
    <n v="1465"/>
    <n v="0"/>
    <n v="0"/>
    <n v="1465"/>
    <n v="0"/>
    <n v="1465"/>
    <m/>
    <m/>
    <m/>
    <s v="Maria Tauqeer Qazi"/>
    <n v="1569.52"/>
    <n v="1065.23"/>
    <m/>
  </r>
  <r>
    <n v="1910"/>
    <x v="288"/>
    <x v="1386"/>
    <s v=" -"/>
    <s v=" MOTOR"/>
    <d v="2024-12-02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1000000"/>
    <n v="1412"/>
    <n v="14"/>
    <n v="212"/>
    <n v="0"/>
    <n v="1638"/>
    <n v="0"/>
    <n v="0"/>
    <n v="1638"/>
    <n v="0"/>
    <n v="1638"/>
    <m/>
    <m/>
    <m/>
    <s v="Maria Tauqeer Qazi"/>
    <n v="3154.3500000000495"/>
    <n v="1191.52"/>
    <m/>
  </r>
  <r>
    <n v="1911"/>
    <x v="288"/>
    <x v="1387"/>
    <s v=" -"/>
    <s v=" MOTOR"/>
    <d v="2024-12-29T00:00:00"/>
    <d v="2024-03-31T00:00:00"/>
    <d v="2025-03-30T00:00:00"/>
    <s v=" 08810608"/>
    <s v="Mubeen Shujaat_x000a_CNIC: 35202-8799682-9_x000a_Phone Number: 03064629059"/>
    <m/>
    <s v="DAIHATSU MIRA EIS"/>
    <s v="LEC-17-9536"/>
    <s v="0292257KF"/>
    <s v="V-1016599"/>
    <s v="2013"/>
    <m/>
    <m/>
    <s v=" D"/>
    <s v="09000221-Muhammad Irfan"/>
    <n v="-1"/>
    <n v="-12162"/>
    <n v="-122"/>
    <n v="0"/>
    <n v="0"/>
    <n v="-12284"/>
    <n v="0"/>
    <n v="0"/>
    <n v="-12284"/>
    <n v="0"/>
    <n v="-12284"/>
    <m/>
    <m/>
    <m/>
    <s v="Maria Tauqeer Qazi"/>
    <m/>
    <m/>
    <m/>
  </r>
  <r>
    <n v="1915"/>
    <x v="289"/>
    <x v="1388"/>
    <s v=" -"/>
    <s v=" MOTOR"/>
    <d v="2024-05-13T00:00:00"/>
    <d v="2024-04-04T00:00:00"/>
    <d v="2025-04-03T00:00:00"/>
    <s v=" 08816804"/>
    <s v="Mr. Muhammad Tanveer         _x000a_CNIC: 35200-1421535-3_x000a_Phone Number: +92 324 4688524"/>
    <m/>
    <s v="SUZUKI CULTUS VXL"/>
    <s v="AEY-713"/>
    <s v="PK10184794"/>
    <s v="NF1AVK31H10084793"/>
    <s v="2021"/>
    <m/>
    <m/>
    <s v=" D"/>
    <s v="09000210-Tariq Shahzad"/>
    <n v="3500000"/>
    <n v="5241"/>
    <n v="53"/>
    <n v="682"/>
    <n v="0"/>
    <n v="5976"/>
    <n v="0"/>
    <n v="0"/>
    <n v="5976"/>
    <n v="0"/>
    <n v="5976"/>
    <m/>
    <m/>
    <m/>
    <s v="Syed Waqas"/>
    <m/>
    <m/>
    <m/>
  </r>
  <r>
    <n v="1916"/>
    <x v="289"/>
    <x v="1389"/>
    <s v=" -"/>
    <s v=" MOTOR"/>
    <d v="2024-07-04T00:00:00"/>
    <d v="2024-04-04T00:00:00"/>
    <d v="2025-04-03T00:00:00"/>
    <s v=" 08816804"/>
    <s v="Mr. Muhammad Tanveer         _x000a_CNIC: 35200-1421535-3_x000a_Phone Number: +92 324 4688524"/>
    <m/>
    <s v="SUZUKI CULTUS VXL"/>
    <s v="AEY-713"/>
    <s v="PK10184794"/>
    <s v="NF1AVK31H10084793"/>
    <s v="2021"/>
    <m/>
    <m/>
    <s v=" D"/>
    <s v="09000210-Tariq Shahzad"/>
    <n v="3500000"/>
    <n v="4994"/>
    <n v="50"/>
    <n v="749"/>
    <n v="0"/>
    <n v="5793"/>
    <n v="0"/>
    <n v="0"/>
    <n v="5793"/>
    <n v="0"/>
    <n v="5793"/>
    <m/>
    <m/>
    <m/>
    <s v="Syed Waqas"/>
    <n v="2824.0899999999979"/>
    <n v="1207.17"/>
    <m/>
  </r>
  <r>
    <n v="1917"/>
    <x v="289"/>
    <x v="1390"/>
    <s v=" -"/>
    <s v=" MOTOR"/>
    <d v="2024-07-04T00:00:00"/>
    <d v="2024-04-04T00:00:00"/>
    <d v="2025-04-03T00:00:00"/>
    <s v=" 08816804"/>
    <s v="Mr. Muhammad Tanveer         _x000a_CNIC: 35200-1421535-3_x000a_Phone Number: +92 324 4688524"/>
    <m/>
    <s v="SUZUKI CULTUS VXL"/>
    <s v="AEY-713"/>
    <s v="PK10184794"/>
    <s v="NF1AVK31H10084793"/>
    <s v="2021"/>
    <m/>
    <m/>
    <s v=" D"/>
    <s v="09000210-Tariq Shahzad"/>
    <n v="3500000"/>
    <n v="4518"/>
    <n v="45"/>
    <n v="677"/>
    <n v="0"/>
    <n v="5240"/>
    <n v="0"/>
    <n v="0"/>
    <n v="5240"/>
    <n v="0"/>
    <n v="5240"/>
    <m/>
    <m/>
    <m/>
    <s v="Syed Waqas"/>
    <n v="2504.2899999999991"/>
    <n v="1091.829999999999"/>
    <m/>
  </r>
  <r>
    <n v="1918"/>
    <x v="289"/>
    <x v="1391"/>
    <s v=" -"/>
    <s v=" MOTOR"/>
    <d v="2025-03-29T00:00:00"/>
    <d v="2024-04-04T00:00:00"/>
    <d v="2025-04-03T00:00:00"/>
    <s v=" 08816804"/>
    <s v="Mr. Muhammad Tanveer         _x000a_CNIC: 35200-1421535-3_x000a_Phone Number: +92 324 4688524"/>
    <m/>
    <s v="SUZUKI CULTUS VXL"/>
    <s v="AEY-713"/>
    <s v="PK10184794"/>
    <s v="NF1AVK31H10084793"/>
    <s v="2021"/>
    <m/>
    <m/>
    <s v=" D"/>
    <s v="09000210-Tariq Shahzad"/>
    <n v="-1"/>
    <n v="-16860"/>
    <n v="-149"/>
    <n v="0"/>
    <n v="0"/>
    <n v="-17009"/>
    <n v="0"/>
    <n v="0"/>
    <n v="-17009"/>
    <n v="0"/>
    <n v="-17009"/>
    <m/>
    <m/>
    <m/>
    <s v="Syed Waqas"/>
    <m/>
    <m/>
    <m/>
  </r>
  <r>
    <n v="1919"/>
    <x v="290"/>
    <x v="1392"/>
    <s v=" -"/>
    <s v=" MOTOR"/>
    <d v="2024-08-08T00:00:00"/>
    <d v="2024-04-06T00:00:00"/>
    <d v="2025-04-05T00:00:00"/>
    <s v=" 08816838"/>
    <s v="Mr. Qazi Zaheen Ahmed Hashmi  _x000a_CNIC: 4250140860255_x000a_Phone Number: 03423395402"/>
    <m/>
    <s v="SUZUKI ALTO VX"/>
    <s v="Un-Reg"/>
    <s v="6R303938"/>
    <s v="NF1AET306H1203978"/>
    <s v="2024"/>
    <m/>
    <m/>
    <s v=" D"/>
    <s v="09000210-Tariq Shahzad"/>
    <n v="2261000"/>
    <n v="1214"/>
    <n v="12"/>
    <n v="182"/>
    <n v="0"/>
    <n v="1408"/>
    <n v="1368"/>
    <n v="0"/>
    <n v="40"/>
    <n v="0"/>
    <n v="40"/>
    <m/>
    <m/>
    <m/>
    <s v="Fizza Sheikh"/>
    <n v="1029.57"/>
    <n v="455.64"/>
    <m/>
  </r>
  <r>
    <n v="1920"/>
    <x v="290"/>
    <x v="1393"/>
    <s v=" -"/>
    <s v=" MOTOR"/>
    <d v="2024-09-07T00:00:00"/>
    <d v="2024-04-06T00:00:00"/>
    <d v="2025-04-05T00:00:00"/>
    <s v=" 08816838"/>
    <s v="Mr. Qazi Zaheen Ahmed Hashmi  _x000a_CNIC: 4250140860255_x000a_Phone Number: 03423395402"/>
    <m/>
    <s v="SUZUKI ALTO VX"/>
    <s v="Un-Reg"/>
    <s v="6R303938"/>
    <s v="NF1AET306H1203978"/>
    <s v="2024"/>
    <m/>
    <m/>
    <s v=" D"/>
    <s v="09000210-Tariq Shahzad"/>
    <n v="2261000"/>
    <n v="1163"/>
    <n v="12"/>
    <n v="175"/>
    <n v="0"/>
    <n v="1350"/>
    <n v="0"/>
    <n v="0"/>
    <n v="1350"/>
    <n v="0"/>
    <n v="1350"/>
    <m/>
    <m/>
    <m/>
    <s v="Fizza Sheikh"/>
    <n v="1441.8799999999942"/>
    <n v="436.59"/>
    <m/>
  </r>
  <r>
    <n v="1921"/>
    <x v="290"/>
    <x v="1394"/>
    <s v=" -"/>
    <s v=" MOTOR"/>
    <d v="2024-10-09T00:00:00"/>
    <d v="2024-04-06T00:00:00"/>
    <d v="2025-04-05T00:00:00"/>
    <s v=" 08816838"/>
    <s v="Mr. Qazi Zaheen Ahmed Hashmi  _x000a_CNIC: 4250140860255_x000a_Phone Number: 03423395402"/>
    <m/>
    <s v="SUZUKI ALTO VX"/>
    <s v="Un-Reg"/>
    <s v="6R303938"/>
    <s v="NF1AET306H1203978"/>
    <s v="2024"/>
    <m/>
    <m/>
    <s v=" D"/>
    <s v="09000210-Tariq Shahzad"/>
    <n v="2261000"/>
    <n v="1638"/>
    <n v="16"/>
    <n v="246"/>
    <n v="0"/>
    <n v="1900"/>
    <n v="0"/>
    <n v="0"/>
    <n v="1900"/>
    <n v="0"/>
    <n v="1900"/>
    <m/>
    <m/>
    <m/>
    <s v="Fizza Sheikh"/>
    <n v="1544.02"/>
    <n v="614.65"/>
    <m/>
  </r>
  <r>
    <n v="1922"/>
    <x v="290"/>
    <x v="1395"/>
    <s v=" -"/>
    <s v=" MOTOR"/>
    <d v="2024-11-08T00:00:00"/>
    <d v="2024-04-06T00:00:00"/>
    <d v="2025-04-05T00:00:00"/>
    <s v=" 08816838"/>
    <s v="Mr. Qazi Zaheen Ahmed Hashmi  _x000a_CNIC: 4250140860255_x000a_Phone Number: 03423395402"/>
    <m/>
    <s v="SUZUKI ALTO VX"/>
    <s v="Un-Reg"/>
    <s v="6R303938"/>
    <s v="NF1AET306H1203978"/>
    <s v="2024"/>
    <m/>
    <m/>
    <s v=" D"/>
    <s v="09000210-Tariq Shahzad"/>
    <n v="2261000"/>
    <n v="3715"/>
    <n v="37"/>
    <n v="557"/>
    <n v="0"/>
    <n v="4309"/>
    <n v="0"/>
    <n v="0"/>
    <n v="4309"/>
    <n v="0"/>
    <n v="4309"/>
    <m/>
    <m/>
    <m/>
    <s v="Fizza Sheikh"/>
    <n v="5550.3499999999949"/>
    <n v="1395"/>
    <m/>
  </r>
  <r>
    <n v="1923"/>
    <x v="290"/>
    <x v="1396"/>
    <s v=" -"/>
    <s v=" MOTOR"/>
    <d v="2024-12-07T00:00:00"/>
    <d v="2024-04-06T00:00:00"/>
    <d v="2025-04-05T00:00:00"/>
    <s v=" 08816838"/>
    <s v="Mr. Qazi Zaheen Ahmed Hashmi  _x000a_CNIC: 4250140860255_x000a_Phone Number: 03423395402"/>
    <m/>
    <s v="SUZUKI ALTO VX"/>
    <s v="Un-Reg"/>
    <s v="6R303938"/>
    <s v="NF1AET306H1203978"/>
    <s v="2024"/>
    <m/>
    <m/>
    <s v=" D"/>
    <s v="09000210-Tariq Shahzad"/>
    <n v="2261000"/>
    <n v="3479"/>
    <n v="35"/>
    <n v="522"/>
    <n v="0"/>
    <n v="4036"/>
    <n v="0"/>
    <n v="0"/>
    <n v="4036"/>
    <n v="0"/>
    <n v="4036"/>
    <m/>
    <m/>
    <m/>
    <s v="Fizza Sheikh"/>
    <n v="4913.6000000000013"/>
    <n v="1306.71"/>
    <m/>
  </r>
  <r>
    <n v="1924"/>
    <x v="290"/>
    <x v="1397"/>
    <s v=" -"/>
    <s v=" MOTOR"/>
    <d v="2024-12-29T00:00:00"/>
    <d v="2024-04-06T00:00:00"/>
    <d v="2025-04-05T00:00:00"/>
    <s v=" 08816838"/>
    <s v="Mr. Qazi Zaheen Ahmed Hashmi  _x000a_CNIC: 4250140860255_x000a_Phone Number: 03423395402"/>
    <m/>
    <s v="SUZUKI ALTO VX"/>
    <s v="Un-Reg"/>
    <s v="6R303938"/>
    <s v="NF1AET306H1203978"/>
    <s v="2024"/>
    <m/>
    <m/>
    <s v=" D"/>
    <s v="09000210-Tariq Shahzad"/>
    <n v="-1"/>
    <n v="-11520"/>
    <n v="-115"/>
    <n v="0"/>
    <n v="0"/>
    <n v="-11635"/>
    <n v="0"/>
    <n v="0"/>
    <n v="-11635"/>
    <n v="0"/>
    <n v="-11635"/>
    <m/>
    <m/>
    <m/>
    <s v="Fizza Sheikh"/>
    <m/>
    <m/>
    <m/>
  </r>
  <r>
    <n v="1925"/>
    <x v="291"/>
    <x v="1398"/>
    <s v=" -"/>
    <s v=" MOTOR"/>
    <d v="2024-10-09T00:00:00"/>
    <d v="2024-04-04T00:00:00"/>
    <d v="2025-04-03T00:00:00"/>
    <s v=" 08816839"/>
    <s v="Mr. Badi Uz Zaman _x000a_CNIC: 3130343794019_x000a_Phone Number: 300 8676479"/>
    <m/>
    <s v="SUZUKI CULTUS"/>
    <s v="ALE-479"/>
    <s v="PK10K141355"/>
    <s v="NF1AVK31H10041383"/>
    <s v="2019"/>
    <m/>
    <m/>
    <s v=" D"/>
    <s v="09000210-Tariq Shahzad"/>
    <n v="3000000"/>
    <n v="3780"/>
    <n v="38"/>
    <n v="567"/>
    <n v="0"/>
    <n v="4385"/>
    <n v="0"/>
    <n v="0"/>
    <n v="4385"/>
    <n v="0"/>
    <n v="4385"/>
    <m/>
    <m/>
    <m/>
    <s v="Fizza Sheikh"/>
    <n v="5488.1999999999916"/>
    <n v="1066.67"/>
    <m/>
  </r>
  <r>
    <n v="1926"/>
    <x v="291"/>
    <x v="1399"/>
    <s v=" -"/>
    <s v=" MOTOR"/>
    <d v="2024-11-05T00:00:00"/>
    <d v="2024-04-04T00:00:00"/>
    <d v="2025-04-03T00:00:00"/>
    <s v=" 08816839"/>
    <s v="Mr. Badi Uz Zaman _x000a_CNIC: 3130343794019_x000a_Phone Number: 300 8676479"/>
    <m/>
    <s v="SUZUKI CULTUS"/>
    <s v="ALE-479"/>
    <s v="PK10K141355"/>
    <s v="NF1AVK31H10041383"/>
    <s v="2019"/>
    <m/>
    <m/>
    <s v=" D"/>
    <s v="09000210-Tariq Shahzad"/>
    <n v="3000000"/>
    <n v="4076"/>
    <n v="41"/>
    <n v="612"/>
    <n v="0"/>
    <n v="4729"/>
    <n v="0"/>
    <n v="0"/>
    <n v="4729"/>
    <n v="0"/>
    <n v="4729"/>
    <m/>
    <m/>
    <m/>
    <s v="Fizza Sheikh"/>
    <n v="6325.9599999999909"/>
    <n v="1150.43"/>
    <m/>
  </r>
  <r>
    <n v="1927"/>
    <x v="291"/>
    <x v="1400"/>
    <s v=" -"/>
    <s v=" MOTOR"/>
    <d v="2024-12-05T00:00:00"/>
    <d v="2024-04-04T00:00:00"/>
    <d v="2025-04-03T00:00:00"/>
    <s v=" 08816839"/>
    <s v="Mr. Badi Uz Zaman _x000a_CNIC: 3130343794019_x000a_Phone Number: 300 8676479"/>
    <m/>
    <s v="SUZUKI CULTUS"/>
    <s v="ALE-479"/>
    <s v="PK10K141355"/>
    <s v="NF1AVK31H10041383"/>
    <s v="2019"/>
    <m/>
    <m/>
    <s v=" D"/>
    <s v="09000210-Tariq Shahzad"/>
    <n v="3000000"/>
    <n v="3271"/>
    <n v="33"/>
    <n v="491"/>
    <n v="0"/>
    <n v="3795"/>
    <n v="0"/>
    <n v="0"/>
    <n v="3795"/>
    <n v="0"/>
    <n v="3795"/>
    <m/>
    <m/>
    <m/>
    <s v="Fizza Sheikh"/>
    <n v="5549.1699999999837"/>
    <n v="923.22"/>
    <m/>
  </r>
  <r>
    <n v="1928"/>
    <x v="291"/>
    <x v="1401"/>
    <s v=" -"/>
    <s v=" MOTOR"/>
    <d v="2025-01-06T00:00:00"/>
    <d v="2024-04-04T00:00:00"/>
    <d v="2025-04-03T00:00:00"/>
    <s v=" 08816839"/>
    <s v="Mr. Badi Uz Zaman _x000a_CNIC: 3130343794019_x000a_Phone Number: 300 8676479"/>
    <m/>
    <s v="SUZUKI CULTUS"/>
    <s v="ALE-479"/>
    <s v="PK10K141355"/>
    <s v="NF1AVK31H10041383"/>
    <s v="2019"/>
    <m/>
    <m/>
    <s v=" D"/>
    <s v="09000210-Tariq Shahzad"/>
    <n v="3000000"/>
    <n v="4366"/>
    <n v="44"/>
    <n v="655"/>
    <n v="0"/>
    <n v="5065"/>
    <n v="0"/>
    <n v="0"/>
    <n v="5065"/>
    <n v="0"/>
    <n v="5065"/>
    <m/>
    <m/>
    <m/>
    <s v="Fizza Sheikh"/>
    <n v="7372.2499999999891"/>
    <n v="1232.2"/>
    <m/>
  </r>
  <r>
    <n v="1929"/>
    <x v="291"/>
    <x v="1402"/>
    <s v=" -"/>
    <s v=" MOTOR"/>
    <d v="2025-02-06T00:00:00"/>
    <d v="2024-04-04T00:00:00"/>
    <d v="2025-04-03T00:00:00"/>
    <s v=" 08816839"/>
    <s v="Mr. Badi Uz Zaman _x000a_CNIC: 3130343794019_x000a_Phone Number: 300 8676479"/>
    <m/>
    <s v="SUZUKI CULTUS"/>
    <s v="ALE-479"/>
    <s v="PK10K141355"/>
    <s v="NF1AVK31H10041383"/>
    <s v="2019"/>
    <m/>
    <m/>
    <s v=" D"/>
    <s v="09000210-Tariq Shahzad"/>
    <n v="3000000"/>
    <n v="4465"/>
    <n v="45"/>
    <n v="670"/>
    <n v="0"/>
    <n v="5180"/>
    <n v="0"/>
    <n v="0"/>
    <n v="5180"/>
    <n v="0"/>
    <n v="5180"/>
    <m/>
    <m/>
    <m/>
    <s v="Fizza Sheikh"/>
    <n v="7383.8199999999915"/>
    <n v="1260"/>
    <m/>
  </r>
  <r>
    <n v="1930"/>
    <x v="291"/>
    <x v="1403"/>
    <s v=" -"/>
    <s v=" MOTOR"/>
    <d v="2025-03-04T00:00:00"/>
    <d v="2024-04-04T00:00:00"/>
    <d v="2025-04-03T00:00:00"/>
    <s v=" 08816839"/>
    <s v="Mr. Badi Uz Zaman _x000a_CNIC: 3130343794019_x000a_Phone Number: 300 8676479"/>
    <m/>
    <s v="SUZUKI CULTUS"/>
    <s v="ALE-479"/>
    <s v="PK10K141355"/>
    <s v="NF1AVK31H10041383"/>
    <s v="2019"/>
    <m/>
    <m/>
    <s v=" D"/>
    <s v="09000210-Tariq Shahzad"/>
    <n v="3000000"/>
    <n v="3837"/>
    <n v="38"/>
    <n v="575"/>
    <n v="0"/>
    <n v="4450"/>
    <n v="0"/>
    <n v="0"/>
    <n v="4450"/>
    <n v="0"/>
    <n v="4450"/>
    <m/>
    <m/>
    <m/>
    <s v="Fizza Sheikh"/>
    <n v="5658.8399999999929"/>
    <n v="1082.55"/>
    <m/>
  </r>
  <r>
    <n v="1931"/>
    <x v="291"/>
    <x v="1404"/>
    <s v=" -"/>
    <s v=" MOTOR"/>
    <d v="2025-03-29T00:00:00"/>
    <d v="2024-04-04T00:00:00"/>
    <d v="2025-04-03T00:00:00"/>
    <s v=" 08816839"/>
    <s v="Mr. Badi Uz Zaman _x000a_CNIC: 3130343794019_x000a_Phone Number: 300 8676479"/>
    <m/>
    <s v="SUZUKI CULTUS"/>
    <s v="ALE-479"/>
    <s v="PK10K141355"/>
    <s v="NF1AVK31H10041383"/>
    <s v="2019"/>
    <m/>
    <m/>
    <s v=" D"/>
    <s v="09000210-Tariq Shahzad"/>
    <n v="-1"/>
    <n v="-27362"/>
    <n v="-242"/>
    <n v="0"/>
    <n v="0"/>
    <n v="-27604"/>
    <n v="0"/>
    <n v="0"/>
    <n v="-27604"/>
    <n v="0"/>
    <n v="-27604"/>
    <m/>
    <m/>
    <m/>
    <s v="Fizza Sheikh"/>
    <m/>
    <m/>
    <m/>
  </r>
  <r>
    <n v="1941"/>
    <x v="292"/>
    <x v="24"/>
    <s v=" -"/>
    <s v=" MOTOR"/>
    <d v="2024-04-08T00:00:00"/>
    <d v="2024-04-04T00:00:00"/>
    <d v="2025-04-03T00:00:00"/>
    <s v=" 08810585"/>
    <s v="Mr. Qamar Abbas_x000a_CNIC# 33100-0775714-5_x000a_CELL# 0302-7079790"/>
    <m/>
    <s v="TOYOTA VITZ"/>
    <s v="LEB-15-1042"/>
    <s v="1KR1205207"/>
    <s v="KSP1302010230"/>
    <s v="2011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qamara038@gmail.com"/>
  </r>
  <r>
    <n v="1942"/>
    <x v="292"/>
    <x v="1405"/>
    <s v=" -"/>
    <s v=" MOTOR"/>
    <d v="2024-05-13T00:00:00"/>
    <d v="2024-04-04T00:00:00"/>
    <d v="2025-04-03T00:00:00"/>
    <s v=" 08810585"/>
    <s v="Mr. Qamar Abbas_x000a_CNIC# 33100-0775714-5_x000a_CELL# 0302-7079790"/>
    <m/>
    <s v="TOYOTA VITZ"/>
    <s v="LEB-15-1042"/>
    <s v="1KR1205207"/>
    <s v="KSP1302010230"/>
    <s v="2011"/>
    <m/>
    <m/>
    <s v=" D"/>
    <s v="09000221-Muhammad Irfan"/>
    <n v="2000000"/>
    <n v="701"/>
    <n v="7"/>
    <n v="91"/>
    <n v="0"/>
    <n v="799"/>
    <n v="0"/>
    <n v="0"/>
    <n v="799"/>
    <n v="0"/>
    <n v="799"/>
    <m/>
    <m/>
    <m/>
    <s v="Maria Tauqeer Qazi"/>
    <n v="500.3"/>
    <n v="292.26"/>
    <m/>
  </r>
  <r>
    <n v="1943"/>
    <x v="292"/>
    <x v="1406"/>
    <s v=" -"/>
    <s v=" MOTOR"/>
    <d v="2024-06-06T00:00:00"/>
    <d v="2024-04-04T00:00:00"/>
    <d v="2025-04-03T00:00:00"/>
    <s v=" 08810585"/>
    <s v="Mr. Qamar Abbas_x000a_CNIC# 33100-0775714-5_x000a_CELL# 0302-7079790"/>
    <m/>
    <s v="TOYOTA VITZ"/>
    <s v="LEB-15-1042"/>
    <s v="1KR1205207"/>
    <s v="KSP1302010230"/>
    <s v="2011"/>
    <m/>
    <m/>
    <s v=" D"/>
    <s v="09000221-Muhammad Irfan"/>
    <n v="2000000"/>
    <n v="695"/>
    <n v="7"/>
    <n v="90"/>
    <n v="0"/>
    <n v="792"/>
    <n v="0"/>
    <n v="0"/>
    <n v="792"/>
    <n v="0"/>
    <n v="792"/>
    <m/>
    <m/>
    <m/>
    <s v="Maria Tauqeer Qazi"/>
    <n v="360.32"/>
    <n v="289.40000000000003"/>
    <m/>
  </r>
  <r>
    <n v="1944"/>
    <x v="292"/>
    <x v="1407"/>
    <s v=" -"/>
    <s v=" MOTOR"/>
    <d v="2024-07-04T00:00:00"/>
    <d v="2024-04-04T00:00:00"/>
    <d v="2025-04-03T00:00:00"/>
    <s v=" 08810585"/>
    <s v="Mr. Qamar Abbas_x000a_CNIC# 33100-0775714-5_x000a_CELL# 0302-7079790"/>
    <m/>
    <s v="TOYOTA VITZ"/>
    <s v="LEB-15-1042"/>
    <s v="1KR1205207"/>
    <s v="KSP1302010230"/>
    <s v="2011"/>
    <m/>
    <m/>
    <s v=" D"/>
    <s v="09000221-Muhammad Irfan"/>
    <n v="2000000"/>
    <n v="78"/>
    <n v="1"/>
    <n v="12"/>
    <n v="0"/>
    <n v="91"/>
    <n v="0"/>
    <n v="0"/>
    <n v="91"/>
    <n v="0"/>
    <n v="91"/>
    <m/>
    <m/>
    <m/>
    <s v="Maria Tauqeer Qazi"/>
    <n v="33.15"/>
    <n v="33.15"/>
    <m/>
  </r>
  <r>
    <n v="1945"/>
    <x v="292"/>
    <x v="1408"/>
    <s v=" -"/>
    <s v=" MOTOR"/>
    <d v="2024-12-29T00:00:00"/>
    <d v="2024-04-04T00:00:00"/>
    <d v="2025-04-03T00:00:00"/>
    <s v=" 08810585"/>
    <s v="Mr. Qamar Abbas_x000a_CNIC# 33100-0775714-5_x000a_CELL# 0302-7079790"/>
    <m/>
    <s v="TOYOTA VITZ"/>
    <s v="LEB-15-1042"/>
    <s v="1KR1205207"/>
    <s v="KSP1302010230"/>
    <s v="2011"/>
    <m/>
    <m/>
    <s v=" D"/>
    <s v="09000221-Muhammad Irfan"/>
    <n v="-1"/>
    <n v="-1715"/>
    <n v="-17"/>
    <n v="0"/>
    <n v="0"/>
    <n v="-1732"/>
    <n v="0"/>
    <n v="0"/>
    <n v="-1732"/>
    <n v="0"/>
    <n v="-1732"/>
    <m/>
    <m/>
    <m/>
    <s v="Maria Tauqeer Qazi"/>
    <m/>
    <m/>
    <m/>
  </r>
  <r>
    <n v="1946"/>
    <x v="293"/>
    <x v="24"/>
    <s v=" -"/>
    <s v=" MOTOR"/>
    <d v="2024-04-08T00:00:00"/>
    <d v="2024-04-08T00:00:00"/>
    <d v="2025-04-07T00:00:00"/>
    <s v=" 08810675"/>
    <s v="Abdul Naveed_x000a_CNIC: 42201-5773313-5_x000a_Phone Number: 03352309844"/>
    <m/>
    <s v="SUZUKI CULTUS"/>
    <s v="BUQ-609"/>
    <s v="PK10K186729"/>
    <s v="NF1AVK31H10086720"/>
    <s v="2021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abdul.naveed@paksuzuki.com.pk"/>
  </r>
  <r>
    <n v="1947"/>
    <x v="293"/>
    <x v="1409"/>
    <s v=" -"/>
    <s v=" MOTOR"/>
    <d v="2024-05-13T00:00:00"/>
    <d v="2024-04-08T00:00:00"/>
    <d v="2025-04-07T00:00:00"/>
    <s v=" 08810675"/>
    <s v="Abdul Naveed_x000a_CNIC: 42201-5773313-5_x000a_Phone Number: 03352309844"/>
    <m/>
    <s v="SUZUKI CULTUS"/>
    <s v="BUQ-609"/>
    <s v="PK10K186729"/>
    <s v="NF1AVK31H10086720"/>
    <s v="2021"/>
    <m/>
    <m/>
    <s v=" D"/>
    <s v="09000221-Muhammad Irfan"/>
    <n v="3500000"/>
    <n v="837"/>
    <n v="8"/>
    <n v="109"/>
    <n v="0"/>
    <n v="954"/>
    <n v="0"/>
    <n v="0"/>
    <n v="954"/>
    <n v="0"/>
    <n v="954"/>
    <m/>
    <m/>
    <m/>
    <s v="Maria Tauqeer Qazi"/>
    <n v="231.19"/>
    <n v="198.63"/>
    <m/>
  </r>
  <r>
    <n v="1948"/>
    <x v="293"/>
    <x v="1410"/>
    <s v=" -"/>
    <s v=" MOTOR"/>
    <d v="2024-08-08T00:00:00"/>
    <d v="2024-04-08T00:00:00"/>
    <d v="2025-04-07T00:00:00"/>
    <s v=" 08810675"/>
    <s v="Abdul Naveed_x000a_CNIC: 42201-5773313-5_x000a_Phone Number: 03352309844"/>
    <m/>
    <s v="SUZUKI CULTUS"/>
    <s v="BUQ-609"/>
    <s v="PK10K186729"/>
    <s v="NF1AVK31H10086720"/>
    <s v="2021"/>
    <m/>
    <m/>
    <s v=" D"/>
    <s v="09000221-Muhammad Irfan"/>
    <n v="3500000"/>
    <n v="3571"/>
    <n v="36"/>
    <n v="536"/>
    <n v="0"/>
    <n v="4143"/>
    <n v="0"/>
    <n v="0"/>
    <n v="4143"/>
    <n v="0"/>
    <n v="4143"/>
    <m/>
    <m/>
    <m/>
    <s v="Maria Tauqeer Qazi"/>
    <n v="3947.3800000001029"/>
    <n v="863.01"/>
    <m/>
  </r>
  <r>
    <n v="1949"/>
    <x v="293"/>
    <x v="1411"/>
    <s v=" -"/>
    <s v=" MOTOR"/>
    <d v="2024-09-11T00:00:00"/>
    <d v="2024-04-08T00:00:00"/>
    <d v="2025-04-07T00:00:00"/>
    <s v=" 08810675"/>
    <s v="Abdul Naveed_x000a_CNIC: 42201-5773313-5_x000a_Phone Number: 03352309844"/>
    <m/>
    <s v="SUZUKI CULTUS"/>
    <s v="BUQ-609"/>
    <s v="PK10K186729"/>
    <s v="NF1AVK31H10086720"/>
    <s v="2021"/>
    <m/>
    <m/>
    <s v=" D"/>
    <s v="09000221-Muhammad Irfan"/>
    <n v="3500000"/>
    <n v="4226"/>
    <n v="42"/>
    <n v="634"/>
    <n v="0"/>
    <n v="4902"/>
    <n v="0"/>
    <n v="0"/>
    <n v="4902"/>
    <n v="0"/>
    <n v="4902"/>
    <m/>
    <m/>
    <m/>
    <s v="Maria Tauqeer Qazi"/>
    <n v="4375.2600000000903"/>
    <n v="1021.39"/>
    <m/>
  </r>
  <r>
    <n v="1950"/>
    <x v="293"/>
    <x v="1412"/>
    <s v=" -"/>
    <s v=" MOTOR"/>
    <d v="2024-10-14T00:00:00"/>
    <d v="2024-04-08T00:00:00"/>
    <d v="2025-04-07T00:00:00"/>
    <s v=" 08810675"/>
    <s v="Abdul Naveed_x000a_CNIC: 42201-5773313-5_x000a_Phone Number: 03352309844"/>
    <m/>
    <s v="SUZUKI CULTUS"/>
    <s v="BUQ-609"/>
    <s v="PK10K186729"/>
    <s v="NF1AVK31H10086720"/>
    <s v="2021"/>
    <m/>
    <m/>
    <s v=" D"/>
    <s v="09000221-Muhammad Irfan"/>
    <n v="3500000"/>
    <n v="4849"/>
    <n v="48"/>
    <n v="727"/>
    <n v="0"/>
    <n v="5624"/>
    <n v="0"/>
    <n v="0"/>
    <n v="5624"/>
    <n v="0"/>
    <n v="5624"/>
    <m/>
    <m/>
    <m/>
    <s v="Maria Tauqeer Qazi"/>
    <n v="5376.800000000133"/>
    <n v="1171.9599999999991"/>
    <m/>
  </r>
  <r>
    <n v="1951"/>
    <x v="293"/>
    <x v="1413"/>
    <s v=" -"/>
    <s v=" MOTOR"/>
    <d v="2024-12-29T00:00:00"/>
    <d v="2024-04-08T00:00:00"/>
    <d v="2025-04-07T00:00:00"/>
    <s v=" 08810675"/>
    <s v="Abdul Naveed_x000a_CNIC: 42201-5773313-5_x000a_Phone Number: 03352309844"/>
    <m/>
    <s v="SUZUKI CULTUS"/>
    <s v="BUQ-609"/>
    <s v="PK10K186729"/>
    <s v="NF1AVK31H10086720"/>
    <s v="2021"/>
    <m/>
    <m/>
    <s v=" D"/>
    <s v="09000221-Muhammad Irfan"/>
    <n v="-1"/>
    <n v="-15518"/>
    <n v="-155"/>
    <n v="0"/>
    <n v="0"/>
    <n v="-15673"/>
    <n v="0"/>
    <n v="0"/>
    <n v="-15673"/>
    <n v="0"/>
    <n v="-15673"/>
    <m/>
    <m/>
    <m/>
    <s v="Maria Tauqeer Qazi"/>
    <m/>
    <m/>
    <m/>
  </r>
  <r>
    <n v="1952"/>
    <x v="294"/>
    <x v="1414"/>
    <s v=" -"/>
    <s v=" MOTOR"/>
    <d v="2025-03-04T00:00:00"/>
    <d v="2024-04-04T00:00:00"/>
    <d v="2025-04-03T00:00:00"/>
    <s v=" 08816857"/>
    <s v="Mr. Ali Raza Maher_x000a_CNIC: 4130672614933_x000a_Phone Number: 03312146621"/>
    <m/>
    <s v="TOYOTA COROLLA"/>
    <s v="BNY-441"/>
    <s v="Z543955"/>
    <s v="NZE170R-4169473"/>
    <s v="2018"/>
    <m/>
    <m/>
    <s v=" D"/>
    <s v="09000210-Tariq Shahzad"/>
    <n v="5000000"/>
    <n v="627"/>
    <n v="6"/>
    <n v="94"/>
    <n v="0"/>
    <n v="727"/>
    <n v="0"/>
    <n v="0"/>
    <n v="727"/>
    <n v="0"/>
    <n v="727"/>
    <m/>
    <m/>
    <m/>
    <s v="Syed Waqas"/>
    <n v="361.51"/>
    <n v="106.08"/>
    <m/>
  </r>
  <r>
    <n v="1953"/>
    <x v="294"/>
    <x v="1415"/>
    <s v=" -"/>
    <s v=" MOTOR"/>
    <d v="2025-03-29T00:00:00"/>
    <d v="2024-04-04T00:00:00"/>
    <d v="2025-04-03T00:00:00"/>
    <s v=" 08816857"/>
    <s v="Mr. Ali Raza Maher_x000a_CNIC: 4130672614933_x000a_Phone Number: 03312146621"/>
    <m/>
    <s v="TOYOTA COROLLA"/>
    <s v="BNY-441"/>
    <s v="Z543955"/>
    <s v="NZE170R-4169473"/>
    <s v="2018"/>
    <m/>
    <m/>
    <s v=" D"/>
    <s v="09000210-Tariq Shahzad"/>
    <n v="-1"/>
    <n v="-721"/>
    <n v="-6"/>
    <n v="0"/>
    <n v="0"/>
    <n v="-727"/>
    <n v="0"/>
    <n v="0"/>
    <n v="-727"/>
    <n v="0"/>
    <n v="-727"/>
    <m/>
    <m/>
    <m/>
    <s v="Syed Waqas"/>
    <m/>
    <m/>
    <m/>
  </r>
  <r>
    <n v="1955"/>
    <x v="295"/>
    <x v="24"/>
    <s v=" -"/>
    <s v=" MOTOR"/>
    <d v="2024-04-15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Bilal.frq@gmail.COM"/>
  </r>
  <r>
    <n v="1956"/>
    <x v="295"/>
    <x v="1416"/>
    <s v=" -"/>
    <s v=" MOTOR"/>
    <d v="2024-05-13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3560"/>
    <n v="36"/>
    <n v="463"/>
    <n v="0"/>
    <n v="4059"/>
    <n v="0"/>
    <n v="0"/>
    <n v="4059"/>
    <n v="0"/>
    <n v="4059"/>
    <m/>
    <m/>
    <m/>
    <s v="Maria Tauqeer Qazi"/>
    <n v="348.59"/>
    <n v="348.59"/>
    <m/>
  </r>
  <r>
    <n v="1957"/>
    <x v="295"/>
    <x v="1417"/>
    <s v=" -"/>
    <s v=" MOTOR"/>
    <d v="2024-06-12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3029"/>
    <n v="30"/>
    <n v="394"/>
    <n v="0"/>
    <n v="3453"/>
    <n v="0"/>
    <n v="0"/>
    <n v="3453"/>
    <n v="0"/>
    <n v="3453"/>
    <m/>
    <m/>
    <m/>
    <s v="Maria Tauqeer Qazi"/>
    <n v="296.32000000000005"/>
    <n v="296.32000000000005"/>
    <m/>
  </r>
  <r>
    <n v="1958"/>
    <x v="295"/>
    <x v="1418"/>
    <s v=" -"/>
    <s v=" MOTOR"/>
    <d v="2024-07-13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2597"/>
    <n v="26"/>
    <n v="390"/>
    <n v="0"/>
    <n v="3013"/>
    <n v="0"/>
    <n v="0"/>
    <n v="3013"/>
    <n v="0"/>
    <n v="3013"/>
    <m/>
    <m/>
    <m/>
    <s v="Maria Tauqeer Qazi"/>
    <n v="258.74000000000007"/>
    <n v="258.74000000000007"/>
    <m/>
  </r>
  <r>
    <n v="1959"/>
    <x v="295"/>
    <x v="1419"/>
    <s v=" -"/>
    <s v=" MOTOR"/>
    <d v="2024-08-13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2605"/>
    <n v="26"/>
    <n v="391"/>
    <n v="0"/>
    <n v="3022"/>
    <n v="0"/>
    <n v="0"/>
    <n v="3022"/>
    <n v="0"/>
    <n v="3022"/>
    <m/>
    <m/>
    <m/>
    <s v="Maria Tauqeer Qazi"/>
    <n v="264.62"/>
    <n v="259.49000000000007"/>
    <m/>
  </r>
  <r>
    <n v="1960"/>
    <x v="295"/>
    <x v="1420"/>
    <s v=" -"/>
    <s v=" MOTOR"/>
    <d v="2024-09-14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2291"/>
    <n v="23"/>
    <n v="344"/>
    <n v="0"/>
    <n v="2658"/>
    <n v="0"/>
    <n v="0"/>
    <n v="2658"/>
    <n v="0"/>
    <n v="2658"/>
    <m/>
    <m/>
    <m/>
    <s v="Maria Tauqeer Qazi"/>
    <n v="228.38000000000002"/>
    <n v="228.38000000000002"/>
    <m/>
  </r>
  <r>
    <n v="1961"/>
    <x v="295"/>
    <x v="1421"/>
    <s v=" -"/>
    <s v=" MOTOR"/>
    <d v="2024-10-14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2962"/>
    <n v="30"/>
    <n v="444"/>
    <n v="0"/>
    <n v="3436"/>
    <n v="0"/>
    <n v="0"/>
    <n v="3436"/>
    <n v="0"/>
    <n v="3436"/>
    <m/>
    <m/>
    <m/>
    <s v="Maria Tauqeer Qazi"/>
    <n v="295.03000000000003"/>
    <n v="295.03000000000003"/>
    <m/>
  </r>
  <r>
    <n v="1962"/>
    <x v="295"/>
    <x v="1422"/>
    <s v=" -"/>
    <s v=" MOTOR"/>
    <d v="2024-11-13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3942"/>
    <n v="39"/>
    <n v="591"/>
    <n v="0"/>
    <n v="4572"/>
    <n v="0"/>
    <n v="0"/>
    <n v="4572"/>
    <n v="0"/>
    <n v="4572"/>
    <m/>
    <m/>
    <m/>
    <s v="Maria Tauqeer Qazi"/>
    <n v="396"/>
    <n v="392.74000000000007"/>
    <m/>
  </r>
  <r>
    <n v="1963"/>
    <x v="295"/>
    <x v="1423"/>
    <s v=" -"/>
    <s v=" MOTOR"/>
    <d v="2024-12-13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8500000"/>
    <n v="4347"/>
    <n v="43"/>
    <n v="652"/>
    <n v="0"/>
    <n v="5042"/>
    <n v="0"/>
    <n v="0"/>
    <n v="5042"/>
    <n v="0"/>
    <n v="5042"/>
    <m/>
    <m/>
    <m/>
    <s v="Maria Tauqeer Qazi"/>
    <n v="432.95000000000005"/>
    <n v="432.95000000000005"/>
    <m/>
  </r>
  <r>
    <n v="1964"/>
    <x v="295"/>
    <x v="1424"/>
    <s v=" -"/>
    <s v=" MOTOR"/>
    <d v="2024-12-29T00:00:00"/>
    <d v="2024-04-12T00:00:00"/>
    <d v="2025-04-11T00:00:00"/>
    <s v=" 08810736"/>
    <s v="Iffat Anwar Farooqui_x000a_CNIC: 42301-7611391-8_x000a_Cell: 0300-8267070"/>
    <m/>
    <s v="AUDI A3"/>
    <s v="BLA-567"/>
    <s v="CYV476857"/>
    <s v="WAUZZZ8V2J1012841"/>
    <s v="2017"/>
    <m/>
    <m/>
    <s v=" D"/>
    <s v="09000221-Muhammad Irfan"/>
    <n v="-1"/>
    <n v="-29015"/>
    <n v="-290"/>
    <n v="0"/>
    <n v="0"/>
    <n v="-29305"/>
    <n v="0"/>
    <n v="0"/>
    <n v="-29305"/>
    <n v="0"/>
    <n v="-29305"/>
    <m/>
    <m/>
    <m/>
    <s v="Maria Tauqeer Qazi"/>
    <m/>
    <m/>
    <m/>
  </r>
  <r>
    <n v="1968"/>
    <x v="296"/>
    <x v="24"/>
    <s v=" -"/>
    <s v=" MOTOR"/>
    <d v="2024-04-15T00:00:00"/>
    <d v="2024-04-03T00:00:00"/>
    <d v="2025-04-02T00:00:00"/>
    <s v=" 08810554"/>
    <s v="Omer Malik_x000a_CNIC: 3520204176299"/>
    <m/>
    <s v="SUZUKI ALTO"/>
    <s v="AFU-509"/>
    <s v="6R191880"/>
    <s v="H1091898"/>
    <s v="2021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omermalik89@gmail.com"/>
  </r>
  <r>
    <n v="1969"/>
    <x v="296"/>
    <x v="1425"/>
    <s v=" -"/>
    <s v=" MOTOR"/>
    <d v="2024-06-06T00:00:00"/>
    <d v="2024-04-03T00:00:00"/>
    <d v="2025-04-02T00:00:00"/>
    <s v=" 08810554"/>
    <s v="Omer Malik_x000a_CNIC: 3520204176299"/>
    <m/>
    <s v="SUZUKI ALTO"/>
    <s v="AFU-509"/>
    <s v="6R191880"/>
    <s v="H1091898"/>
    <s v="2021"/>
    <m/>
    <m/>
    <s v=" D"/>
    <s v="09000221-Muhammad Irfan"/>
    <n v="2300000"/>
    <n v="3042"/>
    <n v="30"/>
    <n v="395"/>
    <n v="0"/>
    <n v="3467"/>
    <n v="0"/>
    <n v="0"/>
    <n v="3467"/>
    <n v="0"/>
    <n v="3467"/>
    <m/>
    <m/>
    <m/>
    <s v="Maria Tauqeer Qazi"/>
    <n v="2022.8199999999963"/>
    <n v="1099.1300000000001"/>
    <m/>
  </r>
  <r>
    <n v="1970"/>
    <x v="296"/>
    <x v="1426"/>
    <s v=" -"/>
    <s v=" MOTOR"/>
    <d v="2024-08-07T00:00:00"/>
    <d v="2024-04-03T00:00:00"/>
    <d v="2025-04-02T00:00:00"/>
    <s v=" 08810554"/>
    <s v="Omer Malik_x000a_CNIC: 3520204176299"/>
    <m/>
    <s v="SUZUKI ALTO"/>
    <s v="AFU-509"/>
    <s v="6R191880"/>
    <s v="H1091898"/>
    <s v="2021"/>
    <m/>
    <m/>
    <s v=" D"/>
    <s v="09000221-Muhammad Irfan"/>
    <n v="2300000"/>
    <n v="2817"/>
    <n v="28"/>
    <n v="422"/>
    <n v="0"/>
    <n v="3267"/>
    <n v="0"/>
    <n v="0"/>
    <n v="3267"/>
    <n v="0"/>
    <n v="3267"/>
    <m/>
    <m/>
    <m/>
    <s v="Maria Tauqeer Qazi"/>
    <n v="1731.259999999997"/>
    <n v="1035.2799999999991"/>
    <m/>
  </r>
  <r>
    <n v="1971"/>
    <x v="296"/>
    <x v="1427"/>
    <s v=" -"/>
    <s v=" MOTOR"/>
    <d v="2024-09-06T00:00:00"/>
    <d v="2024-04-03T00:00:00"/>
    <d v="2025-04-02T00:00:00"/>
    <s v=" 08810554"/>
    <s v="Omer Malik_x000a_CNIC: 3520204176299"/>
    <m/>
    <s v="SUZUKI ALTO"/>
    <s v="AFU-509"/>
    <s v="6R191880"/>
    <s v="H1091898"/>
    <s v="2021"/>
    <m/>
    <m/>
    <s v=" D"/>
    <s v="09000221-Muhammad Irfan"/>
    <n v="2300000"/>
    <n v="3085"/>
    <n v="31"/>
    <n v="463"/>
    <n v="0"/>
    <n v="3579"/>
    <n v="0"/>
    <n v="0"/>
    <n v="3579"/>
    <n v="0"/>
    <n v="3579"/>
    <m/>
    <m/>
    <m/>
    <s v="Maria Tauqeer Qazi"/>
    <n v="1901.009999999997"/>
    <n v="1134.43"/>
    <m/>
  </r>
  <r>
    <n v="1972"/>
    <x v="296"/>
    <x v="1428"/>
    <s v=" -"/>
    <s v=" MOTOR"/>
    <d v="2024-10-09T00:00:00"/>
    <d v="2024-04-03T00:00:00"/>
    <d v="2025-04-02T00:00:00"/>
    <s v=" 08810554"/>
    <s v="Omer Malik_x000a_CNIC: 3520204176299"/>
    <m/>
    <s v="SUZUKI ALTO"/>
    <s v="AFU-509"/>
    <s v="6R191880"/>
    <s v="H1091898"/>
    <s v="2021"/>
    <m/>
    <m/>
    <s v=" D"/>
    <s v="09000221-Muhammad Irfan"/>
    <n v="2300000"/>
    <n v="3026"/>
    <n v="30"/>
    <n v="454"/>
    <n v="0"/>
    <n v="3510"/>
    <n v="0"/>
    <n v="0"/>
    <n v="3510"/>
    <n v="0"/>
    <n v="3510"/>
    <m/>
    <m/>
    <m/>
    <s v="Maria Tauqeer Qazi"/>
    <n v="2179.5799999999972"/>
    <n v="1112.32"/>
    <m/>
  </r>
  <r>
    <n v="1973"/>
    <x v="296"/>
    <x v="1429"/>
    <s v=" -"/>
    <s v=" MOTOR"/>
    <d v="2024-11-04T00:00:00"/>
    <d v="2024-04-03T00:00:00"/>
    <d v="2025-04-02T00:00:00"/>
    <s v=" 08810554"/>
    <s v="Omer Malik_x000a_CNIC: 3520204176299"/>
    <m/>
    <s v="SUZUKI ALTO"/>
    <s v="AFU-509"/>
    <s v="6R191880"/>
    <s v="H1091898"/>
    <s v="2021"/>
    <m/>
    <m/>
    <s v=" D"/>
    <s v="09000221-Muhammad Irfan"/>
    <n v="2300000"/>
    <n v="966"/>
    <n v="10"/>
    <n v="145"/>
    <n v="0"/>
    <n v="1121"/>
    <n v="0"/>
    <n v="0"/>
    <n v="1121"/>
    <n v="0"/>
    <n v="1121"/>
    <m/>
    <m/>
    <m/>
    <s v="Maria Tauqeer Qazi"/>
    <n v="647.47999999999911"/>
    <n v="355.43"/>
    <m/>
  </r>
  <r>
    <n v="1974"/>
    <x v="296"/>
    <x v="1430"/>
    <s v=" -"/>
    <s v=" MOTOR"/>
    <d v="2024-12-29T00:00:00"/>
    <d v="2024-04-03T00:00:00"/>
    <d v="2025-04-02T00:00:00"/>
    <s v=" 08810554"/>
    <s v="Omer Malik_x000a_CNIC: 3520204176299"/>
    <m/>
    <s v="SUZUKI ALTO"/>
    <s v="AFU-509"/>
    <s v="6R191880"/>
    <s v="H1091898"/>
    <s v="2021"/>
    <m/>
    <m/>
    <s v=" D"/>
    <s v="09000221-Muhammad Irfan"/>
    <n v="-1"/>
    <n v="-14846"/>
    <n v="-148"/>
    <n v="0"/>
    <n v="0"/>
    <n v="-14994"/>
    <n v="0"/>
    <n v="0"/>
    <n v="-14994"/>
    <n v="0"/>
    <n v="-14994"/>
    <m/>
    <m/>
    <m/>
    <s v="Maria Tauqeer Qazi"/>
    <m/>
    <m/>
    <m/>
  </r>
  <r>
    <n v="1982"/>
    <x v="297"/>
    <x v="1431"/>
    <s v=" -"/>
    <s v=" MOTOR"/>
    <d v="2024-05-17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2500000"/>
    <n v="1029"/>
    <n v="10"/>
    <n v="134"/>
    <n v="0"/>
    <n v="1173"/>
    <n v="0"/>
    <n v="0"/>
    <n v="1173"/>
    <n v="0"/>
    <n v="1173"/>
    <m/>
    <m/>
    <m/>
    <s v="Maria Tauqeer Qazi"/>
    <n v="819.11999999999898"/>
    <n v="342.81000000000006"/>
    <m/>
  </r>
  <r>
    <n v="1983"/>
    <x v="297"/>
    <x v="1432"/>
    <s v=" -"/>
    <s v=" MOTOR"/>
    <d v="2024-06-20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2500000"/>
    <n v="1767"/>
    <n v="18"/>
    <n v="229"/>
    <n v="0"/>
    <n v="2014"/>
    <n v="0"/>
    <n v="0"/>
    <n v="2014"/>
    <n v="0"/>
    <n v="2014"/>
    <m/>
    <m/>
    <m/>
    <s v="Maria Tauqeer Qazi"/>
    <n v="1455.6600000000008"/>
    <n v="588.32000000000005"/>
    <m/>
  </r>
  <r>
    <n v="1984"/>
    <x v="297"/>
    <x v="1433"/>
    <s v=" -"/>
    <s v=" MOTOR"/>
    <d v="2024-07-19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2500000"/>
    <n v="1373"/>
    <n v="14"/>
    <n v="206"/>
    <n v="0"/>
    <n v="1593"/>
    <n v="0"/>
    <n v="0"/>
    <n v="1593"/>
    <n v="0"/>
    <n v="1593"/>
    <m/>
    <m/>
    <m/>
    <s v="Maria Tauqeer Qazi"/>
    <n v="1037.1999999999991"/>
    <n v="465.30000000000007"/>
    <m/>
  </r>
  <r>
    <n v="1985"/>
    <x v="297"/>
    <x v="1434"/>
    <s v=" -"/>
    <s v=" MOTOR"/>
    <d v="2024-08-20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2500000"/>
    <n v="785"/>
    <n v="8"/>
    <n v="118"/>
    <n v="0"/>
    <n v="911"/>
    <n v="0"/>
    <n v="0"/>
    <n v="911"/>
    <n v="0"/>
    <n v="911"/>
    <m/>
    <m/>
    <m/>
    <s v="Maria Tauqeer Qazi"/>
    <n v="791.15000000000009"/>
    <n v="265.89"/>
    <m/>
  </r>
  <r>
    <n v="1986"/>
    <x v="297"/>
    <x v="1435"/>
    <s v=" -"/>
    <s v=" MOTOR"/>
    <d v="2024-09-24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2500000"/>
    <n v="1628"/>
    <n v="16"/>
    <n v="244"/>
    <n v="0"/>
    <n v="1888"/>
    <n v="0"/>
    <n v="0"/>
    <n v="1888"/>
    <n v="0"/>
    <n v="1888"/>
    <m/>
    <m/>
    <m/>
    <s v="Maria Tauqeer Qazi"/>
    <n v="1010.269999999999"/>
    <n v="551.87"/>
    <m/>
  </r>
  <r>
    <n v="1987"/>
    <x v="297"/>
    <x v="1436"/>
    <s v=" -"/>
    <s v=" MOTOR"/>
    <d v="2024-10-21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2500000"/>
    <n v="1554"/>
    <n v="16"/>
    <n v="233"/>
    <n v="0"/>
    <n v="1803"/>
    <n v="0"/>
    <n v="0"/>
    <n v="1803"/>
    <n v="0"/>
    <n v="1803"/>
    <m/>
    <m/>
    <m/>
    <s v="Maria Tauqeer Qazi"/>
    <n v="1093.05"/>
    <n v="526.73"/>
    <m/>
  </r>
  <r>
    <n v="1988"/>
    <x v="297"/>
    <x v="1437"/>
    <s v=" -"/>
    <s v=" MOTOR"/>
    <d v="2024-11-18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2500000"/>
    <n v="817"/>
    <n v="8"/>
    <n v="122"/>
    <n v="0"/>
    <n v="947"/>
    <n v="0"/>
    <n v="0"/>
    <n v="947"/>
    <n v="0"/>
    <n v="947"/>
    <m/>
    <m/>
    <m/>
    <s v="Maria Tauqeer Qazi"/>
    <n v="898.68000000000097"/>
    <n v="276.63"/>
    <m/>
  </r>
  <r>
    <n v="1989"/>
    <x v="297"/>
    <x v="1438"/>
    <s v=" -"/>
    <s v=" MOTOR"/>
    <d v="2024-12-18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2500000"/>
    <n v="1365"/>
    <n v="14"/>
    <n v="205"/>
    <n v="0"/>
    <n v="1584"/>
    <n v="0"/>
    <n v="0"/>
    <n v="1584"/>
    <n v="0"/>
    <n v="1584"/>
    <m/>
    <m/>
    <m/>
    <s v="Maria Tauqeer Qazi"/>
    <n v="636.0400000000011"/>
    <n v="462.66"/>
    <m/>
  </r>
  <r>
    <n v="1990"/>
    <x v="297"/>
    <x v="1439"/>
    <s v=" -"/>
    <s v=" MOTOR"/>
    <d v="2024-12-29T00:00:00"/>
    <d v="2024-04-17T00:00:00"/>
    <d v="2025-04-16T00:00:00"/>
    <s v=" 08810784"/>
    <s v="Muhammad Amin Kanth_x000a_CNIC: 41407-6212568-5_x000a_Phone Number:0345-4937995"/>
    <m/>
    <s v="SUZUKI CULTUS"/>
    <s v="BNE-535"/>
    <s v="PK10K123077"/>
    <s v="NF1AVK31H10023044"/>
    <s v="2018"/>
    <m/>
    <m/>
    <s v=" D"/>
    <s v="09000221-Muhammad Irfan"/>
    <n v="-1"/>
    <n v="-11795"/>
    <n v="-118"/>
    <n v="0"/>
    <n v="0"/>
    <n v="-11913"/>
    <n v="0"/>
    <n v="0"/>
    <n v="-11913"/>
    <n v="0"/>
    <n v="-11913"/>
    <m/>
    <m/>
    <m/>
    <s v="Maria Tauqeer Qazi"/>
    <m/>
    <m/>
    <m/>
  </r>
  <r>
    <n v="1991"/>
    <x v="298"/>
    <x v="1440"/>
    <s v=" -"/>
    <s v=" MOTOR"/>
    <d v="2024-12-30T00:00:00"/>
    <d v="2024-03-27T00:00:00"/>
    <d v="2025-03-26T00:00:00"/>
    <s v=" 08810639"/>
    <s v="Mr. Umer Yousuf Ghaziani _x000a_Cell No. 03343314740_x000a_CNIC No.42201-9776285-3"/>
    <m/>
    <s v="SUZUKI WAGON R VXL"/>
    <s v="BHM-641"/>
    <s v="PK10B123696"/>
    <s v="A1J310PK10023691"/>
    <s v="2016"/>
    <m/>
    <m/>
    <s v=" D"/>
    <s v="09000221-Muhammad Irfan"/>
    <n v="1600000"/>
    <n v="1424"/>
    <n v="14"/>
    <n v="213"/>
    <n v="0"/>
    <n v="1651"/>
    <n v="0"/>
    <n v="0"/>
    <n v="1651"/>
    <n v="0"/>
    <n v="1651"/>
    <m/>
    <m/>
    <m/>
    <s v="Maria Tauqeer Qazi"/>
    <n v="993.50999999999908"/>
    <n v="751.64000000000101"/>
    <m/>
  </r>
  <r>
    <n v="1992"/>
    <x v="298"/>
    <x v="1441"/>
    <s v=" -"/>
    <s v=" MOTOR"/>
    <d v="2025-01-27T00:00:00"/>
    <d v="2024-03-27T00:00:00"/>
    <d v="2025-03-26T00:00:00"/>
    <s v=" 08810639"/>
    <s v="Mr. Umer Yousuf Ghaziani _x000a_Cell No. 03343314740_x000a_CNIC No.42201-9776285-3"/>
    <m/>
    <s v="SUZUKI WAGON R VXL"/>
    <s v="BHM-641"/>
    <s v="PK10B123696"/>
    <s v="A1J310PK10023691"/>
    <s v="2016"/>
    <m/>
    <m/>
    <s v=" D"/>
    <s v="09000221-Muhammad Irfan"/>
    <n v="1600000"/>
    <n v="1939"/>
    <n v="19"/>
    <n v="291"/>
    <n v="0"/>
    <n v="2249"/>
    <n v="0"/>
    <n v="0"/>
    <n v="2249"/>
    <n v="0"/>
    <n v="2249"/>
    <m/>
    <m/>
    <m/>
    <s v="Maria Tauqeer Qazi"/>
    <n v="1507.6099999999963"/>
    <n v="1023.42"/>
    <m/>
  </r>
  <r>
    <n v="1993"/>
    <x v="298"/>
    <x v="1442"/>
    <s v=" -"/>
    <s v=" MOTOR"/>
    <d v="2025-02-27T00:00:00"/>
    <d v="2024-03-27T00:00:00"/>
    <d v="2025-03-26T00:00:00"/>
    <s v=" 08810639"/>
    <s v="Mr. Umer Yousuf Ghaziani _x000a_Cell No. 03343314740_x000a_CNIC No.42201-9776285-3"/>
    <m/>
    <s v="SUZUKI WAGON R VXL"/>
    <s v="BHM-641"/>
    <s v="PK10B123696"/>
    <s v="A1J310PK10023691"/>
    <s v="2016"/>
    <m/>
    <m/>
    <s v=" D"/>
    <s v="09000221-Muhammad Irfan"/>
    <n v="1600000"/>
    <n v="1904"/>
    <n v="19"/>
    <n v="286"/>
    <n v="0"/>
    <n v="2209"/>
    <n v="0"/>
    <n v="0"/>
    <n v="2209"/>
    <n v="0"/>
    <n v="2209"/>
    <m/>
    <m/>
    <m/>
    <s v="Maria Tauqeer Qazi"/>
    <n v="1978.149999999988"/>
    <n v="1004.31"/>
    <m/>
  </r>
  <r>
    <n v="1994"/>
    <x v="298"/>
    <x v="1443"/>
    <s v=" -"/>
    <s v=" MOTOR"/>
    <d v="2025-03-27T00:00:00"/>
    <d v="2024-03-27T00:00:00"/>
    <d v="2025-03-26T00:00:00"/>
    <s v=" 08810639"/>
    <s v="Mr. Umer Yousuf Ghaziani _x000a_Cell No. 03343314740_x000a_CNIC No.42201-9776285-3"/>
    <m/>
    <s v="SUZUKI WAGON R VXL"/>
    <s v="BHM-641"/>
    <s v="PK10B123696"/>
    <s v="A1J310PK10023691"/>
    <s v="2016"/>
    <m/>
    <m/>
    <s v=" D"/>
    <s v="09000221-Muhammad Irfan"/>
    <n v="1600000"/>
    <n v="1863"/>
    <n v="19"/>
    <n v="280"/>
    <n v="0"/>
    <n v="2162"/>
    <n v="0"/>
    <n v="0"/>
    <n v="2162"/>
    <n v="0"/>
    <n v="2162"/>
    <m/>
    <m/>
    <m/>
    <s v="Maria Tauqeer Qazi"/>
    <n v="1506.279999999997"/>
    <n v="983.09"/>
    <m/>
  </r>
  <r>
    <n v="1995"/>
    <x v="298"/>
    <x v="1444"/>
    <s v=" -"/>
    <s v=" MOTOR"/>
    <d v="2025-03-29T00:00:00"/>
    <d v="2024-03-27T00:00:00"/>
    <d v="2025-03-26T00:00:00"/>
    <s v=" 08810639"/>
    <s v="Mr. Umer Yousuf Ghaziani _x000a_Cell No. 03343314740_x000a_CNIC No.42201-9776285-3"/>
    <m/>
    <s v="SUZUKI WAGON R VXL"/>
    <s v="BHM-641"/>
    <s v="PK10B123696"/>
    <s v="A1J310PK10023691"/>
    <s v="2016"/>
    <m/>
    <m/>
    <s v=" D"/>
    <s v="09000221-Muhammad Irfan"/>
    <n v="-1"/>
    <n v="-8198"/>
    <n v="-73"/>
    <n v="0"/>
    <n v="0"/>
    <n v="-8271"/>
    <n v="0"/>
    <n v="0"/>
    <n v="-8271"/>
    <n v="0"/>
    <n v="-8271"/>
    <m/>
    <m/>
    <m/>
    <s v="Maria Tauqeer Qazi"/>
    <m/>
    <m/>
    <m/>
  </r>
  <r>
    <n v="1996"/>
    <x v="299"/>
    <x v="24"/>
    <s v=" -"/>
    <s v=" MOTOR"/>
    <d v="2024-04-17T00:00:00"/>
    <d v="2024-03-02T00:00:00"/>
    <d v="2025-03-01T00:00:00"/>
    <s v=" 08810210"/>
    <s v="Mr. Azeem Farooq_x000a_CNIC# 42000-0437792-7_x000a_CELL# 0345-6090201"/>
    <m/>
    <s v="DAIHATSU HIJET VAN A/T"/>
    <s v="CV-8601"/>
    <s v="KF-870197"/>
    <s v="S321V-0132963"/>
    <s v="2011"/>
    <s v="42000-0437792-7"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azeemfarooq03453485093@gmail.com"/>
  </r>
  <r>
    <n v="1997"/>
    <x v="299"/>
    <x v="1445"/>
    <s v=" -"/>
    <s v=" MOTOR"/>
    <d v="2024-05-02T00:00:00"/>
    <d v="2024-03-02T00:00:00"/>
    <d v="2025-03-01T00:00:00"/>
    <s v=" 08810210"/>
    <s v="Mr. Azeem Farooq_x000a_CNIC# 42000-0437792-7_x000a_CELL# 0345-6090201"/>
    <m/>
    <s v="DAIHATSU HIJET VAN A/T"/>
    <s v="CV-8601"/>
    <s v="KF-870197"/>
    <s v="S321V-0132963"/>
    <s v="2011"/>
    <s v="42000-0437792-7"/>
    <m/>
    <s v=" D"/>
    <s v="09000221-Muhammad Irfan"/>
    <n v="1200000"/>
    <n v="143"/>
    <n v="1"/>
    <n v="19"/>
    <n v="0"/>
    <n v="163"/>
    <n v="0"/>
    <n v="0"/>
    <n v="163"/>
    <n v="0"/>
    <n v="163"/>
    <m/>
    <m/>
    <m/>
    <s v="Maria Tauqeer Qazi"/>
    <n v="99.189999999999984"/>
    <n v="99.189999999999984"/>
    <m/>
  </r>
  <r>
    <n v="1998"/>
    <x v="299"/>
    <x v="1446"/>
    <s v=" -"/>
    <s v=" MOTOR"/>
    <d v="2024-10-31T00:00:00"/>
    <d v="2024-03-02T00:00:00"/>
    <d v="2025-03-01T00:00:00"/>
    <s v=" 08810210"/>
    <s v="Mr. Azeem Farooq_x000a_CNIC# 42000-0437792-7_x000a_CELL# 0345-6090201"/>
    <m/>
    <s v="DAIHATSU HIJET VAN A/T"/>
    <s v="CV-8601"/>
    <s v="KF-870197"/>
    <s v="S321V-0132963"/>
    <s v="2011"/>
    <s v="42000-0437792-7"/>
    <m/>
    <s v=" D"/>
    <s v="09000221-Muhammad Irfan"/>
    <n v="-1"/>
    <n v="-211"/>
    <n v="-2"/>
    <n v="0"/>
    <n v="0"/>
    <n v="-213"/>
    <n v="0"/>
    <n v="0"/>
    <n v="-213"/>
    <n v="0"/>
    <n v="-213"/>
    <m/>
    <m/>
    <m/>
    <s v="Maria Tauqeer Qazi"/>
    <m/>
    <m/>
    <m/>
  </r>
  <r>
    <n v="2000"/>
    <x v="300"/>
    <x v="24"/>
    <s v=" -"/>
    <s v=" MOTOR"/>
    <d v="2024-04-17T00:00:00"/>
    <d v="2024-02-17T00:00:00"/>
    <d v="2025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nidu36@yahoo.com"/>
  </r>
  <r>
    <n v="2001"/>
    <x v="300"/>
    <x v="1447"/>
    <s v=" -"/>
    <s v=" MOTOR"/>
    <d v="2024-05-17T00:00:00"/>
    <d v="2024-02-17T00:00:00"/>
    <d v="2025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3200000"/>
    <n v="3750"/>
    <n v="38"/>
    <n v="488"/>
    <n v="0"/>
    <n v="4276"/>
    <n v="0"/>
    <n v="0"/>
    <n v="4276"/>
    <n v="0"/>
    <n v="4276"/>
    <m/>
    <m/>
    <m/>
    <s v="Maria Tauqeer Qazi"/>
    <n v="2482.36"/>
    <n v="976.39"/>
    <m/>
  </r>
  <r>
    <n v="2002"/>
    <x v="300"/>
    <x v="1448"/>
    <s v=" -"/>
    <s v=" MOTOR"/>
    <d v="2024-06-20T00:00:00"/>
    <d v="2024-02-17T00:00:00"/>
    <d v="2025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3200000"/>
    <n v="3277"/>
    <n v="32"/>
    <n v="426"/>
    <n v="0"/>
    <n v="3735"/>
    <n v="0"/>
    <n v="0"/>
    <n v="3735"/>
    <n v="0"/>
    <n v="3735"/>
    <m/>
    <m/>
    <m/>
    <s v="Maria Tauqeer Qazi"/>
    <n v="1769.409999999998"/>
    <n v="852.42"/>
    <m/>
  </r>
  <r>
    <n v="2003"/>
    <x v="300"/>
    <x v="1449"/>
    <s v=" -"/>
    <s v=" MOTOR"/>
    <d v="2024-07-19T00:00:00"/>
    <d v="2024-02-17T00:00:00"/>
    <d v="2025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3200000"/>
    <n v="3195"/>
    <n v="32"/>
    <n v="479"/>
    <n v="0"/>
    <n v="3706"/>
    <n v="0"/>
    <n v="0"/>
    <n v="3706"/>
    <n v="0"/>
    <n v="3706"/>
    <m/>
    <m/>
    <m/>
    <s v="Maria Tauqeer Qazi"/>
    <n v="1636.499999999998"/>
    <n v="846.74"/>
    <m/>
  </r>
  <r>
    <n v="2004"/>
    <x v="300"/>
    <x v="1450"/>
    <s v=" -"/>
    <s v=" MOTOR"/>
    <d v="2024-08-20T00:00:00"/>
    <d v="2024-02-17T00:00:00"/>
    <d v="2025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3200000"/>
    <n v="3682"/>
    <n v="37"/>
    <n v="552"/>
    <n v="0"/>
    <n v="4271"/>
    <n v="0"/>
    <n v="0"/>
    <n v="4271"/>
    <n v="0"/>
    <n v="4271"/>
    <m/>
    <m/>
    <m/>
    <s v="Maria Tauqeer Qazi"/>
    <n v="1754.45"/>
    <n v="975.37"/>
    <m/>
  </r>
  <r>
    <n v="2005"/>
    <x v="300"/>
    <x v="1451"/>
    <s v=" -"/>
    <s v=" MOTOR"/>
    <d v="2024-09-24T00:00:00"/>
    <d v="2024-02-17T00:00:00"/>
    <d v="2025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3200000"/>
    <n v="3322"/>
    <n v="33"/>
    <n v="498"/>
    <n v="0"/>
    <n v="3853"/>
    <n v="0"/>
    <n v="0"/>
    <n v="3853"/>
    <n v="0"/>
    <n v="3853"/>
    <m/>
    <m/>
    <m/>
    <s v="Maria Tauqeer Qazi"/>
    <n v="1291.1300000000001"/>
    <n v="879.95"/>
    <m/>
  </r>
  <r>
    <n v="2006"/>
    <x v="300"/>
    <x v="1452"/>
    <s v=" -"/>
    <s v=" MOTOR"/>
    <d v="2024-10-21T00:00:00"/>
    <d v="2024-02-17T00:00:00"/>
    <d v="2025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3200000"/>
    <n v="4040"/>
    <n v="40"/>
    <n v="606"/>
    <n v="0"/>
    <n v="4686"/>
    <n v="0"/>
    <n v="0"/>
    <n v="4686"/>
    <n v="0"/>
    <n v="4686"/>
    <m/>
    <m/>
    <m/>
    <s v="Maria Tauqeer Qazi"/>
    <n v="2211.0100000000002"/>
    <n v="1070.1400000000001"/>
    <m/>
  </r>
  <r>
    <n v="2007"/>
    <x v="300"/>
    <x v="1453"/>
    <s v=" -"/>
    <s v=" MOTOR"/>
    <d v="2024-10-31T00:00:00"/>
    <d v="2024-02-17T00:00:00"/>
    <d v="2025-02-16T00:00:00"/>
    <s v=" 08810026"/>
    <s v="Mrs. Maria Wilayat_x000a_CNIC# 34201-6286220-2_x000a_CELL# 0306-0204809"/>
    <m/>
    <s v="HONDA CITY I-VTEC"/>
    <s v="AHZ-568"/>
    <s v="L15Z81005229"/>
    <s v="NFBGN9647NR014084"/>
    <s v="2022"/>
    <s v="34201-6286220-2"/>
    <m/>
    <s v=" D"/>
    <s v="09000221-Muhammad Irfan"/>
    <n v="-1"/>
    <n v="-24334"/>
    <n v="-243"/>
    <n v="0"/>
    <n v="0"/>
    <n v="-24577"/>
    <n v="0"/>
    <n v="0"/>
    <n v="-24577"/>
    <n v="0"/>
    <n v="-24577"/>
    <m/>
    <m/>
    <m/>
    <s v="Maria Tauqeer Qazi"/>
    <m/>
    <m/>
    <m/>
  </r>
  <r>
    <n v="2008"/>
    <x v="301"/>
    <x v="24"/>
    <s v=" -"/>
    <s v=" MOTOR"/>
    <d v="2024-04-18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brohi@gmail.com"/>
  </r>
  <r>
    <n v="2009"/>
    <x v="301"/>
    <x v="1454"/>
    <s v=" -"/>
    <s v=" MOTOR"/>
    <d v="2024-05-17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1650000"/>
    <n v="818"/>
    <n v="8"/>
    <n v="106"/>
    <n v="0"/>
    <n v="932"/>
    <n v="0"/>
    <n v="0"/>
    <n v="932"/>
    <n v="0"/>
    <n v="932"/>
    <m/>
    <m/>
    <m/>
    <s v="Maria Tauqeer Qazi"/>
    <n v="731.90000000000305"/>
    <n v="413.17"/>
    <m/>
  </r>
  <r>
    <n v="2010"/>
    <x v="301"/>
    <x v="1455"/>
    <s v=" -"/>
    <s v=" MOTOR"/>
    <d v="2024-06-20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1650000"/>
    <n v="1509"/>
    <n v="15"/>
    <n v="197"/>
    <n v="0"/>
    <n v="1721"/>
    <n v="0"/>
    <n v="0"/>
    <n v="1721"/>
    <n v="0"/>
    <n v="1721"/>
    <m/>
    <m/>
    <m/>
    <s v="Maria Tauqeer Qazi"/>
    <n v="1100.8299999999979"/>
    <n v="759.9"/>
    <m/>
  </r>
  <r>
    <n v="2011"/>
    <x v="301"/>
    <x v="1456"/>
    <s v=" -"/>
    <s v=" MOTOR"/>
    <d v="2024-07-19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1650000"/>
    <n v="2105"/>
    <n v="21"/>
    <n v="316"/>
    <n v="0"/>
    <n v="2442"/>
    <n v="0"/>
    <n v="0"/>
    <n v="2442"/>
    <n v="0"/>
    <n v="2442"/>
    <m/>
    <m/>
    <m/>
    <s v="Maria Tauqeer Qazi"/>
    <n v="1486.4599999999971"/>
    <n v="1078.52"/>
    <m/>
  </r>
  <r>
    <n v="2012"/>
    <x v="301"/>
    <x v="1457"/>
    <s v=" -"/>
    <s v=" MOTOR"/>
    <d v="2024-08-20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1650000"/>
    <n v="2184"/>
    <n v="22"/>
    <n v="328"/>
    <n v="0"/>
    <n v="2534"/>
    <n v="0"/>
    <n v="0"/>
    <n v="2534"/>
    <n v="0"/>
    <n v="2534"/>
    <m/>
    <m/>
    <m/>
    <s v="Maria Tauqeer Qazi"/>
    <n v="1656.309999999999"/>
    <n v="1119.0800000000002"/>
    <m/>
  </r>
  <r>
    <n v="2013"/>
    <x v="301"/>
    <x v="1458"/>
    <s v=" -"/>
    <s v=" MOTOR"/>
    <d v="2024-09-24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1650000"/>
    <n v="1711"/>
    <n v="17"/>
    <n v="257"/>
    <n v="0"/>
    <n v="1985"/>
    <n v="0"/>
    <n v="0"/>
    <n v="1985"/>
    <n v="0"/>
    <n v="1985"/>
    <m/>
    <m/>
    <m/>
    <s v="Maria Tauqeer Qazi"/>
    <n v="1238.6099999999963"/>
    <n v="877.40000000000009"/>
    <m/>
  </r>
  <r>
    <n v="2014"/>
    <x v="301"/>
    <x v="1459"/>
    <s v=" -"/>
    <s v=" MOTOR"/>
    <d v="2024-10-21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1650000"/>
    <n v="2081"/>
    <n v="21"/>
    <n v="312"/>
    <n v="0"/>
    <n v="2414"/>
    <n v="0"/>
    <n v="0"/>
    <n v="2414"/>
    <n v="0"/>
    <n v="2414"/>
    <m/>
    <m/>
    <m/>
    <s v="Maria Tauqeer Qazi"/>
    <n v="1573.249999999995"/>
    <n v="1066.04"/>
    <m/>
  </r>
  <r>
    <n v="2015"/>
    <x v="301"/>
    <x v="1460"/>
    <s v=" -"/>
    <s v=" MOTOR"/>
    <d v="2024-11-18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1650000"/>
    <n v="2112"/>
    <n v="21"/>
    <n v="317"/>
    <n v="0"/>
    <n v="2450"/>
    <n v="0"/>
    <n v="0"/>
    <n v="2450"/>
    <n v="0"/>
    <n v="2450"/>
    <m/>
    <m/>
    <m/>
    <s v="Maria Tauqeer Qazi"/>
    <n v="1536.399999999998"/>
    <n v="1082.49"/>
    <m/>
  </r>
  <r>
    <n v="2016"/>
    <x v="301"/>
    <x v="1461"/>
    <s v=" -"/>
    <s v=" MOTOR"/>
    <d v="2024-12-18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1650000"/>
    <n v="2221"/>
    <n v="22"/>
    <n v="333"/>
    <n v="0"/>
    <n v="2576"/>
    <n v="0"/>
    <n v="0"/>
    <n v="2576"/>
    <n v="0"/>
    <n v="2576"/>
    <m/>
    <m/>
    <m/>
    <s v="Maria Tauqeer Qazi"/>
    <n v="1577.299999999997"/>
    <n v="1137.31"/>
    <m/>
  </r>
  <r>
    <n v="2017"/>
    <x v="301"/>
    <x v="1462"/>
    <s v=" -"/>
    <s v=" MOTOR"/>
    <d v="2024-12-29T00:00:00"/>
    <d v="2024-04-17T00:00:00"/>
    <d v="2025-04-16T00:00:00"/>
    <s v=" 08810809"/>
    <s v="Ahmad Manzoor _x000a_CNIC: 42301-0622341-9_x000a_Contact: 0321 -2173715"/>
    <m/>
    <s v="SUZUKI SWIFT A/T"/>
    <s v="BEA-554"/>
    <s v="PKS13028779"/>
    <s v="RS413PK10028785"/>
    <s v="2015"/>
    <m/>
    <m/>
    <s v=" D"/>
    <s v="09000221-Muhammad Irfan"/>
    <n v="-1"/>
    <n v="-16935"/>
    <n v="-169"/>
    <n v="0"/>
    <n v="0"/>
    <n v="-17104"/>
    <n v="0"/>
    <n v="0"/>
    <n v="-17104"/>
    <n v="0"/>
    <n v="-17104"/>
    <m/>
    <m/>
    <m/>
    <s v="Maria Tauqeer Qazi"/>
    <m/>
    <m/>
    <m/>
  </r>
  <r>
    <n v="2030"/>
    <x v="302"/>
    <x v="1463"/>
    <s v=" -"/>
    <s v=" MOTOR"/>
    <d v="2024-05-17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5000000"/>
    <n v="4349"/>
    <n v="44"/>
    <n v="566"/>
    <n v="0"/>
    <n v="4959"/>
    <n v="0"/>
    <n v="0"/>
    <n v="4959"/>
    <n v="0"/>
    <n v="4959"/>
    <m/>
    <m/>
    <m/>
    <s v="Direct Client"/>
    <n v="834.37"/>
    <n v="724.42"/>
    <m/>
  </r>
  <r>
    <n v="2031"/>
    <x v="302"/>
    <x v="1464"/>
    <s v=" -"/>
    <s v=" MOTOR"/>
    <d v="2024-06-20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5000000"/>
    <n v="6884"/>
    <n v="69"/>
    <n v="895"/>
    <n v="0"/>
    <n v="7848"/>
    <n v="0"/>
    <n v="0"/>
    <n v="7848"/>
    <n v="0"/>
    <n v="7848"/>
    <m/>
    <m/>
    <m/>
    <s v="Direct Client"/>
    <n v="1298.6600000000001"/>
    <n v="1146.17"/>
    <m/>
  </r>
  <r>
    <n v="2032"/>
    <x v="302"/>
    <x v="1465"/>
    <s v=" -"/>
    <s v=" MOTOR"/>
    <d v="2024-07-19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5000000"/>
    <n v="5921"/>
    <n v="59"/>
    <n v="888"/>
    <n v="0"/>
    <n v="6868"/>
    <n v="0"/>
    <n v="0"/>
    <n v="6868"/>
    <n v="0"/>
    <n v="6868"/>
    <m/>
    <m/>
    <m/>
    <s v="Direct Client"/>
    <n v="1174.98"/>
    <n v="1003.229999999999"/>
    <m/>
  </r>
  <r>
    <n v="2033"/>
    <x v="302"/>
    <x v="1466"/>
    <s v=" -"/>
    <s v=" MOTOR"/>
    <d v="2024-08-17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5000000"/>
    <n v="6153"/>
    <n v="62"/>
    <n v="923"/>
    <n v="0"/>
    <n v="7138"/>
    <n v="0"/>
    <n v="0"/>
    <n v="7138"/>
    <n v="0"/>
    <n v="7138"/>
    <m/>
    <m/>
    <m/>
    <s v="Direct Client"/>
    <n v="1209.54"/>
    <n v="1042.54"/>
    <m/>
  </r>
  <r>
    <n v="2034"/>
    <x v="302"/>
    <x v="1467"/>
    <s v=" -"/>
    <s v=" MOTOR"/>
    <d v="2024-09-20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5000000"/>
    <n v="6315"/>
    <n v="63"/>
    <n v="947"/>
    <n v="0"/>
    <n v="7325"/>
    <n v="0"/>
    <n v="0"/>
    <n v="7325"/>
    <n v="0"/>
    <n v="7325"/>
    <m/>
    <m/>
    <m/>
    <s v="Direct Client"/>
    <n v="1307.3"/>
    <n v="1070.01"/>
    <m/>
  </r>
  <r>
    <n v="2035"/>
    <x v="302"/>
    <x v="1468"/>
    <s v=" -"/>
    <s v=" MOTOR"/>
    <d v="2024-10-21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5000000"/>
    <n v="6292"/>
    <n v="63"/>
    <n v="944"/>
    <n v="0"/>
    <n v="7299"/>
    <n v="0"/>
    <n v="0"/>
    <n v="7299"/>
    <n v="0"/>
    <n v="7299"/>
    <m/>
    <m/>
    <m/>
    <s v="Direct Client"/>
    <n v="1315.09"/>
    <n v="1066.03"/>
    <m/>
  </r>
  <r>
    <n v="2036"/>
    <x v="302"/>
    <x v="1469"/>
    <s v=" -"/>
    <s v=" MOTOR"/>
    <d v="2024-11-18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5000000"/>
    <n v="7182"/>
    <n v="72"/>
    <n v="1077"/>
    <n v="0"/>
    <n v="8331"/>
    <n v="0"/>
    <n v="0"/>
    <n v="8331"/>
    <n v="0"/>
    <n v="8331"/>
    <m/>
    <m/>
    <m/>
    <s v="Direct Client"/>
    <n v="1485.25"/>
    <n v="1217.05"/>
    <m/>
  </r>
  <r>
    <n v="2037"/>
    <x v="302"/>
    <x v="1470"/>
    <s v=" -"/>
    <s v=" MOTOR"/>
    <d v="2024-12-17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5000000"/>
    <n v="6258"/>
    <n v="63"/>
    <n v="939"/>
    <n v="0"/>
    <n v="7260"/>
    <n v="0"/>
    <n v="0"/>
    <n v="7260"/>
    <n v="0"/>
    <n v="7260"/>
    <m/>
    <m/>
    <m/>
    <s v="Direct Client"/>
    <n v="1167.1600000000001"/>
    <n v="1060.31"/>
    <m/>
  </r>
  <r>
    <n v="2038"/>
    <x v="302"/>
    <x v="1471"/>
    <s v=" -"/>
    <s v=" MOTOR"/>
    <d v="2025-03-29T00:00:00"/>
    <d v="2024-04-16T00:00:00"/>
    <d v="2025-04-15T00:00:00"/>
    <s v=" 08817002"/>
    <s v="Mr. Shahid Nasim_x000a_CNIC: 4200031281985_x000a_Cell: 03331110262/ 03022057076"/>
    <m/>
    <s v="TOYOTA COROLLA ALTIS"/>
    <s v="AQB-857"/>
    <s v="Q051389"/>
    <s v="ZRE171R-6028884"/>
    <s v="2018"/>
    <m/>
    <m/>
    <s v=" D"/>
    <s v="09000210-Tariq Shahzad"/>
    <n v="-1"/>
    <n v="-56528"/>
    <n v="-500"/>
    <n v="0"/>
    <n v="0"/>
    <n v="-57028"/>
    <n v="0"/>
    <n v="0"/>
    <n v="-57028"/>
    <n v="0"/>
    <n v="-57028"/>
    <m/>
    <m/>
    <m/>
    <s v="Direct Client"/>
    <m/>
    <m/>
    <m/>
  </r>
  <r>
    <n v="2050"/>
    <x v="303"/>
    <x v="1472"/>
    <s v=" -"/>
    <s v=" MOTOR"/>
    <d v="2024-05-24T00:00:00"/>
    <d v="2024-04-24T00:00:00"/>
    <d v="2025-04-23T00:00:00"/>
    <s v=" 08817134"/>
    <s v="Mr. Rizwan Noor Muhammad _x000a_CNIC No. 35201-7542793-9_x000a_Cell No. 03231423349 / 03364158875"/>
    <m/>
    <s v="TOYOTA COROLLA"/>
    <s v="LEE-19-840"/>
    <s v="Z557293"/>
    <s v="NZE170R-4183323"/>
    <s v="2019"/>
    <m/>
    <m/>
    <s v=" D"/>
    <s v="09000210-Tariq Shahzad"/>
    <n v="4000000"/>
    <n v="6076"/>
    <n v="61"/>
    <n v="791"/>
    <n v="0"/>
    <n v="6928"/>
    <n v="0"/>
    <n v="0"/>
    <n v="6928"/>
    <n v="0"/>
    <n v="6928"/>
    <m/>
    <m/>
    <m/>
    <s v="Fizza Sheikh"/>
    <n v="4347.1099999999951"/>
    <n v="1262.3500000000001"/>
    <m/>
  </r>
  <r>
    <n v="2051"/>
    <x v="303"/>
    <x v="1473"/>
    <s v=" -"/>
    <s v=" MOTOR"/>
    <d v="2024-06-25T00:00:00"/>
    <d v="2024-04-24T00:00:00"/>
    <d v="2025-04-23T00:00:00"/>
    <s v=" 08817134"/>
    <s v="Mr. Rizwan Noor Muhammad _x000a_CNIC No. 35201-7542793-9_x000a_Cell No. 03231423349 / 03364158875"/>
    <m/>
    <s v="TOYOTA COROLLA"/>
    <s v="LEE-19-840"/>
    <s v="Z557293"/>
    <s v="NZE170R-4183323"/>
    <s v="2019"/>
    <m/>
    <m/>
    <s v=" D"/>
    <s v="09000210-Tariq Shahzad"/>
    <n v="4000000"/>
    <n v="5945"/>
    <n v="60"/>
    <n v="772"/>
    <n v="0"/>
    <n v="6777"/>
    <n v="0"/>
    <n v="0"/>
    <n v="6777"/>
    <n v="0"/>
    <n v="6777"/>
    <m/>
    <m/>
    <m/>
    <s v="Fizza Sheikh"/>
    <n v="5700.5899999999756"/>
    <n v="1234.9799999999991"/>
    <m/>
  </r>
  <r>
    <n v="2052"/>
    <x v="303"/>
    <x v="1474"/>
    <s v=" -"/>
    <s v=" MOTOR"/>
    <d v="2024-07-26T00:00:00"/>
    <d v="2024-04-24T00:00:00"/>
    <d v="2025-04-23T00:00:00"/>
    <s v=" 08817134"/>
    <s v="Mr. Rizwan Noor Muhammad _x000a_CNIC No. 35201-7542793-9_x000a_Cell No. 03231423349 / 03364158875"/>
    <m/>
    <s v="TOYOTA COROLLA"/>
    <s v="LEE-19-840"/>
    <s v="Z557293"/>
    <s v="NZE170R-4183323"/>
    <s v="2019"/>
    <m/>
    <m/>
    <s v=" D"/>
    <s v="09000210-Tariq Shahzad"/>
    <n v="4000000"/>
    <n v="4632"/>
    <n v="46"/>
    <n v="695"/>
    <n v="0"/>
    <n v="5373"/>
    <n v="0"/>
    <n v="0"/>
    <n v="5373"/>
    <n v="0"/>
    <n v="5373"/>
    <m/>
    <m/>
    <m/>
    <s v="Fizza Sheikh"/>
    <n v="3046.4099999999989"/>
    <n v="979.21"/>
    <m/>
  </r>
  <r>
    <n v="2053"/>
    <x v="303"/>
    <x v="1475"/>
    <s v=" -"/>
    <s v=" MOTOR"/>
    <d v="2024-08-29T00:00:00"/>
    <d v="2024-04-24T00:00:00"/>
    <d v="2025-04-23T00:00:00"/>
    <s v=" 08817134"/>
    <s v="Mr. Rizwan Noor Muhammad _x000a_CNIC No. 35201-7542793-9_x000a_Cell No. 03231423349 / 03364158875"/>
    <m/>
    <s v="TOYOTA COROLLA"/>
    <s v="LEE-19-840"/>
    <s v="Z557293"/>
    <s v="NZE170R-4183323"/>
    <s v="2019"/>
    <m/>
    <m/>
    <s v=" D"/>
    <s v="09000210-Tariq Shahzad"/>
    <n v="4000000"/>
    <n v="4420"/>
    <n v="44"/>
    <n v="663"/>
    <n v="0"/>
    <n v="5127"/>
    <n v="0"/>
    <n v="0"/>
    <n v="5127"/>
    <n v="0"/>
    <n v="5127"/>
    <m/>
    <m/>
    <m/>
    <s v="Fizza Sheikh"/>
    <n v="2240.37"/>
    <n v="934.47"/>
    <m/>
  </r>
  <r>
    <n v="2054"/>
    <x v="303"/>
    <x v="1476"/>
    <s v=" -"/>
    <s v=" MOTOR"/>
    <d v="2024-09-28T00:00:00"/>
    <d v="2024-04-24T00:00:00"/>
    <d v="2025-04-23T00:00:00"/>
    <s v=" 08817134"/>
    <s v="Mr. Rizwan Noor Muhammad _x000a_CNIC No. 35201-7542793-9_x000a_Cell No. 03231423349 / 03364158875"/>
    <m/>
    <s v="TOYOTA COROLLA"/>
    <s v="LEE-19-840"/>
    <s v="Z557293"/>
    <s v="NZE170R-4183323"/>
    <s v="2019"/>
    <m/>
    <m/>
    <s v=" D"/>
    <s v="09000210-Tariq Shahzad"/>
    <n v="4000000"/>
    <n v="4649"/>
    <n v="47"/>
    <n v="698"/>
    <n v="0"/>
    <n v="5394"/>
    <n v="0"/>
    <n v="0"/>
    <n v="5394"/>
    <n v="0"/>
    <n v="5394"/>
    <m/>
    <m/>
    <m/>
    <s v="Fizza Sheikh"/>
    <n v="2585.5500000000002"/>
    <n v="982.87"/>
    <m/>
  </r>
  <r>
    <n v="2055"/>
    <x v="303"/>
    <x v="1477"/>
    <s v=" -"/>
    <s v=" MOTOR"/>
    <d v="2024-10-25T00:00:00"/>
    <d v="2024-04-24T00:00:00"/>
    <d v="2025-04-23T00:00:00"/>
    <s v=" 08817134"/>
    <s v="Mr. Rizwan Noor Muhammad _x000a_CNIC No. 35201-7542793-9_x000a_Cell No. 03231423349 / 03364158875"/>
    <m/>
    <s v="TOYOTA COROLLA"/>
    <s v="LEE-19-840"/>
    <s v="Z557293"/>
    <s v="NZE170R-4183323"/>
    <s v="2019"/>
    <m/>
    <m/>
    <s v=" D"/>
    <s v="09000210-Tariq Shahzad"/>
    <n v="4000000"/>
    <n v="3660"/>
    <n v="37"/>
    <n v="549"/>
    <n v="0"/>
    <n v="4246"/>
    <n v="0"/>
    <n v="0"/>
    <n v="4246"/>
    <n v="0"/>
    <n v="4246"/>
    <m/>
    <m/>
    <m/>
    <s v="Fizza Sheikh"/>
    <n v="1499.97"/>
    <n v="774.76"/>
    <m/>
  </r>
  <r>
    <n v="2056"/>
    <x v="303"/>
    <x v="1478"/>
    <s v=" -"/>
    <s v=" MOTOR"/>
    <d v="2024-10-31T00:00:00"/>
    <d v="2024-04-24T00:00:00"/>
    <d v="2025-04-23T00:00:00"/>
    <s v=" 08817134"/>
    <s v="Mr. Rizwan Noor Muhammad _x000a_CNIC No. 35201-7542793-9_x000a_Cell No. 03231423349 / 03364158875"/>
    <m/>
    <s v="TOYOTA COROLLA"/>
    <s v="LEE-19-840"/>
    <s v="Z557293"/>
    <s v="NZE170R-4183323"/>
    <s v="2019"/>
    <m/>
    <m/>
    <s v=" D"/>
    <s v="09000210-Tariq Shahzad"/>
    <n v="-1"/>
    <n v="-33510"/>
    <n v="-335"/>
    <n v="0"/>
    <n v="0"/>
    <n v="-33845"/>
    <n v="0"/>
    <n v="0"/>
    <n v="-33845"/>
    <n v="0"/>
    <n v="-33845"/>
    <m/>
    <m/>
    <m/>
    <s v="Fizza Sheikh"/>
    <m/>
    <m/>
    <m/>
  </r>
  <r>
    <n v="2057"/>
    <x v="304"/>
    <x v="1479"/>
    <s v=" -"/>
    <s v=" MOTOR"/>
    <d v="2024-12-24T00:00:00"/>
    <d v="2024-04-22T00:00:00"/>
    <d v="2025-04-21T00:00:00"/>
    <s v=" 08817151"/>
    <s v="Mr. Muhammad Ali Jan_x000a_CNIC No. 42201-6821920-5_x000a_Cell No. 0331-2040094"/>
    <m/>
    <s v="HONDA CITY I-VTEC"/>
    <s v="BMU-109"/>
    <s v="L13Z17514100"/>
    <s v="NFBGM1649JR228282"/>
    <s v="2018"/>
    <m/>
    <m/>
    <s v=" D"/>
    <s v="09000210-Tariq Shahzad"/>
    <n v="3650000"/>
    <n v="475"/>
    <n v="5"/>
    <n v="71"/>
    <n v="0"/>
    <n v="551"/>
    <n v="0"/>
    <n v="0"/>
    <n v="551"/>
    <n v="0"/>
    <n v="551"/>
    <m/>
    <m/>
    <m/>
    <s v="Fizza Sheikh"/>
    <n v="155.4"/>
    <n v="110.25"/>
    <m/>
  </r>
  <r>
    <n v="2058"/>
    <x v="304"/>
    <x v="1480"/>
    <s v=" -"/>
    <s v=" MOTOR"/>
    <d v="2025-01-17T00:00:00"/>
    <d v="2024-04-22T00:00:00"/>
    <d v="2025-04-21T00:00:00"/>
    <s v=" 08817151"/>
    <s v="Mr. Muhammad Ali Jan_x000a_CNIC No. 42201-6821920-5_x000a_Cell No. 0331-2040094"/>
    <m/>
    <s v="HONDA CITY I-VTEC"/>
    <s v="BMU-109"/>
    <s v="L13Z17514100"/>
    <s v="NFBGM1649JR228282"/>
    <s v="2018"/>
    <m/>
    <m/>
    <s v=" D"/>
    <s v="09000210-Tariq Shahzad"/>
    <n v="-1"/>
    <n v="-546"/>
    <n v="-5"/>
    <n v="0"/>
    <n v="0"/>
    <n v="-551"/>
    <n v="0"/>
    <n v="0"/>
    <n v="-551"/>
    <n v="0"/>
    <n v="-551"/>
    <m/>
    <m/>
    <m/>
    <s v="Fizza Sheikh"/>
    <m/>
    <m/>
    <s v="muhammadali4060700@gmail.com"/>
  </r>
  <r>
    <n v="2076"/>
    <x v="305"/>
    <x v="1481"/>
    <s v=" -"/>
    <s v=" MOTOR"/>
    <d v="2024-11-26T00:00:00"/>
    <d v="2024-04-24T00:00:00"/>
    <d v="2025-04-23T00:00:00"/>
    <s v=" 08817199"/>
    <s v="Mr. Muhammad Farhan_x000a_CNIC: 4210167087709_x000a_Phone Number: 03002504383"/>
    <m/>
    <s v="TOYOTA COROLLA ALTIS 1.6"/>
    <s v="BQP-834"/>
    <s v="Q060415"/>
    <s v="ZRE171R-6037920"/>
    <s v="2019"/>
    <m/>
    <m/>
    <s v=" D"/>
    <s v="09000210-Tariq Shahzad"/>
    <n v="5500000"/>
    <n v="7640"/>
    <n v="76"/>
    <n v="1146"/>
    <n v="0"/>
    <n v="8862"/>
    <n v="0"/>
    <n v="0"/>
    <n v="8862"/>
    <n v="0"/>
    <n v="8862"/>
    <m/>
    <m/>
    <m/>
    <s v="Syed Waqas"/>
    <n v="1564.449999999998"/>
    <n v="1176.3600000000001"/>
    <m/>
  </r>
  <r>
    <n v="2077"/>
    <x v="305"/>
    <x v="1482"/>
    <s v=" -"/>
    <s v=" MOTOR"/>
    <d v="2024-12-26T00:00:00"/>
    <d v="2024-04-24T00:00:00"/>
    <d v="2025-04-23T00:00:00"/>
    <s v=" 08817199"/>
    <s v="Mr. Muhammad Farhan_x000a_CNIC: 4210167087709_x000a_Phone Number: 03002504383"/>
    <m/>
    <s v="TOYOTA COROLLA ALTIS 1.6"/>
    <s v="BQP-834"/>
    <s v="Q060415"/>
    <s v="ZRE171R-6037920"/>
    <s v="2019"/>
    <m/>
    <m/>
    <s v=" D"/>
    <s v="09000210-Tariq Shahzad"/>
    <n v="5500000"/>
    <n v="7190"/>
    <n v="72"/>
    <n v="1079"/>
    <n v="0"/>
    <n v="8341"/>
    <n v="0"/>
    <n v="0"/>
    <n v="8341"/>
    <n v="0"/>
    <n v="8341"/>
    <m/>
    <m/>
    <m/>
    <s v="Syed Waqas"/>
    <n v="1370.6099999999979"/>
    <n v="1107.29"/>
    <m/>
  </r>
  <r>
    <n v="2078"/>
    <x v="305"/>
    <x v="1483"/>
    <s v=" -"/>
    <s v=" MOTOR"/>
    <d v="2025-01-24T00:00:00"/>
    <d v="2024-04-24T00:00:00"/>
    <d v="2025-04-23T00:00:00"/>
    <s v=" 08817199"/>
    <s v="Mr. Muhammad Farhan_x000a_CNIC: 4210167087709_x000a_Phone Number: 03002504383"/>
    <m/>
    <s v="TOYOTA COROLLA ALTIS 1.6"/>
    <s v="BQP-834"/>
    <s v="Q060415"/>
    <s v="ZRE171R-6037920"/>
    <s v="2019"/>
    <m/>
    <m/>
    <s v=" D"/>
    <s v="09000210-Tariq Shahzad"/>
    <n v="5500000"/>
    <n v="7289"/>
    <n v="73"/>
    <n v="1093"/>
    <n v="0"/>
    <n v="8455"/>
    <n v="0"/>
    <n v="0"/>
    <n v="8455"/>
    <n v="0"/>
    <n v="8455"/>
    <m/>
    <m/>
    <m/>
    <s v="Syed Waqas"/>
    <n v="1631.659999999998"/>
    <n v="1122.42"/>
    <m/>
  </r>
  <r>
    <n v="2079"/>
    <x v="305"/>
    <x v="1484"/>
    <s v=" -"/>
    <s v=" MOTOR"/>
    <d v="2025-02-25T00:00:00"/>
    <d v="2024-04-24T00:00:00"/>
    <d v="2025-04-23T00:00:00"/>
    <s v=" 08817199"/>
    <s v="Mr. Muhammad Farhan_x000a_CNIC: 4210167087709_x000a_Phone Number: 03002504383"/>
    <m/>
    <s v="TOYOTA COROLLA ALTIS 1.6"/>
    <s v="BQP-834"/>
    <s v="Q060415"/>
    <s v="ZRE171R-6037920"/>
    <s v="2019"/>
    <m/>
    <m/>
    <s v=" D"/>
    <s v="09000210-Tariq Shahzad"/>
    <n v="5500000"/>
    <n v="7641"/>
    <n v="76"/>
    <n v="1146"/>
    <n v="0"/>
    <n v="8863"/>
    <n v="0"/>
    <n v="0"/>
    <n v="8863"/>
    <n v="0"/>
    <n v="8863"/>
    <m/>
    <m/>
    <m/>
    <s v="Syed Waqas"/>
    <n v="1615.939999999998"/>
    <n v="1176.42"/>
    <m/>
  </r>
  <r>
    <n v="2080"/>
    <x v="305"/>
    <x v="1485"/>
    <s v=" -"/>
    <s v=" MOTOR"/>
    <d v="2025-03-29T00:00:00"/>
    <d v="2024-04-24T00:00:00"/>
    <d v="2025-04-23T00:00:00"/>
    <s v=" 08817199"/>
    <s v="Mr. Muhammad Farhan_x000a_CNIC: 4210167087709_x000a_Phone Number: 03002504383"/>
    <m/>
    <s v="TOYOTA COROLLA ALTIS 1.6"/>
    <s v="BQP-834"/>
    <s v="Q060415"/>
    <s v="ZRE171R-6037920"/>
    <s v="2019"/>
    <m/>
    <m/>
    <s v=" D"/>
    <s v="09000210-Tariq Shahzad"/>
    <n v="-1"/>
    <n v="-34218"/>
    <n v="-303"/>
    <n v="0"/>
    <n v="0"/>
    <n v="-34521"/>
    <n v="0"/>
    <n v="0"/>
    <n v="-34521"/>
    <n v="0"/>
    <n v="-34521"/>
    <m/>
    <m/>
    <m/>
    <s v="Syed Waqas"/>
    <m/>
    <m/>
    <m/>
  </r>
  <r>
    <n v="2082"/>
    <x v="306"/>
    <x v="24"/>
    <s v="2024T014VPCOT00012 -"/>
    <s v=" MOTOR"/>
    <d v="2024-04-29T00:00:00"/>
    <d v="2024-03-15T00:00:00"/>
    <d v="2025-03-14T00:00:00"/>
    <s v=" 08804745"/>
    <s v="M/s. HPA UBL Insurers Limited Lahore_x000a_User Mr. Muhammad Awais Arshad_x000a_CNIC# 35202-7055164-9"/>
    <m/>
    <m/>
    <m/>
    <m/>
    <m/>
    <m/>
    <m/>
    <m/>
    <s v=" D"/>
    <s v="09000332-Tahira Batool"/>
    <m/>
    <n v="68552"/>
    <n v="686"/>
    <n v="8912"/>
    <n v="50"/>
    <n v="78200"/>
    <n v="0"/>
    <n v="0"/>
    <n v="78200"/>
    <n v="0"/>
    <n v="78200"/>
    <m/>
    <s v="2024T014VPCOP00022"/>
    <m/>
    <s v="Maria Tauqeer Qazi"/>
    <m/>
    <m/>
    <m/>
  </r>
  <r>
    <n v="2083"/>
    <x v="306"/>
    <x v="1486"/>
    <s v=" -"/>
    <s v=" MOTOR"/>
    <d v="2024-11-13T00:00:00"/>
    <d v="2024-03-15T00:00:00"/>
    <d v="2025-03-14T00:00:00"/>
    <s v=" 08804745"/>
    <s v="M/s. HPA UBL Insurers Limited Lahore_x000a_User Mr. Muhammad Awais Arshad_x000a_CNIC# 35202-7055164-9"/>
    <m/>
    <s v="TOYOTA COROLLA ALTIS M/T"/>
    <s v="LEA-20-8483"/>
    <s v="064555"/>
    <s v="6042050"/>
    <s v="2020"/>
    <m/>
    <m/>
    <s v=" D"/>
    <s v="09000332-Tahira Batool"/>
    <n v="4600000"/>
    <n v="-68552"/>
    <n v="-686"/>
    <n v="-8912"/>
    <n v="-50"/>
    <n v="-78200"/>
    <n v="0"/>
    <n v="0"/>
    <n v="-78200"/>
    <n v="0"/>
    <n v="-78200"/>
    <m/>
    <m/>
    <m/>
    <s v="Maria Tauqeer Qazi"/>
    <m/>
    <m/>
    <m/>
  </r>
  <r>
    <n v="2084"/>
    <x v="307"/>
    <x v="1487"/>
    <s v=" -"/>
    <s v=" MOTOR"/>
    <d v="2024-05-29T00:00:00"/>
    <d v="2024-04-29T00:00:00"/>
    <d v="2025-04-28T00:00:00"/>
    <s v=" 08817223"/>
    <s v="Mr. Muhammad Zubair_x000a_CNIC: 4530192862123_x000a_Phone Number : 0333 2636070"/>
    <m/>
    <s v="TOYOTA YARIS ATIV X CVT"/>
    <s v="BUX-653"/>
    <s v="2A39959"/>
    <s v="NSP151R-9514984"/>
    <s v="2021"/>
    <m/>
    <m/>
    <s v=" D"/>
    <s v="09000210-Tariq Shahzad"/>
    <n v="4200000"/>
    <n v="4334"/>
    <n v="44"/>
    <n v="564"/>
    <n v="0"/>
    <n v="4942"/>
    <n v="4200"/>
    <n v="0"/>
    <n v="742"/>
    <n v="0"/>
    <n v="742"/>
    <m/>
    <m/>
    <m/>
    <s v="Fizza Sheikh"/>
    <n v="889.58"/>
    <n v="858.61"/>
    <m/>
  </r>
  <r>
    <n v="2085"/>
    <x v="307"/>
    <x v="1488"/>
    <s v=" -"/>
    <s v=" MOTOR"/>
    <d v="2024-07-01T00:00:00"/>
    <d v="2024-04-29T00:00:00"/>
    <d v="2025-04-28T00:00:00"/>
    <s v=" 08817223"/>
    <s v="Mr. Muhammad Zubair_x000a_CNIC: 4530192862123_x000a_Phone Number : 0333 2636070"/>
    <m/>
    <s v="TOYOTA YARIS ATIV X CVT"/>
    <s v="BUX-653"/>
    <s v="2A39959"/>
    <s v="NSP151R-9514984"/>
    <s v="2021"/>
    <m/>
    <m/>
    <s v=" D"/>
    <s v="09000210-Tariq Shahzad"/>
    <n v="4200000"/>
    <n v="4257"/>
    <n v="42"/>
    <n v="553"/>
    <n v="0"/>
    <n v="4852"/>
    <n v="0"/>
    <n v="0"/>
    <n v="4852"/>
    <n v="0"/>
    <n v="4852"/>
    <m/>
    <m/>
    <m/>
    <s v="Fizza Sheikh"/>
    <n v="1597.4699999999971"/>
    <n v="843.43"/>
    <m/>
  </r>
  <r>
    <n v="2086"/>
    <x v="307"/>
    <x v="1489"/>
    <s v=" -"/>
    <s v=" MOTOR"/>
    <d v="2024-07-30T00:00:00"/>
    <d v="2024-04-29T00:00:00"/>
    <d v="2025-04-28T00:00:00"/>
    <s v=" 08817223"/>
    <s v="Mr. Muhammad Zubair_x000a_CNIC: 4530192862123_x000a_Phone Number : 0333 2636070"/>
    <m/>
    <s v="TOYOTA YARIS ATIV X CVT"/>
    <s v="BUX-653"/>
    <s v="2A39959"/>
    <s v="NSP151R-9514984"/>
    <s v="2021"/>
    <m/>
    <m/>
    <s v=" D"/>
    <s v="09000210-Tariq Shahzad"/>
    <n v="4200000"/>
    <n v="4647"/>
    <n v="46"/>
    <n v="697"/>
    <n v="0"/>
    <n v="5390"/>
    <n v="0"/>
    <n v="0"/>
    <n v="5390"/>
    <n v="0"/>
    <n v="5390"/>
    <m/>
    <m/>
    <m/>
    <s v="Fizza Sheikh"/>
    <n v="1070.48"/>
    <n v="936.83"/>
    <m/>
  </r>
  <r>
    <n v="2087"/>
    <x v="307"/>
    <x v="1490"/>
    <s v=" -"/>
    <s v=" MOTOR"/>
    <d v="2024-09-03T00:00:00"/>
    <d v="2024-04-29T00:00:00"/>
    <d v="2025-04-28T00:00:00"/>
    <s v=" 08817223"/>
    <s v="Mr. Muhammad Zubair_x000a_CNIC: 4530192862123_x000a_Phone Number : 0333 2636070"/>
    <m/>
    <s v="TOYOTA YARIS ATIV X CVT"/>
    <s v="BUX-653"/>
    <s v="2A39959"/>
    <s v="NSP151R-9514984"/>
    <s v="2021"/>
    <m/>
    <m/>
    <s v=" D"/>
    <s v="09000210-Tariq Shahzad"/>
    <n v="4200000"/>
    <n v="4190"/>
    <n v="42"/>
    <n v="628"/>
    <n v="0"/>
    <n v="4860"/>
    <n v="0"/>
    <n v="0"/>
    <n v="4860"/>
    <n v="0"/>
    <n v="4860"/>
    <m/>
    <m/>
    <m/>
    <s v="Fizza Sheikh"/>
    <n v="1032.3400000000001"/>
    <n v="844.98"/>
    <m/>
  </r>
  <r>
    <n v="2088"/>
    <x v="307"/>
    <x v="1491"/>
    <s v=" -"/>
    <s v=" MOTOR"/>
    <d v="2025-03-29T00:00:00"/>
    <d v="2024-04-29T00:00:00"/>
    <d v="2025-04-28T00:00:00"/>
    <s v=" 08817223"/>
    <s v="Mr. Muhammad Zubair_x000a_CNIC: 4530192862123_x000a_Phone Number : 0333 2636070"/>
    <m/>
    <s v="TOYOTA YARIS ATIV X CVT"/>
    <s v="BUX-653"/>
    <s v="2A39959"/>
    <s v="NSP151R-9514984"/>
    <s v="2021"/>
    <m/>
    <m/>
    <s v=" D"/>
    <s v="09000210-Tariq Shahzad"/>
    <n v="-1"/>
    <n v="-15705"/>
    <n v="-139"/>
    <n v="0"/>
    <n v="0"/>
    <n v="-15844"/>
    <n v="0"/>
    <n v="0"/>
    <n v="-15844"/>
    <n v="0"/>
    <n v="-15844"/>
    <m/>
    <m/>
    <m/>
    <s v="Fizza Sheikh"/>
    <m/>
    <m/>
    <m/>
  </r>
  <r>
    <n v="2109"/>
    <x v="308"/>
    <x v="1492"/>
    <s v=" -"/>
    <s v=" MOTOR"/>
    <d v="2024-06-03T00:00:00"/>
    <d v="2024-05-02T00:00:00"/>
    <d v="2025-05-01T00:00:00"/>
    <s v=" 08817296"/>
    <s v="Mr. Mansoor Talat_x000a_CNIC: 4210136408789_x000a_Phone Number: 03453090019"/>
    <m/>
    <s v="TOYOTA COROLLA GLI"/>
    <s v="BGM-147"/>
    <s v="Z461790"/>
    <s v="NZE170R-4088605"/>
    <s v="2016"/>
    <m/>
    <m/>
    <s v=" D"/>
    <s v="09000210-Tariq Shahzad"/>
    <n v="3100000"/>
    <n v="4609"/>
    <n v="47"/>
    <n v="600"/>
    <n v="0"/>
    <n v="5256"/>
    <n v="0"/>
    <n v="0"/>
    <n v="5256"/>
    <n v="0"/>
    <n v="5256"/>
    <m/>
    <m/>
    <m/>
    <s v="Syed Waqas"/>
    <n v="1516.68"/>
    <n v="1238.21"/>
    <m/>
  </r>
  <r>
    <n v="2110"/>
    <x v="308"/>
    <x v="1493"/>
    <s v=" -"/>
    <s v=" MOTOR"/>
    <d v="2024-07-02T00:00:00"/>
    <d v="2024-05-02T00:00:00"/>
    <d v="2025-05-01T00:00:00"/>
    <s v=" 08817296"/>
    <s v="Mr. Mansoor Talat_x000a_CNIC: 4210136408789_x000a_Phone Number: 03453090019"/>
    <m/>
    <s v="TOYOTA COROLLA GLI"/>
    <s v="BGM-147"/>
    <s v="Z461790"/>
    <s v="NZE170R-4088605"/>
    <s v="2016"/>
    <m/>
    <m/>
    <s v=" D"/>
    <s v="09000210-Tariq Shahzad"/>
    <n v="3100000"/>
    <n v="4276"/>
    <n v="43"/>
    <n v="641"/>
    <n v="0"/>
    <n v="4960"/>
    <n v="0"/>
    <n v="0"/>
    <n v="4960"/>
    <n v="0"/>
    <n v="4960"/>
    <m/>
    <m/>
    <m/>
    <s v="Syed Waqas"/>
    <n v="1463.0000000000009"/>
    <n v="1168.5"/>
    <m/>
  </r>
  <r>
    <n v="2111"/>
    <x v="308"/>
    <x v="1494"/>
    <s v=" -"/>
    <s v=" MOTOR"/>
    <d v="2024-08-03T00:00:00"/>
    <d v="2024-05-02T00:00:00"/>
    <d v="2025-05-01T00:00:00"/>
    <s v=" 08817296"/>
    <s v="Mr. Mansoor Talat_x000a_CNIC: 4210136408789_x000a_Phone Number: 03453090019"/>
    <m/>
    <s v="TOYOTA COROLLA GLI"/>
    <s v="BGM-147"/>
    <s v="Z461790"/>
    <s v="NZE170R-4088605"/>
    <s v="2016"/>
    <m/>
    <m/>
    <s v=" D"/>
    <s v="09000210-Tariq Shahzad"/>
    <n v="3100000"/>
    <n v="3899"/>
    <n v="39"/>
    <n v="585"/>
    <n v="0"/>
    <n v="4523"/>
    <n v="0"/>
    <n v="0"/>
    <n v="4523"/>
    <n v="0"/>
    <n v="4523"/>
    <m/>
    <m/>
    <m/>
    <s v="Syed Waqas"/>
    <n v="1340.77"/>
    <n v="1065.45"/>
    <m/>
  </r>
  <r>
    <n v="2112"/>
    <x v="308"/>
    <x v="1495"/>
    <s v=" -"/>
    <s v=" MOTOR"/>
    <d v="2024-09-04T00:00:00"/>
    <d v="2024-05-02T00:00:00"/>
    <d v="2025-05-01T00:00:00"/>
    <s v=" 08817296"/>
    <s v="Mr. Mansoor Talat_x000a_CNIC: 4210136408789_x000a_Phone Number: 03453090019"/>
    <m/>
    <s v="TOYOTA COROLLA GLI"/>
    <s v="BGM-147"/>
    <s v="Z461790"/>
    <s v="NZE170R-4088605"/>
    <s v="2016"/>
    <m/>
    <m/>
    <s v=" D"/>
    <s v="09000210-Tariq Shahzad"/>
    <n v="3100000"/>
    <n v="3405"/>
    <n v="34"/>
    <n v="511"/>
    <n v="0"/>
    <n v="3950"/>
    <n v="0"/>
    <n v="0"/>
    <n v="3950"/>
    <n v="0"/>
    <n v="3950"/>
    <m/>
    <m/>
    <m/>
    <s v="Syed Waqas"/>
    <n v="1140.99"/>
    <n v="930.41"/>
    <m/>
  </r>
  <r>
    <n v="2113"/>
    <x v="308"/>
    <x v="1496"/>
    <s v=" -"/>
    <s v=" MOTOR"/>
    <d v="2024-10-09T00:00:00"/>
    <d v="2024-05-02T00:00:00"/>
    <d v="2025-05-01T00:00:00"/>
    <s v=" 08817296"/>
    <s v="Mr. Mansoor Talat_x000a_CNIC: 4210136408789_x000a_Phone Number: 03453090019"/>
    <m/>
    <s v="TOYOTA COROLLA GLI"/>
    <s v="BGM-147"/>
    <s v="Z461790"/>
    <s v="NZE170R-4088605"/>
    <s v="2016"/>
    <m/>
    <m/>
    <s v=" D"/>
    <s v="09000210-Tariq Shahzad"/>
    <n v="3100000"/>
    <n v="3799"/>
    <n v="38"/>
    <n v="570"/>
    <n v="0"/>
    <n v="4407"/>
    <n v="0"/>
    <n v="0"/>
    <n v="4407"/>
    <n v="0"/>
    <n v="4407"/>
    <m/>
    <m/>
    <m/>
    <s v="Syed Waqas"/>
    <n v="1177.3700000000001"/>
    <n v="1038.08"/>
    <m/>
  </r>
  <r>
    <n v="2114"/>
    <x v="308"/>
    <x v="1497"/>
    <s v=" -"/>
    <s v=" MOTOR"/>
    <d v="2024-11-04T00:00:00"/>
    <d v="2024-05-02T00:00:00"/>
    <d v="2025-05-01T00:00:00"/>
    <s v=" 08817296"/>
    <s v="Mr. Mansoor Talat_x000a_CNIC: 4210136408789_x000a_Phone Number: 03453090019"/>
    <m/>
    <s v="TOYOTA COROLLA GLI"/>
    <s v="BGM-147"/>
    <s v="Z461790"/>
    <s v="NZE170R-4088605"/>
    <s v="2016"/>
    <m/>
    <m/>
    <s v=" D"/>
    <s v="09000210-Tariq Shahzad"/>
    <n v="3100000"/>
    <n v="3896"/>
    <n v="39"/>
    <n v="584"/>
    <n v="0"/>
    <n v="4519"/>
    <n v="0"/>
    <n v="0"/>
    <n v="4519"/>
    <n v="0"/>
    <n v="4519"/>
    <m/>
    <m/>
    <m/>
    <s v="Syed Waqas"/>
    <n v="1289.93"/>
    <n v="1064.98"/>
    <m/>
  </r>
  <r>
    <n v="2115"/>
    <x v="308"/>
    <x v="1498"/>
    <s v=" -"/>
    <s v=" MOTOR"/>
    <d v="2024-10-31T00:00:00"/>
    <d v="2024-05-02T00:00:00"/>
    <d v="2025-05-01T00:00:00"/>
    <s v=" 08817296"/>
    <s v="Mr. Mansoor Talat_x000a_CNIC: 4210136408789_x000a_Phone Number: 03453090019"/>
    <m/>
    <s v="TOYOTA COROLLA GLI"/>
    <s v="BGM-147"/>
    <s v="Z461790"/>
    <s v="NZE170R-4088605"/>
    <s v="2016"/>
    <m/>
    <m/>
    <s v=" D"/>
    <s v="09000210-Tariq Shahzad"/>
    <n v="-1"/>
    <n v="-24224"/>
    <n v="-242"/>
    <n v="-3149"/>
    <n v="0"/>
    <n v="-27615"/>
    <n v="0"/>
    <n v="0"/>
    <n v="-27615"/>
    <n v="0"/>
    <n v="-27615"/>
    <m/>
    <m/>
    <m/>
    <s v="Syed Waqas"/>
    <m/>
    <m/>
    <m/>
  </r>
  <r>
    <n v="2120"/>
    <x v="309"/>
    <x v="1499"/>
    <s v=" -"/>
    <s v=" MOTOR"/>
    <d v="2024-06-03T00:00:00"/>
    <d v="2024-05-02T00:00:00"/>
    <d v="2025-05-01T00:00:00"/>
    <s v=" 08817303"/>
    <s v="Mr. Faisal_x000a_CNIC: 42201-5790118-1_x000a_Phone Number: 03002127946"/>
    <m/>
    <s v="TOYOTA CROSS HYBRID CVT"/>
    <s v="BM-0280"/>
    <s v="9Z03975"/>
    <s v="ZVG10R-0902865"/>
    <s v="2024"/>
    <m/>
    <m/>
    <s v=" D"/>
    <s v="09000210-Tariq Shahzad"/>
    <n v="9862000"/>
    <n v="1827"/>
    <n v="19"/>
    <n v="238"/>
    <n v="0"/>
    <n v="2084"/>
    <n v="0"/>
    <n v="0"/>
    <n v="2084"/>
    <n v="0"/>
    <n v="2084"/>
    <m/>
    <m/>
    <m/>
    <s v="Syed Waqas"/>
    <n v="159.36000000000001"/>
    <n v="154.22999999999999"/>
    <m/>
  </r>
  <r>
    <n v="2121"/>
    <x v="309"/>
    <x v="1500"/>
    <s v=" -"/>
    <s v=" MOTOR"/>
    <d v="2024-07-02T00:00:00"/>
    <d v="2024-05-02T00:00:00"/>
    <d v="2025-05-01T00:00:00"/>
    <s v=" 08817303"/>
    <s v="Mr. Faisal_x000a_CNIC: 42201-5790118-1_x000a_Phone Number: 03002127946"/>
    <m/>
    <s v="TOYOTA CROSS HYBRID CVT"/>
    <s v="BM-0280"/>
    <s v="9Z03975"/>
    <s v="ZVG10R-0902865"/>
    <s v="2024"/>
    <m/>
    <m/>
    <s v=" D"/>
    <s v="09000210-Tariq Shahzad"/>
    <n v="9862000"/>
    <n v="891"/>
    <n v="9"/>
    <n v="134"/>
    <n v="0"/>
    <n v="1034"/>
    <n v="0"/>
    <n v="0"/>
    <n v="1034"/>
    <n v="0"/>
    <n v="1034"/>
    <m/>
    <m/>
    <m/>
    <s v="Syed Waqas"/>
    <n v="76.470000000000098"/>
    <n v="76.470000000000098"/>
    <m/>
  </r>
  <r>
    <n v="2122"/>
    <x v="309"/>
    <x v="1501"/>
    <s v=" -"/>
    <s v=" MOTOR"/>
    <d v="2024-08-03T00:00:00"/>
    <d v="2024-05-02T00:00:00"/>
    <d v="2025-05-01T00:00:00"/>
    <s v=" 08817303"/>
    <s v="Mr. Faisal_x000a_CNIC: 42201-5790118-1_x000a_Phone Number: 03002127946"/>
    <m/>
    <s v="TOYOTA CROSS HYBRID CVT"/>
    <s v="BM-0280"/>
    <s v="9Z03975"/>
    <s v="ZVG10R-0902865"/>
    <s v="2024"/>
    <m/>
    <m/>
    <s v=" D"/>
    <s v="09000210-Tariq Shahzad"/>
    <n v="9862000"/>
    <n v="1124"/>
    <n v="11"/>
    <n v="168"/>
    <n v="0"/>
    <n v="1303"/>
    <n v="0"/>
    <n v="0"/>
    <n v="1303"/>
    <n v="0"/>
    <n v="1303"/>
    <m/>
    <m/>
    <m/>
    <s v="Syed Waqas"/>
    <n v="138.41"/>
    <n v="96.49"/>
    <m/>
  </r>
  <r>
    <n v="2123"/>
    <x v="309"/>
    <x v="1502"/>
    <s v=" -"/>
    <s v=" MOTOR"/>
    <d v="2024-09-04T00:00:00"/>
    <d v="2024-05-02T00:00:00"/>
    <d v="2025-05-01T00:00:00"/>
    <s v=" 08817303"/>
    <s v="Mr. Faisal_x000a_CNIC: 42201-5790118-1_x000a_Phone Number: 03002127946"/>
    <m/>
    <s v="TOYOTA CROSS HYBRID CVT"/>
    <s v="BM-0280"/>
    <s v="9Z03975"/>
    <s v="ZVG10R-0902865"/>
    <s v="2024"/>
    <m/>
    <m/>
    <s v=" D"/>
    <s v="09000210-Tariq Shahzad"/>
    <n v="9862000"/>
    <n v="707"/>
    <n v="7"/>
    <n v="106"/>
    <n v="0"/>
    <n v="820"/>
    <n v="0"/>
    <n v="0"/>
    <n v="820"/>
    <n v="0"/>
    <n v="820"/>
    <m/>
    <m/>
    <m/>
    <s v="Syed Waqas"/>
    <n v="60.75"/>
    <n v="60.75"/>
    <m/>
  </r>
  <r>
    <n v="2124"/>
    <x v="309"/>
    <x v="1503"/>
    <s v=" -"/>
    <s v=" MOTOR"/>
    <d v="2024-10-09T00:00:00"/>
    <d v="2024-05-02T00:00:00"/>
    <d v="2025-05-01T00:00:00"/>
    <s v=" 08817303"/>
    <s v="Mr. Faisal_x000a_CNIC: 42201-5790118-1_x000a_Phone Number: 03002127946"/>
    <m/>
    <s v="TOYOTA CROSS HYBRID CVT"/>
    <s v="BM-0280"/>
    <s v="9Z03975"/>
    <s v="ZVG10R-0902865"/>
    <s v="2024"/>
    <m/>
    <m/>
    <s v=" D"/>
    <s v="09000210-Tariq Shahzad"/>
    <n v="9862000"/>
    <n v="1481"/>
    <n v="15"/>
    <n v="222"/>
    <n v="0"/>
    <n v="1718"/>
    <n v="0"/>
    <n v="0"/>
    <n v="1718"/>
    <n v="0"/>
    <n v="1718"/>
    <m/>
    <m/>
    <m/>
    <s v="Syed Waqas"/>
    <n v="127.18"/>
    <n v="127.18"/>
    <m/>
  </r>
  <r>
    <n v="2125"/>
    <x v="309"/>
    <x v="1504"/>
    <s v=" -"/>
    <s v=" MOTOR"/>
    <d v="2024-11-04T00:00:00"/>
    <d v="2024-05-02T00:00:00"/>
    <d v="2025-05-01T00:00:00"/>
    <s v=" 08817303"/>
    <s v="Mr. Faisal_x000a_CNIC: 42201-5790118-1_x000a_Phone Number: 03002127946"/>
    <m/>
    <s v="TOYOTA CROSS HYBRID CVT"/>
    <s v="BM-0280"/>
    <s v="9Z03975"/>
    <s v="ZVG10R-0902865"/>
    <s v="2024"/>
    <m/>
    <m/>
    <s v=" D"/>
    <s v="09000210-Tariq Shahzad"/>
    <n v="9862000"/>
    <n v="1344"/>
    <n v="13"/>
    <n v="202"/>
    <n v="0"/>
    <n v="1559"/>
    <n v="0"/>
    <n v="0"/>
    <n v="1559"/>
    <n v="0"/>
    <n v="1559"/>
    <m/>
    <m/>
    <m/>
    <s v="Syed Waqas"/>
    <n v="115.42"/>
    <n v="115.42"/>
    <m/>
  </r>
  <r>
    <n v="2126"/>
    <x v="309"/>
    <x v="1505"/>
    <s v=" -"/>
    <s v=" MOTOR"/>
    <d v="2024-12-04T00:00:00"/>
    <d v="2024-05-02T00:00:00"/>
    <d v="2025-05-01T00:00:00"/>
    <s v=" 08817303"/>
    <s v="Mr. Faisal_x000a_CNIC: 42201-5790118-1_x000a_Phone Number: 03002127946"/>
    <m/>
    <s v="TOYOTA CROSS HYBRID CVT"/>
    <s v="BM-0280"/>
    <s v="9Z03975"/>
    <s v="ZVG10R-0902865"/>
    <s v="2024"/>
    <m/>
    <m/>
    <s v=" D"/>
    <s v="09000210-Tariq Shahzad"/>
    <n v="9862000"/>
    <n v="550"/>
    <n v="5"/>
    <n v="82"/>
    <n v="0"/>
    <n v="637"/>
    <n v="0"/>
    <n v="0"/>
    <n v="637"/>
    <n v="0"/>
    <n v="637"/>
    <m/>
    <m/>
    <m/>
    <s v="Syed Waqas"/>
    <n v="47.16"/>
    <n v="47.16"/>
    <m/>
  </r>
  <r>
    <n v="2127"/>
    <x v="309"/>
    <x v="1506"/>
    <s v=" -"/>
    <s v=" MOTOR"/>
    <d v="2024-12-29T00:00:00"/>
    <d v="2024-05-02T00:00:00"/>
    <d v="2025-05-01T00:00:00"/>
    <s v=" 08817303"/>
    <s v="Mr. Faisal_x000a_CNIC: 42201-5790118-1_x000a_Phone Number: 03002127946"/>
    <m/>
    <s v="TOYOTA CROSS HYBRID CVT"/>
    <s v="BM-0280"/>
    <s v="9Z03975"/>
    <s v="ZVG10R-0902865"/>
    <s v="2024"/>
    <m/>
    <m/>
    <s v=" D"/>
    <s v="09000210-Tariq Shahzad"/>
    <n v="-1"/>
    <n v="-9064"/>
    <n v="-91"/>
    <n v="0"/>
    <n v="0"/>
    <n v="-9155"/>
    <n v="0"/>
    <n v="0"/>
    <n v="-9155"/>
    <n v="0"/>
    <n v="-9155"/>
    <m/>
    <m/>
    <m/>
    <s v="Syed Waqas"/>
    <m/>
    <m/>
    <m/>
  </r>
  <r>
    <n v="2133"/>
    <x v="310"/>
    <x v="1507"/>
    <s v=" -"/>
    <s v=" MOTOR"/>
    <d v="2025-01-06T00:00:00"/>
    <d v="2024-05-04T00:00:00"/>
    <d v="2025-05-03T00:00:00"/>
    <s v=" 08806236"/>
    <s v="Muhammad Mursaleen Afzal _x000a_CNIC No: 42201-1397768-1_x000a_Phone No: 03333951703"/>
    <m/>
    <s v="SUZUKI ALTO VXL"/>
    <s v="BXR-129"/>
    <s v="6R251729"/>
    <s v="NF1AET306H1151000"/>
    <s v="2022"/>
    <m/>
    <m/>
    <s v=" D"/>
    <s v="09000210-Tariq Shahzad"/>
    <n v="2800000"/>
    <n v="3338"/>
    <n v="33"/>
    <n v="501"/>
    <n v="0"/>
    <n v="3872"/>
    <n v="0"/>
    <n v="0"/>
    <n v="3872"/>
    <n v="0"/>
    <n v="3872"/>
    <m/>
    <m/>
    <m/>
    <s v="Syed Waqas"/>
    <n v="1267.22"/>
    <n v="1007.6500000000001"/>
    <m/>
  </r>
  <r>
    <n v="2134"/>
    <x v="310"/>
    <x v="1508"/>
    <s v=" -"/>
    <s v=" MOTOR"/>
    <d v="2025-02-06T00:00:00"/>
    <d v="2024-05-04T00:00:00"/>
    <d v="2025-05-03T00:00:00"/>
    <s v=" 08806236"/>
    <s v="Muhammad Mursaleen Afzal _x000a_CNIC No: 42201-1397768-1_x000a_Phone No: 03333951703"/>
    <m/>
    <s v="SUZUKI ALTO VXL"/>
    <s v="BXR-129"/>
    <s v="6R251729"/>
    <s v="NF1AET306H1151000"/>
    <s v="2022"/>
    <m/>
    <m/>
    <s v=" D"/>
    <s v="09000210-Tariq Shahzad"/>
    <n v="2800000"/>
    <n v="390"/>
    <n v="4"/>
    <n v="59"/>
    <n v="0"/>
    <n v="453"/>
    <n v="0"/>
    <n v="0"/>
    <n v="453"/>
    <n v="0"/>
    <n v="453"/>
    <m/>
    <m/>
    <m/>
    <s v="Syed Waqas"/>
    <n v="118.13000000000002"/>
    <n v="118.13000000000002"/>
    <m/>
  </r>
  <r>
    <n v="2135"/>
    <x v="310"/>
    <x v="1509"/>
    <s v=" -"/>
    <s v=" MOTOR"/>
    <d v="2025-03-29T00:00:00"/>
    <d v="2024-05-04T00:00:00"/>
    <d v="2025-05-03T00:00:00"/>
    <s v=" 08806236"/>
    <s v="Muhammad Mursaleen Afzal _x000a_CNIC No: 42201-1397768-1_x000a_Phone No: 03333951703"/>
    <m/>
    <s v="SUZUKI ALTO VXL"/>
    <s v="BXR-129"/>
    <s v="6R251729"/>
    <s v="NF1AET306H1151000"/>
    <s v="2022"/>
    <m/>
    <m/>
    <s v=" D"/>
    <s v="09000210-Tariq Shahzad"/>
    <n v="-1"/>
    <n v="-4287"/>
    <n v="-38"/>
    <n v="0"/>
    <n v="0"/>
    <n v="-4325"/>
    <n v="0"/>
    <n v="0"/>
    <n v="-4325"/>
    <n v="0"/>
    <n v="-4325"/>
    <m/>
    <m/>
    <m/>
    <s v="Syed Waqas"/>
    <m/>
    <m/>
    <m/>
  </r>
  <r>
    <n v="2137"/>
    <x v="311"/>
    <x v="24"/>
    <s v=" -"/>
    <s v=" MOTOR"/>
    <d v="2024-05-08T00:00:00"/>
    <d v="2024-05-05T00:00:00"/>
    <d v="2025-05-04T00:00:00"/>
    <s v=" 08811094"/>
    <s v="Mr. Muhammad Shahid_x000a_CNIC: 4130368457729_x000a_Cell: 0300-3015679"/>
    <m/>
    <s v="HONDA BRV - S"/>
    <s v="BG-3227"/>
    <s v="NFBDG1825HR00224"/>
    <s v="L15Z13502221"/>
    <s v="2017"/>
    <m/>
    <m/>
    <s v=" D"/>
    <s v="09000387-Gulnaz Fatima"/>
    <n v="-1"/>
    <n v="0"/>
    <n v="0"/>
    <n v="0"/>
    <n v="50"/>
    <n v="50"/>
    <n v="0"/>
    <n v="0"/>
    <n v="50"/>
    <n v="0"/>
    <n v="50"/>
    <m/>
    <m/>
    <m/>
    <s v="Maria Tauqeer Qazi"/>
    <m/>
    <m/>
    <s v="Shahid.bawany@hbl.com"/>
  </r>
  <r>
    <n v="2138"/>
    <x v="311"/>
    <x v="1510"/>
    <s v=" -"/>
    <s v=" MOTOR"/>
    <d v="2024-06-06T00:00:00"/>
    <d v="2024-05-05T00:00:00"/>
    <d v="2025-05-04T00:00:00"/>
    <s v=" 08811094"/>
    <s v="Mr. Muhammad Shahid_x000a_CNIC: 4130368457729_x000a_Cell: 0300-3015679"/>
    <m/>
    <s v="HONDA BRV - S"/>
    <s v="BG-3227"/>
    <s v="NFBDG1825HR00224"/>
    <s v="L15Z13502221"/>
    <s v="2017"/>
    <m/>
    <m/>
    <s v=" D"/>
    <s v="09000387-Gulnaz Fatima"/>
    <n v="3100000"/>
    <n v="388"/>
    <n v="4"/>
    <n v="50"/>
    <n v="0"/>
    <n v="442"/>
    <n v="0"/>
    <n v="0"/>
    <n v="442"/>
    <n v="0"/>
    <n v="442"/>
    <m/>
    <m/>
    <m/>
    <s v="Maria Tauqeer Qazi"/>
    <n v="104.06"/>
    <n v="104.06"/>
    <m/>
  </r>
  <r>
    <n v="2139"/>
    <x v="311"/>
    <x v="1511"/>
    <s v=" -"/>
    <s v=" MOTOR"/>
    <d v="2024-07-05T00:00:00"/>
    <d v="2024-05-05T00:00:00"/>
    <d v="2025-05-04T00:00:00"/>
    <s v=" 08811094"/>
    <s v="Mr. Muhammad Shahid_x000a_CNIC: 4130368457729_x000a_Cell: 0300-3015679"/>
    <m/>
    <s v="HONDA BRV - S"/>
    <s v="BG-3227"/>
    <s v="NFBDG1825HR00224"/>
    <s v="L15Z13502221"/>
    <s v="2017"/>
    <m/>
    <m/>
    <s v=" D"/>
    <s v="09000387-Gulnaz Fatima"/>
    <n v="3100000"/>
    <n v="1111"/>
    <n v="11"/>
    <n v="167"/>
    <n v="0"/>
    <n v="1289"/>
    <n v="0"/>
    <n v="0"/>
    <n v="1289"/>
    <n v="0"/>
    <n v="1289"/>
    <m/>
    <m/>
    <m/>
    <s v="Maria Tauqeer Qazi"/>
    <n v="308"/>
    <n v="304.29000000000002"/>
    <m/>
  </r>
  <r>
    <n v="2140"/>
    <x v="311"/>
    <x v="1512"/>
    <s v=" -"/>
    <s v=" MOTOR"/>
    <d v="2024-08-07T00:00:00"/>
    <d v="2024-05-05T00:00:00"/>
    <d v="2025-05-04T00:00:00"/>
    <s v=" 08811094"/>
    <s v="Mr. Muhammad Shahid_x000a_CNIC: 4130368457729_x000a_Cell: 0300-3015679"/>
    <m/>
    <s v="HONDA BRV - S"/>
    <s v="BG-3227"/>
    <s v="NFBDG1825HR00224"/>
    <s v="L15Z13502221"/>
    <s v="2017"/>
    <m/>
    <m/>
    <s v=" D"/>
    <s v="09000387-Gulnaz Fatima"/>
    <n v="3100000"/>
    <n v="339"/>
    <n v="3"/>
    <n v="51"/>
    <n v="0"/>
    <n v="393"/>
    <n v="0"/>
    <n v="0"/>
    <n v="393"/>
    <n v="0"/>
    <n v="393"/>
    <m/>
    <m/>
    <m/>
    <s v="Maria Tauqeer Qazi"/>
    <n v="92.419999999999987"/>
    <n v="92.419999999999987"/>
    <m/>
  </r>
  <r>
    <n v="2141"/>
    <x v="311"/>
    <x v="1513"/>
    <s v=" -"/>
    <s v=" MOTOR"/>
    <d v="2024-10-31T00:00:00"/>
    <d v="2024-05-05T00:00:00"/>
    <d v="2025-05-04T00:00:00"/>
    <s v=" 08811094"/>
    <s v="Mr. Muhammad Shahid_x000a_CNIC: 4130368457729_x000a_Cell: 0300-3015679"/>
    <m/>
    <s v="HONDA BRV - S"/>
    <s v="BG-3227"/>
    <s v="NFBDG1825HR00224"/>
    <s v="L15Z13502221"/>
    <s v="2017"/>
    <m/>
    <m/>
    <s v=" D"/>
    <s v="09000387-Gulnaz Fatima"/>
    <n v="-1"/>
    <n v="-1907"/>
    <n v="-19"/>
    <n v="-248"/>
    <n v="0"/>
    <n v="-2174"/>
    <n v="0"/>
    <n v="0"/>
    <n v="-2174"/>
    <n v="0"/>
    <n v="-2174"/>
    <m/>
    <m/>
    <m/>
    <s v="Maria Tauqeer Qazi"/>
    <m/>
    <m/>
    <m/>
  </r>
  <r>
    <n v="2142"/>
    <x v="312"/>
    <x v="1514"/>
    <s v=" -"/>
    <s v=" MOTOR"/>
    <d v="2024-07-09T00:00:00"/>
    <d v="2024-05-07T00:00:00"/>
    <d v="2025-05-06T00:00:00"/>
    <s v=" 08817383"/>
    <s v="Mian Shehryar_x000a_CNIC: 32102-2297310-1_x000a_Phone Number: +92 300 4001913"/>
    <m/>
    <s v="SUZUKI ALTO"/>
    <s v="AJM-197"/>
    <s v="6R224115"/>
    <s v="NF1AET306H1124078"/>
    <s v="2022"/>
    <m/>
    <m/>
    <s v=" D"/>
    <s v="09000210-Tariq Shahzad"/>
    <n v="2600000"/>
    <n v="2365"/>
    <n v="24"/>
    <n v="355"/>
    <n v="0"/>
    <n v="2744"/>
    <n v="0"/>
    <n v="0"/>
    <n v="2744"/>
    <n v="0"/>
    <n v="2744"/>
    <m/>
    <m/>
    <m/>
    <s v="Syed Waqas"/>
    <n v="2976.4900000001585"/>
    <n v="771.08"/>
    <m/>
  </r>
  <r>
    <n v="2143"/>
    <x v="312"/>
    <x v="1515"/>
    <s v=" -"/>
    <s v=" MOTOR"/>
    <d v="2024-11-08T00:00:00"/>
    <d v="2024-05-07T00:00:00"/>
    <d v="2025-05-06T00:00:00"/>
    <s v=" 08817383"/>
    <s v="Mian Shehryar_x000a_CNIC: 32102-2297310-1_x000a_Phone Number: +92 300 4001913"/>
    <m/>
    <s v="SUZUKI ALTO"/>
    <s v="AJM-197"/>
    <s v="6R224115"/>
    <s v="NF1AET306H1124078"/>
    <s v="2022"/>
    <m/>
    <m/>
    <s v=" D"/>
    <s v="09000210-Tariq Shahzad"/>
    <n v="2600000"/>
    <n v="3553"/>
    <n v="36"/>
    <n v="533"/>
    <n v="0"/>
    <n v="4122"/>
    <n v="0"/>
    <n v="0"/>
    <n v="4122"/>
    <n v="0"/>
    <n v="4122"/>
    <m/>
    <m/>
    <m/>
    <s v="Syed Waqas"/>
    <n v="1391.3500000000013"/>
    <n v="1158.8700000000001"/>
    <m/>
  </r>
  <r>
    <n v="2144"/>
    <x v="312"/>
    <x v="1516"/>
    <s v=" -"/>
    <s v=" MOTOR"/>
    <d v="2024-12-09T00:00:00"/>
    <d v="2024-05-07T00:00:00"/>
    <d v="2025-05-06T00:00:00"/>
    <s v=" 08817383"/>
    <s v="Mian Shehryar_x000a_CNIC: 32102-2297310-1_x000a_Phone Number: +92 300 4001913"/>
    <m/>
    <s v="SUZUKI ALTO"/>
    <s v="AJM-197"/>
    <s v="6R224115"/>
    <s v="NF1AET306H1124078"/>
    <s v="2022"/>
    <m/>
    <m/>
    <s v=" D"/>
    <s v="09000210-Tariq Shahzad"/>
    <n v="2600000"/>
    <n v="2891"/>
    <n v="29"/>
    <n v="434"/>
    <n v="0"/>
    <n v="3354"/>
    <n v="0"/>
    <n v="0"/>
    <n v="3354"/>
    <n v="0"/>
    <n v="3354"/>
    <m/>
    <m/>
    <m/>
    <s v="Syed Waqas"/>
    <n v="1124.4899999999991"/>
    <n v="942.44"/>
    <m/>
  </r>
  <r>
    <n v="2145"/>
    <x v="312"/>
    <x v="1517"/>
    <s v=" -"/>
    <s v=" MOTOR"/>
    <d v="2024-12-29T00:00:00"/>
    <d v="2024-05-07T00:00:00"/>
    <d v="2025-05-06T00:00:00"/>
    <s v=" 08817383"/>
    <s v="Mian Shehryar_x000a_CNIC: 32102-2297310-1_x000a_Phone Number: +92 300 4001913"/>
    <m/>
    <s v="SUZUKI ALTO"/>
    <s v="AJM-197"/>
    <s v="6R224115"/>
    <s v="NF1AET306H1124078"/>
    <s v="2022"/>
    <m/>
    <m/>
    <s v=" D"/>
    <s v="09000210-Tariq Shahzad"/>
    <n v="-1"/>
    <n v="-10119"/>
    <n v="-101"/>
    <n v="0"/>
    <n v="0"/>
    <n v="-10220"/>
    <n v="0"/>
    <n v="0"/>
    <n v="-10220"/>
    <n v="0"/>
    <n v="-10220"/>
    <m/>
    <m/>
    <m/>
    <s v="Syed Waqas"/>
    <m/>
    <m/>
    <m/>
  </r>
  <r>
    <n v="2148"/>
    <x v="313"/>
    <x v="24"/>
    <s v=" -"/>
    <s v=" MOTOR"/>
    <d v="2024-05-12T00:00:00"/>
    <d v="2024-05-13T00:00:00"/>
    <d v="2025-05-12T00:00:00"/>
    <s v=" 08811209"/>
    <s v="Muhammad Musharraf Kaleem_x000a_CNIC: 42501-8793790-9_x000a_Phone Number: 0332-3263250"/>
    <m/>
    <s v="SUZUKI ALTO VX"/>
    <s v="BWQ-173"/>
    <s v="6R229466"/>
    <s v="NF1AET306H1129439"/>
    <s v="2022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musharrafkaleem@yahoo.com"/>
  </r>
  <r>
    <n v="2149"/>
    <x v="313"/>
    <x v="1518"/>
    <s v=" -"/>
    <s v=" MOTOR"/>
    <d v="2024-06-13T00:00:00"/>
    <d v="2024-05-13T00:00:00"/>
    <d v="2025-05-12T00:00:00"/>
    <s v=" 08811209"/>
    <s v="Muhammad Musharraf Kaleem_x000a_CNIC: 42501-8793790-9_x000a_Phone Number: 0332-3263250"/>
    <m/>
    <s v="SUZUKI ALTO VX"/>
    <s v="BWQ-173"/>
    <s v="6R229466"/>
    <s v="NF1AET306H1129439"/>
    <s v="2022"/>
    <m/>
    <m/>
    <s v=" D"/>
    <s v="09000221-Muhammad Irfan"/>
    <n v="1800000"/>
    <n v="1327"/>
    <n v="13"/>
    <n v="172"/>
    <n v="0"/>
    <n v="1512"/>
    <n v="0"/>
    <n v="0"/>
    <n v="1512"/>
    <n v="0"/>
    <n v="1512"/>
    <m/>
    <m/>
    <m/>
    <s v="Maria Tauqeer Qazi"/>
    <n v="983.74000000000103"/>
    <n v="612.61"/>
    <m/>
  </r>
  <r>
    <n v="2150"/>
    <x v="313"/>
    <x v="1519"/>
    <s v=" -"/>
    <s v=" MOTOR"/>
    <d v="2024-10-31T00:00:00"/>
    <d v="2024-05-13T00:00:00"/>
    <d v="2025-05-12T00:00:00"/>
    <s v=" 08811209"/>
    <s v="Muhammad Musharraf Kaleem_x000a_CNIC: 42501-8793790-9_x000a_Phone Number: 0332-3263250"/>
    <m/>
    <s v="SUZUKI ALTO VX"/>
    <s v="BWQ-173"/>
    <s v="6R229466"/>
    <s v="NF1AET306H1129439"/>
    <s v="2022"/>
    <m/>
    <m/>
    <s v=" D"/>
    <s v="09000221-Muhammad Irfan"/>
    <n v="-1"/>
    <n v="-1370"/>
    <n v="-14"/>
    <n v="-178"/>
    <n v="0"/>
    <n v="-1562"/>
    <n v="0"/>
    <n v="0"/>
    <n v="-1562"/>
    <n v="0"/>
    <n v="-1562"/>
    <m/>
    <m/>
    <m/>
    <s v="Maria Tauqeer Qazi"/>
    <m/>
    <m/>
    <m/>
  </r>
  <r>
    <n v="2151"/>
    <x v="314"/>
    <x v="1520"/>
    <s v=" -"/>
    <s v=" MOTOR"/>
    <d v="2024-11-15T00:00:00"/>
    <d v="2024-05-14T00:00:00"/>
    <d v="2025-05-13T00:00:00"/>
    <s v=" 08804109"/>
    <s v="Ms. Sabiha Aziz Sadik_x000a_CNIC: 42301-0892835-4_x000a_Cell No: 03220880354"/>
    <m/>
    <s v="MITSUBISHI EK Wagon"/>
    <s v="BVC-037"/>
    <s v="3B20-NS2666"/>
    <s v="B11W-0528112"/>
    <s v="2019"/>
    <m/>
    <m/>
    <s v=" D"/>
    <s v="09000210-Tariq Shahzad"/>
    <n v="3000000"/>
    <n v="2940"/>
    <n v="29"/>
    <n v="441"/>
    <n v="0"/>
    <n v="3410"/>
    <n v="0"/>
    <n v="0"/>
    <n v="3410"/>
    <n v="0"/>
    <n v="3410"/>
    <m/>
    <m/>
    <m/>
    <s v="Syed Waqas"/>
    <n v="865.44"/>
    <n v="829.94"/>
    <m/>
  </r>
  <r>
    <n v="2152"/>
    <x v="314"/>
    <x v="1521"/>
    <s v=" -"/>
    <s v=" MOTOR"/>
    <d v="2024-12-16T00:00:00"/>
    <d v="2024-05-14T00:00:00"/>
    <d v="2025-05-13T00:00:00"/>
    <s v=" 08804109"/>
    <s v="Ms. Sabiha Aziz Sadik_x000a_CNIC: 42301-0892835-4_x000a_Cell No: 03220880354"/>
    <m/>
    <s v="MITSUBISHI EK Wagon"/>
    <s v="BVC-037"/>
    <s v="3B20-NS2666"/>
    <s v="B11W-0528112"/>
    <s v="2019"/>
    <m/>
    <m/>
    <s v=" D"/>
    <s v="09000210-Tariq Shahzad"/>
    <n v="3000000"/>
    <n v="2530"/>
    <n v="25"/>
    <n v="380"/>
    <n v="0"/>
    <n v="2935"/>
    <n v="0"/>
    <n v="0"/>
    <n v="2935"/>
    <n v="0"/>
    <n v="2935"/>
    <m/>
    <m/>
    <m/>
    <s v="Syed Waqas"/>
    <n v="756.2"/>
    <n v="714.14"/>
    <m/>
  </r>
  <r>
    <n v="2153"/>
    <x v="314"/>
    <x v="1522"/>
    <s v=" -"/>
    <s v=" MOTOR"/>
    <d v="2024-12-29T00:00:00"/>
    <d v="2024-05-14T00:00:00"/>
    <d v="2025-05-13T00:00:00"/>
    <s v=" 08804109"/>
    <s v="Ms. Sabiha Aziz Sadik_x000a_CNIC: 42301-0892835-4_x000a_Cell No: 03220880354"/>
    <m/>
    <s v="MITSUBISHI EK Wagon"/>
    <s v="BVC-037"/>
    <s v="3B20-NS2666"/>
    <s v="B11W-0528112"/>
    <s v="2019"/>
    <m/>
    <m/>
    <s v=" D"/>
    <s v="09000210-Tariq Shahzad"/>
    <n v="-1"/>
    <n v="-6282"/>
    <n v="-63"/>
    <n v="0"/>
    <n v="0"/>
    <n v="-6345"/>
    <n v="0"/>
    <n v="0"/>
    <n v="-6345"/>
    <n v="0"/>
    <n v="-6345"/>
    <m/>
    <m/>
    <m/>
    <s v="Syed Waqas"/>
    <m/>
    <m/>
    <m/>
  </r>
  <r>
    <n v="2172"/>
    <x v="315"/>
    <x v="1523"/>
    <s v=" -"/>
    <s v=" MOTOR"/>
    <d v="2024-07-19T00:00:00"/>
    <d v="2024-05-17T00:00:00"/>
    <d v="2025-05-16T00:00:00"/>
    <s v=" 08817540"/>
    <s v="Mr. Nadeem Khalid_x000a_CNIC: 33100-0946228-1_x000a_Cell No: 03219663878"/>
    <m/>
    <s v="SUZUKI ALTO VXL"/>
    <s v="BZU-870"/>
    <s v="6R306524"/>
    <s v="NF1AET306H1206541"/>
    <s v="2024"/>
    <m/>
    <m/>
    <s v=" D"/>
    <s v="09000210-Tariq Shahzad"/>
    <n v="3055000"/>
    <n v="3409"/>
    <n v="34"/>
    <n v="511"/>
    <n v="0"/>
    <n v="3954"/>
    <n v="3655"/>
    <n v="0"/>
    <n v="299"/>
    <n v="0"/>
    <n v="299"/>
    <m/>
    <m/>
    <m/>
    <s v="Syed Waqas"/>
    <n v="1125.7800000000009"/>
    <n v="945.59000000000106"/>
    <m/>
  </r>
  <r>
    <n v="2173"/>
    <x v="315"/>
    <x v="1524"/>
    <s v=" -"/>
    <s v=" MOTOR"/>
    <d v="2024-08-20T00:00:00"/>
    <d v="2024-05-17T00:00:00"/>
    <d v="2025-05-16T00:00:00"/>
    <s v=" 08817540"/>
    <s v="Mr. Nadeem Khalid_x000a_CNIC: 33100-0946228-1_x000a_Cell No: 03219663878"/>
    <m/>
    <s v="SUZUKI ALTO VXL"/>
    <s v="BZU-870"/>
    <s v="6R306524"/>
    <s v="NF1AET306H1206541"/>
    <s v="2024"/>
    <m/>
    <m/>
    <s v=" D"/>
    <s v="09000210-Tariq Shahzad"/>
    <n v="3055000"/>
    <n v="3987"/>
    <n v="40"/>
    <n v="598"/>
    <n v="0"/>
    <n v="4625"/>
    <n v="0"/>
    <n v="0"/>
    <n v="4625"/>
    <n v="0"/>
    <n v="4625"/>
    <m/>
    <m/>
    <m/>
    <s v="Syed Waqas"/>
    <n v="1305.3300000000022"/>
    <n v="1106.02"/>
    <m/>
  </r>
  <r>
    <n v="2174"/>
    <x v="315"/>
    <x v="1525"/>
    <s v=" -"/>
    <s v=" MOTOR"/>
    <d v="2024-09-24T00:00:00"/>
    <d v="2024-05-17T00:00:00"/>
    <d v="2025-05-16T00:00:00"/>
    <s v=" 08817540"/>
    <s v="Mr. Nadeem Khalid_x000a_CNIC: 33100-0946228-1_x000a_Cell No: 03219663878"/>
    <m/>
    <s v="SUZUKI ALTO VXL"/>
    <s v="BZU-870"/>
    <s v="6R306524"/>
    <s v="NF1AET306H1206541"/>
    <s v="2024"/>
    <m/>
    <m/>
    <s v=" D"/>
    <s v="09000210-Tariq Shahzad"/>
    <n v="3055000"/>
    <n v="3688"/>
    <n v="37"/>
    <n v="553"/>
    <n v="0"/>
    <n v="4278"/>
    <n v="0"/>
    <n v="0"/>
    <n v="4278"/>
    <n v="0"/>
    <n v="4278"/>
    <m/>
    <m/>
    <m/>
    <s v="Syed Waqas"/>
    <n v="1202.6000000000031"/>
    <n v="1023.0200000000011"/>
    <m/>
  </r>
  <r>
    <n v="2175"/>
    <x v="315"/>
    <x v="1526"/>
    <s v=" -"/>
    <s v=" MOTOR"/>
    <d v="2024-10-21T00:00:00"/>
    <d v="2024-05-17T00:00:00"/>
    <d v="2025-05-16T00:00:00"/>
    <s v=" 08817540"/>
    <s v="Mr. Nadeem Khalid_x000a_CNIC: 33100-0946228-1_x000a_Cell No: 03219663878"/>
    <m/>
    <s v="SUZUKI ALTO VXL"/>
    <s v="BZU-870"/>
    <s v="6R306524"/>
    <s v="NF1AET306H1206541"/>
    <s v="2024"/>
    <m/>
    <m/>
    <s v=" D"/>
    <s v="09000210-Tariq Shahzad"/>
    <n v="3055000"/>
    <n v="3721"/>
    <n v="37"/>
    <n v="558"/>
    <n v="0"/>
    <n v="4316"/>
    <n v="0"/>
    <n v="0"/>
    <n v="4316"/>
    <n v="0"/>
    <n v="4316"/>
    <m/>
    <m/>
    <m/>
    <s v="Syed Waqas"/>
    <n v="1178.300000000002"/>
    <n v="1031.610000000001"/>
    <m/>
  </r>
  <r>
    <n v="2176"/>
    <x v="315"/>
    <x v="1527"/>
    <s v=" -"/>
    <s v=" MOTOR"/>
    <d v="2024-11-18T00:00:00"/>
    <d v="2024-05-17T00:00:00"/>
    <d v="2025-05-16T00:00:00"/>
    <s v=" 08817540"/>
    <s v="Mr. Nadeem Khalid_x000a_CNIC: 33100-0946228-1_x000a_Cell No: 03219663878"/>
    <m/>
    <s v="SUZUKI ALTO VXL"/>
    <s v="BZU-870"/>
    <s v="6R306524"/>
    <s v="NF1AET306H1206541"/>
    <s v="2024"/>
    <m/>
    <m/>
    <s v=" D"/>
    <s v="09000210-Tariq Shahzad"/>
    <n v="3055000"/>
    <n v="3764"/>
    <n v="38"/>
    <n v="565"/>
    <n v="0"/>
    <n v="4367"/>
    <n v="0"/>
    <n v="0"/>
    <n v="4367"/>
    <n v="0"/>
    <n v="4367"/>
    <m/>
    <m/>
    <m/>
    <s v="Syed Waqas"/>
    <n v="1230.6800000000021"/>
    <n v="1044.140000000001"/>
    <m/>
  </r>
  <r>
    <n v="2177"/>
    <x v="315"/>
    <x v="1528"/>
    <s v=" -"/>
    <s v=" MOTOR"/>
    <d v="2024-12-18T00:00:00"/>
    <d v="2024-05-17T00:00:00"/>
    <d v="2025-05-16T00:00:00"/>
    <s v=" 08817540"/>
    <s v="Mr. Nadeem Khalid_x000a_CNIC: 33100-0946228-1_x000a_Cell No: 03219663878"/>
    <m/>
    <s v="SUZUKI ALTO VXL"/>
    <s v="BZU-870"/>
    <s v="6R306524"/>
    <s v="NF1AET306H1206541"/>
    <s v="2024"/>
    <m/>
    <m/>
    <s v=" D"/>
    <s v="09000210-Tariq Shahzad"/>
    <n v="3055000"/>
    <n v="4111"/>
    <n v="41"/>
    <n v="617"/>
    <n v="0"/>
    <n v="4769"/>
    <n v="0"/>
    <n v="0"/>
    <n v="4769"/>
    <n v="0"/>
    <n v="4769"/>
    <m/>
    <m/>
    <m/>
    <s v="Syed Waqas"/>
    <n v="1405.3900000000021"/>
    <n v="1140.850000000001"/>
    <m/>
  </r>
  <r>
    <n v="2178"/>
    <x v="315"/>
    <x v="1529"/>
    <s v=" -"/>
    <s v=" MOTOR"/>
    <d v="2024-12-29T00:00:00"/>
    <d v="2024-05-17T00:00:00"/>
    <d v="2025-05-16T00:00:00"/>
    <s v=" 08817540"/>
    <s v="Mr. Nadeem Khalid_x000a_CNIC: 33100-0946228-1_x000a_Cell No: 03219663878"/>
    <m/>
    <s v="SUZUKI ALTO VXL"/>
    <s v="BZU-870"/>
    <s v="6R306524"/>
    <s v="NF1AET306H1206541"/>
    <s v="2024"/>
    <m/>
    <m/>
    <s v=" D"/>
    <s v="09000210-Tariq Shahzad"/>
    <n v="-1"/>
    <n v="-22430"/>
    <n v="-224"/>
    <n v="0"/>
    <n v="0"/>
    <n v="-22654"/>
    <n v="0"/>
    <n v="0"/>
    <n v="-22654"/>
    <n v="0"/>
    <n v="-22654"/>
    <m/>
    <m/>
    <m/>
    <s v="Syed Waqas"/>
    <m/>
    <m/>
    <m/>
  </r>
  <r>
    <n v="2202"/>
    <x v="316"/>
    <x v="24"/>
    <s v=" -"/>
    <s v=" MOTOR"/>
    <d v="2024-05-25T00:00:00"/>
    <d v="2024-05-26T00:00:00"/>
    <d v="2025-05-25T00:00:00"/>
    <s v=" 08811480"/>
    <s v="Razia Raheem _x000a_CNIC No. 41303-1988030-0_x000a_Cell No. 0303-2857410"/>
    <m/>
    <s v="SUZUKI ALTO VXR"/>
    <s v="BXT-481"/>
    <s v="6R249908"/>
    <s v="NF1AET306H1149971"/>
    <s v="2022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saeedlakhandildar@gmail.com"/>
  </r>
  <r>
    <n v="2203"/>
    <x v="316"/>
    <x v="1530"/>
    <s v=" -"/>
    <s v=" MOTOR"/>
    <d v="2024-06-26T00:00:00"/>
    <d v="2024-05-26T00:00:00"/>
    <d v="2025-05-25T00:00:00"/>
    <s v=" 08811480"/>
    <s v="Razia Raheem _x000a_CNIC No. 41303-1988030-0_x000a_Cell No. 0303-2857410"/>
    <m/>
    <s v="SUZUKI ALTO VXR"/>
    <s v="BXT-481"/>
    <s v="6R249908"/>
    <s v="NF1AET306H1149971"/>
    <s v="2022"/>
    <m/>
    <m/>
    <s v=" D"/>
    <s v="09000221-Muhammad Irfan"/>
    <n v="2500000"/>
    <n v="2465"/>
    <n v="25"/>
    <n v="320"/>
    <n v="0"/>
    <n v="2810"/>
    <n v="0"/>
    <n v="0"/>
    <n v="2810"/>
    <n v="0"/>
    <n v="2810"/>
    <m/>
    <m/>
    <m/>
    <s v="Maria Tauqeer Qazi"/>
    <n v="1037.98"/>
    <n v="821.18"/>
    <m/>
  </r>
  <r>
    <n v="2204"/>
    <x v="316"/>
    <x v="1531"/>
    <s v=" -"/>
    <s v=" MOTOR"/>
    <d v="2024-07-27T00:00:00"/>
    <d v="2024-05-26T00:00:00"/>
    <d v="2025-05-25T00:00:00"/>
    <s v=" 08811480"/>
    <s v="Razia Raheem _x000a_CNIC No. 41303-1988030-0_x000a_Cell No. 0303-2857410"/>
    <m/>
    <s v="SUZUKI ALTO VXR"/>
    <s v="BXT-481"/>
    <s v="6R249908"/>
    <s v="NF1AET306H1149971"/>
    <s v="2022"/>
    <m/>
    <m/>
    <s v=" D"/>
    <s v="09000221-Muhammad Irfan"/>
    <n v="2500000"/>
    <n v="2723"/>
    <n v="27"/>
    <n v="408"/>
    <n v="0"/>
    <n v="3158"/>
    <n v="0"/>
    <n v="0"/>
    <n v="3158"/>
    <n v="0"/>
    <n v="3158"/>
    <m/>
    <m/>
    <m/>
    <s v="Maria Tauqeer Qazi"/>
    <n v="2216.0300000000811"/>
    <n v="922.49000000000103"/>
    <m/>
  </r>
  <r>
    <n v="2205"/>
    <x v="316"/>
    <x v="1532"/>
    <s v=" -"/>
    <s v=" MOTOR"/>
    <d v="2024-08-31T00:00:00"/>
    <d v="2024-05-26T00:00:00"/>
    <d v="2025-05-25T00:00:00"/>
    <s v=" 08811480"/>
    <s v="Razia Raheem _x000a_CNIC No. 41303-1988030-0_x000a_Cell No. 0303-2857410"/>
    <m/>
    <s v="SUZUKI ALTO VXR"/>
    <s v="BXT-481"/>
    <s v="6R249908"/>
    <s v="NF1AET306H1149971"/>
    <s v="2022"/>
    <m/>
    <m/>
    <s v=" D"/>
    <s v="09000221-Muhammad Irfan"/>
    <n v="2500000"/>
    <n v="1671"/>
    <n v="17"/>
    <n v="251"/>
    <n v="0"/>
    <n v="1939"/>
    <n v="0"/>
    <n v="0"/>
    <n v="1939"/>
    <n v="0"/>
    <n v="1939"/>
    <m/>
    <m/>
    <m/>
    <s v="Maria Tauqeer Qazi"/>
    <n v="725.89999999999895"/>
    <n v="566.20000000000005"/>
    <m/>
  </r>
  <r>
    <n v="2206"/>
    <x v="316"/>
    <x v="1533"/>
    <s v=" -"/>
    <s v=" MOTOR"/>
    <d v="2025-03-29T00:00:00"/>
    <d v="2024-05-26T00:00:00"/>
    <d v="2025-05-25T00:00:00"/>
    <s v=" 08811480"/>
    <s v="Razia Raheem _x000a_CNIC No. 41303-1988030-0_x000a_Cell No. 0303-2857410"/>
    <m/>
    <s v="SUZUKI ALTO VXR"/>
    <s v="BXT-481"/>
    <s v="6R249908"/>
    <s v="NF1AET306H1149971"/>
    <s v="2022"/>
    <m/>
    <m/>
    <s v=" D"/>
    <s v="09000221-Muhammad Irfan"/>
    <n v="-1"/>
    <n v="-7887"/>
    <n v="-70"/>
    <n v="0"/>
    <n v="0"/>
    <n v="-7957"/>
    <n v="0"/>
    <n v="0"/>
    <n v="-7957"/>
    <n v="0"/>
    <n v="-7957"/>
    <m/>
    <m/>
    <m/>
    <s v="Maria Tauqeer Qazi"/>
    <m/>
    <m/>
    <m/>
  </r>
  <r>
    <n v="2207"/>
    <x v="317"/>
    <x v="1534"/>
    <s v=" -"/>
    <s v=" MOTOR"/>
    <d v="2024-07-02T00:00:00"/>
    <d v="2024-05-30T00:00:00"/>
    <d v="2025-05-29T00:00:00"/>
    <s v=" 08810918"/>
    <s v="Mr. Rumman Bin Sadiq_x000a_CNIC: 35202-2036552-5_x000a_Phone Number: 03042454074"/>
    <m/>
    <s v="CHANGAN Changan OSHAN X7"/>
    <s v="BAG-253"/>
    <s v="473ZQ7NN8AH158828"/>
    <s v="NKMASE2E6N1001753"/>
    <s v="2022"/>
    <m/>
    <m/>
    <s v=" D"/>
    <s v="09000210-Tariq Shahzad"/>
    <n v="8000000"/>
    <n v="5385"/>
    <n v="54"/>
    <n v="701"/>
    <n v="0"/>
    <n v="6140"/>
    <n v="0"/>
    <n v="0"/>
    <n v="6140"/>
    <n v="0"/>
    <n v="6140"/>
    <m/>
    <m/>
    <m/>
    <s v="Syed Waqas"/>
    <n v="833.19"/>
    <n v="560.18000000000006"/>
    <m/>
  </r>
  <r>
    <n v="2208"/>
    <x v="317"/>
    <x v="1535"/>
    <s v=" -"/>
    <s v=" MOTOR"/>
    <d v="2024-09-03T00:00:00"/>
    <d v="2024-05-30T00:00:00"/>
    <d v="2025-05-29T00:00:00"/>
    <s v=" 08810918"/>
    <s v="Mr. Rumman Bin Sadiq_x000a_CNIC: 35202-2036552-5_x000a_Phone Number: 03042454074"/>
    <m/>
    <s v="CHANGAN Changan OSHAN X7"/>
    <s v="BAG-253"/>
    <s v="473ZQ7NN8AH158828"/>
    <s v="NKMASE2E6N1001753"/>
    <s v="2022"/>
    <m/>
    <m/>
    <s v=" D"/>
    <s v="09000210-Tariq Shahzad"/>
    <n v="8000000"/>
    <n v="2890"/>
    <n v="29"/>
    <n v="434"/>
    <n v="0"/>
    <n v="3353"/>
    <n v="0"/>
    <n v="0"/>
    <n v="3353"/>
    <n v="0"/>
    <n v="3353"/>
    <m/>
    <m/>
    <m/>
    <s v="Syed Waqas"/>
    <n v="306.16000000000003"/>
    <n v="306.16000000000003"/>
    <m/>
  </r>
  <r>
    <n v="2209"/>
    <x v="317"/>
    <x v="1536"/>
    <s v=" -"/>
    <s v=" MOTOR"/>
    <d v="2024-09-03T00:00:00"/>
    <d v="2024-05-30T00:00:00"/>
    <d v="2025-05-29T00:00:00"/>
    <s v=" 08810918"/>
    <s v="Mr. Rumman Bin Sadiq_x000a_CNIC: 35202-2036552-5_x000a_Phone Number: 03042454074"/>
    <m/>
    <s v="CHANGAN Changan OSHAN X7"/>
    <s v="BAG-253"/>
    <s v="473ZQ7NN8AH158828"/>
    <s v="NKMASE2E6N1001753"/>
    <s v="2022"/>
    <m/>
    <m/>
    <s v=" D"/>
    <s v="09000210-Tariq Shahzad"/>
    <n v="8000000"/>
    <n v="5981"/>
    <n v="60"/>
    <n v="897"/>
    <n v="0"/>
    <n v="6938"/>
    <n v="0"/>
    <n v="0"/>
    <n v="6938"/>
    <n v="0"/>
    <n v="6938"/>
    <m/>
    <m/>
    <m/>
    <s v="Syed Waqas"/>
    <n v="1902.4500000000301"/>
    <n v="633.18000000000006"/>
    <m/>
  </r>
  <r>
    <n v="2210"/>
    <x v="317"/>
    <x v="1537"/>
    <s v=" -"/>
    <s v=" MOTOR"/>
    <d v="2024-10-05T00:00:00"/>
    <d v="2024-05-30T00:00:00"/>
    <d v="2025-05-29T00:00:00"/>
    <s v=" 08810918"/>
    <s v="Mr. Rumman Bin Sadiq_x000a_CNIC: 35202-2036552-5_x000a_Phone Number: 03042454074"/>
    <m/>
    <s v="CHANGAN Changan OSHAN X7"/>
    <s v="BAG-253"/>
    <s v="473ZQ7NN8AH158828"/>
    <s v="NKMASE2E6N1001753"/>
    <s v="2022"/>
    <m/>
    <m/>
    <s v=" D"/>
    <s v="09000210-Tariq Shahzad"/>
    <n v="8000000"/>
    <n v="3156"/>
    <n v="32"/>
    <n v="474"/>
    <n v="0"/>
    <n v="3662"/>
    <n v="0"/>
    <n v="0"/>
    <n v="3662"/>
    <n v="0"/>
    <n v="3662"/>
    <m/>
    <m/>
    <m/>
    <s v="Syed Waqas"/>
    <n v="686.48000000001502"/>
    <n v="334.17000000000007"/>
    <m/>
  </r>
  <r>
    <n v="2211"/>
    <x v="317"/>
    <x v="1538"/>
    <s v=" -"/>
    <s v=" MOTOR"/>
    <d v="2024-11-01T00:00:00"/>
    <d v="2024-05-30T00:00:00"/>
    <d v="2025-05-29T00:00:00"/>
    <s v=" 08810918"/>
    <s v="Mr. Rumman Bin Sadiq_x000a_CNIC: 35202-2036552-5_x000a_Phone Number: 03042454074"/>
    <m/>
    <s v="CHANGAN Changan OSHAN X7"/>
    <s v="BAG-253"/>
    <s v="473ZQ7NN8AH158828"/>
    <s v="NKMASE2E6N1001753"/>
    <s v="2022"/>
    <m/>
    <m/>
    <s v=" D"/>
    <s v="09000210-Tariq Shahzad"/>
    <n v="8000000"/>
    <n v="5262"/>
    <n v="53"/>
    <n v="789"/>
    <n v="0"/>
    <n v="6104"/>
    <n v="0"/>
    <n v="0"/>
    <n v="6104"/>
    <n v="0"/>
    <n v="6104"/>
    <m/>
    <m/>
    <m/>
    <s v="Syed Waqas"/>
    <n v="1859.9400000000401"/>
    <n v="557"/>
    <m/>
  </r>
  <r>
    <n v="2212"/>
    <x v="317"/>
    <x v="1539"/>
    <s v=" -"/>
    <s v=" MOTOR"/>
    <d v="2024-12-02T00:00:00"/>
    <d v="2024-05-30T00:00:00"/>
    <d v="2025-05-29T00:00:00"/>
    <s v=" 08810918"/>
    <s v="Mr. Rumman Bin Sadiq_x000a_CNIC: 35202-2036552-5_x000a_Phone Number: 03042454074"/>
    <m/>
    <s v="CHANGAN Changan OSHAN X7"/>
    <s v="BAG-253"/>
    <s v="473ZQ7NN8AH158828"/>
    <s v="NKMASE2E6N1001753"/>
    <s v="2022"/>
    <m/>
    <m/>
    <s v=" D"/>
    <s v="09000210-Tariq Shahzad"/>
    <n v="8000000"/>
    <n v="1709"/>
    <n v="17"/>
    <n v="256"/>
    <n v="0"/>
    <n v="1982"/>
    <n v="0"/>
    <n v="0"/>
    <n v="1982"/>
    <n v="0"/>
    <n v="1982"/>
    <m/>
    <m/>
    <m/>
    <s v="Syed Waqas"/>
    <n v="496.50000000000296"/>
    <n v="180.82000000000005"/>
    <m/>
  </r>
  <r>
    <n v="2213"/>
    <x v="317"/>
    <x v="1540"/>
    <s v=" -"/>
    <s v=" MOTOR"/>
    <d v="2024-12-29T00:00:00"/>
    <d v="2024-05-30T00:00:00"/>
    <d v="2025-05-29T00:00:00"/>
    <s v=" 08810918"/>
    <s v="Mr. Rumman Bin Sadiq_x000a_CNIC: 35202-2036552-5_x000a_Phone Number: 03042454074"/>
    <m/>
    <s v="CHANGAN Changan OSHAN X7"/>
    <s v="BAG-253"/>
    <s v="473ZQ7NN8AH158828"/>
    <s v="NKMASE2E6N1001753"/>
    <s v="2022"/>
    <m/>
    <m/>
    <s v=" D"/>
    <s v="09000210-Tariq Shahzad"/>
    <n v="-1"/>
    <n v="-27900"/>
    <n v="-279"/>
    <n v="0"/>
    <n v="0"/>
    <n v="-28179"/>
    <n v="0"/>
    <n v="0"/>
    <n v="-28179"/>
    <n v="0"/>
    <n v="-28179"/>
    <m/>
    <m/>
    <m/>
    <s v="Syed Waqas"/>
    <m/>
    <m/>
    <m/>
  </r>
  <r>
    <n v="2216"/>
    <x v="318"/>
    <x v="1541"/>
    <s v=" -"/>
    <s v=" MOTOR"/>
    <d v="2024-07-02T00:00:00"/>
    <d v="2024-05-30T00:00:00"/>
    <d v="2025-05-29T00:00:00"/>
    <s v=" 08817824"/>
    <s v="Mr. Shahid Mehmood _x000a_CNIC No. 42201-6029535-1_x000a_Cell No. 0345-2899111"/>
    <m/>
    <s v="HONDA CITY PROSMATEC"/>
    <s v="BFT-414"/>
    <s v="L13Z17444977"/>
    <s v="185751"/>
    <s v="2016"/>
    <m/>
    <m/>
    <s v=" D"/>
    <s v="09000210-Tariq Shahzad"/>
    <n v="3000000"/>
    <n v="2180"/>
    <n v="22"/>
    <n v="284"/>
    <n v="0"/>
    <n v="2486"/>
    <n v="0"/>
    <n v="0"/>
    <n v="2486"/>
    <n v="0"/>
    <n v="2486"/>
    <m/>
    <m/>
    <m/>
    <s v="Syed Waqas"/>
    <n v="731.42"/>
    <n v="604.81000000000006"/>
    <m/>
  </r>
  <r>
    <n v="2217"/>
    <x v="318"/>
    <x v="1542"/>
    <s v=" -"/>
    <s v=" MOTOR"/>
    <d v="2024-07-30T00:00:00"/>
    <d v="2024-05-30T00:00:00"/>
    <d v="2025-05-29T00:00:00"/>
    <s v=" 08817824"/>
    <s v="Mr. Shahid Mehmood _x000a_CNIC No. 42201-6029535-1_x000a_Cell No. 0345-2899111"/>
    <m/>
    <s v="HONDA CITY PROSMATEC"/>
    <s v="BFT-414"/>
    <s v="L13Z17444977"/>
    <s v="185751"/>
    <s v="2016"/>
    <m/>
    <m/>
    <s v=" D"/>
    <s v="09000210-Tariq Shahzad"/>
    <n v="3000000"/>
    <n v="3276"/>
    <n v="33"/>
    <n v="491"/>
    <n v="0"/>
    <n v="3800"/>
    <n v="0"/>
    <n v="0"/>
    <n v="3800"/>
    <n v="0"/>
    <n v="3800"/>
    <m/>
    <m/>
    <m/>
    <s v="Syed Waqas"/>
    <n v="1119.02"/>
    <n v="924.6"/>
    <m/>
  </r>
  <r>
    <n v="2218"/>
    <x v="318"/>
    <x v="1543"/>
    <s v=" -"/>
    <s v=" MOTOR"/>
    <d v="2024-09-03T00:00:00"/>
    <d v="2024-05-30T00:00:00"/>
    <d v="2025-05-29T00:00:00"/>
    <s v=" 08817824"/>
    <s v="Mr. Shahid Mehmood _x000a_CNIC No. 42201-6029535-1_x000a_Cell No. 0345-2899111"/>
    <m/>
    <s v="HONDA CITY PROSMATEC"/>
    <s v="BFT-414"/>
    <s v="L13Z17444977"/>
    <s v="185751"/>
    <s v="2016"/>
    <m/>
    <m/>
    <s v=" D"/>
    <s v="09000210-Tariq Shahzad"/>
    <n v="3000000"/>
    <n v="4031"/>
    <n v="40"/>
    <n v="605"/>
    <n v="0"/>
    <n v="4676"/>
    <n v="0"/>
    <n v="0"/>
    <n v="4676"/>
    <n v="0"/>
    <n v="4676"/>
    <m/>
    <m/>
    <m/>
    <s v="Syed Waqas"/>
    <n v="1656.3000000000002"/>
    <n v="1137.78"/>
    <m/>
  </r>
  <r>
    <n v="2219"/>
    <x v="318"/>
    <x v="1544"/>
    <s v=" -"/>
    <s v=" MOTOR"/>
    <d v="2024-10-05T00:00:00"/>
    <d v="2024-05-30T00:00:00"/>
    <d v="2025-05-29T00:00:00"/>
    <s v=" 08817824"/>
    <s v="Mr. Shahid Mehmood _x000a_CNIC No. 42201-6029535-1_x000a_Cell No. 0345-2899111"/>
    <m/>
    <s v="HONDA CITY PROSMATEC"/>
    <s v="BFT-414"/>
    <s v="L13Z17444977"/>
    <s v="185751"/>
    <s v="2016"/>
    <m/>
    <m/>
    <s v=" D"/>
    <s v="09000210-Tariq Shahzad"/>
    <n v="3000000"/>
    <n v="3731"/>
    <n v="37"/>
    <n v="560"/>
    <n v="0"/>
    <n v="4328"/>
    <n v="0"/>
    <n v="0"/>
    <n v="4328"/>
    <n v="0"/>
    <n v="4328"/>
    <m/>
    <m/>
    <m/>
    <s v="Syed Waqas"/>
    <n v="1410.22"/>
    <n v="1052.6699999999992"/>
    <m/>
  </r>
  <r>
    <n v="2220"/>
    <x v="318"/>
    <x v="1545"/>
    <s v=" -"/>
    <s v=" MOTOR"/>
    <d v="2024-11-01T00:00:00"/>
    <d v="2024-05-30T00:00:00"/>
    <d v="2025-05-29T00:00:00"/>
    <s v=" 08817824"/>
    <s v="Mr. Shahid Mehmood _x000a_CNIC No. 42201-6029535-1_x000a_Cell No. 0345-2899111"/>
    <m/>
    <s v="HONDA CITY PROSMATEC"/>
    <s v="BFT-414"/>
    <s v="L13Z17444977"/>
    <s v="185751"/>
    <s v="2016"/>
    <m/>
    <m/>
    <s v=" D"/>
    <s v="09000210-Tariq Shahzad"/>
    <n v="3000000"/>
    <n v="4476"/>
    <n v="45"/>
    <n v="671"/>
    <n v="0"/>
    <n v="5192"/>
    <n v="0"/>
    <n v="0"/>
    <n v="5192"/>
    <n v="0"/>
    <n v="5192"/>
    <m/>
    <m/>
    <m/>
    <s v="Syed Waqas"/>
    <n v="1707.99"/>
    <n v="1262.78"/>
    <m/>
  </r>
  <r>
    <n v="2221"/>
    <x v="318"/>
    <x v="1546"/>
    <s v=" -"/>
    <s v=" MOTOR"/>
    <d v="2024-12-02T00:00:00"/>
    <d v="2024-05-30T00:00:00"/>
    <d v="2025-05-29T00:00:00"/>
    <s v=" 08817824"/>
    <s v="Mr. Shahid Mehmood _x000a_CNIC No. 42201-6029535-1_x000a_Cell No. 0345-2899111"/>
    <m/>
    <s v="HONDA CITY PROSMATEC"/>
    <s v="BFT-414"/>
    <s v="L13Z17444977"/>
    <s v="185751"/>
    <s v="2016"/>
    <m/>
    <m/>
    <s v=" D"/>
    <s v="09000210-Tariq Shahzad"/>
    <n v="3000000"/>
    <n v="4404"/>
    <n v="44"/>
    <n v="661"/>
    <n v="0"/>
    <n v="5109"/>
    <n v="0"/>
    <n v="0"/>
    <n v="5109"/>
    <n v="0"/>
    <n v="5109"/>
    <m/>
    <m/>
    <m/>
    <s v="Syed Waqas"/>
    <n v="1595.89"/>
    <n v="1242.76"/>
    <m/>
  </r>
  <r>
    <n v="2222"/>
    <x v="318"/>
    <x v="1547"/>
    <s v=" -"/>
    <s v=" MOTOR"/>
    <d v="2024-12-29T00:00:00"/>
    <d v="2024-05-30T00:00:00"/>
    <d v="2025-05-29T00:00:00"/>
    <s v=" 08817824"/>
    <s v="Mr. Shahid Mehmood _x000a_CNIC No. 42201-6029535-1_x000a_Cell No. 0345-2899111"/>
    <m/>
    <s v="HONDA CITY PROSMATEC"/>
    <s v="BFT-414"/>
    <s v="L13Z17444977"/>
    <s v="185751"/>
    <s v="2016"/>
    <m/>
    <m/>
    <s v=" D"/>
    <s v="09000210-Tariq Shahzad"/>
    <n v="-1"/>
    <n v="-25338"/>
    <n v="-253"/>
    <n v="0"/>
    <n v="0"/>
    <n v="-25591"/>
    <n v="0"/>
    <n v="0"/>
    <n v="-25591"/>
    <n v="0"/>
    <n v="-25591"/>
    <m/>
    <m/>
    <m/>
    <s v="Syed Waqas"/>
    <m/>
    <m/>
    <m/>
  </r>
  <r>
    <n v="2223"/>
    <x v="319"/>
    <x v="1548"/>
    <s v=" -"/>
    <s v=" MOTOR"/>
    <d v="2024-07-02T00:00:00"/>
    <d v="2024-05-31T00:00:00"/>
    <d v="2025-05-30T00:00:00"/>
    <s v=" 08005078"/>
    <s v="Mr. Amir Hassan_x000a_CNIC No. 42101-1876783-7_x000a_Cell No. 0300-8211442"/>
    <m/>
    <s v="TOYOTA Yaris ATIV X 1.5 ("/>
    <s v="BTR-499"/>
    <s v="2A27399"/>
    <s v="NSP151R-9510598"/>
    <s v="2021"/>
    <m/>
    <m/>
    <s v=" D"/>
    <s v="09000210-Tariq Shahzad"/>
    <n v="4900000"/>
    <n v="5824"/>
    <n v="59"/>
    <n v="758"/>
    <n v="0"/>
    <n v="6641"/>
    <n v="0"/>
    <n v="0"/>
    <n v="6641"/>
    <n v="0"/>
    <n v="6641"/>
    <m/>
    <m/>
    <m/>
    <s v="Syed Waqas"/>
    <n v="1660.6100000000013"/>
    <n v="989.67"/>
    <m/>
  </r>
  <r>
    <n v="2224"/>
    <x v="319"/>
    <x v="1549"/>
    <s v=" -"/>
    <s v=" MOTOR"/>
    <d v="2024-10-31T00:00:00"/>
    <d v="2024-05-31T00:00:00"/>
    <d v="2025-05-30T00:00:00"/>
    <s v=" 08005078"/>
    <s v="Mr. Amir Hassan_x000a_CNIC No. 42101-1876783-7_x000a_Cell No. 0300-8211442"/>
    <m/>
    <s v="TOYOTA Yaris ATIV X 1.5 ("/>
    <s v="BTR-499"/>
    <s v="2A27399"/>
    <s v="NSP151R-9510598"/>
    <s v="2021"/>
    <m/>
    <m/>
    <s v=" D"/>
    <s v="09000210-Tariq Shahzad"/>
    <n v="-1"/>
    <n v="-5825"/>
    <n v="-59"/>
    <n v="-757"/>
    <n v="0"/>
    <n v="-6641"/>
    <n v="0"/>
    <n v="0"/>
    <n v="-6641"/>
    <n v="0"/>
    <n v="-6641"/>
    <m/>
    <m/>
    <m/>
    <s v="Syed Waqas"/>
    <m/>
    <m/>
    <m/>
  </r>
  <r>
    <n v="2229"/>
    <x v="320"/>
    <x v="1550"/>
    <s v=" -"/>
    <s v=" MOTOR"/>
    <d v="2024-07-02T00:00:00"/>
    <d v="2024-06-01T00:00:00"/>
    <d v="2025-05-31T00:00:00"/>
    <s v=" 08817899"/>
    <s v="Mr. Nauman Ali_x000a_CNIC No. 43203-9615121-1_x000a_Cell No. 03333778997"/>
    <m/>
    <s v="SUZUKI ALTO VXL"/>
    <s v="BZW-238"/>
    <s v="6R309300"/>
    <s v="NF1AET306H1209313"/>
    <s v="2024"/>
    <m/>
    <m/>
    <s v=" D"/>
    <s v="09000210-Tariq Shahzad"/>
    <n v="2885000"/>
    <n v="149"/>
    <n v="2"/>
    <n v="23"/>
    <n v="0"/>
    <n v="174"/>
    <n v="0"/>
    <n v="0"/>
    <n v="174"/>
    <n v="0"/>
    <n v="174"/>
    <m/>
    <m/>
    <m/>
    <s v="Syed Waqas"/>
    <n v="43.97"/>
    <n v="43.97"/>
    <m/>
  </r>
  <r>
    <n v="2230"/>
    <x v="320"/>
    <x v="1551"/>
    <s v=" -"/>
    <s v=" MOTOR"/>
    <d v="2024-08-02T00:00:00"/>
    <d v="2024-06-01T00:00:00"/>
    <d v="2025-05-31T00:00:00"/>
    <s v=" 08817899"/>
    <s v="Mr. Nauman Ali_x000a_CNIC No. 43203-9615121-1_x000a_Cell No. 03333778997"/>
    <m/>
    <s v="SUZUKI ALTO VXL"/>
    <s v="BZW-238"/>
    <s v="6R309300"/>
    <s v="NF1AET306H1209313"/>
    <s v="2024"/>
    <m/>
    <m/>
    <s v=" D"/>
    <s v="09000210-Tariq Shahzad"/>
    <n v="2885000"/>
    <n v="607"/>
    <n v="6"/>
    <n v="91"/>
    <n v="0"/>
    <n v="704"/>
    <n v="0"/>
    <n v="0"/>
    <n v="704"/>
    <n v="0"/>
    <n v="704"/>
    <m/>
    <m/>
    <m/>
    <s v="Syed Waqas"/>
    <n v="210.38000000000002"/>
    <n v="178.01"/>
    <m/>
  </r>
  <r>
    <n v="2231"/>
    <x v="320"/>
    <x v="1552"/>
    <s v=" -"/>
    <s v=" MOTOR"/>
    <d v="2024-09-04T00:00:00"/>
    <d v="2024-06-01T00:00:00"/>
    <d v="2025-05-31T00:00:00"/>
    <s v=" 08817899"/>
    <s v="Mr. Nauman Ali_x000a_CNIC No. 43203-9615121-1_x000a_Cell No. 03333778997"/>
    <m/>
    <s v="SUZUKI ALTO VXL"/>
    <s v="BZW-238"/>
    <s v="6R309300"/>
    <s v="NF1AET306H1209313"/>
    <s v="2024"/>
    <m/>
    <m/>
    <s v=" D"/>
    <s v="09000210-Tariq Shahzad"/>
    <n v="2885000"/>
    <n v="736"/>
    <n v="7"/>
    <n v="110"/>
    <n v="0"/>
    <n v="853"/>
    <n v="0"/>
    <n v="0"/>
    <n v="853"/>
    <n v="0"/>
    <n v="853"/>
    <m/>
    <m/>
    <m/>
    <s v="Syed Waqas"/>
    <n v="239.26000000000005"/>
    <n v="215.8"/>
    <m/>
  </r>
  <r>
    <n v="2232"/>
    <x v="320"/>
    <x v="1553"/>
    <s v=" -"/>
    <s v=" MOTOR"/>
    <d v="2024-10-05T00:00:00"/>
    <d v="2024-06-01T00:00:00"/>
    <d v="2025-05-31T00:00:00"/>
    <s v=" 08817899"/>
    <s v="Mr. Nauman Ali_x000a_CNIC No. 43203-9615121-1_x000a_Cell No. 03333778997"/>
    <m/>
    <s v="SUZUKI ALTO VXL"/>
    <s v="BZW-238"/>
    <s v="6R309300"/>
    <s v="NF1AET306H1209313"/>
    <s v="2024"/>
    <m/>
    <m/>
    <s v=" D"/>
    <s v="09000210-Tariq Shahzad"/>
    <n v="2885000"/>
    <n v="1124"/>
    <n v="11"/>
    <n v="169"/>
    <n v="0"/>
    <n v="1304"/>
    <n v="0"/>
    <n v="0"/>
    <n v="1304"/>
    <n v="0"/>
    <n v="1304"/>
    <m/>
    <m/>
    <m/>
    <s v="Syed Waqas"/>
    <n v="350.1"/>
    <n v="330.03"/>
    <m/>
  </r>
  <r>
    <n v="2233"/>
    <x v="320"/>
    <x v="1554"/>
    <s v=" -"/>
    <s v=" MOTOR"/>
    <d v="2024-11-04T00:00:00"/>
    <d v="2024-06-01T00:00:00"/>
    <d v="2025-05-31T00:00:00"/>
    <s v=" 08817899"/>
    <s v="Mr. Nauman Ali_x000a_CNIC No. 43203-9615121-1_x000a_Cell No. 03333778997"/>
    <m/>
    <s v="SUZUKI ALTO VXL"/>
    <s v="BZW-238"/>
    <s v="6R309300"/>
    <s v="NF1AET306H1209313"/>
    <s v="2024"/>
    <m/>
    <m/>
    <s v=" D"/>
    <s v="09000210-Tariq Shahzad"/>
    <n v="2885000"/>
    <n v="794"/>
    <n v="8"/>
    <n v="119"/>
    <n v="0"/>
    <n v="921"/>
    <n v="0"/>
    <n v="0"/>
    <n v="921"/>
    <n v="0"/>
    <n v="921"/>
    <m/>
    <m/>
    <m/>
    <s v="Syed Waqas"/>
    <n v="238.98"/>
    <n v="232.81"/>
    <m/>
  </r>
  <r>
    <n v="2234"/>
    <x v="320"/>
    <x v="1555"/>
    <s v=" -"/>
    <s v=" MOTOR"/>
    <d v="2024-10-31T00:00:00"/>
    <d v="2024-06-01T00:00:00"/>
    <d v="2025-05-31T00:00:00"/>
    <s v=" 08817899"/>
    <s v="Mr. Nauman Ali_x000a_CNIC No. 43203-9615121-1_x000a_Cell No. 03333778997"/>
    <m/>
    <s v="SUZUKI ALTO VXL"/>
    <s v="BZW-238"/>
    <s v="6R309300"/>
    <s v="NF1AET306H1209313"/>
    <s v="2024"/>
    <m/>
    <m/>
    <s v=" D"/>
    <s v="09000210-Tariq Shahzad"/>
    <n v="-1"/>
    <n v="-3470"/>
    <n v="-35"/>
    <n v="-451"/>
    <n v="0"/>
    <n v="-3956"/>
    <n v="0"/>
    <n v="0"/>
    <n v="-3956"/>
    <n v="0"/>
    <n v="-3956"/>
    <m/>
    <m/>
    <m/>
    <s v="Syed Waqas"/>
    <m/>
    <m/>
    <m/>
  </r>
  <r>
    <n v="2238"/>
    <x v="321"/>
    <x v="1556"/>
    <s v=" -"/>
    <s v=" MOTOR"/>
    <d v="2024-10-05T00:00:00"/>
    <d v="2024-06-01T00:00:00"/>
    <d v="2025-05-31T00:00:00"/>
    <s v=" 08805710"/>
    <s v="Mr. Hamza Saleem Mirza_x000a_CNIC No. 42101-8566667-9_x000a_Cell No. 03341120985"/>
    <m/>
    <s v="SUZUKI ALTO VXL"/>
    <s v="BZX-697"/>
    <s v="6R308497"/>
    <s v="H1208485"/>
    <s v="2024"/>
    <m/>
    <m/>
    <s v=" D"/>
    <s v="09000210-Tariq Shahzad"/>
    <n v="3200000"/>
    <n v="1941"/>
    <n v="19"/>
    <n v="291"/>
    <n v="0"/>
    <n v="2251"/>
    <n v="0"/>
    <n v="0"/>
    <n v="2251"/>
    <n v="0"/>
    <n v="2251"/>
    <m/>
    <m/>
    <m/>
    <s v="Syed Waqas"/>
    <n v="561.530000000001"/>
    <n v="513.83000000000004"/>
    <m/>
  </r>
  <r>
    <n v="2239"/>
    <x v="321"/>
    <x v="1557"/>
    <s v=" -"/>
    <s v=" MOTOR"/>
    <d v="2024-11-04T00:00:00"/>
    <d v="2024-06-01T00:00:00"/>
    <d v="2025-05-31T00:00:00"/>
    <s v=" 08805710"/>
    <s v="Mr. Hamza Saleem Mirza_x000a_CNIC No. 42101-8566667-9_x000a_Cell No. 03341120985"/>
    <m/>
    <s v="SUZUKI ALTO VXL"/>
    <s v="BZX-697"/>
    <s v="6R308497"/>
    <s v="H1208485"/>
    <s v="2024"/>
    <m/>
    <m/>
    <s v=" D"/>
    <s v="09000210-Tariq Shahzad"/>
    <n v="3200000"/>
    <n v="1509"/>
    <n v="15"/>
    <n v="226"/>
    <n v="0"/>
    <n v="1750"/>
    <n v="0"/>
    <n v="0"/>
    <n v="1750"/>
    <n v="0"/>
    <n v="1750"/>
    <m/>
    <m/>
    <m/>
    <s v="Syed Waqas"/>
    <n v="483.79000000000104"/>
    <n v="399.32"/>
    <m/>
  </r>
  <r>
    <n v="2240"/>
    <x v="321"/>
    <x v="1558"/>
    <s v=" -"/>
    <s v=" MOTOR"/>
    <d v="2024-12-04T00:00:00"/>
    <d v="2024-06-01T00:00:00"/>
    <d v="2025-05-31T00:00:00"/>
    <s v=" 08805710"/>
    <s v="Mr. Hamza Saleem Mirza_x000a_CNIC No. 42101-8566667-9_x000a_Cell No. 03341120985"/>
    <m/>
    <s v="SUZUKI ALTO VXL"/>
    <s v="BZX-697"/>
    <s v="6R308497"/>
    <s v="H1208485"/>
    <s v="2024"/>
    <m/>
    <m/>
    <s v=" D"/>
    <s v="09000210-Tariq Shahzad"/>
    <n v="3200000"/>
    <n v="2570"/>
    <n v="26"/>
    <n v="386"/>
    <n v="0"/>
    <n v="2982"/>
    <n v="0"/>
    <n v="0"/>
    <n v="2982"/>
    <n v="0"/>
    <n v="2982"/>
    <m/>
    <m/>
    <m/>
    <s v="Syed Waqas"/>
    <n v="937.97999999999809"/>
    <n v="680.57"/>
    <m/>
  </r>
  <r>
    <n v="2241"/>
    <x v="321"/>
    <x v="1559"/>
    <s v=" -"/>
    <s v=" MOTOR"/>
    <d v="2025-01-01T00:00:00"/>
    <d v="2024-06-01T00:00:00"/>
    <d v="2025-05-31T00:00:00"/>
    <s v=" 08805710"/>
    <s v="Mr. Hamza Saleem Mirza_x000a_CNIC No. 42101-8566667-9_x000a_Cell No. 03341120985"/>
    <m/>
    <s v="SUZUKI ALTO VXL"/>
    <s v="BZX-697"/>
    <s v="6R308497"/>
    <s v="H1208485"/>
    <s v="2024"/>
    <m/>
    <m/>
    <s v=" D"/>
    <s v="09000210-Tariq Shahzad"/>
    <n v="3200000"/>
    <n v="3305"/>
    <n v="33"/>
    <n v="496"/>
    <n v="0"/>
    <n v="3834"/>
    <n v="0"/>
    <n v="0"/>
    <n v="3834"/>
    <n v="0"/>
    <n v="3834"/>
    <m/>
    <m/>
    <m/>
    <s v="Syed Waqas"/>
    <n v="1312.3899999999971"/>
    <n v="875.61"/>
    <m/>
  </r>
  <r>
    <n v="2242"/>
    <x v="321"/>
    <x v="1560"/>
    <s v=" -"/>
    <s v=" MOTOR"/>
    <d v="2025-02-03T00:00:00"/>
    <d v="2024-06-01T00:00:00"/>
    <d v="2025-05-31T00:00:00"/>
    <s v=" 08805710"/>
    <s v="Mr. Hamza Saleem Mirza_x000a_CNIC No. 42101-8566667-9_x000a_Cell No. 03341120985"/>
    <m/>
    <s v="SUZUKI ALTO VXL"/>
    <s v="BZX-697"/>
    <s v="6R308497"/>
    <s v="H1208485"/>
    <s v="2024"/>
    <m/>
    <m/>
    <s v=" D"/>
    <s v="09000210-Tariq Shahzad"/>
    <n v="3200000"/>
    <n v="4245"/>
    <n v="42"/>
    <n v="637"/>
    <n v="0"/>
    <n v="4924"/>
    <n v="0"/>
    <n v="0"/>
    <n v="4924"/>
    <n v="0"/>
    <n v="4924"/>
    <m/>
    <m/>
    <m/>
    <s v="Syed Waqas"/>
    <n v="1969.469999999998"/>
    <n v="1124.27"/>
    <m/>
  </r>
  <r>
    <n v="2243"/>
    <x v="321"/>
    <x v="1561"/>
    <s v=" -"/>
    <s v=" MOTOR"/>
    <d v="2025-03-03T00:00:00"/>
    <d v="2024-06-01T00:00:00"/>
    <d v="2025-05-31T00:00:00"/>
    <s v=" 08805710"/>
    <s v="Mr. Hamza Saleem Mirza_x000a_CNIC No. 42101-8566667-9_x000a_Cell No. 03341120985"/>
    <m/>
    <s v="SUZUKI ALTO VXL"/>
    <s v="BZX-697"/>
    <s v="6R308497"/>
    <s v="H1208485"/>
    <s v="2024"/>
    <m/>
    <m/>
    <s v=" D"/>
    <s v="09000210-Tariq Shahzad"/>
    <n v="3200000"/>
    <n v="2783"/>
    <n v="28"/>
    <n v="418"/>
    <n v="0"/>
    <n v="3229"/>
    <n v="0"/>
    <n v="0"/>
    <n v="3229"/>
    <n v="0"/>
    <n v="3229"/>
    <m/>
    <m/>
    <m/>
    <s v="Syed Waqas"/>
    <n v="981.64999999999895"/>
    <n v="737.61"/>
    <m/>
  </r>
  <r>
    <n v="2244"/>
    <x v="321"/>
    <x v="1562"/>
    <s v=" -"/>
    <s v=" MOTOR"/>
    <d v="2025-03-29T00:00:00"/>
    <d v="2024-06-01T00:00:00"/>
    <d v="2025-05-31T00:00:00"/>
    <s v=" 08805710"/>
    <s v="Mr. Hamza Saleem Mirza_x000a_CNIC No. 42101-8566667-9_x000a_Cell No. 03341120985"/>
    <m/>
    <s v="SUZUKI ALTO VXL"/>
    <s v="BZX-697"/>
    <s v="6R308497"/>
    <s v="H1208485"/>
    <s v="2024"/>
    <m/>
    <m/>
    <s v=" D"/>
    <s v="09000210-Tariq Shahzad"/>
    <n v="-1"/>
    <n v="-18804"/>
    <n v="-166"/>
    <n v="0"/>
    <n v="0"/>
    <n v="-18970"/>
    <n v="0"/>
    <n v="0"/>
    <n v="-18970"/>
    <n v="0"/>
    <n v="-18970"/>
    <m/>
    <m/>
    <m/>
    <s v="Syed Waqas"/>
    <m/>
    <m/>
    <m/>
  </r>
  <r>
    <n v="2246"/>
    <x v="322"/>
    <x v="24"/>
    <s v=" -"/>
    <s v=" MOTOR"/>
    <d v="2024-06-04T00:00:00"/>
    <d v="2024-06-01T00:00:00"/>
    <d v="2025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raxaathar@gmail.com"/>
  </r>
  <r>
    <n v="2247"/>
    <x v="322"/>
    <x v="1563"/>
    <s v=" -"/>
    <s v=" MOTOR"/>
    <d v="2024-07-02T00:00:00"/>
    <d v="2024-06-01T00:00:00"/>
    <d v="2025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2200000"/>
    <n v="3297"/>
    <n v="33"/>
    <n v="494"/>
    <n v="0"/>
    <n v="3824"/>
    <n v="0"/>
    <n v="0"/>
    <n v="3824"/>
    <n v="0"/>
    <n v="3824"/>
    <m/>
    <m/>
    <m/>
    <s v="Maria Tauqeer Qazi"/>
    <n v="7724.4999999999964"/>
    <n v="1265.3900000000001"/>
    <m/>
  </r>
  <r>
    <n v="2248"/>
    <x v="322"/>
    <x v="1564"/>
    <s v=" -"/>
    <s v=" MOTOR"/>
    <d v="2024-08-02T00:00:00"/>
    <d v="2024-06-01T00:00:00"/>
    <d v="2025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2200000"/>
    <n v="3195"/>
    <n v="32"/>
    <n v="479"/>
    <n v="0"/>
    <n v="3706"/>
    <n v="0"/>
    <n v="0"/>
    <n v="3706"/>
    <n v="0"/>
    <n v="3706"/>
    <m/>
    <m/>
    <m/>
    <s v="Maria Tauqeer Qazi"/>
    <n v="6948.9200000000092"/>
    <n v="1226.3"/>
    <m/>
  </r>
  <r>
    <n v="2249"/>
    <x v="322"/>
    <x v="1565"/>
    <s v=" -"/>
    <s v=" MOTOR"/>
    <d v="2024-09-04T00:00:00"/>
    <d v="2024-06-01T00:00:00"/>
    <d v="2025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2200000"/>
    <n v="810"/>
    <n v="8"/>
    <n v="121"/>
    <n v="0"/>
    <n v="939"/>
    <n v="0"/>
    <n v="0"/>
    <n v="939"/>
    <n v="0"/>
    <n v="939"/>
    <m/>
    <m/>
    <m/>
    <s v="Maria Tauqeer Qazi"/>
    <n v="2087.5999999999963"/>
    <n v="311.05"/>
    <m/>
  </r>
  <r>
    <n v="2250"/>
    <x v="322"/>
    <x v="1566"/>
    <s v=" -"/>
    <s v=" MOTOR"/>
    <d v="2024-10-05T00:00:00"/>
    <d v="2024-06-01T00:00:00"/>
    <d v="2025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2200000"/>
    <n v="3517"/>
    <n v="35"/>
    <n v="528"/>
    <n v="0"/>
    <n v="4080"/>
    <n v="0"/>
    <n v="0"/>
    <n v="4080"/>
    <n v="0"/>
    <n v="4080"/>
    <m/>
    <m/>
    <m/>
    <s v="Maria Tauqeer Qazi"/>
    <n v="7124.4700000000103"/>
    <n v="1350"/>
    <m/>
  </r>
  <r>
    <n v="2251"/>
    <x v="322"/>
    <x v="1567"/>
    <s v=" -"/>
    <s v=" MOTOR"/>
    <d v="2024-11-04T00:00:00"/>
    <d v="2024-06-01T00:00:00"/>
    <d v="2025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2200000"/>
    <n v="3103"/>
    <n v="31"/>
    <n v="465"/>
    <n v="0"/>
    <n v="3599"/>
    <n v="0"/>
    <n v="0"/>
    <n v="3599"/>
    <n v="0"/>
    <n v="3599"/>
    <m/>
    <m/>
    <m/>
    <s v="Maria Tauqeer Qazi"/>
    <n v="5932.4900000000171"/>
    <n v="1190.96"/>
    <m/>
  </r>
  <r>
    <n v="2252"/>
    <x v="322"/>
    <x v="1568"/>
    <s v=" -"/>
    <s v=" MOTOR"/>
    <d v="2024-12-04T00:00:00"/>
    <d v="2024-06-01T00:00:00"/>
    <d v="2025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2200000"/>
    <n v="3517"/>
    <n v="35"/>
    <n v="528"/>
    <n v="0"/>
    <n v="4080"/>
    <n v="0"/>
    <n v="0"/>
    <n v="4080"/>
    <n v="0"/>
    <n v="4080"/>
    <m/>
    <m/>
    <m/>
    <s v="Maria Tauqeer Qazi"/>
    <n v="6827.7700000000159"/>
    <n v="1350"/>
    <m/>
  </r>
  <r>
    <n v="2253"/>
    <x v="322"/>
    <x v="1569"/>
    <s v=" -"/>
    <s v=" MOTOR"/>
    <d v="2024-12-29T00:00:00"/>
    <d v="2024-06-01T00:00:00"/>
    <d v="2025-05-31T00:00:00"/>
    <s v=" 08811519"/>
    <s v="Mr. Athar Raza_x000a_CNIC# 45101-4941934-5_x000a_CELL# 0309-1616786"/>
    <m/>
    <s v="SUZUKI ALTO VXR"/>
    <s v="BUZ-479"/>
    <s v="6R189433"/>
    <s v="NF1AET306H1089438"/>
    <s v="2021"/>
    <m/>
    <m/>
    <s v=" D"/>
    <s v="09000221-Muhammad Irfan"/>
    <n v="-1"/>
    <n v="-20077"/>
    <n v="-201"/>
    <n v="0"/>
    <n v="0"/>
    <n v="-20278"/>
    <n v="0"/>
    <n v="0"/>
    <n v="-20278"/>
    <n v="0"/>
    <n v="-20278"/>
    <m/>
    <m/>
    <m/>
    <s v="Maria Tauqeer Qazi"/>
    <m/>
    <m/>
    <m/>
  </r>
  <r>
    <n v="2255"/>
    <x v="323"/>
    <x v="24"/>
    <s v=" -"/>
    <s v=" MOTOR"/>
    <d v="2024-06-06T00:00:00"/>
    <d v="2024-04-04T00:00:00"/>
    <d v="2025-04-03T00:00:00"/>
    <s v=" 08810589"/>
    <s v="Syeda Marryam Uraizee_x000a_CNIC# 42201-0523879-2_x000a_CELL# 0300-2397697"/>
    <m/>
    <s v="HONDA CITY"/>
    <s v="BBQ-289"/>
    <s v="L13Z1-6423234"/>
    <s v="NFBGM1646ER150338"/>
    <s v="2014"/>
    <s v="42201-0523879-2"/>
    <m/>
    <s v=" D"/>
    <s v="09000221-Muhammad Irfan"/>
    <n v="-1"/>
    <n v="0"/>
    <n v="0"/>
    <n v="0"/>
    <n v="50"/>
    <n v="50"/>
    <n v="0"/>
    <n v="0"/>
    <n v="50"/>
    <n v="0"/>
    <n v="50"/>
    <m/>
    <m/>
    <m/>
    <s v="Maria Tauqeer Qazi"/>
    <m/>
    <m/>
    <s v="adil_ahmed_97@hotmail.com"/>
  </r>
  <r>
    <n v="2256"/>
    <x v="323"/>
    <x v="1570"/>
    <s v=" -"/>
    <s v=" MOTOR"/>
    <d v="2024-07-04T00:00:00"/>
    <d v="2024-04-04T00:00:00"/>
    <d v="2025-04-03T00:00:00"/>
    <s v=" 08810589"/>
    <s v="Syeda Marryam Uraizee_x000a_CNIC# 42201-0523879-2_x000a_CELL# 0300-2397697"/>
    <m/>
    <s v="HONDA CITY"/>
    <s v="BBQ-289"/>
    <s v="L13Z1-6423234"/>
    <s v="NFBGM1646ER150338"/>
    <s v="2014"/>
    <s v="42201-0523879-2"/>
    <m/>
    <s v=" D"/>
    <s v="09000221-Muhammad Irfan"/>
    <n v="2400000"/>
    <n v="657"/>
    <n v="7"/>
    <n v="99"/>
    <n v="0"/>
    <n v="763"/>
    <n v="0"/>
    <n v="0"/>
    <n v="763"/>
    <n v="0"/>
    <n v="763"/>
    <m/>
    <m/>
    <m/>
    <s v="Maria Tauqeer Qazi"/>
    <n v="330.63"/>
    <n v="232.2"/>
    <m/>
  </r>
  <r>
    <n v="2257"/>
    <x v="323"/>
    <x v="1571"/>
    <s v=" -"/>
    <s v=" MOTOR"/>
    <d v="2024-08-07T00:00:00"/>
    <d v="2024-04-04T00:00:00"/>
    <d v="2025-04-03T00:00:00"/>
    <s v=" 08810589"/>
    <s v="Syeda Marryam Uraizee_x000a_CNIC# 42201-0523879-2_x000a_CELL# 0300-2397697"/>
    <m/>
    <s v="HONDA CITY"/>
    <s v="BBQ-289"/>
    <s v="L13Z1-6423234"/>
    <s v="NFBGM1646ER150338"/>
    <s v="2014"/>
    <s v="42201-0523879-2"/>
    <m/>
    <s v=" D"/>
    <s v="09000221-Muhammad Irfan"/>
    <n v="2400000"/>
    <n v="664"/>
    <n v="7"/>
    <n v="100"/>
    <n v="0"/>
    <n v="771"/>
    <n v="0"/>
    <n v="0"/>
    <n v="771"/>
    <n v="0"/>
    <n v="771"/>
    <m/>
    <m/>
    <m/>
    <s v="Maria Tauqeer Qazi"/>
    <n v="234.33"/>
    <n v="234.33"/>
    <m/>
  </r>
  <r>
    <n v="2258"/>
    <x v="323"/>
    <x v="1572"/>
    <s v=" -"/>
    <s v=" MOTOR"/>
    <d v="2024-09-06T00:00:00"/>
    <d v="2024-04-04T00:00:00"/>
    <d v="2025-04-03T00:00:00"/>
    <s v=" 08810589"/>
    <s v="Syeda Marryam Uraizee_x000a_CNIC# 42201-0523879-2_x000a_CELL# 0300-2397697"/>
    <m/>
    <s v="HONDA CITY"/>
    <s v="BBQ-289"/>
    <s v="L13Z1-6423234"/>
    <s v="NFBGM1646ER150338"/>
    <s v="2014"/>
    <s v="42201-0523879-2"/>
    <m/>
    <s v=" D"/>
    <s v="09000221-Muhammad Irfan"/>
    <n v="2400000"/>
    <n v="383"/>
    <n v="4"/>
    <n v="58"/>
    <n v="0"/>
    <n v="445"/>
    <n v="0"/>
    <n v="0"/>
    <n v="445"/>
    <n v="0"/>
    <n v="445"/>
    <m/>
    <m/>
    <m/>
    <s v="Maria Tauqeer Qazi"/>
    <n v="135.21"/>
    <n v="135.21"/>
    <m/>
  </r>
  <r>
    <n v="2259"/>
    <x v="323"/>
    <x v="1573"/>
    <s v=" -"/>
    <s v=" MOTOR"/>
    <d v="2024-10-09T00:00:00"/>
    <d v="2024-04-04T00:00:00"/>
    <d v="2025-04-03T00:00:00"/>
    <s v=" 08810589"/>
    <s v="Syeda Marryam Uraizee_x000a_CNIC# 42201-0523879-2_x000a_CELL# 0300-2397697"/>
    <m/>
    <s v="HONDA CITY"/>
    <s v="BBQ-289"/>
    <s v="L13Z1-6423234"/>
    <s v="NFBGM1646ER150338"/>
    <s v="2014"/>
    <s v="42201-0523879-2"/>
    <m/>
    <s v=" D"/>
    <s v="09000221-Muhammad Irfan"/>
    <n v="2400000"/>
    <n v="626"/>
    <n v="6"/>
    <n v="94"/>
    <n v="0"/>
    <n v="726"/>
    <n v="0"/>
    <n v="0"/>
    <n v="726"/>
    <n v="0"/>
    <n v="726"/>
    <m/>
    <m/>
    <m/>
    <s v="Maria Tauqeer Qazi"/>
    <n v="233.24"/>
    <n v="220.42"/>
    <m/>
  </r>
  <r>
    <n v="2260"/>
    <x v="323"/>
    <x v="1574"/>
    <s v=" -"/>
    <s v=" MOTOR"/>
    <d v="2024-11-05T00:00:00"/>
    <d v="2024-04-04T00:00:00"/>
    <d v="2025-04-03T00:00:00"/>
    <s v=" 08810589"/>
    <s v="Syeda Marryam Uraizee_x000a_CNIC# 42201-0523879-2_x000a_CELL# 0300-2397697"/>
    <m/>
    <s v="HONDA CITY"/>
    <s v="BBQ-289"/>
    <s v="L13Z1-6423234"/>
    <s v="NFBGM1646ER150338"/>
    <s v="2014"/>
    <s v="42201-0523879-2"/>
    <m/>
    <s v=" D"/>
    <s v="09000221-Muhammad Irfan"/>
    <n v="2400000"/>
    <n v="536"/>
    <n v="5"/>
    <n v="80"/>
    <n v="0"/>
    <n v="621"/>
    <n v="0"/>
    <n v="0"/>
    <n v="621"/>
    <n v="0"/>
    <n v="621"/>
    <m/>
    <m/>
    <m/>
    <s v="Maria Tauqeer Qazi"/>
    <n v="482.95999999999896"/>
    <n v="188.76000000000005"/>
    <m/>
  </r>
  <r>
    <n v="2261"/>
    <x v="323"/>
    <x v="1575"/>
    <s v=" -"/>
    <s v=" MOTOR"/>
    <d v="2024-12-05T00:00:00"/>
    <d v="2024-04-04T00:00:00"/>
    <d v="2025-04-03T00:00:00"/>
    <s v=" 08810589"/>
    <s v="Syeda Marryam Uraizee_x000a_CNIC# 42201-0523879-2_x000a_CELL# 0300-2397697"/>
    <m/>
    <s v="HONDA CITY"/>
    <s v="BBQ-289"/>
    <s v="L13Z1-6423234"/>
    <s v="NFBGM1646ER150338"/>
    <s v="2014"/>
    <s v="42201-0523879-2"/>
    <m/>
    <s v=" D"/>
    <s v="09000221-Muhammad Irfan"/>
    <n v="2400000"/>
    <n v="469"/>
    <n v="5"/>
    <n v="70"/>
    <n v="0"/>
    <n v="544"/>
    <n v="0"/>
    <n v="0"/>
    <n v="544"/>
    <n v="0"/>
    <n v="544"/>
    <m/>
    <m/>
    <m/>
    <s v="Maria Tauqeer Qazi"/>
    <n v="165.81"/>
    <n v="165.81"/>
    <m/>
  </r>
  <r>
    <n v="2262"/>
    <x v="323"/>
    <x v="1576"/>
    <s v=" -"/>
    <s v=" MOTOR"/>
    <d v="2024-12-29T00:00:00"/>
    <d v="2024-04-04T00:00:00"/>
    <d v="2025-04-03T00:00:00"/>
    <s v=" 08810589"/>
    <s v="Syeda Marryam Uraizee_x000a_CNIC# 42201-0523879-2_x000a_CELL# 0300-2397697"/>
    <m/>
    <s v="HONDA CITY"/>
    <s v="BBQ-289"/>
    <s v="L13Z1-6423234"/>
    <s v="NFBGM1646ER150338"/>
    <s v="2014"/>
    <s v="42201-0523879-2"/>
    <m/>
    <s v=" D"/>
    <s v="09000221-Muhammad Irfan"/>
    <n v="-1"/>
    <n v="-3881"/>
    <n v="-39"/>
    <n v="0"/>
    <n v="0"/>
    <n v="-3920"/>
    <n v="0"/>
    <n v="0"/>
    <n v="-3920"/>
    <n v="0"/>
    <n v="-3920"/>
    <m/>
    <m/>
    <m/>
    <s v="Maria Tauqeer Qazi"/>
    <m/>
    <m/>
    <m/>
  </r>
  <r>
    <n v="2277"/>
    <x v="324"/>
    <x v="1577"/>
    <s v=" -"/>
    <s v=" MOTOR"/>
    <d v="2025-03-07T00:00:00"/>
    <d v="2024-06-07T00:00:00"/>
    <d v="2025-06-06T00:00:00"/>
    <s v=" 08818039"/>
    <s v="Mr. Syed Atif Gilani _x000a_CNIC No. 42000-5428078-1_x000a_Cell No. 0345-247675"/>
    <m/>
    <s v="TOYOTA YARIS ATIV CVT"/>
    <s v="BRV-829"/>
    <s v="2A01289"/>
    <s v="7000183"/>
    <s v="2020"/>
    <m/>
    <m/>
    <s v=" D"/>
    <s v="09000210-Tariq Shahzad"/>
    <n v="3600000"/>
    <n v="649"/>
    <n v="6"/>
    <n v="97"/>
    <n v="0"/>
    <n v="752"/>
    <n v="0"/>
    <n v="0"/>
    <n v="752"/>
    <n v="0"/>
    <n v="752"/>
    <m/>
    <m/>
    <m/>
    <s v="Syed Waqas"/>
    <n v="154.81"/>
    <n v="152.31"/>
    <m/>
  </r>
  <r>
    <n v="2278"/>
    <x v="324"/>
    <x v="1578"/>
    <s v=" -"/>
    <s v=" MOTOR"/>
    <d v="2025-03-29T00:00:00"/>
    <d v="2024-06-07T00:00:00"/>
    <d v="2025-06-06T00:00:00"/>
    <s v=" 08818039"/>
    <s v="Mr. Syed Atif Gilani _x000a_CNIC No. 42000-5428078-1_x000a_Cell No. 0345-247675"/>
    <m/>
    <s v="TOYOTA YARIS ATIV CVT"/>
    <s v="BRV-829"/>
    <s v="2A01289"/>
    <s v="7000183"/>
    <s v="2020"/>
    <m/>
    <m/>
    <s v=" D"/>
    <s v="09000210-Tariq Shahzad"/>
    <n v="-1"/>
    <n v="-745"/>
    <n v="-7"/>
    <n v="0"/>
    <n v="0"/>
    <n v="-752"/>
    <n v="0"/>
    <n v="0"/>
    <n v="-752"/>
    <n v="0"/>
    <n v="-752"/>
    <m/>
    <m/>
    <m/>
    <s v="Syed Waqas"/>
    <m/>
    <m/>
    <m/>
  </r>
  <r>
    <n v="2279"/>
    <x v="325"/>
    <x v="1579"/>
    <s v=" -"/>
    <s v=" MOTOR"/>
    <d v="2024-10-14T00:00:00"/>
    <d v="2024-06-10T00:00:00"/>
    <d v="2025-06-09T00:00:00"/>
    <s v=" 08818046"/>
    <s v="Mr. Syed Afzal Gilani _x000a_CNIC No. 42000-3649422-3_x000a_Cell No. 0347-1233820"/>
    <m/>
    <s v="GLORY GLORY 580"/>
    <s v="BK-0640"/>
    <s v="SFG15T-21752907"/>
    <s v="PDF580PALR21K2650"/>
    <s v="2022"/>
    <m/>
    <m/>
    <s v=" D"/>
    <s v="09000210-Tariq Shahzad"/>
    <n v="5000000"/>
    <n v="1197"/>
    <n v="12"/>
    <n v="179"/>
    <n v="0"/>
    <n v="1388"/>
    <n v="0"/>
    <n v="0"/>
    <n v="1388"/>
    <n v="0"/>
    <n v="1388"/>
    <m/>
    <m/>
    <m/>
    <s v="Syed Waqas"/>
    <n v="225.06"/>
    <n v="202.87"/>
    <m/>
  </r>
  <r>
    <n v="2280"/>
    <x v="325"/>
    <x v="1580"/>
    <s v=" -"/>
    <s v=" MOTOR"/>
    <d v="2024-11-12T00:00:00"/>
    <d v="2024-06-10T00:00:00"/>
    <d v="2025-06-09T00:00:00"/>
    <s v=" 08818046"/>
    <s v="Mr. Syed Afzal Gilani _x000a_CNIC No. 42000-3649422-3_x000a_Cell No. 0347-1233820"/>
    <m/>
    <s v="GLORY GLORY 580"/>
    <s v="BK-0640"/>
    <s v="SFG15T-21752907"/>
    <s v="PDF580PALR21K2650"/>
    <s v="2022"/>
    <m/>
    <m/>
    <s v=" D"/>
    <s v="09000210-Tariq Shahzad"/>
    <n v="5000000"/>
    <n v="1249"/>
    <n v="13"/>
    <n v="188"/>
    <n v="0"/>
    <n v="1450"/>
    <n v="0"/>
    <n v="0"/>
    <n v="1450"/>
    <n v="0"/>
    <n v="1450"/>
    <m/>
    <m/>
    <m/>
    <s v="Syed Waqas"/>
    <n v="545.07999999999902"/>
    <n v="211.94"/>
    <m/>
  </r>
  <r>
    <n v="2281"/>
    <x v="325"/>
    <x v="1581"/>
    <s v=" -"/>
    <s v=" MOTOR"/>
    <d v="2024-12-11T00:00:00"/>
    <d v="2024-06-10T00:00:00"/>
    <d v="2025-06-09T00:00:00"/>
    <s v=" 08818046"/>
    <s v="Mr. Syed Afzal Gilani _x000a_CNIC No. 42000-3649422-3_x000a_Cell No. 0347-1233820"/>
    <m/>
    <s v="GLORY GLORY 580"/>
    <s v="BK-0640"/>
    <s v="SFG15T-21752907"/>
    <s v="PDF580PALR21K2650"/>
    <s v="2022"/>
    <m/>
    <m/>
    <s v=" D"/>
    <s v="09000210-Tariq Shahzad"/>
    <n v="5000000"/>
    <n v="2589"/>
    <n v="26"/>
    <n v="388"/>
    <n v="0"/>
    <n v="3003"/>
    <n v="0"/>
    <n v="0"/>
    <n v="3003"/>
    <n v="0"/>
    <n v="3003"/>
    <m/>
    <m/>
    <m/>
    <s v="Syed Waqas"/>
    <n v="494.48"/>
    <n v="438.53"/>
    <m/>
  </r>
  <r>
    <n v="2282"/>
    <x v="325"/>
    <x v="1582"/>
    <s v=" -"/>
    <s v=" MOTOR"/>
    <d v="2025-01-10T00:00:00"/>
    <d v="2024-06-10T00:00:00"/>
    <d v="2025-06-09T00:00:00"/>
    <s v=" 08818046"/>
    <s v="Mr. Syed Afzal Gilani _x000a_CNIC No. 42000-3649422-3_x000a_Cell No. 0347-1233820"/>
    <m/>
    <s v="GLORY GLORY 580"/>
    <s v="BK-0640"/>
    <s v="SFG15T-21752907"/>
    <s v="PDF580PALR21K2650"/>
    <s v="2022"/>
    <m/>
    <m/>
    <s v=" D"/>
    <s v="09000210-Tariq Shahzad"/>
    <n v="5000000"/>
    <n v="2040"/>
    <n v="20"/>
    <n v="306"/>
    <n v="0"/>
    <n v="2366"/>
    <n v="0"/>
    <n v="0"/>
    <n v="2366"/>
    <n v="0"/>
    <n v="2366"/>
    <m/>
    <m/>
    <m/>
    <s v="Syed Waqas"/>
    <n v="459.16"/>
    <n v="345.35"/>
    <m/>
  </r>
  <r>
    <n v="2283"/>
    <x v="325"/>
    <x v="1583"/>
    <s v=" -"/>
    <s v=" MOTOR"/>
    <d v="2025-02-11T00:00:00"/>
    <d v="2024-06-10T00:00:00"/>
    <d v="2025-06-09T00:00:00"/>
    <s v=" 08818046"/>
    <s v="Mr. Syed Afzal Gilani _x000a_CNIC No. 42000-3649422-3_x000a_Cell No. 0347-1233820"/>
    <m/>
    <s v="GLORY GLORY 580"/>
    <s v="BK-0640"/>
    <s v="SFG15T-21752907"/>
    <s v="PDF580PALR21K2650"/>
    <s v="2022"/>
    <m/>
    <m/>
    <s v=" D"/>
    <s v="09000210-Tariq Shahzad"/>
    <n v="5000000"/>
    <n v="3488"/>
    <n v="35"/>
    <n v="523"/>
    <n v="0"/>
    <n v="4046"/>
    <n v="0"/>
    <n v="0"/>
    <n v="4046"/>
    <n v="0"/>
    <n v="4046"/>
    <m/>
    <m/>
    <m/>
    <s v="Syed Waqas"/>
    <n v="1972.0500000000002"/>
    <n v="590.98"/>
    <m/>
  </r>
  <r>
    <n v="2284"/>
    <x v="325"/>
    <x v="1584"/>
    <s v=" -"/>
    <s v=" MOTOR"/>
    <d v="2025-03-11T00:00:00"/>
    <d v="2024-06-10T00:00:00"/>
    <d v="2025-06-09T00:00:00"/>
    <s v=" 08818046"/>
    <s v="Mr. Syed Afzal Gilani _x000a_CNIC No. 42000-3649422-3_x000a_Cell No. 0347-1233820"/>
    <m/>
    <s v="GLORY GLORY 580"/>
    <s v="BK-0640"/>
    <s v="SFG15T-21752907"/>
    <s v="PDF580PALR21K2650"/>
    <s v="2022"/>
    <m/>
    <m/>
    <s v=" D"/>
    <s v="09000210-Tariq Shahzad"/>
    <n v="5000000"/>
    <n v="2048"/>
    <n v="20"/>
    <n v="307"/>
    <n v="0"/>
    <n v="2375"/>
    <n v="0"/>
    <n v="0"/>
    <n v="2375"/>
    <n v="0"/>
    <n v="2375"/>
    <m/>
    <m/>
    <m/>
    <s v="Syed Waqas"/>
    <n v="767.27000000000203"/>
    <n v="346.99"/>
    <m/>
  </r>
  <r>
    <n v="2285"/>
    <x v="325"/>
    <x v="1585"/>
    <s v=" -"/>
    <s v=" MOTOR"/>
    <d v="2025-03-29T00:00:00"/>
    <d v="2024-06-10T00:00:00"/>
    <d v="2025-06-09T00:00:00"/>
    <s v=" 08818046"/>
    <s v="Mr. Syed Afzal Gilani _x000a_CNIC No. 42000-3649422-3_x000a_Cell No. 0347-1233820"/>
    <m/>
    <s v="GLORY GLORY 580"/>
    <s v="BK-0640"/>
    <s v="SFG15T-21752907"/>
    <s v="PDF580PALR21K2650"/>
    <s v="2022"/>
    <m/>
    <m/>
    <s v=" D"/>
    <s v="09000210-Tariq Shahzad"/>
    <n v="-1"/>
    <n v="-14500"/>
    <n v="-128"/>
    <n v="0"/>
    <n v="0"/>
    <n v="-14628"/>
    <n v="0"/>
    <n v="0"/>
    <n v="-14628"/>
    <n v="0"/>
    <n v="-14628"/>
    <m/>
    <m/>
    <m/>
    <s v="Syed Waqas"/>
    <m/>
    <m/>
    <m/>
  </r>
  <r>
    <n v="2299"/>
    <x v="326"/>
    <x v="1586"/>
    <s v=" -"/>
    <s v=" MOTOR"/>
    <d v="2024-07-15T00:00:00"/>
    <d v="2024-06-12T00:00:00"/>
    <d v="2025-06-11T00:00:00"/>
    <s v=" 08816627"/>
    <s v="Mr. Muhammad Usama_x000a_CNIC No. 34101-4954824-3_x000a_Cell No. 03219141234"/>
    <m/>
    <s v="HYUNDAI SONATA"/>
    <s v="BZR-100"/>
    <s v="G4KMNA139160"/>
    <s v="PMHL341BMNN402565"/>
    <s v="2022"/>
    <m/>
    <m/>
    <s v=" D"/>
    <s v="09000210-Tariq Shahzad"/>
    <n v="9000000"/>
    <n v="8570"/>
    <n v="86"/>
    <n v="1286"/>
    <n v="0"/>
    <n v="9942"/>
    <n v="0"/>
    <n v="0"/>
    <n v="9942"/>
    <n v="0"/>
    <n v="9942"/>
    <m/>
    <m/>
    <m/>
    <s v="Syed Waqas"/>
    <n v="4370.8100000000441"/>
    <n v="806.10000000000105"/>
    <m/>
  </r>
  <r>
    <n v="2300"/>
    <x v="326"/>
    <x v="1587"/>
    <s v=" -"/>
    <s v=" MOTOR"/>
    <d v="2024-10-31T00:00:00"/>
    <d v="2024-06-12T00:00:00"/>
    <d v="2025-06-11T00:00:00"/>
    <s v=" 08816627"/>
    <s v="Mr. Muhammad Usama_x000a_CNIC No. 34101-4954824-3_x000a_Cell No. 03219141234"/>
    <m/>
    <s v="HYUNDAI SONATA"/>
    <s v="BZR-100"/>
    <s v="G4KMNA139160"/>
    <s v="PMHL341BMNN402565"/>
    <s v="2022"/>
    <m/>
    <m/>
    <s v=" D"/>
    <s v="09000210-Tariq Shahzad"/>
    <n v="-1"/>
    <n v="-8721"/>
    <n v="-87"/>
    <n v="-1134"/>
    <n v="0"/>
    <n v="-9942"/>
    <n v="0"/>
    <n v="0"/>
    <n v="-9942"/>
    <n v="0"/>
    <n v="-9942"/>
    <m/>
    <m/>
    <m/>
    <s v="Syed Waqas"/>
    <m/>
    <m/>
    <m/>
  </r>
  <r>
    <n v="2305"/>
    <x v="327"/>
    <x v="1588"/>
    <s v=" -"/>
    <s v=" MOTOR"/>
    <d v="2024-12-14T00:00:00"/>
    <d v="2024-06-13T00:00:00"/>
    <d v="2025-06-12T00:00:00"/>
    <s v=" 08818142"/>
    <s v="Mr. Syed Nadeem Ur Rehman _x000a_CNIC No. 42201-6654898-7_x000a_Cell No. 0310-2906615"/>
    <m/>
    <s v="SUZUKI SWIFT RS DLX"/>
    <s v="AZE-292"/>
    <s v="PKS13018485"/>
    <s v="RS413PK10018493"/>
    <s v="2013"/>
    <m/>
    <m/>
    <s v=" D"/>
    <s v="09000210-Tariq Shahzad"/>
    <n v="1800000"/>
    <n v="1548"/>
    <n v="15"/>
    <n v="232"/>
    <n v="0"/>
    <n v="1795"/>
    <n v="0"/>
    <n v="0"/>
    <n v="1795"/>
    <n v="0"/>
    <n v="1795"/>
    <m/>
    <m/>
    <m/>
    <s v="Syed Waqas"/>
    <n v="1005.0100000000001"/>
    <n v="727.56"/>
    <m/>
  </r>
  <r>
    <n v="2306"/>
    <x v="327"/>
    <x v="1589"/>
    <s v=" -"/>
    <s v=" MOTOR"/>
    <d v="2025-03-29T00:00:00"/>
    <d v="2024-06-13T00:00:00"/>
    <d v="2025-06-12T00:00:00"/>
    <s v=" 08818142"/>
    <s v="Mr. Syed Nadeem Ur Rehman _x000a_CNIC No. 42201-6654898-7_x000a_Cell No. 0310-2906615"/>
    <m/>
    <s v="SUZUKI SWIFT RS DLX"/>
    <s v="AZE-292"/>
    <s v="PKS13018485"/>
    <s v="RS413PK10018493"/>
    <s v="2013"/>
    <m/>
    <m/>
    <s v=" D"/>
    <s v="09000210-Tariq Shahzad"/>
    <n v="-1"/>
    <n v="-1779"/>
    <n v="-16"/>
    <n v="0"/>
    <n v="0"/>
    <n v="-1795"/>
    <n v="0"/>
    <n v="0"/>
    <n v="-1795"/>
    <n v="0"/>
    <n v="-1795"/>
    <m/>
    <m/>
    <m/>
    <s v="Syed Waqas"/>
    <m/>
    <m/>
    <m/>
  </r>
  <r>
    <n v="2322"/>
    <x v="328"/>
    <x v="1590"/>
    <s v=" -"/>
    <s v=" MOTOR"/>
    <d v="2024-12-24T00:00:00"/>
    <d v="2024-06-22T00:00:00"/>
    <d v="2025-06-21T00:00:00"/>
    <s v=" 08811870"/>
    <s v="Mr. Syed Raza Ali_x000a_CNIC: 42101-1768510-1_x000a_Phone Number: 03002034395"/>
    <m/>
    <s v="HONDA CITY"/>
    <s v="BNL-382"/>
    <s v="L15A79790531"/>
    <s v="NFBGM2669JR227334"/>
    <s v="2018"/>
    <m/>
    <m/>
    <s v=" D"/>
    <s v="09000210-Tariq Shahzad"/>
    <n v="3350000"/>
    <n v="3887"/>
    <n v="39"/>
    <n v="583"/>
    <n v="0"/>
    <n v="4509"/>
    <n v="0"/>
    <n v="0"/>
    <n v="4509"/>
    <n v="0"/>
    <n v="4509"/>
    <m/>
    <m/>
    <m/>
    <s v="Fizza Sheikh"/>
    <n v="1255.059999999999"/>
    <n v="980.98"/>
    <m/>
  </r>
  <r>
    <n v="2323"/>
    <x v="328"/>
    <x v="1591"/>
    <s v=" -"/>
    <s v=" MOTOR"/>
    <d v="2024-12-29T00:00:00"/>
    <d v="2024-06-22T00:00:00"/>
    <d v="2025-06-21T00:00:00"/>
    <s v=" 08811870"/>
    <s v="Mr. Syed Raza Ali_x000a_CNIC: 42101-1768510-1_x000a_Phone Number: 03002034395"/>
    <m/>
    <s v="HONDA CITY"/>
    <s v="BNL-382"/>
    <s v="L15A79790531"/>
    <s v="NFBGM2669JR227334"/>
    <s v="2018"/>
    <m/>
    <m/>
    <s v=" D"/>
    <s v="09000210-Tariq Shahzad"/>
    <n v="-1"/>
    <n v="-4464"/>
    <n v="-45"/>
    <n v="0"/>
    <n v="0"/>
    <n v="-4509"/>
    <n v="0"/>
    <n v="0"/>
    <n v="-4509"/>
    <n v="0"/>
    <n v="-4509"/>
    <m/>
    <m/>
    <m/>
    <s v="Fizza Sheikh"/>
    <m/>
    <m/>
    <m/>
  </r>
  <r>
    <n v="2324"/>
    <x v="329"/>
    <x v="1592"/>
    <s v=" -"/>
    <s v=" MOTOR"/>
    <d v="2024-11-16T00:00:00"/>
    <d v="2024-06-15T00:00:00"/>
    <d v="2025-06-14T00:00:00"/>
    <s v=" 08808960"/>
    <s v="Mr. Muhammad Rizwan Khan _x000a_CNIC No. 42401-8201191-1_x000a_Cell No. 0312-6889113"/>
    <m/>
    <s v="HONDA VEZEL HYBRID A/T."/>
    <s v="BH-2965"/>
    <s v="LEB-H15932465"/>
    <s v="RU3-1232452"/>
    <s v="2016"/>
    <m/>
    <m/>
    <s v=" D"/>
    <s v="09000210-Tariq Shahzad"/>
    <n v="5000000"/>
    <n v="5617"/>
    <n v="56"/>
    <n v="843"/>
    <n v="0"/>
    <n v="6516"/>
    <n v="0"/>
    <n v="0"/>
    <n v="6516"/>
    <n v="0"/>
    <n v="6516"/>
    <m/>
    <m/>
    <m/>
    <s v="Syed Waqas"/>
    <n v="1228.490000000003"/>
    <n v="951.47000000000105"/>
    <m/>
  </r>
  <r>
    <n v="2325"/>
    <x v="329"/>
    <x v="1593"/>
    <s v=" -"/>
    <s v=" MOTOR"/>
    <d v="2024-12-16T00:00:00"/>
    <d v="2024-06-15T00:00:00"/>
    <d v="2025-06-14T00:00:00"/>
    <s v=" 08808960"/>
    <s v="Mr. Muhammad Rizwan Khan _x000a_CNIC No. 42401-8201191-1_x000a_Cell No. 0312-6889113"/>
    <m/>
    <s v="HONDA VEZEL HYBRID A/T."/>
    <s v="BH-2965"/>
    <s v="LEB-H15932465"/>
    <s v="RU3-1232452"/>
    <s v="2016"/>
    <m/>
    <m/>
    <s v=" D"/>
    <s v="09000210-Tariq Shahzad"/>
    <n v="5000000"/>
    <n v="4655"/>
    <n v="47"/>
    <n v="698"/>
    <n v="0"/>
    <n v="5400"/>
    <n v="0"/>
    <n v="0"/>
    <n v="5400"/>
    <n v="0"/>
    <n v="5400"/>
    <m/>
    <m/>
    <m/>
    <s v="Syed Waqas"/>
    <n v="2109.0100000000343"/>
    <n v="788.95000000000107"/>
    <m/>
  </r>
  <r>
    <n v="2326"/>
    <x v="329"/>
    <x v="1594"/>
    <s v=" -"/>
    <s v=" MOTOR"/>
    <d v="2025-01-16T00:00:00"/>
    <d v="2024-06-15T00:00:00"/>
    <d v="2025-06-14T00:00:00"/>
    <s v=" 08808960"/>
    <s v="Mr. Muhammad Rizwan Khan _x000a_CNIC No. 42401-8201191-1_x000a_Cell No. 0312-6889113"/>
    <m/>
    <s v="HONDA VEZEL HYBRID A/T."/>
    <s v="BH-2965"/>
    <s v="LEB-H15932465"/>
    <s v="RU3-1232452"/>
    <s v="2016"/>
    <m/>
    <m/>
    <s v=" D"/>
    <s v="09000210-Tariq Shahzad"/>
    <n v="5000000"/>
    <n v="5287"/>
    <n v="53"/>
    <n v="793"/>
    <n v="0"/>
    <n v="6133"/>
    <n v="0"/>
    <n v="0"/>
    <n v="6133"/>
    <n v="0"/>
    <n v="6133"/>
    <m/>
    <m/>
    <m/>
    <s v="Syed Waqas"/>
    <n v="2224.5900000000333"/>
    <n v="895.77000000000112"/>
    <m/>
  </r>
  <r>
    <n v="2327"/>
    <x v="329"/>
    <x v="1595"/>
    <s v=" -"/>
    <s v=" MOTOR"/>
    <d v="2025-02-17T00:00:00"/>
    <d v="2024-06-15T00:00:00"/>
    <d v="2025-06-14T00:00:00"/>
    <s v=" 08808960"/>
    <s v="Mr. Muhammad Rizwan Khan _x000a_CNIC No. 42401-8201191-1_x000a_Cell No. 0312-6889113"/>
    <m/>
    <s v="HONDA VEZEL HYBRID A/T."/>
    <s v="BH-2965"/>
    <s v="LEB-H15932465"/>
    <s v="RU3-1232452"/>
    <s v="2016"/>
    <m/>
    <m/>
    <s v=" D"/>
    <s v="09000210-Tariq Shahzad"/>
    <n v="5000000"/>
    <n v="7406"/>
    <n v="74"/>
    <n v="1111"/>
    <n v="0"/>
    <n v="8591"/>
    <n v="0"/>
    <n v="0"/>
    <n v="8591"/>
    <n v="0"/>
    <n v="8591"/>
    <m/>
    <m/>
    <m/>
    <s v="Syed Waqas"/>
    <n v="1871.8599999999963"/>
    <n v="1254.75"/>
    <m/>
  </r>
  <r>
    <n v="2328"/>
    <x v="329"/>
    <x v="1596"/>
    <s v=" -"/>
    <s v=" MOTOR"/>
    <d v="2025-03-17T00:00:00"/>
    <d v="2024-06-15T00:00:00"/>
    <d v="2025-06-14T00:00:00"/>
    <s v=" 08808960"/>
    <s v="Mr. Muhammad Rizwan Khan _x000a_CNIC No. 42401-8201191-1_x000a_Cell No. 0312-6889113"/>
    <m/>
    <s v="HONDA VEZEL HYBRID A/T."/>
    <s v="BH-2965"/>
    <s v="LEB-H15932465"/>
    <s v="RU3-1232452"/>
    <s v="2016"/>
    <m/>
    <m/>
    <s v=" D"/>
    <s v="09000210-Tariq Shahzad"/>
    <n v="5000000"/>
    <n v="5944"/>
    <n v="59"/>
    <n v="891"/>
    <n v="0"/>
    <n v="6894"/>
    <n v="0"/>
    <n v="0"/>
    <n v="6894"/>
    <n v="0"/>
    <n v="6894"/>
    <m/>
    <m/>
    <m/>
    <s v="Syed Waqas"/>
    <n v="2181.4600000000219"/>
    <n v="1007.13"/>
    <m/>
  </r>
  <r>
    <n v="2329"/>
    <x v="329"/>
    <x v="1597"/>
    <s v=" -"/>
    <s v=" MOTOR"/>
    <d v="2025-03-29T00:00:00"/>
    <d v="2024-06-15T00:00:00"/>
    <d v="2025-06-14T00:00:00"/>
    <s v=" 08808960"/>
    <s v="Mr. Muhammad Rizwan Khan _x000a_CNIC No. 42401-8201191-1_x000a_Cell No. 0312-6889113"/>
    <m/>
    <s v="HONDA VEZEL HYBRID A/T."/>
    <s v="BH-2965"/>
    <s v="LEB-H15932465"/>
    <s v="RU3-1232452"/>
    <s v="2016"/>
    <m/>
    <m/>
    <s v=" D"/>
    <s v="09000210-Tariq Shahzad"/>
    <n v="-1"/>
    <n v="-33240"/>
    <n v="-294"/>
    <n v="0"/>
    <n v="0"/>
    <n v="-33534"/>
    <n v="0"/>
    <n v="0"/>
    <n v="-33534"/>
    <n v="0"/>
    <n v="-33534"/>
    <m/>
    <m/>
    <m/>
    <s v="Syed Waqas"/>
    <m/>
    <m/>
    <m/>
  </r>
  <r>
    <n v="2360"/>
    <x v="330"/>
    <x v="24"/>
    <s v=" -"/>
    <s v=" MOTOR"/>
    <d v="2024-06-28T00:00:00"/>
    <d v="2024-06-28T00:00:00"/>
    <d v="2025-06-27T00:00:00"/>
    <s v=" 08811317"/>
    <s v="Mr. Raja Imran Arif_x000a_CNIC No. 82102-7167702-9_x000a_Cell No. 0333-3622854"/>
    <m/>
    <s v="SUZUKI MEHRAN"/>
    <s v="LEC-18-2741"/>
    <s v="PKB721932"/>
    <s v="SB308PK01260435"/>
    <s v="2018"/>
    <m/>
    <m/>
    <s v=" D"/>
    <s v="09000210-Tariq Shahzad"/>
    <n v="-1"/>
    <n v="0"/>
    <n v="0"/>
    <n v="0"/>
    <n v="50"/>
    <n v="50"/>
    <n v="0"/>
    <n v="0"/>
    <n v="50"/>
    <n v="0"/>
    <n v="50"/>
    <m/>
    <m/>
    <m/>
    <s v="Direct Client"/>
    <m/>
    <m/>
    <s v="rajaimran_arja@yahoo.com"/>
  </r>
  <r>
    <n v="2361"/>
    <x v="330"/>
    <x v="1598"/>
    <s v=" -"/>
    <s v=" MOTOR"/>
    <d v="2024-07-30T00:00:00"/>
    <d v="2024-06-28T00:00:00"/>
    <d v="2025-06-27T00:00:00"/>
    <s v=" 08811317"/>
    <s v="Mr. Raja Imran Arif_x000a_CNIC No. 82102-7167702-9_x000a_Cell No. 0333-3622854"/>
    <m/>
    <s v="SUZUKI MEHRAN"/>
    <s v="LEC-18-2741"/>
    <s v="PKB721932"/>
    <s v="SB308PK01260435"/>
    <s v="2018"/>
    <m/>
    <m/>
    <s v=" D"/>
    <s v="09000210-Tariq Shahzad"/>
    <n v="1200000"/>
    <n v="497"/>
    <n v="5"/>
    <n v="75"/>
    <n v="0"/>
    <n v="577"/>
    <n v="0"/>
    <n v="0"/>
    <n v="577"/>
    <n v="0"/>
    <n v="577"/>
    <m/>
    <m/>
    <m/>
    <s v="Direct Client"/>
    <n v="757.95"/>
    <n v="351.42000000000007"/>
    <m/>
  </r>
  <r>
    <n v="2362"/>
    <x v="330"/>
    <x v="1599"/>
    <s v=" -"/>
    <s v=" MOTOR"/>
    <d v="2024-08-31T00:00:00"/>
    <d v="2024-06-28T00:00:00"/>
    <d v="2025-06-27T00:00:00"/>
    <s v=" 08811317"/>
    <s v="Mr. Raja Imran Arif_x000a_CNIC No. 82102-7167702-9_x000a_Cell No. 0333-3622854"/>
    <m/>
    <s v="SUZUKI MEHRAN"/>
    <s v="LEC-18-2741"/>
    <s v="PKB721932"/>
    <s v="SB308PK01260435"/>
    <s v="2018"/>
    <m/>
    <m/>
    <s v=" D"/>
    <s v="09000210-Tariq Shahzad"/>
    <n v="1200000"/>
    <n v="622"/>
    <n v="6"/>
    <n v="93"/>
    <n v="0"/>
    <n v="721"/>
    <n v="0"/>
    <n v="0"/>
    <n v="721"/>
    <n v="0"/>
    <n v="721"/>
    <m/>
    <m/>
    <m/>
    <s v="Direct Client"/>
    <n v="458.96"/>
    <n v="438.0800000000001"/>
    <m/>
  </r>
  <r>
    <n v="2363"/>
    <x v="330"/>
    <x v="1600"/>
    <s v=" -"/>
    <s v=" MOTOR"/>
    <d v="2024-10-05T00:00:00"/>
    <d v="2024-06-28T00:00:00"/>
    <d v="2025-06-27T00:00:00"/>
    <s v=" 08811317"/>
    <s v="Mr. Raja Imran Arif_x000a_CNIC No. 82102-7167702-9_x000a_Cell No. 0333-3622854"/>
    <m/>
    <s v="SUZUKI MEHRAN"/>
    <s v="LEC-18-2741"/>
    <s v="PKB721932"/>
    <s v="SB308PK01260435"/>
    <s v="2018"/>
    <m/>
    <m/>
    <s v=" D"/>
    <s v="09000210-Tariq Shahzad"/>
    <n v="1200000"/>
    <n v="488"/>
    <n v="5"/>
    <n v="73"/>
    <n v="0"/>
    <n v="566"/>
    <n v="0"/>
    <n v="0"/>
    <n v="566"/>
    <n v="0"/>
    <n v="566"/>
    <m/>
    <m/>
    <m/>
    <s v="Direct Client"/>
    <n v="354.2"/>
    <n v="344.59"/>
    <m/>
  </r>
  <r>
    <n v="2364"/>
    <x v="330"/>
    <x v="1601"/>
    <s v=" -"/>
    <s v=" MOTOR"/>
    <d v="2024-10-30T00:00:00"/>
    <d v="2024-06-28T00:00:00"/>
    <d v="2025-06-27T00:00:00"/>
    <s v=" 08811317"/>
    <s v="Mr. Raja Imran Arif_x000a_CNIC No. 82102-7167702-9_x000a_Cell No. 0333-3622854"/>
    <m/>
    <s v="SUZUKI MEHRAN"/>
    <s v="LEC-18-2741"/>
    <s v="PKB721932"/>
    <s v="SB308PK01260435"/>
    <s v="2018"/>
    <m/>
    <m/>
    <s v=" D"/>
    <s v="09000210-Tariq Shahzad"/>
    <n v="1200000"/>
    <n v="994"/>
    <n v="10"/>
    <n v="149"/>
    <n v="0"/>
    <n v="1153"/>
    <n v="0"/>
    <n v="0"/>
    <n v="1153"/>
    <n v="0"/>
    <n v="1153"/>
    <m/>
    <m/>
    <m/>
    <s v="Direct Client"/>
    <n v="1235.5400000000059"/>
    <n v="701.27"/>
    <m/>
  </r>
  <r>
    <n v="2365"/>
    <x v="330"/>
    <x v="1602"/>
    <s v=" -"/>
    <s v=" MOTOR"/>
    <d v="2024-11-29T00:00:00"/>
    <d v="2024-06-28T00:00:00"/>
    <d v="2025-06-27T00:00:00"/>
    <s v=" 08811317"/>
    <s v="Mr. Raja Imran Arif_x000a_CNIC No. 82102-7167702-9_x000a_Cell No. 0333-3622854"/>
    <m/>
    <s v="SUZUKI MEHRAN"/>
    <s v="LEC-18-2741"/>
    <s v="PKB721932"/>
    <s v="SB308PK01260435"/>
    <s v="2018"/>
    <m/>
    <m/>
    <s v=" D"/>
    <s v="09000210-Tariq Shahzad"/>
    <n v="1200000"/>
    <n v="543"/>
    <n v="5"/>
    <n v="81"/>
    <n v="0"/>
    <n v="629"/>
    <n v="0"/>
    <n v="0"/>
    <n v="629"/>
    <n v="0"/>
    <n v="629"/>
    <m/>
    <m/>
    <m/>
    <s v="Direct Client"/>
    <n v="448.2700000000001"/>
    <n v="383.24"/>
    <m/>
  </r>
  <r>
    <n v="2366"/>
    <x v="330"/>
    <x v="1603"/>
    <s v=" -"/>
    <s v=" MOTOR"/>
    <d v="2024-12-29T00:00:00"/>
    <d v="2024-06-28T00:00:00"/>
    <d v="2025-06-27T00:00:00"/>
    <s v=" 08811317"/>
    <s v="Mr. Raja Imran Arif_x000a_CNIC No. 82102-7167702-9_x000a_Cell No. 0333-3622854"/>
    <m/>
    <s v="SUZUKI MEHRAN"/>
    <s v="LEC-18-2741"/>
    <s v="PKB721932"/>
    <s v="SB308PK01260435"/>
    <s v="2018"/>
    <m/>
    <m/>
    <s v=" D"/>
    <s v="09000210-Tariq Shahzad"/>
    <n v="-1"/>
    <n v="-3659"/>
    <n v="-37"/>
    <n v="0"/>
    <n v="0"/>
    <n v="-3696"/>
    <n v="0"/>
    <n v="0"/>
    <n v="-3696"/>
    <n v="0"/>
    <n v="-3696"/>
    <m/>
    <m/>
    <m/>
    <s v="Direct Client"/>
    <m/>
    <m/>
    <m/>
  </r>
  <r>
    <n v="2374"/>
    <x v="331"/>
    <x v="1604"/>
    <s v=" -"/>
    <s v=" MOTOR"/>
    <d v="2024-07-25T00:00:00"/>
    <d v="2024-06-21T00:00:00"/>
    <d v="2025-06-20T00:00:00"/>
    <s v=" 08811881"/>
    <s v="Mr. Naveed Iqbal_x000a_CNIC: 42201-5128722-3_x000a_Phone Number: 03452962014"/>
    <m/>
    <s v="SUZUKI CULTUS"/>
    <s v="BPZ-776"/>
    <s v="PK10K144374"/>
    <s v="NF1AVK31H10044183"/>
    <s v="2019"/>
    <m/>
    <m/>
    <s v=" D"/>
    <s v="09000210-Tariq Shahzad"/>
    <n v="1800000"/>
    <n v="908"/>
    <n v="9"/>
    <n v="136"/>
    <n v="0"/>
    <n v="1053"/>
    <n v="0"/>
    <n v="0"/>
    <n v="1053"/>
    <n v="0"/>
    <n v="1053"/>
    <m/>
    <m/>
    <m/>
    <s v="Maria Tauqeer"/>
    <n v="426.29"/>
    <n v="426.29"/>
    <m/>
  </r>
  <r>
    <n v="2375"/>
    <x v="331"/>
    <x v="1605"/>
    <s v=" -"/>
    <s v=" MOTOR"/>
    <d v="2024-08-22T00:00:00"/>
    <d v="2024-06-21T00:00:00"/>
    <d v="2025-06-20T00:00:00"/>
    <s v=" 08811881"/>
    <s v="Mr. Naveed Iqbal_x000a_CNIC: 42201-5128722-3_x000a_Phone Number: 03452962014"/>
    <m/>
    <s v="SUZUKI CULTUS"/>
    <s v="BPZ-776"/>
    <s v="PK10K144374"/>
    <s v="NF1AVK31H10044183"/>
    <s v="2019"/>
    <m/>
    <m/>
    <s v=" D"/>
    <s v="09000210-Tariq Shahzad"/>
    <n v="1800000"/>
    <n v="701"/>
    <n v="7"/>
    <n v="105"/>
    <n v="0"/>
    <n v="813"/>
    <n v="0"/>
    <n v="0"/>
    <n v="813"/>
    <n v="0"/>
    <n v="813"/>
    <m/>
    <m/>
    <m/>
    <s v="Maria Tauqeer"/>
    <n v="331.04"/>
    <n v="331.04"/>
    <m/>
  </r>
  <r>
    <n v="2376"/>
    <x v="331"/>
    <x v="1606"/>
    <s v=" -"/>
    <s v=" MOTOR"/>
    <d v="2024-09-26T00:00:00"/>
    <d v="2024-06-21T00:00:00"/>
    <d v="2025-06-20T00:00:00"/>
    <s v=" 08811881"/>
    <s v="Mr. Naveed Iqbal_x000a_CNIC: 42201-5128722-3_x000a_Phone Number: 03452962014"/>
    <m/>
    <s v="SUZUKI CULTUS"/>
    <s v="BPZ-776"/>
    <s v="PK10K144374"/>
    <s v="NF1AVK31H10044183"/>
    <s v="2019"/>
    <m/>
    <m/>
    <s v=" D"/>
    <s v="09000210-Tariq Shahzad"/>
    <n v="1800000"/>
    <n v="800"/>
    <n v="8"/>
    <n v="120"/>
    <n v="0"/>
    <n v="928"/>
    <n v="0"/>
    <n v="0"/>
    <n v="928"/>
    <n v="0"/>
    <n v="928"/>
    <m/>
    <m/>
    <m/>
    <s v="Maria Tauqeer"/>
    <n v="376.38"/>
    <n v="376.38"/>
    <m/>
  </r>
  <r>
    <n v="2377"/>
    <x v="331"/>
    <x v="1607"/>
    <s v=" -"/>
    <s v=" MOTOR"/>
    <d v="2024-10-21T00:00:00"/>
    <d v="2024-06-21T00:00:00"/>
    <d v="2025-06-20T00:00:00"/>
    <s v=" 08811881"/>
    <s v="Mr. Naveed Iqbal_x000a_CNIC: 42201-5128722-3_x000a_Phone Number: 03452962014"/>
    <m/>
    <s v="SUZUKI CULTUS"/>
    <s v="BPZ-776"/>
    <s v="PK10K144374"/>
    <s v="NF1AVK31H10044183"/>
    <s v="2019"/>
    <m/>
    <m/>
    <s v=" D"/>
    <s v="09000210-Tariq Shahzad"/>
    <n v="1800000"/>
    <n v="1051"/>
    <n v="11"/>
    <n v="158"/>
    <n v="0"/>
    <n v="1220"/>
    <n v="0"/>
    <n v="0"/>
    <n v="1220"/>
    <n v="0"/>
    <n v="1220"/>
    <m/>
    <m/>
    <m/>
    <s v="Maria Tauqeer"/>
    <n v="495.32000000000005"/>
    <n v="495.32000000000005"/>
    <m/>
  </r>
  <r>
    <n v="2378"/>
    <x v="331"/>
    <x v="1608"/>
    <s v=" -"/>
    <s v=" MOTOR"/>
    <d v="2024-11-22T00:00:00"/>
    <d v="2024-06-21T00:00:00"/>
    <d v="2025-06-20T00:00:00"/>
    <s v=" 08811881"/>
    <s v="Mr. Naveed Iqbal_x000a_CNIC: 42201-5128722-3_x000a_Phone Number: 03452962014"/>
    <m/>
    <s v="SUZUKI CULTUS"/>
    <s v="BPZ-776"/>
    <s v="PK10K144374"/>
    <s v="NF1AVK31H10044183"/>
    <s v="2019"/>
    <m/>
    <m/>
    <s v=" D"/>
    <s v="09000210-Tariq Shahzad"/>
    <n v="1800000"/>
    <n v="777"/>
    <n v="8"/>
    <n v="117"/>
    <n v="0"/>
    <n v="902"/>
    <n v="0"/>
    <n v="0"/>
    <n v="902"/>
    <n v="0"/>
    <n v="902"/>
    <m/>
    <m/>
    <m/>
    <s v="Maria Tauqeer"/>
    <n v="366.6"/>
    <n v="366.6"/>
    <m/>
  </r>
  <r>
    <n v="2379"/>
    <x v="331"/>
    <x v="1609"/>
    <s v=" -"/>
    <s v=" MOTOR"/>
    <d v="2024-12-23T00:00:00"/>
    <d v="2024-06-21T00:00:00"/>
    <d v="2025-06-20T00:00:00"/>
    <s v=" 08811881"/>
    <s v="Mr. Naveed Iqbal_x000a_CNIC: 42201-5128722-3_x000a_Phone Number: 03452962014"/>
    <m/>
    <s v="SUZUKI CULTUS"/>
    <s v="BPZ-776"/>
    <s v="PK10K144374"/>
    <s v="NF1AVK31H10044183"/>
    <s v="2019"/>
    <m/>
    <m/>
    <s v=" D"/>
    <s v="09000210-Tariq Shahzad"/>
    <n v="1800000"/>
    <n v="797"/>
    <n v="8"/>
    <n v="120"/>
    <n v="0"/>
    <n v="925"/>
    <n v="0"/>
    <n v="0"/>
    <n v="925"/>
    <n v="0"/>
    <n v="925"/>
    <m/>
    <m/>
    <m/>
    <s v="Maria Tauqeer"/>
    <n v="375.96"/>
    <n v="375.96"/>
    <m/>
  </r>
  <r>
    <n v="2380"/>
    <x v="331"/>
    <x v="1610"/>
    <s v=" -"/>
    <s v=" MOTOR"/>
    <d v="2024-12-29T00:00:00"/>
    <d v="2024-06-21T00:00:00"/>
    <d v="2025-06-20T00:00:00"/>
    <s v=" 08811881"/>
    <s v="Mr. Naveed Iqbal_x000a_CNIC: 42201-5128722-3_x000a_Phone Number: 03452962014"/>
    <m/>
    <s v="SUZUKI CULTUS"/>
    <s v="BPZ-776"/>
    <s v="PK10K144374"/>
    <s v="NF1AVK31H10044183"/>
    <s v="2019"/>
    <m/>
    <m/>
    <s v=" D"/>
    <s v="09000210-Tariq Shahzad"/>
    <n v="-1"/>
    <n v="-5783"/>
    <n v="-58"/>
    <n v="0"/>
    <n v="0"/>
    <n v="-5841"/>
    <n v="0"/>
    <n v="0"/>
    <n v="-5841"/>
    <n v="0"/>
    <n v="-5841"/>
    <m/>
    <m/>
    <m/>
    <s v="Maria Tauqeer"/>
    <m/>
    <m/>
    <m/>
  </r>
  <r>
    <n v="2382"/>
    <x v="332"/>
    <x v="1611"/>
    <s v=" -"/>
    <s v=" MOTOR"/>
    <d v="2024-09-24T00:00:00"/>
    <d v="2024-06-20T00:00:00"/>
    <d v="2025-06-19T00:00:00"/>
    <s v=" 08003111"/>
    <s v="Mr. Athar Ahmed Khan_x000a_CNIC: 42101-1623455-7_x000a_Phone Number: 0336-2153284"/>
    <m/>
    <s v="TOYOTA YARIS GLI MT"/>
    <s v="BXH-862"/>
    <s v="2A-53539"/>
    <s v="NSP150R-7033843"/>
    <s v="2022"/>
    <m/>
    <m/>
    <s v=" D"/>
    <s v="09000210-Tariq Shahzad"/>
    <n v="4000000"/>
    <n v="172"/>
    <n v="2"/>
    <n v="26"/>
    <n v="0"/>
    <n v="200"/>
    <n v="0"/>
    <n v="0"/>
    <n v="200"/>
    <n v="0"/>
    <n v="200"/>
    <m/>
    <m/>
    <m/>
    <s v="Direct Client"/>
    <n v="36.359999999999985"/>
    <n v="36.359999999999985"/>
    <m/>
  </r>
  <r>
    <n v="2383"/>
    <x v="332"/>
    <x v="1612"/>
    <s v=" -"/>
    <s v=" MOTOR"/>
    <d v="2024-10-23T00:00:00"/>
    <d v="2024-06-20T00:00:00"/>
    <d v="2025-06-19T00:00:00"/>
    <s v=" 08003111"/>
    <s v="Mr. Athar Ahmed Khan_x000a_CNIC: 42101-1623455-7_x000a_Phone Number: 0336-2153284"/>
    <m/>
    <s v="TOYOTA YARIS GLI MT"/>
    <s v="BXH-862"/>
    <s v="2A-53539"/>
    <s v="NSP150R-7033843"/>
    <s v="2022"/>
    <m/>
    <m/>
    <s v=" D"/>
    <s v="09000210-Tariq Shahzad"/>
    <n v="4000000"/>
    <n v="2850"/>
    <n v="28"/>
    <n v="427"/>
    <n v="0"/>
    <n v="3305"/>
    <n v="0"/>
    <n v="0"/>
    <n v="3305"/>
    <n v="0"/>
    <n v="3305"/>
    <m/>
    <m/>
    <m/>
    <s v="Direct Client"/>
    <n v="2280.9399999999905"/>
    <n v="602.52"/>
    <m/>
  </r>
  <r>
    <n v="2384"/>
    <x v="332"/>
    <x v="1613"/>
    <s v=" -"/>
    <s v=" MOTOR"/>
    <d v="2024-10-31T00:00:00"/>
    <d v="2024-06-20T00:00:00"/>
    <d v="2025-06-19T00:00:00"/>
    <s v=" 08003111"/>
    <s v="Mr. Athar Ahmed Khan_x000a_CNIC: 42101-1623455-7_x000a_Phone Number: 0336-2153284"/>
    <m/>
    <s v="TOYOTA YARIS GLI MT"/>
    <s v="BXH-862"/>
    <s v="2A-53539"/>
    <s v="NSP150R-7033843"/>
    <s v="2022"/>
    <m/>
    <m/>
    <s v=" D"/>
    <s v="09000210-Tariq Shahzad"/>
    <n v="-1"/>
    <n v="-3022"/>
    <n v="-30"/>
    <n v="-453"/>
    <n v="0"/>
    <n v="-3505"/>
    <n v="0"/>
    <n v="0"/>
    <n v="-3505"/>
    <n v="0"/>
    <n v="-3505"/>
    <m/>
    <m/>
    <m/>
    <s v="Direct Client"/>
    <m/>
    <m/>
    <m/>
  </r>
  <r>
    <n v="2388"/>
    <x v="333"/>
    <x v="24"/>
    <s v=" -"/>
    <s v=" MOTOR"/>
    <d v="2024-07-05T00:00:00"/>
    <d v="2024-07-05T00:00:00"/>
    <d v="2025-07-04T00:00:00"/>
    <s v=" 08004913"/>
    <s v="Mr. Syed Muhammad Ali Zaidi_x000a_CNIC No. 4250177909083 _x000a_Cell No. 0344-3089395"/>
    <m/>
    <s v="SUZUKI CULTUS VXL"/>
    <s v="BTU-608"/>
    <s v="PK10K174723"/>
    <s v="NF1AVK31H10074709"/>
    <s v="2021"/>
    <m/>
    <m/>
    <s v=" D"/>
    <s v="09000210-Tariq Shahzad"/>
    <n v="-1"/>
    <n v="3879"/>
    <n v="39"/>
    <n v="582"/>
    <n v="500"/>
    <n v="5000"/>
    <n v="0"/>
    <n v="0"/>
    <n v="5000"/>
    <n v="0"/>
    <n v="5000"/>
    <m/>
    <m/>
    <m/>
    <s v="Ali Zaidi"/>
    <m/>
    <m/>
    <s v="ali.zaidi@salaamtakaful.com"/>
  </r>
  <r>
    <n v="2389"/>
    <x v="333"/>
    <x v="1614"/>
    <s v=" -"/>
    <s v=" MOTOR"/>
    <d v="2024-08-07T00:00:00"/>
    <d v="2024-07-05T00:00:00"/>
    <d v="2025-07-04T00:00:00"/>
    <s v=" 08004913"/>
    <s v="Mr. Syed Muhammad Ali Zaidi_x000a_CNIC No. 4250177909083 _x000a_Cell No. 0344-3089395"/>
    <m/>
    <s v="SUZUKI CULTUS VXL"/>
    <s v="BTU-608"/>
    <s v="PK10K174723"/>
    <s v="NF1AVK31H10074709"/>
    <s v="2021"/>
    <m/>
    <m/>
    <s v=" D"/>
    <s v="09000210-Tariq Shahzad"/>
    <n v="2800000"/>
    <n v="2781"/>
    <n v="28"/>
    <n v="417"/>
    <n v="0"/>
    <n v="3226"/>
    <n v="0"/>
    <n v="0"/>
    <n v="3226"/>
    <n v="0"/>
    <n v="3226"/>
    <m/>
    <m/>
    <m/>
    <s v="Ali Zaidi"/>
    <n v="1016.87"/>
    <n v="839.73"/>
    <m/>
  </r>
  <r>
    <n v="2390"/>
    <x v="333"/>
    <x v="1615"/>
    <s v=" -"/>
    <s v=" MOTOR"/>
    <d v="2024-09-06T00:00:00"/>
    <d v="2024-07-05T00:00:00"/>
    <d v="2025-07-04T00:00:00"/>
    <s v=" 08004913"/>
    <s v="Mr. Syed Muhammad Ali Zaidi_x000a_CNIC No. 4250177909083 _x000a_Cell No. 0344-3089395"/>
    <m/>
    <s v="SUZUKI CULTUS VXL"/>
    <s v="BTU-608"/>
    <s v="PK10K174723"/>
    <s v="NF1AVK31H10074709"/>
    <s v="2021"/>
    <m/>
    <m/>
    <s v=" D"/>
    <s v="09000210-Tariq Shahzad"/>
    <n v="2800000"/>
    <n v="1844"/>
    <n v="18"/>
    <n v="276"/>
    <n v="0"/>
    <n v="2138"/>
    <n v="0"/>
    <n v="0"/>
    <n v="2138"/>
    <n v="0"/>
    <n v="2138"/>
    <m/>
    <m/>
    <m/>
    <s v="Ali Zaidi"/>
    <n v="784.91999999999894"/>
    <n v="556.72"/>
    <m/>
  </r>
  <r>
    <n v="2391"/>
    <x v="333"/>
    <x v="1616"/>
    <s v=" -"/>
    <s v=" MOTOR"/>
    <d v="2024-10-09T00:00:00"/>
    <d v="2024-07-05T00:00:00"/>
    <d v="2025-07-04T00:00:00"/>
    <s v=" 08004913"/>
    <s v="Mr. Syed Muhammad Ali Zaidi_x000a_CNIC No. 4250177909083 _x000a_Cell No. 0344-3089395"/>
    <m/>
    <s v="SUZUKI CULTUS VXL"/>
    <s v="BTU-608"/>
    <s v="PK10K174723"/>
    <s v="NF1AVK31H10074709"/>
    <s v="2021"/>
    <m/>
    <m/>
    <s v=" D"/>
    <s v="09000210-Tariq Shahzad"/>
    <n v="2800000"/>
    <n v="596"/>
    <n v="6"/>
    <n v="89"/>
    <n v="0"/>
    <n v="691"/>
    <n v="0"/>
    <n v="0"/>
    <n v="691"/>
    <n v="0"/>
    <n v="691"/>
    <m/>
    <m/>
    <m/>
    <s v="Ali Zaidi"/>
    <n v="260.94999999999902"/>
    <n v="180.03"/>
    <m/>
  </r>
  <r>
    <n v="2392"/>
    <x v="333"/>
    <x v="1617"/>
    <s v=" -"/>
    <s v=" MOTOR"/>
    <d v="2025-03-29T00:00:00"/>
    <d v="2024-07-05T00:00:00"/>
    <d v="2025-07-04T00:00:00"/>
    <s v=" 08004913"/>
    <s v="Mr. Syed Muhammad Ali Zaidi_x000a_CNIC No. 4250177909083 _x000a_Cell No. 0344-3089395"/>
    <m/>
    <s v="SUZUKI CULTUS VXL"/>
    <s v="BTU-608"/>
    <s v="PK10K174723"/>
    <s v="NF1AVK31H10074709"/>
    <s v="2021"/>
    <m/>
    <m/>
    <s v=" D"/>
    <s v="09000210-Tariq Shahzad"/>
    <n v="-1"/>
    <n v="-10960"/>
    <n v="-95"/>
    <n v="0"/>
    <n v="0"/>
    <n v="-11055"/>
    <n v="0"/>
    <n v="0"/>
    <n v="-11055"/>
    <n v="0"/>
    <n v="-11055"/>
    <m/>
    <m/>
    <m/>
    <s v="Ali Zaidi"/>
    <m/>
    <m/>
    <m/>
  </r>
  <r>
    <n v="2402"/>
    <x v="334"/>
    <x v="1618"/>
    <s v=" -"/>
    <s v=" MOTOR"/>
    <d v="2024-08-13T00:00:00"/>
    <d v="2024-07-11T00:00:00"/>
    <d v="2025-07-10T00:00:00"/>
    <s v=" 08818585"/>
    <s v="Mrs. Ayesha Shoaib _x000a_CNIC No. 61101-3930402-0_x000a_Cell No. 0300-0330116"/>
    <m/>
    <s v="TOYOTA YARIS ATIV X CVT"/>
    <s v="AWY-257"/>
    <s v="2A44625"/>
    <s v="NSP151R-9516574"/>
    <s v="2022"/>
    <m/>
    <m/>
    <s v=" D"/>
    <s v="09000210-Tariq Shahzad"/>
    <n v="5200000"/>
    <n v="4922"/>
    <n v="49"/>
    <n v="738"/>
    <n v="0"/>
    <n v="5709"/>
    <n v="0"/>
    <n v="0"/>
    <n v="5709"/>
    <n v="0"/>
    <n v="5709"/>
    <m/>
    <m/>
    <m/>
    <s v="Javeria Khan"/>
    <n v="1363.2699999999991"/>
    <n v="800.56"/>
    <m/>
  </r>
  <r>
    <n v="2403"/>
    <x v="334"/>
    <x v="1619"/>
    <s v=" -"/>
    <s v=" MOTOR"/>
    <d v="2024-09-14T00:00:00"/>
    <d v="2024-07-11T00:00:00"/>
    <d v="2025-07-10T00:00:00"/>
    <s v=" 08818585"/>
    <s v="Mrs. Ayesha Shoaib _x000a_CNIC No. 61101-3930402-0_x000a_Cell No. 0300-0330116"/>
    <m/>
    <s v="TOYOTA YARIS ATIV X CVT"/>
    <s v="AWY-257"/>
    <s v="2A44625"/>
    <s v="NSP151R-9516574"/>
    <s v="2022"/>
    <m/>
    <m/>
    <s v=" D"/>
    <s v="09000210-Tariq Shahzad"/>
    <n v="5200000"/>
    <n v="5921"/>
    <n v="59"/>
    <n v="888"/>
    <n v="0"/>
    <n v="6868"/>
    <n v="0"/>
    <n v="0"/>
    <n v="6868"/>
    <n v="0"/>
    <n v="6868"/>
    <m/>
    <m/>
    <m/>
    <s v="Javeria Khan"/>
    <n v="2117.7699999999891"/>
    <n v="963.11"/>
    <m/>
  </r>
  <r>
    <n v="2404"/>
    <x v="334"/>
    <x v="1620"/>
    <s v=" -"/>
    <s v=" MOTOR"/>
    <d v="2024-10-14T00:00:00"/>
    <d v="2024-07-11T00:00:00"/>
    <d v="2025-07-10T00:00:00"/>
    <s v=" 08818585"/>
    <s v="Mrs. Ayesha Shoaib _x000a_CNIC No. 61101-3930402-0_x000a_Cell No. 0300-0330116"/>
    <m/>
    <s v="TOYOTA YARIS ATIV X CVT"/>
    <s v="AWY-257"/>
    <s v="2A44625"/>
    <s v="NSP151R-9516574"/>
    <s v="2022"/>
    <m/>
    <m/>
    <s v=" D"/>
    <s v="09000210-Tariq Shahzad"/>
    <n v="5200000"/>
    <n v="5786"/>
    <n v="58"/>
    <n v="868"/>
    <n v="0"/>
    <n v="6712"/>
    <n v="0"/>
    <n v="0"/>
    <n v="6712"/>
    <n v="0"/>
    <n v="6712"/>
    <m/>
    <m/>
    <m/>
    <s v="Javeria Khan"/>
    <n v="2520.1999999999871"/>
    <n v="941.04"/>
    <m/>
  </r>
  <r>
    <n v="2405"/>
    <x v="334"/>
    <x v="1621"/>
    <s v=" -"/>
    <s v=" MOTOR"/>
    <d v="2024-11-12T00:00:00"/>
    <d v="2024-07-11T00:00:00"/>
    <d v="2025-07-10T00:00:00"/>
    <s v=" 08818585"/>
    <s v="Mrs. Ayesha Shoaib _x000a_CNIC No. 61101-3930402-0_x000a_Cell No. 0300-0330116"/>
    <m/>
    <s v="TOYOTA YARIS ATIV X CVT"/>
    <s v="AWY-257"/>
    <s v="2A44625"/>
    <s v="NSP151R-9516574"/>
    <s v="2022"/>
    <m/>
    <m/>
    <s v=" D"/>
    <s v="09000210-Tariq Shahzad"/>
    <n v="5200000"/>
    <n v="5516"/>
    <n v="55"/>
    <n v="827"/>
    <n v="0"/>
    <n v="6398"/>
    <n v="0"/>
    <n v="0"/>
    <n v="6398"/>
    <n v="0"/>
    <n v="6398"/>
    <m/>
    <m/>
    <m/>
    <s v="Javeria Khan"/>
    <n v="2242.7099999999882"/>
    <n v="896.93"/>
    <m/>
  </r>
  <r>
    <n v="2406"/>
    <x v="334"/>
    <x v="1622"/>
    <s v=" -"/>
    <s v=" MOTOR"/>
    <d v="2024-12-13T00:00:00"/>
    <d v="2024-07-11T00:00:00"/>
    <d v="2025-07-10T00:00:00"/>
    <s v=" 08818585"/>
    <s v="Mrs. Ayesha Shoaib _x000a_CNIC No. 61101-3930402-0_x000a_Cell No. 0300-0330116"/>
    <m/>
    <s v="TOYOTA YARIS ATIV X CVT"/>
    <s v="AWY-257"/>
    <s v="2A44625"/>
    <s v="NSP151R-9516574"/>
    <s v="2022"/>
    <m/>
    <m/>
    <s v=" D"/>
    <s v="09000210-Tariq Shahzad"/>
    <n v="5200000"/>
    <n v="3823"/>
    <n v="38"/>
    <n v="573"/>
    <n v="0"/>
    <n v="4434"/>
    <n v="0"/>
    <n v="0"/>
    <n v="4434"/>
    <n v="0"/>
    <n v="4434"/>
    <m/>
    <m/>
    <m/>
    <s v="Javeria Khan"/>
    <n v="1129.449999999995"/>
    <n v="621.86"/>
    <m/>
  </r>
  <r>
    <n v="2407"/>
    <x v="334"/>
    <x v="1623"/>
    <s v=" -"/>
    <s v=" MOTOR"/>
    <d v="2024-12-29T00:00:00"/>
    <d v="2024-07-11T00:00:00"/>
    <d v="2025-07-10T00:00:00"/>
    <s v=" 08818585"/>
    <s v="Mrs. Ayesha Shoaib _x000a_CNIC No. 61101-3930402-0_x000a_Cell No. 0300-0330116"/>
    <m/>
    <s v="TOYOTA YARIS ATIV X CVT"/>
    <s v="AWY-257"/>
    <s v="2A44625"/>
    <s v="NSP151R-9516574"/>
    <s v="2022"/>
    <m/>
    <m/>
    <s v=" D"/>
    <s v="09000210-Tariq Shahzad"/>
    <n v="-1"/>
    <n v="-25966"/>
    <n v="-260"/>
    <n v="-3895"/>
    <n v="0"/>
    <n v="-30121"/>
    <n v="0"/>
    <n v="0"/>
    <n v="-30121"/>
    <n v="0"/>
    <n v="-30121"/>
    <m/>
    <m/>
    <m/>
    <s v="Javeria Khan"/>
    <m/>
    <m/>
    <m/>
  </r>
  <r>
    <n v="2409"/>
    <x v="335"/>
    <x v="1624"/>
    <s v=" -"/>
    <s v=" MOTOR"/>
    <d v="2024-09-14T00:00:00"/>
    <d v="2024-07-12T00:00:00"/>
    <d v="2025-07-11T00:00:00"/>
    <s v=" 08812092"/>
    <s v="Mr. Amaan Naqib Qureshi_x000a_CNIC: 42201-1995430-3_x000a_Phone Number: 03222614168"/>
    <m/>
    <s v="SUZUKI ALTO VXR"/>
    <s v="BXF-166"/>
    <s v="6R240819"/>
    <s v="NF1AET306H1140814"/>
    <s v="2022"/>
    <m/>
    <m/>
    <s v=" D"/>
    <s v="09000210-Tariq Shahzad"/>
    <n v="3000000"/>
    <n v="477"/>
    <n v="5"/>
    <n v="72"/>
    <n v="0"/>
    <n v="554"/>
    <n v="0"/>
    <n v="0"/>
    <n v="554"/>
    <n v="0"/>
    <n v="554"/>
    <m/>
    <m/>
    <m/>
    <s v="Fizza Sheikh"/>
    <n v="200.01000000000005"/>
    <n v="134.63000000000002"/>
    <m/>
  </r>
  <r>
    <n v="2410"/>
    <x v="335"/>
    <x v="1625"/>
    <s v=" -"/>
    <s v=" MOTOR"/>
    <d v="2024-12-29T00:00:00"/>
    <d v="2024-07-12T00:00:00"/>
    <d v="2025-07-11T00:00:00"/>
    <s v=" 08812092"/>
    <s v="Mr. Amaan Naqib Qureshi_x000a_CNIC: 42201-1995430-3_x000a_Phone Number: 03222614168"/>
    <m/>
    <s v="SUZUKI ALTO VXR"/>
    <s v="BXF-166"/>
    <s v="6R240819"/>
    <s v="NF1AET306H1140814"/>
    <s v="2022"/>
    <m/>
    <m/>
    <s v=" D"/>
    <s v="09000210-Tariq Shahzad"/>
    <n v="-1"/>
    <n v="-477"/>
    <n v="-5"/>
    <n v="-72"/>
    <n v="0"/>
    <n v="-554"/>
    <n v="0"/>
    <n v="0"/>
    <n v="-554"/>
    <n v="0"/>
    <n v="-554"/>
    <m/>
    <m/>
    <m/>
    <s v="Fizza Sheikh"/>
    <m/>
    <m/>
    <m/>
  </r>
  <r>
    <n v="2415"/>
    <x v="336"/>
    <x v="1626"/>
    <s v=" -"/>
    <s v=" MOTOR"/>
    <d v="2024-10-30T00:00:00"/>
    <d v="2024-07-27T00:00:00"/>
    <d v="2025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10-Tariq Shahzad"/>
    <n v="6000000"/>
    <n v="3939"/>
    <n v="39"/>
    <n v="591"/>
    <n v="0"/>
    <n v="4569"/>
    <n v="0"/>
    <n v="0"/>
    <n v="4569"/>
    <n v="0"/>
    <n v="4569"/>
    <m/>
    <m/>
    <m/>
    <s v="Fizza Sheikh"/>
    <n v="555.94000000000005"/>
    <n v="555.94000000000005"/>
    <m/>
  </r>
  <r>
    <n v="2416"/>
    <x v="336"/>
    <x v="1627"/>
    <s v=" -"/>
    <s v=" MOTOR"/>
    <d v="2024-11-28T00:00:00"/>
    <d v="2024-07-27T00:00:00"/>
    <d v="2025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10-Tariq Shahzad"/>
    <n v="6000000"/>
    <n v="4685"/>
    <n v="47"/>
    <n v="703"/>
    <n v="0"/>
    <n v="5435"/>
    <n v="0"/>
    <n v="0"/>
    <n v="5435"/>
    <n v="0"/>
    <n v="5435"/>
    <m/>
    <m/>
    <m/>
    <s v="Fizza Sheikh"/>
    <n v="684.37000000000103"/>
    <n v="661.02"/>
    <m/>
  </r>
  <r>
    <n v="2417"/>
    <x v="336"/>
    <x v="1628"/>
    <s v=" -"/>
    <s v=" MOTOR"/>
    <d v="2024-12-30T00:00:00"/>
    <d v="2024-07-27T00:00:00"/>
    <d v="2025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10-Tariq Shahzad"/>
    <n v="6000000"/>
    <n v="3413"/>
    <n v="34"/>
    <n v="512"/>
    <n v="0"/>
    <n v="3959"/>
    <n v="0"/>
    <n v="0"/>
    <n v="3959"/>
    <n v="0"/>
    <n v="3959"/>
    <m/>
    <m/>
    <m/>
    <s v="Fizza Sheikh"/>
    <n v="504.4"/>
    <n v="499.5200000000001"/>
    <m/>
  </r>
  <r>
    <n v="2418"/>
    <x v="336"/>
    <x v="1629"/>
    <s v=" -"/>
    <s v=" MOTOR"/>
    <d v="2025-01-27T00:00:00"/>
    <d v="2024-07-27T00:00:00"/>
    <d v="2025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10-Tariq Shahzad"/>
    <n v="6000000"/>
    <n v="3610"/>
    <n v="36"/>
    <n v="541"/>
    <n v="0"/>
    <n v="4187"/>
    <n v="0"/>
    <n v="0"/>
    <n v="4187"/>
    <n v="0"/>
    <n v="4187"/>
    <m/>
    <m/>
    <m/>
    <s v="Fizza Sheikh"/>
    <n v="515.09000000000106"/>
    <n v="509.1"/>
    <m/>
  </r>
  <r>
    <n v="2419"/>
    <x v="336"/>
    <x v="1630"/>
    <s v=" -"/>
    <s v=" MOTOR"/>
    <d v="2025-02-27T00:00:00"/>
    <d v="2024-07-27T00:00:00"/>
    <d v="2025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10-Tariq Shahzad"/>
    <n v="6000000"/>
    <n v="4652"/>
    <n v="47"/>
    <n v="698"/>
    <n v="0"/>
    <n v="5397"/>
    <n v="0"/>
    <n v="0"/>
    <n v="5397"/>
    <n v="0"/>
    <n v="5397"/>
    <m/>
    <m/>
    <m/>
    <s v="Fizza Sheikh"/>
    <n v="665.45"/>
    <n v="656.81"/>
    <m/>
  </r>
  <r>
    <n v="2420"/>
    <x v="336"/>
    <x v="1631"/>
    <s v=" -"/>
    <s v=" MOTOR"/>
    <d v="2025-03-27T00:00:00"/>
    <d v="2024-07-27T00:00:00"/>
    <d v="2025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10-Tariq Shahzad"/>
    <n v="6000000"/>
    <n v="3533"/>
    <n v="35"/>
    <n v="530"/>
    <n v="0"/>
    <n v="4098"/>
    <n v="0"/>
    <n v="0"/>
    <n v="4098"/>
    <n v="0"/>
    <n v="4098"/>
    <m/>
    <m/>
    <m/>
    <s v="Fizza Sheikh"/>
    <n v="498.55"/>
    <n v="498.55"/>
    <m/>
  </r>
  <r>
    <n v="2421"/>
    <x v="336"/>
    <x v="1632"/>
    <s v=" -"/>
    <s v=" MOTOR"/>
    <d v="2025-03-29T00:00:00"/>
    <d v="2024-07-27T00:00:00"/>
    <d v="2025-07-26T00:00:00"/>
    <s v=" 08812294"/>
    <s v="Mr. Siyam Uddin Farooq_x000a_Cell: 0300-2012602 CNIC No: 42301-7371510-1"/>
    <m/>
    <s v="TOYOTA COROLLA ALTIS  1.6"/>
    <s v="BWX-633"/>
    <s v="096809"/>
    <s v="6074292"/>
    <s v="2022"/>
    <m/>
    <m/>
    <s v=" D"/>
    <s v="09000210-Tariq Shahzad"/>
    <n v="-1"/>
    <n v="-27407"/>
    <n v="-238"/>
    <n v="0"/>
    <n v="0"/>
    <n v="-27645"/>
    <n v="0"/>
    <n v="0"/>
    <n v="-27645"/>
    <n v="0"/>
    <n v="-27645"/>
    <m/>
    <m/>
    <m/>
    <s v="Fizza Sheikh"/>
    <m/>
    <m/>
    <m/>
  </r>
  <r>
    <n v="2435"/>
    <x v="337"/>
    <x v="1633"/>
    <s v=" -"/>
    <s v=" MOTOR"/>
    <d v="2024-08-29T00:00:00"/>
    <d v="2024-07-24T00:00:00"/>
    <d v="2025-07-23T00:00:00"/>
    <s v=" 08812233"/>
    <s v="Mr. Saad Ullah Naeem_x000a_CNIC: 3520290350837_x000a_Phone Number: 03322331195"/>
    <m/>
    <s v="TOYOTA COROLLA ALTIS 1.6"/>
    <s v="APM-344"/>
    <s v="Q105437"/>
    <s v="ZRE171R-6082969"/>
    <s v="2023"/>
    <m/>
    <m/>
    <s v=" D"/>
    <s v="09000210-Tariq Shahzad"/>
    <n v="6900000"/>
    <n v="3216"/>
    <n v="32"/>
    <n v="482"/>
    <n v="0"/>
    <n v="3730"/>
    <n v="0"/>
    <n v="0"/>
    <n v="3730"/>
    <n v="0"/>
    <n v="3730"/>
    <m/>
    <m/>
    <m/>
    <s v="Direct Client"/>
    <n v="431.54000000000008"/>
    <n v="394.6"/>
    <m/>
  </r>
  <r>
    <n v="2436"/>
    <x v="337"/>
    <x v="1634"/>
    <s v=" -"/>
    <s v=" MOTOR"/>
    <d v="2024-09-28T00:00:00"/>
    <d v="2024-07-24T00:00:00"/>
    <d v="2025-07-23T00:00:00"/>
    <s v=" 08812233"/>
    <s v="Mr. Saad Ullah Naeem_x000a_CNIC: 3520290350837_x000a_Phone Number: 03322331195"/>
    <m/>
    <s v="TOYOTA COROLLA ALTIS 1.6"/>
    <s v="APM-344"/>
    <s v="Q105437"/>
    <s v="ZRE171R-6082969"/>
    <s v="2023"/>
    <m/>
    <m/>
    <s v=" D"/>
    <s v="09000210-Tariq Shahzad"/>
    <n v="6900000"/>
    <n v="3392"/>
    <n v="34"/>
    <n v="509"/>
    <n v="0"/>
    <n v="3935"/>
    <n v="0"/>
    <n v="0"/>
    <n v="3935"/>
    <n v="0"/>
    <n v="3935"/>
    <m/>
    <m/>
    <m/>
    <s v="Direct Client"/>
    <n v="453.65"/>
    <n v="416.31000000000103"/>
    <m/>
  </r>
  <r>
    <n v="2437"/>
    <x v="337"/>
    <x v="1635"/>
    <s v=" -"/>
    <s v=" MOTOR"/>
    <d v="2024-10-25T00:00:00"/>
    <d v="2024-07-24T00:00:00"/>
    <d v="2025-07-23T00:00:00"/>
    <s v=" 08812233"/>
    <s v="Mr. Saad Ullah Naeem_x000a_CNIC: 3520290350837_x000a_Phone Number: 03322331195"/>
    <m/>
    <s v="TOYOTA COROLLA ALTIS 1.6"/>
    <s v="APM-344"/>
    <s v="Q105437"/>
    <s v="ZRE171R-6082969"/>
    <s v="2023"/>
    <m/>
    <m/>
    <s v=" D"/>
    <s v="09000210-Tariq Shahzad"/>
    <n v="6900000"/>
    <n v="2352"/>
    <n v="24"/>
    <n v="353"/>
    <n v="0"/>
    <n v="2729"/>
    <n v="0"/>
    <n v="0"/>
    <n v="2729"/>
    <n v="0"/>
    <n v="2729"/>
    <m/>
    <m/>
    <m/>
    <s v="Direct Client"/>
    <n v="325.73000000000008"/>
    <n v="288.82000000000005"/>
    <m/>
  </r>
  <r>
    <n v="2438"/>
    <x v="337"/>
    <x v="1636"/>
    <s v=" -"/>
    <s v=" MOTOR"/>
    <d v="2024-10-31T00:00:00"/>
    <d v="2024-07-24T00:00:00"/>
    <d v="2025-07-23T00:00:00"/>
    <s v=" 08812233"/>
    <s v="Mr. Saad Ullah Naeem_x000a_CNIC: 3520290350837_x000a_Phone Number: 03322331195"/>
    <m/>
    <s v="TOYOTA COROLLA ALTIS 1.6"/>
    <s v="APM-344"/>
    <s v="Q105437"/>
    <s v="ZRE171R-6082969"/>
    <s v="2023"/>
    <m/>
    <m/>
    <s v=" D"/>
    <s v="09000210-Tariq Shahzad"/>
    <n v="-1"/>
    <n v="-8960"/>
    <n v="-90"/>
    <n v="-1344"/>
    <n v="0"/>
    <n v="-10394"/>
    <n v="0"/>
    <n v="0"/>
    <n v="-10394"/>
    <n v="0"/>
    <n v="-10394"/>
    <m/>
    <m/>
    <m/>
    <s v="Direct Client"/>
    <m/>
    <m/>
    <m/>
  </r>
  <r>
    <n v="2460"/>
    <x v="338"/>
    <x v="1637"/>
    <s v=" -"/>
    <s v=" MOTOR"/>
    <d v="2024-10-05T00:00:00"/>
    <d v="2024-07-30T00:00:00"/>
    <d v="2025-07-29T00:00:00"/>
    <s v=" 08810570"/>
    <s v="Mrs. Hina Saqib _x000a_CNIC No.42101-7373634-4_x000a_Cell No.03002754661"/>
    <m/>
    <s v="TOYOTA COROLLA ALTIS 1.6"/>
    <s v="BEC-825"/>
    <s v="Q027191"/>
    <s v="ZRE171R-6004668"/>
    <s v="2015"/>
    <m/>
    <m/>
    <s v=" D"/>
    <s v="09000210-Tariq Shahzad"/>
    <n v="4000000"/>
    <n v="263"/>
    <n v="3"/>
    <n v="40"/>
    <n v="0"/>
    <n v="306"/>
    <n v="0"/>
    <n v="0"/>
    <n v="306"/>
    <n v="0"/>
    <n v="306"/>
    <m/>
    <m/>
    <m/>
    <s v="Syed Waqas"/>
    <n v="60.73"/>
    <n v="55.64"/>
    <m/>
  </r>
  <r>
    <n v="2461"/>
    <x v="338"/>
    <x v="1638"/>
    <s v=" -"/>
    <s v=" MOTOR"/>
    <d v="2025-04-03T00:00:00"/>
    <d v="2024-07-30T00:00:00"/>
    <d v="2025-07-29T00:00:00"/>
    <s v=" 08810570"/>
    <s v="Mrs. Hina Saqib _x000a_CNIC No.42101-7373634-4_x000a_Cell No.03002754661"/>
    <m/>
    <s v="TOYOTA COROLLA ALTIS 1.6"/>
    <s v="BEC-825"/>
    <s v="Q027191"/>
    <s v="ZRE171R-6004668"/>
    <s v="2015"/>
    <m/>
    <m/>
    <s v=" D"/>
    <s v="09000210-Tariq Shahzad"/>
    <n v="4000000"/>
    <n v="4550"/>
    <n v="46"/>
    <n v="683"/>
    <n v="0"/>
    <n v="5279"/>
    <n v="0"/>
    <n v="0"/>
    <n v="5279"/>
    <n v="0"/>
    <n v="5279"/>
    <m/>
    <m/>
    <m/>
    <s v="Syed Waqas"/>
    <n v="1177.3200000000002"/>
    <n v="962.58"/>
    <m/>
  </r>
  <r>
    <n v="2462"/>
    <x v="338"/>
    <x v="1639"/>
    <s v=" -"/>
    <s v=" MOTOR"/>
    <d v="2025-03-29T00:00:00"/>
    <d v="2024-07-30T00:00:00"/>
    <d v="2025-07-29T00:00:00"/>
    <s v=" 08810570"/>
    <s v="Mrs. Hina Saqib _x000a_CNIC No.42101-7373634-4_x000a_Cell No.03002754661"/>
    <m/>
    <s v="TOYOTA COROLLA ALTIS 1.6"/>
    <s v="BEC-825"/>
    <s v="Q027191"/>
    <s v="ZRE171R-6004668"/>
    <s v="2015"/>
    <m/>
    <m/>
    <s v=" D"/>
    <s v="09000210-Tariq Shahzad"/>
    <n v="-1"/>
    <n v="-5537"/>
    <n v="-48"/>
    <n v="0"/>
    <n v="0"/>
    <n v="-5585"/>
    <n v="0"/>
    <n v="0"/>
    <n v="-5585"/>
    <n v="0"/>
    <n v="-5585"/>
    <m/>
    <m/>
    <m/>
    <s v="Syed Waqas"/>
    <m/>
    <m/>
    <m/>
  </r>
  <r>
    <n v="2465"/>
    <x v="339"/>
    <x v="1640"/>
    <s v=" -"/>
    <s v=" MOTOR"/>
    <d v="2025-04-03T00:00:00"/>
    <d v="2024-07-30T00:00:00"/>
    <d v="2025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10-Tariq Shahzad"/>
    <n v="4500000"/>
    <n v="1204"/>
    <n v="12"/>
    <n v="181"/>
    <n v="0"/>
    <n v="1397"/>
    <n v="0"/>
    <n v="0"/>
    <n v="1397"/>
    <n v="0"/>
    <n v="1397"/>
    <m/>
    <m/>
    <m/>
    <s v="Direct Client"/>
    <n v="235"/>
    <n v="226.75"/>
    <m/>
  </r>
  <r>
    <n v="2466"/>
    <x v="339"/>
    <x v="1641"/>
    <s v=" -"/>
    <s v=" MOTOR"/>
    <d v="2025-03-29T00:00:00"/>
    <d v="2024-07-30T00:00:00"/>
    <d v="2025-07-29T00:00:00"/>
    <s v=" 08812295"/>
    <s v="Mr. Muhammad Adnan Siddiqui_x000a_CNIC: 3740533192253_x000a_Phone Number: 03328282249"/>
    <m/>
    <s v="TOYOTA AQUA"/>
    <s v="BTV-299"/>
    <s v="1NZ-1LMR651468"/>
    <s v="NHP10-6743069"/>
    <s v="2018"/>
    <m/>
    <m/>
    <s v=" D"/>
    <s v="09000210-Tariq Shahzad"/>
    <n v="-1"/>
    <n v="-1385"/>
    <n v="-12"/>
    <n v="0"/>
    <n v="0"/>
    <n v="-1397"/>
    <n v="0"/>
    <n v="0"/>
    <n v="-1397"/>
    <n v="0"/>
    <n v="-1397"/>
    <m/>
    <m/>
    <m/>
    <s v="Direct Client"/>
    <m/>
    <m/>
    <m/>
  </r>
  <r>
    <n v="2468"/>
    <x v="340"/>
    <x v="1642"/>
    <s v=" -"/>
    <s v=" MOTOR"/>
    <d v="2024-10-05T00:00:00"/>
    <d v="2024-07-31T00:00:00"/>
    <d v="2025-07-30T00:00:00"/>
    <s v=" 08812295"/>
    <s v="Mr. Muhammad Adnan Siddiqui _x000a_CNIC No. 37405-3319225-3_x000a_Cell No. 0332-8282249"/>
    <m/>
    <s v="NISSAN DAYZ"/>
    <s v="BTL-354"/>
    <s v="3B20-MN0490"/>
    <s v="0463343"/>
    <s v="2017"/>
    <m/>
    <m/>
    <s v=" D"/>
    <s v="09000210-Tariq Shahzad"/>
    <n v="2500000"/>
    <n v="2742"/>
    <n v="27"/>
    <n v="411"/>
    <n v="0"/>
    <n v="3180"/>
    <n v="0"/>
    <n v="0"/>
    <n v="3180"/>
    <n v="0"/>
    <n v="3180"/>
    <m/>
    <m/>
    <m/>
    <s v="Fizza Sheikh"/>
    <n v="2656.51"/>
    <n v="928.95"/>
    <m/>
  </r>
  <r>
    <n v="2469"/>
    <x v="340"/>
    <x v="1643"/>
    <s v=" -"/>
    <s v=" MOTOR"/>
    <d v="2024-11-02T00:00:00"/>
    <d v="2024-07-31T00:00:00"/>
    <d v="2025-07-30T00:00:00"/>
    <s v=" 08812295"/>
    <s v="Mr. Muhammad Adnan Siddiqui _x000a_CNIC No. 37405-3319225-3_x000a_Cell No. 0332-8282249"/>
    <m/>
    <s v="NISSAN DAYZ"/>
    <s v="BTL-354"/>
    <s v="3B20-MN0490"/>
    <s v="0463343"/>
    <s v="2017"/>
    <m/>
    <m/>
    <s v=" D"/>
    <s v="09000210-Tariq Shahzad"/>
    <n v="2500000"/>
    <n v="3020"/>
    <n v="30"/>
    <n v="453"/>
    <n v="0"/>
    <n v="3503"/>
    <n v="0"/>
    <n v="0"/>
    <n v="3503"/>
    <n v="0"/>
    <n v="3503"/>
    <m/>
    <m/>
    <m/>
    <s v="Fizza Sheikh"/>
    <n v="2643.33"/>
    <n v="1023.749999999999"/>
    <m/>
  </r>
  <r>
    <n v="2470"/>
    <x v="340"/>
    <x v="1644"/>
    <s v=" -"/>
    <s v=" MOTOR"/>
    <d v="2024-12-02T00:00:00"/>
    <d v="2024-07-31T00:00:00"/>
    <d v="2025-07-30T00:00:00"/>
    <s v=" 08812295"/>
    <s v="Mr. Muhammad Adnan Siddiqui _x000a_CNIC No. 37405-3319225-3_x000a_Cell No. 0332-8282249"/>
    <m/>
    <s v="NISSAN DAYZ"/>
    <s v="BTL-354"/>
    <s v="3B20-MN0490"/>
    <s v="0463343"/>
    <s v="2017"/>
    <m/>
    <m/>
    <s v=" D"/>
    <s v="09000210-Tariq Shahzad"/>
    <n v="2500000"/>
    <n v="2681"/>
    <n v="27"/>
    <n v="402"/>
    <n v="0"/>
    <n v="3110"/>
    <n v="0"/>
    <n v="0"/>
    <n v="3110"/>
    <n v="0"/>
    <n v="3110"/>
    <m/>
    <m/>
    <m/>
    <s v="Fizza Sheikh"/>
    <n v="2638.63"/>
    <n v="908.73"/>
    <m/>
  </r>
  <r>
    <n v="2471"/>
    <x v="340"/>
    <x v="1645"/>
    <s v=" -"/>
    <s v=" MOTOR"/>
    <d v="2025-01-01T00:00:00"/>
    <d v="2024-07-31T00:00:00"/>
    <d v="2025-07-30T00:00:00"/>
    <s v=" 08812295"/>
    <s v="Mr. Muhammad Adnan Siddiqui _x000a_CNIC No. 37405-3319225-3_x000a_Cell No. 0332-8282249"/>
    <m/>
    <s v="NISSAN DAYZ"/>
    <s v="BTL-354"/>
    <s v="3B20-MN0490"/>
    <s v="0463343"/>
    <s v="2017"/>
    <m/>
    <m/>
    <s v=" D"/>
    <s v="09000210-Tariq Shahzad"/>
    <n v="2500000"/>
    <n v="3775"/>
    <n v="38"/>
    <n v="566"/>
    <n v="0"/>
    <n v="4379"/>
    <n v="0"/>
    <n v="0"/>
    <n v="4379"/>
    <n v="0"/>
    <n v="4379"/>
    <m/>
    <m/>
    <m/>
    <s v="Fizza Sheikh"/>
    <n v="3406.659999999998"/>
    <n v="1279.4000000000001"/>
    <m/>
  </r>
  <r>
    <n v="2472"/>
    <x v="340"/>
    <x v="1646"/>
    <s v=" -"/>
    <s v=" MOTOR"/>
    <d v="2025-02-03T00:00:00"/>
    <d v="2024-07-31T00:00:00"/>
    <d v="2025-07-30T00:00:00"/>
    <s v=" 08812295"/>
    <s v="Mr. Muhammad Adnan Siddiqui _x000a_CNIC No. 37405-3319225-3_x000a_Cell No. 0332-8282249"/>
    <m/>
    <s v="NISSAN DAYZ"/>
    <s v="BTL-354"/>
    <s v="3B20-MN0490"/>
    <s v="0463343"/>
    <s v="2017"/>
    <m/>
    <m/>
    <s v=" D"/>
    <s v="09000210-Tariq Shahzad"/>
    <n v="2500000"/>
    <n v="3824"/>
    <n v="38"/>
    <n v="573"/>
    <n v="0"/>
    <n v="4435"/>
    <n v="0"/>
    <n v="0"/>
    <n v="4435"/>
    <n v="0"/>
    <n v="4435"/>
    <m/>
    <m/>
    <m/>
    <s v="Fizza Sheikh"/>
    <n v="3244.3300000000022"/>
    <n v="1295.75"/>
    <m/>
  </r>
  <r>
    <n v="2473"/>
    <x v="340"/>
    <x v="1647"/>
    <s v=" -"/>
    <s v=" MOTOR"/>
    <d v="2025-02-28T00:00:00"/>
    <d v="2024-07-31T00:00:00"/>
    <d v="2025-07-30T00:00:00"/>
    <s v=" 08812295"/>
    <s v="Mr. Muhammad Adnan Siddiqui _x000a_CNIC No. 37405-3319225-3_x000a_Cell No. 0332-8282249"/>
    <m/>
    <s v="NISSAN DAYZ"/>
    <s v="BTL-354"/>
    <s v="3B20-MN0490"/>
    <s v="0463343"/>
    <s v="2017"/>
    <m/>
    <m/>
    <s v=" D"/>
    <s v="09000210-Tariq Shahzad"/>
    <n v="2500000"/>
    <n v="3389"/>
    <n v="34"/>
    <n v="508"/>
    <n v="0"/>
    <n v="3931"/>
    <n v="0"/>
    <n v="0"/>
    <n v="3931"/>
    <n v="0"/>
    <n v="3931"/>
    <m/>
    <m/>
    <m/>
    <s v="Fizza Sheikh"/>
    <n v="2822.07"/>
    <n v="1148.7"/>
    <m/>
  </r>
  <r>
    <n v="2474"/>
    <x v="340"/>
    <x v="1648"/>
    <s v=" -"/>
    <s v=" MOTOR"/>
    <d v="2025-04-03T00:00:00"/>
    <d v="2024-07-31T00:00:00"/>
    <d v="2025-07-30T00:00:00"/>
    <s v=" 08812295"/>
    <s v="Mr. Muhammad Adnan Siddiqui _x000a_CNIC No. 37405-3319225-3_x000a_Cell No. 0332-8282249"/>
    <m/>
    <s v="NISSAN DAYZ"/>
    <s v="BTL-354"/>
    <s v="3B20-MN0490"/>
    <s v="0463343"/>
    <s v="2017"/>
    <m/>
    <m/>
    <s v=" D"/>
    <s v="09000210-Tariq Shahzad"/>
    <n v="2500000"/>
    <n v="3853"/>
    <n v="39"/>
    <n v="578"/>
    <n v="0"/>
    <n v="4470"/>
    <n v="0"/>
    <n v="0"/>
    <n v="4470"/>
    <n v="0"/>
    <n v="4470"/>
    <m/>
    <m/>
    <m/>
    <s v="Fizza Sheikh"/>
    <n v="3065.860000000001"/>
    <n v="1306.05"/>
    <m/>
  </r>
  <r>
    <n v="2475"/>
    <x v="340"/>
    <x v="1649"/>
    <s v=" -"/>
    <s v=" MOTOR"/>
    <d v="2025-03-29T00:00:00"/>
    <d v="2024-07-31T00:00:00"/>
    <d v="2025-07-30T00:00:00"/>
    <s v=" 08812295"/>
    <s v="Mr. Muhammad Adnan Siddiqui _x000a_CNIC No. 37405-3319225-3_x000a_Cell No. 0332-8282249"/>
    <m/>
    <s v="NISSAN DAYZ"/>
    <s v="BTL-354"/>
    <s v="3B20-MN0490"/>
    <s v="0463343"/>
    <s v="2017"/>
    <m/>
    <m/>
    <s v=" D"/>
    <s v="09000210-Tariq Shahzad"/>
    <n v="-1"/>
    <n v="-26775"/>
    <n v="-233"/>
    <n v="0"/>
    <n v="0"/>
    <n v="-27008"/>
    <n v="0"/>
    <n v="0"/>
    <n v="-27008"/>
    <n v="0"/>
    <n v="-27008"/>
    <m/>
    <m/>
    <m/>
    <s v="Fizza Sheikh"/>
    <m/>
    <m/>
    <m/>
  </r>
  <r>
    <n v="2507"/>
    <x v="341"/>
    <x v="1650"/>
    <s v=" -"/>
    <s v=" MOTOR"/>
    <d v="2024-10-05T00:00:00"/>
    <d v="2024-08-29T00:00:00"/>
    <d v="2025-08-28T00:00:00"/>
    <s v=" 08803216"/>
    <s v="Mr. Muhammad Yasir Khan Rind Baloch_x000a_CNIC No. 42000-3139900-9_x000a_Cell No. 0333-2777797"/>
    <m/>
    <s v="SUZUKI CULTUS"/>
    <s v="BEP-277"/>
    <s v="PKF615477"/>
    <s v="PK-522359"/>
    <s v="2015"/>
    <m/>
    <m/>
    <s v=" D"/>
    <s v="09000210-Tariq Shahzad"/>
    <n v="1500000"/>
    <n v="2563"/>
    <n v="26"/>
    <n v="385"/>
    <n v="0"/>
    <n v="2974"/>
    <n v="0"/>
    <n v="0"/>
    <n v="2974"/>
    <n v="0"/>
    <n v="2974"/>
    <m/>
    <m/>
    <m/>
    <s v="Fizza Sheikh"/>
    <n v="941.8"/>
    <n v="881.13"/>
    <m/>
  </r>
  <r>
    <n v="2508"/>
    <x v="341"/>
    <x v="1651"/>
    <s v=" -"/>
    <s v=" MOTOR"/>
    <d v="2024-11-01T00:00:00"/>
    <d v="2024-08-29T00:00:00"/>
    <d v="2025-08-28T00:00:00"/>
    <s v=" 08803216"/>
    <s v="Mr. Muhammad Yasir Khan Rind Baloch_x000a_CNIC No. 42000-3139900-9_x000a_Cell No. 0333-2777797"/>
    <m/>
    <s v="SUZUKI CULTUS"/>
    <s v="BEP-277"/>
    <s v="PKF615477"/>
    <s v="PK-522359"/>
    <s v="2015"/>
    <m/>
    <m/>
    <s v=" D"/>
    <s v="09000210-Tariq Shahzad"/>
    <n v="1500000"/>
    <n v="3412"/>
    <n v="34"/>
    <n v="512"/>
    <n v="0"/>
    <n v="3958"/>
    <n v="0"/>
    <n v="0"/>
    <n v="3958"/>
    <n v="0"/>
    <n v="3958"/>
    <m/>
    <m/>
    <m/>
    <s v="Fizza Sheikh"/>
    <n v="1179.1300000000001"/>
    <n v="1172.56"/>
    <m/>
  </r>
  <r>
    <n v="2509"/>
    <x v="341"/>
    <x v="1652"/>
    <s v=" -"/>
    <s v=" MOTOR"/>
    <d v="2024-12-01T00:00:00"/>
    <d v="2024-08-29T00:00:00"/>
    <d v="2025-08-28T00:00:00"/>
    <s v=" 08803216"/>
    <s v="Mr. Muhammad Yasir Khan Rind Baloch_x000a_CNIC No. 42000-3139900-9_x000a_Cell No. 0333-2777797"/>
    <m/>
    <s v="SUZUKI CULTUS"/>
    <s v="BEP-277"/>
    <s v="PKF615477"/>
    <s v="PK-522359"/>
    <s v="2015"/>
    <m/>
    <m/>
    <s v=" D"/>
    <s v="09000210-Tariq Shahzad"/>
    <n v="1500000"/>
    <n v="3299"/>
    <n v="33"/>
    <n v="495"/>
    <n v="0"/>
    <n v="3827"/>
    <n v="0"/>
    <n v="0"/>
    <n v="3827"/>
    <n v="0"/>
    <n v="3827"/>
    <m/>
    <m/>
    <m/>
    <s v="Fizza Sheikh"/>
    <n v="1133.6400000000001"/>
    <n v="1133.6400000000001"/>
    <m/>
  </r>
  <r>
    <n v="2510"/>
    <x v="341"/>
    <x v="1653"/>
    <s v=" -"/>
    <s v=" MOTOR"/>
    <d v="2024-12-31T00:00:00"/>
    <d v="2024-08-29T00:00:00"/>
    <d v="2025-08-28T00:00:00"/>
    <s v=" 08803216"/>
    <s v="Mr. Muhammad Yasir Khan Rind Baloch_x000a_CNIC No. 42000-3139900-9_x000a_Cell No. 0333-2777797"/>
    <m/>
    <s v="SUZUKI CULTUS"/>
    <s v="BEP-277"/>
    <s v="PKF615477"/>
    <s v="PK-522359"/>
    <s v="2015"/>
    <m/>
    <m/>
    <s v=" D"/>
    <s v="09000210-Tariq Shahzad"/>
    <n v="1500000"/>
    <n v="2756"/>
    <n v="28"/>
    <n v="414"/>
    <n v="0"/>
    <n v="3198"/>
    <n v="0"/>
    <n v="0"/>
    <n v="3198"/>
    <n v="0"/>
    <n v="3198"/>
    <m/>
    <m/>
    <m/>
    <s v="Fizza Sheikh"/>
    <n v="947.08"/>
    <n v="947.08"/>
    <m/>
  </r>
  <r>
    <n v="2511"/>
    <x v="341"/>
    <x v="1654"/>
    <s v=" -"/>
    <s v=" MOTOR"/>
    <d v="2025-01-29T00:00:00"/>
    <d v="2024-08-29T00:00:00"/>
    <d v="2025-08-28T00:00:00"/>
    <s v=" 08803216"/>
    <s v="Mr. Muhammad Yasir Khan Rind Baloch_x000a_CNIC No. 42000-3139900-9_x000a_Cell No. 0333-2777797"/>
    <m/>
    <s v="SUZUKI CULTUS"/>
    <s v="BEP-277"/>
    <s v="PKF615477"/>
    <s v="PK-522359"/>
    <s v="2015"/>
    <m/>
    <m/>
    <s v=" D"/>
    <s v="09000210-Tariq Shahzad"/>
    <n v="1500000"/>
    <n v="2445"/>
    <n v="24"/>
    <n v="367"/>
    <n v="0"/>
    <n v="2836"/>
    <n v="0"/>
    <n v="0"/>
    <n v="2836"/>
    <n v="0"/>
    <n v="2836"/>
    <m/>
    <m/>
    <m/>
    <s v="Fizza Sheikh"/>
    <n v="840.19"/>
    <n v="840.19"/>
    <m/>
  </r>
  <r>
    <n v="2512"/>
    <x v="341"/>
    <x v="1655"/>
    <s v=" -"/>
    <s v=" MOTOR"/>
    <d v="2025-03-29T00:00:00"/>
    <d v="2024-08-29T00:00:00"/>
    <d v="2025-08-28T00:00:00"/>
    <s v=" 08803216"/>
    <s v="Mr. Muhammad Yasir Khan Rind Baloch_x000a_CNIC No. 42000-3139900-9_x000a_Cell No. 0333-2777797"/>
    <m/>
    <s v="SUZUKI CULTUS"/>
    <s v="BEP-277"/>
    <s v="PKF615477"/>
    <s v="PK-522359"/>
    <s v="2015"/>
    <m/>
    <m/>
    <s v=" D"/>
    <s v="09000210-Tariq Shahzad"/>
    <n v="-1"/>
    <n v="-16648"/>
    <n v="-145"/>
    <n v="0"/>
    <n v="0"/>
    <n v="-16793"/>
    <n v="0"/>
    <n v="0"/>
    <n v="-16793"/>
    <n v="0"/>
    <n v="-16793"/>
    <m/>
    <m/>
    <m/>
    <s v="Fizza Sheikh"/>
    <m/>
    <m/>
    <m/>
  </r>
  <r>
    <n v="2514"/>
    <x v="342"/>
    <x v="1656"/>
    <s v=" -"/>
    <s v=" MOTOR"/>
    <d v="2024-10-09T00:00:00"/>
    <d v="2024-09-02T00:00:00"/>
    <d v="2025-09-01T00:00:00"/>
    <s v=" 08819610"/>
    <s v="Mr. Jan Muhammad_x000a_CNIC No. 45102-9948018-3_x000a_Cell No. 0315-8702884"/>
    <m/>
    <s v="HONDA CIVIC I-VTEC  ORIEL"/>
    <s v="BPS-319"/>
    <s v="R18Z12948663"/>
    <s v="NFBFC6660KR052155"/>
    <s v="2019"/>
    <m/>
    <m/>
    <s v=" D"/>
    <s v="09000210-Tariq Shahzad"/>
    <n v="5000000"/>
    <n v="4737"/>
    <n v="47"/>
    <n v="710"/>
    <n v="0"/>
    <n v="5494"/>
    <n v="0"/>
    <n v="0"/>
    <n v="5494"/>
    <n v="0"/>
    <n v="5494"/>
    <m/>
    <m/>
    <m/>
    <s v="Syed Waqas"/>
    <n v="488.51000000000005"/>
    <n v="488.51000000000005"/>
    <m/>
  </r>
  <r>
    <n v="2515"/>
    <x v="342"/>
    <x v="1657"/>
    <s v=" -"/>
    <s v=" MOTOR"/>
    <d v="2024-11-04T00:00:00"/>
    <d v="2024-09-02T00:00:00"/>
    <d v="2025-09-01T00:00:00"/>
    <s v=" 08819610"/>
    <s v="Mr. Jan Muhammad_x000a_CNIC No. 45102-9948018-3_x000a_Cell No. 0315-8702884"/>
    <m/>
    <s v="HONDA CIVIC I-VTEC  ORIEL"/>
    <s v="BPS-319"/>
    <s v="R18Z12948663"/>
    <s v="NFBFC6660KR052155"/>
    <s v="2019"/>
    <m/>
    <m/>
    <s v=" D"/>
    <s v="09000210-Tariq Shahzad"/>
    <n v="5000000"/>
    <n v="6103"/>
    <n v="61"/>
    <n v="915"/>
    <n v="0"/>
    <n v="7079"/>
    <n v="0"/>
    <n v="0"/>
    <n v="7079"/>
    <n v="0"/>
    <n v="7079"/>
    <m/>
    <m/>
    <m/>
    <s v="Syed Waqas"/>
    <n v="629.37000000000398"/>
    <n v="629.37000000000398"/>
    <m/>
  </r>
  <r>
    <n v="2516"/>
    <x v="342"/>
    <x v="1658"/>
    <s v=" -"/>
    <s v=" MOTOR"/>
    <d v="2024-12-04T00:00:00"/>
    <d v="2024-09-02T00:00:00"/>
    <d v="2025-09-01T00:00:00"/>
    <s v=" 08819610"/>
    <s v="Mr. Jan Muhammad_x000a_CNIC No. 45102-9948018-3_x000a_Cell No. 0315-8702884"/>
    <m/>
    <s v="HONDA CIVIC I-VTEC  ORIEL"/>
    <s v="BPS-319"/>
    <s v="R18Z12948663"/>
    <s v="NFBFC6660KR052155"/>
    <s v="2019"/>
    <m/>
    <m/>
    <s v=" D"/>
    <s v="09000210-Tariq Shahzad"/>
    <n v="5000000"/>
    <n v="3949"/>
    <n v="39"/>
    <n v="592"/>
    <n v="0"/>
    <n v="4580"/>
    <n v="0"/>
    <n v="0"/>
    <n v="4580"/>
    <n v="0"/>
    <n v="4580"/>
    <m/>
    <m/>
    <m/>
    <s v="Syed Waqas"/>
    <n v="406.97999999999905"/>
    <n v="406.97999999999905"/>
    <m/>
  </r>
  <r>
    <n v="2517"/>
    <x v="342"/>
    <x v="1659"/>
    <s v=" -"/>
    <s v=" MOTOR"/>
    <d v="2025-01-02T00:00:00"/>
    <d v="2024-09-02T00:00:00"/>
    <d v="2025-09-01T00:00:00"/>
    <s v=" 08819610"/>
    <s v="Mr. Jan Muhammad_x000a_CNIC No. 45102-9948018-3_x000a_Cell No. 0315-8702884"/>
    <m/>
    <s v="HONDA CIVIC I-VTEC  ORIEL"/>
    <s v="BPS-319"/>
    <s v="R18Z12948663"/>
    <s v="NFBFC6660KR052155"/>
    <s v="2019"/>
    <m/>
    <m/>
    <s v=" D"/>
    <s v="09000210-Tariq Shahzad"/>
    <n v="5000000"/>
    <n v="3267"/>
    <n v="33"/>
    <n v="490"/>
    <n v="0"/>
    <n v="3790"/>
    <n v="0"/>
    <n v="0"/>
    <n v="3790"/>
    <n v="0"/>
    <n v="3790"/>
    <m/>
    <m/>
    <m/>
    <s v="Syed Waqas"/>
    <n v="336.73000000000104"/>
    <n v="336.73000000000104"/>
    <m/>
  </r>
  <r>
    <n v="2518"/>
    <x v="342"/>
    <x v="1660"/>
    <s v=" -"/>
    <s v=" MOTOR"/>
    <d v="2025-02-04T00:00:00"/>
    <d v="2024-09-02T00:00:00"/>
    <d v="2025-09-01T00:00:00"/>
    <s v=" 08819610"/>
    <s v="Mr. Jan Muhammad_x000a_CNIC No. 45102-9948018-3_x000a_Cell No. 0315-8702884"/>
    <m/>
    <s v="HONDA CIVIC I-VTEC  ORIEL"/>
    <s v="BPS-319"/>
    <s v="R18Z12948663"/>
    <s v="NFBFC6660KR052155"/>
    <s v="2019"/>
    <m/>
    <m/>
    <s v=" D"/>
    <s v="09000210-Tariq Shahzad"/>
    <n v="5000000"/>
    <n v="2587"/>
    <n v="26"/>
    <n v="388"/>
    <n v="0"/>
    <n v="3001"/>
    <n v="0"/>
    <n v="0"/>
    <n v="3001"/>
    <n v="0"/>
    <n v="3001"/>
    <m/>
    <m/>
    <m/>
    <s v="Syed Waqas"/>
    <n v="266.82"/>
    <n v="266.82"/>
    <m/>
  </r>
  <r>
    <n v="2519"/>
    <x v="342"/>
    <x v="1661"/>
    <s v=" -"/>
    <s v=" MOTOR"/>
    <d v="2025-03-03T00:00:00"/>
    <d v="2024-09-02T00:00:00"/>
    <d v="2025-09-01T00:00:00"/>
    <s v=" 08819610"/>
    <s v="Mr. Jan Muhammad_x000a_CNIC No. 45102-9948018-3_x000a_Cell No. 0315-8702884"/>
    <m/>
    <s v="HONDA CIVIC I-VTEC  ORIEL"/>
    <s v="BPS-319"/>
    <s v="R18Z12948663"/>
    <s v="NFBFC6660KR052155"/>
    <s v="2019"/>
    <m/>
    <m/>
    <s v=" D"/>
    <s v="09000210-Tariq Shahzad"/>
    <n v="5000000"/>
    <n v="1734"/>
    <n v="17"/>
    <n v="260"/>
    <n v="0"/>
    <n v="2011"/>
    <n v="0"/>
    <n v="0"/>
    <n v="2011"/>
    <n v="0"/>
    <n v="2011"/>
    <m/>
    <m/>
    <m/>
    <s v="Syed Waqas"/>
    <n v="178.74"/>
    <n v="178.74"/>
    <m/>
  </r>
  <r>
    <n v="2520"/>
    <x v="342"/>
    <x v="1662"/>
    <s v=" -"/>
    <s v=" MOTOR"/>
    <d v="2025-04-04T00:00:00"/>
    <d v="2024-09-02T00:00:00"/>
    <d v="2025-09-01T00:00:00"/>
    <s v=" 08819610"/>
    <s v="Mr. Jan Muhammad_x000a_CNIC No. 45102-9948018-3_x000a_Cell No. 0315-8702884"/>
    <m/>
    <s v="HONDA CIVIC I-VTEC  ORIEL"/>
    <s v="BPS-319"/>
    <s v="R18Z12948663"/>
    <s v="NFBFC6660KR052155"/>
    <s v="2019"/>
    <m/>
    <m/>
    <s v=" D"/>
    <s v="09000210-Tariq Shahzad"/>
    <n v="5000000"/>
    <n v="3126"/>
    <n v="31"/>
    <n v="469"/>
    <n v="0"/>
    <n v="3626"/>
    <n v="0"/>
    <n v="0"/>
    <n v="3626"/>
    <n v="0"/>
    <n v="3626"/>
    <m/>
    <m/>
    <m/>
    <s v="Syed Waqas"/>
    <n v="322.32000000000301"/>
    <n v="322.32000000000301"/>
    <m/>
  </r>
  <r>
    <n v="2521"/>
    <x v="342"/>
    <x v="1663"/>
    <s v=" -"/>
    <s v=" MOTOR"/>
    <d v="2025-03-29T00:00:00"/>
    <d v="2024-09-02T00:00:00"/>
    <d v="2025-09-01T00:00:00"/>
    <s v=" 08819610"/>
    <s v="Mr. Jan Muhammad_x000a_CNIC No. 45102-9948018-3_x000a_Cell No. 0315-8702884"/>
    <m/>
    <s v="HONDA CIVIC I-VTEC  ORIEL"/>
    <s v="BPS-319"/>
    <s v="R18Z12948663"/>
    <s v="NFBFC6660KR052155"/>
    <s v="2019"/>
    <m/>
    <m/>
    <s v=" D"/>
    <s v="09000210-Tariq Shahzad"/>
    <n v="-1"/>
    <n v="-29326"/>
    <n v="-255"/>
    <n v="0"/>
    <n v="0"/>
    <n v="-29581"/>
    <n v="0"/>
    <n v="0"/>
    <n v="-29581"/>
    <n v="0"/>
    <n v="-29581"/>
    <m/>
    <m/>
    <m/>
    <s v="Syed Waqas"/>
    <m/>
    <m/>
    <m/>
  </r>
  <r>
    <n v="2524"/>
    <x v="343"/>
    <x v="1664"/>
    <s v=" -"/>
    <s v=" MOTOR"/>
    <d v="2025-01-06T00:00:00"/>
    <d v="2024-09-05T00:00:00"/>
    <d v="2025-09-04T00:00:00"/>
    <s v=" 08819626"/>
    <s v="Mr. Muhamamd Bashir_x000a_CNIC Number: 36102-9336678-9_x000a_Phone Number: 03006885650"/>
    <m/>
    <s v="SUZUKI ALTO VXL"/>
    <s v="BZA-841"/>
    <s v="6R283608"/>
    <s v="NF1AET306H1183576"/>
    <s v="2023"/>
    <m/>
    <m/>
    <s v=" D"/>
    <s v="09000210-Tariq Shahzad"/>
    <n v="2935000"/>
    <n v="5394"/>
    <n v="54"/>
    <n v="809"/>
    <n v="0"/>
    <n v="6257"/>
    <n v="0"/>
    <n v="0"/>
    <n v="6257"/>
    <n v="0"/>
    <n v="6257"/>
    <m/>
    <m/>
    <m/>
    <s v="Maida Noor"/>
    <n v="947.42999999999893"/>
    <n v="947.42999999999893"/>
    <m/>
  </r>
  <r>
    <n v="2525"/>
    <x v="343"/>
    <x v="1665"/>
    <s v=" -"/>
    <s v=" MOTOR"/>
    <d v="2025-03-29T00:00:00"/>
    <d v="2024-09-05T00:00:00"/>
    <d v="2025-09-04T00:00:00"/>
    <s v=" 08819626"/>
    <s v="Mr. Muhamamd Bashir_x000a_CNIC Number: 36102-9336678-9_x000a_Phone Number: 03006885650"/>
    <m/>
    <s v="SUZUKI ALTO VXL"/>
    <s v="BZA-841"/>
    <s v="6R283608"/>
    <s v="NF1AET306H1183576"/>
    <s v="2023"/>
    <m/>
    <m/>
    <s v=" D"/>
    <s v="09000210-Tariq Shahzad"/>
    <n v="-1"/>
    <n v="-6203"/>
    <n v="-54"/>
    <n v="0"/>
    <n v="0"/>
    <n v="-6257"/>
    <n v="0"/>
    <n v="0"/>
    <n v="-6257"/>
    <n v="0"/>
    <n v="-6257"/>
    <m/>
    <m/>
    <m/>
    <s v="Maida Noor"/>
    <m/>
    <m/>
    <m/>
  </r>
  <r>
    <n v="2528"/>
    <x v="344"/>
    <x v="1666"/>
    <s v=" -"/>
    <s v=" MOTOR"/>
    <d v="2024-10-10T00:00:00"/>
    <d v="2024-09-09T00:00:00"/>
    <d v="2025-09-08T00:00:00"/>
    <s v=" 08817223"/>
    <s v="Mr. Muhammad Zubair _x000a_CNIC No. 45301-9286212-3_x000a_Cell No. 0333-2636070"/>
    <m/>
    <s v="HONDA CIVIC 1.8 I-VTEC OR"/>
    <s v="BHC-633"/>
    <s v="R18Z12905054"/>
    <s v="NFBFC6665GR007462"/>
    <s v="2016"/>
    <m/>
    <m/>
    <s v=" D"/>
    <s v="09000210-Tariq Shahzad"/>
    <n v="4500000"/>
    <n v="1671"/>
    <n v="17"/>
    <n v="251"/>
    <n v="0"/>
    <n v="1939"/>
    <n v="0"/>
    <n v="0"/>
    <n v="1939"/>
    <n v="0"/>
    <n v="1939"/>
    <m/>
    <m/>
    <m/>
    <s v="Fizza Sheikh"/>
    <n v="823.219999999999"/>
    <n v="191.37"/>
    <m/>
  </r>
  <r>
    <n v="2529"/>
    <x v="344"/>
    <x v="1667"/>
    <s v=" -"/>
    <s v=" MOTOR"/>
    <d v="2024-11-12T00:00:00"/>
    <d v="2024-09-09T00:00:00"/>
    <d v="2025-09-08T00:00:00"/>
    <s v=" 08817223"/>
    <s v="Mr. Muhammad Zubair _x000a_CNIC No. 45301-9286212-3_x000a_Cell No. 0333-2636070"/>
    <m/>
    <s v="HONDA CIVIC 1.8 I-VTEC OR"/>
    <s v="BHC-633"/>
    <s v="R18Z12905054"/>
    <s v="NFBFC6665GR007462"/>
    <s v="2016"/>
    <m/>
    <m/>
    <s v=" D"/>
    <s v="09000210-Tariq Shahzad"/>
    <n v="4500000"/>
    <n v="16925"/>
    <n v="169"/>
    <n v="2539"/>
    <n v="0"/>
    <n v="19633"/>
    <n v="0"/>
    <n v="0"/>
    <n v="19633"/>
    <n v="0"/>
    <n v="19633"/>
    <m/>
    <m/>
    <m/>
    <s v="Fizza Sheikh"/>
    <n v="1939.02"/>
    <n v="1939.02"/>
    <m/>
  </r>
  <r>
    <n v="2530"/>
    <x v="344"/>
    <x v="1668"/>
    <s v=" -"/>
    <s v=" MOTOR"/>
    <d v="2024-12-10T00:00:00"/>
    <d v="2024-09-09T00:00:00"/>
    <d v="2025-09-08T00:00:00"/>
    <s v=" 08817223"/>
    <s v="Mr. Muhammad Zubair _x000a_CNIC No. 45301-9286212-3_x000a_Cell No. 0333-2636070"/>
    <m/>
    <s v="HONDA CIVIC 1.8 I-VTEC OR"/>
    <s v="BHC-633"/>
    <s v="R18Z12905054"/>
    <s v="NFBFC6665GR007462"/>
    <s v="2016"/>
    <m/>
    <m/>
    <s v=" D"/>
    <s v="09000210-Tariq Shahzad"/>
    <n v="4500000"/>
    <n v="12881"/>
    <n v="129"/>
    <n v="1932"/>
    <n v="0"/>
    <n v="14942"/>
    <n v="0"/>
    <n v="0"/>
    <n v="14942"/>
    <n v="0"/>
    <n v="14942"/>
    <m/>
    <m/>
    <m/>
    <s v="Fizza Sheikh"/>
    <n v="1475.75"/>
    <n v="1475.75"/>
    <m/>
  </r>
  <r>
    <n v="2531"/>
    <x v="344"/>
    <x v="1669"/>
    <s v=" -"/>
    <s v=" MOTOR"/>
    <d v="2025-03-29T00:00:00"/>
    <d v="2024-09-09T00:00:00"/>
    <d v="2025-09-08T00:00:00"/>
    <s v=" 08817223"/>
    <s v="Mr. Muhammad Zubair _x000a_CNIC No. 45301-9286212-3_x000a_Cell No. 0333-2636070"/>
    <m/>
    <s v="HONDA CIVIC 1.8 I-VTEC OR"/>
    <s v="BHC-633"/>
    <s v="R18Z12905054"/>
    <s v="NFBFC6665GR007462"/>
    <s v="2016"/>
    <m/>
    <m/>
    <s v=" D"/>
    <s v="09000210-Tariq Shahzad"/>
    <n v="-1"/>
    <n v="-36199"/>
    <n v="-315"/>
    <n v="0"/>
    <n v="0"/>
    <n v="-36514"/>
    <n v="0"/>
    <n v="0"/>
    <n v="-36514"/>
    <n v="0"/>
    <n v="-36514"/>
    <m/>
    <m/>
    <m/>
    <s v="Fizza Sheikh"/>
    <m/>
    <m/>
    <m/>
  </r>
  <r>
    <n v="2600"/>
    <x v="345"/>
    <x v="1670"/>
    <s v=" -"/>
    <s v=" MOTOR"/>
    <d v="2024-11-27T00:00:00"/>
    <d v="2024-10-25T00:00:00"/>
    <d v="2025-10-24T00:00:00"/>
    <s v=" 08802690"/>
    <s v="Mr. Muhammad Mubashir Rafiq _x000a_CNIC# 36502-0158179-5_x000a_CELL# 0306-7816248"/>
    <m/>
    <s v="HONDA CITY I-VTEC CVT"/>
    <s v="AUK-251"/>
    <s v="L12B51002191"/>
    <s v="NFBGN862XMR002907"/>
    <s v="2021"/>
    <m/>
    <m/>
    <s v=" D"/>
    <s v="09000210-Tariq Shahzad"/>
    <n v="3800000"/>
    <n v="763"/>
    <n v="8"/>
    <n v="115"/>
    <n v="0"/>
    <n v="886"/>
    <n v="0"/>
    <n v="0"/>
    <n v="886"/>
    <n v="0"/>
    <n v="886"/>
    <m/>
    <m/>
    <m/>
    <s v="Syed Waqas"/>
    <n v="103.56"/>
    <n v="103.56"/>
    <m/>
  </r>
  <r>
    <n v="2601"/>
    <x v="345"/>
    <x v="1671"/>
    <s v=" -"/>
    <s v=" MOTOR"/>
    <d v="2024-12-26T00:00:00"/>
    <d v="2024-10-25T00:00:00"/>
    <d v="2025-10-24T00:00:00"/>
    <s v=" 08802690"/>
    <s v="Mr. Muhammad Mubashir Rafiq _x000a_CNIC# 36502-0158179-5_x000a_CELL# 0306-7816248"/>
    <m/>
    <s v="HONDA CITY I-VTEC CVT"/>
    <s v="AUK-251"/>
    <s v="L12B51002191"/>
    <s v="NFBGN862XMR002907"/>
    <s v="2021"/>
    <m/>
    <m/>
    <s v=" D"/>
    <s v="09000210-Tariq Shahzad"/>
    <n v="3800000"/>
    <n v="12598"/>
    <n v="126"/>
    <n v="1890"/>
    <n v="0"/>
    <n v="14614"/>
    <n v="0"/>
    <n v="0"/>
    <n v="14614"/>
    <n v="0"/>
    <n v="14614"/>
    <m/>
    <m/>
    <m/>
    <s v="Syed Waqas"/>
    <n v="1709.1500000000401"/>
    <n v="1709.1500000000401"/>
    <m/>
  </r>
  <r>
    <n v="2602"/>
    <x v="345"/>
    <x v="1672"/>
    <s v=" -"/>
    <s v=" MOTOR"/>
    <d v="2025-01-27T00:00:00"/>
    <d v="2024-10-25T00:00:00"/>
    <d v="2025-10-24T00:00:00"/>
    <s v=" 08802690"/>
    <s v="Mr. Muhammad Mubashir Rafiq _x000a_CNIC# 36502-0158179-5_x000a_CELL# 0306-7816248"/>
    <m/>
    <s v="HONDA CITY I-VTEC CVT"/>
    <s v="AUK-251"/>
    <s v="L12B51002191"/>
    <s v="NFBGN862XMR002907"/>
    <s v="2021"/>
    <m/>
    <m/>
    <s v=" D"/>
    <s v="09000210-Tariq Shahzad"/>
    <n v="3800000"/>
    <n v="6776"/>
    <n v="68"/>
    <n v="1016"/>
    <n v="0"/>
    <n v="7860"/>
    <n v="0"/>
    <n v="0"/>
    <n v="7860"/>
    <n v="0"/>
    <n v="7860"/>
    <m/>
    <m/>
    <m/>
    <s v="Syed Waqas"/>
    <n v="919.24000000001104"/>
    <n v="919.24000000001104"/>
    <m/>
  </r>
  <r>
    <n v="2603"/>
    <x v="345"/>
    <x v="1673"/>
    <s v=" -"/>
    <s v=" MOTOR"/>
    <d v="2025-02-26T00:00:00"/>
    <d v="2024-10-25T00:00:00"/>
    <d v="2025-10-24T00:00:00"/>
    <s v=" 08802690"/>
    <s v="Mr. Muhammad Mubashir Rafiq _x000a_CNIC# 36502-0158179-5_x000a_CELL# 0306-7816248"/>
    <m/>
    <s v="HONDA CITY I-VTEC CVT"/>
    <s v="AUK-251"/>
    <s v="L12B51002191"/>
    <s v="NFBGN862XMR002907"/>
    <s v="2021"/>
    <m/>
    <m/>
    <s v=" D"/>
    <s v="09000210-Tariq Shahzad"/>
    <n v="3800000"/>
    <n v="12471"/>
    <n v="125"/>
    <n v="1871"/>
    <n v="0"/>
    <n v="14467"/>
    <n v="0"/>
    <n v="0"/>
    <n v="14467"/>
    <n v="0"/>
    <n v="14467"/>
    <m/>
    <m/>
    <m/>
    <s v="Syed Waqas"/>
    <n v="1692.03000000003"/>
    <n v="1692.03000000003"/>
    <m/>
  </r>
  <r>
    <n v="2604"/>
    <x v="345"/>
    <x v="1674"/>
    <s v=" -"/>
    <s v=" MOTOR"/>
    <d v="2025-03-25T00:00:00"/>
    <d v="2024-10-25T00:00:00"/>
    <d v="2025-10-24T00:00:00"/>
    <s v=" 08802690"/>
    <s v="Mr. Muhammad Mubashir Rafiq _x000a_CNIC# 36502-0158179-5_x000a_CELL# 0306-7816248"/>
    <m/>
    <s v="HONDA CITY I-VTEC CVT"/>
    <s v="AUK-251"/>
    <s v="L12B51002191"/>
    <s v="NFBGN862XMR002907"/>
    <s v="2021"/>
    <m/>
    <m/>
    <s v=" D"/>
    <s v="09000210-Tariq Shahzad"/>
    <n v="3800000"/>
    <n v="1975"/>
    <n v="20"/>
    <n v="296"/>
    <n v="0"/>
    <n v="2291"/>
    <n v="0"/>
    <n v="0"/>
    <n v="2291"/>
    <n v="0"/>
    <n v="2291"/>
    <m/>
    <m/>
    <m/>
    <s v="Syed Waqas"/>
    <n v="267.87"/>
    <n v="267.87"/>
    <m/>
  </r>
  <r>
    <n v="2605"/>
    <x v="345"/>
    <x v="1675"/>
    <s v=" -"/>
    <s v=" MOTOR"/>
    <d v="2025-03-29T00:00:00"/>
    <d v="2024-10-25T00:00:00"/>
    <d v="2025-10-24T00:00:00"/>
    <s v=" 08802690"/>
    <s v="Mr. Muhammad Mubashir Rafiq _x000a_CNIC# 36502-0158179-5_x000a_CELL# 0306-7816248"/>
    <m/>
    <s v="HONDA CITY I-VTEC CVT"/>
    <s v="AUK-251"/>
    <s v="L12B51002191"/>
    <s v="NFBGN862XMR002907"/>
    <s v="2021"/>
    <m/>
    <m/>
    <s v=" D"/>
    <s v="09000210-Tariq Shahzad"/>
    <n v="-1"/>
    <n v="-39772"/>
    <n v="-346"/>
    <n v="0"/>
    <n v="0"/>
    <n v="-40118"/>
    <n v="0"/>
    <n v="0"/>
    <n v="-40118"/>
    <n v="0"/>
    <n v="-40118"/>
    <m/>
    <m/>
    <m/>
    <s v="Syed Waqas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CA71B-4254-43F0-ACA4-C7887E3FBD2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B2088" firstHeaderRow="1" firstDataRow="1" firstDataCol="1"/>
  <pivotFields count="38">
    <pivotField numFmtId="1" showAll="0"/>
    <pivotField axis="axisRow" showAll="0">
      <items count="347">
        <item x="3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100"/>
        <item t="default"/>
      </items>
    </pivotField>
    <pivotField axis="axisRow" showAll="0">
      <items count="1677">
        <item x="5"/>
        <item x="0"/>
        <item x="2"/>
        <item x="10"/>
        <item x="18"/>
        <item x="11"/>
        <item x="12"/>
        <item x="48"/>
        <item x="46"/>
        <item x="42"/>
        <item x="40"/>
        <item x="45"/>
        <item x="6"/>
        <item x="3"/>
        <item x="28"/>
        <item x="13"/>
        <item x="53"/>
        <item x="8"/>
        <item x="15"/>
        <item x="20"/>
        <item x="25"/>
        <item x="21"/>
        <item x="16"/>
        <item x="32"/>
        <item x="33"/>
        <item x="22"/>
        <item x="26"/>
        <item x="30"/>
        <item x="34"/>
        <item x="35"/>
        <item x="43"/>
        <item x="56"/>
        <item x="57"/>
        <item x="58"/>
        <item x="37"/>
        <item x="39"/>
        <item x="82"/>
        <item x="71"/>
        <item x="140"/>
        <item x="121"/>
        <item x="122"/>
        <item x="55"/>
        <item x="148"/>
        <item x="179"/>
        <item x="183"/>
        <item x="152"/>
        <item x="109"/>
        <item x="120"/>
        <item x="184"/>
        <item x="49"/>
        <item x="153"/>
        <item x="59"/>
        <item x="66"/>
        <item x="118"/>
        <item x="220"/>
        <item x="276"/>
        <item x="293"/>
        <item x="185"/>
        <item x="50"/>
        <item x="51"/>
        <item x="300"/>
        <item x="308"/>
        <item x="304"/>
        <item x="314"/>
        <item x="317"/>
        <item x="320"/>
        <item x="327"/>
        <item x="337"/>
        <item x="342"/>
        <item x="349"/>
        <item x="359"/>
        <item x="351"/>
        <item x="362"/>
        <item x="366"/>
        <item x="154"/>
        <item x="221"/>
        <item x="60"/>
        <item x="67"/>
        <item x="68"/>
        <item x="277"/>
        <item x="294"/>
        <item x="103"/>
        <item x="374"/>
        <item x="376"/>
        <item x="382"/>
        <item x="384"/>
        <item x="390"/>
        <item x="392"/>
        <item x="396"/>
        <item x="408"/>
        <item x="401"/>
        <item x="410"/>
        <item x="416"/>
        <item x="421"/>
        <item x="429"/>
        <item x="434"/>
        <item x="222"/>
        <item x="169"/>
        <item x="61"/>
        <item x="278"/>
        <item x="295"/>
        <item x="438"/>
        <item x="443"/>
        <item x="441"/>
        <item x="456"/>
        <item x="465"/>
        <item x="462"/>
        <item x="472"/>
        <item x="480"/>
        <item x="483"/>
        <item x="490"/>
        <item x="496"/>
        <item x="514"/>
        <item x="521"/>
        <item x="506"/>
        <item x="527"/>
        <item x="530"/>
        <item x="533"/>
        <item x="536"/>
        <item x="540"/>
        <item x="538"/>
        <item x="543"/>
        <item x="551"/>
        <item x="559"/>
        <item x="555"/>
        <item x="565"/>
        <item x="123"/>
        <item x="223"/>
        <item x="62"/>
        <item x="328"/>
        <item x="279"/>
        <item x="296"/>
        <item x="634"/>
        <item x="570"/>
        <item x="573"/>
        <item x="580"/>
        <item x="587"/>
        <item x="598"/>
        <item x="594"/>
        <item x="626"/>
        <item x="616"/>
        <item x="608"/>
        <item x="630"/>
        <item x="635"/>
        <item x="644"/>
        <item x="657"/>
        <item x="652"/>
        <item x="667"/>
        <item x="677"/>
        <item x="683"/>
        <item x="687"/>
        <item x="690"/>
        <item x="141"/>
        <item x="163"/>
        <item x="224"/>
        <item x="63"/>
        <item x="643"/>
        <item x="653"/>
        <item x="83"/>
        <item x="491"/>
        <item x="119"/>
        <item x="143"/>
        <item x="360"/>
        <item x="106"/>
        <item x="280"/>
        <item x="297"/>
        <item x="636"/>
        <item x="698"/>
        <item x="74"/>
        <item x="75"/>
        <item x="76"/>
        <item x="77"/>
        <item x="78"/>
        <item x="718"/>
        <item x="732"/>
        <item x="164"/>
        <item x="225"/>
        <item x="769"/>
        <item x="110"/>
        <item x="111"/>
        <item x="84"/>
        <item x="757"/>
        <item x="64"/>
        <item x="91"/>
        <item x="100"/>
        <item x="144"/>
        <item x="305"/>
        <item x="69"/>
        <item x="158"/>
        <item x="352"/>
        <item x="782"/>
        <item x="107"/>
        <item x="188"/>
        <item x="281"/>
        <item x="298"/>
        <item x="637"/>
        <item x="104"/>
        <item x="822"/>
        <item x="699"/>
        <item x="701"/>
        <item x="714"/>
        <item x="709"/>
        <item x="719"/>
        <item x="733"/>
        <item x="746"/>
        <item x="758"/>
        <item x="770"/>
        <item x="761"/>
        <item x="783"/>
        <item x="808"/>
        <item x="795"/>
        <item x="823"/>
        <item x="817"/>
        <item x="835"/>
        <item x="843"/>
        <item x="845"/>
        <item x="854"/>
        <item x="867"/>
        <item x="877"/>
        <item x="906"/>
        <item x="911"/>
        <item x="914"/>
        <item x="923"/>
        <item x="935"/>
        <item x="941"/>
        <item x="944"/>
        <item x="968"/>
        <item x="956"/>
        <item x="186"/>
        <item x="367"/>
        <item x="435"/>
        <item x="97"/>
        <item x="836"/>
        <item x="444"/>
        <item x="457"/>
        <item x="702"/>
        <item x="839"/>
        <item x="81"/>
        <item x="306"/>
        <item x="79"/>
        <item x="734"/>
        <item x="720"/>
        <item x="165"/>
        <item x="846"/>
        <item x="226"/>
        <item x="377"/>
        <item x="771"/>
        <item x="855"/>
        <item x="112"/>
        <item x="497"/>
        <item x="329"/>
        <item x="85"/>
        <item x="115"/>
        <item x="654"/>
        <item x="759"/>
        <item x="515"/>
        <item x="942"/>
        <item x="101"/>
        <item x="796"/>
        <item x="797"/>
        <item x="159"/>
        <item x="784"/>
        <item x="92"/>
        <item x="93"/>
        <item x="94"/>
        <item x="95"/>
        <item x="282"/>
        <item x="638"/>
        <item x="945"/>
        <item x="824"/>
        <item x="969"/>
        <item x="368"/>
        <item x="98"/>
        <item x="837"/>
        <item x="445"/>
        <item x="721"/>
        <item x="735"/>
        <item x="990"/>
        <item x="166"/>
        <item x="210"/>
        <item x="847"/>
        <item x="993"/>
        <item x="1005"/>
        <item x="385"/>
        <item x="113"/>
        <item x="227"/>
        <item x="772"/>
        <item x="856"/>
        <item x="747"/>
        <item x="330"/>
        <item x="1076"/>
        <item x="116"/>
        <item x="1087"/>
        <item x="72"/>
        <item x="1088"/>
        <item x="798"/>
        <item x="160"/>
        <item x="889"/>
        <item x="924"/>
        <item x="785"/>
        <item x="87"/>
        <item x="283"/>
        <item x="301"/>
        <item x="639"/>
        <item x="825"/>
        <item x="946"/>
        <item x="970"/>
        <item x="1149"/>
        <item x="369"/>
        <item x="446"/>
        <item x="458"/>
        <item x="155"/>
        <item x="722"/>
        <item x="736"/>
        <item x="991"/>
        <item x="167"/>
        <item x="599"/>
        <item x="627"/>
        <item x="848"/>
        <item x="994"/>
        <item x="1006"/>
        <item x="617"/>
        <item x="631"/>
        <item x="1173"/>
        <item x="378"/>
        <item x="386"/>
        <item x="422"/>
        <item x="216"/>
        <item x="228"/>
        <item x="773"/>
        <item x="857"/>
        <item x="498"/>
        <item x="748"/>
        <item x="331"/>
        <item x="1077"/>
        <item x="1078"/>
        <item x="1192"/>
        <item x="238"/>
        <item x="507"/>
        <item x="250"/>
        <item x="907"/>
        <item x="321"/>
        <item x="799"/>
        <item x="1128"/>
        <item x="265"/>
        <item x="534"/>
        <item x="161"/>
        <item x="541"/>
        <item x="668"/>
        <item x="925"/>
        <item x="1215"/>
        <item x="353"/>
        <item x="786"/>
        <item x="809"/>
        <item x="1219"/>
        <item x="175"/>
        <item x="343"/>
        <item x="1119"/>
        <item x="1150"/>
        <item x="149"/>
        <item x="284"/>
        <item x="640"/>
        <item x="947"/>
        <item x="89"/>
        <item x="826"/>
        <item x="971"/>
        <item x="980"/>
        <item x="1253"/>
        <item x="1260"/>
        <item x="1248"/>
        <item x="195"/>
        <item x="199"/>
        <item x="200"/>
        <item x="370"/>
        <item x="447"/>
        <item x="459"/>
        <item x="1273"/>
        <item x="125"/>
        <item x="130"/>
        <item x="156"/>
        <item x="737"/>
        <item x="127"/>
        <item x="128"/>
        <item x="723"/>
        <item x="309"/>
        <item x="600"/>
        <item x="849"/>
        <item x="995"/>
        <item x="1007"/>
        <item x="132"/>
        <item x="133"/>
        <item x="135"/>
        <item x="136"/>
        <item x="212"/>
        <item x="218"/>
        <item x="229"/>
        <item x="233"/>
        <item x="243"/>
        <item x="379"/>
        <item x="387"/>
        <item x="423"/>
        <item x="618"/>
        <item x="632"/>
        <item x="774"/>
        <item x="858"/>
        <item x="1174"/>
        <item x="450"/>
        <item x="1051"/>
        <item x="138"/>
        <item x="239"/>
        <item x="332"/>
        <item x="397"/>
        <item x="402"/>
        <item x="484"/>
        <item x="499"/>
        <item x="645"/>
        <item x="655"/>
        <item x="749"/>
        <item x="868"/>
        <item x="1089"/>
        <item x="1193"/>
        <item x="508"/>
        <item x="544"/>
        <item x="628"/>
        <item x="142"/>
        <item x="172"/>
        <item x="251"/>
        <item x="908"/>
        <item x="211"/>
        <item x="302"/>
        <item x="380"/>
        <item x="388"/>
        <item x="460"/>
        <item x="448"/>
        <item x="891"/>
        <item x="86"/>
        <item x="102"/>
        <item x="96"/>
        <item x="108"/>
        <item x="117"/>
        <item x="162"/>
        <item x="253"/>
        <item x="1106"/>
        <item x="146"/>
        <item x="322"/>
        <item x="800"/>
        <item x="1129"/>
        <item x="266"/>
        <item x="658"/>
        <item x="659"/>
        <item x="249"/>
        <item x="669"/>
        <item x="1216"/>
        <item x="926"/>
        <item x="1270"/>
        <item x="1295"/>
        <item x="257"/>
        <item x="269"/>
        <item x="354"/>
        <item x="787"/>
        <item x="810"/>
        <item x="1139"/>
        <item x="1308"/>
        <item x="176"/>
        <item x="180"/>
        <item x="344"/>
        <item x="1120"/>
        <item x="552"/>
        <item x="689"/>
        <item x="1151"/>
        <item x="150"/>
        <item x="191"/>
        <item x="285"/>
        <item x="641"/>
        <item x="948"/>
        <item x="1320"/>
        <item x="261"/>
        <item x="560"/>
        <item x="574"/>
        <item x="581"/>
        <item x="691"/>
        <item x="827"/>
        <item x="972"/>
        <item x="1254"/>
        <item x="1261"/>
        <item x="1249"/>
        <item x="1330"/>
        <item x="1350"/>
        <item x="189"/>
        <item x="193"/>
        <item x="196"/>
        <item x="201"/>
        <item x="204"/>
        <item x="371"/>
        <item x="1025"/>
        <item x="1026"/>
        <item x="1027"/>
        <item x="1274"/>
        <item x="1370"/>
        <item x="1379"/>
        <item x="466"/>
        <item x="1021"/>
        <item x="715"/>
        <item x="1034"/>
        <item x="1035"/>
        <item x="1036"/>
        <item x="1037"/>
        <item x="1445"/>
        <item x="230"/>
        <item x="234"/>
        <item x="244"/>
        <item x="310"/>
        <item x="424"/>
        <item x="451"/>
        <item x="601"/>
        <item x="619"/>
        <item x="724"/>
        <item x="738"/>
        <item x="775"/>
        <item x="850"/>
        <item x="859"/>
        <item x="881"/>
        <item x="996"/>
        <item x="1008"/>
        <item x="1042"/>
        <item x="1052"/>
        <item x="1175"/>
        <item x="1388"/>
        <item x="1405"/>
        <item x="1409"/>
        <item x="170"/>
        <item x="333"/>
        <item x="398"/>
        <item x="403"/>
        <item x="473"/>
        <item x="500"/>
        <item x="646"/>
        <item x="750"/>
        <item x="869"/>
        <item x="1203"/>
        <item x="1416"/>
        <item x="240"/>
        <item x="1079"/>
        <item x="1090"/>
        <item x="1194"/>
        <item x="509"/>
        <item x="545"/>
        <item x="173"/>
        <item x="252"/>
        <item x="909"/>
        <item x="1293"/>
        <item x="254"/>
        <item x="1107"/>
        <item x="1212"/>
        <item x="1431"/>
        <item x="1447"/>
        <item x="1454"/>
        <item x="1463"/>
        <item x="323"/>
        <item x="411"/>
        <item x="801"/>
        <item x="1130"/>
        <item x="267"/>
        <item x="338"/>
        <item x="660"/>
        <item x="670"/>
        <item x="915"/>
        <item x="927"/>
        <item x="1296"/>
        <item x="1300"/>
        <item x="258"/>
        <item x="270"/>
        <item x="355"/>
        <item x="788"/>
        <item x="811"/>
        <item x="1140"/>
        <item x="1309"/>
        <item x="177"/>
        <item x="181"/>
        <item x="345"/>
        <item x="1121"/>
        <item x="1224"/>
        <item x="1233"/>
        <item x="1472"/>
        <item x="262"/>
        <item x="286"/>
        <item x="561"/>
        <item x="828"/>
        <item x="949"/>
        <item x="973"/>
        <item x="1152"/>
        <item x="1221"/>
        <item x="1222"/>
        <item x="1321"/>
        <item x="957"/>
        <item x="958"/>
        <item x="959"/>
        <item x="960"/>
        <item x="961"/>
        <item x="575"/>
        <item x="582"/>
        <item x="692"/>
        <item x="1250"/>
        <item x="1255"/>
        <item x="1262"/>
        <item x="1331"/>
        <item x="1351"/>
        <item x="1487"/>
        <item x="1359"/>
        <item x="197"/>
        <item x="202"/>
        <item x="1275"/>
        <item x="1371"/>
        <item x="1380"/>
        <item x="206"/>
        <item x="208"/>
        <item x="467"/>
        <item x="710"/>
        <item x="716"/>
        <item x="1022"/>
        <item x="1185"/>
        <item x="1365"/>
        <item x="1492"/>
        <item x="1499"/>
        <item x="588"/>
        <item x="725"/>
        <item x="739"/>
        <item x="1039"/>
        <item x="1406"/>
        <item x="1425"/>
        <item x="311"/>
        <item x="602"/>
        <item x="609"/>
        <item x="620"/>
        <item x="851"/>
        <item x="882"/>
        <item x="997"/>
        <item x="1043"/>
        <item x="1064"/>
        <item x="1176"/>
        <item x="1510"/>
        <item x="214"/>
        <item x="425"/>
        <item x="231"/>
        <item x="236"/>
        <item x="245"/>
        <item x="452"/>
        <item x="776"/>
        <item x="860"/>
        <item x="1053"/>
        <item x="474"/>
        <item x="501"/>
        <item x="751"/>
        <item x="334"/>
        <item x="404"/>
        <item x="485"/>
        <item x="647"/>
        <item x="870"/>
        <item x="1204"/>
        <item x="1417"/>
        <item x="1080"/>
        <item x="1518"/>
        <item x="241"/>
        <item x="762"/>
        <item x="1283"/>
        <item x="247"/>
        <item x="255"/>
        <item x="324"/>
        <item x="412"/>
        <item x="510"/>
        <item x="516"/>
        <item x="522"/>
        <item x="546"/>
        <item x="661"/>
        <item x="678"/>
        <item x="802"/>
        <item x="1098"/>
        <item x="1099"/>
        <item x="1115"/>
        <item x="1131"/>
        <item x="1432"/>
        <item x="1448"/>
        <item x="1455"/>
        <item x="1464"/>
        <item x="339"/>
        <item x="417"/>
        <item x="671"/>
        <item x="916"/>
        <item x="928"/>
        <item x="259"/>
        <item x="271"/>
        <item x="273"/>
        <item x="356"/>
        <item x="789"/>
        <item x="812"/>
        <item x="1141"/>
        <item x="1310"/>
        <item x="346"/>
        <item x="553"/>
        <item x="1122"/>
        <item x="1153"/>
        <item x="1225"/>
        <item x="1234"/>
        <item x="1473"/>
        <item x="275"/>
        <item x="287"/>
        <item x="950"/>
        <item x="1322"/>
        <item x="1530"/>
        <item x="263"/>
        <item x="363"/>
        <item x="562"/>
        <item x="829"/>
        <item x="974"/>
        <item x="1256"/>
        <item x="1263"/>
        <item x="430"/>
        <item x="576"/>
        <item x="583"/>
        <item x="693"/>
        <item x="1251"/>
        <item x="1352"/>
        <item x="436"/>
        <item x="840"/>
        <item x="982"/>
        <item x="1276"/>
        <item x="1332"/>
        <item x="1360"/>
        <item x="1372"/>
        <item x="1381"/>
        <item x="1488"/>
        <item x="1534"/>
        <item x="1541"/>
        <item x="1548"/>
        <item x="468"/>
        <item x="703"/>
        <item x="1023"/>
        <item x="1366"/>
        <item x="1493"/>
        <item x="1500"/>
        <item x="1550"/>
        <item x="1563"/>
        <item x="740"/>
        <item x="1161"/>
        <item x="589"/>
        <item x="726"/>
        <item x="1187"/>
        <item x="1389"/>
        <item x="1390"/>
        <item x="1407"/>
        <item x="1570"/>
        <item x="312"/>
        <item x="603"/>
        <item x="852"/>
        <item x="883"/>
        <item x="998"/>
        <item x="1009"/>
        <item x="1044"/>
        <item x="1511"/>
        <item x="315"/>
        <item x="426"/>
        <item x="610"/>
        <item x="621"/>
        <item x="777"/>
        <item x="861"/>
        <item x="1065"/>
        <item x="1168"/>
        <item x="1177"/>
        <item x="1514"/>
        <item x="393"/>
        <item x="453"/>
        <item x="1054"/>
        <item x="1196"/>
        <item x="318"/>
        <item x="335"/>
        <item x="399"/>
        <item x="405"/>
        <item x="475"/>
        <item x="486"/>
        <item x="502"/>
        <item x="648"/>
        <item x="752"/>
        <item x="871"/>
        <item x="1205"/>
        <item x="1418"/>
        <item x="763"/>
        <item x="1081"/>
        <item x="1091"/>
        <item x="1586"/>
        <item x="492"/>
        <item x="517"/>
        <item x="523"/>
        <item x="547"/>
        <item x="679"/>
        <item x="1100"/>
        <item x="325"/>
        <item x="1433"/>
        <item x="1449"/>
        <item x="1456"/>
        <item x="1465"/>
        <item x="1523"/>
        <item x="340"/>
        <item x="357"/>
        <item x="413"/>
        <item x="662"/>
        <item x="672"/>
        <item x="803"/>
        <item x="912"/>
        <item x="917"/>
        <item x="1132"/>
        <item x="418"/>
        <item x="790"/>
        <item x="813"/>
        <item x="929"/>
        <item x="1142"/>
        <item x="1311"/>
        <item x="1604"/>
        <item x="347"/>
        <item x="1123"/>
        <item x="1226"/>
        <item x="1235"/>
        <item x="1474"/>
        <item x="439"/>
        <item x="951"/>
        <item x="1154"/>
        <item x="1323"/>
        <item x="1531"/>
        <item x="364"/>
        <item x="431"/>
        <item x="563"/>
        <item x="566"/>
        <item x="577"/>
        <item x="584"/>
        <item x="694"/>
        <item x="830"/>
        <item x="962"/>
        <item x="963"/>
        <item x="975"/>
        <item x="983"/>
        <item x="1257"/>
        <item x="1264"/>
        <item x="1333"/>
        <item x="1353"/>
        <item x="1489"/>
        <item x="1598"/>
        <item x="372"/>
        <item x="1361"/>
        <item x="1542"/>
        <item x="469"/>
        <item x="1277"/>
        <item x="1367"/>
        <item x="1373"/>
        <item x="1382"/>
        <item x="1551"/>
        <item x="1564"/>
        <item x="1494"/>
        <item x="1501"/>
        <item x="590"/>
        <item x="595"/>
        <item x="604"/>
        <item x="727"/>
        <item x="741"/>
        <item x="884"/>
        <item x="999"/>
        <item x="1010"/>
        <item x="1045"/>
        <item x="1162"/>
        <item x="1188"/>
        <item x="1426"/>
        <item x="1512"/>
        <item x="1571"/>
        <item x="1614"/>
        <item x="427"/>
        <item x="611"/>
        <item x="622"/>
        <item x="1066"/>
        <item x="1169"/>
        <item x="1178"/>
        <item x="1392"/>
        <item x="778"/>
        <item x="862"/>
        <item x="1410"/>
        <item x="1055"/>
        <item x="1056"/>
        <item x="1197"/>
        <item x="394"/>
        <item x="406"/>
        <item x="476"/>
        <item x="487"/>
        <item x="503"/>
        <item x="649"/>
        <item x="753"/>
        <item x="872"/>
        <item x="1206"/>
        <item x="1419"/>
        <item x="1618"/>
        <item x="1082"/>
        <item x="493"/>
        <item x="764"/>
        <item x="1092"/>
        <item x="511"/>
        <item x="548"/>
        <item x="1466"/>
        <item x="414"/>
        <item x="518"/>
        <item x="524"/>
        <item x="680"/>
        <item x="1434"/>
        <item x="1450"/>
        <item x="1457"/>
        <item x="1524"/>
        <item x="663"/>
        <item x="804"/>
        <item x="1108"/>
        <item x="1133"/>
        <item x="419"/>
        <item x="673"/>
        <item x="918"/>
        <item x="930"/>
        <item x="1298"/>
        <item x="1605"/>
        <item x="73"/>
        <item x="556"/>
        <item x="791"/>
        <item x="814"/>
        <item x="936"/>
        <item x="1143"/>
        <item x="1312"/>
        <item x="432"/>
        <item x="571"/>
        <item x="684"/>
        <item x="818"/>
        <item x="1124"/>
        <item x="1155"/>
        <item x="1227"/>
        <item x="1236"/>
        <item x="1475"/>
        <item x="1633"/>
        <item x="567"/>
        <item x="578"/>
        <item x="585"/>
        <item x="695"/>
        <item x="831"/>
        <item x="878"/>
        <item x="952"/>
        <item x="964"/>
        <item x="976"/>
        <item x="1258"/>
        <item x="1265"/>
        <item x="1324"/>
        <item x="1354"/>
        <item x="1532"/>
        <item x="1599"/>
        <item x="841"/>
        <item x="984"/>
        <item x="1334"/>
        <item x="1362"/>
        <item x="1490"/>
        <item x="1535"/>
        <item x="1536"/>
        <item x="1543"/>
        <item x="470"/>
        <item x="1278"/>
        <item x="1368"/>
        <item x="1374"/>
        <item x="1383"/>
        <item x="1495"/>
        <item x="1502"/>
        <item x="1552"/>
        <item x="1565"/>
        <item x="591"/>
        <item x="605"/>
        <item x="728"/>
        <item x="742"/>
        <item x="885"/>
        <item x="1000"/>
        <item x="1011"/>
        <item x="1040"/>
        <item x="1046"/>
        <item x="1163"/>
        <item x="1427"/>
        <item x="1572"/>
        <item x="1615"/>
        <item x="612"/>
        <item x="623"/>
        <item x="1067"/>
        <item x="1170"/>
        <item x="1179"/>
        <item x="1393"/>
        <item x="463"/>
        <item x="779"/>
        <item x="863"/>
        <item x="1057"/>
        <item x="1198"/>
        <item x="1411"/>
        <item x="454"/>
        <item x="477"/>
        <item x="479"/>
        <item x="504"/>
        <item x="650"/>
        <item x="754"/>
        <item x="873"/>
        <item x="1207"/>
        <item x="1420"/>
        <item x="1619"/>
        <item x="1624"/>
        <item x="488"/>
        <item x="481"/>
        <item x="494"/>
        <item x="512"/>
        <item x="519"/>
        <item x="525"/>
        <item x="528"/>
        <item x="531"/>
        <item x="549"/>
        <item x="681"/>
        <item x="765"/>
        <item x="1083"/>
        <item x="1093"/>
        <item x="1467"/>
        <item x="557"/>
        <item x="674"/>
        <item x="805"/>
        <item x="919"/>
        <item x="1435"/>
        <item x="1451"/>
        <item x="1458"/>
        <item x="1525"/>
        <item x="1611"/>
        <item x="1285"/>
        <item x="664"/>
        <item x="792"/>
        <item x="815"/>
        <item x="931"/>
        <item x="937"/>
        <item x="1110"/>
        <item x="1134"/>
        <item x="1144"/>
        <item x="1313"/>
        <item x="1606"/>
        <item x="568"/>
        <item x="685"/>
        <item x="1125"/>
        <item x="1156"/>
        <item x="1228"/>
        <item x="1237"/>
        <item x="1476"/>
        <item x="1634"/>
        <item x="832"/>
        <item x="902"/>
        <item x="953"/>
        <item x="965"/>
        <item x="977"/>
        <item x="1266"/>
        <item x="1325"/>
        <item x="879"/>
        <item x="992"/>
        <item x="696"/>
        <item x="1279"/>
        <item x="1335"/>
        <item x="1355"/>
        <item x="1363"/>
        <item x="1375"/>
        <item x="1384"/>
        <item x="1537"/>
        <item x="1544"/>
        <item x="1553"/>
        <item x="1556"/>
        <item x="1566"/>
        <item x="1600"/>
        <item x="1637"/>
        <item x="1642"/>
        <item x="1650"/>
        <item x="892"/>
        <item x="893"/>
        <item x="592"/>
        <item x="894"/>
        <item x="895"/>
        <item x="896"/>
        <item x="897"/>
        <item x="898"/>
        <item x="596"/>
        <item x="606"/>
        <item x="613"/>
        <item x="615"/>
        <item x="624"/>
        <item x="711"/>
        <item x="729"/>
        <item x="743"/>
        <item x="1164"/>
        <item x="1398"/>
        <item x="1428"/>
        <item x="1496"/>
        <item x="1503"/>
        <item x="1573"/>
        <item x="1656"/>
        <item x="886"/>
        <item x="1001"/>
        <item x="1012"/>
        <item x="1016"/>
        <item x="1047"/>
        <item x="1068"/>
        <item x="1171"/>
        <item x="1180"/>
        <item x="1394"/>
        <item x="1616"/>
        <item x="1058"/>
        <item x="1199"/>
        <item x="1666"/>
        <item x="755"/>
        <item x="780"/>
        <item x="864"/>
        <item x="874"/>
        <item x="1208"/>
        <item x="1412"/>
        <item x="1421"/>
        <item x="1579"/>
        <item x="1620"/>
        <item x="1084"/>
        <item x="766"/>
        <item x="1094"/>
        <item x="665"/>
        <item x="675"/>
        <item x="806"/>
        <item x="922"/>
        <item x="932"/>
        <item x="1102"/>
        <item x="1111"/>
        <item x="1135"/>
        <item x="1213"/>
        <item x="1286"/>
        <item x="1301"/>
        <item x="1436"/>
        <item x="1452"/>
        <item x="1459"/>
        <item x="1468"/>
        <item x="1526"/>
        <item x="1607"/>
        <item x="793"/>
        <item x="920"/>
        <item x="938"/>
        <item x="1145"/>
        <item x="1314"/>
        <item x="1612"/>
        <item x="1242"/>
        <item x="1126"/>
        <item x="1229"/>
        <item x="1238"/>
        <item x="1477"/>
        <item x="1635"/>
        <item x="1157"/>
        <item x="899"/>
        <item x="954"/>
        <item x="966"/>
        <item x="1326"/>
        <item x="939"/>
        <item x="1214"/>
        <item x="820"/>
        <item x="833"/>
        <item x="903"/>
        <item x="978"/>
        <item x="1267"/>
        <item x="1356"/>
        <item x="1601"/>
        <item x="1626"/>
        <item x="842"/>
        <item x="986"/>
        <item x="1336"/>
        <item x="1538"/>
        <item x="1545"/>
        <item x="1651"/>
        <item x="1280"/>
        <item x="1376"/>
        <item x="1385"/>
        <item x="1643"/>
        <item x="1029"/>
        <item x="1165"/>
        <item x="1429"/>
        <item x="1497"/>
        <item x="1504"/>
        <item x="1554"/>
        <item x="1557"/>
        <item x="1567"/>
        <item x="1657"/>
        <item x="704"/>
        <item x="705"/>
        <item x="706"/>
        <item x="707"/>
        <item x="712"/>
        <item x="730"/>
        <item x="744"/>
        <item x="1399"/>
        <item x="1574"/>
        <item x="887"/>
        <item x="1002"/>
        <item x="1017"/>
        <item x="1048"/>
        <item x="1"/>
        <item x="4"/>
        <item x="7"/>
        <item x="19"/>
        <item x="23"/>
        <item x="27"/>
        <item x="29"/>
        <item x="31"/>
        <item x="36"/>
        <item x="38"/>
        <item x="44"/>
        <item x="47"/>
        <item x="52"/>
        <item x="70"/>
        <item x="105"/>
        <item x="114"/>
        <item x="124"/>
        <item x="129"/>
        <item x="147"/>
        <item x="151"/>
        <item x="157"/>
        <item x="168"/>
        <item x="194"/>
        <item x="203"/>
        <item x="213"/>
        <item x="215"/>
        <item x="219"/>
        <item x="232"/>
        <item x="242"/>
        <item x="256"/>
        <item x="272"/>
        <item x="274"/>
        <item x="288"/>
        <item x="299"/>
        <item x="303"/>
        <item x="307"/>
        <item x="313"/>
        <item x="316"/>
        <item x="336"/>
        <item x="350"/>
        <item x="361"/>
        <item x="375"/>
        <item x="381"/>
        <item x="383"/>
        <item x="389"/>
        <item x="391"/>
        <item x="400"/>
        <item x="407"/>
        <item x="409"/>
        <item x="415"/>
        <item x="420"/>
        <item x="428"/>
        <item x="433"/>
        <item x="440"/>
        <item x="442"/>
        <item x="449"/>
        <item x="461"/>
        <item x="464"/>
        <item x="471"/>
        <item x="478"/>
        <item x="482"/>
        <item x="495"/>
        <item x="505"/>
        <item x="513"/>
        <item x="520"/>
        <item x="529"/>
        <item x="535"/>
        <item x="537"/>
        <item x="539"/>
        <item x="542"/>
        <item x="550"/>
        <item x="554"/>
        <item x="558"/>
        <item x="564"/>
        <item x="569"/>
        <item x="572"/>
        <item x="586"/>
        <item x="642"/>
        <item x="880"/>
        <item x="9"/>
        <item x="41"/>
        <item x="205"/>
        <item x="1613"/>
        <item x="1555"/>
        <item x="955"/>
        <item x="816"/>
        <item x="597"/>
        <item x="1446"/>
        <item x="1549"/>
        <item x="921"/>
        <item x="717"/>
        <item x="1259"/>
        <item x="1284"/>
        <item x="1478"/>
        <item x="967"/>
        <item x="1453"/>
        <item x="1498"/>
        <item x="1127"/>
        <item x="853"/>
        <item x="607"/>
        <item x="1172"/>
        <item x="656"/>
        <item x="1189"/>
        <item x="1519"/>
        <item x="700"/>
        <item x="1513"/>
        <item x="1294"/>
        <item x="1223"/>
        <item x="910"/>
        <item x="1587"/>
        <item x="1299"/>
        <item x="890"/>
        <item x="145"/>
        <item x="1636"/>
        <item x="943"/>
        <item x="395"/>
        <item x="1116"/>
        <item x="192"/>
        <item x="190"/>
        <item x="629"/>
        <item x="688"/>
        <item x="1069"/>
        <item x="1181"/>
        <item x="1395"/>
        <item x="1515"/>
        <item x="865"/>
        <item x="1059"/>
        <item x="1072"/>
        <item x="1073"/>
        <item x="1200"/>
        <item x="1580"/>
        <item x="1621"/>
        <item x="1667"/>
        <item x="1486"/>
        <item x="875"/>
        <item x="1209"/>
        <item x="1422"/>
        <item x="1085"/>
        <item x="1095"/>
        <item x="1520"/>
        <item x="1592"/>
        <item x="1103"/>
        <item x="1287"/>
        <item x="1307"/>
        <item x="1437"/>
        <item x="1460"/>
        <item x="1469"/>
        <item x="1527"/>
        <item x="1112"/>
        <item x="1136"/>
        <item x="767"/>
        <item x="933"/>
        <item x="1302"/>
        <item x="1608"/>
        <item x="1146"/>
        <item x="1243"/>
        <item x="1315"/>
        <item x="1230"/>
        <item x="1239"/>
        <item x="1481"/>
        <item x="900"/>
        <item x="1158"/>
        <item x="1327"/>
        <item x="1670"/>
        <item x="904"/>
        <item x="1268"/>
        <item x="1627"/>
        <item x="1357"/>
        <item x="1602"/>
        <item x="1337"/>
        <item x="1652"/>
        <item x="987"/>
        <item x="1281"/>
        <item x="1377"/>
        <item x="1386"/>
        <item x="1539"/>
        <item x="1546"/>
        <item x="1644"/>
        <item x="1030"/>
        <item x="1166"/>
        <item x="1505"/>
        <item x="1558"/>
        <item x="1568"/>
        <item x="1658"/>
        <item x="1015"/>
        <item x="1400"/>
        <item x="1575"/>
        <item x="1003"/>
        <item x="1070"/>
        <item x="1182"/>
        <item x="1396"/>
        <item x="1516"/>
        <item x="1013"/>
        <item x="1018"/>
        <item x="1049"/>
        <item x="1060"/>
        <item x="1201"/>
        <item x="1668"/>
        <item x="1581"/>
        <item x="1074"/>
        <item x="1210"/>
        <item x="1423"/>
        <item x="1622"/>
        <item x="1318"/>
        <item x="1588"/>
        <item x="1096"/>
        <item x="1521"/>
        <item x="1593"/>
        <item x="1104"/>
        <item x="1288"/>
        <item x="1470"/>
        <item x="1438"/>
        <item x="1461"/>
        <item x="1528"/>
        <item x="1113"/>
        <item x="1137"/>
        <item x="1117"/>
        <item x="1217"/>
        <item x="1271"/>
        <item x="1303"/>
        <item x="1609"/>
        <item x="1147"/>
        <item x="1244"/>
        <item x="1316"/>
        <item x="1479"/>
        <item x="1590"/>
        <item x="455"/>
        <item x="1159"/>
        <item x="1231"/>
        <item x="1240"/>
        <item x="1482"/>
        <item x="1671"/>
        <item x="1328"/>
        <item x="14"/>
        <item x="17"/>
        <item x="65"/>
        <item x="80"/>
        <item x="88"/>
        <item x="90"/>
        <item x="99"/>
        <item x="126"/>
        <item x="131"/>
        <item x="134"/>
        <item x="139"/>
        <item x="171"/>
        <item x="174"/>
        <item x="182"/>
        <item x="187"/>
        <item x="207"/>
        <item x="209"/>
        <item x="217"/>
        <item x="235"/>
        <item x="246"/>
        <item x="260"/>
        <item x="264"/>
        <item x="268"/>
        <item x="319"/>
        <item x="326"/>
        <item x="341"/>
        <item x="348"/>
        <item x="358"/>
        <item x="365"/>
        <item x="373"/>
        <item x="437"/>
        <item x="489"/>
        <item x="526"/>
        <item x="532"/>
        <item x="579"/>
        <item x="593"/>
        <item x="614"/>
        <item x="625"/>
        <item x="633"/>
        <item x="651"/>
        <item x="666"/>
        <item x="676"/>
        <item x="682"/>
        <item x="686"/>
        <item x="697"/>
        <item x="708"/>
        <item x="713"/>
        <item x="731"/>
        <item x="745"/>
        <item x="756"/>
        <item x="760"/>
        <item x="768"/>
        <item x="781"/>
        <item x="794"/>
        <item x="807"/>
        <item x="819"/>
        <item x="834"/>
        <item x="838"/>
        <item x="844"/>
        <item x="866"/>
        <item x="876"/>
        <item x="888"/>
        <item x="913"/>
        <item x="934"/>
        <item x="940"/>
        <item x="979"/>
        <item x="981"/>
        <item x="985"/>
        <item x="1004"/>
        <item x="1014"/>
        <item x="1024"/>
        <item x="1028"/>
        <item x="1038"/>
        <item x="1050"/>
        <item x="1061"/>
        <item x="1071"/>
        <item x="1086"/>
        <item x="1097"/>
        <item x="1109"/>
        <item x="1114"/>
        <item x="1118"/>
        <item x="1138"/>
        <item x="1148"/>
        <item x="1160"/>
        <item x="1167"/>
        <item x="1183"/>
        <item x="1184"/>
        <item x="1186"/>
        <item x="1195"/>
        <item x="1202"/>
        <item x="1211"/>
        <item x="1218"/>
        <item x="1220"/>
        <item x="1232"/>
        <item x="1241"/>
        <item x="1252"/>
        <item x="1269"/>
        <item x="1272"/>
        <item x="1282"/>
        <item x="1297"/>
        <item x="1317"/>
        <item x="1319"/>
        <item x="1329"/>
        <item x="1338"/>
        <item x="1358"/>
        <item x="1364"/>
        <item x="1378"/>
        <item x="1387"/>
        <item x="1397"/>
        <item x="1408"/>
        <item x="1413"/>
        <item x="1424"/>
        <item x="1430"/>
        <item x="1439"/>
        <item x="1462"/>
        <item x="1506"/>
        <item x="1517"/>
        <item x="1522"/>
        <item x="1529"/>
        <item x="1540"/>
        <item x="1547"/>
        <item x="1569"/>
        <item x="1576"/>
        <item x="1591"/>
        <item x="1603"/>
        <item x="1610"/>
        <item x="1623"/>
        <item x="1625"/>
        <item x="1440"/>
        <item x="1628"/>
        <item x="1653"/>
        <item x="1559"/>
        <item x="1645"/>
        <item x="1659"/>
        <item x="1032"/>
        <item x="1401"/>
        <item x="1507"/>
        <item x="1664"/>
        <item x="1062"/>
        <item x="1582"/>
        <item x="988"/>
        <item x="1594"/>
        <item x="1480"/>
        <item x="1289"/>
        <item x="1304"/>
        <item x="1245"/>
        <item x="1483"/>
        <item x="1441"/>
        <item x="1629"/>
        <item x="1672"/>
        <item x="1654"/>
        <item x="1019"/>
        <item x="1339"/>
        <item x="1340"/>
        <item x="1341"/>
        <item x="1342"/>
        <item x="1343"/>
        <item x="1344"/>
        <item x="1345"/>
        <item x="1346"/>
        <item x="1560"/>
        <item x="1646"/>
        <item x="1660"/>
        <item x="1347"/>
        <item x="1348"/>
        <item x="1402"/>
        <item x="1508"/>
        <item x="1583"/>
        <item x="1290"/>
        <item x="1595"/>
        <item x="1190"/>
        <item x="1305"/>
        <item x="1484"/>
        <item x="1191"/>
        <item x="1246"/>
        <item x="1673"/>
        <item x="1442"/>
        <item x="1630"/>
        <item x="1647"/>
        <item x="1561"/>
        <item x="1661"/>
        <item x="1403"/>
        <item x="1414"/>
        <item x="1577"/>
        <item x="1584"/>
        <item x="1291"/>
        <item x="1596"/>
        <item x="1674"/>
        <item x="1443"/>
        <item x="1631"/>
        <item x="1638"/>
        <item x="1640"/>
        <item x="1648"/>
        <item x="1662"/>
        <item x="1471"/>
        <item x="901"/>
        <item x="1669"/>
        <item x="1663"/>
        <item x="1485"/>
        <item x="1391"/>
        <item x="1306"/>
        <item x="1491"/>
        <item x="1649"/>
        <item x="1655"/>
        <item x="1617"/>
        <item x="1562"/>
        <item x="1101"/>
        <item x="1509"/>
        <item x="821"/>
        <item x="1075"/>
        <item x="1041"/>
        <item x="1639"/>
        <item x="905"/>
        <item x="989"/>
        <item x="1589"/>
        <item x="1063"/>
        <item x="1247"/>
        <item x="248"/>
        <item x="1033"/>
        <item x="54"/>
        <item x="1597"/>
        <item x="237"/>
        <item x="1533"/>
        <item x="178"/>
        <item x="1369"/>
        <item x="1665"/>
        <item x="1585"/>
        <item x="1031"/>
        <item x="1578"/>
        <item x="137"/>
        <item x="1349"/>
        <item x="1404"/>
        <item x="1632"/>
        <item x="1415"/>
        <item x="1641"/>
        <item x="1444"/>
        <item x="1105"/>
        <item x="198"/>
        <item x="1020"/>
        <item x="1292"/>
        <item x="1675"/>
        <item x="289"/>
        <item x="290"/>
        <item x="291"/>
        <item x="292"/>
        <item x="24"/>
        <item t="default"/>
      </items>
    </pivotField>
    <pivotField showAll="0"/>
    <pivotField showAll="0"/>
    <pivotField numFmtId="165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numFmtId="166" showAll="0"/>
    <pivotField numFmtId="167" showAll="0"/>
    <pivotField numFmtId="167" showAll="0"/>
    <pivotField numFmtId="3" showAll="0"/>
    <pivotField dataField="1"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"/>
    <field x="2"/>
  </rowFields>
  <rowItems count="2085">
    <i>
      <x/>
    </i>
    <i r="1">
      <x v="1360"/>
    </i>
    <i r="1">
      <x v="1428"/>
    </i>
    <i r="1">
      <x v="1579"/>
    </i>
    <i r="1">
      <x v="1605"/>
    </i>
    <i r="1">
      <x v="1617"/>
    </i>
    <i r="1">
      <x v="1670"/>
    </i>
    <i>
      <x v="1"/>
    </i>
    <i r="1">
      <x v="1"/>
    </i>
    <i r="1">
      <x v="1197"/>
    </i>
    <i>
      <x v="2"/>
    </i>
    <i r="1">
      <x v="2"/>
    </i>
    <i r="1">
      <x v="13"/>
    </i>
    <i r="1">
      <x v="1198"/>
    </i>
    <i>
      <x v="3"/>
    </i>
    <i r="1">
      <x/>
    </i>
    <i r="1">
      <x v="12"/>
    </i>
    <i r="1">
      <x v="1199"/>
    </i>
    <i>
      <x v="4"/>
    </i>
    <i r="1">
      <x v="17"/>
    </i>
    <i r="1">
      <x v="1276"/>
    </i>
    <i>
      <x v="5"/>
    </i>
    <i r="1">
      <x v="3"/>
    </i>
    <i r="1">
      <x v="5"/>
    </i>
    <i r="1">
      <x v="6"/>
    </i>
    <i r="1">
      <x v="15"/>
    </i>
    <i r="1">
      <x v="1430"/>
    </i>
    <i>
      <x v="6"/>
    </i>
    <i r="1">
      <x v="18"/>
    </i>
    <i r="1">
      <x v="22"/>
    </i>
    <i r="1">
      <x v="1431"/>
    </i>
    <i>
      <x v="7"/>
    </i>
    <i r="1">
      <x v="4"/>
    </i>
    <i r="1">
      <x v="1200"/>
    </i>
    <i>
      <x v="8"/>
    </i>
    <i r="1">
      <x v="19"/>
    </i>
    <i r="1">
      <x v="21"/>
    </i>
    <i r="1">
      <x v="25"/>
    </i>
    <i r="1">
      <x v="1201"/>
    </i>
    <i>
      <x v="9"/>
    </i>
    <i r="1">
      <x v="20"/>
    </i>
    <i r="1">
      <x v="26"/>
    </i>
    <i r="1">
      <x v="1202"/>
    </i>
    <i r="1">
      <x v="1675"/>
    </i>
    <i>
      <x v="10"/>
    </i>
    <i r="1">
      <x v="14"/>
    </i>
    <i r="1">
      <x v="1203"/>
    </i>
    <i>
      <x v="11"/>
    </i>
    <i r="1">
      <x v="27"/>
    </i>
    <i r="1">
      <x v="1204"/>
    </i>
    <i>
      <x v="12"/>
    </i>
    <i r="1">
      <x v="23"/>
    </i>
    <i r="1">
      <x v="24"/>
    </i>
    <i r="1">
      <x v="28"/>
    </i>
    <i r="1">
      <x v="29"/>
    </i>
    <i r="1">
      <x v="1205"/>
    </i>
    <i>
      <x v="13"/>
    </i>
    <i r="1">
      <x v="34"/>
    </i>
    <i r="1">
      <x v="1206"/>
    </i>
    <i>
      <x v="14"/>
    </i>
    <i r="1">
      <x v="35"/>
    </i>
    <i r="1">
      <x v="1675"/>
    </i>
    <i>
      <x v="15"/>
    </i>
    <i r="1">
      <x v="10"/>
    </i>
    <i r="1">
      <x v="1277"/>
    </i>
    <i>
      <x v="16"/>
    </i>
    <i r="1">
      <x v="9"/>
    </i>
    <i r="1">
      <x v="30"/>
    </i>
    <i r="1">
      <x v="1207"/>
    </i>
    <i>
      <x v="17"/>
    </i>
    <i r="1">
      <x v="11"/>
    </i>
    <i r="1">
      <x v="1675"/>
    </i>
    <i>
      <x v="18"/>
    </i>
    <i r="1">
      <x v="8"/>
    </i>
    <i r="1">
      <x v="1208"/>
    </i>
    <i>
      <x v="19"/>
    </i>
    <i r="1">
      <x v="7"/>
    </i>
    <i r="1">
      <x v="1675"/>
    </i>
    <i>
      <x v="20"/>
    </i>
    <i r="1">
      <x v="49"/>
    </i>
    <i r="1">
      <x v="58"/>
    </i>
    <i r="1">
      <x v="59"/>
    </i>
    <i r="1">
      <x v="1209"/>
    </i>
    <i>
      <x v="21"/>
    </i>
    <i r="1">
      <x v="16"/>
    </i>
    <i r="1">
      <x v="1649"/>
    </i>
    <i>
      <x v="22"/>
    </i>
    <i r="1">
      <x v="41"/>
    </i>
    <i r="1">
      <x v="1675"/>
    </i>
    <i>
      <x v="23"/>
    </i>
    <i r="1">
      <x v="31"/>
    </i>
    <i r="1">
      <x v="1675"/>
    </i>
    <i>
      <x v="24"/>
    </i>
    <i r="1">
      <x v="32"/>
    </i>
    <i r="1">
      <x v="33"/>
    </i>
    <i r="1">
      <x v="51"/>
    </i>
    <i r="1">
      <x v="76"/>
    </i>
    <i r="1">
      <x v="98"/>
    </i>
    <i r="1">
      <x v="128"/>
    </i>
    <i r="1">
      <x v="155"/>
    </i>
    <i r="1">
      <x v="182"/>
    </i>
    <i r="1">
      <x v="1432"/>
    </i>
    <i>
      <x v="25"/>
    </i>
    <i r="1">
      <x v="52"/>
    </i>
    <i r="1">
      <x v="1675"/>
    </i>
    <i>
      <x v="26"/>
    </i>
    <i r="1">
      <x v="77"/>
    </i>
    <i r="1">
      <x v="1675"/>
    </i>
    <i>
      <x v="27"/>
    </i>
    <i r="1">
      <x v="78"/>
    </i>
    <i r="1">
      <x v="187"/>
    </i>
    <i r="1">
      <x v="1210"/>
    </i>
    <i>
      <x v="28"/>
    </i>
    <i r="1">
      <x v="37"/>
    </i>
    <i r="1">
      <x v="1675"/>
    </i>
    <i>
      <x v="29"/>
    </i>
    <i r="1">
      <x v="293"/>
    </i>
    <i r="1">
      <x v="1675"/>
    </i>
    <i>
      <x v="30"/>
    </i>
    <i r="1">
      <x v="921"/>
    </i>
    <i r="1">
      <x v="1675"/>
    </i>
    <i>
      <x v="31"/>
    </i>
    <i r="1">
      <x v="168"/>
    </i>
    <i r="1">
      <x v="169"/>
    </i>
    <i r="1">
      <x v="170"/>
    </i>
    <i r="1">
      <x v="171"/>
    </i>
    <i r="1">
      <x v="172"/>
    </i>
    <i r="1">
      <x v="239"/>
    </i>
    <i r="1">
      <x v="1433"/>
    </i>
    <i>
      <x v="32"/>
    </i>
    <i r="1">
      <x v="237"/>
    </i>
    <i r="1">
      <x v="1675"/>
    </i>
    <i>
      <x v="33"/>
    </i>
    <i r="1">
      <x v="36"/>
    </i>
    <i r="1">
      <x v="1675"/>
    </i>
    <i>
      <x v="34"/>
    </i>
    <i r="1">
      <x v="158"/>
    </i>
    <i r="1">
      <x v="180"/>
    </i>
    <i r="1">
      <x v="251"/>
    </i>
    <i r="1">
      <x v="435"/>
    </i>
    <i>
      <x v="35"/>
    </i>
    <i r="1">
      <x v="300"/>
    </i>
    <i r="1">
      <x v="1434"/>
    </i>
    <i>
      <x v="36"/>
    </i>
    <i r="1">
      <x v="363"/>
    </i>
    <i r="1">
      <x v="1435"/>
    </i>
    <i>
      <x v="37"/>
    </i>
    <i r="1">
      <x v="183"/>
    </i>
    <i r="1">
      <x v="262"/>
    </i>
    <i r="1">
      <x v="263"/>
    </i>
    <i r="1">
      <x v="264"/>
    </i>
    <i r="1">
      <x v="265"/>
    </i>
    <i r="1">
      <x v="437"/>
    </i>
    <i>
      <x v="38"/>
    </i>
    <i r="1">
      <x v="231"/>
    </i>
    <i r="1">
      <x v="272"/>
    </i>
    <i r="1">
      <x v="1436"/>
    </i>
    <i>
      <x v="39"/>
    </i>
    <i r="1">
      <x v="184"/>
    </i>
    <i r="1">
      <x v="257"/>
    </i>
    <i r="1">
      <x v="436"/>
    </i>
    <i>
      <x v="40"/>
    </i>
    <i r="1">
      <x v="81"/>
    </i>
    <i r="1">
      <x v="196"/>
    </i>
    <i r="1">
      <x v="1211"/>
    </i>
    <i>
      <x v="41"/>
    </i>
    <i r="1">
      <x v="163"/>
    </i>
    <i r="1">
      <x v="191"/>
    </i>
    <i r="1">
      <x v="438"/>
    </i>
    <i>
      <x v="42"/>
    </i>
    <i r="1">
      <x v="46"/>
    </i>
    <i r="1">
      <x v="178"/>
    </i>
    <i r="1">
      <x v="179"/>
    </i>
    <i r="1">
      <x v="248"/>
    </i>
    <i r="1">
      <x v="284"/>
    </i>
    <i r="1">
      <x v="1212"/>
    </i>
    <i>
      <x v="43"/>
    </i>
    <i r="1">
      <x v="252"/>
    </i>
    <i r="1">
      <x v="291"/>
    </i>
    <i r="1">
      <x v="439"/>
    </i>
    <i>
      <x v="44"/>
    </i>
    <i r="1">
      <x v="53"/>
    </i>
    <i r="1">
      <x v="160"/>
    </i>
    <i r="1">
      <x v="1675"/>
    </i>
    <i>
      <x v="45"/>
    </i>
    <i r="1">
      <x v="47"/>
    </i>
    <i r="1">
      <x v="1675"/>
    </i>
    <i>
      <x v="46"/>
    </i>
    <i r="1">
      <x v="39"/>
    </i>
    <i r="1">
      <x v="40"/>
    </i>
    <i>
      <x v="47"/>
    </i>
    <i r="1">
      <x v="126"/>
    </i>
    <i r="1">
      <x v="1213"/>
    </i>
    <i>
      <x v="48"/>
    </i>
    <i r="1">
      <x v="377"/>
    </i>
    <i r="1">
      <x v="1437"/>
    </i>
    <i>
      <x v="49"/>
    </i>
    <i r="1">
      <x v="381"/>
    </i>
    <i r="1">
      <x v="1675"/>
    </i>
    <i>
      <x v="50"/>
    </i>
    <i r="1">
      <x v="382"/>
    </i>
    <i r="1">
      <x v="1214"/>
    </i>
    <i>
      <x v="51"/>
    </i>
    <i r="1">
      <x v="378"/>
    </i>
    <i r="1">
      <x v="1438"/>
    </i>
    <i>
      <x v="52"/>
    </i>
    <i r="1">
      <x v="389"/>
    </i>
    <i r="1">
      <x v="390"/>
    </i>
    <i r="1">
      <x v="1439"/>
    </i>
    <i>
      <x v="53"/>
    </i>
    <i r="1">
      <x v="391"/>
    </i>
    <i r="1">
      <x v="1675"/>
    </i>
    <i>
      <x v="54"/>
    </i>
    <i r="1">
      <x v="392"/>
    </i>
    <i r="1">
      <x v="1659"/>
    </i>
    <i>
      <x v="55"/>
    </i>
    <i r="1">
      <x v="408"/>
    </i>
    <i r="1">
      <x v="1440"/>
    </i>
    <i>
      <x v="56"/>
    </i>
    <i r="1">
      <x v="38"/>
    </i>
    <i r="1">
      <x v="152"/>
    </i>
    <i r="1">
      <x v="1675"/>
    </i>
    <i>
      <x v="57"/>
    </i>
    <i r="1">
      <x v="424"/>
    </i>
    <i r="1">
      <x v="1675"/>
    </i>
    <i>
      <x v="58"/>
    </i>
    <i r="1">
      <x v="161"/>
    </i>
    <i r="1">
      <x v="185"/>
    </i>
    <i r="1">
      <x v="1309"/>
    </i>
    <i>
      <x v="59"/>
    </i>
    <i r="1">
      <x v="443"/>
    </i>
    <i r="1">
      <x v="1215"/>
    </i>
    <i>
      <x v="60"/>
    </i>
    <i r="1">
      <x v="42"/>
    </i>
    <i r="1">
      <x v="359"/>
    </i>
    <i r="1">
      <x v="470"/>
    </i>
    <i r="1">
      <x v="1216"/>
    </i>
    <i>
      <x v="61"/>
    </i>
    <i r="1">
      <x v="45"/>
    </i>
    <i r="1">
      <x v="50"/>
    </i>
    <i r="1">
      <x v="74"/>
    </i>
    <i r="1">
      <x v="311"/>
    </i>
    <i r="1">
      <x v="379"/>
    </i>
    <i r="1">
      <x v="1217"/>
    </i>
    <i>
      <x v="62"/>
    </i>
    <i r="1">
      <x v="188"/>
    </i>
    <i r="1">
      <x v="260"/>
    </i>
    <i r="1">
      <x v="296"/>
    </i>
    <i r="1">
      <x v="346"/>
    </i>
    <i r="1">
      <x v="440"/>
    </i>
    <i>
      <x v="63"/>
    </i>
    <i r="1">
      <x v="153"/>
    </i>
    <i r="1">
      <x v="175"/>
    </i>
    <i r="1">
      <x v="242"/>
    </i>
    <i r="1">
      <x v="278"/>
    </i>
    <i r="1">
      <x v="315"/>
    </i>
    <i r="1">
      <x v="1218"/>
    </i>
    <i>
      <x v="64"/>
    </i>
    <i r="1">
      <x v="97"/>
    </i>
    <i r="1">
      <x v="1675"/>
    </i>
    <i>
      <x v="65"/>
    </i>
    <i r="1">
      <x v="530"/>
    </i>
    <i r="1">
      <x v="1441"/>
    </i>
    <i>
      <x v="66"/>
    </i>
    <i r="1">
      <x v="425"/>
    </i>
    <i r="1">
      <x v="547"/>
    </i>
    <i r="1">
      <x v="1442"/>
    </i>
    <i>
      <x v="67"/>
    </i>
    <i r="1">
      <x v="355"/>
    </i>
    <i r="1">
      <x v="463"/>
    </i>
    <i r="1">
      <x v="577"/>
    </i>
    <i r="1">
      <x v="1653"/>
    </i>
    <i>
      <x v="68"/>
    </i>
    <i r="1">
      <x v="43"/>
    </i>
    <i r="1">
      <x v="1675"/>
    </i>
    <i>
      <x v="69"/>
    </i>
    <i r="1">
      <x v="464"/>
    </i>
    <i r="1">
      <x v="578"/>
    </i>
    <i r="1">
      <x v="1443"/>
    </i>
    <i>
      <x v="70"/>
    </i>
    <i r="1">
      <x v="44"/>
    </i>
    <i r="1">
      <x v="48"/>
    </i>
    <i r="1">
      <x v="57"/>
    </i>
    <i r="1">
      <x v="228"/>
    </i>
    <i r="1">
      <x v="1444"/>
    </i>
    <i>
      <x v="71"/>
    </i>
    <i r="1">
      <x v="192"/>
    </i>
    <i r="1">
      <x v="1675"/>
    </i>
    <i>
      <x v="72"/>
    </i>
    <i r="1">
      <x v="488"/>
    </i>
    <i r="1">
      <x v="1315"/>
    </i>
    <i>
      <x v="73"/>
    </i>
    <i r="1">
      <x v="471"/>
    </i>
    <i r="1">
      <x v="1314"/>
    </i>
    <i>
      <x v="74"/>
    </i>
    <i r="1">
      <x v="489"/>
    </i>
    <i r="1">
      <x v="1219"/>
    </i>
    <i>
      <x v="75"/>
    </i>
    <i r="1">
      <x v="370"/>
    </i>
    <i r="1">
      <x v="490"/>
    </i>
    <i r="1">
      <x v="609"/>
    </i>
    <i r="1">
      <x v="1667"/>
    </i>
    <i>
      <x v="76"/>
    </i>
    <i r="1">
      <x v="371"/>
    </i>
    <i r="1">
      <x v="372"/>
    </i>
    <i r="1">
      <x v="491"/>
    </i>
    <i r="1">
      <x v="610"/>
    </i>
    <i r="1">
      <x v="1220"/>
    </i>
    <i>
      <x v="77"/>
    </i>
    <i r="1">
      <x v="492"/>
    </i>
    <i r="1">
      <x v="1278"/>
    </i>
    <i>
      <x v="78"/>
    </i>
    <i r="1">
      <x v="614"/>
    </i>
    <i r="1">
      <x v="1445"/>
    </i>
    <i>
      <x v="79"/>
    </i>
    <i r="1">
      <x v="615"/>
    </i>
    <i r="1">
      <x v="1446"/>
    </i>
    <i>
      <x v="80"/>
    </i>
    <i r="1">
      <x v="279"/>
    </i>
    <i r="1">
      <x v="428"/>
    </i>
    <i>
      <x v="81"/>
    </i>
    <i r="1">
      <x v="393"/>
    </i>
    <i r="1">
      <x v="1221"/>
    </i>
    <i>
      <x v="82"/>
    </i>
    <i r="1">
      <x v="641"/>
    </i>
    <i r="1">
      <x v="1222"/>
    </i>
    <i>
      <x v="83"/>
    </i>
    <i r="1">
      <x v="327"/>
    </i>
    <i r="1">
      <x v="1447"/>
    </i>
    <i>
      <x v="84"/>
    </i>
    <i r="1">
      <x v="394"/>
    </i>
    <i r="1">
      <x v="1223"/>
    </i>
    <i>
      <x v="85"/>
    </i>
    <i r="1">
      <x v="54"/>
    </i>
    <i r="1">
      <x v="75"/>
    </i>
    <i r="1">
      <x v="96"/>
    </i>
    <i r="1">
      <x v="127"/>
    </i>
    <i r="1">
      <x v="154"/>
    </i>
    <i r="1">
      <x v="176"/>
    </i>
    <i r="1">
      <x v="244"/>
    </i>
    <i r="1">
      <x v="285"/>
    </i>
    <i r="1">
      <x v="328"/>
    </i>
    <i r="1">
      <x v="395"/>
    </i>
    <i r="1">
      <x v="508"/>
    </i>
    <i r="1">
      <x v="643"/>
    </i>
    <i r="1">
      <x v="1224"/>
    </i>
    <i>
      <x v="86"/>
    </i>
    <i r="1">
      <x v="396"/>
    </i>
    <i r="1">
      <x v="509"/>
    </i>
    <i r="1">
      <x v="1448"/>
    </i>
    <i>
      <x v="87"/>
    </i>
    <i r="1">
      <x v="644"/>
    </i>
    <i r="1">
      <x v="1651"/>
    </i>
    <i>
      <x v="88"/>
    </i>
    <i r="1">
      <x v="337"/>
    </i>
    <i r="1">
      <x v="409"/>
    </i>
    <i r="1">
      <x v="541"/>
    </i>
    <i r="1">
      <x v="662"/>
    </i>
    <i r="1">
      <x v="1225"/>
    </i>
    <i>
      <x v="89"/>
    </i>
    <i r="1">
      <x v="397"/>
    </i>
    <i r="1">
      <x v="510"/>
    </i>
    <i r="1">
      <x v="645"/>
    </i>
    <i r="1">
      <x v="1449"/>
    </i>
    <i>
      <x v="90"/>
    </i>
    <i r="1">
      <x v="665"/>
    </i>
    <i r="1">
      <x v="1647"/>
    </i>
    <i>
      <x v="91"/>
    </i>
    <i r="1">
      <x v="450"/>
    </i>
    <i r="1">
      <x v="1675"/>
    </i>
    <i>
      <x v="92"/>
    </i>
    <i r="1">
      <x v="339"/>
    </i>
    <i r="1">
      <x v="426"/>
    </i>
    <i r="1">
      <x v="548"/>
    </i>
    <i r="1">
      <x v="1675"/>
    </i>
    <i>
      <x v="93"/>
    </i>
    <i r="1">
      <x v="441"/>
    </i>
    <i r="1">
      <x v="551"/>
    </i>
    <i r="1">
      <x v="666"/>
    </i>
    <i r="1">
      <x v="1226"/>
    </i>
    <i>
      <x v="94"/>
    </i>
    <i r="1">
      <x v="456"/>
    </i>
    <i r="1">
      <x v="570"/>
    </i>
    <i r="1">
      <x v="689"/>
    </i>
    <i r="1">
      <x v="1450"/>
    </i>
    <i>
      <x v="95"/>
    </i>
    <i r="1">
      <x v="476"/>
    </i>
    <i r="1">
      <x v="584"/>
    </i>
    <i r="1">
      <x v="709"/>
    </i>
    <i r="1">
      <x v="1451"/>
    </i>
    <i>
      <x v="96"/>
    </i>
    <i r="1">
      <x v="344"/>
    </i>
    <i r="1">
      <x v="447"/>
    </i>
    <i r="1">
      <x v="562"/>
    </i>
    <i r="1">
      <x v="1452"/>
    </i>
    <i>
      <x v="97"/>
    </i>
    <i r="1">
      <x v="457"/>
    </i>
    <i r="1">
      <x v="571"/>
    </i>
    <i r="1">
      <x v="690"/>
    </i>
    <i r="1">
      <x v="1227"/>
    </i>
    <i>
      <x v="98"/>
    </i>
    <i r="1">
      <x v="691"/>
    </i>
    <i r="1">
      <x v="1228"/>
    </i>
    <i>
      <x v="99"/>
    </i>
    <i r="1">
      <x v="704"/>
    </i>
    <i r="1">
      <x v="1675"/>
    </i>
    <i>
      <x v="100"/>
    </i>
    <i r="1">
      <x v="55"/>
    </i>
    <i r="1">
      <x v="79"/>
    </i>
    <i r="1">
      <x v="99"/>
    </i>
    <i r="1">
      <x v="130"/>
    </i>
    <i r="1">
      <x v="164"/>
    </i>
    <i r="1">
      <x v="193"/>
    </i>
    <i r="1">
      <x v="266"/>
    </i>
    <i r="1">
      <x v="301"/>
    </i>
    <i r="1">
      <x v="360"/>
    </i>
    <i r="1">
      <x v="472"/>
    </i>
    <i r="1">
      <x v="585"/>
    </i>
    <i r="1">
      <x v="705"/>
    </i>
    <i r="1">
      <x v="1229"/>
    </i>
    <i>
      <x v="101"/>
    </i>
    <i r="1">
      <x v="56"/>
    </i>
    <i r="1">
      <x v="80"/>
    </i>
    <i r="1">
      <x v="100"/>
    </i>
    <i r="1">
      <x v="131"/>
    </i>
    <i r="1">
      <x v="165"/>
    </i>
    <i r="1">
      <x v="194"/>
    </i>
    <i r="1">
      <x v="1230"/>
    </i>
    <i>
      <x v="102"/>
    </i>
    <i r="1">
      <x v="60"/>
    </i>
    <i r="1">
      <x v="302"/>
    </i>
    <i r="1">
      <x v="429"/>
    </i>
    <i r="1">
      <x v="1231"/>
    </i>
    <i>
      <x v="103"/>
    </i>
    <i r="1">
      <x v="62"/>
    </i>
    <i r="1">
      <x v="186"/>
    </i>
    <i r="1">
      <x v="238"/>
    </i>
    <i r="1">
      <x v="1232"/>
    </i>
    <i>
      <x v="104"/>
    </i>
    <i r="1">
      <x v="61"/>
    </i>
    <i r="1">
      <x v="384"/>
    </i>
    <i r="1">
      <x v="511"/>
    </i>
    <i r="1">
      <x v="630"/>
    </i>
    <i r="1">
      <x v="751"/>
    </i>
    <i r="1">
      <x v="1233"/>
    </i>
    <i>
      <x v="105"/>
    </i>
    <i r="1">
      <x v="63"/>
    </i>
    <i r="1">
      <x v="759"/>
    </i>
    <i r="1">
      <x v="1234"/>
    </i>
    <i>
      <x v="106"/>
    </i>
    <i r="1">
      <x v="64"/>
    </i>
    <i r="1">
      <x v="773"/>
    </i>
    <i r="1">
      <x v="1453"/>
    </i>
    <i>
      <x v="107"/>
    </i>
    <i r="1">
      <x v="65"/>
    </i>
    <i r="1">
      <x v="341"/>
    </i>
    <i r="1">
      <x v="444"/>
    </i>
    <i r="1">
      <x v="558"/>
    </i>
    <i r="1">
      <x v="667"/>
    </i>
    <i r="1">
      <x v="795"/>
    </i>
    <i r="1">
      <x v="1454"/>
    </i>
    <i>
      <x v="108"/>
    </i>
    <i r="1">
      <x v="66"/>
    </i>
    <i r="1">
      <x v="129"/>
    </i>
    <i r="1">
      <x v="250"/>
    </i>
    <i r="1">
      <x v="289"/>
    </i>
    <i r="1">
      <x v="333"/>
    </i>
    <i r="1">
      <x v="410"/>
    </i>
    <i r="1">
      <x v="531"/>
    </i>
    <i r="1">
      <x v="653"/>
    </i>
    <i r="1">
      <x v="774"/>
    </i>
    <i r="1">
      <x v="1235"/>
    </i>
    <i>
      <x v="109"/>
    </i>
    <i r="1">
      <x v="67"/>
    </i>
    <i r="1">
      <x v="563"/>
    </i>
    <i r="1">
      <x v="684"/>
    </i>
    <i r="1">
      <x v="801"/>
    </i>
    <i r="1">
      <x v="1455"/>
    </i>
    <i>
      <x v="110"/>
    </i>
    <i r="1">
      <x v="68"/>
    </i>
    <i r="1">
      <x v="356"/>
    </i>
    <i r="1">
      <x v="465"/>
    </i>
    <i r="1">
      <x v="579"/>
    </i>
    <i r="1">
      <x v="697"/>
    </i>
    <i r="1">
      <x v="817"/>
    </i>
    <i r="1">
      <x v="1456"/>
    </i>
    <i>
      <x v="111"/>
    </i>
    <i r="1">
      <x v="69"/>
    </i>
    <i r="1">
      <x v="1236"/>
    </i>
    <i>
      <x v="112"/>
    </i>
    <i r="1">
      <x v="71"/>
    </i>
    <i r="1">
      <x v="189"/>
    </i>
    <i r="1">
      <x v="351"/>
    </i>
    <i r="1">
      <x v="458"/>
    </i>
    <i r="1">
      <x v="572"/>
    </i>
    <i r="1">
      <x v="692"/>
    </i>
    <i r="1">
      <x v="802"/>
    </i>
    <i r="1">
      <x v="1457"/>
    </i>
    <i>
      <x v="113"/>
    </i>
    <i r="1">
      <x v="70"/>
    </i>
    <i r="1">
      <x v="162"/>
    </i>
    <i r="1">
      <x v="1237"/>
    </i>
    <i>
      <x v="114"/>
    </i>
    <i r="1">
      <x v="72"/>
    </i>
    <i r="1">
      <x v="710"/>
    </i>
    <i r="1">
      <x v="827"/>
    </i>
    <i r="1">
      <x v="1458"/>
    </i>
    <i>
      <x v="115"/>
    </i>
    <i r="1">
      <x v="73"/>
    </i>
    <i r="1">
      <x v="229"/>
    </i>
    <i r="1">
      <x v="271"/>
    </i>
    <i r="1">
      <x v="308"/>
    </i>
    <i r="1">
      <x v="373"/>
    </i>
    <i r="1">
      <x v="493"/>
    </i>
    <i r="1">
      <x v="845"/>
    </i>
    <i r="1">
      <x v="1459"/>
    </i>
    <i>
      <x v="116"/>
    </i>
    <i r="1">
      <x v="82"/>
    </i>
    <i r="1">
      <x v="1238"/>
    </i>
    <i>
      <x v="117"/>
    </i>
    <i r="1">
      <x v="83"/>
    </i>
    <i r="1">
      <x v="245"/>
    </i>
    <i r="1">
      <x v="324"/>
    </i>
    <i r="1">
      <x v="398"/>
    </i>
    <i r="1">
      <x v="430"/>
    </i>
    <i r="1">
      <x v="1239"/>
    </i>
    <i>
      <x v="118"/>
    </i>
    <i r="1">
      <x v="84"/>
    </i>
    <i r="1">
      <x v="1240"/>
    </i>
    <i>
      <x v="119"/>
    </i>
    <i r="1">
      <x v="85"/>
    </i>
    <i r="1">
      <x v="283"/>
    </i>
    <i r="1">
      <x v="325"/>
    </i>
    <i r="1">
      <x v="399"/>
    </i>
    <i r="1">
      <x v="431"/>
    </i>
    <i r="1">
      <x v="1241"/>
    </i>
    <i>
      <x v="120"/>
    </i>
    <i r="1">
      <x v="86"/>
    </i>
    <i r="1">
      <x v="1242"/>
    </i>
    <i>
      <x v="121"/>
    </i>
    <i r="1">
      <x v="87"/>
    </i>
    <i r="1">
      <x v="769"/>
    </i>
    <i r="1">
      <x v="885"/>
    </i>
    <i r="1">
      <x v="1312"/>
    </i>
    <i>
      <x v="122"/>
    </i>
    <i r="1">
      <x v="88"/>
    </i>
    <i r="1">
      <x v="411"/>
    </i>
    <i r="1">
      <x v="532"/>
    </i>
    <i r="1">
      <x v="775"/>
    </i>
    <i r="1">
      <x v="1243"/>
    </i>
    <i>
      <x v="123"/>
    </i>
    <i r="1">
      <x v="90"/>
    </i>
    <i r="1">
      <x v="412"/>
    </i>
    <i r="1">
      <x v="533"/>
    </i>
    <i r="1">
      <x v="654"/>
    </i>
    <i r="1">
      <x v="776"/>
    </i>
    <i r="1">
      <x v="886"/>
    </i>
    <i r="1">
      <x v="1244"/>
    </i>
    <i>
      <x v="124"/>
    </i>
    <i r="1">
      <x v="89"/>
    </i>
    <i r="1">
      <x v="1245"/>
    </i>
    <i>
      <x v="125"/>
    </i>
    <i r="1">
      <x v="91"/>
    </i>
    <i r="1">
      <x v="559"/>
    </i>
    <i r="1">
      <x v="668"/>
    </i>
    <i r="1">
      <x v="803"/>
    </i>
    <i r="1">
      <x v="903"/>
    </i>
    <i r="1">
      <x v="1246"/>
    </i>
    <i>
      <x v="126"/>
    </i>
    <i r="1">
      <x v="92"/>
    </i>
    <i r="1">
      <x v="685"/>
    </i>
    <i r="1">
      <x v="810"/>
    </i>
    <i r="1">
      <x v="915"/>
    </i>
    <i r="1">
      <x v="1247"/>
    </i>
    <i>
      <x v="127"/>
    </i>
    <i r="1">
      <x v="93"/>
    </i>
    <i r="1">
      <x v="326"/>
    </i>
    <i r="1">
      <x v="400"/>
    </i>
    <i r="1">
      <x v="512"/>
    </i>
    <i r="1">
      <x v="642"/>
    </i>
    <i r="1">
      <x v="760"/>
    </i>
    <i r="1">
      <x v="872"/>
    </i>
    <i r="1">
      <x v="1248"/>
    </i>
    <i>
      <x v="128"/>
    </i>
    <i r="1">
      <x v="94"/>
    </i>
    <i r="1">
      <x v="716"/>
    </i>
    <i r="1">
      <x v="828"/>
    </i>
    <i r="1">
      <x v="928"/>
    </i>
    <i r="1">
      <x v="1249"/>
    </i>
    <i>
      <x v="129"/>
    </i>
    <i r="1">
      <x v="95"/>
    </i>
    <i r="1">
      <x v="230"/>
    </i>
    <i r="1">
      <x v="722"/>
    </i>
    <i r="1">
      <x v="1460"/>
    </i>
    <i>
      <x v="130"/>
    </i>
    <i r="1">
      <x v="101"/>
    </i>
    <i r="1">
      <x v="822"/>
    </i>
    <i r="1">
      <x v="1250"/>
    </i>
    <i>
      <x v="131"/>
    </i>
    <i r="1">
      <x v="103"/>
    </i>
    <i r="1">
      <x v="1251"/>
    </i>
    <i>
      <x v="132"/>
    </i>
    <i r="1">
      <x v="102"/>
    </i>
    <i r="1">
      <x v="233"/>
    </i>
    <i r="1">
      <x v="274"/>
    </i>
    <i r="1">
      <x v="309"/>
    </i>
    <i r="1">
      <x v="374"/>
    </i>
    <i r="1">
      <x v="433"/>
    </i>
    <i r="1">
      <x v="1252"/>
    </i>
    <i>
      <x v="133"/>
    </i>
    <i r="1">
      <x v="406"/>
    </i>
    <i r="1">
      <x v="513"/>
    </i>
    <i r="1">
      <x v="646"/>
    </i>
    <i r="1">
      <x v="770"/>
    </i>
    <i r="1">
      <x v="995"/>
    </i>
    <i r="1">
      <x v="1423"/>
    </i>
    <i>
      <x v="134"/>
    </i>
    <i r="1">
      <x v="104"/>
    </i>
    <i r="1">
      <x v="234"/>
    </i>
    <i r="1">
      <x v="310"/>
    </i>
    <i r="1">
      <x v="375"/>
    </i>
    <i r="1">
      <x v="432"/>
    </i>
    <i r="1">
      <x v="1253"/>
    </i>
    <i>
      <x v="135"/>
    </i>
    <i r="1">
      <x v="106"/>
    </i>
    <i r="1">
      <x v="989"/>
    </i>
    <i r="1">
      <x v="1254"/>
    </i>
    <i>
      <x v="136"/>
    </i>
    <i r="1">
      <x v="105"/>
    </i>
    <i r="1">
      <x v="500"/>
    </i>
    <i r="1">
      <x v="616"/>
    </i>
    <i r="1">
      <x v="734"/>
    </i>
    <i r="1">
      <x v="848"/>
    </i>
    <i r="1">
      <x v="961"/>
    </i>
    <i r="1">
      <x v="1255"/>
    </i>
    <i>
      <x v="137"/>
    </i>
    <i r="1">
      <x v="107"/>
    </i>
    <i r="1">
      <x v="534"/>
    </i>
    <i r="1">
      <x v="650"/>
    </i>
    <i r="1">
      <x v="777"/>
    </i>
    <i r="1">
      <x v="887"/>
    </i>
    <i r="1">
      <x v="996"/>
    </i>
    <i r="1">
      <x v="1256"/>
    </i>
    <i>
      <x v="138"/>
    </i>
    <i r="1">
      <x v="997"/>
    </i>
    <i r="1">
      <x v="1675"/>
    </i>
    <i>
      <x v="139"/>
    </i>
    <i r="1">
      <x v="108"/>
    </i>
    <i r="1">
      <x v="1007"/>
    </i>
    <i r="1">
      <x v="1257"/>
    </i>
    <i>
      <x v="140"/>
    </i>
    <i r="1">
      <x v="109"/>
    </i>
    <i r="1">
      <x v="413"/>
    </i>
    <i r="1">
      <x v="655"/>
    </i>
    <i r="1">
      <x v="778"/>
    </i>
    <i r="1">
      <x v="888"/>
    </i>
    <i r="1">
      <x v="1006"/>
    </i>
    <i r="1">
      <x v="1461"/>
    </i>
    <i>
      <x v="141"/>
    </i>
    <i r="1">
      <x v="110"/>
    </i>
    <i r="1">
      <x v="159"/>
    </i>
    <i r="1">
      <x v="789"/>
    </i>
    <i r="1">
      <x v="897"/>
    </i>
    <i r="1">
      <x v="1008"/>
    </i>
    <i r="1">
      <x v="1258"/>
    </i>
    <i>
      <x v="142"/>
    </i>
    <i r="1">
      <x v="111"/>
    </i>
    <i r="1">
      <x v="249"/>
    </i>
    <i r="1">
      <x v="331"/>
    </i>
    <i r="1">
      <x v="414"/>
    </i>
    <i r="1">
      <x v="535"/>
    </i>
    <i r="1">
      <x v="651"/>
    </i>
    <i r="1">
      <x v="779"/>
    </i>
    <i r="1">
      <x v="889"/>
    </i>
    <i r="1">
      <x v="998"/>
    </i>
    <i r="1">
      <x v="1259"/>
    </i>
    <i>
      <x v="143"/>
    </i>
    <i r="1">
      <x v="114"/>
    </i>
    <i r="1">
      <x v="338"/>
    </i>
    <i r="1">
      <x v="421"/>
    </i>
    <i r="1">
      <x v="545"/>
    </i>
    <i r="1">
      <x v="669"/>
    </i>
    <i r="1">
      <x v="900"/>
    </i>
    <i r="1">
      <x v="1009"/>
    </i>
    <i r="1">
      <x v="1260"/>
    </i>
    <i>
      <x v="144"/>
    </i>
    <i r="1">
      <x v="112"/>
    </i>
    <i r="1">
      <x v="255"/>
    </i>
    <i r="1">
      <x v="670"/>
    </i>
    <i r="1">
      <x v="790"/>
    </i>
    <i r="1">
      <x v="904"/>
    </i>
    <i r="1">
      <x v="1010"/>
    </i>
    <i r="1">
      <x v="1261"/>
    </i>
    <i>
      <x v="145"/>
    </i>
    <i r="1">
      <x v="113"/>
    </i>
    <i r="1">
      <x v="671"/>
    </i>
    <i r="1">
      <x v="791"/>
    </i>
    <i r="1">
      <x v="905"/>
    </i>
    <i r="1">
      <x v="1011"/>
    </i>
    <i r="1">
      <x v="1462"/>
    </i>
    <i>
      <x v="146"/>
    </i>
    <i r="1">
      <x v="115"/>
    </i>
    <i r="1">
      <x v="1012"/>
    </i>
    <i r="1">
      <x v="1262"/>
    </i>
    <i>
      <x v="147"/>
    </i>
    <i r="1">
      <x v="116"/>
    </i>
    <i r="1">
      <x v="1013"/>
    </i>
    <i r="1">
      <x v="1463"/>
    </i>
    <i>
      <x v="148"/>
    </i>
    <i r="1">
      <x v="117"/>
    </i>
    <i r="1">
      <x v="345"/>
    </i>
    <i r="1">
      <x v="1263"/>
    </i>
    <i>
      <x v="149"/>
    </i>
    <i r="1">
      <x v="118"/>
    </i>
    <i r="1">
      <x v="1264"/>
    </i>
    <i>
      <x v="150"/>
    </i>
    <i r="1">
      <x v="120"/>
    </i>
    <i r="1">
      <x v="1265"/>
    </i>
    <i>
      <x v="151"/>
    </i>
    <i r="1">
      <x v="119"/>
    </i>
    <i r="1">
      <x v="347"/>
    </i>
    <i r="1">
      <x v="1266"/>
    </i>
    <i>
      <x v="152"/>
    </i>
    <i r="1">
      <x v="121"/>
    </i>
    <i r="1">
      <x v="422"/>
    </i>
    <i r="1">
      <x v="546"/>
    </i>
    <i r="1">
      <x v="672"/>
    </i>
    <i r="1">
      <x v="792"/>
    </i>
    <i r="1">
      <x v="901"/>
    </i>
    <i r="1">
      <x v="1014"/>
    </i>
    <i r="1">
      <x v="1267"/>
    </i>
    <i>
      <x v="153"/>
    </i>
    <i r="1">
      <x v="122"/>
    </i>
    <i r="1">
      <x v="467"/>
    </i>
    <i r="1">
      <x v="698"/>
    </i>
    <i r="1">
      <x v="1268"/>
    </i>
    <i>
      <x v="154"/>
    </i>
    <i r="1">
      <x v="124"/>
    </i>
    <i r="1">
      <x v="922"/>
    </i>
    <i r="1">
      <x v="1020"/>
    </i>
    <i r="1">
      <x v="1269"/>
    </i>
    <i>
      <x v="155"/>
    </i>
    <i r="1">
      <x v="123"/>
    </i>
    <i r="1">
      <x v="477"/>
    </i>
    <i r="1">
      <x v="586"/>
    </i>
    <i r="1">
      <x v="711"/>
    </i>
    <i r="1">
      <x v="829"/>
    </i>
    <i r="1">
      <x v="1270"/>
    </i>
    <i>
      <x v="156"/>
    </i>
    <i r="1">
      <x v="125"/>
    </i>
    <i r="1">
      <x v="830"/>
    </i>
    <i r="1">
      <x v="938"/>
    </i>
    <i r="1">
      <x v="1040"/>
    </i>
    <i r="1">
      <x v="1271"/>
    </i>
    <i>
      <x v="157"/>
    </i>
    <i r="1">
      <x v="133"/>
    </i>
    <i r="1">
      <x v="929"/>
    </i>
    <i r="1">
      <x v="1272"/>
    </i>
    <i>
      <x v="158"/>
    </i>
    <i r="1">
      <x v="134"/>
    </i>
    <i r="1">
      <x v="478"/>
    </i>
    <i r="1">
      <x v="599"/>
    </i>
    <i r="1">
      <x v="717"/>
    </i>
    <i r="1">
      <x v="831"/>
    </i>
    <i r="1">
      <x v="939"/>
    </i>
    <i r="1">
      <x v="1464"/>
    </i>
    <i>
      <x v="159"/>
    </i>
    <i r="1">
      <x v="135"/>
    </i>
    <i r="1">
      <x v="479"/>
    </i>
    <i r="1">
      <x v="600"/>
    </i>
    <i r="1">
      <x v="718"/>
    </i>
    <i r="1">
      <x v="832"/>
    </i>
    <i r="1">
      <x v="940"/>
    </i>
    <i r="1">
      <x v="1273"/>
    </i>
    <i>
      <x v="160"/>
    </i>
    <i r="1">
      <x v="136"/>
    </i>
    <i r="1">
      <x v="624"/>
    </i>
    <i r="1">
      <x v="744"/>
    </i>
    <i r="1">
      <x v="857"/>
    </i>
    <i r="1">
      <x v="970"/>
    </i>
    <i r="1">
      <x v="1075"/>
    </i>
    <i r="1">
      <x v="1465"/>
    </i>
    <i>
      <x v="161"/>
    </i>
    <i r="1">
      <x v="138"/>
    </i>
    <i r="1">
      <x v="858"/>
    </i>
    <i r="1">
      <x v="1081"/>
    </i>
    <i r="1">
      <x v="1283"/>
    </i>
    <i>
      <x v="162"/>
    </i>
    <i r="1">
      <x v="137"/>
    </i>
    <i r="1">
      <x v="316"/>
    </i>
    <i r="1">
      <x v="385"/>
    </i>
    <i r="1">
      <x v="514"/>
    </i>
    <i r="1">
      <x v="631"/>
    </i>
    <i r="1">
      <x v="752"/>
    </i>
    <i r="1">
      <x v="859"/>
    </i>
    <i r="1">
      <x v="971"/>
    </i>
    <i r="1">
      <x v="1082"/>
    </i>
    <i r="1">
      <x v="1296"/>
    </i>
    <i>
      <x v="163"/>
    </i>
    <i r="1">
      <x v="141"/>
    </i>
    <i r="1">
      <x v="632"/>
    </i>
    <i r="1">
      <x v="761"/>
    </i>
    <i r="1">
      <x v="873"/>
    </i>
    <i r="1">
      <x v="983"/>
    </i>
    <i r="1">
      <x v="1083"/>
    </i>
    <i r="1">
      <x v="1466"/>
    </i>
    <i>
      <x v="164"/>
    </i>
    <i r="1">
      <x v="1084"/>
    </i>
    <i r="1">
      <x v="1675"/>
    </i>
    <i>
      <x v="165"/>
    </i>
    <i r="1">
      <x v="140"/>
    </i>
    <i r="1">
      <x v="321"/>
    </i>
    <i r="1">
      <x v="401"/>
    </i>
    <i r="1">
      <x v="515"/>
    </i>
    <i r="1">
      <x v="633"/>
    </i>
    <i r="1">
      <x v="762"/>
    </i>
    <i r="1">
      <x v="874"/>
    </i>
    <i r="1">
      <x v="984"/>
    </i>
    <i r="1">
      <x v="1085"/>
    </i>
    <i r="1">
      <x v="1467"/>
    </i>
    <i>
      <x v="166"/>
    </i>
    <i r="1">
      <x v="139"/>
    </i>
    <i r="1">
      <x v="317"/>
    </i>
    <i r="1">
      <x v="423"/>
    </i>
    <i r="1">
      <x v="1316"/>
    </i>
    <i>
      <x v="167"/>
    </i>
    <i r="1">
      <x v="142"/>
    </i>
    <i r="1">
      <x v="322"/>
    </i>
    <i r="1">
      <x v="402"/>
    </i>
    <i r="1">
      <x v="1468"/>
    </i>
    <i>
      <x v="168"/>
    </i>
    <i r="1">
      <x v="132"/>
    </i>
    <i r="1">
      <x v="143"/>
    </i>
    <i r="1">
      <x v="166"/>
    </i>
    <i r="1">
      <x v="195"/>
    </i>
    <i r="1">
      <x v="267"/>
    </i>
    <i r="1">
      <x v="303"/>
    </i>
    <i r="1">
      <x v="361"/>
    </i>
    <i r="1">
      <x v="473"/>
    </i>
    <i r="1">
      <x v="1274"/>
    </i>
    <i>
      <x v="169"/>
    </i>
    <i r="1">
      <x v="156"/>
    </i>
    <i r="1">
      <x v="1675"/>
    </i>
    <i>
      <x v="170"/>
    </i>
    <i r="1">
      <x v="144"/>
    </i>
    <i r="1">
      <x v="415"/>
    </i>
    <i r="1">
      <x v="536"/>
    </i>
    <i r="1">
      <x v="656"/>
    </i>
    <i r="1">
      <x v="780"/>
    </i>
    <i r="1">
      <x v="890"/>
    </i>
    <i r="1">
      <x v="999"/>
    </i>
    <i r="1">
      <x v="1469"/>
    </i>
    <i>
      <x v="171"/>
    </i>
    <i r="1">
      <x v="146"/>
    </i>
    <i r="1">
      <x v="157"/>
    </i>
    <i r="1">
      <x v="253"/>
    </i>
    <i r="1">
      <x v="416"/>
    </i>
    <i r="1">
      <x v="1298"/>
    </i>
    <i>
      <x v="172"/>
    </i>
    <i r="1">
      <x v="145"/>
    </i>
    <i r="1">
      <x v="448"/>
    </i>
    <i r="1">
      <x v="449"/>
    </i>
    <i r="1">
      <x v="564"/>
    </i>
    <i r="1">
      <x v="673"/>
    </i>
    <i r="1">
      <x v="804"/>
    </i>
    <i r="1">
      <x v="911"/>
    </i>
    <i r="1">
      <x v="1030"/>
    </i>
    <i r="1">
      <x v="1121"/>
    </i>
    <i r="1">
      <x v="1470"/>
    </i>
    <i>
      <x v="173"/>
    </i>
    <i r="1">
      <x v="147"/>
    </i>
    <i r="1">
      <x v="348"/>
    </i>
    <i r="1">
      <x v="451"/>
    </i>
    <i r="1">
      <x v="565"/>
    </i>
    <i r="1">
      <x v="686"/>
    </i>
    <i r="1">
      <x v="805"/>
    </i>
    <i r="1">
      <x v="916"/>
    </i>
    <i r="1">
      <x v="1021"/>
    </i>
    <i r="1">
      <x v="1122"/>
    </i>
    <i r="1">
      <x v="1471"/>
    </i>
    <i>
      <x v="174"/>
    </i>
    <i r="1">
      <x v="148"/>
    </i>
    <i r="1">
      <x v="674"/>
    </i>
    <i r="1">
      <x v="793"/>
    </i>
    <i r="1">
      <x v="906"/>
    </i>
    <i r="1">
      <x v="1015"/>
    </i>
    <i r="1">
      <x v="1472"/>
    </i>
    <i>
      <x v="175"/>
    </i>
    <i r="1">
      <x v="149"/>
    </i>
    <i r="1">
      <x v="930"/>
    </i>
    <i r="1">
      <x v="1041"/>
    </i>
    <i r="1">
      <x v="1473"/>
    </i>
    <i>
      <x v="176"/>
    </i>
    <i r="1">
      <x v="150"/>
    </i>
    <i r="1">
      <x v="1317"/>
    </i>
    <i>
      <x v="177"/>
    </i>
    <i r="1">
      <x v="468"/>
    </i>
    <i r="1">
      <x v="1675"/>
    </i>
    <i>
      <x v="178"/>
    </i>
    <i r="1">
      <x v="151"/>
    </i>
    <i r="1">
      <x v="480"/>
    </i>
    <i r="1">
      <x v="601"/>
    </i>
    <i r="1">
      <x v="719"/>
    </i>
    <i r="1">
      <x v="833"/>
    </i>
    <i r="1">
      <x v="941"/>
    </i>
    <i r="1">
      <x v="1057"/>
    </i>
    <i r="1">
      <x v="1474"/>
    </i>
    <i>
      <x v="179"/>
    </i>
    <i r="1">
      <x v="167"/>
    </i>
    <i r="1">
      <x v="198"/>
    </i>
    <i r="1">
      <x v="1301"/>
    </i>
    <i>
      <x v="180"/>
    </i>
    <i r="1">
      <x v="199"/>
    </i>
    <i r="1">
      <x v="235"/>
    </i>
    <i r="1">
      <x v="735"/>
    </i>
    <i r="1">
      <x v="1184"/>
    </i>
    <i r="1">
      <x v="1185"/>
    </i>
    <i r="1">
      <x v="1186"/>
    </i>
    <i r="1">
      <x v="1187"/>
    </i>
    <i r="1">
      <x v="1475"/>
    </i>
    <i>
      <x v="181"/>
    </i>
    <i r="1">
      <x v="201"/>
    </i>
    <i r="1">
      <x v="617"/>
    </i>
    <i r="1">
      <x v="1086"/>
    </i>
    <i r="1">
      <x v="1188"/>
    </i>
    <i r="1">
      <x v="1476"/>
    </i>
    <i>
      <x v="182"/>
    </i>
    <i r="1">
      <x v="200"/>
    </i>
    <i r="1">
      <x v="502"/>
    </i>
    <i r="1">
      <x v="618"/>
    </i>
    <i r="1">
      <x v="1287"/>
    </i>
    <i>
      <x v="183"/>
    </i>
    <i r="1">
      <x v="173"/>
    </i>
    <i r="1">
      <x v="202"/>
    </i>
    <i r="1">
      <x v="241"/>
    </i>
    <i r="1">
      <x v="275"/>
    </i>
    <i r="1">
      <x v="312"/>
    </i>
    <i r="1">
      <x v="383"/>
    </i>
    <i r="1">
      <x v="516"/>
    </i>
    <i r="1">
      <x v="625"/>
    </i>
    <i r="1">
      <x v="745"/>
    </i>
    <i r="1">
      <x v="860"/>
    </i>
    <i r="1">
      <x v="972"/>
    </i>
    <i r="1">
      <x v="1087"/>
    </i>
    <i r="1">
      <x v="1189"/>
    </i>
    <i r="1">
      <x v="1477"/>
    </i>
    <i>
      <x v="184"/>
    </i>
    <i r="1">
      <x v="174"/>
    </i>
    <i r="1">
      <x v="203"/>
    </i>
    <i r="1">
      <x v="240"/>
    </i>
    <i r="1">
      <x v="276"/>
    </i>
    <i r="1">
      <x v="313"/>
    </i>
    <i r="1">
      <x v="380"/>
    </i>
    <i r="1">
      <x v="517"/>
    </i>
    <i r="1">
      <x v="626"/>
    </i>
    <i r="1">
      <x v="742"/>
    </i>
    <i r="1">
      <x v="861"/>
    </i>
    <i r="1">
      <x v="973"/>
    </i>
    <i r="1">
      <x v="1088"/>
    </i>
    <i r="1">
      <x v="1190"/>
    </i>
    <i r="1">
      <x v="1478"/>
    </i>
    <i>
      <x v="185"/>
    </i>
    <i r="1">
      <x v="204"/>
    </i>
    <i r="1">
      <x v="288"/>
    </i>
    <i r="1">
      <x v="332"/>
    </i>
    <i r="1">
      <x v="417"/>
    </i>
    <i r="1">
      <x v="537"/>
    </i>
    <i r="1">
      <x v="652"/>
    </i>
    <i r="1">
      <x v="781"/>
    </i>
    <i r="1">
      <x v="891"/>
    </i>
    <i r="1">
      <x v="1000"/>
    </i>
    <i r="1">
      <x v="1109"/>
    </i>
    <i r="1">
      <x v="1479"/>
    </i>
    <i>
      <x v="186"/>
    </i>
    <i r="1">
      <x v="181"/>
    </i>
    <i r="1">
      <x v="205"/>
    </i>
    <i r="1">
      <x v="254"/>
    </i>
    <i r="1">
      <x v="1480"/>
    </i>
    <i>
      <x v="187"/>
    </i>
    <i r="1">
      <x v="207"/>
    </i>
    <i r="1">
      <x v="663"/>
    </i>
    <i r="1">
      <x v="785"/>
    </i>
    <i r="1">
      <x v="898"/>
    </i>
    <i r="1">
      <x v="1016"/>
    </i>
    <i r="1">
      <x v="1119"/>
    </i>
    <i r="1">
      <x v="1347"/>
    </i>
    <i r="1">
      <x v="1481"/>
    </i>
    <i>
      <x v="188"/>
    </i>
    <i r="1">
      <x v="177"/>
    </i>
    <i r="1">
      <x v="206"/>
    </i>
    <i r="1">
      <x v="246"/>
    </i>
    <i r="1">
      <x v="286"/>
    </i>
    <i r="1">
      <x v="329"/>
    </i>
    <i r="1">
      <x v="403"/>
    </i>
    <i r="1">
      <x v="518"/>
    </i>
    <i r="1">
      <x v="647"/>
    </i>
    <i r="1">
      <x v="763"/>
    </i>
    <i r="1">
      <x v="879"/>
    </i>
    <i r="1">
      <x v="990"/>
    </i>
    <i r="1">
      <x v="1110"/>
    </i>
    <i r="1">
      <x v="1482"/>
    </i>
    <i>
      <x v="189"/>
    </i>
    <i r="1">
      <x v="190"/>
    </i>
    <i r="1">
      <x v="208"/>
    </i>
    <i r="1">
      <x v="261"/>
    </i>
    <i r="1">
      <x v="299"/>
    </i>
    <i r="1">
      <x v="352"/>
    </i>
    <i r="1">
      <x v="459"/>
    </i>
    <i r="1">
      <x v="573"/>
    </i>
    <i r="1">
      <x v="693"/>
    </i>
    <i r="1">
      <x v="811"/>
    </i>
    <i r="1">
      <x v="923"/>
    </i>
    <i r="1">
      <x v="1031"/>
    </i>
    <i r="1">
      <x v="1138"/>
    </i>
    <i r="1">
      <x v="1483"/>
    </i>
    <i>
      <x v="190"/>
    </i>
    <i r="1">
      <x v="210"/>
    </i>
    <i r="1">
      <x v="258"/>
    </i>
    <i r="1">
      <x v="259"/>
    </i>
    <i r="1">
      <x v="295"/>
    </i>
    <i r="1">
      <x v="342"/>
    </i>
    <i r="1">
      <x v="445"/>
    </i>
    <i r="1">
      <x v="560"/>
    </i>
    <i r="1">
      <x v="675"/>
    </i>
    <i r="1">
      <x v="806"/>
    </i>
    <i r="1">
      <x v="912"/>
    </i>
    <i r="1">
      <x v="1022"/>
    </i>
    <i r="1">
      <x v="1123"/>
    </i>
    <i r="1">
      <x v="1484"/>
    </i>
    <i>
      <x v="191"/>
    </i>
    <i r="1">
      <x v="209"/>
    </i>
    <i r="1">
      <x v="353"/>
    </i>
    <i r="1">
      <x v="460"/>
    </i>
    <i r="1">
      <x v="574"/>
    </i>
    <i r="1">
      <x v="694"/>
    </i>
    <i r="1">
      <x v="812"/>
    </i>
    <i r="1">
      <x v="924"/>
    </i>
    <i r="1">
      <x v="1032"/>
    </i>
    <i r="1">
      <x v="1282"/>
    </i>
    <i>
      <x v="192"/>
    </i>
    <i r="1">
      <x v="212"/>
    </i>
    <i r="1">
      <x v="931"/>
    </i>
    <i r="1">
      <x v="1485"/>
    </i>
    <i>
      <x v="193"/>
    </i>
    <i r="1">
      <x v="1157"/>
    </i>
    <i r="1">
      <x v="1638"/>
    </i>
    <i>
      <x v="194"/>
    </i>
    <i r="1">
      <x v="197"/>
    </i>
    <i r="1">
      <x v="211"/>
    </i>
    <i r="1">
      <x v="269"/>
    </i>
    <i r="1">
      <x v="304"/>
    </i>
    <i r="1">
      <x v="364"/>
    </i>
    <i r="1">
      <x v="481"/>
    </i>
    <i r="1">
      <x v="587"/>
    </i>
    <i r="1">
      <x v="712"/>
    </i>
    <i r="1">
      <x v="834"/>
    </i>
    <i r="1">
      <x v="942"/>
    </i>
    <i r="1">
      <x v="1048"/>
    </i>
    <i r="1">
      <x v="1158"/>
    </i>
    <i r="1">
      <x v="1486"/>
    </i>
    <i>
      <x v="195"/>
    </i>
    <i r="1">
      <x v="213"/>
    </i>
    <i r="1">
      <x v="232"/>
    </i>
    <i r="1">
      <x v="273"/>
    </i>
    <i r="1">
      <x v="1487"/>
    </i>
    <i>
      <x v="196"/>
    </i>
    <i r="1">
      <x v="236"/>
    </i>
    <i r="1">
      <x v="1675"/>
    </i>
    <i>
      <x v="197"/>
    </i>
    <i r="1">
      <x v="723"/>
    </i>
    <i r="1">
      <x v="953"/>
    </i>
    <i r="1">
      <x v="1165"/>
    </i>
    <i>
      <x v="198"/>
    </i>
    <i r="1">
      <x v="214"/>
    </i>
    <i r="1">
      <x v="1488"/>
    </i>
    <i>
      <x v="199"/>
    </i>
    <i r="1">
      <x v="215"/>
    </i>
    <i r="1">
      <x v="243"/>
    </i>
    <i r="1">
      <x v="280"/>
    </i>
    <i r="1">
      <x v="318"/>
    </i>
    <i r="1">
      <x v="386"/>
    </i>
    <i r="1">
      <x v="519"/>
    </i>
    <i r="1">
      <x v="634"/>
    </i>
    <i r="1">
      <x v="753"/>
    </i>
    <i r="1">
      <x v="1295"/>
    </i>
    <i>
      <x v="200"/>
    </i>
    <i r="1">
      <x v="216"/>
    </i>
    <i r="1">
      <x v="247"/>
    </i>
    <i r="1">
      <x v="287"/>
    </i>
    <i r="1">
      <x v="330"/>
    </i>
    <i r="1">
      <x v="404"/>
    </i>
    <i r="1">
      <x v="520"/>
    </i>
    <i r="1">
      <x v="648"/>
    </i>
    <i r="1">
      <x v="764"/>
    </i>
    <i r="1">
      <x v="880"/>
    </i>
    <i r="1">
      <x v="991"/>
    </i>
    <i r="1">
      <x v="1111"/>
    </i>
    <i r="1">
      <x v="1322"/>
    </i>
    <i r="1">
      <x v="1489"/>
    </i>
    <i>
      <x v="201"/>
    </i>
    <i r="1">
      <x v="217"/>
    </i>
    <i r="1">
      <x v="418"/>
    </i>
    <i r="1">
      <x v="538"/>
    </i>
    <i r="1">
      <x v="657"/>
    </i>
    <i r="1">
      <x v="782"/>
    </i>
    <i r="1">
      <x v="892"/>
    </i>
    <i r="1">
      <x v="1001"/>
    </i>
    <i r="1">
      <x v="1112"/>
    </i>
    <i r="1">
      <x v="1331"/>
    </i>
    <i r="1">
      <x v="1490"/>
    </i>
    <i>
      <x v="202"/>
    </i>
    <i r="1">
      <x v="218"/>
    </i>
    <i r="1">
      <x v="943"/>
    </i>
    <i r="1">
      <x v="1055"/>
    </i>
    <i r="1">
      <x v="1275"/>
    </i>
    <i>
      <x v="203"/>
    </i>
    <i r="1">
      <x v="521"/>
    </i>
    <i r="1">
      <x v="635"/>
    </i>
    <i r="1">
      <x v="754"/>
    </i>
    <i r="1">
      <x v="862"/>
    </i>
    <i r="1">
      <x v="974"/>
    </i>
    <i r="1">
      <x v="1096"/>
    </i>
    <i r="1">
      <x v="1193"/>
    </i>
    <i r="1">
      <x v="1491"/>
    </i>
    <i r="1">
      <x v="1675"/>
    </i>
    <i>
      <x v="204"/>
    </i>
    <i r="1">
      <x v="297"/>
    </i>
    <i r="1">
      <x v="1308"/>
    </i>
    <i>
      <x v="205"/>
    </i>
    <i r="1">
      <x v="434"/>
    </i>
    <i r="1">
      <x v="1073"/>
    </i>
    <i r="1">
      <x v="1074"/>
    </i>
    <i r="1">
      <x v="1076"/>
    </i>
    <i r="1">
      <x v="1077"/>
    </i>
    <i r="1">
      <x v="1078"/>
    </i>
    <i r="1">
      <x v="1079"/>
    </i>
    <i r="1">
      <x v="1080"/>
    </i>
    <i r="1">
      <x v="1151"/>
    </i>
    <i r="1">
      <x v="1357"/>
    </i>
    <i r="1">
      <x v="1625"/>
    </i>
    <i>
      <x v="206"/>
    </i>
    <i r="1">
      <x v="1049"/>
    </i>
    <i r="1">
      <x v="1159"/>
    </i>
    <i r="1">
      <x v="1361"/>
    </i>
    <i r="1">
      <x v="1642"/>
    </i>
    <i>
      <x v="207"/>
    </i>
    <i r="1">
      <x v="219"/>
    </i>
    <i r="1">
      <x v="340"/>
    </i>
    <i r="1">
      <x v="427"/>
    </i>
    <i r="1">
      <x v="549"/>
    </i>
    <i r="1">
      <x v="1305"/>
    </i>
    <i>
      <x v="208"/>
    </i>
    <i r="1">
      <x v="220"/>
    </i>
    <i r="1">
      <x v="807"/>
    </i>
    <i r="1">
      <x v="1492"/>
    </i>
    <i>
      <x v="209"/>
    </i>
    <i r="1">
      <x v="221"/>
    </i>
    <i r="1">
      <x v="566"/>
    </i>
    <i r="1">
      <x v="687"/>
    </i>
    <i r="1">
      <x v="808"/>
    </i>
    <i r="1">
      <x v="917"/>
    </i>
    <i r="1">
      <x v="1023"/>
    </i>
    <i r="1">
      <x v="1139"/>
    </i>
    <i r="1">
      <x v="1286"/>
    </i>
    <i>
      <x v="210"/>
    </i>
    <i r="1">
      <x v="1124"/>
    </i>
    <i r="1">
      <x v="1675"/>
    </i>
    <i>
      <x v="211"/>
    </i>
    <i r="1">
      <x v="222"/>
    </i>
    <i r="1">
      <x v="298"/>
    </i>
    <i r="1">
      <x v="349"/>
    </i>
    <i r="1">
      <x v="453"/>
    </i>
    <i r="1">
      <x v="567"/>
    </i>
    <i r="1">
      <x v="688"/>
    </i>
    <i r="1">
      <x v="813"/>
    </i>
    <i r="1">
      <x v="918"/>
    </i>
    <i r="1">
      <x v="1033"/>
    </i>
    <i r="1">
      <x v="1125"/>
    </i>
    <i r="1">
      <x v="1348"/>
    </i>
    <i r="1">
      <x v="1493"/>
    </i>
    <i>
      <x v="212"/>
    </i>
    <i r="1">
      <x v="223"/>
    </i>
    <i r="1">
      <x v="925"/>
    </i>
    <i r="1">
      <x v="1034"/>
    </i>
    <i r="1">
      <x v="1140"/>
    </i>
    <i r="1">
      <x v="1155"/>
    </i>
    <i r="1">
      <x v="1494"/>
    </i>
    <i>
      <x v="213"/>
    </i>
    <i r="1">
      <x v="224"/>
    </i>
    <i r="1">
      <x v="256"/>
    </i>
    <i r="1">
      <x v="1311"/>
    </i>
    <i>
      <x v="214"/>
    </i>
    <i r="1">
      <x v="225"/>
    </i>
    <i r="1">
      <x v="268"/>
    </i>
    <i r="1">
      <x v="305"/>
    </i>
    <i r="1">
      <x v="362"/>
    </i>
    <i r="1">
      <x v="474"/>
    </i>
    <i r="1">
      <x v="588"/>
    </i>
    <i r="1">
      <x v="706"/>
    </i>
    <i r="1">
      <x v="823"/>
    </i>
    <i r="1">
      <x v="944"/>
    </i>
    <i r="1">
      <x v="1050"/>
    </i>
    <i r="1">
      <x v="1152"/>
    </i>
    <i r="1">
      <x v="1281"/>
    </i>
    <i>
      <x v="215"/>
    </i>
    <i r="1">
      <x v="227"/>
    </i>
    <i r="1">
      <x v="594"/>
    </i>
    <i r="1">
      <x v="595"/>
    </i>
    <i r="1">
      <x v="596"/>
    </i>
    <i r="1">
      <x v="597"/>
    </i>
    <i r="1">
      <x v="598"/>
    </i>
    <i r="1">
      <x v="835"/>
    </i>
    <i r="1">
      <x v="836"/>
    </i>
    <i r="1">
      <x v="945"/>
    </i>
    <i r="1">
      <x v="1051"/>
    </i>
    <i r="1">
      <x v="1153"/>
    </i>
    <i r="1">
      <x v="1291"/>
    </i>
    <i>
      <x v="216"/>
    </i>
    <i r="1">
      <x v="226"/>
    </i>
    <i r="1">
      <x v="270"/>
    </i>
    <i r="1">
      <x v="306"/>
    </i>
    <i r="1">
      <x v="365"/>
    </i>
    <i r="1">
      <x v="482"/>
    </i>
    <i r="1">
      <x v="589"/>
    </i>
    <i r="1">
      <x v="713"/>
    </i>
    <i r="1">
      <x v="837"/>
    </i>
    <i r="1">
      <x v="946"/>
    </i>
    <i r="1">
      <x v="1052"/>
    </i>
    <i r="1">
      <x v="1160"/>
    </i>
    <i r="1">
      <x v="1495"/>
    </i>
    <i>
      <x v="217"/>
    </i>
    <i r="1">
      <x v="366"/>
    </i>
    <i r="1">
      <x v="1496"/>
    </i>
    <i>
      <x v="218"/>
    </i>
    <i r="1">
      <x v="724"/>
    </i>
    <i r="1">
      <x v="838"/>
    </i>
    <i r="1">
      <x v="954"/>
    </i>
    <i r="1">
      <x v="1497"/>
    </i>
    <i>
      <x v="219"/>
    </i>
    <i r="1">
      <x v="1166"/>
    </i>
    <i r="1">
      <x v="1368"/>
    </i>
    <i r="1">
      <x v="1570"/>
    </i>
    <i r="1">
      <x v="1643"/>
    </i>
    <i>
      <x v="220"/>
    </i>
    <i r="1">
      <x v="277"/>
    </i>
    <i r="1">
      <x v="314"/>
    </i>
    <i r="1">
      <x v="1056"/>
    </i>
    <i r="1">
      <x v="1675"/>
    </i>
    <i>
      <x v="221"/>
    </i>
    <i r="1">
      <x v="281"/>
    </i>
    <i r="1">
      <x v="319"/>
    </i>
    <i r="1">
      <x v="387"/>
    </i>
    <i r="1">
      <x v="522"/>
    </i>
    <i r="1">
      <x v="636"/>
    </i>
    <i r="1">
      <x v="755"/>
    </i>
    <i r="1">
      <x v="863"/>
    </i>
    <i r="1">
      <x v="975"/>
    </i>
    <i r="1">
      <x v="1097"/>
    </i>
    <i r="1">
      <x v="1194"/>
    </i>
    <i r="1">
      <x v="1384"/>
    </i>
    <i r="1">
      <x v="1498"/>
    </i>
    <i>
      <x v="222"/>
    </i>
    <i r="1">
      <x v="282"/>
    </i>
    <i r="1">
      <x v="320"/>
    </i>
    <i r="1">
      <x v="388"/>
    </i>
    <i r="1">
      <x v="523"/>
    </i>
    <i r="1">
      <x v="756"/>
    </i>
    <i r="1">
      <x v="864"/>
    </i>
    <i r="1">
      <x v="976"/>
    </i>
    <i r="1">
      <x v="1098"/>
    </i>
    <i r="1">
      <x v="1389"/>
    </i>
    <i r="1">
      <x v="1499"/>
    </i>
    <i>
      <x v="223"/>
    </i>
    <i r="1">
      <x v="1381"/>
    </i>
    <i r="1">
      <x v="1675"/>
    </i>
    <i>
      <x v="224"/>
    </i>
    <i r="1">
      <x v="1099"/>
    </i>
    <i r="1">
      <x v="1195"/>
    </i>
    <i r="1">
      <x v="1390"/>
    </i>
    <i r="1">
      <x v="1581"/>
    </i>
    <i r="1">
      <x v="1668"/>
    </i>
    <i>
      <x v="225"/>
    </i>
    <i r="1">
      <x v="501"/>
    </i>
    <i r="1">
      <x v="619"/>
    </i>
    <i r="1">
      <x v="736"/>
    </i>
    <i r="1">
      <x v="1500"/>
    </i>
    <i>
      <x v="226"/>
    </i>
    <i r="1">
      <x v="494"/>
    </i>
    <i r="1">
      <x v="495"/>
    </i>
    <i r="1">
      <x v="496"/>
    </i>
    <i r="1">
      <x v="1501"/>
    </i>
    <i>
      <x v="227"/>
    </i>
    <i r="1">
      <x v="1175"/>
    </i>
    <i r="1">
      <x v="1375"/>
    </i>
    <i r="1">
      <x v="1657"/>
    </i>
    <i>
      <x v="228"/>
    </i>
    <i r="1">
      <x v="1564"/>
    </i>
    <i r="1">
      <x v="1648"/>
    </i>
    <i>
      <x v="229"/>
    </i>
    <i r="1">
      <x v="503"/>
    </i>
    <i r="1">
      <x v="504"/>
    </i>
    <i r="1">
      <x v="505"/>
    </i>
    <i r="1">
      <x v="506"/>
    </i>
    <i r="1">
      <x v="1502"/>
    </i>
    <i r="1">
      <x v="1675"/>
    </i>
    <i>
      <x v="230"/>
    </i>
    <i r="1">
      <x v="627"/>
    </i>
    <i r="1">
      <x v="977"/>
    </i>
    <i r="1">
      <x v="1640"/>
    </i>
    <i>
      <x v="231"/>
    </i>
    <i r="1">
      <x v="524"/>
    </i>
    <i r="1">
      <x v="637"/>
    </i>
    <i r="1">
      <x v="757"/>
    </i>
    <i r="1">
      <x v="865"/>
    </i>
    <i r="1">
      <x v="978"/>
    </i>
    <i r="1">
      <x v="1100"/>
    </i>
    <i r="1">
      <x v="1196"/>
    </i>
    <i r="1">
      <x v="1391"/>
    </i>
    <i r="1">
      <x v="1503"/>
    </i>
    <i>
      <x v="232"/>
    </i>
    <i r="1">
      <x v="407"/>
    </i>
    <i r="1">
      <x v="525"/>
    </i>
    <i r="1">
      <x v="649"/>
    </i>
    <i r="1">
      <x v="771"/>
    </i>
    <i r="1">
      <x v="882"/>
    </i>
    <i r="1">
      <x v="883"/>
    </i>
    <i r="1">
      <x v="992"/>
    </i>
    <i r="1">
      <x v="1106"/>
    </i>
    <i r="1">
      <x v="1323"/>
    </i>
    <i r="1">
      <x v="1392"/>
    </i>
    <i r="1">
      <x v="1504"/>
    </i>
    <i>
      <x v="233"/>
    </i>
    <i r="1">
      <x v="1568"/>
    </i>
    <i r="1">
      <x v="1645"/>
    </i>
    <i>
      <x v="234"/>
    </i>
    <i r="1">
      <x v="638"/>
    </i>
    <i r="1">
      <x v="765"/>
    </i>
    <i r="1">
      <x v="875"/>
    </i>
    <i r="1">
      <x v="985"/>
    </i>
    <i r="1">
      <x v="1101"/>
    </i>
    <i r="1">
      <x v="1318"/>
    </i>
    <i r="1">
      <x v="1385"/>
    </i>
    <i r="1">
      <x v="1505"/>
    </i>
    <i>
      <x v="235"/>
    </i>
    <i r="1">
      <x v="1324"/>
    </i>
    <i r="1">
      <x v="1675"/>
    </i>
    <i>
      <x v="236"/>
    </i>
    <i r="1">
      <x v="1325"/>
    </i>
    <i r="1">
      <x v="1396"/>
    </i>
    <i r="1">
      <x v="1639"/>
    </i>
    <i>
      <x v="237"/>
    </i>
    <i r="1">
      <x v="290"/>
    </i>
    <i r="1">
      <x v="334"/>
    </i>
    <i r="1">
      <x v="335"/>
    </i>
    <i r="1">
      <x v="542"/>
    </i>
    <i r="1">
      <x v="660"/>
    </i>
    <i r="1">
      <x v="786"/>
    </i>
    <i r="1">
      <x v="896"/>
    </i>
    <i r="1">
      <x v="1017"/>
    </i>
    <i r="1">
      <x v="1118"/>
    </i>
    <i r="1">
      <x v="1334"/>
    </i>
    <i r="1">
      <x v="1506"/>
    </i>
    <i r="1">
      <x v="1675"/>
    </i>
    <i>
      <x v="238"/>
    </i>
    <i r="1">
      <x v="292"/>
    </i>
    <i r="1">
      <x v="294"/>
    </i>
    <i r="1">
      <x v="419"/>
    </i>
    <i r="1">
      <x v="543"/>
    </i>
    <i r="1">
      <x v="787"/>
    </i>
    <i r="1">
      <x v="899"/>
    </i>
    <i r="1">
      <x v="1018"/>
    </i>
    <i r="1">
      <x v="1120"/>
    </i>
    <i r="1">
      <x v="1335"/>
    </i>
    <i r="1">
      <x v="1402"/>
    </i>
    <i r="1">
      <x v="1507"/>
    </i>
    <i>
      <x v="239"/>
    </i>
    <i r="1">
      <x v="676"/>
    </i>
    <i r="1">
      <x v="677"/>
    </i>
    <i r="1">
      <x v="794"/>
    </i>
    <i r="1">
      <x v="1636"/>
    </i>
    <i>
      <x v="240"/>
    </i>
    <i r="1">
      <x v="1126"/>
    </i>
    <i r="1">
      <x v="1338"/>
    </i>
    <i r="1">
      <x v="1405"/>
    </i>
    <i r="1">
      <x v="1666"/>
    </i>
    <i>
      <x v="241"/>
    </i>
    <i r="1">
      <x v="442"/>
    </i>
    <i r="1">
      <x v="552"/>
    </i>
    <i r="1">
      <x v="913"/>
    </i>
    <i r="1">
      <x v="1508"/>
    </i>
    <i>
      <x v="242"/>
    </i>
    <i r="1">
      <x v="1035"/>
    </i>
    <i r="1">
      <x v="1127"/>
    </i>
    <i r="1">
      <x v="1345"/>
    </i>
    <i r="1">
      <x v="1411"/>
    </i>
    <i r="1">
      <x v="1509"/>
    </i>
    <i>
      <x v="243"/>
    </i>
    <i r="1">
      <x v="678"/>
    </i>
    <i r="1">
      <x v="1313"/>
    </i>
    <i>
      <x v="244"/>
    </i>
    <i r="1">
      <x v="1413"/>
    </i>
    <i r="1">
      <x v="1510"/>
    </i>
    <i>
      <x v="245"/>
    </i>
    <i r="1">
      <x v="357"/>
    </i>
    <i r="1">
      <x v="466"/>
    </i>
    <i r="1">
      <x v="580"/>
    </i>
    <i r="1">
      <x v="699"/>
    </i>
    <i r="1">
      <x v="818"/>
    </i>
    <i r="1">
      <x v="932"/>
    </i>
    <i r="1">
      <x v="1042"/>
    </i>
    <i r="1">
      <x v="1145"/>
    </i>
    <i r="1">
      <x v="1294"/>
    </i>
    <i>
      <x v="246"/>
    </i>
    <i r="1">
      <x v="343"/>
    </i>
    <i r="1">
      <x v="446"/>
    </i>
    <i r="1">
      <x v="561"/>
    </i>
    <i r="1">
      <x v="679"/>
    </i>
    <i r="1">
      <x v="809"/>
    </i>
    <i r="1">
      <x v="914"/>
    </i>
    <i r="1">
      <x v="1036"/>
    </i>
    <i r="1">
      <x v="1128"/>
    </i>
    <i r="1">
      <x v="1346"/>
    </i>
    <i r="1">
      <x v="1412"/>
    </i>
    <i r="1">
      <x v="1511"/>
    </i>
    <i>
      <x v="247"/>
    </i>
    <i r="1">
      <x v="461"/>
    </i>
    <i r="1">
      <x v="575"/>
    </i>
    <i r="1">
      <x v="695"/>
    </i>
    <i r="1">
      <x v="814"/>
    </i>
    <i r="1">
      <x v="926"/>
    </i>
    <i r="1">
      <x v="1037"/>
    </i>
    <i r="1">
      <x v="1141"/>
    </i>
    <i r="1">
      <x v="1351"/>
    </i>
    <i r="1">
      <x v="1418"/>
    </i>
    <i r="1">
      <x v="1512"/>
    </i>
    <i>
      <x v="248"/>
    </i>
    <i r="1">
      <x v="307"/>
    </i>
    <i r="1">
      <x v="358"/>
    </i>
    <i r="1">
      <x v="469"/>
    </i>
    <i r="1">
      <x v="590"/>
    </i>
    <i r="1">
      <x v="700"/>
    </i>
    <i r="1">
      <x v="824"/>
    </i>
    <i r="1">
      <x v="933"/>
    </i>
    <i r="1">
      <x v="1043"/>
    </i>
    <i r="1">
      <x v="1150"/>
    </i>
    <i r="1">
      <x v="1358"/>
    </i>
    <i r="1">
      <x v="1424"/>
    </i>
    <i r="1">
      <x v="1513"/>
    </i>
    <i>
      <x v="249"/>
    </i>
    <i r="1">
      <x v="743"/>
    </i>
    <i r="1">
      <x v="866"/>
    </i>
    <i r="1">
      <x v="979"/>
    </i>
    <i r="1">
      <x v="1089"/>
    </i>
    <i r="1">
      <x v="1176"/>
    </i>
    <i r="1">
      <x v="1376"/>
    </i>
    <i r="1">
      <x v="1514"/>
    </i>
    <i>
      <x v="250"/>
    </i>
    <i r="1">
      <x v="766"/>
    </i>
    <i r="1">
      <x v="876"/>
    </i>
    <i r="1">
      <x v="986"/>
    </i>
    <i r="1">
      <x v="1102"/>
    </i>
    <i r="1">
      <x v="1297"/>
    </i>
    <i>
      <x v="251"/>
    </i>
    <i r="1">
      <x v="323"/>
    </i>
    <i r="1">
      <x v="405"/>
    </i>
    <i r="1">
      <x v="526"/>
    </i>
    <i r="1">
      <x v="639"/>
    </i>
    <i r="1">
      <x v="767"/>
    </i>
    <i r="1">
      <x v="877"/>
    </i>
    <i r="1">
      <x v="987"/>
    </i>
    <i r="1">
      <x v="1103"/>
    </i>
    <i r="1">
      <x v="1319"/>
    </i>
    <i r="1">
      <x v="1386"/>
    </i>
    <i r="1">
      <x v="1515"/>
    </i>
    <i>
      <x v="252"/>
    </i>
    <i r="1">
      <x v="1516"/>
    </i>
    <i r="1">
      <x v="1675"/>
    </i>
    <i>
      <x v="253"/>
    </i>
    <i r="1">
      <x v="620"/>
    </i>
    <i r="1">
      <x v="1517"/>
    </i>
    <i>
      <x v="254"/>
    </i>
    <i r="1">
      <x v="746"/>
    </i>
    <i r="1">
      <x v="867"/>
    </i>
    <i r="1">
      <x v="1299"/>
    </i>
    <i>
      <x v="255"/>
    </i>
    <i r="1">
      <x v="1600"/>
    </i>
    <i r="1">
      <x v="1603"/>
    </i>
    <i>
      <x v="256"/>
    </i>
    <i r="1">
      <x v="336"/>
    </i>
    <i r="1">
      <x v="420"/>
    </i>
    <i r="1">
      <x v="544"/>
    </i>
    <i r="1">
      <x v="1518"/>
    </i>
    <i r="1">
      <x v="1675"/>
    </i>
    <i>
      <x v="257"/>
    </i>
    <i r="1">
      <x v="772"/>
    </i>
    <i r="1">
      <x v="884"/>
    </i>
    <i r="1">
      <x v="993"/>
    </i>
    <i r="1">
      <x v="1107"/>
    </i>
    <i r="1">
      <x v="1326"/>
    </i>
    <i r="1">
      <x v="1393"/>
    </i>
    <i r="1">
      <x v="1519"/>
    </i>
    <i>
      <x v="258"/>
    </i>
    <i r="1">
      <x v="539"/>
    </i>
    <i r="1">
      <x v="658"/>
    </i>
    <i r="1">
      <x v="783"/>
    </i>
    <i r="1">
      <x v="893"/>
    </i>
    <i r="1">
      <x v="1002"/>
    </i>
    <i r="1">
      <x v="1113"/>
    </i>
    <i r="1">
      <x v="1332"/>
    </i>
    <i r="1">
      <x v="1397"/>
    </i>
    <i r="1">
      <x v="1520"/>
    </i>
    <i>
      <x v="259"/>
    </i>
    <i r="1">
      <x v="553"/>
    </i>
    <i r="1">
      <x v="1129"/>
    </i>
    <i r="1">
      <x v="1156"/>
    </i>
    <i>
      <x v="260"/>
    </i>
    <i r="1">
      <x v="350"/>
    </i>
    <i r="1">
      <x v="452"/>
    </i>
    <i r="1">
      <x v="1414"/>
    </i>
    <i r="1">
      <x v="1521"/>
    </i>
    <i>
      <x v="261"/>
    </i>
    <i r="1">
      <x v="354"/>
    </i>
    <i r="1">
      <x v="1522"/>
    </i>
    <i>
      <x v="262"/>
    </i>
    <i r="1">
      <x v="591"/>
    </i>
    <i r="1">
      <x v="592"/>
    </i>
    <i r="1">
      <x v="1304"/>
    </i>
    <i>
      <x v="263"/>
    </i>
    <i r="1">
      <x v="581"/>
    </i>
    <i r="1">
      <x v="701"/>
    </i>
    <i r="1">
      <x v="819"/>
    </i>
    <i r="1">
      <x v="934"/>
    </i>
    <i r="1">
      <x v="1044"/>
    </i>
    <i r="1">
      <x v="1146"/>
    </i>
    <i r="1">
      <x v="1354"/>
    </i>
    <i r="1">
      <x v="1425"/>
    </i>
    <i r="1">
      <x v="1523"/>
    </i>
    <i>
      <x v="264"/>
    </i>
    <i r="1">
      <x v="582"/>
    </i>
    <i r="1">
      <x v="702"/>
    </i>
    <i r="1">
      <x v="820"/>
    </i>
    <i r="1">
      <x v="935"/>
    </i>
    <i r="1">
      <x v="1045"/>
    </i>
    <i r="1">
      <x v="1147"/>
    </i>
    <i r="1">
      <x v="1355"/>
    </i>
    <i r="1">
      <x v="1426"/>
    </i>
    <i r="1">
      <x v="1524"/>
    </i>
    <i>
      <x v="265"/>
    </i>
    <i r="1">
      <x v="1144"/>
    </i>
    <i r="1">
      <x v="1352"/>
    </i>
    <i r="1">
      <x v="1419"/>
    </i>
    <i r="1">
      <x v="1575"/>
    </i>
    <i r="1">
      <x v="1604"/>
    </i>
    <i r="1">
      <x v="1646"/>
    </i>
    <i r="1">
      <x v="1675"/>
    </i>
    <i>
      <x v="266"/>
    </i>
    <i r="1">
      <x v="369"/>
    </i>
    <i r="1">
      <x v="485"/>
    </i>
    <i r="1">
      <x v="602"/>
    </i>
    <i r="1">
      <x v="720"/>
    </i>
    <i r="1">
      <x v="1525"/>
    </i>
    <i r="1">
      <x v="1675"/>
    </i>
    <i>
      <x v="267"/>
    </i>
    <i r="1">
      <x v="367"/>
    </i>
    <i r="1">
      <x v="483"/>
    </i>
    <i r="1">
      <x v="603"/>
    </i>
    <i r="1">
      <x v="714"/>
    </i>
    <i r="1">
      <x v="839"/>
    </i>
    <i r="1">
      <x v="947"/>
    </i>
    <i r="1">
      <x v="1288"/>
    </i>
    <i>
      <x v="268"/>
    </i>
    <i r="1">
      <x v="368"/>
    </i>
    <i r="1">
      <x v="484"/>
    </i>
    <i r="1">
      <x v="604"/>
    </i>
    <i r="1">
      <x v="715"/>
    </i>
    <i r="1">
      <x v="840"/>
    </i>
    <i r="1">
      <x v="948"/>
    </i>
    <i r="1">
      <x v="1053"/>
    </i>
    <i r="1">
      <x v="1161"/>
    </i>
    <i r="1">
      <x v="1362"/>
    </i>
    <i r="1">
      <x v="1526"/>
    </i>
    <i>
      <x v="269"/>
    </i>
    <i r="1">
      <x v="454"/>
    </i>
    <i r="1">
      <x v="1415"/>
    </i>
    <i r="1">
      <x v="1527"/>
    </i>
    <i>
      <x v="270"/>
    </i>
    <i r="1">
      <x v="376"/>
    </i>
    <i r="1">
      <x v="497"/>
    </i>
    <i r="1">
      <x v="611"/>
    </i>
    <i r="1">
      <x v="725"/>
    </i>
    <i r="1">
      <x v="849"/>
    </i>
    <i r="1">
      <x v="962"/>
    </i>
    <i r="1">
      <x v="1058"/>
    </i>
    <i r="1">
      <x v="1171"/>
    </i>
    <i r="1">
      <x v="1369"/>
    </i>
    <i r="1">
      <x v="1528"/>
    </i>
    <i>
      <x v="271"/>
    </i>
    <i r="1">
      <x v="664"/>
    </i>
    <i r="1">
      <x v="1289"/>
    </i>
    <i>
      <x v="272"/>
    </i>
    <i r="1">
      <x v="1029"/>
    </i>
    <i r="1">
      <x v="1675"/>
    </i>
    <i>
      <x v="273"/>
    </i>
    <i r="1">
      <x v="1130"/>
    </i>
    <i r="1">
      <x v="1339"/>
    </i>
    <i r="1">
      <x v="1406"/>
    </i>
    <i r="1">
      <x v="1573"/>
    </i>
    <i r="1">
      <x v="1598"/>
    </i>
    <i r="1">
      <x v="1615"/>
    </i>
    <i r="1">
      <x v="1669"/>
    </i>
    <i>
      <x v="274"/>
    </i>
    <i r="1">
      <x v="550"/>
    </i>
    <i r="1">
      <x v="1303"/>
    </i>
    <i>
      <x v="275"/>
    </i>
    <i r="1">
      <x v="455"/>
    </i>
    <i r="1">
      <x v="568"/>
    </i>
    <i r="1">
      <x v="1529"/>
    </i>
    <i>
      <x v="276"/>
    </i>
    <i r="1">
      <x v="919"/>
    </i>
    <i r="1">
      <x v="1307"/>
    </i>
    <i>
      <x v="277"/>
    </i>
    <i r="1">
      <x v="569"/>
    </i>
    <i r="1">
      <x v="1131"/>
    </i>
    <i r="1">
      <x v="1349"/>
    </i>
    <i r="1">
      <x v="1416"/>
    </i>
    <i r="1">
      <x v="1574"/>
    </i>
    <i r="1">
      <x v="1601"/>
    </i>
    <i r="1">
      <x v="1630"/>
    </i>
    <i>
      <x v="278"/>
    </i>
    <i r="1">
      <x v="1340"/>
    </i>
    <i r="1">
      <x v="1675"/>
    </i>
    <i>
      <x v="279"/>
    </i>
    <i r="1">
      <x v="462"/>
    </i>
    <i r="1">
      <x v="576"/>
    </i>
    <i r="1">
      <x v="696"/>
    </i>
    <i r="1">
      <x v="815"/>
    </i>
    <i r="1">
      <x v="927"/>
    </i>
    <i r="1">
      <x v="1038"/>
    </i>
    <i r="1">
      <x v="1142"/>
    </i>
    <i r="1">
      <x v="1353"/>
    </i>
    <i r="1">
      <x v="1420"/>
    </i>
    <i r="1">
      <x v="1530"/>
    </i>
    <i>
      <x v="280"/>
    </i>
    <i r="1">
      <x v="1400"/>
    </i>
    <i r="1">
      <x v="1531"/>
    </i>
    <i>
      <x v="281"/>
    </i>
    <i r="1">
      <x v="475"/>
    </i>
    <i r="1">
      <x v="593"/>
    </i>
    <i r="1">
      <x v="707"/>
    </i>
    <i r="1">
      <x v="825"/>
    </i>
    <i r="1">
      <x v="949"/>
    </i>
    <i r="1">
      <x v="1054"/>
    </i>
    <i r="1">
      <x v="1154"/>
    </i>
    <i r="1">
      <x v="1359"/>
    </i>
    <i r="1">
      <x v="1429"/>
    </i>
    <i r="1">
      <x v="1532"/>
    </i>
    <i r="1">
      <x v="1675"/>
    </i>
    <i>
      <x v="282"/>
    </i>
    <i r="1">
      <x v="486"/>
    </i>
    <i r="1">
      <x v="605"/>
    </i>
    <i r="1">
      <x v="726"/>
    </i>
    <i r="1">
      <x v="841"/>
    </i>
    <i r="1">
      <x v="955"/>
    </i>
    <i r="1">
      <x v="1059"/>
    </i>
    <i r="1">
      <x v="1167"/>
    </i>
    <i r="1">
      <x v="1366"/>
    </i>
    <i r="1">
      <x v="1533"/>
    </i>
    <i r="1">
      <x v="1675"/>
    </i>
    <i>
      <x v="283"/>
    </i>
    <i r="1">
      <x v="1582"/>
    </i>
    <i r="1">
      <x v="1583"/>
    </i>
    <i r="1">
      <x v="1584"/>
    </i>
    <i r="1">
      <x v="1585"/>
    </i>
    <i r="1">
      <x v="1586"/>
    </i>
    <i r="1">
      <x v="1587"/>
    </i>
    <i r="1">
      <x v="1588"/>
    </i>
    <i r="1">
      <x v="1589"/>
    </i>
    <i r="1">
      <x v="1593"/>
    </i>
    <i r="1">
      <x v="1594"/>
    </i>
    <i r="1">
      <x v="1660"/>
    </i>
    <i>
      <x v="284"/>
    </i>
    <i r="1">
      <x v="487"/>
    </i>
    <i r="1">
      <x v="606"/>
    </i>
    <i r="1">
      <x v="721"/>
    </i>
    <i r="1">
      <x v="842"/>
    </i>
    <i r="1">
      <x v="950"/>
    </i>
    <i r="1">
      <x v="1060"/>
    </i>
    <i r="1">
      <x v="1162"/>
    </i>
    <i r="1">
      <x v="1364"/>
    </i>
    <i r="1">
      <x v="1534"/>
    </i>
    <i r="1">
      <x v="1675"/>
    </i>
    <i>
      <x v="285"/>
    </i>
    <i r="1">
      <x v="608"/>
    </i>
    <i r="1">
      <x v="727"/>
    </i>
    <i r="1">
      <x v="846"/>
    </i>
    <i r="1">
      <x v="956"/>
    </i>
    <i r="1">
      <x v="1061"/>
    </i>
    <i r="1">
      <x v="1535"/>
    </i>
    <i>
      <x v="286"/>
    </i>
    <i r="1">
      <x v="621"/>
    </i>
    <i r="1">
      <x v="737"/>
    </i>
    <i r="1">
      <x v="850"/>
    </i>
    <i r="1">
      <x v="963"/>
    </i>
    <i r="1">
      <x v="1654"/>
    </i>
    <i>
      <x v="287"/>
    </i>
    <i r="1">
      <x v="498"/>
    </i>
    <i r="1">
      <x v="612"/>
    </i>
    <i r="1">
      <x v="728"/>
    </i>
    <i r="1">
      <x v="851"/>
    </i>
    <i r="1">
      <x v="964"/>
    </i>
    <i r="1">
      <x v="1062"/>
    </i>
    <i r="1">
      <x v="1172"/>
    </i>
    <i r="1">
      <x v="1370"/>
    </i>
    <i r="1">
      <x v="1536"/>
    </i>
    <i r="1">
      <x v="1675"/>
    </i>
    <i>
      <x v="288"/>
    </i>
    <i r="1">
      <x v="499"/>
    </i>
    <i r="1">
      <x v="613"/>
    </i>
    <i r="1">
      <x v="729"/>
    </i>
    <i r="1">
      <x v="852"/>
    </i>
    <i r="1">
      <x v="965"/>
    </i>
    <i r="1">
      <x v="1063"/>
    </i>
    <i r="1">
      <x v="1173"/>
    </i>
    <i r="1">
      <x v="1371"/>
    </i>
    <i r="1">
      <x v="1537"/>
    </i>
    <i r="1">
      <x v="1675"/>
    </i>
    <i>
      <x v="289"/>
    </i>
    <i r="1">
      <x v="527"/>
    </i>
    <i r="1">
      <x v="747"/>
    </i>
    <i r="1">
      <x v="748"/>
    </i>
    <i r="1">
      <x v="1629"/>
    </i>
    <i>
      <x v="290"/>
    </i>
    <i r="1">
      <x v="878"/>
    </i>
    <i r="1">
      <x v="988"/>
    </i>
    <i r="1">
      <x v="1104"/>
    </i>
    <i r="1">
      <x v="1320"/>
    </i>
    <i r="1">
      <x v="1387"/>
    </i>
    <i r="1">
      <x v="1538"/>
    </i>
    <i>
      <x v="291"/>
    </i>
    <i r="1">
      <x v="1090"/>
    </i>
    <i r="1">
      <x v="1191"/>
    </i>
    <i r="1">
      <x v="1382"/>
    </i>
    <i r="1">
      <x v="1565"/>
    </i>
    <i r="1">
      <x v="1595"/>
    </i>
    <i r="1">
      <x v="1611"/>
    </i>
    <i r="1">
      <x v="1661"/>
    </i>
    <i>
      <x v="292"/>
    </i>
    <i r="1">
      <x v="528"/>
    </i>
    <i r="1">
      <x v="628"/>
    </i>
    <i r="1">
      <x v="749"/>
    </i>
    <i r="1">
      <x v="1539"/>
    </i>
    <i r="1">
      <x v="1675"/>
    </i>
    <i>
      <x v="293"/>
    </i>
    <i r="1">
      <x v="529"/>
    </i>
    <i r="1">
      <x v="881"/>
    </i>
    <i r="1">
      <x v="994"/>
    </i>
    <i r="1">
      <x v="1114"/>
    </i>
    <i r="1">
      <x v="1540"/>
    </i>
    <i r="1">
      <x v="1675"/>
    </i>
    <i>
      <x v="294"/>
    </i>
    <i r="1">
      <x v="1612"/>
    </i>
    <i r="1">
      <x v="1663"/>
    </i>
    <i>
      <x v="295"/>
    </i>
    <i r="1">
      <x v="540"/>
    </i>
    <i r="1">
      <x v="659"/>
    </i>
    <i r="1">
      <x v="784"/>
    </i>
    <i r="1">
      <x v="894"/>
    </i>
    <i r="1">
      <x v="1003"/>
    </i>
    <i r="1">
      <x v="1115"/>
    </i>
    <i r="1">
      <x v="1333"/>
    </i>
    <i r="1">
      <x v="1398"/>
    </i>
    <i r="1">
      <x v="1541"/>
    </i>
    <i r="1">
      <x v="1675"/>
    </i>
    <i>
      <x v="296"/>
    </i>
    <i r="1">
      <x v="629"/>
    </i>
    <i r="1">
      <x v="868"/>
    </i>
    <i r="1">
      <x v="980"/>
    </i>
    <i r="1">
      <x v="1091"/>
    </i>
    <i r="1">
      <x v="1177"/>
    </i>
    <i r="1">
      <x v="1542"/>
    </i>
    <i r="1">
      <x v="1675"/>
    </i>
    <i>
      <x v="297"/>
    </i>
    <i r="1">
      <x v="554"/>
    </i>
    <i r="1">
      <x v="680"/>
    </i>
    <i r="1">
      <x v="796"/>
    </i>
    <i r="1">
      <x v="907"/>
    </i>
    <i r="1">
      <x v="1024"/>
    </i>
    <i r="1">
      <x v="1132"/>
    </i>
    <i r="1">
      <x v="1341"/>
    </i>
    <i r="1">
      <x v="1408"/>
    </i>
    <i r="1">
      <x v="1543"/>
    </i>
    <i>
      <x v="298"/>
    </i>
    <i r="1">
      <x v="1558"/>
    </i>
    <i r="1">
      <x v="1577"/>
    </i>
    <i r="1">
      <x v="1606"/>
    </i>
    <i r="1">
      <x v="1618"/>
    </i>
    <i r="1">
      <x v="1665"/>
    </i>
    <i>
      <x v="299"/>
    </i>
    <i r="1">
      <x v="507"/>
    </i>
    <i r="1">
      <x v="1284"/>
    </i>
    <i r="1">
      <x v="1675"/>
    </i>
    <i>
      <x v="300"/>
    </i>
    <i r="1">
      <x v="555"/>
    </i>
    <i r="1">
      <x v="681"/>
    </i>
    <i r="1">
      <x v="797"/>
    </i>
    <i r="1">
      <x v="908"/>
    </i>
    <i r="1">
      <x v="1025"/>
    </i>
    <i r="1">
      <x v="1133"/>
    </i>
    <i r="1">
      <x v="1292"/>
    </i>
    <i r="1">
      <x v="1675"/>
    </i>
    <i>
      <x v="301"/>
    </i>
    <i r="1">
      <x v="556"/>
    </i>
    <i r="1">
      <x v="682"/>
    </i>
    <i r="1">
      <x v="798"/>
    </i>
    <i r="1">
      <x v="909"/>
    </i>
    <i r="1">
      <x v="1026"/>
    </i>
    <i r="1">
      <x v="1134"/>
    </i>
    <i r="1">
      <x v="1342"/>
    </i>
    <i r="1">
      <x v="1409"/>
    </i>
    <i r="1">
      <x v="1544"/>
    </i>
    <i r="1">
      <x v="1675"/>
    </i>
    <i>
      <x v="302"/>
    </i>
    <i r="1">
      <x v="557"/>
    </i>
    <i r="1">
      <x v="683"/>
    </i>
    <i r="1">
      <x v="799"/>
    </i>
    <i r="1">
      <x v="902"/>
    </i>
    <i r="1">
      <x v="1019"/>
    </i>
    <i r="1">
      <x v="1135"/>
    </i>
    <i r="1">
      <x v="1343"/>
    </i>
    <i r="1">
      <x v="1407"/>
    </i>
    <i r="1">
      <x v="1624"/>
    </i>
    <i>
      <x v="303"/>
    </i>
    <i r="1">
      <x v="583"/>
    </i>
    <i r="1">
      <x v="703"/>
    </i>
    <i r="1">
      <x v="821"/>
    </i>
    <i r="1">
      <x v="936"/>
    </i>
    <i r="1">
      <x v="1046"/>
    </i>
    <i r="1">
      <x v="1148"/>
    </i>
    <i r="1">
      <x v="1290"/>
    </i>
    <i>
      <x v="304"/>
    </i>
    <i r="1">
      <x v="1421"/>
    </i>
    <i r="1">
      <x v="1572"/>
    </i>
    <i>
      <x v="305"/>
    </i>
    <i r="1">
      <x v="1356"/>
    </i>
    <i r="1">
      <x v="1427"/>
    </i>
    <i r="1">
      <x v="1576"/>
    </i>
    <i r="1">
      <x v="1602"/>
    </i>
    <i r="1">
      <x v="1628"/>
    </i>
    <i>
      <x v="306"/>
    </i>
    <i r="1">
      <x v="1330"/>
    </i>
    <i r="1">
      <x v="1675"/>
    </i>
    <i>
      <x v="307"/>
    </i>
    <i r="1">
      <x v="607"/>
    </i>
    <i r="1">
      <x v="730"/>
    </i>
    <i r="1">
      <x v="843"/>
    </i>
    <i r="1">
      <x v="957"/>
    </i>
    <i r="1">
      <x v="1631"/>
    </i>
    <i>
      <x v="308"/>
    </i>
    <i r="1">
      <x v="622"/>
    </i>
    <i r="1">
      <x v="738"/>
    </i>
    <i r="1">
      <x v="855"/>
    </i>
    <i r="1">
      <x v="966"/>
    </i>
    <i r="1">
      <x v="1092"/>
    </i>
    <i r="1">
      <x v="1178"/>
    </i>
    <i r="1">
      <x v="1293"/>
    </i>
    <i>
      <x v="309"/>
    </i>
    <i r="1">
      <x v="623"/>
    </i>
    <i r="1">
      <x v="739"/>
    </i>
    <i r="1">
      <x v="856"/>
    </i>
    <i r="1">
      <x v="967"/>
    </i>
    <i r="1">
      <x v="1093"/>
    </i>
    <i r="1">
      <x v="1179"/>
    </i>
    <i r="1">
      <x v="1377"/>
    </i>
    <i r="1">
      <x v="1545"/>
    </i>
    <i>
      <x v="310"/>
    </i>
    <i r="1">
      <x v="1566"/>
    </i>
    <i r="1">
      <x v="1596"/>
    </i>
    <i r="1">
      <x v="1637"/>
    </i>
    <i>
      <x v="311"/>
    </i>
    <i r="1">
      <x v="640"/>
    </i>
    <i r="1">
      <x v="758"/>
    </i>
    <i r="1">
      <x v="869"/>
    </i>
    <i r="1">
      <x v="1302"/>
    </i>
    <i r="1">
      <x v="1675"/>
    </i>
    <i>
      <x v="312"/>
    </i>
    <i r="1">
      <x v="768"/>
    </i>
    <i r="1">
      <x v="1321"/>
    </i>
    <i r="1">
      <x v="1388"/>
    </i>
    <i r="1">
      <x v="1546"/>
    </i>
    <i>
      <x v="313"/>
    </i>
    <i r="1">
      <x v="661"/>
    </i>
    <i r="1">
      <x v="1300"/>
    </i>
    <i r="1">
      <x v="1675"/>
    </i>
    <i>
      <x v="314"/>
    </i>
    <i r="1">
      <x v="1336"/>
    </i>
    <i r="1">
      <x v="1403"/>
    </i>
    <i r="1">
      <x v="1547"/>
    </i>
    <i>
      <x v="315"/>
    </i>
    <i r="1">
      <x v="800"/>
    </i>
    <i r="1">
      <x v="910"/>
    </i>
    <i r="1">
      <x v="1027"/>
    </i>
    <i r="1">
      <x v="1136"/>
    </i>
    <i r="1">
      <x v="1344"/>
    </i>
    <i r="1">
      <x v="1410"/>
    </i>
    <i r="1">
      <x v="1548"/>
    </i>
    <i>
      <x v="316"/>
    </i>
    <i r="1">
      <x v="708"/>
    </i>
    <i r="1">
      <x v="826"/>
    </i>
    <i r="1">
      <x v="951"/>
    </i>
    <i r="1">
      <x v="1652"/>
    </i>
    <i r="1">
      <x v="1675"/>
    </i>
    <i>
      <x v="317"/>
    </i>
    <i r="1">
      <x v="731"/>
    </i>
    <i r="1">
      <x v="958"/>
    </i>
    <i r="1">
      <x v="959"/>
    </i>
    <i r="1">
      <x v="1064"/>
    </i>
    <i r="1">
      <x v="1168"/>
    </i>
    <i r="1">
      <x v="1372"/>
    </i>
    <i r="1">
      <x v="1549"/>
    </i>
    <i>
      <x v="318"/>
    </i>
    <i r="1">
      <x v="732"/>
    </i>
    <i r="1">
      <x v="847"/>
    </i>
    <i r="1">
      <x v="960"/>
    </i>
    <i r="1">
      <x v="1065"/>
    </i>
    <i r="1">
      <x v="1169"/>
    </i>
    <i r="1">
      <x v="1373"/>
    </i>
    <i r="1">
      <x v="1550"/>
    </i>
    <i>
      <x v="319"/>
    </i>
    <i r="1">
      <x v="733"/>
    </i>
    <i r="1">
      <x v="1285"/>
    </i>
    <i>
      <x v="320"/>
    </i>
    <i r="1">
      <x v="740"/>
    </i>
    <i r="1">
      <x v="853"/>
    </i>
    <i r="1">
      <x v="968"/>
    </i>
    <i r="1">
      <x v="1066"/>
    </i>
    <i r="1">
      <x v="1180"/>
    </i>
    <i r="1">
      <x v="1280"/>
    </i>
    <i>
      <x v="321"/>
    </i>
    <i r="1">
      <x v="1067"/>
    </i>
    <i r="1">
      <x v="1181"/>
    </i>
    <i r="1">
      <x v="1378"/>
    </i>
    <i r="1">
      <x v="1561"/>
    </i>
    <i r="1">
      <x v="1590"/>
    </i>
    <i r="1">
      <x v="1609"/>
    </i>
    <i r="1">
      <x v="1635"/>
    </i>
    <i>
      <x v="322"/>
    </i>
    <i r="1">
      <x v="741"/>
    </i>
    <i r="1">
      <x v="854"/>
    </i>
    <i r="1">
      <x v="969"/>
    </i>
    <i r="1">
      <x v="1068"/>
    </i>
    <i r="1">
      <x v="1182"/>
    </i>
    <i r="1">
      <x v="1379"/>
    </i>
    <i r="1">
      <x v="1551"/>
    </i>
    <i r="1">
      <x v="1675"/>
    </i>
    <i>
      <x v="323"/>
    </i>
    <i r="1">
      <x v="750"/>
    </i>
    <i r="1">
      <x v="870"/>
    </i>
    <i r="1">
      <x v="981"/>
    </i>
    <i r="1">
      <x v="1094"/>
    </i>
    <i r="1">
      <x v="1192"/>
    </i>
    <i r="1">
      <x v="1383"/>
    </i>
    <i r="1">
      <x v="1552"/>
    </i>
    <i r="1">
      <x v="1675"/>
    </i>
    <i>
      <x v="324"/>
    </i>
    <i r="1">
      <x v="1613"/>
    </i>
    <i r="1">
      <x v="1658"/>
    </i>
    <i>
      <x v="325"/>
    </i>
    <i r="1">
      <x v="1116"/>
    </i>
    <i r="1">
      <x v="1327"/>
    </i>
    <i r="1">
      <x v="1395"/>
    </i>
    <i r="1">
      <x v="1569"/>
    </i>
    <i r="1">
      <x v="1597"/>
    </i>
    <i r="1">
      <x v="1614"/>
    </i>
    <i r="1">
      <x v="1656"/>
    </i>
    <i>
      <x v="326"/>
    </i>
    <i r="1">
      <x v="788"/>
    </i>
    <i r="1">
      <x v="1306"/>
    </i>
    <i>
      <x v="327"/>
    </i>
    <i r="1">
      <x v="1401"/>
    </i>
    <i r="1">
      <x v="1644"/>
    </i>
    <i>
      <x v="328"/>
    </i>
    <i r="1">
      <x v="1422"/>
    </i>
    <i r="1">
      <x v="1553"/>
    </i>
    <i>
      <x v="329"/>
    </i>
    <i r="1">
      <x v="1337"/>
    </i>
    <i r="1">
      <x v="1404"/>
    </i>
    <i r="1">
      <x v="1571"/>
    </i>
    <i r="1">
      <x v="1599"/>
    </i>
    <i r="1">
      <x v="1616"/>
    </i>
    <i r="1">
      <x v="1650"/>
    </i>
    <i>
      <x v="330"/>
    </i>
    <i r="1">
      <x v="844"/>
    </i>
    <i r="1">
      <x v="952"/>
    </i>
    <i r="1">
      <x v="1069"/>
    </i>
    <i r="1">
      <x v="1163"/>
    </i>
    <i r="1">
      <x v="1365"/>
    </i>
    <i r="1">
      <x v="1554"/>
    </i>
    <i r="1">
      <x v="1675"/>
    </i>
    <i>
      <x v="331"/>
    </i>
    <i r="1">
      <x v="816"/>
    </i>
    <i r="1">
      <x v="920"/>
    </i>
    <i r="1">
      <x v="1039"/>
    </i>
    <i r="1">
      <x v="1137"/>
    </i>
    <i r="1">
      <x v="1350"/>
    </i>
    <i r="1">
      <x v="1417"/>
    </i>
    <i r="1">
      <x v="1555"/>
    </i>
    <i>
      <x v="332"/>
    </i>
    <i r="1">
      <x v="1028"/>
    </i>
    <i r="1">
      <x v="1143"/>
    </i>
    <i r="1">
      <x v="1279"/>
    </i>
    <i>
      <x v="333"/>
    </i>
    <i r="1">
      <x v="871"/>
    </i>
    <i r="1">
      <x v="982"/>
    </i>
    <i r="1">
      <x v="1105"/>
    </i>
    <i r="1">
      <x v="1634"/>
    </i>
    <i r="1">
      <x v="1675"/>
    </i>
    <i>
      <x v="334"/>
    </i>
    <i r="1">
      <x v="895"/>
    </i>
    <i r="1">
      <x v="1004"/>
    </i>
    <i r="1">
      <x v="1117"/>
    </i>
    <i r="1">
      <x v="1328"/>
    </i>
    <i r="1">
      <x v="1399"/>
    </i>
    <i r="1">
      <x v="1556"/>
    </i>
    <i>
      <x v="335"/>
    </i>
    <i r="1">
      <x v="1005"/>
    </i>
    <i r="1">
      <x v="1557"/>
    </i>
    <i>
      <x v="336"/>
    </i>
    <i r="1">
      <x v="1164"/>
    </i>
    <i r="1">
      <x v="1363"/>
    </i>
    <i r="1">
      <x v="1559"/>
    </i>
    <i r="1">
      <x v="1578"/>
    </i>
    <i r="1">
      <x v="1607"/>
    </i>
    <i r="1">
      <x v="1619"/>
    </i>
    <i r="1">
      <x v="1662"/>
    </i>
    <i>
      <x v="337"/>
    </i>
    <i r="1">
      <x v="937"/>
    </i>
    <i r="1">
      <x v="1047"/>
    </i>
    <i r="1">
      <x v="1149"/>
    </i>
    <i r="1">
      <x v="1310"/>
    </i>
    <i>
      <x v="338"/>
    </i>
    <i r="1">
      <x v="1070"/>
    </i>
    <i r="1">
      <x v="1620"/>
    </i>
    <i r="1">
      <x v="1641"/>
    </i>
    <i>
      <x v="339"/>
    </i>
    <i r="1">
      <x v="1621"/>
    </i>
    <i r="1">
      <x v="1664"/>
    </i>
    <i>
      <x v="340"/>
    </i>
    <i r="1">
      <x v="1071"/>
    </i>
    <i r="1">
      <x v="1174"/>
    </i>
    <i r="1">
      <x v="1374"/>
    </i>
    <i r="1">
      <x v="1562"/>
    </i>
    <i r="1">
      <x v="1591"/>
    </i>
    <i r="1">
      <x v="1608"/>
    </i>
    <i r="1">
      <x v="1622"/>
    </i>
    <i r="1">
      <x v="1632"/>
    </i>
    <i>
      <x v="341"/>
    </i>
    <i r="1">
      <x v="1072"/>
    </i>
    <i r="1">
      <x v="1170"/>
    </i>
    <i r="1">
      <x v="1367"/>
    </i>
    <i r="1">
      <x v="1560"/>
    </i>
    <i r="1">
      <x v="1580"/>
    </i>
    <i r="1">
      <x v="1633"/>
    </i>
    <i>
      <x v="342"/>
    </i>
    <i r="1">
      <x v="1095"/>
    </i>
    <i r="1">
      <x v="1183"/>
    </i>
    <i r="1">
      <x v="1380"/>
    </i>
    <i r="1">
      <x v="1563"/>
    </i>
    <i r="1">
      <x v="1592"/>
    </i>
    <i r="1">
      <x v="1610"/>
    </i>
    <i r="1">
      <x v="1623"/>
    </i>
    <i r="1">
      <x v="1627"/>
    </i>
    <i>
      <x v="343"/>
    </i>
    <i r="1">
      <x v="1567"/>
    </i>
    <i r="1">
      <x v="1655"/>
    </i>
    <i>
      <x v="344"/>
    </i>
    <i r="1">
      <x v="1108"/>
    </i>
    <i r="1">
      <x v="1329"/>
    </i>
    <i r="1">
      <x v="1394"/>
    </i>
    <i r="1">
      <x v="1626"/>
    </i>
    <i>
      <x v="345"/>
    </i>
    <i r="1">
      <x v="1671"/>
    </i>
    <i r="1">
      <x v="1672"/>
    </i>
    <i r="1">
      <x v="1673"/>
    </i>
    <i r="1">
      <x v="1674"/>
    </i>
    <i t="grand">
      <x/>
    </i>
  </rowItems>
  <colItems count="1">
    <i/>
  </colItems>
  <dataFields count="1">
    <dataField name="Sum of Outstanding" fld="28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AC53-2A5B-4557-9D78-9EA60856E8D7}">
  <sheetPr filterMode="1"/>
  <dimension ref="A1:AL1740"/>
  <sheetViews>
    <sheetView topLeftCell="A2" workbookViewId="0">
      <selection activeCell="B1678" sqref="B27:B1678"/>
    </sheetView>
  </sheetViews>
  <sheetFormatPr defaultRowHeight="15" x14ac:dyDescent="0.25"/>
  <cols>
    <col min="1" max="1" width="5.42578125" bestFit="1" customWidth="1"/>
    <col min="2" max="2" width="37.5703125" bestFit="1" customWidth="1"/>
    <col min="3" max="3" width="37.42578125" bestFit="1" customWidth="1"/>
    <col min="4" max="4" width="20.7109375" bestFit="1" customWidth="1"/>
    <col min="5" max="5" width="7.42578125" bestFit="1" customWidth="1"/>
    <col min="6" max="6" width="10.7109375" bestFit="1" customWidth="1"/>
    <col min="7" max="7" width="11.28515625" bestFit="1" customWidth="1"/>
    <col min="8" max="9" width="10.7109375" bestFit="1" customWidth="1"/>
    <col min="10" max="10" width="125.140625" bestFit="1" customWidth="1"/>
    <col min="11" max="11" width="12.28515625" bestFit="1" customWidth="1"/>
    <col min="12" max="12" width="27.140625" bestFit="1" customWidth="1"/>
    <col min="13" max="13" width="12.5703125" bestFit="1" customWidth="1"/>
    <col min="14" max="15" width="20.28515625" bestFit="1" customWidth="1"/>
    <col min="16" max="16" width="6.85546875" bestFit="1" customWidth="1"/>
    <col min="17" max="17" width="15.42578125" bestFit="1" customWidth="1"/>
    <col min="18" max="18" width="7.28515625" bestFit="1" customWidth="1"/>
    <col min="19" max="19" width="4.7109375" bestFit="1" customWidth="1"/>
    <col min="20" max="20" width="30.28515625" bestFit="1" customWidth="1"/>
    <col min="21" max="21" width="11.5703125" bestFit="1" customWidth="1"/>
    <col min="22" max="22" width="8.7109375" bestFit="1" customWidth="1"/>
    <col min="23" max="23" width="6.7109375" bestFit="1" customWidth="1"/>
    <col min="24" max="24" width="7.140625" bestFit="1" customWidth="1"/>
    <col min="25" max="25" width="4.5703125" bestFit="1" customWidth="1"/>
    <col min="26" max="26" width="11.28515625" bestFit="1" customWidth="1"/>
    <col min="27" max="27" width="10.28515625" bestFit="1" customWidth="1"/>
    <col min="28" max="28" width="7.140625" bestFit="1" customWidth="1"/>
    <col min="29" max="29" width="10.7109375" bestFit="1" customWidth="1"/>
    <col min="30" max="30" width="7.42578125" bestFit="1" customWidth="1"/>
    <col min="31" max="31" width="8.7109375" bestFit="1" customWidth="1"/>
    <col min="32" max="32" width="11.7109375" bestFit="1" customWidth="1"/>
    <col min="33" max="33" width="20" bestFit="1" customWidth="1"/>
    <col min="34" max="34" width="13.28515625" bestFit="1" customWidth="1"/>
    <col min="35" max="35" width="18.140625" bestFit="1" customWidth="1"/>
    <col min="36" max="36" width="11.7109375" bestFit="1" customWidth="1"/>
    <col min="37" max="37" width="12.28515625" bestFit="1" customWidth="1"/>
    <col min="38" max="38" width="75.140625" bestFit="1" customWidth="1"/>
  </cols>
  <sheetData>
    <row r="1" spans="1:3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>
        <f>SUBTOTAL(9,AC3:AC1740)</f>
        <v>81176</v>
      </c>
      <c r="AD1" s="1"/>
      <c r="AE1" s="1"/>
      <c r="AF1" s="1"/>
      <c r="AG1" s="1"/>
      <c r="AH1" s="1"/>
      <c r="AI1" s="1"/>
      <c r="AJ1" s="1"/>
      <c r="AK1" s="1"/>
      <c r="AL1" s="1"/>
    </row>
    <row r="2" spans="1:38" x14ac:dyDescent="0.25">
      <c r="A2" s="8" t="s">
        <v>2026</v>
      </c>
      <c r="B2" s="8" t="s">
        <v>0</v>
      </c>
      <c r="C2" s="8" t="s">
        <v>1</v>
      </c>
      <c r="D2" s="8" t="s">
        <v>2027</v>
      </c>
      <c r="E2" s="8" t="s">
        <v>2028</v>
      </c>
      <c r="F2" s="8" t="s">
        <v>2029</v>
      </c>
      <c r="G2" s="8" t="s">
        <v>2030</v>
      </c>
      <c r="H2" s="8" t="s">
        <v>2031</v>
      </c>
      <c r="I2" s="8" t="s">
        <v>2032</v>
      </c>
      <c r="J2" s="8" t="s">
        <v>2033</v>
      </c>
      <c r="K2" s="8" t="s">
        <v>2034</v>
      </c>
      <c r="L2" s="8" t="s">
        <v>2035</v>
      </c>
      <c r="M2" s="8" t="s">
        <v>2036</v>
      </c>
      <c r="N2" s="8" t="s">
        <v>2037</v>
      </c>
      <c r="O2" s="8" t="s">
        <v>2038</v>
      </c>
      <c r="P2" s="8" t="s">
        <v>2039</v>
      </c>
      <c r="Q2" s="8" t="s">
        <v>2040</v>
      </c>
      <c r="R2" s="8" t="s">
        <v>2041</v>
      </c>
      <c r="S2" s="8" t="s">
        <v>2042</v>
      </c>
      <c r="T2" s="8" t="s">
        <v>2043</v>
      </c>
      <c r="U2" s="8" t="s">
        <v>2044</v>
      </c>
      <c r="V2" s="8" t="s">
        <v>2045</v>
      </c>
      <c r="W2" s="8" t="s">
        <v>2046</v>
      </c>
      <c r="X2" s="8" t="s">
        <v>2047</v>
      </c>
      <c r="Y2" s="8" t="s">
        <v>2048</v>
      </c>
      <c r="Z2" s="8" t="s">
        <v>2049</v>
      </c>
      <c r="AA2" s="8" t="s">
        <v>2050</v>
      </c>
      <c r="AB2" s="8" t="s">
        <v>2051</v>
      </c>
      <c r="AC2" s="8" t="s">
        <v>2052</v>
      </c>
      <c r="AD2" s="8" t="s">
        <v>2053</v>
      </c>
      <c r="AE2" s="8" t="s">
        <v>2054</v>
      </c>
      <c r="AF2" s="8" t="s">
        <v>2055</v>
      </c>
      <c r="AG2" s="8" t="s">
        <v>2056</v>
      </c>
      <c r="AH2" s="8" t="s">
        <v>2057</v>
      </c>
      <c r="AI2" s="8" t="s">
        <v>2058</v>
      </c>
      <c r="AJ2" s="8" t="s">
        <v>2059</v>
      </c>
      <c r="AK2" s="8" t="s">
        <v>2060</v>
      </c>
      <c r="AL2" s="8" t="s">
        <v>2061</v>
      </c>
    </row>
    <row r="3" spans="1:38" hidden="1" x14ac:dyDescent="0.25">
      <c r="A3" s="2">
        <v>2</v>
      </c>
      <c r="B3" s="1" t="s">
        <v>11</v>
      </c>
      <c r="C3" s="1" t="s">
        <v>12</v>
      </c>
      <c r="D3" s="1" t="s">
        <v>2062</v>
      </c>
      <c r="E3" s="1" t="s">
        <v>2063</v>
      </c>
      <c r="F3" s="3">
        <v>44552</v>
      </c>
      <c r="G3" s="3">
        <v>44460</v>
      </c>
      <c r="H3" s="3">
        <v>44824</v>
      </c>
      <c r="I3" s="1" t="s">
        <v>2064</v>
      </c>
      <c r="J3" s="1" t="s">
        <v>2065</v>
      </c>
      <c r="K3" s="1"/>
      <c r="L3" s="1" t="s">
        <v>2066</v>
      </c>
      <c r="M3" s="1" t="s">
        <v>2067</v>
      </c>
      <c r="N3" s="1" t="s">
        <v>2068</v>
      </c>
      <c r="O3" s="1" t="s">
        <v>2069</v>
      </c>
      <c r="P3" s="1" t="s">
        <v>2070</v>
      </c>
      <c r="Q3" s="1" t="s">
        <v>2071</v>
      </c>
      <c r="R3" s="1"/>
      <c r="S3" s="1" t="s">
        <v>2072</v>
      </c>
      <c r="T3" s="1" t="s">
        <v>2073</v>
      </c>
      <c r="U3" s="4">
        <v>1900000</v>
      </c>
      <c r="V3" s="4">
        <v>1956</v>
      </c>
      <c r="W3" s="4">
        <v>20</v>
      </c>
      <c r="X3" s="4">
        <v>255</v>
      </c>
      <c r="Y3" s="4">
        <v>0</v>
      </c>
      <c r="Z3" s="5">
        <v>2231</v>
      </c>
      <c r="AA3" s="5">
        <v>0</v>
      </c>
      <c r="AB3" s="6">
        <v>0</v>
      </c>
      <c r="AC3" s="4">
        <v>2231</v>
      </c>
      <c r="AD3" s="4">
        <v>0</v>
      </c>
      <c r="AE3" s="4">
        <v>2231</v>
      </c>
      <c r="AF3" s="1"/>
      <c r="AG3" s="1"/>
      <c r="AH3" s="1"/>
      <c r="AI3" s="1"/>
      <c r="AJ3" s="1"/>
      <c r="AK3" s="1"/>
      <c r="AL3" s="1" t="s">
        <v>2074</v>
      </c>
    </row>
    <row r="4" spans="1:38" hidden="1" x14ac:dyDescent="0.25">
      <c r="A4" s="2">
        <v>3</v>
      </c>
      <c r="B4" s="1" t="s">
        <v>11</v>
      </c>
      <c r="C4" s="1" t="s">
        <v>13</v>
      </c>
      <c r="D4" s="1" t="s">
        <v>2062</v>
      </c>
      <c r="E4" s="1" t="s">
        <v>2063</v>
      </c>
      <c r="F4" s="3">
        <v>45596</v>
      </c>
      <c r="G4" s="3">
        <v>44460</v>
      </c>
      <c r="H4" s="3">
        <v>44824</v>
      </c>
      <c r="I4" s="1" t="s">
        <v>2064</v>
      </c>
      <c r="J4" s="1" t="s">
        <v>2065</v>
      </c>
      <c r="K4" s="1"/>
      <c r="L4" s="1" t="s">
        <v>2066</v>
      </c>
      <c r="M4" s="1" t="s">
        <v>2067</v>
      </c>
      <c r="N4" s="1" t="s">
        <v>2068</v>
      </c>
      <c r="O4" s="1" t="s">
        <v>2069</v>
      </c>
      <c r="P4" s="1" t="s">
        <v>2070</v>
      </c>
      <c r="Q4" s="1" t="s">
        <v>2071</v>
      </c>
      <c r="R4" s="1"/>
      <c r="S4" s="1" t="s">
        <v>2072</v>
      </c>
      <c r="T4" s="1" t="s">
        <v>2073</v>
      </c>
      <c r="U4" s="4">
        <v>-1</v>
      </c>
      <c r="V4" s="4">
        <v>-2209</v>
      </c>
      <c r="W4" s="4">
        <v>-22</v>
      </c>
      <c r="X4" s="4">
        <v>0</v>
      </c>
      <c r="Y4" s="4">
        <v>0</v>
      </c>
      <c r="Z4" s="5">
        <v>-2231</v>
      </c>
      <c r="AA4" s="5">
        <v>0</v>
      </c>
      <c r="AB4" s="6">
        <v>0</v>
      </c>
      <c r="AC4" s="4">
        <v>-2231</v>
      </c>
      <c r="AD4" s="4">
        <v>0</v>
      </c>
      <c r="AE4" s="4">
        <v>-2231</v>
      </c>
      <c r="AF4" s="1"/>
      <c r="AG4" s="1"/>
      <c r="AH4" s="1"/>
      <c r="AI4" s="1"/>
      <c r="AJ4" s="1"/>
      <c r="AK4" s="1"/>
      <c r="AL4" s="1"/>
    </row>
    <row r="5" spans="1:38" hidden="1" x14ac:dyDescent="0.25">
      <c r="A5" s="2">
        <v>4</v>
      </c>
      <c r="B5" s="1" t="s">
        <v>14</v>
      </c>
      <c r="C5" s="1" t="s">
        <v>15</v>
      </c>
      <c r="D5" s="1" t="s">
        <v>2062</v>
      </c>
      <c r="E5" s="1" t="s">
        <v>2063</v>
      </c>
      <c r="F5" s="3">
        <v>44592</v>
      </c>
      <c r="G5" s="3">
        <v>44508</v>
      </c>
      <c r="H5" s="3">
        <v>44872</v>
      </c>
      <c r="I5" s="1" t="s">
        <v>2075</v>
      </c>
      <c r="J5" s="1" t="s">
        <v>2076</v>
      </c>
      <c r="K5" s="1"/>
      <c r="L5" s="1" t="s">
        <v>2077</v>
      </c>
      <c r="M5" s="1" t="s">
        <v>2078</v>
      </c>
      <c r="N5" s="1" t="s">
        <v>2079</v>
      </c>
      <c r="O5" s="1" t="s">
        <v>2080</v>
      </c>
      <c r="P5" s="1" t="s">
        <v>2081</v>
      </c>
      <c r="Q5" s="1" t="s">
        <v>2082</v>
      </c>
      <c r="R5" s="1"/>
      <c r="S5" s="1" t="s">
        <v>2072</v>
      </c>
      <c r="T5" s="1" t="s">
        <v>2073</v>
      </c>
      <c r="U5" s="4">
        <v>1400000</v>
      </c>
      <c r="V5" s="4">
        <v>2436</v>
      </c>
      <c r="W5" s="4">
        <v>25</v>
      </c>
      <c r="X5" s="4">
        <v>316</v>
      </c>
      <c r="Y5" s="4">
        <v>0</v>
      </c>
      <c r="Z5" s="5">
        <v>2777</v>
      </c>
      <c r="AA5" s="5">
        <v>813</v>
      </c>
      <c r="AB5" s="6">
        <v>0</v>
      </c>
      <c r="AC5" s="4">
        <v>1964</v>
      </c>
      <c r="AD5" s="4">
        <v>0</v>
      </c>
      <c r="AE5" s="4">
        <v>1964</v>
      </c>
      <c r="AF5" s="1"/>
      <c r="AG5" s="1"/>
      <c r="AH5" s="1"/>
      <c r="AI5" s="1"/>
      <c r="AJ5" s="1"/>
      <c r="AK5" s="1"/>
      <c r="AL5" s="1"/>
    </row>
    <row r="6" spans="1:38" hidden="1" x14ac:dyDescent="0.25">
      <c r="A6" s="2">
        <v>5</v>
      </c>
      <c r="B6" s="1" t="s">
        <v>14</v>
      </c>
      <c r="C6" s="1" t="s">
        <v>16</v>
      </c>
      <c r="D6" s="1" t="s">
        <v>2062</v>
      </c>
      <c r="E6" s="1" t="s">
        <v>2063</v>
      </c>
      <c r="F6" s="3">
        <v>44845</v>
      </c>
      <c r="G6" s="3">
        <v>44508</v>
      </c>
      <c r="H6" s="3">
        <v>44872</v>
      </c>
      <c r="I6" s="1" t="s">
        <v>2075</v>
      </c>
      <c r="J6" s="1" t="s">
        <v>2076</v>
      </c>
      <c r="K6" s="1"/>
      <c r="L6" s="1" t="s">
        <v>2077</v>
      </c>
      <c r="M6" s="1" t="s">
        <v>2078</v>
      </c>
      <c r="N6" s="1" t="s">
        <v>2079</v>
      </c>
      <c r="O6" s="1" t="s">
        <v>2080</v>
      </c>
      <c r="P6" s="1" t="s">
        <v>2081</v>
      </c>
      <c r="Q6" s="1" t="s">
        <v>2082</v>
      </c>
      <c r="R6" s="1"/>
      <c r="S6" s="1" t="s">
        <v>2072</v>
      </c>
      <c r="T6" s="1" t="s">
        <v>2073</v>
      </c>
      <c r="U6" s="4">
        <v>1400000</v>
      </c>
      <c r="V6" s="4">
        <v>1124</v>
      </c>
      <c r="W6" s="4">
        <v>12</v>
      </c>
      <c r="X6" s="4">
        <v>146</v>
      </c>
      <c r="Y6" s="4">
        <v>0</v>
      </c>
      <c r="Z6" s="5">
        <v>1282</v>
      </c>
      <c r="AA6" s="5">
        <v>0</v>
      </c>
      <c r="AB6" s="6">
        <v>0</v>
      </c>
      <c r="AC6" s="4">
        <v>1282</v>
      </c>
      <c r="AD6" s="4">
        <v>0</v>
      </c>
      <c r="AE6" s="4">
        <v>1282</v>
      </c>
      <c r="AF6" s="1"/>
      <c r="AG6" s="1"/>
      <c r="AH6" s="1"/>
      <c r="AI6" s="1"/>
      <c r="AJ6" s="6">
        <v>2106.4182090347349</v>
      </c>
      <c r="AK6" s="6">
        <v>1327.8243493516572</v>
      </c>
      <c r="AL6" s="1"/>
    </row>
    <row r="7" spans="1:38" hidden="1" x14ac:dyDescent="0.25">
      <c r="A7" s="2">
        <v>6</v>
      </c>
      <c r="B7" s="1" t="s">
        <v>14</v>
      </c>
      <c r="C7" s="1" t="s">
        <v>17</v>
      </c>
      <c r="D7" s="1" t="s">
        <v>2062</v>
      </c>
      <c r="E7" s="1" t="s">
        <v>2063</v>
      </c>
      <c r="F7" s="3">
        <v>45596</v>
      </c>
      <c r="G7" s="3">
        <v>44508</v>
      </c>
      <c r="H7" s="3">
        <v>44872</v>
      </c>
      <c r="I7" s="1" t="s">
        <v>2075</v>
      </c>
      <c r="J7" s="1" t="s">
        <v>2076</v>
      </c>
      <c r="K7" s="1"/>
      <c r="L7" s="1" t="s">
        <v>2077</v>
      </c>
      <c r="M7" s="1" t="s">
        <v>2078</v>
      </c>
      <c r="N7" s="1" t="s">
        <v>2079</v>
      </c>
      <c r="O7" s="1" t="s">
        <v>2080</v>
      </c>
      <c r="P7" s="1" t="s">
        <v>2081</v>
      </c>
      <c r="Q7" s="1" t="s">
        <v>2082</v>
      </c>
      <c r="R7" s="1"/>
      <c r="S7" s="1" t="s">
        <v>2072</v>
      </c>
      <c r="T7" s="1" t="s">
        <v>2073</v>
      </c>
      <c r="U7" s="4">
        <v>-1</v>
      </c>
      <c r="V7" s="4">
        <v>-3214</v>
      </c>
      <c r="W7" s="4">
        <v>-32</v>
      </c>
      <c r="X7" s="4">
        <v>0</v>
      </c>
      <c r="Y7" s="4">
        <v>0</v>
      </c>
      <c r="Z7" s="5">
        <v>-3246</v>
      </c>
      <c r="AA7" s="5">
        <v>0</v>
      </c>
      <c r="AB7" s="6">
        <v>0</v>
      </c>
      <c r="AC7" s="4">
        <v>-3246</v>
      </c>
      <c r="AD7" s="4">
        <v>0</v>
      </c>
      <c r="AE7" s="4">
        <v>-3246</v>
      </c>
      <c r="AF7" s="1"/>
      <c r="AG7" s="1"/>
      <c r="AH7" s="1"/>
      <c r="AI7" s="1"/>
      <c r="AJ7" s="1"/>
      <c r="AK7" s="1"/>
      <c r="AL7" s="1"/>
    </row>
    <row r="8" spans="1:38" hidden="1" x14ac:dyDescent="0.25">
      <c r="A8" s="2">
        <v>7</v>
      </c>
      <c r="B8" s="1" t="s">
        <v>18</v>
      </c>
      <c r="C8" s="1" t="s">
        <v>19</v>
      </c>
      <c r="D8" s="1" t="s">
        <v>2062</v>
      </c>
      <c r="E8" s="1" t="s">
        <v>2063</v>
      </c>
      <c r="F8" s="3">
        <v>44542</v>
      </c>
      <c r="G8" s="3">
        <v>44511</v>
      </c>
      <c r="H8" s="3">
        <v>44875</v>
      </c>
      <c r="I8" s="1" t="s">
        <v>2083</v>
      </c>
      <c r="J8" s="1" t="s">
        <v>2084</v>
      </c>
      <c r="K8" s="1"/>
      <c r="L8" s="1" t="s">
        <v>2085</v>
      </c>
      <c r="M8" s="1"/>
      <c r="N8" s="1" t="s">
        <v>2086</v>
      </c>
      <c r="O8" s="1" t="s">
        <v>2087</v>
      </c>
      <c r="P8" s="1" t="s">
        <v>2088</v>
      </c>
      <c r="Q8" s="1"/>
      <c r="R8" s="1"/>
      <c r="S8" s="1" t="s">
        <v>2072</v>
      </c>
      <c r="T8" s="1" t="s">
        <v>2089</v>
      </c>
      <c r="U8" s="4">
        <v>3899000</v>
      </c>
      <c r="V8" s="4">
        <v>4533</v>
      </c>
      <c r="W8" s="4">
        <v>46</v>
      </c>
      <c r="X8" s="4">
        <v>590</v>
      </c>
      <c r="Y8" s="4">
        <v>0</v>
      </c>
      <c r="Z8" s="5">
        <v>5169</v>
      </c>
      <c r="AA8" s="5">
        <v>0</v>
      </c>
      <c r="AB8" s="6">
        <v>0</v>
      </c>
      <c r="AC8" s="4">
        <v>5169</v>
      </c>
      <c r="AD8" s="4">
        <v>0</v>
      </c>
      <c r="AE8" s="4">
        <v>5169</v>
      </c>
      <c r="AF8" s="1"/>
      <c r="AG8" s="1"/>
      <c r="AH8" s="1"/>
      <c r="AI8" s="1"/>
      <c r="AJ8" s="1"/>
      <c r="AK8" s="1"/>
      <c r="AL8" s="1"/>
    </row>
    <row r="9" spans="1:38" hidden="1" x14ac:dyDescent="0.25">
      <c r="A9" s="2">
        <v>8</v>
      </c>
      <c r="B9" s="1" t="s">
        <v>18</v>
      </c>
      <c r="C9" s="1" t="s">
        <v>20</v>
      </c>
      <c r="D9" s="1" t="s">
        <v>2062</v>
      </c>
      <c r="E9" s="1" t="s">
        <v>2063</v>
      </c>
      <c r="F9" s="3">
        <v>44845</v>
      </c>
      <c r="G9" s="3">
        <v>44511</v>
      </c>
      <c r="H9" s="3">
        <v>44875</v>
      </c>
      <c r="I9" s="1" t="s">
        <v>2083</v>
      </c>
      <c r="J9" s="1" t="s">
        <v>2084</v>
      </c>
      <c r="K9" s="1"/>
      <c r="L9" s="1" t="s">
        <v>2085</v>
      </c>
      <c r="M9" s="1"/>
      <c r="N9" s="1" t="s">
        <v>2086</v>
      </c>
      <c r="O9" s="1" t="s">
        <v>2087</v>
      </c>
      <c r="P9" s="1" t="s">
        <v>2088</v>
      </c>
      <c r="Q9" s="1"/>
      <c r="R9" s="1"/>
      <c r="S9" s="1" t="s">
        <v>2072</v>
      </c>
      <c r="T9" s="1" t="s">
        <v>2089</v>
      </c>
      <c r="U9" s="4">
        <v>3899000</v>
      </c>
      <c r="V9" s="4">
        <v>3613</v>
      </c>
      <c r="W9" s="4">
        <v>36</v>
      </c>
      <c r="X9" s="4">
        <v>469</v>
      </c>
      <c r="Y9" s="4">
        <v>0</v>
      </c>
      <c r="Z9" s="5">
        <v>4118</v>
      </c>
      <c r="AA9" s="5">
        <v>0</v>
      </c>
      <c r="AB9" s="6">
        <v>0</v>
      </c>
      <c r="AC9" s="4">
        <v>4118</v>
      </c>
      <c r="AD9" s="4">
        <v>0</v>
      </c>
      <c r="AE9" s="4">
        <v>4118</v>
      </c>
      <c r="AF9" s="1"/>
      <c r="AG9" s="1"/>
      <c r="AH9" s="1"/>
      <c r="AI9" s="1"/>
      <c r="AJ9" s="6">
        <v>1835.003593800019</v>
      </c>
      <c r="AK9" s="6">
        <v>1534.1142035302619</v>
      </c>
      <c r="AL9" s="1"/>
    </row>
    <row r="10" spans="1:38" hidden="1" x14ac:dyDescent="0.25">
      <c r="A10" s="2">
        <v>9</v>
      </c>
      <c r="B10" s="1" t="s">
        <v>18</v>
      </c>
      <c r="C10" s="1" t="s">
        <v>21</v>
      </c>
      <c r="D10" s="1" t="s">
        <v>2062</v>
      </c>
      <c r="E10" s="1" t="s">
        <v>2063</v>
      </c>
      <c r="F10" s="3">
        <v>45596</v>
      </c>
      <c r="G10" s="3">
        <v>44511</v>
      </c>
      <c r="H10" s="3">
        <v>44875</v>
      </c>
      <c r="I10" s="1" t="s">
        <v>2083</v>
      </c>
      <c r="J10" s="1" t="s">
        <v>2084</v>
      </c>
      <c r="K10" s="1"/>
      <c r="L10" s="1" t="s">
        <v>2085</v>
      </c>
      <c r="M10" s="1"/>
      <c r="N10" s="1" t="s">
        <v>2086</v>
      </c>
      <c r="O10" s="1" t="s">
        <v>2087</v>
      </c>
      <c r="P10" s="1" t="s">
        <v>2088</v>
      </c>
      <c r="Q10" s="1"/>
      <c r="R10" s="1"/>
      <c r="S10" s="1" t="s">
        <v>2072</v>
      </c>
      <c r="T10" s="1" t="s">
        <v>2089</v>
      </c>
      <c r="U10" s="4">
        <v>-1</v>
      </c>
      <c r="V10" s="4">
        <v>-9195</v>
      </c>
      <c r="W10" s="4">
        <v>-92</v>
      </c>
      <c r="X10" s="4">
        <v>0</v>
      </c>
      <c r="Y10" s="4">
        <v>0</v>
      </c>
      <c r="Z10" s="5">
        <v>-9287</v>
      </c>
      <c r="AA10" s="5">
        <v>0</v>
      </c>
      <c r="AB10" s="6">
        <v>0</v>
      </c>
      <c r="AC10" s="4">
        <v>-9287</v>
      </c>
      <c r="AD10" s="4">
        <v>0</v>
      </c>
      <c r="AE10" s="4">
        <v>-9287</v>
      </c>
      <c r="AF10" s="1"/>
      <c r="AG10" s="1"/>
      <c r="AH10" s="1"/>
      <c r="AI10" s="1"/>
      <c r="AJ10" s="1"/>
      <c r="AK10" s="1"/>
      <c r="AL10" s="1"/>
    </row>
    <row r="11" spans="1:38" hidden="1" x14ac:dyDescent="0.25">
      <c r="A11" s="2">
        <v>10</v>
      </c>
      <c r="B11" s="1" t="s">
        <v>22</v>
      </c>
      <c r="C11" s="1" t="s">
        <v>23</v>
      </c>
      <c r="D11" s="1" t="s">
        <v>2062</v>
      </c>
      <c r="E11" s="1" t="s">
        <v>2063</v>
      </c>
      <c r="F11" s="3">
        <v>44867</v>
      </c>
      <c r="G11" s="3">
        <v>44518</v>
      </c>
      <c r="H11" s="3">
        <v>44882</v>
      </c>
      <c r="I11" s="1" t="s">
        <v>2090</v>
      </c>
      <c r="J11" s="1" t="s">
        <v>2091</v>
      </c>
      <c r="K11" s="1"/>
      <c r="L11" s="1" t="s">
        <v>2092</v>
      </c>
      <c r="M11" s="1"/>
      <c r="N11" s="1" t="s">
        <v>2093</v>
      </c>
      <c r="O11" s="1" t="s">
        <v>2094</v>
      </c>
      <c r="P11" s="1" t="s">
        <v>2095</v>
      </c>
      <c r="Q11" s="1"/>
      <c r="R11" s="1"/>
      <c r="S11" s="1" t="s">
        <v>2072</v>
      </c>
      <c r="T11" s="1" t="s">
        <v>2096</v>
      </c>
      <c r="U11" s="4">
        <v>1950000</v>
      </c>
      <c r="V11" s="4">
        <v>889</v>
      </c>
      <c r="W11" s="4">
        <v>9</v>
      </c>
      <c r="X11" s="4">
        <v>115</v>
      </c>
      <c r="Y11" s="4">
        <v>0</v>
      </c>
      <c r="Z11" s="5">
        <v>1013</v>
      </c>
      <c r="AA11" s="5">
        <v>0</v>
      </c>
      <c r="AB11" s="6">
        <v>0</v>
      </c>
      <c r="AC11" s="4">
        <v>1013</v>
      </c>
      <c r="AD11" s="4">
        <v>0</v>
      </c>
      <c r="AE11" s="4">
        <v>1013</v>
      </c>
      <c r="AF11" s="1"/>
      <c r="AG11" s="1"/>
      <c r="AH11" s="1"/>
      <c r="AI11" s="1"/>
      <c r="AJ11" s="6">
        <v>828.16020109960402</v>
      </c>
      <c r="AK11" s="6">
        <v>755.80090351037109</v>
      </c>
      <c r="AL11" s="1"/>
    </row>
    <row r="12" spans="1:38" hidden="1" x14ac:dyDescent="0.25">
      <c r="A12" s="2">
        <v>11</v>
      </c>
      <c r="B12" s="1" t="s">
        <v>22</v>
      </c>
      <c r="C12" s="1" t="s">
        <v>24</v>
      </c>
      <c r="D12" s="1" t="s">
        <v>2062</v>
      </c>
      <c r="E12" s="1" t="s">
        <v>2063</v>
      </c>
      <c r="F12" s="3">
        <v>45596</v>
      </c>
      <c r="G12" s="3">
        <v>44518</v>
      </c>
      <c r="H12" s="3">
        <v>44882</v>
      </c>
      <c r="I12" s="1" t="s">
        <v>2090</v>
      </c>
      <c r="J12" s="1" t="s">
        <v>2091</v>
      </c>
      <c r="K12" s="1"/>
      <c r="L12" s="1" t="s">
        <v>2092</v>
      </c>
      <c r="M12" s="1"/>
      <c r="N12" s="1" t="s">
        <v>2093</v>
      </c>
      <c r="O12" s="1" t="s">
        <v>2094</v>
      </c>
      <c r="P12" s="1" t="s">
        <v>2095</v>
      </c>
      <c r="Q12" s="1"/>
      <c r="R12" s="1"/>
      <c r="S12" s="1" t="s">
        <v>2072</v>
      </c>
      <c r="T12" s="1" t="s">
        <v>2096</v>
      </c>
      <c r="U12" s="4">
        <v>-1</v>
      </c>
      <c r="V12" s="4">
        <v>-1003</v>
      </c>
      <c r="W12" s="4">
        <v>-10</v>
      </c>
      <c r="X12" s="4">
        <v>0</v>
      </c>
      <c r="Y12" s="4">
        <v>0</v>
      </c>
      <c r="Z12" s="5">
        <v>-1013</v>
      </c>
      <c r="AA12" s="5">
        <v>0</v>
      </c>
      <c r="AB12" s="6">
        <v>0</v>
      </c>
      <c r="AC12" s="4">
        <v>-1013</v>
      </c>
      <c r="AD12" s="4">
        <v>0</v>
      </c>
      <c r="AE12" s="4">
        <v>-1013</v>
      </c>
      <c r="AF12" s="1"/>
      <c r="AG12" s="1"/>
      <c r="AH12" s="1"/>
      <c r="AI12" s="1"/>
      <c r="AJ12" s="1"/>
      <c r="AK12" s="1"/>
      <c r="AL12" s="1"/>
    </row>
    <row r="13" spans="1:38" hidden="1" x14ac:dyDescent="0.25">
      <c r="A13" s="2">
        <v>20</v>
      </c>
      <c r="B13" s="1" t="s">
        <v>25</v>
      </c>
      <c r="C13" s="1" t="s">
        <v>26</v>
      </c>
      <c r="D13" s="1" t="s">
        <v>2062</v>
      </c>
      <c r="E13" s="1" t="s">
        <v>2063</v>
      </c>
      <c r="F13" s="3">
        <v>44597</v>
      </c>
      <c r="G13" s="3">
        <v>44565</v>
      </c>
      <c r="H13" s="3">
        <v>44929</v>
      </c>
      <c r="I13" s="1" t="s">
        <v>2097</v>
      </c>
      <c r="J13" s="1" t="s">
        <v>2098</v>
      </c>
      <c r="K13" s="1"/>
      <c r="L13" s="1" t="s">
        <v>2099</v>
      </c>
      <c r="M13" s="1" t="s">
        <v>2100</v>
      </c>
      <c r="N13" s="1" t="s">
        <v>2101</v>
      </c>
      <c r="O13" s="1" t="s">
        <v>2102</v>
      </c>
      <c r="P13" s="1" t="s">
        <v>2103</v>
      </c>
      <c r="Q13" s="1"/>
      <c r="R13" s="1"/>
      <c r="S13" s="1" t="s">
        <v>2072</v>
      </c>
      <c r="T13" s="1" t="s">
        <v>2073</v>
      </c>
      <c r="U13" s="4">
        <v>1400000</v>
      </c>
      <c r="V13" s="4">
        <v>92</v>
      </c>
      <c r="W13" s="4">
        <v>1</v>
      </c>
      <c r="X13" s="4">
        <v>12</v>
      </c>
      <c r="Y13" s="4">
        <v>0</v>
      </c>
      <c r="Z13" s="5">
        <v>105</v>
      </c>
      <c r="AA13" s="5">
        <v>0</v>
      </c>
      <c r="AB13" s="6">
        <v>0</v>
      </c>
      <c r="AC13" s="4">
        <v>105</v>
      </c>
      <c r="AD13" s="4">
        <v>0</v>
      </c>
      <c r="AE13" s="4">
        <v>105</v>
      </c>
      <c r="AF13" s="1"/>
      <c r="AG13" s="1"/>
      <c r="AH13" s="1"/>
      <c r="AI13" s="1"/>
      <c r="AJ13" s="1"/>
      <c r="AK13" s="1"/>
      <c r="AL13" s="1" t="s">
        <v>2104</v>
      </c>
    </row>
    <row r="14" spans="1:38" hidden="1" x14ac:dyDescent="0.25">
      <c r="A14" s="2">
        <v>21</v>
      </c>
      <c r="B14" s="1" t="s">
        <v>25</v>
      </c>
      <c r="C14" s="1" t="s">
        <v>27</v>
      </c>
      <c r="D14" s="1" t="s">
        <v>2062</v>
      </c>
      <c r="E14" s="1" t="s">
        <v>2063</v>
      </c>
      <c r="F14" s="3">
        <v>44687</v>
      </c>
      <c r="G14" s="3">
        <v>44565</v>
      </c>
      <c r="H14" s="3">
        <v>44929</v>
      </c>
      <c r="I14" s="1" t="s">
        <v>2097</v>
      </c>
      <c r="J14" s="1" t="s">
        <v>2098</v>
      </c>
      <c r="K14" s="1"/>
      <c r="L14" s="1" t="s">
        <v>2099</v>
      </c>
      <c r="M14" s="1" t="s">
        <v>2100</v>
      </c>
      <c r="N14" s="1" t="s">
        <v>2101</v>
      </c>
      <c r="O14" s="1" t="s">
        <v>2102</v>
      </c>
      <c r="P14" s="1" t="s">
        <v>2103</v>
      </c>
      <c r="Q14" s="1"/>
      <c r="R14" s="1"/>
      <c r="S14" s="1" t="s">
        <v>2072</v>
      </c>
      <c r="T14" s="1" t="s">
        <v>2073</v>
      </c>
      <c r="U14" s="4">
        <v>1400000</v>
      </c>
      <c r="V14" s="4">
        <v>1081</v>
      </c>
      <c r="W14" s="4">
        <v>11</v>
      </c>
      <c r="X14" s="4">
        <v>140</v>
      </c>
      <c r="Y14" s="4">
        <v>0</v>
      </c>
      <c r="Z14" s="5">
        <v>1232</v>
      </c>
      <c r="AA14" s="5">
        <v>0</v>
      </c>
      <c r="AB14" s="6">
        <v>0</v>
      </c>
      <c r="AC14" s="4">
        <v>1232</v>
      </c>
      <c r="AD14" s="4">
        <v>0</v>
      </c>
      <c r="AE14" s="4">
        <v>1232</v>
      </c>
      <c r="AF14" s="1"/>
      <c r="AG14" s="1"/>
      <c r="AH14" s="1"/>
      <c r="AI14" s="1"/>
      <c r="AJ14" s="1"/>
      <c r="AK14" s="1"/>
      <c r="AL14" s="1" t="s">
        <v>2104</v>
      </c>
    </row>
    <row r="15" spans="1:38" hidden="1" x14ac:dyDescent="0.25">
      <c r="A15" s="2">
        <v>22</v>
      </c>
      <c r="B15" s="1" t="s">
        <v>25</v>
      </c>
      <c r="C15" s="1" t="s">
        <v>28</v>
      </c>
      <c r="D15" s="1" t="s">
        <v>2062</v>
      </c>
      <c r="E15" s="1" t="s">
        <v>2063</v>
      </c>
      <c r="F15" s="3">
        <v>44687</v>
      </c>
      <c r="G15" s="3">
        <v>44565</v>
      </c>
      <c r="H15" s="3">
        <v>44929</v>
      </c>
      <c r="I15" s="1" t="s">
        <v>2097</v>
      </c>
      <c r="J15" s="1" t="s">
        <v>2098</v>
      </c>
      <c r="K15" s="1"/>
      <c r="L15" s="1" t="s">
        <v>2099</v>
      </c>
      <c r="M15" s="1" t="s">
        <v>2100</v>
      </c>
      <c r="N15" s="1" t="s">
        <v>2101</v>
      </c>
      <c r="O15" s="1" t="s">
        <v>2102</v>
      </c>
      <c r="P15" s="1" t="s">
        <v>2103</v>
      </c>
      <c r="Q15" s="1"/>
      <c r="R15" s="1"/>
      <c r="S15" s="1" t="s">
        <v>2072</v>
      </c>
      <c r="T15" s="1" t="s">
        <v>2073</v>
      </c>
      <c r="U15" s="4">
        <v>1400000</v>
      </c>
      <c r="V15" s="4">
        <v>1001</v>
      </c>
      <c r="W15" s="4">
        <v>10</v>
      </c>
      <c r="X15" s="4">
        <v>130</v>
      </c>
      <c r="Y15" s="4">
        <v>0</v>
      </c>
      <c r="Z15" s="5">
        <v>1141</v>
      </c>
      <c r="AA15" s="5">
        <v>0</v>
      </c>
      <c r="AB15" s="6">
        <v>0</v>
      </c>
      <c r="AC15" s="4">
        <v>1141</v>
      </c>
      <c r="AD15" s="4">
        <v>0</v>
      </c>
      <c r="AE15" s="4">
        <v>1141</v>
      </c>
      <c r="AF15" s="1"/>
      <c r="AG15" s="1"/>
      <c r="AH15" s="1"/>
      <c r="AI15" s="1"/>
      <c r="AJ15" s="1"/>
      <c r="AK15" s="1"/>
      <c r="AL15" s="1" t="s">
        <v>2104</v>
      </c>
    </row>
    <row r="16" spans="1:38" hidden="1" x14ac:dyDescent="0.25">
      <c r="A16" s="2">
        <v>23</v>
      </c>
      <c r="B16" s="1" t="s">
        <v>25</v>
      </c>
      <c r="C16" s="1" t="s">
        <v>29</v>
      </c>
      <c r="D16" s="1" t="s">
        <v>2062</v>
      </c>
      <c r="E16" s="1" t="s">
        <v>2063</v>
      </c>
      <c r="F16" s="3">
        <v>44845</v>
      </c>
      <c r="G16" s="3">
        <v>44565</v>
      </c>
      <c r="H16" s="3">
        <v>44929</v>
      </c>
      <c r="I16" s="1" t="s">
        <v>2097</v>
      </c>
      <c r="J16" s="1" t="s">
        <v>2098</v>
      </c>
      <c r="K16" s="1"/>
      <c r="L16" s="1" t="s">
        <v>2099</v>
      </c>
      <c r="M16" s="1" t="s">
        <v>2100</v>
      </c>
      <c r="N16" s="1" t="s">
        <v>2101</v>
      </c>
      <c r="O16" s="1" t="s">
        <v>2102</v>
      </c>
      <c r="P16" s="1" t="s">
        <v>2103</v>
      </c>
      <c r="Q16" s="1"/>
      <c r="R16" s="1"/>
      <c r="S16" s="1" t="s">
        <v>2072</v>
      </c>
      <c r="T16" s="1" t="s">
        <v>2073</v>
      </c>
      <c r="U16" s="4">
        <v>1400000</v>
      </c>
      <c r="V16" s="4">
        <v>93</v>
      </c>
      <c r="W16" s="4">
        <v>1</v>
      </c>
      <c r="X16" s="4">
        <v>11</v>
      </c>
      <c r="Y16" s="4">
        <v>0</v>
      </c>
      <c r="Z16" s="5">
        <v>105</v>
      </c>
      <c r="AA16" s="5">
        <v>0</v>
      </c>
      <c r="AB16" s="6">
        <v>0</v>
      </c>
      <c r="AC16" s="4">
        <v>105</v>
      </c>
      <c r="AD16" s="4">
        <v>0</v>
      </c>
      <c r="AE16" s="4">
        <v>105</v>
      </c>
      <c r="AF16" s="1"/>
      <c r="AG16" s="1"/>
      <c r="AH16" s="1"/>
      <c r="AI16" s="1"/>
      <c r="AJ16" s="6">
        <v>108.84577062814</v>
      </c>
      <c r="AK16" s="6">
        <v>108.84577062814</v>
      </c>
      <c r="AL16" s="1" t="s">
        <v>2104</v>
      </c>
    </row>
    <row r="17" spans="1:38" hidden="1" x14ac:dyDescent="0.25">
      <c r="A17" s="2">
        <v>24</v>
      </c>
      <c r="B17" s="1" t="s">
        <v>25</v>
      </c>
      <c r="C17" s="1" t="s">
        <v>30</v>
      </c>
      <c r="D17" s="1" t="s">
        <v>2062</v>
      </c>
      <c r="E17" s="1" t="s">
        <v>2063</v>
      </c>
      <c r="F17" s="3">
        <v>45655</v>
      </c>
      <c r="G17" s="3">
        <v>44565</v>
      </c>
      <c r="H17" s="3">
        <v>44929</v>
      </c>
      <c r="I17" s="1" t="s">
        <v>2097</v>
      </c>
      <c r="J17" s="1" t="s">
        <v>2098</v>
      </c>
      <c r="K17" s="1"/>
      <c r="L17" s="1" t="s">
        <v>2099</v>
      </c>
      <c r="M17" s="1" t="s">
        <v>2100</v>
      </c>
      <c r="N17" s="1" t="s">
        <v>2101</v>
      </c>
      <c r="O17" s="1" t="s">
        <v>2102</v>
      </c>
      <c r="P17" s="1" t="s">
        <v>2103</v>
      </c>
      <c r="Q17" s="1"/>
      <c r="R17" s="1"/>
      <c r="S17" s="1" t="s">
        <v>2072</v>
      </c>
      <c r="T17" s="1" t="s">
        <v>2073</v>
      </c>
      <c r="U17" s="4">
        <v>-1</v>
      </c>
      <c r="V17" s="4">
        <v>-2265</v>
      </c>
      <c r="W17" s="4">
        <v>-23</v>
      </c>
      <c r="X17" s="4">
        <v>-295</v>
      </c>
      <c r="Y17" s="4">
        <v>0</v>
      </c>
      <c r="Z17" s="5">
        <v>-2583</v>
      </c>
      <c r="AA17" s="5">
        <v>0</v>
      </c>
      <c r="AB17" s="6">
        <v>0</v>
      </c>
      <c r="AC17" s="4">
        <v>-2583</v>
      </c>
      <c r="AD17" s="4">
        <v>0</v>
      </c>
      <c r="AE17" s="4">
        <v>-2583</v>
      </c>
      <c r="AF17" s="1"/>
      <c r="AG17" s="1"/>
      <c r="AH17" s="1"/>
      <c r="AI17" s="1"/>
      <c r="AJ17" s="1"/>
      <c r="AK17" s="1"/>
      <c r="AL17" s="1"/>
    </row>
    <row r="18" spans="1:38" hidden="1" x14ac:dyDescent="0.25">
      <c r="A18" s="2">
        <v>25</v>
      </c>
      <c r="B18" s="1" t="s">
        <v>31</v>
      </c>
      <c r="C18" s="1" t="s">
        <v>32</v>
      </c>
      <c r="D18" s="1" t="s">
        <v>2062</v>
      </c>
      <c r="E18" s="1" t="s">
        <v>2063</v>
      </c>
      <c r="F18" s="3">
        <v>44867</v>
      </c>
      <c r="G18" s="3">
        <v>44574</v>
      </c>
      <c r="H18" s="3">
        <v>44938</v>
      </c>
      <c r="I18" s="1" t="s">
        <v>2105</v>
      </c>
      <c r="J18" s="1" t="s">
        <v>2106</v>
      </c>
      <c r="K18" s="1"/>
      <c r="L18" s="1" t="s">
        <v>2107</v>
      </c>
      <c r="M18" s="1" t="s">
        <v>2108</v>
      </c>
      <c r="N18" s="1" t="s">
        <v>2109</v>
      </c>
      <c r="O18" s="1" t="s">
        <v>2110</v>
      </c>
      <c r="P18" s="1" t="s">
        <v>2095</v>
      </c>
      <c r="Q18" s="1"/>
      <c r="R18" s="1"/>
      <c r="S18" s="1" t="s">
        <v>2072</v>
      </c>
      <c r="T18" s="1" t="s">
        <v>2111</v>
      </c>
      <c r="U18" s="4">
        <v>5600000</v>
      </c>
      <c r="V18" s="4">
        <v>203</v>
      </c>
      <c r="W18" s="4">
        <v>2</v>
      </c>
      <c r="X18" s="4">
        <v>26</v>
      </c>
      <c r="Y18" s="4">
        <v>0</v>
      </c>
      <c r="Z18" s="5">
        <v>231</v>
      </c>
      <c r="AA18" s="5">
        <v>0</v>
      </c>
      <c r="AB18" s="6">
        <v>0</v>
      </c>
      <c r="AC18" s="4">
        <v>231</v>
      </c>
      <c r="AD18" s="4">
        <v>0</v>
      </c>
      <c r="AE18" s="4">
        <v>231</v>
      </c>
      <c r="AF18" s="1"/>
      <c r="AG18" s="1"/>
      <c r="AH18" s="1"/>
      <c r="AI18" s="1"/>
      <c r="AJ18" s="6">
        <v>59.711286261513166</v>
      </c>
      <c r="AK18" s="6">
        <v>59.711286261513166</v>
      </c>
      <c r="AL18" s="1" t="s">
        <v>2112</v>
      </c>
    </row>
    <row r="19" spans="1:38" hidden="1" x14ac:dyDescent="0.25">
      <c r="A19" s="2">
        <v>26</v>
      </c>
      <c r="B19" s="1" t="s">
        <v>31</v>
      </c>
      <c r="C19" s="1" t="s">
        <v>33</v>
      </c>
      <c r="D19" s="1" t="s">
        <v>2062</v>
      </c>
      <c r="E19" s="1" t="s">
        <v>2063</v>
      </c>
      <c r="F19" s="3">
        <v>44888</v>
      </c>
      <c r="G19" s="3">
        <v>44574</v>
      </c>
      <c r="H19" s="3">
        <v>44938</v>
      </c>
      <c r="I19" s="1" t="s">
        <v>2105</v>
      </c>
      <c r="J19" s="1" t="s">
        <v>2106</v>
      </c>
      <c r="K19" s="1"/>
      <c r="L19" s="1" t="s">
        <v>2107</v>
      </c>
      <c r="M19" s="1" t="s">
        <v>2108</v>
      </c>
      <c r="N19" s="1" t="s">
        <v>2109</v>
      </c>
      <c r="O19" s="1" t="s">
        <v>2110</v>
      </c>
      <c r="P19" s="1" t="s">
        <v>2095</v>
      </c>
      <c r="Q19" s="1"/>
      <c r="R19" s="1"/>
      <c r="S19" s="1" t="s">
        <v>2072</v>
      </c>
      <c r="T19" s="1" t="s">
        <v>2111</v>
      </c>
      <c r="U19" s="4">
        <v>5600000</v>
      </c>
      <c r="V19" s="4">
        <v>669</v>
      </c>
      <c r="W19" s="4">
        <v>6</v>
      </c>
      <c r="X19" s="4">
        <v>87</v>
      </c>
      <c r="Y19" s="4">
        <v>0</v>
      </c>
      <c r="Z19" s="5">
        <v>762</v>
      </c>
      <c r="AA19" s="5">
        <v>0</v>
      </c>
      <c r="AB19" s="6">
        <v>0</v>
      </c>
      <c r="AC19" s="4">
        <v>762</v>
      </c>
      <c r="AD19" s="4">
        <v>0</v>
      </c>
      <c r="AE19" s="4">
        <v>762</v>
      </c>
      <c r="AF19" s="1"/>
      <c r="AG19" s="1"/>
      <c r="AH19" s="1"/>
      <c r="AI19" s="1"/>
      <c r="AJ19" s="6">
        <v>197.49642605794898</v>
      </c>
      <c r="AK19" s="6">
        <v>197.49642605794898</v>
      </c>
      <c r="AL19" s="1" t="s">
        <v>2112</v>
      </c>
    </row>
    <row r="20" spans="1:38" hidden="1" x14ac:dyDescent="0.25">
      <c r="A20" s="2">
        <v>27</v>
      </c>
      <c r="B20" s="1" t="s">
        <v>31</v>
      </c>
      <c r="C20" s="1" t="s">
        <v>34</v>
      </c>
      <c r="D20" s="1" t="s">
        <v>2062</v>
      </c>
      <c r="E20" s="1" t="s">
        <v>2063</v>
      </c>
      <c r="F20" s="3">
        <v>45655</v>
      </c>
      <c r="G20" s="3">
        <v>44574</v>
      </c>
      <c r="H20" s="3">
        <v>44938</v>
      </c>
      <c r="I20" s="1" t="s">
        <v>2105</v>
      </c>
      <c r="J20" s="1" t="s">
        <v>2106</v>
      </c>
      <c r="K20" s="1"/>
      <c r="L20" s="1" t="s">
        <v>2107</v>
      </c>
      <c r="M20" s="1" t="s">
        <v>2108</v>
      </c>
      <c r="N20" s="1" t="s">
        <v>2109</v>
      </c>
      <c r="O20" s="1" t="s">
        <v>2110</v>
      </c>
      <c r="P20" s="1" t="s">
        <v>2095</v>
      </c>
      <c r="Q20" s="1"/>
      <c r="R20" s="1"/>
      <c r="S20" s="1" t="s">
        <v>2072</v>
      </c>
      <c r="T20" s="1" t="s">
        <v>2111</v>
      </c>
      <c r="U20" s="4">
        <v>-1</v>
      </c>
      <c r="V20" s="4">
        <v>-871</v>
      </c>
      <c r="W20" s="4">
        <v>-9</v>
      </c>
      <c r="X20" s="4">
        <v>-113</v>
      </c>
      <c r="Y20" s="4">
        <v>0</v>
      </c>
      <c r="Z20" s="5">
        <v>-993</v>
      </c>
      <c r="AA20" s="5">
        <v>0</v>
      </c>
      <c r="AB20" s="6">
        <v>0</v>
      </c>
      <c r="AC20" s="4">
        <v>-993</v>
      </c>
      <c r="AD20" s="4">
        <v>0</v>
      </c>
      <c r="AE20" s="4">
        <v>-993</v>
      </c>
      <c r="AF20" s="1"/>
      <c r="AG20" s="1"/>
      <c r="AH20" s="1"/>
      <c r="AI20" s="1"/>
      <c r="AJ20" s="1"/>
      <c r="AK20" s="1"/>
      <c r="AL20" s="1"/>
    </row>
    <row r="21" spans="1:38" hidden="1" x14ac:dyDescent="0.25">
      <c r="A21" s="2">
        <v>29</v>
      </c>
      <c r="B21" s="1" t="s">
        <v>35</v>
      </c>
      <c r="C21" s="1" t="s">
        <v>36</v>
      </c>
      <c r="D21" s="1" t="s">
        <v>2062</v>
      </c>
      <c r="E21" s="1" t="s">
        <v>2063</v>
      </c>
      <c r="F21" s="3">
        <v>44609</v>
      </c>
      <c r="G21" s="3">
        <v>44578</v>
      </c>
      <c r="H21" s="3">
        <v>44942</v>
      </c>
      <c r="I21" s="1" t="s">
        <v>2113</v>
      </c>
      <c r="J21" s="1" t="s">
        <v>2114</v>
      </c>
      <c r="K21" s="1"/>
      <c r="L21" s="1" t="s">
        <v>2115</v>
      </c>
      <c r="M21" s="1" t="s">
        <v>2116</v>
      </c>
      <c r="N21" s="1" t="s">
        <v>2117</v>
      </c>
      <c r="O21" s="1" t="s">
        <v>2118</v>
      </c>
      <c r="P21" s="1" t="s">
        <v>2119</v>
      </c>
      <c r="Q21" s="1"/>
      <c r="R21" s="1"/>
      <c r="S21" s="1" t="s">
        <v>2072</v>
      </c>
      <c r="T21" s="1" t="s">
        <v>2111</v>
      </c>
      <c r="U21" s="4">
        <v>1400000</v>
      </c>
      <c r="V21" s="4">
        <v>145</v>
      </c>
      <c r="W21" s="4">
        <v>2</v>
      </c>
      <c r="X21" s="4">
        <v>19</v>
      </c>
      <c r="Y21" s="4">
        <v>0</v>
      </c>
      <c r="Z21" s="5">
        <v>166</v>
      </c>
      <c r="AA21" s="5">
        <v>0</v>
      </c>
      <c r="AB21" s="6">
        <v>0</v>
      </c>
      <c r="AC21" s="4">
        <v>166</v>
      </c>
      <c r="AD21" s="4">
        <v>0</v>
      </c>
      <c r="AE21" s="4">
        <v>166</v>
      </c>
      <c r="AF21" s="1"/>
      <c r="AG21" s="1"/>
      <c r="AH21" s="1"/>
      <c r="AI21" s="1"/>
      <c r="AJ21" s="1"/>
      <c r="AK21" s="1"/>
      <c r="AL21" s="1" t="s">
        <v>2120</v>
      </c>
    </row>
    <row r="22" spans="1:38" hidden="1" x14ac:dyDescent="0.25">
      <c r="A22" s="2">
        <v>30</v>
      </c>
      <c r="B22" s="1" t="s">
        <v>35</v>
      </c>
      <c r="C22" s="1" t="s">
        <v>37</v>
      </c>
      <c r="D22" s="1" t="s">
        <v>2062</v>
      </c>
      <c r="E22" s="1" t="s">
        <v>2063</v>
      </c>
      <c r="F22" s="3">
        <v>45596</v>
      </c>
      <c r="G22" s="3">
        <v>44578</v>
      </c>
      <c r="H22" s="3">
        <v>44942</v>
      </c>
      <c r="I22" s="1" t="s">
        <v>2113</v>
      </c>
      <c r="J22" s="1" t="s">
        <v>2114</v>
      </c>
      <c r="K22" s="1"/>
      <c r="L22" s="1" t="s">
        <v>2115</v>
      </c>
      <c r="M22" s="1" t="s">
        <v>2116</v>
      </c>
      <c r="N22" s="1" t="s">
        <v>2117</v>
      </c>
      <c r="O22" s="1" t="s">
        <v>2118</v>
      </c>
      <c r="P22" s="1" t="s">
        <v>2119</v>
      </c>
      <c r="Q22" s="1"/>
      <c r="R22" s="1"/>
      <c r="S22" s="1" t="s">
        <v>2072</v>
      </c>
      <c r="T22" s="1" t="s">
        <v>2111</v>
      </c>
      <c r="U22" s="4">
        <v>-1</v>
      </c>
      <c r="V22" s="4">
        <v>-164</v>
      </c>
      <c r="W22" s="4">
        <v>-2</v>
      </c>
      <c r="X22" s="4">
        <v>0</v>
      </c>
      <c r="Y22" s="4">
        <v>0</v>
      </c>
      <c r="Z22" s="5">
        <v>-166</v>
      </c>
      <c r="AA22" s="5">
        <v>0</v>
      </c>
      <c r="AB22" s="6">
        <v>0</v>
      </c>
      <c r="AC22" s="4">
        <v>-166</v>
      </c>
      <c r="AD22" s="4">
        <v>0</v>
      </c>
      <c r="AE22" s="4">
        <v>-166</v>
      </c>
      <c r="AF22" s="1"/>
      <c r="AG22" s="1"/>
      <c r="AH22" s="1"/>
      <c r="AI22" s="1"/>
      <c r="AJ22" s="1"/>
      <c r="AK22" s="1"/>
      <c r="AL22" s="1"/>
    </row>
    <row r="23" spans="1:38" hidden="1" x14ac:dyDescent="0.25">
      <c r="A23" s="2">
        <v>31</v>
      </c>
      <c r="B23" s="1" t="s">
        <v>38</v>
      </c>
      <c r="C23" s="1" t="s">
        <v>39</v>
      </c>
      <c r="D23" s="1" t="s">
        <v>2062</v>
      </c>
      <c r="E23" s="1" t="s">
        <v>2063</v>
      </c>
      <c r="F23" s="3">
        <v>44867</v>
      </c>
      <c r="G23" s="3">
        <v>44580</v>
      </c>
      <c r="H23" s="3">
        <v>44944</v>
      </c>
      <c r="I23" s="1" t="s">
        <v>2121</v>
      </c>
      <c r="J23" s="1" t="s">
        <v>2122</v>
      </c>
      <c r="K23" s="1"/>
      <c r="L23" s="1" t="s">
        <v>2123</v>
      </c>
      <c r="M23" s="1" t="s">
        <v>2124</v>
      </c>
      <c r="N23" s="1" t="s">
        <v>2125</v>
      </c>
      <c r="O23" s="1" t="s">
        <v>2126</v>
      </c>
      <c r="P23" s="1" t="s">
        <v>2095</v>
      </c>
      <c r="Q23" s="1"/>
      <c r="R23" s="1"/>
      <c r="S23" s="1" t="s">
        <v>2072</v>
      </c>
      <c r="T23" s="1" t="s">
        <v>2111</v>
      </c>
      <c r="U23" s="4">
        <v>2800000</v>
      </c>
      <c r="V23" s="4">
        <v>2042</v>
      </c>
      <c r="W23" s="4">
        <v>19</v>
      </c>
      <c r="X23" s="4">
        <v>0</v>
      </c>
      <c r="Y23" s="4">
        <v>0</v>
      </c>
      <c r="Z23" s="5">
        <v>2061</v>
      </c>
      <c r="AA23" s="5">
        <v>0</v>
      </c>
      <c r="AB23" s="6">
        <v>0</v>
      </c>
      <c r="AC23" s="4">
        <v>2061</v>
      </c>
      <c r="AD23" s="4">
        <v>0</v>
      </c>
      <c r="AE23" s="4">
        <v>2061</v>
      </c>
      <c r="AF23" s="1"/>
      <c r="AG23" s="1"/>
      <c r="AH23" s="1"/>
      <c r="AI23" s="1"/>
      <c r="AJ23" s="6">
        <v>1382.6682458710932</v>
      </c>
      <c r="AK23" s="6">
        <v>1066.216324610029</v>
      </c>
      <c r="AL23" s="1" t="s">
        <v>2127</v>
      </c>
    </row>
    <row r="24" spans="1:38" hidden="1" x14ac:dyDescent="0.25">
      <c r="A24" s="2">
        <v>32</v>
      </c>
      <c r="B24" s="1" t="s">
        <v>38</v>
      </c>
      <c r="C24" s="1" t="s">
        <v>40</v>
      </c>
      <c r="D24" s="1" t="s">
        <v>2062</v>
      </c>
      <c r="E24" s="1" t="s">
        <v>2063</v>
      </c>
      <c r="F24" s="3">
        <v>44888</v>
      </c>
      <c r="G24" s="3">
        <v>44580</v>
      </c>
      <c r="H24" s="3">
        <v>44944</v>
      </c>
      <c r="I24" s="1" t="s">
        <v>2121</v>
      </c>
      <c r="J24" s="1" t="s">
        <v>2122</v>
      </c>
      <c r="K24" s="1"/>
      <c r="L24" s="1" t="s">
        <v>2123</v>
      </c>
      <c r="M24" s="1" t="s">
        <v>2124</v>
      </c>
      <c r="N24" s="1" t="s">
        <v>2125</v>
      </c>
      <c r="O24" s="1" t="s">
        <v>2126</v>
      </c>
      <c r="P24" s="1" t="s">
        <v>2095</v>
      </c>
      <c r="Q24" s="1"/>
      <c r="R24" s="1"/>
      <c r="S24" s="1" t="s">
        <v>2072</v>
      </c>
      <c r="T24" s="1" t="s">
        <v>2111</v>
      </c>
      <c r="U24" s="4">
        <v>2800000</v>
      </c>
      <c r="V24" s="4">
        <v>341</v>
      </c>
      <c r="W24" s="4">
        <v>3</v>
      </c>
      <c r="X24" s="4">
        <v>0</v>
      </c>
      <c r="Y24" s="4">
        <v>0</v>
      </c>
      <c r="Z24" s="5">
        <v>344</v>
      </c>
      <c r="AA24" s="5">
        <v>0</v>
      </c>
      <c r="AB24" s="6">
        <v>0</v>
      </c>
      <c r="AC24" s="4">
        <v>344</v>
      </c>
      <c r="AD24" s="4">
        <v>0</v>
      </c>
      <c r="AE24" s="4">
        <v>344</v>
      </c>
      <c r="AF24" s="1"/>
      <c r="AG24" s="1"/>
      <c r="AH24" s="1"/>
      <c r="AI24" s="1"/>
      <c r="AJ24" s="6">
        <v>178.72178559364599</v>
      </c>
      <c r="AK24" s="6">
        <v>178.72178559364599</v>
      </c>
      <c r="AL24" s="1" t="s">
        <v>2127</v>
      </c>
    </row>
    <row r="25" spans="1:38" hidden="1" x14ac:dyDescent="0.25">
      <c r="A25" s="2">
        <v>33</v>
      </c>
      <c r="B25" s="1" t="s">
        <v>38</v>
      </c>
      <c r="C25" s="1" t="s">
        <v>41</v>
      </c>
      <c r="D25" s="1" t="s">
        <v>2062</v>
      </c>
      <c r="E25" s="1" t="s">
        <v>2063</v>
      </c>
      <c r="F25" s="3">
        <v>44919</v>
      </c>
      <c r="G25" s="3">
        <v>44580</v>
      </c>
      <c r="H25" s="3">
        <v>44944</v>
      </c>
      <c r="I25" s="1" t="s">
        <v>2121</v>
      </c>
      <c r="J25" s="1" t="s">
        <v>2122</v>
      </c>
      <c r="K25" s="1" t="s">
        <v>2128</v>
      </c>
      <c r="L25" s="1" t="s">
        <v>2123</v>
      </c>
      <c r="M25" s="1" t="s">
        <v>2124</v>
      </c>
      <c r="N25" s="1" t="s">
        <v>2125</v>
      </c>
      <c r="O25" s="1" t="s">
        <v>2126</v>
      </c>
      <c r="P25" s="1" t="s">
        <v>2095</v>
      </c>
      <c r="Q25" s="1"/>
      <c r="R25" s="1"/>
      <c r="S25" s="1" t="s">
        <v>2072</v>
      </c>
      <c r="T25" s="1" t="s">
        <v>2111</v>
      </c>
      <c r="U25" s="4">
        <v>2800000</v>
      </c>
      <c r="V25" s="4">
        <v>656</v>
      </c>
      <c r="W25" s="4">
        <v>8</v>
      </c>
      <c r="X25" s="4">
        <v>395</v>
      </c>
      <c r="Y25" s="4">
        <v>0</v>
      </c>
      <c r="Z25" s="5">
        <v>1059</v>
      </c>
      <c r="AA25" s="5">
        <v>0</v>
      </c>
      <c r="AB25" s="6">
        <v>0</v>
      </c>
      <c r="AC25" s="4">
        <v>1059</v>
      </c>
      <c r="AD25" s="4">
        <v>0</v>
      </c>
      <c r="AE25" s="4">
        <v>1059</v>
      </c>
      <c r="AF25" s="1"/>
      <c r="AG25" s="1"/>
      <c r="AH25" s="1"/>
      <c r="AI25" s="1"/>
      <c r="AJ25" s="6">
        <v>704.40178543007596</v>
      </c>
      <c r="AK25" s="6">
        <v>548.62537985032702</v>
      </c>
      <c r="AL25" s="1" t="s">
        <v>2127</v>
      </c>
    </row>
    <row r="26" spans="1:38" hidden="1" x14ac:dyDescent="0.25">
      <c r="A26" s="2">
        <v>34</v>
      </c>
      <c r="B26" s="1" t="s">
        <v>38</v>
      </c>
      <c r="C26" s="1" t="s">
        <v>42</v>
      </c>
      <c r="D26" s="1" t="s">
        <v>2062</v>
      </c>
      <c r="E26" s="1" t="s">
        <v>2063</v>
      </c>
      <c r="F26" s="3">
        <v>45596</v>
      </c>
      <c r="G26" s="3">
        <v>44580</v>
      </c>
      <c r="H26" s="3">
        <v>44944</v>
      </c>
      <c r="I26" s="1" t="s">
        <v>2121</v>
      </c>
      <c r="J26" s="1" t="s">
        <v>2122</v>
      </c>
      <c r="K26" s="1" t="s">
        <v>2128</v>
      </c>
      <c r="L26" s="1" t="s">
        <v>2123</v>
      </c>
      <c r="M26" s="1" t="s">
        <v>2124</v>
      </c>
      <c r="N26" s="1" t="s">
        <v>2125</v>
      </c>
      <c r="O26" s="1" t="s">
        <v>2126</v>
      </c>
      <c r="P26" s="1" t="s">
        <v>2095</v>
      </c>
      <c r="Q26" s="1"/>
      <c r="R26" s="1"/>
      <c r="S26" s="1" t="s">
        <v>2072</v>
      </c>
      <c r="T26" s="1" t="s">
        <v>2111</v>
      </c>
      <c r="U26" s="4">
        <v>-1</v>
      </c>
      <c r="V26" s="4">
        <v>-3430</v>
      </c>
      <c r="W26" s="4">
        <v>-34</v>
      </c>
      <c r="X26" s="4">
        <v>0</v>
      </c>
      <c r="Y26" s="4">
        <v>0</v>
      </c>
      <c r="Z26" s="5">
        <v>-3464</v>
      </c>
      <c r="AA26" s="5">
        <v>0</v>
      </c>
      <c r="AB26" s="6">
        <v>0</v>
      </c>
      <c r="AC26" s="4">
        <v>-3464</v>
      </c>
      <c r="AD26" s="4">
        <v>0</v>
      </c>
      <c r="AE26" s="4">
        <v>-3464</v>
      </c>
      <c r="AF26" s="1"/>
      <c r="AG26" s="1"/>
      <c r="AH26" s="1"/>
      <c r="AI26" s="1"/>
      <c r="AJ26" s="1"/>
      <c r="AK26" s="1"/>
      <c r="AL26" s="1"/>
    </row>
    <row r="27" spans="1:38" x14ac:dyDescent="0.25">
      <c r="A27" s="2">
        <v>35</v>
      </c>
      <c r="B27" s="1" t="s">
        <v>43</v>
      </c>
      <c r="C27" s="1"/>
      <c r="D27" s="1" t="s">
        <v>2062</v>
      </c>
      <c r="E27" s="1" t="s">
        <v>2063</v>
      </c>
      <c r="F27" s="3">
        <v>44583</v>
      </c>
      <c r="G27" s="3">
        <v>44581</v>
      </c>
      <c r="H27" s="3">
        <v>44945</v>
      </c>
      <c r="I27" s="1" t="s">
        <v>2129</v>
      </c>
      <c r="J27" s="1" t="s">
        <v>2130</v>
      </c>
      <c r="K27" s="1"/>
      <c r="L27" s="1" t="s">
        <v>2131</v>
      </c>
      <c r="M27" s="1" t="s">
        <v>2132</v>
      </c>
      <c r="N27" s="1" t="s">
        <v>2133</v>
      </c>
      <c r="O27" s="1" t="s">
        <v>2134</v>
      </c>
      <c r="P27" s="1" t="s">
        <v>2095</v>
      </c>
      <c r="Q27" s="1"/>
      <c r="R27" s="1"/>
      <c r="S27" s="1" t="s">
        <v>2072</v>
      </c>
      <c r="T27" s="1" t="s">
        <v>2111</v>
      </c>
      <c r="U27" s="4">
        <v>-1</v>
      </c>
      <c r="V27" s="4">
        <v>13217</v>
      </c>
      <c r="W27" s="4">
        <v>132</v>
      </c>
      <c r="X27" s="4">
        <v>1718</v>
      </c>
      <c r="Y27" s="4">
        <v>50</v>
      </c>
      <c r="Z27" s="5">
        <v>15117</v>
      </c>
      <c r="AA27" s="5">
        <v>13815</v>
      </c>
      <c r="AB27" s="6">
        <v>0</v>
      </c>
      <c r="AC27" s="4">
        <v>1302</v>
      </c>
      <c r="AD27" s="4">
        <v>0</v>
      </c>
      <c r="AE27" s="4">
        <v>1302</v>
      </c>
      <c r="AF27" s="1"/>
      <c r="AG27" s="1"/>
      <c r="AH27" s="1"/>
      <c r="AI27" s="1"/>
      <c r="AJ27" s="1"/>
      <c r="AK27" s="1"/>
      <c r="AL27" s="1" t="s">
        <v>2135</v>
      </c>
    </row>
    <row r="28" spans="1:38" hidden="1" x14ac:dyDescent="0.25">
      <c r="A28" s="2">
        <v>36</v>
      </c>
      <c r="B28" s="1" t="s">
        <v>43</v>
      </c>
      <c r="C28" s="1" t="s">
        <v>44</v>
      </c>
      <c r="D28" s="1" t="s">
        <v>2062</v>
      </c>
      <c r="E28" s="1" t="s">
        <v>2063</v>
      </c>
      <c r="F28" s="3">
        <v>44888</v>
      </c>
      <c r="G28" s="3">
        <v>44581</v>
      </c>
      <c r="H28" s="3">
        <v>44945</v>
      </c>
      <c r="I28" s="1" t="s">
        <v>2129</v>
      </c>
      <c r="J28" s="1" t="s">
        <v>2130</v>
      </c>
      <c r="K28" s="1"/>
      <c r="L28" s="1" t="s">
        <v>2131</v>
      </c>
      <c r="M28" s="1" t="s">
        <v>2132</v>
      </c>
      <c r="N28" s="1" t="s">
        <v>2133</v>
      </c>
      <c r="O28" s="1" t="s">
        <v>2134</v>
      </c>
      <c r="P28" s="1" t="s">
        <v>2095</v>
      </c>
      <c r="Q28" s="1"/>
      <c r="R28" s="1"/>
      <c r="S28" s="1" t="s">
        <v>2072</v>
      </c>
      <c r="T28" s="1" t="s">
        <v>2111</v>
      </c>
      <c r="U28" s="4">
        <v>1527000</v>
      </c>
      <c r="V28" s="4">
        <v>1451</v>
      </c>
      <c r="W28" s="4">
        <v>14</v>
      </c>
      <c r="X28" s="4">
        <v>189</v>
      </c>
      <c r="Y28" s="4">
        <v>0</v>
      </c>
      <c r="Z28" s="5">
        <v>1654</v>
      </c>
      <c r="AA28" s="5">
        <v>75</v>
      </c>
      <c r="AB28" s="6">
        <v>0</v>
      </c>
      <c r="AC28" s="4">
        <v>1579</v>
      </c>
      <c r="AD28" s="4">
        <v>0</v>
      </c>
      <c r="AE28" s="4">
        <v>1579</v>
      </c>
      <c r="AF28" s="1"/>
      <c r="AG28" s="1"/>
      <c r="AH28" s="1"/>
      <c r="AI28" s="1"/>
      <c r="AJ28" s="6">
        <v>2453.3274707847881</v>
      </c>
      <c r="AK28" s="6">
        <v>1575.0469660059262</v>
      </c>
      <c r="AL28" s="1" t="s">
        <v>2135</v>
      </c>
    </row>
    <row r="29" spans="1:38" hidden="1" x14ac:dyDescent="0.25">
      <c r="A29" s="2">
        <v>37</v>
      </c>
      <c r="B29" s="1" t="s">
        <v>43</v>
      </c>
      <c r="C29" s="1" t="s">
        <v>45</v>
      </c>
      <c r="D29" s="1" t="s">
        <v>2062</v>
      </c>
      <c r="E29" s="1" t="s">
        <v>2063</v>
      </c>
      <c r="F29" s="3">
        <v>44924</v>
      </c>
      <c r="G29" s="3">
        <v>44581</v>
      </c>
      <c r="H29" s="3">
        <v>44945</v>
      </c>
      <c r="I29" s="1" t="s">
        <v>2129</v>
      </c>
      <c r="J29" s="1" t="s">
        <v>2130</v>
      </c>
      <c r="K29" s="1"/>
      <c r="L29" s="1" t="s">
        <v>2131</v>
      </c>
      <c r="M29" s="1" t="s">
        <v>2132</v>
      </c>
      <c r="N29" s="1" t="s">
        <v>2133</v>
      </c>
      <c r="O29" s="1" t="s">
        <v>2134</v>
      </c>
      <c r="P29" s="1" t="s">
        <v>2095</v>
      </c>
      <c r="Q29" s="1"/>
      <c r="R29" s="1"/>
      <c r="S29" s="1" t="s">
        <v>2072</v>
      </c>
      <c r="T29" s="1" t="s">
        <v>2111</v>
      </c>
      <c r="U29" s="4">
        <v>1527000</v>
      </c>
      <c r="V29" s="4">
        <v>1420</v>
      </c>
      <c r="W29" s="4">
        <v>15</v>
      </c>
      <c r="X29" s="4">
        <v>184</v>
      </c>
      <c r="Y29" s="4">
        <v>0</v>
      </c>
      <c r="Z29" s="5">
        <v>1619</v>
      </c>
      <c r="AA29" s="5">
        <v>0</v>
      </c>
      <c r="AB29" s="6">
        <v>0</v>
      </c>
      <c r="AC29" s="4">
        <v>1619</v>
      </c>
      <c r="AD29" s="4">
        <v>0</v>
      </c>
      <c r="AE29" s="4">
        <v>1619</v>
      </c>
      <c r="AF29" s="1"/>
      <c r="AG29" s="1"/>
      <c r="AH29" s="1"/>
      <c r="AI29" s="1"/>
      <c r="AJ29" s="6">
        <v>2131.4092998005171</v>
      </c>
      <c r="AK29" s="6">
        <v>1540.4797740550091</v>
      </c>
      <c r="AL29" s="1" t="s">
        <v>2135</v>
      </c>
    </row>
    <row r="30" spans="1:38" hidden="1" x14ac:dyDescent="0.25">
      <c r="A30" s="2">
        <v>38</v>
      </c>
      <c r="B30" s="1" t="s">
        <v>43</v>
      </c>
      <c r="C30" s="1" t="s">
        <v>46</v>
      </c>
      <c r="D30" s="1" t="s">
        <v>2062</v>
      </c>
      <c r="E30" s="1" t="s">
        <v>2063</v>
      </c>
      <c r="F30" s="3">
        <v>45596</v>
      </c>
      <c r="G30" s="3">
        <v>44581</v>
      </c>
      <c r="H30" s="3">
        <v>44945</v>
      </c>
      <c r="I30" s="1" t="s">
        <v>2129</v>
      </c>
      <c r="J30" s="1" t="s">
        <v>2130</v>
      </c>
      <c r="K30" s="1"/>
      <c r="L30" s="1" t="s">
        <v>2131</v>
      </c>
      <c r="M30" s="1" t="s">
        <v>2132</v>
      </c>
      <c r="N30" s="1" t="s">
        <v>2133</v>
      </c>
      <c r="O30" s="1" t="s">
        <v>2134</v>
      </c>
      <c r="P30" s="1" t="s">
        <v>2095</v>
      </c>
      <c r="Q30" s="1"/>
      <c r="R30" s="1"/>
      <c r="S30" s="1" t="s">
        <v>2072</v>
      </c>
      <c r="T30" s="1" t="s">
        <v>2111</v>
      </c>
      <c r="U30" s="4">
        <v>-1</v>
      </c>
      <c r="V30" s="4">
        <v>-4455</v>
      </c>
      <c r="W30" s="4">
        <v>-45</v>
      </c>
      <c r="X30" s="4">
        <v>0</v>
      </c>
      <c r="Y30" s="4">
        <v>0</v>
      </c>
      <c r="Z30" s="5">
        <v>-4500</v>
      </c>
      <c r="AA30" s="5">
        <v>0</v>
      </c>
      <c r="AB30" s="6">
        <v>0</v>
      </c>
      <c r="AC30" s="4">
        <v>-4500</v>
      </c>
      <c r="AD30" s="4">
        <v>0</v>
      </c>
      <c r="AE30" s="4">
        <v>-4500</v>
      </c>
      <c r="AF30" s="1"/>
      <c r="AG30" s="1"/>
      <c r="AH30" s="1"/>
      <c r="AI30" s="1"/>
      <c r="AJ30" s="1"/>
      <c r="AK30" s="1"/>
      <c r="AL30" s="1"/>
    </row>
    <row r="31" spans="1:38" hidden="1" x14ac:dyDescent="0.25">
      <c r="A31" s="2">
        <v>42</v>
      </c>
      <c r="B31" s="1" t="s">
        <v>47</v>
      </c>
      <c r="C31" s="1" t="s">
        <v>48</v>
      </c>
      <c r="D31" s="1" t="s">
        <v>2062</v>
      </c>
      <c r="E31" s="1" t="s">
        <v>2063</v>
      </c>
      <c r="F31" s="3">
        <v>44845</v>
      </c>
      <c r="G31" s="3">
        <v>44593</v>
      </c>
      <c r="H31" s="3">
        <v>44957</v>
      </c>
      <c r="I31" s="1" t="s">
        <v>2136</v>
      </c>
      <c r="J31" s="1" t="s">
        <v>2137</v>
      </c>
      <c r="K31" s="1"/>
      <c r="L31" s="1" t="s">
        <v>2138</v>
      </c>
      <c r="M31" s="1" t="s">
        <v>2139</v>
      </c>
      <c r="N31" s="1" t="s">
        <v>2140</v>
      </c>
      <c r="O31" s="1" t="s">
        <v>2141</v>
      </c>
      <c r="P31" s="1" t="s">
        <v>2081</v>
      </c>
      <c r="Q31" s="1"/>
      <c r="R31" s="1"/>
      <c r="S31" s="1" t="s">
        <v>2072</v>
      </c>
      <c r="T31" s="1" t="s">
        <v>2073</v>
      </c>
      <c r="U31" s="4">
        <v>1612000</v>
      </c>
      <c r="V31" s="4">
        <v>3483</v>
      </c>
      <c r="W31" s="4">
        <v>35</v>
      </c>
      <c r="X31" s="4">
        <v>452</v>
      </c>
      <c r="Y31" s="4">
        <v>0</v>
      </c>
      <c r="Z31" s="5">
        <v>3970</v>
      </c>
      <c r="AA31" s="5">
        <v>0</v>
      </c>
      <c r="AB31" s="6">
        <v>0</v>
      </c>
      <c r="AC31" s="4">
        <v>3970</v>
      </c>
      <c r="AD31" s="4">
        <v>0</v>
      </c>
      <c r="AE31" s="4">
        <v>3970</v>
      </c>
      <c r="AF31" s="1"/>
      <c r="AG31" s="1"/>
      <c r="AH31" s="1"/>
      <c r="AI31" s="1"/>
      <c r="AJ31" s="6">
        <v>3715.4416598334155</v>
      </c>
      <c r="AK31" s="6">
        <v>3587.7491181487731</v>
      </c>
      <c r="AL31" s="1" t="s">
        <v>2142</v>
      </c>
    </row>
    <row r="32" spans="1:38" hidden="1" x14ac:dyDescent="0.25">
      <c r="A32" s="2">
        <v>43</v>
      </c>
      <c r="B32" s="1" t="s">
        <v>47</v>
      </c>
      <c r="C32" s="1" t="s">
        <v>49</v>
      </c>
      <c r="D32" s="1" t="s">
        <v>2062</v>
      </c>
      <c r="E32" s="1" t="s">
        <v>2063</v>
      </c>
      <c r="F32" s="3">
        <v>45596</v>
      </c>
      <c r="G32" s="3">
        <v>44593</v>
      </c>
      <c r="H32" s="3">
        <v>44957</v>
      </c>
      <c r="I32" s="1" t="s">
        <v>2136</v>
      </c>
      <c r="J32" s="1" t="s">
        <v>2137</v>
      </c>
      <c r="K32" s="1"/>
      <c r="L32" s="1" t="s">
        <v>2138</v>
      </c>
      <c r="M32" s="1" t="s">
        <v>2139</v>
      </c>
      <c r="N32" s="1" t="s">
        <v>2140</v>
      </c>
      <c r="O32" s="1" t="s">
        <v>2141</v>
      </c>
      <c r="P32" s="1" t="s">
        <v>2081</v>
      </c>
      <c r="Q32" s="1"/>
      <c r="R32" s="1"/>
      <c r="S32" s="1" t="s">
        <v>2072</v>
      </c>
      <c r="T32" s="1" t="s">
        <v>2073</v>
      </c>
      <c r="U32" s="4">
        <v>-1</v>
      </c>
      <c r="V32" s="4">
        <v>-3931</v>
      </c>
      <c r="W32" s="4">
        <v>-39</v>
      </c>
      <c r="X32" s="4">
        <v>0</v>
      </c>
      <c r="Y32" s="4">
        <v>0</v>
      </c>
      <c r="Z32" s="5">
        <v>-3970</v>
      </c>
      <c r="AA32" s="5">
        <v>0</v>
      </c>
      <c r="AB32" s="6">
        <v>0</v>
      </c>
      <c r="AC32" s="4">
        <v>-3970</v>
      </c>
      <c r="AD32" s="4">
        <v>0</v>
      </c>
      <c r="AE32" s="4">
        <v>-3970</v>
      </c>
      <c r="AF32" s="1"/>
      <c r="AG32" s="1"/>
      <c r="AH32" s="1"/>
      <c r="AI32" s="1" t="s">
        <v>2143</v>
      </c>
      <c r="AJ32" s="1"/>
      <c r="AK32" s="1"/>
      <c r="AL32" s="1"/>
    </row>
    <row r="33" spans="1:38" hidden="1" x14ac:dyDescent="0.25">
      <c r="A33" s="2">
        <v>44</v>
      </c>
      <c r="B33" s="1" t="s">
        <v>50</v>
      </c>
      <c r="C33" s="1" t="s">
        <v>51</v>
      </c>
      <c r="D33" s="1" t="s">
        <v>2062</v>
      </c>
      <c r="E33" s="1" t="s">
        <v>2063</v>
      </c>
      <c r="F33" s="3">
        <v>44929</v>
      </c>
      <c r="G33" s="3">
        <v>44585</v>
      </c>
      <c r="H33" s="3">
        <v>44949</v>
      </c>
      <c r="I33" s="1" t="s">
        <v>2144</v>
      </c>
      <c r="J33" s="1" t="s">
        <v>2145</v>
      </c>
      <c r="K33" s="1" t="s">
        <v>2146</v>
      </c>
      <c r="L33" s="1" t="s">
        <v>2147</v>
      </c>
      <c r="M33" s="1" t="s">
        <v>2148</v>
      </c>
      <c r="N33" s="1" t="s">
        <v>2149</v>
      </c>
      <c r="O33" s="1" t="s">
        <v>2150</v>
      </c>
      <c r="P33" s="1" t="s">
        <v>2095</v>
      </c>
      <c r="Q33" s="1"/>
      <c r="R33" s="1"/>
      <c r="S33" s="1" t="s">
        <v>2072</v>
      </c>
      <c r="T33" s="1" t="s">
        <v>2111</v>
      </c>
      <c r="U33" s="4">
        <v>3700000</v>
      </c>
      <c r="V33" s="4">
        <v>683</v>
      </c>
      <c r="W33" s="4">
        <v>7</v>
      </c>
      <c r="X33" s="4">
        <v>89</v>
      </c>
      <c r="Y33" s="4">
        <v>0</v>
      </c>
      <c r="Z33" s="5">
        <v>779</v>
      </c>
      <c r="AA33" s="5">
        <v>0</v>
      </c>
      <c r="AB33" s="6">
        <v>0</v>
      </c>
      <c r="AC33" s="4">
        <v>779</v>
      </c>
      <c r="AD33" s="4">
        <v>0</v>
      </c>
      <c r="AE33" s="4">
        <v>779</v>
      </c>
      <c r="AF33" s="1"/>
      <c r="AG33" s="1"/>
      <c r="AH33" s="1"/>
      <c r="AI33" s="1"/>
      <c r="AJ33" s="1"/>
      <c r="AK33" s="1"/>
      <c r="AL33" s="1" t="s">
        <v>2151</v>
      </c>
    </row>
    <row r="34" spans="1:38" hidden="1" x14ac:dyDescent="0.25">
      <c r="A34" s="2">
        <v>45</v>
      </c>
      <c r="B34" s="1" t="s">
        <v>50</v>
      </c>
      <c r="C34" s="1" t="s">
        <v>52</v>
      </c>
      <c r="D34" s="1" t="s">
        <v>2062</v>
      </c>
      <c r="E34" s="1" t="s">
        <v>2063</v>
      </c>
      <c r="F34" s="3">
        <v>45596</v>
      </c>
      <c r="G34" s="3">
        <v>44585</v>
      </c>
      <c r="H34" s="3">
        <v>44949</v>
      </c>
      <c r="I34" s="1" t="s">
        <v>2144</v>
      </c>
      <c r="J34" s="1" t="s">
        <v>2145</v>
      </c>
      <c r="K34" s="1" t="s">
        <v>2146</v>
      </c>
      <c r="L34" s="1" t="s">
        <v>2147</v>
      </c>
      <c r="M34" s="1" t="s">
        <v>2148</v>
      </c>
      <c r="N34" s="1" t="s">
        <v>2149</v>
      </c>
      <c r="O34" s="1" t="s">
        <v>2150</v>
      </c>
      <c r="P34" s="1" t="s">
        <v>2095</v>
      </c>
      <c r="Q34" s="1"/>
      <c r="R34" s="1"/>
      <c r="S34" s="1" t="s">
        <v>2072</v>
      </c>
      <c r="T34" s="1" t="s">
        <v>2111</v>
      </c>
      <c r="U34" s="4">
        <v>-1</v>
      </c>
      <c r="V34" s="4">
        <v>-771</v>
      </c>
      <c r="W34" s="4">
        <v>-8</v>
      </c>
      <c r="X34" s="4">
        <v>0</v>
      </c>
      <c r="Y34" s="4">
        <v>0</v>
      </c>
      <c r="Z34" s="5">
        <v>-779</v>
      </c>
      <c r="AA34" s="5">
        <v>0</v>
      </c>
      <c r="AB34" s="6">
        <v>0</v>
      </c>
      <c r="AC34" s="4">
        <v>-779</v>
      </c>
      <c r="AD34" s="4">
        <v>0</v>
      </c>
      <c r="AE34" s="4">
        <v>-779</v>
      </c>
      <c r="AF34" s="1"/>
      <c r="AG34" s="1"/>
      <c r="AH34" s="1"/>
      <c r="AI34" s="1"/>
      <c r="AJ34" s="1"/>
      <c r="AK34" s="1"/>
      <c r="AL34" s="1"/>
    </row>
    <row r="35" spans="1:38" hidden="1" x14ac:dyDescent="0.25">
      <c r="A35" s="2">
        <v>49</v>
      </c>
      <c r="B35" s="1" t="s">
        <v>53</v>
      </c>
      <c r="C35" s="1" t="s">
        <v>54</v>
      </c>
      <c r="D35" s="1" t="s">
        <v>2062</v>
      </c>
      <c r="E35" s="1" t="s">
        <v>2063</v>
      </c>
      <c r="F35" s="3">
        <v>44889</v>
      </c>
      <c r="G35" s="3">
        <v>44627</v>
      </c>
      <c r="H35" s="3">
        <v>44991</v>
      </c>
      <c r="I35" s="1" t="s">
        <v>2152</v>
      </c>
      <c r="J35" s="1" t="s">
        <v>2153</v>
      </c>
      <c r="K35" s="1"/>
      <c r="L35" s="1" t="s">
        <v>2154</v>
      </c>
      <c r="M35" s="1" t="s">
        <v>2155</v>
      </c>
      <c r="N35" s="1" t="s">
        <v>2156</v>
      </c>
      <c r="O35" s="1" t="s">
        <v>2157</v>
      </c>
      <c r="P35" s="1" t="s">
        <v>2088</v>
      </c>
      <c r="Q35" s="1"/>
      <c r="R35" s="1"/>
      <c r="S35" s="1" t="s">
        <v>2072</v>
      </c>
      <c r="T35" s="1" t="s">
        <v>2158</v>
      </c>
      <c r="U35" s="4">
        <v>2500000</v>
      </c>
      <c r="V35" s="4">
        <v>336</v>
      </c>
      <c r="W35" s="4">
        <v>3</v>
      </c>
      <c r="X35" s="4">
        <v>0</v>
      </c>
      <c r="Y35" s="4">
        <v>0</v>
      </c>
      <c r="Z35" s="5">
        <v>339</v>
      </c>
      <c r="AA35" s="5">
        <v>0</v>
      </c>
      <c r="AB35" s="6">
        <v>0</v>
      </c>
      <c r="AC35" s="4">
        <v>339</v>
      </c>
      <c r="AD35" s="4">
        <v>0</v>
      </c>
      <c r="AE35" s="4">
        <v>339</v>
      </c>
      <c r="AF35" s="1"/>
      <c r="AG35" s="1"/>
      <c r="AH35" s="1"/>
      <c r="AI35" s="1"/>
      <c r="AJ35" s="6">
        <v>195.47546162141199</v>
      </c>
      <c r="AK35" s="6">
        <v>195.47546162141199</v>
      </c>
      <c r="AL35" s="1" t="s">
        <v>2159</v>
      </c>
    </row>
    <row r="36" spans="1:38" hidden="1" x14ac:dyDescent="0.25">
      <c r="A36" s="2">
        <v>50</v>
      </c>
      <c r="B36" s="1" t="s">
        <v>53</v>
      </c>
      <c r="C36" s="1" t="s">
        <v>55</v>
      </c>
      <c r="D36" s="1" t="s">
        <v>2062</v>
      </c>
      <c r="E36" s="1" t="s">
        <v>2063</v>
      </c>
      <c r="F36" s="3">
        <v>44902</v>
      </c>
      <c r="G36" s="3">
        <v>44627</v>
      </c>
      <c r="H36" s="3">
        <v>44991</v>
      </c>
      <c r="I36" s="1" t="s">
        <v>2152</v>
      </c>
      <c r="J36" s="1" t="s">
        <v>2153</v>
      </c>
      <c r="K36" s="1"/>
      <c r="L36" s="1" t="s">
        <v>2154</v>
      </c>
      <c r="M36" s="1" t="s">
        <v>2155</v>
      </c>
      <c r="N36" s="1" t="s">
        <v>2156</v>
      </c>
      <c r="O36" s="1" t="s">
        <v>2157</v>
      </c>
      <c r="P36" s="1" t="s">
        <v>2088</v>
      </c>
      <c r="Q36" s="1"/>
      <c r="R36" s="1"/>
      <c r="S36" s="1" t="s">
        <v>2072</v>
      </c>
      <c r="T36" s="1" t="s">
        <v>2158</v>
      </c>
      <c r="U36" s="4">
        <v>2500000</v>
      </c>
      <c r="V36" s="4">
        <v>202</v>
      </c>
      <c r="W36" s="4">
        <v>2</v>
      </c>
      <c r="X36" s="4">
        <v>0</v>
      </c>
      <c r="Y36" s="4">
        <v>0</v>
      </c>
      <c r="Z36" s="5">
        <v>204</v>
      </c>
      <c r="AA36" s="5">
        <v>0</v>
      </c>
      <c r="AB36" s="6">
        <v>0</v>
      </c>
      <c r="AC36" s="4">
        <v>204</v>
      </c>
      <c r="AD36" s="4">
        <v>0</v>
      </c>
      <c r="AE36" s="4">
        <v>204</v>
      </c>
      <c r="AF36" s="1"/>
      <c r="AG36" s="1"/>
      <c r="AH36" s="1"/>
      <c r="AI36" s="1"/>
      <c r="AJ36" s="6">
        <v>118.29875994674201</v>
      </c>
      <c r="AK36" s="6">
        <v>118.29875994674201</v>
      </c>
      <c r="AL36" s="1" t="s">
        <v>2159</v>
      </c>
    </row>
    <row r="37" spans="1:38" hidden="1" x14ac:dyDescent="0.25">
      <c r="A37" s="2">
        <v>51</v>
      </c>
      <c r="B37" s="1" t="s">
        <v>53</v>
      </c>
      <c r="C37" s="1" t="s">
        <v>56</v>
      </c>
      <c r="D37" s="1" t="s">
        <v>2062</v>
      </c>
      <c r="E37" s="1" t="s">
        <v>2063</v>
      </c>
      <c r="F37" s="3">
        <v>44942</v>
      </c>
      <c r="G37" s="3">
        <v>44627</v>
      </c>
      <c r="H37" s="3">
        <v>44991</v>
      </c>
      <c r="I37" s="1" t="s">
        <v>2152</v>
      </c>
      <c r="J37" s="1" t="s">
        <v>2153</v>
      </c>
      <c r="K37" s="1"/>
      <c r="L37" s="1" t="s">
        <v>2154</v>
      </c>
      <c r="M37" s="1" t="s">
        <v>2155</v>
      </c>
      <c r="N37" s="1" t="s">
        <v>2156</v>
      </c>
      <c r="O37" s="1" t="s">
        <v>2157</v>
      </c>
      <c r="P37" s="1" t="s">
        <v>2088</v>
      </c>
      <c r="Q37" s="1"/>
      <c r="R37" s="1"/>
      <c r="S37" s="1" t="s">
        <v>2072</v>
      </c>
      <c r="T37" s="1" t="s">
        <v>2158</v>
      </c>
      <c r="U37" s="4">
        <v>2500000</v>
      </c>
      <c r="V37" s="4">
        <v>111</v>
      </c>
      <c r="W37" s="4">
        <v>0</v>
      </c>
      <c r="X37" s="4">
        <v>0</v>
      </c>
      <c r="Y37" s="4">
        <v>0</v>
      </c>
      <c r="Z37" s="5">
        <v>111</v>
      </c>
      <c r="AA37" s="5">
        <v>0</v>
      </c>
      <c r="AB37" s="6">
        <v>0</v>
      </c>
      <c r="AC37" s="4">
        <v>111</v>
      </c>
      <c r="AD37" s="4">
        <v>0</v>
      </c>
      <c r="AE37" s="4">
        <v>111</v>
      </c>
      <c r="AF37" s="1"/>
      <c r="AG37" s="1"/>
      <c r="AH37" s="1"/>
      <c r="AI37" s="1"/>
      <c r="AJ37" s="6">
        <v>64.672563317218092</v>
      </c>
      <c r="AK37" s="6">
        <v>64.672563317218092</v>
      </c>
      <c r="AL37" s="1" t="s">
        <v>2159</v>
      </c>
    </row>
    <row r="38" spans="1:38" hidden="1" x14ac:dyDescent="0.25">
      <c r="A38" s="2">
        <v>52</v>
      </c>
      <c r="B38" s="1" t="s">
        <v>53</v>
      </c>
      <c r="C38" s="1" t="s">
        <v>57</v>
      </c>
      <c r="D38" s="1" t="s">
        <v>2062</v>
      </c>
      <c r="E38" s="1" t="s">
        <v>2063</v>
      </c>
      <c r="F38" s="3">
        <v>44967</v>
      </c>
      <c r="G38" s="3">
        <v>44627</v>
      </c>
      <c r="H38" s="3">
        <v>44991</v>
      </c>
      <c r="I38" s="1" t="s">
        <v>2152</v>
      </c>
      <c r="J38" s="1" t="s">
        <v>2153</v>
      </c>
      <c r="K38" s="1"/>
      <c r="L38" s="1" t="s">
        <v>2154</v>
      </c>
      <c r="M38" s="1" t="s">
        <v>2155</v>
      </c>
      <c r="N38" s="1" t="s">
        <v>2156</v>
      </c>
      <c r="O38" s="1" t="s">
        <v>2157</v>
      </c>
      <c r="P38" s="1" t="s">
        <v>2088</v>
      </c>
      <c r="Q38" s="1"/>
      <c r="R38" s="1"/>
      <c r="S38" s="1" t="s">
        <v>2072</v>
      </c>
      <c r="T38" s="1" t="s">
        <v>2158</v>
      </c>
      <c r="U38" s="4">
        <v>2500000</v>
      </c>
      <c r="V38" s="4">
        <v>336</v>
      </c>
      <c r="W38" s="4">
        <v>3</v>
      </c>
      <c r="X38" s="4">
        <v>0</v>
      </c>
      <c r="Y38" s="4">
        <v>0</v>
      </c>
      <c r="Z38" s="5">
        <v>339</v>
      </c>
      <c r="AA38" s="5">
        <v>0</v>
      </c>
      <c r="AB38" s="6">
        <v>0</v>
      </c>
      <c r="AC38" s="4">
        <v>339</v>
      </c>
      <c r="AD38" s="4">
        <v>0</v>
      </c>
      <c r="AE38" s="4">
        <v>339</v>
      </c>
      <c r="AF38" s="1"/>
      <c r="AG38" s="1"/>
      <c r="AH38" s="1"/>
      <c r="AI38" s="1"/>
      <c r="AJ38" s="6">
        <v>197.60380070139701</v>
      </c>
      <c r="AK38" s="6">
        <v>197.60380070139701</v>
      </c>
      <c r="AL38" s="1" t="s">
        <v>2159</v>
      </c>
    </row>
    <row r="39" spans="1:38" hidden="1" x14ac:dyDescent="0.25">
      <c r="A39" s="2">
        <v>53</v>
      </c>
      <c r="B39" s="1" t="s">
        <v>53</v>
      </c>
      <c r="C39" s="1" t="s">
        <v>58</v>
      </c>
      <c r="D39" s="1" t="s">
        <v>2062</v>
      </c>
      <c r="E39" s="1" t="s">
        <v>2063</v>
      </c>
      <c r="F39" s="3">
        <v>45596</v>
      </c>
      <c r="G39" s="3">
        <v>44627</v>
      </c>
      <c r="H39" s="3">
        <v>44991</v>
      </c>
      <c r="I39" s="1" t="s">
        <v>2152</v>
      </c>
      <c r="J39" s="1" t="s">
        <v>2153</v>
      </c>
      <c r="K39" s="1"/>
      <c r="L39" s="1" t="s">
        <v>2154</v>
      </c>
      <c r="M39" s="1" t="s">
        <v>2155</v>
      </c>
      <c r="N39" s="1" t="s">
        <v>2156</v>
      </c>
      <c r="O39" s="1" t="s">
        <v>2157</v>
      </c>
      <c r="P39" s="1" t="s">
        <v>2088</v>
      </c>
      <c r="Q39" s="1"/>
      <c r="R39" s="1"/>
      <c r="S39" s="1" t="s">
        <v>2072</v>
      </c>
      <c r="T39" s="1" t="s">
        <v>2158</v>
      </c>
      <c r="U39" s="4">
        <v>-1</v>
      </c>
      <c r="V39" s="4">
        <v>-983</v>
      </c>
      <c r="W39" s="4">
        <v>-10</v>
      </c>
      <c r="X39" s="4">
        <v>0</v>
      </c>
      <c r="Y39" s="4">
        <v>0</v>
      </c>
      <c r="Z39" s="5">
        <v>-993</v>
      </c>
      <c r="AA39" s="5">
        <v>0</v>
      </c>
      <c r="AB39" s="6">
        <v>0</v>
      </c>
      <c r="AC39" s="4">
        <v>-993</v>
      </c>
      <c r="AD39" s="4">
        <v>0</v>
      </c>
      <c r="AE39" s="4">
        <v>-993</v>
      </c>
      <c r="AF39" s="1"/>
      <c r="AG39" s="1"/>
      <c r="AH39" s="1"/>
      <c r="AI39" s="1"/>
      <c r="AJ39" s="1"/>
      <c r="AK39" s="1"/>
      <c r="AL39" s="1"/>
    </row>
    <row r="40" spans="1:38" hidden="1" x14ac:dyDescent="0.25">
      <c r="A40" s="2">
        <v>59</v>
      </c>
      <c r="B40" s="1" t="s">
        <v>59</v>
      </c>
      <c r="C40" s="1" t="s">
        <v>60</v>
      </c>
      <c r="D40" s="1" t="s">
        <v>2062</v>
      </c>
      <c r="E40" s="1" t="s">
        <v>2063</v>
      </c>
      <c r="F40" s="3">
        <v>45012</v>
      </c>
      <c r="G40" s="3">
        <v>44659</v>
      </c>
      <c r="H40" s="3">
        <v>45023</v>
      </c>
      <c r="I40" s="1" t="s">
        <v>2160</v>
      </c>
      <c r="J40" s="1" t="s">
        <v>2161</v>
      </c>
      <c r="K40" s="1"/>
      <c r="L40" s="1" t="s">
        <v>2099</v>
      </c>
      <c r="M40" s="1" t="s">
        <v>2162</v>
      </c>
      <c r="N40" s="1" t="s">
        <v>2163</v>
      </c>
      <c r="O40" s="1" t="s">
        <v>2164</v>
      </c>
      <c r="P40" s="1" t="s">
        <v>2165</v>
      </c>
      <c r="Q40" s="1"/>
      <c r="R40" s="1"/>
      <c r="S40" s="1" t="s">
        <v>2072</v>
      </c>
      <c r="T40" s="1" t="s">
        <v>2166</v>
      </c>
      <c r="U40" s="4">
        <v>1800000</v>
      </c>
      <c r="V40" s="4">
        <v>471</v>
      </c>
      <c r="W40" s="4">
        <v>4</v>
      </c>
      <c r="X40" s="4">
        <v>61</v>
      </c>
      <c r="Y40" s="4">
        <v>0</v>
      </c>
      <c r="Z40" s="5">
        <v>536</v>
      </c>
      <c r="AA40" s="5">
        <v>0</v>
      </c>
      <c r="AB40" s="6">
        <v>0</v>
      </c>
      <c r="AC40" s="4">
        <v>536</v>
      </c>
      <c r="AD40" s="4">
        <v>0</v>
      </c>
      <c r="AE40" s="4">
        <v>536</v>
      </c>
      <c r="AF40" s="1"/>
      <c r="AG40" s="1"/>
      <c r="AH40" s="1"/>
      <c r="AI40" s="1"/>
      <c r="AJ40" s="6">
        <v>401.53757674572904</v>
      </c>
      <c r="AK40" s="6">
        <v>401.37383122255602</v>
      </c>
      <c r="AL40" s="1" t="s">
        <v>2167</v>
      </c>
    </row>
    <row r="41" spans="1:38" hidden="1" x14ac:dyDescent="0.25">
      <c r="A41" s="2">
        <v>60</v>
      </c>
      <c r="B41" s="1" t="s">
        <v>59</v>
      </c>
      <c r="C41" s="1" t="s">
        <v>61</v>
      </c>
      <c r="D41" s="1" t="s">
        <v>2062</v>
      </c>
      <c r="E41" s="1" t="s">
        <v>2063</v>
      </c>
      <c r="F41" s="3">
        <v>45596</v>
      </c>
      <c r="G41" s="3">
        <v>44659</v>
      </c>
      <c r="H41" s="3">
        <v>45023</v>
      </c>
      <c r="I41" s="1" t="s">
        <v>2160</v>
      </c>
      <c r="J41" s="1" t="s">
        <v>2161</v>
      </c>
      <c r="K41" s="1" t="s">
        <v>2168</v>
      </c>
      <c r="L41" s="1" t="s">
        <v>2099</v>
      </c>
      <c r="M41" s="1" t="s">
        <v>2162</v>
      </c>
      <c r="N41" s="1" t="s">
        <v>2163</v>
      </c>
      <c r="O41" s="1" t="s">
        <v>2164</v>
      </c>
      <c r="P41" s="1" t="s">
        <v>2165</v>
      </c>
      <c r="Q41" s="1"/>
      <c r="R41" s="1"/>
      <c r="S41" s="1" t="s">
        <v>2072</v>
      </c>
      <c r="T41" s="1" t="s">
        <v>2166</v>
      </c>
      <c r="U41" s="4">
        <v>-1</v>
      </c>
      <c r="V41" s="4">
        <v>-531</v>
      </c>
      <c r="W41" s="4">
        <v>-5</v>
      </c>
      <c r="X41" s="4">
        <v>0</v>
      </c>
      <c r="Y41" s="4">
        <v>0</v>
      </c>
      <c r="Z41" s="5">
        <v>-536</v>
      </c>
      <c r="AA41" s="5">
        <v>0</v>
      </c>
      <c r="AB41" s="6">
        <v>0</v>
      </c>
      <c r="AC41" s="4">
        <v>-536</v>
      </c>
      <c r="AD41" s="4">
        <v>0</v>
      </c>
      <c r="AE41" s="4">
        <v>-536</v>
      </c>
      <c r="AF41" s="1"/>
      <c r="AG41" s="1"/>
      <c r="AH41" s="1"/>
      <c r="AI41" s="1"/>
      <c r="AJ41" s="1"/>
      <c r="AK41" s="1"/>
      <c r="AL41" s="1"/>
    </row>
    <row r="42" spans="1:38" x14ac:dyDescent="0.25">
      <c r="A42" s="2">
        <v>61</v>
      </c>
      <c r="B42" s="1" t="s">
        <v>62</v>
      </c>
      <c r="C42" s="1"/>
      <c r="D42" s="1" t="s">
        <v>2062</v>
      </c>
      <c r="E42" s="1" t="s">
        <v>2063</v>
      </c>
      <c r="F42" s="3">
        <v>44687</v>
      </c>
      <c r="G42" s="3">
        <v>44677</v>
      </c>
      <c r="H42" s="3">
        <v>45041</v>
      </c>
      <c r="I42" s="1" t="s">
        <v>2169</v>
      </c>
      <c r="J42" s="1" t="s">
        <v>2170</v>
      </c>
      <c r="K42" s="1"/>
      <c r="L42" s="1" t="s">
        <v>2171</v>
      </c>
      <c r="M42" s="1" t="s">
        <v>2172</v>
      </c>
      <c r="N42" s="1" t="s">
        <v>2173</v>
      </c>
      <c r="O42" s="1" t="s">
        <v>2174</v>
      </c>
      <c r="P42" s="1" t="s">
        <v>2088</v>
      </c>
      <c r="Q42" s="1"/>
      <c r="R42" s="1"/>
      <c r="S42" s="1" t="s">
        <v>2072</v>
      </c>
      <c r="T42" s="1" t="s">
        <v>2073</v>
      </c>
      <c r="U42" s="1"/>
      <c r="V42" s="4">
        <v>33798</v>
      </c>
      <c r="W42" s="4">
        <v>338</v>
      </c>
      <c r="X42" s="4">
        <v>4394</v>
      </c>
      <c r="Y42" s="4">
        <v>50</v>
      </c>
      <c r="Z42" s="5">
        <v>38580</v>
      </c>
      <c r="AA42" s="5">
        <v>38581</v>
      </c>
      <c r="AB42" s="6">
        <v>0</v>
      </c>
      <c r="AC42" s="4">
        <v>-1</v>
      </c>
      <c r="AD42" s="4">
        <v>0</v>
      </c>
      <c r="AE42" s="4">
        <v>-1</v>
      </c>
      <c r="AF42" s="1"/>
      <c r="AG42" s="1"/>
      <c r="AH42" s="1"/>
      <c r="AI42" s="1"/>
      <c r="AJ42" s="1"/>
      <c r="AK42" s="1"/>
      <c r="AL42" s="1" t="s">
        <v>2175</v>
      </c>
    </row>
    <row r="43" spans="1:38" hidden="1" x14ac:dyDescent="0.25">
      <c r="A43" s="2">
        <v>62</v>
      </c>
      <c r="B43" s="1" t="s">
        <v>62</v>
      </c>
      <c r="C43" s="1" t="s">
        <v>63</v>
      </c>
      <c r="D43" s="1" t="s">
        <v>2062</v>
      </c>
      <c r="E43" s="1" t="s">
        <v>2063</v>
      </c>
      <c r="F43" s="3">
        <v>45013</v>
      </c>
      <c r="G43" s="3">
        <v>44677</v>
      </c>
      <c r="H43" s="3">
        <v>45041</v>
      </c>
      <c r="I43" s="1" t="s">
        <v>2169</v>
      </c>
      <c r="J43" s="1" t="s">
        <v>2170</v>
      </c>
      <c r="K43" s="1" t="s">
        <v>2168</v>
      </c>
      <c r="L43" s="1" t="s">
        <v>2171</v>
      </c>
      <c r="M43" s="1" t="s">
        <v>2172</v>
      </c>
      <c r="N43" s="1" t="s">
        <v>2173</v>
      </c>
      <c r="O43" s="1" t="s">
        <v>2174</v>
      </c>
      <c r="P43" s="1" t="s">
        <v>2088</v>
      </c>
      <c r="Q43" s="1"/>
      <c r="R43" s="1"/>
      <c r="S43" s="1" t="s">
        <v>2072</v>
      </c>
      <c r="T43" s="1" t="s">
        <v>2073</v>
      </c>
      <c r="U43" s="4">
        <v>3897000</v>
      </c>
      <c r="V43" s="4">
        <v>90</v>
      </c>
      <c r="W43" s="4">
        <v>1</v>
      </c>
      <c r="X43" s="4">
        <v>0</v>
      </c>
      <c r="Y43" s="4">
        <v>0</v>
      </c>
      <c r="Z43" s="5">
        <v>91</v>
      </c>
      <c r="AA43" s="5">
        <v>90</v>
      </c>
      <c r="AB43" s="6">
        <v>0</v>
      </c>
      <c r="AC43" s="4">
        <v>1</v>
      </c>
      <c r="AD43" s="4">
        <v>0</v>
      </c>
      <c r="AE43" s="4">
        <v>1</v>
      </c>
      <c r="AF43" s="1"/>
      <c r="AG43" s="1"/>
      <c r="AH43" s="1"/>
      <c r="AI43" s="1"/>
      <c r="AJ43" s="1"/>
      <c r="AK43" s="1"/>
      <c r="AL43" s="1" t="s">
        <v>2175</v>
      </c>
    </row>
    <row r="44" spans="1:38" hidden="1" x14ac:dyDescent="0.25">
      <c r="A44" s="2">
        <v>63</v>
      </c>
      <c r="B44" s="1" t="s">
        <v>64</v>
      </c>
      <c r="C44" s="1" t="s">
        <v>65</v>
      </c>
      <c r="D44" s="1" t="s">
        <v>2062</v>
      </c>
      <c r="E44" s="1" t="s">
        <v>2063</v>
      </c>
      <c r="F44" s="3">
        <v>44845</v>
      </c>
      <c r="G44" s="3">
        <v>44691</v>
      </c>
      <c r="H44" s="3">
        <v>45055</v>
      </c>
      <c r="I44" s="1" t="s">
        <v>2176</v>
      </c>
      <c r="J44" s="1" t="s">
        <v>2177</v>
      </c>
      <c r="K44" s="1"/>
      <c r="L44" s="1" t="s">
        <v>2178</v>
      </c>
      <c r="M44" s="1" t="s">
        <v>2179</v>
      </c>
      <c r="N44" s="1" t="s">
        <v>2180</v>
      </c>
      <c r="O44" s="1" t="s">
        <v>2181</v>
      </c>
      <c r="P44" s="1" t="s">
        <v>2182</v>
      </c>
      <c r="Q44" s="1"/>
      <c r="R44" s="1"/>
      <c r="S44" s="1" t="s">
        <v>2072</v>
      </c>
      <c r="T44" s="1" t="s">
        <v>2073</v>
      </c>
      <c r="U44" s="4">
        <v>1700000</v>
      </c>
      <c r="V44" s="4">
        <v>850</v>
      </c>
      <c r="W44" s="4">
        <v>9</v>
      </c>
      <c r="X44" s="4">
        <v>110</v>
      </c>
      <c r="Y44" s="4">
        <v>0</v>
      </c>
      <c r="Z44" s="5">
        <v>969</v>
      </c>
      <c r="AA44" s="5">
        <v>0</v>
      </c>
      <c r="AB44" s="6">
        <v>0</v>
      </c>
      <c r="AC44" s="4">
        <v>969</v>
      </c>
      <c r="AD44" s="4">
        <v>0</v>
      </c>
      <c r="AE44" s="4">
        <v>969</v>
      </c>
      <c r="AF44" s="1"/>
      <c r="AG44" s="1"/>
      <c r="AH44" s="1"/>
      <c r="AI44" s="1"/>
      <c r="AJ44" s="6">
        <v>920.23396763811604</v>
      </c>
      <c r="AK44" s="6">
        <v>828.19647408850301</v>
      </c>
      <c r="AL44" s="1" t="s">
        <v>2183</v>
      </c>
    </row>
    <row r="45" spans="1:38" hidden="1" x14ac:dyDescent="0.25">
      <c r="A45" s="2">
        <v>64</v>
      </c>
      <c r="B45" s="1" t="s">
        <v>64</v>
      </c>
      <c r="C45" s="1" t="s">
        <v>66</v>
      </c>
      <c r="D45" s="1" t="s">
        <v>2062</v>
      </c>
      <c r="E45" s="1" t="s">
        <v>2063</v>
      </c>
      <c r="F45" s="3">
        <v>45596</v>
      </c>
      <c r="G45" s="3">
        <v>44691</v>
      </c>
      <c r="H45" s="3">
        <v>45055</v>
      </c>
      <c r="I45" s="1" t="s">
        <v>2176</v>
      </c>
      <c r="J45" s="1" t="s">
        <v>2177</v>
      </c>
      <c r="K45" s="1"/>
      <c r="L45" s="1" t="s">
        <v>2178</v>
      </c>
      <c r="M45" s="1" t="s">
        <v>2179</v>
      </c>
      <c r="N45" s="1" t="s">
        <v>2180</v>
      </c>
      <c r="O45" s="1" t="s">
        <v>2181</v>
      </c>
      <c r="P45" s="1" t="s">
        <v>2182</v>
      </c>
      <c r="Q45" s="1"/>
      <c r="R45" s="1"/>
      <c r="S45" s="1" t="s">
        <v>2072</v>
      </c>
      <c r="T45" s="1" t="s">
        <v>2073</v>
      </c>
      <c r="U45" s="4">
        <v>-1</v>
      </c>
      <c r="V45" s="4">
        <v>-959</v>
      </c>
      <c r="W45" s="4">
        <v>-10</v>
      </c>
      <c r="X45" s="4">
        <v>0</v>
      </c>
      <c r="Y45" s="4">
        <v>0</v>
      </c>
      <c r="Z45" s="5">
        <v>-969</v>
      </c>
      <c r="AA45" s="5">
        <v>0</v>
      </c>
      <c r="AB45" s="6">
        <v>0</v>
      </c>
      <c r="AC45" s="4">
        <v>-969</v>
      </c>
      <c r="AD45" s="4">
        <v>0</v>
      </c>
      <c r="AE45" s="4">
        <v>-969</v>
      </c>
      <c r="AF45" s="1"/>
      <c r="AG45" s="1"/>
      <c r="AH45" s="1"/>
      <c r="AI45" s="1"/>
      <c r="AJ45" s="1"/>
      <c r="AK45" s="1"/>
      <c r="AL45" s="1"/>
    </row>
    <row r="46" spans="1:38" hidden="1" x14ac:dyDescent="0.25">
      <c r="A46" s="2">
        <v>65</v>
      </c>
      <c r="B46" s="1" t="s">
        <v>67</v>
      </c>
      <c r="C46" s="1" t="s">
        <v>68</v>
      </c>
      <c r="D46" s="1" t="s">
        <v>2062</v>
      </c>
      <c r="E46" s="1" t="s">
        <v>2063</v>
      </c>
      <c r="F46" s="3">
        <v>44845</v>
      </c>
      <c r="G46" s="3">
        <v>44690</v>
      </c>
      <c r="H46" s="3">
        <v>45054</v>
      </c>
      <c r="I46" s="1" t="s">
        <v>2184</v>
      </c>
      <c r="J46" s="1" t="s">
        <v>2185</v>
      </c>
      <c r="K46" s="1"/>
      <c r="L46" s="1" t="s">
        <v>2099</v>
      </c>
      <c r="M46" s="1" t="s">
        <v>2186</v>
      </c>
      <c r="N46" s="1" t="s">
        <v>2187</v>
      </c>
      <c r="O46" s="1" t="s">
        <v>2188</v>
      </c>
      <c r="P46" s="1" t="s">
        <v>2081</v>
      </c>
      <c r="Q46" s="1"/>
      <c r="R46" s="1"/>
      <c r="S46" s="1" t="s">
        <v>2072</v>
      </c>
      <c r="T46" s="1" t="s">
        <v>2166</v>
      </c>
      <c r="U46" s="4">
        <v>1800000</v>
      </c>
      <c r="V46" s="4">
        <v>381</v>
      </c>
      <c r="W46" s="4">
        <v>4</v>
      </c>
      <c r="X46" s="4">
        <v>49</v>
      </c>
      <c r="Y46" s="4">
        <v>0</v>
      </c>
      <c r="Z46" s="5">
        <v>434</v>
      </c>
      <c r="AA46" s="5">
        <v>0</v>
      </c>
      <c r="AB46" s="6">
        <v>0</v>
      </c>
      <c r="AC46" s="4">
        <v>434</v>
      </c>
      <c r="AD46" s="4">
        <v>0</v>
      </c>
      <c r="AE46" s="4">
        <v>434</v>
      </c>
      <c r="AF46" s="1"/>
      <c r="AG46" s="1"/>
      <c r="AH46" s="1"/>
      <c r="AI46" s="1"/>
      <c r="AJ46" s="6">
        <v>802.95779166759303</v>
      </c>
      <c r="AK46" s="6">
        <v>351.72397173676001</v>
      </c>
      <c r="AL46" s="1" t="s">
        <v>2167</v>
      </c>
    </row>
    <row r="47" spans="1:38" hidden="1" x14ac:dyDescent="0.25">
      <c r="A47" s="2">
        <v>66</v>
      </c>
      <c r="B47" s="1" t="s">
        <v>67</v>
      </c>
      <c r="C47" s="1" t="s">
        <v>69</v>
      </c>
      <c r="D47" s="1" t="s">
        <v>2062</v>
      </c>
      <c r="E47" s="1" t="s">
        <v>2063</v>
      </c>
      <c r="F47" s="3">
        <v>44985</v>
      </c>
      <c r="G47" s="3">
        <v>44690</v>
      </c>
      <c r="H47" s="3">
        <v>45054</v>
      </c>
      <c r="I47" s="1" t="s">
        <v>2184</v>
      </c>
      <c r="J47" s="1" t="s">
        <v>2185</v>
      </c>
      <c r="K47" s="1"/>
      <c r="L47" s="1" t="s">
        <v>2099</v>
      </c>
      <c r="M47" s="1" t="s">
        <v>2186</v>
      </c>
      <c r="N47" s="1" t="s">
        <v>2187</v>
      </c>
      <c r="O47" s="1" t="s">
        <v>2188</v>
      </c>
      <c r="P47" s="1" t="s">
        <v>2081</v>
      </c>
      <c r="Q47" s="1"/>
      <c r="R47" s="1"/>
      <c r="S47" s="1" t="s">
        <v>2072</v>
      </c>
      <c r="T47" s="1" t="s">
        <v>2166</v>
      </c>
      <c r="U47" s="4">
        <v>1800000</v>
      </c>
      <c r="V47" s="4">
        <v>-381</v>
      </c>
      <c r="W47" s="4">
        <v>-4</v>
      </c>
      <c r="X47" s="4">
        <v>0</v>
      </c>
      <c r="Y47" s="4">
        <v>0</v>
      </c>
      <c r="Z47" s="5">
        <v>-385</v>
      </c>
      <c r="AA47" s="5">
        <v>0</v>
      </c>
      <c r="AB47" s="6">
        <v>0</v>
      </c>
      <c r="AC47" s="4">
        <v>-385</v>
      </c>
      <c r="AD47" s="4">
        <v>0</v>
      </c>
      <c r="AE47" s="4">
        <v>-385</v>
      </c>
      <c r="AF47" s="1"/>
      <c r="AG47" s="1"/>
      <c r="AH47" s="1"/>
      <c r="AI47" s="1"/>
      <c r="AJ47" s="1"/>
      <c r="AK47" s="1"/>
      <c r="AL47" s="1" t="s">
        <v>2167</v>
      </c>
    </row>
    <row r="48" spans="1:38" hidden="1" x14ac:dyDescent="0.25">
      <c r="A48" s="2">
        <v>67</v>
      </c>
      <c r="B48" s="1" t="s">
        <v>67</v>
      </c>
      <c r="C48" s="1" t="s">
        <v>70</v>
      </c>
      <c r="D48" s="1" t="s">
        <v>2062</v>
      </c>
      <c r="E48" s="1" t="s">
        <v>2063</v>
      </c>
      <c r="F48" s="3">
        <v>45596</v>
      </c>
      <c r="G48" s="3">
        <v>44690</v>
      </c>
      <c r="H48" s="3">
        <v>45054</v>
      </c>
      <c r="I48" s="1" t="s">
        <v>2184</v>
      </c>
      <c r="J48" s="1" t="s">
        <v>2185</v>
      </c>
      <c r="K48" s="1"/>
      <c r="L48" s="1" t="s">
        <v>2099</v>
      </c>
      <c r="M48" s="1" t="s">
        <v>2186</v>
      </c>
      <c r="N48" s="1" t="s">
        <v>2187</v>
      </c>
      <c r="O48" s="1" t="s">
        <v>2188</v>
      </c>
      <c r="P48" s="1" t="s">
        <v>2081</v>
      </c>
      <c r="Q48" s="1"/>
      <c r="R48" s="1"/>
      <c r="S48" s="1" t="s">
        <v>2072</v>
      </c>
      <c r="T48" s="1" t="s">
        <v>2166</v>
      </c>
      <c r="U48" s="4">
        <v>-1</v>
      </c>
      <c r="V48" s="4">
        <v>-49</v>
      </c>
      <c r="W48" s="4">
        <v>0</v>
      </c>
      <c r="X48" s="4">
        <v>0</v>
      </c>
      <c r="Y48" s="4">
        <v>0</v>
      </c>
      <c r="Z48" s="5">
        <v>-49</v>
      </c>
      <c r="AA48" s="5">
        <v>0</v>
      </c>
      <c r="AB48" s="6">
        <v>0</v>
      </c>
      <c r="AC48" s="4">
        <v>-49</v>
      </c>
      <c r="AD48" s="4">
        <v>0</v>
      </c>
      <c r="AE48" s="4">
        <v>-49</v>
      </c>
      <c r="AF48" s="1"/>
      <c r="AG48" s="1"/>
      <c r="AH48" s="1"/>
      <c r="AI48" s="1"/>
      <c r="AJ48" s="1"/>
      <c r="AK48" s="1"/>
      <c r="AL48" s="1"/>
    </row>
    <row r="49" spans="1:38" x14ac:dyDescent="0.25">
      <c r="A49" s="2">
        <v>73</v>
      </c>
      <c r="B49" s="1" t="s">
        <v>71</v>
      </c>
      <c r="C49" s="1"/>
      <c r="D49" s="1" t="s">
        <v>2062</v>
      </c>
      <c r="E49" s="1" t="s">
        <v>2063</v>
      </c>
      <c r="F49" s="3">
        <v>44722</v>
      </c>
      <c r="G49" s="3">
        <v>44720</v>
      </c>
      <c r="H49" s="3">
        <v>45084</v>
      </c>
      <c r="I49" s="1" t="s">
        <v>2189</v>
      </c>
      <c r="J49" s="1" t="s">
        <v>2190</v>
      </c>
      <c r="K49" s="1"/>
      <c r="L49" s="1" t="s">
        <v>2178</v>
      </c>
      <c r="M49" s="1" t="s">
        <v>2191</v>
      </c>
      <c r="N49" s="1" t="s">
        <v>2192</v>
      </c>
      <c r="O49" s="1" t="s">
        <v>2193</v>
      </c>
      <c r="P49" s="1" t="s">
        <v>2088</v>
      </c>
      <c r="Q49" s="1"/>
      <c r="R49" s="1"/>
      <c r="S49" s="1" t="s">
        <v>2072</v>
      </c>
      <c r="T49" s="1" t="s">
        <v>2073</v>
      </c>
      <c r="U49" s="4">
        <v>-1</v>
      </c>
      <c r="V49" s="4">
        <v>14719</v>
      </c>
      <c r="W49" s="4">
        <v>147</v>
      </c>
      <c r="X49" s="4">
        <v>1914</v>
      </c>
      <c r="Y49" s="4">
        <v>50</v>
      </c>
      <c r="Z49" s="5">
        <v>16830</v>
      </c>
      <c r="AA49" s="5">
        <v>17234</v>
      </c>
      <c r="AB49" s="6">
        <v>0</v>
      </c>
      <c r="AC49" s="4">
        <v>-404</v>
      </c>
      <c r="AD49" s="4">
        <v>0</v>
      </c>
      <c r="AE49" s="4">
        <v>-404</v>
      </c>
      <c r="AF49" s="1"/>
      <c r="AG49" s="1"/>
      <c r="AH49" s="1"/>
      <c r="AI49" s="1" t="s">
        <v>2143</v>
      </c>
      <c r="AJ49" s="1"/>
      <c r="AK49" s="1"/>
      <c r="AL49" s="1" t="s">
        <v>2194</v>
      </c>
    </row>
    <row r="50" spans="1:38" hidden="1" x14ac:dyDescent="0.25">
      <c r="A50" s="2">
        <v>74</v>
      </c>
      <c r="B50" s="1" t="s">
        <v>71</v>
      </c>
      <c r="C50" s="1" t="s">
        <v>72</v>
      </c>
      <c r="D50" s="1" t="s">
        <v>2062</v>
      </c>
      <c r="E50" s="1" t="s">
        <v>2063</v>
      </c>
      <c r="F50" s="3">
        <v>44845</v>
      </c>
      <c r="G50" s="3">
        <v>44720</v>
      </c>
      <c r="H50" s="3">
        <v>45084</v>
      </c>
      <c r="I50" s="1" t="s">
        <v>2189</v>
      </c>
      <c r="J50" s="1" t="s">
        <v>2195</v>
      </c>
      <c r="K50" s="1"/>
      <c r="L50" s="1" t="s">
        <v>2178</v>
      </c>
      <c r="M50" s="1" t="s">
        <v>2191</v>
      </c>
      <c r="N50" s="1" t="s">
        <v>2192</v>
      </c>
      <c r="O50" s="1" t="s">
        <v>2193</v>
      </c>
      <c r="P50" s="1" t="s">
        <v>2088</v>
      </c>
      <c r="Q50" s="1"/>
      <c r="R50" s="1"/>
      <c r="S50" s="1" t="s">
        <v>2072</v>
      </c>
      <c r="T50" s="1" t="s">
        <v>2073</v>
      </c>
      <c r="U50" s="4">
        <v>1700000</v>
      </c>
      <c r="V50" s="4">
        <v>401</v>
      </c>
      <c r="W50" s="4">
        <v>3</v>
      </c>
      <c r="X50" s="4">
        <v>0</v>
      </c>
      <c r="Y50" s="4">
        <v>0</v>
      </c>
      <c r="Z50" s="5">
        <v>404</v>
      </c>
      <c r="AA50" s="5">
        <v>0</v>
      </c>
      <c r="AB50" s="6">
        <v>0</v>
      </c>
      <c r="AC50" s="4">
        <v>404</v>
      </c>
      <c r="AD50" s="4">
        <v>0</v>
      </c>
      <c r="AE50" s="4">
        <v>404</v>
      </c>
      <c r="AF50" s="1"/>
      <c r="AG50" s="1"/>
      <c r="AH50" s="1"/>
      <c r="AI50" s="1" t="s">
        <v>2143</v>
      </c>
      <c r="AJ50" s="6">
        <v>345.73010192085098</v>
      </c>
      <c r="AK50" s="6">
        <v>345.73010192085098</v>
      </c>
      <c r="AL50" s="1" t="s">
        <v>2194</v>
      </c>
    </row>
    <row r="51" spans="1:38" hidden="1" x14ac:dyDescent="0.25">
      <c r="A51" s="2">
        <v>79</v>
      </c>
      <c r="B51" s="1" t="s">
        <v>73</v>
      </c>
      <c r="C51" s="1" t="s">
        <v>74</v>
      </c>
      <c r="D51" s="1" t="s">
        <v>2062</v>
      </c>
      <c r="E51" s="1" t="s">
        <v>2063</v>
      </c>
      <c r="F51" s="3">
        <v>44845</v>
      </c>
      <c r="G51" s="3">
        <v>44784</v>
      </c>
      <c r="H51" s="3">
        <v>45148</v>
      </c>
      <c r="I51" s="1" t="s">
        <v>2196</v>
      </c>
      <c r="J51" s="1" t="s">
        <v>2197</v>
      </c>
      <c r="K51" s="1"/>
      <c r="L51" s="1" t="s">
        <v>2198</v>
      </c>
      <c r="M51" s="1" t="s">
        <v>2199</v>
      </c>
      <c r="N51" s="1" t="s">
        <v>2200</v>
      </c>
      <c r="O51" s="1" t="s">
        <v>2201</v>
      </c>
      <c r="P51" s="1" t="s">
        <v>2182</v>
      </c>
      <c r="Q51" s="1"/>
      <c r="R51" s="1"/>
      <c r="S51" s="1" t="s">
        <v>2072</v>
      </c>
      <c r="T51" s="1" t="s">
        <v>2073</v>
      </c>
      <c r="U51" s="4">
        <v>2500000</v>
      </c>
      <c r="V51" s="4">
        <v>1491</v>
      </c>
      <c r="W51" s="4">
        <v>15</v>
      </c>
      <c r="X51" s="4">
        <v>193</v>
      </c>
      <c r="Y51" s="4">
        <v>0</v>
      </c>
      <c r="Z51" s="5">
        <v>1699</v>
      </c>
      <c r="AA51" s="5">
        <v>0</v>
      </c>
      <c r="AB51" s="6">
        <v>0</v>
      </c>
      <c r="AC51" s="4">
        <v>1699</v>
      </c>
      <c r="AD51" s="4">
        <v>0</v>
      </c>
      <c r="AE51" s="4">
        <v>1699</v>
      </c>
      <c r="AF51" s="1"/>
      <c r="AG51" s="1"/>
      <c r="AH51" s="1"/>
      <c r="AI51" s="1"/>
      <c r="AJ51" s="6">
        <v>1299.2113200918902</v>
      </c>
      <c r="AK51" s="6">
        <v>987.99642412335311</v>
      </c>
      <c r="AL51" s="1" t="s">
        <v>2202</v>
      </c>
    </row>
    <row r="52" spans="1:38" hidden="1" x14ac:dyDescent="0.25">
      <c r="A52" s="2">
        <v>80</v>
      </c>
      <c r="B52" s="1" t="s">
        <v>73</v>
      </c>
      <c r="C52" s="1" t="s">
        <v>75</v>
      </c>
      <c r="D52" s="1" t="s">
        <v>2062</v>
      </c>
      <c r="E52" s="1" t="s">
        <v>2063</v>
      </c>
      <c r="F52" s="3">
        <v>45596</v>
      </c>
      <c r="G52" s="3">
        <v>44784</v>
      </c>
      <c r="H52" s="3">
        <v>45148</v>
      </c>
      <c r="I52" s="1" t="s">
        <v>2196</v>
      </c>
      <c r="J52" s="1" t="s">
        <v>2197</v>
      </c>
      <c r="K52" s="1"/>
      <c r="L52" s="1" t="s">
        <v>2198</v>
      </c>
      <c r="M52" s="1" t="s">
        <v>2199</v>
      </c>
      <c r="N52" s="1" t="s">
        <v>2200</v>
      </c>
      <c r="O52" s="1" t="s">
        <v>2201</v>
      </c>
      <c r="P52" s="1" t="s">
        <v>2182</v>
      </c>
      <c r="Q52" s="1"/>
      <c r="R52" s="1"/>
      <c r="S52" s="1" t="s">
        <v>2072</v>
      </c>
      <c r="T52" s="1" t="s">
        <v>2073</v>
      </c>
      <c r="U52" s="4">
        <v>-1</v>
      </c>
      <c r="V52" s="4">
        <v>-1682</v>
      </c>
      <c r="W52" s="4">
        <v>-17</v>
      </c>
      <c r="X52" s="4">
        <v>0</v>
      </c>
      <c r="Y52" s="4">
        <v>0</v>
      </c>
      <c r="Z52" s="5">
        <v>-1699</v>
      </c>
      <c r="AA52" s="5">
        <v>0</v>
      </c>
      <c r="AB52" s="6">
        <v>0</v>
      </c>
      <c r="AC52" s="4">
        <v>-1699</v>
      </c>
      <c r="AD52" s="4">
        <v>0</v>
      </c>
      <c r="AE52" s="4">
        <v>-1699</v>
      </c>
      <c r="AF52" s="1"/>
      <c r="AG52" s="1"/>
      <c r="AH52" s="1"/>
      <c r="AI52" s="1"/>
      <c r="AJ52" s="1"/>
      <c r="AK52" s="1"/>
      <c r="AL52" s="1"/>
    </row>
    <row r="53" spans="1:38" x14ac:dyDescent="0.25">
      <c r="A53" s="2">
        <v>81</v>
      </c>
      <c r="B53" s="1" t="s">
        <v>76</v>
      </c>
      <c r="C53" s="1"/>
      <c r="D53" s="1" t="s">
        <v>2062</v>
      </c>
      <c r="E53" s="1" t="s">
        <v>2063</v>
      </c>
      <c r="F53" s="3">
        <v>44806</v>
      </c>
      <c r="G53" s="3">
        <v>44811</v>
      </c>
      <c r="H53" s="3">
        <v>45175</v>
      </c>
      <c r="I53" s="1" t="s">
        <v>2203</v>
      </c>
      <c r="J53" s="1" t="s">
        <v>2204</v>
      </c>
      <c r="K53" s="1"/>
      <c r="L53" s="1" t="s">
        <v>2205</v>
      </c>
      <c r="M53" s="1" t="s">
        <v>2206</v>
      </c>
      <c r="N53" s="1" t="s">
        <v>2207</v>
      </c>
      <c r="O53" s="1" t="s">
        <v>2208</v>
      </c>
      <c r="P53" s="1" t="s">
        <v>2070</v>
      </c>
      <c r="Q53" s="1" t="s">
        <v>2209</v>
      </c>
      <c r="R53" s="1"/>
      <c r="S53" s="1" t="s">
        <v>2072</v>
      </c>
      <c r="T53" s="1" t="s">
        <v>2073</v>
      </c>
      <c r="U53" s="1"/>
      <c r="V53" s="4">
        <v>25392</v>
      </c>
      <c r="W53" s="4">
        <v>254</v>
      </c>
      <c r="X53" s="4">
        <v>3301</v>
      </c>
      <c r="Y53" s="4">
        <v>50</v>
      </c>
      <c r="Z53" s="5">
        <v>28997</v>
      </c>
      <c r="AA53" s="5">
        <v>29371</v>
      </c>
      <c r="AB53" s="6">
        <v>0</v>
      </c>
      <c r="AC53" s="4">
        <v>-374</v>
      </c>
      <c r="AD53" s="4">
        <v>0</v>
      </c>
      <c r="AE53" s="4">
        <v>-374</v>
      </c>
      <c r="AF53" s="1"/>
      <c r="AG53" s="1"/>
      <c r="AH53" s="1"/>
      <c r="AI53" s="1" t="s">
        <v>2143</v>
      </c>
      <c r="AJ53" s="1"/>
      <c r="AK53" s="1"/>
      <c r="AL53" s="1" t="s">
        <v>2210</v>
      </c>
    </row>
    <row r="54" spans="1:38" hidden="1" x14ac:dyDescent="0.25">
      <c r="A54" s="2">
        <v>82</v>
      </c>
      <c r="B54" s="1" t="s">
        <v>76</v>
      </c>
      <c r="C54" s="1" t="s">
        <v>77</v>
      </c>
      <c r="D54" s="1" t="s">
        <v>2062</v>
      </c>
      <c r="E54" s="1" t="s">
        <v>2063</v>
      </c>
      <c r="F54" s="3">
        <v>44845</v>
      </c>
      <c r="G54" s="3">
        <v>44811</v>
      </c>
      <c r="H54" s="3">
        <v>45175</v>
      </c>
      <c r="I54" s="1" t="s">
        <v>2203</v>
      </c>
      <c r="J54" s="1" t="s">
        <v>2204</v>
      </c>
      <c r="K54" s="1"/>
      <c r="L54" s="1" t="s">
        <v>2205</v>
      </c>
      <c r="M54" s="1" t="s">
        <v>2206</v>
      </c>
      <c r="N54" s="1" t="s">
        <v>2207</v>
      </c>
      <c r="O54" s="1" t="s">
        <v>2208</v>
      </c>
      <c r="P54" s="1" t="s">
        <v>2070</v>
      </c>
      <c r="Q54" s="1" t="s">
        <v>2209</v>
      </c>
      <c r="R54" s="1"/>
      <c r="S54" s="1" t="s">
        <v>2072</v>
      </c>
      <c r="T54" s="1" t="s">
        <v>2073</v>
      </c>
      <c r="U54" s="4">
        <v>2929000</v>
      </c>
      <c r="V54" s="4">
        <v>388</v>
      </c>
      <c r="W54" s="4">
        <v>4</v>
      </c>
      <c r="X54" s="4">
        <v>50</v>
      </c>
      <c r="Y54" s="4">
        <v>0</v>
      </c>
      <c r="Z54" s="5">
        <v>442</v>
      </c>
      <c r="AA54" s="5">
        <v>68</v>
      </c>
      <c r="AB54" s="6">
        <v>0</v>
      </c>
      <c r="AC54" s="4">
        <v>374</v>
      </c>
      <c r="AD54" s="4">
        <v>0</v>
      </c>
      <c r="AE54" s="4">
        <v>374</v>
      </c>
      <c r="AF54" s="1"/>
      <c r="AG54" s="1"/>
      <c r="AH54" s="1"/>
      <c r="AI54" s="1" t="s">
        <v>2143</v>
      </c>
      <c r="AJ54" s="6">
        <v>1363.2772158989869</v>
      </c>
      <c r="AK54" s="6">
        <v>220.12357265383301</v>
      </c>
      <c r="AL54" s="1" t="s">
        <v>2210</v>
      </c>
    </row>
    <row r="55" spans="1:38" hidden="1" x14ac:dyDescent="0.25">
      <c r="A55" s="2">
        <v>83</v>
      </c>
      <c r="B55" s="1" t="s">
        <v>78</v>
      </c>
      <c r="C55" s="1" t="s">
        <v>79</v>
      </c>
      <c r="D55" s="1" t="s">
        <v>2062</v>
      </c>
      <c r="E55" s="1" t="s">
        <v>2063</v>
      </c>
      <c r="F55" s="3">
        <v>45113</v>
      </c>
      <c r="G55" s="3">
        <v>44804</v>
      </c>
      <c r="H55" s="3">
        <v>45168</v>
      </c>
      <c r="I55" s="1" t="s">
        <v>2211</v>
      </c>
      <c r="J55" s="1" t="s">
        <v>2212</v>
      </c>
      <c r="K55" s="1"/>
      <c r="L55" s="1" t="s">
        <v>2213</v>
      </c>
      <c r="M55" s="1" t="s">
        <v>2214</v>
      </c>
      <c r="N55" s="1" t="s">
        <v>2215</v>
      </c>
      <c r="O55" s="1" t="s">
        <v>2216</v>
      </c>
      <c r="P55" s="1" t="s">
        <v>2217</v>
      </c>
      <c r="Q55" s="1"/>
      <c r="R55" s="1"/>
      <c r="S55" s="1" t="s">
        <v>2072</v>
      </c>
      <c r="T55" s="1" t="s">
        <v>2096</v>
      </c>
      <c r="U55" s="4">
        <v>2575000</v>
      </c>
      <c r="V55" s="4">
        <v>111</v>
      </c>
      <c r="W55" s="4">
        <v>1</v>
      </c>
      <c r="X55" s="4">
        <v>14</v>
      </c>
      <c r="Y55" s="4">
        <v>0</v>
      </c>
      <c r="Z55" s="5">
        <v>126</v>
      </c>
      <c r="AA55" s="5">
        <v>0</v>
      </c>
      <c r="AB55" s="6">
        <v>0</v>
      </c>
      <c r="AC55" s="4">
        <v>126</v>
      </c>
      <c r="AD55" s="4">
        <v>0</v>
      </c>
      <c r="AE55" s="4">
        <v>126</v>
      </c>
      <c r="AF55" s="1"/>
      <c r="AG55" s="1"/>
      <c r="AH55" s="1"/>
      <c r="AI55" s="1"/>
      <c r="AJ55" s="6">
        <v>71.196371702983186</v>
      </c>
      <c r="AK55" s="6">
        <v>71.196371702983186</v>
      </c>
      <c r="AL55" s="1" t="s">
        <v>2218</v>
      </c>
    </row>
    <row r="56" spans="1:38" hidden="1" x14ac:dyDescent="0.25">
      <c r="A56" s="2">
        <v>84</v>
      </c>
      <c r="B56" s="1" t="s">
        <v>78</v>
      </c>
      <c r="C56" s="1" t="s">
        <v>80</v>
      </c>
      <c r="D56" s="1" t="s">
        <v>2062</v>
      </c>
      <c r="E56" s="1" t="s">
        <v>2063</v>
      </c>
      <c r="F56" s="3">
        <v>45138</v>
      </c>
      <c r="G56" s="3">
        <v>44804</v>
      </c>
      <c r="H56" s="3">
        <v>45168</v>
      </c>
      <c r="I56" s="1" t="s">
        <v>2211</v>
      </c>
      <c r="J56" s="1" t="s">
        <v>2212</v>
      </c>
      <c r="K56" s="1"/>
      <c r="L56" s="1" t="s">
        <v>2213</v>
      </c>
      <c r="M56" s="1" t="s">
        <v>2214</v>
      </c>
      <c r="N56" s="1" t="s">
        <v>2215</v>
      </c>
      <c r="O56" s="1" t="s">
        <v>2216</v>
      </c>
      <c r="P56" s="1" t="s">
        <v>2217</v>
      </c>
      <c r="Q56" s="1"/>
      <c r="R56" s="1"/>
      <c r="S56" s="1" t="s">
        <v>2072</v>
      </c>
      <c r="T56" s="1" t="s">
        <v>2096</v>
      </c>
      <c r="U56" s="4">
        <v>2575000</v>
      </c>
      <c r="V56" s="4">
        <v>209</v>
      </c>
      <c r="W56" s="4">
        <v>3</v>
      </c>
      <c r="X56" s="4">
        <v>28</v>
      </c>
      <c r="Y56" s="4">
        <v>0</v>
      </c>
      <c r="Z56" s="5">
        <v>240</v>
      </c>
      <c r="AA56" s="5">
        <v>0</v>
      </c>
      <c r="AB56" s="6">
        <v>0</v>
      </c>
      <c r="AC56" s="4">
        <v>240</v>
      </c>
      <c r="AD56" s="4">
        <v>0</v>
      </c>
      <c r="AE56" s="4">
        <v>240</v>
      </c>
      <c r="AF56" s="1"/>
      <c r="AG56" s="1"/>
      <c r="AH56" s="1"/>
      <c r="AI56" s="1"/>
      <c r="AJ56" s="1"/>
      <c r="AK56" s="1"/>
      <c r="AL56" s="1" t="s">
        <v>2218</v>
      </c>
    </row>
    <row r="57" spans="1:38" hidden="1" x14ac:dyDescent="0.25">
      <c r="A57" s="2">
        <v>85</v>
      </c>
      <c r="B57" s="1" t="s">
        <v>78</v>
      </c>
      <c r="C57" s="1" t="s">
        <v>81</v>
      </c>
      <c r="D57" s="1" t="s">
        <v>2062</v>
      </c>
      <c r="E57" s="1" t="s">
        <v>2063</v>
      </c>
      <c r="F57" s="3">
        <v>45138</v>
      </c>
      <c r="G57" s="3">
        <v>44804</v>
      </c>
      <c r="H57" s="3">
        <v>45168</v>
      </c>
      <c r="I57" s="1" t="s">
        <v>2211</v>
      </c>
      <c r="J57" s="1" t="s">
        <v>2212</v>
      </c>
      <c r="K57" s="1"/>
      <c r="L57" s="1" t="s">
        <v>2213</v>
      </c>
      <c r="M57" s="1" t="s">
        <v>2214</v>
      </c>
      <c r="N57" s="1" t="s">
        <v>2215</v>
      </c>
      <c r="O57" s="1" t="s">
        <v>2216</v>
      </c>
      <c r="P57" s="1" t="s">
        <v>2217</v>
      </c>
      <c r="Q57" s="1"/>
      <c r="R57" s="1"/>
      <c r="S57" s="1" t="s">
        <v>2072</v>
      </c>
      <c r="T57" s="1" t="s">
        <v>2096</v>
      </c>
      <c r="U57" s="4">
        <v>2575000</v>
      </c>
      <c r="V57" s="4">
        <v>209</v>
      </c>
      <c r="W57" s="4">
        <v>3</v>
      </c>
      <c r="X57" s="4">
        <v>28</v>
      </c>
      <c r="Y57" s="4">
        <v>0</v>
      </c>
      <c r="Z57" s="5">
        <v>240</v>
      </c>
      <c r="AA57" s="5">
        <v>0</v>
      </c>
      <c r="AB57" s="6">
        <v>0</v>
      </c>
      <c r="AC57" s="4">
        <v>240</v>
      </c>
      <c r="AD57" s="4">
        <v>0</v>
      </c>
      <c r="AE57" s="4">
        <v>240</v>
      </c>
      <c r="AF57" s="1"/>
      <c r="AG57" s="1"/>
      <c r="AH57" s="1"/>
      <c r="AI57" s="1"/>
      <c r="AJ57" s="6">
        <v>135.87</v>
      </c>
      <c r="AK57" s="6">
        <v>135.87</v>
      </c>
      <c r="AL57" s="1" t="s">
        <v>2218</v>
      </c>
    </row>
    <row r="58" spans="1:38" hidden="1" x14ac:dyDescent="0.25">
      <c r="A58" s="2">
        <v>86</v>
      </c>
      <c r="B58" s="1" t="s">
        <v>78</v>
      </c>
      <c r="C58" s="1" t="s">
        <v>82</v>
      </c>
      <c r="D58" s="1" t="s">
        <v>2062</v>
      </c>
      <c r="E58" s="1" t="s">
        <v>2063</v>
      </c>
      <c r="F58" s="3">
        <v>45596</v>
      </c>
      <c r="G58" s="3">
        <v>44804</v>
      </c>
      <c r="H58" s="3">
        <v>45168</v>
      </c>
      <c r="I58" s="1" t="s">
        <v>2211</v>
      </c>
      <c r="J58" s="1" t="s">
        <v>2212</v>
      </c>
      <c r="K58" s="1"/>
      <c r="L58" s="1" t="s">
        <v>2213</v>
      </c>
      <c r="M58" s="1" t="s">
        <v>2214</v>
      </c>
      <c r="N58" s="1" t="s">
        <v>2215</v>
      </c>
      <c r="O58" s="1" t="s">
        <v>2216</v>
      </c>
      <c r="P58" s="1" t="s">
        <v>2217</v>
      </c>
      <c r="Q58" s="1"/>
      <c r="R58" s="1"/>
      <c r="S58" s="1" t="s">
        <v>2072</v>
      </c>
      <c r="T58" s="1" t="s">
        <v>2096</v>
      </c>
      <c r="U58" s="4">
        <v>-1</v>
      </c>
      <c r="V58" s="4">
        <v>-600</v>
      </c>
      <c r="W58" s="4">
        <v>-6</v>
      </c>
      <c r="X58" s="4">
        <v>0</v>
      </c>
      <c r="Y58" s="4">
        <v>0</v>
      </c>
      <c r="Z58" s="5">
        <v>-606</v>
      </c>
      <c r="AA58" s="5">
        <v>0</v>
      </c>
      <c r="AB58" s="6">
        <v>0</v>
      </c>
      <c r="AC58" s="4">
        <v>-606</v>
      </c>
      <c r="AD58" s="4">
        <v>0</v>
      </c>
      <c r="AE58" s="4">
        <v>-606</v>
      </c>
      <c r="AF58" s="1"/>
      <c r="AG58" s="1"/>
      <c r="AH58" s="1"/>
      <c r="AI58" s="1"/>
      <c r="AJ58" s="1"/>
      <c r="AK58" s="1"/>
      <c r="AL58" s="1"/>
    </row>
    <row r="59" spans="1:38" hidden="1" x14ac:dyDescent="0.25">
      <c r="A59" s="2">
        <v>87</v>
      </c>
      <c r="B59" s="1" t="s">
        <v>83</v>
      </c>
      <c r="C59" s="1" t="s">
        <v>84</v>
      </c>
      <c r="D59" s="1" t="s">
        <v>2062</v>
      </c>
      <c r="E59" s="1" t="s">
        <v>2063</v>
      </c>
      <c r="F59" s="3">
        <v>44845</v>
      </c>
      <c r="G59" s="3">
        <v>44813</v>
      </c>
      <c r="H59" s="3">
        <v>45177</v>
      </c>
      <c r="I59" s="1" t="s">
        <v>2219</v>
      </c>
      <c r="J59" s="1" t="s">
        <v>2220</v>
      </c>
      <c r="K59" s="1"/>
      <c r="L59" s="1" t="s">
        <v>2221</v>
      </c>
      <c r="M59" s="1" t="s">
        <v>2222</v>
      </c>
      <c r="N59" s="1" t="s">
        <v>2223</v>
      </c>
      <c r="O59" s="1" t="s">
        <v>2224</v>
      </c>
      <c r="P59" s="1" t="s">
        <v>2182</v>
      </c>
      <c r="Q59" s="1"/>
      <c r="R59" s="1"/>
      <c r="S59" s="1" t="s">
        <v>2072</v>
      </c>
      <c r="T59" s="1" t="s">
        <v>2073</v>
      </c>
      <c r="U59" s="4">
        <v>6250000</v>
      </c>
      <c r="V59" s="4">
        <v>1084</v>
      </c>
      <c r="W59" s="4">
        <v>11</v>
      </c>
      <c r="X59" s="4">
        <v>141</v>
      </c>
      <c r="Y59" s="4">
        <v>0</v>
      </c>
      <c r="Z59" s="5">
        <v>1236</v>
      </c>
      <c r="AA59" s="5">
        <v>0</v>
      </c>
      <c r="AB59" s="6">
        <v>0</v>
      </c>
      <c r="AC59" s="4">
        <v>1236</v>
      </c>
      <c r="AD59" s="4">
        <v>0</v>
      </c>
      <c r="AE59" s="4">
        <v>1236</v>
      </c>
      <c r="AF59" s="1"/>
      <c r="AG59" s="1"/>
      <c r="AH59" s="1"/>
      <c r="AI59" s="1"/>
      <c r="AJ59" s="6">
        <v>287.285111676795</v>
      </c>
      <c r="AK59" s="6">
        <v>287.285111676795</v>
      </c>
      <c r="AL59" s="1" t="s">
        <v>2225</v>
      </c>
    </row>
    <row r="60" spans="1:38" hidden="1" x14ac:dyDescent="0.25">
      <c r="A60" s="2">
        <v>88</v>
      </c>
      <c r="B60" s="1" t="s">
        <v>83</v>
      </c>
      <c r="C60" s="1" t="s">
        <v>85</v>
      </c>
      <c r="D60" s="1" t="s">
        <v>2062</v>
      </c>
      <c r="E60" s="1" t="s">
        <v>2063</v>
      </c>
      <c r="F60" s="3">
        <v>45745</v>
      </c>
      <c r="G60" s="3">
        <v>44813</v>
      </c>
      <c r="H60" s="3">
        <v>45177</v>
      </c>
      <c r="I60" s="1" t="s">
        <v>2219</v>
      </c>
      <c r="J60" s="1" t="s">
        <v>2220</v>
      </c>
      <c r="K60" s="1"/>
      <c r="L60" s="1" t="s">
        <v>2221</v>
      </c>
      <c r="M60" s="1" t="s">
        <v>2222</v>
      </c>
      <c r="N60" s="1" t="s">
        <v>2223</v>
      </c>
      <c r="O60" s="1" t="s">
        <v>2224</v>
      </c>
      <c r="P60" s="1" t="s">
        <v>2182</v>
      </c>
      <c r="Q60" s="1"/>
      <c r="R60" s="1"/>
      <c r="S60" s="1" t="s">
        <v>2072</v>
      </c>
      <c r="T60" s="1" t="s">
        <v>2073</v>
      </c>
      <c r="U60" s="4">
        <v>-1</v>
      </c>
      <c r="V60" s="4">
        <v>-1225</v>
      </c>
      <c r="W60" s="4">
        <v>-11</v>
      </c>
      <c r="X60" s="4">
        <v>0</v>
      </c>
      <c r="Y60" s="4">
        <v>0</v>
      </c>
      <c r="Z60" s="5">
        <v>-1236</v>
      </c>
      <c r="AA60" s="5">
        <v>0</v>
      </c>
      <c r="AB60" s="6">
        <v>0</v>
      </c>
      <c r="AC60" s="4">
        <v>-1236</v>
      </c>
      <c r="AD60" s="4">
        <v>0</v>
      </c>
      <c r="AE60" s="4">
        <v>-1236</v>
      </c>
      <c r="AF60" s="1"/>
      <c r="AG60" s="1"/>
      <c r="AH60" s="1"/>
      <c r="AI60" s="1"/>
      <c r="AJ60" s="1"/>
      <c r="AK60" s="1"/>
      <c r="AL60" s="1"/>
    </row>
    <row r="61" spans="1:38" x14ac:dyDescent="0.25">
      <c r="A61" s="2">
        <v>104</v>
      </c>
      <c r="B61" s="1" t="s">
        <v>86</v>
      </c>
      <c r="C61" s="1"/>
      <c r="D61" s="1" t="s">
        <v>2062</v>
      </c>
      <c r="E61" s="1" t="s">
        <v>2063</v>
      </c>
      <c r="F61" s="3">
        <v>44917</v>
      </c>
      <c r="G61" s="3">
        <v>44916</v>
      </c>
      <c r="H61" s="3">
        <v>45280</v>
      </c>
      <c r="I61" s="1" t="s">
        <v>2226</v>
      </c>
      <c r="J61" s="1" t="s">
        <v>2227</v>
      </c>
      <c r="K61" s="1"/>
      <c r="L61" s="1" t="s">
        <v>2085</v>
      </c>
      <c r="M61" s="1" t="s">
        <v>2228</v>
      </c>
      <c r="N61" s="1" t="s">
        <v>2229</v>
      </c>
      <c r="O61" s="1" t="s">
        <v>2230</v>
      </c>
      <c r="P61" s="1" t="s">
        <v>2231</v>
      </c>
      <c r="Q61" s="1" t="s">
        <v>2232</v>
      </c>
      <c r="R61" s="1"/>
      <c r="S61" s="1" t="s">
        <v>2072</v>
      </c>
      <c r="T61" s="1" t="s">
        <v>2096</v>
      </c>
      <c r="U61" s="4">
        <v>4000000</v>
      </c>
      <c r="V61" s="4">
        <v>4343</v>
      </c>
      <c r="W61" s="4">
        <v>43</v>
      </c>
      <c r="X61" s="4">
        <v>564</v>
      </c>
      <c r="Y61" s="4">
        <v>50</v>
      </c>
      <c r="Z61" s="5">
        <v>5000</v>
      </c>
      <c r="AA61" s="5">
        <v>5001</v>
      </c>
      <c r="AB61" s="6">
        <v>0</v>
      </c>
      <c r="AC61" s="4">
        <v>-1</v>
      </c>
      <c r="AD61" s="4">
        <v>0</v>
      </c>
      <c r="AE61" s="4">
        <v>-1</v>
      </c>
      <c r="AF61" s="1"/>
      <c r="AG61" s="1"/>
      <c r="AH61" s="1"/>
      <c r="AI61" s="1"/>
      <c r="AJ61" s="1"/>
      <c r="AK61" s="1"/>
      <c r="AL61" s="1" t="s">
        <v>2233</v>
      </c>
    </row>
    <row r="62" spans="1:38" hidden="1" x14ac:dyDescent="0.25">
      <c r="A62" s="2">
        <v>105</v>
      </c>
      <c r="B62" s="1" t="s">
        <v>86</v>
      </c>
      <c r="C62" s="1" t="s">
        <v>87</v>
      </c>
      <c r="D62" s="1" t="s">
        <v>2062</v>
      </c>
      <c r="E62" s="1" t="s">
        <v>2063</v>
      </c>
      <c r="F62" s="3">
        <v>45069</v>
      </c>
      <c r="G62" s="3">
        <v>44916</v>
      </c>
      <c r="H62" s="3">
        <v>45280</v>
      </c>
      <c r="I62" s="1" t="s">
        <v>2226</v>
      </c>
      <c r="J62" s="1" t="s">
        <v>2227</v>
      </c>
      <c r="K62" s="1"/>
      <c r="L62" s="1" t="s">
        <v>2085</v>
      </c>
      <c r="M62" s="1" t="s">
        <v>2228</v>
      </c>
      <c r="N62" s="1" t="s">
        <v>2229</v>
      </c>
      <c r="O62" s="1" t="s">
        <v>2230</v>
      </c>
      <c r="P62" s="1" t="s">
        <v>2231</v>
      </c>
      <c r="Q62" s="1" t="s">
        <v>2232</v>
      </c>
      <c r="R62" s="1"/>
      <c r="S62" s="1" t="s">
        <v>2072</v>
      </c>
      <c r="T62" s="1" t="s">
        <v>2096</v>
      </c>
      <c r="U62" s="4">
        <v>4000000</v>
      </c>
      <c r="V62" s="4">
        <v>3412</v>
      </c>
      <c r="W62" s="4">
        <v>34</v>
      </c>
      <c r="X62" s="4">
        <v>444</v>
      </c>
      <c r="Y62" s="4">
        <v>0</v>
      </c>
      <c r="Z62" s="5">
        <v>3890</v>
      </c>
      <c r="AA62" s="5">
        <v>3889</v>
      </c>
      <c r="AB62" s="6">
        <v>0</v>
      </c>
      <c r="AC62" s="4">
        <v>1</v>
      </c>
      <c r="AD62" s="4">
        <v>0</v>
      </c>
      <c r="AE62" s="4">
        <v>1</v>
      </c>
      <c r="AF62" s="1"/>
      <c r="AG62" s="1"/>
      <c r="AH62" s="1"/>
      <c r="AI62" s="1"/>
      <c r="AJ62" s="6">
        <v>900.15934774564801</v>
      </c>
      <c r="AK62" s="6">
        <v>709.2143561557549</v>
      </c>
      <c r="AL62" s="1" t="s">
        <v>2233</v>
      </c>
    </row>
    <row r="63" spans="1:38" x14ac:dyDescent="0.25">
      <c r="A63" s="2">
        <v>106</v>
      </c>
      <c r="B63" s="1" t="s">
        <v>88</v>
      </c>
      <c r="C63" s="1"/>
      <c r="D63" s="1" t="s">
        <v>2062</v>
      </c>
      <c r="E63" s="1" t="s">
        <v>2063</v>
      </c>
      <c r="F63" s="3">
        <v>44923</v>
      </c>
      <c r="G63" s="3">
        <v>44923</v>
      </c>
      <c r="H63" s="3">
        <v>45287</v>
      </c>
      <c r="I63" s="1" t="s">
        <v>2234</v>
      </c>
      <c r="J63" s="1" t="s">
        <v>2235</v>
      </c>
      <c r="K63" s="1"/>
      <c r="L63" s="1" t="s">
        <v>2236</v>
      </c>
      <c r="M63" s="1"/>
      <c r="N63" s="1" t="s">
        <v>2237</v>
      </c>
      <c r="O63" s="1" t="s">
        <v>2238</v>
      </c>
      <c r="P63" s="1" t="s">
        <v>2182</v>
      </c>
      <c r="Q63" s="1" t="s">
        <v>2239</v>
      </c>
      <c r="R63" s="1"/>
      <c r="S63" s="1" t="s">
        <v>2072</v>
      </c>
      <c r="T63" s="1" t="s">
        <v>2073</v>
      </c>
      <c r="U63" s="1"/>
      <c r="V63" s="4">
        <v>4343</v>
      </c>
      <c r="W63" s="4">
        <v>43</v>
      </c>
      <c r="X63" s="4">
        <v>564</v>
      </c>
      <c r="Y63" s="4">
        <v>50</v>
      </c>
      <c r="Z63" s="5">
        <v>5000</v>
      </c>
      <c r="AA63" s="5">
        <v>5003</v>
      </c>
      <c r="AB63" s="6">
        <v>0</v>
      </c>
      <c r="AC63" s="4">
        <v>-3</v>
      </c>
      <c r="AD63" s="4">
        <v>0</v>
      </c>
      <c r="AE63" s="4">
        <v>-3</v>
      </c>
      <c r="AF63" s="1"/>
      <c r="AG63" s="1"/>
      <c r="AH63" s="1"/>
      <c r="AI63" s="1"/>
      <c r="AJ63" s="1"/>
      <c r="AK63" s="1"/>
      <c r="AL63" s="1" t="s">
        <v>2240</v>
      </c>
    </row>
    <row r="64" spans="1:38" hidden="1" x14ac:dyDescent="0.25">
      <c r="A64" s="2">
        <v>107</v>
      </c>
      <c r="B64" s="1" t="s">
        <v>88</v>
      </c>
      <c r="C64" s="1" t="s">
        <v>89</v>
      </c>
      <c r="D64" s="1" t="s">
        <v>2062</v>
      </c>
      <c r="E64" s="1" t="s">
        <v>2063</v>
      </c>
      <c r="F64" s="3">
        <v>44991</v>
      </c>
      <c r="G64" s="3">
        <v>44923</v>
      </c>
      <c r="H64" s="3">
        <v>45287</v>
      </c>
      <c r="I64" s="1" t="s">
        <v>2234</v>
      </c>
      <c r="J64" s="1" t="s">
        <v>2235</v>
      </c>
      <c r="K64" s="1"/>
      <c r="L64" s="1" t="s">
        <v>2236</v>
      </c>
      <c r="M64" s="1"/>
      <c r="N64" s="1" t="s">
        <v>2237</v>
      </c>
      <c r="O64" s="1" t="s">
        <v>2238</v>
      </c>
      <c r="P64" s="1" t="s">
        <v>2182</v>
      </c>
      <c r="Q64" s="1" t="s">
        <v>2239</v>
      </c>
      <c r="R64" s="1"/>
      <c r="S64" s="1" t="s">
        <v>2072</v>
      </c>
      <c r="T64" s="1" t="s">
        <v>2073</v>
      </c>
      <c r="U64" s="4">
        <v>3445000</v>
      </c>
      <c r="V64" s="4">
        <v>5530</v>
      </c>
      <c r="W64" s="4">
        <v>55</v>
      </c>
      <c r="X64" s="4">
        <v>718</v>
      </c>
      <c r="Y64" s="4">
        <v>0</v>
      </c>
      <c r="Z64" s="5">
        <v>6303</v>
      </c>
      <c r="AA64" s="5">
        <v>6300</v>
      </c>
      <c r="AB64" s="6">
        <v>0</v>
      </c>
      <c r="AC64" s="4">
        <v>3</v>
      </c>
      <c r="AD64" s="4">
        <v>0</v>
      </c>
      <c r="AE64" s="4">
        <v>3</v>
      </c>
      <c r="AF64" s="1"/>
      <c r="AG64" s="1"/>
      <c r="AH64" s="1"/>
      <c r="AI64" s="1"/>
      <c r="AJ64" s="6">
        <v>2282.1314455921952</v>
      </c>
      <c r="AK64" s="6">
        <v>1337.856150015431</v>
      </c>
      <c r="AL64" s="1" t="s">
        <v>2240</v>
      </c>
    </row>
    <row r="65" spans="1:38" hidden="1" x14ac:dyDescent="0.25">
      <c r="A65" s="2">
        <v>109</v>
      </c>
      <c r="B65" s="1" t="s">
        <v>90</v>
      </c>
      <c r="C65" s="1" t="s">
        <v>91</v>
      </c>
      <c r="D65" s="1" t="s">
        <v>2062</v>
      </c>
      <c r="E65" s="1" t="s">
        <v>2063</v>
      </c>
      <c r="F65" s="3">
        <v>44998</v>
      </c>
      <c r="G65" s="3">
        <v>44939</v>
      </c>
      <c r="H65" s="3">
        <v>45303</v>
      </c>
      <c r="I65" s="1" t="s">
        <v>2105</v>
      </c>
      <c r="J65" s="1" t="s">
        <v>2106</v>
      </c>
      <c r="K65" s="1"/>
      <c r="L65" s="1" t="s">
        <v>2107</v>
      </c>
      <c r="M65" s="1" t="s">
        <v>2108</v>
      </c>
      <c r="N65" s="1" t="s">
        <v>2109</v>
      </c>
      <c r="O65" s="1" t="s">
        <v>2110</v>
      </c>
      <c r="P65" s="1" t="s">
        <v>2095</v>
      </c>
      <c r="Q65" s="1"/>
      <c r="R65" s="1"/>
      <c r="S65" s="1" t="s">
        <v>2072</v>
      </c>
      <c r="T65" s="1" t="s">
        <v>2111</v>
      </c>
      <c r="U65" s="4">
        <v>5600000</v>
      </c>
      <c r="V65" s="4">
        <v>3834</v>
      </c>
      <c r="W65" s="4">
        <v>39</v>
      </c>
      <c r="X65" s="4">
        <v>498</v>
      </c>
      <c r="Y65" s="4">
        <v>0</v>
      </c>
      <c r="Z65" s="5">
        <v>4371</v>
      </c>
      <c r="AA65" s="5">
        <v>0</v>
      </c>
      <c r="AB65" s="6">
        <v>0</v>
      </c>
      <c r="AC65" s="4">
        <v>4371</v>
      </c>
      <c r="AD65" s="4">
        <v>0</v>
      </c>
      <c r="AE65" s="4">
        <v>4371</v>
      </c>
      <c r="AF65" s="1"/>
      <c r="AG65" s="1"/>
      <c r="AH65" s="1"/>
      <c r="AI65" s="1"/>
      <c r="AJ65" s="6">
        <v>1710.6711746723399</v>
      </c>
      <c r="AK65" s="6">
        <v>570.12592898746402</v>
      </c>
      <c r="AL65" s="1"/>
    </row>
    <row r="66" spans="1:38" hidden="1" x14ac:dyDescent="0.25">
      <c r="A66" s="2">
        <v>110</v>
      </c>
      <c r="B66" s="1" t="s">
        <v>90</v>
      </c>
      <c r="C66" s="1" t="s">
        <v>92</v>
      </c>
      <c r="D66" s="1" t="s">
        <v>2062</v>
      </c>
      <c r="E66" s="1" t="s">
        <v>2063</v>
      </c>
      <c r="F66" s="3">
        <v>44999</v>
      </c>
      <c r="G66" s="3">
        <v>44939</v>
      </c>
      <c r="H66" s="3">
        <v>45303</v>
      </c>
      <c r="I66" s="1" t="s">
        <v>2105</v>
      </c>
      <c r="J66" s="1" t="s">
        <v>2106</v>
      </c>
      <c r="K66" s="1"/>
      <c r="L66" s="1" t="s">
        <v>2107</v>
      </c>
      <c r="M66" s="1" t="s">
        <v>2108</v>
      </c>
      <c r="N66" s="1" t="s">
        <v>2109</v>
      </c>
      <c r="O66" s="1" t="s">
        <v>2110</v>
      </c>
      <c r="P66" s="1" t="s">
        <v>2095</v>
      </c>
      <c r="Q66" s="1"/>
      <c r="R66" s="1"/>
      <c r="S66" s="1" t="s">
        <v>2072</v>
      </c>
      <c r="T66" s="1" t="s">
        <v>2111</v>
      </c>
      <c r="U66" s="4">
        <v>5600000</v>
      </c>
      <c r="V66" s="4">
        <v>72</v>
      </c>
      <c r="W66" s="4">
        <v>0</v>
      </c>
      <c r="X66" s="4">
        <v>9</v>
      </c>
      <c r="Y66" s="4">
        <v>0</v>
      </c>
      <c r="Z66" s="5">
        <v>81</v>
      </c>
      <c r="AA66" s="5">
        <v>0</v>
      </c>
      <c r="AB66" s="6">
        <v>0</v>
      </c>
      <c r="AC66" s="4">
        <v>81</v>
      </c>
      <c r="AD66" s="4">
        <v>0</v>
      </c>
      <c r="AE66" s="4">
        <v>81</v>
      </c>
      <c r="AF66" s="1"/>
      <c r="AG66" s="1"/>
      <c r="AH66" s="1"/>
      <c r="AI66" s="1"/>
      <c r="AJ66" s="6">
        <v>10.497902268487302</v>
      </c>
      <c r="AK66" s="6">
        <v>10.497902268487302</v>
      </c>
      <c r="AL66" s="1"/>
    </row>
    <row r="67" spans="1:38" hidden="1" x14ac:dyDescent="0.25">
      <c r="A67" s="2">
        <v>111</v>
      </c>
      <c r="B67" s="1" t="s">
        <v>90</v>
      </c>
      <c r="C67" s="1" t="s">
        <v>93</v>
      </c>
      <c r="D67" s="1" t="s">
        <v>2062</v>
      </c>
      <c r="E67" s="1" t="s">
        <v>2063</v>
      </c>
      <c r="F67" s="3">
        <v>45126</v>
      </c>
      <c r="G67" s="3">
        <v>44939</v>
      </c>
      <c r="H67" s="3">
        <v>45303</v>
      </c>
      <c r="I67" s="1" t="s">
        <v>2105</v>
      </c>
      <c r="J67" s="1" t="s">
        <v>2106</v>
      </c>
      <c r="K67" s="1"/>
      <c r="L67" s="1" t="s">
        <v>2107</v>
      </c>
      <c r="M67" s="1" t="s">
        <v>2108</v>
      </c>
      <c r="N67" s="1" t="s">
        <v>2109</v>
      </c>
      <c r="O67" s="1" t="s">
        <v>2110</v>
      </c>
      <c r="P67" s="1" t="s">
        <v>2095</v>
      </c>
      <c r="Q67" s="1"/>
      <c r="R67" s="1"/>
      <c r="S67" s="1" t="s">
        <v>2072</v>
      </c>
      <c r="T67" s="1" t="s">
        <v>2111</v>
      </c>
      <c r="U67" s="4">
        <v>5600000</v>
      </c>
      <c r="V67" s="4">
        <v>46</v>
      </c>
      <c r="W67" s="4">
        <v>1</v>
      </c>
      <c r="X67" s="4">
        <v>7</v>
      </c>
      <c r="Y67" s="4">
        <v>0</v>
      </c>
      <c r="Z67" s="5">
        <v>54</v>
      </c>
      <c r="AA67" s="5">
        <v>0</v>
      </c>
      <c r="AB67" s="6">
        <v>0</v>
      </c>
      <c r="AC67" s="4">
        <v>54</v>
      </c>
      <c r="AD67" s="4">
        <v>0</v>
      </c>
      <c r="AE67" s="4">
        <v>54</v>
      </c>
      <c r="AF67" s="1"/>
      <c r="AG67" s="1"/>
      <c r="AH67" s="1"/>
      <c r="AI67" s="1"/>
      <c r="AJ67" s="6">
        <v>6.9565840690111793</v>
      </c>
      <c r="AK67" s="6">
        <v>6.9565840690111793</v>
      </c>
      <c r="AL67" s="1"/>
    </row>
    <row r="68" spans="1:38" hidden="1" x14ac:dyDescent="0.25">
      <c r="A68" s="2">
        <v>112</v>
      </c>
      <c r="B68" s="1" t="s">
        <v>90</v>
      </c>
      <c r="C68" s="1" t="s">
        <v>94</v>
      </c>
      <c r="D68" s="1" t="s">
        <v>2062</v>
      </c>
      <c r="E68" s="1" t="s">
        <v>2063</v>
      </c>
      <c r="F68" s="3">
        <v>45153</v>
      </c>
      <c r="G68" s="3">
        <v>44939</v>
      </c>
      <c r="H68" s="3">
        <v>45303</v>
      </c>
      <c r="I68" s="1" t="s">
        <v>2105</v>
      </c>
      <c r="J68" s="1" t="s">
        <v>2106</v>
      </c>
      <c r="K68" s="1"/>
      <c r="L68" s="1" t="s">
        <v>2107</v>
      </c>
      <c r="M68" s="1" t="s">
        <v>2108</v>
      </c>
      <c r="N68" s="1" t="s">
        <v>2109</v>
      </c>
      <c r="O68" s="1" t="s">
        <v>2110</v>
      </c>
      <c r="P68" s="1" t="s">
        <v>2095</v>
      </c>
      <c r="Q68" s="1"/>
      <c r="R68" s="1"/>
      <c r="S68" s="1" t="s">
        <v>2072</v>
      </c>
      <c r="T68" s="1" t="s">
        <v>2111</v>
      </c>
      <c r="U68" s="4">
        <v>5600000</v>
      </c>
      <c r="V68" s="4">
        <v>654</v>
      </c>
      <c r="W68" s="4">
        <v>6</v>
      </c>
      <c r="X68" s="4">
        <v>84</v>
      </c>
      <c r="Y68" s="4">
        <v>0</v>
      </c>
      <c r="Z68" s="5">
        <v>744</v>
      </c>
      <c r="AA68" s="5">
        <v>0</v>
      </c>
      <c r="AB68" s="6">
        <v>0</v>
      </c>
      <c r="AC68" s="4">
        <v>744</v>
      </c>
      <c r="AD68" s="4">
        <v>0</v>
      </c>
      <c r="AE68" s="4">
        <v>744</v>
      </c>
      <c r="AF68" s="1"/>
      <c r="AG68" s="1"/>
      <c r="AH68" s="1"/>
      <c r="AI68" s="1"/>
      <c r="AJ68" s="6">
        <v>97.02</v>
      </c>
      <c r="AK68" s="6">
        <v>97.02</v>
      </c>
      <c r="AL68" s="1"/>
    </row>
    <row r="69" spans="1:38" hidden="1" x14ac:dyDescent="0.25">
      <c r="A69" s="2">
        <v>113</v>
      </c>
      <c r="B69" s="1" t="s">
        <v>90</v>
      </c>
      <c r="C69" s="1" t="s">
        <v>95</v>
      </c>
      <c r="D69" s="1" t="s">
        <v>2062</v>
      </c>
      <c r="E69" s="1" t="s">
        <v>2063</v>
      </c>
      <c r="F69" s="3">
        <v>45183</v>
      </c>
      <c r="G69" s="3">
        <v>44939</v>
      </c>
      <c r="H69" s="3">
        <v>45303</v>
      </c>
      <c r="I69" s="1" t="s">
        <v>2105</v>
      </c>
      <c r="J69" s="1" t="s">
        <v>2106</v>
      </c>
      <c r="K69" s="1"/>
      <c r="L69" s="1" t="s">
        <v>2107</v>
      </c>
      <c r="M69" s="1" t="s">
        <v>2108</v>
      </c>
      <c r="N69" s="1" t="s">
        <v>2109</v>
      </c>
      <c r="O69" s="1" t="s">
        <v>2110</v>
      </c>
      <c r="P69" s="1" t="s">
        <v>2095</v>
      </c>
      <c r="Q69" s="1"/>
      <c r="R69" s="1"/>
      <c r="S69" s="1" t="s">
        <v>2072</v>
      </c>
      <c r="T69" s="1" t="s">
        <v>2111</v>
      </c>
      <c r="U69" s="4">
        <v>5600000</v>
      </c>
      <c r="V69" s="4">
        <v>340</v>
      </c>
      <c r="W69" s="4">
        <v>4</v>
      </c>
      <c r="X69" s="4">
        <v>44</v>
      </c>
      <c r="Y69" s="4">
        <v>0</v>
      </c>
      <c r="Z69" s="5">
        <v>388</v>
      </c>
      <c r="AA69" s="5">
        <v>0</v>
      </c>
      <c r="AB69" s="6">
        <v>0</v>
      </c>
      <c r="AC69" s="4">
        <v>388</v>
      </c>
      <c r="AD69" s="4">
        <v>0</v>
      </c>
      <c r="AE69" s="4">
        <v>388</v>
      </c>
      <c r="AF69" s="1"/>
      <c r="AG69" s="1"/>
      <c r="AH69" s="1"/>
      <c r="AI69" s="1"/>
      <c r="AJ69" s="6">
        <v>111.98</v>
      </c>
      <c r="AK69" s="6">
        <v>98.6</v>
      </c>
      <c r="AL69" s="1"/>
    </row>
    <row r="70" spans="1:38" hidden="1" x14ac:dyDescent="0.25">
      <c r="A70" s="2">
        <v>114</v>
      </c>
      <c r="B70" s="1" t="s">
        <v>90</v>
      </c>
      <c r="C70" s="1" t="s">
        <v>96</v>
      </c>
      <c r="D70" s="1" t="s">
        <v>2062</v>
      </c>
      <c r="E70" s="1" t="s">
        <v>2063</v>
      </c>
      <c r="F70" s="3">
        <v>45212</v>
      </c>
      <c r="G70" s="3">
        <v>44939</v>
      </c>
      <c r="H70" s="3">
        <v>45303</v>
      </c>
      <c r="I70" s="1" t="s">
        <v>2105</v>
      </c>
      <c r="J70" s="1" t="s">
        <v>2106</v>
      </c>
      <c r="K70" s="1"/>
      <c r="L70" s="1" t="s">
        <v>2107</v>
      </c>
      <c r="M70" s="1" t="s">
        <v>2108</v>
      </c>
      <c r="N70" s="1" t="s">
        <v>2109</v>
      </c>
      <c r="O70" s="1" t="s">
        <v>2110</v>
      </c>
      <c r="P70" s="1" t="s">
        <v>2095</v>
      </c>
      <c r="Q70" s="1"/>
      <c r="R70" s="1"/>
      <c r="S70" s="1" t="s">
        <v>2072</v>
      </c>
      <c r="T70" s="1" t="s">
        <v>2111</v>
      </c>
      <c r="U70" s="4">
        <v>5600000</v>
      </c>
      <c r="V70" s="4">
        <v>2336</v>
      </c>
      <c r="W70" s="4">
        <v>23</v>
      </c>
      <c r="X70" s="4">
        <v>304</v>
      </c>
      <c r="Y70" s="4">
        <v>0</v>
      </c>
      <c r="Z70" s="5">
        <v>2663</v>
      </c>
      <c r="AA70" s="5">
        <v>0</v>
      </c>
      <c r="AB70" s="6">
        <v>0</v>
      </c>
      <c r="AC70" s="4">
        <v>2663</v>
      </c>
      <c r="AD70" s="4">
        <v>0</v>
      </c>
      <c r="AE70" s="4">
        <v>2663</v>
      </c>
      <c r="AF70" s="1"/>
      <c r="AG70" s="1"/>
      <c r="AH70" s="1"/>
      <c r="AI70" s="1"/>
      <c r="AJ70" s="6">
        <v>976.61</v>
      </c>
      <c r="AK70" s="6">
        <v>697.71</v>
      </c>
      <c r="AL70" s="1"/>
    </row>
    <row r="71" spans="1:38" hidden="1" x14ac:dyDescent="0.25">
      <c r="A71" s="2">
        <v>115</v>
      </c>
      <c r="B71" s="1" t="s">
        <v>90</v>
      </c>
      <c r="C71" s="1" t="s">
        <v>97</v>
      </c>
      <c r="D71" s="1" t="s">
        <v>2062</v>
      </c>
      <c r="E71" s="1" t="s">
        <v>2063</v>
      </c>
      <c r="F71" s="3">
        <v>45245</v>
      </c>
      <c r="G71" s="3">
        <v>44939</v>
      </c>
      <c r="H71" s="3">
        <v>45303</v>
      </c>
      <c r="I71" s="1" t="s">
        <v>2105</v>
      </c>
      <c r="J71" s="1" t="s">
        <v>2106</v>
      </c>
      <c r="K71" s="1"/>
      <c r="L71" s="1" t="s">
        <v>2107</v>
      </c>
      <c r="M71" s="1" t="s">
        <v>2108</v>
      </c>
      <c r="N71" s="1" t="s">
        <v>2109</v>
      </c>
      <c r="O71" s="1" t="s">
        <v>2110</v>
      </c>
      <c r="P71" s="1" t="s">
        <v>2095</v>
      </c>
      <c r="Q71" s="1"/>
      <c r="R71" s="1"/>
      <c r="S71" s="1" t="s">
        <v>2072</v>
      </c>
      <c r="T71" s="1" t="s">
        <v>2111</v>
      </c>
      <c r="U71" s="4">
        <v>5600000</v>
      </c>
      <c r="V71" s="4">
        <v>93</v>
      </c>
      <c r="W71" s="4">
        <v>1</v>
      </c>
      <c r="X71" s="4">
        <v>12</v>
      </c>
      <c r="Y71" s="4">
        <v>0</v>
      </c>
      <c r="Z71" s="5">
        <v>106</v>
      </c>
      <c r="AA71" s="5">
        <v>0</v>
      </c>
      <c r="AB71" s="6">
        <v>0</v>
      </c>
      <c r="AC71" s="4">
        <v>106</v>
      </c>
      <c r="AD71" s="4">
        <v>0</v>
      </c>
      <c r="AE71" s="4">
        <v>106</v>
      </c>
      <c r="AF71" s="1"/>
      <c r="AG71" s="1"/>
      <c r="AH71" s="1"/>
      <c r="AI71" s="1"/>
      <c r="AJ71" s="6">
        <v>27.71</v>
      </c>
      <c r="AK71" s="6">
        <v>27.71</v>
      </c>
      <c r="AL71" s="1"/>
    </row>
    <row r="72" spans="1:38" hidden="1" x14ac:dyDescent="0.25">
      <c r="A72" s="2">
        <v>116</v>
      </c>
      <c r="B72" s="1" t="s">
        <v>90</v>
      </c>
      <c r="C72" s="1" t="s">
        <v>98</v>
      </c>
      <c r="D72" s="1" t="s">
        <v>2062</v>
      </c>
      <c r="E72" s="1" t="s">
        <v>2063</v>
      </c>
      <c r="F72" s="3">
        <v>45275</v>
      </c>
      <c r="G72" s="3">
        <v>44939</v>
      </c>
      <c r="H72" s="3">
        <v>45303</v>
      </c>
      <c r="I72" s="1" t="s">
        <v>2105</v>
      </c>
      <c r="J72" s="1" t="s">
        <v>2106</v>
      </c>
      <c r="K72" s="1"/>
      <c r="L72" s="1" t="s">
        <v>2107</v>
      </c>
      <c r="M72" s="1" t="s">
        <v>2108</v>
      </c>
      <c r="N72" s="1" t="s">
        <v>2109</v>
      </c>
      <c r="O72" s="1" t="s">
        <v>2110</v>
      </c>
      <c r="P72" s="1" t="s">
        <v>2095</v>
      </c>
      <c r="Q72" s="1"/>
      <c r="R72" s="1"/>
      <c r="S72" s="1" t="s">
        <v>2072</v>
      </c>
      <c r="T72" s="1" t="s">
        <v>2111</v>
      </c>
      <c r="U72" s="4">
        <v>5600000</v>
      </c>
      <c r="V72" s="4">
        <v>1559</v>
      </c>
      <c r="W72" s="4">
        <v>16</v>
      </c>
      <c r="X72" s="4">
        <v>203</v>
      </c>
      <c r="Y72" s="4">
        <v>0</v>
      </c>
      <c r="Z72" s="5">
        <v>1778</v>
      </c>
      <c r="AA72" s="5">
        <v>0</v>
      </c>
      <c r="AB72" s="6">
        <v>0</v>
      </c>
      <c r="AC72" s="4">
        <v>1778</v>
      </c>
      <c r="AD72" s="4">
        <v>0</v>
      </c>
      <c r="AE72" s="4">
        <v>1778</v>
      </c>
      <c r="AF72" s="1"/>
      <c r="AG72" s="1"/>
      <c r="AH72" s="1"/>
      <c r="AI72" s="1"/>
      <c r="AJ72" s="6">
        <v>548.37000000000103</v>
      </c>
      <c r="AK72" s="6">
        <v>465.97</v>
      </c>
      <c r="AL72" s="1"/>
    </row>
    <row r="73" spans="1:38" hidden="1" x14ac:dyDescent="0.25">
      <c r="A73" s="2">
        <v>117</v>
      </c>
      <c r="B73" s="1" t="s">
        <v>90</v>
      </c>
      <c r="C73" s="1" t="s">
        <v>99</v>
      </c>
      <c r="D73" s="1" t="s">
        <v>2062</v>
      </c>
      <c r="E73" s="1" t="s">
        <v>2063</v>
      </c>
      <c r="F73" s="3">
        <v>45655</v>
      </c>
      <c r="G73" s="3">
        <v>44939</v>
      </c>
      <c r="H73" s="3">
        <v>45303</v>
      </c>
      <c r="I73" s="1" t="s">
        <v>2105</v>
      </c>
      <c r="J73" s="1" t="s">
        <v>2106</v>
      </c>
      <c r="K73" s="1"/>
      <c r="L73" s="1" t="s">
        <v>2107</v>
      </c>
      <c r="M73" s="1" t="s">
        <v>2108</v>
      </c>
      <c r="N73" s="1" t="s">
        <v>2109</v>
      </c>
      <c r="O73" s="1" t="s">
        <v>2110</v>
      </c>
      <c r="P73" s="1" t="s">
        <v>2095</v>
      </c>
      <c r="Q73" s="1"/>
      <c r="R73" s="1"/>
      <c r="S73" s="1" t="s">
        <v>2072</v>
      </c>
      <c r="T73" s="1" t="s">
        <v>2111</v>
      </c>
      <c r="U73" s="4">
        <v>-1</v>
      </c>
      <c r="V73" s="4">
        <v>-10084</v>
      </c>
      <c r="W73" s="4">
        <v>-101</v>
      </c>
      <c r="X73" s="4">
        <v>0</v>
      </c>
      <c r="Y73" s="4">
        <v>0</v>
      </c>
      <c r="Z73" s="5">
        <v>-10185</v>
      </c>
      <c r="AA73" s="5">
        <v>0</v>
      </c>
      <c r="AB73" s="6">
        <v>0</v>
      </c>
      <c r="AC73" s="4">
        <v>-10185</v>
      </c>
      <c r="AD73" s="4">
        <v>0</v>
      </c>
      <c r="AE73" s="4">
        <v>-10185</v>
      </c>
      <c r="AF73" s="1"/>
      <c r="AG73" s="1"/>
      <c r="AH73" s="1"/>
      <c r="AI73" s="1"/>
      <c r="AJ73" s="1"/>
      <c r="AK73" s="1"/>
      <c r="AL73" s="1"/>
    </row>
    <row r="74" spans="1:38" x14ac:dyDescent="0.25">
      <c r="A74" s="2">
        <v>122</v>
      </c>
      <c r="B74" s="1" t="s">
        <v>100</v>
      </c>
      <c r="C74" s="1"/>
      <c r="D74" s="1" t="s">
        <v>2062</v>
      </c>
      <c r="E74" s="1" t="s">
        <v>2063</v>
      </c>
      <c r="F74" s="3">
        <v>44942</v>
      </c>
      <c r="G74" s="3">
        <v>44937</v>
      </c>
      <c r="H74" s="3">
        <v>45301</v>
      </c>
      <c r="I74" s="1" t="s">
        <v>2241</v>
      </c>
      <c r="J74" s="1" t="s">
        <v>2242</v>
      </c>
      <c r="K74" s="1"/>
      <c r="L74" s="1" t="s">
        <v>2243</v>
      </c>
      <c r="M74" s="1" t="s">
        <v>2244</v>
      </c>
      <c r="N74" s="1" t="s">
        <v>2245</v>
      </c>
      <c r="O74" s="1" t="s">
        <v>2246</v>
      </c>
      <c r="P74" s="1" t="s">
        <v>2247</v>
      </c>
      <c r="Q74" s="1"/>
      <c r="R74" s="1"/>
      <c r="S74" s="1" t="s">
        <v>2072</v>
      </c>
      <c r="T74" s="1" t="s">
        <v>2073</v>
      </c>
      <c r="U74" s="4">
        <v>2350000</v>
      </c>
      <c r="V74" s="4">
        <v>4343</v>
      </c>
      <c r="W74" s="4">
        <v>43</v>
      </c>
      <c r="X74" s="4">
        <v>564</v>
      </c>
      <c r="Y74" s="4">
        <v>50</v>
      </c>
      <c r="Z74" s="5">
        <v>5000</v>
      </c>
      <c r="AA74" s="5">
        <v>5005</v>
      </c>
      <c r="AB74" s="6">
        <v>0</v>
      </c>
      <c r="AC74" s="4">
        <v>-5</v>
      </c>
      <c r="AD74" s="4">
        <v>0</v>
      </c>
      <c r="AE74" s="4">
        <v>-5</v>
      </c>
      <c r="AF74" s="1"/>
      <c r="AG74" s="1"/>
      <c r="AH74" s="1"/>
      <c r="AI74" s="1"/>
      <c r="AJ74" s="1"/>
      <c r="AK74" s="1"/>
      <c r="AL74" s="1" t="s">
        <v>2248</v>
      </c>
    </row>
    <row r="75" spans="1:38" hidden="1" x14ac:dyDescent="0.25">
      <c r="A75" s="2">
        <v>123</v>
      </c>
      <c r="B75" s="1" t="s">
        <v>100</v>
      </c>
      <c r="C75" s="1" t="s">
        <v>101</v>
      </c>
      <c r="D75" s="1" t="s">
        <v>2062</v>
      </c>
      <c r="E75" s="1" t="s">
        <v>2063</v>
      </c>
      <c r="F75" s="3">
        <v>45126</v>
      </c>
      <c r="G75" s="3">
        <v>44937</v>
      </c>
      <c r="H75" s="3">
        <v>45301</v>
      </c>
      <c r="I75" s="1" t="s">
        <v>2241</v>
      </c>
      <c r="J75" s="1" t="s">
        <v>2242</v>
      </c>
      <c r="K75" s="1"/>
      <c r="L75" s="1" t="s">
        <v>2243</v>
      </c>
      <c r="M75" s="1" t="s">
        <v>2244</v>
      </c>
      <c r="N75" s="1" t="s">
        <v>2245</v>
      </c>
      <c r="O75" s="1" t="s">
        <v>2246</v>
      </c>
      <c r="P75" s="1" t="s">
        <v>2247</v>
      </c>
      <c r="Q75" s="1"/>
      <c r="R75" s="1"/>
      <c r="S75" s="1" t="s">
        <v>2072</v>
      </c>
      <c r="T75" s="1" t="s">
        <v>2073</v>
      </c>
      <c r="U75" s="4">
        <v>2350000</v>
      </c>
      <c r="V75" s="4">
        <v>1352</v>
      </c>
      <c r="W75" s="4">
        <v>14</v>
      </c>
      <c r="X75" s="4">
        <v>176</v>
      </c>
      <c r="Y75" s="4">
        <v>0</v>
      </c>
      <c r="Z75" s="5">
        <v>1542</v>
      </c>
      <c r="AA75" s="5">
        <v>1537</v>
      </c>
      <c r="AB75" s="6">
        <v>0</v>
      </c>
      <c r="AC75" s="4">
        <v>5</v>
      </c>
      <c r="AD75" s="4">
        <v>0</v>
      </c>
      <c r="AE75" s="4">
        <v>5</v>
      </c>
      <c r="AF75" s="1"/>
      <c r="AG75" s="1"/>
      <c r="AH75" s="1"/>
      <c r="AI75" s="1"/>
      <c r="AJ75" s="6">
        <v>523.42682406097606</v>
      </c>
      <c r="AK75" s="6">
        <v>478.59682406097608</v>
      </c>
      <c r="AL75" s="1"/>
    </row>
    <row r="76" spans="1:38" x14ac:dyDescent="0.25">
      <c r="A76" s="2">
        <v>124</v>
      </c>
      <c r="B76" s="1" t="s">
        <v>102</v>
      </c>
      <c r="C76" s="1"/>
      <c r="D76" s="1" t="s">
        <v>2062</v>
      </c>
      <c r="E76" s="1" t="s">
        <v>2063</v>
      </c>
      <c r="F76" s="3">
        <v>44946</v>
      </c>
      <c r="G76" s="3">
        <v>44944</v>
      </c>
      <c r="H76" s="3">
        <v>45308</v>
      </c>
      <c r="I76" s="1" t="s">
        <v>2249</v>
      </c>
      <c r="J76" s="1" t="s">
        <v>2250</v>
      </c>
      <c r="K76" s="1"/>
      <c r="L76" s="1" t="s">
        <v>2171</v>
      </c>
      <c r="M76" s="1" t="s">
        <v>2251</v>
      </c>
      <c r="N76" s="1" t="s">
        <v>2252</v>
      </c>
      <c r="O76" s="1" t="s">
        <v>2253</v>
      </c>
      <c r="P76" s="1" t="s">
        <v>2231</v>
      </c>
      <c r="Q76" s="1" t="s">
        <v>2254</v>
      </c>
      <c r="R76" s="1"/>
      <c r="S76" s="1" t="s">
        <v>2072</v>
      </c>
      <c r="T76" s="1" t="s">
        <v>2073</v>
      </c>
      <c r="U76" s="4">
        <v>0</v>
      </c>
      <c r="V76" s="4">
        <v>4343</v>
      </c>
      <c r="W76" s="4">
        <v>43</v>
      </c>
      <c r="X76" s="4">
        <v>564</v>
      </c>
      <c r="Y76" s="4">
        <v>50</v>
      </c>
      <c r="Z76" s="5">
        <v>5000</v>
      </c>
      <c r="AA76" s="5">
        <v>5008</v>
      </c>
      <c r="AB76" s="6">
        <v>0</v>
      </c>
      <c r="AC76" s="4">
        <v>-8</v>
      </c>
      <c r="AD76" s="4">
        <v>0</v>
      </c>
      <c r="AE76" s="4">
        <v>-8</v>
      </c>
      <c r="AF76" s="1"/>
      <c r="AG76" s="1"/>
      <c r="AH76" s="1"/>
      <c r="AI76" s="1"/>
      <c r="AJ76" s="1"/>
      <c r="AK76" s="1"/>
      <c r="AL76" s="1" t="s">
        <v>2255</v>
      </c>
    </row>
    <row r="77" spans="1:38" hidden="1" x14ac:dyDescent="0.25">
      <c r="A77" s="2">
        <v>125</v>
      </c>
      <c r="B77" s="1" t="s">
        <v>102</v>
      </c>
      <c r="C77" s="1" t="s">
        <v>103</v>
      </c>
      <c r="D77" s="1" t="s">
        <v>2062</v>
      </c>
      <c r="E77" s="1" t="s">
        <v>2063</v>
      </c>
      <c r="F77" s="3">
        <v>45156</v>
      </c>
      <c r="G77" s="3">
        <v>44944</v>
      </c>
      <c r="H77" s="3">
        <v>45308</v>
      </c>
      <c r="I77" s="1" t="s">
        <v>2249</v>
      </c>
      <c r="J77" s="1" t="s">
        <v>2250</v>
      </c>
      <c r="K77" s="1"/>
      <c r="L77" s="1" t="s">
        <v>2171</v>
      </c>
      <c r="M77" s="1" t="s">
        <v>2251</v>
      </c>
      <c r="N77" s="1" t="s">
        <v>2252</v>
      </c>
      <c r="O77" s="1" t="s">
        <v>2253</v>
      </c>
      <c r="P77" s="1" t="s">
        <v>2231</v>
      </c>
      <c r="Q77" s="1" t="s">
        <v>2254</v>
      </c>
      <c r="R77" s="1"/>
      <c r="S77" s="1" t="s">
        <v>2072</v>
      </c>
      <c r="T77" s="1" t="s">
        <v>2073</v>
      </c>
      <c r="U77" s="4">
        <v>3500000</v>
      </c>
      <c r="V77" s="4">
        <v>110</v>
      </c>
      <c r="W77" s="4">
        <v>1</v>
      </c>
      <c r="X77" s="4">
        <v>14</v>
      </c>
      <c r="Y77" s="4">
        <v>0</v>
      </c>
      <c r="Z77" s="5">
        <v>125</v>
      </c>
      <c r="AA77" s="5">
        <v>117</v>
      </c>
      <c r="AB77" s="6">
        <v>0</v>
      </c>
      <c r="AC77" s="4">
        <v>8</v>
      </c>
      <c r="AD77" s="4">
        <v>0</v>
      </c>
      <c r="AE77" s="4">
        <v>8</v>
      </c>
      <c r="AF77" s="1"/>
      <c r="AG77" s="1"/>
      <c r="AH77" s="1"/>
      <c r="AI77" s="1"/>
      <c r="AJ77" s="6">
        <v>26.05</v>
      </c>
      <c r="AK77" s="6">
        <v>26.05</v>
      </c>
      <c r="AL77" s="1" t="s">
        <v>2255</v>
      </c>
    </row>
    <row r="78" spans="1:38" hidden="1" x14ac:dyDescent="0.25">
      <c r="A78" s="2">
        <v>126</v>
      </c>
      <c r="B78" s="1" t="s">
        <v>104</v>
      </c>
      <c r="C78" s="1" t="s">
        <v>105</v>
      </c>
      <c r="D78" s="1" t="s">
        <v>2062</v>
      </c>
      <c r="E78" s="1" t="s">
        <v>2063</v>
      </c>
      <c r="F78" s="3">
        <v>45159</v>
      </c>
      <c r="G78" s="3">
        <v>44946</v>
      </c>
      <c r="H78" s="3">
        <v>45310</v>
      </c>
      <c r="I78" s="1" t="s">
        <v>2256</v>
      </c>
      <c r="J78" s="1" t="s">
        <v>2257</v>
      </c>
      <c r="K78" s="1"/>
      <c r="L78" s="1" t="s">
        <v>2258</v>
      </c>
      <c r="M78" s="1" t="s">
        <v>2259</v>
      </c>
      <c r="N78" s="1" t="s">
        <v>2260</v>
      </c>
      <c r="O78" s="1" t="s">
        <v>2261</v>
      </c>
      <c r="P78" s="1" t="s">
        <v>2262</v>
      </c>
      <c r="Q78" s="1" t="s">
        <v>2263</v>
      </c>
      <c r="R78" s="1"/>
      <c r="S78" s="1" t="s">
        <v>2072</v>
      </c>
      <c r="T78" s="1" t="s">
        <v>2073</v>
      </c>
      <c r="U78" s="4">
        <v>11600000</v>
      </c>
      <c r="V78" s="4">
        <v>1</v>
      </c>
      <c r="W78" s="4">
        <v>0</v>
      </c>
      <c r="X78" s="4">
        <v>0</v>
      </c>
      <c r="Y78" s="4">
        <v>0</v>
      </c>
      <c r="Z78" s="5">
        <v>1</v>
      </c>
      <c r="AA78" s="5">
        <v>0</v>
      </c>
      <c r="AB78" s="6">
        <v>0</v>
      </c>
      <c r="AC78" s="4">
        <v>1</v>
      </c>
      <c r="AD78" s="4">
        <v>0</v>
      </c>
      <c r="AE78" s="4">
        <v>1</v>
      </c>
      <c r="AF78" s="1"/>
      <c r="AG78" s="1"/>
      <c r="AH78" s="1"/>
      <c r="AI78" s="1"/>
      <c r="AJ78" s="6">
        <v>0.18</v>
      </c>
      <c r="AK78" s="6">
        <v>0.18</v>
      </c>
      <c r="AL78" s="1" t="s">
        <v>2264</v>
      </c>
    </row>
    <row r="79" spans="1:38" hidden="1" x14ac:dyDescent="0.25">
      <c r="A79" s="2">
        <v>127</v>
      </c>
      <c r="B79" s="1" t="s">
        <v>104</v>
      </c>
      <c r="C79" s="1" t="s">
        <v>106</v>
      </c>
      <c r="D79" s="1" t="s">
        <v>2062</v>
      </c>
      <c r="E79" s="1" t="s">
        <v>2063</v>
      </c>
      <c r="F79" s="3">
        <v>45281</v>
      </c>
      <c r="G79" s="3">
        <v>44946</v>
      </c>
      <c r="H79" s="3">
        <v>45310</v>
      </c>
      <c r="I79" s="1" t="s">
        <v>2256</v>
      </c>
      <c r="J79" s="1" t="s">
        <v>2257</v>
      </c>
      <c r="K79" s="1"/>
      <c r="L79" s="1" t="s">
        <v>2258</v>
      </c>
      <c r="M79" s="1" t="s">
        <v>2259</v>
      </c>
      <c r="N79" s="1" t="s">
        <v>2260</v>
      </c>
      <c r="O79" s="1" t="s">
        <v>2261</v>
      </c>
      <c r="P79" s="1" t="s">
        <v>2262</v>
      </c>
      <c r="Q79" s="1" t="s">
        <v>2263</v>
      </c>
      <c r="R79" s="1"/>
      <c r="S79" s="1" t="s">
        <v>2072</v>
      </c>
      <c r="T79" s="1" t="s">
        <v>2073</v>
      </c>
      <c r="U79" s="4">
        <v>11600000</v>
      </c>
      <c r="V79" s="4">
        <v>6172</v>
      </c>
      <c r="W79" s="4">
        <v>62</v>
      </c>
      <c r="X79" s="4">
        <v>803</v>
      </c>
      <c r="Y79" s="4">
        <v>0</v>
      </c>
      <c r="Z79" s="5">
        <v>7037</v>
      </c>
      <c r="AA79" s="5">
        <v>0</v>
      </c>
      <c r="AB79" s="6">
        <v>0</v>
      </c>
      <c r="AC79" s="4">
        <v>7037</v>
      </c>
      <c r="AD79" s="4">
        <v>0</v>
      </c>
      <c r="AE79" s="4">
        <v>7037</v>
      </c>
      <c r="AF79" s="1"/>
      <c r="AG79" s="1"/>
      <c r="AH79" s="1"/>
      <c r="AI79" s="1"/>
      <c r="AJ79" s="6">
        <v>453.71</v>
      </c>
      <c r="AK79" s="6">
        <v>442.75000000000006</v>
      </c>
      <c r="AL79" s="1"/>
    </row>
    <row r="80" spans="1:38" hidden="1" x14ac:dyDescent="0.25">
      <c r="A80" s="2">
        <v>128</v>
      </c>
      <c r="B80" s="1" t="s">
        <v>104</v>
      </c>
      <c r="C80" s="1" t="s">
        <v>107</v>
      </c>
      <c r="D80" s="1" t="s">
        <v>2062</v>
      </c>
      <c r="E80" s="1" t="s">
        <v>2063</v>
      </c>
      <c r="F80" s="3">
        <v>45596</v>
      </c>
      <c r="G80" s="3">
        <v>44946</v>
      </c>
      <c r="H80" s="3">
        <v>45310</v>
      </c>
      <c r="I80" s="1" t="s">
        <v>2256</v>
      </c>
      <c r="J80" s="1" t="s">
        <v>2257</v>
      </c>
      <c r="K80" s="1" t="s">
        <v>2168</v>
      </c>
      <c r="L80" s="1" t="s">
        <v>2258</v>
      </c>
      <c r="M80" s="1" t="s">
        <v>2259</v>
      </c>
      <c r="N80" s="1" t="s">
        <v>2260</v>
      </c>
      <c r="O80" s="1" t="s">
        <v>2261</v>
      </c>
      <c r="P80" s="1" t="s">
        <v>2262</v>
      </c>
      <c r="Q80" s="1" t="s">
        <v>2263</v>
      </c>
      <c r="R80" s="1"/>
      <c r="S80" s="1" t="s">
        <v>2072</v>
      </c>
      <c r="T80" s="1" t="s">
        <v>2073</v>
      </c>
      <c r="U80" s="4">
        <v>-1</v>
      </c>
      <c r="V80" s="4">
        <v>-6968</v>
      </c>
      <c r="W80" s="4">
        <v>-70</v>
      </c>
      <c r="X80" s="4">
        <v>0</v>
      </c>
      <c r="Y80" s="4">
        <v>0</v>
      </c>
      <c r="Z80" s="5">
        <v>-7038</v>
      </c>
      <c r="AA80" s="5">
        <v>0</v>
      </c>
      <c r="AB80" s="6">
        <v>0</v>
      </c>
      <c r="AC80" s="4">
        <v>-7038</v>
      </c>
      <c r="AD80" s="4">
        <v>0</v>
      </c>
      <c r="AE80" s="4">
        <v>-7038</v>
      </c>
      <c r="AF80" s="1"/>
      <c r="AG80" s="1"/>
      <c r="AH80" s="1"/>
      <c r="AI80" s="1"/>
      <c r="AJ80" s="1"/>
      <c r="AK80" s="1"/>
      <c r="AL80" s="1"/>
    </row>
    <row r="81" spans="1:38" x14ac:dyDescent="0.25">
      <c r="A81" s="2">
        <v>129</v>
      </c>
      <c r="B81" s="1" t="s">
        <v>108</v>
      </c>
      <c r="C81" s="1"/>
      <c r="D81" s="1" t="s">
        <v>2062</v>
      </c>
      <c r="E81" s="1" t="s">
        <v>2063</v>
      </c>
      <c r="F81" s="3">
        <v>44949</v>
      </c>
      <c r="G81" s="3">
        <v>44945</v>
      </c>
      <c r="H81" s="3">
        <v>45309</v>
      </c>
      <c r="I81" s="1" t="s">
        <v>2265</v>
      </c>
      <c r="J81" s="1" t="s">
        <v>2266</v>
      </c>
      <c r="K81" s="1"/>
      <c r="L81" s="1" t="s">
        <v>2267</v>
      </c>
      <c r="M81" s="1" t="s">
        <v>2268</v>
      </c>
      <c r="N81" s="1" t="s">
        <v>2269</v>
      </c>
      <c r="O81" s="1" t="s">
        <v>2270</v>
      </c>
      <c r="P81" s="1" t="s">
        <v>2088</v>
      </c>
      <c r="Q81" s="1" t="s">
        <v>2271</v>
      </c>
      <c r="R81" s="1"/>
      <c r="S81" s="1" t="s">
        <v>2072</v>
      </c>
      <c r="T81" s="1" t="s">
        <v>2073</v>
      </c>
      <c r="U81" s="4">
        <v>3500000</v>
      </c>
      <c r="V81" s="4">
        <v>4343</v>
      </c>
      <c r="W81" s="4">
        <v>43</v>
      </c>
      <c r="X81" s="4">
        <v>564</v>
      </c>
      <c r="Y81" s="4">
        <v>50</v>
      </c>
      <c r="Z81" s="5">
        <v>5000</v>
      </c>
      <c r="AA81" s="5">
        <v>5099</v>
      </c>
      <c r="AB81" s="6">
        <v>0</v>
      </c>
      <c r="AC81" s="4">
        <v>-99</v>
      </c>
      <c r="AD81" s="4">
        <v>0</v>
      </c>
      <c r="AE81" s="4">
        <v>-99</v>
      </c>
      <c r="AF81" s="1"/>
      <c r="AG81" s="1"/>
      <c r="AH81" s="1"/>
      <c r="AI81" s="1"/>
      <c r="AJ81" s="1"/>
      <c r="AK81" s="1"/>
      <c r="AL81" s="1" t="s">
        <v>2272</v>
      </c>
    </row>
    <row r="82" spans="1:38" hidden="1" x14ac:dyDescent="0.25">
      <c r="A82" s="2">
        <v>130</v>
      </c>
      <c r="B82" s="1" t="s">
        <v>108</v>
      </c>
      <c r="C82" s="1" t="s">
        <v>109</v>
      </c>
      <c r="D82" s="1" t="s">
        <v>2062</v>
      </c>
      <c r="E82" s="1" t="s">
        <v>2063</v>
      </c>
      <c r="F82" s="3">
        <v>45036</v>
      </c>
      <c r="G82" s="3">
        <v>44945</v>
      </c>
      <c r="H82" s="3">
        <v>45309</v>
      </c>
      <c r="I82" s="1" t="s">
        <v>2265</v>
      </c>
      <c r="J82" s="1" t="s">
        <v>2266</v>
      </c>
      <c r="K82" s="1"/>
      <c r="L82" s="1" t="s">
        <v>2267</v>
      </c>
      <c r="M82" s="1" t="s">
        <v>2268</v>
      </c>
      <c r="N82" s="1" t="s">
        <v>2269</v>
      </c>
      <c r="O82" s="1" t="s">
        <v>2270</v>
      </c>
      <c r="P82" s="1" t="s">
        <v>2088</v>
      </c>
      <c r="Q82" s="1" t="s">
        <v>2271</v>
      </c>
      <c r="R82" s="1"/>
      <c r="S82" s="1" t="s">
        <v>2072</v>
      </c>
      <c r="T82" s="1" t="s">
        <v>2073</v>
      </c>
      <c r="U82" s="4">
        <v>3500000</v>
      </c>
      <c r="V82" s="4">
        <v>2480</v>
      </c>
      <c r="W82" s="4">
        <v>25</v>
      </c>
      <c r="X82" s="4">
        <v>322</v>
      </c>
      <c r="Y82" s="4">
        <v>0</v>
      </c>
      <c r="Z82" s="5">
        <v>2827</v>
      </c>
      <c r="AA82" s="5">
        <v>2728</v>
      </c>
      <c r="AB82" s="6">
        <v>0</v>
      </c>
      <c r="AC82" s="4">
        <v>99</v>
      </c>
      <c r="AD82" s="4">
        <v>0</v>
      </c>
      <c r="AE82" s="4">
        <v>99</v>
      </c>
      <c r="AF82" s="1"/>
      <c r="AG82" s="1"/>
      <c r="AH82" s="1"/>
      <c r="AI82" s="1"/>
      <c r="AJ82" s="6">
        <v>2657.554267831586</v>
      </c>
      <c r="AK82" s="6">
        <v>551.899415974617</v>
      </c>
      <c r="AL82" s="1" t="s">
        <v>2272</v>
      </c>
    </row>
    <row r="83" spans="1:38" x14ac:dyDescent="0.25">
      <c r="A83" s="2">
        <v>131</v>
      </c>
      <c r="B83" s="1" t="s">
        <v>110</v>
      </c>
      <c r="C83" s="1"/>
      <c r="D83" s="1" t="s">
        <v>2062</v>
      </c>
      <c r="E83" s="1" t="s">
        <v>2063</v>
      </c>
      <c r="F83" s="3">
        <v>44949</v>
      </c>
      <c r="G83" s="3">
        <v>44945</v>
      </c>
      <c r="H83" s="3">
        <v>45309</v>
      </c>
      <c r="I83" s="1" t="s">
        <v>2273</v>
      </c>
      <c r="J83" s="1" t="s">
        <v>2274</v>
      </c>
      <c r="K83" s="1"/>
      <c r="L83" s="1" t="s">
        <v>2085</v>
      </c>
      <c r="M83" s="1" t="s">
        <v>2275</v>
      </c>
      <c r="N83" s="1" t="s">
        <v>2276</v>
      </c>
      <c r="O83" s="1" t="s">
        <v>2277</v>
      </c>
      <c r="P83" s="1" t="s">
        <v>2182</v>
      </c>
      <c r="Q83" s="1" t="s">
        <v>2278</v>
      </c>
      <c r="R83" s="1"/>
      <c r="S83" s="1" t="s">
        <v>2072</v>
      </c>
      <c r="T83" s="1" t="s">
        <v>2279</v>
      </c>
      <c r="U83" s="4">
        <v>6000000</v>
      </c>
      <c r="V83" s="4">
        <v>4343</v>
      </c>
      <c r="W83" s="4">
        <v>43</v>
      </c>
      <c r="X83" s="4">
        <v>564</v>
      </c>
      <c r="Y83" s="4">
        <v>50</v>
      </c>
      <c r="Z83" s="5">
        <v>5000</v>
      </c>
      <c r="AA83" s="5">
        <v>5002</v>
      </c>
      <c r="AB83" s="6">
        <v>0</v>
      </c>
      <c r="AC83" s="4">
        <v>-2</v>
      </c>
      <c r="AD83" s="4">
        <v>0</v>
      </c>
      <c r="AE83" s="4">
        <v>-2</v>
      </c>
      <c r="AF83" s="1"/>
      <c r="AG83" s="1"/>
      <c r="AH83" s="1"/>
      <c r="AI83" s="1"/>
      <c r="AJ83" s="1"/>
      <c r="AK83" s="1"/>
      <c r="AL83" s="1" t="s">
        <v>2280</v>
      </c>
    </row>
    <row r="84" spans="1:38" hidden="1" x14ac:dyDescent="0.25">
      <c r="A84" s="2">
        <v>132</v>
      </c>
      <c r="B84" s="1" t="s">
        <v>110</v>
      </c>
      <c r="C84" s="1" t="s">
        <v>111</v>
      </c>
      <c r="D84" s="1" t="s">
        <v>2062</v>
      </c>
      <c r="E84" s="1" t="s">
        <v>2063</v>
      </c>
      <c r="F84" s="3">
        <v>45337</v>
      </c>
      <c r="G84" s="3">
        <v>44945</v>
      </c>
      <c r="H84" s="3">
        <v>45309</v>
      </c>
      <c r="I84" s="1" t="s">
        <v>2273</v>
      </c>
      <c r="J84" s="1" t="s">
        <v>2274</v>
      </c>
      <c r="K84" s="1"/>
      <c r="L84" s="1" t="s">
        <v>2085</v>
      </c>
      <c r="M84" s="1" t="s">
        <v>2275</v>
      </c>
      <c r="N84" s="1" t="s">
        <v>2276</v>
      </c>
      <c r="O84" s="1" t="s">
        <v>2277</v>
      </c>
      <c r="P84" s="1" t="s">
        <v>2182</v>
      </c>
      <c r="Q84" s="1" t="s">
        <v>2278</v>
      </c>
      <c r="R84" s="1"/>
      <c r="S84" s="1" t="s">
        <v>2072</v>
      </c>
      <c r="T84" s="1" t="s">
        <v>2279</v>
      </c>
      <c r="U84" s="4">
        <v>6000000</v>
      </c>
      <c r="V84" s="4">
        <v>5998</v>
      </c>
      <c r="W84" s="4">
        <v>60</v>
      </c>
      <c r="X84" s="4">
        <v>780</v>
      </c>
      <c r="Y84" s="4">
        <v>0</v>
      </c>
      <c r="Z84" s="5">
        <v>6838</v>
      </c>
      <c r="AA84" s="5">
        <v>6836</v>
      </c>
      <c r="AB84" s="6">
        <v>0</v>
      </c>
      <c r="AC84" s="4">
        <v>2</v>
      </c>
      <c r="AD84" s="4">
        <v>0</v>
      </c>
      <c r="AE84" s="4">
        <v>2</v>
      </c>
      <c r="AF84" s="1"/>
      <c r="AG84" s="1"/>
      <c r="AH84" s="1"/>
      <c r="AI84" s="1"/>
      <c r="AJ84" s="6">
        <v>954.33000000000106</v>
      </c>
      <c r="AK84" s="6">
        <v>852.0200000000001</v>
      </c>
      <c r="AL84" s="1"/>
    </row>
    <row r="85" spans="1:38" x14ac:dyDescent="0.25">
      <c r="A85" s="2">
        <v>133</v>
      </c>
      <c r="B85" s="1" t="s">
        <v>112</v>
      </c>
      <c r="C85" s="1"/>
      <c r="D85" s="1" t="s">
        <v>2062</v>
      </c>
      <c r="E85" s="1" t="s">
        <v>2063</v>
      </c>
      <c r="F85" s="3">
        <v>44957</v>
      </c>
      <c r="G85" s="3">
        <v>44957</v>
      </c>
      <c r="H85" s="3">
        <v>45321</v>
      </c>
      <c r="I85" s="1" t="s">
        <v>2281</v>
      </c>
      <c r="J85" s="1" t="s">
        <v>2282</v>
      </c>
      <c r="K85" s="1"/>
      <c r="L85" s="1" t="s">
        <v>2283</v>
      </c>
      <c r="M85" s="1" t="s">
        <v>2284</v>
      </c>
      <c r="N85" s="1" t="s">
        <v>2285</v>
      </c>
      <c r="O85" s="1" t="s">
        <v>2286</v>
      </c>
      <c r="P85" s="1" t="s">
        <v>2231</v>
      </c>
      <c r="Q85" s="1"/>
      <c r="R85" s="1"/>
      <c r="S85" s="1" t="s">
        <v>2072</v>
      </c>
      <c r="T85" s="1" t="s">
        <v>2073</v>
      </c>
      <c r="U85" s="1"/>
      <c r="V85" s="4">
        <v>23412</v>
      </c>
      <c r="W85" s="4">
        <v>234</v>
      </c>
      <c r="X85" s="4">
        <v>3044</v>
      </c>
      <c r="Y85" s="4">
        <v>50</v>
      </c>
      <c r="Z85" s="5">
        <v>26740</v>
      </c>
      <c r="AA85" s="5">
        <v>27110</v>
      </c>
      <c r="AB85" s="6">
        <v>0</v>
      </c>
      <c r="AC85" s="4">
        <v>-370</v>
      </c>
      <c r="AD85" s="4">
        <v>0</v>
      </c>
      <c r="AE85" s="4">
        <v>-370</v>
      </c>
      <c r="AF85" s="1"/>
      <c r="AG85" s="1"/>
      <c r="AH85" s="1"/>
      <c r="AI85" s="1" t="s">
        <v>2287</v>
      </c>
      <c r="AJ85" s="1"/>
      <c r="AK85" s="1"/>
      <c r="AL85" s="1" t="s">
        <v>2288</v>
      </c>
    </row>
    <row r="86" spans="1:38" hidden="1" x14ac:dyDescent="0.25">
      <c r="A86" s="2">
        <v>134</v>
      </c>
      <c r="B86" s="1" t="s">
        <v>112</v>
      </c>
      <c r="C86" s="1" t="s">
        <v>113</v>
      </c>
      <c r="D86" s="1" t="s">
        <v>2062</v>
      </c>
      <c r="E86" s="1" t="s">
        <v>2063</v>
      </c>
      <c r="F86" s="3">
        <v>45527</v>
      </c>
      <c r="G86" s="3">
        <v>44957</v>
      </c>
      <c r="H86" s="3">
        <v>45321</v>
      </c>
      <c r="I86" s="1" t="s">
        <v>2281</v>
      </c>
      <c r="J86" s="1" t="s">
        <v>2282</v>
      </c>
      <c r="K86" s="1"/>
      <c r="L86" s="1" t="s">
        <v>2283</v>
      </c>
      <c r="M86" s="1" t="s">
        <v>2284</v>
      </c>
      <c r="N86" s="1" t="s">
        <v>2285</v>
      </c>
      <c r="O86" s="1" t="s">
        <v>2286</v>
      </c>
      <c r="P86" s="1" t="s">
        <v>2231</v>
      </c>
      <c r="Q86" s="1"/>
      <c r="R86" s="1"/>
      <c r="S86" s="1" t="s">
        <v>2072</v>
      </c>
      <c r="T86" s="1" t="s">
        <v>2073</v>
      </c>
      <c r="U86" s="4">
        <v>2701000</v>
      </c>
      <c r="V86" s="4">
        <v>319</v>
      </c>
      <c r="W86" s="4">
        <v>3</v>
      </c>
      <c r="X86" s="4">
        <v>48</v>
      </c>
      <c r="Y86" s="4">
        <v>0</v>
      </c>
      <c r="Z86" s="5">
        <v>370</v>
      </c>
      <c r="AA86" s="5">
        <v>0</v>
      </c>
      <c r="AB86" s="6">
        <v>0</v>
      </c>
      <c r="AC86" s="4">
        <v>370</v>
      </c>
      <c r="AD86" s="4">
        <v>0</v>
      </c>
      <c r="AE86" s="4">
        <v>370</v>
      </c>
      <c r="AF86" s="1"/>
      <c r="AG86" s="1"/>
      <c r="AH86" s="1"/>
      <c r="AI86" s="1" t="s">
        <v>2287</v>
      </c>
      <c r="AJ86" s="6">
        <v>221.3</v>
      </c>
      <c r="AK86" s="6">
        <v>197.71</v>
      </c>
      <c r="AL86" s="1"/>
    </row>
    <row r="87" spans="1:38" hidden="1" x14ac:dyDescent="0.25">
      <c r="A87" s="2">
        <v>161</v>
      </c>
      <c r="B87" s="1" t="s">
        <v>114</v>
      </c>
      <c r="C87" s="1" t="s">
        <v>115</v>
      </c>
      <c r="D87" s="1" t="s">
        <v>2062</v>
      </c>
      <c r="E87" s="1" t="s">
        <v>2063</v>
      </c>
      <c r="F87" s="3">
        <v>45264</v>
      </c>
      <c r="G87" s="3">
        <v>44959</v>
      </c>
      <c r="H87" s="3">
        <v>45323</v>
      </c>
      <c r="I87" s="1" t="s">
        <v>2289</v>
      </c>
      <c r="J87" s="1" t="s">
        <v>2290</v>
      </c>
      <c r="K87" s="1"/>
      <c r="L87" s="1" t="s">
        <v>2291</v>
      </c>
      <c r="M87" s="1" t="s">
        <v>2292</v>
      </c>
      <c r="N87" s="1" t="s">
        <v>2293</v>
      </c>
      <c r="O87" s="1" t="s">
        <v>2294</v>
      </c>
      <c r="P87" s="1" t="s">
        <v>2081</v>
      </c>
      <c r="Q87" s="1" t="s">
        <v>2295</v>
      </c>
      <c r="R87" s="1"/>
      <c r="S87" s="1" t="s">
        <v>2072</v>
      </c>
      <c r="T87" s="1" t="s">
        <v>2073</v>
      </c>
      <c r="U87" s="4">
        <v>4000000</v>
      </c>
      <c r="V87" s="4">
        <v>4712</v>
      </c>
      <c r="W87" s="4">
        <v>47</v>
      </c>
      <c r="X87" s="4">
        <v>613</v>
      </c>
      <c r="Y87" s="4">
        <v>0</v>
      </c>
      <c r="Z87" s="5">
        <v>5372</v>
      </c>
      <c r="AA87" s="5">
        <v>0</v>
      </c>
      <c r="AB87" s="6">
        <v>0</v>
      </c>
      <c r="AC87" s="4">
        <v>5372</v>
      </c>
      <c r="AD87" s="4">
        <v>0</v>
      </c>
      <c r="AE87" s="4">
        <v>5372</v>
      </c>
      <c r="AF87" s="1"/>
      <c r="AG87" s="1"/>
      <c r="AH87" s="1"/>
      <c r="AI87" s="1" t="s">
        <v>2296</v>
      </c>
      <c r="AJ87" s="6">
        <v>1553.9700000000009</v>
      </c>
      <c r="AK87" s="6">
        <v>979.32</v>
      </c>
      <c r="AL87" s="1"/>
    </row>
    <row r="88" spans="1:38" hidden="1" x14ac:dyDescent="0.25">
      <c r="A88" s="2">
        <v>162</v>
      </c>
      <c r="B88" s="1" t="s">
        <v>114</v>
      </c>
      <c r="C88" s="1" t="s">
        <v>116</v>
      </c>
      <c r="D88" s="1" t="s">
        <v>2062</v>
      </c>
      <c r="E88" s="1" t="s">
        <v>2063</v>
      </c>
      <c r="F88" s="3">
        <v>45264</v>
      </c>
      <c r="G88" s="3">
        <v>44959</v>
      </c>
      <c r="H88" s="3">
        <v>45323</v>
      </c>
      <c r="I88" s="1" t="s">
        <v>2289</v>
      </c>
      <c r="J88" s="1" t="s">
        <v>2290</v>
      </c>
      <c r="K88" s="1"/>
      <c r="L88" s="1" t="s">
        <v>2291</v>
      </c>
      <c r="M88" s="1" t="s">
        <v>2292</v>
      </c>
      <c r="N88" s="1" t="s">
        <v>2293</v>
      </c>
      <c r="O88" s="1" t="s">
        <v>2294</v>
      </c>
      <c r="P88" s="1" t="s">
        <v>2081</v>
      </c>
      <c r="Q88" s="1" t="s">
        <v>2295</v>
      </c>
      <c r="R88" s="1"/>
      <c r="S88" s="1" t="s">
        <v>2072</v>
      </c>
      <c r="T88" s="1" t="s">
        <v>2073</v>
      </c>
      <c r="U88" s="4">
        <v>4000000</v>
      </c>
      <c r="V88" s="4">
        <v>4382</v>
      </c>
      <c r="W88" s="4">
        <v>44</v>
      </c>
      <c r="X88" s="4">
        <v>570</v>
      </c>
      <c r="Y88" s="4">
        <v>0</v>
      </c>
      <c r="Z88" s="5">
        <v>4996</v>
      </c>
      <c r="AA88" s="5">
        <v>0</v>
      </c>
      <c r="AB88" s="6">
        <v>0</v>
      </c>
      <c r="AC88" s="4">
        <v>4996</v>
      </c>
      <c r="AD88" s="4">
        <v>0</v>
      </c>
      <c r="AE88" s="4">
        <v>4996</v>
      </c>
      <c r="AF88" s="1"/>
      <c r="AG88" s="1"/>
      <c r="AH88" s="1"/>
      <c r="AI88" s="1" t="s">
        <v>2296</v>
      </c>
      <c r="AJ88" s="6">
        <v>1376.34</v>
      </c>
      <c r="AK88" s="6">
        <v>910.1</v>
      </c>
      <c r="AL88" s="1"/>
    </row>
    <row r="89" spans="1:38" hidden="1" x14ac:dyDescent="0.25">
      <c r="A89" s="2">
        <v>163</v>
      </c>
      <c r="B89" s="1" t="s">
        <v>114</v>
      </c>
      <c r="C89" s="1" t="s">
        <v>117</v>
      </c>
      <c r="D89" s="1" t="s">
        <v>2062</v>
      </c>
      <c r="E89" s="1" t="s">
        <v>2063</v>
      </c>
      <c r="F89" s="3">
        <v>45264</v>
      </c>
      <c r="G89" s="3">
        <v>44959</v>
      </c>
      <c r="H89" s="3">
        <v>45323</v>
      </c>
      <c r="I89" s="1" t="s">
        <v>2289</v>
      </c>
      <c r="J89" s="1" t="s">
        <v>2290</v>
      </c>
      <c r="K89" s="1"/>
      <c r="L89" s="1" t="s">
        <v>2291</v>
      </c>
      <c r="M89" s="1" t="s">
        <v>2292</v>
      </c>
      <c r="N89" s="1" t="s">
        <v>2293</v>
      </c>
      <c r="O89" s="1" t="s">
        <v>2294</v>
      </c>
      <c r="P89" s="1" t="s">
        <v>2081</v>
      </c>
      <c r="Q89" s="1" t="s">
        <v>2295</v>
      </c>
      <c r="R89" s="1"/>
      <c r="S89" s="1" t="s">
        <v>2072</v>
      </c>
      <c r="T89" s="1" t="s">
        <v>2073</v>
      </c>
      <c r="U89" s="4">
        <v>4000000</v>
      </c>
      <c r="V89" s="4">
        <v>4502</v>
      </c>
      <c r="W89" s="4">
        <v>45</v>
      </c>
      <c r="X89" s="4">
        <v>585</v>
      </c>
      <c r="Y89" s="4">
        <v>0</v>
      </c>
      <c r="Z89" s="5">
        <v>5132</v>
      </c>
      <c r="AA89" s="5">
        <v>0</v>
      </c>
      <c r="AB89" s="6">
        <v>0</v>
      </c>
      <c r="AC89" s="4">
        <v>5132</v>
      </c>
      <c r="AD89" s="4">
        <v>0</v>
      </c>
      <c r="AE89" s="4">
        <v>5132</v>
      </c>
      <c r="AF89" s="1"/>
      <c r="AG89" s="1"/>
      <c r="AH89" s="1"/>
      <c r="AI89" s="1" t="s">
        <v>2296</v>
      </c>
      <c r="AJ89" s="6">
        <v>1401.6300000000012</v>
      </c>
      <c r="AK89" s="6">
        <v>935</v>
      </c>
      <c r="AL89" s="1"/>
    </row>
    <row r="90" spans="1:38" hidden="1" x14ac:dyDescent="0.25">
      <c r="A90" s="2">
        <v>164</v>
      </c>
      <c r="B90" s="1" t="s">
        <v>114</v>
      </c>
      <c r="C90" s="1" t="s">
        <v>118</v>
      </c>
      <c r="D90" s="1" t="s">
        <v>2062</v>
      </c>
      <c r="E90" s="1" t="s">
        <v>2063</v>
      </c>
      <c r="F90" s="3">
        <v>45264</v>
      </c>
      <c r="G90" s="3">
        <v>44959</v>
      </c>
      <c r="H90" s="3">
        <v>45323</v>
      </c>
      <c r="I90" s="1" t="s">
        <v>2289</v>
      </c>
      <c r="J90" s="1" t="s">
        <v>2290</v>
      </c>
      <c r="K90" s="1"/>
      <c r="L90" s="1" t="s">
        <v>2291</v>
      </c>
      <c r="M90" s="1" t="s">
        <v>2292</v>
      </c>
      <c r="N90" s="1" t="s">
        <v>2293</v>
      </c>
      <c r="O90" s="1" t="s">
        <v>2294</v>
      </c>
      <c r="P90" s="1" t="s">
        <v>2081</v>
      </c>
      <c r="Q90" s="1" t="s">
        <v>2295</v>
      </c>
      <c r="R90" s="1"/>
      <c r="S90" s="1" t="s">
        <v>2072</v>
      </c>
      <c r="T90" s="1" t="s">
        <v>2073</v>
      </c>
      <c r="U90" s="4">
        <v>4000000</v>
      </c>
      <c r="V90" s="4">
        <v>5139</v>
      </c>
      <c r="W90" s="4">
        <v>51</v>
      </c>
      <c r="X90" s="4">
        <v>668</v>
      </c>
      <c r="Y90" s="4">
        <v>0</v>
      </c>
      <c r="Z90" s="5">
        <v>5858</v>
      </c>
      <c r="AA90" s="5">
        <v>0</v>
      </c>
      <c r="AB90" s="6">
        <v>0</v>
      </c>
      <c r="AC90" s="4">
        <v>5858</v>
      </c>
      <c r="AD90" s="4">
        <v>0</v>
      </c>
      <c r="AE90" s="4">
        <v>5858</v>
      </c>
      <c r="AF90" s="1"/>
      <c r="AG90" s="1"/>
      <c r="AH90" s="1"/>
      <c r="AI90" s="1" t="s">
        <v>2296</v>
      </c>
      <c r="AJ90" s="6">
        <v>1552.87</v>
      </c>
      <c r="AK90" s="6">
        <v>1067.46</v>
      </c>
      <c r="AL90" s="1"/>
    </row>
    <row r="91" spans="1:38" hidden="1" x14ac:dyDescent="0.25">
      <c r="A91" s="2">
        <v>165</v>
      </c>
      <c r="B91" s="1" t="s">
        <v>114</v>
      </c>
      <c r="C91" s="1" t="s">
        <v>119</v>
      </c>
      <c r="D91" s="1" t="s">
        <v>2062</v>
      </c>
      <c r="E91" s="1" t="s">
        <v>2063</v>
      </c>
      <c r="F91" s="3">
        <v>45264</v>
      </c>
      <c r="G91" s="3">
        <v>44959</v>
      </c>
      <c r="H91" s="3">
        <v>45323</v>
      </c>
      <c r="I91" s="1" t="s">
        <v>2289</v>
      </c>
      <c r="J91" s="1" t="s">
        <v>2290</v>
      </c>
      <c r="K91" s="1"/>
      <c r="L91" s="1" t="s">
        <v>2291</v>
      </c>
      <c r="M91" s="1" t="s">
        <v>2292</v>
      </c>
      <c r="N91" s="1" t="s">
        <v>2293</v>
      </c>
      <c r="O91" s="1" t="s">
        <v>2294</v>
      </c>
      <c r="P91" s="1" t="s">
        <v>2081</v>
      </c>
      <c r="Q91" s="1" t="s">
        <v>2295</v>
      </c>
      <c r="R91" s="1"/>
      <c r="S91" s="1" t="s">
        <v>2072</v>
      </c>
      <c r="T91" s="1" t="s">
        <v>2073</v>
      </c>
      <c r="U91" s="4">
        <v>4000000</v>
      </c>
      <c r="V91" s="4">
        <v>4424</v>
      </c>
      <c r="W91" s="4">
        <v>44</v>
      </c>
      <c r="X91" s="4">
        <v>575</v>
      </c>
      <c r="Y91" s="4">
        <v>0</v>
      </c>
      <c r="Z91" s="5">
        <v>5043</v>
      </c>
      <c r="AA91" s="5">
        <v>0</v>
      </c>
      <c r="AB91" s="6">
        <v>0</v>
      </c>
      <c r="AC91" s="4">
        <v>5043</v>
      </c>
      <c r="AD91" s="4">
        <v>0</v>
      </c>
      <c r="AE91" s="4">
        <v>5043</v>
      </c>
      <c r="AF91" s="1"/>
      <c r="AG91" s="1"/>
      <c r="AH91" s="1"/>
      <c r="AI91" s="1" t="s">
        <v>2296</v>
      </c>
      <c r="AJ91" s="6">
        <v>1335.0800000000004</v>
      </c>
      <c r="AK91" s="6">
        <v>918.88</v>
      </c>
      <c r="AL91" s="1"/>
    </row>
    <row r="92" spans="1:38" hidden="1" x14ac:dyDescent="0.25">
      <c r="A92" s="2">
        <v>166</v>
      </c>
      <c r="B92" s="1" t="s">
        <v>114</v>
      </c>
      <c r="C92" s="1" t="s">
        <v>120</v>
      </c>
      <c r="D92" s="1" t="s">
        <v>2062</v>
      </c>
      <c r="E92" s="1" t="s">
        <v>2063</v>
      </c>
      <c r="F92" s="3">
        <v>45294</v>
      </c>
      <c r="G92" s="3">
        <v>44959</v>
      </c>
      <c r="H92" s="3">
        <v>45323</v>
      </c>
      <c r="I92" s="1" t="s">
        <v>2289</v>
      </c>
      <c r="J92" s="1" t="s">
        <v>2290</v>
      </c>
      <c r="K92" s="1"/>
      <c r="L92" s="1" t="s">
        <v>2291</v>
      </c>
      <c r="M92" s="1" t="s">
        <v>2292</v>
      </c>
      <c r="N92" s="1" t="s">
        <v>2293</v>
      </c>
      <c r="O92" s="1" t="s">
        <v>2294</v>
      </c>
      <c r="P92" s="1" t="s">
        <v>2081</v>
      </c>
      <c r="Q92" s="1" t="s">
        <v>2295</v>
      </c>
      <c r="R92" s="1"/>
      <c r="S92" s="1" t="s">
        <v>2072</v>
      </c>
      <c r="T92" s="1" t="s">
        <v>2073</v>
      </c>
      <c r="U92" s="4">
        <v>4000000</v>
      </c>
      <c r="V92" s="4">
        <v>3932</v>
      </c>
      <c r="W92" s="4">
        <v>40</v>
      </c>
      <c r="X92" s="4">
        <v>511</v>
      </c>
      <c r="Y92" s="4">
        <v>0</v>
      </c>
      <c r="Z92" s="5">
        <v>4483</v>
      </c>
      <c r="AA92" s="5">
        <v>0</v>
      </c>
      <c r="AB92" s="6">
        <v>0</v>
      </c>
      <c r="AC92" s="4">
        <v>4483</v>
      </c>
      <c r="AD92" s="4">
        <v>0</v>
      </c>
      <c r="AE92" s="4">
        <v>4483</v>
      </c>
      <c r="AF92" s="1"/>
      <c r="AG92" s="1"/>
      <c r="AH92" s="1"/>
      <c r="AI92" s="1" t="s">
        <v>2296</v>
      </c>
      <c r="AJ92" s="6">
        <v>1172.7400000000009</v>
      </c>
      <c r="AK92" s="6">
        <v>817.07</v>
      </c>
      <c r="AL92" s="1"/>
    </row>
    <row r="93" spans="1:38" hidden="1" x14ac:dyDescent="0.25">
      <c r="A93" s="2">
        <v>167</v>
      </c>
      <c r="B93" s="1" t="s">
        <v>114</v>
      </c>
      <c r="C93" s="1" t="s">
        <v>121</v>
      </c>
      <c r="D93" s="1" t="s">
        <v>2062</v>
      </c>
      <c r="E93" s="1" t="s">
        <v>2063</v>
      </c>
      <c r="F93" s="3">
        <v>45655</v>
      </c>
      <c r="G93" s="3">
        <v>44959</v>
      </c>
      <c r="H93" s="3">
        <v>45323</v>
      </c>
      <c r="I93" s="1" t="s">
        <v>2289</v>
      </c>
      <c r="J93" s="1" t="s">
        <v>2290</v>
      </c>
      <c r="K93" s="1"/>
      <c r="L93" s="1" t="s">
        <v>2291</v>
      </c>
      <c r="M93" s="1" t="s">
        <v>2292</v>
      </c>
      <c r="N93" s="1" t="s">
        <v>2293</v>
      </c>
      <c r="O93" s="1" t="s">
        <v>2294</v>
      </c>
      <c r="P93" s="1" t="s">
        <v>2081</v>
      </c>
      <c r="Q93" s="1" t="s">
        <v>2295</v>
      </c>
      <c r="R93" s="1"/>
      <c r="S93" s="1" t="s">
        <v>2072</v>
      </c>
      <c r="T93" s="1" t="s">
        <v>2073</v>
      </c>
      <c r="U93" s="4">
        <v>-1</v>
      </c>
      <c r="V93" s="4">
        <v>-30578</v>
      </c>
      <c r="W93" s="4">
        <v>-306</v>
      </c>
      <c r="X93" s="4">
        <v>0</v>
      </c>
      <c r="Y93" s="4">
        <v>0</v>
      </c>
      <c r="Z93" s="5">
        <v>-30884</v>
      </c>
      <c r="AA93" s="5">
        <v>0</v>
      </c>
      <c r="AB93" s="6">
        <v>0</v>
      </c>
      <c r="AC93" s="4">
        <v>-30884</v>
      </c>
      <c r="AD93" s="4">
        <v>0</v>
      </c>
      <c r="AE93" s="4">
        <v>-30884</v>
      </c>
      <c r="AF93" s="1"/>
      <c r="AG93" s="1"/>
      <c r="AH93" s="1"/>
      <c r="AI93" s="1" t="s">
        <v>2296</v>
      </c>
      <c r="AJ93" s="1"/>
      <c r="AK93" s="1"/>
      <c r="AL93" s="1"/>
    </row>
    <row r="94" spans="1:38" x14ac:dyDescent="0.25">
      <c r="A94" s="2">
        <v>168</v>
      </c>
      <c r="B94" s="1" t="s">
        <v>122</v>
      </c>
      <c r="C94" s="1"/>
      <c r="D94" s="1" t="s">
        <v>2062</v>
      </c>
      <c r="E94" s="1" t="s">
        <v>2063</v>
      </c>
      <c r="F94" s="3">
        <v>44964</v>
      </c>
      <c r="G94" s="3">
        <v>44957</v>
      </c>
      <c r="H94" s="3">
        <v>45321</v>
      </c>
      <c r="I94" s="1" t="s">
        <v>2297</v>
      </c>
      <c r="J94" s="1" t="s">
        <v>2298</v>
      </c>
      <c r="K94" s="1"/>
      <c r="L94" s="1" t="s">
        <v>2299</v>
      </c>
      <c r="M94" s="1" t="s">
        <v>2300</v>
      </c>
      <c r="N94" s="1" t="s">
        <v>2301</v>
      </c>
      <c r="O94" s="1" t="s">
        <v>2302</v>
      </c>
      <c r="P94" s="1" t="s">
        <v>2095</v>
      </c>
      <c r="Q94" s="1" t="s">
        <v>2303</v>
      </c>
      <c r="R94" s="1"/>
      <c r="S94" s="1" t="s">
        <v>2072</v>
      </c>
      <c r="T94" s="1" t="s">
        <v>2073</v>
      </c>
      <c r="U94" s="4">
        <v>2300000</v>
      </c>
      <c r="V94" s="4">
        <v>4343</v>
      </c>
      <c r="W94" s="4">
        <v>43</v>
      </c>
      <c r="X94" s="4">
        <v>564</v>
      </c>
      <c r="Y94" s="4">
        <v>50</v>
      </c>
      <c r="Z94" s="5">
        <v>5000</v>
      </c>
      <c r="AA94" s="5">
        <v>5002</v>
      </c>
      <c r="AB94" s="6">
        <v>0</v>
      </c>
      <c r="AC94" s="4">
        <v>-2</v>
      </c>
      <c r="AD94" s="4">
        <v>0</v>
      </c>
      <c r="AE94" s="4">
        <v>-2</v>
      </c>
      <c r="AF94" s="1"/>
      <c r="AG94" s="1"/>
      <c r="AH94" s="1"/>
      <c r="AI94" s="1" t="s">
        <v>2304</v>
      </c>
      <c r="AJ94" s="1"/>
      <c r="AK94" s="1"/>
      <c r="AL94" s="1" t="s">
        <v>2305</v>
      </c>
    </row>
    <row r="95" spans="1:38" hidden="1" x14ac:dyDescent="0.25">
      <c r="A95" s="2">
        <v>169</v>
      </c>
      <c r="B95" s="1" t="s">
        <v>122</v>
      </c>
      <c r="C95" s="1" t="s">
        <v>123</v>
      </c>
      <c r="D95" s="1" t="s">
        <v>2062</v>
      </c>
      <c r="E95" s="1" t="s">
        <v>2063</v>
      </c>
      <c r="F95" s="3">
        <v>45293</v>
      </c>
      <c r="G95" s="3">
        <v>45291</v>
      </c>
      <c r="H95" s="3">
        <v>45656</v>
      </c>
      <c r="I95" s="1" t="s">
        <v>2297</v>
      </c>
      <c r="J95" s="1" t="s">
        <v>2298</v>
      </c>
      <c r="K95" s="1"/>
      <c r="L95" s="1" t="s">
        <v>2299</v>
      </c>
      <c r="M95" s="1" t="s">
        <v>2300</v>
      </c>
      <c r="N95" s="1" t="s">
        <v>2301</v>
      </c>
      <c r="O95" s="1" t="s">
        <v>2302</v>
      </c>
      <c r="P95" s="1" t="s">
        <v>2095</v>
      </c>
      <c r="Q95" s="1" t="s">
        <v>2303</v>
      </c>
      <c r="R95" s="1"/>
      <c r="S95" s="1" t="s">
        <v>2072</v>
      </c>
      <c r="T95" s="1" t="s">
        <v>2073</v>
      </c>
      <c r="U95" s="4">
        <v>2300000</v>
      </c>
      <c r="V95" s="4">
        <v>4211</v>
      </c>
      <c r="W95" s="4">
        <v>43</v>
      </c>
      <c r="X95" s="4">
        <v>0</v>
      </c>
      <c r="Y95" s="4">
        <v>0</v>
      </c>
      <c r="Z95" s="5">
        <v>4254</v>
      </c>
      <c r="AA95" s="5">
        <v>4252</v>
      </c>
      <c r="AB95" s="6">
        <v>0</v>
      </c>
      <c r="AC95" s="4">
        <v>2</v>
      </c>
      <c r="AD95" s="4">
        <v>0</v>
      </c>
      <c r="AE95" s="4">
        <v>2</v>
      </c>
      <c r="AF95" s="1"/>
      <c r="AG95" s="1"/>
      <c r="AH95" s="1"/>
      <c r="AI95" s="1" t="s">
        <v>2304</v>
      </c>
      <c r="AJ95" s="1"/>
      <c r="AK95" s="1"/>
      <c r="AL95" s="1" t="s">
        <v>2305</v>
      </c>
    </row>
    <row r="96" spans="1:38" x14ac:dyDescent="0.25">
      <c r="A96" s="2">
        <v>175</v>
      </c>
      <c r="B96" s="1" t="s">
        <v>124</v>
      </c>
      <c r="C96" s="1"/>
      <c r="D96" s="1" t="s">
        <v>2062</v>
      </c>
      <c r="E96" s="1" t="s">
        <v>2063</v>
      </c>
      <c r="F96" s="3">
        <v>44971</v>
      </c>
      <c r="G96" s="3">
        <v>44971</v>
      </c>
      <c r="H96" s="3">
        <v>45335</v>
      </c>
      <c r="I96" s="1" t="s">
        <v>2306</v>
      </c>
      <c r="J96" s="1" t="s">
        <v>2307</v>
      </c>
      <c r="K96" s="1"/>
      <c r="L96" s="1" t="s">
        <v>2308</v>
      </c>
      <c r="M96" s="1"/>
      <c r="N96" s="1" t="s">
        <v>2309</v>
      </c>
      <c r="O96" s="1" t="s">
        <v>2310</v>
      </c>
      <c r="P96" s="1" t="s">
        <v>2262</v>
      </c>
      <c r="Q96" s="1"/>
      <c r="R96" s="1"/>
      <c r="S96" s="1" t="s">
        <v>2072</v>
      </c>
      <c r="T96" s="1" t="s">
        <v>2311</v>
      </c>
      <c r="U96" s="4">
        <v>3200000</v>
      </c>
      <c r="V96" s="4">
        <v>4343</v>
      </c>
      <c r="W96" s="4">
        <v>43</v>
      </c>
      <c r="X96" s="4">
        <v>564</v>
      </c>
      <c r="Y96" s="4">
        <v>50</v>
      </c>
      <c r="Z96" s="5">
        <v>5000</v>
      </c>
      <c r="AA96" s="5">
        <v>4943</v>
      </c>
      <c r="AB96" s="6">
        <v>0</v>
      </c>
      <c r="AC96" s="4">
        <v>57</v>
      </c>
      <c r="AD96" s="4">
        <v>0</v>
      </c>
      <c r="AE96" s="4">
        <v>57</v>
      </c>
      <c r="AF96" s="1"/>
      <c r="AG96" s="1"/>
      <c r="AH96" s="1"/>
      <c r="AI96" s="1"/>
      <c r="AJ96" s="1"/>
      <c r="AK96" s="1"/>
      <c r="AL96" s="1" t="s">
        <v>2312</v>
      </c>
    </row>
    <row r="97" spans="1:38" hidden="1" x14ac:dyDescent="0.25">
      <c r="A97" s="2">
        <v>176</v>
      </c>
      <c r="B97" s="1" t="s">
        <v>124</v>
      </c>
      <c r="C97" s="1" t="s">
        <v>125</v>
      </c>
      <c r="D97" s="1" t="s">
        <v>2062</v>
      </c>
      <c r="E97" s="1" t="s">
        <v>2063</v>
      </c>
      <c r="F97" s="3">
        <v>45030</v>
      </c>
      <c r="G97" s="3">
        <v>44971</v>
      </c>
      <c r="H97" s="3">
        <v>45335</v>
      </c>
      <c r="I97" s="1" t="s">
        <v>2306</v>
      </c>
      <c r="J97" s="1" t="s">
        <v>2307</v>
      </c>
      <c r="K97" s="1" t="s">
        <v>2168</v>
      </c>
      <c r="L97" s="1" t="s">
        <v>2308</v>
      </c>
      <c r="M97" s="1"/>
      <c r="N97" s="1" t="s">
        <v>2309</v>
      </c>
      <c r="O97" s="1" t="s">
        <v>2310</v>
      </c>
      <c r="P97" s="1" t="s">
        <v>2262</v>
      </c>
      <c r="Q97" s="1"/>
      <c r="R97" s="1"/>
      <c r="S97" s="1" t="s">
        <v>2072</v>
      </c>
      <c r="T97" s="1" t="s">
        <v>2311</v>
      </c>
      <c r="U97" s="4">
        <v>3200000</v>
      </c>
      <c r="V97" s="4">
        <v>-1755</v>
      </c>
      <c r="W97" s="4">
        <v>-17</v>
      </c>
      <c r="X97" s="4">
        <v>-228</v>
      </c>
      <c r="Y97" s="4">
        <v>0</v>
      </c>
      <c r="Z97" s="5">
        <v>-2000</v>
      </c>
      <c r="AA97" s="5">
        <v>-1943</v>
      </c>
      <c r="AB97" s="6">
        <v>0</v>
      </c>
      <c r="AC97" s="4">
        <v>-57</v>
      </c>
      <c r="AD97" s="4">
        <v>0</v>
      </c>
      <c r="AE97" s="4">
        <v>-57</v>
      </c>
      <c r="AF97" s="1"/>
      <c r="AG97" s="1"/>
      <c r="AH97" s="1"/>
      <c r="AI97" s="1"/>
      <c r="AJ97" s="1"/>
      <c r="AK97" s="1"/>
      <c r="AL97" s="1"/>
    </row>
    <row r="98" spans="1:38" hidden="1" x14ac:dyDescent="0.25">
      <c r="A98" s="2">
        <v>177</v>
      </c>
      <c r="B98" s="1" t="s">
        <v>126</v>
      </c>
      <c r="C98" s="1" t="s">
        <v>127</v>
      </c>
      <c r="D98" s="1" t="s">
        <v>2062</v>
      </c>
      <c r="E98" s="1" t="s">
        <v>2063</v>
      </c>
      <c r="F98" s="3">
        <v>45246</v>
      </c>
      <c r="G98" s="3">
        <v>44970</v>
      </c>
      <c r="H98" s="3">
        <v>45334</v>
      </c>
      <c r="I98" s="1" t="s">
        <v>2313</v>
      </c>
      <c r="J98" s="1" t="s">
        <v>2314</v>
      </c>
      <c r="K98" s="1"/>
      <c r="L98" s="1" t="s">
        <v>2315</v>
      </c>
      <c r="M98" s="1" t="s">
        <v>2316</v>
      </c>
      <c r="N98" s="1" t="s">
        <v>2317</v>
      </c>
      <c r="O98" s="1" t="s">
        <v>2318</v>
      </c>
      <c r="P98" s="1" t="s">
        <v>2231</v>
      </c>
      <c r="Q98" s="1" t="s">
        <v>2319</v>
      </c>
      <c r="R98" s="1"/>
      <c r="S98" s="1" t="s">
        <v>2072</v>
      </c>
      <c r="T98" s="1" t="s">
        <v>2073</v>
      </c>
      <c r="U98" s="4">
        <v>4000000</v>
      </c>
      <c r="V98" s="4">
        <v>3955</v>
      </c>
      <c r="W98" s="4">
        <v>40</v>
      </c>
      <c r="X98" s="4">
        <v>514</v>
      </c>
      <c r="Y98" s="4">
        <v>0</v>
      </c>
      <c r="Z98" s="5">
        <v>4509</v>
      </c>
      <c r="AA98" s="5">
        <v>0</v>
      </c>
      <c r="AB98" s="6">
        <v>0</v>
      </c>
      <c r="AC98" s="4">
        <v>4509</v>
      </c>
      <c r="AD98" s="4">
        <v>0</v>
      </c>
      <c r="AE98" s="4">
        <v>4509</v>
      </c>
      <c r="AF98" s="1"/>
      <c r="AG98" s="1"/>
      <c r="AH98" s="1"/>
      <c r="AI98" s="1" t="s">
        <v>2304</v>
      </c>
      <c r="AJ98" s="6">
        <v>1006.12</v>
      </c>
      <c r="AK98" s="6">
        <v>821.85</v>
      </c>
      <c r="AL98" s="1"/>
    </row>
    <row r="99" spans="1:38" hidden="1" x14ac:dyDescent="0.25">
      <c r="A99" s="2">
        <v>178</v>
      </c>
      <c r="B99" s="1" t="s">
        <v>126</v>
      </c>
      <c r="C99" s="1" t="s">
        <v>128</v>
      </c>
      <c r="D99" s="1" t="s">
        <v>2062</v>
      </c>
      <c r="E99" s="1" t="s">
        <v>2063</v>
      </c>
      <c r="F99" s="3">
        <v>45274</v>
      </c>
      <c r="G99" s="3">
        <v>44970</v>
      </c>
      <c r="H99" s="3">
        <v>45334</v>
      </c>
      <c r="I99" s="1" t="s">
        <v>2313</v>
      </c>
      <c r="J99" s="1" t="s">
        <v>2314</v>
      </c>
      <c r="K99" s="1"/>
      <c r="L99" s="1" t="s">
        <v>2315</v>
      </c>
      <c r="M99" s="1" t="s">
        <v>2316</v>
      </c>
      <c r="N99" s="1" t="s">
        <v>2317</v>
      </c>
      <c r="O99" s="1" t="s">
        <v>2318</v>
      </c>
      <c r="P99" s="1" t="s">
        <v>2231</v>
      </c>
      <c r="Q99" s="1" t="s">
        <v>2319</v>
      </c>
      <c r="R99" s="1"/>
      <c r="S99" s="1" t="s">
        <v>2072</v>
      </c>
      <c r="T99" s="1" t="s">
        <v>2073</v>
      </c>
      <c r="U99" s="4">
        <v>4000000</v>
      </c>
      <c r="V99" s="4">
        <v>3792</v>
      </c>
      <c r="W99" s="4">
        <v>38</v>
      </c>
      <c r="X99" s="4">
        <v>493</v>
      </c>
      <c r="Y99" s="4">
        <v>0</v>
      </c>
      <c r="Z99" s="5">
        <v>4323</v>
      </c>
      <c r="AA99" s="5">
        <v>0</v>
      </c>
      <c r="AB99" s="6">
        <v>0</v>
      </c>
      <c r="AC99" s="4">
        <v>4323</v>
      </c>
      <c r="AD99" s="4">
        <v>0</v>
      </c>
      <c r="AE99" s="4">
        <v>4323</v>
      </c>
      <c r="AF99" s="1"/>
      <c r="AG99" s="1"/>
      <c r="AH99" s="1"/>
      <c r="AI99" s="1" t="s">
        <v>2304</v>
      </c>
      <c r="AJ99" s="6">
        <v>1035.3900000000001</v>
      </c>
      <c r="AK99" s="6">
        <v>788.40000000000009</v>
      </c>
      <c r="AL99" s="1"/>
    </row>
    <row r="100" spans="1:38" hidden="1" x14ac:dyDescent="0.25">
      <c r="A100" s="2">
        <v>179</v>
      </c>
      <c r="B100" s="1" t="s">
        <v>126</v>
      </c>
      <c r="C100" s="1" t="s">
        <v>129</v>
      </c>
      <c r="D100" s="1" t="s">
        <v>2062</v>
      </c>
      <c r="E100" s="1" t="s">
        <v>2063</v>
      </c>
      <c r="F100" s="3">
        <v>45306</v>
      </c>
      <c r="G100" s="3">
        <v>44970</v>
      </c>
      <c r="H100" s="3">
        <v>45334</v>
      </c>
      <c r="I100" s="1" t="s">
        <v>2313</v>
      </c>
      <c r="J100" s="1" t="s">
        <v>2314</v>
      </c>
      <c r="K100" s="1"/>
      <c r="L100" s="1" t="s">
        <v>2315</v>
      </c>
      <c r="M100" s="1" t="s">
        <v>2316</v>
      </c>
      <c r="N100" s="1" t="s">
        <v>2317</v>
      </c>
      <c r="O100" s="1" t="s">
        <v>2318</v>
      </c>
      <c r="P100" s="1" t="s">
        <v>2231</v>
      </c>
      <c r="Q100" s="1" t="s">
        <v>2319</v>
      </c>
      <c r="R100" s="1"/>
      <c r="S100" s="1" t="s">
        <v>2072</v>
      </c>
      <c r="T100" s="1" t="s">
        <v>2073</v>
      </c>
      <c r="U100" s="4">
        <v>4000000</v>
      </c>
      <c r="V100" s="4">
        <v>5034</v>
      </c>
      <c r="W100" s="4">
        <v>50</v>
      </c>
      <c r="X100" s="4">
        <v>655</v>
      </c>
      <c r="Y100" s="4">
        <v>0</v>
      </c>
      <c r="Z100" s="5">
        <v>5739</v>
      </c>
      <c r="AA100" s="5">
        <v>0</v>
      </c>
      <c r="AB100" s="6">
        <v>0</v>
      </c>
      <c r="AC100" s="4">
        <v>5739</v>
      </c>
      <c r="AD100" s="4">
        <v>0</v>
      </c>
      <c r="AE100" s="4">
        <v>5739</v>
      </c>
      <c r="AF100" s="1"/>
      <c r="AG100" s="1"/>
      <c r="AH100" s="1"/>
      <c r="AI100" s="1" t="s">
        <v>2304</v>
      </c>
      <c r="AJ100" s="6">
        <v>1447.18</v>
      </c>
      <c r="AK100" s="6">
        <v>1046.3300000000002</v>
      </c>
      <c r="AL100" s="1"/>
    </row>
    <row r="101" spans="1:38" hidden="1" x14ac:dyDescent="0.25">
      <c r="A101" s="2">
        <v>180</v>
      </c>
      <c r="B101" s="1" t="s">
        <v>126</v>
      </c>
      <c r="C101" s="1" t="s">
        <v>130</v>
      </c>
      <c r="D101" s="1" t="s">
        <v>2062</v>
      </c>
      <c r="E101" s="1" t="s">
        <v>2063</v>
      </c>
      <c r="F101" s="3">
        <v>45399</v>
      </c>
      <c r="G101" s="3">
        <v>44970</v>
      </c>
      <c r="H101" s="3">
        <v>45334</v>
      </c>
      <c r="I101" s="1" t="s">
        <v>2313</v>
      </c>
      <c r="J101" s="1" t="s">
        <v>2314</v>
      </c>
      <c r="K101" s="1"/>
      <c r="L101" s="1" t="s">
        <v>2315</v>
      </c>
      <c r="M101" s="1" t="s">
        <v>2316</v>
      </c>
      <c r="N101" s="1" t="s">
        <v>2317</v>
      </c>
      <c r="O101" s="1" t="s">
        <v>2318</v>
      </c>
      <c r="P101" s="1" t="s">
        <v>2231</v>
      </c>
      <c r="Q101" s="1" t="s">
        <v>2319</v>
      </c>
      <c r="R101" s="1"/>
      <c r="S101" s="1" t="s">
        <v>2072</v>
      </c>
      <c r="T101" s="1" t="s">
        <v>2073</v>
      </c>
      <c r="U101" s="4">
        <v>-1</v>
      </c>
      <c r="V101" s="4">
        <v>-12781</v>
      </c>
      <c r="W101" s="4">
        <v>-128</v>
      </c>
      <c r="X101" s="4">
        <v>-1662</v>
      </c>
      <c r="Y101" s="4">
        <v>0</v>
      </c>
      <c r="Z101" s="5">
        <v>-14571</v>
      </c>
      <c r="AA101" s="5">
        <v>0</v>
      </c>
      <c r="AB101" s="6">
        <v>0</v>
      </c>
      <c r="AC101" s="4">
        <v>-14571</v>
      </c>
      <c r="AD101" s="4">
        <v>0</v>
      </c>
      <c r="AE101" s="4">
        <v>-14571</v>
      </c>
      <c r="AF101" s="1"/>
      <c r="AG101" s="1"/>
      <c r="AH101" s="1"/>
      <c r="AI101" s="1" t="s">
        <v>2304</v>
      </c>
      <c r="AJ101" s="1"/>
      <c r="AK101" s="1"/>
      <c r="AL101" s="1"/>
    </row>
    <row r="102" spans="1:38" hidden="1" x14ac:dyDescent="0.25">
      <c r="A102" s="2">
        <v>181</v>
      </c>
      <c r="B102" s="1" t="s">
        <v>131</v>
      </c>
      <c r="C102" s="1" t="s">
        <v>132</v>
      </c>
      <c r="D102" s="1" t="s">
        <v>2062</v>
      </c>
      <c r="E102" s="1" t="s">
        <v>2063</v>
      </c>
      <c r="F102" s="3">
        <v>45349</v>
      </c>
      <c r="G102" s="3">
        <v>44970</v>
      </c>
      <c r="H102" s="3">
        <v>45334</v>
      </c>
      <c r="I102" s="1" t="s">
        <v>2320</v>
      </c>
      <c r="J102" s="1" t="s">
        <v>2321</v>
      </c>
      <c r="K102" s="1"/>
      <c r="L102" s="1" t="s">
        <v>2322</v>
      </c>
      <c r="M102" s="1" t="s">
        <v>2323</v>
      </c>
      <c r="N102" s="1" t="s">
        <v>2324</v>
      </c>
      <c r="O102" s="1" t="s">
        <v>2325</v>
      </c>
      <c r="P102" s="1" t="s">
        <v>2088</v>
      </c>
      <c r="Q102" s="1" t="s">
        <v>2326</v>
      </c>
      <c r="R102" s="1"/>
      <c r="S102" s="1" t="s">
        <v>2072</v>
      </c>
      <c r="T102" s="1" t="s">
        <v>2073</v>
      </c>
      <c r="U102" s="4">
        <v>1700000</v>
      </c>
      <c r="V102" s="4">
        <v>1028</v>
      </c>
      <c r="W102" s="4">
        <v>10</v>
      </c>
      <c r="X102" s="4">
        <v>134</v>
      </c>
      <c r="Y102" s="4">
        <v>0</v>
      </c>
      <c r="Z102" s="5">
        <v>1172</v>
      </c>
      <c r="AA102" s="5">
        <v>0</v>
      </c>
      <c r="AB102" s="6">
        <v>0</v>
      </c>
      <c r="AC102" s="4">
        <v>1172</v>
      </c>
      <c r="AD102" s="4">
        <v>0</v>
      </c>
      <c r="AE102" s="4">
        <v>1172</v>
      </c>
      <c r="AF102" s="1"/>
      <c r="AG102" s="1"/>
      <c r="AH102" s="1"/>
      <c r="AI102" s="1" t="s">
        <v>2327</v>
      </c>
      <c r="AJ102" s="6">
        <v>601.34</v>
      </c>
      <c r="AK102" s="6">
        <v>502.82000000000005</v>
      </c>
      <c r="AL102" s="1"/>
    </row>
    <row r="103" spans="1:38" hidden="1" x14ac:dyDescent="0.25">
      <c r="A103" s="2">
        <v>182</v>
      </c>
      <c r="B103" s="1" t="s">
        <v>131</v>
      </c>
      <c r="C103" s="1" t="s">
        <v>133</v>
      </c>
      <c r="D103" s="1" t="s">
        <v>2062</v>
      </c>
      <c r="E103" s="1" t="s">
        <v>2063</v>
      </c>
      <c r="F103" s="3">
        <v>45655</v>
      </c>
      <c r="G103" s="3">
        <v>44970</v>
      </c>
      <c r="H103" s="3">
        <v>45334</v>
      </c>
      <c r="I103" s="1" t="s">
        <v>2320</v>
      </c>
      <c r="J103" s="1" t="s">
        <v>2321</v>
      </c>
      <c r="K103" s="1"/>
      <c r="L103" s="1" t="s">
        <v>2322</v>
      </c>
      <c r="M103" s="1" t="s">
        <v>2323</v>
      </c>
      <c r="N103" s="1" t="s">
        <v>2324</v>
      </c>
      <c r="O103" s="1" t="s">
        <v>2325</v>
      </c>
      <c r="P103" s="1" t="s">
        <v>2088</v>
      </c>
      <c r="Q103" s="1" t="s">
        <v>2326</v>
      </c>
      <c r="R103" s="1"/>
      <c r="S103" s="1" t="s">
        <v>2072</v>
      </c>
      <c r="T103" s="1" t="s">
        <v>2073</v>
      </c>
      <c r="U103" s="4">
        <v>-1</v>
      </c>
      <c r="V103" s="4">
        <v>-1160</v>
      </c>
      <c r="W103" s="4">
        <v>-12</v>
      </c>
      <c r="X103" s="4">
        <v>0</v>
      </c>
      <c r="Y103" s="4">
        <v>0</v>
      </c>
      <c r="Z103" s="5">
        <v>-1172</v>
      </c>
      <c r="AA103" s="5">
        <v>0</v>
      </c>
      <c r="AB103" s="6">
        <v>0</v>
      </c>
      <c r="AC103" s="4">
        <v>-1172</v>
      </c>
      <c r="AD103" s="4">
        <v>0</v>
      </c>
      <c r="AE103" s="4">
        <v>-1172</v>
      </c>
      <c r="AF103" s="1"/>
      <c r="AG103" s="1"/>
      <c r="AH103" s="1"/>
      <c r="AI103" s="1" t="s">
        <v>2327</v>
      </c>
      <c r="AJ103" s="1"/>
      <c r="AK103" s="1"/>
      <c r="AL103" s="1"/>
    </row>
    <row r="104" spans="1:38" hidden="1" x14ac:dyDescent="0.25">
      <c r="A104" s="2">
        <v>183</v>
      </c>
      <c r="B104" s="1" t="s">
        <v>134</v>
      </c>
      <c r="C104" s="1" t="s">
        <v>135</v>
      </c>
      <c r="D104" s="1" t="s">
        <v>2062</v>
      </c>
      <c r="E104" s="1" t="s">
        <v>2063</v>
      </c>
      <c r="F104" s="3">
        <v>45378</v>
      </c>
      <c r="G104" s="3">
        <v>44974</v>
      </c>
      <c r="H104" s="3">
        <v>45338</v>
      </c>
      <c r="I104" s="1" t="s">
        <v>2328</v>
      </c>
      <c r="J104" s="1" t="s">
        <v>2329</v>
      </c>
      <c r="K104" s="1"/>
      <c r="L104" s="1" t="s">
        <v>2085</v>
      </c>
      <c r="M104" s="1" t="s">
        <v>2330</v>
      </c>
      <c r="N104" s="1" t="s">
        <v>2331</v>
      </c>
      <c r="O104" s="1" t="s">
        <v>2332</v>
      </c>
      <c r="P104" s="1" t="s">
        <v>2081</v>
      </c>
      <c r="Q104" s="1"/>
      <c r="R104" s="1"/>
      <c r="S104" s="1" t="s">
        <v>2072</v>
      </c>
      <c r="T104" s="1" t="s">
        <v>2073</v>
      </c>
      <c r="U104" s="4">
        <v>3200000</v>
      </c>
      <c r="V104" s="4">
        <v>577</v>
      </c>
      <c r="W104" s="4">
        <v>5</v>
      </c>
      <c r="X104" s="4">
        <v>75</v>
      </c>
      <c r="Y104" s="4">
        <v>0</v>
      </c>
      <c r="Z104" s="5">
        <v>657</v>
      </c>
      <c r="AA104" s="5">
        <v>0</v>
      </c>
      <c r="AB104" s="6">
        <v>0</v>
      </c>
      <c r="AC104" s="4">
        <v>657</v>
      </c>
      <c r="AD104" s="4">
        <v>0</v>
      </c>
      <c r="AE104" s="4">
        <v>657</v>
      </c>
      <c r="AF104" s="1"/>
      <c r="AG104" s="1"/>
      <c r="AH104" s="1"/>
      <c r="AI104" s="1" t="s">
        <v>2333</v>
      </c>
      <c r="AJ104" s="6">
        <v>173</v>
      </c>
      <c r="AK104" s="6">
        <v>149.69</v>
      </c>
      <c r="AL104" s="1"/>
    </row>
    <row r="105" spans="1:38" hidden="1" x14ac:dyDescent="0.25">
      <c r="A105" s="2">
        <v>184</v>
      </c>
      <c r="B105" s="1" t="s">
        <v>134</v>
      </c>
      <c r="C105" s="1" t="s">
        <v>136</v>
      </c>
      <c r="D105" s="1" t="s">
        <v>2062</v>
      </c>
      <c r="E105" s="1" t="s">
        <v>2063</v>
      </c>
      <c r="F105" s="3">
        <v>45655</v>
      </c>
      <c r="G105" s="3">
        <v>44974</v>
      </c>
      <c r="H105" s="3">
        <v>45338</v>
      </c>
      <c r="I105" s="1" t="s">
        <v>2328</v>
      </c>
      <c r="J105" s="1" t="s">
        <v>2329</v>
      </c>
      <c r="K105" s="1"/>
      <c r="L105" s="1" t="s">
        <v>2085</v>
      </c>
      <c r="M105" s="1" t="s">
        <v>2330</v>
      </c>
      <c r="N105" s="1" t="s">
        <v>2331</v>
      </c>
      <c r="O105" s="1" t="s">
        <v>2332</v>
      </c>
      <c r="P105" s="1" t="s">
        <v>2081</v>
      </c>
      <c r="Q105" s="1"/>
      <c r="R105" s="1"/>
      <c r="S105" s="1" t="s">
        <v>2072</v>
      </c>
      <c r="T105" s="1" t="s">
        <v>2073</v>
      </c>
      <c r="U105" s="4">
        <v>-1</v>
      </c>
      <c r="V105" s="4">
        <v>-650</v>
      </c>
      <c r="W105" s="4">
        <v>-7</v>
      </c>
      <c r="X105" s="4">
        <v>0</v>
      </c>
      <c r="Y105" s="4">
        <v>0</v>
      </c>
      <c r="Z105" s="5">
        <v>-657</v>
      </c>
      <c r="AA105" s="5">
        <v>0</v>
      </c>
      <c r="AB105" s="6">
        <v>0</v>
      </c>
      <c r="AC105" s="4">
        <v>-657</v>
      </c>
      <c r="AD105" s="4">
        <v>0</v>
      </c>
      <c r="AE105" s="4">
        <v>-657</v>
      </c>
      <c r="AF105" s="1"/>
      <c r="AG105" s="1"/>
      <c r="AH105" s="1"/>
      <c r="AI105" s="1" t="s">
        <v>2333</v>
      </c>
      <c r="AJ105" s="1"/>
      <c r="AK105" s="1"/>
      <c r="AL105" s="1"/>
    </row>
    <row r="106" spans="1:38" hidden="1" x14ac:dyDescent="0.25">
      <c r="A106" s="2">
        <v>185</v>
      </c>
      <c r="B106" s="1" t="s">
        <v>137</v>
      </c>
      <c r="C106" s="1" t="s">
        <v>138</v>
      </c>
      <c r="D106" s="1" t="s">
        <v>2062</v>
      </c>
      <c r="E106" s="1" t="s">
        <v>2063</v>
      </c>
      <c r="F106" s="3">
        <v>45279</v>
      </c>
      <c r="G106" s="3">
        <v>44981</v>
      </c>
      <c r="H106" s="3">
        <v>45345</v>
      </c>
      <c r="I106" s="1" t="s">
        <v>2334</v>
      </c>
      <c r="J106" s="1" t="s">
        <v>2335</v>
      </c>
      <c r="K106" s="1"/>
      <c r="L106" s="1" t="s">
        <v>2336</v>
      </c>
      <c r="M106" s="1" t="s">
        <v>2337</v>
      </c>
      <c r="N106" s="1" t="s">
        <v>2338</v>
      </c>
      <c r="O106" s="1" t="s">
        <v>2339</v>
      </c>
      <c r="P106" s="1" t="s">
        <v>2165</v>
      </c>
      <c r="Q106" s="1" t="s">
        <v>2340</v>
      </c>
      <c r="R106" s="1"/>
      <c r="S106" s="1" t="s">
        <v>2072</v>
      </c>
      <c r="T106" s="1" t="s">
        <v>2073</v>
      </c>
      <c r="U106" s="4">
        <v>2500000</v>
      </c>
      <c r="V106" s="4">
        <v>3751</v>
      </c>
      <c r="W106" s="4">
        <v>37</v>
      </c>
      <c r="X106" s="4">
        <v>488</v>
      </c>
      <c r="Y106" s="4">
        <v>0</v>
      </c>
      <c r="Z106" s="5">
        <v>4276</v>
      </c>
      <c r="AA106" s="5">
        <v>0</v>
      </c>
      <c r="AB106" s="6">
        <v>0</v>
      </c>
      <c r="AC106" s="4">
        <v>4276</v>
      </c>
      <c r="AD106" s="4">
        <v>0</v>
      </c>
      <c r="AE106" s="4">
        <v>4276</v>
      </c>
      <c r="AF106" s="1"/>
      <c r="AG106" s="1"/>
      <c r="AH106" s="1"/>
      <c r="AI106" s="1" t="s">
        <v>2327</v>
      </c>
      <c r="AJ106" s="6">
        <v>2077.6799999999998</v>
      </c>
      <c r="AK106" s="6">
        <v>1264.02</v>
      </c>
      <c r="AL106" s="1"/>
    </row>
    <row r="107" spans="1:38" hidden="1" x14ac:dyDescent="0.25">
      <c r="A107" s="2">
        <v>186</v>
      </c>
      <c r="B107" s="1" t="s">
        <v>137</v>
      </c>
      <c r="C107" s="1" t="s">
        <v>139</v>
      </c>
      <c r="D107" s="1" t="s">
        <v>2062</v>
      </c>
      <c r="E107" s="1" t="s">
        <v>2063</v>
      </c>
      <c r="F107" s="3">
        <v>45315</v>
      </c>
      <c r="G107" s="3">
        <v>44981</v>
      </c>
      <c r="H107" s="3">
        <v>45345</v>
      </c>
      <c r="I107" s="1" t="s">
        <v>2334</v>
      </c>
      <c r="J107" s="1" t="s">
        <v>2335</v>
      </c>
      <c r="K107" s="1"/>
      <c r="L107" s="1" t="s">
        <v>2336</v>
      </c>
      <c r="M107" s="1" t="s">
        <v>2337</v>
      </c>
      <c r="N107" s="1" t="s">
        <v>2338</v>
      </c>
      <c r="O107" s="1" t="s">
        <v>2339</v>
      </c>
      <c r="P107" s="1" t="s">
        <v>2165</v>
      </c>
      <c r="Q107" s="1" t="s">
        <v>2340</v>
      </c>
      <c r="R107" s="1"/>
      <c r="S107" s="1" t="s">
        <v>2072</v>
      </c>
      <c r="T107" s="1" t="s">
        <v>2073</v>
      </c>
      <c r="U107" s="4">
        <v>2500000</v>
      </c>
      <c r="V107" s="4">
        <v>4022</v>
      </c>
      <c r="W107" s="4">
        <v>41</v>
      </c>
      <c r="X107" s="4">
        <v>523</v>
      </c>
      <c r="Y107" s="4">
        <v>0</v>
      </c>
      <c r="Z107" s="5">
        <v>4586</v>
      </c>
      <c r="AA107" s="5">
        <v>0</v>
      </c>
      <c r="AB107" s="6">
        <v>0</v>
      </c>
      <c r="AC107" s="4">
        <v>4586</v>
      </c>
      <c r="AD107" s="4">
        <v>0</v>
      </c>
      <c r="AE107" s="4">
        <v>4586</v>
      </c>
      <c r="AF107" s="1"/>
      <c r="AG107" s="1"/>
      <c r="AH107" s="1"/>
      <c r="AI107" s="1" t="s">
        <v>2327</v>
      </c>
      <c r="AJ107" s="6">
        <v>2426.5666827</v>
      </c>
      <c r="AK107" s="6">
        <v>1339.94</v>
      </c>
      <c r="AL107" s="1"/>
    </row>
    <row r="108" spans="1:38" hidden="1" x14ac:dyDescent="0.25">
      <c r="A108" s="2">
        <v>187</v>
      </c>
      <c r="B108" s="1" t="s">
        <v>137</v>
      </c>
      <c r="C108" s="1" t="s">
        <v>140</v>
      </c>
      <c r="D108" s="1" t="s">
        <v>2062</v>
      </c>
      <c r="E108" s="1" t="s">
        <v>2063</v>
      </c>
      <c r="F108" s="3">
        <v>45315</v>
      </c>
      <c r="G108" s="3">
        <v>44981</v>
      </c>
      <c r="H108" s="3">
        <v>45345</v>
      </c>
      <c r="I108" s="1" t="s">
        <v>2334</v>
      </c>
      <c r="J108" s="1" t="s">
        <v>2335</v>
      </c>
      <c r="K108" s="1"/>
      <c r="L108" s="1" t="s">
        <v>2336</v>
      </c>
      <c r="M108" s="1" t="s">
        <v>2337</v>
      </c>
      <c r="N108" s="1" t="s">
        <v>2338</v>
      </c>
      <c r="O108" s="1" t="s">
        <v>2339</v>
      </c>
      <c r="P108" s="1" t="s">
        <v>2165</v>
      </c>
      <c r="Q108" s="1" t="s">
        <v>2340</v>
      </c>
      <c r="R108" s="1"/>
      <c r="S108" s="1" t="s">
        <v>2072</v>
      </c>
      <c r="T108" s="1" t="s">
        <v>2073</v>
      </c>
      <c r="U108" s="4">
        <v>2500000</v>
      </c>
      <c r="V108" s="4">
        <v>4105</v>
      </c>
      <c r="W108" s="4">
        <v>41</v>
      </c>
      <c r="X108" s="4">
        <v>533</v>
      </c>
      <c r="Y108" s="4">
        <v>0</v>
      </c>
      <c r="Z108" s="5">
        <v>4679</v>
      </c>
      <c r="AA108" s="5">
        <v>0</v>
      </c>
      <c r="AB108" s="6">
        <v>0</v>
      </c>
      <c r="AC108" s="4">
        <v>4679</v>
      </c>
      <c r="AD108" s="4">
        <v>0</v>
      </c>
      <c r="AE108" s="4">
        <v>4679</v>
      </c>
      <c r="AF108" s="1"/>
      <c r="AG108" s="1"/>
      <c r="AH108" s="1"/>
      <c r="AI108" s="1" t="s">
        <v>2327</v>
      </c>
      <c r="AJ108" s="6">
        <v>5556.6421331319807</v>
      </c>
      <c r="AK108" s="6">
        <v>1366.14</v>
      </c>
      <c r="AL108" s="1"/>
    </row>
    <row r="109" spans="1:38" hidden="1" x14ac:dyDescent="0.25">
      <c r="A109" s="2">
        <v>188</v>
      </c>
      <c r="B109" s="1" t="s">
        <v>137</v>
      </c>
      <c r="C109" s="1" t="s">
        <v>141</v>
      </c>
      <c r="D109" s="1" t="s">
        <v>2062</v>
      </c>
      <c r="E109" s="1" t="s">
        <v>2063</v>
      </c>
      <c r="F109" s="3">
        <v>45315</v>
      </c>
      <c r="G109" s="3">
        <v>44981</v>
      </c>
      <c r="H109" s="3">
        <v>45345</v>
      </c>
      <c r="I109" s="1" t="s">
        <v>2334</v>
      </c>
      <c r="J109" s="1" t="s">
        <v>2335</v>
      </c>
      <c r="K109" s="1"/>
      <c r="L109" s="1" t="s">
        <v>2336</v>
      </c>
      <c r="M109" s="1" t="s">
        <v>2337</v>
      </c>
      <c r="N109" s="1" t="s">
        <v>2338</v>
      </c>
      <c r="O109" s="1" t="s">
        <v>2339</v>
      </c>
      <c r="P109" s="1" t="s">
        <v>2165</v>
      </c>
      <c r="Q109" s="1" t="s">
        <v>2340</v>
      </c>
      <c r="R109" s="1"/>
      <c r="S109" s="1" t="s">
        <v>2072</v>
      </c>
      <c r="T109" s="1" t="s">
        <v>2073</v>
      </c>
      <c r="U109" s="4">
        <v>2500000</v>
      </c>
      <c r="V109" s="4">
        <v>3843</v>
      </c>
      <c r="W109" s="4">
        <v>38</v>
      </c>
      <c r="X109" s="4">
        <v>500</v>
      </c>
      <c r="Y109" s="4">
        <v>0</v>
      </c>
      <c r="Z109" s="5">
        <v>4381</v>
      </c>
      <c r="AA109" s="5">
        <v>0</v>
      </c>
      <c r="AB109" s="6">
        <v>0</v>
      </c>
      <c r="AC109" s="4">
        <v>4381</v>
      </c>
      <c r="AD109" s="4">
        <v>0</v>
      </c>
      <c r="AE109" s="4">
        <v>4381</v>
      </c>
      <c r="AF109" s="1"/>
      <c r="AG109" s="1"/>
      <c r="AH109" s="1"/>
      <c r="AI109" s="1" t="s">
        <v>2327</v>
      </c>
      <c r="AJ109" s="6">
        <v>4518.7500000000109</v>
      </c>
      <c r="AK109" s="6">
        <v>1280.19</v>
      </c>
      <c r="AL109" s="1"/>
    </row>
    <row r="110" spans="1:38" hidden="1" x14ac:dyDescent="0.25">
      <c r="A110" s="2">
        <v>189</v>
      </c>
      <c r="B110" s="1" t="s">
        <v>137</v>
      </c>
      <c r="C110" s="1" t="s">
        <v>142</v>
      </c>
      <c r="D110" s="1" t="s">
        <v>2062</v>
      </c>
      <c r="E110" s="1" t="s">
        <v>2063</v>
      </c>
      <c r="F110" s="3">
        <v>45315</v>
      </c>
      <c r="G110" s="3">
        <v>44981</v>
      </c>
      <c r="H110" s="3">
        <v>45345</v>
      </c>
      <c r="I110" s="1" t="s">
        <v>2334</v>
      </c>
      <c r="J110" s="1" t="s">
        <v>2335</v>
      </c>
      <c r="K110" s="1"/>
      <c r="L110" s="1" t="s">
        <v>2336</v>
      </c>
      <c r="M110" s="1" t="s">
        <v>2337</v>
      </c>
      <c r="N110" s="1" t="s">
        <v>2338</v>
      </c>
      <c r="O110" s="1" t="s">
        <v>2339</v>
      </c>
      <c r="P110" s="1" t="s">
        <v>2165</v>
      </c>
      <c r="Q110" s="1" t="s">
        <v>2340</v>
      </c>
      <c r="R110" s="1"/>
      <c r="S110" s="1" t="s">
        <v>2072</v>
      </c>
      <c r="T110" s="1" t="s">
        <v>2073</v>
      </c>
      <c r="U110" s="4">
        <v>2500000</v>
      </c>
      <c r="V110" s="4">
        <v>4138</v>
      </c>
      <c r="W110" s="4">
        <v>41</v>
      </c>
      <c r="X110" s="4">
        <v>538</v>
      </c>
      <c r="Y110" s="4">
        <v>0</v>
      </c>
      <c r="Z110" s="5">
        <v>4717</v>
      </c>
      <c r="AA110" s="5">
        <v>0</v>
      </c>
      <c r="AB110" s="6">
        <v>0</v>
      </c>
      <c r="AC110" s="4">
        <v>4717</v>
      </c>
      <c r="AD110" s="4">
        <v>0</v>
      </c>
      <c r="AE110" s="4">
        <v>4717</v>
      </c>
      <c r="AF110" s="1"/>
      <c r="AG110" s="1"/>
      <c r="AH110" s="1"/>
      <c r="AI110" s="1" t="s">
        <v>2327</v>
      </c>
      <c r="AJ110" s="6">
        <v>2120.9500000000021</v>
      </c>
      <c r="AK110" s="6">
        <v>1378.4</v>
      </c>
      <c r="AL110" s="1"/>
    </row>
    <row r="111" spans="1:38" hidden="1" x14ac:dyDescent="0.25">
      <c r="A111" s="2">
        <v>190</v>
      </c>
      <c r="B111" s="1" t="s">
        <v>137</v>
      </c>
      <c r="C111" s="1" t="s">
        <v>143</v>
      </c>
      <c r="D111" s="1" t="s">
        <v>2062</v>
      </c>
      <c r="E111" s="1" t="s">
        <v>2063</v>
      </c>
      <c r="F111" s="3">
        <v>45399</v>
      </c>
      <c r="G111" s="3">
        <v>44981</v>
      </c>
      <c r="H111" s="3">
        <v>45345</v>
      </c>
      <c r="I111" s="1" t="s">
        <v>2334</v>
      </c>
      <c r="J111" s="1" t="s">
        <v>2335</v>
      </c>
      <c r="K111" s="1"/>
      <c r="L111" s="1" t="s">
        <v>2336</v>
      </c>
      <c r="M111" s="1" t="s">
        <v>2337</v>
      </c>
      <c r="N111" s="1" t="s">
        <v>2338</v>
      </c>
      <c r="O111" s="1" t="s">
        <v>2339</v>
      </c>
      <c r="P111" s="1" t="s">
        <v>2165</v>
      </c>
      <c r="Q111" s="1" t="s">
        <v>2340</v>
      </c>
      <c r="R111" s="1"/>
      <c r="S111" s="1" t="s">
        <v>2072</v>
      </c>
      <c r="T111" s="1" t="s">
        <v>2073</v>
      </c>
      <c r="U111" s="4">
        <v>-1</v>
      </c>
      <c r="V111" s="4">
        <v>-19858</v>
      </c>
      <c r="W111" s="4">
        <v>-199</v>
      </c>
      <c r="X111" s="4">
        <v>-2582</v>
      </c>
      <c r="Y111" s="4">
        <v>0</v>
      </c>
      <c r="Z111" s="5">
        <v>-22639</v>
      </c>
      <c r="AA111" s="5">
        <v>0</v>
      </c>
      <c r="AB111" s="6">
        <v>0</v>
      </c>
      <c r="AC111" s="4">
        <v>-22639</v>
      </c>
      <c r="AD111" s="4">
        <v>0</v>
      </c>
      <c r="AE111" s="4">
        <v>-22639</v>
      </c>
      <c r="AF111" s="1"/>
      <c r="AG111" s="1"/>
      <c r="AH111" s="1"/>
      <c r="AI111" s="1" t="s">
        <v>2327</v>
      </c>
      <c r="AJ111" s="1"/>
      <c r="AK111" s="1"/>
      <c r="AL111" s="1"/>
    </row>
    <row r="112" spans="1:38" hidden="1" x14ac:dyDescent="0.25">
      <c r="A112" s="2">
        <v>191</v>
      </c>
      <c r="B112" s="1" t="s">
        <v>144</v>
      </c>
      <c r="C112" s="1" t="s">
        <v>145</v>
      </c>
      <c r="D112" s="1" t="s">
        <v>2062</v>
      </c>
      <c r="E112" s="1" t="s">
        <v>2063</v>
      </c>
      <c r="F112" s="3">
        <v>45292</v>
      </c>
      <c r="G112" s="3">
        <v>44985</v>
      </c>
      <c r="H112" s="3">
        <v>45349</v>
      </c>
      <c r="I112" s="1" t="s">
        <v>2341</v>
      </c>
      <c r="J112" s="1" t="s">
        <v>2342</v>
      </c>
      <c r="K112" s="1"/>
      <c r="L112" s="1" t="s">
        <v>2147</v>
      </c>
      <c r="M112" s="1" t="s">
        <v>2343</v>
      </c>
      <c r="N112" s="1" t="s">
        <v>2344</v>
      </c>
      <c r="O112" s="1" t="s">
        <v>2345</v>
      </c>
      <c r="P112" s="1" t="s">
        <v>2095</v>
      </c>
      <c r="Q112" s="1" t="s">
        <v>2346</v>
      </c>
      <c r="R112" s="1"/>
      <c r="S112" s="1" t="s">
        <v>2072</v>
      </c>
      <c r="T112" s="1" t="s">
        <v>2073</v>
      </c>
      <c r="U112" s="4">
        <v>4800000</v>
      </c>
      <c r="V112" s="4">
        <v>4336</v>
      </c>
      <c r="W112" s="4">
        <v>43</v>
      </c>
      <c r="X112" s="4">
        <v>563</v>
      </c>
      <c r="Y112" s="4">
        <v>0</v>
      </c>
      <c r="Z112" s="5">
        <v>4942</v>
      </c>
      <c r="AA112" s="5">
        <v>0</v>
      </c>
      <c r="AB112" s="6">
        <v>0</v>
      </c>
      <c r="AC112" s="4">
        <v>4942</v>
      </c>
      <c r="AD112" s="4">
        <v>0</v>
      </c>
      <c r="AE112" s="4">
        <v>4942</v>
      </c>
      <c r="AF112" s="1"/>
      <c r="AG112" s="1"/>
      <c r="AH112" s="1"/>
      <c r="AI112" s="1" t="s">
        <v>2327</v>
      </c>
      <c r="AJ112" s="6">
        <v>2735.3799999999987</v>
      </c>
      <c r="AK112" s="6">
        <v>751.26</v>
      </c>
      <c r="AL112" s="1"/>
    </row>
    <row r="113" spans="1:38" hidden="1" x14ac:dyDescent="0.25">
      <c r="A113" s="2">
        <v>192</v>
      </c>
      <c r="B113" s="1" t="s">
        <v>144</v>
      </c>
      <c r="C113" s="1" t="s">
        <v>146</v>
      </c>
      <c r="D113" s="1" t="s">
        <v>2062</v>
      </c>
      <c r="E113" s="1" t="s">
        <v>2063</v>
      </c>
      <c r="F113" s="3">
        <v>45322</v>
      </c>
      <c r="G113" s="3">
        <v>44985</v>
      </c>
      <c r="H113" s="3">
        <v>45349</v>
      </c>
      <c r="I113" s="1" t="s">
        <v>2341</v>
      </c>
      <c r="J113" s="1" t="s">
        <v>2342</v>
      </c>
      <c r="K113" s="1"/>
      <c r="L113" s="1" t="s">
        <v>2147</v>
      </c>
      <c r="M113" s="1" t="s">
        <v>2343</v>
      </c>
      <c r="N113" s="1" t="s">
        <v>2344</v>
      </c>
      <c r="O113" s="1" t="s">
        <v>2345</v>
      </c>
      <c r="P113" s="1" t="s">
        <v>2095</v>
      </c>
      <c r="Q113" s="1" t="s">
        <v>2346</v>
      </c>
      <c r="R113" s="1"/>
      <c r="S113" s="1" t="s">
        <v>2072</v>
      </c>
      <c r="T113" s="1" t="s">
        <v>2073</v>
      </c>
      <c r="U113" s="4">
        <v>4800000</v>
      </c>
      <c r="V113" s="4">
        <v>4170</v>
      </c>
      <c r="W113" s="4">
        <v>42</v>
      </c>
      <c r="X113" s="4">
        <v>542</v>
      </c>
      <c r="Y113" s="4">
        <v>0</v>
      </c>
      <c r="Z113" s="5">
        <v>4754</v>
      </c>
      <c r="AA113" s="5">
        <v>0</v>
      </c>
      <c r="AB113" s="6">
        <v>0</v>
      </c>
      <c r="AC113" s="4">
        <v>4754</v>
      </c>
      <c r="AD113" s="4">
        <v>0</v>
      </c>
      <c r="AE113" s="4">
        <v>4754</v>
      </c>
      <c r="AF113" s="1"/>
      <c r="AG113" s="1"/>
      <c r="AH113" s="1"/>
      <c r="AI113" s="1" t="s">
        <v>2327</v>
      </c>
      <c r="AJ113" s="6">
        <v>2092.4099999999971</v>
      </c>
      <c r="AK113" s="6">
        <v>723.14</v>
      </c>
      <c r="AL113" s="1"/>
    </row>
    <row r="114" spans="1:38" hidden="1" x14ac:dyDescent="0.25">
      <c r="A114" s="2">
        <v>193</v>
      </c>
      <c r="B114" s="1" t="s">
        <v>144</v>
      </c>
      <c r="C114" s="1" t="s">
        <v>147</v>
      </c>
      <c r="D114" s="1" t="s">
        <v>2062</v>
      </c>
      <c r="E114" s="1" t="s">
        <v>2063</v>
      </c>
      <c r="F114" s="3">
        <v>45655</v>
      </c>
      <c r="G114" s="3">
        <v>44985</v>
      </c>
      <c r="H114" s="3">
        <v>45349</v>
      </c>
      <c r="I114" s="1" t="s">
        <v>2341</v>
      </c>
      <c r="J114" s="1" t="s">
        <v>2342</v>
      </c>
      <c r="K114" s="1"/>
      <c r="L114" s="1" t="s">
        <v>2147</v>
      </c>
      <c r="M114" s="1" t="s">
        <v>2343</v>
      </c>
      <c r="N114" s="1" t="s">
        <v>2344</v>
      </c>
      <c r="O114" s="1" t="s">
        <v>2345</v>
      </c>
      <c r="P114" s="1" t="s">
        <v>2095</v>
      </c>
      <c r="Q114" s="1" t="s">
        <v>2346</v>
      </c>
      <c r="R114" s="1"/>
      <c r="S114" s="1" t="s">
        <v>2072</v>
      </c>
      <c r="T114" s="1" t="s">
        <v>2073</v>
      </c>
      <c r="U114" s="4">
        <v>-1</v>
      </c>
      <c r="V114" s="4">
        <v>-9600</v>
      </c>
      <c r="W114" s="4">
        <v>-96</v>
      </c>
      <c r="X114" s="4">
        <v>0</v>
      </c>
      <c r="Y114" s="4">
        <v>0</v>
      </c>
      <c r="Z114" s="5">
        <v>-9696</v>
      </c>
      <c r="AA114" s="5">
        <v>0</v>
      </c>
      <c r="AB114" s="6">
        <v>0</v>
      </c>
      <c r="AC114" s="4">
        <v>-9696</v>
      </c>
      <c r="AD114" s="4">
        <v>0</v>
      </c>
      <c r="AE114" s="4">
        <v>-9696</v>
      </c>
      <c r="AF114" s="1"/>
      <c r="AG114" s="1"/>
      <c r="AH114" s="1"/>
      <c r="AI114" s="1" t="s">
        <v>2327</v>
      </c>
      <c r="AJ114" s="1"/>
      <c r="AK114" s="1"/>
      <c r="AL114" s="1"/>
    </row>
    <row r="115" spans="1:38" hidden="1" x14ac:dyDescent="0.25">
      <c r="A115" s="2">
        <v>194</v>
      </c>
      <c r="B115" s="1" t="s">
        <v>148</v>
      </c>
      <c r="C115" s="1" t="s">
        <v>149</v>
      </c>
      <c r="D115" s="1" t="s">
        <v>2062</v>
      </c>
      <c r="E115" s="1" t="s">
        <v>2063</v>
      </c>
      <c r="F115" s="3">
        <v>45279</v>
      </c>
      <c r="G115" s="3">
        <v>44974</v>
      </c>
      <c r="H115" s="3">
        <v>45338</v>
      </c>
      <c r="I115" s="1" t="s">
        <v>2347</v>
      </c>
      <c r="J115" s="1" t="s">
        <v>2348</v>
      </c>
      <c r="K115" s="1"/>
      <c r="L115" s="1" t="s">
        <v>2336</v>
      </c>
      <c r="M115" s="1" t="s">
        <v>2349</v>
      </c>
      <c r="N115" s="1" t="s">
        <v>2350</v>
      </c>
      <c r="O115" s="1" t="s">
        <v>2351</v>
      </c>
      <c r="P115" s="1" t="s">
        <v>2182</v>
      </c>
      <c r="Q115" s="1" t="s">
        <v>2352</v>
      </c>
      <c r="R115" s="1"/>
      <c r="S115" s="1" t="s">
        <v>2072</v>
      </c>
      <c r="T115" s="1" t="s">
        <v>2073</v>
      </c>
      <c r="U115" s="4">
        <v>3200000</v>
      </c>
      <c r="V115" s="4">
        <v>4120</v>
      </c>
      <c r="W115" s="4">
        <v>41</v>
      </c>
      <c r="X115" s="4">
        <v>535</v>
      </c>
      <c r="Y115" s="4">
        <v>0</v>
      </c>
      <c r="Z115" s="5">
        <v>4696</v>
      </c>
      <c r="AA115" s="5">
        <v>0</v>
      </c>
      <c r="AB115" s="6">
        <v>0</v>
      </c>
      <c r="AC115" s="4">
        <v>4696</v>
      </c>
      <c r="AD115" s="4">
        <v>0</v>
      </c>
      <c r="AE115" s="4">
        <v>4696</v>
      </c>
      <c r="AF115" s="1"/>
      <c r="AG115" s="1"/>
      <c r="AH115" s="1"/>
      <c r="AI115" s="1" t="s">
        <v>2333</v>
      </c>
      <c r="AJ115" s="6">
        <v>2575.27</v>
      </c>
      <c r="AK115" s="6">
        <v>1072.46</v>
      </c>
      <c r="AL115" s="1"/>
    </row>
    <row r="116" spans="1:38" hidden="1" x14ac:dyDescent="0.25">
      <c r="A116" s="2">
        <v>195</v>
      </c>
      <c r="B116" s="1" t="s">
        <v>148</v>
      </c>
      <c r="C116" s="1" t="s">
        <v>150</v>
      </c>
      <c r="D116" s="1" t="s">
        <v>2062</v>
      </c>
      <c r="E116" s="1" t="s">
        <v>2063</v>
      </c>
      <c r="F116" s="3">
        <v>45309</v>
      </c>
      <c r="G116" s="3">
        <v>44974</v>
      </c>
      <c r="H116" s="3">
        <v>45338</v>
      </c>
      <c r="I116" s="1" t="s">
        <v>2347</v>
      </c>
      <c r="J116" s="1" t="s">
        <v>2348</v>
      </c>
      <c r="K116" s="1"/>
      <c r="L116" s="1" t="s">
        <v>2336</v>
      </c>
      <c r="M116" s="1" t="s">
        <v>2349</v>
      </c>
      <c r="N116" s="1" t="s">
        <v>2350</v>
      </c>
      <c r="O116" s="1" t="s">
        <v>2351</v>
      </c>
      <c r="P116" s="1" t="s">
        <v>2182</v>
      </c>
      <c r="Q116" s="1" t="s">
        <v>2352</v>
      </c>
      <c r="R116" s="1"/>
      <c r="S116" s="1" t="s">
        <v>2072</v>
      </c>
      <c r="T116" s="1" t="s">
        <v>2073</v>
      </c>
      <c r="U116" s="4">
        <v>3200000</v>
      </c>
      <c r="V116" s="4">
        <v>3464</v>
      </c>
      <c r="W116" s="4">
        <v>35</v>
      </c>
      <c r="X116" s="4">
        <v>451</v>
      </c>
      <c r="Y116" s="4">
        <v>0</v>
      </c>
      <c r="Z116" s="5">
        <v>3950</v>
      </c>
      <c r="AA116" s="5">
        <v>0</v>
      </c>
      <c r="AB116" s="6">
        <v>0</v>
      </c>
      <c r="AC116" s="4">
        <v>3950</v>
      </c>
      <c r="AD116" s="4">
        <v>0</v>
      </c>
      <c r="AE116" s="4">
        <v>3950</v>
      </c>
      <c r="AF116" s="1"/>
      <c r="AG116" s="1"/>
      <c r="AH116" s="1"/>
      <c r="AI116" s="1" t="s">
        <v>2333</v>
      </c>
      <c r="AJ116" s="6">
        <v>2225.96</v>
      </c>
      <c r="AK116" s="6">
        <v>902.08</v>
      </c>
      <c r="AL116" s="1"/>
    </row>
    <row r="117" spans="1:38" hidden="1" x14ac:dyDescent="0.25">
      <c r="A117" s="2">
        <v>196</v>
      </c>
      <c r="B117" s="1" t="s">
        <v>148</v>
      </c>
      <c r="C117" s="1" t="s">
        <v>151</v>
      </c>
      <c r="D117" s="1" t="s">
        <v>2062</v>
      </c>
      <c r="E117" s="1" t="s">
        <v>2063</v>
      </c>
      <c r="F117" s="3">
        <v>45399</v>
      </c>
      <c r="G117" s="3">
        <v>44974</v>
      </c>
      <c r="H117" s="3">
        <v>45338</v>
      </c>
      <c r="I117" s="1" t="s">
        <v>2347</v>
      </c>
      <c r="J117" s="1" t="s">
        <v>2348</v>
      </c>
      <c r="K117" s="1"/>
      <c r="L117" s="1" t="s">
        <v>2336</v>
      </c>
      <c r="M117" s="1" t="s">
        <v>2349</v>
      </c>
      <c r="N117" s="1" t="s">
        <v>2350</v>
      </c>
      <c r="O117" s="1" t="s">
        <v>2351</v>
      </c>
      <c r="P117" s="1" t="s">
        <v>2182</v>
      </c>
      <c r="Q117" s="1" t="s">
        <v>2352</v>
      </c>
      <c r="R117" s="1"/>
      <c r="S117" s="1" t="s">
        <v>2072</v>
      </c>
      <c r="T117" s="1" t="s">
        <v>2073</v>
      </c>
      <c r="U117" s="4">
        <v>-1</v>
      </c>
      <c r="V117" s="4">
        <v>-7584</v>
      </c>
      <c r="W117" s="4">
        <v>-76</v>
      </c>
      <c r="X117" s="4">
        <v>-986</v>
      </c>
      <c r="Y117" s="4">
        <v>0</v>
      </c>
      <c r="Z117" s="5">
        <v>-8646</v>
      </c>
      <c r="AA117" s="5">
        <v>0</v>
      </c>
      <c r="AB117" s="6">
        <v>0</v>
      </c>
      <c r="AC117" s="4">
        <v>-8646</v>
      </c>
      <c r="AD117" s="4">
        <v>0</v>
      </c>
      <c r="AE117" s="4">
        <v>-8646</v>
      </c>
      <c r="AF117" s="1"/>
      <c r="AG117" s="1"/>
      <c r="AH117" s="1"/>
      <c r="AI117" s="1" t="s">
        <v>2333</v>
      </c>
      <c r="AJ117" s="1"/>
      <c r="AK117" s="1"/>
      <c r="AL117" s="1"/>
    </row>
    <row r="118" spans="1:38" hidden="1" x14ac:dyDescent="0.25">
      <c r="A118" s="2">
        <v>197</v>
      </c>
      <c r="B118" s="1" t="s">
        <v>152</v>
      </c>
      <c r="C118" s="1" t="s">
        <v>153</v>
      </c>
      <c r="D118" s="1" t="s">
        <v>2062</v>
      </c>
      <c r="E118" s="1" t="s">
        <v>2063</v>
      </c>
      <c r="F118" s="3">
        <v>45167</v>
      </c>
      <c r="G118" s="3">
        <v>44984</v>
      </c>
      <c r="H118" s="3">
        <v>45348</v>
      </c>
      <c r="I118" s="1" t="s">
        <v>2353</v>
      </c>
      <c r="J118" s="1" t="s">
        <v>2354</v>
      </c>
      <c r="K118" s="1"/>
      <c r="L118" s="1" t="s">
        <v>2355</v>
      </c>
      <c r="M118" s="1" t="s">
        <v>2356</v>
      </c>
      <c r="N118" s="1" t="s">
        <v>2357</v>
      </c>
      <c r="O118" s="1" t="s">
        <v>2358</v>
      </c>
      <c r="P118" s="1" t="s">
        <v>2182</v>
      </c>
      <c r="Q118" s="1" t="s">
        <v>2359</v>
      </c>
      <c r="R118" s="1"/>
      <c r="S118" s="1" t="s">
        <v>2072</v>
      </c>
      <c r="T118" s="1" t="s">
        <v>2073</v>
      </c>
      <c r="U118" s="4">
        <v>8000000</v>
      </c>
      <c r="V118" s="4">
        <v>7629</v>
      </c>
      <c r="W118" s="4">
        <v>76</v>
      </c>
      <c r="X118" s="4">
        <v>991</v>
      </c>
      <c r="Y118" s="4">
        <v>0</v>
      </c>
      <c r="Z118" s="5">
        <v>8696</v>
      </c>
      <c r="AA118" s="5">
        <v>8693</v>
      </c>
      <c r="AB118" s="6">
        <v>0</v>
      </c>
      <c r="AC118" s="4">
        <v>3</v>
      </c>
      <c r="AD118" s="4">
        <v>0</v>
      </c>
      <c r="AE118" s="4">
        <v>3</v>
      </c>
      <c r="AF118" s="1"/>
      <c r="AG118" s="1"/>
      <c r="AH118" s="1"/>
      <c r="AI118" s="1" t="s">
        <v>2333</v>
      </c>
      <c r="AJ118" s="6">
        <v>2946.8999999999755</v>
      </c>
      <c r="AK118" s="6">
        <v>793.8</v>
      </c>
      <c r="AL118" s="1" t="s">
        <v>2360</v>
      </c>
    </row>
    <row r="119" spans="1:38" hidden="1" x14ac:dyDescent="0.25">
      <c r="A119" s="2">
        <v>198</v>
      </c>
      <c r="B119" s="1" t="s">
        <v>152</v>
      </c>
      <c r="C119" s="1" t="s">
        <v>154</v>
      </c>
      <c r="D119" s="1" t="s">
        <v>2062</v>
      </c>
      <c r="E119" s="1" t="s">
        <v>2063</v>
      </c>
      <c r="F119" s="3">
        <v>45287</v>
      </c>
      <c r="G119" s="3">
        <v>44984</v>
      </c>
      <c r="H119" s="3">
        <v>45348</v>
      </c>
      <c r="I119" s="1" t="s">
        <v>2353</v>
      </c>
      <c r="J119" s="1" t="s">
        <v>2354</v>
      </c>
      <c r="K119" s="1"/>
      <c r="L119" s="1" t="s">
        <v>2355</v>
      </c>
      <c r="M119" s="1" t="s">
        <v>2356</v>
      </c>
      <c r="N119" s="1" t="s">
        <v>2357</v>
      </c>
      <c r="O119" s="1" t="s">
        <v>2358</v>
      </c>
      <c r="P119" s="1" t="s">
        <v>2182</v>
      </c>
      <c r="Q119" s="1" t="s">
        <v>2359</v>
      </c>
      <c r="R119" s="1"/>
      <c r="S119" s="1" t="s">
        <v>2072</v>
      </c>
      <c r="T119" s="1" t="s">
        <v>2073</v>
      </c>
      <c r="U119" s="4">
        <v>8000000</v>
      </c>
      <c r="V119" s="4">
        <v>9202</v>
      </c>
      <c r="W119" s="4">
        <v>92</v>
      </c>
      <c r="X119" s="4">
        <v>1197</v>
      </c>
      <c r="Y119" s="4">
        <v>0</v>
      </c>
      <c r="Z119" s="5">
        <v>10491</v>
      </c>
      <c r="AA119" s="5">
        <v>0</v>
      </c>
      <c r="AB119" s="6">
        <v>0</v>
      </c>
      <c r="AC119" s="4">
        <v>10491</v>
      </c>
      <c r="AD119" s="4">
        <v>0</v>
      </c>
      <c r="AE119" s="4">
        <v>10491</v>
      </c>
      <c r="AF119" s="1"/>
      <c r="AG119" s="1"/>
      <c r="AH119" s="1"/>
      <c r="AI119" s="1" t="s">
        <v>2333</v>
      </c>
      <c r="AJ119" s="6">
        <v>3115.6699999999928</v>
      </c>
      <c r="AK119" s="6">
        <v>957.45</v>
      </c>
      <c r="AL119" s="1"/>
    </row>
    <row r="120" spans="1:38" hidden="1" x14ac:dyDescent="0.25">
      <c r="A120" s="2">
        <v>199</v>
      </c>
      <c r="B120" s="1" t="s">
        <v>152</v>
      </c>
      <c r="C120" s="1" t="s">
        <v>155</v>
      </c>
      <c r="D120" s="1" t="s">
        <v>2062</v>
      </c>
      <c r="E120" s="1" t="s">
        <v>2063</v>
      </c>
      <c r="F120" s="3">
        <v>45596</v>
      </c>
      <c r="G120" s="3">
        <v>44984</v>
      </c>
      <c r="H120" s="3">
        <v>45348</v>
      </c>
      <c r="I120" s="1" t="s">
        <v>2353</v>
      </c>
      <c r="J120" s="1" t="s">
        <v>2354</v>
      </c>
      <c r="K120" s="1"/>
      <c r="L120" s="1" t="s">
        <v>2355</v>
      </c>
      <c r="M120" s="1" t="s">
        <v>2356</v>
      </c>
      <c r="N120" s="1" t="s">
        <v>2357</v>
      </c>
      <c r="O120" s="1" t="s">
        <v>2358</v>
      </c>
      <c r="P120" s="1" t="s">
        <v>2182</v>
      </c>
      <c r="Q120" s="1" t="s">
        <v>2359</v>
      </c>
      <c r="R120" s="1"/>
      <c r="S120" s="1" t="s">
        <v>2072</v>
      </c>
      <c r="T120" s="1" t="s">
        <v>2073</v>
      </c>
      <c r="U120" s="4">
        <v>-1</v>
      </c>
      <c r="V120" s="4">
        <v>-10390</v>
      </c>
      <c r="W120" s="4">
        <v>-104</v>
      </c>
      <c r="X120" s="4">
        <v>0</v>
      </c>
      <c r="Y120" s="4">
        <v>0</v>
      </c>
      <c r="Z120" s="5">
        <v>-10494</v>
      </c>
      <c r="AA120" s="5">
        <v>0</v>
      </c>
      <c r="AB120" s="6">
        <v>0</v>
      </c>
      <c r="AC120" s="4">
        <v>-10494</v>
      </c>
      <c r="AD120" s="4">
        <v>0</v>
      </c>
      <c r="AE120" s="4">
        <v>-10494</v>
      </c>
      <c r="AF120" s="1"/>
      <c r="AG120" s="1"/>
      <c r="AH120" s="1"/>
      <c r="AI120" s="1" t="s">
        <v>2333</v>
      </c>
      <c r="AJ120" s="1"/>
      <c r="AK120" s="1"/>
      <c r="AL120" s="1"/>
    </row>
    <row r="121" spans="1:38" hidden="1" x14ac:dyDescent="0.25">
      <c r="A121" s="2">
        <v>200</v>
      </c>
      <c r="B121" s="1" t="s">
        <v>156</v>
      </c>
      <c r="C121" s="1" t="s">
        <v>157</v>
      </c>
      <c r="D121" s="1" t="s">
        <v>2062</v>
      </c>
      <c r="E121" s="1" t="s">
        <v>2063</v>
      </c>
      <c r="F121" s="3">
        <v>45255</v>
      </c>
      <c r="G121" s="3">
        <v>44981</v>
      </c>
      <c r="H121" s="3">
        <v>45345</v>
      </c>
      <c r="I121" s="1" t="s">
        <v>2361</v>
      </c>
      <c r="J121" s="1" t="s">
        <v>2362</v>
      </c>
      <c r="K121" s="1"/>
      <c r="L121" s="1" t="s">
        <v>2213</v>
      </c>
      <c r="M121" s="1" t="s">
        <v>2363</v>
      </c>
      <c r="N121" s="1" t="s">
        <v>2364</v>
      </c>
      <c r="O121" s="1" t="s">
        <v>2365</v>
      </c>
      <c r="P121" s="1" t="s">
        <v>2366</v>
      </c>
      <c r="Q121" s="1" t="s">
        <v>2367</v>
      </c>
      <c r="R121" s="1"/>
      <c r="S121" s="1" t="s">
        <v>2072</v>
      </c>
      <c r="T121" s="1" t="s">
        <v>2073</v>
      </c>
      <c r="U121" s="4">
        <v>1500000</v>
      </c>
      <c r="V121" s="4">
        <v>1343</v>
      </c>
      <c r="W121" s="4">
        <v>13</v>
      </c>
      <c r="X121" s="4">
        <v>175</v>
      </c>
      <c r="Y121" s="4">
        <v>0</v>
      </c>
      <c r="Z121" s="5">
        <v>1531</v>
      </c>
      <c r="AA121" s="5">
        <v>0</v>
      </c>
      <c r="AB121" s="6">
        <v>0</v>
      </c>
      <c r="AC121" s="4">
        <v>1531</v>
      </c>
      <c r="AD121" s="4">
        <v>0</v>
      </c>
      <c r="AE121" s="4">
        <v>1531</v>
      </c>
      <c r="AF121" s="1"/>
      <c r="AG121" s="1"/>
      <c r="AH121" s="1"/>
      <c r="AI121" s="1" t="s">
        <v>2304</v>
      </c>
      <c r="AJ121" s="6">
        <v>765.49</v>
      </c>
      <c r="AK121" s="6">
        <v>744.8</v>
      </c>
      <c r="AL121" s="1"/>
    </row>
    <row r="122" spans="1:38" hidden="1" x14ac:dyDescent="0.25">
      <c r="A122" s="2">
        <v>201</v>
      </c>
      <c r="B122" s="1" t="s">
        <v>156</v>
      </c>
      <c r="C122" s="1" t="s">
        <v>158</v>
      </c>
      <c r="D122" s="1" t="s">
        <v>2062</v>
      </c>
      <c r="E122" s="1" t="s">
        <v>2063</v>
      </c>
      <c r="F122" s="3">
        <v>45287</v>
      </c>
      <c r="G122" s="3">
        <v>44981</v>
      </c>
      <c r="H122" s="3">
        <v>45345</v>
      </c>
      <c r="I122" s="1" t="s">
        <v>2361</v>
      </c>
      <c r="J122" s="1" t="s">
        <v>2362</v>
      </c>
      <c r="K122" s="1"/>
      <c r="L122" s="1" t="s">
        <v>2213</v>
      </c>
      <c r="M122" s="1" t="s">
        <v>2363</v>
      </c>
      <c r="N122" s="1" t="s">
        <v>2364</v>
      </c>
      <c r="O122" s="1" t="s">
        <v>2365</v>
      </c>
      <c r="P122" s="1" t="s">
        <v>2366</v>
      </c>
      <c r="Q122" s="1" t="s">
        <v>2367</v>
      </c>
      <c r="R122" s="1"/>
      <c r="S122" s="1" t="s">
        <v>2072</v>
      </c>
      <c r="T122" s="1" t="s">
        <v>2073</v>
      </c>
      <c r="U122" s="4">
        <v>1500000</v>
      </c>
      <c r="V122" s="4">
        <v>1276</v>
      </c>
      <c r="W122" s="4">
        <v>13</v>
      </c>
      <c r="X122" s="4">
        <v>165</v>
      </c>
      <c r="Y122" s="4">
        <v>0</v>
      </c>
      <c r="Z122" s="5">
        <v>1454</v>
      </c>
      <c r="AA122" s="5">
        <v>0</v>
      </c>
      <c r="AB122" s="6">
        <v>0</v>
      </c>
      <c r="AC122" s="4">
        <v>1454</v>
      </c>
      <c r="AD122" s="4">
        <v>0</v>
      </c>
      <c r="AE122" s="4">
        <v>1454</v>
      </c>
      <c r="AF122" s="1"/>
      <c r="AG122" s="1"/>
      <c r="AH122" s="1"/>
      <c r="AI122" s="1" t="s">
        <v>2304</v>
      </c>
      <c r="AJ122" s="6">
        <v>795.63</v>
      </c>
      <c r="AK122" s="6">
        <v>708.3</v>
      </c>
      <c r="AL122" s="1"/>
    </row>
    <row r="123" spans="1:38" hidden="1" x14ac:dyDescent="0.25">
      <c r="A123" s="2">
        <v>202</v>
      </c>
      <c r="B123" s="1" t="s">
        <v>156</v>
      </c>
      <c r="C123" s="1" t="s">
        <v>159</v>
      </c>
      <c r="D123" s="1" t="s">
        <v>2062</v>
      </c>
      <c r="E123" s="1" t="s">
        <v>2063</v>
      </c>
      <c r="F123" s="3">
        <v>45399</v>
      </c>
      <c r="G123" s="3">
        <v>44981</v>
      </c>
      <c r="H123" s="3">
        <v>45345</v>
      </c>
      <c r="I123" s="1" t="s">
        <v>2361</v>
      </c>
      <c r="J123" s="1" t="s">
        <v>2362</v>
      </c>
      <c r="K123" s="1"/>
      <c r="L123" s="1" t="s">
        <v>2213</v>
      </c>
      <c r="M123" s="1" t="s">
        <v>2363</v>
      </c>
      <c r="N123" s="1" t="s">
        <v>2364</v>
      </c>
      <c r="O123" s="1" t="s">
        <v>2365</v>
      </c>
      <c r="P123" s="1" t="s">
        <v>2366</v>
      </c>
      <c r="Q123" s="1" t="s">
        <v>2367</v>
      </c>
      <c r="R123" s="1"/>
      <c r="S123" s="1" t="s">
        <v>2072</v>
      </c>
      <c r="T123" s="1" t="s">
        <v>2073</v>
      </c>
      <c r="U123" s="4">
        <v>-1</v>
      </c>
      <c r="V123" s="4">
        <v>-2619</v>
      </c>
      <c r="W123" s="4">
        <v>-26</v>
      </c>
      <c r="X123" s="4">
        <v>-340</v>
      </c>
      <c r="Y123" s="4">
        <v>0</v>
      </c>
      <c r="Z123" s="5">
        <v>-2985</v>
      </c>
      <c r="AA123" s="5">
        <v>0</v>
      </c>
      <c r="AB123" s="6">
        <v>0</v>
      </c>
      <c r="AC123" s="4">
        <v>-2985</v>
      </c>
      <c r="AD123" s="4">
        <v>0</v>
      </c>
      <c r="AE123" s="4">
        <v>-2985</v>
      </c>
      <c r="AF123" s="1"/>
      <c r="AG123" s="1"/>
      <c r="AH123" s="1"/>
      <c r="AI123" s="1" t="s">
        <v>2304</v>
      </c>
      <c r="AJ123" s="1"/>
      <c r="AK123" s="1"/>
      <c r="AL123" s="1"/>
    </row>
    <row r="124" spans="1:38" hidden="1" x14ac:dyDescent="0.25">
      <c r="A124" s="2">
        <v>203</v>
      </c>
      <c r="B124" s="1" t="s">
        <v>160</v>
      </c>
      <c r="C124" s="1" t="s">
        <v>161</v>
      </c>
      <c r="D124" s="1" t="s">
        <v>2062</v>
      </c>
      <c r="E124" s="1" t="s">
        <v>2063</v>
      </c>
      <c r="F124" s="3">
        <v>45087</v>
      </c>
      <c r="G124" s="3">
        <v>44994</v>
      </c>
      <c r="H124" s="3">
        <v>45359</v>
      </c>
      <c r="I124" s="1" t="s">
        <v>2368</v>
      </c>
      <c r="J124" s="1" t="s">
        <v>2369</v>
      </c>
      <c r="K124" s="1"/>
      <c r="L124" s="1" t="s">
        <v>2370</v>
      </c>
      <c r="M124" s="1" t="s">
        <v>2371</v>
      </c>
      <c r="N124" s="1" t="s">
        <v>2372</v>
      </c>
      <c r="O124" s="1" t="s">
        <v>2373</v>
      </c>
      <c r="P124" s="1" t="s">
        <v>2165</v>
      </c>
      <c r="Q124" s="1"/>
      <c r="R124" s="1"/>
      <c r="S124" s="1" t="s">
        <v>2072</v>
      </c>
      <c r="T124" s="1" t="s">
        <v>2096</v>
      </c>
      <c r="U124" s="4">
        <v>4500000</v>
      </c>
      <c r="V124" s="4">
        <v>1673</v>
      </c>
      <c r="W124" s="4">
        <v>16</v>
      </c>
      <c r="X124" s="4">
        <v>217</v>
      </c>
      <c r="Y124" s="4">
        <v>0</v>
      </c>
      <c r="Z124" s="5">
        <v>1906</v>
      </c>
      <c r="AA124" s="5">
        <v>1905</v>
      </c>
      <c r="AB124" s="6">
        <v>0</v>
      </c>
      <c r="AC124" s="4">
        <v>1</v>
      </c>
      <c r="AD124" s="4">
        <v>0</v>
      </c>
      <c r="AE124" s="4">
        <v>1</v>
      </c>
      <c r="AF124" s="1"/>
      <c r="AG124" s="1"/>
      <c r="AH124" s="1"/>
      <c r="AI124" s="1"/>
      <c r="AJ124" s="6">
        <v>360.00632519570604</v>
      </c>
      <c r="AK124" s="6">
        <v>309.12657904930904</v>
      </c>
      <c r="AL124" s="1"/>
    </row>
    <row r="125" spans="1:38" hidden="1" x14ac:dyDescent="0.25">
      <c r="A125" s="2">
        <v>204</v>
      </c>
      <c r="B125" s="1" t="s">
        <v>160</v>
      </c>
      <c r="C125" s="1" t="s">
        <v>162</v>
      </c>
      <c r="D125" s="1" t="s">
        <v>2062</v>
      </c>
      <c r="E125" s="1" t="s">
        <v>2063</v>
      </c>
      <c r="F125" s="3">
        <v>45271</v>
      </c>
      <c r="G125" s="3">
        <v>44994</v>
      </c>
      <c r="H125" s="3">
        <v>45359</v>
      </c>
      <c r="I125" s="1" t="s">
        <v>2368</v>
      </c>
      <c r="J125" s="1" t="s">
        <v>2369</v>
      </c>
      <c r="K125" s="1"/>
      <c r="L125" s="1" t="s">
        <v>2370</v>
      </c>
      <c r="M125" s="1" t="s">
        <v>2371</v>
      </c>
      <c r="N125" s="1" t="s">
        <v>2372</v>
      </c>
      <c r="O125" s="1" t="s">
        <v>2373</v>
      </c>
      <c r="P125" s="1" t="s">
        <v>2165</v>
      </c>
      <c r="Q125" s="1"/>
      <c r="R125" s="1"/>
      <c r="S125" s="1" t="s">
        <v>2072</v>
      </c>
      <c r="T125" s="1" t="s">
        <v>2096</v>
      </c>
      <c r="U125" s="4">
        <v>4500000</v>
      </c>
      <c r="V125" s="4">
        <v>251</v>
      </c>
      <c r="W125" s="4">
        <v>2</v>
      </c>
      <c r="X125" s="4">
        <v>32</v>
      </c>
      <c r="Y125" s="4">
        <v>0</v>
      </c>
      <c r="Z125" s="5">
        <v>285</v>
      </c>
      <c r="AA125" s="5">
        <v>0</v>
      </c>
      <c r="AB125" s="6">
        <v>0</v>
      </c>
      <c r="AC125" s="4">
        <v>285</v>
      </c>
      <c r="AD125" s="4">
        <v>0</v>
      </c>
      <c r="AE125" s="4">
        <v>285</v>
      </c>
      <c r="AF125" s="1"/>
      <c r="AG125" s="1"/>
      <c r="AH125" s="1"/>
      <c r="AI125" s="1"/>
      <c r="AJ125" s="6">
        <v>46.29</v>
      </c>
      <c r="AK125" s="6">
        <v>46.29</v>
      </c>
      <c r="AL125" s="1"/>
    </row>
    <row r="126" spans="1:38" hidden="1" x14ac:dyDescent="0.25">
      <c r="A126" s="2">
        <v>205</v>
      </c>
      <c r="B126" s="1" t="s">
        <v>160</v>
      </c>
      <c r="C126" s="1" t="s">
        <v>163</v>
      </c>
      <c r="D126" s="1" t="s">
        <v>2062</v>
      </c>
      <c r="E126" s="1" t="s">
        <v>2063</v>
      </c>
      <c r="F126" s="3">
        <v>45271</v>
      </c>
      <c r="G126" s="3">
        <v>44994</v>
      </c>
      <c r="H126" s="3">
        <v>45359</v>
      </c>
      <c r="I126" s="1" t="s">
        <v>2368</v>
      </c>
      <c r="J126" s="1" t="s">
        <v>2369</v>
      </c>
      <c r="K126" s="1"/>
      <c r="L126" s="1" t="s">
        <v>2370</v>
      </c>
      <c r="M126" s="1" t="s">
        <v>2371</v>
      </c>
      <c r="N126" s="1" t="s">
        <v>2372</v>
      </c>
      <c r="O126" s="1" t="s">
        <v>2373</v>
      </c>
      <c r="P126" s="1" t="s">
        <v>2165</v>
      </c>
      <c r="Q126" s="1"/>
      <c r="R126" s="1"/>
      <c r="S126" s="1" t="s">
        <v>2072</v>
      </c>
      <c r="T126" s="1" t="s">
        <v>2096</v>
      </c>
      <c r="U126" s="4">
        <v>4500000</v>
      </c>
      <c r="V126" s="4">
        <v>871</v>
      </c>
      <c r="W126" s="4">
        <v>9</v>
      </c>
      <c r="X126" s="4">
        <v>113</v>
      </c>
      <c r="Y126" s="4">
        <v>0</v>
      </c>
      <c r="Z126" s="5">
        <v>993</v>
      </c>
      <c r="AA126" s="5">
        <v>0</v>
      </c>
      <c r="AB126" s="6">
        <v>0</v>
      </c>
      <c r="AC126" s="4">
        <v>993</v>
      </c>
      <c r="AD126" s="4">
        <v>0</v>
      </c>
      <c r="AE126" s="4">
        <v>993</v>
      </c>
      <c r="AF126" s="1"/>
      <c r="AG126" s="1"/>
      <c r="AH126" s="1"/>
      <c r="AI126" s="1"/>
      <c r="AJ126" s="6">
        <v>161.14000000000001</v>
      </c>
      <c r="AK126" s="6">
        <v>161.14000000000001</v>
      </c>
      <c r="AL126" s="1"/>
    </row>
    <row r="127" spans="1:38" hidden="1" x14ac:dyDescent="0.25">
      <c r="A127" s="2">
        <v>206</v>
      </c>
      <c r="B127" s="1" t="s">
        <v>160</v>
      </c>
      <c r="C127" s="1" t="s">
        <v>164</v>
      </c>
      <c r="D127" s="1" t="s">
        <v>2062</v>
      </c>
      <c r="E127" s="1" t="s">
        <v>2063</v>
      </c>
      <c r="F127" s="3">
        <v>45302</v>
      </c>
      <c r="G127" s="3">
        <v>44994</v>
      </c>
      <c r="H127" s="3">
        <v>45359</v>
      </c>
      <c r="I127" s="1" t="s">
        <v>2368</v>
      </c>
      <c r="J127" s="1" t="s">
        <v>2369</v>
      </c>
      <c r="K127" s="1"/>
      <c r="L127" s="1" t="s">
        <v>2370</v>
      </c>
      <c r="M127" s="1" t="s">
        <v>2371</v>
      </c>
      <c r="N127" s="1" t="s">
        <v>2372</v>
      </c>
      <c r="O127" s="1" t="s">
        <v>2373</v>
      </c>
      <c r="P127" s="1" t="s">
        <v>2165</v>
      </c>
      <c r="Q127" s="1"/>
      <c r="R127" s="1"/>
      <c r="S127" s="1" t="s">
        <v>2072</v>
      </c>
      <c r="T127" s="1" t="s">
        <v>2096</v>
      </c>
      <c r="U127" s="4">
        <v>4500000</v>
      </c>
      <c r="V127" s="4">
        <v>1636</v>
      </c>
      <c r="W127" s="4">
        <v>16</v>
      </c>
      <c r="X127" s="4">
        <v>213</v>
      </c>
      <c r="Y127" s="4">
        <v>0</v>
      </c>
      <c r="Z127" s="5">
        <v>1865</v>
      </c>
      <c r="AA127" s="5">
        <v>0</v>
      </c>
      <c r="AB127" s="6">
        <v>0</v>
      </c>
      <c r="AC127" s="4">
        <v>1865</v>
      </c>
      <c r="AD127" s="4">
        <v>0</v>
      </c>
      <c r="AE127" s="4">
        <v>1865</v>
      </c>
      <c r="AF127" s="1"/>
      <c r="AG127" s="1"/>
      <c r="AH127" s="1"/>
      <c r="AI127" s="1"/>
      <c r="AJ127" s="6">
        <v>328.15</v>
      </c>
      <c r="AK127" s="6">
        <v>302.58</v>
      </c>
      <c r="AL127" s="1"/>
    </row>
    <row r="128" spans="1:38" hidden="1" x14ac:dyDescent="0.25">
      <c r="A128" s="2">
        <v>207</v>
      </c>
      <c r="B128" s="1" t="s">
        <v>160</v>
      </c>
      <c r="C128" s="1" t="s">
        <v>165</v>
      </c>
      <c r="D128" s="1" t="s">
        <v>2062</v>
      </c>
      <c r="E128" s="1" t="s">
        <v>2063</v>
      </c>
      <c r="F128" s="3">
        <v>45334</v>
      </c>
      <c r="G128" s="3">
        <v>44994</v>
      </c>
      <c r="H128" s="3">
        <v>45359</v>
      </c>
      <c r="I128" s="1" t="s">
        <v>2368</v>
      </c>
      <c r="J128" s="1" t="s">
        <v>2369</v>
      </c>
      <c r="K128" s="1"/>
      <c r="L128" s="1" t="s">
        <v>2370</v>
      </c>
      <c r="M128" s="1" t="s">
        <v>2371</v>
      </c>
      <c r="N128" s="1" t="s">
        <v>2372</v>
      </c>
      <c r="O128" s="1" t="s">
        <v>2373</v>
      </c>
      <c r="P128" s="1" t="s">
        <v>2165</v>
      </c>
      <c r="Q128" s="1"/>
      <c r="R128" s="1"/>
      <c r="S128" s="1" t="s">
        <v>2072</v>
      </c>
      <c r="T128" s="1" t="s">
        <v>2096</v>
      </c>
      <c r="U128" s="4">
        <v>4500000</v>
      </c>
      <c r="V128" s="4">
        <v>757</v>
      </c>
      <c r="W128" s="4">
        <v>8</v>
      </c>
      <c r="X128" s="4">
        <v>98</v>
      </c>
      <c r="Y128" s="4">
        <v>0</v>
      </c>
      <c r="Z128" s="5">
        <v>863</v>
      </c>
      <c r="AA128" s="5">
        <v>0</v>
      </c>
      <c r="AB128" s="6">
        <v>0</v>
      </c>
      <c r="AC128" s="4">
        <v>863</v>
      </c>
      <c r="AD128" s="4">
        <v>0</v>
      </c>
      <c r="AE128" s="4">
        <v>863</v>
      </c>
      <c r="AF128" s="1"/>
      <c r="AG128" s="1"/>
      <c r="AH128" s="1"/>
      <c r="AI128" s="1"/>
      <c r="AJ128" s="6">
        <v>139.87</v>
      </c>
      <c r="AK128" s="6">
        <v>139.87</v>
      </c>
      <c r="AL128" s="1"/>
    </row>
    <row r="129" spans="1:38" hidden="1" x14ac:dyDescent="0.25">
      <c r="A129" s="2">
        <v>208</v>
      </c>
      <c r="B129" s="1" t="s">
        <v>160</v>
      </c>
      <c r="C129" s="1" t="s">
        <v>166</v>
      </c>
      <c r="D129" s="1" t="s">
        <v>2062</v>
      </c>
      <c r="E129" s="1" t="s">
        <v>2063</v>
      </c>
      <c r="F129" s="3">
        <v>45596</v>
      </c>
      <c r="G129" s="3">
        <v>44994</v>
      </c>
      <c r="H129" s="3">
        <v>45359</v>
      </c>
      <c r="I129" s="1" t="s">
        <v>2368</v>
      </c>
      <c r="J129" s="1" t="s">
        <v>2369</v>
      </c>
      <c r="K129" s="1"/>
      <c r="L129" s="1" t="s">
        <v>2370</v>
      </c>
      <c r="M129" s="1" t="s">
        <v>2371</v>
      </c>
      <c r="N129" s="1" t="s">
        <v>2372</v>
      </c>
      <c r="O129" s="1" t="s">
        <v>2373</v>
      </c>
      <c r="P129" s="1" t="s">
        <v>2165</v>
      </c>
      <c r="Q129" s="1"/>
      <c r="R129" s="1"/>
      <c r="S129" s="1" t="s">
        <v>2072</v>
      </c>
      <c r="T129" s="1" t="s">
        <v>2096</v>
      </c>
      <c r="U129" s="4">
        <v>-1</v>
      </c>
      <c r="V129" s="4">
        <v>-3967</v>
      </c>
      <c r="W129" s="4">
        <v>-40</v>
      </c>
      <c r="X129" s="4">
        <v>0</v>
      </c>
      <c r="Y129" s="4">
        <v>0</v>
      </c>
      <c r="Z129" s="5">
        <v>-4007</v>
      </c>
      <c r="AA129" s="5">
        <v>0</v>
      </c>
      <c r="AB129" s="6">
        <v>0</v>
      </c>
      <c r="AC129" s="4">
        <v>-4007</v>
      </c>
      <c r="AD129" s="4">
        <v>0</v>
      </c>
      <c r="AE129" s="4">
        <v>-4007</v>
      </c>
      <c r="AF129" s="1"/>
      <c r="AG129" s="1"/>
      <c r="AH129" s="1"/>
      <c r="AI129" s="1"/>
      <c r="AJ129" s="1"/>
      <c r="AK129" s="1"/>
      <c r="AL129" s="1"/>
    </row>
    <row r="130" spans="1:38" hidden="1" x14ac:dyDescent="0.25">
      <c r="A130" s="2">
        <v>210</v>
      </c>
      <c r="B130" s="1" t="s">
        <v>167</v>
      </c>
      <c r="C130" s="1" t="s">
        <v>168</v>
      </c>
      <c r="D130" s="1" t="s">
        <v>2062</v>
      </c>
      <c r="E130" s="1" t="s">
        <v>2063</v>
      </c>
      <c r="F130" s="3">
        <v>45306</v>
      </c>
      <c r="G130" s="3">
        <v>44999</v>
      </c>
      <c r="H130" s="3">
        <v>45363</v>
      </c>
      <c r="I130" s="1" t="s">
        <v>2374</v>
      </c>
      <c r="J130" s="1" t="s">
        <v>2375</v>
      </c>
      <c r="K130" s="1"/>
      <c r="L130" s="1" t="s">
        <v>2376</v>
      </c>
      <c r="M130" s="1" t="s">
        <v>2377</v>
      </c>
      <c r="N130" s="1" t="s">
        <v>2378</v>
      </c>
      <c r="O130" s="1" t="s">
        <v>2379</v>
      </c>
      <c r="P130" s="1" t="s">
        <v>2081</v>
      </c>
      <c r="Q130" s="1"/>
      <c r="R130" s="1"/>
      <c r="S130" s="1" t="s">
        <v>2072</v>
      </c>
      <c r="T130" s="1" t="s">
        <v>2073</v>
      </c>
      <c r="U130" s="4">
        <v>4500000</v>
      </c>
      <c r="V130" s="4">
        <v>4255</v>
      </c>
      <c r="W130" s="4">
        <v>42</v>
      </c>
      <c r="X130" s="4">
        <v>553</v>
      </c>
      <c r="Y130" s="4">
        <v>0</v>
      </c>
      <c r="Z130" s="5">
        <v>4850</v>
      </c>
      <c r="AA130" s="5">
        <v>0</v>
      </c>
      <c r="AB130" s="6">
        <v>0</v>
      </c>
      <c r="AC130" s="4">
        <v>4850</v>
      </c>
      <c r="AD130" s="4">
        <v>0</v>
      </c>
      <c r="AE130" s="4">
        <v>4850</v>
      </c>
      <c r="AF130" s="1"/>
      <c r="AG130" s="1"/>
      <c r="AH130" s="1"/>
      <c r="AI130" s="1" t="s">
        <v>2380</v>
      </c>
      <c r="AJ130" s="6">
        <v>998.19000000000096</v>
      </c>
      <c r="AK130" s="6">
        <v>787.51</v>
      </c>
      <c r="AL130" s="1"/>
    </row>
    <row r="131" spans="1:38" hidden="1" x14ac:dyDescent="0.25">
      <c r="A131" s="2">
        <v>211</v>
      </c>
      <c r="B131" s="1" t="s">
        <v>167</v>
      </c>
      <c r="C131" s="1" t="s">
        <v>169</v>
      </c>
      <c r="D131" s="1" t="s">
        <v>2062</v>
      </c>
      <c r="E131" s="1" t="s">
        <v>2063</v>
      </c>
      <c r="F131" s="3">
        <v>45336</v>
      </c>
      <c r="G131" s="3">
        <v>44999</v>
      </c>
      <c r="H131" s="3">
        <v>45363</v>
      </c>
      <c r="I131" s="1" t="s">
        <v>2374</v>
      </c>
      <c r="J131" s="1" t="s">
        <v>2375</v>
      </c>
      <c r="K131" s="1"/>
      <c r="L131" s="1" t="s">
        <v>2376</v>
      </c>
      <c r="M131" s="1" t="s">
        <v>2377</v>
      </c>
      <c r="N131" s="1" t="s">
        <v>2378</v>
      </c>
      <c r="O131" s="1" t="s">
        <v>2379</v>
      </c>
      <c r="P131" s="1" t="s">
        <v>2081</v>
      </c>
      <c r="Q131" s="1"/>
      <c r="R131" s="1"/>
      <c r="S131" s="1" t="s">
        <v>2072</v>
      </c>
      <c r="T131" s="1" t="s">
        <v>2073</v>
      </c>
      <c r="U131" s="4">
        <v>4500000</v>
      </c>
      <c r="V131" s="4">
        <v>3411</v>
      </c>
      <c r="W131" s="4">
        <v>34</v>
      </c>
      <c r="X131" s="4">
        <v>443</v>
      </c>
      <c r="Y131" s="4">
        <v>0</v>
      </c>
      <c r="Z131" s="5">
        <v>3888</v>
      </c>
      <c r="AA131" s="5">
        <v>0</v>
      </c>
      <c r="AB131" s="6">
        <v>0</v>
      </c>
      <c r="AC131" s="4">
        <v>3888</v>
      </c>
      <c r="AD131" s="4">
        <v>0</v>
      </c>
      <c r="AE131" s="4">
        <v>3888</v>
      </c>
      <c r="AF131" s="1"/>
      <c r="AG131" s="1"/>
      <c r="AH131" s="1"/>
      <c r="AI131" s="1" t="s">
        <v>2380</v>
      </c>
      <c r="AJ131" s="6">
        <v>780.56000000000097</v>
      </c>
      <c r="AK131" s="6">
        <v>631.21</v>
      </c>
      <c r="AL131" s="1"/>
    </row>
    <row r="132" spans="1:38" hidden="1" x14ac:dyDescent="0.25">
      <c r="A132" s="2">
        <v>212</v>
      </c>
      <c r="B132" s="1" t="s">
        <v>167</v>
      </c>
      <c r="C132" s="1" t="s">
        <v>170</v>
      </c>
      <c r="D132" s="1" t="s">
        <v>2062</v>
      </c>
      <c r="E132" s="1" t="s">
        <v>2063</v>
      </c>
      <c r="F132" s="3">
        <v>45399</v>
      </c>
      <c r="G132" s="3">
        <v>44999</v>
      </c>
      <c r="H132" s="3">
        <v>45363</v>
      </c>
      <c r="I132" s="1" t="s">
        <v>2374</v>
      </c>
      <c r="J132" s="1" t="s">
        <v>2375</v>
      </c>
      <c r="K132" s="1"/>
      <c r="L132" s="1" t="s">
        <v>2376</v>
      </c>
      <c r="M132" s="1" t="s">
        <v>2377</v>
      </c>
      <c r="N132" s="1" t="s">
        <v>2378</v>
      </c>
      <c r="O132" s="1" t="s">
        <v>2379</v>
      </c>
      <c r="P132" s="1" t="s">
        <v>2081</v>
      </c>
      <c r="Q132" s="1"/>
      <c r="R132" s="1"/>
      <c r="S132" s="1" t="s">
        <v>2072</v>
      </c>
      <c r="T132" s="1" t="s">
        <v>2073</v>
      </c>
      <c r="U132" s="4">
        <v>-1</v>
      </c>
      <c r="V132" s="4">
        <v>-7665</v>
      </c>
      <c r="W132" s="4">
        <v>-77</v>
      </c>
      <c r="X132" s="4">
        <v>-996</v>
      </c>
      <c r="Y132" s="4">
        <v>0</v>
      </c>
      <c r="Z132" s="5">
        <v>-8738</v>
      </c>
      <c r="AA132" s="5">
        <v>0</v>
      </c>
      <c r="AB132" s="6">
        <v>0</v>
      </c>
      <c r="AC132" s="4">
        <v>-8738</v>
      </c>
      <c r="AD132" s="4">
        <v>0</v>
      </c>
      <c r="AE132" s="4">
        <v>-8738</v>
      </c>
      <c r="AF132" s="1"/>
      <c r="AG132" s="1"/>
      <c r="AH132" s="1"/>
      <c r="AI132" s="1" t="s">
        <v>2380</v>
      </c>
      <c r="AJ132" s="1"/>
      <c r="AK132" s="1"/>
      <c r="AL132" s="1"/>
    </row>
    <row r="133" spans="1:38" x14ac:dyDescent="0.25">
      <c r="A133" s="2">
        <v>213</v>
      </c>
      <c r="B133" s="1" t="s">
        <v>171</v>
      </c>
      <c r="C133" s="1"/>
      <c r="D133" s="1" t="s">
        <v>2062</v>
      </c>
      <c r="E133" s="1" t="s">
        <v>2063</v>
      </c>
      <c r="F133" s="3">
        <v>45005</v>
      </c>
      <c r="G133" s="3">
        <v>45002</v>
      </c>
      <c r="H133" s="3">
        <v>45367</v>
      </c>
      <c r="I133" s="1" t="s">
        <v>2381</v>
      </c>
      <c r="J133" s="1" t="s">
        <v>2382</v>
      </c>
      <c r="K133" s="1"/>
      <c r="L133" s="1" t="s">
        <v>2370</v>
      </c>
      <c r="M133" s="1" t="s">
        <v>2383</v>
      </c>
      <c r="N133" s="1" t="s">
        <v>2384</v>
      </c>
      <c r="O133" s="1" t="s">
        <v>2385</v>
      </c>
      <c r="P133" s="1" t="s">
        <v>2247</v>
      </c>
      <c r="Q133" s="1"/>
      <c r="R133" s="1"/>
      <c r="S133" s="1" t="s">
        <v>2072</v>
      </c>
      <c r="T133" s="1" t="s">
        <v>2073</v>
      </c>
      <c r="U133" s="1"/>
      <c r="V133" s="4">
        <v>4386</v>
      </c>
      <c r="W133" s="4">
        <v>44</v>
      </c>
      <c r="X133" s="4">
        <v>570</v>
      </c>
      <c r="Y133" s="4">
        <v>0</v>
      </c>
      <c r="Z133" s="5">
        <v>5000</v>
      </c>
      <c r="AA133" s="5">
        <v>5008</v>
      </c>
      <c r="AB133" s="6">
        <v>0</v>
      </c>
      <c r="AC133" s="4">
        <v>-8</v>
      </c>
      <c r="AD133" s="4">
        <v>0</v>
      </c>
      <c r="AE133" s="4">
        <v>-8</v>
      </c>
      <c r="AF133" s="1"/>
      <c r="AG133" s="1"/>
      <c r="AH133" s="1"/>
      <c r="AI133" s="1" t="s">
        <v>2327</v>
      </c>
      <c r="AJ133" s="1"/>
      <c r="AK133" s="1"/>
      <c r="AL133" s="1" t="s">
        <v>2386</v>
      </c>
    </row>
    <row r="134" spans="1:38" hidden="1" x14ac:dyDescent="0.25">
      <c r="A134" s="2">
        <v>214</v>
      </c>
      <c r="B134" s="1" t="s">
        <v>171</v>
      </c>
      <c r="C134" s="1" t="s">
        <v>172</v>
      </c>
      <c r="D134" s="1" t="s">
        <v>2062</v>
      </c>
      <c r="E134" s="1" t="s">
        <v>2063</v>
      </c>
      <c r="F134" s="3">
        <v>45126</v>
      </c>
      <c r="G134" s="3">
        <v>45002</v>
      </c>
      <c r="H134" s="3">
        <v>45367</v>
      </c>
      <c r="I134" s="1" t="s">
        <v>2387</v>
      </c>
      <c r="J134" s="1" t="s">
        <v>2382</v>
      </c>
      <c r="K134" s="1"/>
      <c r="L134" s="1" t="s">
        <v>2370</v>
      </c>
      <c r="M134" s="1" t="s">
        <v>2383</v>
      </c>
      <c r="N134" s="1" t="s">
        <v>2384</v>
      </c>
      <c r="O134" s="1" t="s">
        <v>2385</v>
      </c>
      <c r="P134" s="1" t="s">
        <v>2247</v>
      </c>
      <c r="Q134" s="1"/>
      <c r="R134" s="1"/>
      <c r="S134" s="1" t="s">
        <v>2072</v>
      </c>
      <c r="T134" s="1" t="s">
        <v>2073</v>
      </c>
      <c r="U134" s="4">
        <v>4000000</v>
      </c>
      <c r="V134" s="4">
        <v>1979</v>
      </c>
      <c r="W134" s="4">
        <v>20</v>
      </c>
      <c r="X134" s="4">
        <v>257</v>
      </c>
      <c r="Y134" s="4">
        <v>0</v>
      </c>
      <c r="Z134" s="5">
        <v>2256</v>
      </c>
      <c r="AA134" s="5">
        <v>2250</v>
      </c>
      <c r="AB134" s="6">
        <v>0</v>
      </c>
      <c r="AC134" s="4">
        <v>6</v>
      </c>
      <c r="AD134" s="4">
        <v>0</v>
      </c>
      <c r="AE134" s="4">
        <v>6</v>
      </c>
      <c r="AF134" s="1"/>
      <c r="AG134" s="1"/>
      <c r="AH134" s="1"/>
      <c r="AI134" s="1" t="s">
        <v>2327</v>
      </c>
      <c r="AJ134" s="6">
        <v>420.52013972717401</v>
      </c>
      <c r="AK134" s="6">
        <v>411.31641137051906</v>
      </c>
      <c r="AL134" s="1" t="s">
        <v>2386</v>
      </c>
    </row>
    <row r="135" spans="1:38" hidden="1" x14ac:dyDescent="0.25">
      <c r="A135" s="2">
        <v>215</v>
      </c>
      <c r="B135" s="1" t="s">
        <v>171</v>
      </c>
      <c r="C135" s="1" t="s">
        <v>173</v>
      </c>
      <c r="D135" s="1" t="s">
        <v>2062</v>
      </c>
      <c r="E135" s="1" t="s">
        <v>2063</v>
      </c>
      <c r="F135" s="3">
        <v>45247</v>
      </c>
      <c r="G135" s="3">
        <v>45002</v>
      </c>
      <c r="H135" s="3">
        <v>45367</v>
      </c>
      <c r="I135" s="1" t="s">
        <v>2381</v>
      </c>
      <c r="J135" s="1" t="s">
        <v>2382</v>
      </c>
      <c r="K135" s="1"/>
      <c r="L135" s="1" t="s">
        <v>2370</v>
      </c>
      <c r="M135" s="1" t="s">
        <v>2383</v>
      </c>
      <c r="N135" s="1" t="s">
        <v>2384</v>
      </c>
      <c r="O135" s="1" t="s">
        <v>2385</v>
      </c>
      <c r="P135" s="1" t="s">
        <v>2247</v>
      </c>
      <c r="Q135" s="1"/>
      <c r="R135" s="1"/>
      <c r="S135" s="1" t="s">
        <v>2072</v>
      </c>
      <c r="T135" s="1" t="s">
        <v>2073</v>
      </c>
      <c r="U135" s="4">
        <v>4000000</v>
      </c>
      <c r="V135" s="4">
        <v>2354</v>
      </c>
      <c r="W135" s="4">
        <v>24</v>
      </c>
      <c r="X135" s="4">
        <v>306</v>
      </c>
      <c r="Y135" s="4">
        <v>0</v>
      </c>
      <c r="Z135" s="5">
        <v>2684</v>
      </c>
      <c r="AA135" s="5">
        <v>2682</v>
      </c>
      <c r="AB135" s="6">
        <v>0</v>
      </c>
      <c r="AC135" s="4">
        <v>2</v>
      </c>
      <c r="AD135" s="4">
        <v>0</v>
      </c>
      <c r="AE135" s="4">
        <v>2</v>
      </c>
      <c r="AF135" s="1"/>
      <c r="AG135" s="1"/>
      <c r="AH135" s="1"/>
      <c r="AI135" s="1" t="s">
        <v>2327</v>
      </c>
      <c r="AJ135" s="6">
        <v>630.47</v>
      </c>
      <c r="AK135" s="6">
        <v>489.45000000000005</v>
      </c>
      <c r="AL135" s="1"/>
    </row>
    <row r="136" spans="1:38" x14ac:dyDescent="0.25">
      <c r="A136" s="2">
        <v>216</v>
      </c>
      <c r="B136" s="1" t="s">
        <v>174</v>
      </c>
      <c r="C136" s="1"/>
      <c r="D136" s="1" t="s">
        <v>2062</v>
      </c>
      <c r="E136" s="1" t="s">
        <v>2063</v>
      </c>
      <c r="F136" s="3">
        <v>45005</v>
      </c>
      <c r="G136" s="3">
        <v>45000</v>
      </c>
      <c r="H136" s="3">
        <v>45365</v>
      </c>
      <c r="I136" s="1" t="s">
        <v>2388</v>
      </c>
      <c r="J136" s="1" t="s">
        <v>2389</v>
      </c>
      <c r="K136" s="1"/>
      <c r="L136" s="1" t="s">
        <v>2390</v>
      </c>
      <c r="M136" s="1" t="s">
        <v>2391</v>
      </c>
      <c r="N136" s="1" t="s">
        <v>2392</v>
      </c>
      <c r="O136" s="1" t="s">
        <v>2393</v>
      </c>
      <c r="P136" s="1" t="s">
        <v>2247</v>
      </c>
      <c r="Q136" s="1" t="s">
        <v>2394</v>
      </c>
      <c r="R136" s="1"/>
      <c r="S136" s="1" t="s">
        <v>2072</v>
      </c>
      <c r="T136" s="1" t="s">
        <v>2073</v>
      </c>
      <c r="U136" s="4">
        <v>-1</v>
      </c>
      <c r="V136" s="4">
        <v>4343</v>
      </c>
      <c r="W136" s="4">
        <v>43</v>
      </c>
      <c r="X136" s="4">
        <v>564</v>
      </c>
      <c r="Y136" s="4">
        <v>50</v>
      </c>
      <c r="Z136" s="5">
        <v>5000</v>
      </c>
      <c r="AA136" s="5">
        <v>5001</v>
      </c>
      <c r="AB136" s="6">
        <v>0</v>
      </c>
      <c r="AC136" s="4">
        <v>-1</v>
      </c>
      <c r="AD136" s="4">
        <v>0</v>
      </c>
      <c r="AE136" s="4">
        <v>-1</v>
      </c>
      <c r="AF136" s="1"/>
      <c r="AG136" s="1"/>
      <c r="AH136" s="1"/>
      <c r="AI136" s="1" t="s">
        <v>2327</v>
      </c>
      <c r="AJ136" s="1"/>
      <c r="AK136" s="1"/>
      <c r="AL136" s="1"/>
    </row>
    <row r="137" spans="1:38" hidden="1" x14ac:dyDescent="0.25">
      <c r="A137" s="2">
        <v>217</v>
      </c>
      <c r="B137" s="1" t="s">
        <v>174</v>
      </c>
      <c r="C137" s="1" t="s">
        <v>175</v>
      </c>
      <c r="D137" s="1" t="s">
        <v>2062</v>
      </c>
      <c r="E137" s="1" t="s">
        <v>2063</v>
      </c>
      <c r="F137" s="3">
        <v>45093</v>
      </c>
      <c r="G137" s="3">
        <v>45000</v>
      </c>
      <c r="H137" s="3">
        <v>45365</v>
      </c>
      <c r="I137" s="1" t="s">
        <v>2388</v>
      </c>
      <c r="J137" s="1" t="s">
        <v>2389</v>
      </c>
      <c r="K137" s="1"/>
      <c r="L137" s="1" t="s">
        <v>2390</v>
      </c>
      <c r="M137" s="1" t="s">
        <v>2391</v>
      </c>
      <c r="N137" s="1" t="s">
        <v>2392</v>
      </c>
      <c r="O137" s="1" t="s">
        <v>2393</v>
      </c>
      <c r="P137" s="1" t="s">
        <v>2247</v>
      </c>
      <c r="Q137" s="1" t="s">
        <v>2394</v>
      </c>
      <c r="R137" s="1"/>
      <c r="S137" s="1" t="s">
        <v>2072</v>
      </c>
      <c r="T137" s="1" t="s">
        <v>2073</v>
      </c>
      <c r="U137" s="4">
        <v>20300000</v>
      </c>
      <c r="V137" s="4">
        <v>5857</v>
      </c>
      <c r="W137" s="4">
        <v>59</v>
      </c>
      <c r="X137" s="4">
        <v>761</v>
      </c>
      <c r="Y137" s="4">
        <v>0</v>
      </c>
      <c r="Z137" s="5">
        <v>6677</v>
      </c>
      <c r="AA137" s="5">
        <v>6676</v>
      </c>
      <c r="AB137" s="6">
        <v>0</v>
      </c>
      <c r="AC137" s="4">
        <v>1</v>
      </c>
      <c r="AD137" s="4">
        <v>0</v>
      </c>
      <c r="AE137" s="4">
        <v>1</v>
      </c>
      <c r="AF137" s="1"/>
      <c r="AG137" s="1"/>
      <c r="AH137" s="1"/>
      <c r="AI137" s="1" t="s">
        <v>2327</v>
      </c>
      <c r="AJ137" s="6">
        <v>2400.9854345677422</v>
      </c>
      <c r="AK137" s="6">
        <v>240.14958509231201</v>
      </c>
      <c r="AL137" s="1"/>
    </row>
    <row r="138" spans="1:38" hidden="1" x14ac:dyDescent="0.25">
      <c r="A138" s="2">
        <v>218</v>
      </c>
      <c r="B138" s="1" t="s">
        <v>176</v>
      </c>
      <c r="C138" s="1" t="s">
        <v>177</v>
      </c>
      <c r="D138" s="1" t="s">
        <v>2062</v>
      </c>
      <c r="E138" s="1" t="s">
        <v>2063</v>
      </c>
      <c r="F138" s="3">
        <v>45051</v>
      </c>
      <c r="G138" s="3">
        <v>45007</v>
      </c>
      <c r="H138" s="3">
        <v>45372</v>
      </c>
      <c r="I138" s="1" t="s">
        <v>2395</v>
      </c>
      <c r="J138" s="1" t="s">
        <v>2396</v>
      </c>
      <c r="K138" s="1"/>
      <c r="L138" s="1" t="s">
        <v>2397</v>
      </c>
      <c r="M138" s="1" t="s">
        <v>2398</v>
      </c>
      <c r="N138" s="1" t="s">
        <v>2399</v>
      </c>
      <c r="O138" s="1" t="s">
        <v>2400</v>
      </c>
      <c r="P138" s="1" t="s">
        <v>2182</v>
      </c>
      <c r="Q138" s="1"/>
      <c r="R138" s="1"/>
      <c r="S138" s="1" t="s">
        <v>2072</v>
      </c>
      <c r="T138" s="1" t="s">
        <v>2401</v>
      </c>
      <c r="U138" s="4">
        <v>2500000</v>
      </c>
      <c r="V138" s="4">
        <v>1631</v>
      </c>
      <c r="W138" s="4">
        <v>16</v>
      </c>
      <c r="X138" s="4">
        <v>212</v>
      </c>
      <c r="Y138" s="4">
        <v>0</v>
      </c>
      <c r="Z138" s="5">
        <v>1859</v>
      </c>
      <c r="AA138" s="5">
        <v>0</v>
      </c>
      <c r="AB138" s="6">
        <v>0</v>
      </c>
      <c r="AC138" s="4">
        <v>1859</v>
      </c>
      <c r="AD138" s="4">
        <v>0</v>
      </c>
      <c r="AE138" s="4">
        <v>1859</v>
      </c>
      <c r="AF138" s="1"/>
      <c r="AG138" s="1"/>
      <c r="AH138" s="1"/>
      <c r="AI138" s="1"/>
      <c r="AJ138" s="6">
        <v>1662.5030332037331</v>
      </c>
      <c r="AK138" s="6">
        <v>543.39945165111203</v>
      </c>
      <c r="AL138" s="1"/>
    </row>
    <row r="139" spans="1:38" hidden="1" x14ac:dyDescent="0.25">
      <c r="A139" s="2">
        <v>219</v>
      </c>
      <c r="B139" s="1" t="s">
        <v>176</v>
      </c>
      <c r="C139" s="1" t="s">
        <v>178</v>
      </c>
      <c r="D139" s="1" t="s">
        <v>2062</v>
      </c>
      <c r="E139" s="1" t="s">
        <v>2063</v>
      </c>
      <c r="F139" s="3">
        <v>45062</v>
      </c>
      <c r="G139" s="3">
        <v>45007</v>
      </c>
      <c r="H139" s="3">
        <v>45372</v>
      </c>
      <c r="I139" s="1" t="s">
        <v>2395</v>
      </c>
      <c r="J139" s="1" t="s">
        <v>2396</v>
      </c>
      <c r="K139" s="1"/>
      <c r="L139" s="1" t="s">
        <v>2397</v>
      </c>
      <c r="M139" s="1" t="s">
        <v>2398</v>
      </c>
      <c r="N139" s="1" t="s">
        <v>2399</v>
      </c>
      <c r="O139" s="1" t="s">
        <v>2400</v>
      </c>
      <c r="P139" s="1" t="s">
        <v>2182</v>
      </c>
      <c r="Q139" s="1"/>
      <c r="R139" s="1"/>
      <c r="S139" s="1" t="s">
        <v>2072</v>
      </c>
      <c r="T139" s="1" t="s">
        <v>2401</v>
      </c>
      <c r="U139" s="4">
        <v>-1</v>
      </c>
      <c r="V139" s="4">
        <v>-1754</v>
      </c>
      <c r="W139" s="4">
        <v>-18</v>
      </c>
      <c r="X139" s="4">
        <v>-228</v>
      </c>
      <c r="Y139" s="4">
        <v>0</v>
      </c>
      <c r="Z139" s="5">
        <v>-2000</v>
      </c>
      <c r="AA139" s="5">
        <v>-141</v>
      </c>
      <c r="AB139" s="6">
        <v>0</v>
      </c>
      <c r="AC139" s="4">
        <v>-1859</v>
      </c>
      <c r="AD139" s="4">
        <v>0</v>
      </c>
      <c r="AE139" s="4">
        <v>-1859</v>
      </c>
      <c r="AF139" s="1"/>
      <c r="AG139" s="1"/>
      <c r="AH139" s="1"/>
      <c r="AI139" s="1"/>
      <c r="AJ139" s="1"/>
      <c r="AK139" s="1"/>
      <c r="AL139" s="1"/>
    </row>
    <row r="140" spans="1:38" hidden="1" x14ac:dyDescent="0.25">
      <c r="A140" s="2">
        <v>220</v>
      </c>
      <c r="B140" s="1" t="s">
        <v>179</v>
      </c>
      <c r="C140" s="1" t="s">
        <v>180</v>
      </c>
      <c r="D140" s="1" t="s">
        <v>2062</v>
      </c>
      <c r="E140" s="1" t="s">
        <v>2063</v>
      </c>
      <c r="F140" s="3">
        <v>45201</v>
      </c>
      <c r="G140" s="3">
        <v>45014</v>
      </c>
      <c r="H140" s="3">
        <v>45379</v>
      </c>
      <c r="I140" s="1" t="s">
        <v>2402</v>
      </c>
      <c r="J140" s="1" t="s">
        <v>2403</v>
      </c>
      <c r="K140" s="1"/>
      <c r="L140" s="1" t="s">
        <v>2404</v>
      </c>
      <c r="M140" s="1" t="s">
        <v>2405</v>
      </c>
      <c r="N140" s="1" t="s">
        <v>2406</v>
      </c>
      <c r="O140" s="1" t="s">
        <v>2407</v>
      </c>
      <c r="P140" s="1" t="s">
        <v>2165</v>
      </c>
      <c r="Q140" s="1"/>
      <c r="R140" s="1"/>
      <c r="S140" s="1" t="s">
        <v>2072</v>
      </c>
      <c r="T140" s="1" t="s">
        <v>2111</v>
      </c>
      <c r="U140" s="4">
        <v>3500000</v>
      </c>
      <c r="V140" s="4">
        <v>5209</v>
      </c>
      <c r="W140" s="4">
        <v>52</v>
      </c>
      <c r="X140" s="4">
        <v>677</v>
      </c>
      <c r="Y140" s="4">
        <v>0</v>
      </c>
      <c r="Z140" s="5">
        <v>5938</v>
      </c>
      <c r="AA140" s="5">
        <v>0</v>
      </c>
      <c r="AB140" s="6">
        <v>0</v>
      </c>
      <c r="AC140" s="4">
        <v>5938</v>
      </c>
      <c r="AD140" s="4">
        <v>0</v>
      </c>
      <c r="AE140" s="4">
        <v>5938</v>
      </c>
      <c r="AF140" s="1"/>
      <c r="AG140" s="1"/>
      <c r="AH140" s="1"/>
      <c r="AI140" s="1" t="s">
        <v>2327</v>
      </c>
      <c r="AJ140" s="6">
        <v>1965.3000000000022</v>
      </c>
      <c r="AK140" s="6">
        <v>1237.0900000000001</v>
      </c>
      <c r="AL140" s="1" t="s">
        <v>2408</v>
      </c>
    </row>
    <row r="141" spans="1:38" hidden="1" x14ac:dyDescent="0.25">
      <c r="A141" s="2">
        <v>221</v>
      </c>
      <c r="B141" s="1" t="s">
        <v>179</v>
      </c>
      <c r="C141" s="1" t="s">
        <v>181</v>
      </c>
      <c r="D141" s="1" t="s">
        <v>2062</v>
      </c>
      <c r="E141" s="1" t="s">
        <v>2063</v>
      </c>
      <c r="F141" s="3">
        <v>45596</v>
      </c>
      <c r="G141" s="3">
        <v>45014</v>
      </c>
      <c r="H141" s="3">
        <v>45379</v>
      </c>
      <c r="I141" s="1" t="s">
        <v>2402</v>
      </c>
      <c r="J141" s="1" t="s">
        <v>2403</v>
      </c>
      <c r="K141" s="1"/>
      <c r="L141" s="1" t="s">
        <v>2404</v>
      </c>
      <c r="M141" s="1" t="s">
        <v>2405</v>
      </c>
      <c r="N141" s="1" t="s">
        <v>2406</v>
      </c>
      <c r="O141" s="1" t="s">
        <v>2407</v>
      </c>
      <c r="P141" s="1" t="s">
        <v>2165</v>
      </c>
      <c r="Q141" s="1"/>
      <c r="R141" s="1"/>
      <c r="S141" s="1" t="s">
        <v>2072</v>
      </c>
      <c r="T141" s="1" t="s">
        <v>2111</v>
      </c>
      <c r="U141" s="4">
        <v>-1</v>
      </c>
      <c r="V141" s="4">
        <v>-5879</v>
      </c>
      <c r="W141" s="4">
        <v>-59</v>
      </c>
      <c r="X141" s="4">
        <v>0</v>
      </c>
      <c r="Y141" s="4">
        <v>0</v>
      </c>
      <c r="Z141" s="5">
        <v>-5938</v>
      </c>
      <c r="AA141" s="5">
        <v>0</v>
      </c>
      <c r="AB141" s="6">
        <v>0</v>
      </c>
      <c r="AC141" s="4">
        <v>-5938</v>
      </c>
      <c r="AD141" s="4">
        <v>0</v>
      </c>
      <c r="AE141" s="4">
        <v>-5938</v>
      </c>
      <c r="AF141" s="1"/>
      <c r="AG141" s="1"/>
      <c r="AH141" s="1"/>
      <c r="AI141" s="1" t="s">
        <v>2327</v>
      </c>
      <c r="AJ141" s="1"/>
      <c r="AK141" s="1"/>
      <c r="AL141" s="1"/>
    </row>
    <row r="142" spans="1:38" hidden="1" x14ac:dyDescent="0.25">
      <c r="A142" s="2">
        <v>222</v>
      </c>
      <c r="B142" s="1" t="s">
        <v>182</v>
      </c>
      <c r="C142" s="1" t="s">
        <v>183</v>
      </c>
      <c r="D142" s="1" t="s">
        <v>2062</v>
      </c>
      <c r="E142" s="1" t="s">
        <v>2063</v>
      </c>
      <c r="F142" s="3">
        <v>45384</v>
      </c>
      <c r="G142" s="3">
        <v>45016</v>
      </c>
      <c r="H142" s="3">
        <v>45381</v>
      </c>
      <c r="I142" s="1" t="s">
        <v>2409</v>
      </c>
      <c r="J142" s="1" t="s">
        <v>2410</v>
      </c>
      <c r="K142" s="1"/>
      <c r="L142" s="1" t="s">
        <v>2370</v>
      </c>
      <c r="M142" s="1" t="s">
        <v>2411</v>
      </c>
      <c r="N142" s="1" t="s">
        <v>2412</v>
      </c>
      <c r="O142" s="1" t="s">
        <v>2413</v>
      </c>
      <c r="P142" s="1" t="s">
        <v>2070</v>
      </c>
      <c r="Q142" s="1"/>
      <c r="R142" s="1"/>
      <c r="S142" s="1" t="s">
        <v>2072</v>
      </c>
      <c r="T142" s="1" t="s">
        <v>2073</v>
      </c>
      <c r="U142" s="4">
        <v>4000000</v>
      </c>
      <c r="V142" s="4">
        <v>5189</v>
      </c>
      <c r="W142" s="4">
        <v>52</v>
      </c>
      <c r="X142" s="4">
        <v>674</v>
      </c>
      <c r="Y142" s="4">
        <v>0</v>
      </c>
      <c r="Z142" s="5">
        <v>5915</v>
      </c>
      <c r="AA142" s="5">
        <v>0</v>
      </c>
      <c r="AB142" s="6">
        <v>0</v>
      </c>
      <c r="AC142" s="4">
        <v>5915</v>
      </c>
      <c r="AD142" s="4">
        <v>0</v>
      </c>
      <c r="AE142" s="4">
        <v>5915</v>
      </c>
      <c r="AF142" s="1"/>
      <c r="AG142" s="1"/>
      <c r="AH142" s="1"/>
      <c r="AI142" s="1" t="s">
        <v>2414</v>
      </c>
      <c r="AJ142" s="6">
        <v>1768.9200000000028</v>
      </c>
      <c r="AK142" s="6">
        <v>1078.44</v>
      </c>
      <c r="AL142" s="1"/>
    </row>
    <row r="143" spans="1:38" hidden="1" x14ac:dyDescent="0.25">
      <c r="A143" s="2">
        <v>223</v>
      </c>
      <c r="B143" s="1" t="s">
        <v>182</v>
      </c>
      <c r="C143" s="1" t="s">
        <v>184</v>
      </c>
      <c r="D143" s="1" t="s">
        <v>2062</v>
      </c>
      <c r="E143" s="1" t="s">
        <v>2063</v>
      </c>
      <c r="F143" s="3">
        <v>45655</v>
      </c>
      <c r="G143" s="3">
        <v>45016</v>
      </c>
      <c r="H143" s="3">
        <v>45381</v>
      </c>
      <c r="I143" s="1" t="s">
        <v>2409</v>
      </c>
      <c r="J143" s="1" t="s">
        <v>2410</v>
      </c>
      <c r="K143" s="1"/>
      <c r="L143" s="1" t="s">
        <v>2370</v>
      </c>
      <c r="M143" s="1" t="s">
        <v>2411</v>
      </c>
      <c r="N143" s="1" t="s">
        <v>2412</v>
      </c>
      <c r="O143" s="1" t="s">
        <v>2413</v>
      </c>
      <c r="P143" s="1" t="s">
        <v>2070</v>
      </c>
      <c r="Q143" s="1"/>
      <c r="R143" s="1"/>
      <c r="S143" s="1" t="s">
        <v>2072</v>
      </c>
      <c r="T143" s="1" t="s">
        <v>2073</v>
      </c>
      <c r="U143" s="4">
        <v>-1</v>
      </c>
      <c r="V143" s="4">
        <v>-5856</v>
      </c>
      <c r="W143" s="4">
        <v>-59</v>
      </c>
      <c r="X143" s="4">
        <v>0</v>
      </c>
      <c r="Y143" s="4">
        <v>0</v>
      </c>
      <c r="Z143" s="5">
        <v>-5915</v>
      </c>
      <c r="AA143" s="5">
        <v>0</v>
      </c>
      <c r="AB143" s="6">
        <v>0</v>
      </c>
      <c r="AC143" s="4">
        <v>-5915</v>
      </c>
      <c r="AD143" s="4">
        <v>0</v>
      </c>
      <c r="AE143" s="4">
        <v>-5915</v>
      </c>
      <c r="AF143" s="1"/>
      <c r="AG143" s="1"/>
      <c r="AH143" s="1"/>
      <c r="AI143" s="1" t="s">
        <v>2414</v>
      </c>
      <c r="AJ143" s="1"/>
      <c r="AK143" s="1"/>
      <c r="AL143" s="1"/>
    </row>
    <row r="144" spans="1:38" x14ac:dyDescent="0.25">
      <c r="A144" s="2">
        <v>224</v>
      </c>
      <c r="B144" s="1" t="s">
        <v>185</v>
      </c>
      <c r="C144" s="1"/>
      <c r="D144" s="1" t="s">
        <v>2062</v>
      </c>
      <c r="E144" s="1" t="s">
        <v>2063</v>
      </c>
      <c r="F144" s="3">
        <v>45021</v>
      </c>
      <c r="G144" s="3">
        <v>45020</v>
      </c>
      <c r="H144" s="3">
        <v>45385</v>
      </c>
      <c r="I144" s="1" t="s">
        <v>2415</v>
      </c>
      <c r="J144" s="1" t="s">
        <v>2416</v>
      </c>
      <c r="K144" s="1"/>
      <c r="L144" s="1" t="s">
        <v>2213</v>
      </c>
      <c r="M144" s="1" t="s">
        <v>2417</v>
      </c>
      <c r="N144" s="1" t="s">
        <v>2418</v>
      </c>
      <c r="O144" s="1" t="s">
        <v>2419</v>
      </c>
      <c r="P144" s="1" t="s">
        <v>2103</v>
      </c>
      <c r="Q144" s="1"/>
      <c r="R144" s="1"/>
      <c r="S144" s="1" t="s">
        <v>2072</v>
      </c>
      <c r="T144" s="1" t="s">
        <v>2073</v>
      </c>
      <c r="U144" s="4">
        <v>2000000</v>
      </c>
      <c r="V144" s="4">
        <v>4343</v>
      </c>
      <c r="W144" s="4">
        <v>43</v>
      </c>
      <c r="X144" s="4">
        <v>564</v>
      </c>
      <c r="Y144" s="4">
        <v>50</v>
      </c>
      <c r="Z144" s="5">
        <v>5000</v>
      </c>
      <c r="AA144" s="5">
        <v>5165</v>
      </c>
      <c r="AB144" s="6">
        <v>0</v>
      </c>
      <c r="AC144" s="4">
        <v>-165</v>
      </c>
      <c r="AD144" s="4">
        <v>0</v>
      </c>
      <c r="AE144" s="4">
        <v>-165</v>
      </c>
      <c r="AF144" s="1"/>
      <c r="AG144" s="1"/>
      <c r="AH144" s="1"/>
      <c r="AI144" s="1" t="s">
        <v>2304</v>
      </c>
      <c r="AJ144" s="1"/>
      <c r="AK144" s="1"/>
      <c r="AL144" s="1" t="s">
        <v>2420</v>
      </c>
    </row>
    <row r="145" spans="1:38" hidden="1" x14ac:dyDescent="0.25">
      <c r="A145" s="2">
        <v>225</v>
      </c>
      <c r="B145" s="1" t="s">
        <v>185</v>
      </c>
      <c r="C145" s="1" t="s">
        <v>186</v>
      </c>
      <c r="D145" s="1" t="s">
        <v>2062</v>
      </c>
      <c r="E145" s="1" t="s">
        <v>2063</v>
      </c>
      <c r="F145" s="3">
        <v>45386</v>
      </c>
      <c r="G145" s="3">
        <v>45020</v>
      </c>
      <c r="H145" s="3">
        <v>45385</v>
      </c>
      <c r="I145" s="1" t="s">
        <v>2415</v>
      </c>
      <c r="J145" s="1" t="s">
        <v>2416</v>
      </c>
      <c r="K145" s="1"/>
      <c r="L145" s="1" t="s">
        <v>2213</v>
      </c>
      <c r="M145" s="1" t="s">
        <v>2417</v>
      </c>
      <c r="N145" s="1" t="s">
        <v>2418</v>
      </c>
      <c r="O145" s="1" t="s">
        <v>2419</v>
      </c>
      <c r="P145" s="1" t="s">
        <v>2103</v>
      </c>
      <c r="Q145" s="1"/>
      <c r="R145" s="1"/>
      <c r="S145" s="1" t="s">
        <v>2072</v>
      </c>
      <c r="T145" s="1" t="s">
        <v>2073</v>
      </c>
      <c r="U145" s="4">
        <v>2000000</v>
      </c>
      <c r="V145" s="4">
        <v>-274</v>
      </c>
      <c r="W145" s="4">
        <v>-2</v>
      </c>
      <c r="X145" s="4">
        <v>441</v>
      </c>
      <c r="Y145" s="4">
        <v>0</v>
      </c>
      <c r="Z145" s="5">
        <v>165</v>
      </c>
      <c r="AA145" s="5">
        <v>0</v>
      </c>
      <c r="AB145" s="6">
        <v>0</v>
      </c>
      <c r="AC145" s="4">
        <v>165</v>
      </c>
      <c r="AD145" s="4">
        <v>0</v>
      </c>
      <c r="AE145" s="4">
        <v>165</v>
      </c>
      <c r="AF145" s="1"/>
      <c r="AG145" s="1"/>
      <c r="AH145" s="1"/>
      <c r="AI145" s="1" t="s">
        <v>2304</v>
      </c>
      <c r="AJ145" s="6">
        <v>60.33</v>
      </c>
      <c r="AK145" s="6">
        <v>60.33</v>
      </c>
      <c r="AL145" s="1"/>
    </row>
    <row r="146" spans="1:38" hidden="1" x14ac:dyDescent="0.25">
      <c r="A146" s="2">
        <v>226</v>
      </c>
      <c r="B146" s="1" t="s">
        <v>187</v>
      </c>
      <c r="C146" s="1" t="s">
        <v>188</v>
      </c>
      <c r="D146" s="1" t="s">
        <v>2062</v>
      </c>
      <c r="E146" s="1" t="s">
        <v>2063</v>
      </c>
      <c r="F146" s="3">
        <v>45386</v>
      </c>
      <c r="G146" s="3">
        <v>45020</v>
      </c>
      <c r="H146" s="3">
        <v>45385</v>
      </c>
      <c r="I146" s="1" t="s">
        <v>2421</v>
      </c>
      <c r="J146" s="1" t="s">
        <v>2422</v>
      </c>
      <c r="K146" s="1"/>
      <c r="L146" s="1" t="s">
        <v>2322</v>
      </c>
      <c r="M146" s="1" t="s">
        <v>2423</v>
      </c>
      <c r="N146" s="1" t="s">
        <v>2424</v>
      </c>
      <c r="O146" s="1" t="s">
        <v>2425</v>
      </c>
      <c r="P146" s="1" t="s">
        <v>2231</v>
      </c>
      <c r="Q146" s="1" t="s">
        <v>2426</v>
      </c>
      <c r="R146" s="1"/>
      <c r="S146" s="1" t="s">
        <v>2072</v>
      </c>
      <c r="T146" s="1" t="s">
        <v>2073</v>
      </c>
      <c r="U146" s="4">
        <v>2400000</v>
      </c>
      <c r="V146" s="4">
        <v>1834</v>
      </c>
      <c r="W146" s="4">
        <v>19</v>
      </c>
      <c r="X146" s="4">
        <v>239</v>
      </c>
      <c r="Y146" s="4">
        <v>0</v>
      </c>
      <c r="Z146" s="5">
        <v>2092</v>
      </c>
      <c r="AA146" s="5">
        <v>0</v>
      </c>
      <c r="AB146" s="6">
        <v>0</v>
      </c>
      <c r="AC146" s="4">
        <v>2092</v>
      </c>
      <c r="AD146" s="4">
        <v>0</v>
      </c>
      <c r="AE146" s="4">
        <v>2092</v>
      </c>
      <c r="AF146" s="1"/>
      <c r="AG146" s="1"/>
      <c r="AH146" s="1"/>
      <c r="AI146" s="1" t="s">
        <v>2427</v>
      </c>
      <c r="AJ146" s="6">
        <v>910.52000000000112</v>
      </c>
      <c r="AK146" s="6">
        <v>636.51</v>
      </c>
      <c r="AL146" s="1"/>
    </row>
    <row r="147" spans="1:38" hidden="1" x14ac:dyDescent="0.25">
      <c r="A147" s="2">
        <v>227</v>
      </c>
      <c r="B147" s="1" t="s">
        <v>187</v>
      </c>
      <c r="C147" s="1" t="s">
        <v>189</v>
      </c>
      <c r="D147" s="1" t="s">
        <v>2062</v>
      </c>
      <c r="E147" s="1" t="s">
        <v>2063</v>
      </c>
      <c r="F147" s="3">
        <v>45596</v>
      </c>
      <c r="G147" s="3">
        <v>45020</v>
      </c>
      <c r="H147" s="3">
        <v>45385</v>
      </c>
      <c r="I147" s="1" t="s">
        <v>2421</v>
      </c>
      <c r="J147" s="1" t="s">
        <v>2422</v>
      </c>
      <c r="K147" s="1"/>
      <c r="L147" s="1" t="s">
        <v>2322</v>
      </c>
      <c r="M147" s="1" t="s">
        <v>2423</v>
      </c>
      <c r="N147" s="1" t="s">
        <v>2424</v>
      </c>
      <c r="O147" s="1" t="s">
        <v>2425</v>
      </c>
      <c r="P147" s="1" t="s">
        <v>2231</v>
      </c>
      <c r="Q147" s="1" t="s">
        <v>2426</v>
      </c>
      <c r="R147" s="1"/>
      <c r="S147" s="1" t="s">
        <v>2072</v>
      </c>
      <c r="T147" s="1" t="s">
        <v>2073</v>
      </c>
      <c r="U147" s="4">
        <v>-1</v>
      </c>
      <c r="V147" s="4">
        <v>-2071</v>
      </c>
      <c r="W147" s="4">
        <v>-21</v>
      </c>
      <c r="X147" s="4">
        <v>0</v>
      </c>
      <c r="Y147" s="4">
        <v>0</v>
      </c>
      <c r="Z147" s="5">
        <v>-2092</v>
      </c>
      <c r="AA147" s="5">
        <v>0</v>
      </c>
      <c r="AB147" s="6">
        <v>0</v>
      </c>
      <c r="AC147" s="4">
        <v>-2092</v>
      </c>
      <c r="AD147" s="4">
        <v>0</v>
      </c>
      <c r="AE147" s="4">
        <v>-2092</v>
      </c>
      <c r="AF147" s="1"/>
      <c r="AG147" s="1"/>
      <c r="AH147" s="1"/>
      <c r="AI147" s="1" t="s">
        <v>2427</v>
      </c>
      <c r="AJ147" s="1"/>
      <c r="AK147" s="1"/>
      <c r="AL147" s="1"/>
    </row>
    <row r="148" spans="1:38" hidden="1" x14ac:dyDescent="0.25">
      <c r="A148" s="2">
        <v>228</v>
      </c>
      <c r="B148" s="1" t="s">
        <v>190</v>
      </c>
      <c r="C148" s="1" t="s">
        <v>191</v>
      </c>
      <c r="D148" s="1" t="s">
        <v>2062</v>
      </c>
      <c r="E148" s="1" t="s">
        <v>2063</v>
      </c>
      <c r="F148" s="3">
        <v>45384</v>
      </c>
      <c r="G148" s="3">
        <v>45016</v>
      </c>
      <c r="H148" s="3">
        <v>45381</v>
      </c>
      <c r="I148" s="1" t="s">
        <v>2428</v>
      </c>
      <c r="J148" s="1" t="s">
        <v>2429</v>
      </c>
      <c r="K148" s="1"/>
      <c r="L148" s="1" t="s">
        <v>2430</v>
      </c>
      <c r="M148" s="1" t="s">
        <v>2431</v>
      </c>
      <c r="N148" s="1" t="s">
        <v>2432</v>
      </c>
      <c r="O148" s="1" t="s">
        <v>2433</v>
      </c>
      <c r="P148" s="1" t="s">
        <v>2434</v>
      </c>
      <c r="Q148" s="1"/>
      <c r="R148" s="1"/>
      <c r="S148" s="1" t="s">
        <v>2072</v>
      </c>
      <c r="T148" s="1" t="s">
        <v>2073</v>
      </c>
      <c r="U148" s="4">
        <v>1000000</v>
      </c>
      <c r="V148" s="4">
        <v>1300</v>
      </c>
      <c r="W148" s="4">
        <v>13</v>
      </c>
      <c r="X148" s="4">
        <v>169</v>
      </c>
      <c r="Y148" s="4">
        <v>0</v>
      </c>
      <c r="Z148" s="5">
        <v>1482</v>
      </c>
      <c r="AA148" s="5">
        <v>0</v>
      </c>
      <c r="AB148" s="6">
        <v>0</v>
      </c>
      <c r="AC148" s="4">
        <v>1482</v>
      </c>
      <c r="AD148" s="4">
        <v>0</v>
      </c>
      <c r="AE148" s="4">
        <v>1482</v>
      </c>
      <c r="AF148" s="1"/>
      <c r="AG148" s="1"/>
      <c r="AH148" s="1"/>
      <c r="AI148" s="1" t="s">
        <v>2327</v>
      </c>
      <c r="AJ148" s="6">
        <v>1986.7600000000127</v>
      </c>
      <c r="AK148" s="6">
        <v>1077.67</v>
      </c>
      <c r="AL148" s="1"/>
    </row>
    <row r="149" spans="1:38" hidden="1" x14ac:dyDescent="0.25">
      <c r="A149" s="2">
        <v>229</v>
      </c>
      <c r="B149" s="1" t="s">
        <v>190</v>
      </c>
      <c r="C149" s="1" t="s">
        <v>192</v>
      </c>
      <c r="D149" s="1" t="s">
        <v>2062</v>
      </c>
      <c r="E149" s="1" t="s">
        <v>2063</v>
      </c>
      <c r="F149" s="3">
        <v>45655</v>
      </c>
      <c r="G149" s="3">
        <v>45016</v>
      </c>
      <c r="H149" s="3">
        <v>45381</v>
      </c>
      <c r="I149" s="1" t="s">
        <v>2428</v>
      </c>
      <c r="J149" s="1" t="s">
        <v>2429</v>
      </c>
      <c r="K149" s="1"/>
      <c r="L149" s="1" t="s">
        <v>2430</v>
      </c>
      <c r="M149" s="1" t="s">
        <v>2431</v>
      </c>
      <c r="N149" s="1" t="s">
        <v>2432</v>
      </c>
      <c r="O149" s="1" t="s">
        <v>2433</v>
      </c>
      <c r="P149" s="1" t="s">
        <v>2434</v>
      </c>
      <c r="Q149" s="1"/>
      <c r="R149" s="1"/>
      <c r="S149" s="1" t="s">
        <v>2072</v>
      </c>
      <c r="T149" s="1" t="s">
        <v>2073</v>
      </c>
      <c r="U149" s="4">
        <v>-1</v>
      </c>
      <c r="V149" s="4">
        <v>-1467</v>
      </c>
      <c r="W149" s="4">
        <v>-15</v>
      </c>
      <c r="X149" s="4">
        <v>0</v>
      </c>
      <c r="Y149" s="4">
        <v>0</v>
      </c>
      <c r="Z149" s="5">
        <v>-1482</v>
      </c>
      <c r="AA149" s="5">
        <v>0</v>
      </c>
      <c r="AB149" s="6">
        <v>0</v>
      </c>
      <c r="AC149" s="4">
        <v>-1482</v>
      </c>
      <c r="AD149" s="4">
        <v>0</v>
      </c>
      <c r="AE149" s="4">
        <v>-1482</v>
      </c>
      <c r="AF149" s="1"/>
      <c r="AG149" s="1"/>
      <c r="AH149" s="1"/>
      <c r="AI149" s="1" t="s">
        <v>2327</v>
      </c>
      <c r="AJ149" s="1"/>
      <c r="AK149" s="1"/>
      <c r="AL149" s="1"/>
    </row>
    <row r="150" spans="1:38" hidden="1" x14ac:dyDescent="0.25">
      <c r="A150" s="2">
        <v>232</v>
      </c>
      <c r="B150" s="1" t="s">
        <v>193</v>
      </c>
      <c r="C150" s="1" t="s">
        <v>194</v>
      </c>
      <c r="D150" s="1" t="s">
        <v>2062</v>
      </c>
      <c r="E150" s="1" t="s">
        <v>2063</v>
      </c>
      <c r="F150" s="3">
        <v>45390</v>
      </c>
      <c r="G150" s="3">
        <v>45021</v>
      </c>
      <c r="H150" s="3">
        <v>45386</v>
      </c>
      <c r="I150" s="1" t="s">
        <v>2435</v>
      </c>
      <c r="J150" s="1" t="s">
        <v>2436</v>
      </c>
      <c r="K150" s="1"/>
      <c r="L150" s="1" t="s">
        <v>2437</v>
      </c>
      <c r="M150" s="1" t="s">
        <v>2438</v>
      </c>
      <c r="N150" s="1" t="s">
        <v>2439</v>
      </c>
      <c r="O150" s="1" t="s">
        <v>2440</v>
      </c>
      <c r="P150" s="1" t="s">
        <v>2247</v>
      </c>
      <c r="Q150" s="1"/>
      <c r="R150" s="1"/>
      <c r="S150" s="1" t="s">
        <v>2072</v>
      </c>
      <c r="T150" s="1" t="s">
        <v>2073</v>
      </c>
      <c r="U150" s="4">
        <v>2700000</v>
      </c>
      <c r="V150" s="4">
        <v>1461</v>
      </c>
      <c r="W150" s="4">
        <v>15</v>
      </c>
      <c r="X150" s="4">
        <v>190</v>
      </c>
      <c r="Y150" s="4">
        <v>0</v>
      </c>
      <c r="Z150" s="5">
        <v>1666</v>
      </c>
      <c r="AA150" s="5">
        <v>0</v>
      </c>
      <c r="AB150" s="6">
        <v>0</v>
      </c>
      <c r="AC150" s="4">
        <v>1666</v>
      </c>
      <c r="AD150" s="4">
        <v>0</v>
      </c>
      <c r="AE150" s="4">
        <v>1666</v>
      </c>
      <c r="AF150" s="1"/>
      <c r="AG150" s="1"/>
      <c r="AH150" s="1"/>
      <c r="AI150" s="1" t="s">
        <v>2327</v>
      </c>
      <c r="AJ150" s="6">
        <v>1650.1900000000578</v>
      </c>
      <c r="AK150" s="6">
        <v>451.24</v>
      </c>
      <c r="AL150" s="1"/>
    </row>
    <row r="151" spans="1:38" hidden="1" x14ac:dyDescent="0.25">
      <c r="A151" s="2">
        <v>233</v>
      </c>
      <c r="B151" s="1" t="s">
        <v>193</v>
      </c>
      <c r="C151" s="1" t="s">
        <v>195</v>
      </c>
      <c r="D151" s="1" t="s">
        <v>2062</v>
      </c>
      <c r="E151" s="1" t="s">
        <v>2063</v>
      </c>
      <c r="F151" s="3">
        <v>45390</v>
      </c>
      <c r="G151" s="3">
        <v>45021</v>
      </c>
      <c r="H151" s="3">
        <v>45386</v>
      </c>
      <c r="I151" s="1" t="s">
        <v>2435</v>
      </c>
      <c r="J151" s="1" t="s">
        <v>2436</v>
      </c>
      <c r="K151" s="1"/>
      <c r="L151" s="1" t="s">
        <v>2437</v>
      </c>
      <c r="M151" s="1" t="s">
        <v>2438</v>
      </c>
      <c r="N151" s="1" t="s">
        <v>2439</v>
      </c>
      <c r="O151" s="1" t="s">
        <v>2440</v>
      </c>
      <c r="P151" s="1" t="s">
        <v>2247</v>
      </c>
      <c r="Q151" s="1"/>
      <c r="R151" s="1"/>
      <c r="S151" s="1" t="s">
        <v>2072</v>
      </c>
      <c r="T151" s="1" t="s">
        <v>2073</v>
      </c>
      <c r="U151" s="4">
        <v>2700000</v>
      </c>
      <c r="V151" s="4">
        <v>1173</v>
      </c>
      <c r="W151" s="4">
        <v>12</v>
      </c>
      <c r="X151" s="4">
        <v>152</v>
      </c>
      <c r="Y151" s="4">
        <v>0</v>
      </c>
      <c r="Z151" s="5">
        <v>1337</v>
      </c>
      <c r="AA151" s="5">
        <v>0</v>
      </c>
      <c r="AB151" s="6">
        <v>0</v>
      </c>
      <c r="AC151" s="4">
        <v>1337</v>
      </c>
      <c r="AD151" s="4">
        <v>0</v>
      </c>
      <c r="AE151" s="4">
        <v>1337</v>
      </c>
      <c r="AF151" s="1"/>
      <c r="AG151" s="1"/>
      <c r="AH151" s="1"/>
      <c r="AI151" s="1" t="s">
        <v>2327</v>
      </c>
      <c r="AJ151" s="6">
        <v>1513.7000000000328</v>
      </c>
      <c r="AK151" s="6">
        <v>362.38</v>
      </c>
      <c r="AL151" s="1"/>
    </row>
    <row r="152" spans="1:38" hidden="1" x14ac:dyDescent="0.25">
      <c r="A152" s="2">
        <v>234</v>
      </c>
      <c r="B152" s="1" t="s">
        <v>193</v>
      </c>
      <c r="C152" s="1" t="s">
        <v>196</v>
      </c>
      <c r="D152" s="1" t="s">
        <v>2062</v>
      </c>
      <c r="E152" s="1" t="s">
        <v>2063</v>
      </c>
      <c r="F152" s="3">
        <v>45655</v>
      </c>
      <c r="G152" s="3">
        <v>45021</v>
      </c>
      <c r="H152" s="3">
        <v>45386</v>
      </c>
      <c r="I152" s="1" t="s">
        <v>2435</v>
      </c>
      <c r="J152" s="1" t="s">
        <v>2436</v>
      </c>
      <c r="K152" s="1"/>
      <c r="L152" s="1" t="s">
        <v>2437</v>
      </c>
      <c r="M152" s="1" t="s">
        <v>2438</v>
      </c>
      <c r="N152" s="1" t="s">
        <v>2439</v>
      </c>
      <c r="O152" s="1" t="s">
        <v>2440</v>
      </c>
      <c r="P152" s="1" t="s">
        <v>2247</v>
      </c>
      <c r="Q152" s="1"/>
      <c r="R152" s="1"/>
      <c r="S152" s="1" t="s">
        <v>2072</v>
      </c>
      <c r="T152" s="1" t="s">
        <v>2073</v>
      </c>
      <c r="U152" s="4">
        <v>-1</v>
      </c>
      <c r="V152" s="4">
        <v>-2973</v>
      </c>
      <c r="W152" s="4">
        <v>-30</v>
      </c>
      <c r="X152" s="4">
        <v>0</v>
      </c>
      <c r="Y152" s="4">
        <v>0</v>
      </c>
      <c r="Z152" s="5">
        <v>-3003</v>
      </c>
      <c r="AA152" s="5">
        <v>0</v>
      </c>
      <c r="AB152" s="6">
        <v>0</v>
      </c>
      <c r="AC152" s="4">
        <v>-3003</v>
      </c>
      <c r="AD152" s="4">
        <v>0</v>
      </c>
      <c r="AE152" s="4">
        <v>-3003</v>
      </c>
      <c r="AF152" s="1"/>
      <c r="AG152" s="1"/>
      <c r="AH152" s="1"/>
      <c r="AI152" s="1" t="s">
        <v>2327</v>
      </c>
      <c r="AJ152" s="1"/>
      <c r="AK152" s="1"/>
      <c r="AL152" s="1"/>
    </row>
    <row r="153" spans="1:38" x14ac:dyDescent="0.25">
      <c r="A153" s="2">
        <v>236</v>
      </c>
      <c r="B153" s="1" t="s">
        <v>197</v>
      </c>
      <c r="C153" s="1"/>
      <c r="D153" s="1" t="s">
        <v>2062</v>
      </c>
      <c r="E153" s="1" t="s">
        <v>2063</v>
      </c>
      <c r="F153" s="3">
        <v>45027</v>
      </c>
      <c r="G153" s="3">
        <v>45022</v>
      </c>
      <c r="H153" s="3">
        <v>45387</v>
      </c>
      <c r="I153" s="1" t="s">
        <v>2441</v>
      </c>
      <c r="J153" s="1" t="s">
        <v>2442</v>
      </c>
      <c r="K153" s="1"/>
      <c r="L153" s="1" t="s">
        <v>2443</v>
      </c>
      <c r="M153" s="1" t="s">
        <v>2444</v>
      </c>
      <c r="N153" s="1" t="s">
        <v>2445</v>
      </c>
      <c r="O153" s="1" t="s">
        <v>2446</v>
      </c>
      <c r="P153" s="1" t="s">
        <v>2182</v>
      </c>
      <c r="Q153" s="1"/>
      <c r="R153" s="1"/>
      <c r="S153" s="1" t="s">
        <v>2072</v>
      </c>
      <c r="T153" s="1" t="s">
        <v>2073</v>
      </c>
      <c r="U153" s="4">
        <v>4960000</v>
      </c>
      <c r="V153" s="4">
        <v>4343</v>
      </c>
      <c r="W153" s="4">
        <v>43</v>
      </c>
      <c r="X153" s="4">
        <v>564</v>
      </c>
      <c r="Y153" s="4">
        <v>50</v>
      </c>
      <c r="Z153" s="5">
        <v>5000</v>
      </c>
      <c r="AA153" s="5">
        <v>5362</v>
      </c>
      <c r="AB153" s="6">
        <v>0</v>
      </c>
      <c r="AC153" s="4">
        <v>-362</v>
      </c>
      <c r="AD153" s="4">
        <v>0</v>
      </c>
      <c r="AE153" s="4">
        <v>-362</v>
      </c>
      <c r="AF153" s="1"/>
      <c r="AG153" s="1"/>
      <c r="AH153" s="1"/>
      <c r="AI153" s="1" t="s">
        <v>2327</v>
      </c>
      <c r="AJ153" s="1"/>
      <c r="AK153" s="1"/>
      <c r="AL153" s="1" t="s">
        <v>2447</v>
      </c>
    </row>
    <row r="154" spans="1:38" hidden="1" x14ac:dyDescent="0.25">
      <c r="A154" s="2">
        <v>237</v>
      </c>
      <c r="B154" s="1" t="s">
        <v>197</v>
      </c>
      <c r="C154" s="1" t="s">
        <v>198</v>
      </c>
      <c r="D154" s="1" t="s">
        <v>2062</v>
      </c>
      <c r="E154" s="1" t="s">
        <v>2063</v>
      </c>
      <c r="F154" s="3">
        <v>45390</v>
      </c>
      <c r="G154" s="3">
        <v>45022</v>
      </c>
      <c r="H154" s="3">
        <v>45387</v>
      </c>
      <c r="I154" s="1" t="s">
        <v>2441</v>
      </c>
      <c r="J154" s="1" t="s">
        <v>2442</v>
      </c>
      <c r="K154" s="1"/>
      <c r="L154" s="1" t="s">
        <v>2443</v>
      </c>
      <c r="M154" s="1" t="s">
        <v>2444</v>
      </c>
      <c r="N154" s="1" t="s">
        <v>2445</v>
      </c>
      <c r="O154" s="1" t="s">
        <v>2446</v>
      </c>
      <c r="P154" s="1" t="s">
        <v>2182</v>
      </c>
      <c r="Q154" s="1"/>
      <c r="R154" s="1"/>
      <c r="S154" s="1" t="s">
        <v>2072</v>
      </c>
      <c r="T154" s="1" t="s">
        <v>2073</v>
      </c>
      <c r="U154" s="4">
        <v>4960000</v>
      </c>
      <c r="V154" s="4">
        <v>317</v>
      </c>
      <c r="W154" s="4">
        <v>4</v>
      </c>
      <c r="X154" s="4">
        <v>41</v>
      </c>
      <c r="Y154" s="4">
        <v>0</v>
      </c>
      <c r="Z154" s="5">
        <v>362</v>
      </c>
      <c r="AA154" s="5">
        <v>0</v>
      </c>
      <c r="AB154" s="6">
        <v>0</v>
      </c>
      <c r="AC154" s="4">
        <v>362</v>
      </c>
      <c r="AD154" s="4">
        <v>0</v>
      </c>
      <c r="AE154" s="4">
        <v>362</v>
      </c>
      <c r="AF154" s="1"/>
      <c r="AG154" s="1"/>
      <c r="AH154" s="1"/>
      <c r="AI154" s="1" t="s">
        <v>2327</v>
      </c>
      <c r="AJ154" s="6">
        <v>53.209999999999994</v>
      </c>
      <c r="AK154" s="6">
        <v>53.209999999999994</v>
      </c>
      <c r="AL154" s="1"/>
    </row>
    <row r="155" spans="1:38" hidden="1" x14ac:dyDescent="0.25">
      <c r="A155" s="2">
        <v>238</v>
      </c>
      <c r="B155" s="1" t="s">
        <v>199</v>
      </c>
      <c r="C155" s="1" t="s">
        <v>200</v>
      </c>
      <c r="D155" s="1" t="s">
        <v>2062</v>
      </c>
      <c r="E155" s="1" t="s">
        <v>2063</v>
      </c>
      <c r="F155" s="3">
        <v>45390</v>
      </c>
      <c r="G155" s="3">
        <v>45024</v>
      </c>
      <c r="H155" s="3">
        <v>45389</v>
      </c>
      <c r="I155" s="1" t="s">
        <v>2448</v>
      </c>
      <c r="J155" s="1" t="s">
        <v>2449</v>
      </c>
      <c r="K155" s="1"/>
      <c r="L155" s="1" t="s">
        <v>2450</v>
      </c>
      <c r="M155" s="1" t="s">
        <v>2451</v>
      </c>
      <c r="N155" s="1" t="s">
        <v>2452</v>
      </c>
      <c r="O155" s="1" t="s">
        <v>2453</v>
      </c>
      <c r="P155" s="1" t="s">
        <v>2095</v>
      </c>
      <c r="Q155" s="1"/>
      <c r="R155" s="1"/>
      <c r="S155" s="1" t="s">
        <v>2072</v>
      </c>
      <c r="T155" s="1" t="s">
        <v>2073</v>
      </c>
      <c r="U155" s="4">
        <v>3500000</v>
      </c>
      <c r="V155" s="4">
        <v>787</v>
      </c>
      <c r="W155" s="4">
        <v>8</v>
      </c>
      <c r="X155" s="4">
        <v>102</v>
      </c>
      <c r="Y155" s="4">
        <v>0</v>
      </c>
      <c r="Z155" s="5">
        <v>897</v>
      </c>
      <c r="AA155" s="5">
        <v>0</v>
      </c>
      <c r="AB155" s="6">
        <v>0</v>
      </c>
      <c r="AC155" s="4">
        <v>897</v>
      </c>
      <c r="AD155" s="4">
        <v>0</v>
      </c>
      <c r="AE155" s="4">
        <v>897</v>
      </c>
      <c r="AF155" s="1"/>
      <c r="AG155" s="1"/>
      <c r="AH155" s="1"/>
      <c r="AI155" s="1" t="s">
        <v>2327</v>
      </c>
      <c r="AJ155" s="6">
        <v>187.13</v>
      </c>
      <c r="AK155" s="6">
        <v>187.13</v>
      </c>
      <c r="AL155" s="1"/>
    </row>
    <row r="156" spans="1:38" hidden="1" x14ac:dyDescent="0.25">
      <c r="A156" s="2">
        <v>239</v>
      </c>
      <c r="B156" s="1" t="s">
        <v>199</v>
      </c>
      <c r="C156" s="1" t="s">
        <v>201</v>
      </c>
      <c r="D156" s="1" t="s">
        <v>2062</v>
      </c>
      <c r="E156" s="1" t="s">
        <v>2063</v>
      </c>
      <c r="F156" s="3">
        <v>45745</v>
      </c>
      <c r="G156" s="3">
        <v>45024</v>
      </c>
      <c r="H156" s="3">
        <v>45389</v>
      </c>
      <c r="I156" s="1" t="s">
        <v>2448</v>
      </c>
      <c r="J156" s="1" t="s">
        <v>2449</v>
      </c>
      <c r="K156" s="1"/>
      <c r="L156" s="1" t="s">
        <v>2450</v>
      </c>
      <c r="M156" s="1" t="s">
        <v>2451</v>
      </c>
      <c r="N156" s="1" t="s">
        <v>2452</v>
      </c>
      <c r="O156" s="1" t="s">
        <v>2453</v>
      </c>
      <c r="P156" s="1" t="s">
        <v>2095</v>
      </c>
      <c r="Q156" s="1"/>
      <c r="R156" s="1"/>
      <c r="S156" s="1" t="s">
        <v>2072</v>
      </c>
      <c r="T156" s="1" t="s">
        <v>2073</v>
      </c>
      <c r="U156" s="4">
        <v>-1</v>
      </c>
      <c r="V156" s="4">
        <v>-889</v>
      </c>
      <c r="W156" s="4">
        <v>-8</v>
      </c>
      <c r="X156" s="4">
        <v>0</v>
      </c>
      <c r="Y156" s="4">
        <v>0</v>
      </c>
      <c r="Z156" s="5">
        <v>-897</v>
      </c>
      <c r="AA156" s="5">
        <v>0</v>
      </c>
      <c r="AB156" s="6">
        <v>0</v>
      </c>
      <c r="AC156" s="4">
        <v>-897</v>
      </c>
      <c r="AD156" s="4">
        <v>0</v>
      </c>
      <c r="AE156" s="4">
        <v>-897</v>
      </c>
      <c r="AF156" s="1"/>
      <c r="AG156" s="1"/>
      <c r="AH156" s="1"/>
      <c r="AI156" s="1" t="s">
        <v>2327</v>
      </c>
      <c r="AJ156" s="1"/>
      <c r="AK156" s="1"/>
      <c r="AL156" s="1"/>
    </row>
    <row r="157" spans="1:38" hidden="1" x14ac:dyDescent="0.25">
      <c r="A157" s="2">
        <v>240</v>
      </c>
      <c r="B157" s="1" t="s">
        <v>202</v>
      </c>
      <c r="C157" s="1" t="s">
        <v>203</v>
      </c>
      <c r="D157" s="1" t="s">
        <v>2062</v>
      </c>
      <c r="E157" s="1" t="s">
        <v>2063</v>
      </c>
      <c r="F157" s="3">
        <v>45396</v>
      </c>
      <c r="G157" s="3">
        <v>45028</v>
      </c>
      <c r="H157" s="3">
        <v>45393</v>
      </c>
      <c r="I157" s="1" t="s">
        <v>2454</v>
      </c>
      <c r="J157" s="1" t="s">
        <v>2455</v>
      </c>
      <c r="K157" s="1"/>
      <c r="L157" s="1" t="s">
        <v>2456</v>
      </c>
      <c r="M157" s="1" t="s">
        <v>2457</v>
      </c>
      <c r="N157" s="1" t="s">
        <v>2458</v>
      </c>
      <c r="O157" s="1" t="s">
        <v>2459</v>
      </c>
      <c r="P157" s="1" t="s">
        <v>2247</v>
      </c>
      <c r="Q157" s="1"/>
      <c r="R157" s="1"/>
      <c r="S157" s="1" t="s">
        <v>2072</v>
      </c>
      <c r="T157" s="1" t="s">
        <v>2073</v>
      </c>
      <c r="U157" s="4">
        <v>8500000</v>
      </c>
      <c r="V157" s="4">
        <v>3435</v>
      </c>
      <c r="W157" s="4">
        <v>34</v>
      </c>
      <c r="X157" s="4">
        <v>446</v>
      </c>
      <c r="Y157" s="4">
        <v>0</v>
      </c>
      <c r="Z157" s="5">
        <v>3915</v>
      </c>
      <c r="AA157" s="5">
        <v>0</v>
      </c>
      <c r="AB157" s="6">
        <v>0</v>
      </c>
      <c r="AC157" s="4">
        <v>3915</v>
      </c>
      <c r="AD157" s="4">
        <v>0</v>
      </c>
      <c r="AE157" s="4">
        <v>3915</v>
      </c>
      <c r="AF157" s="1"/>
      <c r="AG157" s="1"/>
      <c r="AH157" s="1"/>
      <c r="AI157" s="1" t="s">
        <v>2333</v>
      </c>
      <c r="AJ157" s="6">
        <v>336.17000000000007</v>
      </c>
      <c r="AK157" s="6">
        <v>336.17000000000007</v>
      </c>
      <c r="AL157" s="1"/>
    </row>
    <row r="158" spans="1:38" hidden="1" x14ac:dyDescent="0.25">
      <c r="A158" s="2">
        <v>241</v>
      </c>
      <c r="B158" s="1" t="s">
        <v>202</v>
      </c>
      <c r="C158" s="1" t="s">
        <v>204</v>
      </c>
      <c r="D158" s="1" t="s">
        <v>2062</v>
      </c>
      <c r="E158" s="1" t="s">
        <v>2063</v>
      </c>
      <c r="F158" s="3">
        <v>45655</v>
      </c>
      <c r="G158" s="3">
        <v>45028</v>
      </c>
      <c r="H158" s="3">
        <v>45393</v>
      </c>
      <c r="I158" s="1" t="s">
        <v>2454</v>
      </c>
      <c r="J158" s="1" t="s">
        <v>2455</v>
      </c>
      <c r="K158" s="1"/>
      <c r="L158" s="1" t="s">
        <v>2456</v>
      </c>
      <c r="M158" s="1" t="s">
        <v>2457</v>
      </c>
      <c r="N158" s="1" t="s">
        <v>2458</v>
      </c>
      <c r="O158" s="1" t="s">
        <v>2459</v>
      </c>
      <c r="P158" s="1" t="s">
        <v>2247</v>
      </c>
      <c r="Q158" s="1"/>
      <c r="R158" s="1"/>
      <c r="S158" s="1" t="s">
        <v>2072</v>
      </c>
      <c r="T158" s="1" t="s">
        <v>2073</v>
      </c>
      <c r="U158" s="4">
        <v>-1</v>
      </c>
      <c r="V158" s="4">
        <v>-3876</v>
      </c>
      <c r="W158" s="4">
        <v>-39</v>
      </c>
      <c r="X158" s="4">
        <v>0</v>
      </c>
      <c r="Y158" s="4">
        <v>0</v>
      </c>
      <c r="Z158" s="5">
        <v>-3915</v>
      </c>
      <c r="AA158" s="5">
        <v>0</v>
      </c>
      <c r="AB158" s="6">
        <v>0</v>
      </c>
      <c r="AC158" s="4">
        <v>-3915</v>
      </c>
      <c r="AD158" s="4">
        <v>0</v>
      </c>
      <c r="AE158" s="4">
        <v>-3915</v>
      </c>
      <c r="AF158" s="1"/>
      <c r="AG158" s="1"/>
      <c r="AH158" s="1"/>
      <c r="AI158" s="1" t="s">
        <v>2333</v>
      </c>
      <c r="AJ158" s="1"/>
      <c r="AK158" s="1"/>
      <c r="AL158" s="1"/>
    </row>
    <row r="159" spans="1:38" x14ac:dyDescent="0.25">
      <c r="A159" s="2">
        <v>242</v>
      </c>
      <c r="B159" s="1" t="s">
        <v>205</v>
      </c>
      <c r="C159" s="1"/>
      <c r="D159" s="1" t="s">
        <v>2062</v>
      </c>
      <c r="E159" s="1" t="s">
        <v>2063</v>
      </c>
      <c r="F159" s="3">
        <v>45033</v>
      </c>
      <c r="G159" s="3">
        <v>45030</v>
      </c>
      <c r="H159" s="3">
        <v>45395</v>
      </c>
      <c r="I159" s="1" t="s">
        <v>2460</v>
      </c>
      <c r="J159" s="1" t="s">
        <v>2461</v>
      </c>
      <c r="K159" s="1"/>
      <c r="L159" s="1" t="s">
        <v>2299</v>
      </c>
      <c r="M159" s="1" t="s">
        <v>2462</v>
      </c>
      <c r="N159" s="1" t="s">
        <v>2463</v>
      </c>
      <c r="O159" s="1" t="s">
        <v>2464</v>
      </c>
      <c r="P159" s="1" t="s">
        <v>2095</v>
      </c>
      <c r="Q159" s="1"/>
      <c r="R159" s="1"/>
      <c r="S159" s="1" t="s">
        <v>2072</v>
      </c>
      <c r="T159" s="1" t="s">
        <v>2073</v>
      </c>
      <c r="U159" s="4">
        <v>-1</v>
      </c>
      <c r="V159" s="4">
        <v>4343</v>
      </c>
      <c r="W159" s="4">
        <v>43</v>
      </c>
      <c r="X159" s="4">
        <v>564</v>
      </c>
      <c r="Y159" s="4">
        <v>50</v>
      </c>
      <c r="Z159" s="5">
        <v>5000</v>
      </c>
      <c r="AA159" s="5">
        <v>4999</v>
      </c>
      <c r="AB159" s="6">
        <v>0</v>
      </c>
      <c r="AC159" s="4">
        <v>1</v>
      </c>
      <c r="AD159" s="4">
        <v>0</v>
      </c>
      <c r="AE159" s="4">
        <v>1</v>
      </c>
      <c r="AF159" s="1"/>
      <c r="AG159" s="1"/>
      <c r="AH159" s="1"/>
      <c r="AI159" s="1" t="s">
        <v>2427</v>
      </c>
      <c r="AJ159" s="1"/>
      <c r="AK159" s="1"/>
      <c r="AL159" s="1" t="s">
        <v>2465</v>
      </c>
    </row>
    <row r="160" spans="1:38" hidden="1" x14ac:dyDescent="0.25">
      <c r="A160" s="2">
        <v>243</v>
      </c>
      <c r="B160" s="1" t="s">
        <v>205</v>
      </c>
      <c r="C160" s="1" t="s">
        <v>206</v>
      </c>
      <c r="D160" s="1" t="s">
        <v>2062</v>
      </c>
      <c r="E160" s="1" t="s">
        <v>2063</v>
      </c>
      <c r="F160" s="3">
        <v>45046</v>
      </c>
      <c r="G160" s="3">
        <v>45030</v>
      </c>
      <c r="H160" s="3">
        <v>45395</v>
      </c>
      <c r="I160" s="1" t="s">
        <v>2460</v>
      </c>
      <c r="J160" s="1" t="s">
        <v>2461</v>
      </c>
      <c r="K160" s="1"/>
      <c r="L160" s="1" t="s">
        <v>2299</v>
      </c>
      <c r="M160" s="1" t="s">
        <v>2462</v>
      </c>
      <c r="N160" s="1" t="s">
        <v>2463</v>
      </c>
      <c r="O160" s="1" t="s">
        <v>2464</v>
      </c>
      <c r="P160" s="1" t="s">
        <v>2095</v>
      </c>
      <c r="Q160" s="1"/>
      <c r="R160" s="1"/>
      <c r="S160" s="1" t="s">
        <v>2072</v>
      </c>
      <c r="T160" s="1" t="s">
        <v>2073</v>
      </c>
      <c r="U160" s="4">
        <v>2500000</v>
      </c>
      <c r="V160" s="4">
        <v>39473</v>
      </c>
      <c r="W160" s="4">
        <v>395</v>
      </c>
      <c r="X160" s="4">
        <v>5132</v>
      </c>
      <c r="Y160" s="4">
        <v>0</v>
      </c>
      <c r="Z160" s="5">
        <v>45000</v>
      </c>
      <c r="AA160" s="5">
        <v>-45000</v>
      </c>
      <c r="AB160" s="6">
        <v>0</v>
      </c>
      <c r="AC160" s="4">
        <v>90000</v>
      </c>
      <c r="AD160" s="4">
        <v>0</v>
      </c>
      <c r="AE160" s="4">
        <v>90000</v>
      </c>
      <c r="AF160" s="1"/>
      <c r="AG160" s="1"/>
      <c r="AH160" s="1"/>
      <c r="AI160" s="1" t="s">
        <v>2427</v>
      </c>
      <c r="AJ160" s="1"/>
      <c r="AK160" s="1"/>
      <c r="AL160" s="1" t="s">
        <v>2465</v>
      </c>
    </row>
    <row r="161" spans="1:38" hidden="1" x14ac:dyDescent="0.25">
      <c r="A161" s="2">
        <v>244</v>
      </c>
      <c r="B161" s="1" t="s">
        <v>205</v>
      </c>
      <c r="C161" s="1" t="s">
        <v>207</v>
      </c>
      <c r="D161" s="1" t="s">
        <v>2062</v>
      </c>
      <c r="E161" s="1" t="s">
        <v>2063</v>
      </c>
      <c r="F161" s="3">
        <v>45230</v>
      </c>
      <c r="G161" s="3">
        <v>45030</v>
      </c>
      <c r="H161" s="3">
        <v>45395</v>
      </c>
      <c r="I161" s="1" t="s">
        <v>2460</v>
      </c>
      <c r="J161" s="1" t="s">
        <v>2461</v>
      </c>
      <c r="K161" s="1" t="s">
        <v>2168</v>
      </c>
      <c r="L161" s="1" t="s">
        <v>2299</v>
      </c>
      <c r="M161" s="1" t="s">
        <v>2462</v>
      </c>
      <c r="N161" s="1" t="s">
        <v>2463</v>
      </c>
      <c r="O161" s="1" t="s">
        <v>2464</v>
      </c>
      <c r="P161" s="1" t="s">
        <v>2095</v>
      </c>
      <c r="Q161" s="1"/>
      <c r="R161" s="1"/>
      <c r="S161" s="1" t="s">
        <v>2072</v>
      </c>
      <c r="T161" s="1" t="s">
        <v>2073</v>
      </c>
      <c r="U161" s="4">
        <v>-1</v>
      </c>
      <c r="V161" s="4">
        <v>-39473</v>
      </c>
      <c r="W161" s="4">
        <v>-395</v>
      </c>
      <c r="X161" s="4">
        <v>-5133</v>
      </c>
      <c r="Y161" s="4">
        <v>0</v>
      </c>
      <c r="Z161" s="5">
        <v>-45001</v>
      </c>
      <c r="AA161" s="5">
        <v>45000</v>
      </c>
      <c r="AB161" s="6">
        <v>0</v>
      </c>
      <c r="AC161" s="4">
        <v>-90001</v>
      </c>
      <c r="AD161" s="4">
        <v>0</v>
      </c>
      <c r="AE161" s="4">
        <v>-90001</v>
      </c>
      <c r="AF161" s="1"/>
      <c r="AG161" s="1"/>
      <c r="AH161" s="1"/>
      <c r="AI161" s="1" t="s">
        <v>2427</v>
      </c>
      <c r="AJ161" s="1"/>
      <c r="AK161" s="1"/>
      <c r="AL161" s="1" t="s">
        <v>2465</v>
      </c>
    </row>
    <row r="162" spans="1:38" x14ac:dyDescent="0.25">
      <c r="A162" s="2">
        <v>245</v>
      </c>
      <c r="B162" s="1" t="s">
        <v>208</v>
      </c>
      <c r="C162" s="1"/>
      <c r="D162" s="1" t="s">
        <v>2062</v>
      </c>
      <c r="E162" s="1" t="s">
        <v>2063</v>
      </c>
      <c r="F162" s="3">
        <v>45033</v>
      </c>
      <c r="G162" s="3">
        <v>45032</v>
      </c>
      <c r="H162" s="3">
        <v>45397</v>
      </c>
      <c r="I162" s="1" t="s">
        <v>2466</v>
      </c>
      <c r="J162" s="1" t="s">
        <v>2467</v>
      </c>
      <c r="K162" s="1"/>
      <c r="L162" s="1" t="s">
        <v>2450</v>
      </c>
      <c r="M162" s="1" t="s">
        <v>2468</v>
      </c>
      <c r="N162" s="1" t="s">
        <v>2469</v>
      </c>
      <c r="O162" s="1" t="s">
        <v>2470</v>
      </c>
      <c r="P162" s="1" t="s">
        <v>2095</v>
      </c>
      <c r="Q162" s="1"/>
      <c r="R162" s="1"/>
      <c r="S162" s="1" t="s">
        <v>2072</v>
      </c>
      <c r="T162" s="1" t="s">
        <v>2073</v>
      </c>
      <c r="U162" s="4">
        <v>2900000</v>
      </c>
      <c r="V162" s="4">
        <v>4343</v>
      </c>
      <c r="W162" s="4">
        <v>43</v>
      </c>
      <c r="X162" s="4">
        <v>564</v>
      </c>
      <c r="Y162" s="4">
        <v>50</v>
      </c>
      <c r="Z162" s="5">
        <v>5000</v>
      </c>
      <c r="AA162" s="5">
        <v>5537</v>
      </c>
      <c r="AB162" s="6">
        <v>0</v>
      </c>
      <c r="AC162" s="4">
        <v>-537</v>
      </c>
      <c r="AD162" s="4">
        <v>0</v>
      </c>
      <c r="AE162" s="4">
        <v>-537</v>
      </c>
      <c r="AF162" s="1"/>
      <c r="AG162" s="1"/>
      <c r="AH162" s="1"/>
      <c r="AI162" s="1" t="s">
        <v>2327</v>
      </c>
      <c r="AJ162" s="1"/>
      <c r="AK162" s="1"/>
      <c r="AL162" s="1" t="s">
        <v>2471</v>
      </c>
    </row>
    <row r="163" spans="1:38" hidden="1" x14ac:dyDescent="0.25">
      <c r="A163" s="2">
        <v>246</v>
      </c>
      <c r="B163" s="1" t="s">
        <v>208</v>
      </c>
      <c r="C163" s="1" t="s">
        <v>209</v>
      </c>
      <c r="D163" s="1" t="s">
        <v>2062</v>
      </c>
      <c r="E163" s="1" t="s">
        <v>2063</v>
      </c>
      <c r="F163" s="3">
        <v>45398</v>
      </c>
      <c r="G163" s="3">
        <v>45032</v>
      </c>
      <c r="H163" s="3">
        <v>45397</v>
      </c>
      <c r="I163" s="1" t="s">
        <v>2466</v>
      </c>
      <c r="J163" s="1" t="s">
        <v>2467</v>
      </c>
      <c r="K163" s="1"/>
      <c r="L163" s="1" t="s">
        <v>2472</v>
      </c>
      <c r="M163" s="1" t="s">
        <v>2468</v>
      </c>
      <c r="N163" s="1" t="s">
        <v>2469</v>
      </c>
      <c r="O163" s="1" t="s">
        <v>2470</v>
      </c>
      <c r="P163" s="1" t="s">
        <v>2095</v>
      </c>
      <c r="Q163" s="1"/>
      <c r="R163" s="1"/>
      <c r="S163" s="1" t="s">
        <v>2072</v>
      </c>
      <c r="T163" s="1" t="s">
        <v>2073</v>
      </c>
      <c r="U163" s="4">
        <v>2900000</v>
      </c>
      <c r="V163" s="4">
        <v>471</v>
      </c>
      <c r="W163" s="4">
        <v>5</v>
      </c>
      <c r="X163" s="4">
        <v>61</v>
      </c>
      <c r="Y163" s="4">
        <v>0</v>
      </c>
      <c r="Z163" s="5">
        <v>537</v>
      </c>
      <c r="AA163" s="5">
        <v>0</v>
      </c>
      <c r="AB163" s="6">
        <v>0</v>
      </c>
      <c r="AC163" s="4">
        <v>537</v>
      </c>
      <c r="AD163" s="4">
        <v>0</v>
      </c>
      <c r="AE163" s="4">
        <v>537</v>
      </c>
      <c r="AF163" s="1"/>
      <c r="AG163" s="1"/>
      <c r="AH163" s="1"/>
      <c r="AI163" s="1" t="s">
        <v>2327</v>
      </c>
      <c r="AJ163" s="6">
        <v>135.14000000000001</v>
      </c>
      <c r="AK163" s="6">
        <v>135.14000000000001</v>
      </c>
      <c r="AL163" s="1"/>
    </row>
    <row r="164" spans="1:38" hidden="1" x14ac:dyDescent="0.25">
      <c r="A164" s="2">
        <v>248</v>
      </c>
      <c r="B164" s="1" t="s">
        <v>210</v>
      </c>
      <c r="C164" s="1" t="s">
        <v>211</v>
      </c>
      <c r="D164" s="1" t="s">
        <v>2062</v>
      </c>
      <c r="E164" s="1" t="s">
        <v>2063</v>
      </c>
      <c r="F164" s="3">
        <v>45247</v>
      </c>
      <c r="G164" s="3">
        <v>45033</v>
      </c>
      <c r="H164" s="3">
        <v>45398</v>
      </c>
      <c r="I164" s="1" t="s">
        <v>2473</v>
      </c>
      <c r="J164" s="1" t="s">
        <v>2474</v>
      </c>
      <c r="K164" s="1"/>
      <c r="L164" s="1" t="s">
        <v>2213</v>
      </c>
      <c r="M164" s="1" t="s">
        <v>2475</v>
      </c>
      <c r="N164" s="1" t="s">
        <v>2476</v>
      </c>
      <c r="O164" s="1" t="s">
        <v>2477</v>
      </c>
      <c r="P164" s="1" t="s">
        <v>2103</v>
      </c>
      <c r="Q164" s="1"/>
      <c r="R164" s="1"/>
      <c r="S164" s="1" t="s">
        <v>2072</v>
      </c>
      <c r="T164" s="1" t="s">
        <v>2073</v>
      </c>
      <c r="U164" s="4">
        <v>2000000</v>
      </c>
      <c r="V164" s="4">
        <v>1723</v>
      </c>
      <c r="W164" s="4">
        <v>17</v>
      </c>
      <c r="X164" s="4">
        <v>224</v>
      </c>
      <c r="Y164" s="4">
        <v>0</v>
      </c>
      <c r="Z164" s="5">
        <v>1964</v>
      </c>
      <c r="AA164" s="5">
        <v>0</v>
      </c>
      <c r="AB164" s="6">
        <v>0</v>
      </c>
      <c r="AC164" s="4">
        <v>1964</v>
      </c>
      <c r="AD164" s="4">
        <v>0</v>
      </c>
      <c r="AE164" s="4">
        <v>1964</v>
      </c>
      <c r="AF164" s="1"/>
      <c r="AG164" s="1"/>
      <c r="AH164" s="1"/>
      <c r="AI164" s="1" t="s">
        <v>2333</v>
      </c>
      <c r="AJ164" s="6">
        <v>760.98</v>
      </c>
      <c r="AK164" s="6">
        <v>716.92</v>
      </c>
      <c r="AL164" s="1"/>
    </row>
    <row r="165" spans="1:38" hidden="1" x14ac:dyDescent="0.25">
      <c r="A165" s="2">
        <v>249</v>
      </c>
      <c r="B165" s="1" t="s">
        <v>210</v>
      </c>
      <c r="C165" s="1" t="s">
        <v>212</v>
      </c>
      <c r="D165" s="1" t="s">
        <v>2062</v>
      </c>
      <c r="E165" s="1" t="s">
        <v>2063</v>
      </c>
      <c r="F165" s="3">
        <v>45279</v>
      </c>
      <c r="G165" s="3">
        <v>45033</v>
      </c>
      <c r="H165" s="3">
        <v>45398</v>
      </c>
      <c r="I165" s="1" t="s">
        <v>2473</v>
      </c>
      <c r="J165" s="1" t="s">
        <v>2474</v>
      </c>
      <c r="K165" s="1"/>
      <c r="L165" s="1" t="s">
        <v>2213</v>
      </c>
      <c r="M165" s="1" t="s">
        <v>2475</v>
      </c>
      <c r="N165" s="1" t="s">
        <v>2476</v>
      </c>
      <c r="O165" s="1" t="s">
        <v>2477</v>
      </c>
      <c r="P165" s="1" t="s">
        <v>2103</v>
      </c>
      <c r="Q165" s="1"/>
      <c r="R165" s="1"/>
      <c r="S165" s="1" t="s">
        <v>2072</v>
      </c>
      <c r="T165" s="1" t="s">
        <v>2073</v>
      </c>
      <c r="U165" s="4">
        <v>2000000</v>
      </c>
      <c r="V165" s="4">
        <v>1655</v>
      </c>
      <c r="W165" s="4">
        <v>16</v>
      </c>
      <c r="X165" s="4">
        <v>215</v>
      </c>
      <c r="Y165" s="4">
        <v>0</v>
      </c>
      <c r="Z165" s="5">
        <v>1886</v>
      </c>
      <c r="AA165" s="5">
        <v>0</v>
      </c>
      <c r="AB165" s="6">
        <v>0</v>
      </c>
      <c r="AC165" s="4">
        <v>1886</v>
      </c>
      <c r="AD165" s="4">
        <v>0</v>
      </c>
      <c r="AE165" s="4">
        <v>1886</v>
      </c>
      <c r="AF165" s="1"/>
      <c r="AG165" s="1"/>
      <c r="AH165" s="1"/>
      <c r="AI165" s="1" t="s">
        <v>2333</v>
      </c>
      <c r="AJ165" s="6">
        <v>705.05</v>
      </c>
      <c r="AK165" s="6">
        <v>689.09</v>
      </c>
      <c r="AL165" s="1"/>
    </row>
    <row r="166" spans="1:38" hidden="1" x14ac:dyDescent="0.25">
      <c r="A166" s="2">
        <v>250</v>
      </c>
      <c r="B166" s="1" t="s">
        <v>210</v>
      </c>
      <c r="C166" s="1" t="s">
        <v>213</v>
      </c>
      <c r="D166" s="1" t="s">
        <v>2062</v>
      </c>
      <c r="E166" s="1" t="s">
        <v>2063</v>
      </c>
      <c r="F166" s="3">
        <v>45596</v>
      </c>
      <c r="G166" s="3">
        <v>45033</v>
      </c>
      <c r="H166" s="3">
        <v>45398</v>
      </c>
      <c r="I166" s="1" t="s">
        <v>2473</v>
      </c>
      <c r="J166" s="1" t="s">
        <v>2474</v>
      </c>
      <c r="K166" s="1"/>
      <c r="L166" s="1" t="s">
        <v>2213</v>
      </c>
      <c r="M166" s="1" t="s">
        <v>2475</v>
      </c>
      <c r="N166" s="1" t="s">
        <v>2476</v>
      </c>
      <c r="O166" s="1" t="s">
        <v>2477</v>
      </c>
      <c r="P166" s="1" t="s">
        <v>2103</v>
      </c>
      <c r="Q166" s="1"/>
      <c r="R166" s="1"/>
      <c r="S166" s="1" t="s">
        <v>2072</v>
      </c>
      <c r="T166" s="1" t="s">
        <v>2073</v>
      </c>
      <c r="U166" s="4">
        <v>-1</v>
      </c>
      <c r="V166" s="4">
        <v>-3812</v>
      </c>
      <c r="W166" s="4">
        <v>-38</v>
      </c>
      <c r="X166" s="4">
        <v>0</v>
      </c>
      <c r="Y166" s="4">
        <v>0</v>
      </c>
      <c r="Z166" s="5">
        <v>-3850</v>
      </c>
      <c r="AA166" s="5">
        <v>0</v>
      </c>
      <c r="AB166" s="6">
        <v>0</v>
      </c>
      <c r="AC166" s="4">
        <v>-3850</v>
      </c>
      <c r="AD166" s="4">
        <v>0</v>
      </c>
      <c r="AE166" s="4">
        <v>-3850</v>
      </c>
      <c r="AF166" s="1"/>
      <c r="AG166" s="1"/>
      <c r="AH166" s="1"/>
      <c r="AI166" s="1" t="s">
        <v>2333</v>
      </c>
      <c r="AJ166" s="1"/>
      <c r="AK166" s="1"/>
      <c r="AL166" s="1"/>
    </row>
    <row r="167" spans="1:38" hidden="1" x14ac:dyDescent="0.25">
      <c r="A167" s="2">
        <v>255</v>
      </c>
      <c r="B167" s="1" t="s">
        <v>214</v>
      </c>
      <c r="C167" s="1" t="s">
        <v>215</v>
      </c>
      <c r="D167" s="1" t="s">
        <v>2062</v>
      </c>
      <c r="E167" s="1" t="s">
        <v>2063</v>
      </c>
      <c r="F167" s="3">
        <v>45400</v>
      </c>
      <c r="G167" s="3">
        <v>45034</v>
      </c>
      <c r="H167" s="3">
        <v>45399</v>
      </c>
      <c r="I167" s="1" t="s">
        <v>2478</v>
      </c>
      <c r="J167" s="1" t="s">
        <v>2479</v>
      </c>
      <c r="K167" s="1"/>
      <c r="L167" s="1" t="s">
        <v>2480</v>
      </c>
      <c r="M167" s="1" t="s">
        <v>2481</v>
      </c>
      <c r="N167" s="1" t="s">
        <v>2482</v>
      </c>
      <c r="O167" s="1" t="s">
        <v>2483</v>
      </c>
      <c r="P167" s="1" t="s">
        <v>2095</v>
      </c>
      <c r="Q167" s="1"/>
      <c r="R167" s="1"/>
      <c r="S167" s="1" t="s">
        <v>2072</v>
      </c>
      <c r="T167" s="1" t="s">
        <v>2073</v>
      </c>
      <c r="U167" s="4">
        <v>3000000</v>
      </c>
      <c r="V167" s="4">
        <v>574</v>
      </c>
      <c r="W167" s="4">
        <v>6</v>
      </c>
      <c r="X167" s="4">
        <v>75</v>
      </c>
      <c r="Y167" s="4">
        <v>0</v>
      </c>
      <c r="Z167" s="5">
        <v>655</v>
      </c>
      <c r="AA167" s="5">
        <v>0</v>
      </c>
      <c r="AB167" s="6">
        <v>0</v>
      </c>
      <c r="AC167" s="4">
        <v>655</v>
      </c>
      <c r="AD167" s="4">
        <v>0</v>
      </c>
      <c r="AE167" s="4">
        <v>655</v>
      </c>
      <c r="AF167" s="1"/>
      <c r="AG167" s="1"/>
      <c r="AH167" s="1"/>
      <c r="AI167" s="1" t="s">
        <v>2327</v>
      </c>
      <c r="AJ167" s="6">
        <v>175.57000000000005</v>
      </c>
      <c r="AK167" s="6">
        <v>159.46</v>
      </c>
      <c r="AL167" s="1"/>
    </row>
    <row r="168" spans="1:38" hidden="1" x14ac:dyDescent="0.25">
      <c r="A168" s="2">
        <v>256</v>
      </c>
      <c r="B168" s="1" t="s">
        <v>214</v>
      </c>
      <c r="C168" s="1" t="s">
        <v>216</v>
      </c>
      <c r="D168" s="1" t="s">
        <v>2062</v>
      </c>
      <c r="E168" s="1" t="s">
        <v>2063</v>
      </c>
      <c r="F168" s="3">
        <v>45596</v>
      </c>
      <c r="G168" s="3">
        <v>45034</v>
      </c>
      <c r="H168" s="3">
        <v>45399</v>
      </c>
      <c r="I168" s="1" t="s">
        <v>2478</v>
      </c>
      <c r="J168" s="1" t="s">
        <v>2479</v>
      </c>
      <c r="K168" s="1"/>
      <c r="L168" s="1" t="s">
        <v>2480</v>
      </c>
      <c r="M168" s="1" t="s">
        <v>2481</v>
      </c>
      <c r="N168" s="1" t="s">
        <v>2482</v>
      </c>
      <c r="O168" s="1" t="s">
        <v>2483</v>
      </c>
      <c r="P168" s="1" t="s">
        <v>2095</v>
      </c>
      <c r="Q168" s="1"/>
      <c r="R168" s="1"/>
      <c r="S168" s="1" t="s">
        <v>2072</v>
      </c>
      <c r="T168" s="1" t="s">
        <v>2073</v>
      </c>
      <c r="U168" s="4">
        <v>-1</v>
      </c>
      <c r="V168" s="4">
        <v>-649</v>
      </c>
      <c r="W168" s="4">
        <v>-6</v>
      </c>
      <c r="X168" s="4">
        <v>0</v>
      </c>
      <c r="Y168" s="4">
        <v>0</v>
      </c>
      <c r="Z168" s="5">
        <v>-655</v>
      </c>
      <c r="AA168" s="5">
        <v>0</v>
      </c>
      <c r="AB168" s="6">
        <v>0</v>
      </c>
      <c r="AC168" s="4">
        <v>-655</v>
      </c>
      <c r="AD168" s="4">
        <v>0</v>
      </c>
      <c r="AE168" s="4">
        <v>-655</v>
      </c>
      <c r="AF168" s="1"/>
      <c r="AG168" s="1"/>
      <c r="AH168" s="1"/>
      <c r="AI168" s="1" t="s">
        <v>2327</v>
      </c>
      <c r="AJ168" s="1"/>
      <c r="AK168" s="1"/>
      <c r="AL168" s="1"/>
    </row>
    <row r="169" spans="1:38" hidden="1" x14ac:dyDescent="0.25">
      <c r="A169" s="2">
        <v>257</v>
      </c>
      <c r="B169" s="1" t="s">
        <v>217</v>
      </c>
      <c r="C169" s="1" t="s">
        <v>218</v>
      </c>
      <c r="D169" s="1" t="s">
        <v>2062</v>
      </c>
      <c r="E169" s="1" t="s">
        <v>2063</v>
      </c>
      <c r="F169" s="3">
        <v>45072</v>
      </c>
      <c r="G169" s="3">
        <v>45042</v>
      </c>
      <c r="H169" s="3">
        <v>45407</v>
      </c>
      <c r="I169" s="1" t="s">
        <v>2484</v>
      </c>
      <c r="J169" s="1" t="s">
        <v>2485</v>
      </c>
      <c r="K169" s="1"/>
      <c r="L169" s="1" t="s">
        <v>2283</v>
      </c>
      <c r="M169" s="1" t="s">
        <v>2486</v>
      </c>
      <c r="N169" s="1" t="s">
        <v>2487</v>
      </c>
      <c r="O169" s="1" t="s">
        <v>2488</v>
      </c>
      <c r="P169" s="1" t="s">
        <v>2081</v>
      </c>
      <c r="Q169" s="1"/>
      <c r="R169" s="1"/>
      <c r="S169" s="1" t="s">
        <v>2072</v>
      </c>
      <c r="T169" s="1" t="s">
        <v>2489</v>
      </c>
      <c r="U169" s="4">
        <v>3500000</v>
      </c>
      <c r="V169" s="4">
        <v>3264</v>
      </c>
      <c r="W169" s="4">
        <v>32</v>
      </c>
      <c r="X169" s="4">
        <v>424</v>
      </c>
      <c r="Y169" s="4">
        <v>0</v>
      </c>
      <c r="Z169" s="5">
        <v>3720</v>
      </c>
      <c r="AA169" s="5">
        <v>0</v>
      </c>
      <c r="AB169" s="6">
        <v>0</v>
      </c>
      <c r="AC169" s="4">
        <v>3720</v>
      </c>
      <c r="AD169" s="4">
        <v>0</v>
      </c>
      <c r="AE169" s="4">
        <v>3720</v>
      </c>
      <c r="AF169" s="1"/>
      <c r="AG169" s="1"/>
      <c r="AH169" s="1"/>
      <c r="AI169" s="1" t="s">
        <v>2427</v>
      </c>
      <c r="AJ169" s="6">
        <v>850.03975070099011</v>
      </c>
      <c r="AK169" s="6">
        <v>775.45385504776004</v>
      </c>
      <c r="AL169" s="1" t="s">
        <v>2490</v>
      </c>
    </row>
    <row r="170" spans="1:38" hidden="1" x14ac:dyDescent="0.25">
      <c r="A170" s="2">
        <v>258</v>
      </c>
      <c r="B170" s="1" t="s">
        <v>217</v>
      </c>
      <c r="C170" s="1" t="s">
        <v>219</v>
      </c>
      <c r="D170" s="1" t="s">
        <v>2062</v>
      </c>
      <c r="E170" s="1" t="s">
        <v>2063</v>
      </c>
      <c r="F170" s="3">
        <v>45377</v>
      </c>
      <c r="G170" s="3">
        <v>45042</v>
      </c>
      <c r="H170" s="3">
        <v>45407</v>
      </c>
      <c r="I170" s="1" t="s">
        <v>2484</v>
      </c>
      <c r="J170" s="1" t="s">
        <v>2485</v>
      </c>
      <c r="K170" s="1"/>
      <c r="L170" s="1" t="s">
        <v>2283</v>
      </c>
      <c r="M170" s="1" t="s">
        <v>2486</v>
      </c>
      <c r="N170" s="1" t="s">
        <v>2487</v>
      </c>
      <c r="O170" s="1" t="s">
        <v>2488</v>
      </c>
      <c r="P170" s="1" t="s">
        <v>2081</v>
      </c>
      <c r="Q170" s="1"/>
      <c r="R170" s="1"/>
      <c r="S170" s="1" t="s">
        <v>2072</v>
      </c>
      <c r="T170" s="1" t="s">
        <v>2489</v>
      </c>
      <c r="U170" s="4">
        <v>3500000</v>
      </c>
      <c r="V170" s="4">
        <v>3949</v>
      </c>
      <c r="W170" s="4">
        <v>40</v>
      </c>
      <c r="X170" s="4">
        <v>513</v>
      </c>
      <c r="Y170" s="4">
        <v>0</v>
      </c>
      <c r="Z170" s="5">
        <v>4502</v>
      </c>
      <c r="AA170" s="5">
        <v>0</v>
      </c>
      <c r="AB170" s="6">
        <v>0</v>
      </c>
      <c r="AC170" s="4">
        <v>4502</v>
      </c>
      <c r="AD170" s="4">
        <v>0</v>
      </c>
      <c r="AE170" s="4">
        <v>4502</v>
      </c>
      <c r="AF170" s="1"/>
      <c r="AG170" s="1"/>
      <c r="AH170" s="1"/>
      <c r="AI170" s="1" t="s">
        <v>2427</v>
      </c>
      <c r="AJ170" s="6">
        <v>991.99000000000103</v>
      </c>
      <c r="AK170" s="6">
        <v>938.82</v>
      </c>
      <c r="AL170" s="1"/>
    </row>
    <row r="171" spans="1:38" hidden="1" x14ac:dyDescent="0.25">
      <c r="A171" s="2">
        <v>259</v>
      </c>
      <c r="B171" s="1" t="s">
        <v>217</v>
      </c>
      <c r="C171" s="1" t="s">
        <v>220</v>
      </c>
      <c r="D171" s="1" t="s">
        <v>2062</v>
      </c>
      <c r="E171" s="1" t="s">
        <v>2063</v>
      </c>
      <c r="F171" s="3">
        <v>45408</v>
      </c>
      <c r="G171" s="3">
        <v>45042</v>
      </c>
      <c r="H171" s="3">
        <v>45407</v>
      </c>
      <c r="I171" s="1" t="s">
        <v>2484</v>
      </c>
      <c r="J171" s="1" t="s">
        <v>2485</v>
      </c>
      <c r="K171" s="1"/>
      <c r="L171" s="1" t="s">
        <v>2283</v>
      </c>
      <c r="M171" s="1" t="s">
        <v>2486</v>
      </c>
      <c r="N171" s="1" t="s">
        <v>2487</v>
      </c>
      <c r="O171" s="1" t="s">
        <v>2488</v>
      </c>
      <c r="P171" s="1" t="s">
        <v>2081</v>
      </c>
      <c r="Q171" s="1"/>
      <c r="R171" s="1"/>
      <c r="S171" s="1" t="s">
        <v>2072</v>
      </c>
      <c r="T171" s="1" t="s">
        <v>2489</v>
      </c>
      <c r="U171" s="4">
        <v>3500000</v>
      </c>
      <c r="V171" s="4">
        <v>3589</v>
      </c>
      <c r="W171" s="4">
        <v>36</v>
      </c>
      <c r="X171" s="4">
        <v>466</v>
      </c>
      <c r="Y171" s="4">
        <v>0</v>
      </c>
      <c r="Z171" s="5">
        <v>4091</v>
      </c>
      <c r="AA171" s="5">
        <v>0</v>
      </c>
      <c r="AB171" s="6">
        <v>0</v>
      </c>
      <c r="AC171" s="4">
        <v>4091</v>
      </c>
      <c r="AD171" s="4">
        <v>0</v>
      </c>
      <c r="AE171" s="4">
        <v>4091</v>
      </c>
      <c r="AF171" s="1"/>
      <c r="AG171" s="1"/>
      <c r="AH171" s="1"/>
      <c r="AI171" s="1" t="s">
        <v>2427</v>
      </c>
      <c r="AJ171" s="1"/>
      <c r="AK171" s="1"/>
      <c r="AL171" s="1"/>
    </row>
    <row r="172" spans="1:38" hidden="1" x14ac:dyDescent="0.25">
      <c r="A172" s="2">
        <v>260</v>
      </c>
      <c r="B172" s="1" t="s">
        <v>217</v>
      </c>
      <c r="C172" s="1" t="s">
        <v>221</v>
      </c>
      <c r="D172" s="1" t="s">
        <v>2062</v>
      </c>
      <c r="E172" s="1" t="s">
        <v>2063</v>
      </c>
      <c r="F172" s="3">
        <v>45596</v>
      </c>
      <c r="G172" s="3">
        <v>45042</v>
      </c>
      <c r="H172" s="3">
        <v>45407</v>
      </c>
      <c r="I172" s="1" t="s">
        <v>2484</v>
      </c>
      <c r="J172" s="1" t="s">
        <v>2485</v>
      </c>
      <c r="K172" s="1"/>
      <c r="L172" s="1" t="s">
        <v>2283</v>
      </c>
      <c r="M172" s="1" t="s">
        <v>2486</v>
      </c>
      <c r="N172" s="1" t="s">
        <v>2487</v>
      </c>
      <c r="O172" s="1" t="s">
        <v>2488</v>
      </c>
      <c r="P172" s="1" t="s">
        <v>2081</v>
      </c>
      <c r="Q172" s="1"/>
      <c r="R172" s="1"/>
      <c r="S172" s="1" t="s">
        <v>2072</v>
      </c>
      <c r="T172" s="1" t="s">
        <v>2489</v>
      </c>
      <c r="U172" s="4">
        <v>-1</v>
      </c>
      <c r="V172" s="4">
        <v>-12191</v>
      </c>
      <c r="W172" s="4">
        <v>-122</v>
      </c>
      <c r="X172" s="4">
        <v>0</v>
      </c>
      <c r="Y172" s="4">
        <v>0</v>
      </c>
      <c r="Z172" s="5">
        <v>-12313</v>
      </c>
      <c r="AA172" s="5">
        <v>0</v>
      </c>
      <c r="AB172" s="6">
        <v>0</v>
      </c>
      <c r="AC172" s="4">
        <v>-12313</v>
      </c>
      <c r="AD172" s="4">
        <v>0</v>
      </c>
      <c r="AE172" s="4">
        <v>-12313</v>
      </c>
      <c r="AF172" s="1"/>
      <c r="AG172" s="1"/>
      <c r="AH172" s="1"/>
      <c r="AI172" s="1" t="s">
        <v>2427</v>
      </c>
      <c r="AJ172" s="1"/>
      <c r="AK172" s="1"/>
      <c r="AL172" s="1"/>
    </row>
    <row r="173" spans="1:38" hidden="1" x14ac:dyDescent="0.25">
      <c r="A173" s="2">
        <v>262</v>
      </c>
      <c r="B173" s="1" t="s">
        <v>222</v>
      </c>
      <c r="C173" s="1" t="s">
        <v>223</v>
      </c>
      <c r="D173" s="1" t="s">
        <v>2062</v>
      </c>
      <c r="E173" s="1" t="s">
        <v>2063</v>
      </c>
      <c r="F173" s="3">
        <v>45084</v>
      </c>
      <c r="G173" s="3">
        <v>45049</v>
      </c>
      <c r="H173" s="3">
        <v>45414</v>
      </c>
      <c r="I173" s="1" t="s">
        <v>2491</v>
      </c>
      <c r="J173" s="1" t="s">
        <v>2492</v>
      </c>
      <c r="K173" s="1"/>
      <c r="L173" s="1" t="s">
        <v>2493</v>
      </c>
      <c r="M173" s="1" t="s">
        <v>2494</v>
      </c>
      <c r="N173" s="1" t="s">
        <v>2495</v>
      </c>
      <c r="O173" s="1" t="s">
        <v>2496</v>
      </c>
      <c r="P173" s="1" t="s">
        <v>2081</v>
      </c>
      <c r="Q173" s="1"/>
      <c r="R173" s="1"/>
      <c r="S173" s="1" t="s">
        <v>2072</v>
      </c>
      <c r="T173" s="1" t="s">
        <v>2489</v>
      </c>
      <c r="U173" s="4">
        <v>1000000</v>
      </c>
      <c r="V173" s="4">
        <v>325</v>
      </c>
      <c r="W173" s="4">
        <v>3</v>
      </c>
      <c r="X173" s="4">
        <v>42</v>
      </c>
      <c r="Y173" s="4">
        <v>0</v>
      </c>
      <c r="Z173" s="5">
        <v>370</v>
      </c>
      <c r="AA173" s="5">
        <v>0</v>
      </c>
      <c r="AB173" s="6">
        <v>0</v>
      </c>
      <c r="AC173" s="4">
        <v>370</v>
      </c>
      <c r="AD173" s="4">
        <v>0</v>
      </c>
      <c r="AE173" s="4">
        <v>370</v>
      </c>
      <c r="AF173" s="1"/>
      <c r="AG173" s="1"/>
      <c r="AH173" s="1"/>
      <c r="AI173" s="1" t="s">
        <v>2427</v>
      </c>
      <c r="AJ173" s="6">
        <v>269.50300936553998</v>
      </c>
      <c r="AK173" s="6">
        <v>269.50300936553998</v>
      </c>
      <c r="AL173" s="1" t="s">
        <v>2490</v>
      </c>
    </row>
    <row r="174" spans="1:38" hidden="1" x14ac:dyDescent="0.25">
      <c r="A174" s="2">
        <v>263</v>
      </c>
      <c r="B174" s="1" t="s">
        <v>222</v>
      </c>
      <c r="C174" s="1" t="s">
        <v>224</v>
      </c>
      <c r="D174" s="1" t="s">
        <v>2062</v>
      </c>
      <c r="E174" s="1" t="s">
        <v>2063</v>
      </c>
      <c r="F174" s="3">
        <v>45113</v>
      </c>
      <c r="G174" s="3">
        <v>45049</v>
      </c>
      <c r="H174" s="3">
        <v>45414</v>
      </c>
      <c r="I174" s="1" t="s">
        <v>2491</v>
      </c>
      <c r="J174" s="1" t="s">
        <v>2492</v>
      </c>
      <c r="K174" s="1"/>
      <c r="L174" s="1" t="s">
        <v>2493</v>
      </c>
      <c r="M174" s="1" t="s">
        <v>2494</v>
      </c>
      <c r="N174" s="1" t="s">
        <v>2495</v>
      </c>
      <c r="O174" s="1" t="s">
        <v>2496</v>
      </c>
      <c r="P174" s="1" t="s">
        <v>2081</v>
      </c>
      <c r="Q174" s="1"/>
      <c r="R174" s="1"/>
      <c r="S174" s="1" t="s">
        <v>2072</v>
      </c>
      <c r="T174" s="1" t="s">
        <v>2489</v>
      </c>
      <c r="U174" s="4">
        <v>1000000</v>
      </c>
      <c r="V174" s="4">
        <v>397</v>
      </c>
      <c r="W174" s="4">
        <v>4</v>
      </c>
      <c r="X174" s="4">
        <v>52</v>
      </c>
      <c r="Y174" s="4">
        <v>0</v>
      </c>
      <c r="Z174" s="5">
        <v>453</v>
      </c>
      <c r="AA174" s="5">
        <v>0</v>
      </c>
      <c r="AB174" s="6">
        <v>0</v>
      </c>
      <c r="AC174" s="4">
        <v>453</v>
      </c>
      <c r="AD174" s="4">
        <v>0</v>
      </c>
      <c r="AE174" s="4">
        <v>453</v>
      </c>
      <c r="AF174" s="1"/>
      <c r="AG174" s="1"/>
      <c r="AH174" s="1"/>
      <c r="AI174" s="1" t="s">
        <v>2427</v>
      </c>
      <c r="AJ174" s="6">
        <v>384.75935132373905</v>
      </c>
      <c r="AK174" s="6">
        <v>327.86685546150204</v>
      </c>
      <c r="AL174" s="1" t="s">
        <v>2490</v>
      </c>
    </row>
    <row r="175" spans="1:38" hidden="1" x14ac:dyDescent="0.25">
      <c r="A175" s="2">
        <v>264</v>
      </c>
      <c r="B175" s="1" t="s">
        <v>222</v>
      </c>
      <c r="C175" s="1" t="s">
        <v>225</v>
      </c>
      <c r="D175" s="1" t="s">
        <v>2062</v>
      </c>
      <c r="E175" s="1" t="s">
        <v>2063</v>
      </c>
      <c r="F175" s="3">
        <v>45141</v>
      </c>
      <c r="G175" s="3">
        <v>45049</v>
      </c>
      <c r="H175" s="3">
        <v>45414</v>
      </c>
      <c r="I175" s="1" t="s">
        <v>2491</v>
      </c>
      <c r="J175" s="1" t="s">
        <v>2492</v>
      </c>
      <c r="K175" s="1"/>
      <c r="L175" s="1" t="s">
        <v>2493</v>
      </c>
      <c r="M175" s="1" t="s">
        <v>2494</v>
      </c>
      <c r="N175" s="1" t="s">
        <v>2495</v>
      </c>
      <c r="O175" s="1" t="s">
        <v>2496</v>
      </c>
      <c r="P175" s="1" t="s">
        <v>2081</v>
      </c>
      <c r="Q175" s="1"/>
      <c r="R175" s="1"/>
      <c r="S175" s="1" t="s">
        <v>2072</v>
      </c>
      <c r="T175" s="1" t="s">
        <v>2489</v>
      </c>
      <c r="U175" s="4">
        <v>1000000</v>
      </c>
      <c r="V175" s="4">
        <v>117</v>
      </c>
      <c r="W175" s="4">
        <v>1</v>
      </c>
      <c r="X175" s="4">
        <v>15</v>
      </c>
      <c r="Y175" s="4">
        <v>0</v>
      </c>
      <c r="Z175" s="5">
        <v>133</v>
      </c>
      <c r="AA175" s="5">
        <v>0</v>
      </c>
      <c r="AB175" s="6">
        <v>0</v>
      </c>
      <c r="AC175" s="4">
        <v>133</v>
      </c>
      <c r="AD175" s="4">
        <v>0</v>
      </c>
      <c r="AE175" s="4">
        <v>133</v>
      </c>
      <c r="AF175" s="1"/>
      <c r="AG175" s="1"/>
      <c r="AH175" s="1"/>
      <c r="AI175" s="1" t="s">
        <v>2427</v>
      </c>
      <c r="AJ175" s="6">
        <v>97.09</v>
      </c>
      <c r="AK175" s="6">
        <v>97.09</v>
      </c>
      <c r="AL175" s="1" t="s">
        <v>2490</v>
      </c>
    </row>
    <row r="176" spans="1:38" hidden="1" x14ac:dyDescent="0.25">
      <c r="A176" s="2">
        <v>265</v>
      </c>
      <c r="B176" s="1" t="s">
        <v>222</v>
      </c>
      <c r="C176" s="1" t="s">
        <v>226</v>
      </c>
      <c r="D176" s="1" t="s">
        <v>2062</v>
      </c>
      <c r="E176" s="1" t="s">
        <v>2063</v>
      </c>
      <c r="F176" s="3">
        <v>45355</v>
      </c>
      <c r="G176" s="3">
        <v>45049</v>
      </c>
      <c r="H176" s="3">
        <v>45414</v>
      </c>
      <c r="I176" s="1" t="s">
        <v>2491</v>
      </c>
      <c r="J176" s="1" t="s">
        <v>2492</v>
      </c>
      <c r="K176" s="1"/>
      <c r="L176" s="1" t="s">
        <v>2493</v>
      </c>
      <c r="M176" s="1" t="s">
        <v>2494</v>
      </c>
      <c r="N176" s="1" t="s">
        <v>2495</v>
      </c>
      <c r="O176" s="1" t="s">
        <v>2496</v>
      </c>
      <c r="P176" s="1" t="s">
        <v>2081</v>
      </c>
      <c r="Q176" s="1"/>
      <c r="R176" s="1"/>
      <c r="S176" s="1" t="s">
        <v>2072</v>
      </c>
      <c r="T176" s="1" t="s">
        <v>2489</v>
      </c>
      <c r="U176" s="4">
        <v>1000000</v>
      </c>
      <c r="V176" s="4">
        <v>235</v>
      </c>
      <c r="W176" s="4">
        <v>2</v>
      </c>
      <c r="X176" s="4">
        <v>30</v>
      </c>
      <c r="Y176" s="4">
        <v>0</v>
      </c>
      <c r="Z176" s="5">
        <v>267</v>
      </c>
      <c r="AA176" s="5">
        <v>0</v>
      </c>
      <c r="AB176" s="6">
        <v>0</v>
      </c>
      <c r="AC176" s="4">
        <v>267</v>
      </c>
      <c r="AD176" s="4">
        <v>0</v>
      </c>
      <c r="AE176" s="4">
        <v>267</v>
      </c>
      <c r="AF176" s="1"/>
      <c r="AG176" s="1"/>
      <c r="AH176" s="1"/>
      <c r="AI176" s="1" t="s">
        <v>2427</v>
      </c>
      <c r="AJ176" s="6">
        <v>195.17</v>
      </c>
      <c r="AK176" s="6">
        <v>195.17</v>
      </c>
      <c r="AL176" s="1"/>
    </row>
    <row r="177" spans="1:38" hidden="1" x14ac:dyDescent="0.25">
      <c r="A177" s="2">
        <v>266</v>
      </c>
      <c r="B177" s="1" t="s">
        <v>222</v>
      </c>
      <c r="C177" s="1" t="s">
        <v>227</v>
      </c>
      <c r="D177" s="1" t="s">
        <v>2062</v>
      </c>
      <c r="E177" s="1" t="s">
        <v>2063</v>
      </c>
      <c r="F177" s="3">
        <v>45385</v>
      </c>
      <c r="G177" s="3">
        <v>45049</v>
      </c>
      <c r="H177" s="3">
        <v>45414</v>
      </c>
      <c r="I177" s="1" t="s">
        <v>2491</v>
      </c>
      <c r="J177" s="1" t="s">
        <v>2492</v>
      </c>
      <c r="K177" s="1"/>
      <c r="L177" s="1" t="s">
        <v>2493</v>
      </c>
      <c r="M177" s="1" t="s">
        <v>2494</v>
      </c>
      <c r="N177" s="1" t="s">
        <v>2495</v>
      </c>
      <c r="O177" s="1" t="s">
        <v>2496</v>
      </c>
      <c r="P177" s="1" t="s">
        <v>2081</v>
      </c>
      <c r="Q177" s="1"/>
      <c r="R177" s="1"/>
      <c r="S177" s="1" t="s">
        <v>2072</v>
      </c>
      <c r="T177" s="1" t="s">
        <v>2489</v>
      </c>
      <c r="U177" s="4">
        <v>1000000</v>
      </c>
      <c r="V177" s="4">
        <v>283</v>
      </c>
      <c r="W177" s="4">
        <v>3</v>
      </c>
      <c r="X177" s="4">
        <v>37</v>
      </c>
      <c r="Y177" s="4">
        <v>0</v>
      </c>
      <c r="Z177" s="5">
        <v>323</v>
      </c>
      <c r="AA177" s="5">
        <v>0</v>
      </c>
      <c r="AB177" s="6">
        <v>0</v>
      </c>
      <c r="AC177" s="4">
        <v>323</v>
      </c>
      <c r="AD177" s="4">
        <v>0</v>
      </c>
      <c r="AE177" s="4">
        <v>323</v>
      </c>
      <c r="AF177" s="1"/>
      <c r="AG177" s="1"/>
      <c r="AH177" s="1"/>
      <c r="AI177" s="1" t="s">
        <v>2427</v>
      </c>
      <c r="AJ177" s="6">
        <v>292.24000000000007</v>
      </c>
      <c r="AK177" s="6">
        <v>235.13000000000002</v>
      </c>
      <c r="AL177" s="1"/>
    </row>
    <row r="178" spans="1:38" hidden="1" x14ac:dyDescent="0.25">
      <c r="A178" s="2">
        <v>267</v>
      </c>
      <c r="B178" s="1" t="s">
        <v>222</v>
      </c>
      <c r="C178" s="1" t="s">
        <v>228</v>
      </c>
      <c r="D178" s="1" t="s">
        <v>2062</v>
      </c>
      <c r="E178" s="1" t="s">
        <v>2063</v>
      </c>
      <c r="F178" s="3">
        <v>45596</v>
      </c>
      <c r="G178" s="3">
        <v>45049</v>
      </c>
      <c r="H178" s="3">
        <v>45414</v>
      </c>
      <c r="I178" s="1" t="s">
        <v>2491</v>
      </c>
      <c r="J178" s="1" t="s">
        <v>2492</v>
      </c>
      <c r="K178" s="1"/>
      <c r="L178" s="1" t="s">
        <v>2493</v>
      </c>
      <c r="M178" s="1" t="s">
        <v>2494</v>
      </c>
      <c r="N178" s="1" t="s">
        <v>2495</v>
      </c>
      <c r="O178" s="1" t="s">
        <v>2496</v>
      </c>
      <c r="P178" s="1" t="s">
        <v>2081</v>
      </c>
      <c r="Q178" s="1"/>
      <c r="R178" s="1"/>
      <c r="S178" s="1" t="s">
        <v>2072</v>
      </c>
      <c r="T178" s="1" t="s">
        <v>2489</v>
      </c>
      <c r="U178" s="4">
        <v>-1</v>
      </c>
      <c r="V178" s="4">
        <v>-1531</v>
      </c>
      <c r="W178" s="4">
        <v>-15</v>
      </c>
      <c r="X178" s="4">
        <v>0</v>
      </c>
      <c r="Y178" s="4">
        <v>0</v>
      </c>
      <c r="Z178" s="5">
        <v>-1546</v>
      </c>
      <c r="AA178" s="5">
        <v>0</v>
      </c>
      <c r="AB178" s="6">
        <v>0</v>
      </c>
      <c r="AC178" s="4">
        <v>-1546</v>
      </c>
      <c r="AD178" s="4">
        <v>0</v>
      </c>
      <c r="AE178" s="4">
        <v>-1546</v>
      </c>
      <c r="AF178" s="1"/>
      <c r="AG178" s="1"/>
      <c r="AH178" s="1"/>
      <c r="AI178" s="1" t="s">
        <v>2427</v>
      </c>
      <c r="AJ178" s="1"/>
      <c r="AK178" s="1"/>
      <c r="AL178" s="1"/>
    </row>
    <row r="179" spans="1:38" hidden="1" x14ac:dyDescent="0.25">
      <c r="A179" s="2">
        <v>268</v>
      </c>
      <c r="B179" s="1" t="s">
        <v>229</v>
      </c>
      <c r="C179" s="1" t="s">
        <v>230</v>
      </c>
      <c r="D179" s="1" t="s">
        <v>2062</v>
      </c>
      <c r="E179" s="1" t="s">
        <v>2063</v>
      </c>
      <c r="F179" s="3">
        <v>45281</v>
      </c>
      <c r="G179" s="3">
        <v>45036</v>
      </c>
      <c r="H179" s="3">
        <v>45401</v>
      </c>
      <c r="I179" s="1" t="s">
        <v>2497</v>
      </c>
      <c r="J179" s="1" t="s">
        <v>2498</v>
      </c>
      <c r="K179" s="1"/>
      <c r="L179" s="1" t="s">
        <v>2480</v>
      </c>
      <c r="M179" s="1" t="s">
        <v>2499</v>
      </c>
      <c r="N179" s="1" t="s">
        <v>2500</v>
      </c>
      <c r="O179" s="1" t="s">
        <v>2501</v>
      </c>
      <c r="P179" s="1" t="s">
        <v>2095</v>
      </c>
      <c r="Q179" s="1"/>
      <c r="R179" s="1"/>
      <c r="S179" s="1" t="s">
        <v>2072</v>
      </c>
      <c r="T179" s="1" t="s">
        <v>2073</v>
      </c>
      <c r="U179" s="4">
        <v>3000000</v>
      </c>
      <c r="V179" s="4">
        <v>1210</v>
      </c>
      <c r="W179" s="4">
        <v>12</v>
      </c>
      <c r="X179" s="4">
        <v>157</v>
      </c>
      <c r="Y179" s="4">
        <v>0</v>
      </c>
      <c r="Z179" s="5">
        <v>1379</v>
      </c>
      <c r="AA179" s="5">
        <v>0</v>
      </c>
      <c r="AB179" s="6">
        <v>0</v>
      </c>
      <c r="AC179" s="4">
        <v>1379</v>
      </c>
      <c r="AD179" s="4">
        <v>0</v>
      </c>
      <c r="AE179" s="4">
        <v>1379</v>
      </c>
      <c r="AF179" s="1"/>
      <c r="AG179" s="1"/>
      <c r="AH179" s="1"/>
      <c r="AI179" s="1" t="s">
        <v>2327</v>
      </c>
      <c r="AJ179" s="6">
        <v>335.92000000000007</v>
      </c>
      <c r="AK179" s="6">
        <v>335.92000000000007</v>
      </c>
      <c r="AL179" s="1"/>
    </row>
    <row r="180" spans="1:38" hidden="1" x14ac:dyDescent="0.25">
      <c r="A180" s="2">
        <v>269</v>
      </c>
      <c r="B180" s="1" t="s">
        <v>229</v>
      </c>
      <c r="C180" s="1" t="s">
        <v>231</v>
      </c>
      <c r="D180" s="1" t="s">
        <v>2062</v>
      </c>
      <c r="E180" s="1" t="s">
        <v>2063</v>
      </c>
      <c r="F180" s="3">
        <v>45313</v>
      </c>
      <c r="G180" s="3">
        <v>45036</v>
      </c>
      <c r="H180" s="3">
        <v>45401</v>
      </c>
      <c r="I180" s="1" t="s">
        <v>2497</v>
      </c>
      <c r="J180" s="1" t="s">
        <v>2498</v>
      </c>
      <c r="K180" s="1"/>
      <c r="L180" s="1" t="s">
        <v>2480</v>
      </c>
      <c r="M180" s="1" t="s">
        <v>2499</v>
      </c>
      <c r="N180" s="1" t="s">
        <v>2500</v>
      </c>
      <c r="O180" s="1" t="s">
        <v>2501</v>
      </c>
      <c r="P180" s="1" t="s">
        <v>2095</v>
      </c>
      <c r="Q180" s="1"/>
      <c r="R180" s="1"/>
      <c r="S180" s="1" t="s">
        <v>2072</v>
      </c>
      <c r="T180" s="1" t="s">
        <v>2073</v>
      </c>
      <c r="U180" s="4">
        <v>3000000</v>
      </c>
      <c r="V180" s="4">
        <v>431</v>
      </c>
      <c r="W180" s="4">
        <v>4</v>
      </c>
      <c r="X180" s="4">
        <v>57</v>
      </c>
      <c r="Y180" s="4">
        <v>0</v>
      </c>
      <c r="Z180" s="5">
        <v>492</v>
      </c>
      <c r="AA180" s="5">
        <v>0</v>
      </c>
      <c r="AB180" s="6">
        <v>0</v>
      </c>
      <c r="AC180" s="4">
        <v>492</v>
      </c>
      <c r="AD180" s="4">
        <v>0</v>
      </c>
      <c r="AE180" s="4">
        <v>492</v>
      </c>
      <c r="AF180" s="1"/>
      <c r="AG180" s="1"/>
      <c r="AH180" s="1"/>
      <c r="AI180" s="1" t="s">
        <v>2327</v>
      </c>
      <c r="AJ180" s="6">
        <v>164.64</v>
      </c>
      <c r="AK180" s="6">
        <v>119.67</v>
      </c>
      <c r="AL180" s="1"/>
    </row>
    <row r="181" spans="1:38" hidden="1" x14ac:dyDescent="0.25">
      <c r="A181" s="2">
        <v>270</v>
      </c>
      <c r="B181" s="1" t="s">
        <v>229</v>
      </c>
      <c r="C181" s="1" t="s">
        <v>232</v>
      </c>
      <c r="D181" s="1" t="s">
        <v>2062</v>
      </c>
      <c r="E181" s="1" t="s">
        <v>2063</v>
      </c>
      <c r="F181" s="3">
        <v>45342</v>
      </c>
      <c r="G181" s="3">
        <v>45036</v>
      </c>
      <c r="H181" s="3">
        <v>45401</v>
      </c>
      <c r="I181" s="1" t="s">
        <v>2497</v>
      </c>
      <c r="J181" s="1" t="s">
        <v>2498</v>
      </c>
      <c r="K181" s="1"/>
      <c r="L181" s="1" t="s">
        <v>2480</v>
      </c>
      <c r="M181" s="1" t="s">
        <v>2499</v>
      </c>
      <c r="N181" s="1" t="s">
        <v>2500</v>
      </c>
      <c r="O181" s="1" t="s">
        <v>2501</v>
      </c>
      <c r="P181" s="1" t="s">
        <v>2095</v>
      </c>
      <c r="Q181" s="1"/>
      <c r="R181" s="1"/>
      <c r="S181" s="1" t="s">
        <v>2072</v>
      </c>
      <c r="T181" s="1" t="s">
        <v>2073</v>
      </c>
      <c r="U181" s="4">
        <v>3000000</v>
      </c>
      <c r="V181" s="4">
        <v>581</v>
      </c>
      <c r="W181" s="4">
        <v>5</v>
      </c>
      <c r="X181" s="4">
        <v>75</v>
      </c>
      <c r="Y181" s="4">
        <v>0</v>
      </c>
      <c r="Z181" s="5">
        <v>661</v>
      </c>
      <c r="AA181" s="5">
        <v>0</v>
      </c>
      <c r="AB181" s="6">
        <v>0</v>
      </c>
      <c r="AC181" s="4">
        <v>661</v>
      </c>
      <c r="AD181" s="4">
        <v>0</v>
      </c>
      <c r="AE181" s="4">
        <v>661</v>
      </c>
      <c r="AF181" s="1"/>
      <c r="AG181" s="1"/>
      <c r="AH181" s="1"/>
      <c r="AI181" s="1" t="s">
        <v>2327</v>
      </c>
      <c r="AJ181" s="6">
        <v>160.9</v>
      </c>
      <c r="AK181" s="6">
        <v>160.9</v>
      </c>
      <c r="AL181" s="1"/>
    </row>
    <row r="182" spans="1:38" hidden="1" x14ac:dyDescent="0.25">
      <c r="A182" s="2">
        <v>271</v>
      </c>
      <c r="B182" s="1" t="s">
        <v>229</v>
      </c>
      <c r="C182" s="1" t="s">
        <v>233</v>
      </c>
      <c r="D182" s="1" t="s">
        <v>2062</v>
      </c>
      <c r="E182" s="1" t="s">
        <v>2063</v>
      </c>
      <c r="F182" s="3">
        <v>45372</v>
      </c>
      <c r="G182" s="3">
        <v>45036</v>
      </c>
      <c r="H182" s="3">
        <v>45401</v>
      </c>
      <c r="I182" s="1" t="s">
        <v>2497</v>
      </c>
      <c r="J182" s="1" t="s">
        <v>2498</v>
      </c>
      <c r="K182" s="1"/>
      <c r="L182" s="1" t="s">
        <v>2480</v>
      </c>
      <c r="M182" s="1" t="s">
        <v>2499</v>
      </c>
      <c r="N182" s="1" t="s">
        <v>2500</v>
      </c>
      <c r="O182" s="1" t="s">
        <v>2501</v>
      </c>
      <c r="P182" s="1" t="s">
        <v>2095</v>
      </c>
      <c r="Q182" s="1"/>
      <c r="R182" s="1"/>
      <c r="S182" s="1" t="s">
        <v>2072</v>
      </c>
      <c r="T182" s="1" t="s">
        <v>2073</v>
      </c>
      <c r="U182" s="4">
        <v>3000000</v>
      </c>
      <c r="V182" s="4">
        <v>1418</v>
      </c>
      <c r="W182" s="4">
        <v>14</v>
      </c>
      <c r="X182" s="4">
        <v>184</v>
      </c>
      <c r="Y182" s="4">
        <v>0</v>
      </c>
      <c r="Z182" s="5">
        <v>1616</v>
      </c>
      <c r="AA182" s="5">
        <v>0</v>
      </c>
      <c r="AB182" s="6">
        <v>0</v>
      </c>
      <c r="AC182" s="4">
        <v>1616</v>
      </c>
      <c r="AD182" s="4">
        <v>0</v>
      </c>
      <c r="AE182" s="4">
        <v>1616</v>
      </c>
      <c r="AF182" s="1"/>
      <c r="AG182" s="1"/>
      <c r="AH182" s="1"/>
      <c r="AI182" s="1" t="s">
        <v>2327</v>
      </c>
      <c r="AJ182" s="6">
        <v>399.71</v>
      </c>
      <c r="AK182" s="6">
        <v>393.2700000000001</v>
      </c>
      <c r="AL182" s="1"/>
    </row>
    <row r="183" spans="1:38" hidden="1" x14ac:dyDescent="0.25">
      <c r="A183" s="2">
        <v>272</v>
      </c>
      <c r="B183" s="1" t="s">
        <v>229</v>
      </c>
      <c r="C183" s="1" t="s">
        <v>234</v>
      </c>
      <c r="D183" s="1" t="s">
        <v>2062</v>
      </c>
      <c r="E183" s="1" t="s">
        <v>2063</v>
      </c>
      <c r="F183" s="3">
        <v>45399</v>
      </c>
      <c r="G183" s="3">
        <v>45036</v>
      </c>
      <c r="H183" s="3">
        <v>45401</v>
      </c>
      <c r="I183" s="1" t="s">
        <v>2497</v>
      </c>
      <c r="J183" s="1" t="s">
        <v>2498</v>
      </c>
      <c r="K183" s="1"/>
      <c r="L183" s="1" t="s">
        <v>2480</v>
      </c>
      <c r="M183" s="1" t="s">
        <v>2499</v>
      </c>
      <c r="N183" s="1" t="s">
        <v>2500</v>
      </c>
      <c r="O183" s="1" t="s">
        <v>2501</v>
      </c>
      <c r="P183" s="1" t="s">
        <v>2095</v>
      </c>
      <c r="Q183" s="1"/>
      <c r="R183" s="1"/>
      <c r="S183" s="1" t="s">
        <v>2072</v>
      </c>
      <c r="T183" s="1" t="s">
        <v>2073</v>
      </c>
      <c r="U183" s="4">
        <v>-1</v>
      </c>
      <c r="V183" s="4">
        <v>-3639</v>
      </c>
      <c r="W183" s="4">
        <v>-36</v>
      </c>
      <c r="X183" s="4">
        <v>-473</v>
      </c>
      <c r="Y183" s="4">
        <v>0</v>
      </c>
      <c r="Z183" s="5">
        <v>-4148</v>
      </c>
      <c r="AA183" s="5">
        <v>0</v>
      </c>
      <c r="AB183" s="6">
        <v>0</v>
      </c>
      <c r="AC183" s="4">
        <v>-4148</v>
      </c>
      <c r="AD183" s="4">
        <v>0</v>
      </c>
      <c r="AE183" s="4">
        <v>-4148</v>
      </c>
      <c r="AF183" s="1"/>
      <c r="AG183" s="1"/>
      <c r="AH183" s="1"/>
      <c r="AI183" s="1" t="s">
        <v>2327</v>
      </c>
      <c r="AJ183" s="1"/>
      <c r="AK183" s="1"/>
      <c r="AL183" s="1"/>
    </row>
    <row r="184" spans="1:38" hidden="1" x14ac:dyDescent="0.25">
      <c r="A184" s="2">
        <v>273</v>
      </c>
      <c r="B184" s="1" t="s">
        <v>235</v>
      </c>
      <c r="C184" s="1" t="s">
        <v>236</v>
      </c>
      <c r="D184" s="1" t="s">
        <v>2062</v>
      </c>
      <c r="E184" s="1" t="s">
        <v>2063</v>
      </c>
      <c r="F184" s="3">
        <v>45240</v>
      </c>
      <c r="G184" s="3">
        <v>45051</v>
      </c>
      <c r="H184" s="3">
        <v>45416</v>
      </c>
      <c r="I184" s="1" t="s">
        <v>2502</v>
      </c>
      <c r="J184" s="1" t="s">
        <v>2503</v>
      </c>
      <c r="K184" s="1"/>
      <c r="L184" s="1" t="s">
        <v>2504</v>
      </c>
      <c r="M184" s="1" t="s">
        <v>2505</v>
      </c>
      <c r="N184" s="1" t="s">
        <v>2506</v>
      </c>
      <c r="O184" s="1" t="s">
        <v>2507</v>
      </c>
      <c r="P184" s="1" t="s">
        <v>2247</v>
      </c>
      <c r="Q184" s="1"/>
      <c r="R184" s="1"/>
      <c r="S184" s="1" t="s">
        <v>2072</v>
      </c>
      <c r="T184" s="1" t="s">
        <v>2508</v>
      </c>
      <c r="U184" s="4">
        <v>3100000</v>
      </c>
      <c r="V184" s="4">
        <v>104</v>
      </c>
      <c r="W184" s="4">
        <v>1</v>
      </c>
      <c r="X184" s="4">
        <v>14</v>
      </c>
      <c r="Y184" s="4">
        <v>0</v>
      </c>
      <c r="Z184" s="5">
        <v>119</v>
      </c>
      <c r="AA184" s="5">
        <v>0</v>
      </c>
      <c r="AB184" s="6">
        <v>0</v>
      </c>
      <c r="AC184" s="4">
        <v>119</v>
      </c>
      <c r="AD184" s="4">
        <v>0</v>
      </c>
      <c r="AE184" s="4">
        <v>119</v>
      </c>
      <c r="AF184" s="1"/>
      <c r="AG184" s="1"/>
      <c r="AH184" s="1"/>
      <c r="AI184" s="1"/>
      <c r="AJ184" s="6">
        <v>28.16</v>
      </c>
      <c r="AK184" s="6">
        <v>28.1</v>
      </c>
      <c r="AL184" s="1"/>
    </row>
    <row r="185" spans="1:38" hidden="1" x14ac:dyDescent="0.25">
      <c r="A185" s="2">
        <v>274</v>
      </c>
      <c r="B185" s="1" t="s">
        <v>235</v>
      </c>
      <c r="C185" s="1" t="s">
        <v>237</v>
      </c>
      <c r="D185" s="1" t="s">
        <v>2062</v>
      </c>
      <c r="E185" s="1" t="s">
        <v>2063</v>
      </c>
      <c r="F185" s="3">
        <v>45268</v>
      </c>
      <c r="G185" s="3">
        <v>45051</v>
      </c>
      <c r="H185" s="3">
        <v>45416</v>
      </c>
      <c r="I185" s="1" t="s">
        <v>2502</v>
      </c>
      <c r="J185" s="1" t="s">
        <v>2503</v>
      </c>
      <c r="K185" s="1"/>
      <c r="L185" s="1" t="s">
        <v>2504</v>
      </c>
      <c r="M185" s="1" t="s">
        <v>2505</v>
      </c>
      <c r="N185" s="1" t="s">
        <v>2506</v>
      </c>
      <c r="O185" s="1" t="s">
        <v>2507</v>
      </c>
      <c r="P185" s="1" t="s">
        <v>2247</v>
      </c>
      <c r="Q185" s="1"/>
      <c r="R185" s="1"/>
      <c r="S185" s="1" t="s">
        <v>2072</v>
      </c>
      <c r="T185" s="1" t="s">
        <v>2508</v>
      </c>
      <c r="U185" s="4">
        <v>3100000</v>
      </c>
      <c r="V185" s="4">
        <v>128</v>
      </c>
      <c r="W185" s="4">
        <v>1</v>
      </c>
      <c r="X185" s="4">
        <v>17</v>
      </c>
      <c r="Y185" s="4">
        <v>0</v>
      </c>
      <c r="Z185" s="5">
        <v>146</v>
      </c>
      <c r="AA185" s="5">
        <v>0</v>
      </c>
      <c r="AB185" s="6">
        <v>0</v>
      </c>
      <c r="AC185" s="4">
        <v>146</v>
      </c>
      <c r="AD185" s="4">
        <v>0</v>
      </c>
      <c r="AE185" s="4">
        <v>146</v>
      </c>
      <c r="AF185" s="1"/>
      <c r="AG185" s="1"/>
      <c r="AH185" s="1"/>
      <c r="AI185" s="1"/>
      <c r="AJ185" s="6">
        <v>34.47999999999999</v>
      </c>
      <c r="AK185" s="6">
        <v>34.47999999999999</v>
      </c>
      <c r="AL185" s="1"/>
    </row>
    <row r="186" spans="1:38" hidden="1" x14ac:dyDescent="0.25">
      <c r="A186" s="2">
        <v>275</v>
      </c>
      <c r="B186" s="1" t="s">
        <v>235</v>
      </c>
      <c r="C186" s="1" t="s">
        <v>238</v>
      </c>
      <c r="D186" s="1" t="s">
        <v>2062</v>
      </c>
      <c r="E186" s="1" t="s">
        <v>2063</v>
      </c>
      <c r="F186" s="3">
        <v>45296</v>
      </c>
      <c r="G186" s="3">
        <v>45051</v>
      </c>
      <c r="H186" s="3">
        <v>45416</v>
      </c>
      <c r="I186" s="1" t="s">
        <v>2502</v>
      </c>
      <c r="J186" s="1" t="s">
        <v>2503</v>
      </c>
      <c r="K186" s="1"/>
      <c r="L186" s="1" t="s">
        <v>2504</v>
      </c>
      <c r="M186" s="1" t="s">
        <v>2505</v>
      </c>
      <c r="N186" s="1" t="s">
        <v>2506</v>
      </c>
      <c r="O186" s="1" t="s">
        <v>2507</v>
      </c>
      <c r="P186" s="1" t="s">
        <v>2247</v>
      </c>
      <c r="Q186" s="1"/>
      <c r="R186" s="1"/>
      <c r="S186" s="1" t="s">
        <v>2072</v>
      </c>
      <c r="T186" s="1" t="s">
        <v>2508</v>
      </c>
      <c r="U186" s="4">
        <v>3100000</v>
      </c>
      <c r="V186" s="4">
        <v>477</v>
      </c>
      <c r="W186" s="4">
        <v>5</v>
      </c>
      <c r="X186" s="4">
        <v>62</v>
      </c>
      <c r="Y186" s="4">
        <v>0</v>
      </c>
      <c r="Z186" s="5">
        <v>544</v>
      </c>
      <c r="AA186" s="5">
        <v>0</v>
      </c>
      <c r="AB186" s="6">
        <v>0</v>
      </c>
      <c r="AC186" s="4">
        <v>544</v>
      </c>
      <c r="AD186" s="4">
        <v>0</v>
      </c>
      <c r="AE186" s="4">
        <v>544</v>
      </c>
      <c r="AF186" s="1"/>
      <c r="AG186" s="1"/>
      <c r="AH186" s="1"/>
      <c r="AI186" s="1"/>
      <c r="AJ186" s="6">
        <v>128.09</v>
      </c>
      <c r="AK186" s="6">
        <v>128.09</v>
      </c>
      <c r="AL186" s="1"/>
    </row>
    <row r="187" spans="1:38" hidden="1" x14ac:dyDescent="0.25">
      <c r="A187" s="2">
        <v>276</v>
      </c>
      <c r="B187" s="1" t="s">
        <v>235</v>
      </c>
      <c r="C187" s="1" t="s">
        <v>239</v>
      </c>
      <c r="D187" s="1" t="s">
        <v>2062</v>
      </c>
      <c r="E187" s="1" t="s">
        <v>2063</v>
      </c>
      <c r="F187" s="3">
        <v>45329</v>
      </c>
      <c r="G187" s="3">
        <v>45051</v>
      </c>
      <c r="H187" s="3">
        <v>45416</v>
      </c>
      <c r="I187" s="1" t="s">
        <v>2502</v>
      </c>
      <c r="J187" s="1" t="s">
        <v>2503</v>
      </c>
      <c r="K187" s="1"/>
      <c r="L187" s="1" t="s">
        <v>2504</v>
      </c>
      <c r="M187" s="1" t="s">
        <v>2505</v>
      </c>
      <c r="N187" s="1" t="s">
        <v>2506</v>
      </c>
      <c r="O187" s="1" t="s">
        <v>2507</v>
      </c>
      <c r="P187" s="1" t="s">
        <v>2247</v>
      </c>
      <c r="Q187" s="1"/>
      <c r="R187" s="1"/>
      <c r="S187" s="1" t="s">
        <v>2072</v>
      </c>
      <c r="T187" s="1" t="s">
        <v>2508</v>
      </c>
      <c r="U187" s="4">
        <v>3100000</v>
      </c>
      <c r="V187" s="4">
        <v>317</v>
      </c>
      <c r="W187" s="4">
        <v>3</v>
      </c>
      <c r="X187" s="4">
        <v>41</v>
      </c>
      <c r="Y187" s="4">
        <v>0</v>
      </c>
      <c r="Z187" s="5">
        <v>361</v>
      </c>
      <c r="AA187" s="5">
        <v>0</v>
      </c>
      <c r="AB187" s="6">
        <v>0</v>
      </c>
      <c r="AC187" s="4">
        <v>361</v>
      </c>
      <c r="AD187" s="4">
        <v>0</v>
      </c>
      <c r="AE187" s="4">
        <v>361</v>
      </c>
      <c r="AF187" s="1"/>
      <c r="AG187" s="1"/>
      <c r="AH187" s="1"/>
      <c r="AI187" s="1"/>
      <c r="AJ187" s="6">
        <v>85.08</v>
      </c>
      <c r="AK187" s="6">
        <v>85.08</v>
      </c>
      <c r="AL187" s="1"/>
    </row>
    <row r="188" spans="1:38" hidden="1" x14ac:dyDescent="0.25">
      <c r="A188" s="2">
        <v>277</v>
      </c>
      <c r="B188" s="1" t="s">
        <v>235</v>
      </c>
      <c r="C188" s="1" t="s">
        <v>240</v>
      </c>
      <c r="D188" s="1" t="s">
        <v>2062</v>
      </c>
      <c r="E188" s="1" t="s">
        <v>2063</v>
      </c>
      <c r="F188" s="3">
        <v>45356</v>
      </c>
      <c r="G188" s="3">
        <v>45051</v>
      </c>
      <c r="H188" s="3">
        <v>45416</v>
      </c>
      <c r="I188" s="1" t="s">
        <v>2502</v>
      </c>
      <c r="J188" s="1" t="s">
        <v>2503</v>
      </c>
      <c r="K188" s="1"/>
      <c r="L188" s="1" t="s">
        <v>2504</v>
      </c>
      <c r="M188" s="1" t="s">
        <v>2505</v>
      </c>
      <c r="N188" s="1" t="s">
        <v>2506</v>
      </c>
      <c r="O188" s="1" t="s">
        <v>2507</v>
      </c>
      <c r="P188" s="1" t="s">
        <v>2247</v>
      </c>
      <c r="Q188" s="1"/>
      <c r="R188" s="1"/>
      <c r="S188" s="1" t="s">
        <v>2072</v>
      </c>
      <c r="T188" s="1" t="s">
        <v>2508</v>
      </c>
      <c r="U188" s="4">
        <v>3100000</v>
      </c>
      <c r="V188" s="4">
        <v>183</v>
      </c>
      <c r="W188" s="4">
        <v>2</v>
      </c>
      <c r="X188" s="4">
        <v>24</v>
      </c>
      <c r="Y188" s="4">
        <v>0</v>
      </c>
      <c r="Z188" s="5">
        <v>209</v>
      </c>
      <c r="AA188" s="5">
        <v>0</v>
      </c>
      <c r="AB188" s="6">
        <v>0</v>
      </c>
      <c r="AC188" s="4">
        <v>209</v>
      </c>
      <c r="AD188" s="4">
        <v>0</v>
      </c>
      <c r="AE188" s="4">
        <v>209</v>
      </c>
      <c r="AF188" s="1"/>
      <c r="AG188" s="1"/>
      <c r="AH188" s="1"/>
      <c r="AI188" s="1"/>
      <c r="AJ188" s="6">
        <v>49.1</v>
      </c>
      <c r="AK188" s="6">
        <v>49.1</v>
      </c>
      <c r="AL188" s="1"/>
    </row>
    <row r="189" spans="1:38" hidden="1" x14ac:dyDescent="0.25">
      <c r="A189" s="2">
        <v>278</v>
      </c>
      <c r="B189" s="1" t="s">
        <v>235</v>
      </c>
      <c r="C189" s="1" t="s">
        <v>241</v>
      </c>
      <c r="D189" s="1" t="s">
        <v>2062</v>
      </c>
      <c r="E189" s="1" t="s">
        <v>2063</v>
      </c>
      <c r="F189" s="3">
        <v>45596</v>
      </c>
      <c r="G189" s="3">
        <v>45051</v>
      </c>
      <c r="H189" s="3">
        <v>45416</v>
      </c>
      <c r="I189" s="1" t="s">
        <v>2502</v>
      </c>
      <c r="J189" s="1" t="s">
        <v>2503</v>
      </c>
      <c r="K189" s="1"/>
      <c r="L189" s="1" t="s">
        <v>2504</v>
      </c>
      <c r="M189" s="1" t="s">
        <v>2505</v>
      </c>
      <c r="N189" s="1" t="s">
        <v>2506</v>
      </c>
      <c r="O189" s="1" t="s">
        <v>2507</v>
      </c>
      <c r="P189" s="1" t="s">
        <v>2247</v>
      </c>
      <c r="Q189" s="1"/>
      <c r="R189" s="1"/>
      <c r="S189" s="1" t="s">
        <v>2072</v>
      </c>
      <c r="T189" s="1" t="s">
        <v>2508</v>
      </c>
      <c r="U189" s="4">
        <v>-1</v>
      </c>
      <c r="V189" s="4">
        <v>-1365</v>
      </c>
      <c r="W189" s="4">
        <v>-14</v>
      </c>
      <c r="X189" s="4">
        <v>0</v>
      </c>
      <c r="Y189" s="4">
        <v>0</v>
      </c>
      <c r="Z189" s="5">
        <v>-1379</v>
      </c>
      <c r="AA189" s="5">
        <v>0</v>
      </c>
      <c r="AB189" s="6">
        <v>0</v>
      </c>
      <c r="AC189" s="4">
        <v>-1379</v>
      </c>
      <c r="AD189" s="4">
        <v>0</v>
      </c>
      <c r="AE189" s="4">
        <v>-1379</v>
      </c>
      <c r="AF189" s="1"/>
      <c r="AG189" s="1"/>
      <c r="AH189" s="1"/>
      <c r="AI189" s="1"/>
      <c r="AJ189" s="1"/>
      <c r="AK189" s="1"/>
      <c r="AL189" s="1"/>
    </row>
    <row r="190" spans="1:38" x14ac:dyDescent="0.25">
      <c r="A190" s="2">
        <v>282</v>
      </c>
      <c r="B190" s="1" t="s">
        <v>242</v>
      </c>
      <c r="C190" s="1"/>
      <c r="D190" s="1" t="s">
        <v>2062</v>
      </c>
      <c r="E190" s="1" t="s">
        <v>2063</v>
      </c>
      <c r="F190" s="3">
        <v>45057</v>
      </c>
      <c r="G190" s="3">
        <v>45055</v>
      </c>
      <c r="H190" s="3">
        <v>45420</v>
      </c>
      <c r="I190" s="1" t="s">
        <v>2509</v>
      </c>
      <c r="J190" s="1" t="s">
        <v>2510</v>
      </c>
      <c r="K190" s="1"/>
      <c r="L190" s="1" t="s">
        <v>2511</v>
      </c>
      <c r="M190" s="1" t="s">
        <v>2512</v>
      </c>
      <c r="N190" s="1" t="s">
        <v>2513</v>
      </c>
      <c r="O190" s="1" t="s">
        <v>2514</v>
      </c>
      <c r="P190" s="1" t="s">
        <v>2081</v>
      </c>
      <c r="Q190" s="1"/>
      <c r="R190" s="1"/>
      <c r="S190" s="1" t="s">
        <v>2072</v>
      </c>
      <c r="T190" s="1" t="s">
        <v>2073</v>
      </c>
      <c r="U190" s="4">
        <v>-1</v>
      </c>
      <c r="V190" s="4">
        <v>4343</v>
      </c>
      <c r="W190" s="4">
        <v>43</v>
      </c>
      <c r="X190" s="4">
        <v>564</v>
      </c>
      <c r="Y190" s="4">
        <v>50</v>
      </c>
      <c r="Z190" s="5">
        <v>5000</v>
      </c>
      <c r="AA190" s="5">
        <v>5006</v>
      </c>
      <c r="AB190" s="6">
        <v>0</v>
      </c>
      <c r="AC190" s="4">
        <v>-6</v>
      </c>
      <c r="AD190" s="4">
        <v>0</v>
      </c>
      <c r="AE190" s="4">
        <v>-6</v>
      </c>
      <c r="AF190" s="1"/>
      <c r="AG190" s="1"/>
      <c r="AH190" s="1"/>
      <c r="AI190" s="1" t="s">
        <v>2380</v>
      </c>
      <c r="AJ190" s="1"/>
      <c r="AK190" s="1"/>
      <c r="AL190" s="1" t="s">
        <v>2515</v>
      </c>
    </row>
    <row r="191" spans="1:38" hidden="1" x14ac:dyDescent="0.25">
      <c r="A191" s="2">
        <v>283</v>
      </c>
      <c r="B191" s="1" t="s">
        <v>242</v>
      </c>
      <c r="C191" s="1" t="s">
        <v>243</v>
      </c>
      <c r="D191" s="1" t="s">
        <v>2062</v>
      </c>
      <c r="E191" s="1" t="s">
        <v>2063</v>
      </c>
      <c r="F191" s="3">
        <v>45178</v>
      </c>
      <c r="G191" s="3">
        <v>45055</v>
      </c>
      <c r="H191" s="3">
        <v>45420</v>
      </c>
      <c r="I191" s="1" t="s">
        <v>2509</v>
      </c>
      <c r="J191" s="1" t="s">
        <v>2510</v>
      </c>
      <c r="K191" s="1"/>
      <c r="L191" s="1" t="s">
        <v>2511</v>
      </c>
      <c r="M191" s="1" t="s">
        <v>2512</v>
      </c>
      <c r="N191" s="1" t="s">
        <v>2513</v>
      </c>
      <c r="O191" s="1" t="s">
        <v>2514</v>
      </c>
      <c r="P191" s="1" t="s">
        <v>2081</v>
      </c>
      <c r="Q191" s="1"/>
      <c r="R191" s="1"/>
      <c r="S191" s="1" t="s">
        <v>2072</v>
      </c>
      <c r="T191" s="1" t="s">
        <v>2073</v>
      </c>
      <c r="U191" s="4">
        <v>2750000</v>
      </c>
      <c r="V191" s="4">
        <v>1989</v>
      </c>
      <c r="W191" s="4">
        <v>20</v>
      </c>
      <c r="X191" s="4">
        <v>259</v>
      </c>
      <c r="Y191" s="4">
        <v>0</v>
      </c>
      <c r="Z191" s="5">
        <v>2268</v>
      </c>
      <c r="AA191" s="5">
        <v>2262</v>
      </c>
      <c r="AB191" s="6">
        <v>0</v>
      </c>
      <c r="AC191" s="4">
        <v>6</v>
      </c>
      <c r="AD191" s="4">
        <v>0</v>
      </c>
      <c r="AE191" s="4">
        <v>6</v>
      </c>
      <c r="AF191" s="1"/>
      <c r="AG191" s="1"/>
      <c r="AH191" s="1"/>
      <c r="AI191" s="1" t="s">
        <v>2380</v>
      </c>
      <c r="AJ191" s="6">
        <v>1019.829999999999</v>
      </c>
      <c r="AK191" s="6">
        <v>601.97</v>
      </c>
      <c r="AL191" s="1"/>
    </row>
    <row r="192" spans="1:38" hidden="1" x14ac:dyDescent="0.25">
      <c r="A192" s="2">
        <v>284</v>
      </c>
      <c r="B192" s="1" t="s">
        <v>244</v>
      </c>
      <c r="C192" s="1" t="s">
        <v>245</v>
      </c>
      <c r="D192" s="1" t="s">
        <v>2062</v>
      </c>
      <c r="E192" s="1" t="s">
        <v>2063</v>
      </c>
      <c r="F192" s="3">
        <v>45425</v>
      </c>
      <c r="G192" s="3">
        <v>45059</v>
      </c>
      <c r="H192" s="3">
        <v>45424</v>
      </c>
      <c r="I192" s="1" t="s">
        <v>2516</v>
      </c>
      <c r="J192" s="1" t="s">
        <v>2517</v>
      </c>
      <c r="K192" s="1"/>
      <c r="L192" s="1" t="s">
        <v>2322</v>
      </c>
      <c r="M192" s="1" t="s">
        <v>2518</v>
      </c>
      <c r="N192" s="1" t="s">
        <v>2519</v>
      </c>
      <c r="O192" s="1" t="s">
        <v>2520</v>
      </c>
      <c r="P192" s="1" t="s">
        <v>2182</v>
      </c>
      <c r="Q192" s="1"/>
      <c r="R192" s="1"/>
      <c r="S192" s="1" t="s">
        <v>2072</v>
      </c>
      <c r="T192" s="1" t="s">
        <v>2073</v>
      </c>
      <c r="U192" s="4">
        <v>1800000</v>
      </c>
      <c r="V192" s="4">
        <v>1039</v>
      </c>
      <c r="W192" s="4">
        <v>10</v>
      </c>
      <c r="X192" s="4">
        <v>135</v>
      </c>
      <c r="Y192" s="4">
        <v>0</v>
      </c>
      <c r="Z192" s="5">
        <v>1184</v>
      </c>
      <c r="AA192" s="5">
        <v>0</v>
      </c>
      <c r="AB192" s="6">
        <v>0</v>
      </c>
      <c r="AC192" s="4">
        <v>1184</v>
      </c>
      <c r="AD192" s="4">
        <v>0</v>
      </c>
      <c r="AE192" s="4">
        <v>1184</v>
      </c>
      <c r="AF192" s="1"/>
      <c r="AG192" s="1"/>
      <c r="AH192" s="1"/>
      <c r="AI192" s="1" t="s">
        <v>2327</v>
      </c>
      <c r="AJ192" s="6">
        <v>648.29000000000008</v>
      </c>
      <c r="AK192" s="6">
        <v>479.91</v>
      </c>
      <c r="AL192" s="1"/>
    </row>
    <row r="193" spans="1:38" hidden="1" x14ac:dyDescent="0.25">
      <c r="A193" s="2">
        <v>285</v>
      </c>
      <c r="B193" s="1" t="s">
        <v>244</v>
      </c>
      <c r="C193" s="1" t="s">
        <v>246</v>
      </c>
      <c r="D193" s="1" t="s">
        <v>2062</v>
      </c>
      <c r="E193" s="1" t="s">
        <v>2063</v>
      </c>
      <c r="F193" s="3">
        <v>45655</v>
      </c>
      <c r="G193" s="3">
        <v>45059</v>
      </c>
      <c r="H193" s="3">
        <v>45424</v>
      </c>
      <c r="I193" s="1" t="s">
        <v>2516</v>
      </c>
      <c r="J193" s="1" t="s">
        <v>2517</v>
      </c>
      <c r="K193" s="1"/>
      <c r="L193" s="1" t="s">
        <v>2322</v>
      </c>
      <c r="M193" s="1" t="s">
        <v>2518</v>
      </c>
      <c r="N193" s="1" t="s">
        <v>2519</v>
      </c>
      <c r="O193" s="1" t="s">
        <v>2520</v>
      </c>
      <c r="P193" s="1" t="s">
        <v>2182</v>
      </c>
      <c r="Q193" s="1"/>
      <c r="R193" s="1"/>
      <c r="S193" s="1" t="s">
        <v>2072</v>
      </c>
      <c r="T193" s="1" t="s">
        <v>2073</v>
      </c>
      <c r="U193" s="4">
        <v>-1</v>
      </c>
      <c r="V193" s="4">
        <v>-1172</v>
      </c>
      <c r="W193" s="4">
        <v>-12</v>
      </c>
      <c r="X193" s="4">
        <v>0</v>
      </c>
      <c r="Y193" s="4">
        <v>0</v>
      </c>
      <c r="Z193" s="5">
        <v>-1184</v>
      </c>
      <c r="AA193" s="5">
        <v>0</v>
      </c>
      <c r="AB193" s="6">
        <v>0</v>
      </c>
      <c r="AC193" s="4">
        <v>-1184</v>
      </c>
      <c r="AD193" s="4">
        <v>0</v>
      </c>
      <c r="AE193" s="4">
        <v>-1184</v>
      </c>
      <c r="AF193" s="1"/>
      <c r="AG193" s="1"/>
      <c r="AH193" s="1"/>
      <c r="AI193" s="1" t="s">
        <v>2327</v>
      </c>
      <c r="AJ193" s="1"/>
      <c r="AK193" s="1"/>
      <c r="AL193" s="1"/>
    </row>
    <row r="194" spans="1:38" hidden="1" x14ac:dyDescent="0.25">
      <c r="A194" s="2">
        <v>291</v>
      </c>
      <c r="B194" s="1" t="s">
        <v>247</v>
      </c>
      <c r="C194" s="1" t="s">
        <v>248</v>
      </c>
      <c r="D194" s="1" t="s">
        <v>2062</v>
      </c>
      <c r="E194" s="1" t="s">
        <v>2063</v>
      </c>
      <c r="F194" s="3">
        <v>45398</v>
      </c>
      <c r="G194" s="3">
        <v>45062</v>
      </c>
      <c r="H194" s="3">
        <v>45427</v>
      </c>
      <c r="I194" s="1" t="s">
        <v>2521</v>
      </c>
      <c r="J194" s="1" t="s">
        <v>2522</v>
      </c>
      <c r="K194" s="1"/>
      <c r="L194" s="1" t="s">
        <v>2523</v>
      </c>
      <c r="M194" s="1" t="s">
        <v>2524</v>
      </c>
      <c r="N194" s="1" t="s">
        <v>2525</v>
      </c>
      <c r="O194" s="1" t="s">
        <v>2526</v>
      </c>
      <c r="P194" s="1" t="s">
        <v>2165</v>
      </c>
      <c r="Q194" s="1"/>
      <c r="R194" s="1"/>
      <c r="S194" s="1" t="s">
        <v>2072</v>
      </c>
      <c r="T194" s="1" t="s">
        <v>2073</v>
      </c>
      <c r="U194" s="4">
        <v>1200000</v>
      </c>
      <c r="V194" s="4">
        <v>832</v>
      </c>
      <c r="W194" s="4">
        <v>8</v>
      </c>
      <c r="X194" s="4">
        <v>109</v>
      </c>
      <c r="Y194" s="4">
        <v>0</v>
      </c>
      <c r="Z194" s="5">
        <v>949</v>
      </c>
      <c r="AA194" s="5">
        <v>0</v>
      </c>
      <c r="AB194" s="6">
        <v>0</v>
      </c>
      <c r="AC194" s="4">
        <v>949</v>
      </c>
      <c r="AD194" s="4">
        <v>0</v>
      </c>
      <c r="AE194" s="4">
        <v>949</v>
      </c>
      <c r="AF194" s="1"/>
      <c r="AG194" s="1"/>
      <c r="AH194" s="1"/>
      <c r="AI194" s="1" t="s">
        <v>2304</v>
      </c>
      <c r="AJ194" s="6">
        <v>1072.060000000024</v>
      </c>
      <c r="AK194" s="6">
        <v>576.68000000000006</v>
      </c>
      <c r="AL194" s="1"/>
    </row>
    <row r="195" spans="1:38" hidden="1" x14ac:dyDescent="0.25">
      <c r="A195" s="2">
        <v>292</v>
      </c>
      <c r="B195" s="1" t="s">
        <v>247</v>
      </c>
      <c r="C195" s="1" t="s">
        <v>249</v>
      </c>
      <c r="D195" s="1" t="s">
        <v>2062</v>
      </c>
      <c r="E195" s="1" t="s">
        <v>2063</v>
      </c>
      <c r="F195" s="3">
        <v>45428</v>
      </c>
      <c r="G195" s="3">
        <v>45062</v>
      </c>
      <c r="H195" s="3">
        <v>45427</v>
      </c>
      <c r="I195" s="1" t="s">
        <v>2521</v>
      </c>
      <c r="J195" s="1" t="s">
        <v>2522</v>
      </c>
      <c r="K195" s="1"/>
      <c r="L195" s="1" t="s">
        <v>2523</v>
      </c>
      <c r="M195" s="1" t="s">
        <v>2524</v>
      </c>
      <c r="N195" s="1" t="s">
        <v>2525</v>
      </c>
      <c r="O195" s="1" t="s">
        <v>2526</v>
      </c>
      <c r="P195" s="1" t="s">
        <v>2165</v>
      </c>
      <c r="Q195" s="1"/>
      <c r="R195" s="1"/>
      <c r="S195" s="1" t="s">
        <v>2072</v>
      </c>
      <c r="T195" s="1" t="s">
        <v>2073</v>
      </c>
      <c r="U195" s="4">
        <v>1200000</v>
      </c>
      <c r="V195" s="4">
        <v>378</v>
      </c>
      <c r="W195" s="4">
        <v>4</v>
      </c>
      <c r="X195" s="4">
        <v>50</v>
      </c>
      <c r="Y195" s="4">
        <v>0</v>
      </c>
      <c r="Z195" s="5">
        <v>432</v>
      </c>
      <c r="AA195" s="5">
        <v>0</v>
      </c>
      <c r="AB195" s="6">
        <v>0</v>
      </c>
      <c r="AC195" s="4">
        <v>432</v>
      </c>
      <c r="AD195" s="4">
        <v>0</v>
      </c>
      <c r="AE195" s="4">
        <v>432</v>
      </c>
      <c r="AF195" s="1"/>
      <c r="AG195" s="1"/>
      <c r="AH195" s="1"/>
      <c r="AI195" s="1" t="s">
        <v>2304</v>
      </c>
      <c r="AJ195" s="6">
        <v>641.43000000001905</v>
      </c>
      <c r="AK195" s="6">
        <v>262.15000000000003</v>
      </c>
      <c r="AL195" s="1"/>
    </row>
    <row r="196" spans="1:38" hidden="1" x14ac:dyDescent="0.25">
      <c r="A196" s="2">
        <v>293</v>
      </c>
      <c r="B196" s="1" t="s">
        <v>247</v>
      </c>
      <c r="C196" s="1" t="s">
        <v>250</v>
      </c>
      <c r="D196" s="1" t="s">
        <v>2062</v>
      </c>
      <c r="E196" s="1" t="s">
        <v>2063</v>
      </c>
      <c r="F196" s="3">
        <v>45655</v>
      </c>
      <c r="G196" s="3">
        <v>45062</v>
      </c>
      <c r="H196" s="3">
        <v>45427</v>
      </c>
      <c r="I196" s="1" t="s">
        <v>2521</v>
      </c>
      <c r="J196" s="1" t="s">
        <v>2522</v>
      </c>
      <c r="K196" s="1"/>
      <c r="L196" s="1" t="s">
        <v>2523</v>
      </c>
      <c r="M196" s="1" t="s">
        <v>2524</v>
      </c>
      <c r="N196" s="1" t="s">
        <v>2525</v>
      </c>
      <c r="O196" s="1" t="s">
        <v>2526</v>
      </c>
      <c r="P196" s="1" t="s">
        <v>2165</v>
      </c>
      <c r="Q196" s="1"/>
      <c r="R196" s="1"/>
      <c r="S196" s="1" t="s">
        <v>2072</v>
      </c>
      <c r="T196" s="1" t="s">
        <v>2073</v>
      </c>
      <c r="U196" s="4">
        <v>-1</v>
      </c>
      <c r="V196" s="4">
        <v>-1367</v>
      </c>
      <c r="W196" s="4">
        <v>-14</v>
      </c>
      <c r="X196" s="4">
        <v>0</v>
      </c>
      <c r="Y196" s="4">
        <v>0</v>
      </c>
      <c r="Z196" s="5">
        <v>-1381</v>
      </c>
      <c r="AA196" s="5">
        <v>0</v>
      </c>
      <c r="AB196" s="6">
        <v>0</v>
      </c>
      <c r="AC196" s="4">
        <v>-1381</v>
      </c>
      <c r="AD196" s="4">
        <v>0</v>
      </c>
      <c r="AE196" s="4">
        <v>-1381</v>
      </c>
      <c r="AF196" s="1"/>
      <c r="AG196" s="1"/>
      <c r="AH196" s="1"/>
      <c r="AI196" s="1" t="s">
        <v>2304</v>
      </c>
      <c r="AJ196" s="1"/>
      <c r="AK196" s="1"/>
      <c r="AL196" s="1"/>
    </row>
    <row r="197" spans="1:38" hidden="1" x14ac:dyDescent="0.25">
      <c r="A197" s="2">
        <v>294</v>
      </c>
      <c r="B197" s="1" t="s">
        <v>251</v>
      </c>
      <c r="C197" s="1" t="s">
        <v>252</v>
      </c>
      <c r="D197" s="1" t="s">
        <v>2062</v>
      </c>
      <c r="E197" s="1" t="s">
        <v>2063</v>
      </c>
      <c r="F197" s="3">
        <v>45375</v>
      </c>
      <c r="G197" s="3">
        <v>45069</v>
      </c>
      <c r="H197" s="3">
        <v>45434</v>
      </c>
      <c r="I197" s="1" t="s">
        <v>2527</v>
      </c>
      <c r="J197" s="1" t="s">
        <v>2528</v>
      </c>
      <c r="K197" s="1"/>
      <c r="L197" s="1" t="s">
        <v>2529</v>
      </c>
      <c r="M197" s="1" t="s">
        <v>2530</v>
      </c>
      <c r="N197" s="1" t="s">
        <v>2531</v>
      </c>
      <c r="O197" s="1" t="s">
        <v>2532</v>
      </c>
      <c r="P197" s="1" t="s">
        <v>2088</v>
      </c>
      <c r="Q197" s="1"/>
      <c r="R197" s="1"/>
      <c r="S197" s="1" t="s">
        <v>2072</v>
      </c>
      <c r="T197" s="1" t="s">
        <v>2073</v>
      </c>
      <c r="U197" s="4">
        <v>7000000</v>
      </c>
      <c r="V197" s="4">
        <v>1044</v>
      </c>
      <c r="W197" s="4">
        <v>11</v>
      </c>
      <c r="X197" s="4">
        <v>136</v>
      </c>
      <c r="Y197" s="4">
        <v>0</v>
      </c>
      <c r="Z197" s="5">
        <v>1191</v>
      </c>
      <c r="AA197" s="5">
        <v>0</v>
      </c>
      <c r="AB197" s="6">
        <v>0</v>
      </c>
      <c r="AC197" s="4">
        <v>1191</v>
      </c>
      <c r="AD197" s="4">
        <v>0</v>
      </c>
      <c r="AE197" s="4">
        <v>1191</v>
      </c>
      <c r="AF197" s="1"/>
      <c r="AG197" s="1"/>
      <c r="AH197" s="1"/>
      <c r="AI197" s="1" t="s">
        <v>2380</v>
      </c>
      <c r="AJ197" s="6">
        <v>124.3</v>
      </c>
      <c r="AK197" s="6">
        <v>124.3</v>
      </c>
      <c r="AL197" s="1"/>
    </row>
    <row r="198" spans="1:38" hidden="1" x14ac:dyDescent="0.25">
      <c r="A198" s="2">
        <v>295</v>
      </c>
      <c r="B198" s="1" t="s">
        <v>251</v>
      </c>
      <c r="C198" s="1" t="s">
        <v>253</v>
      </c>
      <c r="D198" s="1" t="s">
        <v>2062</v>
      </c>
      <c r="E198" s="1" t="s">
        <v>2063</v>
      </c>
      <c r="F198" s="3">
        <v>45405</v>
      </c>
      <c r="G198" s="3">
        <v>45069</v>
      </c>
      <c r="H198" s="3">
        <v>45434</v>
      </c>
      <c r="I198" s="1" t="s">
        <v>2527</v>
      </c>
      <c r="J198" s="1" t="s">
        <v>2528</v>
      </c>
      <c r="K198" s="1"/>
      <c r="L198" s="1" t="s">
        <v>2529</v>
      </c>
      <c r="M198" s="1" t="s">
        <v>2530</v>
      </c>
      <c r="N198" s="1" t="s">
        <v>2531</v>
      </c>
      <c r="O198" s="1" t="s">
        <v>2532</v>
      </c>
      <c r="P198" s="1" t="s">
        <v>2088</v>
      </c>
      <c r="Q198" s="1"/>
      <c r="R198" s="1"/>
      <c r="S198" s="1" t="s">
        <v>2072</v>
      </c>
      <c r="T198" s="1" t="s">
        <v>2073</v>
      </c>
      <c r="U198" s="4">
        <v>7000000</v>
      </c>
      <c r="V198" s="4">
        <v>3699</v>
      </c>
      <c r="W198" s="4">
        <v>37</v>
      </c>
      <c r="X198" s="4">
        <v>480</v>
      </c>
      <c r="Y198" s="4">
        <v>0</v>
      </c>
      <c r="Z198" s="5">
        <v>4216</v>
      </c>
      <c r="AA198" s="5">
        <v>0</v>
      </c>
      <c r="AB198" s="6">
        <v>0</v>
      </c>
      <c r="AC198" s="4">
        <v>4216</v>
      </c>
      <c r="AD198" s="4">
        <v>0</v>
      </c>
      <c r="AE198" s="4">
        <v>4216</v>
      </c>
      <c r="AF198" s="1"/>
      <c r="AG198" s="1"/>
      <c r="AH198" s="1"/>
      <c r="AI198" s="1" t="s">
        <v>2380</v>
      </c>
      <c r="AJ198" s="6">
        <v>1273.8500000000181</v>
      </c>
      <c r="AK198" s="6">
        <v>439.29000000000008</v>
      </c>
      <c r="AL198" s="1"/>
    </row>
    <row r="199" spans="1:38" hidden="1" x14ac:dyDescent="0.25">
      <c r="A199" s="2">
        <v>296</v>
      </c>
      <c r="B199" s="1" t="s">
        <v>251</v>
      </c>
      <c r="C199" s="1" t="s">
        <v>254</v>
      </c>
      <c r="D199" s="1" t="s">
        <v>2062</v>
      </c>
      <c r="E199" s="1" t="s">
        <v>2063</v>
      </c>
      <c r="F199" s="3">
        <v>45435</v>
      </c>
      <c r="G199" s="3">
        <v>45069</v>
      </c>
      <c r="H199" s="3">
        <v>45434</v>
      </c>
      <c r="I199" s="1" t="s">
        <v>2527</v>
      </c>
      <c r="J199" s="1" t="s">
        <v>2528</v>
      </c>
      <c r="K199" s="1"/>
      <c r="L199" s="1" t="s">
        <v>2529</v>
      </c>
      <c r="M199" s="1" t="s">
        <v>2530</v>
      </c>
      <c r="N199" s="1" t="s">
        <v>2531</v>
      </c>
      <c r="O199" s="1" t="s">
        <v>2532</v>
      </c>
      <c r="P199" s="1" t="s">
        <v>2088</v>
      </c>
      <c r="Q199" s="1"/>
      <c r="R199" s="1"/>
      <c r="S199" s="1" t="s">
        <v>2072</v>
      </c>
      <c r="T199" s="1" t="s">
        <v>2073</v>
      </c>
      <c r="U199" s="4">
        <v>7000000</v>
      </c>
      <c r="V199" s="4">
        <v>1463</v>
      </c>
      <c r="W199" s="4">
        <v>14</v>
      </c>
      <c r="X199" s="4">
        <v>190</v>
      </c>
      <c r="Y199" s="4">
        <v>0</v>
      </c>
      <c r="Z199" s="5">
        <v>1667</v>
      </c>
      <c r="AA199" s="5">
        <v>0</v>
      </c>
      <c r="AB199" s="6">
        <v>0</v>
      </c>
      <c r="AC199" s="4">
        <v>1667</v>
      </c>
      <c r="AD199" s="4">
        <v>0</v>
      </c>
      <c r="AE199" s="4">
        <v>1667</v>
      </c>
      <c r="AF199" s="1"/>
      <c r="AG199" s="1"/>
      <c r="AH199" s="1"/>
      <c r="AI199" s="1" t="s">
        <v>2380</v>
      </c>
      <c r="AJ199" s="6">
        <v>173.9</v>
      </c>
      <c r="AK199" s="6">
        <v>173.9</v>
      </c>
      <c r="AL199" s="1"/>
    </row>
    <row r="200" spans="1:38" hidden="1" x14ac:dyDescent="0.25">
      <c r="A200" s="2">
        <v>297</v>
      </c>
      <c r="B200" s="1" t="s">
        <v>251</v>
      </c>
      <c r="C200" s="1" t="s">
        <v>255</v>
      </c>
      <c r="D200" s="1" t="s">
        <v>2062</v>
      </c>
      <c r="E200" s="1" t="s">
        <v>2063</v>
      </c>
      <c r="F200" s="3">
        <v>45745</v>
      </c>
      <c r="G200" s="3">
        <v>45069</v>
      </c>
      <c r="H200" s="3">
        <v>45434</v>
      </c>
      <c r="I200" s="1" t="s">
        <v>2527</v>
      </c>
      <c r="J200" s="1" t="s">
        <v>2528</v>
      </c>
      <c r="K200" s="1"/>
      <c r="L200" s="1" t="s">
        <v>2529</v>
      </c>
      <c r="M200" s="1" t="s">
        <v>2530</v>
      </c>
      <c r="N200" s="1" t="s">
        <v>2531</v>
      </c>
      <c r="O200" s="1" t="s">
        <v>2532</v>
      </c>
      <c r="P200" s="1" t="s">
        <v>2088</v>
      </c>
      <c r="Q200" s="1"/>
      <c r="R200" s="1"/>
      <c r="S200" s="1" t="s">
        <v>2072</v>
      </c>
      <c r="T200" s="1" t="s">
        <v>2073</v>
      </c>
      <c r="U200" s="4">
        <v>-1</v>
      </c>
      <c r="V200" s="4">
        <v>-7012</v>
      </c>
      <c r="W200" s="4">
        <v>-62</v>
      </c>
      <c r="X200" s="4">
        <v>0</v>
      </c>
      <c r="Y200" s="4">
        <v>0</v>
      </c>
      <c r="Z200" s="5">
        <v>-7074</v>
      </c>
      <c r="AA200" s="5">
        <v>0</v>
      </c>
      <c r="AB200" s="6">
        <v>0</v>
      </c>
      <c r="AC200" s="4">
        <v>-7074</v>
      </c>
      <c r="AD200" s="4">
        <v>0</v>
      </c>
      <c r="AE200" s="4">
        <v>-7074</v>
      </c>
      <c r="AF200" s="1"/>
      <c r="AG200" s="1"/>
      <c r="AH200" s="1"/>
      <c r="AI200" s="1" t="s">
        <v>2380</v>
      </c>
      <c r="AJ200" s="1"/>
      <c r="AK200" s="1"/>
      <c r="AL200" s="1"/>
    </row>
    <row r="201" spans="1:38" x14ac:dyDescent="0.25">
      <c r="A201" s="2">
        <v>298</v>
      </c>
      <c r="B201" s="1" t="s">
        <v>256</v>
      </c>
      <c r="C201" s="1"/>
      <c r="D201" s="1" t="s">
        <v>2062</v>
      </c>
      <c r="E201" s="1" t="s">
        <v>2063</v>
      </c>
      <c r="F201" s="3">
        <v>45070</v>
      </c>
      <c r="G201" s="3">
        <v>45068</v>
      </c>
      <c r="H201" s="3">
        <v>45433</v>
      </c>
      <c r="I201" s="1" t="s">
        <v>2533</v>
      </c>
      <c r="J201" s="1" t="s">
        <v>2534</v>
      </c>
      <c r="K201" s="1"/>
      <c r="L201" s="1" t="s">
        <v>2283</v>
      </c>
      <c r="M201" s="1" t="s">
        <v>2535</v>
      </c>
      <c r="N201" s="1" t="s">
        <v>2536</v>
      </c>
      <c r="O201" s="1" t="s">
        <v>2537</v>
      </c>
      <c r="P201" s="1" t="s">
        <v>2081</v>
      </c>
      <c r="Q201" s="1"/>
      <c r="R201" s="1"/>
      <c r="S201" s="1" t="s">
        <v>2072</v>
      </c>
      <c r="T201" s="1" t="s">
        <v>2073</v>
      </c>
      <c r="U201" s="4">
        <v>-1</v>
      </c>
      <c r="V201" s="4">
        <v>4343</v>
      </c>
      <c r="W201" s="4">
        <v>43</v>
      </c>
      <c r="X201" s="4">
        <v>564</v>
      </c>
      <c r="Y201" s="4">
        <v>50</v>
      </c>
      <c r="Z201" s="5">
        <v>5000</v>
      </c>
      <c r="AA201" s="5">
        <v>5002</v>
      </c>
      <c r="AB201" s="6">
        <v>0</v>
      </c>
      <c r="AC201" s="4">
        <v>-2</v>
      </c>
      <c r="AD201" s="4">
        <v>0</v>
      </c>
      <c r="AE201" s="4">
        <v>-2</v>
      </c>
      <c r="AF201" s="1"/>
      <c r="AG201" s="1"/>
      <c r="AH201" s="1"/>
      <c r="AI201" s="1" t="s">
        <v>2380</v>
      </c>
      <c r="AJ201" s="1"/>
      <c r="AK201" s="1"/>
      <c r="AL201" s="1" t="s">
        <v>2538</v>
      </c>
    </row>
    <row r="202" spans="1:38" hidden="1" x14ac:dyDescent="0.25">
      <c r="A202" s="2">
        <v>299</v>
      </c>
      <c r="B202" s="1" t="s">
        <v>256</v>
      </c>
      <c r="C202" s="1" t="s">
        <v>257</v>
      </c>
      <c r="D202" s="1" t="s">
        <v>2062</v>
      </c>
      <c r="E202" s="1" t="s">
        <v>2063</v>
      </c>
      <c r="F202" s="3">
        <v>45077</v>
      </c>
      <c r="G202" s="3">
        <v>45068</v>
      </c>
      <c r="H202" s="3">
        <v>45433</v>
      </c>
      <c r="I202" s="1" t="s">
        <v>2533</v>
      </c>
      <c r="J202" s="1" t="s">
        <v>2534</v>
      </c>
      <c r="K202" s="1"/>
      <c r="L202" s="1" t="s">
        <v>2283</v>
      </c>
      <c r="M202" s="1" t="s">
        <v>2535</v>
      </c>
      <c r="N202" s="1" t="s">
        <v>2536</v>
      </c>
      <c r="O202" s="1" t="s">
        <v>2537</v>
      </c>
      <c r="P202" s="1" t="s">
        <v>2081</v>
      </c>
      <c r="Q202" s="1"/>
      <c r="R202" s="1"/>
      <c r="S202" s="1" t="s">
        <v>2072</v>
      </c>
      <c r="T202" s="1" t="s">
        <v>2073</v>
      </c>
      <c r="U202" s="4">
        <v>3200000</v>
      </c>
      <c r="V202" s="4">
        <v>51753</v>
      </c>
      <c r="W202" s="4">
        <v>518</v>
      </c>
      <c r="X202" s="4">
        <v>6729</v>
      </c>
      <c r="Y202" s="4">
        <v>0</v>
      </c>
      <c r="Z202" s="5">
        <v>59000</v>
      </c>
      <c r="AA202" s="5">
        <v>58998</v>
      </c>
      <c r="AB202" s="6">
        <v>0</v>
      </c>
      <c r="AC202" s="4">
        <v>2</v>
      </c>
      <c r="AD202" s="4">
        <v>0</v>
      </c>
      <c r="AE202" s="4">
        <v>2</v>
      </c>
      <c r="AF202" s="1"/>
      <c r="AG202" s="1"/>
      <c r="AH202" s="1"/>
      <c r="AI202" s="1" t="s">
        <v>2380</v>
      </c>
      <c r="AJ202" s="1"/>
      <c r="AK202" s="1"/>
      <c r="AL202" s="1" t="s">
        <v>2538</v>
      </c>
    </row>
    <row r="203" spans="1:38" hidden="1" x14ac:dyDescent="0.25">
      <c r="A203" s="2">
        <v>300</v>
      </c>
      <c r="B203" s="1" t="s">
        <v>258</v>
      </c>
      <c r="C203" s="1" t="s">
        <v>259</v>
      </c>
      <c r="D203" s="1" t="s">
        <v>2062</v>
      </c>
      <c r="E203" s="1" t="s">
        <v>2063</v>
      </c>
      <c r="F203" s="3">
        <v>45405</v>
      </c>
      <c r="G203" s="3">
        <v>45069</v>
      </c>
      <c r="H203" s="3">
        <v>45434</v>
      </c>
      <c r="I203" s="1" t="s">
        <v>2539</v>
      </c>
      <c r="J203" s="1" t="s">
        <v>2540</v>
      </c>
      <c r="K203" s="1"/>
      <c r="L203" s="1" t="s">
        <v>2541</v>
      </c>
      <c r="M203" s="1" t="s">
        <v>2542</v>
      </c>
      <c r="N203" s="1" t="s">
        <v>2543</v>
      </c>
      <c r="O203" s="1" t="s">
        <v>2544</v>
      </c>
      <c r="P203" s="1" t="s">
        <v>2182</v>
      </c>
      <c r="Q203" s="1"/>
      <c r="R203" s="1"/>
      <c r="S203" s="1" t="s">
        <v>2072</v>
      </c>
      <c r="T203" s="1" t="s">
        <v>2073</v>
      </c>
      <c r="U203" s="4">
        <v>5000000</v>
      </c>
      <c r="V203" s="4">
        <v>582</v>
      </c>
      <c r="W203" s="4">
        <v>5</v>
      </c>
      <c r="X203" s="4">
        <v>75</v>
      </c>
      <c r="Y203" s="4">
        <v>0</v>
      </c>
      <c r="Z203" s="5">
        <v>662</v>
      </c>
      <c r="AA203" s="5">
        <v>0</v>
      </c>
      <c r="AB203" s="6">
        <v>0</v>
      </c>
      <c r="AC203" s="4">
        <v>662</v>
      </c>
      <c r="AD203" s="4">
        <v>0</v>
      </c>
      <c r="AE203" s="4">
        <v>662</v>
      </c>
      <c r="AF203" s="1"/>
      <c r="AG203" s="1"/>
      <c r="AH203" s="1"/>
      <c r="AI203" s="1" t="s">
        <v>2380</v>
      </c>
      <c r="AJ203" s="6">
        <v>132.06</v>
      </c>
      <c r="AK203" s="6">
        <v>120.72</v>
      </c>
      <c r="AL203" s="1"/>
    </row>
    <row r="204" spans="1:38" hidden="1" x14ac:dyDescent="0.25">
      <c r="A204" s="2">
        <v>301</v>
      </c>
      <c r="B204" s="1" t="s">
        <v>258</v>
      </c>
      <c r="C204" s="1" t="s">
        <v>260</v>
      </c>
      <c r="D204" s="1" t="s">
        <v>2062</v>
      </c>
      <c r="E204" s="1" t="s">
        <v>2063</v>
      </c>
      <c r="F204" s="3">
        <v>45435</v>
      </c>
      <c r="G204" s="3">
        <v>45069</v>
      </c>
      <c r="H204" s="3">
        <v>45434</v>
      </c>
      <c r="I204" s="1" t="s">
        <v>2539</v>
      </c>
      <c r="J204" s="1" t="s">
        <v>2540</v>
      </c>
      <c r="K204" s="1"/>
      <c r="L204" s="1" t="s">
        <v>2541</v>
      </c>
      <c r="M204" s="1" t="s">
        <v>2542</v>
      </c>
      <c r="N204" s="1" t="s">
        <v>2543</v>
      </c>
      <c r="O204" s="1" t="s">
        <v>2544</v>
      </c>
      <c r="P204" s="1" t="s">
        <v>2182</v>
      </c>
      <c r="Q204" s="1"/>
      <c r="R204" s="1"/>
      <c r="S204" s="1" t="s">
        <v>2072</v>
      </c>
      <c r="T204" s="1" t="s">
        <v>2073</v>
      </c>
      <c r="U204" s="4">
        <v>5000000</v>
      </c>
      <c r="V204" s="4">
        <v>227</v>
      </c>
      <c r="W204" s="4">
        <v>2</v>
      </c>
      <c r="X204" s="4">
        <v>29</v>
      </c>
      <c r="Y204" s="4">
        <v>0</v>
      </c>
      <c r="Z204" s="5">
        <v>258</v>
      </c>
      <c r="AA204" s="5">
        <v>0</v>
      </c>
      <c r="AB204" s="6">
        <v>0</v>
      </c>
      <c r="AC204" s="4">
        <v>258</v>
      </c>
      <c r="AD204" s="4">
        <v>0</v>
      </c>
      <c r="AE204" s="4">
        <v>258</v>
      </c>
      <c r="AF204" s="1"/>
      <c r="AG204" s="1"/>
      <c r="AH204" s="1"/>
      <c r="AI204" s="1" t="s">
        <v>2380</v>
      </c>
      <c r="AJ204" s="6">
        <v>47.24</v>
      </c>
      <c r="AK204" s="6">
        <v>47.24</v>
      </c>
      <c r="AL204" s="1"/>
    </row>
    <row r="205" spans="1:38" hidden="1" x14ac:dyDescent="0.25">
      <c r="A205" s="2">
        <v>302</v>
      </c>
      <c r="B205" s="1" t="s">
        <v>258</v>
      </c>
      <c r="C205" s="1" t="s">
        <v>261</v>
      </c>
      <c r="D205" s="1" t="s">
        <v>2062</v>
      </c>
      <c r="E205" s="1" t="s">
        <v>2063</v>
      </c>
      <c r="F205" s="3">
        <v>45655</v>
      </c>
      <c r="G205" s="3">
        <v>45069</v>
      </c>
      <c r="H205" s="3">
        <v>45434</v>
      </c>
      <c r="I205" s="1" t="s">
        <v>2539</v>
      </c>
      <c r="J205" s="1" t="s">
        <v>2540</v>
      </c>
      <c r="K205" s="1"/>
      <c r="L205" s="1" t="s">
        <v>2541</v>
      </c>
      <c r="M205" s="1" t="s">
        <v>2542</v>
      </c>
      <c r="N205" s="1" t="s">
        <v>2543</v>
      </c>
      <c r="O205" s="1" t="s">
        <v>2544</v>
      </c>
      <c r="P205" s="1" t="s">
        <v>2182</v>
      </c>
      <c r="Q205" s="1"/>
      <c r="R205" s="1"/>
      <c r="S205" s="1" t="s">
        <v>2072</v>
      </c>
      <c r="T205" s="1" t="s">
        <v>2073</v>
      </c>
      <c r="U205" s="4">
        <v>-1</v>
      </c>
      <c r="V205" s="4">
        <v>-911</v>
      </c>
      <c r="W205" s="4">
        <v>-9</v>
      </c>
      <c r="X205" s="4">
        <v>0</v>
      </c>
      <c r="Y205" s="4">
        <v>0</v>
      </c>
      <c r="Z205" s="5">
        <v>-920</v>
      </c>
      <c r="AA205" s="5">
        <v>0</v>
      </c>
      <c r="AB205" s="6">
        <v>0</v>
      </c>
      <c r="AC205" s="4">
        <v>-920</v>
      </c>
      <c r="AD205" s="4">
        <v>0</v>
      </c>
      <c r="AE205" s="4">
        <v>-920</v>
      </c>
      <c r="AF205" s="1"/>
      <c r="AG205" s="1"/>
      <c r="AH205" s="1"/>
      <c r="AI205" s="1" t="s">
        <v>2380</v>
      </c>
      <c r="AJ205" s="1"/>
      <c r="AK205" s="1"/>
      <c r="AL205" s="1"/>
    </row>
    <row r="206" spans="1:38" hidden="1" x14ac:dyDescent="0.25">
      <c r="A206" s="2">
        <v>305</v>
      </c>
      <c r="B206" s="1" t="s">
        <v>262</v>
      </c>
      <c r="C206" s="1" t="s">
        <v>263</v>
      </c>
      <c r="D206" s="1" t="s">
        <v>2062</v>
      </c>
      <c r="E206" s="1" t="s">
        <v>2063</v>
      </c>
      <c r="F206" s="3">
        <v>45077</v>
      </c>
      <c r="G206" s="3">
        <v>45075</v>
      </c>
      <c r="H206" s="3">
        <v>45440</v>
      </c>
      <c r="I206" s="1" t="s">
        <v>2545</v>
      </c>
      <c r="J206" s="1" t="s">
        <v>2546</v>
      </c>
      <c r="K206" s="1"/>
      <c r="L206" s="1" t="s">
        <v>2547</v>
      </c>
      <c r="M206" s="1" t="s">
        <v>2548</v>
      </c>
      <c r="N206" s="1" t="s">
        <v>2549</v>
      </c>
      <c r="O206" s="1" t="s">
        <v>2550</v>
      </c>
      <c r="P206" s="1" t="s">
        <v>2095</v>
      </c>
      <c r="Q206" s="1"/>
      <c r="R206" s="1"/>
      <c r="S206" s="1" t="s">
        <v>2072</v>
      </c>
      <c r="T206" s="1" t="s">
        <v>2073</v>
      </c>
      <c r="U206" s="4">
        <v>2200000</v>
      </c>
      <c r="V206" s="4">
        <v>34166</v>
      </c>
      <c r="W206" s="4">
        <v>342</v>
      </c>
      <c r="X206" s="4">
        <v>4442</v>
      </c>
      <c r="Y206" s="4">
        <v>50</v>
      </c>
      <c r="Z206" s="5">
        <v>39000</v>
      </c>
      <c r="AA206" s="5">
        <v>0</v>
      </c>
      <c r="AB206" s="6">
        <v>0</v>
      </c>
      <c r="AC206" s="4">
        <v>39000</v>
      </c>
      <c r="AD206" s="4">
        <v>0</v>
      </c>
      <c r="AE206" s="4">
        <v>39000</v>
      </c>
      <c r="AF206" s="1"/>
      <c r="AG206" s="1"/>
      <c r="AH206" s="1"/>
      <c r="AI206" s="1" t="s">
        <v>2551</v>
      </c>
      <c r="AJ206" s="1"/>
      <c r="AK206" s="1"/>
      <c r="AL206" s="1"/>
    </row>
    <row r="207" spans="1:38" hidden="1" x14ac:dyDescent="0.25">
      <c r="A207" s="2">
        <v>306</v>
      </c>
      <c r="B207" s="1" t="s">
        <v>262</v>
      </c>
      <c r="C207" s="1" t="s">
        <v>264</v>
      </c>
      <c r="D207" s="1" t="s">
        <v>2062</v>
      </c>
      <c r="E207" s="1" t="s">
        <v>2063</v>
      </c>
      <c r="F207" s="3">
        <v>45112</v>
      </c>
      <c r="G207" s="3">
        <v>45075</v>
      </c>
      <c r="H207" s="3">
        <v>45440</v>
      </c>
      <c r="I207" s="1" t="s">
        <v>2545</v>
      </c>
      <c r="J207" s="1" t="s">
        <v>2546</v>
      </c>
      <c r="K207" s="1"/>
      <c r="L207" s="1" t="s">
        <v>2547</v>
      </c>
      <c r="M207" s="1" t="s">
        <v>2548</v>
      </c>
      <c r="N207" s="1" t="s">
        <v>2549</v>
      </c>
      <c r="O207" s="1" t="s">
        <v>2550</v>
      </c>
      <c r="P207" s="1" t="s">
        <v>2095</v>
      </c>
      <c r="Q207" s="1"/>
      <c r="R207" s="1"/>
      <c r="S207" s="1" t="s">
        <v>2072</v>
      </c>
      <c r="T207" s="1" t="s">
        <v>2073</v>
      </c>
      <c r="U207" s="4">
        <v>2200000</v>
      </c>
      <c r="V207" s="4">
        <v>1752</v>
      </c>
      <c r="W207" s="4">
        <v>17</v>
      </c>
      <c r="X207" s="4">
        <v>228</v>
      </c>
      <c r="Y207" s="4">
        <v>0</v>
      </c>
      <c r="Z207" s="5">
        <v>1997</v>
      </c>
      <c r="AA207" s="5">
        <v>0</v>
      </c>
      <c r="AB207" s="6">
        <v>0</v>
      </c>
      <c r="AC207" s="4">
        <v>1997</v>
      </c>
      <c r="AD207" s="4">
        <v>0</v>
      </c>
      <c r="AE207" s="4">
        <v>1997</v>
      </c>
      <c r="AF207" s="1"/>
      <c r="AG207" s="1"/>
      <c r="AH207" s="1"/>
      <c r="AI207" s="1" t="s">
        <v>2551</v>
      </c>
      <c r="AJ207" s="6">
        <v>727.53332023758401</v>
      </c>
      <c r="AK207" s="6">
        <v>662.46609762068499</v>
      </c>
      <c r="AL207" s="1"/>
    </row>
    <row r="208" spans="1:38" hidden="1" x14ac:dyDescent="0.25">
      <c r="A208" s="2">
        <v>307</v>
      </c>
      <c r="B208" s="1" t="s">
        <v>262</v>
      </c>
      <c r="C208" s="1" t="s">
        <v>265</v>
      </c>
      <c r="D208" s="1" t="s">
        <v>2062</v>
      </c>
      <c r="E208" s="1" t="s">
        <v>2063</v>
      </c>
      <c r="F208" s="3">
        <v>45136</v>
      </c>
      <c r="G208" s="3">
        <v>45075</v>
      </c>
      <c r="H208" s="3">
        <v>45440</v>
      </c>
      <c r="I208" s="1" t="s">
        <v>2545</v>
      </c>
      <c r="J208" s="1" t="s">
        <v>2546</v>
      </c>
      <c r="K208" s="1"/>
      <c r="L208" s="1" t="s">
        <v>2547</v>
      </c>
      <c r="M208" s="1" t="s">
        <v>2548</v>
      </c>
      <c r="N208" s="1" t="s">
        <v>2549</v>
      </c>
      <c r="O208" s="1" t="s">
        <v>2550</v>
      </c>
      <c r="P208" s="1" t="s">
        <v>2095</v>
      </c>
      <c r="Q208" s="1"/>
      <c r="R208" s="1"/>
      <c r="S208" s="1" t="s">
        <v>2072</v>
      </c>
      <c r="T208" s="1" t="s">
        <v>2073</v>
      </c>
      <c r="U208" s="4">
        <v>2200000</v>
      </c>
      <c r="V208" s="4">
        <v>1980</v>
      </c>
      <c r="W208" s="4">
        <v>20</v>
      </c>
      <c r="X208" s="4">
        <v>257</v>
      </c>
      <c r="Y208" s="4">
        <v>0</v>
      </c>
      <c r="Z208" s="5">
        <v>2257</v>
      </c>
      <c r="AA208" s="5">
        <v>0</v>
      </c>
      <c r="AB208" s="6">
        <v>0</v>
      </c>
      <c r="AC208" s="4">
        <v>2257</v>
      </c>
      <c r="AD208" s="4">
        <v>0</v>
      </c>
      <c r="AE208" s="4">
        <v>2257</v>
      </c>
      <c r="AF208" s="1"/>
      <c r="AG208" s="1"/>
      <c r="AH208" s="1"/>
      <c r="AI208" s="1" t="s">
        <v>2551</v>
      </c>
      <c r="AJ208" s="6">
        <v>779.19000000000096</v>
      </c>
      <c r="AK208" s="6">
        <v>748.64000000000101</v>
      </c>
      <c r="AL208" s="1"/>
    </row>
    <row r="209" spans="1:38" hidden="1" x14ac:dyDescent="0.25">
      <c r="A209" s="2">
        <v>308</v>
      </c>
      <c r="B209" s="1" t="s">
        <v>262</v>
      </c>
      <c r="C209" s="1" t="s">
        <v>266</v>
      </c>
      <c r="D209" s="1" t="s">
        <v>2062</v>
      </c>
      <c r="E209" s="1" t="s">
        <v>2063</v>
      </c>
      <c r="F209" s="3">
        <v>45289</v>
      </c>
      <c r="G209" s="3">
        <v>45075</v>
      </c>
      <c r="H209" s="3">
        <v>45440</v>
      </c>
      <c r="I209" s="1" t="s">
        <v>2545</v>
      </c>
      <c r="J209" s="1" t="s">
        <v>2546</v>
      </c>
      <c r="K209" s="1"/>
      <c r="L209" s="1" t="s">
        <v>2547</v>
      </c>
      <c r="M209" s="1" t="s">
        <v>2548</v>
      </c>
      <c r="N209" s="1" t="s">
        <v>2549</v>
      </c>
      <c r="O209" s="1" t="s">
        <v>2550</v>
      </c>
      <c r="P209" s="1" t="s">
        <v>2095</v>
      </c>
      <c r="Q209" s="1"/>
      <c r="R209" s="1"/>
      <c r="S209" s="1" t="s">
        <v>2072</v>
      </c>
      <c r="T209" s="1" t="s">
        <v>2073</v>
      </c>
      <c r="U209" s="4">
        <v>2200000</v>
      </c>
      <c r="V209" s="4">
        <v>-29824</v>
      </c>
      <c r="W209" s="4">
        <v>-298</v>
      </c>
      <c r="X209" s="4">
        <v>-3878</v>
      </c>
      <c r="Y209" s="4">
        <v>0</v>
      </c>
      <c r="Z209" s="5">
        <v>-34000</v>
      </c>
      <c r="AA209" s="5">
        <v>0</v>
      </c>
      <c r="AB209" s="6">
        <v>0</v>
      </c>
      <c r="AC209" s="4">
        <v>-34000</v>
      </c>
      <c r="AD209" s="4">
        <v>0</v>
      </c>
      <c r="AE209" s="4">
        <v>-34000</v>
      </c>
      <c r="AF209" s="1"/>
      <c r="AG209" s="1"/>
      <c r="AH209" s="1"/>
      <c r="AI209" s="1" t="s">
        <v>2551</v>
      </c>
      <c r="AJ209" s="1"/>
      <c r="AK209" s="1"/>
      <c r="AL209" s="1"/>
    </row>
    <row r="210" spans="1:38" hidden="1" x14ac:dyDescent="0.25">
      <c r="A210" s="2">
        <v>309</v>
      </c>
      <c r="B210" s="1" t="s">
        <v>262</v>
      </c>
      <c r="C210" s="1" t="s">
        <v>267</v>
      </c>
      <c r="D210" s="1" t="s">
        <v>2062</v>
      </c>
      <c r="E210" s="1" t="s">
        <v>2063</v>
      </c>
      <c r="F210" s="3">
        <v>45655</v>
      </c>
      <c r="G210" s="3">
        <v>45075</v>
      </c>
      <c r="H210" s="3">
        <v>45440</v>
      </c>
      <c r="I210" s="1" t="s">
        <v>2545</v>
      </c>
      <c r="J210" s="1" t="s">
        <v>2546</v>
      </c>
      <c r="K210" s="1"/>
      <c r="L210" s="1" t="s">
        <v>2547</v>
      </c>
      <c r="M210" s="1" t="s">
        <v>2548</v>
      </c>
      <c r="N210" s="1" t="s">
        <v>2549</v>
      </c>
      <c r="O210" s="1" t="s">
        <v>2550</v>
      </c>
      <c r="P210" s="1" t="s">
        <v>2095</v>
      </c>
      <c r="Q210" s="1"/>
      <c r="R210" s="1"/>
      <c r="S210" s="1" t="s">
        <v>2072</v>
      </c>
      <c r="T210" s="1" t="s">
        <v>2073</v>
      </c>
      <c r="U210" s="4">
        <v>-1</v>
      </c>
      <c r="V210" s="4">
        <v>-9162</v>
      </c>
      <c r="W210" s="4">
        <v>-92</v>
      </c>
      <c r="X210" s="4">
        <v>0</v>
      </c>
      <c r="Y210" s="4">
        <v>0</v>
      </c>
      <c r="Z210" s="5">
        <v>-9254</v>
      </c>
      <c r="AA210" s="5">
        <v>0</v>
      </c>
      <c r="AB210" s="6">
        <v>0</v>
      </c>
      <c r="AC210" s="4">
        <v>-9254</v>
      </c>
      <c r="AD210" s="4">
        <v>0</v>
      </c>
      <c r="AE210" s="4">
        <v>-9254</v>
      </c>
      <c r="AF210" s="1"/>
      <c r="AG210" s="1"/>
      <c r="AH210" s="1"/>
      <c r="AI210" s="1" t="s">
        <v>2551</v>
      </c>
      <c r="AJ210" s="1"/>
      <c r="AK210" s="1"/>
      <c r="AL210" s="1"/>
    </row>
    <row r="211" spans="1:38" x14ac:dyDescent="0.25">
      <c r="A211" s="2">
        <v>310</v>
      </c>
      <c r="B211" s="1" t="s">
        <v>268</v>
      </c>
      <c r="C211" s="1"/>
      <c r="D211" s="1" t="s">
        <v>2062</v>
      </c>
      <c r="E211" s="1" t="s">
        <v>2063</v>
      </c>
      <c r="F211" s="3">
        <v>45076</v>
      </c>
      <c r="G211" s="3">
        <v>45071</v>
      </c>
      <c r="H211" s="3">
        <v>45436</v>
      </c>
      <c r="I211" s="1" t="s">
        <v>2552</v>
      </c>
      <c r="J211" s="1" t="s">
        <v>2553</v>
      </c>
      <c r="K211" s="1"/>
      <c r="L211" s="1" t="s">
        <v>2178</v>
      </c>
      <c r="M211" s="1" t="s">
        <v>2554</v>
      </c>
      <c r="N211" s="1" t="s">
        <v>2555</v>
      </c>
      <c r="O211" s="1" t="s">
        <v>2556</v>
      </c>
      <c r="P211" s="1" t="s">
        <v>2182</v>
      </c>
      <c r="Q211" s="1"/>
      <c r="R211" s="1"/>
      <c r="S211" s="1" t="s">
        <v>2072</v>
      </c>
      <c r="T211" s="1" t="s">
        <v>2073</v>
      </c>
      <c r="U211" s="4">
        <v>2300000</v>
      </c>
      <c r="V211" s="4">
        <v>4343</v>
      </c>
      <c r="W211" s="4">
        <v>43</v>
      </c>
      <c r="X211" s="4">
        <v>564</v>
      </c>
      <c r="Y211" s="4">
        <v>50</v>
      </c>
      <c r="Z211" s="5">
        <v>5000</v>
      </c>
      <c r="AA211" s="5">
        <v>5001</v>
      </c>
      <c r="AB211" s="6">
        <v>0</v>
      </c>
      <c r="AC211" s="4">
        <v>-1</v>
      </c>
      <c r="AD211" s="4">
        <v>0</v>
      </c>
      <c r="AE211" s="4">
        <v>-1</v>
      </c>
      <c r="AF211" s="1"/>
      <c r="AG211" s="1"/>
      <c r="AH211" s="1"/>
      <c r="AI211" s="1" t="s">
        <v>2327</v>
      </c>
      <c r="AJ211" s="1"/>
      <c r="AK211" s="1"/>
      <c r="AL211" s="1" t="s">
        <v>2557</v>
      </c>
    </row>
    <row r="212" spans="1:38" hidden="1" x14ac:dyDescent="0.25">
      <c r="A212" s="2">
        <v>311</v>
      </c>
      <c r="B212" s="1" t="s">
        <v>268</v>
      </c>
      <c r="C212" s="1" t="s">
        <v>269</v>
      </c>
      <c r="D212" s="1" t="s">
        <v>2062</v>
      </c>
      <c r="E212" s="1" t="s">
        <v>2063</v>
      </c>
      <c r="F212" s="3">
        <v>45287</v>
      </c>
      <c r="G212" s="3">
        <v>45071</v>
      </c>
      <c r="H212" s="3">
        <v>45436</v>
      </c>
      <c r="I212" s="1" t="s">
        <v>2552</v>
      </c>
      <c r="J212" s="1" t="s">
        <v>2553</v>
      </c>
      <c r="K212" s="1"/>
      <c r="L212" s="1" t="s">
        <v>2178</v>
      </c>
      <c r="M212" s="1" t="s">
        <v>2554</v>
      </c>
      <c r="N212" s="1" t="s">
        <v>2555</v>
      </c>
      <c r="O212" s="1" t="s">
        <v>2556</v>
      </c>
      <c r="P212" s="1" t="s">
        <v>2182</v>
      </c>
      <c r="Q212" s="1"/>
      <c r="R212" s="1"/>
      <c r="S212" s="1" t="s">
        <v>2072</v>
      </c>
      <c r="T212" s="1" t="s">
        <v>2073</v>
      </c>
      <c r="U212" s="4">
        <v>2300000</v>
      </c>
      <c r="V212" s="4">
        <v>2307</v>
      </c>
      <c r="W212" s="4">
        <v>23</v>
      </c>
      <c r="X212" s="4">
        <v>300</v>
      </c>
      <c r="Y212" s="4">
        <v>0</v>
      </c>
      <c r="Z212" s="5">
        <v>2630</v>
      </c>
      <c r="AA212" s="5">
        <v>2629</v>
      </c>
      <c r="AB212" s="6">
        <v>0</v>
      </c>
      <c r="AC212" s="4">
        <v>1</v>
      </c>
      <c r="AD212" s="4">
        <v>0</v>
      </c>
      <c r="AE212" s="4">
        <v>1</v>
      </c>
      <c r="AF212" s="1"/>
      <c r="AG212" s="1"/>
      <c r="AH212" s="1"/>
      <c r="AI212" s="1" t="s">
        <v>2327</v>
      </c>
      <c r="AJ212" s="6">
        <v>894.15000000000111</v>
      </c>
      <c r="AK212" s="6">
        <v>834.07</v>
      </c>
      <c r="AL212" s="1"/>
    </row>
    <row r="213" spans="1:38" hidden="1" x14ac:dyDescent="0.25">
      <c r="A213" s="2">
        <v>312</v>
      </c>
      <c r="B213" s="1" t="s">
        <v>270</v>
      </c>
      <c r="C213" s="1" t="s">
        <v>271</v>
      </c>
      <c r="D213" s="1" t="s">
        <v>2062</v>
      </c>
      <c r="E213" s="1" t="s">
        <v>2063</v>
      </c>
      <c r="F213" s="3">
        <v>45412</v>
      </c>
      <c r="G213" s="3">
        <v>45076</v>
      </c>
      <c r="H213" s="3">
        <v>45441</v>
      </c>
      <c r="I213" s="1" t="s">
        <v>2558</v>
      </c>
      <c r="J213" s="1" t="s">
        <v>2559</v>
      </c>
      <c r="K213" s="1"/>
      <c r="L213" s="1" t="s">
        <v>2178</v>
      </c>
      <c r="M213" s="1" t="s">
        <v>2560</v>
      </c>
      <c r="N213" s="1" t="s">
        <v>2561</v>
      </c>
      <c r="O213" s="1" t="s">
        <v>2562</v>
      </c>
      <c r="P213" s="1" t="s">
        <v>2231</v>
      </c>
      <c r="Q213" s="1"/>
      <c r="R213" s="1"/>
      <c r="S213" s="1" t="s">
        <v>2072</v>
      </c>
      <c r="T213" s="1" t="s">
        <v>2073</v>
      </c>
      <c r="U213" s="4">
        <v>2000000</v>
      </c>
      <c r="V213" s="4">
        <v>1972</v>
      </c>
      <c r="W213" s="4">
        <v>20</v>
      </c>
      <c r="X213" s="4">
        <v>257</v>
      </c>
      <c r="Y213" s="4">
        <v>0</v>
      </c>
      <c r="Z213" s="5">
        <v>2249</v>
      </c>
      <c r="AA213" s="5">
        <v>0</v>
      </c>
      <c r="AB213" s="6">
        <v>0</v>
      </c>
      <c r="AC213" s="4">
        <v>2249</v>
      </c>
      <c r="AD213" s="4">
        <v>0</v>
      </c>
      <c r="AE213" s="4">
        <v>2249</v>
      </c>
      <c r="AF213" s="1"/>
      <c r="AG213" s="1"/>
      <c r="AH213" s="1"/>
      <c r="AI213" s="1" t="s">
        <v>2327</v>
      </c>
      <c r="AJ213" s="6">
        <v>862.95000000000107</v>
      </c>
      <c r="AK213" s="6">
        <v>821.15000000000009</v>
      </c>
      <c r="AL213" s="1"/>
    </row>
    <row r="214" spans="1:38" hidden="1" x14ac:dyDescent="0.25">
      <c r="A214" s="2">
        <v>313</v>
      </c>
      <c r="B214" s="1" t="s">
        <v>270</v>
      </c>
      <c r="C214" s="1" t="s">
        <v>272</v>
      </c>
      <c r="D214" s="1" t="s">
        <v>2062</v>
      </c>
      <c r="E214" s="1" t="s">
        <v>2063</v>
      </c>
      <c r="F214" s="3">
        <v>45596</v>
      </c>
      <c r="G214" s="3">
        <v>45076</v>
      </c>
      <c r="H214" s="3">
        <v>45441</v>
      </c>
      <c r="I214" s="1" t="s">
        <v>2558</v>
      </c>
      <c r="J214" s="1" t="s">
        <v>2559</v>
      </c>
      <c r="K214" s="1"/>
      <c r="L214" s="1" t="s">
        <v>2178</v>
      </c>
      <c r="M214" s="1" t="s">
        <v>2560</v>
      </c>
      <c r="N214" s="1" t="s">
        <v>2561</v>
      </c>
      <c r="O214" s="1" t="s">
        <v>2562</v>
      </c>
      <c r="P214" s="1" t="s">
        <v>2231</v>
      </c>
      <c r="Q214" s="1"/>
      <c r="R214" s="1"/>
      <c r="S214" s="1" t="s">
        <v>2072</v>
      </c>
      <c r="T214" s="1" t="s">
        <v>2073</v>
      </c>
      <c r="U214" s="4">
        <v>-1</v>
      </c>
      <c r="V214" s="4">
        <v>-2227</v>
      </c>
      <c r="W214" s="4">
        <v>-22</v>
      </c>
      <c r="X214" s="4">
        <v>0</v>
      </c>
      <c r="Y214" s="4">
        <v>0</v>
      </c>
      <c r="Z214" s="5">
        <v>-2249</v>
      </c>
      <c r="AA214" s="5">
        <v>0</v>
      </c>
      <c r="AB214" s="6">
        <v>0</v>
      </c>
      <c r="AC214" s="4">
        <v>-2249</v>
      </c>
      <c r="AD214" s="4">
        <v>0</v>
      </c>
      <c r="AE214" s="4">
        <v>-2249</v>
      </c>
      <c r="AF214" s="1"/>
      <c r="AG214" s="1"/>
      <c r="AH214" s="1"/>
      <c r="AI214" s="1" t="s">
        <v>2327</v>
      </c>
      <c r="AJ214" s="1"/>
      <c r="AK214" s="1"/>
      <c r="AL214" s="1"/>
    </row>
    <row r="215" spans="1:38" hidden="1" x14ac:dyDescent="0.25">
      <c r="A215" s="2">
        <v>314</v>
      </c>
      <c r="B215" s="1" t="s">
        <v>273</v>
      </c>
      <c r="C215" s="1" t="s">
        <v>274</v>
      </c>
      <c r="D215" s="1" t="s">
        <v>2062</v>
      </c>
      <c r="E215" s="1" t="s">
        <v>2063</v>
      </c>
      <c r="F215" s="3">
        <v>45409</v>
      </c>
      <c r="G215" s="3">
        <v>45072</v>
      </c>
      <c r="H215" s="3">
        <v>45437</v>
      </c>
      <c r="I215" s="1" t="s">
        <v>2563</v>
      </c>
      <c r="J215" s="1" t="s">
        <v>2564</v>
      </c>
      <c r="K215" s="1"/>
      <c r="L215" s="1" t="s">
        <v>2178</v>
      </c>
      <c r="M215" s="1" t="s">
        <v>2565</v>
      </c>
      <c r="N215" s="1" t="s">
        <v>2566</v>
      </c>
      <c r="O215" s="1" t="s">
        <v>2567</v>
      </c>
      <c r="P215" s="1" t="s">
        <v>2095</v>
      </c>
      <c r="Q215" s="1"/>
      <c r="R215" s="1"/>
      <c r="S215" s="1" t="s">
        <v>2072</v>
      </c>
      <c r="T215" s="1" t="s">
        <v>2073</v>
      </c>
      <c r="U215" s="4">
        <v>1950000</v>
      </c>
      <c r="V215" s="4">
        <v>2560</v>
      </c>
      <c r="W215" s="4">
        <v>26</v>
      </c>
      <c r="X215" s="4">
        <v>332</v>
      </c>
      <c r="Y215" s="4">
        <v>0</v>
      </c>
      <c r="Z215" s="5">
        <v>2918</v>
      </c>
      <c r="AA215" s="5">
        <v>0</v>
      </c>
      <c r="AB215" s="6">
        <v>0</v>
      </c>
      <c r="AC215" s="4">
        <v>2918</v>
      </c>
      <c r="AD215" s="4">
        <v>0</v>
      </c>
      <c r="AE215" s="4">
        <v>2918</v>
      </c>
      <c r="AF215" s="1"/>
      <c r="AG215" s="1"/>
      <c r="AH215" s="1"/>
      <c r="AI215" s="1" t="s">
        <v>2380</v>
      </c>
      <c r="AJ215" s="6">
        <v>3627.8299999999103</v>
      </c>
      <c r="AK215" s="6">
        <v>1092.7699999999991</v>
      </c>
      <c r="AL215" s="1"/>
    </row>
    <row r="216" spans="1:38" hidden="1" x14ac:dyDescent="0.25">
      <c r="A216" s="2">
        <v>315</v>
      </c>
      <c r="B216" s="1" t="s">
        <v>273</v>
      </c>
      <c r="C216" s="1" t="s">
        <v>275</v>
      </c>
      <c r="D216" s="1" t="s">
        <v>2062</v>
      </c>
      <c r="E216" s="1" t="s">
        <v>2063</v>
      </c>
      <c r="F216" s="3">
        <v>45596</v>
      </c>
      <c r="G216" s="3">
        <v>45072</v>
      </c>
      <c r="H216" s="3">
        <v>45437</v>
      </c>
      <c r="I216" s="1" t="s">
        <v>2563</v>
      </c>
      <c r="J216" s="1" t="s">
        <v>2564</v>
      </c>
      <c r="K216" s="1"/>
      <c r="L216" s="1" t="s">
        <v>2178</v>
      </c>
      <c r="M216" s="1" t="s">
        <v>2565</v>
      </c>
      <c r="N216" s="1" t="s">
        <v>2566</v>
      </c>
      <c r="O216" s="1" t="s">
        <v>2567</v>
      </c>
      <c r="P216" s="1" t="s">
        <v>2095</v>
      </c>
      <c r="Q216" s="1"/>
      <c r="R216" s="1"/>
      <c r="S216" s="1" t="s">
        <v>2072</v>
      </c>
      <c r="T216" s="1" t="s">
        <v>2073</v>
      </c>
      <c r="U216" s="4">
        <v>-1</v>
      </c>
      <c r="V216" s="4">
        <v>-2889</v>
      </c>
      <c r="W216" s="4">
        <v>-29</v>
      </c>
      <c r="X216" s="4">
        <v>0</v>
      </c>
      <c r="Y216" s="4">
        <v>0</v>
      </c>
      <c r="Z216" s="5">
        <v>-2918</v>
      </c>
      <c r="AA216" s="5">
        <v>0</v>
      </c>
      <c r="AB216" s="6">
        <v>0</v>
      </c>
      <c r="AC216" s="4">
        <v>-2918</v>
      </c>
      <c r="AD216" s="4">
        <v>0</v>
      </c>
      <c r="AE216" s="4">
        <v>-2918</v>
      </c>
      <c r="AF216" s="1"/>
      <c r="AG216" s="1"/>
      <c r="AH216" s="1"/>
      <c r="AI216" s="1" t="s">
        <v>2380</v>
      </c>
      <c r="AJ216" s="1"/>
      <c r="AK216" s="1"/>
      <c r="AL216" s="1"/>
    </row>
    <row r="217" spans="1:38" hidden="1" x14ac:dyDescent="0.25">
      <c r="A217" s="2">
        <v>316</v>
      </c>
      <c r="B217" s="1" t="s">
        <v>276</v>
      </c>
      <c r="C217" s="1" t="s">
        <v>277</v>
      </c>
      <c r="D217" s="1" t="s">
        <v>2062</v>
      </c>
      <c r="E217" s="1" t="s">
        <v>2063</v>
      </c>
      <c r="F217" s="3">
        <v>45412</v>
      </c>
      <c r="G217" s="3">
        <v>45076</v>
      </c>
      <c r="H217" s="3">
        <v>45441</v>
      </c>
      <c r="I217" s="1" t="s">
        <v>2568</v>
      </c>
      <c r="J217" s="1" t="s">
        <v>2569</v>
      </c>
      <c r="K217" s="1"/>
      <c r="L217" s="1" t="s">
        <v>2570</v>
      </c>
      <c r="M217" s="1" t="s">
        <v>2571</v>
      </c>
      <c r="N217" s="1" t="s">
        <v>2572</v>
      </c>
      <c r="O217" s="1" t="s">
        <v>2573</v>
      </c>
      <c r="P217" s="1" t="s">
        <v>2182</v>
      </c>
      <c r="Q217" s="1"/>
      <c r="R217" s="1"/>
      <c r="S217" s="1" t="s">
        <v>2072</v>
      </c>
      <c r="T217" s="1" t="s">
        <v>2073</v>
      </c>
      <c r="U217" s="4">
        <v>7000000</v>
      </c>
      <c r="V217" s="4">
        <v>3680</v>
      </c>
      <c r="W217" s="4">
        <v>36</v>
      </c>
      <c r="X217" s="4">
        <v>478</v>
      </c>
      <c r="Y217" s="4">
        <v>0</v>
      </c>
      <c r="Z217" s="5">
        <v>4194</v>
      </c>
      <c r="AA217" s="5">
        <v>0</v>
      </c>
      <c r="AB217" s="6">
        <v>0</v>
      </c>
      <c r="AC217" s="4">
        <v>4194</v>
      </c>
      <c r="AD217" s="4">
        <v>0</v>
      </c>
      <c r="AE217" s="4">
        <v>4194</v>
      </c>
      <c r="AF217" s="1"/>
      <c r="AG217" s="1"/>
      <c r="AH217" s="1"/>
      <c r="AI217" s="1" t="s">
        <v>2327</v>
      </c>
      <c r="AJ217" s="6">
        <v>575.8599999999991</v>
      </c>
      <c r="AK217" s="6">
        <v>437.15</v>
      </c>
      <c r="AL217" s="1"/>
    </row>
    <row r="218" spans="1:38" hidden="1" x14ac:dyDescent="0.25">
      <c r="A218" s="2">
        <v>317</v>
      </c>
      <c r="B218" s="1" t="s">
        <v>276</v>
      </c>
      <c r="C218" s="1" t="s">
        <v>278</v>
      </c>
      <c r="D218" s="1" t="s">
        <v>2062</v>
      </c>
      <c r="E218" s="1" t="s">
        <v>2063</v>
      </c>
      <c r="F218" s="3">
        <v>45596</v>
      </c>
      <c r="G218" s="3">
        <v>45076</v>
      </c>
      <c r="H218" s="3">
        <v>45441</v>
      </c>
      <c r="I218" s="1" t="s">
        <v>2568</v>
      </c>
      <c r="J218" s="1" t="s">
        <v>2569</v>
      </c>
      <c r="K218" s="1"/>
      <c r="L218" s="1" t="s">
        <v>2570</v>
      </c>
      <c r="M218" s="1" t="s">
        <v>2571</v>
      </c>
      <c r="N218" s="1" t="s">
        <v>2572</v>
      </c>
      <c r="O218" s="1" t="s">
        <v>2573</v>
      </c>
      <c r="P218" s="1" t="s">
        <v>2182</v>
      </c>
      <c r="Q218" s="1"/>
      <c r="R218" s="1"/>
      <c r="S218" s="1" t="s">
        <v>2072</v>
      </c>
      <c r="T218" s="1" t="s">
        <v>2073</v>
      </c>
      <c r="U218" s="4">
        <v>-1</v>
      </c>
      <c r="V218" s="4">
        <v>-4152</v>
      </c>
      <c r="W218" s="4">
        <v>-42</v>
      </c>
      <c r="X218" s="4">
        <v>0</v>
      </c>
      <c r="Y218" s="4">
        <v>0</v>
      </c>
      <c r="Z218" s="5">
        <v>-4194</v>
      </c>
      <c r="AA218" s="5">
        <v>0</v>
      </c>
      <c r="AB218" s="6">
        <v>0</v>
      </c>
      <c r="AC218" s="4">
        <v>-4194</v>
      </c>
      <c r="AD218" s="4">
        <v>0</v>
      </c>
      <c r="AE218" s="4">
        <v>-4194</v>
      </c>
      <c r="AF218" s="1"/>
      <c r="AG218" s="1"/>
      <c r="AH218" s="1"/>
      <c r="AI218" s="1" t="s">
        <v>2327</v>
      </c>
      <c r="AJ218" s="1"/>
      <c r="AK218" s="1"/>
      <c r="AL218" s="1"/>
    </row>
    <row r="219" spans="1:38" hidden="1" x14ac:dyDescent="0.25">
      <c r="A219" s="2">
        <v>318</v>
      </c>
      <c r="B219" s="1" t="s">
        <v>279</v>
      </c>
      <c r="C219" s="1" t="s">
        <v>280</v>
      </c>
      <c r="D219" s="1" t="s">
        <v>2062</v>
      </c>
      <c r="E219" s="1" t="s">
        <v>2063</v>
      </c>
      <c r="F219" s="3">
        <v>45384</v>
      </c>
      <c r="G219" s="3">
        <v>45077</v>
      </c>
      <c r="H219" s="3">
        <v>45442</v>
      </c>
      <c r="I219" s="1" t="s">
        <v>2574</v>
      </c>
      <c r="J219" s="1" t="s">
        <v>2575</v>
      </c>
      <c r="K219" s="1"/>
      <c r="L219" s="1" t="s">
        <v>2570</v>
      </c>
      <c r="M219" s="1" t="s">
        <v>2576</v>
      </c>
      <c r="N219" s="1" t="s">
        <v>2577</v>
      </c>
      <c r="O219" s="1" t="s">
        <v>2578</v>
      </c>
      <c r="P219" s="1" t="s">
        <v>2095</v>
      </c>
      <c r="Q219" s="1"/>
      <c r="R219" s="1"/>
      <c r="S219" s="1" t="s">
        <v>2072</v>
      </c>
      <c r="T219" s="1" t="s">
        <v>2073</v>
      </c>
      <c r="U219" s="4">
        <v>8000000</v>
      </c>
      <c r="V219" s="4">
        <v>4302</v>
      </c>
      <c r="W219" s="4">
        <v>43</v>
      </c>
      <c r="X219" s="4">
        <v>560</v>
      </c>
      <c r="Y219" s="4">
        <v>0</v>
      </c>
      <c r="Z219" s="5">
        <v>4905</v>
      </c>
      <c r="AA219" s="5">
        <v>0</v>
      </c>
      <c r="AB219" s="6">
        <v>0</v>
      </c>
      <c r="AC219" s="4">
        <v>4905</v>
      </c>
      <c r="AD219" s="4">
        <v>0</v>
      </c>
      <c r="AE219" s="4">
        <v>4905</v>
      </c>
      <c r="AF219" s="1"/>
      <c r="AG219" s="1"/>
      <c r="AH219" s="1"/>
      <c r="AI219" s="1" t="s">
        <v>2327</v>
      </c>
      <c r="AJ219" s="6">
        <v>459.8300000000001</v>
      </c>
      <c r="AK219" s="6">
        <v>447.55</v>
      </c>
      <c r="AL219" s="1"/>
    </row>
    <row r="220" spans="1:38" hidden="1" x14ac:dyDescent="0.25">
      <c r="A220" s="2">
        <v>319</v>
      </c>
      <c r="B220" s="1" t="s">
        <v>279</v>
      </c>
      <c r="C220" s="1" t="s">
        <v>281</v>
      </c>
      <c r="D220" s="1" t="s">
        <v>2062</v>
      </c>
      <c r="E220" s="1" t="s">
        <v>2063</v>
      </c>
      <c r="F220" s="3">
        <v>45412</v>
      </c>
      <c r="G220" s="3">
        <v>45077</v>
      </c>
      <c r="H220" s="3">
        <v>45442</v>
      </c>
      <c r="I220" s="1" t="s">
        <v>2574</v>
      </c>
      <c r="J220" s="1" t="s">
        <v>2575</v>
      </c>
      <c r="K220" s="1"/>
      <c r="L220" s="1" t="s">
        <v>2570</v>
      </c>
      <c r="M220" s="1" t="s">
        <v>2576</v>
      </c>
      <c r="N220" s="1" t="s">
        <v>2577</v>
      </c>
      <c r="O220" s="1" t="s">
        <v>2578</v>
      </c>
      <c r="P220" s="1" t="s">
        <v>2095</v>
      </c>
      <c r="Q220" s="1"/>
      <c r="R220" s="1"/>
      <c r="S220" s="1" t="s">
        <v>2072</v>
      </c>
      <c r="T220" s="1" t="s">
        <v>2073</v>
      </c>
      <c r="U220" s="4">
        <v>8000000</v>
      </c>
      <c r="V220" s="4">
        <v>5053</v>
      </c>
      <c r="W220" s="4">
        <v>51</v>
      </c>
      <c r="X220" s="4">
        <v>656</v>
      </c>
      <c r="Y220" s="4">
        <v>0</v>
      </c>
      <c r="Z220" s="5">
        <v>5760</v>
      </c>
      <c r="AA220" s="5">
        <v>0</v>
      </c>
      <c r="AB220" s="6">
        <v>0</v>
      </c>
      <c r="AC220" s="4">
        <v>5760</v>
      </c>
      <c r="AD220" s="4">
        <v>0</v>
      </c>
      <c r="AE220" s="4">
        <v>5760</v>
      </c>
      <c r="AF220" s="1"/>
      <c r="AG220" s="1"/>
      <c r="AH220" s="1"/>
      <c r="AI220" s="1" t="s">
        <v>2327</v>
      </c>
      <c r="AJ220" s="6">
        <v>525.780000000001</v>
      </c>
      <c r="AK220" s="6">
        <v>525.520000000001</v>
      </c>
      <c r="AL220" s="1"/>
    </row>
    <row r="221" spans="1:38" hidden="1" x14ac:dyDescent="0.25">
      <c r="A221" s="2">
        <v>320</v>
      </c>
      <c r="B221" s="1" t="s">
        <v>279</v>
      </c>
      <c r="C221" s="1" t="s">
        <v>282</v>
      </c>
      <c r="D221" s="1" t="s">
        <v>2062</v>
      </c>
      <c r="E221" s="1" t="s">
        <v>2063</v>
      </c>
      <c r="F221" s="3">
        <v>45443</v>
      </c>
      <c r="G221" s="3">
        <v>45077</v>
      </c>
      <c r="H221" s="3">
        <v>45442</v>
      </c>
      <c r="I221" s="1" t="s">
        <v>2574</v>
      </c>
      <c r="J221" s="1" t="s">
        <v>2575</v>
      </c>
      <c r="K221" s="1"/>
      <c r="L221" s="1" t="s">
        <v>2570</v>
      </c>
      <c r="M221" s="1" t="s">
        <v>2576</v>
      </c>
      <c r="N221" s="1" t="s">
        <v>2577</v>
      </c>
      <c r="O221" s="1" t="s">
        <v>2578</v>
      </c>
      <c r="P221" s="1" t="s">
        <v>2095</v>
      </c>
      <c r="Q221" s="1"/>
      <c r="R221" s="1"/>
      <c r="S221" s="1" t="s">
        <v>2072</v>
      </c>
      <c r="T221" s="1" t="s">
        <v>2073</v>
      </c>
      <c r="U221" s="4">
        <v>8000000</v>
      </c>
      <c r="V221" s="4">
        <v>4032</v>
      </c>
      <c r="W221" s="4">
        <v>41</v>
      </c>
      <c r="X221" s="4">
        <v>524</v>
      </c>
      <c r="Y221" s="4">
        <v>0</v>
      </c>
      <c r="Z221" s="5">
        <v>4597</v>
      </c>
      <c r="AA221" s="5">
        <v>0</v>
      </c>
      <c r="AB221" s="6">
        <v>0</v>
      </c>
      <c r="AC221" s="4">
        <v>4597</v>
      </c>
      <c r="AD221" s="4">
        <v>0</v>
      </c>
      <c r="AE221" s="4">
        <v>4597</v>
      </c>
      <c r="AF221" s="1"/>
      <c r="AG221" s="1"/>
      <c r="AH221" s="1"/>
      <c r="AI221" s="1" t="s">
        <v>2327</v>
      </c>
      <c r="AJ221" s="6">
        <v>437.61000000000007</v>
      </c>
      <c r="AK221" s="6">
        <v>419.72</v>
      </c>
      <c r="AL221" s="1"/>
    </row>
    <row r="222" spans="1:38" hidden="1" x14ac:dyDescent="0.25">
      <c r="A222" s="2">
        <v>321</v>
      </c>
      <c r="B222" s="1" t="s">
        <v>279</v>
      </c>
      <c r="C222" s="1" t="s">
        <v>283</v>
      </c>
      <c r="D222" s="1" t="s">
        <v>2062</v>
      </c>
      <c r="E222" s="1" t="s">
        <v>2063</v>
      </c>
      <c r="F222" s="3">
        <v>45745</v>
      </c>
      <c r="G222" s="3">
        <v>45077</v>
      </c>
      <c r="H222" s="3">
        <v>45442</v>
      </c>
      <c r="I222" s="1" t="s">
        <v>2574</v>
      </c>
      <c r="J222" s="1" t="s">
        <v>2575</v>
      </c>
      <c r="K222" s="1"/>
      <c r="L222" s="1" t="s">
        <v>2570</v>
      </c>
      <c r="M222" s="1" t="s">
        <v>2576</v>
      </c>
      <c r="N222" s="1" t="s">
        <v>2577</v>
      </c>
      <c r="O222" s="1" t="s">
        <v>2578</v>
      </c>
      <c r="P222" s="1" t="s">
        <v>2095</v>
      </c>
      <c r="Q222" s="1"/>
      <c r="R222" s="1"/>
      <c r="S222" s="1" t="s">
        <v>2072</v>
      </c>
      <c r="T222" s="1" t="s">
        <v>2073</v>
      </c>
      <c r="U222" s="4">
        <v>-1</v>
      </c>
      <c r="V222" s="4">
        <v>-15128</v>
      </c>
      <c r="W222" s="4">
        <v>-134</v>
      </c>
      <c r="X222" s="4">
        <v>0</v>
      </c>
      <c r="Y222" s="4">
        <v>0</v>
      </c>
      <c r="Z222" s="5">
        <v>-15262</v>
      </c>
      <c r="AA222" s="5">
        <v>0</v>
      </c>
      <c r="AB222" s="6">
        <v>0</v>
      </c>
      <c r="AC222" s="4">
        <v>-15262</v>
      </c>
      <c r="AD222" s="4">
        <v>0</v>
      </c>
      <c r="AE222" s="4">
        <v>-15262</v>
      </c>
      <c r="AF222" s="1"/>
      <c r="AG222" s="1"/>
      <c r="AH222" s="1"/>
      <c r="AI222" s="1" t="s">
        <v>2327</v>
      </c>
      <c r="AJ222" s="1"/>
      <c r="AK222" s="1"/>
      <c r="AL222" s="1"/>
    </row>
    <row r="223" spans="1:38" hidden="1" x14ac:dyDescent="0.25">
      <c r="A223" s="2">
        <v>322</v>
      </c>
      <c r="B223" s="1" t="s">
        <v>284</v>
      </c>
      <c r="C223" s="1" t="s">
        <v>285</v>
      </c>
      <c r="D223" s="1" t="s">
        <v>2062</v>
      </c>
      <c r="E223" s="1" t="s">
        <v>2063</v>
      </c>
      <c r="F223" s="3">
        <v>45384</v>
      </c>
      <c r="G223" s="3">
        <v>45077</v>
      </c>
      <c r="H223" s="3">
        <v>45442</v>
      </c>
      <c r="I223" s="1" t="s">
        <v>2579</v>
      </c>
      <c r="J223" s="1" t="s">
        <v>2580</v>
      </c>
      <c r="K223" s="1"/>
      <c r="L223" s="1" t="s">
        <v>2390</v>
      </c>
      <c r="M223" s="1" t="s">
        <v>2581</v>
      </c>
      <c r="N223" s="1" t="s">
        <v>2582</v>
      </c>
      <c r="O223" s="1" t="s">
        <v>2583</v>
      </c>
      <c r="P223" s="1" t="s">
        <v>2262</v>
      </c>
      <c r="Q223" s="1"/>
      <c r="R223" s="1"/>
      <c r="S223" s="1" t="s">
        <v>2072</v>
      </c>
      <c r="T223" s="1" t="s">
        <v>2073</v>
      </c>
      <c r="U223" s="4">
        <v>16000000</v>
      </c>
      <c r="V223" s="4">
        <v>15647</v>
      </c>
      <c r="W223" s="4">
        <v>156</v>
      </c>
      <c r="X223" s="4">
        <v>2034</v>
      </c>
      <c r="Y223" s="4">
        <v>0</v>
      </c>
      <c r="Z223" s="5">
        <v>17837</v>
      </c>
      <c r="AA223" s="5">
        <v>0</v>
      </c>
      <c r="AB223" s="6">
        <v>0</v>
      </c>
      <c r="AC223" s="4">
        <v>17837</v>
      </c>
      <c r="AD223" s="4">
        <v>0</v>
      </c>
      <c r="AE223" s="4">
        <v>17837</v>
      </c>
      <c r="AF223" s="1"/>
      <c r="AG223" s="1"/>
      <c r="AH223" s="1"/>
      <c r="AI223" s="1" t="s">
        <v>2427</v>
      </c>
      <c r="AJ223" s="6">
        <v>907.45000000000107</v>
      </c>
      <c r="AK223" s="6">
        <v>813.84</v>
      </c>
      <c r="AL223" s="1"/>
    </row>
    <row r="224" spans="1:38" hidden="1" x14ac:dyDescent="0.25">
      <c r="A224" s="2">
        <v>323</v>
      </c>
      <c r="B224" s="1" t="s">
        <v>284</v>
      </c>
      <c r="C224" s="1" t="s">
        <v>286</v>
      </c>
      <c r="D224" s="1" t="s">
        <v>2062</v>
      </c>
      <c r="E224" s="1" t="s">
        <v>2063</v>
      </c>
      <c r="F224" s="3">
        <v>45384</v>
      </c>
      <c r="G224" s="3">
        <v>45077</v>
      </c>
      <c r="H224" s="3">
        <v>45442</v>
      </c>
      <c r="I224" s="1" t="s">
        <v>2579</v>
      </c>
      <c r="J224" s="1" t="s">
        <v>2580</v>
      </c>
      <c r="K224" s="1"/>
      <c r="L224" s="1" t="s">
        <v>2390</v>
      </c>
      <c r="M224" s="1" t="s">
        <v>2581</v>
      </c>
      <c r="N224" s="1" t="s">
        <v>2582</v>
      </c>
      <c r="O224" s="1" t="s">
        <v>2583</v>
      </c>
      <c r="P224" s="1" t="s">
        <v>2262</v>
      </c>
      <c r="Q224" s="1"/>
      <c r="R224" s="1"/>
      <c r="S224" s="1" t="s">
        <v>2072</v>
      </c>
      <c r="T224" s="1" t="s">
        <v>2073</v>
      </c>
      <c r="U224" s="4">
        <v>16000000</v>
      </c>
      <c r="V224" s="4">
        <v>21606</v>
      </c>
      <c r="W224" s="4">
        <v>217</v>
      </c>
      <c r="X224" s="4">
        <v>2810</v>
      </c>
      <c r="Y224" s="4">
        <v>0</v>
      </c>
      <c r="Z224" s="5">
        <v>24633</v>
      </c>
      <c r="AA224" s="5">
        <v>0</v>
      </c>
      <c r="AB224" s="6">
        <v>0</v>
      </c>
      <c r="AC224" s="4">
        <v>24633</v>
      </c>
      <c r="AD224" s="4">
        <v>0</v>
      </c>
      <c r="AE224" s="4">
        <v>24633</v>
      </c>
      <c r="AF224" s="1"/>
      <c r="AG224" s="1"/>
      <c r="AH224" s="1"/>
      <c r="AI224" s="1" t="s">
        <v>2427</v>
      </c>
      <c r="AJ224" s="6">
        <v>2996.8400000000493</v>
      </c>
      <c r="AK224" s="6">
        <v>1124.2099999999991</v>
      </c>
      <c r="AL224" s="1"/>
    </row>
    <row r="225" spans="1:38" hidden="1" x14ac:dyDescent="0.25">
      <c r="A225" s="2">
        <v>324</v>
      </c>
      <c r="B225" s="1" t="s">
        <v>284</v>
      </c>
      <c r="C225" s="1" t="s">
        <v>287</v>
      </c>
      <c r="D225" s="1" t="s">
        <v>2062</v>
      </c>
      <c r="E225" s="1" t="s">
        <v>2063</v>
      </c>
      <c r="F225" s="3">
        <v>45412</v>
      </c>
      <c r="G225" s="3">
        <v>45077</v>
      </c>
      <c r="H225" s="3">
        <v>45442</v>
      </c>
      <c r="I225" s="1" t="s">
        <v>2579</v>
      </c>
      <c r="J225" s="1" t="s">
        <v>2580</v>
      </c>
      <c r="K225" s="1"/>
      <c r="L225" s="1" t="s">
        <v>2390</v>
      </c>
      <c r="M225" s="1" t="s">
        <v>2581</v>
      </c>
      <c r="N225" s="1" t="s">
        <v>2582</v>
      </c>
      <c r="O225" s="1" t="s">
        <v>2583</v>
      </c>
      <c r="P225" s="1" t="s">
        <v>2262</v>
      </c>
      <c r="Q225" s="1"/>
      <c r="R225" s="1"/>
      <c r="S225" s="1" t="s">
        <v>2072</v>
      </c>
      <c r="T225" s="1" t="s">
        <v>2073</v>
      </c>
      <c r="U225" s="4">
        <v>16000000</v>
      </c>
      <c r="V225" s="4">
        <v>25042</v>
      </c>
      <c r="W225" s="4">
        <v>250</v>
      </c>
      <c r="X225" s="4">
        <v>3255</v>
      </c>
      <c r="Y225" s="4">
        <v>0</v>
      </c>
      <c r="Z225" s="5">
        <v>28547</v>
      </c>
      <c r="AA225" s="5">
        <v>0</v>
      </c>
      <c r="AB225" s="6">
        <v>0</v>
      </c>
      <c r="AC225" s="4">
        <v>28547</v>
      </c>
      <c r="AD225" s="4">
        <v>0</v>
      </c>
      <c r="AE225" s="4">
        <v>28547</v>
      </c>
      <c r="AF225" s="1"/>
      <c r="AG225" s="1"/>
      <c r="AH225" s="1"/>
      <c r="AI225" s="1" t="s">
        <v>2427</v>
      </c>
      <c r="AJ225" s="6">
        <v>2692.0300000000148</v>
      </c>
      <c r="AK225" s="6">
        <v>1302.8300000000002</v>
      </c>
      <c r="AL225" s="1"/>
    </row>
    <row r="226" spans="1:38" hidden="1" x14ac:dyDescent="0.25">
      <c r="A226" s="2">
        <v>325</v>
      </c>
      <c r="B226" s="1" t="s">
        <v>284</v>
      </c>
      <c r="C226" s="1" t="s">
        <v>288</v>
      </c>
      <c r="D226" s="1" t="s">
        <v>2062</v>
      </c>
      <c r="E226" s="1" t="s">
        <v>2063</v>
      </c>
      <c r="F226" s="3">
        <v>45443</v>
      </c>
      <c r="G226" s="3">
        <v>45077</v>
      </c>
      <c r="H226" s="3">
        <v>45442</v>
      </c>
      <c r="I226" s="1" t="s">
        <v>2579</v>
      </c>
      <c r="J226" s="1" t="s">
        <v>2580</v>
      </c>
      <c r="K226" s="1"/>
      <c r="L226" s="1" t="s">
        <v>2390</v>
      </c>
      <c r="M226" s="1" t="s">
        <v>2581</v>
      </c>
      <c r="N226" s="1" t="s">
        <v>2582</v>
      </c>
      <c r="O226" s="1" t="s">
        <v>2583</v>
      </c>
      <c r="P226" s="1" t="s">
        <v>2262</v>
      </c>
      <c r="Q226" s="1"/>
      <c r="R226" s="1"/>
      <c r="S226" s="1" t="s">
        <v>2072</v>
      </c>
      <c r="T226" s="1" t="s">
        <v>2073</v>
      </c>
      <c r="U226" s="4">
        <v>16000000</v>
      </c>
      <c r="V226" s="4">
        <v>15012</v>
      </c>
      <c r="W226" s="4">
        <v>150</v>
      </c>
      <c r="X226" s="4">
        <v>1951</v>
      </c>
      <c r="Y226" s="4">
        <v>0</v>
      </c>
      <c r="Z226" s="5">
        <v>17113</v>
      </c>
      <c r="AA226" s="5">
        <v>0</v>
      </c>
      <c r="AB226" s="6">
        <v>0</v>
      </c>
      <c r="AC226" s="4">
        <v>17113</v>
      </c>
      <c r="AD226" s="4">
        <v>0</v>
      </c>
      <c r="AE226" s="4">
        <v>17113</v>
      </c>
      <c r="AF226" s="1"/>
      <c r="AG226" s="1"/>
      <c r="AH226" s="1"/>
      <c r="AI226" s="1" t="s">
        <v>2427</v>
      </c>
      <c r="AJ226" s="6">
        <v>2430.3200000000661</v>
      </c>
      <c r="AK226" s="6">
        <v>781.02</v>
      </c>
      <c r="AL226" s="1"/>
    </row>
    <row r="227" spans="1:38" hidden="1" x14ac:dyDescent="0.25">
      <c r="A227" s="2">
        <v>326</v>
      </c>
      <c r="B227" s="1" t="s">
        <v>284</v>
      </c>
      <c r="C227" s="1" t="s">
        <v>289</v>
      </c>
      <c r="D227" s="1" t="s">
        <v>2062</v>
      </c>
      <c r="E227" s="1" t="s">
        <v>2063</v>
      </c>
      <c r="F227" s="3">
        <v>45596</v>
      </c>
      <c r="G227" s="3">
        <v>45077</v>
      </c>
      <c r="H227" s="3">
        <v>45442</v>
      </c>
      <c r="I227" s="1" t="s">
        <v>2579</v>
      </c>
      <c r="J227" s="1" t="s">
        <v>2580</v>
      </c>
      <c r="K227" s="1"/>
      <c r="L227" s="1" t="s">
        <v>2390</v>
      </c>
      <c r="M227" s="1" t="s">
        <v>2581</v>
      </c>
      <c r="N227" s="1" t="s">
        <v>2582</v>
      </c>
      <c r="O227" s="1" t="s">
        <v>2583</v>
      </c>
      <c r="P227" s="1" t="s">
        <v>2262</v>
      </c>
      <c r="Q227" s="1"/>
      <c r="R227" s="1"/>
      <c r="S227" s="1" t="s">
        <v>2072</v>
      </c>
      <c r="T227" s="1" t="s">
        <v>2073</v>
      </c>
      <c r="U227" s="4">
        <v>-1</v>
      </c>
      <c r="V227" s="4">
        <v>-87257</v>
      </c>
      <c r="W227" s="4">
        <v>-873</v>
      </c>
      <c r="X227" s="4">
        <v>0</v>
      </c>
      <c r="Y227" s="4">
        <v>0</v>
      </c>
      <c r="Z227" s="5">
        <v>-88130</v>
      </c>
      <c r="AA227" s="5">
        <v>0</v>
      </c>
      <c r="AB227" s="6">
        <v>0</v>
      </c>
      <c r="AC227" s="4">
        <v>-88130</v>
      </c>
      <c r="AD227" s="4">
        <v>0</v>
      </c>
      <c r="AE227" s="4">
        <v>-88130</v>
      </c>
      <c r="AF227" s="1"/>
      <c r="AG227" s="1"/>
      <c r="AH227" s="1"/>
      <c r="AI227" s="1" t="s">
        <v>2427</v>
      </c>
      <c r="AJ227" s="1"/>
      <c r="AK227" s="1"/>
      <c r="AL227" s="1"/>
    </row>
    <row r="228" spans="1:38" hidden="1" x14ac:dyDescent="0.25">
      <c r="A228" s="2">
        <v>327</v>
      </c>
      <c r="B228" s="1" t="s">
        <v>290</v>
      </c>
      <c r="C228" s="1" t="s">
        <v>291</v>
      </c>
      <c r="D228" s="1" t="s">
        <v>2062</v>
      </c>
      <c r="E228" s="1" t="s">
        <v>2063</v>
      </c>
      <c r="F228" s="3">
        <v>45412</v>
      </c>
      <c r="G228" s="3">
        <v>45076</v>
      </c>
      <c r="H228" s="3">
        <v>45441</v>
      </c>
      <c r="I228" s="1" t="s">
        <v>2584</v>
      </c>
      <c r="J228" s="1" t="s">
        <v>2585</v>
      </c>
      <c r="K228" s="1"/>
      <c r="L228" s="1" t="s">
        <v>2131</v>
      </c>
      <c r="M228" s="1" t="s">
        <v>2586</v>
      </c>
      <c r="N228" s="1" t="s">
        <v>2587</v>
      </c>
      <c r="O228" s="1" t="s">
        <v>2588</v>
      </c>
      <c r="P228" s="1" t="s">
        <v>2182</v>
      </c>
      <c r="Q228" s="1"/>
      <c r="R228" s="1"/>
      <c r="S228" s="1" t="s">
        <v>2072</v>
      </c>
      <c r="T228" s="1" t="s">
        <v>2073</v>
      </c>
      <c r="U228" s="4">
        <v>2200000</v>
      </c>
      <c r="V228" s="4">
        <v>2662</v>
      </c>
      <c r="W228" s="4">
        <v>27</v>
      </c>
      <c r="X228" s="4">
        <v>346</v>
      </c>
      <c r="Y228" s="4">
        <v>0</v>
      </c>
      <c r="Z228" s="5">
        <v>3035</v>
      </c>
      <c r="AA228" s="5">
        <v>0</v>
      </c>
      <c r="AB228" s="6">
        <v>0</v>
      </c>
      <c r="AC228" s="4">
        <v>3035</v>
      </c>
      <c r="AD228" s="4">
        <v>0</v>
      </c>
      <c r="AE228" s="4">
        <v>3035</v>
      </c>
      <c r="AF228" s="1"/>
      <c r="AG228" s="1"/>
      <c r="AH228" s="1"/>
      <c r="AI228" s="1" t="s">
        <v>2427</v>
      </c>
      <c r="AJ228" s="6">
        <v>1795.750000000003</v>
      </c>
      <c r="AK228" s="6">
        <v>1005.5400000000002</v>
      </c>
      <c r="AL228" s="1"/>
    </row>
    <row r="229" spans="1:38" hidden="1" x14ac:dyDescent="0.25">
      <c r="A229" s="2">
        <v>328</v>
      </c>
      <c r="B229" s="1" t="s">
        <v>290</v>
      </c>
      <c r="C229" s="1" t="s">
        <v>292</v>
      </c>
      <c r="D229" s="1" t="s">
        <v>2062</v>
      </c>
      <c r="E229" s="1" t="s">
        <v>2063</v>
      </c>
      <c r="F229" s="3">
        <v>45596</v>
      </c>
      <c r="G229" s="3">
        <v>45076</v>
      </c>
      <c r="H229" s="3">
        <v>45441</v>
      </c>
      <c r="I229" s="1" t="s">
        <v>2584</v>
      </c>
      <c r="J229" s="1" t="s">
        <v>2585</v>
      </c>
      <c r="K229" s="1"/>
      <c r="L229" s="1" t="s">
        <v>2131</v>
      </c>
      <c r="M229" s="1" t="s">
        <v>2586</v>
      </c>
      <c r="N229" s="1" t="s">
        <v>2587</v>
      </c>
      <c r="O229" s="1" t="s">
        <v>2588</v>
      </c>
      <c r="P229" s="1" t="s">
        <v>2182</v>
      </c>
      <c r="Q229" s="1"/>
      <c r="R229" s="1"/>
      <c r="S229" s="1" t="s">
        <v>2072</v>
      </c>
      <c r="T229" s="1" t="s">
        <v>2073</v>
      </c>
      <c r="U229" s="4">
        <v>-1</v>
      </c>
      <c r="V229" s="4">
        <v>-3005</v>
      </c>
      <c r="W229" s="4">
        <v>-30</v>
      </c>
      <c r="X229" s="4">
        <v>0</v>
      </c>
      <c r="Y229" s="4">
        <v>0</v>
      </c>
      <c r="Z229" s="5">
        <v>-3035</v>
      </c>
      <c r="AA229" s="5">
        <v>0</v>
      </c>
      <c r="AB229" s="6">
        <v>0</v>
      </c>
      <c r="AC229" s="4">
        <v>-3035</v>
      </c>
      <c r="AD229" s="4">
        <v>0</v>
      </c>
      <c r="AE229" s="4">
        <v>-3035</v>
      </c>
      <c r="AF229" s="1"/>
      <c r="AG229" s="1"/>
      <c r="AH229" s="1"/>
      <c r="AI229" s="1" t="s">
        <v>2427</v>
      </c>
      <c r="AJ229" s="1"/>
      <c r="AK229" s="1"/>
      <c r="AL229" s="1"/>
    </row>
    <row r="230" spans="1:38" hidden="1" x14ac:dyDescent="0.25">
      <c r="A230" s="2">
        <v>329</v>
      </c>
      <c r="B230" s="1" t="s">
        <v>293</v>
      </c>
      <c r="C230" s="1" t="s">
        <v>294</v>
      </c>
      <c r="D230" s="1" t="s">
        <v>2062</v>
      </c>
      <c r="E230" s="1" t="s">
        <v>2063</v>
      </c>
      <c r="F230" s="3">
        <v>45446</v>
      </c>
      <c r="G230" s="3">
        <v>45078</v>
      </c>
      <c r="H230" s="3">
        <v>45443</v>
      </c>
      <c r="I230" s="1" t="s">
        <v>2589</v>
      </c>
      <c r="J230" s="1" t="s">
        <v>2590</v>
      </c>
      <c r="K230" s="1"/>
      <c r="L230" s="1" t="s">
        <v>2198</v>
      </c>
      <c r="M230" s="1" t="s">
        <v>2591</v>
      </c>
      <c r="N230" s="1" t="s">
        <v>2592</v>
      </c>
      <c r="O230" s="1" t="s">
        <v>2593</v>
      </c>
      <c r="P230" s="1" t="s">
        <v>2095</v>
      </c>
      <c r="Q230" s="1"/>
      <c r="R230" s="1"/>
      <c r="S230" s="1" t="s">
        <v>2072</v>
      </c>
      <c r="T230" s="1" t="s">
        <v>2073</v>
      </c>
      <c r="U230" s="4">
        <v>2000000</v>
      </c>
      <c r="V230" s="4">
        <v>1612</v>
      </c>
      <c r="W230" s="4">
        <v>16</v>
      </c>
      <c r="X230" s="4">
        <v>209</v>
      </c>
      <c r="Y230" s="4">
        <v>0</v>
      </c>
      <c r="Z230" s="5">
        <v>1837</v>
      </c>
      <c r="AA230" s="5">
        <v>0</v>
      </c>
      <c r="AB230" s="6">
        <v>0</v>
      </c>
      <c r="AC230" s="4">
        <v>1837</v>
      </c>
      <c r="AD230" s="4">
        <v>0</v>
      </c>
      <c r="AE230" s="4">
        <v>1837</v>
      </c>
      <c r="AF230" s="1"/>
      <c r="AG230" s="1"/>
      <c r="AH230" s="1"/>
      <c r="AI230" s="1" t="s">
        <v>2327</v>
      </c>
      <c r="AJ230" s="6">
        <v>1712.8300000000202</v>
      </c>
      <c r="AK230" s="6">
        <v>672.25</v>
      </c>
      <c r="AL230" s="1"/>
    </row>
    <row r="231" spans="1:38" hidden="1" x14ac:dyDescent="0.25">
      <c r="A231" s="2">
        <v>330</v>
      </c>
      <c r="B231" s="1" t="s">
        <v>293</v>
      </c>
      <c r="C231" s="1" t="s">
        <v>295</v>
      </c>
      <c r="D231" s="1" t="s">
        <v>2062</v>
      </c>
      <c r="E231" s="1" t="s">
        <v>2063</v>
      </c>
      <c r="F231" s="3">
        <v>45655</v>
      </c>
      <c r="G231" s="3">
        <v>45078</v>
      </c>
      <c r="H231" s="3">
        <v>45443</v>
      </c>
      <c r="I231" s="1" t="s">
        <v>2589</v>
      </c>
      <c r="J231" s="1" t="s">
        <v>2590</v>
      </c>
      <c r="K231" s="1"/>
      <c r="L231" s="1" t="s">
        <v>2198</v>
      </c>
      <c r="M231" s="1" t="s">
        <v>2591</v>
      </c>
      <c r="N231" s="1" t="s">
        <v>2592</v>
      </c>
      <c r="O231" s="1" t="s">
        <v>2593</v>
      </c>
      <c r="P231" s="1" t="s">
        <v>2095</v>
      </c>
      <c r="Q231" s="1"/>
      <c r="R231" s="1"/>
      <c r="S231" s="1" t="s">
        <v>2072</v>
      </c>
      <c r="T231" s="1" t="s">
        <v>2073</v>
      </c>
      <c r="U231" s="4">
        <v>-1</v>
      </c>
      <c r="V231" s="4">
        <v>-1819</v>
      </c>
      <c r="W231" s="4">
        <v>-18</v>
      </c>
      <c r="X231" s="4">
        <v>0</v>
      </c>
      <c r="Y231" s="4">
        <v>0</v>
      </c>
      <c r="Z231" s="5">
        <v>-1837</v>
      </c>
      <c r="AA231" s="5">
        <v>0</v>
      </c>
      <c r="AB231" s="6">
        <v>0</v>
      </c>
      <c r="AC231" s="4">
        <v>-1837</v>
      </c>
      <c r="AD231" s="4">
        <v>0</v>
      </c>
      <c r="AE231" s="4">
        <v>-1837</v>
      </c>
      <c r="AF231" s="1"/>
      <c r="AG231" s="1"/>
      <c r="AH231" s="1"/>
      <c r="AI231" s="1" t="s">
        <v>2327</v>
      </c>
      <c r="AJ231" s="1"/>
      <c r="AK231" s="1"/>
      <c r="AL231" s="1"/>
    </row>
    <row r="232" spans="1:38" hidden="1" x14ac:dyDescent="0.25">
      <c r="A232" s="2">
        <v>334</v>
      </c>
      <c r="B232" s="1" t="s">
        <v>296</v>
      </c>
      <c r="C232" s="1" t="s">
        <v>297</v>
      </c>
      <c r="D232" s="1" t="s">
        <v>2062</v>
      </c>
      <c r="E232" s="1" t="s">
        <v>2063</v>
      </c>
      <c r="F232" s="3">
        <v>45446</v>
      </c>
      <c r="G232" s="3">
        <v>45078</v>
      </c>
      <c r="H232" s="3">
        <v>45443</v>
      </c>
      <c r="I232" s="1" t="s">
        <v>2594</v>
      </c>
      <c r="J232" s="1" t="s">
        <v>2595</v>
      </c>
      <c r="K232" s="1"/>
      <c r="L232" s="1" t="s">
        <v>2198</v>
      </c>
      <c r="M232" s="1" t="s">
        <v>2596</v>
      </c>
      <c r="N232" s="1" t="s">
        <v>2597</v>
      </c>
      <c r="O232" s="1" t="s">
        <v>2598</v>
      </c>
      <c r="P232" s="1" t="s">
        <v>2095</v>
      </c>
      <c r="Q232" s="1"/>
      <c r="R232" s="1"/>
      <c r="S232" s="1" t="s">
        <v>2072</v>
      </c>
      <c r="T232" s="1" t="s">
        <v>2073</v>
      </c>
      <c r="U232" s="4">
        <v>2200000</v>
      </c>
      <c r="V232" s="4">
        <v>3698</v>
      </c>
      <c r="W232" s="4">
        <v>37</v>
      </c>
      <c r="X232" s="4">
        <v>481</v>
      </c>
      <c r="Y232" s="4">
        <v>0</v>
      </c>
      <c r="Z232" s="5">
        <v>4216</v>
      </c>
      <c r="AA232" s="5">
        <v>0</v>
      </c>
      <c r="AB232" s="6">
        <v>0</v>
      </c>
      <c r="AC232" s="4">
        <v>4216</v>
      </c>
      <c r="AD232" s="4">
        <v>0</v>
      </c>
      <c r="AE232" s="4">
        <v>4216</v>
      </c>
      <c r="AF232" s="1"/>
      <c r="AG232" s="1"/>
      <c r="AH232" s="1"/>
      <c r="AI232" s="1" t="s">
        <v>2427</v>
      </c>
      <c r="AJ232" s="6">
        <v>7544.6800000000176</v>
      </c>
      <c r="AK232" s="6">
        <v>1395</v>
      </c>
      <c r="AL232" s="1"/>
    </row>
    <row r="233" spans="1:38" hidden="1" x14ac:dyDescent="0.25">
      <c r="A233" s="2">
        <v>335</v>
      </c>
      <c r="B233" s="1" t="s">
        <v>296</v>
      </c>
      <c r="C233" s="1" t="s">
        <v>298</v>
      </c>
      <c r="D233" s="1" t="s">
        <v>2062</v>
      </c>
      <c r="E233" s="1" t="s">
        <v>2063</v>
      </c>
      <c r="F233" s="3">
        <v>45655</v>
      </c>
      <c r="G233" s="3">
        <v>45078</v>
      </c>
      <c r="H233" s="3">
        <v>45443</v>
      </c>
      <c r="I233" s="1" t="s">
        <v>2594</v>
      </c>
      <c r="J233" s="1" t="s">
        <v>2595</v>
      </c>
      <c r="K233" s="1"/>
      <c r="L233" s="1" t="s">
        <v>2198</v>
      </c>
      <c r="M233" s="1" t="s">
        <v>2596</v>
      </c>
      <c r="N233" s="1" t="s">
        <v>2597</v>
      </c>
      <c r="O233" s="1" t="s">
        <v>2598</v>
      </c>
      <c r="P233" s="1" t="s">
        <v>2095</v>
      </c>
      <c r="Q233" s="1"/>
      <c r="R233" s="1"/>
      <c r="S233" s="1" t="s">
        <v>2072</v>
      </c>
      <c r="T233" s="1" t="s">
        <v>2073</v>
      </c>
      <c r="U233" s="4">
        <v>-1</v>
      </c>
      <c r="V233" s="4">
        <v>-4174</v>
      </c>
      <c r="W233" s="4">
        <v>-42</v>
      </c>
      <c r="X233" s="4">
        <v>0</v>
      </c>
      <c r="Y233" s="4">
        <v>0</v>
      </c>
      <c r="Z233" s="5">
        <v>-4216</v>
      </c>
      <c r="AA233" s="5">
        <v>0</v>
      </c>
      <c r="AB233" s="6">
        <v>0</v>
      </c>
      <c r="AC233" s="4">
        <v>-4216</v>
      </c>
      <c r="AD233" s="4">
        <v>0</v>
      </c>
      <c r="AE233" s="4">
        <v>-4216</v>
      </c>
      <c r="AF233" s="1"/>
      <c r="AG233" s="1"/>
      <c r="AH233" s="1"/>
      <c r="AI233" s="1" t="s">
        <v>2427</v>
      </c>
      <c r="AJ233" s="1"/>
      <c r="AK233" s="1"/>
      <c r="AL233" s="1"/>
    </row>
    <row r="234" spans="1:38" hidden="1" x14ac:dyDescent="0.25">
      <c r="A234" s="2">
        <v>336</v>
      </c>
      <c r="B234" s="1" t="s">
        <v>299</v>
      </c>
      <c r="C234" s="1" t="s">
        <v>300</v>
      </c>
      <c r="D234" s="1" t="s">
        <v>2062</v>
      </c>
      <c r="E234" s="1" t="s">
        <v>2063</v>
      </c>
      <c r="F234" s="3">
        <v>45329</v>
      </c>
      <c r="G234" s="3">
        <v>45083</v>
      </c>
      <c r="H234" s="3">
        <v>45448</v>
      </c>
      <c r="I234" s="1" t="s">
        <v>2599</v>
      </c>
      <c r="J234" s="1" t="s">
        <v>2600</v>
      </c>
      <c r="K234" s="1"/>
      <c r="L234" s="1" t="s">
        <v>2099</v>
      </c>
      <c r="M234" s="1" t="s">
        <v>2601</v>
      </c>
      <c r="N234" s="1" t="s">
        <v>2602</v>
      </c>
      <c r="O234" s="1" t="s">
        <v>2603</v>
      </c>
      <c r="P234" s="1" t="s">
        <v>2119</v>
      </c>
      <c r="Q234" s="1"/>
      <c r="R234" s="1"/>
      <c r="S234" s="1" t="s">
        <v>2072</v>
      </c>
      <c r="T234" s="1" t="s">
        <v>2073</v>
      </c>
      <c r="U234" s="4">
        <v>1750000</v>
      </c>
      <c r="V234" s="4">
        <v>47</v>
      </c>
      <c r="W234" s="4">
        <v>0</v>
      </c>
      <c r="X234" s="4">
        <v>5</v>
      </c>
      <c r="Y234" s="4">
        <v>0</v>
      </c>
      <c r="Z234" s="5">
        <v>52</v>
      </c>
      <c r="AA234" s="5">
        <v>0</v>
      </c>
      <c r="AB234" s="6">
        <v>0</v>
      </c>
      <c r="AC234" s="4">
        <v>52</v>
      </c>
      <c r="AD234" s="4">
        <v>0</v>
      </c>
      <c r="AE234" s="4">
        <v>52</v>
      </c>
      <c r="AF234" s="1"/>
      <c r="AG234" s="1"/>
      <c r="AH234" s="1"/>
      <c r="AI234" s="1" t="s">
        <v>2414</v>
      </c>
      <c r="AJ234" s="6">
        <v>21.379999999999978</v>
      </c>
      <c r="AK234" s="6">
        <v>21.379999999999978</v>
      </c>
      <c r="AL234" s="1"/>
    </row>
    <row r="235" spans="1:38" hidden="1" x14ac:dyDescent="0.25">
      <c r="A235" s="2">
        <v>337</v>
      </c>
      <c r="B235" s="1" t="s">
        <v>299</v>
      </c>
      <c r="C235" s="1" t="s">
        <v>301</v>
      </c>
      <c r="D235" s="1" t="s">
        <v>2062</v>
      </c>
      <c r="E235" s="1" t="s">
        <v>2063</v>
      </c>
      <c r="F235" s="3">
        <v>45399</v>
      </c>
      <c r="G235" s="3">
        <v>45083</v>
      </c>
      <c r="H235" s="3">
        <v>45448</v>
      </c>
      <c r="I235" s="1" t="s">
        <v>2599</v>
      </c>
      <c r="J235" s="1" t="s">
        <v>2600</v>
      </c>
      <c r="K235" s="1"/>
      <c r="L235" s="1" t="s">
        <v>2099</v>
      </c>
      <c r="M235" s="1" t="s">
        <v>2601</v>
      </c>
      <c r="N235" s="1" t="s">
        <v>2602</v>
      </c>
      <c r="O235" s="1" t="s">
        <v>2603</v>
      </c>
      <c r="P235" s="1" t="s">
        <v>2119</v>
      </c>
      <c r="Q235" s="1"/>
      <c r="R235" s="1"/>
      <c r="S235" s="1" t="s">
        <v>2072</v>
      </c>
      <c r="T235" s="1" t="s">
        <v>2073</v>
      </c>
      <c r="U235" s="4">
        <v>-1</v>
      </c>
      <c r="V235" s="4">
        <v>-46</v>
      </c>
      <c r="W235" s="4">
        <v>0</v>
      </c>
      <c r="X235" s="4">
        <v>-6</v>
      </c>
      <c r="Y235" s="4">
        <v>0</v>
      </c>
      <c r="Z235" s="5">
        <v>-52</v>
      </c>
      <c r="AA235" s="5">
        <v>0</v>
      </c>
      <c r="AB235" s="6">
        <v>0</v>
      </c>
      <c r="AC235" s="4">
        <v>-52</v>
      </c>
      <c r="AD235" s="4">
        <v>0</v>
      </c>
      <c r="AE235" s="4">
        <v>-52</v>
      </c>
      <c r="AF235" s="1"/>
      <c r="AG235" s="1"/>
      <c r="AH235" s="1"/>
      <c r="AI235" s="1" t="s">
        <v>2414</v>
      </c>
      <c r="AJ235" s="1"/>
      <c r="AK235" s="1"/>
      <c r="AL235" s="1"/>
    </row>
    <row r="236" spans="1:38" hidden="1" x14ac:dyDescent="0.25">
      <c r="A236" s="2">
        <v>341</v>
      </c>
      <c r="B236" s="1" t="s">
        <v>302</v>
      </c>
      <c r="C236" s="1" t="s">
        <v>303</v>
      </c>
      <c r="D236" s="1" t="s">
        <v>2062</v>
      </c>
      <c r="E236" s="1" t="s">
        <v>2063</v>
      </c>
      <c r="F236" s="3">
        <v>45390</v>
      </c>
      <c r="G236" s="3">
        <v>45083</v>
      </c>
      <c r="H236" s="3">
        <v>45448</v>
      </c>
      <c r="I236" s="1" t="s">
        <v>2604</v>
      </c>
      <c r="J236" s="1" t="s">
        <v>2605</v>
      </c>
      <c r="K236" s="1"/>
      <c r="L236" s="1" t="s">
        <v>2131</v>
      </c>
      <c r="M236" s="1" t="s">
        <v>2606</v>
      </c>
      <c r="N236" s="1" t="s">
        <v>2607</v>
      </c>
      <c r="O236" s="1" t="s">
        <v>2608</v>
      </c>
      <c r="P236" s="1" t="s">
        <v>2262</v>
      </c>
      <c r="Q236" s="1"/>
      <c r="R236" s="1"/>
      <c r="S236" s="1" t="s">
        <v>2072</v>
      </c>
      <c r="T236" s="1" t="s">
        <v>2609</v>
      </c>
      <c r="U236" s="4">
        <v>2935000</v>
      </c>
      <c r="V236" s="4">
        <v>2535</v>
      </c>
      <c r="W236" s="4">
        <v>25</v>
      </c>
      <c r="X236" s="4">
        <v>329</v>
      </c>
      <c r="Y236" s="4">
        <v>0</v>
      </c>
      <c r="Z236" s="5">
        <v>2889</v>
      </c>
      <c r="AA236" s="5">
        <v>0</v>
      </c>
      <c r="AB236" s="6">
        <v>0</v>
      </c>
      <c r="AC236" s="4">
        <v>2889</v>
      </c>
      <c r="AD236" s="4">
        <v>0</v>
      </c>
      <c r="AE236" s="4">
        <v>2889</v>
      </c>
      <c r="AF236" s="1"/>
      <c r="AG236" s="1"/>
      <c r="AH236" s="1"/>
      <c r="AI236" s="1"/>
      <c r="AJ236" s="6">
        <v>755.13000000000102</v>
      </c>
      <c r="AK236" s="6">
        <v>718.59000000000106</v>
      </c>
      <c r="AL236" s="1"/>
    </row>
    <row r="237" spans="1:38" hidden="1" x14ac:dyDescent="0.25">
      <c r="A237" s="2">
        <v>342</v>
      </c>
      <c r="B237" s="1" t="s">
        <v>302</v>
      </c>
      <c r="C237" s="1" t="s">
        <v>304</v>
      </c>
      <c r="D237" s="1" t="s">
        <v>2062</v>
      </c>
      <c r="E237" s="1" t="s">
        <v>2063</v>
      </c>
      <c r="F237" s="3">
        <v>45596</v>
      </c>
      <c r="G237" s="3">
        <v>45083</v>
      </c>
      <c r="H237" s="3">
        <v>45448</v>
      </c>
      <c r="I237" s="1" t="s">
        <v>2604</v>
      </c>
      <c r="J237" s="1" t="s">
        <v>2605</v>
      </c>
      <c r="K237" s="1"/>
      <c r="L237" s="1" t="s">
        <v>2131</v>
      </c>
      <c r="M237" s="1" t="s">
        <v>2606</v>
      </c>
      <c r="N237" s="1" t="s">
        <v>2607</v>
      </c>
      <c r="O237" s="1" t="s">
        <v>2608</v>
      </c>
      <c r="P237" s="1" t="s">
        <v>2262</v>
      </c>
      <c r="Q237" s="1"/>
      <c r="R237" s="1"/>
      <c r="S237" s="1" t="s">
        <v>2072</v>
      </c>
      <c r="T237" s="1" t="s">
        <v>2609</v>
      </c>
      <c r="U237" s="4">
        <v>-1</v>
      </c>
      <c r="V237" s="4">
        <v>-2860</v>
      </c>
      <c r="W237" s="4">
        <v>-29</v>
      </c>
      <c r="X237" s="4">
        <v>0</v>
      </c>
      <c r="Y237" s="4">
        <v>0</v>
      </c>
      <c r="Z237" s="5">
        <v>-2889</v>
      </c>
      <c r="AA237" s="5">
        <v>0</v>
      </c>
      <c r="AB237" s="6">
        <v>0</v>
      </c>
      <c r="AC237" s="4">
        <v>-2889</v>
      </c>
      <c r="AD237" s="4">
        <v>0</v>
      </c>
      <c r="AE237" s="4">
        <v>-2889</v>
      </c>
      <c r="AF237" s="1"/>
      <c r="AG237" s="1"/>
      <c r="AH237" s="1"/>
      <c r="AI237" s="1"/>
      <c r="AJ237" s="1"/>
      <c r="AK237" s="1"/>
      <c r="AL237" s="1"/>
    </row>
    <row r="238" spans="1:38" hidden="1" x14ac:dyDescent="0.25">
      <c r="A238" s="2">
        <v>344</v>
      </c>
      <c r="B238" s="1" t="s">
        <v>305</v>
      </c>
      <c r="C238" s="1" t="s">
        <v>306</v>
      </c>
      <c r="D238" s="1" t="s">
        <v>2062</v>
      </c>
      <c r="E238" s="1" t="s">
        <v>2063</v>
      </c>
      <c r="F238" s="3">
        <v>45450</v>
      </c>
      <c r="G238" s="3">
        <v>45084</v>
      </c>
      <c r="H238" s="3">
        <v>45449</v>
      </c>
      <c r="I238" s="1" t="s">
        <v>2610</v>
      </c>
      <c r="J238" s="1" t="s">
        <v>2611</v>
      </c>
      <c r="K238" s="1"/>
      <c r="L238" s="1" t="s">
        <v>2283</v>
      </c>
      <c r="M238" s="1" t="s">
        <v>2612</v>
      </c>
      <c r="N238" s="1" t="s">
        <v>2613</v>
      </c>
      <c r="O238" s="1" t="s">
        <v>2614</v>
      </c>
      <c r="P238" s="1" t="s">
        <v>2119</v>
      </c>
      <c r="Q238" s="1"/>
      <c r="R238" s="1"/>
      <c r="S238" s="1" t="s">
        <v>2072</v>
      </c>
      <c r="T238" s="1" t="s">
        <v>2073</v>
      </c>
      <c r="U238" s="4">
        <v>2500000</v>
      </c>
      <c r="V238" s="4">
        <v>1615</v>
      </c>
      <c r="W238" s="4">
        <v>16</v>
      </c>
      <c r="X238" s="4">
        <v>210</v>
      </c>
      <c r="Y238" s="4">
        <v>0</v>
      </c>
      <c r="Z238" s="5">
        <v>1841</v>
      </c>
      <c r="AA238" s="5">
        <v>0</v>
      </c>
      <c r="AB238" s="6">
        <v>0</v>
      </c>
      <c r="AC238" s="4">
        <v>1841</v>
      </c>
      <c r="AD238" s="4">
        <v>0</v>
      </c>
      <c r="AE238" s="4">
        <v>1841</v>
      </c>
      <c r="AF238" s="1"/>
      <c r="AG238" s="1"/>
      <c r="AH238" s="1"/>
      <c r="AI238" s="1" t="s">
        <v>2427</v>
      </c>
      <c r="AJ238" s="6">
        <v>556.25</v>
      </c>
      <c r="AK238" s="6">
        <v>537.47</v>
      </c>
      <c r="AL238" s="1"/>
    </row>
    <row r="239" spans="1:38" hidden="1" x14ac:dyDescent="0.25">
      <c r="A239" s="2">
        <v>345</v>
      </c>
      <c r="B239" s="1" t="s">
        <v>305</v>
      </c>
      <c r="C239" s="1" t="s">
        <v>307</v>
      </c>
      <c r="D239" s="1" t="s">
        <v>2062</v>
      </c>
      <c r="E239" s="1" t="s">
        <v>2063</v>
      </c>
      <c r="F239" s="3">
        <v>45596</v>
      </c>
      <c r="G239" s="3">
        <v>45084</v>
      </c>
      <c r="H239" s="3">
        <v>45449</v>
      </c>
      <c r="I239" s="1" t="s">
        <v>2610</v>
      </c>
      <c r="J239" s="1" t="s">
        <v>2611</v>
      </c>
      <c r="K239" s="1"/>
      <c r="L239" s="1" t="s">
        <v>2283</v>
      </c>
      <c r="M239" s="1" t="s">
        <v>2612</v>
      </c>
      <c r="N239" s="1" t="s">
        <v>2613</v>
      </c>
      <c r="O239" s="1" t="s">
        <v>2614</v>
      </c>
      <c r="P239" s="1" t="s">
        <v>2119</v>
      </c>
      <c r="Q239" s="1"/>
      <c r="R239" s="1"/>
      <c r="S239" s="1" t="s">
        <v>2072</v>
      </c>
      <c r="T239" s="1" t="s">
        <v>2073</v>
      </c>
      <c r="U239" s="4">
        <v>-1</v>
      </c>
      <c r="V239" s="4">
        <v>-1823</v>
      </c>
      <c r="W239" s="4">
        <v>-18</v>
      </c>
      <c r="X239" s="4">
        <v>0</v>
      </c>
      <c r="Y239" s="4">
        <v>0</v>
      </c>
      <c r="Z239" s="5">
        <v>-1841</v>
      </c>
      <c r="AA239" s="5">
        <v>0</v>
      </c>
      <c r="AB239" s="6">
        <v>0</v>
      </c>
      <c r="AC239" s="4">
        <v>-1841</v>
      </c>
      <c r="AD239" s="4">
        <v>0</v>
      </c>
      <c r="AE239" s="4">
        <v>-1841</v>
      </c>
      <c r="AF239" s="1"/>
      <c r="AG239" s="1"/>
      <c r="AH239" s="1"/>
      <c r="AI239" s="1" t="s">
        <v>2427</v>
      </c>
      <c r="AJ239" s="1"/>
      <c r="AK239" s="1"/>
      <c r="AL239" s="1"/>
    </row>
    <row r="240" spans="1:38" hidden="1" x14ac:dyDescent="0.25">
      <c r="A240" s="2">
        <v>346</v>
      </c>
      <c r="B240" s="1" t="s">
        <v>308</v>
      </c>
      <c r="C240" s="1" t="s">
        <v>309</v>
      </c>
      <c r="D240" s="1" t="s">
        <v>2062</v>
      </c>
      <c r="E240" s="1" t="s">
        <v>2063</v>
      </c>
      <c r="F240" s="3">
        <v>45359</v>
      </c>
      <c r="G240" s="3">
        <v>45085</v>
      </c>
      <c r="H240" s="3">
        <v>45450</v>
      </c>
      <c r="I240" s="1" t="s">
        <v>2615</v>
      </c>
      <c r="J240" s="1" t="s">
        <v>2616</v>
      </c>
      <c r="K240" s="1"/>
      <c r="L240" s="1" t="s">
        <v>2404</v>
      </c>
      <c r="M240" s="1" t="s">
        <v>2617</v>
      </c>
      <c r="N240" s="1" t="s">
        <v>2618</v>
      </c>
      <c r="O240" s="1" t="s">
        <v>2619</v>
      </c>
      <c r="P240" s="1" t="s">
        <v>2247</v>
      </c>
      <c r="Q240" s="1"/>
      <c r="R240" s="1"/>
      <c r="S240" s="1" t="s">
        <v>2072</v>
      </c>
      <c r="T240" s="1" t="s">
        <v>2073</v>
      </c>
      <c r="U240" s="4">
        <v>2700000</v>
      </c>
      <c r="V240" s="4">
        <v>566</v>
      </c>
      <c r="W240" s="4">
        <v>5</v>
      </c>
      <c r="X240" s="4">
        <v>73</v>
      </c>
      <c r="Y240" s="4">
        <v>0</v>
      </c>
      <c r="Z240" s="5">
        <v>644</v>
      </c>
      <c r="AA240" s="5">
        <v>0</v>
      </c>
      <c r="AB240" s="6">
        <v>0</v>
      </c>
      <c r="AC240" s="4">
        <v>644</v>
      </c>
      <c r="AD240" s="4">
        <v>0</v>
      </c>
      <c r="AE240" s="4">
        <v>644</v>
      </c>
      <c r="AF240" s="1"/>
      <c r="AG240" s="1"/>
      <c r="AH240" s="1"/>
      <c r="AI240" s="1" t="s">
        <v>2327</v>
      </c>
      <c r="AJ240" s="6">
        <v>174.26000000000005</v>
      </c>
      <c r="AK240" s="6">
        <v>174.26000000000005</v>
      </c>
      <c r="AL240" s="1"/>
    </row>
    <row r="241" spans="1:38" hidden="1" x14ac:dyDescent="0.25">
      <c r="A241" s="2">
        <v>347</v>
      </c>
      <c r="B241" s="1" t="s">
        <v>308</v>
      </c>
      <c r="C241" s="1" t="s">
        <v>310</v>
      </c>
      <c r="D241" s="1" t="s">
        <v>2062</v>
      </c>
      <c r="E241" s="1" t="s">
        <v>2063</v>
      </c>
      <c r="F241" s="3">
        <v>45655</v>
      </c>
      <c r="G241" s="3">
        <v>45085</v>
      </c>
      <c r="H241" s="3">
        <v>45450</v>
      </c>
      <c r="I241" s="1" t="s">
        <v>2615</v>
      </c>
      <c r="J241" s="1" t="s">
        <v>2616</v>
      </c>
      <c r="K241" s="1"/>
      <c r="L241" s="1" t="s">
        <v>2404</v>
      </c>
      <c r="M241" s="1" t="s">
        <v>2617</v>
      </c>
      <c r="N241" s="1" t="s">
        <v>2618</v>
      </c>
      <c r="O241" s="1" t="s">
        <v>2619</v>
      </c>
      <c r="P241" s="1" t="s">
        <v>2247</v>
      </c>
      <c r="Q241" s="1"/>
      <c r="R241" s="1"/>
      <c r="S241" s="1" t="s">
        <v>2072</v>
      </c>
      <c r="T241" s="1" t="s">
        <v>2073</v>
      </c>
      <c r="U241" s="4">
        <v>-1</v>
      </c>
      <c r="V241" s="4">
        <v>-638</v>
      </c>
      <c r="W241" s="4">
        <v>-6</v>
      </c>
      <c r="X241" s="4">
        <v>0</v>
      </c>
      <c r="Y241" s="4">
        <v>0</v>
      </c>
      <c r="Z241" s="5">
        <v>-644</v>
      </c>
      <c r="AA241" s="5">
        <v>0</v>
      </c>
      <c r="AB241" s="6">
        <v>0</v>
      </c>
      <c r="AC241" s="4">
        <v>-644</v>
      </c>
      <c r="AD241" s="4">
        <v>0</v>
      </c>
      <c r="AE241" s="4">
        <v>-644</v>
      </c>
      <c r="AF241" s="1"/>
      <c r="AG241" s="1"/>
      <c r="AH241" s="1"/>
      <c r="AI241" s="1" t="s">
        <v>2327</v>
      </c>
      <c r="AJ241" s="1"/>
      <c r="AK241" s="1"/>
      <c r="AL241" s="1"/>
    </row>
    <row r="242" spans="1:38" hidden="1" x14ac:dyDescent="0.25">
      <c r="A242" s="2">
        <v>348</v>
      </c>
      <c r="B242" s="1" t="s">
        <v>311</v>
      </c>
      <c r="C242" s="1" t="s">
        <v>312</v>
      </c>
      <c r="D242" s="1" t="s">
        <v>2062</v>
      </c>
      <c r="E242" s="1" t="s">
        <v>2063</v>
      </c>
      <c r="F242" s="3">
        <v>45390</v>
      </c>
      <c r="G242" s="3">
        <v>45085</v>
      </c>
      <c r="H242" s="3">
        <v>45450</v>
      </c>
      <c r="I242" s="1" t="s">
        <v>2620</v>
      </c>
      <c r="J242" s="1" t="s">
        <v>2621</v>
      </c>
      <c r="K242" s="1"/>
      <c r="L242" s="1" t="s">
        <v>2443</v>
      </c>
      <c r="M242" s="1" t="s">
        <v>2622</v>
      </c>
      <c r="N242" s="1" t="s">
        <v>2623</v>
      </c>
      <c r="O242" s="1" t="s">
        <v>2624</v>
      </c>
      <c r="P242" s="1" t="s">
        <v>2182</v>
      </c>
      <c r="Q242" s="1"/>
      <c r="R242" s="1"/>
      <c r="S242" s="1" t="s">
        <v>2072</v>
      </c>
      <c r="T242" s="1" t="s">
        <v>2073</v>
      </c>
      <c r="U242" s="4">
        <v>4500000</v>
      </c>
      <c r="V242" s="4">
        <v>1962</v>
      </c>
      <c r="W242" s="4">
        <v>20</v>
      </c>
      <c r="X242" s="4">
        <v>255</v>
      </c>
      <c r="Y242" s="4">
        <v>0</v>
      </c>
      <c r="Z242" s="5">
        <v>2237</v>
      </c>
      <c r="AA242" s="5">
        <v>0</v>
      </c>
      <c r="AB242" s="6">
        <v>0</v>
      </c>
      <c r="AC242" s="4">
        <v>2237</v>
      </c>
      <c r="AD242" s="4">
        <v>0</v>
      </c>
      <c r="AE242" s="4">
        <v>2237</v>
      </c>
      <c r="AF242" s="1"/>
      <c r="AG242" s="1"/>
      <c r="AH242" s="1"/>
      <c r="AI242" s="1" t="s">
        <v>2327</v>
      </c>
      <c r="AJ242" s="6">
        <v>398.23</v>
      </c>
      <c r="AK242" s="6">
        <v>363.06</v>
      </c>
      <c r="AL242" s="1"/>
    </row>
    <row r="243" spans="1:38" hidden="1" x14ac:dyDescent="0.25">
      <c r="A243" s="2">
        <v>349</v>
      </c>
      <c r="B243" s="1" t="s">
        <v>311</v>
      </c>
      <c r="C243" s="1" t="s">
        <v>313</v>
      </c>
      <c r="D243" s="1" t="s">
        <v>2062</v>
      </c>
      <c r="E243" s="1" t="s">
        <v>2063</v>
      </c>
      <c r="F243" s="3">
        <v>45596</v>
      </c>
      <c r="G243" s="3">
        <v>45085</v>
      </c>
      <c r="H243" s="3">
        <v>45450</v>
      </c>
      <c r="I243" s="1" t="s">
        <v>2620</v>
      </c>
      <c r="J243" s="1" t="s">
        <v>2621</v>
      </c>
      <c r="K243" s="1"/>
      <c r="L243" s="1" t="s">
        <v>2443</v>
      </c>
      <c r="M243" s="1" t="s">
        <v>2622</v>
      </c>
      <c r="N243" s="1" t="s">
        <v>2623</v>
      </c>
      <c r="O243" s="1" t="s">
        <v>2624</v>
      </c>
      <c r="P243" s="1" t="s">
        <v>2182</v>
      </c>
      <c r="Q243" s="1"/>
      <c r="R243" s="1"/>
      <c r="S243" s="1" t="s">
        <v>2072</v>
      </c>
      <c r="T243" s="1" t="s">
        <v>2073</v>
      </c>
      <c r="U243" s="4">
        <v>-1</v>
      </c>
      <c r="V243" s="4">
        <v>-2215</v>
      </c>
      <c r="W243" s="4">
        <v>-22</v>
      </c>
      <c r="X243" s="4">
        <v>0</v>
      </c>
      <c r="Y243" s="4">
        <v>0</v>
      </c>
      <c r="Z243" s="5">
        <v>-2237</v>
      </c>
      <c r="AA243" s="5">
        <v>0</v>
      </c>
      <c r="AB243" s="6">
        <v>0</v>
      </c>
      <c r="AC243" s="4">
        <v>-2237</v>
      </c>
      <c r="AD243" s="4">
        <v>0</v>
      </c>
      <c r="AE243" s="4">
        <v>-2237</v>
      </c>
      <c r="AF243" s="1"/>
      <c r="AG243" s="1"/>
      <c r="AH243" s="1"/>
      <c r="AI243" s="1" t="s">
        <v>2327</v>
      </c>
      <c r="AJ243" s="1"/>
      <c r="AK243" s="1"/>
      <c r="AL243" s="1"/>
    </row>
    <row r="244" spans="1:38" hidden="1" x14ac:dyDescent="0.25">
      <c r="A244" s="2">
        <v>350</v>
      </c>
      <c r="B244" s="1" t="s">
        <v>314</v>
      </c>
      <c r="C244" s="1" t="s">
        <v>315</v>
      </c>
      <c r="D244" s="1" t="s">
        <v>2062</v>
      </c>
      <c r="E244" s="1" t="s">
        <v>2063</v>
      </c>
      <c r="F244" s="3">
        <v>45132</v>
      </c>
      <c r="G244" s="3">
        <v>45085</v>
      </c>
      <c r="H244" s="3">
        <v>45450</v>
      </c>
      <c r="I244" s="1" t="s">
        <v>2625</v>
      </c>
      <c r="J244" s="1" t="s">
        <v>2626</v>
      </c>
      <c r="K244" s="1"/>
      <c r="L244" s="1" t="s">
        <v>2283</v>
      </c>
      <c r="M244" s="1" t="s">
        <v>2627</v>
      </c>
      <c r="N244" s="1" t="s">
        <v>2628</v>
      </c>
      <c r="O244" s="1" t="s">
        <v>2629</v>
      </c>
      <c r="P244" s="1" t="s">
        <v>2119</v>
      </c>
      <c r="Q244" s="1"/>
      <c r="R244" s="1"/>
      <c r="S244" s="1" t="s">
        <v>2072</v>
      </c>
      <c r="T244" s="1" t="s">
        <v>2489</v>
      </c>
      <c r="U244" s="4">
        <v>3500000</v>
      </c>
      <c r="V244" s="4">
        <v>2490</v>
      </c>
      <c r="W244" s="4">
        <v>25</v>
      </c>
      <c r="X244" s="4">
        <v>324</v>
      </c>
      <c r="Y244" s="4">
        <v>0</v>
      </c>
      <c r="Z244" s="5">
        <v>2839</v>
      </c>
      <c r="AA244" s="5">
        <v>0</v>
      </c>
      <c r="AB244" s="6">
        <v>0</v>
      </c>
      <c r="AC244" s="4">
        <v>2839</v>
      </c>
      <c r="AD244" s="4">
        <v>0</v>
      </c>
      <c r="AE244" s="4">
        <v>2839</v>
      </c>
      <c r="AF244" s="1"/>
      <c r="AG244" s="1"/>
      <c r="AH244" s="1"/>
      <c r="AI244" s="1" t="s">
        <v>2427</v>
      </c>
      <c r="AJ244" s="6">
        <v>666.26399343598814</v>
      </c>
      <c r="AK244" s="6">
        <v>591.96849874639793</v>
      </c>
      <c r="AL244" s="1"/>
    </row>
    <row r="245" spans="1:38" hidden="1" x14ac:dyDescent="0.25">
      <c r="A245" s="2">
        <v>351</v>
      </c>
      <c r="B245" s="1" t="s">
        <v>314</v>
      </c>
      <c r="C245" s="1" t="s">
        <v>316</v>
      </c>
      <c r="D245" s="1" t="s">
        <v>2062</v>
      </c>
      <c r="E245" s="1" t="s">
        <v>2063</v>
      </c>
      <c r="F245" s="3">
        <v>45146</v>
      </c>
      <c r="G245" s="3">
        <v>45085</v>
      </c>
      <c r="H245" s="3">
        <v>45450</v>
      </c>
      <c r="I245" s="1" t="s">
        <v>2625</v>
      </c>
      <c r="J245" s="1" t="s">
        <v>2626</v>
      </c>
      <c r="K245" s="1"/>
      <c r="L245" s="1" t="s">
        <v>2283</v>
      </c>
      <c r="M245" s="1" t="s">
        <v>2627</v>
      </c>
      <c r="N245" s="1" t="s">
        <v>2628</v>
      </c>
      <c r="O245" s="1" t="s">
        <v>2629</v>
      </c>
      <c r="P245" s="1" t="s">
        <v>2119</v>
      </c>
      <c r="Q245" s="1"/>
      <c r="R245" s="1"/>
      <c r="S245" s="1" t="s">
        <v>2072</v>
      </c>
      <c r="T245" s="1" t="s">
        <v>2489</v>
      </c>
      <c r="U245" s="4">
        <v>3500000</v>
      </c>
      <c r="V245" s="4">
        <v>2510</v>
      </c>
      <c r="W245" s="4">
        <v>25</v>
      </c>
      <c r="X245" s="4">
        <v>326</v>
      </c>
      <c r="Y245" s="4">
        <v>0</v>
      </c>
      <c r="Z245" s="5">
        <v>2861</v>
      </c>
      <c r="AA245" s="5">
        <v>0</v>
      </c>
      <c r="AB245" s="6">
        <v>0</v>
      </c>
      <c r="AC245" s="4">
        <v>2861</v>
      </c>
      <c r="AD245" s="4">
        <v>0</v>
      </c>
      <c r="AE245" s="4">
        <v>2861</v>
      </c>
      <c r="AF245" s="1"/>
      <c r="AG245" s="1"/>
      <c r="AH245" s="1"/>
      <c r="AI245" s="1" t="s">
        <v>2427</v>
      </c>
      <c r="AJ245" s="6">
        <v>629.65</v>
      </c>
      <c r="AK245" s="6">
        <v>596.28</v>
      </c>
      <c r="AL245" s="1"/>
    </row>
    <row r="246" spans="1:38" hidden="1" x14ac:dyDescent="0.25">
      <c r="A246" s="2">
        <v>352</v>
      </c>
      <c r="B246" s="1" t="s">
        <v>314</v>
      </c>
      <c r="C246" s="1" t="s">
        <v>317</v>
      </c>
      <c r="D246" s="1" t="s">
        <v>2062</v>
      </c>
      <c r="E246" s="1" t="s">
        <v>2063</v>
      </c>
      <c r="F246" s="3">
        <v>45177</v>
      </c>
      <c r="G246" s="3">
        <v>45085</v>
      </c>
      <c r="H246" s="3">
        <v>45450</v>
      </c>
      <c r="I246" s="1" t="s">
        <v>2625</v>
      </c>
      <c r="J246" s="1" t="s">
        <v>2626</v>
      </c>
      <c r="K246" s="1"/>
      <c r="L246" s="1" t="s">
        <v>2283</v>
      </c>
      <c r="M246" s="1" t="s">
        <v>2627</v>
      </c>
      <c r="N246" s="1" t="s">
        <v>2628</v>
      </c>
      <c r="O246" s="1" t="s">
        <v>2629</v>
      </c>
      <c r="P246" s="1" t="s">
        <v>2119</v>
      </c>
      <c r="Q246" s="1"/>
      <c r="R246" s="1"/>
      <c r="S246" s="1" t="s">
        <v>2072</v>
      </c>
      <c r="T246" s="1" t="s">
        <v>2489</v>
      </c>
      <c r="U246" s="4">
        <v>3500000</v>
      </c>
      <c r="V246" s="4">
        <v>2429</v>
      </c>
      <c r="W246" s="4">
        <v>24</v>
      </c>
      <c r="X246" s="4">
        <v>316</v>
      </c>
      <c r="Y246" s="4">
        <v>0</v>
      </c>
      <c r="Z246" s="5">
        <v>2769</v>
      </c>
      <c r="AA246" s="5">
        <v>0</v>
      </c>
      <c r="AB246" s="6">
        <v>0</v>
      </c>
      <c r="AC246" s="4">
        <v>2769</v>
      </c>
      <c r="AD246" s="4">
        <v>0</v>
      </c>
      <c r="AE246" s="4">
        <v>2769</v>
      </c>
      <c r="AF246" s="1"/>
      <c r="AG246" s="1"/>
      <c r="AH246" s="1"/>
      <c r="AI246" s="1" t="s">
        <v>2427</v>
      </c>
      <c r="AJ246" s="6">
        <v>654.79999999999995</v>
      </c>
      <c r="AK246" s="6">
        <v>644.32000000000005</v>
      </c>
      <c r="AL246" s="1"/>
    </row>
    <row r="247" spans="1:38" hidden="1" x14ac:dyDescent="0.25">
      <c r="A247" s="2">
        <v>353</v>
      </c>
      <c r="B247" s="1" t="s">
        <v>314</v>
      </c>
      <c r="C247" s="1" t="s">
        <v>318</v>
      </c>
      <c r="D247" s="1" t="s">
        <v>2062</v>
      </c>
      <c r="E247" s="1" t="s">
        <v>2063</v>
      </c>
      <c r="F247" s="3">
        <v>45208</v>
      </c>
      <c r="G247" s="3">
        <v>45085</v>
      </c>
      <c r="H247" s="3">
        <v>45450</v>
      </c>
      <c r="I247" s="1" t="s">
        <v>2625</v>
      </c>
      <c r="J247" s="1" t="s">
        <v>2626</v>
      </c>
      <c r="K247" s="1"/>
      <c r="L247" s="1" t="s">
        <v>2283</v>
      </c>
      <c r="M247" s="1" t="s">
        <v>2627</v>
      </c>
      <c r="N247" s="1" t="s">
        <v>2628</v>
      </c>
      <c r="O247" s="1" t="s">
        <v>2629</v>
      </c>
      <c r="P247" s="1" t="s">
        <v>2119</v>
      </c>
      <c r="Q247" s="1"/>
      <c r="R247" s="1"/>
      <c r="S247" s="1" t="s">
        <v>2072</v>
      </c>
      <c r="T247" s="1" t="s">
        <v>2489</v>
      </c>
      <c r="U247" s="4">
        <v>3500000</v>
      </c>
      <c r="V247" s="4">
        <v>2081</v>
      </c>
      <c r="W247" s="4">
        <v>21</v>
      </c>
      <c r="X247" s="4">
        <v>270</v>
      </c>
      <c r="Y247" s="4">
        <v>0</v>
      </c>
      <c r="Z247" s="5">
        <v>2372</v>
      </c>
      <c r="AA247" s="5">
        <v>0</v>
      </c>
      <c r="AB247" s="6">
        <v>0</v>
      </c>
      <c r="AC247" s="4">
        <v>2372</v>
      </c>
      <c r="AD247" s="4">
        <v>0</v>
      </c>
      <c r="AE247" s="4">
        <v>2372</v>
      </c>
      <c r="AF247" s="1"/>
      <c r="AG247" s="1"/>
      <c r="AH247" s="1"/>
      <c r="AI247" s="1" t="s">
        <v>2427</v>
      </c>
      <c r="AJ247" s="6">
        <v>675.96</v>
      </c>
      <c r="AK247" s="6">
        <v>617.53</v>
      </c>
      <c r="AL247" s="1"/>
    </row>
    <row r="248" spans="1:38" hidden="1" x14ac:dyDescent="0.25">
      <c r="A248" s="2">
        <v>354</v>
      </c>
      <c r="B248" s="1" t="s">
        <v>314</v>
      </c>
      <c r="C248" s="1" t="s">
        <v>319</v>
      </c>
      <c r="D248" s="1" t="s">
        <v>2062</v>
      </c>
      <c r="E248" s="1" t="s">
        <v>2063</v>
      </c>
      <c r="F248" s="3">
        <v>45243</v>
      </c>
      <c r="G248" s="3">
        <v>45085</v>
      </c>
      <c r="H248" s="3">
        <v>45450</v>
      </c>
      <c r="I248" s="1" t="s">
        <v>2625</v>
      </c>
      <c r="J248" s="1" t="s">
        <v>2626</v>
      </c>
      <c r="K248" s="1"/>
      <c r="L248" s="1" t="s">
        <v>2283</v>
      </c>
      <c r="M248" s="1" t="s">
        <v>2627</v>
      </c>
      <c r="N248" s="1" t="s">
        <v>2628</v>
      </c>
      <c r="O248" s="1" t="s">
        <v>2629</v>
      </c>
      <c r="P248" s="1" t="s">
        <v>2119</v>
      </c>
      <c r="Q248" s="1"/>
      <c r="R248" s="1"/>
      <c r="S248" s="1" t="s">
        <v>2072</v>
      </c>
      <c r="T248" s="1" t="s">
        <v>2489</v>
      </c>
      <c r="U248" s="4">
        <v>3500000</v>
      </c>
      <c r="V248" s="4">
        <v>3468</v>
      </c>
      <c r="W248" s="4">
        <v>34</v>
      </c>
      <c r="X248" s="4">
        <v>451</v>
      </c>
      <c r="Y248" s="4">
        <v>0</v>
      </c>
      <c r="Z248" s="5">
        <v>3953</v>
      </c>
      <c r="AA248" s="5">
        <v>0</v>
      </c>
      <c r="AB248" s="6">
        <v>0</v>
      </c>
      <c r="AC248" s="4">
        <v>3953</v>
      </c>
      <c r="AD248" s="4">
        <v>0</v>
      </c>
      <c r="AE248" s="4">
        <v>3953</v>
      </c>
      <c r="AF248" s="1"/>
      <c r="AG248" s="1"/>
      <c r="AH248" s="1"/>
      <c r="AI248" s="1" t="s">
        <v>2427</v>
      </c>
      <c r="AJ248" s="6">
        <v>1271.3400000000001</v>
      </c>
      <c r="AK248" s="6">
        <v>1029.7</v>
      </c>
      <c r="AL248" s="1"/>
    </row>
    <row r="249" spans="1:38" hidden="1" x14ac:dyDescent="0.25">
      <c r="A249" s="2">
        <v>355</v>
      </c>
      <c r="B249" s="1" t="s">
        <v>314</v>
      </c>
      <c r="C249" s="1" t="s">
        <v>320</v>
      </c>
      <c r="D249" s="1" t="s">
        <v>2062</v>
      </c>
      <c r="E249" s="1" t="s">
        <v>2063</v>
      </c>
      <c r="F249" s="3">
        <v>45268</v>
      </c>
      <c r="G249" s="3">
        <v>45085</v>
      </c>
      <c r="H249" s="3">
        <v>45450</v>
      </c>
      <c r="I249" s="1" t="s">
        <v>2625</v>
      </c>
      <c r="J249" s="1" t="s">
        <v>2626</v>
      </c>
      <c r="K249" s="1"/>
      <c r="L249" s="1" t="s">
        <v>2283</v>
      </c>
      <c r="M249" s="1" t="s">
        <v>2627</v>
      </c>
      <c r="N249" s="1" t="s">
        <v>2628</v>
      </c>
      <c r="O249" s="1" t="s">
        <v>2629</v>
      </c>
      <c r="P249" s="1" t="s">
        <v>2119</v>
      </c>
      <c r="Q249" s="1"/>
      <c r="R249" s="1"/>
      <c r="S249" s="1" t="s">
        <v>2072</v>
      </c>
      <c r="T249" s="1" t="s">
        <v>2489</v>
      </c>
      <c r="U249" s="4">
        <v>3500000</v>
      </c>
      <c r="V249" s="4">
        <v>3465</v>
      </c>
      <c r="W249" s="4">
        <v>35</v>
      </c>
      <c r="X249" s="4">
        <v>450</v>
      </c>
      <c r="Y249" s="4">
        <v>0</v>
      </c>
      <c r="Z249" s="5">
        <v>3950</v>
      </c>
      <c r="AA249" s="5">
        <v>0</v>
      </c>
      <c r="AB249" s="6">
        <v>0</v>
      </c>
      <c r="AC249" s="4">
        <v>3950</v>
      </c>
      <c r="AD249" s="4">
        <v>0</v>
      </c>
      <c r="AE249" s="4">
        <v>3950</v>
      </c>
      <c r="AF249" s="1"/>
      <c r="AG249" s="1"/>
      <c r="AH249" s="1"/>
      <c r="AI249" s="1" t="s">
        <v>2427</v>
      </c>
      <c r="AJ249" s="6">
        <v>1317.25</v>
      </c>
      <c r="AK249" s="6">
        <v>1028.71</v>
      </c>
      <c r="AL249" s="1"/>
    </row>
    <row r="250" spans="1:38" hidden="1" x14ac:dyDescent="0.25">
      <c r="A250" s="2">
        <v>356</v>
      </c>
      <c r="B250" s="1" t="s">
        <v>314</v>
      </c>
      <c r="C250" s="1" t="s">
        <v>321</v>
      </c>
      <c r="D250" s="1" t="s">
        <v>2062</v>
      </c>
      <c r="E250" s="1" t="s">
        <v>2063</v>
      </c>
      <c r="F250" s="3">
        <v>45300</v>
      </c>
      <c r="G250" s="3">
        <v>45085</v>
      </c>
      <c r="H250" s="3">
        <v>45450</v>
      </c>
      <c r="I250" s="1" t="s">
        <v>2625</v>
      </c>
      <c r="J250" s="1" t="s">
        <v>2626</v>
      </c>
      <c r="K250" s="1"/>
      <c r="L250" s="1" t="s">
        <v>2283</v>
      </c>
      <c r="M250" s="1" t="s">
        <v>2627</v>
      </c>
      <c r="N250" s="1" t="s">
        <v>2628</v>
      </c>
      <c r="O250" s="1" t="s">
        <v>2629</v>
      </c>
      <c r="P250" s="1" t="s">
        <v>2119</v>
      </c>
      <c r="Q250" s="1"/>
      <c r="R250" s="1"/>
      <c r="S250" s="1" t="s">
        <v>2072</v>
      </c>
      <c r="T250" s="1" t="s">
        <v>2489</v>
      </c>
      <c r="U250" s="4">
        <v>3500000</v>
      </c>
      <c r="V250" s="4">
        <v>4066</v>
      </c>
      <c r="W250" s="4">
        <v>41</v>
      </c>
      <c r="X250" s="4">
        <v>529</v>
      </c>
      <c r="Y250" s="4">
        <v>0</v>
      </c>
      <c r="Z250" s="5">
        <v>4636</v>
      </c>
      <c r="AA250" s="5">
        <v>0</v>
      </c>
      <c r="AB250" s="6">
        <v>0</v>
      </c>
      <c r="AC250" s="4">
        <v>4636</v>
      </c>
      <c r="AD250" s="4">
        <v>0</v>
      </c>
      <c r="AE250" s="4">
        <v>4636</v>
      </c>
      <c r="AF250" s="1"/>
      <c r="AG250" s="1"/>
      <c r="AH250" s="1"/>
      <c r="AI250" s="1" t="s">
        <v>2427</v>
      </c>
      <c r="AJ250" s="6">
        <v>1823.45</v>
      </c>
      <c r="AK250" s="6">
        <v>1206.81</v>
      </c>
      <c r="AL250" s="1"/>
    </row>
    <row r="251" spans="1:38" hidden="1" x14ac:dyDescent="0.25">
      <c r="A251" s="2">
        <v>357</v>
      </c>
      <c r="B251" s="1" t="s">
        <v>314</v>
      </c>
      <c r="C251" s="1" t="s">
        <v>322</v>
      </c>
      <c r="D251" s="1" t="s">
        <v>2062</v>
      </c>
      <c r="E251" s="1" t="s">
        <v>2063</v>
      </c>
      <c r="F251" s="3">
        <v>45334</v>
      </c>
      <c r="G251" s="3">
        <v>45085</v>
      </c>
      <c r="H251" s="3">
        <v>45450</v>
      </c>
      <c r="I251" s="1" t="s">
        <v>2625</v>
      </c>
      <c r="J251" s="1" t="s">
        <v>2626</v>
      </c>
      <c r="K251" s="1"/>
      <c r="L251" s="1" t="s">
        <v>2283</v>
      </c>
      <c r="M251" s="1" t="s">
        <v>2627</v>
      </c>
      <c r="N251" s="1" t="s">
        <v>2628</v>
      </c>
      <c r="O251" s="1" t="s">
        <v>2629</v>
      </c>
      <c r="P251" s="1" t="s">
        <v>2119</v>
      </c>
      <c r="Q251" s="1"/>
      <c r="R251" s="1"/>
      <c r="S251" s="1" t="s">
        <v>2072</v>
      </c>
      <c r="T251" s="1" t="s">
        <v>2489</v>
      </c>
      <c r="U251" s="4">
        <v>3500000</v>
      </c>
      <c r="V251" s="4">
        <v>3399</v>
      </c>
      <c r="W251" s="4">
        <v>33</v>
      </c>
      <c r="X251" s="4">
        <v>441</v>
      </c>
      <c r="Y251" s="4">
        <v>0</v>
      </c>
      <c r="Z251" s="5">
        <v>3873</v>
      </c>
      <c r="AA251" s="5">
        <v>0</v>
      </c>
      <c r="AB251" s="6">
        <v>0</v>
      </c>
      <c r="AC251" s="4">
        <v>3873</v>
      </c>
      <c r="AD251" s="4">
        <v>0</v>
      </c>
      <c r="AE251" s="4">
        <v>3873</v>
      </c>
      <c r="AF251" s="1"/>
      <c r="AG251" s="1"/>
      <c r="AH251" s="1"/>
      <c r="AI251" s="1" t="s">
        <v>2427</v>
      </c>
      <c r="AJ251" s="6">
        <v>1162.19</v>
      </c>
      <c r="AK251" s="6">
        <v>1008.57</v>
      </c>
      <c r="AL251" s="1"/>
    </row>
    <row r="252" spans="1:38" hidden="1" x14ac:dyDescent="0.25">
      <c r="A252" s="2">
        <v>358</v>
      </c>
      <c r="B252" s="1" t="s">
        <v>314</v>
      </c>
      <c r="C252" s="1" t="s">
        <v>323</v>
      </c>
      <c r="D252" s="1" t="s">
        <v>2062</v>
      </c>
      <c r="E252" s="1" t="s">
        <v>2063</v>
      </c>
      <c r="F252" s="3">
        <v>45359</v>
      </c>
      <c r="G252" s="3">
        <v>45085</v>
      </c>
      <c r="H252" s="3">
        <v>45450</v>
      </c>
      <c r="I252" s="1" t="s">
        <v>2625</v>
      </c>
      <c r="J252" s="1" t="s">
        <v>2626</v>
      </c>
      <c r="K252" s="1"/>
      <c r="L252" s="1" t="s">
        <v>2283</v>
      </c>
      <c r="M252" s="1" t="s">
        <v>2627</v>
      </c>
      <c r="N252" s="1" t="s">
        <v>2628</v>
      </c>
      <c r="O252" s="1" t="s">
        <v>2629</v>
      </c>
      <c r="P252" s="1" t="s">
        <v>2119</v>
      </c>
      <c r="Q252" s="1"/>
      <c r="R252" s="1"/>
      <c r="S252" s="1" t="s">
        <v>2072</v>
      </c>
      <c r="T252" s="1" t="s">
        <v>2489</v>
      </c>
      <c r="U252" s="4">
        <v>3500000</v>
      </c>
      <c r="V252" s="4">
        <v>3194</v>
      </c>
      <c r="W252" s="4">
        <v>32</v>
      </c>
      <c r="X252" s="4">
        <v>415</v>
      </c>
      <c r="Y252" s="4">
        <v>0</v>
      </c>
      <c r="Z252" s="5">
        <v>3641</v>
      </c>
      <c r="AA252" s="5">
        <v>0</v>
      </c>
      <c r="AB252" s="6">
        <v>0</v>
      </c>
      <c r="AC252" s="4">
        <v>3641</v>
      </c>
      <c r="AD252" s="4">
        <v>0</v>
      </c>
      <c r="AE252" s="4">
        <v>3641</v>
      </c>
      <c r="AF252" s="1"/>
      <c r="AG252" s="1"/>
      <c r="AH252" s="1"/>
      <c r="AI252" s="1" t="s">
        <v>2427</v>
      </c>
      <c r="AJ252" s="6">
        <v>1122.49</v>
      </c>
      <c r="AK252" s="6">
        <v>948.49</v>
      </c>
      <c r="AL252" s="1"/>
    </row>
    <row r="253" spans="1:38" hidden="1" x14ac:dyDescent="0.25">
      <c r="A253" s="2">
        <v>359</v>
      </c>
      <c r="B253" s="1" t="s">
        <v>314</v>
      </c>
      <c r="C253" s="1" t="s">
        <v>324</v>
      </c>
      <c r="D253" s="1" t="s">
        <v>2062</v>
      </c>
      <c r="E253" s="1" t="s">
        <v>2063</v>
      </c>
      <c r="F253" s="3">
        <v>45390</v>
      </c>
      <c r="G253" s="3">
        <v>45085</v>
      </c>
      <c r="H253" s="3">
        <v>45450</v>
      </c>
      <c r="I253" s="1" t="s">
        <v>2625</v>
      </c>
      <c r="J253" s="1" t="s">
        <v>2626</v>
      </c>
      <c r="K253" s="1"/>
      <c r="L253" s="1" t="s">
        <v>2283</v>
      </c>
      <c r="M253" s="1" t="s">
        <v>2627</v>
      </c>
      <c r="N253" s="1" t="s">
        <v>2628</v>
      </c>
      <c r="O253" s="1" t="s">
        <v>2629</v>
      </c>
      <c r="P253" s="1" t="s">
        <v>2119</v>
      </c>
      <c r="Q253" s="1"/>
      <c r="R253" s="1"/>
      <c r="S253" s="1" t="s">
        <v>2072</v>
      </c>
      <c r="T253" s="1" t="s">
        <v>2489</v>
      </c>
      <c r="U253" s="4">
        <v>3500000</v>
      </c>
      <c r="V253" s="4">
        <v>3597</v>
      </c>
      <c r="W253" s="4">
        <v>36</v>
      </c>
      <c r="X253" s="4">
        <v>468</v>
      </c>
      <c r="Y253" s="4">
        <v>0</v>
      </c>
      <c r="Z253" s="5">
        <v>4101</v>
      </c>
      <c r="AA253" s="5">
        <v>0</v>
      </c>
      <c r="AB253" s="6">
        <v>0</v>
      </c>
      <c r="AC253" s="4">
        <v>4101</v>
      </c>
      <c r="AD253" s="4">
        <v>0</v>
      </c>
      <c r="AE253" s="4">
        <v>4101</v>
      </c>
      <c r="AF253" s="1"/>
      <c r="AG253" s="1"/>
      <c r="AH253" s="1"/>
      <c r="AI253" s="1" t="s">
        <v>2427</v>
      </c>
      <c r="AJ253" s="6">
        <v>1335.64</v>
      </c>
      <c r="AK253" s="6">
        <v>1069.04</v>
      </c>
      <c r="AL253" s="1"/>
    </row>
    <row r="254" spans="1:38" hidden="1" x14ac:dyDescent="0.25">
      <c r="A254" s="2">
        <v>360</v>
      </c>
      <c r="B254" s="1" t="s">
        <v>314</v>
      </c>
      <c r="C254" s="1" t="s">
        <v>325</v>
      </c>
      <c r="D254" s="1" t="s">
        <v>2062</v>
      </c>
      <c r="E254" s="1" t="s">
        <v>2063</v>
      </c>
      <c r="F254" s="3">
        <v>45425</v>
      </c>
      <c r="G254" s="3">
        <v>45085</v>
      </c>
      <c r="H254" s="3">
        <v>45450</v>
      </c>
      <c r="I254" s="1" t="s">
        <v>2625</v>
      </c>
      <c r="J254" s="1" t="s">
        <v>2626</v>
      </c>
      <c r="K254" s="1"/>
      <c r="L254" s="1" t="s">
        <v>2283</v>
      </c>
      <c r="M254" s="1" t="s">
        <v>2627</v>
      </c>
      <c r="N254" s="1" t="s">
        <v>2628</v>
      </c>
      <c r="O254" s="1" t="s">
        <v>2629</v>
      </c>
      <c r="P254" s="1" t="s">
        <v>2119</v>
      </c>
      <c r="Q254" s="1"/>
      <c r="R254" s="1"/>
      <c r="S254" s="1" t="s">
        <v>2072</v>
      </c>
      <c r="T254" s="1" t="s">
        <v>2489</v>
      </c>
      <c r="U254" s="4">
        <v>3500000</v>
      </c>
      <c r="V254" s="4">
        <v>3278</v>
      </c>
      <c r="W254" s="4">
        <v>33</v>
      </c>
      <c r="X254" s="4">
        <v>426</v>
      </c>
      <c r="Y254" s="4">
        <v>0</v>
      </c>
      <c r="Z254" s="5">
        <v>3737</v>
      </c>
      <c r="AA254" s="5">
        <v>0</v>
      </c>
      <c r="AB254" s="6">
        <v>0</v>
      </c>
      <c r="AC254" s="4">
        <v>3737</v>
      </c>
      <c r="AD254" s="4">
        <v>0</v>
      </c>
      <c r="AE254" s="4">
        <v>3737</v>
      </c>
      <c r="AF254" s="1"/>
      <c r="AG254" s="1"/>
      <c r="AH254" s="1"/>
      <c r="AI254" s="1" t="s">
        <v>2427</v>
      </c>
      <c r="AJ254" s="6">
        <v>1138.2</v>
      </c>
      <c r="AK254" s="6">
        <v>972.92</v>
      </c>
      <c r="AL254" s="1"/>
    </row>
    <row r="255" spans="1:38" hidden="1" x14ac:dyDescent="0.25">
      <c r="A255" s="2">
        <v>361</v>
      </c>
      <c r="B255" s="1" t="s">
        <v>314</v>
      </c>
      <c r="C255" s="1" t="s">
        <v>326</v>
      </c>
      <c r="D255" s="1" t="s">
        <v>2062</v>
      </c>
      <c r="E255" s="1" t="s">
        <v>2063</v>
      </c>
      <c r="F255" s="3">
        <v>45453</v>
      </c>
      <c r="G255" s="3">
        <v>45085</v>
      </c>
      <c r="H255" s="3">
        <v>45450</v>
      </c>
      <c r="I255" s="1" t="s">
        <v>2625</v>
      </c>
      <c r="J255" s="1" t="s">
        <v>2626</v>
      </c>
      <c r="K255" s="1"/>
      <c r="L255" s="1" t="s">
        <v>2283</v>
      </c>
      <c r="M255" s="1" t="s">
        <v>2627</v>
      </c>
      <c r="N255" s="1" t="s">
        <v>2628</v>
      </c>
      <c r="O255" s="1" t="s">
        <v>2629</v>
      </c>
      <c r="P255" s="1" t="s">
        <v>2119</v>
      </c>
      <c r="Q255" s="1"/>
      <c r="R255" s="1"/>
      <c r="S255" s="1" t="s">
        <v>2072</v>
      </c>
      <c r="T255" s="1" t="s">
        <v>2489</v>
      </c>
      <c r="U255" s="4">
        <v>3500000</v>
      </c>
      <c r="V255" s="4">
        <v>4208</v>
      </c>
      <c r="W255" s="4">
        <v>42</v>
      </c>
      <c r="X255" s="4">
        <v>547</v>
      </c>
      <c r="Y255" s="4">
        <v>0</v>
      </c>
      <c r="Z255" s="5">
        <v>4797</v>
      </c>
      <c r="AA255" s="5">
        <v>0</v>
      </c>
      <c r="AB255" s="6">
        <v>0</v>
      </c>
      <c r="AC255" s="4">
        <v>4797</v>
      </c>
      <c r="AD255" s="4">
        <v>0</v>
      </c>
      <c r="AE255" s="4">
        <v>4797</v>
      </c>
      <c r="AF255" s="1"/>
      <c r="AG255" s="1"/>
      <c r="AH255" s="1"/>
      <c r="AI255" s="1" t="s">
        <v>2427</v>
      </c>
      <c r="AJ255" s="6">
        <v>1872.85</v>
      </c>
      <c r="AK255" s="6">
        <v>1248.6100000000001</v>
      </c>
      <c r="AL255" s="1"/>
    </row>
    <row r="256" spans="1:38" hidden="1" x14ac:dyDescent="0.25">
      <c r="A256" s="2">
        <v>362</v>
      </c>
      <c r="B256" s="1" t="s">
        <v>314</v>
      </c>
      <c r="C256" s="1" t="s">
        <v>327</v>
      </c>
      <c r="D256" s="1" t="s">
        <v>2062</v>
      </c>
      <c r="E256" s="1" t="s">
        <v>2063</v>
      </c>
      <c r="F256" s="3">
        <v>45596</v>
      </c>
      <c r="G256" s="3">
        <v>45085</v>
      </c>
      <c r="H256" s="3">
        <v>45450</v>
      </c>
      <c r="I256" s="1" t="s">
        <v>2625</v>
      </c>
      <c r="J256" s="1" t="s">
        <v>2626</v>
      </c>
      <c r="K256" s="1"/>
      <c r="L256" s="1" t="s">
        <v>2283</v>
      </c>
      <c r="M256" s="1" t="s">
        <v>2627</v>
      </c>
      <c r="N256" s="1" t="s">
        <v>2628</v>
      </c>
      <c r="O256" s="1" t="s">
        <v>2629</v>
      </c>
      <c r="P256" s="1" t="s">
        <v>2119</v>
      </c>
      <c r="Q256" s="1"/>
      <c r="R256" s="1"/>
      <c r="S256" s="1" t="s">
        <v>2072</v>
      </c>
      <c r="T256" s="1" t="s">
        <v>2489</v>
      </c>
      <c r="U256" s="4">
        <v>-1</v>
      </c>
      <c r="V256" s="4">
        <v>-43098</v>
      </c>
      <c r="W256" s="4">
        <v>-431</v>
      </c>
      <c r="X256" s="4">
        <v>0</v>
      </c>
      <c r="Y256" s="4">
        <v>0</v>
      </c>
      <c r="Z256" s="5">
        <v>-43529</v>
      </c>
      <c r="AA256" s="5">
        <v>0</v>
      </c>
      <c r="AB256" s="6">
        <v>0</v>
      </c>
      <c r="AC256" s="4">
        <v>-43529</v>
      </c>
      <c r="AD256" s="4">
        <v>0</v>
      </c>
      <c r="AE256" s="4">
        <v>-43529</v>
      </c>
      <c r="AF256" s="1"/>
      <c r="AG256" s="1"/>
      <c r="AH256" s="1"/>
      <c r="AI256" s="1" t="s">
        <v>2427</v>
      </c>
      <c r="AJ256" s="1"/>
      <c r="AK256" s="1"/>
      <c r="AL256" s="1"/>
    </row>
    <row r="257" spans="1:38" hidden="1" x14ac:dyDescent="0.25">
      <c r="A257" s="2">
        <v>364</v>
      </c>
      <c r="B257" s="1" t="s">
        <v>328</v>
      </c>
      <c r="C257" s="1" t="s">
        <v>329</v>
      </c>
      <c r="D257" s="1" t="s">
        <v>2062</v>
      </c>
      <c r="E257" s="1" t="s">
        <v>2063</v>
      </c>
      <c r="F257" s="3">
        <v>45390</v>
      </c>
      <c r="G257" s="3">
        <v>45085</v>
      </c>
      <c r="H257" s="3">
        <v>45450</v>
      </c>
      <c r="I257" s="1" t="s">
        <v>2630</v>
      </c>
      <c r="J257" s="1" t="s">
        <v>2631</v>
      </c>
      <c r="K257" s="1"/>
      <c r="L257" s="1" t="s">
        <v>2198</v>
      </c>
      <c r="M257" s="1" t="s">
        <v>2632</v>
      </c>
      <c r="N257" s="1" t="s">
        <v>2633</v>
      </c>
      <c r="O257" s="1" t="s">
        <v>2634</v>
      </c>
      <c r="P257" s="1" t="s">
        <v>2095</v>
      </c>
      <c r="Q257" s="1"/>
      <c r="R257" s="1"/>
      <c r="S257" s="1" t="s">
        <v>2072</v>
      </c>
      <c r="T257" s="1" t="s">
        <v>2073</v>
      </c>
      <c r="U257" s="4">
        <v>2300000</v>
      </c>
      <c r="V257" s="4">
        <v>77</v>
      </c>
      <c r="W257" s="4">
        <v>1</v>
      </c>
      <c r="X257" s="4">
        <v>10</v>
      </c>
      <c r="Y257" s="4">
        <v>0</v>
      </c>
      <c r="Z257" s="5">
        <v>88</v>
      </c>
      <c r="AA257" s="5">
        <v>0</v>
      </c>
      <c r="AB257" s="6">
        <v>0</v>
      </c>
      <c r="AC257" s="4">
        <v>88</v>
      </c>
      <c r="AD257" s="4">
        <v>0</v>
      </c>
      <c r="AE257" s="4">
        <v>88</v>
      </c>
      <c r="AF257" s="1"/>
      <c r="AG257" s="1"/>
      <c r="AH257" s="1"/>
      <c r="AI257" s="1" t="s">
        <v>2635</v>
      </c>
      <c r="AJ257" s="6">
        <v>28.02</v>
      </c>
      <c r="AK257" s="6">
        <v>28.02</v>
      </c>
      <c r="AL257" s="1"/>
    </row>
    <row r="258" spans="1:38" hidden="1" x14ac:dyDescent="0.25">
      <c r="A258" s="2">
        <v>365</v>
      </c>
      <c r="B258" s="1" t="s">
        <v>328</v>
      </c>
      <c r="C258" s="1" t="s">
        <v>330</v>
      </c>
      <c r="D258" s="1" t="s">
        <v>2062</v>
      </c>
      <c r="E258" s="1" t="s">
        <v>2063</v>
      </c>
      <c r="F258" s="3">
        <v>45425</v>
      </c>
      <c r="G258" s="3">
        <v>45085</v>
      </c>
      <c r="H258" s="3">
        <v>45450</v>
      </c>
      <c r="I258" s="1" t="s">
        <v>2630</v>
      </c>
      <c r="J258" s="1" t="s">
        <v>2631</v>
      </c>
      <c r="K258" s="1"/>
      <c r="L258" s="1" t="s">
        <v>2198</v>
      </c>
      <c r="M258" s="1" t="s">
        <v>2632</v>
      </c>
      <c r="N258" s="1" t="s">
        <v>2633</v>
      </c>
      <c r="O258" s="1" t="s">
        <v>2634</v>
      </c>
      <c r="P258" s="1" t="s">
        <v>2095</v>
      </c>
      <c r="Q258" s="1"/>
      <c r="R258" s="1"/>
      <c r="S258" s="1" t="s">
        <v>2072</v>
      </c>
      <c r="T258" s="1" t="s">
        <v>2073</v>
      </c>
      <c r="U258" s="4">
        <v>2300000</v>
      </c>
      <c r="V258" s="4">
        <v>430</v>
      </c>
      <c r="W258" s="4">
        <v>5</v>
      </c>
      <c r="X258" s="4">
        <v>57</v>
      </c>
      <c r="Y258" s="4">
        <v>0</v>
      </c>
      <c r="Z258" s="5">
        <v>492</v>
      </c>
      <c r="AA258" s="5">
        <v>0</v>
      </c>
      <c r="AB258" s="6">
        <v>0</v>
      </c>
      <c r="AC258" s="4">
        <v>492</v>
      </c>
      <c r="AD258" s="4">
        <v>0</v>
      </c>
      <c r="AE258" s="4">
        <v>492</v>
      </c>
      <c r="AF258" s="1"/>
      <c r="AG258" s="1"/>
      <c r="AH258" s="1"/>
      <c r="AI258" s="1" t="s">
        <v>2635</v>
      </c>
      <c r="AJ258" s="6">
        <v>168.18</v>
      </c>
      <c r="AK258" s="6">
        <v>156.05000000000001</v>
      </c>
      <c r="AL258" s="1"/>
    </row>
    <row r="259" spans="1:38" hidden="1" x14ac:dyDescent="0.25">
      <c r="A259" s="2">
        <v>366</v>
      </c>
      <c r="B259" s="1" t="s">
        <v>328</v>
      </c>
      <c r="C259" s="1" t="s">
        <v>331</v>
      </c>
      <c r="D259" s="1" t="s">
        <v>2062</v>
      </c>
      <c r="E259" s="1" t="s">
        <v>2063</v>
      </c>
      <c r="F259" s="3">
        <v>45655</v>
      </c>
      <c r="G259" s="3">
        <v>45085</v>
      </c>
      <c r="H259" s="3">
        <v>45450</v>
      </c>
      <c r="I259" s="1" t="s">
        <v>2630</v>
      </c>
      <c r="J259" s="1" t="s">
        <v>2631</v>
      </c>
      <c r="K259" s="1"/>
      <c r="L259" s="1" t="s">
        <v>2198</v>
      </c>
      <c r="M259" s="1" t="s">
        <v>2632</v>
      </c>
      <c r="N259" s="1" t="s">
        <v>2633</v>
      </c>
      <c r="O259" s="1" t="s">
        <v>2634</v>
      </c>
      <c r="P259" s="1" t="s">
        <v>2095</v>
      </c>
      <c r="Q259" s="1"/>
      <c r="R259" s="1"/>
      <c r="S259" s="1" t="s">
        <v>2072</v>
      </c>
      <c r="T259" s="1" t="s">
        <v>2073</v>
      </c>
      <c r="U259" s="4">
        <v>-1</v>
      </c>
      <c r="V259" s="4">
        <v>-574</v>
      </c>
      <c r="W259" s="4">
        <v>-6</v>
      </c>
      <c r="X259" s="4">
        <v>0</v>
      </c>
      <c r="Y259" s="4">
        <v>0</v>
      </c>
      <c r="Z259" s="5">
        <v>-580</v>
      </c>
      <c r="AA259" s="5">
        <v>0</v>
      </c>
      <c r="AB259" s="6">
        <v>0</v>
      </c>
      <c r="AC259" s="4">
        <v>-580</v>
      </c>
      <c r="AD259" s="4">
        <v>0</v>
      </c>
      <c r="AE259" s="4">
        <v>-580</v>
      </c>
      <c r="AF259" s="1"/>
      <c r="AG259" s="1"/>
      <c r="AH259" s="1"/>
      <c r="AI259" s="1" t="s">
        <v>2635</v>
      </c>
      <c r="AJ259" s="1"/>
      <c r="AK259" s="1"/>
      <c r="AL259" s="1"/>
    </row>
    <row r="260" spans="1:38" hidden="1" x14ac:dyDescent="0.25">
      <c r="A260" s="2">
        <v>370</v>
      </c>
      <c r="B260" s="1" t="s">
        <v>332</v>
      </c>
      <c r="C260" s="1" t="s">
        <v>333</v>
      </c>
      <c r="D260" s="1" t="s">
        <v>2062</v>
      </c>
      <c r="E260" s="1" t="s">
        <v>2063</v>
      </c>
      <c r="F260" s="3">
        <v>45453</v>
      </c>
      <c r="G260" s="3">
        <v>45086</v>
      </c>
      <c r="H260" s="3">
        <v>45451</v>
      </c>
      <c r="I260" s="1" t="s">
        <v>2636</v>
      </c>
      <c r="J260" s="1" t="s">
        <v>2637</v>
      </c>
      <c r="K260" s="1"/>
      <c r="L260" s="1" t="s">
        <v>2638</v>
      </c>
      <c r="M260" s="1" t="s">
        <v>2639</v>
      </c>
      <c r="N260" s="1" t="s">
        <v>2640</v>
      </c>
      <c r="O260" s="1" t="s">
        <v>2641</v>
      </c>
      <c r="P260" s="1" t="s">
        <v>2182</v>
      </c>
      <c r="Q260" s="1"/>
      <c r="R260" s="1"/>
      <c r="S260" s="1" t="s">
        <v>2072</v>
      </c>
      <c r="T260" s="1" t="s">
        <v>2073</v>
      </c>
      <c r="U260" s="4">
        <v>6500000</v>
      </c>
      <c r="V260" s="4">
        <v>7119</v>
      </c>
      <c r="W260" s="4">
        <v>71</v>
      </c>
      <c r="X260" s="4">
        <v>926</v>
      </c>
      <c r="Y260" s="4">
        <v>0</v>
      </c>
      <c r="Z260" s="5">
        <v>8116</v>
      </c>
      <c r="AA260" s="5">
        <v>0</v>
      </c>
      <c r="AB260" s="6">
        <v>0</v>
      </c>
      <c r="AC260" s="4">
        <v>8116</v>
      </c>
      <c r="AD260" s="4">
        <v>0</v>
      </c>
      <c r="AE260" s="4">
        <v>8116</v>
      </c>
      <c r="AF260" s="1"/>
      <c r="AG260" s="1"/>
      <c r="AH260" s="1"/>
      <c r="AI260" s="1" t="s">
        <v>2427</v>
      </c>
      <c r="AJ260" s="6">
        <v>957.50000000000205</v>
      </c>
      <c r="AK260" s="6">
        <v>911.56000000000097</v>
      </c>
      <c r="AL260" s="1"/>
    </row>
    <row r="261" spans="1:38" hidden="1" x14ac:dyDescent="0.25">
      <c r="A261" s="2">
        <v>371</v>
      </c>
      <c r="B261" s="1" t="s">
        <v>332</v>
      </c>
      <c r="C261" s="1" t="s">
        <v>334</v>
      </c>
      <c r="D261" s="1" t="s">
        <v>2062</v>
      </c>
      <c r="E261" s="1" t="s">
        <v>2063</v>
      </c>
      <c r="F261" s="3">
        <v>45745</v>
      </c>
      <c r="G261" s="3">
        <v>45086</v>
      </c>
      <c r="H261" s="3">
        <v>45451</v>
      </c>
      <c r="I261" s="1" t="s">
        <v>2636</v>
      </c>
      <c r="J261" s="1" t="s">
        <v>2637</v>
      </c>
      <c r="K261" s="1"/>
      <c r="L261" s="1" t="s">
        <v>2638</v>
      </c>
      <c r="M261" s="1" t="s">
        <v>2639</v>
      </c>
      <c r="N261" s="1" t="s">
        <v>2640</v>
      </c>
      <c r="O261" s="1" t="s">
        <v>2641</v>
      </c>
      <c r="P261" s="1" t="s">
        <v>2182</v>
      </c>
      <c r="Q261" s="1"/>
      <c r="R261" s="1"/>
      <c r="S261" s="1" t="s">
        <v>2072</v>
      </c>
      <c r="T261" s="1" t="s">
        <v>2073</v>
      </c>
      <c r="U261" s="4">
        <v>-1</v>
      </c>
      <c r="V261" s="4">
        <v>-8045</v>
      </c>
      <c r="W261" s="4">
        <v>-71</v>
      </c>
      <c r="X261" s="4">
        <v>0</v>
      </c>
      <c r="Y261" s="4">
        <v>0</v>
      </c>
      <c r="Z261" s="5">
        <v>-8116</v>
      </c>
      <c r="AA261" s="5">
        <v>0</v>
      </c>
      <c r="AB261" s="6">
        <v>0</v>
      </c>
      <c r="AC261" s="4">
        <v>-8116</v>
      </c>
      <c r="AD261" s="4">
        <v>0</v>
      </c>
      <c r="AE261" s="4">
        <v>-8116</v>
      </c>
      <c r="AF261" s="1"/>
      <c r="AG261" s="1"/>
      <c r="AH261" s="1"/>
      <c r="AI261" s="1" t="s">
        <v>2427</v>
      </c>
      <c r="AJ261" s="1"/>
      <c r="AK261" s="1"/>
      <c r="AL261" s="1"/>
    </row>
    <row r="262" spans="1:38" hidden="1" x14ac:dyDescent="0.25">
      <c r="A262" s="2">
        <v>372</v>
      </c>
      <c r="B262" s="1" t="s">
        <v>335</v>
      </c>
      <c r="C262" s="1" t="s">
        <v>336</v>
      </c>
      <c r="D262" s="1" t="s">
        <v>2062</v>
      </c>
      <c r="E262" s="1" t="s">
        <v>2063</v>
      </c>
      <c r="F262" s="3">
        <v>45366</v>
      </c>
      <c r="G262" s="3">
        <v>45091</v>
      </c>
      <c r="H262" s="3">
        <v>45456</v>
      </c>
      <c r="I262" s="1" t="s">
        <v>2642</v>
      </c>
      <c r="J262" s="1" t="s">
        <v>2643</v>
      </c>
      <c r="K262" s="1"/>
      <c r="L262" s="1" t="s">
        <v>2450</v>
      </c>
      <c r="M262" s="1" t="s">
        <v>2644</v>
      </c>
      <c r="N262" s="1" t="s">
        <v>2645</v>
      </c>
      <c r="O262" s="1" t="s">
        <v>2646</v>
      </c>
      <c r="P262" s="1" t="s">
        <v>2165</v>
      </c>
      <c r="Q262" s="1"/>
      <c r="R262" s="1"/>
      <c r="S262" s="1" t="s">
        <v>2072</v>
      </c>
      <c r="T262" s="1" t="s">
        <v>2073</v>
      </c>
      <c r="U262" s="4">
        <v>2500000</v>
      </c>
      <c r="V262" s="4">
        <v>1337</v>
      </c>
      <c r="W262" s="4">
        <v>13</v>
      </c>
      <c r="X262" s="4">
        <v>174</v>
      </c>
      <c r="Y262" s="4">
        <v>0</v>
      </c>
      <c r="Z262" s="5">
        <v>1524</v>
      </c>
      <c r="AA262" s="5">
        <v>0</v>
      </c>
      <c r="AB262" s="6">
        <v>0</v>
      </c>
      <c r="AC262" s="4">
        <v>1524</v>
      </c>
      <c r="AD262" s="4">
        <v>0</v>
      </c>
      <c r="AE262" s="4">
        <v>1524</v>
      </c>
      <c r="AF262" s="1"/>
      <c r="AG262" s="1"/>
      <c r="AH262" s="1"/>
      <c r="AI262" s="1" t="s">
        <v>2327</v>
      </c>
      <c r="AJ262" s="6">
        <v>476.71</v>
      </c>
      <c r="AK262" s="6">
        <v>444.81</v>
      </c>
      <c r="AL262" s="1"/>
    </row>
    <row r="263" spans="1:38" hidden="1" x14ac:dyDescent="0.25">
      <c r="A263" s="2">
        <v>373</v>
      </c>
      <c r="B263" s="1" t="s">
        <v>335</v>
      </c>
      <c r="C263" s="1" t="s">
        <v>337</v>
      </c>
      <c r="D263" s="1" t="s">
        <v>2062</v>
      </c>
      <c r="E263" s="1" t="s">
        <v>2063</v>
      </c>
      <c r="F263" s="3">
        <v>45396</v>
      </c>
      <c r="G263" s="3">
        <v>45091</v>
      </c>
      <c r="H263" s="3">
        <v>45456</v>
      </c>
      <c r="I263" s="1" t="s">
        <v>2642</v>
      </c>
      <c r="J263" s="1" t="s">
        <v>2643</v>
      </c>
      <c r="K263" s="1"/>
      <c r="L263" s="1" t="s">
        <v>2450</v>
      </c>
      <c r="M263" s="1" t="s">
        <v>2644</v>
      </c>
      <c r="N263" s="1" t="s">
        <v>2645</v>
      </c>
      <c r="O263" s="1" t="s">
        <v>2646</v>
      </c>
      <c r="P263" s="1" t="s">
        <v>2165</v>
      </c>
      <c r="Q263" s="1"/>
      <c r="R263" s="1"/>
      <c r="S263" s="1" t="s">
        <v>2072</v>
      </c>
      <c r="T263" s="1" t="s">
        <v>2073</v>
      </c>
      <c r="U263" s="4">
        <v>2500000</v>
      </c>
      <c r="V263" s="4">
        <v>867</v>
      </c>
      <c r="W263" s="4">
        <v>9</v>
      </c>
      <c r="X263" s="4">
        <v>113</v>
      </c>
      <c r="Y263" s="4">
        <v>0</v>
      </c>
      <c r="Z263" s="5">
        <v>989</v>
      </c>
      <c r="AA263" s="5">
        <v>0</v>
      </c>
      <c r="AB263" s="6">
        <v>0</v>
      </c>
      <c r="AC263" s="4">
        <v>989</v>
      </c>
      <c r="AD263" s="4">
        <v>0</v>
      </c>
      <c r="AE263" s="4">
        <v>989</v>
      </c>
      <c r="AF263" s="1"/>
      <c r="AG263" s="1"/>
      <c r="AH263" s="1"/>
      <c r="AI263" s="1" t="s">
        <v>2327</v>
      </c>
      <c r="AJ263" s="6">
        <v>566.64000000000101</v>
      </c>
      <c r="AK263" s="6">
        <v>288.73</v>
      </c>
      <c r="AL263" s="1"/>
    </row>
    <row r="264" spans="1:38" hidden="1" x14ac:dyDescent="0.25">
      <c r="A264" s="2">
        <v>374</v>
      </c>
      <c r="B264" s="1" t="s">
        <v>335</v>
      </c>
      <c r="C264" s="1" t="s">
        <v>338</v>
      </c>
      <c r="D264" s="1" t="s">
        <v>2062</v>
      </c>
      <c r="E264" s="1" t="s">
        <v>2063</v>
      </c>
      <c r="F264" s="3">
        <v>45426</v>
      </c>
      <c r="G264" s="3">
        <v>45091</v>
      </c>
      <c r="H264" s="3">
        <v>45456</v>
      </c>
      <c r="I264" s="1" t="s">
        <v>2642</v>
      </c>
      <c r="J264" s="1" t="s">
        <v>2643</v>
      </c>
      <c r="K264" s="1"/>
      <c r="L264" s="1" t="s">
        <v>2450</v>
      </c>
      <c r="M264" s="1" t="s">
        <v>2644</v>
      </c>
      <c r="N264" s="1" t="s">
        <v>2645</v>
      </c>
      <c r="O264" s="1" t="s">
        <v>2646</v>
      </c>
      <c r="P264" s="1" t="s">
        <v>2165</v>
      </c>
      <c r="Q264" s="1"/>
      <c r="R264" s="1"/>
      <c r="S264" s="1" t="s">
        <v>2072</v>
      </c>
      <c r="T264" s="1" t="s">
        <v>2073</v>
      </c>
      <c r="U264" s="4">
        <v>2500000</v>
      </c>
      <c r="V264" s="4">
        <v>1101</v>
      </c>
      <c r="W264" s="4">
        <v>11</v>
      </c>
      <c r="X264" s="4">
        <v>143</v>
      </c>
      <c r="Y264" s="4">
        <v>0</v>
      </c>
      <c r="Z264" s="5">
        <v>1255</v>
      </c>
      <c r="AA264" s="5">
        <v>0</v>
      </c>
      <c r="AB264" s="6">
        <v>0</v>
      </c>
      <c r="AC264" s="4">
        <v>1255</v>
      </c>
      <c r="AD264" s="4">
        <v>0</v>
      </c>
      <c r="AE264" s="4">
        <v>1255</v>
      </c>
      <c r="AF264" s="1"/>
      <c r="AG264" s="1"/>
      <c r="AH264" s="1"/>
      <c r="AI264" s="1" t="s">
        <v>2327</v>
      </c>
      <c r="AJ264" s="6">
        <v>639.09000000000106</v>
      </c>
      <c r="AK264" s="6">
        <v>367.15</v>
      </c>
      <c r="AL264" s="1"/>
    </row>
    <row r="265" spans="1:38" hidden="1" x14ac:dyDescent="0.25">
      <c r="A265" s="2">
        <v>375</v>
      </c>
      <c r="B265" s="1" t="s">
        <v>335</v>
      </c>
      <c r="C265" s="1" t="s">
        <v>339</v>
      </c>
      <c r="D265" s="1" t="s">
        <v>2062</v>
      </c>
      <c r="E265" s="1" t="s">
        <v>2063</v>
      </c>
      <c r="F265" s="3">
        <v>45457</v>
      </c>
      <c r="G265" s="3">
        <v>45091</v>
      </c>
      <c r="H265" s="3">
        <v>45456</v>
      </c>
      <c r="I265" s="1" t="s">
        <v>2642</v>
      </c>
      <c r="J265" s="1" t="s">
        <v>2643</v>
      </c>
      <c r="K265" s="1"/>
      <c r="L265" s="1" t="s">
        <v>2450</v>
      </c>
      <c r="M265" s="1" t="s">
        <v>2644</v>
      </c>
      <c r="N265" s="1" t="s">
        <v>2645</v>
      </c>
      <c r="O265" s="1" t="s">
        <v>2646</v>
      </c>
      <c r="P265" s="1" t="s">
        <v>2165</v>
      </c>
      <c r="Q265" s="1"/>
      <c r="R265" s="1"/>
      <c r="S265" s="1" t="s">
        <v>2072</v>
      </c>
      <c r="T265" s="1" t="s">
        <v>2073</v>
      </c>
      <c r="U265" s="4">
        <v>2500000</v>
      </c>
      <c r="V265" s="4">
        <v>664</v>
      </c>
      <c r="W265" s="4">
        <v>6</v>
      </c>
      <c r="X265" s="4">
        <v>86</v>
      </c>
      <c r="Y265" s="4">
        <v>0</v>
      </c>
      <c r="Z265" s="5">
        <v>756</v>
      </c>
      <c r="AA265" s="5">
        <v>0</v>
      </c>
      <c r="AB265" s="6">
        <v>0</v>
      </c>
      <c r="AC265" s="4">
        <v>756</v>
      </c>
      <c r="AD265" s="4">
        <v>0</v>
      </c>
      <c r="AE265" s="4">
        <v>756</v>
      </c>
      <c r="AF265" s="1"/>
      <c r="AG265" s="1"/>
      <c r="AH265" s="1"/>
      <c r="AI265" s="1" t="s">
        <v>2327</v>
      </c>
      <c r="AJ265" s="6">
        <v>360.6</v>
      </c>
      <c r="AK265" s="6">
        <v>360.6</v>
      </c>
      <c r="AL265" s="1"/>
    </row>
    <row r="266" spans="1:38" hidden="1" x14ac:dyDescent="0.25">
      <c r="A266" s="2">
        <v>376</v>
      </c>
      <c r="B266" s="1" t="s">
        <v>335</v>
      </c>
      <c r="C266" s="1" t="s">
        <v>340</v>
      </c>
      <c r="D266" s="1" t="s">
        <v>2062</v>
      </c>
      <c r="E266" s="1" t="s">
        <v>2063</v>
      </c>
      <c r="F266" s="3">
        <v>45596</v>
      </c>
      <c r="G266" s="3">
        <v>45091</v>
      </c>
      <c r="H266" s="3">
        <v>45456</v>
      </c>
      <c r="I266" s="1" t="s">
        <v>2642</v>
      </c>
      <c r="J266" s="1" t="s">
        <v>2643</v>
      </c>
      <c r="K266" s="1"/>
      <c r="L266" s="1" t="s">
        <v>2450</v>
      </c>
      <c r="M266" s="1" t="s">
        <v>2644</v>
      </c>
      <c r="N266" s="1" t="s">
        <v>2645</v>
      </c>
      <c r="O266" s="1" t="s">
        <v>2646</v>
      </c>
      <c r="P266" s="1" t="s">
        <v>2165</v>
      </c>
      <c r="Q266" s="1"/>
      <c r="R266" s="1"/>
      <c r="S266" s="1" t="s">
        <v>2072</v>
      </c>
      <c r="T266" s="1" t="s">
        <v>2073</v>
      </c>
      <c r="U266" s="4">
        <v>-1</v>
      </c>
      <c r="V266" s="4">
        <v>-4479</v>
      </c>
      <c r="W266" s="4">
        <v>-45</v>
      </c>
      <c r="X266" s="4">
        <v>0</v>
      </c>
      <c r="Y266" s="4">
        <v>0</v>
      </c>
      <c r="Z266" s="5">
        <v>-4524</v>
      </c>
      <c r="AA266" s="5">
        <v>0</v>
      </c>
      <c r="AB266" s="6">
        <v>0</v>
      </c>
      <c r="AC266" s="4">
        <v>-4524</v>
      </c>
      <c r="AD266" s="4">
        <v>0</v>
      </c>
      <c r="AE266" s="4">
        <v>-4524</v>
      </c>
      <c r="AF266" s="1"/>
      <c r="AG266" s="1"/>
      <c r="AH266" s="1"/>
      <c r="AI266" s="1" t="s">
        <v>2327</v>
      </c>
      <c r="AJ266" s="1"/>
      <c r="AK266" s="1"/>
      <c r="AL266" s="1"/>
    </row>
    <row r="267" spans="1:38" hidden="1" x14ac:dyDescent="0.25">
      <c r="A267" s="2">
        <v>377</v>
      </c>
      <c r="B267" s="1" t="s">
        <v>341</v>
      </c>
      <c r="C267" s="1" t="s">
        <v>342</v>
      </c>
      <c r="D267" s="1" t="s">
        <v>2062</v>
      </c>
      <c r="E267" s="1" t="s">
        <v>2063</v>
      </c>
      <c r="F267" s="3">
        <v>45390</v>
      </c>
      <c r="G267" s="3">
        <v>45085</v>
      </c>
      <c r="H267" s="3">
        <v>45450</v>
      </c>
      <c r="I267" s="1" t="s">
        <v>2189</v>
      </c>
      <c r="J267" s="1" t="s">
        <v>2195</v>
      </c>
      <c r="K267" s="1"/>
      <c r="L267" s="1" t="s">
        <v>2178</v>
      </c>
      <c r="M267" s="1" t="s">
        <v>2191</v>
      </c>
      <c r="N267" s="1" t="s">
        <v>2192</v>
      </c>
      <c r="O267" s="1" t="s">
        <v>2193</v>
      </c>
      <c r="P267" s="1" t="s">
        <v>2088</v>
      </c>
      <c r="Q267" s="1"/>
      <c r="R267" s="1"/>
      <c r="S267" s="1" t="s">
        <v>2072</v>
      </c>
      <c r="T267" s="1" t="s">
        <v>2073</v>
      </c>
      <c r="U267" s="4">
        <v>1700000</v>
      </c>
      <c r="V267" s="4">
        <v>697</v>
      </c>
      <c r="W267" s="4">
        <v>7</v>
      </c>
      <c r="X267" s="4">
        <v>91</v>
      </c>
      <c r="Y267" s="4">
        <v>0</v>
      </c>
      <c r="Z267" s="5">
        <v>795</v>
      </c>
      <c r="AA267" s="5">
        <v>0</v>
      </c>
      <c r="AB267" s="6">
        <v>0</v>
      </c>
      <c r="AC267" s="4">
        <v>795</v>
      </c>
      <c r="AD267" s="4">
        <v>0</v>
      </c>
      <c r="AE267" s="4">
        <v>795</v>
      </c>
      <c r="AF267" s="1"/>
      <c r="AG267" s="1"/>
      <c r="AH267" s="1"/>
      <c r="AI267" s="1" t="s">
        <v>2287</v>
      </c>
      <c r="AJ267" s="6">
        <v>341.17</v>
      </c>
      <c r="AK267" s="6">
        <v>341.17</v>
      </c>
      <c r="AL267" s="1"/>
    </row>
    <row r="268" spans="1:38" hidden="1" x14ac:dyDescent="0.25">
      <c r="A268" s="2">
        <v>378</v>
      </c>
      <c r="B268" s="1" t="s">
        <v>341</v>
      </c>
      <c r="C268" s="1" t="s">
        <v>343</v>
      </c>
      <c r="D268" s="1" t="s">
        <v>2062</v>
      </c>
      <c r="E268" s="1" t="s">
        <v>2063</v>
      </c>
      <c r="F268" s="3">
        <v>45425</v>
      </c>
      <c r="G268" s="3">
        <v>45085</v>
      </c>
      <c r="H268" s="3">
        <v>45450</v>
      </c>
      <c r="I268" s="1" t="s">
        <v>2189</v>
      </c>
      <c r="J268" s="1" t="s">
        <v>2195</v>
      </c>
      <c r="K268" s="1"/>
      <c r="L268" s="1" t="s">
        <v>2178</v>
      </c>
      <c r="M268" s="1" t="s">
        <v>2191</v>
      </c>
      <c r="N268" s="1" t="s">
        <v>2192</v>
      </c>
      <c r="O268" s="1" t="s">
        <v>2193</v>
      </c>
      <c r="P268" s="1" t="s">
        <v>2088</v>
      </c>
      <c r="Q268" s="1"/>
      <c r="R268" s="1"/>
      <c r="S268" s="1" t="s">
        <v>2072</v>
      </c>
      <c r="T268" s="1" t="s">
        <v>2073</v>
      </c>
      <c r="U268" s="4">
        <v>1700000</v>
      </c>
      <c r="V268" s="4">
        <v>828</v>
      </c>
      <c r="W268" s="4">
        <v>8</v>
      </c>
      <c r="X268" s="4">
        <v>107</v>
      </c>
      <c r="Y268" s="4">
        <v>0</v>
      </c>
      <c r="Z268" s="5">
        <v>943</v>
      </c>
      <c r="AA268" s="5">
        <v>0</v>
      </c>
      <c r="AB268" s="6">
        <v>0</v>
      </c>
      <c r="AC268" s="4">
        <v>943</v>
      </c>
      <c r="AD268" s="4">
        <v>0</v>
      </c>
      <c r="AE268" s="4">
        <v>943</v>
      </c>
      <c r="AF268" s="1"/>
      <c r="AG268" s="1"/>
      <c r="AH268" s="1"/>
      <c r="AI268" s="1" t="s">
        <v>2287</v>
      </c>
      <c r="AJ268" s="6">
        <v>469.07000000000005</v>
      </c>
      <c r="AK268" s="6">
        <v>405.1400000000001</v>
      </c>
      <c r="AL268" s="1"/>
    </row>
    <row r="269" spans="1:38" hidden="1" x14ac:dyDescent="0.25">
      <c r="A269" s="2">
        <v>379</v>
      </c>
      <c r="B269" s="1" t="s">
        <v>341</v>
      </c>
      <c r="C269" s="1" t="s">
        <v>344</v>
      </c>
      <c r="D269" s="1" t="s">
        <v>2062</v>
      </c>
      <c r="E269" s="1" t="s">
        <v>2063</v>
      </c>
      <c r="F269" s="3">
        <v>45453</v>
      </c>
      <c r="G269" s="3">
        <v>45085</v>
      </c>
      <c r="H269" s="3">
        <v>45450</v>
      </c>
      <c r="I269" s="1" t="s">
        <v>2189</v>
      </c>
      <c r="J269" s="1" t="s">
        <v>2195</v>
      </c>
      <c r="K269" s="1"/>
      <c r="L269" s="1" t="s">
        <v>2178</v>
      </c>
      <c r="M269" s="1" t="s">
        <v>2191</v>
      </c>
      <c r="N269" s="1" t="s">
        <v>2192</v>
      </c>
      <c r="O269" s="1" t="s">
        <v>2193</v>
      </c>
      <c r="P269" s="1" t="s">
        <v>2088</v>
      </c>
      <c r="Q269" s="1"/>
      <c r="R269" s="1"/>
      <c r="S269" s="1" t="s">
        <v>2072</v>
      </c>
      <c r="T269" s="1" t="s">
        <v>2073</v>
      </c>
      <c r="U269" s="4">
        <v>1700000</v>
      </c>
      <c r="V269" s="4">
        <v>1262</v>
      </c>
      <c r="W269" s="4">
        <v>12</v>
      </c>
      <c r="X269" s="4">
        <v>164</v>
      </c>
      <c r="Y269" s="4">
        <v>0</v>
      </c>
      <c r="Z269" s="5">
        <v>1438</v>
      </c>
      <c r="AA269" s="5">
        <v>0</v>
      </c>
      <c r="AB269" s="6">
        <v>0</v>
      </c>
      <c r="AC269" s="4">
        <v>1438</v>
      </c>
      <c r="AD269" s="4">
        <v>0</v>
      </c>
      <c r="AE269" s="4">
        <v>1438</v>
      </c>
      <c r="AF269" s="1"/>
      <c r="AG269" s="1"/>
      <c r="AH269" s="1"/>
      <c r="AI269" s="1" t="s">
        <v>2287</v>
      </c>
      <c r="AJ269" s="6">
        <v>666.770000000001</v>
      </c>
      <c r="AK269" s="6">
        <v>616.780000000001</v>
      </c>
      <c r="AL269" s="1"/>
    </row>
    <row r="270" spans="1:38" hidden="1" x14ac:dyDescent="0.25">
      <c r="A270" s="2">
        <v>380</v>
      </c>
      <c r="B270" s="1" t="s">
        <v>341</v>
      </c>
      <c r="C270" s="1" t="s">
        <v>345</v>
      </c>
      <c r="D270" s="1" t="s">
        <v>2062</v>
      </c>
      <c r="E270" s="1" t="s">
        <v>2063</v>
      </c>
      <c r="F270" s="3">
        <v>45655</v>
      </c>
      <c r="G270" s="3">
        <v>45085</v>
      </c>
      <c r="H270" s="3">
        <v>45450</v>
      </c>
      <c r="I270" s="1" t="s">
        <v>2189</v>
      </c>
      <c r="J270" s="1" t="s">
        <v>2195</v>
      </c>
      <c r="K270" s="1"/>
      <c r="L270" s="1" t="s">
        <v>2178</v>
      </c>
      <c r="M270" s="1" t="s">
        <v>2191</v>
      </c>
      <c r="N270" s="1" t="s">
        <v>2192</v>
      </c>
      <c r="O270" s="1" t="s">
        <v>2193</v>
      </c>
      <c r="P270" s="1" t="s">
        <v>2088</v>
      </c>
      <c r="Q270" s="1"/>
      <c r="R270" s="1"/>
      <c r="S270" s="1" t="s">
        <v>2072</v>
      </c>
      <c r="T270" s="1" t="s">
        <v>2073</v>
      </c>
      <c r="U270" s="4">
        <v>-1</v>
      </c>
      <c r="V270" s="4">
        <v>-3145</v>
      </c>
      <c r="W270" s="4">
        <v>-31</v>
      </c>
      <c r="X270" s="4">
        <v>0</v>
      </c>
      <c r="Y270" s="4">
        <v>0</v>
      </c>
      <c r="Z270" s="5">
        <v>-3176</v>
      </c>
      <c r="AA270" s="5">
        <v>0</v>
      </c>
      <c r="AB270" s="6">
        <v>0</v>
      </c>
      <c r="AC270" s="4">
        <v>-3176</v>
      </c>
      <c r="AD270" s="4">
        <v>0</v>
      </c>
      <c r="AE270" s="4">
        <v>-3176</v>
      </c>
      <c r="AF270" s="1"/>
      <c r="AG270" s="1"/>
      <c r="AH270" s="1"/>
      <c r="AI270" s="1" t="s">
        <v>2287</v>
      </c>
      <c r="AJ270" s="1"/>
      <c r="AK270" s="1"/>
      <c r="AL270" s="1"/>
    </row>
    <row r="271" spans="1:38" hidden="1" x14ac:dyDescent="0.25">
      <c r="A271" s="2">
        <v>382</v>
      </c>
      <c r="B271" s="1" t="s">
        <v>346</v>
      </c>
      <c r="C271" s="1" t="s">
        <v>347</v>
      </c>
      <c r="D271" s="1" t="s">
        <v>2062</v>
      </c>
      <c r="E271" s="1" t="s">
        <v>2063</v>
      </c>
      <c r="F271" s="3">
        <v>45463</v>
      </c>
      <c r="G271" s="3">
        <v>45097</v>
      </c>
      <c r="H271" s="3">
        <v>45462</v>
      </c>
      <c r="I271" s="1" t="s">
        <v>2647</v>
      </c>
      <c r="J271" s="1" t="s">
        <v>2648</v>
      </c>
      <c r="K271" s="1"/>
      <c r="L271" s="1" t="s">
        <v>2638</v>
      </c>
      <c r="M271" s="1" t="s">
        <v>2649</v>
      </c>
      <c r="N271" s="1" t="s">
        <v>2650</v>
      </c>
      <c r="O271" s="1" t="s">
        <v>2651</v>
      </c>
      <c r="P271" s="1" t="s">
        <v>2231</v>
      </c>
      <c r="Q271" s="1"/>
      <c r="R271" s="1"/>
      <c r="S271" s="1" t="s">
        <v>2072</v>
      </c>
      <c r="T271" s="1" t="s">
        <v>2073</v>
      </c>
      <c r="U271" s="4">
        <v>4500000</v>
      </c>
      <c r="V271" s="4">
        <v>1364</v>
      </c>
      <c r="W271" s="4">
        <v>13</v>
      </c>
      <c r="X271" s="4">
        <v>177</v>
      </c>
      <c r="Y271" s="4">
        <v>0</v>
      </c>
      <c r="Z271" s="5">
        <v>1554</v>
      </c>
      <c r="AA271" s="5">
        <v>0</v>
      </c>
      <c r="AB271" s="6">
        <v>0</v>
      </c>
      <c r="AC271" s="4">
        <v>1554</v>
      </c>
      <c r="AD271" s="4">
        <v>0</v>
      </c>
      <c r="AE271" s="4">
        <v>1554</v>
      </c>
      <c r="AF271" s="1"/>
      <c r="AG271" s="1"/>
      <c r="AH271" s="1"/>
      <c r="AI271" s="1" t="s">
        <v>2327</v>
      </c>
      <c r="AJ271" s="6">
        <v>253.92</v>
      </c>
      <c r="AK271" s="6">
        <v>252.21</v>
      </c>
      <c r="AL271" s="1"/>
    </row>
    <row r="272" spans="1:38" hidden="1" x14ac:dyDescent="0.25">
      <c r="A272" s="2">
        <v>383</v>
      </c>
      <c r="B272" s="1" t="s">
        <v>346</v>
      </c>
      <c r="C272" s="1" t="s">
        <v>348</v>
      </c>
      <c r="D272" s="1" t="s">
        <v>2062</v>
      </c>
      <c r="E272" s="1" t="s">
        <v>2063</v>
      </c>
      <c r="F272" s="3">
        <v>45745</v>
      </c>
      <c r="G272" s="3">
        <v>45097</v>
      </c>
      <c r="H272" s="3">
        <v>45462</v>
      </c>
      <c r="I272" s="1" t="s">
        <v>2647</v>
      </c>
      <c r="J272" s="1" t="s">
        <v>2648</v>
      </c>
      <c r="K272" s="1"/>
      <c r="L272" s="1" t="s">
        <v>2638</v>
      </c>
      <c r="M272" s="1" t="s">
        <v>2649</v>
      </c>
      <c r="N272" s="1" t="s">
        <v>2650</v>
      </c>
      <c r="O272" s="1" t="s">
        <v>2651</v>
      </c>
      <c r="P272" s="1" t="s">
        <v>2231</v>
      </c>
      <c r="Q272" s="1"/>
      <c r="R272" s="1"/>
      <c r="S272" s="1" t="s">
        <v>2072</v>
      </c>
      <c r="T272" s="1" t="s">
        <v>2073</v>
      </c>
      <c r="U272" s="4">
        <v>-1</v>
      </c>
      <c r="V272" s="4">
        <v>-1540</v>
      </c>
      <c r="W272" s="4">
        <v>-14</v>
      </c>
      <c r="X272" s="4">
        <v>0</v>
      </c>
      <c r="Y272" s="4">
        <v>0</v>
      </c>
      <c r="Z272" s="5">
        <v>-1554</v>
      </c>
      <c r="AA272" s="5">
        <v>0</v>
      </c>
      <c r="AB272" s="6">
        <v>0</v>
      </c>
      <c r="AC272" s="4">
        <v>-1554</v>
      </c>
      <c r="AD272" s="4">
        <v>0</v>
      </c>
      <c r="AE272" s="4">
        <v>-1554</v>
      </c>
      <c r="AF272" s="1"/>
      <c r="AG272" s="1"/>
      <c r="AH272" s="1"/>
      <c r="AI272" s="1" t="s">
        <v>2327</v>
      </c>
      <c r="AJ272" s="1"/>
      <c r="AK272" s="1"/>
      <c r="AL272" s="1"/>
    </row>
    <row r="273" spans="1:38" x14ac:dyDescent="0.25">
      <c r="A273" s="2">
        <v>384</v>
      </c>
      <c r="B273" s="1" t="s">
        <v>349</v>
      </c>
      <c r="C273" s="1"/>
      <c r="D273" s="1" t="s">
        <v>2062</v>
      </c>
      <c r="E273" s="1" t="s">
        <v>2063</v>
      </c>
      <c r="F273" s="3">
        <v>45098</v>
      </c>
      <c r="G273" s="3">
        <v>45097</v>
      </c>
      <c r="H273" s="3">
        <v>45462</v>
      </c>
      <c r="I273" s="1" t="s">
        <v>2652</v>
      </c>
      <c r="J273" s="1" t="s">
        <v>2653</v>
      </c>
      <c r="K273" s="1"/>
      <c r="L273" s="1" t="s">
        <v>2154</v>
      </c>
      <c r="M273" s="1" t="s">
        <v>2654</v>
      </c>
      <c r="N273" s="1" t="s">
        <v>2655</v>
      </c>
      <c r="O273" s="1" t="s">
        <v>2656</v>
      </c>
      <c r="P273" s="1" t="s">
        <v>2182</v>
      </c>
      <c r="Q273" s="1"/>
      <c r="R273" s="1"/>
      <c r="S273" s="1" t="s">
        <v>2072</v>
      </c>
      <c r="T273" s="1" t="s">
        <v>2073</v>
      </c>
      <c r="U273" s="4">
        <v>3000000</v>
      </c>
      <c r="V273" s="4">
        <v>4343</v>
      </c>
      <c r="W273" s="4">
        <v>43</v>
      </c>
      <c r="X273" s="4">
        <v>564</v>
      </c>
      <c r="Y273" s="4">
        <v>50</v>
      </c>
      <c r="Z273" s="5">
        <v>5000</v>
      </c>
      <c r="AA273" s="5">
        <v>5454</v>
      </c>
      <c r="AB273" s="6">
        <v>0</v>
      </c>
      <c r="AC273" s="4">
        <v>-454</v>
      </c>
      <c r="AD273" s="4">
        <v>0</v>
      </c>
      <c r="AE273" s="4">
        <v>-454</v>
      </c>
      <c r="AF273" s="1"/>
      <c r="AG273" s="1"/>
      <c r="AH273" s="1"/>
      <c r="AI273" s="1" t="s">
        <v>2380</v>
      </c>
      <c r="AJ273" s="1"/>
      <c r="AK273" s="1"/>
      <c r="AL273" s="1" t="s">
        <v>2657</v>
      </c>
    </row>
    <row r="274" spans="1:38" hidden="1" x14ac:dyDescent="0.25">
      <c r="A274" s="2">
        <v>385</v>
      </c>
      <c r="B274" s="1" t="s">
        <v>349</v>
      </c>
      <c r="C274" s="1" t="s">
        <v>350</v>
      </c>
      <c r="D274" s="1" t="s">
        <v>2062</v>
      </c>
      <c r="E274" s="1" t="s">
        <v>2063</v>
      </c>
      <c r="F274" s="3">
        <v>45403</v>
      </c>
      <c r="G274" s="3">
        <v>45097</v>
      </c>
      <c r="H274" s="3">
        <v>45462</v>
      </c>
      <c r="I274" s="1" t="s">
        <v>2652</v>
      </c>
      <c r="J274" s="1" t="s">
        <v>2653</v>
      </c>
      <c r="K274" s="1"/>
      <c r="L274" s="1" t="s">
        <v>2154</v>
      </c>
      <c r="M274" s="1" t="s">
        <v>2654</v>
      </c>
      <c r="N274" s="1" t="s">
        <v>2655</v>
      </c>
      <c r="O274" s="1" t="s">
        <v>2656</v>
      </c>
      <c r="P274" s="1" t="s">
        <v>2182</v>
      </c>
      <c r="Q274" s="1"/>
      <c r="R274" s="1"/>
      <c r="S274" s="1" t="s">
        <v>2072</v>
      </c>
      <c r="T274" s="1" t="s">
        <v>2073</v>
      </c>
      <c r="U274" s="4">
        <v>3000000</v>
      </c>
      <c r="V274" s="4">
        <v>398</v>
      </c>
      <c r="W274" s="4">
        <v>4</v>
      </c>
      <c r="X274" s="4">
        <v>52</v>
      </c>
      <c r="Y274" s="4">
        <v>0</v>
      </c>
      <c r="Z274" s="5">
        <v>454</v>
      </c>
      <c r="AA274" s="5">
        <v>0</v>
      </c>
      <c r="AB274" s="6">
        <v>0</v>
      </c>
      <c r="AC274" s="4">
        <v>454</v>
      </c>
      <c r="AD274" s="4">
        <v>0</v>
      </c>
      <c r="AE274" s="4">
        <v>454</v>
      </c>
      <c r="AF274" s="1"/>
      <c r="AG274" s="1"/>
      <c r="AH274" s="1"/>
      <c r="AI274" s="1" t="s">
        <v>2380</v>
      </c>
      <c r="AJ274" s="6">
        <v>110.68</v>
      </c>
      <c r="AK274" s="6">
        <v>110.68</v>
      </c>
      <c r="AL274" s="1"/>
    </row>
    <row r="275" spans="1:38" x14ac:dyDescent="0.25">
      <c r="A275" s="2">
        <v>386</v>
      </c>
      <c r="B275" s="1" t="s">
        <v>351</v>
      </c>
      <c r="C275" s="1"/>
      <c r="D275" s="1" t="s">
        <v>2062</v>
      </c>
      <c r="E275" s="1" t="s">
        <v>2063</v>
      </c>
      <c r="F275" s="3">
        <v>45098</v>
      </c>
      <c r="G275" s="3">
        <v>45093</v>
      </c>
      <c r="H275" s="3">
        <v>45458</v>
      </c>
      <c r="I275" s="1" t="s">
        <v>2658</v>
      </c>
      <c r="J275" s="1" t="s">
        <v>2659</v>
      </c>
      <c r="K275" s="1"/>
      <c r="L275" s="1" t="s">
        <v>2221</v>
      </c>
      <c r="M275" s="1" t="s">
        <v>2660</v>
      </c>
      <c r="N275" s="1" t="s">
        <v>2661</v>
      </c>
      <c r="O275" s="1" t="s">
        <v>2662</v>
      </c>
      <c r="P275" s="1" t="s">
        <v>2182</v>
      </c>
      <c r="Q275" s="1"/>
      <c r="R275" s="1"/>
      <c r="S275" s="1" t="s">
        <v>2072</v>
      </c>
      <c r="T275" s="1" t="s">
        <v>2073</v>
      </c>
      <c r="U275" s="4">
        <v>8400000</v>
      </c>
      <c r="V275" s="4">
        <v>4343</v>
      </c>
      <c r="W275" s="4">
        <v>43</v>
      </c>
      <c r="X275" s="4">
        <v>564</v>
      </c>
      <c r="Y275" s="4">
        <v>50</v>
      </c>
      <c r="Z275" s="5">
        <v>5000</v>
      </c>
      <c r="AA275" s="5">
        <v>5102</v>
      </c>
      <c r="AB275" s="6">
        <v>0</v>
      </c>
      <c r="AC275" s="4">
        <v>-102</v>
      </c>
      <c r="AD275" s="4">
        <v>0</v>
      </c>
      <c r="AE275" s="4">
        <v>-102</v>
      </c>
      <c r="AF275" s="1"/>
      <c r="AG275" s="1"/>
      <c r="AH275" s="1"/>
      <c r="AI275" s="1" t="s">
        <v>2427</v>
      </c>
      <c r="AJ275" s="1"/>
      <c r="AK275" s="1"/>
      <c r="AL275" s="1" t="s">
        <v>2663</v>
      </c>
    </row>
    <row r="276" spans="1:38" hidden="1" x14ac:dyDescent="0.25">
      <c r="A276" s="2">
        <v>387</v>
      </c>
      <c r="B276" s="1" t="s">
        <v>351</v>
      </c>
      <c r="C276" s="1" t="s">
        <v>352</v>
      </c>
      <c r="D276" s="1" t="s">
        <v>2062</v>
      </c>
      <c r="E276" s="1" t="s">
        <v>2063</v>
      </c>
      <c r="F276" s="3">
        <v>45368</v>
      </c>
      <c r="G276" s="3">
        <v>45093</v>
      </c>
      <c r="H276" s="3">
        <v>45458</v>
      </c>
      <c r="I276" s="1" t="s">
        <v>2658</v>
      </c>
      <c r="J276" s="1" t="s">
        <v>2659</v>
      </c>
      <c r="K276" s="1"/>
      <c r="L276" s="1" t="s">
        <v>2221</v>
      </c>
      <c r="M276" s="1" t="s">
        <v>2660</v>
      </c>
      <c r="N276" s="1" t="s">
        <v>2661</v>
      </c>
      <c r="O276" s="1" t="s">
        <v>2662</v>
      </c>
      <c r="P276" s="1" t="s">
        <v>2182</v>
      </c>
      <c r="Q276" s="1"/>
      <c r="R276" s="1"/>
      <c r="S276" s="1" t="s">
        <v>2072</v>
      </c>
      <c r="T276" s="1" t="s">
        <v>2073</v>
      </c>
      <c r="U276" s="4">
        <v>8400000</v>
      </c>
      <c r="V276" s="4">
        <v>6</v>
      </c>
      <c r="W276" s="4">
        <v>1</v>
      </c>
      <c r="X276" s="4">
        <v>1</v>
      </c>
      <c r="Y276" s="4">
        <v>0</v>
      </c>
      <c r="Z276" s="5">
        <v>8</v>
      </c>
      <c r="AA276" s="5">
        <v>0</v>
      </c>
      <c r="AB276" s="6">
        <v>0</v>
      </c>
      <c r="AC276" s="4">
        <v>8</v>
      </c>
      <c r="AD276" s="4">
        <v>0</v>
      </c>
      <c r="AE276" s="4">
        <v>8</v>
      </c>
      <c r="AF276" s="1"/>
      <c r="AG276" s="1"/>
      <c r="AH276" s="1"/>
      <c r="AI276" s="1" t="s">
        <v>2427</v>
      </c>
      <c r="AJ276" s="6">
        <v>0.7</v>
      </c>
      <c r="AK276" s="6">
        <v>0.7</v>
      </c>
      <c r="AL276" s="1"/>
    </row>
    <row r="277" spans="1:38" hidden="1" x14ac:dyDescent="0.25">
      <c r="A277" s="2">
        <v>388</v>
      </c>
      <c r="B277" s="1" t="s">
        <v>351</v>
      </c>
      <c r="C277" s="1" t="s">
        <v>353</v>
      </c>
      <c r="D277" s="1" t="s">
        <v>2062</v>
      </c>
      <c r="E277" s="1" t="s">
        <v>2063</v>
      </c>
      <c r="F277" s="3">
        <v>45398</v>
      </c>
      <c r="G277" s="3">
        <v>45093</v>
      </c>
      <c r="H277" s="3">
        <v>45458</v>
      </c>
      <c r="I277" s="1" t="s">
        <v>2658</v>
      </c>
      <c r="J277" s="1" t="s">
        <v>2659</v>
      </c>
      <c r="K277" s="1"/>
      <c r="L277" s="1" t="s">
        <v>2221</v>
      </c>
      <c r="M277" s="1" t="s">
        <v>2660</v>
      </c>
      <c r="N277" s="1" t="s">
        <v>2661</v>
      </c>
      <c r="O277" s="1" t="s">
        <v>2662</v>
      </c>
      <c r="P277" s="1" t="s">
        <v>2182</v>
      </c>
      <c r="Q277" s="1"/>
      <c r="R277" s="1"/>
      <c r="S277" s="1" t="s">
        <v>2072</v>
      </c>
      <c r="T277" s="1" t="s">
        <v>2073</v>
      </c>
      <c r="U277" s="4">
        <v>8400000</v>
      </c>
      <c r="V277" s="4">
        <v>63</v>
      </c>
      <c r="W277" s="4">
        <v>0</v>
      </c>
      <c r="X277" s="4">
        <v>8</v>
      </c>
      <c r="Y277" s="4">
        <v>0</v>
      </c>
      <c r="Z277" s="5">
        <v>71</v>
      </c>
      <c r="AA277" s="5">
        <v>0</v>
      </c>
      <c r="AB277" s="6">
        <v>0</v>
      </c>
      <c r="AC277" s="4">
        <v>71</v>
      </c>
      <c r="AD277" s="4">
        <v>0</v>
      </c>
      <c r="AE277" s="4">
        <v>71</v>
      </c>
      <c r="AF277" s="1"/>
      <c r="AG277" s="1"/>
      <c r="AH277" s="1"/>
      <c r="AI277" s="1" t="s">
        <v>2427</v>
      </c>
      <c r="AJ277" s="6">
        <v>6.15</v>
      </c>
      <c r="AK277" s="6">
        <v>6.15</v>
      </c>
      <c r="AL277" s="1"/>
    </row>
    <row r="278" spans="1:38" hidden="1" x14ac:dyDescent="0.25">
      <c r="A278" s="2">
        <v>389</v>
      </c>
      <c r="B278" s="1" t="s">
        <v>351</v>
      </c>
      <c r="C278" s="1" t="s">
        <v>354</v>
      </c>
      <c r="D278" s="1" t="s">
        <v>2062</v>
      </c>
      <c r="E278" s="1" t="s">
        <v>2063</v>
      </c>
      <c r="F278" s="3">
        <v>45428</v>
      </c>
      <c r="G278" s="3">
        <v>45093</v>
      </c>
      <c r="H278" s="3">
        <v>45458</v>
      </c>
      <c r="I278" s="1" t="s">
        <v>2658</v>
      </c>
      <c r="J278" s="1" t="s">
        <v>2659</v>
      </c>
      <c r="K278" s="1"/>
      <c r="L278" s="1" t="s">
        <v>2221</v>
      </c>
      <c r="M278" s="1" t="s">
        <v>2660</v>
      </c>
      <c r="N278" s="1" t="s">
        <v>2661</v>
      </c>
      <c r="O278" s="1" t="s">
        <v>2662</v>
      </c>
      <c r="P278" s="1" t="s">
        <v>2182</v>
      </c>
      <c r="Q278" s="1"/>
      <c r="R278" s="1"/>
      <c r="S278" s="1" t="s">
        <v>2072</v>
      </c>
      <c r="T278" s="1" t="s">
        <v>2073</v>
      </c>
      <c r="U278" s="4">
        <v>8400000</v>
      </c>
      <c r="V278" s="4">
        <v>20</v>
      </c>
      <c r="W278" s="4">
        <v>0</v>
      </c>
      <c r="X278" s="4">
        <v>3</v>
      </c>
      <c r="Y278" s="4">
        <v>0</v>
      </c>
      <c r="Z278" s="5">
        <v>23</v>
      </c>
      <c r="AA278" s="5">
        <v>0</v>
      </c>
      <c r="AB278" s="6">
        <v>0</v>
      </c>
      <c r="AC278" s="4">
        <v>23</v>
      </c>
      <c r="AD278" s="4">
        <v>0</v>
      </c>
      <c r="AE278" s="4">
        <v>23</v>
      </c>
      <c r="AF278" s="1"/>
      <c r="AG278" s="1"/>
      <c r="AH278" s="1"/>
      <c r="AI278" s="1" t="s">
        <v>2427</v>
      </c>
      <c r="AJ278" s="6">
        <v>1.97</v>
      </c>
      <c r="AK278" s="6">
        <v>1.97</v>
      </c>
      <c r="AL278" s="1"/>
    </row>
    <row r="279" spans="1:38" hidden="1" x14ac:dyDescent="0.25">
      <c r="A279" s="2">
        <v>390</v>
      </c>
      <c r="B279" s="1" t="s">
        <v>355</v>
      </c>
      <c r="C279" s="1" t="s">
        <v>356</v>
      </c>
      <c r="D279" s="1" t="s">
        <v>2062</v>
      </c>
      <c r="E279" s="1" t="s">
        <v>2063</v>
      </c>
      <c r="F279" s="3">
        <v>45399</v>
      </c>
      <c r="G279" s="3">
        <v>45094</v>
      </c>
      <c r="H279" s="3">
        <v>45459</v>
      </c>
      <c r="I279" s="1" t="s">
        <v>2664</v>
      </c>
      <c r="J279" s="1" t="s">
        <v>2665</v>
      </c>
      <c r="K279" s="1"/>
      <c r="L279" s="1" t="s">
        <v>2541</v>
      </c>
      <c r="M279" s="1" t="s">
        <v>2666</v>
      </c>
      <c r="N279" s="1" t="s">
        <v>2667</v>
      </c>
      <c r="O279" s="1" t="s">
        <v>2668</v>
      </c>
      <c r="P279" s="1" t="s">
        <v>2182</v>
      </c>
      <c r="Q279" s="1"/>
      <c r="R279" s="1"/>
      <c r="S279" s="1" t="s">
        <v>2072</v>
      </c>
      <c r="T279" s="1" t="s">
        <v>2073</v>
      </c>
      <c r="U279" s="4">
        <v>4000000</v>
      </c>
      <c r="V279" s="4">
        <v>3580</v>
      </c>
      <c r="W279" s="4">
        <v>36</v>
      </c>
      <c r="X279" s="4">
        <v>466</v>
      </c>
      <c r="Y279" s="4">
        <v>0</v>
      </c>
      <c r="Z279" s="5">
        <v>4082</v>
      </c>
      <c r="AA279" s="5">
        <v>0</v>
      </c>
      <c r="AB279" s="6">
        <v>0</v>
      </c>
      <c r="AC279" s="4">
        <v>4082</v>
      </c>
      <c r="AD279" s="4">
        <v>0</v>
      </c>
      <c r="AE279" s="4">
        <v>4082</v>
      </c>
      <c r="AF279" s="1"/>
      <c r="AG279" s="1"/>
      <c r="AH279" s="1"/>
      <c r="AI279" s="1" t="s">
        <v>2327</v>
      </c>
      <c r="AJ279" s="6">
        <v>827.01</v>
      </c>
      <c r="AK279" s="6">
        <v>744.58</v>
      </c>
      <c r="AL279" s="1"/>
    </row>
    <row r="280" spans="1:38" hidden="1" x14ac:dyDescent="0.25">
      <c r="A280" s="2">
        <v>391</v>
      </c>
      <c r="B280" s="1" t="s">
        <v>355</v>
      </c>
      <c r="C280" s="1" t="s">
        <v>357</v>
      </c>
      <c r="D280" s="1" t="s">
        <v>2062</v>
      </c>
      <c r="E280" s="1" t="s">
        <v>2063</v>
      </c>
      <c r="F280" s="3">
        <v>45429</v>
      </c>
      <c r="G280" s="3">
        <v>45094</v>
      </c>
      <c r="H280" s="3">
        <v>45459</v>
      </c>
      <c r="I280" s="1" t="s">
        <v>2664</v>
      </c>
      <c r="J280" s="1" t="s">
        <v>2665</v>
      </c>
      <c r="K280" s="1"/>
      <c r="L280" s="1" t="s">
        <v>2541</v>
      </c>
      <c r="M280" s="1" t="s">
        <v>2666</v>
      </c>
      <c r="N280" s="1" t="s">
        <v>2667</v>
      </c>
      <c r="O280" s="1" t="s">
        <v>2668</v>
      </c>
      <c r="P280" s="1" t="s">
        <v>2182</v>
      </c>
      <c r="Q280" s="1"/>
      <c r="R280" s="1"/>
      <c r="S280" s="1" t="s">
        <v>2072</v>
      </c>
      <c r="T280" s="1" t="s">
        <v>2073</v>
      </c>
      <c r="U280" s="4">
        <v>4000000</v>
      </c>
      <c r="V280" s="4">
        <v>2841</v>
      </c>
      <c r="W280" s="4">
        <v>28</v>
      </c>
      <c r="X280" s="4">
        <v>369</v>
      </c>
      <c r="Y280" s="4">
        <v>0</v>
      </c>
      <c r="Z280" s="5">
        <v>3238</v>
      </c>
      <c r="AA280" s="5">
        <v>0</v>
      </c>
      <c r="AB280" s="6">
        <v>0</v>
      </c>
      <c r="AC280" s="4">
        <v>3238</v>
      </c>
      <c r="AD280" s="4">
        <v>0</v>
      </c>
      <c r="AE280" s="4">
        <v>3238</v>
      </c>
      <c r="AF280" s="1"/>
      <c r="AG280" s="1"/>
      <c r="AH280" s="1"/>
      <c r="AI280" s="1" t="s">
        <v>2327</v>
      </c>
      <c r="AJ280" s="6">
        <v>697.85</v>
      </c>
      <c r="AK280" s="6">
        <v>590.91000000000008</v>
      </c>
      <c r="AL280" s="1"/>
    </row>
    <row r="281" spans="1:38" hidden="1" x14ac:dyDescent="0.25">
      <c r="A281" s="2">
        <v>392</v>
      </c>
      <c r="B281" s="1" t="s">
        <v>355</v>
      </c>
      <c r="C281" s="1" t="s">
        <v>358</v>
      </c>
      <c r="D281" s="1" t="s">
        <v>2062</v>
      </c>
      <c r="E281" s="1" t="s">
        <v>2063</v>
      </c>
      <c r="F281" s="3">
        <v>45463</v>
      </c>
      <c r="G281" s="3">
        <v>45094</v>
      </c>
      <c r="H281" s="3">
        <v>45459</v>
      </c>
      <c r="I281" s="1" t="s">
        <v>2664</v>
      </c>
      <c r="J281" s="1" t="s">
        <v>2665</v>
      </c>
      <c r="K281" s="1"/>
      <c r="L281" s="1" t="s">
        <v>2541</v>
      </c>
      <c r="M281" s="1" t="s">
        <v>2666</v>
      </c>
      <c r="N281" s="1" t="s">
        <v>2667</v>
      </c>
      <c r="O281" s="1" t="s">
        <v>2668</v>
      </c>
      <c r="P281" s="1" t="s">
        <v>2182</v>
      </c>
      <c r="Q281" s="1"/>
      <c r="R281" s="1"/>
      <c r="S281" s="1" t="s">
        <v>2072</v>
      </c>
      <c r="T281" s="1" t="s">
        <v>2073</v>
      </c>
      <c r="U281" s="4">
        <v>4000000</v>
      </c>
      <c r="V281" s="4">
        <v>2044</v>
      </c>
      <c r="W281" s="4">
        <v>20</v>
      </c>
      <c r="X281" s="4">
        <v>266</v>
      </c>
      <c r="Y281" s="4">
        <v>0</v>
      </c>
      <c r="Z281" s="5">
        <v>2330</v>
      </c>
      <c r="AA281" s="5">
        <v>0</v>
      </c>
      <c r="AB281" s="6">
        <v>0</v>
      </c>
      <c r="AC281" s="4">
        <v>2330</v>
      </c>
      <c r="AD281" s="4">
        <v>0</v>
      </c>
      <c r="AE281" s="4">
        <v>2330</v>
      </c>
      <c r="AF281" s="1"/>
      <c r="AG281" s="1"/>
      <c r="AH281" s="1"/>
      <c r="AI281" s="1" t="s">
        <v>2327</v>
      </c>
      <c r="AJ281" s="6">
        <v>482.6</v>
      </c>
      <c r="AK281" s="6">
        <v>425.21</v>
      </c>
      <c r="AL281" s="1"/>
    </row>
    <row r="282" spans="1:38" hidden="1" x14ac:dyDescent="0.25">
      <c r="A282" s="2">
        <v>393</v>
      </c>
      <c r="B282" s="1" t="s">
        <v>355</v>
      </c>
      <c r="C282" s="1" t="s">
        <v>359</v>
      </c>
      <c r="D282" s="1" t="s">
        <v>2062</v>
      </c>
      <c r="E282" s="1" t="s">
        <v>2063</v>
      </c>
      <c r="F282" s="3">
        <v>45596</v>
      </c>
      <c r="G282" s="3">
        <v>45094</v>
      </c>
      <c r="H282" s="3">
        <v>45459</v>
      </c>
      <c r="I282" s="1" t="s">
        <v>2664</v>
      </c>
      <c r="J282" s="1" t="s">
        <v>2665</v>
      </c>
      <c r="K282" s="1"/>
      <c r="L282" s="1" t="s">
        <v>2541</v>
      </c>
      <c r="M282" s="1" t="s">
        <v>2666</v>
      </c>
      <c r="N282" s="1" t="s">
        <v>2667</v>
      </c>
      <c r="O282" s="1" t="s">
        <v>2668</v>
      </c>
      <c r="P282" s="1" t="s">
        <v>2182</v>
      </c>
      <c r="Q282" s="1"/>
      <c r="R282" s="1"/>
      <c r="S282" s="1" t="s">
        <v>2072</v>
      </c>
      <c r="T282" s="1" t="s">
        <v>2073</v>
      </c>
      <c r="U282" s="4">
        <v>-1</v>
      </c>
      <c r="V282" s="4">
        <v>-9554</v>
      </c>
      <c r="W282" s="4">
        <v>-96</v>
      </c>
      <c r="X282" s="4">
        <v>0</v>
      </c>
      <c r="Y282" s="4">
        <v>0</v>
      </c>
      <c r="Z282" s="5">
        <v>-9650</v>
      </c>
      <c r="AA282" s="5">
        <v>0</v>
      </c>
      <c r="AB282" s="6">
        <v>0</v>
      </c>
      <c r="AC282" s="4">
        <v>-9650</v>
      </c>
      <c r="AD282" s="4">
        <v>0</v>
      </c>
      <c r="AE282" s="4">
        <v>-9650</v>
      </c>
      <c r="AF282" s="1"/>
      <c r="AG282" s="1"/>
      <c r="AH282" s="1"/>
      <c r="AI282" s="1" t="s">
        <v>2327</v>
      </c>
      <c r="AJ282" s="1"/>
      <c r="AK282" s="1"/>
      <c r="AL282" s="1"/>
    </row>
    <row r="283" spans="1:38" hidden="1" x14ac:dyDescent="0.25">
      <c r="A283" s="2">
        <v>401</v>
      </c>
      <c r="B283" s="1" t="s">
        <v>360</v>
      </c>
      <c r="C283" s="1" t="s">
        <v>361</v>
      </c>
      <c r="D283" s="1" t="s">
        <v>2062</v>
      </c>
      <c r="E283" s="1" t="s">
        <v>2063</v>
      </c>
      <c r="F283" s="3">
        <v>45404</v>
      </c>
      <c r="G283" s="3">
        <v>45099</v>
      </c>
      <c r="H283" s="3">
        <v>45464</v>
      </c>
      <c r="I283" s="1" t="s">
        <v>2669</v>
      </c>
      <c r="J283" s="1" t="s">
        <v>2670</v>
      </c>
      <c r="K283" s="1"/>
      <c r="L283" s="1" t="s">
        <v>2404</v>
      </c>
      <c r="M283" s="1" t="s">
        <v>2671</v>
      </c>
      <c r="N283" s="1" t="s">
        <v>2672</v>
      </c>
      <c r="O283" s="1" t="s">
        <v>2673</v>
      </c>
      <c r="P283" s="1" t="s">
        <v>2165</v>
      </c>
      <c r="Q283" s="1"/>
      <c r="R283" s="1"/>
      <c r="S283" s="1" t="s">
        <v>2072</v>
      </c>
      <c r="T283" s="1" t="s">
        <v>2073</v>
      </c>
      <c r="U283" s="4">
        <v>3350000</v>
      </c>
      <c r="V283" s="4">
        <v>2679</v>
      </c>
      <c r="W283" s="4">
        <v>27</v>
      </c>
      <c r="X283" s="4">
        <v>348</v>
      </c>
      <c r="Y283" s="4">
        <v>0</v>
      </c>
      <c r="Z283" s="5">
        <v>3054</v>
      </c>
      <c r="AA283" s="5">
        <v>0</v>
      </c>
      <c r="AB283" s="6">
        <v>0</v>
      </c>
      <c r="AC283" s="4">
        <v>3054</v>
      </c>
      <c r="AD283" s="4">
        <v>0</v>
      </c>
      <c r="AE283" s="4">
        <v>3054</v>
      </c>
      <c r="AF283" s="1"/>
      <c r="AG283" s="1"/>
      <c r="AH283" s="1"/>
      <c r="AI283" s="1" t="s">
        <v>2427</v>
      </c>
      <c r="AJ283" s="6">
        <v>842.54000000000019</v>
      </c>
      <c r="AK283" s="6">
        <v>664.49</v>
      </c>
      <c r="AL283" s="1"/>
    </row>
    <row r="284" spans="1:38" hidden="1" x14ac:dyDescent="0.25">
      <c r="A284" s="2">
        <v>402</v>
      </c>
      <c r="B284" s="1" t="s">
        <v>360</v>
      </c>
      <c r="C284" s="1" t="s">
        <v>362</v>
      </c>
      <c r="D284" s="1" t="s">
        <v>2062</v>
      </c>
      <c r="E284" s="1" t="s">
        <v>2063</v>
      </c>
      <c r="F284" s="3">
        <v>45434</v>
      </c>
      <c r="G284" s="3">
        <v>45099</v>
      </c>
      <c r="H284" s="3">
        <v>45464</v>
      </c>
      <c r="I284" s="1" t="s">
        <v>2669</v>
      </c>
      <c r="J284" s="1" t="s">
        <v>2670</v>
      </c>
      <c r="K284" s="1"/>
      <c r="L284" s="1" t="s">
        <v>2404</v>
      </c>
      <c r="M284" s="1" t="s">
        <v>2671</v>
      </c>
      <c r="N284" s="1" t="s">
        <v>2672</v>
      </c>
      <c r="O284" s="1" t="s">
        <v>2673</v>
      </c>
      <c r="P284" s="1" t="s">
        <v>2165</v>
      </c>
      <c r="Q284" s="1"/>
      <c r="R284" s="1"/>
      <c r="S284" s="1" t="s">
        <v>2072</v>
      </c>
      <c r="T284" s="1" t="s">
        <v>2073</v>
      </c>
      <c r="U284" s="4">
        <v>3350000</v>
      </c>
      <c r="V284" s="4">
        <v>3361</v>
      </c>
      <c r="W284" s="4">
        <v>34</v>
      </c>
      <c r="X284" s="4">
        <v>437</v>
      </c>
      <c r="Y284" s="4">
        <v>0</v>
      </c>
      <c r="Z284" s="5">
        <v>3832</v>
      </c>
      <c r="AA284" s="5">
        <v>0</v>
      </c>
      <c r="AB284" s="6">
        <v>0</v>
      </c>
      <c r="AC284" s="4">
        <v>3832</v>
      </c>
      <c r="AD284" s="4">
        <v>0</v>
      </c>
      <c r="AE284" s="4">
        <v>3832</v>
      </c>
      <c r="AF284" s="1"/>
      <c r="AG284" s="1"/>
      <c r="AH284" s="1"/>
      <c r="AI284" s="1" t="s">
        <v>2427</v>
      </c>
      <c r="AJ284" s="6">
        <v>1062.4100000000001</v>
      </c>
      <c r="AK284" s="6">
        <v>833.74</v>
      </c>
      <c r="AL284" s="1"/>
    </row>
    <row r="285" spans="1:38" hidden="1" x14ac:dyDescent="0.25">
      <c r="A285" s="2">
        <v>403</v>
      </c>
      <c r="B285" s="1" t="s">
        <v>360</v>
      </c>
      <c r="C285" s="1" t="s">
        <v>363</v>
      </c>
      <c r="D285" s="1" t="s">
        <v>2062</v>
      </c>
      <c r="E285" s="1" t="s">
        <v>2063</v>
      </c>
      <c r="F285" s="3">
        <v>45467</v>
      </c>
      <c r="G285" s="3">
        <v>45099</v>
      </c>
      <c r="H285" s="3">
        <v>45464</v>
      </c>
      <c r="I285" s="1" t="s">
        <v>2669</v>
      </c>
      <c r="J285" s="1" t="s">
        <v>2670</v>
      </c>
      <c r="K285" s="1"/>
      <c r="L285" s="1" t="s">
        <v>2404</v>
      </c>
      <c r="M285" s="1" t="s">
        <v>2671</v>
      </c>
      <c r="N285" s="1" t="s">
        <v>2672</v>
      </c>
      <c r="O285" s="1" t="s">
        <v>2673</v>
      </c>
      <c r="P285" s="1" t="s">
        <v>2165</v>
      </c>
      <c r="Q285" s="1"/>
      <c r="R285" s="1"/>
      <c r="S285" s="1" t="s">
        <v>2072</v>
      </c>
      <c r="T285" s="1" t="s">
        <v>2073</v>
      </c>
      <c r="U285" s="4">
        <v>3350000</v>
      </c>
      <c r="V285" s="4">
        <v>3111</v>
      </c>
      <c r="W285" s="4">
        <v>31</v>
      </c>
      <c r="X285" s="4">
        <v>405</v>
      </c>
      <c r="Y285" s="4">
        <v>0</v>
      </c>
      <c r="Z285" s="5">
        <v>3547</v>
      </c>
      <c r="AA285" s="5">
        <v>0</v>
      </c>
      <c r="AB285" s="6">
        <v>0</v>
      </c>
      <c r="AC285" s="4">
        <v>3547</v>
      </c>
      <c r="AD285" s="4">
        <v>0</v>
      </c>
      <c r="AE285" s="4">
        <v>3547</v>
      </c>
      <c r="AF285" s="1"/>
      <c r="AG285" s="1"/>
      <c r="AH285" s="1"/>
      <c r="AI285" s="1" t="s">
        <v>2427</v>
      </c>
      <c r="AJ285" s="6">
        <v>1057.7699999999991</v>
      </c>
      <c r="AK285" s="6">
        <v>771.73</v>
      </c>
      <c r="AL285" s="1"/>
    </row>
    <row r="286" spans="1:38" hidden="1" x14ac:dyDescent="0.25">
      <c r="A286" s="2">
        <v>404</v>
      </c>
      <c r="B286" s="1" t="s">
        <v>360</v>
      </c>
      <c r="C286" s="1" t="s">
        <v>364</v>
      </c>
      <c r="D286" s="1" t="s">
        <v>2062</v>
      </c>
      <c r="E286" s="1" t="s">
        <v>2063</v>
      </c>
      <c r="F286" s="3">
        <v>45655</v>
      </c>
      <c r="G286" s="3">
        <v>45099</v>
      </c>
      <c r="H286" s="3">
        <v>45464</v>
      </c>
      <c r="I286" s="1" t="s">
        <v>2669</v>
      </c>
      <c r="J286" s="1" t="s">
        <v>2670</v>
      </c>
      <c r="K286" s="1"/>
      <c r="L286" s="1" t="s">
        <v>2404</v>
      </c>
      <c r="M286" s="1" t="s">
        <v>2671</v>
      </c>
      <c r="N286" s="1" t="s">
        <v>2672</v>
      </c>
      <c r="O286" s="1" t="s">
        <v>2673</v>
      </c>
      <c r="P286" s="1" t="s">
        <v>2165</v>
      </c>
      <c r="Q286" s="1"/>
      <c r="R286" s="1"/>
      <c r="S286" s="1" t="s">
        <v>2072</v>
      </c>
      <c r="T286" s="1" t="s">
        <v>2073</v>
      </c>
      <c r="U286" s="4">
        <v>-1</v>
      </c>
      <c r="V286" s="4">
        <v>-10330</v>
      </c>
      <c r="W286" s="4">
        <v>-103</v>
      </c>
      <c r="X286" s="4">
        <v>0</v>
      </c>
      <c r="Y286" s="4">
        <v>0</v>
      </c>
      <c r="Z286" s="5">
        <v>-10433</v>
      </c>
      <c r="AA286" s="5">
        <v>0</v>
      </c>
      <c r="AB286" s="6">
        <v>0</v>
      </c>
      <c r="AC286" s="4">
        <v>-10433</v>
      </c>
      <c r="AD286" s="4">
        <v>0</v>
      </c>
      <c r="AE286" s="4">
        <v>-10433</v>
      </c>
      <c r="AF286" s="1"/>
      <c r="AG286" s="1"/>
      <c r="AH286" s="1"/>
      <c r="AI286" s="1" t="s">
        <v>2427</v>
      </c>
      <c r="AJ286" s="1"/>
      <c r="AK286" s="1"/>
      <c r="AL286" s="1"/>
    </row>
    <row r="287" spans="1:38" hidden="1" x14ac:dyDescent="0.25">
      <c r="A287" s="2">
        <v>405</v>
      </c>
      <c r="B287" s="1" t="s">
        <v>365</v>
      </c>
      <c r="C287" s="1" t="s">
        <v>366</v>
      </c>
      <c r="D287" s="1" t="s">
        <v>2062</v>
      </c>
      <c r="E287" s="1" t="s">
        <v>2063</v>
      </c>
      <c r="F287" s="3">
        <v>45411</v>
      </c>
      <c r="G287" s="3">
        <v>45104</v>
      </c>
      <c r="H287" s="3">
        <v>45469</v>
      </c>
      <c r="I287" s="1" t="s">
        <v>2674</v>
      </c>
      <c r="J287" s="1" t="s">
        <v>2675</v>
      </c>
      <c r="K287" s="1"/>
      <c r="L287" s="1" t="s">
        <v>2236</v>
      </c>
      <c r="M287" s="1" t="s">
        <v>2676</v>
      </c>
      <c r="N287" s="1" t="s">
        <v>2677</v>
      </c>
      <c r="O287" s="1" t="s">
        <v>2678</v>
      </c>
      <c r="P287" s="1" t="s">
        <v>2182</v>
      </c>
      <c r="Q287" s="1"/>
      <c r="R287" s="1"/>
      <c r="S287" s="1" t="s">
        <v>2072</v>
      </c>
      <c r="T287" s="1" t="s">
        <v>2073</v>
      </c>
      <c r="U287" s="4">
        <v>4800000</v>
      </c>
      <c r="V287" s="4">
        <v>1096</v>
      </c>
      <c r="W287" s="4">
        <v>11</v>
      </c>
      <c r="X287" s="4">
        <v>142</v>
      </c>
      <c r="Y287" s="4">
        <v>0</v>
      </c>
      <c r="Z287" s="5">
        <v>1249</v>
      </c>
      <c r="AA287" s="5">
        <v>0</v>
      </c>
      <c r="AB287" s="6">
        <v>0</v>
      </c>
      <c r="AC287" s="4">
        <v>1249</v>
      </c>
      <c r="AD287" s="4">
        <v>0</v>
      </c>
      <c r="AE287" s="4">
        <v>1249</v>
      </c>
      <c r="AF287" s="1"/>
      <c r="AG287" s="1"/>
      <c r="AH287" s="1"/>
      <c r="AI287" s="1" t="s">
        <v>2327</v>
      </c>
      <c r="AJ287" s="6">
        <v>341.16</v>
      </c>
      <c r="AK287" s="6">
        <v>189.9</v>
      </c>
      <c r="AL287" s="1"/>
    </row>
    <row r="288" spans="1:38" hidden="1" x14ac:dyDescent="0.25">
      <c r="A288" s="2">
        <v>406</v>
      </c>
      <c r="B288" s="1" t="s">
        <v>365</v>
      </c>
      <c r="C288" s="1" t="s">
        <v>367</v>
      </c>
      <c r="D288" s="1" t="s">
        <v>2062</v>
      </c>
      <c r="E288" s="1" t="s">
        <v>2063</v>
      </c>
      <c r="F288" s="3">
        <v>45439</v>
      </c>
      <c r="G288" s="3">
        <v>45104</v>
      </c>
      <c r="H288" s="3">
        <v>45469</v>
      </c>
      <c r="I288" s="1" t="s">
        <v>2674</v>
      </c>
      <c r="J288" s="1" t="s">
        <v>2675</v>
      </c>
      <c r="K288" s="1"/>
      <c r="L288" s="1" t="s">
        <v>2236</v>
      </c>
      <c r="M288" s="1" t="s">
        <v>2676</v>
      </c>
      <c r="N288" s="1" t="s">
        <v>2677</v>
      </c>
      <c r="O288" s="1" t="s">
        <v>2678</v>
      </c>
      <c r="P288" s="1" t="s">
        <v>2182</v>
      </c>
      <c r="Q288" s="1"/>
      <c r="R288" s="1"/>
      <c r="S288" s="1" t="s">
        <v>2072</v>
      </c>
      <c r="T288" s="1" t="s">
        <v>2073</v>
      </c>
      <c r="U288" s="4">
        <v>4800000</v>
      </c>
      <c r="V288" s="4">
        <v>395</v>
      </c>
      <c r="W288" s="4">
        <v>4</v>
      </c>
      <c r="X288" s="4">
        <v>52</v>
      </c>
      <c r="Y288" s="4">
        <v>0</v>
      </c>
      <c r="Z288" s="5">
        <v>451</v>
      </c>
      <c r="AA288" s="5">
        <v>0</v>
      </c>
      <c r="AB288" s="6">
        <v>0</v>
      </c>
      <c r="AC288" s="4">
        <v>451</v>
      </c>
      <c r="AD288" s="4">
        <v>0</v>
      </c>
      <c r="AE288" s="4">
        <v>451</v>
      </c>
      <c r="AF288" s="1"/>
      <c r="AG288" s="1"/>
      <c r="AH288" s="1"/>
      <c r="AI288" s="1" t="s">
        <v>2327</v>
      </c>
      <c r="AJ288" s="6">
        <v>92.230000000000089</v>
      </c>
      <c r="AK288" s="6">
        <v>68.600000000000009</v>
      </c>
      <c r="AL288" s="1"/>
    </row>
    <row r="289" spans="1:38" hidden="1" x14ac:dyDescent="0.25">
      <c r="A289" s="2">
        <v>407</v>
      </c>
      <c r="B289" s="1" t="s">
        <v>365</v>
      </c>
      <c r="C289" s="1" t="s">
        <v>368</v>
      </c>
      <c r="D289" s="1" t="s">
        <v>2062</v>
      </c>
      <c r="E289" s="1" t="s">
        <v>2063</v>
      </c>
      <c r="F289" s="3">
        <v>45470</v>
      </c>
      <c r="G289" s="3">
        <v>45104</v>
      </c>
      <c r="H289" s="3">
        <v>45469</v>
      </c>
      <c r="I289" s="1" t="s">
        <v>2674</v>
      </c>
      <c r="J289" s="1" t="s">
        <v>2675</v>
      </c>
      <c r="K289" s="1"/>
      <c r="L289" s="1" t="s">
        <v>2236</v>
      </c>
      <c r="M289" s="1" t="s">
        <v>2676</v>
      </c>
      <c r="N289" s="1" t="s">
        <v>2677</v>
      </c>
      <c r="O289" s="1" t="s">
        <v>2678</v>
      </c>
      <c r="P289" s="1" t="s">
        <v>2182</v>
      </c>
      <c r="Q289" s="1"/>
      <c r="R289" s="1"/>
      <c r="S289" s="1" t="s">
        <v>2072</v>
      </c>
      <c r="T289" s="1" t="s">
        <v>2073</v>
      </c>
      <c r="U289" s="4">
        <v>4800000</v>
      </c>
      <c r="V289" s="4">
        <v>295</v>
      </c>
      <c r="W289" s="4">
        <v>3</v>
      </c>
      <c r="X289" s="4">
        <v>38</v>
      </c>
      <c r="Y289" s="4">
        <v>0</v>
      </c>
      <c r="Z289" s="5">
        <v>336</v>
      </c>
      <c r="AA289" s="5">
        <v>0</v>
      </c>
      <c r="AB289" s="6">
        <v>0</v>
      </c>
      <c r="AC289" s="4">
        <v>336</v>
      </c>
      <c r="AD289" s="4">
        <v>0</v>
      </c>
      <c r="AE289" s="4">
        <v>336</v>
      </c>
      <c r="AF289" s="1"/>
      <c r="AG289" s="1"/>
      <c r="AH289" s="1"/>
      <c r="AI289" s="1" t="s">
        <v>2327</v>
      </c>
      <c r="AJ289" s="6">
        <v>51.21</v>
      </c>
      <c r="AK289" s="6">
        <v>51.21</v>
      </c>
      <c r="AL289" s="1"/>
    </row>
    <row r="290" spans="1:38" hidden="1" x14ac:dyDescent="0.25">
      <c r="A290" s="2">
        <v>408</v>
      </c>
      <c r="B290" s="1" t="s">
        <v>365</v>
      </c>
      <c r="C290" s="1" t="s">
        <v>369</v>
      </c>
      <c r="D290" s="1" t="s">
        <v>2062</v>
      </c>
      <c r="E290" s="1" t="s">
        <v>2063</v>
      </c>
      <c r="F290" s="3">
        <v>45655</v>
      </c>
      <c r="G290" s="3">
        <v>45104</v>
      </c>
      <c r="H290" s="3">
        <v>45469</v>
      </c>
      <c r="I290" s="1" t="s">
        <v>2674</v>
      </c>
      <c r="J290" s="1" t="s">
        <v>2675</v>
      </c>
      <c r="K290" s="1"/>
      <c r="L290" s="1" t="s">
        <v>2236</v>
      </c>
      <c r="M290" s="1" t="s">
        <v>2676</v>
      </c>
      <c r="N290" s="1" t="s">
        <v>2677</v>
      </c>
      <c r="O290" s="1" t="s">
        <v>2678</v>
      </c>
      <c r="P290" s="1" t="s">
        <v>2182</v>
      </c>
      <c r="Q290" s="1"/>
      <c r="R290" s="1"/>
      <c r="S290" s="1" t="s">
        <v>2072</v>
      </c>
      <c r="T290" s="1" t="s">
        <v>2073</v>
      </c>
      <c r="U290" s="4">
        <v>-1</v>
      </c>
      <c r="V290" s="4">
        <v>-2016</v>
      </c>
      <c r="W290" s="4">
        <v>-20</v>
      </c>
      <c r="X290" s="4">
        <v>0</v>
      </c>
      <c r="Y290" s="4">
        <v>0</v>
      </c>
      <c r="Z290" s="5">
        <v>-2036</v>
      </c>
      <c r="AA290" s="5">
        <v>0</v>
      </c>
      <c r="AB290" s="6">
        <v>0</v>
      </c>
      <c r="AC290" s="4">
        <v>-2036</v>
      </c>
      <c r="AD290" s="4">
        <v>0</v>
      </c>
      <c r="AE290" s="4">
        <v>-2036</v>
      </c>
      <c r="AF290" s="1"/>
      <c r="AG290" s="1"/>
      <c r="AH290" s="1"/>
      <c r="AI290" s="1" t="s">
        <v>2327</v>
      </c>
      <c r="AJ290" s="1"/>
      <c r="AK290" s="1"/>
      <c r="AL290" s="1"/>
    </row>
    <row r="291" spans="1:38" hidden="1" x14ac:dyDescent="0.25">
      <c r="A291" s="2">
        <v>409</v>
      </c>
      <c r="B291" s="1" t="s">
        <v>370</v>
      </c>
      <c r="C291" s="1" t="s">
        <v>371</v>
      </c>
      <c r="D291" s="1" t="s">
        <v>2062</v>
      </c>
      <c r="E291" s="1" t="s">
        <v>2063</v>
      </c>
      <c r="F291" s="3">
        <v>45370</v>
      </c>
      <c r="G291" s="3">
        <v>45096</v>
      </c>
      <c r="H291" s="3">
        <v>45461</v>
      </c>
      <c r="I291" s="1" t="s">
        <v>2679</v>
      </c>
      <c r="J291" s="1" t="s">
        <v>2680</v>
      </c>
      <c r="K291" s="1"/>
      <c r="L291" s="1" t="s">
        <v>2681</v>
      </c>
      <c r="M291" s="1" t="s">
        <v>2682</v>
      </c>
      <c r="N291" s="1" t="s">
        <v>2683</v>
      </c>
      <c r="O291" s="1" t="s">
        <v>2684</v>
      </c>
      <c r="P291" s="1" t="s">
        <v>2182</v>
      </c>
      <c r="Q291" s="1"/>
      <c r="R291" s="1"/>
      <c r="S291" s="1" t="s">
        <v>2072</v>
      </c>
      <c r="T291" s="1" t="s">
        <v>2073</v>
      </c>
      <c r="U291" s="4">
        <v>4500000</v>
      </c>
      <c r="V291" s="4">
        <v>2261</v>
      </c>
      <c r="W291" s="4">
        <v>23</v>
      </c>
      <c r="X291" s="4">
        <v>294</v>
      </c>
      <c r="Y291" s="4">
        <v>0</v>
      </c>
      <c r="Z291" s="5">
        <v>2578</v>
      </c>
      <c r="AA291" s="5">
        <v>0</v>
      </c>
      <c r="AB291" s="6">
        <v>0</v>
      </c>
      <c r="AC291" s="4">
        <v>2578</v>
      </c>
      <c r="AD291" s="4">
        <v>0</v>
      </c>
      <c r="AE291" s="4">
        <v>2578</v>
      </c>
      <c r="AF291" s="1"/>
      <c r="AG291" s="1"/>
      <c r="AH291" s="1"/>
      <c r="AI291" s="1" t="s">
        <v>2327</v>
      </c>
      <c r="AJ291" s="6">
        <v>462.06</v>
      </c>
      <c r="AK291" s="6">
        <v>418.28</v>
      </c>
      <c r="AL291" s="1"/>
    </row>
    <row r="292" spans="1:38" hidden="1" x14ac:dyDescent="0.25">
      <c r="A292" s="2">
        <v>410</v>
      </c>
      <c r="B292" s="1" t="s">
        <v>370</v>
      </c>
      <c r="C292" s="1" t="s">
        <v>372</v>
      </c>
      <c r="D292" s="1" t="s">
        <v>2062</v>
      </c>
      <c r="E292" s="1" t="s">
        <v>2063</v>
      </c>
      <c r="F292" s="3">
        <v>45401</v>
      </c>
      <c r="G292" s="3">
        <v>45096</v>
      </c>
      <c r="H292" s="3">
        <v>45461</v>
      </c>
      <c r="I292" s="1" t="s">
        <v>2679</v>
      </c>
      <c r="J292" s="1" t="s">
        <v>2680</v>
      </c>
      <c r="K292" s="1"/>
      <c r="L292" s="1" t="s">
        <v>2681</v>
      </c>
      <c r="M292" s="1" t="s">
        <v>2682</v>
      </c>
      <c r="N292" s="1" t="s">
        <v>2683</v>
      </c>
      <c r="O292" s="1" t="s">
        <v>2684</v>
      </c>
      <c r="P292" s="1" t="s">
        <v>2182</v>
      </c>
      <c r="Q292" s="1"/>
      <c r="R292" s="1"/>
      <c r="S292" s="1" t="s">
        <v>2072</v>
      </c>
      <c r="T292" s="1" t="s">
        <v>2073</v>
      </c>
      <c r="U292" s="4">
        <v>4500000</v>
      </c>
      <c r="V292" s="4">
        <v>2266</v>
      </c>
      <c r="W292" s="4">
        <v>22</v>
      </c>
      <c r="X292" s="4">
        <v>294</v>
      </c>
      <c r="Y292" s="4">
        <v>0</v>
      </c>
      <c r="Z292" s="5">
        <v>2582</v>
      </c>
      <c r="AA292" s="5">
        <v>0</v>
      </c>
      <c r="AB292" s="6">
        <v>0</v>
      </c>
      <c r="AC292" s="4">
        <v>2582</v>
      </c>
      <c r="AD292" s="4">
        <v>0</v>
      </c>
      <c r="AE292" s="4">
        <v>2582</v>
      </c>
      <c r="AF292" s="1"/>
      <c r="AG292" s="1"/>
      <c r="AH292" s="1"/>
      <c r="AI292" s="1" t="s">
        <v>2327</v>
      </c>
      <c r="AJ292" s="6">
        <v>419.13</v>
      </c>
      <c r="AK292" s="6">
        <v>419.13</v>
      </c>
      <c r="AL292" s="1"/>
    </row>
    <row r="293" spans="1:38" hidden="1" x14ac:dyDescent="0.25">
      <c r="A293" s="2">
        <v>411</v>
      </c>
      <c r="B293" s="1" t="s">
        <v>370</v>
      </c>
      <c r="C293" s="1" t="s">
        <v>373</v>
      </c>
      <c r="D293" s="1" t="s">
        <v>2062</v>
      </c>
      <c r="E293" s="1" t="s">
        <v>2063</v>
      </c>
      <c r="F293" s="3">
        <v>45432</v>
      </c>
      <c r="G293" s="3">
        <v>45096</v>
      </c>
      <c r="H293" s="3">
        <v>45461</v>
      </c>
      <c r="I293" s="1" t="s">
        <v>2679</v>
      </c>
      <c r="J293" s="1" t="s">
        <v>2680</v>
      </c>
      <c r="K293" s="1"/>
      <c r="L293" s="1" t="s">
        <v>2681</v>
      </c>
      <c r="M293" s="1" t="s">
        <v>2682</v>
      </c>
      <c r="N293" s="1" t="s">
        <v>2683</v>
      </c>
      <c r="O293" s="1" t="s">
        <v>2684</v>
      </c>
      <c r="P293" s="1" t="s">
        <v>2182</v>
      </c>
      <c r="Q293" s="1"/>
      <c r="R293" s="1"/>
      <c r="S293" s="1" t="s">
        <v>2072</v>
      </c>
      <c r="T293" s="1" t="s">
        <v>2073</v>
      </c>
      <c r="U293" s="4">
        <v>4500000</v>
      </c>
      <c r="V293" s="4">
        <v>2863</v>
      </c>
      <c r="W293" s="4">
        <v>29</v>
      </c>
      <c r="X293" s="4">
        <v>373</v>
      </c>
      <c r="Y293" s="4">
        <v>0</v>
      </c>
      <c r="Z293" s="5">
        <v>3265</v>
      </c>
      <c r="AA293" s="5">
        <v>0</v>
      </c>
      <c r="AB293" s="6">
        <v>0</v>
      </c>
      <c r="AC293" s="4">
        <v>3265</v>
      </c>
      <c r="AD293" s="4">
        <v>0</v>
      </c>
      <c r="AE293" s="4">
        <v>3265</v>
      </c>
      <c r="AF293" s="1"/>
      <c r="AG293" s="1"/>
      <c r="AH293" s="1"/>
      <c r="AI293" s="1" t="s">
        <v>2327</v>
      </c>
      <c r="AJ293" s="6">
        <v>691.54000000000019</v>
      </c>
      <c r="AK293" s="6">
        <v>529.97</v>
      </c>
      <c r="AL293" s="1"/>
    </row>
    <row r="294" spans="1:38" hidden="1" x14ac:dyDescent="0.25">
      <c r="A294" s="2">
        <v>412</v>
      </c>
      <c r="B294" s="1" t="s">
        <v>370</v>
      </c>
      <c r="C294" s="1" t="s">
        <v>374</v>
      </c>
      <c r="D294" s="1" t="s">
        <v>2062</v>
      </c>
      <c r="E294" s="1" t="s">
        <v>2063</v>
      </c>
      <c r="F294" s="3">
        <v>45655</v>
      </c>
      <c r="G294" s="3">
        <v>45096</v>
      </c>
      <c r="H294" s="3">
        <v>45461</v>
      </c>
      <c r="I294" s="1" t="s">
        <v>2679</v>
      </c>
      <c r="J294" s="1" t="s">
        <v>2680</v>
      </c>
      <c r="K294" s="1"/>
      <c r="L294" s="1" t="s">
        <v>2681</v>
      </c>
      <c r="M294" s="1" t="s">
        <v>2682</v>
      </c>
      <c r="N294" s="1" t="s">
        <v>2683</v>
      </c>
      <c r="O294" s="1" t="s">
        <v>2684</v>
      </c>
      <c r="P294" s="1" t="s">
        <v>2182</v>
      </c>
      <c r="Q294" s="1"/>
      <c r="R294" s="1"/>
      <c r="S294" s="1" t="s">
        <v>2072</v>
      </c>
      <c r="T294" s="1" t="s">
        <v>2073</v>
      </c>
      <c r="U294" s="4">
        <v>-1</v>
      </c>
      <c r="V294" s="4">
        <v>-8342</v>
      </c>
      <c r="W294" s="4">
        <v>-83</v>
      </c>
      <c r="X294" s="4">
        <v>0</v>
      </c>
      <c r="Y294" s="4">
        <v>0</v>
      </c>
      <c r="Z294" s="5">
        <v>-8425</v>
      </c>
      <c r="AA294" s="5">
        <v>0</v>
      </c>
      <c r="AB294" s="6">
        <v>0</v>
      </c>
      <c r="AC294" s="4">
        <v>-8425</v>
      </c>
      <c r="AD294" s="4">
        <v>0</v>
      </c>
      <c r="AE294" s="4">
        <v>-8425</v>
      </c>
      <c r="AF294" s="1"/>
      <c r="AG294" s="1"/>
      <c r="AH294" s="1"/>
      <c r="AI294" s="1" t="s">
        <v>2327</v>
      </c>
      <c r="AJ294" s="1"/>
      <c r="AK294" s="1"/>
      <c r="AL294" s="1"/>
    </row>
    <row r="295" spans="1:38" hidden="1" x14ac:dyDescent="0.25">
      <c r="A295" s="2">
        <v>425</v>
      </c>
      <c r="B295" s="1" t="s">
        <v>375</v>
      </c>
      <c r="C295" s="1" t="s">
        <v>376</v>
      </c>
      <c r="D295" s="1" t="s">
        <v>2062</v>
      </c>
      <c r="E295" s="1" t="s">
        <v>2063</v>
      </c>
      <c r="F295" s="3">
        <v>45404</v>
      </c>
      <c r="G295" s="3">
        <v>45099</v>
      </c>
      <c r="H295" s="3">
        <v>45464</v>
      </c>
      <c r="I295" s="1" t="s">
        <v>2685</v>
      </c>
      <c r="J295" s="1" t="s">
        <v>2686</v>
      </c>
      <c r="K295" s="1"/>
      <c r="L295" s="1" t="s">
        <v>2687</v>
      </c>
      <c r="M295" s="1" t="s">
        <v>2688</v>
      </c>
      <c r="N295" s="1" t="s">
        <v>2689</v>
      </c>
      <c r="O295" s="1" t="s">
        <v>2690</v>
      </c>
      <c r="P295" s="1" t="s">
        <v>2262</v>
      </c>
      <c r="Q295" s="1"/>
      <c r="R295" s="1"/>
      <c r="S295" s="1" t="s">
        <v>2072</v>
      </c>
      <c r="T295" s="1" t="s">
        <v>2073</v>
      </c>
      <c r="U295" s="4">
        <v>3800000</v>
      </c>
      <c r="V295" s="4">
        <v>5607</v>
      </c>
      <c r="W295" s="4">
        <v>56</v>
      </c>
      <c r="X295" s="4">
        <v>728</v>
      </c>
      <c r="Y295" s="4">
        <v>0</v>
      </c>
      <c r="Z295" s="5">
        <v>6391</v>
      </c>
      <c r="AA295" s="5">
        <v>0</v>
      </c>
      <c r="AB295" s="6">
        <v>0</v>
      </c>
      <c r="AC295" s="4">
        <v>6391</v>
      </c>
      <c r="AD295" s="4">
        <v>0</v>
      </c>
      <c r="AE295" s="4">
        <v>6391</v>
      </c>
      <c r="AF295" s="1"/>
      <c r="AG295" s="1"/>
      <c r="AH295" s="1"/>
      <c r="AI295" s="1" t="s">
        <v>2427</v>
      </c>
      <c r="AJ295" s="6">
        <v>1779.02</v>
      </c>
      <c r="AK295" s="6">
        <v>1228.55</v>
      </c>
      <c r="AL295" s="1"/>
    </row>
    <row r="296" spans="1:38" hidden="1" x14ac:dyDescent="0.25">
      <c r="A296" s="2">
        <v>426</v>
      </c>
      <c r="B296" s="1" t="s">
        <v>375</v>
      </c>
      <c r="C296" s="1" t="s">
        <v>377</v>
      </c>
      <c r="D296" s="1" t="s">
        <v>2062</v>
      </c>
      <c r="E296" s="1" t="s">
        <v>2063</v>
      </c>
      <c r="F296" s="3">
        <v>45434</v>
      </c>
      <c r="G296" s="3">
        <v>45099</v>
      </c>
      <c r="H296" s="3">
        <v>45464</v>
      </c>
      <c r="I296" s="1" t="s">
        <v>2685</v>
      </c>
      <c r="J296" s="1" t="s">
        <v>2686</v>
      </c>
      <c r="K296" s="1"/>
      <c r="L296" s="1" t="s">
        <v>2687</v>
      </c>
      <c r="M296" s="1" t="s">
        <v>2688</v>
      </c>
      <c r="N296" s="1" t="s">
        <v>2689</v>
      </c>
      <c r="O296" s="1" t="s">
        <v>2690</v>
      </c>
      <c r="P296" s="1" t="s">
        <v>2262</v>
      </c>
      <c r="Q296" s="1"/>
      <c r="R296" s="1"/>
      <c r="S296" s="1" t="s">
        <v>2072</v>
      </c>
      <c r="T296" s="1" t="s">
        <v>2073</v>
      </c>
      <c r="U296" s="4">
        <v>3800000</v>
      </c>
      <c r="V296" s="4">
        <v>5660</v>
      </c>
      <c r="W296" s="4">
        <v>56</v>
      </c>
      <c r="X296" s="4">
        <v>736</v>
      </c>
      <c r="Y296" s="4">
        <v>0</v>
      </c>
      <c r="Z296" s="5">
        <v>6452</v>
      </c>
      <c r="AA296" s="5">
        <v>0</v>
      </c>
      <c r="AB296" s="6">
        <v>0</v>
      </c>
      <c r="AC296" s="4">
        <v>6452</v>
      </c>
      <c r="AD296" s="4">
        <v>0</v>
      </c>
      <c r="AE296" s="4">
        <v>6452</v>
      </c>
      <c r="AF296" s="1"/>
      <c r="AG296" s="1"/>
      <c r="AH296" s="1"/>
      <c r="AI296" s="1" t="s">
        <v>2427</v>
      </c>
      <c r="AJ296" s="6">
        <v>1491.3000000000011</v>
      </c>
      <c r="AK296" s="6">
        <v>1240.44</v>
      </c>
      <c r="AL296" s="1"/>
    </row>
    <row r="297" spans="1:38" hidden="1" x14ac:dyDescent="0.25">
      <c r="A297" s="2">
        <v>427</v>
      </c>
      <c r="B297" s="1" t="s">
        <v>375</v>
      </c>
      <c r="C297" s="1" t="s">
        <v>378</v>
      </c>
      <c r="D297" s="1" t="s">
        <v>2062</v>
      </c>
      <c r="E297" s="1" t="s">
        <v>2063</v>
      </c>
      <c r="F297" s="3">
        <v>45467</v>
      </c>
      <c r="G297" s="3">
        <v>45099</v>
      </c>
      <c r="H297" s="3">
        <v>45464</v>
      </c>
      <c r="I297" s="1" t="s">
        <v>2685</v>
      </c>
      <c r="J297" s="1" t="s">
        <v>2686</v>
      </c>
      <c r="K297" s="1"/>
      <c r="L297" s="1" t="s">
        <v>2687</v>
      </c>
      <c r="M297" s="1" t="s">
        <v>2688</v>
      </c>
      <c r="N297" s="1" t="s">
        <v>2689</v>
      </c>
      <c r="O297" s="1" t="s">
        <v>2690</v>
      </c>
      <c r="P297" s="1" t="s">
        <v>2262</v>
      </c>
      <c r="Q297" s="1"/>
      <c r="R297" s="1"/>
      <c r="S297" s="1" t="s">
        <v>2072</v>
      </c>
      <c r="T297" s="1" t="s">
        <v>2073</v>
      </c>
      <c r="U297" s="4">
        <v>3800000</v>
      </c>
      <c r="V297" s="4">
        <v>5432</v>
      </c>
      <c r="W297" s="4">
        <v>54</v>
      </c>
      <c r="X297" s="4">
        <v>707</v>
      </c>
      <c r="Y297" s="4">
        <v>0</v>
      </c>
      <c r="Z297" s="5">
        <v>6193</v>
      </c>
      <c r="AA297" s="5">
        <v>0</v>
      </c>
      <c r="AB297" s="6">
        <v>0</v>
      </c>
      <c r="AC297" s="4">
        <v>6193</v>
      </c>
      <c r="AD297" s="4">
        <v>0</v>
      </c>
      <c r="AE297" s="4">
        <v>6193</v>
      </c>
      <c r="AF297" s="1"/>
      <c r="AG297" s="1"/>
      <c r="AH297" s="1"/>
      <c r="AI297" s="1" t="s">
        <v>2427</v>
      </c>
      <c r="AJ297" s="6">
        <v>2504.9900000000052</v>
      </c>
      <c r="AK297" s="6">
        <v>1190.42</v>
      </c>
      <c r="AL297" s="1"/>
    </row>
    <row r="298" spans="1:38" hidden="1" x14ac:dyDescent="0.25">
      <c r="A298" s="2">
        <v>428</v>
      </c>
      <c r="B298" s="1" t="s">
        <v>375</v>
      </c>
      <c r="C298" s="1" t="s">
        <v>379</v>
      </c>
      <c r="D298" s="1" t="s">
        <v>2062</v>
      </c>
      <c r="E298" s="1" t="s">
        <v>2063</v>
      </c>
      <c r="F298" s="3">
        <v>45596</v>
      </c>
      <c r="G298" s="3">
        <v>45099</v>
      </c>
      <c r="H298" s="3">
        <v>45464</v>
      </c>
      <c r="I298" s="1" t="s">
        <v>2685</v>
      </c>
      <c r="J298" s="1" t="s">
        <v>2686</v>
      </c>
      <c r="K298" s="1"/>
      <c r="L298" s="1" t="s">
        <v>2687</v>
      </c>
      <c r="M298" s="1" t="s">
        <v>2688</v>
      </c>
      <c r="N298" s="1" t="s">
        <v>2689</v>
      </c>
      <c r="O298" s="1" t="s">
        <v>2690</v>
      </c>
      <c r="P298" s="1" t="s">
        <v>2262</v>
      </c>
      <c r="Q298" s="1"/>
      <c r="R298" s="1"/>
      <c r="S298" s="1" t="s">
        <v>2072</v>
      </c>
      <c r="T298" s="1" t="s">
        <v>2073</v>
      </c>
      <c r="U298" s="4">
        <v>-1</v>
      </c>
      <c r="V298" s="4">
        <v>-18848</v>
      </c>
      <c r="W298" s="4">
        <v>-188</v>
      </c>
      <c r="X298" s="4">
        <v>0</v>
      </c>
      <c r="Y298" s="4">
        <v>0</v>
      </c>
      <c r="Z298" s="5">
        <v>-19036</v>
      </c>
      <c r="AA298" s="5">
        <v>0</v>
      </c>
      <c r="AB298" s="6">
        <v>0</v>
      </c>
      <c r="AC298" s="4">
        <v>-19036</v>
      </c>
      <c r="AD298" s="4">
        <v>0</v>
      </c>
      <c r="AE298" s="4">
        <v>-19036</v>
      </c>
      <c r="AF298" s="1"/>
      <c r="AG298" s="1"/>
      <c r="AH298" s="1"/>
      <c r="AI298" s="1" t="s">
        <v>2427</v>
      </c>
      <c r="AJ298" s="1"/>
      <c r="AK298" s="1"/>
      <c r="AL298" s="1"/>
    </row>
    <row r="299" spans="1:38" hidden="1" x14ac:dyDescent="0.25">
      <c r="A299" s="2">
        <v>429</v>
      </c>
      <c r="B299" s="1" t="s">
        <v>380</v>
      </c>
      <c r="C299" s="1" t="s">
        <v>381</v>
      </c>
      <c r="D299" s="1" t="s">
        <v>2062</v>
      </c>
      <c r="E299" s="1" t="s">
        <v>2063</v>
      </c>
      <c r="F299" s="3">
        <v>45467</v>
      </c>
      <c r="G299" s="3">
        <v>45099</v>
      </c>
      <c r="H299" s="3">
        <v>45464</v>
      </c>
      <c r="I299" s="1" t="s">
        <v>2691</v>
      </c>
      <c r="J299" s="1" t="s">
        <v>2692</v>
      </c>
      <c r="K299" s="1"/>
      <c r="L299" s="1" t="s">
        <v>2404</v>
      </c>
      <c r="M299" s="1" t="s">
        <v>2693</v>
      </c>
      <c r="N299" s="1" t="s">
        <v>2694</v>
      </c>
      <c r="O299" s="1" t="s">
        <v>2695</v>
      </c>
      <c r="P299" s="1" t="s">
        <v>2182</v>
      </c>
      <c r="Q299" s="1"/>
      <c r="R299" s="1"/>
      <c r="S299" s="1" t="s">
        <v>2072</v>
      </c>
      <c r="T299" s="1" t="s">
        <v>2073</v>
      </c>
      <c r="U299" s="4">
        <v>5000000</v>
      </c>
      <c r="V299" s="4">
        <v>1161</v>
      </c>
      <c r="W299" s="4">
        <v>11</v>
      </c>
      <c r="X299" s="4">
        <v>151</v>
      </c>
      <c r="Y299" s="4">
        <v>0</v>
      </c>
      <c r="Z299" s="5">
        <v>1323</v>
      </c>
      <c r="AA299" s="5">
        <v>0</v>
      </c>
      <c r="AB299" s="6">
        <v>0</v>
      </c>
      <c r="AC299" s="4">
        <v>1323</v>
      </c>
      <c r="AD299" s="4">
        <v>0</v>
      </c>
      <c r="AE299" s="4">
        <v>1323</v>
      </c>
      <c r="AF299" s="1"/>
      <c r="AG299" s="1"/>
      <c r="AH299" s="1"/>
      <c r="AI299" s="1" t="s">
        <v>2380</v>
      </c>
      <c r="AJ299" s="6">
        <v>192.95</v>
      </c>
      <c r="AK299" s="6">
        <v>192.95</v>
      </c>
      <c r="AL299" s="1"/>
    </row>
    <row r="300" spans="1:38" hidden="1" x14ac:dyDescent="0.25">
      <c r="A300" s="2">
        <v>430</v>
      </c>
      <c r="B300" s="1" t="s">
        <v>380</v>
      </c>
      <c r="C300" s="1" t="s">
        <v>382</v>
      </c>
      <c r="D300" s="1" t="s">
        <v>2062</v>
      </c>
      <c r="E300" s="1" t="s">
        <v>2063</v>
      </c>
      <c r="F300" s="3">
        <v>45596</v>
      </c>
      <c r="G300" s="3">
        <v>45099</v>
      </c>
      <c r="H300" s="3">
        <v>45464</v>
      </c>
      <c r="I300" s="1" t="s">
        <v>2691</v>
      </c>
      <c r="J300" s="1" t="s">
        <v>2692</v>
      </c>
      <c r="K300" s="1"/>
      <c r="L300" s="1" t="s">
        <v>2404</v>
      </c>
      <c r="M300" s="1" t="s">
        <v>2693</v>
      </c>
      <c r="N300" s="1" t="s">
        <v>2694</v>
      </c>
      <c r="O300" s="1" t="s">
        <v>2695</v>
      </c>
      <c r="P300" s="1" t="s">
        <v>2182</v>
      </c>
      <c r="Q300" s="1"/>
      <c r="R300" s="1"/>
      <c r="S300" s="1" t="s">
        <v>2072</v>
      </c>
      <c r="T300" s="1" t="s">
        <v>2073</v>
      </c>
      <c r="U300" s="4">
        <v>-1</v>
      </c>
      <c r="V300" s="4">
        <v>-1310</v>
      </c>
      <c r="W300" s="4">
        <v>-13</v>
      </c>
      <c r="X300" s="4">
        <v>0</v>
      </c>
      <c r="Y300" s="4">
        <v>0</v>
      </c>
      <c r="Z300" s="5">
        <v>-1323</v>
      </c>
      <c r="AA300" s="5">
        <v>0</v>
      </c>
      <c r="AB300" s="6">
        <v>0</v>
      </c>
      <c r="AC300" s="4">
        <v>-1323</v>
      </c>
      <c r="AD300" s="4">
        <v>0</v>
      </c>
      <c r="AE300" s="4">
        <v>-1323</v>
      </c>
      <c r="AF300" s="1"/>
      <c r="AG300" s="1"/>
      <c r="AH300" s="1"/>
      <c r="AI300" s="1" t="s">
        <v>2380</v>
      </c>
      <c r="AJ300" s="1"/>
      <c r="AK300" s="1"/>
      <c r="AL300" s="1"/>
    </row>
    <row r="301" spans="1:38" x14ac:dyDescent="0.25">
      <c r="A301" s="2">
        <v>431</v>
      </c>
      <c r="B301" s="1" t="s">
        <v>383</v>
      </c>
      <c r="C301" s="1"/>
      <c r="D301" s="1" t="s">
        <v>2062</v>
      </c>
      <c r="E301" s="1" t="s">
        <v>2063</v>
      </c>
      <c r="F301" s="3">
        <v>45104</v>
      </c>
      <c r="G301" s="3">
        <v>45103</v>
      </c>
      <c r="H301" s="3">
        <v>45468</v>
      </c>
      <c r="I301" s="1" t="s">
        <v>2696</v>
      </c>
      <c r="J301" s="1" t="s">
        <v>2697</v>
      </c>
      <c r="K301" s="1"/>
      <c r="L301" s="1" t="s">
        <v>2698</v>
      </c>
      <c r="M301" s="1" t="s">
        <v>2699</v>
      </c>
      <c r="N301" s="1" t="s">
        <v>2700</v>
      </c>
      <c r="O301" s="1" t="s">
        <v>2701</v>
      </c>
      <c r="P301" s="1" t="s">
        <v>2081</v>
      </c>
      <c r="Q301" s="1"/>
      <c r="R301" s="1"/>
      <c r="S301" s="1" t="s">
        <v>2072</v>
      </c>
      <c r="T301" s="1" t="s">
        <v>2073</v>
      </c>
      <c r="U301" s="4">
        <v>1500000</v>
      </c>
      <c r="V301" s="4">
        <v>4343</v>
      </c>
      <c r="W301" s="4">
        <v>43</v>
      </c>
      <c r="X301" s="4">
        <v>564</v>
      </c>
      <c r="Y301" s="4">
        <v>50</v>
      </c>
      <c r="Z301" s="5">
        <v>5000</v>
      </c>
      <c r="AA301" s="5">
        <v>5557</v>
      </c>
      <c r="AB301" s="6">
        <v>0</v>
      </c>
      <c r="AC301" s="4">
        <v>-557</v>
      </c>
      <c r="AD301" s="4">
        <v>0</v>
      </c>
      <c r="AE301" s="4">
        <v>-557</v>
      </c>
      <c r="AF301" s="1"/>
      <c r="AG301" s="1"/>
      <c r="AH301" s="1"/>
      <c r="AI301" s="1" t="s">
        <v>2380</v>
      </c>
      <c r="AJ301" s="1"/>
      <c r="AK301" s="1"/>
      <c r="AL301" s="1" t="s">
        <v>2702</v>
      </c>
    </row>
    <row r="302" spans="1:38" hidden="1" x14ac:dyDescent="0.25">
      <c r="A302" s="2">
        <v>432</v>
      </c>
      <c r="B302" s="1" t="s">
        <v>383</v>
      </c>
      <c r="C302" s="1" t="s">
        <v>384</v>
      </c>
      <c r="D302" s="1" t="s">
        <v>2062</v>
      </c>
      <c r="E302" s="1" t="s">
        <v>2063</v>
      </c>
      <c r="F302" s="3">
        <v>45469</v>
      </c>
      <c r="G302" s="3">
        <v>45103</v>
      </c>
      <c r="H302" s="3">
        <v>45468</v>
      </c>
      <c r="I302" s="1" t="s">
        <v>2696</v>
      </c>
      <c r="J302" s="1" t="s">
        <v>2697</v>
      </c>
      <c r="K302" s="1"/>
      <c r="L302" s="1" t="s">
        <v>2698</v>
      </c>
      <c r="M302" s="1" t="s">
        <v>2699</v>
      </c>
      <c r="N302" s="1" t="s">
        <v>2700</v>
      </c>
      <c r="O302" s="1" t="s">
        <v>2701</v>
      </c>
      <c r="P302" s="1" t="s">
        <v>2081</v>
      </c>
      <c r="Q302" s="1"/>
      <c r="R302" s="1"/>
      <c r="S302" s="1" t="s">
        <v>2072</v>
      </c>
      <c r="T302" s="1" t="s">
        <v>2073</v>
      </c>
      <c r="U302" s="4">
        <v>1500000</v>
      </c>
      <c r="V302" s="4">
        <v>489</v>
      </c>
      <c r="W302" s="4">
        <v>5</v>
      </c>
      <c r="X302" s="4">
        <v>63</v>
      </c>
      <c r="Y302" s="4">
        <v>0</v>
      </c>
      <c r="Z302" s="5">
        <v>557</v>
      </c>
      <c r="AA302" s="5">
        <v>0</v>
      </c>
      <c r="AB302" s="6">
        <v>0</v>
      </c>
      <c r="AC302" s="4">
        <v>557</v>
      </c>
      <c r="AD302" s="4">
        <v>0</v>
      </c>
      <c r="AE302" s="4">
        <v>557</v>
      </c>
      <c r="AF302" s="1"/>
      <c r="AG302" s="1"/>
      <c r="AH302" s="1"/>
      <c r="AI302" s="1" t="s">
        <v>2380</v>
      </c>
      <c r="AJ302" s="6">
        <v>331.17</v>
      </c>
      <c r="AK302" s="6">
        <v>271.66000000000003</v>
      </c>
      <c r="AL302" s="1"/>
    </row>
    <row r="303" spans="1:38" hidden="1" x14ac:dyDescent="0.25">
      <c r="A303" s="2">
        <v>433</v>
      </c>
      <c r="B303" s="1" t="s">
        <v>385</v>
      </c>
      <c r="C303" s="1" t="s">
        <v>386</v>
      </c>
      <c r="D303" s="1" t="s">
        <v>2062</v>
      </c>
      <c r="E303" s="1" t="s">
        <v>2063</v>
      </c>
      <c r="F303" s="3">
        <v>45134</v>
      </c>
      <c r="G303" s="3">
        <v>45103</v>
      </c>
      <c r="H303" s="3">
        <v>45468</v>
      </c>
      <c r="I303" s="1" t="s">
        <v>2703</v>
      </c>
      <c r="J303" s="1" t="s">
        <v>2704</v>
      </c>
      <c r="K303" s="1"/>
      <c r="L303" s="1" t="s">
        <v>2178</v>
      </c>
      <c r="M303" s="1" t="s">
        <v>2705</v>
      </c>
      <c r="N303" s="1" t="s">
        <v>2706</v>
      </c>
      <c r="O303" s="1" t="s">
        <v>2707</v>
      </c>
      <c r="P303" s="1" t="s">
        <v>2182</v>
      </c>
      <c r="Q303" s="1"/>
      <c r="R303" s="1"/>
      <c r="S303" s="1" t="s">
        <v>2072</v>
      </c>
      <c r="T303" s="1" t="s">
        <v>2489</v>
      </c>
      <c r="U303" s="4">
        <v>2700000</v>
      </c>
      <c r="V303" s="4">
        <v>1748</v>
      </c>
      <c r="W303" s="4">
        <v>18</v>
      </c>
      <c r="X303" s="4">
        <v>228</v>
      </c>
      <c r="Y303" s="4">
        <v>0</v>
      </c>
      <c r="Z303" s="5">
        <v>1994</v>
      </c>
      <c r="AA303" s="5">
        <v>0</v>
      </c>
      <c r="AB303" s="6">
        <v>0</v>
      </c>
      <c r="AC303" s="4">
        <v>1994</v>
      </c>
      <c r="AD303" s="4">
        <v>0</v>
      </c>
      <c r="AE303" s="4">
        <v>1994</v>
      </c>
      <c r="AF303" s="1"/>
      <c r="AG303" s="1"/>
      <c r="AH303" s="1"/>
      <c r="AI303" s="1" t="s">
        <v>2427</v>
      </c>
      <c r="AJ303" s="6">
        <v>639.6</v>
      </c>
      <c r="AK303" s="6">
        <v>539.6</v>
      </c>
      <c r="AL303" s="1"/>
    </row>
    <row r="304" spans="1:38" hidden="1" x14ac:dyDescent="0.25">
      <c r="A304" s="2">
        <v>434</v>
      </c>
      <c r="B304" s="1" t="s">
        <v>385</v>
      </c>
      <c r="C304" s="1" t="s">
        <v>387</v>
      </c>
      <c r="D304" s="1" t="s">
        <v>2062</v>
      </c>
      <c r="E304" s="1" t="s">
        <v>2063</v>
      </c>
      <c r="F304" s="3">
        <v>45166</v>
      </c>
      <c r="G304" s="3">
        <v>45103</v>
      </c>
      <c r="H304" s="3">
        <v>45468</v>
      </c>
      <c r="I304" s="1" t="s">
        <v>2703</v>
      </c>
      <c r="J304" s="1" t="s">
        <v>2704</v>
      </c>
      <c r="K304" s="1"/>
      <c r="L304" s="1" t="s">
        <v>2178</v>
      </c>
      <c r="M304" s="1" t="s">
        <v>2705</v>
      </c>
      <c r="N304" s="1" t="s">
        <v>2706</v>
      </c>
      <c r="O304" s="1" t="s">
        <v>2707</v>
      </c>
      <c r="P304" s="1" t="s">
        <v>2182</v>
      </c>
      <c r="Q304" s="1"/>
      <c r="R304" s="1"/>
      <c r="S304" s="1" t="s">
        <v>2072</v>
      </c>
      <c r="T304" s="1" t="s">
        <v>2489</v>
      </c>
      <c r="U304" s="4">
        <v>2700000</v>
      </c>
      <c r="V304" s="4">
        <v>1773</v>
      </c>
      <c r="W304" s="4">
        <v>17</v>
      </c>
      <c r="X304" s="4">
        <v>230</v>
      </c>
      <c r="Y304" s="4">
        <v>0</v>
      </c>
      <c r="Z304" s="5">
        <v>2020</v>
      </c>
      <c r="AA304" s="5">
        <v>0</v>
      </c>
      <c r="AB304" s="6">
        <v>0</v>
      </c>
      <c r="AC304" s="4">
        <v>2020</v>
      </c>
      <c r="AD304" s="4">
        <v>0</v>
      </c>
      <c r="AE304" s="4">
        <v>2020</v>
      </c>
      <c r="AF304" s="1"/>
      <c r="AG304" s="1"/>
      <c r="AH304" s="1"/>
      <c r="AI304" s="1" t="s">
        <v>2427</v>
      </c>
      <c r="AJ304" s="6">
        <v>643.4</v>
      </c>
      <c r="AK304" s="6">
        <v>556.23</v>
      </c>
      <c r="AL304" s="1"/>
    </row>
    <row r="305" spans="1:38" hidden="1" x14ac:dyDescent="0.25">
      <c r="A305" s="2">
        <v>435</v>
      </c>
      <c r="B305" s="1" t="s">
        <v>385</v>
      </c>
      <c r="C305" s="1" t="s">
        <v>388</v>
      </c>
      <c r="D305" s="1" t="s">
        <v>2062</v>
      </c>
      <c r="E305" s="1" t="s">
        <v>2063</v>
      </c>
      <c r="F305" s="3">
        <v>45195</v>
      </c>
      <c r="G305" s="3">
        <v>45103</v>
      </c>
      <c r="H305" s="3">
        <v>45468</v>
      </c>
      <c r="I305" s="1" t="s">
        <v>2703</v>
      </c>
      <c r="J305" s="1" t="s">
        <v>2704</v>
      </c>
      <c r="K305" s="1"/>
      <c r="L305" s="1" t="s">
        <v>2178</v>
      </c>
      <c r="M305" s="1" t="s">
        <v>2705</v>
      </c>
      <c r="N305" s="1" t="s">
        <v>2706</v>
      </c>
      <c r="O305" s="1" t="s">
        <v>2707</v>
      </c>
      <c r="P305" s="1" t="s">
        <v>2182</v>
      </c>
      <c r="Q305" s="1"/>
      <c r="R305" s="1"/>
      <c r="S305" s="1" t="s">
        <v>2072</v>
      </c>
      <c r="T305" s="1" t="s">
        <v>2489</v>
      </c>
      <c r="U305" s="4">
        <v>2700000</v>
      </c>
      <c r="V305" s="4">
        <v>1378</v>
      </c>
      <c r="W305" s="4">
        <v>14</v>
      </c>
      <c r="X305" s="4">
        <v>179</v>
      </c>
      <c r="Y305" s="4">
        <v>0</v>
      </c>
      <c r="Z305" s="5">
        <v>1571</v>
      </c>
      <c r="AA305" s="5">
        <v>0</v>
      </c>
      <c r="AB305" s="6">
        <v>0</v>
      </c>
      <c r="AC305" s="4">
        <v>1571</v>
      </c>
      <c r="AD305" s="4">
        <v>0</v>
      </c>
      <c r="AE305" s="4">
        <v>1571</v>
      </c>
      <c r="AF305" s="1"/>
      <c r="AG305" s="1"/>
      <c r="AH305" s="1"/>
      <c r="AI305" s="1" t="s">
        <v>2427</v>
      </c>
      <c r="AJ305" s="6">
        <v>602.21</v>
      </c>
      <c r="AK305" s="6">
        <v>530.99</v>
      </c>
      <c r="AL305" s="1"/>
    </row>
    <row r="306" spans="1:38" hidden="1" x14ac:dyDescent="0.25">
      <c r="A306" s="2">
        <v>436</v>
      </c>
      <c r="B306" s="1" t="s">
        <v>385</v>
      </c>
      <c r="C306" s="1" t="s">
        <v>389</v>
      </c>
      <c r="D306" s="1" t="s">
        <v>2062</v>
      </c>
      <c r="E306" s="1" t="s">
        <v>2063</v>
      </c>
      <c r="F306" s="3">
        <v>45226</v>
      </c>
      <c r="G306" s="3">
        <v>45103</v>
      </c>
      <c r="H306" s="3">
        <v>45468</v>
      </c>
      <c r="I306" s="1" t="s">
        <v>2703</v>
      </c>
      <c r="J306" s="1" t="s">
        <v>2704</v>
      </c>
      <c r="K306" s="1"/>
      <c r="L306" s="1" t="s">
        <v>2178</v>
      </c>
      <c r="M306" s="1" t="s">
        <v>2705</v>
      </c>
      <c r="N306" s="1" t="s">
        <v>2706</v>
      </c>
      <c r="O306" s="1" t="s">
        <v>2707</v>
      </c>
      <c r="P306" s="1" t="s">
        <v>2182</v>
      </c>
      <c r="Q306" s="1"/>
      <c r="R306" s="1"/>
      <c r="S306" s="1" t="s">
        <v>2072</v>
      </c>
      <c r="T306" s="1" t="s">
        <v>2489</v>
      </c>
      <c r="U306" s="4">
        <v>2700000</v>
      </c>
      <c r="V306" s="4">
        <v>1446</v>
      </c>
      <c r="W306" s="4">
        <v>15</v>
      </c>
      <c r="X306" s="4">
        <v>188</v>
      </c>
      <c r="Y306" s="4">
        <v>0</v>
      </c>
      <c r="Z306" s="5">
        <v>1649</v>
      </c>
      <c r="AA306" s="5">
        <v>0</v>
      </c>
      <c r="AB306" s="6">
        <v>0</v>
      </c>
      <c r="AC306" s="4">
        <v>1649</v>
      </c>
      <c r="AD306" s="4">
        <v>0</v>
      </c>
      <c r="AE306" s="4">
        <v>1649</v>
      </c>
      <c r="AF306" s="1"/>
      <c r="AG306" s="1"/>
      <c r="AH306" s="1"/>
      <c r="AI306" s="1" t="s">
        <v>2427</v>
      </c>
      <c r="AJ306" s="6">
        <v>692.63</v>
      </c>
      <c r="AK306" s="6">
        <v>557.39</v>
      </c>
      <c r="AL306" s="1"/>
    </row>
    <row r="307" spans="1:38" hidden="1" x14ac:dyDescent="0.25">
      <c r="A307" s="2">
        <v>437</v>
      </c>
      <c r="B307" s="1" t="s">
        <v>385</v>
      </c>
      <c r="C307" s="1" t="s">
        <v>390</v>
      </c>
      <c r="D307" s="1" t="s">
        <v>2062</v>
      </c>
      <c r="E307" s="1" t="s">
        <v>2063</v>
      </c>
      <c r="F307" s="3">
        <v>45258</v>
      </c>
      <c r="G307" s="3">
        <v>45103</v>
      </c>
      <c r="H307" s="3">
        <v>45468</v>
      </c>
      <c r="I307" s="1" t="s">
        <v>2703</v>
      </c>
      <c r="J307" s="1" t="s">
        <v>2704</v>
      </c>
      <c r="K307" s="1"/>
      <c r="L307" s="1" t="s">
        <v>2178</v>
      </c>
      <c r="M307" s="1" t="s">
        <v>2705</v>
      </c>
      <c r="N307" s="1" t="s">
        <v>2706</v>
      </c>
      <c r="O307" s="1" t="s">
        <v>2707</v>
      </c>
      <c r="P307" s="1" t="s">
        <v>2182</v>
      </c>
      <c r="Q307" s="1"/>
      <c r="R307" s="1"/>
      <c r="S307" s="1" t="s">
        <v>2072</v>
      </c>
      <c r="T307" s="1" t="s">
        <v>2489</v>
      </c>
      <c r="U307" s="4">
        <v>2700000</v>
      </c>
      <c r="V307" s="4">
        <v>1316</v>
      </c>
      <c r="W307" s="4">
        <v>13</v>
      </c>
      <c r="X307" s="4">
        <v>171</v>
      </c>
      <c r="Y307" s="4">
        <v>0</v>
      </c>
      <c r="Z307" s="5">
        <v>1500</v>
      </c>
      <c r="AA307" s="5">
        <v>0</v>
      </c>
      <c r="AB307" s="6">
        <v>0</v>
      </c>
      <c r="AC307" s="4">
        <v>1500</v>
      </c>
      <c r="AD307" s="4">
        <v>0</v>
      </c>
      <c r="AE307" s="4">
        <v>1500</v>
      </c>
      <c r="AF307" s="1"/>
      <c r="AG307" s="1"/>
      <c r="AH307" s="1"/>
      <c r="AI307" s="1" t="s">
        <v>2427</v>
      </c>
      <c r="AJ307" s="6">
        <v>572.24</v>
      </c>
      <c r="AK307" s="6">
        <v>507.1400000000001</v>
      </c>
      <c r="AL307" s="1"/>
    </row>
    <row r="308" spans="1:38" hidden="1" x14ac:dyDescent="0.25">
      <c r="A308" s="2">
        <v>438</v>
      </c>
      <c r="B308" s="1" t="s">
        <v>385</v>
      </c>
      <c r="C308" s="1" t="s">
        <v>391</v>
      </c>
      <c r="D308" s="1" t="s">
        <v>2062</v>
      </c>
      <c r="E308" s="1" t="s">
        <v>2063</v>
      </c>
      <c r="F308" s="3">
        <v>45287</v>
      </c>
      <c r="G308" s="3">
        <v>45103</v>
      </c>
      <c r="H308" s="3">
        <v>45468</v>
      </c>
      <c r="I308" s="1" t="s">
        <v>2703</v>
      </c>
      <c r="J308" s="1" t="s">
        <v>2704</v>
      </c>
      <c r="K308" s="1"/>
      <c r="L308" s="1" t="s">
        <v>2178</v>
      </c>
      <c r="M308" s="1" t="s">
        <v>2705</v>
      </c>
      <c r="N308" s="1" t="s">
        <v>2706</v>
      </c>
      <c r="O308" s="1" t="s">
        <v>2707</v>
      </c>
      <c r="P308" s="1" t="s">
        <v>2182</v>
      </c>
      <c r="Q308" s="1"/>
      <c r="R308" s="1"/>
      <c r="S308" s="1" t="s">
        <v>2072</v>
      </c>
      <c r="T308" s="1" t="s">
        <v>2489</v>
      </c>
      <c r="U308" s="4">
        <v>2700000</v>
      </c>
      <c r="V308" s="4">
        <v>933</v>
      </c>
      <c r="W308" s="4">
        <v>9</v>
      </c>
      <c r="X308" s="4">
        <v>121</v>
      </c>
      <c r="Y308" s="4">
        <v>0</v>
      </c>
      <c r="Z308" s="5">
        <v>1063</v>
      </c>
      <c r="AA308" s="5">
        <v>0</v>
      </c>
      <c r="AB308" s="6">
        <v>0</v>
      </c>
      <c r="AC308" s="4">
        <v>1063</v>
      </c>
      <c r="AD308" s="4">
        <v>0</v>
      </c>
      <c r="AE308" s="4">
        <v>1063</v>
      </c>
      <c r="AF308" s="1"/>
      <c r="AG308" s="1"/>
      <c r="AH308" s="1"/>
      <c r="AI308" s="1" t="s">
        <v>2427</v>
      </c>
      <c r="AJ308" s="6">
        <v>426.12</v>
      </c>
      <c r="AK308" s="6">
        <v>359.54</v>
      </c>
      <c r="AL308" s="1"/>
    </row>
    <row r="309" spans="1:38" hidden="1" x14ac:dyDescent="0.25">
      <c r="A309" s="2">
        <v>439</v>
      </c>
      <c r="B309" s="1" t="s">
        <v>385</v>
      </c>
      <c r="C309" s="1" t="s">
        <v>392</v>
      </c>
      <c r="D309" s="1" t="s">
        <v>2062</v>
      </c>
      <c r="E309" s="1" t="s">
        <v>2063</v>
      </c>
      <c r="F309" s="3">
        <v>45317</v>
      </c>
      <c r="G309" s="3">
        <v>45103</v>
      </c>
      <c r="H309" s="3">
        <v>45468</v>
      </c>
      <c r="I309" s="1" t="s">
        <v>2703</v>
      </c>
      <c r="J309" s="1" t="s">
        <v>2704</v>
      </c>
      <c r="K309" s="1"/>
      <c r="L309" s="1" t="s">
        <v>2178</v>
      </c>
      <c r="M309" s="1" t="s">
        <v>2705</v>
      </c>
      <c r="N309" s="1" t="s">
        <v>2706</v>
      </c>
      <c r="O309" s="1" t="s">
        <v>2707</v>
      </c>
      <c r="P309" s="1" t="s">
        <v>2182</v>
      </c>
      <c r="Q309" s="1"/>
      <c r="R309" s="1"/>
      <c r="S309" s="1" t="s">
        <v>2072</v>
      </c>
      <c r="T309" s="1" t="s">
        <v>2489</v>
      </c>
      <c r="U309" s="4">
        <v>2700000</v>
      </c>
      <c r="V309" s="4">
        <v>1490</v>
      </c>
      <c r="W309" s="4">
        <v>15</v>
      </c>
      <c r="X309" s="4">
        <v>195</v>
      </c>
      <c r="Y309" s="4">
        <v>0</v>
      </c>
      <c r="Z309" s="5">
        <v>1700</v>
      </c>
      <c r="AA309" s="5">
        <v>0</v>
      </c>
      <c r="AB309" s="6">
        <v>0</v>
      </c>
      <c r="AC309" s="4">
        <v>1700</v>
      </c>
      <c r="AD309" s="4">
        <v>0</v>
      </c>
      <c r="AE309" s="4">
        <v>1700</v>
      </c>
      <c r="AF309" s="1"/>
      <c r="AG309" s="1"/>
      <c r="AH309" s="1"/>
      <c r="AI309" s="1" t="s">
        <v>2427</v>
      </c>
      <c r="AJ309" s="6">
        <v>810.80000000000121</v>
      </c>
      <c r="AK309" s="6">
        <v>575.33000000000004</v>
      </c>
      <c r="AL309" s="1"/>
    </row>
    <row r="310" spans="1:38" hidden="1" x14ac:dyDescent="0.25">
      <c r="A310" s="2">
        <v>440</v>
      </c>
      <c r="B310" s="1" t="s">
        <v>385</v>
      </c>
      <c r="C310" s="1" t="s">
        <v>393</v>
      </c>
      <c r="D310" s="1" t="s">
        <v>2062</v>
      </c>
      <c r="E310" s="1" t="s">
        <v>2063</v>
      </c>
      <c r="F310" s="3">
        <v>45349</v>
      </c>
      <c r="G310" s="3">
        <v>45103</v>
      </c>
      <c r="H310" s="3">
        <v>45468</v>
      </c>
      <c r="I310" s="1" t="s">
        <v>2703</v>
      </c>
      <c r="J310" s="1" t="s">
        <v>2704</v>
      </c>
      <c r="K310" s="1"/>
      <c r="L310" s="1" t="s">
        <v>2178</v>
      </c>
      <c r="M310" s="1" t="s">
        <v>2705</v>
      </c>
      <c r="N310" s="1" t="s">
        <v>2706</v>
      </c>
      <c r="O310" s="1" t="s">
        <v>2707</v>
      </c>
      <c r="P310" s="1" t="s">
        <v>2182</v>
      </c>
      <c r="Q310" s="1"/>
      <c r="R310" s="1"/>
      <c r="S310" s="1" t="s">
        <v>2072</v>
      </c>
      <c r="T310" s="1" t="s">
        <v>2489</v>
      </c>
      <c r="U310" s="4">
        <v>2700000</v>
      </c>
      <c r="V310" s="4">
        <v>979</v>
      </c>
      <c r="W310" s="4">
        <v>10</v>
      </c>
      <c r="X310" s="4">
        <v>127</v>
      </c>
      <c r="Y310" s="4">
        <v>0</v>
      </c>
      <c r="Z310" s="5">
        <v>1116</v>
      </c>
      <c r="AA310" s="5">
        <v>0</v>
      </c>
      <c r="AB310" s="6">
        <v>0</v>
      </c>
      <c r="AC310" s="4">
        <v>1116</v>
      </c>
      <c r="AD310" s="4">
        <v>0</v>
      </c>
      <c r="AE310" s="4">
        <v>1116</v>
      </c>
      <c r="AF310" s="1"/>
      <c r="AG310" s="1"/>
      <c r="AH310" s="1"/>
      <c r="AI310" s="1" t="s">
        <v>2427</v>
      </c>
      <c r="AJ310" s="6">
        <v>398.44</v>
      </c>
      <c r="AK310" s="6">
        <v>378.24000000000007</v>
      </c>
      <c r="AL310" s="1"/>
    </row>
    <row r="311" spans="1:38" hidden="1" x14ac:dyDescent="0.25">
      <c r="A311" s="2">
        <v>441</v>
      </c>
      <c r="B311" s="1" t="s">
        <v>385</v>
      </c>
      <c r="C311" s="1" t="s">
        <v>394</v>
      </c>
      <c r="D311" s="1" t="s">
        <v>2062</v>
      </c>
      <c r="E311" s="1" t="s">
        <v>2063</v>
      </c>
      <c r="F311" s="3">
        <v>45377</v>
      </c>
      <c r="G311" s="3">
        <v>45103</v>
      </c>
      <c r="H311" s="3">
        <v>45468</v>
      </c>
      <c r="I311" s="1" t="s">
        <v>2703</v>
      </c>
      <c r="J311" s="1" t="s">
        <v>2704</v>
      </c>
      <c r="K311" s="1"/>
      <c r="L311" s="1" t="s">
        <v>2178</v>
      </c>
      <c r="M311" s="1" t="s">
        <v>2705</v>
      </c>
      <c r="N311" s="1" t="s">
        <v>2706</v>
      </c>
      <c r="O311" s="1" t="s">
        <v>2707</v>
      </c>
      <c r="P311" s="1" t="s">
        <v>2182</v>
      </c>
      <c r="Q311" s="1"/>
      <c r="R311" s="1"/>
      <c r="S311" s="1" t="s">
        <v>2072</v>
      </c>
      <c r="T311" s="1" t="s">
        <v>2489</v>
      </c>
      <c r="U311" s="4">
        <v>2700000</v>
      </c>
      <c r="V311" s="4">
        <v>1379</v>
      </c>
      <c r="W311" s="4">
        <v>14</v>
      </c>
      <c r="X311" s="4">
        <v>179</v>
      </c>
      <c r="Y311" s="4">
        <v>0</v>
      </c>
      <c r="Z311" s="5">
        <v>1572</v>
      </c>
      <c r="AA311" s="5">
        <v>0</v>
      </c>
      <c r="AB311" s="6">
        <v>0</v>
      </c>
      <c r="AC311" s="4">
        <v>1572</v>
      </c>
      <c r="AD311" s="4">
        <v>0</v>
      </c>
      <c r="AE311" s="4">
        <v>1572</v>
      </c>
      <c r="AF311" s="1"/>
      <c r="AG311" s="1"/>
      <c r="AH311" s="1"/>
      <c r="AI311" s="1" t="s">
        <v>2427</v>
      </c>
      <c r="AJ311" s="6">
        <v>596.63</v>
      </c>
      <c r="AK311" s="6">
        <v>532.29</v>
      </c>
      <c r="AL311" s="1"/>
    </row>
    <row r="312" spans="1:38" hidden="1" x14ac:dyDescent="0.25">
      <c r="A312" s="2">
        <v>442</v>
      </c>
      <c r="B312" s="1" t="s">
        <v>385</v>
      </c>
      <c r="C312" s="1" t="s">
        <v>395</v>
      </c>
      <c r="D312" s="1" t="s">
        <v>2062</v>
      </c>
      <c r="E312" s="1" t="s">
        <v>2063</v>
      </c>
      <c r="F312" s="3">
        <v>45409</v>
      </c>
      <c r="G312" s="3">
        <v>45103</v>
      </c>
      <c r="H312" s="3">
        <v>45468</v>
      </c>
      <c r="I312" s="1" t="s">
        <v>2703</v>
      </c>
      <c r="J312" s="1" t="s">
        <v>2704</v>
      </c>
      <c r="K312" s="1"/>
      <c r="L312" s="1" t="s">
        <v>2178</v>
      </c>
      <c r="M312" s="1" t="s">
        <v>2705</v>
      </c>
      <c r="N312" s="1" t="s">
        <v>2706</v>
      </c>
      <c r="O312" s="1" t="s">
        <v>2707</v>
      </c>
      <c r="P312" s="1" t="s">
        <v>2182</v>
      </c>
      <c r="Q312" s="1"/>
      <c r="R312" s="1"/>
      <c r="S312" s="1" t="s">
        <v>2072</v>
      </c>
      <c r="T312" s="1" t="s">
        <v>2489</v>
      </c>
      <c r="U312" s="4">
        <v>2700000</v>
      </c>
      <c r="V312" s="4">
        <v>2564</v>
      </c>
      <c r="W312" s="4">
        <v>26</v>
      </c>
      <c r="X312" s="4">
        <v>334</v>
      </c>
      <c r="Y312" s="4">
        <v>0</v>
      </c>
      <c r="Z312" s="5">
        <v>2924</v>
      </c>
      <c r="AA312" s="5">
        <v>0</v>
      </c>
      <c r="AB312" s="6">
        <v>0</v>
      </c>
      <c r="AC312" s="4">
        <v>2924</v>
      </c>
      <c r="AD312" s="4">
        <v>0</v>
      </c>
      <c r="AE312" s="4">
        <v>2924</v>
      </c>
      <c r="AF312" s="1"/>
      <c r="AG312" s="1"/>
      <c r="AH312" s="1"/>
      <c r="AI312" s="1" t="s">
        <v>2427</v>
      </c>
      <c r="AJ312" s="6">
        <v>1862.51</v>
      </c>
      <c r="AK312" s="6">
        <v>989.33</v>
      </c>
      <c r="AL312" s="1"/>
    </row>
    <row r="313" spans="1:38" hidden="1" x14ac:dyDescent="0.25">
      <c r="A313" s="2">
        <v>443</v>
      </c>
      <c r="B313" s="1" t="s">
        <v>385</v>
      </c>
      <c r="C313" s="1" t="s">
        <v>396</v>
      </c>
      <c r="D313" s="1" t="s">
        <v>2062</v>
      </c>
      <c r="E313" s="1" t="s">
        <v>2063</v>
      </c>
      <c r="F313" s="3">
        <v>45439</v>
      </c>
      <c r="G313" s="3">
        <v>45103</v>
      </c>
      <c r="H313" s="3">
        <v>45468</v>
      </c>
      <c r="I313" s="1" t="s">
        <v>2703</v>
      </c>
      <c r="J313" s="1" t="s">
        <v>2704</v>
      </c>
      <c r="K313" s="1"/>
      <c r="L313" s="1" t="s">
        <v>2178</v>
      </c>
      <c r="M313" s="1" t="s">
        <v>2705</v>
      </c>
      <c r="N313" s="1" t="s">
        <v>2706</v>
      </c>
      <c r="O313" s="1" t="s">
        <v>2707</v>
      </c>
      <c r="P313" s="1" t="s">
        <v>2182</v>
      </c>
      <c r="Q313" s="1"/>
      <c r="R313" s="1"/>
      <c r="S313" s="1" t="s">
        <v>2072</v>
      </c>
      <c r="T313" s="1" t="s">
        <v>2489</v>
      </c>
      <c r="U313" s="4">
        <v>2700000</v>
      </c>
      <c r="V313" s="4">
        <v>2346</v>
      </c>
      <c r="W313" s="4">
        <v>23</v>
      </c>
      <c r="X313" s="4">
        <v>304</v>
      </c>
      <c r="Y313" s="4">
        <v>0</v>
      </c>
      <c r="Z313" s="5">
        <v>2673</v>
      </c>
      <c r="AA313" s="5">
        <v>0</v>
      </c>
      <c r="AB313" s="6">
        <v>0</v>
      </c>
      <c r="AC313" s="4">
        <v>2673</v>
      </c>
      <c r="AD313" s="4">
        <v>0</v>
      </c>
      <c r="AE313" s="4">
        <v>2673</v>
      </c>
      <c r="AF313" s="1"/>
      <c r="AG313" s="1"/>
      <c r="AH313" s="1"/>
      <c r="AI313" s="1" t="s">
        <v>2427</v>
      </c>
      <c r="AJ313" s="6">
        <v>1142.93</v>
      </c>
      <c r="AK313" s="6">
        <v>903.67</v>
      </c>
      <c r="AL313" s="1"/>
    </row>
    <row r="314" spans="1:38" hidden="1" x14ac:dyDescent="0.25">
      <c r="A314" s="2">
        <v>444</v>
      </c>
      <c r="B314" s="1" t="s">
        <v>385</v>
      </c>
      <c r="C314" s="1" t="s">
        <v>397</v>
      </c>
      <c r="D314" s="1" t="s">
        <v>2062</v>
      </c>
      <c r="E314" s="1" t="s">
        <v>2063</v>
      </c>
      <c r="F314" s="3">
        <v>45469</v>
      </c>
      <c r="G314" s="3">
        <v>45103</v>
      </c>
      <c r="H314" s="3">
        <v>45468</v>
      </c>
      <c r="I314" s="1" t="s">
        <v>2703</v>
      </c>
      <c r="J314" s="1" t="s">
        <v>2704</v>
      </c>
      <c r="K314" s="1"/>
      <c r="L314" s="1" t="s">
        <v>2178</v>
      </c>
      <c r="M314" s="1" t="s">
        <v>2705</v>
      </c>
      <c r="N314" s="1" t="s">
        <v>2706</v>
      </c>
      <c r="O314" s="1" t="s">
        <v>2707</v>
      </c>
      <c r="P314" s="1" t="s">
        <v>2182</v>
      </c>
      <c r="Q314" s="1"/>
      <c r="R314" s="1"/>
      <c r="S314" s="1" t="s">
        <v>2072</v>
      </c>
      <c r="T314" s="1" t="s">
        <v>2489</v>
      </c>
      <c r="U314" s="4">
        <v>2700000</v>
      </c>
      <c r="V314" s="4">
        <v>2371</v>
      </c>
      <c r="W314" s="4">
        <v>23</v>
      </c>
      <c r="X314" s="4">
        <v>308</v>
      </c>
      <c r="Y314" s="4">
        <v>0</v>
      </c>
      <c r="Z314" s="5">
        <v>2702</v>
      </c>
      <c r="AA314" s="5">
        <v>0</v>
      </c>
      <c r="AB314" s="6">
        <v>0</v>
      </c>
      <c r="AC314" s="4">
        <v>2702</v>
      </c>
      <c r="AD314" s="4">
        <v>0</v>
      </c>
      <c r="AE314" s="4">
        <v>2702</v>
      </c>
      <c r="AF314" s="1"/>
      <c r="AG314" s="1"/>
      <c r="AH314" s="1"/>
      <c r="AI314" s="1" t="s">
        <v>2427</v>
      </c>
      <c r="AJ314" s="6">
        <v>1117.6100000000001</v>
      </c>
      <c r="AK314" s="6">
        <v>913.91</v>
      </c>
      <c r="AL314" s="1"/>
    </row>
    <row r="315" spans="1:38" hidden="1" x14ac:dyDescent="0.25">
      <c r="A315" s="2">
        <v>445</v>
      </c>
      <c r="B315" s="1" t="s">
        <v>385</v>
      </c>
      <c r="C315" s="1" t="s">
        <v>398</v>
      </c>
      <c r="D315" s="1" t="s">
        <v>2062</v>
      </c>
      <c r="E315" s="1" t="s">
        <v>2063</v>
      </c>
      <c r="F315" s="3">
        <v>45596</v>
      </c>
      <c r="G315" s="3">
        <v>45103</v>
      </c>
      <c r="H315" s="3">
        <v>45468</v>
      </c>
      <c r="I315" s="1" t="s">
        <v>2703</v>
      </c>
      <c r="J315" s="1" t="s">
        <v>2704</v>
      </c>
      <c r="K315" s="1"/>
      <c r="L315" s="1" t="s">
        <v>2178</v>
      </c>
      <c r="M315" s="1" t="s">
        <v>2705</v>
      </c>
      <c r="N315" s="1" t="s">
        <v>2706</v>
      </c>
      <c r="O315" s="1" t="s">
        <v>2707</v>
      </c>
      <c r="P315" s="1" t="s">
        <v>2182</v>
      </c>
      <c r="Q315" s="1"/>
      <c r="R315" s="1"/>
      <c r="S315" s="1" t="s">
        <v>2072</v>
      </c>
      <c r="T315" s="1" t="s">
        <v>2489</v>
      </c>
      <c r="U315" s="4">
        <v>-1</v>
      </c>
      <c r="V315" s="4">
        <v>-22261</v>
      </c>
      <c r="W315" s="4">
        <v>-223</v>
      </c>
      <c r="X315" s="4">
        <v>0</v>
      </c>
      <c r="Y315" s="4">
        <v>0</v>
      </c>
      <c r="Z315" s="5">
        <v>-22484</v>
      </c>
      <c r="AA315" s="5">
        <v>0</v>
      </c>
      <c r="AB315" s="6">
        <v>0</v>
      </c>
      <c r="AC315" s="4">
        <v>-22484</v>
      </c>
      <c r="AD315" s="4">
        <v>0</v>
      </c>
      <c r="AE315" s="4">
        <v>-22484</v>
      </c>
      <c r="AF315" s="1"/>
      <c r="AG315" s="1"/>
      <c r="AH315" s="1"/>
      <c r="AI315" s="1" t="s">
        <v>2427</v>
      </c>
      <c r="AJ315" s="1"/>
      <c r="AK315" s="1"/>
      <c r="AL315" s="1"/>
    </row>
    <row r="316" spans="1:38" hidden="1" x14ac:dyDescent="0.25">
      <c r="A316" s="2">
        <v>446</v>
      </c>
      <c r="B316" s="1" t="s">
        <v>2020</v>
      </c>
      <c r="C316" s="1" t="s">
        <v>2021</v>
      </c>
      <c r="D316" s="1" t="s">
        <v>2062</v>
      </c>
      <c r="E316" s="1" t="s">
        <v>2063</v>
      </c>
      <c r="F316" s="3">
        <v>45412</v>
      </c>
      <c r="G316" s="3">
        <v>45107</v>
      </c>
      <c r="H316" s="3">
        <v>45472</v>
      </c>
      <c r="I316" s="1" t="s">
        <v>2708</v>
      </c>
      <c r="J316" s="1" t="s">
        <v>2709</v>
      </c>
      <c r="K316" s="1"/>
      <c r="L316" s="1" t="s">
        <v>2178</v>
      </c>
      <c r="M316" s="1" t="s">
        <v>2710</v>
      </c>
      <c r="N316" s="1" t="s">
        <v>2711</v>
      </c>
      <c r="O316" s="1" t="s">
        <v>2712</v>
      </c>
      <c r="P316" s="1" t="s">
        <v>2095</v>
      </c>
      <c r="Q316" s="1"/>
      <c r="R316" s="1"/>
      <c r="S316" s="1" t="s">
        <v>2072</v>
      </c>
      <c r="T316" s="1" t="s">
        <v>2073</v>
      </c>
      <c r="U316" s="4">
        <v>1900000</v>
      </c>
      <c r="V316" s="4">
        <v>1990</v>
      </c>
      <c r="W316" s="4">
        <v>20</v>
      </c>
      <c r="X316" s="4">
        <v>318</v>
      </c>
      <c r="Y316" s="4">
        <v>0</v>
      </c>
      <c r="Z316" s="5">
        <v>2328</v>
      </c>
      <c r="AA316" s="5">
        <v>0</v>
      </c>
      <c r="AB316" s="6">
        <v>0</v>
      </c>
      <c r="AC316" s="4">
        <v>2328</v>
      </c>
      <c r="AD316" s="4">
        <v>0</v>
      </c>
      <c r="AE316" s="4">
        <v>2328</v>
      </c>
      <c r="AF316" s="1"/>
      <c r="AG316" s="1"/>
      <c r="AH316" s="1"/>
      <c r="AI316" s="1" t="s">
        <v>2380</v>
      </c>
      <c r="AJ316" s="6">
        <v>1236.420000000003</v>
      </c>
      <c r="AK316" s="6">
        <v>894.42</v>
      </c>
      <c r="AL316" s="1"/>
    </row>
    <row r="317" spans="1:38" hidden="1" x14ac:dyDescent="0.25">
      <c r="A317" s="2">
        <v>447</v>
      </c>
      <c r="B317" s="1" t="s">
        <v>2020</v>
      </c>
      <c r="C317" s="1" t="s">
        <v>2022</v>
      </c>
      <c r="D317" s="1" t="s">
        <v>2062</v>
      </c>
      <c r="E317" s="1" t="s">
        <v>2063</v>
      </c>
      <c r="F317" s="3">
        <v>45443</v>
      </c>
      <c r="G317" s="3">
        <v>45107</v>
      </c>
      <c r="H317" s="3">
        <v>45472</v>
      </c>
      <c r="I317" s="1" t="s">
        <v>2708</v>
      </c>
      <c r="J317" s="1" t="s">
        <v>2709</v>
      </c>
      <c r="K317" s="1"/>
      <c r="L317" s="1" t="s">
        <v>2178</v>
      </c>
      <c r="M317" s="1" t="s">
        <v>2710</v>
      </c>
      <c r="N317" s="1" t="s">
        <v>2711</v>
      </c>
      <c r="O317" s="1" t="s">
        <v>2712</v>
      </c>
      <c r="P317" s="1" t="s">
        <v>2095</v>
      </c>
      <c r="Q317" s="1"/>
      <c r="R317" s="1"/>
      <c r="S317" s="1" t="s">
        <v>2072</v>
      </c>
      <c r="T317" s="1" t="s">
        <v>2073</v>
      </c>
      <c r="U317" s="4">
        <v>1900000</v>
      </c>
      <c r="V317" s="4">
        <v>2213</v>
      </c>
      <c r="W317" s="4">
        <v>22</v>
      </c>
      <c r="X317" s="4">
        <v>354</v>
      </c>
      <c r="Y317" s="4">
        <v>0</v>
      </c>
      <c r="Z317" s="5">
        <v>2589</v>
      </c>
      <c r="AA317" s="5">
        <v>0</v>
      </c>
      <c r="AB317" s="6">
        <v>0</v>
      </c>
      <c r="AC317" s="4">
        <v>2589</v>
      </c>
      <c r="AD317" s="4">
        <v>0</v>
      </c>
      <c r="AE317" s="4">
        <v>2589</v>
      </c>
      <c r="AF317" s="1"/>
      <c r="AG317" s="1"/>
      <c r="AH317" s="1"/>
      <c r="AI317" s="1" t="s">
        <v>2380</v>
      </c>
      <c r="AJ317" s="6">
        <v>1033.29</v>
      </c>
      <c r="AK317" s="6">
        <v>994.51</v>
      </c>
      <c r="AL317" s="1"/>
    </row>
    <row r="318" spans="1:38" hidden="1" x14ac:dyDescent="0.25">
      <c r="A318" s="2">
        <v>448</v>
      </c>
      <c r="B318" s="1" t="s">
        <v>2020</v>
      </c>
      <c r="C318" s="1" t="s">
        <v>2023</v>
      </c>
      <c r="D318" s="1" t="s">
        <v>2062</v>
      </c>
      <c r="E318" s="1" t="s">
        <v>2063</v>
      </c>
      <c r="F318" s="3">
        <v>45474</v>
      </c>
      <c r="G318" s="3">
        <v>45107</v>
      </c>
      <c r="H318" s="3">
        <v>45472</v>
      </c>
      <c r="I318" s="1" t="s">
        <v>2708</v>
      </c>
      <c r="J318" s="1" t="s">
        <v>2709</v>
      </c>
      <c r="K318" s="1"/>
      <c r="L318" s="1" t="s">
        <v>2178</v>
      </c>
      <c r="M318" s="1" t="s">
        <v>2710</v>
      </c>
      <c r="N318" s="1" t="s">
        <v>2711</v>
      </c>
      <c r="O318" s="1" t="s">
        <v>2712</v>
      </c>
      <c r="P318" s="1" t="s">
        <v>2095</v>
      </c>
      <c r="Q318" s="1"/>
      <c r="R318" s="1"/>
      <c r="S318" s="1" t="s">
        <v>2072</v>
      </c>
      <c r="T318" s="1" t="s">
        <v>2073</v>
      </c>
      <c r="U318" s="4">
        <v>1900000</v>
      </c>
      <c r="V318" s="4">
        <v>1925</v>
      </c>
      <c r="W318" s="4">
        <v>20</v>
      </c>
      <c r="X318" s="4">
        <v>309</v>
      </c>
      <c r="Y318" s="4">
        <v>0</v>
      </c>
      <c r="Z318" s="5">
        <v>2254</v>
      </c>
      <c r="AA318" s="5">
        <v>0</v>
      </c>
      <c r="AB318" s="6">
        <v>0</v>
      </c>
      <c r="AC318" s="4">
        <v>2254</v>
      </c>
      <c r="AD318" s="4">
        <v>0</v>
      </c>
      <c r="AE318" s="4">
        <v>2254</v>
      </c>
      <c r="AF318" s="1"/>
      <c r="AG318" s="1"/>
      <c r="AH318" s="1"/>
      <c r="AI318" s="1" t="s">
        <v>2380</v>
      </c>
      <c r="AJ318" s="6">
        <v>1118.68</v>
      </c>
      <c r="AK318" s="6">
        <v>866.4</v>
      </c>
      <c r="AL318" s="1"/>
    </row>
    <row r="319" spans="1:38" hidden="1" x14ac:dyDescent="0.25">
      <c r="A319" s="2">
        <v>449</v>
      </c>
      <c r="B319" s="1" t="s">
        <v>2020</v>
      </c>
      <c r="C319" s="1" t="s">
        <v>2024</v>
      </c>
      <c r="D319" s="1" t="s">
        <v>2062</v>
      </c>
      <c r="E319" s="1" t="s">
        <v>2063</v>
      </c>
      <c r="F319" s="3">
        <v>45596</v>
      </c>
      <c r="G319" s="3">
        <v>45107</v>
      </c>
      <c r="H319" s="3">
        <v>45472</v>
      </c>
      <c r="I319" s="1" t="s">
        <v>2708</v>
      </c>
      <c r="J319" s="1" t="s">
        <v>2709</v>
      </c>
      <c r="K319" s="1"/>
      <c r="L319" s="1" t="s">
        <v>2178</v>
      </c>
      <c r="M319" s="1" t="s">
        <v>2710</v>
      </c>
      <c r="N319" s="1" t="s">
        <v>2711</v>
      </c>
      <c r="O319" s="1" t="s">
        <v>2712</v>
      </c>
      <c r="P319" s="1" t="s">
        <v>2095</v>
      </c>
      <c r="Q319" s="1"/>
      <c r="R319" s="1"/>
      <c r="S319" s="1" t="s">
        <v>2072</v>
      </c>
      <c r="T319" s="1" t="s">
        <v>2073</v>
      </c>
      <c r="U319" s="4">
        <v>-1</v>
      </c>
      <c r="V319" s="4">
        <v>-7100</v>
      </c>
      <c r="W319" s="4">
        <v>-71</v>
      </c>
      <c r="X319" s="4">
        <v>0</v>
      </c>
      <c r="Y319" s="4">
        <v>0</v>
      </c>
      <c r="Z319" s="5">
        <v>-7171</v>
      </c>
      <c r="AA319" s="5">
        <v>0</v>
      </c>
      <c r="AB319" s="6">
        <v>0</v>
      </c>
      <c r="AC319" s="4">
        <v>-7171</v>
      </c>
      <c r="AD319" s="4">
        <v>0</v>
      </c>
      <c r="AE319" s="4">
        <v>-7171</v>
      </c>
      <c r="AF319" s="1"/>
      <c r="AG319" s="1"/>
      <c r="AH319" s="1"/>
      <c r="AI319" s="1" t="s">
        <v>2380</v>
      </c>
      <c r="AJ319" s="1"/>
      <c r="AK319" s="1"/>
      <c r="AL319" s="1"/>
    </row>
    <row r="320" spans="1:38" hidden="1" x14ac:dyDescent="0.25">
      <c r="A320" s="2">
        <v>450</v>
      </c>
      <c r="B320" s="1" t="s">
        <v>399</v>
      </c>
      <c r="C320" s="1" t="s">
        <v>400</v>
      </c>
      <c r="D320" s="1" t="s">
        <v>2062</v>
      </c>
      <c r="E320" s="1" t="s">
        <v>2063</v>
      </c>
      <c r="F320" s="3">
        <v>45134</v>
      </c>
      <c r="G320" s="3">
        <v>45103</v>
      </c>
      <c r="H320" s="3">
        <v>45468</v>
      </c>
      <c r="I320" s="1" t="s">
        <v>2713</v>
      </c>
      <c r="J320" s="1" t="s">
        <v>2714</v>
      </c>
      <c r="K320" s="1"/>
      <c r="L320" s="1" t="s">
        <v>2221</v>
      </c>
      <c r="M320" s="1" t="s">
        <v>2715</v>
      </c>
      <c r="N320" s="1" t="s">
        <v>2716</v>
      </c>
      <c r="O320" s="1" t="s">
        <v>2717</v>
      </c>
      <c r="P320" s="1" t="s">
        <v>2088</v>
      </c>
      <c r="Q320" s="1"/>
      <c r="R320" s="1"/>
      <c r="S320" s="1" t="s">
        <v>2072</v>
      </c>
      <c r="T320" s="1" t="s">
        <v>2489</v>
      </c>
      <c r="U320" s="4">
        <v>7500000</v>
      </c>
      <c r="V320" s="4">
        <v>1098</v>
      </c>
      <c r="W320" s="4">
        <v>11</v>
      </c>
      <c r="X320" s="4">
        <v>142</v>
      </c>
      <c r="Y320" s="4">
        <v>0</v>
      </c>
      <c r="Z320" s="5">
        <v>1251</v>
      </c>
      <c r="AA320" s="5">
        <v>0</v>
      </c>
      <c r="AB320" s="6">
        <v>0</v>
      </c>
      <c r="AC320" s="4">
        <v>1251</v>
      </c>
      <c r="AD320" s="4">
        <v>0</v>
      </c>
      <c r="AE320" s="4">
        <v>1251</v>
      </c>
      <c r="AF320" s="1"/>
      <c r="AG320" s="1"/>
      <c r="AH320" s="1"/>
      <c r="AI320" s="1" t="s">
        <v>2380</v>
      </c>
      <c r="AJ320" s="6">
        <v>121.74</v>
      </c>
      <c r="AK320" s="6">
        <v>121.74</v>
      </c>
      <c r="AL320" s="1"/>
    </row>
    <row r="321" spans="1:38" hidden="1" x14ac:dyDescent="0.25">
      <c r="A321" s="2">
        <v>451</v>
      </c>
      <c r="B321" s="1" t="s">
        <v>399</v>
      </c>
      <c r="C321" s="1" t="s">
        <v>401</v>
      </c>
      <c r="D321" s="1" t="s">
        <v>2062</v>
      </c>
      <c r="E321" s="1" t="s">
        <v>2063</v>
      </c>
      <c r="F321" s="3">
        <v>45166</v>
      </c>
      <c r="G321" s="3">
        <v>45103</v>
      </c>
      <c r="H321" s="3">
        <v>45468</v>
      </c>
      <c r="I321" s="1" t="s">
        <v>2713</v>
      </c>
      <c r="J321" s="1" t="s">
        <v>2714</v>
      </c>
      <c r="K321" s="1"/>
      <c r="L321" s="1" t="s">
        <v>2221</v>
      </c>
      <c r="M321" s="1" t="s">
        <v>2715</v>
      </c>
      <c r="N321" s="1" t="s">
        <v>2716</v>
      </c>
      <c r="O321" s="1" t="s">
        <v>2717</v>
      </c>
      <c r="P321" s="1" t="s">
        <v>2088</v>
      </c>
      <c r="Q321" s="1"/>
      <c r="R321" s="1"/>
      <c r="S321" s="1" t="s">
        <v>2072</v>
      </c>
      <c r="T321" s="1" t="s">
        <v>2489</v>
      </c>
      <c r="U321" s="4">
        <v>7500000</v>
      </c>
      <c r="V321" s="4">
        <v>2301</v>
      </c>
      <c r="W321" s="4">
        <v>23</v>
      </c>
      <c r="X321" s="4">
        <v>299</v>
      </c>
      <c r="Y321" s="4">
        <v>0</v>
      </c>
      <c r="Z321" s="5">
        <v>2623</v>
      </c>
      <c r="AA321" s="5">
        <v>0</v>
      </c>
      <c r="AB321" s="6">
        <v>0</v>
      </c>
      <c r="AC321" s="4">
        <v>2623</v>
      </c>
      <c r="AD321" s="4">
        <v>0</v>
      </c>
      <c r="AE321" s="4">
        <v>2623</v>
      </c>
      <c r="AF321" s="1"/>
      <c r="AG321" s="1"/>
      <c r="AH321" s="1"/>
      <c r="AI321" s="1" t="s">
        <v>2380</v>
      </c>
      <c r="AJ321" s="6">
        <v>303.80000000000007</v>
      </c>
      <c r="AK321" s="6">
        <v>256.79000000000002</v>
      </c>
      <c r="AL321" s="1"/>
    </row>
    <row r="322" spans="1:38" hidden="1" x14ac:dyDescent="0.25">
      <c r="A322" s="2">
        <v>452</v>
      </c>
      <c r="B322" s="1" t="s">
        <v>399</v>
      </c>
      <c r="C322" s="1" t="s">
        <v>402</v>
      </c>
      <c r="D322" s="1" t="s">
        <v>2062</v>
      </c>
      <c r="E322" s="1" t="s">
        <v>2063</v>
      </c>
      <c r="F322" s="3">
        <v>45195</v>
      </c>
      <c r="G322" s="3">
        <v>45103</v>
      </c>
      <c r="H322" s="3">
        <v>45468</v>
      </c>
      <c r="I322" s="1" t="s">
        <v>2713</v>
      </c>
      <c r="J322" s="1" t="s">
        <v>2714</v>
      </c>
      <c r="K322" s="1"/>
      <c r="L322" s="1" t="s">
        <v>2221</v>
      </c>
      <c r="M322" s="1" t="s">
        <v>2715</v>
      </c>
      <c r="N322" s="1" t="s">
        <v>2716</v>
      </c>
      <c r="O322" s="1" t="s">
        <v>2717</v>
      </c>
      <c r="P322" s="1" t="s">
        <v>2088</v>
      </c>
      <c r="Q322" s="1"/>
      <c r="R322" s="1"/>
      <c r="S322" s="1" t="s">
        <v>2072</v>
      </c>
      <c r="T322" s="1" t="s">
        <v>2489</v>
      </c>
      <c r="U322" s="4">
        <v>7500000</v>
      </c>
      <c r="V322" s="4">
        <v>540</v>
      </c>
      <c r="W322" s="4">
        <v>6</v>
      </c>
      <c r="X322" s="4">
        <v>71</v>
      </c>
      <c r="Y322" s="4">
        <v>0</v>
      </c>
      <c r="Z322" s="5">
        <v>617</v>
      </c>
      <c r="AA322" s="5">
        <v>0</v>
      </c>
      <c r="AB322" s="6">
        <v>0</v>
      </c>
      <c r="AC322" s="4">
        <v>617</v>
      </c>
      <c r="AD322" s="4">
        <v>0</v>
      </c>
      <c r="AE322" s="4">
        <v>617</v>
      </c>
      <c r="AF322" s="1"/>
      <c r="AG322" s="1"/>
      <c r="AH322" s="1"/>
      <c r="AI322" s="1" t="s">
        <v>2380</v>
      </c>
      <c r="AJ322" s="6">
        <v>75.010000000000005</v>
      </c>
      <c r="AK322" s="6">
        <v>75.010000000000005</v>
      </c>
      <c r="AL322" s="1"/>
    </row>
    <row r="323" spans="1:38" hidden="1" x14ac:dyDescent="0.25">
      <c r="A323" s="2">
        <v>453</v>
      </c>
      <c r="B323" s="1" t="s">
        <v>399</v>
      </c>
      <c r="C323" s="1" t="s">
        <v>403</v>
      </c>
      <c r="D323" s="1" t="s">
        <v>2062</v>
      </c>
      <c r="E323" s="1" t="s">
        <v>2063</v>
      </c>
      <c r="F323" s="3">
        <v>45226</v>
      </c>
      <c r="G323" s="3">
        <v>45103</v>
      </c>
      <c r="H323" s="3">
        <v>45468</v>
      </c>
      <c r="I323" s="1" t="s">
        <v>2713</v>
      </c>
      <c r="J323" s="1" t="s">
        <v>2714</v>
      </c>
      <c r="K323" s="1"/>
      <c r="L323" s="1" t="s">
        <v>2221</v>
      </c>
      <c r="M323" s="1" t="s">
        <v>2715</v>
      </c>
      <c r="N323" s="1" t="s">
        <v>2716</v>
      </c>
      <c r="O323" s="1" t="s">
        <v>2717</v>
      </c>
      <c r="P323" s="1" t="s">
        <v>2088</v>
      </c>
      <c r="Q323" s="1"/>
      <c r="R323" s="1"/>
      <c r="S323" s="1" t="s">
        <v>2072</v>
      </c>
      <c r="T323" s="1" t="s">
        <v>2489</v>
      </c>
      <c r="U323" s="4">
        <v>7500000</v>
      </c>
      <c r="V323" s="4">
        <v>539</v>
      </c>
      <c r="W323" s="4">
        <v>5</v>
      </c>
      <c r="X323" s="4">
        <v>70</v>
      </c>
      <c r="Y323" s="4">
        <v>0</v>
      </c>
      <c r="Z323" s="5">
        <v>614</v>
      </c>
      <c r="AA323" s="5">
        <v>0</v>
      </c>
      <c r="AB323" s="6">
        <v>0</v>
      </c>
      <c r="AC323" s="4">
        <v>614</v>
      </c>
      <c r="AD323" s="4">
        <v>0</v>
      </c>
      <c r="AE323" s="4">
        <v>614</v>
      </c>
      <c r="AF323" s="1"/>
      <c r="AG323" s="1"/>
      <c r="AH323" s="1"/>
      <c r="AI323" s="1" t="s">
        <v>2380</v>
      </c>
      <c r="AJ323" s="6">
        <v>74.66</v>
      </c>
      <c r="AK323" s="6">
        <v>74.66</v>
      </c>
      <c r="AL323" s="1"/>
    </row>
    <row r="324" spans="1:38" hidden="1" x14ac:dyDescent="0.25">
      <c r="A324" s="2">
        <v>454</v>
      </c>
      <c r="B324" s="1" t="s">
        <v>399</v>
      </c>
      <c r="C324" s="1" t="s">
        <v>404</v>
      </c>
      <c r="D324" s="1" t="s">
        <v>2062</v>
      </c>
      <c r="E324" s="1" t="s">
        <v>2063</v>
      </c>
      <c r="F324" s="3">
        <v>45258</v>
      </c>
      <c r="G324" s="3">
        <v>45103</v>
      </c>
      <c r="H324" s="3">
        <v>45468</v>
      </c>
      <c r="I324" s="1" t="s">
        <v>2713</v>
      </c>
      <c r="J324" s="1" t="s">
        <v>2714</v>
      </c>
      <c r="K324" s="1"/>
      <c r="L324" s="1" t="s">
        <v>2221</v>
      </c>
      <c r="M324" s="1" t="s">
        <v>2715</v>
      </c>
      <c r="N324" s="1" t="s">
        <v>2716</v>
      </c>
      <c r="O324" s="1" t="s">
        <v>2717</v>
      </c>
      <c r="P324" s="1" t="s">
        <v>2088</v>
      </c>
      <c r="Q324" s="1"/>
      <c r="R324" s="1"/>
      <c r="S324" s="1" t="s">
        <v>2072</v>
      </c>
      <c r="T324" s="1" t="s">
        <v>2489</v>
      </c>
      <c r="U324" s="4">
        <v>7500000</v>
      </c>
      <c r="V324" s="4">
        <v>704</v>
      </c>
      <c r="W324" s="4">
        <v>7</v>
      </c>
      <c r="X324" s="4">
        <v>91</v>
      </c>
      <c r="Y324" s="4">
        <v>0</v>
      </c>
      <c r="Z324" s="5">
        <v>802</v>
      </c>
      <c r="AA324" s="5">
        <v>0</v>
      </c>
      <c r="AB324" s="6">
        <v>0</v>
      </c>
      <c r="AC324" s="4">
        <v>802</v>
      </c>
      <c r="AD324" s="4">
        <v>0</v>
      </c>
      <c r="AE324" s="4">
        <v>802</v>
      </c>
      <c r="AF324" s="1"/>
      <c r="AG324" s="1"/>
      <c r="AH324" s="1"/>
      <c r="AI324" s="1" t="s">
        <v>2380</v>
      </c>
      <c r="AJ324" s="6">
        <v>97.45999999999998</v>
      </c>
      <c r="AK324" s="6">
        <v>97.45999999999998</v>
      </c>
      <c r="AL324" s="1"/>
    </row>
    <row r="325" spans="1:38" hidden="1" x14ac:dyDescent="0.25">
      <c r="A325" s="2">
        <v>455</v>
      </c>
      <c r="B325" s="1" t="s">
        <v>399</v>
      </c>
      <c r="C325" s="1" t="s">
        <v>405</v>
      </c>
      <c r="D325" s="1" t="s">
        <v>2062</v>
      </c>
      <c r="E325" s="1" t="s">
        <v>2063</v>
      </c>
      <c r="F325" s="3">
        <v>45287</v>
      </c>
      <c r="G325" s="3">
        <v>45103</v>
      </c>
      <c r="H325" s="3">
        <v>45468</v>
      </c>
      <c r="I325" s="1" t="s">
        <v>2713</v>
      </c>
      <c r="J325" s="1" t="s">
        <v>2714</v>
      </c>
      <c r="K325" s="1"/>
      <c r="L325" s="1" t="s">
        <v>2221</v>
      </c>
      <c r="M325" s="1" t="s">
        <v>2715</v>
      </c>
      <c r="N325" s="1" t="s">
        <v>2716</v>
      </c>
      <c r="O325" s="1" t="s">
        <v>2717</v>
      </c>
      <c r="P325" s="1" t="s">
        <v>2088</v>
      </c>
      <c r="Q325" s="1"/>
      <c r="R325" s="1"/>
      <c r="S325" s="1" t="s">
        <v>2072</v>
      </c>
      <c r="T325" s="1" t="s">
        <v>2489</v>
      </c>
      <c r="U325" s="4">
        <v>7500000</v>
      </c>
      <c r="V325" s="4">
        <v>647</v>
      </c>
      <c r="W325" s="4">
        <v>7</v>
      </c>
      <c r="X325" s="4">
        <v>84</v>
      </c>
      <c r="Y325" s="4">
        <v>0</v>
      </c>
      <c r="Z325" s="5">
        <v>738</v>
      </c>
      <c r="AA325" s="5">
        <v>0</v>
      </c>
      <c r="AB325" s="6">
        <v>0</v>
      </c>
      <c r="AC325" s="4">
        <v>738</v>
      </c>
      <c r="AD325" s="4">
        <v>0</v>
      </c>
      <c r="AE325" s="4">
        <v>738</v>
      </c>
      <c r="AF325" s="1"/>
      <c r="AG325" s="1"/>
      <c r="AH325" s="1"/>
      <c r="AI325" s="1" t="s">
        <v>2380</v>
      </c>
      <c r="AJ325" s="6">
        <v>89.82</v>
      </c>
      <c r="AK325" s="6">
        <v>89.82</v>
      </c>
      <c r="AL325" s="1"/>
    </row>
    <row r="326" spans="1:38" hidden="1" x14ac:dyDescent="0.25">
      <c r="A326" s="2">
        <v>456</v>
      </c>
      <c r="B326" s="1" t="s">
        <v>399</v>
      </c>
      <c r="C326" s="1" t="s">
        <v>406</v>
      </c>
      <c r="D326" s="1" t="s">
        <v>2062</v>
      </c>
      <c r="E326" s="1" t="s">
        <v>2063</v>
      </c>
      <c r="F326" s="3">
        <v>45596</v>
      </c>
      <c r="G326" s="3">
        <v>45103</v>
      </c>
      <c r="H326" s="3">
        <v>45468</v>
      </c>
      <c r="I326" s="1" t="s">
        <v>2713</v>
      </c>
      <c r="J326" s="1" t="s">
        <v>2714</v>
      </c>
      <c r="K326" s="1"/>
      <c r="L326" s="1" t="s">
        <v>2221</v>
      </c>
      <c r="M326" s="1" t="s">
        <v>2715</v>
      </c>
      <c r="N326" s="1" t="s">
        <v>2716</v>
      </c>
      <c r="O326" s="1" t="s">
        <v>2717</v>
      </c>
      <c r="P326" s="1" t="s">
        <v>2088</v>
      </c>
      <c r="Q326" s="1"/>
      <c r="R326" s="1"/>
      <c r="S326" s="1" t="s">
        <v>2072</v>
      </c>
      <c r="T326" s="1" t="s">
        <v>2489</v>
      </c>
      <c r="U326" s="4">
        <v>-1</v>
      </c>
      <c r="V326" s="4">
        <v>-6579</v>
      </c>
      <c r="W326" s="4">
        <v>-66</v>
      </c>
      <c r="X326" s="4">
        <v>0</v>
      </c>
      <c r="Y326" s="4">
        <v>0</v>
      </c>
      <c r="Z326" s="5">
        <v>-6645</v>
      </c>
      <c r="AA326" s="5">
        <v>0</v>
      </c>
      <c r="AB326" s="6">
        <v>0</v>
      </c>
      <c r="AC326" s="4">
        <v>-6645</v>
      </c>
      <c r="AD326" s="4">
        <v>0</v>
      </c>
      <c r="AE326" s="4">
        <v>-6645</v>
      </c>
      <c r="AF326" s="1"/>
      <c r="AG326" s="1"/>
      <c r="AH326" s="1"/>
      <c r="AI326" s="1" t="s">
        <v>2380</v>
      </c>
      <c r="AJ326" s="1"/>
      <c r="AK326" s="1"/>
      <c r="AL326" s="1"/>
    </row>
    <row r="327" spans="1:38" hidden="1" x14ac:dyDescent="0.25">
      <c r="A327" s="2">
        <v>457</v>
      </c>
      <c r="B327" s="1" t="s">
        <v>407</v>
      </c>
      <c r="C327" s="1" t="s">
        <v>408</v>
      </c>
      <c r="D327" s="1" t="s">
        <v>2062</v>
      </c>
      <c r="E327" s="1" t="s">
        <v>2063</v>
      </c>
      <c r="F327" s="3">
        <v>45138</v>
      </c>
      <c r="G327" s="3">
        <v>45104</v>
      </c>
      <c r="H327" s="3">
        <v>45469</v>
      </c>
      <c r="I327" s="1" t="s">
        <v>2718</v>
      </c>
      <c r="J327" s="1" t="s">
        <v>2719</v>
      </c>
      <c r="K327" s="1"/>
      <c r="L327" s="1" t="s">
        <v>2138</v>
      </c>
      <c r="M327" s="1" t="s">
        <v>2720</v>
      </c>
      <c r="N327" s="1" t="s">
        <v>2721</v>
      </c>
      <c r="O327" s="1" t="s">
        <v>2722</v>
      </c>
      <c r="P327" s="1" t="s">
        <v>2434</v>
      </c>
      <c r="Q327" s="1"/>
      <c r="R327" s="1"/>
      <c r="S327" s="1" t="s">
        <v>2072</v>
      </c>
      <c r="T327" s="1" t="s">
        <v>2073</v>
      </c>
      <c r="U327" s="4">
        <v>1500000</v>
      </c>
      <c r="V327" s="4">
        <v>20900</v>
      </c>
      <c r="W327" s="4">
        <v>209</v>
      </c>
      <c r="X327" s="4">
        <v>2717</v>
      </c>
      <c r="Y327" s="4">
        <v>0</v>
      </c>
      <c r="Z327" s="5">
        <v>23826</v>
      </c>
      <c r="AA327" s="5">
        <v>0</v>
      </c>
      <c r="AB327" s="6">
        <v>0</v>
      </c>
      <c r="AC327" s="4">
        <v>23826</v>
      </c>
      <c r="AD327" s="4">
        <v>0</v>
      </c>
      <c r="AE327" s="4">
        <v>23826</v>
      </c>
      <c r="AF327" s="1"/>
      <c r="AG327" s="1"/>
      <c r="AH327" s="1"/>
      <c r="AI327" s="1" t="s">
        <v>2380</v>
      </c>
      <c r="AJ327" s="1"/>
      <c r="AK327" s="1"/>
      <c r="AL327" s="1" t="s">
        <v>2723</v>
      </c>
    </row>
    <row r="328" spans="1:38" hidden="1" x14ac:dyDescent="0.25">
      <c r="A328" s="2">
        <v>458</v>
      </c>
      <c r="B328" s="1" t="s">
        <v>407</v>
      </c>
      <c r="C328" s="1" t="s">
        <v>409</v>
      </c>
      <c r="D328" s="1" t="s">
        <v>2062</v>
      </c>
      <c r="E328" s="1" t="s">
        <v>2063</v>
      </c>
      <c r="F328" s="3">
        <v>45349</v>
      </c>
      <c r="G328" s="3">
        <v>45104</v>
      </c>
      <c r="H328" s="3">
        <v>45469</v>
      </c>
      <c r="I328" s="1" t="s">
        <v>2718</v>
      </c>
      <c r="J328" s="1" t="s">
        <v>2719</v>
      </c>
      <c r="K328" s="1"/>
      <c r="L328" s="1" t="s">
        <v>2138</v>
      </c>
      <c r="M328" s="1" t="s">
        <v>2720</v>
      </c>
      <c r="N328" s="1" t="s">
        <v>2721</v>
      </c>
      <c r="O328" s="1" t="s">
        <v>2722</v>
      </c>
      <c r="P328" s="1" t="s">
        <v>2434</v>
      </c>
      <c r="Q328" s="1"/>
      <c r="R328" s="1"/>
      <c r="S328" s="1" t="s">
        <v>2072</v>
      </c>
      <c r="T328" s="1" t="s">
        <v>2073</v>
      </c>
      <c r="U328" s="4">
        <v>1500000</v>
      </c>
      <c r="V328" s="4">
        <v>2214</v>
      </c>
      <c r="W328" s="4">
        <v>22</v>
      </c>
      <c r="X328" s="4">
        <v>288</v>
      </c>
      <c r="Y328" s="4">
        <v>0</v>
      </c>
      <c r="Z328" s="5">
        <v>2524</v>
      </c>
      <c r="AA328" s="5">
        <v>0</v>
      </c>
      <c r="AB328" s="6">
        <v>0</v>
      </c>
      <c r="AC328" s="4">
        <v>2524</v>
      </c>
      <c r="AD328" s="4">
        <v>0</v>
      </c>
      <c r="AE328" s="4">
        <v>2524</v>
      </c>
      <c r="AF328" s="1"/>
      <c r="AG328" s="1"/>
      <c r="AH328" s="1"/>
      <c r="AI328" s="1" t="s">
        <v>2380</v>
      </c>
      <c r="AJ328" s="6">
        <v>3409.96</v>
      </c>
      <c r="AK328" s="6">
        <v>1234.26</v>
      </c>
      <c r="AL328" s="1"/>
    </row>
    <row r="329" spans="1:38" hidden="1" x14ac:dyDescent="0.25">
      <c r="A329" s="2">
        <v>459</v>
      </c>
      <c r="B329" s="1" t="s">
        <v>407</v>
      </c>
      <c r="C329" s="1" t="s">
        <v>410</v>
      </c>
      <c r="D329" s="1" t="s">
        <v>2062</v>
      </c>
      <c r="E329" s="1" t="s">
        <v>2063</v>
      </c>
      <c r="F329" s="3">
        <v>45399</v>
      </c>
      <c r="G329" s="3">
        <v>45104</v>
      </c>
      <c r="H329" s="3">
        <v>45469</v>
      </c>
      <c r="I329" s="1" t="s">
        <v>2718</v>
      </c>
      <c r="J329" s="1" t="s">
        <v>2719</v>
      </c>
      <c r="K329" s="1" t="s">
        <v>2168</v>
      </c>
      <c r="L329" s="1" t="s">
        <v>2138</v>
      </c>
      <c r="M329" s="1" t="s">
        <v>2720</v>
      </c>
      <c r="N329" s="1" t="s">
        <v>2721</v>
      </c>
      <c r="O329" s="1" t="s">
        <v>2722</v>
      </c>
      <c r="P329" s="1" t="s">
        <v>2434</v>
      </c>
      <c r="Q329" s="1"/>
      <c r="R329" s="1"/>
      <c r="S329" s="1" t="s">
        <v>2072</v>
      </c>
      <c r="T329" s="1" t="s">
        <v>2073</v>
      </c>
      <c r="U329" s="4">
        <v>1500000</v>
      </c>
      <c r="V329" s="4">
        <v>-2214</v>
      </c>
      <c r="W329" s="4">
        <v>-22</v>
      </c>
      <c r="X329" s="4">
        <v>-288</v>
      </c>
      <c r="Y329" s="4">
        <v>0</v>
      </c>
      <c r="Z329" s="5">
        <v>-2524</v>
      </c>
      <c r="AA329" s="5">
        <v>0</v>
      </c>
      <c r="AB329" s="6">
        <v>0</v>
      </c>
      <c r="AC329" s="4">
        <v>-2524</v>
      </c>
      <c r="AD329" s="4">
        <v>0</v>
      </c>
      <c r="AE329" s="4">
        <v>-2524</v>
      </c>
      <c r="AF329" s="1"/>
      <c r="AG329" s="1"/>
      <c r="AH329" s="1"/>
      <c r="AI329" s="1" t="s">
        <v>2380</v>
      </c>
      <c r="AJ329" s="1"/>
      <c r="AK329" s="1"/>
      <c r="AL329" s="1"/>
    </row>
    <row r="330" spans="1:38" hidden="1" x14ac:dyDescent="0.25">
      <c r="A330" s="2">
        <v>460</v>
      </c>
      <c r="B330" s="1" t="s">
        <v>407</v>
      </c>
      <c r="C330" s="1" t="s">
        <v>411</v>
      </c>
      <c r="D330" s="1" t="s">
        <v>2062</v>
      </c>
      <c r="E330" s="1" t="s">
        <v>2063</v>
      </c>
      <c r="F330" s="3">
        <v>45596</v>
      </c>
      <c r="G330" s="3">
        <v>45104</v>
      </c>
      <c r="H330" s="3">
        <v>45469</v>
      </c>
      <c r="I330" s="1" t="s">
        <v>2718</v>
      </c>
      <c r="J330" s="1" t="s">
        <v>2719</v>
      </c>
      <c r="K330" s="1" t="s">
        <v>2168</v>
      </c>
      <c r="L330" s="1" t="s">
        <v>2138</v>
      </c>
      <c r="M330" s="1" t="s">
        <v>2720</v>
      </c>
      <c r="N330" s="1" t="s">
        <v>2721</v>
      </c>
      <c r="O330" s="1" t="s">
        <v>2722</v>
      </c>
      <c r="P330" s="1" t="s">
        <v>2434</v>
      </c>
      <c r="Q330" s="1"/>
      <c r="R330" s="1"/>
      <c r="S330" s="1" t="s">
        <v>2072</v>
      </c>
      <c r="T330" s="1" t="s">
        <v>2073</v>
      </c>
      <c r="U330" s="4">
        <v>-1</v>
      </c>
      <c r="V330" s="4">
        <v>-23590</v>
      </c>
      <c r="W330" s="4">
        <v>-236</v>
      </c>
      <c r="X330" s="4">
        <v>0</v>
      </c>
      <c r="Y330" s="4">
        <v>0</v>
      </c>
      <c r="Z330" s="5">
        <v>-23826</v>
      </c>
      <c r="AA330" s="5">
        <v>0</v>
      </c>
      <c r="AB330" s="6">
        <v>0</v>
      </c>
      <c r="AC330" s="4">
        <v>-23826</v>
      </c>
      <c r="AD330" s="4">
        <v>0</v>
      </c>
      <c r="AE330" s="4">
        <v>-23826</v>
      </c>
      <c r="AF330" s="1"/>
      <c r="AG330" s="1"/>
      <c r="AH330" s="1"/>
      <c r="AI330" s="1" t="s">
        <v>2380</v>
      </c>
      <c r="AJ330" s="1"/>
      <c r="AK330" s="1"/>
      <c r="AL330" s="1"/>
    </row>
    <row r="331" spans="1:38" hidden="1" x14ac:dyDescent="0.25">
      <c r="A331" s="2">
        <v>461</v>
      </c>
      <c r="B331" s="1" t="s">
        <v>412</v>
      </c>
      <c r="C331" s="1" t="s">
        <v>413</v>
      </c>
      <c r="D331" s="1" t="s">
        <v>2062</v>
      </c>
      <c r="E331" s="1" t="s">
        <v>2063</v>
      </c>
      <c r="F331" s="3">
        <v>45138</v>
      </c>
      <c r="G331" s="3">
        <v>45111</v>
      </c>
      <c r="H331" s="3">
        <v>45476</v>
      </c>
      <c r="I331" s="1" t="s">
        <v>2724</v>
      </c>
      <c r="J331" s="1" t="s">
        <v>2725</v>
      </c>
      <c r="K331" s="1"/>
      <c r="L331" s="1" t="s">
        <v>2376</v>
      </c>
      <c r="M331" s="1" t="s">
        <v>2726</v>
      </c>
      <c r="N331" s="1" t="s">
        <v>2727</v>
      </c>
      <c r="O331" s="1" t="s">
        <v>2728</v>
      </c>
      <c r="P331" s="1" t="s">
        <v>2119</v>
      </c>
      <c r="Q331" s="1"/>
      <c r="R331" s="1"/>
      <c r="S331" s="1" t="s">
        <v>2072</v>
      </c>
      <c r="T331" s="1" t="s">
        <v>2729</v>
      </c>
      <c r="U331" s="4">
        <v>6000000</v>
      </c>
      <c r="V331" s="4">
        <v>100876</v>
      </c>
      <c r="W331" s="4">
        <v>1009</v>
      </c>
      <c r="X331" s="4">
        <v>13115</v>
      </c>
      <c r="Y331" s="4">
        <v>0</v>
      </c>
      <c r="Z331" s="5">
        <v>115000</v>
      </c>
      <c r="AA331" s="5">
        <v>0</v>
      </c>
      <c r="AB331" s="6">
        <v>0</v>
      </c>
      <c r="AC331" s="4">
        <v>115000</v>
      </c>
      <c r="AD331" s="4">
        <v>0</v>
      </c>
      <c r="AE331" s="4">
        <v>115000</v>
      </c>
      <c r="AF331" s="1"/>
      <c r="AG331" s="1"/>
      <c r="AH331" s="1"/>
      <c r="AI331" s="1" t="s">
        <v>2730</v>
      </c>
      <c r="AJ331" s="1"/>
      <c r="AK331" s="1"/>
      <c r="AL331" s="1" t="s">
        <v>2731</v>
      </c>
    </row>
    <row r="332" spans="1:38" hidden="1" x14ac:dyDescent="0.25">
      <c r="A332" s="2">
        <v>462</v>
      </c>
      <c r="B332" s="1" t="s">
        <v>412</v>
      </c>
      <c r="C332" s="1" t="s">
        <v>414</v>
      </c>
      <c r="D332" s="1" t="s">
        <v>2062</v>
      </c>
      <c r="E332" s="1" t="s">
        <v>2063</v>
      </c>
      <c r="F332" s="3">
        <v>45280</v>
      </c>
      <c r="G332" s="3">
        <v>45111</v>
      </c>
      <c r="H332" s="3">
        <v>45476</v>
      </c>
      <c r="I332" s="1" t="s">
        <v>2724</v>
      </c>
      <c r="J332" s="1" t="s">
        <v>2725</v>
      </c>
      <c r="K332" s="1" t="s">
        <v>2168</v>
      </c>
      <c r="L332" s="1" t="s">
        <v>2376</v>
      </c>
      <c r="M332" s="1" t="s">
        <v>2726</v>
      </c>
      <c r="N332" s="1" t="s">
        <v>2727</v>
      </c>
      <c r="O332" s="1" t="s">
        <v>2728</v>
      </c>
      <c r="P332" s="1" t="s">
        <v>2119</v>
      </c>
      <c r="Q332" s="1"/>
      <c r="R332" s="1"/>
      <c r="S332" s="1" t="s">
        <v>2072</v>
      </c>
      <c r="T332" s="1" t="s">
        <v>2729</v>
      </c>
      <c r="U332" s="4">
        <v>6000000</v>
      </c>
      <c r="V332" s="4">
        <v>75857</v>
      </c>
      <c r="W332" s="4">
        <v>758</v>
      </c>
      <c r="X332" s="4">
        <v>9861</v>
      </c>
      <c r="Y332" s="4">
        <v>0</v>
      </c>
      <c r="Z332" s="5">
        <v>86476</v>
      </c>
      <c r="AA332" s="5">
        <v>78781</v>
      </c>
      <c r="AB332" s="6">
        <v>0</v>
      </c>
      <c r="AC332" s="4">
        <v>7695</v>
      </c>
      <c r="AD332" s="4">
        <v>0</v>
      </c>
      <c r="AE332" s="4">
        <v>7695</v>
      </c>
      <c r="AF332" s="1"/>
      <c r="AG332" s="1"/>
      <c r="AH332" s="1"/>
      <c r="AI332" s="1" t="s">
        <v>2730</v>
      </c>
      <c r="AJ332" s="1"/>
      <c r="AK332" s="1"/>
      <c r="AL332" s="1" t="s">
        <v>2731</v>
      </c>
    </row>
    <row r="333" spans="1:38" hidden="1" x14ac:dyDescent="0.25">
      <c r="A333" s="2">
        <v>463</v>
      </c>
      <c r="B333" s="1" t="s">
        <v>412</v>
      </c>
      <c r="C333" s="1" t="s">
        <v>415</v>
      </c>
      <c r="D333" s="1" t="s">
        <v>2062</v>
      </c>
      <c r="E333" s="1" t="s">
        <v>2063</v>
      </c>
      <c r="F333" s="3">
        <v>45293</v>
      </c>
      <c r="G333" s="3">
        <v>45111</v>
      </c>
      <c r="H333" s="3">
        <v>45476</v>
      </c>
      <c r="I333" s="1" t="s">
        <v>2724</v>
      </c>
      <c r="J333" s="1" t="s">
        <v>2725</v>
      </c>
      <c r="K333" s="1" t="s">
        <v>2168</v>
      </c>
      <c r="L333" s="1" t="s">
        <v>2376</v>
      </c>
      <c r="M333" s="1" t="s">
        <v>2726</v>
      </c>
      <c r="N333" s="1" t="s">
        <v>2727</v>
      </c>
      <c r="O333" s="1" t="s">
        <v>2728</v>
      </c>
      <c r="P333" s="1" t="s">
        <v>2119</v>
      </c>
      <c r="Q333" s="1"/>
      <c r="R333" s="1"/>
      <c r="S333" s="1" t="s">
        <v>2072</v>
      </c>
      <c r="T333" s="1" t="s">
        <v>2729</v>
      </c>
      <c r="U333" s="4">
        <v>6000000</v>
      </c>
      <c r="V333" s="4">
        <v>-7619</v>
      </c>
      <c r="W333" s="4">
        <v>-77</v>
      </c>
      <c r="X333" s="4">
        <v>0</v>
      </c>
      <c r="Y333" s="4">
        <v>0</v>
      </c>
      <c r="Z333" s="5">
        <v>-7696</v>
      </c>
      <c r="AA333" s="5">
        <v>0</v>
      </c>
      <c r="AB333" s="6">
        <v>0</v>
      </c>
      <c r="AC333" s="4">
        <v>-7696</v>
      </c>
      <c r="AD333" s="4">
        <v>0</v>
      </c>
      <c r="AE333" s="4">
        <v>-7696</v>
      </c>
      <c r="AF333" s="1"/>
      <c r="AG333" s="1"/>
      <c r="AH333" s="1"/>
      <c r="AI333" s="1" t="s">
        <v>2730</v>
      </c>
      <c r="AJ333" s="1"/>
      <c r="AK333" s="1"/>
      <c r="AL333" s="1" t="s">
        <v>2731</v>
      </c>
    </row>
    <row r="334" spans="1:38" hidden="1" x14ac:dyDescent="0.25">
      <c r="A334" s="2">
        <v>464</v>
      </c>
      <c r="B334" s="1" t="s">
        <v>412</v>
      </c>
      <c r="C334" s="1" t="s">
        <v>416</v>
      </c>
      <c r="D334" s="1" t="s">
        <v>2062</v>
      </c>
      <c r="E334" s="1" t="s">
        <v>2063</v>
      </c>
      <c r="F334" s="3">
        <v>45596</v>
      </c>
      <c r="G334" s="3">
        <v>45111</v>
      </c>
      <c r="H334" s="3">
        <v>45476</v>
      </c>
      <c r="I334" s="1" t="s">
        <v>2724</v>
      </c>
      <c r="J334" s="1" t="s">
        <v>2725</v>
      </c>
      <c r="K334" s="1" t="s">
        <v>2168</v>
      </c>
      <c r="L334" s="1" t="s">
        <v>2376</v>
      </c>
      <c r="M334" s="1" t="s">
        <v>2726</v>
      </c>
      <c r="N334" s="1" t="s">
        <v>2727</v>
      </c>
      <c r="O334" s="1" t="s">
        <v>2728</v>
      </c>
      <c r="P334" s="1" t="s">
        <v>2119</v>
      </c>
      <c r="Q334" s="1"/>
      <c r="R334" s="1"/>
      <c r="S334" s="1" t="s">
        <v>2072</v>
      </c>
      <c r="T334" s="1" t="s">
        <v>2729</v>
      </c>
      <c r="U334" s="4">
        <v>-1</v>
      </c>
      <c r="V334" s="4">
        <v>-113860</v>
      </c>
      <c r="W334" s="4">
        <v>-1139</v>
      </c>
      <c r="X334" s="4">
        <v>0</v>
      </c>
      <c r="Y334" s="4">
        <v>0</v>
      </c>
      <c r="Z334" s="5">
        <v>-114999</v>
      </c>
      <c r="AA334" s="5">
        <v>0</v>
      </c>
      <c r="AB334" s="6">
        <v>0</v>
      </c>
      <c r="AC334" s="4">
        <v>-114999</v>
      </c>
      <c r="AD334" s="4">
        <v>0</v>
      </c>
      <c r="AE334" s="4">
        <v>-114999</v>
      </c>
      <c r="AF334" s="1"/>
      <c r="AG334" s="1"/>
      <c r="AH334" s="1"/>
      <c r="AI334" s="1" t="s">
        <v>2730</v>
      </c>
      <c r="AJ334" s="1"/>
      <c r="AK334" s="1"/>
      <c r="AL334" s="1"/>
    </row>
    <row r="335" spans="1:38" hidden="1" x14ac:dyDescent="0.25">
      <c r="A335" s="2">
        <v>465</v>
      </c>
      <c r="B335" s="1" t="s">
        <v>417</v>
      </c>
      <c r="C335" s="1" t="s">
        <v>418</v>
      </c>
      <c r="D335" s="1" t="s">
        <v>2062</v>
      </c>
      <c r="E335" s="1" t="s">
        <v>2063</v>
      </c>
      <c r="F335" s="3">
        <v>45138</v>
      </c>
      <c r="G335" s="3">
        <v>45112</v>
      </c>
      <c r="H335" s="3">
        <v>45477</v>
      </c>
      <c r="I335" s="1" t="s">
        <v>2732</v>
      </c>
      <c r="J335" s="1" t="s">
        <v>2733</v>
      </c>
      <c r="K335" s="1"/>
      <c r="L335" s="1" t="s">
        <v>2370</v>
      </c>
      <c r="M335" s="1" t="s">
        <v>2734</v>
      </c>
      <c r="N335" s="1" t="s">
        <v>2735</v>
      </c>
      <c r="O335" s="1" t="s">
        <v>2736</v>
      </c>
      <c r="P335" s="1" t="s">
        <v>2231</v>
      </c>
      <c r="Q335" s="1"/>
      <c r="R335" s="1"/>
      <c r="S335" s="1" t="s">
        <v>2072</v>
      </c>
      <c r="T335" s="1" t="s">
        <v>2073</v>
      </c>
      <c r="U335" s="4">
        <v>5000000</v>
      </c>
      <c r="V335" s="4">
        <v>83332</v>
      </c>
      <c r="W335" s="4">
        <v>834</v>
      </c>
      <c r="X335" s="4">
        <v>10834</v>
      </c>
      <c r="Y335" s="4">
        <v>0</v>
      </c>
      <c r="Z335" s="5">
        <v>95000</v>
      </c>
      <c r="AA335" s="5">
        <v>0</v>
      </c>
      <c r="AB335" s="6">
        <v>0</v>
      </c>
      <c r="AC335" s="4">
        <v>95000</v>
      </c>
      <c r="AD335" s="4">
        <v>0</v>
      </c>
      <c r="AE335" s="4">
        <v>95000</v>
      </c>
      <c r="AF335" s="1"/>
      <c r="AG335" s="1"/>
      <c r="AH335" s="1"/>
      <c r="AI335" s="1" t="s">
        <v>2327</v>
      </c>
      <c r="AJ335" s="1"/>
      <c r="AK335" s="1"/>
      <c r="AL335" s="1" t="s">
        <v>2737</v>
      </c>
    </row>
    <row r="336" spans="1:38" hidden="1" x14ac:dyDescent="0.25">
      <c r="A336" s="2">
        <v>466</v>
      </c>
      <c r="B336" s="1" t="s">
        <v>417</v>
      </c>
      <c r="C336" s="1" t="s">
        <v>419</v>
      </c>
      <c r="D336" s="1" t="s">
        <v>2062</v>
      </c>
      <c r="E336" s="1" t="s">
        <v>2063</v>
      </c>
      <c r="F336" s="3">
        <v>45387</v>
      </c>
      <c r="G336" s="3">
        <v>45112</v>
      </c>
      <c r="H336" s="3">
        <v>45477</v>
      </c>
      <c r="I336" s="1" t="s">
        <v>2732</v>
      </c>
      <c r="J336" s="1" t="s">
        <v>2733</v>
      </c>
      <c r="K336" s="1"/>
      <c r="L336" s="1" t="s">
        <v>2370</v>
      </c>
      <c r="M336" s="1" t="s">
        <v>2734</v>
      </c>
      <c r="N336" s="1" t="s">
        <v>2735</v>
      </c>
      <c r="O336" s="1" t="s">
        <v>2736</v>
      </c>
      <c r="P336" s="1" t="s">
        <v>2231</v>
      </c>
      <c r="Q336" s="1"/>
      <c r="R336" s="1"/>
      <c r="S336" s="1" t="s">
        <v>2072</v>
      </c>
      <c r="T336" s="1" t="s">
        <v>2073</v>
      </c>
      <c r="U336" s="4">
        <v>5000000</v>
      </c>
      <c r="V336" s="4">
        <v>2922</v>
      </c>
      <c r="W336" s="4">
        <v>29</v>
      </c>
      <c r="X336" s="4">
        <v>379</v>
      </c>
      <c r="Y336" s="4">
        <v>0</v>
      </c>
      <c r="Z336" s="5">
        <v>3330</v>
      </c>
      <c r="AA336" s="5">
        <v>0</v>
      </c>
      <c r="AB336" s="6">
        <v>0</v>
      </c>
      <c r="AC336" s="4">
        <v>3330</v>
      </c>
      <c r="AD336" s="4">
        <v>0</v>
      </c>
      <c r="AE336" s="4">
        <v>3330</v>
      </c>
      <c r="AF336" s="1"/>
      <c r="AG336" s="1"/>
      <c r="AH336" s="1"/>
      <c r="AI336" s="1" t="s">
        <v>2327</v>
      </c>
      <c r="AJ336" s="6">
        <v>515.67999999999995</v>
      </c>
      <c r="AK336" s="6">
        <v>485.95000000000005</v>
      </c>
      <c r="AL336" s="1"/>
    </row>
    <row r="337" spans="1:38" hidden="1" x14ac:dyDescent="0.25">
      <c r="A337" s="2">
        <v>467</v>
      </c>
      <c r="B337" s="1" t="s">
        <v>417</v>
      </c>
      <c r="C337" s="1" t="s">
        <v>420</v>
      </c>
      <c r="D337" s="1" t="s">
        <v>2062</v>
      </c>
      <c r="E337" s="1" t="s">
        <v>2063</v>
      </c>
      <c r="F337" s="3">
        <v>45425</v>
      </c>
      <c r="G337" s="3">
        <v>45112</v>
      </c>
      <c r="H337" s="3">
        <v>45477</v>
      </c>
      <c r="I337" s="1" t="s">
        <v>2732</v>
      </c>
      <c r="J337" s="1" t="s">
        <v>2733</v>
      </c>
      <c r="K337" s="1"/>
      <c r="L337" s="1" t="s">
        <v>2370</v>
      </c>
      <c r="M337" s="1" t="s">
        <v>2734</v>
      </c>
      <c r="N337" s="1" t="s">
        <v>2735</v>
      </c>
      <c r="O337" s="1" t="s">
        <v>2736</v>
      </c>
      <c r="P337" s="1" t="s">
        <v>2231</v>
      </c>
      <c r="Q337" s="1"/>
      <c r="R337" s="1"/>
      <c r="S337" s="1" t="s">
        <v>2072</v>
      </c>
      <c r="T337" s="1" t="s">
        <v>2073</v>
      </c>
      <c r="U337" s="4">
        <v>5000000</v>
      </c>
      <c r="V337" s="4">
        <v>3004</v>
      </c>
      <c r="W337" s="4">
        <v>30</v>
      </c>
      <c r="X337" s="4">
        <v>391</v>
      </c>
      <c r="Y337" s="4">
        <v>0</v>
      </c>
      <c r="Z337" s="5">
        <v>3425</v>
      </c>
      <c r="AA337" s="5">
        <v>0</v>
      </c>
      <c r="AB337" s="6">
        <v>0</v>
      </c>
      <c r="AC337" s="4">
        <v>3425</v>
      </c>
      <c r="AD337" s="4">
        <v>0</v>
      </c>
      <c r="AE337" s="4">
        <v>3425</v>
      </c>
      <c r="AF337" s="1"/>
      <c r="AG337" s="1"/>
      <c r="AH337" s="1"/>
      <c r="AI337" s="1" t="s">
        <v>2327</v>
      </c>
      <c r="AJ337" s="6">
        <v>525.29000000000008</v>
      </c>
      <c r="AK337" s="6">
        <v>500.24</v>
      </c>
      <c r="AL337" s="1"/>
    </row>
    <row r="338" spans="1:38" hidden="1" x14ac:dyDescent="0.25">
      <c r="A338" s="2">
        <v>468</v>
      </c>
      <c r="B338" s="1" t="s">
        <v>417</v>
      </c>
      <c r="C338" s="1" t="s">
        <v>421</v>
      </c>
      <c r="D338" s="1" t="s">
        <v>2062</v>
      </c>
      <c r="E338" s="1" t="s">
        <v>2063</v>
      </c>
      <c r="F338" s="3">
        <v>45449</v>
      </c>
      <c r="G338" s="3">
        <v>45112</v>
      </c>
      <c r="H338" s="3">
        <v>45477</v>
      </c>
      <c r="I338" s="1" t="s">
        <v>2732</v>
      </c>
      <c r="J338" s="1" t="s">
        <v>2733</v>
      </c>
      <c r="K338" s="1"/>
      <c r="L338" s="1" t="s">
        <v>2370</v>
      </c>
      <c r="M338" s="1" t="s">
        <v>2734</v>
      </c>
      <c r="N338" s="1" t="s">
        <v>2735</v>
      </c>
      <c r="O338" s="1" t="s">
        <v>2736</v>
      </c>
      <c r="P338" s="1" t="s">
        <v>2231</v>
      </c>
      <c r="Q338" s="1"/>
      <c r="R338" s="1"/>
      <c r="S338" s="1" t="s">
        <v>2072</v>
      </c>
      <c r="T338" s="1" t="s">
        <v>2073</v>
      </c>
      <c r="U338" s="4">
        <v>5000000</v>
      </c>
      <c r="V338" s="4">
        <v>3489</v>
      </c>
      <c r="W338" s="4">
        <v>35</v>
      </c>
      <c r="X338" s="4">
        <v>454</v>
      </c>
      <c r="Y338" s="4">
        <v>0</v>
      </c>
      <c r="Z338" s="5">
        <v>3978</v>
      </c>
      <c r="AA338" s="5">
        <v>0</v>
      </c>
      <c r="AB338" s="6">
        <v>0</v>
      </c>
      <c r="AC338" s="4">
        <v>3978</v>
      </c>
      <c r="AD338" s="4">
        <v>0</v>
      </c>
      <c r="AE338" s="4">
        <v>3978</v>
      </c>
      <c r="AF338" s="1"/>
      <c r="AG338" s="1"/>
      <c r="AH338" s="1"/>
      <c r="AI338" s="1" t="s">
        <v>2327</v>
      </c>
      <c r="AJ338" s="6">
        <v>584.46</v>
      </c>
      <c r="AK338" s="6">
        <v>581.07000000000005</v>
      </c>
      <c r="AL338" s="1"/>
    </row>
    <row r="339" spans="1:38" hidden="1" x14ac:dyDescent="0.25">
      <c r="A339" s="2">
        <v>469</v>
      </c>
      <c r="B339" s="1" t="s">
        <v>417</v>
      </c>
      <c r="C339" s="1" t="s">
        <v>422</v>
      </c>
      <c r="D339" s="1" t="s">
        <v>2062</v>
      </c>
      <c r="E339" s="1" t="s">
        <v>2063</v>
      </c>
      <c r="F339" s="3">
        <v>45478</v>
      </c>
      <c r="G339" s="3">
        <v>45112</v>
      </c>
      <c r="H339" s="3">
        <v>45477</v>
      </c>
      <c r="I339" s="1" t="s">
        <v>2732</v>
      </c>
      <c r="J339" s="1" t="s">
        <v>2733</v>
      </c>
      <c r="K339" s="1"/>
      <c r="L339" s="1" t="s">
        <v>2370</v>
      </c>
      <c r="M339" s="1" t="s">
        <v>2734</v>
      </c>
      <c r="N339" s="1" t="s">
        <v>2735</v>
      </c>
      <c r="O339" s="1" t="s">
        <v>2736</v>
      </c>
      <c r="P339" s="1" t="s">
        <v>2231</v>
      </c>
      <c r="Q339" s="1"/>
      <c r="R339" s="1"/>
      <c r="S339" s="1" t="s">
        <v>2072</v>
      </c>
      <c r="T339" s="1" t="s">
        <v>2073</v>
      </c>
      <c r="U339" s="4">
        <v>5000000</v>
      </c>
      <c r="V339" s="4">
        <v>4860</v>
      </c>
      <c r="W339" s="4">
        <v>49</v>
      </c>
      <c r="X339" s="4">
        <v>729</v>
      </c>
      <c r="Y339" s="4">
        <v>0</v>
      </c>
      <c r="Z339" s="5">
        <v>5638</v>
      </c>
      <c r="AA339" s="5">
        <v>0</v>
      </c>
      <c r="AB339" s="6">
        <v>0</v>
      </c>
      <c r="AC339" s="4">
        <v>5638</v>
      </c>
      <c r="AD339" s="4">
        <v>0</v>
      </c>
      <c r="AE339" s="4">
        <v>5638</v>
      </c>
      <c r="AF339" s="1"/>
      <c r="AG339" s="1"/>
      <c r="AH339" s="1"/>
      <c r="AI339" s="1" t="s">
        <v>2327</v>
      </c>
      <c r="AJ339" s="6">
        <v>941.73000000000104</v>
      </c>
      <c r="AK339" s="6">
        <v>823.74</v>
      </c>
      <c r="AL339" s="1"/>
    </row>
    <row r="340" spans="1:38" hidden="1" x14ac:dyDescent="0.25">
      <c r="A340" s="2">
        <v>470</v>
      </c>
      <c r="B340" s="1" t="s">
        <v>417</v>
      </c>
      <c r="C340" s="1" t="s">
        <v>423</v>
      </c>
      <c r="D340" s="1" t="s">
        <v>2062</v>
      </c>
      <c r="E340" s="1" t="s">
        <v>2063</v>
      </c>
      <c r="F340" s="3">
        <v>45596</v>
      </c>
      <c r="G340" s="3">
        <v>45112</v>
      </c>
      <c r="H340" s="3">
        <v>45477</v>
      </c>
      <c r="I340" s="1" t="s">
        <v>2732</v>
      </c>
      <c r="J340" s="1" t="s">
        <v>2733</v>
      </c>
      <c r="K340" s="1"/>
      <c r="L340" s="1" t="s">
        <v>2370</v>
      </c>
      <c r="M340" s="1" t="s">
        <v>2734</v>
      </c>
      <c r="N340" s="1" t="s">
        <v>2735</v>
      </c>
      <c r="O340" s="1" t="s">
        <v>2736</v>
      </c>
      <c r="P340" s="1" t="s">
        <v>2231</v>
      </c>
      <c r="Q340" s="1"/>
      <c r="R340" s="1"/>
      <c r="S340" s="1" t="s">
        <v>2072</v>
      </c>
      <c r="T340" s="1" t="s">
        <v>2073</v>
      </c>
      <c r="U340" s="4">
        <v>-1</v>
      </c>
      <c r="V340" s="4">
        <v>-110268</v>
      </c>
      <c r="W340" s="4">
        <v>-1103</v>
      </c>
      <c r="X340" s="4">
        <v>0</v>
      </c>
      <c r="Y340" s="4">
        <v>0</v>
      </c>
      <c r="Z340" s="5">
        <v>-111371</v>
      </c>
      <c r="AA340" s="5">
        <v>0</v>
      </c>
      <c r="AB340" s="6">
        <v>0</v>
      </c>
      <c r="AC340" s="4">
        <v>-111371</v>
      </c>
      <c r="AD340" s="4">
        <v>0</v>
      </c>
      <c r="AE340" s="4">
        <v>-111371</v>
      </c>
      <c r="AF340" s="1"/>
      <c r="AG340" s="1"/>
      <c r="AH340" s="1"/>
      <c r="AI340" s="1" t="s">
        <v>2327</v>
      </c>
      <c r="AJ340" s="1"/>
      <c r="AK340" s="1"/>
      <c r="AL340" s="1"/>
    </row>
    <row r="341" spans="1:38" hidden="1" x14ac:dyDescent="0.25">
      <c r="A341" s="2">
        <v>471</v>
      </c>
      <c r="B341" s="1" t="s">
        <v>424</v>
      </c>
      <c r="C341" s="1" t="s">
        <v>425</v>
      </c>
      <c r="D341" s="1" t="s">
        <v>2062</v>
      </c>
      <c r="E341" s="1" t="s">
        <v>2063</v>
      </c>
      <c r="F341" s="3">
        <v>45138</v>
      </c>
      <c r="G341" s="3">
        <v>45113</v>
      </c>
      <c r="H341" s="3">
        <v>45478</v>
      </c>
      <c r="I341" s="1" t="s">
        <v>2738</v>
      </c>
      <c r="J341" s="1" t="s">
        <v>2739</v>
      </c>
      <c r="K341" s="1"/>
      <c r="L341" s="1" t="s">
        <v>2740</v>
      </c>
      <c r="M341" s="1" t="s">
        <v>2741</v>
      </c>
      <c r="N341" s="1" t="s">
        <v>2742</v>
      </c>
      <c r="O341" s="1" t="s">
        <v>2743</v>
      </c>
      <c r="P341" s="1" t="s">
        <v>2095</v>
      </c>
      <c r="Q341" s="1"/>
      <c r="R341" s="1"/>
      <c r="S341" s="1" t="s">
        <v>2072</v>
      </c>
      <c r="T341" s="1" t="s">
        <v>2073</v>
      </c>
      <c r="U341" s="4">
        <v>5800000</v>
      </c>
      <c r="V341" s="4">
        <v>97368</v>
      </c>
      <c r="W341" s="4">
        <v>974</v>
      </c>
      <c r="X341" s="4">
        <v>12658</v>
      </c>
      <c r="Y341" s="4">
        <v>0</v>
      </c>
      <c r="Z341" s="5">
        <v>111000</v>
      </c>
      <c r="AA341" s="5">
        <v>0</v>
      </c>
      <c r="AB341" s="6">
        <v>0</v>
      </c>
      <c r="AC341" s="4">
        <v>111000</v>
      </c>
      <c r="AD341" s="4">
        <v>0</v>
      </c>
      <c r="AE341" s="4">
        <v>111000</v>
      </c>
      <c r="AF341" s="1"/>
      <c r="AG341" s="1"/>
      <c r="AH341" s="1"/>
      <c r="AI341" s="1" t="s">
        <v>2427</v>
      </c>
      <c r="AJ341" s="1"/>
      <c r="AK341" s="1"/>
      <c r="AL341" s="1" t="s">
        <v>2744</v>
      </c>
    </row>
    <row r="342" spans="1:38" hidden="1" x14ac:dyDescent="0.25">
      <c r="A342" s="2">
        <v>472</v>
      </c>
      <c r="B342" s="1" t="s">
        <v>424</v>
      </c>
      <c r="C342" s="1" t="s">
        <v>426</v>
      </c>
      <c r="D342" s="1" t="s">
        <v>2062</v>
      </c>
      <c r="E342" s="1" t="s">
        <v>2063</v>
      </c>
      <c r="F342" s="3">
        <v>45482</v>
      </c>
      <c r="G342" s="3">
        <v>45113</v>
      </c>
      <c r="H342" s="3">
        <v>45478</v>
      </c>
      <c r="I342" s="1" t="s">
        <v>2738</v>
      </c>
      <c r="J342" s="1" t="s">
        <v>2739</v>
      </c>
      <c r="K342" s="1"/>
      <c r="L342" s="1" t="s">
        <v>2740</v>
      </c>
      <c r="M342" s="1" t="s">
        <v>2741</v>
      </c>
      <c r="N342" s="1" t="s">
        <v>2742</v>
      </c>
      <c r="O342" s="1" t="s">
        <v>2743</v>
      </c>
      <c r="P342" s="1" t="s">
        <v>2095</v>
      </c>
      <c r="Q342" s="1"/>
      <c r="R342" s="1"/>
      <c r="S342" s="1" t="s">
        <v>2072</v>
      </c>
      <c r="T342" s="1" t="s">
        <v>2073</v>
      </c>
      <c r="U342" s="4">
        <v>5800000</v>
      </c>
      <c r="V342" s="4">
        <v>2658</v>
      </c>
      <c r="W342" s="4">
        <v>27</v>
      </c>
      <c r="X342" s="4">
        <v>399</v>
      </c>
      <c r="Y342" s="4">
        <v>0</v>
      </c>
      <c r="Z342" s="5">
        <v>3084</v>
      </c>
      <c r="AA342" s="5">
        <v>0</v>
      </c>
      <c r="AB342" s="6">
        <v>0</v>
      </c>
      <c r="AC342" s="4">
        <v>3084</v>
      </c>
      <c r="AD342" s="4">
        <v>0</v>
      </c>
      <c r="AE342" s="4">
        <v>3084</v>
      </c>
      <c r="AF342" s="1"/>
      <c r="AG342" s="1"/>
      <c r="AH342" s="1"/>
      <c r="AI342" s="1" t="s">
        <v>2427</v>
      </c>
      <c r="AJ342" s="6">
        <v>463.09</v>
      </c>
      <c r="AK342" s="6">
        <v>387.79</v>
      </c>
      <c r="AL342" s="1"/>
    </row>
    <row r="343" spans="1:38" hidden="1" x14ac:dyDescent="0.25">
      <c r="A343" s="2">
        <v>473</v>
      </c>
      <c r="B343" s="1" t="s">
        <v>424</v>
      </c>
      <c r="C343" s="1" t="s">
        <v>427</v>
      </c>
      <c r="D343" s="1" t="s">
        <v>2062</v>
      </c>
      <c r="E343" s="1" t="s">
        <v>2063</v>
      </c>
      <c r="F343" s="3">
        <v>45596</v>
      </c>
      <c r="G343" s="3">
        <v>45113</v>
      </c>
      <c r="H343" s="3">
        <v>45478</v>
      </c>
      <c r="I343" s="1" t="s">
        <v>2738</v>
      </c>
      <c r="J343" s="1" t="s">
        <v>2739</v>
      </c>
      <c r="K343" s="1"/>
      <c r="L343" s="1" t="s">
        <v>2740</v>
      </c>
      <c r="M343" s="1" t="s">
        <v>2741</v>
      </c>
      <c r="N343" s="1" t="s">
        <v>2742</v>
      </c>
      <c r="O343" s="1" t="s">
        <v>2743</v>
      </c>
      <c r="P343" s="1" t="s">
        <v>2095</v>
      </c>
      <c r="Q343" s="1"/>
      <c r="R343" s="1"/>
      <c r="S343" s="1" t="s">
        <v>2072</v>
      </c>
      <c r="T343" s="1" t="s">
        <v>2073</v>
      </c>
      <c r="U343" s="4">
        <v>-1</v>
      </c>
      <c r="V343" s="4">
        <v>-112954</v>
      </c>
      <c r="W343" s="4">
        <v>-1130</v>
      </c>
      <c r="X343" s="4">
        <v>0</v>
      </c>
      <c r="Y343" s="4">
        <v>0</v>
      </c>
      <c r="Z343" s="5">
        <v>-114084</v>
      </c>
      <c r="AA343" s="5">
        <v>0</v>
      </c>
      <c r="AB343" s="6">
        <v>0</v>
      </c>
      <c r="AC343" s="4">
        <v>-114084</v>
      </c>
      <c r="AD343" s="4">
        <v>0</v>
      </c>
      <c r="AE343" s="4">
        <v>-114084</v>
      </c>
      <c r="AF343" s="1"/>
      <c r="AG343" s="1"/>
      <c r="AH343" s="1"/>
      <c r="AI343" s="1" t="s">
        <v>2427</v>
      </c>
      <c r="AJ343" s="1"/>
      <c r="AK343" s="1"/>
      <c r="AL343" s="1"/>
    </row>
    <row r="344" spans="1:38" hidden="1" x14ac:dyDescent="0.25">
      <c r="A344" s="2">
        <v>474</v>
      </c>
      <c r="B344" s="1" t="s">
        <v>428</v>
      </c>
      <c r="C344" s="1" t="s">
        <v>429</v>
      </c>
      <c r="D344" s="1" t="s">
        <v>2062</v>
      </c>
      <c r="E344" s="1" t="s">
        <v>2063</v>
      </c>
      <c r="F344" s="3">
        <v>45138</v>
      </c>
      <c r="G344" s="3">
        <v>45119</v>
      </c>
      <c r="H344" s="3">
        <v>45484</v>
      </c>
      <c r="I344" s="1" t="s">
        <v>2745</v>
      </c>
      <c r="J344" s="1" t="s">
        <v>2746</v>
      </c>
      <c r="K344" s="1"/>
      <c r="L344" s="1" t="s">
        <v>2178</v>
      </c>
      <c r="M344" s="1" t="s">
        <v>2747</v>
      </c>
      <c r="N344" s="1" t="s">
        <v>2748</v>
      </c>
      <c r="O344" s="1" t="s">
        <v>2749</v>
      </c>
      <c r="P344" s="1" t="s">
        <v>2182</v>
      </c>
      <c r="Q344" s="1"/>
      <c r="R344" s="1"/>
      <c r="S344" s="1" t="s">
        <v>2072</v>
      </c>
      <c r="T344" s="1" t="s">
        <v>2073</v>
      </c>
      <c r="U344" s="4">
        <v>3000000</v>
      </c>
      <c r="V344" s="4">
        <v>48245</v>
      </c>
      <c r="W344" s="4">
        <v>483</v>
      </c>
      <c r="X344" s="4">
        <v>6272</v>
      </c>
      <c r="Y344" s="4">
        <v>0</v>
      </c>
      <c r="Z344" s="5">
        <v>55000</v>
      </c>
      <c r="AA344" s="5">
        <v>0</v>
      </c>
      <c r="AB344" s="6">
        <v>0</v>
      </c>
      <c r="AC344" s="4">
        <v>55000</v>
      </c>
      <c r="AD344" s="4">
        <v>0</v>
      </c>
      <c r="AE344" s="4">
        <v>55000</v>
      </c>
      <c r="AF344" s="1"/>
      <c r="AG344" s="1"/>
      <c r="AH344" s="1"/>
      <c r="AI344" s="1" t="s">
        <v>2327</v>
      </c>
      <c r="AJ344" s="1"/>
      <c r="AK344" s="1"/>
      <c r="AL344" s="1" t="s">
        <v>2750</v>
      </c>
    </row>
    <row r="345" spans="1:38" hidden="1" x14ac:dyDescent="0.25">
      <c r="A345" s="2">
        <v>475</v>
      </c>
      <c r="B345" s="1" t="s">
        <v>428</v>
      </c>
      <c r="C345" s="1" t="s">
        <v>430</v>
      </c>
      <c r="D345" s="1" t="s">
        <v>2062</v>
      </c>
      <c r="E345" s="1" t="s">
        <v>2063</v>
      </c>
      <c r="F345" s="3">
        <v>45485</v>
      </c>
      <c r="G345" s="3">
        <v>45119</v>
      </c>
      <c r="H345" s="3">
        <v>45484</v>
      </c>
      <c r="I345" s="1" t="s">
        <v>2745</v>
      </c>
      <c r="J345" s="1" t="s">
        <v>2746</v>
      </c>
      <c r="K345" s="1"/>
      <c r="L345" s="1" t="s">
        <v>2178</v>
      </c>
      <c r="M345" s="1" t="s">
        <v>2747</v>
      </c>
      <c r="N345" s="1" t="s">
        <v>2748</v>
      </c>
      <c r="O345" s="1" t="s">
        <v>2749</v>
      </c>
      <c r="P345" s="1" t="s">
        <v>2182</v>
      </c>
      <c r="Q345" s="1"/>
      <c r="R345" s="1"/>
      <c r="S345" s="1" t="s">
        <v>2072</v>
      </c>
      <c r="T345" s="1" t="s">
        <v>2073</v>
      </c>
      <c r="U345" s="4">
        <v>3000000</v>
      </c>
      <c r="V345" s="4">
        <v>1011</v>
      </c>
      <c r="W345" s="4">
        <v>10</v>
      </c>
      <c r="X345" s="4">
        <v>152</v>
      </c>
      <c r="Y345" s="4">
        <v>0</v>
      </c>
      <c r="Z345" s="5">
        <v>1173</v>
      </c>
      <c r="AA345" s="5">
        <v>0</v>
      </c>
      <c r="AB345" s="6">
        <v>0</v>
      </c>
      <c r="AC345" s="4">
        <v>1173</v>
      </c>
      <c r="AD345" s="4">
        <v>0</v>
      </c>
      <c r="AE345" s="4">
        <v>1173</v>
      </c>
      <c r="AF345" s="1"/>
      <c r="AG345" s="1"/>
      <c r="AH345" s="1"/>
      <c r="AI345" s="1" t="s">
        <v>2327</v>
      </c>
      <c r="AJ345" s="6">
        <v>285.7</v>
      </c>
      <c r="AK345" s="6">
        <v>285.7</v>
      </c>
      <c r="AL345" s="1"/>
    </row>
    <row r="346" spans="1:38" hidden="1" x14ac:dyDescent="0.25">
      <c r="A346" s="2">
        <v>476</v>
      </c>
      <c r="B346" s="1" t="s">
        <v>428</v>
      </c>
      <c r="C346" s="1" t="s">
        <v>431</v>
      </c>
      <c r="D346" s="1" t="s">
        <v>2062</v>
      </c>
      <c r="E346" s="1" t="s">
        <v>2063</v>
      </c>
      <c r="F346" s="3">
        <v>45655</v>
      </c>
      <c r="G346" s="3">
        <v>45119</v>
      </c>
      <c r="H346" s="3">
        <v>45484</v>
      </c>
      <c r="I346" s="1" t="s">
        <v>2745</v>
      </c>
      <c r="J346" s="1" t="s">
        <v>2746</v>
      </c>
      <c r="K346" s="1"/>
      <c r="L346" s="1" t="s">
        <v>2178</v>
      </c>
      <c r="M346" s="1" t="s">
        <v>2747</v>
      </c>
      <c r="N346" s="1" t="s">
        <v>2748</v>
      </c>
      <c r="O346" s="1" t="s">
        <v>2749</v>
      </c>
      <c r="P346" s="1" t="s">
        <v>2182</v>
      </c>
      <c r="Q346" s="1"/>
      <c r="R346" s="1"/>
      <c r="S346" s="1" t="s">
        <v>2072</v>
      </c>
      <c r="T346" s="1" t="s">
        <v>2073</v>
      </c>
      <c r="U346" s="4">
        <v>-1</v>
      </c>
      <c r="V346" s="4">
        <v>-55617</v>
      </c>
      <c r="W346" s="4">
        <v>-556</v>
      </c>
      <c r="X346" s="4">
        <v>0</v>
      </c>
      <c r="Y346" s="4">
        <v>0</v>
      </c>
      <c r="Z346" s="5">
        <v>-56173</v>
      </c>
      <c r="AA346" s="5">
        <v>0</v>
      </c>
      <c r="AB346" s="6">
        <v>0</v>
      </c>
      <c r="AC346" s="4">
        <v>-56173</v>
      </c>
      <c r="AD346" s="4">
        <v>0</v>
      </c>
      <c r="AE346" s="4">
        <v>-56173</v>
      </c>
      <c r="AF346" s="1"/>
      <c r="AG346" s="1"/>
      <c r="AH346" s="1"/>
      <c r="AI346" s="1" t="s">
        <v>2327</v>
      </c>
      <c r="AJ346" s="1"/>
      <c r="AK346" s="1"/>
      <c r="AL346" s="1"/>
    </row>
    <row r="347" spans="1:38" hidden="1" x14ac:dyDescent="0.25">
      <c r="A347" s="2">
        <v>483</v>
      </c>
      <c r="B347" s="1" t="s">
        <v>432</v>
      </c>
      <c r="C347" s="1" t="s">
        <v>433</v>
      </c>
      <c r="D347" s="1" t="s">
        <v>2062</v>
      </c>
      <c r="E347" s="1" t="s">
        <v>2063</v>
      </c>
      <c r="F347" s="3">
        <v>45138</v>
      </c>
      <c r="G347" s="3">
        <v>45125</v>
      </c>
      <c r="H347" s="3">
        <v>45490</v>
      </c>
      <c r="I347" s="1" t="s">
        <v>2751</v>
      </c>
      <c r="J347" s="1" t="s">
        <v>2752</v>
      </c>
      <c r="K347" s="1"/>
      <c r="L347" s="1" t="s">
        <v>2178</v>
      </c>
      <c r="M347" s="1" t="s">
        <v>2753</v>
      </c>
      <c r="N347" s="1" t="s">
        <v>2754</v>
      </c>
      <c r="O347" s="1" t="s">
        <v>2755</v>
      </c>
      <c r="P347" s="1" t="s">
        <v>2182</v>
      </c>
      <c r="Q347" s="1"/>
      <c r="R347" s="1"/>
      <c r="S347" s="1" t="s">
        <v>2072</v>
      </c>
      <c r="T347" s="1" t="s">
        <v>2073</v>
      </c>
      <c r="U347" s="4">
        <v>3100000</v>
      </c>
      <c r="V347" s="4">
        <v>50000</v>
      </c>
      <c r="W347" s="4">
        <v>500</v>
      </c>
      <c r="X347" s="4">
        <v>6500</v>
      </c>
      <c r="Y347" s="4">
        <v>0</v>
      </c>
      <c r="Z347" s="5">
        <v>57000</v>
      </c>
      <c r="AA347" s="5">
        <v>0</v>
      </c>
      <c r="AB347" s="6">
        <v>0</v>
      </c>
      <c r="AC347" s="4">
        <v>57000</v>
      </c>
      <c r="AD347" s="4">
        <v>0</v>
      </c>
      <c r="AE347" s="4">
        <v>57000</v>
      </c>
      <c r="AF347" s="1"/>
      <c r="AG347" s="1"/>
      <c r="AH347" s="1"/>
      <c r="AI347" s="1" t="s">
        <v>2427</v>
      </c>
      <c r="AJ347" s="1"/>
      <c r="AK347" s="1"/>
      <c r="AL347" s="1" t="s">
        <v>2756</v>
      </c>
    </row>
    <row r="348" spans="1:38" hidden="1" x14ac:dyDescent="0.25">
      <c r="A348" s="2">
        <v>484</v>
      </c>
      <c r="B348" s="1" t="s">
        <v>432</v>
      </c>
      <c r="C348" s="1" t="s">
        <v>434</v>
      </c>
      <c r="D348" s="1" t="s">
        <v>2062</v>
      </c>
      <c r="E348" s="1" t="s">
        <v>2063</v>
      </c>
      <c r="F348" s="3">
        <v>45369</v>
      </c>
      <c r="G348" s="3">
        <v>45125</v>
      </c>
      <c r="H348" s="3">
        <v>45490</v>
      </c>
      <c r="I348" s="1" t="s">
        <v>2751</v>
      </c>
      <c r="J348" s="1" t="s">
        <v>2752</v>
      </c>
      <c r="K348" s="1"/>
      <c r="L348" s="1" t="s">
        <v>2178</v>
      </c>
      <c r="M348" s="1" t="s">
        <v>2753</v>
      </c>
      <c r="N348" s="1" t="s">
        <v>2754</v>
      </c>
      <c r="O348" s="1" t="s">
        <v>2755</v>
      </c>
      <c r="P348" s="1" t="s">
        <v>2182</v>
      </c>
      <c r="Q348" s="1"/>
      <c r="R348" s="1"/>
      <c r="S348" s="1" t="s">
        <v>2072</v>
      </c>
      <c r="T348" s="1" t="s">
        <v>2073</v>
      </c>
      <c r="U348" s="4">
        <v>3100000</v>
      </c>
      <c r="V348" s="4">
        <v>993</v>
      </c>
      <c r="W348" s="4">
        <v>10</v>
      </c>
      <c r="X348" s="4">
        <v>129</v>
      </c>
      <c r="Y348" s="4">
        <v>0</v>
      </c>
      <c r="Z348" s="5">
        <v>1132</v>
      </c>
      <c r="AA348" s="5">
        <v>0</v>
      </c>
      <c r="AB348" s="6">
        <v>0</v>
      </c>
      <c r="AC348" s="4">
        <v>1132</v>
      </c>
      <c r="AD348" s="4">
        <v>0</v>
      </c>
      <c r="AE348" s="4">
        <v>1132</v>
      </c>
      <c r="AF348" s="1"/>
      <c r="AG348" s="1"/>
      <c r="AH348" s="1"/>
      <c r="AI348" s="1" t="s">
        <v>2427</v>
      </c>
      <c r="AJ348" s="6">
        <v>290.45</v>
      </c>
      <c r="AK348" s="6">
        <v>266.56</v>
      </c>
      <c r="AL348" s="1"/>
    </row>
    <row r="349" spans="1:38" hidden="1" x14ac:dyDescent="0.25">
      <c r="A349" s="2">
        <v>485</v>
      </c>
      <c r="B349" s="1" t="s">
        <v>432</v>
      </c>
      <c r="C349" s="1" t="s">
        <v>435</v>
      </c>
      <c r="D349" s="1" t="s">
        <v>2062</v>
      </c>
      <c r="E349" s="1" t="s">
        <v>2063</v>
      </c>
      <c r="F349" s="3">
        <v>45400</v>
      </c>
      <c r="G349" s="3">
        <v>45125</v>
      </c>
      <c r="H349" s="3">
        <v>45490</v>
      </c>
      <c r="I349" s="1" t="s">
        <v>2751</v>
      </c>
      <c r="J349" s="1" t="s">
        <v>2752</v>
      </c>
      <c r="K349" s="1"/>
      <c r="L349" s="1" t="s">
        <v>2178</v>
      </c>
      <c r="M349" s="1" t="s">
        <v>2753</v>
      </c>
      <c r="N349" s="1" t="s">
        <v>2754</v>
      </c>
      <c r="O349" s="1" t="s">
        <v>2755</v>
      </c>
      <c r="P349" s="1" t="s">
        <v>2182</v>
      </c>
      <c r="Q349" s="1"/>
      <c r="R349" s="1"/>
      <c r="S349" s="1" t="s">
        <v>2072</v>
      </c>
      <c r="T349" s="1" t="s">
        <v>2073</v>
      </c>
      <c r="U349" s="4">
        <v>3100000</v>
      </c>
      <c r="V349" s="4">
        <v>1755</v>
      </c>
      <c r="W349" s="4">
        <v>18</v>
      </c>
      <c r="X349" s="4">
        <v>228</v>
      </c>
      <c r="Y349" s="4">
        <v>0</v>
      </c>
      <c r="Z349" s="5">
        <v>2001</v>
      </c>
      <c r="AA349" s="5">
        <v>0</v>
      </c>
      <c r="AB349" s="6">
        <v>0</v>
      </c>
      <c r="AC349" s="4">
        <v>2001</v>
      </c>
      <c r="AD349" s="4">
        <v>0</v>
      </c>
      <c r="AE349" s="4">
        <v>2001</v>
      </c>
      <c r="AF349" s="1"/>
      <c r="AG349" s="1"/>
      <c r="AH349" s="1"/>
      <c r="AI349" s="1" t="s">
        <v>2427</v>
      </c>
      <c r="AJ349" s="6">
        <v>503.11000000000104</v>
      </c>
      <c r="AK349" s="6">
        <v>471.530000000001</v>
      </c>
      <c r="AL349" s="1"/>
    </row>
    <row r="350" spans="1:38" hidden="1" x14ac:dyDescent="0.25">
      <c r="A350" s="2">
        <v>486</v>
      </c>
      <c r="B350" s="1" t="s">
        <v>432</v>
      </c>
      <c r="C350" s="1" t="s">
        <v>436</v>
      </c>
      <c r="D350" s="1" t="s">
        <v>2062</v>
      </c>
      <c r="E350" s="1" t="s">
        <v>2063</v>
      </c>
      <c r="F350" s="3">
        <v>45431</v>
      </c>
      <c r="G350" s="3">
        <v>45125</v>
      </c>
      <c r="H350" s="3">
        <v>45490</v>
      </c>
      <c r="I350" s="1" t="s">
        <v>2751</v>
      </c>
      <c r="J350" s="1" t="s">
        <v>2752</v>
      </c>
      <c r="K350" s="1"/>
      <c r="L350" s="1" t="s">
        <v>2178</v>
      </c>
      <c r="M350" s="1" t="s">
        <v>2753</v>
      </c>
      <c r="N350" s="1" t="s">
        <v>2754</v>
      </c>
      <c r="O350" s="1" t="s">
        <v>2755</v>
      </c>
      <c r="P350" s="1" t="s">
        <v>2182</v>
      </c>
      <c r="Q350" s="1"/>
      <c r="R350" s="1"/>
      <c r="S350" s="1" t="s">
        <v>2072</v>
      </c>
      <c r="T350" s="1" t="s">
        <v>2073</v>
      </c>
      <c r="U350" s="4">
        <v>3100000</v>
      </c>
      <c r="V350" s="4">
        <v>1656</v>
      </c>
      <c r="W350" s="4">
        <v>16</v>
      </c>
      <c r="X350" s="4">
        <v>215</v>
      </c>
      <c r="Y350" s="4">
        <v>0</v>
      </c>
      <c r="Z350" s="5">
        <v>1887</v>
      </c>
      <c r="AA350" s="5">
        <v>0</v>
      </c>
      <c r="AB350" s="6">
        <v>0</v>
      </c>
      <c r="AC350" s="4">
        <v>1887</v>
      </c>
      <c r="AD350" s="4">
        <v>0</v>
      </c>
      <c r="AE350" s="4">
        <v>1887</v>
      </c>
      <c r="AF350" s="1"/>
      <c r="AG350" s="1"/>
      <c r="AH350" s="1"/>
      <c r="AI350" s="1" t="s">
        <v>2427</v>
      </c>
      <c r="AJ350" s="6">
        <v>531.2900000000011</v>
      </c>
      <c r="AK350" s="6">
        <v>444.17</v>
      </c>
      <c r="AL350" s="1"/>
    </row>
    <row r="351" spans="1:38" hidden="1" x14ac:dyDescent="0.25">
      <c r="A351" s="2">
        <v>487</v>
      </c>
      <c r="B351" s="1" t="s">
        <v>432</v>
      </c>
      <c r="C351" s="1" t="s">
        <v>437</v>
      </c>
      <c r="D351" s="1" t="s">
        <v>2062</v>
      </c>
      <c r="E351" s="1" t="s">
        <v>2063</v>
      </c>
      <c r="F351" s="3">
        <v>45463</v>
      </c>
      <c r="G351" s="3">
        <v>45125</v>
      </c>
      <c r="H351" s="3">
        <v>45490</v>
      </c>
      <c r="I351" s="1" t="s">
        <v>2751</v>
      </c>
      <c r="J351" s="1" t="s">
        <v>2752</v>
      </c>
      <c r="K351" s="1"/>
      <c r="L351" s="1" t="s">
        <v>2178</v>
      </c>
      <c r="M351" s="1" t="s">
        <v>2753</v>
      </c>
      <c r="N351" s="1" t="s">
        <v>2754</v>
      </c>
      <c r="O351" s="1" t="s">
        <v>2755</v>
      </c>
      <c r="P351" s="1" t="s">
        <v>2182</v>
      </c>
      <c r="Q351" s="1"/>
      <c r="R351" s="1"/>
      <c r="S351" s="1" t="s">
        <v>2072</v>
      </c>
      <c r="T351" s="1" t="s">
        <v>2073</v>
      </c>
      <c r="U351" s="4">
        <v>3100000</v>
      </c>
      <c r="V351" s="4">
        <v>2079</v>
      </c>
      <c r="W351" s="4">
        <v>21</v>
      </c>
      <c r="X351" s="4">
        <v>271</v>
      </c>
      <c r="Y351" s="4">
        <v>0</v>
      </c>
      <c r="Z351" s="5">
        <v>2371</v>
      </c>
      <c r="AA351" s="5">
        <v>0</v>
      </c>
      <c r="AB351" s="6">
        <v>0</v>
      </c>
      <c r="AC351" s="4">
        <v>2371</v>
      </c>
      <c r="AD351" s="4">
        <v>0</v>
      </c>
      <c r="AE351" s="4">
        <v>2371</v>
      </c>
      <c r="AF351" s="1"/>
      <c r="AG351" s="1"/>
      <c r="AH351" s="1"/>
      <c r="AI351" s="1" t="s">
        <v>2427</v>
      </c>
      <c r="AJ351" s="6">
        <v>635.650000000001</v>
      </c>
      <c r="AK351" s="6">
        <v>558.84</v>
      </c>
      <c r="AL351" s="1"/>
    </row>
    <row r="352" spans="1:38" hidden="1" x14ac:dyDescent="0.25">
      <c r="A352" s="2">
        <v>488</v>
      </c>
      <c r="B352" s="1" t="s">
        <v>432</v>
      </c>
      <c r="C352" s="1" t="s">
        <v>438</v>
      </c>
      <c r="D352" s="1" t="s">
        <v>2062</v>
      </c>
      <c r="E352" s="1" t="s">
        <v>2063</v>
      </c>
      <c r="F352" s="3">
        <v>45492</v>
      </c>
      <c r="G352" s="3">
        <v>45125</v>
      </c>
      <c r="H352" s="3">
        <v>45490</v>
      </c>
      <c r="I352" s="1" t="s">
        <v>2751</v>
      </c>
      <c r="J352" s="1" t="s">
        <v>2752</v>
      </c>
      <c r="K352" s="1"/>
      <c r="L352" s="1" t="s">
        <v>2178</v>
      </c>
      <c r="M352" s="1" t="s">
        <v>2753</v>
      </c>
      <c r="N352" s="1" t="s">
        <v>2754</v>
      </c>
      <c r="O352" s="1" t="s">
        <v>2755</v>
      </c>
      <c r="P352" s="1" t="s">
        <v>2182</v>
      </c>
      <c r="Q352" s="1"/>
      <c r="R352" s="1"/>
      <c r="S352" s="1" t="s">
        <v>2072</v>
      </c>
      <c r="T352" s="1" t="s">
        <v>2073</v>
      </c>
      <c r="U352" s="4">
        <v>3100000</v>
      </c>
      <c r="V352" s="4">
        <v>2248</v>
      </c>
      <c r="W352" s="4">
        <v>22</v>
      </c>
      <c r="X352" s="4">
        <v>337</v>
      </c>
      <c r="Y352" s="4">
        <v>0</v>
      </c>
      <c r="Z352" s="5">
        <v>2607</v>
      </c>
      <c r="AA352" s="5">
        <v>0</v>
      </c>
      <c r="AB352" s="6">
        <v>0</v>
      </c>
      <c r="AC352" s="4">
        <v>2607</v>
      </c>
      <c r="AD352" s="4">
        <v>0</v>
      </c>
      <c r="AE352" s="4">
        <v>2607</v>
      </c>
      <c r="AF352" s="1"/>
      <c r="AG352" s="1"/>
      <c r="AH352" s="1"/>
      <c r="AI352" s="1" t="s">
        <v>2427</v>
      </c>
      <c r="AJ352" s="6">
        <v>700.89000000000101</v>
      </c>
      <c r="AK352" s="6">
        <v>613.55000000000007</v>
      </c>
      <c r="AL352" s="1"/>
    </row>
    <row r="353" spans="1:38" hidden="1" x14ac:dyDescent="0.25">
      <c r="A353" s="2">
        <v>489</v>
      </c>
      <c r="B353" s="1" t="s">
        <v>432</v>
      </c>
      <c r="C353" s="1" t="s">
        <v>439</v>
      </c>
      <c r="D353" s="1" t="s">
        <v>2062</v>
      </c>
      <c r="E353" s="1" t="s">
        <v>2063</v>
      </c>
      <c r="F353" s="3">
        <v>45655</v>
      </c>
      <c r="G353" s="3">
        <v>45125</v>
      </c>
      <c r="H353" s="3">
        <v>45490</v>
      </c>
      <c r="I353" s="1" t="s">
        <v>2751</v>
      </c>
      <c r="J353" s="1" t="s">
        <v>2752</v>
      </c>
      <c r="K353" s="1"/>
      <c r="L353" s="1" t="s">
        <v>2178</v>
      </c>
      <c r="M353" s="1" t="s">
        <v>2753</v>
      </c>
      <c r="N353" s="1" t="s">
        <v>2754</v>
      </c>
      <c r="O353" s="1" t="s">
        <v>2755</v>
      </c>
      <c r="P353" s="1" t="s">
        <v>2182</v>
      </c>
      <c r="Q353" s="1"/>
      <c r="R353" s="1"/>
      <c r="S353" s="1" t="s">
        <v>2072</v>
      </c>
      <c r="T353" s="1" t="s">
        <v>2073</v>
      </c>
      <c r="U353" s="4">
        <v>-1</v>
      </c>
      <c r="V353" s="4">
        <v>-66335</v>
      </c>
      <c r="W353" s="4">
        <v>-663</v>
      </c>
      <c r="X353" s="4">
        <v>0</v>
      </c>
      <c r="Y353" s="4">
        <v>0</v>
      </c>
      <c r="Z353" s="5">
        <v>-66998</v>
      </c>
      <c r="AA353" s="5">
        <v>0</v>
      </c>
      <c r="AB353" s="6">
        <v>0</v>
      </c>
      <c r="AC353" s="4">
        <v>-66998</v>
      </c>
      <c r="AD353" s="4">
        <v>0</v>
      </c>
      <c r="AE353" s="4">
        <v>-66998</v>
      </c>
      <c r="AF353" s="1"/>
      <c r="AG353" s="1"/>
      <c r="AH353" s="1"/>
      <c r="AI353" s="1" t="s">
        <v>2427</v>
      </c>
      <c r="AJ353" s="1"/>
      <c r="AK353" s="1"/>
      <c r="AL353" s="1"/>
    </row>
    <row r="354" spans="1:38" hidden="1" x14ac:dyDescent="0.25">
      <c r="A354" s="2">
        <v>490</v>
      </c>
      <c r="B354" s="1" t="s">
        <v>440</v>
      </c>
      <c r="C354" s="1" t="s">
        <v>441</v>
      </c>
      <c r="D354" s="1" t="s">
        <v>2062</v>
      </c>
      <c r="E354" s="1" t="s">
        <v>2063</v>
      </c>
      <c r="F354" s="3">
        <v>45138</v>
      </c>
      <c r="G354" s="3">
        <v>45119</v>
      </c>
      <c r="H354" s="3">
        <v>45484</v>
      </c>
      <c r="I354" s="1" t="s">
        <v>2757</v>
      </c>
      <c r="J354" s="1" t="s">
        <v>2758</v>
      </c>
      <c r="K354" s="1"/>
      <c r="L354" s="1" t="s">
        <v>2283</v>
      </c>
      <c r="M354" s="1" t="s">
        <v>2759</v>
      </c>
      <c r="N354" s="1" t="s">
        <v>2760</v>
      </c>
      <c r="O354" s="1" t="s">
        <v>2761</v>
      </c>
      <c r="P354" s="1" t="s">
        <v>2247</v>
      </c>
      <c r="Q354" s="1"/>
      <c r="R354" s="1"/>
      <c r="S354" s="1" t="s">
        <v>2072</v>
      </c>
      <c r="T354" s="1" t="s">
        <v>2489</v>
      </c>
      <c r="U354" s="4">
        <v>4000000</v>
      </c>
      <c r="V354" s="4">
        <v>65789</v>
      </c>
      <c r="W354" s="4">
        <v>658</v>
      </c>
      <c r="X354" s="4">
        <v>8553</v>
      </c>
      <c r="Y354" s="4">
        <v>0</v>
      </c>
      <c r="Z354" s="5">
        <v>75000</v>
      </c>
      <c r="AA354" s="5">
        <v>0</v>
      </c>
      <c r="AB354" s="6">
        <v>0</v>
      </c>
      <c r="AC354" s="4">
        <v>75000</v>
      </c>
      <c r="AD354" s="4">
        <v>0</v>
      </c>
      <c r="AE354" s="4">
        <v>75000</v>
      </c>
      <c r="AF354" s="1"/>
      <c r="AG354" s="1"/>
      <c r="AH354" s="1"/>
      <c r="AI354" s="1" t="s">
        <v>2327</v>
      </c>
      <c r="AJ354" s="1"/>
      <c r="AK354" s="1"/>
      <c r="AL354" s="1" t="s">
        <v>2762</v>
      </c>
    </row>
    <row r="355" spans="1:38" hidden="1" x14ac:dyDescent="0.25">
      <c r="A355" s="2">
        <v>491</v>
      </c>
      <c r="B355" s="1" t="s">
        <v>440</v>
      </c>
      <c r="C355" s="1" t="s">
        <v>442</v>
      </c>
      <c r="D355" s="1" t="s">
        <v>2062</v>
      </c>
      <c r="E355" s="1" t="s">
        <v>2063</v>
      </c>
      <c r="F355" s="3">
        <v>45225</v>
      </c>
      <c r="G355" s="3">
        <v>45119</v>
      </c>
      <c r="H355" s="3">
        <v>45484</v>
      </c>
      <c r="I355" s="1" t="s">
        <v>2757</v>
      </c>
      <c r="J355" s="1" t="s">
        <v>2758</v>
      </c>
      <c r="K355" s="1"/>
      <c r="L355" s="1" t="s">
        <v>2283</v>
      </c>
      <c r="M355" s="1" t="s">
        <v>2759</v>
      </c>
      <c r="N355" s="1" t="s">
        <v>2760</v>
      </c>
      <c r="O355" s="1" t="s">
        <v>2761</v>
      </c>
      <c r="P355" s="1" t="s">
        <v>2247</v>
      </c>
      <c r="Q355" s="1"/>
      <c r="R355" s="1"/>
      <c r="S355" s="1" t="s">
        <v>2072</v>
      </c>
      <c r="T355" s="1" t="s">
        <v>2489</v>
      </c>
      <c r="U355" s="4">
        <v>4000000</v>
      </c>
      <c r="V355" s="4">
        <v>-981</v>
      </c>
      <c r="W355" s="4">
        <v>-10</v>
      </c>
      <c r="X355" s="4">
        <v>-127</v>
      </c>
      <c r="Y355" s="4">
        <v>0</v>
      </c>
      <c r="Z355" s="5">
        <v>-1118</v>
      </c>
      <c r="AA355" s="5">
        <v>0</v>
      </c>
      <c r="AB355" s="6">
        <v>0</v>
      </c>
      <c r="AC355" s="4">
        <v>-1118</v>
      </c>
      <c r="AD355" s="4">
        <v>0</v>
      </c>
      <c r="AE355" s="4">
        <v>-1118</v>
      </c>
      <c r="AF355" s="1"/>
      <c r="AG355" s="1"/>
      <c r="AH355" s="1"/>
      <c r="AI355" s="1" t="s">
        <v>2327</v>
      </c>
      <c r="AJ355" s="1"/>
      <c r="AK355" s="1"/>
      <c r="AL355" s="1" t="s">
        <v>2762</v>
      </c>
    </row>
    <row r="356" spans="1:38" hidden="1" x14ac:dyDescent="0.25">
      <c r="A356" s="2">
        <v>492</v>
      </c>
      <c r="B356" s="1" t="s">
        <v>440</v>
      </c>
      <c r="C356" s="1" t="s">
        <v>443</v>
      </c>
      <c r="D356" s="1" t="s">
        <v>2062</v>
      </c>
      <c r="E356" s="1" t="s">
        <v>2063</v>
      </c>
      <c r="F356" s="3">
        <v>45304</v>
      </c>
      <c r="G356" s="3">
        <v>45119</v>
      </c>
      <c r="H356" s="3">
        <v>45484</v>
      </c>
      <c r="I356" s="1" t="s">
        <v>2757</v>
      </c>
      <c r="J356" s="1" t="s">
        <v>2758</v>
      </c>
      <c r="K356" s="1"/>
      <c r="L356" s="1" t="s">
        <v>2283</v>
      </c>
      <c r="M356" s="1" t="s">
        <v>2759</v>
      </c>
      <c r="N356" s="1" t="s">
        <v>2760</v>
      </c>
      <c r="O356" s="1" t="s">
        <v>2761</v>
      </c>
      <c r="P356" s="1" t="s">
        <v>2247</v>
      </c>
      <c r="Q356" s="1"/>
      <c r="R356" s="1"/>
      <c r="S356" s="1" t="s">
        <v>2072</v>
      </c>
      <c r="T356" s="1" t="s">
        <v>2489</v>
      </c>
      <c r="U356" s="4">
        <v>4000000</v>
      </c>
      <c r="V356" s="4">
        <v>4059</v>
      </c>
      <c r="W356" s="4">
        <v>40</v>
      </c>
      <c r="X356" s="4">
        <v>527</v>
      </c>
      <c r="Y356" s="4">
        <v>0</v>
      </c>
      <c r="Z356" s="5">
        <v>4626</v>
      </c>
      <c r="AA356" s="5">
        <v>0</v>
      </c>
      <c r="AB356" s="6">
        <v>0</v>
      </c>
      <c r="AC356" s="4">
        <v>4626</v>
      </c>
      <c r="AD356" s="4">
        <v>0</v>
      </c>
      <c r="AE356" s="4">
        <v>4626</v>
      </c>
      <c r="AF356" s="1"/>
      <c r="AG356" s="1"/>
      <c r="AH356" s="1"/>
      <c r="AI356" s="1" t="s">
        <v>2327</v>
      </c>
      <c r="AJ356" s="6">
        <v>2457.0500000000011</v>
      </c>
      <c r="AK356" s="6">
        <v>1056.3600000000001</v>
      </c>
      <c r="AL356" s="1"/>
    </row>
    <row r="357" spans="1:38" hidden="1" x14ac:dyDescent="0.25">
      <c r="A357" s="2">
        <v>493</v>
      </c>
      <c r="B357" s="1" t="s">
        <v>440</v>
      </c>
      <c r="C357" s="1" t="s">
        <v>444</v>
      </c>
      <c r="D357" s="1" t="s">
        <v>2062</v>
      </c>
      <c r="E357" s="1" t="s">
        <v>2063</v>
      </c>
      <c r="F357" s="3">
        <v>45336</v>
      </c>
      <c r="G357" s="3">
        <v>45119</v>
      </c>
      <c r="H357" s="3">
        <v>45484</v>
      </c>
      <c r="I357" s="1" t="s">
        <v>2757</v>
      </c>
      <c r="J357" s="1" t="s">
        <v>2758</v>
      </c>
      <c r="K357" s="1"/>
      <c r="L357" s="1" t="s">
        <v>2283</v>
      </c>
      <c r="M357" s="1" t="s">
        <v>2759</v>
      </c>
      <c r="N357" s="1" t="s">
        <v>2760</v>
      </c>
      <c r="O357" s="1" t="s">
        <v>2761</v>
      </c>
      <c r="P357" s="1" t="s">
        <v>2247</v>
      </c>
      <c r="Q357" s="1"/>
      <c r="R357" s="1"/>
      <c r="S357" s="1" t="s">
        <v>2072</v>
      </c>
      <c r="T357" s="1" t="s">
        <v>2489</v>
      </c>
      <c r="U357" s="4">
        <v>4000000</v>
      </c>
      <c r="V357" s="4">
        <v>3977</v>
      </c>
      <c r="W357" s="4">
        <v>40</v>
      </c>
      <c r="X357" s="4">
        <v>517</v>
      </c>
      <c r="Y357" s="4">
        <v>0</v>
      </c>
      <c r="Z357" s="5">
        <v>4534</v>
      </c>
      <c r="AA357" s="5">
        <v>0</v>
      </c>
      <c r="AB357" s="6">
        <v>0</v>
      </c>
      <c r="AC357" s="4">
        <v>4534</v>
      </c>
      <c r="AD357" s="4">
        <v>0</v>
      </c>
      <c r="AE357" s="4">
        <v>4534</v>
      </c>
      <c r="AF357" s="1"/>
      <c r="AG357" s="1"/>
      <c r="AH357" s="1"/>
      <c r="AI357" s="1" t="s">
        <v>2327</v>
      </c>
      <c r="AJ357" s="6">
        <v>2751.3399999999938</v>
      </c>
      <c r="AK357" s="6">
        <v>1034.8700000000001</v>
      </c>
      <c r="AL357" s="1"/>
    </row>
    <row r="358" spans="1:38" hidden="1" x14ac:dyDescent="0.25">
      <c r="A358" s="2">
        <v>494</v>
      </c>
      <c r="B358" s="1" t="s">
        <v>440</v>
      </c>
      <c r="C358" s="1" t="s">
        <v>445</v>
      </c>
      <c r="D358" s="1" t="s">
        <v>2062</v>
      </c>
      <c r="E358" s="1" t="s">
        <v>2063</v>
      </c>
      <c r="F358" s="3">
        <v>45364</v>
      </c>
      <c r="G358" s="3">
        <v>45119</v>
      </c>
      <c r="H358" s="3">
        <v>45484</v>
      </c>
      <c r="I358" s="1" t="s">
        <v>2757</v>
      </c>
      <c r="J358" s="1" t="s">
        <v>2758</v>
      </c>
      <c r="K358" s="1"/>
      <c r="L358" s="1" t="s">
        <v>2283</v>
      </c>
      <c r="M358" s="1" t="s">
        <v>2759</v>
      </c>
      <c r="N358" s="1" t="s">
        <v>2760</v>
      </c>
      <c r="O358" s="1" t="s">
        <v>2761</v>
      </c>
      <c r="P358" s="1" t="s">
        <v>2247</v>
      </c>
      <c r="Q358" s="1"/>
      <c r="R358" s="1"/>
      <c r="S358" s="1" t="s">
        <v>2072</v>
      </c>
      <c r="T358" s="1" t="s">
        <v>2489</v>
      </c>
      <c r="U358" s="4">
        <v>4000000</v>
      </c>
      <c r="V358" s="4">
        <v>4118</v>
      </c>
      <c r="W358" s="4">
        <v>41</v>
      </c>
      <c r="X358" s="4">
        <v>536</v>
      </c>
      <c r="Y358" s="4">
        <v>0</v>
      </c>
      <c r="Z358" s="5">
        <v>4695</v>
      </c>
      <c r="AA358" s="5">
        <v>0</v>
      </c>
      <c r="AB358" s="6">
        <v>0</v>
      </c>
      <c r="AC358" s="4">
        <v>4695</v>
      </c>
      <c r="AD358" s="4">
        <v>0</v>
      </c>
      <c r="AE358" s="4">
        <v>4695</v>
      </c>
      <c r="AF358" s="1"/>
      <c r="AG358" s="1"/>
      <c r="AH358" s="1"/>
      <c r="AI358" s="1" t="s">
        <v>2327</v>
      </c>
      <c r="AJ358" s="6">
        <v>2056.44</v>
      </c>
      <c r="AK358" s="6">
        <v>1071.43</v>
      </c>
      <c r="AL358" s="1"/>
    </row>
    <row r="359" spans="1:38" hidden="1" x14ac:dyDescent="0.25">
      <c r="A359" s="2">
        <v>495</v>
      </c>
      <c r="B359" s="1" t="s">
        <v>440</v>
      </c>
      <c r="C359" s="1" t="s">
        <v>446</v>
      </c>
      <c r="D359" s="1" t="s">
        <v>2062</v>
      </c>
      <c r="E359" s="1" t="s">
        <v>2063</v>
      </c>
      <c r="F359" s="3">
        <v>45396</v>
      </c>
      <c r="G359" s="3">
        <v>45119</v>
      </c>
      <c r="H359" s="3">
        <v>45484</v>
      </c>
      <c r="I359" s="1" t="s">
        <v>2757</v>
      </c>
      <c r="J359" s="1" t="s">
        <v>2758</v>
      </c>
      <c r="K359" s="1"/>
      <c r="L359" s="1" t="s">
        <v>2283</v>
      </c>
      <c r="M359" s="1" t="s">
        <v>2759</v>
      </c>
      <c r="N359" s="1" t="s">
        <v>2760</v>
      </c>
      <c r="O359" s="1" t="s">
        <v>2761</v>
      </c>
      <c r="P359" s="1" t="s">
        <v>2247</v>
      </c>
      <c r="Q359" s="1"/>
      <c r="R359" s="1"/>
      <c r="S359" s="1" t="s">
        <v>2072</v>
      </c>
      <c r="T359" s="1" t="s">
        <v>2489</v>
      </c>
      <c r="U359" s="4">
        <v>4000000</v>
      </c>
      <c r="V359" s="4">
        <v>4035</v>
      </c>
      <c r="W359" s="4">
        <v>41</v>
      </c>
      <c r="X359" s="4">
        <v>524</v>
      </c>
      <c r="Y359" s="4">
        <v>0</v>
      </c>
      <c r="Z359" s="5">
        <v>4600</v>
      </c>
      <c r="AA359" s="5">
        <v>0</v>
      </c>
      <c r="AB359" s="6">
        <v>0</v>
      </c>
      <c r="AC359" s="4">
        <v>4600</v>
      </c>
      <c r="AD359" s="4">
        <v>0</v>
      </c>
      <c r="AE359" s="4">
        <v>4600</v>
      </c>
      <c r="AF359" s="1"/>
      <c r="AG359" s="1"/>
      <c r="AH359" s="1"/>
      <c r="AI359" s="1" t="s">
        <v>2327</v>
      </c>
      <c r="AJ359" s="6">
        <v>1752.15</v>
      </c>
      <c r="AK359" s="6">
        <v>1050.1200000000001</v>
      </c>
      <c r="AL359" s="1"/>
    </row>
    <row r="360" spans="1:38" hidden="1" x14ac:dyDescent="0.25">
      <c r="A360" s="2">
        <v>496</v>
      </c>
      <c r="B360" s="1" t="s">
        <v>440</v>
      </c>
      <c r="C360" s="1" t="s">
        <v>447</v>
      </c>
      <c r="D360" s="1" t="s">
        <v>2062</v>
      </c>
      <c r="E360" s="1" t="s">
        <v>2063</v>
      </c>
      <c r="F360" s="3">
        <v>45425</v>
      </c>
      <c r="G360" s="3">
        <v>45119</v>
      </c>
      <c r="H360" s="3">
        <v>45484</v>
      </c>
      <c r="I360" s="1" t="s">
        <v>2757</v>
      </c>
      <c r="J360" s="1" t="s">
        <v>2758</v>
      </c>
      <c r="K360" s="1"/>
      <c r="L360" s="1" t="s">
        <v>2283</v>
      </c>
      <c r="M360" s="1" t="s">
        <v>2759</v>
      </c>
      <c r="N360" s="1" t="s">
        <v>2760</v>
      </c>
      <c r="O360" s="1" t="s">
        <v>2761</v>
      </c>
      <c r="P360" s="1" t="s">
        <v>2247</v>
      </c>
      <c r="Q360" s="1"/>
      <c r="R360" s="1"/>
      <c r="S360" s="1" t="s">
        <v>2072</v>
      </c>
      <c r="T360" s="1" t="s">
        <v>2489</v>
      </c>
      <c r="U360" s="4">
        <v>4000000</v>
      </c>
      <c r="V360" s="4">
        <v>4064</v>
      </c>
      <c r="W360" s="4">
        <v>40</v>
      </c>
      <c r="X360" s="4">
        <v>528</v>
      </c>
      <c r="Y360" s="4">
        <v>0</v>
      </c>
      <c r="Z360" s="5">
        <v>4632</v>
      </c>
      <c r="AA360" s="5">
        <v>0</v>
      </c>
      <c r="AB360" s="6">
        <v>0</v>
      </c>
      <c r="AC360" s="4">
        <v>4632</v>
      </c>
      <c r="AD360" s="4">
        <v>0</v>
      </c>
      <c r="AE360" s="4">
        <v>4632</v>
      </c>
      <c r="AF360" s="1"/>
      <c r="AG360" s="1"/>
      <c r="AH360" s="1"/>
      <c r="AI360" s="1" t="s">
        <v>2327</v>
      </c>
      <c r="AJ360" s="6">
        <v>2362.4300000000012</v>
      </c>
      <c r="AK360" s="6">
        <v>1057.72</v>
      </c>
      <c r="AL360" s="1"/>
    </row>
    <row r="361" spans="1:38" hidden="1" x14ac:dyDescent="0.25">
      <c r="A361" s="2">
        <v>497</v>
      </c>
      <c r="B361" s="1" t="s">
        <v>440</v>
      </c>
      <c r="C361" s="1" t="s">
        <v>448</v>
      </c>
      <c r="D361" s="1" t="s">
        <v>2062</v>
      </c>
      <c r="E361" s="1" t="s">
        <v>2063</v>
      </c>
      <c r="F361" s="3">
        <v>45455</v>
      </c>
      <c r="G361" s="3">
        <v>45119</v>
      </c>
      <c r="H361" s="3">
        <v>45484</v>
      </c>
      <c r="I361" s="1" t="s">
        <v>2757</v>
      </c>
      <c r="J361" s="1" t="s">
        <v>2758</v>
      </c>
      <c r="K361" s="1"/>
      <c r="L361" s="1" t="s">
        <v>2283</v>
      </c>
      <c r="M361" s="1" t="s">
        <v>2759</v>
      </c>
      <c r="N361" s="1" t="s">
        <v>2760</v>
      </c>
      <c r="O361" s="1" t="s">
        <v>2761</v>
      </c>
      <c r="P361" s="1" t="s">
        <v>2247</v>
      </c>
      <c r="Q361" s="1"/>
      <c r="R361" s="1"/>
      <c r="S361" s="1" t="s">
        <v>2072</v>
      </c>
      <c r="T361" s="1" t="s">
        <v>2489</v>
      </c>
      <c r="U361" s="4">
        <v>4000000</v>
      </c>
      <c r="V361" s="4">
        <v>4510</v>
      </c>
      <c r="W361" s="4">
        <v>45</v>
      </c>
      <c r="X361" s="4">
        <v>587</v>
      </c>
      <c r="Y361" s="4">
        <v>0</v>
      </c>
      <c r="Z361" s="5">
        <v>5142</v>
      </c>
      <c r="AA361" s="5">
        <v>0</v>
      </c>
      <c r="AB361" s="6">
        <v>0</v>
      </c>
      <c r="AC361" s="4">
        <v>5142</v>
      </c>
      <c r="AD361" s="4">
        <v>0</v>
      </c>
      <c r="AE361" s="4">
        <v>5142</v>
      </c>
      <c r="AF361" s="1"/>
      <c r="AG361" s="1"/>
      <c r="AH361" s="1"/>
      <c r="AI361" s="1" t="s">
        <v>2327</v>
      </c>
      <c r="AJ361" s="6">
        <v>2675.8</v>
      </c>
      <c r="AK361" s="6">
        <v>1174.02</v>
      </c>
      <c r="AL361" s="1"/>
    </row>
    <row r="362" spans="1:38" hidden="1" x14ac:dyDescent="0.25">
      <c r="A362" s="2">
        <v>498</v>
      </c>
      <c r="B362" s="1" t="s">
        <v>440</v>
      </c>
      <c r="C362" s="1" t="s">
        <v>449</v>
      </c>
      <c r="D362" s="1" t="s">
        <v>2062</v>
      </c>
      <c r="E362" s="1" t="s">
        <v>2063</v>
      </c>
      <c r="F362" s="3">
        <v>45485</v>
      </c>
      <c r="G362" s="3">
        <v>45119</v>
      </c>
      <c r="H362" s="3">
        <v>45484</v>
      </c>
      <c r="I362" s="1" t="s">
        <v>2757</v>
      </c>
      <c r="J362" s="1" t="s">
        <v>2758</v>
      </c>
      <c r="K362" s="1"/>
      <c r="L362" s="1" t="s">
        <v>2283</v>
      </c>
      <c r="M362" s="1" t="s">
        <v>2759</v>
      </c>
      <c r="N362" s="1" t="s">
        <v>2760</v>
      </c>
      <c r="O362" s="1" t="s">
        <v>2761</v>
      </c>
      <c r="P362" s="1" t="s">
        <v>2247</v>
      </c>
      <c r="Q362" s="1"/>
      <c r="R362" s="1"/>
      <c r="S362" s="1" t="s">
        <v>2072</v>
      </c>
      <c r="T362" s="1" t="s">
        <v>2489</v>
      </c>
      <c r="U362" s="4">
        <v>4000000</v>
      </c>
      <c r="V362" s="4">
        <v>3883</v>
      </c>
      <c r="W362" s="4">
        <v>39</v>
      </c>
      <c r="X362" s="4">
        <v>583</v>
      </c>
      <c r="Y362" s="4">
        <v>0</v>
      </c>
      <c r="Z362" s="5">
        <v>4505</v>
      </c>
      <c r="AA362" s="5">
        <v>0</v>
      </c>
      <c r="AB362" s="6">
        <v>0</v>
      </c>
      <c r="AC362" s="4">
        <v>4505</v>
      </c>
      <c r="AD362" s="4">
        <v>0</v>
      </c>
      <c r="AE362" s="4">
        <v>4505</v>
      </c>
      <c r="AF362" s="1"/>
      <c r="AG362" s="1"/>
      <c r="AH362" s="1"/>
      <c r="AI362" s="1" t="s">
        <v>2327</v>
      </c>
      <c r="AJ362" s="6">
        <v>1864.11</v>
      </c>
      <c r="AK362" s="6">
        <v>1028.0700000000008</v>
      </c>
      <c r="AL362" s="1"/>
    </row>
    <row r="363" spans="1:38" hidden="1" x14ac:dyDescent="0.25">
      <c r="A363" s="2">
        <v>499</v>
      </c>
      <c r="B363" s="1" t="s">
        <v>440</v>
      </c>
      <c r="C363" s="1" t="s">
        <v>450</v>
      </c>
      <c r="D363" s="1" t="s">
        <v>2062</v>
      </c>
      <c r="E363" s="1" t="s">
        <v>2063</v>
      </c>
      <c r="F363" s="3">
        <v>45596</v>
      </c>
      <c r="G363" s="3">
        <v>45119</v>
      </c>
      <c r="H363" s="3">
        <v>45484</v>
      </c>
      <c r="I363" s="1" t="s">
        <v>2757</v>
      </c>
      <c r="J363" s="1" t="s">
        <v>2758</v>
      </c>
      <c r="K363" s="1"/>
      <c r="L363" s="1" t="s">
        <v>2283</v>
      </c>
      <c r="M363" s="1" t="s">
        <v>2759</v>
      </c>
      <c r="N363" s="1" t="s">
        <v>2760</v>
      </c>
      <c r="O363" s="1" t="s">
        <v>2761</v>
      </c>
      <c r="P363" s="1" t="s">
        <v>2247</v>
      </c>
      <c r="Q363" s="1"/>
      <c r="R363" s="1"/>
      <c r="S363" s="1" t="s">
        <v>2072</v>
      </c>
      <c r="T363" s="1" t="s">
        <v>2489</v>
      </c>
      <c r="U363" s="4">
        <v>-1</v>
      </c>
      <c r="V363" s="4">
        <v>-105560</v>
      </c>
      <c r="W363" s="4">
        <v>-1056</v>
      </c>
      <c r="X363" s="4">
        <v>0</v>
      </c>
      <c r="Y363" s="4">
        <v>0</v>
      </c>
      <c r="Z363" s="5">
        <v>-106616</v>
      </c>
      <c r="AA363" s="5">
        <v>0</v>
      </c>
      <c r="AB363" s="6">
        <v>0</v>
      </c>
      <c r="AC363" s="4">
        <v>-106616</v>
      </c>
      <c r="AD363" s="4">
        <v>0</v>
      </c>
      <c r="AE363" s="4">
        <v>-106616</v>
      </c>
      <c r="AF363" s="1"/>
      <c r="AG363" s="1"/>
      <c r="AH363" s="1"/>
      <c r="AI363" s="1" t="s">
        <v>2327</v>
      </c>
      <c r="AJ363" s="1"/>
      <c r="AK363" s="1"/>
      <c r="AL363" s="1"/>
    </row>
    <row r="364" spans="1:38" hidden="1" x14ac:dyDescent="0.25">
      <c r="A364" s="2">
        <v>502</v>
      </c>
      <c r="B364" s="1" t="s">
        <v>451</v>
      </c>
      <c r="C364" s="1" t="s">
        <v>452</v>
      </c>
      <c r="D364" s="1" t="s">
        <v>2062</v>
      </c>
      <c r="E364" s="1" t="s">
        <v>2063</v>
      </c>
      <c r="F364" s="3">
        <v>45138</v>
      </c>
      <c r="G364" s="3">
        <v>45127</v>
      </c>
      <c r="H364" s="3">
        <v>45492</v>
      </c>
      <c r="I364" s="1" t="s">
        <v>2763</v>
      </c>
      <c r="J364" s="1" t="s">
        <v>2764</v>
      </c>
      <c r="K364" s="1"/>
      <c r="L364" s="1" t="s">
        <v>2765</v>
      </c>
      <c r="M364" s="1" t="s">
        <v>2766</v>
      </c>
      <c r="N364" s="1" t="s">
        <v>2767</v>
      </c>
      <c r="O364" s="1" t="s">
        <v>2768</v>
      </c>
      <c r="P364" s="1" t="s">
        <v>2247</v>
      </c>
      <c r="Q364" s="1"/>
      <c r="R364" s="1"/>
      <c r="S364" s="1" t="s">
        <v>2072</v>
      </c>
      <c r="T364" s="1" t="s">
        <v>2073</v>
      </c>
      <c r="U364" s="4">
        <v>2300000</v>
      </c>
      <c r="V364" s="4">
        <v>35964</v>
      </c>
      <c r="W364" s="4">
        <v>360</v>
      </c>
      <c r="X364" s="4">
        <v>4676</v>
      </c>
      <c r="Y364" s="4">
        <v>0</v>
      </c>
      <c r="Z364" s="5">
        <v>41000</v>
      </c>
      <c r="AA364" s="5">
        <v>0</v>
      </c>
      <c r="AB364" s="6">
        <v>0</v>
      </c>
      <c r="AC364" s="4">
        <v>41000</v>
      </c>
      <c r="AD364" s="4">
        <v>0</v>
      </c>
      <c r="AE364" s="4">
        <v>41000</v>
      </c>
      <c r="AF364" s="1"/>
      <c r="AG364" s="1"/>
      <c r="AH364" s="1"/>
      <c r="AI364" s="1" t="s">
        <v>2327</v>
      </c>
      <c r="AJ364" s="1"/>
      <c r="AK364" s="1"/>
      <c r="AL364" s="1" t="s">
        <v>2769</v>
      </c>
    </row>
    <row r="365" spans="1:38" hidden="1" x14ac:dyDescent="0.25">
      <c r="A365" s="2">
        <v>503</v>
      </c>
      <c r="B365" s="1" t="s">
        <v>451</v>
      </c>
      <c r="C365" s="1" t="s">
        <v>453</v>
      </c>
      <c r="D365" s="1" t="s">
        <v>2062</v>
      </c>
      <c r="E365" s="1" t="s">
        <v>2063</v>
      </c>
      <c r="F365" s="3">
        <v>45432</v>
      </c>
      <c r="G365" s="3">
        <v>45127</v>
      </c>
      <c r="H365" s="3">
        <v>45492</v>
      </c>
      <c r="I365" s="1" t="s">
        <v>2763</v>
      </c>
      <c r="J365" s="1" t="s">
        <v>2764</v>
      </c>
      <c r="K365" s="1"/>
      <c r="L365" s="1" t="s">
        <v>2765</v>
      </c>
      <c r="M365" s="1" t="s">
        <v>2766</v>
      </c>
      <c r="N365" s="1" t="s">
        <v>2767</v>
      </c>
      <c r="O365" s="1" t="s">
        <v>2768</v>
      </c>
      <c r="P365" s="1" t="s">
        <v>2247</v>
      </c>
      <c r="Q365" s="1"/>
      <c r="R365" s="1"/>
      <c r="S365" s="1" t="s">
        <v>2072</v>
      </c>
      <c r="T365" s="1" t="s">
        <v>2073</v>
      </c>
      <c r="U365" s="4">
        <v>2300000</v>
      </c>
      <c r="V365" s="4">
        <v>434</v>
      </c>
      <c r="W365" s="4">
        <v>4</v>
      </c>
      <c r="X365" s="4">
        <v>56</v>
      </c>
      <c r="Y365" s="4">
        <v>0</v>
      </c>
      <c r="Z365" s="5">
        <v>494</v>
      </c>
      <c r="AA365" s="5">
        <v>0</v>
      </c>
      <c r="AB365" s="6">
        <v>0</v>
      </c>
      <c r="AC365" s="4">
        <v>494</v>
      </c>
      <c r="AD365" s="4">
        <v>0</v>
      </c>
      <c r="AE365" s="4">
        <v>494</v>
      </c>
      <c r="AF365" s="1"/>
      <c r="AG365" s="1"/>
      <c r="AH365" s="1"/>
      <c r="AI365" s="1" t="s">
        <v>2327</v>
      </c>
      <c r="AJ365" s="6">
        <v>156.77000000000001</v>
      </c>
      <c r="AK365" s="6">
        <v>156.77000000000001</v>
      </c>
      <c r="AL365" s="1"/>
    </row>
    <row r="366" spans="1:38" hidden="1" x14ac:dyDescent="0.25">
      <c r="A366" s="2">
        <v>504</v>
      </c>
      <c r="B366" s="1" t="s">
        <v>451</v>
      </c>
      <c r="C366" s="1" t="s">
        <v>454</v>
      </c>
      <c r="D366" s="1" t="s">
        <v>2062</v>
      </c>
      <c r="E366" s="1" t="s">
        <v>2063</v>
      </c>
      <c r="F366" s="3">
        <v>45465</v>
      </c>
      <c r="G366" s="3">
        <v>45127</v>
      </c>
      <c r="H366" s="3">
        <v>45492</v>
      </c>
      <c r="I366" s="1" t="s">
        <v>2763</v>
      </c>
      <c r="J366" s="1" t="s">
        <v>2764</v>
      </c>
      <c r="K366" s="1"/>
      <c r="L366" s="1" t="s">
        <v>2765</v>
      </c>
      <c r="M366" s="1" t="s">
        <v>2766</v>
      </c>
      <c r="N366" s="1" t="s">
        <v>2767</v>
      </c>
      <c r="O366" s="1" t="s">
        <v>2768</v>
      </c>
      <c r="P366" s="1" t="s">
        <v>2247</v>
      </c>
      <c r="Q366" s="1"/>
      <c r="R366" s="1"/>
      <c r="S366" s="1" t="s">
        <v>2072</v>
      </c>
      <c r="T366" s="1" t="s">
        <v>2073</v>
      </c>
      <c r="U366" s="4">
        <v>2300000</v>
      </c>
      <c r="V366" s="4">
        <v>770</v>
      </c>
      <c r="W366" s="4">
        <v>8</v>
      </c>
      <c r="X366" s="4">
        <v>100</v>
      </c>
      <c r="Y366" s="4">
        <v>0</v>
      </c>
      <c r="Z366" s="5">
        <v>878</v>
      </c>
      <c r="AA366" s="5">
        <v>0</v>
      </c>
      <c r="AB366" s="6">
        <v>0</v>
      </c>
      <c r="AC366" s="4">
        <v>878</v>
      </c>
      <c r="AD366" s="4">
        <v>0</v>
      </c>
      <c r="AE366" s="4">
        <v>878</v>
      </c>
      <c r="AF366" s="1"/>
      <c r="AG366" s="1"/>
      <c r="AH366" s="1"/>
      <c r="AI366" s="1" t="s">
        <v>2327</v>
      </c>
      <c r="AJ366" s="6">
        <v>295.11</v>
      </c>
      <c r="AK366" s="6">
        <v>278.54000000000002</v>
      </c>
      <c r="AL366" s="1"/>
    </row>
    <row r="367" spans="1:38" hidden="1" x14ac:dyDescent="0.25">
      <c r="A367" s="2">
        <v>505</v>
      </c>
      <c r="B367" s="1" t="s">
        <v>451</v>
      </c>
      <c r="C367" s="1" t="s">
        <v>455</v>
      </c>
      <c r="D367" s="1" t="s">
        <v>2062</v>
      </c>
      <c r="E367" s="1" t="s">
        <v>2063</v>
      </c>
      <c r="F367" s="3">
        <v>45496</v>
      </c>
      <c r="G367" s="3">
        <v>45127</v>
      </c>
      <c r="H367" s="3">
        <v>45492</v>
      </c>
      <c r="I367" s="1" t="s">
        <v>2763</v>
      </c>
      <c r="J367" s="1" t="s">
        <v>2764</v>
      </c>
      <c r="K367" s="1"/>
      <c r="L367" s="1" t="s">
        <v>2765</v>
      </c>
      <c r="M367" s="1" t="s">
        <v>2766</v>
      </c>
      <c r="N367" s="1" t="s">
        <v>2767</v>
      </c>
      <c r="O367" s="1" t="s">
        <v>2768</v>
      </c>
      <c r="P367" s="1" t="s">
        <v>2247</v>
      </c>
      <c r="Q367" s="1"/>
      <c r="R367" s="1"/>
      <c r="S367" s="1" t="s">
        <v>2072</v>
      </c>
      <c r="T367" s="1" t="s">
        <v>2073</v>
      </c>
      <c r="U367" s="4">
        <v>2300000</v>
      </c>
      <c r="V367" s="4">
        <v>435</v>
      </c>
      <c r="W367" s="4">
        <v>4</v>
      </c>
      <c r="X367" s="4">
        <v>65</v>
      </c>
      <c r="Y367" s="4">
        <v>0</v>
      </c>
      <c r="Z367" s="5">
        <v>504</v>
      </c>
      <c r="AA367" s="5">
        <v>0</v>
      </c>
      <c r="AB367" s="6">
        <v>0</v>
      </c>
      <c r="AC367" s="4">
        <v>504</v>
      </c>
      <c r="AD367" s="4">
        <v>0</v>
      </c>
      <c r="AE367" s="4">
        <v>504</v>
      </c>
      <c r="AF367" s="1"/>
      <c r="AG367" s="1"/>
      <c r="AH367" s="1"/>
      <c r="AI367" s="1" t="s">
        <v>2327</v>
      </c>
      <c r="AJ367" s="6">
        <v>160.11000000000001</v>
      </c>
      <c r="AK367" s="6">
        <v>160.11000000000001</v>
      </c>
      <c r="AL367" s="1"/>
    </row>
    <row r="368" spans="1:38" hidden="1" x14ac:dyDescent="0.25">
      <c r="A368" s="2">
        <v>506</v>
      </c>
      <c r="B368" s="1" t="s">
        <v>451</v>
      </c>
      <c r="C368" s="1" t="s">
        <v>456</v>
      </c>
      <c r="D368" s="1" t="s">
        <v>2062</v>
      </c>
      <c r="E368" s="1" t="s">
        <v>2063</v>
      </c>
      <c r="F368" s="3">
        <v>45655</v>
      </c>
      <c r="G368" s="3">
        <v>45127</v>
      </c>
      <c r="H368" s="3">
        <v>45492</v>
      </c>
      <c r="I368" s="1" t="s">
        <v>2763</v>
      </c>
      <c r="J368" s="1" t="s">
        <v>2764</v>
      </c>
      <c r="K368" s="1"/>
      <c r="L368" s="1" t="s">
        <v>2765</v>
      </c>
      <c r="M368" s="1" t="s">
        <v>2766</v>
      </c>
      <c r="N368" s="1" t="s">
        <v>2767</v>
      </c>
      <c r="O368" s="1" t="s">
        <v>2768</v>
      </c>
      <c r="P368" s="1" t="s">
        <v>2247</v>
      </c>
      <c r="Q368" s="1"/>
      <c r="R368" s="1"/>
      <c r="S368" s="1" t="s">
        <v>2072</v>
      </c>
      <c r="T368" s="1" t="s">
        <v>2073</v>
      </c>
      <c r="U368" s="4">
        <v>-1</v>
      </c>
      <c r="V368" s="4">
        <v>-42451</v>
      </c>
      <c r="W368" s="4">
        <v>-425</v>
      </c>
      <c r="X368" s="4">
        <v>0</v>
      </c>
      <c r="Y368" s="4">
        <v>0</v>
      </c>
      <c r="Z368" s="5">
        <v>-42876</v>
      </c>
      <c r="AA368" s="5">
        <v>0</v>
      </c>
      <c r="AB368" s="6">
        <v>0</v>
      </c>
      <c r="AC368" s="4">
        <v>-42876</v>
      </c>
      <c r="AD368" s="4">
        <v>0</v>
      </c>
      <c r="AE368" s="4">
        <v>-42876</v>
      </c>
      <c r="AF368" s="1"/>
      <c r="AG368" s="1"/>
      <c r="AH368" s="1"/>
      <c r="AI368" s="1" t="s">
        <v>2327</v>
      </c>
      <c r="AJ368" s="1"/>
      <c r="AK368" s="1"/>
      <c r="AL368" s="1"/>
    </row>
    <row r="369" spans="1:38" hidden="1" x14ac:dyDescent="0.25">
      <c r="A369" s="2">
        <v>507</v>
      </c>
      <c r="B369" s="1" t="s">
        <v>457</v>
      </c>
      <c r="C369" s="1" t="s">
        <v>458</v>
      </c>
      <c r="D369" s="1" t="s">
        <v>2062</v>
      </c>
      <c r="E369" s="1" t="s">
        <v>2063</v>
      </c>
      <c r="F369" s="3">
        <v>45138</v>
      </c>
      <c r="G369" s="3">
        <v>45131</v>
      </c>
      <c r="H369" s="3">
        <v>45496</v>
      </c>
      <c r="I369" s="1" t="s">
        <v>2770</v>
      </c>
      <c r="J369" s="1" t="s">
        <v>2771</v>
      </c>
      <c r="K369" s="1"/>
      <c r="L369" s="1" t="s">
        <v>2147</v>
      </c>
      <c r="M369" s="1" t="s">
        <v>2772</v>
      </c>
      <c r="N369" s="1" t="s">
        <v>2773</v>
      </c>
      <c r="O369" s="1" t="s">
        <v>2774</v>
      </c>
      <c r="P369" s="1" t="s">
        <v>2262</v>
      </c>
      <c r="Q369" s="1"/>
      <c r="R369" s="1"/>
      <c r="S369" s="1" t="s">
        <v>2072</v>
      </c>
      <c r="T369" s="1" t="s">
        <v>2073</v>
      </c>
      <c r="U369" s="4">
        <v>6900000</v>
      </c>
      <c r="V369" s="4">
        <v>116666</v>
      </c>
      <c r="W369" s="4">
        <v>1167</v>
      </c>
      <c r="X369" s="4">
        <v>15167</v>
      </c>
      <c r="Y369" s="4">
        <v>0</v>
      </c>
      <c r="Z369" s="5">
        <v>133000</v>
      </c>
      <c r="AA369" s="5">
        <v>0</v>
      </c>
      <c r="AB369" s="6">
        <v>0</v>
      </c>
      <c r="AC369" s="4">
        <v>133000</v>
      </c>
      <c r="AD369" s="4">
        <v>0</v>
      </c>
      <c r="AE369" s="4">
        <v>133000</v>
      </c>
      <c r="AF369" s="1"/>
      <c r="AG369" s="1"/>
      <c r="AH369" s="1"/>
      <c r="AI369" s="1" t="s">
        <v>2427</v>
      </c>
      <c r="AJ369" s="1"/>
      <c r="AK369" s="1"/>
      <c r="AL369" s="1"/>
    </row>
    <row r="370" spans="1:38" hidden="1" x14ac:dyDescent="0.25">
      <c r="A370" s="2">
        <v>508</v>
      </c>
      <c r="B370" s="1" t="s">
        <v>457</v>
      </c>
      <c r="C370" s="1" t="s">
        <v>459</v>
      </c>
      <c r="D370" s="1" t="s">
        <v>2062</v>
      </c>
      <c r="E370" s="1" t="s">
        <v>2063</v>
      </c>
      <c r="F370" s="3">
        <v>45376</v>
      </c>
      <c r="G370" s="3">
        <v>45131</v>
      </c>
      <c r="H370" s="3">
        <v>45496</v>
      </c>
      <c r="I370" s="1" t="s">
        <v>2770</v>
      </c>
      <c r="J370" s="1" t="s">
        <v>2771</v>
      </c>
      <c r="K370" s="1"/>
      <c r="L370" s="1" t="s">
        <v>2147</v>
      </c>
      <c r="M370" s="1" t="s">
        <v>2772</v>
      </c>
      <c r="N370" s="1" t="s">
        <v>2773</v>
      </c>
      <c r="O370" s="1" t="s">
        <v>2774</v>
      </c>
      <c r="P370" s="1" t="s">
        <v>2262</v>
      </c>
      <c r="Q370" s="1"/>
      <c r="R370" s="1"/>
      <c r="S370" s="1" t="s">
        <v>2072</v>
      </c>
      <c r="T370" s="1" t="s">
        <v>2073</v>
      </c>
      <c r="U370" s="4">
        <v>6900000</v>
      </c>
      <c r="V370" s="4">
        <v>4132</v>
      </c>
      <c r="W370" s="4">
        <v>41</v>
      </c>
      <c r="X370" s="4">
        <v>537</v>
      </c>
      <c r="Y370" s="4">
        <v>0</v>
      </c>
      <c r="Z370" s="5">
        <v>4710</v>
      </c>
      <c r="AA370" s="5">
        <v>0</v>
      </c>
      <c r="AB370" s="6">
        <v>0</v>
      </c>
      <c r="AC370" s="4">
        <v>4710</v>
      </c>
      <c r="AD370" s="4">
        <v>0</v>
      </c>
      <c r="AE370" s="4">
        <v>4710</v>
      </c>
      <c r="AF370" s="1"/>
      <c r="AG370" s="1"/>
      <c r="AH370" s="1"/>
      <c r="AI370" s="1" t="s">
        <v>2427</v>
      </c>
      <c r="AJ370" s="6">
        <v>1247.490000000035</v>
      </c>
      <c r="AK370" s="6">
        <v>498.23</v>
      </c>
      <c r="AL370" s="1"/>
    </row>
    <row r="371" spans="1:38" hidden="1" x14ac:dyDescent="0.25">
      <c r="A371" s="2">
        <v>509</v>
      </c>
      <c r="B371" s="1" t="s">
        <v>457</v>
      </c>
      <c r="C371" s="1" t="s">
        <v>460</v>
      </c>
      <c r="D371" s="1" t="s">
        <v>2062</v>
      </c>
      <c r="E371" s="1" t="s">
        <v>2063</v>
      </c>
      <c r="F371" s="3">
        <v>45406</v>
      </c>
      <c r="G371" s="3">
        <v>45131</v>
      </c>
      <c r="H371" s="3">
        <v>45496</v>
      </c>
      <c r="I371" s="1" t="s">
        <v>2770</v>
      </c>
      <c r="J371" s="1" t="s">
        <v>2771</v>
      </c>
      <c r="K371" s="1"/>
      <c r="L371" s="1" t="s">
        <v>2147</v>
      </c>
      <c r="M371" s="1" t="s">
        <v>2772</v>
      </c>
      <c r="N371" s="1" t="s">
        <v>2773</v>
      </c>
      <c r="O371" s="1" t="s">
        <v>2774</v>
      </c>
      <c r="P371" s="1" t="s">
        <v>2262</v>
      </c>
      <c r="Q371" s="1"/>
      <c r="R371" s="1"/>
      <c r="S371" s="1" t="s">
        <v>2072</v>
      </c>
      <c r="T371" s="1" t="s">
        <v>2073</v>
      </c>
      <c r="U371" s="4">
        <v>6900000</v>
      </c>
      <c r="V371" s="4">
        <v>3193</v>
      </c>
      <c r="W371" s="4">
        <v>32</v>
      </c>
      <c r="X371" s="4">
        <v>416</v>
      </c>
      <c r="Y371" s="4">
        <v>0</v>
      </c>
      <c r="Z371" s="5">
        <v>3641</v>
      </c>
      <c r="AA371" s="5">
        <v>0</v>
      </c>
      <c r="AB371" s="6">
        <v>0</v>
      </c>
      <c r="AC371" s="4">
        <v>3641</v>
      </c>
      <c r="AD371" s="4">
        <v>0</v>
      </c>
      <c r="AE371" s="4">
        <v>3641</v>
      </c>
      <c r="AF371" s="1"/>
      <c r="AG371" s="1"/>
      <c r="AH371" s="1"/>
      <c r="AI371" s="1" t="s">
        <v>2427</v>
      </c>
      <c r="AJ371" s="6">
        <v>926.1600000000351</v>
      </c>
      <c r="AK371" s="6">
        <v>385.28</v>
      </c>
      <c r="AL371" s="1"/>
    </row>
    <row r="372" spans="1:38" hidden="1" x14ac:dyDescent="0.25">
      <c r="A372" s="2">
        <v>510</v>
      </c>
      <c r="B372" s="1" t="s">
        <v>457</v>
      </c>
      <c r="C372" s="1" t="s">
        <v>461</v>
      </c>
      <c r="D372" s="1" t="s">
        <v>2062</v>
      </c>
      <c r="E372" s="1" t="s">
        <v>2063</v>
      </c>
      <c r="F372" s="3">
        <v>45436</v>
      </c>
      <c r="G372" s="3">
        <v>45131</v>
      </c>
      <c r="H372" s="3">
        <v>45496</v>
      </c>
      <c r="I372" s="1" t="s">
        <v>2770</v>
      </c>
      <c r="J372" s="1" t="s">
        <v>2771</v>
      </c>
      <c r="K372" s="1"/>
      <c r="L372" s="1" t="s">
        <v>2147</v>
      </c>
      <c r="M372" s="1" t="s">
        <v>2772</v>
      </c>
      <c r="N372" s="1" t="s">
        <v>2773</v>
      </c>
      <c r="O372" s="1" t="s">
        <v>2774</v>
      </c>
      <c r="P372" s="1" t="s">
        <v>2262</v>
      </c>
      <c r="Q372" s="1"/>
      <c r="R372" s="1"/>
      <c r="S372" s="1" t="s">
        <v>2072</v>
      </c>
      <c r="T372" s="1" t="s">
        <v>2073</v>
      </c>
      <c r="U372" s="4">
        <v>6900000</v>
      </c>
      <c r="V372" s="4">
        <v>3277</v>
      </c>
      <c r="W372" s="4">
        <v>33</v>
      </c>
      <c r="X372" s="4">
        <v>426</v>
      </c>
      <c r="Y372" s="4">
        <v>0</v>
      </c>
      <c r="Z372" s="5">
        <v>3736</v>
      </c>
      <c r="AA372" s="5">
        <v>0</v>
      </c>
      <c r="AB372" s="6">
        <v>0</v>
      </c>
      <c r="AC372" s="4">
        <v>3736</v>
      </c>
      <c r="AD372" s="4">
        <v>0</v>
      </c>
      <c r="AE372" s="4">
        <v>3736</v>
      </c>
      <c r="AF372" s="1"/>
      <c r="AG372" s="1"/>
      <c r="AH372" s="1"/>
      <c r="AI372" s="1" t="s">
        <v>2427</v>
      </c>
      <c r="AJ372" s="6">
        <v>457.03</v>
      </c>
      <c r="AK372" s="6">
        <v>395.20000000000005</v>
      </c>
      <c r="AL372" s="1"/>
    </row>
    <row r="373" spans="1:38" hidden="1" x14ac:dyDescent="0.25">
      <c r="A373" s="2">
        <v>511</v>
      </c>
      <c r="B373" s="1" t="s">
        <v>457</v>
      </c>
      <c r="C373" s="1" t="s">
        <v>462</v>
      </c>
      <c r="D373" s="1" t="s">
        <v>2062</v>
      </c>
      <c r="E373" s="1" t="s">
        <v>2063</v>
      </c>
      <c r="F373" s="3">
        <v>45468</v>
      </c>
      <c r="G373" s="3">
        <v>45131</v>
      </c>
      <c r="H373" s="3">
        <v>45496</v>
      </c>
      <c r="I373" s="1" t="s">
        <v>2770</v>
      </c>
      <c r="J373" s="1" t="s">
        <v>2771</v>
      </c>
      <c r="K373" s="1"/>
      <c r="L373" s="1" t="s">
        <v>2147</v>
      </c>
      <c r="M373" s="1" t="s">
        <v>2772</v>
      </c>
      <c r="N373" s="1" t="s">
        <v>2773</v>
      </c>
      <c r="O373" s="1" t="s">
        <v>2774</v>
      </c>
      <c r="P373" s="1" t="s">
        <v>2262</v>
      </c>
      <c r="Q373" s="1"/>
      <c r="R373" s="1"/>
      <c r="S373" s="1" t="s">
        <v>2072</v>
      </c>
      <c r="T373" s="1" t="s">
        <v>2073</v>
      </c>
      <c r="U373" s="4">
        <v>6900000</v>
      </c>
      <c r="V373" s="4">
        <v>4797</v>
      </c>
      <c r="W373" s="4">
        <v>48</v>
      </c>
      <c r="X373" s="4">
        <v>623</v>
      </c>
      <c r="Y373" s="4">
        <v>0</v>
      </c>
      <c r="Z373" s="5">
        <v>5468</v>
      </c>
      <c r="AA373" s="5">
        <v>0</v>
      </c>
      <c r="AB373" s="6">
        <v>0</v>
      </c>
      <c r="AC373" s="4">
        <v>5468</v>
      </c>
      <c r="AD373" s="4">
        <v>0</v>
      </c>
      <c r="AE373" s="4">
        <v>5468</v>
      </c>
      <c r="AF373" s="1"/>
      <c r="AG373" s="1"/>
      <c r="AH373" s="1"/>
      <c r="AI373" s="1" t="s">
        <v>2427</v>
      </c>
      <c r="AJ373" s="6">
        <v>869.74000000000694</v>
      </c>
      <c r="AK373" s="6">
        <v>578.93000000000006</v>
      </c>
      <c r="AL373" s="1"/>
    </row>
    <row r="374" spans="1:38" hidden="1" x14ac:dyDescent="0.25">
      <c r="A374" s="2">
        <v>512</v>
      </c>
      <c r="B374" s="1" t="s">
        <v>457</v>
      </c>
      <c r="C374" s="1" t="s">
        <v>463</v>
      </c>
      <c r="D374" s="1" t="s">
        <v>2062</v>
      </c>
      <c r="E374" s="1" t="s">
        <v>2063</v>
      </c>
      <c r="F374" s="3">
        <v>45499</v>
      </c>
      <c r="G374" s="3">
        <v>45131</v>
      </c>
      <c r="H374" s="3">
        <v>45496</v>
      </c>
      <c r="I374" s="1" t="s">
        <v>2770</v>
      </c>
      <c r="J374" s="1" t="s">
        <v>2771</v>
      </c>
      <c r="K374" s="1"/>
      <c r="L374" s="1" t="s">
        <v>2147</v>
      </c>
      <c r="M374" s="1" t="s">
        <v>2772</v>
      </c>
      <c r="N374" s="1" t="s">
        <v>2773</v>
      </c>
      <c r="O374" s="1" t="s">
        <v>2774</v>
      </c>
      <c r="P374" s="1" t="s">
        <v>2262</v>
      </c>
      <c r="Q374" s="1"/>
      <c r="R374" s="1"/>
      <c r="S374" s="1" t="s">
        <v>2072</v>
      </c>
      <c r="T374" s="1" t="s">
        <v>2073</v>
      </c>
      <c r="U374" s="4">
        <v>6900000</v>
      </c>
      <c r="V374" s="4">
        <v>1540</v>
      </c>
      <c r="W374" s="4">
        <v>15</v>
      </c>
      <c r="X374" s="4">
        <v>231</v>
      </c>
      <c r="Y374" s="4">
        <v>0</v>
      </c>
      <c r="Z374" s="5">
        <v>1786</v>
      </c>
      <c r="AA374" s="5">
        <v>0</v>
      </c>
      <c r="AB374" s="6">
        <v>0</v>
      </c>
      <c r="AC374" s="4">
        <v>1786</v>
      </c>
      <c r="AD374" s="4">
        <v>0</v>
      </c>
      <c r="AE374" s="4">
        <v>1786</v>
      </c>
      <c r="AF374" s="1"/>
      <c r="AG374" s="1"/>
      <c r="AH374" s="1"/>
      <c r="AI374" s="1" t="s">
        <v>2427</v>
      </c>
      <c r="AJ374" s="6">
        <v>194.48</v>
      </c>
      <c r="AK374" s="6">
        <v>189.15</v>
      </c>
      <c r="AL374" s="1"/>
    </row>
    <row r="375" spans="1:38" hidden="1" x14ac:dyDescent="0.25">
      <c r="A375" s="2">
        <v>513</v>
      </c>
      <c r="B375" s="1" t="s">
        <v>457</v>
      </c>
      <c r="C375" s="1" t="s">
        <v>464</v>
      </c>
      <c r="D375" s="1" t="s">
        <v>2062</v>
      </c>
      <c r="E375" s="1" t="s">
        <v>2063</v>
      </c>
      <c r="F375" s="3">
        <v>45655</v>
      </c>
      <c r="G375" s="3">
        <v>45131</v>
      </c>
      <c r="H375" s="3">
        <v>45496</v>
      </c>
      <c r="I375" s="1" t="s">
        <v>2770</v>
      </c>
      <c r="J375" s="1" t="s">
        <v>2771</v>
      </c>
      <c r="K375" s="1"/>
      <c r="L375" s="1" t="s">
        <v>2147</v>
      </c>
      <c r="M375" s="1" t="s">
        <v>2772</v>
      </c>
      <c r="N375" s="1" t="s">
        <v>2773</v>
      </c>
      <c r="O375" s="1" t="s">
        <v>2774</v>
      </c>
      <c r="P375" s="1" t="s">
        <v>2262</v>
      </c>
      <c r="Q375" s="1"/>
      <c r="R375" s="1"/>
      <c r="S375" s="1" t="s">
        <v>2072</v>
      </c>
      <c r="T375" s="1" t="s">
        <v>2073</v>
      </c>
      <c r="U375" s="4">
        <v>-1</v>
      </c>
      <c r="V375" s="4">
        <v>-150833</v>
      </c>
      <c r="W375" s="4">
        <v>-1508</v>
      </c>
      <c r="X375" s="4">
        <v>0</v>
      </c>
      <c r="Y375" s="4">
        <v>0</v>
      </c>
      <c r="Z375" s="5">
        <v>-152341</v>
      </c>
      <c r="AA375" s="5">
        <v>0</v>
      </c>
      <c r="AB375" s="6">
        <v>0</v>
      </c>
      <c r="AC375" s="4">
        <v>-152341</v>
      </c>
      <c r="AD375" s="4">
        <v>0</v>
      </c>
      <c r="AE375" s="4">
        <v>-152341</v>
      </c>
      <c r="AF375" s="1"/>
      <c r="AG375" s="1"/>
      <c r="AH375" s="1"/>
      <c r="AI375" s="1" t="s">
        <v>2427</v>
      </c>
      <c r="AJ375" s="1"/>
      <c r="AK375" s="1"/>
      <c r="AL375" s="1"/>
    </row>
    <row r="376" spans="1:38" hidden="1" x14ac:dyDescent="0.25">
      <c r="A376" s="2">
        <v>514</v>
      </c>
      <c r="B376" s="1" t="s">
        <v>465</v>
      </c>
      <c r="C376" s="1" t="s">
        <v>466</v>
      </c>
      <c r="D376" s="1" t="s">
        <v>2062</v>
      </c>
      <c r="E376" s="1" t="s">
        <v>2063</v>
      </c>
      <c r="F376" s="3">
        <v>45138</v>
      </c>
      <c r="G376" s="3">
        <v>45129</v>
      </c>
      <c r="H376" s="3">
        <v>45494</v>
      </c>
      <c r="I376" s="1" t="s">
        <v>2775</v>
      </c>
      <c r="J376" s="1" t="s">
        <v>2776</v>
      </c>
      <c r="K376" s="1"/>
      <c r="L376" s="1" t="s">
        <v>2336</v>
      </c>
      <c r="M376" s="1" t="s">
        <v>2777</v>
      </c>
      <c r="N376" s="1" t="s">
        <v>2778</v>
      </c>
      <c r="O376" s="1" t="s">
        <v>2779</v>
      </c>
      <c r="P376" s="1" t="s">
        <v>2088</v>
      </c>
      <c r="Q376" s="1"/>
      <c r="R376" s="1"/>
      <c r="S376" s="1" t="s">
        <v>2072</v>
      </c>
      <c r="T376" s="1" t="s">
        <v>2073</v>
      </c>
      <c r="U376" s="4">
        <v>3500000</v>
      </c>
      <c r="V376" s="4">
        <v>57016</v>
      </c>
      <c r="W376" s="4">
        <v>571</v>
      </c>
      <c r="X376" s="4">
        <v>7413</v>
      </c>
      <c r="Y376" s="4">
        <v>0</v>
      </c>
      <c r="Z376" s="5">
        <v>65000</v>
      </c>
      <c r="AA376" s="5">
        <v>0</v>
      </c>
      <c r="AB376" s="6">
        <v>0</v>
      </c>
      <c r="AC376" s="4">
        <v>65000</v>
      </c>
      <c r="AD376" s="4">
        <v>0</v>
      </c>
      <c r="AE376" s="4">
        <v>65000</v>
      </c>
      <c r="AF376" s="1"/>
      <c r="AG376" s="1"/>
      <c r="AH376" s="1"/>
      <c r="AI376" s="1" t="s">
        <v>2327</v>
      </c>
      <c r="AJ376" s="1"/>
      <c r="AK376" s="1"/>
      <c r="AL376" s="1"/>
    </row>
    <row r="377" spans="1:38" hidden="1" x14ac:dyDescent="0.25">
      <c r="A377" s="2">
        <v>515</v>
      </c>
      <c r="B377" s="1" t="s">
        <v>465</v>
      </c>
      <c r="C377" s="1" t="s">
        <v>467</v>
      </c>
      <c r="D377" s="1" t="s">
        <v>2062</v>
      </c>
      <c r="E377" s="1" t="s">
        <v>2063</v>
      </c>
      <c r="F377" s="3">
        <v>45596</v>
      </c>
      <c r="G377" s="3">
        <v>45129</v>
      </c>
      <c r="H377" s="3">
        <v>45494</v>
      </c>
      <c r="I377" s="1" t="s">
        <v>2775</v>
      </c>
      <c r="J377" s="1" t="s">
        <v>2776</v>
      </c>
      <c r="K377" s="1"/>
      <c r="L377" s="1" t="s">
        <v>2336</v>
      </c>
      <c r="M377" s="1" t="s">
        <v>2777</v>
      </c>
      <c r="N377" s="1" t="s">
        <v>2778</v>
      </c>
      <c r="O377" s="1" t="s">
        <v>2779</v>
      </c>
      <c r="P377" s="1" t="s">
        <v>2088</v>
      </c>
      <c r="Q377" s="1"/>
      <c r="R377" s="1"/>
      <c r="S377" s="1" t="s">
        <v>2072</v>
      </c>
      <c r="T377" s="1" t="s">
        <v>2073</v>
      </c>
      <c r="U377" s="4">
        <v>-1</v>
      </c>
      <c r="V377" s="4">
        <v>-64356</v>
      </c>
      <c r="W377" s="4">
        <v>-644</v>
      </c>
      <c r="X377" s="4">
        <v>0</v>
      </c>
      <c r="Y377" s="4">
        <v>0</v>
      </c>
      <c r="Z377" s="5">
        <v>-65000</v>
      </c>
      <c r="AA377" s="5">
        <v>0</v>
      </c>
      <c r="AB377" s="6">
        <v>0</v>
      </c>
      <c r="AC377" s="4">
        <v>-65000</v>
      </c>
      <c r="AD377" s="4">
        <v>0</v>
      </c>
      <c r="AE377" s="4">
        <v>-65000</v>
      </c>
      <c r="AF377" s="1"/>
      <c r="AG377" s="1"/>
      <c r="AH377" s="1"/>
      <c r="AI377" s="1" t="s">
        <v>2327</v>
      </c>
      <c r="AJ377" s="1"/>
      <c r="AK377" s="1"/>
      <c r="AL377" s="1"/>
    </row>
    <row r="378" spans="1:38" hidden="1" x14ac:dyDescent="0.25">
      <c r="A378" s="2">
        <v>516</v>
      </c>
      <c r="B378" s="1" t="s">
        <v>468</v>
      </c>
      <c r="C378" s="1" t="s">
        <v>469</v>
      </c>
      <c r="D378" s="1" t="s">
        <v>2062</v>
      </c>
      <c r="E378" s="1" t="s">
        <v>2063</v>
      </c>
      <c r="F378" s="3">
        <v>45138</v>
      </c>
      <c r="G378" s="3">
        <v>45129</v>
      </c>
      <c r="H378" s="3">
        <v>45494</v>
      </c>
      <c r="I378" s="1" t="s">
        <v>2780</v>
      </c>
      <c r="J378" s="1" t="s">
        <v>2781</v>
      </c>
      <c r="K378" s="1"/>
      <c r="L378" s="1" t="s">
        <v>2782</v>
      </c>
      <c r="M378" s="1" t="s">
        <v>2783</v>
      </c>
      <c r="N378" s="1" t="s">
        <v>2784</v>
      </c>
      <c r="O378" s="1" t="s">
        <v>2785</v>
      </c>
      <c r="P378" s="1" t="s">
        <v>2247</v>
      </c>
      <c r="Q378" s="1"/>
      <c r="R378" s="1"/>
      <c r="S378" s="1" t="s">
        <v>2072</v>
      </c>
      <c r="T378" s="1" t="s">
        <v>2073</v>
      </c>
      <c r="U378" s="4">
        <v>3400000</v>
      </c>
      <c r="V378" s="4">
        <v>55262</v>
      </c>
      <c r="W378" s="4">
        <v>553</v>
      </c>
      <c r="X378" s="4">
        <v>7185</v>
      </c>
      <c r="Y378" s="4">
        <v>0</v>
      </c>
      <c r="Z378" s="5">
        <v>63000</v>
      </c>
      <c r="AA378" s="5">
        <v>0</v>
      </c>
      <c r="AB378" s="6">
        <v>0</v>
      </c>
      <c r="AC378" s="4">
        <v>63000</v>
      </c>
      <c r="AD378" s="4">
        <v>0</v>
      </c>
      <c r="AE378" s="4">
        <v>63000</v>
      </c>
      <c r="AF378" s="1"/>
      <c r="AG378" s="1"/>
      <c r="AH378" s="1"/>
      <c r="AI378" s="1" t="s">
        <v>2427</v>
      </c>
      <c r="AJ378" s="1"/>
      <c r="AK378" s="1"/>
      <c r="AL378" s="1"/>
    </row>
    <row r="379" spans="1:38" hidden="1" x14ac:dyDescent="0.25">
      <c r="A379" s="2">
        <v>517</v>
      </c>
      <c r="B379" s="1" t="s">
        <v>468</v>
      </c>
      <c r="C379" s="1" t="s">
        <v>470</v>
      </c>
      <c r="D379" s="1" t="s">
        <v>2062</v>
      </c>
      <c r="E379" s="1" t="s">
        <v>2063</v>
      </c>
      <c r="F379" s="3">
        <v>45282</v>
      </c>
      <c r="G379" s="3">
        <v>45129</v>
      </c>
      <c r="H379" s="3">
        <v>45494</v>
      </c>
      <c r="I379" s="1" t="s">
        <v>2780</v>
      </c>
      <c r="J379" s="1" t="s">
        <v>2781</v>
      </c>
      <c r="K379" s="1"/>
      <c r="L379" s="1" t="s">
        <v>2782</v>
      </c>
      <c r="M379" s="1" t="s">
        <v>2783</v>
      </c>
      <c r="N379" s="1" t="s">
        <v>2784</v>
      </c>
      <c r="O379" s="1" t="s">
        <v>2785</v>
      </c>
      <c r="P379" s="1" t="s">
        <v>2247</v>
      </c>
      <c r="Q379" s="1"/>
      <c r="R379" s="1"/>
      <c r="S379" s="1" t="s">
        <v>2072</v>
      </c>
      <c r="T379" s="1" t="s">
        <v>2073</v>
      </c>
      <c r="U379" s="4">
        <v>3400000</v>
      </c>
      <c r="V379" s="4">
        <v>-4934</v>
      </c>
      <c r="W379" s="4">
        <v>-50</v>
      </c>
      <c r="X379" s="4">
        <v>-642</v>
      </c>
      <c r="Y379" s="4">
        <v>0</v>
      </c>
      <c r="Z379" s="5">
        <v>-5626</v>
      </c>
      <c r="AA379" s="5">
        <v>0</v>
      </c>
      <c r="AB379" s="6">
        <v>0</v>
      </c>
      <c r="AC379" s="4">
        <v>-5626</v>
      </c>
      <c r="AD379" s="4">
        <v>0</v>
      </c>
      <c r="AE379" s="4">
        <v>-5626</v>
      </c>
      <c r="AF379" s="1"/>
      <c r="AG379" s="1"/>
      <c r="AH379" s="1"/>
      <c r="AI379" s="1" t="s">
        <v>2427</v>
      </c>
      <c r="AJ379" s="1"/>
      <c r="AK379" s="1"/>
      <c r="AL379" s="1"/>
    </row>
    <row r="380" spans="1:38" hidden="1" x14ac:dyDescent="0.25">
      <c r="A380" s="2">
        <v>518</v>
      </c>
      <c r="B380" s="1" t="s">
        <v>468</v>
      </c>
      <c r="C380" s="1" t="s">
        <v>471</v>
      </c>
      <c r="D380" s="1" t="s">
        <v>2062</v>
      </c>
      <c r="E380" s="1" t="s">
        <v>2063</v>
      </c>
      <c r="F380" s="3">
        <v>45373</v>
      </c>
      <c r="G380" s="3">
        <v>45129</v>
      </c>
      <c r="H380" s="3">
        <v>45494</v>
      </c>
      <c r="I380" s="1" t="s">
        <v>2780</v>
      </c>
      <c r="J380" s="1" t="s">
        <v>2781</v>
      </c>
      <c r="K380" s="1"/>
      <c r="L380" s="1" t="s">
        <v>2782</v>
      </c>
      <c r="M380" s="1" t="s">
        <v>2783</v>
      </c>
      <c r="N380" s="1" t="s">
        <v>2784</v>
      </c>
      <c r="O380" s="1" t="s">
        <v>2785</v>
      </c>
      <c r="P380" s="1" t="s">
        <v>2247</v>
      </c>
      <c r="Q380" s="1"/>
      <c r="R380" s="1"/>
      <c r="S380" s="1" t="s">
        <v>2072</v>
      </c>
      <c r="T380" s="1" t="s">
        <v>2073</v>
      </c>
      <c r="U380" s="4">
        <v>3400000</v>
      </c>
      <c r="V380" s="4">
        <v>4070</v>
      </c>
      <c r="W380" s="4">
        <v>40</v>
      </c>
      <c r="X380" s="4">
        <v>529</v>
      </c>
      <c r="Y380" s="4">
        <v>0</v>
      </c>
      <c r="Z380" s="5">
        <v>4639</v>
      </c>
      <c r="AA380" s="5">
        <v>0</v>
      </c>
      <c r="AB380" s="6">
        <v>0</v>
      </c>
      <c r="AC380" s="4">
        <v>4639</v>
      </c>
      <c r="AD380" s="4">
        <v>0</v>
      </c>
      <c r="AE380" s="4">
        <v>4639</v>
      </c>
      <c r="AF380" s="1"/>
      <c r="AG380" s="1"/>
      <c r="AH380" s="1"/>
      <c r="AI380" s="1" t="s">
        <v>2427</v>
      </c>
      <c r="AJ380" s="6">
        <v>1291.910000000001</v>
      </c>
      <c r="AK380" s="6">
        <v>994.36</v>
      </c>
      <c r="AL380" s="1"/>
    </row>
    <row r="381" spans="1:38" hidden="1" x14ac:dyDescent="0.25">
      <c r="A381" s="2">
        <v>519</v>
      </c>
      <c r="B381" s="1" t="s">
        <v>468</v>
      </c>
      <c r="C381" s="1" t="s">
        <v>472</v>
      </c>
      <c r="D381" s="1" t="s">
        <v>2062</v>
      </c>
      <c r="E381" s="1" t="s">
        <v>2063</v>
      </c>
      <c r="F381" s="3">
        <v>45404</v>
      </c>
      <c r="G381" s="3">
        <v>45129</v>
      </c>
      <c r="H381" s="3">
        <v>45494</v>
      </c>
      <c r="I381" s="1" t="s">
        <v>2780</v>
      </c>
      <c r="J381" s="1" t="s">
        <v>2781</v>
      </c>
      <c r="K381" s="1"/>
      <c r="L381" s="1" t="s">
        <v>2782</v>
      </c>
      <c r="M381" s="1" t="s">
        <v>2783</v>
      </c>
      <c r="N381" s="1" t="s">
        <v>2784</v>
      </c>
      <c r="O381" s="1" t="s">
        <v>2785</v>
      </c>
      <c r="P381" s="1" t="s">
        <v>2247</v>
      </c>
      <c r="Q381" s="1"/>
      <c r="R381" s="1"/>
      <c r="S381" s="1" t="s">
        <v>2072</v>
      </c>
      <c r="T381" s="1" t="s">
        <v>2073</v>
      </c>
      <c r="U381" s="4">
        <v>3400000</v>
      </c>
      <c r="V381" s="4">
        <v>5267</v>
      </c>
      <c r="W381" s="4">
        <v>53</v>
      </c>
      <c r="X381" s="4">
        <v>684</v>
      </c>
      <c r="Y381" s="4">
        <v>0</v>
      </c>
      <c r="Z381" s="5">
        <v>6004</v>
      </c>
      <c r="AA381" s="5">
        <v>0</v>
      </c>
      <c r="AB381" s="6">
        <v>0</v>
      </c>
      <c r="AC381" s="4">
        <v>6004</v>
      </c>
      <c r="AD381" s="4">
        <v>0</v>
      </c>
      <c r="AE381" s="4">
        <v>6004</v>
      </c>
      <c r="AF381" s="1"/>
      <c r="AG381" s="1"/>
      <c r="AH381" s="1"/>
      <c r="AI381" s="1" t="s">
        <v>2427</v>
      </c>
      <c r="AJ381" s="6">
        <v>1649.0300000000029</v>
      </c>
      <c r="AK381" s="6">
        <v>1287.23</v>
      </c>
      <c r="AL381" s="1"/>
    </row>
    <row r="382" spans="1:38" hidden="1" x14ac:dyDescent="0.25">
      <c r="A382" s="2">
        <v>520</v>
      </c>
      <c r="B382" s="1" t="s">
        <v>468</v>
      </c>
      <c r="C382" s="1" t="s">
        <v>473</v>
      </c>
      <c r="D382" s="1" t="s">
        <v>2062</v>
      </c>
      <c r="E382" s="1" t="s">
        <v>2063</v>
      </c>
      <c r="F382" s="3">
        <v>45434</v>
      </c>
      <c r="G382" s="3">
        <v>45129</v>
      </c>
      <c r="H382" s="3">
        <v>45494</v>
      </c>
      <c r="I382" s="1" t="s">
        <v>2780</v>
      </c>
      <c r="J382" s="1" t="s">
        <v>2781</v>
      </c>
      <c r="K382" s="1"/>
      <c r="L382" s="1" t="s">
        <v>2782</v>
      </c>
      <c r="M382" s="1" t="s">
        <v>2783</v>
      </c>
      <c r="N382" s="1" t="s">
        <v>2784</v>
      </c>
      <c r="O382" s="1" t="s">
        <v>2785</v>
      </c>
      <c r="P382" s="1" t="s">
        <v>2247</v>
      </c>
      <c r="Q382" s="1"/>
      <c r="R382" s="1"/>
      <c r="S382" s="1" t="s">
        <v>2072</v>
      </c>
      <c r="T382" s="1" t="s">
        <v>2073</v>
      </c>
      <c r="U382" s="4">
        <v>3400000</v>
      </c>
      <c r="V382" s="4">
        <v>5195</v>
      </c>
      <c r="W382" s="4">
        <v>52</v>
      </c>
      <c r="X382" s="4">
        <v>676</v>
      </c>
      <c r="Y382" s="4">
        <v>0</v>
      </c>
      <c r="Z382" s="5">
        <v>5923</v>
      </c>
      <c r="AA382" s="5">
        <v>0</v>
      </c>
      <c r="AB382" s="6">
        <v>0</v>
      </c>
      <c r="AC382" s="4">
        <v>5923</v>
      </c>
      <c r="AD382" s="4">
        <v>0</v>
      </c>
      <c r="AE382" s="4">
        <v>5923</v>
      </c>
      <c r="AF382" s="1"/>
      <c r="AG382" s="1"/>
      <c r="AH382" s="1"/>
      <c r="AI382" s="1" t="s">
        <v>2427</v>
      </c>
      <c r="AJ382" s="6">
        <v>1668.690000000003</v>
      </c>
      <c r="AK382" s="6">
        <v>1269.52</v>
      </c>
      <c r="AL382" s="1"/>
    </row>
    <row r="383" spans="1:38" hidden="1" x14ac:dyDescent="0.25">
      <c r="A383" s="2">
        <v>521</v>
      </c>
      <c r="B383" s="1" t="s">
        <v>468</v>
      </c>
      <c r="C383" s="1" t="s">
        <v>474</v>
      </c>
      <c r="D383" s="1" t="s">
        <v>2062</v>
      </c>
      <c r="E383" s="1" t="s">
        <v>2063</v>
      </c>
      <c r="F383" s="3">
        <v>45467</v>
      </c>
      <c r="G383" s="3">
        <v>45129</v>
      </c>
      <c r="H383" s="3">
        <v>45494</v>
      </c>
      <c r="I383" s="1" t="s">
        <v>2780</v>
      </c>
      <c r="J383" s="1" t="s">
        <v>2781</v>
      </c>
      <c r="K383" s="1"/>
      <c r="L383" s="1" t="s">
        <v>2782</v>
      </c>
      <c r="M383" s="1" t="s">
        <v>2783</v>
      </c>
      <c r="N383" s="1" t="s">
        <v>2784</v>
      </c>
      <c r="O383" s="1" t="s">
        <v>2785</v>
      </c>
      <c r="P383" s="1" t="s">
        <v>2247</v>
      </c>
      <c r="Q383" s="1"/>
      <c r="R383" s="1"/>
      <c r="S383" s="1" t="s">
        <v>2072</v>
      </c>
      <c r="T383" s="1" t="s">
        <v>2073</v>
      </c>
      <c r="U383" s="4">
        <v>3400000</v>
      </c>
      <c r="V383" s="4">
        <v>5054</v>
      </c>
      <c r="W383" s="4">
        <v>50</v>
      </c>
      <c r="X383" s="4">
        <v>657</v>
      </c>
      <c r="Y383" s="4">
        <v>0</v>
      </c>
      <c r="Z383" s="5">
        <v>5761</v>
      </c>
      <c r="AA383" s="5">
        <v>0</v>
      </c>
      <c r="AB383" s="6">
        <v>0</v>
      </c>
      <c r="AC383" s="4">
        <v>5761</v>
      </c>
      <c r="AD383" s="4">
        <v>0</v>
      </c>
      <c r="AE383" s="4">
        <v>5761</v>
      </c>
      <c r="AF383" s="1"/>
      <c r="AG383" s="1"/>
      <c r="AH383" s="1"/>
      <c r="AI383" s="1" t="s">
        <v>2427</v>
      </c>
      <c r="AJ383" s="6">
        <v>1690.7200000000009</v>
      </c>
      <c r="AK383" s="6">
        <v>1234.71</v>
      </c>
      <c r="AL383" s="1"/>
    </row>
    <row r="384" spans="1:38" hidden="1" x14ac:dyDescent="0.25">
      <c r="A384" s="2">
        <v>522</v>
      </c>
      <c r="B384" s="1" t="s">
        <v>468</v>
      </c>
      <c r="C384" s="1" t="s">
        <v>475</v>
      </c>
      <c r="D384" s="1" t="s">
        <v>2062</v>
      </c>
      <c r="E384" s="1" t="s">
        <v>2063</v>
      </c>
      <c r="F384" s="3">
        <v>45496</v>
      </c>
      <c r="G384" s="3">
        <v>45129</v>
      </c>
      <c r="H384" s="3">
        <v>45494</v>
      </c>
      <c r="I384" s="1" t="s">
        <v>2780</v>
      </c>
      <c r="J384" s="1" t="s">
        <v>2781</v>
      </c>
      <c r="K384" s="1"/>
      <c r="L384" s="1" t="s">
        <v>2782</v>
      </c>
      <c r="M384" s="1" t="s">
        <v>2783</v>
      </c>
      <c r="N384" s="1" t="s">
        <v>2784</v>
      </c>
      <c r="O384" s="1" t="s">
        <v>2785</v>
      </c>
      <c r="P384" s="1" t="s">
        <v>2247</v>
      </c>
      <c r="Q384" s="1"/>
      <c r="R384" s="1"/>
      <c r="S384" s="1" t="s">
        <v>2072</v>
      </c>
      <c r="T384" s="1" t="s">
        <v>2073</v>
      </c>
      <c r="U384" s="4">
        <v>3400000</v>
      </c>
      <c r="V384" s="4">
        <v>4970</v>
      </c>
      <c r="W384" s="4">
        <v>50</v>
      </c>
      <c r="X384" s="4">
        <v>746</v>
      </c>
      <c r="Y384" s="4">
        <v>0</v>
      </c>
      <c r="Z384" s="5">
        <v>5766</v>
      </c>
      <c r="AA384" s="5">
        <v>0</v>
      </c>
      <c r="AB384" s="6">
        <v>0</v>
      </c>
      <c r="AC384" s="4">
        <v>5766</v>
      </c>
      <c r="AD384" s="4">
        <v>0</v>
      </c>
      <c r="AE384" s="4">
        <v>5766</v>
      </c>
      <c r="AF384" s="1"/>
      <c r="AG384" s="1"/>
      <c r="AH384" s="1"/>
      <c r="AI384" s="1" t="s">
        <v>2427</v>
      </c>
      <c r="AJ384" s="6">
        <v>1777.049999999999</v>
      </c>
      <c r="AK384" s="6">
        <v>1236.23</v>
      </c>
      <c r="AL384" s="1"/>
    </row>
    <row r="385" spans="1:38" hidden="1" x14ac:dyDescent="0.25">
      <c r="A385" s="2">
        <v>523</v>
      </c>
      <c r="B385" s="1" t="s">
        <v>468</v>
      </c>
      <c r="C385" s="1" t="s">
        <v>476</v>
      </c>
      <c r="D385" s="1" t="s">
        <v>2062</v>
      </c>
      <c r="E385" s="1" t="s">
        <v>2063</v>
      </c>
      <c r="F385" s="3">
        <v>45655</v>
      </c>
      <c r="G385" s="3">
        <v>45129</v>
      </c>
      <c r="H385" s="3">
        <v>45494</v>
      </c>
      <c r="I385" s="1" t="s">
        <v>2780</v>
      </c>
      <c r="J385" s="1" t="s">
        <v>2781</v>
      </c>
      <c r="K385" s="1"/>
      <c r="L385" s="1" t="s">
        <v>2782</v>
      </c>
      <c r="M385" s="1" t="s">
        <v>2783</v>
      </c>
      <c r="N385" s="1" t="s">
        <v>2784</v>
      </c>
      <c r="O385" s="1" t="s">
        <v>2785</v>
      </c>
      <c r="P385" s="1" t="s">
        <v>2247</v>
      </c>
      <c r="Q385" s="1"/>
      <c r="R385" s="1"/>
      <c r="S385" s="1" t="s">
        <v>2072</v>
      </c>
      <c r="T385" s="1" t="s">
        <v>2073</v>
      </c>
      <c r="U385" s="4">
        <v>-1</v>
      </c>
      <c r="V385" s="4">
        <v>-84621</v>
      </c>
      <c r="W385" s="4">
        <v>-846</v>
      </c>
      <c r="X385" s="4">
        <v>0</v>
      </c>
      <c r="Y385" s="4">
        <v>0</v>
      </c>
      <c r="Z385" s="5">
        <v>-85467</v>
      </c>
      <c r="AA385" s="5">
        <v>0</v>
      </c>
      <c r="AB385" s="6">
        <v>0</v>
      </c>
      <c r="AC385" s="4">
        <v>-85467</v>
      </c>
      <c r="AD385" s="4">
        <v>0</v>
      </c>
      <c r="AE385" s="4">
        <v>-85467</v>
      </c>
      <c r="AF385" s="1"/>
      <c r="AG385" s="1"/>
      <c r="AH385" s="1"/>
      <c r="AI385" s="1" t="s">
        <v>2427</v>
      </c>
      <c r="AJ385" s="1"/>
      <c r="AK385" s="1"/>
      <c r="AL385" s="1"/>
    </row>
    <row r="386" spans="1:38" hidden="1" x14ac:dyDescent="0.25">
      <c r="A386" s="2">
        <v>524</v>
      </c>
      <c r="B386" s="1" t="s">
        <v>477</v>
      </c>
      <c r="C386" s="1" t="s">
        <v>478</v>
      </c>
      <c r="D386" s="1" t="s">
        <v>2062</v>
      </c>
      <c r="E386" s="1" t="s">
        <v>2063</v>
      </c>
      <c r="F386" s="3">
        <v>45138</v>
      </c>
      <c r="G386" s="3">
        <v>45128</v>
      </c>
      <c r="H386" s="3">
        <v>45493</v>
      </c>
      <c r="I386" s="1" t="s">
        <v>2786</v>
      </c>
      <c r="J386" s="1" t="s">
        <v>2787</v>
      </c>
      <c r="K386" s="1"/>
      <c r="L386" s="1" t="s">
        <v>2788</v>
      </c>
      <c r="M386" s="1" t="s">
        <v>2789</v>
      </c>
      <c r="N386" s="1" t="s">
        <v>2790</v>
      </c>
      <c r="O386" s="1" t="s">
        <v>2791</v>
      </c>
      <c r="P386" s="1" t="s">
        <v>2262</v>
      </c>
      <c r="Q386" s="1"/>
      <c r="R386" s="1"/>
      <c r="S386" s="1" t="s">
        <v>2072</v>
      </c>
      <c r="T386" s="1" t="s">
        <v>2073</v>
      </c>
      <c r="U386" s="4">
        <v>2000000</v>
      </c>
      <c r="V386" s="4">
        <v>30701</v>
      </c>
      <c r="W386" s="4">
        <v>307</v>
      </c>
      <c r="X386" s="4">
        <v>3992</v>
      </c>
      <c r="Y386" s="4">
        <v>0</v>
      </c>
      <c r="Z386" s="5">
        <v>35000</v>
      </c>
      <c r="AA386" s="5">
        <v>0</v>
      </c>
      <c r="AB386" s="6">
        <v>0</v>
      </c>
      <c r="AC386" s="4">
        <v>35000</v>
      </c>
      <c r="AD386" s="4">
        <v>0</v>
      </c>
      <c r="AE386" s="4">
        <v>35000</v>
      </c>
      <c r="AF386" s="1"/>
      <c r="AG386" s="1"/>
      <c r="AH386" s="1"/>
      <c r="AI386" s="1" t="s">
        <v>2427</v>
      </c>
      <c r="AJ386" s="1"/>
      <c r="AK386" s="1"/>
      <c r="AL386" s="1" t="s">
        <v>2792</v>
      </c>
    </row>
    <row r="387" spans="1:38" hidden="1" x14ac:dyDescent="0.25">
      <c r="A387" s="2">
        <v>525</v>
      </c>
      <c r="B387" s="1" t="s">
        <v>477</v>
      </c>
      <c r="C387" s="1" t="s">
        <v>479</v>
      </c>
      <c r="D387" s="1" t="s">
        <v>2062</v>
      </c>
      <c r="E387" s="1" t="s">
        <v>2063</v>
      </c>
      <c r="F387" s="3">
        <v>45252</v>
      </c>
      <c r="G387" s="3">
        <v>45128</v>
      </c>
      <c r="H387" s="3">
        <v>45493</v>
      </c>
      <c r="I387" s="1" t="s">
        <v>2786</v>
      </c>
      <c r="J387" s="1" t="s">
        <v>2787</v>
      </c>
      <c r="K387" s="1"/>
      <c r="L387" s="1" t="s">
        <v>2788</v>
      </c>
      <c r="M387" s="1" t="s">
        <v>2789</v>
      </c>
      <c r="N387" s="1" t="s">
        <v>2790</v>
      </c>
      <c r="O387" s="1" t="s">
        <v>2791</v>
      </c>
      <c r="P387" s="1" t="s">
        <v>2262</v>
      </c>
      <c r="Q387" s="1"/>
      <c r="R387" s="1"/>
      <c r="S387" s="1" t="s">
        <v>2072</v>
      </c>
      <c r="T387" s="1" t="s">
        <v>2073</v>
      </c>
      <c r="U387" s="4">
        <v>2000000</v>
      </c>
      <c r="V387" s="4">
        <v>2791</v>
      </c>
      <c r="W387" s="4">
        <v>28</v>
      </c>
      <c r="X387" s="4">
        <v>363</v>
      </c>
      <c r="Y387" s="4">
        <v>0</v>
      </c>
      <c r="Z387" s="5">
        <v>3182</v>
      </c>
      <c r="AA387" s="5">
        <v>3148</v>
      </c>
      <c r="AB387" s="6">
        <v>0</v>
      </c>
      <c r="AC387" s="4">
        <v>34</v>
      </c>
      <c r="AD387" s="4">
        <v>0</v>
      </c>
      <c r="AE387" s="4">
        <v>34</v>
      </c>
      <c r="AF387" s="1"/>
      <c r="AG387" s="1"/>
      <c r="AH387" s="1"/>
      <c r="AI387" s="1" t="s">
        <v>2427</v>
      </c>
      <c r="AJ387" s="6">
        <v>1378.2200000000009</v>
      </c>
      <c r="AK387" s="6">
        <v>1163.3800000000001</v>
      </c>
      <c r="AL387" s="1"/>
    </row>
    <row r="388" spans="1:38" hidden="1" x14ac:dyDescent="0.25">
      <c r="A388" s="2">
        <v>526</v>
      </c>
      <c r="B388" s="1" t="s">
        <v>477</v>
      </c>
      <c r="C388" s="1" t="s">
        <v>480</v>
      </c>
      <c r="D388" s="1" t="s">
        <v>2062</v>
      </c>
      <c r="E388" s="1" t="s">
        <v>2063</v>
      </c>
      <c r="F388" s="3">
        <v>45596</v>
      </c>
      <c r="G388" s="3">
        <v>45128</v>
      </c>
      <c r="H388" s="3">
        <v>45493</v>
      </c>
      <c r="I388" s="1" t="s">
        <v>2786</v>
      </c>
      <c r="J388" s="1" t="s">
        <v>2787</v>
      </c>
      <c r="K388" s="1"/>
      <c r="L388" s="1" t="s">
        <v>2788</v>
      </c>
      <c r="M388" s="1" t="s">
        <v>2789</v>
      </c>
      <c r="N388" s="1" t="s">
        <v>2790</v>
      </c>
      <c r="O388" s="1" t="s">
        <v>2791</v>
      </c>
      <c r="P388" s="1" t="s">
        <v>2262</v>
      </c>
      <c r="Q388" s="1"/>
      <c r="R388" s="1"/>
      <c r="S388" s="1" t="s">
        <v>2072</v>
      </c>
      <c r="T388" s="1" t="s">
        <v>2073</v>
      </c>
      <c r="U388" s="4">
        <v>-1</v>
      </c>
      <c r="V388" s="4">
        <v>-34687</v>
      </c>
      <c r="W388" s="4">
        <v>-347</v>
      </c>
      <c r="X388" s="4">
        <v>0</v>
      </c>
      <c r="Y388" s="4">
        <v>0</v>
      </c>
      <c r="Z388" s="5">
        <v>-35034</v>
      </c>
      <c r="AA388" s="5">
        <v>0</v>
      </c>
      <c r="AB388" s="6">
        <v>0</v>
      </c>
      <c r="AC388" s="4">
        <v>-35034</v>
      </c>
      <c r="AD388" s="4">
        <v>0</v>
      </c>
      <c r="AE388" s="4">
        <v>-35034</v>
      </c>
      <c r="AF388" s="1"/>
      <c r="AG388" s="1"/>
      <c r="AH388" s="1"/>
      <c r="AI388" s="1" t="s">
        <v>2427</v>
      </c>
      <c r="AJ388" s="1"/>
      <c r="AK388" s="1"/>
      <c r="AL388" s="1"/>
    </row>
    <row r="389" spans="1:38" hidden="1" x14ac:dyDescent="0.25">
      <c r="A389" s="2">
        <v>527</v>
      </c>
      <c r="B389" s="1" t="s">
        <v>481</v>
      </c>
      <c r="C389" s="1" t="s">
        <v>482</v>
      </c>
      <c r="D389" s="1" t="s">
        <v>2062</v>
      </c>
      <c r="E389" s="1" t="s">
        <v>2063</v>
      </c>
      <c r="F389" s="3">
        <v>45138</v>
      </c>
      <c r="G389" s="3">
        <v>45134</v>
      </c>
      <c r="H389" s="3">
        <v>45499</v>
      </c>
      <c r="I389" s="1" t="s">
        <v>2793</v>
      </c>
      <c r="J389" s="1" t="s">
        <v>2794</v>
      </c>
      <c r="K389" s="1"/>
      <c r="L389" s="1" t="s">
        <v>2795</v>
      </c>
      <c r="M389" s="1" t="s">
        <v>2796</v>
      </c>
      <c r="N389" s="1" t="s">
        <v>2797</v>
      </c>
      <c r="O389" s="1" t="s">
        <v>2798</v>
      </c>
      <c r="P389" s="1" t="s">
        <v>2182</v>
      </c>
      <c r="Q389" s="1"/>
      <c r="R389" s="1"/>
      <c r="S389" s="1" t="s">
        <v>2072</v>
      </c>
      <c r="T389" s="1" t="s">
        <v>2073</v>
      </c>
      <c r="U389" s="4">
        <v>6000000</v>
      </c>
      <c r="V389" s="4">
        <v>100876</v>
      </c>
      <c r="W389" s="4">
        <v>1009</v>
      </c>
      <c r="X389" s="4">
        <v>13115</v>
      </c>
      <c r="Y389" s="4">
        <v>0</v>
      </c>
      <c r="Z389" s="5">
        <v>115000</v>
      </c>
      <c r="AA389" s="5">
        <v>0</v>
      </c>
      <c r="AB389" s="6">
        <v>0</v>
      </c>
      <c r="AC389" s="4">
        <v>115000</v>
      </c>
      <c r="AD389" s="4">
        <v>0</v>
      </c>
      <c r="AE389" s="4">
        <v>115000</v>
      </c>
      <c r="AF389" s="1"/>
      <c r="AG389" s="1"/>
      <c r="AH389" s="1"/>
      <c r="AI389" s="1" t="s">
        <v>2427</v>
      </c>
      <c r="AJ389" s="1"/>
      <c r="AK389" s="1"/>
      <c r="AL389" s="1"/>
    </row>
    <row r="390" spans="1:38" hidden="1" x14ac:dyDescent="0.25">
      <c r="A390" s="2">
        <v>528</v>
      </c>
      <c r="B390" s="1" t="s">
        <v>481</v>
      </c>
      <c r="C390" s="1" t="s">
        <v>483</v>
      </c>
      <c r="D390" s="1" t="s">
        <v>2062</v>
      </c>
      <c r="E390" s="1" t="s">
        <v>2063</v>
      </c>
      <c r="F390" s="3">
        <v>45470</v>
      </c>
      <c r="G390" s="3">
        <v>45134</v>
      </c>
      <c r="H390" s="3">
        <v>45499</v>
      </c>
      <c r="I390" s="1" t="s">
        <v>2793</v>
      </c>
      <c r="J390" s="1" t="s">
        <v>2794</v>
      </c>
      <c r="K390" s="1"/>
      <c r="L390" s="1" t="s">
        <v>2795</v>
      </c>
      <c r="M390" s="1" t="s">
        <v>2796</v>
      </c>
      <c r="N390" s="1" t="s">
        <v>2797</v>
      </c>
      <c r="O390" s="1" t="s">
        <v>2798</v>
      </c>
      <c r="P390" s="1" t="s">
        <v>2182</v>
      </c>
      <c r="Q390" s="1"/>
      <c r="R390" s="1"/>
      <c r="S390" s="1" t="s">
        <v>2072</v>
      </c>
      <c r="T390" s="1" t="s">
        <v>2073</v>
      </c>
      <c r="U390" s="4">
        <v>6000000</v>
      </c>
      <c r="V390" s="4">
        <v>1369</v>
      </c>
      <c r="W390" s="4">
        <v>14</v>
      </c>
      <c r="X390" s="4">
        <v>178</v>
      </c>
      <c r="Y390" s="4">
        <v>0</v>
      </c>
      <c r="Z390" s="5">
        <v>1561</v>
      </c>
      <c r="AA390" s="5">
        <v>0</v>
      </c>
      <c r="AB390" s="6">
        <v>0</v>
      </c>
      <c r="AC390" s="4">
        <v>1561</v>
      </c>
      <c r="AD390" s="4">
        <v>0</v>
      </c>
      <c r="AE390" s="4">
        <v>1561</v>
      </c>
      <c r="AF390" s="1"/>
      <c r="AG390" s="1"/>
      <c r="AH390" s="1"/>
      <c r="AI390" s="1" t="s">
        <v>2427</v>
      </c>
      <c r="AJ390" s="6">
        <v>190.03</v>
      </c>
      <c r="AK390" s="6">
        <v>190.03</v>
      </c>
      <c r="AL390" s="1"/>
    </row>
    <row r="391" spans="1:38" hidden="1" x14ac:dyDescent="0.25">
      <c r="A391" s="2">
        <v>529</v>
      </c>
      <c r="B391" s="1" t="s">
        <v>481</v>
      </c>
      <c r="C391" s="1" t="s">
        <v>484</v>
      </c>
      <c r="D391" s="1" t="s">
        <v>2062</v>
      </c>
      <c r="E391" s="1" t="s">
        <v>2063</v>
      </c>
      <c r="F391" s="3">
        <v>45502</v>
      </c>
      <c r="G391" s="3">
        <v>45134</v>
      </c>
      <c r="H391" s="3">
        <v>45499</v>
      </c>
      <c r="I391" s="1" t="s">
        <v>2793</v>
      </c>
      <c r="J391" s="1" t="s">
        <v>2794</v>
      </c>
      <c r="K391" s="1"/>
      <c r="L391" s="1" t="s">
        <v>2795</v>
      </c>
      <c r="M391" s="1" t="s">
        <v>2796</v>
      </c>
      <c r="N391" s="1" t="s">
        <v>2797</v>
      </c>
      <c r="O391" s="1" t="s">
        <v>2798</v>
      </c>
      <c r="P391" s="1" t="s">
        <v>2182</v>
      </c>
      <c r="Q391" s="1"/>
      <c r="R391" s="1"/>
      <c r="S391" s="1" t="s">
        <v>2072</v>
      </c>
      <c r="T391" s="1" t="s">
        <v>2073</v>
      </c>
      <c r="U391" s="4">
        <v>6000000</v>
      </c>
      <c r="V391" s="4">
        <v>1389</v>
      </c>
      <c r="W391" s="4">
        <v>14</v>
      </c>
      <c r="X391" s="4">
        <v>208</v>
      </c>
      <c r="Y391" s="4">
        <v>0</v>
      </c>
      <c r="Z391" s="5">
        <v>1611</v>
      </c>
      <c r="AA391" s="5">
        <v>0</v>
      </c>
      <c r="AB391" s="6">
        <v>0</v>
      </c>
      <c r="AC391" s="4">
        <v>1611</v>
      </c>
      <c r="AD391" s="4">
        <v>0</v>
      </c>
      <c r="AE391" s="4">
        <v>1611</v>
      </c>
      <c r="AF391" s="1"/>
      <c r="AG391" s="1"/>
      <c r="AH391" s="1"/>
      <c r="AI391" s="1" t="s">
        <v>2427</v>
      </c>
      <c r="AJ391" s="6">
        <v>196.14</v>
      </c>
      <c r="AK391" s="6">
        <v>196.14</v>
      </c>
      <c r="AL391" s="1"/>
    </row>
    <row r="392" spans="1:38" hidden="1" x14ac:dyDescent="0.25">
      <c r="A392" s="2">
        <v>530</v>
      </c>
      <c r="B392" s="1" t="s">
        <v>481</v>
      </c>
      <c r="C392" s="1" t="s">
        <v>485</v>
      </c>
      <c r="D392" s="1" t="s">
        <v>2062</v>
      </c>
      <c r="E392" s="1" t="s">
        <v>2063</v>
      </c>
      <c r="F392" s="3">
        <v>45655</v>
      </c>
      <c r="G392" s="3">
        <v>45134</v>
      </c>
      <c r="H392" s="3">
        <v>45499</v>
      </c>
      <c r="I392" s="1" t="s">
        <v>2793</v>
      </c>
      <c r="J392" s="1" t="s">
        <v>2794</v>
      </c>
      <c r="K392" s="1"/>
      <c r="L392" s="1" t="s">
        <v>2795</v>
      </c>
      <c r="M392" s="1" t="s">
        <v>2796</v>
      </c>
      <c r="N392" s="1" t="s">
        <v>2797</v>
      </c>
      <c r="O392" s="1" t="s">
        <v>2798</v>
      </c>
      <c r="P392" s="1" t="s">
        <v>2182</v>
      </c>
      <c r="Q392" s="1"/>
      <c r="R392" s="1"/>
      <c r="S392" s="1" t="s">
        <v>2072</v>
      </c>
      <c r="T392" s="1" t="s">
        <v>2073</v>
      </c>
      <c r="U392" s="4">
        <v>-1</v>
      </c>
      <c r="V392" s="4">
        <v>-117002</v>
      </c>
      <c r="W392" s="4">
        <v>-1170</v>
      </c>
      <c r="X392" s="4">
        <v>0</v>
      </c>
      <c r="Y392" s="4">
        <v>0</v>
      </c>
      <c r="Z392" s="5">
        <v>-118172</v>
      </c>
      <c r="AA392" s="5">
        <v>0</v>
      </c>
      <c r="AB392" s="6">
        <v>0</v>
      </c>
      <c r="AC392" s="4">
        <v>-118172</v>
      </c>
      <c r="AD392" s="4">
        <v>0</v>
      </c>
      <c r="AE392" s="4">
        <v>-118172</v>
      </c>
      <c r="AF392" s="1"/>
      <c r="AG392" s="1"/>
      <c r="AH392" s="1"/>
      <c r="AI392" s="1" t="s">
        <v>2427</v>
      </c>
      <c r="AJ392" s="1"/>
      <c r="AK392" s="1"/>
      <c r="AL392" s="1"/>
    </row>
    <row r="393" spans="1:38" hidden="1" x14ac:dyDescent="0.25">
      <c r="A393" s="2">
        <v>531</v>
      </c>
      <c r="B393" s="1" t="s">
        <v>486</v>
      </c>
      <c r="C393" s="1" t="s">
        <v>487</v>
      </c>
      <c r="D393" s="1" t="s">
        <v>2062</v>
      </c>
      <c r="E393" s="1" t="s">
        <v>2063</v>
      </c>
      <c r="F393" s="3">
        <v>45138</v>
      </c>
      <c r="G393" s="3">
        <v>45137</v>
      </c>
      <c r="H393" s="3">
        <v>45502</v>
      </c>
      <c r="I393" s="1" t="s">
        <v>2799</v>
      </c>
      <c r="J393" s="1" t="s">
        <v>2800</v>
      </c>
      <c r="K393" s="1"/>
      <c r="L393" s="1" t="s">
        <v>2291</v>
      </c>
      <c r="M393" s="1" t="s">
        <v>2801</v>
      </c>
      <c r="N393" s="1" t="s">
        <v>2802</v>
      </c>
      <c r="O393" s="1" t="s">
        <v>2803</v>
      </c>
      <c r="P393" s="1" t="s">
        <v>2165</v>
      </c>
      <c r="Q393" s="1"/>
      <c r="R393" s="1"/>
      <c r="S393" s="1" t="s">
        <v>2072</v>
      </c>
      <c r="T393" s="1" t="s">
        <v>2073</v>
      </c>
      <c r="U393" s="4">
        <v>4500000</v>
      </c>
      <c r="V393" s="4">
        <v>74561</v>
      </c>
      <c r="W393" s="4">
        <v>746</v>
      </c>
      <c r="X393" s="4">
        <v>9693</v>
      </c>
      <c r="Y393" s="4">
        <v>0</v>
      </c>
      <c r="Z393" s="5">
        <v>85000</v>
      </c>
      <c r="AA393" s="5">
        <v>0</v>
      </c>
      <c r="AB393" s="6">
        <v>0</v>
      </c>
      <c r="AC393" s="4">
        <v>85000</v>
      </c>
      <c r="AD393" s="4">
        <v>0</v>
      </c>
      <c r="AE393" s="4">
        <v>85000</v>
      </c>
      <c r="AF393" s="1"/>
      <c r="AG393" s="1"/>
      <c r="AH393" s="1"/>
      <c r="AI393" s="1" t="s">
        <v>2327</v>
      </c>
      <c r="AJ393" s="1"/>
      <c r="AK393" s="1"/>
      <c r="AL393" s="1"/>
    </row>
    <row r="394" spans="1:38" hidden="1" x14ac:dyDescent="0.25">
      <c r="A394" s="2">
        <v>532</v>
      </c>
      <c r="B394" s="1" t="s">
        <v>486</v>
      </c>
      <c r="C394" s="1" t="s">
        <v>488</v>
      </c>
      <c r="D394" s="1" t="s">
        <v>2062</v>
      </c>
      <c r="E394" s="1" t="s">
        <v>2063</v>
      </c>
      <c r="F394" s="3">
        <v>45290</v>
      </c>
      <c r="G394" s="3">
        <v>45137</v>
      </c>
      <c r="H394" s="3">
        <v>45502</v>
      </c>
      <c r="I394" s="1" t="s">
        <v>2799</v>
      </c>
      <c r="J394" s="1" t="s">
        <v>2800</v>
      </c>
      <c r="K394" s="1"/>
      <c r="L394" s="1" t="s">
        <v>2291</v>
      </c>
      <c r="M394" s="1" t="s">
        <v>2801</v>
      </c>
      <c r="N394" s="1" t="s">
        <v>2802</v>
      </c>
      <c r="O394" s="1" t="s">
        <v>2803</v>
      </c>
      <c r="P394" s="1" t="s">
        <v>2165</v>
      </c>
      <c r="Q394" s="1"/>
      <c r="R394" s="1"/>
      <c r="S394" s="1" t="s">
        <v>2072</v>
      </c>
      <c r="T394" s="1" t="s">
        <v>2073</v>
      </c>
      <c r="U394" s="4">
        <v>4500000</v>
      </c>
      <c r="V394" s="4">
        <v>2959</v>
      </c>
      <c r="W394" s="4">
        <v>30</v>
      </c>
      <c r="X394" s="4">
        <v>385</v>
      </c>
      <c r="Y394" s="4">
        <v>0</v>
      </c>
      <c r="Z394" s="5">
        <v>3374</v>
      </c>
      <c r="AA394" s="5">
        <v>0</v>
      </c>
      <c r="AB394" s="6">
        <v>0</v>
      </c>
      <c r="AC394" s="4">
        <v>3374</v>
      </c>
      <c r="AD394" s="4">
        <v>0</v>
      </c>
      <c r="AE394" s="4">
        <v>3374</v>
      </c>
      <c r="AF394" s="1"/>
      <c r="AG394" s="1"/>
      <c r="AH394" s="1"/>
      <c r="AI394" s="1" t="s">
        <v>2327</v>
      </c>
      <c r="AJ394" s="6">
        <v>562.94000000000005</v>
      </c>
      <c r="AK394" s="6">
        <v>547.16</v>
      </c>
      <c r="AL394" s="1"/>
    </row>
    <row r="395" spans="1:38" hidden="1" x14ac:dyDescent="0.25">
      <c r="A395" s="2">
        <v>533</v>
      </c>
      <c r="B395" s="1" t="s">
        <v>486</v>
      </c>
      <c r="C395" s="1" t="s">
        <v>489</v>
      </c>
      <c r="D395" s="1" t="s">
        <v>2062</v>
      </c>
      <c r="E395" s="1" t="s">
        <v>2063</v>
      </c>
      <c r="F395" s="3">
        <v>45321</v>
      </c>
      <c r="G395" s="3">
        <v>45137</v>
      </c>
      <c r="H395" s="3">
        <v>45502</v>
      </c>
      <c r="I395" s="1" t="s">
        <v>2799</v>
      </c>
      <c r="J395" s="1" t="s">
        <v>2800</v>
      </c>
      <c r="K395" s="1"/>
      <c r="L395" s="1" t="s">
        <v>2291</v>
      </c>
      <c r="M395" s="1" t="s">
        <v>2801</v>
      </c>
      <c r="N395" s="1" t="s">
        <v>2802</v>
      </c>
      <c r="O395" s="1" t="s">
        <v>2803</v>
      </c>
      <c r="P395" s="1" t="s">
        <v>2165</v>
      </c>
      <c r="Q395" s="1"/>
      <c r="R395" s="1"/>
      <c r="S395" s="1" t="s">
        <v>2072</v>
      </c>
      <c r="T395" s="1" t="s">
        <v>2073</v>
      </c>
      <c r="U395" s="4">
        <v>4500000</v>
      </c>
      <c r="V395" s="4">
        <v>4739</v>
      </c>
      <c r="W395" s="4">
        <v>47</v>
      </c>
      <c r="X395" s="4">
        <v>616</v>
      </c>
      <c r="Y395" s="4">
        <v>0</v>
      </c>
      <c r="Z395" s="5">
        <v>5402</v>
      </c>
      <c r="AA395" s="5">
        <v>0</v>
      </c>
      <c r="AB395" s="6">
        <v>0</v>
      </c>
      <c r="AC395" s="4">
        <v>5402</v>
      </c>
      <c r="AD395" s="4">
        <v>0</v>
      </c>
      <c r="AE395" s="4">
        <v>5402</v>
      </c>
      <c r="AF395" s="1"/>
      <c r="AG395" s="1"/>
      <c r="AH395" s="1"/>
      <c r="AI395" s="1" t="s">
        <v>2327</v>
      </c>
      <c r="AJ395" s="6">
        <v>1400.9700000000091</v>
      </c>
      <c r="AK395" s="6">
        <v>877.14</v>
      </c>
      <c r="AL395" s="1"/>
    </row>
    <row r="396" spans="1:38" hidden="1" x14ac:dyDescent="0.25">
      <c r="A396" s="2">
        <v>534</v>
      </c>
      <c r="B396" s="1" t="s">
        <v>486</v>
      </c>
      <c r="C396" s="1" t="s">
        <v>490</v>
      </c>
      <c r="D396" s="1" t="s">
        <v>2062</v>
      </c>
      <c r="E396" s="1" t="s">
        <v>2063</v>
      </c>
      <c r="F396" s="3">
        <v>45353</v>
      </c>
      <c r="G396" s="3">
        <v>45137</v>
      </c>
      <c r="H396" s="3">
        <v>45502</v>
      </c>
      <c r="I396" s="1" t="s">
        <v>2799</v>
      </c>
      <c r="J396" s="1" t="s">
        <v>2800</v>
      </c>
      <c r="K396" s="1"/>
      <c r="L396" s="1" t="s">
        <v>2291</v>
      </c>
      <c r="M396" s="1" t="s">
        <v>2801</v>
      </c>
      <c r="N396" s="1" t="s">
        <v>2802</v>
      </c>
      <c r="O396" s="1" t="s">
        <v>2803</v>
      </c>
      <c r="P396" s="1" t="s">
        <v>2165</v>
      </c>
      <c r="Q396" s="1"/>
      <c r="R396" s="1"/>
      <c r="S396" s="1" t="s">
        <v>2072</v>
      </c>
      <c r="T396" s="1" t="s">
        <v>2073</v>
      </c>
      <c r="U396" s="4">
        <v>4500000</v>
      </c>
      <c r="V396" s="4">
        <v>4023</v>
      </c>
      <c r="W396" s="4">
        <v>41</v>
      </c>
      <c r="X396" s="4">
        <v>523</v>
      </c>
      <c r="Y396" s="4">
        <v>0</v>
      </c>
      <c r="Z396" s="5">
        <v>4587</v>
      </c>
      <c r="AA396" s="5">
        <v>0</v>
      </c>
      <c r="AB396" s="6">
        <v>0</v>
      </c>
      <c r="AC396" s="4">
        <v>4587</v>
      </c>
      <c r="AD396" s="4">
        <v>0</v>
      </c>
      <c r="AE396" s="4">
        <v>4587</v>
      </c>
      <c r="AF396" s="1"/>
      <c r="AG396" s="1"/>
      <c r="AH396" s="1"/>
      <c r="AI396" s="1" t="s">
        <v>2327</v>
      </c>
      <c r="AJ396" s="6">
        <v>820.75000000000102</v>
      </c>
      <c r="AK396" s="6">
        <v>744.46</v>
      </c>
      <c r="AL396" s="1"/>
    </row>
    <row r="397" spans="1:38" hidden="1" x14ac:dyDescent="0.25">
      <c r="A397" s="2">
        <v>535</v>
      </c>
      <c r="B397" s="1" t="s">
        <v>486</v>
      </c>
      <c r="C397" s="1" t="s">
        <v>491</v>
      </c>
      <c r="D397" s="1" t="s">
        <v>2062</v>
      </c>
      <c r="E397" s="1" t="s">
        <v>2063</v>
      </c>
      <c r="F397" s="3">
        <v>45384</v>
      </c>
      <c r="G397" s="3">
        <v>45137</v>
      </c>
      <c r="H397" s="3">
        <v>45502</v>
      </c>
      <c r="I397" s="1" t="s">
        <v>2799</v>
      </c>
      <c r="J397" s="1" t="s">
        <v>2800</v>
      </c>
      <c r="K397" s="1"/>
      <c r="L397" s="1" t="s">
        <v>2291</v>
      </c>
      <c r="M397" s="1" t="s">
        <v>2801</v>
      </c>
      <c r="N397" s="1" t="s">
        <v>2802</v>
      </c>
      <c r="O397" s="1" t="s">
        <v>2803</v>
      </c>
      <c r="P397" s="1" t="s">
        <v>2165</v>
      </c>
      <c r="Q397" s="1"/>
      <c r="R397" s="1"/>
      <c r="S397" s="1" t="s">
        <v>2072</v>
      </c>
      <c r="T397" s="1" t="s">
        <v>2073</v>
      </c>
      <c r="U397" s="4">
        <v>4500000</v>
      </c>
      <c r="V397" s="4">
        <v>4857</v>
      </c>
      <c r="W397" s="4">
        <v>48</v>
      </c>
      <c r="X397" s="4">
        <v>631</v>
      </c>
      <c r="Y397" s="4">
        <v>0</v>
      </c>
      <c r="Z397" s="5">
        <v>5536</v>
      </c>
      <c r="AA397" s="5">
        <v>0</v>
      </c>
      <c r="AB397" s="6">
        <v>0</v>
      </c>
      <c r="AC397" s="4">
        <v>5536</v>
      </c>
      <c r="AD397" s="4">
        <v>0</v>
      </c>
      <c r="AE397" s="4">
        <v>5536</v>
      </c>
      <c r="AF397" s="1"/>
      <c r="AG397" s="1"/>
      <c r="AH397" s="1"/>
      <c r="AI397" s="1" t="s">
        <v>2327</v>
      </c>
      <c r="AJ397" s="6">
        <v>1562.509999999997</v>
      </c>
      <c r="AK397" s="6">
        <v>899.04000000000019</v>
      </c>
      <c r="AL397" s="1"/>
    </row>
    <row r="398" spans="1:38" hidden="1" x14ac:dyDescent="0.25">
      <c r="A398" s="2">
        <v>536</v>
      </c>
      <c r="B398" s="1" t="s">
        <v>486</v>
      </c>
      <c r="C398" s="1" t="s">
        <v>492</v>
      </c>
      <c r="D398" s="1" t="s">
        <v>2062</v>
      </c>
      <c r="E398" s="1" t="s">
        <v>2063</v>
      </c>
      <c r="F398" s="3">
        <v>45412</v>
      </c>
      <c r="G398" s="3">
        <v>45137</v>
      </c>
      <c r="H398" s="3">
        <v>45502</v>
      </c>
      <c r="I398" s="1" t="s">
        <v>2799</v>
      </c>
      <c r="J398" s="1" t="s">
        <v>2800</v>
      </c>
      <c r="K398" s="1"/>
      <c r="L398" s="1" t="s">
        <v>2291</v>
      </c>
      <c r="M398" s="1" t="s">
        <v>2801</v>
      </c>
      <c r="N398" s="1" t="s">
        <v>2802</v>
      </c>
      <c r="O398" s="1" t="s">
        <v>2803</v>
      </c>
      <c r="P398" s="1" t="s">
        <v>2165</v>
      </c>
      <c r="Q398" s="1"/>
      <c r="R398" s="1"/>
      <c r="S398" s="1" t="s">
        <v>2072</v>
      </c>
      <c r="T398" s="1" t="s">
        <v>2073</v>
      </c>
      <c r="U398" s="4">
        <v>4500000</v>
      </c>
      <c r="V398" s="4">
        <v>1769</v>
      </c>
      <c r="W398" s="4">
        <v>18</v>
      </c>
      <c r="X398" s="4">
        <v>230</v>
      </c>
      <c r="Y398" s="4">
        <v>0</v>
      </c>
      <c r="Z398" s="5">
        <v>2017</v>
      </c>
      <c r="AA398" s="5">
        <v>0</v>
      </c>
      <c r="AB398" s="6">
        <v>0</v>
      </c>
      <c r="AC398" s="4">
        <v>2017</v>
      </c>
      <c r="AD398" s="4">
        <v>0</v>
      </c>
      <c r="AE398" s="4">
        <v>2017</v>
      </c>
      <c r="AF398" s="1"/>
      <c r="AG398" s="1"/>
      <c r="AH398" s="1"/>
      <c r="AI398" s="1" t="s">
        <v>2327</v>
      </c>
      <c r="AJ398" s="6">
        <v>331.09</v>
      </c>
      <c r="AK398" s="6">
        <v>327.40000000000003</v>
      </c>
      <c r="AL398" s="1"/>
    </row>
    <row r="399" spans="1:38" hidden="1" x14ac:dyDescent="0.25">
      <c r="A399" s="2">
        <v>537</v>
      </c>
      <c r="B399" s="1" t="s">
        <v>486</v>
      </c>
      <c r="C399" s="1" t="s">
        <v>493</v>
      </c>
      <c r="D399" s="1" t="s">
        <v>2062</v>
      </c>
      <c r="E399" s="1" t="s">
        <v>2063</v>
      </c>
      <c r="F399" s="3">
        <v>45503</v>
      </c>
      <c r="G399" s="3">
        <v>45137</v>
      </c>
      <c r="H399" s="3">
        <v>45502</v>
      </c>
      <c r="I399" s="1" t="s">
        <v>2799</v>
      </c>
      <c r="J399" s="1" t="s">
        <v>2800</v>
      </c>
      <c r="K399" s="1"/>
      <c r="L399" s="1" t="s">
        <v>2291</v>
      </c>
      <c r="M399" s="1" t="s">
        <v>2801</v>
      </c>
      <c r="N399" s="1" t="s">
        <v>2802</v>
      </c>
      <c r="O399" s="1" t="s">
        <v>2803</v>
      </c>
      <c r="P399" s="1" t="s">
        <v>2165</v>
      </c>
      <c r="Q399" s="1"/>
      <c r="R399" s="1"/>
      <c r="S399" s="1" t="s">
        <v>2072</v>
      </c>
      <c r="T399" s="1" t="s">
        <v>2073</v>
      </c>
      <c r="U399" s="4">
        <v>4500000</v>
      </c>
      <c r="V399" s="4">
        <v>11</v>
      </c>
      <c r="W399" s="4">
        <v>0</v>
      </c>
      <c r="X399" s="4">
        <v>2</v>
      </c>
      <c r="Y399" s="4">
        <v>0</v>
      </c>
      <c r="Z399" s="5">
        <v>13</v>
      </c>
      <c r="AA399" s="5">
        <v>0</v>
      </c>
      <c r="AB399" s="6">
        <v>0</v>
      </c>
      <c r="AC399" s="4">
        <v>13</v>
      </c>
      <c r="AD399" s="4">
        <v>0</v>
      </c>
      <c r="AE399" s="4">
        <v>13</v>
      </c>
      <c r="AF399" s="1"/>
      <c r="AG399" s="1"/>
      <c r="AH399" s="1"/>
      <c r="AI399" s="1" t="s">
        <v>2327</v>
      </c>
      <c r="AJ399" s="6">
        <v>2.14</v>
      </c>
      <c r="AK399" s="6">
        <v>2.14</v>
      </c>
      <c r="AL399" s="1"/>
    </row>
    <row r="400" spans="1:38" hidden="1" x14ac:dyDescent="0.25">
      <c r="A400" s="2">
        <v>538</v>
      </c>
      <c r="B400" s="1" t="s">
        <v>486</v>
      </c>
      <c r="C400" s="1" t="s">
        <v>494</v>
      </c>
      <c r="D400" s="1" t="s">
        <v>2062</v>
      </c>
      <c r="E400" s="1" t="s">
        <v>2063</v>
      </c>
      <c r="F400" s="3">
        <v>45655</v>
      </c>
      <c r="G400" s="3">
        <v>45137</v>
      </c>
      <c r="H400" s="3">
        <v>45502</v>
      </c>
      <c r="I400" s="1" t="s">
        <v>2799</v>
      </c>
      <c r="J400" s="1" t="s">
        <v>2800</v>
      </c>
      <c r="K400" s="1"/>
      <c r="L400" s="1" t="s">
        <v>2291</v>
      </c>
      <c r="M400" s="1" t="s">
        <v>2801</v>
      </c>
      <c r="N400" s="1" t="s">
        <v>2802</v>
      </c>
      <c r="O400" s="1" t="s">
        <v>2803</v>
      </c>
      <c r="P400" s="1" t="s">
        <v>2165</v>
      </c>
      <c r="Q400" s="1"/>
      <c r="R400" s="1"/>
      <c r="S400" s="1" t="s">
        <v>2072</v>
      </c>
      <c r="T400" s="1" t="s">
        <v>2073</v>
      </c>
      <c r="U400" s="4">
        <v>-1</v>
      </c>
      <c r="V400" s="4">
        <v>-104880</v>
      </c>
      <c r="W400" s="4">
        <v>-1049</v>
      </c>
      <c r="X400" s="4">
        <v>0</v>
      </c>
      <c r="Y400" s="4">
        <v>0</v>
      </c>
      <c r="Z400" s="5">
        <v>-105929</v>
      </c>
      <c r="AA400" s="5">
        <v>0</v>
      </c>
      <c r="AB400" s="6">
        <v>0</v>
      </c>
      <c r="AC400" s="4">
        <v>-105929</v>
      </c>
      <c r="AD400" s="4">
        <v>0</v>
      </c>
      <c r="AE400" s="4">
        <v>-105929</v>
      </c>
      <c r="AF400" s="1"/>
      <c r="AG400" s="1"/>
      <c r="AH400" s="1"/>
      <c r="AI400" s="1" t="s">
        <v>2327</v>
      </c>
      <c r="AJ400" s="1"/>
      <c r="AK400" s="1"/>
      <c r="AL400" s="1"/>
    </row>
    <row r="401" spans="1:38" hidden="1" x14ac:dyDescent="0.25">
      <c r="A401" s="2">
        <v>539</v>
      </c>
      <c r="B401" s="1" t="s">
        <v>495</v>
      </c>
      <c r="C401" s="1" t="s">
        <v>496</v>
      </c>
      <c r="D401" s="1" t="s">
        <v>2062</v>
      </c>
      <c r="E401" s="1" t="s">
        <v>2063</v>
      </c>
      <c r="F401" s="3">
        <v>45169</v>
      </c>
      <c r="G401" s="3">
        <v>45142</v>
      </c>
      <c r="H401" s="3">
        <v>45507</v>
      </c>
      <c r="I401" s="1" t="s">
        <v>2804</v>
      </c>
      <c r="J401" s="1" t="s">
        <v>2805</v>
      </c>
      <c r="K401" s="1"/>
      <c r="L401" s="1" t="s">
        <v>2131</v>
      </c>
      <c r="M401" s="1" t="s">
        <v>2806</v>
      </c>
      <c r="N401" s="1" t="s">
        <v>2807</v>
      </c>
      <c r="O401" s="1" t="s">
        <v>2808</v>
      </c>
      <c r="P401" s="1" t="s">
        <v>2182</v>
      </c>
      <c r="Q401" s="1"/>
      <c r="R401" s="1"/>
      <c r="S401" s="1" t="s">
        <v>2072</v>
      </c>
      <c r="T401" s="1" t="s">
        <v>2809</v>
      </c>
      <c r="U401" s="4">
        <v>2900000</v>
      </c>
      <c r="V401" s="4">
        <v>46491</v>
      </c>
      <c r="W401" s="4">
        <v>465</v>
      </c>
      <c r="X401" s="4">
        <v>6044</v>
      </c>
      <c r="Y401" s="4">
        <v>0</v>
      </c>
      <c r="Z401" s="5">
        <v>53000</v>
      </c>
      <c r="AA401" s="5">
        <v>0</v>
      </c>
      <c r="AB401" s="6">
        <v>0</v>
      </c>
      <c r="AC401" s="4">
        <v>53000</v>
      </c>
      <c r="AD401" s="4">
        <v>0</v>
      </c>
      <c r="AE401" s="4">
        <v>53000</v>
      </c>
      <c r="AF401" s="1"/>
      <c r="AG401" s="1"/>
      <c r="AH401" s="1"/>
      <c r="AI401" s="1"/>
      <c r="AJ401" s="1"/>
      <c r="AK401" s="1"/>
      <c r="AL401" s="1" t="s">
        <v>2810</v>
      </c>
    </row>
    <row r="402" spans="1:38" hidden="1" x14ac:dyDescent="0.25">
      <c r="A402" s="2">
        <v>540</v>
      </c>
      <c r="B402" s="1" t="s">
        <v>495</v>
      </c>
      <c r="C402" s="1" t="s">
        <v>497</v>
      </c>
      <c r="D402" s="1" t="s">
        <v>2062</v>
      </c>
      <c r="E402" s="1" t="s">
        <v>2063</v>
      </c>
      <c r="F402" s="3">
        <v>45596</v>
      </c>
      <c r="G402" s="3">
        <v>45142</v>
      </c>
      <c r="H402" s="3">
        <v>45507</v>
      </c>
      <c r="I402" s="1" t="s">
        <v>2804</v>
      </c>
      <c r="J402" s="1" t="s">
        <v>2805</v>
      </c>
      <c r="K402" s="1"/>
      <c r="L402" s="1" t="s">
        <v>2131</v>
      </c>
      <c r="M402" s="1" t="s">
        <v>2806</v>
      </c>
      <c r="N402" s="1" t="s">
        <v>2807</v>
      </c>
      <c r="O402" s="1" t="s">
        <v>2808</v>
      </c>
      <c r="P402" s="1" t="s">
        <v>2182</v>
      </c>
      <c r="Q402" s="1"/>
      <c r="R402" s="1"/>
      <c r="S402" s="1" t="s">
        <v>2072</v>
      </c>
      <c r="T402" s="1" t="s">
        <v>2809</v>
      </c>
      <c r="U402" s="4">
        <v>-1</v>
      </c>
      <c r="V402" s="4">
        <v>-52475</v>
      </c>
      <c r="W402" s="4">
        <v>-525</v>
      </c>
      <c r="X402" s="4">
        <v>0</v>
      </c>
      <c r="Y402" s="4">
        <v>0</v>
      </c>
      <c r="Z402" s="5">
        <v>-53000</v>
      </c>
      <c r="AA402" s="5">
        <v>0</v>
      </c>
      <c r="AB402" s="6">
        <v>0</v>
      </c>
      <c r="AC402" s="4">
        <v>-53000</v>
      </c>
      <c r="AD402" s="4">
        <v>0</v>
      </c>
      <c r="AE402" s="4">
        <v>-53000</v>
      </c>
      <c r="AF402" s="1"/>
      <c r="AG402" s="1"/>
      <c r="AH402" s="1"/>
      <c r="AI402" s="1"/>
      <c r="AJ402" s="1"/>
      <c r="AK402" s="1"/>
      <c r="AL402" s="1"/>
    </row>
    <row r="403" spans="1:38" hidden="1" x14ac:dyDescent="0.25">
      <c r="A403" s="2">
        <v>541</v>
      </c>
      <c r="B403" s="1" t="s">
        <v>498</v>
      </c>
      <c r="C403" s="1" t="s">
        <v>499</v>
      </c>
      <c r="D403" s="1" t="s">
        <v>2062</v>
      </c>
      <c r="E403" s="1" t="s">
        <v>2063</v>
      </c>
      <c r="F403" s="3">
        <v>45169</v>
      </c>
      <c r="G403" s="3">
        <v>45145</v>
      </c>
      <c r="H403" s="3">
        <v>45510</v>
      </c>
      <c r="I403" s="1" t="s">
        <v>2811</v>
      </c>
      <c r="J403" s="1" t="s">
        <v>2812</v>
      </c>
      <c r="K403" s="1"/>
      <c r="L403" s="1" t="s">
        <v>2813</v>
      </c>
      <c r="M403" s="1" t="s">
        <v>2814</v>
      </c>
      <c r="N403" s="1" t="s">
        <v>2815</v>
      </c>
      <c r="O403" s="1" t="s">
        <v>2816</v>
      </c>
      <c r="P403" s="1" t="s">
        <v>2070</v>
      </c>
      <c r="Q403" s="1"/>
      <c r="R403" s="1"/>
      <c r="S403" s="1" t="s">
        <v>2072</v>
      </c>
      <c r="T403" s="1" t="s">
        <v>2073</v>
      </c>
      <c r="U403" s="4">
        <v>2000000</v>
      </c>
      <c r="V403" s="4">
        <v>30701</v>
      </c>
      <c r="W403" s="4">
        <v>307</v>
      </c>
      <c r="X403" s="4">
        <v>3992</v>
      </c>
      <c r="Y403" s="4">
        <v>0</v>
      </c>
      <c r="Z403" s="5">
        <v>35000</v>
      </c>
      <c r="AA403" s="5">
        <v>0</v>
      </c>
      <c r="AB403" s="6">
        <v>0</v>
      </c>
      <c r="AC403" s="4">
        <v>35000</v>
      </c>
      <c r="AD403" s="4">
        <v>0</v>
      </c>
      <c r="AE403" s="4">
        <v>35000</v>
      </c>
      <c r="AF403" s="1"/>
      <c r="AG403" s="1"/>
      <c r="AH403" s="1"/>
      <c r="AI403" s="1" t="s">
        <v>2414</v>
      </c>
      <c r="AJ403" s="1"/>
      <c r="AK403" s="1"/>
      <c r="AL403" s="1" t="s">
        <v>2817</v>
      </c>
    </row>
    <row r="404" spans="1:38" hidden="1" x14ac:dyDescent="0.25">
      <c r="A404" s="2">
        <v>542</v>
      </c>
      <c r="B404" s="1" t="s">
        <v>498</v>
      </c>
      <c r="C404" s="1" t="s">
        <v>500</v>
      </c>
      <c r="D404" s="1" t="s">
        <v>2062</v>
      </c>
      <c r="E404" s="1" t="s">
        <v>2063</v>
      </c>
      <c r="F404" s="3">
        <v>45300</v>
      </c>
      <c r="G404" s="3">
        <v>45145</v>
      </c>
      <c r="H404" s="3">
        <v>45510</v>
      </c>
      <c r="I404" s="1" t="s">
        <v>2811</v>
      </c>
      <c r="J404" s="1" t="s">
        <v>2812</v>
      </c>
      <c r="K404" s="1"/>
      <c r="L404" s="1" t="s">
        <v>2813</v>
      </c>
      <c r="M404" s="1" t="s">
        <v>2814</v>
      </c>
      <c r="N404" s="1" t="s">
        <v>2815</v>
      </c>
      <c r="O404" s="1" t="s">
        <v>2816</v>
      </c>
      <c r="P404" s="1" t="s">
        <v>2070</v>
      </c>
      <c r="Q404" s="1"/>
      <c r="R404" s="1"/>
      <c r="S404" s="1" t="s">
        <v>2072</v>
      </c>
      <c r="T404" s="1" t="s">
        <v>2073</v>
      </c>
      <c r="U404" s="4">
        <v>2000000</v>
      </c>
      <c r="V404" s="4">
        <v>1665</v>
      </c>
      <c r="W404" s="4">
        <v>17</v>
      </c>
      <c r="X404" s="4">
        <v>217</v>
      </c>
      <c r="Y404" s="4">
        <v>0</v>
      </c>
      <c r="Z404" s="5">
        <v>1899</v>
      </c>
      <c r="AA404" s="5">
        <v>0</v>
      </c>
      <c r="AB404" s="6">
        <v>0</v>
      </c>
      <c r="AC404" s="4">
        <v>1899</v>
      </c>
      <c r="AD404" s="4">
        <v>0</v>
      </c>
      <c r="AE404" s="4">
        <v>1899</v>
      </c>
      <c r="AF404" s="1"/>
      <c r="AG404" s="1"/>
      <c r="AH404" s="1"/>
      <c r="AI404" s="1" t="s">
        <v>2414</v>
      </c>
      <c r="AJ404" s="6">
        <v>703.42</v>
      </c>
      <c r="AK404" s="6">
        <v>693.53</v>
      </c>
      <c r="AL404" s="1"/>
    </row>
    <row r="405" spans="1:38" hidden="1" x14ac:dyDescent="0.25">
      <c r="A405" s="2">
        <v>543</v>
      </c>
      <c r="B405" s="1" t="s">
        <v>498</v>
      </c>
      <c r="C405" s="1" t="s">
        <v>501</v>
      </c>
      <c r="D405" s="1" t="s">
        <v>2062</v>
      </c>
      <c r="E405" s="1" t="s">
        <v>2063</v>
      </c>
      <c r="F405" s="3">
        <v>45358</v>
      </c>
      <c r="G405" s="3">
        <v>45145</v>
      </c>
      <c r="H405" s="3">
        <v>45510</v>
      </c>
      <c r="I405" s="1" t="s">
        <v>2811</v>
      </c>
      <c r="J405" s="1" t="s">
        <v>2812</v>
      </c>
      <c r="K405" s="1"/>
      <c r="L405" s="1" t="s">
        <v>2813</v>
      </c>
      <c r="M405" s="1" t="s">
        <v>2814</v>
      </c>
      <c r="N405" s="1" t="s">
        <v>2815</v>
      </c>
      <c r="O405" s="1" t="s">
        <v>2816</v>
      </c>
      <c r="P405" s="1" t="s">
        <v>2070</v>
      </c>
      <c r="Q405" s="1"/>
      <c r="R405" s="1"/>
      <c r="S405" s="1" t="s">
        <v>2072</v>
      </c>
      <c r="T405" s="1" t="s">
        <v>2073</v>
      </c>
      <c r="U405" s="4">
        <v>2000000</v>
      </c>
      <c r="V405" s="4">
        <v>1424</v>
      </c>
      <c r="W405" s="4">
        <v>14</v>
      </c>
      <c r="X405" s="4">
        <v>185</v>
      </c>
      <c r="Y405" s="4">
        <v>0</v>
      </c>
      <c r="Z405" s="5">
        <v>1623</v>
      </c>
      <c r="AA405" s="5">
        <v>0</v>
      </c>
      <c r="AB405" s="6">
        <v>0</v>
      </c>
      <c r="AC405" s="4">
        <v>1623</v>
      </c>
      <c r="AD405" s="4">
        <v>0</v>
      </c>
      <c r="AE405" s="4">
        <v>1623</v>
      </c>
      <c r="AF405" s="1"/>
      <c r="AG405" s="1"/>
      <c r="AH405" s="1"/>
      <c r="AI405" s="1" t="s">
        <v>2414</v>
      </c>
      <c r="AJ405" s="6">
        <v>660.14</v>
      </c>
      <c r="AK405" s="6">
        <v>593.41</v>
      </c>
      <c r="AL405" s="1"/>
    </row>
    <row r="406" spans="1:38" hidden="1" x14ac:dyDescent="0.25">
      <c r="A406" s="2">
        <v>544</v>
      </c>
      <c r="B406" s="1" t="s">
        <v>498</v>
      </c>
      <c r="C406" s="1" t="s">
        <v>502</v>
      </c>
      <c r="D406" s="1" t="s">
        <v>2062</v>
      </c>
      <c r="E406" s="1" t="s">
        <v>2063</v>
      </c>
      <c r="F406" s="3">
        <v>45390</v>
      </c>
      <c r="G406" s="3">
        <v>45145</v>
      </c>
      <c r="H406" s="3">
        <v>45510</v>
      </c>
      <c r="I406" s="1" t="s">
        <v>2811</v>
      </c>
      <c r="J406" s="1" t="s">
        <v>2812</v>
      </c>
      <c r="K406" s="1"/>
      <c r="L406" s="1" t="s">
        <v>2813</v>
      </c>
      <c r="M406" s="1" t="s">
        <v>2814</v>
      </c>
      <c r="N406" s="1" t="s">
        <v>2815</v>
      </c>
      <c r="O406" s="1" t="s">
        <v>2816</v>
      </c>
      <c r="P406" s="1" t="s">
        <v>2070</v>
      </c>
      <c r="Q406" s="1"/>
      <c r="R406" s="1"/>
      <c r="S406" s="1" t="s">
        <v>2072</v>
      </c>
      <c r="T406" s="1" t="s">
        <v>2073</v>
      </c>
      <c r="U406" s="4">
        <v>2000000</v>
      </c>
      <c r="V406" s="4">
        <v>1888</v>
      </c>
      <c r="W406" s="4">
        <v>19</v>
      </c>
      <c r="X406" s="4">
        <v>246</v>
      </c>
      <c r="Y406" s="4">
        <v>0</v>
      </c>
      <c r="Z406" s="5">
        <v>2153</v>
      </c>
      <c r="AA406" s="5">
        <v>0</v>
      </c>
      <c r="AB406" s="6">
        <v>0</v>
      </c>
      <c r="AC406" s="4">
        <v>2153</v>
      </c>
      <c r="AD406" s="4">
        <v>0</v>
      </c>
      <c r="AE406" s="4">
        <v>2153</v>
      </c>
      <c r="AF406" s="1"/>
      <c r="AG406" s="1"/>
      <c r="AH406" s="1"/>
      <c r="AI406" s="1" t="s">
        <v>2414</v>
      </c>
      <c r="AJ406" s="6">
        <v>816.5300000000002</v>
      </c>
      <c r="AK406" s="6">
        <v>786.67</v>
      </c>
      <c r="AL406" s="1"/>
    </row>
    <row r="407" spans="1:38" hidden="1" x14ac:dyDescent="0.25">
      <c r="A407" s="2">
        <v>545</v>
      </c>
      <c r="B407" s="1" t="s">
        <v>498</v>
      </c>
      <c r="C407" s="1" t="s">
        <v>503</v>
      </c>
      <c r="D407" s="1" t="s">
        <v>2062</v>
      </c>
      <c r="E407" s="1" t="s">
        <v>2063</v>
      </c>
      <c r="F407" s="3">
        <v>45399</v>
      </c>
      <c r="G407" s="3">
        <v>45145</v>
      </c>
      <c r="H407" s="3">
        <v>45510</v>
      </c>
      <c r="I407" s="1" t="s">
        <v>2811</v>
      </c>
      <c r="J407" s="1" t="s">
        <v>2812</v>
      </c>
      <c r="K407" s="1"/>
      <c r="L407" s="1" t="s">
        <v>2813</v>
      </c>
      <c r="M407" s="1" t="s">
        <v>2814</v>
      </c>
      <c r="N407" s="1" t="s">
        <v>2815</v>
      </c>
      <c r="O407" s="1" t="s">
        <v>2816</v>
      </c>
      <c r="P407" s="1" t="s">
        <v>2070</v>
      </c>
      <c r="Q407" s="1"/>
      <c r="R407" s="1"/>
      <c r="S407" s="1" t="s">
        <v>2072</v>
      </c>
      <c r="T407" s="1" t="s">
        <v>2073</v>
      </c>
      <c r="U407" s="4">
        <v>-1</v>
      </c>
      <c r="V407" s="4">
        <v>-3089</v>
      </c>
      <c r="W407" s="4">
        <v>-31</v>
      </c>
      <c r="X407" s="4">
        <v>-402</v>
      </c>
      <c r="Y407" s="4">
        <v>0</v>
      </c>
      <c r="Z407" s="5">
        <v>-3522</v>
      </c>
      <c r="AA407" s="5">
        <v>0</v>
      </c>
      <c r="AB407" s="6">
        <v>0</v>
      </c>
      <c r="AC407" s="4">
        <v>-3522</v>
      </c>
      <c r="AD407" s="4">
        <v>0</v>
      </c>
      <c r="AE407" s="4">
        <v>-3522</v>
      </c>
      <c r="AF407" s="1"/>
      <c r="AG407" s="1"/>
      <c r="AH407" s="1"/>
      <c r="AI407" s="1" t="s">
        <v>2414</v>
      </c>
      <c r="AJ407" s="1"/>
      <c r="AK407" s="1"/>
      <c r="AL407" s="1"/>
    </row>
    <row r="408" spans="1:38" hidden="1" x14ac:dyDescent="0.25">
      <c r="A408" s="2">
        <v>546</v>
      </c>
      <c r="B408" s="1" t="s">
        <v>498</v>
      </c>
      <c r="C408" s="1" t="s">
        <v>504</v>
      </c>
      <c r="D408" s="1" t="s">
        <v>2062</v>
      </c>
      <c r="E408" s="1" t="s">
        <v>2063</v>
      </c>
      <c r="F408" s="3">
        <v>45596</v>
      </c>
      <c r="G408" s="3">
        <v>45145</v>
      </c>
      <c r="H408" s="3">
        <v>45510</v>
      </c>
      <c r="I408" s="1" t="s">
        <v>2811</v>
      </c>
      <c r="J408" s="1" t="s">
        <v>2812</v>
      </c>
      <c r="K408" s="1"/>
      <c r="L408" s="1" t="s">
        <v>2813</v>
      </c>
      <c r="M408" s="1" t="s">
        <v>2814</v>
      </c>
      <c r="N408" s="1" t="s">
        <v>2815</v>
      </c>
      <c r="O408" s="1" t="s">
        <v>2816</v>
      </c>
      <c r="P408" s="1" t="s">
        <v>2070</v>
      </c>
      <c r="Q408" s="1"/>
      <c r="R408" s="1"/>
      <c r="S408" s="1" t="s">
        <v>2072</v>
      </c>
      <c r="T408" s="1" t="s">
        <v>2073</v>
      </c>
      <c r="U408" s="4">
        <v>-1</v>
      </c>
      <c r="V408" s="4">
        <v>-36785</v>
      </c>
      <c r="W408" s="4">
        <v>-368</v>
      </c>
      <c r="X408" s="4">
        <v>0</v>
      </c>
      <c r="Y408" s="4">
        <v>0</v>
      </c>
      <c r="Z408" s="5">
        <v>-37153</v>
      </c>
      <c r="AA408" s="5">
        <v>0</v>
      </c>
      <c r="AB408" s="6">
        <v>0</v>
      </c>
      <c r="AC408" s="4">
        <v>-37153</v>
      </c>
      <c r="AD408" s="4">
        <v>0</v>
      </c>
      <c r="AE408" s="4">
        <v>-37153</v>
      </c>
      <c r="AF408" s="1"/>
      <c r="AG408" s="1"/>
      <c r="AH408" s="1"/>
      <c r="AI408" s="1" t="s">
        <v>2414</v>
      </c>
      <c r="AJ408" s="1"/>
      <c r="AK408" s="1"/>
      <c r="AL408" s="1"/>
    </row>
    <row r="409" spans="1:38" hidden="1" x14ac:dyDescent="0.25">
      <c r="A409" s="2">
        <v>547</v>
      </c>
      <c r="B409" s="1" t="s">
        <v>505</v>
      </c>
      <c r="C409" s="1" t="s">
        <v>506</v>
      </c>
      <c r="D409" s="1" t="s">
        <v>2062</v>
      </c>
      <c r="E409" s="1" t="s">
        <v>2063</v>
      </c>
      <c r="F409" s="3">
        <v>45169</v>
      </c>
      <c r="G409" s="3">
        <v>45145</v>
      </c>
      <c r="H409" s="3">
        <v>45510</v>
      </c>
      <c r="I409" s="1" t="s">
        <v>2818</v>
      </c>
      <c r="J409" s="1" t="s">
        <v>2819</v>
      </c>
      <c r="K409" s="1"/>
      <c r="L409" s="1" t="s">
        <v>2115</v>
      </c>
      <c r="M409" s="1" t="s">
        <v>2820</v>
      </c>
      <c r="N409" s="1" t="s">
        <v>2821</v>
      </c>
      <c r="O409" s="1" t="s">
        <v>2822</v>
      </c>
      <c r="P409" s="1" t="s">
        <v>2182</v>
      </c>
      <c r="Q409" s="1"/>
      <c r="R409" s="1"/>
      <c r="S409" s="1" t="s">
        <v>2072</v>
      </c>
      <c r="T409" s="1" t="s">
        <v>2073</v>
      </c>
      <c r="U409" s="4">
        <v>3000000</v>
      </c>
      <c r="V409" s="4">
        <v>48245</v>
      </c>
      <c r="W409" s="4">
        <v>483</v>
      </c>
      <c r="X409" s="4">
        <v>6272</v>
      </c>
      <c r="Y409" s="4">
        <v>0</v>
      </c>
      <c r="Z409" s="5">
        <v>55000</v>
      </c>
      <c r="AA409" s="5">
        <v>0</v>
      </c>
      <c r="AB409" s="6">
        <v>0</v>
      </c>
      <c r="AC409" s="4">
        <v>55000</v>
      </c>
      <c r="AD409" s="4">
        <v>0</v>
      </c>
      <c r="AE409" s="4">
        <v>55000</v>
      </c>
      <c r="AF409" s="1"/>
      <c r="AG409" s="1"/>
      <c r="AH409" s="1"/>
      <c r="AI409" s="1" t="s">
        <v>2327</v>
      </c>
      <c r="AJ409" s="1"/>
      <c r="AK409" s="1"/>
      <c r="AL409" s="1" t="s">
        <v>2823</v>
      </c>
    </row>
    <row r="410" spans="1:38" hidden="1" x14ac:dyDescent="0.25">
      <c r="A410" s="2">
        <v>548</v>
      </c>
      <c r="B410" s="1" t="s">
        <v>505</v>
      </c>
      <c r="C410" s="1" t="s">
        <v>507</v>
      </c>
      <c r="D410" s="1" t="s">
        <v>2062</v>
      </c>
      <c r="E410" s="1" t="s">
        <v>2063</v>
      </c>
      <c r="F410" s="3">
        <v>45596</v>
      </c>
      <c r="G410" s="3">
        <v>45145</v>
      </c>
      <c r="H410" s="3">
        <v>45510</v>
      </c>
      <c r="I410" s="1" t="s">
        <v>2818</v>
      </c>
      <c r="J410" s="1" t="s">
        <v>2819</v>
      </c>
      <c r="K410" s="1"/>
      <c r="L410" s="1" t="s">
        <v>2115</v>
      </c>
      <c r="M410" s="1" t="s">
        <v>2820</v>
      </c>
      <c r="N410" s="1" t="s">
        <v>2821</v>
      </c>
      <c r="O410" s="1" t="s">
        <v>2822</v>
      </c>
      <c r="P410" s="1" t="s">
        <v>2182</v>
      </c>
      <c r="Q410" s="1"/>
      <c r="R410" s="1"/>
      <c r="S410" s="1" t="s">
        <v>2072</v>
      </c>
      <c r="T410" s="1" t="s">
        <v>2073</v>
      </c>
      <c r="U410" s="4">
        <v>-1</v>
      </c>
      <c r="V410" s="4">
        <v>-54455</v>
      </c>
      <c r="W410" s="4">
        <v>-545</v>
      </c>
      <c r="X410" s="4">
        <v>0</v>
      </c>
      <c r="Y410" s="4">
        <v>0</v>
      </c>
      <c r="Z410" s="5">
        <v>-55000</v>
      </c>
      <c r="AA410" s="5">
        <v>0</v>
      </c>
      <c r="AB410" s="6">
        <v>0</v>
      </c>
      <c r="AC410" s="4">
        <v>-55000</v>
      </c>
      <c r="AD410" s="4">
        <v>0</v>
      </c>
      <c r="AE410" s="4">
        <v>-55000</v>
      </c>
      <c r="AF410" s="1"/>
      <c r="AG410" s="1"/>
      <c r="AH410" s="1"/>
      <c r="AI410" s="1" t="s">
        <v>2327</v>
      </c>
      <c r="AJ410" s="1"/>
      <c r="AK410" s="1"/>
      <c r="AL410" s="1"/>
    </row>
    <row r="411" spans="1:38" hidden="1" x14ac:dyDescent="0.25">
      <c r="A411" s="2">
        <v>549</v>
      </c>
      <c r="B411" s="1" t="s">
        <v>508</v>
      </c>
      <c r="C411" s="1" t="s">
        <v>509</v>
      </c>
      <c r="D411" s="1" t="s">
        <v>2062</v>
      </c>
      <c r="E411" s="1" t="s">
        <v>2063</v>
      </c>
      <c r="F411" s="3">
        <v>45169</v>
      </c>
      <c r="G411" s="3">
        <v>45145</v>
      </c>
      <c r="H411" s="3">
        <v>45510</v>
      </c>
      <c r="I411" s="1" t="s">
        <v>2824</v>
      </c>
      <c r="J411" s="1" t="s">
        <v>2825</v>
      </c>
      <c r="K411" s="1"/>
      <c r="L411" s="1" t="s">
        <v>2529</v>
      </c>
      <c r="M411" s="1" t="s">
        <v>2826</v>
      </c>
      <c r="N411" s="1" t="s">
        <v>2827</v>
      </c>
      <c r="O411" s="1" t="s">
        <v>2828</v>
      </c>
      <c r="P411" s="1" t="s">
        <v>2088</v>
      </c>
      <c r="Q411" s="1"/>
      <c r="R411" s="1"/>
      <c r="S411" s="1" t="s">
        <v>2072</v>
      </c>
      <c r="T411" s="1" t="s">
        <v>2073</v>
      </c>
      <c r="U411" s="4">
        <v>7000000</v>
      </c>
      <c r="V411" s="4">
        <v>118420</v>
      </c>
      <c r="W411" s="4">
        <v>1185</v>
      </c>
      <c r="X411" s="4">
        <v>15395</v>
      </c>
      <c r="Y411" s="4">
        <v>0</v>
      </c>
      <c r="Z411" s="5">
        <v>135000</v>
      </c>
      <c r="AA411" s="5">
        <v>0</v>
      </c>
      <c r="AB411" s="6">
        <v>0</v>
      </c>
      <c r="AC411" s="4">
        <v>135000</v>
      </c>
      <c r="AD411" s="4">
        <v>0</v>
      </c>
      <c r="AE411" s="4">
        <v>135000</v>
      </c>
      <c r="AF411" s="1"/>
      <c r="AG411" s="1"/>
      <c r="AH411" s="1"/>
      <c r="AI411" s="1" t="s">
        <v>2414</v>
      </c>
      <c r="AJ411" s="1"/>
      <c r="AK411" s="1"/>
      <c r="AL411" s="1"/>
    </row>
    <row r="412" spans="1:38" hidden="1" x14ac:dyDescent="0.25">
      <c r="A412" s="2">
        <v>550</v>
      </c>
      <c r="B412" s="1" t="s">
        <v>508</v>
      </c>
      <c r="C412" s="1" t="s">
        <v>510</v>
      </c>
      <c r="D412" s="1" t="s">
        <v>2062</v>
      </c>
      <c r="E412" s="1" t="s">
        <v>2063</v>
      </c>
      <c r="F412" s="3">
        <v>45329</v>
      </c>
      <c r="G412" s="3">
        <v>45145</v>
      </c>
      <c r="H412" s="3">
        <v>45510</v>
      </c>
      <c r="I412" s="1" t="s">
        <v>2824</v>
      </c>
      <c r="J412" s="1" t="s">
        <v>2825</v>
      </c>
      <c r="K412" s="1"/>
      <c r="L412" s="1" t="s">
        <v>2529</v>
      </c>
      <c r="M412" s="1" t="s">
        <v>2826</v>
      </c>
      <c r="N412" s="1" t="s">
        <v>2827</v>
      </c>
      <c r="O412" s="1" t="s">
        <v>2828</v>
      </c>
      <c r="P412" s="1" t="s">
        <v>2088</v>
      </c>
      <c r="Q412" s="1"/>
      <c r="R412" s="1"/>
      <c r="S412" s="1" t="s">
        <v>2072</v>
      </c>
      <c r="T412" s="1" t="s">
        <v>2073</v>
      </c>
      <c r="U412" s="4">
        <v>7000000</v>
      </c>
      <c r="V412" s="4">
        <v>4027</v>
      </c>
      <c r="W412" s="4">
        <v>41</v>
      </c>
      <c r="X412" s="4">
        <v>524</v>
      </c>
      <c r="Y412" s="4">
        <v>0</v>
      </c>
      <c r="Z412" s="5">
        <v>4592</v>
      </c>
      <c r="AA412" s="5">
        <v>0</v>
      </c>
      <c r="AB412" s="6">
        <v>0</v>
      </c>
      <c r="AC412" s="4">
        <v>4592</v>
      </c>
      <c r="AD412" s="4">
        <v>0</v>
      </c>
      <c r="AE412" s="4">
        <v>4592</v>
      </c>
      <c r="AF412" s="1"/>
      <c r="AG412" s="1"/>
      <c r="AH412" s="1"/>
      <c r="AI412" s="1" t="s">
        <v>2414</v>
      </c>
      <c r="AJ412" s="6">
        <v>2107.3399999999961</v>
      </c>
      <c r="AK412" s="6">
        <v>478.4</v>
      </c>
      <c r="AL412" s="1"/>
    </row>
    <row r="413" spans="1:38" hidden="1" x14ac:dyDescent="0.25">
      <c r="A413" s="2">
        <v>551</v>
      </c>
      <c r="B413" s="1" t="s">
        <v>508</v>
      </c>
      <c r="C413" s="1" t="s">
        <v>511</v>
      </c>
      <c r="D413" s="1" t="s">
        <v>2062</v>
      </c>
      <c r="E413" s="1" t="s">
        <v>2063</v>
      </c>
      <c r="F413" s="3">
        <v>45358</v>
      </c>
      <c r="G413" s="3">
        <v>45145</v>
      </c>
      <c r="H413" s="3">
        <v>45510</v>
      </c>
      <c r="I413" s="1" t="s">
        <v>2824</v>
      </c>
      <c r="J413" s="1" t="s">
        <v>2825</v>
      </c>
      <c r="K413" s="1"/>
      <c r="L413" s="1" t="s">
        <v>2529</v>
      </c>
      <c r="M413" s="1" t="s">
        <v>2826</v>
      </c>
      <c r="N413" s="1" t="s">
        <v>2827</v>
      </c>
      <c r="O413" s="1" t="s">
        <v>2828</v>
      </c>
      <c r="P413" s="1" t="s">
        <v>2088</v>
      </c>
      <c r="Q413" s="1"/>
      <c r="R413" s="1"/>
      <c r="S413" s="1" t="s">
        <v>2072</v>
      </c>
      <c r="T413" s="1" t="s">
        <v>2073</v>
      </c>
      <c r="U413" s="4">
        <v>7000000</v>
      </c>
      <c r="V413" s="4">
        <v>2916</v>
      </c>
      <c r="W413" s="4">
        <v>29</v>
      </c>
      <c r="X413" s="4">
        <v>379</v>
      </c>
      <c r="Y413" s="4">
        <v>0</v>
      </c>
      <c r="Z413" s="5">
        <v>3324</v>
      </c>
      <c r="AA413" s="5">
        <v>0</v>
      </c>
      <c r="AB413" s="6">
        <v>0</v>
      </c>
      <c r="AC413" s="4">
        <v>3324</v>
      </c>
      <c r="AD413" s="4">
        <v>0</v>
      </c>
      <c r="AE413" s="4">
        <v>3324</v>
      </c>
      <c r="AF413" s="1"/>
      <c r="AG413" s="1"/>
      <c r="AH413" s="1"/>
      <c r="AI413" s="1" t="s">
        <v>2414</v>
      </c>
      <c r="AJ413" s="6">
        <v>859.13</v>
      </c>
      <c r="AK413" s="6">
        <v>346.5200000000001</v>
      </c>
      <c r="AL413" s="1"/>
    </row>
    <row r="414" spans="1:38" hidden="1" x14ac:dyDescent="0.25">
      <c r="A414" s="2">
        <v>552</v>
      </c>
      <c r="B414" s="1" t="s">
        <v>508</v>
      </c>
      <c r="C414" s="1" t="s">
        <v>512</v>
      </c>
      <c r="D414" s="1" t="s">
        <v>2062</v>
      </c>
      <c r="E414" s="1" t="s">
        <v>2063</v>
      </c>
      <c r="F414" s="3">
        <v>45390</v>
      </c>
      <c r="G414" s="3">
        <v>45145</v>
      </c>
      <c r="H414" s="3">
        <v>45510</v>
      </c>
      <c r="I414" s="1" t="s">
        <v>2824</v>
      </c>
      <c r="J414" s="1" t="s">
        <v>2825</v>
      </c>
      <c r="K414" s="1"/>
      <c r="L414" s="1" t="s">
        <v>2529</v>
      </c>
      <c r="M414" s="1" t="s">
        <v>2826</v>
      </c>
      <c r="N414" s="1" t="s">
        <v>2827</v>
      </c>
      <c r="O414" s="1" t="s">
        <v>2828</v>
      </c>
      <c r="P414" s="1" t="s">
        <v>2088</v>
      </c>
      <c r="Q414" s="1"/>
      <c r="R414" s="1"/>
      <c r="S414" s="1" t="s">
        <v>2072</v>
      </c>
      <c r="T414" s="1" t="s">
        <v>2073</v>
      </c>
      <c r="U414" s="4">
        <v>7000000</v>
      </c>
      <c r="V414" s="4">
        <v>4927</v>
      </c>
      <c r="W414" s="4">
        <v>49</v>
      </c>
      <c r="X414" s="4">
        <v>640</v>
      </c>
      <c r="Y414" s="4">
        <v>0</v>
      </c>
      <c r="Z414" s="5">
        <v>5616</v>
      </c>
      <c r="AA414" s="5">
        <v>0</v>
      </c>
      <c r="AB414" s="6">
        <v>0</v>
      </c>
      <c r="AC414" s="4">
        <v>5616</v>
      </c>
      <c r="AD414" s="4">
        <v>0</v>
      </c>
      <c r="AE414" s="4">
        <v>5616</v>
      </c>
      <c r="AF414" s="1"/>
      <c r="AG414" s="1"/>
      <c r="AH414" s="1"/>
      <c r="AI414" s="1" t="s">
        <v>2414</v>
      </c>
      <c r="AJ414" s="6">
        <v>2069.7900000000031</v>
      </c>
      <c r="AK414" s="6">
        <v>585</v>
      </c>
      <c r="AL414" s="1"/>
    </row>
    <row r="415" spans="1:38" hidden="1" x14ac:dyDescent="0.25">
      <c r="A415" s="2">
        <v>553</v>
      </c>
      <c r="B415" s="1" t="s">
        <v>508</v>
      </c>
      <c r="C415" s="1" t="s">
        <v>513</v>
      </c>
      <c r="D415" s="1" t="s">
        <v>2062</v>
      </c>
      <c r="E415" s="1" t="s">
        <v>2063</v>
      </c>
      <c r="F415" s="3">
        <v>45399</v>
      </c>
      <c r="G415" s="3">
        <v>45145</v>
      </c>
      <c r="H415" s="3">
        <v>45510</v>
      </c>
      <c r="I415" s="1" t="s">
        <v>2824</v>
      </c>
      <c r="J415" s="1" t="s">
        <v>2825</v>
      </c>
      <c r="K415" s="1"/>
      <c r="L415" s="1" t="s">
        <v>2529</v>
      </c>
      <c r="M415" s="1" t="s">
        <v>2826</v>
      </c>
      <c r="N415" s="1" t="s">
        <v>2827</v>
      </c>
      <c r="O415" s="1" t="s">
        <v>2828</v>
      </c>
      <c r="P415" s="1" t="s">
        <v>2088</v>
      </c>
      <c r="Q415" s="1"/>
      <c r="R415" s="1"/>
      <c r="S415" s="1" t="s">
        <v>2072</v>
      </c>
      <c r="T415" s="1" t="s">
        <v>2073</v>
      </c>
      <c r="U415" s="4">
        <v>-1</v>
      </c>
      <c r="V415" s="4">
        <v>-6944</v>
      </c>
      <c r="W415" s="4">
        <v>-69</v>
      </c>
      <c r="X415" s="4">
        <v>-903</v>
      </c>
      <c r="Y415" s="4">
        <v>0</v>
      </c>
      <c r="Z415" s="5">
        <v>-7916</v>
      </c>
      <c r="AA415" s="5">
        <v>0</v>
      </c>
      <c r="AB415" s="6">
        <v>0</v>
      </c>
      <c r="AC415" s="4">
        <v>-7916</v>
      </c>
      <c r="AD415" s="4">
        <v>0</v>
      </c>
      <c r="AE415" s="4">
        <v>-7916</v>
      </c>
      <c r="AF415" s="1"/>
      <c r="AG415" s="1"/>
      <c r="AH415" s="1"/>
      <c r="AI415" s="1" t="s">
        <v>2414</v>
      </c>
      <c r="AJ415" s="1"/>
      <c r="AK415" s="1"/>
      <c r="AL415" s="1"/>
    </row>
    <row r="416" spans="1:38" hidden="1" x14ac:dyDescent="0.25">
      <c r="A416" s="2">
        <v>554</v>
      </c>
      <c r="B416" s="1" t="s">
        <v>508</v>
      </c>
      <c r="C416" s="1" t="s">
        <v>514</v>
      </c>
      <c r="D416" s="1" t="s">
        <v>2062</v>
      </c>
      <c r="E416" s="1" t="s">
        <v>2063</v>
      </c>
      <c r="F416" s="3">
        <v>45596</v>
      </c>
      <c r="G416" s="3">
        <v>45145</v>
      </c>
      <c r="H416" s="3">
        <v>45510</v>
      </c>
      <c r="I416" s="1" t="s">
        <v>2824</v>
      </c>
      <c r="J416" s="1" t="s">
        <v>2825</v>
      </c>
      <c r="K416" s="1"/>
      <c r="L416" s="1" t="s">
        <v>2529</v>
      </c>
      <c r="M416" s="1" t="s">
        <v>2826</v>
      </c>
      <c r="N416" s="1" t="s">
        <v>2827</v>
      </c>
      <c r="O416" s="1" t="s">
        <v>2828</v>
      </c>
      <c r="P416" s="1" t="s">
        <v>2088</v>
      </c>
      <c r="Q416" s="1"/>
      <c r="R416" s="1"/>
      <c r="S416" s="1" t="s">
        <v>2072</v>
      </c>
      <c r="T416" s="1" t="s">
        <v>2073</v>
      </c>
      <c r="U416" s="4">
        <v>-1</v>
      </c>
      <c r="V416" s="4">
        <v>-139224</v>
      </c>
      <c r="W416" s="4">
        <v>-1392</v>
      </c>
      <c r="X416" s="4">
        <v>0</v>
      </c>
      <c r="Y416" s="4">
        <v>0</v>
      </c>
      <c r="Z416" s="5">
        <v>-140616</v>
      </c>
      <c r="AA416" s="5">
        <v>0</v>
      </c>
      <c r="AB416" s="6">
        <v>0</v>
      </c>
      <c r="AC416" s="4">
        <v>-140616</v>
      </c>
      <c r="AD416" s="4">
        <v>0</v>
      </c>
      <c r="AE416" s="4">
        <v>-140616</v>
      </c>
      <c r="AF416" s="1"/>
      <c r="AG416" s="1"/>
      <c r="AH416" s="1"/>
      <c r="AI416" s="1" t="s">
        <v>2414</v>
      </c>
      <c r="AJ416" s="1"/>
      <c r="AK416" s="1"/>
      <c r="AL416" s="1"/>
    </row>
    <row r="417" spans="1:38" hidden="1" x14ac:dyDescent="0.25">
      <c r="A417" s="2">
        <v>555</v>
      </c>
      <c r="B417" s="1" t="s">
        <v>515</v>
      </c>
      <c r="C417" s="1" t="s">
        <v>516</v>
      </c>
      <c r="D417" s="1" t="s">
        <v>2062</v>
      </c>
      <c r="E417" s="1" t="s">
        <v>2063</v>
      </c>
      <c r="F417" s="3">
        <v>45169</v>
      </c>
      <c r="G417" s="3">
        <v>45147</v>
      </c>
      <c r="H417" s="3">
        <v>45512</v>
      </c>
      <c r="I417" s="1" t="s">
        <v>2829</v>
      </c>
      <c r="J417" s="1" t="s">
        <v>2830</v>
      </c>
      <c r="K417" s="1"/>
      <c r="L417" s="1" t="s">
        <v>2831</v>
      </c>
      <c r="M417" s="1" t="s">
        <v>2832</v>
      </c>
      <c r="N417" s="1" t="s">
        <v>2833</v>
      </c>
      <c r="O417" s="1" t="s">
        <v>2834</v>
      </c>
      <c r="P417" s="1" t="s">
        <v>2247</v>
      </c>
      <c r="Q417" s="1"/>
      <c r="R417" s="1"/>
      <c r="S417" s="1" t="s">
        <v>2072</v>
      </c>
      <c r="T417" s="1" t="s">
        <v>2073</v>
      </c>
      <c r="U417" s="4">
        <v>4000000</v>
      </c>
      <c r="V417" s="4">
        <v>65789</v>
      </c>
      <c r="W417" s="4">
        <v>658</v>
      </c>
      <c r="X417" s="4">
        <v>8553</v>
      </c>
      <c r="Y417" s="4">
        <v>0</v>
      </c>
      <c r="Z417" s="5">
        <v>75000</v>
      </c>
      <c r="AA417" s="5">
        <v>0</v>
      </c>
      <c r="AB417" s="6">
        <v>0</v>
      </c>
      <c r="AC417" s="4">
        <v>75000</v>
      </c>
      <c r="AD417" s="4">
        <v>0</v>
      </c>
      <c r="AE417" s="4">
        <v>75000</v>
      </c>
      <c r="AF417" s="1"/>
      <c r="AG417" s="1"/>
      <c r="AH417" s="1"/>
      <c r="AI417" s="1" t="s">
        <v>2414</v>
      </c>
      <c r="AJ417" s="1"/>
      <c r="AK417" s="1"/>
      <c r="AL417" s="1" t="s">
        <v>2835</v>
      </c>
    </row>
    <row r="418" spans="1:38" hidden="1" x14ac:dyDescent="0.25">
      <c r="A418" s="2">
        <v>556</v>
      </c>
      <c r="B418" s="1" t="s">
        <v>515</v>
      </c>
      <c r="C418" s="1" t="s">
        <v>517</v>
      </c>
      <c r="D418" s="1" t="s">
        <v>2062</v>
      </c>
      <c r="E418" s="1" t="s">
        <v>2063</v>
      </c>
      <c r="F418" s="3">
        <v>45596</v>
      </c>
      <c r="G418" s="3">
        <v>45147</v>
      </c>
      <c r="H418" s="3">
        <v>45512</v>
      </c>
      <c r="I418" s="1" t="s">
        <v>2829</v>
      </c>
      <c r="J418" s="1" t="s">
        <v>2830</v>
      </c>
      <c r="K418" s="1"/>
      <c r="L418" s="1" t="s">
        <v>2831</v>
      </c>
      <c r="M418" s="1" t="s">
        <v>2832</v>
      </c>
      <c r="N418" s="1" t="s">
        <v>2833</v>
      </c>
      <c r="O418" s="1" t="s">
        <v>2834</v>
      </c>
      <c r="P418" s="1" t="s">
        <v>2247</v>
      </c>
      <c r="Q418" s="1"/>
      <c r="R418" s="1"/>
      <c r="S418" s="1" t="s">
        <v>2072</v>
      </c>
      <c r="T418" s="1" t="s">
        <v>2073</v>
      </c>
      <c r="U418" s="4">
        <v>-1</v>
      </c>
      <c r="V418" s="4">
        <v>-74257</v>
      </c>
      <c r="W418" s="4">
        <v>-743</v>
      </c>
      <c r="X418" s="4">
        <v>0</v>
      </c>
      <c r="Y418" s="4">
        <v>0</v>
      </c>
      <c r="Z418" s="5">
        <v>-75000</v>
      </c>
      <c r="AA418" s="5">
        <v>0</v>
      </c>
      <c r="AB418" s="6">
        <v>0</v>
      </c>
      <c r="AC418" s="4">
        <v>-75000</v>
      </c>
      <c r="AD418" s="4">
        <v>0</v>
      </c>
      <c r="AE418" s="4">
        <v>-75000</v>
      </c>
      <c r="AF418" s="1"/>
      <c r="AG418" s="1"/>
      <c r="AH418" s="1"/>
      <c r="AI418" s="1" t="s">
        <v>2414</v>
      </c>
      <c r="AJ418" s="1"/>
      <c r="AK418" s="1"/>
      <c r="AL418" s="1"/>
    </row>
    <row r="419" spans="1:38" hidden="1" x14ac:dyDescent="0.25">
      <c r="A419" s="2">
        <v>558</v>
      </c>
      <c r="B419" s="1" t="s">
        <v>518</v>
      </c>
      <c r="C419" s="1" t="s">
        <v>519</v>
      </c>
      <c r="D419" s="1" t="s">
        <v>2062</v>
      </c>
      <c r="E419" s="1" t="s">
        <v>2063</v>
      </c>
      <c r="F419" s="3">
        <v>45169</v>
      </c>
      <c r="G419" s="3">
        <v>45148</v>
      </c>
      <c r="H419" s="3">
        <v>45513</v>
      </c>
      <c r="I419" s="1" t="s">
        <v>2836</v>
      </c>
      <c r="J419" s="1" t="s">
        <v>2837</v>
      </c>
      <c r="K419" s="1"/>
      <c r="L419" s="1" t="s">
        <v>2322</v>
      </c>
      <c r="M419" s="1" t="s">
        <v>2838</v>
      </c>
      <c r="N419" s="1" t="s">
        <v>2839</v>
      </c>
      <c r="O419" s="1" t="s">
        <v>2840</v>
      </c>
      <c r="P419" s="1" t="s">
        <v>2095</v>
      </c>
      <c r="Q419" s="1"/>
      <c r="R419" s="1"/>
      <c r="S419" s="1" t="s">
        <v>2072</v>
      </c>
      <c r="T419" s="1" t="s">
        <v>2073</v>
      </c>
      <c r="U419" s="4">
        <v>2200000</v>
      </c>
      <c r="V419" s="4">
        <v>34209</v>
      </c>
      <c r="W419" s="4">
        <v>343</v>
      </c>
      <c r="X419" s="4">
        <v>4448</v>
      </c>
      <c r="Y419" s="4">
        <v>0</v>
      </c>
      <c r="Z419" s="5">
        <v>39000</v>
      </c>
      <c r="AA419" s="5">
        <v>0</v>
      </c>
      <c r="AB419" s="6">
        <v>0</v>
      </c>
      <c r="AC419" s="4">
        <v>39000</v>
      </c>
      <c r="AD419" s="4">
        <v>0</v>
      </c>
      <c r="AE419" s="4">
        <v>39000</v>
      </c>
      <c r="AF419" s="1"/>
      <c r="AG419" s="1"/>
      <c r="AH419" s="1"/>
      <c r="AI419" s="1" t="s">
        <v>2841</v>
      </c>
      <c r="AJ419" s="1"/>
      <c r="AK419" s="1"/>
      <c r="AL419" s="1"/>
    </row>
    <row r="420" spans="1:38" hidden="1" x14ac:dyDescent="0.25">
      <c r="A420" s="2">
        <v>559</v>
      </c>
      <c r="B420" s="1" t="s">
        <v>518</v>
      </c>
      <c r="C420" s="1" t="s">
        <v>520</v>
      </c>
      <c r="D420" s="1" t="s">
        <v>2062</v>
      </c>
      <c r="E420" s="1" t="s">
        <v>2063</v>
      </c>
      <c r="F420" s="3">
        <v>45483</v>
      </c>
      <c r="G420" s="3">
        <v>45148</v>
      </c>
      <c r="H420" s="3">
        <v>45513</v>
      </c>
      <c r="I420" s="1" t="s">
        <v>2836</v>
      </c>
      <c r="J420" s="1" t="s">
        <v>2837</v>
      </c>
      <c r="K420" s="1"/>
      <c r="L420" s="1" t="s">
        <v>2322</v>
      </c>
      <c r="M420" s="1" t="s">
        <v>2838</v>
      </c>
      <c r="N420" s="1" t="s">
        <v>2839</v>
      </c>
      <c r="O420" s="1" t="s">
        <v>2840</v>
      </c>
      <c r="P420" s="1" t="s">
        <v>2095</v>
      </c>
      <c r="Q420" s="1"/>
      <c r="R420" s="1"/>
      <c r="S420" s="1" t="s">
        <v>2072</v>
      </c>
      <c r="T420" s="1" t="s">
        <v>2073</v>
      </c>
      <c r="U420" s="4">
        <v>2200000</v>
      </c>
      <c r="V420" s="4">
        <v>1366</v>
      </c>
      <c r="W420" s="4">
        <v>14</v>
      </c>
      <c r="X420" s="4">
        <v>205</v>
      </c>
      <c r="Y420" s="4">
        <v>0</v>
      </c>
      <c r="Z420" s="5">
        <v>1585</v>
      </c>
      <c r="AA420" s="5">
        <v>0</v>
      </c>
      <c r="AB420" s="6">
        <v>0</v>
      </c>
      <c r="AC420" s="4">
        <v>1585</v>
      </c>
      <c r="AD420" s="4">
        <v>0</v>
      </c>
      <c r="AE420" s="4">
        <v>1585</v>
      </c>
      <c r="AF420" s="1"/>
      <c r="AG420" s="1"/>
      <c r="AH420" s="1"/>
      <c r="AI420" s="1" t="s">
        <v>2841</v>
      </c>
      <c r="AJ420" s="6">
        <v>749.27999999999815</v>
      </c>
      <c r="AK420" s="6">
        <v>524.63</v>
      </c>
      <c r="AL420" s="1"/>
    </row>
    <row r="421" spans="1:38" hidden="1" x14ac:dyDescent="0.25">
      <c r="A421" s="2">
        <v>560</v>
      </c>
      <c r="B421" s="1" t="s">
        <v>518</v>
      </c>
      <c r="C421" s="1" t="s">
        <v>521</v>
      </c>
      <c r="D421" s="1" t="s">
        <v>2062</v>
      </c>
      <c r="E421" s="1" t="s">
        <v>2063</v>
      </c>
      <c r="F421" s="3">
        <v>45517</v>
      </c>
      <c r="G421" s="3">
        <v>45148</v>
      </c>
      <c r="H421" s="3">
        <v>45513</v>
      </c>
      <c r="I421" s="1" t="s">
        <v>2836</v>
      </c>
      <c r="J421" s="1" t="s">
        <v>2837</v>
      </c>
      <c r="K421" s="1"/>
      <c r="L421" s="1" t="s">
        <v>2322</v>
      </c>
      <c r="M421" s="1" t="s">
        <v>2838</v>
      </c>
      <c r="N421" s="1" t="s">
        <v>2839</v>
      </c>
      <c r="O421" s="1" t="s">
        <v>2840</v>
      </c>
      <c r="P421" s="1" t="s">
        <v>2095</v>
      </c>
      <c r="Q421" s="1"/>
      <c r="R421" s="1"/>
      <c r="S421" s="1" t="s">
        <v>2072</v>
      </c>
      <c r="T421" s="1" t="s">
        <v>2073</v>
      </c>
      <c r="U421" s="4">
        <v>2200000</v>
      </c>
      <c r="V421" s="4">
        <v>1656</v>
      </c>
      <c r="W421" s="4">
        <v>17</v>
      </c>
      <c r="X421" s="4">
        <v>249</v>
      </c>
      <c r="Y421" s="4">
        <v>0</v>
      </c>
      <c r="Z421" s="5">
        <v>1922</v>
      </c>
      <c r="AA421" s="5">
        <v>0</v>
      </c>
      <c r="AB421" s="6">
        <v>0</v>
      </c>
      <c r="AC421" s="4">
        <v>1922</v>
      </c>
      <c r="AD421" s="4">
        <v>0</v>
      </c>
      <c r="AE421" s="4">
        <v>1922</v>
      </c>
      <c r="AF421" s="1"/>
      <c r="AG421" s="1"/>
      <c r="AH421" s="1"/>
      <c r="AI421" s="1" t="s">
        <v>2841</v>
      </c>
      <c r="AJ421" s="6">
        <v>1012.8499999999981</v>
      </c>
      <c r="AK421" s="6">
        <v>636.1</v>
      </c>
      <c r="AL421" s="1"/>
    </row>
    <row r="422" spans="1:38" hidden="1" x14ac:dyDescent="0.25">
      <c r="A422" s="2">
        <v>561</v>
      </c>
      <c r="B422" s="1" t="s">
        <v>518</v>
      </c>
      <c r="C422" s="1" t="s">
        <v>522</v>
      </c>
      <c r="D422" s="1" t="s">
        <v>2062</v>
      </c>
      <c r="E422" s="1" t="s">
        <v>2063</v>
      </c>
      <c r="F422" s="3">
        <v>45596</v>
      </c>
      <c r="G422" s="3">
        <v>45148</v>
      </c>
      <c r="H422" s="3">
        <v>45513</v>
      </c>
      <c r="I422" s="1" t="s">
        <v>2836</v>
      </c>
      <c r="J422" s="1" t="s">
        <v>2837</v>
      </c>
      <c r="K422" s="1"/>
      <c r="L422" s="1" t="s">
        <v>2322</v>
      </c>
      <c r="M422" s="1" t="s">
        <v>2838</v>
      </c>
      <c r="N422" s="1" t="s">
        <v>2839</v>
      </c>
      <c r="O422" s="1" t="s">
        <v>2840</v>
      </c>
      <c r="P422" s="1" t="s">
        <v>2095</v>
      </c>
      <c r="Q422" s="1"/>
      <c r="R422" s="1"/>
      <c r="S422" s="1" t="s">
        <v>2072</v>
      </c>
      <c r="T422" s="1" t="s">
        <v>2073</v>
      </c>
      <c r="U422" s="4">
        <v>-1</v>
      </c>
      <c r="V422" s="4">
        <v>-42086</v>
      </c>
      <c r="W422" s="4">
        <v>-421</v>
      </c>
      <c r="X422" s="4">
        <v>0</v>
      </c>
      <c r="Y422" s="4">
        <v>0</v>
      </c>
      <c r="Z422" s="5">
        <v>-42507</v>
      </c>
      <c r="AA422" s="5">
        <v>0</v>
      </c>
      <c r="AB422" s="6">
        <v>0</v>
      </c>
      <c r="AC422" s="4">
        <v>-42507</v>
      </c>
      <c r="AD422" s="4">
        <v>0</v>
      </c>
      <c r="AE422" s="4">
        <v>-42507</v>
      </c>
      <c r="AF422" s="1"/>
      <c r="AG422" s="1"/>
      <c r="AH422" s="1"/>
      <c r="AI422" s="1" t="s">
        <v>2841</v>
      </c>
      <c r="AJ422" s="1"/>
      <c r="AK422" s="1"/>
      <c r="AL422" s="1"/>
    </row>
    <row r="423" spans="1:38" hidden="1" x14ac:dyDescent="0.25">
      <c r="A423" s="2">
        <v>563</v>
      </c>
      <c r="B423" s="1" t="s">
        <v>523</v>
      </c>
      <c r="C423" s="1" t="s">
        <v>524</v>
      </c>
      <c r="D423" s="1" t="s">
        <v>2062</v>
      </c>
      <c r="E423" s="1" t="s">
        <v>2063</v>
      </c>
      <c r="F423" s="3">
        <v>45169</v>
      </c>
      <c r="G423" s="3">
        <v>45149</v>
      </c>
      <c r="H423" s="3">
        <v>45514</v>
      </c>
      <c r="I423" s="1" t="s">
        <v>2842</v>
      </c>
      <c r="J423" s="1" t="s">
        <v>2843</v>
      </c>
      <c r="K423" s="1"/>
      <c r="L423" s="1" t="s">
        <v>2336</v>
      </c>
      <c r="M423" s="1" t="s">
        <v>2844</v>
      </c>
      <c r="N423" s="1" t="s">
        <v>2845</v>
      </c>
      <c r="O423" s="1" t="s">
        <v>2846</v>
      </c>
      <c r="P423" s="1" t="s">
        <v>2247</v>
      </c>
      <c r="Q423" s="1"/>
      <c r="R423" s="1"/>
      <c r="S423" s="1" t="s">
        <v>2072</v>
      </c>
      <c r="T423" s="1" t="s">
        <v>2073</v>
      </c>
      <c r="U423" s="4">
        <v>3300000</v>
      </c>
      <c r="V423" s="4">
        <v>53507</v>
      </c>
      <c r="W423" s="4">
        <v>536</v>
      </c>
      <c r="X423" s="4">
        <v>6957</v>
      </c>
      <c r="Y423" s="4">
        <v>0</v>
      </c>
      <c r="Z423" s="5">
        <v>61000</v>
      </c>
      <c r="AA423" s="5">
        <v>0</v>
      </c>
      <c r="AB423" s="6">
        <v>0</v>
      </c>
      <c r="AC423" s="4">
        <v>61000</v>
      </c>
      <c r="AD423" s="4">
        <v>0</v>
      </c>
      <c r="AE423" s="4">
        <v>61000</v>
      </c>
      <c r="AF423" s="1"/>
      <c r="AG423" s="1"/>
      <c r="AH423" s="1"/>
      <c r="AI423" s="1" t="s">
        <v>2414</v>
      </c>
      <c r="AJ423" s="1"/>
      <c r="AK423" s="1"/>
      <c r="AL423" s="1" t="s">
        <v>2847</v>
      </c>
    </row>
    <row r="424" spans="1:38" hidden="1" x14ac:dyDescent="0.25">
      <c r="A424" s="2">
        <v>564</v>
      </c>
      <c r="B424" s="1" t="s">
        <v>523</v>
      </c>
      <c r="C424" s="1" t="s">
        <v>525</v>
      </c>
      <c r="D424" s="1" t="s">
        <v>2062</v>
      </c>
      <c r="E424" s="1" t="s">
        <v>2063</v>
      </c>
      <c r="F424" s="3">
        <v>45396</v>
      </c>
      <c r="G424" s="3">
        <v>45149</v>
      </c>
      <c r="H424" s="3">
        <v>45514</v>
      </c>
      <c r="I424" s="1" t="s">
        <v>2842</v>
      </c>
      <c r="J424" s="1" t="s">
        <v>2843</v>
      </c>
      <c r="K424" s="1"/>
      <c r="L424" s="1" t="s">
        <v>2336</v>
      </c>
      <c r="M424" s="1" t="s">
        <v>2844</v>
      </c>
      <c r="N424" s="1" t="s">
        <v>2845</v>
      </c>
      <c r="O424" s="1" t="s">
        <v>2846</v>
      </c>
      <c r="P424" s="1" t="s">
        <v>2247</v>
      </c>
      <c r="Q424" s="1"/>
      <c r="R424" s="1"/>
      <c r="S424" s="1" t="s">
        <v>2072</v>
      </c>
      <c r="T424" s="1" t="s">
        <v>2073</v>
      </c>
      <c r="U424" s="4">
        <v>3300000</v>
      </c>
      <c r="V424" s="4">
        <v>2196</v>
      </c>
      <c r="W424" s="4">
        <v>22</v>
      </c>
      <c r="X424" s="4">
        <v>285</v>
      </c>
      <c r="Y424" s="4">
        <v>0</v>
      </c>
      <c r="Z424" s="5">
        <v>2503</v>
      </c>
      <c r="AA424" s="5">
        <v>2500</v>
      </c>
      <c r="AB424" s="6">
        <v>0</v>
      </c>
      <c r="AC424" s="4">
        <v>3</v>
      </c>
      <c r="AD424" s="4">
        <v>0</v>
      </c>
      <c r="AE424" s="4">
        <v>3</v>
      </c>
      <c r="AF424" s="1"/>
      <c r="AG424" s="1"/>
      <c r="AH424" s="1"/>
      <c r="AI424" s="1" t="s">
        <v>2414</v>
      </c>
      <c r="AJ424" s="6">
        <v>553.48</v>
      </c>
      <c r="AK424" s="6">
        <v>553.48</v>
      </c>
      <c r="AL424" s="1"/>
    </row>
    <row r="425" spans="1:38" hidden="1" x14ac:dyDescent="0.25">
      <c r="A425" s="2">
        <v>565</v>
      </c>
      <c r="B425" s="1" t="s">
        <v>523</v>
      </c>
      <c r="C425" s="1" t="s">
        <v>526</v>
      </c>
      <c r="D425" s="1" t="s">
        <v>2062</v>
      </c>
      <c r="E425" s="1" t="s">
        <v>2063</v>
      </c>
      <c r="F425" s="3">
        <v>45425</v>
      </c>
      <c r="G425" s="3">
        <v>45149</v>
      </c>
      <c r="H425" s="3">
        <v>45514</v>
      </c>
      <c r="I425" s="1" t="s">
        <v>2842</v>
      </c>
      <c r="J425" s="1" t="s">
        <v>2843</v>
      </c>
      <c r="K425" s="1"/>
      <c r="L425" s="1" t="s">
        <v>2336</v>
      </c>
      <c r="M425" s="1" t="s">
        <v>2844</v>
      </c>
      <c r="N425" s="1" t="s">
        <v>2845</v>
      </c>
      <c r="O425" s="1" t="s">
        <v>2846</v>
      </c>
      <c r="P425" s="1" t="s">
        <v>2247</v>
      </c>
      <c r="Q425" s="1"/>
      <c r="R425" s="1"/>
      <c r="S425" s="1" t="s">
        <v>2072</v>
      </c>
      <c r="T425" s="1" t="s">
        <v>2073</v>
      </c>
      <c r="U425" s="4">
        <v>3300000</v>
      </c>
      <c r="V425" s="4">
        <v>2249</v>
      </c>
      <c r="W425" s="4">
        <v>22</v>
      </c>
      <c r="X425" s="4">
        <v>293</v>
      </c>
      <c r="Y425" s="4">
        <v>0</v>
      </c>
      <c r="Z425" s="5">
        <v>2564</v>
      </c>
      <c r="AA425" s="5">
        <v>2550</v>
      </c>
      <c r="AB425" s="6">
        <v>0</v>
      </c>
      <c r="AC425" s="4">
        <v>14</v>
      </c>
      <c r="AD425" s="4">
        <v>0</v>
      </c>
      <c r="AE425" s="4">
        <v>14</v>
      </c>
      <c r="AF425" s="1"/>
      <c r="AG425" s="1"/>
      <c r="AH425" s="1"/>
      <c r="AI425" s="1" t="s">
        <v>2414</v>
      </c>
      <c r="AJ425" s="6">
        <v>584.35</v>
      </c>
      <c r="AK425" s="6">
        <v>567.28</v>
      </c>
      <c r="AL425" s="1"/>
    </row>
    <row r="426" spans="1:38" hidden="1" x14ac:dyDescent="0.25">
      <c r="A426" s="2">
        <v>566</v>
      </c>
      <c r="B426" s="1" t="s">
        <v>523</v>
      </c>
      <c r="C426" s="1" t="s">
        <v>527</v>
      </c>
      <c r="D426" s="1" t="s">
        <v>2062</v>
      </c>
      <c r="E426" s="1" t="s">
        <v>2063</v>
      </c>
      <c r="F426" s="3">
        <v>45486</v>
      </c>
      <c r="G426" s="3">
        <v>45149</v>
      </c>
      <c r="H426" s="3">
        <v>45514</v>
      </c>
      <c r="I426" s="1" t="s">
        <v>2842</v>
      </c>
      <c r="J426" s="1" t="s">
        <v>2843</v>
      </c>
      <c r="K426" s="1"/>
      <c r="L426" s="1" t="s">
        <v>2336</v>
      </c>
      <c r="M426" s="1" t="s">
        <v>2844</v>
      </c>
      <c r="N426" s="1" t="s">
        <v>2845</v>
      </c>
      <c r="O426" s="1" t="s">
        <v>2846</v>
      </c>
      <c r="P426" s="1" t="s">
        <v>2247</v>
      </c>
      <c r="Q426" s="1"/>
      <c r="R426" s="1"/>
      <c r="S426" s="1" t="s">
        <v>2072</v>
      </c>
      <c r="T426" s="1" t="s">
        <v>2073</v>
      </c>
      <c r="U426" s="4">
        <v>3300000</v>
      </c>
      <c r="V426" s="4">
        <v>2463</v>
      </c>
      <c r="W426" s="4">
        <v>25</v>
      </c>
      <c r="X426" s="4">
        <v>369</v>
      </c>
      <c r="Y426" s="4">
        <v>0</v>
      </c>
      <c r="Z426" s="5">
        <v>2857</v>
      </c>
      <c r="AA426" s="5">
        <v>0</v>
      </c>
      <c r="AB426" s="6">
        <v>0</v>
      </c>
      <c r="AC426" s="4">
        <v>2857</v>
      </c>
      <c r="AD426" s="4">
        <v>0</v>
      </c>
      <c r="AE426" s="4">
        <v>2857</v>
      </c>
      <c r="AF426" s="1"/>
      <c r="AG426" s="1"/>
      <c r="AH426" s="1"/>
      <c r="AI426" s="1" t="s">
        <v>2414</v>
      </c>
      <c r="AJ426" s="6">
        <v>664.37</v>
      </c>
      <c r="AK426" s="6">
        <v>632.51</v>
      </c>
      <c r="AL426" s="1"/>
    </row>
    <row r="427" spans="1:38" hidden="1" x14ac:dyDescent="0.25">
      <c r="A427" s="2">
        <v>567</v>
      </c>
      <c r="B427" s="1" t="s">
        <v>523</v>
      </c>
      <c r="C427" s="1" t="s">
        <v>528</v>
      </c>
      <c r="D427" s="1" t="s">
        <v>2062</v>
      </c>
      <c r="E427" s="1" t="s">
        <v>2063</v>
      </c>
      <c r="F427" s="3">
        <v>45596</v>
      </c>
      <c r="G427" s="3">
        <v>45149</v>
      </c>
      <c r="H427" s="3">
        <v>45514</v>
      </c>
      <c r="I427" s="1" t="s">
        <v>2842</v>
      </c>
      <c r="J427" s="1" t="s">
        <v>2843</v>
      </c>
      <c r="K427" s="1"/>
      <c r="L427" s="1" t="s">
        <v>2336</v>
      </c>
      <c r="M427" s="1" t="s">
        <v>2844</v>
      </c>
      <c r="N427" s="1" t="s">
        <v>2845</v>
      </c>
      <c r="O427" s="1" t="s">
        <v>2846</v>
      </c>
      <c r="P427" s="1" t="s">
        <v>2247</v>
      </c>
      <c r="Q427" s="1"/>
      <c r="R427" s="1"/>
      <c r="S427" s="1" t="s">
        <v>2072</v>
      </c>
      <c r="T427" s="1" t="s">
        <v>2073</v>
      </c>
      <c r="U427" s="4">
        <v>-1</v>
      </c>
      <c r="V427" s="4">
        <v>-63242</v>
      </c>
      <c r="W427" s="4">
        <v>-632</v>
      </c>
      <c r="X427" s="4">
        <v>0</v>
      </c>
      <c r="Y427" s="4">
        <v>0</v>
      </c>
      <c r="Z427" s="5">
        <v>-63874</v>
      </c>
      <c r="AA427" s="5">
        <v>0</v>
      </c>
      <c r="AB427" s="6">
        <v>0</v>
      </c>
      <c r="AC427" s="4">
        <v>-63874</v>
      </c>
      <c r="AD427" s="4">
        <v>0</v>
      </c>
      <c r="AE427" s="4">
        <v>-63874</v>
      </c>
      <c r="AF427" s="1"/>
      <c r="AG427" s="1"/>
      <c r="AH427" s="1"/>
      <c r="AI427" s="1" t="s">
        <v>2414</v>
      </c>
      <c r="AJ427" s="1"/>
      <c r="AK427" s="1"/>
      <c r="AL427" s="1"/>
    </row>
    <row r="428" spans="1:38" hidden="1" x14ac:dyDescent="0.25">
      <c r="A428" s="2">
        <v>568</v>
      </c>
      <c r="B428" s="1" t="s">
        <v>529</v>
      </c>
      <c r="C428" s="1" t="s">
        <v>530</v>
      </c>
      <c r="D428" s="1" t="s">
        <v>2062</v>
      </c>
      <c r="E428" s="1" t="s">
        <v>2063</v>
      </c>
      <c r="F428" s="3">
        <v>45169</v>
      </c>
      <c r="G428" s="3">
        <v>45150</v>
      </c>
      <c r="H428" s="3">
        <v>45515</v>
      </c>
      <c r="I428" s="1" t="s">
        <v>2848</v>
      </c>
      <c r="J428" s="1" t="s">
        <v>2849</v>
      </c>
      <c r="K428" s="1"/>
      <c r="L428" s="1" t="s">
        <v>2131</v>
      </c>
      <c r="M428" s="1" t="s">
        <v>2850</v>
      </c>
      <c r="N428" s="1" t="s">
        <v>2851</v>
      </c>
      <c r="O428" s="1" t="s">
        <v>2852</v>
      </c>
      <c r="P428" s="1" t="s">
        <v>2182</v>
      </c>
      <c r="Q428" s="1"/>
      <c r="R428" s="1"/>
      <c r="S428" s="1" t="s">
        <v>2072</v>
      </c>
      <c r="T428" s="1" t="s">
        <v>2073</v>
      </c>
      <c r="U428" s="4">
        <v>2800000</v>
      </c>
      <c r="V428" s="4">
        <v>44736</v>
      </c>
      <c r="W428" s="4">
        <v>448</v>
      </c>
      <c r="X428" s="4">
        <v>5816</v>
      </c>
      <c r="Y428" s="4">
        <v>0</v>
      </c>
      <c r="Z428" s="5">
        <v>51000</v>
      </c>
      <c r="AA428" s="5">
        <v>0</v>
      </c>
      <c r="AB428" s="6">
        <v>0</v>
      </c>
      <c r="AC428" s="4">
        <v>51000</v>
      </c>
      <c r="AD428" s="4">
        <v>0</v>
      </c>
      <c r="AE428" s="4">
        <v>51000</v>
      </c>
      <c r="AF428" s="1"/>
      <c r="AG428" s="1"/>
      <c r="AH428" s="1"/>
      <c r="AI428" s="1" t="s">
        <v>2327</v>
      </c>
      <c r="AJ428" s="1"/>
      <c r="AK428" s="1"/>
      <c r="AL428" s="1" t="s">
        <v>2853</v>
      </c>
    </row>
    <row r="429" spans="1:38" hidden="1" x14ac:dyDescent="0.25">
      <c r="A429" s="2">
        <v>569</v>
      </c>
      <c r="B429" s="1" t="s">
        <v>529</v>
      </c>
      <c r="C429" s="1" t="s">
        <v>531</v>
      </c>
      <c r="D429" s="1" t="s">
        <v>2062</v>
      </c>
      <c r="E429" s="1" t="s">
        <v>2063</v>
      </c>
      <c r="F429" s="3">
        <v>45396</v>
      </c>
      <c r="G429" s="3">
        <v>45150</v>
      </c>
      <c r="H429" s="3">
        <v>45515</v>
      </c>
      <c r="I429" s="1" t="s">
        <v>2848</v>
      </c>
      <c r="J429" s="1" t="s">
        <v>2849</v>
      </c>
      <c r="K429" s="1"/>
      <c r="L429" s="1" t="s">
        <v>2131</v>
      </c>
      <c r="M429" s="1" t="s">
        <v>2850</v>
      </c>
      <c r="N429" s="1" t="s">
        <v>2851</v>
      </c>
      <c r="O429" s="1" t="s">
        <v>2852</v>
      </c>
      <c r="P429" s="1" t="s">
        <v>2182</v>
      </c>
      <c r="Q429" s="1"/>
      <c r="R429" s="1"/>
      <c r="S429" s="1" t="s">
        <v>2072</v>
      </c>
      <c r="T429" s="1" t="s">
        <v>2073</v>
      </c>
      <c r="U429" s="4">
        <v>2800000</v>
      </c>
      <c r="V429" s="4">
        <v>173</v>
      </c>
      <c r="W429" s="4">
        <v>2</v>
      </c>
      <c r="X429" s="4">
        <v>23</v>
      </c>
      <c r="Y429" s="4">
        <v>0</v>
      </c>
      <c r="Z429" s="5">
        <v>198</v>
      </c>
      <c r="AA429" s="5">
        <v>0</v>
      </c>
      <c r="AB429" s="6">
        <v>0</v>
      </c>
      <c r="AC429" s="4">
        <v>198</v>
      </c>
      <c r="AD429" s="4">
        <v>0</v>
      </c>
      <c r="AE429" s="4">
        <v>198</v>
      </c>
      <c r="AF429" s="1"/>
      <c r="AG429" s="1"/>
      <c r="AH429" s="1"/>
      <c r="AI429" s="1" t="s">
        <v>2327</v>
      </c>
      <c r="AJ429" s="6">
        <v>51.590000000000103</v>
      </c>
      <c r="AK429" s="6">
        <v>51.590000000000103</v>
      </c>
      <c r="AL429" s="1"/>
    </row>
    <row r="430" spans="1:38" hidden="1" x14ac:dyDescent="0.25">
      <c r="A430" s="2">
        <v>570</v>
      </c>
      <c r="B430" s="1" t="s">
        <v>529</v>
      </c>
      <c r="C430" s="1" t="s">
        <v>532</v>
      </c>
      <c r="D430" s="1" t="s">
        <v>2062</v>
      </c>
      <c r="E430" s="1" t="s">
        <v>2063</v>
      </c>
      <c r="F430" s="3">
        <v>45425</v>
      </c>
      <c r="G430" s="3">
        <v>45150</v>
      </c>
      <c r="H430" s="3">
        <v>45515</v>
      </c>
      <c r="I430" s="1" t="s">
        <v>2848</v>
      </c>
      <c r="J430" s="1" t="s">
        <v>2849</v>
      </c>
      <c r="K430" s="1"/>
      <c r="L430" s="1" t="s">
        <v>2131</v>
      </c>
      <c r="M430" s="1" t="s">
        <v>2850</v>
      </c>
      <c r="N430" s="1" t="s">
        <v>2851</v>
      </c>
      <c r="O430" s="1" t="s">
        <v>2852</v>
      </c>
      <c r="P430" s="1" t="s">
        <v>2182</v>
      </c>
      <c r="Q430" s="1"/>
      <c r="R430" s="1"/>
      <c r="S430" s="1" t="s">
        <v>2072</v>
      </c>
      <c r="T430" s="1" t="s">
        <v>2073</v>
      </c>
      <c r="U430" s="4">
        <v>2800000</v>
      </c>
      <c r="V430" s="4">
        <v>825</v>
      </c>
      <c r="W430" s="4">
        <v>8</v>
      </c>
      <c r="X430" s="4">
        <v>107</v>
      </c>
      <c r="Y430" s="4">
        <v>0</v>
      </c>
      <c r="Z430" s="5">
        <v>940</v>
      </c>
      <c r="AA430" s="5">
        <v>0</v>
      </c>
      <c r="AB430" s="6">
        <v>0</v>
      </c>
      <c r="AC430" s="4">
        <v>940</v>
      </c>
      <c r="AD430" s="4">
        <v>0</v>
      </c>
      <c r="AE430" s="4">
        <v>940</v>
      </c>
      <c r="AF430" s="1"/>
      <c r="AG430" s="1"/>
      <c r="AH430" s="1"/>
      <c r="AI430" s="1" t="s">
        <v>2327</v>
      </c>
      <c r="AJ430" s="6">
        <v>262.99</v>
      </c>
      <c r="AK430" s="6">
        <v>244.71</v>
      </c>
      <c r="AL430" s="1"/>
    </row>
    <row r="431" spans="1:38" hidden="1" x14ac:dyDescent="0.25">
      <c r="A431" s="2">
        <v>571</v>
      </c>
      <c r="B431" s="1" t="s">
        <v>529</v>
      </c>
      <c r="C431" s="1" t="s">
        <v>533</v>
      </c>
      <c r="D431" s="1" t="s">
        <v>2062</v>
      </c>
      <c r="E431" s="1" t="s">
        <v>2063</v>
      </c>
      <c r="F431" s="3">
        <v>45455</v>
      </c>
      <c r="G431" s="3">
        <v>45150</v>
      </c>
      <c r="H431" s="3">
        <v>45515</v>
      </c>
      <c r="I431" s="1" t="s">
        <v>2848</v>
      </c>
      <c r="J431" s="1" t="s">
        <v>2849</v>
      </c>
      <c r="K431" s="1"/>
      <c r="L431" s="1" t="s">
        <v>2131</v>
      </c>
      <c r="M431" s="1" t="s">
        <v>2850</v>
      </c>
      <c r="N431" s="1" t="s">
        <v>2851</v>
      </c>
      <c r="O431" s="1" t="s">
        <v>2852</v>
      </c>
      <c r="P431" s="1" t="s">
        <v>2182</v>
      </c>
      <c r="Q431" s="1"/>
      <c r="R431" s="1"/>
      <c r="S431" s="1" t="s">
        <v>2072</v>
      </c>
      <c r="T431" s="1" t="s">
        <v>2073</v>
      </c>
      <c r="U431" s="4">
        <v>2800000</v>
      </c>
      <c r="V431" s="4">
        <v>819</v>
      </c>
      <c r="W431" s="4">
        <v>8</v>
      </c>
      <c r="X431" s="4">
        <v>107</v>
      </c>
      <c r="Y431" s="4">
        <v>0</v>
      </c>
      <c r="Z431" s="5">
        <v>934</v>
      </c>
      <c r="AA431" s="5">
        <v>0</v>
      </c>
      <c r="AB431" s="6">
        <v>0</v>
      </c>
      <c r="AC431" s="4">
        <v>934</v>
      </c>
      <c r="AD431" s="4">
        <v>0</v>
      </c>
      <c r="AE431" s="4">
        <v>934</v>
      </c>
      <c r="AF431" s="1"/>
      <c r="AG431" s="1"/>
      <c r="AH431" s="1"/>
      <c r="AI431" s="1" t="s">
        <v>2327</v>
      </c>
      <c r="AJ431" s="6">
        <v>279.59000000000003</v>
      </c>
      <c r="AK431" s="6">
        <v>243.5</v>
      </c>
      <c r="AL431" s="1"/>
    </row>
    <row r="432" spans="1:38" hidden="1" x14ac:dyDescent="0.25">
      <c r="A432" s="2">
        <v>572</v>
      </c>
      <c r="B432" s="1" t="s">
        <v>529</v>
      </c>
      <c r="C432" s="1" t="s">
        <v>534</v>
      </c>
      <c r="D432" s="1" t="s">
        <v>2062</v>
      </c>
      <c r="E432" s="1" t="s">
        <v>2063</v>
      </c>
      <c r="F432" s="3">
        <v>45486</v>
      </c>
      <c r="G432" s="3">
        <v>45150</v>
      </c>
      <c r="H432" s="3">
        <v>45515</v>
      </c>
      <c r="I432" s="1" t="s">
        <v>2848</v>
      </c>
      <c r="J432" s="1" t="s">
        <v>2849</v>
      </c>
      <c r="K432" s="1"/>
      <c r="L432" s="1" t="s">
        <v>2131</v>
      </c>
      <c r="M432" s="1" t="s">
        <v>2850</v>
      </c>
      <c r="N432" s="1" t="s">
        <v>2851</v>
      </c>
      <c r="O432" s="1" t="s">
        <v>2852</v>
      </c>
      <c r="P432" s="1" t="s">
        <v>2182</v>
      </c>
      <c r="Q432" s="1"/>
      <c r="R432" s="1"/>
      <c r="S432" s="1" t="s">
        <v>2072</v>
      </c>
      <c r="T432" s="1" t="s">
        <v>2073</v>
      </c>
      <c r="U432" s="4">
        <v>2800000</v>
      </c>
      <c r="V432" s="4">
        <v>363</v>
      </c>
      <c r="W432" s="4">
        <v>4</v>
      </c>
      <c r="X432" s="4">
        <v>55</v>
      </c>
      <c r="Y432" s="4">
        <v>0</v>
      </c>
      <c r="Z432" s="5">
        <v>422</v>
      </c>
      <c r="AA432" s="5">
        <v>0</v>
      </c>
      <c r="AB432" s="6">
        <v>0</v>
      </c>
      <c r="AC432" s="4">
        <v>422</v>
      </c>
      <c r="AD432" s="4">
        <v>0</v>
      </c>
      <c r="AE432" s="4">
        <v>422</v>
      </c>
      <c r="AF432" s="1"/>
      <c r="AG432" s="1"/>
      <c r="AH432" s="1"/>
      <c r="AI432" s="1" t="s">
        <v>2327</v>
      </c>
      <c r="AJ432" s="6">
        <v>290.87999999999903</v>
      </c>
      <c r="AK432" s="6">
        <v>109.69</v>
      </c>
      <c r="AL432" s="1"/>
    </row>
    <row r="433" spans="1:38" hidden="1" x14ac:dyDescent="0.25">
      <c r="A433" s="2">
        <v>573</v>
      </c>
      <c r="B433" s="1" t="s">
        <v>529</v>
      </c>
      <c r="C433" s="1" t="s">
        <v>535</v>
      </c>
      <c r="D433" s="1" t="s">
        <v>2062</v>
      </c>
      <c r="E433" s="1" t="s">
        <v>2063</v>
      </c>
      <c r="F433" s="3">
        <v>45517</v>
      </c>
      <c r="G433" s="3">
        <v>45150</v>
      </c>
      <c r="H433" s="3">
        <v>45515</v>
      </c>
      <c r="I433" s="1" t="s">
        <v>2848</v>
      </c>
      <c r="J433" s="1" t="s">
        <v>2849</v>
      </c>
      <c r="K433" s="1"/>
      <c r="L433" s="1" t="s">
        <v>2131</v>
      </c>
      <c r="M433" s="1" t="s">
        <v>2850</v>
      </c>
      <c r="N433" s="1" t="s">
        <v>2851</v>
      </c>
      <c r="O433" s="1" t="s">
        <v>2852</v>
      </c>
      <c r="P433" s="1" t="s">
        <v>2182</v>
      </c>
      <c r="Q433" s="1"/>
      <c r="R433" s="1"/>
      <c r="S433" s="1" t="s">
        <v>2072</v>
      </c>
      <c r="T433" s="1" t="s">
        <v>2073</v>
      </c>
      <c r="U433" s="4">
        <v>2800000</v>
      </c>
      <c r="V433" s="4">
        <v>782</v>
      </c>
      <c r="W433" s="4">
        <v>8</v>
      </c>
      <c r="X433" s="4">
        <v>117</v>
      </c>
      <c r="Y433" s="4">
        <v>0</v>
      </c>
      <c r="Z433" s="5">
        <v>907</v>
      </c>
      <c r="AA433" s="5">
        <v>0</v>
      </c>
      <c r="AB433" s="6">
        <v>0</v>
      </c>
      <c r="AC433" s="4">
        <v>907</v>
      </c>
      <c r="AD433" s="4">
        <v>0</v>
      </c>
      <c r="AE433" s="4">
        <v>907</v>
      </c>
      <c r="AF433" s="1"/>
      <c r="AG433" s="1"/>
      <c r="AH433" s="1"/>
      <c r="AI433" s="1" t="s">
        <v>2327</v>
      </c>
      <c r="AJ433" s="6">
        <v>280.87000000000006</v>
      </c>
      <c r="AK433" s="6">
        <v>236.87</v>
      </c>
      <c r="AL433" s="1"/>
    </row>
    <row r="434" spans="1:38" hidden="1" x14ac:dyDescent="0.25">
      <c r="A434" s="2">
        <v>574</v>
      </c>
      <c r="B434" s="1" t="s">
        <v>529</v>
      </c>
      <c r="C434" s="1" t="s">
        <v>536</v>
      </c>
      <c r="D434" s="1" t="s">
        <v>2062</v>
      </c>
      <c r="E434" s="1" t="s">
        <v>2063</v>
      </c>
      <c r="F434" s="3">
        <v>45596</v>
      </c>
      <c r="G434" s="3">
        <v>45150</v>
      </c>
      <c r="H434" s="3">
        <v>45515</v>
      </c>
      <c r="I434" s="1" t="s">
        <v>2848</v>
      </c>
      <c r="J434" s="1" t="s">
        <v>2849</v>
      </c>
      <c r="K434" s="1"/>
      <c r="L434" s="1" t="s">
        <v>2131</v>
      </c>
      <c r="M434" s="1" t="s">
        <v>2850</v>
      </c>
      <c r="N434" s="1" t="s">
        <v>2851</v>
      </c>
      <c r="O434" s="1" t="s">
        <v>2852</v>
      </c>
      <c r="P434" s="1" t="s">
        <v>2182</v>
      </c>
      <c r="Q434" s="1"/>
      <c r="R434" s="1"/>
      <c r="S434" s="1" t="s">
        <v>2072</v>
      </c>
      <c r="T434" s="1" t="s">
        <v>2073</v>
      </c>
      <c r="U434" s="4">
        <v>-1</v>
      </c>
      <c r="V434" s="4">
        <v>-53862</v>
      </c>
      <c r="W434" s="4">
        <v>-539</v>
      </c>
      <c r="X434" s="4">
        <v>0</v>
      </c>
      <c r="Y434" s="4">
        <v>0</v>
      </c>
      <c r="Z434" s="5">
        <v>-54401</v>
      </c>
      <c r="AA434" s="5">
        <v>0</v>
      </c>
      <c r="AB434" s="6">
        <v>0</v>
      </c>
      <c r="AC434" s="4">
        <v>-54401</v>
      </c>
      <c r="AD434" s="4">
        <v>0</v>
      </c>
      <c r="AE434" s="4">
        <v>-54401</v>
      </c>
      <c r="AF434" s="1"/>
      <c r="AG434" s="1"/>
      <c r="AH434" s="1"/>
      <c r="AI434" s="1" t="s">
        <v>2327</v>
      </c>
      <c r="AJ434" s="1"/>
      <c r="AK434" s="1"/>
      <c r="AL434" s="1"/>
    </row>
    <row r="435" spans="1:38" hidden="1" x14ac:dyDescent="0.25">
      <c r="A435" s="2">
        <v>575</v>
      </c>
      <c r="B435" s="1" t="s">
        <v>537</v>
      </c>
      <c r="C435" s="1" t="s">
        <v>538</v>
      </c>
      <c r="D435" s="1" t="s">
        <v>2062</v>
      </c>
      <c r="E435" s="1" t="s">
        <v>2063</v>
      </c>
      <c r="F435" s="3">
        <v>45169</v>
      </c>
      <c r="G435" s="3">
        <v>45155</v>
      </c>
      <c r="H435" s="3">
        <v>45520</v>
      </c>
      <c r="I435" s="1" t="s">
        <v>2854</v>
      </c>
      <c r="J435" s="1" t="s">
        <v>2855</v>
      </c>
      <c r="K435" s="1"/>
      <c r="L435" s="1" t="s">
        <v>2856</v>
      </c>
      <c r="M435" s="1" t="s">
        <v>2857</v>
      </c>
      <c r="N435" s="1" t="s">
        <v>2858</v>
      </c>
      <c r="O435" s="1" t="s">
        <v>2859</v>
      </c>
      <c r="P435" s="1" t="s">
        <v>2860</v>
      </c>
      <c r="Q435" s="1"/>
      <c r="R435" s="1"/>
      <c r="S435" s="1" t="s">
        <v>2072</v>
      </c>
      <c r="T435" s="1" t="s">
        <v>2073</v>
      </c>
      <c r="U435" s="4">
        <v>3000000</v>
      </c>
      <c r="V435" s="4">
        <v>48245</v>
      </c>
      <c r="W435" s="4">
        <v>483</v>
      </c>
      <c r="X435" s="4">
        <v>6272</v>
      </c>
      <c r="Y435" s="4">
        <v>0</v>
      </c>
      <c r="Z435" s="5">
        <v>55000</v>
      </c>
      <c r="AA435" s="5">
        <v>0</v>
      </c>
      <c r="AB435" s="6">
        <v>0</v>
      </c>
      <c r="AC435" s="4">
        <v>55000</v>
      </c>
      <c r="AD435" s="4">
        <v>0</v>
      </c>
      <c r="AE435" s="4">
        <v>55000</v>
      </c>
      <c r="AF435" s="1"/>
      <c r="AG435" s="1"/>
      <c r="AH435" s="1"/>
      <c r="AI435" s="1" t="s">
        <v>2327</v>
      </c>
      <c r="AJ435" s="1"/>
      <c r="AK435" s="1"/>
      <c r="AL435" s="1" t="s">
        <v>2861</v>
      </c>
    </row>
    <row r="436" spans="1:38" hidden="1" x14ac:dyDescent="0.25">
      <c r="A436" s="2">
        <v>576</v>
      </c>
      <c r="B436" s="1" t="s">
        <v>537</v>
      </c>
      <c r="C436" s="1" t="s">
        <v>539</v>
      </c>
      <c r="D436" s="1" t="s">
        <v>2062</v>
      </c>
      <c r="E436" s="1" t="s">
        <v>2063</v>
      </c>
      <c r="F436" s="3">
        <v>45596</v>
      </c>
      <c r="G436" s="3">
        <v>45155</v>
      </c>
      <c r="H436" s="3">
        <v>45520</v>
      </c>
      <c r="I436" s="1" t="s">
        <v>2854</v>
      </c>
      <c r="J436" s="1" t="s">
        <v>2855</v>
      </c>
      <c r="K436" s="1"/>
      <c r="L436" s="1" t="s">
        <v>2856</v>
      </c>
      <c r="M436" s="1" t="s">
        <v>2857</v>
      </c>
      <c r="N436" s="1" t="s">
        <v>2858</v>
      </c>
      <c r="O436" s="1" t="s">
        <v>2859</v>
      </c>
      <c r="P436" s="1" t="s">
        <v>2860</v>
      </c>
      <c r="Q436" s="1"/>
      <c r="R436" s="1"/>
      <c r="S436" s="1" t="s">
        <v>2072</v>
      </c>
      <c r="T436" s="1" t="s">
        <v>2073</v>
      </c>
      <c r="U436" s="4">
        <v>-1</v>
      </c>
      <c r="V436" s="4">
        <v>-54455</v>
      </c>
      <c r="W436" s="4">
        <v>-545</v>
      </c>
      <c r="X436" s="4">
        <v>0</v>
      </c>
      <c r="Y436" s="4">
        <v>0</v>
      </c>
      <c r="Z436" s="5">
        <v>-55000</v>
      </c>
      <c r="AA436" s="5">
        <v>0</v>
      </c>
      <c r="AB436" s="6">
        <v>0</v>
      </c>
      <c r="AC436" s="4">
        <v>-55000</v>
      </c>
      <c r="AD436" s="4">
        <v>0</v>
      </c>
      <c r="AE436" s="4">
        <v>-55000</v>
      </c>
      <c r="AF436" s="1"/>
      <c r="AG436" s="1"/>
      <c r="AH436" s="1"/>
      <c r="AI436" s="1" t="s">
        <v>2327</v>
      </c>
      <c r="AJ436" s="1"/>
      <c r="AK436" s="1"/>
      <c r="AL436" s="1"/>
    </row>
    <row r="437" spans="1:38" hidden="1" x14ac:dyDescent="0.25">
      <c r="A437" s="2">
        <v>577</v>
      </c>
      <c r="B437" s="1" t="s">
        <v>540</v>
      </c>
      <c r="C437" s="1" t="s">
        <v>541</v>
      </c>
      <c r="D437" s="1" t="s">
        <v>2062</v>
      </c>
      <c r="E437" s="1" t="s">
        <v>2063</v>
      </c>
      <c r="F437" s="3">
        <v>45169</v>
      </c>
      <c r="G437" s="3">
        <v>45156</v>
      </c>
      <c r="H437" s="3">
        <v>45521</v>
      </c>
      <c r="I437" s="1" t="s">
        <v>2862</v>
      </c>
      <c r="J437" s="1" t="s">
        <v>2863</v>
      </c>
      <c r="K437" s="1"/>
      <c r="L437" s="1" t="s">
        <v>2864</v>
      </c>
      <c r="M437" s="1" t="s">
        <v>2865</v>
      </c>
      <c r="N437" s="1" t="s">
        <v>2866</v>
      </c>
      <c r="O437" s="1" t="s">
        <v>2867</v>
      </c>
      <c r="P437" s="1" t="s">
        <v>2247</v>
      </c>
      <c r="Q437" s="1"/>
      <c r="R437" s="1"/>
      <c r="S437" s="1" t="s">
        <v>2072</v>
      </c>
      <c r="T437" s="1" t="s">
        <v>2073</v>
      </c>
      <c r="U437" s="4">
        <v>2500000</v>
      </c>
      <c r="V437" s="4">
        <v>39473</v>
      </c>
      <c r="W437" s="4">
        <v>395</v>
      </c>
      <c r="X437" s="4">
        <v>5132</v>
      </c>
      <c r="Y437" s="4">
        <v>0</v>
      </c>
      <c r="Z437" s="5">
        <v>45000</v>
      </c>
      <c r="AA437" s="5">
        <v>0</v>
      </c>
      <c r="AB437" s="6">
        <v>0</v>
      </c>
      <c r="AC437" s="4">
        <v>45000</v>
      </c>
      <c r="AD437" s="4">
        <v>0</v>
      </c>
      <c r="AE437" s="4">
        <v>45000</v>
      </c>
      <c r="AF437" s="1"/>
      <c r="AG437" s="1"/>
      <c r="AH437" s="1"/>
      <c r="AI437" s="1" t="s">
        <v>2327</v>
      </c>
      <c r="AJ437" s="1"/>
      <c r="AK437" s="1"/>
      <c r="AL437" s="1" t="s">
        <v>2868</v>
      </c>
    </row>
    <row r="438" spans="1:38" hidden="1" x14ac:dyDescent="0.25">
      <c r="A438" s="2">
        <v>578</v>
      </c>
      <c r="B438" s="1" t="s">
        <v>540</v>
      </c>
      <c r="C438" s="1" t="s">
        <v>542</v>
      </c>
      <c r="D438" s="1" t="s">
        <v>2062</v>
      </c>
      <c r="E438" s="1" t="s">
        <v>2063</v>
      </c>
      <c r="F438" s="3">
        <v>45431</v>
      </c>
      <c r="G438" s="3">
        <v>45156</v>
      </c>
      <c r="H438" s="3">
        <v>45521</v>
      </c>
      <c r="I438" s="1" t="s">
        <v>2862</v>
      </c>
      <c r="J438" s="1" t="s">
        <v>2863</v>
      </c>
      <c r="K438" s="1"/>
      <c r="L438" s="1" t="s">
        <v>2864</v>
      </c>
      <c r="M438" s="1" t="s">
        <v>2865</v>
      </c>
      <c r="N438" s="1" t="s">
        <v>2866</v>
      </c>
      <c r="O438" s="1" t="s">
        <v>2867</v>
      </c>
      <c r="P438" s="1" t="s">
        <v>2247</v>
      </c>
      <c r="Q438" s="1"/>
      <c r="R438" s="1"/>
      <c r="S438" s="1" t="s">
        <v>2072</v>
      </c>
      <c r="T438" s="1" t="s">
        <v>2073</v>
      </c>
      <c r="U438" s="4">
        <v>2500000</v>
      </c>
      <c r="V438" s="4">
        <v>1830</v>
      </c>
      <c r="W438" s="4">
        <v>18</v>
      </c>
      <c r="X438" s="4">
        <v>237</v>
      </c>
      <c r="Y438" s="4">
        <v>0</v>
      </c>
      <c r="Z438" s="5">
        <v>2085</v>
      </c>
      <c r="AA438" s="5">
        <v>0</v>
      </c>
      <c r="AB438" s="6">
        <v>0</v>
      </c>
      <c r="AC438" s="4">
        <v>2085</v>
      </c>
      <c r="AD438" s="4">
        <v>0</v>
      </c>
      <c r="AE438" s="4">
        <v>2085</v>
      </c>
      <c r="AF438" s="1"/>
      <c r="AG438" s="1"/>
      <c r="AH438" s="1"/>
      <c r="AI438" s="1" t="s">
        <v>2327</v>
      </c>
      <c r="AJ438" s="6">
        <v>976.53000000000407</v>
      </c>
      <c r="AK438" s="6">
        <v>609.04000000000008</v>
      </c>
      <c r="AL438" s="1"/>
    </row>
    <row r="439" spans="1:38" hidden="1" x14ac:dyDescent="0.25">
      <c r="A439" s="2">
        <v>579</v>
      </c>
      <c r="B439" s="1" t="s">
        <v>540</v>
      </c>
      <c r="C439" s="1" t="s">
        <v>543</v>
      </c>
      <c r="D439" s="1" t="s">
        <v>2062</v>
      </c>
      <c r="E439" s="1" t="s">
        <v>2063</v>
      </c>
      <c r="F439" s="3">
        <v>45463</v>
      </c>
      <c r="G439" s="3">
        <v>45156</v>
      </c>
      <c r="H439" s="3">
        <v>45521</v>
      </c>
      <c r="I439" s="1" t="s">
        <v>2862</v>
      </c>
      <c r="J439" s="1" t="s">
        <v>2863</v>
      </c>
      <c r="K439" s="1"/>
      <c r="L439" s="1" t="s">
        <v>2864</v>
      </c>
      <c r="M439" s="1" t="s">
        <v>2865</v>
      </c>
      <c r="N439" s="1" t="s">
        <v>2866</v>
      </c>
      <c r="O439" s="1" t="s">
        <v>2867</v>
      </c>
      <c r="P439" s="1" t="s">
        <v>2247</v>
      </c>
      <c r="Q439" s="1"/>
      <c r="R439" s="1"/>
      <c r="S439" s="1" t="s">
        <v>2072</v>
      </c>
      <c r="T439" s="1" t="s">
        <v>2073</v>
      </c>
      <c r="U439" s="4">
        <v>2500000</v>
      </c>
      <c r="V439" s="4">
        <v>1608</v>
      </c>
      <c r="W439" s="4">
        <v>17</v>
      </c>
      <c r="X439" s="4">
        <v>210</v>
      </c>
      <c r="Y439" s="4">
        <v>0</v>
      </c>
      <c r="Z439" s="5">
        <v>1835</v>
      </c>
      <c r="AA439" s="5">
        <v>0</v>
      </c>
      <c r="AB439" s="6">
        <v>0</v>
      </c>
      <c r="AC439" s="4">
        <v>1835</v>
      </c>
      <c r="AD439" s="4">
        <v>0</v>
      </c>
      <c r="AE439" s="4">
        <v>1835</v>
      </c>
      <c r="AF439" s="1"/>
      <c r="AG439" s="1"/>
      <c r="AH439" s="1"/>
      <c r="AI439" s="1" t="s">
        <v>2327</v>
      </c>
      <c r="AJ439" s="6">
        <v>908.23000000001002</v>
      </c>
      <c r="AK439" s="6">
        <v>535.82000000000005</v>
      </c>
      <c r="AL439" s="1"/>
    </row>
    <row r="440" spans="1:38" hidden="1" x14ac:dyDescent="0.25">
      <c r="A440" s="2">
        <v>580</v>
      </c>
      <c r="B440" s="1" t="s">
        <v>540</v>
      </c>
      <c r="C440" s="1" t="s">
        <v>544</v>
      </c>
      <c r="D440" s="1" t="s">
        <v>2062</v>
      </c>
      <c r="E440" s="1" t="s">
        <v>2063</v>
      </c>
      <c r="F440" s="3">
        <v>45497</v>
      </c>
      <c r="G440" s="3">
        <v>45156</v>
      </c>
      <c r="H440" s="3">
        <v>45521</v>
      </c>
      <c r="I440" s="1" t="s">
        <v>2862</v>
      </c>
      <c r="J440" s="1" t="s">
        <v>2863</v>
      </c>
      <c r="K440" s="1"/>
      <c r="L440" s="1" t="s">
        <v>2864</v>
      </c>
      <c r="M440" s="1" t="s">
        <v>2865</v>
      </c>
      <c r="N440" s="1" t="s">
        <v>2866</v>
      </c>
      <c r="O440" s="1" t="s">
        <v>2867</v>
      </c>
      <c r="P440" s="1" t="s">
        <v>2247</v>
      </c>
      <c r="Q440" s="1"/>
      <c r="R440" s="1"/>
      <c r="S440" s="1" t="s">
        <v>2072</v>
      </c>
      <c r="T440" s="1" t="s">
        <v>2073</v>
      </c>
      <c r="U440" s="4">
        <v>2500000</v>
      </c>
      <c r="V440" s="4">
        <v>1444</v>
      </c>
      <c r="W440" s="4">
        <v>14</v>
      </c>
      <c r="X440" s="4">
        <v>216</v>
      </c>
      <c r="Y440" s="4">
        <v>0</v>
      </c>
      <c r="Z440" s="5">
        <v>1674</v>
      </c>
      <c r="AA440" s="5">
        <v>0</v>
      </c>
      <c r="AB440" s="6">
        <v>0</v>
      </c>
      <c r="AC440" s="4">
        <v>1674</v>
      </c>
      <c r="AD440" s="4">
        <v>0</v>
      </c>
      <c r="AE440" s="4">
        <v>1674</v>
      </c>
      <c r="AF440" s="1"/>
      <c r="AG440" s="1"/>
      <c r="AH440" s="1"/>
      <c r="AI440" s="1" t="s">
        <v>2327</v>
      </c>
      <c r="AJ440" s="6">
        <v>960.02000000000805</v>
      </c>
      <c r="AK440" s="6">
        <v>488.55</v>
      </c>
      <c r="AL440" s="1"/>
    </row>
    <row r="441" spans="1:38" hidden="1" x14ac:dyDescent="0.25">
      <c r="A441" s="2">
        <v>581</v>
      </c>
      <c r="B441" s="1" t="s">
        <v>540</v>
      </c>
      <c r="C441" s="1" t="s">
        <v>545</v>
      </c>
      <c r="D441" s="1" t="s">
        <v>2062</v>
      </c>
      <c r="E441" s="1" t="s">
        <v>2063</v>
      </c>
      <c r="F441" s="3">
        <v>45524</v>
      </c>
      <c r="G441" s="3">
        <v>45156</v>
      </c>
      <c r="H441" s="3">
        <v>45521</v>
      </c>
      <c r="I441" s="1" t="s">
        <v>2862</v>
      </c>
      <c r="J441" s="1" t="s">
        <v>2863</v>
      </c>
      <c r="K441" s="1"/>
      <c r="L441" s="1" t="s">
        <v>2864</v>
      </c>
      <c r="M441" s="1" t="s">
        <v>2865</v>
      </c>
      <c r="N441" s="1" t="s">
        <v>2866</v>
      </c>
      <c r="O441" s="1" t="s">
        <v>2867</v>
      </c>
      <c r="P441" s="1" t="s">
        <v>2247</v>
      </c>
      <c r="Q441" s="1"/>
      <c r="R441" s="1"/>
      <c r="S441" s="1" t="s">
        <v>2072</v>
      </c>
      <c r="T441" s="1" t="s">
        <v>2073</v>
      </c>
      <c r="U441" s="4">
        <v>2500000</v>
      </c>
      <c r="V441" s="4">
        <v>1685</v>
      </c>
      <c r="W441" s="4">
        <v>17</v>
      </c>
      <c r="X441" s="4">
        <v>253</v>
      </c>
      <c r="Y441" s="4">
        <v>0</v>
      </c>
      <c r="Z441" s="5">
        <v>1955</v>
      </c>
      <c r="AA441" s="5">
        <v>0</v>
      </c>
      <c r="AB441" s="6">
        <v>0</v>
      </c>
      <c r="AC441" s="4">
        <v>1955</v>
      </c>
      <c r="AD441" s="4">
        <v>0</v>
      </c>
      <c r="AE441" s="4">
        <v>1955</v>
      </c>
      <c r="AF441" s="1"/>
      <c r="AG441" s="1"/>
      <c r="AH441" s="1"/>
      <c r="AI441" s="1" t="s">
        <v>2327</v>
      </c>
      <c r="AJ441" s="6">
        <v>905.57000000000812</v>
      </c>
      <c r="AK441" s="6">
        <v>570.25</v>
      </c>
      <c r="AL441" s="1"/>
    </row>
    <row r="442" spans="1:38" hidden="1" x14ac:dyDescent="0.25">
      <c r="A442" s="2">
        <v>582</v>
      </c>
      <c r="B442" s="1" t="s">
        <v>540</v>
      </c>
      <c r="C442" s="1" t="s">
        <v>546</v>
      </c>
      <c r="D442" s="1" t="s">
        <v>2062</v>
      </c>
      <c r="E442" s="1" t="s">
        <v>2063</v>
      </c>
      <c r="F442" s="3">
        <v>45596</v>
      </c>
      <c r="G442" s="3">
        <v>45156</v>
      </c>
      <c r="H442" s="3">
        <v>45521</v>
      </c>
      <c r="I442" s="1" t="s">
        <v>2862</v>
      </c>
      <c r="J442" s="1" t="s">
        <v>2863</v>
      </c>
      <c r="K442" s="1"/>
      <c r="L442" s="1" t="s">
        <v>2864</v>
      </c>
      <c r="M442" s="1" t="s">
        <v>2865</v>
      </c>
      <c r="N442" s="1" t="s">
        <v>2866</v>
      </c>
      <c r="O442" s="1" t="s">
        <v>2867</v>
      </c>
      <c r="P442" s="1" t="s">
        <v>2247</v>
      </c>
      <c r="Q442" s="1"/>
      <c r="R442" s="1"/>
      <c r="S442" s="1" t="s">
        <v>2072</v>
      </c>
      <c r="T442" s="1" t="s">
        <v>2073</v>
      </c>
      <c r="U442" s="4">
        <v>-1</v>
      </c>
      <c r="V442" s="4">
        <v>-52029</v>
      </c>
      <c r="W442" s="4">
        <v>-520</v>
      </c>
      <c r="X442" s="4">
        <v>0</v>
      </c>
      <c r="Y442" s="4">
        <v>0</v>
      </c>
      <c r="Z442" s="5">
        <v>-52549</v>
      </c>
      <c r="AA442" s="5">
        <v>0</v>
      </c>
      <c r="AB442" s="6">
        <v>0</v>
      </c>
      <c r="AC442" s="4">
        <v>-52549</v>
      </c>
      <c r="AD442" s="4">
        <v>0</v>
      </c>
      <c r="AE442" s="4">
        <v>-52549</v>
      </c>
      <c r="AF442" s="1"/>
      <c r="AG442" s="1"/>
      <c r="AH442" s="1"/>
      <c r="AI442" s="1" t="s">
        <v>2327</v>
      </c>
      <c r="AJ442" s="1"/>
      <c r="AK442" s="1"/>
      <c r="AL442" s="1"/>
    </row>
    <row r="443" spans="1:38" hidden="1" x14ac:dyDescent="0.25">
      <c r="A443" s="2">
        <v>584</v>
      </c>
      <c r="B443" s="1" t="s">
        <v>547</v>
      </c>
      <c r="C443" s="1" t="s">
        <v>548</v>
      </c>
      <c r="D443" s="1" t="s">
        <v>2062</v>
      </c>
      <c r="E443" s="1" t="s">
        <v>2063</v>
      </c>
      <c r="F443" s="3">
        <v>45169</v>
      </c>
      <c r="G443" s="3">
        <v>45159</v>
      </c>
      <c r="H443" s="3">
        <v>45524</v>
      </c>
      <c r="I443" s="1" t="s">
        <v>2869</v>
      </c>
      <c r="J443" s="1" t="s">
        <v>2870</v>
      </c>
      <c r="K443" s="1"/>
      <c r="L443" s="1" t="s">
        <v>2864</v>
      </c>
      <c r="M443" s="1" t="s">
        <v>2871</v>
      </c>
      <c r="N443" s="1" t="s">
        <v>2872</v>
      </c>
      <c r="O443" s="1" t="s">
        <v>2873</v>
      </c>
      <c r="P443" s="1" t="s">
        <v>2231</v>
      </c>
      <c r="Q443" s="1"/>
      <c r="R443" s="1"/>
      <c r="S443" s="1" t="s">
        <v>2072</v>
      </c>
      <c r="T443" s="1" t="s">
        <v>2073</v>
      </c>
      <c r="U443" s="4">
        <v>2800000</v>
      </c>
      <c r="V443" s="4">
        <v>44736</v>
      </c>
      <c r="W443" s="4">
        <v>448</v>
      </c>
      <c r="X443" s="4">
        <v>5816</v>
      </c>
      <c r="Y443" s="4">
        <v>0</v>
      </c>
      <c r="Z443" s="5">
        <v>51000</v>
      </c>
      <c r="AA443" s="5">
        <v>0</v>
      </c>
      <c r="AB443" s="6">
        <v>0</v>
      </c>
      <c r="AC443" s="4">
        <v>51000</v>
      </c>
      <c r="AD443" s="4">
        <v>0</v>
      </c>
      <c r="AE443" s="4">
        <v>51000</v>
      </c>
      <c r="AF443" s="1"/>
      <c r="AG443" s="1"/>
      <c r="AH443" s="1"/>
      <c r="AI443" s="1" t="s">
        <v>2327</v>
      </c>
      <c r="AJ443" s="1"/>
      <c r="AK443" s="1"/>
      <c r="AL443" s="1" t="s">
        <v>2874</v>
      </c>
    </row>
    <row r="444" spans="1:38" hidden="1" x14ac:dyDescent="0.25">
      <c r="A444" s="2">
        <v>585</v>
      </c>
      <c r="B444" s="1" t="s">
        <v>547</v>
      </c>
      <c r="C444" s="1" t="s">
        <v>549</v>
      </c>
      <c r="D444" s="1" t="s">
        <v>2062</v>
      </c>
      <c r="E444" s="1" t="s">
        <v>2063</v>
      </c>
      <c r="F444" s="3">
        <v>45465</v>
      </c>
      <c r="G444" s="3">
        <v>45159</v>
      </c>
      <c r="H444" s="3">
        <v>45524</v>
      </c>
      <c r="I444" s="1" t="s">
        <v>2869</v>
      </c>
      <c r="J444" s="1" t="s">
        <v>2870</v>
      </c>
      <c r="K444" s="1"/>
      <c r="L444" s="1" t="s">
        <v>2864</v>
      </c>
      <c r="M444" s="1" t="s">
        <v>2871</v>
      </c>
      <c r="N444" s="1" t="s">
        <v>2872</v>
      </c>
      <c r="O444" s="1" t="s">
        <v>2873</v>
      </c>
      <c r="P444" s="1" t="s">
        <v>2231</v>
      </c>
      <c r="Q444" s="1"/>
      <c r="R444" s="1"/>
      <c r="S444" s="1" t="s">
        <v>2072</v>
      </c>
      <c r="T444" s="1" t="s">
        <v>2073</v>
      </c>
      <c r="U444" s="4">
        <v>2800000</v>
      </c>
      <c r="V444" s="4">
        <v>133</v>
      </c>
      <c r="W444" s="4">
        <v>1</v>
      </c>
      <c r="X444" s="4">
        <v>18</v>
      </c>
      <c r="Y444" s="4">
        <v>0</v>
      </c>
      <c r="Z444" s="5">
        <v>152</v>
      </c>
      <c r="AA444" s="5">
        <v>0</v>
      </c>
      <c r="AB444" s="6">
        <v>0</v>
      </c>
      <c r="AC444" s="4">
        <v>152</v>
      </c>
      <c r="AD444" s="4">
        <v>0</v>
      </c>
      <c r="AE444" s="4">
        <v>152</v>
      </c>
      <c r="AF444" s="1"/>
      <c r="AG444" s="1"/>
      <c r="AH444" s="1"/>
      <c r="AI444" s="1" t="s">
        <v>2327</v>
      </c>
      <c r="AJ444" s="6">
        <v>39.699999999999967</v>
      </c>
      <c r="AK444" s="6">
        <v>39.699999999999967</v>
      </c>
      <c r="AL444" s="1"/>
    </row>
    <row r="445" spans="1:38" hidden="1" x14ac:dyDescent="0.25">
      <c r="A445" s="2">
        <v>586</v>
      </c>
      <c r="B445" s="1" t="s">
        <v>547</v>
      </c>
      <c r="C445" s="1" t="s">
        <v>550</v>
      </c>
      <c r="D445" s="1" t="s">
        <v>2062</v>
      </c>
      <c r="E445" s="1" t="s">
        <v>2063</v>
      </c>
      <c r="F445" s="3">
        <v>45498</v>
      </c>
      <c r="G445" s="3">
        <v>45159</v>
      </c>
      <c r="H445" s="3">
        <v>45524</v>
      </c>
      <c r="I445" s="1" t="s">
        <v>2869</v>
      </c>
      <c r="J445" s="1" t="s">
        <v>2870</v>
      </c>
      <c r="K445" s="1"/>
      <c r="L445" s="1" t="s">
        <v>2864</v>
      </c>
      <c r="M445" s="1" t="s">
        <v>2871</v>
      </c>
      <c r="N445" s="1" t="s">
        <v>2872</v>
      </c>
      <c r="O445" s="1" t="s">
        <v>2873</v>
      </c>
      <c r="P445" s="1" t="s">
        <v>2231</v>
      </c>
      <c r="Q445" s="1"/>
      <c r="R445" s="1"/>
      <c r="S445" s="1" t="s">
        <v>2072</v>
      </c>
      <c r="T445" s="1" t="s">
        <v>2073</v>
      </c>
      <c r="U445" s="4">
        <v>2800000</v>
      </c>
      <c r="V445" s="4">
        <v>502</v>
      </c>
      <c r="W445" s="4">
        <v>5</v>
      </c>
      <c r="X445" s="4">
        <v>75</v>
      </c>
      <c r="Y445" s="4">
        <v>0</v>
      </c>
      <c r="Z445" s="5">
        <v>582</v>
      </c>
      <c r="AA445" s="5">
        <v>0</v>
      </c>
      <c r="AB445" s="6">
        <v>0</v>
      </c>
      <c r="AC445" s="4">
        <v>582</v>
      </c>
      <c r="AD445" s="4">
        <v>0</v>
      </c>
      <c r="AE445" s="4">
        <v>582</v>
      </c>
      <c r="AF445" s="1"/>
      <c r="AG445" s="1"/>
      <c r="AH445" s="1"/>
      <c r="AI445" s="1" t="s">
        <v>2327</v>
      </c>
      <c r="AJ445" s="6">
        <v>474.14000000000306</v>
      </c>
      <c r="AK445" s="6">
        <v>151.51</v>
      </c>
      <c r="AL445" s="1"/>
    </row>
    <row r="446" spans="1:38" hidden="1" x14ac:dyDescent="0.25">
      <c r="A446" s="2">
        <v>587</v>
      </c>
      <c r="B446" s="1" t="s">
        <v>547</v>
      </c>
      <c r="C446" s="1" t="s">
        <v>551</v>
      </c>
      <c r="D446" s="1" t="s">
        <v>2062</v>
      </c>
      <c r="E446" s="1" t="s">
        <v>2063</v>
      </c>
      <c r="F446" s="3">
        <v>45526</v>
      </c>
      <c r="G446" s="3">
        <v>45159</v>
      </c>
      <c r="H446" s="3">
        <v>45524</v>
      </c>
      <c r="I446" s="1" t="s">
        <v>2869</v>
      </c>
      <c r="J446" s="1" t="s">
        <v>2870</v>
      </c>
      <c r="K446" s="1"/>
      <c r="L446" s="1" t="s">
        <v>2864</v>
      </c>
      <c r="M446" s="1" t="s">
        <v>2871</v>
      </c>
      <c r="N446" s="1" t="s">
        <v>2872</v>
      </c>
      <c r="O446" s="1" t="s">
        <v>2873</v>
      </c>
      <c r="P446" s="1" t="s">
        <v>2231</v>
      </c>
      <c r="Q446" s="1"/>
      <c r="R446" s="1"/>
      <c r="S446" s="1" t="s">
        <v>2072</v>
      </c>
      <c r="T446" s="1" t="s">
        <v>2073</v>
      </c>
      <c r="U446" s="4">
        <v>2800000</v>
      </c>
      <c r="V446" s="4">
        <v>253</v>
      </c>
      <c r="W446" s="4">
        <v>3</v>
      </c>
      <c r="X446" s="4">
        <v>38</v>
      </c>
      <c r="Y446" s="4">
        <v>0</v>
      </c>
      <c r="Z446" s="5">
        <v>294</v>
      </c>
      <c r="AA446" s="5">
        <v>0</v>
      </c>
      <c r="AB446" s="6">
        <v>0</v>
      </c>
      <c r="AC446" s="4">
        <v>294</v>
      </c>
      <c r="AD446" s="4">
        <v>0</v>
      </c>
      <c r="AE446" s="4">
        <v>294</v>
      </c>
      <c r="AF446" s="1"/>
      <c r="AG446" s="1"/>
      <c r="AH446" s="1"/>
      <c r="AI446" s="1" t="s">
        <v>2327</v>
      </c>
      <c r="AJ446" s="6">
        <v>221.770000000002</v>
      </c>
      <c r="AK446" s="6">
        <v>76.389999999999986</v>
      </c>
      <c r="AL446" s="1"/>
    </row>
    <row r="447" spans="1:38" hidden="1" x14ac:dyDescent="0.25">
      <c r="A447" s="2">
        <v>588</v>
      </c>
      <c r="B447" s="1" t="s">
        <v>547</v>
      </c>
      <c r="C447" s="1" t="s">
        <v>552</v>
      </c>
      <c r="D447" s="1" t="s">
        <v>2062</v>
      </c>
      <c r="E447" s="1" t="s">
        <v>2063</v>
      </c>
      <c r="F447" s="3">
        <v>45596</v>
      </c>
      <c r="G447" s="3">
        <v>45159</v>
      </c>
      <c r="H447" s="3">
        <v>45524</v>
      </c>
      <c r="I447" s="1" t="s">
        <v>2869</v>
      </c>
      <c r="J447" s="1" t="s">
        <v>2870</v>
      </c>
      <c r="K447" s="1"/>
      <c r="L447" s="1" t="s">
        <v>2864</v>
      </c>
      <c r="M447" s="1" t="s">
        <v>2871</v>
      </c>
      <c r="N447" s="1" t="s">
        <v>2872</v>
      </c>
      <c r="O447" s="1" t="s">
        <v>2873</v>
      </c>
      <c r="P447" s="1" t="s">
        <v>2231</v>
      </c>
      <c r="Q447" s="1"/>
      <c r="R447" s="1"/>
      <c r="S447" s="1" t="s">
        <v>2072</v>
      </c>
      <c r="T447" s="1" t="s">
        <v>2073</v>
      </c>
      <c r="U447" s="4">
        <v>-1</v>
      </c>
      <c r="V447" s="4">
        <v>-51513</v>
      </c>
      <c r="W447" s="4">
        <v>-515</v>
      </c>
      <c r="X447" s="4">
        <v>0</v>
      </c>
      <c r="Y447" s="4">
        <v>0</v>
      </c>
      <c r="Z447" s="5">
        <v>-52028</v>
      </c>
      <c r="AA447" s="5">
        <v>0</v>
      </c>
      <c r="AB447" s="6">
        <v>0</v>
      </c>
      <c r="AC447" s="4">
        <v>-52028</v>
      </c>
      <c r="AD447" s="4">
        <v>0</v>
      </c>
      <c r="AE447" s="4">
        <v>-52028</v>
      </c>
      <c r="AF447" s="1"/>
      <c r="AG447" s="1"/>
      <c r="AH447" s="1"/>
      <c r="AI447" s="1" t="s">
        <v>2327</v>
      </c>
      <c r="AJ447" s="1"/>
      <c r="AK447" s="1"/>
      <c r="AL447" s="1"/>
    </row>
    <row r="448" spans="1:38" hidden="1" x14ac:dyDescent="0.25">
      <c r="A448" s="2">
        <v>589</v>
      </c>
      <c r="B448" s="1" t="s">
        <v>553</v>
      </c>
      <c r="C448" s="1" t="s">
        <v>554</v>
      </c>
      <c r="D448" s="1" t="s">
        <v>2062</v>
      </c>
      <c r="E448" s="1" t="s">
        <v>2063</v>
      </c>
      <c r="F448" s="3">
        <v>45169</v>
      </c>
      <c r="G448" s="3">
        <v>45145</v>
      </c>
      <c r="H448" s="3">
        <v>45510</v>
      </c>
      <c r="I448" s="1" t="s">
        <v>2875</v>
      </c>
      <c r="J448" s="1" t="s">
        <v>2876</v>
      </c>
      <c r="K448" s="1"/>
      <c r="L448" s="1" t="s">
        <v>2877</v>
      </c>
      <c r="M448" s="1" t="s">
        <v>2878</v>
      </c>
      <c r="N448" s="1" t="s">
        <v>2879</v>
      </c>
      <c r="O448" s="1" t="s">
        <v>2880</v>
      </c>
      <c r="P448" s="1" t="s">
        <v>2095</v>
      </c>
      <c r="Q448" s="1"/>
      <c r="R448" s="1"/>
      <c r="S448" s="1" t="s">
        <v>2072</v>
      </c>
      <c r="T448" s="1" t="s">
        <v>2073</v>
      </c>
      <c r="U448" s="4">
        <v>3000000</v>
      </c>
      <c r="V448" s="4">
        <v>48245</v>
      </c>
      <c r="W448" s="4">
        <v>483</v>
      </c>
      <c r="X448" s="4">
        <v>6272</v>
      </c>
      <c r="Y448" s="4">
        <v>0</v>
      </c>
      <c r="Z448" s="5">
        <v>55000</v>
      </c>
      <c r="AA448" s="5">
        <v>0</v>
      </c>
      <c r="AB448" s="6">
        <v>0</v>
      </c>
      <c r="AC448" s="4">
        <v>55000</v>
      </c>
      <c r="AD448" s="4">
        <v>0</v>
      </c>
      <c r="AE448" s="4">
        <v>55000</v>
      </c>
      <c r="AF448" s="1"/>
      <c r="AG448" s="1"/>
      <c r="AH448" s="1"/>
      <c r="AI448" s="1" t="s">
        <v>2327</v>
      </c>
      <c r="AJ448" s="1"/>
      <c r="AK448" s="1"/>
      <c r="AL448" s="1"/>
    </row>
    <row r="449" spans="1:38" hidden="1" x14ac:dyDescent="0.25">
      <c r="A449" s="2">
        <v>590</v>
      </c>
      <c r="B449" s="1" t="s">
        <v>553</v>
      </c>
      <c r="C449" s="1" t="s">
        <v>555</v>
      </c>
      <c r="D449" s="1" t="s">
        <v>2062</v>
      </c>
      <c r="E449" s="1" t="s">
        <v>2063</v>
      </c>
      <c r="F449" s="3">
        <v>45358</v>
      </c>
      <c r="G449" s="3">
        <v>45145</v>
      </c>
      <c r="H449" s="3">
        <v>45510</v>
      </c>
      <c r="I449" s="1" t="s">
        <v>2875</v>
      </c>
      <c r="J449" s="1" t="s">
        <v>2876</v>
      </c>
      <c r="K449" s="1"/>
      <c r="L449" s="1" t="s">
        <v>2877</v>
      </c>
      <c r="M449" s="1" t="s">
        <v>2878</v>
      </c>
      <c r="N449" s="1" t="s">
        <v>2879</v>
      </c>
      <c r="O449" s="1" t="s">
        <v>2880</v>
      </c>
      <c r="P449" s="1" t="s">
        <v>2095</v>
      </c>
      <c r="Q449" s="1"/>
      <c r="R449" s="1"/>
      <c r="S449" s="1" t="s">
        <v>2072</v>
      </c>
      <c r="T449" s="1" t="s">
        <v>2073</v>
      </c>
      <c r="U449" s="4">
        <v>3000000</v>
      </c>
      <c r="V449" s="4">
        <v>3453</v>
      </c>
      <c r="W449" s="4">
        <v>35</v>
      </c>
      <c r="X449" s="4">
        <v>449</v>
      </c>
      <c r="Y449" s="4">
        <v>0</v>
      </c>
      <c r="Z449" s="5">
        <v>3937</v>
      </c>
      <c r="AA449" s="5">
        <v>0</v>
      </c>
      <c r="AB449" s="6">
        <v>0</v>
      </c>
      <c r="AC449" s="4">
        <v>3937</v>
      </c>
      <c r="AD449" s="4">
        <v>0</v>
      </c>
      <c r="AE449" s="4">
        <v>3937</v>
      </c>
      <c r="AF449" s="1"/>
      <c r="AG449" s="1"/>
      <c r="AH449" s="1"/>
      <c r="AI449" s="1" t="s">
        <v>2327</v>
      </c>
      <c r="AJ449" s="6">
        <v>1614.4600000000009</v>
      </c>
      <c r="AK449" s="6">
        <v>957.38</v>
      </c>
      <c r="AL449" s="1"/>
    </row>
    <row r="450" spans="1:38" hidden="1" x14ac:dyDescent="0.25">
      <c r="A450" s="2">
        <v>591</v>
      </c>
      <c r="B450" s="1" t="s">
        <v>553</v>
      </c>
      <c r="C450" s="1" t="s">
        <v>556</v>
      </c>
      <c r="D450" s="1" t="s">
        <v>2062</v>
      </c>
      <c r="E450" s="1" t="s">
        <v>2063</v>
      </c>
      <c r="F450" s="3">
        <v>45390</v>
      </c>
      <c r="G450" s="3">
        <v>45145</v>
      </c>
      <c r="H450" s="3">
        <v>45510</v>
      </c>
      <c r="I450" s="1" t="s">
        <v>2875</v>
      </c>
      <c r="J450" s="1" t="s">
        <v>2876</v>
      </c>
      <c r="K450" s="1"/>
      <c r="L450" s="1" t="s">
        <v>2877</v>
      </c>
      <c r="M450" s="1" t="s">
        <v>2878</v>
      </c>
      <c r="N450" s="1" t="s">
        <v>2879</v>
      </c>
      <c r="O450" s="1" t="s">
        <v>2880</v>
      </c>
      <c r="P450" s="1" t="s">
        <v>2095</v>
      </c>
      <c r="Q450" s="1"/>
      <c r="R450" s="1"/>
      <c r="S450" s="1" t="s">
        <v>2072</v>
      </c>
      <c r="T450" s="1" t="s">
        <v>2073</v>
      </c>
      <c r="U450" s="4">
        <v>3000000</v>
      </c>
      <c r="V450" s="4">
        <v>3648</v>
      </c>
      <c r="W450" s="4">
        <v>36</v>
      </c>
      <c r="X450" s="4">
        <v>475</v>
      </c>
      <c r="Y450" s="4">
        <v>0</v>
      </c>
      <c r="Z450" s="5">
        <v>4159</v>
      </c>
      <c r="AA450" s="5">
        <v>0</v>
      </c>
      <c r="AB450" s="6">
        <v>0</v>
      </c>
      <c r="AC450" s="4">
        <v>4159</v>
      </c>
      <c r="AD450" s="4">
        <v>0</v>
      </c>
      <c r="AE450" s="4">
        <v>4159</v>
      </c>
      <c r="AF450" s="1"/>
      <c r="AG450" s="1"/>
      <c r="AH450" s="1"/>
      <c r="AI450" s="1" t="s">
        <v>2327</v>
      </c>
      <c r="AJ450" s="6">
        <v>1484.5200000000009</v>
      </c>
      <c r="AK450" s="6">
        <v>1011.63</v>
      </c>
      <c r="AL450" s="1"/>
    </row>
    <row r="451" spans="1:38" hidden="1" x14ac:dyDescent="0.25">
      <c r="A451" s="2">
        <v>592</v>
      </c>
      <c r="B451" s="1" t="s">
        <v>553</v>
      </c>
      <c r="C451" s="1" t="s">
        <v>557</v>
      </c>
      <c r="D451" s="1" t="s">
        <v>2062</v>
      </c>
      <c r="E451" s="1" t="s">
        <v>2063</v>
      </c>
      <c r="F451" s="3">
        <v>45425</v>
      </c>
      <c r="G451" s="3">
        <v>45145</v>
      </c>
      <c r="H451" s="3">
        <v>45510</v>
      </c>
      <c r="I451" s="1" t="s">
        <v>2875</v>
      </c>
      <c r="J451" s="1" t="s">
        <v>2876</v>
      </c>
      <c r="K451" s="1"/>
      <c r="L451" s="1" t="s">
        <v>2877</v>
      </c>
      <c r="M451" s="1" t="s">
        <v>2878</v>
      </c>
      <c r="N451" s="1" t="s">
        <v>2879</v>
      </c>
      <c r="O451" s="1" t="s">
        <v>2880</v>
      </c>
      <c r="P451" s="1" t="s">
        <v>2095</v>
      </c>
      <c r="Q451" s="1"/>
      <c r="R451" s="1"/>
      <c r="S451" s="1" t="s">
        <v>2072</v>
      </c>
      <c r="T451" s="1" t="s">
        <v>2073</v>
      </c>
      <c r="U451" s="4">
        <v>3000000</v>
      </c>
      <c r="V451" s="4">
        <v>2949</v>
      </c>
      <c r="W451" s="4">
        <v>30</v>
      </c>
      <c r="X451" s="4">
        <v>383</v>
      </c>
      <c r="Y451" s="4">
        <v>0</v>
      </c>
      <c r="Z451" s="5">
        <v>3362</v>
      </c>
      <c r="AA451" s="5">
        <v>0</v>
      </c>
      <c r="AB451" s="6">
        <v>0</v>
      </c>
      <c r="AC451" s="4">
        <v>3362</v>
      </c>
      <c r="AD451" s="4">
        <v>0</v>
      </c>
      <c r="AE451" s="4">
        <v>3362</v>
      </c>
      <c r="AF451" s="1"/>
      <c r="AG451" s="1"/>
      <c r="AH451" s="1"/>
      <c r="AI451" s="1" t="s">
        <v>2327</v>
      </c>
      <c r="AJ451" s="6">
        <v>1097.53</v>
      </c>
      <c r="AK451" s="6">
        <v>817.95</v>
      </c>
      <c r="AL451" s="1"/>
    </row>
    <row r="452" spans="1:38" hidden="1" x14ac:dyDescent="0.25">
      <c r="A452" s="2">
        <v>593</v>
      </c>
      <c r="B452" s="1" t="s">
        <v>553</v>
      </c>
      <c r="C452" s="1" t="s">
        <v>558</v>
      </c>
      <c r="D452" s="1" t="s">
        <v>2062</v>
      </c>
      <c r="E452" s="1" t="s">
        <v>2063</v>
      </c>
      <c r="F452" s="3">
        <v>45450</v>
      </c>
      <c r="G452" s="3">
        <v>45145</v>
      </c>
      <c r="H452" s="3">
        <v>45510</v>
      </c>
      <c r="I452" s="1" t="s">
        <v>2875</v>
      </c>
      <c r="J452" s="1" t="s">
        <v>2876</v>
      </c>
      <c r="K452" s="1"/>
      <c r="L452" s="1" t="s">
        <v>2877</v>
      </c>
      <c r="M452" s="1" t="s">
        <v>2878</v>
      </c>
      <c r="N452" s="1" t="s">
        <v>2879</v>
      </c>
      <c r="O452" s="1" t="s">
        <v>2880</v>
      </c>
      <c r="P452" s="1" t="s">
        <v>2095</v>
      </c>
      <c r="Q452" s="1"/>
      <c r="R452" s="1"/>
      <c r="S452" s="1" t="s">
        <v>2072</v>
      </c>
      <c r="T452" s="1" t="s">
        <v>2073</v>
      </c>
      <c r="U452" s="4">
        <v>3000000</v>
      </c>
      <c r="V452" s="4">
        <v>3671</v>
      </c>
      <c r="W452" s="4">
        <v>36</v>
      </c>
      <c r="X452" s="4">
        <v>477</v>
      </c>
      <c r="Y452" s="4">
        <v>0</v>
      </c>
      <c r="Z452" s="5">
        <v>4184</v>
      </c>
      <c r="AA452" s="5">
        <v>0</v>
      </c>
      <c r="AB452" s="6">
        <v>0</v>
      </c>
      <c r="AC452" s="4">
        <v>4184</v>
      </c>
      <c r="AD452" s="4">
        <v>0</v>
      </c>
      <c r="AE452" s="4">
        <v>4184</v>
      </c>
      <c r="AF452" s="1"/>
      <c r="AG452" s="1"/>
      <c r="AH452" s="1"/>
      <c r="AI452" s="1" t="s">
        <v>2327</v>
      </c>
      <c r="AJ452" s="6">
        <v>1792.17</v>
      </c>
      <c r="AK452" s="6">
        <v>1017.46</v>
      </c>
      <c r="AL452" s="1"/>
    </row>
    <row r="453" spans="1:38" hidden="1" x14ac:dyDescent="0.25">
      <c r="A453" s="2">
        <v>594</v>
      </c>
      <c r="B453" s="1" t="s">
        <v>553</v>
      </c>
      <c r="C453" s="1" t="s">
        <v>559</v>
      </c>
      <c r="D453" s="1" t="s">
        <v>2062</v>
      </c>
      <c r="E453" s="1" t="s">
        <v>2063</v>
      </c>
      <c r="F453" s="3">
        <v>45482</v>
      </c>
      <c r="G453" s="3">
        <v>45145</v>
      </c>
      <c r="H453" s="3">
        <v>45510</v>
      </c>
      <c r="I453" s="1" t="s">
        <v>2875</v>
      </c>
      <c r="J453" s="1" t="s">
        <v>2876</v>
      </c>
      <c r="K453" s="1"/>
      <c r="L453" s="1" t="s">
        <v>2877</v>
      </c>
      <c r="M453" s="1" t="s">
        <v>2878</v>
      </c>
      <c r="N453" s="1" t="s">
        <v>2879</v>
      </c>
      <c r="O453" s="1" t="s">
        <v>2880</v>
      </c>
      <c r="P453" s="1" t="s">
        <v>2095</v>
      </c>
      <c r="Q453" s="1"/>
      <c r="R453" s="1"/>
      <c r="S453" s="1" t="s">
        <v>2072</v>
      </c>
      <c r="T453" s="1" t="s">
        <v>2073</v>
      </c>
      <c r="U453" s="4">
        <v>3000000</v>
      </c>
      <c r="V453" s="4">
        <v>3269</v>
      </c>
      <c r="W453" s="4">
        <v>33</v>
      </c>
      <c r="X453" s="4">
        <v>490</v>
      </c>
      <c r="Y453" s="4">
        <v>0</v>
      </c>
      <c r="Z453" s="5">
        <v>3792</v>
      </c>
      <c r="AA453" s="5">
        <v>0</v>
      </c>
      <c r="AB453" s="6">
        <v>0</v>
      </c>
      <c r="AC453" s="4">
        <v>3792</v>
      </c>
      <c r="AD453" s="4">
        <v>0</v>
      </c>
      <c r="AE453" s="4">
        <v>3792</v>
      </c>
      <c r="AF453" s="1"/>
      <c r="AG453" s="1"/>
      <c r="AH453" s="1"/>
      <c r="AI453" s="1" t="s">
        <v>2327</v>
      </c>
      <c r="AJ453" s="6">
        <v>1357.7800000000009</v>
      </c>
      <c r="AK453" s="6">
        <v>922.11</v>
      </c>
      <c r="AL453" s="1"/>
    </row>
    <row r="454" spans="1:38" hidden="1" x14ac:dyDescent="0.25">
      <c r="A454" s="2">
        <v>595</v>
      </c>
      <c r="B454" s="1" t="s">
        <v>553</v>
      </c>
      <c r="C454" s="1" t="s">
        <v>560</v>
      </c>
      <c r="D454" s="1" t="s">
        <v>2062</v>
      </c>
      <c r="E454" s="1" t="s">
        <v>2063</v>
      </c>
      <c r="F454" s="3">
        <v>45512</v>
      </c>
      <c r="G454" s="3">
        <v>45145</v>
      </c>
      <c r="H454" s="3">
        <v>45510</v>
      </c>
      <c r="I454" s="1" t="s">
        <v>2875</v>
      </c>
      <c r="J454" s="1" t="s">
        <v>2876</v>
      </c>
      <c r="K454" s="1"/>
      <c r="L454" s="1" t="s">
        <v>2877</v>
      </c>
      <c r="M454" s="1" t="s">
        <v>2878</v>
      </c>
      <c r="N454" s="1" t="s">
        <v>2879</v>
      </c>
      <c r="O454" s="1" t="s">
        <v>2880</v>
      </c>
      <c r="P454" s="1" t="s">
        <v>2095</v>
      </c>
      <c r="Q454" s="1"/>
      <c r="R454" s="1"/>
      <c r="S454" s="1" t="s">
        <v>2072</v>
      </c>
      <c r="T454" s="1" t="s">
        <v>2073</v>
      </c>
      <c r="U454" s="4">
        <v>3000000</v>
      </c>
      <c r="V454" s="4">
        <v>1510</v>
      </c>
      <c r="W454" s="4">
        <v>15</v>
      </c>
      <c r="X454" s="4">
        <v>227</v>
      </c>
      <c r="Y454" s="4">
        <v>0</v>
      </c>
      <c r="Z454" s="5">
        <v>1752</v>
      </c>
      <c r="AA454" s="5">
        <v>0</v>
      </c>
      <c r="AB454" s="6">
        <v>0</v>
      </c>
      <c r="AC454" s="4">
        <v>1752</v>
      </c>
      <c r="AD454" s="4">
        <v>0</v>
      </c>
      <c r="AE454" s="4">
        <v>1752</v>
      </c>
      <c r="AF454" s="1"/>
      <c r="AG454" s="1"/>
      <c r="AH454" s="1"/>
      <c r="AI454" s="1" t="s">
        <v>2327</v>
      </c>
      <c r="AJ454" s="6">
        <v>597.57000000000107</v>
      </c>
      <c r="AK454" s="6">
        <v>426.42</v>
      </c>
      <c r="AL454" s="1"/>
    </row>
    <row r="455" spans="1:38" hidden="1" x14ac:dyDescent="0.25">
      <c r="A455" s="2">
        <v>596</v>
      </c>
      <c r="B455" s="1" t="s">
        <v>553</v>
      </c>
      <c r="C455" s="1" t="s">
        <v>561</v>
      </c>
      <c r="D455" s="1" t="s">
        <v>2062</v>
      </c>
      <c r="E455" s="1" t="s">
        <v>2063</v>
      </c>
      <c r="F455" s="3">
        <v>45596</v>
      </c>
      <c r="G455" s="3">
        <v>45145</v>
      </c>
      <c r="H455" s="3">
        <v>45510</v>
      </c>
      <c r="I455" s="1" t="s">
        <v>2875</v>
      </c>
      <c r="J455" s="1" t="s">
        <v>2876</v>
      </c>
      <c r="K455" s="1"/>
      <c r="L455" s="1" t="s">
        <v>2877</v>
      </c>
      <c r="M455" s="1" t="s">
        <v>2878</v>
      </c>
      <c r="N455" s="1" t="s">
        <v>2879</v>
      </c>
      <c r="O455" s="1" t="s">
        <v>2880</v>
      </c>
      <c r="P455" s="1" t="s">
        <v>2095</v>
      </c>
      <c r="Q455" s="1"/>
      <c r="R455" s="1"/>
      <c r="S455" s="1" t="s">
        <v>2072</v>
      </c>
      <c r="T455" s="1" t="s">
        <v>2073</v>
      </c>
      <c r="U455" s="4">
        <v>-1</v>
      </c>
      <c r="V455" s="4">
        <v>-75432</v>
      </c>
      <c r="W455" s="4">
        <v>-754</v>
      </c>
      <c r="X455" s="4">
        <v>0</v>
      </c>
      <c r="Y455" s="4">
        <v>0</v>
      </c>
      <c r="Z455" s="5">
        <v>-76186</v>
      </c>
      <c r="AA455" s="5">
        <v>0</v>
      </c>
      <c r="AB455" s="6">
        <v>0</v>
      </c>
      <c r="AC455" s="4">
        <v>-76186</v>
      </c>
      <c r="AD455" s="4">
        <v>0</v>
      </c>
      <c r="AE455" s="4">
        <v>-76186</v>
      </c>
      <c r="AF455" s="1"/>
      <c r="AG455" s="1"/>
      <c r="AH455" s="1"/>
      <c r="AI455" s="1" t="s">
        <v>2327</v>
      </c>
      <c r="AJ455" s="1"/>
      <c r="AK455" s="1"/>
      <c r="AL455" s="1"/>
    </row>
    <row r="456" spans="1:38" hidden="1" x14ac:dyDescent="0.25">
      <c r="A456" s="2">
        <v>598</v>
      </c>
      <c r="B456" s="1" t="s">
        <v>562</v>
      </c>
      <c r="C456" s="1" t="s">
        <v>563</v>
      </c>
      <c r="D456" s="1" t="s">
        <v>2062</v>
      </c>
      <c r="E456" s="1" t="s">
        <v>2063</v>
      </c>
      <c r="F456" s="3">
        <v>45169</v>
      </c>
      <c r="G456" s="3">
        <v>45166</v>
      </c>
      <c r="H456" s="3">
        <v>45531</v>
      </c>
      <c r="I456" s="1" t="s">
        <v>2881</v>
      </c>
      <c r="J456" s="1" t="s">
        <v>2882</v>
      </c>
      <c r="K456" s="1"/>
      <c r="L456" s="1" t="s">
        <v>2178</v>
      </c>
      <c r="M456" s="1" t="s">
        <v>2883</v>
      </c>
      <c r="N456" s="1" t="s">
        <v>2884</v>
      </c>
      <c r="O456" s="1" t="s">
        <v>2885</v>
      </c>
      <c r="P456" s="1" t="s">
        <v>2095</v>
      </c>
      <c r="Q456" s="1"/>
      <c r="R456" s="1"/>
      <c r="S456" s="1" t="s">
        <v>2072</v>
      </c>
      <c r="T456" s="1" t="s">
        <v>2073</v>
      </c>
      <c r="U456" s="4">
        <v>2200000</v>
      </c>
      <c r="V456" s="4">
        <v>34209</v>
      </c>
      <c r="W456" s="4">
        <v>343</v>
      </c>
      <c r="X456" s="4">
        <v>4448</v>
      </c>
      <c r="Y456" s="4">
        <v>0</v>
      </c>
      <c r="Z456" s="5">
        <v>39000</v>
      </c>
      <c r="AA456" s="5">
        <v>0</v>
      </c>
      <c r="AB456" s="6">
        <v>0</v>
      </c>
      <c r="AC456" s="4">
        <v>39000</v>
      </c>
      <c r="AD456" s="4">
        <v>0</v>
      </c>
      <c r="AE456" s="4">
        <v>39000</v>
      </c>
      <c r="AF456" s="1"/>
      <c r="AG456" s="1"/>
      <c r="AH456" s="1"/>
      <c r="AI456" s="1" t="s">
        <v>2327</v>
      </c>
      <c r="AJ456" s="1"/>
      <c r="AK456" s="1"/>
      <c r="AL456" s="1" t="s">
        <v>2886</v>
      </c>
    </row>
    <row r="457" spans="1:38" hidden="1" x14ac:dyDescent="0.25">
      <c r="A457" s="2">
        <v>599</v>
      </c>
      <c r="B457" s="1" t="s">
        <v>562</v>
      </c>
      <c r="C457" s="1" t="s">
        <v>564</v>
      </c>
      <c r="D457" s="1" t="s">
        <v>2062</v>
      </c>
      <c r="E457" s="1" t="s">
        <v>2063</v>
      </c>
      <c r="F457" s="3">
        <v>45471</v>
      </c>
      <c r="G457" s="3">
        <v>45166</v>
      </c>
      <c r="H457" s="3">
        <v>45531</v>
      </c>
      <c r="I457" s="1" t="s">
        <v>2881</v>
      </c>
      <c r="J457" s="1" t="s">
        <v>2882</v>
      </c>
      <c r="K457" s="1"/>
      <c r="L457" s="1" t="s">
        <v>2178</v>
      </c>
      <c r="M457" s="1" t="s">
        <v>2883</v>
      </c>
      <c r="N457" s="1" t="s">
        <v>2884</v>
      </c>
      <c r="O457" s="1" t="s">
        <v>2885</v>
      </c>
      <c r="P457" s="1" t="s">
        <v>2095</v>
      </c>
      <c r="Q457" s="1"/>
      <c r="R457" s="1"/>
      <c r="S457" s="1" t="s">
        <v>2072</v>
      </c>
      <c r="T457" s="1" t="s">
        <v>2073</v>
      </c>
      <c r="U457" s="4">
        <v>2200000</v>
      </c>
      <c r="V457" s="4">
        <v>693</v>
      </c>
      <c r="W457" s="4">
        <v>7</v>
      </c>
      <c r="X457" s="4">
        <v>90</v>
      </c>
      <c r="Y457" s="4">
        <v>0</v>
      </c>
      <c r="Z457" s="5">
        <v>790</v>
      </c>
      <c r="AA457" s="5">
        <v>0</v>
      </c>
      <c r="AB457" s="6">
        <v>0</v>
      </c>
      <c r="AC457" s="4">
        <v>790</v>
      </c>
      <c r="AD457" s="4">
        <v>0</v>
      </c>
      <c r="AE457" s="4">
        <v>790</v>
      </c>
      <c r="AF457" s="1"/>
      <c r="AG457" s="1"/>
      <c r="AH457" s="1"/>
      <c r="AI457" s="1" t="s">
        <v>2327</v>
      </c>
      <c r="AJ457" s="6">
        <v>263.03000000000003</v>
      </c>
      <c r="AK457" s="6">
        <v>263.03000000000003</v>
      </c>
      <c r="AL457" s="1"/>
    </row>
    <row r="458" spans="1:38" hidden="1" x14ac:dyDescent="0.25">
      <c r="A458" s="2">
        <v>600</v>
      </c>
      <c r="B458" s="1" t="s">
        <v>562</v>
      </c>
      <c r="C458" s="1" t="s">
        <v>565</v>
      </c>
      <c r="D458" s="1" t="s">
        <v>2062</v>
      </c>
      <c r="E458" s="1" t="s">
        <v>2063</v>
      </c>
      <c r="F458" s="3">
        <v>45503</v>
      </c>
      <c r="G458" s="3">
        <v>45166</v>
      </c>
      <c r="H458" s="3">
        <v>45531</v>
      </c>
      <c r="I458" s="1" t="s">
        <v>2881</v>
      </c>
      <c r="J458" s="1" t="s">
        <v>2882</v>
      </c>
      <c r="K458" s="1"/>
      <c r="L458" s="1" t="s">
        <v>2178</v>
      </c>
      <c r="M458" s="1" t="s">
        <v>2883</v>
      </c>
      <c r="N458" s="1" t="s">
        <v>2884</v>
      </c>
      <c r="O458" s="1" t="s">
        <v>2885</v>
      </c>
      <c r="P458" s="1" t="s">
        <v>2095</v>
      </c>
      <c r="Q458" s="1"/>
      <c r="R458" s="1"/>
      <c r="S458" s="1" t="s">
        <v>2072</v>
      </c>
      <c r="T458" s="1" t="s">
        <v>2073</v>
      </c>
      <c r="U458" s="4">
        <v>2200000</v>
      </c>
      <c r="V458" s="4">
        <v>546</v>
      </c>
      <c r="W458" s="4">
        <v>5</v>
      </c>
      <c r="X458" s="4">
        <v>82</v>
      </c>
      <c r="Y458" s="4">
        <v>0</v>
      </c>
      <c r="Z458" s="5">
        <v>633</v>
      </c>
      <c r="AA458" s="5">
        <v>0</v>
      </c>
      <c r="AB458" s="6">
        <v>0</v>
      </c>
      <c r="AC458" s="4">
        <v>633</v>
      </c>
      <c r="AD458" s="4">
        <v>0</v>
      </c>
      <c r="AE458" s="4">
        <v>633</v>
      </c>
      <c r="AF458" s="1"/>
      <c r="AG458" s="1"/>
      <c r="AH458" s="1"/>
      <c r="AI458" s="1" t="s">
        <v>2327</v>
      </c>
      <c r="AJ458" s="6">
        <v>210.10000000000002</v>
      </c>
      <c r="AK458" s="6">
        <v>210.10000000000002</v>
      </c>
      <c r="AL458" s="1"/>
    </row>
    <row r="459" spans="1:38" hidden="1" x14ac:dyDescent="0.25">
      <c r="A459" s="2">
        <v>601</v>
      </c>
      <c r="B459" s="1" t="s">
        <v>562</v>
      </c>
      <c r="C459" s="1" t="s">
        <v>566</v>
      </c>
      <c r="D459" s="1" t="s">
        <v>2062</v>
      </c>
      <c r="E459" s="1" t="s">
        <v>2063</v>
      </c>
      <c r="F459" s="3">
        <v>45533</v>
      </c>
      <c r="G459" s="3">
        <v>45166</v>
      </c>
      <c r="H459" s="3">
        <v>45531</v>
      </c>
      <c r="I459" s="1" t="s">
        <v>2881</v>
      </c>
      <c r="J459" s="1" t="s">
        <v>2882</v>
      </c>
      <c r="K459" s="1"/>
      <c r="L459" s="1" t="s">
        <v>2178</v>
      </c>
      <c r="M459" s="1" t="s">
        <v>2883</v>
      </c>
      <c r="N459" s="1" t="s">
        <v>2884</v>
      </c>
      <c r="O459" s="1" t="s">
        <v>2885</v>
      </c>
      <c r="P459" s="1" t="s">
        <v>2095</v>
      </c>
      <c r="Q459" s="1"/>
      <c r="R459" s="1"/>
      <c r="S459" s="1" t="s">
        <v>2072</v>
      </c>
      <c r="T459" s="1" t="s">
        <v>2073</v>
      </c>
      <c r="U459" s="4">
        <v>2200000</v>
      </c>
      <c r="V459" s="4">
        <v>385</v>
      </c>
      <c r="W459" s="4">
        <v>4</v>
      </c>
      <c r="X459" s="4">
        <v>58</v>
      </c>
      <c r="Y459" s="4">
        <v>0</v>
      </c>
      <c r="Z459" s="5">
        <v>447</v>
      </c>
      <c r="AA459" s="5">
        <v>0</v>
      </c>
      <c r="AB459" s="6">
        <v>0</v>
      </c>
      <c r="AC459" s="4">
        <v>447</v>
      </c>
      <c r="AD459" s="4">
        <v>0</v>
      </c>
      <c r="AE459" s="4">
        <v>447</v>
      </c>
      <c r="AF459" s="1"/>
      <c r="AG459" s="1"/>
      <c r="AH459" s="1"/>
      <c r="AI459" s="1" t="s">
        <v>2327</v>
      </c>
      <c r="AJ459" s="6">
        <v>196.76999999999902</v>
      </c>
      <c r="AK459" s="6">
        <v>147.88000000000002</v>
      </c>
      <c r="AL459" s="1"/>
    </row>
    <row r="460" spans="1:38" hidden="1" x14ac:dyDescent="0.25">
      <c r="A460" s="2">
        <v>602</v>
      </c>
      <c r="B460" s="1" t="s">
        <v>562</v>
      </c>
      <c r="C460" s="1" t="s">
        <v>567</v>
      </c>
      <c r="D460" s="1" t="s">
        <v>2062</v>
      </c>
      <c r="E460" s="1" t="s">
        <v>2063</v>
      </c>
      <c r="F460" s="3">
        <v>45596</v>
      </c>
      <c r="G460" s="3">
        <v>45166</v>
      </c>
      <c r="H460" s="3">
        <v>45531</v>
      </c>
      <c r="I460" s="1" t="s">
        <v>2881</v>
      </c>
      <c r="J460" s="1" t="s">
        <v>2882</v>
      </c>
      <c r="K460" s="1"/>
      <c r="L460" s="1" t="s">
        <v>2178</v>
      </c>
      <c r="M460" s="1" t="s">
        <v>2883</v>
      </c>
      <c r="N460" s="1" t="s">
        <v>2884</v>
      </c>
      <c r="O460" s="1" t="s">
        <v>2885</v>
      </c>
      <c r="P460" s="1" t="s">
        <v>2095</v>
      </c>
      <c r="Q460" s="1"/>
      <c r="R460" s="1"/>
      <c r="S460" s="1" t="s">
        <v>2072</v>
      </c>
      <c r="T460" s="1" t="s">
        <v>2073</v>
      </c>
      <c r="U460" s="4">
        <v>-1</v>
      </c>
      <c r="V460" s="4">
        <v>-40465</v>
      </c>
      <c r="W460" s="4">
        <v>-405</v>
      </c>
      <c r="X460" s="4">
        <v>0</v>
      </c>
      <c r="Y460" s="4">
        <v>0</v>
      </c>
      <c r="Z460" s="5">
        <v>-40870</v>
      </c>
      <c r="AA460" s="5">
        <v>0</v>
      </c>
      <c r="AB460" s="6">
        <v>0</v>
      </c>
      <c r="AC460" s="4">
        <v>-40870</v>
      </c>
      <c r="AD460" s="4">
        <v>0</v>
      </c>
      <c r="AE460" s="4">
        <v>-40870</v>
      </c>
      <c r="AF460" s="1"/>
      <c r="AG460" s="1"/>
      <c r="AH460" s="1"/>
      <c r="AI460" s="1" t="s">
        <v>2327</v>
      </c>
      <c r="AJ460" s="1"/>
      <c r="AK460" s="1"/>
      <c r="AL460" s="1"/>
    </row>
    <row r="461" spans="1:38" hidden="1" x14ac:dyDescent="0.25">
      <c r="A461" s="2">
        <v>603</v>
      </c>
      <c r="B461" s="1" t="s">
        <v>568</v>
      </c>
      <c r="C461" s="1" t="s">
        <v>569</v>
      </c>
      <c r="D461" s="1" t="s">
        <v>2062</v>
      </c>
      <c r="E461" s="1" t="s">
        <v>2063</v>
      </c>
      <c r="F461" s="3">
        <v>45169</v>
      </c>
      <c r="G461" s="3">
        <v>45168</v>
      </c>
      <c r="H461" s="3">
        <v>45533</v>
      </c>
      <c r="I461" s="1" t="s">
        <v>2887</v>
      </c>
      <c r="J461" s="1" t="s">
        <v>2888</v>
      </c>
      <c r="K461" s="1"/>
      <c r="L461" s="1" t="s">
        <v>2131</v>
      </c>
      <c r="M461" s="1" t="s">
        <v>2889</v>
      </c>
      <c r="N461" s="1" t="s">
        <v>2890</v>
      </c>
      <c r="O461" s="1" t="s">
        <v>2891</v>
      </c>
      <c r="P461" s="1" t="s">
        <v>2231</v>
      </c>
      <c r="Q461" s="1"/>
      <c r="R461" s="1"/>
      <c r="S461" s="1" t="s">
        <v>2072</v>
      </c>
      <c r="T461" s="1" t="s">
        <v>2073</v>
      </c>
      <c r="U461" s="4">
        <v>2000000</v>
      </c>
      <c r="V461" s="4">
        <v>30701</v>
      </c>
      <c r="W461" s="4">
        <v>307</v>
      </c>
      <c r="X461" s="4">
        <v>3992</v>
      </c>
      <c r="Y461" s="4">
        <v>0</v>
      </c>
      <c r="Z461" s="5">
        <v>35000</v>
      </c>
      <c r="AA461" s="5">
        <v>0</v>
      </c>
      <c r="AB461" s="6">
        <v>0</v>
      </c>
      <c r="AC461" s="4">
        <v>35000</v>
      </c>
      <c r="AD461" s="4">
        <v>0</v>
      </c>
      <c r="AE461" s="4">
        <v>35000</v>
      </c>
      <c r="AF461" s="1"/>
      <c r="AG461" s="1"/>
      <c r="AH461" s="1"/>
      <c r="AI461" s="1" t="s">
        <v>2327</v>
      </c>
      <c r="AJ461" s="1"/>
      <c r="AK461" s="1"/>
      <c r="AL461" s="1"/>
    </row>
    <row r="462" spans="1:38" hidden="1" x14ac:dyDescent="0.25">
      <c r="A462" s="2">
        <v>604</v>
      </c>
      <c r="B462" s="1" t="s">
        <v>568</v>
      </c>
      <c r="C462" s="1" t="s">
        <v>570</v>
      </c>
      <c r="D462" s="1" t="s">
        <v>2062</v>
      </c>
      <c r="E462" s="1" t="s">
        <v>2063</v>
      </c>
      <c r="F462" s="3">
        <v>45290</v>
      </c>
      <c r="G462" s="3">
        <v>45168</v>
      </c>
      <c r="H462" s="3">
        <v>45533</v>
      </c>
      <c r="I462" s="1" t="s">
        <v>2887</v>
      </c>
      <c r="J462" s="1" t="s">
        <v>2888</v>
      </c>
      <c r="K462" s="1"/>
      <c r="L462" s="1" t="s">
        <v>2131</v>
      </c>
      <c r="M462" s="1" t="s">
        <v>2889</v>
      </c>
      <c r="N462" s="1" t="s">
        <v>2890</v>
      </c>
      <c r="O462" s="1" t="s">
        <v>2891</v>
      </c>
      <c r="P462" s="1" t="s">
        <v>2231</v>
      </c>
      <c r="Q462" s="1"/>
      <c r="R462" s="1"/>
      <c r="S462" s="1" t="s">
        <v>2072</v>
      </c>
      <c r="T462" s="1" t="s">
        <v>2073</v>
      </c>
      <c r="U462" s="4">
        <v>2000000</v>
      </c>
      <c r="V462" s="4">
        <v>2125</v>
      </c>
      <c r="W462" s="4">
        <v>21</v>
      </c>
      <c r="X462" s="4">
        <v>276</v>
      </c>
      <c r="Y462" s="4">
        <v>0</v>
      </c>
      <c r="Z462" s="5">
        <v>2422</v>
      </c>
      <c r="AA462" s="5">
        <v>0</v>
      </c>
      <c r="AB462" s="6">
        <v>0</v>
      </c>
      <c r="AC462" s="4">
        <v>2422</v>
      </c>
      <c r="AD462" s="4">
        <v>0</v>
      </c>
      <c r="AE462" s="4">
        <v>2422</v>
      </c>
      <c r="AF462" s="1"/>
      <c r="AG462" s="1"/>
      <c r="AH462" s="1"/>
      <c r="AI462" s="1" t="s">
        <v>2327</v>
      </c>
      <c r="AJ462" s="6">
        <v>1075.3500000000001</v>
      </c>
      <c r="AK462" s="6">
        <v>885.15000000000009</v>
      </c>
      <c r="AL462" s="1"/>
    </row>
    <row r="463" spans="1:38" hidden="1" x14ac:dyDescent="0.25">
      <c r="A463" s="2">
        <v>605</v>
      </c>
      <c r="B463" s="1" t="s">
        <v>568</v>
      </c>
      <c r="C463" s="1" t="s">
        <v>571</v>
      </c>
      <c r="D463" s="1" t="s">
        <v>2062</v>
      </c>
      <c r="E463" s="1" t="s">
        <v>2063</v>
      </c>
      <c r="F463" s="3">
        <v>45474</v>
      </c>
      <c r="G463" s="3">
        <v>45168</v>
      </c>
      <c r="H463" s="3">
        <v>45533</v>
      </c>
      <c r="I463" s="1" t="s">
        <v>2887</v>
      </c>
      <c r="J463" s="1" t="s">
        <v>2888</v>
      </c>
      <c r="K463" s="1"/>
      <c r="L463" s="1" t="s">
        <v>2131</v>
      </c>
      <c r="M463" s="1" t="s">
        <v>2889</v>
      </c>
      <c r="N463" s="1" t="s">
        <v>2890</v>
      </c>
      <c r="O463" s="1" t="s">
        <v>2891</v>
      </c>
      <c r="P463" s="1" t="s">
        <v>2231</v>
      </c>
      <c r="Q463" s="1"/>
      <c r="R463" s="1"/>
      <c r="S463" s="1" t="s">
        <v>2072</v>
      </c>
      <c r="T463" s="1" t="s">
        <v>2073</v>
      </c>
      <c r="U463" s="4">
        <v>2000000</v>
      </c>
      <c r="V463" s="4">
        <v>1777</v>
      </c>
      <c r="W463" s="4">
        <v>18</v>
      </c>
      <c r="X463" s="4">
        <v>231</v>
      </c>
      <c r="Y463" s="4">
        <v>0</v>
      </c>
      <c r="Z463" s="5">
        <v>2026</v>
      </c>
      <c r="AA463" s="5">
        <v>0</v>
      </c>
      <c r="AB463" s="6">
        <v>0</v>
      </c>
      <c r="AC463" s="4">
        <v>2026</v>
      </c>
      <c r="AD463" s="4">
        <v>0</v>
      </c>
      <c r="AE463" s="4">
        <v>2026</v>
      </c>
      <c r="AF463" s="1"/>
      <c r="AG463" s="1"/>
      <c r="AH463" s="1"/>
      <c r="AI463" s="1" t="s">
        <v>2327</v>
      </c>
      <c r="AJ463" s="6">
        <v>753.78000000000111</v>
      </c>
      <c r="AK463" s="6">
        <v>739.520000000001</v>
      </c>
      <c r="AL463" s="1"/>
    </row>
    <row r="464" spans="1:38" hidden="1" x14ac:dyDescent="0.25">
      <c r="A464" s="2">
        <v>606</v>
      </c>
      <c r="B464" s="1" t="s">
        <v>568</v>
      </c>
      <c r="C464" s="1" t="s">
        <v>572</v>
      </c>
      <c r="D464" s="1" t="s">
        <v>2062</v>
      </c>
      <c r="E464" s="1" t="s">
        <v>2063</v>
      </c>
      <c r="F464" s="3">
        <v>45655</v>
      </c>
      <c r="G464" s="3">
        <v>45168</v>
      </c>
      <c r="H464" s="3">
        <v>45533</v>
      </c>
      <c r="I464" s="1" t="s">
        <v>2887</v>
      </c>
      <c r="J464" s="1" t="s">
        <v>2888</v>
      </c>
      <c r="K464" s="1"/>
      <c r="L464" s="1" t="s">
        <v>2131</v>
      </c>
      <c r="M464" s="1" t="s">
        <v>2889</v>
      </c>
      <c r="N464" s="1" t="s">
        <v>2890</v>
      </c>
      <c r="O464" s="1" t="s">
        <v>2891</v>
      </c>
      <c r="P464" s="1" t="s">
        <v>2231</v>
      </c>
      <c r="Q464" s="1"/>
      <c r="R464" s="1"/>
      <c r="S464" s="1" t="s">
        <v>2072</v>
      </c>
      <c r="T464" s="1" t="s">
        <v>2073</v>
      </c>
      <c r="U464" s="4">
        <v>-1</v>
      </c>
      <c r="V464" s="4">
        <v>-39057</v>
      </c>
      <c r="W464" s="4">
        <v>-391</v>
      </c>
      <c r="X464" s="4">
        <v>0</v>
      </c>
      <c r="Y464" s="4">
        <v>0</v>
      </c>
      <c r="Z464" s="5">
        <v>-39448</v>
      </c>
      <c r="AA464" s="5">
        <v>0</v>
      </c>
      <c r="AB464" s="6">
        <v>0</v>
      </c>
      <c r="AC464" s="4">
        <v>-39448</v>
      </c>
      <c r="AD464" s="4">
        <v>0</v>
      </c>
      <c r="AE464" s="4">
        <v>-39448</v>
      </c>
      <c r="AF464" s="1"/>
      <c r="AG464" s="1"/>
      <c r="AH464" s="1"/>
      <c r="AI464" s="1" t="s">
        <v>2327</v>
      </c>
      <c r="AJ464" s="1"/>
      <c r="AK464" s="1"/>
      <c r="AL464" s="1"/>
    </row>
    <row r="465" spans="1:38" hidden="1" x14ac:dyDescent="0.25">
      <c r="A465" s="2">
        <v>607</v>
      </c>
      <c r="B465" s="1" t="s">
        <v>573</v>
      </c>
      <c r="C465" s="1" t="s">
        <v>574</v>
      </c>
      <c r="D465" s="1" t="s">
        <v>2062</v>
      </c>
      <c r="E465" s="1" t="s">
        <v>2063</v>
      </c>
      <c r="F465" s="3">
        <v>45199</v>
      </c>
      <c r="G465" s="3">
        <v>45170</v>
      </c>
      <c r="H465" s="3">
        <v>45535</v>
      </c>
      <c r="I465" s="1" t="s">
        <v>2892</v>
      </c>
      <c r="J465" s="1" t="s">
        <v>2893</v>
      </c>
      <c r="K465" s="1"/>
      <c r="L465" s="1" t="s">
        <v>2894</v>
      </c>
      <c r="M465" s="1" t="s">
        <v>2895</v>
      </c>
      <c r="N465" s="1" t="s">
        <v>2896</v>
      </c>
      <c r="O465" s="1" t="s">
        <v>2897</v>
      </c>
      <c r="P465" s="1" t="s">
        <v>2095</v>
      </c>
      <c r="Q465" s="1"/>
      <c r="R465" s="1"/>
      <c r="S465" s="1" t="s">
        <v>2072</v>
      </c>
      <c r="T465" s="1" t="s">
        <v>2073</v>
      </c>
      <c r="U465" s="4">
        <v>5900000</v>
      </c>
      <c r="V465" s="4">
        <v>99122</v>
      </c>
      <c r="W465" s="4">
        <v>992</v>
      </c>
      <c r="X465" s="4">
        <v>12886</v>
      </c>
      <c r="Y465" s="4">
        <v>0</v>
      </c>
      <c r="Z465" s="5">
        <v>113000</v>
      </c>
      <c r="AA465" s="5">
        <v>0</v>
      </c>
      <c r="AB465" s="6">
        <v>0</v>
      </c>
      <c r="AC465" s="4">
        <v>113000</v>
      </c>
      <c r="AD465" s="4">
        <v>0</v>
      </c>
      <c r="AE465" s="4">
        <v>113000</v>
      </c>
      <c r="AF465" s="1"/>
      <c r="AG465" s="1"/>
      <c r="AH465" s="1"/>
      <c r="AI465" s="1" t="s">
        <v>2327</v>
      </c>
      <c r="AJ465" s="1"/>
      <c r="AK465" s="1"/>
      <c r="AL465" s="1"/>
    </row>
    <row r="466" spans="1:38" hidden="1" x14ac:dyDescent="0.25">
      <c r="A466" s="2">
        <v>608</v>
      </c>
      <c r="B466" s="1" t="s">
        <v>573</v>
      </c>
      <c r="C466" s="1" t="s">
        <v>575</v>
      </c>
      <c r="D466" s="1" t="s">
        <v>2062</v>
      </c>
      <c r="E466" s="1" t="s">
        <v>2063</v>
      </c>
      <c r="F466" s="3">
        <v>45499</v>
      </c>
      <c r="G466" s="3">
        <v>45170</v>
      </c>
      <c r="H466" s="3">
        <v>45535</v>
      </c>
      <c r="I466" s="1" t="s">
        <v>2892</v>
      </c>
      <c r="J466" s="1" t="s">
        <v>2893</v>
      </c>
      <c r="K466" s="1"/>
      <c r="L466" s="1" t="s">
        <v>2894</v>
      </c>
      <c r="M466" s="1" t="s">
        <v>2895</v>
      </c>
      <c r="N466" s="1" t="s">
        <v>2896</v>
      </c>
      <c r="O466" s="1" t="s">
        <v>2897</v>
      </c>
      <c r="P466" s="1" t="s">
        <v>2095</v>
      </c>
      <c r="Q466" s="1"/>
      <c r="R466" s="1"/>
      <c r="S466" s="1" t="s">
        <v>2072</v>
      </c>
      <c r="T466" s="1" t="s">
        <v>2073</v>
      </c>
      <c r="U466" s="4">
        <v>5900000</v>
      </c>
      <c r="V466" s="4">
        <v>21966</v>
      </c>
      <c r="W466" s="4">
        <v>220</v>
      </c>
      <c r="X466" s="4">
        <v>0</v>
      </c>
      <c r="Y466" s="4">
        <v>0</v>
      </c>
      <c r="Z466" s="5">
        <v>22186</v>
      </c>
      <c r="AA466" s="5">
        <v>0</v>
      </c>
      <c r="AB466" s="6">
        <v>0</v>
      </c>
      <c r="AC466" s="4">
        <v>22186</v>
      </c>
      <c r="AD466" s="4">
        <v>0</v>
      </c>
      <c r="AE466" s="4">
        <v>22186</v>
      </c>
      <c r="AF466" s="1"/>
      <c r="AG466" s="1"/>
      <c r="AH466" s="1"/>
      <c r="AI466" s="1" t="s">
        <v>2327</v>
      </c>
      <c r="AJ466" s="1"/>
      <c r="AK466" s="1"/>
      <c r="AL466" s="1" t="s">
        <v>2898</v>
      </c>
    </row>
    <row r="467" spans="1:38" hidden="1" x14ac:dyDescent="0.25">
      <c r="A467" s="2">
        <v>609</v>
      </c>
      <c r="B467" s="1" t="s">
        <v>573</v>
      </c>
      <c r="C467" s="1" t="s">
        <v>576</v>
      </c>
      <c r="D467" s="1" t="s">
        <v>2062</v>
      </c>
      <c r="E467" s="1" t="s">
        <v>2063</v>
      </c>
      <c r="F467" s="3">
        <v>45596</v>
      </c>
      <c r="G467" s="3">
        <v>45170</v>
      </c>
      <c r="H467" s="3">
        <v>45535</v>
      </c>
      <c r="I467" s="1" t="s">
        <v>2892</v>
      </c>
      <c r="J467" s="1" t="s">
        <v>2893</v>
      </c>
      <c r="K467" s="1"/>
      <c r="L467" s="1" t="s">
        <v>2894</v>
      </c>
      <c r="M467" s="1" t="s">
        <v>2895</v>
      </c>
      <c r="N467" s="1" t="s">
        <v>2896</v>
      </c>
      <c r="O467" s="1" t="s">
        <v>2897</v>
      </c>
      <c r="P467" s="1" t="s">
        <v>2095</v>
      </c>
      <c r="Q467" s="1"/>
      <c r="R467" s="1"/>
      <c r="S467" s="1" t="s">
        <v>2072</v>
      </c>
      <c r="T467" s="1" t="s">
        <v>2073</v>
      </c>
      <c r="U467" s="4">
        <v>-1</v>
      </c>
      <c r="V467" s="4">
        <v>-133848</v>
      </c>
      <c r="W467" s="4">
        <v>-1338</v>
      </c>
      <c r="X467" s="4">
        <v>0</v>
      </c>
      <c r="Y467" s="4">
        <v>0</v>
      </c>
      <c r="Z467" s="5">
        <v>-135186</v>
      </c>
      <c r="AA467" s="5">
        <v>0</v>
      </c>
      <c r="AB467" s="6">
        <v>0</v>
      </c>
      <c r="AC467" s="4">
        <v>-135186</v>
      </c>
      <c r="AD467" s="4">
        <v>0</v>
      </c>
      <c r="AE467" s="4">
        <v>-135186</v>
      </c>
      <c r="AF467" s="1"/>
      <c r="AG467" s="1"/>
      <c r="AH467" s="1"/>
      <c r="AI467" s="1" t="s">
        <v>2327</v>
      </c>
      <c r="AJ467" s="1"/>
      <c r="AK467" s="1"/>
      <c r="AL467" s="1"/>
    </row>
    <row r="468" spans="1:38" hidden="1" x14ac:dyDescent="0.25">
      <c r="A468" s="2">
        <v>610</v>
      </c>
      <c r="B468" s="1" t="s">
        <v>577</v>
      </c>
      <c r="C468" s="1" t="s">
        <v>578</v>
      </c>
      <c r="D468" s="1" t="s">
        <v>2062</v>
      </c>
      <c r="E468" s="1" t="s">
        <v>2063</v>
      </c>
      <c r="F468" s="3">
        <v>45199</v>
      </c>
      <c r="G468" s="3">
        <v>45167</v>
      </c>
      <c r="H468" s="3">
        <v>45532</v>
      </c>
      <c r="I468" s="1" t="s">
        <v>2899</v>
      </c>
      <c r="J468" s="1" t="s">
        <v>2900</v>
      </c>
      <c r="K468" s="1"/>
      <c r="L468" s="1" t="s">
        <v>2864</v>
      </c>
      <c r="M468" s="1" t="s">
        <v>2901</v>
      </c>
      <c r="N468" s="1" t="s">
        <v>2902</v>
      </c>
      <c r="O468" s="1" t="s">
        <v>2903</v>
      </c>
      <c r="P468" s="1" t="s">
        <v>2231</v>
      </c>
      <c r="Q468" s="1"/>
      <c r="R468" s="1"/>
      <c r="S468" s="1" t="s">
        <v>2072</v>
      </c>
      <c r="T468" s="1" t="s">
        <v>2073</v>
      </c>
      <c r="U468" s="4">
        <v>2500000</v>
      </c>
      <c r="V468" s="4">
        <v>39473</v>
      </c>
      <c r="W468" s="4">
        <v>395</v>
      </c>
      <c r="X468" s="4">
        <v>5132</v>
      </c>
      <c r="Y468" s="4">
        <v>0</v>
      </c>
      <c r="Z468" s="5">
        <v>45000</v>
      </c>
      <c r="AA468" s="5">
        <v>0</v>
      </c>
      <c r="AB468" s="6">
        <v>0</v>
      </c>
      <c r="AC468" s="4">
        <v>45000</v>
      </c>
      <c r="AD468" s="4">
        <v>0</v>
      </c>
      <c r="AE468" s="4">
        <v>45000</v>
      </c>
      <c r="AF468" s="1"/>
      <c r="AG468" s="1"/>
      <c r="AH468" s="1"/>
      <c r="AI468" s="1" t="s">
        <v>2841</v>
      </c>
      <c r="AJ468" s="1"/>
      <c r="AK468" s="1"/>
      <c r="AL468" s="1"/>
    </row>
    <row r="469" spans="1:38" hidden="1" x14ac:dyDescent="0.25">
      <c r="A469" s="2">
        <v>611</v>
      </c>
      <c r="B469" s="1" t="s">
        <v>577</v>
      </c>
      <c r="C469" s="1" t="s">
        <v>579</v>
      </c>
      <c r="D469" s="1" t="s">
        <v>2062</v>
      </c>
      <c r="E469" s="1" t="s">
        <v>2063</v>
      </c>
      <c r="F469" s="3">
        <v>45596</v>
      </c>
      <c r="G469" s="3">
        <v>45167</v>
      </c>
      <c r="H469" s="3">
        <v>45532</v>
      </c>
      <c r="I469" s="1" t="s">
        <v>2899</v>
      </c>
      <c r="J469" s="1" t="s">
        <v>2900</v>
      </c>
      <c r="K469" s="1"/>
      <c r="L469" s="1" t="s">
        <v>2864</v>
      </c>
      <c r="M469" s="1" t="s">
        <v>2901</v>
      </c>
      <c r="N469" s="1" t="s">
        <v>2902</v>
      </c>
      <c r="O469" s="1" t="s">
        <v>2903</v>
      </c>
      <c r="P469" s="1" t="s">
        <v>2231</v>
      </c>
      <c r="Q469" s="1"/>
      <c r="R469" s="1"/>
      <c r="S469" s="1" t="s">
        <v>2072</v>
      </c>
      <c r="T469" s="1" t="s">
        <v>2073</v>
      </c>
      <c r="U469" s="4">
        <v>-1</v>
      </c>
      <c r="V469" s="4">
        <v>-44554</v>
      </c>
      <c r="W469" s="4">
        <v>-446</v>
      </c>
      <c r="X469" s="4">
        <v>0</v>
      </c>
      <c r="Y469" s="4">
        <v>0</v>
      </c>
      <c r="Z469" s="5">
        <v>-45000</v>
      </c>
      <c r="AA469" s="5">
        <v>0</v>
      </c>
      <c r="AB469" s="6">
        <v>0</v>
      </c>
      <c r="AC469" s="4">
        <v>-45000</v>
      </c>
      <c r="AD469" s="4">
        <v>0</v>
      </c>
      <c r="AE469" s="4">
        <v>-45000</v>
      </c>
      <c r="AF469" s="1"/>
      <c r="AG469" s="1"/>
      <c r="AH469" s="1"/>
      <c r="AI469" s="1" t="s">
        <v>2841</v>
      </c>
      <c r="AJ469" s="1"/>
      <c r="AK469" s="1"/>
      <c r="AL469" s="1"/>
    </row>
    <row r="470" spans="1:38" hidden="1" x14ac:dyDescent="0.25">
      <c r="A470" s="2">
        <v>612</v>
      </c>
      <c r="B470" s="1" t="s">
        <v>580</v>
      </c>
      <c r="C470" s="1" t="s">
        <v>581</v>
      </c>
      <c r="D470" s="1" t="s">
        <v>2062</v>
      </c>
      <c r="E470" s="1" t="s">
        <v>2063</v>
      </c>
      <c r="F470" s="3">
        <v>45199</v>
      </c>
      <c r="G470" s="3">
        <v>45170</v>
      </c>
      <c r="H470" s="3">
        <v>45535</v>
      </c>
      <c r="I470" s="1" t="s">
        <v>2904</v>
      </c>
      <c r="J470" s="1" t="s">
        <v>2905</v>
      </c>
      <c r="K470" s="1"/>
      <c r="L470" s="1" t="s">
        <v>2213</v>
      </c>
      <c r="M470" s="1" t="s">
        <v>2906</v>
      </c>
      <c r="N470" s="1" t="s">
        <v>2907</v>
      </c>
      <c r="O470" s="1" t="s">
        <v>2908</v>
      </c>
      <c r="P470" s="1" t="s">
        <v>2231</v>
      </c>
      <c r="Q470" s="1"/>
      <c r="R470" s="1"/>
      <c r="S470" s="1" t="s">
        <v>2072</v>
      </c>
      <c r="T470" s="1" t="s">
        <v>2073</v>
      </c>
      <c r="U470" s="4">
        <v>3195000</v>
      </c>
      <c r="V470" s="4">
        <v>51666</v>
      </c>
      <c r="W470" s="4">
        <v>517</v>
      </c>
      <c r="X470" s="4">
        <v>6717</v>
      </c>
      <c r="Y470" s="4">
        <v>0</v>
      </c>
      <c r="Z470" s="5">
        <v>58900</v>
      </c>
      <c r="AA470" s="5">
        <v>0</v>
      </c>
      <c r="AB470" s="6">
        <v>0</v>
      </c>
      <c r="AC470" s="4">
        <v>58900</v>
      </c>
      <c r="AD470" s="4">
        <v>0</v>
      </c>
      <c r="AE470" s="4">
        <v>58900</v>
      </c>
      <c r="AF470" s="1"/>
      <c r="AG470" s="1"/>
      <c r="AH470" s="1"/>
      <c r="AI470" s="1" t="s">
        <v>2841</v>
      </c>
      <c r="AJ470" s="1"/>
      <c r="AK470" s="1"/>
      <c r="AL470" s="1"/>
    </row>
    <row r="471" spans="1:38" hidden="1" x14ac:dyDescent="0.25">
      <c r="A471" s="2">
        <v>613</v>
      </c>
      <c r="B471" s="1" t="s">
        <v>580</v>
      </c>
      <c r="C471" s="1" t="s">
        <v>582</v>
      </c>
      <c r="D471" s="1" t="s">
        <v>2062</v>
      </c>
      <c r="E471" s="1" t="s">
        <v>2063</v>
      </c>
      <c r="F471" s="3">
        <v>45293</v>
      </c>
      <c r="G471" s="3">
        <v>45170</v>
      </c>
      <c r="H471" s="3">
        <v>45535</v>
      </c>
      <c r="I471" s="1" t="s">
        <v>2904</v>
      </c>
      <c r="J471" s="1" t="s">
        <v>2905</v>
      </c>
      <c r="K471" s="1"/>
      <c r="L471" s="1" t="s">
        <v>2213</v>
      </c>
      <c r="M471" s="1" t="s">
        <v>2906</v>
      </c>
      <c r="N471" s="1" t="s">
        <v>2907</v>
      </c>
      <c r="O471" s="1" t="s">
        <v>2908</v>
      </c>
      <c r="P471" s="1" t="s">
        <v>2231</v>
      </c>
      <c r="Q471" s="1"/>
      <c r="R471" s="1"/>
      <c r="S471" s="1" t="s">
        <v>2072</v>
      </c>
      <c r="T471" s="1" t="s">
        <v>2073</v>
      </c>
      <c r="U471" s="4">
        <v>3195000</v>
      </c>
      <c r="V471" s="4">
        <v>3171</v>
      </c>
      <c r="W471" s="4">
        <v>32</v>
      </c>
      <c r="X471" s="4">
        <v>412</v>
      </c>
      <c r="Y471" s="4">
        <v>0</v>
      </c>
      <c r="Z471" s="5">
        <v>3615</v>
      </c>
      <c r="AA471" s="5">
        <v>0</v>
      </c>
      <c r="AB471" s="6">
        <v>0</v>
      </c>
      <c r="AC471" s="4">
        <v>3615</v>
      </c>
      <c r="AD471" s="4">
        <v>0</v>
      </c>
      <c r="AE471" s="4">
        <v>3615</v>
      </c>
      <c r="AF471" s="1"/>
      <c r="AG471" s="1"/>
      <c r="AH471" s="1"/>
      <c r="AI471" s="1" t="s">
        <v>2841</v>
      </c>
      <c r="AJ471" s="6">
        <v>850.64000000000101</v>
      </c>
      <c r="AK471" s="6">
        <v>825.42</v>
      </c>
      <c r="AL471" s="1"/>
    </row>
    <row r="472" spans="1:38" hidden="1" x14ac:dyDescent="0.25">
      <c r="A472" s="2">
        <v>614</v>
      </c>
      <c r="B472" s="1" t="s">
        <v>580</v>
      </c>
      <c r="C472" s="1" t="s">
        <v>583</v>
      </c>
      <c r="D472" s="1" t="s">
        <v>2062</v>
      </c>
      <c r="E472" s="1" t="s">
        <v>2063</v>
      </c>
      <c r="F472" s="3">
        <v>45323</v>
      </c>
      <c r="G472" s="3">
        <v>45170</v>
      </c>
      <c r="H472" s="3">
        <v>45535</v>
      </c>
      <c r="I472" s="1" t="s">
        <v>2904</v>
      </c>
      <c r="J472" s="1" t="s">
        <v>2905</v>
      </c>
      <c r="K472" s="1"/>
      <c r="L472" s="1" t="s">
        <v>2213</v>
      </c>
      <c r="M472" s="1" t="s">
        <v>2906</v>
      </c>
      <c r="N472" s="1" t="s">
        <v>2907</v>
      </c>
      <c r="O472" s="1" t="s">
        <v>2908</v>
      </c>
      <c r="P472" s="1" t="s">
        <v>2231</v>
      </c>
      <c r="Q472" s="1"/>
      <c r="R472" s="1"/>
      <c r="S472" s="1" t="s">
        <v>2072</v>
      </c>
      <c r="T472" s="1" t="s">
        <v>2073</v>
      </c>
      <c r="U472" s="4">
        <v>3195000</v>
      </c>
      <c r="V472" s="4">
        <v>3239</v>
      </c>
      <c r="W472" s="4">
        <v>33</v>
      </c>
      <c r="X472" s="4">
        <v>421</v>
      </c>
      <c r="Y472" s="4">
        <v>0</v>
      </c>
      <c r="Z472" s="5">
        <v>3693</v>
      </c>
      <c r="AA472" s="5">
        <v>0</v>
      </c>
      <c r="AB472" s="6">
        <v>0</v>
      </c>
      <c r="AC472" s="4">
        <v>3693</v>
      </c>
      <c r="AD472" s="4">
        <v>0</v>
      </c>
      <c r="AE472" s="4">
        <v>3693</v>
      </c>
      <c r="AF472" s="1"/>
      <c r="AG472" s="1"/>
      <c r="AH472" s="1"/>
      <c r="AI472" s="1" t="s">
        <v>2841</v>
      </c>
      <c r="AJ472" s="6">
        <v>856.90000000000009</v>
      </c>
      <c r="AK472" s="6">
        <v>843.96</v>
      </c>
      <c r="AL472" s="1"/>
    </row>
    <row r="473" spans="1:38" hidden="1" x14ac:dyDescent="0.25">
      <c r="A473" s="2">
        <v>615</v>
      </c>
      <c r="B473" s="1" t="s">
        <v>580</v>
      </c>
      <c r="C473" s="1" t="s">
        <v>584</v>
      </c>
      <c r="D473" s="1" t="s">
        <v>2062</v>
      </c>
      <c r="E473" s="1" t="s">
        <v>2063</v>
      </c>
      <c r="F473" s="3">
        <v>45353</v>
      </c>
      <c r="G473" s="3">
        <v>45170</v>
      </c>
      <c r="H473" s="3">
        <v>45535</v>
      </c>
      <c r="I473" s="1" t="s">
        <v>2904</v>
      </c>
      <c r="J473" s="1" t="s">
        <v>2905</v>
      </c>
      <c r="K473" s="1"/>
      <c r="L473" s="1" t="s">
        <v>2213</v>
      </c>
      <c r="M473" s="1" t="s">
        <v>2906</v>
      </c>
      <c r="N473" s="1" t="s">
        <v>2907</v>
      </c>
      <c r="O473" s="1" t="s">
        <v>2908</v>
      </c>
      <c r="P473" s="1" t="s">
        <v>2231</v>
      </c>
      <c r="Q473" s="1"/>
      <c r="R473" s="1"/>
      <c r="S473" s="1" t="s">
        <v>2072</v>
      </c>
      <c r="T473" s="1" t="s">
        <v>2073</v>
      </c>
      <c r="U473" s="4">
        <v>3195000</v>
      </c>
      <c r="V473" s="4">
        <v>2991</v>
      </c>
      <c r="W473" s="4">
        <v>29</v>
      </c>
      <c r="X473" s="4">
        <v>389</v>
      </c>
      <c r="Y473" s="4">
        <v>0</v>
      </c>
      <c r="Z473" s="5">
        <v>3409</v>
      </c>
      <c r="AA473" s="5">
        <v>0</v>
      </c>
      <c r="AB473" s="6">
        <v>0</v>
      </c>
      <c r="AC473" s="4">
        <v>3409</v>
      </c>
      <c r="AD473" s="4">
        <v>0</v>
      </c>
      <c r="AE473" s="4">
        <v>3409</v>
      </c>
      <c r="AF473" s="1"/>
      <c r="AG473" s="1"/>
      <c r="AH473" s="1"/>
      <c r="AI473" s="1" t="s">
        <v>2841</v>
      </c>
      <c r="AJ473" s="6">
        <v>818.08</v>
      </c>
      <c r="AK473" s="6">
        <v>778.54000000000019</v>
      </c>
      <c r="AL473" s="1"/>
    </row>
    <row r="474" spans="1:38" hidden="1" x14ac:dyDescent="0.25">
      <c r="A474" s="2">
        <v>616</v>
      </c>
      <c r="B474" s="1" t="s">
        <v>580</v>
      </c>
      <c r="C474" s="1" t="s">
        <v>585</v>
      </c>
      <c r="D474" s="1" t="s">
        <v>2062</v>
      </c>
      <c r="E474" s="1" t="s">
        <v>2063</v>
      </c>
      <c r="F474" s="3">
        <v>45384</v>
      </c>
      <c r="G474" s="3">
        <v>45170</v>
      </c>
      <c r="H474" s="3">
        <v>45535</v>
      </c>
      <c r="I474" s="1" t="s">
        <v>2904</v>
      </c>
      <c r="J474" s="1" t="s">
        <v>2905</v>
      </c>
      <c r="K474" s="1"/>
      <c r="L474" s="1" t="s">
        <v>2213</v>
      </c>
      <c r="M474" s="1" t="s">
        <v>2906</v>
      </c>
      <c r="N474" s="1" t="s">
        <v>2907</v>
      </c>
      <c r="O474" s="1" t="s">
        <v>2908</v>
      </c>
      <c r="P474" s="1" t="s">
        <v>2231</v>
      </c>
      <c r="Q474" s="1"/>
      <c r="R474" s="1"/>
      <c r="S474" s="1" t="s">
        <v>2072</v>
      </c>
      <c r="T474" s="1" t="s">
        <v>2073</v>
      </c>
      <c r="U474" s="4">
        <v>3195000</v>
      </c>
      <c r="V474" s="4">
        <v>3163</v>
      </c>
      <c r="W474" s="4">
        <v>32</v>
      </c>
      <c r="X474" s="4">
        <v>411</v>
      </c>
      <c r="Y474" s="4">
        <v>0</v>
      </c>
      <c r="Z474" s="5">
        <v>3606</v>
      </c>
      <c r="AA474" s="5">
        <v>0</v>
      </c>
      <c r="AB474" s="6">
        <v>0</v>
      </c>
      <c r="AC474" s="4">
        <v>3606</v>
      </c>
      <c r="AD474" s="4">
        <v>0</v>
      </c>
      <c r="AE474" s="4">
        <v>3606</v>
      </c>
      <c r="AF474" s="1"/>
      <c r="AG474" s="1"/>
      <c r="AH474" s="1"/>
      <c r="AI474" s="1" t="s">
        <v>2841</v>
      </c>
      <c r="AJ474" s="6">
        <v>906.5</v>
      </c>
      <c r="AK474" s="6">
        <v>823.90000000000009</v>
      </c>
      <c r="AL474" s="1"/>
    </row>
    <row r="475" spans="1:38" hidden="1" x14ac:dyDescent="0.25">
      <c r="A475" s="2">
        <v>617</v>
      </c>
      <c r="B475" s="1" t="s">
        <v>580</v>
      </c>
      <c r="C475" s="1" t="s">
        <v>586</v>
      </c>
      <c r="D475" s="1" t="s">
        <v>2062</v>
      </c>
      <c r="E475" s="1" t="s">
        <v>2063</v>
      </c>
      <c r="F475" s="3">
        <v>45399</v>
      </c>
      <c r="G475" s="3">
        <v>45170</v>
      </c>
      <c r="H475" s="3">
        <v>45535</v>
      </c>
      <c r="I475" s="1" t="s">
        <v>2904</v>
      </c>
      <c r="J475" s="1" t="s">
        <v>2905</v>
      </c>
      <c r="K475" s="1"/>
      <c r="L475" s="1" t="s">
        <v>2213</v>
      </c>
      <c r="M475" s="1" t="s">
        <v>2906</v>
      </c>
      <c r="N475" s="1" t="s">
        <v>2907</v>
      </c>
      <c r="O475" s="1" t="s">
        <v>2908</v>
      </c>
      <c r="P475" s="1" t="s">
        <v>2231</v>
      </c>
      <c r="Q475" s="1"/>
      <c r="R475" s="1"/>
      <c r="S475" s="1" t="s">
        <v>2072</v>
      </c>
      <c r="T475" s="1" t="s">
        <v>2073</v>
      </c>
      <c r="U475" s="4">
        <v>-1</v>
      </c>
      <c r="V475" s="4">
        <v>-9401</v>
      </c>
      <c r="W475" s="4">
        <v>-94</v>
      </c>
      <c r="X475" s="4">
        <v>-1222</v>
      </c>
      <c r="Y475" s="4">
        <v>0</v>
      </c>
      <c r="Z475" s="5">
        <v>-10717</v>
      </c>
      <c r="AA475" s="5">
        <v>0</v>
      </c>
      <c r="AB475" s="6">
        <v>0</v>
      </c>
      <c r="AC475" s="4">
        <v>-10717</v>
      </c>
      <c r="AD475" s="4">
        <v>0</v>
      </c>
      <c r="AE475" s="4">
        <v>-10717</v>
      </c>
      <c r="AF475" s="1"/>
      <c r="AG475" s="1"/>
      <c r="AH475" s="1"/>
      <c r="AI475" s="1" t="s">
        <v>2841</v>
      </c>
      <c r="AJ475" s="1"/>
      <c r="AK475" s="1"/>
      <c r="AL475" s="1"/>
    </row>
    <row r="476" spans="1:38" hidden="1" x14ac:dyDescent="0.25">
      <c r="A476" s="2">
        <v>618</v>
      </c>
      <c r="B476" s="1" t="s">
        <v>580</v>
      </c>
      <c r="C476" s="1" t="s">
        <v>587</v>
      </c>
      <c r="D476" s="1" t="s">
        <v>2062</v>
      </c>
      <c r="E476" s="1" t="s">
        <v>2063</v>
      </c>
      <c r="F476" s="3">
        <v>45596</v>
      </c>
      <c r="G476" s="3">
        <v>45170</v>
      </c>
      <c r="H476" s="3">
        <v>45535</v>
      </c>
      <c r="I476" s="1" t="s">
        <v>2904</v>
      </c>
      <c r="J476" s="1" t="s">
        <v>2905</v>
      </c>
      <c r="K476" s="1"/>
      <c r="L476" s="1" t="s">
        <v>2213</v>
      </c>
      <c r="M476" s="1" t="s">
        <v>2906</v>
      </c>
      <c r="N476" s="1" t="s">
        <v>2907</v>
      </c>
      <c r="O476" s="1" t="s">
        <v>2908</v>
      </c>
      <c r="P476" s="1" t="s">
        <v>2231</v>
      </c>
      <c r="Q476" s="1"/>
      <c r="R476" s="1"/>
      <c r="S476" s="1" t="s">
        <v>2072</v>
      </c>
      <c r="T476" s="1" t="s">
        <v>2073</v>
      </c>
      <c r="U476" s="4">
        <v>-1</v>
      </c>
      <c r="V476" s="4">
        <v>-61887</v>
      </c>
      <c r="W476" s="4">
        <v>-619</v>
      </c>
      <c r="X476" s="4">
        <v>0</v>
      </c>
      <c r="Y476" s="4">
        <v>0</v>
      </c>
      <c r="Z476" s="5">
        <v>-62506</v>
      </c>
      <c r="AA476" s="5">
        <v>0</v>
      </c>
      <c r="AB476" s="6">
        <v>0</v>
      </c>
      <c r="AC476" s="4">
        <v>-62506</v>
      </c>
      <c r="AD476" s="4">
        <v>0</v>
      </c>
      <c r="AE476" s="4">
        <v>-62506</v>
      </c>
      <c r="AF476" s="1"/>
      <c r="AG476" s="1"/>
      <c r="AH476" s="1"/>
      <c r="AI476" s="1" t="s">
        <v>2841</v>
      </c>
      <c r="AJ476" s="1"/>
      <c r="AK476" s="1"/>
      <c r="AL476" s="1"/>
    </row>
    <row r="477" spans="1:38" hidden="1" x14ac:dyDescent="0.25">
      <c r="A477" s="2">
        <v>619</v>
      </c>
      <c r="B477" s="1" t="s">
        <v>588</v>
      </c>
      <c r="C477" s="1" t="s">
        <v>589</v>
      </c>
      <c r="D477" s="1" t="s">
        <v>2062</v>
      </c>
      <c r="E477" s="1" t="s">
        <v>2063</v>
      </c>
      <c r="F477" s="3">
        <v>45391</v>
      </c>
      <c r="G477" s="3">
        <v>45178</v>
      </c>
      <c r="H477" s="3">
        <v>45543</v>
      </c>
      <c r="I477" s="1" t="s">
        <v>2219</v>
      </c>
      <c r="J477" s="1" t="s">
        <v>2220</v>
      </c>
      <c r="K477" s="1"/>
      <c r="L477" s="1" t="s">
        <v>2221</v>
      </c>
      <c r="M477" s="1" t="s">
        <v>2222</v>
      </c>
      <c r="N477" s="1" t="s">
        <v>2223</v>
      </c>
      <c r="O477" s="1" t="s">
        <v>2224</v>
      </c>
      <c r="P477" s="1" t="s">
        <v>2182</v>
      </c>
      <c r="Q477" s="1"/>
      <c r="R477" s="1"/>
      <c r="S477" s="1" t="s">
        <v>2072</v>
      </c>
      <c r="T477" s="1" t="s">
        <v>2073</v>
      </c>
      <c r="U477" s="4">
        <v>6250000</v>
      </c>
      <c r="V477" s="4">
        <v>2950</v>
      </c>
      <c r="W477" s="4">
        <v>29</v>
      </c>
      <c r="X477" s="4">
        <v>383</v>
      </c>
      <c r="Y477" s="4">
        <v>0</v>
      </c>
      <c r="Z477" s="5">
        <v>3362</v>
      </c>
      <c r="AA477" s="5">
        <v>0</v>
      </c>
      <c r="AB477" s="6">
        <v>0</v>
      </c>
      <c r="AC477" s="4">
        <v>3362</v>
      </c>
      <c r="AD477" s="4">
        <v>0</v>
      </c>
      <c r="AE477" s="4">
        <v>3362</v>
      </c>
      <c r="AF477" s="1"/>
      <c r="AG477" s="1"/>
      <c r="AH477" s="1"/>
      <c r="AI477" s="1" t="s">
        <v>2909</v>
      </c>
      <c r="AJ477" s="6">
        <v>487.28</v>
      </c>
      <c r="AK477" s="6">
        <v>487.28</v>
      </c>
      <c r="AL477" s="1"/>
    </row>
    <row r="478" spans="1:38" hidden="1" x14ac:dyDescent="0.25">
      <c r="A478" s="2">
        <v>620</v>
      </c>
      <c r="B478" s="1" t="s">
        <v>588</v>
      </c>
      <c r="C478" s="1" t="s">
        <v>590</v>
      </c>
      <c r="D478" s="1" t="s">
        <v>2062</v>
      </c>
      <c r="E478" s="1" t="s">
        <v>2063</v>
      </c>
      <c r="F478" s="3">
        <v>45425</v>
      </c>
      <c r="G478" s="3">
        <v>45178</v>
      </c>
      <c r="H478" s="3">
        <v>45543</v>
      </c>
      <c r="I478" s="1" t="s">
        <v>2219</v>
      </c>
      <c r="J478" s="1" t="s">
        <v>2220</v>
      </c>
      <c r="K478" s="1"/>
      <c r="L478" s="1" t="s">
        <v>2221</v>
      </c>
      <c r="M478" s="1" t="s">
        <v>2222</v>
      </c>
      <c r="N478" s="1" t="s">
        <v>2223</v>
      </c>
      <c r="O478" s="1" t="s">
        <v>2224</v>
      </c>
      <c r="P478" s="1" t="s">
        <v>2182</v>
      </c>
      <c r="Q478" s="1"/>
      <c r="R478" s="1"/>
      <c r="S478" s="1" t="s">
        <v>2072</v>
      </c>
      <c r="T478" s="1" t="s">
        <v>2073</v>
      </c>
      <c r="U478" s="4">
        <v>6250000</v>
      </c>
      <c r="V478" s="4">
        <v>660</v>
      </c>
      <c r="W478" s="4">
        <v>7</v>
      </c>
      <c r="X478" s="4">
        <v>86</v>
      </c>
      <c r="Y478" s="4">
        <v>0</v>
      </c>
      <c r="Z478" s="5">
        <v>753</v>
      </c>
      <c r="AA478" s="5">
        <v>0</v>
      </c>
      <c r="AB478" s="6">
        <v>0</v>
      </c>
      <c r="AC478" s="4">
        <v>753</v>
      </c>
      <c r="AD478" s="4">
        <v>0</v>
      </c>
      <c r="AE478" s="4">
        <v>753</v>
      </c>
      <c r="AF478" s="1"/>
      <c r="AG478" s="1"/>
      <c r="AH478" s="1"/>
      <c r="AI478" s="1" t="s">
        <v>2909</v>
      </c>
      <c r="AJ478" s="6">
        <v>109.21</v>
      </c>
      <c r="AK478" s="6">
        <v>109.21</v>
      </c>
      <c r="AL478" s="1"/>
    </row>
    <row r="479" spans="1:38" hidden="1" x14ac:dyDescent="0.25">
      <c r="A479" s="2">
        <v>621</v>
      </c>
      <c r="B479" s="1" t="s">
        <v>588</v>
      </c>
      <c r="C479" s="1" t="s">
        <v>591</v>
      </c>
      <c r="D479" s="1" t="s">
        <v>2062</v>
      </c>
      <c r="E479" s="1" t="s">
        <v>2063</v>
      </c>
      <c r="F479" s="3">
        <v>45453</v>
      </c>
      <c r="G479" s="3">
        <v>45178</v>
      </c>
      <c r="H479" s="3">
        <v>45543</v>
      </c>
      <c r="I479" s="1" t="s">
        <v>2219</v>
      </c>
      <c r="J479" s="1" t="s">
        <v>2220</v>
      </c>
      <c r="K479" s="1"/>
      <c r="L479" s="1" t="s">
        <v>2221</v>
      </c>
      <c r="M479" s="1" t="s">
        <v>2222</v>
      </c>
      <c r="N479" s="1" t="s">
        <v>2223</v>
      </c>
      <c r="O479" s="1" t="s">
        <v>2224</v>
      </c>
      <c r="P479" s="1" t="s">
        <v>2182</v>
      </c>
      <c r="Q479" s="1"/>
      <c r="R479" s="1"/>
      <c r="S479" s="1" t="s">
        <v>2072</v>
      </c>
      <c r="T479" s="1" t="s">
        <v>2073</v>
      </c>
      <c r="U479" s="4">
        <v>6250000</v>
      </c>
      <c r="V479" s="4">
        <v>72</v>
      </c>
      <c r="W479" s="4">
        <v>1</v>
      </c>
      <c r="X479" s="4">
        <v>10</v>
      </c>
      <c r="Y479" s="4">
        <v>0</v>
      </c>
      <c r="Z479" s="5">
        <v>83</v>
      </c>
      <c r="AA479" s="5">
        <v>0</v>
      </c>
      <c r="AB479" s="6">
        <v>0</v>
      </c>
      <c r="AC479" s="4">
        <v>83</v>
      </c>
      <c r="AD479" s="4">
        <v>0</v>
      </c>
      <c r="AE479" s="4">
        <v>83</v>
      </c>
      <c r="AF479" s="1"/>
      <c r="AG479" s="1"/>
      <c r="AH479" s="1"/>
      <c r="AI479" s="1" t="s">
        <v>2909</v>
      </c>
      <c r="AJ479" s="6">
        <v>11.979999999999992</v>
      </c>
      <c r="AK479" s="6">
        <v>11.979999999999992</v>
      </c>
      <c r="AL479" s="1"/>
    </row>
    <row r="480" spans="1:38" hidden="1" x14ac:dyDescent="0.25">
      <c r="A480" s="2">
        <v>622</v>
      </c>
      <c r="B480" s="1" t="s">
        <v>588</v>
      </c>
      <c r="C480" s="1" t="s">
        <v>592</v>
      </c>
      <c r="D480" s="1" t="s">
        <v>2062</v>
      </c>
      <c r="E480" s="1" t="s">
        <v>2063</v>
      </c>
      <c r="F480" s="3">
        <v>45483</v>
      </c>
      <c r="G480" s="3">
        <v>45178</v>
      </c>
      <c r="H480" s="3">
        <v>45543</v>
      </c>
      <c r="I480" s="1" t="s">
        <v>2219</v>
      </c>
      <c r="J480" s="1" t="s">
        <v>2220</v>
      </c>
      <c r="K480" s="1"/>
      <c r="L480" s="1" t="s">
        <v>2221</v>
      </c>
      <c r="M480" s="1" t="s">
        <v>2222</v>
      </c>
      <c r="N480" s="1" t="s">
        <v>2223</v>
      </c>
      <c r="O480" s="1" t="s">
        <v>2224</v>
      </c>
      <c r="P480" s="1" t="s">
        <v>2182</v>
      </c>
      <c r="Q480" s="1"/>
      <c r="R480" s="1"/>
      <c r="S480" s="1" t="s">
        <v>2072</v>
      </c>
      <c r="T480" s="1" t="s">
        <v>2073</v>
      </c>
      <c r="U480" s="4">
        <v>6250000</v>
      </c>
      <c r="V480" s="4">
        <v>106</v>
      </c>
      <c r="W480" s="4">
        <v>1</v>
      </c>
      <c r="X480" s="4">
        <v>16</v>
      </c>
      <c r="Y480" s="4">
        <v>0</v>
      </c>
      <c r="Z480" s="5">
        <v>123</v>
      </c>
      <c r="AA480" s="5">
        <v>0</v>
      </c>
      <c r="AB480" s="6">
        <v>0</v>
      </c>
      <c r="AC480" s="4">
        <v>123</v>
      </c>
      <c r="AD480" s="4">
        <v>0</v>
      </c>
      <c r="AE480" s="4">
        <v>123</v>
      </c>
      <c r="AF480" s="1"/>
      <c r="AG480" s="1"/>
      <c r="AH480" s="1"/>
      <c r="AI480" s="1" t="s">
        <v>2909</v>
      </c>
      <c r="AJ480" s="6">
        <v>17.72999999999999</v>
      </c>
      <c r="AK480" s="6">
        <v>17.72999999999999</v>
      </c>
      <c r="AL480" s="1"/>
    </row>
    <row r="481" spans="1:38" hidden="1" x14ac:dyDescent="0.25">
      <c r="A481" s="2">
        <v>623</v>
      </c>
      <c r="B481" s="1" t="s">
        <v>588</v>
      </c>
      <c r="C481" s="1" t="s">
        <v>593</v>
      </c>
      <c r="D481" s="1" t="s">
        <v>2062</v>
      </c>
      <c r="E481" s="1" t="s">
        <v>2063</v>
      </c>
      <c r="F481" s="3">
        <v>45546</v>
      </c>
      <c r="G481" s="3">
        <v>45178</v>
      </c>
      <c r="H481" s="3">
        <v>45543</v>
      </c>
      <c r="I481" s="1" t="s">
        <v>2219</v>
      </c>
      <c r="J481" s="1" t="s">
        <v>2220</v>
      </c>
      <c r="K481" s="1"/>
      <c r="L481" s="1" t="s">
        <v>2221</v>
      </c>
      <c r="M481" s="1" t="s">
        <v>2222</v>
      </c>
      <c r="N481" s="1" t="s">
        <v>2223</v>
      </c>
      <c r="O481" s="1" t="s">
        <v>2224</v>
      </c>
      <c r="P481" s="1" t="s">
        <v>2182</v>
      </c>
      <c r="Q481" s="1"/>
      <c r="R481" s="1"/>
      <c r="S481" s="1" t="s">
        <v>2072</v>
      </c>
      <c r="T481" s="1" t="s">
        <v>2073</v>
      </c>
      <c r="U481" s="4">
        <v>6250000</v>
      </c>
      <c r="V481" s="4">
        <v>2229</v>
      </c>
      <c r="W481" s="4">
        <v>22</v>
      </c>
      <c r="X481" s="4">
        <v>334</v>
      </c>
      <c r="Y481" s="4">
        <v>0</v>
      </c>
      <c r="Z481" s="5">
        <v>2585</v>
      </c>
      <c r="AA481" s="5">
        <v>0</v>
      </c>
      <c r="AB481" s="6">
        <v>0</v>
      </c>
      <c r="AC481" s="4">
        <v>2585</v>
      </c>
      <c r="AD481" s="4">
        <v>0</v>
      </c>
      <c r="AE481" s="4">
        <v>2585</v>
      </c>
      <c r="AF481" s="1"/>
      <c r="AG481" s="1"/>
      <c r="AH481" s="1"/>
      <c r="AI481" s="1" t="s">
        <v>2909</v>
      </c>
      <c r="AJ481" s="6">
        <v>374.45000000000005</v>
      </c>
      <c r="AK481" s="6">
        <v>374.45000000000005</v>
      </c>
      <c r="AL481" s="1"/>
    </row>
    <row r="482" spans="1:38" hidden="1" x14ac:dyDescent="0.25">
      <c r="A482" s="2">
        <v>624</v>
      </c>
      <c r="B482" s="1" t="s">
        <v>588</v>
      </c>
      <c r="C482" s="1" t="s">
        <v>594</v>
      </c>
      <c r="D482" s="1" t="s">
        <v>2062</v>
      </c>
      <c r="E482" s="1" t="s">
        <v>2063</v>
      </c>
      <c r="F482" s="3">
        <v>45652</v>
      </c>
      <c r="G482" s="3">
        <v>45178</v>
      </c>
      <c r="H482" s="3">
        <v>45543</v>
      </c>
      <c r="I482" s="1" t="s">
        <v>2219</v>
      </c>
      <c r="J482" s="1" t="s">
        <v>2220</v>
      </c>
      <c r="K482" s="1"/>
      <c r="L482" s="1" t="s">
        <v>2221</v>
      </c>
      <c r="M482" s="1" t="s">
        <v>2222</v>
      </c>
      <c r="N482" s="1" t="s">
        <v>2223</v>
      </c>
      <c r="O482" s="1" t="s">
        <v>2224</v>
      </c>
      <c r="P482" s="1" t="s">
        <v>2182</v>
      </c>
      <c r="Q482" s="1"/>
      <c r="R482" s="1"/>
      <c r="S482" s="1" t="s">
        <v>2072</v>
      </c>
      <c r="T482" s="1" t="s">
        <v>2073</v>
      </c>
      <c r="U482" s="4">
        <v>-1</v>
      </c>
      <c r="V482" s="4">
        <v>-6838</v>
      </c>
      <c r="W482" s="4">
        <v>-68</v>
      </c>
      <c r="X482" s="4">
        <v>0</v>
      </c>
      <c r="Y482" s="4">
        <v>0</v>
      </c>
      <c r="Z482" s="5">
        <v>-6906</v>
      </c>
      <c r="AA482" s="5">
        <v>0</v>
      </c>
      <c r="AB482" s="6">
        <v>0</v>
      </c>
      <c r="AC482" s="4">
        <v>-6906</v>
      </c>
      <c r="AD482" s="4">
        <v>0</v>
      </c>
      <c r="AE482" s="4">
        <v>-6906</v>
      </c>
      <c r="AF482" s="1"/>
      <c r="AG482" s="1"/>
      <c r="AH482" s="1"/>
      <c r="AI482" s="1" t="s">
        <v>2909</v>
      </c>
      <c r="AJ482" s="1"/>
      <c r="AK482" s="1"/>
      <c r="AL482" s="1" t="s">
        <v>2225</v>
      </c>
    </row>
    <row r="483" spans="1:38" hidden="1" x14ac:dyDescent="0.25">
      <c r="A483" s="2">
        <v>625</v>
      </c>
      <c r="B483" s="1" t="s">
        <v>595</v>
      </c>
      <c r="C483" s="1" t="s">
        <v>596</v>
      </c>
      <c r="D483" s="1" t="s">
        <v>2062</v>
      </c>
      <c r="E483" s="1" t="s">
        <v>2063</v>
      </c>
      <c r="F483" s="3">
        <v>45199</v>
      </c>
      <c r="G483" s="3">
        <v>45170</v>
      </c>
      <c r="H483" s="3">
        <v>45535</v>
      </c>
      <c r="I483" s="1" t="s">
        <v>2910</v>
      </c>
      <c r="J483" s="1" t="s">
        <v>2911</v>
      </c>
      <c r="K483" s="1"/>
      <c r="L483" s="1" t="s">
        <v>2315</v>
      </c>
      <c r="M483" s="1" t="s">
        <v>2912</v>
      </c>
      <c r="N483" s="1" t="s">
        <v>2913</v>
      </c>
      <c r="O483" s="1" t="s">
        <v>2914</v>
      </c>
      <c r="P483" s="1" t="s">
        <v>2247</v>
      </c>
      <c r="Q483" s="1"/>
      <c r="R483" s="1"/>
      <c r="S483" s="1" t="s">
        <v>2072</v>
      </c>
      <c r="T483" s="1" t="s">
        <v>2073</v>
      </c>
      <c r="U483" s="4">
        <v>2200000</v>
      </c>
      <c r="V483" s="4">
        <v>34209</v>
      </c>
      <c r="W483" s="4">
        <v>343</v>
      </c>
      <c r="X483" s="4">
        <v>4448</v>
      </c>
      <c r="Y483" s="4">
        <v>0</v>
      </c>
      <c r="Z483" s="5">
        <v>39000</v>
      </c>
      <c r="AA483" s="5">
        <v>0</v>
      </c>
      <c r="AB483" s="6">
        <v>0</v>
      </c>
      <c r="AC483" s="4">
        <v>39000</v>
      </c>
      <c r="AD483" s="4">
        <v>0</v>
      </c>
      <c r="AE483" s="4">
        <v>39000</v>
      </c>
      <c r="AF483" s="1"/>
      <c r="AG483" s="1"/>
      <c r="AH483" s="1"/>
      <c r="AI483" s="1" t="s">
        <v>2841</v>
      </c>
      <c r="AJ483" s="1"/>
      <c r="AK483" s="1"/>
      <c r="AL483" s="1"/>
    </row>
    <row r="484" spans="1:38" hidden="1" x14ac:dyDescent="0.25">
      <c r="A484" s="2">
        <v>626</v>
      </c>
      <c r="B484" s="1" t="s">
        <v>595</v>
      </c>
      <c r="C484" s="1" t="s">
        <v>597</v>
      </c>
      <c r="D484" s="1" t="s">
        <v>2062</v>
      </c>
      <c r="E484" s="1" t="s">
        <v>2063</v>
      </c>
      <c r="F484" s="3">
        <v>45293</v>
      </c>
      <c r="G484" s="3">
        <v>45170</v>
      </c>
      <c r="H484" s="3">
        <v>45535</v>
      </c>
      <c r="I484" s="1" t="s">
        <v>2910</v>
      </c>
      <c r="J484" s="1" t="s">
        <v>2911</v>
      </c>
      <c r="K484" s="1"/>
      <c r="L484" s="1" t="s">
        <v>2315</v>
      </c>
      <c r="M484" s="1" t="s">
        <v>2912</v>
      </c>
      <c r="N484" s="1" t="s">
        <v>2913</v>
      </c>
      <c r="O484" s="1" t="s">
        <v>2914</v>
      </c>
      <c r="P484" s="1" t="s">
        <v>2247</v>
      </c>
      <c r="Q484" s="1"/>
      <c r="R484" s="1"/>
      <c r="S484" s="1" t="s">
        <v>2072</v>
      </c>
      <c r="T484" s="1" t="s">
        <v>2073</v>
      </c>
      <c r="U484" s="4">
        <v>2200000</v>
      </c>
      <c r="V484" s="4">
        <v>3020</v>
      </c>
      <c r="W484" s="4">
        <v>30</v>
      </c>
      <c r="X484" s="4">
        <v>393</v>
      </c>
      <c r="Y484" s="4">
        <v>0</v>
      </c>
      <c r="Z484" s="5">
        <v>3443</v>
      </c>
      <c r="AA484" s="5">
        <v>0</v>
      </c>
      <c r="AB484" s="6">
        <v>0</v>
      </c>
      <c r="AC484" s="4">
        <v>3443</v>
      </c>
      <c r="AD484" s="4">
        <v>0</v>
      </c>
      <c r="AE484" s="4">
        <v>3443</v>
      </c>
      <c r="AF484" s="1"/>
      <c r="AG484" s="1"/>
      <c r="AH484" s="1"/>
      <c r="AI484" s="1" t="s">
        <v>2841</v>
      </c>
      <c r="AJ484" s="6">
        <v>1337.2300000000009</v>
      </c>
      <c r="AK484" s="6">
        <v>1141.75</v>
      </c>
      <c r="AL484" s="1"/>
    </row>
    <row r="485" spans="1:38" hidden="1" x14ac:dyDescent="0.25">
      <c r="A485" s="2">
        <v>627</v>
      </c>
      <c r="B485" s="1" t="s">
        <v>595</v>
      </c>
      <c r="C485" s="1" t="s">
        <v>598</v>
      </c>
      <c r="D485" s="1" t="s">
        <v>2062</v>
      </c>
      <c r="E485" s="1" t="s">
        <v>2063</v>
      </c>
      <c r="F485" s="3">
        <v>45353</v>
      </c>
      <c r="G485" s="3">
        <v>45170</v>
      </c>
      <c r="H485" s="3">
        <v>45535</v>
      </c>
      <c r="I485" s="1" t="s">
        <v>2910</v>
      </c>
      <c r="J485" s="1" t="s">
        <v>2911</v>
      </c>
      <c r="K485" s="1"/>
      <c r="L485" s="1" t="s">
        <v>2315</v>
      </c>
      <c r="M485" s="1" t="s">
        <v>2912</v>
      </c>
      <c r="N485" s="1" t="s">
        <v>2913</v>
      </c>
      <c r="O485" s="1" t="s">
        <v>2914</v>
      </c>
      <c r="P485" s="1" t="s">
        <v>2247</v>
      </c>
      <c r="Q485" s="1"/>
      <c r="R485" s="1"/>
      <c r="S485" s="1" t="s">
        <v>2072</v>
      </c>
      <c r="T485" s="1" t="s">
        <v>2073</v>
      </c>
      <c r="U485" s="4">
        <v>2200000</v>
      </c>
      <c r="V485" s="4">
        <v>2831</v>
      </c>
      <c r="W485" s="4">
        <v>29</v>
      </c>
      <c r="X485" s="4">
        <v>368</v>
      </c>
      <c r="Y485" s="4">
        <v>0</v>
      </c>
      <c r="Z485" s="5">
        <v>3228</v>
      </c>
      <c r="AA485" s="5">
        <v>0</v>
      </c>
      <c r="AB485" s="6">
        <v>0</v>
      </c>
      <c r="AC485" s="4">
        <v>3228</v>
      </c>
      <c r="AD485" s="4">
        <v>0</v>
      </c>
      <c r="AE485" s="4">
        <v>3228</v>
      </c>
      <c r="AF485" s="1"/>
      <c r="AG485" s="1"/>
      <c r="AH485" s="1"/>
      <c r="AI485" s="1" t="s">
        <v>2841</v>
      </c>
      <c r="AJ485" s="6">
        <v>1131.04</v>
      </c>
      <c r="AK485" s="6">
        <v>1070.24</v>
      </c>
      <c r="AL485" s="1"/>
    </row>
    <row r="486" spans="1:38" hidden="1" x14ac:dyDescent="0.25">
      <c r="A486" s="2">
        <v>628</v>
      </c>
      <c r="B486" s="1" t="s">
        <v>595</v>
      </c>
      <c r="C486" s="1" t="s">
        <v>599</v>
      </c>
      <c r="D486" s="1" t="s">
        <v>2062</v>
      </c>
      <c r="E486" s="1" t="s">
        <v>2063</v>
      </c>
      <c r="F486" s="3">
        <v>45384</v>
      </c>
      <c r="G486" s="3">
        <v>45170</v>
      </c>
      <c r="H486" s="3">
        <v>45535</v>
      </c>
      <c r="I486" s="1" t="s">
        <v>2910</v>
      </c>
      <c r="J486" s="1" t="s">
        <v>2911</v>
      </c>
      <c r="K486" s="1"/>
      <c r="L486" s="1" t="s">
        <v>2315</v>
      </c>
      <c r="M486" s="1" t="s">
        <v>2912</v>
      </c>
      <c r="N486" s="1" t="s">
        <v>2913</v>
      </c>
      <c r="O486" s="1" t="s">
        <v>2914</v>
      </c>
      <c r="P486" s="1" t="s">
        <v>2247</v>
      </c>
      <c r="Q486" s="1"/>
      <c r="R486" s="1"/>
      <c r="S486" s="1" t="s">
        <v>2072</v>
      </c>
      <c r="T486" s="1" t="s">
        <v>2073</v>
      </c>
      <c r="U486" s="4">
        <v>2200000</v>
      </c>
      <c r="V486" s="4">
        <v>3087</v>
      </c>
      <c r="W486" s="4">
        <v>30</v>
      </c>
      <c r="X486" s="4">
        <v>401</v>
      </c>
      <c r="Y486" s="4">
        <v>0</v>
      </c>
      <c r="Z486" s="5">
        <v>3518</v>
      </c>
      <c r="AA486" s="5">
        <v>0</v>
      </c>
      <c r="AB486" s="6">
        <v>0</v>
      </c>
      <c r="AC486" s="4">
        <v>3518</v>
      </c>
      <c r="AD486" s="4">
        <v>0</v>
      </c>
      <c r="AE486" s="4">
        <v>3518</v>
      </c>
      <c r="AF486" s="1"/>
      <c r="AG486" s="1"/>
      <c r="AH486" s="1"/>
      <c r="AI486" s="1" t="s">
        <v>2841</v>
      </c>
      <c r="AJ486" s="6">
        <v>1295.75</v>
      </c>
      <c r="AK486" s="6">
        <v>1165.6300000000001</v>
      </c>
      <c r="AL486" s="1"/>
    </row>
    <row r="487" spans="1:38" hidden="1" x14ac:dyDescent="0.25">
      <c r="A487" s="2">
        <v>629</v>
      </c>
      <c r="B487" s="1" t="s">
        <v>595</v>
      </c>
      <c r="C487" s="1" t="s">
        <v>600</v>
      </c>
      <c r="D487" s="1" t="s">
        <v>2062</v>
      </c>
      <c r="E487" s="1" t="s">
        <v>2063</v>
      </c>
      <c r="F487" s="3">
        <v>45399</v>
      </c>
      <c r="G487" s="3">
        <v>45170</v>
      </c>
      <c r="H487" s="3">
        <v>45535</v>
      </c>
      <c r="I487" s="1" t="s">
        <v>2910</v>
      </c>
      <c r="J487" s="1" t="s">
        <v>2911</v>
      </c>
      <c r="K487" s="1"/>
      <c r="L487" s="1" t="s">
        <v>2315</v>
      </c>
      <c r="M487" s="1" t="s">
        <v>2912</v>
      </c>
      <c r="N487" s="1" t="s">
        <v>2913</v>
      </c>
      <c r="O487" s="1" t="s">
        <v>2914</v>
      </c>
      <c r="P487" s="1" t="s">
        <v>2247</v>
      </c>
      <c r="Q487" s="1"/>
      <c r="R487" s="1"/>
      <c r="S487" s="1" t="s">
        <v>2072</v>
      </c>
      <c r="T487" s="1" t="s">
        <v>2073</v>
      </c>
      <c r="U487" s="4">
        <v>-1</v>
      </c>
      <c r="V487" s="4">
        <v>-5851</v>
      </c>
      <c r="W487" s="4">
        <v>-59</v>
      </c>
      <c r="X487" s="4">
        <v>-761</v>
      </c>
      <c r="Y487" s="4">
        <v>0</v>
      </c>
      <c r="Z487" s="5">
        <v>-6671</v>
      </c>
      <c r="AA487" s="5">
        <v>0</v>
      </c>
      <c r="AB487" s="6">
        <v>0</v>
      </c>
      <c r="AC487" s="4">
        <v>-6671</v>
      </c>
      <c r="AD487" s="4">
        <v>0</v>
      </c>
      <c r="AE487" s="4">
        <v>-6671</v>
      </c>
      <c r="AF487" s="1"/>
      <c r="AG487" s="1"/>
      <c r="AH487" s="1"/>
      <c r="AI487" s="1" t="s">
        <v>2841</v>
      </c>
      <c r="AJ487" s="1"/>
      <c r="AK487" s="1"/>
      <c r="AL487" s="1"/>
    </row>
    <row r="488" spans="1:38" hidden="1" x14ac:dyDescent="0.25">
      <c r="A488" s="2">
        <v>630</v>
      </c>
      <c r="B488" s="1" t="s">
        <v>595</v>
      </c>
      <c r="C488" s="1" t="s">
        <v>601</v>
      </c>
      <c r="D488" s="1" t="s">
        <v>2062</v>
      </c>
      <c r="E488" s="1" t="s">
        <v>2063</v>
      </c>
      <c r="F488" s="3">
        <v>45596</v>
      </c>
      <c r="G488" s="3">
        <v>45170</v>
      </c>
      <c r="H488" s="3">
        <v>45535</v>
      </c>
      <c r="I488" s="1" t="s">
        <v>2910</v>
      </c>
      <c r="J488" s="1" t="s">
        <v>2911</v>
      </c>
      <c r="K488" s="1"/>
      <c r="L488" s="1" t="s">
        <v>2315</v>
      </c>
      <c r="M488" s="1" t="s">
        <v>2912</v>
      </c>
      <c r="N488" s="1" t="s">
        <v>2913</v>
      </c>
      <c r="O488" s="1" t="s">
        <v>2914</v>
      </c>
      <c r="P488" s="1" t="s">
        <v>2247</v>
      </c>
      <c r="Q488" s="1"/>
      <c r="R488" s="1"/>
      <c r="S488" s="1" t="s">
        <v>2072</v>
      </c>
      <c r="T488" s="1" t="s">
        <v>2073</v>
      </c>
      <c r="U488" s="4">
        <v>-1</v>
      </c>
      <c r="V488" s="4">
        <v>-42097</v>
      </c>
      <c r="W488" s="4">
        <v>-421</v>
      </c>
      <c r="X488" s="4">
        <v>0</v>
      </c>
      <c r="Y488" s="4">
        <v>0</v>
      </c>
      <c r="Z488" s="5">
        <v>-42518</v>
      </c>
      <c r="AA488" s="5">
        <v>0</v>
      </c>
      <c r="AB488" s="6">
        <v>0</v>
      </c>
      <c r="AC488" s="4">
        <v>-42518</v>
      </c>
      <c r="AD488" s="4">
        <v>0</v>
      </c>
      <c r="AE488" s="4">
        <v>-42518</v>
      </c>
      <c r="AF488" s="1"/>
      <c r="AG488" s="1"/>
      <c r="AH488" s="1"/>
      <c r="AI488" s="1" t="s">
        <v>2841</v>
      </c>
      <c r="AJ488" s="1"/>
      <c r="AK488" s="1"/>
      <c r="AL488" s="1"/>
    </row>
    <row r="489" spans="1:38" hidden="1" x14ac:dyDescent="0.25">
      <c r="A489" s="2">
        <v>631</v>
      </c>
      <c r="B489" s="1" t="s">
        <v>602</v>
      </c>
      <c r="C489" s="1" t="s">
        <v>603</v>
      </c>
      <c r="D489" s="1" t="s">
        <v>2062</v>
      </c>
      <c r="E489" s="1" t="s">
        <v>2063</v>
      </c>
      <c r="F489" s="3">
        <v>45199</v>
      </c>
      <c r="G489" s="3">
        <v>45176</v>
      </c>
      <c r="H489" s="3">
        <v>45541</v>
      </c>
      <c r="I489" s="1" t="s">
        <v>2915</v>
      </c>
      <c r="J489" s="1" t="s">
        <v>2916</v>
      </c>
      <c r="K489" s="1"/>
      <c r="L489" s="1" t="s">
        <v>2917</v>
      </c>
      <c r="M489" s="1" t="s">
        <v>2918</v>
      </c>
      <c r="N489" s="1" t="s">
        <v>2919</v>
      </c>
      <c r="O489" s="1" t="s">
        <v>2920</v>
      </c>
      <c r="P489" s="1" t="s">
        <v>2182</v>
      </c>
      <c r="Q489" s="1"/>
      <c r="R489" s="1"/>
      <c r="S489" s="1" t="s">
        <v>2072</v>
      </c>
      <c r="T489" s="1" t="s">
        <v>2073</v>
      </c>
      <c r="U489" s="4">
        <v>4500000</v>
      </c>
      <c r="V489" s="4">
        <v>74561</v>
      </c>
      <c r="W489" s="4">
        <v>746</v>
      </c>
      <c r="X489" s="4">
        <v>9693</v>
      </c>
      <c r="Y489" s="4">
        <v>0</v>
      </c>
      <c r="Z489" s="5">
        <v>85000</v>
      </c>
      <c r="AA489" s="5">
        <v>0</v>
      </c>
      <c r="AB489" s="6">
        <v>0</v>
      </c>
      <c r="AC489" s="4">
        <v>85000</v>
      </c>
      <c r="AD489" s="4">
        <v>0</v>
      </c>
      <c r="AE489" s="4">
        <v>85000</v>
      </c>
      <c r="AF489" s="1"/>
      <c r="AG489" s="1"/>
      <c r="AH489" s="1"/>
      <c r="AI489" s="1" t="s">
        <v>2921</v>
      </c>
      <c r="AJ489" s="1"/>
      <c r="AK489" s="1"/>
      <c r="AL489" s="1" t="s">
        <v>2922</v>
      </c>
    </row>
    <row r="490" spans="1:38" hidden="1" x14ac:dyDescent="0.25">
      <c r="A490" s="2">
        <v>632</v>
      </c>
      <c r="B490" s="1" t="s">
        <v>602</v>
      </c>
      <c r="C490" s="1" t="s">
        <v>604</v>
      </c>
      <c r="D490" s="1" t="s">
        <v>2062</v>
      </c>
      <c r="E490" s="1" t="s">
        <v>2063</v>
      </c>
      <c r="F490" s="3">
        <v>45546</v>
      </c>
      <c r="G490" s="3">
        <v>45176</v>
      </c>
      <c r="H490" s="3">
        <v>45541</v>
      </c>
      <c r="I490" s="1" t="s">
        <v>2915</v>
      </c>
      <c r="J490" s="1" t="s">
        <v>2916</v>
      </c>
      <c r="K490" s="1"/>
      <c r="L490" s="1" t="s">
        <v>2917</v>
      </c>
      <c r="M490" s="1" t="s">
        <v>2918</v>
      </c>
      <c r="N490" s="1" t="s">
        <v>2919</v>
      </c>
      <c r="O490" s="1" t="s">
        <v>2920</v>
      </c>
      <c r="P490" s="1" t="s">
        <v>2182</v>
      </c>
      <c r="Q490" s="1"/>
      <c r="R490" s="1"/>
      <c r="S490" s="1" t="s">
        <v>2072</v>
      </c>
      <c r="T490" s="1" t="s">
        <v>2073</v>
      </c>
      <c r="U490" s="4">
        <v>4500000</v>
      </c>
      <c r="V490" s="4">
        <v>2025</v>
      </c>
      <c r="W490" s="4">
        <v>20</v>
      </c>
      <c r="X490" s="4">
        <v>304</v>
      </c>
      <c r="Y490" s="4">
        <v>0</v>
      </c>
      <c r="Z490" s="5">
        <v>2349</v>
      </c>
      <c r="AA490" s="5">
        <v>0</v>
      </c>
      <c r="AB490" s="6">
        <v>0</v>
      </c>
      <c r="AC490" s="4">
        <v>2349</v>
      </c>
      <c r="AD490" s="4">
        <v>0</v>
      </c>
      <c r="AE490" s="4">
        <v>2349</v>
      </c>
      <c r="AF490" s="1"/>
      <c r="AG490" s="1"/>
      <c r="AH490" s="1"/>
      <c r="AI490" s="1" t="s">
        <v>2921</v>
      </c>
      <c r="AJ490" s="6">
        <v>631.46000000000902</v>
      </c>
      <c r="AK490" s="6">
        <v>381.19000000000005</v>
      </c>
      <c r="AL490" s="1"/>
    </row>
    <row r="491" spans="1:38" hidden="1" x14ac:dyDescent="0.25">
      <c r="A491" s="2">
        <v>633</v>
      </c>
      <c r="B491" s="1" t="s">
        <v>602</v>
      </c>
      <c r="C491" s="1" t="s">
        <v>605</v>
      </c>
      <c r="D491" s="1" t="s">
        <v>2062</v>
      </c>
      <c r="E491" s="1" t="s">
        <v>2063</v>
      </c>
      <c r="F491" s="3">
        <v>45596</v>
      </c>
      <c r="G491" s="3">
        <v>45176</v>
      </c>
      <c r="H491" s="3">
        <v>45541</v>
      </c>
      <c r="I491" s="1" t="s">
        <v>2915</v>
      </c>
      <c r="J491" s="1" t="s">
        <v>2916</v>
      </c>
      <c r="K491" s="1"/>
      <c r="L491" s="1" t="s">
        <v>2917</v>
      </c>
      <c r="M491" s="1" t="s">
        <v>2918</v>
      </c>
      <c r="N491" s="1" t="s">
        <v>2919</v>
      </c>
      <c r="O491" s="1" t="s">
        <v>2920</v>
      </c>
      <c r="P491" s="1" t="s">
        <v>2182</v>
      </c>
      <c r="Q491" s="1"/>
      <c r="R491" s="1"/>
      <c r="S491" s="1" t="s">
        <v>2072</v>
      </c>
      <c r="T491" s="1" t="s">
        <v>2073</v>
      </c>
      <c r="U491" s="4">
        <v>-1</v>
      </c>
      <c r="V491" s="4">
        <v>-86484</v>
      </c>
      <c r="W491" s="4">
        <v>-865</v>
      </c>
      <c r="X491" s="4">
        <v>0</v>
      </c>
      <c r="Y491" s="4">
        <v>0</v>
      </c>
      <c r="Z491" s="5">
        <v>-87349</v>
      </c>
      <c r="AA491" s="5">
        <v>0</v>
      </c>
      <c r="AB491" s="6">
        <v>0</v>
      </c>
      <c r="AC491" s="4">
        <v>-87349</v>
      </c>
      <c r="AD491" s="4">
        <v>0</v>
      </c>
      <c r="AE491" s="4">
        <v>-87349</v>
      </c>
      <c r="AF491" s="1"/>
      <c r="AG491" s="1"/>
      <c r="AH491" s="1"/>
      <c r="AI491" s="1" t="s">
        <v>2921</v>
      </c>
      <c r="AJ491" s="1"/>
      <c r="AK491" s="1"/>
      <c r="AL491" s="1"/>
    </row>
    <row r="492" spans="1:38" hidden="1" x14ac:dyDescent="0.25">
      <c r="A492" s="2">
        <v>634</v>
      </c>
      <c r="B492" s="1" t="s">
        <v>606</v>
      </c>
      <c r="C492" s="1" t="s">
        <v>607</v>
      </c>
      <c r="D492" s="1" t="s">
        <v>2062</v>
      </c>
      <c r="E492" s="1" t="s">
        <v>2063</v>
      </c>
      <c r="F492" s="3">
        <v>45199</v>
      </c>
      <c r="G492" s="3">
        <v>45170</v>
      </c>
      <c r="H492" s="3">
        <v>45535</v>
      </c>
      <c r="I492" s="1" t="s">
        <v>2923</v>
      </c>
      <c r="J492" s="1" t="s">
        <v>2924</v>
      </c>
      <c r="K492" s="1"/>
      <c r="L492" s="1" t="s">
        <v>2925</v>
      </c>
      <c r="M492" s="1" t="s">
        <v>2926</v>
      </c>
      <c r="N492" s="1" t="s">
        <v>2927</v>
      </c>
      <c r="O492" s="1" t="s">
        <v>2928</v>
      </c>
      <c r="P492" s="1" t="s">
        <v>2095</v>
      </c>
      <c r="Q492" s="1"/>
      <c r="R492" s="1"/>
      <c r="S492" s="1" t="s">
        <v>2072</v>
      </c>
      <c r="T492" s="1" t="s">
        <v>2073</v>
      </c>
      <c r="U492" s="4">
        <v>4549500</v>
      </c>
      <c r="V492" s="4">
        <v>75429</v>
      </c>
      <c r="W492" s="4">
        <v>755</v>
      </c>
      <c r="X492" s="4">
        <v>9806</v>
      </c>
      <c r="Y492" s="4">
        <v>0</v>
      </c>
      <c r="Z492" s="5">
        <v>85990</v>
      </c>
      <c r="AA492" s="5">
        <v>0</v>
      </c>
      <c r="AB492" s="6">
        <v>0</v>
      </c>
      <c r="AC492" s="4">
        <v>85990</v>
      </c>
      <c r="AD492" s="4">
        <v>0</v>
      </c>
      <c r="AE492" s="4">
        <v>85990</v>
      </c>
      <c r="AF492" s="1"/>
      <c r="AG492" s="1"/>
      <c r="AH492" s="1"/>
      <c r="AI492" s="1" t="s">
        <v>2929</v>
      </c>
      <c r="AJ492" s="1"/>
      <c r="AK492" s="1"/>
      <c r="AL492" s="1"/>
    </row>
    <row r="493" spans="1:38" hidden="1" x14ac:dyDescent="0.25">
      <c r="A493" s="2">
        <v>635</v>
      </c>
      <c r="B493" s="1" t="s">
        <v>606</v>
      </c>
      <c r="C493" s="1" t="s">
        <v>608</v>
      </c>
      <c r="D493" s="1" t="s">
        <v>2062</v>
      </c>
      <c r="E493" s="1" t="s">
        <v>2063</v>
      </c>
      <c r="F493" s="3">
        <v>45413</v>
      </c>
      <c r="G493" s="3">
        <v>45170</v>
      </c>
      <c r="H493" s="3">
        <v>45535</v>
      </c>
      <c r="I493" s="1" t="s">
        <v>2923</v>
      </c>
      <c r="J493" s="1" t="s">
        <v>2924</v>
      </c>
      <c r="K493" s="1"/>
      <c r="L493" s="1" t="s">
        <v>2925</v>
      </c>
      <c r="M493" s="1" t="s">
        <v>2926</v>
      </c>
      <c r="N493" s="1" t="s">
        <v>2927</v>
      </c>
      <c r="O493" s="1" t="s">
        <v>2928</v>
      </c>
      <c r="P493" s="1" t="s">
        <v>2095</v>
      </c>
      <c r="Q493" s="1"/>
      <c r="R493" s="1"/>
      <c r="S493" s="1" t="s">
        <v>2072</v>
      </c>
      <c r="T493" s="1" t="s">
        <v>2073</v>
      </c>
      <c r="U493" s="4">
        <v>4549500</v>
      </c>
      <c r="V493" s="4">
        <v>2839</v>
      </c>
      <c r="W493" s="4">
        <v>29</v>
      </c>
      <c r="X493" s="4">
        <v>370</v>
      </c>
      <c r="Y493" s="4">
        <v>0</v>
      </c>
      <c r="Z493" s="5">
        <v>3238</v>
      </c>
      <c r="AA493" s="5">
        <v>0</v>
      </c>
      <c r="AB493" s="6">
        <v>0</v>
      </c>
      <c r="AC493" s="4">
        <v>3238</v>
      </c>
      <c r="AD493" s="4">
        <v>0</v>
      </c>
      <c r="AE493" s="4">
        <v>3238</v>
      </c>
      <c r="AF493" s="1"/>
      <c r="AG493" s="1"/>
      <c r="AH493" s="1"/>
      <c r="AI493" s="1" t="s">
        <v>2929</v>
      </c>
      <c r="AJ493" s="6">
        <v>556.43000000000109</v>
      </c>
      <c r="AK493" s="6">
        <v>519.99</v>
      </c>
      <c r="AL493" s="1"/>
    </row>
    <row r="494" spans="1:38" hidden="1" x14ac:dyDescent="0.25">
      <c r="A494" s="2">
        <v>636</v>
      </c>
      <c r="B494" s="1" t="s">
        <v>606</v>
      </c>
      <c r="C494" s="1" t="s">
        <v>609</v>
      </c>
      <c r="D494" s="1" t="s">
        <v>2062</v>
      </c>
      <c r="E494" s="1" t="s">
        <v>2063</v>
      </c>
      <c r="F494" s="3">
        <v>45446</v>
      </c>
      <c r="G494" s="3">
        <v>45170</v>
      </c>
      <c r="H494" s="3">
        <v>45535</v>
      </c>
      <c r="I494" s="1" t="s">
        <v>2923</v>
      </c>
      <c r="J494" s="1" t="s">
        <v>2924</v>
      </c>
      <c r="K494" s="1"/>
      <c r="L494" s="1" t="s">
        <v>2925</v>
      </c>
      <c r="M494" s="1" t="s">
        <v>2926</v>
      </c>
      <c r="N494" s="1" t="s">
        <v>2927</v>
      </c>
      <c r="O494" s="1" t="s">
        <v>2928</v>
      </c>
      <c r="P494" s="1" t="s">
        <v>2095</v>
      </c>
      <c r="Q494" s="1"/>
      <c r="R494" s="1"/>
      <c r="S494" s="1" t="s">
        <v>2072</v>
      </c>
      <c r="T494" s="1" t="s">
        <v>2073</v>
      </c>
      <c r="U494" s="4">
        <v>4549500</v>
      </c>
      <c r="V494" s="4">
        <v>4576</v>
      </c>
      <c r="W494" s="4">
        <v>45</v>
      </c>
      <c r="X494" s="4">
        <v>594</v>
      </c>
      <c r="Y494" s="4">
        <v>0</v>
      </c>
      <c r="Z494" s="5">
        <v>5215</v>
      </c>
      <c r="AA494" s="5">
        <v>0</v>
      </c>
      <c r="AB494" s="6">
        <v>0</v>
      </c>
      <c r="AC494" s="4">
        <v>5215</v>
      </c>
      <c r="AD494" s="4">
        <v>0</v>
      </c>
      <c r="AE494" s="4">
        <v>5215</v>
      </c>
      <c r="AF494" s="1"/>
      <c r="AG494" s="1"/>
      <c r="AH494" s="1"/>
      <c r="AI494" s="1" t="s">
        <v>2929</v>
      </c>
      <c r="AJ494" s="6">
        <v>1394.7700000000179</v>
      </c>
      <c r="AK494" s="6">
        <v>837.29000000000019</v>
      </c>
      <c r="AL494" s="1"/>
    </row>
    <row r="495" spans="1:38" hidden="1" x14ac:dyDescent="0.25">
      <c r="A495" s="2">
        <v>637</v>
      </c>
      <c r="B495" s="1" t="s">
        <v>606</v>
      </c>
      <c r="C495" s="1" t="s">
        <v>610</v>
      </c>
      <c r="D495" s="1" t="s">
        <v>2062</v>
      </c>
      <c r="E495" s="1" t="s">
        <v>2063</v>
      </c>
      <c r="F495" s="3">
        <v>45475</v>
      </c>
      <c r="G495" s="3">
        <v>45170</v>
      </c>
      <c r="H495" s="3">
        <v>45535</v>
      </c>
      <c r="I495" s="1" t="s">
        <v>2923</v>
      </c>
      <c r="J495" s="1" t="s">
        <v>2924</v>
      </c>
      <c r="K495" s="1"/>
      <c r="L495" s="1" t="s">
        <v>2925</v>
      </c>
      <c r="M495" s="1" t="s">
        <v>2926</v>
      </c>
      <c r="N495" s="1" t="s">
        <v>2927</v>
      </c>
      <c r="O495" s="1" t="s">
        <v>2928</v>
      </c>
      <c r="P495" s="1" t="s">
        <v>2095</v>
      </c>
      <c r="Q495" s="1"/>
      <c r="R495" s="1"/>
      <c r="S495" s="1" t="s">
        <v>2072</v>
      </c>
      <c r="T495" s="1" t="s">
        <v>2073</v>
      </c>
      <c r="U495" s="4">
        <v>4549500</v>
      </c>
      <c r="V495" s="4">
        <v>4595</v>
      </c>
      <c r="W495" s="4">
        <v>46</v>
      </c>
      <c r="X495" s="4">
        <v>689</v>
      </c>
      <c r="Y495" s="4">
        <v>0</v>
      </c>
      <c r="Z495" s="5">
        <v>5330</v>
      </c>
      <c r="AA495" s="5">
        <v>0</v>
      </c>
      <c r="AB495" s="6">
        <v>0</v>
      </c>
      <c r="AC495" s="4">
        <v>5330</v>
      </c>
      <c r="AD495" s="4">
        <v>0</v>
      </c>
      <c r="AE495" s="4">
        <v>5330</v>
      </c>
      <c r="AF495" s="1"/>
      <c r="AG495" s="1"/>
      <c r="AH495" s="1"/>
      <c r="AI495" s="1" t="s">
        <v>2929</v>
      </c>
      <c r="AJ495" s="6">
        <v>931.65000000000111</v>
      </c>
      <c r="AK495" s="6">
        <v>856.05</v>
      </c>
      <c r="AL495" s="1"/>
    </row>
    <row r="496" spans="1:38" hidden="1" x14ac:dyDescent="0.25">
      <c r="A496" s="2">
        <v>638</v>
      </c>
      <c r="B496" s="1" t="s">
        <v>606</v>
      </c>
      <c r="C496" s="1" t="s">
        <v>611</v>
      </c>
      <c r="D496" s="1" t="s">
        <v>2062</v>
      </c>
      <c r="E496" s="1" t="s">
        <v>2063</v>
      </c>
      <c r="F496" s="3">
        <v>45506</v>
      </c>
      <c r="G496" s="3">
        <v>45170</v>
      </c>
      <c r="H496" s="3">
        <v>45535</v>
      </c>
      <c r="I496" s="1" t="s">
        <v>2923</v>
      </c>
      <c r="J496" s="1" t="s">
        <v>2924</v>
      </c>
      <c r="K496" s="1"/>
      <c r="L496" s="1" t="s">
        <v>2925</v>
      </c>
      <c r="M496" s="1" t="s">
        <v>2926</v>
      </c>
      <c r="N496" s="1" t="s">
        <v>2927</v>
      </c>
      <c r="O496" s="1" t="s">
        <v>2928</v>
      </c>
      <c r="P496" s="1" t="s">
        <v>2095</v>
      </c>
      <c r="Q496" s="1"/>
      <c r="R496" s="1"/>
      <c r="S496" s="1" t="s">
        <v>2072</v>
      </c>
      <c r="T496" s="1" t="s">
        <v>2073</v>
      </c>
      <c r="U496" s="4">
        <v>4549500</v>
      </c>
      <c r="V496" s="4">
        <v>4455</v>
      </c>
      <c r="W496" s="4">
        <v>45</v>
      </c>
      <c r="X496" s="4">
        <v>668</v>
      </c>
      <c r="Y496" s="4">
        <v>0</v>
      </c>
      <c r="Z496" s="5">
        <v>5168</v>
      </c>
      <c r="AA496" s="5">
        <v>0</v>
      </c>
      <c r="AB496" s="6">
        <v>0</v>
      </c>
      <c r="AC496" s="4">
        <v>5168</v>
      </c>
      <c r="AD496" s="4">
        <v>0</v>
      </c>
      <c r="AE496" s="4">
        <v>5168</v>
      </c>
      <c r="AF496" s="1"/>
      <c r="AG496" s="1"/>
      <c r="AH496" s="1"/>
      <c r="AI496" s="1" t="s">
        <v>2929</v>
      </c>
      <c r="AJ496" s="6">
        <v>869.47</v>
      </c>
      <c r="AK496" s="6">
        <v>829.48</v>
      </c>
      <c r="AL496" s="1"/>
    </row>
    <row r="497" spans="1:38" hidden="1" x14ac:dyDescent="0.25">
      <c r="A497" s="2">
        <v>639</v>
      </c>
      <c r="B497" s="1" t="s">
        <v>606</v>
      </c>
      <c r="C497" s="1" t="s">
        <v>612</v>
      </c>
      <c r="D497" s="1" t="s">
        <v>2062</v>
      </c>
      <c r="E497" s="1" t="s">
        <v>2063</v>
      </c>
      <c r="F497" s="3">
        <v>45539</v>
      </c>
      <c r="G497" s="3">
        <v>45170</v>
      </c>
      <c r="H497" s="3">
        <v>45535</v>
      </c>
      <c r="I497" s="1" t="s">
        <v>2923</v>
      </c>
      <c r="J497" s="1" t="s">
        <v>2924</v>
      </c>
      <c r="K497" s="1"/>
      <c r="L497" s="1" t="s">
        <v>2925</v>
      </c>
      <c r="M497" s="1" t="s">
        <v>2926</v>
      </c>
      <c r="N497" s="1" t="s">
        <v>2927</v>
      </c>
      <c r="O497" s="1" t="s">
        <v>2928</v>
      </c>
      <c r="P497" s="1" t="s">
        <v>2095</v>
      </c>
      <c r="Q497" s="1"/>
      <c r="R497" s="1"/>
      <c r="S497" s="1" t="s">
        <v>2072</v>
      </c>
      <c r="T497" s="1" t="s">
        <v>2073</v>
      </c>
      <c r="U497" s="4">
        <v>4549500</v>
      </c>
      <c r="V497" s="4">
        <v>1935</v>
      </c>
      <c r="W497" s="4">
        <v>19</v>
      </c>
      <c r="X497" s="4">
        <v>290</v>
      </c>
      <c r="Y497" s="4">
        <v>0</v>
      </c>
      <c r="Z497" s="5">
        <v>2244</v>
      </c>
      <c r="AA497" s="5">
        <v>0</v>
      </c>
      <c r="AB497" s="6">
        <v>0</v>
      </c>
      <c r="AC497" s="4">
        <v>2244</v>
      </c>
      <c r="AD497" s="4">
        <v>0</v>
      </c>
      <c r="AE497" s="4">
        <v>2244</v>
      </c>
      <c r="AF497" s="1"/>
      <c r="AG497" s="1"/>
      <c r="AH497" s="1"/>
      <c r="AI497" s="1" t="s">
        <v>2929</v>
      </c>
      <c r="AJ497" s="6">
        <v>360.05000000000007</v>
      </c>
      <c r="AK497" s="6">
        <v>360.05000000000007</v>
      </c>
      <c r="AL497" s="1"/>
    </row>
    <row r="498" spans="1:38" hidden="1" x14ac:dyDescent="0.25">
      <c r="A498" s="2">
        <v>640</v>
      </c>
      <c r="B498" s="1" t="s">
        <v>606</v>
      </c>
      <c r="C498" s="1" t="s">
        <v>613</v>
      </c>
      <c r="D498" s="1" t="s">
        <v>2062</v>
      </c>
      <c r="E498" s="1" t="s">
        <v>2063</v>
      </c>
      <c r="F498" s="3">
        <v>45596</v>
      </c>
      <c r="G498" s="3">
        <v>45170</v>
      </c>
      <c r="H498" s="3">
        <v>45535</v>
      </c>
      <c r="I498" s="1" t="s">
        <v>2923</v>
      </c>
      <c r="J498" s="1" t="s">
        <v>2924</v>
      </c>
      <c r="K498" s="1"/>
      <c r="L498" s="1" t="s">
        <v>2925</v>
      </c>
      <c r="M498" s="1" t="s">
        <v>2926</v>
      </c>
      <c r="N498" s="1" t="s">
        <v>2927</v>
      </c>
      <c r="O498" s="1" t="s">
        <v>2928</v>
      </c>
      <c r="P498" s="1" t="s">
        <v>2095</v>
      </c>
      <c r="Q498" s="1"/>
      <c r="R498" s="1"/>
      <c r="S498" s="1" t="s">
        <v>2072</v>
      </c>
      <c r="T498" s="1" t="s">
        <v>2073</v>
      </c>
      <c r="U498" s="4">
        <v>-1</v>
      </c>
      <c r="V498" s="4">
        <v>-106124</v>
      </c>
      <c r="W498" s="4">
        <v>-1061</v>
      </c>
      <c r="X498" s="4">
        <v>0</v>
      </c>
      <c r="Y498" s="4">
        <v>0</v>
      </c>
      <c r="Z498" s="5">
        <v>-107185</v>
      </c>
      <c r="AA498" s="5">
        <v>0</v>
      </c>
      <c r="AB498" s="6">
        <v>0</v>
      </c>
      <c r="AC498" s="4">
        <v>-107185</v>
      </c>
      <c r="AD498" s="4">
        <v>0</v>
      </c>
      <c r="AE498" s="4">
        <v>-107185</v>
      </c>
      <c r="AF498" s="1"/>
      <c r="AG498" s="1"/>
      <c r="AH498" s="1"/>
      <c r="AI498" s="1" t="s">
        <v>2929</v>
      </c>
      <c r="AJ498" s="1"/>
      <c r="AK498" s="1"/>
      <c r="AL498" s="1"/>
    </row>
    <row r="499" spans="1:38" hidden="1" x14ac:dyDescent="0.25">
      <c r="A499" s="2">
        <v>643</v>
      </c>
      <c r="B499" s="1" t="s">
        <v>614</v>
      </c>
      <c r="C499" s="1" t="s">
        <v>615</v>
      </c>
      <c r="D499" s="1" t="s">
        <v>2062</v>
      </c>
      <c r="E499" s="1" t="s">
        <v>2063</v>
      </c>
      <c r="F499" s="3">
        <v>45199</v>
      </c>
      <c r="G499" s="3">
        <v>45180</v>
      </c>
      <c r="H499" s="3">
        <v>45545</v>
      </c>
      <c r="I499" s="1" t="s">
        <v>2930</v>
      </c>
      <c r="J499" s="1" t="s">
        <v>2931</v>
      </c>
      <c r="K499" s="1"/>
      <c r="L499" s="1" t="s">
        <v>2932</v>
      </c>
      <c r="M499" s="1" t="s">
        <v>2933</v>
      </c>
      <c r="N499" s="1" t="s">
        <v>2934</v>
      </c>
      <c r="O499" s="1" t="s">
        <v>2935</v>
      </c>
      <c r="P499" s="1" t="s">
        <v>2434</v>
      </c>
      <c r="Q499" s="1"/>
      <c r="R499" s="1"/>
      <c r="S499" s="1" t="s">
        <v>2072</v>
      </c>
      <c r="T499" s="1" t="s">
        <v>2073</v>
      </c>
      <c r="U499" s="4">
        <v>3500000</v>
      </c>
      <c r="V499" s="4">
        <v>57016</v>
      </c>
      <c r="W499" s="4">
        <v>571</v>
      </c>
      <c r="X499" s="4">
        <v>7413</v>
      </c>
      <c r="Y499" s="4">
        <v>0</v>
      </c>
      <c r="Z499" s="5">
        <v>65000</v>
      </c>
      <c r="AA499" s="5">
        <v>0</v>
      </c>
      <c r="AB499" s="6">
        <v>0</v>
      </c>
      <c r="AC499" s="4">
        <v>65000</v>
      </c>
      <c r="AD499" s="4">
        <v>0</v>
      </c>
      <c r="AE499" s="4">
        <v>65000</v>
      </c>
      <c r="AF499" s="1"/>
      <c r="AG499" s="1"/>
      <c r="AH499" s="1"/>
      <c r="AI499" s="1" t="s">
        <v>2921</v>
      </c>
      <c r="AJ499" s="1"/>
      <c r="AK499" s="1"/>
      <c r="AL499" s="1" t="s">
        <v>2936</v>
      </c>
    </row>
    <row r="500" spans="1:38" hidden="1" x14ac:dyDescent="0.25">
      <c r="A500" s="2">
        <v>644</v>
      </c>
      <c r="B500" s="1" t="s">
        <v>614</v>
      </c>
      <c r="C500" s="1" t="s">
        <v>616</v>
      </c>
      <c r="D500" s="1" t="s">
        <v>2062</v>
      </c>
      <c r="E500" s="1" t="s">
        <v>2063</v>
      </c>
      <c r="F500" s="3">
        <v>45425</v>
      </c>
      <c r="G500" s="3">
        <v>45180</v>
      </c>
      <c r="H500" s="3">
        <v>45545</v>
      </c>
      <c r="I500" s="1" t="s">
        <v>2930</v>
      </c>
      <c r="J500" s="1" t="s">
        <v>2931</v>
      </c>
      <c r="K500" s="1"/>
      <c r="L500" s="1" t="s">
        <v>2932</v>
      </c>
      <c r="M500" s="1" t="s">
        <v>2933</v>
      </c>
      <c r="N500" s="1" t="s">
        <v>2934</v>
      </c>
      <c r="O500" s="1" t="s">
        <v>2935</v>
      </c>
      <c r="P500" s="1" t="s">
        <v>2434</v>
      </c>
      <c r="Q500" s="1"/>
      <c r="R500" s="1"/>
      <c r="S500" s="1" t="s">
        <v>2072</v>
      </c>
      <c r="T500" s="1" t="s">
        <v>2073</v>
      </c>
      <c r="U500" s="4">
        <v>3500000</v>
      </c>
      <c r="V500" s="4">
        <v>2296</v>
      </c>
      <c r="W500" s="4">
        <v>23</v>
      </c>
      <c r="X500" s="4">
        <v>299</v>
      </c>
      <c r="Y500" s="4">
        <v>0</v>
      </c>
      <c r="Z500" s="5">
        <v>2618</v>
      </c>
      <c r="AA500" s="5">
        <v>0</v>
      </c>
      <c r="AB500" s="6">
        <v>0</v>
      </c>
      <c r="AC500" s="4">
        <v>2618</v>
      </c>
      <c r="AD500" s="4">
        <v>0</v>
      </c>
      <c r="AE500" s="4">
        <v>2618</v>
      </c>
      <c r="AF500" s="1"/>
      <c r="AG500" s="1"/>
      <c r="AH500" s="1"/>
      <c r="AI500" s="1" t="s">
        <v>2921</v>
      </c>
      <c r="AJ500" s="6">
        <v>985.91000000002009</v>
      </c>
      <c r="AK500" s="6">
        <v>545.99</v>
      </c>
      <c r="AL500" s="1"/>
    </row>
    <row r="501" spans="1:38" hidden="1" x14ac:dyDescent="0.25">
      <c r="A501" s="2">
        <v>645</v>
      </c>
      <c r="B501" s="1" t="s">
        <v>614</v>
      </c>
      <c r="C501" s="1" t="s">
        <v>617</v>
      </c>
      <c r="D501" s="1" t="s">
        <v>2062</v>
      </c>
      <c r="E501" s="1" t="s">
        <v>2063</v>
      </c>
      <c r="F501" s="3">
        <v>45454</v>
      </c>
      <c r="G501" s="3">
        <v>45180</v>
      </c>
      <c r="H501" s="3">
        <v>45545</v>
      </c>
      <c r="I501" s="1" t="s">
        <v>2930</v>
      </c>
      <c r="J501" s="1" t="s">
        <v>2931</v>
      </c>
      <c r="K501" s="1"/>
      <c r="L501" s="1" t="s">
        <v>2932</v>
      </c>
      <c r="M501" s="1" t="s">
        <v>2933</v>
      </c>
      <c r="N501" s="1" t="s">
        <v>2934</v>
      </c>
      <c r="O501" s="1" t="s">
        <v>2935</v>
      </c>
      <c r="P501" s="1" t="s">
        <v>2434</v>
      </c>
      <c r="Q501" s="1"/>
      <c r="R501" s="1"/>
      <c r="S501" s="1" t="s">
        <v>2072</v>
      </c>
      <c r="T501" s="1" t="s">
        <v>2073</v>
      </c>
      <c r="U501" s="4">
        <v>3500000</v>
      </c>
      <c r="V501" s="4">
        <v>3047</v>
      </c>
      <c r="W501" s="4">
        <v>30</v>
      </c>
      <c r="X501" s="4">
        <v>396</v>
      </c>
      <c r="Y501" s="4">
        <v>0</v>
      </c>
      <c r="Z501" s="5">
        <v>3473</v>
      </c>
      <c r="AA501" s="5">
        <v>0</v>
      </c>
      <c r="AB501" s="6">
        <v>0</v>
      </c>
      <c r="AC501" s="4">
        <v>3473</v>
      </c>
      <c r="AD501" s="4">
        <v>0</v>
      </c>
      <c r="AE501" s="4">
        <v>3473</v>
      </c>
      <c r="AF501" s="1"/>
      <c r="AG501" s="1"/>
      <c r="AH501" s="1"/>
      <c r="AI501" s="1" t="s">
        <v>2921</v>
      </c>
      <c r="AJ501" s="6">
        <v>1026.2800000000059</v>
      </c>
      <c r="AK501" s="6">
        <v>724.39</v>
      </c>
      <c r="AL501" s="1"/>
    </row>
    <row r="502" spans="1:38" hidden="1" x14ac:dyDescent="0.25">
      <c r="A502" s="2">
        <v>646</v>
      </c>
      <c r="B502" s="1" t="s">
        <v>614</v>
      </c>
      <c r="C502" s="1" t="s">
        <v>618</v>
      </c>
      <c r="D502" s="1" t="s">
        <v>2062</v>
      </c>
      <c r="E502" s="1" t="s">
        <v>2063</v>
      </c>
      <c r="F502" s="3">
        <v>45486</v>
      </c>
      <c r="G502" s="3">
        <v>45180</v>
      </c>
      <c r="H502" s="3">
        <v>45545</v>
      </c>
      <c r="I502" s="1" t="s">
        <v>2930</v>
      </c>
      <c r="J502" s="1" t="s">
        <v>2931</v>
      </c>
      <c r="K502" s="1"/>
      <c r="L502" s="1" t="s">
        <v>2932</v>
      </c>
      <c r="M502" s="1" t="s">
        <v>2933</v>
      </c>
      <c r="N502" s="1" t="s">
        <v>2934</v>
      </c>
      <c r="O502" s="1" t="s">
        <v>2935</v>
      </c>
      <c r="P502" s="1" t="s">
        <v>2434</v>
      </c>
      <c r="Q502" s="1"/>
      <c r="R502" s="1"/>
      <c r="S502" s="1" t="s">
        <v>2072</v>
      </c>
      <c r="T502" s="1" t="s">
        <v>2073</v>
      </c>
      <c r="U502" s="4">
        <v>3500000</v>
      </c>
      <c r="V502" s="4">
        <v>4010</v>
      </c>
      <c r="W502" s="4">
        <v>40</v>
      </c>
      <c r="X502" s="4">
        <v>602</v>
      </c>
      <c r="Y502" s="4">
        <v>0</v>
      </c>
      <c r="Z502" s="5">
        <v>4652</v>
      </c>
      <c r="AA502" s="5">
        <v>0</v>
      </c>
      <c r="AB502" s="6">
        <v>0</v>
      </c>
      <c r="AC502" s="4">
        <v>4652</v>
      </c>
      <c r="AD502" s="4">
        <v>0</v>
      </c>
      <c r="AE502" s="4">
        <v>4652</v>
      </c>
      <c r="AF502" s="1"/>
      <c r="AG502" s="1"/>
      <c r="AH502" s="1"/>
      <c r="AI502" s="1" t="s">
        <v>2921</v>
      </c>
      <c r="AJ502" s="6">
        <v>2116.9200000000119</v>
      </c>
      <c r="AK502" s="6">
        <v>969.19</v>
      </c>
      <c r="AL502" s="1"/>
    </row>
    <row r="503" spans="1:38" hidden="1" x14ac:dyDescent="0.25">
      <c r="A503" s="2">
        <v>647</v>
      </c>
      <c r="B503" s="1" t="s">
        <v>614</v>
      </c>
      <c r="C503" s="1" t="s">
        <v>619</v>
      </c>
      <c r="D503" s="1" t="s">
        <v>2062</v>
      </c>
      <c r="E503" s="1" t="s">
        <v>2063</v>
      </c>
      <c r="F503" s="3">
        <v>45517</v>
      </c>
      <c r="G503" s="3">
        <v>45180</v>
      </c>
      <c r="H503" s="3">
        <v>45545</v>
      </c>
      <c r="I503" s="1" t="s">
        <v>2930</v>
      </c>
      <c r="J503" s="1" t="s">
        <v>2931</v>
      </c>
      <c r="K503" s="1"/>
      <c r="L503" s="1" t="s">
        <v>2932</v>
      </c>
      <c r="M503" s="1" t="s">
        <v>2933</v>
      </c>
      <c r="N503" s="1" t="s">
        <v>2934</v>
      </c>
      <c r="O503" s="1" t="s">
        <v>2935</v>
      </c>
      <c r="P503" s="1" t="s">
        <v>2434</v>
      </c>
      <c r="Q503" s="1"/>
      <c r="R503" s="1"/>
      <c r="S503" s="1" t="s">
        <v>2072</v>
      </c>
      <c r="T503" s="1" t="s">
        <v>2073</v>
      </c>
      <c r="U503" s="4">
        <v>3500000</v>
      </c>
      <c r="V503" s="4">
        <v>2780</v>
      </c>
      <c r="W503" s="4">
        <v>28</v>
      </c>
      <c r="X503" s="4">
        <v>417</v>
      </c>
      <c r="Y503" s="4">
        <v>0</v>
      </c>
      <c r="Z503" s="5">
        <v>3225</v>
      </c>
      <c r="AA503" s="5">
        <v>0</v>
      </c>
      <c r="AB503" s="6">
        <v>0</v>
      </c>
      <c r="AC503" s="4">
        <v>3225</v>
      </c>
      <c r="AD503" s="4">
        <v>0</v>
      </c>
      <c r="AE503" s="4">
        <v>3225</v>
      </c>
      <c r="AF503" s="1"/>
      <c r="AG503" s="1"/>
      <c r="AH503" s="1"/>
      <c r="AI503" s="1" t="s">
        <v>2921</v>
      </c>
      <c r="AJ503" s="6">
        <v>871.54000000000121</v>
      </c>
      <c r="AK503" s="6">
        <v>672.13</v>
      </c>
      <c r="AL503" s="1"/>
    </row>
    <row r="504" spans="1:38" hidden="1" x14ac:dyDescent="0.25">
      <c r="A504" s="2">
        <v>648</v>
      </c>
      <c r="B504" s="1" t="s">
        <v>614</v>
      </c>
      <c r="C504" s="1" t="s">
        <v>620</v>
      </c>
      <c r="D504" s="1" t="s">
        <v>2062</v>
      </c>
      <c r="E504" s="1" t="s">
        <v>2063</v>
      </c>
      <c r="F504" s="3">
        <v>45549</v>
      </c>
      <c r="G504" s="3">
        <v>45180</v>
      </c>
      <c r="H504" s="3">
        <v>45545</v>
      </c>
      <c r="I504" s="1" t="s">
        <v>2930</v>
      </c>
      <c r="J504" s="1" t="s">
        <v>2931</v>
      </c>
      <c r="K504" s="1"/>
      <c r="L504" s="1" t="s">
        <v>2932</v>
      </c>
      <c r="M504" s="1" t="s">
        <v>2933</v>
      </c>
      <c r="N504" s="1" t="s">
        <v>2934</v>
      </c>
      <c r="O504" s="1" t="s">
        <v>2935</v>
      </c>
      <c r="P504" s="1" t="s">
        <v>2434</v>
      </c>
      <c r="Q504" s="1"/>
      <c r="R504" s="1"/>
      <c r="S504" s="1" t="s">
        <v>2072</v>
      </c>
      <c r="T504" s="1" t="s">
        <v>2073</v>
      </c>
      <c r="U504" s="4">
        <v>3500000</v>
      </c>
      <c r="V504" s="4">
        <v>2501</v>
      </c>
      <c r="W504" s="4">
        <v>25</v>
      </c>
      <c r="X504" s="4">
        <v>375</v>
      </c>
      <c r="Y504" s="4">
        <v>0</v>
      </c>
      <c r="Z504" s="5">
        <v>2901</v>
      </c>
      <c r="AA504" s="5">
        <v>0</v>
      </c>
      <c r="AB504" s="6">
        <v>0</v>
      </c>
      <c r="AC504" s="4">
        <v>2901</v>
      </c>
      <c r="AD504" s="4">
        <v>0</v>
      </c>
      <c r="AE504" s="4">
        <v>2901</v>
      </c>
      <c r="AF504" s="1"/>
      <c r="AG504" s="1"/>
      <c r="AH504" s="1"/>
      <c r="AI504" s="1" t="s">
        <v>2921</v>
      </c>
      <c r="AJ504" s="6">
        <v>860.62000000000489</v>
      </c>
      <c r="AK504" s="6">
        <v>605.23</v>
      </c>
      <c r="AL504" s="1"/>
    </row>
    <row r="505" spans="1:38" hidden="1" x14ac:dyDescent="0.25">
      <c r="A505" s="2">
        <v>649</v>
      </c>
      <c r="B505" s="1" t="s">
        <v>614</v>
      </c>
      <c r="C505" s="1" t="s">
        <v>621</v>
      </c>
      <c r="D505" s="1" t="s">
        <v>2062</v>
      </c>
      <c r="E505" s="1" t="s">
        <v>2063</v>
      </c>
      <c r="F505" s="3">
        <v>45596</v>
      </c>
      <c r="G505" s="3">
        <v>45180</v>
      </c>
      <c r="H505" s="3">
        <v>45545</v>
      </c>
      <c r="I505" s="1" t="s">
        <v>2930</v>
      </c>
      <c r="J505" s="1" t="s">
        <v>2931</v>
      </c>
      <c r="K505" s="1"/>
      <c r="L505" s="1" t="s">
        <v>2932</v>
      </c>
      <c r="M505" s="1" t="s">
        <v>2933</v>
      </c>
      <c r="N505" s="1" t="s">
        <v>2934</v>
      </c>
      <c r="O505" s="1" t="s">
        <v>2935</v>
      </c>
      <c r="P505" s="1" t="s">
        <v>2434</v>
      </c>
      <c r="Q505" s="1"/>
      <c r="R505" s="1"/>
      <c r="S505" s="1" t="s">
        <v>2072</v>
      </c>
      <c r="T505" s="1" t="s">
        <v>2073</v>
      </c>
      <c r="U505" s="4">
        <v>-1</v>
      </c>
      <c r="V505" s="4">
        <v>-81058</v>
      </c>
      <c r="W505" s="4">
        <v>-811</v>
      </c>
      <c r="X505" s="4">
        <v>0</v>
      </c>
      <c r="Y505" s="4">
        <v>0</v>
      </c>
      <c r="Z505" s="5">
        <v>-81869</v>
      </c>
      <c r="AA505" s="5">
        <v>0</v>
      </c>
      <c r="AB505" s="6">
        <v>0</v>
      </c>
      <c r="AC505" s="4">
        <v>-81869</v>
      </c>
      <c r="AD505" s="4">
        <v>0</v>
      </c>
      <c r="AE505" s="4">
        <v>-81869</v>
      </c>
      <c r="AF505" s="1"/>
      <c r="AG505" s="1"/>
      <c r="AH505" s="1"/>
      <c r="AI505" s="1" t="s">
        <v>2921</v>
      </c>
      <c r="AJ505" s="1"/>
      <c r="AK505" s="1"/>
      <c r="AL505" s="1"/>
    </row>
    <row r="506" spans="1:38" x14ac:dyDescent="0.25">
      <c r="A506" s="2">
        <v>650</v>
      </c>
      <c r="B506" s="1" t="s">
        <v>622</v>
      </c>
      <c r="C506" s="1"/>
      <c r="D506" s="1" t="s">
        <v>2062</v>
      </c>
      <c r="E506" s="1" t="s">
        <v>2063</v>
      </c>
      <c r="F506" s="3">
        <v>45181</v>
      </c>
      <c r="G506" s="3">
        <v>45180</v>
      </c>
      <c r="H506" s="3">
        <v>45545</v>
      </c>
      <c r="I506" s="1" t="s">
        <v>2937</v>
      </c>
      <c r="J506" s="1" t="s">
        <v>2938</v>
      </c>
      <c r="K506" s="1"/>
      <c r="L506" s="1" t="s">
        <v>2939</v>
      </c>
      <c r="M506" s="1" t="s">
        <v>2940</v>
      </c>
      <c r="N506" s="1" t="s">
        <v>2941</v>
      </c>
      <c r="O506" s="1" t="s">
        <v>2942</v>
      </c>
      <c r="P506" s="1" t="s">
        <v>2070</v>
      </c>
      <c r="Q506" s="1"/>
      <c r="R506" s="1"/>
      <c r="S506" s="1" t="s">
        <v>2072</v>
      </c>
      <c r="T506" s="1" t="s">
        <v>2073</v>
      </c>
      <c r="U506" s="4">
        <v>15000000</v>
      </c>
      <c r="V506" s="4">
        <v>4343</v>
      </c>
      <c r="W506" s="4">
        <v>43</v>
      </c>
      <c r="X506" s="4">
        <v>564</v>
      </c>
      <c r="Y506" s="4">
        <v>50</v>
      </c>
      <c r="Z506" s="5">
        <v>5000</v>
      </c>
      <c r="AA506" s="5">
        <v>5400</v>
      </c>
      <c r="AB506" s="6">
        <v>0</v>
      </c>
      <c r="AC506" s="4">
        <v>-400</v>
      </c>
      <c r="AD506" s="4">
        <v>0</v>
      </c>
      <c r="AE506" s="4">
        <v>-400</v>
      </c>
      <c r="AF506" s="1"/>
      <c r="AG506" s="1"/>
      <c r="AH506" s="1"/>
      <c r="AI506" s="1" t="s">
        <v>2327</v>
      </c>
      <c r="AJ506" s="1"/>
      <c r="AK506" s="1"/>
      <c r="AL506" s="1" t="s">
        <v>2943</v>
      </c>
    </row>
    <row r="507" spans="1:38" hidden="1" x14ac:dyDescent="0.25">
      <c r="A507" s="2">
        <v>651</v>
      </c>
      <c r="B507" s="1" t="s">
        <v>622</v>
      </c>
      <c r="C507" s="1" t="s">
        <v>623</v>
      </c>
      <c r="D507" s="1" t="s">
        <v>2062</v>
      </c>
      <c r="E507" s="1" t="s">
        <v>2063</v>
      </c>
      <c r="F507" s="3">
        <v>45549</v>
      </c>
      <c r="G507" s="3">
        <v>45180</v>
      </c>
      <c r="H507" s="3">
        <v>45545</v>
      </c>
      <c r="I507" s="1" t="s">
        <v>2937</v>
      </c>
      <c r="J507" s="1" t="s">
        <v>2938</v>
      </c>
      <c r="K507" s="1"/>
      <c r="L507" s="1" t="s">
        <v>2939</v>
      </c>
      <c r="M507" s="1" t="s">
        <v>2940</v>
      </c>
      <c r="N507" s="1" t="s">
        <v>2941</v>
      </c>
      <c r="O507" s="1" t="s">
        <v>2942</v>
      </c>
      <c r="P507" s="1" t="s">
        <v>2070</v>
      </c>
      <c r="Q507" s="1"/>
      <c r="R507" s="1"/>
      <c r="S507" s="1" t="s">
        <v>2072</v>
      </c>
      <c r="T507" s="1" t="s">
        <v>2073</v>
      </c>
      <c r="U507" s="4">
        <v>15000000</v>
      </c>
      <c r="V507" s="4">
        <v>345</v>
      </c>
      <c r="W507" s="4">
        <v>3</v>
      </c>
      <c r="X507" s="4">
        <v>52</v>
      </c>
      <c r="Y507" s="4">
        <v>0</v>
      </c>
      <c r="Z507" s="5">
        <v>400</v>
      </c>
      <c r="AA507" s="5">
        <v>0</v>
      </c>
      <c r="AB507" s="6">
        <v>0</v>
      </c>
      <c r="AC507" s="4">
        <v>400</v>
      </c>
      <c r="AD507" s="4">
        <v>0</v>
      </c>
      <c r="AE507" s="4">
        <v>400</v>
      </c>
      <c r="AF507" s="1"/>
      <c r="AG507" s="1"/>
      <c r="AH507" s="1"/>
      <c r="AI507" s="1" t="s">
        <v>2327</v>
      </c>
      <c r="AJ507" s="6">
        <v>19.39</v>
      </c>
      <c r="AK507" s="6">
        <v>19.39</v>
      </c>
      <c r="AL507" s="1"/>
    </row>
    <row r="508" spans="1:38" hidden="1" x14ac:dyDescent="0.25">
      <c r="A508" s="2">
        <v>652</v>
      </c>
      <c r="B508" s="1" t="s">
        <v>624</v>
      </c>
      <c r="C508" s="1" t="s">
        <v>625</v>
      </c>
      <c r="D508" s="1" t="s">
        <v>2062</v>
      </c>
      <c r="E508" s="1" t="s">
        <v>2063</v>
      </c>
      <c r="F508" s="3">
        <v>45199</v>
      </c>
      <c r="G508" s="3">
        <v>45180</v>
      </c>
      <c r="H508" s="3">
        <v>45545</v>
      </c>
      <c r="I508" s="1" t="s">
        <v>2944</v>
      </c>
      <c r="J508" s="1" t="s">
        <v>2945</v>
      </c>
      <c r="K508" s="1"/>
      <c r="L508" s="1" t="s">
        <v>2322</v>
      </c>
      <c r="M508" s="1" t="s">
        <v>2946</v>
      </c>
      <c r="N508" s="1" t="s">
        <v>2947</v>
      </c>
      <c r="O508" s="1" t="s">
        <v>2948</v>
      </c>
      <c r="P508" s="1" t="s">
        <v>2182</v>
      </c>
      <c r="Q508" s="1"/>
      <c r="R508" s="1"/>
      <c r="S508" s="1" t="s">
        <v>2072</v>
      </c>
      <c r="T508" s="1" t="s">
        <v>2489</v>
      </c>
      <c r="U508" s="4">
        <v>2200000</v>
      </c>
      <c r="V508" s="4">
        <v>34209</v>
      </c>
      <c r="W508" s="4">
        <v>343</v>
      </c>
      <c r="X508" s="4">
        <v>4448</v>
      </c>
      <c r="Y508" s="4">
        <v>0</v>
      </c>
      <c r="Z508" s="5">
        <v>39000</v>
      </c>
      <c r="AA508" s="5">
        <v>0</v>
      </c>
      <c r="AB508" s="6">
        <v>0</v>
      </c>
      <c r="AC508" s="4">
        <v>39000</v>
      </c>
      <c r="AD508" s="4">
        <v>0</v>
      </c>
      <c r="AE508" s="4">
        <v>39000</v>
      </c>
      <c r="AF508" s="1"/>
      <c r="AG508" s="1"/>
      <c r="AH508" s="1"/>
      <c r="AI508" s="1" t="s">
        <v>2327</v>
      </c>
      <c r="AJ508" s="1"/>
      <c r="AK508" s="1"/>
      <c r="AL508" s="1"/>
    </row>
    <row r="509" spans="1:38" hidden="1" x14ac:dyDescent="0.25">
      <c r="A509" s="2">
        <v>653</v>
      </c>
      <c r="B509" s="1" t="s">
        <v>624</v>
      </c>
      <c r="C509" s="1" t="s">
        <v>626</v>
      </c>
      <c r="D509" s="1" t="s">
        <v>2062</v>
      </c>
      <c r="E509" s="1" t="s">
        <v>2063</v>
      </c>
      <c r="F509" s="3">
        <v>45554</v>
      </c>
      <c r="G509" s="3">
        <v>45180</v>
      </c>
      <c r="H509" s="3">
        <v>45545</v>
      </c>
      <c r="I509" s="1" t="s">
        <v>2944</v>
      </c>
      <c r="J509" s="1" t="s">
        <v>2945</v>
      </c>
      <c r="K509" s="1"/>
      <c r="L509" s="1" t="s">
        <v>2322</v>
      </c>
      <c r="M509" s="1" t="s">
        <v>2946</v>
      </c>
      <c r="N509" s="1" t="s">
        <v>2947</v>
      </c>
      <c r="O509" s="1" t="s">
        <v>2948</v>
      </c>
      <c r="P509" s="1" t="s">
        <v>2182</v>
      </c>
      <c r="Q509" s="1"/>
      <c r="R509" s="1"/>
      <c r="S509" s="1" t="s">
        <v>2072</v>
      </c>
      <c r="T509" s="1" t="s">
        <v>2489</v>
      </c>
      <c r="U509" s="4">
        <v>2200000</v>
      </c>
      <c r="V509" s="4">
        <v>301</v>
      </c>
      <c r="W509" s="4">
        <v>3</v>
      </c>
      <c r="X509" s="4">
        <v>45</v>
      </c>
      <c r="Y509" s="4">
        <v>0</v>
      </c>
      <c r="Z509" s="5">
        <v>349</v>
      </c>
      <c r="AA509" s="5">
        <v>0</v>
      </c>
      <c r="AB509" s="6">
        <v>0</v>
      </c>
      <c r="AC509" s="4">
        <v>349</v>
      </c>
      <c r="AD509" s="4">
        <v>0</v>
      </c>
      <c r="AE509" s="4">
        <v>349</v>
      </c>
      <c r="AF509" s="1"/>
      <c r="AG509" s="1"/>
      <c r="AH509" s="1"/>
      <c r="AI509" s="1" t="s">
        <v>2327</v>
      </c>
      <c r="AJ509" s="6">
        <v>173.63</v>
      </c>
      <c r="AK509" s="6">
        <v>145.4</v>
      </c>
      <c r="AL509" s="1"/>
    </row>
    <row r="510" spans="1:38" hidden="1" x14ac:dyDescent="0.25">
      <c r="A510" s="2">
        <v>654</v>
      </c>
      <c r="B510" s="1" t="s">
        <v>624</v>
      </c>
      <c r="C510" s="1" t="s">
        <v>627</v>
      </c>
      <c r="D510" s="1" t="s">
        <v>2062</v>
      </c>
      <c r="E510" s="1" t="s">
        <v>2063</v>
      </c>
      <c r="F510" s="3">
        <v>45596</v>
      </c>
      <c r="G510" s="3">
        <v>45180</v>
      </c>
      <c r="H510" s="3">
        <v>45545</v>
      </c>
      <c r="I510" s="1" t="s">
        <v>2944</v>
      </c>
      <c r="J510" s="1" t="s">
        <v>2945</v>
      </c>
      <c r="K510" s="1"/>
      <c r="L510" s="1" t="s">
        <v>2322</v>
      </c>
      <c r="M510" s="1" t="s">
        <v>2946</v>
      </c>
      <c r="N510" s="1" t="s">
        <v>2947</v>
      </c>
      <c r="O510" s="1" t="s">
        <v>2948</v>
      </c>
      <c r="P510" s="1" t="s">
        <v>2182</v>
      </c>
      <c r="Q510" s="1"/>
      <c r="R510" s="1"/>
      <c r="S510" s="1" t="s">
        <v>2072</v>
      </c>
      <c r="T510" s="1" t="s">
        <v>2489</v>
      </c>
      <c r="U510" s="4">
        <v>-1</v>
      </c>
      <c r="V510" s="4">
        <v>-38959</v>
      </c>
      <c r="W510" s="4">
        <v>-390</v>
      </c>
      <c r="X510" s="4">
        <v>0</v>
      </c>
      <c r="Y510" s="4">
        <v>0</v>
      </c>
      <c r="Z510" s="5">
        <v>-39349</v>
      </c>
      <c r="AA510" s="5">
        <v>0</v>
      </c>
      <c r="AB510" s="6">
        <v>0</v>
      </c>
      <c r="AC510" s="4">
        <v>-39349</v>
      </c>
      <c r="AD510" s="4">
        <v>0</v>
      </c>
      <c r="AE510" s="4">
        <v>-39349</v>
      </c>
      <c r="AF510" s="1"/>
      <c r="AG510" s="1"/>
      <c r="AH510" s="1"/>
      <c r="AI510" s="1" t="s">
        <v>2327</v>
      </c>
      <c r="AJ510" s="1"/>
      <c r="AK510" s="1"/>
      <c r="AL510" s="1"/>
    </row>
    <row r="511" spans="1:38" hidden="1" x14ac:dyDescent="0.25">
      <c r="A511" s="2">
        <v>655</v>
      </c>
      <c r="B511" s="1" t="s">
        <v>628</v>
      </c>
      <c r="C511" s="1" t="s">
        <v>629</v>
      </c>
      <c r="D511" s="1" t="s">
        <v>2062</v>
      </c>
      <c r="E511" s="1" t="s">
        <v>2063</v>
      </c>
      <c r="F511" s="3">
        <v>45199</v>
      </c>
      <c r="G511" s="3">
        <v>45181</v>
      </c>
      <c r="H511" s="3">
        <v>45546</v>
      </c>
      <c r="I511" s="1" t="s">
        <v>2949</v>
      </c>
      <c r="J511" s="1" t="s">
        <v>2950</v>
      </c>
      <c r="K511" s="1"/>
      <c r="L511" s="1" t="s">
        <v>2951</v>
      </c>
      <c r="M511" s="1" t="s">
        <v>2952</v>
      </c>
      <c r="N511" s="1" t="s">
        <v>2953</v>
      </c>
      <c r="O511" s="1" t="s">
        <v>2954</v>
      </c>
      <c r="P511" s="1" t="s">
        <v>2182</v>
      </c>
      <c r="Q511" s="1"/>
      <c r="R511" s="1"/>
      <c r="S511" s="1" t="s">
        <v>2072</v>
      </c>
      <c r="T511" s="1" t="s">
        <v>2073</v>
      </c>
      <c r="U511" s="4">
        <v>4000000</v>
      </c>
      <c r="V511" s="4">
        <v>65789</v>
      </c>
      <c r="W511" s="4">
        <v>658</v>
      </c>
      <c r="X511" s="4">
        <v>8553</v>
      </c>
      <c r="Y511" s="4">
        <v>0</v>
      </c>
      <c r="Z511" s="5">
        <v>75000</v>
      </c>
      <c r="AA511" s="5">
        <v>0</v>
      </c>
      <c r="AB511" s="6">
        <v>0</v>
      </c>
      <c r="AC511" s="4">
        <v>75000</v>
      </c>
      <c r="AD511" s="4">
        <v>0</v>
      </c>
      <c r="AE511" s="4">
        <v>75000</v>
      </c>
      <c r="AF511" s="1"/>
      <c r="AG511" s="1"/>
      <c r="AH511" s="1"/>
      <c r="AI511" s="1" t="s">
        <v>2327</v>
      </c>
      <c r="AJ511" s="1"/>
      <c r="AK511" s="1"/>
      <c r="AL511" s="1" t="s">
        <v>2955</v>
      </c>
    </row>
    <row r="512" spans="1:38" hidden="1" x14ac:dyDescent="0.25">
      <c r="A512" s="2">
        <v>656</v>
      </c>
      <c r="B512" s="1" t="s">
        <v>628</v>
      </c>
      <c r="C512" s="1" t="s">
        <v>630</v>
      </c>
      <c r="D512" s="1" t="s">
        <v>2062</v>
      </c>
      <c r="E512" s="1" t="s">
        <v>2063</v>
      </c>
      <c r="F512" s="3">
        <v>45396</v>
      </c>
      <c r="G512" s="3">
        <v>45181</v>
      </c>
      <c r="H512" s="3">
        <v>45546</v>
      </c>
      <c r="I512" s="1" t="s">
        <v>2949</v>
      </c>
      <c r="J512" s="1" t="s">
        <v>2950</v>
      </c>
      <c r="K512" s="1"/>
      <c r="L512" s="1" t="s">
        <v>2951</v>
      </c>
      <c r="M512" s="1" t="s">
        <v>2952</v>
      </c>
      <c r="N512" s="1" t="s">
        <v>2953</v>
      </c>
      <c r="O512" s="1" t="s">
        <v>2954</v>
      </c>
      <c r="P512" s="1" t="s">
        <v>2182</v>
      </c>
      <c r="Q512" s="1"/>
      <c r="R512" s="1"/>
      <c r="S512" s="1" t="s">
        <v>2072</v>
      </c>
      <c r="T512" s="1" t="s">
        <v>2073</v>
      </c>
      <c r="U512" s="4">
        <v>4000000</v>
      </c>
      <c r="V512" s="4">
        <v>3353</v>
      </c>
      <c r="W512" s="4">
        <v>34</v>
      </c>
      <c r="X512" s="4">
        <v>436</v>
      </c>
      <c r="Y512" s="4">
        <v>0</v>
      </c>
      <c r="Z512" s="5">
        <v>3823</v>
      </c>
      <c r="AA512" s="5">
        <v>0</v>
      </c>
      <c r="AB512" s="6">
        <v>0</v>
      </c>
      <c r="AC512" s="4">
        <v>3823</v>
      </c>
      <c r="AD512" s="4">
        <v>0</v>
      </c>
      <c r="AE512" s="4">
        <v>3823</v>
      </c>
      <c r="AF512" s="1"/>
      <c r="AG512" s="1"/>
      <c r="AH512" s="1"/>
      <c r="AI512" s="1" t="s">
        <v>2327</v>
      </c>
      <c r="AJ512" s="6">
        <v>1745.680000000026</v>
      </c>
      <c r="AK512" s="6">
        <v>696.89</v>
      </c>
      <c r="AL512" s="1"/>
    </row>
    <row r="513" spans="1:38" hidden="1" x14ac:dyDescent="0.25">
      <c r="A513" s="2">
        <v>657</v>
      </c>
      <c r="B513" s="1" t="s">
        <v>628</v>
      </c>
      <c r="C513" s="1" t="s">
        <v>631</v>
      </c>
      <c r="D513" s="1" t="s">
        <v>2062</v>
      </c>
      <c r="E513" s="1" t="s">
        <v>2063</v>
      </c>
      <c r="F513" s="3">
        <v>45455</v>
      </c>
      <c r="G513" s="3">
        <v>45181</v>
      </c>
      <c r="H513" s="3">
        <v>45546</v>
      </c>
      <c r="I513" s="1" t="s">
        <v>2949</v>
      </c>
      <c r="J513" s="1" t="s">
        <v>2950</v>
      </c>
      <c r="K513" s="1"/>
      <c r="L513" s="1" t="s">
        <v>2951</v>
      </c>
      <c r="M513" s="1" t="s">
        <v>2952</v>
      </c>
      <c r="N513" s="1" t="s">
        <v>2953</v>
      </c>
      <c r="O513" s="1" t="s">
        <v>2954</v>
      </c>
      <c r="P513" s="1" t="s">
        <v>2182</v>
      </c>
      <c r="Q513" s="1"/>
      <c r="R513" s="1"/>
      <c r="S513" s="1" t="s">
        <v>2072</v>
      </c>
      <c r="T513" s="1" t="s">
        <v>2073</v>
      </c>
      <c r="U513" s="4">
        <v>4000000</v>
      </c>
      <c r="V513" s="4">
        <v>3117</v>
      </c>
      <c r="W513" s="4">
        <v>31</v>
      </c>
      <c r="X513" s="4">
        <v>405</v>
      </c>
      <c r="Y513" s="4">
        <v>0</v>
      </c>
      <c r="Z513" s="5">
        <v>3553</v>
      </c>
      <c r="AA513" s="5">
        <v>0</v>
      </c>
      <c r="AB513" s="6">
        <v>0</v>
      </c>
      <c r="AC513" s="4">
        <v>3553</v>
      </c>
      <c r="AD513" s="4">
        <v>0</v>
      </c>
      <c r="AE513" s="4">
        <v>3553</v>
      </c>
      <c r="AF513" s="1"/>
      <c r="AG513" s="1"/>
      <c r="AH513" s="1"/>
      <c r="AI513" s="1" t="s">
        <v>2327</v>
      </c>
      <c r="AJ513" s="6">
        <v>1998.5700000000672</v>
      </c>
      <c r="AK513" s="6">
        <v>647.73</v>
      </c>
      <c r="AL513" s="1"/>
    </row>
    <row r="514" spans="1:38" hidden="1" x14ac:dyDescent="0.25">
      <c r="A514" s="2">
        <v>658</v>
      </c>
      <c r="B514" s="1" t="s">
        <v>628</v>
      </c>
      <c r="C514" s="1" t="s">
        <v>632</v>
      </c>
      <c r="D514" s="1" t="s">
        <v>2062</v>
      </c>
      <c r="E514" s="1" t="s">
        <v>2063</v>
      </c>
      <c r="F514" s="3">
        <v>45486</v>
      </c>
      <c r="G514" s="3">
        <v>45181</v>
      </c>
      <c r="H514" s="3">
        <v>45546</v>
      </c>
      <c r="I514" s="1" t="s">
        <v>2949</v>
      </c>
      <c r="J514" s="1" t="s">
        <v>2950</v>
      </c>
      <c r="K514" s="1"/>
      <c r="L514" s="1" t="s">
        <v>2951</v>
      </c>
      <c r="M514" s="1" t="s">
        <v>2952</v>
      </c>
      <c r="N514" s="1" t="s">
        <v>2953</v>
      </c>
      <c r="O514" s="1" t="s">
        <v>2954</v>
      </c>
      <c r="P514" s="1" t="s">
        <v>2182</v>
      </c>
      <c r="Q514" s="1"/>
      <c r="R514" s="1"/>
      <c r="S514" s="1" t="s">
        <v>2072</v>
      </c>
      <c r="T514" s="1" t="s">
        <v>2073</v>
      </c>
      <c r="U514" s="4">
        <v>4000000</v>
      </c>
      <c r="V514" s="4">
        <v>2554</v>
      </c>
      <c r="W514" s="4">
        <v>26</v>
      </c>
      <c r="X514" s="4">
        <v>383</v>
      </c>
      <c r="Y514" s="4">
        <v>0</v>
      </c>
      <c r="Z514" s="5">
        <v>2963</v>
      </c>
      <c r="AA514" s="5">
        <v>0</v>
      </c>
      <c r="AB514" s="6">
        <v>0</v>
      </c>
      <c r="AC514" s="4">
        <v>2963</v>
      </c>
      <c r="AD514" s="4">
        <v>0</v>
      </c>
      <c r="AE514" s="4">
        <v>2963</v>
      </c>
      <c r="AF514" s="1"/>
      <c r="AG514" s="1"/>
      <c r="AH514" s="1"/>
      <c r="AI514" s="1" t="s">
        <v>2327</v>
      </c>
      <c r="AJ514" s="6">
        <v>862.2800000000002</v>
      </c>
      <c r="AK514" s="6">
        <v>539.91999999999996</v>
      </c>
      <c r="AL514" s="1"/>
    </row>
    <row r="515" spans="1:38" hidden="1" x14ac:dyDescent="0.25">
      <c r="A515" s="2">
        <v>659</v>
      </c>
      <c r="B515" s="1" t="s">
        <v>628</v>
      </c>
      <c r="C515" s="1" t="s">
        <v>633</v>
      </c>
      <c r="D515" s="1" t="s">
        <v>2062</v>
      </c>
      <c r="E515" s="1" t="s">
        <v>2063</v>
      </c>
      <c r="F515" s="3">
        <v>45517</v>
      </c>
      <c r="G515" s="3">
        <v>45181</v>
      </c>
      <c r="H515" s="3">
        <v>45546</v>
      </c>
      <c r="I515" s="1" t="s">
        <v>2949</v>
      </c>
      <c r="J515" s="1" t="s">
        <v>2950</v>
      </c>
      <c r="K515" s="1"/>
      <c r="L515" s="1" t="s">
        <v>2951</v>
      </c>
      <c r="M515" s="1" t="s">
        <v>2952</v>
      </c>
      <c r="N515" s="1" t="s">
        <v>2953</v>
      </c>
      <c r="O515" s="1" t="s">
        <v>2954</v>
      </c>
      <c r="P515" s="1" t="s">
        <v>2182</v>
      </c>
      <c r="Q515" s="1"/>
      <c r="R515" s="1"/>
      <c r="S515" s="1" t="s">
        <v>2072</v>
      </c>
      <c r="T515" s="1" t="s">
        <v>2073</v>
      </c>
      <c r="U515" s="4">
        <v>4000000</v>
      </c>
      <c r="V515" s="4">
        <v>2736</v>
      </c>
      <c r="W515" s="4">
        <v>27</v>
      </c>
      <c r="X515" s="4">
        <v>410</v>
      </c>
      <c r="Y515" s="4">
        <v>0</v>
      </c>
      <c r="Z515" s="5">
        <v>3173</v>
      </c>
      <c r="AA515" s="5">
        <v>0</v>
      </c>
      <c r="AB515" s="6">
        <v>0</v>
      </c>
      <c r="AC515" s="4">
        <v>3173</v>
      </c>
      <c r="AD515" s="4">
        <v>0</v>
      </c>
      <c r="AE515" s="4">
        <v>3173</v>
      </c>
      <c r="AF515" s="1"/>
      <c r="AG515" s="1"/>
      <c r="AH515" s="1"/>
      <c r="AI515" s="1" t="s">
        <v>2327</v>
      </c>
      <c r="AJ515" s="6">
        <v>868.46999999999912</v>
      </c>
      <c r="AK515" s="6">
        <v>577.96</v>
      </c>
      <c r="AL515" s="1"/>
    </row>
    <row r="516" spans="1:38" hidden="1" x14ac:dyDescent="0.25">
      <c r="A516" s="2">
        <v>660</v>
      </c>
      <c r="B516" s="1" t="s">
        <v>628</v>
      </c>
      <c r="C516" s="1" t="s">
        <v>634</v>
      </c>
      <c r="D516" s="1" t="s">
        <v>2062</v>
      </c>
      <c r="E516" s="1" t="s">
        <v>2063</v>
      </c>
      <c r="F516" s="3">
        <v>45549</v>
      </c>
      <c r="G516" s="3">
        <v>45181</v>
      </c>
      <c r="H516" s="3">
        <v>45546</v>
      </c>
      <c r="I516" s="1" t="s">
        <v>2949</v>
      </c>
      <c r="J516" s="1" t="s">
        <v>2950</v>
      </c>
      <c r="K516" s="1"/>
      <c r="L516" s="1" t="s">
        <v>2951</v>
      </c>
      <c r="M516" s="1" t="s">
        <v>2952</v>
      </c>
      <c r="N516" s="1" t="s">
        <v>2953</v>
      </c>
      <c r="O516" s="1" t="s">
        <v>2954</v>
      </c>
      <c r="P516" s="1" t="s">
        <v>2182</v>
      </c>
      <c r="Q516" s="1"/>
      <c r="R516" s="1"/>
      <c r="S516" s="1" t="s">
        <v>2072</v>
      </c>
      <c r="T516" s="1" t="s">
        <v>2073</v>
      </c>
      <c r="U516" s="4">
        <v>4000000</v>
      </c>
      <c r="V516" s="4">
        <v>4959</v>
      </c>
      <c r="W516" s="4">
        <v>50</v>
      </c>
      <c r="X516" s="4">
        <v>744</v>
      </c>
      <c r="Y516" s="4">
        <v>0</v>
      </c>
      <c r="Z516" s="5">
        <v>5753</v>
      </c>
      <c r="AA516" s="5">
        <v>0</v>
      </c>
      <c r="AB516" s="6">
        <v>0</v>
      </c>
      <c r="AC516" s="4">
        <v>5753</v>
      </c>
      <c r="AD516" s="4">
        <v>0</v>
      </c>
      <c r="AE516" s="4">
        <v>5753</v>
      </c>
      <c r="AF516" s="1"/>
      <c r="AG516" s="1"/>
      <c r="AH516" s="1"/>
      <c r="AI516" s="1" t="s">
        <v>2327</v>
      </c>
      <c r="AJ516" s="6">
        <v>1501.309999999999</v>
      </c>
      <c r="AK516" s="6">
        <v>1048.4000000000001</v>
      </c>
      <c r="AL516" s="1"/>
    </row>
    <row r="517" spans="1:38" hidden="1" x14ac:dyDescent="0.25">
      <c r="A517" s="2">
        <v>661</v>
      </c>
      <c r="B517" s="1" t="s">
        <v>628</v>
      </c>
      <c r="C517" s="1" t="s">
        <v>635</v>
      </c>
      <c r="D517" s="1" t="s">
        <v>2062</v>
      </c>
      <c r="E517" s="1" t="s">
        <v>2063</v>
      </c>
      <c r="F517" s="3">
        <v>45655</v>
      </c>
      <c r="G517" s="3">
        <v>45181</v>
      </c>
      <c r="H517" s="3">
        <v>45546</v>
      </c>
      <c r="I517" s="1" t="s">
        <v>2949</v>
      </c>
      <c r="J517" s="1" t="s">
        <v>2950</v>
      </c>
      <c r="K517" s="1"/>
      <c r="L517" s="1" t="s">
        <v>2951</v>
      </c>
      <c r="M517" s="1" t="s">
        <v>2952</v>
      </c>
      <c r="N517" s="1" t="s">
        <v>2953</v>
      </c>
      <c r="O517" s="1" t="s">
        <v>2954</v>
      </c>
      <c r="P517" s="1" t="s">
        <v>2182</v>
      </c>
      <c r="Q517" s="1"/>
      <c r="R517" s="1"/>
      <c r="S517" s="1" t="s">
        <v>2072</v>
      </c>
      <c r="T517" s="1" t="s">
        <v>2073</v>
      </c>
      <c r="U517" s="4">
        <v>-1</v>
      </c>
      <c r="V517" s="4">
        <v>-93332</v>
      </c>
      <c r="W517" s="4">
        <v>-933</v>
      </c>
      <c r="X517" s="4">
        <v>0</v>
      </c>
      <c r="Y517" s="4">
        <v>0</v>
      </c>
      <c r="Z517" s="5">
        <v>-94265</v>
      </c>
      <c r="AA517" s="5">
        <v>0</v>
      </c>
      <c r="AB517" s="6">
        <v>0</v>
      </c>
      <c r="AC517" s="4">
        <v>-94265</v>
      </c>
      <c r="AD517" s="4">
        <v>0</v>
      </c>
      <c r="AE517" s="4">
        <v>-94265</v>
      </c>
      <c r="AF517" s="1"/>
      <c r="AG517" s="1"/>
      <c r="AH517" s="1"/>
      <c r="AI517" s="1" t="s">
        <v>2327</v>
      </c>
      <c r="AJ517" s="1"/>
      <c r="AK517" s="1"/>
      <c r="AL517" s="1"/>
    </row>
    <row r="518" spans="1:38" hidden="1" x14ac:dyDescent="0.25">
      <c r="A518" s="2">
        <v>662</v>
      </c>
      <c r="B518" s="1" t="s">
        <v>636</v>
      </c>
      <c r="C518" s="1" t="s">
        <v>637</v>
      </c>
      <c r="D518" s="1" t="s">
        <v>2062</v>
      </c>
      <c r="E518" s="1" t="s">
        <v>2063</v>
      </c>
      <c r="F518" s="3">
        <v>45199</v>
      </c>
      <c r="G518" s="3">
        <v>45184</v>
      </c>
      <c r="H518" s="3">
        <v>45549</v>
      </c>
      <c r="I518" s="1" t="s">
        <v>2956</v>
      </c>
      <c r="J518" s="1" t="s">
        <v>2957</v>
      </c>
      <c r="K518" s="1"/>
      <c r="L518" s="1" t="s">
        <v>2958</v>
      </c>
      <c r="M518" s="1" t="s">
        <v>2959</v>
      </c>
      <c r="N518" s="1" t="s">
        <v>2960</v>
      </c>
      <c r="O518" s="1" t="s">
        <v>2961</v>
      </c>
      <c r="P518" s="1" t="s">
        <v>2247</v>
      </c>
      <c r="Q518" s="1"/>
      <c r="R518" s="1"/>
      <c r="S518" s="1" t="s">
        <v>2072</v>
      </c>
      <c r="T518" s="1" t="s">
        <v>2073</v>
      </c>
      <c r="U518" s="4">
        <v>10000000</v>
      </c>
      <c r="V518" s="4">
        <v>171059</v>
      </c>
      <c r="W518" s="4">
        <v>1710</v>
      </c>
      <c r="X518" s="4">
        <v>22231</v>
      </c>
      <c r="Y518" s="4">
        <v>0</v>
      </c>
      <c r="Z518" s="5">
        <v>195000</v>
      </c>
      <c r="AA518" s="5">
        <v>0</v>
      </c>
      <c r="AB518" s="6">
        <v>0</v>
      </c>
      <c r="AC518" s="4">
        <v>195000</v>
      </c>
      <c r="AD518" s="4">
        <v>0</v>
      </c>
      <c r="AE518" s="4">
        <v>195000</v>
      </c>
      <c r="AF518" s="1"/>
      <c r="AG518" s="1"/>
      <c r="AH518" s="1"/>
      <c r="AI518" s="1" t="s">
        <v>2962</v>
      </c>
      <c r="AJ518" s="1"/>
      <c r="AK518" s="1"/>
      <c r="AL518" s="1"/>
    </row>
    <row r="519" spans="1:38" hidden="1" x14ac:dyDescent="0.25">
      <c r="A519" s="2">
        <v>663</v>
      </c>
      <c r="B519" s="1" t="s">
        <v>636</v>
      </c>
      <c r="C519" s="1" t="s">
        <v>638</v>
      </c>
      <c r="D519" s="1" t="s">
        <v>2062</v>
      </c>
      <c r="E519" s="1" t="s">
        <v>2063</v>
      </c>
      <c r="F519" s="3">
        <v>45246</v>
      </c>
      <c r="G519" s="3">
        <v>45184</v>
      </c>
      <c r="H519" s="3">
        <v>45549</v>
      </c>
      <c r="I519" s="1" t="s">
        <v>2956</v>
      </c>
      <c r="J519" s="1" t="s">
        <v>2957</v>
      </c>
      <c r="K519" s="1"/>
      <c r="L519" s="1" t="s">
        <v>2958</v>
      </c>
      <c r="M519" s="1" t="s">
        <v>2959</v>
      </c>
      <c r="N519" s="1" t="s">
        <v>2960</v>
      </c>
      <c r="O519" s="1" t="s">
        <v>2961</v>
      </c>
      <c r="P519" s="1" t="s">
        <v>2247</v>
      </c>
      <c r="Q519" s="1"/>
      <c r="R519" s="1"/>
      <c r="S519" s="1" t="s">
        <v>2072</v>
      </c>
      <c r="T519" s="1" t="s">
        <v>2073</v>
      </c>
      <c r="U519" s="4">
        <v>10000000</v>
      </c>
      <c r="V519" s="4">
        <v>400</v>
      </c>
      <c r="W519" s="4">
        <v>4</v>
      </c>
      <c r="X519" s="4">
        <v>52</v>
      </c>
      <c r="Y519" s="4">
        <v>0</v>
      </c>
      <c r="Z519" s="5">
        <v>456</v>
      </c>
      <c r="AA519" s="5">
        <v>450</v>
      </c>
      <c r="AB519" s="6">
        <v>0</v>
      </c>
      <c r="AC519" s="4">
        <v>6</v>
      </c>
      <c r="AD519" s="4">
        <v>0</v>
      </c>
      <c r="AE519" s="4">
        <v>6</v>
      </c>
      <c r="AF519" s="1"/>
      <c r="AG519" s="1"/>
      <c r="AH519" s="1"/>
      <c r="AI519" s="1" t="s">
        <v>2962</v>
      </c>
      <c r="AJ519" s="6">
        <v>33.339999999999968</v>
      </c>
      <c r="AK519" s="6">
        <v>33.339999999999968</v>
      </c>
      <c r="AL519" s="1"/>
    </row>
    <row r="520" spans="1:38" hidden="1" x14ac:dyDescent="0.25">
      <c r="A520" s="2">
        <v>664</v>
      </c>
      <c r="B520" s="1" t="s">
        <v>636</v>
      </c>
      <c r="C520" s="1" t="s">
        <v>639</v>
      </c>
      <c r="D520" s="1" t="s">
        <v>2062</v>
      </c>
      <c r="E520" s="1" t="s">
        <v>2063</v>
      </c>
      <c r="F520" s="3">
        <v>45492</v>
      </c>
      <c r="G520" s="3">
        <v>45184</v>
      </c>
      <c r="H520" s="3">
        <v>45549</v>
      </c>
      <c r="I520" s="1" t="s">
        <v>2956</v>
      </c>
      <c r="J520" s="1" t="s">
        <v>2957</v>
      </c>
      <c r="K520" s="1"/>
      <c r="L520" s="1" t="s">
        <v>2958</v>
      </c>
      <c r="M520" s="1" t="s">
        <v>2959</v>
      </c>
      <c r="N520" s="1" t="s">
        <v>2960</v>
      </c>
      <c r="O520" s="1" t="s">
        <v>2961</v>
      </c>
      <c r="P520" s="1" t="s">
        <v>2247</v>
      </c>
      <c r="Q520" s="1"/>
      <c r="R520" s="1"/>
      <c r="S520" s="1" t="s">
        <v>2072</v>
      </c>
      <c r="T520" s="1" t="s">
        <v>2073</v>
      </c>
      <c r="U520" s="4">
        <v>10000000</v>
      </c>
      <c r="V520" s="4">
        <v>476</v>
      </c>
      <c r="W520" s="4">
        <v>5</v>
      </c>
      <c r="X520" s="4">
        <v>71</v>
      </c>
      <c r="Y520" s="4">
        <v>0</v>
      </c>
      <c r="Z520" s="5">
        <v>552</v>
      </c>
      <c r="AA520" s="5">
        <v>0</v>
      </c>
      <c r="AB520" s="6">
        <v>0</v>
      </c>
      <c r="AC520" s="4">
        <v>552</v>
      </c>
      <c r="AD520" s="4">
        <v>0</v>
      </c>
      <c r="AE520" s="4">
        <v>552</v>
      </c>
      <c r="AF520" s="1"/>
      <c r="AG520" s="1"/>
      <c r="AH520" s="1"/>
      <c r="AI520" s="1" t="s">
        <v>2962</v>
      </c>
      <c r="AJ520" s="6">
        <v>40.300000000000004</v>
      </c>
      <c r="AK520" s="6">
        <v>40.300000000000004</v>
      </c>
      <c r="AL520" s="1"/>
    </row>
    <row r="521" spans="1:38" hidden="1" x14ac:dyDescent="0.25">
      <c r="A521" s="2">
        <v>665</v>
      </c>
      <c r="B521" s="1" t="s">
        <v>636</v>
      </c>
      <c r="C521" s="1" t="s">
        <v>640</v>
      </c>
      <c r="D521" s="1" t="s">
        <v>2062</v>
      </c>
      <c r="E521" s="1" t="s">
        <v>2063</v>
      </c>
      <c r="F521" s="3">
        <v>45520</v>
      </c>
      <c r="G521" s="3">
        <v>45184</v>
      </c>
      <c r="H521" s="3">
        <v>45549</v>
      </c>
      <c r="I521" s="1" t="s">
        <v>2956</v>
      </c>
      <c r="J521" s="1" t="s">
        <v>2957</v>
      </c>
      <c r="K521" s="1"/>
      <c r="L521" s="1" t="s">
        <v>2958</v>
      </c>
      <c r="M521" s="1" t="s">
        <v>2959</v>
      </c>
      <c r="N521" s="1" t="s">
        <v>2960</v>
      </c>
      <c r="O521" s="1" t="s">
        <v>2961</v>
      </c>
      <c r="P521" s="1" t="s">
        <v>2247</v>
      </c>
      <c r="Q521" s="1"/>
      <c r="R521" s="1"/>
      <c r="S521" s="1" t="s">
        <v>2072</v>
      </c>
      <c r="T521" s="1" t="s">
        <v>2073</v>
      </c>
      <c r="U521" s="4">
        <v>10000000</v>
      </c>
      <c r="V521" s="4">
        <v>724</v>
      </c>
      <c r="W521" s="4">
        <v>7</v>
      </c>
      <c r="X521" s="4">
        <v>109</v>
      </c>
      <c r="Y521" s="4">
        <v>0</v>
      </c>
      <c r="Z521" s="5">
        <v>840</v>
      </c>
      <c r="AA521" s="5">
        <v>0</v>
      </c>
      <c r="AB521" s="6">
        <v>0</v>
      </c>
      <c r="AC521" s="4">
        <v>840</v>
      </c>
      <c r="AD521" s="4">
        <v>0</v>
      </c>
      <c r="AE521" s="4">
        <v>840</v>
      </c>
      <c r="AF521" s="1"/>
      <c r="AG521" s="1"/>
      <c r="AH521" s="1"/>
      <c r="AI521" s="1" t="s">
        <v>2962</v>
      </c>
      <c r="AJ521" s="6">
        <v>61.379999999999903</v>
      </c>
      <c r="AK521" s="6">
        <v>61.379999999999903</v>
      </c>
      <c r="AL521" s="1"/>
    </row>
    <row r="522" spans="1:38" hidden="1" x14ac:dyDescent="0.25">
      <c r="A522" s="2">
        <v>666</v>
      </c>
      <c r="B522" s="1" t="s">
        <v>636</v>
      </c>
      <c r="C522" s="1" t="s">
        <v>641</v>
      </c>
      <c r="D522" s="1" t="s">
        <v>2062</v>
      </c>
      <c r="E522" s="1" t="s">
        <v>2063</v>
      </c>
      <c r="F522" s="3">
        <v>45555</v>
      </c>
      <c r="G522" s="3">
        <v>45184</v>
      </c>
      <c r="H522" s="3">
        <v>45549</v>
      </c>
      <c r="I522" s="1" t="s">
        <v>2956</v>
      </c>
      <c r="J522" s="1" t="s">
        <v>2957</v>
      </c>
      <c r="K522" s="1"/>
      <c r="L522" s="1" t="s">
        <v>2958</v>
      </c>
      <c r="M522" s="1" t="s">
        <v>2959</v>
      </c>
      <c r="N522" s="1" t="s">
        <v>2960</v>
      </c>
      <c r="O522" s="1" t="s">
        <v>2961</v>
      </c>
      <c r="P522" s="1" t="s">
        <v>2247</v>
      </c>
      <c r="Q522" s="1"/>
      <c r="R522" s="1"/>
      <c r="S522" s="1" t="s">
        <v>2072</v>
      </c>
      <c r="T522" s="1" t="s">
        <v>2073</v>
      </c>
      <c r="U522" s="4">
        <v>10000000</v>
      </c>
      <c r="V522" s="4">
        <v>1249</v>
      </c>
      <c r="W522" s="4">
        <v>12</v>
      </c>
      <c r="X522" s="4">
        <v>187</v>
      </c>
      <c r="Y522" s="4">
        <v>0</v>
      </c>
      <c r="Z522" s="5">
        <v>1448</v>
      </c>
      <c r="AA522" s="5">
        <v>0</v>
      </c>
      <c r="AB522" s="6">
        <v>0</v>
      </c>
      <c r="AC522" s="4">
        <v>1448</v>
      </c>
      <c r="AD522" s="4">
        <v>0</v>
      </c>
      <c r="AE522" s="4">
        <v>1448</v>
      </c>
      <c r="AF522" s="1"/>
      <c r="AG522" s="1"/>
      <c r="AH522" s="1"/>
      <c r="AI522" s="1" t="s">
        <v>2962</v>
      </c>
      <c r="AJ522" s="6">
        <v>105.58</v>
      </c>
      <c r="AK522" s="6">
        <v>105.58</v>
      </c>
      <c r="AL522" s="1"/>
    </row>
    <row r="523" spans="1:38" hidden="1" x14ac:dyDescent="0.25">
      <c r="A523" s="2">
        <v>667</v>
      </c>
      <c r="B523" s="1" t="s">
        <v>636</v>
      </c>
      <c r="C523" s="1" t="s">
        <v>642</v>
      </c>
      <c r="D523" s="1" t="s">
        <v>2062</v>
      </c>
      <c r="E523" s="1" t="s">
        <v>2063</v>
      </c>
      <c r="F523" s="3">
        <v>45596</v>
      </c>
      <c r="G523" s="3">
        <v>45184</v>
      </c>
      <c r="H523" s="3">
        <v>45549</v>
      </c>
      <c r="I523" s="1" t="s">
        <v>2956</v>
      </c>
      <c r="J523" s="1" t="s">
        <v>2957</v>
      </c>
      <c r="K523" s="1"/>
      <c r="L523" s="1" t="s">
        <v>2958</v>
      </c>
      <c r="M523" s="1" t="s">
        <v>2959</v>
      </c>
      <c r="N523" s="1" t="s">
        <v>2960</v>
      </c>
      <c r="O523" s="1" t="s">
        <v>2961</v>
      </c>
      <c r="P523" s="1" t="s">
        <v>2247</v>
      </c>
      <c r="Q523" s="1"/>
      <c r="R523" s="1"/>
      <c r="S523" s="1" t="s">
        <v>2072</v>
      </c>
      <c r="T523" s="1" t="s">
        <v>2073</v>
      </c>
      <c r="U523" s="4">
        <v>-1</v>
      </c>
      <c r="V523" s="4">
        <v>-195887</v>
      </c>
      <c r="W523" s="4">
        <v>-1959</v>
      </c>
      <c r="X523" s="4">
        <v>0</v>
      </c>
      <c r="Y523" s="4">
        <v>0</v>
      </c>
      <c r="Z523" s="5">
        <v>-197846</v>
      </c>
      <c r="AA523" s="5">
        <v>0</v>
      </c>
      <c r="AB523" s="6">
        <v>0</v>
      </c>
      <c r="AC523" s="4">
        <v>-197846</v>
      </c>
      <c r="AD523" s="4">
        <v>0</v>
      </c>
      <c r="AE523" s="4">
        <v>-197846</v>
      </c>
      <c r="AF523" s="1"/>
      <c r="AG523" s="1"/>
      <c r="AH523" s="1"/>
      <c r="AI523" s="1" t="s">
        <v>2962</v>
      </c>
      <c r="AJ523" s="1"/>
      <c r="AK523" s="1"/>
      <c r="AL523" s="1"/>
    </row>
    <row r="524" spans="1:38" hidden="1" x14ac:dyDescent="0.25">
      <c r="A524" s="2">
        <v>668</v>
      </c>
      <c r="B524" s="1" t="s">
        <v>643</v>
      </c>
      <c r="C524" s="1" t="s">
        <v>644</v>
      </c>
      <c r="D524" s="1" t="s">
        <v>2062</v>
      </c>
      <c r="E524" s="1" t="s">
        <v>2063</v>
      </c>
      <c r="F524" s="3">
        <v>45199</v>
      </c>
      <c r="G524" s="3">
        <v>45180</v>
      </c>
      <c r="H524" s="3">
        <v>45545</v>
      </c>
      <c r="I524" s="1" t="s">
        <v>2963</v>
      </c>
      <c r="J524" s="1" t="s">
        <v>2964</v>
      </c>
      <c r="K524" s="1"/>
      <c r="L524" s="1" t="s">
        <v>2283</v>
      </c>
      <c r="M524" s="1" t="s">
        <v>2535</v>
      </c>
      <c r="N524" s="1" t="s">
        <v>2536</v>
      </c>
      <c r="O524" s="1" t="s">
        <v>2537</v>
      </c>
      <c r="P524" s="1" t="s">
        <v>2081</v>
      </c>
      <c r="Q524" s="1"/>
      <c r="R524" s="1"/>
      <c r="S524" s="1" t="s">
        <v>2072</v>
      </c>
      <c r="T524" s="1" t="s">
        <v>2073</v>
      </c>
      <c r="U524" s="4">
        <v>3000000</v>
      </c>
      <c r="V524" s="4">
        <v>48245</v>
      </c>
      <c r="W524" s="4">
        <v>483</v>
      </c>
      <c r="X524" s="4">
        <v>6272</v>
      </c>
      <c r="Y524" s="4">
        <v>0</v>
      </c>
      <c r="Z524" s="5">
        <v>55000</v>
      </c>
      <c r="AA524" s="5">
        <v>0</v>
      </c>
      <c r="AB524" s="6">
        <v>0</v>
      </c>
      <c r="AC524" s="4">
        <v>55000</v>
      </c>
      <c r="AD524" s="4">
        <v>0</v>
      </c>
      <c r="AE524" s="4">
        <v>55000</v>
      </c>
      <c r="AF524" s="1"/>
      <c r="AG524" s="1"/>
      <c r="AH524" s="1"/>
      <c r="AI524" s="1" t="s">
        <v>2327</v>
      </c>
      <c r="AJ524" s="1"/>
      <c r="AK524" s="1"/>
      <c r="AL524" s="1"/>
    </row>
    <row r="525" spans="1:38" hidden="1" x14ac:dyDescent="0.25">
      <c r="A525" s="2">
        <v>669</v>
      </c>
      <c r="B525" s="1" t="s">
        <v>643</v>
      </c>
      <c r="C525" s="1" t="s">
        <v>645</v>
      </c>
      <c r="D525" s="1" t="s">
        <v>2062</v>
      </c>
      <c r="E525" s="1" t="s">
        <v>2063</v>
      </c>
      <c r="F525" s="3">
        <v>45302</v>
      </c>
      <c r="G525" s="3">
        <v>45180</v>
      </c>
      <c r="H525" s="3">
        <v>45545</v>
      </c>
      <c r="I525" s="1" t="s">
        <v>2963</v>
      </c>
      <c r="J525" s="1" t="s">
        <v>2964</v>
      </c>
      <c r="K525" s="1"/>
      <c r="L525" s="1" t="s">
        <v>2283</v>
      </c>
      <c r="M525" s="1" t="s">
        <v>2535</v>
      </c>
      <c r="N525" s="1" t="s">
        <v>2536</v>
      </c>
      <c r="O525" s="1" t="s">
        <v>2537</v>
      </c>
      <c r="P525" s="1" t="s">
        <v>2081</v>
      </c>
      <c r="Q525" s="1"/>
      <c r="R525" s="1"/>
      <c r="S525" s="1" t="s">
        <v>2072</v>
      </c>
      <c r="T525" s="1" t="s">
        <v>2073</v>
      </c>
      <c r="U525" s="4">
        <v>3000000</v>
      </c>
      <c r="V525" s="4">
        <v>1089</v>
      </c>
      <c r="W525" s="4">
        <v>11</v>
      </c>
      <c r="X525" s="4">
        <v>142</v>
      </c>
      <c r="Y525" s="4">
        <v>0</v>
      </c>
      <c r="Z525" s="5">
        <v>1242</v>
      </c>
      <c r="AA525" s="5">
        <v>1240</v>
      </c>
      <c r="AB525" s="6">
        <v>0</v>
      </c>
      <c r="AC525" s="4">
        <v>2</v>
      </c>
      <c r="AD525" s="4">
        <v>0</v>
      </c>
      <c r="AE525" s="4">
        <v>2</v>
      </c>
      <c r="AF525" s="1"/>
      <c r="AG525" s="1"/>
      <c r="AH525" s="1"/>
      <c r="AI525" s="1" t="s">
        <v>2327</v>
      </c>
      <c r="AJ525" s="6">
        <v>335.73</v>
      </c>
      <c r="AK525" s="6">
        <v>302.44000000000005</v>
      </c>
      <c r="AL525" s="1"/>
    </row>
    <row r="526" spans="1:38" hidden="1" x14ac:dyDescent="0.25">
      <c r="A526" s="2">
        <v>670</v>
      </c>
      <c r="B526" s="1" t="s">
        <v>643</v>
      </c>
      <c r="C526" s="1" t="s">
        <v>646</v>
      </c>
      <c r="D526" s="1" t="s">
        <v>2062</v>
      </c>
      <c r="E526" s="1" t="s">
        <v>2063</v>
      </c>
      <c r="F526" s="3">
        <v>45362</v>
      </c>
      <c r="G526" s="3">
        <v>45180</v>
      </c>
      <c r="H526" s="3">
        <v>45545</v>
      </c>
      <c r="I526" s="1" t="s">
        <v>2963</v>
      </c>
      <c r="J526" s="1" t="s">
        <v>2964</v>
      </c>
      <c r="K526" s="1"/>
      <c r="L526" s="1" t="s">
        <v>2283</v>
      </c>
      <c r="M526" s="1" t="s">
        <v>2535</v>
      </c>
      <c r="N526" s="1" t="s">
        <v>2536</v>
      </c>
      <c r="O526" s="1" t="s">
        <v>2537</v>
      </c>
      <c r="P526" s="1" t="s">
        <v>2081</v>
      </c>
      <c r="Q526" s="1"/>
      <c r="R526" s="1"/>
      <c r="S526" s="1" t="s">
        <v>2072</v>
      </c>
      <c r="T526" s="1" t="s">
        <v>2073</v>
      </c>
      <c r="U526" s="4">
        <v>3000000</v>
      </c>
      <c r="V526" s="4">
        <v>813</v>
      </c>
      <c r="W526" s="4">
        <v>8</v>
      </c>
      <c r="X526" s="4">
        <v>106</v>
      </c>
      <c r="Y526" s="4">
        <v>0</v>
      </c>
      <c r="Z526" s="5">
        <v>927</v>
      </c>
      <c r="AA526" s="5">
        <v>0</v>
      </c>
      <c r="AB526" s="6">
        <v>0</v>
      </c>
      <c r="AC526" s="4">
        <v>927</v>
      </c>
      <c r="AD526" s="4">
        <v>0</v>
      </c>
      <c r="AE526" s="4">
        <v>927</v>
      </c>
      <c r="AF526" s="1"/>
      <c r="AG526" s="1"/>
      <c r="AH526" s="1"/>
      <c r="AI526" s="1" t="s">
        <v>2327</v>
      </c>
      <c r="AJ526" s="6">
        <v>225.54000000000005</v>
      </c>
      <c r="AK526" s="6">
        <v>225.54000000000005</v>
      </c>
      <c r="AL526" s="1"/>
    </row>
    <row r="527" spans="1:38" hidden="1" x14ac:dyDescent="0.25">
      <c r="A527" s="2">
        <v>671</v>
      </c>
      <c r="B527" s="1" t="s">
        <v>643</v>
      </c>
      <c r="C527" s="1" t="s">
        <v>647</v>
      </c>
      <c r="D527" s="1" t="s">
        <v>2062</v>
      </c>
      <c r="E527" s="1" t="s">
        <v>2063</v>
      </c>
      <c r="F527" s="3">
        <v>45396</v>
      </c>
      <c r="G527" s="3">
        <v>45180</v>
      </c>
      <c r="H527" s="3">
        <v>45545</v>
      </c>
      <c r="I527" s="1" t="s">
        <v>2963</v>
      </c>
      <c r="J527" s="1" t="s">
        <v>2964</v>
      </c>
      <c r="K527" s="1"/>
      <c r="L527" s="1" t="s">
        <v>2283</v>
      </c>
      <c r="M527" s="1" t="s">
        <v>2535</v>
      </c>
      <c r="N527" s="1" t="s">
        <v>2536</v>
      </c>
      <c r="O527" s="1" t="s">
        <v>2537</v>
      </c>
      <c r="P527" s="1" t="s">
        <v>2081</v>
      </c>
      <c r="Q527" s="1"/>
      <c r="R527" s="1"/>
      <c r="S527" s="1" t="s">
        <v>2072</v>
      </c>
      <c r="T527" s="1" t="s">
        <v>2073</v>
      </c>
      <c r="U527" s="4">
        <v>3000000</v>
      </c>
      <c r="V527" s="4">
        <v>936</v>
      </c>
      <c r="W527" s="4">
        <v>9</v>
      </c>
      <c r="X527" s="4">
        <v>121</v>
      </c>
      <c r="Y527" s="4">
        <v>0</v>
      </c>
      <c r="Z527" s="5">
        <v>1066</v>
      </c>
      <c r="AA527" s="5">
        <v>0</v>
      </c>
      <c r="AB527" s="6">
        <v>0</v>
      </c>
      <c r="AC527" s="4">
        <v>1066</v>
      </c>
      <c r="AD527" s="4">
        <v>0</v>
      </c>
      <c r="AE527" s="4">
        <v>1066</v>
      </c>
      <c r="AF527" s="1"/>
      <c r="AG527" s="1"/>
      <c r="AH527" s="1"/>
      <c r="AI527" s="1" t="s">
        <v>2327</v>
      </c>
      <c r="AJ527" s="6">
        <v>312.27000000000004</v>
      </c>
      <c r="AK527" s="6">
        <v>259.35000000000002</v>
      </c>
      <c r="AL527" s="1"/>
    </row>
    <row r="528" spans="1:38" hidden="1" x14ac:dyDescent="0.25">
      <c r="A528" s="2">
        <v>672</v>
      </c>
      <c r="B528" s="1" t="s">
        <v>643</v>
      </c>
      <c r="C528" s="1" t="s">
        <v>648</v>
      </c>
      <c r="D528" s="1" t="s">
        <v>2062</v>
      </c>
      <c r="E528" s="1" t="s">
        <v>2063</v>
      </c>
      <c r="F528" s="3">
        <v>45425</v>
      </c>
      <c r="G528" s="3">
        <v>45180</v>
      </c>
      <c r="H528" s="3">
        <v>45545</v>
      </c>
      <c r="I528" s="1" t="s">
        <v>2963</v>
      </c>
      <c r="J528" s="1" t="s">
        <v>2964</v>
      </c>
      <c r="K528" s="1"/>
      <c r="L528" s="1" t="s">
        <v>2283</v>
      </c>
      <c r="M528" s="1" t="s">
        <v>2535</v>
      </c>
      <c r="N528" s="1" t="s">
        <v>2536</v>
      </c>
      <c r="O528" s="1" t="s">
        <v>2537</v>
      </c>
      <c r="P528" s="1" t="s">
        <v>2081</v>
      </c>
      <c r="Q528" s="1"/>
      <c r="R528" s="1"/>
      <c r="S528" s="1" t="s">
        <v>2072</v>
      </c>
      <c r="T528" s="1" t="s">
        <v>2073</v>
      </c>
      <c r="U528" s="4">
        <v>3000000</v>
      </c>
      <c r="V528" s="4">
        <v>1084</v>
      </c>
      <c r="W528" s="4">
        <v>11</v>
      </c>
      <c r="X528" s="4">
        <v>141</v>
      </c>
      <c r="Y528" s="4">
        <v>0</v>
      </c>
      <c r="Z528" s="5">
        <v>1236</v>
      </c>
      <c r="AA528" s="5">
        <v>0</v>
      </c>
      <c r="AB528" s="6">
        <v>0</v>
      </c>
      <c r="AC528" s="4">
        <v>1236</v>
      </c>
      <c r="AD528" s="4">
        <v>0</v>
      </c>
      <c r="AE528" s="4">
        <v>1236</v>
      </c>
      <c r="AF528" s="1"/>
      <c r="AG528" s="1"/>
      <c r="AH528" s="1"/>
      <c r="AI528" s="1" t="s">
        <v>2327</v>
      </c>
      <c r="AJ528" s="6">
        <v>356.15000000000111</v>
      </c>
      <c r="AK528" s="6">
        <v>300.7</v>
      </c>
      <c r="AL528" s="1"/>
    </row>
    <row r="529" spans="1:38" hidden="1" x14ac:dyDescent="0.25">
      <c r="A529" s="2">
        <v>673</v>
      </c>
      <c r="B529" s="1" t="s">
        <v>643</v>
      </c>
      <c r="C529" s="1" t="s">
        <v>649</v>
      </c>
      <c r="D529" s="1" t="s">
        <v>2062</v>
      </c>
      <c r="E529" s="1" t="s">
        <v>2063</v>
      </c>
      <c r="F529" s="3">
        <v>45454</v>
      </c>
      <c r="G529" s="3">
        <v>45180</v>
      </c>
      <c r="H529" s="3">
        <v>45545</v>
      </c>
      <c r="I529" s="1" t="s">
        <v>2963</v>
      </c>
      <c r="J529" s="1" t="s">
        <v>2964</v>
      </c>
      <c r="K529" s="1"/>
      <c r="L529" s="1" t="s">
        <v>2283</v>
      </c>
      <c r="M529" s="1" t="s">
        <v>2535</v>
      </c>
      <c r="N529" s="1" t="s">
        <v>2536</v>
      </c>
      <c r="O529" s="1" t="s">
        <v>2537</v>
      </c>
      <c r="P529" s="1" t="s">
        <v>2081</v>
      </c>
      <c r="Q529" s="1"/>
      <c r="R529" s="1"/>
      <c r="S529" s="1" t="s">
        <v>2072</v>
      </c>
      <c r="T529" s="1" t="s">
        <v>2073</v>
      </c>
      <c r="U529" s="4">
        <v>3000000</v>
      </c>
      <c r="V529" s="4">
        <v>1254</v>
      </c>
      <c r="W529" s="4">
        <v>13</v>
      </c>
      <c r="X529" s="4">
        <v>164</v>
      </c>
      <c r="Y529" s="4">
        <v>0</v>
      </c>
      <c r="Z529" s="5">
        <v>1431</v>
      </c>
      <c r="AA529" s="5">
        <v>0</v>
      </c>
      <c r="AB529" s="6">
        <v>0</v>
      </c>
      <c r="AC529" s="4">
        <v>1431</v>
      </c>
      <c r="AD529" s="4">
        <v>0</v>
      </c>
      <c r="AE529" s="4">
        <v>1431</v>
      </c>
      <c r="AF529" s="1"/>
      <c r="AG529" s="1"/>
      <c r="AH529" s="1"/>
      <c r="AI529" s="1" t="s">
        <v>2327</v>
      </c>
      <c r="AJ529" s="6">
        <v>398.99000000000007</v>
      </c>
      <c r="AK529" s="6">
        <v>347.95000000000005</v>
      </c>
      <c r="AL529" s="1"/>
    </row>
    <row r="530" spans="1:38" hidden="1" x14ac:dyDescent="0.25">
      <c r="A530" s="2">
        <v>674</v>
      </c>
      <c r="B530" s="1" t="s">
        <v>643</v>
      </c>
      <c r="C530" s="1" t="s">
        <v>650</v>
      </c>
      <c r="D530" s="1" t="s">
        <v>2062</v>
      </c>
      <c r="E530" s="1" t="s">
        <v>2063</v>
      </c>
      <c r="F530" s="3">
        <v>45486</v>
      </c>
      <c r="G530" s="3">
        <v>45180</v>
      </c>
      <c r="H530" s="3">
        <v>45545</v>
      </c>
      <c r="I530" s="1" t="s">
        <v>2963</v>
      </c>
      <c r="J530" s="1" t="s">
        <v>2964</v>
      </c>
      <c r="K530" s="1"/>
      <c r="L530" s="1" t="s">
        <v>2283</v>
      </c>
      <c r="M530" s="1" t="s">
        <v>2535</v>
      </c>
      <c r="N530" s="1" t="s">
        <v>2536</v>
      </c>
      <c r="O530" s="1" t="s">
        <v>2537</v>
      </c>
      <c r="P530" s="1" t="s">
        <v>2081</v>
      </c>
      <c r="Q530" s="1"/>
      <c r="R530" s="1"/>
      <c r="S530" s="1" t="s">
        <v>2072</v>
      </c>
      <c r="T530" s="1" t="s">
        <v>2073</v>
      </c>
      <c r="U530" s="4">
        <v>3000000</v>
      </c>
      <c r="V530" s="4">
        <v>1201</v>
      </c>
      <c r="W530" s="4">
        <v>12</v>
      </c>
      <c r="X530" s="4">
        <v>180</v>
      </c>
      <c r="Y530" s="4">
        <v>0</v>
      </c>
      <c r="Z530" s="5">
        <v>1393</v>
      </c>
      <c r="AA530" s="5">
        <v>0</v>
      </c>
      <c r="AB530" s="6">
        <v>0</v>
      </c>
      <c r="AC530" s="4">
        <v>1393</v>
      </c>
      <c r="AD530" s="4">
        <v>0</v>
      </c>
      <c r="AE530" s="4">
        <v>1393</v>
      </c>
      <c r="AF530" s="1"/>
      <c r="AG530" s="1"/>
      <c r="AH530" s="1"/>
      <c r="AI530" s="1" t="s">
        <v>2327</v>
      </c>
      <c r="AJ530" s="6">
        <v>344.12</v>
      </c>
      <c r="AK530" s="6">
        <v>338.96</v>
      </c>
      <c r="AL530" s="1"/>
    </row>
    <row r="531" spans="1:38" hidden="1" x14ac:dyDescent="0.25">
      <c r="A531" s="2">
        <v>675</v>
      </c>
      <c r="B531" s="1" t="s">
        <v>643</v>
      </c>
      <c r="C531" s="1" t="s">
        <v>651</v>
      </c>
      <c r="D531" s="1" t="s">
        <v>2062</v>
      </c>
      <c r="E531" s="1" t="s">
        <v>2063</v>
      </c>
      <c r="F531" s="3">
        <v>45517</v>
      </c>
      <c r="G531" s="3">
        <v>45180</v>
      </c>
      <c r="H531" s="3">
        <v>45545</v>
      </c>
      <c r="I531" s="1" t="s">
        <v>2963</v>
      </c>
      <c r="J531" s="1" t="s">
        <v>2964</v>
      </c>
      <c r="K531" s="1"/>
      <c r="L531" s="1" t="s">
        <v>2283</v>
      </c>
      <c r="M531" s="1" t="s">
        <v>2535</v>
      </c>
      <c r="N531" s="1" t="s">
        <v>2536</v>
      </c>
      <c r="O531" s="1" t="s">
        <v>2537</v>
      </c>
      <c r="P531" s="1" t="s">
        <v>2081</v>
      </c>
      <c r="Q531" s="1"/>
      <c r="R531" s="1"/>
      <c r="S531" s="1" t="s">
        <v>2072</v>
      </c>
      <c r="T531" s="1" t="s">
        <v>2073</v>
      </c>
      <c r="U531" s="4">
        <v>3000000</v>
      </c>
      <c r="V531" s="4">
        <v>1544</v>
      </c>
      <c r="W531" s="4">
        <v>15</v>
      </c>
      <c r="X531" s="4">
        <v>232</v>
      </c>
      <c r="Y531" s="4">
        <v>0</v>
      </c>
      <c r="Z531" s="5">
        <v>1791</v>
      </c>
      <c r="AA531" s="5">
        <v>0</v>
      </c>
      <c r="AB531" s="6">
        <v>0</v>
      </c>
      <c r="AC531" s="4">
        <v>1791</v>
      </c>
      <c r="AD531" s="4">
        <v>0</v>
      </c>
      <c r="AE531" s="4">
        <v>1791</v>
      </c>
      <c r="AF531" s="1"/>
      <c r="AG531" s="1"/>
      <c r="AH531" s="1"/>
      <c r="AI531" s="1" t="s">
        <v>2327</v>
      </c>
      <c r="AJ531" s="6">
        <v>504.73000000000104</v>
      </c>
      <c r="AK531" s="6">
        <v>436.1400000000001</v>
      </c>
      <c r="AL531" s="1"/>
    </row>
    <row r="532" spans="1:38" hidden="1" x14ac:dyDescent="0.25">
      <c r="A532" s="2">
        <v>676</v>
      </c>
      <c r="B532" s="1" t="s">
        <v>643</v>
      </c>
      <c r="C532" s="1" t="s">
        <v>652</v>
      </c>
      <c r="D532" s="1" t="s">
        <v>2062</v>
      </c>
      <c r="E532" s="1" t="s">
        <v>2063</v>
      </c>
      <c r="F532" s="3">
        <v>45549</v>
      </c>
      <c r="G532" s="3">
        <v>45180</v>
      </c>
      <c r="H532" s="3">
        <v>45545</v>
      </c>
      <c r="I532" s="1" t="s">
        <v>2963</v>
      </c>
      <c r="J532" s="1" t="s">
        <v>2964</v>
      </c>
      <c r="K532" s="1"/>
      <c r="L532" s="1" t="s">
        <v>2283</v>
      </c>
      <c r="M532" s="1" t="s">
        <v>2535</v>
      </c>
      <c r="N532" s="1" t="s">
        <v>2536</v>
      </c>
      <c r="O532" s="1" t="s">
        <v>2537</v>
      </c>
      <c r="P532" s="1" t="s">
        <v>2081</v>
      </c>
      <c r="Q532" s="1"/>
      <c r="R532" s="1"/>
      <c r="S532" s="1" t="s">
        <v>2072</v>
      </c>
      <c r="T532" s="1" t="s">
        <v>2073</v>
      </c>
      <c r="U532" s="4">
        <v>3000000</v>
      </c>
      <c r="V532" s="4">
        <v>563</v>
      </c>
      <c r="W532" s="4">
        <v>6</v>
      </c>
      <c r="X532" s="4">
        <v>84</v>
      </c>
      <c r="Y532" s="4">
        <v>0</v>
      </c>
      <c r="Z532" s="5">
        <v>653</v>
      </c>
      <c r="AA532" s="5">
        <v>0</v>
      </c>
      <c r="AB532" s="6">
        <v>0</v>
      </c>
      <c r="AC532" s="4">
        <v>653</v>
      </c>
      <c r="AD532" s="4">
        <v>0</v>
      </c>
      <c r="AE532" s="4">
        <v>653</v>
      </c>
      <c r="AF532" s="1"/>
      <c r="AG532" s="1"/>
      <c r="AH532" s="1"/>
      <c r="AI532" s="1" t="s">
        <v>2327</v>
      </c>
      <c r="AJ532" s="6">
        <v>158.97</v>
      </c>
      <c r="AK532" s="6">
        <v>158.97</v>
      </c>
      <c r="AL532" s="1"/>
    </row>
    <row r="533" spans="1:38" hidden="1" x14ac:dyDescent="0.25">
      <c r="A533" s="2">
        <v>677</v>
      </c>
      <c r="B533" s="1" t="s">
        <v>643</v>
      </c>
      <c r="C533" s="1" t="s">
        <v>653</v>
      </c>
      <c r="D533" s="1" t="s">
        <v>2062</v>
      </c>
      <c r="E533" s="1" t="s">
        <v>2063</v>
      </c>
      <c r="F533" s="3">
        <v>45596</v>
      </c>
      <c r="G533" s="3">
        <v>45180</v>
      </c>
      <c r="H533" s="3">
        <v>45545</v>
      </c>
      <c r="I533" s="1" t="s">
        <v>2963</v>
      </c>
      <c r="J533" s="1" t="s">
        <v>2964</v>
      </c>
      <c r="K533" s="1"/>
      <c r="L533" s="1" t="s">
        <v>2283</v>
      </c>
      <c r="M533" s="1" t="s">
        <v>2535</v>
      </c>
      <c r="N533" s="1" t="s">
        <v>2536</v>
      </c>
      <c r="O533" s="1" t="s">
        <v>2537</v>
      </c>
      <c r="P533" s="1" t="s">
        <v>2081</v>
      </c>
      <c r="Q533" s="1"/>
      <c r="R533" s="1"/>
      <c r="S533" s="1" t="s">
        <v>2072</v>
      </c>
      <c r="T533" s="1" t="s">
        <v>2073</v>
      </c>
      <c r="U533" s="4">
        <v>-1</v>
      </c>
      <c r="V533" s="4">
        <v>-62870</v>
      </c>
      <c r="W533" s="4">
        <v>-629</v>
      </c>
      <c r="X533" s="4">
        <v>0</v>
      </c>
      <c r="Y533" s="4">
        <v>0</v>
      </c>
      <c r="Z533" s="5">
        <v>-63499</v>
      </c>
      <c r="AA533" s="5">
        <v>0</v>
      </c>
      <c r="AB533" s="6">
        <v>0</v>
      </c>
      <c r="AC533" s="4">
        <v>-63499</v>
      </c>
      <c r="AD533" s="4">
        <v>0</v>
      </c>
      <c r="AE533" s="4">
        <v>-63499</v>
      </c>
      <c r="AF533" s="1"/>
      <c r="AG533" s="1"/>
      <c r="AH533" s="1"/>
      <c r="AI533" s="1" t="s">
        <v>2327</v>
      </c>
      <c r="AJ533" s="1"/>
      <c r="AK533" s="1"/>
      <c r="AL533" s="1"/>
    </row>
    <row r="534" spans="1:38" hidden="1" x14ac:dyDescent="0.25">
      <c r="A534" s="2">
        <v>678</v>
      </c>
      <c r="B534" s="1" t="s">
        <v>654</v>
      </c>
      <c r="C534" s="1" t="s">
        <v>655</v>
      </c>
      <c r="D534" s="1" t="s">
        <v>2062</v>
      </c>
      <c r="E534" s="1" t="s">
        <v>2063</v>
      </c>
      <c r="F534" s="3">
        <v>45199</v>
      </c>
      <c r="G534" s="3">
        <v>45184</v>
      </c>
      <c r="H534" s="3">
        <v>45549</v>
      </c>
      <c r="I534" s="1" t="s">
        <v>2965</v>
      </c>
      <c r="J534" s="1" t="s">
        <v>2966</v>
      </c>
      <c r="K534" s="1"/>
      <c r="L534" s="1" t="s">
        <v>2443</v>
      </c>
      <c r="M534" s="1" t="s">
        <v>2967</v>
      </c>
      <c r="N534" s="1" t="s">
        <v>2968</v>
      </c>
      <c r="O534" s="1" t="s">
        <v>2969</v>
      </c>
      <c r="P534" s="1" t="s">
        <v>2182</v>
      </c>
      <c r="Q534" s="1"/>
      <c r="R534" s="1"/>
      <c r="S534" s="1" t="s">
        <v>2072</v>
      </c>
      <c r="T534" s="1" t="s">
        <v>2489</v>
      </c>
      <c r="U534" s="4">
        <v>4000000</v>
      </c>
      <c r="V534" s="4">
        <v>65789</v>
      </c>
      <c r="W534" s="4">
        <v>658</v>
      </c>
      <c r="X534" s="4">
        <v>8553</v>
      </c>
      <c r="Y534" s="4">
        <v>0</v>
      </c>
      <c r="Z534" s="5">
        <v>75000</v>
      </c>
      <c r="AA534" s="5">
        <v>0</v>
      </c>
      <c r="AB534" s="6">
        <v>0</v>
      </c>
      <c r="AC534" s="4">
        <v>75000</v>
      </c>
      <c r="AD534" s="4">
        <v>0</v>
      </c>
      <c r="AE534" s="4">
        <v>75000</v>
      </c>
      <c r="AF534" s="1"/>
      <c r="AG534" s="1"/>
      <c r="AH534" s="1"/>
      <c r="AI534" s="1" t="s">
        <v>2970</v>
      </c>
      <c r="AJ534" s="1"/>
      <c r="AK534" s="1"/>
      <c r="AL534" s="1"/>
    </row>
    <row r="535" spans="1:38" hidden="1" x14ac:dyDescent="0.25">
      <c r="A535" s="2">
        <v>679</v>
      </c>
      <c r="B535" s="1" t="s">
        <v>654</v>
      </c>
      <c r="C535" s="1" t="s">
        <v>656</v>
      </c>
      <c r="D535" s="1" t="s">
        <v>2062</v>
      </c>
      <c r="E535" s="1" t="s">
        <v>2063</v>
      </c>
      <c r="F535" s="3">
        <v>45366</v>
      </c>
      <c r="G535" s="3">
        <v>45184</v>
      </c>
      <c r="H535" s="3">
        <v>45549</v>
      </c>
      <c r="I535" s="1" t="s">
        <v>2965</v>
      </c>
      <c r="J535" s="1" t="s">
        <v>2966</v>
      </c>
      <c r="K535" s="1"/>
      <c r="L535" s="1" t="s">
        <v>2443</v>
      </c>
      <c r="M535" s="1" t="s">
        <v>2967</v>
      </c>
      <c r="N535" s="1" t="s">
        <v>2968</v>
      </c>
      <c r="O535" s="1" t="s">
        <v>2969</v>
      </c>
      <c r="P535" s="1" t="s">
        <v>2182</v>
      </c>
      <c r="Q535" s="1"/>
      <c r="R535" s="1"/>
      <c r="S535" s="1" t="s">
        <v>2072</v>
      </c>
      <c r="T535" s="1" t="s">
        <v>2489</v>
      </c>
      <c r="U535" s="4">
        <v>4000000</v>
      </c>
      <c r="V535" s="4">
        <v>228</v>
      </c>
      <c r="W535" s="4">
        <v>3</v>
      </c>
      <c r="X535" s="4">
        <v>30</v>
      </c>
      <c r="Y535" s="4">
        <v>0</v>
      </c>
      <c r="Z535" s="5">
        <v>261</v>
      </c>
      <c r="AA535" s="5">
        <v>0</v>
      </c>
      <c r="AB535" s="6">
        <v>0</v>
      </c>
      <c r="AC535" s="4">
        <v>261</v>
      </c>
      <c r="AD535" s="4">
        <v>0</v>
      </c>
      <c r="AE535" s="4">
        <v>261</v>
      </c>
      <c r="AF535" s="1"/>
      <c r="AG535" s="1"/>
      <c r="AH535" s="1"/>
      <c r="AI535" s="1" t="s">
        <v>2970</v>
      </c>
      <c r="AJ535" s="6">
        <v>47.67</v>
      </c>
      <c r="AK535" s="6">
        <v>47.67</v>
      </c>
      <c r="AL535" s="1"/>
    </row>
    <row r="536" spans="1:38" hidden="1" x14ac:dyDescent="0.25">
      <c r="A536" s="2">
        <v>680</v>
      </c>
      <c r="B536" s="1" t="s">
        <v>654</v>
      </c>
      <c r="C536" s="1" t="s">
        <v>657</v>
      </c>
      <c r="D536" s="1" t="s">
        <v>2062</v>
      </c>
      <c r="E536" s="1" t="s">
        <v>2063</v>
      </c>
      <c r="F536" s="3">
        <v>45397</v>
      </c>
      <c r="G536" s="3">
        <v>45184</v>
      </c>
      <c r="H536" s="3">
        <v>45549</v>
      </c>
      <c r="I536" s="1" t="s">
        <v>2965</v>
      </c>
      <c r="J536" s="1" t="s">
        <v>2966</v>
      </c>
      <c r="K536" s="1"/>
      <c r="L536" s="1" t="s">
        <v>2443</v>
      </c>
      <c r="M536" s="1" t="s">
        <v>2967</v>
      </c>
      <c r="N536" s="1" t="s">
        <v>2968</v>
      </c>
      <c r="O536" s="1" t="s">
        <v>2969</v>
      </c>
      <c r="P536" s="1" t="s">
        <v>2182</v>
      </c>
      <c r="Q536" s="1"/>
      <c r="R536" s="1"/>
      <c r="S536" s="1" t="s">
        <v>2072</v>
      </c>
      <c r="T536" s="1" t="s">
        <v>2489</v>
      </c>
      <c r="U536" s="4">
        <v>4000000</v>
      </c>
      <c r="V536" s="4">
        <v>2527</v>
      </c>
      <c r="W536" s="4">
        <v>25</v>
      </c>
      <c r="X536" s="4">
        <v>329</v>
      </c>
      <c r="Y536" s="4">
        <v>0</v>
      </c>
      <c r="Z536" s="5">
        <v>2881</v>
      </c>
      <c r="AA536" s="5">
        <v>0</v>
      </c>
      <c r="AB536" s="6">
        <v>0</v>
      </c>
      <c r="AC536" s="4">
        <v>2881</v>
      </c>
      <c r="AD536" s="4">
        <v>0</v>
      </c>
      <c r="AE536" s="4">
        <v>2881</v>
      </c>
      <c r="AF536" s="1"/>
      <c r="AG536" s="1"/>
      <c r="AH536" s="1"/>
      <c r="AI536" s="1" t="s">
        <v>2970</v>
      </c>
      <c r="AJ536" s="6">
        <v>542.4</v>
      </c>
      <c r="AK536" s="6">
        <v>525.46</v>
      </c>
      <c r="AL536" s="1"/>
    </row>
    <row r="537" spans="1:38" hidden="1" x14ac:dyDescent="0.25">
      <c r="A537" s="2">
        <v>681</v>
      </c>
      <c r="B537" s="1" t="s">
        <v>654</v>
      </c>
      <c r="C537" s="1" t="s">
        <v>658</v>
      </c>
      <c r="D537" s="1" t="s">
        <v>2062</v>
      </c>
      <c r="E537" s="1" t="s">
        <v>2063</v>
      </c>
      <c r="F537" s="3">
        <v>45428</v>
      </c>
      <c r="G537" s="3">
        <v>45184</v>
      </c>
      <c r="H537" s="3">
        <v>45549</v>
      </c>
      <c r="I537" s="1" t="s">
        <v>2965</v>
      </c>
      <c r="J537" s="1" t="s">
        <v>2966</v>
      </c>
      <c r="K537" s="1"/>
      <c r="L537" s="1" t="s">
        <v>2443</v>
      </c>
      <c r="M537" s="1" t="s">
        <v>2967</v>
      </c>
      <c r="N537" s="1" t="s">
        <v>2968</v>
      </c>
      <c r="O537" s="1" t="s">
        <v>2969</v>
      </c>
      <c r="P537" s="1" t="s">
        <v>2182</v>
      </c>
      <c r="Q537" s="1"/>
      <c r="R537" s="1"/>
      <c r="S537" s="1" t="s">
        <v>2072</v>
      </c>
      <c r="T537" s="1" t="s">
        <v>2489</v>
      </c>
      <c r="U537" s="4">
        <v>4000000</v>
      </c>
      <c r="V537" s="4">
        <v>4124</v>
      </c>
      <c r="W537" s="4">
        <v>41</v>
      </c>
      <c r="X537" s="4">
        <v>536</v>
      </c>
      <c r="Y537" s="4">
        <v>0</v>
      </c>
      <c r="Z537" s="5">
        <v>4701</v>
      </c>
      <c r="AA537" s="5">
        <v>0</v>
      </c>
      <c r="AB537" s="6">
        <v>0</v>
      </c>
      <c r="AC537" s="4">
        <v>4701</v>
      </c>
      <c r="AD537" s="4">
        <v>0</v>
      </c>
      <c r="AE537" s="4">
        <v>4701</v>
      </c>
      <c r="AF537" s="1"/>
      <c r="AG537" s="1"/>
      <c r="AH537" s="1"/>
      <c r="AI537" s="1" t="s">
        <v>2970</v>
      </c>
      <c r="AJ537" s="6">
        <v>1021.48</v>
      </c>
      <c r="AK537" s="6">
        <v>857.24</v>
      </c>
      <c r="AL537" s="1"/>
    </row>
    <row r="538" spans="1:38" hidden="1" x14ac:dyDescent="0.25">
      <c r="A538" s="2">
        <v>682</v>
      </c>
      <c r="B538" s="1" t="s">
        <v>654</v>
      </c>
      <c r="C538" s="1" t="s">
        <v>659</v>
      </c>
      <c r="D538" s="1" t="s">
        <v>2062</v>
      </c>
      <c r="E538" s="1" t="s">
        <v>2063</v>
      </c>
      <c r="F538" s="3">
        <v>45463</v>
      </c>
      <c r="G538" s="3">
        <v>45184</v>
      </c>
      <c r="H538" s="3">
        <v>45549</v>
      </c>
      <c r="I538" s="1" t="s">
        <v>2965</v>
      </c>
      <c r="J538" s="1" t="s">
        <v>2966</v>
      </c>
      <c r="K538" s="1"/>
      <c r="L538" s="1" t="s">
        <v>2443</v>
      </c>
      <c r="M538" s="1" t="s">
        <v>2967</v>
      </c>
      <c r="N538" s="1" t="s">
        <v>2968</v>
      </c>
      <c r="O538" s="1" t="s">
        <v>2969</v>
      </c>
      <c r="P538" s="1" t="s">
        <v>2182</v>
      </c>
      <c r="Q538" s="1"/>
      <c r="R538" s="1"/>
      <c r="S538" s="1" t="s">
        <v>2072</v>
      </c>
      <c r="T538" s="1" t="s">
        <v>2489</v>
      </c>
      <c r="U538" s="4">
        <v>4000000</v>
      </c>
      <c r="V538" s="4">
        <v>4214</v>
      </c>
      <c r="W538" s="4">
        <v>42</v>
      </c>
      <c r="X538" s="4">
        <v>548</v>
      </c>
      <c r="Y538" s="4">
        <v>0</v>
      </c>
      <c r="Z538" s="5">
        <v>4804</v>
      </c>
      <c r="AA538" s="5">
        <v>0</v>
      </c>
      <c r="AB538" s="6">
        <v>0</v>
      </c>
      <c r="AC538" s="4">
        <v>4804</v>
      </c>
      <c r="AD538" s="4">
        <v>0</v>
      </c>
      <c r="AE538" s="4">
        <v>4804</v>
      </c>
      <c r="AF538" s="1"/>
      <c r="AG538" s="1"/>
      <c r="AH538" s="1"/>
      <c r="AI538" s="1" t="s">
        <v>2970</v>
      </c>
      <c r="AJ538" s="6">
        <v>987.54000000000019</v>
      </c>
      <c r="AK538" s="6">
        <v>876.48</v>
      </c>
      <c r="AL538" s="1"/>
    </row>
    <row r="539" spans="1:38" hidden="1" x14ac:dyDescent="0.25">
      <c r="A539" s="2">
        <v>683</v>
      </c>
      <c r="B539" s="1" t="s">
        <v>654</v>
      </c>
      <c r="C539" s="1" t="s">
        <v>660</v>
      </c>
      <c r="D539" s="1" t="s">
        <v>2062</v>
      </c>
      <c r="E539" s="1" t="s">
        <v>2063</v>
      </c>
      <c r="F539" s="3">
        <v>45521</v>
      </c>
      <c r="G539" s="3">
        <v>45184</v>
      </c>
      <c r="H539" s="3">
        <v>45549</v>
      </c>
      <c r="I539" s="1" t="s">
        <v>2965</v>
      </c>
      <c r="J539" s="1" t="s">
        <v>2966</v>
      </c>
      <c r="K539" s="1"/>
      <c r="L539" s="1" t="s">
        <v>2443</v>
      </c>
      <c r="M539" s="1" t="s">
        <v>2967</v>
      </c>
      <c r="N539" s="1" t="s">
        <v>2968</v>
      </c>
      <c r="O539" s="1" t="s">
        <v>2969</v>
      </c>
      <c r="P539" s="1" t="s">
        <v>2182</v>
      </c>
      <c r="Q539" s="1"/>
      <c r="R539" s="1"/>
      <c r="S539" s="1" t="s">
        <v>2072</v>
      </c>
      <c r="T539" s="1" t="s">
        <v>2489</v>
      </c>
      <c r="U539" s="4">
        <v>4000000</v>
      </c>
      <c r="V539" s="4">
        <v>2311</v>
      </c>
      <c r="W539" s="4">
        <v>23</v>
      </c>
      <c r="X539" s="4">
        <v>347</v>
      </c>
      <c r="Y539" s="4">
        <v>0</v>
      </c>
      <c r="Z539" s="5">
        <v>2681</v>
      </c>
      <c r="AA539" s="5">
        <v>0</v>
      </c>
      <c r="AB539" s="6">
        <v>0</v>
      </c>
      <c r="AC539" s="4">
        <v>2681</v>
      </c>
      <c r="AD539" s="4">
        <v>0</v>
      </c>
      <c r="AE539" s="4">
        <v>2681</v>
      </c>
      <c r="AF539" s="1"/>
      <c r="AG539" s="1"/>
      <c r="AH539" s="1"/>
      <c r="AI539" s="1" t="s">
        <v>2970</v>
      </c>
      <c r="AJ539" s="6">
        <v>515.34</v>
      </c>
      <c r="AK539" s="6">
        <v>489.01</v>
      </c>
      <c r="AL539" s="1"/>
    </row>
    <row r="540" spans="1:38" hidden="1" x14ac:dyDescent="0.25">
      <c r="A540" s="2">
        <v>684</v>
      </c>
      <c r="B540" s="1" t="s">
        <v>654</v>
      </c>
      <c r="C540" s="1" t="s">
        <v>661</v>
      </c>
      <c r="D540" s="1" t="s">
        <v>2062</v>
      </c>
      <c r="E540" s="1" t="s">
        <v>2063</v>
      </c>
      <c r="F540" s="3">
        <v>45555</v>
      </c>
      <c r="G540" s="3">
        <v>45184</v>
      </c>
      <c r="H540" s="3">
        <v>45549</v>
      </c>
      <c r="I540" s="1" t="s">
        <v>2965</v>
      </c>
      <c r="J540" s="1" t="s">
        <v>2966</v>
      </c>
      <c r="K540" s="1"/>
      <c r="L540" s="1" t="s">
        <v>2443</v>
      </c>
      <c r="M540" s="1" t="s">
        <v>2967</v>
      </c>
      <c r="N540" s="1" t="s">
        <v>2968</v>
      </c>
      <c r="O540" s="1" t="s">
        <v>2969</v>
      </c>
      <c r="P540" s="1" t="s">
        <v>2182</v>
      </c>
      <c r="Q540" s="1"/>
      <c r="R540" s="1"/>
      <c r="S540" s="1" t="s">
        <v>2072</v>
      </c>
      <c r="T540" s="1" t="s">
        <v>2489</v>
      </c>
      <c r="U540" s="4">
        <v>4000000</v>
      </c>
      <c r="V540" s="4">
        <v>3216</v>
      </c>
      <c r="W540" s="4">
        <v>32</v>
      </c>
      <c r="X540" s="4">
        <v>482</v>
      </c>
      <c r="Y540" s="4">
        <v>0</v>
      </c>
      <c r="Z540" s="5">
        <v>3730</v>
      </c>
      <c r="AA540" s="5">
        <v>0</v>
      </c>
      <c r="AB540" s="6">
        <v>0</v>
      </c>
      <c r="AC540" s="4">
        <v>3730</v>
      </c>
      <c r="AD540" s="4">
        <v>0</v>
      </c>
      <c r="AE540" s="4">
        <v>3730</v>
      </c>
      <c r="AF540" s="1"/>
      <c r="AG540" s="1"/>
      <c r="AH540" s="1"/>
      <c r="AI540" s="1" t="s">
        <v>2970</v>
      </c>
      <c r="AJ540" s="6">
        <v>696.44</v>
      </c>
      <c r="AK540" s="6">
        <v>681.41</v>
      </c>
      <c r="AL540" s="1"/>
    </row>
    <row r="541" spans="1:38" hidden="1" x14ac:dyDescent="0.25">
      <c r="A541" s="2">
        <v>685</v>
      </c>
      <c r="B541" s="1" t="s">
        <v>654</v>
      </c>
      <c r="C541" s="1" t="s">
        <v>662</v>
      </c>
      <c r="D541" s="1" t="s">
        <v>2062</v>
      </c>
      <c r="E541" s="1" t="s">
        <v>2063</v>
      </c>
      <c r="F541" s="3">
        <v>45596</v>
      </c>
      <c r="G541" s="3">
        <v>45184</v>
      </c>
      <c r="H541" s="3">
        <v>45549</v>
      </c>
      <c r="I541" s="1" t="s">
        <v>2965</v>
      </c>
      <c r="J541" s="1" t="s">
        <v>2966</v>
      </c>
      <c r="K541" s="1"/>
      <c r="L541" s="1" t="s">
        <v>2443</v>
      </c>
      <c r="M541" s="1" t="s">
        <v>2967</v>
      </c>
      <c r="N541" s="1" t="s">
        <v>2968</v>
      </c>
      <c r="O541" s="1" t="s">
        <v>2969</v>
      </c>
      <c r="P541" s="1" t="s">
        <v>2182</v>
      </c>
      <c r="Q541" s="1"/>
      <c r="R541" s="1"/>
      <c r="S541" s="1" t="s">
        <v>2072</v>
      </c>
      <c r="T541" s="1" t="s">
        <v>2489</v>
      </c>
      <c r="U541" s="4">
        <v>-1</v>
      </c>
      <c r="V541" s="4">
        <v>-93127</v>
      </c>
      <c r="W541" s="4">
        <v>-931</v>
      </c>
      <c r="X541" s="4">
        <v>0</v>
      </c>
      <c r="Y541" s="4">
        <v>0</v>
      </c>
      <c r="Z541" s="5">
        <v>-94058</v>
      </c>
      <c r="AA541" s="5">
        <v>0</v>
      </c>
      <c r="AB541" s="6">
        <v>0</v>
      </c>
      <c r="AC541" s="4">
        <v>-94058</v>
      </c>
      <c r="AD541" s="4">
        <v>0</v>
      </c>
      <c r="AE541" s="4">
        <v>-94058</v>
      </c>
      <c r="AF541" s="1"/>
      <c r="AG541" s="1"/>
      <c r="AH541" s="1"/>
      <c r="AI541" s="1" t="s">
        <v>2970</v>
      </c>
      <c r="AJ541" s="1"/>
      <c r="AK541" s="1"/>
      <c r="AL541" s="1"/>
    </row>
    <row r="542" spans="1:38" hidden="1" x14ac:dyDescent="0.25">
      <c r="A542" s="2">
        <v>686</v>
      </c>
      <c r="B542" s="1" t="s">
        <v>663</v>
      </c>
      <c r="C542" s="1" t="s">
        <v>664</v>
      </c>
      <c r="D542" s="1" t="s">
        <v>2062</v>
      </c>
      <c r="E542" s="1" t="s">
        <v>2063</v>
      </c>
      <c r="F542" s="3">
        <v>45199</v>
      </c>
      <c r="G542" s="3">
        <v>45185</v>
      </c>
      <c r="H542" s="3">
        <v>45550</v>
      </c>
      <c r="I542" s="1" t="s">
        <v>2971</v>
      </c>
      <c r="J542" s="1" t="s">
        <v>2972</v>
      </c>
      <c r="K542" s="1"/>
      <c r="L542" s="1" t="s">
        <v>2570</v>
      </c>
      <c r="M542" s="1" t="s">
        <v>2973</v>
      </c>
      <c r="N542" s="1" t="s">
        <v>2974</v>
      </c>
      <c r="O542" s="1" t="s">
        <v>2975</v>
      </c>
      <c r="P542" s="1" t="s">
        <v>2182</v>
      </c>
      <c r="Q542" s="1"/>
      <c r="R542" s="1"/>
      <c r="S542" s="1" t="s">
        <v>2072</v>
      </c>
      <c r="T542" s="1" t="s">
        <v>2489</v>
      </c>
      <c r="U542" s="4">
        <v>9000000</v>
      </c>
      <c r="V542" s="4">
        <v>153507</v>
      </c>
      <c r="W542" s="4">
        <v>1536</v>
      </c>
      <c r="X542" s="4">
        <v>19957</v>
      </c>
      <c r="Y542" s="4">
        <v>0</v>
      </c>
      <c r="Z542" s="5">
        <v>175000</v>
      </c>
      <c r="AA542" s="5">
        <v>0</v>
      </c>
      <c r="AB542" s="6">
        <v>0</v>
      </c>
      <c r="AC542" s="4">
        <v>175000</v>
      </c>
      <c r="AD542" s="4">
        <v>0</v>
      </c>
      <c r="AE542" s="4">
        <v>175000</v>
      </c>
      <c r="AF542" s="1"/>
      <c r="AG542" s="1"/>
      <c r="AH542" s="1"/>
      <c r="AI542" s="1" t="s">
        <v>2327</v>
      </c>
      <c r="AJ542" s="1"/>
      <c r="AK542" s="1"/>
      <c r="AL542" s="1" t="s">
        <v>2976</v>
      </c>
    </row>
    <row r="543" spans="1:38" hidden="1" x14ac:dyDescent="0.25">
      <c r="A543" s="2">
        <v>687</v>
      </c>
      <c r="B543" s="1" t="s">
        <v>663</v>
      </c>
      <c r="C543" s="1" t="s">
        <v>665</v>
      </c>
      <c r="D543" s="1" t="s">
        <v>2062</v>
      </c>
      <c r="E543" s="1" t="s">
        <v>2063</v>
      </c>
      <c r="F543" s="3">
        <v>45307</v>
      </c>
      <c r="G543" s="3">
        <v>45185</v>
      </c>
      <c r="H543" s="3">
        <v>45550</v>
      </c>
      <c r="I543" s="1" t="s">
        <v>2971</v>
      </c>
      <c r="J543" s="1" t="s">
        <v>2972</v>
      </c>
      <c r="K543" s="1"/>
      <c r="L543" s="1" t="s">
        <v>2570</v>
      </c>
      <c r="M543" s="1" t="s">
        <v>2973</v>
      </c>
      <c r="N543" s="1" t="s">
        <v>2974</v>
      </c>
      <c r="O543" s="1" t="s">
        <v>2975</v>
      </c>
      <c r="P543" s="1" t="s">
        <v>2182</v>
      </c>
      <c r="Q543" s="1"/>
      <c r="R543" s="1"/>
      <c r="S543" s="1" t="s">
        <v>2072</v>
      </c>
      <c r="T543" s="1" t="s">
        <v>2489</v>
      </c>
      <c r="U543" s="4">
        <v>9000000</v>
      </c>
      <c r="V543" s="4">
        <v>1673</v>
      </c>
      <c r="W543" s="4">
        <v>17</v>
      </c>
      <c r="X543" s="4">
        <v>218</v>
      </c>
      <c r="Y543" s="4">
        <v>0</v>
      </c>
      <c r="Z543" s="5">
        <v>1908</v>
      </c>
      <c r="AA543" s="5">
        <v>3816</v>
      </c>
      <c r="AB543" s="6">
        <v>0</v>
      </c>
      <c r="AC543" s="4">
        <v>-1908</v>
      </c>
      <c r="AD543" s="4">
        <v>0</v>
      </c>
      <c r="AE543" s="4">
        <v>-1908</v>
      </c>
      <c r="AF543" s="1"/>
      <c r="AG543" s="1"/>
      <c r="AH543" s="1"/>
      <c r="AI543" s="1" t="s">
        <v>2327</v>
      </c>
      <c r="AJ543" s="6">
        <v>271.81000000000006</v>
      </c>
      <c r="AK543" s="6">
        <v>193.5</v>
      </c>
      <c r="AL543" s="1"/>
    </row>
    <row r="544" spans="1:38" hidden="1" x14ac:dyDescent="0.25">
      <c r="A544" s="2">
        <v>688</v>
      </c>
      <c r="B544" s="1" t="s">
        <v>663</v>
      </c>
      <c r="C544" s="1" t="s">
        <v>666</v>
      </c>
      <c r="D544" s="1" t="s">
        <v>2062</v>
      </c>
      <c r="E544" s="1" t="s">
        <v>2063</v>
      </c>
      <c r="F544" s="3">
        <v>45463</v>
      </c>
      <c r="G544" s="3">
        <v>45185</v>
      </c>
      <c r="H544" s="3">
        <v>45550</v>
      </c>
      <c r="I544" s="1" t="s">
        <v>2971</v>
      </c>
      <c r="J544" s="1" t="s">
        <v>2972</v>
      </c>
      <c r="K544" s="1"/>
      <c r="L544" s="1" t="s">
        <v>2570</v>
      </c>
      <c r="M544" s="1" t="s">
        <v>2973</v>
      </c>
      <c r="N544" s="1" t="s">
        <v>2974</v>
      </c>
      <c r="O544" s="1" t="s">
        <v>2975</v>
      </c>
      <c r="P544" s="1" t="s">
        <v>2182</v>
      </c>
      <c r="Q544" s="1"/>
      <c r="R544" s="1"/>
      <c r="S544" s="1" t="s">
        <v>2072</v>
      </c>
      <c r="T544" s="1" t="s">
        <v>2489</v>
      </c>
      <c r="U544" s="4">
        <v>9000000</v>
      </c>
      <c r="V544" s="4">
        <v>910</v>
      </c>
      <c r="W544" s="4">
        <v>9</v>
      </c>
      <c r="X544" s="4">
        <v>119</v>
      </c>
      <c r="Y544" s="4">
        <v>0</v>
      </c>
      <c r="Z544" s="5">
        <v>1038</v>
      </c>
      <c r="AA544" s="5">
        <v>0</v>
      </c>
      <c r="AB544" s="6">
        <v>0</v>
      </c>
      <c r="AC544" s="4">
        <v>1038</v>
      </c>
      <c r="AD544" s="4">
        <v>0</v>
      </c>
      <c r="AE544" s="4">
        <v>1038</v>
      </c>
      <c r="AF544" s="1"/>
      <c r="AG544" s="1"/>
      <c r="AH544" s="1"/>
      <c r="AI544" s="1" t="s">
        <v>2327</v>
      </c>
      <c r="AJ544" s="6">
        <v>105.27</v>
      </c>
      <c r="AK544" s="6">
        <v>105.27</v>
      </c>
      <c r="AL544" s="1"/>
    </row>
    <row r="545" spans="1:38" hidden="1" x14ac:dyDescent="0.25">
      <c r="A545" s="2">
        <v>689</v>
      </c>
      <c r="B545" s="1" t="s">
        <v>663</v>
      </c>
      <c r="C545" s="1" t="s">
        <v>667</v>
      </c>
      <c r="D545" s="1" t="s">
        <v>2062</v>
      </c>
      <c r="E545" s="1" t="s">
        <v>2063</v>
      </c>
      <c r="F545" s="3">
        <v>45492</v>
      </c>
      <c r="G545" s="3">
        <v>45185</v>
      </c>
      <c r="H545" s="3">
        <v>45550</v>
      </c>
      <c r="I545" s="1" t="s">
        <v>2971</v>
      </c>
      <c r="J545" s="1" t="s">
        <v>2972</v>
      </c>
      <c r="K545" s="1"/>
      <c r="L545" s="1" t="s">
        <v>2570</v>
      </c>
      <c r="M545" s="1" t="s">
        <v>2973</v>
      </c>
      <c r="N545" s="1" t="s">
        <v>2974</v>
      </c>
      <c r="O545" s="1" t="s">
        <v>2975</v>
      </c>
      <c r="P545" s="1" t="s">
        <v>2182</v>
      </c>
      <c r="Q545" s="1"/>
      <c r="R545" s="1"/>
      <c r="S545" s="1" t="s">
        <v>2072</v>
      </c>
      <c r="T545" s="1" t="s">
        <v>2489</v>
      </c>
      <c r="U545" s="4">
        <v>9000000</v>
      </c>
      <c r="V545" s="4">
        <v>705</v>
      </c>
      <c r="W545" s="4">
        <v>7</v>
      </c>
      <c r="X545" s="4">
        <v>106</v>
      </c>
      <c r="Y545" s="4">
        <v>0</v>
      </c>
      <c r="Z545" s="5">
        <v>818</v>
      </c>
      <c r="AA545" s="5">
        <v>0</v>
      </c>
      <c r="AB545" s="6">
        <v>0</v>
      </c>
      <c r="AC545" s="4">
        <v>818</v>
      </c>
      <c r="AD545" s="4">
        <v>0</v>
      </c>
      <c r="AE545" s="4">
        <v>818</v>
      </c>
      <c r="AF545" s="1"/>
      <c r="AG545" s="1"/>
      <c r="AH545" s="1"/>
      <c r="AI545" s="1" t="s">
        <v>2327</v>
      </c>
      <c r="AJ545" s="6">
        <v>82.99</v>
      </c>
      <c r="AK545" s="6">
        <v>82.99</v>
      </c>
      <c r="AL545" s="1"/>
    </row>
    <row r="546" spans="1:38" hidden="1" x14ac:dyDescent="0.25">
      <c r="A546" s="2">
        <v>690</v>
      </c>
      <c r="B546" s="1" t="s">
        <v>663</v>
      </c>
      <c r="C546" s="1" t="s">
        <v>668</v>
      </c>
      <c r="D546" s="1" t="s">
        <v>2062</v>
      </c>
      <c r="E546" s="1" t="s">
        <v>2063</v>
      </c>
      <c r="F546" s="3">
        <v>45524</v>
      </c>
      <c r="G546" s="3">
        <v>45185</v>
      </c>
      <c r="H546" s="3">
        <v>45550</v>
      </c>
      <c r="I546" s="1" t="s">
        <v>2971</v>
      </c>
      <c r="J546" s="1" t="s">
        <v>2972</v>
      </c>
      <c r="K546" s="1"/>
      <c r="L546" s="1" t="s">
        <v>2570</v>
      </c>
      <c r="M546" s="1" t="s">
        <v>2973</v>
      </c>
      <c r="N546" s="1" t="s">
        <v>2974</v>
      </c>
      <c r="O546" s="1" t="s">
        <v>2975</v>
      </c>
      <c r="P546" s="1" t="s">
        <v>2182</v>
      </c>
      <c r="Q546" s="1"/>
      <c r="R546" s="1"/>
      <c r="S546" s="1" t="s">
        <v>2072</v>
      </c>
      <c r="T546" s="1" t="s">
        <v>2489</v>
      </c>
      <c r="U546" s="4">
        <v>9000000</v>
      </c>
      <c r="V546" s="4">
        <v>373</v>
      </c>
      <c r="W546" s="4">
        <v>4</v>
      </c>
      <c r="X546" s="4">
        <v>56</v>
      </c>
      <c r="Y546" s="4">
        <v>0</v>
      </c>
      <c r="Z546" s="5">
        <v>433</v>
      </c>
      <c r="AA546" s="5">
        <v>0</v>
      </c>
      <c r="AB546" s="6">
        <v>0</v>
      </c>
      <c r="AC546" s="4">
        <v>433</v>
      </c>
      <c r="AD546" s="4">
        <v>0</v>
      </c>
      <c r="AE546" s="4">
        <v>433</v>
      </c>
      <c r="AF546" s="1"/>
      <c r="AG546" s="1"/>
      <c r="AH546" s="1"/>
      <c r="AI546" s="1" t="s">
        <v>2327</v>
      </c>
      <c r="AJ546" s="6">
        <v>43.8900000000001</v>
      </c>
      <c r="AK546" s="6">
        <v>43.8900000000001</v>
      </c>
      <c r="AL546" s="1"/>
    </row>
    <row r="547" spans="1:38" hidden="1" x14ac:dyDescent="0.25">
      <c r="A547" s="2">
        <v>691</v>
      </c>
      <c r="B547" s="1" t="s">
        <v>663</v>
      </c>
      <c r="C547" s="1" t="s">
        <v>669</v>
      </c>
      <c r="D547" s="1" t="s">
        <v>2062</v>
      </c>
      <c r="E547" s="1" t="s">
        <v>2063</v>
      </c>
      <c r="F547" s="3">
        <v>45555</v>
      </c>
      <c r="G547" s="3">
        <v>45185</v>
      </c>
      <c r="H547" s="3">
        <v>45550</v>
      </c>
      <c r="I547" s="1" t="s">
        <v>2971</v>
      </c>
      <c r="J547" s="1" t="s">
        <v>2972</v>
      </c>
      <c r="K547" s="1"/>
      <c r="L547" s="1" t="s">
        <v>2570</v>
      </c>
      <c r="M547" s="1" t="s">
        <v>2973</v>
      </c>
      <c r="N547" s="1" t="s">
        <v>2974</v>
      </c>
      <c r="O547" s="1" t="s">
        <v>2975</v>
      </c>
      <c r="P547" s="1" t="s">
        <v>2182</v>
      </c>
      <c r="Q547" s="1"/>
      <c r="R547" s="1"/>
      <c r="S547" s="1" t="s">
        <v>2072</v>
      </c>
      <c r="T547" s="1" t="s">
        <v>2489</v>
      </c>
      <c r="U547" s="4">
        <v>9000000</v>
      </c>
      <c r="V547" s="4">
        <v>1316</v>
      </c>
      <c r="W547" s="4">
        <v>13</v>
      </c>
      <c r="X547" s="4">
        <v>197</v>
      </c>
      <c r="Y547" s="4">
        <v>0</v>
      </c>
      <c r="Z547" s="5">
        <v>1526</v>
      </c>
      <c r="AA547" s="5">
        <v>0</v>
      </c>
      <c r="AB547" s="6">
        <v>0</v>
      </c>
      <c r="AC547" s="4">
        <v>1526</v>
      </c>
      <c r="AD547" s="4">
        <v>0</v>
      </c>
      <c r="AE547" s="4">
        <v>1526</v>
      </c>
      <c r="AF547" s="1"/>
      <c r="AG547" s="1"/>
      <c r="AH547" s="1"/>
      <c r="AI547" s="1" t="s">
        <v>2327</v>
      </c>
      <c r="AJ547" s="6">
        <v>249.39</v>
      </c>
      <c r="AK547" s="6">
        <v>154.79000000000002</v>
      </c>
      <c r="AL547" s="1"/>
    </row>
    <row r="548" spans="1:38" hidden="1" x14ac:dyDescent="0.25">
      <c r="A548" s="2">
        <v>692</v>
      </c>
      <c r="B548" s="1" t="s">
        <v>663</v>
      </c>
      <c r="C548" s="1" t="s">
        <v>670</v>
      </c>
      <c r="D548" s="1" t="s">
        <v>2062</v>
      </c>
      <c r="E548" s="1" t="s">
        <v>2063</v>
      </c>
      <c r="F548" s="3">
        <v>45596</v>
      </c>
      <c r="G548" s="3">
        <v>45185</v>
      </c>
      <c r="H548" s="3">
        <v>45550</v>
      </c>
      <c r="I548" s="1" t="s">
        <v>2971</v>
      </c>
      <c r="J548" s="1" t="s">
        <v>2972</v>
      </c>
      <c r="K548" s="1"/>
      <c r="L548" s="1" t="s">
        <v>2570</v>
      </c>
      <c r="M548" s="1" t="s">
        <v>2973</v>
      </c>
      <c r="N548" s="1" t="s">
        <v>2974</v>
      </c>
      <c r="O548" s="1" t="s">
        <v>2975</v>
      </c>
      <c r="P548" s="1" t="s">
        <v>2182</v>
      </c>
      <c r="Q548" s="1"/>
      <c r="R548" s="1"/>
      <c r="S548" s="1" t="s">
        <v>2072</v>
      </c>
      <c r="T548" s="1" t="s">
        <v>2489</v>
      </c>
      <c r="U548" s="4">
        <v>-1</v>
      </c>
      <c r="V548" s="4">
        <v>-175155</v>
      </c>
      <c r="W548" s="4">
        <v>-1752</v>
      </c>
      <c r="X548" s="4">
        <v>0</v>
      </c>
      <c r="Y548" s="4">
        <v>0</v>
      </c>
      <c r="Z548" s="5">
        <v>-176907</v>
      </c>
      <c r="AA548" s="5">
        <v>0</v>
      </c>
      <c r="AB548" s="6">
        <v>0</v>
      </c>
      <c r="AC548" s="4">
        <v>-176907</v>
      </c>
      <c r="AD548" s="4">
        <v>0</v>
      </c>
      <c r="AE548" s="4">
        <v>-176907</v>
      </c>
      <c r="AF548" s="1"/>
      <c r="AG548" s="1"/>
      <c r="AH548" s="1"/>
      <c r="AI548" s="1" t="s">
        <v>2327</v>
      </c>
      <c r="AJ548" s="1"/>
      <c r="AK548" s="1"/>
      <c r="AL548" s="1"/>
    </row>
    <row r="549" spans="1:38" hidden="1" x14ac:dyDescent="0.25">
      <c r="A549" s="2">
        <v>693</v>
      </c>
      <c r="B549" s="1" t="s">
        <v>671</v>
      </c>
      <c r="C549" s="1" t="s">
        <v>672</v>
      </c>
      <c r="D549" s="1" t="s">
        <v>2062</v>
      </c>
      <c r="E549" s="1" t="s">
        <v>2063</v>
      </c>
      <c r="F549" s="3">
        <v>45199</v>
      </c>
      <c r="G549" s="3">
        <v>45185</v>
      </c>
      <c r="H549" s="3">
        <v>45550</v>
      </c>
      <c r="I549" s="1" t="s">
        <v>2977</v>
      </c>
      <c r="J549" s="1" t="s">
        <v>2978</v>
      </c>
      <c r="K549" s="1"/>
      <c r="L549" s="1" t="s">
        <v>2443</v>
      </c>
      <c r="M549" s="1" t="s">
        <v>2979</v>
      </c>
      <c r="N549" s="1" t="s">
        <v>2980</v>
      </c>
      <c r="O549" s="1" t="s">
        <v>2981</v>
      </c>
      <c r="P549" s="1" t="s">
        <v>2182</v>
      </c>
      <c r="Q549" s="1"/>
      <c r="R549" s="1"/>
      <c r="S549" s="1" t="s">
        <v>2072</v>
      </c>
      <c r="T549" s="1" t="s">
        <v>2489</v>
      </c>
      <c r="U549" s="4">
        <v>4700000</v>
      </c>
      <c r="V549" s="4">
        <v>78069</v>
      </c>
      <c r="W549" s="4">
        <v>781</v>
      </c>
      <c r="X549" s="4">
        <v>10150</v>
      </c>
      <c r="Y549" s="4">
        <v>0</v>
      </c>
      <c r="Z549" s="5">
        <v>89000</v>
      </c>
      <c r="AA549" s="5">
        <v>0</v>
      </c>
      <c r="AB549" s="6">
        <v>0</v>
      </c>
      <c r="AC549" s="4">
        <v>89000</v>
      </c>
      <c r="AD549" s="4">
        <v>0</v>
      </c>
      <c r="AE549" s="4">
        <v>89000</v>
      </c>
      <c r="AF549" s="1"/>
      <c r="AG549" s="1"/>
      <c r="AH549" s="1"/>
      <c r="AI549" s="1" t="s">
        <v>2327</v>
      </c>
      <c r="AJ549" s="1"/>
      <c r="AK549" s="1"/>
      <c r="AL549" s="1"/>
    </row>
    <row r="550" spans="1:38" hidden="1" x14ac:dyDescent="0.25">
      <c r="A550" s="2">
        <v>694</v>
      </c>
      <c r="B550" s="1" t="s">
        <v>671</v>
      </c>
      <c r="C550" s="1" t="s">
        <v>673</v>
      </c>
      <c r="D550" s="1" t="s">
        <v>2062</v>
      </c>
      <c r="E550" s="1" t="s">
        <v>2063</v>
      </c>
      <c r="F550" s="3">
        <v>45463</v>
      </c>
      <c r="G550" s="3">
        <v>45185</v>
      </c>
      <c r="H550" s="3">
        <v>45550</v>
      </c>
      <c r="I550" s="1" t="s">
        <v>2977</v>
      </c>
      <c r="J550" s="1" t="s">
        <v>2978</v>
      </c>
      <c r="K550" s="1"/>
      <c r="L550" s="1" t="s">
        <v>2443</v>
      </c>
      <c r="M550" s="1" t="s">
        <v>2979</v>
      </c>
      <c r="N550" s="1" t="s">
        <v>2980</v>
      </c>
      <c r="O550" s="1" t="s">
        <v>2981</v>
      </c>
      <c r="P550" s="1" t="s">
        <v>2182</v>
      </c>
      <c r="Q550" s="1"/>
      <c r="R550" s="1"/>
      <c r="S550" s="1" t="s">
        <v>2072</v>
      </c>
      <c r="T550" s="1" t="s">
        <v>2489</v>
      </c>
      <c r="U550" s="4">
        <v>4700000</v>
      </c>
      <c r="V550" s="4">
        <v>67</v>
      </c>
      <c r="W550" s="4">
        <v>0</v>
      </c>
      <c r="X550" s="4">
        <v>9</v>
      </c>
      <c r="Y550" s="4">
        <v>0</v>
      </c>
      <c r="Z550" s="5">
        <v>76</v>
      </c>
      <c r="AA550" s="5">
        <v>0</v>
      </c>
      <c r="AB550" s="6">
        <v>0</v>
      </c>
      <c r="AC550" s="4">
        <v>76</v>
      </c>
      <c r="AD550" s="4">
        <v>0</v>
      </c>
      <c r="AE550" s="4">
        <v>76</v>
      </c>
      <c r="AF550" s="1"/>
      <c r="AG550" s="1"/>
      <c r="AH550" s="1"/>
      <c r="AI550" s="1" t="s">
        <v>2327</v>
      </c>
      <c r="AJ550" s="6">
        <v>15.15</v>
      </c>
      <c r="AK550" s="6">
        <v>15.15</v>
      </c>
      <c r="AL550" s="1"/>
    </row>
    <row r="551" spans="1:38" hidden="1" x14ac:dyDescent="0.25">
      <c r="A551" s="2">
        <v>695</v>
      </c>
      <c r="B551" s="1" t="s">
        <v>671</v>
      </c>
      <c r="C551" s="1" t="s">
        <v>674</v>
      </c>
      <c r="D551" s="1" t="s">
        <v>2062</v>
      </c>
      <c r="E551" s="1" t="s">
        <v>2063</v>
      </c>
      <c r="F551" s="3">
        <v>45492</v>
      </c>
      <c r="G551" s="3">
        <v>45185</v>
      </c>
      <c r="H551" s="3">
        <v>45550</v>
      </c>
      <c r="I551" s="1" t="s">
        <v>2977</v>
      </c>
      <c r="J551" s="1" t="s">
        <v>2978</v>
      </c>
      <c r="K551" s="1"/>
      <c r="L551" s="1" t="s">
        <v>2443</v>
      </c>
      <c r="M551" s="1" t="s">
        <v>2979</v>
      </c>
      <c r="N551" s="1" t="s">
        <v>2980</v>
      </c>
      <c r="O551" s="1" t="s">
        <v>2981</v>
      </c>
      <c r="P551" s="1" t="s">
        <v>2182</v>
      </c>
      <c r="Q551" s="1"/>
      <c r="R551" s="1"/>
      <c r="S551" s="1" t="s">
        <v>2072</v>
      </c>
      <c r="T551" s="1" t="s">
        <v>2489</v>
      </c>
      <c r="U551" s="4">
        <v>4700000</v>
      </c>
      <c r="V551" s="4">
        <v>2523</v>
      </c>
      <c r="W551" s="4">
        <v>25</v>
      </c>
      <c r="X551" s="4">
        <v>378</v>
      </c>
      <c r="Y551" s="4">
        <v>0</v>
      </c>
      <c r="Z551" s="5">
        <v>2926</v>
      </c>
      <c r="AA551" s="5">
        <v>0</v>
      </c>
      <c r="AB551" s="6">
        <v>0</v>
      </c>
      <c r="AC551" s="4">
        <v>2926</v>
      </c>
      <c r="AD551" s="4">
        <v>0</v>
      </c>
      <c r="AE551" s="4">
        <v>2926</v>
      </c>
      <c r="AF551" s="1"/>
      <c r="AG551" s="1"/>
      <c r="AH551" s="1"/>
      <c r="AI551" s="1" t="s">
        <v>2327</v>
      </c>
      <c r="AJ551" s="6">
        <v>784.16000000000122</v>
      </c>
      <c r="AK551" s="6">
        <v>567.86</v>
      </c>
      <c r="AL551" s="1"/>
    </row>
    <row r="552" spans="1:38" hidden="1" x14ac:dyDescent="0.25">
      <c r="A552" s="2">
        <v>696</v>
      </c>
      <c r="B552" s="1" t="s">
        <v>671</v>
      </c>
      <c r="C552" s="1" t="s">
        <v>675</v>
      </c>
      <c r="D552" s="1" t="s">
        <v>2062</v>
      </c>
      <c r="E552" s="1" t="s">
        <v>2063</v>
      </c>
      <c r="F552" s="3">
        <v>45524</v>
      </c>
      <c r="G552" s="3">
        <v>45185</v>
      </c>
      <c r="H552" s="3">
        <v>45550</v>
      </c>
      <c r="I552" s="1" t="s">
        <v>2977</v>
      </c>
      <c r="J552" s="1" t="s">
        <v>2978</v>
      </c>
      <c r="K552" s="1"/>
      <c r="L552" s="1" t="s">
        <v>2443</v>
      </c>
      <c r="M552" s="1" t="s">
        <v>2979</v>
      </c>
      <c r="N552" s="1" t="s">
        <v>2980</v>
      </c>
      <c r="O552" s="1" t="s">
        <v>2981</v>
      </c>
      <c r="P552" s="1" t="s">
        <v>2182</v>
      </c>
      <c r="Q552" s="1"/>
      <c r="R552" s="1"/>
      <c r="S552" s="1" t="s">
        <v>2072</v>
      </c>
      <c r="T552" s="1" t="s">
        <v>2489</v>
      </c>
      <c r="U552" s="4">
        <v>4700000</v>
      </c>
      <c r="V552" s="4">
        <v>4790</v>
      </c>
      <c r="W552" s="4">
        <v>48</v>
      </c>
      <c r="X552" s="4">
        <v>718</v>
      </c>
      <c r="Y552" s="4">
        <v>0</v>
      </c>
      <c r="Z552" s="5">
        <v>5556</v>
      </c>
      <c r="AA552" s="5">
        <v>0</v>
      </c>
      <c r="AB552" s="6">
        <v>0</v>
      </c>
      <c r="AC552" s="4">
        <v>5556</v>
      </c>
      <c r="AD552" s="4">
        <v>0</v>
      </c>
      <c r="AE552" s="4">
        <v>5556</v>
      </c>
      <c r="AF552" s="1"/>
      <c r="AG552" s="1"/>
      <c r="AH552" s="1"/>
      <c r="AI552" s="1" t="s">
        <v>2327</v>
      </c>
      <c r="AJ552" s="6">
        <v>1368.64</v>
      </c>
      <c r="AK552" s="6">
        <v>1077.9599999999991</v>
      </c>
      <c r="AL552" s="1"/>
    </row>
    <row r="553" spans="1:38" hidden="1" x14ac:dyDescent="0.25">
      <c r="A553" s="2">
        <v>697</v>
      </c>
      <c r="B553" s="1" t="s">
        <v>671</v>
      </c>
      <c r="C553" s="1" t="s">
        <v>676</v>
      </c>
      <c r="D553" s="1" t="s">
        <v>2062</v>
      </c>
      <c r="E553" s="1" t="s">
        <v>2063</v>
      </c>
      <c r="F553" s="3">
        <v>45555</v>
      </c>
      <c r="G553" s="3">
        <v>45185</v>
      </c>
      <c r="H553" s="3">
        <v>45550</v>
      </c>
      <c r="I553" s="1" t="s">
        <v>2977</v>
      </c>
      <c r="J553" s="1" t="s">
        <v>2978</v>
      </c>
      <c r="K553" s="1"/>
      <c r="L553" s="1" t="s">
        <v>2443</v>
      </c>
      <c r="M553" s="1" t="s">
        <v>2979</v>
      </c>
      <c r="N553" s="1" t="s">
        <v>2980</v>
      </c>
      <c r="O553" s="1" t="s">
        <v>2981</v>
      </c>
      <c r="P553" s="1" t="s">
        <v>2182</v>
      </c>
      <c r="Q553" s="1"/>
      <c r="R553" s="1"/>
      <c r="S553" s="1" t="s">
        <v>2072</v>
      </c>
      <c r="T553" s="1" t="s">
        <v>2489</v>
      </c>
      <c r="U553" s="4">
        <v>4700000</v>
      </c>
      <c r="V553" s="4">
        <v>408</v>
      </c>
      <c r="W553" s="4">
        <v>4</v>
      </c>
      <c r="X553" s="4">
        <v>61</v>
      </c>
      <c r="Y553" s="4">
        <v>0</v>
      </c>
      <c r="Z553" s="5">
        <v>473</v>
      </c>
      <c r="AA553" s="5">
        <v>0</v>
      </c>
      <c r="AB553" s="6">
        <v>0</v>
      </c>
      <c r="AC553" s="4">
        <v>473</v>
      </c>
      <c r="AD553" s="4">
        <v>0</v>
      </c>
      <c r="AE553" s="4">
        <v>473</v>
      </c>
      <c r="AF553" s="1"/>
      <c r="AG553" s="1"/>
      <c r="AH553" s="1"/>
      <c r="AI553" s="1" t="s">
        <v>2327</v>
      </c>
      <c r="AJ553" s="6">
        <v>127.44</v>
      </c>
      <c r="AK553" s="6">
        <v>91.99</v>
      </c>
      <c r="AL553" s="1"/>
    </row>
    <row r="554" spans="1:38" hidden="1" x14ac:dyDescent="0.25">
      <c r="A554" s="2">
        <v>698</v>
      </c>
      <c r="B554" s="1" t="s">
        <v>671</v>
      </c>
      <c r="C554" s="1" t="s">
        <v>677</v>
      </c>
      <c r="D554" s="1" t="s">
        <v>2062</v>
      </c>
      <c r="E554" s="1" t="s">
        <v>2063</v>
      </c>
      <c r="F554" s="3">
        <v>45655</v>
      </c>
      <c r="G554" s="3">
        <v>45185</v>
      </c>
      <c r="H554" s="3">
        <v>45550</v>
      </c>
      <c r="I554" s="1" t="s">
        <v>2977</v>
      </c>
      <c r="J554" s="1" t="s">
        <v>2978</v>
      </c>
      <c r="K554" s="1"/>
      <c r="L554" s="1" t="s">
        <v>2443</v>
      </c>
      <c r="M554" s="1" t="s">
        <v>2979</v>
      </c>
      <c r="N554" s="1" t="s">
        <v>2980</v>
      </c>
      <c r="O554" s="1" t="s">
        <v>2981</v>
      </c>
      <c r="P554" s="1" t="s">
        <v>2182</v>
      </c>
      <c r="Q554" s="1"/>
      <c r="R554" s="1"/>
      <c r="S554" s="1" t="s">
        <v>2072</v>
      </c>
      <c r="T554" s="1" t="s">
        <v>2489</v>
      </c>
      <c r="U554" s="4">
        <v>-1</v>
      </c>
      <c r="V554" s="4">
        <v>-97060</v>
      </c>
      <c r="W554" s="4">
        <v>-971</v>
      </c>
      <c r="X554" s="4">
        <v>0</v>
      </c>
      <c r="Y554" s="4">
        <v>0</v>
      </c>
      <c r="Z554" s="5">
        <v>-98031</v>
      </c>
      <c r="AA554" s="5">
        <v>0</v>
      </c>
      <c r="AB554" s="6">
        <v>0</v>
      </c>
      <c r="AC554" s="4">
        <v>-98031</v>
      </c>
      <c r="AD554" s="4">
        <v>0</v>
      </c>
      <c r="AE554" s="4">
        <v>-98031</v>
      </c>
      <c r="AF554" s="1"/>
      <c r="AG554" s="1"/>
      <c r="AH554" s="1"/>
      <c r="AI554" s="1" t="s">
        <v>2327</v>
      </c>
      <c r="AJ554" s="1"/>
      <c r="AK554" s="1"/>
      <c r="AL554" s="1"/>
    </row>
    <row r="555" spans="1:38" hidden="1" x14ac:dyDescent="0.25">
      <c r="A555" s="2">
        <v>699</v>
      </c>
      <c r="B555" s="1" t="s">
        <v>678</v>
      </c>
      <c r="C555" s="1" t="s">
        <v>679</v>
      </c>
      <c r="D555" s="1" t="s">
        <v>2062</v>
      </c>
      <c r="E555" s="1" t="s">
        <v>2063</v>
      </c>
      <c r="F555" s="3">
        <v>45199</v>
      </c>
      <c r="G555" s="3">
        <v>45185</v>
      </c>
      <c r="H555" s="3">
        <v>45550</v>
      </c>
      <c r="I555" s="1" t="s">
        <v>2982</v>
      </c>
      <c r="J555" s="1" t="s">
        <v>2983</v>
      </c>
      <c r="K555" s="1"/>
      <c r="L555" s="1" t="s">
        <v>2864</v>
      </c>
      <c r="M555" s="1" t="s">
        <v>2984</v>
      </c>
      <c r="N555" s="1" t="s">
        <v>2985</v>
      </c>
      <c r="O555" s="1" t="s">
        <v>2986</v>
      </c>
      <c r="P555" s="1" t="s">
        <v>2182</v>
      </c>
      <c r="Q555" s="1"/>
      <c r="R555" s="1"/>
      <c r="S555" s="1" t="s">
        <v>2072</v>
      </c>
      <c r="T555" s="1" t="s">
        <v>2489</v>
      </c>
      <c r="U555" s="4">
        <v>3500000</v>
      </c>
      <c r="V555" s="4">
        <v>57016</v>
      </c>
      <c r="W555" s="4">
        <v>571</v>
      </c>
      <c r="X555" s="4">
        <v>7413</v>
      </c>
      <c r="Y555" s="4">
        <v>0</v>
      </c>
      <c r="Z555" s="5">
        <v>65000</v>
      </c>
      <c r="AA555" s="5">
        <v>0</v>
      </c>
      <c r="AB555" s="6">
        <v>0</v>
      </c>
      <c r="AC555" s="4">
        <v>65000</v>
      </c>
      <c r="AD555" s="4">
        <v>0</v>
      </c>
      <c r="AE555" s="4">
        <v>65000</v>
      </c>
      <c r="AF555" s="1"/>
      <c r="AG555" s="1"/>
      <c r="AH555" s="1"/>
      <c r="AI555" s="1" t="s">
        <v>2327</v>
      </c>
      <c r="AJ555" s="1"/>
      <c r="AK555" s="1"/>
      <c r="AL555" s="1"/>
    </row>
    <row r="556" spans="1:38" hidden="1" x14ac:dyDescent="0.25">
      <c r="A556" s="2">
        <v>700</v>
      </c>
      <c r="B556" s="1" t="s">
        <v>678</v>
      </c>
      <c r="C556" s="1" t="s">
        <v>680</v>
      </c>
      <c r="D556" s="1" t="s">
        <v>2062</v>
      </c>
      <c r="E556" s="1" t="s">
        <v>2063</v>
      </c>
      <c r="F556" s="3">
        <v>45555</v>
      </c>
      <c r="G556" s="3">
        <v>45185</v>
      </c>
      <c r="H556" s="3">
        <v>45550</v>
      </c>
      <c r="I556" s="1" t="s">
        <v>2982</v>
      </c>
      <c r="J556" s="1" t="s">
        <v>2983</v>
      </c>
      <c r="K556" s="1"/>
      <c r="L556" s="1" t="s">
        <v>2864</v>
      </c>
      <c r="M556" s="1" t="s">
        <v>2984</v>
      </c>
      <c r="N556" s="1" t="s">
        <v>2985</v>
      </c>
      <c r="O556" s="1" t="s">
        <v>2986</v>
      </c>
      <c r="P556" s="1" t="s">
        <v>2182</v>
      </c>
      <c r="Q556" s="1"/>
      <c r="R556" s="1"/>
      <c r="S556" s="1" t="s">
        <v>2072</v>
      </c>
      <c r="T556" s="1" t="s">
        <v>2489</v>
      </c>
      <c r="U556" s="4">
        <v>3500000</v>
      </c>
      <c r="V556" s="4">
        <v>2035</v>
      </c>
      <c r="W556" s="4">
        <v>20</v>
      </c>
      <c r="X556" s="4">
        <v>305</v>
      </c>
      <c r="Y556" s="4">
        <v>0</v>
      </c>
      <c r="Z556" s="5">
        <v>2360</v>
      </c>
      <c r="AA556" s="5">
        <v>0</v>
      </c>
      <c r="AB556" s="6">
        <v>0</v>
      </c>
      <c r="AC556" s="4">
        <v>2360</v>
      </c>
      <c r="AD556" s="4">
        <v>0</v>
      </c>
      <c r="AE556" s="4">
        <v>2360</v>
      </c>
      <c r="AF556" s="1"/>
      <c r="AG556" s="1"/>
      <c r="AH556" s="1"/>
      <c r="AI556" s="1" t="s">
        <v>2327</v>
      </c>
      <c r="AJ556" s="6">
        <v>710.520000000001</v>
      </c>
      <c r="AK556" s="6">
        <v>614.45000000000005</v>
      </c>
      <c r="AL556" s="1"/>
    </row>
    <row r="557" spans="1:38" hidden="1" x14ac:dyDescent="0.25">
      <c r="A557" s="2">
        <v>701</v>
      </c>
      <c r="B557" s="1" t="s">
        <v>678</v>
      </c>
      <c r="C557" s="1" t="s">
        <v>681</v>
      </c>
      <c r="D557" s="1" t="s">
        <v>2062</v>
      </c>
      <c r="E557" s="1" t="s">
        <v>2063</v>
      </c>
      <c r="F557" s="3">
        <v>45596</v>
      </c>
      <c r="G557" s="3">
        <v>45185</v>
      </c>
      <c r="H557" s="3">
        <v>45550</v>
      </c>
      <c r="I557" s="1" t="s">
        <v>2982</v>
      </c>
      <c r="J557" s="1" t="s">
        <v>2983</v>
      </c>
      <c r="K557" s="1"/>
      <c r="L557" s="1" t="s">
        <v>2864</v>
      </c>
      <c r="M557" s="1" t="s">
        <v>2984</v>
      </c>
      <c r="N557" s="1" t="s">
        <v>2985</v>
      </c>
      <c r="O557" s="1" t="s">
        <v>2986</v>
      </c>
      <c r="P557" s="1" t="s">
        <v>2182</v>
      </c>
      <c r="Q557" s="1"/>
      <c r="R557" s="1"/>
      <c r="S557" s="1" t="s">
        <v>2072</v>
      </c>
      <c r="T557" s="1" t="s">
        <v>2489</v>
      </c>
      <c r="U557" s="4">
        <v>-1</v>
      </c>
      <c r="V557" s="4">
        <v>-66693</v>
      </c>
      <c r="W557" s="4">
        <v>-667</v>
      </c>
      <c r="X557" s="4">
        <v>0</v>
      </c>
      <c r="Y557" s="4">
        <v>0</v>
      </c>
      <c r="Z557" s="5">
        <v>-67360</v>
      </c>
      <c r="AA557" s="5">
        <v>0</v>
      </c>
      <c r="AB557" s="6">
        <v>0</v>
      </c>
      <c r="AC557" s="4">
        <v>-67360</v>
      </c>
      <c r="AD557" s="4">
        <v>0</v>
      </c>
      <c r="AE557" s="4">
        <v>-67360</v>
      </c>
      <c r="AF557" s="1"/>
      <c r="AG557" s="1"/>
      <c r="AH557" s="1"/>
      <c r="AI557" s="1" t="s">
        <v>2327</v>
      </c>
      <c r="AJ557" s="1"/>
      <c r="AK557" s="1"/>
      <c r="AL557" s="1"/>
    </row>
    <row r="558" spans="1:38" hidden="1" x14ac:dyDescent="0.25">
      <c r="A558" s="2">
        <v>702</v>
      </c>
      <c r="B558" s="1" t="s">
        <v>682</v>
      </c>
      <c r="C558" s="1" t="s">
        <v>683</v>
      </c>
      <c r="D558" s="1" t="s">
        <v>2062</v>
      </c>
      <c r="E558" s="1" t="s">
        <v>2063</v>
      </c>
      <c r="F558" s="3">
        <v>45199</v>
      </c>
      <c r="G558" s="3">
        <v>45184</v>
      </c>
      <c r="H558" s="3">
        <v>45549</v>
      </c>
      <c r="I558" s="1" t="s">
        <v>2987</v>
      </c>
      <c r="J558" s="1" t="s">
        <v>2988</v>
      </c>
      <c r="K558" s="1"/>
      <c r="L558" s="1" t="s">
        <v>2198</v>
      </c>
      <c r="M558" s="1" t="s">
        <v>2989</v>
      </c>
      <c r="N558" s="1" t="s">
        <v>2990</v>
      </c>
      <c r="O558" s="1" t="s">
        <v>2991</v>
      </c>
      <c r="P558" s="1" t="s">
        <v>2095</v>
      </c>
      <c r="Q558" s="1"/>
      <c r="R558" s="1"/>
      <c r="S558" s="1" t="s">
        <v>2072</v>
      </c>
      <c r="T558" s="1" t="s">
        <v>2073</v>
      </c>
      <c r="U558" s="4">
        <v>2400000</v>
      </c>
      <c r="V558" s="4">
        <v>37718</v>
      </c>
      <c r="W558" s="4">
        <v>378</v>
      </c>
      <c r="X558" s="4">
        <v>4904</v>
      </c>
      <c r="Y558" s="4">
        <v>0</v>
      </c>
      <c r="Z558" s="5">
        <v>43000</v>
      </c>
      <c r="AA558" s="5">
        <v>0</v>
      </c>
      <c r="AB558" s="6">
        <v>0</v>
      </c>
      <c r="AC558" s="4">
        <v>43000</v>
      </c>
      <c r="AD558" s="4">
        <v>0</v>
      </c>
      <c r="AE558" s="4">
        <v>43000</v>
      </c>
      <c r="AF558" s="1"/>
      <c r="AG558" s="1"/>
      <c r="AH558" s="1"/>
      <c r="AI558" s="1" t="s">
        <v>2327</v>
      </c>
      <c r="AJ558" s="1"/>
      <c r="AK558" s="1"/>
      <c r="AL558" s="1" t="s">
        <v>2992</v>
      </c>
    </row>
    <row r="559" spans="1:38" hidden="1" x14ac:dyDescent="0.25">
      <c r="A559" s="2">
        <v>703</v>
      </c>
      <c r="B559" s="1" t="s">
        <v>682</v>
      </c>
      <c r="C559" s="1" t="s">
        <v>684</v>
      </c>
      <c r="D559" s="1" t="s">
        <v>2062</v>
      </c>
      <c r="E559" s="1" t="s">
        <v>2063</v>
      </c>
      <c r="F559" s="3">
        <v>45555</v>
      </c>
      <c r="G559" s="3">
        <v>45184</v>
      </c>
      <c r="H559" s="3">
        <v>45549</v>
      </c>
      <c r="I559" s="1" t="s">
        <v>2987</v>
      </c>
      <c r="J559" s="1" t="s">
        <v>2988</v>
      </c>
      <c r="K559" s="1"/>
      <c r="L559" s="1" t="s">
        <v>2198</v>
      </c>
      <c r="M559" s="1" t="s">
        <v>2989</v>
      </c>
      <c r="N559" s="1" t="s">
        <v>2990</v>
      </c>
      <c r="O559" s="1" t="s">
        <v>2991</v>
      </c>
      <c r="P559" s="1" t="s">
        <v>2095</v>
      </c>
      <c r="Q559" s="1"/>
      <c r="R559" s="1"/>
      <c r="S559" s="1" t="s">
        <v>2072</v>
      </c>
      <c r="T559" s="1" t="s">
        <v>2073</v>
      </c>
      <c r="U559" s="4">
        <v>2400000</v>
      </c>
      <c r="V559" s="4">
        <v>1600</v>
      </c>
      <c r="W559" s="4">
        <v>16</v>
      </c>
      <c r="X559" s="4">
        <v>240</v>
      </c>
      <c r="Y559" s="4">
        <v>0</v>
      </c>
      <c r="Z559" s="5">
        <v>1856</v>
      </c>
      <c r="AA559" s="5">
        <v>0</v>
      </c>
      <c r="AB559" s="6">
        <v>0</v>
      </c>
      <c r="AC559" s="4">
        <v>1856</v>
      </c>
      <c r="AD559" s="4">
        <v>0</v>
      </c>
      <c r="AE559" s="4">
        <v>1856</v>
      </c>
      <c r="AF559" s="1"/>
      <c r="AG559" s="1"/>
      <c r="AH559" s="1"/>
      <c r="AI559" s="1" t="s">
        <v>2327</v>
      </c>
      <c r="AJ559" s="6">
        <v>565.60000000000105</v>
      </c>
      <c r="AK559" s="6">
        <v>564.37000000000103</v>
      </c>
      <c r="AL559" s="1"/>
    </row>
    <row r="560" spans="1:38" hidden="1" x14ac:dyDescent="0.25">
      <c r="A560" s="2">
        <v>704</v>
      </c>
      <c r="B560" s="1" t="s">
        <v>682</v>
      </c>
      <c r="C560" s="1" t="s">
        <v>685</v>
      </c>
      <c r="D560" s="1" t="s">
        <v>2062</v>
      </c>
      <c r="E560" s="1" t="s">
        <v>2063</v>
      </c>
      <c r="F560" s="3">
        <v>45655</v>
      </c>
      <c r="G560" s="3">
        <v>45184</v>
      </c>
      <c r="H560" s="3">
        <v>45549</v>
      </c>
      <c r="I560" s="1" t="s">
        <v>2987</v>
      </c>
      <c r="J560" s="1" t="s">
        <v>2988</v>
      </c>
      <c r="K560" s="1"/>
      <c r="L560" s="1" t="s">
        <v>2198</v>
      </c>
      <c r="M560" s="1" t="s">
        <v>2989</v>
      </c>
      <c r="N560" s="1" t="s">
        <v>2990</v>
      </c>
      <c r="O560" s="1" t="s">
        <v>2991</v>
      </c>
      <c r="P560" s="1" t="s">
        <v>2095</v>
      </c>
      <c r="Q560" s="1"/>
      <c r="R560" s="1"/>
      <c r="S560" s="1" t="s">
        <v>2072</v>
      </c>
      <c r="T560" s="1" t="s">
        <v>2073</v>
      </c>
      <c r="U560" s="4">
        <v>-1</v>
      </c>
      <c r="V560" s="4">
        <v>-44412</v>
      </c>
      <c r="W560" s="4">
        <v>-444</v>
      </c>
      <c r="X560" s="4">
        <v>0</v>
      </c>
      <c r="Y560" s="4">
        <v>0</v>
      </c>
      <c r="Z560" s="5">
        <v>-44856</v>
      </c>
      <c r="AA560" s="5">
        <v>0</v>
      </c>
      <c r="AB560" s="6">
        <v>0</v>
      </c>
      <c r="AC560" s="4">
        <v>-44856</v>
      </c>
      <c r="AD560" s="4">
        <v>0</v>
      </c>
      <c r="AE560" s="4">
        <v>-44856</v>
      </c>
      <c r="AF560" s="1"/>
      <c r="AG560" s="1"/>
      <c r="AH560" s="1"/>
      <c r="AI560" s="1" t="s">
        <v>2327</v>
      </c>
      <c r="AJ560" s="1"/>
      <c r="AK560" s="1"/>
      <c r="AL560" s="1"/>
    </row>
    <row r="561" spans="1:38" hidden="1" x14ac:dyDescent="0.25">
      <c r="A561" s="2">
        <v>705</v>
      </c>
      <c r="B561" s="1" t="s">
        <v>686</v>
      </c>
      <c r="C561" s="1" t="s">
        <v>687</v>
      </c>
      <c r="D561" s="1" t="s">
        <v>2062</v>
      </c>
      <c r="E561" s="1" t="s">
        <v>2063</v>
      </c>
      <c r="F561" s="3">
        <v>45199</v>
      </c>
      <c r="G561" s="3">
        <v>45188</v>
      </c>
      <c r="H561" s="3">
        <v>45553</v>
      </c>
      <c r="I561" s="1" t="s">
        <v>2993</v>
      </c>
      <c r="J561" s="1" t="s">
        <v>2994</v>
      </c>
      <c r="K561" s="1"/>
      <c r="L561" s="1" t="s">
        <v>2995</v>
      </c>
      <c r="M561" s="1" t="s">
        <v>2996</v>
      </c>
      <c r="N561" s="1" t="s">
        <v>2997</v>
      </c>
      <c r="O561" s="1" t="s">
        <v>2998</v>
      </c>
      <c r="P561" s="1" t="s">
        <v>2217</v>
      </c>
      <c r="Q561" s="1"/>
      <c r="R561" s="1"/>
      <c r="S561" s="1" t="s">
        <v>2072</v>
      </c>
      <c r="T561" s="1" t="s">
        <v>2073</v>
      </c>
      <c r="U561" s="4">
        <v>2800000</v>
      </c>
      <c r="V561" s="4">
        <v>44736</v>
      </c>
      <c r="W561" s="4">
        <v>448</v>
      </c>
      <c r="X561" s="4">
        <v>5816</v>
      </c>
      <c r="Y561" s="4">
        <v>0</v>
      </c>
      <c r="Z561" s="5">
        <v>51000</v>
      </c>
      <c r="AA561" s="5">
        <v>0</v>
      </c>
      <c r="AB561" s="6">
        <v>0</v>
      </c>
      <c r="AC561" s="4">
        <v>51000</v>
      </c>
      <c r="AD561" s="4">
        <v>0</v>
      </c>
      <c r="AE561" s="4">
        <v>51000</v>
      </c>
      <c r="AF561" s="1"/>
      <c r="AG561" s="1"/>
      <c r="AH561" s="1"/>
      <c r="AI561" s="1" t="s">
        <v>2921</v>
      </c>
      <c r="AJ561" s="1"/>
      <c r="AK561" s="1"/>
      <c r="AL561" s="1" t="s">
        <v>2999</v>
      </c>
    </row>
    <row r="562" spans="1:38" hidden="1" x14ac:dyDescent="0.25">
      <c r="A562" s="2">
        <v>706</v>
      </c>
      <c r="B562" s="1" t="s">
        <v>686</v>
      </c>
      <c r="C562" s="1" t="s">
        <v>688</v>
      </c>
      <c r="D562" s="1" t="s">
        <v>2062</v>
      </c>
      <c r="E562" s="1" t="s">
        <v>2063</v>
      </c>
      <c r="F562" s="3">
        <v>45370</v>
      </c>
      <c r="G562" s="3">
        <v>45188</v>
      </c>
      <c r="H562" s="3">
        <v>45553</v>
      </c>
      <c r="I562" s="1" t="s">
        <v>2993</v>
      </c>
      <c r="J562" s="1" t="s">
        <v>2994</v>
      </c>
      <c r="K562" s="1"/>
      <c r="L562" s="1" t="s">
        <v>2995</v>
      </c>
      <c r="M562" s="1" t="s">
        <v>2996</v>
      </c>
      <c r="N562" s="1" t="s">
        <v>2997</v>
      </c>
      <c r="O562" s="1" t="s">
        <v>2998</v>
      </c>
      <c r="P562" s="1" t="s">
        <v>2217</v>
      </c>
      <c r="Q562" s="1"/>
      <c r="R562" s="1"/>
      <c r="S562" s="1" t="s">
        <v>2072</v>
      </c>
      <c r="T562" s="1" t="s">
        <v>2073</v>
      </c>
      <c r="U562" s="4">
        <v>2800000</v>
      </c>
      <c r="V562" s="4">
        <v>2953</v>
      </c>
      <c r="W562" s="4">
        <v>30</v>
      </c>
      <c r="X562" s="4">
        <v>384</v>
      </c>
      <c r="Y562" s="4">
        <v>0</v>
      </c>
      <c r="Z562" s="5">
        <v>3367</v>
      </c>
      <c r="AA562" s="5">
        <v>0</v>
      </c>
      <c r="AB562" s="6">
        <v>0</v>
      </c>
      <c r="AC562" s="4">
        <v>3367</v>
      </c>
      <c r="AD562" s="4">
        <v>0</v>
      </c>
      <c r="AE562" s="4">
        <v>3367</v>
      </c>
      <c r="AF562" s="1"/>
      <c r="AG562" s="1"/>
      <c r="AH562" s="1"/>
      <c r="AI562" s="1" t="s">
        <v>2921</v>
      </c>
      <c r="AJ562" s="6">
        <v>1803.5599999999984</v>
      </c>
      <c r="AK562" s="6">
        <v>876.73000000000104</v>
      </c>
      <c r="AL562" s="1"/>
    </row>
    <row r="563" spans="1:38" hidden="1" x14ac:dyDescent="0.25">
      <c r="A563" s="2">
        <v>707</v>
      </c>
      <c r="B563" s="1" t="s">
        <v>686</v>
      </c>
      <c r="C563" s="1" t="s">
        <v>689</v>
      </c>
      <c r="D563" s="1" t="s">
        <v>2062</v>
      </c>
      <c r="E563" s="1" t="s">
        <v>2063</v>
      </c>
      <c r="F563" s="3">
        <v>45596</v>
      </c>
      <c r="G563" s="3">
        <v>45188</v>
      </c>
      <c r="H563" s="3">
        <v>45553</v>
      </c>
      <c r="I563" s="1" t="s">
        <v>2993</v>
      </c>
      <c r="J563" s="1" t="s">
        <v>2994</v>
      </c>
      <c r="K563" s="1"/>
      <c r="L563" s="1" t="s">
        <v>2995</v>
      </c>
      <c r="M563" s="1" t="s">
        <v>2996</v>
      </c>
      <c r="N563" s="1" t="s">
        <v>2997</v>
      </c>
      <c r="O563" s="1" t="s">
        <v>2998</v>
      </c>
      <c r="P563" s="1" t="s">
        <v>2217</v>
      </c>
      <c r="Q563" s="1"/>
      <c r="R563" s="1"/>
      <c r="S563" s="1" t="s">
        <v>2072</v>
      </c>
      <c r="T563" s="1" t="s">
        <v>2073</v>
      </c>
      <c r="U563" s="4">
        <v>-1</v>
      </c>
      <c r="V563" s="4">
        <v>-53829</v>
      </c>
      <c r="W563" s="4">
        <v>-538</v>
      </c>
      <c r="X563" s="4">
        <v>0</v>
      </c>
      <c r="Y563" s="4">
        <v>0</v>
      </c>
      <c r="Z563" s="5">
        <v>-54367</v>
      </c>
      <c r="AA563" s="5">
        <v>0</v>
      </c>
      <c r="AB563" s="6">
        <v>0</v>
      </c>
      <c r="AC563" s="4">
        <v>-54367</v>
      </c>
      <c r="AD563" s="4">
        <v>0</v>
      </c>
      <c r="AE563" s="4">
        <v>-54367</v>
      </c>
      <c r="AF563" s="1"/>
      <c r="AG563" s="1"/>
      <c r="AH563" s="1"/>
      <c r="AI563" s="1" t="s">
        <v>2921</v>
      </c>
      <c r="AJ563" s="1"/>
      <c r="AK563" s="1"/>
      <c r="AL563" s="1"/>
    </row>
    <row r="564" spans="1:38" hidden="1" x14ac:dyDescent="0.25">
      <c r="A564" s="2">
        <v>708</v>
      </c>
      <c r="B564" s="1" t="s">
        <v>690</v>
      </c>
      <c r="C564" s="1" t="s">
        <v>691</v>
      </c>
      <c r="D564" s="1" t="s">
        <v>2062</v>
      </c>
      <c r="E564" s="1" t="s">
        <v>2063</v>
      </c>
      <c r="F564" s="3">
        <v>45199</v>
      </c>
      <c r="G564" s="3">
        <v>45189</v>
      </c>
      <c r="H564" s="3">
        <v>45554</v>
      </c>
      <c r="I564" s="1" t="s">
        <v>2799</v>
      </c>
      <c r="J564" s="1" t="s">
        <v>3000</v>
      </c>
      <c r="K564" s="1"/>
      <c r="L564" s="1" t="s">
        <v>2570</v>
      </c>
      <c r="M564" s="1" t="s">
        <v>3001</v>
      </c>
      <c r="N564" s="1" t="s">
        <v>3002</v>
      </c>
      <c r="O564" s="1" t="s">
        <v>3003</v>
      </c>
      <c r="P564" s="1" t="s">
        <v>2095</v>
      </c>
      <c r="Q564" s="1"/>
      <c r="R564" s="1"/>
      <c r="S564" s="1" t="s">
        <v>2072</v>
      </c>
      <c r="T564" s="1" t="s">
        <v>2073</v>
      </c>
      <c r="U564" s="4">
        <v>8000000</v>
      </c>
      <c r="V564" s="4">
        <v>135964</v>
      </c>
      <c r="W564" s="4">
        <v>1360</v>
      </c>
      <c r="X564" s="4">
        <v>17676</v>
      </c>
      <c r="Y564" s="4">
        <v>0</v>
      </c>
      <c r="Z564" s="5">
        <v>155000</v>
      </c>
      <c r="AA564" s="5">
        <v>0</v>
      </c>
      <c r="AB564" s="6">
        <v>0</v>
      </c>
      <c r="AC564" s="4">
        <v>155000</v>
      </c>
      <c r="AD564" s="4">
        <v>0</v>
      </c>
      <c r="AE564" s="4">
        <v>155000</v>
      </c>
      <c r="AF564" s="1"/>
      <c r="AG564" s="1"/>
      <c r="AH564" s="1"/>
      <c r="AI564" s="1" t="s">
        <v>2921</v>
      </c>
      <c r="AJ564" s="1"/>
      <c r="AK564" s="1"/>
      <c r="AL564" s="1"/>
    </row>
    <row r="565" spans="1:38" hidden="1" x14ac:dyDescent="0.25">
      <c r="A565" s="2">
        <v>709</v>
      </c>
      <c r="B565" s="1" t="s">
        <v>690</v>
      </c>
      <c r="C565" s="1" t="s">
        <v>692</v>
      </c>
      <c r="D565" s="1" t="s">
        <v>2062</v>
      </c>
      <c r="E565" s="1" t="s">
        <v>2063</v>
      </c>
      <c r="F565" s="3">
        <v>45596</v>
      </c>
      <c r="G565" s="3">
        <v>45189</v>
      </c>
      <c r="H565" s="3">
        <v>45554</v>
      </c>
      <c r="I565" s="1" t="s">
        <v>2799</v>
      </c>
      <c r="J565" s="1" t="s">
        <v>3000</v>
      </c>
      <c r="K565" s="1"/>
      <c r="L565" s="1" t="s">
        <v>2570</v>
      </c>
      <c r="M565" s="1" t="s">
        <v>3001</v>
      </c>
      <c r="N565" s="1" t="s">
        <v>3002</v>
      </c>
      <c r="O565" s="1" t="s">
        <v>3003</v>
      </c>
      <c r="P565" s="1" t="s">
        <v>2095</v>
      </c>
      <c r="Q565" s="1"/>
      <c r="R565" s="1"/>
      <c r="S565" s="1" t="s">
        <v>2072</v>
      </c>
      <c r="T565" s="1" t="s">
        <v>2073</v>
      </c>
      <c r="U565" s="4">
        <v>-1</v>
      </c>
      <c r="V565" s="4">
        <v>-153465</v>
      </c>
      <c r="W565" s="4">
        <v>-1535</v>
      </c>
      <c r="X565" s="4">
        <v>0</v>
      </c>
      <c r="Y565" s="4">
        <v>0</v>
      </c>
      <c r="Z565" s="5">
        <v>-155000</v>
      </c>
      <c r="AA565" s="5">
        <v>0</v>
      </c>
      <c r="AB565" s="6">
        <v>0</v>
      </c>
      <c r="AC565" s="4">
        <v>-155000</v>
      </c>
      <c r="AD565" s="4">
        <v>0</v>
      </c>
      <c r="AE565" s="4">
        <v>-155000</v>
      </c>
      <c r="AF565" s="1"/>
      <c r="AG565" s="1"/>
      <c r="AH565" s="1"/>
      <c r="AI565" s="1" t="s">
        <v>2921</v>
      </c>
      <c r="AJ565" s="1"/>
      <c r="AK565" s="1"/>
      <c r="AL565" s="1"/>
    </row>
    <row r="566" spans="1:38" hidden="1" x14ac:dyDescent="0.25">
      <c r="A566" s="2">
        <v>710</v>
      </c>
      <c r="B566" s="1" t="s">
        <v>693</v>
      </c>
      <c r="C566" s="1" t="s">
        <v>694</v>
      </c>
      <c r="D566" s="1" t="s">
        <v>2062</v>
      </c>
      <c r="E566" s="1" t="s">
        <v>2063</v>
      </c>
      <c r="F566" s="3">
        <v>45199</v>
      </c>
      <c r="G566" s="3">
        <v>45188</v>
      </c>
      <c r="H566" s="3">
        <v>45553</v>
      </c>
      <c r="I566" s="1" t="s">
        <v>3004</v>
      </c>
      <c r="J566" s="1" t="s">
        <v>3005</v>
      </c>
      <c r="K566" s="1"/>
      <c r="L566" s="1" t="s">
        <v>2788</v>
      </c>
      <c r="M566" s="1" t="s">
        <v>3006</v>
      </c>
      <c r="N566" s="1" t="s">
        <v>3007</v>
      </c>
      <c r="O566" s="1" t="s">
        <v>3008</v>
      </c>
      <c r="P566" s="1" t="s">
        <v>2095</v>
      </c>
      <c r="Q566" s="1"/>
      <c r="R566" s="1"/>
      <c r="S566" s="1" t="s">
        <v>2072</v>
      </c>
      <c r="T566" s="1" t="s">
        <v>2073</v>
      </c>
      <c r="U566" s="4">
        <v>2000000</v>
      </c>
      <c r="V566" s="4">
        <v>30701</v>
      </c>
      <c r="W566" s="4">
        <v>307</v>
      </c>
      <c r="X566" s="4">
        <v>3992</v>
      </c>
      <c r="Y566" s="4">
        <v>0</v>
      </c>
      <c r="Z566" s="5">
        <v>35000</v>
      </c>
      <c r="AA566" s="5">
        <v>0</v>
      </c>
      <c r="AB566" s="6">
        <v>0</v>
      </c>
      <c r="AC566" s="4">
        <v>35000</v>
      </c>
      <c r="AD566" s="4">
        <v>0</v>
      </c>
      <c r="AE566" s="4">
        <v>35000</v>
      </c>
      <c r="AF566" s="1"/>
      <c r="AG566" s="1"/>
      <c r="AH566" s="1"/>
      <c r="AI566" s="1" t="s">
        <v>2327</v>
      </c>
      <c r="AJ566" s="1"/>
      <c r="AK566" s="1"/>
      <c r="AL566" s="1"/>
    </row>
    <row r="567" spans="1:38" hidden="1" x14ac:dyDescent="0.25">
      <c r="A567" s="2">
        <v>711</v>
      </c>
      <c r="B567" s="1" t="s">
        <v>693</v>
      </c>
      <c r="C567" s="1" t="s">
        <v>695</v>
      </c>
      <c r="D567" s="1" t="s">
        <v>2062</v>
      </c>
      <c r="E567" s="1" t="s">
        <v>2063</v>
      </c>
      <c r="F567" s="3">
        <v>45596</v>
      </c>
      <c r="G567" s="3">
        <v>45188</v>
      </c>
      <c r="H567" s="3">
        <v>45553</v>
      </c>
      <c r="I567" s="1" t="s">
        <v>3004</v>
      </c>
      <c r="J567" s="1" t="s">
        <v>3005</v>
      </c>
      <c r="K567" s="1"/>
      <c r="L567" s="1" t="s">
        <v>2788</v>
      </c>
      <c r="M567" s="1" t="s">
        <v>3006</v>
      </c>
      <c r="N567" s="1" t="s">
        <v>3007</v>
      </c>
      <c r="O567" s="1" t="s">
        <v>3008</v>
      </c>
      <c r="P567" s="1" t="s">
        <v>2095</v>
      </c>
      <c r="Q567" s="1"/>
      <c r="R567" s="1"/>
      <c r="S567" s="1" t="s">
        <v>2072</v>
      </c>
      <c r="T567" s="1" t="s">
        <v>2073</v>
      </c>
      <c r="U567" s="4">
        <v>-1</v>
      </c>
      <c r="V567" s="4">
        <v>-34653</v>
      </c>
      <c r="W567" s="4">
        <v>-347</v>
      </c>
      <c r="X567" s="4">
        <v>0</v>
      </c>
      <c r="Y567" s="4">
        <v>0</v>
      </c>
      <c r="Z567" s="5">
        <v>-35000</v>
      </c>
      <c r="AA567" s="5">
        <v>0</v>
      </c>
      <c r="AB567" s="6">
        <v>0</v>
      </c>
      <c r="AC567" s="4">
        <v>-35000</v>
      </c>
      <c r="AD567" s="4">
        <v>0</v>
      </c>
      <c r="AE567" s="4">
        <v>-35000</v>
      </c>
      <c r="AF567" s="1"/>
      <c r="AG567" s="1"/>
      <c r="AH567" s="1"/>
      <c r="AI567" s="1" t="s">
        <v>2327</v>
      </c>
      <c r="AJ567" s="1"/>
      <c r="AK567" s="1"/>
      <c r="AL567" s="1"/>
    </row>
    <row r="568" spans="1:38" hidden="1" x14ac:dyDescent="0.25">
      <c r="A568" s="2">
        <v>712</v>
      </c>
      <c r="B568" s="1" t="s">
        <v>696</v>
      </c>
      <c r="C568" s="1" t="s">
        <v>697</v>
      </c>
      <c r="D568" s="1" t="s">
        <v>2062</v>
      </c>
      <c r="E568" s="1" t="s">
        <v>2063</v>
      </c>
      <c r="F568" s="3">
        <v>45199</v>
      </c>
      <c r="G568" s="3">
        <v>45190</v>
      </c>
      <c r="H568" s="3">
        <v>45555</v>
      </c>
      <c r="I568" s="1" t="s">
        <v>2533</v>
      </c>
      <c r="J568" s="1" t="s">
        <v>3009</v>
      </c>
      <c r="K568" s="1"/>
      <c r="L568" s="1" t="s">
        <v>2198</v>
      </c>
      <c r="M568" s="1" t="s">
        <v>3010</v>
      </c>
      <c r="N568" s="1" t="s">
        <v>3011</v>
      </c>
      <c r="O568" s="1" t="s">
        <v>3012</v>
      </c>
      <c r="P568" s="1" t="s">
        <v>2231</v>
      </c>
      <c r="Q568" s="1"/>
      <c r="R568" s="1"/>
      <c r="S568" s="1" t="s">
        <v>2072</v>
      </c>
      <c r="T568" s="1" t="s">
        <v>2073</v>
      </c>
      <c r="U568" s="4">
        <v>2500000</v>
      </c>
      <c r="V568" s="4">
        <v>39473</v>
      </c>
      <c r="W568" s="4">
        <v>395</v>
      </c>
      <c r="X568" s="4">
        <v>5132</v>
      </c>
      <c r="Y568" s="4">
        <v>0</v>
      </c>
      <c r="Z568" s="5">
        <v>45000</v>
      </c>
      <c r="AA568" s="5">
        <v>0</v>
      </c>
      <c r="AB568" s="6">
        <v>0</v>
      </c>
      <c r="AC568" s="4">
        <v>45000</v>
      </c>
      <c r="AD568" s="4">
        <v>0</v>
      </c>
      <c r="AE568" s="4">
        <v>45000</v>
      </c>
      <c r="AF568" s="1"/>
      <c r="AG568" s="1"/>
      <c r="AH568" s="1"/>
      <c r="AI568" s="1" t="s">
        <v>2327</v>
      </c>
      <c r="AJ568" s="1"/>
      <c r="AK568" s="1"/>
      <c r="AL568" s="1"/>
    </row>
    <row r="569" spans="1:38" hidden="1" x14ac:dyDescent="0.25">
      <c r="A569" s="2">
        <v>713</v>
      </c>
      <c r="B569" s="1" t="s">
        <v>696</v>
      </c>
      <c r="C569" s="1" t="s">
        <v>698</v>
      </c>
      <c r="D569" s="1" t="s">
        <v>2062</v>
      </c>
      <c r="E569" s="1" t="s">
        <v>2063</v>
      </c>
      <c r="F569" s="3">
        <v>45372</v>
      </c>
      <c r="G569" s="3">
        <v>45190</v>
      </c>
      <c r="H569" s="3">
        <v>45555</v>
      </c>
      <c r="I569" s="1" t="s">
        <v>2533</v>
      </c>
      <c r="J569" s="1" t="s">
        <v>3009</v>
      </c>
      <c r="K569" s="1"/>
      <c r="L569" s="1" t="s">
        <v>2198</v>
      </c>
      <c r="M569" s="1" t="s">
        <v>3010</v>
      </c>
      <c r="N569" s="1" t="s">
        <v>3011</v>
      </c>
      <c r="O569" s="1" t="s">
        <v>3012</v>
      </c>
      <c r="P569" s="1" t="s">
        <v>2231</v>
      </c>
      <c r="Q569" s="1"/>
      <c r="R569" s="1"/>
      <c r="S569" s="1" t="s">
        <v>2072</v>
      </c>
      <c r="T569" s="1" t="s">
        <v>2073</v>
      </c>
      <c r="U569" s="4">
        <v>2500000</v>
      </c>
      <c r="V569" s="4">
        <v>1540</v>
      </c>
      <c r="W569" s="4">
        <v>16</v>
      </c>
      <c r="X569" s="4">
        <v>200</v>
      </c>
      <c r="Y569" s="4">
        <v>0</v>
      </c>
      <c r="Z569" s="5">
        <v>1756</v>
      </c>
      <c r="AA569" s="5">
        <v>0</v>
      </c>
      <c r="AB569" s="6">
        <v>0</v>
      </c>
      <c r="AC569" s="4">
        <v>1756</v>
      </c>
      <c r="AD569" s="4">
        <v>0</v>
      </c>
      <c r="AE569" s="4">
        <v>1756</v>
      </c>
      <c r="AF569" s="1"/>
      <c r="AG569" s="1"/>
      <c r="AH569" s="1"/>
      <c r="AI569" s="1" t="s">
        <v>2327</v>
      </c>
      <c r="AJ569" s="6">
        <v>947.20999999999901</v>
      </c>
      <c r="AK569" s="6">
        <v>513.09</v>
      </c>
      <c r="AL569" s="1"/>
    </row>
    <row r="570" spans="1:38" hidden="1" x14ac:dyDescent="0.25">
      <c r="A570" s="2">
        <v>714</v>
      </c>
      <c r="B570" s="1" t="s">
        <v>696</v>
      </c>
      <c r="C570" s="1" t="s">
        <v>699</v>
      </c>
      <c r="D570" s="1" t="s">
        <v>2062</v>
      </c>
      <c r="E570" s="1" t="s">
        <v>2063</v>
      </c>
      <c r="F570" s="3">
        <v>45596</v>
      </c>
      <c r="G570" s="3">
        <v>45190</v>
      </c>
      <c r="H570" s="3">
        <v>45555</v>
      </c>
      <c r="I570" s="1" t="s">
        <v>2533</v>
      </c>
      <c r="J570" s="1" t="s">
        <v>3009</v>
      </c>
      <c r="K570" s="1"/>
      <c r="L570" s="1" t="s">
        <v>2198</v>
      </c>
      <c r="M570" s="1" t="s">
        <v>3010</v>
      </c>
      <c r="N570" s="1" t="s">
        <v>3011</v>
      </c>
      <c r="O570" s="1" t="s">
        <v>3012</v>
      </c>
      <c r="P570" s="1" t="s">
        <v>2231</v>
      </c>
      <c r="Q570" s="1"/>
      <c r="R570" s="1"/>
      <c r="S570" s="1" t="s">
        <v>2072</v>
      </c>
      <c r="T570" s="1" t="s">
        <v>2073</v>
      </c>
      <c r="U570" s="4">
        <v>-1</v>
      </c>
      <c r="V570" s="4">
        <v>-46293</v>
      </c>
      <c r="W570" s="4">
        <v>-463</v>
      </c>
      <c r="X570" s="4">
        <v>0</v>
      </c>
      <c r="Y570" s="4">
        <v>0</v>
      </c>
      <c r="Z570" s="5">
        <v>-46756</v>
      </c>
      <c r="AA570" s="5">
        <v>0</v>
      </c>
      <c r="AB570" s="6">
        <v>0</v>
      </c>
      <c r="AC570" s="4">
        <v>-46756</v>
      </c>
      <c r="AD570" s="4">
        <v>0</v>
      </c>
      <c r="AE570" s="4">
        <v>-46756</v>
      </c>
      <c r="AF570" s="1"/>
      <c r="AG570" s="1"/>
      <c r="AH570" s="1"/>
      <c r="AI570" s="1" t="s">
        <v>2327</v>
      </c>
      <c r="AJ570" s="1"/>
      <c r="AK570" s="1"/>
      <c r="AL570" s="1"/>
    </row>
    <row r="571" spans="1:38" hidden="1" x14ac:dyDescent="0.25">
      <c r="A571" s="2">
        <v>716</v>
      </c>
      <c r="B571" s="1" t="s">
        <v>700</v>
      </c>
      <c r="C571" s="1" t="s">
        <v>701</v>
      </c>
      <c r="D571" s="1" t="s">
        <v>2062</v>
      </c>
      <c r="E571" s="1" t="s">
        <v>2063</v>
      </c>
      <c r="F571" s="3">
        <v>45199</v>
      </c>
      <c r="G571" s="3">
        <v>45184</v>
      </c>
      <c r="H571" s="3">
        <v>45549</v>
      </c>
      <c r="I571" s="1" t="s">
        <v>3013</v>
      </c>
      <c r="J571" s="1" t="s">
        <v>3014</v>
      </c>
      <c r="K571" s="1"/>
      <c r="L571" s="1" t="s">
        <v>2864</v>
      </c>
      <c r="M571" s="1" t="s">
        <v>3015</v>
      </c>
      <c r="N571" s="1" t="s">
        <v>3016</v>
      </c>
      <c r="O571" s="1" t="s">
        <v>3017</v>
      </c>
      <c r="P571" s="1" t="s">
        <v>2095</v>
      </c>
      <c r="Q571" s="1"/>
      <c r="R571" s="1"/>
      <c r="S571" s="1" t="s">
        <v>2072</v>
      </c>
      <c r="T571" s="1" t="s">
        <v>3018</v>
      </c>
      <c r="U571" s="4">
        <v>3200000</v>
      </c>
      <c r="V571" s="4">
        <v>51753</v>
      </c>
      <c r="W571" s="4">
        <v>518</v>
      </c>
      <c r="X571" s="4">
        <v>6729</v>
      </c>
      <c r="Y571" s="4">
        <v>0</v>
      </c>
      <c r="Z571" s="5">
        <v>59000</v>
      </c>
      <c r="AA571" s="5">
        <v>0</v>
      </c>
      <c r="AB571" s="6">
        <v>0</v>
      </c>
      <c r="AC571" s="4">
        <v>59000</v>
      </c>
      <c r="AD571" s="4">
        <v>0</v>
      </c>
      <c r="AE571" s="4">
        <v>59000</v>
      </c>
      <c r="AF571" s="1"/>
      <c r="AG571" s="1"/>
      <c r="AH571" s="1"/>
      <c r="AI571" s="1" t="s">
        <v>2929</v>
      </c>
      <c r="AJ571" s="1"/>
      <c r="AK571" s="1"/>
      <c r="AL571" s="1"/>
    </row>
    <row r="572" spans="1:38" hidden="1" x14ac:dyDescent="0.25">
      <c r="A572" s="2">
        <v>717</v>
      </c>
      <c r="B572" s="1" t="s">
        <v>700</v>
      </c>
      <c r="C572" s="1" t="s">
        <v>702</v>
      </c>
      <c r="D572" s="1" t="s">
        <v>2062</v>
      </c>
      <c r="E572" s="1" t="s">
        <v>2063</v>
      </c>
      <c r="F572" s="3">
        <v>45397</v>
      </c>
      <c r="G572" s="3">
        <v>45184</v>
      </c>
      <c r="H572" s="3">
        <v>45549</v>
      </c>
      <c r="I572" s="1" t="s">
        <v>3013</v>
      </c>
      <c r="J572" s="1" t="s">
        <v>3014</v>
      </c>
      <c r="K572" s="1"/>
      <c r="L572" s="1" t="s">
        <v>2864</v>
      </c>
      <c r="M572" s="1" t="s">
        <v>3015</v>
      </c>
      <c r="N572" s="1" t="s">
        <v>3016</v>
      </c>
      <c r="O572" s="1" t="s">
        <v>3017</v>
      </c>
      <c r="P572" s="1" t="s">
        <v>2095</v>
      </c>
      <c r="Q572" s="1"/>
      <c r="R572" s="1"/>
      <c r="S572" s="1" t="s">
        <v>2072</v>
      </c>
      <c r="T572" s="1" t="s">
        <v>3018</v>
      </c>
      <c r="U572" s="4">
        <v>3200000</v>
      </c>
      <c r="V572" s="4">
        <v>523</v>
      </c>
      <c r="W572" s="4">
        <v>5</v>
      </c>
      <c r="X572" s="4">
        <v>67</v>
      </c>
      <c r="Y572" s="4">
        <v>0</v>
      </c>
      <c r="Z572" s="5">
        <v>595</v>
      </c>
      <c r="AA572" s="5">
        <v>0</v>
      </c>
      <c r="AB572" s="6">
        <v>0</v>
      </c>
      <c r="AC572" s="4">
        <v>595</v>
      </c>
      <c r="AD572" s="4">
        <v>0</v>
      </c>
      <c r="AE572" s="4">
        <v>595</v>
      </c>
      <c r="AF572" s="1"/>
      <c r="AG572" s="1"/>
      <c r="AH572" s="1"/>
      <c r="AI572" s="1" t="s">
        <v>2929</v>
      </c>
      <c r="AJ572" s="6">
        <v>163.57</v>
      </c>
      <c r="AK572" s="6">
        <v>135.99</v>
      </c>
      <c r="AL572" s="1"/>
    </row>
    <row r="573" spans="1:38" hidden="1" x14ac:dyDescent="0.25">
      <c r="A573" s="2">
        <v>718</v>
      </c>
      <c r="B573" s="1" t="s">
        <v>700</v>
      </c>
      <c r="C573" s="1" t="s">
        <v>703</v>
      </c>
      <c r="D573" s="1" t="s">
        <v>2062</v>
      </c>
      <c r="E573" s="1" t="s">
        <v>2063</v>
      </c>
      <c r="F573" s="3">
        <v>45428</v>
      </c>
      <c r="G573" s="3">
        <v>45184</v>
      </c>
      <c r="H573" s="3">
        <v>45549</v>
      </c>
      <c r="I573" s="1" t="s">
        <v>3013</v>
      </c>
      <c r="J573" s="1" t="s">
        <v>3014</v>
      </c>
      <c r="K573" s="1"/>
      <c r="L573" s="1" t="s">
        <v>2864</v>
      </c>
      <c r="M573" s="1" t="s">
        <v>3015</v>
      </c>
      <c r="N573" s="1" t="s">
        <v>3016</v>
      </c>
      <c r="O573" s="1" t="s">
        <v>3017</v>
      </c>
      <c r="P573" s="1" t="s">
        <v>2095</v>
      </c>
      <c r="Q573" s="1"/>
      <c r="R573" s="1"/>
      <c r="S573" s="1" t="s">
        <v>2072</v>
      </c>
      <c r="T573" s="1" t="s">
        <v>3018</v>
      </c>
      <c r="U573" s="4">
        <v>3200000</v>
      </c>
      <c r="V573" s="4">
        <v>312</v>
      </c>
      <c r="W573" s="4">
        <v>3</v>
      </c>
      <c r="X573" s="4">
        <v>41</v>
      </c>
      <c r="Y573" s="4">
        <v>0</v>
      </c>
      <c r="Z573" s="5">
        <v>356</v>
      </c>
      <c r="AA573" s="5">
        <v>0</v>
      </c>
      <c r="AB573" s="6">
        <v>0</v>
      </c>
      <c r="AC573" s="4">
        <v>356</v>
      </c>
      <c r="AD573" s="4">
        <v>0</v>
      </c>
      <c r="AE573" s="4">
        <v>356</v>
      </c>
      <c r="AF573" s="1"/>
      <c r="AG573" s="1"/>
      <c r="AH573" s="1"/>
      <c r="AI573" s="1" t="s">
        <v>2929</v>
      </c>
      <c r="AJ573" s="6">
        <v>81.180000000000007</v>
      </c>
      <c r="AK573" s="6">
        <v>81.180000000000007</v>
      </c>
      <c r="AL573" s="1"/>
    </row>
    <row r="574" spans="1:38" hidden="1" x14ac:dyDescent="0.25">
      <c r="A574" s="2">
        <v>719</v>
      </c>
      <c r="B574" s="1" t="s">
        <v>700</v>
      </c>
      <c r="C574" s="1" t="s">
        <v>704</v>
      </c>
      <c r="D574" s="1" t="s">
        <v>2062</v>
      </c>
      <c r="E574" s="1" t="s">
        <v>2063</v>
      </c>
      <c r="F574" s="3">
        <v>45463</v>
      </c>
      <c r="G574" s="3">
        <v>45184</v>
      </c>
      <c r="H574" s="3">
        <v>45549</v>
      </c>
      <c r="I574" s="1" t="s">
        <v>3013</v>
      </c>
      <c r="J574" s="1" t="s">
        <v>3014</v>
      </c>
      <c r="K574" s="1"/>
      <c r="L574" s="1" t="s">
        <v>2864</v>
      </c>
      <c r="M574" s="1" t="s">
        <v>3015</v>
      </c>
      <c r="N574" s="1" t="s">
        <v>3016</v>
      </c>
      <c r="O574" s="1" t="s">
        <v>3017</v>
      </c>
      <c r="P574" s="1" t="s">
        <v>2095</v>
      </c>
      <c r="Q574" s="1"/>
      <c r="R574" s="1"/>
      <c r="S574" s="1" t="s">
        <v>2072</v>
      </c>
      <c r="T574" s="1" t="s">
        <v>3018</v>
      </c>
      <c r="U574" s="4">
        <v>3200000</v>
      </c>
      <c r="V574" s="4">
        <v>297</v>
      </c>
      <c r="W574" s="4">
        <v>3</v>
      </c>
      <c r="X574" s="4">
        <v>39</v>
      </c>
      <c r="Y574" s="4">
        <v>0</v>
      </c>
      <c r="Z574" s="5">
        <v>339</v>
      </c>
      <c r="AA574" s="5">
        <v>0</v>
      </c>
      <c r="AB574" s="6">
        <v>0</v>
      </c>
      <c r="AC574" s="4">
        <v>339</v>
      </c>
      <c r="AD574" s="4">
        <v>0</v>
      </c>
      <c r="AE574" s="4">
        <v>339</v>
      </c>
      <c r="AF574" s="1"/>
      <c r="AG574" s="1"/>
      <c r="AH574" s="1"/>
      <c r="AI574" s="1" t="s">
        <v>2929</v>
      </c>
      <c r="AJ574" s="6">
        <v>81.45</v>
      </c>
      <c r="AK574" s="6">
        <v>77.41</v>
      </c>
      <c r="AL574" s="1"/>
    </row>
    <row r="575" spans="1:38" hidden="1" x14ac:dyDescent="0.25">
      <c r="A575" s="2">
        <v>720</v>
      </c>
      <c r="B575" s="1" t="s">
        <v>700</v>
      </c>
      <c r="C575" s="1" t="s">
        <v>705</v>
      </c>
      <c r="D575" s="1" t="s">
        <v>2062</v>
      </c>
      <c r="E575" s="1" t="s">
        <v>2063</v>
      </c>
      <c r="F575" s="3">
        <v>45492</v>
      </c>
      <c r="G575" s="3">
        <v>45184</v>
      </c>
      <c r="H575" s="3">
        <v>45549</v>
      </c>
      <c r="I575" s="1" t="s">
        <v>3013</v>
      </c>
      <c r="J575" s="1" t="s">
        <v>3014</v>
      </c>
      <c r="K575" s="1"/>
      <c r="L575" s="1" t="s">
        <v>2864</v>
      </c>
      <c r="M575" s="1" t="s">
        <v>3015</v>
      </c>
      <c r="N575" s="1" t="s">
        <v>3016</v>
      </c>
      <c r="O575" s="1" t="s">
        <v>3017</v>
      </c>
      <c r="P575" s="1" t="s">
        <v>2095</v>
      </c>
      <c r="Q575" s="1"/>
      <c r="R575" s="1"/>
      <c r="S575" s="1" t="s">
        <v>2072</v>
      </c>
      <c r="T575" s="1" t="s">
        <v>3018</v>
      </c>
      <c r="U575" s="4">
        <v>3200000</v>
      </c>
      <c r="V575" s="4">
        <v>1078</v>
      </c>
      <c r="W575" s="4">
        <v>11</v>
      </c>
      <c r="X575" s="4">
        <v>162</v>
      </c>
      <c r="Y575" s="4">
        <v>0</v>
      </c>
      <c r="Z575" s="5">
        <v>1251</v>
      </c>
      <c r="AA575" s="5">
        <v>0</v>
      </c>
      <c r="AB575" s="6">
        <v>0</v>
      </c>
      <c r="AC575" s="4">
        <v>1251</v>
      </c>
      <c r="AD575" s="4">
        <v>0</v>
      </c>
      <c r="AE575" s="4">
        <v>1251</v>
      </c>
      <c r="AF575" s="1"/>
      <c r="AG575" s="1"/>
      <c r="AH575" s="1"/>
      <c r="AI575" s="1" t="s">
        <v>2929</v>
      </c>
      <c r="AJ575" s="6">
        <v>408.4</v>
      </c>
      <c r="AK575" s="6">
        <v>285.57</v>
      </c>
      <c r="AL575" s="1"/>
    </row>
    <row r="576" spans="1:38" hidden="1" x14ac:dyDescent="0.25">
      <c r="A576" s="2">
        <v>721</v>
      </c>
      <c r="B576" s="1" t="s">
        <v>700</v>
      </c>
      <c r="C576" s="1" t="s">
        <v>706</v>
      </c>
      <c r="D576" s="1" t="s">
        <v>2062</v>
      </c>
      <c r="E576" s="1" t="s">
        <v>2063</v>
      </c>
      <c r="F576" s="3">
        <v>45521</v>
      </c>
      <c r="G576" s="3">
        <v>45184</v>
      </c>
      <c r="H576" s="3">
        <v>45549</v>
      </c>
      <c r="I576" s="1" t="s">
        <v>3013</v>
      </c>
      <c r="J576" s="1" t="s">
        <v>3014</v>
      </c>
      <c r="K576" s="1"/>
      <c r="L576" s="1" t="s">
        <v>2864</v>
      </c>
      <c r="M576" s="1" t="s">
        <v>3015</v>
      </c>
      <c r="N576" s="1" t="s">
        <v>3016</v>
      </c>
      <c r="O576" s="1" t="s">
        <v>3017</v>
      </c>
      <c r="P576" s="1" t="s">
        <v>2095</v>
      </c>
      <c r="Q576" s="1"/>
      <c r="R576" s="1"/>
      <c r="S576" s="1" t="s">
        <v>2072</v>
      </c>
      <c r="T576" s="1" t="s">
        <v>3018</v>
      </c>
      <c r="U576" s="4">
        <v>3200000</v>
      </c>
      <c r="V576" s="4">
        <v>34</v>
      </c>
      <c r="W576" s="4">
        <v>0</v>
      </c>
      <c r="X576" s="4">
        <v>5</v>
      </c>
      <c r="Y576" s="4">
        <v>0</v>
      </c>
      <c r="Z576" s="5">
        <v>39</v>
      </c>
      <c r="AA576" s="5">
        <v>0</v>
      </c>
      <c r="AB576" s="6">
        <v>0</v>
      </c>
      <c r="AC576" s="4">
        <v>39</v>
      </c>
      <c r="AD576" s="4">
        <v>0</v>
      </c>
      <c r="AE576" s="4">
        <v>39</v>
      </c>
      <c r="AF576" s="1"/>
      <c r="AG576" s="1"/>
      <c r="AH576" s="1"/>
      <c r="AI576" s="1" t="s">
        <v>2929</v>
      </c>
      <c r="AJ576" s="6">
        <v>9</v>
      </c>
      <c r="AK576" s="6">
        <v>9</v>
      </c>
      <c r="AL576" s="1"/>
    </row>
    <row r="577" spans="1:38" hidden="1" x14ac:dyDescent="0.25">
      <c r="A577" s="2">
        <v>722</v>
      </c>
      <c r="B577" s="1" t="s">
        <v>700</v>
      </c>
      <c r="C577" s="1" t="s">
        <v>707</v>
      </c>
      <c r="D577" s="1" t="s">
        <v>2062</v>
      </c>
      <c r="E577" s="1" t="s">
        <v>2063</v>
      </c>
      <c r="F577" s="3">
        <v>45555</v>
      </c>
      <c r="G577" s="3">
        <v>45184</v>
      </c>
      <c r="H577" s="3">
        <v>45549</v>
      </c>
      <c r="I577" s="1" t="s">
        <v>3013</v>
      </c>
      <c r="J577" s="1" t="s">
        <v>3014</v>
      </c>
      <c r="K577" s="1"/>
      <c r="L577" s="1" t="s">
        <v>2864</v>
      </c>
      <c r="M577" s="1" t="s">
        <v>3015</v>
      </c>
      <c r="N577" s="1" t="s">
        <v>3016</v>
      </c>
      <c r="O577" s="1" t="s">
        <v>3017</v>
      </c>
      <c r="P577" s="1" t="s">
        <v>2095</v>
      </c>
      <c r="Q577" s="1"/>
      <c r="R577" s="1"/>
      <c r="S577" s="1" t="s">
        <v>2072</v>
      </c>
      <c r="T577" s="1" t="s">
        <v>3018</v>
      </c>
      <c r="U577" s="4">
        <v>3200000</v>
      </c>
      <c r="V577" s="4">
        <v>340</v>
      </c>
      <c r="W577" s="4">
        <v>3</v>
      </c>
      <c r="X577" s="4">
        <v>51</v>
      </c>
      <c r="Y577" s="4">
        <v>0</v>
      </c>
      <c r="Z577" s="5">
        <v>394</v>
      </c>
      <c r="AA577" s="5">
        <v>0</v>
      </c>
      <c r="AB577" s="6">
        <v>0</v>
      </c>
      <c r="AC577" s="4">
        <v>394</v>
      </c>
      <c r="AD577" s="4">
        <v>0</v>
      </c>
      <c r="AE577" s="4">
        <v>394</v>
      </c>
      <c r="AF577" s="1"/>
      <c r="AG577" s="1"/>
      <c r="AH577" s="1"/>
      <c r="AI577" s="1" t="s">
        <v>2929</v>
      </c>
      <c r="AJ577" s="6">
        <v>100.61</v>
      </c>
      <c r="AK577" s="6">
        <v>90</v>
      </c>
      <c r="AL577" s="1"/>
    </row>
    <row r="578" spans="1:38" hidden="1" x14ac:dyDescent="0.25">
      <c r="A578" s="2">
        <v>723</v>
      </c>
      <c r="B578" s="1" t="s">
        <v>700</v>
      </c>
      <c r="C578" s="1" t="s">
        <v>708</v>
      </c>
      <c r="D578" s="1" t="s">
        <v>2062</v>
      </c>
      <c r="E578" s="1" t="s">
        <v>2063</v>
      </c>
      <c r="F578" s="3">
        <v>45596</v>
      </c>
      <c r="G578" s="3">
        <v>45184</v>
      </c>
      <c r="H578" s="3">
        <v>45549</v>
      </c>
      <c r="I578" s="1" t="s">
        <v>3013</v>
      </c>
      <c r="J578" s="1" t="s">
        <v>3014</v>
      </c>
      <c r="K578" s="1"/>
      <c r="L578" s="1" t="s">
        <v>2864</v>
      </c>
      <c r="M578" s="1" t="s">
        <v>3015</v>
      </c>
      <c r="N578" s="1" t="s">
        <v>3016</v>
      </c>
      <c r="O578" s="1" t="s">
        <v>3017</v>
      </c>
      <c r="P578" s="1" t="s">
        <v>2095</v>
      </c>
      <c r="Q578" s="1"/>
      <c r="R578" s="1"/>
      <c r="S578" s="1" t="s">
        <v>2072</v>
      </c>
      <c r="T578" s="1" t="s">
        <v>3018</v>
      </c>
      <c r="U578" s="4">
        <v>-1</v>
      </c>
      <c r="V578" s="4">
        <v>-61360</v>
      </c>
      <c r="W578" s="4">
        <v>-614</v>
      </c>
      <c r="X578" s="4">
        <v>0</v>
      </c>
      <c r="Y578" s="4">
        <v>0</v>
      </c>
      <c r="Z578" s="5">
        <v>-61974</v>
      </c>
      <c r="AA578" s="5">
        <v>0</v>
      </c>
      <c r="AB578" s="6">
        <v>0</v>
      </c>
      <c r="AC578" s="4">
        <v>-61974</v>
      </c>
      <c r="AD578" s="4">
        <v>0</v>
      </c>
      <c r="AE578" s="4">
        <v>-61974</v>
      </c>
      <c r="AF578" s="1"/>
      <c r="AG578" s="1"/>
      <c r="AH578" s="1"/>
      <c r="AI578" s="1" t="s">
        <v>2929</v>
      </c>
      <c r="AJ578" s="1"/>
      <c r="AK578" s="1"/>
      <c r="AL578" s="1"/>
    </row>
    <row r="579" spans="1:38" hidden="1" x14ac:dyDescent="0.25">
      <c r="A579" s="2">
        <v>724</v>
      </c>
      <c r="B579" s="1" t="s">
        <v>709</v>
      </c>
      <c r="C579" s="1" t="s">
        <v>710</v>
      </c>
      <c r="D579" s="1" t="s">
        <v>2062</v>
      </c>
      <c r="E579" s="1" t="s">
        <v>2063</v>
      </c>
      <c r="F579" s="3">
        <v>45199</v>
      </c>
      <c r="G579" s="3">
        <v>45194</v>
      </c>
      <c r="H579" s="3">
        <v>45559</v>
      </c>
      <c r="I579" s="1" t="s">
        <v>3019</v>
      </c>
      <c r="J579" s="1" t="s">
        <v>3020</v>
      </c>
      <c r="K579" s="1"/>
      <c r="L579" s="1" t="s">
        <v>2681</v>
      </c>
      <c r="M579" s="1" t="s">
        <v>3021</v>
      </c>
      <c r="N579" s="1" t="s">
        <v>3022</v>
      </c>
      <c r="O579" s="1" t="s">
        <v>3023</v>
      </c>
      <c r="P579" s="1" t="s">
        <v>2182</v>
      </c>
      <c r="Q579" s="1"/>
      <c r="R579" s="1"/>
      <c r="S579" s="1" t="s">
        <v>2072</v>
      </c>
      <c r="T579" s="1" t="s">
        <v>2073</v>
      </c>
      <c r="U579" s="4">
        <v>5000000</v>
      </c>
      <c r="V579" s="4">
        <v>83332</v>
      </c>
      <c r="W579" s="4">
        <v>834</v>
      </c>
      <c r="X579" s="4">
        <v>10834</v>
      </c>
      <c r="Y579" s="4">
        <v>0</v>
      </c>
      <c r="Z579" s="5">
        <v>95000</v>
      </c>
      <c r="AA579" s="5">
        <v>0</v>
      </c>
      <c r="AB579" s="6">
        <v>0</v>
      </c>
      <c r="AC579" s="4">
        <v>95000</v>
      </c>
      <c r="AD579" s="4">
        <v>0</v>
      </c>
      <c r="AE579" s="4">
        <v>95000</v>
      </c>
      <c r="AF579" s="1"/>
      <c r="AG579" s="1"/>
      <c r="AH579" s="1"/>
      <c r="AI579" s="1" t="s">
        <v>2327</v>
      </c>
      <c r="AJ579" s="1"/>
      <c r="AK579" s="1"/>
      <c r="AL579" s="1"/>
    </row>
    <row r="580" spans="1:38" hidden="1" x14ac:dyDescent="0.25">
      <c r="A580" s="2">
        <v>725</v>
      </c>
      <c r="B580" s="1" t="s">
        <v>709</v>
      </c>
      <c r="C580" s="1" t="s">
        <v>711</v>
      </c>
      <c r="D580" s="1" t="s">
        <v>2062</v>
      </c>
      <c r="E580" s="1" t="s">
        <v>2063</v>
      </c>
      <c r="F580" s="3">
        <v>45407</v>
      </c>
      <c r="G580" s="3">
        <v>45194</v>
      </c>
      <c r="H580" s="3">
        <v>45559</v>
      </c>
      <c r="I580" s="1" t="s">
        <v>3019</v>
      </c>
      <c r="J580" s="1" t="s">
        <v>3020</v>
      </c>
      <c r="K580" s="1"/>
      <c r="L580" s="1" t="s">
        <v>2681</v>
      </c>
      <c r="M580" s="1" t="s">
        <v>3021</v>
      </c>
      <c r="N580" s="1" t="s">
        <v>3022</v>
      </c>
      <c r="O580" s="1" t="s">
        <v>3023</v>
      </c>
      <c r="P580" s="1" t="s">
        <v>2182</v>
      </c>
      <c r="Q580" s="1"/>
      <c r="R580" s="1"/>
      <c r="S580" s="1" t="s">
        <v>2072</v>
      </c>
      <c r="T580" s="1" t="s">
        <v>2073</v>
      </c>
      <c r="U580" s="4">
        <v>5000000</v>
      </c>
      <c r="V580" s="4">
        <v>397</v>
      </c>
      <c r="W580" s="4">
        <v>3</v>
      </c>
      <c r="X580" s="4">
        <v>51</v>
      </c>
      <c r="Y580" s="4">
        <v>0</v>
      </c>
      <c r="Z580" s="5">
        <v>451</v>
      </c>
      <c r="AA580" s="5">
        <v>0</v>
      </c>
      <c r="AB580" s="6">
        <v>0</v>
      </c>
      <c r="AC580" s="4">
        <v>451</v>
      </c>
      <c r="AD580" s="4">
        <v>0</v>
      </c>
      <c r="AE580" s="4">
        <v>451</v>
      </c>
      <c r="AF580" s="1"/>
      <c r="AG580" s="1"/>
      <c r="AH580" s="1"/>
      <c r="AI580" s="1" t="s">
        <v>2327</v>
      </c>
      <c r="AJ580" s="6">
        <v>88.090000000000074</v>
      </c>
      <c r="AK580" s="6">
        <v>65.899999999999977</v>
      </c>
      <c r="AL580" s="1"/>
    </row>
    <row r="581" spans="1:38" hidden="1" x14ac:dyDescent="0.25">
      <c r="A581" s="2">
        <v>726</v>
      </c>
      <c r="B581" s="1" t="s">
        <v>709</v>
      </c>
      <c r="C581" s="1" t="s">
        <v>712</v>
      </c>
      <c r="D581" s="1" t="s">
        <v>2062</v>
      </c>
      <c r="E581" s="1" t="s">
        <v>2063</v>
      </c>
      <c r="F581" s="3">
        <v>45468</v>
      </c>
      <c r="G581" s="3">
        <v>45194</v>
      </c>
      <c r="H581" s="3">
        <v>45559</v>
      </c>
      <c r="I581" s="1" t="s">
        <v>3019</v>
      </c>
      <c r="J581" s="1" t="s">
        <v>3020</v>
      </c>
      <c r="K581" s="1"/>
      <c r="L581" s="1" t="s">
        <v>2681</v>
      </c>
      <c r="M581" s="1" t="s">
        <v>3021</v>
      </c>
      <c r="N581" s="1" t="s">
        <v>3022</v>
      </c>
      <c r="O581" s="1" t="s">
        <v>3023</v>
      </c>
      <c r="P581" s="1" t="s">
        <v>2182</v>
      </c>
      <c r="Q581" s="1"/>
      <c r="R581" s="1"/>
      <c r="S581" s="1" t="s">
        <v>2072</v>
      </c>
      <c r="T581" s="1" t="s">
        <v>2073</v>
      </c>
      <c r="U581" s="4">
        <v>5000000</v>
      </c>
      <c r="V581" s="4">
        <v>135</v>
      </c>
      <c r="W581" s="4">
        <v>2</v>
      </c>
      <c r="X581" s="4">
        <v>18</v>
      </c>
      <c r="Y581" s="4">
        <v>0</v>
      </c>
      <c r="Z581" s="5">
        <v>155</v>
      </c>
      <c r="AA581" s="5">
        <v>0</v>
      </c>
      <c r="AB581" s="6">
        <v>0</v>
      </c>
      <c r="AC581" s="4">
        <v>155</v>
      </c>
      <c r="AD581" s="4">
        <v>0</v>
      </c>
      <c r="AE581" s="4">
        <v>155</v>
      </c>
      <c r="AF581" s="1"/>
      <c r="AG581" s="1"/>
      <c r="AH581" s="1"/>
      <c r="AI581" s="1" t="s">
        <v>2327</v>
      </c>
      <c r="AJ581" s="6">
        <v>22.59</v>
      </c>
      <c r="AK581" s="6">
        <v>22.59</v>
      </c>
      <c r="AL581" s="1"/>
    </row>
    <row r="582" spans="1:38" hidden="1" x14ac:dyDescent="0.25">
      <c r="A582" s="2">
        <v>727</v>
      </c>
      <c r="B582" s="1" t="s">
        <v>709</v>
      </c>
      <c r="C582" s="1" t="s">
        <v>713</v>
      </c>
      <c r="D582" s="1" t="s">
        <v>2062</v>
      </c>
      <c r="E582" s="1" t="s">
        <v>2063</v>
      </c>
      <c r="F582" s="3">
        <v>45596</v>
      </c>
      <c r="G582" s="3">
        <v>45194</v>
      </c>
      <c r="H582" s="3">
        <v>45559</v>
      </c>
      <c r="I582" s="1" t="s">
        <v>3019</v>
      </c>
      <c r="J582" s="1" t="s">
        <v>3020</v>
      </c>
      <c r="K582" s="1"/>
      <c r="L582" s="1" t="s">
        <v>2681</v>
      </c>
      <c r="M582" s="1" t="s">
        <v>3021</v>
      </c>
      <c r="N582" s="1" t="s">
        <v>3022</v>
      </c>
      <c r="O582" s="1" t="s">
        <v>3023</v>
      </c>
      <c r="P582" s="1" t="s">
        <v>2182</v>
      </c>
      <c r="Q582" s="1"/>
      <c r="R582" s="1"/>
      <c r="S582" s="1" t="s">
        <v>2072</v>
      </c>
      <c r="T582" s="1" t="s">
        <v>2073</v>
      </c>
      <c r="U582" s="4">
        <v>-1</v>
      </c>
      <c r="V582" s="4">
        <v>-94659</v>
      </c>
      <c r="W582" s="4">
        <v>-947</v>
      </c>
      <c r="X582" s="4">
        <v>0</v>
      </c>
      <c r="Y582" s="4">
        <v>0</v>
      </c>
      <c r="Z582" s="5">
        <v>-95606</v>
      </c>
      <c r="AA582" s="5">
        <v>0</v>
      </c>
      <c r="AB582" s="6">
        <v>0</v>
      </c>
      <c r="AC582" s="4">
        <v>-95606</v>
      </c>
      <c r="AD582" s="4">
        <v>0</v>
      </c>
      <c r="AE582" s="4">
        <v>-95606</v>
      </c>
      <c r="AF582" s="1"/>
      <c r="AG582" s="1"/>
      <c r="AH582" s="1"/>
      <c r="AI582" s="1" t="s">
        <v>2327</v>
      </c>
      <c r="AJ582" s="1"/>
      <c r="AK582" s="1"/>
      <c r="AL582" s="1"/>
    </row>
    <row r="583" spans="1:38" hidden="1" x14ac:dyDescent="0.25">
      <c r="A583" s="2">
        <v>731</v>
      </c>
      <c r="B583" s="1" t="s">
        <v>714</v>
      </c>
      <c r="C583" s="1" t="s">
        <v>715</v>
      </c>
      <c r="D583" s="1" t="s">
        <v>2062</v>
      </c>
      <c r="E583" s="1" t="s">
        <v>2063</v>
      </c>
      <c r="F583" s="3">
        <v>45199</v>
      </c>
      <c r="G583" s="3">
        <v>45192</v>
      </c>
      <c r="H583" s="3">
        <v>45557</v>
      </c>
      <c r="I583" s="1" t="s">
        <v>3024</v>
      </c>
      <c r="J583" s="1" t="s">
        <v>3025</v>
      </c>
      <c r="K583" s="1"/>
      <c r="L583" s="1" t="s">
        <v>2131</v>
      </c>
      <c r="M583" s="1" t="s">
        <v>3026</v>
      </c>
      <c r="N583" s="1" t="s">
        <v>3027</v>
      </c>
      <c r="O583" s="1" t="s">
        <v>3028</v>
      </c>
      <c r="P583" s="1" t="s">
        <v>2182</v>
      </c>
      <c r="Q583" s="1"/>
      <c r="R583" s="1"/>
      <c r="S583" s="1" t="s">
        <v>2072</v>
      </c>
      <c r="T583" s="1" t="s">
        <v>2073</v>
      </c>
      <c r="U583" s="4">
        <v>2900000</v>
      </c>
      <c r="V583" s="4">
        <v>46491</v>
      </c>
      <c r="W583" s="4">
        <v>465</v>
      </c>
      <c r="X583" s="4">
        <v>6044</v>
      </c>
      <c r="Y583" s="4">
        <v>0</v>
      </c>
      <c r="Z583" s="5">
        <v>53000</v>
      </c>
      <c r="AA583" s="5">
        <v>0</v>
      </c>
      <c r="AB583" s="6">
        <v>0</v>
      </c>
      <c r="AC583" s="4">
        <v>53000</v>
      </c>
      <c r="AD583" s="4">
        <v>0</v>
      </c>
      <c r="AE583" s="4">
        <v>53000</v>
      </c>
      <c r="AF583" s="1"/>
      <c r="AG583" s="1"/>
      <c r="AH583" s="1"/>
      <c r="AI583" s="1" t="s">
        <v>2327</v>
      </c>
      <c r="AJ583" s="1"/>
      <c r="AK583" s="1"/>
      <c r="AL583" s="1"/>
    </row>
    <row r="584" spans="1:38" hidden="1" x14ac:dyDescent="0.25">
      <c r="A584" s="2">
        <v>732</v>
      </c>
      <c r="B584" s="1" t="s">
        <v>714</v>
      </c>
      <c r="C584" s="1" t="s">
        <v>716</v>
      </c>
      <c r="D584" s="1" t="s">
        <v>2062</v>
      </c>
      <c r="E584" s="1" t="s">
        <v>2063</v>
      </c>
      <c r="F584" s="3">
        <v>45531</v>
      </c>
      <c r="G584" s="3">
        <v>45192</v>
      </c>
      <c r="H584" s="3">
        <v>45557</v>
      </c>
      <c r="I584" s="1" t="s">
        <v>3024</v>
      </c>
      <c r="J584" s="1" t="s">
        <v>3025</v>
      </c>
      <c r="K584" s="1"/>
      <c r="L584" s="1" t="s">
        <v>2131</v>
      </c>
      <c r="M584" s="1" t="s">
        <v>3026</v>
      </c>
      <c r="N584" s="1" t="s">
        <v>3027</v>
      </c>
      <c r="O584" s="1" t="s">
        <v>3028</v>
      </c>
      <c r="P584" s="1" t="s">
        <v>2182</v>
      </c>
      <c r="Q584" s="1"/>
      <c r="R584" s="1"/>
      <c r="S584" s="1" t="s">
        <v>2072</v>
      </c>
      <c r="T584" s="1" t="s">
        <v>2073</v>
      </c>
      <c r="U584" s="4">
        <v>2900000</v>
      </c>
      <c r="V584" s="4">
        <v>619</v>
      </c>
      <c r="W584" s="4">
        <v>6</v>
      </c>
      <c r="X584" s="4">
        <v>93</v>
      </c>
      <c r="Y584" s="4">
        <v>0</v>
      </c>
      <c r="Z584" s="5">
        <v>718</v>
      </c>
      <c r="AA584" s="5">
        <v>0</v>
      </c>
      <c r="AB584" s="6">
        <v>0</v>
      </c>
      <c r="AC584" s="4">
        <v>718</v>
      </c>
      <c r="AD584" s="4">
        <v>0</v>
      </c>
      <c r="AE584" s="4">
        <v>718</v>
      </c>
      <c r="AF584" s="1"/>
      <c r="AG584" s="1"/>
      <c r="AH584" s="1"/>
      <c r="AI584" s="1" t="s">
        <v>2327</v>
      </c>
      <c r="AJ584" s="6">
        <v>183.94</v>
      </c>
      <c r="AK584" s="6">
        <v>180.28</v>
      </c>
      <c r="AL584" s="1"/>
    </row>
    <row r="585" spans="1:38" hidden="1" x14ac:dyDescent="0.25">
      <c r="A585" s="2">
        <v>733</v>
      </c>
      <c r="B585" s="1" t="s">
        <v>714</v>
      </c>
      <c r="C585" s="1" t="s">
        <v>717</v>
      </c>
      <c r="D585" s="1" t="s">
        <v>2062</v>
      </c>
      <c r="E585" s="1" t="s">
        <v>2063</v>
      </c>
      <c r="F585" s="3">
        <v>45559</v>
      </c>
      <c r="G585" s="3">
        <v>45192</v>
      </c>
      <c r="H585" s="3">
        <v>45557</v>
      </c>
      <c r="I585" s="1" t="s">
        <v>3024</v>
      </c>
      <c r="J585" s="1" t="s">
        <v>3025</v>
      </c>
      <c r="K585" s="1"/>
      <c r="L585" s="1" t="s">
        <v>2131</v>
      </c>
      <c r="M585" s="1" t="s">
        <v>3026</v>
      </c>
      <c r="N585" s="1" t="s">
        <v>3027</v>
      </c>
      <c r="O585" s="1" t="s">
        <v>3028</v>
      </c>
      <c r="P585" s="1" t="s">
        <v>2182</v>
      </c>
      <c r="Q585" s="1"/>
      <c r="R585" s="1"/>
      <c r="S585" s="1" t="s">
        <v>2072</v>
      </c>
      <c r="T585" s="1" t="s">
        <v>2073</v>
      </c>
      <c r="U585" s="4">
        <v>2900000</v>
      </c>
      <c r="V585" s="4">
        <v>2397</v>
      </c>
      <c r="W585" s="4">
        <v>24</v>
      </c>
      <c r="X585" s="4">
        <v>359</v>
      </c>
      <c r="Y585" s="4">
        <v>0</v>
      </c>
      <c r="Z585" s="5">
        <v>2780</v>
      </c>
      <c r="AA585" s="5">
        <v>0</v>
      </c>
      <c r="AB585" s="6">
        <v>0</v>
      </c>
      <c r="AC585" s="4">
        <v>2780</v>
      </c>
      <c r="AD585" s="4">
        <v>0</v>
      </c>
      <c r="AE585" s="4">
        <v>2780</v>
      </c>
      <c r="AF585" s="1"/>
      <c r="AG585" s="1"/>
      <c r="AH585" s="1"/>
      <c r="AI585" s="1" t="s">
        <v>2327</v>
      </c>
      <c r="AJ585" s="6">
        <v>735.60000000000207</v>
      </c>
      <c r="AK585" s="6">
        <v>700.37000000000205</v>
      </c>
      <c r="AL585" s="1"/>
    </row>
    <row r="586" spans="1:38" hidden="1" x14ac:dyDescent="0.25">
      <c r="A586" s="2">
        <v>734</v>
      </c>
      <c r="B586" s="1" t="s">
        <v>714</v>
      </c>
      <c r="C586" s="1" t="s">
        <v>718</v>
      </c>
      <c r="D586" s="1" t="s">
        <v>2062</v>
      </c>
      <c r="E586" s="1" t="s">
        <v>2063</v>
      </c>
      <c r="F586" s="3">
        <v>45596</v>
      </c>
      <c r="G586" s="3">
        <v>45192</v>
      </c>
      <c r="H586" s="3">
        <v>45557</v>
      </c>
      <c r="I586" s="1" t="s">
        <v>3024</v>
      </c>
      <c r="J586" s="1" t="s">
        <v>3025</v>
      </c>
      <c r="K586" s="1"/>
      <c r="L586" s="1" t="s">
        <v>2131</v>
      </c>
      <c r="M586" s="1" t="s">
        <v>3026</v>
      </c>
      <c r="N586" s="1" t="s">
        <v>3027</v>
      </c>
      <c r="O586" s="1" t="s">
        <v>3028</v>
      </c>
      <c r="P586" s="1" t="s">
        <v>2182</v>
      </c>
      <c r="Q586" s="1"/>
      <c r="R586" s="1"/>
      <c r="S586" s="1" t="s">
        <v>2072</v>
      </c>
      <c r="T586" s="1" t="s">
        <v>2073</v>
      </c>
      <c r="U586" s="4">
        <v>-1</v>
      </c>
      <c r="V586" s="4">
        <v>-55939</v>
      </c>
      <c r="W586" s="4">
        <v>-559</v>
      </c>
      <c r="X586" s="4">
        <v>0</v>
      </c>
      <c r="Y586" s="4">
        <v>0</v>
      </c>
      <c r="Z586" s="5">
        <v>-56498</v>
      </c>
      <c r="AA586" s="5">
        <v>0</v>
      </c>
      <c r="AB586" s="6">
        <v>0</v>
      </c>
      <c r="AC586" s="4">
        <v>-56498</v>
      </c>
      <c r="AD586" s="4">
        <v>0</v>
      </c>
      <c r="AE586" s="4">
        <v>-56498</v>
      </c>
      <c r="AF586" s="1"/>
      <c r="AG586" s="1"/>
      <c r="AH586" s="1"/>
      <c r="AI586" s="1" t="s">
        <v>2327</v>
      </c>
      <c r="AJ586" s="1"/>
      <c r="AK586" s="1"/>
      <c r="AL586" s="1"/>
    </row>
    <row r="587" spans="1:38" hidden="1" x14ac:dyDescent="0.25">
      <c r="A587" s="2">
        <v>735</v>
      </c>
      <c r="B587" s="1" t="s">
        <v>719</v>
      </c>
      <c r="C587" s="1" t="s">
        <v>720</v>
      </c>
      <c r="D587" s="1" t="s">
        <v>2062</v>
      </c>
      <c r="E587" s="1" t="s">
        <v>2063</v>
      </c>
      <c r="F587" s="3">
        <v>45199</v>
      </c>
      <c r="G587" s="3">
        <v>45196</v>
      </c>
      <c r="H587" s="3">
        <v>45561</v>
      </c>
      <c r="I587" s="1" t="s">
        <v>3029</v>
      </c>
      <c r="J587" s="1" t="s">
        <v>3030</v>
      </c>
      <c r="K587" s="1"/>
      <c r="L587" s="1" t="s">
        <v>3031</v>
      </c>
      <c r="M587" s="1" t="s">
        <v>3032</v>
      </c>
      <c r="N587" s="1" t="s">
        <v>3033</v>
      </c>
      <c r="O587" s="1" t="s">
        <v>3034</v>
      </c>
      <c r="P587" s="1" t="s">
        <v>2165</v>
      </c>
      <c r="Q587" s="1"/>
      <c r="R587" s="1"/>
      <c r="S587" s="1" t="s">
        <v>2072</v>
      </c>
      <c r="T587" s="1" t="s">
        <v>2073</v>
      </c>
      <c r="U587" s="4">
        <v>3500000</v>
      </c>
      <c r="V587" s="4">
        <v>57016</v>
      </c>
      <c r="W587" s="4">
        <v>571</v>
      </c>
      <c r="X587" s="4">
        <v>7413</v>
      </c>
      <c r="Y587" s="4">
        <v>0</v>
      </c>
      <c r="Z587" s="5">
        <v>65000</v>
      </c>
      <c r="AA587" s="5">
        <v>0</v>
      </c>
      <c r="AB587" s="6">
        <v>0</v>
      </c>
      <c r="AC587" s="4">
        <v>65000</v>
      </c>
      <c r="AD587" s="4">
        <v>0</v>
      </c>
      <c r="AE587" s="4">
        <v>65000</v>
      </c>
      <c r="AF587" s="1"/>
      <c r="AG587" s="1"/>
      <c r="AH587" s="1"/>
      <c r="AI587" s="1" t="s">
        <v>3035</v>
      </c>
      <c r="AJ587" s="1"/>
      <c r="AK587" s="1"/>
      <c r="AL587" s="1"/>
    </row>
    <row r="588" spans="1:38" hidden="1" x14ac:dyDescent="0.25">
      <c r="A588" s="2">
        <v>736</v>
      </c>
      <c r="B588" s="1" t="s">
        <v>719</v>
      </c>
      <c r="C588" s="1" t="s">
        <v>721</v>
      </c>
      <c r="D588" s="1" t="s">
        <v>2062</v>
      </c>
      <c r="E588" s="1" t="s">
        <v>2063</v>
      </c>
      <c r="F588" s="3">
        <v>45411</v>
      </c>
      <c r="G588" s="3">
        <v>45196</v>
      </c>
      <c r="H588" s="3">
        <v>45561</v>
      </c>
      <c r="I588" s="1" t="s">
        <v>3029</v>
      </c>
      <c r="J588" s="1" t="s">
        <v>3030</v>
      </c>
      <c r="K588" s="1"/>
      <c r="L588" s="1" t="s">
        <v>3031</v>
      </c>
      <c r="M588" s="1" t="s">
        <v>3032</v>
      </c>
      <c r="N588" s="1" t="s">
        <v>3033</v>
      </c>
      <c r="O588" s="1" t="s">
        <v>3034</v>
      </c>
      <c r="P588" s="1" t="s">
        <v>2165</v>
      </c>
      <c r="Q588" s="1"/>
      <c r="R588" s="1"/>
      <c r="S588" s="1" t="s">
        <v>2072</v>
      </c>
      <c r="T588" s="1" t="s">
        <v>2073</v>
      </c>
      <c r="U588" s="4">
        <v>3500000</v>
      </c>
      <c r="V588" s="4">
        <v>2576</v>
      </c>
      <c r="W588" s="4">
        <v>26</v>
      </c>
      <c r="X588" s="4">
        <v>335</v>
      </c>
      <c r="Y588" s="4">
        <v>0</v>
      </c>
      <c r="Z588" s="5">
        <v>2937</v>
      </c>
      <c r="AA588" s="5">
        <v>0</v>
      </c>
      <c r="AB588" s="6">
        <v>0</v>
      </c>
      <c r="AC588" s="4">
        <v>2937</v>
      </c>
      <c r="AD588" s="4">
        <v>0</v>
      </c>
      <c r="AE588" s="4">
        <v>2937</v>
      </c>
      <c r="AF588" s="1"/>
      <c r="AG588" s="1"/>
      <c r="AH588" s="1"/>
      <c r="AI588" s="1" t="s">
        <v>3035</v>
      </c>
      <c r="AJ588" s="6">
        <v>700.91000000000122</v>
      </c>
      <c r="AK588" s="6">
        <v>612.26</v>
      </c>
      <c r="AL588" s="1"/>
    </row>
    <row r="589" spans="1:38" hidden="1" x14ac:dyDescent="0.25">
      <c r="A589" s="2">
        <v>737</v>
      </c>
      <c r="B589" s="1" t="s">
        <v>719</v>
      </c>
      <c r="C589" s="1" t="s">
        <v>722</v>
      </c>
      <c r="D589" s="1" t="s">
        <v>2062</v>
      </c>
      <c r="E589" s="1" t="s">
        <v>2063</v>
      </c>
      <c r="F589" s="3">
        <v>45439</v>
      </c>
      <c r="G589" s="3">
        <v>45196</v>
      </c>
      <c r="H589" s="3">
        <v>45561</v>
      </c>
      <c r="I589" s="1" t="s">
        <v>3029</v>
      </c>
      <c r="J589" s="1" t="s">
        <v>3030</v>
      </c>
      <c r="K589" s="1"/>
      <c r="L589" s="1" t="s">
        <v>3031</v>
      </c>
      <c r="M589" s="1" t="s">
        <v>3032</v>
      </c>
      <c r="N589" s="1" t="s">
        <v>3033</v>
      </c>
      <c r="O589" s="1" t="s">
        <v>3034</v>
      </c>
      <c r="P589" s="1" t="s">
        <v>2165</v>
      </c>
      <c r="Q589" s="1"/>
      <c r="R589" s="1"/>
      <c r="S589" s="1" t="s">
        <v>2072</v>
      </c>
      <c r="T589" s="1" t="s">
        <v>2073</v>
      </c>
      <c r="U589" s="4">
        <v>3500000</v>
      </c>
      <c r="V589" s="4">
        <v>3744</v>
      </c>
      <c r="W589" s="4">
        <v>38</v>
      </c>
      <c r="X589" s="4">
        <v>487</v>
      </c>
      <c r="Y589" s="4">
        <v>0</v>
      </c>
      <c r="Z589" s="5">
        <v>4269</v>
      </c>
      <c r="AA589" s="5">
        <v>0</v>
      </c>
      <c r="AB589" s="6">
        <v>0</v>
      </c>
      <c r="AC589" s="4">
        <v>4269</v>
      </c>
      <c r="AD589" s="4">
        <v>0</v>
      </c>
      <c r="AE589" s="4">
        <v>4269</v>
      </c>
      <c r="AF589" s="1"/>
      <c r="AG589" s="1"/>
      <c r="AH589" s="1"/>
      <c r="AI589" s="1" t="s">
        <v>3035</v>
      </c>
      <c r="AJ589" s="6">
        <v>1297.9100000000021</v>
      </c>
      <c r="AK589" s="6">
        <v>889.83</v>
      </c>
      <c r="AL589" s="1"/>
    </row>
    <row r="590" spans="1:38" hidden="1" x14ac:dyDescent="0.25">
      <c r="A590" s="2">
        <v>738</v>
      </c>
      <c r="B590" s="1" t="s">
        <v>719</v>
      </c>
      <c r="C590" s="1" t="s">
        <v>723</v>
      </c>
      <c r="D590" s="1" t="s">
        <v>2062</v>
      </c>
      <c r="E590" s="1" t="s">
        <v>2063</v>
      </c>
      <c r="F590" s="3">
        <v>45470</v>
      </c>
      <c r="G590" s="3">
        <v>45196</v>
      </c>
      <c r="H590" s="3">
        <v>45561</v>
      </c>
      <c r="I590" s="1" t="s">
        <v>3029</v>
      </c>
      <c r="J590" s="1" t="s">
        <v>3030</v>
      </c>
      <c r="K590" s="1"/>
      <c r="L590" s="1" t="s">
        <v>3031</v>
      </c>
      <c r="M590" s="1" t="s">
        <v>3032</v>
      </c>
      <c r="N590" s="1" t="s">
        <v>3033</v>
      </c>
      <c r="O590" s="1" t="s">
        <v>3034</v>
      </c>
      <c r="P590" s="1" t="s">
        <v>2165</v>
      </c>
      <c r="Q590" s="1"/>
      <c r="R590" s="1"/>
      <c r="S590" s="1" t="s">
        <v>2072</v>
      </c>
      <c r="T590" s="1" t="s">
        <v>2073</v>
      </c>
      <c r="U590" s="4">
        <v>3500000</v>
      </c>
      <c r="V590" s="4">
        <v>4192</v>
      </c>
      <c r="W590" s="4">
        <v>42</v>
      </c>
      <c r="X590" s="4">
        <v>545</v>
      </c>
      <c r="Y590" s="4">
        <v>0</v>
      </c>
      <c r="Z590" s="5">
        <v>4779</v>
      </c>
      <c r="AA590" s="5">
        <v>0</v>
      </c>
      <c r="AB590" s="6">
        <v>0</v>
      </c>
      <c r="AC590" s="4">
        <v>4779</v>
      </c>
      <c r="AD590" s="4">
        <v>0</v>
      </c>
      <c r="AE590" s="4">
        <v>4779</v>
      </c>
      <c r="AF590" s="1"/>
      <c r="AG590" s="1"/>
      <c r="AH590" s="1"/>
      <c r="AI590" s="1" t="s">
        <v>3035</v>
      </c>
      <c r="AJ590" s="6">
        <v>1486.059999999999</v>
      </c>
      <c r="AK590" s="6">
        <v>996.01</v>
      </c>
      <c r="AL590" s="1"/>
    </row>
    <row r="591" spans="1:38" hidden="1" x14ac:dyDescent="0.25">
      <c r="A591" s="2">
        <v>739</v>
      </c>
      <c r="B591" s="1" t="s">
        <v>719</v>
      </c>
      <c r="C591" s="1" t="s">
        <v>724</v>
      </c>
      <c r="D591" s="1" t="s">
        <v>2062</v>
      </c>
      <c r="E591" s="1" t="s">
        <v>2063</v>
      </c>
      <c r="F591" s="3">
        <v>45503</v>
      </c>
      <c r="G591" s="3">
        <v>45196</v>
      </c>
      <c r="H591" s="3">
        <v>45561</v>
      </c>
      <c r="I591" s="1" t="s">
        <v>3029</v>
      </c>
      <c r="J591" s="1" t="s">
        <v>3030</v>
      </c>
      <c r="K591" s="1"/>
      <c r="L591" s="1" t="s">
        <v>3031</v>
      </c>
      <c r="M591" s="1" t="s">
        <v>3032</v>
      </c>
      <c r="N591" s="1" t="s">
        <v>3033</v>
      </c>
      <c r="O591" s="1" t="s">
        <v>3034</v>
      </c>
      <c r="P591" s="1" t="s">
        <v>2165</v>
      </c>
      <c r="Q591" s="1"/>
      <c r="R591" s="1"/>
      <c r="S591" s="1" t="s">
        <v>2072</v>
      </c>
      <c r="T591" s="1" t="s">
        <v>2073</v>
      </c>
      <c r="U591" s="4">
        <v>3500000</v>
      </c>
      <c r="V591" s="4">
        <v>3436</v>
      </c>
      <c r="W591" s="4">
        <v>34</v>
      </c>
      <c r="X591" s="4">
        <v>515</v>
      </c>
      <c r="Y591" s="4">
        <v>0</v>
      </c>
      <c r="Z591" s="5">
        <v>3985</v>
      </c>
      <c r="AA591" s="5">
        <v>0</v>
      </c>
      <c r="AB591" s="6">
        <v>0</v>
      </c>
      <c r="AC591" s="4">
        <v>3985</v>
      </c>
      <c r="AD591" s="4">
        <v>0</v>
      </c>
      <c r="AE591" s="4">
        <v>3985</v>
      </c>
      <c r="AF591" s="1"/>
      <c r="AG591" s="1"/>
      <c r="AH591" s="1"/>
      <c r="AI591" s="1" t="s">
        <v>3035</v>
      </c>
      <c r="AJ591" s="6">
        <v>977.85000000000105</v>
      </c>
      <c r="AK591" s="6">
        <v>830.92</v>
      </c>
      <c r="AL591" s="1"/>
    </row>
    <row r="592" spans="1:38" hidden="1" x14ac:dyDescent="0.25">
      <c r="A592" s="2">
        <v>740</v>
      </c>
      <c r="B592" s="1" t="s">
        <v>719</v>
      </c>
      <c r="C592" s="1" t="s">
        <v>725</v>
      </c>
      <c r="D592" s="1" t="s">
        <v>2062</v>
      </c>
      <c r="E592" s="1" t="s">
        <v>2063</v>
      </c>
      <c r="F592" s="3">
        <v>45596</v>
      </c>
      <c r="G592" s="3">
        <v>45196</v>
      </c>
      <c r="H592" s="3">
        <v>45561</v>
      </c>
      <c r="I592" s="1" t="s">
        <v>3029</v>
      </c>
      <c r="J592" s="1" t="s">
        <v>3030</v>
      </c>
      <c r="K592" s="1"/>
      <c r="L592" s="1" t="s">
        <v>3031</v>
      </c>
      <c r="M592" s="1" t="s">
        <v>3032</v>
      </c>
      <c r="N592" s="1" t="s">
        <v>3033</v>
      </c>
      <c r="O592" s="1" t="s">
        <v>3034</v>
      </c>
      <c r="P592" s="1" t="s">
        <v>2165</v>
      </c>
      <c r="Q592" s="1"/>
      <c r="R592" s="1"/>
      <c r="S592" s="1" t="s">
        <v>2072</v>
      </c>
      <c r="T592" s="1" t="s">
        <v>2073</v>
      </c>
      <c r="U592" s="4">
        <v>-1</v>
      </c>
      <c r="V592" s="4">
        <v>-80168</v>
      </c>
      <c r="W592" s="4">
        <v>-802</v>
      </c>
      <c r="X592" s="4">
        <v>0</v>
      </c>
      <c r="Y592" s="4">
        <v>0</v>
      </c>
      <c r="Z592" s="5">
        <v>-80970</v>
      </c>
      <c r="AA592" s="5">
        <v>0</v>
      </c>
      <c r="AB592" s="6">
        <v>0</v>
      </c>
      <c r="AC592" s="4">
        <v>-80970</v>
      </c>
      <c r="AD592" s="4">
        <v>0</v>
      </c>
      <c r="AE592" s="4">
        <v>-80970</v>
      </c>
      <c r="AF592" s="1"/>
      <c r="AG592" s="1"/>
      <c r="AH592" s="1"/>
      <c r="AI592" s="1" t="s">
        <v>3035</v>
      </c>
      <c r="AJ592" s="1"/>
      <c r="AK592" s="1"/>
      <c r="AL592" s="1"/>
    </row>
    <row r="593" spans="1:38" hidden="1" x14ac:dyDescent="0.25">
      <c r="A593" s="2">
        <v>741</v>
      </c>
      <c r="B593" s="1" t="s">
        <v>726</v>
      </c>
      <c r="C593" s="1" t="s">
        <v>727</v>
      </c>
      <c r="D593" s="1" t="s">
        <v>2062</v>
      </c>
      <c r="E593" s="1" t="s">
        <v>2063</v>
      </c>
      <c r="F593" s="3">
        <v>45199</v>
      </c>
      <c r="G593" s="3">
        <v>45196</v>
      </c>
      <c r="H593" s="3">
        <v>45561</v>
      </c>
      <c r="I593" s="1" t="s">
        <v>3036</v>
      </c>
      <c r="J593" s="1" t="s">
        <v>3037</v>
      </c>
      <c r="K593" s="1"/>
      <c r="L593" s="1" t="s">
        <v>2131</v>
      </c>
      <c r="M593" s="1" t="s">
        <v>3038</v>
      </c>
      <c r="N593" s="1" t="s">
        <v>3039</v>
      </c>
      <c r="O593" s="1" t="s">
        <v>3040</v>
      </c>
      <c r="P593" s="1" t="s">
        <v>2182</v>
      </c>
      <c r="Q593" s="1"/>
      <c r="R593" s="1"/>
      <c r="S593" s="1" t="s">
        <v>2072</v>
      </c>
      <c r="T593" s="1" t="s">
        <v>2489</v>
      </c>
      <c r="U593" s="4">
        <v>3000000</v>
      </c>
      <c r="V593" s="4">
        <v>48245</v>
      </c>
      <c r="W593" s="4">
        <v>483</v>
      </c>
      <c r="X593" s="4">
        <v>6272</v>
      </c>
      <c r="Y593" s="4">
        <v>0</v>
      </c>
      <c r="Z593" s="5">
        <v>55000</v>
      </c>
      <c r="AA593" s="5">
        <v>0</v>
      </c>
      <c r="AB593" s="6">
        <v>0</v>
      </c>
      <c r="AC593" s="4">
        <v>55000</v>
      </c>
      <c r="AD593" s="4">
        <v>0</v>
      </c>
      <c r="AE593" s="4">
        <v>55000</v>
      </c>
      <c r="AF593" s="1"/>
      <c r="AG593" s="1"/>
      <c r="AH593" s="1"/>
      <c r="AI593" s="1" t="s">
        <v>2327</v>
      </c>
      <c r="AJ593" s="1"/>
      <c r="AK593" s="1"/>
      <c r="AL593" s="1"/>
    </row>
    <row r="594" spans="1:38" hidden="1" x14ac:dyDescent="0.25">
      <c r="A594" s="2">
        <v>742</v>
      </c>
      <c r="B594" s="1" t="s">
        <v>726</v>
      </c>
      <c r="C594" s="1" t="s">
        <v>728</v>
      </c>
      <c r="D594" s="1" t="s">
        <v>2062</v>
      </c>
      <c r="E594" s="1" t="s">
        <v>2063</v>
      </c>
      <c r="F594" s="3">
        <v>45503</v>
      </c>
      <c r="G594" s="3">
        <v>45196</v>
      </c>
      <c r="H594" s="3">
        <v>45561</v>
      </c>
      <c r="I594" s="1" t="s">
        <v>3036</v>
      </c>
      <c r="J594" s="1" t="s">
        <v>3037</v>
      </c>
      <c r="K594" s="1"/>
      <c r="L594" s="1" t="s">
        <v>2131</v>
      </c>
      <c r="M594" s="1" t="s">
        <v>3038</v>
      </c>
      <c r="N594" s="1" t="s">
        <v>3039</v>
      </c>
      <c r="O594" s="1" t="s">
        <v>3040</v>
      </c>
      <c r="P594" s="1" t="s">
        <v>2182</v>
      </c>
      <c r="Q594" s="1"/>
      <c r="R594" s="1"/>
      <c r="S594" s="1" t="s">
        <v>2072</v>
      </c>
      <c r="T594" s="1" t="s">
        <v>2489</v>
      </c>
      <c r="U594" s="4">
        <v>3000000</v>
      </c>
      <c r="V594" s="4">
        <v>1819</v>
      </c>
      <c r="W594" s="4">
        <v>18</v>
      </c>
      <c r="X594" s="4">
        <v>273</v>
      </c>
      <c r="Y594" s="4">
        <v>0</v>
      </c>
      <c r="Z594" s="5">
        <v>2110</v>
      </c>
      <c r="AA594" s="5">
        <v>0</v>
      </c>
      <c r="AB594" s="6">
        <v>0</v>
      </c>
      <c r="AC594" s="4">
        <v>2110</v>
      </c>
      <c r="AD594" s="4">
        <v>0</v>
      </c>
      <c r="AE594" s="4">
        <v>2110</v>
      </c>
      <c r="AF594" s="1"/>
      <c r="AG594" s="1"/>
      <c r="AH594" s="1"/>
      <c r="AI594" s="1" t="s">
        <v>2327</v>
      </c>
      <c r="AJ594" s="6">
        <v>3786.919999999981</v>
      </c>
      <c r="AK594" s="6">
        <v>641.33000000000004</v>
      </c>
      <c r="AL594" s="1"/>
    </row>
    <row r="595" spans="1:38" hidden="1" x14ac:dyDescent="0.25">
      <c r="A595" s="2">
        <v>743</v>
      </c>
      <c r="B595" s="1" t="s">
        <v>726</v>
      </c>
      <c r="C595" s="1" t="s">
        <v>729</v>
      </c>
      <c r="D595" s="1" t="s">
        <v>2062</v>
      </c>
      <c r="E595" s="1" t="s">
        <v>2063</v>
      </c>
      <c r="F595" s="3">
        <v>45535</v>
      </c>
      <c r="G595" s="3">
        <v>45196</v>
      </c>
      <c r="H595" s="3">
        <v>45561</v>
      </c>
      <c r="I595" s="1" t="s">
        <v>3036</v>
      </c>
      <c r="J595" s="1" t="s">
        <v>3037</v>
      </c>
      <c r="K595" s="1"/>
      <c r="L595" s="1" t="s">
        <v>2131</v>
      </c>
      <c r="M595" s="1" t="s">
        <v>3038</v>
      </c>
      <c r="N595" s="1" t="s">
        <v>3039</v>
      </c>
      <c r="O595" s="1" t="s">
        <v>3040</v>
      </c>
      <c r="P595" s="1" t="s">
        <v>2182</v>
      </c>
      <c r="Q595" s="1"/>
      <c r="R595" s="1"/>
      <c r="S595" s="1" t="s">
        <v>2072</v>
      </c>
      <c r="T595" s="1" t="s">
        <v>2489</v>
      </c>
      <c r="U595" s="4">
        <v>3000000</v>
      </c>
      <c r="V595" s="4">
        <v>1135</v>
      </c>
      <c r="W595" s="4">
        <v>11</v>
      </c>
      <c r="X595" s="4">
        <v>170</v>
      </c>
      <c r="Y595" s="4">
        <v>0</v>
      </c>
      <c r="Z595" s="5">
        <v>1316</v>
      </c>
      <c r="AA595" s="5">
        <v>0</v>
      </c>
      <c r="AB595" s="6">
        <v>0</v>
      </c>
      <c r="AC595" s="4">
        <v>1316</v>
      </c>
      <c r="AD595" s="4">
        <v>0</v>
      </c>
      <c r="AE595" s="4">
        <v>1316</v>
      </c>
      <c r="AF595" s="1"/>
      <c r="AG595" s="1"/>
      <c r="AH595" s="1"/>
      <c r="AI595" s="1" t="s">
        <v>2327</v>
      </c>
      <c r="AJ595" s="6">
        <v>1358.7399999999991</v>
      </c>
      <c r="AK595" s="6">
        <v>400.0800000000001</v>
      </c>
      <c r="AL595" s="1"/>
    </row>
    <row r="596" spans="1:38" hidden="1" x14ac:dyDescent="0.25">
      <c r="A596" s="2">
        <v>744</v>
      </c>
      <c r="B596" s="1" t="s">
        <v>726</v>
      </c>
      <c r="C596" s="1" t="s">
        <v>730</v>
      </c>
      <c r="D596" s="1" t="s">
        <v>2062</v>
      </c>
      <c r="E596" s="1" t="s">
        <v>2063</v>
      </c>
      <c r="F596" s="3">
        <v>45563</v>
      </c>
      <c r="G596" s="3">
        <v>45196</v>
      </c>
      <c r="H596" s="3">
        <v>45561</v>
      </c>
      <c r="I596" s="1" t="s">
        <v>3036</v>
      </c>
      <c r="J596" s="1" t="s">
        <v>3037</v>
      </c>
      <c r="K596" s="1"/>
      <c r="L596" s="1" t="s">
        <v>2131</v>
      </c>
      <c r="M596" s="1" t="s">
        <v>3038</v>
      </c>
      <c r="N596" s="1" t="s">
        <v>3039</v>
      </c>
      <c r="O596" s="1" t="s">
        <v>3040</v>
      </c>
      <c r="P596" s="1" t="s">
        <v>2182</v>
      </c>
      <c r="Q596" s="1"/>
      <c r="R596" s="1"/>
      <c r="S596" s="1" t="s">
        <v>2072</v>
      </c>
      <c r="T596" s="1" t="s">
        <v>2489</v>
      </c>
      <c r="U596" s="4">
        <v>3000000</v>
      </c>
      <c r="V596" s="4">
        <v>795</v>
      </c>
      <c r="W596" s="4">
        <v>8</v>
      </c>
      <c r="X596" s="4">
        <v>119</v>
      </c>
      <c r="Y596" s="4">
        <v>0</v>
      </c>
      <c r="Z596" s="5">
        <v>922</v>
      </c>
      <c r="AA596" s="5">
        <v>0</v>
      </c>
      <c r="AB596" s="6">
        <v>0</v>
      </c>
      <c r="AC596" s="4">
        <v>922</v>
      </c>
      <c r="AD596" s="4">
        <v>0</v>
      </c>
      <c r="AE596" s="4">
        <v>922</v>
      </c>
      <c r="AF596" s="1"/>
      <c r="AG596" s="1"/>
      <c r="AH596" s="1"/>
      <c r="AI596" s="1" t="s">
        <v>2327</v>
      </c>
      <c r="AJ596" s="6">
        <v>335.5</v>
      </c>
      <c r="AK596" s="6">
        <v>280.17</v>
      </c>
      <c r="AL596" s="1"/>
    </row>
    <row r="597" spans="1:38" hidden="1" x14ac:dyDescent="0.25">
      <c r="A597" s="2">
        <v>745</v>
      </c>
      <c r="B597" s="1" t="s">
        <v>726</v>
      </c>
      <c r="C597" s="1" t="s">
        <v>731</v>
      </c>
      <c r="D597" s="1" t="s">
        <v>2062</v>
      </c>
      <c r="E597" s="1" t="s">
        <v>2063</v>
      </c>
      <c r="F597" s="3">
        <v>45596</v>
      </c>
      <c r="G597" s="3">
        <v>45196</v>
      </c>
      <c r="H597" s="3">
        <v>45561</v>
      </c>
      <c r="I597" s="1" t="s">
        <v>3036</v>
      </c>
      <c r="J597" s="1" t="s">
        <v>3037</v>
      </c>
      <c r="K597" s="1"/>
      <c r="L597" s="1" t="s">
        <v>2131</v>
      </c>
      <c r="M597" s="1" t="s">
        <v>3038</v>
      </c>
      <c r="N597" s="1" t="s">
        <v>3039</v>
      </c>
      <c r="O597" s="1" t="s">
        <v>3040</v>
      </c>
      <c r="P597" s="1" t="s">
        <v>2182</v>
      </c>
      <c r="Q597" s="1"/>
      <c r="R597" s="1"/>
      <c r="S597" s="1" t="s">
        <v>2072</v>
      </c>
      <c r="T597" s="1" t="s">
        <v>2489</v>
      </c>
      <c r="U597" s="4">
        <v>-1</v>
      </c>
      <c r="V597" s="4">
        <v>-58760</v>
      </c>
      <c r="W597" s="4">
        <v>-588</v>
      </c>
      <c r="X597" s="4">
        <v>0</v>
      </c>
      <c r="Y597" s="4">
        <v>0</v>
      </c>
      <c r="Z597" s="5">
        <v>-59348</v>
      </c>
      <c r="AA597" s="5">
        <v>0</v>
      </c>
      <c r="AB597" s="6">
        <v>0</v>
      </c>
      <c r="AC597" s="4">
        <v>-59348</v>
      </c>
      <c r="AD597" s="4">
        <v>0</v>
      </c>
      <c r="AE597" s="4">
        <v>-59348</v>
      </c>
      <c r="AF597" s="1"/>
      <c r="AG597" s="1"/>
      <c r="AH597" s="1"/>
      <c r="AI597" s="1" t="s">
        <v>2327</v>
      </c>
      <c r="AJ597" s="1"/>
      <c r="AK597" s="1"/>
      <c r="AL597" s="1"/>
    </row>
    <row r="598" spans="1:38" hidden="1" x14ac:dyDescent="0.25">
      <c r="A598" s="2">
        <v>746</v>
      </c>
      <c r="B598" s="1" t="s">
        <v>732</v>
      </c>
      <c r="C598" s="1" t="s">
        <v>733</v>
      </c>
      <c r="D598" s="1" t="s">
        <v>2062</v>
      </c>
      <c r="E598" s="1" t="s">
        <v>2063</v>
      </c>
      <c r="F598" s="3">
        <v>45230</v>
      </c>
      <c r="G598" s="3">
        <v>45194</v>
      </c>
      <c r="H598" s="3">
        <v>45559</v>
      </c>
      <c r="I598" s="1" t="s">
        <v>3041</v>
      </c>
      <c r="J598" s="1" t="s">
        <v>3042</v>
      </c>
      <c r="K598" s="1"/>
      <c r="L598" s="1" t="s">
        <v>2336</v>
      </c>
      <c r="M598" s="1" t="s">
        <v>3043</v>
      </c>
      <c r="N598" s="1" t="s">
        <v>3044</v>
      </c>
      <c r="O598" s="1" t="s">
        <v>3045</v>
      </c>
      <c r="P598" s="1" t="s">
        <v>2165</v>
      </c>
      <c r="Q598" s="1"/>
      <c r="R598" s="1"/>
      <c r="S598" s="1" t="s">
        <v>2072</v>
      </c>
      <c r="T598" s="1" t="s">
        <v>2073</v>
      </c>
      <c r="U598" s="4">
        <v>3800000</v>
      </c>
      <c r="V598" s="4">
        <v>60178</v>
      </c>
      <c r="W598" s="4">
        <v>602</v>
      </c>
      <c r="X598" s="4">
        <v>7823</v>
      </c>
      <c r="Y598" s="4">
        <v>0</v>
      </c>
      <c r="Z598" s="5">
        <v>68603</v>
      </c>
      <c r="AA598" s="5">
        <v>0</v>
      </c>
      <c r="AB598" s="6">
        <v>0</v>
      </c>
      <c r="AC598" s="4">
        <v>68603</v>
      </c>
      <c r="AD598" s="4">
        <v>0</v>
      </c>
      <c r="AE598" s="4">
        <v>68603</v>
      </c>
      <c r="AF598" s="1"/>
      <c r="AG598" s="1"/>
      <c r="AH598" s="1"/>
      <c r="AI598" s="1" t="s">
        <v>2327</v>
      </c>
      <c r="AJ598" s="1"/>
      <c r="AK598" s="1"/>
      <c r="AL598" s="1" t="s">
        <v>3046</v>
      </c>
    </row>
    <row r="599" spans="1:38" hidden="1" x14ac:dyDescent="0.25">
      <c r="A599" s="2">
        <v>747</v>
      </c>
      <c r="B599" s="1" t="s">
        <v>732</v>
      </c>
      <c r="C599" s="1" t="s">
        <v>734</v>
      </c>
      <c r="D599" s="1" t="s">
        <v>2062</v>
      </c>
      <c r="E599" s="1" t="s">
        <v>2063</v>
      </c>
      <c r="F599" s="3">
        <v>45533</v>
      </c>
      <c r="G599" s="3">
        <v>45194</v>
      </c>
      <c r="H599" s="3">
        <v>45559</v>
      </c>
      <c r="I599" s="1" t="s">
        <v>3041</v>
      </c>
      <c r="J599" s="1" t="s">
        <v>3042</v>
      </c>
      <c r="K599" s="1"/>
      <c r="L599" s="1" t="s">
        <v>2336</v>
      </c>
      <c r="M599" s="1" t="s">
        <v>3043</v>
      </c>
      <c r="N599" s="1" t="s">
        <v>3044</v>
      </c>
      <c r="O599" s="1" t="s">
        <v>3045</v>
      </c>
      <c r="P599" s="1" t="s">
        <v>2165</v>
      </c>
      <c r="Q599" s="1"/>
      <c r="R599" s="1"/>
      <c r="S599" s="1" t="s">
        <v>2072</v>
      </c>
      <c r="T599" s="1" t="s">
        <v>2073</v>
      </c>
      <c r="U599" s="4">
        <v>3800000</v>
      </c>
      <c r="V599" s="4">
        <v>3788</v>
      </c>
      <c r="W599" s="4">
        <v>38</v>
      </c>
      <c r="X599" s="4">
        <v>568</v>
      </c>
      <c r="Y599" s="4">
        <v>0</v>
      </c>
      <c r="Z599" s="5">
        <v>4394</v>
      </c>
      <c r="AA599" s="5">
        <v>0</v>
      </c>
      <c r="AB599" s="6">
        <v>0</v>
      </c>
      <c r="AC599" s="4">
        <v>4394</v>
      </c>
      <c r="AD599" s="4">
        <v>0</v>
      </c>
      <c r="AE599" s="4">
        <v>4394</v>
      </c>
      <c r="AF599" s="1"/>
      <c r="AG599" s="1"/>
      <c r="AH599" s="1"/>
      <c r="AI599" s="1" t="s">
        <v>2327</v>
      </c>
      <c r="AJ599" s="6">
        <v>886.70000000000107</v>
      </c>
      <c r="AK599" s="6">
        <v>844.56</v>
      </c>
      <c r="AL599" s="1"/>
    </row>
    <row r="600" spans="1:38" hidden="1" x14ac:dyDescent="0.25">
      <c r="A600" s="2">
        <v>748</v>
      </c>
      <c r="B600" s="1" t="s">
        <v>732</v>
      </c>
      <c r="C600" s="1" t="s">
        <v>735</v>
      </c>
      <c r="D600" s="1" t="s">
        <v>2062</v>
      </c>
      <c r="E600" s="1" t="s">
        <v>2063</v>
      </c>
      <c r="F600" s="3">
        <v>45596</v>
      </c>
      <c r="G600" s="3">
        <v>45194</v>
      </c>
      <c r="H600" s="3">
        <v>45559</v>
      </c>
      <c r="I600" s="1" t="s">
        <v>3041</v>
      </c>
      <c r="J600" s="1" t="s">
        <v>3042</v>
      </c>
      <c r="K600" s="1"/>
      <c r="L600" s="1" t="s">
        <v>2336</v>
      </c>
      <c r="M600" s="1" t="s">
        <v>3043</v>
      </c>
      <c r="N600" s="1" t="s">
        <v>3044</v>
      </c>
      <c r="O600" s="1" t="s">
        <v>3045</v>
      </c>
      <c r="P600" s="1" t="s">
        <v>2165</v>
      </c>
      <c r="Q600" s="1"/>
      <c r="R600" s="1"/>
      <c r="S600" s="1" t="s">
        <v>2072</v>
      </c>
      <c r="T600" s="1" t="s">
        <v>2073</v>
      </c>
      <c r="U600" s="4">
        <v>-1</v>
      </c>
      <c r="V600" s="4">
        <v>-72274</v>
      </c>
      <c r="W600" s="4">
        <v>-723</v>
      </c>
      <c r="X600" s="4">
        <v>0</v>
      </c>
      <c r="Y600" s="4">
        <v>0</v>
      </c>
      <c r="Z600" s="5">
        <v>-72997</v>
      </c>
      <c r="AA600" s="5">
        <v>0</v>
      </c>
      <c r="AB600" s="6">
        <v>0</v>
      </c>
      <c r="AC600" s="4">
        <v>-72997</v>
      </c>
      <c r="AD600" s="4">
        <v>0</v>
      </c>
      <c r="AE600" s="4">
        <v>-72997</v>
      </c>
      <c r="AF600" s="1"/>
      <c r="AG600" s="1"/>
      <c r="AH600" s="1"/>
      <c r="AI600" s="1" t="s">
        <v>2327</v>
      </c>
      <c r="AJ600" s="1"/>
      <c r="AK600" s="1"/>
      <c r="AL600" s="1"/>
    </row>
    <row r="601" spans="1:38" hidden="1" x14ac:dyDescent="0.25">
      <c r="A601" s="2">
        <v>749</v>
      </c>
      <c r="B601" s="1" t="s">
        <v>736</v>
      </c>
      <c r="C601" s="1" t="s">
        <v>737</v>
      </c>
      <c r="D601" s="1" t="s">
        <v>2062</v>
      </c>
      <c r="E601" s="1" t="s">
        <v>2063</v>
      </c>
      <c r="F601" s="3">
        <v>45230</v>
      </c>
      <c r="G601" s="3">
        <v>45197</v>
      </c>
      <c r="H601" s="3">
        <v>45562</v>
      </c>
      <c r="I601" s="1" t="s">
        <v>3047</v>
      </c>
      <c r="J601" s="1" t="s">
        <v>3048</v>
      </c>
      <c r="K601" s="1"/>
      <c r="L601" s="1" t="s">
        <v>2131</v>
      </c>
      <c r="M601" s="1" t="s">
        <v>3049</v>
      </c>
      <c r="N601" s="1" t="s">
        <v>3050</v>
      </c>
      <c r="O601" s="1" t="s">
        <v>3051</v>
      </c>
      <c r="P601" s="1" t="s">
        <v>2182</v>
      </c>
      <c r="Q601" s="1"/>
      <c r="R601" s="1"/>
      <c r="S601" s="1" t="s">
        <v>2072</v>
      </c>
      <c r="T601" s="1" t="s">
        <v>2073</v>
      </c>
      <c r="U601" s="4">
        <v>3000000</v>
      </c>
      <c r="V601" s="4">
        <v>46869</v>
      </c>
      <c r="W601" s="4">
        <v>469</v>
      </c>
      <c r="X601" s="4">
        <v>6092</v>
      </c>
      <c r="Y601" s="4">
        <v>0</v>
      </c>
      <c r="Z601" s="5">
        <v>53430</v>
      </c>
      <c r="AA601" s="5">
        <v>0</v>
      </c>
      <c r="AB601" s="6">
        <v>0</v>
      </c>
      <c r="AC601" s="4">
        <v>53430</v>
      </c>
      <c r="AD601" s="4">
        <v>0</v>
      </c>
      <c r="AE601" s="4">
        <v>53430</v>
      </c>
      <c r="AF601" s="1"/>
      <c r="AG601" s="1"/>
      <c r="AH601" s="1"/>
      <c r="AI601" s="1" t="s">
        <v>2327</v>
      </c>
      <c r="AJ601" s="1"/>
      <c r="AK601" s="1"/>
      <c r="AL601" s="1"/>
    </row>
    <row r="602" spans="1:38" hidden="1" x14ac:dyDescent="0.25">
      <c r="A602" s="2">
        <v>750</v>
      </c>
      <c r="B602" s="1" t="s">
        <v>736</v>
      </c>
      <c r="C602" s="1" t="s">
        <v>738</v>
      </c>
      <c r="D602" s="1" t="s">
        <v>2062</v>
      </c>
      <c r="E602" s="1" t="s">
        <v>2063</v>
      </c>
      <c r="F602" s="3">
        <v>45411</v>
      </c>
      <c r="G602" s="3">
        <v>45197</v>
      </c>
      <c r="H602" s="3">
        <v>45562</v>
      </c>
      <c r="I602" s="1" t="s">
        <v>3047</v>
      </c>
      <c r="J602" s="1" t="s">
        <v>3048</v>
      </c>
      <c r="K602" s="1"/>
      <c r="L602" s="1" t="s">
        <v>2131</v>
      </c>
      <c r="M602" s="1" t="s">
        <v>3049</v>
      </c>
      <c r="N602" s="1" t="s">
        <v>3050</v>
      </c>
      <c r="O602" s="1" t="s">
        <v>3051</v>
      </c>
      <c r="P602" s="1" t="s">
        <v>2182</v>
      </c>
      <c r="Q602" s="1"/>
      <c r="R602" s="1"/>
      <c r="S602" s="1" t="s">
        <v>2072</v>
      </c>
      <c r="T602" s="1" t="s">
        <v>2073</v>
      </c>
      <c r="U602" s="4">
        <v>3000000</v>
      </c>
      <c r="V602" s="4">
        <v>2546</v>
      </c>
      <c r="W602" s="4">
        <v>25</v>
      </c>
      <c r="X602" s="4">
        <v>331</v>
      </c>
      <c r="Y602" s="4">
        <v>0</v>
      </c>
      <c r="Z602" s="5">
        <v>2902</v>
      </c>
      <c r="AA602" s="5">
        <v>0</v>
      </c>
      <c r="AB602" s="6">
        <v>0</v>
      </c>
      <c r="AC602" s="4">
        <v>2902</v>
      </c>
      <c r="AD602" s="4">
        <v>0</v>
      </c>
      <c r="AE602" s="4">
        <v>2902</v>
      </c>
      <c r="AF602" s="1"/>
      <c r="AG602" s="1"/>
      <c r="AH602" s="1"/>
      <c r="AI602" s="1" t="s">
        <v>2327</v>
      </c>
      <c r="AJ602" s="6">
        <v>1046.5600000000009</v>
      </c>
      <c r="AK602" s="6">
        <v>706.06</v>
      </c>
      <c r="AL602" s="1"/>
    </row>
    <row r="603" spans="1:38" hidden="1" x14ac:dyDescent="0.25">
      <c r="A603" s="2">
        <v>751</v>
      </c>
      <c r="B603" s="1" t="s">
        <v>736</v>
      </c>
      <c r="C603" s="1" t="s">
        <v>739</v>
      </c>
      <c r="D603" s="1" t="s">
        <v>2062</v>
      </c>
      <c r="E603" s="1" t="s">
        <v>2063</v>
      </c>
      <c r="F603" s="3">
        <v>45441</v>
      </c>
      <c r="G603" s="3">
        <v>45197</v>
      </c>
      <c r="H603" s="3">
        <v>45562</v>
      </c>
      <c r="I603" s="1" t="s">
        <v>3047</v>
      </c>
      <c r="J603" s="1" t="s">
        <v>3048</v>
      </c>
      <c r="K603" s="1"/>
      <c r="L603" s="1" t="s">
        <v>2131</v>
      </c>
      <c r="M603" s="1" t="s">
        <v>3049</v>
      </c>
      <c r="N603" s="1" t="s">
        <v>3050</v>
      </c>
      <c r="O603" s="1" t="s">
        <v>3051</v>
      </c>
      <c r="P603" s="1" t="s">
        <v>2182</v>
      </c>
      <c r="Q603" s="1"/>
      <c r="R603" s="1"/>
      <c r="S603" s="1" t="s">
        <v>2072</v>
      </c>
      <c r="T603" s="1" t="s">
        <v>2073</v>
      </c>
      <c r="U603" s="4">
        <v>3000000</v>
      </c>
      <c r="V603" s="4">
        <v>1047</v>
      </c>
      <c r="W603" s="4">
        <v>11</v>
      </c>
      <c r="X603" s="4">
        <v>136</v>
      </c>
      <c r="Y603" s="4">
        <v>0</v>
      </c>
      <c r="Z603" s="5">
        <v>1194</v>
      </c>
      <c r="AA603" s="5">
        <v>0</v>
      </c>
      <c r="AB603" s="6">
        <v>0</v>
      </c>
      <c r="AC603" s="4">
        <v>1194</v>
      </c>
      <c r="AD603" s="4">
        <v>0</v>
      </c>
      <c r="AE603" s="4">
        <v>1194</v>
      </c>
      <c r="AF603" s="1"/>
      <c r="AG603" s="1"/>
      <c r="AH603" s="1"/>
      <c r="AI603" s="1" t="s">
        <v>2327</v>
      </c>
      <c r="AJ603" s="6">
        <v>718.80999999999915</v>
      </c>
      <c r="AK603" s="6">
        <v>290.49</v>
      </c>
      <c r="AL603" s="1"/>
    </row>
    <row r="604" spans="1:38" hidden="1" x14ac:dyDescent="0.25">
      <c r="A604" s="2">
        <v>752</v>
      </c>
      <c r="B604" s="1" t="s">
        <v>736</v>
      </c>
      <c r="C604" s="1" t="s">
        <v>740</v>
      </c>
      <c r="D604" s="1" t="s">
        <v>2062</v>
      </c>
      <c r="E604" s="1" t="s">
        <v>2063</v>
      </c>
      <c r="F604" s="3">
        <v>45471</v>
      </c>
      <c r="G604" s="3">
        <v>45197</v>
      </c>
      <c r="H604" s="3">
        <v>45562</v>
      </c>
      <c r="I604" s="1" t="s">
        <v>3047</v>
      </c>
      <c r="J604" s="1" t="s">
        <v>3048</v>
      </c>
      <c r="K604" s="1"/>
      <c r="L604" s="1" t="s">
        <v>2131</v>
      </c>
      <c r="M604" s="1" t="s">
        <v>3049</v>
      </c>
      <c r="N604" s="1" t="s">
        <v>3050</v>
      </c>
      <c r="O604" s="1" t="s">
        <v>3051</v>
      </c>
      <c r="P604" s="1" t="s">
        <v>2182</v>
      </c>
      <c r="Q604" s="1"/>
      <c r="R604" s="1"/>
      <c r="S604" s="1" t="s">
        <v>2072</v>
      </c>
      <c r="T604" s="1" t="s">
        <v>2073</v>
      </c>
      <c r="U604" s="4">
        <v>3000000</v>
      </c>
      <c r="V604" s="4">
        <v>1287</v>
      </c>
      <c r="W604" s="4">
        <v>13</v>
      </c>
      <c r="X604" s="4">
        <v>167</v>
      </c>
      <c r="Y604" s="4">
        <v>0</v>
      </c>
      <c r="Z604" s="5">
        <v>1467</v>
      </c>
      <c r="AA604" s="5">
        <v>0</v>
      </c>
      <c r="AB604" s="6">
        <v>0</v>
      </c>
      <c r="AC604" s="4">
        <v>1467</v>
      </c>
      <c r="AD604" s="4">
        <v>0</v>
      </c>
      <c r="AE604" s="4">
        <v>1467</v>
      </c>
      <c r="AF604" s="1"/>
      <c r="AG604" s="1"/>
      <c r="AH604" s="1"/>
      <c r="AI604" s="1" t="s">
        <v>2327</v>
      </c>
      <c r="AJ604" s="6">
        <v>759.69</v>
      </c>
      <c r="AK604" s="6">
        <v>356.8900000000001</v>
      </c>
      <c r="AL604" s="1"/>
    </row>
    <row r="605" spans="1:38" hidden="1" x14ac:dyDescent="0.25">
      <c r="A605" s="2">
        <v>753</v>
      </c>
      <c r="B605" s="1" t="s">
        <v>736</v>
      </c>
      <c r="C605" s="1" t="s">
        <v>741</v>
      </c>
      <c r="D605" s="1" t="s">
        <v>2062</v>
      </c>
      <c r="E605" s="1" t="s">
        <v>2063</v>
      </c>
      <c r="F605" s="3">
        <v>45503</v>
      </c>
      <c r="G605" s="3">
        <v>45197</v>
      </c>
      <c r="H605" s="3">
        <v>45562</v>
      </c>
      <c r="I605" s="1" t="s">
        <v>3047</v>
      </c>
      <c r="J605" s="1" t="s">
        <v>3048</v>
      </c>
      <c r="K605" s="1"/>
      <c r="L605" s="1" t="s">
        <v>2131</v>
      </c>
      <c r="M605" s="1" t="s">
        <v>3049</v>
      </c>
      <c r="N605" s="1" t="s">
        <v>3050</v>
      </c>
      <c r="O605" s="1" t="s">
        <v>3051</v>
      </c>
      <c r="P605" s="1" t="s">
        <v>2182</v>
      </c>
      <c r="Q605" s="1"/>
      <c r="R605" s="1"/>
      <c r="S605" s="1" t="s">
        <v>2072</v>
      </c>
      <c r="T605" s="1" t="s">
        <v>2073</v>
      </c>
      <c r="U605" s="4">
        <v>3000000</v>
      </c>
      <c r="V605" s="4">
        <v>596</v>
      </c>
      <c r="W605" s="4">
        <v>6</v>
      </c>
      <c r="X605" s="4">
        <v>89</v>
      </c>
      <c r="Y605" s="4">
        <v>0</v>
      </c>
      <c r="Z605" s="5">
        <v>691</v>
      </c>
      <c r="AA605" s="5">
        <v>0</v>
      </c>
      <c r="AB605" s="6">
        <v>0</v>
      </c>
      <c r="AC605" s="4">
        <v>691</v>
      </c>
      <c r="AD605" s="4">
        <v>0</v>
      </c>
      <c r="AE605" s="4">
        <v>691</v>
      </c>
      <c r="AF605" s="1"/>
      <c r="AG605" s="1"/>
      <c r="AH605" s="1"/>
      <c r="AI605" s="1" t="s">
        <v>2327</v>
      </c>
      <c r="AJ605" s="6">
        <v>271.15000000000003</v>
      </c>
      <c r="AK605" s="6">
        <v>168.25</v>
      </c>
      <c r="AL605" s="1"/>
    </row>
    <row r="606" spans="1:38" hidden="1" x14ac:dyDescent="0.25">
      <c r="A606" s="2">
        <v>754</v>
      </c>
      <c r="B606" s="1" t="s">
        <v>736</v>
      </c>
      <c r="C606" s="1" t="s">
        <v>742</v>
      </c>
      <c r="D606" s="1" t="s">
        <v>2062</v>
      </c>
      <c r="E606" s="1" t="s">
        <v>2063</v>
      </c>
      <c r="F606" s="3">
        <v>45535</v>
      </c>
      <c r="G606" s="3">
        <v>45197</v>
      </c>
      <c r="H606" s="3">
        <v>45562</v>
      </c>
      <c r="I606" s="1" t="s">
        <v>3047</v>
      </c>
      <c r="J606" s="1" t="s">
        <v>3048</v>
      </c>
      <c r="K606" s="1"/>
      <c r="L606" s="1" t="s">
        <v>2131</v>
      </c>
      <c r="M606" s="1" t="s">
        <v>3049</v>
      </c>
      <c r="N606" s="1" t="s">
        <v>3050</v>
      </c>
      <c r="O606" s="1" t="s">
        <v>3051</v>
      </c>
      <c r="P606" s="1" t="s">
        <v>2182</v>
      </c>
      <c r="Q606" s="1"/>
      <c r="R606" s="1"/>
      <c r="S606" s="1" t="s">
        <v>2072</v>
      </c>
      <c r="T606" s="1" t="s">
        <v>2073</v>
      </c>
      <c r="U606" s="4">
        <v>3000000</v>
      </c>
      <c r="V606" s="4">
        <v>1136</v>
      </c>
      <c r="W606" s="4">
        <v>11</v>
      </c>
      <c r="X606" s="4">
        <v>170</v>
      </c>
      <c r="Y606" s="4">
        <v>0</v>
      </c>
      <c r="Z606" s="5">
        <v>1317</v>
      </c>
      <c r="AA606" s="5">
        <v>0</v>
      </c>
      <c r="AB606" s="6">
        <v>0</v>
      </c>
      <c r="AC606" s="4">
        <v>1317</v>
      </c>
      <c r="AD606" s="4">
        <v>0</v>
      </c>
      <c r="AE606" s="4">
        <v>1317</v>
      </c>
      <c r="AF606" s="1"/>
      <c r="AG606" s="1"/>
      <c r="AH606" s="1"/>
      <c r="AI606" s="1" t="s">
        <v>2327</v>
      </c>
      <c r="AJ606" s="6">
        <v>822.47</v>
      </c>
      <c r="AK606" s="6">
        <v>320.42</v>
      </c>
      <c r="AL606" s="1"/>
    </row>
    <row r="607" spans="1:38" hidden="1" x14ac:dyDescent="0.25">
      <c r="A607" s="2">
        <v>755</v>
      </c>
      <c r="B607" s="1" t="s">
        <v>736</v>
      </c>
      <c r="C607" s="1" t="s">
        <v>743</v>
      </c>
      <c r="D607" s="1" t="s">
        <v>2062</v>
      </c>
      <c r="E607" s="1" t="s">
        <v>2063</v>
      </c>
      <c r="F607" s="3">
        <v>45655</v>
      </c>
      <c r="G607" s="3">
        <v>45197</v>
      </c>
      <c r="H607" s="3">
        <v>45562</v>
      </c>
      <c r="I607" s="1" t="s">
        <v>3047</v>
      </c>
      <c r="J607" s="1" t="s">
        <v>3048</v>
      </c>
      <c r="K607" s="1"/>
      <c r="L607" s="1" t="s">
        <v>2131</v>
      </c>
      <c r="M607" s="1" t="s">
        <v>3049</v>
      </c>
      <c r="N607" s="1" t="s">
        <v>3050</v>
      </c>
      <c r="O607" s="1" t="s">
        <v>3051</v>
      </c>
      <c r="P607" s="1" t="s">
        <v>2182</v>
      </c>
      <c r="Q607" s="1"/>
      <c r="R607" s="1"/>
      <c r="S607" s="1" t="s">
        <v>2072</v>
      </c>
      <c r="T607" s="1" t="s">
        <v>2073</v>
      </c>
      <c r="U607" s="4">
        <v>-1</v>
      </c>
      <c r="V607" s="4">
        <v>-60397</v>
      </c>
      <c r="W607" s="4">
        <v>-604</v>
      </c>
      <c r="X607" s="4">
        <v>0</v>
      </c>
      <c r="Y607" s="4">
        <v>0</v>
      </c>
      <c r="Z607" s="5">
        <v>-61001</v>
      </c>
      <c r="AA607" s="5">
        <v>0</v>
      </c>
      <c r="AB607" s="6">
        <v>0</v>
      </c>
      <c r="AC607" s="4">
        <v>-61001</v>
      </c>
      <c r="AD607" s="4">
        <v>0</v>
      </c>
      <c r="AE607" s="4">
        <v>-61001</v>
      </c>
      <c r="AF607" s="1"/>
      <c r="AG607" s="1"/>
      <c r="AH607" s="1"/>
      <c r="AI607" s="1" t="s">
        <v>2327</v>
      </c>
      <c r="AJ607" s="1"/>
      <c r="AK607" s="1"/>
      <c r="AL607" s="1"/>
    </row>
    <row r="608" spans="1:38" hidden="1" x14ac:dyDescent="0.25">
      <c r="A608" s="2">
        <v>759</v>
      </c>
      <c r="B608" s="1" t="s">
        <v>744</v>
      </c>
      <c r="C608" s="1" t="s">
        <v>745</v>
      </c>
      <c r="D608" s="1" t="s">
        <v>2062</v>
      </c>
      <c r="E608" s="1" t="s">
        <v>2063</v>
      </c>
      <c r="F608" s="3">
        <v>45230</v>
      </c>
      <c r="G608" s="3">
        <v>45197</v>
      </c>
      <c r="H608" s="3">
        <v>45562</v>
      </c>
      <c r="I608" s="1" t="s">
        <v>3052</v>
      </c>
      <c r="J608" s="1" t="s">
        <v>3053</v>
      </c>
      <c r="K608" s="1"/>
      <c r="L608" s="1" t="s">
        <v>2077</v>
      </c>
      <c r="M608" s="1" t="s">
        <v>3054</v>
      </c>
      <c r="N608" s="1" t="s">
        <v>3055</v>
      </c>
      <c r="O608" s="1" t="s">
        <v>3056</v>
      </c>
      <c r="P608" s="1" t="s">
        <v>2081</v>
      </c>
      <c r="Q608" s="1"/>
      <c r="R608" s="1"/>
      <c r="S608" s="1" t="s">
        <v>2072</v>
      </c>
      <c r="T608" s="1" t="s">
        <v>2073</v>
      </c>
      <c r="U608" s="4">
        <v>2000000</v>
      </c>
      <c r="V608" s="4">
        <v>30390</v>
      </c>
      <c r="W608" s="4">
        <v>303</v>
      </c>
      <c r="X608" s="4">
        <v>3951</v>
      </c>
      <c r="Y608" s="4">
        <v>0</v>
      </c>
      <c r="Z608" s="5">
        <v>34644</v>
      </c>
      <c r="AA608" s="5">
        <v>0</v>
      </c>
      <c r="AB608" s="6">
        <v>0</v>
      </c>
      <c r="AC608" s="4">
        <v>34644</v>
      </c>
      <c r="AD608" s="4">
        <v>0</v>
      </c>
      <c r="AE608" s="4">
        <v>34644</v>
      </c>
      <c r="AF608" s="1"/>
      <c r="AG608" s="1"/>
      <c r="AH608" s="1"/>
      <c r="AI608" s="1" t="s">
        <v>3057</v>
      </c>
      <c r="AJ608" s="1"/>
      <c r="AK608" s="1"/>
      <c r="AL608" s="1"/>
    </row>
    <row r="609" spans="1:38" hidden="1" x14ac:dyDescent="0.25">
      <c r="A609" s="2">
        <v>760</v>
      </c>
      <c r="B609" s="1" t="s">
        <v>744</v>
      </c>
      <c r="C609" s="1" t="s">
        <v>746</v>
      </c>
      <c r="D609" s="1" t="s">
        <v>2062</v>
      </c>
      <c r="E609" s="1" t="s">
        <v>2063</v>
      </c>
      <c r="F609" s="3">
        <v>45411</v>
      </c>
      <c r="G609" s="3">
        <v>45197</v>
      </c>
      <c r="H609" s="3">
        <v>45562</v>
      </c>
      <c r="I609" s="1" t="s">
        <v>3052</v>
      </c>
      <c r="J609" s="1" t="s">
        <v>3053</v>
      </c>
      <c r="K609" s="1"/>
      <c r="L609" s="1" t="s">
        <v>2077</v>
      </c>
      <c r="M609" s="1" t="s">
        <v>3054</v>
      </c>
      <c r="N609" s="1" t="s">
        <v>3055</v>
      </c>
      <c r="O609" s="1" t="s">
        <v>3056</v>
      </c>
      <c r="P609" s="1" t="s">
        <v>2081</v>
      </c>
      <c r="Q609" s="1"/>
      <c r="R609" s="1"/>
      <c r="S609" s="1" t="s">
        <v>2072</v>
      </c>
      <c r="T609" s="1" t="s">
        <v>2073</v>
      </c>
      <c r="U609" s="4">
        <v>2000000</v>
      </c>
      <c r="V609" s="4">
        <v>531</v>
      </c>
      <c r="W609" s="4">
        <v>5</v>
      </c>
      <c r="X609" s="4">
        <v>69</v>
      </c>
      <c r="Y609" s="4">
        <v>0</v>
      </c>
      <c r="Z609" s="5">
        <v>605</v>
      </c>
      <c r="AA609" s="5">
        <v>0</v>
      </c>
      <c r="AB609" s="6">
        <v>0</v>
      </c>
      <c r="AC609" s="4">
        <v>605</v>
      </c>
      <c r="AD609" s="4">
        <v>0</v>
      </c>
      <c r="AE609" s="4">
        <v>605</v>
      </c>
      <c r="AF609" s="1"/>
      <c r="AG609" s="1"/>
      <c r="AH609" s="1"/>
      <c r="AI609" s="1" t="s">
        <v>3057</v>
      </c>
      <c r="AJ609" s="6">
        <v>234</v>
      </c>
      <c r="AK609" s="6">
        <v>221.93</v>
      </c>
      <c r="AL609" s="1"/>
    </row>
    <row r="610" spans="1:38" hidden="1" x14ac:dyDescent="0.25">
      <c r="A610" s="2">
        <v>761</v>
      </c>
      <c r="B610" s="1" t="s">
        <v>744</v>
      </c>
      <c r="C610" s="1" t="s">
        <v>747</v>
      </c>
      <c r="D610" s="1" t="s">
        <v>2062</v>
      </c>
      <c r="E610" s="1" t="s">
        <v>2063</v>
      </c>
      <c r="F610" s="3">
        <v>45441</v>
      </c>
      <c r="G610" s="3">
        <v>45197</v>
      </c>
      <c r="H610" s="3">
        <v>45562</v>
      </c>
      <c r="I610" s="1" t="s">
        <v>3052</v>
      </c>
      <c r="J610" s="1" t="s">
        <v>3053</v>
      </c>
      <c r="K610" s="1"/>
      <c r="L610" s="1" t="s">
        <v>2077</v>
      </c>
      <c r="M610" s="1" t="s">
        <v>3054</v>
      </c>
      <c r="N610" s="1" t="s">
        <v>3055</v>
      </c>
      <c r="O610" s="1" t="s">
        <v>3056</v>
      </c>
      <c r="P610" s="1" t="s">
        <v>2081</v>
      </c>
      <c r="Q610" s="1"/>
      <c r="R610" s="1"/>
      <c r="S610" s="1" t="s">
        <v>2072</v>
      </c>
      <c r="T610" s="1" t="s">
        <v>2073</v>
      </c>
      <c r="U610" s="4">
        <v>2000000</v>
      </c>
      <c r="V610" s="4">
        <v>930</v>
      </c>
      <c r="W610" s="4">
        <v>9</v>
      </c>
      <c r="X610" s="4">
        <v>120</v>
      </c>
      <c r="Y610" s="4">
        <v>0</v>
      </c>
      <c r="Z610" s="5">
        <v>1059</v>
      </c>
      <c r="AA610" s="5">
        <v>0</v>
      </c>
      <c r="AB610" s="6">
        <v>0</v>
      </c>
      <c r="AC610" s="4">
        <v>1059</v>
      </c>
      <c r="AD610" s="4">
        <v>0</v>
      </c>
      <c r="AE610" s="4">
        <v>1059</v>
      </c>
      <c r="AF610" s="1"/>
      <c r="AG610" s="1"/>
      <c r="AH610" s="1"/>
      <c r="AI610" s="1" t="s">
        <v>3057</v>
      </c>
      <c r="AJ610" s="6">
        <v>550.12000000000103</v>
      </c>
      <c r="AK610" s="6">
        <v>387.48</v>
      </c>
      <c r="AL610" s="1"/>
    </row>
    <row r="611" spans="1:38" hidden="1" x14ac:dyDescent="0.25">
      <c r="A611" s="2">
        <v>762</v>
      </c>
      <c r="B611" s="1" t="s">
        <v>744</v>
      </c>
      <c r="C611" s="1" t="s">
        <v>748</v>
      </c>
      <c r="D611" s="1" t="s">
        <v>2062</v>
      </c>
      <c r="E611" s="1" t="s">
        <v>2063</v>
      </c>
      <c r="F611" s="3">
        <v>45471</v>
      </c>
      <c r="G611" s="3">
        <v>45197</v>
      </c>
      <c r="H611" s="3">
        <v>45562</v>
      </c>
      <c r="I611" s="1" t="s">
        <v>3052</v>
      </c>
      <c r="J611" s="1" t="s">
        <v>3053</v>
      </c>
      <c r="K611" s="1"/>
      <c r="L611" s="1" t="s">
        <v>2077</v>
      </c>
      <c r="M611" s="1" t="s">
        <v>3054</v>
      </c>
      <c r="N611" s="1" t="s">
        <v>3055</v>
      </c>
      <c r="O611" s="1" t="s">
        <v>3056</v>
      </c>
      <c r="P611" s="1" t="s">
        <v>2081</v>
      </c>
      <c r="Q611" s="1"/>
      <c r="R611" s="1"/>
      <c r="S611" s="1" t="s">
        <v>2072</v>
      </c>
      <c r="T611" s="1" t="s">
        <v>2073</v>
      </c>
      <c r="U611" s="4">
        <v>2000000</v>
      </c>
      <c r="V611" s="4">
        <v>1272</v>
      </c>
      <c r="W611" s="4">
        <v>13</v>
      </c>
      <c r="X611" s="4">
        <v>166</v>
      </c>
      <c r="Y611" s="4">
        <v>0</v>
      </c>
      <c r="Z611" s="5">
        <v>1451</v>
      </c>
      <c r="AA611" s="5">
        <v>0</v>
      </c>
      <c r="AB611" s="6">
        <v>0</v>
      </c>
      <c r="AC611" s="4">
        <v>1451</v>
      </c>
      <c r="AD611" s="4">
        <v>0</v>
      </c>
      <c r="AE611" s="4">
        <v>1451</v>
      </c>
      <c r="AF611" s="1"/>
      <c r="AG611" s="1"/>
      <c r="AH611" s="1"/>
      <c r="AI611" s="1" t="s">
        <v>3057</v>
      </c>
      <c r="AJ611" s="6">
        <v>1417.649999999998</v>
      </c>
      <c r="AK611" s="6">
        <v>530.24</v>
      </c>
      <c r="AL611" s="1"/>
    </row>
    <row r="612" spans="1:38" hidden="1" x14ac:dyDescent="0.25">
      <c r="A612" s="2">
        <v>763</v>
      </c>
      <c r="B612" s="1" t="s">
        <v>744</v>
      </c>
      <c r="C612" s="1" t="s">
        <v>749</v>
      </c>
      <c r="D612" s="1" t="s">
        <v>2062</v>
      </c>
      <c r="E612" s="1" t="s">
        <v>2063</v>
      </c>
      <c r="F612" s="3">
        <v>45503</v>
      </c>
      <c r="G612" s="3">
        <v>45197</v>
      </c>
      <c r="H612" s="3">
        <v>45562</v>
      </c>
      <c r="I612" s="1" t="s">
        <v>3052</v>
      </c>
      <c r="J612" s="1" t="s">
        <v>3053</v>
      </c>
      <c r="K612" s="1"/>
      <c r="L612" s="1" t="s">
        <v>2077</v>
      </c>
      <c r="M612" s="1" t="s">
        <v>3054</v>
      </c>
      <c r="N612" s="1" t="s">
        <v>3055</v>
      </c>
      <c r="O612" s="1" t="s">
        <v>3056</v>
      </c>
      <c r="P612" s="1" t="s">
        <v>2081</v>
      </c>
      <c r="Q612" s="1"/>
      <c r="R612" s="1"/>
      <c r="S612" s="1" t="s">
        <v>2072</v>
      </c>
      <c r="T612" s="1" t="s">
        <v>2073</v>
      </c>
      <c r="U612" s="4">
        <v>2000000</v>
      </c>
      <c r="V612" s="4">
        <v>372</v>
      </c>
      <c r="W612" s="4">
        <v>4</v>
      </c>
      <c r="X612" s="4">
        <v>56</v>
      </c>
      <c r="Y612" s="4">
        <v>0</v>
      </c>
      <c r="Z612" s="5">
        <v>432</v>
      </c>
      <c r="AA612" s="5">
        <v>0</v>
      </c>
      <c r="AB612" s="6">
        <v>0</v>
      </c>
      <c r="AC612" s="4">
        <v>432</v>
      </c>
      <c r="AD612" s="4">
        <v>0</v>
      </c>
      <c r="AE612" s="4">
        <v>432</v>
      </c>
      <c r="AF612" s="1"/>
      <c r="AG612" s="1"/>
      <c r="AH612" s="1"/>
      <c r="AI612" s="1" t="s">
        <v>3057</v>
      </c>
      <c r="AJ612" s="6">
        <v>393.72000000000304</v>
      </c>
      <c r="AK612" s="6">
        <v>157.73000000000002</v>
      </c>
      <c r="AL612" s="1"/>
    </row>
    <row r="613" spans="1:38" hidden="1" x14ac:dyDescent="0.25">
      <c r="A613" s="2">
        <v>764</v>
      </c>
      <c r="B613" s="1" t="s">
        <v>744</v>
      </c>
      <c r="C613" s="1" t="s">
        <v>750</v>
      </c>
      <c r="D613" s="1" t="s">
        <v>2062</v>
      </c>
      <c r="E613" s="1" t="s">
        <v>2063</v>
      </c>
      <c r="F613" s="3">
        <v>45535</v>
      </c>
      <c r="G613" s="3">
        <v>45197</v>
      </c>
      <c r="H613" s="3">
        <v>45562</v>
      </c>
      <c r="I613" s="1" t="s">
        <v>3052</v>
      </c>
      <c r="J613" s="1" t="s">
        <v>3053</v>
      </c>
      <c r="K613" s="1"/>
      <c r="L613" s="1" t="s">
        <v>2077</v>
      </c>
      <c r="M613" s="1" t="s">
        <v>3054</v>
      </c>
      <c r="N613" s="1" t="s">
        <v>3055</v>
      </c>
      <c r="O613" s="1" t="s">
        <v>3056</v>
      </c>
      <c r="P613" s="1" t="s">
        <v>2081</v>
      </c>
      <c r="Q613" s="1"/>
      <c r="R613" s="1"/>
      <c r="S613" s="1" t="s">
        <v>2072</v>
      </c>
      <c r="T613" s="1" t="s">
        <v>2073</v>
      </c>
      <c r="U613" s="4">
        <v>2000000</v>
      </c>
      <c r="V613" s="4">
        <v>274</v>
      </c>
      <c r="W613" s="4">
        <v>3</v>
      </c>
      <c r="X613" s="4">
        <v>41</v>
      </c>
      <c r="Y613" s="4">
        <v>0</v>
      </c>
      <c r="Z613" s="5">
        <v>318</v>
      </c>
      <c r="AA613" s="5">
        <v>0</v>
      </c>
      <c r="AB613" s="6">
        <v>0</v>
      </c>
      <c r="AC613" s="4">
        <v>318</v>
      </c>
      <c r="AD613" s="4">
        <v>0</v>
      </c>
      <c r="AE613" s="4">
        <v>318</v>
      </c>
      <c r="AF613" s="1"/>
      <c r="AG613" s="1"/>
      <c r="AH613" s="1"/>
      <c r="AI613" s="1" t="s">
        <v>3057</v>
      </c>
      <c r="AJ613" s="6">
        <v>118.74</v>
      </c>
      <c r="AK613" s="6">
        <v>116.08000000000001</v>
      </c>
      <c r="AL613" s="1"/>
    </row>
    <row r="614" spans="1:38" hidden="1" x14ac:dyDescent="0.25">
      <c r="A614" s="2">
        <v>765</v>
      </c>
      <c r="B614" s="1" t="s">
        <v>744</v>
      </c>
      <c r="C614" s="1" t="s">
        <v>751</v>
      </c>
      <c r="D614" s="1" t="s">
        <v>2062</v>
      </c>
      <c r="E614" s="1" t="s">
        <v>2063</v>
      </c>
      <c r="F614" s="3">
        <v>45596</v>
      </c>
      <c r="G614" s="3">
        <v>45197</v>
      </c>
      <c r="H614" s="3">
        <v>45562</v>
      </c>
      <c r="I614" s="1" t="s">
        <v>3052</v>
      </c>
      <c r="J614" s="1" t="s">
        <v>3053</v>
      </c>
      <c r="K614" s="1"/>
      <c r="L614" s="1" t="s">
        <v>2077</v>
      </c>
      <c r="M614" s="1" t="s">
        <v>3054</v>
      </c>
      <c r="N614" s="1" t="s">
        <v>3055</v>
      </c>
      <c r="O614" s="1" t="s">
        <v>3056</v>
      </c>
      <c r="P614" s="1" t="s">
        <v>2081</v>
      </c>
      <c r="Q614" s="1"/>
      <c r="R614" s="1"/>
      <c r="S614" s="1" t="s">
        <v>2072</v>
      </c>
      <c r="T614" s="1" t="s">
        <v>2073</v>
      </c>
      <c r="U614" s="4">
        <v>-1</v>
      </c>
      <c r="V614" s="4">
        <v>-38128</v>
      </c>
      <c r="W614" s="4">
        <v>-381</v>
      </c>
      <c r="X614" s="4">
        <v>0</v>
      </c>
      <c r="Y614" s="4">
        <v>0</v>
      </c>
      <c r="Z614" s="5">
        <v>-38509</v>
      </c>
      <c r="AA614" s="5">
        <v>0</v>
      </c>
      <c r="AB614" s="6">
        <v>0</v>
      </c>
      <c r="AC614" s="4">
        <v>-38509</v>
      </c>
      <c r="AD614" s="4">
        <v>0</v>
      </c>
      <c r="AE614" s="4">
        <v>-38509</v>
      </c>
      <c r="AF614" s="1"/>
      <c r="AG614" s="1"/>
      <c r="AH614" s="1"/>
      <c r="AI614" s="1" t="s">
        <v>3057</v>
      </c>
      <c r="AJ614" s="1"/>
      <c r="AK614" s="1"/>
      <c r="AL614" s="1"/>
    </row>
    <row r="615" spans="1:38" hidden="1" x14ac:dyDescent="0.25">
      <c r="A615" s="2">
        <v>766</v>
      </c>
      <c r="B615" s="1" t="s">
        <v>752</v>
      </c>
      <c r="C615" s="1" t="s">
        <v>753</v>
      </c>
      <c r="D615" s="1" t="s">
        <v>2062</v>
      </c>
      <c r="E615" s="1" t="s">
        <v>2063</v>
      </c>
      <c r="F615" s="3">
        <v>45230</v>
      </c>
      <c r="G615" s="3">
        <v>45203</v>
      </c>
      <c r="H615" s="3">
        <v>45568</v>
      </c>
      <c r="I615" s="1" t="s">
        <v>3058</v>
      </c>
      <c r="J615" s="1" t="s">
        <v>3059</v>
      </c>
      <c r="K615" s="1"/>
      <c r="L615" s="1" t="s">
        <v>2681</v>
      </c>
      <c r="M615" s="1" t="s">
        <v>2772</v>
      </c>
      <c r="N615" s="1" t="s">
        <v>3060</v>
      </c>
      <c r="O615" s="1" t="s">
        <v>3061</v>
      </c>
      <c r="P615" s="1" t="s">
        <v>2262</v>
      </c>
      <c r="Q615" s="1"/>
      <c r="R615" s="1"/>
      <c r="S615" s="1" t="s">
        <v>2072</v>
      </c>
      <c r="T615" s="1" t="s">
        <v>2073</v>
      </c>
      <c r="U615" s="4">
        <v>4985000</v>
      </c>
      <c r="V615" s="4">
        <v>83069</v>
      </c>
      <c r="W615" s="4">
        <v>831</v>
      </c>
      <c r="X615" s="4">
        <v>10800</v>
      </c>
      <c r="Y615" s="4">
        <v>0</v>
      </c>
      <c r="Z615" s="5">
        <v>94700</v>
      </c>
      <c r="AA615" s="5">
        <v>0</v>
      </c>
      <c r="AB615" s="6">
        <v>0</v>
      </c>
      <c r="AC615" s="4">
        <v>94700</v>
      </c>
      <c r="AD615" s="4">
        <v>0</v>
      </c>
      <c r="AE615" s="4">
        <v>94700</v>
      </c>
      <c r="AF615" s="1"/>
      <c r="AG615" s="1"/>
      <c r="AH615" s="1"/>
      <c r="AI615" s="1" t="s">
        <v>2327</v>
      </c>
      <c r="AJ615" s="1"/>
      <c r="AK615" s="1"/>
      <c r="AL615" s="1"/>
    </row>
    <row r="616" spans="1:38" hidden="1" x14ac:dyDescent="0.25">
      <c r="A616" s="2">
        <v>767</v>
      </c>
      <c r="B616" s="1" t="s">
        <v>752</v>
      </c>
      <c r="C616" s="1" t="s">
        <v>754</v>
      </c>
      <c r="D616" s="1" t="s">
        <v>2062</v>
      </c>
      <c r="E616" s="1" t="s">
        <v>2063</v>
      </c>
      <c r="F616" s="3">
        <v>45448</v>
      </c>
      <c r="G616" s="3">
        <v>45203</v>
      </c>
      <c r="H616" s="3">
        <v>45568</v>
      </c>
      <c r="I616" s="1" t="s">
        <v>3058</v>
      </c>
      <c r="J616" s="1" t="s">
        <v>3059</v>
      </c>
      <c r="K616" s="1"/>
      <c r="L616" s="1" t="s">
        <v>2681</v>
      </c>
      <c r="M616" s="1" t="s">
        <v>2772</v>
      </c>
      <c r="N616" s="1" t="s">
        <v>3060</v>
      </c>
      <c r="O616" s="1" t="s">
        <v>3061</v>
      </c>
      <c r="P616" s="1" t="s">
        <v>2262</v>
      </c>
      <c r="Q616" s="1"/>
      <c r="R616" s="1"/>
      <c r="S616" s="1" t="s">
        <v>2072</v>
      </c>
      <c r="T616" s="1" t="s">
        <v>2073</v>
      </c>
      <c r="U616" s="4">
        <v>4985000</v>
      </c>
      <c r="V616" s="4">
        <v>2570</v>
      </c>
      <c r="W616" s="4">
        <v>25</v>
      </c>
      <c r="X616" s="4">
        <v>334</v>
      </c>
      <c r="Y616" s="4">
        <v>0</v>
      </c>
      <c r="Z616" s="5">
        <v>2929</v>
      </c>
      <c r="AA616" s="5">
        <v>0</v>
      </c>
      <c r="AB616" s="6">
        <v>0</v>
      </c>
      <c r="AC616" s="4">
        <v>2929</v>
      </c>
      <c r="AD616" s="4">
        <v>0</v>
      </c>
      <c r="AE616" s="4">
        <v>2929</v>
      </c>
      <c r="AF616" s="1"/>
      <c r="AG616" s="1"/>
      <c r="AH616" s="1"/>
      <c r="AI616" s="1" t="s">
        <v>2327</v>
      </c>
      <c r="AJ616" s="6">
        <v>543.37999999999897</v>
      </c>
      <c r="AK616" s="6">
        <v>429.09</v>
      </c>
      <c r="AL616" s="1"/>
    </row>
    <row r="617" spans="1:38" hidden="1" x14ac:dyDescent="0.25">
      <c r="A617" s="2">
        <v>768</v>
      </c>
      <c r="B617" s="1" t="s">
        <v>752</v>
      </c>
      <c r="C617" s="1" t="s">
        <v>755</v>
      </c>
      <c r="D617" s="1" t="s">
        <v>2062</v>
      </c>
      <c r="E617" s="1" t="s">
        <v>2063</v>
      </c>
      <c r="F617" s="3">
        <v>45477</v>
      </c>
      <c r="G617" s="3">
        <v>45203</v>
      </c>
      <c r="H617" s="3">
        <v>45568</v>
      </c>
      <c r="I617" s="1" t="s">
        <v>3058</v>
      </c>
      <c r="J617" s="1" t="s">
        <v>3059</v>
      </c>
      <c r="K617" s="1"/>
      <c r="L617" s="1" t="s">
        <v>2681</v>
      </c>
      <c r="M617" s="1" t="s">
        <v>2772</v>
      </c>
      <c r="N617" s="1" t="s">
        <v>3060</v>
      </c>
      <c r="O617" s="1" t="s">
        <v>3061</v>
      </c>
      <c r="P617" s="1" t="s">
        <v>2262</v>
      </c>
      <c r="Q617" s="1"/>
      <c r="R617" s="1"/>
      <c r="S617" s="1" t="s">
        <v>2072</v>
      </c>
      <c r="T617" s="1" t="s">
        <v>2073</v>
      </c>
      <c r="U617" s="4">
        <v>4985000</v>
      </c>
      <c r="V617" s="4">
        <v>3215</v>
      </c>
      <c r="W617" s="4">
        <v>32</v>
      </c>
      <c r="X617" s="4">
        <v>482</v>
      </c>
      <c r="Y617" s="4">
        <v>0</v>
      </c>
      <c r="Z617" s="5">
        <v>3729</v>
      </c>
      <c r="AA617" s="5">
        <v>0</v>
      </c>
      <c r="AB617" s="6">
        <v>0</v>
      </c>
      <c r="AC617" s="4">
        <v>3729</v>
      </c>
      <c r="AD617" s="4">
        <v>0</v>
      </c>
      <c r="AE617" s="4">
        <v>3729</v>
      </c>
      <c r="AF617" s="1"/>
      <c r="AG617" s="1"/>
      <c r="AH617" s="1"/>
      <c r="AI617" s="1" t="s">
        <v>2327</v>
      </c>
      <c r="AJ617" s="6">
        <v>1399.7200000000441</v>
      </c>
      <c r="AK617" s="6">
        <v>546.35</v>
      </c>
      <c r="AL617" s="1"/>
    </row>
    <row r="618" spans="1:38" hidden="1" x14ac:dyDescent="0.25">
      <c r="A618" s="2">
        <v>769</v>
      </c>
      <c r="B618" s="1" t="s">
        <v>752</v>
      </c>
      <c r="C618" s="1" t="s">
        <v>756</v>
      </c>
      <c r="D618" s="1" t="s">
        <v>2062</v>
      </c>
      <c r="E618" s="1" t="s">
        <v>2063</v>
      </c>
      <c r="F618" s="3">
        <v>45510</v>
      </c>
      <c r="G618" s="3">
        <v>45203</v>
      </c>
      <c r="H618" s="3">
        <v>45568</v>
      </c>
      <c r="I618" s="1" t="s">
        <v>3058</v>
      </c>
      <c r="J618" s="1" t="s">
        <v>3059</v>
      </c>
      <c r="K618" s="1"/>
      <c r="L618" s="1" t="s">
        <v>2681</v>
      </c>
      <c r="M618" s="1" t="s">
        <v>2772</v>
      </c>
      <c r="N618" s="1" t="s">
        <v>3060</v>
      </c>
      <c r="O618" s="1" t="s">
        <v>3061</v>
      </c>
      <c r="P618" s="1" t="s">
        <v>2262</v>
      </c>
      <c r="Q618" s="1"/>
      <c r="R618" s="1"/>
      <c r="S618" s="1" t="s">
        <v>2072</v>
      </c>
      <c r="T618" s="1" t="s">
        <v>2073</v>
      </c>
      <c r="U618" s="4">
        <v>4985000</v>
      </c>
      <c r="V618" s="4">
        <v>3654</v>
      </c>
      <c r="W618" s="4">
        <v>37</v>
      </c>
      <c r="X618" s="4">
        <v>548</v>
      </c>
      <c r="Y618" s="4">
        <v>0</v>
      </c>
      <c r="Z618" s="5">
        <v>4239</v>
      </c>
      <c r="AA618" s="5">
        <v>0</v>
      </c>
      <c r="AB618" s="6">
        <v>0</v>
      </c>
      <c r="AC618" s="4">
        <v>4239</v>
      </c>
      <c r="AD618" s="4">
        <v>0</v>
      </c>
      <c r="AE618" s="4">
        <v>4239</v>
      </c>
      <c r="AF618" s="1"/>
      <c r="AG618" s="1"/>
      <c r="AH618" s="1"/>
      <c r="AI618" s="1" t="s">
        <v>2327</v>
      </c>
      <c r="AJ618" s="6">
        <v>767.90999999999917</v>
      </c>
      <c r="AK618" s="6">
        <v>621.09</v>
      </c>
      <c r="AL618" s="1"/>
    </row>
    <row r="619" spans="1:38" hidden="1" x14ac:dyDescent="0.25">
      <c r="A619" s="2">
        <v>770</v>
      </c>
      <c r="B619" s="1" t="s">
        <v>752</v>
      </c>
      <c r="C619" s="1" t="s">
        <v>757</v>
      </c>
      <c r="D619" s="1" t="s">
        <v>2062</v>
      </c>
      <c r="E619" s="1" t="s">
        <v>2063</v>
      </c>
      <c r="F619" s="3">
        <v>45541</v>
      </c>
      <c r="G619" s="3">
        <v>45203</v>
      </c>
      <c r="H619" s="3">
        <v>45568</v>
      </c>
      <c r="I619" s="1" t="s">
        <v>3058</v>
      </c>
      <c r="J619" s="1" t="s">
        <v>3059</v>
      </c>
      <c r="K619" s="1"/>
      <c r="L619" s="1" t="s">
        <v>2681</v>
      </c>
      <c r="M619" s="1" t="s">
        <v>2772</v>
      </c>
      <c r="N619" s="1" t="s">
        <v>3060</v>
      </c>
      <c r="O619" s="1" t="s">
        <v>3061</v>
      </c>
      <c r="P619" s="1" t="s">
        <v>2262</v>
      </c>
      <c r="Q619" s="1"/>
      <c r="R619" s="1"/>
      <c r="S619" s="1" t="s">
        <v>2072</v>
      </c>
      <c r="T619" s="1" t="s">
        <v>2073</v>
      </c>
      <c r="U619" s="4">
        <v>4985000</v>
      </c>
      <c r="V619" s="4">
        <v>2005</v>
      </c>
      <c r="W619" s="4">
        <v>20</v>
      </c>
      <c r="X619" s="4">
        <v>301</v>
      </c>
      <c r="Y619" s="4">
        <v>0</v>
      </c>
      <c r="Z619" s="5">
        <v>2326</v>
      </c>
      <c r="AA619" s="5">
        <v>0</v>
      </c>
      <c r="AB619" s="6">
        <v>0</v>
      </c>
      <c r="AC619" s="4">
        <v>2326</v>
      </c>
      <c r="AD619" s="4">
        <v>0</v>
      </c>
      <c r="AE619" s="4">
        <v>2326</v>
      </c>
      <c r="AF619" s="1"/>
      <c r="AG619" s="1"/>
      <c r="AH619" s="1"/>
      <c r="AI619" s="1" t="s">
        <v>2327</v>
      </c>
      <c r="AJ619" s="6">
        <v>407.78</v>
      </c>
      <c r="AK619" s="6">
        <v>340.74</v>
      </c>
      <c r="AL619" s="1"/>
    </row>
    <row r="620" spans="1:38" hidden="1" x14ac:dyDescent="0.25">
      <c r="A620" s="2">
        <v>771</v>
      </c>
      <c r="B620" s="1" t="s">
        <v>752</v>
      </c>
      <c r="C620" s="1" t="s">
        <v>758</v>
      </c>
      <c r="D620" s="1" t="s">
        <v>2062</v>
      </c>
      <c r="E620" s="1" t="s">
        <v>2063</v>
      </c>
      <c r="F620" s="3">
        <v>45572</v>
      </c>
      <c r="G620" s="3">
        <v>45203</v>
      </c>
      <c r="H620" s="3">
        <v>45568</v>
      </c>
      <c r="I620" s="1" t="s">
        <v>3058</v>
      </c>
      <c r="J620" s="1" t="s">
        <v>3059</v>
      </c>
      <c r="K620" s="1"/>
      <c r="L620" s="1" t="s">
        <v>2681</v>
      </c>
      <c r="M620" s="1" t="s">
        <v>2772</v>
      </c>
      <c r="N620" s="1" t="s">
        <v>3060</v>
      </c>
      <c r="O620" s="1" t="s">
        <v>3061</v>
      </c>
      <c r="P620" s="1" t="s">
        <v>2262</v>
      </c>
      <c r="Q620" s="1"/>
      <c r="R620" s="1"/>
      <c r="S620" s="1" t="s">
        <v>2072</v>
      </c>
      <c r="T620" s="1" t="s">
        <v>2073</v>
      </c>
      <c r="U620" s="4">
        <v>4985000</v>
      </c>
      <c r="V620" s="4">
        <v>2883</v>
      </c>
      <c r="W620" s="4">
        <v>29</v>
      </c>
      <c r="X620" s="4">
        <v>432</v>
      </c>
      <c r="Y620" s="4">
        <v>0</v>
      </c>
      <c r="Z620" s="5">
        <v>3344</v>
      </c>
      <c r="AA620" s="5">
        <v>0</v>
      </c>
      <c r="AB620" s="6">
        <v>0</v>
      </c>
      <c r="AC620" s="4">
        <v>3344</v>
      </c>
      <c r="AD620" s="4">
        <v>0</v>
      </c>
      <c r="AE620" s="4">
        <v>3344</v>
      </c>
      <c r="AF620" s="1"/>
      <c r="AG620" s="1"/>
      <c r="AH620" s="1"/>
      <c r="AI620" s="1" t="s">
        <v>2327</v>
      </c>
      <c r="AJ620" s="6">
        <v>550.78</v>
      </c>
      <c r="AK620" s="6">
        <v>489.5200000000001</v>
      </c>
      <c r="AL620" s="1"/>
    </row>
    <row r="621" spans="1:38" hidden="1" x14ac:dyDescent="0.25">
      <c r="A621" s="2">
        <v>772</v>
      </c>
      <c r="B621" s="1" t="s">
        <v>752</v>
      </c>
      <c r="C621" s="1" t="s">
        <v>759</v>
      </c>
      <c r="D621" s="1" t="s">
        <v>2062</v>
      </c>
      <c r="E621" s="1" t="s">
        <v>2063</v>
      </c>
      <c r="F621" s="3">
        <v>45655</v>
      </c>
      <c r="G621" s="3">
        <v>45203</v>
      </c>
      <c r="H621" s="3">
        <v>45568</v>
      </c>
      <c r="I621" s="1" t="s">
        <v>3058</v>
      </c>
      <c r="J621" s="1" t="s">
        <v>3059</v>
      </c>
      <c r="K621" s="1"/>
      <c r="L621" s="1" t="s">
        <v>2681</v>
      </c>
      <c r="M621" s="1" t="s">
        <v>2772</v>
      </c>
      <c r="N621" s="1" t="s">
        <v>3060</v>
      </c>
      <c r="O621" s="1" t="s">
        <v>3061</v>
      </c>
      <c r="P621" s="1" t="s">
        <v>2262</v>
      </c>
      <c r="Q621" s="1"/>
      <c r="R621" s="1"/>
      <c r="S621" s="1" t="s">
        <v>2072</v>
      </c>
      <c r="T621" s="1" t="s">
        <v>2073</v>
      </c>
      <c r="U621" s="4">
        <v>-1</v>
      </c>
      <c r="V621" s="4">
        <v>-110165</v>
      </c>
      <c r="W621" s="4">
        <v>-1102</v>
      </c>
      <c r="X621" s="4">
        <v>0</v>
      </c>
      <c r="Y621" s="4">
        <v>0</v>
      </c>
      <c r="Z621" s="5">
        <v>-111267</v>
      </c>
      <c r="AA621" s="5">
        <v>0</v>
      </c>
      <c r="AB621" s="6">
        <v>0</v>
      </c>
      <c r="AC621" s="4">
        <v>-111267</v>
      </c>
      <c r="AD621" s="4">
        <v>0</v>
      </c>
      <c r="AE621" s="4">
        <v>-111267</v>
      </c>
      <c r="AF621" s="1"/>
      <c r="AG621" s="1"/>
      <c r="AH621" s="1"/>
      <c r="AI621" s="1" t="s">
        <v>2327</v>
      </c>
      <c r="AJ621" s="1"/>
      <c r="AK621" s="1"/>
      <c r="AL621" s="1"/>
    </row>
    <row r="622" spans="1:38" hidden="1" x14ac:dyDescent="0.25">
      <c r="A622" s="2">
        <v>773</v>
      </c>
      <c r="B622" s="1" t="s">
        <v>760</v>
      </c>
      <c r="C622" s="1" t="s">
        <v>761</v>
      </c>
      <c r="D622" s="1" t="s">
        <v>2062</v>
      </c>
      <c r="E622" s="1" t="s">
        <v>2063</v>
      </c>
      <c r="F622" s="3">
        <v>45230</v>
      </c>
      <c r="G622" s="3">
        <v>45203</v>
      </c>
      <c r="H622" s="3">
        <v>45568</v>
      </c>
      <c r="I622" s="1" t="s">
        <v>3062</v>
      </c>
      <c r="J622" s="1" t="s">
        <v>3063</v>
      </c>
      <c r="K622" s="1"/>
      <c r="L622" s="1" t="s">
        <v>3064</v>
      </c>
      <c r="M622" s="1" t="s">
        <v>3065</v>
      </c>
      <c r="N622" s="1" t="s">
        <v>3066</v>
      </c>
      <c r="O622" s="1" t="s">
        <v>3067</v>
      </c>
      <c r="P622" s="1" t="s">
        <v>2095</v>
      </c>
      <c r="Q622" s="1"/>
      <c r="R622" s="1"/>
      <c r="S622" s="1" t="s">
        <v>2072</v>
      </c>
      <c r="T622" s="1" t="s">
        <v>2073</v>
      </c>
      <c r="U622" s="4">
        <v>8000000</v>
      </c>
      <c r="V622" s="4">
        <v>135964</v>
      </c>
      <c r="W622" s="4">
        <v>1360</v>
      </c>
      <c r="X622" s="4">
        <v>17676</v>
      </c>
      <c r="Y622" s="4">
        <v>0</v>
      </c>
      <c r="Z622" s="5">
        <v>155000</v>
      </c>
      <c r="AA622" s="5">
        <v>0</v>
      </c>
      <c r="AB622" s="6">
        <v>0</v>
      </c>
      <c r="AC622" s="4">
        <v>155000</v>
      </c>
      <c r="AD622" s="4">
        <v>0</v>
      </c>
      <c r="AE622" s="4">
        <v>155000</v>
      </c>
      <c r="AF622" s="1"/>
      <c r="AG622" s="1"/>
      <c r="AH622" s="1"/>
      <c r="AI622" s="1" t="s">
        <v>2327</v>
      </c>
      <c r="AJ622" s="1"/>
      <c r="AK622" s="1"/>
      <c r="AL622" s="1"/>
    </row>
    <row r="623" spans="1:38" hidden="1" x14ac:dyDescent="0.25">
      <c r="A623" s="2">
        <v>774</v>
      </c>
      <c r="B623" s="1" t="s">
        <v>760</v>
      </c>
      <c r="C623" s="1" t="s">
        <v>762</v>
      </c>
      <c r="D623" s="1" t="s">
        <v>2062</v>
      </c>
      <c r="E623" s="1" t="s">
        <v>2063</v>
      </c>
      <c r="F623" s="3">
        <v>45511</v>
      </c>
      <c r="G623" s="3">
        <v>45203</v>
      </c>
      <c r="H623" s="3">
        <v>45568</v>
      </c>
      <c r="I623" s="1" t="s">
        <v>3062</v>
      </c>
      <c r="J623" s="1" t="s">
        <v>3063</v>
      </c>
      <c r="K623" s="1"/>
      <c r="L623" s="1" t="s">
        <v>3064</v>
      </c>
      <c r="M623" s="1" t="s">
        <v>3065</v>
      </c>
      <c r="N623" s="1" t="s">
        <v>3066</v>
      </c>
      <c r="O623" s="1" t="s">
        <v>3067</v>
      </c>
      <c r="P623" s="1" t="s">
        <v>2095</v>
      </c>
      <c r="Q623" s="1"/>
      <c r="R623" s="1"/>
      <c r="S623" s="1" t="s">
        <v>2072</v>
      </c>
      <c r="T623" s="1" t="s">
        <v>2073</v>
      </c>
      <c r="U623" s="4">
        <v>8000000</v>
      </c>
      <c r="V623" s="4">
        <v>2217</v>
      </c>
      <c r="W623" s="4">
        <v>23</v>
      </c>
      <c r="X623" s="4">
        <v>332</v>
      </c>
      <c r="Y623" s="4">
        <v>0</v>
      </c>
      <c r="Z623" s="5">
        <v>2572</v>
      </c>
      <c r="AA623" s="5">
        <v>0</v>
      </c>
      <c r="AB623" s="6">
        <v>0</v>
      </c>
      <c r="AC623" s="4">
        <v>2572</v>
      </c>
      <c r="AD623" s="4">
        <v>0</v>
      </c>
      <c r="AE623" s="4">
        <v>2572</v>
      </c>
      <c r="AF623" s="1"/>
      <c r="AG623" s="1"/>
      <c r="AH623" s="1"/>
      <c r="AI623" s="1" t="s">
        <v>2327</v>
      </c>
      <c r="AJ623" s="1"/>
      <c r="AK623" s="1"/>
      <c r="AL623" s="1"/>
    </row>
    <row r="624" spans="1:38" hidden="1" x14ac:dyDescent="0.25">
      <c r="A624" s="2">
        <v>775</v>
      </c>
      <c r="B624" s="1" t="s">
        <v>760</v>
      </c>
      <c r="C624" s="1" t="s">
        <v>763</v>
      </c>
      <c r="D624" s="1" t="s">
        <v>2062</v>
      </c>
      <c r="E624" s="1" t="s">
        <v>2063</v>
      </c>
      <c r="F624" s="3">
        <v>45574</v>
      </c>
      <c r="G624" s="3">
        <v>45203</v>
      </c>
      <c r="H624" s="3">
        <v>45568</v>
      </c>
      <c r="I624" s="1" t="s">
        <v>3062</v>
      </c>
      <c r="J624" s="1" t="s">
        <v>3063</v>
      </c>
      <c r="K624" s="1"/>
      <c r="L624" s="1" t="s">
        <v>3064</v>
      </c>
      <c r="M624" s="1" t="s">
        <v>3065</v>
      </c>
      <c r="N624" s="1" t="s">
        <v>3066</v>
      </c>
      <c r="O624" s="1" t="s">
        <v>3067</v>
      </c>
      <c r="P624" s="1" t="s">
        <v>2095</v>
      </c>
      <c r="Q624" s="1"/>
      <c r="R624" s="1"/>
      <c r="S624" s="1" t="s">
        <v>2072</v>
      </c>
      <c r="T624" s="1" t="s">
        <v>2073</v>
      </c>
      <c r="U624" s="4">
        <v>8000000</v>
      </c>
      <c r="V624" s="4">
        <v>4407</v>
      </c>
      <c r="W624" s="4">
        <v>44</v>
      </c>
      <c r="X624" s="4">
        <v>661</v>
      </c>
      <c r="Y624" s="4">
        <v>0</v>
      </c>
      <c r="Z624" s="5">
        <v>5112</v>
      </c>
      <c r="AA624" s="5">
        <v>0</v>
      </c>
      <c r="AB624" s="6">
        <v>0</v>
      </c>
      <c r="AC624" s="4">
        <v>5112</v>
      </c>
      <c r="AD624" s="4">
        <v>0</v>
      </c>
      <c r="AE624" s="4">
        <v>5112</v>
      </c>
      <c r="AF624" s="1"/>
      <c r="AG624" s="1"/>
      <c r="AH624" s="1"/>
      <c r="AI624" s="1" t="s">
        <v>2327</v>
      </c>
      <c r="AJ624" s="1"/>
      <c r="AK624" s="1"/>
      <c r="AL624" s="1"/>
    </row>
    <row r="625" spans="1:38" hidden="1" x14ac:dyDescent="0.25">
      <c r="A625" s="2">
        <v>776</v>
      </c>
      <c r="B625" s="1" t="s">
        <v>760</v>
      </c>
      <c r="C625" s="1" t="s">
        <v>764</v>
      </c>
      <c r="D625" s="1" t="s">
        <v>2062</v>
      </c>
      <c r="E625" s="1" t="s">
        <v>2063</v>
      </c>
      <c r="F625" s="3">
        <v>45596</v>
      </c>
      <c r="G625" s="3">
        <v>45203</v>
      </c>
      <c r="H625" s="3">
        <v>45568</v>
      </c>
      <c r="I625" s="1" t="s">
        <v>3062</v>
      </c>
      <c r="J625" s="1" t="s">
        <v>3063</v>
      </c>
      <c r="K625" s="1"/>
      <c r="L625" s="1" t="s">
        <v>3064</v>
      </c>
      <c r="M625" s="1" t="s">
        <v>3065</v>
      </c>
      <c r="N625" s="1" t="s">
        <v>3066</v>
      </c>
      <c r="O625" s="1" t="s">
        <v>3067</v>
      </c>
      <c r="P625" s="1" t="s">
        <v>2095</v>
      </c>
      <c r="Q625" s="1"/>
      <c r="R625" s="1"/>
      <c r="S625" s="1" t="s">
        <v>2072</v>
      </c>
      <c r="T625" s="1" t="s">
        <v>2073</v>
      </c>
      <c r="U625" s="4">
        <v>-1</v>
      </c>
      <c r="V625" s="4">
        <v>-161073</v>
      </c>
      <c r="W625" s="4">
        <v>-1611</v>
      </c>
      <c r="X625" s="4">
        <v>0</v>
      </c>
      <c r="Y625" s="4">
        <v>0</v>
      </c>
      <c r="Z625" s="5">
        <v>-162684</v>
      </c>
      <c r="AA625" s="5">
        <v>0</v>
      </c>
      <c r="AB625" s="6">
        <v>0</v>
      </c>
      <c r="AC625" s="4">
        <v>-162684</v>
      </c>
      <c r="AD625" s="4">
        <v>0</v>
      </c>
      <c r="AE625" s="4">
        <v>-162684</v>
      </c>
      <c r="AF625" s="1"/>
      <c r="AG625" s="1"/>
      <c r="AH625" s="1"/>
      <c r="AI625" s="1" t="s">
        <v>2327</v>
      </c>
      <c r="AJ625" s="1"/>
      <c r="AK625" s="1"/>
      <c r="AL625" s="1"/>
    </row>
    <row r="626" spans="1:38" hidden="1" x14ac:dyDescent="0.25">
      <c r="A626" s="2">
        <v>785</v>
      </c>
      <c r="B626" s="1" t="s">
        <v>765</v>
      </c>
      <c r="C626" s="1" t="s">
        <v>766</v>
      </c>
      <c r="D626" s="1" t="s">
        <v>2062</v>
      </c>
      <c r="E626" s="1" t="s">
        <v>2063</v>
      </c>
      <c r="F626" s="3">
        <v>45230</v>
      </c>
      <c r="G626" s="3">
        <v>45204</v>
      </c>
      <c r="H626" s="3">
        <v>45569</v>
      </c>
      <c r="I626" s="1" t="s">
        <v>2533</v>
      </c>
      <c r="J626" s="1" t="s">
        <v>3068</v>
      </c>
      <c r="K626" s="1"/>
      <c r="L626" s="1" t="s">
        <v>2198</v>
      </c>
      <c r="M626" s="1" t="s">
        <v>3069</v>
      </c>
      <c r="N626" s="1" t="s">
        <v>3070</v>
      </c>
      <c r="O626" s="1" t="s">
        <v>3071</v>
      </c>
      <c r="P626" s="1" t="s">
        <v>2095</v>
      </c>
      <c r="Q626" s="1"/>
      <c r="R626" s="1"/>
      <c r="S626" s="1" t="s">
        <v>2072</v>
      </c>
      <c r="T626" s="1" t="s">
        <v>2073</v>
      </c>
      <c r="U626" s="4">
        <v>2300000</v>
      </c>
      <c r="V626" s="4">
        <v>35964</v>
      </c>
      <c r="W626" s="4">
        <v>360</v>
      </c>
      <c r="X626" s="4">
        <v>4676</v>
      </c>
      <c r="Y626" s="4">
        <v>0</v>
      </c>
      <c r="Z626" s="5">
        <v>41000</v>
      </c>
      <c r="AA626" s="5">
        <v>0</v>
      </c>
      <c r="AB626" s="6">
        <v>0</v>
      </c>
      <c r="AC626" s="4">
        <v>41000</v>
      </c>
      <c r="AD626" s="4">
        <v>0</v>
      </c>
      <c r="AE626" s="4">
        <v>41000</v>
      </c>
      <c r="AF626" s="1"/>
      <c r="AG626" s="1"/>
      <c r="AH626" s="1"/>
      <c r="AI626" s="1" t="s">
        <v>2327</v>
      </c>
      <c r="AJ626" s="1"/>
      <c r="AK626" s="1"/>
      <c r="AL626" s="1"/>
    </row>
    <row r="627" spans="1:38" hidden="1" x14ac:dyDescent="0.25">
      <c r="A627" s="2">
        <v>786</v>
      </c>
      <c r="B627" s="1" t="s">
        <v>765</v>
      </c>
      <c r="C627" s="1" t="s">
        <v>767</v>
      </c>
      <c r="D627" s="1" t="s">
        <v>2062</v>
      </c>
      <c r="E627" s="1" t="s">
        <v>2063</v>
      </c>
      <c r="F627" s="3">
        <v>45356</v>
      </c>
      <c r="G627" s="3">
        <v>45204</v>
      </c>
      <c r="H627" s="3">
        <v>45569</v>
      </c>
      <c r="I627" s="1" t="s">
        <v>2533</v>
      </c>
      <c r="J627" s="1" t="s">
        <v>3068</v>
      </c>
      <c r="K627" s="1"/>
      <c r="L627" s="1" t="s">
        <v>2198</v>
      </c>
      <c r="M627" s="1" t="s">
        <v>3069</v>
      </c>
      <c r="N627" s="1" t="s">
        <v>3070</v>
      </c>
      <c r="O627" s="1" t="s">
        <v>3071</v>
      </c>
      <c r="P627" s="1" t="s">
        <v>2095</v>
      </c>
      <c r="Q627" s="1"/>
      <c r="R627" s="1"/>
      <c r="S627" s="1" t="s">
        <v>2072</v>
      </c>
      <c r="T627" s="1" t="s">
        <v>2073</v>
      </c>
      <c r="U627" s="4">
        <v>2300000</v>
      </c>
      <c r="V627" s="4">
        <v>3346</v>
      </c>
      <c r="W627" s="4">
        <v>33</v>
      </c>
      <c r="X627" s="4">
        <v>435</v>
      </c>
      <c r="Y627" s="4">
        <v>0</v>
      </c>
      <c r="Z627" s="5">
        <v>3814</v>
      </c>
      <c r="AA627" s="5">
        <v>0</v>
      </c>
      <c r="AB627" s="6">
        <v>0</v>
      </c>
      <c r="AC627" s="4">
        <v>3814</v>
      </c>
      <c r="AD627" s="4">
        <v>0</v>
      </c>
      <c r="AE627" s="4">
        <v>3814</v>
      </c>
      <c r="AF627" s="1"/>
      <c r="AG627" s="1"/>
      <c r="AH627" s="1"/>
      <c r="AI627" s="1" t="s">
        <v>2327</v>
      </c>
      <c r="AJ627" s="6">
        <v>2559.6499999999965</v>
      </c>
      <c r="AK627" s="6">
        <v>1209.22</v>
      </c>
      <c r="AL627" s="1"/>
    </row>
    <row r="628" spans="1:38" hidden="1" x14ac:dyDescent="0.25">
      <c r="A628" s="2">
        <v>787</v>
      </c>
      <c r="B628" s="1" t="s">
        <v>765</v>
      </c>
      <c r="C628" s="1" t="s">
        <v>768</v>
      </c>
      <c r="D628" s="1" t="s">
        <v>2062</v>
      </c>
      <c r="E628" s="1" t="s">
        <v>2063</v>
      </c>
      <c r="F628" s="3">
        <v>45387</v>
      </c>
      <c r="G628" s="3">
        <v>45204</v>
      </c>
      <c r="H628" s="3">
        <v>45569</v>
      </c>
      <c r="I628" s="1" t="s">
        <v>2533</v>
      </c>
      <c r="J628" s="1" t="s">
        <v>3068</v>
      </c>
      <c r="K628" s="1"/>
      <c r="L628" s="1" t="s">
        <v>2198</v>
      </c>
      <c r="M628" s="1" t="s">
        <v>3069</v>
      </c>
      <c r="N628" s="1" t="s">
        <v>3070</v>
      </c>
      <c r="O628" s="1" t="s">
        <v>3071</v>
      </c>
      <c r="P628" s="1" t="s">
        <v>2095</v>
      </c>
      <c r="Q628" s="1"/>
      <c r="R628" s="1"/>
      <c r="S628" s="1" t="s">
        <v>2072</v>
      </c>
      <c r="T628" s="1" t="s">
        <v>2073</v>
      </c>
      <c r="U628" s="4">
        <v>2300000</v>
      </c>
      <c r="V628" s="4">
        <v>3446</v>
      </c>
      <c r="W628" s="4">
        <v>35</v>
      </c>
      <c r="X628" s="4">
        <v>448</v>
      </c>
      <c r="Y628" s="4">
        <v>0</v>
      </c>
      <c r="Z628" s="5">
        <v>3929</v>
      </c>
      <c r="AA628" s="5">
        <v>0</v>
      </c>
      <c r="AB628" s="6">
        <v>0</v>
      </c>
      <c r="AC628" s="4">
        <v>3929</v>
      </c>
      <c r="AD628" s="4">
        <v>0</v>
      </c>
      <c r="AE628" s="4">
        <v>3929</v>
      </c>
      <c r="AF628" s="1"/>
      <c r="AG628" s="1"/>
      <c r="AH628" s="1"/>
      <c r="AI628" s="1" t="s">
        <v>2327</v>
      </c>
      <c r="AJ628" s="6">
        <v>2155.4199999999942</v>
      </c>
      <c r="AK628" s="6">
        <v>1245.3500000000001</v>
      </c>
      <c r="AL628" s="1"/>
    </row>
    <row r="629" spans="1:38" hidden="1" x14ac:dyDescent="0.25">
      <c r="A629" s="2">
        <v>788</v>
      </c>
      <c r="B629" s="1" t="s">
        <v>765</v>
      </c>
      <c r="C629" s="1" t="s">
        <v>769</v>
      </c>
      <c r="D629" s="1" t="s">
        <v>2062</v>
      </c>
      <c r="E629" s="1" t="s">
        <v>2063</v>
      </c>
      <c r="F629" s="3">
        <v>45425</v>
      </c>
      <c r="G629" s="3">
        <v>45204</v>
      </c>
      <c r="H629" s="3">
        <v>45569</v>
      </c>
      <c r="I629" s="1" t="s">
        <v>2533</v>
      </c>
      <c r="J629" s="1" t="s">
        <v>3068</v>
      </c>
      <c r="K629" s="1"/>
      <c r="L629" s="1" t="s">
        <v>2198</v>
      </c>
      <c r="M629" s="1" t="s">
        <v>3069</v>
      </c>
      <c r="N629" s="1" t="s">
        <v>3070</v>
      </c>
      <c r="O629" s="1" t="s">
        <v>3071</v>
      </c>
      <c r="P629" s="1" t="s">
        <v>2095</v>
      </c>
      <c r="Q629" s="1"/>
      <c r="R629" s="1"/>
      <c r="S629" s="1" t="s">
        <v>2072</v>
      </c>
      <c r="T629" s="1" t="s">
        <v>2073</v>
      </c>
      <c r="U629" s="4">
        <v>2300000</v>
      </c>
      <c r="V629" s="4">
        <v>2828</v>
      </c>
      <c r="W629" s="4">
        <v>28</v>
      </c>
      <c r="X629" s="4">
        <v>368</v>
      </c>
      <c r="Y629" s="4">
        <v>0</v>
      </c>
      <c r="Z629" s="5">
        <v>3224</v>
      </c>
      <c r="AA629" s="5">
        <v>0</v>
      </c>
      <c r="AB629" s="6">
        <v>0</v>
      </c>
      <c r="AC629" s="4">
        <v>3224</v>
      </c>
      <c r="AD629" s="4">
        <v>0</v>
      </c>
      <c r="AE629" s="4">
        <v>3224</v>
      </c>
      <c r="AF629" s="1"/>
      <c r="AG629" s="1"/>
      <c r="AH629" s="1"/>
      <c r="AI629" s="1" t="s">
        <v>2327</v>
      </c>
      <c r="AJ629" s="6">
        <v>1941.0700000000043</v>
      </c>
      <c r="AK629" s="6">
        <v>1021.8</v>
      </c>
      <c r="AL629" s="1"/>
    </row>
    <row r="630" spans="1:38" hidden="1" x14ac:dyDescent="0.25">
      <c r="A630" s="2">
        <v>789</v>
      </c>
      <c r="B630" s="1" t="s">
        <v>765</v>
      </c>
      <c r="C630" s="1" t="s">
        <v>770</v>
      </c>
      <c r="D630" s="1" t="s">
        <v>2062</v>
      </c>
      <c r="E630" s="1" t="s">
        <v>2063</v>
      </c>
      <c r="F630" s="3">
        <v>45449</v>
      </c>
      <c r="G630" s="3">
        <v>45204</v>
      </c>
      <c r="H630" s="3">
        <v>45569</v>
      </c>
      <c r="I630" s="1" t="s">
        <v>2533</v>
      </c>
      <c r="J630" s="1" t="s">
        <v>3068</v>
      </c>
      <c r="K630" s="1"/>
      <c r="L630" s="1" t="s">
        <v>2198</v>
      </c>
      <c r="M630" s="1" t="s">
        <v>3069</v>
      </c>
      <c r="N630" s="1" t="s">
        <v>3070</v>
      </c>
      <c r="O630" s="1" t="s">
        <v>3071</v>
      </c>
      <c r="P630" s="1" t="s">
        <v>2095</v>
      </c>
      <c r="Q630" s="1"/>
      <c r="R630" s="1"/>
      <c r="S630" s="1" t="s">
        <v>2072</v>
      </c>
      <c r="T630" s="1" t="s">
        <v>2073</v>
      </c>
      <c r="U630" s="4">
        <v>2300000</v>
      </c>
      <c r="V630" s="4">
        <v>1683</v>
      </c>
      <c r="W630" s="4">
        <v>17</v>
      </c>
      <c r="X630" s="4">
        <v>219</v>
      </c>
      <c r="Y630" s="4">
        <v>0</v>
      </c>
      <c r="Z630" s="5">
        <v>1919</v>
      </c>
      <c r="AA630" s="5">
        <v>0</v>
      </c>
      <c r="AB630" s="6">
        <v>0</v>
      </c>
      <c r="AC630" s="4">
        <v>1919</v>
      </c>
      <c r="AD630" s="4">
        <v>0</v>
      </c>
      <c r="AE630" s="4">
        <v>1919</v>
      </c>
      <c r="AF630" s="1"/>
      <c r="AG630" s="1"/>
      <c r="AH630" s="1"/>
      <c r="AI630" s="1" t="s">
        <v>2327</v>
      </c>
      <c r="AJ630" s="6">
        <v>853.76</v>
      </c>
      <c r="AK630" s="6">
        <v>608.64</v>
      </c>
      <c r="AL630" s="1"/>
    </row>
    <row r="631" spans="1:38" hidden="1" x14ac:dyDescent="0.25">
      <c r="A631" s="2">
        <v>790</v>
      </c>
      <c r="B631" s="1" t="s">
        <v>765</v>
      </c>
      <c r="C631" s="1" t="s">
        <v>771</v>
      </c>
      <c r="D631" s="1" t="s">
        <v>2062</v>
      </c>
      <c r="E631" s="1" t="s">
        <v>2063</v>
      </c>
      <c r="F631" s="3">
        <v>45478</v>
      </c>
      <c r="G631" s="3">
        <v>45204</v>
      </c>
      <c r="H631" s="3">
        <v>45569</v>
      </c>
      <c r="I631" s="1" t="s">
        <v>2533</v>
      </c>
      <c r="J631" s="1" t="s">
        <v>3068</v>
      </c>
      <c r="K631" s="1"/>
      <c r="L631" s="1" t="s">
        <v>2198</v>
      </c>
      <c r="M631" s="1" t="s">
        <v>3069</v>
      </c>
      <c r="N631" s="1" t="s">
        <v>3070</v>
      </c>
      <c r="O631" s="1" t="s">
        <v>3071</v>
      </c>
      <c r="P631" s="1" t="s">
        <v>2095</v>
      </c>
      <c r="Q631" s="1"/>
      <c r="R631" s="1"/>
      <c r="S631" s="1" t="s">
        <v>2072</v>
      </c>
      <c r="T631" s="1" t="s">
        <v>2073</v>
      </c>
      <c r="U631" s="4">
        <v>2300000</v>
      </c>
      <c r="V631" s="4">
        <v>1558</v>
      </c>
      <c r="W631" s="4">
        <v>16</v>
      </c>
      <c r="X631" s="4">
        <v>234</v>
      </c>
      <c r="Y631" s="4">
        <v>0</v>
      </c>
      <c r="Z631" s="5">
        <v>1808</v>
      </c>
      <c r="AA631" s="5">
        <v>0</v>
      </c>
      <c r="AB631" s="6">
        <v>0</v>
      </c>
      <c r="AC631" s="4">
        <v>1808</v>
      </c>
      <c r="AD631" s="4">
        <v>0</v>
      </c>
      <c r="AE631" s="4">
        <v>1808</v>
      </c>
      <c r="AF631" s="1"/>
      <c r="AG631" s="1"/>
      <c r="AH631" s="1"/>
      <c r="AI631" s="1" t="s">
        <v>2327</v>
      </c>
      <c r="AJ631" s="6">
        <v>606.93000000000006</v>
      </c>
      <c r="AK631" s="6">
        <v>573.49</v>
      </c>
      <c r="AL631" s="1"/>
    </row>
    <row r="632" spans="1:38" hidden="1" x14ac:dyDescent="0.25">
      <c r="A632" s="2">
        <v>791</v>
      </c>
      <c r="B632" s="1" t="s">
        <v>765</v>
      </c>
      <c r="C632" s="1" t="s">
        <v>772</v>
      </c>
      <c r="D632" s="1" t="s">
        <v>2062</v>
      </c>
      <c r="E632" s="1" t="s">
        <v>2063</v>
      </c>
      <c r="F632" s="3">
        <v>45511</v>
      </c>
      <c r="G632" s="3">
        <v>45204</v>
      </c>
      <c r="H632" s="3">
        <v>45569</v>
      </c>
      <c r="I632" s="1" t="s">
        <v>2533</v>
      </c>
      <c r="J632" s="1" t="s">
        <v>3068</v>
      </c>
      <c r="K632" s="1"/>
      <c r="L632" s="1" t="s">
        <v>2198</v>
      </c>
      <c r="M632" s="1" t="s">
        <v>3069</v>
      </c>
      <c r="N632" s="1" t="s">
        <v>3070</v>
      </c>
      <c r="O632" s="1" t="s">
        <v>3071</v>
      </c>
      <c r="P632" s="1" t="s">
        <v>2095</v>
      </c>
      <c r="Q632" s="1"/>
      <c r="R632" s="1"/>
      <c r="S632" s="1" t="s">
        <v>2072</v>
      </c>
      <c r="T632" s="1" t="s">
        <v>2073</v>
      </c>
      <c r="U632" s="4">
        <v>2300000</v>
      </c>
      <c r="V632" s="4">
        <v>834</v>
      </c>
      <c r="W632" s="4">
        <v>8</v>
      </c>
      <c r="X632" s="4">
        <v>125</v>
      </c>
      <c r="Y632" s="4">
        <v>0</v>
      </c>
      <c r="Z632" s="5">
        <v>967</v>
      </c>
      <c r="AA632" s="5">
        <v>0</v>
      </c>
      <c r="AB632" s="6">
        <v>0</v>
      </c>
      <c r="AC632" s="4">
        <v>967</v>
      </c>
      <c r="AD632" s="4">
        <v>0</v>
      </c>
      <c r="AE632" s="4">
        <v>967</v>
      </c>
      <c r="AF632" s="1"/>
      <c r="AG632" s="1"/>
      <c r="AH632" s="1"/>
      <c r="AI632" s="1" t="s">
        <v>2327</v>
      </c>
      <c r="AJ632" s="6">
        <v>377.17999999999904</v>
      </c>
      <c r="AK632" s="6">
        <v>306.39000000000004</v>
      </c>
      <c r="AL632" s="1"/>
    </row>
    <row r="633" spans="1:38" hidden="1" x14ac:dyDescent="0.25">
      <c r="A633" s="2">
        <v>792</v>
      </c>
      <c r="B633" s="1" t="s">
        <v>765</v>
      </c>
      <c r="C633" s="1" t="s">
        <v>773</v>
      </c>
      <c r="D633" s="1" t="s">
        <v>2062</v>
      </c>
      <c r="E633" s="1" t="s">
        <v>2063</v>
      </c>
      <c r="F633" s="3">
        <v>45541</v>
      </c>
      <c r="G633" s="3">
        <v>45204</v>
      </c>
      <c r="H633" s="3">
        <v>45569</v>
      </c>
      <c r="I633" s="1" t="s">
        <v>2533</v>
      </c>
      <c r="J633" s="1" t="s">
        <v>3068</v>
      </c>
      <c r="K633" s="1"/>
      <c r="L633" s="1" t="s">
        <v>2198</v>
      </c>
      <c r="M633" s="1" t="s">
        <v>3069</v>
      </c>
      <c r="N633" s="1" t="s">
        <v>3070</v>
      </c>
      <c r="O633" s="1" t="s">
        <v>3071</v>
      </c>
      <c r="P633" s="1" t="s">
        <v>2095</v>
      </c>
      <c r="Q633" s="1"/>
      <c r="R633" s="1"/>
      <c r="S633" s="1" t="s">
        <v>2072</v>
      </c>
      <c r="T633" s="1" t="s">
        <v>2073</v>
      </c>
      <c r="U633" s="4">
        <v>2300000</v>
      </c>
      <c r="V633" s="4">
        <v>819</v>
      </c>
      <c r="W633" s="4">
        <v>8</v>
      </c>
      <c r="X633" s="4">
        <v>123</v>
      </c>
      <c r="Y633" s="4">
        <v>0</v>
      </c>
      <c r="Z633" s="5">
        <v>950</v>
      </c>
      <c r="AA633" s="5">
        <v>0</v>
      </c>
      <c r="AB633" s="6">
        <v>0</v>
      </c>
      <c r="AC633" s="4">
        <v>950</v>
      </c>
      <c r="AD633" s="4">
        <v>0</v>
      </c>
      <c r="AE633" s="4">
        <v>950</v>
      </c>
      <c r="AF633" s="1"/>
      <c r="AG633" s="1"/>
      <c r="AH633" s="1"/>
      <c r="AI633" s="1" t="s">
        <v>2327</v>
      </c>
      <c r="AJ633" s="6">
        <v>313.05</v>
      </c>
      <c r="AK633" s="6">
        <v>300.82000000000005</v>
      </c>
      <c r="AL633" s="1"/>
    </row>
    <row r="634" spans="1:38" hidden="1" x14ac:dyDescent="0.25">
      <c r="A634" s="2">
        <v>793</v>
      </c>
      <c r="B634" s="1" t="s">
        <v>765</v>
      </c>
      <c r="C634" s="1" t="s">
        <v>774</v>
      </c>
      <c r="D634" s="1" t="s">
        <v>2062</v>
      </c>
      <c r="E634" s="1" t="s">
        <v>2063</v>
      </c>
      <c r="F634" s="3">
        <v>45574</v>
      </c>
      <c r="G634" s="3">
        <v>45204</v>
      </c>
      <c r="H634" s="3">
        <v>45569</v>
      </c>
      <c r="I634" s="1" t="s">
        <v>2533</v>
      </c>
      <c r="J634" s="1" t="s">
        <v>3068</v>
      </c>
      <c r="K634" s="1"/>
      <c r="L634" s="1" t="s">
        <v>2198</v>
      </c>
      <c r="M634" s="1" t="s">
        <v>3069</v>
      </c>
      <c r="N634" s="1" t="s">
        <v>3070</v>
      </c>
      <c r="O634" s="1" t="s">
        <v>3071</v>
      </c>
      <c r="P634" s="1" t="s">
        <v>2095</v>
      </c>
      <c r="Q634" s="1"/>
      <c r="R634" s="1"/>
      <c r="S634" s="1" t="s">
        <v>2072</v>
      </c>
      <c r="T634" s="1" t="s">
        <v>2073</v>
      </c>
      <c r="U634" s="4">
        <v>2300000</v>
      </c>
      <c r="V634" s="4">
        <v>1362</v>
      </c>
      <c r="W634" s="4">
        <v>14</v>
      </c>
      <c r="X634" s="4">
        <v>204</v>
      </c>
      <c r="Y634" s="4">
        <v>0</v>
      </c>
      <c r="Z634" s="5">
        <v>1580</v>
      </c>
      <c r="AA634" s="5">
        <v>0</v>
      </c>
      <c r="AB634" s="6">
        <v>0</v>
      </c>
      <c r="AC634" s="4">
        <v>1580</v>
      </c>
      <c r="AD634" s="4">
        <v>0</v>
      </c>
      <c r="AE634" s="4">
        <v>1580</v>
      </c>
      <c r="AF634" s="1"/>
      <c r="AG634" s="1"/>
      <c r="AH634" s="1"/>
      <c r="AI634" s="1" t="s">
        <v>2327</v>
      </c>
      <c r="AJ634" s="6">
        <v>537.35000000000105</v>
      </c>
      <c r="AK634" s="6">
        <v>500.79</v>
      </c>
      <c r="AL634" s="1"/>
    </row>
    <row r="635" spans="1:38" hidden="1" x14ac:dyDescent="0.25">
      <c r="A635" s="2">
        <v>794</v>
      </c>
      <c r="B635" s="1" t="s">
        <v>765</v>
      </c>
      <c r="C635" s="1" t="s">
        <v>775</v>
      </c>
      <c r="D635" s="1" t="s">
        <v>2062</v>
      </c>
      <c r="E635" s="1" t="s">
        <v>2063</v>
      </c>
      <c r="F635" s="3">
        <v>45596</v>
      </c>
      <c r="G635" s="3">
        <v>45204</v>
      </c>
      <c r="H635" s="3">
        <v>45569</v>
      </c>
      <c r="I635" s="1" t="s">
        <v>2533</v>
      </c>
      <c r="J635" s="1" t="s">
        <v>3068</v>
      </c>
      <c r="K635" s="1"/>
      <c r="L635" s="1" t="s">
        <v>2198</v>
      </c>
      <c r="M635" s="1" t="s">
        <v>3069</v>
      </c>
      <c r="N635" s="1" t="s">
        <v>3070</v>
      </c>
      <c r="O635" s="1" t="s">
        <v>3071</v>
      </c>
      <c r="P635" s="1" t="s">
        <v>2095</v>
      </c>
      <c r="Q635" s="1"/>
      <c r="R635" s="1"/>
      <c r="S635" s="1" t="s">
        <v>2072</v>
      </c>
      <c r="T635" s="1" t="s">
        <v>2073</v>
      </c>
      <c r="U635" s="4">
        <v>-1</v>
      </c>
      <c r="V635" s="4">
        <v>-58605</v>
      </c>
      <c r="W635" s="4">
        <v>-586</v>
      </c>
      <c r="X635" s="4">
        <v>0</v>
      </c>
      <c r="Y635" s="4">
        <v>0</v>
      </c>
      <c r="Z635" s="5">
        <v>-59191</v>
      </c>
      <c r="AA635" s="5">
        <v>0</v>
      </c>
      <c r="AB635" s="6">
        <v>0</v>
      </c>
      <c r="AC635" s="4">
        <v>-59191</v>
      </c>
      <c r="AD635" s="4">
        <v>0</v>
      </c>
      <c r="AE635" s="4">
        <v>-59191</v>
      </c>
      <c r="AF635" s="1"/>
      <c r="AG635" s="1"/>
      <c r="AH635" s="1"/>
      <c r="AI635" s="1" t="s">
        <v>2327</v>
      </c>
      <c r="AJ635" s="1"/>
      <c r="AK635" s="1"/>
      <c r="AL635" s="1"/>
    </row>
    <row r="636" spans="1:38" hidden="1" x14ac:dyDescent="0.25">
      <c r="A636" s="2">
        <v>795</v>
      </c>
      <c r="B636" s="1" t="s">
        <v>776</v>
      </c>
      <c r="C636" s="1" t="s">
        <v>777</v>
      </c>
      <c r="D636" s="1" t="s">
        <v>2062</v>
      </c>
      <c r="E636" s="1" t="s">
        <v>2063</v>
      </c>
      <c r="F636" s="3">
        <v>45230</v>
      </c>
      <c r="G636" s="3">
        <v>45205</v>
      </c>
      <c r="H636" s="3">
        <v>45570</v>
      </c>
      <c r="I636" s="1" t="s">
        <v>3062</v>
      </c>
      <c r="J636" s="1" t="s">
        <v>3072</v>
      </c>
      <c r="K636" s="1"/>
      <c r="L636" s="1" t="s">
        <v>2390</v>
      </c>
      <c r="M636" s="1" t="s">
        <v>3073</v>
      </c>
      <c r="N636" s="1" t="s">
        <v>3074</v>
      </c>
      <c r="O636" s="1" t="s">
        <v>3075</v>
      </c>
      <c r="P636" s="1" t="s">
        <v>2182</v>
      </c>
      <c r="Q636" s="1"/>
      <c r="R636" s="1"/>
      <c r="S636" s="1" t="s">
        <v>2072</v>
      </c>
      <c r="T636" s="1" t="s">
        <v>2073</v>
      </c>
      <c r="U636" s="4">
        <v>22500000</v>
      </c>
      <c r="V636" s="4">
        <v>390350</v>
      </c>
      <c r="W636" s="4">
        <v>3904</v>
      </c>
      <c r="X636" s="4">
        <v>50746</v>
      </c>
      <c r="Y636" s="4">
        <v>0</v>
      </c>
      <c r="Z636" s="5">
        <v>445000</v>
      </c>
      <c r="AA636" s="5">
        <v>0</v>
      </c>
      <c r="AB636" s="6">
        <v>0</v>
      </c>
      <c r="AC636" s="4">
        <v>445000</v>
      </c>
      <c r="AD636" s="4">
        <v>0</v>
      </c>
      <c r="AE636" s="4">
        <v>445000</v>
      </c>
      <c r="AF636" s="1"/>
      <c r="AG636" s="1"/>
      <c r="AH636" s="1"/>
      <c r="AI636" s="1" t="s">
        <v>2327</v>
      </c>
      <c r="AJ636" s="1"/>
      <c r="AK636" s="1"/>
      <c r="AL636" s="1"/>
    </row>
    <row r="637" spans="1:38" hidden="1" x14ac:dyDescent="0.25">
      <c r="A637" s="2">
        <v>796</v>
      </c>
      <c r="B637" s="1" t="s">
        <v>776</v>
      </c>
      <c r="C637" s="1" t="s">
        <v>778</v>
      </c>
      <c r="D637" s="1" t="s">
        <v>2062</v>
      </c>
      <c r="E637" s="1" t="s">
        <v>2063</v>
      </c>
      <c r="F637" s="3">
        <v>45449</v>
      </c>
      <c r="G637" s="3">
        <v>45205</v>
      </c>
      <c r="H637" s="3">
        <v>45570</v>
      </c>
      <c r="I637" s="1" t="s">
        <v>3062</v>
      </c>
      <c r="J637" s="1" t="s">
        <v>3072</v>
      </c>
      <c r="K637" s="1"/>
      <c r="L637" s="1" t="s">
        <v>2390</v>
      </c>
      <c r="M637" s="1" t="s">
        <v>3073</v>
      </c>
      <c r="N637" s="1" t="s">
        <v>3074</v>
      </c>
      <c r="O637" s="1" t="s">
        <v>3075</v>
      </c>
      <c r="P637" s="1" t="s">
        <v>2182</v>
      </c>
      <c r="Q637" s="1"/>
      <c r="R637" s="1"/>
      <c r="S637" s="1" t="s">
        <v>2072</v>
      </c>
      <c r="T637" s="1" t="s">
        <v>2073</v>
      </c>
      <c r="U637" s="4">
        <v>22500000</v>
      </c>
      <c r="V637" s="4">
        <v>3094</v>
      </c>
      <c r="W637" s="4">
        <v>31</v>
      </c>
      <c r="X637" s="4">
        <v>403</v>
      </c>
      <c r="Y637" s="4">
        <v>0</v>
      </c>
      <c r="Z637" s="5">
        <v>3528</v>
      </c>
      <c r="AA637" s="5">
        <v>0</v>
      </c>
      <c r="AB637" s="6">
        <v>0</v>
      </c>
      <c r="AC637" s="4">
        <v>3528</v>
      </c>
      <c r="AD637" s="4">
        <v>0</v>
      </c>
      <c r="AE637" s="4">
        <v>3528</v>
      </c>
      <c r="AF637" s="1"/>
      <c r="AG637" s="1"/>
      <c r="AH637" s="1"/>
      <c r="AI637" s="1" t="s">
        <v>2327</v>
      </c>
      <c r="AJ637" s="6">
        <v>119.15</v>
      </c>
      <c r="AK637" s="6">
        <v>114.44999999999999</v>
      </c>
      <c r="AL637" s="1"/>
    </row>
    <row r="638" spans="1:38" hidden="1" x14ac:dyDescent="0.25">
      <c r="A638" s="2">
        <v>797</v>
      </c>
      <c r="B638" s="1" t="s">
        <v>776</v>
      </c>
      <c r="C638" s="1" t="s">
        <v>779</v>
      </c>
      <c r="D638" s="1" t="s">
        <v>2062</v>
      </c>
      <c r="E638" s="1" t="s">
        <v>2063</v>
      </c>
      <c r="F638" s="3">
        <v>45482</v>
      </c>
      <c r="G638" s="3">
        <v>45205</v>
      </c>
      <c r="H638" s="3">
        <v>45570</v>
      </c>
      <c r="I638" s="1" t="s">
        <v>3062</v>
      </c>
      <c r="J638" s="1" t="s">
        <v>3072</v>
      </c>
      <c r="K638" s="1"/>
      <c r="L638" s="1" t="s">
        <v>2390</v>
      </c>
      <c r="M638" s="1" t="s">
        <v>3073</v>
      </c>
      <c r="N638" s="1" t="s">
        <v>3074</v>
      </c>
      <c r="O638" s="1" t="s">
        <v>3075</v>
      </c>
      <c r="P638" s="1" t="s">
        <v>2182</v>
      </c>
      <c r="Q638" s="1"/>
      <c r="R638" s="1"/>
      <c r="S638" s="1" t="s">
        <v>2072</v>
      </c>
      <c r="T638" s="1" t="s">
        <v>2073</v>
      </c>
      <c r="U638" s="4">
        <v>22500000</v>
      </c>
      <c r="V638" s="4">
        <v>3383</v>
      </c>
      <c r="W638" s="4">
        <v>34</v>
      </c>
      <c r="X638" s="4">
        <v>507</v>
      </c>
      <c r="Y638" s="4">
        <v>0</v>
      </c>
      <c r="Z638" s="5">
        <v>3924</v>
      </c>
      <c r="AA638" s="5">
        <v>0</v>
      </c>
      <c r="AB638" s="6">
        <v>0</v>
      </c>
      <c r="AC638" s="4">
        <v>3924</v>
      </c>
      <c r="AD638" s="4">
        <v>0</v>
      </c>
      <c r="AE638" s="4">
        <v>3924</v>
      </c>
      <c r="AF638" s="1"/>
      <c r="AG638" s="1"/>
      <c r="AH638" s="1"/>
      <c r="AI638" s="1" t="s">
        <v>2327</v>
      </c>
      <c r="AJ638" s="6">
        <v>127.31</v>
      </c>
      <c r="AK638" s="6">
        <v>127.31</v>
      </c>
      <c r="AL638" s="1"/>
    </row>
    <row r="639" spans="1:38" hidden="1" x14ac:dyDescent="0.25">
      <c r="A639" s="2">
        <v>798</v>
      </c>
      <c r="B639" s="1" t="s">
        <v>776</v>
      </c>
      <c r="C639" s="1" t="s">
        <v>780</v>
      </c>
      <c r="D639" s="1" t="s">
        <v>2062</v>
      </c>
      <c r="E639" s="1" t="s">
        <v>2063</v>
      </c>
      <c r="F639" s="3">
        <v>45512</v>
      </c>
      <c r="G639" s="3">
        <v>45205</v>
      </c>
      <c r="H639" s="3">
        <v>45570</v>
      </c>
      <c r="I639" s="1" t="s">
        <v>3062</v>
      </c>
      <c r="J639" s="1" t="s">
        <v>3072</v>
      </c>
      <c r="K639" s="1"/>
      <c r="L639" s="1" t="s">
        <v>2390</v>
      </c>
      <c r="M639" s="1" t="s">
        <v>3073</v>
      </c>
      <c r="N639" s="1" t="s">
        <v>3074</v>
      </c>
      <c r="O639" s="1" t="s">
        <v>3075</v>
      </c>
      <c r="P639" s="1" t="s">
        <v>2182</v>
      </c>
      <c r="Q639" s="1"/>
      <c r="R639" s="1"/>
      <c r="S639" s="1" t="s">
        <v>2072</v>
      </c>
      <c r="T639" s="1" t="s">
        <v>2073</v>
      </c>
      <c r="U639" s="4">
        <v>22500000</v>
      </c>
      <c r="V639" s="4">
        <v>2232</v>
      </c>
      <c r="W639" s="4">
        <v>22</v>
      </c>
      <c r="X639" s="4">
        <v>335</v>
      </c>
      <c r="Y639" s="4">
        <v>0</v>
      </c>
      <c r="Z639" s="5">
        <v>2589</v>
      </c>
      <c r="AA639" s="5">
        <v>0</v>
      </c>
      <c r="AB639" s="6">
        <v>0</v>
      </c>
      <c r="AC639" s="4">
        <v>2589</v>
      </c>
      <c r="AD639" s="4">
        <v>0</v>
      </c>
      <c r="AE639" s="4">
        <v>2589</v>
      </c>
      <c r="AF639" s="1"/>
      <c r="AG639" s="1"/>
      <c r="AH639" s="1"/>
      <c r="AI639" s="1" t="s">
        <v>2327</v>
      </c>
      <c r="AJ639" s="6">
        <v>84</v>
      </c>
      <c r="AK639" s="6">
        <v>84</v>
      </c>
      <c r="AL639" s="1"/>
    </row>
    <row r="640" spans="1:38" hidden="1" x14ac:dyDescent="0.25">
      <c r="A640" s="2">
        <v>799</v>
      </c>
      <c r="B640" s="1" t="s">
        <v>776</v>
      </c>
      <c r="C640" s="1" t="s">
        <v>781</v>
      </c>
      <c r="D640" s="1" t="s">
        <v>2062</v>
      </c>
      <c r="E640" s="1" t="s">
        <v>2063</v>
      </c>
      <c r="F640" s="3">
        <v>45542</v>
      </c>
      <c r="G640" s="3">
        <v>45205</v>
      </c>
      <c r="H640" s="3">
        <v>45570</v>
      </c>
      <c r="I640" s="1" t="s">
        <v>3062</v>
      </c>
      <c r="J640" s="1" t="s">
        <v>3072</v>
      </c>
      <c r="K640" s="1"/>
      <c r="L640" s="1" t="s">
        <v>2390</v>
      </c>
      <c r="M640" s="1" t="s">
        <v>3073</v>
      </c>
      <c r="N640" s="1" t="s">
        <v>3074</v>
      </c>
      <c r="O640" s="1" t="s">
        <v>3075</v>
      </c>
      <c r="P640" s="1" t="s">
        <v>2182</v>
      </c>
      <c r="Q640" s="1"/>
      <c r="R640" s="1"/>
      <c r="S640" s="1" t="s">
        <v>2072</v>
      </c>
      <c r="T640" s="1" t="s">
        <v>2073</v>
      </c>
      <c r="U640" s="4">
        <v>22500000</v>
      </c>
      <c r="V640" s="4">
        <v>3737</v>
      </c>
      <c r="W640" s="4">
        <v>37</v>
      </c>
      <c r="X640" s="4">
        <v>560</v>
      </c>
      <c r="Y640" s="4">
        <v>0</v>
      </c>
      <c r="Z640" s="5">
        <v>4334</v>
      </c>
      <c r="AA640" s="5">
        <v>0</v>
      </c>
      <c r="AB640" s="6">
        <v>0</v>
      </c>
      <c r="AC640" s="4">
        <v>4334</v>
      </c>
      <c r="AD640" s="4">
        <v>0</v>
      </c>
      <c r="AE640" s="4">
        <v>4334</v>
      </c>
      <c r="AF640" s="1"/>
      <c r="AG640" s="1"/>
      <c r="AH640" s="1"/>
      <c r="AI640" s="1" t="s">
        <v>2327</v>
      </c>
      <c r="AJ640" s="6">
        <v>140.64000000000001</v>
      </c>
      <c r="AK640" s="6">
        <v>140.64000000000001</v>
      </c>
      <c r="AL640" s="1"/>
    </row>
    <row r="641" spans="1:38" hidden="1" x14ac:dyDescent="0.25">
      <c r="A641" s="2">
        <v>800</v>
      </c>
      <c r="B641" s="1" t="s">
        <v>776</v>
      </c>
      <c r="C641" s="1" t="s">
        <v>782</v>
      </c>
      <c r="D641" s="1" t="s">
        <v>2062</v>
      </c>
      <c r="E641" s="1" t="s">
        <v>2063</v>
      </c>
      <c r="F641" s="3">
        <v>45574</v>
      </c>
      <c r="G641" s="3">
        <v>45205</v>
      </c>
      <c r="H641" s="3">
        <v>45570</v>
      </c>
      <c r="I641" s="1" t="s">
        <v>3062</v>
      </c>
      <c r="J641" s="1" t="s">
        <v>3072</v>
      </c>
      <c r="K641" s="1"/>
      <c r="L641" s="1" t="s">
        <v>2390</v>
      </c>
      <c r="M641" s="1" t="s">
        <v>3073</v>
      </c>
      <c r="N641" s="1" t="s">
        <v>3074</v>
      </c>
      <c r="O641" s="1" t="s">
        <v>3075</v>
      </c>
      <c r="P641" s="1" t="s">
        <v>2182</v>
      </c>
      <c r="Q641" s="1"/>
      <c r="R641" s="1"/>
      <c r="S641" s="1" t="s">
        <v>2072</v>
      </c>
      <c r="T641" s="1" t="s">
        <v>2073</v>
      </c>
      <c r="U641" s="4">
        <v>22500000</v>
      </c>
      <c r="V641" s="4">
        <v>4209</v>
      </c>
      <c r="W641" s="4">
        <v>42</v>
      </c>
      <c r="X641" s="4">
        <v>631</v>
      </c>
      <c r="Y641" s="4">
        <v>0</v>
      </c>
      <c r="Z641" s="5">
        <v>4882</v>
      </c>
      <c r="AA641" s="5">
        <v>0</v>
      </c>
      <c r="AB641" s="6">
        <v>0</v>
      </c>
      <c r="AC641" s="4">
        <v>4882</v>
      </c>
      <c r="AD641" s="4">
        <v>0</v>
      </c>
      <c r="AE641" s="4">
        <v>4882</v>
      </c>
      <c r="AF641" s="1"/>
      <c r="AG641" s="1"/>
      <c r="AH641" s="1"/>
      <c r="AI641" s="1" t="s">
        <v>2327</v>
      </c>
      <c r="AJ641" s="6">
        <v>158.37</v>
      </c>
      <c r="AK641" s="6">
        <v>158.37</v>
      </c>
      <c r="AL641" s="1"/>
    </row>
    <row r="642" spans="1:38" hidden="1" x14ac:dyDescent="0.25">
      <c r="A642" s="2">
        <v>801</v>
      </c>
      <c r="B642" s="1" t="s">
        <v>776</v>
      </c>
      <c r="C642" s="1" t="s">
        <v>783</v>
      </c>
      <c r="D642" s="1" t="s">
        <v>2062</v>
      </c>
      <c r="E642" s="1" t="s">
        <v>2063</v>
      </c>
      <c r="F642" s="3">
        <v>45655</v>
      </c>
      <c r="G642" s="3">
        <v>45205</v>
      </c>
      <c r="H642" s="3">
        <v>45570</v>
      </c>
      <c r="I642" s="1" t="s">
        <v>3062</v>
      </c>
      <c r="J642" s="1" t="s">
        <v>3072</v>
      </c>
      <c r="K642" s="1"/>
      <c r="L642" s="1" t="s">
        <v>2390</v>
      </c>
      <c r="M642" s="1" t="s">
        <v>3073</v>
      </c>
      <c r="N642" s="1" t="s">
        <v>3074</v>
      </c>
      <c r="O642" s="1" t="s">
        <v>3075</v>
      </c>
      <c r="P642" s="1" t="s">
        <v>2182</v>
      </c>
      <c r="Q642" s="1"/>
      <c r="R642" s="1"/>
      <c r="S642" s="1" t="s">
        <v>2072</v>
      </c>
      <c r="T642" s="1" t="s">
        <v>2073</v>
      </c>
      <c r="U642" s="4">
        <v>-1</v>
      </c>
      <c r="V642" s="4">
        <v>-459660</v>
      </c>
      <c r="W642" s="4">
        <v>-4597</v>
      </c>
      <c r="X642" s="4">
        <v>0</v>
      </c>
      <c r="Y642" s="4">
        <v>0</v>
      </c>
      <c r="Z642" s="5">
        <v>-464257</v>
      </c>
      <c r="AA642" s="5">
        <v>0</v>
      </c>
      <c r="AB642" s="6">
        <v>0</v>
      </c>
      <c r="AC642" s="4">
        <v>-464257</v>
      </c>
      <c r="AD642" s="4">
        <v>0</v>
      </c>
      <c r="AE642" s="4">
        <v>-464257</v>
      </c>
      <c r="AF642" s="1"/>
      <c r="AG642" s="1"/>
      <c r="AH642" s="1"/>
      <c r="AI642" s="1" t="s">
        <v>2327</v>
      </c>
      <c r="AJ642" s="1"/>
      <c r="AK642" s="1"/>
      <c r="AL642" s="1"/>
    </row>
    <row r="643" spans="1:38" x14ac:dyDescent="0.25">
      <c r="A643" s="2">
        <v>805</v>
      </c>
      <c r="B643" s="1" t="s">
        <v>784</v>
      </c>
      <c r="C643" s="1"/>
      <c r="D643" s="1" t="s">
        <v>2062</v>
      </c>
      <c r="E643" s="1" t="s">
        <v>2063</v>
      </c>
      <c r="F643" s="3">
        <v>45208</v>
      </c>
      <c r="G643" s="3">
        <v>45206</v>
      </c>
      <c r="H643" s="3">
        <v>45571</v>
      </c>
      <c r="I643" s="1" t="s">
        <v>3076</v>
      </c>
      <c r="J643" s="1" t="s">
        <v>3077</v>
      </c>
      <c r="K643" s="1"/>
      <c r="L643" s="1" t="s">
        <v>2864</v>
      </c>
      <c r="M643" s="1" t="s">
        <v>3078</v>
      </c>
      <c r="N643" s="1" t="s">
        <v>3079</v>
      </c>
      <c r="O643" s="1" t="s">
        <v>3080</v>
      </c>
      <c r="P643" s="1" t="s">
        <v>2247</v>
      </c>
      <c r="Q643" s="1"/>
      <c r="R643" s="1"/>
      <c r="S643" s="1" t="s">
        <v>2072</v>
      </c>
      <c r="T643" s="1" t="s">
        <v>2073</v>
      </c>
      <c r="U643" s="4">
        <v>2500000</v>
      </c>
      <c r="V643" s="4">
        <v>4343</v>
      </c>
      <c r="W643" s="4">
        <v>43</v>
      </c>
      <c r="X643" s="4">
        <v>564</v>
      </c>
      <c r="Y643" s="4">
        <v>50</v>
      </c>
      <c r="Z643" s="5">
        <v>5000</v>
      </c>
      <c r="AA643" s="5">
        <v>5099</v>
      </c>
      <c r="AB643" s="6">
        <v>0</v>
      </c>
      <c r="AC643" s="4">
        <v>-99</v>
      </c>
      <c r="AD643" s="4">
        <v>0</v>
      </c>
      <c r="AE643" s="4">
        <v>-99</v>
      </c>
      <c r="AF643" s="1"/>
      <c r="AG643" s="1"/>
      <c r="AH643" s="1"/>
      <c r="AI643" s="1" t="s">
        <v>2909</v>
      </c>
      <c r="AJ643" s="1"/>
      <c r="AK643" s="1"/>
      <c r="AL643" s="1" t="s">
        <v>3081</v>
      </c>
    </row>
    <row r="644" spans="1:38" hidden="1" x14ac:dyDescent="0.25">
      <c r="A644" s="2">
        <v>806</v>
      </c>
      <c r="B644" s="1" t="s">
        <v>784</v>
      </c>
      <c r="C644" s="1" t="s">
        <v>785</v>
      </c>
      <c r="D644" s="1" t="s">
        <v>2062</v>
      </c>
      <c r="E644" s="1" t="s">
        <v>2063</v>
      </c>
      <c r="F644" s="3">
        <v>45574</v>
      </c>
      <c r="G644" s="3">
        <v>45206</v>
      </c>
      <c r="H644" s="3">
        <v>45571</v>
      </c>
      <c r="I644" s="1" t="s">
        <v>3076</v>
      </c>
      <c r="J644" s="1" t="s">
        <v>3077</v>
      </c>
      <c r="K644" s="1"/>
      <c r="L644" s="1" t="s">
        <v>2864</v>
      </c>
      <c r="M644" s="1" t="s">
        <v>3078</v>
      </c>
      <c r="N644" s="1" t="s">
        <v>3079</v>
      </c>
      <c r="O644" s="1" t="s">
        <v>3080</v>
      </c>
      <c r="P644" s="1" t="s">
        <v>2247</v>
      </c>
      <c r="Q644" s="1"/>
      <c r="R644" s="1"/>
      <c r="S644" s="1" t="s">
        <v>2072</v>
      </c>
      <c r="T644" s="1" t="s">
        <v>2073</v>
      </c>
      <c r="U644" s="4">
        <v>2500000</v>
      </c>
      <c r="V644" s="4">
        <v>85</v>
      </c>
      <c r="W644" s="4">
        <v>1</v>
      </c>
      <c r="X644" s="4">
        <v>13</v>
      </c>
      <c r="Y644" s="4">
        <v>0</v>
      </c>
      <c r="Z644" s="5">
        <v>99</v>
      </c>
      <c r="AA644" s="5">
        <v>0</v>
      </c>
      <c r="AB644" s="6">
        <v>0</v>
      </c>
      <c r="AC644" s="4">
        <v>99</v>
      </c>
      <c r="AD644" s="4">
        <v>0</v>
      </c>
      <c r="AE644" s="4">
        <v>99</v>
      </c>
      <c r="AF644" s="1"/>
      <c r="AG644" s="1"/>
      <c r="AH644" s="1"/>
      <c r="AI644" s="1" t="s">
        <v>2909</v>
      </c>
      <c r="AJ644" s="6">
        <v>29.009999999999987</v>
      </c>
      <c r="AK644" s="6">
        <v>29.009999999999987</v>
      </c>
      <c r="AL644" s="1"/>
    </row>
    <row r="645" spans="1:38" hidden="1" x14ac:dyDescent="0.25">
      <c r="A645" s="2">
        <v>807</v>
      </c>
      <c r="B645" s="1" t="s">
        <v>786</v>
      </c>
      <c r="C645" s="1" t="s">
        <v>787</v>
      </c>
      <c r="D645" s="1" t="s">
        <v>2062</v>
      </c>
      <c r="E645" s="1" t="s">
        <v>2063</v>
      </c>
      <c r="F645" s="3">
        <v>45230</v>
      </c>
      <c r="G645" s="3">
        <v>45205</v>
      </c>
      <c r="H645" s="3">
        <v>45570</v>
      </c>
      <c r="I645" s="1" t="s">
        <v>3082</v>
      </c>
      <c r="J645" s="1" t="s">
        <v>3083</v>
      </c>
      <c r="K645" s="1"/>
      <c r="L645" s="1" t="s">
        <v>3084</v>
      </c>
      <c r="M645" s="1" t="s">
        <v>3085</v>
      </c>
      <c r="N645" s="1" t="s">
        <v>3086</v>
      </c>
      <c r="O645" s="1" t="s">
        <v>3087</v>
      </c>
      <c r="P645" s="1" t="s">
        <v>2165</v>
      </c>
      <c r="Q645" s="1"/>
      <c r="R645" s="1"/>
      <c r="S645" s="1" t="s">
        <v>2072</v>
      </c>
      <c r="T645" s="1" t="s">
        <v>2073</v>
      </c>
      <c r="U645" s="4">
        <v>2600000</v>
      </c>
      <c r="V645" s="4">
        <v>41227</v>
      </c>
      <c r="W645" s="4">
        <v>413</v>
      </c>
      <c r="X645" s="4">
        <v>5360</v>
      </c>
      <c r="Y645" s="4">
        <v>0</v>
      </c>
      <c r="Z645" s="5">
        <v>47000</v>
      </c>
      <c r="AA645" s="5">
        <v>0</v>
      </c>
      <c r="AB645" s="6">
        <v>0</v>
      </c>
      <c r="AC645" s="4">
        <v>47000</v>
      </c>
      <c r="AD645" s="4">
        <v>0</v>
      </c>
      <c r="AE645" s="4">
        <v>47000</v>
      </c>
      <c r="AF645" s="1"/>
      <c r="AG645" s="1"/>
      <c r="AH645" s="1"/>
      <c r="AI645" s="1" t="s">
        <v>2841</v>
      </c>
      <c r="AJ645" s="1"/>
      <c r="AK645" s="1"/>
      <c r="AL645" s="1" t="s">
        <v>3088</v>
      </c>
    </row>
    <row r="646" spans="1:38" hidden="1" x14ac:dyDescent="0.25">
      <c r="A646" s="2">
        <v>808</v>
      </c>
      <c r="B646" s="1" t="s">
        <v>786</v>
      </c>
      <c r="C646" s="1" t="s">
        <v>788</v>
      </c>
      <c r="D646" s="1" t="s">
        <v>2062</v>
      </c>
      <c r="E646" s="1" t="s">
        <v>2063</v>
      </c>
      <c r="F646" s="3">
        <v>45357</v>
      </c>
      <c r="G646" s="3">
        <v>45205</v>
      </c>
      <c r="H646" s="3">
        <v>45570</v>
      </c>
      <c r="I646" s="1" t="s">
        <v>3082</v>
      </c>
      <c r="J646" s="1" t="s">
        <v>3083</v>
      </c>
      <c r="K646" s="1"/>
      <c r="L646" s="1" t="s">
        <v>3084</v>
      </c>
      <c r="M646" s="1" t="s">
        <v>3085</v>
      </c>
      <c r="N646" s="1" t="s">
        <v>3086</v>
      </c>
      <c r="O646" s="1" t="s">
        <v>3087</v>
      </c>
      <c r="P646" s="1" t="s">
        <v>2165</v>
      </c>
      <c r="Q646" s="1"/>
      <c r="R646" s="1"/>
      <c r="S646" s="1" t="s">
        <v>2072</v>
      </c>
      <c r="T646" s="1" t="s">
        <v>2073</v>
      </c>
      <c r="U646" s="4">
        <v>2600000</v>
      </c>
      <c r="V646" s="4">
        <v>3495</v>
      </c>
      <c r="W646" s="4">
        <v>34</v>
      </c>
      <c r="X646" s="4">
        <v>454</v>
      </c>
      <c r="Y646" s="4">
        <v>0</v>
      </c>
      <c r="Z646" s="5">
        <v>3983</v>
      </c>
      <c r="AA646" s="5">
        <v>0</v>
      </c>
      <c r="AB646" s="6">
        <v>0</v>
      </c>
      <c r="AC646" s="4">
        <v>3983</v>
      </c>
      <c r="AD646" s="4">
        <v>0</v>
      </c>
      <c r="AE646" s="4">
        <v>3983</v>
      </c>
      <c r="AF646" s="1"/>
      <c r="AG646" s="1"/>
      <c r="AH646" s="1"/>
      <c r="AI646" s="1" t="s">
        <v>2841</v>
      </c>
      <c r="AJ646" s="6">
        <v>2435.2000000000153</v>
      </c>
      <c r="AK646" s="6">
        <v>1119.93</v>
      </c>
      <c r="AL646" s="1"/>
    </row>
    <row r="647" spans="1:38" hidden="1" x14ac:dyDescent="0.25">
      <c r="A647" s="2">
        <v>809</v>
      </c>
      <c r="B647" s="1" t="s">
        <v>786</v>
      </c>
      <c r="C647" s="1" t="s">
        <v>789</v>
      </c>
      <c r="D647" s="1" t="s">
        <v>2062</v>
      </c>
      <c r="E647" s="1" t="s">
        <v>2063</v>
      </c>
      <c r="F647" s="3">
        <v>45390</v>
      </c>
      <c r="G647" s="3">
        <v>45205</v>
      </c>
      <c r="H647" s="3">
        <v>45570</v>
      </c>
      <c r="I647" s="1" t="s">
        <v>3082</v>
      </c>
      <c r="J647" s="1" t="s">
        <v>3083</v>
      </c>
      <c r="K647" s="1"/>
      <c r="L647" s="1" t="s">
        <v>3084</v>
      </c>
      <c r="M647" s="1" t="s">
        <v>3085</v>
      </c>
      <c r="N647" s="1" t="s">
        <v>3086</v>
      </c>
      <c r="O647" s="1" t="s">
        <v>3087</v>
      </c>
      <c r="P647" s="1" t="s">
        <v>2165</v>
      </c>
      <c r="Q647" s="1"/>
      <c r="R647" s="1"/>
      <c r="S647" s="1" t="s">
        <v>2072</v>
      </c>
      <c r="T647" s="1" t="s">
        <v>2073</v>
      </c>
      <c r="U647" s="4">
        <v>2600000</v>
      </c>
      <c r="V647" s="4">
        <v>3453</v>
      </c>
      <c r="W647" s="4">
        <v>35</v>
      </c>
      <c r="X647" s="4">
        <v>449</v>
      </c>
      <c r="Y647" s="4">
        <v>0</v>
      </c>
      <c r="Z647" s="5">
        <v>3937</v>
      </c>
      <c r="AA647" s="5">
        <v>0</v>
      </c>
      <c r="AB647" s="6">
        <v>0</v>
      </c>
      <c r="AC647" s="4">
        <v>3937</v>
      </c>
      <c r="AD647" s="4">
        <v>0</v>
      </c>
      <c r="AE647" s="4">
        <v>3937</v>
      </c>
      <c r="AF647" s="1"/>
      <c r="AG647" s="1"/>
      <c r="AH647" s="1"/>
      <c r="AI647" s="1" t="s">
        <v>2841</v>
      </c>
      <c r="AJ647" s="6">
        <v>2054.2000000000262</v>
      </c>
      <c r="AK647" s="6">
        <v>1106.92</v>
      </c>
      <c r="AL647" s="1"/>
    </row>
    <row r="648" spans="1:38" hidden="1" x14ac:dyDescent="0.25">
      <c r="A648" s="2">
        <v>810</v>
      </c>
      <c r="B648" s="1" t="s">
        <v>786</v>
      </c>
      <c r="C648" s="1" t="s">
        <v>790</v>
      </c>
      <c r="D648" s="1" t="s">
        <v>2062</v>
      </c>
      <c r="E648" s="1" t="s">
        <v>2063</v>
      </c>
      <c r="F648" s="3">
        <v>45425</v>
      </c>
      <c r="G648" s="3">
        <v>45205</v>
      </c>
      <c r="H648" s="3">
        <v>45570</v>
      </c>
      <c r="I648" s="1" t="s">
        <v>3082</v>
      </c>
      <c r="J648" s="1" t="s">
        <v>3083</v>
      </c>
      <c r="K648" s="1"/>
      <c r="L648" s="1" t="s">
        <v>3084</v>
      </c>
      <c r="M648" s="1" t="s">
        <v>3085</v>
      </c>
      <c r="N648" s="1" t="s">
        <v>3086</v>
      </c>
      <c r="O648" s="1" t="s">
        <v>3087</v>
      </c>
      <c r="P648" s="1" t="s">
        <v>2165</v>
      </c>
      <c r="Q648" s="1"/>
      <c r="R648" s="1"/>
      <c r="S648" s="1" t="s">
        <v>2072</v>
      </c>
      <c r="T648" s="1" t="s">
        <v>2073</v>
      </c>
      <c r="U648" s="4">
        <v>2600000</v>
      </c>
      <c r="V648" s="4">
        <v>2893</v>
      </c>
      <c r="W648" s="4">
        <v>29</v>
      </c>
      <c r="X648" s="4">
        <v>376</v>
      </c>
      <c r="Y648" s="4">
        <v>0</v>
      </c>
      <c r="Z648" s="5">
        <v>3298</v>
      </c>
      <c r="AA648" s="5">
        <v>0</v>
      </c>
      <c r="AB648" s="6">
        <v>0</v>
      </c>
      <c r="AC648" s="4">
        <v>3298</v>
      </c>
      <c r="AD648" s="4">
        <v>0</v>
      </c>
      <c r="AE648" s="4">
        <v>3298</v>
      </c>
      <c r="AF648" s="1"/>
      <c r="AG648" s="1"/>
      <c r="AH648" s="1"/>
      <c r="AI648" s="1" t="s">
        <v>2841</v>
      </c>
      <c r="AJ648" s="6">
        <v>2168.210000000026</v>
      </c>
      <c r="AK648" s="6">
        <v>926.26</v>
      </c>
      <c r="AL648" s="1"/>
    </row>
    <row r="649" spans="1:38" hidden="1" x14ac:dyDescent="0.25">
      <c r="A649" s="2">
        <v>811</v>
      </c>
      <c r="B649" s="1" t="s">
        <v>786</v>
      </c>
      <c r="C649" s="1" t="s">
        <v>791</v>
      </c>
      <c r="D649" s="1" t="s">
        <v>2062</v>
      </c>
      <c r="E649" s="1" t="s">
        <v>2063</v>
      </c>
      <c r="F649" s="3">
        <v>45449</v>
      </c>
      <c r="G649" s="3">
        <v>45205</v>
      </c>
      <c r="H649" s="3">
        <v>45570</v>
      </c>
      <c r="I649" s="1" t="s">
        <v>3082</v>
      </c>
      <c r="J649" s="1" t="s">
        <v>3083</v>
      </c>
      <c r="K649" s="1"/>
      <c r="L649" s="1" t="s">
        <v>3084</v>
      </c>
      <c r="M649" s="1" t="s">
        <v>3085</v>
      </c>
      <c r="N649" s="1" t="s">
        <v>3086</v>
      </c>
      <c r="O649" s="1" t="s">
        <v>3087</v>
      </c>
      <c r="P649" s="1" t="s">
        <v>2165</v>
      </c>
      <c r="Q649" s="1"/>
      <c r="R649" s="1"/>
      <c r="S649" s="1" t="s">
        <v>2072</v>
      </c>
      <c r="T649" s="1" t="s">
        <v>2073</v>
      </c>
      <c r="U649" s="4">
        <v>2600000</v>
      </c>
      <c r="V649" s="4">
        <v>3151</v>
      </c>
      <c r="W649" s="4">
        <v>31</v>
      </c>
      <c r="X649" s="4">
        <v>410</v>
      </c>
      <c r="Y649" s="4">
        <v>0</v>
      </c>
      <c r="Z649" s="5">
        <v>3592</v>
      </c>
      <c r="AA649" s="5">
        <v>0</v>
      </c>
      <c r="AB649" s="6">
        <v>0</v>
      </c>
      <c r="AC649" s="4">
        <v>3592</v>
      </c>
      <c r="AD649" s="4">
        <v>0</v>
      </c>
      <c r="AE649" s="4">
        <v>3592</v>
      </c>
      <c r="AF649" s="1"/>
      <c r="AG649" s="1"/>
      <c r="AH649" s="1"/>
      <c r="AI649" s="1" t="s">
        <v>2841</v>
      </c>
      <c r="AJ649" s="6">
        <v>2195.9900000000171</v>
      </c>
      <c r="AK649" s="6">
        <v>1008.6500000000001</v>
      </c>
      <c r="AL649" s="1"/>
    </row>
    <row r="650" spans="1:38" hidden="1" x14ac:dyDescent="0.25">
      <c r="A650" s="2">
        <v>812</v>
      </c>
      <c r="B650" s="1" t="s">
        <v>786</v>
      </c>
      <c r="C650" s="1" t="s">
        <v>792</v>
      </c>
      <c r="D650" s="1" t="s">
        <v>2062</v>
      </c>
      <c r="E650" s="1" t="s">
        <v>2063</v>
      </c>
      <c r="F650" s="3">
        <v>45482</v>
      </c>
      <c r="G650" s="3">
        <v>45205</v>
      </c>
      <c r="H650" s="3">
        <v>45570</v>
      </c>
      <c r="I650" s="1" t="s">
        <v>3082</v>
      </c>
      <c r="J650" s="1" t="s">
        <v>3083</v>
      </c>
      <c r="K650" s="1"/>
      <c r="L650" s="1" t="s">
        <v>3084</v>
      </c>
      <c r="M650" s="1" t="s">
        <v>3085</v>
      </c>
      <c r="N650" s="1" t="s">
        <v>3086</v>
      </c>
      <c r="O650" s="1" t="s">
        <v>3087</v>
      </c>
      <c r="P650" s="1" t="s">
        <v>2165</v>
      </c>
      <c r="Q650" s="1"/>
      <c r="R650" s="1"/>
      <c r="S650" s="1" t="s">
        <v>2072</v>
      </c>
      <c r="T650" s="1" t="s">
        <v>2073</v>
      </c>
      <c r="U650" s="4">
        <v>2600000</v>
      </c>
      <c r="V650" s="4">
        <v>2810</v>
      </c>
      <c r="W650" s="4">
        <v>28</v>
      </c>
      <c r="X650" s="4">
        <v>421</v>
      </c>
      <c r="Y650" s="4">
        <v>0</v>
      </c>
      <c r="Z650" s="5">
        <v>3259</v>
      </c>
      <c r="AA650" s="5">
        <v>0</v>
      </c>
      <c r="AB650" s="6">
        <v>0</v>
      </c>
      <c r="AC650" s="4">
        <v>3259</v>
      </c>
      <c r="AD650" s="4">
        <v>0</v>
      </c>
      <c r="AE650" s="4">
        <v>3259</v>
      </c>
      <c r="AF650" s="1"/>
      <c r="AG650" s="1"/>
      <c r="AH650" s="1"/>
      <c r="AI650" s="1" t="s">
        <v>2841</v>
      </c>
      <c r="AJ650" s="6">
        <v>1676.8200000000193</v>
      </c>
      <c r="AK650" s="6">
        <v>915.99</v>
      </c>
      <c r="AL650" s="1"/>
    </row>
    <row r="651" spans="1:38" hidden="1" x14ac:dyDescent="0.25">
      <c r="A651" s="2">
        <v>813</v>
      </c>
      <c r="B651" s="1" t="s">
        <v>786</v>
      </c>
      <c r="C651" s="1" t="s">
        <v>793</v>
      </c>
      <c r="D651" s="1" t="s">
        <v>2062</v>
      </c>
      <c r="E651" s="1" t="s">
        <v>2063</v>
      </c>
      <c r="F651" s="3">
        <v>45512</v>
      </c>
      <c r="G651" s="3">
        <v>45205</v>
      </c>
      <c r="H651" s="3">
        <v>45570</v>
      </c>
      <c r="I651" s="1" t="s">
        <v>3082</v>
      </c>
      <c r="J651" s="1" t="s">
        <v>3083</v>
      </c>
      <c r="K651" s="1"/>
      <c r="L651" s="1" t="s">
        <v>3084</v>
      </c>
      <c r="M651" s="1" t="s">
        <v>3085</v>
      </c>
      <c r="N651" s="1" t="s">
        <v>3086</v>
      </c>
      <c r="O651" s="1" t="s">
        <v>3087</v>
      </c>
      <c r="P651" s="1" t="s">
        <v>2165</v>
      </c>
      <c r="Q651" s="1"/>
      <c r="R651" s="1"/>
      <c r="S651" s="1" t="s">
        <v>2072</v>
      </c>
      <c r="T651" s="1" t="s">
        <v>2073</v>
      </c>
      <c r="U651" s="4">
        <v>2600000</v>
      </c>
      <c r="V651" s="4">
        <v>3450</v>
      </c>
      <c r="W651" s="4">
        <v>35</v>
      </c>
      <c r="X651" s="4">
        <v>518</v>
      </c>
      <c r="Y651" s="4">
        <v>0</v>
      </c>
      <c r="Z651" s="5">
        <v>4003</v>
      </c>
      <c r="AA651" s="5">
        <v>0</v>
      </c>
      <c r="AB651" s="6">
        <v>0</v>
      </c>
      <c r="AC651" s="4">
        <v>4003</v>
      </c>
      <c r="AD651" s="4">
        <v>0</v>
      </c>
      <c r="AE651" s="4">
        <v>4003</v>
      </c>
      <c r="AF651" s="1"/>
      <c r="AG651" s="1"/>
      <c r="AH651" s="1"/>
      <c r="AI651" s="1" t="s">
        <v>2841</v>
      </c>
      <c r="AJ651" s="6">
        <v>2632.3400000000374</v>
      </c>
      <c r="AK651" s="6">
        <v>1124.8700000000001</v>
      </c>
      <c r="AL651" s="1"/>
    </row>
    <row r="652" spans="1:38" hidden="1" x14ac:dyDescent="0.25">
      <c r="A652" s="2">
        <v>814</v>
      </c>
      <c r="B652" s="1" t="s">
        <v>786</v>
      </c>
      <c r="C652" s="1" t="s">
        <v>794</v>
      </c>
      <c r="D652" s="1" t="s">
        <v>2062</v>
      </c>
      <c r="E652" s="1" t="s">
        <v>2063</v>
      </c>
      <c r="F652" s="3">
        <v>45542</v>
      </c>
      <c r="G652" s="3">
        <v>45205</v>
      </c>
      <c r="H652" s="3">
        <v>45570</v>
      </c>
      <c r="I652" s="1" t="s">
        <v>3082</v>
      </c>
      <c r="J652" s="1" t="s">
        <v>3083</v>
      </c>
      <c r="K652" s="1"/>
      <c r="L652" s="1" t="s">
        <v>3084</v>
      </c>
      <c r="M652" s="1" t="s">
        <v>3085</v>
      </c>
      <c r="N652" s="1" t="s">
        <v>3086</v>
      </c>
      <c r="O652" s="1" t="s">
        <v>3087</v>
      </c>
      <c r="P652" s="1" t="s">
        <v>2165</v>
      </c>
      <c r="Q652" s="1"/>
      <c r="R652" s="1"/>
      <c r="S652" s="1" t="s">
        <v>2072</v>
      </c>
      <c r="T652" s="1" t="s">
        <v>2073</v>
      </c>
      <c r="U652" s="4">
        <v>2600000</v>
      </c>
      <c r="V652" s="4">
        <v>2817</v>
      </c>
      <c r="W652" s="4">
        <v>28</v>
      </c>
      <c r="X652" s="4">
        <v>423</v>
      </c>
      <c r="Y652" s="4">
        <v>0</v>
      </c>
      <c r="Z652" s="5">
        <v>3268</v>
      </c>
      <c r="AA652" s="5">
        <v>0</v>
      </c>
      <c r="AB652" s="6">
        <v>0</v>
      </c>
      <c r="AC652" s="4">
        <v>3268</v>
      </c>
      <c r="AD652" s="4">
        <v>0</v>
      </c>
      <c r="AE652" s="4">
        <v>3268</v>
      </c>
      <c r="AF652" s="1"/>
      <c r="AG652" s="1"/>
      <c r="AH652" s="1"/>
      <c r="AI652" s="1" t="s">
        <v>2841</v>
      </c>
      <c r="AJ652" s="6">
        <v>1413.9500000000041</v>
      </c>
      <c r="AK652" s="6">
        <v>918.07</v>
      </c>
      <c r="AL652" s="1"/>
    </row>
    <row r="653" spans="1:38" hidden="1" x14ac:dyDescent="0.25">
      <c r="A653" s="2">
        <v>815</v>
      </c>
      <c r="B653" s="1" t="s">
        <v>786</v>
      </c>
      <c r="C653" s="1" t="s">
        <v>795</v>
      </c>
      <c r="D653" s="1" t="s">
        <v>2062</v>
      </c>
      <c r="E653" s="1" t="s">
        <v>2063</v>
      </c>
      <c r="F653" s="3">
        <v>45574</v>
      </c>
      <c r="G653" s="3">
        <v>45205</v>
      </c>
      <c r="H653" s="3">
        <v>45570</v>
      </c>
      <c r="I653" s="1" t="s">
        <v>3082</v>
      </c>
      <c r="J653" s="1" t="s">
        <v>3083</v>
      </c>
      <c r="K653" s="1"/>
      <c r="L653" s="1" t="s">
        <v>3084</v>
      </c>
      <c r="M653" s="1" t="s">
        <v>3085</v>
      </c>
      <c r="N653" s="1" t="s">
        <v>3086</v>
      </c>
      <c r="O653" s="1" t="s">
        <v>3087</v>
      </c>
      <c r="P653" s="1" t="s">
        <v>2165</v>
      </c>
      <c r="Q653" s="1"/>
      <c r="R653" s="1"/>
      <c r="S653" s="1" t="s">
        <v>2072</v>
      </c>
      <c r="T653" s="1" t="s">
        <v>2073</v>
      </c>
      <c r="U653" s="4">
        <v>2600000</v>
      </c>
      <c r="V653" s="4">
        <v>1842</v>
      </c>
      <c r="W653" s="4">
        <v>18</v>
      </c>
      <c r="X653" s="4">
        <v>276</v>
      </c>
      <c r="Y653" s="4">
        <v>0</v>
      </c>
      <c r="Z653" s="5">
        <v>2136</v>
      </c>
      <c r="AA653" s="5">
        <v>0</v>
      </c>
      <c r="AB653" s="6">
        <v>0</v>
      </c>
      <c r="AC653" s="4">
        <v>2136</v>
      </c>
      <c r="AD653" s="4">
        <v>0</v>
      </c>
      <c r="AE653" s="4">
        <v>2136</v>
      </c>
      <c r="AF653" s="1"/>
      <c r="AG653" s="1"/>
      <c r="AH653" s="1"/>
      <c r="AI653" s="1" t="s">
        <v>2841</v>
      </c>
      <c r="AJ653" s="6">
        <v>674.84000000000106</v>
      </c>
      <c r="AK653" s="6">
        <v>600.01</v>
      </c>
      <c r="AL653" s="1"/>
    </row>
    <row r="654" spans="1:38" hidden="1" x14ac:dyDescent="0.25">
      <c r="A654" s="2">
        <v>816</v>
      </c>
      <c r="B654" s="1" t="s">
        <v>786</v>
      </c>
      <c r="C654" s="1" t="s">
        <v>796</v>
      </c>
      <c r="D654" s="1" t="s">
        <v>2062</v>
      </c>
      <c r="E654" s="1" t="s">
        <v>2063</v>
      </c>
      <c r="F654" s="3">
        <v>45655</v>
      </c>
      <c r="G654" s="3">
        <v>45205</v>
      </c>
      <c r="H654" s="3">
        <v>45570</v>
      </c>
      <c r="I654" s="1" t="s">
        <v>3082</v>
      </c>
      <c r="J654" s="1" t="s">
        <v>3083</v>
      </c>
      <c r="K654" s="1"/>
      <c r="L654" s="1" t="s">
        <v>3084</v>
      </c>
      <c r="M654" s="1" t="s">
        <v>3085</v>
      </c>
      <c r="N654" s="1" t="s">
        <v>3086</v>
      </c>
      <c r="O654" s="1" t="s">
        <v>3087</v>
      </c>
      <c r="P654" s="1" t="s">
        <v>2165</v>
      </c>
      <c r="Q654" s="1"/>
      <c r="R654" s="1"/>
      <c r="S654" s="1" t="s">
        <v>2072</v>
      </c>
      <c r="T654" s="1" t="s">
        <v>2073</v>
      </c>
      <c r="U654" s="4">
        <v>-1</v>
      </c>
      <c r="V654" s="4">
        <v>-73739</v>
      </c>
      <c r="W654" s="4">
        <v>-737</v>
      </c>
      <c r="X654" s="4">
        <v>0</v>
      </c>
      <c r="Y654" s="4">
        <v>0</v>
      </c>
      <c r="Z654" s="5">
        <v>-74476</v>
      </c>
      <c r="AA654" s="5">
        <v>0</v>
      </c>
      <c r="AB654" s="6">
        <v>0</v>
      </c>
      <c r="AC654" s="4">
        <v>-74476</v>
      </c>
      <c r="AD654" s="4">
        <v>0</v>
      </c>
      <c r="AE654" s="4">
        <v>-74476</v>
      </c>
      <c r="AF654" s="1"/>
      <c r="AG654" s="1"/>
      <c r="AH654" s="1"/>
      <c r="AI654" s="1" t="s">
        <v>2841</v>
      </c>
      <c r="AJ654" s="1"/>
      <c r="AK654" s="1"/>
      <c r="AL654" s="1"/>
    </row>
    <row r="655" spans="1:38" hidden="1" x14ac:dyDescent="0.25">
      <c r="A655" s="2">
        <v>817</v>
      </c>
      <c r="B655" s="1" t="s">
        <v>797</v>
      </c>
      <c r="C655" s="1" t="s">
        <v>798</v>
      </c>
      <c r="D655" s="1" t="s">
        <v>2062</v>
      </c>
      <c r="E655" s="1" t="s">
        <v>2063</v>
      </c>
      <c r="F655" s="3">
        <v>45230</v>
      </c>
      <c r="G655" s="3">
        <v>45204</v>
      </c>
      <c r="H655" s="3">
        <v>45569</v>
      </c>
      <c r="I655" s="1" t="s">
        <v>3089</v>
      </c>
      <c r="J655" s="1" t="s">
        <v>3090</v>
      </c>
      <c r="K655" s="1"/>
      <c r="L655" s="1" t="s">
        <v>2450</v>
      </c>
      <c r="M655" s="1" t="s">
        <v>3091</v>
      </c>
      <c r="N655" s="1" t="s">
        <v>3092</v>
      </c>
      <c r="O655" s="1" t="s">
        <v>3093</v>
      </c>
      <c r="P655" s="1" t="s">
        <v>2165</v>
      </c>
      <c r="Q655" s="1"/>
      <c r="R655" s="1"/>
      <c r="S655" s="1" t="s">
        <v>2072</v>
      </c>
      <c r="T655" s="1" t="s">
        <v>2073</v>
      </c>
      <c r="U655" s="4">
        <v>2000000</v>
      </c>
      <c r="V655" s="4">
        <v>30701</v>
      </c>
      <c r="W655" s="4">
        <v>307</v>
      </c>
      <c r="X655" s="4">
        <v>3992</v>
      </c>
      <c r="Y655" s="4">
        <v>0</v>
      </c>
      <c r="Z655" s="5">
        <v>35000</v>
      </c>
      <c r="AA655" s="5">
        <v>0</v>
      </c>
      <c r="AB655" s="6">
        <v>0</v>
      </c>
      <c r="AC655" s="4">
        <v>35000</v>
      </c>
      <c r="AD655" s="4">
        <v>0</v>
      </c>
      <c r="AE655" s="4">
        <v>35000</v>
      </c>
      <c r="AF655" s="1"/>
      <c r="AG655" s="1"/>
      <c r="AH655" s="1"/>
      <c r="AI655" s="1" t="s">
        <v>2841</v>
      </c>
      <c r="AJ655" s="1"/>
      <c r="AK655" s="1"/>
      <c r="AL655" s="1"/>
    </row>
    <row r="656" spans="1:38" hidden="1" x14ac:dyDescent="0.25">
      <c r="A656" s="2">
        <v>818</v>
      </c>
      <c r="B656" s="1" t="s">
        <v>797</v>
      </c>
      <c r="C656" s="1" t="s">
        <v>799</v>
      </c>
      <c r="D656" s="1" t="s">
        <v>2062</v>
      </c>
      <c r="E656" s="1" t="s">
        <v>2063</v>
      </c>
      <c r="F656" s="3">
        <v>45356</v>
      </c>
      <c r="G656" s="3">
        <v>45204</v>
      </c>
      <c r="H656" s="3">
        <v>45569</v>
      </c>
      <c r="I656" s="1" t="s">
        <v>3089</v>
      </c>
      <c r="J656" s="1" t="s">
        <v>3090</v>
      </c>
      <c r="K656" s="1"/>
      <c r="L656" s="1" t="s">
        <v>2450</v>
      </c>
      <c r="M656" s="1" t="s">
        <v>3091</v>
      </c>
      <c r="N656" s="1" t="s">
        <v>3092</v>
      </c>
      <c r="O656" s="1" t="s">
        <v>3093</v>
      </c>
      <c r="P656" s="1" t="s">
        <v>2165</v>
      </c>
      <c r="Q656" s="1"/>
      <c r="R656" s="1"/>
      <c r="S656" s="1" t="s">
        <v>2072</v>
      </c>
      <c r="T656" s="1" t="s">
        <v>2073</v>
      </c>
      <c r="U656" s="4">
        <v>2000000</v>
      </c>
      <c r="V656" s="4">
        <v>1269</v>
      </c>
      <c r="W656" s="4">
        <v>12</v>
      </c>
      <c r="X656" s="4">
        <v>164</v>
      </c>
      <c r="Y656" s="4">
        <v>0</v>
      </c>
      <c r="Z656" s="5">
        <v>1445</v>
      </c>
      <c r="AA656" s="5">
        <v>0</v>
      </c>
      <c r="AB656" s="6">
        <v>0</v>
      </c>
      <c r="AC656" s="4">
        <v>1445</v>
      </c>
      <c r="AD656" s="4">
        <v>0</v>
      </c>
      <c r="AE656" s="4">
        <v>1445</v>
      </c>
      <c r="AF656" s="1"/>
      <c r="AG656" s="1"/>
      <c r="AH656" s="1"/>
      <c r="AI656" s="1" t="s">
        <v>2841</v>
      </c>
      <c r="AJ656" s="6">
        <v>538.51</v>
      </c>
      <c r="AK656" s="6">
        <v>527.78</v>
      </c>
      <c r="AL656" s="1"/>
    </row>
    <row r="657" spans="1:38" hidden="1" x14ac:dyDescent="0.25">
      <c r="A657" s="2">
        <v>819</v>
      </c>
      <c r="B657" s="1" t="s">
        <v>797</v>
      </c>
      <c r="C657" s="1" t="s">
        <v>800</v>
      </c>
      <c r="D657" s="1" t="s">
        <v>2062</v>
      </c>
      <c r="E657" s="1" t="s">
        <v>2063</v>
      </c>
      <c r="F657" s="3">
        <v>45398</v>
      </c>
      <c r="G657" s="3">
        <v>45204</v>
      </c>
      <c r="H657" s="3">
        <v>45569</v>
      </c>
      <c r="I657" s="1" t="s">
        <v>3089</v>
      </c>
      <c r="J657" s="1" t="s">
        <v>3090</v>
      </c>
      <c r="K657" s="1"/>
      <c r="L657" s="1" t="s">
        <v>2450</v>
      </c>
      <c r="M657" s="1" t="s">
        <v>3091</v>
      </c>
      <c r="N657" s="1" t="s">
        <v>3092</v>
      </c>
      <c r="O657" s="1" t="s">
        <v>3093</v>
      </c>
      <c r="P657" s="1" t="s">
        <v>2165</v>
      </c>
      <c r="Q657" s="1"/>
      <c r="R657" s="1"/>
      <c r="S657" s="1" t="s">
        <v>2072</v>
      </c>
      <c r="T657" s="1" t="s">
        <v>2073</v>
      </c>
      <c r="U657" s="4">
        <v>2000000</v>
      </c>
      <c r="V657" s="4">
        <v>-1918</v>
      </c>
      <c r="W657" s="4">
        <v>-19</v>
      </c>
      <c r="X657" s="4">
        <v>0</v>
      </c>
      <c r="Y657" s="4">
        <v>0</v>
      </c>
      <c r="Z657" s="5">
        <v>-1937</v>
      </c>
      <c r="AA657" s="5">
        <v>0</v>
      </c>
      <c r="AB657" s="6">
        <v>0</v>
      </c>
      <c r="AC657" s="4">
        <v>-1937</v>
      </c>
      <c r="AD657" s="4">
        <v>0</v>
      </c>
      <c r="AE657" s="4">
        <v>-1937</v>
      </c>
      <c r="AF657" s="1"/>
      <c r="AG657" s="1"/>
      <c r="AH657" s="1"/>
      <c r="AI657" s="1" t="s">
        <v>2841</v>
      </c>
      <c r="AJ657" s="1"/>
      <c r="AK657" s="1"/>
      <c r="AL657" s="1"/>
    </row>
    <row r="658" spans="1:38" hidden="1" x14ac:dyDescent="0.25">
      <c r="A658" s="2">
        <v>820</v>
      </c>
      <c r="B658" s="1" t="s">
        <v>797</v>
      </c>
      <c r="C658" s="1" t="s">
        <v>801</v>
      </c>
      <c r="D658" s="1" t="s">
        <v>2062</v>
      </c>
      <c r="E658" s="1" t="s">
        <v>2063</v>
      </c>
      <c r="F658" s="3">
        <v>45596</v>
      </c>
      <c r="G658" s="3">
        <v>45204</v>
      </c>
      <c r="H658" s="3">
        <v>45569</v>
      </c>
      <c r="I658" s="1" t="s">
        <v>3089</v>
      </c>
      <c r="J658" s="1" t="s">
        <v>3090</v>
      </c>
      <c r="K658" s="1"/>
      <c r="L658" s="1" t="s">
        <v>2450</v>
      </c>
      <c r="M658" s="1" t="s">
        <v>3091</v>
      </c>
      <c r="N658" s="1" t="s">
        <v>3092</v>
      </c>
      <c r="O658" s="1" t="s">
        <v>3093</v>
      </c>
      <c r="P658" s="1" t="s">
        <v>2165</v>
      </c>
      <c r="Q658" s="1"/>
      <c r="R658" s="1"/>
      <c r="S658" s="1" t="s">
        <v>2072</v>
      </c>
      <c r="T658" s="1" t="s">
        <v>2073</v>
      </c>
      <c r="U658" s="4">
        <v>-1</v>
      </c>
      <c r="V658" s="4">
        <v>-34166</v>
      </c>
      <c r="W658" s="4">
        <v>-342</v>
      </c>
      <c r="X658" s="4">
        <v>0</v>
      </c>
      <c r="Y658" s="4">
        <v>0</v>
      </c>
      <c r="Z658" s="5">
        <v>-34508</v>
      </c>
      <c r="AA658" s="5">
        <v>0</v>
      </c>
      <c r="AB658" s="6">
        <v>0</v>
      </c>
      <c r="AC658" s="4">
        <v>-34508</v>
      </c>
      <c r="AD658" s="4">
        <v>0</v>
      </c>
      <c r="AE658" s="4">
        <v>-34508</v>
      </c>
      <c r="AF658" s="1"/>
      <c r="AG658" s="1"/>
      <c r="AH658" s="1"/>
      <c r="AI658" s="1" t="s">
        <v>2841</v>
      </c>
      <c r="AJ658" s="1"/>
      <c r="AK658" s="1"/>
      <c r="AL658" s="1"/>
    </row>
    <row r="659" spans="1:38" hidden="1" x14ac:dyDescent="0.25">
      <c r="A659" s="2">
        <v>821</v>
      </c>
      <c r="B659" s="1" t="s">
        <v>802</v>
      </c>
      <c r="C659" s="1" t="s">
        <v>803</v>
      </c>
      <c r="D659" s="1" t="s">
        <v>2062</v>
      </c>
      <c r="E659" s="1" t="s">
        <v>2063</v>
      </c>
      <c r="F659" s="3">
        <v>45230</v>
      </c>
      <c r="G659" s="3">
        <v>45205</v>
      </c>
      <c r="H659" s="3">
        <v>45570</v>
      </c>
      <c r="I659" s="1" t="s">
        <v>3094</v>
      </c>
      <c r="J659" s="1" t="s">
        <v>3095</v>
      </c>
      <c r="K659" s="1"/>
      <c r="L659" s="1" t="s">
        <v>2390</v>
      </c>
      <c r="M659" s="1" t="s">
        <v>3096</v>
      </c>
      <c r="N659" s="1" t="s">
        <v>3097</v>
      </c>
      <c r="O659" s="1" t="s">
        <v>3098</v>
      </c>
      <c r="P659" s="1" t="s">
        <v>2165</v>
      </c>
      <c r="Q659" s="1"/>
      <c r="R659" s="1"/>
      <c r="S659" s="1" t="s">
        <v>2072</v>
      </c>
      <c r="T659" s="1" t="s">
        <v>2073</v>
      </c>
      <c r="U659" s="4">
        <v>11000000</v>
      </c>
      <c r="V659" s="4">
        <v>188596</v>
      </c>
      <c r="W659" s="4">
        <v>1886</v>
      </c>
      <c r="X659" s="4">
        <v>24518</v>
      </c>
      <c r="Y659" s="4">
        <v>0</v>
      </c>
      <c r="Z659" s="5">
        <v>215000</v>
      </c>
      <c r="AA659" s="5">
        <v>0</v>
      </c>
      <c r="AB659" s="6">
        <v>0</v>
      </c>
      <c r="AC659" s="4">
        <v>215000</v>
      </c>
      <c r="AD659" s="4">
        <v>0</v>
      </c>
      <c r="AE659" s="4">
        <v>215000</v>
      </c>
      <c r="AF659" s="1"/>
      <c r="AG659" s="1"/>
      <c r="AH659" s="1"/>
      <c r="AI659" s="1" t="s">
        <v>2327</v>
      </c>
      <c r="AJ659" s="1"/>
      <c r="AK659" s="1"/>
      <c r="AL659" s="1"/>
    </row>
    <row r="660" spans="1:38" hidden="1" x14ac:dyDescent="0.25">
      <c r="A660" s="2">
        <v>822</v>
      </c>
      <c r="B660" s="1" t="s">
        <v>802</v>
      </c>
      <c r="C660" s="1" t="s">
        <v>804</v>
      </c>
      <c r="D660" s="1" t="s">
        <v>2062</v>
      </c>
      <c r="E660" s="1" t="s">
        <v>2063</v>
      </c>
      <c r="F660" s="3">
        <v>45357</v>
      </c>
      <c r="G660" s="3">
        <v>45205</v>
      </c>
      <c r="H660" s="3">
        <v>45570</v>
      </c>
      <c r="I660" s="1" t="s">
        <v>3094</v>
      </c>
      <c r="J660" s="1" t="s">
        <v>3095</v>
      </c>
      <c r="K660" s="1"/>
      <c r="L660" s="1" t="s">
        <v>2390</v>
      </c>
      <c r="M660" s="1" t="s">
        <v>3096</v>
      </c>
      <c r="N660" s="1" t="s">
        <v>3097</v>
      </c>
      <c r="O660" s="1" t="s">
        <v>3098</v>
      </c>
      <c r="P660" s="1" t="s">
        <v>2165</v>
      </c>
      <c r="Q660" s="1"/>
      <c r="R660" s="1"/>
      <c r="S660" s="1" t="s">
        <v>2072</v>
      </c>
      <c r="T660" s="1" t="s">
        <v>2073</v>
      </c>
      <c r="U660" s="4">
        <v>11000000</v>
      </c>
      <c r="V660" s="4">
        <v>16924</v>
      </c>
      <c r="W660" s="4">
        <v>169</v>
      </c>
      <c r="X660" s="4">
        <v>2200</v>
      </c>
      <c r="Y660" s="4">
        <v>0</v>
      </c>
      <c r="Z660" s="5">
        <v>19293</v>
      </c>
      <c r="AA660" s="5">
        <v>0</v>
      </c>
      <c r="AB660" s="6">
        <v>0</v>
      </c>
      <c r="AC660" s="4">
        <v>19293</v>
      </c>
      <c r="AD660" s="4">
        <v>0</v>
      </c>
      <c r="AE660" s="4">
        <v>19293</v>
      </c>
      <c r="AF660" s="1"/>
      <c r="AG660" s="1"/>
      <c r="AH660" s="1"/>
      <c r="AI660" s="1" t="s">
        <v>2327</v>
      </c>
      <c r="AJ660" s="6">
        <v>5669.4200000001874</v>
      </c>
      <c r="AK660" s="6">
        <v>1280.53</v>
      </c>
      <c r="AL660" s="1"/>
    </row>
    <row r="661" spans="1:38" hidden="1" x14ac:dyDescent="0.25">
      <c r="A661" s="2">
        <v>823</v>
      </c>
      <c r="B661" s="1" t="s">
        <v>802</v>
      </c>
      <c r="C661" s="1" t="s">
        <v>805</v>
      </c>
      <c r="D661" s="1" t="s">
        <v>2062</v>
      </c>
      <c r="E661" s="1" t="s">
        <v>2063</v>
      </c>
      <c r="F661" s="3">
        <v>45390</v>
      </c>
      <c r="G661" s="3">
        <v>45205</v>
      </c>
      <c r="H661" s="3">
        <v>45570</v>
      </c>
      <c r="I661" s="1" t="s">
        <v>3094</v>
      </c>
      <c r="J661" s="1" t="s">
        <v>3095</v>
      </c>
      <c r="K661" s="1"/>
      <c r="L661" s="1" t="s">
        <v>2390</v>
      </c>
      <c r="M661" s="1" t="s">
        <v>3096</v>
      </c>
      <c r="N661" s="1" t="s">
        <v>3097</v>
      </c>
      <c r="O661" s="1" t="s">
        <v>3098</v>
      </c>
      <c r="P661" s="1" t="s">
        <v>2165</v>
      </c>
      <c r="Q661" s="1"/>
      <c r="R661" s="1"/>
      <c r="S661" s="1" t="s">
        <v>2072</v>
      </c>
      <c r="T661" s="1" t="s">
        <v>2073</v>
      </c>
      <c r="U661" s="4">
        <v>11000000</v>
      </c>
      <c r="V661" s="4">
        <v>15683</v>
      </c>
      <c r="W661" s="4">
        <v>157</v>
      </c>
      <c r="X661" s="4">
        <v>2038</v>
      </c>
      <c r="Y661" s="4">
        <v>0</v>
      </c>
      <c r="Z661" s="5">
        <v>17878</v>
      </c>
      <c r="AA661" s="5">
        <v>0</v>
      </c>
      <c r="AB661" s="6">
        <v>0</v>
      </c>
      <c r="AC661" s="4">
        <v>17878</v>
      </c>
      <c r="AD661" s="4">
        <v>0</v>
      </c>
      <c r="AE661" s="4">
        <v>17878</v>
      </c>
      <c r="AF661" s="1"/>
      <c r="AG661" s="1"/>
      <c r="AH661" s="1"/>
      <c r="AI661" s="1" t="s">
        <v>2327</v>
      </c>
      <c r="AJ661" s="6">
        <v>3114.6500000000483</v>
      </c>
      <c r="AK661" s="6">
        <v>1186.56</v>
      </c>
      <c r="AL661" s="1"/>
    </row>
    <row r="662" spans="1:38" hidden="1" x14ac:dyDescent="0.25">
      <c r="A662" s="2">
        <v>824</v>
      </c>
      <c r="B662" s="1" t="s">
        <v>802</v>
      </c>
      <c r="C662" s="1" t="s">
        <v>806</v>
      </c>
      <c r="D662" s="1" t="s">
        <v>2062</v>
      </c>
      <c r="E662" s="1" t="s">
        <v>2063</v>
      </c>
      <c r="F662" s="3">
        <v>45655</v>
      </c>
      <c r="G662" s="3">
        <v>45205</v>
      </c>
      <c r="H662" s="3">
        <v>45570</v>
      </c>
      <c r="I662" s="1" t="s">
        <v>3094</v>
      </c>
      <c r="J662" s="1" t="s">
        <v>3095</v>
      </c>
      <c r="K662" s="1"/>
      <c r="L662" s="1" t="s">
        <v>2390</v>
      </c>
      <c r="M662" s="1" t="s">
        <v>3096</v>
      </c>
      <c r="N662" s="1" t="s">
        <v>3097</v>
      </c>
      <c r="O662" s="1" t="s">
        <v>3098</v>
      </c>
      <c r="P662" s="1" t="s">
        <v>2165</v>
      </c>
      <c r="Q662" s="1"/>
      <c r="R662" s="1"/>
      <c r="S662" s="1" t="s">
        <v>2072</v>
      </c>
      <c r="T662" s="1" t="s">
        <v>2073</v>
      </c>
      <c r="U662" s="4">
        <v>-1</v>
      </c>
      <c r="V662" s="4">
        <v>-249674</v>
      </c>
      <c r="W662" s="4">
        <v>-2497</v>
      </c>
      <c r="X662" s="4">
        <v>0</v>
      </c>
      <c r="Y662" s="4">
        <v>0</v>
      </c>
      <c r="Z662" s="5">
        <v>-252171</v>
      </c>
      <c r="AA662" s="5">
        <v>0</v>
      </c>
      <c r="AB662" s="6">
        <v>0</v>
      </c>
      <c r="AC662" s="4">
        <v>-252171</v>
      </c>
      <c r="AD662" s="4">
        <v>0</v>
      </c>
      <c r="AE662" s="4">
        <v>-252171</v>
      </c>
      <c r="AF662" s="1"/>
      <c r="AG662" s="1"/>
      <c r="AH662" s="1"/>
      <c r="AI662" s="1" t="s">
        <v>2327</v>
      </c>
      <c r="AJ662" s="1"/>
      <c r="AK662" s="1"/>
      <c r="AL662" s="1"/>
    </row>
    <row r="663" spans="1:38" hidden="1" x14ac:dyDescent="0.25">
      <c r="A663" s="2">
        <v>825</v>
      </c>
      <c r="B663" s="1" t="s">
        <v>807</v>
      </c>
      <c r="C663" s="1" t="s">
        <v>808</v>
      </c>
      <c r="D663" s="1" t="s">
        <v>2062</v>
      </c>
      <c r="E663" s="1" t="s">
        <v>2063</v>
      </c>
      <c r="F663" s="3">
        <v>45226</v>
      </c>
      <c r="G663" s="3">
        <v>45195</v>
      </c>
      <c r="H663" s="3">
        <v>45560</v>
      </c>
      <c r="I663" s="1" t="s">
        <v>3099</v>
      </c>
      <c r="J663" s="1" t="s">
        <v>3100</v>
      </c>
      <c r="K663" s="1"/>
      <c r="L663" s="1" t="s">
        <v>2147</v>
      </c>
      <c r="M663" s="1" t="s">
        <v>3101</v>
      </c>
      <c r="N663" s="1" t="s">
        <v>3102</v>
      </c>
      <c r="O663" s="1" t="s">
        <v>3103</v>
      </c>
      <c r="P663" s="1" t="s">
        <v>2095</v>
      </c>
      <c r="Q663" s="1"/>
      <c r="R663" s="1"/>
      <c r="S663" s="1" t="s">
        <v>2072</v>
      </c>
      <c r="T663" s="1" t="s">
        <v>2489</v>
      </c>
      <c r="U663" s="4">
        <v>5000000</v>
      </c>
      <c r="V663" s="4">
        <v>2056</v>
      </c>
      <c r="W663" s="4">
        <v>21</v>
      </c>
      <c r="X663" s="4">
        <v>268</v>
      </c>
      <c r="Y663" s="4">
        <v>0</v>
      </c>
      <c r="Z663" s="5">
        <v>2345</v>
      </c>
      <c r="AA663" s="5">
        <v>0</v>
      </c>
      <c r="AB663" s="6">
        <v>0</v>
      </c>
      <c r="AC663" s="4">
        <v>2345</v>
      </c>
      <c r="AD663" s="4">
        <v>0</v>
      </c>
      <c r="AE663" s="4">
        <v>2345</v>
      </c>
      <c r="AF663" s="1"/>
      <c r="AG663" s="1"/>
      <c r="AH663" s="1"/>
      <c r="AI663" s="1" t="s">
        <v>2970</v>
      </c>
      <c r="AJ663" s="6">
        <v>575.71</v>
      </c>
      <c r="AK663" s="6">
        <v>405.57</v>
      </c>
      <c r="AL663" s="1"/>
    </row>
    <row r="664" spans="1:38" hidden="1" x14ac:dyDescent="0.25">
      <c r="A664" s="2">
        <v>826</v>
      </c>
      <c r="B664" s="1" t="s">
        <v>807</v>
      </c>
      <c r="C664" s="1" t="s">
        <v>809</v>
      </c>
      <c r="D664" s="1" t="s">
        <v>2062</v>
      </c>
      <c r="E664" s="1" t="s">
        <v>2063</v>
      </c>
      <c r="F664" s="3">
        <v>45230</v>
      </c>
      <c r="G664" s="3">
        <v>45195</v>
      </c>
      <c r="H664" s="3">
        <v>45560</v>
      </c>
      <c r="I664" s="1" t="s">
        <v>3099</v>
      </c>
      <c r="J664" s="1" t="s">
        <v>3100</v>
      </c>
      <c r="K664" s="1"/>
      <c r="L664" s="1" t="s">
        <v>2147</v>
      </c>
      <c r="M664" s="1" t="s">
        <v>3101</v>
      </c>
      <c r="N664" s="1" t="s">
        <v>3102</v>
      </c>
      <c r="O664" s="1" t="s">
        <v>3103</v>
      </c>
      <c r="P664" s="1" t="s">
        <v>2095</v>
      </c>
      <c r="Q664" s="1"/>
      <c r="R664" s="1"/>
      <c r="S664" s="1" t="s">
        <v>2072</v>
      </c>
      <c r="T664" s="1" t="s">
        <v>2489</v>
      </c>
      <c r="U664" s="4">
        <v>5000000</v>
      </c>
      <c r="V664" s="4">
        <v>81276</v>
      </c>
      <c r="W664" s="4">
        <v>813</v>
      </c>
      <c r="X664" s="4">
        <v>10566</v>
      </c>
      <c r="Y664" s="4">
        <v>0</v>
      </c>
      <c r="Z664" s="5">
        <v>92655</v>
      </c>
      <c r="AA664" s="5">
        <v>0</v>
      </c>
      <c r="AB664" s="6">
        <v>0</v>
      </c>
      <c r="AC664" s="4">
        <v>92655</v>
      </c>
      <c r="AD664" s="4">
        <v>0</v>
      </c>
      <c r="AE664" s="4">
        <v>92655</v>
      </c>
      <c r="AF664" s="1"/>
      <c r="AG664" s="1"/>
      <c r="AH664" s="1"/>
      <c r="AI664" s="1" t="s">
        <v>2970</v>
      </c>
      <c r="AJ664" s="1"/>
      <c r="AK664" s="1"/>
      <c r="AL664" s="1"/>
    </row>
    <row r="665" spans="1:38" hidden="1" x14ac:dyDescent="0.25">
      <c r="A665" s="2">
        <v>827</v>
      </c>
      <c r="B665" s="1" t="s">
        <v>807</v>
      </c>
      <c r="C665" s="1" t="s">
        <v>810</v>
      </c>
      <c r="D665" s="1" t="s">
        <v>2062</v>
      </c>
      <c r="E665" s="1" t="s">
        <v>2063</v>
      </c>
      <c r="F665" s="3">
        <v>45258</v>
      </c>
      <c r="G665" s="3">
        <v>45195</v>
      </c>
      <c r="H665" s="3">
        <v>45560</v>
      </c>
      <c r="I665" s="1" t="s">
        <v>3099</v>
      </c>
      <c r="J665" s="1" t="s">
        <v>3100</v>
      </c>
      <c r="K665" s="1"/>
      <c r="L665" s="1" t="s">
        <v>2147</v>
      </c>
      <c r="M665" s="1" t="s">
        <v>3101</v>
      </c>
      <c r="N665" s="1" t="s">
        <v>3102</v>
      </c>
      <c r="O665" s="1" t="s">
        <v>3103</v>
      </c>
      <c r="P665" s="1" t="s">
        <v>2095</v>
      </c>
      <c r="Q665" s="1"/>
      <c r="R665" s="1"/>
      <c r="S665" s="1" t="s">
        <v>2072</v>
      </c>
      <c r="T665" s="1" t="s">
        <v>2489</v>
      </c>
      <c r="U665" s="4">
        <v>5000000</v>
      </c>
      <c r="V665" s="4">
        <v>4352</v>
      </c>
      <c r="W665" s="4">
        <v>43</v>
      </c>
      <c r="X665" s="4">
        <v>566</v>
      </c>
      <c r="Y665" s="4">
        <v>0</v>
      </c>
      <c r="Z665" s="5">
        <v>4961</v>
      </c>
      <c r="AA665" s="5">
        <v>0</v>
      </c>
      <c r="AB665" s="6">
        <v>0</v>
      </c>
      <c r="AC665" s="4">
        <v>4961</v>
      </c>
      <c r="AD665" s="4">
        <v>0</v>
      </c>
      <c r="AE665" s="4">
        <v>4961</v>
      </c>
      <c r="AF665" s="1"/>
      <c r="AG665" s="1"/>
      <c r="AH665" s="1"/>
      <c r="AI665" s="1" t="s">
        <v>2970</v>
      </c>
      <c r="AJ665" s="6">
        <v>1056.02</v>
      </c>
      <c r="AK665" s="6">
        <v>858.05</v>
      </c>
      <c r="AL665" s="1"/>
    </row>
    <row r="666" spans="1:38" hidden="1" x14ac:dyDescent="0.25">
      <c r="A666" s="2">
        <v>828</v>
      </c>
      <c r="B666" s="1" t="s">
        <v>807</v>
      </c>
      <c r="C666" s="1" t="s">
        <v>811</v>
      </c>
      <c r="D666" s="1" t="s">
        <v>2062</v>
      </c>
      <c r="E666" s="1" t="s">
        <v>2063</v>
      </c>
      <c r="F666" s="3">
        <v>45287</v>
      </c>
      <c r="G666" s="3">
        <v>45195</v>
      </c>
      <c r="H666" s="3">
        <v>45560</v>
      </c>
      <c r="I666" s="1" t="s">
        <v>3099</v>
      </c>
      <c r="J666" s="1" t="s">
        <v>3100</v>
      </c>
      <c r="K666" s="1"/>
      <c r="L666" s="1" t="s">
        <v>2147</v>
      </c>
      <c r="M666" s="1" t="s">
        <v>3101</v>
      </c>
      <c r="N666" s="1" t="s">
        <v>3102</v>
      </c>
      <c r="O666" s="1" t="s">
        <v>3103</v>
      </c>
      <c r="P666" s="1" t="s">
        <v>2095</v>
      </c>
      <c r="Q666" s="1"/>
      <c r="R666" s="1"/>
      <c r="S666" s="1" t="s">
        <v>2072</v>
      </c>
      <c r="T666" s="1" t="s">
        <v>2489</v>
      </c>
      <c r="U666" s="4">
        <v>5000000</v>
      </c>
      <c r="V666" s="4">
        <v>4174</v>
      </c>
      <c r="W666" s="4">
        <v>42</v>
      </c>
      <c r="X666" s="4">
        <v>542</v>
      </c>
      <c r="Y666" s="4">
        <v>0</v>
      </c>
      <c r="Z666" s="5">
        <v>4758</v>
      </c>
      <c r="AA666" s="5">
        <v>0</v>
      </c>
      <c r="AB666" s="6">
        <v>0</v>
      </c>
      <c r="AC666" s="4">
        <v>4758</v>
      </c>
      <c r="AD666" s="4">
        <v>0</v>
      </c>
      <c r="AE666" s="4">
        <v>4758</v>
      </c>
      <c r="AF666" s="1"/>
      <c r="AG666" s="1"/>
      <c r="AH666" s="1"/>
      <c r="AI666" s="1" t="s">
        <v>2970</v>
      </c>
      <c r="AJ666" s="6">
        <v>1204.8899999999992</v>
      </c>
      <c r="AK666" s="6">
        <v>822.8</v>
      </c>
      <c r="AL666" s="1"/>
    </row>
    <row r="667" spans="1:38" hidden="1" x14ac:dyDescent="0.25">
      <c r="A667" s="2">
        <v>829</v>
      </c>
      <c r="B667" s="1" t="s">
        <v>807</v>
      </c>
      <c r="C667" s="1" t="s">
        <v>812</v>
      </c>
      <c r="D667" s="1" t="s">
        <v>2062</v>
      </c>
      <c r="E667" s="1" t="s">
        <v>2063</v>
      </c>
      <c r="F667" s="3">
        <v>45317</v>
      </c>
      <c r="G667" s="3">
        <v>45195</v>
      </c>
      <c r="H667" s="3">
        <v>45560</v>
      </c>
      <c r="I667" s="1" t="s">
        <v>3099</v>
      </c>
      <c r="J667" s="1" t="s">
        <v>3100</v>
      </c>
      <c r="K667" s="1"/>
      <c r="L667" s="1" t="s">
        <v>2147</v>
      </c>
      <c r="M667" s="1" t="s">
        <v>3101</v>
      </c>
      <c r="N667" s="1" t="s">
        <v>3102</v>
      </c>
      <c r="O667" s="1" t="s">
        <v>3103</v>
      </c>
      <c r="P667" s="1" t="s">
        <v>2095</v>
      </c>
      <c r="Q667" s="1"/>
      <c r="R667" s="1"/>
      <c r="S667" s="1" t="s">
        <v>2072</v>
      </c>
      <c r="T667" s="1" t="s">
        <v>2489</v>
      </c>
      <c r="U667" s="4">
        <v>5000000</v>
      </c>
      <c r="V667" s="4">
        <v>5607</v>
      </c>
      <c r="W667" s="4">
        <v>56</v>
      </c>
      <c r="X667" s="4">
        <v>729</v>
      </c>
      <c r="Y667" s="4">
        <v>0</v>
      </c>
      <c r="Z667" s="5">
        <v>6392</v>
      </c>
      <c r="AA667" s="5">
        <v>0</v>
      </c>
      <c r="AB667" s="6">
        <v>0</v>
      </c>
      <c r="AC667" s="4">
        <v>6392</v>
      </c>
      <c r="AD667" s="4">
        <v>0</v>
      </c>
      <c r="AE667" s="4">
        <v>6392</v>
      </c>
      <c r="AF667" s="1"/>
      <c r="AG667" s="1"/>
      <c r="AH667" s="1"/>
      <c r="AI667" s="1" t="s">
        <v>2970</v>
      </c>
      <c r="AJ667" s="6">
        <v>1415.5099999999991</v>
      </c>
      <c r="AK667" s="6">
        <v>1105.6600000000001</v>
      </c>
      <c r="AL667" s="1"/>
    </row>
    <row r="668" spans="1:38" hidden="1" x14ac:dyDescent="0.25">
      <c r="A668" s="2">
        <v>830</v>
      </c>
      <c r="B668" s="1" t="s">
        <v>807</v>
      </c>
      <c r="C668" s="1" t="s">
        <v>813</v>
      </c>
      <c r="D668" s="1" t="s">
        <v>2062</v>
      </c>
      <c r="E668" s="1" t="s">
        <v>2063</v>
      </c>
      <c r="F668" s="3">
        <v>45349</v>
      </c>
      <c r="G668" s="3">
        <v>45195</v>
      </c>
      <c r="H668" s="3">
        <v>45560</v>
      </c>
      <c r="I668" s="1" t="s">
        <v>3099</v>
      </c>
      <c r="J668" s="1" t="s">
        <v>3100</v>
      </c>
      <c r="K668" s="1"/>
      <c r="L668" s="1" t="s">
        <v>2147</v>
      </c>
      <c r="M668" s="1" t="s">
        <v>3101</v>
      </c>
      <c r="N668" s="1" t="s">
        <v>3102</v>
      </c>
      <c r="O668" s="1" t="s">
        <v>3103</v>
      </c>
      <c r="P668" s="1" t="s">
        <v>2095</v>
      </c>
      <c r="Q668" s="1"/>
      <c r="R668" s="1"/>
      <c r="S668" s="1" t="s">
        <v>2072</v>
      </c>
      <c r="T668" s="1" t="s">
        <v>2489</v>
      </c>
      <c r="U668" s="4">
        <v>5000000</v>
      </c>
      <c r="V668" s="4">
        <v>4889</v>
      </c>
      <c r="W668" s="4">
        <v>49</v>
      </c>
      <c r="X668" s="4">
        <v>636</v>
      </c>
      <c r="Y668" s="4">
        <v>0</v>
      </c>
      <c r="Z668" s="5">
        <v>5574</v>
      </c>
      <c r="AA668" s="5">
        <v>0</v>
      </c>
      <c r="AB668" s="6">
        <v>0</v>
      </c>
      <c r="AC668" s="4">
        <v>5574</v>
      </c>
      <c r="AD668" s="4">
        <v>0</v>
      </c>
      <c r="AE668" s="4">
        <v>5574</v>
      </c>
      <c r="AF668" s="1"/>
      <c r="AG668" s="1"/>
      <c r="AH668" s="1"/>
      <c r="AI668" s="1" t="s">
        <v>2970</v>
      </c>
      <c r="AJ668" s="6">
        <v>1479.26</v>
      </c>
      <c r="AK668" s="6">
        <v>964.4</v>
      </c>
      <c r="AL668" s="1"/>
    </row>
    <row r="669" spans="1:38" hidden="1" x14ac:dyDescent="0.25">
      <c r="A669" s="2">
        <v>831</v>
      </c>
      <c r="B669" s="1" t="s">
        <v>807</v>
      </c>
      <c r="C669" s="1" t="s">
        <v>814</v>
      </c>
      <c r="D669" s="1" t="s">
        <v>2062</v>
      </c>
      <c r="E669" s="1" t="s">
        <v>2063</v>
      </c>
      <c r="F669" s="3">
        <v>45377</v>
      </c>
      <c r="G669" s="3">
        <v>45195</v>
      </c>
      <c r="H669" s="3">
        <v>45560</v>
      </c>
      <c r="I669" s="1" t="s">
        <v>3099</v>
      </c>
      <c r="J669" s="1" t="s">
        <v>3100</v>
      </c>
      <c r="K669" s="1"/>
      <c r="L669" s="1" t="s">
        <v>2147</v>
      </c>
      <c r="M669" s="1" t="s">
        <v>3101</v>
      </c>
      <c r="N669" s="1" t="s">
        <v>3102</v>
      </c>
      <c r="O669" s="1" t="s">
        <v>3103</v>
      </c>
      <c r="P669" s="1" t="s">
        <v>2095</v>
      </c>
      <c r="Q669" s="1"/>
      <c r="R669" s="1"/>
      <c r="S669" s="1" t="s">
        <v>2072</v>
      </c>
      <c r="T669" s="1" t="s">
        <v>2489</v>
      </c>
      <c r="U669" s="4">
        <v>5000000</v>
      </c>
      <c r="V669" s="4">
        <v>3857</v>
      </c>
      <c r="W669" s="4">
        <v>39</v>
      </c>
      <c r="X669" s="4">
        <v>501</v>
      </c>
      <c r="Y669" s="4">
        <v>0</v>
      </c>
      <c r="Z669" s="5">
        <v>4397</v>
      </c>
      <c r="AA669" s="5">
        <v>0</v>
      </c>
      <c r="AB669" s="6">
        <v>0</v>
      </c>
      <c r="AC669" s="4">
        <v>4397</v>
      </c>
      <c r="AD669" s="4">
        <v>0</v>
      </c>
      <c r="AE669" s="4">
        <v>4397</v>
      </c>
      <c r="AF669" s="1"/>
      <c r="AG669" s="1"/>
      <c r="AH669" s="1"/>
      <c r="AI669" s="1" t="s">
        <v>2970</v>
      </c>
      <c r="AJ669" s="6">
        <v>1022.079999999999</v>
      </c>
      <c r="AK669" s="6">
        <v>760.68</v>
      </c>
      <c r="AL669" s="1"/>
    </row>
    <row r="670" spans="1:38" hidden="1" x14ac:dyDescent="0.25">
      <c r="A670" s="2">
        <v>832</v>
      </c>
      <c r="B670" s="1" t="s">
        <v>807</v>
      </c>
      <c r="C670" s="1" t="s">
        <v>815</v>
      </c>
      <c r="D670" s="1" t="s">
        <v>2062</v>
      </c>
      <c r="E670" s="1" t="s">
        <v>2063</v>
      </c>
      <c r="F670" s="3">
        <v>45409</v>
      </c>
      <c r="G670" s="3">
        <v>45195</v>
      </c>
      <c r="H670" s="3">
        <v>45560</v>
      </c>
      <c r="I670" s="1" t="s">
        <v>3099</v>
      </c>
      <c r="J670" s="1" t="s">
        <v>3100</v>
      </c>
      <c r="K670" s="1"/>
      <c r="L670" s="1" t="s">
        <v>2147</v>
      </c>
      <c r="M670" s="1" t="s">
        <v>3101</v>
      </c>
      <c r="N670" s="1" t="s">
        <v>3102</v>
      </c>
      <c r="O670" s="1" t="s">
        <v>3103</v>
      </c>
      <c r="P670" s="1" t="s">
        <v>2095</v>
      </c>
      <c r="Q670" s="1"/>
      <c r="R670" s="1"/>
      <c r="S670" s="1" t="s">
        <v>2072</v>
      </c>
      <c r="T670" s="1" t="s">
        <v>2489</v>
      </c>
      <c r="U670" s="4">
        <v>5000000</v>
      </c>
      <c r="V670" s="4">
        <v>395</v>
      </c>
      <c r="W670" s="4">
        <v>3</v>
      </c>
      <c r="X670" s="4">
        <v>51</v>
      </c>
      <c r="Y670" s="4">
        <v>0</v>
      </c>
      <c r="Z670" s="5">
        <v>449</v>
      </c>
      <c r="AA670" s="5">
        <v>0</v>
      </c>
      <c r="AB670" s="6">
        <v>0</v>
      </c>
      <c r="AC670" s="4">
        <v>449</v>
      </c>
      <c r="AD670" s="4">
        <v>0</v>
      </c>
      <c r="AE670" s="4">
        <v>449</v>
      </c>
      <c r="AF670" s="1"/>
      <c r="AG670" s="1"/>
      <c r="AH670" s="1"/>
      <c r="AI670" s="1" t="s">
        <v>2970</v>
      </c>
      <c r="AJ670" s="6">
        <v>80.17</v>
      </c>
      <c r="AK670" s="6">
        <v>77.64</v>
      </c>
      <c r="AL670" s="1"/>
    </row>
    <row r="671" spans="1:38" hidden="1" x14ac:dyDescent="0.25">
      <c r="A671" s="2">
        <v>833</v>
      </c>
      <c r="B671" s="1" t="s">
        <v>807</v>
      </c>
      <c r="C671" s="1" t="s">
        <v>816</v>
      </c>
      <c r="D671" s="1" t="s">
        <v>2062</v>
      </c>
      <c r="E671" s="1" t="s">
        <v>2063</v>
      </c>
      <c r="F671" s="3">
        <v>45596</v>
      </c>
      <c r="G671" s="3">
        <v>45195</v>
      </c>
      <c r="H671" s="3">
        <v>45560</v>
      </c>
      <c r="I671" s="1" t="s">
        <v>3099</v>
      </c>
      <c r="J671" s="1" t="s">
        <v>3100</v>
      </c>
      <c r="K671" s="1"/>
      <c r="L671" s="1" t="s">
        <v>2147</v>
      </c>
      <c r="M671" s="1" t="s">
        <v>3101</v>
      </c>
      <c r="N671" s="1" t="s">
        <v>3102</v>
      </c>
      <c r="O671" s="1" t="s">
        <v>3103</v>
      </c>
      <c r="P671" s="1" t="s">
        <v>2095</v>
      </c>
      <c r="Q671" s="1"/>
      <c r="R671" s="1"/>
      <c r="S671" s="1" t="s">
        <v>2072</v>
      </c>
      <c r="T671" s="1" t="s">
        <v>2489</v>
      </c>
      <c r="U671" s="4">
        <v>-1</v>
      </c>
      <c r="V671" s="4">
        <v>-120328</v>
      </c>
      <c r="W671" s="4">
        <v>-1203</v>
      </c>
      <c r="X671" s="4">
        <v>0</v>
      </c>
      <c r="Y671" s="4">
        <v>0</v>
      </c>
      <c r="Z671" s="5">
        <v>-121531</v>
      </c>
      <c r="AA671" s="5">
        <v>0</v>
      </c>
      <c r="AB671" s="6">
        <v>0</v>
      </c>
      <c r="AC671" s="4">
        <v>-121531</v>
      </c>
      <c r="AD671" s="4">
        <v>0</v>
      </c>
      <c r="AE671" s="4">
        <v>-121531</v>
      </c>
      <c r="AF671" s="1"/>
      <c r="AG671" s="1"/>
      <c r="AH671" s="1"/>
      <c r="AI671" s="1" t="s">
        <v>2970</v>
      </c>
      <c r="AJ671" s="1"/>
      <c r="AK671" s="1"/>
      <c r="AL671" s="1"/>
    </row>
    <row r="672" spans="1:38" x14ac:dyDescent="0.25">
      <c r="A672" s="2">
        <v>848</v>
      </c>
      <c r="B672" s="1" t="s">
        <v>817</v>
      </c>
      <c r="C672" s="1"/>
      <c r="D672" s="1" t="s">
        <v>2062</v>
      </c>
      <c r="E672" s="1" t="s">
        <v>2063</v>
      </c>
      <c r="F672" s="3">
        <v>45212</v>
      </c>
      <c r="G672" s="3">
        <v>45211</v>
      </c>
      <c r="H672" s="3">
        <v>45576</v>
      </c>
      <c r="I672" s="1" t="s">
        <v>2965</v>
      </c>
      <c r="J672" s="1" t="s">
        <v>3104</v>
      </c>
      <c r="K672" s="1"/>
      <c r="L672" s="1" t="s">
        <v>2115</v>
      </c>
      <c r="M672" s="1" t="s">
        <v>3105</v>
      </c>
      <c r="N672" s="1" t="s">
        <v>3106</v>
      </c>
      <c r="O672" s="1" t="s">
        <v>3107</v>
      </c>
      <c r="P672" s="1" t="s">
        <v>2165</v>
      </c>
      <c r="Q672" s="1"/>
      <c r="R672" s="1"/>
      <c r="S672" s="1" t="s">
        <v>2072</v>
      </c>
      <c r="T672" s="1" t="s">
        <v>2489</v>
      </c>
      <c r="U672" s="4">
        <v>-1</v>
      </c>
      <c r="V672" s="4">
        <v>4343</v>
      </c>
      <c r="W672" s="4">
        <v>43</v>
      </c>
      <c r="X672" s="4">
        <v>564</v>
      </c>
      <c r="Y672" s="4">
        <v>50</v>
      </c>
      <c r="Z672" s="5">
        <v>5000</v>
      </c>
      <c r="AA672" s="5">
        <v>5002</v>
      </c>
      <c r="AB672" s="6">
        <v>0</v>
      </c>
      <c r="AC672" s="4">
        <v>-2</v>
      </c>
      <c r="AD672" s="4">
        <v>0</v>
      </c>
      <c r="AE672" s="4">
        <v>-2</v>
      </c>
      <c r="AF672" s="1"/>
      <c r="AG672" s="1"/>
      <c r="AH672" s="1"/>
      <c r="AI672" s="1" t="s">
        <v>2841</v>
      </c>
      <c r="AJ672" s="1"/>
      <c r="AK672" s="1"/>
      <c r="AL672" s="1" t="s">
        <v>2490</v>
      </c>
    </row>
    <row r="673" spans="1:38" hidden="1" x14ac:dyDescent="0.25">
      <c r="A673" s="2">
        <v>849</v>
      </c>
      <c r="B673" s="1" t="s">
        <v>817</v>
      </c>
      <c r="C673" s="1" t="s">
        <v>818</v>
      </c>
      <c r="D673" s="1" t="s">
        <v>2062</v>
      </c>
      <c r="E673" s="1" t="s">
        <v>2063</v>
      </c>
      <c r="F673" s="3">
        <v>45245</v>
      </c>
      <c r="G673" s="3">
        <v>45211</v>
      </c>
      <c r="H673" s="3">
        <v>45576</v>
      </c>
      <c r="I673" s="1" t="s">
        <v>2965</v>
      </c>
      <c r="J673" s="1" t="s">
        <v>3104</v>
      </c>
      <c r="K673" s="1"/>
      <c r="L673" s="1" t="s">
        <v>2115</v>
      </c>
      <c r="M673" s="1" t="s">
        <v>3105</v>
      </c>
      <c r="N673" s="1" t="s">
        <v>3106</v>
      </c>
      <c r="O673" s="1" t="s">
        <v>3107</v>
      </c>
      <c r="P673" s="1" t="s">
        <v>2165</v>
      </c>
      <c r="Q673" s="1"/>
      <c r="R673" s="1"/>
      <c r="S673" s="1" t="s">
        <v>2072</v>
      </c>
      <c r="T673" s="1" t="s">
        <v>2489</v>
      </c>
      <c r="U673" s="4">
        <v>2500000</v>
      </c>
      <c r="V673" s="4">
        <v>2814</v>
      </c>
      <c r="W673" s="4">
        <v>28</v>
      </c>
      <c r="X673" s="4">
        <v>366</v>
      </c>
      <c r="Y673" s="4">
        <v>0</v>
      </c>
      <c r="Z673" s="5">
        <v>3208</v>
      </c>
      <c r="AA673" s="5">
        <v>3206</v>
      </c>
      <c r="AB673" s="6">
        <v>0</v>
      </c>
      <c r="AC673" s="4">
        <v>2</v>
      </c>
      <c r="AD673" s="4">
        <v>0</v>
      </c>
      <c r="AE673" s="4">
        <v>2</v>
      </c>
      <c r="AF673" s="1"/>
      <c r="AG673" s="1"/>
      <c r="AH673" s="1"/>
      <c r="AI673" s="1" t="s">
        <v>2841</v>
      </c>
      <c r="AJ673" s="6">
        <v>1498.9899999999971</v>
      </c>
      <c r="AK673" s="6">
        <v>1109.8400000000001</v>
      </c>
      <c r="AL673" s="1"/>
    </row>
    <row r="674" spans="1:38" hidden="1" x14ac:dyDescent="0.25">
      <c r="A674" s="2">
        <v>850</v>
      </c>
      <c r="B674" s="1" t="s">
        <v>819</v>
      </c>
      <c r="C674" s="1" t="s">
        <v>820</v>
      </c>
      <c r="D674" s="1" t="s">
        <v>2062</v>
      </c>
      <c r="E674" s="1" t="s">
        <v>2063</v>
      </c>
      <c r="F674" s="3">
        <v>45230</v>
      </c>
      <c r="G674" s="3">
        <v>45211</v>
      </c>
      <c r="H674" s="3">
        <v>45576</v>
      </c>
      <c r="I674" s="1" t="s">
        <v>3108</v>
      </c>
      <c r="J674" s="1" t="s">
        <v>3109</v>
      </c>
      <c r="K674" s="1"/>
      <c r="L674" s="1" t="s">
        <v>2570</v>
      </c>
      <c r="M674" s="1" t="s">
        <v>3110</v>
      </c>
      <c r="N674" s="1" t="s">
        <v>3111</v>
      </c>
      <c r="O674" s="1" t="s">
        <v>3112</v>
      </c>
      <c r="P674" s="1" t="s">
        <v>2095</v>
      </c>
      <c r="Q674" s="1"/>
      <c r="R674" s="1"/>
      <c r="S674" s="1" t="s">
        <v>2072</v>
      </c>
      <c r="T674" s="1" t="s">
        <v>2073</v>
      </c>
      <c r="U674" s="4">
        <v>8000000</v>
      </c>
      <c r="V674" s="4">
        <v>135964</v>
      </c>
      <c r="W674" s="4">
        <v>1360</v>
      </c>
      <c r="X674" s="4">
        <v>17676</v>
      </c>
      <c r="Y674" s="4">
        <v>0</v>
      </c>
      <c r="Z674" s="5">
        <v>155000</v>
      </c>
      <c r="AA674" s="5">
        <v>0</v>
      </c>
      <c r="AB674" s="6">
        <v>0</v>
      </c>
      <c r="AC674" s="4">
        <v>155000</v>
      </c>
      <c r="AD674" s="4">
        <v>0</v>
      </c>
      <c r="AE674" s="4">
        <v>155000</v>
      </c>
      <c r="AF674" s="1"/>
      <c r="AG674" s="1"/>
      <c r="AH674" s="1"/>
      <c r="AI674" s="1" t="s">
        <v>2921</v>
      </c>
      <c r="AJ674" s="1"/>
      <c r="AK674" s="1"/>
      <c r="AL674" s="1" t="s">
        <v>3113</v>
      </c>
    </row>
    <row r="675" spans="1:38" hidden="1" x14ac:dyDescent="0.25">
      <c r="A675" s="2">
        <v>851</v>
      </c>
      <c r="B675" s="1" t="s">
        <v>819</v>
      </c>
      <c r="C675" s="1" t="s">
        <v>821</v>
      </c>
      <c r="D675" s="1" t="s">
        <v>2062</v>
      </c>
      <c r="E675" s="1" t="s">
        <v>2063</v>
      </c>
      <c r="F675" s="3">
        <v>45396</v>
      </c>
      <c r="G675" s="3">
        <v>45211</v>
      </c>
      <c r="H675" s="3">
        <v>45576</v>
      </c>
      <c r="I675" s="1" t="s">
        <v>3108</v>
      </c>
      <c r="J675" s="1" t="s">
        <v>3109</v>
      </c>
      <c r="K675" s="1"/>
      <c r="L675" s="1" t="s">
        <v>2570</v>
      </c>
      <c r="M675" s="1" t="s">
        <v>3110</v>
      </c>
      <c r="N675" s="1" t="s">
        <v>3111</v>
      </c>
      <c r="O675" s="1" t="s">
        <v>3112</v>
      </c>
      <c r="P675" s="1" t="s">
        <v>2095</v>
      </c>
      <c r="Q675" s="1"/>
      <c r="R675" s="1"/>
      <c r="S675" s="1" t="s">
        <v>2072</v>
      </c>
      <c r="T675" s="1" t="s">
        <v>2073</v>
      </c>
      <c r="U675" s="4">
        <v>8000000</v>
      </c>
      <c r="V675" s="4">
        <v>509</v>
      </c>
      <c r="W675" s="4">
        <v>5</v>
      </c>
      <c r="X675" s="4">
        <v>66</v>
      </c>
      <c r="Y675" s="4">
        <v>0</v>
      </c>
      <c r="Z675" s="5">
        <v>580</v>
      </c>
      <c r="AA675" s="5">
        <v>0</v>
      </c>
      <c r="AB675" s="6">
        <v>0</v>
      </c>
      <c r="AC675" s="4">
        <v>580</v>
      </c>
      <c r="AD675" s="4">
        <v>0</v>
      </c>
      <c r="AE675" s="4">
        <v>580</v>
      </c>
      <c r="AF675" s="1"/>
      <c r="AG675" s="1"/>
      <c r="AH675" s="1"/>
      <c r="AI675" s="1" t="s">
        <v>2921</v>
      </c>
      <c r="AJ675" s="6">
        <v>52.89</v>
      </c>
      <c r="AK675" s="6">
        <v>52.89</v>
      </c>
      <c r="AL675" s="1"/>
    </row>
    <row r="676" spans="1:38" hidden="1" x14ac:dyDescent="0.25">
      <c r="A676" s="2">
        <v>852</v>
      </c>
      <c r="B676" s="1" t="s">
        <v>819</v>
      </c>
      <c r="C676" s="1" t="s">
        <v>822</v>
      </c>
      <c r="D676" s="1" t="s">
        <v>2062</v>
      </c>
      <c r="E676" s="1" t="s">
        <v>2063</v>
      </c>
      <c r="F676" s="3">
        <v>45425</v>
      </c>
      <c r="G676" s="3">
        <v>45211</v>
      </c>
      <c r="H676" s="3">
        <v>45576</v>
      </c>
      <c r="I676" s="1" t="s">
        <v>3108</v>
      </c>
      <c r="J676" s="1" t="s">
        <v>3109</v>
      </c>
      <c r="K676" s="1"/>
      <c r="L676" s="1" t="s">
        <v>2570</v>
      </c>
      <c r="M676" s="1" t="s">
        <v>3110</v>
      </c>
      <c r="N676" s="1" t="s">
        <v>3111</v>
      </c>
      <c r="O676" s="1" t="s">
        <v>3112</v>
      </c>
      <c r="P676" s="1" t="s">
        <v>2095</v>
      </c>
      <c r="Q676" s="1"/>
      <c r="R676" s="1"/>
      <c r="S676" s="1" t="s">
        <v>2072</v>
      </c>
      <c r="T676" s="1" t="s">
        <v>2073</v>
      </c>
      <c r="U676" s="4">
        <v>8000000</v>
      </c>
      <c r="V676" s="4">
        <v>1288</v>
      </c>
      <c r="W676" s="4">
        <v>13</v>
      </c>
      <c r="X676" s="4">
        <v>168</v>
      </c>
      <c r="Y676" s="4">
        <v>0</v>
      </c>
      <c r="Z676" s="5">
        <v>1469</v>
      </c>
      <c r="AA676" s="5">
        <v>0</v>
      </c>
      <c r="AB676" s="6">
        <v>0</v>
      </c>
      <c r="AC676" s="4">
        <v>1469</v>
      </c>
      <c r="AD676" s="4">
        <v>0</v>
      </c>
      <c r="AE676" s="4">
        <v>1469</v>
      </c>
      <c r="AF676" s="1"/>
      <c r="AG676" s="1"/>
      <c r="AH676" s="1"/>
      <c r="AI676" s="1" t="s">
        <v>2921</v>
      </c>
      <c r="AJ676" s="6">
        <v>793.84000000000208</v>
      </c>
      <c r="AK676" s="6">
        <v>134.08000000000001</v>
      </c>
      <c r="AL676" s="1"/>
    </row>
    <row r="677" spans="1:38" hidden="1" x14ac:dyDescent="0.25">
      <c r="A677" s="2">
        <v>853</v>
      </c>
      <c r="B677" s="1" t="s">
        <v>819</v>
      </c>
      <c r="C677" s="1" t="s">
        <v>823</v>
      </c>
      <c r="D677" s="1" t="s">
        <v>2062</v>
      </c>
      <c r="E677" s="1" t="s">
        <v>2063</v>
      </c>
      <c r="F677" s="3">
        <v>45455</v>
      </c>
      <c r="G677" s="3">
        <v>45211</v>
      </c>
      <c r="H677" s="3">
        <v>45576</v>
      </c>
      <c r="I677" s="1" t="s">
        <v>3108</v>
      </c>
      <c r="J677" s="1" t="s">
        <v>3109</v>
      </c>
      <c r="K677" s="1"/>
      <c r="L677" s="1" t="s">
        <v>2570</v>
      </c>
      <c r="M677" s="1" t="s">
        <v>3110</v>
      </c>
      <c r="N677" s="1" t="s">
        <v>3111</v>
      </c>
      <c r="O677" s="1" t="s">
        <v>3112</v>
      </c>
      <c r="P677" s="1" t="s">
        <v>2095</v>
      </c>
      <c r="Q677" s="1"/>
      <c r="R677" s="1"/>
      <c r="S677" s="1" t="s">
        <v>2072</v>
      </c>
      <c r="T677" s="1" t="s">
        <v>2073</v>
      </c>
      <c r="U677" s="4">
        <v>8000000</v>
      </c>
      <c r="V677" s="4">
        <v>1118</v>
      </c>
      <c r="W677" s="4">
        <v>11</v>
      </c>
      <c r="X677" s="4">
        <v>145</v>
      </c>
      <c r="Y677" s="4">
        <v>0</v>
      </c>
      <c r="Z677" s="5">
        <v>1274</v>
      </c>
      <c r="AA677" s="5">
        <v>0</v>
      </c>
      <c r="AB677" s="6">
        <v>0</v>
      </c>
      <c r="AC677" s="4">
        <v>1274</v>
      </c>
      <c r="AD677" s="4">
        <v>0</v>
      </c>
      <c r="AE677" s="4">
        <v>1274</v>
      </c>
      <c r="AF677" s="1"/>
      <c r="AG677" s="1"/>
      <c r="AH677" s="1"/>
      <c r="AI677" s="1" t="s">
        <v>2921</v>
      </c>
      <c r="AJ677" s="6">
        <v>769.16000000002111</v>
      </c>
      <c r="AK677" s="6">
        <v>116.25</v>
      </c>
      <c r="AL677" s="1"/>
    </row>
    <row r="678" spans="1:38" hidden="1" x14ac:dyDescent="0.25">
      <c r="A678" s="2">
        <v>854</v>
      </c>
      <c r="B678" s="1" t="s">
        <v>819</v>
      </c>
      <c r="C678" s="1" t="s">
        <v>824</v>
      </c>
      <c r="D678" s="1" t="s">
        <v>2062</v>
      </c>
      <c r="E678" s="1" t="s">
        <v>2063</v>
      </c>
      <c r="F678" s="3">
        <v>45486</v>
      </c>
      <c r="G678" s="3">
        <v>45211</v>
      </c>
      <c r="H678" s="3">
        <v>45576</v>
      </c>
      <c r="I678" s="1" t="s">
        <v>3108</v>
      </c>
      <c r="J678" s="1" t="s">
        <v>3109</v>
      </c>
      <c r="K678" s="1"/>
      <c r="L678" s="1" t="s">
        <v>2570</v>
      </c>
      <c r="M678" s="1" t="s">
        <v>3110</v>
      </c>
      <c r="N678" s="1" t="s">
        <v>3111</v>
      </c>
      <c r="O678" s="1" t="s">
        <v>3112</v>
      </c>
      <c r="P678" s="1" t="s">
        <v>2095</v>
      </c>
      <c r="Q678" s="1"/>
      <c r="R678" s="1"/>
      <c r="S678" s="1" t="s">
        <v>2072</v>
      </c>
      <c r="T678" s="1" t="s">
        <v>2073</v>
      </c>
      <c r="U678" s="4">
        <v>8000000</v>
      </c>
      <c r="V678" s="4">
        <v>2224</v>
      </c>
      <c r="W678" s="4">
        <v>22</v>
      </c>
      <c r="X678" s="4">
        <v>334</v>
      </c>
      <c r="Y678" s="4">
        <v>0</v>
      </c>
      <c r="Z678" s="5">
        <v>2580</v>
      </c>
      <c r="AA678" s="5">
        <v>0</v>
      </c>
      <c r="AB678" s="6">
        <v>0</v>
      </c>
      <c r="AC678" s="4">
        <v>2580</v>
      </c>
      <c r="AD678" s="4">
        <v>0</v>
      </c>
      <c r="AE678" s="4">
        <v>2580</v>
      </c>
      <c r="AF678" s="1"/>
      <c r="AG678" s="1"/>
      <c r="AH678" s="1"/>
      <c r="AI678" s="1" t="s">
        <v>2921</v>
      </c>
      <c r="AJ678" s="6">
        <v>768.21</v>
      </c>
      <c r="AK678" s="6">
        <v>235.47</v>
      </c>
      <c r="AL678" s="1"/>
    </row>
    <row r="679" spans="1:38" hidden="1" x14ac:dyDescent="0.25">
      <c r="A679" s="2">
        <v>855</v>
      </c>
      <c r="B679" s="1" t="s">
        <v>819</v>
      </c>
      <c r="C679" s="1" t="s">
        <v>825</v>
      </c>
      <c r="D679" s="1" t="s">
        <v>2062</v>
      </c>
      <c r="E679" s="1" t="s">
        <v>2063</v>
      </c>
      <c r="F679" s="3">
        <v>45517</v>
      </c>
      <c r="G679" s="3">
        <v>45211</v>
      </c>
      <c r="H679" s="3">
        <v>45576</v>
      </c>
      <c r="I679" s="1" t="s">
        <v>3108</v>
      </c>
      <c r="J679" s="1" t="s">
        <v>3109</v>
      </c>
      <c r="K679" s="1"/>
      <c r="L679" s="1" t="s">
        <v>2570</v>
      </c>
      <c r="M679" s="1" t="s">
        <v>3110</v>
      </c>
      <c r="N679" s="1" t="s">
        <v>3111</v>
      </c>
      <c r="O679" s="1" t="s">
        <v>3112</v>
      </c>
      <c r="P679" s="1" t="s">
        <v>2095</v>
      </c>
      <c r="Q679" s="1"/>
      <c r="R679" s="1"/>
      <c r="S679" s="1" t="s">
        <v>2072</v>
      </c>
      <c r="T679" s="1" t="s">
        <v>2073</v>
      </c>
      <c r="U679" s="4">
        <v>8000000</v>
      </c>
      <c r="V679" s="4">
        <v>2805</v>
      </c>
      <c r="W679" s="4">
        <v>28</v>
      </c>
      <c r="X679" s="4">
        <v>421</v>
      </c>
      <c r="Y679" s="4">
        <v>0</v>
      </c>
      <c r="Z679" s="5">
        <v>3254</v>
      </c>
      <c r="AA679" s="5">
        <v>0</v>
      </c>
      <c r="AB679" s="6">
        <v>0</v>
      </c>
      <c r="AC679" s="4">
        <v>3254</v>
      </c>
      <c r="AD679" s="4">
        <v>0</v>
      </c>
      <c r="AE679" s="4">
        <v>3254</v>
      </c>
      <c r="AF679" s="1"/>
      <c r="AG679" s="1"/>
      <c r="AH679" s="1"/>
      <c r="AI679" s="1" t="s">
        <v>2921</v>
      </c>
      <c r="AJ679" s="6">
        <v>961.20999999999708</v>
      </c>
      <c r="AK679" s="6">
        <v>297</v>
      </c>
      <c r="AL679" s="1"/>
    </row>
    <row r="680" spans="1:38" hidden="1" x14ac:dyDescent="0.25">
      <c r="A680" s="2">
        <v>856</v>
      </c>
      <c r="B680" s="1" t="s">
        <v>819</v>
      </c>
      <c r="C680" s="1" t="s">
        <v>826</v>
      </c>
      <c r="D680" s="1" t="s">
        <v>2062</v>
      </c>
      <c r="E680" s="1" t="s">
        <v>2063</v>
      </c>
      <c r="F680" s="3">
        <v>45549</v>
      </c>
      <c r="G680" s="3">
        <v>45211</v>
      </c>
      <c r="H680" s="3">
        <v>45576</v>
      </c>
      <c r="I680" s="1" t="s">
        <v>3108</v>
      </c>
      <c r="J680" s="1" t="s">
        <v>3109</v>
      </c>
      <c r="K680" s="1"/>
      <c r="L680" s="1" t="s">
        <v>2570</v>
      </c>
      <c r="M680" s="1" t="s">
        <v>3110</v>
      </c>
      <c r="N680" s="1" t="s">
        <v>3111</v>
      </c>
      <c r="O680" s="1" t="s">
        <v>3112</v>
      </c>
      <c r="P680" s="1" t="s">
        <v>2095</v>
      </c>
      <c r="Q680" s="1"/>
      <c r="R680" s="1"/>
      <c r="S680" s="1" t="s">
        <v>2072</v>
      </c>
      <c r="T680" s="1" t="s">
        <v>2073</v>
      </c>
      <c r="U680" s="4">
        <v>8000000</v>
      </c>
      <c r="V680" s="4">
        <v>1766</v>
      </c>
      <c r="W680" s="4">
        <v>18</v>
      </c>
      <c r="X680" s="4">
        <v>265</v>
      </c>
      <c r="Y680" s="4">
        <v>0</v>
      </c>
      <c r="Z680" s="5">
        <v>2049</v>
      </c>
      <c r="AA680" s="5">
        <v>0</v>
      </c>
      <c r="AB680" s="6">
        <v>0</v>
      </c>
      <c r="AC680" s="4">
        <v>2049</v>
      </c>
      <c r="AD680" s="4">
        <v>0</v>
      </c>
      <c r="AE680" s="4">
        <v>2049</v>
      </c>
      <c r="AF680" s="1"/>
      <c r="AG680" s="1"/>
      <c r="AH680" s="1"/>
      <c r="AI680" s="1" t="s">
        <v>2921</v>
      </c>
      <c r="AJ680" s="6">
        <v>186.95</v>
      </c>
      <c r="AK680" s="6">
        <v>186.95</v>
      </c>
      <c r="AL680" s="1"/>
    </row>
    <row r="681" spans="1:38" hidden="1" x14ac:dyDescent="0.25">
      <c r="A681" s="2">
        <v>857</v>
      </c>
      <c r="B681" s="1" t="s">
        <v>819</v>
      </c>
      <c r="C681" s="1" t="s">
        <v>827</v>
      </c>
      <c r="D681" s="1" t="s">
        <v>2062</v>
      </c>
      <c r="E681" s="1" t="s">
        <v>2063</v>
      </c>
      <c r="F681" s="3">
        <v>45655</v>
      </c>
      <c r="G681" s="3">
        <v>45211</v>
      </c>
      <c r="H681" s="3">
        <v>45576</v>
      </c>
      <c r="I681" s="1" t="s">
        <v>3108</v>
      </c>
      <c r="J681" s="1" t="s">
        <v>3109</v>
      </c>
      <c r="K681" s="1"/>
      <c r="L681" s="1" t="s">
        <v>2570</v>
      </c>
      <c r="M681" s="1" t="s">
        <v>3110</v>
      </c>
      <c r="N681" s="1" t="s">
        <v>3111</v>
      </c>
      <c r="O681" s="1" t="s">
        <v>3112</v>
      </c>
      <c r="P681" s="1" t="s">
        <v>2095</v>
      </c>
      <c r="Q681" s="1"/>
      <c r="R681" s="1"/>
      <c r="S681" s="1" t="s">
        <v>2072</v>
      </c>
      <c r="T681" s="1" t="s">
        <v>2073</v>
      </c>
      <c r="U681" s="4">
        <v>-1</v>
      </c>
      <c r="V681" s="4">
        <v>-164560</v>
      </c>
      <c r="W681" s="4">
        <v>-1646</v>
      </c>
      <c r="X681" s="4">
        <v>0</v>
      </c>
      <c r="Y681" s="4">
        <v>0</v>
      </c>
      <c r="Z681" s="5">
        <v>-166206</v>
      </c>
      <c r="AA681" s="5">
        <v>0</v>
      </c>
      <c r="AB681" s="6">
        <v>0</v>
      </c>
      <c r="AC681" s="4">
        <v>-166206</v>
      </c>
      <c r="AD681" s="4">
        <v>0</v>
      </c>
      <c r="AE681" s="4">
        <v>-166206</v>
      </c>
      <c r="AF681" s="1"/>
      <c r="AG681" s="1"/>
      <c r="AH681" s="1"/>
      <c r="AI681" s="1" t="s">
        <v>2921</v>
      </c>
      <c r="AJ681" s="1"/>
      <c r="AK681" s="1"/>
      <c r="AL681" s="1"/>
    </row>
    <row r="682" spans="1:38" hidden="1" x14ac:dyDescent="0.25">
      <c r="A682" s="2">
        <v>878</v>
      </c>
      <c r="B682" s="1" t="s">
        <v>828</v>
      </c>
      <c r="C682" s="1" t="s">
        <v>829</v>
      </c>
      <c r="D682" s="1" t="s">
        <v>2062</v>
      </c>
      <c r="E682" s="1" t="s">
        <v>2063</v>
      </c>
      <c r="F682" s="3">
        <v>45230</v>
      </c>
      <c r="G682" s="3">
        <v>45212</v>
      </c>
      <c r="H682" s="3">
        <v>45577</v>
      </c>
      <c r="I682" s="1" t="s">
        <v>3114</v>
      </c>
      <c r="J682" s="1" t="s">
        <v>3115</v>
      </c>
      <c r="K682" s="1"/>
      <c r="L682" s="1" t="s">
        <v>3116</v>
      </c>
      <c r="M682" s="1" t="s">
        <v>3117</v>
      </c>
      <c r="N682" s="1" t="s">
        <v>3118</v>
      </c>
      <c r="O682" s="1" t="s">
        <v>3119</v>
      </c>
      <c r="P682" s="1" t="s">
        <v>2165</v>
      </c>
      <c r="Q682" s="1"/>
      <c r="R682" s="1"/>
      <c r="S682" s="1" t="s">
        <v>2072</v>
      </c>
      <c r="T682" s="1" t="s">
        <v>2073</v>
      </c>
      <c r="U682" s="4">
        <v>2500000</v>
      </c>
      <c r="V682" s="4">
        <v>39473</v>
      </c>
      <c r="W682" s="4">
        <v>395</v>
      </c>
      <c r="X682" s="4">
        <v>5132</v>
      </c>
      <c r="Y682" s="4">
        <v>0</v>
      </c>
      <c r="Z682" s="5">
        <v>45000</v>
      </c>
      <c r="AA682" s="5">
        <v>0</v>
      </c>
      <c r="AB682" s="6">
        <v>0</v>
      </c>
      <c r="AC682" s="4">
        <v>45000</v>
      </c>
      <c r="AD682" s="4">
        <v>0</v>
      </c>
      <c r="AE682" s="4">
        <v>45000</v>
      </c>
      <c r="AF682" s="1"/>
      <c r="AG682" s="1"/>
      <c r="AH682" s="1"/>
      <c r="AI682" s="1" t="s">
        <v>2327</v>
      </c>
      <c r="AJ682" s="1"/>
      <c r="AK682" s="1"/>
      <c r="AL682" s="1" t="s">
        <v>3120</v>
      </c>
    </row>
    <row r="683" spans="1:38" hidden="1" x14ac:dyDescent="0.25">
      <c r="A683" s="2">
        <v>879</v>
      </c>
      <c r="B683" s="1" t="s">
        <v>828</v>
      </c>
      <c r="C683" s="1" t="s">
        <v>830</v>
      </c>
      <c r="D683" s="1" t="s">
        <v>2062</v>
      </c>
      <c r="E683" s="1" t="s">
        <v>2063</v>
      </c>
      <c r="F683" s="3">
        <v>45245</v>
      </c>
      <c r="G683" s="3">
        <v>45212</v>
      </c>
      <c r="H683" s="3">
        <v>45577</v>
      </c>
      <c r="I683" s="1" t="s">
        <v>3114</v>
      </c>
      <c r="J683" s="1" t="s">
        <v>3115</v>
      </c>
      <c r="K683" s="1"/>
      <c r="L683" s="1" t="s">
        <v>3116</v>
      </c>
      <c r="M683" s="1" t="s">
        <v>3117</v>
      </c>
      <c r="N683" s="1" t="s">
        <v>3118</v>
      </c>
      <c r="O683" s="1" t="s">
        <v>3119</v>
      </c>
      <c r="P683" s="1" t="s">
        <v>2165</v>
      </c>
      <c r="Q683" s="1"/>
      <c r="R683" s="1"/>
      <c r="S683" s="1" t="s">
        <v>2072</v>
      </c>
      <c r="T683" s="1" t="s">
        <v>2073</v>
      </c>
      <c r="U683" s="4">
        <v>2500000</v>
      </c>
      <c r="V683" s="4">
        <v>3387</v>
      </c>
      <c r="W683" s="4">
        <v>34</v>
      </c>
      <c r="X683" s="4">
        <v>440</v>
      </c>
      <c r="Y683" s="4">
        <v>0</v>
      </c>
      <c r="Z683" s="5">
        <v>3861</v>
      </c>
      <c r="AA683" s="5">
        <v>3681</v>
      </c>
      <c r="AB683" s="6">
        <v>0</v>
      </c>
      <c r="AC683" s="4">
        <v>180</v>
      </c>
      <c r="AD683" s="4">
        <v>0</v>
      </c>
      <c r="AE683" s="4">
        <v>180</v>
      </c>
      <c r="AF683" s="1"/>
      <c r="AG683" s="1"/>
      <c r="AH683" s="1"/>
      <c r="AI683" s="1" t="s">
        <v>2327</v>
      </c>
      <c r="AJ683" s="6">
        <v>1979.6</v>
      </c>
      <c r="AK683" s="6">
        <v>1127.9699999999991</v>
      </c>
      <c r="AL683" s="1"/>
    </row>
    <row r="684" spans="1:38" hidden="1" x14ac:dyDescent="0.25">
      <c r="A684" s="2">
        <v>880</v>
      </c>
      <c r="B684" s="1" t="s">
        <v>828</v>
      </c>
      <c r="C684" s="1" t="s">
        <v>831</v>
      </c>
      <c r="D684" s="1" t="s">
        <v>2062</v>
      </c>
      <c r="E684" s="1" t="s">
        <v>2063</v>
      </c>
      <c r="F684" s="3">
        <v>45307</v>
      </c>
      <c r="G684" s="3">
        <v>45212</v>
      </c>
      <c r="H684" s="3">
        <v>45577</v>
      </c>
      <c r="I684" s="1" t="s">
        <v>3114</v>
      </c>
      <c r="J684" s="1" t="s">
        <v>3115</v>
      </c>
      <c r="K684" s="1"/>
      <c r="L684" s="1" t="s">
        <v>3116</v>
      </c>
      <c r="M684" s="1" t="s">
        <v>3117</v>
      </c>
      <c r="N684" s="1" t="s">
        <v>3118</v>
      </c>
      <c r="O684" s="1" t="s">
        <v>3119</v>
      </c>
      <c r="P684" s="1" t="s">
        <v>2165</v>
      </c>
      <c r="Q684" s="1"/>
      <c r="R684" s="1"/>
      <c r="S684" s="1" t="s">
        <v>2072</v>
      </c>
      <c r="T684" s="1" t="s">
        <v>2073</v>
      </c>
      <c r="U684" s="4">
        <v>2500000</v>
      </c>
      <c r="V684" s="4">
        <v>406</v>
      </c>
      <c r="W684" s="4">
        <v>4</v>
      </c>
      <c r="X684" s="4">
        <v>52</v>
      </c>
      <c r="Y684" s="4">
        <v>0</v>
      </c>
      <c r="Z684" s="5">
        <v>462</v>
      </c>
      <c r="AA684" s="5">
        <v>443</v>
      </c>
      <c r="AB684" s="6">
        <v>0</v>
      </c>
      <c r="AC684" s="4">
        <v>19</v>
      </c>
      <c r="AD684" s="4">
        <v>0</v>
      </c>
      <c r="AE684" s="4">
        <v>19</v>
      </c>
      <c r="AF684" s="1"/>
      <c r="AG684" s="1"/>
      <c r="AH684" s="1"/>
      <c r="AI684" s="1" t="s">
        <v>2327</v>
      </c>
      <c r="AJ684" s="6">
        <v>480.44</v>
      </c>
      <c r="AK684" s="6">
        <v>135</v>
      </c>
      <c r="AL684" s="1"/>
    </row>
    <row r="685" spans="1:38" hidden="1" x14ac:dyDescent="0.25">
      <c r="A685" s="2">
        <v>881</v>
      </c>
      <c r="B685" s="1" t="s">
        <v>828</v>
      </c>
      <c r="C685" s="1" t="s">
        <v>832</v>
      </c>
      <c r="D685" s="1" t="s">
        <v>2062</v>
      </c>
      <c r="E685" s="1" t="s">
        <v>2063</v>
      </c>
      <c r="F685" s="3">
        <v>45396</v>
      </c>
      <c r="G685" s="3">
        <v>45212</v>
      </c>
      <c r="H685" s="3">
        <v>45577</v>
      </c>
      <c r="I685" s="1" t="s">
        <v>3114</v>
      </c>
      <c r="J685" s="1" t="s">
        <v>3115</v>
      </c>
      <c r="K685" s="1"/>
      <c r="L685" s="1" t="s">
        <v>3116</v>
      </c>
      <c r="M685" s="1" t="s">
        <v>3117</v>
      </c>
      <c r="N685" s="1" t="s">
        <v>3118</v>
      </c>
      <c r="O685" s="1" t="s">
        <v>3119</v>
      </c>
      <c r="P685" s="1" t="s">
        <v>2165</v>
      </c>
      <c r="Q685" s="1"/>
      <c r="R685" s="1"/>
      <c r="S685" s="1" t="s">
        <v>2072</v>
      </c>
      <c r="T685" s="1" t="s">
        <v>2073</v>
      </c>
      <c r="U685" s="4">
        <v>2500000</v>
      </c>
      <c r="V685" s="4">
        <v>3893</v>
      </c>
      <c r="W685" s="4">
        <v>39</v>
      </c>
      <c r="X685" s="4">
        <v>506</v>
      </c>
      <c r="Y685" s="4">
        <v>0</v>
      </c>
      <c r="Z685" s="5">
        <v>4438</v>
      </c>
      <c r="AA685" s="5">
        <v>0</v>
      </c>
      <c r="AB685" s="6">
        <v>0</v>
      </c>
      <c r="AC685" s="4">
        <v>4438</v>
      </c>
      <c r="AD685" s="4">
        <v>0</v>
      </c>
      <c r="AE685" s="4">
        <v>4438</v>
      </c>
      <c r="AF685" s="1"/>
      <c r="AG685" s="1"/>
      <c r="AH685" s="1"/>
      <c r="AI685" s="1" t="s">
        <v>2327</v>
      </c>
      <c r="AJ685" s="6">
        <v>2867.4600000000009</v>
      </c>
      <c r="AK685" s="6">
        <v>1297.01</v>
      </c>
      <c r="AL685" s="1"/>
    </row>
    <row r="686" spans="1:38" hidden="1" x14ac:dyDescent="0.25">
      <c r="A686" s="2">
        <v>882</v>
      </c>
      <c r="B686" s="1" t="s">
        <v>828</v>
      </c>
      <c r="C686" s="1" t="s">
        <v>833</v>
      </c>
      <c r="D686" s="1" t="s">
        <v>2062</v>
      </c>
      <c r="E686" s="1" t="s">
        <v>2063</v>
      </c>
      <c r="F686" s="3">
        <v>45596</v>
      </c>
      <c r="G686" s="3">
        <v>45212</v>
      </c>
      <c r="H686" s="3">
        <v>45577</v>
      </c>
      <c r="I686" s="1" t="s">
        <v>3114</v>
      </c>
      <c r="J686" s="1" t="s">
        <v>3115</v>
      </c>
      <c r="K686" s="1"/>
      <c r="L686" s="1" t="s">
        <v>3116</v>
      </c>
      <c r="M686" s="1" t="s">
        <v>3117</v>
      </c>
      <c r="N686" s="1" t="s">
        <v>3118</v>
      </c>
      <c r="O686" s="1" t="s">
        <v>3119</v>
      </c>
      <c r="P686" s="1" t="s">
        <v>2165</v>
      </c>
      <c r="Q686" s="1"/>
      <c r="R686" s="1"/>
      <c r="S686" s="1" t="s">
        <v>2072</v>
      </c>
      <c r="T686" s="1" t="s">
        <v>2073</v>
      </c>
      <c r="U686" s="4">
        <v>-1</v>
      </c>
      <c r="V686" s="4">
        <v>-49146</v>
      </c>
      <c r="W686" s="4">
        <v>-491</v>
      </c>
      <c r="X686" s="4">
        <v>0</v>
      </c>
      <c r="Y686" s="4">
        <v>0</v>
      </c>
      <c r="Z686" s="5">
        <v>-49637</v>
      </c>
      <c r="AA686" s="5">
        <v>0</v>
      </c>
      <c r="AB686" s="6">
        <v>0</v>
      </c>
      <c r="AC686" s="4">
        <v>-49637</v>
      </c>
      <c r="AD686" s="4">
        <v>0</v>
      </c>
      <c r="AE686" s="4">
        <v>-49637</v>
      </c>
      <c r="AF686" s="1"/>
      <c r="AG686" s="1"/>
      <c r="AH686" s="1"/>
      <c r="AI686" s="1" t="s">
        <v>2327</v>
      </c>
      <c r="AJ686" s="1"/>
      <c r="AK686" s="1"/>
      <c r="AL686" s="1"/>
    </row>
    <row r="687" spans="1:38" hidden="1" x14ac:dyDescent="0.25">
      <c r="A687" s="2">
        <v>883</v>
      </c>
      <c r="B687" s="1" t="s">
        <v>834</v>
      </c>
      <c r="C687" s="1" t="s">
        <v>835</v>
      </c>
      <c r="D687" s="1" t="s">
        <v>2062</v>
      </c>
      <c r="E687" s="1" t="s">
        <v>2063</v>
      </c>
      <c r="F687" s="3">
        <v>45230</v>
      </c>
      <c r="G687" s="3">
        <v>45218</v>
      </c>
      <c r="H687" s="3">
        <v>45583</v>
      </c>
      <c r="I687" s="1" t="s">
        <v>3121</v>
      </c>
      <c r="J687" s="1" t="s">
        <v>3122</v>
      </c>
      <c r="K687" s="1"/>
      <c r="L687" s="1" t="s">
        <v>2443</v>
      </c>
      <c r="M687" s="1" t="s">
        <v>3123</v>
      </c>
      <c r="N687" s="1" t="s">
        <v>3124</v>
      </c>
      <c r="O687" s="1" t="s">
        <v>3125</v>
      </c>
      <c r="P687" s="1" t="s">
        <v>2182</v>
      </c>
      <c r="Q687" s="1"/>
      <c r="R687" s="1"/>
      <c r="S687" s="1" t="s">
        <v>2072</v>
      </c>
      <c r="T687" s="1" t="s">
        <v>2073</v>
      </c>
      <c r="U687" s="4">
        <v>4800000</v>
      </c>
      <c r="V687" s="4">
        <v>79823</v>
      </c>
      <c r="W687" s="4">
        <v>799</v>
      </c>
      <c r="X687" s="4">
        <v>10378</v>
      </c>
      <c r="Y687" s="4">
        <v>0</v>
      </c>
      <c r="Z687" s="5">
        <v>91000</v>
      </c>
      <c r="AA687" s="5">
        <v>0</v>
      </c>
      <c r="AB687" s="6">
        <v>0</v>
      </c>
      <c r="AC687" s="4">
        <v>91000</v>
      </c>
      <c r="AD687" s="4">
        <v>0</v>
      </c>
      <c r="AE687" s="4">
        <v>91000</v>
      </c>
      <c r="AF687" s="1"/>
      <c r="AG687" s="1"/>
      <c r="AH687" s="1"/>
      <c r="AI687" s="1" t="s">
        <v>3126</v>
      </c>
      <c r="AJ687" s="1"/>
      <c r="AK687" s="1"/>
      <c r="AL687" s="1"/>
    </row>
    <row r="688" spans="1:38" hidden="1" x14ac:dyDescent="0.25">
      <c r="A688" s="2">
        <v>884</v>
      </c>
      <c r="B688" s="1" t="s">
        <v>834</v>
      </c>
      <c r="C688" s="1" t="s">
        <v>836</v>
      </c>
      <c r="D688" s="1" t="s">
        <v>2062</v>
      </c>
      <c r="E688" s="1" t="s">
        <v>2063</v>
      </c>
      <c r="F688" s="3">
        <v>45401</v>
      </c>
      <c r="G688" s="3">
        <v>45218</v>
      </c>
      <c r="H688" s="3">
        <v>45583</v>
      </c>
      <c r="I688" s="1" t="s">
        <v>3121</v>
      </c>
      <c r="J688" s="1" t="s">
        <v>3122</v>
      </c>
      <c r="K688" s="1"/>
      <c r="L688" s="1" t="s">
        <v>2443</v>
      </c>
      <c r="M688" s="1" t="s">
        <v>3123</v>
      </c>
      <c r="N688" s="1" t="s">
        <v>3124</v>
      </c>
      <c r="O688" s="1" t="s">
        <v>3125</v>
      </c>
      <c r="P688" s="1" t="s">
        <v>2182</v>
      </c>
      <c r="Q688" s="1"/>
      <c r="R688" s="1"/>
      <c r="S688" s="1" t="s">
        <v>2072</v>
      </c>
      <c r="T688" s="1" t="s">
        <v>2073</v>
      </c>
      <c r="U688" s="4">
        <v>4800000</v>
      </c>
      <c r="V688" s="4">
        <v>3230</v>
      </c>
      <c r="W688" s="4">
        <v>32</v>
      </c>
      <c r="X688" s="4">
        <v>420</v>
      </c>
      <c r="Y688" s="4">
        <v>0</v>
      </c>
      <c r="Z688" s="5">
        <v>3682</v>
      </c>
      <c r="AA688" s="5">
        <v>0</v>
      </c>
      <c r="AB688" s="6">
        <v>0</v>
      </c>
      <c r="AC688" s="4">
        <v>3682</v>
      </c>
      <c r="AD688" s="4">
        <v>0</v>
      </c>
      <c r="AE688" s="4">
        <v>3682</v>
      </c>
      <c r="AF688" s="1"/>
      <c r="AG688" s="1"/>
      <c r="AH688" s="1"/>
      <c r="AI688" s="1" t="s">
        <v>3126</v>
      </c>
      <c r="AJ688" s="6">
        <v>581.32000000000107</v>
      </c>
      <c r="AK688" s="6">
        <v>560.35</v>
      </c>
      <c r="AL688" s="1"/>
    </row>
    <row r="689" spans="1:38" hidden="1" x14ac:dyDescent="0.25">
      <c r="A689" s="2">
        <v>885</v>
      </c>
      <c r="B689" s="1" t="s">
        <v>834</v>
      </c>
      <c r="C689" s="1" t="s">
        <v>837</v>
      </c>
      <c r="D689" s="1" t="s">
        <v>2062</v>
      </c>
      <c r="E689" s="1" t="s">
        <v>2063</v>
      </c>
      <c r="F689" s="3">
        <v>45401</v>
      </c>
      <c r="G689" s="3">
        <v>45218</v>
      </c>
      <c r="H689" s="3">
        <v>45583</v>
      </c>
      <c r="I689" s="1" t="s">
        <v>3121</v>
      </c>
      <c r="J689" s="1" t="s">
        <v>3122</v>
      </c>
      <c r="K689" s="1"/>
      <c r="L689" s="1" t="s">
        <v>2443</v>
      </c>
      <c r="M689" s="1" t="s">
        <v>3123</v>
      </c>
      <c r="N689" s="1" t="s">
        <v>3124</v>
      </c>
      <c r="O689" s="1" t="s">
        <v>3125</v>
      </c>
      <c r="P689" s="1" t="s">
        <v>2182</v>
      </c>
      <c r="Q689" s="1"/>
      <c r="R689" s="1"/>
      <c r="S689" s="1" t="s">
        <v>2072</v>
      </c>
      <c r="T689" s="1" t="s">
        <v>2073</v>
      </c>
      <c r="U689" s="4">
        <v>4800000</v>
      </c>
      <c r="V689" s="4">
        <v>3878</v>
      </c>
      <c r="W689" s="4">
        <v>39</v>
      </c>
      <c r="X689" s="4">
        <v>504</v>
      </c>
      <c r="Y689" s="4">
        <v>0</v>
      </c>
      <c r="Z689" s="5">
        <v>4421</v>
      </c>
      <c r="AA689" s="5">
        <v>0</v>
      </c>
      <c r="AB689" s="6">
        <v>0</v>
      </c>
      <c r="AC689" s="4">
        <v>4421</v>
      </c>
      <c r="AD689" s="4">
        <v>0</v>
      </c>
      <c r="AE689" s="4">
        <v>4421</v>
      </c>
      <c r="AF689" s="1"/>
      <c r="AG689" s="1"/>
      <c r="AH689" s="1"/>
      <c r="AI689" s="1" t="s">
        <v>3126</v>
      </c>
      <c r="AJ689" s="6">
        <v>759.6</v>
      </c>
      <c r="AK689" s="6">
        <v>672.19</v>
      </c>
      <c r="AL689" s="1"/>
    </row>
    <row r="690" spans="1:38" hidden="1" x14ac:dyDescent="0.25">
      <c r="A690" s="2">
        <v>886</v>
      </c>
      <c r="B690" s="1" t="s">
        <v>834</v>
      </c>
      <c r="C690" s="1" t="s">
        <v>838</v>
      </c>
      <c r="D690" s="1" t="s">
        <v>2062</v>
      </c>
      <c r="E690" s="1" t="s">
        <v>2063</v>
      </c>
      <c r="F690" s="3">
        <v>45432</v>
      </c>
      <c r="G690" s="3">
        <v>45218</v>
      </c>
      <c r="H690" s="3">
        <v>45583</v>
      </c>
      <c r="I690" s="1" t="s">
        <v>3121</v>
      </c>
      <c r="J690" s="1" t="s">
        <v>3122</v>
      </c>
      <c r="K690" s="1"/>
      <c r="L690" s="1" t="s">
        <v>2443</v>
      </c>
      <c r="M690" s="1" t="s">
        <v>3123</v>
      </c>
      <c r="N690" s="1" t="s">
        <v>3124</v>
      </c>
      <c r="O690" s="1" t="s">
        <v>3125</v>
      </c>
      <c r="P690" s="1" t="s">
        <v>2182</v>
      </c>
      <c r="Q690" s="1"/>
      <c r="R690" s="1"/>
      <c r="S690" s="1" t="s">
        <v>2072</v>
      </c>
      <c r="T690" s="1" t="s">
        <v>2073</v>
      </c>
      <c r="U690" s="4">
        <v>4800000</v>
      </c>
      <c r="V690" s="4">
        <v>3806</v>
      </c>
      <c r="W690" s="4">
        <v>38</v>
      </c>
      <c r="X690" s="4">
        <v>495</v>
      </c>
      <c r="Y690" s="4">
        <v>0</v>
      </c>
      <c r="Z690" s="5">
        <v>4339</v>
      </c>
      <c r="AA690" s="5">
        <v>0</v>
      </c>
      <c r="AB690" s="6">
        <v>0</v>
      </c>
      <c r="AC690" s="4">
        <v>4339</v>
      </c>
      <c r="AD690" s="4">
        <v>0</v>
      </c>
      <c r="AE690" s="4">
        <v>4339</v>
      </c>
      <c r="AF690" s="1"/>
      <c r="AG690" s="1"/>
      <c r="AH690" s="1"/>
      <c r="AI690" s="1" t="s">
        <v>3126</v>
      </c>
      <c r="AJ690" s="6">
        <v>768.88</v>
      </c>
      <c r="AK690" s="6">
        <v>659.64</v>
      </c>
      <c r="AL690" s="1"/>
    </row>
    <row r="691" spans="1:38" hidden="1" x14ac:dyDescent="0.25">
      <c r="A691" s="2">
        <v>887</v>
      </c>
      <c r="B691" s="1" t="s">
        <v>834</v>
      </c>
      <c r="C691" s="1" t="s">
        <v>839</v>
      </c>
      <c r="D691" s="1" t="s">
        <v>2062</v>
      </c>
      <c r="E691" s="1" t="s">
        <v>2063</v>
      </c>
      <c r="F691" s="3">
        <v>45463</v>
      </c>
      <c r="G691" s="3">
        <v>45218</v>
      </c>
      <c r="H691" s="3">
        <v>45583</v>
      </c>
      <c r="I691" s="1" t="s">
        <v>3121</v>
      </c>
      <c r="J691" s="1" t="s">
        <v>3122</v>
      </c>
      <c r="K691" s="1"/>
      <c r="L691" s="1" t="s">
        <v>2443</v>
      </c>
      <c r="M691" s="1" t="s">
        <v>3123</v>
      </c>
      <c r="N691" s="1" t="s">
        <v>3124</v>
      </c>
      <c r="O691" s="1" t="s">
        <v>3125</v>
      </c>
      <c r="P691" s="1" t="s">
        <v>2182</v>
      </c>
      <c r="Q691" s="1"/>
      <c r="R691" s="1"/>
      <c r="S691" s="1" t="s">
        <v>2072</v>
      </c>
      <c r="T691" s="1" t="s">
        <v>2073</v>
      </c>
      <c r="U691" s="4">
        <v>4800000</v>
      </c>
      <c r="V691" s="4">
        <v>3666</v>
      </c>
      <c r="W691" s="4">
        <v>36</v>
      </c>
      <c r="X691" s="4">
        <v>476</v>
      </c>
      <c r="Y691" s="4">
        <v>0</v>
      </c>
      <c r="Z691" s="5">
        <v>4178</v>
      </c>
      <c r="AA691" s="5">
        <v>0</v>
      </c>
      <c r="AB691" s="6">
        <v>0</v>
      </c>
      <c r="AC691" s="4">
        <v>4178</v>
      </c>
      <c r="AD691" s="4">
        <v>0</v>
      </c>
      <c r="AE691" s="4">
        <v>4178</v>
      </c>
      <c r="AF691" s="1"/>
      <c r="AG691" s="1"/>
      <c r="AH691" s="1"/>
      <c r="AI691" s="1" t="s">
        <v>3126</v>
      </c>
      <c r="AJ691" s="6">
        <v>639.01</v>
      </c>
      <c r="AK691" s="6">
        <v>634.91000000000008</v>
      </c>
      <c r="AL691" s="1"/>
    </row>
    <row r="692" spans="1:38" hidden="1" x14ac:dyDescent="0.25">
      <c r="A692" s="2">
        <v>888</v>
      </c>
      <c r="B692" s="1" t="s">
        <v>834</v>
      </c>
      <c r="C692" s="1" t="s">
        <v>840</v>
      </c>
      <c r="D692" s="1" t="s">
        <v>2062</v>
      </c>
      <c r="E692" s="1" t="s">
        <v>2063</v>
      </c>
      <c r="F692" s="3">
        <v>45497</v>
      </c>
      <c r="G692" s="3">
        <v>45218</v>
      </c>
      <c r="H692" s="3">
        <v>45583</v>
      </c>
      <c r="I692" s="1" t="s">
        <v>3121</v>
      </c>
      <c r="J692" s="1" t="s">
        <v>3122</v>
      </c>
      <c r="K692" s="1"/>
      <c r="L692" s="1" t="s">
        <v>2443</v>
      </c>
      <c r="M692" s="1" t="s">
        <v>3123</v>
      </c>
      <c r="N692" s="1" t="s">
        <v>3124</v>
      </c>
      <c r="O692" s="1" t="s">
        <v>3125</v>
      </c>
      <c r="P692" s="1" t="s">
        <v>2182</v>
      </c>
      <c r="Q692" s="1"/>
      <c r="R692" s="1"/>
      <c r="S692" s="1" t="s">
        <v>2072</v>
      </c>
      <c r="T692" s="1" t="s">
        <v>2073</v>
      </c>
      <c r="U692" s="4">
        <v>4800000</v>
      </c>
      <c r="V692" s="4">
        <v>4267</v>
      </c>
      <c r="W692" s="4">
        <v>43</v>
      </c>
      <c r="X692" s="4">
        <v>640</v>
      </c>
      <c r="Y692" s="4">
        <v>0</v>
      </c>
      <c r="Z692" s="5">
        <v>4950</v>
      </c>
      <c r="AA692" s="5">
        <v>0</v>
      </c>
      <c r="AB692" s="6">
        <v>0</v>
      </c>
      <c r="AC692" s="4">
        <v>4950</v>
      </c>
      <c r="AD692" s="4">
        <v>0</v>
      </c>
      <c r="AE692" s="4">
        <v>4950</v>
      </c>
      <c r="AF692" s="1"/>
      <c r="AG692" s="1"/>
      <c r="AH692" s="1"/>
      <c r="AI692" s="1" t="s">
        <v>3126</v>
      </c>
      <c r="AJ692" s="6">
        <v>830.84</v>
      </c>
      <c r="AK692" s="6">
        <v>752.86</v>
      </c>
      <c r="AL692" s="1"/>
    </row>
    <row r="693" spans="1:38" hidden="1" x14ac:dyDescent="0.25">
      <c r="A693" s="2">
        <v>889</v>
      </c>
      <c r="B693" s="1" t="s">
        <v>834</v>
      </c>
      <c r="C693" s="1" t="s">
        <v>841</v>
      </c>
      <c r="D693" s="1" t="s">
        <v>2062</v>
      </c>
      <c r="E693" s="1" t="s">
        <v>2063</v>
      </c>
      <c r="F693" s="3">
        <v>45524</v>
      </c>
      <c r="G693" s="3">
        <v>45218</v>
      </c>
      <c r="H693" s="3">
        <v>45583</v>
      </c>
      <c r="I693" s="1" t="s">
        <v>3121</v>
      </c>
      <c r="J693" s="1" t="s">
        <v>3122</v>
      </c>
      <c r="K693" s="1"/>
      <c r="L693" s="1" t="s">
        <v>2443</v>
      </c>
      <c r="M693" s="1" t="s">
        <v>3123</v>
      </c>
      <c r="N693" s="1" t="s">
        <v>3124</v>
      </c>
      <c r="O693" s="1" t="s">
        <v>3125</v>
      </c>
      <c r="P693" s="1" t="s">
        <v>2182</v>
      </c>
      <c r="Q693" s="1"/>
      <c r="R693" s="1"/>
      <c r="S693" s="1" t="s">
        <v>2072</v>
      </c>
      <c r="T693" s="1" t="s">
        <v>2073</v>
      </c>
      <c r="U693" s="4">
        <v>4800000</v>
      </c>
      <c r="V693" s="4">
        <v>4402</v>
      </c>
      <c r="W693" s="4">
        <v>44</v>
      </c>
      <c r="X693" s="4">
        <v>660</v>
      </c>
      <c r="Y693" s="4">
        <v>0</v>
      </c>
      <c r="Z693" s="5">
        <v>5106</v>
      </c>
      <c r="AA693" s="5">
        <v>0</v>
      </c>
      <c r="AB693" s="6">
        <v>0</v>
      </c>
      <c r="AC693" s="4">
        <v>5106</v>
      </c>
      <c r="AD693" s="4">
        <v>0</v>
      </c>
      <c r="AE693" s="4">
        <v>5106</v>
      </c>
      <c r="AF693" s="1"/>
      <c r="AG693" s="1"/>
      <c r="AH693" s="1"/>
      <c r="AI693" s="1" t="s">
        <v>3126</v>
      </c>
      <c r="AJ693" s="6">
        <v>830.95</v>
      </c>
      <c r="AK693" s="6">
        <v>776.37</v>
      </c>
      <c r="AL693" s="1"/>
    </row>
    <row r="694" spans="1:38" hidden="1" x14ac:dyDescent="0.25">
      <c r="A694" s="2">
        <v>890</v>
      </c>
      <c r="B694" s="1" t="s">
        <v>834</v>
      </c>
      <c r="C694" s="1" t="s">
        <v>842</v>
      </c>
      <c r="D694" s="1" t="s">
        <v>2062</v>
      </c>
      <c r="E694" s="1" t="s">
        <v>2063</v>
      </c>
      <c r="F694" s="3">
        <v>45561</v>
      </c>
      <c r="G694" s="3">
        <v>45218</v>
      </c>
      <c r="H694" s="3">
        <v>45583</v>
      </c>
      <c r="I694" s="1" t="s">
        <v>3121</v>
      </c>
      <c r="J694" s="1" t="s">
        <v>3122</v>
      </c>
      <c r="K694" s="1"/>
      <c r="L694" s="1" t="s">
        <v>2443</v>
      </c>
      <c r="M694" s="1" t="s">
        <v>3123</v>
      </c>
      <c r="N694" s="1" t="s">
        <v>3124</v>
      </c>
      <c r="O694" s="1" t="s">
        <v>3125</v>
      </c>
      <c r="P694" s="1" t="s">
        <v>2182</v>
      </c>
      <c r="Q694" s="1"/>
      <c r="R694" s="1"/>
      <c r="S694" s="1" t="s">
        <v>2072</v>
      </c>
      <c r="T694" s="1" t="s">
        <v>2073</v>
      </c>
      <c r="U694" s="4">
        <v>4800000</v>
      </c>
      <c r="V694" s="4">
        <v>4418</v>
      </c>
      <c r="W694" s="4">
        <v>44</v>
      </c>
      <c r="X694" s="4">
        <v>663</v>
      </c>
      <c r="Y694" s="4">
        <v>0</v>
      </c>
      <c r="Z694" s="5">
        <v>5125</v>
      </c>
      <c r="AA694" s="5">
        <v>0</v>
      </c>
      <c r="AB694" s="6">
        <v>0</v>
      </c>
      <c r="AC694" s="4">
        <v>5125</v>
      </c>
      <c r="AD694" s="4">
        <v>0</v>
      </c>
      <c r="AE694" s="4">
        <v>5125</v>
      </c>
      <c r="AF694" s="1"/>
      <c r="AG694" s="1"/>
      <c r="AH694" s="1"/>
      <c r="AI694" s="1" t="s">
        <v>3126</v>
      </c>
      <c r="AJ694" s="6">
        <v>783.64</v>
      </c>
      <c r="AK694" s="6">
        <v>779.23</v>
      </c>
      <c r="AL694" s="1"/>
    </row>
    <row r="695" spans="1:38" hidden="1" x14ac:dyDescent="0.25">
      <c r="A695" s="2">
        <v>891</v>
      </c>
      <c r="B695" s="1" t="s">
        <v>834</v>
      </c>
      <c r="C695" s="1" t="s">
        <v>843</v>
      </c>
      <c r="D695" s="1" t="s">
        <v>2062</v>
      </c>
      <c r="E695" s="1" t="s">
        <v>2063</v>
      </c>
      <c r="F695" s="3">
        <v>45586</v>
      </c>
      <c r="G695" s="3">
        <v>45218</v>
      </c>
      <c r="H695" s="3">
        <v>45583</v>
      </c>
      <c r="I695" s="1" t="s">
        <v>3121</v>
      </c>
      <c r="J695" s="1" t="s">
        <v>3122</v>
      </c>
      <c r="K695" s="1"/>
      <c r="L695" s="1" t="s">
        <v>2443</v>
      </c>
      <c r="M695" s="1" t="s">
        <v>3123</v>
      </c>
      <c r="N695" s="1" t="s">
        <v>3124</v>
      </c>
      <c r="O695" s="1" t="s">
        <v>3125</v>
      </c>
      <c r="P695" s="1" t="s">
        <v>2182</v>
      </c>
      <c r="Q695" s="1"/>
      <c r="R695" s="1"/>
      <c r="S695" s="1" t="s">
        <v>2072</v>
      </c>
      <c r="T695" s="1" t="s">
        <v>2073</v>
      </c>
      <c r="U695" s="4">
        <v>4800000</v>
      </c>
      <c r="V695" s="4">
        <v>4312</v>
      </c>
      <c r="W695" s="4">
        <v>43</v>
      </c>
      <c r="X695" s="4">
        <v>647</v>
      </c>
      <c r="Y695" s="4">
        <v>0</v>
      </c>
      <c r="Z695" s="5">
        <v>5002</v>
      </c>
      <c r="AA695" s="5">
        <v>0</v>
      </c>
      <c r="AB695" s="6">
        <v>0</v>
      </c>
      <c r="AC695" s="4">
        <v>5002</v>
      </c>
      <c r="AD695" s="4">
        <v>0</v>
      </c>
      <c r="AE695" s="4">
        <v>5002</v>
      </c>
      <c r="AF695" s="1"/>
      <c r="AG695" s="1"/>
      <c r="AH695" s="1"/>
      <c r="AI695" s="1" t="s">
        <v>3126</v>
      </c>
      <c r="AJ695" s="6">
        <v>766.26</v>
      </c>
      <c r="AK695" s="6">
        <v>760.96</v>
      </c>
      <c r="AL695" s="1"/>
    </row>
    <row r="696" spans="1:38" hidden="1" x14ac:dyDescent="0.25">
      <c r="A696" s="2">
        <v>892</v>
      </c>
      <c r="B696" s="1" t="s">
        <v>834</v>
      </c>
      <c r="C696" s="1" t="s">
        <v>844</v>
      </c>
      <c r="D696" s="1" t="s">
        <v>2062</v>
      </c>
      <c r="E696" s="1" t="s">
        <v>2063</v>
      </c>
      <c r="F696" s="3">
        <v>45655</v>
      </c>
      <c r="G696" s="3">
        <v>45218</v>
      </c>
      <c r="H696" s="3">
        <v>45583</v>
      </c>
      <c r="I696" s="1" t="s">
        <v>3121</v>
      </c>
      <c r="J696" s="1" t="s">
        <v>3122</v>
      </c>
      <c r="K696" s="1"/>
      <c r="L696" s="1" t="s">
        <v>2443</v>
      </c>
      <c r="M696" s="1" t="s">
        <v>3123</v>
      </c>
      <c r="N696" s="1" t="s">
        <v>3124</v>
      </c>
      <c r="O696" s="1" t="s">
        <v>3125</v>
      </c>
      <c r="P696" s="1" t="s">
        <v>2182</v>
      </c>
      <c r="Q696" s="1"/>
      <c r="R696" s="1"/>
      <c r="S696" s="1" t="s">
        <v>2072</v>
      </c>
      <c r="T696" s="1" t="s">
        <v>2073</v>
      </c>
      <c r="U696" s="4">
        <v>-1</v>
      </c>
      <c r="V696" s="4">
        <v>-126538</v>
      </c>
      <c r="W696" s="4">
        <v>-1265</v>
      </c>
      <c r="X696" s="4">
        <v>0</v>
      </c>
      <c r="Y696" s="4">
        <v>0</v>
      </c>
      <c r="Z696" s="5">
        <v>-127803</v>
      </c>
      <c r="AA696" s="5">
        <v>0</v>
      </c>
      <c r="AB696" s="6">
        <v>0</v>
      </c>
      <c r="AC696" s="4">
        <v>-127803</v>
      </c>
      <c r="AD696" s="4">
        <v>0</v>
      </c>
      <c r="AE696" s="4">
        <v>-127803</v>
      </c>
      <c r="AF696" s="1"/>
      <c r="AG696" s="1"/>
      <c r="AH696" s="1"/>
      <c r="AI696" s="1" t="s">
        <v>3126</v>
      </c>
      <c r="AJ696" s="1"/>
      <c r="AK696" s="1"/>
      <c r="AL696" s="1"/>
    </row>
    <row r="697" spans="1:38" hidden="1" x14ac:dyDescent="0.25">
      <c r="A697" s="2">
        <v>893</v>
      </c>
      <c r="B697" s="1" t="s">
        <v>845</v>
      </c>
      <c r="C697" s="1" t="s">
        <v>846</v>
      </c>
      <c r="D697" s="1" t="s">
        <v>2062</v>
      </c>
      <c r="E697" s="1" t="s">
        <v>2063</v>
      </c>
      <c r="F697" s="3">
        <v>45230</v>
      </c>
      <c r="G697" s="3">
        <v>45219</v>
      </c>
      <c r="H697" s="3">
        <v>45584</v>
      </c>
      <c r="I697" s="1" t="s">
        <v>3127</v>
      </c>
      <c r="J697" s="1" t="s">
        <v>3128</v>
      </c>
      <c r="K697" s="1"/>
      <c r="L697" s="1" t="s">
        <v>3116</v>
      </c>
      <c r="M697" s="1" t="s">
        <v>3129</v>
      </c>
      <c r="N697" s="1" t="s">
        <v>3130</v>
      </c>
      <c r="O697" s="1" t="s">
        <v>3131</v>
      </c>
      <c r="P697" s="1" t="s">
        <v>2095</v>
      </c>
      <c r="Q697" s="1"/>
      <c r="R697" s="1"/>
      <c r="S697" s="1" t="s">
        <v>2072</v>
      </c>
      <c r="T697" s="1" t="s">
        <v>2073</v>
      </c>
      <c r="U697" s="4">
        <v>3200000</v>
      </c>
      <c r="V697" s="4">
        <v>51753</v>
      </c>
      <c r="W697" s="4">
        <v>518</v>
      </c>
      <c r="X697" s="4">
        <v>6729</v>
      </c>
      <c r="Y697" s="4">
        <v>0</v>
      </c>
      <c r="Z697" s="5">
        <v>59000</v>
      </c>
      <c r="AA697" s="5">
        <v>0</v>
      </c>
      <c r="AB697" s="6">
        <v>0</v>
      </c>
      <c r="AC697" s="4">
        <v>59000</v>
      </c>
      <c r="AD697" s="4">
        <v>0</v>
      </c>
      <c r="AE697" s="4">
        <v>59000</v>
      </c>
      <c r="AF697" s="1"/>
      <c r="AG697" s="1"/>
      <c r="AH697" s="1"/>
      <c r="AI697" s="1" t="s">
        <v>2921</v>
      </c>
      <c r="AJ697" s="1"/>
      <c r="AK697" s="1"/>
      <c r="AL697" s="1" t="s">
        <v>3132</v>
      </c>
    </row>
    <row r="698" spans="1:38" hidden="1" x14ac:dyDescent="0.25">
      <c r="A698" s="2">
        <v>894</v>
      </c>
      <c r="B698" s="1" t="s">
        <v>845</v>
      </c>
      <c r="C698" s="1" t="s">
        <v>847</v>
      </c>
      <c r="D698" s="1" t="s">
        <v>2062</v>
      </c>
      <c r="E698" s="1" t="s">
        <v>2063</v>
      </c>
      <c r="F698" s="3">
        <v>45372</v>
      </c>
      <c r="G698" s="3">
        <v>45219</v>
      </c>
      <c r="H698" s="3">
        <v>45584</v>
      </c>
      <c r="I698" s="1" t="s">
        <v>3127</v>
      </c>
      <c r="J698" s="1" t="s">
        <v>3128</v>
      </c>
      <c r="K698" s="1"/>
      <c r="L698" s="1" t="s">
        <v>3116</v>
      </c>
      <c r="M698" s="1" t="s">
        <v>3129</v>
      </c>
      <c r="N698" s="1" t="s">
        <v>3130</v>
      </c>
      <c r="O698" s="1" t="s">
        <v>3131</v>
      </c>
      <c r="P698" s="1" t="s">
        <v>2095</v>
      </c>
      <c r="Q698" s="1"/>
      <c r="R698" s="1"/>
      <c r="S698" s="1" t="s">
        <v>2072</v>
      </c>
      <c r="T698" s="1" t="s">
        <v>2073</v>
      </c>
      <c r="U698" s="4">
        <v>3200000</v>
      </c>
      <c r="V698" s="4">
        <v>790</v>
      </c>
      <c r="W698" s="4">
        <v>8</v>
      </c>
      <c r="X698" s="4">
        <v>102</v>
      </c>
      <c r="Y698" s="4">
        <v>0</v>
      </c>
      <c r="Z698" s="5">
        <v>900</v>
      </c>
      <c r="AA698" s="5">
        <v>0</v>
      </c>
      <c r="AB698" s="6">
        <v>0</v>
      </c>
      <c r="AC698" s="4">
        <v>900</v>
      </c>
      <c r="AD698" s="4">
        <v>0</v>
      </c>
      <c r="AE698" s="4">
        <v>900</v>
      </c>
      <c r="AF698" s="1"/>
      <c r="AG698" s="1"/>
      <c r="AH698" s="1"/>
      <c r="AI698" s="1" t="s">
        <v>2921</v>
      </c>
      <c r="AJ698" s="6">
        <v>249.58</v>
      </c>
      <c r="AK698" s="6">
        <v>205.36</v>
      </c>
      <c r="AL698" s="1"/>
    </row>
    <row r="699" spans="1:38" hidden="1" x14ac:dyDescent="0.25">
      <c r="A699" s="2">
        <v>895</v>
      </c>
      <c r="B699" s="1" t="s">
        <v>845</v>
      </c>
      <c r="C699" s="1" t="s">
        <v>848</v>
      </c>
      <c r="D699" s="1" t="s">
        <v>2062</v>
      </c>
      <c r="E699" s="1" t="s">
        <v>2063</v>
      </c>
      <c r="F699" s="3">
        <v>45403</v>
      </c>
      <c r="G699" s="3">
        <v>45219</v>
      </c>
      <c r="H699" s="3">
        <v>45584</v>
      </c>
      <c r="I699" s="1" t="s">
        <v>3127</v>
      </c>
      <c r="J699" s="1" t="s">
        <v>3128</v>
      </c>
      <c r="K699" s="1"/>
      <c r="L699" s="1" t="s">
        <v>3116</v>
      </c>
      <c r="M699" s="1" t="s">
        <v>3129</v>
      </c>
      <c r="N699" s="1" t="s">
        <v>3130</v>
      </c>
      <c r="O699" s="1" t="s">
        <v>3131</v>
      </c>
      <c r="P699" s="1" t="s">
        <v>2095</v>
      </c>
      <c r="Q699" s="1"/>
      <c r="R699" s="1"/>
      <c r="S699" s="1" t="s">
        <v>2072</v>
      </c>
      <c r="T699" s="1" t="s">
        <v>2073</v>
      </c>
      <c r="U699" s="4">
        <v>3200000</v>
      </c>
      <c r="V699" s="4">
        <v>792</v>
      </c>
      <c r="W699" s="4">
        <v>8</v>
      </c>
      <c r="X699" s="4">
        <v>103</v>
      </c>
      <c r="Y699" s="4">
        <v>0</v>
      </c>
      <c r="Z699" s="5">
        <v>903</v>
      </c>
      <c r="AA699" s="5">
        <v>0</v>
      </c>
      <c r="AB699" s="6">
        <v>0</v>
      </c>
      <c r="AC699" s="4">
        <v>903</v>
      </c>
      <c r="AD699" s="4">
        <v>0</v>
      </c>
      <c r="AE699" s="4">
        <v>903</v>
      </c>
      <c r="AF699" s="1"/>
      <c r="AG699" s="1"/>
      <c r="AH699" s="1"/>
      <c r="AI699" s="1" t="s">
        <v>2921</v>
      </c>
      <c r="AJ699" s="6">
        <v>206.17</v>
      </c>
      <c r="AK699" s="6">
        <v>206.17</v>
      </c>
      <c r="AL699" s="1"/>
    </row>
    <row r="700" spans="1:38" hidden="1" x14ac:dyDescent="0.25">
      <c r="A700" s="2">
        <v>896</v>
      </c>
      <c r="B700" s="1" t="s">
        <v>845</v>
      </c>
      <c r="C700" s="1" t="s">
        <v>849</v>
      </c>
      <c r="D700" s="1" t="s">
        <v>2062</v>
      </c>
      <c r="E700" s="1" t="s">
        <v>2063</v>
      </c>
      <c r="F700" s="3">
        <v>45432</v>
      </c>
      <c r="G700" s="3">
        <v>45219</v>
      </c>
      <c r="H700" s="3">
        <v>45584</v>
      </c>
      <c r="I700" s="1" t="s">
        <v>3127</v>
      </c>
      <c r="J700" s="1" t="s">
        <v>3128</v>
      </c>
      <c r="K700" s="1"/>
      <c r="L700" s="1" t="s">
        <v>3116</v>
      </c>
      <c r="M700" s="1" t="s">
        <v>3129</v>
      </c>
      <c r="N700" s="1" t="s">
        <v>3130</v>
      </c>
      <c r="O700" s="1" t="s">
        <v>3131</v>
      </c>
      <c r="P700" s="1" t="s">
        <v>2095</v>
      </c>
      <c r="Q700" s="1"/>
      <c r="R700" s="1"/>
      <c r="S700" s="1" t="s">
        <v>2072</v>
      </c>
      <c r="T700" s="1" t="s">
        <v>2073</v>
      </c>
      <c r="U700" s="4">
        <v>3200000</v>
      </c>
      <c r="V700" s="4">
        <v>1601</v>
      </c>
      <c r="W700" s="4">
        <v>16</v>
      </c>
      <c r="X700" s="4">
        <v>209</v>
      </c>
      <c r="Y700" s="4">
        <v>0</v>
      </c>
      <c r="Z700" s="5">
        <v>1826</v>
      </c>
      <c r="AA700" s="5">
        <v>0</v>
      </c>
      <c r="AB700" s="6">
        <v>0</v>
      </c>
      <c r="AC700" s="4">
        <v>1826</v>
      </c>
      <c r="AD700" s="4">
        <v>0</v>
      </c>
      <c r="AE700" s="4">
        <v>1826</v>
      </c>
      <c r="AF700" s="1"/>
      <c r="AG700" s="1"/>
      <c r="AH700" s="1"/>
      <c r="AI700" s="1" t="s">
        <v>2921</v>
      </c>
      <c r="AJ700" s="6">
        <v>446.66</v>
      </c>
      <c r="AK700" s="6">
        <v>416.99</v>
      </c>
      <c r="AL700" s="1"/>
    </row>
    <row r="701" spans="1:38" hidden="1" x14ac:dyDescent="0.25">
      <c r="A701" s="2">
        <v>897</v>
      </c>
      <c r="B701" s="1" t="s">
        <v>845</v>
      </c>
      <c r="C701" s="1" t="s">
        <v>850</v>
      </c>
      <c r="D701" s="1" t="s">
        <v>2062</v>
      </c>
      <c r="E701" s="1" t="s">
        <v>2063</v>
      </c>
      <c r="F701" s="3">
        <v>45465</v>
      </c>
      <c r="G701" s="3">
        <v>45219</v>
      </c>
      <c r="H701" s="3">
        <v>45584</v>
      </c>
      <c r="I701" s="1" t="s">
        <v>3127</v>
      </c>
      <c r="J701" s="1" t="s">
        <v>3128</v>
      </c>
      <c r="K701" s="1"/>
      <c r="L701" s="1" t="s">
        <v>3116</v>
      </c>
      <c r="M701" s="1" t="s">
        <v>3129</v>
      </c>
      <c r="N701" s="1" t="s">
        <v>3130</v>
      </c>
      <c r="O701" s="1" t="s">
        <v>3131</v>
      </c>
      <c r="P701" s="1" t="s">
        <v>2095</v>
      </c>
      <c r="Q701" s="1"/>
      <c r="R701" s="1"/>
      <c r="S701" s="1" t="s">
        <v>2072</v>
      </c>
      <c r="T701" s="1" t="s">
        <v>2073</v>
      </c>
      <c r="U701" s="4">
        <v>3200000</v>
      </c>
      <c r="V701" s="4">
        <v>1488</v>
      </c>
      <c r="W701" s="4">
        <v>15</v>
      </c>
      <c r="X701" s="4">
        <v>193</v>
      </c>
      <c r="Y701" s="4">
        <v>0</v>
      </c>
      <c r="Z701" s="5">
        <v>1696</v>
      </c>
      <c r="AA701" s="5">
        <v>0</v>
      </c>
      <c r="AB701" s="6">
        <v>0</v>
      </c>
      <c r="AC701" s="4">
        <v>1696</v>
      </c>
      <c r="AD701" s="4">
        <v>0</v>
      </c>
      <c r="AE701" s="4">
        <v>1696</v>
      </c>
      <c r="AF701" s="1"/>
      <c r="AG701" s="1"/>
      <c r="AH701" s="1"/>
      <c r="AI701" s="1" t="s">
        <v>2921</v>
      </c>
      <c r="AJ701" s="6">
        <v>429.92</v>
      </c>
      <c r="AK701" s="6">
        <v>387.36</v>
      </c>
      <c r="AL701" s="1"/>
    </row>
    <row r="702" spans="1:38" hidden="1" x14ac:dyDescent="0.25">
      <c r="A702" s="2">
        <v>898</v>
      </c>
      <c r="B702" s="1" t="s">
        <v>845</v>
      </c>
      <c r="C702" s="1" t="s">
        <v>851</v>
      </c>
      <c r="D702" s="1" t="s">
        <v>2062</v>
      </c>
      <c r="E702" s="1" t="s">
        <v>2063</v>
      </c>
      <c r="F702" s="3">
        <v>45497</v>
      </c>
      <c r="G702" s="3">
        <v>45219</v>
      </c>
      <c r="H702" s="3">
        <v>45584</v>
      </c>
      <c r="I702" s="1" t="s">
        <v>3127</v>
      </c>
      <c r="J702" s="1" t="s">
        <v>3128</v>
      </c>
      <c r="K702" s="1"/>
      <c r="L702" s="1" t="s">
        <v>3116</v>
      </c>
      <c r="M702" s="1" t="s">
        <v>3129</v>
      </c>
      <c r="N702" s="1" t="s">
        <v>3130</v>
      </c>
      <c r="O702" s="1" t="s">
        <v>3131</v>
      </c>
      <c r="P702" s="1" t="s">
        <v>2095</v>
      </c>
      <c r="Q702" s="1"/>
      <c r="R702" s="1"/>
      <c r="S702" s="1" t="s">
        <v>2072</v>
      </c>
      <c r="T702" s="1" t="s">
        <v>2073</v>
      </c>
      <c r="U702" s="4">
        <v>3200000</v>
      </c>
      <c r="V702" s="4">
        <v>1506</v>
      </c>
      <c r="W702" s="4">
        <v>15</v>
      </c>
      <c r="X702" s="4">
        <v>226</v>
      </c>
      <c r="Y702" s="4">
        <v>0</v>
      </c>
      <c r="Z702" s="5">
        <v>1747</v>
      </c>
      <c r="AA702" s="5">
        <v>0</v>
      </c>
      <c r="AB702" s="6">
        <v>0</v>
      </c>
      <c r="AC702" s="4">
        <v>1747</v>
      </c>
      <c r="AD702" s="4">
        <v>0</v>
      </c>
      <c r="AE702" s="4">
        <v>1747</v>
      </c>
      <c r="AF702" s="1"/>
      <c r="AG702" s="1"/>
      <c r="AH702" s="1"/>
      <c r="AI702" s="1" t="s">
        <v>2921</v>
      </c>
      <c r="AJ702" s="6">
        <v>536.03</v>
      </c>
      <c r="AK702" s="6">
        <v>398.9</v>
      </c>
      <c r="AL702" s="1"/>
    </row>
    <row r="703" spans="1:38" hidden="1" x14ac:dyDescent="0.25">
      <c r="A703" s="2">
        <v>899</v>
      </c>
      <c r="B703" s="1" t="s">
        <v>845</v>
      </c>
      <c r="C703" s="1" t="s">
        <v>852</v>
      </c>
      <c r="D703" s="1" t="s">
        <v>2062</v>
      </c>
      <c r="E703" s="1" t="s">
        <v>2063</v>
      </c>
      <c r="F703" s="3">
        <v>45526</v>
      </c>
      <c r="G703" s="3">
        <v>45219</v>
      </c>
      <c r="H703" s="3">
        <v>45584</v>
      </c>
      <c r="I703" s="1" t="s">
        <v>3127</v>
      </c>
      <c r="J703" s="1" t="s">
        <v>3128</v>
      </c>
      <c r="K703" s="1"/>
      <c r="L703" s="1" t="s">
        <v>3116</v>
      </c>
      <c r="M703" s="1" t="s">
        <v>3129</v>
      </c>
      <c r="N703" s="1" t="s">
        <v>3130</v>
      </c>
      <c r="O703" s="1" t="s">
        <v>3131</v>
      </c>
      <c r="P703" s="1" t="s">
        <v>2095</v>
      </c>
      <c r="Q703" s="1"/>
      <c r="R703" s="1"/>
      <c r="S703" s="1" t="s">
        <v>2072</v>
      </c>
      <c r="T703" s="1" t="s">
        <v>2073</v>
      </c>
      <c r="U703" s="4">
        <v>3200000</v>
      </c>
      <c r="V703" s="4">
        <v>1849</v>
      </c>
      <c r="W703" s="4">
        <v>19</v>
      </c>
      <c r="X703" s="4">
        <v>278</v>
      </c>
      <c r="Y703" s="4">
        <v>0</v>
      </c>
      <c r="Z703" s="5">
        <v>2146</v>
      </c>
      <c r="AA703" s="5">
        <v>0</v>
      </c>
      <c r="AB703" s="6">
        <v>0</v>
      </c>
      <c r="AC703" s="4">
        <v>2146</v>
      </c>
      <c r="AD703" s="4">
        <v>0</v>
      </c>
      <c r="AE703" s="4">
        <v>2146</v>
      </c>
      <c r="AF703" s="1"/>
      <c r="AG703" s="1"/>
      <c r="AH703" s="1"/>
      <c r="AI703" s="1" t="s">
        <v>2921</v>
      </c>
      <c r="AJ703" s="6">
        <v>823.74</v>
      </c>
      <c r="AK703" s="6">
        <v>489.85</v>
      </c>
      <c r="AL703" s="1"/>
    </row>
    <row r="704" spans="1:38" hidden="1" x14ac:dyDescent="0.25">
      <c r="A704" s="2">
        <v>900</v>
      </c>
      <c r="B704" s="1" t="s">
        <v>845</v>
      </c>
      <c r="C704" s="1" t="s">
        <v>853</v>
      </c>
      <c r="D704" s="1" t="s">
        <v>2062</v>
      </c>
      <c r="E704" s="1" t="s">
        <v>2063</v>
      </c>
      <c r="F704" s="3">
        <v>45559</v>
      </c>
      <c r="G704" s="3">
        <v>45219</v>
      </c>
      <c r="H704" s="3">
        <v>45584</v>
      </c>
      <c r="I704" s="1" t="s">
        <v>3127</v>
      </c>
      <c r="J704" s="1" t="s">
        <v>3128</v>
      </c>
      <c r="K704" s="1"/>
      <c r="L704" s="1" t="s">
        <v>3116</v>
      </c>
      <c r="M704" s="1" t="s">
        <v>3129</v>
      </c>
      <c r="N704" s="1" t="s">
        <v>3130</v>
      </c>
      <c r="O704" s="1" t="s">
        <v>3131</v>
      </c>
      <c r="P704" s="1" t="s">
        <v>2095</v>
      </c>
      <c r="Q704" s="1"/>
      <c r="R704" s="1"/>
      <c r="S704" s="1" t="s">
        <v>2072</v>
      </c>
      <c r="T704" s="1" t="s">
        <v>2073</v>
      </c>
      <c r="U704" s="4">
        <v>3200000</v>
      </c>
      <c r="V704" s="4">
        <v>3585</v>
      </c>
      <c r="W704" s="4">
        <v>36</v>
      </c>
      <c r="X704" s="4">
        <v>538</v>
      </c>
      <c r="Y704" s="4">
        <v>0</v>
      </c>
      <c r="Z704" s="5">
        <v>4159</v>
      </c>
      <c r="AA704" s="5">
        <v>0</v>
      </c>
      <c r="AB704" s="6">
        <v>0</v>
      </c>
      <c r="AC704" s="4">
        <v>4159</v>
      </c>
      <c r="AD704" s="4">
        <v>0</v>
      </c>
      <c r="AE704" s="4">
        <v>4159</v>
      </c>
      <c r="AF704" s="1"/>
      <c r="AG704" s="1"/>
      <c r="AH704" s="1"/>
      <c r="AI704" s="1" t="s">
        <v>2921</v>
      </c>
      <c r="AJ704" s="6">
        <v>1024.9100000000001</v>
      </c>
      <c r="AK704" s="6">
        <v>948.8</v>
      </c>
      <c r="AL704" s="1"/>
    </row>
    <row r="705" spans="1:38" hidden="1" x14ac:dyDescent="0.25">
      <c r="A705" s="2">
        <v>901</v>
      </c>
      <c r="B705" s="1" t="s">
        <v>845</v>
      </c>
      <c r="C705" s="1" t="s">
        <v>854</v>
      </c>
      <c r="D705" s="1" t="s">
        <v>2062</v>
      </c>
      <c r="E705" s="1" t="s">
        <v>2063</v>
      </c>
      <c r="F705" s="3">
        <v>45586</v>
      </c>
      <c r="G705" s="3">
        <v>45219</v>
      </c>
      <c r="H705" s="3">
        <v>45584</v>
      </c>
      <c r="I705" s="1" t="s">
        <v>3127</v>
      </c>
      <c r="J705" s="1" t="s">
        <v>3128</v>
      </c>
      <c r="K705" s="1"/>
      <c r="L705" s="1" t="s">
        <v>3116</v>
      </c>
      <c r="M705" s="1" t="s">
        <v>3129</v>
      </c>
      <c r="N705" s="1" t="s">
        <v>3130</v>
      </c>
      <c r="O705" s="1" t="s">
        <v>3131</v>
      </c>
      <c r="P705" s="1" t="s">
        <v>2095</v>
      </c>
      <c r="Q705" s="1"/>
      <c r="R705" s="1"/>
      <c r="S705" s="1" t="s">
        <v>2072</v>
      </c>
      <c r="T705" s="1" t="s">
        <v>2073</v>
      </c>
      <c r="U705" s="4">
        <v>3200000</v>
      </c>
      <c r="V705" s="4">
        <v>1547</v>
      </c>
      <c r="W705" s="4">
        <v>15</v>
      </c>
      <c r="X705" s="4">
        <v>232</v>
      </c>
      <c r="Y705" s="4">
        <v>0</v>
      </c>
      <c r="Z705" s="5">
        <v>1794</v>
      </c>
      <c r="AA705" s="5">
        <v>0</v>
      </c>
      <c r="AB705" s="6">
        <v>0</v>
      </c>
      <c r="AC705" s="4">
        <v>1794</v>
      </c>
      <c r="AD705" s="4">
        <v>0</v>
      </c>
      <c r="AE705" s="4">
        <v>1794</v>
      </c>
      <c r="AF705" s="1"/>
      <c r="AG705" s="1"/>
      <c r="AH705" s="1"/>
      <c r="AI705" s="1" t="s">
        <v>2921</v>
      </c>
      <c r="AJ705" s="6">
        <v>409.28</v>
      </c>
      <c r="AK705" s="6">
        <v>409.28</v>
      </c>
      <c r="AL705" s="1"/>
    </row>
    <row r="706" spans="1:38" hidden="1" x14ac:dyDescent="0.25">
      <c r="A706" s="2">
        <v>902</v>
      </c>
      <c r="B706" s="1" t="s">
        <v>845</v>
      </c>
      <c r="C706" s="1" t="s">
        <v>855</v>
      </c>
      <c r="D706" s="1" t="s">
        <v>2062</v>
      </c>
      <c r="E706" s="1" t="s">
        <v>2063</v>
      </c>
      <c r="F706" s="3">
        <v>45655</v>
      </c>
      <c r="G706" s="3">
        <v>45219</v>
      </c>
      <c r="H706" s="3">
        <v>45584</v>
      </c>
      <c r="I706" s="1" t="s">
        <v>3127</v>
      </c>
      <c r="J706" s="1" t="s">
        <v>3128</v>
      </c>
      <c r="K706" s="1"/>
      <c r="L706" s="1" t="s">
        <v>3116</v>
      </c>
      <c r="M706" s="1" t="s">
        <v>3129</v>
      </c>
      <c r="N706" s="1" t="s">
        <v>3130</v>
      </c>
      <c r="O706" s="1" t="s">
        <v>3131</v>
      </c>
      <c r="P706" s="1" t="s">
        <v>2095</v>
      </c>
      <c r="Q706" s="1"/>
      <c r="R706" s="1"/>
      <c r="S706" s="1" t="s">
        <v>2072</v>
      </c>
      <c r="T706" s="1" t="s">
        <v>2073</v>
      </c>
      <c r="U706" s="4">
        <v>-1</v>
      </c>
      <c r="V706" s="4">
        <v>-73437</v>
      </c>
      <c r="W706" s="4">
        <v>-734</v>
      </c>
      <c r="X706" s="4">
        <v>0</v>
      </c>
      <c r="Y706" s="4">
        <v>0</v>
      </c>
      <c r="Z706" s="5">
        <v>-74171</v>
      </c>
      <c r="AA706" s="5">
        <v>0</v>
      </c>
      <c r="AB706" s="6">
        <v>0</v>
      </c>
      <c r="AC706" s="4">
        <v>-74171</v>
      </c>
      <c r="AD706" s="4">
        <v>0</v>
      </c>
      <c r="AE706" s="4">
        <v>-74171</v>
      </c>
      <c r="AF706" s="1"/>
      <c r="AG706" s="1"/>
      <c r="AH706" s="1"/>
      <c r="AI706" s="1" t="s">
        <v>2921</v>
      </c>
      <c r="AJ706" s="1"/>
      <c r="AK706" s="1"/>
      <c r="AL706" s="1"/>
    </row>
    <row r="707" spans="1:38" hidden="1" x14ac:dyDescent="0.25">
      <c r="A707" s="2">
        <v>903</v>
      </c>
      <c r="B707" s="1" t="s">
        <v>856</v>
      </c>
      <c r="C707" s="1" t="s">
        <v>857</v>
      </c>
      <c r="D707" s="1" t="s">
        <v>2062</v>
      </c>
      <c r="E707" s="1" t="s">
        <v>2063</v>
      </c>
      <c r="F707" s="3">
        <v>45230</v>
      </c>
      <c r="G707" s="3">
        <v>45215</v>
      </c>
      <c r="H707" s="3">
        <v>45580</v>
      </c>
      <c r="I707" s="1" t="s">
        <v>3133</v>
      </c>
      <c r="J707" s="1" t="s">
        <v>3134</v>
      </c>
      <c r="K707" s="1"/>
      <c r="L707" s="1" t="s">
        <v>2315</v>
      </c>
      <c r="M707" s="1" t="s">
        <v>3135</v>
      </c>
      <c r="N707" s="1" t="s">
        <v>3136</v>
      </c>
      <c r="O707" s="1" t="s">
        <v>3137</v>
      </c>
      <c r="P707" s="1" t="s">
        <v>2247</v>
      </c>
      <c r="Q707" s="1"/>
      <c r="R707" s="1"/>
      <c r="S707" s="1" t="s">
        <v>2072</v>
      </c>
      <c r="T707" s="1" t="s">
        <v>2073</v>
      </c>
      <c r="U707" s="4">
        <v>3500000</v>
      </c>
      <c r="V707" s="4">
        <v>57016</v>
      </c>
      <c r="W707" s="4">
        <v>571</v>
      </c>
      <c r="X707" s="4">
        <v>7413</v>
      </c>
      <c r="Y707" s="4">
        <v>0</v>
      </c>
      <c r="Z707" s="5">
        <v>65000</v>
      </c>
      <c r="AA707" s="5">
        <v>0</v>
      </c>
      <c r="AB707" s="6">
        <v>0</v>
      </c>
      <c r="AC707" s="4">
        <v>65000</v>
      </c>
      <c r="AD707" s="4">
        <v>0</v>
      </c>
      <c r="AE707" s="4">
        <v>65000</v>
      </c>
      <c r="AF707" s="1"/>
      <c r="AG707" s="1"/>
      <c r="AH707" s="1"/>
      <c r="AI707" s="1" t="s">
        <v>2841</v>
      </c>
      <c r="AJ707" s="1"/>
      <c r="AK707" s="1"/>
      <c r="AL707" s="1"/>
    </row>
    <row r="708" spans="1:38" hidden="1" x14ac:dyDescent="0.25">
      <c r="A708" s="2">
        <v>904</v>
      </c>
      <c r="B708" s="1" t="s">
        <v>856</v>
      </c>
      <c r="C708" s="1" t="s">
        <v>858</v>
      </c>
      <c r="D708" s="1" t="s">
        <v>2062</v>
      </c>
      <c r="E708" s="1" t="s">
        <v>2063</v>
      </c>
      <c r="F708" s="3">
        <v>45463</v>
      </c>
      <c r="G708" s="3">
        <v>45215</v>
      </c>
      <c r="H708" s="3">
        <v>45580</v>
      </c>
      <c r="I708" s="1" t="s">
        <v>3133</v>
      </c>
      <c r="J708" s="1" t="s">
        <v>3138</v>
      </c>
      <c r="K708" s="1"/>
      <c r="L708" s="1" t="s">
        <v>2315</v>
      </c>
      <c r="M708" s="1" t="s">
        <v>3135</v>
      </c>
      <c r="N708" s="1" t="s">
        <v>3136</v>
      </c>
      <c r="O708" s="1" t="s">
        <v>3137</v>
      </c>
      <c r="P708" s="1" t="s">
        <v>2247</v>
      </c>
      <c r="Q708" s="1"/>
      <c r="R708" s="1"/>
      <c r="S708" s="1" t="s">
        <v>2072</v>
      </c>
      <c r="T708" s="1" t="s">
        <v>2073</v>
      </c>
      <c r="U708" s="4">
        <v>3500000</v>
      </c>
      <c r="V708" s="4">
        <v>3408</v>
      </c>
      <c r="W708" s="4">
        <v>34</v>
      </c>
      <c r="X708" s="4">
        <v>443</v>
      </c>
      <c r="Y708" s="4">
        <v>0</v>
      </c>
      <c r="Z708" s="5">
        <v>3885</v>
      </c>
      <c r="AA708" s="5">
        <v>0</v>
      </c>
      <c r="AB708" s="6">
        <v>0</v>
      </c>
      <c r="AC708" s="4">
        <v>3885</v>
      </c>
      <c r="AD708" s="4">
        <v>0</v>
      </c>
      <c r="AE708" s="4">
        <v>3885</v>
      </c>
      <c r="AF708" s="1"/>
      <c r="AG708" s="1"/>
      <c r="AH708" s="1"/>
      <c r="AI708" s="1" t="s">
        <v>2841</v>
      </c>
      <c r="AJ708" s="6">
        <v>890.14</v>
      </c>
      <c r="AK708" s="6">
        <v>809.39</v>
      </c>
      <c r="AL708" s="1"/>
    </row>
    <row r="709" spans="1:38" hidden="1" x14ac:dyDescent="0.25">
      <c r="A709" s="2">
        <v>905</v>
      </c>
      <c r="B709" s="1" t="s">
        <v>856</v>
      </c>
      <c r="C709" s="1" t="s">
        <v>859</v>
      </c>
      <c r="D709" s="1" t="s">
        <v>2062</v>
      </c>
      <c r="E709" s="1" t="s">
        <v>2063</v>
      </c>
      <c r="F709" s="3">
        <v>45492</v>
      </c>
      <c r="G709" s="3">
        <v>45215</v>
      </c>
      <c r="H709" s="3">
        <v>45580</v>
      </c>
      <c r="I709" s="1" t="s">
        <v>3133</v>
      </c>
      <c r="J709" s="1" t="s">
        <v>3138</v>
      </c>
      <c r="K709" s="1"/>
      <c r="L709" s="1" t="s">
        <v>2315</v>
      </c>
      <c r="M709" s="1" t="s">
        <v>3135</v>
      </c>
      <c r="N709" s="1" t="s">
        <v>3136</v>
      </c>
      <c r="O709" s="1" t="s">
        <v>3137</v>
      </c>
      <c r="P709" s="1" t="s">
        <v>2247</v>
      </c>
      <c r="Q709" s="1"/>
      <c r="R709" s="1"/>
      <c r="S709" s="1" t="s">
        <v>2072</v>
      </c>
      <c r="T709" s="1" t="s">
        <v>2073</v>
      </c>
      <c r="U709" s="4">
        <v>3500000</v>
      </c>
      <c r="V709" s="4">
        <v>2349</v>
      </c>
      <c r="W709" s="4">
        <v>23</v>
      </c>
      <c r="X709" s="4">
        <v>352</v>
      </c>
      <c r="Y709" s="4">
        <v>0</v>
      </c>
      <c r="Z709" s="5">
        <v>2724</v>
      </c>
      <c r="AA709" s="5">
        <v>0</v>
      </c>
      <c r="AB709" s="6">
        <v>0</v>
      </c>
      <c r="AC709" s="4">
        <v>2724</v>
      </c>
      <c r="AD709" s="4">
        <v>0</v>
      </c>
      <c r="AE709" s="4">
        <v>2724</v>
      </c>
      <c r="AF709" s="1"/>
      <c r="AG709" s="1"/>
      <c r="AH709" s="1"/>
      <c r="AI709" s="1" t="s">
        <v>2841</v>
      </c>
      <c r="AJ709" s="6">
        <v>590.16000000000008</v>
      </c>
      <c r="AK709" s="6">
        <v>567.95000000000005</v>
      </c>
      <c r="AL709" s="1"/>
    </row>
    <row r="710" spans="1:38" hidden="1" x14ac:dyDescent="0.25">
      <c r="A710" s="2">
        <v>906</v>
      </c>
      <c r="B710" s="1" t="s">
        <v>856</v>
      </c>
      <c r="C710" s="1" t="s">
        <v>860</v>
      </c>
      <c r="D710" s="1" t="s">
        <v>2062</v>
      </c>
      <c r="E710" s="1" t="s">
        <v>2063</v>
      </c>
      <c r="F710" s="3">
        <v>45524</v>
      </c>
      <c r="G710" s="3">
        <v>45215</v>
      </c>
      <c r="H710" s="3">
        <v>45580</v>
      </c>
      <c r="I710" s="1" t="s">
        <v>3133</v>
      </c>
      <c r="J710" s="1" t="s">
        <v>3138</v>
      </c>
      <c r="K710" s="1"/>
      <c r="L710" s="1" t="s">
        <v>2315</v>
      </c>
      <c r="M710" s="1" t="s">
        <v>3135</v>
      </c>
      <c r="N710" s="1" t="s">
        <v>3136</v>
      </c>
      <c r="O710" s="1" t="s">
        <v>3137</v>
      </c>
      <c r="P710" s="1" t="s">
        <v>2247</v>
      </c>
      <c r="Q710" s="1"/>
      <c r="R710" s="1"/>
      <c r="S710" s="1" t="s">
        <v>2072</v>
      </c>
      <c r="T710" s="1" t="s">
        <v>2073</v>
      </c>
      <c r="U710" s="4">
        <v>3500000</v>
      </c>
      <c r="V710" s="4">
        <v>3472</v>
      </c>
      <c r="W710" s="4">
        <v>35</v>
      </c>
      <c r="X710" s="4">
        <v>521</v>
      </c>
      <c r="Y710" s="4">
        <v>0</v>
      </c>
      <c r="Z710" s="5">
        <v>4028</v>
      </c>
      <c r="AA710" s="5">
        <v>0</v>
      </c>
      <c r="AB710" s="6">
        <v>0</v>
      </c>
      <c r="AC710" s="4">
        <v>4028</v>
      </c>
      <c r="AD710" s="4">
        <v>0</v>
      </c>
      <c r="AE710" s="4">
        <v>4028</v>
      </c>
      <c r="AF710" s="1"/>
      <c r="AG710" s="1"/>
      <c r="AH710" s="1"/>
      <c r="AI710" s="1" t="s">
        <v>2841</v>
      </c>
      <c r="AJ710" s="6">
        <v>856.37</v>
      </c>
      <c r="AK710" s="6">
        <v>839.72</v>
      </c>
      <c r="AL710" s="1"/>
    </row>
    <row r="711" spans="1:38" hidden="1" x14ac:dyDescent="0.25">
      <c r="A711" s="2">
        <v>907</v>
      </c>
      <c r="B711" s="1" t="s">
        <v>856</v>
      </c>
      <c r="C711" s="1" t="s">
        <v>861</v>
      </c>
      <c r="D711" s="1" t="s">
        <v>2062</v>
      </c>
      <c r="E711" s="1" t="s">
        <v>2063</v>
      </c>
      <c r="F711" s="3">
        <v>45555</v>
      </c>
      <c r="G711" s="3">
        <v>45215</v>
      </c>
      <c r="H711" s="3">
        <v>45580</v>
      </c>
      <c r="I711" s="1" t="s">
        <v>3133</v>
      </c>
      <c r="J711" s="1" t="s">
        <v>3138</v>
      </c>
      <c r="K711" s="1"/>
      <c r="L711" s="1" t="s">
        <v>2315</v>
      </c>
      <c r="M711" s="1" t="s">
        <v>3135</v>
      </c>
      <c r="N711" s="1" t="s">
        <v>3136</v>
      </c>
      <c r="O711" s="1" t="s">
        <v>3137</v>
      </c>
      <c r="P711" s="1" t="s">
        <v>2247</v>
      </c>
      <c r="Q711" s="1"/>
      <c r="R711" s="1"/>
      <c r="S711" s="1" t="s">
        <v>2072</v>
      </c>
      <c r="T711" s="1" t="s">
        <v>2073</v>
      </c>
      <c r="U711" s="4">
        <v>3500000</v>
      </c>
      <c r="V711" s="4">
        <v>2909</v>
      </c>
      <c r="W711" s="4">
        <v>29</v>
      </c>
      <c r="X711" s="4">
        <v>436</v>
      </c>
      <c r="Y711" s="4">
        <v>0</v>
      </c>
      <c r="Z711" s="5">
        <v>3374</v>
      </c>
      <c r="AA711" s="5">
        <v>0</v>
      </c>
      <c r="AB711" s="6">
        <v>0</v>
      </c>
      <c r="AC711" s="4">
        <v>3374</v>
      </c>
      <c r="AD711" s="4">
        <v>0</v>
      </c>
      <c r="AE711" s="4">
        <v>3374</v>
      </c>
      <c r="AF711" s="1"/>
      <c r="AG711" s="1"/>
      <c r="AH711" s="1"/>
      <c r="AI711" s="1" t="s">
        <v>2841</v>
      </c>
      <c r="AJ711" s="6">
        <v>713.86</v>
      </c>
      <c r="AK711" s="6">
        <v>703.71</v>
      </c>
      <c r="AL711" s="1"/>
    </row>
    <row r="712" spans="1:38" hidden="1" x14ac:dyDescent="0.25">
      <c r="A712" s="2">
        <v>908</v>
      </c>
      <c r="B712" s="1" t="s">
        <v>856</v>
      </c>
      <c r="C712" s="1" t="s">
        <v>862</v>
      </c>
      <c r="D712" s="1" t="s">
        <v>2062</v>
      </c>
      <c r="E712" s="1" t="s">
        <v>2063</v>
      </c>
      <c r="F712" s="3">
        <v>45655</v>
      </c>
      <c r="G712" s="3">
        <v>45215</v>
      </c>
      <c r="H712" s="3">
        <v>45580</v>
      </c>
      <c r="I712" s="1" t="s">
        <v>3133</v>
      </c>
      <c r="J712" s="1" t="s">
        <v>3138</v>
      </c>
      <c r="K712" s="1"/>
      <c r="L712" s="1" t="s">
        <v>2315</v>
      </c>
      <c r="M712" s="1" t="s">
        <v>3135</v>
      </c>
      <c r="N712" s="1" t="s">
        <v>3136</v>
      </c>
      <c r="O712" s="1" t="s">
        <v>3137</v>
      </c>
      <c r="P712" s="1" t="s">
        <v>2247</v>
      </c>
      <c r="Q712" s="1"/>
      <c r="R712" s="1"/>
      <c r="S712" s="1" t="s">
        <v>2072</v>
      </c>
      <c r="T712" s="1" t="s">
        <v>2073</v>
      </c>
      <c r="U712" s="4">
        <v>-1</v>
      </c>
      <c r="V712" s="4">
        <v>-78229</v>
      </c>
      <c r="W712" s="4">
        <v>-782</v>
      </c>
      <c r="X712" s="4">
        <v>0</v>
      </c>
      <c r="Y712" s="4">
        <v>0</v>
      </c>
      <c r="Z712" s="5">
        <v>-79011</v>
      </c>
      <c r="AA712" s="5">
        <v>0</v>
      </c>
      <c r="AB712" s="6">
        <v>0</v>
      </c>
      <c r="AC712" s="4">
        <v>-79011</v>
      </c>
      <c r="AD712" s="4">
        <v>0</v>
      </c>
      <c r="AE712" s="4">
        <v>-79011</v>
      </c>
      <c r="AF712" s="1"/>
      <c r="AG712" s="1"/>
      <c r="AH712" s="1"/>
      <c r="AI712" s="1" t="s">
        <v>2841</v>
      </c>
      <c r="AJ712" s="1"/>
      <c r="AK712" s="1"/>
      <c r="AL712" s="1"/>
    </row>
    <row r="713" spans="1:38" hidden="1" x14ac:dyDescent="0.25">
      <c r="A713" s="2">
        <v>917</v>
      </c>
      <c r="B713" s="1" t="s">
        <v>863</v>
      </c>
      <c r="C713" s="1" t="s">
        <v>864</v>
      </c>
      <c r="D713" s="1" t="s">
        <v>2062</v>
      </c>
      <c r="E713" s="1" t="s">
        <v>2063</v>
      </c>
      <c r="F713" s="3">
        <v>45230</v>
      </c>
      <c r="G713" s="3">
        <v>45223</v>
      </c>
      <c r="H713" s="3">
        <v>45588</v>
      </c>
      <c r="I713" s="1" t="s">
        <v>3139</v>
      </c>
      <c r="J713" s="1" t="s">
        <v>3140</v>
      </c>
      <c r="K713" s="1"/>
      <c r="L713" s="1" t="s">
        <v>2570</v>
      </c>
      <c r="M713" s="1" t="s">
        <v>3141</v>
      </c>
      <c r="N713" s="1" t="s">
        <v>3142</v>
      </c>
      <c r="O713" s="1" t="s">
        <v>3143</v>
      </c>
      <c r="P713" s="1" t="s">
        <v>2095</v>
      </c>
      <c r="Q713" s="1"/>
      <c r="R713" s="1"/>
      <c r="S713" s="1" t="s">
        <v>2072</v>
      </c>
      <c r="T713" s="1" t="s">
        <v>2073</v>
      </c>
      <c r="U713" s="4">
        <v>8000000</v>
      </c>
      <c r="V713" s="4">
        <v>135964</v>
      </c>
      <c r="W713" s="4">
        <v>1360</v>
      </c>
      <c r="X713" s="4">
        <v>17676</v>
      </c>
      <c r="Y713" s="4">
        <v>0</v>
      </c>
      <c r="Z713" s="5">
        <v>155000</v>
      </c>
      <c r="AA713" s="5">
        <v>0</v>
      </c>
      <c r="AB713" s="6">
        <v>0</v>
      </c>
      <c r="AC713" s="4">
        <v>155000</v>
      </c>
      <c r="AD713" s="4">
        <v>0</v>
      </c>
      <c r="AE713" s="4">
        <v>155000</v>
      </c>
      <c r="AF713" s="1"/>
      <c r="AG713" s="1"/>
      <c r="AH713" s="1"/>
      <c r="AI713" s="1" t="s">
        <v>2327</v>
      </c>
      <c r="AJ713" s="1"/>
      <c r="AK713" s="1"/>
      <c r="AL713" s="1"/>
    </row>
    <row r="714" spans="1:38" hidden="1" x14ac:dyDescent="0.25">
      <c r="A714" s="2">
        <v>918</v>
      </c>
      <c r="B714" s="1" t="s">
        <v>863</v>
      </c>
      <c r="C714" s="1" t="s">
        <v>865</v>
      </c>
      <c r="D714" s="1" t="s">
        <v>2062</v>
      </c>
      <c r="E714" s="1" t="s">
        <v>2063</v>
      </c>
      <c r="F714" s="3">
        <v>45533</v>
      </c>
      <c r="G714" s="3">
        <v>45223</v>
      </c>
      <c r="H714" s="3">
        <v>45588</v>
      </c>
      <c r="I714" s="1" t="s">
        <v>3139</v>
      </c>
      <c r="J714" s="1" t="s">
        <v>3140</v>
      </c>
      <c r="K714" s="1"/>
      <c r="L714" s="1" t="s">
        <v>2570</v>
      </c>
      <c r="M714" s="1" t="s">
        <v>3141</v>
      </c>
      <c r="N714" s="1" t="s">
        <v>3142</v>
      </c>
      <c r="O714" s="1" t="s">
        <v>3143</v>
      </c>
      <c r="P714" s="1" t="s">
        <v>2095</v>
      </c>
      <c r="Q714" s="1"/>
      <c r="R714" s="1"/>
      <c r="S714" s="1" t="s">
        <v>2072</v>
      </c>
      <c r="T714" s="1" t="s">
        <v>2073</v>
      </c>
      <c r="U714" s="4">
        <v>8000000</v>
      </c>
      <c r="V714" s="4">
        <v>1042</v>
      </c>
      <c r="W714" s="4">
        <v>10</v>
      </c>
      <c r="X714" s="4">
        <v>156</v>
      </c>
      <c r="Y714" s="4">
        <v>0</v>
      </c>
      <c r="Z714" s="5">
        <v>1208</v>
      </c>
      <c r="AA714" s="5">
        <v>0</v>
      </c>
      <c r="AB714" s="6">
        <v>0</v>
      </c>
      <c r="AC714" s="4">
        <v>1208</v>
      </c>
      <c r="AD714" s="4">
        <v>0</v>
      </c>
      <c r="AE714" s="4">
        <v>1208</v>
      </c>
      <c r="AF714" s="1"/>
      <c r="AG714" s="1"/>
      <c r="AH714" s="1"/>
      <c r="AI714" s="1" t="s">
        <v>2327</v>
      </c>
      <c r="AJ714" s="6">
        <v>146.52000000000001</v>
      </c>
      <c r="AK714" s="6">
        <v>110.26</v>
      </c>
      <c r="AL714" s="1"/>
    </row>
    <row r="715" spans="1:38" hidden="1" x14ac:dyDescent="0.25">
      <c r="A715" s="2">
        <v>919</v>
      </c>
      <c r="B715" s="1" t="s">
        <v>863</v>
      </c>
      <c r="C715" s="1" t="s">
        <v>866</v>
      </c>
      <c r="D715" s="1" t="s">
        <v>2062</v>
      </c>
      <c r="E715" s="1" t="s">
        <v>2063</v>
      </c>
      <c r="F715" s="3">
        <v>45563</v>
      </c>
      <c r="G715" s="3">
        <v>45223</v>
      </c>
      <c r="H715" s="3">
        <v>45588</v>
      </c>
      <c r="I715" s="1" t="s">
        <v>3139</v>
      </c>
      <c r="J715" s="1" t="s">
        <v>3140</v>
      </c>
      <c r="K715" s="1"/>
      <c r="L715" s="1" t="s">
        <v>2570</v>
      </c>
      <c r="M715" s="1" t="s">
        <v>3141</v>
      </c>
      <c r="N715" s="1" t="s">
        <v>3142</v>
      </c>
      <c r="O715" s="1" t="s">
        <v>3143</v>
      </c>
      <c r="P715" s="1" t="s">
        <v>2095</v>
      </c>
      <c r="Q715" s="1"/>
      <c r="R715" s="1"/>
      <c r="S715" s="1" t="s">
        <v>2072</v>
      </c>
      <c r="T715" s="1" t="s">
        <v>2073</v>
      </c>
      <c r="U715" s="4">
        <v>8000000</v>
      </c>
      <c r="V715" s="4">
        <v>343</v>
      </c>
      <c r="W715" s="4">
        <v>3</v>
      </c>
      <c r="X715" s="4">
        <v>51</v>
      </c>
      <c r="Y715" s="4">
        <v>0</v>
      </c>
      <c r="Z715" s="5">
        <v>397</v>
      </c>
      <c r="AA715" s="5">
        <v>0</v>
      </c>
      <c r="AB715" s="6">
        <v>0</v>
      </c>
      <c r="AC715" s="4">
        <v>397</v>
      </c>
      <c r="AD715" s="4">
        <v>0</v>
      </c>
      <c r="AE715" s="4">
        <v>397</v>
      </c>
      <c r="AF715" s="1"/>
      <c r="AG715" s="1"/>
      <c r="AH715" s="1"/>
      <c r="AI715" s="1" t="s">
        <v>2327</v>
      </c>
      <c r="AJ715" s="6">
        <v>36.18</v>
      </c>
      <c r="AK715" s="6">
        <v>36.18</v>
      </c>
      <c r="AL715" s="1"/>
    </row>
    <row r="716" spans="1:38" hidden="1" x14ac:dyDescent="0.25">
      <c r="A716" s="2">
        <v>920</v>
      </c>
      <c r="B716" s="1" t="s">
        <v>863</v>
      </c>
      <c r="C716" s="1" t="s">
        <v>867</v>
      </c>
      <c r="D716" s="1" t="s">
        <v>2062</v>
      </c>
      <c r="E716" s="1" t="s">
        <v>2063</v>
      </c>
      <c r="F716" s="3">
        <v>45655</v>
      </c>
      <c r="G716" s="3">
        <v>45223</v>
      </c>
      <c r="H716" s="3">
        <v>45588</v>
      </c>
      <c r="I716" s="1" t="s">
        <v>3139</v>
      </c>
      <c r="J716" s="1" t="s">
        <v>3140</v>
      </c>
      <c r="K716" s="1"/>
      <c r="L716" s="1" t="s">
        <v>2570</v>
      </c>
      <c r="M716" s="1" t="s">
        <v>3141</v>
      </c>
      <c r="N716" s="1" t="s">
        <v>3142</v>
      </c>
      <c r="O716" s="1" t="s">
        <v>3143</v>
      </c>
      <c r="P716" s="1" t="s">
        <v>2095</v>
      </c>
      <c r="Q716" s="1"/>
      <c r="R716" s="1"/>
      <c r="S716" s="1" t="s">
        <v>2072</v>
      </c>
      <c r="T716" s="1" t="s">
        <v>2073</v>
      </c>
      <c r="U716" s="4">
        <v>-1</v>
      </c>
      <c r="V716" s="4">
        <v>-155054</v>
      </c>
      <c r="W716" s="4">
        <v>-1551</v>
      </c>
      <c r="X716" s="4">
        <v>0</v>
      </c>
      <c r="Y716" s="4">
        <v>0</v>
      </c>
      <c r="Z716" s="5">
        <v>-156605</v>
      </c>
      <c r="AA716" s="5">
        <v>0</v>
      </c>
      <c r="AB716" s="6">
        <v>0</v>
      </c>
      <c r="AC716" s="4">
        <v>-156605</v>
      </c>
      <c r="AD716" s="4">
        <v>0</v>
      </c>
      <c r="AE716" s="4">
        <v>-156605</v>
      </c>
      <c r="AF716" s="1"/>
      <c r="AG716" s="1"/>
      <c r="AH716" s="1"/>
      <c r="AI716" s="1" t="s">
        <v>2327</v>
      </c>
      <c r="AJ716" s="1"/>
      <c r="AK716" s="1"/>
      <c r="AL716" s="1"/>
    </row>
    <row r="717" spans="1:38" hidden="1" x14ac:dyDescent="0.25">
      <c r="A717" s="2">
        <v>921</v>
      </c>
      <c r="B717" s="1" t="s">
        <v>868</v>
      </c>
      <c r="C717" s="1" t="s">
        <v>869</v>
      </c>
      <c r="D717" s="1" t="s">
        <v>2062</v>
      </c>
      <c r="E717" s="1" t="s">
        <v>2063</v>
      </c>
      <c r="F717" s="3">
        <v>45230</v>
      </c>
      <c r="G717" s="3">
        <v>45220</v>
      </c>
      <c r="H717" s="3">
        <v>45585</v>
      </c>
      <c r="I717" s="1" t="s">
        <v>3144</v>
      </c>
      <c r="J717" s="1" t="s">
        <v>3145</v>
      </c>
      <c r="K717" s="1"/>
      <c r="L717" s="1" t="s">
        <v>2523</v>
      </c>
      <c r="M717" s="1" t="s">
        <v>3146</v>
      </c>
      <c r="N717" s="1" t="s">
        <v>3147</v>
      </c>
      <c r="O717" s="1" t="s">
        <v>3148</v>
      </c>
      <c r="P717" s="1" t="s">
        <v>2081</v>
      </c>
      <c r="Q717" s="1"/>
      <c r="R717" s="1"/>
      <c r="S717" s="1" t="s">
        <v>2072</v>
      </c>
      <c r="T717" s="1" t="s">
        <v>2073</v>
      </c>
      <c r="U717" s="4">
        <v>1200000</v>
      </c>
      <c r="V717" s="4">
        <v>16666</v>
      </c>
      <c r="W717" s="4">
        <v>167</v>
      </c>
      <c r="X717" s="4">
        <v>2167</v>
      </c>
      <c r="Y717" s="4">
        <v>0</v>
      </c>
      <c r="Z717" s="5">
        <v>19000</v>
      </c>
      <c r="AA717" s="5">
        <v>0</v>
      </c>
      <c r="AB717" s="6">
        <v>0</v>
      </c>
      <c r="AC717" s="4">
        <v>19000</v>
      </c>
      <c r="AD717" s="4">
        <v>0</v>
      </c>
      <c r="AE717" s="4">
        <v>19000</v>
      </c>
      <c r="AF717" s="1"/>
      <c r="AG717" s="1"/>
      <c r="AH717" s="1"/>
      <c r="AI717" s="1" t="s">
        <v>2327</v>
      </c>
      <c r="AJ717" s="1"/>
      <c r="AK717" s="1"/>
      <c r="AL717" s="1"/>
    </row>
    <row r="718" spans="1:38" hidden="1" x14ac:dyDescent="0.25">
      <c r="A718" s="2">
        <v>922</v>
      </c>
      <c r="B718" s="1" t="s">
        <v>868</v>
      </c>
      <c r="C718" s="1" t="s">
        <v>870</v>
      </c>
      <c r="D718" s="1" t="s">
        <v>2062</v>
      </c>
      <c r="E718" s="1" t="s">
        <v>2063</v>
      </c>
      <c r="F718" s="3">
        <v>45596</v>
      </c>
      <c r="G718" s="3">
        <v>45220</v>
      </c>
      <c r="H718" s="3">
        <v>45585</v>
      </c>
      <c r="I718" s="1" t="s">
        <v>3144</v>
      </c>
      <c r="J718" s="1" t="s">
        <v>3145</v>
      </c>
      <c r="K718" s="1"/>
      <c r="L718" s="1" t="s">
        <v>2523</v>
      </c>
      <c r="M718" s="1" t="s">
        <v>3146</v>
      </c>
      <c r="N718" s="1" t="s">
        <v>3147</v>
      </c>
      <c r="O718" s="1" t="s">
        <v>3148</v>
      </c>
      <c r="P718" s="1" t="s">
        <v>2081</v>
      </c>
      <c r="Q718" s="1"/>
      <c r="R718" s="1"/>
      <c r="S718" s="1" t="s">
        <v>2072</v>
      </c>
      <c r="T718" s="1" t="s">
        <v>2073</v>
      </c>
      <c r="U718" s="4">
        <v>-1</v>
      </c>
      <c r="V718" s="4">
        <v>-18812</v>
      </c>
      <c r="W718" s="4">
        <v>-188</v>
      </c>
      <c r="X718" s="4">
        <v>0</v>
      </c>
      <c r="Y718" s="4">
        <v>0</v>
      </c>
      <c r="Z718" s="5">
        <v>-19000</v>
      </c>
      <c r="AA718" s="5">
        <v>0</v>
      </c>
      <c r="AB718" s="6">
        <v>0</v>
      </c>
      <c r="AC718" s="4">
        <v>-19000</v>
      </c>
      <c r="AD718" s="4">
        <v>0</v>
      </c>
      <c r="AE718" s="4">
        <v>-19000</v>
      </c>
      <c r="AF718" s="1"/>
      <c r="AG718" s="1"/>
      <c r="AH718" s="1"/>
      <c r="AI718" s="1" t="s">
        <v>2327</v>
      </c>
      <c r="AJ718" s="1"/>
      <c r="AK718" s="1"/>
      <c r="AL718" s="1"/>
    </row>
    <row r="719" spans="1:38" x14ac:dyDescent="0.25">
      <c r="A719" s="2">
        <v>923</v>
      </c>
      <c r="B719" s="1" t="s">
        <v>871</v>
      </c>
      <c r="C719" s="1"/>
      <c r="D719" s="1" t="s">
        <v>2062</v>
      </c>
      <c r="E719" s="1" t="s">
        <v>2063</v>
      </c>
      <c r="F719" s="3">
        <v>45227</v>
      </c>
      <c r="G719" s="3">
        <v>45224</v>
      </c>
      <c r="H719" s="3">
        <v>45589</v>
      </c>
      <c r="I719" s="1" t="s">
        <v>3149</v>
      </c>
      <c r="J719" s="1" t="s">
        <v>3150</v>
      </c>
      <c r="K719" s="1"/>
      <c r="L719" s="1" t="s">
        <v>2430</v>
      </c>
      <c r="M719" s="1" t="s">
        <v>3151</v>
      </c>
      <c r="N719" s="1" t="s">
        <v>3152</v>
      </c>
      <c r="O719" s="1" t="s">
        <v>3153</v>
      </c>
      <c r="P719" s="1" t="s">
        <v>2165</v>
      </c>
      <c r="Q719" s="1"/>
      <c r="R719" s="1"/>
      <c r="S719" s="1" t="s">
        <v>2072</v>
      </c>
      <c r="T719" s="1" t="s">
        <v>2073</v>
      </c>
      <c r="U719" s="4">
        <v>2500000</v>
      </c>
      <c r="V719" s="4">
        <v>4343</v>
      </c>
      <c r="W719" s="4">
        <v>43</v>
      </c>
      <c r="X719" s="4">
        <v>564</v>
      </c>
      <c r="Y719" s="4">
        <v>50</v>
      </c>
      <c r="Z719" s="5">
        <v>5000</v>
      </c>
      <c r="AA719" s="5">
        <v>5014</v>
      </c>
      <c r="AB719" s="6">
        <v>0</v>
      </c>
      <c r="AC719" s="4">
        <v>-14</v>
      </c>
      <c r="AD719" s="4">
        <v>0</v>
      </c>
      <c r="AE719" s="4">
        <v>-14</v>
      </c>
      <c r="AF719" s="1"/>
      <c r="AG719" s="1"/>
      <c r="AH719" s="1"/>
      <c r="AI719" s="1" t="s">
        <v>2841</v>
      </c>
      <c r="AJ719" s="1"/>
      <c r="AK719" s="1"/>
      <c r="AL719" s="1" t="s">
        <v>3154</v>
      </c>
    </row>
    <row r="720" spans="1:38" hidden="1" x14ac:dyDescent="0.25">
      <c r="A720" s="2">
        <v>924</v>
      </c>
      <c r="B720" s="1" t="s">
        <v>871</v>
      </c>
      <c r="C720" s="1" t="s">
        <v>872</v>
      </c>
      <c r="D720" s="1" t="s">
        <v>2062</v>
      </c>
      <c r="E720" s="1" t="s">
        <v>2063</v>
      </c>
      <c r="F720" s="3">
        <v>45407</v>
      </c>
      <c r="G720" s="3">
        <v>45224</v>
      </c>
      <c r="H720" s="3">
        <v>45589</v>
      </c>
      <c r="I720" s="1" t="s">
        <v>3149</v>
      </c>
      <c r="J720" s="1" t="s">
        <v>3150</v>
      </c>
      <c r="K720" s="1"/>
      <c r="L720" s="1" t="s">
        <v>2430</v>
      </c>
      <c r="M720" s="1" t="s">
        <v>3151</v>
      </c>
      <c r="N720" s="1" t="s">
        <v>3152</v>
      </c>
      <c r="O720" s="1" t="s">
        <v>3153</v>
      </c>
      <c r="P720" s="1" t="s">
        <v>2165</v>
      </c>
      <c r="Q720" s="1"/>
      <c r="R720" s="1"/>
      <c r="S720" s="1" t="s">
        <v>2072</v>
      </c>
      <c r="T720" s="1" t="s">
        <v>2073</v>
      </c>
      <c r="U720" s="4">
        <v>2500000</v>
      </c>
      <c r="V720" s="4">
        <v>1910</v>
      </c>
      <c r="W720" s="4">
        <v>19</v>
      </c>
      <c r="X720" s="4">
        <v>249</v>
      </c>
      <c r="Y720" s="4">
        <v>0</v>
      </c>
      <c r="Z720" s="5">
        <v>2178</v>
      </c>
      <c r="AA720" s="5">
        <v>2164</v>
      </c>
      <c r="AB720" s="6">
        <v>0</v>
      </c>
      <c r="AC720" s="4">
        <v>14</v>
      </c>
      <c r="AD720" s="4">
        <v>0</v>
      </c>
      <c r="AE720" s="4">
        <v>14</v>
      </c>
      <c r="AF720" s="1"/>
      <c r="AG720" s="1"/>
      <c r="AH720" s="1"/>
      <c r="AI720" s="1" t="s">
        <v>2841</v>
      </c>
      <c r="AJ720" s="6">
        <v>788.88000000000102</v>
      </c>
      <c r="AK720" s="6">
        <v>635.52</v>
      </c>
      <c r="AL720" s="1"/>
    </row>
    <row r="721" spans="1:38" hidden="1" x14ac:dyDescent="0.25">
      <c r="A721" s="2">
        <v>926</v>
      </c>
      <c r="B721" s="1" t="s">
        <v>873</v>
      </c>
      <c r="C721" s="1" t="s">
        <v>874</v>
      </c>
      <c r="D721" s="1" t="s">
        <v>2062</v>
      </c>
      <c r="E721" s="1" t="s">
        <v>2063</v>
      </c>
      <c r="F721" s="3">
        <v>45230</v>
      </c>
      <c r="G721" s="3">
        <v>45227</v>
      </c>
      <c r="H721" s="3">
        <v>45592</v>
      </c>
      <c r="I721" s="1" t="s">
        <v>3155</v>
      </c>
      <c r="J721" s="1" t="s">
        <v>3156</v>
      </c>
      <c r="K721" s="1"/>
      <c r="L721" s="1" t="s">
        <v>2315</v>
      </c>
      <c r="M721" s="1" t="s">
        <v>3157</v>
      </c>
      <c r="N721" s="1" t="s">
        <v>3158</v>
      </c>
      <c r="O721" s="1" t="s">
        <v>3159</v>
      </c>
      <c r="P721" s="1" t="s">
        <v>2165</v>
      </c>
      <c r="Q721" s="1"/>
      <c r="R721" s="1"/>
      <c r="S721" s="1" t="s">
        <v>2072</v>
      </c>
      <c r="T721" s="1" t="s">
        <v>2073</v>
      </c>
      <c r="U721" s="4">
        <v>3000000</v>
      </c>
      <c r="V721" s="4">
        <v>48245</v>
      </c>
      <c r="W721" s="4">
        <v>483</v>
      </c>
      <c r="X721" s="4">
        <v>6272</v>
      </c>
      <c r="Y721" s="4">
        <v>0</v>
      </c>
      <c r="Z721" s="5">
        <v>55000</v>
      </c>
      <c r="AA721" s="5">
        <v>0</v>
      </c>
      <c r="AB721" s="6">
        <v>0</v>
      </c>
      <c r="AC721" s="4">
        <v>55000</v>
      </c>
      <c r="AD721" s="4">
        <v>0</v>
      </c>
      <c r="AE721" s="4">
        <v>55000</v>
      </c>
      <c r="AF721" s="1"/>
      <c r="AG721" s="1"/>
      <c r="AH721" s="1"/>
      <c r="AI721" s="1" t="s">
        <v>2921</v>
      </c>
      <c r="AJ721" s="1"/>
      <c r="AK721" s="1"/>
      <c r="AL721" s="1"/>
    </row>
    <row r="722" spans="1:38" hidden="1" x14ac:dyDescent="0.25">
      <c r="A722" s="2">
        <v>927</v>
      </c>
      <c r="B722" s="1" t="s">
        <v>873</v>
      </c>
      <c r="C722" s="1" t="s">
        <v>875</v>
      </c>
      <c r="D722" s="1" t="s">
        <v>2062</v>
      </c>
      <c r="E722" s="1" t="s">
        <v>2063</v>
      </c>
      <c r="F722" s="3">
        <v>45411</v>
      </c>
      <c r="G722" s="3">
        <v>45227</v>
      </c>
      <c r="H722" s="3">
        <v>45592</v>
      </c>
      <c r="I722" s="1" t="s">
        <v>3155</v>
      </c>
      <c r="J722" s="1" t="s">
        <v>3156</v>
      </c>
      <c r="K722" s="1"/>
      <c r="L722" s="1" t="s">
        <v>2315</v>
      </c>
      <c r="M722" s="1" t="s">
        <v>3157</v>
      </c>
      <c r="N722" s="1" t="s">
        <v>3158</v>
      </c>
      <c r="O722" s="1" t="s">
        <v>3159</v>
      </c>
      <c r="P722" s="1" t="s">
        <v>2165</v>
      </c>
      <c r="Q722" s="1"/>
      <c r="R722" s="1"/>
      <c r="S722" s="1" t="s">
        <v>2072</v>
      </c>
      <c r="T722" s="1" t="s">
        <v>2073</v>
      </c>
      <c r="U722" s="4">
        <v>3000000</v>
      </c>
      <c r="V722" s="4">
        <v>3676</v>
      </c>
      <c r="W722" s="4">
        <v>36</v>
      </c>
      <c r="X722" s="4">
        <v>477</v>
      </c>
      <c r="Y722" s="4">
        <v>0</v>
      </c>
      <c r="Z722" s="5">
        <v>4189</v>
      </c>
      <c r="AA722" s="5">
        <v>0</v>
      </c>
      <c r="AB722" s="6">
        <v>0</v>
      </c>
      <c r="AC722" s="4">
        <v>4189</v>
      </c>
      <c r="AD722" s="4">
        <v>0</v>
      </c>
      <c r="AE722" s="4">
        <v>4189</v>
      </c>
      <c r="AF722" s="1"/>
      <c r="AG722" s="1"/>
      <c r="AH722" s="1"/>
      <c r="AI722" s="1" t="s">
        <v>2921</v>
      </c>
      <c r="AJ722" s="6">
        <v>2109.8700000000117</v>
      </c>
      <c r="AK722" s="6">
        <v>1018.7700000000001</v>
      </c>
      <c r="AL722" s="1"/>
    </row>
    <row r="723" spans="1:38" hidden="1" x14ac:dyDescent="0.25">
      <c r="A723" s="2">
        <v>928</v>
      </c>
      <c r="B723" s="1" t="s">
        <v>873</v>
      </c>
      <c r="C723" s="1" t="s">
        <v>876</v>
      </c>
      <c r="D723" s="1" t="s">
        <v>2062</v>
      </c>
      <c r="E723" s="1" t="s">
        <v>2063</v>
      </c>
      <c r="F723" s="3">
        <v>45441</v>
      </c>
      <c r="G723" s="3">
        <v>45227</v>
      </c>
      <c r="H723" s="3">
        <v>45592</v>
      </c>
      <c r="I723" s="1" t="s">
        <v>3155</v>
      </c>
      <c r="J723" s="1" t="s">
        <v>3156</v>
      </c>
      <c r="K723" s="1"/>
      <c r="L723" s="1" t="s">
        <v>2315</v>
      </c>
      <c r="M723" s="1" t="s">
        <v>3157</v>
      </c>
      <c r="N723" s="1" t="s">
        <v>3158</v>
      </c>
      <c r="O723" s="1" t="s">
        <v>3159</v>
      </c>
      <c r="P723" s="1" t="s">
        <v>2165</v>
      </c>
      <c r="Q723" s="1"/>
      <c r="R723" s="1"/>
      <c r="S723" s="1" t="s">
        <v>2072</v>
      </c>
      <c r="T723" s="1" t="s">
        <v>2073</v>
      </c>
      <c r="U723" s="4">
        <v>3000000</v>
      </c>
      <c r="V723" s="4">
        <v>4673</v>
      </c>
      <c r="W723" s="4">
        <v>47</v>
      </c>
      <c r="X723" s="4">
        <v>608</v>
      </c>
      <c r="Y723" s="4">
        <v>0</v>
      </c>
      <c r="Z723" s="5">
        <v>5328</v>
      </c>
      <c r="AA723" s="5">
        <v>0</v>
      </c>
      <c r="AB723" s="6">
        <v>0</v>
      </c>
      <c r="AC723" s="4">
        <v>5328</v>
      </c>
      <c r="AD723" s="4">
        <v>0</v>
      </c>
      <c r="AE723" s="4">
        <v>5328</v>
      </c>
      <c r="AF723" s="1"/>
      <c r="AG723" s="1"/>
      <c r="AH723" s="1"/>
      <c r="AI723" s="1" t="s">
        <v>2921</v>
      </c>
      <c r="AJ723" s="6">
        <v>3166.7600000000211</v>
      </c>
      <c r="AK723" s="6">
        <v>1295.97</v>
      </c>
      <c r="AL723" s="1"/>
    </row>
    <row r="724" spans="1:38" hidden="1" x14ac:dyDescent="0.25">
      <c r="A724" s="2">
        <v>929</v>
      </c>
      <c r="B724" s="1" t="s">
        <v>873</v>
      </c>
      <c r="C724" s="1" t="s">
        <v>877</v>
      </c>
      <c r="D724" s="1" t="s">
        <v>2062</v>
      </c>
      <c r="E724" s="1" t="s">
        <v>2063</v>
      </c>
      <c r="F724" s="3">
        <v>45471</v>
      </c>
      <c r="G724" s="3">
        <v>45227</v>
      </c>
      <c r="H724" s="3">
        <v>45592</v>
      </c>
      <c r="I724" s="1" t="s">
        <v>3155</v>
      </c>
      <c r="J724" s="1" t="s">
        <v>3156</v>
      </c>
      <c r="K724" s="1"/>
      <c r="L724" s="1" t="s">
        <v>2315</v>
      </c>
      <c r="M724" s="1" t="s">
        <v>3157</v>
      </c>
      <c r="N724" s="1" t="s">
        <v>3158</v>
      </c>
      <c r="O724" s="1" t="s">
        <v>3159</v>
      </c>
      <c r="P724" s="1" t="s">
        <v>2165</v>
      </c>
      <c r="Q724" s="1"/>
      <c r="R724" s="1"/>
      <c r="S724" s="1" t="s">
        <v>2072</v>
      </c>
      <c r="T724" s="1" t="s">
        <v>2073</v>
      </c>
      <c r="U724" s="4">
        <v>3000000</v>
      </c>
      <c r="V724" s="4">
        <v>4766</v>
      </c>
      <c r="W724" s="4">
        <v>48</v>
      </c>
      <c r="X724" s="4">
        <v>619</v>
      </c>
      <c r="Y724" s="4">
        <v>0</v>
      </c>
      <c r="Z724" s="5">
        <v>5433</v>
      </c>
      <c r="AA724" s="5">
        <v>0</v>
      </c>
      <c r="AB724" s="6">
        <v>0</v>
      </c>
      <c r="AC724" s="4">
        <v>5433</v>
      </c>
      <c r="AD724" s="4">
        <v>0</v>
      </c>
      <c r="AE724" s="4">
        <v>5433</v>
      </c>
      <c r="AF724" s="1"/>
      <c r="AG724" s="1"/>
      <c r="AH724" s="1"/>
      <c r="AI724" s="1" t="s">
        <v>2921</v>
      </c>
      <c r="AJ724" s="6">
        <v>2735.5899999999879</v>
      </c>
      <c r="AK724" s="6">
        <v>1321.75</v>
      </c>
      <c r="AL724" s="1"/>
    </row>
    <row r="725" spans="1:38" hidden="1" x14ac:dyDescent="0.25">
      <c r="A725" s="2">
        <v>930</v>
      </c>
      <c r="B725" s="1" t="s">
        <v>873</v>
      </c>
      <c r="C725" s="1" t="s">
        <v>878</v>
      </c>
      <c r="D725" s="1" t="s">
        <v>2062</v>
      </c>
      <c r="E725" s="1" t="s">
        <v>2063</v>
      </c>
      <c r="F725" s="3">
        <v>45503</v>
      </c>
      <c r="G725" s="3">
        <v>45227</v>
      </c>
      <c r="H725" s="3">
        <v>45592</v>
      </c>
      <c r="I725" s="1" t="s">
        <v>3155</v>
      </c>
      <c r="J725" s="1" t="s">
        <v>3156</v>
      </c>
      <c r="K725" s="1"/>
      <c r="L725" s="1" t="s">
        <v>2315</v>
      </c>
      <c r="M725" s="1" t="s">
        <v>3157</v>
      </c>
      <c r="N725" s="1" t="s">
        <v>3158</v>
      </c>
      <c r="O725" s="1" t="s">
        <v>3159</v>
      </c>
      <c r="P725" s="1" t="s">
        <v>2165</v>
      </c>
      <c r="Q725" s="1"/>
      <c r="R725" s="1"/>
      <c r="S725" s="1" t="s">
        <v>2072</v>
      </c>
      <c r="T725" s="1" t="s">
        <v>2073</v>
      </c>
      <c r="U725" s="4">
        <v>3000000</v>
      </c>
      <c r="V725" s="4">
        <v>4560</v>
      </c>
      <c r="W725" s="4">
        <v>46</v>
      </c>
      <c r="X725" s="4">
        <v>684</v>
      </c>
      <c r="Y725" s="4">
        <v>0</v>
      </c>
      <c r="Z725" s="5">
        <v>5290</v>
      </c>
      <c r="AA725" s="5">
        <v>0</v>
      </c>
      <c r="AB725" s="6">
        <v>0</v>
      </c>
      <c r="AC725" s="4">
        <v>5290</v>
      </c>
      <c r="AD725" s="4">
        <v>0</v>
      </c>
      <c r="AE725" s="4">
        <v>5290</v>
      </c>
      <c r="AF725" s="1"/>
      <c r="AG725" s="1"/>
      <c r="AH725" s="1"/>
      <c r="AI725" s="1" t="s">
        <v>2921</v>
      </c>
      <c r="AJ725" s="6">
        <v>3044.3500000000035</v>
      </c>
      <c r="AK725" s="6">
        <v>1286.67</v>
      </c>
      <c r="AL725" s="1"/>
    </row>
    <row r="726" spans="1:38" hidden="1" x14ac:dyDescent="0.25">
      <c r="A726" s="2">
        <v>931</v>
      </c>
      <c r="B726" s="1" t="s">
        <v>873</v>
      </c>
      <c r="C726" s="1" t="s">
        <v>879</v>
      </c>
      <c r="D726" s="1" t="s">
        <v>2062</v>
      </c>
      <c r="E726" s="1" t="s">
        <v>2063</v>
      </c>
      <c r="F726" s="3">
        <v>45535</v>
      </c>
      <c r="G726" s="3">
        <v>45227</v>
      </c>
      <c r="H726" s="3">
        <v>45592</v>
      </c>
      <c r="I726" s="1" t="s">
        <v>3155</v>
      </c>
      <c r="J726" s="1" t="s">
        <v>3156</v>
      </c>
      <c r="K726" s="1"/>
      <c r="L726" s="1" t="s">
        <v>2315</v>
      </c>
      <c r="M726" s="1" t="s">
        <v>3157</v>
      </c>
      <c r="N726" s="1" t="s">
        <v>3158</v>
      </c>
      <c r="O726" s="1" t="s">
        <v>3159</v>
      </c>
      <c r="P726" s="1" t="s">
        <v>2165</v>
      </c>
      <c r="Q726" s="1"/>
      <c r="R726" s="1"/>
      <c r="S726" s="1" t="s">
        <v>2072</v>
      </c>
      <c r="T726" s="1" t="s">
        <v>2073</v>
      </c>
      <c r="U726" s="4">
        <v>3000000</v>
      </c>
      <c r="V726" s="4">
        <v>4686</v>
      </c>
      <c r="W726" s="4">
        <v>47</v>
      </c>
      <c r="X726" s="4">
        <v>703</v>
      </c>
      <c r="Y726" s="4">
        <v>0</v>
      </c>
      <c r="Z726" s="5">
        <v>5436</v>
      </c>
      <c r="AA726" s="5">
        <v>0</v>
      </c>
      <c r="AB726" s="6">
        <v>0</v>
      </c>
      <c r="AC726" s="4">
        <v>5436</v>
      </c>
      <c r="AD726" s="4">
        <v>0</v>
      </c>
      <c r="AE726" s="4">
        <v>5436</v>
      </c>
      <c r="AF726" s="1"/>
      <c r="AG726" s="1"/>
      <c r="AH726" s="1"/>
      <c r="AI726" s="1" t="s">
        <v>2921</v>
      </c>
      <c r="AJ726" s="6">
        <v>4483.4100000000662</v>
      </c>
      <c r="AK726" s="6">
        <v>1322.12</v>
      </c>
      <c r="AL726" s="1"/>
    </row>
    <row r="727" spans="1:38" hidden="1" x14ac:dyDescent="0.25">
      <c r="A727" s="2">
        <v>932</v>
      </c>
      <c r="B727" s="1" t="s">
        <v>873</v>
      </c>
      <c r="C727" s="1" t="s">
        <v>880</v>
      </c>
      <c r="D727" s="1" t="s">
        <v>2062</v>
      </c>
      <c r="E727" s="1" t="s">
        <v>2063</v>
      </c>
      <c r="F727" s="3">
        <v>45570</v>
      </c>
      <c r="G727" s="3">
        <v>45227</v>
      </c>
      <c r="H727" s="3">
        <v>45592</v>
      </c>
      <c r="I727" s="1" t="s">
        <v>3155</v>
      </c>
      <c r="J727" s="1" t="s">
        <v>3156</v>
      </c>
      <c r="K727" s="1"/>
      <c r="L727" s="1" t="s">
        <v>2315</v>
      </c>
      <c r="M727" s="1" t="s">
        <v>3157</v>
      </c>
      <c r="N727" s="1" t="s">
        <v>3158</v>
      </c>
      <c r="O727" s="1" t="s">
        <v>3159</v>
      </c>
      <c r="P727" s="1" t="s">
        <v>2165</v>
      </c>
      <c r="Q727" s="1"/>
      <c r="R727" s="1"/>
      <c r="S727" s="1" t="s">
        <v>2072</v>
      </c>
      <c r="T727" s="1" t="s">
        <v>2073</v>
      </c>
      <c r="U727" s="4">
        <v>3000000</v>
      </c>
      <c r="V727" s="4">
        <v>4744</v>
      </c>
      <c r="W727" s="4">
        <v>47</v>
      </c>
      <c r="X727" s="4">
        <v>712</v>
      </c>
      <c r="Y727" s="4">
        <v>0</v>
      </c>
      <c r="Z727" s="5">
        <v>5503</v>
      </c>
      <c r="AA727" s="5">
        <v>0</v>
      </c>
      <c r="AB727" s="6">
        <v>0</v>
      </c>
      <c r="AC727" s="4">
        <v>5503</v>
      </c>
      <c r="AD727" s="4">
        <v>0</v>
      </c>
      <c r="AE727" s="4">
        <v>5503</v>
      </c>
      <c r="AF727" s="1"/>
      <c r="AG727" s="1"/>
      <c r="AH727" s="1"/>
      <c r="AI727" s="1" t="s">
        <v>2921</v>
      </c>
      <c r="AJ727" s="6">
        <v>3787.9400000000223</v>
      </c>
      <c r="AK727" s="6">
        <v>1338.47</v>
      </c>
      <c r="AL727" s="1"/>
    </row>
    <row r="728" spans="1:38" hidden="1" x14ac:dyDescent="0.25">
      <c r="A728" s="2">
        <v>933</v>
      </c>
      <c r="B728" s="1" t="s">
        <v>873</v>
      </c>
      <c r="C728" s="1" t="s">
        <v>881</v>
      </c>
      <c r="D728" s="1" t="s">
        <v>2062</v>
      </c>
      <c r="E728" s="1" t="s">
        <v>2063</v>
      </c>
      <c r="F728" s="3">
        <v>45655</v>
      </c>
      <c r="G728" s="3">
        <v>45227</v>
      </c>
      <c r="H728" s="3">
        <v>45592</v>
      </c>
      <c r="I728" s="1" t="s">
        <v>3155</v>
      </c>
      <c r="J728" s="1" t="s">
        <v>3156</v>
      </c>
      <c r="K728" s="1"/>
      <c r="L728" s="1" t="s">
        <v>2315</v>
      </c>
      <c r="M728" s="1" t="s">
        <v>3157</v>
      </c>
      <c r="N728" s="1" t="s">
        <v>3158</v>
      </c>
      <c r="O728" s="1" t="s">
        <v>3159</v>
      </c>
      <c r="P728" s="1" t="s">
        <v>2165</v>
      </c>
      <c r="Q728" s="1"/>
      <c r="R728" s="1"/>
      <c r="S728" s="1" t="s">
        <v>2072</v>
      </c>
      <c r="T728" s="1" t="s">
        <v>2073</v>
      </c>
      <c r="U728" s="4">
        <v>-1</v>
      </c>
      <c r="V728" s="4">
        <v>-85326</v>
      </c>
      <c r="W728" s="4">
        <v>-853</v>
      </c>
      <c r="X728" s="4">
        <v>0</v>
      </c>
      <c r="Y728" s="4">
        <v>0</v>
      </c>
      <c r="Z728" s="5">
        <v>-86179</v>
      </c>
      <c r="AA728" s="5">
        <v>0</v>
      </c>
      <c r="AB728" s="6">
        <v>0</v>
      </c>
      <c r="AC728" s="4">
        <v>-86179</v>
      </c>
      <c r="AD728" s="4">
        <v>0</v>
      </c>
      <c r="AE728" s="4">
        <v>-86179</v>
      </c>
      <c r="AF728" s="1"/>
      <c r="AG728" s="1"/>
      <c r="AH728" s="1"/>
      <c r="AI728" s="1" t="s">
        <v>2921</v>
      </c>
      <c r="AJ728" s="1"/>
      <c r="AK728" s="1"/>
      <c r="AL728" s="1"/>
    </row>
    <row r="729" spans="1:38" hidden="1" x14ac:dyDescent="0.25">
      <c r="A729" s="2">
        <v>949</v>
      </c>
      <c r="B729" s="1" t="s">
        <v>882</v>
      </c>
      <c r="C729" s="1" t="s">
        <v>883</v>
      </c>
      <c r="D729" s="1" t="s">
        <v>2062</v>
      </c>
      <c r="E729" s="1" t="s">
        <v>2063</v>
      </c>
      <c r="F729" s="3">
        <v>45261</v>
      </c>
      <c r="G729" s="3">
        <v>45229</v>
      </c>
      <c r="H729" s="3">
        <v>45594</v>
      </c>
      <c r="I729" s="1" t="s">
        <v>3160</v>
      </c>
      <c r="J729" s="1" t="s">
        <v>3161</v>
      </c>
      <c r="K729" s="1"/>
      <c r="L729" s="1" t="s">
        <v>2283</v>
      </c>
      <c r="M729" s="1" t="s">
        <v>3162</v>
      </c>
      <c r="N729" s="1" t="s">
        <v>3163</v>
      </c>
      <c r="O729" s="1" t="s">
        <v>3164</v>
      </c>
      <c r="P729" s="1" t="s">
        <v>2119</v>
      </c>
      <c r="Q729" s="1"/>
      <c r="R729" s="1"/>
      <c r="S729" s="1" t="s">
        <v>2072</v>
      </c>
      <c r="T729" s="1" t="s">
        <v>3165</v>
      </c>
      <c r="U729" s="4">
        <v>3200000</v>
      </c>
      <c r="V729" s="4">
        <v>1367</v>
      </c>
      <c r="W729" s="4">
        <v>14</v>
      </c>
      <c r="X729" s="4">
        <v>178</v>
      </c>
      <c r="Y729" s="4">
        <v>0</v>
      </c>
      <c r="Z729" s="5">
        <v>1559</v>
      </c>
      <c r="AA729" s="5">
        <v>0</v>
      </c>
      <c r="AB729" s="6">
        <v>0</v>
      </c>
      <c r="AC729" s="4">
        <v>1559</v>
      </c>
      <c r="AD729" s="4">
        <v>0</v>
      </c>
      <c r="AE729" s="4">
        <v>1559</v>
      </c>
      <c r="AF729" s="1"/>
      <c r="AG729" s="1"/>
      <c r="AH729" s="1"/>
      <c r="AI729" s="1" t="s">
        <v>2841</v>
      </c>
      <c r="AJ729" s="6">
        <v>625.68000000000006</v>
      </c>
      <c r="AK729" s="6">
        <v>355.97</v>
      </c>
      <c r="AL729" s="1"/>
    </row>
    <row r="730" spans="1:38" hidden="1" x14ac:dyDescent="0.25">
      <c r="A730" s="2">
        <v>950</v>
      </c>
      <c r="B730" s="1" t="s">
        <v>882</v>
      </c>
      <c r="C730" s="1" t="s">
        <v>884</v>
      </c>
      <c r="D730" s="1" t="s">
        <v>2062</v>
      </c>
      <c r="E730" s="1" t="s">
        <v>2063</v>
      </c>
      <c r="F730" s="3">
        <v>45289</v>
      </c>
      <c r="G730" s="3">
        <v>45229</v>
      </c>
      <c r="H730" s="3">
        <v>45594</v>
      </c>
      <c r="I730" s="1" t="s">
        <v>3160</v>
      </c>
      <c r="J730" s="1" t="s">
        <v>3161</v>
      </c>
      <c r="K730" s="1"/>
      <c r="L730" s="1" t="s">
        <v>2283</v>
      </c>
      <c r="M730" s="1" t="s">
        <v>3162</v>
      </c>
      <c r="N730" s="1" t="s">
        <v>3163</v>
      </c>
      <c r="O730" s="1" t="s">
        <v>3164</v>
      </c>
      <c r="P730" s="1" t="s">
        <v>2119</v>
      </c>
      <c r="Q730" s="1"/>
      <c r="R730" s="1"/>
      <c r="S730" s="1" t="s">
        <v>2072</v>
      </c>
      <c r="T730" s="1" t="s">
        <v>3165</v>
      </c>
      <c r="U730" s="4">
        <v>3200000</v>
      </c>
      <c r="V730" s="4">
        <v>50386</v>
      </c>
      <c r="W730" s="4">
        <v>504</v>
      </c>
      <c r="X730" s="4">
        <v>6551</v>
      </c>
      <c r="Y730" s="4">
        <v>0</v>
      </c>
      <c r="Z730" s="5">
        <v>57441</v>
      </c>
      <c r="AA730" s="5">
        <v>0</v>
      </c>
      <c r="AB730" s="6">
        <v>0</v>
      </c>
      <c r="AC730" s="4">
        <v>57441</v>
      </c>
      <c r="AD730" s="4">
        <v>0</v>
      </c>
      <c r="AE730" s="4">
        <v>57441</v>
      </c>
      <c r="AF730" s="1"/>
      <c r="AG730" s="1"/>
      <c r="AH730" s="1"/>
      <c r="AI730" s="1" t="s">
        <v>2841</v>
      </c>
      <c r="AJ730" s="1"/>
      <c r="AK730" s="1"/>
      <c r="AL730" s="1"/>
    </row>
    <row r="731" spans="1:38" hidden="1" x14ac:dyDescent="0.25">
      <c r="A731" s="2">
        <v>951</v>
      </c>
      <c r="B731" s="1" t="s">
        <v>882</v>
      </c>
      <c r="C731" s="1" t="s">
        <v>885</v>
      </c>
      <c r="D731" s="1" t="s">
        <v>2062</v>
      </c>
      <c r="E731" s="1" t="s">
        <v>2063</v>
      </c>
      <c r="F731" s="3">
        <v>45596</v>
      </c>
      <c r="G731" s="3">
        <v>45229</v>
      </c>
      <c r="H731" s="3">
        <v>45594</v>
      </c>
      <c r="I731" s="1" t="s">
        <v>3160</v>
      </c>
      <c r="J731" s="1" t="s">
        <v>3161</v>
      </c>
      <c r="K731" s="1"/>
      <c r="L731" s="1" t="s">
        <v>2283</v>
      </c>
      <c r="M731" s="1" t="s">
        <v>3162</v>
      </c>
      <c r="N731" s="1" t="s">
        <v>3163</v>
      </c>
      <c r="O731" s="1" t="s">
        <v>3164</v>
      </c>
      <c r="P731" s="1" t="s">
        <v>2119</v>
      </c>
      <c r="Q731" s="1"/>
      <c r="R731" s="1"/>
      <c r="S731" s="1" t="s">
        <v>2072</v>
      </c>
      <c r="T731" s="1" t="s">
        <v>3165</v>
      </c>
      <c r="U731" s="4">
        <v>-1</v>
      </c>
      <c r="V731" s="4">
        <v>-58416</v>
      </c>
      <c r="W731" s="4">
        <v>-584</v>
      </c>
      <c r="X731" s="4">
        <v>0</v>
      </c>
      <c r="Y731" s="4">
        <v>0</v>
      </c>
      <c r="Z731" s="5">
        <v>-59000</v>
      </c>
      <c r="AA731" s="5">
        <v>0</v>
      </c>
      <c r="AB731" s="6">
        <v>0</v>
      </c>
      <c r="AC731" s="4">
        <v>-59000</v>
      </c>
      <c r="AD731" s="4">
        <v>0</v>
      </c>
      <c r="AE731" s="4">
        <v>-59000</v>
      </c>
      <c r="AF731" s="1"/>
      <c r="AG731" s="1"/>
      <c r="AH731" s="1"/>
      <c r="AI731" s="1" t="s">
        <v>2841</v>
      </c>
      <c r="AJ731" s="1"/>
      <c r="AK731" s="1"/>
      <c r="AL731" s="1"/>
    </row>
    <row r="732" spans="1:38" hidden="1" x14ac:dyDescent="0.25">
      <c r="A732" s="2">
        <v>952</v>
      </c>
      <c r="B732" s="1" t="s">
        <v>886</v>
      </c>
      <c r="C732" s="1" t="s">
        <v>887</v>
      </c>
      <c r="D732" s="1" t="s">
        <v>2062</v>
      </c>
      <c r="E732" s="1" t="s">
        <v>2063</v>
      </c>
      <c r="F732" s="3">
        <v>45289</v>
      </c>
      <c r="G732" s="3">
        <v>45231</v>
      </c>
      <c r="H732" s="3">
        <v>45596</v>
      </c>
      <c r="I732" s="1" t="s">
        <v>3166</v>
      </c>
      <c r="J732" s="1" t="s">
        <v>3167</v>
      </c>
      <c r="K732" s="1"/>
      <c r="L732" s="1" t="s">
        <v>2541</v>
      </c>
      <c r="M732" s="1" t="s">
        <v>3168</v>
      </c>
      <c r="N732" s="1" t="s">
        <v>3169</v>
      </c>
      <c r="O732" s="1" t="s">
        <v>3170</v>
      </c>
      <c r="P732" s="1" t="s">
        <v>2088</v>
      </c>
      <c r="Q732" s="1"/>
      <c r="R732" s="1"/>
      <c r="S732" s="1" t="s">
        <v>2072</v>
      </c>
      <c r="T732" s="1" t="s">
        <v>3165</v>
      </c>
      <c r="U732" s="4">
        <v>3400000</v>
      </c>
      <c r="V732" s="4">
        <v>54281</v>
      </c>
      <c r="W732" s="4">
        <v>543</v>
      </c>
      <c r="X732" s="4">
        <v>7057</v>
      </c>
      <c r="Y732" s="4">
        <v>0</v>
      </c>
      <c r="Z732" s="5">
        <v>61881</v>
      </c>
      <c r="AA732" s="5">
        <v>0</v>
      </c>
      <c r="AB732" s="6">
        <v>0</v>
      </c>
      <c r="AC732" s="4">
        <v>61881</v>
      </c>
      <c r="AD732" s="4">
        <v>0</v>
      </c>
      <c r="AE732" s="4">
        <v>61881</v>
      </c>
      <c r="AF732" s="1"/>
      <c r="AG732" s="1"/>
      <c r="AH732" s="1"/>
      <c r="AI732" s="1" t="s">
        <v>3057</v>
      </c>
      <c r="AJ732" s="1"/>
      <c r="AK732" s="1"/>
      <c r="AL732" s="1"/>
    </row>
    <row r="733" spans="1:38" hidden="1" x14ac:dyDescent="0.25">
      <c r="A733" s="2">
        <v>953</v>
      </c>
      <c r="B733" s="1" t="s">
        <v>886</v>
      </c>
      <c r="C733" s="1" t="s">
        <v>888</v>
      </c>
      <c r="D733" s="1" t="s">
        <v>2062</v>
      </c>
      <c r="E733" s="1" t="s">
        <v>2063</v>
      </c>
      <c r="F733" s="3">
        <v>45293</v>
      </c>
      <c r="G733" s="3">
        <v>45231</v>
      </c>
      <c r="H733" s="3">
        <v>45596</v>
      </c>
      <c r="I733" s="1" t="s">
        <v>3166</v>
      </c>
      <c r="J733" s="1" t="s">
        <v>3167</v>
      </c>
      <c r="K733" s="1"/>
      <c r="L733" s="1" t="s">
        <v>2541</v>
      </c>
      <c r="M733" s="1" t="s">
        <v>3168</v>
      </c>
      <c r="N733" s="1" t="s">
        <v>3169</v>
      </c>
      <c r="O733" s="1" t="s">
        <v>3170</v>
      </c>
      <c r="P733" s="1" t="s">
        <v>2088</v>
      </c>
      <c r="Q733" s="1"/>
      <c r="R733" s="1"/>
      <c r="S733" s="1" t="s">
        <v>2072</v>
      </c>
      <c r="T733" s="1" t="s">
        <v>3165</v>
      </c>
      <c r="U733" s="4">
        <v>3400000</v>
      </c>
      <c r="V733" s="4">
        <v>2067</v>
      </c>
      <c r="W733" s="4">
        <v>21</v>
      </c>
      <c r="X733" s="4">
        <v>268</v>
      </c>
      <c r="Y733" s="4">
        <v>0</v>
      </c>
      <c r="Z733" s="5">
        <v>2356</v>
      </c>
      <c r="AA733" s="5">
        <v>0</v>
      </c>
      <c r="AB733" s="6">
        <v>0</v>
      </c>
      <c r="AC733" s="4">
        <v>2356</v>
      </c>
      <c r="AD733" s="4">
        <v>0</v>
      </c>
      <c r="AE733" s="4">
        <v>2356</v>
      </c>
      <c r="AF733" s="1"/>
      <c r="AG733" s="1"/>
      <c r="AH733" s="1"/>
      <c r="AI733" s="1" t="s">
        <v>3057</v>
      </c>
      <c r="AJ733" s="6">
        <v>1355.2900000000379</v>
      </c>
      <c r="AK733" s="6">
        <v>505.32000000000005</v>
      </c>
      <c r="AL733" s="1"/>
    </row>
    <row r="734" spans="1:38" hidden="1" x14ac:dyDescent="0.25">
      <c r="A734" s="2">
        <v>954</v>
      </c>
      <c r="B734" s="1" t="s">
        <v>886</v>
      </c>
      <c r="C734" s="1" t="s">
        <v>889</v>
      </c>
      <c r="D734" s="1" t="s">
        <v>2062</v>
      </c>
      <c r="E734" s="1" t="s">
        <v>2063</v>
      </c>
      <c r="F734" s="3">
        <v>45475</v>
      </c>
      <c r="G734" s="3">
        <v>45231</v>
      </c>
      <c r="H734" s="3">
        <v>45596</v>
      </c>
      <c r="I734" s="1" t="s">
        <v>3166</v>
      </c>
      <c r="J734" s="1" t="s">
        <v>3167</v>
      </c>
      <c r="K734" s="1"/>
      <c r="L734" s="1" t="s">
        <v>2541</v>
      </c>
      <c r="M734" s="1" t="s">
        <v>3168</v>
      </c>
      <c r="N734" s="1" t="s">
        <v>3169</v>
      </c>
      <c r="O734" s="1" t="s">
        <v>3170</v>
      </c>
      <c r="P734" s="1" t="s">
        <v>2088</v>
      </c>
      <c r="Q734" s="1"/>
      <c r="R734" s="1"/>
      <c r="S734" s="1" t="s">
        <v>2072</v>
      </c>
      <c r="T734" s="1" t="s">
        <v>3165</v>
      </c>
      <c r="U734" s="4">
        <v>3400000</v>
      </c>
      <c r="V734" s="4">
        <v>1796</v>
      </c>
      <c r="W734" s="4">
        <v>18</v>
      </c>
      <c r="X734" s="4">
        <v>269</v>
      </c>
      <c r="Y734" s="4">
        <v>0</v>
      </c>
      <c r="Z734" s="5">
        <v>2083</v>
      </c>
      <c r="AA734" s="5">
        <v>0</v>
      </c>
      <c r="AB734" s="6">
        <v>0</v>
      </c>
      <c r="AC734" s="4">
        <v>2083</v>
      </c>
      <c r="AD734" s="4">
        <v>0</v>
      </c>
      <c r="AE734" s="4">
        <v>2083</v>
      </c>
      <c r="AF734" s="1"/>
      <c r="AG734" s="1"/>
      <c r="AH734" s="1"/>
      <c r="AI734" s="1" t="s">
        <v>3057</v>
      </c>
      <c r="AJ734" s="6">
        <v>1626.5800000000452</v>
      </c>
      <c r="AK734" s="6">
        <v>446.72</v>
      </c>
      <c r="AL734" s="1"/>
    </row>
    <row r="735" spans="1:38" hidden="1" x14ac:dyDescent="0.25">
      <c r="A735" s="2">
        <v>955</v>
      </c>
      <c r="B735" s="1" t="s">
        <v>886</v>
      </c>
      <c r="C735" s="1" t="s">
        <v>890</v>
      </c>
      <c r="D735" s="1" t="s">
        <v>2062</v>
      </c>
      <c r="E735" s="1" t="s">
        <v>2063</v>
      </c>
      <c r="F735" s="3">
        <v>45601</v>
      </c>
      <c r="G735" s="3">
        <v>45231</v>
      </c>
      <c r="H735" s="3">
        <v>45596</v>
      </c>
      <c r="I735" s="1" t="s">
        <v>3166</v>
      </c>
      <c r="J735" s="1" t="s">
        <v>3167</v>
      </c>
      <c r="K735" s="1"/>
      <c r="L735" s="1" t="s">
        <v>2541</v>
      </c>
      <c r="M735" s="1" t="s">
        <v>3168</v>
      </c>
      <c r="N735" s="1" t="s">
        <v>3169</v>
      </c>
      <c r="O735" s="1" t="s">
        <v>3170</v>
      </c>
      <c r="P735" s="1" t="s">
        <v>2088</v>
      </c>
      <c r="Q735" s="1"/>
      <c r="R735" s="1"/>
      <c r="S735" s="1" t="s">
        <v>2072</v>
      </c>
      <c r="T735" s="1" t="s">
        <v>3165</v>
      </c>
      <c r="U735" s="4">
        <v>3400000</v>
      </c>
      <c r="V735" s="4">
        <v>1481</v>
      </c>
      <c r="W735" s="4">
        <v>15</v>
      </c>
      <c r="X735" s="4">
        <v>222</v>
      </c>
      <c r="Y735" s="4">
        <v>0</v>
      </c>
      <c r="Z735" s="5">
        <v>1718</v>
      </c>
      <c r="AA735" s="5">
        <v>0</v>
      </c>
      <c r="AB735" s="6">
        <v>0</v>
      </c>
      <c r="AC735" s="4">
        <v>1718</v>
      </c>
      <c r="AD735" s="4">
        <v>0</v>
      </c>
      <c r="AE735" s="4">
        <v>1718</v>
      </c>
      <c r="AF735" s="1"/>
      <c r="AG735" s="1"/>
      <c r="AH735" s="1"/>
      <c r="AI735" s="1" t="s">
        <v>3057</v>
      </c>
      <c r="AJ735" s="6">
        <v>381.34</v>
      </c>
      <c r="AK735" s="6">
        <v>368.59</v>
      </c>
      <c r="AL735" s="1"/>
    </row>
    <row r="736" spans="1:38" hidden="1" x14ac:dyDescent="0.25">
      <c r="A736" s="2">
        <v>956</v>
      </c>
      <c r="B736" s="1" t="s">
        <v>886</v>
      </c>
      <c r="C736" s="1" t="s">
        <v>891</v>
      </c>
      <c r="D736" s="1" t="s">
        <v>2062</v>
      </c>
      <c r="E736" s="1" t="s">
        <v>2063</v>
      </c>
      <c r="F736" s="3">
        <v>45601</v>
      </c>
      <c r="G736" s="3">
        <v>45231</v>
      </c>
      <c r="H736" s="3">
        <v>45596</v>
      </c>
      <c r="I736" s="1" t="s">
        <v>3166</v>
      </c>
      <c r="J736" s="1" t="s">
        <v>3167</v>
      </c>
      <c r="K736" s="1"/>
      <c r="L736" s="1" t="s">
        <v>2541</v>
      </c>
      <c r="M736" s="1" t="s">
        <v>3168</v>
      </c>
      <c r="N736" s="1" t="s">
        <v>3169</v>
      </c>
      <c r="O736" s="1" t="s">
        <v>3170</v>
      </c>
      <c r="P736" s="1" t="s">
        <v>2088</v>
      </c>
      <c r="Q736" s="1"/>
      <c r="R736" s="1"/>
      <c r="S736" s="1" t="s">
        <v>2072</v>
      </c>
      <c r="T736" s="1" t="s">
        <v>3165</v>
      </c>
      <c r="U736" s="4">
        <v>3400000</v>
      </c>
      <c r="V736" s="4">
        <v>469</v>
      </c>
      <c r="W736" s="4">
        <v>5</v>
      </c>
      <c r="X736" s="4">
        <v>70</v>
      </c>
      <c r="Y736" s="4">
        <v>0</v>
      </c>
      <c r="Z736" s="5">
        <v>544</v>
      </c>
      <c r="AA736" s="5">
        <v>0</v>
      </c>
      <c r="AB736" s="6">
        <v>0</v>
      </c>
      <c r="AC736" s="4">
        <v>544</v>
      </c>
      <c r="AD736" s="4">
        <v>0</v>
      </c>
      <c r="AE736" s="4">
        <v>544</v>
      </c>
      <c r="AF736" s="1"/>
      <c r="AG736" s="1"/>
      <c r="AH736" s="1"/>
      <c r="AI736" s="1" t="s">
        <v>3057</v>
      </c>
      <c r="AJ736" s="6">
        <v>334.71000000000504</v>
      </c>
      <c r="AK736" s="6">
        <v>116.71</v>
      </c>
      <c r="AL736" s="1"/>
    </row>
    <row r="737" spans="1:38" hidden="1" x14ac:dyDescent="0.25">
      <c r="A737" s="2">
        <v>957</v>
      </c>
      <c r="B737" s="1" t="s">
        <v>886</v>
      </c>
      <c r="C737" s="1" t="s">
        <v>892</v>
      </c>
      <c r="D737" s="1" t="s">
        <v>2062</v>
      </c>
      <c r="E737" s="1" t="s">
        <v>2063</v>
      </c>
      <c r="F737" s="3">
        <v>45601</v>
      </c>
      <c r="G737" s="3">
        <v>45231</v>
      </c>
      <c r="H737" s="3">
        <v>45596</v>
      </c>
      <c r="I737" s="1" t="s">
        <v>3166</v>
      </c>
      <c r="J737" s="1" t="s">
        <v>3167</v>
      </c>
      <c r="K737" s="1"/>
      <c r="L737" s="1" t="s">
        <v>2541</v>
      </c>
      <c r="M737" s="1" t="s">
        <v>3168</v>
      </c>
      <c r="N737" s="1" t="s">
        <v>3169</v>
      </c>
      <c r="O737" s="1" t="s">
        <v>3170</v>
      </c>
      <c r="P737" s="1" t="s">
        <v>2088</v>
      </c>
      <c r="Q737" s="1"/>
      <c r="R737" s="1"/>
      <c r="S737" s="1" t="s">
        <v>2072</v>
      </c>
      <c r="T737" s="1" t="s">
        <v>3165</v>
      </c>
      <c r="U737" s="4">
        <v>3400000</v>
      </c>
      <c r="V737" s="4">
        <v>1597</v>
      </c>
      <c r="W737" s="4">
        <v>16</v>
      </c>
      <c r="X737" s="4">
        <v>239</v>
      </c>
      <c r="Y737" s="4">
        <v>0</v>
      </c>
      <c r="Z737" s="5">
        <v>1852</v>
      </c>
      <c r="AA737" s="5">
        <v>0</v>
      </c>
      <c r="AB737" s="6">
        <v>0</v>
      </c>
      <c r="AC737" s="4">
        <v>1852</v>
      </c>
      <c r="AD737" s="4">
        <v>0</v>
      </c>
      <c r="AE737" s="4">
        <v>1852</v>
      </c>
      <c r="AF737" s="1"/>
      <c r="AG737" s="1"/>
      <c r="AH737" s="1"/>
      <c r="AI737" s="1" t="s">
        <v>3057</v>
      </c>
      <c r="AJ737" s="6">
        <v>408.49</v>
      </c>
      <c r="AK737" s="6">
        <v>397.35</v>
      </c>
      <c r="AL737" s="1"/>
    </row>
    <row r="738" spans="1:38" hidden="1" x14ac:dyDescent="0.25">
      <c r="A738" s="2">
        <v>958</v>
      </c>
      <c r="B738" s="1" t="s">
        <v>886</v>
      </c>
      <c r="C738" s="1" t="s">
        <v>893</v>
      </c>
      <c r="D738" s="1" t="s">
        <v>2062</v>
      </c>
      <c r="E738" s="1" t="s">
        <v>2063</v>
      </c>
      <c r="F738" s="3">
        <v>45601</v>
      </c>
      <c r="G738" s="3">
        <v>45231</v>
      </c>
      <c r="H738" s="3">
        <v>45596</v>
      </c>
      <c r="I738" s="1" t="s">
        <v>3166</v>
      </c>
      <c r="J738" s="1" t="s">
        <v>3167</v>
      </c>
      <c r="K738" s="1"/>
      <c r="L738" s="1" t="s">
        <v>2541</v>
      </c>
      <c r="M738" s="1" t="s">
        <v>3168</v>
      </c>
      <c r="N738" s="1" t="s">
        <v>3169</v>
      </c>
      <c r="O738" s="1" t="s">
        <v>3170</v>
      </c>
      <c r="P738" s="1" t="s">
        <v>2088</v>
      </c>
      <c r="Q738" s="1"/>
      <c r="R738" s="1"/>
      <c r="S738" s="1" t="s">
        <v>2072</v>
      </c>
      <c r="T738" s="1" t="s">
        <v>3165</v>
      </c>
      <c r="U738" s="4">
        <v>3400000</v>
      </c>
      <c r="V738" s="4">
        <v>1738</v>
      </c>
      <c r="W738" s="4">
        <v>17</v>
      </c>
      <c r="X738" s="4">
        <v>261</v>
      </c>
      <c r="Y738" s="4">
        <v>0</v>
      </c>
      <c r="Z738" s="5">
        <v>2016</v>
      </c>
      <c r="AA738" s="5">
        <v>0</v>
      </c>
      <c r="AB738" s="6">
        <v>0</v>
      </c>
      <c r="AC738" s="4">
        <v>2016</v>
      </c>
      <c r="AD738" s="4">
        <v>0</v>
      </c>
      <c r="AE738" s="4">
        <v>2016</v>
      </c>
      <c r="AF738" s="1"/>
      <c r="AG738" s="1"/>
      <c r="AH738" s="1"/>
      <c r="AI738" s="1" t="s">
        <v>3057</v>
      </c>
      <c r="AJ738" s="6">
        <v>466.26000000000005</v>
      </c>
      <c r="AK738" s="6">
        <v>432.64</v>
      </c>
      <c r="AL738" s="1"/>
    </row>
    <row r="739" spans="1:38" hidden="1" x14ac:dyDescent="0.25">
      <c r="A739" s="2">
        <v>959</v>
      </c>
      <c r="B739" s="1" t="s">
        <v>886</v>
      </c>
      <c r="C739" s="1" t="s">
        <v>894</v>
      </c>
      <c r="D739" s="1" t="s">
        <v>2062</v>
      </c>
      <c r="E739" s="1" t="s">
        <v>2063</v>
      </c>
      <c r="F739" s="3">
        <v>45655</v>
      </c>
      <c r="G739" s="3">
        <v>45231</v>
      </c>
      <c r="H739" s="3">
        <v>45596</v>
      </c>
      <c r="I739" s="1" t="s">
        <v>3166</v>
      </c>
      <c r="J739" s="1" t="s">
        <v>3167</v>
      </c>
      <c r="K739" s="1"/>
      <c r="L739" s="1" t="s">
        <v>2541</v>
      </c>
      <c r="M739" s="1" t="s">
        <v>3168</v>
      </c>
      <c r="N739" s="1" t="s">
        <v>3169</v>
      </c>
      <c r="O739" s="1" t="s">
        <v>3170</v>
      </c>
      <c r="P739" s="1" t="s">
        <v>2088</v>
      </c>
      <c r="Q739" s="1"/>
      <c r="R739" s="1"/>
      <c r="S739" s="1" t="s">
        <v>2072</v>
      </c>
      <c r="T739" s="1" t="s">
        <v>3165</v>
      </c>
      <c r="U739" s="4">
        <v>-1</v>
      </c>
      <c r="V739" s="4">
        <v>-71733</v>
      </c>
      <c r="W739" s="4">
        <v>-717</v>
      </c>
      <c r="X739" s="4">
        <v>0</v>
      </c>
      <c r="Y739" s="4">
        <v>0</v>
      </c>
      <c r="Z739" s="5">
        <v>-72450</v>
      </c>
      <c r="AA739" s="5">
        <v>0</v>
      </c>
      <c r="AB739" s="6">
        <v>0</v>
      </c>
      <c r="AC739" s="4">
        <v>-72450</v>
      </c>
      <c r="AD739" s="4">
        <v>0</v>
      </c>
      <c r="AE739" s="4">
        <v>-72450</v>
      </c>
      <c r="AF739" s="1"/>
      <c r="AG739" s="1"/>
      <c r="AH739" s="1"/>
      <c r="AI739" s="1" t="s">
        <v>3057</v>
      </c>
      <c r="AJ739" s="1"/>
      <c r="AK739" s="1"/>
      <c r="AL739" s="1"/>
    </row>
    <row r="740" spans="1:38" hidden="1" x14ac:dyDescent="0.25">
      <c r="A740" s="2">
        <v>965</v>
      </c>
      <c r="B740" s="1" t="s">
        <v>895</v>
      </c>
      <c r="C740" s="1" t="s">
        <v>896</v>
      </c>
      <c r="D740" s="1" t="s">
        <v>2062</v>
      </c>
      <c r="E740" s="1" t="s">
        <v>2063</v>
      </c>
      <c r="F740" s="3">
        <v>45289</v>
      </c>
      <c r="G740" s="3">
        <v>45232</v>
      </c>
      <c r="H740" s="3">
        <v>45597</v>
      </c>
      <c r="I740" s="1" t="s">
        <v>3171</v>
      </c>
      <c r="J740" s="1" t="s">
        <v>3172</v>
      </c>
      <c r="K740" s="1"/>
      <c r="L740" s="1" t="s">
        <v>2864</v>
      </c>
      <c r="M740" s="1" t="s">
        <v>3173</v>
      </c>
      <c r="N740" s="1" t="s">
        <v>3174</v>
      </c>
      <c r="O740" s="1" t="s">
        <v>3175</v>
      </c>
      <c r="P740" s="1" t="s">
        <v>2095</v>
      </c>
      <c r="Q740" s="1"/>
      <c r="R740" s="1"/>
      <c r="S740" s="1" t="s">
        <v>2072</v>
      </c>
      <c r="T740" s="1" t="s">
        <v>3165</v>
      </c>
      <c r="U740" s="4">
        <v>2800000</v>
      </c>
      <c r="V740" s="4">
        <v>43266</v>
      </c>
      <c r="W740" s="4">
        <v>433</v>
      </c>
      <c r="X740" s="4">
        <v>5624</v>
      </c>
      <c r="Y740" s="4">
        <v>0</v>
      </c>
      <c r="Z740" s="5">
        <v>49323</v>
      </c>
      <c r="AA740" s="5">
        <v>0</v>
      </c>
      <c r="AB740" s="6">
        <v>0</v>
      </c>
      <c r="AC740" s="4">
        <v>49323</v>
      </c>
      <c r="AD740" s="4">
        <v>0</v>
      </c>
      <c r="AE740" s="4">
        <v>49323</v>
      </c>
      <c r="AF740" s="1"/>
      <c r="AG740" s="1"/>
      <c r="AH740" s="1"/>
      <c r="AI740" s="1" t="s">
        <v>2841</v>
      </c>
      <c r="AJ740" s="1"/>
      <c r="AK740" s="1"/>
      <c r="AL740" s="1"/>
    </row>
    <row r="741" spans="1:38" hidden="1" x14ac:dyDescent="0.25">
      <c r="A741" s="2">
        <v>966</v>
      </c>
      <c r="B741" s="1" t="s">
        <v>895</v>
      </c>
      <c r="C741" s="1" t="s">
        <v>897</v>
      </c>
      <c r="D741" s="1" t="s">
        <v>2062</v>
      </c>
      <c r="E741" s="1" t="s">
        <v>2063</v>
      </c>
      <c r="F741" s="3">
        <v>45446</v>
      </c>
      <c r="G741" s="3">
        <v>45232</v>
      </c>
      <c r="H741" s="3">
        <v>45597</v>
      </c>
      <c r="I741" s="1" t="s">
        <v>3171</v>
      </c>
      <c r="J741" s="1" t="s">
        <v>3172</v>
      </c>
      <c r="K741" s="1"/>
      <c r="L741" s="1" t="s">
        <v>2864</v>
      </c>
      <c r="M741" s="1" t="s">
        <v>3173</v>
      </c>
      <c r="N741" s="1" t="s">
        <v>3174</v>
      </c>
      <c r="O741" s="1" t="s">
        <v>3175</v>
      </c>
      <c r="P741" s="1" t="s">
        <v>2095</v>
      </c>
      <c r="Q741" s="1"/>
      <c r="R741" s="1"/>
      <c r="S741" s="1" t="s">
        <v>2072</v>
      </c>
      <c r="T741" s="1" t="s">
        <v>3165</v>
      </c>
      <c r="U741" s="4">
        <v>2800000</v>
      </c>
      <c r="V741" s="4">
        <v>2031</v>
      </c>
      <c r="W741" s="4">
        <v>20</v>
      </c>
      <c r="X741" s="4">
        <v>264</v>
      </c>
      <c r="Y741" s="4">
        <v>0</v>
      </c>
      <c r="Z741" s="5">
        <v>2315</v>
      </c>
      <c r="AA741" s="5">
        <v>0</v>
      </c>
      <c r="AB741" s="6">
        <v>0</v>
      </c>
      <c r="AC741" s="4">
        <v>2315</v>
      </c>
      <c r="AD741" s="4">
        <v>0</v>
      </c>
      <c r="AE741" s="4">
        <v>2315</v>
      </c>
      <c r="AF741" s="1"/>
      <c r="AG741" s="1"/>
      <c r="AH741" s="1"/>
      <c r="AI741" s="1" t="s">
        <v>2841</v>
      </c>
      <c r="AJ741" s="6">
        <v>604.74000000000103</v>
      </c>
      <c r="AK741" s="6">
        <v>603.59000000000106</v>
      </c>
      <c r="AL741" s="1"/>
    </row>
    <row r="742" spans="1:38" hidden="1" x14ac:dyDescent="0.25">
      <c r="A742" s="2">
        <v>967</v>
      </c>
      <c r="B742" s="1" t="s">
        <v>895</v>
      </c>
      <c r="C742" s="1" t="s">
        <v>898</v>
      </c>
      <c r="D742" s="1" t="s">
        <v>2062</v>
      </c>
      <c r="E742" s="1" t="s">
        <v>2063</v>
      </c>
      <c r="F742" s="3">
        <v>45574</v>
      </c>
      <c r="G742" s="3">
        <v>45232</v>
      </c>
      <c r="H742" s="3">
        <v>45597</v>
      </c>
      <c r="I742" s="1" t="s">
        <v>3171</v>
      </c>
      <c r="J742" s="1" t="s">
        <v>3172</v>
      </c>
      <c r="K742" s="1"/>
      <c r="L742" s="1" t="s">
        <v>2864</v>
      </c>
      <c r="M742" s="1" t="s">
        <v>3173</v>
      </c>
      <c r="N742" s="1" t="s">
        <v>3174</v>
      </c>
      <c r="O742" s="1" t="s">
        <v>3175</v>
      </c>
      <c r="P742" s="1" t="s">
        <v>2095</v>
      </c>
      <c r="Q742" s="1"/>
      <c r="R742" s="1"/>
      <c r="S742" s="1" t="s">
        <v>2072</v>
      </c>
      <c r="T742" s="1" t="s">
        <v>3165</v>
      </c>
      <c r="U742" s="4">
        <v>2800000</v>
      </c>
      <c r="V742" s="4">
        <v>1866</v>
      </c>
      <c r="W742" s="4">
        <v>19</v>
      </c>
      <c r="X742" s="4">
        <v>280</v>
      </c>
      <c r="Y742" s="4">
        <v>0</v>
      </c>
      <c r="Z742" s="5">
        <v>2165</v>
      </c>
      <c r="AA742" s="5">
        <v>0</v>
      </c>
      <c r="AB742" s="6">
        <v>0</v>
      </c>
      <c r="AC742" s="4">
        <v>2165</v>
      </c>
      <c r="AD742" s="4">
        <v>0</v>
      </c>
      <c r="AE742" s="4">
        <v>2165</v>
      </c>
      <c r="AF742" s="1"/>
      <c r="AG742" s="1"/>
      <c r="AH742" s="1"/>
      <c r="AI742" s="1" t="s">
        <v>2841</v>
      </c>
      <c r="AJ742" s="6">
        <v>634.89</v>
      </c>
      <c r="AK742" s="6">
        <v>563.92000000000007</v>
      </c>
      <c r="AL742" s="1"/>
    </row>
    <row r="743" spans="1:38" hidden="1" x14ac:dyDescent="0.25">
      <c r="A743" s="2">
        <v>968</v>
      </c>
      <c r="B743" s="1" t="s">
        <v>895</v>
      </c>
      <c r="C743" s="1" t="s">
        <v>899</v>
      </c>
      <c r="D743" s="1" t="s">
        <v>2062</v>
      </c>
      <c r="E743" s="1" t="s">
        <v>2063</v>
      </c>
      <c r="F743" s="3">
        <v>45601</v>
      </c>
      <c r="G743" s="3">
        <v>45232</v>
      </c>
      <c r="H743" s="3">
        <v>45597</v>
      </c>
      <c r="I743" s="1" t="s">
        <v>3171</v>
      </c>
      <c r="J743" s="1" t="s">
        <v>3172</v>
      </c>
      <c r="K743" s="1"/>
      <c r="L743" s="1" t="s">
        <v>2864</v>
      </c>
      <c r="M743" s="1" t="s">
        <v>3173</v>
      </c>
      <c r="N743" s="1" t="s">
        <v>3174</v>
      </c>
      <c r="O743" s="1" t="s">
        <v>3175</v>
      </c>
      <c r="P743" s="1" t="s">
        <v>2095</v>
      </c>
      <c r="Q743" s="1"/>
      <c r="R743" s="1"/>
      <c r="S743" s="1" t="s">
        <v>2072</v>
      </c>
      <c r="T743" s="1" t="s">
        <v>3165</v>
      </c>
      <c r="U743" s="4">
        <v>2800000</v>
      </c>
      <c r="V743" s="4">
        <v>2448</v>
      </c>
      <c r="W743" s="4">
        <v>24</v>
      </c>
      <c r="X743" s="4">
        <v>367</v>
      </c>
      <c r="Y743" s="4">
        <v>0</v>
      </c>
      <c r="Z743" s="5">
        <v>2839</v>
      </c>
      <c r="AA743" s="5">
        <v>0</v>
      </c>
      <c r="AB743" s="6">
        <v>0</v>
      </c>
      <c r="AC743" s="4">
        <v>2839</v>
      </c>
      <c r="AD743" s="4">
        <v>0</v>
      </c>
      <c r="AE743" s="4">
        <v>2839</v>
      </c>
      <c r="AF743" s="1"/>
      <c r="AG743" s="1"/>
      <c r="AH743" s="1"/>
      <c r="AI743" s="1" t="s">
        <v>2841</v>
      </c>
      <c r="AJ743" s="6">
        <v>740.31</v>
      </c>
      <c r="AK743" s="6">
        <v>740.31</v>
      </c>
      <c r="AL743" s="1"/>
    </row>
    <row r="744" spans="1:38" hidden="1" x14ac:dyDescent="0.25">
      <c r="A744" s="2">
        <v>969</v>
      </c>
      <c r="B744" s="1" t="s">
        <v>895</v>
      </c>
      <c r="C744" s="1" t="s">
        <v>900</v>
      </c>
      <c r="D744" s="1" t="s">
        <v>2062</v>
      </c>
      <c r="E744" s="1" t="s">
        <v>2063</v>
      </c>
      <c r="F744" s="3">
        <v>45655</v>
      </c>
      <c r="G744" s="3">
        <v>45232</v>
      </c>
      <c r="H744" s="3">
        <v>45597</v>
      </c>
      <c r="I744" s="1" t="s">
        <v>3171</v>
      </c>
      <c r="J744" s="1" t="s">
        <v>3172</v>
      </c>
      <c r="K744" s="1"/>
      <c r="L744" s="1" t="s">
        <v>2864</v>
      </c>
      <c r="M744" s="1" t="s">
        <v>3173</v>
      </c>
      <c r="N744" s="1" t="s">
        <v>3174</v>
      </c>
      <c r="O744" s="1" t="s">
        <v>3175</v>
      </c>
      <c r="P744" s="1" t="s">
        <v>2095</v>
      </c>
      <c r="Q744" s="1"/>
      <c r="R744" s="1"/>
      <c r="S744" s="1" t="s">
        <v>2072</v>
      </c>
      <c r="T744" s="1" t="s">
        <v>3165</v>
      </c>
      <c r="U744" s="4">
        <v>-1</v>
      </c>
      <c r="V744" s="4">
        <v>-56081</v>
      </c>
      <c r="W744" s="4">
        <v>-561</v>
      </c>
      <c r="X744" s="4">
        <v>0</v>
      </c>
      <c r="Y744" s="4">
        <v>0</v>
      </c>
      <c r="Z744" s="5">
        <v>-56642</v>
      </c>
      <c r="AA744" s="5">
        <v>0</v>
      </c>
      <c r="AB744" s="6">
        <v>0</v>
      </c>
      <c r="AC744" s="4">
        <v>-56642</v>
      </c>
      <c r="AD744" s="4">
        <v>0</v>
      </c>
      <c r="AE744" s="4">
        <v>-56642</v>
      </c>
      <c r="AF744" s="1"/>
      <c r="AG744" s="1"/>
      <c r="AH744" s="1"/>
      <c r="AI744" s="1" t="s">
        <v>2841</v>
      </c>
      <c r="AJ744" s="1"/>
      <c r="AK744" s="1"/>
      <c r="AL744" s="1"/>
    </row>
    <row r="745" spans="1:38" hidden="1" x14ac:dyDescent="0.25">
      <c r="A745" s="2">
        <v>970</v>
      </c>
      <c r="B745" s="1" t="s">
        <v>901</v>
      </c>
      <c r="C745" s="1" t="s">
        <v>902</v>
      </c>
      <c r="D745" s="1" t="s">
        <v>2062</v>
      </c>
      <c r="E745" s="1" t="s">
        <v>2063</v>
      </c>
      <c r="F745" s="3">
        <v>45289</v>
      </c>
      <c r="G745" s="3">
        <v>45232</v>
      </c>
      <c r="H745" s="3">
        <v>45597</v>
      </c>
      <c r="I745" s="1" t="s">
        <v>2176</v>
      </c>
      <c r="J745" s="1" t="s">
        <v>3176</v>
      </c>
      <c r="K745" s="1"/>
      <c r="L745" s="1" t="s">
        <v>2198</v>
      </c>
      <c r="M745" s="1" t="s">
        <v>2179</v>
      </c>
      <c r="N745" s="1" t="s">
        <v>3177</v>
      </c>
      <c r="O745" s="1" t="s">
        <v>3178</v>
      </c>
      <c r="P745" s="1" t="s">
        <v>2182</v>
      </c>
      <c r="Q745" s="1"/>
      <c r="R745" s="1"/>
      <c r="S745" s="1" t="s">
        <v>2072</v>
      </c>
      <c r="T745" s="1" t="s">
        <v>2073</v>
      </c>
      <c r="U745" s="4">
        <v>2100000</v>
      </c>
      <c r="V745" s="4">
        <v>31860</v>
      </c>
      <c r="W745" s="4">
        <v>319</v>
      </c>
      <c r="X745" s="4">
        <v>4142</v>
      </c>
      <c r="Y745" s="4">
        <v>0</v>
      </c>
      <c r="Z745" s="5">
        <v>36321</v>
      </c>
      <c r="AA745" s="5">
        <v>0</v>
      </c>
      <c r="AB745" s="6">
        <v>0</v>
      </c>
      <c r="AC745" s="4">
        <v>36321</v>
      </c>
      <c r="AD745" s="4">
        <v>0</v>
      </c>
      <c r="AE745" s="4">
        <v>36321</v>
      </c>
      <c r="AF745" s="1"/>
      <c r="AG745" s="1"/>
      <c r="AH745" s="1"/>
      <c r="AI745" s="1" t="s">
        <v>2327</v>
      </c>
      <c r="AJ745" s="1"/>
      <c r="AK745" s="1"/>
      <c r="AL745" s="1"/>
    </row>
    <row r="746" spans="1:38" hidden="1" x14ac:dyDescent="0.25">
      <c r="A746" s="2">
        <v>971</v>
      </c>
      <c r="B746" s="1" t="s">
        <v>901</v>
      </c>
      <c r="C746" s="1" t="s">
        <v>903</v>
      </c>
      <c r="D746" s="1" t="s">
        <v>2062</v>
      </c>
      <c r="E746" s="1" t="s">
        <v>2063</v>
      </c>
      <c r="F746" s="3">
        <v>45414</v>
      </c>
      <c r="G746" s="3">
        <v>45232</v>
      </c>
      <c r="H746" s="3">
        <v>45597</v>
      </c>
      <c r="I746" s="1" t="s">
        <v>2176</v>
      </c>
      <c r="J746" s="1" t="s">
        <v>3176</v>
      </c>
      <c r="K746" s="1"/>
      <c r="L746" s="1" t="s">
        <v>2198</v>
      </c>
      <c r="M746" s="1" t="s">
        <v>2179</v>
      </c>
      <c r="N746" s="1" t="s">
        <v>3177</v>
      </c>
      <c r="O746" s="1" t="s">
        <v>3178</v>
      </c>
      <c r="P746" s="1" t="s">
        <v>2182</v>
      </c>
      <c r="Q746" s="1"/>
      <c r="R746" s="1"/>
      <c r="S746" s="1" t="s">
        <v>2072</v>
      </c>
      <c r="T746" s="1" t="s">
        <v>2073</v>
      </c>
      <c r="U746" s="4">
        <v>2100000</v>
      </c>
      <c r="V746" s="4">
        <v>1090</v>
      </c>
      <c r="W746" s="4">
        <v>11</v>
      </c>
      <c r="X746" s="4">
        <v>142</v>
      </c>
      <c r="Y746" s="4">
        <v>0</v>
      </c>
      <c r="Z746" s="5">
        <v>1243</v>
      </c>
      <c r="AA746" s="5">
        <v>0</v>
      </c>
      <c r="AB746" s="6">
        <v>0</v>
      </c>
      <c r="AC746" s="4">
        <v>1243</v>
      </c>
      <c r="AD746" s="4">
        <v>0</v>
      </c>
      <c r="AE746" s="4">
        <v>1243</v>
      </c>
      <c r="AF746" s="1"/>
      <c r="AG746" s="1"/>
      <c r="AH746" s="1"/>
      <c r="AI746" s="1" t="s">
        <v>2327</v>
      </c>
      <c r="AJ746" s="6">
        <v>446.12000000000006</v>
      </c>
      <c r="AK746" s="6">
        <v>432.22</v>
      </c>
      <c r="AL746" s="1"/>
    </row>
    <row r="747" spans="1:38" hidden="1" x14ac:dyDescent="0.25">
      <c r="A747" s="2">
        <v>972</v>
      </c>
      <c r="B747" s="1" t="s">
        <v>901</v>
      </c>
      <c r="C747" s="1" t="s">
        <v>904</v>
      </c>
      <c r="D747" s="1" t="s">
        <v>2062</v>
      </c>
      <c r="E747" s="1" t="s">
        <v>2063</v>
      </c>
      <c r="F747" s="3">
        <v>45446</v>
      </c>
      <c r="G747" s="3">
        <v>45232</v>
      </c>
      <c r="H747" s="3">
        <v>45597</v>
      </c>
      <c r="I747" s="1" t="s">
        <v>2176</v>
      </c>
      <c r="J747" s="1" t="s">
        <v>3176</v>
      </c>
      <c r="K747" s="1"/>
      <c r="L747" s="1" t="s">
        <v>2198</v>
      </c>
      <c r="M747" s="1" t="s">
        <v>2179</v>
      </c>
      <c r="N747" s="1" t="s">
        <v>3177</v>
      </c>
      <c r="O747" s="1" t="s">
        <v>3178</v>
      </c>
      <c r="P747" s="1" t="s">
        <v>2182</v>
      </c>
      <c r="Q747" s="1"/>
      <c r="R747" s="1"/>
      <c r="S747" s="1" t="s">
        <v>2072</v>
      </c>
      <c r="T747" s="1" t="s">
        <v>2073</v>
      </c>
      <c r="U747" s="4">
        <v>2100000</v>
      </c>
      <c r="V747" s="4">
        <v>1364</v>
      </c>
      <c r="W747" s="4">
        <v>13</v>
      </c>
      <c r="X747" s="4">
        <v>177</v>
      </c>
      <c r="Y747" s="4">
        <v>0</v>
      </c>
      <c r="Z747" s="5">
        <v>1554</v>
      </c>
      <c r="AA747" s="5">
        <v>0</v>
      </c>
      <c r="AB747" s="6">
        <v>0</v>
      </c>
      <c r="AC747" s="4">
        <v>1554</v>
      </c>
      <c r="AD747" s="4">
        <v>0</v>
      </c>
      <c r="AE747" s="4">
        <v>1554</v>
      </c>
      <c r="AF747" s="1"/>
      <c r="AG747" s="1"/>
      <c r="AH747" s="1"/>
      <c r="AI747" s="1" t="s">
        <v>2327</v>
      </c>
      <c r="AJ747" s="6">
        <v>650.31000000000006</v>
      </c>
      <c r="AK747" s="6">
        <v>541.71</v>
      </c>
      <c r="AL747" s="1"/>
    </row>
    <row r="748" spans="1:38" hidden="1" x14ac:dyDescent="0.25">
      <c r="A748" s="2">
        <v>973</v>
      </c>
      <c r="B748" s="1" t="s">
        <v>901</v>
      </c>
      <c r="C748" s="1" t="s">
        <v>905</v>
      </c>
      <c r="D748" s="1" t="s">
        <v>2062</v>
      </c>
      <c r="E748" s="1" t="s">
        <v>2063</v>
      </c>
      <c r="F748" s="3">
        <v>45596</v>
      </c>
      <c r="G748" s="3">
        <v>45232</v>
      </c>
      <c r="H748" s="3">
        <v>45597</v>
      </c>
      <c r="I748" s="1" t="s">
        <v>2176</v>
      </c>
      <c r="J748" s="1" t="s">
        <v>3176</v>
      </c>
      <c r="K748" s="1"/>
      <c r="L748" s="1" t="s">
        <v>2198</v>
      </c>
      <c r="M748" s="1" t="s">
        <v>2179</v>
      </c>
      <c r="N748" s="1" t="s">
        <v>3177</v>
      </c>
      <c r="O748" s="1" t="s">
        <v>3178</v>
      </c>
      <c r="P748" s="1" t="s">
        <v>2182</v>
      </c>
      <c r="Q748" s="1"/>
      <c r="R748" s="1"/>
      <c r="S748" s="1" t="s">
        <v>2072</v>
      </c>
      <c r="T748" s="1" t="s">
        <v>2073</v>
      </c>
      <c r="U748" s="4">
        <v>-1</v>
      </c>
      <c r="V748" s="4">
        <v>-38731</v>
      </c>
      <c r="W748" s="4">
        <v>-387</v>
      </c>
      <c r="X748" s="4">
        <v>0</v>
      </c>
      <c r="Y748" s="4">
        <v>0</v>
      </c>
      <c r="Z748" s="5">
        <v>-39118</v>
      </c>
      <c r="AA748" s="5">
        <v>0</v>
      </c>
      <c r="AB748" s="6">
        <v>0</v>
      </c>
      <c r="AC748" s="4">
        <v>-39118</v>
      </c>
      <c r="AD748" s="4">
        <v>0</v>
      </c>
      <c r="AE748" s="4">
        <v>-39118</v>
      </c>
      <c r="AF748" s="1"/>
      <c r="AG748" s="1"/>
      <c r="AH748" s="1"/>
      <c r="AI748" s="1" t="s">
        <v>2327</v>
      </c>
      <c r="AJ748" s="1"/>
      <c r="AK748" s="1"/>
      <c r="AL748" s="1"/>
    </row>
    <row r="749" spans="1:38" hidden="1" x14ac:dyDescent="0.25">
      <c r="A749" s="2">
        <v>979</v>
      </c>
      <c r="B749" s="1" t="s">
        <v>906</v>
      </c>
      <c r="C749" s="1" t="s">
        <v>907</v>
      </c>
      <c r="D749" s="1" t="s">
        <v>2062</v>
      </c>
      <c r="E749" s="1" t="s">
        <v>2063</v>
      </c>
      <c r="F749" s="3">
        <v>45264</v>
      </c>
      <c r="G749" s="3">
        <v>45234</v>
      </c>
      <c r="H749" s="3">
        <v>45599</v>
      </c>
      <c r="I749" s="1" t="s">
        <v>3179</v>
      </c>
      <c r="J749" s="1" t="s">
        <v>3180</v>
      </c>
      <c r="K749" s="1"/>
      <c r="L749" s="1" t="s">
        <v>2638</v>
      </c>
      <c r="M749" s="1" t="s">
        <v>3181</v>
      </c>
      <c r="N749" s="1" t="s">
        <v>3182</v>
      </c>
      <c r="O749" s="1" t="s">
        <v>3183</v>
      </c>
      <c r="P749" s="1" t="s">
        <v>2182</v>
      </c>
      <c r="Q749" s="1"/>
      <c r="R749" s="1"/>
      <c r="S749" s="1" t="s">
        <v>2072</v>
      </c>
      <c r="T749" s="1" t="s">
        <v>3165</v>
      </c>
      <c r="U749" s="4">
        <v>6000000</v>
      </c>
      <c r="V749" s="4">
        <v>947</v>
      </c>
      <c r="W749" s="4">
        <v>10</v>
      </c>
      <c r="X749" s="4">
        <v>124</v>
      </c>
      <c r="Y749" s="4">
        <v>0</v>
      </c>
      <c r="Z749" s="5">
        <v>1081</v>
      </c>
      <c r="AA749" s="5">
        <v>0</v>
      </c>
      <c r="AB749" s="6">
        <v>0</v>
      </c>
      <c r="AC749" s="4">
        <v>1081</v>
      </c>
      <c r="AD749" s="4">
        <v>0</v>
      </c>
      <c r="AE749" s="4">
        <v>1081</v>
      </c>
      <c r="AF749" s="1"/>
      <c r="AG749" s="1"/>
      <c r="AH749" s="1"/>
      <c r="AI749" s="1" t="s">
        <v>2327</v>
      </c>
      <c r="AJ749" s="6">
        <v>137.42000000000002</v>
      </c>
      <c r="AK749" s="6">
        <v>131.5</v>
      </c>
      <c r="AL749" s="1"/>
    </row>
    <row r="750" spans="1:38" hidden="1" x14ac:dyDescent="0.25">
      <c r="A750" s="2">
        <v>980</v>
      </c>
      <c r="B750" s="1" t="s">
        <v>906</v>
      </c>
      <c r="C750" s="1" t="s">
        <v>908</v>
      </c>
      <c r="D750" s="1" t="s">
        <v>2062</v>
      </c>
      <c r="E750" s="1" t="s">
        <v>2063</v>
      </c>
      <c r="F750" s="3">
        <v>45289</v>
      </c>
      <c r="G750" s="3">
        <v>45234</v>
      </c>
      <c r="H750" s="3">
        <v>45599</v>
      </c>
      <c r="I750" s="1" t="s">
        <v>3179</v>
      </c>
      <c r="J750" s="1" t="s">
        <v>3180</v>
      </c>
      <c r="K750" s="1"/>
      <c r="L750" s="1" t="s">
        <v>2638</v>
      </c>
      <c r="M750" s="1" t="s">
        <v>3181</v>
      </c>
      <c r="N750" s="1" t="s">
        <v>3182</v>
      </c>
      <c r="O750" s="1" t="s">
        <v>3183</v>
      </c>
      <c r="P750" s="1" t="s">
        <v>2182</v>
      </c>
      <c r="Q750" s="1"/>
      <c r="R750" s="1"/>
      <c r="S750" s="1" t="s">
        <v>2072</v>
      </c>
      <c r="T750" s="1" t="s">
        <v>3165</v>
      </c>
      <c r="U750" s="4">
        <v>6000000</v>
      </c>
      <c r="V750" s="4">
        <v>99929</v>
      </c>
      <c r="W750" s="4">
        <v>999</v>
      </c>
      <c r="X750" s="4">
        <v>12991</v>
      </c>
      <c r="Y750" s="4">
        <v>0</v>
      </c>
      <c r="Z750" s="5">
        <v>113919</v>
      </c>
      <c r="AA750" s="5">
        <v>0</v>
      </c>
      <c r="AB750" s="6">
        <v>0</v>
      </c>
      <c r="AC750" s="4">
        <v>113919</v>
      </c>
      <c r="AD750" s="4">
        <v>0</v>
      </c>
      <c r="AE750" s="4">
        <v>113919</v>
      </c>
      <c r="AF750" s="1"/>
      <c r="AG750" s="1"/>
      <c r="AH750" s="1"/>
      <c r="AI750" s="1" t="s">
        <v>2327</v>
      </c>
      <c r="AJ750" s="1"/>
      <c r="AK750" s="1"/>
      <c r="AL750" s="1"/>
    </row>
    <row r="751" spans="1:38" hidden="1" x14ac:dyDescent="0.25">
      <c r="A751" s="2">
        <v>981</v>
      </c>
      <c r="B751" s="1" t="s">
        <v>906</v>
      </c>
      <c r="C751" s="1" t="s">
        <v>909</v>
      </c>
      <c r="D751" s="1" t="s">
        <v>2062</v>
      </c>
      <c r="E751" s="1" t="s">
        <v>2063</v>
      </c>
      <c r="F751" s="3">
        <v>45295</v>
      </c>
      <c r="G751" s="3">
        <v>45234</v>
      </c>
      <c r="H751" s="3">
        <v>45599</v>
      </c>
      <c r="I751" s="1" t="s">
        <v>3179</v>
      </c>
      <c r="J751" s="1" t="s">
        <v>3180</v>
      </c>
      <c r="K751" s="1"/>
      <c r="L751" s="1" t="s">
        <v>2638</v>
      </c>
      <c r="M751" s="1" t="s">
        <v>3181</v>
      </c>
      <c r="N751" s="1" t="s">
        <v>3182</v>
      </c>
      <c r="O751" s="1" t="s">
        <v>3183</v>
      </c>
      <c r="P751" s="1" t="s">
        <v>2182</v>
      </c>
      <c r="Q751" s="1"/>
      <c r="R751" s="1"/>
      <c r="S751" s="1" t="s">
        <v>2072</v>
      </c>
      <c r="T751" s="1" t="s">
        <v>3165</v>
      </c>
      <c r="U751" s="4">
        <v>6000000</v>
      </c>
      <c r="V751" s="4">
        <v>1470</v>
      </c>
      <c r="W751" s="4">
        <v>15</v>
      </c>
      <c r="X751" s="4">
        <v>191</v>
      </c>
      <c r="Y751" s="4">
        <v>0</v>
      </c>
      <c r="Z751" s="5">
        <v>1676</v>
      </c>
      <c r="AA751" s="5">
        <v>0</v>
      </c>
      <c r="AB751" s="6">
        <v>0</v>
      </c>
      <c r="AC751" s="4">
        <v>1676</v>
      </c>
      <c r="AD751" s="4">
        <v>0</v>
      </c>
      <c r="AE751" s="4">
        <v>1676</v>
      </c>
      <c r="AF751" s="1"/>
      <c r="AG751" s="1"/>
      <c r="AH751" s="1"/>
      <c r="AI751" s="1" t="s">
        <v>2327</v>
      </c>
      <c r="AJ751" s="6">
        <v>220.64</v>
      </c>
      <c r="AK751" s="6">
        <v>204.07</v>
      </c>
      <c r="AL751" s="1"/>
    </row>
    <row r="752" spans="1:38" hidden="1" x14ac:dyDescent="0.25">
      <c r="A752" s="2">
        <v>982</v>
      </c>
      <c r="B752" s="1" t="s">
        <v>906</v>
      </c>
      <c r="C752" s="1" t="s">
        <v>910</v>
      </c>
      <c r="D752" s="1" t="s">
        <v>2062</v>
      </c>
      <c r="E752" s="1" t="s">
        <v>2063</v>
      </c>
      <c r="F752" s="3">
        <v>45328</v>
      </c>
      <c r="G752" s="3">
        <v>45234</v>
      </c>
      <c r="H752" s="3">
        <v>45599</v>
      </c>
      <c r="I752" s="1" t="s">
        <v>3179</v>
      </c>
      <c r="J752" s="1" t="s">
        <v>3180</v>
      </c>
      <c r="K752" s="1"/>
      <c r="L752" s="1" t="s">
        <v>2638</v>
      </c>
      <c r="M752" s="1" t="s">
        <v>3181</v>
      </c>
      <c r="N752" s="1" t="s">
        <v>3182</v>
      </c>
      <c r="O752" s="1" t="s">
        <v>3183</v>
      </c>
      <c r="P752" s="1" t="s">
        <v>2182</v>
      </c>
      <c r="Q752" s="1"/>
      <c r="R752" s="1"/>
      <c r="S752" s="1" t="s">
        <v>2072</v>
      </c>
      <c r="T752" s="1" t="s">
        <v>3165</v>
      </c>
      <c r="U752" s="4">
        <v>6000000</v>
      </c>
      <c r="V752" s="4">
        <v>325</v>
      </c>
      <c r="W752" s="4">
        <v>3</v>
      </c>
      <c r="X752" s="4">
        <v>42</v>
      </c>
      <c r="Y752" s="4">
        <v>0</v>
      </c>
      <c r="Z752" s="5">
        <v>370</v>
      </c>
      <c r="AA752" s="5">
        <v>0</v>
      </c>
      <c r="AB752" s="6">
        <v>0</v>
      </c>
      <c r="AC752" s="4">
        <v>370</v>
      </c>
      <c r="AD752" s="4">
        <v>0</v>
      </c>
      <c r="AE752" s="4">
        <v>370</v>
      </c>
      <c r="AF752" s="1"/>
      <c r="AG752" s="1"/>
      <c r="AH752" s="1"/>
      <c r="AI752" s="1" t="s">
        <v>2327</v>
      </c>
      <c r="AJ752" s="6">
        <v>48.33</v>
      </c>
      <c r="AK752" s="6">
        <v>45</v>
      </c>
      <c r="AL752" s="1"/>
    </row>
    <row r="753" spans="1:38" hidden="1" x14ac:dyDescent="0.25">
      <c r="A753" s="2">
        <v>983</v>
      </c>
      <c r="B753" s="1" t="s">
        <v>906</v>
      </c>
      <c r="C753" s="1" t="s">
        <v>911</v>
      </c>
      <c r="D753" s="1" t="s">
        <v>2062</v>
      </c>
      <c r="E753" s="1" t="s">
        <v>2063</v>
      </c>
      <c r="F753" s="3">
        <v>45355</v>
      </c>
      <c r="G753" s="3">
        <v>45234</v>
      </c>
      <c r="H753" s="3">
        <v>45599</v>
      </c>
      <c r="I753" s="1" t="s">
        <v>3179</v>
      </c>
      <c r="J753" s="1" t="s">
        <v>3180</v>
      </c>
      <c r="K753" s="1"/>
      <c r="L753" s="1" t="s">
        <v>2638</v>
      </c>
      <c r="M753" s="1" t="s">
        <v>3181</v>
      </c>
      <c r="N753" s="1" t="s">
        <v>3182</v>
      </c>
      <c r="O753" s="1" t="s">
        <v>3183</v>
      </c>
      <c r="P753" s="1" t="s">
        <v>2182</v>
      </c>
      <c r="Q753" s="1"/>
      <c r="R753" s="1"/>
      <c r="S753" s="1" t="s">
        <v>2072</v>
      </c>
      <c r="T753" s="1" t="s">
        <v>3165</v>
      </c>
      <c r="U753" s="4">
        <v>6000000</v>
      </c>
      <c r="V753" s="4">
        <v>870</v>
      </c>
      <c r="W753" s="4">
        <v>9</v>
      </c>
      <c r="X753" s="4">
        <v>113</v>
      </c>
      <c r="Y753" s="4">
        <v>0</v>
      </c>
      <c r="Z753" s="5">
        <v>992</v>
      </c>
      <c r="AA753" s="5">
        <v>0</v>
      </c>
      <c r="AB753" s="6">
        <v>0</v>
      </c>
      <c r="AC753" s="4">
        <v>992</v>
      </c>
      <c r="AD753" s="4">
        <v>0</v>
      </c>
      <c r="AE753" s="4">
        <v>992</v>
      </c>
      <c r="AF753" s="1"/>
      <c r="AG753" s="1"/>
      <c r="AH753" s="1"/>
      <c r="AI753" s="1" t="s">
        <v>2327</v>
      </c>
      <c r="AJ753" s="6">
        <v>165.29</v>
      </c>
      <c r="AK753" s="6">
        <v>120.69</v>
      </c>
      <c r="AL753" s="1"/>
    </row>
    <row r="754" spans="1:38" hidden="1" x14ac:dyDescent="0.25">
      <c r="A754" s="2">
        <v>984</v>
      </c>
      <c r="B754" s="1" t="s">
        <v>906</v>
      </c>
      <c r="C754" s="1" t="s">
        <v>912</v>
      </c>
      <c r="D754" s="1" t="s">
        <v>2062</v>
      </c>
      <c r="E754" s="1" t="s">
        <v>2063</v>
      </c>
      <c r="F754" s="3">
        <v>45386</v>
      </c>
      <c r="G754" s="3">
        <v>45234</v>
      </c>
      <c r="H754" s="3">
        <v>45599</v>
      </c>
      <c r="I754" s="1" t="s">
        <v>3179</v>
      </c>
      <c r="J754" s="1" t="s">
        <v>3180</v>
      </c>
      <c r="K754" s="1"/>
      <c r="L754" s="1" t="s">
        <v>2638</v>
      </c>
      <c r="M754" s="1" t="s">
        <v>3181</v>
      </c>
      <c r="N754" s="1" t="s">
        <v>3182</v>
      </c>
      <c r="O754" s="1" t="s">
        <v>3183</v>
      </c>
      <c r="P754" s="1" t="s">
        <v>2182</v>
      </c>
      <c r="Q754" s="1"/>
      <c r="R754" s="1"/>
      <c r="S754" s="1" t="s">
        <v>2072</v>
      </c>
      <c r="T754" s="1" t="s">
        <v>3165</v>
      </c>
      <c r="U754" s="4">
        <v>6000000</v>
      </c>
      <c r="V754" s="4">
        <v>788</v>
      </c>
      <c r="W754" s="4">
        <v>8</v>
      </c>
      <c r="X754" s="4">
        <v>102</v>
      </c>
      <c r="Y754" s="4">
        <v>0</v>
      </c>
      <c r="Z754" s="5">
        <v>898</v>
      </c>
      <c r="AA754" s="5">
        <v>0</v>
      </c>
      <c r="AB754" s="6">
        <v>0</v>
      </c>
      <c r="AC754" s="4">
        <v>898</v>
      </c>
      <c r="AD754" s="4">
        <v>0</v>
      </c>
      <c r="AE754" s="4">
        <v>898</v>
      </c>
      <c r="AF754" s="1"/>
      <c r="AG754" s="1"/>
      <c r="AH754" s="1"/>
      <c r="AI754" s="1" t="s">
        <v>2327</v>
      </c>
      <c r="AJ754" s="6">
        <v>165.43</v>
      </c>
      <c r="AK754" s="6">
        <v>109.21</v>
      </c>
      <c r="AL754" s="1"/>
    </row>
    <row r="755" spans="1:38" hidden="1" x14ac:dyDescent="0.25">
      <c r="A755" s="2">
        <v>985</v>
      </c>
      <c r="B755" s="1" t="s">
        <v>906</v>
      </c>
      <c r="C755" s="1" t="s">
        <v>913</v>
      </c>
      <c r="D755" s="1" t="s">
        <v>2062</v>
      </c>
      <c r="E755" s="1" t="s">
        <v>2063</v>
      </c>
      <c r="F755" s="3">
        <v>45425</v>
      </c>
      <c r="G755" s="3">
        <v>45234</v>
      </c>
      <c r="H755" s="3">
        <v>45599</v>
      </c>
      <c r="I755" s="1" t="s">
        <v>3179</v>
      </c>
      <c r="J755" s="1" t="s">
        <v>3180</v>
      </c>
      <c r="K755" s="1"/>
      <c r="L755" s="1" t="s">
        <v>2638</v>
      </c>
      <c r="M755" s="1" t="s">
        <v>3181</v>
      </c>
      <c r="N755" s="1" t="s">
        <v>3182</v>
      </c>
      <c r="O755" s="1" t="s">
        <v>3183</v>
      </c>
      <c r="P755" s="1" t="s">
        <v>2182</v>
      </c>
      <c r="Q755" s="1"/>
      <c r="R755" s="1"/>
      <c r="S755" s="1" t="s">
        <v>2072</v>
      </c>
      <c r="T755" s="1" t="s">
        <v>3165</v>
      </c>
      <c r="U755" s="4">
        <v>6000000</v>
      </c>
      <c r="V755" s="4">
        <v>667</v>
      </c>
      <c r="W755" s="4">
        <v>6</v>
      </c>
      <c r="X755" s="4">
        <v>87</v>
      </c>
      <c r="Y755" s="4">
        <v>0</v>
      </c>
      <c r="Z755" s="5">
        <v>760</v>
      </c>
      <c r="AA755" s="5">
        <v>0</v>
      </c>
      <c r="AB755" s="6">
        <v>0</v>
      </c>
      <c r="AC755" s="4">
        <v>760</v>
      </c>
      <c r="AD755" s="4">
        <v>0</v>
      </c>
      <c r="AE755" s="4">
        <v>760</v>
      </c>
      <c r="AF755" s="1"/>
      <c r="AG755" s="1"/>
      <c r="AH755" s="1"/>
      <c r="AI755" s="1" t="s">
        <v>2327</v>
      </c>
      <c r="AJ755" s="6">
        <v>133.38</v>
      </c>
      <c r="AK755" s="6">
        <v>92.5</v>
      </c>
      <c r="AL755" s="1"/>
    </row>
    <row r="756" spans="1:38" hidden="1" x14ac:dyDescent="0.25">
      <c r="A756" s="2">
        <v>986</v>
      </c>
      <c r="B756" s="1" t="s">
        <v>906</v>
      </c>
      <c r="C756" s="1" t="s">
        <v>914</v>
      </c>
      <c r="D756" s="1" t="s">
        <v>2062</v>
      </c>
      <c r="E756" s="1" t="s">
        <v>2063</v>
      </c>
      <c r="F756" s="3">
        <v>45449</v>
      </c>
      <c r="G756" s="3">
        <v>45234</v>
      </c>
      <c r="H756" s="3">
        <v>45599</v>
      </c>
      <c r="I756" s="1" t="s">
        <v>3179</v>
      </c>
      <c r="J756" s="1" t="s">
        <v>3180</v>
      </c>
      <c r="K756" s="1"/>
      <c r="L756" s="1" t="s">
        <v>2638</v>
      </c>
      <c r="M756" s="1" t="s">
        <v>3181</v>
      </c>
      <c r="N756" s="1" t="s">
        <v>3182</v>
      </c>
      <c r="O756" s="1" t="s">
        <v>3183</v>
      </c>
      <c r="P756" s="1" t="s">
        <v>2182</v>
      </c>
      <c r="Q756" s="1"/>
      <c r="R756" s="1"/>
      <c r="S756" s="1" t="s">
        <v>2072</v>
      </c>
      <c r="T756" s="1" t="s">
        <v>3165</v>
      </c>
      <c r="U756" s="4">
        <v>6000000</v>
      </c>
      <c r="V756" s="4">
        <v>1277</v>
      </c>
      <c r="W756" s="4">
        <v>13</v>
      </c>
      <c r="X756" s="4">
        <v>166</v>
      </c>
      <c r="Y756" s="4">
        <v>0</v>
      </c>
      <c r="Z756" s="5">
        <v>1456</v>
      </c>
      <c r="AA756" s="5">
        <v>0</v>
      </c>
      <c r="AB756" s="6">
        <v>0</v>
      </c>
      <c r="AC756" s="4">
        <v>1456</v>
      </c>
      <c r="AD756" s="4">
        <v>0</v>
      </c>
      <c r="AE756" s="4">
        <v>1456</v>
      </c>
      <c r="AF756" s="1"/>
      <c r="AG756" s="1"/>
      <c r="AH756" s="1"/>
      <c r="AI756" s="1" t="s">
        <v>2327</v>
      </c>
      <c r="AJ756" s="6">
        <v>214.76</v>
      </c>
      <c r="AK756" s="6">
        <v>177.43</v>
      </c>
      <c r="AL756" s="1"/>
    </row>
    <row r="757" spans="1:38" hidden="1" x14ac:dyDescent="0.25">
      <c r="A757" s="2">
        <v>987</v>
      </c>
      <c r="B757" s="1" t="s">
        <v>906</v>
      </c>
      <c r="C757" s="1" t="s">
        <v>915</v>
      </c>
      <c r="D757" s="1" t="s">
        <v>2062</v>
      </c>
      <c r="E757" s="1" t="s">
        <v>2063</v>
      </c>
      <c r="F757" s="3">
        <v>45477</v>
      </c>
      <c r="G757" s="3">
        <v>45234</v>
      </c>
      <c r="H757" s="3">
        <v>45599</v>
      </c>
      <c r="I757" s="1" t="s">
        <v>3179</v>
      </c>
      <c r="J757" s="1" t="s">
        <v>3180</v>
      </c>
      <c r="K757" s="1"/>
      <c r="L757" s="1" t="s">
        <v>2638</v>
      </c>
      <c r="M757" s="1" t="s">
        <v>3181</v>
      </c>
      <c r="N757" s="1" t="s">
        <v>3182</v>
      </c>
      <c r="O757" s="1" t="s">
        <v>3183</v>
      </c>
      <c r="P757" s="1" t="s">
        <v>2182</v>
      </c>
      <c r="Q757" s="1"/>
      <c r="R757" s="1"/>
      <c r="S757" s="1" t="s">
        <v>2072</v>
      </c>
      <c r="T757" s="1" t="s">
        <v>3165</v>
      </c>
      <c r="U757" s="4">
        <v>6000000</v>
      </c>
      <c r="V757" s="4">
        <v>379</v>
      </c>
      <c r="W757" s="4">
        <v>4</v>
      </c>
      <c r="X757" s="4">
        <v>57</v>
      </c>
      <c r="Y757" s="4">
        <v>0</v>
      </c>
      <c r="Z757" s="5">
        <v>440</v>
      </c>
      <c r="AA757" s="5">
        <v>0</v>
      </c>
      <c r="AB757" s="6">
        <v>0</v>
      </c>
      <c r="AC757" s="4">
        <v>440</v>
      </c>
      <c r="AD757" s="4">
        <v>0</v>
      </c>
      <c r="AE757" s="4">
        <v>440</v>
      </c>
      <c r="AF757" s="1"/>
      <c r="AG757" s="1"/>
      <c r="AH757" s="1"/>
      <c r="AI757" s="1" t="s">
        <v>2327</v>
      </c>
      <c r="AJ757" s="6">
        <v>53.45</v>
      </c>
      <c r="AK757" s="6">
        <v>53.45</v>
      </c>
      <c r="AL757" s="1"/>
    </row>
    <row r="758" spans="1:38" hidden="1" x14ac:dyDescent="0.25">
      <c r="A758" s="2">
        <v>988</v>
      </c>
      <c r="B758" s="1" t="s">
        <v>906</v>
      </c>
      <c r="C758" s="1" t="s">
        <v>916</v>
      </c>
      <c r="D758" s="1" t="s">
        <v>2062</v>
      </c>
      <c r="E758" s="1" t="s">
        <v>2063</v>
      </c>
      <c r="F758" s="3">
        <v>45511</v>
      </c>
      <c r="G758" s="3">
        <v>45234</v>
      </c>
      <c r="H758" s="3">
        <v>45599</v>
      </c>
      <c r="I758" s="1" t="s">
        <v>3179</v>
      </c>
      <c r="J758" s="1" t="s">
        <v>3180</v>
      </c>
      <c r="K758" s="1"/>
      <c r="L758" s="1" t="s">
        <v>2638</v>
      </c>
      <c r="M758" s="1" t="s">
        <v>3181</v>
      </c>
      <c r="N758" s="1" t="s">
        <v>3182</v>
      </c>
      <c r="O758" s="1" t="s">
        <v>3183</v>
      </c>
      <c r="P758" s="1" t="s">
        <v>2182</v>
      </c>
      <c r="Q758" s="1"/>
      <c r="R758" s="1"/>
      <c r="S758" s="1" t="s">
        <v>2072</v>
      </c>
      <c r="T758" s="1" t="s">
        <v>3165</v>
      </c>
      <c r="U758" s="4">
        <v>6000000</v>
      </c>
      <c r="V758" s="4">
        <v>97</v>
      </c>
      <c r="W758" s="4">
        <v>1</v>
      </c>
      <c r="X758" s="4">
        <v>15</v>
      </c>
      <c r="Y758" s="4">
        <v>0</v>
      </c>
      <c r="Z758" s="5">
        <v>113</v>
      </c>
      <c r="AA758" s="5">
        <v>0</v>
      </c>
      <c r="AB758" s="6">
        <v>0</v>
      </c>
      <c r="AC758" s="4">
        <v>113</v>
      </c>
      <c r="AD758" s="4">
        <v>0</v>
      </c>
      <c r="AE758" s="4">
        <v>113</v>
      </c>
      <c r="AF758" s="1"/>
      <c r="AG758" s="1"/>
      <c r="AH758" s="1"/>
      <c r="AI758" s="1" t="s">
        <v>2327</v>
      </c>
      <c r="AJ758" s="6">
        <v>13.67</v>
      </c>
      <c r="AK758" s="6">
        <v>13.67</v>
      </c>
      <c r="AL758" s="1"/>
    </row>
    <row r="759" spans="1:38" hidden="1" x14ac:dyDescent="0.25">
      <c r="A759" s="2">
        <v>989</v>
      </c>
      <c r="B759" s="1" t="s">
        <v>906</v>
      </c>
      <c r="C759" s="1" t="s">
        <v>917</v>
      </c>
      <c r="D759" s="1" t="s">
        <v>2062</v>
      </c>
      <c r="E759" s="1" t="s">
        <v>2063</v>
      </c>
      <c r="F759" s="3">
        <v>45541</v>
      </c>
      <c r="G759" s="3">
        <v>45234</v>
      </c>
      <c r="H759" s="3">
        <v>45599</v>
      </c>
      <c r="I759" s="1" t="s">
        <v>3179</v>
      </c>
      <c r="J759" s="1" t="s">
        <v>3180</v>
      </c>
      <c r="K759" s="1"/>
      <c r="L759" s="1" t="s">
        <v>2638</v>
      </c>
      <c r="M759" s="1" t="s">
        <v>3181</v>
      </c>
      <c r="N759" s="1" t="s">
        <v>3182</v>
      </c>
      <c r="O759" s="1" t="s">
        <v>3183</v>
      </c>
      <c r="P759" s="1" t="s">
        <v>2182</v>
      </c>
      <c r="Q759" s="1"/>
      <c r="R759" s="1"/>
      <c r="S759" s="1" t="s">
        <v>2072</v>
      </c>
      <c r="T759" s="1" t="s">
        <v>3165</v>
      </c>
      <c r="U759" s="4">
        <v>6000000</v>
      </c>
      <c r="V759" s="4">
        <v>1482</v>
      </c>
      <c r="W759" s="4">
        <v>15</v>
      </c>
      <c r="X759" s="4">
        <v>222</v>
      </c>
      <c r="Y759" s="4">
        <v>0</v>
      </c>
      <c r="Z759" s="5">
        <v>1719</v>
      </c>
      <c r="AA759" s="5">
        <v>0</v>
      </c>
      <c r="AB759" s="6">
        <v>0</v>
      </c>
      <c r="AC759" s="4">
        <v>1719</v>
      </c>
      <c r="AD759" s="4">
        <v>0</v>
      </c>
      <c r="AE759" s="4">
        <v>1719</v>
      </c>
      <c r="AF759" s="1"/>
      <c r="AG759" s="1"/>
      <c r="AH759" s="1"/>
      <c r="AI759" s="1" t="s">
        <v>2327</v>
      </c>
      <c r="AJ759" s="6">
        <v>243.33</v>
      </c>
      <c r="AK759" s="6">
        <v>209.09</v>
      </c>
      <c r="AL759" s="1"/>
    </row>
    <row r="760" spans="1:38" hidden="1" x14ac:dyDescent="0.25">
      <c r="A760" s="2">
        <v>990</v>
      </c>
      <c r="B760" s="1" t="s">
        <v>906</v>
      </c>
      <c r="C760" s="1" t="s">
        <v>918</v>
      </c>
      <c r="D760" s="1" t="s">
        <v>2062</v>
      </c>
      <c r="E760" s="1" t="s">
        <v>2063</v>
      </c>
      <c r="F760" s="3">
        <v>45574</v>
      </c>
      <c r="G760" s="3">
        <v>45234</v>
      </c>
      <c r="H760" s="3">
        <v>45599</v>
      </c>
      <c r="I760" s="1" t="s">
        <v>3179</v>
      </c>
      <c r="J760" s="1" t="s">
        <v>3180</v>
      </c>
      <c r="K760" s="1"/>
      <c r="L760" s="1" t="s">
        <v>2638</v>
      </c>
      <c r="M760" s="1" t="s">
        <v>3181</v>
      </c>
      <c r="N760" s="1" t="s">
        <v>3182</v>
      </c>
      <c r="O760" s="1" t="s">
        <v>3183</v>
      </c>
      <c r="P760" s="1" t="s">
        <v>2182</v>
      </c>
      <c r="Q760" s="1"/>
      <c r="R760" s="1"/>
      <c r="S760" s="1" t="s">
        <v>2072</v>
      </c>
      <c r="T760" s="1" t="s">
        <v>3165</v>
      </c>
      <c r="U760" s="4">
        <v>6000000</v>
      </c>
      <c r="V760" s="4">
        <v>13</v>
      </c>
      <c r="W760" s="4">
        <v>0</v>
      </c>
      <c r="X760" s="4">
        <v>2</v>
      </c>
      <c r="Y760" s="4">
        <v>0</v>
      </c>
      <c r="Z760" s="5">
        <v>15</v>
      </c>
      <c r="AA760" s="5">
        <v>0</v>
      </c>
      <c r="AB760" s="6">
        <v>0</v>
      </c>
      <c r="AC760" s="4">
        <v>15</v>
      </c>
      <c r="AD760" s="4">
        <v>0</v>
      </c>
      <c r="AE760" s="4">
        <v>15</v>
      </c>
      <c r="AF760" s="1"/>
      <c r="AG760" s="1"/>
      <c r="AH760" s="1"/>
      <c r="AI760" s="1" t="s">
        <v>2327</v>
      </c>
      <c r="AJ760" s="6">
        <v>1.77</v>
      </c>
      <c r="AK760" s="6">
        <v>1.77</v>
      </c>
      <c r="AL760" s="1"/>
    </row>
    <row r="761" spans="1:38" hidden="1" x14ac:dyDescent="0.25">
      <c r="A761" s="2">
        <v>991</v>
      </c>
      <c r="B761" s="1" t="s">
        <v>906</v>
      </c>
      <c r="C761" s="1" t="s">
        <v>919</v>
      </c>
      <c r="D761" s="1" t="s">
        <v>2062</v>
      </c>
      <c r="E761" s="1" t="s">
        <v>2063</v>
      </c>
      <c r="F761" s="3">
        <v>45601</v>
      </c>
      <c r="G761" s="3">
        <v>45234</v>
      </c>
      <c r="H761" s="3">
        <v>45599</v>
      </c>
      <c r="I761" s="1" t="s">
        <v>3179</v>
      </c>
      <c r="J761" s="1" t="s">
        <v>3180</v>
      </c>
      <c r="K761" s="1"/>
      <c r="L761" s="1" t="s">
        <v>2638</v>
      </c>
      <c r="M761" s="1" t="s">
        <v>3181</v>
      </c>
      <c r="N761" s="1" t="s">
        <v>3182</v>
      </c>
      <c r="O761" s="1" t="s">
        <v>3183</v>
      </c>
      <c r="P761" s="1" t="s">
        <v>2182</v>
      </c>
      <c r="Q761" s="1"/>
      <c r="R761" s="1"/>
      <c r="S761" s="1" t="s">
        <v>2072</v>
      </c>
      <c r="T761" s="1" t="s">
        <v>3165</v>
      </c>
      <c r="U761" s="4">
        <v>6000000</v>
      </c>
      <c r="V761" s="4">
        <v>856</v>
      </c>
      <c r="W761" s="4">
        <v>9</v>
      </c>
      <c r="X761" s="4">
        <v>128</v>
      </c>
      <c r="Y761" s="4">
        <v>0</v>
      </c>
      <c r="Z761" s="5">
        <v>993</v>
      </c>
      <c r="AA761" s="5">
        <v>0</v>
      </c>
      <c r="AB761" s="6">
        <v>0</v>
      </c>
      <c r="AC761" s="4">
        <v>993</v>
      </c>
      <c r="AD761" s="4">
        <v>0</v>
      </c>
      <c r="AE761" s="4">
        <v>993</v>
      </c>
      <c r="AF761" s="1"/>
      <c r="AG761" s="1"/>
      <c r="AH761" s="1"/>
      <c r="AI761" s="1" t="s">
        <v>2327</v>
      </c>
      <c r="AJ761" s="6">
        <v>120.75</v>
      </c>
      <c r="AK761" s="6">
        <v>120.75</v>
      </c>
      <c r="AL761" s="1"/>
    </row>
    <row r="762" spans="1:38" hidden="1" x14ac:dyDescent="0.25">
      <c r="A762" s="2">
        <v>992</v>
      </c>
      <c r="B762" s="1" t="s">
        <v>906</v>
      </c>
      <c r="C762" s="1" t="s">
        <v>920</v>
      </c>
      <c r="D762" s="1" t="s">
        <v>2062</v>
      </c>
      <c r="E762" s="1" t="s">
        <v>2063</v>
      </c>
      <c r="F762" s="3">
        <v>45655</v>
      </c>
      <c r="G762" s="3">
        <v>45234</v>
      </c>
      <c r="H762" s="3">
        <v>45599</v>
      </c>
      <c r="I762" s="1" t="s">
        <v>3179</v>
      </c>
      <c r="J762" s="1" t="s">
        <v>3180</v>
      </c>
      <c r="K762" s="1"/>
      <c r="L762" s="1" t="s">
        <v>2638</v>
      </c>
      <c r="M762" s="1" t="s">
        <v>3181</v>
      </c>
      <c r="N762" s="1" t="s">
        <v>3182</v>
      </c>
      <c r="O762" s="1" t="s">
        <v>3183</v>
      </c>
      <c r="P762" s="1" t="s">
        <v>2182</v>
      </c>
      <c r="Q762" s="1"/>
      <c r="R762" s="1"/>
      <c r="S762" s="1" t="s">
        <v>2072</v>
      </c>
      <c r="T762" s="1" t="s">
        <v>3165</v>
      </c>
      <c r="U762" s="4">
        <v>-1</v>
      </c>
      <c r="V762" s="4">
        <v>-123200</v>
      </c>
      <c r="W762" s="4">
        <v>-1232</v>
      </c>
      <c r="X762" s="4">
        <v>0</v>
      </c>
      <c r="Y762" s="4">
        <v>0</v>
      </c>
      <c r="Z762" s="5">
        <v>-124432</v>
      </c>
      <c r="AA762" s="5">
        <v>0</v>
      </c>
      <c r="AB762" s="6">
        <v>0</v>
      </c>
      <c r="AC762" s="4">
        <v>-124432</v>
      </c>
      <c r="AD762" s="4">
        <v>0</v>
      </c>
      <c r="AE762" s="4">
        <v>-124432</v>
      </c>
      <c r="AF762" s="1"/>
      <c r="AG762" s="1"/>
      <c r="AH762" s="1"/>
      <c r="AI762" s="1" t="s">
        <v>2327</v>
      </c>
      <c r="AJ762" s="1"/>
      <c r="AK762" s="1"/>
      <c r="AL762" s="1"/>
    </row>
    <row r="763" spans="1:38" hidden="1" x14ac:dyDescent="0.25">
      <c r="A763" s="2">
        <v>993</v>
      </c>
      <c r="B763" s="1" t="s">
        <v>921</v>
      </c>
      <c r="C763" s="1" t="s">
        <v>922</v>
      </c>
      <c r="D763" s="1" t="s">
        <v>2062</v>
      </c>
      <c r="E763" s="1" t="s">
        <v>2063</v>
      </c>
      <c r="F763" s="3">
        <v>45267</v>
      </c>
      <c r="G763" s="3">
        <v>45233</v>
      </c>
      <c r="H763" s="3">
        <v>45598</v>
      </c>
      <c r="I763" s="1" t="s">
        <v>3184</v>
      </c>
      <c r="J763" s="1" t="s">
        <v>3185</v>
      </c>
      <c r="K763" s="1"/>
      <c r="L763" s="1" t="s">
        <v>3186</v>
      </c>
      <c r="M763" s="1" t="s">
        <v>3187</v>
      </c>
      <c r="N763" s="1" t="s">
        <v>3188</v>
      </c>
      <c r="O763" s="1" t="s">
        <v>3189</v>
      </c>
      <c r="P763" s="1" t="s">
        <v>2095</v>
      </c>
      <c r="Q763" s="1"/>
      <c r="R763" s="1"/>
      <c r="S763" s="1" t="s">
        <v>2072</v>
      </c>
      <c r="T763" s="1" t="s">
        <v>3165</v>
      </c>
      <c r="U763" s="4">
        <v>3000000</v>
      </c>
      <c r="V763" s="4">
        <v>3683</v>
      </c>
      <c r="W763" s="4">
        <v>37</v>
      </c>
      <c r="X763" s="4">
        <v>479</v>
      </c>
      <c r="Y763" s="4">
        <v>0</v>
      </c>
      <c r="Z763" s="5">
        <v>4199</v>
      </c>
      <c r="AA763" s="5">
        <v>0</v>
      </c>
      <c r="AB763" s="6">
        <v>0</v>
      </c>
      <c r="AC763" s="4">
        <v>4199</v>
      </c>
      <c r="AD763" s="4">
        <v>0</v>
      </c>
      <c r="AE763" s="4">
        <v>4199</v>
      </c>
      <c r="AF763" s="1"/>
      <c r="AG763" s="1"/>
      <c r="AH763" s="1"/>
      <c r="AI763" s="1" t="s">
        <v>2327</v>
      </c>
      <c r="AJ763" s="6">
        <v>1489.99</v>
      </c>
      <c r="AK763" s="6">
        <v>1021.48</v>
      </c>
      <c r="AL763" s="1"/>
    </row>
    <row r="764" spans="1:38" hidden="1" x14ac:dyDescent="0.25">
      <c r="A764" s="2">
        <v>994</v>
      </c>
      <c r="B764" s="1" t="s">
        <v>921</v>
      </c>
      <c r="C764" s="1" t="s">
        <v>923</v>
      </c>
      <c r="D764" s="1" t="s">
        <v>2062</v>
      </c>
      <c r="E764" s="1" t="s">
        <v>2063</v>
      </c>
      <c r="F764" s="3">
        <v>45289</v>
      </c>
      <c r="G764" s="3">
        <v>45233</v>
      </c>
      <c r="H764" s="3">
        <v>45598</v>
      </c>
      <c r="I764" s="1" t="s">
        <v>3184</v>
      </c>
      <c r="J764" s="1" t="s">
        <v>3185</v>
      </c>
      <c r="K764" s="1"/>
      <c r="L764" s="1" t="s">
        <v>3186</v>
      </c>
      <c r="M764" s="1" t="s">
        <v>3187</v>
      </c>
      <c r="N764" s="1" t="s">
        <v>3188</v>
      </c>
      <c r="O764" s="1" t="s">
        <v>3189</v>
      </c>
      <c r="P764" s="1" t="s">
        <v>2095</v>
      </c>
      <c r="Q764" s="1"/>
      <c r="R764" s="1"/>
      <c r="S764" s="1" t="s">
        <v>2072</v>
      </c>
      <c r="T764" s="1" t="s">
        <v>3165</v>
      </c>
      <c r="U764" s="4">
        <v>3000000</v>
      </c>
      <c r="V764" s="4">
        <v>44562</v>
      </c>
      <c r="W764" s="4">
        <v>446</v>
      </c>
      <c r="X764" s="4">
        <v>5793</v>
      </c>
      <c r="Y764" s="4">
        <v>0</v>
      </c>
      <c r="Z764" s="5">
        <v>50801</v>
      </c>
      <c r="AA764" s="5">
        <v>0</v>
      </c>
      <c r="AB764" s="6">
        <v>0</v>
      </c>
      <c r="AC764" s="4">
        <v>50801</v>
      </c>
      <c r="AD764" s="4">
        <v>0</v>
      </c>
      <c r="AE764" s="4">
        <v>50801</v>
      </c>
      <c r="AF764" s="1"/>
      <c r="AG764" s="1"/>
      <c r="AH764" s="1"/>
      <c r="AI764" s="1" t="s">
        <v>2327</v>
      </c>
      <c r="AJ764" s="1"/>
      <c r="AK764" s="1"/>
      <c r="AL764" s="1"/>
    </row>
    <row r="765" spans="1:38" hidden="1" x14ac:dyDescent="0.25">
      <c r="A765" s="2">
        <v>995</v>
      </c>
      <c r="B765" s="1" t="s">
        <v>921</v>
      </c>
      <c r="C765" s="1" t="s">
        <v>924</v>
      </c>
      <c r="D765" s="1" t="s">
        <v>2062</v>
      </c>
      <c r="E765" s="1" t="s">
        <v>2063</v>
      </c>
      <c r="F765" s="3">
        <v>45294</v>
      </c>
      <c r="G765" s="3">
        <v>45233</v>
      </c>
      <c r="H765" s="3">
        <v>45598</v>
      </c>
      <c r="I765" s="1" t="s">
        <v>3184</v>
      </c>
      <c r="J765" s="1" t="s">
        <v>3185</v>
      </c>
      <c r="K765" s="1"/>
      <c r="L765" s="1" t="s">
        <v>3186</v>
      </c>
      <c r="M765" s="1" t="s">
        <v>3187</v>
      </c>
      <c r="N765" s="1" t="s">
        <v>3188</v>
      </c>
      <c r="O765" s="1" t="s">
        <v>3189</v>
      </c>
      <c r="P765" s="1" t="s">
        <v>2095</v>
      </c>
      <c r="Q765" s="1"/>
      <c r="R765" s="1"/>
      <c r="S765" s="1" t="s">
        <v>2072</v>
      </c>
      <c r="T765" s="1" t="s">
        <v>3165</v>
      </c>
      <c r="U765" s="4">
        <v>3000000</v>
      </c>
      <c r="V765" s="4">
        <v>4776</v>
      </c>
      <c r="W765" s="4">
        <v>48</v>
      </c>
      <c r="X765" s="4">
        <v>621</v>
      </c>
      <c r="Y765" s="4">
        <v>0</v>
      </c>
      <c r="Z765" s="5">
        <v>5445</v>
      </c>
      <c r="AA765" s="5">
        <v>0</v>
      </c>
      <c r="AB765" s="6">
        <v>0</v>
      </c>
      <c r="AC765" s="4">
        <v>5445</v>
      </c>
      <c r="AD765" s="4">
        <v>0</v>
      </c>
      <c r="AE765" s="4">
        <v>5445</v>
      </c>
      <c r="AF765" s="1"/>
      <c r="AG765" s="1"/>
      <c r="AH765" s="1"/>
      <c r="AI765" s="1" t="s">
        <v>2327</v>
      </c>
      <c r="AJ765" s="6">
        <v>1913.9899999999971</v>
      </c>
      <c r="AK765" s="6">
        <v>1324.61</v>
      </c>
      <c r="AL765" s="1"/>
    </row>
    <row r="766" spans="1:38" hidden="1" x14ac:dyDescent="0.25">
      <c r="A766" s="2">
        <v>996</v>
      </c>
      <c r="B766" s="1" t="s">
        <v>921</v>
      </c>
      <c r="C766" s="1" t="s">
        <v>925</v>
      </c>
      <c r="D766" s="1" t="s">
        <v>2062</v>
      </c>
      <c r="E766" s="1" t="s">
        <v>2063</v>
      </c>
      <c r="F766" s="3">
        <v>45328</v>
      </c>
      <c r="G766" s="3">
        <v>45233</v>
      </c>
      <c r="H766" s="3">
        <v>45598</v>
      </c>
      <c r="I766" s="1" t="s">
        <v>3184</v>
      </c>
      <c r="J766" s="1" t="s">
        <v>3185</v>
      </c>
      <c r="K766" s="1"/>
      <c r="L766" s="1" t="s">
        <v>3186</v>
      </c>
      <c r="M766" s="1" t="s">
        <v>3187</v>
      </c>
      <c r="N766" s="1" t="s">
        <v>3188</v>
      </c>
      <c r="O766" s="1" t="s">
        <v>3189</v>
      </c>
      <c r="P766" s="1" t="s">
        <v>2095</v>
      </c>
      <c r="Q766" s="1"/>
      <c r="R766" s="1"/>
      <c r="S766" s="1" t="s">
        <v>2072</v>
      </c>
      <c r="T766" s="1" t="s">
        <v>3165</v>
      </c>
      <c r="U766" s="4">
        <v>3000000</v>
      </c>
      <c r="V766" s="4">
        <v>4651</v>
      </c>
      <c r="W766" s="4">
        <v>46</v>
      </c>
      <c r="X766" s="4">
        <v>605</v>
      </c>
      <c r="Y766" s="4">
        <v>0</v>
      </c>
      <c r="Z766" s="5">
        <v>5302</v>
      </c>
      <c r="AA766" s="5">
        <v>0</v>
      </c>
      <c r="AB766" s="6">
        <v>0</v>
      </c>
      <c r="AC766" s="4">
        <v>5302</v>
      </c>
      <c r="AD766" s="4">
        <v>0</v>
      </c>
      <c r="AE766" s="4">
        <v>5302</v>
      </c>
      <c r="AF766" s="1"/>
      <c r="AG766" s="1"/>
      <c r="AH766" s="1"/>
      <c r="AI766" s="1" t="s">
        <v>2327</v>
      </c>
      <c r="AJ766" s="6">
        <v>1693.9399999999991</v>
      </c>
      <c r="AK766" s="6">
        <v>1289.3200000000002</v>
      </c>
      <c r="AL766" s="1"/>
    </row>
    <row r="767" spans="1:38" hidden="1" x14ac:dyDescent="0.25">
      <c r="A767" s="2">
        <v>997</v>
      </c>
      <c r="B767" s="1" t="s">
        <v>921</v>
      </c>
      <c r="C767" s="1" t="s">
        <v>926</v>
      </c>
      <c r="D767" s="1" t="s">
        <v>2062</v>
      </c>
      <c r="E767" s="1" t="s">
        <v>2063</v>
      </c>
      <c r="F767" s="3">
        <v>45355</v>
      </c>
      <c r="G767" s="3">
        <v>45233</v>
      </c>
      <c r="H767" s="3">
        <v>45598</v>
      </c>
      <c r="I767" s="1" t="s">
        <v>3184</v>
      </c>
      <c r="J767" s="1" t="s">
        <v>3185</v>
      </c>
      <c r="K767" s="1"/>
      <c r="L767" s="1" t="s">
        <v>3186</v>
      </c>
      <c r="M767" s="1" t="s">
        <v>3187</v>
      </c>
      <c r="N767" s="1" t="s">
        <v>3188</v>
      </c>
      <c r="O767" s="1" t="s">
        <v>3189</v>
      </c>
      <c r="P767" s="1" t="s">
        <v>2095</v>
      </c>
      <c r="Q767" s="1"/>
      <c r="R767" s="1"/>
      <c r="S767" s="1" t="s">
        <v>2072</v>
      </c>
      <c r="T767" s="1" t="s">
        <v>3165</v>
      </c>
      <c r="U767" s="4">
        <v>3000000</v>
      </c>
      <c r="V767" s="4">
        <v>3334</v>
      </c>
      <c r="W767" s="4">
        <v>34</v>
      </c>
      <c r="X767" s="4">
        <v>434</v>
      </c>
      <c r="Y767" s="4">
        <v>0</v>
      </c>
      <c r="Z767" s="5">
        <v>3802</v>
      </c>
      <c r="AA767" s="5">
        <v>0</v>
      </c>
      <c r="AB767" s="6">
        <v>0</v>
      </c>
      <c r="AC767" s="4">
        <v>3802</v>
      </c>
      <c r="AD767" s="4">
        <v>0</v>
      </c>
      <c r="AE767" s="4">
        <v>3802</v>
      </c>
      <c r="AF767" s="1"/>
      <c r="AG767" s="1"/>
      <c r="AH767" s="1"/>
      <c r="AI767" s="1" t="s">
        <v>2327</v>
      </c>
      <c r="AJ767" s="6">
        <v>1201.0399999999979</v>
      </c>
      <c r="AK767" s="6">
        <v>925.32000000000107</v>
      </c>
      <c r="AL767" s="1"/>
    </row>
    <row r="768" spans="1:38" hidden="1" x14ac:dyDescent="0.25">
      <c r="A768" s="2">
        <v>998</v>
      </c>
      <c r="B768" s="1" t="s">
        <v>921</v>
      </c>
      <c r="C768" s="1" t="s">
        <v>927</v>
      </c>
      <c r="D768" s="1" t="s">
        <v>2062</v>
      </c>
      <c r="E768" s="1" t="s">
        <v>2063</v>
      </c>
      <c r="F768" s="3">
        <v>45385</v>
      </c>
      <c r="G768" s="3">
        <v>45233</v>
      </c>
      <c r="H768" s="3">
        <v>45598</v>
      </c>
      <c r="I768" s="1" t="s">
        <v>3184</v>
      </c>
      <c r="J768" s="1" t="s">
        <v>3185</v>
      </c>
      <c r="K768" s="1"/>
      <c r="L768" s="1" t="s">
        <v>3186</v>
      </c>
      <c r="M768" s="1" t="s">
        <v>3187</v>
      </c>
      <c r="N768" s="1" t="s">
        <v>3188</v>
      </c>
      <c r="O768" s="1" t="s">
        <v>3189</v>
      </c>
      <c r="P768" s="1" t="s">
        <v>2095</v>
      </c>
      <c r="Q768" s="1"/>
      <c r="R768" s="1"/>
      <c r="S768" s="1" t="s">
        <v>2072</v>
      </c>
      <c r="T768" s="1" t="s">
        <v>3165</v>
      </c>
      <c r="U768" s="4">
        <v>3000000</v>
      </c>
      <c r="V768" s="4">
        <v>4564</v>
      </c>
      <c r="W768" s="4">
        <v>45</v>
      </c>
      <c r="X768" s="4">
        <v>593</v>
      </c>
      <c r="Y768" s="4">
        <v>0</v>
      </c>
      <c r="Z768" s="5">
        <v>5202</v>
      </c>
      <c r="AA768" s="5">
        <v>0</v>
      </c>
      <c r="AB768" s="6">
        <v>0</v>
      </c>
      <c r="AC768" s="4">
        <v>5202</v>
      </c>
      <c r="AD768" s="4">
        <v>0</v>
      </c>
      <c r="AE768" s="4">
        <v>5202</v>
      </c>
      <c r="AF768" s="1"/>
      <c r="AG768" s="1"/>
      <c r="AH768" s="1"/>
      <c r="AI768" s="1" t="s">
        <v>2327</v>
      </c>
      <c r="AJ768" s="6">
        <v>1887.3999999999951</v>
      </c>
      <c r="AK768" s="6">
        <v>1265.42</v>
      </c>
      <c r="AL768" s="1"/>
    </row>
    <row r="769" spans="1:38" hidden="1" x14ac:dyDescent="0.25">
      <c r="A769" s="2">
        <v>999</v>
      </c>
      <c r="B769" s="1" t="s">
        <v>921</v>
      </c>
      <c r="C769" s="1" t="s">
        <v>928</v>
      </c>
      <c r="D769" s="1" t="s">
        <v>2062</v>
      </c>
      <c r="E769" s="1" t="s">
        <v>2063</v>
      </c>
      <c r="F769" s="3">
        <v>45425</v>
      </c>
      <c r="G769" s="3">
        <v>45233</v>
      </c>
      <c r="H769" s="3">
        <v>45598</v>
      </c>
      <c r="I769" s="1" t="s">
        <v>3184</v>
      </c>
      <c r="J769" s="1" t="s">
        <v>3185</v>
      </c>
      <c r="K769" s="1"/>
      <c r="L769" s="1" t="s">
        <v>3186</v>
      </c>
      <c r="M769" s="1" t="s">
        <v>3187</v>
      </c>
      <c r="N769" s="1" t="s">
        <v>3188</v>
      </c>
      <c r="O769" s="1" t="s">
        <v>3189</v>
      </c>
      <c r="P769" s="1" t="s">
        <v>2095</v>
      </c>
      <c r="Q769" s="1"/>
      <c r="R769" s="1"/>
      <c r="S769" s="1" t="s">
        <v>2072</v>
      </c>
      <c r="T769" s="1" t="s">
        <v>3165</v>
      </c>
      <c r="U769" s="4">
        <v>3000000</v>
      </c>
      <c r="V769" s="4">
        <v>3891</v>
      </c>
      <c r="W769" s="4">
        <v>39</v>
      </c>
      <c r="X769" s="4">
        <v>506</v>
      </c>
      <c r="Y769" s="4">
        <v>0</v>
      </c>
      <c r="Z769" s="5">
        <v>4436</v>
      </c>
      <c r="AA769" s="5">
        <v>0</v>
      </c>
      <c r="AB769" s="6">
        <v>0</v>
      </c>
      <c r="AC769" s="4">
        <v>4436</v>
      </c>
      <c r="AD769" s="4">
        <v>0</v>
      </c>
      <c r="AE769" s="4">
        <v>4436</v>
      </c>
      <c r="AF769" s="1"/>
      <c r="AG769" s="1"/>
      <c r="AH769" s="1"/>
      <c r="AI769" s="1" t="s">
        <v>2327</v>
      </c>
      <c r="AJ769" s="6">
        <v>1528.249999999997</v>
      </c>
      <c r="AK769" s="6">
        <v>1079.52</v>
      </c>
      <c r="AL769" s="1"/>
    </row>
    <row r="770" spans="1:38" hidden="1" x14ac:dyDescent="0.25">
      <c r="A770" s="2">
        <v>1000</v>
      </c>
      <c r="B770" s="1" t="s">
        <v>921</v>
      </c>
      <c r="C770" s="1" t="s">
        <v>929</v>
      </c>
      <c r="D770" s="1" t="s">
        <v>2062</v>
      </c>
      <c r="E770" s="1" t="s">
        <v>2063</v>
      </c>
      <c r="F770" s="3">
        <v>45449</v>
      </c>
      <c r="G770" s="3">
        <v>45233</v>
      </c>
      <c r="H770" s="3">
        <v>45598</v>
      </c>
      <c r="I770" s="1" t="s">
        <v>3184</v>
      </c>
      <c r="J770" s="1" t="s">
        <v>3185</v>
      </c>
      <c r="K770" s="1"/>
      <c r="L770" s="1" t="s">
        <v>3186</v>
      </c>
      <c r="M770" s="1" t="s">
        <v>3187</v>
      </c>
      <c r="N770" s="1" t="s">
        <v>3188</v>
      </c>
      <c r="O770" s="1" t="s">
        <v>3189</v>
      </c>
      <c r="P770" s="1" t="s">
        <v>2095</v>
      </c>
      <c r="Q770" s="1"/>
      <c r="R770" s="1"/>
      <c r="S770" s="1" t="s">
        <v>2072</v>
      </c>
      <c r="T770" s="1" t="s">
        <v>3165</v>
      </c>
      <c r="U770" s="4">
        <v>3000000</v>
      </c>
      <c r="V770" s="4">
        <v>4162</v>
      </c>
      <c r="W770" s="4">
        <v>42</v>
      </c>
      <c r="X770" s="4">
        <v>541</v>
      </c>
      <c r="Y770" s="4">
        <v>0</v>
      </c>
      <c r="Z770" s="5">
        <v>4745</v>
      </c>
      <c r="AA770" s="5">
        <v>0</v>
      </c>
      <c r="AB770" s="6">
        <v>0</v>
      </c>
      <c r="AC770" s="4">
        <v>4745</v>
      </c>
      <c r="AD770" s="4">
        <v>0</v>
      </c>
      <c r="AE770" s="4">
        <v>4745</v>
      </c>
      <c r="AF770" s="1"/>
      <c r="AG770" s="1"/>
      <c r="AH770" s="1"/>
      <c r="AI770" s="1" t="s">
        <v>2327</v>
      </c>
      <c r="AJ770" s="6">
        <v>1689.2199999999971</v>
      </c>
      <c r="AK770" s="6">
        <v>1154.55</v>
      </c>
      <c r="AL770" s="1"/>
    </row>
    <row r="771" spans="1:38" hidden="1" x14ac:dyDescent="0.25">
      <c r="A771" s="2">
        <v>1001</v>
      </c>
      <c r="B771" s="1" t="s">
        <v>921</v>
      </c>
      <c r="C771" s="1" t="s">
        <v>930</v>
      </c>
      <c r="D771" s="1" t="s">
        <v>2062</v>
      </c>
      <c r="E771" s="1" t="s">
        <v>2063</v>
      </c>
      <c r="F771" s="3">
        <v>45476</v>
      </c>
      <c r="G771" s="3">
        <v>45233</v>
      </c>
      <c r="H771" s="3">
        <v>45598</v>
      </c>
      <c r="I771" s="1" t="s">
        <v>3184</v>
      </c>
      <c r="J771" s="1" t="s">
        <v>3185</v>
      </c>
      <c r="K771" s="1"/>
      <c r="L771" s="1" t="s">
        <v>3186</v>
      </c>
      <c r="M771" s="1" t="s">
        <v>3187</v>
      </c>
      <c r="N771" s="1" t="s">
        <v>3188</v>
      </c>
      <c r="O771" s="1" t="s">
        <v>3189</v>
      </c>
      <c r="P771" s="1" t="s">
        <v>2095</v>
      </c>
      <c r="Q771" s="1"/>
      <c r="R771" s="1"/>
      <c r="S771" s="1" t="s">
        <v>2072</v>
      </c>
      <c r="T771" s="1" t="s">
        <v>3165</v>
      </c>
      <c r="U771" s="4">
        <v>3000000</v>
      </c>
      <c r="V771" s="4">
        <v>3997</v>
      </c>
      <c r="W771" s="4">
        <v>40</v>
      </c>
      <c r="X771" s="4">
        <v>600</v>
      </c>
      <c r="Y771" s="4">
        <v>0</v>
      </c>
      <c r="Z771" s="5">
        <v>4637</v>
      </c>
      <c r="AA771" s="5">
        <v>0</v>
      </c>
      <c r="AB771" s="6">
        <v>0</v>
      </c>
      <c r="AC771" s="4">
        <v>4637</v>
      </c>
      <c r="AD771" s="4">
        <v>0</v>
      </c>
      <c r="AE771" s="4">
        <v>4637</v>
      </c>
      <c r="AF771" s="1"/>
      <c r="AG771" s="1"/>
      <c r="AH771" s="1"/>
      <c r="AI771" s="1" t="s">
        <v>2327</v>
      </c>
      <c r="AJ771" s="6">
        <v>1400.920000000001</v>
      </c>
      <c r="AK771" s="6">
        <v>1128.2</v>
      </c>
      <c r="AL771" s="1"/>
    </row>
    <row r="772" spans="1:38" hidden="1" x14ac:dyDescent="0.25">
      <c r="A772" s="2">
        <v>1002</v>
      </c>
      <c r="B772" s="1" t="s">
        <v>921</v>
      </c>
      <c r="C772" s="1" t="s">
        <v>931</v>
      </c>
      <c r="D772" s="1" t="s">
        <v>2062</v>
      </c>
      <c r="E772" s="1" t="s">
        <v>2063</v>
      </c>
      <c r="F772" s="3">
        <v>45511</v>
      </c>
      <c r="G772" s="3">
        <v>45233</v>
      </c>
      <c r="H772" s="3">
        <v>45598</v>
      </c>
      <c r="I772" s="1" t="s">
        <v>3184</v>
      </c>
      <c r="J772" s="1" t="s">
        <v>3185</v>
      </c>
      <c r="K772" s="1"/>
      <c r="L772" s="1" t="s">
        <v>3186</v>
      </c>
      <c r="M772" s="1" t="s">
        <v>3187</v>
      </c>
      <c r="N772" s="1" t="s">
        <v>3188</v>
      </c>
      <c r="O772" s="1" t="s">
        <v>3189</v>
      </c>
      <c r="P772" s="1" t="s">
        <v>2095</v>
      </c>
      <c r="Q772" s="1"/>
      <c r="R772" s="1"/>
      <c r="S772" s="1" t="s">
        <v>2072</v>
      </c>
      <c r="T772" s="1" t="s">
        <v>3165</v>
      </c>
      <c r="U772" s="4">
        <v>3000000</v>
      </c>
      <c r="V772" s="4">
        <v>4003</v>
      </c>
      <c r="W772" s="4">
        <v>40</v>
      </c>
      <c r="X772" s="4">
        <v>601</v>
      </c>
      <c r="Y772" s="4">
        <v>0</v>
      </c>
      <c r="Z772" s="5">
        <v>4644</v>
      </c>
      <c r="AA772" s="5">
        <v>0</v>
      </c>
      <c r="AB772" s="6">
        <v>0</v>
      </c>
      <c r="AC772" s="4">
        <v>4644</v>
      </c>
      <c r="AD772" s="4">
        <v>0</v>
      </c>
      <c r="AE772" s="4">
        <v>4644</v>
      </c>
      <c r="AF772" s="1"/>
      <c r="AG772" s="1"/>
      <c r="AH772" s="1"/>
      <c r="AI772" s="1" t="s">
        <v>2327</v>
      </c>
      <c r="AJ772" s="6">
        <v>1673.8599999999972</v>
      </c>
      <c r="AK772" s="6">
        <v>1129.8</v>
      </c>
      <c r="AL772" s="1"/>
    </row>
    <row r="773" spans="1:38" hidden="1" x14ac:dyDescent="0.25">
      <c r="A773" s="2">
        <v>1003</v>
      </c>
      <c r="B773" s="1" t="s">
        <v>921</v>
      </c>
      <c r="C773" s="1" t="s">
        <v>932</v>
      </c>
      <c r="D773" s="1" t="s">
        <v>2062</v>
      </c>
      <c r="E773" s="1" t="s">
        <v>2063</v>
      </c>
      <c r="F773" s="3">
        <v>45541</v>
      </c>
      <c r="G773" s="3">
        <v>45233</v>
      </c>
      <c r="H773" s="3">
        <v>45598</v>
      </c>
      <c r="I773" s="1" t="s">
        <v>3184</v>
      </c>
      <c r="J773" s="1" t="s">
        <v>3185</v>
      </c>
      <c r="K773" s="1"/>
      <c r="L773" s="1" t="s">
        <v>3186</v>
      </c>
      <c r="M773" s="1" t="s">
        <v>3187</v>
      </c>
      <c r="N773" s="1" t="s">
        <v>3188</v>
      </c>
      <c r="O773" s="1" t="s">
        <v>3189</v>
      </c>
      <c r="P773" s="1" t="s">
        <v>2095</v>
      </c>
      <c r="Q773" s="1"/>
      <c r="R773" s="1"/>
      <c r="S773" s="1" t="s">
        <v>2072</v>
      </c>
      <c r="T773" s="1" t="s">
        <v>3165</v>
      </c>
      <c r="U773" s="4">
        <v>3000000</v>
      </c>
      <c r="V773" s="4">
        <v>3630</v>
      </c>
      <c r="W773" s="4">
        <v>36</v>
      </c>
      <c r="X773" s="4">
        <v>545</v>
      </c>
      <c r="Y773" s="4">
        <v>0</v>
      </c>
      <c r="Z773" s="5">
        <v>4211</v>
      </c>
      <c r="AA773" s="5">
        <v>0</v>
      </c>
      <c r="AB773" s="6">
        <v>0</v>
      </c>
      <c r="AC773" s="4">
        <v>4211</v>
      </c>
      <c r="AD773" s="4">
        <v>0</v>
      </c>
      <c r="AE773" s="4">
        <v>4211</v>
      </c>
      <c r="AF773" s="1"/>
      <c r="AG773" s="1"/>
      <c r="AH773" s="1"/>
      <c r="AI773" s="1" t="s">
        <v>2327</v>
      </c>
      <c r="AJ773" s="6">
        <v>1208.3000000000009</v>
      </c>
      <c r="AK773" s="6">
        <v>1024.26</v>
      </c>
      <c r="AL773" s="1"/>
    </row>
    <row r="774" spans="1:38" hidden="1" x14ac:dyDescent="0.25">
      <c r="A774" s="2">
        <v>1004</v>
      </c>
      <c r="B774" s="1" t="s">
        <v>921</v>
      </c>
      <c r="C774" s="1" t="s">
        <v>933</v>
      </c>
      <c r="D774" s="1" t="s">
        <v>2062</v>
      </c>
      <c r="E774" s="1" t="s">
        <v>2063</v>
      </c>
      <c r="F774" s="3">
        <v>45574</v>
      </c>
      <c r="G774" s="3">
        <v>45233</v>
      </c>
      <c r="H774" s="3">
        <v>45598</v>
      </c>
      <c r="I774" s="1" t="s">
        <v>3184</v>
      </c>
      <c r="J774" s="1" t="s">
        <v>3185</v>
      </c>
      <c r="K774" s="1"/>
      <c r="L774" s="1" t="s">
        <v>3186</v>
      </c>
      <c r="M774" s="1" t="s">
        <v>3187</v>
      </c>
      <c r="N774" s="1" t="s">
        <v>3188</v>
      </c>
      <c r="O774" s="1" t="s">
        <v>3189</v>
      </c>
      <c r="P774" s="1" t="s">
        <v>2095</v>
      </c>
      <c r="Q774" s="1"/>
      <c r="R774" s="1"/>
      <c r="S774" s="1" t="s">
        <v>2072</v>
      </c>
      <c r="T774" s="1" t="s">
        <v>3165</v>
      </c>
      <c r="U774" s="4">
        <v>3000000</v>
      </c>
      <c r="V774" s="4">
        <v>2245</v>
      </c>
      <c r="W774" s="4">
        <v>22</v>
      </c>
      <c r="X774" s="4">
        <v>337</v>
      </c>
      <c r="Y774" s="4">
        <v>0</v>
      </c>
      <c r="Z774" s="5">
        <v>2604</v>
      </c>
      <c r="AA774" s="5">
        <v>0</v>
      </c>
      <c r="AB774" s="6">
        <v>0</v>
      </c>
      <c r="AC774" s="4">
        <v>2604</v>
      </c>
      <c r="AD774" s="4">
        <v>0</v>
      </c>
      <c r="AE774" s="4">
        <v>2604</v>
      </c>
      <c r="AF774" s="1"/>
      <c r="AG774" s="1"/>
      <c r="AH774" s="1"/>
      <c r="AI774" s="1" t="s">
        <v>2327</v>
      </c>
      <c r="AJ774" s="6">
        <v>653.62000000000103</v>
      </c>
      <c r="AK774" s="6">
        <v>633.43000000000006</v>
      </c>
      <c r="AL774" s="1"/>
    </row>
    <row r="775" spans="1:38" hidden="1" x14ac:dyDescent="0.25">
      <c r="A775" s="2">
        <v>1005</v>
      </c>
      <c r="B775" s="1" t="s">
        <v>921</v>
      </c>
      <c r="C775" s="1" t="s">
        <v>934</v>
      </c>
      <c r="D775" s="1" t="s">
        <v>2062</v>
      </c>
      <c r="E775" s="1" t="s">
        <v>2063</v>
      </c>
      <c r="F775" s="3">
        <v>45601</v>
      </c>
      <c r="G775" s="3">
        <v>45233</v>
      </c>
      <c r="H775" s="3">
        <v>45598</v>
      </c>
      <c r="I775" s="1" t="s">
        <v>3184</v>
      </c>
      <c r="J775" s="1" t="s">
        <v>3185</v>
      </c>
      <c r="K775" s="1"/>
      <c r="L775" s="1" t="s">
        <v>3186</v>
      </c>
      <c r="M775" s="1" t="s">
        <v>3187</v>
      </c>
      <c r="N775" s="1" t="s">
        <v>3188</v>
      </c>
      <c r="O775" s="1" t="s">
        <v>3189</v>
      </c>
      <c r="P775" s="1" t="s">
        <v>2095</v>
      </c>
      <c r="Q775" s="1"/>
      <c r="R775" s="1"/>
      <c r="S775" s="1" t="s">
        <v>2072</v>
      </c>
      <c r="T775" s="1" t="s">
        <v>3165</v>
      </c>
      <c r="U775" s="4">
        <v>3000000</v>
      </c>
      <c r="V775" s="4">
        <v>1128</v>
      </c>
      <c r="W775" s="4">
        <v>11</v>
      </c>
      <c r="X775" s="4">
        <v>169</v>
      </c>
      <c r="Y775" s="4">
        <v>0</v>
      </c>
      <c r="Z775" s="5">
        <v>1308</v>
      </c>
      <c r="AA775" s="5">
        <v>0</v>
      </c>
      <c r="AB775" s="6">
        <v>0</v>
      </c>
      <c r="AC775" s="4">
        <v>1308</v>
      </c>
      <c r="AD775" s="4">
        <v>0</v>
      </c>
      <c r="AE775" s="4">
        <v>1308</v>
      </c>
      <c r="AF775" s="1"/>
      <c r="AG775" s="1"/>
      <c r="AH775" s="1"/>
      <c r="AI775" s="1" t="s">
        <v>2327</v>
      </c>
      <c r="AJ775" s="6">
        <v>1522.4699999999791</v>
      </c>
      <c r="AK775" s="6">
        <v>318.64000000000004</v>
      </c>
      <c r="AL775" s="1"/>
    </row>
    <row r="776" spans="1:38" hidden="1" x14ac:dyDescent="0.25">
      <c r="A776" s="2">
        <v>1006</v>
      </c>
      <c r="B776" s="1" t="s">
        <v>921</v>
      </c>
      <c r="C776" s="1" t="s">
        <v>935</v>
      </c>
      <c r="D776" s="1" t="s">
        <v>2062</v>
      </c>
      <c r="E776" s="1" t="s">
        <v>2063</v>
      </c>
      <c r="F776" s="3">
        <v>45655</v>
      </c>
      <c r="G776" s="3">
        <v>45233</v>
      </c>
      <c r="H776" s="3">
        <v>45598</v>
      </c>
      <c r="I776" s="1" t="s">
        <v>3184</v>
      </c>
      <c r="J776" s="1" t="s">
        <v>3185</v>
      </c>
      <c r="K776" s="1"/>
      <c r="L776" s="1" t="s">
        <v>3186</v>
      </c>
      <c r="M776" s="1" t="s">
        <v>3187</v>
      </c>
      <c r="N776" s="1" t="s">
        <v>3188</v>
      </c>
      <c r="O776" s="1" t="s">
        <v>3189</v>
      </c>
      <c r="P776" s="1" t="s">
        <v>2095</v>
      </c>
      <c r="Q776" s="1"/>
      <c r="R776" s="1"/>
      <c r="S776" s="1" t="s">
        <v>2072</v>
      </c>
      <c r="T776" s="1" t="s">
        <v>3165</v>
      </c>
      <c r="U776" s="4">
        <v>-1</v>
      </c>
      <c r="V776" s="4">
        <v>-100333</v>
      </c>
      <c r="W776" s="4">
        <v>-1003</v>
      </c>
      <c r="X776" s="4">
        <v>0</v>
      </c>
      <c r="Y776" s="4">
        <v>0</v>
      </c>
      <c r="Z776" s="5">
        <v>-101336</v>
      </c>
      <c r="AA776" s="5">
        <v>0</v>
      </c>
      <c r="AB776" s="6">
        <v>0</v>
      </c>
      <c r="AC776" s="4">
        <v>-101336</v>
      </c>
      <c r="AD776" s="4">
        <v>0</v>
      </c>
      <c r="AE776" s="4">
        <v>-101336</v>
      </c>
      <c r="AF776" s="1"/>
      <c r="AG776" s="1"/>
      <c r="AH776" s="1"/>
      <c r="AI776" s="1" t="s">
        <v>2327</v>
      </c>
      <c r="AJ776" s="1"/>
      <c r="AK776" s="1"/>
      <c r="AL776" s="1"/>
    </row>
    <row r="777" spans="1:38" hidden="1" x14ac:dyDescent="0.25">
      <c r="A777" s="2">
        <v>1013</v>
      </c>
      <c r="B777" s="1" t="s">
        <v>936</v>
      </c>
      <c r="C777" s="1" t="s">
        <v>937</v>
      </c>
      <c r="D777" s="1" t="s">
        <v>2062</v>
      </c>
      <c r="E777" s="1" t="s">
        <v>2063</v>
      </c>
      <c r="F777" s="3">
        <v>45289</v>
      </c>
      <c r="G777" s="3">
        <v>45241</v>
      </c>
      <c r="H777" s="3">
        <v>45606</v>
      </c>
      <c r="I777" s="1" t="s">
        <v>3190</v>
      </c>
      <c r="J777" s="1" t="s">
        <v>3191</v>
      </c>
      <c r="K777" s="1"/>
      <c r="L777" s="1" t="s">
        <v>3192</v>
      </c>
      <c r="M777" s="1" t="s">
        <v>3193</v>
      </c>
      <c r="N777" s="1" t="s">
        <v>3194</v>
      </c>
      <c r="O777" s="1" t="s">
        <v>3195</v>
      </c>
      <c r="P777" s="1" t="s">
        <v>2247</v>
      </c>
      <c r="Q777" s="1"/>
      <c r="R777" s="1"/>
      <c r="S777" s="1" t="s">
        <v>2072</v>
      </c>
      <c r="T777" s="1" t="s">
        <v>3165</v>
      </c>
      <c r="U777" s="4">
        <v>4000000</v>
      </c>
      <c r="V777" s="4">
        <v>61805</v>
      </c>
      <c r="W777" s="4">
        <v>618</v>
      </c>
      <c r="X777" s="4">
        <v>8035</v>
      </c>
      <c r="Y777" s="4">
        <v>0</v>
      </c>
      <c r="Z777" s="5">
        <v>70458</v>
      </c>
      <c r="AA777" s="5">
        <v>0</v>
      </c>
      <c r="AB777" s="6">
        <v>0</v>
      </c>
      <c r="AC777" s="4">
        <v>70458</v>
      </c>
      <c r="AD777" s="4">
        <v>0</v>
      </c>
      <c r="AE777" s="4">
        <v>70458</v>
      </c>
      <c r="AF777" s="1"/>
      <c r="AG777" s="1"/>
      <c r="AH777" s="1"/>
      <c r="AI777" s="1" t="s">
        <v>2327</v>
      </c>
      <c r="AJ777" s="1"/>
      <c r="AK777" s="1"/>
      <c r="AL777" s="1"/>
    </row>
    <row r="778" spans="1:38" hidden="1" x14ac:dyDescent="0.25">
      <c r="A778" s="2">
        <v>1014</v>
      </c>
      <c r="B778" s="1" t="s">
        <v>936</v>
      </c>
      <c r="C778" s="1" t="s">
        <v>938</v>
      </c>
      <c r="D778" s="1" t="s">
        <v>2062</v>
      </c>
      <c r="E778" s="1" t="s">
        <v>2063</v>
      </c>
      <c r="F778" s="3">
        <v>45334</v>
      </c>
      <c r="G778" s="3">
        <v>45241</v>
      </c>
      <c r="H778" s="3">
        <v>45606</v>
      </c>
      <c r="I778" s="1" t="s">
        <v>3190</v>
      </c>
      <c r="J778" s="1" t="s">
        <v>3191</v>
      </c>
      <c r="K778" s="1"/>
      <c r="L778" s="1" t="s">
        <v>3192</v>
      </c>
      <c r="M778" s="1" t="s">
        <v>3193</v>
      </c>
      <c r="N778" s="1" t="s">
        <v>3194</v>
      </c>
      <c r="O778" s="1" t="s">
        <v>3195</v>
      </c>
      <c r="P778" s="1" t="s">
        <v>2247</v>
      </c>
      <c r="Q778" s="1"/>
      <c r="R778" s="1"/>
      <c r="S778" s="1" t="s">
        <v>2072</v>
      </c>
      <c r="T778" s="1" t="s">
        <v>3196</v>
      </c>
      <c r="U778" s="4">
        <v>4000000</v>
      </c>
      <c r="V778" s="4">
        <v>4899</v>
      </c>
      <c r="W778" s="4">
        <v>49</v>
      </c>
      <c r="X778" s="4">
        <v>637</v>
      </c>
      <c r="Y778" s="4">
        <v>0</v>
      </c>
      <c r="Z778" s="5">
        <v>5585</v>
      </c>
      <c r="AA778" s="5">
        <v>0</v>
      </c>
      <c r="AB778" s="6">
        <v>0</v>
      </c>
      <c r="AC778" s="4">
        <v>5585</v>
      </c>
      <c r="AD778" s="4">
        <v>0</v>
      </c>
      <c r="AE778" s="4">
        <v>5585</v>
      </c>
      <c r="AF778" s="1"/>
      <c r="AG778" s="1"/>
      <c r="AH778" s="1"/>
      <c r="AI778" s="1" t="s">
        <v>2327</v>
      </c>
      <c r="AJ778" s="6">
        <v>2729.2800000000652</v>
      </c>
      <c r="AK778" s="6">
        <v>1018.13</v>
      </c>
      <c r="AL778" s="1"/>
    </row>
    <row r="779" spans="1:38" hidden="1" x14ac:dyDescent="0.25">
      <c r="A779" s="2">
        <v>1015</v>
      </c>
      <c r="B779" s="1" t="s">
        <v>936</v>
      </c>
      <c r="C779" s="1" t="s">
        <v>939</v>
      </c>
      <c r="D779" s="1" t="s">
        <v>2062</v>
      </c>
      <c r="E779" s="1" t="s">
        <v>2063</v>
      </c>
      <c r="F779" s="3">
        <v>45362</v>
      </c>
      <c r="G779" s="3">
        <v>45241</v>
      </c>
      <c r="H779" s="3">
        <v>45606</v>
      </c>
      <c r="I779" s="1" t="s">
        <v>3190</v>
      </c>
      <c r="J779" s="1" t="s">
        <v>3191</v>
      </c>
      <c r="K779" s="1"/>
      <c r="L779" s="1" t="s">
        <v>3192</v>
      </c>
      <c r="M779" s="1" t="s">
        <v>3193</v>
      </c>
      <c r="N779" s="1" t="s">
        <v>3194</v>
      </c>
      <c r="O779" s="1" t="s">
        <v>3195</v>
      </c>
      <c r="P779" s="1" t="s">
        <v>2247</v>
      </c>
      <c r="Q779" s="1"/>
      <c r="R779" s="1"/>
      <c r="S779" s="1" t="s">
        <v>2072</v>
      </c>
      <c r="T779" s="1" t="s">
        <v>3196</v>
      </c>
      <c r="U779" s="4">
        <v>4000000</v>
      </c>
      <c r="V779" s="4">
        <v>4266</v>
      </c>
      <c r="W779" s="4">
        <v>43</v>
      </c>
      <c r="X779" s="4">
        <v>555</v>
      </c>
      <c r="Y779" s="4">
        <v>0</v>
      </c>
      <c r="Z779" s="5">
        <v>4864</v>
      </c>
      <c r="AA779" s="5">
        <v>0</v>
      </c>
      <c r="AB779" s="6">
        <v>0</v>
      </c>
      <c r="AC779" s="4">
        <v>4864</v>
      </c>
      <c r="AD779" s="4">
        <v>0</v>
      </c>
      <c r="AE779" s="4">
        <v>4864</v>
      </c>
      <c r="AF779" s="1"/>
      <c r="AG779" s="1"/>
      <c r="AH779" s="1"/>
      <c r="AI779" s="1" t="s">
        <v>2327</v>
      </c>
      <c r="AJ779" s="6">
        <v>1259.670000000001</v>
      </c>
      <c r="AK779" s="6">
        <v>886.67</v>
      </c>
      <c r="AL779" s="1"/>
    </row>
    <row r="780" spans="1:38" hidden="1" x14ac:dyDescent="0.25">
      <c r="A780" s="2">
        <v>1016</v>
      </c>
      <c r="B780" s="1" t="s">
        <v>936</v>
      </c>
      <c r="C780" s="1" t="s">
        <v>940</v>
      </c>
      <c r="D780" s="1" t="s">
        <v>2062</v>
      </c>
      <c r="E780" s="1" t="s">
        <v>2063</v>
      </c>
      <c r="F780" s="3">
        <v>45396</v>
      </c>
      <c r="G780" s="3">
        <v>45241</v>
      </c>
      <c r="H780" s="3">
        <v>45606</v>
      </c>
      <c r="I780" s="1" t="s">
        <v>3190</v>
      </c>
      <c r="J780" s="1" t="s">
        <v>3191</v>
      </c>
      <c r="K780" s="1"/>
      <c r="L780" s="1" t="s">
        <v>3192</v>
      </c>
      <c r="M780" s="1" t="s">
        <v>3193</v>
      </c>
      <c r="N780" s="1" t="s">
        <v>3194</v>
      </c>
      <c r="O780" s="1" t="s">
        <v>3195</v>
      </c>
      <c r="P780" s="1" t="s">
        <v>2247</v>
      </c>
      <c r="Q780" s="1"/>
      <c r="R780" s="1"/>
      <c r="S780" s="1" t="s">
        <v>2072</v>
      </c>
      <c r="T780" s="1" t="s">
        <v>3196</v>
      </c>
      <c r="U780" s="4">
        <v>4000000</v>
      </c>
      <c r="V780" s="4">
        <v>2704</v>
      </c>
      <c r="W780" s="4">
        <v>27</v>
      </c>
      <c r="X780" s="4">
        <v>351</v>
      </c>
      <c r="Y780" s="4">
        <v>0</v>
      </c>
      <c r="Z780" s="5">
        <v>3082</v>
      </c>
      <c r="AA780" s="5">
        <v>0</v>
      </c>
      <c r="AB780" s="6">
        <v>0</v>
      </c>
      <c r="AC780" s="4">
        <v>3082</v>
      </c>
      <c r="AD780" s="4">
        <v>0</v>
      </c>
      <c r="AE780" s="4">
        <v>3082</v>
      </c>
      <c r="AF780" s="1"/>
      <c r="AG780" s="1"/>
      <c r="AH780" s="1"/>
      <c r="AI780" s="1" t="s">
        <v>2327</v>
      </c>
      <c r="AJ780" s="6">
        <v>2238.2800000000561</v>
      </c>
      <c r="AK780" s="6">
        <v>562.11</v>
      </c>
      <c r="AL780" s="1"/>
    </row>
    <row r="781" spans="1:38" hidden="1" x14ac:dyDescent="0.25">
      <c r="A781" s="2">
        <v>1017</v>
      </c>
      <c r="B781" s="1" t="s">
        <v>936</v>
      </c>
      <c r="C781" s="1" t="s">
        <v>941</v>
      </c>
      <c r="D781" s="1" t="s">
        <v>2062</v>
      </c>
      <c r="E781" s="1" t="s">
        <v>2063</v>
      </c>
      <c r="F781" s="3">
        <v>45425</v>
      </c>
      <c r="G781" s="3">
        <v>45241</v>
      </c>
      <c r="H781" s="3">
        <v>45606</v>
      </c>
      <c r="I781" s="1" t="s">
        <v>3190</v>
      </c>
      <c r="J781" s="1" t="s">
        <v>3191</v>
      </c>
      <c r="K781" s="1"/>
      <c r="L781" s="1" t="s">
        <v>3192</v>
      </c>
      <c r="M781" s="1" t="s">
        <v>3193</v>
      </c>
      <c r="N781" s="1" t="s">
        <v>3194</v>
      </c>
      <c r="O781" s="1" t="s">
        <v>3195</v>
      </c>
      <c r="P781" s="1" t="s">
        <v>2247</v>
      </c>
      <c r="Q781" s="1"/>
      <c r="R781" s="1"/>
      <c r="S781" s="1" t="s">
        <v>2072</v>
      </c>
      <c r="T781" s="1" t="s">
        <v>3196</v>
      </c>
      <c r="U781" s="4">
        <v>4000000</v>
      </c>
      <c r="V781" s="4">
        <v>2466</v>
      </c>
      <c r="W781" s="4">
        <v>24</v>
      </c>
      <c r="X781" s="4">
        <v>321</v>
      </c>
      <c r="Y781" s="4">
        <v>0</v>
      </c>
      <c r="Z781" s="5">
        <v>2811</v>
      </c>
      <c r="AA781" s="5">
        <v>0</v>
      </c>
      <c r="AB781" s="6">
        <v>0</v>
      </c>
      <c r="AC781" s="4">
        <v>2811</v>
      </c>
      <c r="AD781" s="4">
        <v>0</v>
      </c>
      <c r="AE781" s="4">
        <v>2811</v>
      </c>
      <c r="AF781" s="1"/>
      <c r="AG781" s="1"/>
      <c r="AH781" s="1"/>
      <c r="AI781" s="1" t="s">
        <v>2327</v>
      </c>
      <c r="AJ781" s="6">
        <v>513.06000000000006</v>
      </c>
      <c r="AK781" s="6">
        <v>513.06000000000006</v>
      </c>
      <c r="AL781" s="1"/>
    </row>
    <row r="782" spans="1:38" hidden="1" x14ac:dyDescent="0.25">
      <c r="A782" s="2">
        <v>1018</v>
      </c>
      <c r="B782" s="1" t="s">
        <v>936</v>
      </c>
      <c r="C782" s="1" t="s">
        <v>942</v>
      </c>
      <c r="D782" s="1" t="s">
        <v>2062</v>
      </c>
      <c r="E782" s="1" t="s">
        <v>2063</v>
      </c>
      <c r="F782" s="3">
        <v>45454</v>
      </c>
      <c r="G782" s="3">
        <v>45241</v>
      </c>
      <c r="H782" s="3">
        <v>45606</v>
      </c>
      <c r="I782" s="1" t="s">
        <v>3190</v>
      </c>
      <c r="J782" s="1" t="s">
        <v>3191</v>
      </c>
      <c r="K782" s="1"/>
      <c r="L782" s="1" t="s">
        <v>3192</v>
      </c>
      <c r="M782" s="1" t="s">
        <v>3193</v>
      </c>
      <c r="N782" s="1" t="s">
        <v>3194</v>
      </c>
      <c r="O782" s="1" t="s">
        <v>3195</v>
      </c>
      <c r="P782" s="1" t="s">
        <v>2247</v>
      </c>
      <c r="Q782" s="1"/>
      <c r="R782" s="1"/>
      <c r="S782" s="1" t="s">
        <v>2072</v>
      </c>
      <c r="T782" s="1" t="s">
        <v>3196</v>
      </c>
      <c r="U782" s="4">
        <v>4000000</v>
      </c>
      <c r="V782" s="4">
        <v>3837</v>
      </c>
      <c r="W782" s="4">
        <v>39</v>
      </c>
      <c r="X782" s="4">
        <v>499</v>
      </c>
      <c r="Y782" s="4">
        <v>0</v>
      </c>
      <c r="Z782" s="5">
        <v>4375</v>
      </c>
      <c r="AA782" s="5">
        <v>0</v>
      </c>
      <c r="AB782" s="6">
        <v>0</v>
      </c>
      <c r="AC782" s="4">
        <v>4375</v>
      </c>
      <c r="AD782" s="4">
        <v>0</v>
      </c>
      <c r="AE782" s="4">
        <v>4375</v>
      </c>
      <c r="AF782" s="1"/>
      <c r="AG782" s="1"/>
      <c r="AH782" s="1"/>
      <c r="AI782" s="1" t="s">
        <v>2327</v>
      </c>
      <c r="AJ782" s="6">
        <v>3454.7300000000769</v>
      </c>
      <c r="AK782" s="6">
        <v>797.83</v>
      </c>
      <c r="AL782" s="1"/>
    </row>
    <row r="783" spans="1:38" hidden="1" x14ac:dyDescent="0.25">
      <c r="A783" s="2">
        <v>1019</v>
      </c>
      <c r="B783" s="1" t="s">
        <v>936</v>
      </c>
      <c r="C783" s="1" t="s">
        <v>943</v>
      </c>
      <c r="D783" s="1" t="s">
        <v>2062</v>
      </c>
      <c r="E783" s="1" t="s">
        <v>2063</v>
      </c>
      <c r="F783" s="3">
        <v>45486</v>
      </c>
      <c r="G783" s="3">
        <v>45241</v>
      </c>
      <c r="H783" s="3">
        <v>45606</v>
      </c>
      <c r="I783" s="1" t="s">
        <v>3190</v>
      </c>
      <c r="J783" s="1" t="s">
        <v>3191</v>
      </c>
      <c r="K783" s="1"/>
      <c r="L783" s="1" t="s">
        <v>3192</v>
      </c>
      <c r="M783" s="1" t="s">
        <v>3193</v>
      </c>
      <c r="N783" s="1" t="s">
        <v>3194</v>
      </c>
      <c r="O783" s="1" t="s">
        <v>3195</v>
      </c>
      <c r="P783" s="1" t="s">
        <v>2247</v>
      </c>
      <c r="Q783" s="1"/>
      <c r="R783" s="1"/>
      <c r="S783" s="1" t="s">
        <v>2072</v>
      </c>
      <c r="T783" s="1" t="s">
        <v>3196</v>
      </c>
      <c r="U783" s="4">
        <v>4000000</v>
      </c>
      <c r="V783" s="4">
        <v>3603</v>
      </c>
      <c r="W783" s="4">
        <v>36</v>
      </c>
      <c r="X783" s="4">
        <v>541</v>
      </c>
      <c r="Y783" s="4">
        <v>0</v>
      </c>
      <c r="Z783" s="5">
        <v>4180</v>
      </c>
      <c r="AA783" s="5">
        <v>0</v>
      </c>
      <c r="AB783" s="6">
        <v>0</v>
      </c>
      <c r="AC783" s="4">
        <v>4180</v>
      </c>
      <c r="AD783" s="4">
        <v>0</v>
      </c>
      <c r="AE783" s="4">
        <v>4180</v>
      </c>
      <c r="AF783" s="1"/>
      <c r="AG783" s="1"/>
      <c r="AH783" s="1"/>
      <c r="AI783" s="1" t="s">
        <v>2327</v>
      </c>
      <c r="AJ783" s="6">
        <v>1007.9200000000051</v>
      </c>
      <c r="AK783" s="6">
        <v>762.37</v>
      </c>
      <c r="AL783" s="1"/>
    </row>
    <row r="784" spans="1:38" hidden="1" x14ac:dyDescent="0.25">
      <c r="A784" s="2">
        <v>1020</v>
      </c>
      <c r="B784" s="1" t="s">
        <v>936</v>
      </c>
      <c r="C784" s="1" t="s">
        <v>944</v>
      </c>
      <c r="D784" s="1" t="s">
        <v>2062</v>
      </c>
      <c r="E784" s="1" t="s">
        <v>2063</v>
      </c>
      <c r="F784" s="3">
        <v>45517</v>
      </c>
      <c r="G784" s="3">
        <v>45241</v>
      </c>
      <c r="H784" s="3">
        <v>45606</v>
      </c>
      <c r="I784" s="1" t="s">
        <v>3190</v>
      </c>
      <c r="J784" s="1" t="s">
        <v>3191</v>
      </c>
      <c r="K784" s="1"/>
      <c r="L784" s="1" t="s">
        <v>3192</v>
      </c>
      <c r="M784" s="1" t="s">
        <v>3193</v>
      </c>
      <c r="N784" s="1" t="s">
        <v>3194</v>
      </c>
      <c r="O784" s="1" t="s">
        <v>3195</v>
      </c>
      <c r="P784" s="1" t="s">
        <v>2247</v>
      </c>
      <c r="Q784" s="1"/>
      <c r="R784" s="1"/>
      <c r="S784" s="1" t="s">
        <v>2072</v>
      </c>
      <c r="T784" s="1" t="s">
        <v>3196</v>
      </c>
      <c r="U784" s="4">
        <v>4000000</v>
      </c>
      <c r="V784" s="4">
        <v>3270</v>
      </c>
      <c r="W784" s="4">
        <v>33</v>
      </c>
      <c r="X784" s="4">
        <v>490</v>
      </c>
      <c r="Y784" s="4">
        <v>0</v>
      </c>
      <c r="Z784" s="5">
        <v>3793</v>
      </c>
      <c r="AA784" s="5">
        <v>0</v>
      </c>
      <c r="AB784" s="6">
        <v>0</v>
      </c>
      <c r="AC784" s="4">
        <v>3793</v>
      </c>
      <c r="AD784" s="4">
        <v>0</v>
      </c>
      <c r="AE784" s="4">
        <v>3793</v>
      </c>
      <c r="AF784" s="1"/>
      <c r="AG784" s="1"/>
      <c r="AH784" s="1"/>
      <c r="AI784" s="1" t="s">
        <v>2327</v>
      </c>
      <c r="AJ784" s="6">
        <v>1018.100000000009</v>
      </c>
      <c r="AK784" s="6">
        <v>691.23</v>
      </c>
      <c r="AL784" s="1"/>
    </row>
    <row r="785" spans="1:38" hidden="1" x14ac:dyDescent="0.25">
      <c r="A785" s="2">
        <v>1021</v>
      </c>
      <c r="B785" s="1" t="s">
        <v>936</v>
      </c>
      <c r="C785" s="1" t="s">
        <v>945</v>
      </c>
      <c r="D785" s="1" t="s">
        <v>2062</v>
      </c>
      <c r="E785" s="1" t="s">
        <v>2063</v>
      </c>
      <c r="F785" s="3">
        <v>45549</v>
      </c>
      <c r="G785" s="3">
        <v>45241</v>
      </c>
      <c r="H785" s="3">
        <v>45606</v>
      </c>
      <c r="I785" s="1" t="s">
        <v>3190</v>
      </c>
      <c r="J785" s="1" t="s">
        <v>3191</v>
      </c>
      <c r="K785" s="1"/>
      <c r="L785" s="1" t="s">
        <v>3192</v>
      </c>
      <c r="M785" s="1" t="s">
        <v>3193</v>
      </c>
      <c r="N785" s="1" t="s">
        <v>3194</v>
      </c>
      <c r="O785" s="1" t="s">
        <v>3195</v>
      </c>
      <c r="P785" s="1" t="s">
        <v>2247</v>
      </c>
      <c r="Q785" s="1"/>
      <c r="R785" s="1"/>
      <c r="S785" s="1" t="s">
        <v>2072</v>
      </c>
      <c r="T785" s="1" t="s">
        <v>3196</v>
      </c>
      <c r="U785" s="4">
        <v>4000000</v>
      </c>
      <c r="V785" s="4">
        <v>1703</v>
      </c>
      <c r="W785" s="4">
        <v>17</v>
      </c>
      <c r="X785" s="4">
        <v>255</v>
      </c>
      <c r="Y785" s="4">
        <v>0</v>
      </c>
      <c r="Z785" s="5">
        <v>1975</v>
      </c>
      <c r="AA785" s="5">
        <v>0</v>
      </c>
      <c r="AB785" s="6">
        <v>0</v>
      </c>
      <c r="AC785" s="4">
        <v>1975</v>
      </c>
      <c r="AD785" s="4">
        <v>0</v>
      </c>
      <c r="AE785" s="4">
        <v>1975</v>
      </c>
      <c r="AF785" s="1"/>
      <c r="AG785" s="1"/>
      <c r="AH785" s="1"/>
      <c r="AI785" s="1" t="s">
        <v>2327</v>
      </c>
      <c r="AJ785" s="6">
        <v>1126.280000000045</v>
      </c>
      <c r="AK785" s="6">
        <v>360.3</v>
      </c>
      <c r="AL785" s="1"/>
    </row>
    <row r="786" spans="1:38" hidden="1" x14ac:dyDescent="0.25">
      <c r="A786" s="2">
        <v>1022</v>
      </c>
      <c r="B786" s="1" t="s">
        <v>936</v>
      </c>
      <c r="C786" s="1" t="s">
        <v>946</v>
      </c>
      <c r="D786" s="1" t="s">
        <v>2062</v>
      </c>
      <c r="E786" s="1" t="s">
        <v>2063</v>
      </c>
      <c r="F786" s="3">
        <v>45579</v>
      </c>
      <c r="G786" s="3">
        <v>45241</v>
      </c>
      <c r="H786" s="3">
        <v>45606</v>
      </c>
      <c r="I786" s="1" t="s">
        <v>3190</v>
      </c>
      <c r="J786" s="1" t="s">
        <v>3191</v>
      </c>
      <c r="K786" s="1"/>
      <c r="L786" s="1" t="s">
        <v>3192</v>
      </c>
      <c r="M786" s="1" t="s">
        <v>3193</v>
      </c>
      <c r="N786" s="1" t="s">
        <v>3194</v>
      </c>
      <c r="O786" s="1" t="s">
        <v>3195</v>
      </c>
      <c r="P786" s="1" t="s">
        <v>2247</v>
      </c>
      <c r="Q786" s="1"/>
      <c r="R786" s="1"/>
      <c r="S786" s="1" t="s">
        <v>2072</v>
      </c>
      <c r="T786" s="1" t="s">
        <v>3196</v>
      </c>
      <c r="U786" s="4">
        <v>4000000</v>
      </c>
      <c r="V786" s="4">
        <v>2742</v>
      </c>
      <c r="W786" s="4">
        <v>27</v>
      </c>
      <c r="X786" s="4">
        <v>411</v>
      </c>
      <c r="Y786" s="4">
        <v>0</v>
      </c>
      <c r="Z786" s="5">
        <v>3180</v>
      </c>
      <c r="AA786" s="5">
        <v>0</v>
      </c>
      <c r="AB786" s="6">
        <v>0</v>
      </c>
      <c r="AC786" s="4">
        <v>3180</v>
      </c>
      <c r="AD786" s="4">
        <v>0</v>
      </c>
      <c r="AE786" s="4">
        <v>3180</v>
      </c>
      <c r="AF786" s="1"/>
      <c r="AG786" s="1"/>
      <c r="AH786" s="1"/>
      <c r="AI786" s="1" t="s">
        <v>2327</v>
      </c>
      <c r="AJ786" s="6">
        <v>665.62</v>
      </c>
      <c r="AK786" s="6">
        <v>579.93000000000006</v>
      </c>
      <c r="AL786" s="1"/>
    </row>
    <row r="787" spans="1:38" hidden="1" x14ac:dyDescent="0.25">
      <c r="A787" s="2">
        <v>1023</v>
      </c>
      <c r="B787" s="1" t="s">
        <v>936</v>
      </c>
      <c r="C787" s="1" t="s">
        <v>947</v>
      </c>
      <c r="D787" s="1" t="s">
        <v>2062</v>
      </c>
      <c r="E787" s="1" t="s">
        <v>2063</v>
      </c>
      <c r="F787" s="3">
        <v>45655</v>
      </c>
      <c r="G787" s="3">
        <v>45241</v>
      </c>
      <c r="H787" s="3">
        <v>45606</v>
      </c>
      <c r="I787" s="1" t="s">
        <v>3190</v>
      </c>
      <c r="J787" s="1" t="s">
        <v>3191</v>
      </c>
      <c r="K787" s="1"/>
      <c r="L787" s="1" t="s">
        <v>3192</v>
      </c>
      <c r="M787" s="1" t="s">
        <v>3193</v>
      </c>
      <c r="N787" s="1" t="s">
        <v>3194</v>
      </c>
      <c r="O787" s="1" t="s">
        <v>3195</v>
      </c>
      <c r="P787" s="1" t="s">
        <v>2247</v>
      </c>
      <c r="Q787" s="1"/>
      <c r="R787" s="1"/>
      <c r="S787" s="1" t="s">
        <v>2072</v>
      </c>
      <c r="T787" s="1" t="s">
        <v>3196</v>
      </c>
      <c r="U787" s="4">
        <v>-1</v>
      </c>
      <c r="V787" s="4">
        <v>-103270</v>
      </c>
      <c r="W787" s="4">
        <v>-1033</v>
      </c>
      <c r="X787" s="4">
        <v>0</v>
      </c>
      <c r="Y787" s="4">
        <v>0</v>
      </c>
      <c r="Z787" s="5">
        <v>-104303</v>
      </c>
      <c r="AA787" s="5">
        <v>0</v>
      </c>
      <c r="AB787" s="6">
        <v>0</v>
      </c>
      <c r="AC787" s="4">
        <v>-104303</v>
      </c>
      <c r="AD787" s="4">
        <v>0</v>
      </c>
      <c r="AE787" s="4">
        <v>-104303</v>
      </c>
      <c r="AF787" s="1"/>
      <c r="AG787" s="1"/>
      <c r="AH787" s="1"/>
      <c r="AI787" s="1" t="s">
        <v>2327</v>
      </c>
      <c r="AJ787" s="1"/>
      <c r="AK787" s="1"/>
      <c r="AL787" s="1"/>
    </row>
    <row r="788" spans="1:38" hidden="1" x14ac:dyDescent="0.25">
      <c r="A788" s="2">
        <v>1029</v>
      </c>
      <c r="B788" s="1" t="s">
        <v>948</v>
      </c>
      <c r="C788" s="1" t="s">
        <v>949</v>
      </c>
      <c r="D788" s="1" t="s">
        <v>2062</v>
      </c>
      <c r="E788" s="1" t="s">
        <v>2063</v>
      </c>
      <c r="F788" s="3">
        <v>45274</v>
      </c>
      <c r="G788" s="3">
        <v>45243</v>
      </c>
      <c r="H788" s="3">
        <v>45608</v>
      </c>
      <c r="I788" s="1" t="s">
        <v>3197</v>
      </c>
      <c r="J788" s="1" t="s">
        <v>3198</v>
      </c>
      <c r="K788" s="1"/>
      <c r="L788" s="1" t="s">
        <v>3199</v>
      </c>
      <c r="M788" s="1" t="s">
        <v>3200</v>
      </c>
      <c r="N788" s="1" t="s">
        <v>3201</v>
      </c>
      <c r="O788" s="1" t="s">
        <v>3202</v>
      </c>
      <c r="P788" s="1" t="s">
        <v>2088</v>
      </c>
      <c r="Q788" s="1"/>
      <c r="R788" s="1"/>
      <c r="S788" s="1" t="s">
        <v>2072</v>
      </c>
      <c r="T788" s="1" t="s">
        <v>3165</v>
      </c>
      <c r="U788" s="4">
        <v>7000000</v>
      </c>
      <c r="V788" s="4">
        <v>378</v>
      </c>
      <c r="W788" s="4">
        <v>4</v>
      </c>
      <c r="X788" s="4">
        <v>50</v>
      </c>
      <c r="Y788" s="4">
        <v>0</v>
      </c>
      <c r="Z788" s="5">
        <v>432</v>
      </c>
      <c r="AA788" s="5">
        <v>0</v>
      </c>
      <c r="AB788" s="6">
        <v>0</v>
      </c>
      <c r="AC788" s="4">
        <v>432</v>
      </c>
      <c r="AD788" s="4">
        <v>0</v>
      </c>
      <c r="AE788" s="4">
        <v>432</v>
      </c>
      <c r="AF788" s="1"/>
      <c r="AG788" s="1"/>
      <c r="AH788" s="1"/>
      <c r="AI788" s="1" t="s">
        <v>2841</v>
      </c>
      <c r="AJ788" s="6">
        <v>224.44000000000401</v>
      </c>
      <c r="AK788" s="6">
        <v>45</v>
      </c>
      <c r="AL788" s="1"/>
    </row>
    <row r="789" spans="1:38" hidden="1" x14ac:dyDescent="0.25">
      <c r="A789" s="2">
        <v>1030</v>
      </c>
      <c r="B789" s="1" t="s">
        <v>948</v>
      </c>
      <c r="C789" s="1" t="s">
        <v>950</v>
      </c>
      <c r="D789" s="1" t="s">
        <v>2062</v>
      </c>
      <c r="E789" s="1" t="s">
        <v>2063</v>
      </c>
      <c r="F789" s="3">
        <v>45289</v>
      </c>
      <c r="G789" s="3">
        <v>45243</v>
      </c>
      <c r="H789" s="3">
        <v>45608</v>
      </c>
      <c r="I789" s="1" t="s">
        <v>3197</v>
      </c>
      <c r="J789" s="1" t="s">
        <v>3198</v>
      </c>
      <c r="K789" s="1"/>
      <c r="L789" s="1" t="s">
        <v>3199</v>
      </c>
      <c r="M789" s="1" t="s">
        <v>3200</v>
      </c>
      <c r="N789" s="1" t="s">
        <v>3201</v>
      </c>
      <c r="O789" s="1" t="s">
        <v>3202</v>
      </c>
      <c r="P789" s="1" t="s">
        <v>2088</v>
      </c>
      <c r="Q789" s="1"/>
      <c r="R789" s="1"/>
      <c r="S789" s="1" t="s">
        <v>2072</v>
      </c>
      <c r="T789" s="1" t="s">
        <v>3165</v>
      </c>
      <c r="U789" s="4">
        <v>7000000</v>
      </c>
      <c r="V789" s="4">
        <v>118042</v>
      </c>
      <c r="W789" s="4">
        <v>1181</v>
      </c>
      <c r="X789" s="4">
        <v>15345</v>
      </c>
      <c r="Y789" s="4">
        <v>0</v>
      </c>
      <c r="Z789" s="5">
        <v>134568</v>
      </c>
      <c r="AA789" s="5">
        <v>0</v>
      </c>
      <c r="AB789" s="6">
        <v>0</v>
      </c>
      <c r="AC789" s="4">
        <v>134568</v>
      </c>
      <c r="AD789" s="4">
        <v>0</v>
      </c>
      <c r="AE789" s="4">
        <v>134568</v>
      </c>
      <c r="AF789" s="1"/>
      <c r="AG789" s="1"/>
      <c r="AH789" s="1"/>
      <c r="AI789" s="1" t="s">
        <v>2841</v>
      </c>
      <c r="AJ789" s="1"/>
      <c r="AK789" s="1"/>
      <c r="AL789" s="1"/>
    </row>
    <row r="790" spans="1:38" hidden="1" x14ac:dyDescent="0.25">
      <c r="A790" s="2">
        <v>1031</v>
      </c>
      <c r="B790" s="1" t="s">
        <v>948</v>
      </c>
      <c r="C790" s="1" t="s">
        <v>951</v>
      </c>
      <c r="D790" s="1" t="s">
        <v>2062</v>
      </c>
      <c r="E790" s="1" t="s">
        <v>2063</v>
      </c>
      <c r="F790" s="3">
        <v>45307</v>
      </c>
      <c r="G790" s="3">
        <v>45243</v>
      </c>
      <c r="H790" s="3">
        <v>45608</v>
      </c>
      <c r="I790" s="1" t="s">
        <v>3197</v>
      </c>
      <c r="J790" s="1" t="s">
        <v>3198</v>
      </c>
      <c r="K790" s="1"/>
      <c r="L790" s="1" t="s">
        <v>3199</v>
      </c>
      <c r="M790" s="1" t="s">
        <v>3200</v>
      </c>
      <c r="N790" s="1" t="s">
        <v>3201</v>
      </c>
      <c r="O790" s="1" t="s">
        <v>3202</v>
      </c>
      <c r="P790" s="1" t="s">
        <v>2088</v>
      </c>
      <c r="Q790" s="1"/>
      <c r="R790" s="1"/>
      <c r="S790" s="1" t="s">
        <v>2072</v>
      </c>
      <c r="T790" s="1" t="s">
        <v>3165</v>
      </c>
      <c r="U790" s="4">
        <v>7000000</v>
      </c>
      <c r="V790" s="4">
        <v>1636</v>
      </c>
      <c r="W790" s="4">
        <v>16</v>
      </c>
      <c r="X790" s="4">
        <v>213</v>
      </c>
      <c r="Y790" s="4">
        <v>0</v>
      </c>
      <c r="Z790" s="5">
        <v>1865</v>
      </c>
      <c r="AA790" s="5">
        <v>0</v>
      </c>
      <c r="AB790" s="6">
        <v>0</v>
      </c>
      <c r="AC790" s="4">
        <v>1865</v>
      </c>
      <c r="AD790" s="4">
        <v>0</v>
      </c>
      <c r="AE790" s="4">
        <v>1865</v>
      </c>
      <c r="AF790" s="1"/>
      <c r="AG790" s="1"/>
      <c r="AH790" s="1"/>
      <c r="AI790" s="1" t="s">
        <v>2841</v>
      </c>
      <c r="AJ790" s="6">
        <v>209.08</v>
      </c>
      <c r="AK790" s="6">
        <v>194.61</v>
      </c>
      <c r="AL790" s="1"/>
    </row>
    <row r="791" spans="1:38" hidden="1" x14ac:dyDescent="0.25">
      <c r="A791" s="2">
        <v>1032</v>
      </c>
      <c r="B791" s="1" t="s">
        <v>948</v>
      </c>
      <c r="C791" s="1" t="s">
        <v>952</v>
      </c>
      <c r="D791" s="1" t="s">
        <v>2062</v>
      </c>
      <c r="E791" s="1" t="s">
        <v>2063</v>
      </c>
      <c r="F791" s="3">
        <v>45655</v>
      </c>
      <c r="G791" s="3">
        <v>45243</v>
      </c>
      <c r="H791" s="3">
        <v>45608</v>
      </c>
      <c r="I791" s="1" t="s">
        <v>3197</v>
      </c>
      <c r="J791" s="1" t="s">
        <v>3198</v>
      </c>
      <c r="K791" s="1"/>
      <c r="L791" s="1" t="s">
        <v>3199</v>
      </c>
      <c r="M791" s="1" t="s">
        <v>3200</v>
      </c>
      <c r="N791" s="1" t="s">
        <v>3201</v>
      </c>
      <c r="O791" s="1" t="s">
        <v>3202</v>
      </c>
      <c r="P791" s="1" t="s">
        <v>2088</v>
      </c>
      <c r="Q791" s="1"/>
      <c r="R791" s="1"/>
      <c r="S791" s="1" t="s">
        <v>2072</v>
      </c>
      <c r="T791" s="1" t="s">
        <v>3165</v>
      </c>
      <c r="U791" s="4">
        <v>-1</v>
      </c>
      <c r="V791" s="4">
        <v>-135510</v>
      </c>
      <c r="W791" s="4">
        <v>-1355</v>
      </c>
      <c r="X791" s="4">
        <v>0</v>
      </c>
      <c r="Y791" s="4">
        <v>0</v>
      </c>
      <c r="Z791" s="5">
        <v>-136865</v>
      </c>
      <c r="AA791" s="5">
        <v>0</v>
      </c>
      <c r="AB791" s="6">
        <v>0</v>
      </c>
      <c r="AC791" s="4">
        <v>-136865</v>
      </c>
      <c r="AD791" s="4">
        <v>0</v>
      </c>
      <c r="AE791" s="4">
        <v>-136865</v>
      </c>
      <c r="AF791" s="1"/>
      <c r="AG791" s="1"/>
      <c r="AH791" s="1"/>
      <c r="AI791" s="1" t="s">
        <v>2841</v>
      </c>
      <c r="AJ791" s="1"/>
      <c r="AK791" s="1"/>
      <c r="AL791" s="1"/>
    </row>
    <row r="792" spans="1:38" hidden="1" x14ac:dyDescent="0.25">
      <c r="A792" s="2">
        <v>1048</v>
      </c>
      <c r="B792" s="1" t="s">
        <v>953</v>
      </c>
      <c r="C792" s="1" t="s">
        <v>954</v>
      </c>
      <c r="D792" s="1" t="s">
        <v>2062</v>
      </c>
      <c r="E792" s="1" t="s">
        <v>2063</v>
      </c>
      <c r="F792" s="3">
        <v>45289</v>
      </c>
      <c r="G792" s="3">
        <v>45244</v>
      </c>
      <c r="H792" s="3">
        <v>45609</v>
      </c>
      <c r="I792" s="1" t="s">
        <v>3203</v>
      </c>
      <c r="J792" s="1" t="s">
        <v>3204</v>
      </c>
      <c r="K792" s="1"/>
      <c r="L792" s="1" t="s">
        <v>3205</v>
      </c>
      <c r="M792" s="1" t="s">
        <v>3206</v>
      </c>
      <c r="N792" s="1" t="s">
        <v>3207</v>
      </c>
      <c r="O792" s="1" t="s">
        <v>3208</v>
      </c>
      <c r="P792" s="1" t="s">
        <v>2182</v>
      </c>
      <c r="Q792" s="1"/>
      <c r="R792" s="1"/>
      <c r="S792" s="1" t="s">
        <v>2072</v>
      </c>
      <c r="T792" s="1" t="s">
        <v>3165</v>
      </c>
      <c r="U792" s="4">
        <v>2935000</v>
      </c>
      <c r="V792" s="4">
        <v>45488</v>
      </c>
      <c r="W792" s="4">
        <v>454</v>
      </c>
      <c r="X792" s="4">
        <v>5913</v>
      </c>
      <c r="Y792" s="4">
        <v>0</v>
      </c>
      <c r="Z792" s="5">
        <v>51855</v>
      </c>
      <c r="AA792" s="5">
        <v>0</v>
      </c>
      <c r="AB792" s="6">
        <v>0</v>
      </c>
      <c r="AC792" s="4">
        <v>51855</v>
      </c>
      <c r="AD792" s="4">
        <v>0</v>
      </c>
      <c r="AE792" s="4">
        <v>51855</v>
      </c>
      <c r="AF792" s="1"/>
      <c r="AG792" s="1"/>
      <c r="AH792" s="1"/>
      <c r="AI792" s="1" t="s">
        <v>2327</v>
      </c>
      <c r="AJ792" s="1"/>
      <c r="AK792" s="1"/>
      <c r="AL792" s="1"/>
    </row>
    <row r="793" spans="1:38" hidden="1" x14ac:dyDescent="0.25">
      <c r="A793" s="2">
        <v>1049</v>
      </c>
      <c r="B793" s="1" t="s">
        <v>953</v>
      </c>
      <c r="C793" s="1" t="s">
        <v>955</v>
      </c>
      <c r="D793" s="1" t="s">
        <v>2062</v>
      </c>
      <c r="E793" s="1" t="s">
        <v>2063</v>
      </c>
      <c r="F793" s="3">
        <v>45457</v>
      </c>
      <c r="G793" s="3">
        <v>45244</v>
      </c>
      <c r="H793" s="3">
        <v>45609</v>
      </c>
      <c r="I793" s="1" t="s">
        <v>3203</v>
      </c>
      <c r="J793" s="1" t="s">
        <v>3204</v>
      </c>
      <c r="K793" s="1"/>
      <c r="L793" s="1" t="s">
        <v>3205</v>
      </c>
      <c r="M793" s="1" t="s">
        <v>3206</v>
      </c>
      <c r="N793" s="1" t="s">
        <v>3207</v>
      </c>
      <c r="O793" s="1" t="s">
        <v>3208</v>
      </c>
      <c r="P793" s="1" t="s">
        <v>2182</v>
      </c>
      <c r="Q793" s="1"/>
      <c r="R793" s="1"/>
      <c r="S793" s="1" t="s">
        <v>2072</v>
      </c>
      <c r="T793" s="1" t="s">
        <v>3165</v>
      </c>
      <c r="U793" s="4">
        <v>2935000</v>
      </c>
      <c r="V793" s="4">
        <v>3629</v>
      </c>
      <c r="W793" s="4">
        <v>36</v>
      </c>
      <c r="X793" s="4">
        <v>472</v>
      </c>
      <c r="Y793" s="4">
        <v>0</v>
      </c>
      <c r="Z793" s="5">
        <v>4137</v>
      </c>
      <c r="AA793" s="5">
        <v>0</v>
      </c>
      <c r="AB793" s="6">
        <v>0</v>
      </c>
      <c r="AC793" s="4">
        <v>4137</v>
      </c>
      <c r="AD793" s="4">
        <v>0</v>
      </c>
      <c r="AE793" s="4">
        <v>4137</v>
      </c>
      <c r="AF793" s="1"/>
      <c r="AG793" s="1"/>
      <c r="AH793" s="1"/>
      <c r="AI793" s="1" t="s">
        <v>2327</v>
      </c>
      <c r="AJ793" s="6">
        <v>1295.79</v>
      </c>
      <c r="AK793" s="6">
        <v>1028.49</v>
      </c>
      <c r="AL793" s="1"/>
    </row>
    <row r="794" spans="1:38" hidden="1" x14ac:dyDescent="0.25">
      <c r="A794" s="2">
        <v>1050</v>
      </c>
      <c r="B794" s="1" t="s">
        <v>953</v>
      </c>
      <c r="C794" s="1" t="s">
        <v>956</v>
      </c>
      <c r="D794" s="1" t="s">
        <v>2062</v>
      </c>
      <c r="E794" s="1" t="s">
        <v>2063</v>
      </c>
      <c r="F794" s="3">
        <v>45488</v>
      </c>
      <c r="G794" s="3">
        <v>45244</v>
      </c>
      <c r="H794" s="3">
        <v>45609</v>
      </c>
      <c r="I794" s="1" t="s">
        <v>3203</v>
      </c>
      <c r="J794" s="1" t="s">
        <v>3204</v>
      </c>
      <c r="K794" s="1"/>
      <c r="L794" s="1" t="s">
        <v>3205</v>
      </c>
      <c r="M794" s="1" t="s">
        <v>3206</v>
      </c>
      <c r="N794" s="1" t="s">
        <v>3207</v>
      </c>
      <c r="O794" s="1" t="s">
        <v>3208</v>
      </c>
      <c r="P794" s="1" t="s">
        <v>2182</v>
      </c>
      <c r="Q794" s="1"/>
      <c r="R794" s="1"/>
      <c r="S794" s="1" t="s">
        <v>2072</v>
      </c>
      <c r="T794" s="1" t="s">
        <v>3165</v>
      </c>
      <c r="U794" s="4">
        <v>2935000</v>
      </c>
      <c r="V794" s="4">
        <v>1998</v>
      </c>
      <c r="W794" s="4">
        <v>20</v>
      </c>
      <c r="X794" s="4">
        <v>300</v>
      </c>
      <c r="Y794" s="4">
        <v>0</v>
      </c>
      <c r="Z794" s="5">
        <v>2318</v>
      </c>
      <c r="AA794" s="5">
        <v>0</v>
      </c>
      <c r="AB794" s="6">
        <v>0</v>
      </c>
      <c r="AC794" s="4">
        <v>2318</v>
      </c>
      <c r="AD794" s="4">
        <v>0</v>
      </c>
      <c r="AE794" s="4">
        <v>2318</v>
      </c>
      <c r="AF794" s="1"/>
      <c r="AG794" s="1"/>
      <c r="AH794" s="1"/>
      <c r="AI794" s="1" t="s">
        <v>2327</v>
      </c>
      <c r="AJ794" s="6">
        <v>703.35</v>
      </c>
      <c r="AK794" s="6">
        <v>576.91</v>
      </c>
      <c r="AL794" s="1"/>
    </row>
    <row r="795" spans="1:38" hidden="1" x14ac:dyDescent="0.25">
      <c r="A795" s="2">
        <v>1051</v>
      </c>
      <c r="B795" s="1" t="s">
        <v>953</v>
      </c>
      <c r="C795" s="1" t="s">
        <v>957</v>
      </c>
      <c r="D795" s="1" t="s">
        <v>2062</v>
      </c>
      <c r="E795" s="1" t="s">
        <v>2063</v>
      </c>
      <c r="F795" s="3">
        <v>45520</v>
      </c>
      <c r="G795" s="3">
        <v>45244</v>
      </c>
      <c r="H795" s="3">
        <v>45609</v>
      </c>
      <c r="I795" s="1" t="s">
        <v>3203</v>
      </c>
      <c r="J795" s="1" t="s">
        <v>3204</v>
      </c>
      <c r="K795" s="1"/>
      <c r="L795" s="1" t="s">
        <v>3205</v>
      </c>
      <c r="M795" s="1" t="s">
        <v>3206</v>
      </c>
      <c r="N795" s="1" t="s">
        <v>3207</v>
      </c>
      <c r="O795" s="1" t="s">
        <v>3208</v>
      </c>
      <c r="P795" s="1" t="s">
        <v>2182</v>
      </c>
      <c r="Q795" s="1"/>
      <c r="R795" s="1"/>
      <c r="S795" s="1" t="s">
        <v>2072</v>
      </c>
      <c r="T795" s="1" t="s">
        <v>3165</v>
      </c>
      <c r="U795" s="4">
        <v>2935000</v>
      </c>
      <c r="V795" s="4">
        <v>2947</v>
      </c>
      <c r="W795" s="4">
        <v>29</v>
      </c>
      <c r="X795" s="4">
        <v>442</v>
      </c>
      <c r="Y795" s="4">
        <v>0</v>
      </c>
      <c r="Z795" s="5">
        <v>3418</v>
      </c>
      <c r="AA795" s="5">
        <v>0</v>
      </c>
      <c r="AB795" s="6">
        <v>0</v>
      </c>
      <c r="AC795" s="4">
        <v>3418</v>
      </c>
      <c r="AD795" s="4">
        <v>0</v>
      </c>
      <c r="AE795" s="4">
        <v>3418</v>
      </c>
      <c r="AF795" s="1"/>
      <c r="AG795" s="1"/>
      <c r="AH795" s="1"/>
      <c r="AI795" s="1" t="s">
        <v>2327</v>
      </c>
      <c r="AJ795" s="6">
        <v>1004.98</v>
      </c>
      <c r="AK795" s="6">
        <v>849.83</v>
      </c>
      <c r="AL795" s="1"/>
    </row>
    <row r="796" spans="1:38" hidden="1" x14ac:dyDescent="0.25">
      <c r="A796" s="2">
        <v>1052</v>
      </c>
      <c r="B796" s="1" t="s">
        <v>953</v>
      </c>
      <c r="C796" s="1" t="s">
        <v>958</v>
      </c>
      <c r="D796" s="1" t="s">
        <v>2062</v>
      </c>
      <c r="E796" s="1" t="s">
        <v>2063</v>
      </c>
      <c r="F796" s="3">
        <v>45555</v>
      </c>
      <c r="G796" s="3">
        <v>45244</v>
      </c>
      <c r="H796" s="3">
        <v>45609</v>
      </c>
      <c r="I796" s="1" t="s">
        <v>3203</v>
      </c>
      <c r="J796" s="1" t="s">
        <v>3204</v>
      </c>
      <c r="K796" s="1"/>
      <c r="L796" s="1" t="s">
        <v>3205</v>
      </c>
      <c r="M796" s="1" t="s">
        <v>3206</v>
      </c>
      <c r="N796" s="1" t="s">
        <v>3207</v>
      </c>
      <c r="O796" s="1" t="s">
        <v>3208</v>
      </c>
      <c r="P796" s="1" t="s">
        <v>2182</v>
      </c>
      <c r="Q796" s="1"/>
      <c r="R796" s="1"/>
      <c r="S796" s="1" t="s">
        <v>2072</v>
      </c>
      <c r="T796" s="1" t="s">
        <v>3165</v>
      </c>
      <c r="U796" s="4">
        <v>2935000</v>
      </c>
      <c r="V796" s="4">
        <v>3792</v>
      </c>
      <c r="W796" s="4">
        <v>38</v>
      </c>
      <c r="X796" s="4">
        <v>569</v>
      </c>
      <c r="Y796" s="4">
        <v>0</v>
      </c>
      <c r="Z796" s="5">
        <v>4399</v>
      </c>
      <c r="AA796" s="5">
        <v>0</v>
      </c>
      <c r="AB796" s="6">
        <v>0</v>
      </c>
      <c r="AC796" s="4">
        <v>4399</v>
      </c>
      <c r="AD796" s="4">
        <v>0</v>
      </c>
      <c r="AE796" s="4">
        <v>4399</v>
      </c>
      <c r="AF796" s="1"/>
      <c r="AG796" s="1"/>
      <c r="AH796" s="1"/>
      <c r="AI796" s="1" t="s">
        <v>2327</v>
      </c>
      <c r="AJ796" s="6">
        <v>1315.29</v>
      </c>
      <c r="AK796" s="6">
        <v>1094.3400000000001</v>
      </c>
      <c r="AL796" s="1"/>
    </row>
    <row r="797" spans="1:38" hidden="1" x14ac:dyDescent="0.25">
      <c r="A797" s="2">
        <v>1053</v>
      </c>
      <c r="B797" s="1" t="s">
        <v>953</v>
      </c>
      <c r="C797" s="1" t="s">
        <v>959</v>
      </c>
      <c r="D797" s="1" t="s">
        <v>2062</v>
      </c>
      <c r="E797" s="1" t="s">
        <v>2063</v>
      </c>
      <c r="F797" s="3">
        <v>45582</v>
      </c>
      <c r="G797" s="3">
        <v>45244</v>
      </c>
      <c r="H797" s="3">
        <v>45609</v>
      </c>
      <c r="I797" s="1" t="s">
        <v>3203</v>
      </c>
      <c r="J797" s="1" t="s">
        <v>3204</v>
      </c>
      <c r="K797" s="1"/>
      <c r="L797" s="1" t="s">
        <v>3205</v>
      </c>
      <c r="M797" s="1" t="s">
        <v>3206</v>
      </c>
      <c r="N797" s="1" t="s">
        <v>3207</v>
      </c>
      <c r="O797" s="1" t="s">
        <v>3208</v>
      </c>
      <c r="P797" s="1" t="s">
        <v>2182</v>
      </c>
      <c r="Q797" s="1"/>
      <c r="R797" s="1"/>
      <c r="S797" s="1" t="s">
        <v>2072</v>
      </c>
      <c r="T797" s="1" t="s">
        <v>3165</v>
      </c>
      <c r="U797" s="4">
        <v>2935000</v>
      </c>
      <c r="V797" s="4">
        <v>3850</v>
      </c>
      <c r="W797" s="4">
        <v>38</v>
      </c>
      <c r="X797" s="4">
        <v>577</v>
      </c>
      <c r="Y797" s="4">
        <v>0</v>
      </c>
      <c r="Z797" s="5">
        <v>4465</v>
      </c>
      <c r="AA797" s="5">
        <v>0</v>
      </c>
      <c r="AB797" s="6">
        <v>0</v>
      </c>
      <c r="AC797" s="4">
        <v>4465</v>
      </c>
      <c r="AD797" s="4">
        <v>0</v>
      </c>
      <c r="AE797" s="4">
        <v>4465</v>
      </c>
      <c r="AF797" s="1"/>
      <c r="AG797" s="1"/>
      <c r="AH797" s="1"/>
      <c r="AI797" s="1" t="s">
        <v>2327</v>
      </c>
      <c r="AJ797" s="6">
        <v>1444.63</v>
      </c>
      <c r="AK797" s="6">
        <v>1110.6000000000001</v>
      </c>
      <c r="AL797" s="1"/>
    </row>
    <row r="798" spans="1:38" hidden="1" x14ac:dyDescent="0.25">
      <c r="A798" s="2">
        <v>1054</v>
      </c>
      <c r="B798" s="1" t="s">
        <v>953</v>
      </c>
      <c r="C798" s="1" t="s">
        <v>960</v>
      </c>
      <c r="D798" s="1" t="s">
        <v>2062</v>
      </c>
      <c r="E798" s="1" t="s">
        <v>2063</v>
      </c>
      <c r="F798" s="3">
        <v>45617</v>
      </c>
      <c r="G798" s="3">
        <v>45244</v>
      </c>
      <c r="H798" s="3">
        <v>45609</v>
      </c>
      <c r="I798" s="1" t="s">
        <v>3203</v>
      </c>
      <c r="J798" s="1" t="s">
        <v>3204</v>
      </c>
      <c r="K798" s="1"/>
      <c r="L798" s="1" t="s">
        <v>3205</v>
      </c>
      <c r="M798" s="1" t="s">
        <v>3206</v>
      </c>
      <c r="N798" s="1" t="s">
        <v>3207</v>
      </c>
      <c r="O798" s="1" t="s">
        <v>3208</v>
      </c>
      <c r="P798" s="1" t="s">
        <v>2182</v>
      </c>
      <c r="Q798" s="1"/>
      <c r="R798" s="1"/>
      <c r="S798" s="1" t="s">
        <v>2072</v>
      </c>
      <c r="T798" s="1" t="s">
        <v>3165</v>
      </c>
      <c r="U798" s="4">
        <v>2935000</v>
      </c>
      <c r="V798" s="4">
        <v>4297</v>
      </c>
      <c r="W798" s="4">
        <v>43</v>
      </c>
      <c r="X798" s="4">
        <v>645</v>
      </c>
      <c r="Y798" s="4">
        <v>0</v>
      </c>
      <c r="Z798" s="5">
        <v>4985</v>
      </c>
      <c r="AA798" s="5">
        <v>0</v>
      </c>
      <c r="AB798" s="6">
        <v>0</v>
      </c>
      <c r="AC798" s="4">
        <v>4985</v>
      </c>
      <c r="AD798" s="4">
        <v>0</v>
      </c>
      <c r="AE798" s="4">
        <v>4985</v>
      </c>
      <c r="AF798" s="1"/>
      <c r="AG798" s="1"/>
      <c r="AH798" s="1"/>
      <c r="AI798" s="1" t="s">
        <v>2327</v>
      </c>
      <c r="AJ798" s="6">
        <v>1667.8300000000011</v>
      </c>
      <c r="AK798" s="6">
        <v>1239.52</v>
      </c>
      <c r="AL798" s="1"/>
    </row>
    <row r="799" spans="1:38" hidden="1" x14ac:dyDescent="0.25">
      <c r="A799" s="2">
        <v>1055</v>
      </c>
      <c r="B799" s="1" t="s">
        <v>953</v>
      </c>
      <c r="C799" s="1" t="s">
        <v>961</v>
      </c>
      <c r="D799" s="1" t="s">
        <v>2062</v>
      </c>
      <c r="E799" s="1" t="s">
        <v>2063</v>
      </c>
      <c r="F799" s="3">
        <v>45655</v>
      </c>
      <c r="G799" s="3">
        <v>45244</v>
      </c>
      <c r="H799" s="3">
        <v>45609</v>
      </c>
      <c r="I799" s="1" t="s">
        <v>3203</v>
      </c>
      <c r="J799" s="1" t="s">
        <v>3204</v>
      </c>
      <c r="K799" s="1"/>
      <c r="L799" s="1" t="s">
        <v>3205</v>
      </c>
      <c r="M799" s="1" t="s">
        <v>3206</v>
      </c>
      <c r="N799" s="1" t="s">
        <v>3207</v>
      </c>
      <c r="O799" s="1" t="s">
        <v>3208</v>
      </c>
      <c r="P799" s="1" t="s">
        <v>2182</v>
      </c>
      <c r="Q799" s="1"/>
      <c r="R799" s="1"/>
      <c r="S799" s="1" t="s">
        <v>2072</v>
      </c>
      <c r="T799" s="1" t="s">
        <v>3165</v>
      </c>
      <c r="U799" s="4">
        <v>-1</v>
      </c>
      <c r="V799" s="4">
        <v>-74829</v>
      </c>
      <c r="W799" s="4">
        <v>-748</v>
      </c>
      <c r="X799" s="4">
        <v>0</v>
      </c>
      <c r="Y799" s="4">
        <v>0</v>
      </c>
      <c r="Z799" s="5">
        <v>-75577</v>
      </c>
      <c r="AA799" s="5">
        <v>0</v>
      </c>
      <c r="AB799" s="6">
        <v>0</v>
      </c>
      <c r="AC799" s="4">
        <v>-75577</v>
      </c>
      <c r="AD799" s="4">
        <v>0</v>
      </c>
      <c r="AE799" s="4">
        <v>-75577</v>
      </c>
      <c r="AF799" s="1"/>
      <c r="AG799" s="1"/>
      <c r="AH799" s="1"/>
      <c r="AI799" s="1" t="s">
        <v>2327</v>
      </c>
      <c r="AJ799" s="1"/>
      <c r="AK799" s="1"/>
      <c r="AL799" s="1"/>
    </row>
    <row r="800" spans="1:38" hidden="1" x14ac:dyDescent="0.25">
      <c r="A800" s="2">
        <v>1056</v>
      </c>
      <c r="B800" s="1" t="s">
        <v>962</v>
      </c>
      <c r="C800" s="1" t="s">
        <v>963</v>
      </c>
      <c r="D800" s="1" t="s">
        <v>2062</v>
      </c>
      <c r="E800" s="1" t="s">
        <v>2063</v>
      </c>
      <c r="F800" s="3">
        <v>45268</v>
      </c>
      <c r="G800" s="3">
        <v>45238</v>
      </c>
      <c r="H800" s="3">
        <v>45603</v>
      </c>
      <c r="I800" s="1" t="s">
        <v>3209</v>
      </c>
      <c r="J800" s="1" t="s">
        <v>3210</v>
      </c>
      <c r="K800" s="1"/>
      <c r="L800" s="1" t="s">
        <v>3211</v>
      </c>
      <c r="M800" s="1" t="s">
        <v>3212</v>
      </c>
      <c r="N800" s="1" t="s">
        <v>3213</v>
      </c>
      <c r="O800" s="1" t="s">
        <v>3214</v>
      </c>
      <c r="P800" s="1" t="s">
        <v>2182</v>
      </c>
      <c r="Q800" s="1"/>
      <c r="R800" s="1"/>
      <c r="S800" s="1" t="s">
        <v>2072</v>
      </c>
      <c r="T800" s="1" t="s">
        <v>3165</v>
      </c>
      <c r="U800" s="4">
        <v>3250000</v>
      </c>
      <c r="V800" s="4">
        <v>679</v>
      </c>
      <c r="W800" s="4">
        <v>7</v>
      </c>
      <c r="X800" s="4">
        <v>89</v>
      </c>
      <c r="Y800" s="4">
        <v>0</v>
      </c>
      <c r="Z800" s="5">
        <v>775</v>
      </c>
      <c r="AA800" s="5">
        <v>0</v>
      </c>
      <c r="AB800" s="6">
        <v>0</v>
      </c>
      <c r="AC800" s="4">
        <v>775</v>
      </c>
      <c r="AD800" s="4">
        <v>0</v>
      </c>
      <c r="AE800" s="4">
        <v>775</v>
      </c>
      <c r="AF800" s="1"/>
      <c r="AG800" s="1"/>
      <c r="AH800" s="1"/>
      <c r="AI800" s="1" t="s">
        <v>2327</v>
      </c>
      <c r="AJ800" s="6">
        <v>263.63</v>
      </c>
      <c r="AK800" s="6">
        <v>174.42</v>
      </c>
      <c r="AL800" s="1"/>
    </row>
    <row r="801" spans="1:38" hidden="1" x14ac:dyDescent="0.25">
      <c r="A801" s="2">
        <v>1057</v>
      </c>
      <c r="B801" s="1" t="s">
        <v>962</v>
      </c>
      <c r="C801" s="1" t="s">
        <v>964</v>
      </c>
      <c r="D801" s="1" t="s">
        <v>2062</v>
      </c>
      <c r="E801" s="1" t="s">
        <v>2063</v>
      </c>
      <c r="F801" s="3">
        <v>45289</v>
      </c>
      <c r="G801" s="3">
        <v>45238</v>
      </c>
      <c r="H801" s="3">
        <v>45603</v>
      </c>
      <c r="I801" s="1" t="s">
        <v>3209</v>
      </c>
      <c r="J801" s="1" t="s">
        <v>3210</v>
      </c>
      <c r="K801" s="1"/>
      <c r="L801" s="1" t="s">
        <v>3211</v>
      </c>
      <c r="M801" s="1" t="s">
        <v>3212</v>
      </c>
      <c r="N801" s="1" t="s">
        <v>3213</v>
      </c>
      <c r="O801" s="1" t="s">
        <v>3214</v>
      </c>
      <c r="P801" s="1" t="s">
        <v>2182</v>
      </c>
      <c r="Q801" s="1"/>
      <c r="R801" s="1"/>
      <c r="S801" s="1" t="s">
        <v>2072</v>
      </c>
      <c r="T801" s="1" t="s">
        <v>3165</v>
      </c>
      <c r="U801" s="4">
        <v>3250000</v>
      </c>
      <c r="V801" s="4">
        <v>51951</v>
      </c>
      <c r="W801" s="4">
        <v>520</v>
      </c>
      <c r="X801" s="4">
        <v>6754</v>
      </c>
      <c r="Y801" s="4">
        <v>0</v>
      </c>
      <c r="Z801" s="5">
        <v>59225</v>
      </c>
      <c r="AA801" s="5">
        <v>0</v>
      </c>
      <c r="AB801" s="6">
        <v>0</v>
      </c>
      <c r="AC801" s="4">
        <v>59225</v>
      </c>
      <c r="AD801" s="4">
        <v>0</v>
      </c>
      <c r="AE801" s="4">
        <v>59225</v>
      </c>
      <c r="AF801" s="1"/>
      <c r="AG801" s="1"/>
      <c r="AH801" s="1"/>
      <c r="AI801" s="1" t="s">
        <v>2327</v>
      </c>
      <c r="AJ801" s="1"/>
      <c r="AK801" s="1"/>
      <c r="AL801" s="1"/>
    </row>
    <row r="802" spans="1:38" hidden="1" x14ac:dyDescent="0.25">
      <c r="A802" s="2">
        <v>1058</v>
      </c>
      <c r="B802" s="1" t="s">
        <v>962</v>
      </c>
      <c r="C802" s="1" t="s">
        <v>965</v>
      </c>
      <c r="D802" s="1" t="s">
        <v>2062</v>
      </c>
      <c r="E802" s="1" t="s">
        <v>2063</v>
      </c>
      <c r="F802" s="3">
        <v>45300</v>
      </c>
      <c r="G802" s="3">
        <v>45238</v>
      </c>
      <c r="H802" s="3">
        <v>45603</v>
      </c>
      <c r="I802" s="1" t="s">
        <v>3209</v>
      </c>
      <c r="J802" s="1" t="s">
        <v>3210</v>
      </c>
      <c r="K802" s="1"/>
      <c r="L802" s="1" t="s">
        <v>3211</v>
      </c>
      <c r="M802" s="1" t="s">
        <v>3212</v>
      </c>
      <c r="N802" s="1" t="s">
        <v>3213</v>
      </c>
      <c r="O802" s="1" t="s">
        <v>3214</v>
      </c>
      <c r="P802" s="1" t="s">
        <v>2182</v>
      </c>
      <c r="Q802" s="1"/>
      <c r="R802" s="1"/>
      <c r="S802" s="1" t="s">
        <v>2072</v>
      </c>
      <c r="T802" s="1" t="s">
        <v>3165</v>
      </c>
      <c r="U802" s="4">
        <v>3250000</v>
      </c>
      <c r="V802" s="4">
        <v>1796</v>
      </c>
      <c r="W802" s="4">
        <v>18</v>
      </c>
      <c r="X802" s="4">
        <v>233</v>
      </c>
      <c r="Y802" s="4">
        <v>0</v>
      </c>
      <c r="Z802" s="5">
        <v>2047</v>
      </c>
      <c r="AA802" s="5">
        <v>0</v>
      </c>
      <c r="AB802" s="6">
        <v>0</v>
      </c>
      <c r="AC802" s="4">
        <v>2047</v>
      </c>
      <c r="AD802" s="4">
        <v>0</v>
      </c>
      <c r="AE802" s="4">
        <v>2047</v>
      </c>
      <c r="AF802" s="1"/>
      <c r="AG802" s="1"/>
      <c r="AH802" s="1"/>
      <c r="AI802" s="1" t="s">
        <v>2327</v>
      </c>
      <c r="AJ802" s="6">
        <v>1329.6600000000431</v>
      </c>
      <c r="AK802" s="6">
        <v>459.87000000000006</v>
      </c>
      <c r="AL802" s="1"/>
    </row>
    <row r="803" spans="1:38" hidden="1" x14ac:dyDescent="0.25">
      <c r="A803" s="2">
        <v>1059</v>
      </c>
      <c r="B803" s="1" t="s">
        <v>962</v>
      </c>
      <c r="C803" s="1" t="s">
        <v>966</v>
      </c>
      <c r="D803" s="1" t="s">
        <v>2062</v>
      </c>
      <c r="E803" s="1" t="s">
        <v>2063</v>
      </c>
      <c r="F803" s="3">
        <v>45334</v>
      </c>
      <c r="G803" s="3">
        <v>45238</v>
      </c>
      <c r="H803" s="3">
        <v>45603</v>
      </c>
      <c r="I803" s="1" t="s">
        <v>3209</v>
      </c>
      <c r="J803" s="1" t="s">
        <v>3210</v>
      </c>
      <c r="K803" s="1"/>
      <c r="L803" s="1" t="s">
        <v>3211</v>
      </c>
      <c r="M803" s="1" t="s">
        <v>3212</v>
      </c>
      <c r="N803" s="1" t="s">
        <v>3213</v>
      </c>
      <c r="O803" s="1" t="s">
        <v>3214</v>
      </c>
      <c r="P803" s="1" t="s">
        <v>2182</v>
      </c>
      <c r="Q803" s="1"/>
      <c r="R803" s="1"/>
      <c r="S803" s="1" t="s">
        <v>2072</v>
      </c>
      <c r="T803" s="1" t="s">
        <v>3165</v>
      </c>
      <c r="U803" s="4">
        <v>3250000</v>
      </c>
      <c r="V803" s="4">
        <v>2043</v>
      </c>
      <c r="W803" s="4">
        <v>20</v>
      </c>
      <c r="X803" s="4">
        <v>265</v>
      </c>
      <c r="Y803" s="4">
        <v>0</v>
      </c>
      <c r="Z803" s="5">
        <v>2328</v>
      </c>
      <c r="AA803" s="5">
        <v>0</v>
      </c>
      <c r="AB803" s="6">
        <v>0</v>
      </c>
      <c r="AC803" s="4">
        <v>2328</v>
      </c>
      <c r="AD803" s="4">
        <v>0</v>
      </c>
      <c r="AE803" s="4">
        <v>2328</v>
      </c>
      <c r="AF803" s="1"/>
      <c r="AG803" s="1"/>
      <c r="AH803" s="1"/>
      <c r="AI803" s="1" t="s">
        <v>2327</v>
      </c>
      <c r="AJ803" s="6">
        <v>2030.630000000084</v>
      </c>
      <c r="AK803" s="6">
        <v>523.24</v>
      </c>
      <c r="AL803" s="1"/>
    </row>
    <row r="804" spans="1:38" hidden="1" x14ac:dyDescent="0.25">
      <c r="A804" s="2">
        <v>1060</v>
      </c>
      <c r="B804" s="1" t="s">
        <v>962</v>
      </c>
      <c r="C804" s="1" t="s">
        <v>967</v>
      </c>
      <c r="D804" s="1" t="s">
        <v>2062</v>
      </c>
      <c r="E804" s="1" t="s">
        <v>2063</v>
      </c>
      <c r="F804" s="3">
        <v>45359</v>
      </c>
      <c r="G804" s="3">
        <v>45238</v>
      </c>
      <c r="H804" s="3">
        <v>45603</v>
      </c>
      <c r="I804" s="1" t="s">
        <v>3209</v>
      </c>
      <c r="J804" s="1" t="s">
        <v>3210</v>
      </c>
      <c r="K804" s="1"/>
      <c r="L804" s="1" t="s">
        <v>3211</v>
      </c>
      <c r="M804" s="1" t="s">
        <v>3212</v>
      </c>
      <c r="N804" s="1" t="s">
        <v>3213</v>
      </c>
      <c r="O804" s="1" t="s">
        <v>3214</v>
      </c>
      <c r="P804" s="1" t="s">
        <v>2182</v>
      </c>
      <c r="Q804" s="1"/>
      <c r="R804" s="1"/>
      <c r="S804" s="1" t="s">
        <v>2072</v>
      </c>
      <c r="T804" s="1" t="s">
        <v>3165</v>
      </c>
      <c r="U804" s="4">
        <v>3250000</v>
      </c>
      <c r="V804" s="4">
        <v>1369</v>
      </c>
      <c r="W804" s="4">
        <v>14</v>
      </c>
      <c r="X804" s="4">
        <v>178</v>
      </c>
      <c r="Y804" s="4">
        <v>0</v>
      </c>
      <c r="Z804" s="5">
        <v>1561</v>
      </c>
      <c r="AA804" s="5">
        <v>0</v>
      </c>
      <c r="AB804" s="6">
        <v>0</v>
      </c>
      <c r="AC804" s="4">
        <v>1561</v>
      </c>
      <c r="AD804" s="4">
        <v>0</v>
      </c>
      <c r="AE804" s="4">
        <v>1561</v>
      </c>
      <c r="AF804" s="1"/>
      <c r="AG804" s="1"/>
      <c r="AH804" s="1"/>
      <c r="AI804" s="1" t="s">
        <v>2327</v>
      </c>
      <c r="AJ804" s="6">
        <v>648.01000000000101</v>
      </c>
      <c r="AK804" s="6">
        <v>350.85</v>
      </c>
      <c r="AL804" s="1"/>
    </row>
    <row r="805" spans="1:38" hidden="1" x14ac:dyDescent="0.25">
      <c r="A805" s="2">
        <v>1061</v>
      </c>
      <c r="B805" s="1" t="s">
        <v>962</v>
      </c>
      <c r="C805" s="1" t="s">
        <v>968</v>
      </c>
      <c r="D805" s="1" t="s">
        <v>2062</v>
      </c>
      <c r="E805" s="1" t="s">
        <v>2063</v>
      </c>
      <c r="F805" s="3">
        <v>45390</v>
      </c>
      <c r="G805" s="3">
        <v>45238</v>
      </c>
      <c r="H805" s="3">
        <v>45603</v>
      </c>
      <c r="I805" s="1" t="s">
        <v>3209</v>
      </c>
      <c r="J805" s="1" t="s">
        <v>3210</v>
      </c>
      <c r="K805" s="1"/>
      <c r="L805" s="1" t="s">
        <v>3211</v>
      </c>
      <c r="M805" s="1" t="s">
        <v>3212</v>
      </c>
      <c r="N805" s="1" t="s">
        <v>3213</v>
      </c>
      <c r="O805" s="1" t="s">
        <v>3214</v>
      </c>
      <c r="P805" s="1" t="s">
        <v>2182</v>
      </c>
      <c r="Q805" s="1"/>
      <c r="R805" s="1"/>
      <c r="S805" s="1" t="s">
        <v>2072</v>
      </c>
      <c r="T805" s="1" t="s">
        <v>3165</v>
      </c>
      <c r="U805" s="4">
        <v>3250000</v>
      </c>
      <c r="V805" s="4">
        <v>1867</v>
      </c>
      <c r="W805" s="4">
        <v>18</v>
      </c>
      <c r="X805" s="4">
        <v>243</v>
      </c>
      <c r="Y805" s="4">
        <v>0</v>
      </c>
      <c r="Z805" s="5">
        <v>2128</v>
      </c>
      <c r="AA805" s="5">
        <v>0</v>
      </c>
      <c r="AB805" s="6">
        <v>0</v>
      </c>
      <c r="AC805" s="4">
        <v>2128</v>
      </c>
      <c r="AD805" s="4">
        <v>0</v>
      </c>
      <c r="AE805" s="4">
        <v>2128</v>
      </c>
      <c r="AF805" s="1"/>
      <c r="AG805" s="1"/>
      <c r="AH805" s="1"/>
      <c r="AI805" s="1" t="s">
        <v>2327</v>
      </c>
      <c r="AJ805" s="6">
        <v>508</v>
      </c>
      <c r="AK805" s="6">
        <v>477.78</v>
      </c>
      <c r="AL805" s="1"/>
    </row>
    <row r="806" spans="1:38" hidden="1" x14ac:dyDescent="0.25">
      <c r="A806" s="2">
        <v>1062</v>
      </c>
      <c r="B806" s="1" t="s">
        <v>962</v>
      </c>
      <c r="C806" s="1" t="s">
        <v>969</v>
      </c>
      <c r="D806" s="1" t="s">
        <v>2062</v>
      </c>
      <c r="E806" s="1" t="s">
        <v>2063</v>
      </c>
      <c r="F806" s="3">
        <v>45425</v>
      </c>
      <c r="G806" s="3">
        <v>45238</v>
      </c>
      <c r="H806" s="3">
        <v>45603</v>
      </c>
      <c r="I806" s="1" t="s">
        <v>3209</v>
      </c>
      <c r="J806" s="1" t="s">
        <v>3210</v>
      </c>
      <c r="K806" s="1"/>
      <c r="L806" s="1" t="s">
        <v>3211</v>
      </c>
      <c r="M806" s="1" t="s">
        <v>3212</v>
      </c>
      <c r="N806" s="1" t="s">
        <v>3213</v>
      </c>
      <c r="O806" s="1" t="s">
        <v>3214</v>
      </c>
      <c r="P806" s="1" t="s">
        <v>2182</v>
      </c>
      <c r="Q806" s="1"/>
      <c r="R806" s="1"/>
      <c r="S806" s="1" t="s">
        <v>2072</v>
      </c>
      <c r="T806" s="1" t="s">
        <v>3165</v>
      </c>
      <c r="U806" s="4">
        <v>3250000</v>
      </c>
      <c r="V806" s="4">
        <v>1984</v>
      </c>
      <c r="W806" s="4">
        <v>20</v>
      </c>
      <c r="X806" s="4">
        <v>258</v>
      </c>
      <c r="Y806" s="4">
        <v>0</v>
      </c>
      <c r="Z806" s="5">
        <v>2262</v>
      </c>
      <c r="AA806" s="5">
        <v>0</v>
      </c>
      <c r="AB806" s="6">
        <v>0</v>
      </c>
      <c r="AC806" s="4">
        <v>2262</v>
      </c>
      <c r="AD806" s="4">
        <v>0</v>
      </c>
      <c r="AE806" s="4">
        <v>2262</v>
      </c>
      <c r="AF806" s="1"/>
      <c r="AG806" s="1"/>
      <c r="AH806" s="1"/>
      <c r="AI806" s="1" t="s">
        <v>2327</v>
      </c>
      <c r="AJ806" s="6">
        <v>690.82</v>
      </c>
      <c r="AK806" s="6">
        <v>509.09</v>
      </c>
      <c r="AL806" s="1"/>
    </row>
    <row r="807" spans="1:38" hidden="1" x14ac:dyDescent="0.25">
      <c r="A807" s="2">
        <v>1063</v>
      </c>
      <c r="B807" s="1" t="s">
        <v>962</v>
      </c>
      <c r="C807" s="1" t="s">
        <v>970</v>
      </c>
      <c r="D807" s="1" t="s">
        <v>2062</v>
      </c>
      <c r="E807" s="1" t="s">
        <v>2063</v>
      </c>
      <c r="F807" s="3">
        <v>45453</v>
      </c>
      <c r="G807" s="3">
        <v>45238</v>
      </c>
      <c r="H807" s="3">
        <v>45603</v>
      </c>
      <c r="I807" s="1" t="s">
        <v>3209</v>
      </c>
      <c r="J807" s="1" t="s">
        <v>3210</v>
      </c>
      <c r="K807" s="1"/>
      <c r="L807" s="1" t="s">
        <v>3211</v>
      </c>
      <c r="M807" s="1" t="s">
        <v>3212</v>
      </c>
      <c r="N807" s="1" t="s">
        <v>3213</v>
      </c>
      <c r="O807" s="1" t="s">
        <v>3214</v>
      </c>
      <c r="P807" s="1" t="s">
        <v>2182</v>
      </c>
      <c r="Q807" s="1"/>
      <c r="R807" s="1"/>
      <c r="S807" s="1" t="s">
        <v>2072</v>
      </c>
      <c r="T807" s="1" t="s">
        <v>3165</v>
      </c>
      <c r="U807" s="4">
        <v>3250000</v>
      </c>
      <c r="V807" s="4">
        <v>3471</v>
      </c>
      <c r="W807" s="4">
        <v>35</v>
      </c>
      <c r="X807" s="4">
        <v>451</v>
      </c>
      <c r="Y807" s="4">
        <v>0</v>
      </c>
      <c r="Z807" s="5">
        <v>3957</v>
      </c>
      <c r="AA807" s="5">
        <v>0</v>
      </c>
      <c r="AB807" s="6">
        <v>0</v>
      </c>
      <c r="AC807" s="4">
        <v>3957</v>
      </c>
      <c r="AD807" s="4">
        <v>0</v>
      </c>
      <c r="AE807" s="4">
        <v>3957</v>
      </c>
      <c r="AF807" s="1"/>
      <c r="AG807" s="1"/>
      <c r="AH807" s="1"/>
      <c r="AI807" s="1" t="s">
        <v>2327</v>
      </c>
      <c r="AJ807" s="6">
        <v>957.39000000000112</v>
      </c>
      <c r="AK807" s="6">
        <v>889.69</v>
      </c>
      <c r="AL807" s="1"/>
    </row>
    <row r="808" spans="1:38" hidden="1" x14ac:dyDescent="0.25">
      <c r="A808" s="2">
        <v>1064</v>
      </c>
      <c r="B808" s="1" t="s">
        <v>962</v>
      </c>
      <c r="C808" s="1" t="s">
        <v>971</v>
      </c>
      <c r="D808" s="1" t="s">
        <v>2062</v>
      </c>
      <c r="E808" s="1" t="s">
        <v>2063</v>
      </c>
      <c r="F808" s="3">
        <v>45482</v>
      </c>
      <c r="G808" s="3">
        <v>45238</v>
      </c>
      <c r="H808" s="3">
        <v>45603</v>
      </c>
      <c r="I808" s="1" t="s">
        <v>3209</v>
      </c>
      <c r="J808" s="1" t="s">
        <v>3210</v>
      </c>
      <c r="K808" s="1"/>
      <c r="L808" s="1" t="s">
        <v>3211</v>
      </c>
      <c r="M808" s="1" t="s">
        <v>3212</v>
      </c>
      <c r="N808" s="1" t="s">
        <v>3213</v>
      </c>
      <c r="O808" s="1" t="s">
        <v>3214</v>
      </c>
      <c r="P808" s="1" t="s">
        <v>2182</v>
      </c>
      <c r="Q808" s="1"/>
      <c r="R808" s="1"/>
      <c r="S808" s="1" t="s">
        <v>2072</v>
      </c>
      <c r="T808" s="1" t="s">
        <v>3165</v>
      </c>
      <c r="U808" s="4">
        <v>3250000</v>
      </c>
      <c r="V808" s="4">
        <v>2362</v>
      </c>
      <c r="W808" s="4">
        <v>24</v>
      </c>
      <c r="X808" s="4">
        <v>354</v>
      </c>
      <c r="Y808" s="4">
        <v>0</v>
      </c>
      <c r="Z808" s="5">
        <v>2740</v>
      </c>
      <c r="AA808" s="5">
        <v>0</v>
      </c>
      <c r="AB808" s="6">
        <v>0</v>
      </c>
      <c r="AC808" s="4">
        <v>2740</v>
      </c>
      <c r="AD808" s="4">
        <v>0</v>
      </c>
      <c r="AE808" s="4">
        <v>2740</v>
      </c>
      <c r="AF808" s="1"/>
      <c r="AG808" s="1"/>
      <c r="AH808" s="1"/>
      <c r="AI808" s="1" t="s">
        <v>2327</v>
      </c>
      <c r="AJ808" s="6">
        <v>1073.8700000000081</v>
      </c>
      <c r="AK808" s="6">
        <v>616.07000000000005</v>
      </c>
      <c r="AL808" s="1"/>
    </row>
    <row r="809" spans="1:38" hidden="1" x14ac:dyDescent="0.25">
      <c r="A809" s="2">
        <v>1065</v>
      </c>
      <c r="B809" s="1" t="s">
        <v>962</v>
      </c>
      <c r="C809" s="1" t="s">
        <v>972</v>
      </c>
      <c r="D809" s="1" t="s">
        <v>2062</v>
      </c>
      <c r="E809" s="1" t="s">
        <v>2063</v>
      </c>
      <c r="F809" s="3">
        <v>45512</v>
      </c>
      <c r="G809" s="3">
        <v>45238</v>
      </c>
      <c r="H809" s="3">
        <v>45603</v>
      </c>
      <c r="I809" s="1" t="s">
        <v>3209</v>
      </c>
      <c r="J809" s="1" t="s">
        <v>3210</v>
      </c>
      <c r="K809" s="1"/>
      <c r="L809" s="1" t="s">
        <v>3211</v>
      </c>
      <c r="M809" s="1" t="s">
        <v>3212</v>
      </c>
      <c r="N809" s="1" t="s">
        <v>3213</v>
      </c>
      <c r="O809" s="1" t="s">
        <v>3214</v>
      </c>
      <c r="P809" s="1" t="s">
        <v>2182</v>
      </c>
      <c r="Q809" s="1"/>
      <c r="R809" s="1"/>
      <c r="S809" s="1" t="s">
        <v>2072</v>
      </c>
      <c r="T809" s="1" t="s">
        <v>3165</v>
      </c>
      <c r="U809" s="4">
        <v>3250000</v>
      </c>
      <c r="V809" s="4">
        <v>2751</v>
      </c>
      <c r="W809" s="4">
        <v>28</v>
      </c>
      <c r="X809" s="4">
        <v>413</v>
      </c>
      <c r="Y809" s="4">
        <v>0</v>
      </c>
      <c r="Z809" s="5">
        <v>3192</v>
      </c>
      <c r="AA809" s="5">
        <v>0</v>
      </c>
      <c r="AB809" s="6">
        <v>0</v>
      </c>
      <c r="AC809" s="4">
        <v>3192</v>
      </c>
      <c r="AD809" s="4">
        <v>0</v>
      </c>
      <c r="AE809" s="4">
        <v>3192</v>
      </c>
      <c r="AF809" s="1"/>
      <c r="AG809" s="1"/>
      <c r="AH809" s="1"/>
      <c r="AI809" s="1" t="s">
        <v>2327</v>
      </c>
      <c r="AJ809" s="6">
        <v>1147.8000000000059</v>
      </c>
      <c r="AK809" s="6">
        <v>717.51</v>
      </c>
      <c r="AL809" s="1"/>
    </row>
    <row r="810" spans="1:38" hidden="1" x14ac:dyDescent="0.25">
      <c r="A810" s="2">
        <v>1066</v>
      </c>
      <c r="B810" s="1" t="s">
        <v>962</v>
      </c>
      <c r="C810" s="1" t="s">
        <v>973</v>
      </c>
      <c r="D810" s="1" t="s">
        <v>2062</v>
      </c>
      <c r="E810" s="1" t="s">
        <v>2063</v>
      </c>
      <c r="F810" s="3">
        <v>45546</v>
      </c>
      <c r="G810" s="3">
        <v>45238</v>
      </c>
      <c r="H810" s="3">
        <v>45603</v>
      </c>
      <c r="I810" s="1" t="s">
        <v>3209</v>
      </c>
      <c r="J810" s="1" t="s">
        <v>3210</v>
      </c>
      <c r="K810" s="1"/>
      <c r="L810" s="1" t="s">
        <v>3211</v>
      </c>
      <c r="M810" s="1" t="s">
        <v>3212</v>
      </c>
      <c r="N810" s="1" t="s">
        <v>3213</v>
      </c>
      <c r="O810" s="1" t="s">
        <v>3214</v>
      </c>
      <c r="P810" s="1" t="s">
        <v>2182</v>
      </c>
      <c r="Q810" s="1"/>
      <c r="R810" s="1"/>
      <c r="S810" s="1" t="s">
        <v>2072</v>
      </c>
      <c r="T810" s="1" t="s">
        <v>3165</v>
      </c>
      <c r="U810" s="4">
        <v>3250000</v>
      </c>
      <c r="V810" s="4">
        <v>3556</v>
      </c>
      <c r="W810" s="4">
        <v>36</v>
      </c>
      <c r="X810" s="4">
        <v>533</v>
      </c>
      <c r="Y810" s="4">
        <v>0</v>
      </c>
      <c r="Z810" s="5">
        <v>4125</v>
      </c>
      <c r="AA810" s="5">
        <v>0</v>
      </c>
      <c r="AB810" s="6">
        <v>0</v>
      </c>
      <c r="AC810" s="4">
        <v>4125</v>
      </c>
      <c r="AD810" s="4">
        <v>0</v>
      </c>
      <c r="AE810" s="4">
        <v>4125</v>
      </c>
      <c r="AF810" s="1"/>
      <c r="AG810" s="1"/>
      <c r="AH810" s="1"/>
      <c r="AI810" s="1" t="s">
        <v>2327</v>
      </c>
      <c r="AJ810" s="6">
        <v>2087.3700000000381</v>
      </c>
      <c r="AK810" s="6">
        <v>926.79000000000019</v>
      </c>
      <c r="AL810" s="1"/>
    </row>
    <row r="811" spans="1:38" hidden="1" x14ac:dyDescent="0.25">
      <c r="A811" s="2">
        <v>1067</v>
      </c>
      <c r="B811" s="1" t="s">
        <v>962</v>
      </c>
      <c r="C811" s="1" t="s">
        <v>974</v>
      </c>
      <c r="D811" s="1" t="s">
        <v>2062</v>
      </c>
      <c r="E811" s="1" t="s">
        <v>2063</v>
      </c>
      <c r="F811" s="3">
        <v>45579</v>
      </c>
      <c r="G811" s="3">
        <v>45238</v>
      </c>
      <c r="H811" s="3">
        <v>45603</v>
      </c>
      <c r="I811" s="1" t="s">
        <v>3209</v>
      </c>
      <c r="J811" s="1" t="s">
        <v>3210</v>
      </c>
      <c r="K811" s="1"/>
      <c r="L811" s="1" t="s">
        <v>3211</v>
      </c>
      <c r="M811" s="1" t="s">
        <v>3212</v>
      </c>
      <c r="N811" s="1" t="s">
        <v>3213</v>
      </c>
      <c r="O811" s="1" t="s">
        <v>3214</v>
      </c>
      <c r="P811" s="1" t="s">
        <v>2182</v>
      </c>
      <c r="Q811" s="1"/>
      <c r="R811" s="1"/>
      <c r="S811" s="1" t="s">
        <v>2072</v>
      </c>
      <c r="T811" s="1" t="s">
        <v>3165</v>
      </c>
      <c r="U811" s="4">
        <v>3250000</v>
      </c>
      <c r="V811" s="4">
        <v>3192</v>
      </c>
      <c r="W811" s="4">
        <v>32</v>
      </c>
      <c r="X811" s="4">
        <v>479</v>
      </c>
      <c r="Y811" s="4">
        <v>0</v>
      </c>
      <c r="Z811" s="5">
        <v>3703</v>
      </c>
      <c r="AA811" s="5">
        <v>0</v>
      </c>
      <c r="AB811" s="6">
        <v>0</v>
      </c>
      <c r="AC811" s="4">
        <v>3703</v>
      </c>
      <c r="AD811" s="4">
        <v>0</v>
      </c>
      <c r="AE811" s="4">
        <v>3703</v>
      </c>
      <c r="AF811" s="1"/>
      <c r="AG811" s="1"/>
      <c r="AH811" s="1"/>
      <c r="AI811" s="1" t="s">
        <v>2327</v>
      </c>
      <c r="AJ811" s="6">
        <v>883.69000000000096</v>
      </c>
      <c r="AK811" s="6">
        <v>831.86000000000104</v>
      </c>
      <c r="AL811" s="1"/>
    </row>
    <row r="812" spans="1:38" hidden="1" x14ac:dyDescent="0.25">
      <c r="A812" s="2">
        <v>1068</v>
      </c>
      <c r="B812" s="1" t="s">
        <v>962</v>
      </c>
      <c r="C812" s="1" t="s">
        <v>975</v>
      </c>
      <c r="D812" s="1" t="s">
        <v>2062</v>
      </c>
      <c r="E812" s="1" t="s">
        <v>2063</v>
      </c>
      <c r="F812" s="3">
        <v>45655</v>
      </c>
      <c r="G812" s="3">
        <v>45238</v>
      </c>
      <c r="H812" s="3">
        <v>45603</v>
      </c>
      <c r="I812" s="1" t="s">
        <v>3209</v>
      </c>
      <c r="J812" s="1" t="s">
        <v>3210</v>
      </c>
      <c r="K812" s="1"/>
      <c r="L812" s="1" t="s">
        <v>3211</v>
      </c>
      <c r="M812" s="1" t="s">
        <v>3212</v>
      </c>
      <c r="N812" s="1" t="s">
        <v>3213</v>
      </c>
      <c r="O812" s="1" t="s">
        <v>3214</v>
      </c>
      <c r="P812" s="1" t="s">
        <v>2182</v>
      </c>
      <c r="Q812" s="1"/>
      <c r="R812" s="1"/>
      <c r="S812" s="1" t="s">
        <v>2072</v>
      </c>
      <c r="T812" s="1" t="s">
        <v>3165</v>
      </c>
      <c r="U812" s="4">
        <v>-1</v>
      </c>
      <c r="V812" s="4">
        <v>-87171</v>
      </c>
      <c r="W812" s="4">
        <v>-872</v>
      </c>
      <c r="X812" s="4">
        <v>0</v>
      </c>
      <c r="Y812" s="4">
        <v>0</v>
      </c>
      <c r="Z812" s="5">
        <v>-88043</v>
      </c>
      <c r="AA812" s="5">
        <v>0</v>
      </c>
      <c r="AB812" s="6">
        <v>0</v>
      </c>
      <c r="AC812" s="4">
        <v>-88043</v>
      </c>
      <c r="AD812" s="4">
        <v>0</v>
      </c>
      <c r="AE812" s="4">
        <v>-88043</v>
      </c>
      <c r="AF812" s="1"/>
      <c r="AG812" s="1"/>
      <c r="AH812" s="1"/>
      <c r="AI812" s="1" t="s">
        <v>2327</v>
      </c>
      <c r="AJ812" s="1"/>
      <c r="AK812" s="1"/>
      <c r="AL812" s="1"/>
    </row>
    <row r="813" spans="1:38" hidden="1" x14ac:dyDescent="0.25">
      <c r="A813" s="2">
        <v>1076</v>
      </c>
      <c r="B813" s="1" t="s">
        <v>976</v>
      </c>
      <c r="C813" s="1" t="s">
        <v>977</v>
      </c>
      <c r="D813" s="1" t="s">
        <v>2062</v>
      </c>
      <c r="E813" s="1" t="s">
        <v>2063</v>
      </c>
      <c r="F813" s="3">
        <v>45283</v>
      </c>
      <c r="G813" s="3">
        <v>45252</v>
      </c>
      <c r="H813" s="3">
        <v>45617</v>
      </c>
      <c r="I813" s="1" t="s">
        <v>3215</v>
      </c>
      <c r="J813" s="1" t="s">
        <v>3216</v>
      </c>
      <c r="K813" s="1"/>
      <c r="L813" s="1" t="s">
        <v>2493</v>
      </c>
      <c r="M813" s="1" t="s">
        <v>3217</v>
      </c>
      <c r="N813" s="1" t="s">
        <v>3218</v>
      </c>
      <c r="O813" s="1" t="s">
        <v>3219</v>
      </c>
      <c r="P813" s="1" t="s">
        <v>2165</v>
      </c>
      <c r="Q813" s="1"/>
      <c r="R813" s="1"/>
      <c r="S813" s="1" t="s">
        <v>2072</v>
      </c>
      <c r="T813" s="1" t="s">
        <v>3165</v>
      </c>
      <c r="U813" s="4">
        <v>1500000</v>
      </c>
      <c r="V813" s="4">
        <v>705</v>
      </c>
      <c r="W813" s="4">
        <v>7</v>
      </c>
      <c r="X813" s="4">
        <v>92</v>
      </c>
      <c r="Y813" s="4">
        <v>0</v>
      </c>
      <c r="Z813" s="5">
        <v>804</v>
      </c>
      <c r="AA813" s="5">
        <v>0</v>
      </c>
      <c r="AB813" s="6">
        <v>0</v>
      </c>
      <c r="AC813" s="4">
        <v>804</v>
      </c>
      <c r="AD813" s="4">
        <v>0</v>
      </c>
      <c r="AE813" s="4">
        <v>804</v>
      </c>
      <c r="AF813" s="1"/>
      <c r="AG813" s="1"/>
      <c r="AH813" s="1"/>
      <c r="AI813" s="1" t="s">
        <v>3057</v>
      </c>
      <c r="AJ813" s="6">
        <v>496.45000000000005</v>
      </c>
      <c r="AK813" s="6">
        <v>392.34</v>
      </c>
      <c r="AL813" s="1"/>
    </row>
    <row r="814" spans="1:38" hidden="1" x14ac:dyDescent="0.25">
      <c r="A814" s="2">
        <v>1077</v>
      </c>
      <c r="B814" s="1" t="s">
        <v>976</v>
      </c>
      <c r="C814" s="1" t="s">
        <v>978</v>
      </c>
      <c r="D814" s="1" t="s">
        <v>2062</v>
      </c>
      <c r="E814" s="1" t="s">
        <v>2063</v>
      </c>
      <c r="F814" s="3">
        <v>45289</v>
      </c>
      <c r="G814" s="3">
        <v>45252</v>
      </c>
      <c r="H814" s="3">
        <v>45617</v>
      </c>
      <c r="I814" s="1" t="s">
        <v>3215</v>
      </c>
      <c r="J814" s="1" t="s">
        <v>3216</v>
      </c>
      <c r="K814" s="1"/>
      <c r="L814" s="1" t="s">
        <v>2493</v>
      </c>
      <c r="M814" s="1" t="s">
        <v>3217</v>
      </c>
      <c r="N814" s="1" t="s">
        <v>3218</v>
      </c>
      <c r="O814" s="1" t="s">
        <v>3219</v>
      </c>
      <c r="P814" s="1" t="s">
        <v>2165</v>
      </c>
      <c r="Q814" s="1"/>
      <c r="R814" s="1"/>
      <c r="S814" s="1" t="s">
        <v>2072</v>
      </c>
      <c r="T814" s="1" t="s">
        <v>3165</v>
      </c>
      <c r="U814" s="4">
        <v>1500000</v>
      </c>
      <c r="V814" s="4">
        <v>21224</v>
      </c>
      <c r="W814" s="4">
        <v>213</v>
      </c>
      <c r="X814" s="4">
        <v>2759</v>
      </c>
      <c r="Y814" s="4">
        <v>0</v>
      </c>
      <c r="Z814" s="5">
        <v>24196</v>
      </c>
      <c r="AA814" s="5">
        <v>0</v>
      </c>
      <c r="AB814" s="6">
        <v>0</v>
      </c>
      <c r="AC814" s="4">
        <v>24196</v>
      </c>
      <c r="AD814" s="4">
        <v>0</v>
      </c>
      <c r="AE814" s="4">
        <v>24196</v>
      </c>
      <c r="AF814" s="1"/>
      <c r="AG814" s="1"/>
      <c r="AH814" s="1"/>
      <c r="AI814" s="1" t="s">
        <v>3057</v>
      </c>
      <c r="AJ814" s="1"/>
      <c r="AK814" s="1"/>
      <c r="AL814" s="1"/>
    </row>
    <row r="815" spans="1:38" hidden="1" x14ac:dyDescent="0.25">
      <c r="A815" s="2">
        <v>1078</v>
      </c>
      <c r="B815" s="1" t="s">
        <v>976</v>
      </c>
      <c r="C815" s="1" t="s">
        <v>979</v>
      </c>
      <c r="D815" s="1" t="s">
        <v>2062</v>
      </c>
      <c r="E815" s="1" t="s">
        <v>2063</v>
      </c>
      <c r="F815" s="3">
        <v>45314</v>
      </c>
      <c r="G815" s="3">
        <v>45252</v>
      </c>
      <c r="H815" s="3">
        <v>45617</v>
      </c>
      <c r="I815" s="1" t="s">
        <v>3215</v>
      </c>
      <c r="J815" s="1" t="s">
        <v>3216</v>
      </c>
      <c r="K815" s="1"/>
      <c r="L815" s="1" t="s">
        <v>2493</v>
      </c>
      <c r="M815" s="1" t="s">
        <v>3217</v>
      </c>
      <c r="N815" s="1" t="s">
        <v>3218</v>
      </c>
      <c r="O815" s="1" t="s">
        <v>3219</v>
      </c>
      <c r="P815" s="1" t="s">
        <v>2165</v>
      </c>
      <c r="Q815" s="1"/>
      <c r="R815" s="1"/>
      <c r="S815" s="1" t="s">
        <v>2072</v>
      </c>
      <c r="T815" s="1" t="s">
        <v>3165</v>
      </c>
      <c r="U815" s="4">
        <v>1500000</v>
      </c>
      <c r="V815" s="4">
        <v>1248</v>
      </c>
      <c r="W815" s="4">
        <v>12</v>
      </c>
      <c r="X815" s="4">
        <v>163</v>
      </c>
      <c r="Y815" s="4">
        <v>0</v>
      </c>
      <c r="Z815" s="5">
        <v>1423</v>
      </c>
      <c r="AA815" s="5">
        <v>0</v>
      </c>
      <c r="AB815" s="6">
        <v>0</v>
      </c>
      <c r="AC815" s="4">
        <v>1423</v>
      </c>
      <c r="AD815" s="4">
        <v>0</v>
      </c>
      <c r="AE815" s="4">
        <v>1423</v>
      </c>
      <c r="AF815" s="1"/>
      <c r="AG815" s="1"/>
      <c r="AH815" s="1"/>
      <c r="AI815" s="1" t="s">
        <v>3057</v>
      </c>
      <c r="AJ815" s="6">
        <v>1033.5299999999979</v>
      </c>
      <c r="AK815" s="6">
        <v>695.87</v>
      </c>
      <c r="AL815" s="1"/>
    </row>
    <row r="816" spans="1:38" hidden="1" x14ac:dyDescent="0.25">
      <c r="A816" s="2">
        <v>1079</v>
      </c>
      <c r="B816" s="1" t="s">
        <v>976</v>
      </c>
      <c r="C816" s="1" t="s">
        <v>980</v>
      </c>
      <c r="D816" s="1" t="s">
        <v>2062</v>
      </c>
      <c r="E816" s="1" t="s">
        <v>2063</v>
      </c>
      <c r="F816" s="3">
        <v>45344</v>
      </c>
      <c r="G816" s="3">
        <v>45252</v>
      </c>
      <c r="H816" s="3">
        <v>45617</v>
      </c>
      <c r="I816" s="1" t="s">
        <v>3215</v>
      </c>
      <c r="J816" s="1" t="s">
        <v>3216</v>
      </c>
      <c r="K816" s="1"/>
      <c r="L816" s="1" t="s">
        <v>2493</v>
      </c>
      <c r="M816" s="1" t="s">
        <v>3217</v>
      </c>
      <c r="N816" s="1" t="s">
        <v>3218</v>
      </c>
      <c r="O816" s="1" t="s">
        <v>3219</v>
      </c>
      <c r="P816" s="1" t="s">
        <v>2165</v>
      </c>
      <c r="Q816" s="1"/>
      <c r="R816" s="1"/>
      <c r="S816" s="1" t="s">
        <v>2072</v>
      </c>
      <c r="T816" s="1" t="s">
        <v>3165</v>
      </c>
      <c r="U816" s="4">
        <v>1500000</v>
      </c>
      <c r="V816" s="4">
        <v>315</v>
      </c>
      <c r="W816" s="4">
        <v>3</v>
      </c>
      <c r="X816" s="4">
        <v>41</v>
      </c>
      <c r="Y816" s="4">
        <v>0</v>
      </c>
      <c r="Z816" s="5">
        <v>359</v>
      </c>
      <c r="AA816" s="5">
        <v>0</v>
      </c>
      <c r="AB816" s="6">
        <v>0</v>
      </c>
      <c r="AC816" s="4">
        <v>359</v>
      </c>
      <c r="AD816" s="4">
        <v>0</v>
      </c>
      <c r="AE816" s="4">
        <v>359</v>
      </c>
      <c r="AF816" s="1"/>
      <c r="AG816" s="1"/>
      <c r="AH816" s="1"/>
      <c r="AI816" s="1" t="s">
        <v>3057</v>
      </c>
      <c r="AJ816" s="6">
        <v>297.61</v>
      </c>
      <c r="AK816" s="6">
        <v>175.35</v>
      </c>
      <c r="AL816" s="1"/>
    </row>
    <row r="817" spans="1:38" hidden="1" x14ac:dyDescent="0.25">
      <c r="A817" s="2">
        <v>1080</v>
      </c>
      <c r="B817" s="1" t="s">
        <v>976</v>
      </c>
      <c r="C817" s="1" t="s">
        <v>981</v>
      </c>
      <c r="D817" s="1" t="s">
        <v>2062</v>
      </c>
      <c r="E817" s="1" t="s">
        <v>2063</v>
      </c>
      <c r="F817" s="3">
        <v>45373</v>
      </c>
      <c r="G817" s="3">
        <v>45252</v>
      </c>
      <c r="H817" s="3">
        <v>45617</v>
      </c>
      <c r="I817" s="1" t="s">
        <v>3215</v>
      </c>
      <c r="J817" s="1" t="s">
        <v>3216</v>
      </c>
      <c r="K817" s="1"/>
      <c r="L817" s="1" t="s">
        <v>2493</v>
      </c>
      <c r="M817" s="1" t="s">
        <v>3217</v>
      </c>
      <c r="N817" s="1" t="s">
        <v>3218</v>
      </c>
      <c r="O817" s="1" t="s">
        <v>3219</v>
      </c>
      <c r="P817" s="1" t="s">
        <v>2165</v>
      </c>
      <c r="Q817" s="1"/>
      <c r="R817" s="1"/>
      <c r="S817" s="1" t="s">
        <v>2072</v>
      </c>
      <c r="T817" s="1" t="s">
        <v>3165</v>
      </c>
      <c r="U817" s="4">
        <v>1500000</v>
      </c>
      <c r="V817" s="4">
        <v>191</v>
      </c>
      <c r="W817" s="4">
        <v>2</v>
      </c>
      <c r="X817" s="4">
        <v>24</v>
      </c>
      <c r="Y817" s="4">
        <v>0</v>
      </c>
      <c r="Z817" s="5">
        <v>217</v>
      </c>
      <c r="AA817" s="5">
        <v>0</v>
      </c>
      <c r="AB817" s="6">
        <v>0</v>
      </c>
      <c r="AC817" s="4">
        <v>217</v>
      </c>
      <c r="AD817" s="4">
        <v>0</v>
      </c>
      <c r="AE817" s="4">
        <v>217</v>
      </c>
      <c r="AF817" s="1"/>
      <c r="AG817" s="1"/>
      <c r="AH817" s="1"/>
      <c r="AI817" s="1" t="s">
        <v>3057</v>
      </c>
      <c r="AJ817" s="6">
        <v>105.28</v>
      </c>
      <c r="AK817" s="6">
        <v>105.28</v>
      </c>
      <c r="AL817" s="1"/>
    </row>
    <row r="818" spans="1:38" hidden="1" x14ac:dyDescent="0.25">
      <c r="A818" s="2">
        <v>1081</v>
      </c>
      <c r="B818" s="1" t="s">
        <v>976</v>
      </c>
      <c r="C818" s="1" t="s">
        <v>982</v>
      </c>
      <c r="D818" s="1" t="s">
        <v>2062</v>
      </c>
      <c r="E818" s="1" t="s">
        <v>2063</v>
      </c>
      <c r="F818" s="3">
        <v>45404</v>
      </c>
      <c r="G818" s="3">
        <v>45252</v>
      </c>
      <c r="H818" s="3">
        <v>45617</v>
      </c>
      <c r="I818" s="1" t="s">
        <v>3215</v>
      </c>
      <c r="J818" s="1" t="s">
        <v>3216</v>
      </c>
      <c r="K818" s="1"/>
      <c r="L818" s="1" t="s">
        <v>2493</v>
      </c>
      <c r="M818" s="1" t="s">
        <v>3217</v>
      </c>
      <c r="N818" s="1" t="s">
        <v>3218</v>
      </c>
      <c r="O818" s="1" t="s">
        <v>3219</v>
      </c>
      <c r="P818" s="1" t="s">
        <v>2165</v>
      </c>
      <c r="Q818" s="1"/>
      <c r="R818" s="1"/>
      <c r="S818" s="1" t="s">
        <v>2072</v>
      </c>
      <c r="T818" s="1" t="s">
        <v>3165</v>
      </c>
      <c r="U818" s="4">
        <v>1500000</v>
      </c>
      <c r="V818" s="4">
        <v>619</v>
      </c>
      <c r="W818" s="4">
        <v>6</v>
      </c>
      <c r="X818" s="4">
        <v>81</v>
      </c>
      <c r="Y818" s="4">
        <v>0</v>
      </c>
      <c r="Z818" s="5">
        <v>706</v>
      </c>
      <c r="AA818" s="5">
        <v>0</v>
      </c>
      <c r="AB818" s="6">
        <v>0</v>
      </c>
      <c r="AC818" s="4">
        <v>706</v>
      </c>
      <c r="AD818" s="4">
        <v>0</v>
      </c>
      <c r="AE818" s="4">
        <v>706</v>
      </c>
      <c r="AF818" s="1"/>
      <c r="AG818" s="1"/>
      <c r="AH818" s="1"/>
      <c r="AI818" s="1" t="s">
        <v>3057</v>
      </c>
      <c r="AJ818" s="6">
        <v>526.24999999999807</v>
      </c>
      <c r="AK818" s="6">
        <v>345.06</v>
      </c>
      <c r="AL818" s="1"/>
    </row>
    <row r="819" spans="1:38" hidden="1" x14ac:dyDescent="0.25">
      <c r="A819" s="2">
        <v>1082</v>
      </c>
      <c r="B819" s="1" t="s">
        <v>976</v>
      </c>
      <c r="C819" s="1" t="s">
        <v>983</v>
      </c>
      <c r="D819" s="1" t="s">
        <v>2062</v>
      </c>
      <c r="E819" s="1" t="s">
        <v>2063</v>
      </c>
      <c r="F819" s="3">
        <v>45434</v>
      </c>
      <c r="G819" s="3">
        <v>45252</v>
      </c>
      <c r="H819" s="3">
        <v>45617</v>
      </c>
      <c r="I819" s="1" t="s">
        <v>3215</v>
      </c>
      <c r="J819" s="1" t="s">
        <v>3216</v>
      </c>
      <c r="K819" s="1"/>
      <c r="L819" s="1" t="s">
        <v>2493</v>
      </c>
      <c r="M819" s="1" t="s">
        <v>3217</v>
      </c>
      <c r="N819" s="1" t="s">
        <v>3218</v>
      </c>
      <c r="O819" s="1" t="s">
        <v>3219</v>
      </c>
      <c r="P819" s="1" t="s">
        <v>2165</v>
      </c>
      <c r="Q819" s="1"/>
      <c r="R819" s="1"/>
      <c r="S819" s="1" t="s">
        <v>2072</v>
      </c>
      <c r="T819" s="1" t="s">
        <v>3165</v>
      </c>
      <c r="U819" s="4">
        <v>1500000</v>
      </c>
      <c r="V819" s="4">
        <v>140</v>
      </c>
      <c r="W819" s="4">
        <v>2</v>
      </c>
      <c r="X819" s="4">
        <v>18</v>
      </c>
      <c r="Y819" s="4">
        <v>0</v>
      </c>
      <c r="Z819" s="5">
        <v>160</v>
      </c>
      <c r="AA819" s="5">
        <v>0</v>
      </c>
      <c r="AB819" s="6">
        <v>0</v>
      </c>
      <c r="AC819" s="4">
        <v>160</v>
      </c>
      <c r="AD819" s="4">
        <v>0</v>
      </c>
      <c r="AE819" s="4">
        <v>160</v>
      </c>
      <c r="AF819" s="1"/>
      <c r="AG819" s="1"/>
      <c r="AH819" s="1"/>
      <c r="AI819" s="1" t="s">
        <v>3057</v>
      </c>
      <c r="AJ819" s="6">
        <v>77.89</v>
      </c>
      <c r="AK819" s="6">
        <v>77.89</v>
      </c>
      <c r="AL819" s="1"/>
    </row>
    <row r="820" spans="1:38" hidden="1" x14ac:dyDescent="0.25">
      <c r="A820" s="2">
        <v>1083</v>
      </c>
      <c r="B820" s="1" t="s">
        <v>976</v>
      </c>
      <c r="C820" s="1" t="s">
        <v>984</v>
      </c>
      <c r="D820" s="1" t="s">
        <v>2062</v>
      </c>
      <c r="E820" s="1" t="s">
        <v>2063</v>
      </c>
      <c r="F820" s="3">
        <v>45467</v>
      </c>
      <c r="G820" s="3">
        <v>45252</v>
      </c>
      <c r="H820" s="3">
        <v>45617</v>
      </c>
      <c r="I820" s="1" t="s">
        <v>3215</v>
      </c>
      <c r="J820" s="1" t="s">
        <v>3216</v>
      </c>
      <c r="K820" s="1"/>
      <c r="L820" s="1" t="s">
        <v>2493</v>
      </c>
      <c r="M820" s="1" t="s">
        <v>3217</v>
      </c>
      <c r="N820" s="1" t="s">
        <v>3218</v>
      </c>
      <c r="O820" s="1" t="s">
        <v>3219</v>
      </c>
      <c r="P820" s="1" t="s">
        <v>2165</v>
      </c>
      <c r="Q820" s="1"/>
      <c r="R820" s="1"/>
      <c r="S820" s="1" t="s">
        <v>2072</v>
      </c>
      <c r="T820" s="1" t="s">
        <v>3165</v>
      </c>
      <c r="U820" s="4">
        <v>1500000</v>
      </c>
      <c r="V820" s="4">
        <v>223</v>
      </c>
      <c r="W820" s="4">
        <v>2</v>
      </c>
      <c r="X820" s="4">
        <v>29</v>
      </c>
      <c r="Y820" s="4">
        <v>0</v>
      </c>
      <c r="Z820" s="5">
        <v>254</v>
      </c>
      <c r="AA820" s="5">
        <v>0</v>
      </c>
      <c r="AB820" s="6">
        <v>0</v>
      </c>
      <c r="AC820" s="4">
        <v>254</v>
      </c>
      <c r="AD820" s="4">
        <v>0</v>
      </c>
      <c r="AE820" s="4">
        <v>254</v>
      </c>
      <c r="AF820" s="1"/>
      <c r="AG820" s="1"/>
      <c r="AH820" s="1"/>
      <c r="AI820" s="1" t="s">
        <v>3057</v>
      </c>
      <c r="AJ820" s="6">
        <v>157.18</v>
      </c>
      <c r="AK820" s="6">
        <v>124.25</v>
      </c>
      <c r="AL820" s="1"/>
    </row>
    <row r="821" spans="1:38" hidden="1" x14ac:dyDescent="0.25">
      <c r="A821" s="2">
        <v>1084</v>
      </c>
      <c r="B821" s="1" t="s">
        <v>976</v>
      </c>
      <c r="C821" s="1" t="s">
        <v>985</v>
      </c>
      <c r="D821" s="1" t="s">
        <v>2062</v>
      </c>
      <c r="E821" s="1" t="s">
        <v>2063</v>
      </c>
      <c r="F821" s="3">
        <v>45498</v>
      </c>
      <c r="G821" s="3">
        <v>45252</v>
      </c>
      <c r="H821" s="3">
        <v>45617</v>
      </c>
      <c r="I821" s="1" t="s">
        <v>3215</v>
      </c>
      <c r="J821" s="1" t="s">
        <v>3216</v>
      </c>
      <c r="K821" s="1"/>
      <c r="L821" s="1" t="s">
        <v>2493</v>
      </c>
      <c r="M821" s="1" t="s">
        <v>3217</v>
      </c>
      <c r="N821" s="1" t="s">
        <v>3218</v>
      </c>
      <c r="O821" s="1" t="s">
        <v>3219</v>
      </c>
      <c r="P821" s="1" t="s">
        <v>2165</v>
      </c>
      <c r="Q821" s="1"/>
      <c r="R821" s="1"/>
      <c r="S821" s="1" t="s">
        <v>2072</v>
      </c>
      <c r="T821" s="1" t="s">
        <v>3165</v>
      </c>
      <c r="U821" s="4">
        <v>1500000</v>
      </c>
      <c r="V821" s="4">
        <v>292</v>
      </c>
      <c r="W821" s="4">
        <v>3</v>
      </c>
      <c r="X821" s="4">
        <v>44</v>
      </c>
      <c r="Y821" s="4">
        <v>0</v>
      </c>
      <c r="Z821" s="5">
        <v>339</v>
      </c>
      <c r="AA821" s="5">
        <v>0</v>
      </c>
      <c r="AB821" s="6">
        <v>0</v>
      </c>
      <c r="AC821" s="4">
        <v>339</v>
      </c>
      <c r="AD821" s="4">
        <v>0</v>
      </c>
      <c r="AE821" s="4">
        <v>339</v>
      </c>
      <c r="AF821" s="1"/>
      <c r="AG821" s="1"/>
      <c r="AH821" s="1"/>
      <c r="AI821" s="1" t="s">
        <v>3057</v>
      </c>
      <c r="AJ821" s="6">
        <v>232.89</v>
      </c>
      <c r="AK821" s="6">
        <v>165.72</v>
      </c>
      <c r="AL821" s="1"/>
    </row>
    <row r="822" spans="1:38" hidden="1" x14ac:dyDescent="0.25">
      <c r="A822" s="2">
        <v>1085</v>
      </c>
      <c r="B822" s="1" t="s">
        <v>976</v>
      </c>
      <c r="C822" s="1" t="s">
        <v>986</v>
      </c>
      <c r="D822" s="1" t="s">
        <v>2062</v>
      </c>
      <c r="E822" s="1" t="s">
        <v>2063</v>
      </c>
      <c r="F822" s="3">
        <v>45531</v>
      </c>
      <c r="G822" s="3">
        <v>45252</v>
      </c>
      <c r="H822" s="3">
        <v>45617</v>
      </c>
      <c r="I822" s="1" t="s">
        <v>3215</v>
      </c>
      <c r="J822" s="1" t="s">
        <v>3216</v>
      </c>
      <c r="K822" s="1"/>
      <c r="L822" s="1" t="s">
        <v>2493</v>
      </c>
      <c r="M822" s="1" t="s">
        <v>3217</v>
      </c>
      <c r="N822" s="1" t="s">
        <v>3218</v>
      </c>
      <c r="O822" s="1" t="s">
        <v>3219</v>
      </c>
      <c r="P822" s="1" t="s">
        <v>2165</v>
      </c>
      <c r="Q822" s="1"/>
      <c r="R822" s="1"/>
      <c r="S822" s="1" t="s">
        <v>2072</v>
      </c>
      <c r="T822" s="1" t="s">
        <v>3165</v>
      </c>
      <c r="U822" s="4">
        <v>1500000</v>
      </c>
      <c r="V822" s="4">
        <v>200</v>
      </c>
      <c r="W822" s="4">
        <v>2</v>
      </c>
      <c r="X822" s="4">
        <v>30</v>
      </c>
      <c r="Y822" s="4">
        <v>0</v>
      </c>
      <c r="Z822" s="5">
        <v>232</v>
      </c>
      <c r="AA822" s="5">
        <v>0</v>
      </c>
      <c r="AB822" s="6">
        <v>0</v>
      </c>
      <c r="AC822" s="4">
        <v>232</v>
      </c>
      <c r="AD822" s="4">
        <v>0</v>
      </c>
      <c r="AE822" s="4">
        <v>232</v>
      </c>
      <c r="AF822" s="1"/>
      <c r="AG822" s="1"/>
      <c r="AH822" s="1"/>
      <c r="AI822" s="1" t="s">
        <v>3057</v>
      </c>
      <c r="AJ822" s="6">
        <v>167.93</v>
      </c>
      <c r="AK822" s="6">
        <v>113.29</v>
      </c>
      <c r="AL822" s="1"/>
    </row>
    <row r="823" spans="1:38" hidden="1" x14ac:dyDescent="0.25">
      <c r="A823" s="2">
        <v>1086</v>
      </c>
      <c r="B823" s="1" t="s">
        <v>976</v>
      </c>
      <c r="C823" s="1" t="s">
        <v>987</v>
      </c>
      <c r="D823" s="1" t="s">
        <v>2062</v>
      </c>
      <c r="E823" s="1" t="s">
        <v>2063</v>
      </c>
      <c r="F823" s="3">
        <v>45561</v>
      </c>
      <c r="G823" s="3">
        <v>45252</v>
      </c>
      <c r="H823" s="3">
        <v>45617</v>
      </c>
      <c r="I823" s="1" t="s">
        <v>3215</v>
      </c>
      <c r="J823" s="1" t="s">
        <v>3216</v>
      </c>
      <c r="K823" s="1"/>
      <c r="L823" s="1" t="s">
        <v>2493</v>
      </c>
      <c r="M823" s="1" t="s">
        <v>3217</v>
      </c>
      <c r="N823" s="1" t="s">
        <v>3218</v>
      </c>
      <c r="O823" s="1" t="s">
        <v>3219</v>
      </c>
      <c r="P823" s="1" t="s">
        <v>2165</v>
      </c>
      <c r="Q823" s="1"/>
      <c r="R823" s="1"/>
      <c r="S823" s="1" t="s">
        <v>2072</v>
      </c>
      <c r="T823" s="1" t="s">
        <v>3165</v>
      </c>
      <c r="U823" s="4">
        <v>1500000</v>
      </c>
      <c r="V823" s="4">
        <v>437</v>
      </c>
      <c r="W823" s="4">
        <v>4</v>
      </c>
      <c r="X823" s="4">
        <v>66</v>
      </c>
      <c r="Y823" s="4">
        <v>0</v>
      </c>
      <c r="Z823" s="5">
        <v>507</v>
      </c>
      <c r="AA823" s="5">
        <v>0</v>
      </c>
      <c r="AB823" s="6">
        <v>0</v>
      </c>
      <c r="AC823" s="4">
        <v>507</v>
      </c>
      <c r="AD823" s="4">
        <v>0</v>
      </c>
      <c r="AE823" s="4">
        <v>507</v>
      </c>
      <c r="AF823" s="1"/>
      <c r="AG823" s="1"/>
      <c r="AH823" s="1"/>
      <c r="AI823" s="1" t="s">
        <v>3057</v>
      </c>
      <c r="AJ823" s="6">
        <v>379.54999999999905</v>
      </c>
      <c r="AK823" s="6">
        <v>248.04000000000005</v>
      </c>
      <c r="AL823" s="1"/>
    </row>
    <row r="824" spans="1:38" hidden="1" x14ac:dyDescent="0.25">
      <c r="A824" s="2">
        <v>1087</v>
      </c>
      <c r="B824" s="1" t="s">
        <v>976</v>
      </c>
      <c r="C824" s="1" t="s">
        <v>988</v>
      </c>
      <c r="D824" s="1" t="s">
        <v>2062</v>
      </c>
      <c r="E824" s="1" t="s">
        <v>2063</v>
      </c>
      <c r="F824" s="3">
        <v>45588</v>
      </c>
      <c r="G824" s="3">
        <v>45252</v>
      </c>
      <c r="H824" s="3">
        <v>45617</v>
      </c>
      <c r="I824" s="1" t="s">
        <v>3215</v>
      </c>
      <c r="J824" s="1" t="s">
        <v>3216</v>
      </c>
      <c r="K824" s="1"/>
      <c r="L824" s="1" t="s">
        <v>2493</v>
      </c>
      <c r="M824" s="1" t="s">
        <v>3217</v>
      </c>
      <c r="N824" s="1" t="s">
        <v>3218</v>
      </c>
      <c r="O824" s="1" t="s">
        <v>3219</v>
      </c>
      <c r="P824" s="1" t="s">
        <v>2165</v>
      </c>
      <c r="Q824" s="1"/>
      <c r="R824" s="1"/>
      <c r="S824" s="1" t="s">
        <v>2072</v>
      </c>
      <c r="T824" s="1" t="s">
        <v>3165</v>
      </c>
      <c r="U824" s="4">
        <v>1500000</v>
      </c>
      <c r="V824" s="4">
        <v>127</v>
      </c>
      <c r="W824" s="4">
        <v>1</v>
      </c>
      <c r="X824" s="4">
        <v>19</v>
      </c>
      <c r="Y824" s="4">
        <v>0</v>
      </c>
      <c r="Z824" s="5">
        <v>147</v>
      </c>
      <c r="AA824" s="5">
        <v>0</v>
      </c>
      <c r="AB824" s="6">
        <v>0</v>
      </c>
      <c r="AC824" s="4">
        <v>147</v>
      </c>
      <c r="AD824" s="4">
        <v>0</v>
      </c>
      <c r="AE824" s="4">
        <v>147</v>
      </c>
      <c r="AF824" s="1"/>
      <c r="AG824" s="1"/>
      <c r="AH824" s="1"/>
      <c r="AI824" s="1" t="s">
        <v>3057</v>
      </c>
      <c r="AJ824" s="6">
        <v>165.719999999999</v>
      </c>
      <c r="AK824" s="6">
        <v>71.540000000000006</v>
      </c>
      <c r="AL824" s="1"/>
    </row>
    <row r="825" spans="1:38" hidden="1" x14ac:dyDescent="0.25">
      <c r="A825" s="2">
        <v>1088</v>
      </c>
      <c r="B825" s="1" t="s">
        <v>976</v>
      </c>
      <c r="C825" s="1" t="s">
        <v>989</v>
      </c>
      <c r="D825" s="1" t="s">
        <v>2062</v>
      </c>
      <c r="E825" s="1" t="s">
        <v>2063</v>
      </c>
      <c r="F825" s="3">
        <v>45655</v>
      </c>
      <c r="G825" s="3">
        <v>45252</v>
      </c>
      <c r="H825" s="3">
        <v>45617</v>
      </c>
      <c r="I825" s="1" t="s">
        <v>3215</v>
      </c>
      <c r="J825" s="1" t="s">
        <v>3216</v>
      </c>
      <c r="K825" s="1"/>
      <c r="L825" s="1" t="s">
        <v>2493</v>
      </c>
      <c r="M825" s="1" t="s">
        <v>3217</v>
      </c>
      <c r="N825" s="1" t="s">
        <v>3218</v>
      </c>
      <c r="O825" s="1" t="s">
        <v>3219</v>
      </c>
      <c r="P825" s="1" t="s">
        <v>2165</v>
      </c>
      <c r="Q825" s="1"/>
      <c r="R825" s="1"/>
      <c r="S825" s="1" t="s">
        <v>2072</v>
      </c>
      <c r="T825" s="1" t="s">
        <v>3165</v>
      </c>
      <c r="U825" s="4">
        <v>-1</v>
      </c>
      <c r="V825" s="4">
        <v>-29053</v>
      </c>
      <c r="W825" s="4">
        <v>-291</v>
      </c>
      <c r="X825" s="4">
        <v>0</v>
      </c>
      <c r="Y825" s="4">
        <v>0</v>
      </c>
      <c r="Z825" s="5">
        <v>-29344</v>
      </c>
      <c r="AA825" s="5">
        <v>0</v>
      </c>
      <c r="AB825" s="6">
        <v>0</v>
      </c>
      <c r="AC825" s="4">
        <v>-29344</v>
      </c>
      <c r="AD825" s="4">
        <v>0</v>
      </c>
      <c r="AE825" s="4">
        <v>-29344</v>
      </c>
      <c r="AF825" s="1"/>
      <c r="AG825" s="1"/>
      <c r="AH825" s="1"/>
      <c r="AI825" s="1" t="s">
        <v>3057</v>
      </c>
      <c r="AJ825" s="1"/>
      <c r="AK825" s="1"/>
      <c r="AL825" s="1"/>
    </row>
    <row r="826" spans="1:38" hidden="1" x14ac:dyDescent="0.25">
      <c r="A826" s="2">
        <v>1090</v>
      </c>
      <c r="B826" s="1" t="s">
        <v>990</v>
      </c>
      <c r="C826" s="1" t="s">
        <v>991</v>
      </c>
      <c r="D826" s="1" t="s">
        <v>2062</v>
      </c>
      <c r="E826" s="1" t="s">
        <v>2063</v>
      </c>
      <c r="F826" s="3">
        <v>45289</v>
      </c>
      <c r="G826" s="3">
        <v>45248</v>
      </c>
      <c r="H826" s="3">
        <v>45613</v>
      </c>
      <c r="I826" s="1" t="s">
        <v>3209</v>
      </c>
      <c r="J826" s="1" t="s">
        <v>3220</v>
      </c>
      <c r="K826" s="1"/>
      <c r="L826" s="1" t="s">
        <v>2864</v>
      </c>
      <c r="M826" s="1" t="s">
        <v>3221</v>
      </c>
      <c r="N826" s="1" t="s">
        <v>3213</v>
      </c>
      <c r="O826" s="1" t="s">
        <v>3214</v>
      </c>
      <c r="P826" s="1" t="s">
        <v>2231</v>
      </c>
      <c r="Q826" s="1"/>
      <c r="R826" s="1"/>
      <c r="S826" s="1" t="s">
        <v>2072</v>
      </c>
      <c r="T826" s="1" t="s">
        <v>3165</v>
      </c>
      <c r="U826" s="4">
        <v>3150000</v>
      </c>
      <c r="V826" s="4">
        <v>50876</v>
      </c>
      <c r="W826" s="4">
        <v>509</v>
      </c>
      <c r="X826" s="4">
        <v>6615</v>
      </c>
      <c r="Y826" s="4">
        <v>0</v>
      </c>
      <c r="Z826" s="5">
        <v>58000</v>
      </c>
      <c r="AA826" s="5">
        <v>0</v>
      </c>
      <c r="AB826" s="6">
        <v>0</v>
      </c>
      <c r="AC826" s="4">
        <v>58000</v>
      </c>
      <c r="AD826" s="4">
        <v>0</v>
      </c>
      <c r="AE826" s="4">
        <v>58000</v>
      </c>
      <c r="AF826" s="1"/>
      <c r="AG826" s="1"/>
      <c r="AH826" s="1"/>
      <c r="AI826" s="1" t="s">
        <v>2327</v>
      </c>
      <c r="AJ826" s="1"/>
      <c r="AK826" s="1"/>
      <c r="AL826" s="1"/>
    </row>
    <row r="827" spans="1:38" hidden="1" x14ac:dyDescent="0.25">
      <c r="A827" s="2">
        <v>1091</v>
      </c>
      <c r="B827" s="1" t="s">
        <v>990</v>
      </c>
      <c r="C827" s="1" t="s">
        <v>992</v>
      </c>
      <c r="D827" s="1" t="s">
        <v>2062</v>
      </c>
      <c r="E827" s="1" t="s">
        <v>2063</v>
      </c>
      <c r="F827" s="3">
        <v>45309</v>
      </c>
      <c r="G827" s="3">
        <v>45248</v>
      </c>
      <c r="H827" s="3">
        <v>45613</v>
      </c>
      <c r="I827" s="1" t="s">
        <v>3209</v>
      </c>
      <c r="J827" s="1" t="s">
        <v>3220</v>
      </c>
      <c r="K827" s="1"/>
      <c r="L827" s="1" t="s">
        <v>2864</v>
      </c>
      <c r="M827" s="1" t="s">
        <v>3221</v>
      </c>
      <c r="N827" s="1" t="s">
        <v>3213</v>
      </c>
      <c r="O827" s="1" t="s">
        <v>3214</v>
      </c>
      <c r="P827" s="1" t="s">
        <v>2231</v>
      </c>
      <c r="Q827" s="1"/>
      <c r="R827" s="1"/>
      <c r="S827" s="1" t="s">
        <v>2072</v>
      </c>
      <c r="T827" s="1" t="s">
        <v>3165</v>
      </c>
      <c r="U827" s="4">
        <v>3150000</v>
      </c>
      <c r="V827" s="4">
        <v>1291</v>
      </c>
      <c r="W827" s="4">
        <v>13</v>
      </c>
      <c r="X827" s="4">
        <v>167</v>
      </c>
      <c r="Y827" s="4">
        <v>0</v>
      </c>
      <c r="Z827" s="5">
        <v>1471</v>
      </c>
      <c r="AA827" s="5">
        <v>0</v>
      </c>
      <c r="AB827" s="6">
        <v>0</v>
      </c>
      <c r="AC827" s="4">
        <v>1471</v>
      </c>
      <c r="AD827" s="4">
        <v>0</v>
      </c>
      <c r="AE827" s="4">
        <v>1471</v>
      </c>
      <c r="AF827" s="1"/>
      <c r="AG827" s="1"/>
      <c r="AH827" s="1"/>
      <c r="AI827" s="1" t="s">
        <v>2327</v>
      </c>
      <c r="AJ827" s="6">
        <v>870.54000000001906</v>
      </c>
      <c r="AK827" s="6">
        <v>341.01000000000005</v>
      </c>
      <c r="AL827" s="1"/>
    </row>
    <row r="828" spans="1:38" hidden="1" x14ac:dyDescent="0.25">
      <c r="A828" s="2">
        <v>1092</v>
      </c>
      <c r="B828" s="1" t="s">
        <v>990</v>
      </c>
      <c r="C828" s="1" t="s">
        <v>993</v>
      </c>
      <c r="D828" s="1" t="s">
        <v>2062</v>
      </c>
      <c r="E828" s="1" t="s">
        <v>2063</v>
      </c>
      <c r="F828" s="3">
        <v>45309</v>
      </c>
      <c r="G828" s="3">
        <v>45248</v>
      </c>
      <c r="H828" s="3">
        <v>45613</v>
      </c>
      <c r="I828" s="1" t="s">
        <v>3209</v>
      </c>
      <c r="J828" s="1" t="s">
        <v>3220</v>
      </c>
      <c r="K828" s="1"/>
      <c r="L828" s="1" t="s">
        <v>2864</v>
      </c>
      <c r="M828" s="1" t="s">
        <v>3221</v>
      </c>
      <c r="N828" s="1" t="s">
        <v>3213</v>
      </c>
      <c r="O828" s="1" t="s">
        <v>3214</v>
      </c>
      <c r="P828" s="1" t="s">
        <v>2231</v>
      </c>
      <c r="Q828" s="1"/>
      <c r="R828" s="1"/>
      <c r="S828" s="1" t="s">
        <v>2072</v>
      </c>
      <c r="T828" s="1" t="s">
        <v>3165</v>
      </c>
      <c r="U828" s="4">
        <v>3150000</v>
      </c>
      <c r="V828" s="4">
        <v>1771</v>
      </c>
      <c r="W828" s="4">
        <v>18</v>
      </c>
      <c r="X828" s="4">
        <v>231</v>
      </c>
      <c r="Y828" s="4">
        <v>0</v>
      </c>
      <c r="Z828" s="5">
        <v>2020</v>
      </c>
      <c r="AA828" s="5">
        <v>0</v>
      </c>
      <c r="AB828" s="6">
        <v>0</v>
      </c>
      <c r="AC828" s="4">
        <v>2020</v>
      </c>
      <c r="AD828" s="4">
        <v>0</v>
      </c>
      <c r="AE828" s="4">
        <v>2020</v>
      </c>
      <c r="AF828" s="1"/>
      <c r="AG828" s="1"/>
      <c r="AH828" s="1"/>
      <c r="AI828" s="1" t="s">
        <v>2327</v>
      </c>
      <c r="AJ828" s="6">
        <v>1599.1000000000622</v>
      </c>
      <c r="AK828" s="6">
        <v>468.79000000000008</v>
      </c>
      <c r="AL828" s="1"/>
    </row>
    <row r="829" spans="1:38" hidden="1" x14ac:dyDescent="0.25">
      <c r="A829" s="2">
        <v>1093</v>
      </c>
      <c r="B829" s="1" t="s">
        <v>990</v>
      </c>
      <c r="C829" s="1" t="s">
        <v>994</v>
      </c>
      <c r="D829" s="1" t="s">
        <v>2062</v>
      </c>
      <c r="E829" s="1" t="s">
        <v>2063</v>
      </c>
      <c r="F829" s="3">
        <v>45341</v>
      </c>
      <c r="G829" s="3">
        <v>45248</v>
      </c>
      <c r="H829" s="3">
        <v>45613</v>
      </c>
      <c r="I829" s="1" t="s">
        <v>3209</v>
      </c>
      <c r="J829" s="1" t="s">
        <v>3220</v>
      </c>
      <c r="K829" s="1"/>
      <c r="L829" s="1" t="s">
        <v>2864</v>
      </c>
      <c r="M829" s="1" t="s">
        <v>3221</v>
      </c>
      <c r="N829" s="1" t="s">
        <v>3213</v>
      </c>
      <c r="O829" s="1" t="s">
        <v>3214</v>
      </c>
      <c r="P829" s="1" t="s">
        <v>2231</v>
      </c>
      <c r="Q829" s="1"/>
      <c r="R829" s="1"/>
      <c r="S829" s="1" t="s">
        <v>2072</v>
      </c>
      <c r="T829" s="1" t="s">
        <v>3165</v>
      </c>
      <c r="U829" s="4">
        <v>3150000</v>
      </c>
      <c r="V829" s="4">
        <v>1775</v>
      </c>
      <c r="W829" s="4">
        <v>18</v>
      </c>
      <c r="X829" s="4">
        <v>230</v>
      </c>
      <c r="Y829" s="4">
        <v>0</v>
      </c>
      <c r="Z829" s="5">
        <v>2023</v>
      </c>
      <c r="AA829" s="5">
        <v>0</v>
      </c>
      <c r="AB829" s="6">
        <v>0</v>
      </c>
      <c r="AC829" s="4">
        <v>2023</v>
      </c>
      <c r="AD829" s="4">
        <v>0</v>
      </c>
      <c r="AE829" s="4">
        <v>2023</v>
      </c>
      <c r="AF829" s="1"/>
      <c r="AG829" s="1"/>
      <c r="AH829" s="1"/>
      <c r="AI829" s="1" t="s">
        <v>2327</v>
      </c>
      <c r="AJ829" s="6">
        <v>1411.390000000046</v>
      </c>
      <c r="AK829" s="6">
        <v>468.78</v>
      </c>
      <c r="AL829" s="1"/>
    </row>
    <row r="830" spans="1:38" hidden="1" x14ac:dyDescent="0.25">
      <c r="A830" s="2">
        <v>1094</v>
      </c>
      <c r="B830" s="1" t="s">
        <v>990</v>
      </c>
      <c r="C830" s="1" t="s">
        <v>995</v>
      </c>
      <c r="D830" s="1" t="s">
        <v>2062</v>
      </c>
      <c r="E830" s="1" t="s">
        <v>2063</v>
      </c>
      <c r="F830" s="3">
        <v>45369</v>
      </c>
      <c r="G830" s="3">
        <v>45248</v>
      </c>
      <c r="H830" s="3">
        <v>45613</v>
      </c>
      <c r="I830" s="1" t="s">
        <v>3209</v>
      </c>
      <c r="J830" s="1" t="s">
        <v>3220</v>
      </c>
      <c r="K830" s="1"/>
      <c r="L830" s="1" t="s">
        <v>2864</v>
      </c>
      <c r="M830" s="1" t="s">
        <v>3221</v>
      </c>
      <c r="N830" s="1" t="s">
        <v>3213</v>
      </c>
      <c r="O830" s="1" t="s">
        <v>3214</v>
      </c>
      <c r="P830" s="1" t="s">
        <v>2231</v>
      </c>
      <c r="Q830" s="1"/>
      <c r="R830" s="1"/>
      <c r="S830" s="1" t="s">
        <v>2072</v>
      </c>
      <c r="T830" s="1" t="s">
        <v>3165</v>
      </c>
      <c r="U830" s="4">
        <v>3150000</v>
      </c>
      <c r="V830" s="4">
        <v>1387</v>
      </c>
      <c r="W830" s="4">
        <v>13</v>
      </c>
      <c r="X830" s="4">
        <v>180</v>
      </c>
      <c r="Y830" s="4">
        <v>0</v>
      </c>
      <c r="Z830" s="5">
        <v>1580</v>
      </c>
      <c r="AA830" s="5">
        <v>0</v>
      </c>
      <c r="AB830" s="6">
        <v>0</v>
      </c>
      <c r="AC830" s="4">
        <v>1580</v>
      </c>
      <c r="AD830" s="4">
        <v>0</v>
      </c>
      <c r="AE830" s="4">
        <v>1580</v>
      </c>
      <c r="AF830" s="1"/>
      <c r="AG830" s="1"/>
      <c r="AH830" s="1"/>
      <c r="AI830" s="1" t="s">
        <v>2327</v>
      </c>
      <c r="AJ830" s="6">
        <v>526.63</v>
      </c>
      <c r="AK830" s="6">
        <v>366.25</v>
      </c>
      <c r="AL830" s="1"/>
    </row>
    <row r="831" spans="1:38" hidden="1" x14ac:dyDescent="0.25">
      <c r="A831" s="2">
        <v>1095</v>
      </c>
      <c r="B831" s="1" t="s">
        <v>990</v>
      </c>
      <c r="C831" s="1" t="s">
        <v>996</v>
      </c>
      <c r="D831" s="1" t="s">
        <v>2062</v>
      </c>
      <c r="E831" s="1" t="s">
        <v>2063</v>
      </c>
      <c r="F831" s="3">
        <v>45400</v>
      </c>
      <c r="G831" s="3">
        <v>45248</v>
      </c>
      <c r="H831" s="3">
        <v>45613</v>
      </c>
      <c r="I831" s="1" t="s">
        <v>3209</v>
      </c>
      <c r="J831" s="1" t="s">
        <v>3220</v>
      </c>
      <c r="K831" s="1"/>
      <c r="L831" s="1" t="s">
        <v>2864</v>
      </c>
      <c r="M831" s="1" t="s">
        <v>3221</v>
      </c>
      <c r="N831" s="1" t="s">
        <v>3213</v>
      </c>
      <c r="O831" s="1" t="s">
        <v>3214</v>
      </c>
      <c r="P831" s="1" t="s">
        <v>2231</v>
      </c>
      <c r="Q831" s="1"/>
      <c r="R831" s="1"/>
      <c r="S831" s="1" t="s">
        <v>2072</v>
      </c>
      <c r="T831" s="1" t="s">
        <v>3165</v>
      </c>
      <c r="U831" s="4">
        <v>3150000</v>
      </c>
      <c r="V831" s="4">
        <v>1729</v>
      </c>
      <c r="W831" s="4">
        <v>18</v>
      </c>
      <c r="X831" s="4">
        <v>225</v>
      </c>
      <c r="Y831" s="4">
        <v>0</v>
      </c>
      <c r="Z831" s="5">
        <v>1972</v>
      </c>
      <c r="AA831" s="5">
        <v>0</v>
      </c>
      <c r="AB831" s="6">
        <v>0</v>
      </c>
      <c r="AC831" s="4">
        <v>1972</v>
      </c>
      <c r="AD831" s="4">
        <v>0</v>
      </c>
      <c r="AE831" s="4">
        <v>1972</v>
      </c>
      <c r="AF831" s="1"/>
      <c r="AG831" s="1"/>
      <c r="AH831" s="1"/>
      <c r="AI831" s="1" t="s">
        <v>2327</v>
      </c>
      <c r="AJ831" s="6">
        <v>487.3900000000001</v>
      </c>
      <c r="AK831" s="6">
        <v>457.17</v>
      </c>
      <c r="AL831" s="1"/>
    </row>
    <row r="832" spans="1:38" hidden="1" x14ac:dyDescent="0.25">
      <c r="A832" s="2">
        <v>1096</v>
      </c>
      <c r="B832" s="1" t="s">
        <v>990</v>
      </c>
      <c r="C832" s="1" t="s">
        <v>997</v>
      </c>
      <c r="D832" s="1" t="s">
        <v>2062</v>
      </c>
      <c r="E832" s="1" t="s">
        <v>2063</v>
      </c>
      <c r="F832" s="3">
        <v>45431</v>
      </c>
      <c r="G832" s="3">
        <v>45248</v>
      </c>
      <c r="H832" s="3">
        <v>45613</v>
      </c>
      <c r="I832" s="1" t="s">
        <v>3209</v>
      </c>
      <c r="J832" s="1" t="s">
        <v>3220</v>
      </c>
      <c r="K832" s="1"/>
      <c r="L832" s="1" t="s">
        <v>2864</v>
      </c>
      <c r="M832" s="1" t="s">
        <v>3221</v>
      </c>
      <c r="N832" s="1" t="s">
        <v>3213</v>
      </c>
      <c r="O832" s="1" t="s">
        <v>3214</v>
      </c>
      <c r="P832" s="1" t="s">
        <v>2231</v>
      </c>
      <c r="Q832" s="1"/>
      <c r="R832" s="1"/>
      <c r="S832" s="1" t="s">
        <v>2072</v>
      </c>
      <c r="T832" s="1" t="s">
        <v>3165</v>
      </c>
      <c r="U832" s="4">
        <v>3150000</v>
      </c>
      <c r="V832" s="4">
        <v>2767</v>
      </c>
      <c r="W832" s="4">
        <v>27</v>
      </c>
      <c r="X832" s="4">
        <v>360</v>
      </c>
      <c r="Y832" s="4">
        <v>0</v>
      </c>
      <c r="Z832" s="5">
        <v>3154</v>
      </c>
      <c r="AA832" s="5">
        <v>0</v>
      </c>
      <c r="AB832" s="6">
        <v>0</v>
      </c>
      <c r="AC832" s="4">
        <v>3154</v>
      </c>
      <c r="AD832" s="4">
        <v>0</v>
      </c>
      <c r="AE832" s="4">
        <v>3154</v>
      </c>
      <c r="AF832" s="1"/>
      <c r="AG832" s="1"/>
      <c r="AH832" s="1"/>
      <c r="AI832" s="1" t="s">
        <v>2327</v>
      </c>
      <c r="AJ832" s="6">
        <v>951.77000000000112</v>
      </c>
      <c r="AK832" s="6">
        <v>730.77</v>
      </c>
      <c r="AL832" s="1"/>
    </row>
    <row r="833" spans="1:38" hidden="1" x14ac:dyDescent="0.25">
      <c r="A833" s="2">
        <v>1097</v>
      </c>
      <c r="B833" s="1" t="s">
        <v>990</v>
      </c>
      <c r="C833" s="1" t="s">
        <v>998</v>
      </c>
      <c r="D833" s="1" t="s">
        <v>2062</v>
      </c>
      <c r="E833" s="1" t="s">
        <v>2063</v>
      </c>
      <c r="F833" s="3">
        <v>45463</v>
      </c>
      <c r="G833" s="3">
        <v>45248</v>
      </c>
      <c r="H833" s="3">
        <v>45613</v>
      </c>
      <c r="I833" s="1" t="s">
        <v>3209</v>
      </c>
      <c r="J833" s="1" t="s">
        <v>3220</v>
      </c>
      <c r="K833" s="1"/>
      <c r="L833" s="1" t="s">
        <v>2864</v>
      </c>
      <c r="M833" s="1" t="s">
        <v>3221</v>
      </c>
      <c r="N833" s="1" t="s">
        <v>3213</v>
      </c>
      <c r="O833" s="1" t="s">
        <v>3214</v>
      </c>
      <c r="P833" s="1" t="s">
        <v>2231</v>
      </c>
      <c r="Q833" s="1"/>
      <c r="R833" s="1"/>
      <c r="S833" s="1" t="s">
        <v>2072</v>
      </c>
      <c r="T833" s="1" t="s">
        <v>3165</v>
      </c>
      <c r="U833" s="4">
        <v>3150000</v>
      </c>
      <c r="V833" s="4">
        <v>2601</v>
      </c>
      <c r="W833" s="4">
        <v>26</v>
      </c>
      <c r="X833" s="4">
        <v>338</v>
      </c>
      <c r="Y833" s="4">
        <v>0</v>
      </c>
      <c r="Z833" s="5">
        <v>2965</v>
      </c>
      <c r="AA833" s="5">
        <v>0</v>
      </c>
      <c r="AB833" s="6">
        <v>0</v>
      </c>
      <c r="AC833" s="4">
        <v>2965</v>
      </c>
      <c r="AD833" s="4">
        <v>0</v>
      </c>
      <c r="AE833" s="4">
        <v>2965</v>
      </c>
      <c r="AF833" s="1"/>
      <c r="AG833" s="1"/>
      <c r="AH833" s="1"/>
      <c r="AI833" s="1" t="s">
        <v>2327</v>
      </c>
      <c r="AJ833" s="6">
        <v>725.71000000000106</v>
      </c>
      <c r="AK833" s="6">
        <v>687.36</v>
      </c>
      <c r="AL833" s="1"/>
    </row>
    <row r="834" spans="1:38" hidden="1" x14ac:dyDescent="0.25">
      <c r="A834" s="2">
        <v>1098</v>
      </c>
      <c r="B834" s="1" t="s">
        <v>990</v>
      </c>
      <c r="C834" s="1" t="s">
        <v>999</v>
      </c>
      <c r="D834" s="1" t="s">
        <v>2062</v>
      </c>
      <c r="E834" s="1" t="s">
        <v>2063</v>
      </c>
      <c r="F834" s="3">
        <v>45497</v>
      </c>
      <c r="G834" s="3">
        <v>45248</v>
      </c>
      <c r="H834" s="3">
        <v>45613</v>
      </c>
      <c r="I834" s="1" t="s">
        <v>3209</v>
      </c>
      <c r="J834" s="1" t="s">
        <v>3220</v>
      </c>
      <c r="K834" s="1"/>
      <c r="L834" s="1" t="s">
        <v>2864</v>
      </c>
      <c r="M834" s="1" t="s">
        <v>3221</v>
      </c>
      <c r="N834" s="1" t="s">
        <v>3213</v>
      </c>
      <c r="O834" s="1" t="s">
        <v>3214</v>
      </c>
      <c r="P834" s="1" t="s">
        <v>2231</v>
      </c>
      <c r="Q834" s="1"/>
      <c r="R834" s="1"/>
      <c r="S834" s="1" t="s">
        <v>2072</v>
      </c>
      <c r="T834" s="1" t="s">
        <v>3165</v>
      </c>
      <c r="U834" s="4">
        <v>3150000</v>
      </c>
      <c r="V834" s="4">
        <v>2624</v>
      </c>
      <c r="W834" s="4">
        <v>26</v>
      </c>
      <c r="X834" s="4">
        <v>394</v>
      </c>
      <c r="Y834" s="4">
        <v>0</v>
      </c>
      <c r="Z834" s="5">
        <v>3044</v>
      </c>
      <c r="AA834" s="5">
        <v>0</v>
      </c>
      <c r="AB834" s="6">
        <v>0</v>
      </c>
      <c r="AC834" s="4">
        <v>3044</v>
      </c>
      <c r="AD834" s="4">
        <v>0</v>
      </c>
      <c r="AE834" s="4">
        <v>3044</v>
      </c>
      <c r="AF834" s="1"/>
      <c r="AG834" s="1"/>
      <c r="AH834" s="1"/>
      <c r="AI834" s="1" t="s">
        <v>2327</v>
      </c>
      <c r="AJ834" s="6">
        <v>1317.640000000011</v>
      </c>
      <c r="AK834" s="6">
        <v>705.47</v>
      </c>
      <c r="AL834" s="1"/>
    </row>
    <row r="835" spans="1:38" hidden="1" x14ac:dyDescent="0.25">
      <c r="A835" s="2">
        <v>1099</v>
      </c>
      <c r="B835" s="1" t="s">
        <v>990</v>
      </c>
      <c r="C835" s="1" t="s">
        <v>1000</v>
      </c>
      <c r="D835" s="1" t="s">
        <v>2062</v>
      </c>
      <c r="E835" s="1" t="s">
        <v>2063</v>
      </c>
      <c r="F835" s="3">
        <v>45524</v>
      </c>
      <c r="G835" s="3">
        <v>45248</v>
      </c>
      <c r="H835" s="3">
        <v>45613</v>
      </c>
      <c r="I835" s="1" t="s">
        <v>3209</v>
      </c>
      <c r="J835" s="1" t="s">
        <v>3220</v>
      </c>
      <c r="K835" s="1"/>
      <c r="L835" s="1" t="s">
        <v>2864</v>
      </c>
      <c r="M835" s="1" t="s">
        <v>3221</v>
      </c>
      <c r="N835" s="1" t="s">
        <v>3213</v>
      </c>
      <c r="O835" s="1" t="s">
        <v>3214</v>
      </c>
      <c r="P835" s="1" t="s">
        <v>2231</v>
      </c>
      <c r="Q835" s="1"/>
      <c r="R835" s="1"/>
      <c r="S835" s="1" t="s">
        <v>2072</v>
      </c>
      <c r="T835" s="1" t="s">
        <v>3165</v>
      </c>
      <c r="U835" s="4">
        <v>3150000</v>
      </c>
      <c r="V835" s="4">
        <v>2814</v>
      </c>
      <c r="W835" s="4">
        <v>28</v>
      </c>
      <c r="X835" s="4">
        <v>422</v>
      </c>
      <c r="Y835" s="4">
        <v>0</v>
      </c>
      <c r="Z835" s="5">
        <v>3264</v>
      </c>
      <c r="AA835" s="5">
        <v>0</v>
      </c>
      <c r="AB835" s="6">
        <v>0</v>
      </c>
      <c r="AC835" s="4">
        <v>3264</v>
      </c>
      <c r="AD835" s="4">
        <v>0</v>
      </c>
      <c r="AE835" s="4">
        <v>3264</v>
      </c>
      <c r="AF835" s="1"/>
      <c r="AG835" s="1"/>
      <c r="AH835" s="1"/>
      <c r="AI835" s="1" t="s">
        <v>2327</v>
      </c>
      <c r="AJ835" s="6">
        <v>1045.440000000003</v>
      </c>
      <c r="AK835" s="6">
        <v>757.11</v>
      </c>
      <c r="AL835" s="1"/>
    </row>
    <row r="836" spans="1:38" hidden="1" x14ac:dyDescent="0.25">
      <c r="A836" s="2">
        <v>1100</v>
      </c>
      <c r="B836" s="1" t="s">
        <v>990</v>
      </c>
      <c r="C836" s="1" t="s">
        <v>1001</v>
      </c>
      <c r="D836" s="1" t="s">
        <v>2062</v>
      </c>
      <c r="E836" s="1" t="s">
        <v>2063</v>
      </c>
      <c r="F836" s="3">
        <v>45559</v>
      </c>
      <c r="G836" s="3">
        <v>45248</v>
      </c>
      <c r="H836" s="3">
        <v>45613</v>
      </c>
      <c r="I836" s="1" t="s">
        <v>3209</v>
      </c>
      <c r="J836" s="1" t="s">
        <v>3220</v>
      </c>
      <c r="K836" s="1"/>
      <c r="L836" s="1" t="s">
        <v>2864</v>
      </c>
      <c r="M836" s="1" t="s">
        <v>3221</v>
      </c>
      <c r="N836" s="1" t="s">
        <v>3213</v>
      </c>
      <c r="O836" s="1" t="s">
        <v>3214</v>
      </c>
      <c r="P836" s="1" t="s">
        <v>2231</v>
      </c>
      <c r="Q836" s="1"/>
      <c r="R836" s="1"/>
      <c r="S836" s="1" t="s">
        <v>2072</v>
      </c>
      <c r="T836" s="1" t="s">
        <v>3165</v>
      </c>
      <c r="U836" s="4">
        <v>3150000</v>
      </c>
      <c r="V836" s="4">
        <v>3556</v>
      </c>
      <c r="W836" s="4">
        <v>36</v>
      </c>
      <c r="X836" s="4">
        <v>534</v>
      </c>
      <c r="Y836" s="4">
        <v>0</v>
      </c>
      <c r="Z836" s="5">
        <v>4126</v>
      </c>
      <c r="AA836" s="5">
        <v>0</v>
      </c>
      <c r="AB836" s="6">
        <v>0</v>
      </c>
      <c r="AC836" s="4">
        <v>4126</v>
      </c>
      <c r="AD836" s="4">
        <v>0</v>
      </c>
      <c r="AE836" s="4">
        <v>4126</v>
      </c>
      <c r="AF836" s="1"/>
      <c r="AG836" s="1"/>
      <c r="AH836" s="1"/>
      <c r="AI836" s="1" t="s">
        <v>2327</v>
      </c>
      <c r="AJ836" s="6">
        <v>2094.5700000000384</v>
      </c>
      <c r="AK836" s="6">
        <v>956.35000000000105</v>
      </c>
      <c r="AL836" s="1"/>
    </row>
    <row r="837" spans="1:38" hidden="1" x14ac:dyDescent="0.25">
      <c r="A837" s="2">
        <v>1101</v>
      </c>
      <c r="B837" s="1" t="s">
        <v>990</v>
      </c>
      <c r="C837" s="1" t="s">
        <v>1002</v>
      </c>
      <c r="D837" s="1" t="s">
        <v>2062</v>
      </c>
      <c r="E837" s="1" t="s">
        <v>2063</v>
      </c>
      <c r="F837" s="3">
        <v>45586</v>
      </c>
      <c r="G837" s="3">
        <v>45248</v>
      </c>
      <c r="H837" s="3">
        <v>45613</v>
      </c>
      <c r="I837" s="1" t="s">
        <v>3209</v>
      </c>
      <c r="J837" s="1" t="s">
        <v>3220</v>
      </c>
      <c r="K837" s="1"/>
      <c r="L837" s="1" t="s">
        <v>2864</v>
      </c>
      <c r="M837" s="1" t="s">
        <v>3221</v>
      </c>
      <c r="N837" s="1" t="s">
        <v>3213</v>
      </c>
      <c r="O837" s="1" t="s">
        <v>3214</v>
      </c>
      <c r="P837" s="1" t="s">
        <v>2231</v>
      </c>
      <c r="Q837" s="1"/>
      <c r="R837" s="1"/>
      <c r="S837" s="1" t="s">
        <v>2072</v>
      </c>
      <c r="T837" s="1" t="s">
        <v>3165</v>
      </c>
      <c r="U837" s="4">
        <v>3150000</v>
      </c>
      <c r="V837" s="4">
        <v>3043</v>
      </c>
      <c r="W837" s="4">
        <v>30</v>
      </c>
      <c r="X837" s="4">
        <v>456</v>
      </c>
      <c r="Y837" s="4">
        <v>0</v>
      </c>
      <c r="Z837" s="5">
        <v>3529</v>
      </c>
      <c r="AA837" s="5">
        <v>0</v>
      </c>
      <c r="AB837" s="6">
        <v>0</v>
      </c>
      <c r="AC837" s="4">
        <v>3529</v>
      </c>
      <c r="AD837" s="4">
        <v>0</v>
      </c>
      <c r="AE837" s="4">
        <v>3529</v>
      </c>
      <c r="AF837" s="1"/>
      <c r="AG837" s="1"/>
      <c r="AH837" s="1"/>
      <c r="AI837" s="1" t="s">
        <v>2327</v>
      </c>
      <c r="AJ837" s="6">
        <v>896.66000000000122</v>
      </c>
      <c r="AK837" s="6">
        <v>818.12</v>
      </c>
      <c r="AL837" s="1"/>
    </row>
    <row r="838" spans="1:38" hidden="1" x14ac:dyDescent="0.25">
      <c r="A838" s="2">
        <v>1102</v>
      </c>
      <c r="B838" s="1" t="s">
        <v>990</v>
      </c>
      <c r="C838" s="1" t="s">
        <v>1003</v>
      </c>
      <c r="D838" s="1" t="s">
        <v>2062</v>
      </c>
      <c r="E838" s="1" t="s">
        <v>2063</v>
      </c>
      <c r="F838" s="3">
        <v>45655</v>
      </c>
      <c r="G838" s="3">
        <v>45248</v>
      </c>
      <c r="H838" s="3">
        <v>45613</v>
      </c>
      <c r="I838" s="1" t="s">
        <v>3209</v>
      </c>
      <c r="J838" s="1" t="s">
        <v>3220</v>
      </c>
      <c r="K838" s="1"/>
      <c r="L838" s="1" t="s">
        <v>2864</v>
      </c>
      <c r="M838" s="1" t="s">
        <v>3221</v>
      </c>
      <c r="N838" s="1" t="s">
        <v>3213</v>
      </c>
      <c r="O838" s="1" t="s">
        <v>3214</v>
      </c>
      <c r="P838" s="1" t="s">
        <v>2231</v>
      </c>
      <c r="Q838" s="1"/>
      <c r="R838" s="1"/>
      <c r="S838" s="1" t="s">
        <v>2072</v>
      </c>
      <c r="T838" s="1" t="s">
        <v>3165</v>
      </c>
      <c r="U838" s="4">
        <v>-1</v>
      </c>
      <c r="V838" s="4">
        <v>-86285</v>
      </c>
      <c r="W838" s="4">
        <v>-863</v>
      </c>
      <c r="X838" s="4">
        <v>0</v>
      </c>
      <c r="Y838" s="4">
        <v>0</v>
      </c>
      <c r="Z838" s="5">
        <v>-87148</v>
      </c>
      <c r="AA838" s="5">
        <v>0</v>
      </c>
      <c r="AB838" s="6">
        <v>0</v>
      </c>
      <c r="AC838" s="4">
        <v>-87148</v>
      </c>
      <c r="AD838" s="4">
        <v>0</v>
      </c>
      <c r="AE838" s="4">
        <v>-87148</v>
      </c>
      <c r="AF838" s="1"/>
      <c r="AG838" s="1"/>
      <c r="AH838" s="1"/>
      <c r="AI838" s="1" t="s">
        <v>2327</v>
      </c>
      <c r="AJ838" s="1"/>
      <c r="AK838" s="1"/>
      <c r="AL838" s="1"/>
    </row>
    <row r="839" spans="1:38" hidden="1" x14ac:dyDescent="0.25">
      <c r="A839" s="2">
        <v>1103</v>
      </c>
      <c r="B839" s="1" t="s">
        <v>1004</v>
      </c>
      <c r="C839" s="1" t="s">
        <v>1005</v>
      </c>
      <c r="D839" s="1" t="s">
        <v>2062</v>
      </c>
      <c r="E839" s="1" t="s">
        <v>2063</v>
      </c>
      <c r="F839" s="3">
        <v>45289</v>
      </c>
      <c r="G839" s="3">
        <v>45252</v>
      </c>
      <c r="H839" s="3">
        <v>45617</v>
      </c>
      <c r="I839" s="1" t="s">
        <v>3222</v>
      </c>
      <c r="J839" s="1" t="s">
        <v>3223</v>
      </c>
      <c r="K839" s="1"/>
      <c r="L839" s="1" t="s">
        <v>3224</v>
      </c>
      <c r="M839" s="1" t="s">
        <v>3225</v>
      </c>
      <c r="N839" s="1" t="s">
        <v>3226</v>
      </c>
      <c r="O839" s="1" t="s">
        <v>3227</v>
      </c>
      <c r="P839" s="1" t="s">
        <v>2165</v>
      </c>
      <c r="Q839" s="1"/>
      <c r="R839" s="1"/>
      <c r="S839" s="1" t="s">
        <v>2072</v>
      </c>
      <c r="T839" s="1" t="s">
        <v>3165</v>
      </c>
      <c r="U839" s="4">
        <v>9000000</v>
      </c>
      <c r="V839" s="4">
        <v>149840</v>
      </c>
      <c r="W839" s="4">
        <v>1499</v>
      </c>
      <c r="X839" s="4">
        <v>19480</v>
      </c>
      <c r="Y839" s="4">
        <v>0</v>
      </c>
      <c r="Z839" s="5">
        <v>170819</v>
      </c>
      <c r="AA839" s="5">
        <v>0</v>
      </c>
      <c r="AB839" s="6">
        <v>0</v>
      </c>
      <c r="AC839" s="4">
        <v>170819</v>
      </c>
      <c r="AD839" s="4">
        <v>0</v>
      </c>
      <c r="AE839" s="4">
        <v>170819</v>
      </c>
      <c r="AF839" s="1"/>
      <c r="AG839" s="1"/>
      <c r="AH839" s="1"/>
      <c r="AI839" s="1" t="s">
        <v>2841</v>
      </c>
      <c r="AJ839" s="1"/>
      <c r="AK839" s="1"/>
      <c r="AL839" s="1"/>
    </row>
    <row r="840" spans="1:38" hidden="1" x14ac:dyDescent="0.25">
      <c r="A840" s="2">
        <v>1104</v>
      </c>
      <c r="B840" s="1" t="s">
        <v>1004</v>
      </c>
      <c r="C840" s="1" t="s">
        <v>1006</v>
      </c>
      <c r="D840" s="1" t="s">
        <v>2062</v>
      </c>
      <c r="E840" s="1" t="s">
        <v>2063</v>
      </c>
      <c r="F840" s="3">
        <v>45373</v>
      </c>
      <c r="G840" s="3">
        <v>45252</v>
      </c>
      <c r="H840" s="3">
        <v>45617</v>
      </c>
      <c r="I840" s="1" t="s">
        <v>3222</v>
      </c>
      <c r="J840" s="1" t="s">
        <v>3223</v>
      </c>
      <c r="K840" s="1"/>
      <c r="L840" s="1" t="s">
        <v>3224</v>
      </c>
      <c r="M840" s="1" t="s">
        <v>3225</v>
      </c>
      <c r="N840" s="1" t="s">
        <v>3226</v>
      </c>
      <c r="O840" s="1" t="s">
        <v>3227</v>
      </c>
      <c r="P840" s="1" t="s">
        <v>2165</v>
      </c>
      <c r="Q840" s="1"/>
      <c r="R840" s="1"/>
      <c r="S840" s="1" t="s">
        <v>2072</v>
      </c>
      <c r="T840" s="1" t="s">
        <v>3165</v>
      </c>
      <c r="U840" s="4">
        <v>9000000</v>
      </c>
      <c r="V840" s="4">
        <v>4352</v>
      </c>
      <c r="W840" s="4">
        <v>43</v>
      </c>
      <c r="X840" s="4">
        <v>565</v>
      </c>
      <c r="Y840" s="4">
        <v>0</v>
      </c>
      <c r="Z840" s="5">
        <v>4960</v>
      </c>
      <c r="AA840" s="5">
        <v>0</v>
      </c>
      <c r="AB840" s="6">
        <v>0</v>
      </c>
      <c r="AC840" s="4">
        <v>4960</v>
      </c>
      <c r="AD840" s="4">
        <v>0</v>
      </c>
      <c r="AE840" s="4">
        <v>4960</v>
      </c>
      <c r="AF840" s="1"/>
      <c r="AG840" s="1"/>
      <c r="AH840" s="1"/>
      <c r="AI840" s="1" t="s">
        <v>2841</v>
      </c>
      <c r="AJ840" s="6">
        <v>523.72</v>
      </c>
      <c r="AK840" s="6">
        <v>402.24</v>
      </c>
      <c r="AL840" s="1"/>
    </row>
    <row r="841" spans="1:38" hidden="1" x14ac:dyDescent="0.25">
      <c r="A841" s="2">
        <v>1105</v>
      </c>
      <c r="B841" s="1" t="s">
        <v>1004</v>
      </c>
      <c r="C841" s="1" t="s">
        <v>1007</v>
      </c>
      <c r="D841" s="1" t="s">
        <v>2062</v>
      </c>
      <c r="E841" s="1" t="s">
        <v>2063</v>
      </c>
      <c r="F841" s="3">
        <v>45404</v>
      </c>
      <c r="G841" s="3">
        <v>45252</v>
      </c>
      <c r="H841" s="3">
        <v>45617</v>
      </c>
      <c r="I841" s="1" t="s">
        <v>3222</v>
      </c>
      <c r="J841" s="1" t="s">
        <v>3223</v>
      </c>
      <c r="K841" s="1"/>
      <c r="L841" s="1" t="s">
        <v>3224</v>
      </c>
      <c r="M841" s="1" t="s">
        <v>3225</v>
      </c>
      <c r="N841" s="1" t="s">
        <v>3226</v>
      </c>
      <c r="O841" s="1" t="s">
        <v>3227</v>
      </c>
      <c r="P841" s="1" t="s">
        <v>2165</v>
      </c>
      <c r="Q841" s="1"/>
      <c r="R841" s="1"/>
      <c r="S841" s="1" t="s">
        <v>2072</v>
      </c>
      <c r="T841" s="1" t="s">
        <v>3165</v>
      </c>
      <c r="U841" s="4">
        <v>9000000</v>
      </c>
      <c r="V841" s="4">
        <v>5087</v>
      </c>
      <c r="W841" s="4">
        <v>51</v>
      </c>
      <c r="X841" s="4">
        <v>662</v>
      </c>
      <c r="Y841" s="4">
        <v>0</v>
      </c>
      <c r="Z841" s="5">
        <v>5800</v>
      </c>
      <c r="AA841" s="5">
        <v>0</v>
      </c>
      <c r="AB841" s="6">
        <v>0</v>
      </c>
      <c r="AC841" s="4">
        <v>5800</v>
      </c>
      <c r="AD841" s="4">
        <v>0</v>
      </c>
      <c r="AE841" s="4">
        <v>5800</v>
      </c>
      <c r="AF841" s="1"/>
      <c r="AG841" s="1"/>
      <c r="AH841" s="1"/>
      <c r="AI841" s="1" t="s">
        <v>2841</v>
      </c>
      <c r="AJ841" s="6">
        <v>1486.1400000000008</v>
      </c>
      <c r="AK841" s="6">
        <v>470.39</v>
      </c>
      <c r="AL841" s="1"/>
    </row>
    <row r="842" spans="1:38" hidden="1" x14ac:dyDescent="0.25">
      <c r="A842" s="2">
        <v>1106</v>
      </c>
      <c r="B842" s="1" t="s">
        <v>1004</v>
      </c>
      <c r="C842" s="1" t="s">
        <v>1008</v>
      </c>
      <c r="D842" s="1" t="s">
        <v>2062</v>
      </c>
      <c r="E842" s="1" t="s">
        <v>2063</v>
      </c>
      <c r="F842" s="3">
        <v>45434</v>
      </c>
      <c r="G842" s="3">
        <v>45252</v>
      </c>
      <c r="H842" s="3">
        <v>45617</v>
      </c>
      <c r="I842" s="1" t="s">
        <v>3222</v>
      </c>
      <c r="J842" s="1" t="s">
        <v>3223</v>
      </c>
      <c r="K842" s="1"/>
      <c r="L842" s="1" t="s">
        <v>3224</v>
      </c>
      <c r="M842" s="1" t="s">
        <v>3225</v>
      </c>
      <c r="N842" s="1" t="s">
        <v>3226</v>
      </c>
      <c r="O842" s="1" t="s">
        <v>3227</v>
      </c>
      <c r="P842" s="1" t="s">
        <v>2165</v>
      </c>
      <c r="Q842" s="1"/>
      <c r="R842" s="1"/>
      <c r="S842" s="1" t="s">
        <v>2072</v>
      </c>
      <c r="T842" s="1" t="s">
        <v>3165</v>
      </c>
      <c r="U842" s="4">
        <v>9000000</v>
      </c>
      <c r="V842" s="4">
        <v>5930</v>
      </c>
      <c r="W842" s="4">
        <v>59</v>
      </c>
      <c r="X842" s="4">
        <v>771</v>
      </c>
      <c r="Y842" s="4">
        <v>0</v>
      </c>
      <c r="Z842" s="5">
        <v>6760</v>
      </c>
      <c r="AA842" s="5">
        <v>0</v>
      </c>
      <c r="AB842" s="6">
        <v>0</v>
      </c>
      <c r="AC842" s="4">
        <v>6760</v>
      </c>
      <c r="AD842" s="4">
        <v>0</v>
      </c>
      <c r="AE842" s="4">
        <v>6760</v>
      </c>
      <c r="AF842" s="1"/>
      <c r="AG842" s="1"/>
      <c r="AH842" s="1"/>
      <c r="AI842" s="1" t="s">
        <v>2841</v>
      </c>
      <c r="AJ842" s="6">
        <v>727.7</v>
      </c>
      <c r="AK842" s="6">
        <v>548.41</v>
      </c>
      <c r="AL842" s="1"/>
    </row>
    <row r="843" spans="1:38" hidden="1" x14ac:dyDescent="0.25">
      <c r="A843" s="2">
        <v>1107</v>
      </c>
      <c r="B843" s="1" t="s">
        <v>1004</v>
      </c>
      <c r="C843" s="1" t="s">
        <v>1009</v>
      </c>
      <c r="D843" s="1" t="s">
        <v>2062</v>
      </c>
      <c r="E843" s="1" t="s">
        <v>2063</v>
      </c>
      <c r="F843" s="3">
        <v>45467</v>
      </c>
      <c r="G843" s="3">
        <v>45252</v>
      </c>
      <c r="H843" s="3">
        <v>45617</v>
      </c>
      <c r="I843" s="1" t="s">
        <v>3222</v>
      </c>
      <c r="J843" s="1" t="s">
        <v>3223</v>
      </c>
      <c r="K843" s="1"/>
      <c r="L843" s="1" t="s">
        <v>3224</v>
      </c>
      <c r="M843" s="1" t="s">
        <v>3225</v>
      </c>
      <c r="N843" s="1" t="s">
        <v>3226</v>
      </c>
      <c r="O843" s="1" t="s">
        <v>3227</v>
      </c>
      <c r="P843" s="1" t="s">
        <v>2165</v>
      </c>
      <c r="Q843" s="1"/>
      <c r="R843" s="1"/>
      <c r="S843" s="1" t="s">
        <v>2072</v>
      </c>
      <c r="T843" s="1" t="s">
        <v>3165</v>
      </c>
      <c r="U843" s="4">
        <v>9000000</v>
      </c>
      <c r="V843" s="4">
        <v>4084</v>
      </c>
      <c r="W843" s="4">
        <v>41</v>
      </c>
      <c r="X843" s="4">
        <v>531</v>
      </c>
      <c r="Y843" s="4">
        <v>0</v>
      </c>
      <c r="Z843" s="5">
        <v>4656</v>
      </c>
      <c r="AA843" s="5">
        <v>0</v>
      </c>
      <c r="AB843" s="6">
        <v>0</v>
      </c>
      <c r="AC843" s="4">
        <v>4656</v>
      </c>
      <c r="AD843" s="4">
        <v>0</v>
      </c>
      <c r="AE843" s="4">
        <v>4656</v>
      </c>
      <c r="AF843" s="1"/>
      <c r="AG843" s="1"/>
      <c r="AH843" s="1"/>
      <c r="AI843" s="1" t="s">
        <v>2841</v>
      </c>
      <c r="AJ843" s="6">
        <v>452.94</v>
      </c>
      <c r="AK843" s="6">
        <v>377.59</v>
      </c>
      <c r="AL843" s="1"/>
    </row>
    <row r="844" spans="1:38" hidden="1" x14ac:dyDescent="0.25">
      <c r="A844" s="2">
        <v>1108</v>
      </c>
      <c r="B844" s="1" t="s">
        <v>1004</v>
      </c>
      <c r="C844" s="1" t="s">
        <v>1010</v>
      </c>
      <c r="D844" s="1" t="s">
        <v>2062</v>
      </c>
      <c r="E844" s="1" t="s">
        <v>2063</v>
      </c>
      <c r="F844" s="3">
        <v>45498</v>
      </c>
      <c r="G844" s="3">
        <v>45252</v>
      </c>
      <c r="H844" s="3">
        <v>45617</v>
      </c>
      <c r="I844" s="1" t="s">
        <v>3222</v>
      </c>
      <c r="J844" s="1" t="s">
        <v>3223</v>
      </c>
      <c r="K844" s="1"/>
      <c r="L844" s="1" t="s">
        <v>3224</v>
      </c>
      <c r="M844" s="1" t="s">
        <v>3225</v>
      </c>
      <c r="N844" s="1" t="s">
        <v>3226</v>
      </c>
      <c r="O844" s="1" t="s">
        <v>3227</v>
      </c>
      <c r="P844" s="1" t="s">
        <v>2165</v>
      </c>
      <c r="Q844" s="1"/>
      <c r="R844" s="1"/>
      <c r="S844" s="1" t="s">
        <v>2072</v>
      </c>
      <c r="T844" s="1" t="s">
        <v>3165</v>
      </c>
      <c r="U844" s="4">
        <v>9000000</v>
      </c>
      <c r="V844" s="4">
        <v>5445</v>
      </c>
      <c r="W844" s="4">
        <v>54</v>
      </c>
      <c r="X844" s="4">
        <v>817</v>
      </c>
      <c r="Y844" s="4">
        <v>0</v>
      </c>
      <c r="Z844" s="5">
        <v>6316</v>
      </c>
      <c r="AA844" s="5">
        <v>0</v>
      </c>
      <c r="AB844" s="6">
        <v>0</v>
      </c>
      <c r="AC844" s="4">
        <v>6316</v>
      </c>
      <c r="AD844" s="4">
        <v>0</v>
      </c>
      <c r="AE844" s="4">
        <v>6316</v>
      </c>
      <c r="AF844" s="1"/>
      <c r="AG844" s="1"/>
      <c r="AH844" s="1"/>
      <c r="AI844" s="1" t="s">
        <v>2841</v>
      </c>
      <c r="AJ844" s="6">
        <v>670.22</v>
      </c>
      <c r="AK844" s="6">
        <v>512.13</v>
      </c>
      <c r="AL844" s="1"/>
    </row>
    <row r="845" spans="1:38" hidden="1" x14ac:dyDescent="0.25">
      <c r="A845" s="2">
        <v>1109</v>
      </c>
      <c r="B845" s="1" t="s">
        <v>1004</v>
      </c>
      <c r="C845" s="1" t="s">
        <v>1011</v>
      </c>
      <c r="D845" s="1" t="s">
        <v>2062</v>
      </c>
      <c r="E845" s="1" t="s">
        <v>2063</v>
      </c>
      <c r="F845" s="3">
        <v>45531</v>
      </c>
      <c r="G845" s="3">
        <v>45252</v>
      </c>
      <c r="H845" s="3">
        <v>45617</v>
      </c>
      <c r="I845" s="1" t="s">
        <v>3222</v>
      </c>
      <c r="J845" s="1" t="s">
        <v>3223</v>
      </c>
      <c r="K845" s="1"/>
      <c r="L845" s="1" t="s">
        <v>3224</v>
      </c>
      <c r="M845" s="1" t="s">
        <v>3225</v>
      </c>
      <c r="N845" s="1" t="s">
        <v>3226</v>
      </c>
      <c r="O845" s="1" t="s">
        <v>3227</v>
      </c>
      <c r="P845" s="1" t="s">
        <v>2165</v>
      </c>
      <c r="Q845" s="1"/>
      <c r="R845" s="1"/>
      <c r="S845" s="1" t="s">
        <v>2072</v>
      </c>
      <c r="T845" s="1" t="s">
        <v>3165</v>
      </c>
      <c r="U845" s="4">
        <v>9000000</v>
      </c>
      <c r="V845" s="4">
        <v>8944</v>
      </c>
      <c r="W845" s="4">
        <v>89</v>
      </c>
      <c r="X845" s="4">
        <v>1342</v>
      </c>
      <c r="Y845" s="4">
        <v>0</v>
      </c>
      <c r="Z845" s="5">
        <v>10375</v>
      </c>
      <c r="AA845" s="5">
        <v>0</v>
      </c>
      <c r="AB845" s="6">
        <v>0</v>
      </c>
      <c r="AC845" s="4">
        <v>10375</v>
      </c>
      <c r="AD845" s="4">
        <v>0</v>
      </c>
      <c r="AE845" s="4">
        <v>10375</v>
      </c>
      <c r="AF845" s="1"/>
      <c r="AG845" s="1"/>
      <c r="AH845" s="1"/>
      <c r="AI845" s="1" t="s">
        <v>2841</v>
      </c>
      <c r="AJ845" s="6">
        <v>3084.5999999999967</v>
      </c>
      <c r="AK845" s="6">
        <v>841.33</v>
      </c>
      <c r="AL845" s="1"/>
    </row>
    <row r="846" spans="1:38" hidden="1" x14ac:dyDescent="0.25">
      <c r="A846" s="2">
        <v>1110</v>
      </c>
      <c r="B846" s="1" t="s">
        <v>1004</v>
      </c>
      <c r="C846" s="1" t="s">
        <v>1012</v>
      </c>
      <c r="D846" s="1" t="s">
        <v>2062</v>
      </c>
      <c r="E846" s="1" t="s">
        <v>2063</v>
      </c>
      <c r="F846" s="3">
        <v>45561</v>
      </c>
      <c r="G846" s="3">
        <v>45252</v>
      </c>
      <c r="H846" s="3">
        <v>45617</v>
      </c>
      <c r="I846" s="1" t="s">
        <v>3222</v>
      </c>
      <c r="J846" s="1" t="s">
        <v>3223</v>
      </c>
      <c r="K846" s="1"/>
      <c r="L846" s="1" t="s">
        <v>3224</v>
      </c>
      <c r="M846" s="1" t="s">
        <v>3225</v>
      </c>
      <c r="N846" s="1" t="s">
        <v>3226</v>
      </c>
      <c r="O846" s="1" t="s">
        <v>3227</v>
      </c>
      <c r="P846" s="1" t="s">
        <v>2165</v>
      </c>
      <c r="Q846" s="1"/>
      <c r="R846" s="1"/>
      <c r="S846" s="1" t="s">
        <v>2072</v>
      </c>
      <c r="T846" s="1" t="s">
        <v>3165</v>
      </c>
      <c r="U846" s="4">
        <v>9000000</v>
      </c>
      <c r="V846" s="4">
        <v>7356</v>
      </c>
      <c r="W846" s="4">
        <v>74</v>
      </c>
      <c r="X846" s="4">
        <v>1104</v>
      </c>
      <c r="Y846" s="4">
        <v>0</v>
      </c>
      <c r="Z846" s="5">
        <v>8534</v>
      </c>
      <c r="AA846" s="5">
        <v>0</v>
      </c>
      <c r="AB846" s="6">
        <v>0</v>
      </c>
      <c r="AC846" s="4">
        <v>8534</v>
      </c>
      <c r="AD846" s="4">
        <v>0</v>
      </c>
      <c r="AE846" s="4">
        <v>8534</v>
      </c>
      <c r="AF846" s="1"/>
      <c r="AG846" s="1"/>
      <c r="AH846" s="1"/>
      <c r="AI846" s="1" t="s">
        <v>2841</v>
      </c>
      <c r="AJ846" s="6">
        <v>2296.2799999999979</v>
      </c>
      <c r="AK846" s="6">
        <v>692</v>
      </c>
      <c r="AL846" s="1"/>
    </row>
    <row r="847" spans="1:38" hidden="1" x14ac:dyDescent="0.25">
      <c r="A847" s="2">
        <v>1111</v>
      </c>
      <c r="B847" s="1" t="s">
        <v>1004</v>
      </c>
      <c r="C847" s="1" t="s">
        <v>1013</v>
      </c>
      <c r="D847" s="1" t="s">
        <v>2062</v>
      </c>
      <c r="E847" s="1" t="s">
        <v>2063</v>
      </c>
      <c r="F847" s="3">
        <v>45596</v>
      </c>
      <c r="G847" s="3">
        <v>45252</v>
      </c>
      <c r="H847" s="3">
        <v>45617</v>
      </c>
      <c r="I847" s="1" t="s">
        <v>3222</v>
      </c>
      <c r="J847" s="1" t="s">
        <v>3223</v>
      </c>
      <c r="K847" s="1"/>
      <c r="L847" s="1" t="s">
        <v>3224</v>
      </c>
      <c r="M847" s="1" t="s">
        <v>3225</v>
      </c>
      <c r="N847" s="1" t="s">
        <v>3226</v>
      </c>
      <c r="O847" s="1" t="s">
        <v>3227</v>
      </c>
      <c r="P847" s="1" t="s">
        <v>2165</v>
      </c>
      <c r="Q847" s="1"/>
      <c r="R847" s="1"/>
      <c r="S847" s="1" t="s">
        <v>2072</v>
      </c>
      <c r="T847" s="1" t="s">
        <v>3165</v>
      </c>
      <c r="U847" s="4">
        <v>-1</v>
      </c>
      <c r="V847" s="4">
        <v>-216059</v>
      </c>
      <c r="W847" s="4">
        <v>-2161</v>
      </c>
      <c r="X847" s="4">
        <v>0</v>
      </c>
      <c r="Y847" s="4">
        <v>0</v>
      </c>
      <c r="Z847" s="5">
        <v>-218220</v>
      </c>
      <c r="AA847" s="5">
        <v>0</v>
      </c>
      <c r="AB847" s="6">
        <v>0</v>
      </c>
      <c r="AC847" s="4">
        <v>-218220</v>
      </c>
      <c r="AD847" s="4">
        <v>0</v>
      </c>
      <c r="AE847" s="4">
        <v>-218220</v>
      </c>
      <c r="AF847" s="1"/>
      <c r="AG847" s="1"/>
      <c r="AH847" s="1"/>
      <c r="AI847" s="1" t="s">
        <v>2841</v>
      </c>
      <c r="AJ847" s="1"/>
      <c r="AK847" s="1"/>
      <c r="AL847" s="1"/>
    </row>
    <row r="848" spans="1:38" hidden="1" x14ac:dyDescent="0.25">
      <c r="A848" s="2">
        <v>1112</v>
      </c>
      <c r="B848" s="1" t="s">
        <v>1014</v>
      </c>
      <c r="C848" s="1" t="s">
        <v>1015</v>
      </c>
      <c r="D848" s="1" t="s">
        <v>2062</v>
      </c>
      <c r="E848" s="1" t="s">
        <v>2063</v>
      </c>
      <c r="F848" s="3">
        <v>45289</v>
      </c>
      <c r="G848" s="3">
        <v>45255</v>
      </c>
      <c r="H848" s="3">
        <v>45620</v>
      </c>
      <c r="I848" s="1" t="s">
        <v>3228</v>
      </c>
      <c r="J848" s="1" t="s">
        <v>3229</v>
      </c>
      <c r="K848" s="1"/>
      <c r="L848" s="1" t="s">
        <v>2638</v>
      </c>
      <c r="M848" s="1" t="s">
        <v>3230</v>
      </c>
      <c r="N848" s="1" t="s">
        <v>3231</v>
      </c>
      <c r="O848" s="1" t="s">
        <v>3232</v>
      </c>
      <c r="P848" s="1" t="s">
        <v>2182</v>
      </c>
      <c r="Q848" s="1"/>
      <c r="R848" s="1"/>
      <c r="S848" s="1" t="s">
        <v>2072</v>
      </c>
      <c r="T848" s="1" t="s">
        <v>3165</v>
      </c>
      <c r="U848" s="4">
        <v>6300000</v>
      </c>
      <c r="V848" s="4">
        <v>98221</v>
      </c>
      <c r="W848" s="4">
        <v>982</v>
      </c>
      <c r="X848" s="4">
        <v>12769</v>
      </c>
      <c r="Y848" s="4">
        <v>0</v>
      </c>
      <c r="Z848" s="5">
        <v>111972</v>
      </c>
      <c r="AA848" s="5">
        <v>0</v>
      </c>
      <c r="AB848" s="6">
        <v>0</v>
      </c>
      <c r="AC848" s="4">
        <v>111972</v>
      </c>
      <c r="AD848" s="4">
        <v>0</v>
      </c>
      <c r="AE848" s="4">
        <v>111972</v>
      </c>
      <c r="AF848" s="1"/>
      <c r="AG848" s="1"/>
      <c r="AH848" s="1"/>
      <c r="AI848" s="1" t="s">
        <v>2841</v>
      </c>
      <c r="AJ848" s="1"/>
      <c r="AK848" s="1"/>
      <c r="AL848" s="1"/>
    </row>
    <row r="849" spans="1:38" hidden="1" x14ac:dyDescent="0.25">
      <c r="A849" s="2">
        <v>1113</v>
      </c>
      <c r="B849" s="1" t="s">
        <v>1014</v>
      </c>
      <c r="C849" s="1" t="s">
        <v>1016</v>
      </c>
      <c r="D849" s="1" t="s">
        <v>2062</v>
      </c>
      <c r="E849" s="1" t="s">
        <v>2063</v>
      </c>
      <c r="F849" s="3">
        <v>45533</v>
      </c>
      <c r="G849" s="3">
        <v>45255</v>
      </c>
      <c r="H849" s="3">
        <v>45620</v>
      </c>
      <c r="I849" s="1" t="s">
        <v>3228</v>
      </c>
      <c r="J849" s="1" t="s">
        <v>3229</v>
      </c>
      <c r="K849" s="1"/>
      <c r="L849" s="1" t="s">
        <v>2638</v>
      </c>
      <c r="M849" s="1" t="s">
        <v>3230</v>
      </c>
      <c r="N849" s="1" t="s">
        <v>3231</v>
      </c>
      <c r="O849" s="1" t="s">
        <v>3232</v>
      </c>
      <c r="P849" s="1" t="s">
        <v>2182</v>
      </c>
      <c r="Q849" s="1"/>
      <c r="R849" s="1"/>
      <c r="S849" s="1" t="s">
        <v>2072</v>
      </c>
      <c r="T849" s="1" t="s">
        <v>3165</v>
      </c>
      <c r="U849" s="4">
        <v>6300000</v>
      </c>
      <c r="V849" s="4">
        <v>5597</v>
      </c>
      <c r="W849" s="4">
        <v>56</v>
      </c>
      <c r="X849" s="4">
        <v>839</v>
      </c>
      <c r="Y849" s="4">
        <v>0</v>
      </c>
      <c r="Z849" s="5">
        <v>6492</v>
      </c>
      <c r="AA849" s="5">
        <v>5999</v>
      </c>
      <c r="AB849" s="6">
        <v>0</v>
      </c>
      <c r="AC849" s="4">
        <v>493</v>
      </c>
      <c r="AD849" s="4">
        <v>0</v>
      </c>
      <c r="AE849" s="4">
        <v>493</v>
      </c>
      <c r="AF849" s="1"/>
      <c r="AG849" s="1"/>
      <c r="AH849" s="1"/>
      <c r="AI849" s="1" t="s">
        <v>2841</v>
      </c>
      <c r="AJ849" s="6">
        <v>951.54000000000121</v>
      </c>
      <c r="AK849" s="6">
        <v>752.97</v>
      </c>
      <c r="AL849" s="1"/>
    </row>
    <row r="850" spans="1:38" hidden="1" x14ac:dyDescent="0.25">
      <c r="A850" s="2">
        <v>1114</v>
      </c>
      <c r="B850" s="1" t="s">
        <v>1014</v>
      </c>
      <c r="C850" s="1" t="s">
        <v>1017</v>
      </c>
      <c r="D850" s="1" t="s">
        <v>2062</v>
      </c>
      <c r="E850" s="1" t="s">
        <v>2063</v>
      </c>
      <c r="F850" s="3">
        <v>45655</v>
      </c>
      <c r="G850" s="3">
        <v>45255</v>
      </c>
      <c r="H850" s="3">
        <v>45620</v>
      </c>
      <c r="I850" s="1" t="s">
        <v>3228</v>
      </c>
      <c r="J850" s="1" t="s">
        <v>3229</v>
      </c>
      <c r="K850" s="1"/>
      <c r="L850" s="1" t="s">
        <v>2638</v>
      </c>
      <c r="M850" s="1" t="s">
        <v>3230</v>
      </c>
      <c r="N850" s="1" t="s">
        <v>3231</v>
      </c>
      <c r="O850" s="1" t="s">
        <v>3232</v>
      </c>
      <c r="P850" s="1" t="s">
        <v>2182</v>
      </c>
      <c r="Q850" s="1"/>
      <c r="R850" s="1"/>
      <c r="S850" s="1" t="s">
        <v>2072</v>
      </c>
      <c r="T850" s="1" t="s">
        <v>3165</v>
      </c>
      <c r="U850" s="4">
        <v>-1</v>
      </c>
      <c r="V850" s="4">
        <v>-111351</v>
      </c>
      <c r="W850" s="4">
        <v>-1114</v>
      </c>
      <c r="X850" s="4">
        <v>0</v>
      </c>
      <c r="Y850" s="4">
        <v>0</v>
      </c>
      <c r="Z850" s="5">
        <v>-112465</v>
      </c>
      <c r="AA850" s="5">
        <v>0</v>
      </c>
      <c r="AB850" s="6">
        <v>0</v>
      </c>
      <c r="AC850" s="4">
        <v>-112465</v>
      </c>
      <c r="AD850" s="4">
        <v>0</v>
      </c>
      <c r="AE850" s="4">
        <v>-112465</v>
      </c>
      <c r="AF850" s="1"/>
      <c r="AG850" s="1"/>
      <c r="AH850" s="1"/>
      <c r="AI850" s="1" t="s">
        <v>2841</v>
      </c>
      <c r="AJ850" s="1"/>
      <c r="AK850" s="1"/>
      <c r="AL850" s="1"/>
    </row>
    <row r="851" spans="1:38" hidden="1" x14ac:dyDescent="0.25">
      <c r="A851" s="2">
        <v>1115</v>
      </c>
      <c r="B851" s="1" t="s">
        <v>1018</v>
      </c>
      <c r="C851" s="1" t="s">
        <v>1019</v>
      </c>
      <c r="D851" s="1" t="s">
        <v>2062</v>
      </c>
      <c r="E851" s="1" t="s">
        <v>2063</v>
      </c>
      <c r="F851" s="3">
        <v>45595</v>
      </c>
      <c r="G851" s="3">
        <v>45258</v>
      </c>
      <c r="H851" s="3">
        <v>45623</v>
      </c>
      <c r="I851" s="1" t="s">
        <v>3233</v>
      </c>
      <c r="J851" s="1" t="s">
        <v>3234</v>
      </c>
      <c r="K851" s="1"/>
      <c r="L851" s="1" t="s">
        <v>2131</v>
      </c>
      <c r="M851" s="1" t="s">
        <v>3235</v>
      </c>
      <c r="N851" s="1" t="s">
        <v>3236</v>
      </c>
      <c r="O851" s="1" t="s">
        <v>3237</v>
      </c>
      <c r="P851" s="1" t="s">
        <v>2095</v>
      </c>
      <c r="Q851" s="1"/>
      <c r="R851" s="1"/>
      <c r="S851" s="1" t="s">
        <v>2072</v>
      </c>
      <c r="T851" s="1" t="s">
        <v>3165</v>
      </c>
      <c r="U851" s="4">
        <v>2600000</v>
      </c>
      <c r="V851" s="4">
        <v>3199</v>
      </c>
      <c r="W851" s="4">
        <v>32</v>
      </c>
      <c r="X851" s="4">
        <v>480</v>
      </c>
      <c r="Y851" s="4">
        <v>0</v>
      </c>
      <c r="Z851" s="5">
        <v>3711</v>
      </c>
      <c r="AA851" s="5">
        <v>0</v>
      </c>
      <c r="AB851" s="6">
        <v>0</v>
      </c>
      <c r="AC851" s="4">
        <v>3711</v>
      </c>
      <c r="AD851" s="4">
        <v>0</v>
      </c>
      <c r="AE851" s="4">
        <v>3711</v>
      </c>
      <c r="AF851" s="1"/>
      <c r="AG851" s="1"/>
      <c r="AH851" s="1"/>
      <c r="AI851" s="1" t="s">
        <v>2327</v>
      </c>
      <c r="AJ851" s="6">
        <v>1201.0099999999991</v>
      </c>
      <c r="AK851" s="6">
        <v>1042.26</v>
      </c>
      <c r="AL851" s="1"/>
    </row>
    <row r="852" spans="1:38" hidden="1" x14ac:dyDescent="0.25">
      <c r="A852" s="2">
        <v>1116</v>
      </c>
      <c r="B852" s="1" t="s">
        <v>1018</v>
      </c>
      <c r="C852" s="1" t="s">
        <v>1020</v>
      </c>
      <c r="D852" s="1" t="s">
        <v>2062</v>
      </c>
      <c r="E852" s="1" t="s">
        <v>2063</v>
      </c>
      <c r="F852" s="3">
        <v>45745</v>
      </c>
      <c r="G852" s="3">
        <v>45258</v>
      </c>
      <c r="H852" s="3">
        <v>45623</v>
      </c>
      <c r="I852" s="1" t="s">
        <v>3233</v>
      </c>
      <c r="J852" s="1" t="s">
        <v>3234</v>
      </c>
      <c r="K852" s="1"/>
      <c r="L852" s="1" t="s">
        <v>2131</v>
      </c>
      <c r="M852" s="1" t="s">
        <v>3235</v>
      </c>
      <c r="N852" s="1" t="s">
        <v>3236</v>
      </c>
      <c r="O852" s="1" t="s">
        <v>3237</v>
      </c>
      <c r="P852" s="1" t="s">
        <v>2095</v>
      </c>
      <c r="Q852" s="1"/>
      <c r="R852" s="1"/>
      <c r="S852" s="1" t="s">
        <v>2072</v>
      </c>
      <c r="T852" s="1" t="s">
        <v>3165</v>
      </c>
      <c r="U852" s="4">
        <v>-1</v>
      </c>
      <c r="V852" s="4">
        <v>-3678</v>
      </c>
      <c r="W852" s="4">
        <v>-33</v>
      </c>
      <c r="X852" s="4">
        <v>0</v>
      </c>
      <c r="Y852" s="4">
        <v>0</v>
      </c>
      <c r="Z852" s="5">
        <v>-3711</v>
      </c>
      <c r="AA852" s="5">
        <v>0</v>
      </c>
      <c r="AB852" s="6">
        <v>0</v>
      </c>
      <c r="AC852" s="4">
        <v>-3711</v>
      </c>
      <c r="AD852" s="4">
        <v>0</v>
      </c>
      <c r="AE852" s="4">
        <v>-3711</v>
      </c>
      <c r="AF852" s="1"/>
      <c r="AG852" s="1"/>
      <c r="AH852" s="1"/>
      <c r="AI852" s="1" t="s">
        <v>2327</v>
      </c>
      <c r="AJ852" s="1"/>
      <c r="AK852" s="1"/>
      <c r="AL852" s="1"/>
    </row>
    <row r="853" spans="1:38" hidden="1" x14ac:dyDescent="0.25">
      <c r="A853" s="2">
        <v>1117</v>
      </c>
      <c r="B853" s="1" t="s">
        <v>1021</v>
      </c>
      <c r="C853" s="1" t="s">
        <v>1022</v>
      </c>
      <c r="D853" s="1" t="s">
        <v>2062</v>
      </c>
      <c r="E853" s="1" t="s">
        <v>2063</v>
      </c>
      <c r="F853" s="3">
        <v>45287</v>
      </c>
      <c r="G853" s="3">
        <v>45257</v>
      </c>
      <c r="H853" s="3">
        <v>45622</v>
      </c>
      <c r="I853" s="1" t="s">
        <v>3238</v>
      </c>
      <c r="J853" s="1" t="s">
        <v>3239</v>
      </c>
      <c r="K853" s="1"/>
      <c r="L853" s="1" t="s">
        <v>2511</v>
      </c>
      <c r="M853" s="1" t="s">
        <v>3240</v>
      </c>
      <c r="N853" s="1" t="s">
        <v>3241</v>
      </c>
      <c r="O853" s="1" t="s">
        <v>3242</v>
      </c>
      <c r="P853" s="1" t="s">
        <v>2860</v>
      </c>
      <c r="Q853" s="1"/>
      <c r="R853" s="1"/>
      <c r="S853" s="1" t="s">
        <v>2072</v>
      </c>
      <c r="T853" s="1" t="s">
        <v>3165</v>
      </c>
      <c r="U853" s="4">
        <v>1800000</v>
      </c>
      <c r="V853" s="4">
        <v>1286</v>
      </c>
      <c r="W853" s="4">
        <v>13</v>
      </c>
      <c r="X853" s="4">
        <v>168</v>
      </c>
      <c r="Y853" s="4">
        <v>0</v>
      </c>
      <c r="Z853" s="5">
        <v>1467</v>
      </c>
      <c r="AA853" s="5">
        <v>0</v>
      </c>
      <c r="AB853" s="6">
        <v>0</v>
      </c>
      <c r="AC853" s="4">
        <v>1467</v>
      </c>
      <c r="AD853" s="4">
        <v>0</v>
      </c>
      <c r="AE853" s="4">
        <v>1467</v>
      </c>
      <c r="AF853" s="1"/>
      <c r="AG853" s="1"/>
      <c r="AH853" s="1"/>
      <c r="AI853" s="1" t="s">
        <v>2327</v>
      </c>
      <c r="AJ853" s="6">
        <v>642.92000000000007</v>
      </c>
      <c r="AK853" s="6">
        <v>595.6</v>
      </c>
      <c r="AL853" s="1"/>
    </row>
    <row r="854" spans="1:38" hidden="1" x14ac:dyDescent="0.25">
      <c r="A854" s="2">
        <v>1118</v>
      </c>
      <c r="B854" s="1" t="s">
        <v>1021</v>
      </c>
      <c r="C854" s="1" t="s">
        <v>1023</v>
      </c>
      <c r="D854" s="1" t="s">
        <v>2062</v>
      </c>
      <c r="E854" s="1" t="s">
        <v>2063</v>
      </c>
      <c r="F854" s="3">
        <v>45289</v>
      </c>
      <c r="G854" s="3">
        <v>45257</v>
      </c>
      <c r="H854" s="3">
        <v>45622</v>
      </c>
      <c r="I854" s="1" t="s">
        <v>3238</v>
      </c>
      <c r="J854" s="1" t="s">
        <v>3239</v>
      </c>
      <c r="K854" s="1"/>
      <c r="L854" s="1" t="s">
        <v>2511</v>
      </c>
      <c r="M854" s="1" t="s">
        <v>3240</v>
      </c>
      <c r="N854" s="1" t="s">
        <v>3241</v>
      </c>
      <c r="O854" s="1" t="s">
        <v>3242</v>
      </c>
      <c r="P854" s="1" t="s">
        <v>2860</v>
      </c>
      <c r="Q854" s="1"/>
      <c r="R854" s="1"/>
      <c r="S854" s="1" t="s">
        <v>2072</v>
      </c>
      <c r="T854" s="1" t="s">
        <v>3165</v>
      </c>
      <c r="U854" s="4">
        <v>1800000</v>
      </c>
      <c r="V854" s="4">
        <v>25906</v>
      </c>
      <c r="W854" s="4">
        <v>259</v>
      </c>
      <c r="X854" s="4">
        <v>3368</v>
      </c>
      <c r="Y854" s="4">
        <v>0</v>
      </c>
      <c r="Z854" s="5">
        <v>29533</v>
      </c>
      <c r="AA854" s="5">
        <v>0</v>
      </c>
      <c r="AB854" s="6">
        <v>0</v>
      </c>
      <c r="AC854" s="4">
        <v>29533</v>
      </c>
      <c r="AD854" s="4">
        <v>0</v>
      </c>
      <c r="AE854" s="4">
        <v>29533</v>
      </c>
      <c r="AF854" s="1"/>
      <c r="AG854" s="1"/>
      <c r="AH854" s="1"/>
      <c r="AI854" s="1" t="s">
        <v>2327</v>
      </c>
      <c r="AJ854" s="1"/>
      <c r="AK854" s="1"/>
      <c r="AL854" s="1"/>
    </row>
    <row r="855" spans="1:38" hidden="1" x14ac:dyDescent="0.25">
      <c r="A855" s="2">
        <v>1119</v>
      </c>
      <c r="B855" s="1" t="s">
        <v>1021</v>
      </c>
      <c r="C855" s="1" t="s">
        <v>1024</v>
      </c>
      <c r="D855" s="1" t="s">
        <v>2062</v>
      </c>
      <c r="E855" s="1" t="s">
        <v>2063</v>
      </c>
      <c r="F855" s="3">
        <v>45318</v>
      </c>
      <c r="G855" s="3">
        <v>45257</v>
      </c>
      <c r="H855" s="3">
        <v>45622</v>
      </c>
      <c r="I855" s="1" t="s">
        <v>3238</v>
      </c>
      <c r="J855" s="1" t="s">
        <v>3239</v>
      </c>
      <c r="K855" s="1"/>
      <c r="L855" s="1" t="s">
        <v>2511</v>
      </c>
      <c r="M855" s="1" t="s">
        <v>3240</v>
      </c>
      <c r="N855" s="1" t="s">
        <v>3241</v>
      </c>
      <c r="O855" s="1" t="s">
        <v>3242</v>
      </c>
      <c r="P855" s="1" t="s">
        <v>2860</v>
      </c>
      <c r="Q855" s="1"/>
      <c r="R855" s="1"/>
      <c r="S855" s="1" t="s">
        <v>2072</v>
      </c>
      <c r="T855" s="1" t="s">
        <v>3165</v>
      </c>
      <c r="U855" s="4">
        <v>1800000</v>
      </c>
      <c r="V855" s="4">
        <v>1438</v>
      </c>
      <c r="W855" s="4">
        <v>15</v>
      </c>
      <c r="X855" s="4">
        <v>187</v>
      </c>
      <c r="Y855" s="4">
        <v>0</v>
      </c>
      <c r="Z855" s="5">
        <v>1640</v>
      </c>
      <c r="AA855" s="5">
        <v>0</v>
      </c>
      <c r="AB855" s="6">
        <v>0</v>
      </c>
      <c r="AC855" s="4">
        <v>1640</v>
      </c>
      <c r="AD855" s="4">
        <v>0</v>
      </c>
      <c r="AE855" s="4">
        <v>1640</v>
      </c>
      <c r="AF855" s="1"/>
      <c r="AG855" s="1"/>
      <c r="AH855" s="1"/>
      <c r="AI855" s="1" t="s">
        <v>2327</v>
      </c>
      <c r="AJ855" s="6">
        <v>799.92000000000121</v>
      </c>
      <c r="AK855" s="6">
        <v>664.96</v>
      </c>
      <c r="AL855" s="1"/>
    </row>
    <row r="856" spans="1:38" hidden="1" x14ac:dyDescent="0.25">
      <c r="A856" s="2">
        <v>1120</v>
      </c>
      <c r="B856" s="1" t="s">
        <v>1021</v>
      </c>
      <c r="C856" s="1" t="s">
        <v>1025</v>
      </c>
      <c r="D856" s="1" t="s">
        <v>2062</v>
      </c>
      <c r="E856" s="1" t="s">
        <v>2063</v>
      </c>
      <c r="F856" s="3">
        <v>45349</v>
      </c>
      <c r="G856" s="3">
        <v>45257</v>
      </c>
      <c r="H856" s="3">
        <v>45622</v>
      </c>
      <c r="I856" s="1" t="s">
        <v>3238</v>
      </c>
      <c r="J856" s="1" t="s">
        <v>3239</v>
      </c>
      <c r="K856" s="1"/>
      <c r="L856" s="1" t="s">
        <v>2511</v>
      </c>
      <c r="M856" s="1" t="s">
        <v>3240</v>
      </c>
      <c r="N856" s="1" t="s">
        <v>3241</v>
      </c>
      <c r="O856" s="1" t="s">
        <v>3242</v>
      </c>
      <c r="P856" s="1" t="s">
        <v>2860</v>
      </c>
      <c r="Q856" s="1"/>
      <c r="R856" s="1"/>
      <c r="S856" s="1" t="s">
        <v>2072</v>
      </c>
      <c r="T856" s="1" t="s">
        <v>3165</v>
      </c>
      <c r="U856" s="4">
        <v>1800000</v>
      </c>
      <c r="V856" s="4">
        <v>1308</v>
      </c>
      <c r="W856" s="4">
        <v>13</v>
      </c>
      <c r="X856" s="4">
        <v>170</v>
      </c>
      <c r="Y856" s="4">
        <v>0</v>
      </c>
      <c r="Z856" s="5">
        <v>1491</v>
      </c>
      <c r="AA856" s="5">
        <v>0</v>
      </c>
      <c r="AB856" s="6">
        <v>0</v>
      </c>
      <c r="AC856" s="4">
        <v>1491</v>
      </c>
      <c r="AD856" s="4">
        <v>0</v>
      </c>
      <c r="AE856" s="4">
        <v>1491</v>
      </c>
      <c r="AF856" s="1"/>
      <c r="AG856" s="1"/>
      <c r="AH856" s="1"/>
      <c r="AI856" s="1" t="s">
        <v>2327</v>
      </c>
      <c r="AJ856" s="6">
        <v>657.88</v>
      </c>
      <c r="AK856" s="6">
        <v>604.30000000000007</v>
      </c>
      <c r="AL856" s="1"/>
    </row>
    <row r="857" spans="1:38" hidden="1" x14ac:dyDescent="0.25">
      <c r="A857" s="2">
        <v>1121</v>
      </c>
      <c r="B857" s="1" t="s">
        <v>1021</v>
      </c>
      <c r="C857" s="1" t="s">
        <v>1026</v>
      </c>
      <c r="D857" s="1" t="s">
        <v>2062</v>
      </c>
      <c r="E857" s="1" t="s">
        <v>2063</v>
      </c>
      <c r="F857" s="3">
        <v>45378</v>
      </c>
      <c r="G857" s="3">
        <v>45257</v>
      </c>
      <c r="H857" s="3">
        <v>45622</v>
      </c>
      <c r="I857" s="1" t="s">
        <v>3238</v>
      </c>
      <c r="J857" s="1" t="s">
        <v>3239</v>
      </c>
      <c r="K857" s="1"/>
      <c r="L857" s="1" t="s">
        <v>2511</v>
      </c>
      <c r="M857" s="1" t="s">
        <v>3240</v>
      </c>
      <c r="N857" s="1" t="s">
        <v>3241</v>
      </c>
      <c r="O857" s="1" t="s">
        <v>3242</v>
      </c>
      <c r="P857" s="1" t="s">
        <v>2860</v>
      </c>
      <c r="Q857" s="1"/>
      <c r="R857" s="1"/>
      <c r="S857" s="1" t="s">
        <v>2072</v>
      </c>
      <c r="T857" s="1" t="s">
        <v>3165</v>
      </c>
      <c r="U857" s="4">
        <v>1800000</v>
      </c>
      <c r="V857" s="4">
        <v>1538</v>
      </c>
      <c r="W857" s="4">
        <v>15</v>
      </c>
      <c r="X857" s="4">
        <v>200</v>
      </c>
      <c r="Y857" s="4">
        <v>0</v>
      </c>
      <c r="Z857" s="5">
        <v>1753</v>
      </c>
      <c r="AA857" s="5">
        <v>0</v>
      </c>
      <c r="AB857" s="6">
        <v>0</v>
      </c>
      <c r="AC857" s="4">
        <v>1753</v>
      </c>
      <c r="AD857" s="4">
        <v>0</v>
      </c>
      <c r="AE857" s="4">
        <v>1753</v>
      </c>
      <c r="AF857" s="1"/>
      <c r="AG857" s="1"/>
      <c r="AH857" s="1"/>
      <c r="AI857" s="1" t="s">
        <v>2327</v>
      </c>
      <c r="AJ857" s="6">
        <v>762.93</v>
      </c>
      <c r="AK857" s="6">
        <v>710.15</v>
      </c>
      <c r="AL857" s="1"/>
    </row>
    <row r="858" spans="1:38" hidden="1" x14ac:dyDescent="0.25">
      <c r="A858" s="2">
        <v>1122</v>
      </c>
      <c r="B858" s="1" t="s">
        <v>1021</v>
      </c>
      <c r="C858" s="1" t="s">
        <v>1027</v>
      </c>
      <c r="D858" s="1" t="s">
        <v>2062</v>
      </c>
      <c r="E858" s="1" t="s">
        <v>2063</v>
      </c>
      <c r="F858" s="3">
        <v>45411</v>
      </c>
      <c r="G858" s="3">
        <v>45257</v>
      </c>
      <c r="H858" s="3">
        <v>45622</v>
      </c>
      <c r="I858" s="1" t="s">
        <v>3238</v>
      </c>
      <c r="J858" s="1" t="s">
        <v>3239</v>
      </c>
      <c r="K858" s="1"/>
      <c r="L858" s="1" t="s">
        <v>2511</v>
      </c>
      <c r="M858" s="1" t="s">
        <v>3240</v>
      </c>
      <c r="N858" s="1" t="s">
        <v>3241</v>
      </c>
      <c r="O858" s="1" t="s">
        <v>3242</v>
      </c>
      <c r="P858" s="1" t="s">
        <v>2860</v>
      </c>
      <c r="Q858" s="1"/>
      <c r="R858" s="1"/>
      <c r="S858" s="1" t="s">
        <v>2072</v>
      </c>
      <c r="T858" s="1" t="s">
        <v>3165</v>
      </c>
      <c r="U858" s="4">
        <v>1800000</v>
      </c>
      <c r="V858" s="4">
        <v>1561</v>
      </c>
      <c r="W858" s="4">
        <v>16</v>
      </c>
      <c r="X858" s="4">
        <v>202</v>
      </c>
      <c r="Y858" s="4">
        <v>0</v>
      </c>
      <c r="Z858" s="5">
        <v>1779</v>
      </c>
      <c r="AA858" s="5">
        <v>0</v>
      </c>
      <c r="AB858" s="6">
        <v>0</v>
      </c>
      <c r="AC858" s="4">
        <v>1779</v>
      </c>
      <c r="AD858" s="4">
        <v>0</v>
      </c>
      <c r="AE858" s="4">
        <v>1779</v>
      </c>
      <c r="AF858" s="1"/>
      <c r="AG858" s="1"/>
      <c r="AH858" s="1"/>
      <c r="AI858" s="1" t="s">
        <v>2327</v>
      </c>
      <c r="AJ858" s="6">
        <v>801.93000000000097</v>
      </c>
      <c r="AK858" s="6">
        <v>721.61</v>
      </c>
      <c r="AL858" s="1"/>
    </row>
    <row r="859" spans="1:38" hidden="1" x14ac:dyDescent="0.25">
      <c r="A859" s="2">
        <v>1123</v>
      </c>
      <c r="B859" s="1" t="s">
        <v>1021</v>
      </c>
      <c r="C859" s="1" t="s">
        <v>1028</v>
      </c>
      <c r="D859" s="1" t="s">
        <v>2062</v>
      </c>
      <c r="E859" s="1" t="s">
        <v>2063</v>
      </c>
      <c r="F859" s="3">
        <v>45439</v>
      </c>
      <c r="G859" s="3">
        <v>45257</v>
      </c>
      <c r="H859" s="3">
        <v>45622</v>
      </c>
      <c r="I859" s="1" t="s">
        <v>3238</v>
      </c>
      <c r="J859" s="1" t="s">
        <v>3239</v>
      </c>
      <c r="K859" s="1"/>
      <c r="L859" s="1" t="s">
        <v>2511</v>
      </c>
      <c r="M859" s="1" t="s">
        <v>3240</v>
      </c>
      <c r="N859" s="1" t="s">
        <v>3241</v>
      </c>
      <c r="O859" s="1" t="s">
        <v>3242</v>
      </c>
      <c r="P859" s="1" t="s">
        <v>2860</v>
      </c>
      <c r="Q859" s="1"/>
      <c r="R859" s="1"/>
      <c r="S859" s="1" t="s">
        <v>2072</v>
      </c>
      <c r="T859" s="1" t="s">
        <v>3165</v>
      </c>
      <c r="U859" s="4">
        <v>1800000</v>
      </c>
      <c r="V859" s="4">
        <v>2055</v>
      </c>
      <c r="W859" s="4">
        <v>20</v>
      </c>
      <c r="X859" s="4">
        <v>267</v>
      </c>
      <c r="Y859" s="4">
        <v>0</v>
      </c>
      <c r="Z859" s="5">
        <v>2342</v>
      </c>
      <c r="AA859" s="5">
        <v>0</v>
      </c>
      <c r="AB859" s="6">
        <v>0</v>
      </c>
      <c r="AC859" s="4">
        <v>2342</v>
      </c>
      <c r="AD859" s="4">
        <v>0</v>
      </c>
      <c r="AE859" s="4">
        <v>2342</v>
      </c>
      <c r="AF859" s="1"/>
      <c r="AG859" s="1"/>
      <c r="AH859" s="1"/>
      <c r="AI859" s="1" t="s">
        <v>2327</v>
      </c>
      <c r="AJ859" s="6">
        <v>1114.6400000000001</v>
      </c>
      <c r="AK859" s="6">
        <v>949.33</v>
      </c>
      <c r="AL859" s="1"/>
    </row>
    <row r="860" spans="1:38" hidden="1" x14ac:dyDescent="0.25">
      <c r="A860" s="2">
        <v>1124</v>
      </c>
      <c r="B860" s="1" t="s">
        <v>1021</v>
      </c>
      <c r="C860" s="1" t="s">
        <v>1029</v>
      </c>
      <c r="D860" s="1" t="s">
        <v>2062</v>
      </c>
      <c r="E860" s="1" t="s">
        <v>2063</v>
      </c>
      <c r="F860" s="3">
        <v>45470</v>
      </c>
      <c r="G860" s="3">
        <v>45257</v>
      </c>
      <c r="H860" s="3">
        <v>45622</v>
      </c>
      <c r="I860" s="1" t="s">
        <v>3238</v>
      </c>
      <c r="J860" s="1" t="s">
        <v>3239</v>
      </c>
      <c r="K860" s="1"/>
      <c r="L860" s="1" t="s">
        <v>2511</v>
      </c>
      <c r="M860" s="1" t="s">
        <v>3240</v>
      </c>
      <c r="N860" s="1" t="s">
        <v>3241</v>
      </c>
      <c r="O860" s="1" t="s">
        <v>3242</v>
      </c>
      <c r="P860" s="1" t="s">
        <v>2860</v>
      </c>
      <c r="Q860" s="1"/>
      <c r="R860" s="1"/>
      <c r="S860" s="1" t="s">
        <v>2072</v>
      </c>
      <c r="T860" s="1" t="s">
        <v>3165</v>
      </c>
      <c r="U860" s="4">
        <v>1800000</v>
      </c>
      <c r="V860" s="4">
        <v>1583</v>
      </c>
      <c r="W860" s="4">
        <v>16</v>
      </c>
      <c r="X860" s="4">
        <v>206</v>
      </c>
      <c r="Y860" s="4">
        <v>0</v>
      </c>
      <c r="Z860" s="5">
        <v>1805</v>
      </c>
      <c r="AA860" s="5">
        <v>0</v>
      </c>
      <c r="AB860" s="6">
        <v>0</v>
      </c>
      <c r="AC860" s="4">
        <v>1805</v>
      </c>
      <c r="AD860" s="4">
        <v>0</v>
      </c>
      <c r="AE860" s="4">
        <v>1805</v>
      </c>
      <c r="AF860" s="1"/>
      <c r="AG860" s="1"/>
      <c r="AH860" s="1"/>
      <c r="AI860" s="1" t="s">
        <v>2327</v>
      </c>
      <c r="AJ860" s="6">
        <v>814.71</v>
      </c>
      <c r="AK860" s="6">
        <v>731.51</v>
      </c>
      <c r="AL860" s="1"/>
    </row>
    <row r="861" spans="1:38" hidden="1" x14ac:dyDescent="0.25">
      <c r="A861" s="2">
        <v>1125</v>
      </c>
      <c r="B861" s="1" t="s">
        <v>1021</v>
      </c>
      <c r="C861" s="1" t="s">
        <v>1030</v>
      </c>
      <c r="D861" s="1" t="s">
        <v>2062</v>
      </c>
      <c r="E861" s="1" t="s">
        <v>2063</v>
      </c>
      <c r="F861" s="3">
        <v>45503</v>
      </c>
      <c r="G861" s="3">
        <v>45257</v>
      </c>
      <c r="H861" s="3">
        <v>45622</v>
      </c>
      <c r="I861" s="1" t="s">
        <v>3238</v>
      </c>
      <c r="J861" s="1" t="s">
        <v>3239</v>
      </c>
      <c r="K861" s="1"/>
      <c r="L861" s="1" t="s">
        <v>2511</v>
      </c>
      <c r="M861" s="1" t="s">
        <v>3240</v>
      </c>
      <c r="N861" s="1" t="s">
        <v>3241</v>
      </c>
      <c r="O861" s="1" t="s">
        <v>3242</v>
      </c>
      <c r="P861" s="1" t="s">
        <v>2860</v>
      </c>
      <c r="Q861" s="1"/>
      <c r="R861" s="1"/>
      <c r="S861" s="1" t="s">
        <v>2072</v>
      </c>
      <c r="T861" s="1" t="s">
        <v>3165</v>
      </c>
      <c r="U861" s="4">
        <v>1800000</v>
      </c>
      <c r="V861" s="4">
        <v>1607</v>
      </c>
      <c r="W861" s="4">
        <v>16</v>
      </c>
      <c r="X861" s="4">
        <v>241</v>
      </c>
      <c r="Y861" s="4">
        <v>0</v>
      </c>
      <c r="Z861" s="5">
        <v>1864</v>
      </c>
      <c r="AA861" s="5">
        <v>0</v>
      </c>
      <c r="AB861" s="6">
        <v>0</v>
      </c>
      <c r="AC861" s="4">
        <v>1864</v>
      </c>
      <c r="AD861" s="4">
        <v>0</v>
      </c>
      <c r="AE861" s="4">
        <v>1864</v>
      </c>
      <c r="AF861" s="1"/>
      <c r="AG861" s="1"/>
      <c r="AH861" s="1"/>
      <c r="AI861" s="1" t="s">
        <v>2327</v>
      </c>
      <c r="AJ861" s="6">
        <v>816.05000000000121</v>
      </c>
      <c r="AK861" s="6">
        <v>756.14</v>
      </c>
      <c r="AL861" s="1"/>
    </row>
    <row r="862" spans="1:38" hidden="1" x14ac:dyDescent="0.25">
      <c r="A862" s="2">
        <v>1126</v>
      </c>
      <c r="B862" s="1" t="s">
        <v>1021</v>
      </c>
      <c r="C862" s="1" t="s">
        <v>1031</v>
      </c>
      <c r="D862" s="1" t="s">
        <v>2062</v>
      </c>
      <c r="E862" s="1" t="s">
        <v>2063</v>
      </c>
      <c r="F862" s="3">
        <v>45535</v>
      </c>
      <c r="G862" s="3">
        <v>45257</v>
      </c>
      <c r="H862" s="3">
        <v>45622</v>
      </c>
      <c r="I862" s="1" t="s">
        <v>3238</v>
      </c>
      <c r="J862" s="1" t="s">
        <v>3239</v>
      </c>
      <c r="K862" s="1"/>
      <c r="L862" s="1" t="s">
        <v>2511</v>
      </c>
      <c r="M862" s="1" t="s">
        <v>3240</v>
      </c>
      <c r="N862" s="1" t="s">
        <v>3241</v>
      </c>
      <c r="O862" s="1" t="s">
        <v>3242</v>
      </c>
      <c r="P862" s="1" t="s">
        <v>2860</v>
      </c>
      <c r="Q862" s="1"/>
      <c r="R862" s="1"/>
      <c r="S862" s="1" t="s">
        <v>2072</v>
      </c>
      <c r="T862" s="1" t="s">
        <v>3165</v>
      </c>
      <c r="U862" s="4">
        <v>1800000</v>
      </c>
      <c r="V862" s="4">
        <v>1713</v>
      </c>
      <c r="W862" s="4">
        <v>17</v>
      </c>
      <c r="X862" s="4">
        <v>257</v>
      </c>
      <c r="Y862" s="4">
        <v>0</v>
      </c>
      <c r="Z862" s="5">
        <v>1987</v>
      </c>
      <c r="AA862" s="5">
        <v>0</v>
      </c>
      <c r="AB862" s="6">
        <v>0</v>
      </c>
      <c r="AC862" s="4">
        <v>1987</v>
      </c>
      <c r="AD862" s="4">
        <v>0</v>
      </c>
      <c r="AE862" s="4">
        <v>1987</v>
      </c>
      <c r="AF862" s="1"/>
      <c r="AG862" s="1"/>
      <c r="AH862" s="1"/>
      <c r="AI862" s="1" t="s">
        <v>2327</v>
      </c>
      <c r="AJ862" s="6">
        <v>908.17000000000121</v>
      </c>
      <c r="AK862" s="6">
        <v>805.08</v>
      </c>
      <c r="AL862" s="1"/>
    </row>
    <row r="863" spans="1:38" hidden="1" x14ac:dyDescent="0.25">
      <c r="A863" s="2">
        <v>1127</v>
      </c>
      <c r="B863" s="1" t="s">
        <v>1021</v>
      </c>
      <c r="C863" s="1" t="s">
        <v>1032</v>
      </c>
      <c r="D863" s="1" t="s">
        <v>2062</v>
      </c>
      <c r="E863" s="1" t="s">
        <v>2063</v>
      </c>
      <c r="F863" s="3">
        <v>45566</v>
      </c>
      <c r="G863" s="3">
        <v>45257</v>
      </c>
      <c r="H863" s="3">
        <v>45622</v>
      </c>
      <c r="I863" s="1" t="s">
        <v>3238</v>
      </c>
      <c r="J863" s="1" t="s">
        <v>3239</v>
      </c>
      <c r="K863" s="1"/>
      <c r="L863" s="1" t="s">
        <v>2511</v>
      </c>
      <c r="M863" s="1" t="s">
        <v>3240</v>
      </c>
      <c r="N863" s="1" t="s">
        <v>3241</v>
      </c>
      <c r="O863" s="1" t="s">
        <v>3242</v>
      </c>
      <c r="P863" s="1" t="s">
        <v>2860</v>
      </c>
      <c r="Q863" s="1"/>
      <c r="R863" s="1"/>
      <c r="S863" s="1" t="s">
        <v>2072</v>
      </c>
      <c r="T863" s="1" t="s">
        <v>3165</v>
      </c>
      <c r="U863" s="4">
        <v>1800000</v>
      </c>
      <c r="V863" s="4">
        <v>1071</v>
      </c>
      <c r="W863" s="4">
        <v>11</v>
      </c>
      <c r="X863" s="4">
        <v>161</v>
      </c>
      <c r="Y863" s="4">
        <v>0</v>
      </c>
      <c r="Z863" s="5">
        <v>1243</v>
      </c>
      <c r="AA863" s="5">
        <v>0</v>
      </c>
      <c r="AB863" s="6">
        <v>0</v>
      </c>
      <c r="AC863" s="4">
        <v>1243</v>
      </c>
      <c r="AD863" s="4">
        <v>0</v>
      </c>
      <c r="AE863" s="4">
        <v>1243</v>
      </c>
      <c r="AF863" s="1"/>
      <c r="AG863" s="1"/>
      <c r="AH863" s="1"/>
      <c r="AI863" s="1" t="s">
        <v>2327</v>
      </c>
      <c r="AJ863" s="6">
        <v>504.0200000000001</v>
      </c>
      <c r="AK863" s="6">
        <v>504.0200000000001</v>
      </c>
      <c r="AL863" s="1"/>
    </row>
    <row r="864" spans="1:38" hidden="1" x14ac:dyDescent="0.25">
      <c r="A864" s="2">
        <v>1128</v>
      </c>
      <c r="B864" s="1" t="s">
        <v>1021</v>
      </c>
      <c r="C864" s="1" t="s">
        <v>1033</v>
      </c>
      <c r="D864" s="1" t="s">
        <v>2062</v>
      </c>
      <c r="E864" s="1" t="s">
        <v>2063</v>
      </c>
      <c r="F864" s="3">
        <v>45595</v>
      </c>
      <c r="G864" s="3">
        <v>45257</v>
      </c>
      <c r="H864" s="3">
        <v>45622</v>
      </c>
      <c r="I864" s="1" t="s">
        <v>3238</v>
      </c>
      <c r="J864" s="1" t="s">
        <v>3239</v>
      </c>
      <c r="K864" s="1"/>
      <c r="L864" s="1" t="s">
        <v>2511</v>
      </c>
      <c r="M864" s="1" t="s">
        <v>3240</v>
      </c>
      <c r="N864" s="1" t="s">
        <v>3241</v>
      </c>
      <c r="O864" s="1" t="s">
        <v>3242</v>
      </c>
      <c r="P864" s="1" t="s">
        <v>2860</v>
      </c>
      <c r="Q864" s="1"/>
      <c r="R864" s="1"/>
      <c r="S864" s="1" t="s">
        <v>2072</v>
      </c>
      <c r="T864" s="1" t="s">
        <v>3165</v>
      </c>
      <c r="U864" s="4">
        <v>1800000</v>
      </c>
      <c r="V864" s="4">
        <v>1657</v>
      </c>
      <c r="W864" s="4">
        <v>17</v>
      </c>
      <c r="X864" s="4">
        <v>249</v>
      </c>
      <c r="Y864" s="4">
        <v>0</v>
      </c>
      <c r="Z864" s="5">
        <v>1923</v>
      </c>
      <c r="AA864" s="5">
        <v>0</v>
      </c>
      <c r="AB864" s="6">
        <v>0</v>
      </c>
      <c r="AC864" s="4">
        <v>1923</v>
      </c>
      <c r="AD864" s="4">
        <v>0</v>
      </c>
      <c r="AE864" s="4">
        <v>1923</v>
      </c>
      <c r="AF864" s="1"/>
      <c r="AG864" s="1"/>
      <c r="AH864" s="1"/>
      <c r="AI864" s="1" t="s">
        <v>2327</v>
      </c>
      <c r="AJ864" s="6">
        <v>856.15000000000009</v>
      </c>
      <c r="AK864" s="6">
        <v>780</v>
      </c>
      <c r="AL864" s="1"/>
    </row>
    <row r="865" spans="1:38" hidden="1" x14ac:dyDescent="0.25">
      <c r="A865" s="2">
        <v>1129</v>
      </c>
      <c r="B865" s="1" t="s">
        <v>1021</v>
      </c>
      <c r="C865" s="1" t="s">
        <v>1034</v>
      </c>
      <c r="D865" s="1" t="s">
        <v>2062</v>
      </c>
      <c r="E865" s="1" t="s">
        <v>2063</v>
      </c>
      <c r="F865" s="3">
        <v>45655</v>
      </c>
      <c r="G865" s="3">
        <v>45257</v>
      </c>
      <c r="H865" s="3">
        <v>45622</v>
      </c>
      <c r="I865" s="1" t="s">
        <v>3238</v>
      </c>
      <c r="J865" s="1" t="s">
        <v>3239</v>
      </c>
      <c r="K865" s="1"/>
      <c r="L865" s="1" t="s">
        <v>2511</v>
      </c>
      <c r="M865" s="1" t="s">
        <v>3240</v>
      </c>
      <c r="N865" s="1" t="s">
        <v>3241</v>
      </c>
      <c r="O865" s="1" t="s">
        <v>3242</v>
      </c>
      <c r="P865" s="1" t="s">
        <v>2860</v>
      </c>
      <c r="Q865" s="1"/>
      <c r="R865" s="1"/>
      <c r="S865" s="1" t="s">
        <v>2072</v>
      </c>
      <c r="T865" s="1" t="s">
        <v>3165</v>
      </c>
      <c r="U865" s="4">
        <v>-1</v>
      </c>
      <c r="V865" s="4">
        <v>-48344</v>
      </c>
      <c r="W865" s="4">
        <v>-483</v>
      </c>
      <c r="X865" s="4">
        <v>0</v>
      </c>
      <c r="Y865" s="4">
        <v>0</v>
      </c>
      <c r="Z865" s="5">
        <v>-48827</v>
      </c>
      <c r="AA865" s="5">
        <v>0</v>
      </c>
      <c r="AB865" s="6">
        <v>0</v>
      </c>
      <c r="AC865" s="4">
        <v>-48827</v>
      </c>
      <c r="AD865" s="4">
        <v>0</v>
      </c>
      <c r="AE865" s="4">
        <v>-48827</v>
      </c>
      <c r="AF865" s="1"/>
      <c r="AG865" s="1"/>
      <c r="AH865" s="1"/>
      <c r="AI865" s="1" t="s">
        <v>2327</v>
      </c>
      <c r="AJ865" s="1"/>
      <c r="AK865" s="1"/>
      <c r="AL865" s="1"/>
    </row>
    <row r="866" spans="1:38" hidden="1" x14ac:dyDescent="0.25">
      <c r="A866" s="2">
        <v>1134</v>
      </c>
      <c r="B866" s="1" t="s">
        <v>1035</v>
      </c>
      <c r="C866" s="1" t="s">
        <v>1036</v>
      </c>
      <c r="D866" s="1" t="s">
        <v>2062</v>
      </c>
      <c r="E866" s="1" t="s">
        <v>2063</v>
      </c>
      <c r="F866" s="3">
        <v>45289</v>
      </c>
      <c r="G866" s="3">
        <v>45260</v>
      </c>
      <c r="H866" s="3">
        <v>45625</v>
      </c>
      <c r="I866" s="1" t="s">
        <v>3243</v>
      </c>
      <c r="J866" s="1" t="s">
        <v>3244</v>
      </c>
      <c r="K866" s="1"/>
      <c r="L866" s="1" t="s">
        <v>2638</v>
      </c>
      <c r="M866" s="1" t="s">
        <v>3245</v>
      </c>
      <c r="N866" s="1" t="s">
        <v>3246</v>
      </c>
      <c r="O866" s="1" t="s">
        <v>3247</v>
      </c>
      <c r="P866" s="1" t="s">
        <v>2095</v>
      </c>
      <c r="Q866" s="1"/>
      <c r="R866" s="1"/>
      <c r="S866" s="1" t="s">
        <v>2072</v>
      </c>
      <c r="T866" s="1" t="s">
        <v>3165</v>
      </c>
      <c r="U866" s="4">
        <v>5000000</v>
      </c>
      <c r="V866" s="4">
        <v>83332</v>
      </c>
      <c r="W866" s="4">
        <v>834</v>
      </c>
      <c r="X866" s="4">
        <v>10834</v>
      </c>
      <c r="Y866" s="4">
        <v>0</v>
      </c>
      <c r="Z866" s="5">
        <v>95000</v>
      </c>
      <c r="AA866" s="5">
        <v>0</v>
      </c>
      <c r="AB866" s="6">
        <v>0</v>
      </c>
      <c r="AC866" s="4">
        <v>95000</v>
      </c>
      <c r="AD866" s="4">
        <v>0</v>
      </c>
      <c r="AE866" s="4">
        <v>95000</v>
      </c>
      <c r="AF866" s="1"/>
      <c r="AG866" s="1"/>
      <c r="AH866" s="1"/>
      <c r="AI866" s="1" t="s">
        <v>2841</v>
      </c>
      <c r="AJ866" s="1"/>
      <c r="AK866" s="1"/>
      <c r="AL866" s="1"/>
    </row>
    <row r="867" spans="1:38" hidden="1" x14ac:dyDescent="0.25">
      <c r="A867" s="2">
        <v>1135</v>
      </c>
      <c r="B867" s="1" t="s">
        <v>1035</v>
      </c>
      <c r="C867" s="1" t="s">
        <v>1037</v>
      </c>
      <c r="D867" s="1" t="s">
        <v>2062</v>
      </c>
      <c r="E867" s="1" t="s">
        <v>2063</v>
      </c>
      <c r="F867" s="3">
        <v>45292</v>
      </c>
      <c r="G867" s="3">
        <v>45260</v>
      </c>
      <c r="H867" s="3">
        <v>45625</v>
      </c>
      <c r="I867" s="1" t="s">
        <v>3243</v>
      </c>
      <c r="J867" s="1" t="s">
        <v>3244</v>
      </c>
      <c r="K867" s="1"/>
      <c r="L867" s="1" t="s">
        <v>2638</v>
      </c>
      <c r="M867" s="1" t="s">
        <v>3245</v>
      </c>
      <c r="N867" s="1" t="s">
        <v>3246</v>
      </c>
      <c r="O867" s="1" t="s">
        <v>3247</v>
      </c>
      <c r="P867" s="1" t="s">
        <v>2095</v>
      </c>
      <c r="Q867" s="1"/>
      <c r="R867" s="1"/>
      <c r="S867" s="1" t="s">
        <v>2072</v>
      </c>
      <c r="T867" s="1" t="s">
        <v>3165</v>
      </c>
      <c r="U867" s="4">
        <v>5000000</v>
      </c>
      <c r="V867" s="4">
        <v>631</v>
      </c>
      <c r="W867" s="4">
        <v>6</v>
      </c>
      <c r="X867" s="4">
        <v>82</v>
      </c>
      <c r="Y867" s="4">
        <v>0</v>
      </c>
      <c r="Z867" s="5">
        <v>719</v>
      </c>
      <c r="AA867" s="5">
        <v>0</v>
      </c>
      <c r="AB867" s="6">
        <v>0</v>
      </c>
      <c r="AC867" s="4">
        <v>719</v>
      </c>
      <c r="AD867" s="4">
        <v>0</v>
      </c>
      <c r="AE867" s="4">
        <v>719</v>
      </c>
      <c r="AF867" s="1"/>
      <c r="AG867" s="1"/>
      <c r="AH867" s="1"/>
      <c r="AI867" s="1" t="s">
        <v>2841</v>
      </c>
      <c r="AJ867" s="6">
        <v>164.7</v>
      </c>
      <c r="AK867" s="6">
        <v>105.04</v>
      </c>
      <c r="AL867" s="1"/>
    </row>
    <row r="868" spans="1:38" hidden="1" x14ac:dyDescent="0.25">
      <c r="A868" s="2">
        <v>1136</v>
      </c>
      <c r="B868" s="1" t="s">
        <v>1035</v>
      </c>
      <c r="C868" s="1" t="s">
        <v>1038</v>
      </c>
      <c r="D868" s="1" t="s">
        <v>2062</v>
      </c>
      <c r="E868" s="1" t="s">
        <v>2063</v>
      </c>
      <c r="F868" s="3">
        <v>45322</v>
      </c>
      <c r="G868" s="3">
        <v>45260</v>
      </c>
      <c r="H868" s="3">
        <v>45625</v>
      </c>
      <c r="I868" s="1" t="s">
        <v>3243</v>
      </c>
      <c r="J868" s="1" t="s">
        <v>3244</v>
      </c>
      <c r="K868" s="1"/>
      <c r="L868" s="1" t="s">
        <v>2638</v>
      </c>
      <c r="M868" s="1" t="s">
        <v>3245</v>
      </c>
      <c r="N868" s="1" t="s">
        <v>3246</v>
      </c>
      <c r="O868" s="1" t="s">
        <v>3247</v>
      </c>
      <c r="P868" s="1" t="s">
        <v>2095</v>
      </c>
      <c r="Q868" s="1"/>
      <c r="R868" s="1"/>
      <c r="S868" s="1" t="s">
        <v>2072</v>
      </c>
      <c r="T868" s="1" t="s">
        <v>3165</v>
      </c>
      <c r="U868" s="4">
        <v>5000000</v>
      </c>
      <c r="V868" s="4">
        <v>12</v>
      </c>
      <c r="W868" s="4">
        <v>0</v>
      </c>
      <c r="X868" s="4">
        <v>1</v>
      </c>
      <c r="Y868" s="4">
        <v>0</v>
      </c>
      <c r="Z868" s="5">
        <v>13</v>
      </c>
      <c r="AA868" s="5">
        <v>0</v>
      </c>
      <c r="AB868" s="6">
        <v>0</v>
      </c>
      <c r="AC868" s="4">
        <v>13</v>
      </c>
      <c r="AD868" s="4">
        <v>0</v>
      </c>
      <c r="AE868" s="4">
        <v>13</v>
      </c>
      <c r="AF868" s="1"/>
      <c r="AG868" s="1"/>
      <c r="AH868" s="1"/>
      <c r="AI868" s="1" t="s">
        <v>2841</v>
      </c>
      <c r="AJ868" s="6">
        <v>2.04</v>
      </c>
      <c r="AK868" s="6">
        <v>2.04</v>
      </c>
      <c r="AL868" s="1"/>
    </row>
    <row r="869" spans="1:38" hidden="1" x14ac:dyDescent="0.25">
      <c r="A869" s="2">
        <v>1137</v>
      </c>
      <c r="B869" s="1" t="s">
        <v>1035</v>
      </c>
      <c r="C869" s="1" t="s">
        <v>1039</v>
      </c>
      <c r="D869" s="1" t="s">
        <v>2062</v>
      </c>
      <c r="E869" s="1" t="s">
        <v>2063</v>
      </c>
      <c r="F869" s="3">
        <v>45655</v>
      </c>
      <c r="G869" s="3">
        <v>45260</v>
      </c>
      <c r="H869" s="3">
        <v>45625</v>
      </c>
      <c r="I869" s="1" t="s">
        <v>3243</v>
      </c>
      <c r="J869" s="1" t="s">
        <v>3244</v>
      </c>
      <c r="K869" s="1"/>
      <c r="L869" s="1" t="s">
        <v>2638</v>
      </c>
      <c r="M869" s="1" t="s">
        <v>3245</v>
      </c>
      <c r="N869" s="1" t="s">
        <v>3246</v>
      </c>
      <c r="O869" s="1" t="s">
        <v>3247</v>
      </c>
      <c r="P869" s="1" t="s">
        <v>2095</v>
      </c>
      <c r="Q869" s="1"/>
      <c r="R869" s="1"/>
      <c r="S869" s="1" t="s">
        <v>2072</v>
      </c>
      <c r="T869" s="1" t="s">
        <v>3165</v>
      </c>
      <c r="U869" s="4">
        <v>-1</v>
      </c>
      <c r="V869" s="4">
        <v>-94784</v>
      </c>
      <c r="W869" s="4">
        <v>-948</v>
      </c>
      <c r="X869" s="4">
        <v>0</v>
      </c>
      <c r="Y869" s="4">
        <v>0</v>
      </c>
      <c r="Z869" s="5">
        <v>-95732</v>
      </c>
      <c r="AA869" s="5">
        <v>0</v>
      </c>
      <c r="AB869" s="6">
        <v>0</v>
      </c>
      <c r="AC869" s="4">
        <v>-95732</v>
      </c>
      <c r="AD869" s="4">
        <v>0</v>
      </c>
      <c r="AE869" s="4">
        <v>-95732</v>
      </c>
      <c r="AF869" s="1"/>
      <c r="AG869" s="1"/>
      <c r="AH869" s="1"/>
      <c r="AI869" s="1" t="s">
        <v>2841</v>
      </c>
      <c r="AJ869" s="1"/>
      <c r="AK869" s="1"/>
      <c r="AL869" s="1"/>
    </row>
    <row r="870" spans="1:38" x14ac:dyDescent="0.25">
      <c r="A870" s="2">
        <v>1141</v>
      </c>
      <c r="B870" s="1" t="s">
        <v>1040</v>
      </c>
      <c r="C870" s="1"/>
      <c r="D870" s="1" t="s">
        <v>2062</v>
      </c>
      <c r="E870" s="1" t="s">
        <v>2063</v>
      </c>
      <c r="F870" s="3">
        <v>45261</v>
      </c>
      <c r="G870" s="3">
        <v>45261</v>
      </c>
      <c r="H870" s="3">
        <v>45626</v>
      </c>
      <c r="I870" s="1" t="s">
        <v>2718</v>
      </c>
      <c r="J870" s="1" t="s">
        <v>3248</v>
      </c>
      <c r="K870" s="1"/>
      <c r="L870" s="1" t="s">
        <v>2198</v>
      </c>
      <c r="M870" s="1" t="s">
        <v>3249</v>
      </c>
      <c r="N870" s="1" t="s">
        <v>3250</v>
      </c>
      <c r="O870" s="1" t="s">
        <v>3251</v>
      </c>
      <c r="P870" s="1" t="s">
        <v>2262</v>
      </c>
      <c r="Q870" s="1"/>
      <c r="R870" s="1"/>
      <c r="S870" s="1" t="s">
        <v>2072</v>
      </c>
      <c r="T870" s="1" t="s">
        <v>3165</v>
      </c>
      <c r="U870" s="4">
        <v>2900000</v>
      </c>
      <c r="V870" s="4">
        <v>4343</v>
      </c>
      <c r="W870" s="4">
        <v>43</v>
      </c>
      <c r="X870" s="4">
        <v>564</v>
      </c>
      <c r="Y870" s="4">
        <v>50</v>
      </c>
      <c r="Z870" s="5">
        <v>5000</v>
      </c>
      <c r="AA870" s="5">
        <v>5002</v>
      </c>
      <c r="AB870" s="6">
        <v>0</v>
      </c>
      <c r="AC870" s="4">
        <v>-2</v>
      </c>
      <c r="AD870" s="4">
        <v>0</v>
      </c>
      <c r="AE870" s="4">
        <v>-2</v>
      </c>
      <c r="AF870" s="1"/>
      <c r="AG870" s="1"/>
      <c r="AH870" s="1"/>
      <c r="AI870" s="1" t="s">
        <v>2921</v>
      </c>
      <c r="AJ870" s="1"/>
      <c r="AK870" s="1"/>
      <c r="AL870" s="1" t="s">
        <v>2723</v>
      </c>
    </row>
    <row r="871" spans="1:38" hidden="1" x14ac:dyDescent="0.25">
      <c r="A871" s="2">
        <v>1142</v>
      </c>
      <c r="B871" s="1" t="s">
        <v>1040</v>
      </c>
      <c r="C871" s="1" t="s">
        <v>1041</v>
      </c>
      <c r="D871" s="1" t="s">
        <v>2062</v>
      </c>
      <c r="E871" s="1" t="s">
        <v>2063</v>
      </c>
      <c r="F871" s="3">
        <v>45293</v>
      </c>
      <c r="G871" s="3">
        <v>45261</v>
      </c>
      <c r="H871" s="3">
        <v>45626</v>
      </c>
      <c r="I871" s="1" t="s">
        <v>2718</v>
      </c>
      <c r="J871" s="1" t="s">
        <v>3248</v>
      </c>
      <c r="K871" s="1"/>
      <c r="L871" s="1" t="s">
        <v>2198</v>
      </c>
      <c r="M871" s="1" t="s">
        <v>3249</v>
      </c>
      <c r="N871" s="1" t="s">
        <v>3250</v>
      </c>
      <c r="O871" s="1" t="s">
        <v>3251</v>
      </c>
      <c r="P871" s="1" t="s">
        <v>2262</v>
      </c>
      <c r="Q871" s="1"/>
      <c r="R871" s="1"/>
      <c r="S871" s="1" t="s">
        <v>2072</v>
      </c>
      <c r="T871" s="1" t="s">
        <v>3165</v>
      </c>
      <c r="U871" s="4">
        <v>2900000</v>
      </c>
      <c r="V871" s="4">
        <v>3559</v>
      </c>
      <c r="W871" s="4">
        <v>36</v>
      </c>
      <c r="X871" s="4">
        <v>463</v>
      </c>
      <c r="Y871" s="4">
        <v>0</v>
      </c>
      <c r="Z871" s="5">
        <v>4058</v>
      </c>
      <c r="AA871" s="5">
        <v>4056</v>
      </c>
      <c r="AB871" s="6">
        <v>0</v>
      </c>
      <c r="AC871" s="4">
        <v>2</v>
      </c>
      <c r="AD871" s="4">
        <v>0</v>
      </c>
      <c r="AE871" s="4">
        <v>2</v>
      </c>
      <c r="AF871" s="1"/>
      <c r="AG871" s="1"/>
      <c r="AH871" s="1"/>
      <c r="AI871" s="1" t="s">
        <v>2921</v>
      </c>
      <c r="AJ871" s="6">
        <v>1340.68</v>
      </c>
      <c r="AK871" s="6">
        <v>1020.699999999999</v>
      </c>
      <c r="AL871" s="1"/>
    </row>
    <row r="872" spans="1:38" hidden="1" x14ac:dyDescent="0.25">
      <c r="A872" s="2">
        <v>1147</v>
      </c>
      <c r="B872" s="1" t="s">
        <v>1042</v>
      </c>
      <c r="C872" s="1" t="s">
        <v>1043</v>
      </c>
      <c r="D872" s="1" t="s">
        <v>2062</v>
      </c>
      <c r="E872" s="1" t="s">
        <v>2063</v>
      </c>
      <c r="F872" s="3">
        <v>45474</v>
      </c>
      <c r="G872" s="3">
        <v>45259</v>
      </c>
      <c r="H872" s="3">
        <v>45624</v>
      </c>
      <c r="I872" s="1" t="s">
        <v>3252</v>
      </c>
      <c r="J872" s="1" t="s">
        <v>3253</v>
      </c>
      <c r="K872" s="1"/>
      <c r="L872" s="1" t="s">
        <v>2740</v>
      </c>
      <c r="M872" s="1" t="s">
        <v>3254</v>
      </c>
      <c r="N872" s="1" t="s">
        <v>3255</v>
      </c>
      <c r="O872" s="1" t="s">
        <v>3256</v>
      </c>
      <c r="P872" s="1" t="s">
        <v>2088</v>
      </c>
      <c r="Q872" s="1"/>
      <c r="R872" s="1"/>
      <c r="S872" s="1" t="s">
        <v>2072</v>
      </c>
      <c r="T872" s="1" t="s">
        <v>2279</v>
      </c>
      <c r="U872" s="4">
        <v>6700000</v>
      </c>
      <c r="V872" s="4">
        <v>3100</v>
      </c>
      <c r="W872" s="4">
        <v>30</v>
      </c>
      <c r="X872" s="4">
        <v>402</v>
      </c>
      <c r="Y872" s="4">
        <v>0</v>
      </c>
      <c r="Z872" s="5">
        <v>3532</v>
      </c>
      <c r="AA872" s="5">
        <v>7064</v>
      </c>
      <c r="AB872" s="6">
        <v>0</v>
      </c>
      <c r="AC872" s="4">
        <v>-3532</v>
      </c>
      <c r="AD872" s="4">
        <v>0</v>
      </c>
      <c r="AE872" s="4">
        <v>-3532</v>
      </c>
      <c r="AF872" s="1"/>
      <c r="AG872" s="1"/>
      <c r="AH872" s="1"/>
      <c r="AI872" s="1" t="s">
        <v>3257</v>
      </c>
      <c r="AJ872" s="6">
        <v>1181.5000000000391</v>
      </c>
      <c r="AK872" s="6">
        <v>384.86</v>
      </c>
      <c r="AL872" s="1"/>
    </row>
    <row r="873" spans="1:38" hidden="1" x14ac:dyDescent="0.25">
      <c r="A873" s="2">
        <v>1148</v>
      </c>
      <c r="B873" s="1" t="s">
        <v>1042</v>
      </c>
      <c r="C873" s="1" t="s">
        <v>1044</v>
      </c>
      <c r="D873" s="1" t="s">
        <v>2062</v>
      </c>
      <c r="E873" s="1" t="s">
        <v>2063</v>
      </c>
      <c r="F873" s="3">
        <v>45538</v>
      </c>
      <c r="G873" s="3">
        <v>45259</v>
      </c>
      <c r="H873" s="3">
        <v>45624</v>
      </c>
      <c r="I873" s="1" t="s">
        <v>3252</v>
      </c>
      <c r="J873" s="1" t="s">
        <v>3253</v>
      </c>
      <c r="K873" s="1"/>
      <c r="L873" s="1" t="s">
        <v>2740</v>
      </c>
      <c r="M873" s="1" t="s">
        <v>3254</v>
      </c>
      <c r="N873" s="1" t="s">
        <v>3255</v>
      </c>
      <c r="O873" s="1" t="s">
        <v>3256</v>
      </c>
      <c r="P873" s="1" t="s">
        <v>2088</v>
      </c>
      <c r="Q873" s="1"/>
      <c r="R873" s="1"/>
      <c r="S873" s="1" t="s">
        <v>2072</v>
      </c>
      <c r="T873" s="1" t="s">
        <v>2279</v>
      </c>
      <c r="U873" s="4">
        <v>6700000</v>
      </c>
      <c r="V873" s="4">
        <v>3019</v>
      </c>
      <c r="W873" s="4">
        <v>30</v>
      </c>
      <c r="X873" s="4">
        <v>453</v>
      </c>
      <c r="Y873" s="4">
        <v>0</v>
      </c>
      <c r="Z873" s="5">
        <v>3502</v>
      </c>
      <c r="AA873" s="5">
        <v>0</v>
      </c>
      <c r="AB873" s="6">
        <v>0</v>
      </c>
      <c r="AC873" s="4">
        <v>3502</v>
      </c>
      <c r="AD873" s="4">
        <v>0</v>
      </c>
      <c r="AE873" s="4">
        <v>3502</v>
      </c>
      <c r="AF873" s="1"/>
      <c r="AG873" s="1"/>
      <c r="AH873" s="1"/>
      <c r="AI873" s="1" t="s">
        <v>3257</v>
      </c>
      <c r="AJ873" s="6">
        <v>384.3900000000001</v>
      </c>
      <c r="AK873" s="6">
        <v>381.63</v>
      </c>
      <c r="AL873" s="1"/>
    </row>
    <row r="874" spans="1:38" hidden="1" x14ac:dyDescent="0.25">
      <c r="A874" s="2">
        <v>1149</v>
      </c>
      <c r="B874" s="1" t="s">
        <v>1042</v>
      </c>
      <c r="C874" s="1" t="s">
        <v>1045</v>
      </c>
      <c r="D874" s="1" t="s">
        <v>2062</v>
      </c>
      <c r="E874" s="1" t="s">
        <v>2063</v>
      </c>
      <c r="F874" s="3">
        <v>45597</v>
      </c>
      <c r="G874" s="3">
        <v>45259</v>
      </c>
      <c r="H874" s="3">
        <v>45624</v>
      </c>
      <c r="I874" s="1" t="s">
        <v>3252</v>
      </c>
      <c r="J874" s="1" t="s">
        <v>3253</v>
      </c>
      <c r="K874" s="1"/>
      <c r="L874" s="1" t="s">
        <v>2740</v>
      </c>
      <c r="M874" s="1" t="s">
        <v>3254</v>
      </c>
      <c r="N874" s="1" t="s">
        <v>3255</v>
      </c>
      <c r="O874" s="1" t="s">
        <v>3256</v>
      </c>
      <c r="P874" s="1" t="s">
        <v>2088</v>
      </c>
      <c r="Q874" s="1"/>
      <c r="R874" s="1"/>
      <c r="S874" s="1" t="s">
        <v>2072</v>
      </c>
      <c r="T874" s="1" t="s">
        <v>2279</v>
      </c>
      <c r="U874" s="4">
        <v>6700000</v>
      </c>
      <c r="V874" s="4">
        <v>2163</v>
      </c>
      <c r="W874" s="4">
        <v>22</v>
      </c>
      <c r="X874" s="4">
        <v>325</v>
      </c>
      <c r="Y874" s="4">
        <v>0</v>
      </c>
      <c r="Z874" s="5">
        <v>2510</v>
      </c>
      <c r="AA874" s="5">
        <v>2480</v>
      </c>
      <c r="AB874" s="6">
        <v>0</v>
      </c>
      <c r="AC874" s="4">
        <v>30</v>
      </c>
      <c r="AD874" s="4">
        <v>0</v>
      </c>
      <c r="AE874" s="4">
        <v>30</v>
      </c>
      <c r="AF874" s="1"/>
      <c r="AG874" s="1"/>
      <c r="AH874" s="1"/>
      <c r="AI874" s="1" t="s">
        <v>3257</v>
      </c>
      <c r="AJ874" s="6">
        <v>295.95</v>
      </c>
      <c r="AK874" s="6">
        <v>273.40000000000003</v>
      </c>
      <c r="AL874" s="1"/>
    </row>
    <row r="875" spans="1:38" hidden="1" x14ac:dyDescent="0.25">
      <c r="A875" s="2">
        <v>1162</v>
      </c>
      <c r="B875" s="1" t="s">
        <v>1046</v>
      </c>
      <c r="C875" s="1" t="s">
        <v>1047</v>
      </c>
      <c r="D875" s="1" t="s">
        <v>2062</v>
      </c>
      <c r="E875" s="1" t="s">
        <v>2063</v>
      </c>
      <c r="F875" s="3">
        <v>45289</v>
      </c>
      <c r="G875" s="3">
        <v>45264</v>
      </c>
      <c r="H875" s="3">
        <v>45629</v>
      </c>
      <c r="I875" s="1" t="s">
        <v>3258</v>
      </c>
      <c r="J875" s="1" t="s">
        <v>3259</v>
      </c>
      <c r="K875" s="1"/>
      <c r="L875" s="1" t="s">
        <v>3260</v>
      </c>
      <c r="M875" s="1" t="s">
        <v>3261</v>
      </c>
      <c r="N875" s="1" t="s">
        <v>3262</v>
      </c>
      <c r="O875" s="1" t="s">
        <v>3263</v>
      </c>
      <c r="P875" s="1" t="s">
        <v>2081</v>
      </c>
      <c r="Q875" s="1"/>
      <c r="R875" s="1"/>
      <c r="S875" s="1" t="s">
        <v>2072</v>
      </c>
      <c r="T875" s="1" t="s">
        <v>3165</v>
      </c>
      <c r="U875" s="4">
        <v>3000000</v>
      </c>
      <c r="V875" s="4">
        <v>48245</v>
      </c>
      <c r="W875" s="4">
        <v>483</v>
      </c>
      <c r="X875" s="4">
        <v>6272</v>
      </c>
      <c r="Y875" s="4">
        <v>0</v>
      </c>
      <c r="Z875" s="5">
        <v>55000</v>
      </c>
      <c r="AA875" s="5">
        <v>0</v>
      </c>
      <c r="AB875" s="6">
        <v>0</v>
      </c>
      <c r="AC875" s="4">
        <v>55000</v>
      </c>
      <c r="AD875" s="4">
        <v>0</v>
      </c>
      <c r="AE875" s="4">
        <v>55000</v>
      </c>
      <c r="AF875" s="1"/>
      <c r="AG875" s="1"/>
      <c r="AH875" s="1"/>
      <c r="AI875" s="1" t="s">
        <v>2327</v>
      </c>
      <c r="AJ875" s="1"/>
      <c r="AK875" s="1"/>
      <c r="AL875" s="1"/>
    </row>
    <row r="876" spans="1:38" hidden="1" x14ac:dyDescent="0.25">
      <c r="A876" s="2">
        <v>1163</v>
      </c>
      <c r="B876" s="1" t="s">
        <v>1046</v>
      </c>
      <c r="C876" s="1" t="s">
        <v>1048</v>
      </c>
      <c r="D876" s="1" t="s">
        <v>2062</v>
      </c>
      <c r="E876" s="1" t="s">
        <v>2063</v>
      </c>
      <c r="F876" s="3">
        <v>45655</v>
      </c>
      <c r="G876" s="3">
        <v>45264</v>
      </c>
      <c r="H876" s="3">
        <v>45629</v>
      </c>
      <c r="I876" s="1" t="s">
        <v>3258</v>
      </c>
      <c r="J876" s="1" t="s">
        <v>3259</v>
      </c>
      <c r="K876" s="1"/>
      <c r="L876" s="1" t="s">
        <v>3260</v>
      </c>
      <c r="M876" s="1" t="s">
        <v>3261</v>
      </c>
      <c r="N876" s="1" t="s">
        <v>3262</v>
      </c>
      <c r="O876" s="1" t="s">
        <v>3263</v>
      </c>
      <c r="P876" s="1" t="s">
        <v>2081</v>
      </c>
      <c r="Q876" s="1"/>
      <c r="R876" s="1"/>
      <c r="S876" s="1" t="s">
        <v>2072</v>
      </c>
      <c r="T876" s="1" t="s">
        <v>3165</v>
      </c>
      <c r="U876" s="4">
        <v>-1</v>
      </c>
      <c r="V876" s="4">
        <v>-54455</v>
      </c>
      <c r="W876" s="4">
        <v>-545</v>
      </c>
      <c r="X876" s="4">
        <v>0</v>
      </c>
      <c r="Y876" s="4">
        <v>0</v>
      </c>
      <c r="Z876" s="5">
        <v>-55000</v>
      </c>
      <c r="AA876" s="5">
        <v>0</v>
      </c>
      <c r="AB876" s="6">
        <v>0</v>
      </c>
      <c r="AC876" s="4">
        <v>-55000</v>
      </c>
      <c r="AD876" s="4">
        <v>0</v>
      </c>
      <c r="AE876" s="4">
        <v>-55000</v>
      </c>
      <c r="AF876" s="1"/>
      <c r="AG876" s="1"/>
      <c r="AH876" s="1"/>
      <c r="AI876" s="1" t="s">
        <v>2327</v>
      </c>
      <c r="AJ876" s="1"/>
      <c r="AK876" s="1"/>
      <c r="AL876" s="1"/>
    </row>
    <row r="877" spans="1:38" hidden="1" x14ac:dyDescent="0.25">
      <c r="A877" s="2">
        <v>1164</v>
      </c>
      <c r="B877" s="1" t="s">
        <v>1049</v>
      </c>
      <c r="C877" s="1" t="s">
        <v>1050</v>
      </c>
      <c r="D877" s="1" t="s">
        <v>2062</v>
      </c>
      <c r="E877" s="1" t="s">
        <v>2063</v>
      </c>
      <c r="F877" s="3">
        <v>45289</v>
      </c>
      <c r="G877" s="3">
        <v>45265</v>
      </c>
      <c r="H877" s="3">
        <v>45630</v>
      </c>
      <c r="I877" s="1" t="s">
        <v>3264</v>
      </c>
      <c r="J877" s="1" t="s">
        <v>3265</v>
      </c>
      <c r="K877" s="1"/>
      <c r="L877" s="1" t="s">
        <v>2077</v>
      </c>
      <c r="M877" s="1" t="s">
        <v>3266</v>
      </c>
      <c r="N877" s="1" t="s">
        <v>3267</v>
      </c>
      <c r="O877" s="1" t="s">
        <v>3268</v>
      </c>
      <c r="P877" s="1" t="s">
        <v>2247</v>
      </c>
      <c r="Q877" s="1"/>
      <c r="R877" s="1"/>
      <c r="S877" s="1" t="s">
        <v>2072</v>
      </c>
      <c r="T877" s="1" t="s">
        <v>3165</v>
      </c>
      <c r="U877" s="4">
        <v>2600000</v>
      </c>
      <c r="V877" s="4">
        <v>41227</v>
      </c>
      <c r="W877" s="4">
        <v>413</v>
      </c>
      <c r="X877" s="4">
        <v>5360</v>
      </c>
      <c r="Y877" s="4">
        <v>0</v>
      </c>
      <c r="Z877" s="5">
        <v>47000</v>
      </c>
      <c r="AA877" s="5">
        <v>0</v>
      </c>
      <c r="AB877" s="6">
        <v>0</v>
      </c>
      <c r="AC877" s="4">
        <v>47000</v>
      </c>
      <c r="AD877" s="4">
        <v>0</v>
      </c>
      <c r="AE877" s="4">
        <v>47000</v>
      </c>
      <c r="AF877" s="1"/>
      <c r="AG877" s="1"/>
      <c r="AH877" s="1"/>
      <c r="AI877" s="1" t="s">
        <v>2921</v>
      </c>
      <c r="AJ877" s="1"/>
      <c r="AK877" s="1"/>
      <c r="AL877" s="1"/>
    </row>
    <row r="878" spans="1:38" hidden="1" x14ac:dyDescent="0.25">
      <c r="A878" s="2">
        <v>1165</v>
      </c>
      <c r="B878" s="1" t="s">
        <v>1049</v>
      </c>
      <c r="C878" s="1" t="s">
        <v>1051</v>
      </c>
      <c r="D878" s="1" t="s">
        <v>2062</v>
      </c>
      <c r="E878" s="1" t="s">
        <v>2063</v>
      </c>
      <c r="F878" s="3">
        <v>45296</v>
      </c>
      <c r="G878" s="3">
        <v>45265</v>
      </c>
      <c r="H878" s="3">
        <v>45630</v>
      </c>
      <c r="I878" s="1" t="s">
        <v>3264</v>
      </c>
      <c r="J878" s="1" t="s">
        <v>3265</v>
      </c>
      <c r="K878" s="1"/>
      <c r="L878" s="1" t="s">
        <v>2077</v>
      </c>
      <c r="M878" s="1" t="s">
        <v>3266</v>
      </c>
      <c r="N878" s="1" t="s">
        <v>3267</v>
      </c>
      <c r="O878" s="1" t="s">
        <v>3268</v>
      </c>
      <c r="P878" s="1" t="s">
        <v>2247</v>
      </c>
      <c r="Q878" s="1"/>
      <c r="R878" s="1"/>
      <c r="S878" s="1" t="s">
        <v>2072</v>
      </c>
      <c r="T878" s="1" t="s">
        <v>3165</v>
      </c>
      <c r="U878" s="4">
        <v>2600000</v>
      </c>
      <c r="V878" s="4">
        <v>2256</v>
      </c>
      <c r="W878" s="4">
        <v>22</v>
      </c>
      <c r="X878" s="4">
        <v>293</v>
      </c>
      <c r="Y878" s="4">
        <v>0</v>
      </c>
      <c r="Z878" s="5">
        <v>2571</v>
      </c>
      <c r="AA878" s="5">
        <v>0</v>
      </c>
      <c r="AB878" s="6">
        <v>0</v>
      </c>
      <c r="AC878" s="4">
        <v>2571</v>
      </c>
      <c r="AD878" s="4">
        <v>0</v>
      </c>
      <c r="AE878" s="4">
        <v>2571</v>
      </c>
      <c r="AF878" s="1"/>
      <c r="AG878" s="1"/>
      <c r="AH878" s="1"/>
      <c r="AI878" s="1" t="s">
        <v>2921</v>
      </c>
      <c r="AJ878" s="6">
        <v>890.65999999999894</v>
      </c>
      <c r="AK878" s="6">
        <v>722.67</v>
      </c>
      <c r="AL878" s="1"/>
    </row>
    <row r="879" spans="1:38" hidden="1" x14ac:dyDescent="0.25">
      <c r="A879" s="2">
        <v>1166</v>
      </c>
      <c r="B879" s="1" t="s">
        <v>1049</v>
      </c>
      <c r="C879" s="1" t="s">
        <v>1052</v>
      </c>
      <c r="D879" s="1" t="s">
        <v>2062</v>
      </c>
      <c r="E879" s="1" t="s">
        <v>2063</v>
      </c>
      <c r="F879" s="3">
        <v>45329</v>
      </c>
      <c r="G879" s="3">
        <v>45265</v>
      </c>
      <c r="H879" s="3">
        <v>45630</v>
      </c>
      <c r="I879" s="1" t="s">
        <v>3264</v>
      </c>
      <c r="J879" s="1" t="s">
        <v>3265</v>
      </c>
      <c r="K879" s="1"/>
      <c r="L879" s="1" t="s">
        <v>2077</v>
      </c>
      <c r="M879" s="1" t="s">
        <v>3266</v>
      </c>
      <c r="N879" s="1" t="s">
        <v>3267</v>
      </c>
      <c r="O879" s="1" t="s">
        <v>3268</v>
      </c>
      <c r="P879" s="1" t="s">
        <v>2247</v>
      </c>
      <c r="Q879" s="1"/>
      <c r="R879" s="1"/>
      <c r="S879" s="1" t="s">
        <v>2072</v>
      </c>
      <c r="T879" s="1" t="s">
        <v>3165</v>
      </c>
      <c r="U879" s="4">
        <v>2600000</v>
      </c>
      <c r="V879" s="4">
        <v>2773</v>
      </c>
      <c r="W879" s="4">
        <v>28</v>
      </c>
      <c r="X879" s="4">
        <v>361</v>
      </c>
      <c r="Y879" s="4">
        <v>0</v>
      </c>
      <c r="Z879" s="5">
        <v>3162</v>
      </c>
      <c r="AA879" s="5">
        <v>0</v>
      </c>
      <c r="AB879" s="6">
        <v>0</v>
      </c>
      <c r="AC879" s="4">
        <v>3162</v>
      </c>
      <c r="AD879" s="4">
        <v>0</v>
      </c>
      <c r="AE879" s="4">
        <v>3162</v>
      </c>
      <c r="AF879" s="1"/>
      <c r="AG879" s="1"/>
      <c r="AH879" s="1"/>
      <c r="AI879" s="1" t="s">
        <v>2921</v>
      </c>
      <c r="AJ879" s="6">
        <v>1053.9299999999992</v>
      </c>
      <c r="AK879" s="6">
        <v>888.57</v>
      </c>
      <c r="AL879" s="1"/>
    </row>
    <row r="880" spans="1:38" hidden="1" x14ac:dyDescent="0.25">
      <c r="A880" s="2">
        <v>1167</v>
      </c>
      <c r="B880" s="1" t="s">
        <v>1049</v>
      </c>
      <c r="C880" s="1" t="s">
        <v>1053</v>
      </c>
      <c r="D880" s="1" t="s">
        <v>2062</v>
      </c>
      <c r="E880" s="1" t="s">
        <v>2063</v>
      </c>
      <c r="F880" s="3">
        <v>45356</v>
      </c>
      <c r="G880" s="3">
        <v>45265</v>
      </c>
      <c r="H880" s="3">
        <v>45630</v>
      </c>
      <c r="I880" s="1" t="s">
        <v>3264</v>
      </c>
      <c r="J880" s="1" t="s">
        <v>3265</v>
      </c>
      <c r="K880" s="1"/>
      <c r="L880" s="1" t="s">
        <v>2077</v>
      </c>
      <c r="M880" s="1" t="s">
        <v>3266</v>
      </c>
      <c r="N880" s="1" t="s">
        <v>3267</v>
      </c>
      <c r="O880" s="1" t="s">
        <v>3268</v>
      </c>
      <c r="P880" s="1" t="s">
        <v>2247</v>
      </c>
      <c r="Q880" s="1"/>
      <c r="R880" s="1"/>
      <c r="S880" s="1" t="s">
        <v>2072</v>
      </c>
      <c r="T880" s="1" t="s">
        <v>3165</v>
      </c>
      <c r="U880" s="4">
        <v>2600000</v>
      </c>
      <c r="V880" s="4">
        <v>2192</v>
      </c>
      <c r="W880" s="4">
        <v>22</v>
      </c>
      <c r="X880" s="4">
        <v>285</v>
      </c>
      <c r="Y880" s="4">
        <v>0</v>
      </c>
      <c r="Z880" s="5">
        <v>2499</v>
      </c>
      <c r="AA880" s="5">
        <v>0</v>
      </c>
      <c r="AB880" s="6">
        <v>0</v>
      </c>
      <c r="AC880" s="4">
        <v>2499</v>
      </c>
      <c r="AD880" s="4">
        <v>0</v>
      </c>
      <c r="AE880" s="4">
        <v>2499</v>
      </c>
      <c r="AF880" s="1"/>
      <c r="AG880" s="1"/>
      <c r="AH880" s="1"/>
      <c r="AI880" s="1" t="s">
        <v>2921</v>
      </c>
      <c r="AJ880" s="6">
        <v>843.63</v>
      </c>
      <c r="AK880" s="6">
        <v>702.48</v>
      </c>
      <c r="AL880" s="1"/>
    </row>
    <row r="881" spans="1:38" hidden="1" x14ac:dyDescent="0.25">
      <c r="A881" s="2">
        <v>1168</v>
      </c>
      <c r="B881" s="1" t="s">
        <v>1049</v>
      </c>
      <c r="C881" s="1" t="s">
        <v>1054</v>
      </c>
      <c r="D881" s="1" t="s">
        <v>2062</v>
      </c>
      <c r="E881" s="1" t="s">
        <v>2063</v>
      </c>
      <c r="F881" s="3">
        <v>45387</v>
      </c>
      <c r="G881" s="3">
        <v>45265</v>
      </c>
      <c r="H881" s="3">
        <v>45630</v>
      </c>
      <c r="I881" s="1" t="s">
        <v>3264</v>
      </c>
      <c r="J881" s="1" t="s">
        <v>3265</v>
      </c>
      <c r="K881" s="1"/>
      <c r="L881" s="1" t="s">
        <v>2077</v>
      </c>
      <c r="M881" s="1" t="s">
        <v>3266</v>
      </c>
      <c r="N881" s="1" t="s">
        <v>3267</v>
      </c>
      <c r="O881" s="1" t="s">
        <v>3268</v>
      </c>
      <c r="P881" s="1" t="s">
        <v>2247</v>
      </c>
      <c r="Q881" s="1"/>
      <c r="R881" s="1"/>
      <c r="S881" s="1" t="s">
        <v>2072</v>
      </c>
      <c r="T881" s="1" t="s">
        <v>3165</v>
      </c>
      <c r="U881" s="4">
        <v>2600000</v>
      </c>
      <c r="V881" s="4">
        <v>2323</v>
      </c>
      <c r="W881" s="4">
        <v>23</v>
      </c>
      <c r="X881" s="4">
        <v>302</v>
      </c>
      <c r="Y881" s="4">
        <v>0</v>
      </c>
      <c r="Z881" s="5">
        <v>2648</v>
      </c>
      <c r="AA881" s="5">
        <v>0</v>
      </c>
      <c r="AB881" s="6">
        <v>0</v>
      </c>
      <c r="AC881" s="4">
        <v>2648</v>
      </c>
      <c r="AD881" s="4">
        <v>0</v>
      </c>
      <c r="AE881" s="4">
        <v>2648</v>
      </c>
      <c r="AF881" s="1"/>
      <c r="AG881" s="1"/>
      <c r="AH881" s="1"/>
      <c r="AI881" s="1" t="s">
        <v>2921</v>
      </c>
      <c r="AJ881" s="6">
        <v>912.42</v>
      </c>
      <c r="AK881" s="6">
        <v>744.31</v>
      </c>
      <c r="AL881" s="1"/>
    </row>
    <row r="882" spans="1:38" hidden="1" x14ac:dyDescent="0.25">
      <c r="A882" s="2">
        <v>1169</v>
      </c>
      <c r="B882" s="1" t="s">
        <v>1049</v>
      </c>
      <c r="C882" s="1" t="s">
        <v>1055</v>
      </c>
      <c r="D882" s="1" t="s">
        <v>2062</v>
      </c>
      <c r="E882" s="1" t="s">
        <v>2063</v>
      </c>
      <c r="F882" s="3">
        <v>45425</v>
      </c>
      <c r="G882" s="3">
        <v>45265</v>
      </c>
      <c r="H882" s="3">
        <v>45630</v>
      </c>
      <c r="I882" s="1" t="s">
        <v>3264</v>
      </c>
      <c r="J882" s="1" t="s">
        <v>3265</v>
      </c>
      <c r="K882" s="1"/>
      <c r="L882" s="1" t="s">
        <v>2077</v>
      </c>
      <c r="M882" s="1" t="s">
        <v>3266</v>
      </c>
      <c r="N882" s="1" t="s">
        <v>3267</v>
      </c>
      <c r="O882" s="1" t="s">
        <v>3268</v>
      </c>
      <c r="P882" s="1" t="s">
        <v>2247</v>
      </c>
      <c r="Q882" s="1"/>
      <c r="R882" s="1"/>
      <c r="S882" s="1" t="s">
        <v>2072</v>
      </c>
      <c r="T882" s="1" t="s">
        <v>3165</v>
      </c>
      <c r="U882" s="4">
        <v>2600000</v>
      </c>
      <c r="V882" s="4">
        <v>2151</v>
      </c>
      <c r="W882" s="4">
        <v>22</v>
      </c>
      <c r="X882" s="4">
        <v>280</v>
      </c>
      <c r="Y882" s="4">
        <v>0</v>
      </c>
      <c r="Z882" s="5">
        <v>2453</v>
      </c>
      <c r="AA882" s="5">
        <v>0</v>
      </c>
      <c r="AB882" s="6">
        <v>0</v>
      </c>
      <c r="AC882" s="4">
        <v>2453</v>
      </c>
      <c r="AD882" s="4">
        <v>0</v>
      </c>
      <c r="AE882" s="4">
        <v>2453</v>
      </c>
      <c r="AF882" s="1"/>
      <c r="AG882" s="1"/>
      <c r="AH882" s="1"/>
      <c r="AI882" s="1" t="s">
        <v>2921</v>
      </c>
      <c r="AJ882" s="6">
        <v>796.43</v>
      </c>
      <c r="AK882" s="6">
        <v>689.39</v>
      </c>
      <c r="AL882" s="1"/>
    </row>
    <row r="883" spans="1:38" hidden="1" x14ac:dyDescent="0.25">
      <c r="A883" s="2">
        <v>1170</v>
      </c>
      <c r="B883" s="1" t="s">
        <v>1049</v>
      </c>
      <c r="C883" s="1" t="s">
        <v>1056</v>
      </c>
      <c r="D883" s="1" t="s">
        <v>2062</v>
      </c>
      <c r="E883" s="1" t="s">
        <v>2063</v>
      </c>
      <c r="F883" s="3">
        <v>45449</v>
      </c>
      <c r="G883" s="3">
        <v>45265</v>
      </c>
      <c r="H883" s="3">
        <v>45630</v>
      </c>
      <c r="I883" s="1" t="s">
        <v>3264</v>
      </c>
      <c r="J883" s="1" t="s">
        <v>3265</v>
      </c>
      <c r="K883" s="1"/>
      <c r="L883" s="1" t="s">
        <v>2077</v>
      </c>
      <c r="M883" s="1" t="s">
        <v>3266</v>
      </c>
      <c r="N883" s="1" t="s">
        <v>3267</v>
      </c>
      <c r="O883" s="1" t="s">
        <v>3268</v>
      </c>
      <c r="P883" s="1" t="s">
        <v>2247</v>
      </c>
      <c r="Q883" s="1"/>
      <c r="R883" s="1"/>
      <c r="S883" s="1" t="s">
        <v>2072</v>
      </c>
      <c r="T883" s="1" t="s">
        <v>3165</v>
      </c>
      <c r="U883" s="4">
        <v>2600000</v>
      </c>
      <c r="V883" s="4">
        <v>2062</v>
      </c>
      <c r="W883" s="4">
        <v>20</v>
      </c>
      <c r="X883" s="4">
        <v>267</v>
      </c>
      <c r="Y883" s="4">
        <v>0</v>
      </c>
      <c r="Z883" s="5">
        <v>2349</v>
      </c>
      <c r="AA883" s="5">
        <v>0</v>
      </c>
      <c r="AB883" s="6">
        <v>0</v>
      </c>
      <c r="AC883" s="4">
        <v>2349</v>
      </c>
      <c r="AD883" s="4">
        <v>0</v>
      </c>
      <c r="AE883" s="4">
        <v>2349</v>
      </c>
      <c r="AF883" s="1"/>
      <c r="AG883" s="1"/>
      <c r="AH883" s="1"/>
      <c r="AI883" s="1" t="s">
        <v>2921</v>
      </c>
      <c r="AJ883" s="6">
        <v>947.5</v>
      </c>
      <c r="AK883" s="6">
        <v>660.18</v>
      </c>
      <c r="AL883" s="1"/>
    </row>
    <row r="884" spans="1:38" hidden="1" x14ac:dyDescent="0.25">
      <c r="A884" s="2">
        <v>1171</v>
      </c>
      <c r="B884" s="1" t="s">
        <v>1049</v>
      </c>
      <c r="C884" s="1" t="s">
        <v>1057</v>
      </c>
      <c r="D884" s="1" t="s">
        <v>2062</v>
      </c>
      <c r="E884" s="1" t="s">
        <v>2063</v>
      </c>
      <c r="F884" s="3">
        <v>45478</v>
      </c>
      <c r="G884" s="3">
        <v>45265</v>
      </c>
      <c r="H884" s="3">
        <v>45630</v>
      </c>
      <c r="I884" s="1" t="s">
        <v>3264</v>
      </c>
      <c r="J884" s="1" t="s">
        <v>3265</v>
      </c>
      <c r="K884" s="1"/>
      <c r="L884" s="1" t="s">
        <v>2077</v>
      </c>
      <c r="M884" s="1" t="s">
        <v>3266</v>
      </c>
      <c r="N884" s="1" t="s">
        <v>3267</v>
      </c>
      <c r="O884" s="1" t="s">
        <v>3268</v>
      </c>
      <c r="P884" s="1" t="s">
        <v>2247</v>
      </c>
      <c r="Q884" s="1"/>
      <c r="R884" s="1"/>
      <c r="S884" s="1" t="s">
        <v>2072</v>
      </c>
      <c r="T884" s="1" t="s">
        <v>3165</v>
      </c>
      <c r="U884" s="4">
        <v>2600000</v>
      </c>
      <c r="V884" s="4">
        <v>1463</v>
      </c>
      <c r="W884" s="4">
        <v>15</v>
      </c>
      <c r="X884" s="4">
        <v>220</v>
      </c>
      <c r="Y884" s="4">
        <v>0</v>
      </c>
      <c r="Z884" s="5">
        <v>1698</v>
      </c>
      <c r="AA884" s="5">
        <v>0</v>
      </c>
      <c r="AB884" s="6">
        <v>0</v>
      </c>
      <c r="AC884" s="4">
        <v>1698</v>
      </c>
      <c r="AD884" s="4">
        <v>0</v>
      </c>
      <c r="AE884" s="4">
        <v>1698</v>
      </c>
      <c r="AF884" s="1"/>
      <c r="AG884" s="1"/>
      <c r="AH884" s="1"/>
      <c r="AI884" s="1" t="s">
        <v>2921</v>
      </c>
      <c r="AJ884" s="6">
        <v>508.54</v>
      </c>
      <c r="AK884" s="6">
        <v>476.89</v>
      </c>
      <c r="AL884" s="1"/>
    </row>
    <row r="885" spans="1:38" hidden="1" x14ac:dyDescent="0.25">
      <c r="A885" s="2">
        <v>1172</v>
      </c>
      <c r="B885" s="1" t="s">
        <v>1049</v>
      </c>
      <c r="C885" s="1" t="s">
        <v>1058</v>
      </c>
      <c r="D885" s="1" t="s">
        <v>2062</v>
      </c>
      <c r="E885" s="1" t="s">
        <v>2063</v>
      </c>
      <c r="F885" s="3">
        <v>45596</v>
      </c>
      <c r="G885" s="3">
        <v>45265</v>
      </c>
      <c r="H885" s="3">
        <v>45630</v>
      </c>
      <c r="I885" s="1" t="s">
        <v>3264</v>
      </c>
      <c r="J885" s="1" t="s">
        <v>3265</v>
      </c>
      <c r="K885" s="1"/>
      <c r="L885" s="1" t="s">
        <v>2077</v>
      </c>
      <c r="M885" s="1" t="s">
        <v>3266</v>
      </c>
      <c r="N885" s="1" t="s">
        <v>3267</v>
      </c>
      <c r="O885" s="1" t="s">
        <v>3268</v>
      </c>
      <c r="P885" s="1" t="s">
        <v>2247</v>
      </c>
      <c r="Q885" s="1"/>
      <c r="R885" s="1"/>
      <c r="S885" s="1" t="s">
        <v>2072</v>
      </c>
      <c r="T885" s="1" t="s">
        <v>3165</v>
      </c>
      <c r="U885" s="4">
        <v>-1</v>
      </c>
      <c r="V885" s="4">
        <v>-63743</v>
      </c>
      <c r="W885" s="4">
        <v>-637</v>
      </c>
      <c r="X885" s="4">
        <v>0</v>
      </c>
      <c r="Y885" s="4">
        <v>0</v>
      </c>
      <c r="Z885" s="5">
        <v>-64380</v>
      </c>
      <c r="AA885" s="5">
        <v>0</v>
      </c>
      <c r="AB885" s="6">
        <v>0</v>
      </c>
      <c r="AC885" s="4">
        <v>-64380</v>
      </c>
      <c r="AD885" s="4">
        <v>0</v>
      </c>
      <c r="AE885" s="4">
        <v>-64380</v>
      </c>
      <c r="AF885" s="1"/>
      <c r="AG885" s="1"/>
      <c r="AH885" s="1"/>
      <c r="AI885" s="1" t="s">
        <v>2921</v>
      </c>
      <c r="AJ885" s="1"/>
      <c r="AK885" s="1"/>
      <c r="AL885" s="1"/>
    </row>
    <row r="886" spans="1:38" hidden="1" x14ac:dyDescent="0.25">
      <c r="A886" s="2">
        <v>1175</v>
      </c>
      <c r="B886" s="1" t="s">
        <v>1059</v>
      </c>
      <c r="C886" s="1" t="s">
        <v>1060</v>
      </c>
      <c r="D886" s="1" t="s">
        <v>2062</v>
      </c>
      <c r="E886" s="1" t="s">
        <v>2063</v>
      </c>
      <c r="F886" s="3">
        <v>45289</v>
      </c>
      <c r="G886" s="3">
        <v>45268</v>
      </c>
      <c r="H886" s="3">
        <v>45633</v>
      </c>
      <c r="I886" s="1" t="s">
        <v>3269</v>
      </c>
      <c r="J886" s="1" t="s">
        <v>3270</v>
      </c>
      <c r="K886" s="1"/>
      <c r="L886" s="1" t="s">
        <v>3271</v>
      </c>
      <c r="M886" s="1" t="s">
        <v>3272</v>
      </c>
      <c r="N886" s="1" t="s">
        <v>3273</v>
      </c>
      <c r="O886" s="1" t="s">
        <v>3274</v>
      </c>
      <c r="P886" s="1" t="s">
        <v>2095</v>
      </c>
      <c r="Q886" s="1"/>
      <c r="R886" s="1"/>
      <c r="S886" s="1" t="s">
        <v>2072</v>
      </c>
      <c r="T886" s="1" t="s">
        <v>3165</v>
      </c>
      <c r="U886" s="4">
        <v>4700000</v>
      </c>
      <c r="V886" s="4">
        <v>78069</v>
      </c>
      <c r="W886" s="4">
        <v>781</v>
      </c>
      <c r="X886" s="4">
        <v>10150</v>
      </c>
      <c r="Y886" s="4">
        <v>0</v>
      </c>
      <c r="Z886" s="5">
        <v>89000</v>
      </c>
      <c r="AA886" s="5">
        <v>0</v>
      </c>
      <c r="AB886" s="6">
        <v>0</v>
      </c>
      <c r="AC886" s="4">
        <v>89000</v>
      </c>
      <c r="AD886" s="4">
        <v>0</v>
      </c>
      <c r="AE886" s="4">
        <v>89000</v>
      </c>
      <c r="AF886" s="1"/>
      <c r="AG886" s="1"/>
      <c r="AH886" s="1"/>
      <c r="AI886" s="1" t="s">
        <v>2841</v>
      </c>
      <c r="AJ886" s="1"/>
      <c r="AK886" s="1"/>
      <c r="AL886" s="1"/>
    </row>
    <row r="887" spans="1:38" hidden="1" x14ac:dyDescent="0.25">
      <c r="A887" s="2">
        <v>1176</v>
      </c>
      <c r="B887" s="1" t="s">
        <v>1059</v>
      </c>
      <c r="C887" s="1" t="s">
        <v>1061</v>
      </c>
      <c r="D887" s="1" t="s">
        <v>2062</v>
      </c>
      <c r="E887" s="1" t="s">
        <v>2063</v>
      </c>
      <c r="F887" s="3">
        <v>45300</v>
      </c>
      <c r="G887" s="3">
        <v>45268</v>
      </c>
      <c r="H887" s="3">
        <v>45633</v>
      </c>
      <c r="I887" s="1" t="s">
        <v>3269</v>
      </c>
      <c r="J887" s="1" t="s">
        <v>3270</v>
      </c>
      <c r="K887" s="1"/>
      <c r="L887" s="1" t="s">
        <v>3271</v>
      </c>
      <c r="M887" s="1" t="s">
        <v>3272</v>
      </c>
      <c r="N887" s="1" t="s">
        <v>3273</v>
      </c>
      <c r="O887" s="1" t="s">
        <v>3274</v>
      </c>
      <c r="P887" s="1" t="s">
        <v>2095</v>
      </c>
      <c r="Q887" s="1"/>
      <c r="R887" s="1"/>
      <c r="S887" s="1" t="s">
        <v>2072</v>
      </c>
      <c r="T887" s="1" t="s">
        <v>3165</v>
      </c>
      <c r="U887" s="4">
        <v>4700000</v>
      </c>
      <c r="V887" s="4">
        <v>3775</v>
      </c>
      <c r="W887" s="4">
        <v>38</v>
      </c>
      <c r="X887" s="4">
        <v>490</v>
      </c>
      <c r="Y887" s="4">
        <v>0</v>
      </c>
      <c r="Z887" s="5">
        <v>4303</v>
      </c>
      <c r="AA887" s="5">
        <v>0</v>
      </c>
      <c r="AB887" s="6">
        <v>0</v>
      </c>
      <c r="AC887" s="4">
        <v>4303</v>
      </c>
      <c r="AD887" s="4">
        <v>0</v>
      </c>
      <c r="AE887" s="4">
        <v>4303</v>
      </c>
      <c r="AF887" s="1"/>
      <c r="AG887" s="1"/>
      <c r="AH887" s="1"/>
      <c r="AI887" s="1" t="s">
        <v>2841</v>
      </c>
      <c r="AJ887" s="6">
        <v>1811.3899999999981</v>
      </c>
      <c r="AK887" s="6">
        <v>667.79000000000019</v>
      </c>
      <c r="AL887" s="1"/>
    </row>
    <row r="888" spans="1:38" hidden="1" x14ac:dyDescent="0.25">
      <c r="A888" s="2">
        <v>1177</v>
      </c>
      <c r="B888" s="1" t="s">
        <v>1059</v>
      </c>
      <c r="C888" s="1" t="s">
        <v>1062</v>
      </c>
      <c r="D888" s="1" t="s">
        <v>2062</v>
      </c>
      <c r="E888" s="1" t="s">
        <v>2063</v>
      </c>
      <c r="F888" s="3">
        <v>45334</v>
      </c>
      <c r="G888" s="3">
        <v>45268</v>
      </c>
      <c r="H888" s="3">
        <v>45633</v>
      </c>
      <c r="I888" s="1" t="s">
        <v>3269</v>
      </c>
      <c r="J888" s="1" t="s">
        <v>3270</v>
      </c>
      <c r="K888" s="1"/>
      <c r="L888" s="1" t="s">
        <v>3271</v>
      </c>
      <c r="M888" s="1" t="s">
        <v>3272</v>
      </c>
      <c r="N888" s="1" t="s">
        <v>3273</v>
      </c>
      <c r="O888" s="1" t="s">
        <v>3274</v>
      </c>
      <c r="P888" s="1" t="s">
        <v>2095</v>
      </c>
      <c r="Q888" s="1"/>
      <c r="R888" s="1"/>
      <c r="S888" s="1" t="s">
        <v>2072</v>
      </c>
      <c r="T888" s="1" t="s">
        <v>3165</v>
      </c>
      <c r="U888" s="4">
        <v>4700000</v>
      </c>
      <c r="V888" s="4">
        <v>5317</v>
      </c>
      <c r="W888" s="4">
        <v>53</v>
      </c>
      <c r="X888" s="4">
        <v>692</v>
      </c>
      <c r="Y888" s="4">
        <v>0</v>
      </c>
      <c r="Z888" s="5">
        <v>6062</v>
      </c>
      <c r="AA888" s="5">
        <v>0</v>
      </c>
      <c r="AB888" s="6">
        <v>0</v>
      </c>
      <c r="AC888" s="4">
        <v>6062</v>
      </c>
      <c r="AD888" s="4">
        <v>0</v>
      </c>
      <c r="AE888" s="4">
        <v>6062</v>
      </c>
      <c r="AF888" s="1"/>
      <c r="AG888" s="1"/>
      <c r="AH888" s="1"/>
      <c r="AI888" s="1" t="s">
        <v>2841</v>
      </c>
      <c r="AJ888" s="6">
        <v>2707.97</v>
      </c>
      <c r="AK888" s="6">
        <v>940.96</v>
      </c>
      <c r="AL888" s="1"/>
    </row>
    <row r="889" spans="1:38" hidden="1" x14ac:dyDescent="0.25">
      <c r="A889" s="2">
        <v>1178</v>
      </c>
      <c r="B889" s="1" t="s">
        <v>1059</v>
      </c>
      <c r="C889" s="1" t="s">
        <v>1063</v>
      </c>
      <c r="D889" s="1" t="s">
        <v>2062</v>
      </c>
      <c r="E889" s="1" t="s">
        <v>2063</v>
      </c>
      <c r="F889" s="3">
        <v>45359</v>
      </c>
      <c r="G889" s="3">
        <v>45268</v>
      </c>
      <c r="H889" s="3">
        <v>45633</v>
      </c>
      <c r="I889" s="1" t="s">
        <v>3269</v>
      </c>
      <c r="J889" s="1" t="s">
        <v>3270</v>
      </c>
      <c r="K889" s="1"/>
      <c r="L889" s="1" t="s">
        <v>3271</v>
      </c>
      <c r="M889" s="1" t="s">
        <v>3272</v>
      </c>
      <c r="N889" s="1" t="s">
        <v>3273</v>
      </c>
      <c r="O889" s="1" t="s">
        <v>3274</v>
      </c>
      <c r="P889" s="1" t="s">
        <v>2095</v>
      </c>
      <c r="Q889" s="1"/>
      <c r="R889" s="1"/>
      <c r="S889" s="1" t="s">
        <v>2072</v>
      </c>
      <c r="T889" s="1" t="s">
        <v>3165</v>
      </c>
      <c r="U889" s="4">
        <v>4700000</v>
      </c>
      <c r="V889" s="4">
        <v>4671</v>
      </c>
      <c r="W889" s="4">
        <v>47</v>
      </c>
      <c r="X889" s="4">
        <v>607</v>
      </c>
      <c r="Y889" s="4">
        <v>0</v>
      </c>
      <c r="Z889" s="5">
        <v>5325</v>
      </c>
      <c r="AA889" s="5">
        <v>0</v>
      </c>
      <c r="AB889" s="6">
        <v>0</v>
      </c>
      <c r="AC889" s="4">
        <v>5325</v>
      </c>
      <c r="AD889" s="4">
        <v>0</v>
      </c>
      <c r="AE889" s="4">
        <v>5325</v>
      </c>
      <c r="AF889" s="1"/>
      <c r="AG889" s="1"/>
      <c r="AH889" s="1"/>
      <c r="AI889" s="1" t="s">
        <v>2841</v>
      </c>
      <c r="AJ889" s="6">
        <v>2396.4599999999914</v>
      </c>
      <c r="AK889" s="6">
        <v>826.3</v>
      </c>
      <c r="AL889" s="1"/>
    </row>
    <row r="890" spans="1:38" hidden="1" x14ac:dyDescent="0.25">
      <c r="A890" s="2">
        <v>1179</v>
      </c>
      <c r="B890" s="1" t="s">
        <v>1059</v>
      </c>
      <c r="C890" s="1" t="s">
        <v>1064</v>
      </c>
      <c r="D890" s="1" t="s">
        <v>2062</v>
      </c>
      <c r="E890" s="1" t="s">
        <v>2063</v>
      </c>
      <c r="F890" s="3">
        <v>45390</v>
      </c>
      <c r="G890" s="3">
        <v>45268</v>
      </c>
      <c r="H890" s="3">
        <v>45633</v>
      </c>
      <c r="I890" s="1" t="s">
        <v>3269</v>
      </c>
      <c r="J890" s="1" t="s">
        <v>3270</v>
      </c>
      <c r="K890" s="1"/>
      <c r="L890" s="1" t="s">
        <v>3271</v>
      </c>
      <c r="M890" s="1" t="s">
        <v>3272</v>
      </c>
      <c r="N890" s="1" t="s">
        <v>3273</v>
      </c>
      <c r="O890" s="1" t="s">
        <v>3274</v>
      </c>
      <c r="P890" s="1" t="s">
        <v>2095</v>
      </c>
      <c r="Q890" s="1"/>
      <c r="R890" s="1"/>
      <c r="S890" s="1" t="s">
        <v>2072</v>
      </c>
      <c r="T890" s="1" t="s">
        <v>3165</v>
      </c>
      <c r="U890" s="4">
        <v>4700000</v>
      </c>
      <c r="V890" s="4">
        <v>5997</v>
      </c>
      <c r="W890" s="4">
        <v>60</v>
      </c>
      <c r="X890" s="4">
        <v>779</v>
      </c>
      <c r="Y890" s="4">
        <v>0</v>
      </c>
      <c r="Z890" s="5">
        <v>6836</v>
      </c>
      <c r="AA890" s="5">
        <v>0</v>
      </c>
      <c r="AB890" s="6">
        <v>0</v>
      </c>
      <c r="AC890" s="4">
        <v>6836</v>
      </c>
      <c r="AD890" s="4">
        <v>0</v>
      </c>
      <c r="AE890" s="4">
        <v>6836</v>
      </c>
      <c r="AF890" s="1"/>
      <c r="AG890" s="1"/>
      <c r="AH890" s="1"/>
      <c r="AI890" s="1" t="s">
        <v>2841</v>
      </c>
      <c r="AJ890" s="6">
        <v>2906.0399999999991</v>
      </c>
      <c r="AK890" s="6">
        <v>1061.3399999999999</v>
      </c>
      <c r="AL890" s="1"/>
    </row>
    <row r="891" spans="1:38" hidden="1" x14ac:dyDescent="0.25">
      <c r="A891" s="2">
        <v>1180</v>
      </c>
      <c r="B891" s="1" t="s">
        <v>1059</v>
      </c>
      <c r="C891" s="1" t="s">
        <v>1065</v>
      </c>
      <c r="D891" s="1" t="s">
        <v>2062</v>
      </c>
      <c r="E891" s="1" t="s">
        <v>2063</v>
      </c>
      <c r="F891" s="3">
        <v>45425</v>
      </c>
      <c r="G891" s="3">
        <v>45268</v>
      </c>
      <c r="H891" s="3">
        <v>45633</v>
      </c>
      <c r="I891" s="1" t="s">
        <v>3269</v>
      </c>
      <c r="J891" s="1" t="s">
        <v>3270</v>
      </c>
      <c r="K891" s="1"/>
      <c r="L891" s="1" t="s">
        <v>3271</v>
      </c>
      <c r="M891" s="1" t="s">
        <v>3272</v>
      </c>
      <c r="N891" s="1" t="s">
        <v>3273</v>
      </c>
      <c r="O891" s="1" t="s">
        <v>3274</v>
      </c>
      <c r="P891" s="1" t="s">
        <v>2095</v>
      </c>
      <c r="Q891" s="1"/>
      <c r="R891" s="1"/>
      <c r="S891" s="1" t="s">
        <v>2072</v>
      </c>
      <c r="T891" s="1" t="s">
        <v>3165</v>
      </c>
      <c r="U891" s="4">
        <v>4700000</v>
      </c>
      <c r="V891" s="4">
        <v>4103</v>
      </c>
      <c r="W891" s="4">
        <v>41</v>
      </c>
      <c r="X891" s="4">
        <v>534</v>
      </c>
      <c r="Y891" s="4">
        <v>0</v>
      </c>
      <c r="Z891" s="5">
        <v>4678</v>
      </c>
      <c r="AA891" s="5">
        <v>0</v>
      </c>
      <c r="AB891" s="6">
        <v>0</v>
      </c>
      <c r="AC891" s="4">
        <v>4678</v>
      </c>
      <c r="AD891" s="4">
        <v>0</v>
      </c>
      <c r="AE891" s="4">
        <v>4678</v>
      </c>
      <c r="AF891" s="1"/>
      <c r="AG891" s="1"/>
      <c r="AH891" s="1"/>
      <c r="AI891" s="1" t="s">
        <v>2841</v>
      </c>
      <c r="AJ891" s="6">
        <v>1791.239999999995</v>
      </c>
      <c r="AK891" s="6">
        <v>725.87</v>
      </c>
      <c r="AL891" s="1"/>
    </row>
    <row r="892" spans="1:38" hidden="1" x14ac:dyDescent="0.25">
      <c r="A892" s="2">
        <v>1181</v>
      </c>
      <c r="B892" s="1" t="s">
        <v>1059</v>
      </c>
      <c r="C892" s="1" t="s">
        <v>1066</v>
      </c>
      <c r="D892" s="1" t="s">
        <v>2062</v>
      </c>
      <c r="E892" s="1" t="s">
        <v>2063</v>
      </c>
      <c r="F892" s="3">
        <v>45453</v>
      </c>
      <c r="G892" s="3">
        <v>45268</v>
      </c>
      <c r="H892" s="3">
        <v>45633</v>
      </c>
      <c r="I892" s="1" t="s">
        <v>3269</v>
      </c>
      <c r="J892" s="1" t="s">
        <v>3270</v>
      </c>
      <c r="K892" s="1"/>
      <c r="L892" s="1" t="s">
        <v>3271</v>
      </c>
      <c r="M892" s="1" t="s">
        <v>3272</v>
      </c>
      <c r="N892" s="1" t="s">
        <v>3273</v>
      </c>
      <c r="O892" s="1" t="s">
        <v>3274</v>
      </c>
      <c r="P892" s="1" t="s">
        <v>2095</v>
      </c>
      <c r="Q892" s="1"/>
      <c r="R892" s="1"/>
      <c r="S892" s="1" t="s">
        <v>2072</v>
      </c>
      <c r="T892" s="1" t="s">
        <v>3165</v>
      </c>
      <c r="U892" s="4">
        <v>4700000</v>
      </c>
      <c r="V892" s="4">
        <v>5526</v>
      </c>
      <c r="W892" s="4">
        <v>55</v>
      </c>
      <c r="X892" s="4">
        <v>718</v>
      </c>
      <c r="Y892" s="4">
        <v>0</v>
      </c>
      <c r="Z892" s="5">
        <v>6299</v>
      </c>
      <c r="AA892" s="5">
        <v>0</v>
      </c>
      <c r="AB892" s="6">
        <v>0</v>
      </c>
      <c r="AC892" s="4">
        <v>6299</v>
      </c>
      <c r="AD892" s="4">
        <v>0</v>
      </c>
      <c r="AE892" s="4">
        <v>6299</v>
      </c>
      <c r="AF892" s="1"/>
      <c r="AG892" s="1"/>
      <c r="AH892" s="1"/>
      <c r="AI892" s="1" t="s">
        <v>2841</v>
      </c>
      <c r="AJ892" s="6">
        <v>3285.03</v>
      </c>
      <c r="AK892" s="6">
        <v>977.68</v>
      </c>
      <c r="AL892" s="1"/>
    </row>
    <row r="893" spans="1:38" hidden="1" x14ac:dyDescent="0.25">
      <c r="A893" s="2">
        <v>1182</v>
      </c>
      <c r="B893" s="1" t="s">
        <v>1059</v>
      </c>
      <c r="C893" s="1" t="s">
        <v>1067</v>
      </c>
      <c r="D893" s="1" t="s">
        <v>2062</v>
      </c>
      <c r="E893" s="1" t="s">
        <v>2063</v>
      </c>
      <c r="F893" s="3">
        <v>45482</v>
      </c>
      <c r="G893" s="3">
        <v>45268</v>
      </c>
      <c r="H893" s="3">
        <v>45633</v>
      </c>
      <c r="I893" s="1" t="s">
        <v>3269</v>
      </c>
      <c r="J893" s="1" t="s">
        <v>3270</v>
      </c>
      <c r="K893" s="1"/>
      <c r="L893" s="1" t="s">
        <v>3271</v>
      </c>
      <c r="M893" s="1" t="s">
        <v>3272</v>
      </c>
      <c r="N893" s="1" t="s">
        <v>3273</v>
      </c>
      <c r="O893" s="1" t="s">
        <v>3274</v>
      </c>
      <c r="P893" s="1" t="s">
        <v>2095</v>
      </c>
      <c r="Q893" s="1"/>
      <c r="R893" s="1"/>
      <c r="S893" s="1" t="s">
        <v>2072</v>
      </c>
      <c r="T893" s="1" t="s">
        <v>3165</v>
      </c>
      <c r="U893" s="4">
        <v>4700000</v>
      </c>
      <c r="V893" s="4">
        <v>6454</v>
      </c>
      <c r="W893" s="4">
        <v>65</v>
      </c>
      <c r="X893" s="4">
        <v>968</v>
      </c>
      <c r="Y893" s="4">
        <v>0</v>
      </c>
      <c r="Z893" s="5">
        <v>7487</v>
      </c>
      <c r="AA893" s="5">
        <v>0</v>
      </c>
      <c r="AB893" s="6">
        <v>0</v>
      </c>
      <c r="AC893" s="4">
        <v>7487</v>
      </c>
      <c r="AD893" s="4">
        <v>0</v>
      </c>
      <c r="AE893" s="4">
        <v>7487</v>
      </c>
      <c r="AF893" s="1"/>
      <c r="AG893" s="1"/>
      <c r="AH893" s="1"/>
      <c r="AI893" s="1" t="s">
        <v>2841</v>
      </c>
      <c r="AJ893" s="6">
        <v>2966.4099999999944</v>
      </c>
      <c r="AK893" s="6">
        <v>1162.2699999999991</v>
      </c>
      <c r="AL893" s="1"/>
    </row>
    <row r="894" spans="1:38" hidden="1" x14ac:dyDescent="0.25">
      <c r="A894" s="2">
        <v>1183</v>
      </c>
      <c r="B894" s="1" t="s">
        <v>1059</v>
      </c>
      <c r="C894" s="1" t="s">
        <v>1068</v>
      </c>
      <c r="D894" s="1" t="s">
        <v>2062</v>
      </c>
      <c r="E894" s="1" t="s">
        <v>2063</v>
      </c>
      <c r="F894" s="3">
        <v>45512</v>
      </c>
      <c r="G894" s="3">
        <v>45268</v>
      </c>
      <c r="H894" s="3">
        <v>45633</v>
      </c>
      <c r="I894" s="1" t="s">
        <v>3269</v>
      </c>
      <c r="J894" s="1" t="s">
        <v>3270</v>
      </c>
      <c r="K894" s="1"/>
      <c r="L894" s="1" t="s">
        <v>3271</v>
      </c>
      <c r="M894" s="1" t="s">
        <v>3272</v>
      </c>
      <c r="N894" s="1" t="s">
        <v>3273</v>
      </c>
      <c r="O894" s="1" t="s">
        <v>3274</v>
      </c>
      <c r="P894" s="1" t="s">
        <v>2095</v>
      </c>
      <c r="Q894" s="1"/>
      <c r="R894" s="1"/>
      <c r="S894" s="1" t="s">
        <v>2072</v>
      </c>
      <c r="T894" s="1" t="s">
        <v>3165</v>
      </c>
      <c r="U894" s="4">
        <v>4700000</v>
      </c>
      <c r="V894" s="4">
        <v>6259</v>
      </c>
      <c r="W894" s="4">
        <v>63</v>
      </c>
      <c r="X894" s="4">
        <v>939</v>
      </c>
      <c r="Y894" s="4">
        <v>0</v>
      </c>
      <c r="Z894" s="5">
        <v>7261</v>
      </c>
      <c r="AA894" s="5">
        <v>0</v>
      </c>
      <c r="AB894" s="6">
        <v>0</v>
      </c>
      <c r="AC894" s="4">
        <v>7261</v>
      </c>
      <c r="AD894" s="4">
        <v>0</v>
      </c>
      <c r="AE894" s="4">
        <v>7261</v>
      </c>
      <c r="AF894" s="1"/>
      <c r="AG894" s="1"/>
      <c r="AH894" s="1"/>
      <c r="AI894" s="1" t="s">
        <v>2841</v>
      </c>
      <c r="AJ894" s="6">
        <v>2737.6399999999981</v>
      </c>
      <c r="AK894" s="6">
        <v>1127.1400000000001</v>
      </c>
      <c r="AL894" s="1"/>
    </row>
    <row r="895" spans="1:38" hidden="1" x14ac:dyDescent="0.25">
      <c r="A895" s="2">
        <v>1184</v>
      </c>
      <c r="B895" s="1" t="s">
        <v>1059</v>
      </c>
      <c r="C895" s="1" t="s">
        <v>1069</v>
      </c>
      <c r="D895" s="1" t="s">
        <v>2062</v>
      </c>
      <c r="E895" s="1" t="s">
        <v>2063</v>
      </c>
      <c r="F895" s="3">
        <v>45546</v>
      </c>
      <c r="G895" s="3">
        <v>45268</v>
      </c>
      <c r="H895" s="3">
        <v>45633</v>
      </c>
      <c r="I895" s="1" t="s">
        <v>3269</v>
      </c>
      <c r="J895" s="1" t="s">
        <v>3270</v>
      </c>
      <c r="K895" s="1"/>
      <c r="L895" s="1" t="s">
        <v>3271</v>
      </c>
      <c r="M895" s="1" t="s">
        <v>3272</v>
      </c>
      <c r="N895" s="1" t="s">
        <v>3273</v>
      </c>
      <c r="O895" s="1" t="s">
        <v>3274</v>
      </c>
      <c r="P895" s="1" t="s">
        <v>2095</v>
      </c>
      <c r="Q895" s="1"/>
      <c r="R895" s="1"/>
      <c r="S895" s="1" t="s">
        <v>2072</v>
      </c>
      <c r="T895" s="1" t="s">
        <v>3165</v>
      </c>
      <c r="U895" s="4">
        <v>4700000</v>
      </c>
      <c r="V895" s="4">
        <v>5633</v>
      </c>
      <c r="W895" s="4">
        <v>56</v>
      </c>
      <c r="X895" s="4">
        <v>845</v>
      </c>
      <c r="Y895" s="4">
        <v>0</v>
      </c>
      <c r="Z895" s="5">
        <v>6534</v>
      </c>
      <c r="AA895" s="5">
        <v>0</v>
      </c>
      <c r="AB895" s="6">
        <v>0</v>
      </c>
      <c r="AC895" s="4">
        <v>6534</v>
      </c>
      <c r="AD895" s="4">
        <v>0</v>
      </c>
      <c r="AE895" s="4">
        <v>6534</v>
      </c>
      <c r="AF895" s="1"/>
      <c r="AG895" s="1"/>
      <c r="AH895" s="1"/>
      <c r="AI895" s="1" t="s">
        <v>2841</v>
      </c>
      <c r="AJ895" s="6">
        <v>2263.949999999998</v>
      </c>
      <c r="AK895" s="6">
        <v>1014.45</v>
      </c>
      <c r="AL895" s="1"/>
    </row>
    <row r="896" spans="1:38" hidden="1" x14ac:dyDescent="0.25">
      <c r="A896" s="2">
        <v>1185</v>
      </c>
      <c r="B896" s="1" t="s">
        <v>1059</v>
      </c>
      <c r="C896" s="1" t="s">
        <v>1070</v>
      </c>
      <c r="D896" s="1" t="s">
        <v>2062</v>
      </c>
      <c r="E896" s="1" t="s">
        <v>2063</v>
      </c>
      <c r="F896" s="3">
        <v>45579</v>
      </c>
      <c r="G896" s="3">
        <v>45268</v>
      </c>
      <c r="H896" s="3">
        <v>45633</v>
      </c>
      <c r="I896" s="1" t="s">
        <v>3269</v>
      </c>
      <c r="J896" s="1" t="s">
        <v>3270</v>
      </c>
      <c r="K896" s="1"/>
      <c r="L896" s="1" t="s">
        <v>3271</v>
      </c>
      <c r="M896" s="1" t="s">
        <v>3272</v>
      </c>
      <c r="N896" s="1" t="s">
        <v>3273</v>
      </c>
      <c r="O896" s="1" t="s">
        <v>3274</v>
      </c>
      <c r="P896" s="1" t="s">
        <v>2095</v>
      </c>
      <c r="Q896" s="1"/>
      <c r="R896" s="1"/>
      <c r="S896" s="1" t="s">
        <v>2072</v>
      </c>
      <c r="T896" s="1" t="s">
        <v>3165</v>
      </c>
      <c r="U896" s="4">
        <v>4700000</v>
      </c>
      <c r="V896" s="4">
        <v>5007</v>
      </c>
      <c r="W896" s="4">
        <v>50</v>
      </c>
      <c r="X896" s="4">
        <v>751</v>
      </c>
      <c r="Y896" s="4">
        <v>0</v>
      </c>
      <c r="Z896" s="5">
        <v>5808</v>
      </c>
      <c r="AA896" s="5">
        <v>0</v>
      </c>
      <c r="AB896" s="6">
        <v>0</v>
      </c>
      <c r="AC896" s="4">
        <v>5808</v>
      </c>
      <c r="AD896" s="4">
        <v>0</v>
      </c>
      <c r="AE896" s="4">
        <v>5808</v>
      </c>
      <c r="AF896" s="1"/>
      <c r="AG896" s="1"/>
      <c r="AH896" s="1"/>
      <c r="AI896" s="1" t="s">
        <v>2841</v>
      </c>
      <c r="AJ896" s="6">
        <v>2572.0699999999979</v>
      </c>
      <c r="AK896" s="6">
        <v>901.58</v>
      </c>
      <c r="AL896" s="1"/>
    </row>
    <row r="897" spans="1:38" hidden="1" x14ac:dyDescent="0.25">
      <c r="A897" s="2">
        <v>1186</v>
      </c>
      <c r="B897" s="1" t="s">
        <v>1059</v>
      </c>
      <c r="C897" s="1" t="s">
        <v>1071</v>
      </c>
      <c r="D897" s="1" t="s">
        <v>2062</v>
      </c>
      <c r="E897" s="1" t="s">
        <v>2063</v>
      </c>
      <c r="F897" s="3">
        <v>45607</v>
      </c>
      <c r="G897" s="3">
        <v>45268</v>
      </c>
      <c r="H897" s="3">
        <v>45633</v>
      </c>
      <c r="I897" s="1" t="s">
        <v>3269</v>
      </c>
      <c r="J897" s="1" t="s">
        <v>3270</v>
      </c>
      <c r="K897" s="1"/>
      <c r="L897" s="1" t="s">
        <v>3271</v>
      </c>
      <c r="M897" s="1" t="s">
        <v>3272</v>
      </c>
      <c r="N897" s="1" t="s">
        <v>3273</v>
      </c>
      <c r="O897" s="1" t="s">
        <v>3274</v>
      </c>
      <c r="P897" s="1" t="s">
        <v>2095</v>
      </c>
      <c r="Q897" s="1"/>
      <c r="R897" s="1"/>
      <c r="S897" s="1" t="s">
        <v>2072</v>
      </c>
      <c r="T897" s="1" t="s">
        <v>3165</v>
      </c>
      <c r="U897" s="4">
        <v>4700000</v>
      </c>
      <c r="V897" s="4">
        <v>3233</v>
      </c>
      <c r="W897" s="4">
        <v>32</v>
      </c>
      <c r="X897" s="4">
        <v>485</v>
      </c>
      <c r="Y897" s="4">
        <v>0</v>
      </c>
      <c r="Z897" s="5">
        <v>3750</v>
      </c>
      <c r="AA897" s="5">
        <v>0</v>
      </c>
      <c r="AB897" s="6">
        <v>0</v>
      </c>
      <c r="AC897" s="4">
        <v>3750</v>
      </c>
      <c r="AD897" s="4">
        <v>0</v>
      </c>
      <c r="AE897" s="4">
        <v>3750</v>
      </c>
      <c r="AF897" s="1"/>
      <c r="AG897" s="1"/>
      <c r="AH897" s="1"/>
      <c r="AI897" s="1" t="s">
        <v>2841</v>
      </c>
      <c r="AJ897" s="6">
        <v>1781.0099999999991</v>
      </c>
      <c r="AK897" s="6">
        <v>582.23</v>
      </c>
      <c r="AL897" s="1"/>
    </row>
    <row r="898" spans="1:38" hidden="1" x14ac:dyDescent="0.25">
      <c r="A898" s="2">
        <v>1187</v>
      </c>
      <c r="B898" s="1" t="s">
        <v>1059</v>
      </c>
      <c r="C898" s="1" t="s">
        <v>1072</v>
      </c>
      <c r="D898" s="1" t="s">
        <v>2062</v>
      </c>
      <c r="E898" s="1" t="s">
        <v>2063</v>
      </c>
      <c r="F898" s="3">
        <v>45655</v>
      </c>
      <c r="G898" s="3">
        <v>45268</v>
      </c>
      <c r="H898" s="3">
        <v>45633</v>
      </c>
      <c r="I898" s="1" t="s">
        <v>3269</v>
      </c>
      <c r="J898" s="1" t="s">
        <v>3270</v>
      </c>
      <c r="K898" s="1"/>
      <c r="L898" s="1" t="s">
        <v>3271</v>
      </c>
      <c r="M898" s="1" t="s">
        <v>3272</v>
      </c>
      <c r="N898" s="1" t="s">
        <v>3273</v>
      </c>
      <c r="O898" s="1" t="s">
        <v>3274</v>
      </c>
      <c r="P898" s="1" t="s">
        <v>2095</v>
      </c>
      <c r="Q898" s="1"/>
      <c r="R898" s="1"/>
      <c r="S898" s="1" t="s">
        <v>2072</v>
      </c>
      <c r="T898" s="1" t="s">
        <v>3165</v>
      </c>
      <c r="U898" s="4">
        <v>-1</v>
      </c>
      <c r="V898" s="4">
        <v>-151825</v>
      </c>
      <c r="W898" s="4">
        <v>-1518</v>
      </c>
      <c r="X898" s="4">
        <v>0</v>
      </c>
      <c r="Y898" s="4">
        <v>0</v>
      </c>
      <c r="Z898" s="5">
        <v>-153343</v>
      </c>
      <c r="AA898" s="5">
        <v>0</v>
      </c>
      <c r="AB898" s="6">
        <v>0</v>
      </c>
      <c r="AC898" s="4">
        <v>-153343</v>
      </c>
      <c r="AD898" s="4">
        <v>0</v>
      </c>
      <c r="AE898" s="4">
        <v>-153343</v>
      </c>
      <c r="AF898" s="1"/>
      <c r="AG898" s="1"/>
      <c r="AH898" s="1"/>
      <c r="AI898" s="1" t="s">
        <v>2841</v>
      </c>
      <c r="AJ898" s="1"/>
      <c r="AK898" s="1"/>
      <c r="AL898" s="1"/>
    </row>
    <row r="899" spans="1:38" hidden="1" x14ac:dyDescent="0.25">
      <c r="A899" s="2">
        <v>1188</v>
      </c>
      <c r="B899" s="1" t="s">
        <v>1073</v>
      </c>
      <c r="C899" s="1" t="s">
        <v>1074</v>
      </c>
      <c r="D899" s="1" t="s">
        <v>2062</v>
      </c>
      <c r="E899" s="1" t="s">
        <v>2063</v>
      </c>
      <c r="F899" s="3">
        <v>45289</v>
      </c>
      <c r="G899" s="3">
        <v>45272</v>
      </c>
      <c r="H899" s="3">
        <v>45637</v>
      </c>
      <c r="I899" s="1" t="s">
        <v>3275</v>
      </c>
      <c r="J899" s="1" t="s">
        <v>3276</v>
      </c>
      <c r="K899" s="1"/>
      <c r="L899" s="1" t="s">
        <v>2925</v>
      </c>
      <c r="M899" s="1" t="s">
        <v>3277</v>
      </c>
      <c r="N899" s="1" t="s">
        <v>3278</v>
      </c>
      <c r="O899" s="1" t="s">
        <v>3279</v>
      </c>
      <c r="P899" s="1" t="s">
        <v>2182</v>
      </c>
      <c r="Q899" s="1"/>
      <c r="R899" s="1"/>
      <c r="S899" s="1" t="s">
        <v>2072</v>
      </c>
      <c r="T899" s="1" t="s">
        <v>3165</v>
      </c>
      <c r="U899" s="4">
        <v>6000000</v>
      </c>
      <c r="V899" s="4">
        <v>100876</v>
      </c>
      <c r="W899" s="4">
        <v>1009</v>
      </c>
      <c r="X899" s="4">
        <v>13115</v>
      </c>
      <c r="Y899" s="4">
        <v>0</v>
      </c>
      <c r="Z899" s="5">
        <v>115000</v>
      </c>
      <c r="AA899" s="5">
        <v>0</v>
      </c>
      <c r="AB899" s="6">
        <v>0</v>
      </c>
      <c r="AC899" s="4">
        <v>115000</v>
      </c>
      <c r="AD899" s="4">
        <v>0</v>
      </c>
      <c r="AE899" s="4">
        <v>115000</v>
      </c>
      <c r="AF899" s="1"/>
      <c r="AG899" s="1"/>
      <c r="AH899" s="1"/>
      <c r="AI899" s="1" t="s">
        <v>2327</v>
      </c>
      <c r="AJ899" s="1"/>
      <c r="AK899" s="1"/>
      <c r="AL899" s="1"/>
    </row>
    <row r="900" spans="1:38" hidden="1" x14ac:dyDescent="0.25">
      <c r="A900" s="2">
        <v>1189</v>
      </c>
      <c r="B900" s="1" t="s">
        <v>1073</v>
      </c>
      <c r="C900" s="1" t="s">
        <v>1075</v>
      </c>
      <c r="D900" s="1" t="s">
        <v>2062</v>
      </c>
      <c r="E900" s="1" t="s">
        <v>2063</v>
      </c>
      <c r="F900" s="3">
        <v>45396</v>
      </c>
      <c r="G900" s="3">
        <v>45272</v>
      </c>
      <c r="H900" s="3">
        <v>45637</v>
      </c>
      <c r="I900" s="1" t="s">
        <v>3275</v>
      </c>
      <c r="J900" s="1" t="s">
        <v>3276</v>
      </c>
      <c r="K900" s="1"/>
      <c r="L900" s="1" t="s">
        <v>2925</v>
      </c>
      <c r="M900" s="1" t="s">
        <v>3277</v>
      </c>
      <c r="N900" s="1" t="s">
        <v>3278</v>
      </c>
      <c r="O900" s="1" t="s">
        <v>3279</v>
      </c>
      <c r="P900" s="1" t="s">
        <v>2182</v>
      </c>
      <c r="Q900" s="1"/>
      <c r="R900" s="1"/>
      <c r="S900" s="1" t="s">
        <v>2072</v>
      </c>
      <c r="T900" s="1" t="s">
        <v>3165</v>
      </c>
      <c r="U900" s="4">
        <v>6000000</v>
      </c>
      <c r="V900" s="4">
        <v>7140</v>
      </c>
      <c r="W900" s="4">
        <v>71</v>
      </c>
      <c r="X900" s="4">
        <v>928</v>
      </c>
      <c r="Y900" s="4">
        <v>0</v>
      </c>
      <c r="Z900" s="5">
        <v>8139</v>
      </c>
      <c r="AA900" s="5">
        <v>0</v>
      </c>
      <c r="AB900" s="6">
        <v>0</v>
      </c>
      <c r="AC900" s="4">
        <v>8139</v>
      </c>
      <c r="AD900" s="4">
        <v>0</v>
      </c>
      <c r="AE900" s="4">
        <v>8139</v>
      </c>
      <c r="AF900" s="1"/>
      <c r="AG900" s="1"/>
      <c r="AH900" s="1"/>
      <c r="AI900" s="1" t="s">
        <v>2327</v>
      </c>
      <c r="AJ900" s="6">
        <v>1022.87</v>
      </c>
      <c r="AK900" s="6">
        <v>990.40000000000009</v>
      </c>
      <c r="AL900" s="1"/>
    </row>
    <row r="901" spans="1:38" hidden="1" x14ac:dyDescent="0.25">
      <c r="A901" s="2">
        <v>1190</v>
      </c>
      <c r="B901" s="1" t="s">
        <v>1073</v>
      </c>
      <c r="C901" s="1" t="s">
        <v>1076</v>
      </c>
      <c r="D901" s="1" t="s">
        <v>2062</v>
      </c>
      <c r="E901" s="1" t="s">
        <v>2063</v>
      </c>
      <c r="F901" s="3">
        <v>45425</v>
      </c>
      <c r="G901" s="3">
        <v>45272</v>
      </c>
      <c r="H901" s="3">
        <v>45637</v>
      </c>
      <c r="I901" s="1" t="s">
        <v>3275</v>
      </c>
      <c r="J901" s="1" t="s">
        <v>3276</v>
      </c>
      <c r="K901" s="1"/>
      <c r="L901" s="1" t="s">
        <v>2925</v>
      </c>
      <c r="M901" s="1" t="s">
        <v>3277</v>
      </c>
      <c r="N901" s="1" t="s">
        <v>3278</v>
      </c>
      <c r="O901" s="1" t="s">
        <v>3279</v>
      </c>
      <c r="P901" s="1" t="s">
        <v>2182</v>
      </c>
      <c r="Q901" s="1"/>
      <c r="R901" s="1"/>
      <c r="S901" s="1" t="s">
        <v>2072</v>
      </c>
      <c r="T901" s="1" t="s">
        <v>3165</v>
      </c>
      <c r="U901" s="4">
        <v>6000000</v>
      </c>
      <c r="V901" s="4">
        <v>4503</v>
      </c>
      <c r="W901" s="4">
        <v>46</v>
      </c>
      <c r="X901" s="4">
        <v>586</v>
      </c>
      <c r="Y901" s="4">
        <v>0</v>
      </c>
      <c r="Z901" s="5">
        <v>5135</v>
      </c>
      <c r="AA901" s="5">
        <v>0</v>
      </c>
      <c r="AB901" s="6">
        <v>0</v>
      </c>
      <c r="AC901" s="4">
        <v>5135</v>
      </c>
      <c r="AD901" s="4">
        <v>0</v>
      </c>
      <c r="AE901" s="4">
        <v>5135</v>
      </c>
      <c r="AF901" s="1"/>
      <c r="AG901" s="1"/>
      <c r="AH901" s="1"/>
      <c r="AI901" s="1" t="s">
        <v>2327</v>
      </c>
      <c r="AJ901" s="6">
        <v>1430.1100000000013</v>
      </c>
      <c r="AK901" s="6">
        <v>624.80000000000007</v>
      </c>
      <c r="AL901" s="1"/>
    </row>
    <row r="902" spans="1:38" hidden="1" x14ac:dyDescent="0.25">
      <c r="A902" s="2">
        <v>1191</v>
      </c>
      <c r="B902" s="1" t="s">
        <v>1073</v>
      </c>
      <c r="C902" s="1" t="s">
        <v>1077</v>
      </c>
      <c r="D902" s="1" t="s">
        <v>2062</v>
      </c>
      <c r="E902" s="1" t="s">
        <v>2063</v>
      </c>
      <c r="F902" s="3">
        <v>45455</v>
      </c>
      <c r="G902" s="3">
        <v>45272</v>
      </c>
      <c r="H902" s="3">
        <v>45637</v>
      </c>
      <c r="I902" s="1" t="s">
        <v>3275</v>
      </c>
      <c r="J902" s="1" t="s">
        <v>3276</v>
      </c>
      <c r="K902" s="1"/>
      <c r="L902" s="1" t="s">
        <v>2925</v>
      </c>
      <c r="M902" s="1" t="s">
        <v>3277</v>
      </c>
      <c r="N902" s="1" t="s">
        <v>3278</v>
      </c>
      <c r="O902" s="1" t="s">
        <v>3279</v>
      </c>
      <c r="P902" s="1" t="s">
        <v>2182</v>
      </c>
      <c r="Q902" s="1"/>
      <c r="R902" s="1"/>
      <c r="S902" s="1" t="s">
        <v>2072</v>
      </c>
      <c r="T902" s="1" t="s">
        <v>3165</v>
      </c>
      <c r="U902" s="4">
        <v>6000000</v>
      </c>
      <c r="V902" s="4">
        <v>5905</v>
      </c>
      <c r="W902" s="4">
        <v>59</v>
      </c>
      <c r="X902" s="4">
        <v>767</v>
      </c>
      <c r="Y902" s="4">
        <v>0</v>
      </c>
      <c r="Z902" s="5">
        <v>6731</v>
      </c>
      <c r="AA902" s="5">
        <v>0</v>
      </c>
      <c r="AB902" s="6">
        <v>0</v>
      </c>
      <c r="AC902" s="4">
        <v>6731</v>
      </c>
      <c r="AD902" s="4">
        <v>0</v>
      </c>
      <c r="AE902" s="4">
        <v>6731</v>
      </c>
      <c r="AF902" s="1"/>
      <c r="AG902" s="1"/>
      <c r="AH902" s="1"/>
      <c r="AI902" s="1" t="s">
        <v>2327</v>
      </c>
      <c r="AJ902" s="6">
        <v>818.76</v>
      </c>
      <c r="AK902" s="6">
        <v>818.76</v>
      </c>
      <c r="AL902" s="1"/>
    </row>
    <row r="903" spans="1:38" hidden="1" x14ac:dyDescent="0.25">
      <c r="A903" s="2">
        <v>1192</v>
      </c>
      <c r="B903" s="1" t="s">
        <v>1073</v>
      </c>
      <c r="C903" s="1" t="s">
        <v>1078</v>
      </c>
      <c r="D903" s="1" t="s">
        <v>2062</v>
      </c>
      <c r="E903" s="1" t="s">
        <v>2063</v>
      </c>
      <c r="F903" s="3">
        <v>45486</v>
      </c>
      <c r="G903" s="3">
        <v>45272</v>
      </c>
      <c r="H903" s="3">
        <v>45637</v>
      </c>
      <c r="I903" s="1" t="s">
        <v>3275</v>
      </c>
      <c r="J903" s="1" t="s">
        <v>3276</v>
      </c>
      <c r="K903" s="1"/>
      <c r="L903" s="1" t="s">
        <v>2925</v>
      </c>
      <c r="M903" s="1" t="s">
        <v>3277</v>
      </c>
      <c r="N903" s="1" t="s">
        <v>3278</v>
      </c>
      <c r="O903" s="1" t="s">
        <v>3279</v>
      </c>
      <c r="P903" s="1" t="s">
        <v>2182</v>
      </c>
      <c r="Q903" s="1"/>
      <c r="R903" s="1"/>
      <c r="S903" s="1" t="s">
        <v>2072</v>
      </c>
      <c r="T903" s="1" t="s">
        <v>3165</v>
      </c>
      <c r="U903" s="4">
        <v>6000000</v>
      </c>
      <c r="V903" s="4">
        <v>5578</v>
      </c>
      <c r="W903" s="4">
        <v>56</v>
      </c>
      <c r="X903" s="4">
        <v>837</v>
      </c>
      <c r="Y903" s="4">
        <v>0</v>
      </c>
      <c r="Z903" s="5">
        <v>6471</v>
      </c>
      <c r="AA903" s="5">
        <v>0</v>
      </c>
      <c r="AB903" s="6">
        <v>0</v>
      </c>
      <c r="AC903" s="4">
        <v>6471</v>
      </c>
      <c r="AD903" s="4">
        <v>0</v>
      </c>
      <c r="AE903" s="4">
        <v>6471</v>
      </c>
      <c r="AF903" s="1"/>
      <c r="AG903" s="1"/>
      <c r="AH903" s="1"/>
      <c r="AI903" s="1" t="s">
        <v>2327</v>
      </c>
      <c r="AJ903" s="6">
        <v>881.1600000000002</v>
      </c>
      <c r="AK903" s="6">
        <v>787.21</v>
      </c>
      <c r="AL903" s="1"/>
    </row>
    <row r="904" spans="1:38" hidden="1" x14ac:dyDescent="0.25">
      <c r="A904" s="2">
        <v>1193</v>
      </c>
      <c r="B904" s="1" t="s">
        <v>1073</v>
      </c>
      <c r="C904" s="1" t="s">
        <v>1079</v>
      </c>
      <c r="D904" s="1" t="s">
        <v>2062</v>
      </c>
      <c r="E904" s="1" t="s">
        <v>2063</v>
      </c>
      <c r="F904" s="3">
        <v>45517</v>
      </c>
      <c r="G904" s="3">
        <v>45272</v>
      </c>
      <c r="H904" s="3">
        <v>45637</v>
      </c>
      <c r="I904" s="1" t="s">
        <v>3275</v>
      </c>
      <c r="J904" s="1" t="s">
        <v>3276</v>
      </c>
      <c r="K904" s="1"/>
      <c r="L904" s="1" t="s">
        <v>2925</v>
      </c>
      <c r="M904" s="1" t="s">
        <v>3277</v>
      </c>
      <c r="N904" s="1" t="s">
        <v>3278</v>
      </c>
      <c r="O904" s="1" t="s">
        <v>3279</v>
      </c>
      <c r="P904" s="1" t="s">
        <v>2182</v>
      </c>
      <c r="Q904" s="1"/>
      <c r="R904" s="1"/>
      <c r="S904" s="1" t="s">
        <v>2072</v>
      </c>
      <c r="T904" s="1" t="s">
        <v>3165</v>
      </c>
      <c r="U904" s="4">
        <v>6000000</v>
      </c>
      <c r="V904" s="4">
        <v>6017</v>
      </c>
      <c r="W904" s="4">
        <v>60</v>
      </c>
      <c r="X904" s="4">
        <v>902</v>
      </c>
      <c r="Y904" s="4">
        <v>0</v>
      </c>
      <c r="Z904" s="5">
        <v>6979</v>
      </c>
      <c r="AA904" s="5">
        <v>0</v>
      </c>
      <c r="AB904" s="6">
        <v>0</v>
      </c>
      <c r="AC904" s="4">
        <v>6979</v>
      </c>
      <c r="AD904" s="4">
        <v>0</v>
      </c>
      <c r="AE904" s="4">
        <v>6979</v>
      </c>
      <c r="AF904" s="1"/>
      <c r="AG904" s="1"/>
      <c r="AH904" s="1"/>
      <c r="AI904" s="1" t="s">
        <v>2327</v>
      </c>
      <c r="AJ904" s="6">
        <v>900.65000000000009</v>
      </c>
      <c r="AK904" s="6">
        <v>848.88</v>
      </c>
      <c r="AL904" s="1"/>
    </row>
    <row r="905" spans="1:38" hidden="1" x14ac:dyDescent="0.25">
      <c r="A905" s="2">
        <v>1194</v>
      </c>
      <c r="B905" s="1" t="s">
        <v>1073</v>
      </c>
      <c r="C905" s="1" t="s">
        <v>1080</v>
      </c>
      <c r="D905" s="1" t="s">
        <v>2062</v>
      </c>
      <c r="E905" s="1" t="s">
        <v>2063</v>
      </c>
      <c r="F905" s="3">
        <v>45549</v>
      </c>
      <c r="G905" s="3">
        <v>45272</v>
      </c>
      <c r="H905" s="3">
        <v>45637</v>
      </c>
      <c r="I905" s="1" t="s">
        <v>3275</v>
      </c>
      <c r="J905" s="1" t="s">
        <v>3276</v>
      </c>
      <c r="K905" s="1"/>
      <c r="L905" s="1" t="s">
        <v>2925</v>
      </c>
      <c r="M905" s="1" t="s">
        <v>3277</v>
      </c>
      <c r="N905" s="1" t="s">
        <v>3278</v>
      </c>
      <c r="O905" s="1" t="s">
        <v>3279</v>
      </c>
      <c r="P905" s="1" t="s">
        <v>2182</v>
      </c>
      <c r="Q905" s="1"/>
      <c r="R905" s="1"/>
      <c r="S905" s="1" t="s">
        <v>2072</v>
      </c>
      <c r="T905" s="1" t="s">
        <v>3165</v>
      </c>
      <c r="U905" s="4">
        <v>6000000</v>
      </c>
      <c r="V905" s="4">
        <v>4011</v>
      </c>
      <c r="W905" s="4">
        <v>40</v>
      </c>
      <c r="X905" s="4">
        <v>602</v>
      </c>
      <c r="Y905" s="4">
        <v>0</v>
      </c>
      <c r="Z905" s="5">
        <v>4653</v>
      </c>
      <c r="AA905" s="5">
        <v>0</v>
      </c>
      <c r="AB905" s="6">
        <v>0</v>
      </c>
      <c r="AC905" s="4">
        <v>4653</v>
      </c>
      <c r="AD905" s="4">
        <v>0</v>
      </c>
      <c r="AE905" s="4">
        <v>4653</v>
      </c>
      <c r="AF905" s="1"/>
      <c r="AG905" s="1"/>
      <c r="AH905" s="1"/>
      <c r="AI905" s="1" t="s">
        <v>2327</v>
      </c>
      <c r="AJ905" s="6">
        <v>593.48</v>
      </c>
      <c r="AK905" s="6">
        <v>566.18000000000006</v>
      </c>
      <c r="AL905" s="1"/>
    </row>
    <row r="906" spans="1:38" hidden="1" x14ac:dyDescent="0.25">
      <c r="A906" s="2">
        <v>1195</v>
      </c>
      <c r="B906" s="1" t="s">
        <v>1073</v>
      </c>
      <c r="C906" s="1" t="s">
        <v>1081</v>
      </c>
      <c r="D906" s="1" t="s">
        <v>2062</v>
      </c>
      <c r="E906" s="1" t="s">
        <v>2063</v>
      </c>
      <c r="F906" s="3">
        <v>45579</v>
      </c>
      <c r="G906" s="3">
        <v>45272</v>
      </c>
      <c r="H906" s="3">
        <v>45637</v>
      </c>
      <c r="I906" s="1" t="s">
        <v>3275</v>
      </c>
      <c r="J906" s="1" t="s">
        <v>3276</v>
      </c>
      <c r="K906" s="1"/>
      <c r="L906" s="1" t="s">
        <v>2925</v>
      </c>
      <c r="M906" s="1" t="s">
        <v>3277</v>
      </c>
      <c r="N906" s="1" t="s">
        <v>3278</v>
      </c>
      <c r="O906" s="1" t="s">
        <v>3279</v>
      </c>
      <c r="P906" s="1" t="s">
        <v>2182</v>
      </c>
      <c r="Q906" s="1"/>
      <c r="R906" s="1"/>
      <c r="S906" s="1" t="s">
        <v>2072</v>
      </c>
      <c r="T906" s="1" t="s">
        <v>3165</v>
      </c>
      <c r="U906" s="4">
        <v>6000000</v>
      </c>
      <c r="V906" s="4">
        <v>4749</v>
      </c>
      <c r="W906" s="4">
        <v>47</v>
      </c>
      <c r="X906" s="4">
        <v>712</v>
      </c>
      <c r="Y906" s="4">
        <v>0</v>
      </c>
      <c r="Z906" s="5">
        <v>5508</v>
      </c>
      <c r="AA906" s="5">
        <v>0</v>
      </c>
      <c r="AB906" s="6">
        <v>0</v>
      </c>
      <c r="AC906" s="4">
        <v>5508</v>
      </c>
      <c r="AD906" s="4">
        <v>0</v>
      </c>
      <c r="AE906" s="4">
        <v>5508</v>
      </c>
      <c r="AF906" s="1"/>
      <c r="AG906" s="1"/>
      <c r="AH906" s="1"/>
      <c r="AI906" s="1" t="s">
        <v>2327</v>
      </c>
      <c r="AJ906" s="6">
        <v>683.7800000000002</v>
      </c>
      <c r="AK906" s="6">
        <v>670.21</v>
      </c>
      <c r="AL906" s="1"/>
    </row>
    <row r="907" spans="1:38" hidden="1" x14ac:dyDescent="0.25">
      <c r="A907" s="2">
        <v>1196</v>
      </c>
      <c r="B907" s="1" t="s">
        <v>1073</v>
      </c>
      <c r="C907" s="1" t="s">
        <v>1082</v>
      </c>
      <c r="D907" s="1" t="s">
        <v>2062</v>
      </c>
      <c r="E907" s="1" t="s">
        <v>2063</v>
      </c>
      <c r="F907" s="3">
        <v>45609</v>
      </c>
      <c r="G907" s="3">
        <v>45272</v>
      </c>
      <c r="H907" s="3">
        <v>45637</v>
      </c>
      <c r="I907" s="1" t="s">
        <v>3275</v>
      </c>
      <c r="J907" s="1" t="s">
        <v>3276</v>
      </c>
      <c r="K907" s="1"/>
      <c r="L907" s="1" t="s">
        <v>2925</v>
      </c>
      <c r="M907" s="1" t="s">
        <v>3277</v>
      </c>
      <c r="N907" s="1" t="s">
        <v>3278</v>
      </c>
      <c r="O907" s="1" t="s">
        <v>3279</v>
      </c>
      <c r="P907" s="1" t="s">
        <v>2182</v>
      </c>
      <c r="Q907" s="1"/>
      <c r="R907" s="1"/>
      <c r="S907" s="1" t="s">
        <v>2072</v>
      </c>
      <c r="T907" s="1" t="s">
        <v>3165</v>
      </c>
      <c r="U907" s="4">
        <v>6000000</v>
      </c>
      <c r="V907" s="4">
        <v>5446</v>
      </c>
      <c r="W907" s="4">
        <v>54</v>
      </c>
      <c r="X907" s="4">
        <v>817</v>
      </c>
      <c r="Y907" s="4">
        <v>0</v>
      </c>
      <c r="Z907" s="5">
        <v>6317</v>
      </c>
      <c r="AA907" s="5">
        <v>0</v>
      </c>
      <c r="AB907" s="6">
        <v>0</v>
      </c>
      <c r="AC907" s="4">
        <v>6317</v>
      </c>
      <c r="AD907" s="4">
        <v>0</v>
      </c>
      <c r="AE907" s="4">
        <v>6317</v>
      </c>
      <c r="AF907" s="1"/>
      <c r="AG907" s="1"/>
      <c r="AH907" s="1"/>
      <c r="AI907" s="1" t="s">
        <v>2327</v>
      </c>
      <c r="AJ907" s="6">
        <v>1482.6100000000033</v>
      </c>
      <c r="AK907" s="6">
        <v>768.55</v>
      </c>
      <c r="AL907" s="1"/>
    </row>
    <row r="908" spans="1:38" hidden="1" x14ac:dyDescent="0.25">
      <c r="A908" s="2">
        <v>1197</v>
      </c>
      <c r="B908" s="1" t="s">
        <v>1073</v>
      </c>
      <c r="C908" s="1" t="s">
        <v>1083</v>
      </c>
      <c r="D908" s="1" t="s">
        <v>2062</v>
      </c>
      <c r="E908" s="1" t="s">
        <v>2063</v>
      </c>
      <c r="F908" s="3">
        <v>45655</v>
      </c>
      <c r="G908" s="3">
        <v>45272</v>
      </c>
      <c r="H908" s="3">
        <v>45637</v>
      </c>
      <c r="I908" s="1" t="s">
        <v>3275</v>
      </c>
      <c r="J908" s="1" t="s">
        <v>3276</v>
      </c>
      <c r="K908" s="1"/>
      <c r="L908" s="1" t="s">
        <v>2925</v>
      </c>
      <c r="M908" s="1" t="s">
        <v>3277</v>
      </c>
      <c r="N908" s="1" t="s">
        <v>3278</v>
      </c>
      <c r="O908" s="1" t="s">
        <v>3279</v>
      </c>
      <c r="P908" s="1" t="s">
        <v>2182</v>
      </c>
      <c r="Q908" s="1"/>
      <c r="R908" s="1"/>
      <c r="S908" s="1" t="s">
        <v>2072</v>
      </c>
      <c r="T908" s="1" t="s">
        <v>3165</v>
      </c>
      <c r="U908" s="4">
        <v>-1</v>
      </c>
      <c r="V908" s="4">
        <v>-163300</v>
      </c>
      <c r="W908" s="4">
        <v>-1633</v>
      </c>
      <c r="X908" s="4">
        <v>0</v>
      </c>
      <c r="Y908" s="4">
        <v>0</v>
      </c>
      <c r="Z908" s="5">
        <v>-164933</v>
      </c>
      <c r="AA908" s="5">
        <v>0</v>
      </c>
      <c r="AB908" s="6">
        <v>0</v>
      </c>
      <c r="AC908" s="4">
        <v>-164933</v>
      </c>
      <c r="AD908" s="4">
        <v>0</v>
      </c>
      <c r="AE908" s="4">
        <v>-164933</v>
      </c>
      <c r="AF908" s="1"/>
      <c r="AG908" s="1"/>
      <c r="AH908" s="1"/>
      <c r="AI908" s="1" t="s">
        <v>2327</v>
      </c>
      <c r="AJ908" s="1"/>
      <c r="AK908" s="1"/>
      <c r="AL908" s="1"/>
    </row>
    <row r="909" spans="1:38" hidden="1" x14ac:dyDescent="0.25">
      <c r="A909" s="2">
        <v>1203</v>
      </c>
      <c r="B909" s="1" t="s">
        <v>1084</v>
      </c>
      <c r="C909" s="1" t="s">
        <v>1085</v>
      </c>
      <c r="D909" s="1" t="s">
        <v>2062</v>
      </c>
      <c r="E909" s="1" t="s">
        <v>2063</v>
      </c>
      <c r="F909" s="3">
        <v>45289</v>
      </c>
      <c r="G909" s="3">
        <v>45196</v>
      </c>
      <c r="H909" s="3">
        <v>45561</v>
      </c>
      <c r="I909" s="1" t="s">
        <v>3280</v>
      </c>
      <c r="J909" s="1" t="s">
        <v>3281</v>
      </c>
      <c r="K909" s="1"/>
      <c r="L909" s="1" t="s">
        <v>3282</v>
      </c>
      <c r="M909" s="1" t="s">
        <v>3283</v>
      </c>
      <c r="N909" s="1" t="s">
        <v>3284</v>
      </c>
      <c r="O909" s="1" t="s">
        <v>3285</v>
      </c>
      <c r="P909" s="1" t="s">
        <v>2095</v>
      </c>
      <c r="Q909" s="1"/>
      <c r="R909" s="1"/>
      <c r="S909" s="1" t="s">
        <v>2072</v>
      </c>
      <c r="T909" s="1" t="s">
        <v>2166</v>
      </c>
      <c r="U909" s="4">
        <v>1200000</v>
      </c>
      <c r="V909" s="4">
        <v>37004</v>
      </c>
      <c r="W909" s="4">
        <v>370</v>
      </c>
      <c r="X909" s="4">
        <v>4811</v>
      </c>
      <c r="Y909" s="4">
        <v>0</v>
      </c>
      <c r="Z909" s="5">
        <v>42185</v>
      </c>
      <c r="AA909" s="5">
        <v>0</v>
      </c>
      <c r="AB909" s="6">
        <v>0</v>
      </c>
      <c r="AC909" s="4">
        <v>42185</v>
      </c>
      <c r="AD909" s="4">
        <v>0</v>
      </c>
      <c r="AE909" s="4">
        <v>42185</v>
      </c>
      <c r="AF909" s="1"/>
      <c r="AG909" s="1"/>
      <c r="AH909" s="1"/>
      <c r="AI909" s="1" t="s">
        <v>3286</v>
      </c>
      <c r="AJ909" s="1"/>
      <c r="AK909" s="1"/>
      <c r="AL909" s="1"/>
    </row>
    <row r="910" spans="1:38" hidden="1" x14ac:dyDescent="0.25">
      <c r="A910" s="2">
        <v>1204</v>
      </c>
      <c r="B910" s="1" t="s">
        <v>1084</v>
      </c>
      <c r="C910" s="1" t="s">
        <v>1086</v>
      </c>
      <c r="D910" s="1" t="s">
        <v>2062</v>
      </c>
      <c r="E910" s="1" t="s">
        <v>2063</v>
      </c>
      <c r="F910" s="3">
        <v>45535</v>
      </c>
      <c r="G910" s="3">
        <v>45196</v>
      </c>
      <c r="H910" s="3">
        <v>45561</v>
      </c>
      <c r="I910" s="1" t="s">
        <v>3280</v>
      </c>
      <c r="J910" s="1" t="s">
        <v>3281</v>
      </c>
      <c r="K910" s="1"/>
      <c r="L910" s="1" t="s">
        <v>3282</v>
      </c>
      <c r="M910" s="1" t="s">
        <v>3283</v>
      </c>
      <c r="N910" s="1" t="s">
        <v>3284</v>
      </c>
      <c r="O910" s="1" t="s">
        <v>3285</v>
      </c>
      <c r="P910" s="1" t="s">
        <v>2095</v>
      </c>
      <c r="Q910" s="1"/>
      <c r="R910" s="1"/>
      <c r="S910" s="1" t="s">
        <v>2072</v>
      </c>
      <c r="T910" s="1" t="s">
        <v>2166</v>
      </c>
      <c r="U910" s="4">
        <v>1200000</v>
      </c>
      <c r="V910" s="4">
        <v>716</v>
      </c>
      <c r="W910" s="4">
        <v>7</v>
      </c>
      <c r="X910" s="4">
        <v>107</v>
      </c>
      <c r="Y910" s="4">
        <v>0</v>
      </c>
      <c r="Z910" s="5">
        <v>830</v>
      </c>
      <c r="AA910" s="5">
        <v>624</v>
      </c>
      <c r="AB910" s="6">
        <v>0</v>
      </c>
      <c r="AC910" s="4">
        <v>206</v>
      </c>
      <c r="AD910" s="4">
        <v>0</v>
      </c>
      <c r="AE910" s="4">
        <v>206</v>
      </c>
      <c r="AF910" s="1"/>
      <c r="AG910" s="1"/>
      <c r="AH910" s="1"/>
      <c r="AI910" s="1" t="s">
        <v>3286</v>
      </c>
      <c r="AJ910" s="6">
        <v>2023.6100000000652</v>
      </c>
      <c r="AK910" s="6">
        <v>505.34</v>
      </c>
      <c r="AL910" s="1"/>
    </row>
    <row r="911" spans="1:38" hidden="1" x14ac:dyDescent="0.25">
      <c r="A911" s="2">
        <v>1205</v>
      </c>
      <c r="B911" s="1" t="s">
        <v>1084</v>
      </c>
      <c r="C911" s="1" t="s">
        <v>1087</v>
      </c>
      <c r="D911" s="1" t="s">
        <v>2062</v>
      </c>
      <c r="E911" s="1" t="s">
        <v>2063</v>
      </c>
      <c r="F911" s="3">
        <v>45569</v>
      </c>
      <c r="G911" s="3">
        <v>45196</v>
      </c>
      <c r="H911" s="3">
        <v>45561</v>
      </c>
      <c r="I911" s="1" t="s">
        <v>3280</v>
      </c>
      <c r="J911" s="1" t="s">
        <v>3281</v>
      </c>
      <c r="K911" s="1"/>
      <c r="L911" s="1" t="s">
        <v>3282</v>
      </c>
      <c r="M911" s="1" t="s">
        <v>3283</v>
      </c>
      <c r="N911" s="1" t="s">
        <v>3284</v>
      </c>
      <c r="O911" s="1" t="s">
        <v>3285</v>
      </c>
      <c r="P911" s="1" t="s">
        <v>2095</v>
      </c>
      <c r="Q911" s="1"/>
      <c r="R911" s="1"/>
      <c r="S911" s="1" t="s">
        <v>2072</v>
      </c>
      <c r="T911" s="1" t="s">
        <v>2166</v>
      </c>
      <c r="U911" s="4">
        <v>1200000</v>
      </c>
      <c r="V911" s="4">
        <v>349</v>
      </c>
      <c r="W911" s="4">
        <v>4</v>
      </c>
      <c r="X911" s="4">
        <v>53</v>
      </c>
      <c r="Y911" s="4">
        <v>0</v>
      </c>
      <c r="Z911" s="5">
        <v>406</v>
      </c>
      <c r="AA911" s="5">
        <v>0</v>
      </c>
      <c r="AB911" s="6">
        <v>0</v>
      </c>
      <c r="AC911" s="4">
        <v>406</v>
      </c>
      <c r="AD911" s="4">
        <v>0</v>
      </c>
      <c r="AE911" s="4">
        <v>406</v>
      </c>
      <c r="AF911" s="1"/>
      <c r="AG911" s="1"/>
      <c r="AH911" s="1"/>
      <c r="AI911" s="1" t="s">
        <v>3286</v>
      </c>
      <c r="AJ911" s="6">
        <v>588.25000000001307</v>
      </c>
      <c r="AK911" s="6">
        <v>247.16</v>
      </c>
      <c r="AL911" s="1"/>
    </row>
    <row r="912" spans="1:38" hidden="1" x14ac:dyDescent="0.25">
      <c r="A912" s="2">
        <v>1206</v>
      </c>
      <c r="B912" s="1" t="s">
        <v>1084</v>
      </c>
      <c r="C912" s="1" t="s">
        <v>1088</v>
      </c>
      <c r="D912" s="1" t="s">
        <v>2062</v>
      </c>
      <c r="E912" s="1" t="s">
        <v>2063</v>
      </c>
      <c r="F912" s="3">
        <v>45596</v>
      </c>
      <c r="G912" s="3">
        <v>45196</v>
      </c>
      <c r="H912" s="3">
        <v>45561</v>
      </c>
      <c r="I912" s="1" t="s">
        <v>3280</v>
      </c>
      <c r="J912" s="1" t="s">
        <v>3281</v>
      </c>
      <c r="K912" s="1"/>
      <c r="L912" s="1" t="s">
        <v>3282</v>
      </c>
      <c r="M912" s="1" t="s">
        <v>3283</v>
      </c>
      <c r="N912" s="1" t="s">
        <v>3284</v>
      </c>
      <c r="O912" s="1" t="s">
        <v>3285</v>
      </c>
      <c r="P912" s="1" t="s">
        <v>2095</v>
      </c>
      <c r="Q912" s="1"/>
      <c r="R912" s="1"/>
      <c r="S912" s="1" t="s">
        <v>2072</v>
      </c>
      <c r="T912" s="1" t="s">
        <v>2166</v>
      </c>
      <c r="U912" s="4">
        <v>-1</v>
      </c>
      <c r="V912" s="4">
        <v>-42373</v>
      </c>
      <c r="W912" s="4">
        <v>-424</v>
      </c>
      <c r="X912" s="4">
        <v>0</v>
      </c>
      <c r="Y912" s="4">
        <v>0</v>
      </c>
      <c r="Z912" s="5">
        <v>-42797</v>
      </c>
      <c r="AA912" s="5">
        <v>0</v>
      </c>
      <c r="AB912" s="6">
        <v>0</v>
      </c>
      <c r="AC912" s="4">
        <v>-42797</v>
      </c>
      <c r="AD912" s="4">
        <v>0</v>
      </c>
      <c r="AE912" s="4">
        <v>-42797</v>
      </c>
      <c r="AF912" s="1"/>
      <c r="AG912" s="1"/>
      <c r="AH912" s="1"/>
      <c r="AI912" s="1" t="s">
        <v>3286</v>
      </c>
      <c r="AJ912" s="1"/>
      <c r="AK912" s="1"/>
      <c r="AL912" s="1"/>
    </row>
    <row r="913" spans="1:38" x14ac:dyDescent="0.25">
      <c r="A913" s="2">
        <v>1207</v>
      </c>
      <c r="B913" s="1" t="s">
        <v>1089</v>
      </c>
      <c r="C913" s="1"/>
      <c r="D913" s="1" t="s">
        <v>2062</v>
      </c>
      <c r="E913" s="1" t="s">
        <v>2063</v>
      </c>
      <c r="F913" s="3">
        <v>45275</v>
      </c>
      <c r="G913" s="3">
        <v>45265</v>
      </c>
      <c r="H913" s="3">
        <v>45630</v>
      </c>
      <c r="I913" s="1" t="s">
        <v>3287</v>
      </c>
      <c r="J913" s="1" t="s">
        <v>3288</v>
      </c>
      <c r="K913" s="1"/>
      <c r="L913" s="1" t="s">
        <v>2147</v>
      </c>
      <c r="M913" s="1" t="s">
        <v>3289</v>
      </c>
      <c r="N913" s="1" t="s">
        <v>3290</v>
      </c>
      <c r="O913" s="1" t="s">
        <v>3291</v>
      </c>
      <c r="P913" s="1" t="s">
        <v>2081</v>
      </c>
      <c r="Q913" s="1"/>
      <c r="R913" s="1"/>
      <c r="S913" s="1" t="s">
        <v>2072</v>
      </c>
      <c r="T913" s="1" t="s">
        <v>2073</v>
      </c>
      <c r="U913" s="4">
        <v>-1</v>
      </c>
      <c r="V913" s="4">
        <v>0</v>
      </c>
      <c r="W913" s="4">
        <v>0</v>
      </c>
      <c r="X913" s="4">
        <v>0</v>
      </c>
      <c r="Y913" s="4">
        <v>50</v>
      </c>
      <c r="Z913" s="5">
        <v>50</v>
      </c>
      <c r="AA913" s="5">
        <v>0</v>
      </c>
      <c r="AB913" s="6">
        <v>0</v>
      </c>
      <c r="AC913" s="4">
        <v>50</v>
      </c>
      <c r="AD913" s="4">
        <v>0</v>
      </c>
      <c r="AE913" s="4">
        <v>50</v>
      </c>
      <c r="AF913" s="1"/>
      <c r="AG913" s="1"/>
      <c r="AH913" s="1"/>
      <c r="AI913" s="1" t="s">
        <v>3292</v>
      </c>
      <c r="AJ913" s="1"/>
      <c r="AK913" s="1"/>
      <c r="AL913" s="1" t="s">
        <v>3293</v>
      </c>
    </row>
    <row r="914" spans="1:38" hidden="1" x14ac:dyDescent="0.25">
      <c r="A914" s="2">
        <v>1208</v>
      </c>
      <c r="B914" s="1" t="s">
        <v>1089</v>
      </c>
      <c r="C914" s="1" t="s">
        <v>1090</v>
      </c>
      <c r="D914" s="1" t="s">
        <v>2062</v>
      </c>
      <c r="E914" s="1" t="s">
        <v>2063</v>
      </c>
      <c r="F914" s="3">
        <v>45425</v>
      </c>
      <c r="G914" s="3">
        <v>45265</v>
      </c>
      <c r="H914" s="3">
        <v>45630</v>
      </c>
      <c r="I914" s="1" t="s">
        <v>3287</v>
      </c>
      <c r="J914" s="1" t="s">
        <v>3288</v>
      </c>
      <c r="K914" s="1"/>
      <c r="L914" s="1" t="s">
        <v>2147</v>
      </c>
      <c r="M914" s="1" t="s">
        <v>3289</v>
      </c>
      <c r="N914" s="1" t="s">
        <v>3290</v>
      </c>
      <c r="O914" s="1" t="s">
        <v>3291</v>
      </c>
      <c r="P914" s="1" t="s">
        <v>2081</v>
      </c>
      <c r="Q914" s="1"/>
      <c r="R914" s="1"/>
      <c r="S914" s="1" t="s">
        <v>2072</v>
      </c>
      <c r="T914" s="1" t="s">
        <v>2073</v>
      </c>
      <c r="U914" s="4">
        <v>3000000</v>
      </c>
      <c r="V914" s="4">
        <v>2592</v>
      </c>
      <c r="W914" s="4">
        <v>26</v>
      </c>
      <c r="X914" s="4">
        <v>337</v>
      </c>
      <c r="Y914" s="4">
        <v>0</v>
      </c>
      <c r="Z914" s="5">
        <v>2955</v>
      </c>
      <c r="AA914" s="5">
        <v>0</v>
      </c>
      <c r="AB914" s="6">
        <v>0</v>
      </c>
      <c r="AC914" s="4">
        <v>2955</v>
      </c>
      <c r="AD914" s="4">
        <v>0</v>
      </c>
      <c r="AE914" s="4">
        <v>2955</v>
      </c>
      <c r="AF914" s="1"/>
      <c r="AG914" s="1"/>
      <c r="AH914" s="1"/>
      <c r="AI914" s="1" t="s">
        <v>3292</v>
      </c>
      <c r="AJ914" s="6">
        <v>1436.2800000000491</v>
      </c>
      <c r="AK914" s="6">
        <v>718.77</v>
      </c>
      <c r="AL914" s="1"/>
    </row>
    <row r="915" spans="1:38" hidden="1" x14ac:dyDescent="0.25">
      <c r="A915" s="2">
        <v>1209</v>
      </c>
      <c r="B915" s="1" t="s">
        <v>1089</v>
      </c>
      <c r="C915" s="1" t="s">
        <v>1091</v>
      </c>
      <c r="D915" s="1" t="s">
        <v>2062</v>
      </c>
      <c r="E915" s="1" t="s">
        <v>2063</v>
      </c>
      <c r="F915" s="3">
        <v>45449</v>
      </c>
      <c r="G915" s="3">
        <v>45265</v>
      </c>
      <c r="H915" s="3">
        <v>45630</v>
      </c>
      <c r="I915" s="1" t="s">
        <v>3287</v>
      </c>
      <c r="J915" s="1" t="s">
        <v>3288</v>
      </c>
      <c r="K915" s="1"/>
      <c r="L915" s="1" t="s">
        <v>2147</v>
      </c>
      <c r="M915" s="1" t="s">
        <v>3289</v>
      </c>
      <c r="N915" s="1" t="s">
        <v>3290</v>
      </c>
      <c r="O915" s="1" t="s">
        <v>3291</v>
      </c>
      <c r="P915" s="1" t="s">
        <v>2081</v>
      </c>
      <c r="Q915" s="1"/>
      <c r="R915" s="1"/>
      <c r="S915" s="1" t="s">
        <v>2072</v>
      </c>
      <c r="T915" s="1" t="s">
        <v>2073</v>
      </c>
      <c r="U915" s="4">
        <v>3000000</v>
      </c>
      <c r="V915" s="4">
        <v>2575</v>
      </c>
      <c r="W915" s="4">
        <v>25</v>
      </c>
      <c r="X915" s="4">
        <v>334</v>
      </c>
      <c r="Y915" s="4">
        <v>0</v>
      </c>
      <c r="Z915" s="5">
        <v>2934</v>
      </c>
      <c r="AA915" s="5">
        <v>0</v>
      </c>
      <c r="AB915" s="6">
        <v>0</v>
      </c>
      <c r="AC915" s="4">
        <v>2934</v>
      </c>
      <c r="AD915" s="4">
        <v>0</v>
      </c>
      <c r="AE915" s="4">
        <v>2934</v>
      </c>
      <c r="AF915" s="1"/>
      <c r="AG915" s="1"/>
      <c r="AH915" s="1"/>
      <c r="AI915" s="1" t="s">
        <v>3292</v>
      </c>
      <c r="AJ915" s="6">
        <v>1703.200000000053</v>
      </c>
      <c r="AK915" s="6">
        <v>713.66</v>
      </c>
      <c r="AL915" s="1"/>
    </row>
    <row r="916" spans="1:38" hidden="1" x14ac:dyDescent="0.25">
      <c r="A916" s="2">
        <v>1210</v>
      </c>
      <c r="B916" s="1" t="s">
        <v>1089</v>
      </c>
      <c r="C916" s="1" t="s">
        <v>1092</v>
      </c>
      <c r="D916" s="1" t="s">
        <v>2062</v>
      </c>
      <c r="E916" s="1" t="s">
        <v>2063</v>
      </c>
      <c r="F916" s="3">
        <v>45478</v>
      </c>
      <c r="G916" s="3">
        <v>45265</v>
      </c>
      <c r="H916" s="3">
        <v>45630</v>
      </c>
      <c r="I916" s="1" t="s">
        <v>3287</v>
      </c>
      <c r="J916" s="1" t="s">
        <v>3288</v>
      </c>
      <c r="K916" s="1"/>
      <c r="L916" s="1" t="s">
        <v>2147</v>
      </c>
      <c r="M916" s="1" t="s">
        <v>3289</v>
      </c>
      <c r="N916" s="1" t="s">
        <v>3290</v>
      </c>
      <c r="O916" s="1" t="s">
        <v>3291</v>
      </c>
      <c r="P916" s="1" t="s">
        <v>2081</v>
      </c>
      <c r="Q916" s="1"/>
      <c r="R916" s="1"/>
      <c r="S916" s="1" t="s">
        <v>2072</v>
      </c>
      <c r="T916" s="1" t="s">
        <v>2073</v>
      </c>
      <c r="U916" s="4">
        <v>3000000</v>
      </c>
      <c r="V916" s="4">
        <v>2036</v>
      </c>
      <c r="W916" s="4">
        <v>20</v>
      </c>
      <c r="X916" s="4">
        <v>305</v>
      </c>
      <c r="Y916" s="4">
        <v>0</v>
      </c>
      <c r="Z916" s="5">
        <v>2361</v>
      </c>
      <c r="AA916" s="5">
        <v>0</v>
      </c>
      <c r="AB916" s="6">
        <v>0</v>
      </c>
      <c r="AC916" s="4">
        <v>2361</v>
      </c>
      <c r="AD916" s="4">
        <v>0</v>
      </c>
      <c r="AE916" s="4">
        <v>2361</v>
      </c>
      <c r="AF916" s="1"/>
      <c r="AG916" s="1"/>
      <c r="AH916" s="1"/>
      <c r="AI916" s="1" t="s">
        <v>3292</v>
      </c>
      <c r="AJ916" s="6">
        <v>581.09</v>
      </c>
      <c r="AK916" s="6">
        <v>574.51</v>
      </c>
      <c r="AL916" s="1"/>
    </row>
    <row r="917" spans="1:38" hidden="1" x14ac:dyDescent="0.25">
      <c r="A917" s="2">
        <v>1211</v>
      </c>
      <c r="B917" s="1" t="s">
        <v>1089</v>
      </c>
      <c r="C917" s="1" t="s">
        <v>1093</v>
      </c>
      <c r="D917" s="1" t="s">
        <v>2062</v>
      </c>
      <c r="E917" s="1" t="s">
        <v>2063</v>
      </c>
      <c r="F917" s="3">
        <v>45511</v>
      </c>
      <c r="G917" s="3">
        <v>45265</v>
      </c>
      <c r="H917" s="3">
        <v>45630</v>
      </c>
      <c r="I917" s="1" t="s">
        <v>3287</v>
      </c>
      <c r="J917" s="1" t="s">
        <v>3288</v>
      </c>
      <c r="K917" s="1"/>
      <c r="L917" s="1" t="s">
        <v>2147</v>
      </c>
      <c r="M917" s="1" t="s">
        <v>3289</v>
      </c>
      <c r="N917" s="1" t="s">
        <v>3290</v>
      </c>
      <c r="O917" s="1" t="s">
        <v>3291</v>
      </c>
      <c r="P917" s="1" t="s">
        <v>2081</v>
      </c>
      <c r="Q917" s="1"/>
      <c r="R917" s="1"/>
      <c r="S917" s="1" t="s">
        <v>2072</v>
      </c>
      <c r="T917" s="1" t="s">
        <v>2073</v>
      </c>
      <c r="U917" s="4">
        <v>3000000</v>
      </c>
      <c r="V917" s="4">
        <v>1552</v>
      </c>
      <c r="W917" s="4">
        <v>16</v>
      </c>
      <c r="X917" s="4">
        <v>233</v>
      </c>
      <c r="Y917" s="4">
        <v>0</v>
      </c>
      <c r="Z917" s="5">
        <v>1801</v>
      </c>
      <c r="AA917" s="5">
        <v>0</v>
      </c>
      <c r="AB917" s="6">
        <v>0</v>
      </c>
      <c r="AC917" s="4">
        <v>1801</v>
      </c>
      <c r="AD917" s="4">
        <v>0</v>
      </c>
      <c r="AE917" s="4">
        <v>1801</v>
      </c>
      <c r="AF917" s="1"/>
      <c r="AG917" s="1"/>
      <c r="AH917" s="1"/>
      <c r="AI917" s="1" t="s">
        <v>3292</v>
      </c>
      <c r="AJ917" s="6">
        <v>464.01000000000005</v>
      </c>
      <c r="AK917" s="6">
        <v>438.52</v>
      </c>
      <c r="AL917" s="1"/>
    </row>
    <row r="918" spans="1:38" hidden="1" x14ac:dyDescent="0.25">
      <c r="A918" s="2">
        <v>1212</v>
      </c>
      <c r="B918" s="1" t="s">
        <v>1089</v>
      </c>
      <c r="C918" s="1" t="s">
        <v>1094</v>
      </c>
      <c r="D918" s="1" t="s">
        <v>2062</v>
      </c>
      <c r="E918" s="1" t="s">
        <v>2063</v>
      </c>
      <c r="F918" s="3">
        <v>45541</v>
      </c>
      <c r="G918" s="3">
        <v>45265</v>
      </c>
      <c r="H918" s="3">
        <v>45630</v>
      </c>
      <c r="I918" s="1" t="s">
        <v>3287</v>
      </c>
      <c r="J918" s="1" t="s">
        <v>3288</v>
      </c>
      <c r="K918" s="1"/>
      <c r="L918" s="1" t="s">
        <v>2147</v>
      </c>
      <c r="M918" s="1" t="s">
        <v>3289</v>
      </c>
      <c r="N918" s="1" t="s">
        <v>3290</v>
      </c>
      <c r="O918" s="1" t="s">
        <v>3291</v>
      </c>
      <c r="P918" s="1" t="s">
        <v>2081</v>
      </c>
      <c r="Q918" s="1"/>
      <c r="R918" s="1"/>
      <c r="S918" s="1" t="s">
        <v>2072</v>
      </c>
      <c r="T918" s="1" t="s">
        <v>2073</v>
      </c>
      <c r="U918" s="4">
        <v>3000000</v>
      </c>
      <c r="V918" s="4">
        <v>1694</v>
      </c>
      <c r="W918" s="4">
        <v>17</v>
      </c>
      <c r="X918" s="4">
        <v>254</v>
      </c>
      <c r="Y918" s="4">
        <v>0</v>
      </c>
      <c r="Z918" s="5">
        <v>1965</v>
      </c>
      <c r="AA918" s="5">
        <v>0</v>
      </c>
      <c r="AB918" s="6">
        <v>0</v>
      </c>
      <c r="AC918" s="4">
        <v>1965</v>
      </c>
      <c r="AD918" s="4">
        <v>0</v>
      </c>
      <c r="AE918" s="4">
        <v>1965</v>
      </c>
      <c r="AF918" s="1"/>
      <c r="AG918" s="1"/>
      <c r="AH918" s="1"/>
      <c r="AI918" s="1" t="s">
        <v>3292</v>
      </c>
      <c r="AJ918" s="6">
        <v>608.20000000000107</v>
      </c>
      <c r="AK918" s="6">
        <v>478.3900000000001</v>
      </c>
      <c r="AL918" s="1"/>
    </row>
    <row r="919" spans="1:38" hidden="1" x14ac:dyDescent="0.25">
      <c r="A919" s="2">
        <v>1213</v>
      </c>
      <c r="B919" s="1" t="s">
        <v>1089</v>
      </c>
      <c r="C919" s="1" t="s">
        <v>1095</v>
      </c>
      <c r="D919" s="1" t="s">
        <v>2062</v>
      </c>
      <c r="E919" s="1" t="s">
        <v>2063</v>
      </c>
      <c r="F919" s="3">
        <v>45574</v>
      </c>
      <c r="G919" s="3">
        <v>45265</v>
      </c>
      <c r="H919" s="3">
        <v>45630</v>
      </c>
      <c r="I919" s="1" t="s">
        <v>3287</v>
      </c>
      <c r="J919" s="1" t="s">
        <v>3288</v>
      </c>
      <c r="K919" s="1"/>
      <c r="L919" s="1" t="s">
        <v>2147</v>
      </c>
      <c r="M919" s="1" t="s">
        <v>3289</v>
      </c>
      <c r="N919" s="1" t="s">
        <v>3290</v>
      </c>
      <c r="O919" s="1" t="s">
        <v>3291</v>
      </c>
      <c r="P919" s="1" t="s">
        <v>2081</v>
      </c>
      <c r="Q919" s="1"/>
      <c r="R919" s="1"/>
      <c r="S919" s="1" t="s">
        <v>2072</v>
      </c>
      <c r="T919" s="1" t="s">
        <v>2073</v>
      </c>
      <c r="U919" s="4">
        <v>3000000</v>
      </c>
      <c r="V919" s="4">
        <v>1781</v>
      </c>
      <c r="W919" s="4">
        <v>18</v>
      </c>
      <c r="X919" s="4">
        <v>267</v>
      </c>
      <c r="Y919" s="4">
        <v>0</v>
      </c>
      <c r="Z919" s="5">
        <v>2066</v>
      </c>
      <c r="AA919" s="5">
        <v>0</v>
      </c>
      <c r="AB919" s="6">
        <v>0</v>
      </c>
      <c r="AC919" s="4">
        <v>2066</v>
      </c>
      <c r="AD919" s="4">
        <v>0</v>
      </c>
      <c r="AE919" s="4">
        <v>2066</v>
      </c>
      <c r="AF919" s="1"/>
      <c r="AG919" s="1"/>
      <c r="AH919" s="1"/>
      <c r="AI919" s="1" t="s">
        <v>3292</v>
      </c>
      <c r="AJ919" s="6">
        <v>1196.2000000000151</v>
      </c>
      <c r="AK919" s="6">
        <v>502.19</v>
      </c>
      <c r="AL919" s="1"/>
    </row>
    <row r="920" spans="1:38" hidden="1" x14ac:dyDescent="0.25">
      <c r="A920" s="2">
        <v>1214</v>
      </c>
      <c r="B920" s="1" t="s">
        <v>1089</v>
      </c>
      <c r="C920" s="1" t="s">
        <v>1096</v>
      </c>
      <c r="D920" s="1" t="s">
        <v>2062</v>
      </c>
      <c r="E920" s="1" t="s">
        <v>2063</v>
      </c>
      <c r="F920" s="3">
        <v>45602</v>
      </c>
      <c r="G920" s="3">
        <v>45265</v>
      </c>
      <c r="H920" s="3">
        <v>45630</v>
      </c>
      <c r="I920" s="1" t="s">
        <v>3287</v>
      </c>
      <c r="J920" s="1" t="s">
        <v>3288</v>
      </c>
      <c r="K920" s="1"/>
      <c r="L920" s="1" t="s">
        <v>2147</v>
      </c>
      <c r="M920" s="1" t="s">
        <v>3289</v>
      </c>
      <c r="N920" s="1" t="s">
        <v>3290</v>
      </c>
      <c r="O920" s="1" t="s">
        <v>3291</v>
      </c>
      <c r="P920" s="1" t="s">
        <v>2081</v>
      </c>
      <c r="Q920" s="1"/>
      <c r="R920" s="1"/>
      <c r="S920" s="1" t="s">
        <v>2072</v>
      </c>
      <c r="T920" s="1" t="s">
        <v>2073</v>
      </c>
      <c r="U920" s="4">
        <v>3000000</v>
      </c>
      <c r="V920" s="4">
        <v>1455</v>
      </c>
      <c r="W920" s="4">
        <v>15</v>
      </c>
      <c r="X920" s="4">
        <v>218</v>
      </c>
      <c r="Y920" s="4">
        <v>0</v>
      </c>
      <c r="Z920" s="5">
        <v>1688</v>
      </c>
      <c r="AA920" s="5">
        <v>0</v>
      </c>
      <c r="AB920" s="6">
        <v>0</v>
      </c>
      <c r="AC920" s="4">
        <v>1688</v>
      </c>
      <c r="AD920" s="4">
        <v>0</v>
      </c>
      <c r="AE920" s="4">
        <v>1688</v>
      </c>
      <c r="AF920" s="1"/>
      <c r="AG920" s="1"/>
      <c r="AH920" s="1"/>
      <c r="AI920" s="1" t="s">
        <v>3292</v>
      </c>
      <c r="AJ920" s="6">
        <v>1245.3500000000481</v>
      </c>
      <c r="AK920" s="6">
        <v>410.73000000000008</v>
      </c>
      <c r="AL920" s="1"/>
    </row>
    <row r="921" spans="1:38" hidden="1" x14ac:dyDescent="0.25">
      <c r="A921" s="2">
        <v>1215</v>
      </c>
      <c r="B921" s="1" t="s">
        <v>1089</v>
      </c>
      <c r="C921" s="1" t="s">
        <v>1097</v>
      </c>
      <c r="D921" s="1" t="s">
        <v>2062</v>
      </c>
      <c r="E921" s="1" t="s">
        <v>2063</v>
      </c>
      <c r="F921" s="3">
        <v>45655</v>
      </c>
      <c r="G921" s="3">
        <v>45265</v>
      </c>
      <c r="H921" s="3">
        <v>45630</v>
      </c>
      <c r="I921" s="1" t="s">
        <v>3287</v>
      </c>
      <c r="J921" s="1" t="s">
        <v>3288</v>
      </c>
      <c r="K921" s="1"/>
      <c r="L921" s="1" t="s">
        <v>2147</v>
      </c>
      <c r="M921" s="1" t="s">
        <v>3289</v>
      </c>
      <c r="N921" s="1" t="s">
        <v>3290</v>
      </c>
      <c r="O921" s="1" t="s">
        <v>3291</v>
      </c>
      <c r="P921" s="1" t="s">
        <v>2081</v>
      </c>
      <c r="Q921" s="1"/>
      <c r="R921" s="1"/>
      <c r="S921" s="1" t="s">
        <v>2072</v>
      </c>
      <c r="T921" s="1" t="s">
        <v>2073</v>
      </c>
      <c r="U921" s="4">
        <v>-1</v>
      </c>
      <c r="V921" s="4">
        <v>-15663</v>
      </c>
      <c r="W921" s="4">
        <v>-157</v>
      </c>
      <c r="X921" s="4">
        <v>0</v>
      </c>
      <c r="Y921" s="4">
        <v>0</v>
      </c>
      <c r="Z921" s="5">
        <v>-15820</v>
      </c>
      <c r="AA921" s="5">
        <v>0</v>
      </c>
      <c r="AB921" s="6">
        <v>0</v>
      </c>
      <c r="AC921" s="4">
        <v>-15820</v>
      </c>
      <c r="AD921" s="4">
        <v>0</v>
      </c>
      <c r="AE921" s="4">
        <v>-15820</v>
      </c>
      <c r="AF921" s="1"/>
      <c r="AG921" s="1"/>
      <c r="AH921" s="1"/>
      <c r="AI921" s="1" t="s">
        <v>3292</v>
      </c>
      <c r="AJ921" s="1"/>
      <c r="AK921" s="1"/>
      <c r="AL921" s="1"/>
    </row>
    <row r="922" spans="1:38" hidden="1" x14ac:dyDescent="0.25">
      <c r="A922" s="2">
        <v>1217</v>
      </c>
      <c r="B922" s="1" t="s">
        <v>1098</v>
      </c>
      <c r="C922" s="1" t="s">
        <v>1099</v>
      </c>
      <c r="D922" s="1" t="s">
        <v>2062</v>
      </c>
      <c r="E922" s="1" t="s">
        <v>2063</v>
      </c>
      <c r="F922" s="3">
        <v>45344</v>
      </c>
      <c r="G922" s="3">
        <v>45281</v>
      </c>
      <c r="H922" s="3">
        <v>45646</v>
      </c>
      <c r="I922" s="1" t="s">
        <v>3294</v>
      </c>
      <c r="J922" s="1" t="s">
        <v>3295</v>
      </c>
      <c r="K922" s="1"/>
      <c r="L922" s="1" t="s">
        <v>3296</v>
      </c>
      <c r="M922" s="1" t="s">
        <v>3297</v>
      </c>
      <c r="N922" s="1" t="s">
        <v>3298</v>
      </c>
      <c r="O922" s="1" t="s">
        <v>3299</v>
      </c>
      <c r="P922" s="1" t="s">
        <v>2081</v>
      </c>
      <c r="Q922" s="1" t="s">
        <v>3300</v>
      </c>
      <c r="R922" s="1"/>
      <c r="S922" s="1" t="s">
        <v>2072</v>
      </c>
      <c r="T922" s="1" t="s">
        <v>2073</v>
      </c>
      <c r="U922" s="4">
        <v>2500000</v>
      </c>
      <c r="V922" s="4">
        <v>3546</v>
      </c>
      <c r="W922" s="4">
        <v>36</v>
      </c>
      <c r="X922" s="4">
        <v>461</v>
      </c>
      <c r="Y922" s="4">
        <v>0</v>
      </c>
      <c r="Z922" s="5">
        <v>4043</v>
      </c>
      <c r="AA922" s="5">
        <v>0</v>
      </c>
      <c r="AB922" s="6">
        <v>0</v>
      </c>
      <c r="AC922" s="4">
        <v>4043</v>
      </c>
      <c r="AD922" s="4">
        <v>0</v>
      </c>
      <c r="AE922" s="4">
        <v>4043</v>
      </c>
      <c r="AF922" s="1"/>
      <c r="AG922" s="1"/>
      <c r="AH922" s="1"/>
      <c r="AI922" s="1" t="s">
        <v>3292</v>
      </c>
      <c r="AJ922" s="6">
        <v>1782.99</v>
      </c>
      <c r="AK922" s="6">
        <v>1181.3600000000001</v>
      </c>
      <c r="AL922" s="1"/>
    </row>
    <row r="923" spans="1:38" hidden="1" x14ac:dyDescent="0.25">
      <c r="A923" s="2">
        <v>1218</v>
      </c>
      <c r="B923" s="1" t="s">
        <v>1098</v>
      </c>
      <c r="C923" s="1" t="s">
        <v>1100</v>
      </c>
      <c r="D923" s="1" t="s">
        <v>2062</v>
      </c>
      <c r="E923" s="1" t="s">
        <v>2063</v>
      </c>
      <c r="F923" s="3">
        <v>45596</v>
      </c>
      <c r="G923" s="3">
        <v>45281</v>
      </c>
      <c r="H923" s="3">
        <v>45646</v>
      </c>
      <c r="I923" s="1" t="s">
        <v>3294</v>
      </c>
      <c r="J923" s="1" t="s">
        <v>3295</v>
      </c>
      <c r="K923" s="1"/>
      <c r="L923" s="1" t="s">
        <v>3296</v>
      </c>
      <c r="M923" s="1" t="s">
        <v>3297</v>
      </c>
      <c r="N923" s="1" t="s">
        <v>3298</v>
      </c>
      <c r="O923" s="1" t="s">
        <v>3299</v>
      </c>
      <c r="P923" s="1" t="s">
        <v>2081</v>
      </c>
      <c r="Q923" s="1" t="s">
        <v>3300</v>
      </c>
      <c r="R923" s="1"/>
      <c r="S923" s="1" t="s">
        <v>2072</v>
      </c>
      <c r="T923" s="1" t="s">
        <v>2073</v>
      </c>
      <c r="U923" s="4">
        <v>-1</v>
      </c>
      <c r="V923" s="4">
        <v>-4003</v>
      </c>
      <c r="W923" s="4">
        <v>-40</v>
      </c>
      <c r="X923" s="4">
        <v>0</v>
      </c>
      <c r="Y923" s="4">
        <v>0</v>
      </c>
      <c r="Z923" s="5">
        <v>-4043</v>
      </c>
      <c r="AA923" s="5">
        <v>0</v>
      </c>
      <c r="AB923" s="6">
        <v>0</v>
      </c>
      <c r="AC923" s="4">
        <v>-4043</v>
      </c>
      <c r="AD923" s="4">
        <v>0</v>
      </c>
      <c r="AE923" s="4">
        <v>-4043</v>
      </c>
      <c r="AF923" s="1"/>
      <c r="AG923" s="1"/>
      <c r="AH923" s="1"/>
      <c r="AI923" s="1" t="s">
        <v>3292</v>
      </c>
      <c r="AJ923" s="1"/>
      <c r="AK923" s="1"/>
      <c r="AL923" s="1"/>
    </row>
    <row r="924" spans="1:38" hidden="1" x14ac:dyDescent="0.25">
      <c r="A924" s="2">
        <v>1219</v>
      </c>
      <c r="B924" s="1" t="s">
        <v>1101</v>
      </c>
      <c r="C924" s="1" t="s">
        <v>1102</v>
      </c>
      <c r="D924" s="1" t="s">
        <v>2062</v>
      </c>
      <c r="E924" s="1" t="s">
        <v>2063</v>
      </c>
      <c r="F924" s="3">
        <v>45399</v>
      </c>
      <c r="G924" s="3">
        <v>45286</v>
      </c>
      <c r="H924" s="3">
        <v>45651</v>
      </c>
      <c r="I924" s="1" t="s">
        <v>3301</v>
      </c>
      <c r="J924" s="1" t="s">
        <v>3302</v>
      </c>
      <c r="K924" s="1"/>
      <c r="L924" s="1" t="s">
        <v>3064</v>
      </c>
      <c r="M924" s="1" t="s">
        <v>3303</v>
      </c>
      <c r="N924" s="1" t="s">
        <v>3304</v>
      </c>
      <c r="O924" s="1" t="s">
        <v>3305</v>
      </c>
      <c r="P924" s="1" t="s">
        <v>2095</v>
      </c>
      <c r="Q924" s="1" t="s">
        <v>3306</v>
      </c>
      <c r="R924" s="1"/>
      <c r="S924" s="1" t="s">
        <v>2072</v>
      </c>
      <c r="T924" s="1" t="s">
        <v>2073</v>
      </c>
      <c r="U924" s="4">
        <v>-1</v>
      </c>
      <c r="V924" s="4">
        <v>-15313</v>
      </c>
      <c r="W924" s="4">
        <v>-153</v>
      </c>
      <c r="X924" s="4">
        <v>-1991</v>
      </c>
      <c r="Y924" s="4">
        <v>0</v>
      </c>
      <c r="Z924" s="5">
        <v>-17457</v>
      </c>
      <c r="AA924" s="5">
        <v>0</v>
      </c>
      <c r="AB924" s="6">
        <v>0</v>
      </c>
      <c r="AC924" s="4">
        <v>-17457</v>
      </c>
      <c r="AD924" s="4">
        <v>0</v>
      </c>
      <c r="AE924" s="4">
        <v>-17457</v>
      </c>
      <c r="AF924" s="1"/>
      <c r="AG924" s="1"/>
      <c r="AH924" s="1"/>
      <c r="AI924" s="1" t="s">
        <v>3292</v>
      </c>
      <c r="AJ924" s="1"/>
      <c r="AK924" s="1"/>
      <c r="AL924" s="1"/>
    </row>
    <row r="925" spans="1:38" hidden="1" x14ac:dyDescent="0.25">
      <c r="A925" s="2">
        <v>1220</v>
      </c>
      <c r="B925" s="1" t="s">
        <v>1101</v>
      </c>
      <c r="C925" s="1" t="s">
        <v>1103</v>
      </c>
      <c r="D925" s="1" t="s">
        <v>2062</v>
      </c>
      <c r="E925" s="1" t="s">
        <v>2063</v>
      </c>
      <c r="F925" s="3">
        <v>45572</v>
      </c>
      <c r="G925" s="3">
        <v>45286</v>
      </c>
      <c r="H925" s="3">
        <v>45651</v>
      </c>
      <c r="I925" s="1" t="s">
        <v>3301</v>
      </c>
      <c r="J925" s="1" t="s">
        <v>3302</v>
      </c>
      <c r="K925" s="1"/>
      <c r="L925" s="1" t="s">
        <v>3064</v>
      </c>
      <c r="M925" s="1" t="s">
        <v>3303</v>
      </c>
      <c r="N925" s="1" t="s">
        <v>3304</v>
      </c>
      <c r="O925" s="1" t="s">
        <v>3305</v>
      </c>
      <c r="P925" s="1" t="s">
        <v>2095</v>
      </c>
      <c r="Q925" s="1" t="s">
        <v>3306</v>
      </c>
      <c r="R925" s="1"/>
      <c r="S925" s="1" t="s">
        <v>2072</v>
      </c>
      <c r="T925" s="1" t="s">
        <v>2073</v>
      </c>
      <c r="U925" s="4">
        <v>6700000</v>
      </c>
      <c r="V925" s="4">
        <v>17284</v>
      </c>
      <c r="W925" s="4">
        <v>172</v>
      </c>
      <c r="X925" s="4">
        <v>0</v>
      </c>
      <c r="Y925" s="4">
        <v>0</v>
      </c>
      <c r="Z925" s="5">
        <v>17456</v>
      </c>
      <c r="AA925" s="5">
        <v>0</v>
      </c>
      <c r="AB925" s="6">
        <v>0</v>
      </c>
      <c r="AC925" s="4">
        <v>17456</v>
      </c>
      <c r="AD925" s="4">
        <v>0</v>
      </c>
      <c r="AE925" s="4">
        <v>17456</v>
      </c>
      <c r="AF925" s="1"/>
      <c r="AG925" s="1"/>
      <c r="AH925" s="1"/>
      <c r="AI925" s="1" t="s">
        <v>3292</v>
      </c>
      <c r="AJ925" s="1"/>
      <c r="AK925" s="1"/>
      <c r="AL925" s="1" t="s">
        <v>3307</v>
      </c>
    </row>
    <row r="926" spans="1:38" hidden="1" x14ac:dyDescent="0.25">
      <c r="A926" s="2">
        <v>1221</v>
      </c>
      <c r="B926" s="1" t="s">
        <v>1101</v>
      </c>
      <c r="C926" s="1" t="s">
        <v>1104</v>
      </c>
      <c r="D926" s="1" t="s">
        <v>2062</v>
      </c>
      <c r="E926" s="1" t="s">
        <v>2063</v>
      </c>
      <c r="F926" s="3">
        <v>45572</v>
      </c>
      <c r="G926" s="3">
        <v>45286</v>
      </c>
      <c r="H926" s="3">
        <v>45651</v>
      </c>
      <c r="I926" s="1" t="s">
        <v>3301</v>
      </c>
      <c r="J926" s="1" t="s">
        <v>3302</v>
      </c>
      <c r="K926" s="1"/>
      <c r="L926" s="1" t="s">
        <v>3064</v>
      </c>
      <c r="M926" s="1" t="s">
        <v>3303</v>
      </c>
      <c r="N926" s="1" t="s">
        <v>3304</v>
      </c>
      <c r="O926" s="1" t="s">
        <v>3305</v>
      </c>
      <c r="P926" s="1" t="s">
        <v>2095</v>
      </c>
      <c r="Q926" s="1" t="s">
        <v>3306</v>
      </c>
      <c r="R926" s="1"/>
      <c r="S926" s="1" t="s">
        <v>2072</v>
      </c>
      <c r="T926" s="1" t="s">
        <v>2073</v>
      </c>
      <c r="U926" s="4">
        <v>6700000</v>
      </c>
      <c r="V926" s="4">
        <v>4692</v>
      </c>
      <c r="W926" s="4">
        <v>47</v>
      </c>
      <c r="X926" s="4">
        <v>704</v>
      </c>
      <c r="Y926" s="4">
        <v>0</v>
      </c>
      <c r="Z926" s="5">
        <v>5443</v>
      </c>
      <c r="AA926" s="5">
        <v>0</v>
      </c>
      <c r="AB926" s="6">
        <v>0</v>
      </c>
      <c r="AC926" s="4">
        <v>5443</v>
      </c>
      <c r="AD926" s="4">
        <v>0</v>
      </c>
      <c r="AE926" s="4">
        <v>5443</v>
      </c>
      <c r="AF926" s="1"/>
      <c r="AG926" s="1"/>
      <c r="AH926" s="1"/>
      <c r="AI926" s="1" t="s">
        <v>3292</v>
      </c>
      <c r="AJ926" s="6">
        <v>682.67000000000121</v>
      </c>
      <c r="AK926" s="6">
        <v>593.06000000000006</v>
      </c>
      <c r="AL926" s="1"/>
    </row>
    <row r="927" spans="1:38" hidden="1" x14ac:dyDescent="0.25">
      <c r="A927" s="2">
        <v>1222</v>
      </c>
      <c r="B927" s="1" t="s">
        <v>1101</v>
      </c>
      <c r="C927" s="1" t="s">
        <v>1105</v>
      </c>
      <c r="D927" s="1" t="s">
        <v>2062</v>
      </c>
      <c r="E927" s="1" t="s">
        <v>2063</v>
      </c>
      <c r="F927" s="3">
        <v>45572</v>
      </c>
      <c r="G927" s="3">
        <v>45286</v>
      </c>
      <c r="H927" s="3">
        <v>45651</v>
      </c>
      <c r="I927" s="1" t="s">
        <v>3301</v>
      </c>
      <c r="J927" s="1" t="s">
        <v>3302</v>
      </c>
      <c r="K927" s="1"/>
      <c r="L927" s="1" t="s">
        <v>3064</v>
      </c>
      <c r="M927" s="1" t="s">
        <v>3303</v>
      </c>
      <c r="N927" s="1" t="s">
        <v>3304</v>
      </c>
      <c r="O927" s="1" t="s">
        <v>3305</v>
      </c>
      <c r="P927" s="1" t="s">
        <v>2095</v>
      </c>
      <c r="Q927" s="1" t="s">
        <v>3306</v>
      </c>
      <c r="R927" s="1"/>
      <c r="S927" s="1" t="s">
        <v>2072</v>
      </c>
      <c r="T927" s="1" t="s">
        <v>2073</v>
      </c>
      <c r="U927" s="4">
        <v>6700000</v>
      </c>
      <c r="V927" s="4">
        <v>3897</v>
      </c>
      <c r="W927" s="4">
        <v>39</v>
      </c>
      <c r="X927" s="4">
        <v>584</v>
      </c>
      <c r="Y927" s="4">
        <v>0</v>
      </c>
      <c r="Z927" s="5">
        <v>4520</v>
      </c>
      <c r="AA927" s="5">
        <v>0</v>
      </c>
      <c r="AB927" s="6">
        <v>0</v>
      </c>
      <c r="AC927" s="4">
        <v>4520</v>
      </c>
      <c r="AD927" s="4">
        <v>0</v>
      </c>
      <c r="AE927" s="4">
        <v>4520</v>
      </c>
      <c r="AF927" s="1"/>
      <c r="AG927" s="1"/>
      <c r="AH927" s="1"/>
      <c r="AI927" s="1" t="s">
        <v>3292</v>
      </c>
      <c r="AJ927" s="6">
        <v>492.75</v>
      </c>
      <c r="AK927" s="6">
        <v>492.29</v>
      </c>
      <c r="AL927" s="1"/>
    </row>
    <row r="928" spans="1:38" hidden="1" x14ac:dyDescent="0.25">
      <c r="A928" s="2">
        <v>1223</v>
      </c>
      <c r="B928" s="1" t="s">
        <v>1101</v>
      </c>
      <c r="C928" s="1" t="s">
        <v>1106</v>
      </c>
      <c r="D928" s="1" t="s">
        <v>2062</v>
      </c>
      <c r="E928" s="1" t="s">
        <v>2063</v>
      </c>
      <c r="F928" s="3">
        <v>45572</v>
      </c>
      <c r="G928" s="3">
        <v>45286</v>
      </c>
      <c r="H928" s="3">
        <v>45651</v>
      </c>
      <c r="I928" s="1" t="s">
        <v>3301</v>
      </c>
      <c r="J928" s="1" t="s">
        <v>3302</v>
      </c>
      <c r="K928" s="1"/>
      <c r="L928" s="1" t="s">
        <v>3064</v>
      </c>
      <c r="M928" s="1" t="s">
        <v>3303</v>
      </c>
      <c r="N928" s="1" t="s">
        <v>3304</v>
      </c>
      <c r="O928" s="1" t="s">
        <v>3305</v>
      </c>
      <c r="P928" s="1" t="s">
        <v>2095</v>
      </c>
      <c r="Q928" s="1" t="s">
        <v>3306</v>
      </c>
      <c r="R928" s="1"/>
      <c r="S928" s="1" t="s">
        <v>2072</v>
      </c>
      <c r="T928" s="1" t="s">
        <v>2073</v>
      </c>
      <c r="U928" s="4">
        <v>6700000</v>
      </c>
      <c r="V928" s="4">
        <v>6297</v>
      </c>
      <c r="W928" s="4">
        <v>63</v>
      </c>
      <c r="X928" s="4">
        <v>944</v>
      </c>
      <c r="Y928" s="4">
        <v>0</v>
      </c>
      <c r="Z928" s="5">
        <v>7304</v>
      </c>
      <c r="AA928" s="5">
        <v>0</v>
      </c>
      <c r="AB928" s="6">
        <v>0</v>
      </c>
      <c r="AC928" s="4">
        <v>7304</v>
      </c>
      <c r="AD928" s="4">
        <v>0</v>
      </c>
      <c r="AE928" s="4">
        <v>7304</v>
      </c>
      <c r="AF928" s="1"/>
      <c r="AG928" s="1"/>
      <c r="AH928" s="1"/>
      <c r="AI928" s="1" t="s">
        <v>3292</v>
      </c>
      <c r="AJ928" s="6">
        <v>858.09</v>
      </c>
      <c r="AK928" s="6">
        <v>795.95</v>
      </c>
      <c r="AL928" s="1"/>
    </row>
    <row r="929" spans="1:38" hidden="1" x14ac:dyDescent="0.25">
      <c r="A929" s="2">
        <v>1224</v>
      </c>
      <c r="B929" s="1" t="s">
        <v>1101</v>
      </c>
      <c r="C929" s="1" t="s">
        <v>1107</v>
      </c>
      <c r="D929" s="1" t="s">
        <v>2062</v>
      </c>
      <c r="E929" s="1" t="s">
        <v>2063</v>
      </c>
      <c r="F929" s="3">
        <v>45572</v>
      </c>
      <c r="G929" s="3">
        <v>45286</v>
      </c>
      <c r="H929" s="3">
        <v>45651</v>
      </c>
      <c r="I929" s="1" t="s">
        <v>3301</v>
      </c>
      <c r="J929" s="1" t="s">
        <v>3302</v>
      </c>
      <c r="K929" s="1"/>
      <c r="L929" s="1" t="s">
        <v>3064</v>
      </c>
      <c r="M929" s="1" t="s">
        <v>3303</v>
      </c>
      <c r="N929" s="1" t="s">
        <v>3304</v>
      </c>
      <c r="O929" s="1" t="s">
        <v>3305</v>
      </c>
      <c r="P929" s="1" t="s">
        <v>2095</v>
      </c>
      <c r="Q929" s="1" t="s">
        <v>3306</v>
      </c>
      <c r="R929" s="1"/>
      <c r="S929" s="1" t="s">
        <v>2072</v>
      </c>
      <c r="T929" s="1" t="s">
        <v>2073</v>
      </c>
      <c r="U929" s="4">
        <v>6700000</v>
      </c>
      <c r="V929" s="4">
        <v>3975</v>
      </c>
      <c r="W929" s="4">
        <v>40</v>
      </c>
      <c r="X929" s="4">
        <v>596</v>
      </c>
      <c r="Y929" s="4">
        <v>0</v>
      </c>
      <c r="Z929" s="5">
        <v>4611</v>
      </c>
      <c r="AA929" s="5">
        <v>0</v>
      </c>
      <c r="AB929" s="6">
        <v>0</v>
      </c>
      <c r="AC929" s="4">
        <v>4611</v>
      </c>
      <c r="AD929" s="4">
        <v>0</v>
      </c>
      <c r="AE929" s="4">
        <v>4611</v>
      </c>
      <c r="AF929" s="1"/>
      <c r="AG929" s="1"/>
      <c r="AH929" s="1"/>
      <c r="AI929" s="1" t="s">
        <v>3292</v>
      </c>
      <c r="AJ929" s="6">
        <v>507.62</v>
      </c>
      <c r="AK929" s="6">
        <v>502.41</v>
      </c>
      <c r="AL929" s="1"/>
    </row>
    <row r="930" spans="1:38" hidden="1" x14ac:dyDescent="0.25">
      <c r="A930" s="2">
        <v>1225</v>
      </c>
      <c r="B930" s="1" t="s">
        <v>1101</v>
      </c>
      <c r="C930" s="1" t="s">
        <v>1108</v>
      </c>
      <c r="D930" s="1" t="s">
        <v>2062</v>
      </c>
      <c r="E930" s="1" t="s">
        <v>2063</v>
      </c>
      <c r="F930" s="3">
        <v>45572</v>
      </c>
      <c r="G930" s="3">
        <v>45286</v>
      </c>
      <c r="H930" s="3">
        <v>45651</v>
      </c>
      <c r="I930" s="1" t="s">
        <v>3301</v>
      </c>
      <c r="J930" s="1" t="s">
        <v>3302</v>
      </c>
      <c r="K930" s="1"/>
      <c r="L930" s="1" t="s">
        <v>3064</v>
      </c>
      <c r="M930" s="1" t="s">
        <v>3303</v>
      </c>
      <c r="N930" s="1" t="s">
        <v>3304</v>
      </c>
      <c r="O930" s="1" t="s">
        <v>3305</v>
      </c>
      <c r="P930" s="1" t="s">
        <v>2095</v>
      </c>
      <c r="Q930" s="1" t="s">
        <v>3306</v>
      </c>
      <c r="R930" s="1"/>
      <c r="S930" s="1" t="s">
        <v>2072</v>
      </c>
      <c r="T930" s="1" t="s">
        <v>2073</v>
      </c>
      <c r="U930" s="4">
        <v>6700000</v>
      </c>
      <c r="V930" s="4">
        <v>5315</v>
      </c>
      <c r="W930" s="4">
        <v>53</v>
      </c>
      <c r="X930" s="4">
        <v>797</v>
      </c>
      <c r="Y930" s="4">
        <v>0</v>
      </c>
      <c r="Z930" s="5">
        <v>6165</v>
      </c>
      <c r="AA930" s="5">
        <v>0</v>
      </c>
      <c r="AB930" s="6">
        <v>0</v>
      </c>
      <c r="AC930" s="4">
        <v>6165</v>
      </c>
      <c r="AD930" s="4">
        <v>0</v>
      </c>
      <c r="AE930" s="4">
        <v>6165</v>
      </c>
      <c r="AF930" s="1"/>
      <c r="AG930" s="1"/>
      <c r="AH930" s="1"/>
      <c r="AI930" s="1" t="s">
        <v>3292</v>
      </c>
      <c r="AJ930" s="6">
        <v>743.18</v>
      </c>
      <c r="AK930" s="6">
        <v>672.02</v>
      </c>
      <c r="AL930" s="1"/>
    </row>
    <row r="931" spans="1:38" hidden="1" x14ac:dyDescent="0.25">
      <c r="A931" s="2">
        <v>1226</v>
      </c>
      <c r="B931" s="1" t="s">
        <v>1101</v>
      </c>
      <c r="C931" s="1" t="s">
        <v>1109</v>
      </c>
      <c r="D931" s="1" t="s">
        <v>2062</v>
      </c>
      <c r="E931" s="1" t="s">
        <v>2063</v>
      </c>
      <c r="F931" s="3">
        <v>45572</v>
      </c>
      <c r="G931" s="3">
        <v>45286</v>
      </c>
      <c r="H931" s="3">
        <v>45651</v>
      </c>
      <c r="I931" s="1" t="s">
        <v>3301</v>
      </c>
      <c r="J931" s="1" t="s">
        <v>3302</v>
      </c>
      <c r="K931" s="1"/>
      <c r="L931" s="1" t="s">
        <v>3064</v>
      </c>
      <c r="M931" s="1" t="s">
        <v>3303</v>
      </c>
      <c r="N931" s="1" t="s">
        <v>3304</v>
      </c>
      <c r="O931" s="1" t="s">
        <v>3305</v>
      </c>
      <c r="P931" s="1" t="s">
        <v>2095</v>
      </c>
      <c r="Q931" s="1" t="s">
        <v>3306</v>
      </c>
      <c r="R931" s="1"/>
      <c r="S931" s="1" t="s">
        <v>2072</v>
      </c>
      <c r="T931" s="1" t="s">
        <v>2073</v>
      </c>
      <c r="U931" s="4">
        <v>6700000</v>
      </c>
      <c r="V931" s="4">
        <v>9163</v>
      </c>
      <c r="W931" s="4">
        <v>92</v>
      </c>
      <c r="X931" s="4">
        <v>1375</v>
      </c>
      <c r="Y931" s="4">
        <v>0</v>
      </c>
      <c r="Z931" s="5">
        <v>10630</v>
      </c>
      <c r="AA931" s="5">
        <v>0</v>
      </c>
      <c r="AB931" s="6">
        <v>0</v>
      </c>
      <c r="AC931" s="4">
        <v>10630</v>
      </c>
      <c r="AD931" s="4">
        <v>0</v>
      </c>
      <c r="AE931" s="4">
        <v>10630</v>
      </c>
      <c r="AF931" s="1"/>
      <c r="AG931" s="1"/>
      <c r="AH931" s="1"/>
      <c r="AI931" s="1" t="s">
        <v>3292</v>
      </c>
      <c r="AJ931" s="6">
        <v>1631.78</v>
      </c>
      <c r="AK931" s="6">
        <v>1158.17</v>
      </c>
      <c r="AL931" s="1"/>
    </row>
    <row r="932" spans="1:38" hidden="1" x14ac:dyDescent="0.25">
      <c r="A932" s="2">
        <v>1227</v>
      </c>
      <c r="B932" s="1" t="s">
        <v>1101</v>
      </c>
      <c r="C932" s="1" t="s">
        <v>1110</v>
      </c>
      <c r="D932" s="1" t="s">
        <v>2062</v>
      </c>
      <c r="E932" s="1" t="s">
        <v>2063</v>
      </c>
      <c r="F932" s="3">
        <v>45593</v>
      </c>
      <c r="G932" s="3">
        <v>45286</v>
      </c>
      <c r="H932" s="3">
        <v>45651</v>
      </c>
      <c r="I932" s="1" t="s">
        <v>3301</v>
      </c>
      <c r="J932" s="1" t="s">
        <v>3302</v>
      </c>
      <c r="K932" s="1"/>
      <c r="L932" s="1" t="s">
        <v>3064</v>
      </c>
      <c r="M932" s="1" t="s">
        <v>3303</v>
      </c>
      <c r="N932" s="1" t="s">
        <v>3304</v>
      </c>
      <c r="O932" s="1" t="s">
        <v>3305</v>
      </c>
      <c r="P932" s="1" t="s">
        <v>2095</v>
      </c>
      <c r="Q932" s="1" t="s">
        <v>3306</v>
      </c>
      <c r="R932" s="1"/>
      <c r="S932" s="1" t="s">
        <v>2072</v>
      </c>
      <c r="T932" s="1" t="s">
        <v>2073</v>
      </c>
      <c r="U932" s="4">
        <v>6700000</v>
      </c>
      <c r="V932" s="4">
        <v>4503</v>
      </c>
      <c r="W932" s="4">
        <v>45</v>
      </c>
      <c r="X932" s="4">
        <v>676</v>
      </c>
      <c r="Y932" s="4">
        <v>0</v>
      </c>
      <c r="Z932" s="5">
        <v>5224</v>
      </c>
      <c r="AA932" s="5">
        <v>0</v>
      </c>
      <c r="AB932" s="6">
        <v>0</v>
      </c>
      <c r="AC932" s="4">
        <v>5224</v>
      </c>
      <c r="AD932" s="4">
        <v>0</v>
      </c>
      <c r="AE932" s="4">
        <v>5224</v>
      </c>
      <c r="AF932" s="1"/>
      <c r="AG932" s="1"/>
      <c r="AH932" s="1"/>
      <c r="AI932" s="1" t="s">
        <v>3292</v>
      </c>
      <c r="AJ932" s="6">
        <v>612.30000000000007</v>
      </c>
      <c r="AK932" s="6">
        <v>568.96</v>
      </c>
      <c r="AL932" s="1"/>
    </row>
    <row r="933" spans="1:38" hidden="1" x14ac:dyDescent="0.25">
      <c r="A933" s="2">
        <v>1228</v>
      </c>
      <c r="B933" s="1" t="s">
        <v>1101</v>
      </c>
      <c r="C933" s="1" t="s">
        <v>1111</v>
      </c>
      <c r="D933" s="1" t="s">
        <v>2062</v>
      </c>
      <c r="E933" s="1" t="s">
        <v>2063</v>
      </c>
      <c r="F933" s="3">
        <v>45623</v>
      </c>
      <c r="G933" s="3">
        <v>45286</v>
      </c>
      <c r="H933" s="3">
        <v>45651</v>
      </c>
      <c r="I933" s="1" t="s">
        <v>3301</v>
      </c>
      <c r="J933" s="1" t="s">
        <v>3302</v>
      </c>
      <c r="K933" s="1"/>
      <c r="L933" s="1" t="s">
        <v>3064</v>
      </c>
      <c r="M933" s="1" t="s">
        <v>3303</v>
      </c>
      <c r="N933" s="1" t="s">
        <v>3304</v>
      </c>
      <c r="O933" s="1" t="s">
        <v>3305</v>
      </c>
      <c r="P933" s="1" t="s">
        <v>2095</v>
      </c>
      <c r="Q933" s="1" t="s">
        <v>3306</v>
      </c>
      <c r="R933" s="1"/>
      <c r="S933" s="1" t="s">
        <v>2072</v>
      </c>
      <c r="T933" s="1" t="s">
        <v>2073</v>
      </c>
      <c r="U933" s="4">
        <v>6700000</v>
      </c>
      <c r="V933" s="4">
        <v>6356</v>
      </c>
      <c r="W933" s="4">
        <v>64</v>
      </c>
      <c r="X933" s="4">
        <v>954</v>
      </c>
      <c r="Y933" s="4">
        <v>0</v>
      </c>
      <c r="Z933" s="5">
        <v>7374</v>
      </c>
      <c r="AA933" s="5">
        <v>0</v>
      </c>
      <c r="AB933" s="6">
        <v>0</v>
      </c>
      <c r="AC933" s="4">
        <v>7374</v>
      </c>
      <c r="AD933" s="4">
        <v>0</v>
      </c>
      <c r="AE933" s="4">
        <v>7374</v>
      </c>
      <c r="AF933" s="1"/>
      <c r="AG933" s="1"/>
      <c r="AH933" s="1"/>
      <c r="AI933" s="1" t="s">
        <v>3292</v>
      </c>
      <c r="AJ933" s="6">
        <v>814.84</v>
      </c>
      <c r="AK933" s="6">
        <v>803.52</v>
      </c>
      <c r="AL933" s="1"/>
    </row>
    <row r="934" spans="1:38" hidden="1" x14ac:dyDescent="0.25">
      <c r="A934" s="2">
        <v>1229</v>
      </c>
      <c r="B934" s="1" t="s">
        <v>1101</v>
      </c>
      <c r="C934" s="1" t="s">
        <v>1112</v>
      </c>
      <c r="D934" s="1" t="s">
        <v>2062</v>
      </c>
      <c r="E934" s="1" t="s">
        <v>2063</v>
      </c>
      <c r="F934" s="3">
        <v>45745</v>
      </c>
      <c r="G934" s="3">
        <v>45286</v>
      </c>
      <c r="H934" s="3">
        <v>45651</v>
      </c>
      <c r="I934" s="1" t="s">
        <v>3301</v>
      </c>
      <c r="J934" s="1" t="s">
        <v>3302</v>
      </c>
      <c r="K934" s="1"/>
      <c r="L934" s="1" t="s">
        <v>3064</v>
      </c>
      <c r="M934" s="1" t="s">
        <v>3303</v>
      </c>
      <c r="N934" s="1" t="s">
        <v>3304</v>
      </c>
      <c r="O934" s="1" t="s">
        <v>3305</v>
      </c>
      <c r="P934" s="1" t="s">
        <v>2095</v>
      </c>
      <c r="Q934" s="1" t="s">
        <v>3306</v>
      </c>
      <c r="R934" s="1"/>
      <c r="S934" s="1" t="s">
        <v>2072</v>
      </c>
      <c r="T934" s="1" t="s">
        <v>2073</v>
      </c>
      <c r="U934" s="4">
        <v>-1</v>
      </c>
      <c r="V934" s="4">
        <v>-50820</v>
      </c>
      <c r="W934" s="4">
        <v>-450</v>
      </c>
      <c r="X934" s="4">
        <v>0</v>
      </c>
      <c r="Y934" s="4">
        <v>0</v>
      </c>
      <c r="Z934" s="5">
        <v>-51270</v>
      </c>
      <c r="AA934" s="5">
        <v>0</v>
      </c>
      <c r="AB934" s="6">
        <v>0</v>
      </c>
      <c r="AC934" s="4">
        <v>-51270</v>
      </c>
      <c r="AD934" s="4">
        <v>0</v>
      </c>
      <c r="AE934" s="4">
        <v>-51270</v>
      </c>
      <c r="AF934" s="1"/>
      <c r="AG934" s="1"/>
      <c r="AH934" s="1"/>
      <c r="AI934" s="1" t="s">
        <v>3292</v>
      </c>
      <c r="AJ934" s="1"/>
      <c r="AK934" s="1"/>
      <c r="AL934" s="1"/>
    </row>
    <row r="935" spans="1:38" hidden="1" x14ac:dyDescent="0.25">
      <c r="A935" s="2">
        <v>1230</v>
      </c>
      <c r="B935" s="1" t="s">
        <v>1113</v>
      </c>
      <c r="C935" s="1" t="s">
        <v>1114</v>
      </c>
      <c r="D935" s="1" t="s">
        <v>2062</v>
      </c>
      <c r="E935" s="1" t="s">
        <v>2063</v>
      </c>
      <c r="F935" s="3">
        <v>45566</v>
      </c>
      <c r="G935" s="3">
        <v>45287</v>
      </c>
      <c r="H935" s="3">
        <v>45652</v>
      </c>
      <c r="I935" s="1" t="s">
        <v>3308</v>
      </c>
      <c r="J935" s="1" t="s">
        <v>3309</v>
      </c>
      <c r="K935" s="1"/>
      <c r="L935" s="1" t="s">
        <v>2299</v>
      </c>
      <c r="M935" s="1" t="s">
        <v>3310</v>
      </c>
      <c r="N935" s="1" t="s">
        <v>3311</v>
      </c>
      <c r="O935" s="1" t="s">
        <v>3312</v>
      </c>
      <c r="P935" s="1" t="s">
        <v>2165</v>
      </c>
      <c r="Q935" s="1" t="s">
        <v>3313</v>
      </c>
      <c r="R935" s="1"/>
      <c r="S935" s="1" t="s">
        <v>2072</v>
      </c>
      <c r="T935" s="1" t="s">
        <v>2073</v>
      </c>
      <c r="U935" s="4">
        <v>1700000</v>
      </c>
      <c r="V935" s="4">
        <v>781</v>
      </c>
      <c r="W935" s="4">
        <v>8</v>
      </c>
      <c r="X935" s="4">
        <v>117</v>
      </c>
      <c r="Y935" s="4">
        <v>0</v>
      </c>
      <c r="Z935" s="5">
        <v>906</v>
      </c>
      <c r="AA935" s="5">
        <v>0</v>
      </c>
      <c r="AB935" s="6">
        <v>0</v>
      </c>
      <c r="AC935" s="4">
        <v>906</v>
      </c>
      <c r="AD935" s="4">
        <v>0</v>
      </c>
      <c r="AE935" s="4">
        <v>906</v>
      </c>
      <c r="AF935" s="1"/>
      <c r="AG935" s="1"/>
      <c r="AH935" s="1"/>
      <c r="AI935" s="1" t="s">
        <v>3292</v>
      </c>
      <c r="AJ935" s="6">
        <v>394.79</v>
      </c>
      <c r="AK935" s="6">
        <v>389.18000000000006</v>
      </c>
      <c r="AL935" s="1"/>
    </row>
    <row r="936" spans="1:38" hidden="1" x14ac:dyDescent="0.25">
      <c r="A936" s="2">
        <v>1231</v>
      </c>
      <c r="B936" s="1" t="s">
        <v>1113</v>
      </c>
      <c r="C936" s="1" t="s">
        <v>1115</v>
      </c>
      <c r="D936" s="1" t="s">
        <v>2062</v>
      </c>
      <c r="E936" s="1" t="s">
        <v>2063</v>
      </c>
      <c r="F936" s="3">
        <v>45595</v>
      </c>
      <c r="G936" s="3">
        <v>45287</v>
      </c>
      <c r="H936" s="3">
        <v>45652</v>
      </c>
      <c r="I936" s="1" t="s">
        <v>3308</v>
      </c>
      <c r="J936" s="1" t="s">
        <v>3309</v>
      </c>
      <c r="K936" s="1"/>
      <c r="L936" s="1" t="s">
        <v>2299</v>
      </c>
      <c r="M936" s="1" t="s">
        <v>3310</v>
      </c>
      <c r="N936" s="1" t="s">
        <v>3311</v>
      </c>
      <c r="O936" s="1" t="s">
        <v>3312</v>
      </c>
      <c r="P936" s="1" t="s">
        <v>2165</v>
      </c>
      <c r="Q936" s="1" t="s">
        <v>3313</v>
      </c>
      <c r="R936" s="1"/>
      <c r="S936" s="1" t="s">
        <v>2072</v>
      </c>
      <c r="T936" s="1" t="s">
        <v>2073</v>
      </c>
      <c r="U936" s="4">
        <v>1700000</v>
      </c>
      <c r="V936" s="4">
        <v>490</v>
      </c>
      <c r="W936" s="4">
        <v>5</v>
      </c>
      <c r="X936" s="4">
        <v>74</v>
      </c>
      <c r="Y936" s="4">
        <v>0</v>
      </c>
      <c r="Z936" s="5">
        <v>569</v>
      </c>
      <c r="AA936" s="5">
        <v>0</v>
      </c>
      <c r="AB936" s="6">
        <v>0</v>
      </c>
      <c r="AC936" s="4">
        <v>569</v>
      </c>
      <c r="AD936" s="4">
        <v>0</v>
      </c>
      <c r="AE936" s="4">
        <v>569</v>
      </c>
      <c r="AF936" s="1"/>
      <c r="AG936" s="1"/>
      <c r="AH936" s="1"/>
      <c r="AI936" s="1" t="s">
        <v>3292</v>
      </c>
      <c r="AJ936" s="6">
        <v>243.98</v>
      </c>
      <c r="AK936" s="6">
        <v>243.98</v>
      </c>
      <c r="AL936" s="1"/>
    </row>
    <row r="937" spans="1:38" hidden="1" x14ac:dyDescent="0.25">
      <c r="A937" s="2">
        <v>1232</v>
      </c>
      <c r="B937" s="1" t="s">
        <v>1113</v>
      </c>
      <c r="C937" s="1" t="s">
        <v>1116</v>
      </c>
      <c r="D937" s="1" t="s">
        <v>2062</v>
      </c>
      <c r="E937" s="1" t="s">
        <v>2063</v>
      </c>
      <c r="F937" s="3">
        <v>45624</v>
      </c>
      <c r="G937" s="3">
        <v>45287</v>
      </c>
      <c r="H937" s="3">
        <v>45652</v>
      </c>
      <c r="I937" s="1" t="s">
        <v>3308</v>
      </c>
      <c r="J937" s="1" t="s">
        <v>3309</v>
      </c>
      <c r="K937" s="1"/>
      <c r="L937" s="1" t="s">
        <v>2299</v>
      </c>
      <c r="M937" s="1" t="s">
        <v>3310</v>
      </c>
      <c r="N937" s="1" t="s">
        <v>3311</v>
      </c>
      <c r="O937" s="1" t="s">
        <v>3312</v>
      </c>
      <c r="P937" s="1" t="s">
        <v>2165</v>
      </c>
      <c r="Q937" s="1" t="s">
        <v>3313</v>
      </c>
      <c r="R937" s="1"/>
      <c r="S937" s="1" t="s">
        <v>2072</v>
      </c>
      <c r="T937" s="1" t="s">
        <v>2073</v>
      </c>
      <c r="U937" s="4">
        <v>1700000</v>
      </c>
      <c r="V937" s="4">
        <v>363</v>
      </c>
      <c r="W937" s="4">
        <v>4</v>
      </c>
      <c r="X937" s="4">
        <v>55</v>
      </c>
      <c r="Y937" s="4">
        <v>0</v>
      </c>
      <c r="Z937" s="5">
        <v>422</v>
      </c>
      <c r="AA937" s="5">
        <v>0</v>
      </c>
      <c r="AB937" s="6">
        <v>0</v>
      </c>
      <c r="AC937" s="4">
        <v>422</v>
      </c>
      <c r="AD937" s="4">
        <v>0</v>
      </c>
      <c r="AE937" s="4">
        <v>422</v>
      </c>
      <c r="AF937" s="1"/>
      <c r="AG937" s="1"/>
      <c r="AH937" s="1"/>
      <c r="AI937" s="1" t="s">
        <v>3292</v>
      </c>
      <c r="AJ937" s="6">
        <v>180.98</v>
      </c>
      <c r="AK937" s="6">
        <v>180.98</v>
      </c>
      <c r="AL937" s="1"/>
    </row>
    <row r="938" spans="1:38" hidden="1" x14ac:dyDescent="0.25">
      <c r="A938" s="2">
        <v>1233</v>
      </c>
      <c r="B938" s="1" t="s">
        <v>1113</v>
      </c>
      <c r="C938" s="1" t="s">
        <v>1117</v>
      </c>
      <c r="D938" s="1" t="s">
        <v>2062</v>
      </c>
      <c r="E938" s="1" t="s">
        <v>2063</v>
      </c>
      <c r="F938" s="3">
        <v>45745</v>
      </c>
      <c r="G938" s="3">
        <v>45287</v>
      </c>
      <c r="H938" s="3">
        <v>45652</v>
      </c>
      <c r="I938" s="1" t="s">
        <v>3308</v>
      </c>
      <c r="J938" s="1" t="s">
        <v>3309</v>
      </c>
      <c r="K938" s="1"/>
      <c r="L938" s="1" t="s">
        <v>2299</v>
      </c>
      <c r="M938" s="1" t="s">
        <v>3310</v>
      </c>
      <c r="N938" s="1" t="s">
        <v>3311</v>
      </c>
      <c r="O938" s="1" t="s">
        <v>3312</v>
      </c>
      <c r="P938" s="1" t="s">
        <v>2165</v>
      </c>
      <c r="Q938" s="1" t="s">
        <v>3313</v>
      </c>
      <c r="R938" s="1"/>
      <c r="S938" s="1" t="s">
        <v>2072</v>
      </c>
      <c r="T938" s="1" t="s">
        <v>2073</v>
      </c>
      <c r="U938" s="4">
        <v>-1</v>
      </c>
      <c r="V938" s="4">
        <v>-1880</v>
      </c>
      <c r="W938" s="4">
        <v>-17</v>
      </c>
      <c r="X938" s="4">
        <v>0</v>
      </c>
      <c r="Y938" s="4">
        <v>0</v>
      </c>
      <c r="Z938" s="5">
        <v>-1897</v>
      </c>
      <c r="AA938" s="5">
        <v>0</v>
      </c>
      <c r="AB938" s="6">
        <v>0</v>
      </c>
      <c r="AC938" s="4">
        <v>-1897</v>
      </c>
      <c r="AD938" s="4">
        <v>0</v>
      </c>
      <c r="AE938" s="4">
        <v>-1897</v>
      </c>
      <c r="AF938" s="1"/>
      <c r="AG938" s="1"/>
      <c r="AH938" s="1"/>
      <c r="AI938" s="1" t="s">
        <v>3292</v>
      </c>
      <c r="AJ938" s="1"/>
      <c r="AK938" s="1"/>
      <c r="AL938" s="1"/>
    </row>
    <row r="939" spans="1:38" hidden="1" x14ac:dyDescent="0.25">
      <c r="A939" s="2">
        <v>1247</v>
      </c>
      <c r="B939" s="1" t="s">
        <v>1118</v>
      </c>
      <c r="C939" s="1" t="s">
        <v>1119</v>
      </c>
      <c r="D939" s="1" t="s">
        <v>2062</v>
      </c>
      <c r="E939" s="1" t="s">
        <v>2063</v>
      </c>
      <c r="F939" s="3">
        <v>45289</v>
      </c>
      <c r="G939" s="3">
        <v>45276</v>
      </c>
      <c r="H939" s="3">
        <v>45641</v>
      </c>
      <c r="I939" s="1" t="s">
        <v>3314</v>
      </c>
      <c r="J939" s="1" t="s">
        <v>3315</v>
      </c>
      <c r="K939" s="1"/>
      <c r="L939" s="1" t="s">
        <v>2782</v>
      </c>
      <c r="M939" s="1" t="s">
        <v>3316</v>
      </c>
      <c r="N939" s="1" t="s">
        <v>3317</v>
      </c>
      <c r="O939" s="1" t="s">
        <v>3318</v>
      </c>
      <c r="P939" s="1" t="s">
        <v>2247</v>
      </c>
      <c r="Q939" s="1"/>
      <c r="R939" s="1"/>
      <c r="S939" s="1" t="s">
        <v>2072</v>
      </c>
      <c r="T939" s="1" t="s">
        <v>3165</v>
      </c>
      <c r="U939" s="4">
        <v>2800000</v>
      </c>
      <c r="V939" s="4">
        <v>44736</v>
      </c>
      <c r="W939" s="4">
        <v>448</v>
      </c>
      <c r="X939" s="4">
        <v>5816</v>
      </c>
      <c r="Y939" s="4">
        <v>0</v>
      </c>
      <c r="Z939" s="5">
        <v>51000</v>
      </c>
      <c r="AA939" s="5">
        <v>0</v>
      </c>
      <c r="AB939" s="6">
        <v>0</v>
      </c>
      <c r="AC939" s="4">
        <v>51000</v>
      </c>
      <c r="AD939" s="4">
        <v>0</v>
      </c>
      <c r="AE939" s="4">
        <v>51000</v>
      </c>
      <c r="AF939" s="1"/>
      <c r="AG939" s="1"/>
      <c r="AH939" s="1"/>
      <c r="AI939" s="1" t="s">
        <v>3057</v>
      </c>
      <c r="AJ939" s="1"/>
      <c r="AK939" s="1"/>
      <c r="AL939" s="1"/>
    </row>
    <row r="940" spans="1:38" hidden="1" x14ac:dyDescent="0.25">
      <c r="A940" s="2">
        <v>1248</v>
      </c>
      <c r="B940" s="1" t="s">
        <v>1118</v>
      </c>
      <c r="C940" s="1" t="s">
        <v>1120</v>
      </c>
      <c r="D940" s="1" t="s">
        <v>2062</v>
      </c>
      <c r="E940" s="1" t="s">
        <v>2063</v>
      </c>
      <c r="F940" s="3">
        <v>45368</v>
      </c>
      <c r="G940" s="3">
        <v>45276</v>
      </c>
      <c r="H940" s="3">
        <v>45641</v>
      </c>
      <c r="I940" s="1" t="s">
        <v>3314</v>
      </c>
      <c r="J940" s="1" t="s">
        <v>3315</v>
      </c>
      <c r="K940" s="1"/>
      <c r="L940" s="1" t="s">
        <v>2782</v>
      </c>
      <c r="M940" s="1" t="s">
        <v>3316</v>
      </c>
      <c r="N940" s="1" t="s">
        <v>3317</v>
      </c>
      <c r="O940" s="1" t="s">
        <v>3318</v>
      </c>
      <c r="P940" s="1" t="s">
        <v>2247</v>
      </c>
      <c r="Q940" s="1"/>
      <c r="R940" s="1"/>
      <c r="S940" s="1" t="s">
        <v>2072</v>
      </c>
      <c r="T940" s="1" t="s">
        <v>3165</v>
      </c>
      <c r="U940" s="4">
        <v>2800000</v>
      </c>
      <c r="V940" s="4">
        <v>540</v>
      </c>
      <c r="W940" s="4">
        <v>6</v>
      </c>
      <c r="X940" s="4">
        <v>70</v>
      </c>
      <c r="Y940" s="4">
        <v>0</v>
      </c>
      <c r="Z940" s="5">
        <v>616</v>
      </c>
      <c r="AA940" s="5">
        <v>0</v>
      </c>
      <c r="AB940" s="6">
        <v>0</v>
      </c>
      <c r="AC940" s="4">
        <v>616</v>
      </c>
      <c r="AD940" s="4">
        <v>0</v>
      </c>
      <c r="AE940" s="4">
        <v>616</v>
      </c>
      <c r="AF940" s="1"/>
      <c r="AG940" s="1"/>
      <c r="AH940" s="1"/>
      <c r="AI940" s="1" t="s">
        <v>3057</v>
      </c>
      <c r="AJ940" s="6">
        <v>194.71</v>
      </c>
      <c r="AK940" s="6">
        <v>160.43</v>
      </c>
      <c r="AL940" s="1"/>
    </row>
    <row r="941" spans="1:38" hidden="1" x14ac:dyDescent="0.25">
      <c r="A941" s="2">
        <v>1249</v>
      </c>
      <c r="B941" s="1" t="s">
        <v>1118</v>
      </c>
      <c r="C941" s="1" t="s">
        <v>1121</v>
      </c>
      <c r="D941" s="1" t="s">
        <v>2062</v>
      </c>
      <c r="E941" s="1" t="s">
        <v>2063</v>
      </c>
      <c r="F941" s="3">
        <v>45398</v>
      </c>
      <c r="G941" s="3">
        <v>45276</v>
      </c>
      <c r="H941" s="3">
        <v>45641</v>
      </c>
      <c r="I941" s="1" t="s">
        <v>3314</v>
      </c>
      <c r="J941" s="1" t="s">
        <v>3315</v>
      </c>
      <c r="K941" s="1"/>
      <c r="L941" s="1" t="s">
        <v>2782</v>
      </c>
      <c r="M941" s="1" t="s">
        <v>3316</v>
      </c>
      <c r="N941" s="1" t="s">
        <v>3317</v>
      </c>
      <c r="O941" s="1" t="s">
        <v>3318</v>
      </c>
      <c r="P941" s="1" t="s">
        <v>2247</v>
      </c>
      <c r="Q941" s="1"/>
      <c r="R941" s="1"/>
      <c r="S941" s="1" t="s">
        <v>2072</v>
      </c>
      <c r="T941" s="1" t="s">
        <v>3165</v>
      </c>
      <c r="U941" s="4">
        <v>2800000</v>
      </c>
      <c r="V941" s="4">
        <v>1169</v>
      </c>
      <c r="W941" s="4">
        <v>11</v>
      </c>
      <c r="X941" s="4">
        <v>152</v>
      </c>
      <c r="Y941" s="4">
        <v>0</v>
      </c>
      <c r="Z941" s="5">
        <v>1332</v>
      </c>
      <c r="AA941" s="5">
        <v>0</v>
      </c>
      <c r="AB941" s="6">
        <v>0</v>
      </c>
      <c r="AC941" s="4">
        <v>1332</v>
      </c>
      <c r="AD941" s="4">
        <v>0</v>
      </c>
      <c r="AE941" s="4">
        <v>1332</v>
      </c>
      <c r="AF941" s="1"/>
      <c r="AG941" s="1"/>
      <c r="AH941" s="1"/>
      <c r="AI941" s="1" t="s">
        <v>3057</v>
      </c>
      <c r="AJ941" s="6">
        <v>348.1400000000001</v>
      </c>
      <c r="AK941" s="6">
        <v>346.91</v>
      </c>
      <c r="AL941" s="1"/>
    </row>
    <row r="942" spans="1:38" hidden="1" x14ac:dyDescent="0.25">
      <c r="A942" s="2">
        <v>1250</v>
      </c>
      <c r="B942" s="1" t="s">
        <v>1118</v>
      </c>
      <c r="C942" s="1" t="s">
        <v>1122</v>
      </c>
      <c r="D942" s="1" t="s">
        <v>2062</v>
      </c>
      <c r="E942" s="1" t="s">
        <v>2063</v>
      </c>
      <c r="F942" s="3">
        <v>45428</v>
      </c>
      <c r="G942" s="3">
        <v>45276</v>
      </c>
      <c r="H942" s="3">
        <v>45641</v>
      </c>
      <c r="I942" s="1" t="s">
        <v>3314</v>
      </c>
      <c r="J942" s="1" t="s">
        <v>3315</v>
      </c>
      <c r="K942" s="1"/>
      <c r="L942" s="1" t="s">
        <v>2782</v>
      </c>
      <c r="M942" s="1" t="s">
        <v>3316</v>
      </c>
      <c r="N942" s="1" t="s">
        <v>3317</v>
      </c>
      <c r="O942" s="1" t="s">
        <v>3318</v>
      </c>
      <c r="P942" s="1" t="s">
        <v>2247</v>
      </c>
      <c r="Q942" s="1"/>
      <c r="R942" s="1"/>
      <c r="S942" s="1" t="s">
        <v>2072</v>
      </c>
      <c r="T942" s="1" t="s">
        <v>3165</v>
      </c>
      <c r="U942" s="4">
        <v>2800000</v>
      </c>
      <c r="V942" s="4">
        <v>628</v>
      </c>
      <c r="W942" s="4">
        <v>7</v>
      </c>
      <c r="X942" s="4">
        <v>82</v>
      </c>
      <c r="Y942" s="4">
        <v>0</v>
      </c>
      <c r="Z942" s="5">
        <v>717</v>
      </c>
      <c r="AA942" s="5">
        <v>0</v>
      </c>
      <c r="AB942" s="6">
        <v>0</v>
      </c>
      <c r="AC942" s="4">
        <v>717</v>
      </c>
      <c r="AD942" s="4">
        <v>0</v>
      </c>
      <c r="AE942" s="4">
        <v>717</v>
      </c>
      <c r="AF942" s="1"/>
      <c r="AG942" s="1"/>
      <c r="AH942" s="1"/>
      <c r="AI942" s="1" t="s">
        <v>3057</v>
      </c>
      <c r="AJ942" s="6">
        <v>212.13000000000002</v>
      </c>
      <c r="AK942" s="6">
        <v>187.28</v>
      </c>
      <c r="AL942" s="1"/>
    </row>
    <row r="943" spans="1:38" hidden="1" x14ac:dyDescent="0.25">
      <c r="A943" s="2">
        <v>1251</v>
      </c>
      <c r="B943" s="1" t="s">
        <v>1118</v>
      </c>
      <c r="C943" s="1" t="s">
        <v>1123</v>
      </c>
      <c r="D943" s="1" t="s">
        <v>2062</v>
      </c>
      <c r="E943" s="1" t="s">
        <v>2063</v>
      </c>
      <c r="F943" s="3">
        <v>45596</v>
      </c>
      <c r="G943" s="3">
        <v>45276</v>
      </c>
      <c r="H943" s="3">
        <v>45641</v>
      </c>
      <c r="I943" s="1" t="s">
        <v>3314</v>
      </c>
      <c r="J943" s="1" t="s">
        <v>3315</v>
      </c>
      <c r="K943" s="1"/>
      <c r="L943" s="1" t="s">
        <v>2782</v>
      </c>
      <c r="M943" s="1" t="s">
        <v>3316</v>
      </c>
      <c r="N943" s="1" t="s">
        <v>3317</v>
      </c>
      <c r="O943" s="1" t="s">
        <v>3318</v>
      </c>
      <c r="P943" s="1" t="s">
        <v>2247</v>
      </c>
      <c r="Q943" s="1"/>
      <c r="R943" s="1"/>
      <c r="S943" s="1" t="s">
        <v>2072</v>
      </c>
      <c r="T943" s="1" t="s">
        <v>3165</v>
      </c>
      <c r="U943" s="4">
        <v>-1</v>
      </c>
      <c r="V943" s="4">
        <v>-53134</v>
      </c>
      <c r="W943" s="4">
        <v>-531</v>
      </c>
      <c r="X943" s="4">
        <v>0</v>
      </c>
      <c r="Y943" s="4">
        <v>0</v>
      </c>
      <c r="Z943" s="5">
        <v>-53665</v>
      </c>
      <c r="AA943" s="5">
        <v>0</v>
      </c>
      <c r="AB943" s="6">
        <v>0</v>
      </c>
      <c r="AC943" s="4">
        <v>-53665</v>
      </c>
      <c r="AD943" s="4">
        <v>0</v>
      </c>
      <c r="AE943" s="4">
        <v>-53665</v>
      </c>
      <c r="AF943" s="1"/>
      <c r="AG943" s="1"/>
      <c r="AH943" s="1"/>
      <c r="AI943" s="1" t="s">
        <v>3057</v>
      </c>
      <c r="AJ943" s="1"/>
      <c r="AK943" s="1"/>
      <c r="AL943" s="1"/>
    </row>
    <row r="944" spans="1:38" hidden="1" x14ac:dyDescent="0.25">
      <c r="A944" s="2">
        <v>1254</v>
      </c>
      <c r="B944" s="1" t="s">
        <v>1124</v>
      </c>
      <c r="C944" s="1" t="s">
        <v>1125</v>
      </c>
      <c r="D944" s="1" t="s">
        <v>2062</v>
      </c>
      <c r="E944" s="1" t="s">
        <v>2063</v>
      </c>
      <c r="F944" s="3">
        <v>45289</v>
      </c>
      <c r="G944" s="3">
        <v>45278</v>
      </c>
      <c r="H944" s="3">
        <v>45643</v>
      </c>
      <c r="I944" s="1" t="s">
        <v>3319</v>
      </c>
      <c r="J944" s="1" t="s">
        <v>3320</v>
      </c>
      <c r="K944" s="1"/>
      <c r="L944" s="1" t="s">
        <v>3321</v>
      </c>
      <c r="M944" s="1" t="s">
        <v>3322</v>
      </c>
      <c r="N944" s="1" t="s">
        <v>3323</v>
      </c>
      <c r="O944" s="1" t="s">
        <v>3324</v>
      </c>
      <c r="P944" s="1" t="s">
        <v>2095</v>
      </c>
      <c r="Q944" s="1"/>
      <c r="R944" s="1"/>
      <c r="S944" s="1" t="s">
        <v>2072</v>
      </c>
      <c r="T944" s="1" t="s">
        <v>3165</v>
      </c>
      <c r="U944" s="4">
        <v>4500000</v>
      </c>
      <c r="V944" s="4">
        <v>74561</v>
      </c>
      <c r="W944" s="4">
        <v>746</v>
      </c>
      <c r="X944" s="4">
        <v>9693</v>
      </c>
      <c r="Y944" s="4">
        <v>0</v>
      </c>
      <c r="Z944" s="5">
        <v>85000</v>
      </c>
      <c r="AA944" s="5">
        <v>0</v>
      </c>
      <c r="AB944" s="6">
        <v>0</v>
      </c>
      <c r="AC944" s="4">
        <v>85000</v>
      </c>
      <c r="AD944" s="4">
        <v>0</v>
      </c>
      <c r="AE944" s="4">
        <v>85000</v>
      </c>
      <c r="AF944" s="1"/>
      <c r="AG944" s="1"/>
      <c r="AH944" s="1"/>
      <c r="AI944" s="1" t="s">
        <v>2841</v>
      </c>
      <c r="AJ944" s="1"/>
      <c r="AK944" s="1"/>
      <c r="AL944" s="1"/>
    </row>
    <row r="945" spans="1:38" hidden="1" x14ac:dyDescent="0.25">
      <c r="A945" s="2">
        <v>1255</v>
      </c>
      <c r="B945" s="1" t="s">
        <v>1124</v>
      </c>
      <c r="C945" s="1" t="s">
        <v>1126</v>
      </c>
      <c r="D945" s="1" t="s">
        <v>2062</v>
      </c>
      <c r="E945" s="1" t="s">
        <v>2063</v>
      </c>
      <c r="F945" s="3">
        <v>45497</v>
      </c>
      <c r="G945" s="3">
        <v>45278</v>
      </c>
      <c r="H945" s="3">
        <v>45643</v>
      </c>
      <c r="I945" s="1" t="s">
        <v>3319</v>
      </c>
      <c r="J945" s="1" t="s">
        <v>3320</v>
      </c>
      <c r="K945" s="1"/>
      <c r="L945" s="1" t="s">
        <v>3321</v>
      </c>
      <c r="M945" s="1" t="s">
        <v>3322</v>
      </c>
      <c r="N945" s="1" t="s">
        <v>3323</v>
      </c>
      <c r="O945" s="1" t="s">
        <v>3324</v>
      </c>
      <c r="P945" s="1" t="s">
        <v>2095</v>
      </c>
      <c r="Q945" s="1"/>
      <c r="R945" s="1"/>
      <c r="S945" s="1" t="s">
        <v>2072</v>
      </c>
      <c r="T945" s="1" t="s">
        <v>3165</v>
      </c>
      <c r="U945" s="4">
        <v>4500000</v>
      </c>
      <c r="V945" s="4">
        <v>2150</v>
      </c>
      <c r="W945" s="4">
        <v>21</v>
      </c>
      <c r="X945" s="4">
        <v>322</v>
      </c>
      <c r="Y945" s="4">
        <v>0</v>
      </c>
      <c r="Z945" s="5">
        <v>2493</v>
      </c>
      <c r="AA945" s="5">
        <v>0</v>
      </c>
      <c r="AB945" s="6">
        <v>0</v>
      </c>
      <c r="AC945" s="4">
        <v>2493</v>
      </c>
      <c r="AD945" s="4">
        <v>0</v>
      </c>
      <c r="AE945" s="4">
        <v>2493</v>
      </c>
      <c r="AF945" s="1"/>
      <c r="AG945" s="1"/>
      <c r="AH945" s="1"/>
      <c r="AI945" s="1" t="s">
        <v>2841</v>
      </c>
      <c r="AJ945" s="6">
        <v>404.42</v>
      </c>
      <c r="AK945" s="6">
        <v>404.42</v>
      </c>
      <c r="AL945" s="1"/>
    </row>
    <row r="946" spans="1:38" hidden="1" x14ac:dyDescent="0.25">
      <c r="A946" s="2">
        <v>1256</v>
      </c>
      <c r="B946" s="1" t="s">
        <v>1124</v>
      </c>
      <c r="C946" s="1" t="s">
        <v>1127</v>
      </c>
      <c r="D946" s="1" t="s">
        <v>2062</v>
      </c>
      <c r="E946" s="1" t="s">
        <v>2063</v>
      </c>
      <c r="F946" s="3">
        <v>45655</v>
      </c>
      <c r="G946" s="3">
        <v>45278</v>
      </c>
      <c r="H946" s="3">
        <v>45643</v>
      </c>
      <c r="I946" s="1" t="s">
        <v>3319</v>
      </c>
      <c r="J946" s="1" t="s">
        <v>3320</v>
      </c>
      <c r="K946" s="1"/>
      <c r="L946" s="1" t="s">
        <v>3321</v>
      </c>
      <c r="M946" s="1" t="s">
        <v>3322</v>
      </c>
      <c r="N946" s="1" t="s">
        <v>3323</v>
      </c>
      <c r="O946" s="1" t="s">
        <v>3324</v>
      </c>
      <c r="P946" s="1" t="s">
        <v>2095</v>
      </c>
      <c r="Q946" s="1"/>
      <c r="R946" s="1"/>
      <c r="S946" s="1" t="s">
        <v>2072</v>
      </c>
      <c r="T946" s="1" t="s">
        <v>3165</v>
      </c>
      <c r="U946" s="4">
        <v>-1</v>
      </c>
      <c r="V946" s="4">
        <v>-86627</v>
      </c>
      <c r="W946" s="4">
        <v>-866</v>
      </c>
      <c r="X946" s="4">
        <v>0</v>
      </c>
      <c r="Y946" s="4">
        <v>0</v>
      </c>
      <c r="Z946" s="5">
        <v>-87493</v>
      </c>
      <c r="AA946" s="5">
        <v>0</v>
      </c>
      <c r="AB946" s="6">
        <v>0</v>
      </c>
      <c r="AC946" s="4">
        <v>-87493</v>
      </c>
      <c r="AD946" s="4">
        <v>0</v>
      </c>
      <c r="AE946" s="4">
        <v>-87493</v>
      </c>
      <c r="AF946" s="1"/>
      <c r="AG946" s="1"/>
      <c r="AH946" s="1"/>
      <c r="AI946" s="1" t="s">
        <v>2841</v>
      </c>
      <c r="AJ946" s="1"/>
      <c r="AK946" s="1"/>
      <c r="AL946" s="1"/>
    </row>
    <row r="947" spans="1:38" hidden="1" x14ac:dyDescent="0.25">
      <c r="A947" s="2">
        <v>1257</v>
      </c>
      <c r="B947" s="1" t="s">
        <v>1128</v>
      </c>
      <c r="C947" s="1" t="s">
        <v>1129</v>
      </c>
      <c r="D947" s="1" t="s">
        <v>2062</v>
      </c>
      <c r="E947" s="1" t="s">
        <v>2063</v>
      </c>
      <c r="F947" s="3">
        <v>45289</v>
      </c>
      <c r="G947" s="3">
        <v>45280</v>
      </c>
      <c r="H947" s="3">
        <v>45645</v>
      </c>
      <c r="I947" s="1" t="s">
        <v>3325</v>
      </c>
      <c r="J947" s="1" t="s">
        <v>3326</v>
      </c>
      <c r="K947" s="1"/>
      <c r="L947" s="1" t="s">
        <v>2336</v>
      </c>
      <c r="M947" s="1" t="s">
        <v>3327</v>
      </c>
      <c r="N947" s="1" t="s">
        <v>3328</v>
      </c>
      <c r="O947" s="1" t="s">
        <v>3329</v>
      </c>
      <c r="P947" s="1" t="s">
        <v>2247</v>
      </c>
      <c r="Q947" s="1"/>
      <c r="R947" s="1"/>
      <c r="S947" s="1" t="s">
        <v>2072</v>
      </c>
      <c r="T947" s="1" t="s">
        <v>3165</v>
      </c>
      <c r="U947" s="4">
        <v>3250000</v>
      </c>
      <c r="V947" s="4">
        <v>52630</v>
      </c>
      <c r="W947" s="4">
        <v>527</v>
      </c>
      <c r="X947" s="4">
        <v>6843</v>
      </c>
      <c r="Y947" s="4">
        <v>0</v>
      </c>
      <c r="Z947" s="5">
        <v>60000</v>
      </c>
      <c r="AA947" s="5">
        <v>0</v>
      </c>
      <c r="AB947" s="6">
        <v>0</v>
      </c>
      <c r="AC947" s="4">
        <v>60000</v>
      </c>
      <c r="AD947" s="4">
        <v>0</v>
      </c>
      <c r="AE947" s="4">
        <v>60000</v>
      </c>
      <c r="AF947" s="1"/>
      <c r="AG947" s="1"/>
      <c r="AH947" s="1"/>
      <c r="AI947" s="1" t="s">
        <v>2327</v>
      </c>
      <c r="AJ947" s="1"/>
      <c r="AK947" s="1"/>
      <c r="AL947" s="1"/>
    </row>
    <row r="948" spans="1:38" hidden="1" x14ac:dyDescent="0.25">
      <c r="A948" s="2">
        <v>1258</v>
      </c>
      <c r="B948" s="1" t="s">
        <v>1128</v>
      </c>
      <c r="C948" s="1" t="s">
        <v>1130</v>
      </c>
      <c r="D948" s="1" t="s">
        <v>2062</v>
      </c>
      <c r="E948" s="1" t="s">
        <v>2063</v>
      </c>
      <c r="F948" s="3">
        <v>45432</v>
      </c>
      <c r="G948" s="3">
        <v>45280</v>
      </c>
      <c r="H948" s="3">
        <v>45645</v>
      </c>
      <c r="I948" s="1" t="s">
        <v>3325</v>
      </c>
      <c r="J948" s="1" t="s">
        <v>3326</v>
      </c>
      <c r="K948" s="1"/>
      <c r="L948" s="1" t="s">
        <v>2336</v>
      </c>
      <c r="M948" s="1" t="s">
        <v>3327</v>
      </c>
      <c r="N948" s="1" t="s">
        <v>3328</v>
      </c>
      <c r="O948" s="1" t="s">
        <v>3329</v>
      </c>
      <c r="P948" s="1" t="s">
        <v>2247</v>
      </c>
      <c r="Q948" s="1"/>
      <c r="R948" s="1"/>
      <c r="S948" s="1" t="s">
        <v>2072</v>
      </c>
      <c r="T948" s="1" t="s">
        <v>3165</v>
      </c>
      <c r="U948" s="4">
        <v>3250000</v>
      </c>
      <c r="V948" s="4">
        <v>737</v>
      </c>
      <c r="W948" s="4">
        <v>7</v>
      </c>
      <c r="X948" s="4">
        <v>96</v>
      </c>
      <c r="Y948" s="4">
        <v>0</v>
      </c>
      <c r="Z948" s="5">
        <v>840</v>
      </c>
      <c r="AA948" s="5">
        <v>0</v>
      </c>
      <c r="AB948" s="6">
        <v>0</v>
      </c>
      <c r="AC948" s="4">
        <v>840</v>
      </c>
      <c r="AD948" s="4">
        <v>0</v>
      </c>
      <c r="AE948" s="4">
        <v>840</v>
      </c>
      <c r="AF948" s="1"/>
      <c r="AG948" s="1"/>
      <c r="AH948" s="1"/>
      <c r="AI948" s="1" t="s">
        <v>2327</v>
      </c>
      <c r="AJ948" s="6">
        <v>188.9</v>
      </c>
      <c r="AK948" s="6">
        <v>188.9</v>
      </c>
      <c r="AL948" s="1"/>
    </row>
    <row r="949" spans="1:38" hidden="1" x14ac:dyDescent="0.25">
      <c r="A949" s="2">
        <v>1259</v>
      </c>
      <c r="B949" s="1" t="s">
        <v>1128</v>
      </c>
      <c r="C949" s="1" t="s">
        <v>1131</v>
      </c>
      <c r="D949" s="1" t="s">
        <v>2062</v>
      </c>
      <c r="E949" s="1" t="s">
        <v>2063</v>
      </c>
      <c r="F949" s="3">
        <v>45465</v>
      </c>
      <c r="G949" s="3">
        <v>45280</v>
      </c>
      <c r="H949" s="3">
        <v>45645</v>
      </c>
      <c r="I949" s="1" t="s">
        <v>3325</v>
      </c>
      <c r="J949" s="1" t="s">
        <v>3326</v>
      </c>
      <c r="K949" s="1"/>
      <c r="L949" s="1" t="s">
        <v>2336</v>
      </c>
      <c r="M949" s="1" t="s">
        <v>3327</v>
      </c>
      <c r="N949" s="1" t="s">
        <v>3328</v>
      </c>
      <c r="O949" s="1" t="s">
        <v>3329</v>
      </c>
      <c r="P949" s="1" t="s">
        <v>2247</v>
      </c>
      <c r="Q949" s="1"/>
      <c r="R949" s="1"/>
      <c r="S949" s="1" t="s">
        <v>2072</v>
      </c>
      <c r="T949" s="1" t="s">
        <v>3165</v>
      </c>
      <c r="U949" s="4">
        <v>3250000</v>
      </c>
      <c r="V949" s="4">
        <v>1145</v>
      </c>
      <c r="W949" s="4">
        <v>12</v>
      </c>
      <c r="X949" s="4">
        <v>149</v>
      </c>
      <c r="Y949" s="4">
        <v>0</v>
      </c>
      <c r="Z949" s="5">
        <v>1306</v>
      </c>
      <c r="AA949" s="5">
        <v>0</v>
      </c>
      <c r="AB949" s="6">
        <v>0</v>
      </c>
      <c r="AC949" s="4">
        <v>1306</v>
      </c>
      <c r="AD949" s="4">
        <v>0</v>
      </c>
      <c r="AE949" s="4">
        <v>1306</v>
      </c>
      <c r="AF949" s="1"/>
      <c r="AG949" s="1"/>
      <c r="AH949" s="1"/>
      <c r="AI949" s="1" t="s">
        <v>2327</v>
      </c>
      <c r="AJ949" s="6">
        <v>709.45</v>
      </c>
      <c r="AK949" s="6">
        <v>293.84000000000003</v>
      </c>
      <c r="AL949" s="1"/>
    </row>
    <row r="950" spans="1:38" hidden="1" x14ac:dyDescent="0.25">
      <c r="A950" s="2">
        <v>1260</v>
      </c>
      <c r="B950" s="1" t="s">
        <v>1128</v>
      </c>
      <c r="C950" s="1" t="s">
        <v>1132</v>
      </c>
      <c r="D950" s="1" t="s">
        <v>2062</v>
      </c>
      <c r="E950" s="1" t="s">
        <v>2063</v>
      </c>
      <c r="F950" s="3">
        <v>45497</v>
      </c>
      <c r="G950" s="3">
        <v>45280</v>
      </c>
      <c r="H950" s="3">
        <v>45645</v>
      </c>
      <c r="I950" s="1" t="s">
        <v>3325</v>
      </c>
      <c r="J950" s="1" t="s">
        <v>3326</v>
      </c>
      <c r="K950" s="1"/>
      <c r="L950" s="1" t="s">
        <v>2336</v>
      </c>
      <c r="M950" s="1" t="s">
        <v>3327</v>
      </c>
      <c r="N950" s="1" t="s">
        <v>3328</v>
      </c>
      <c r="O950" s="1" t="s">
        <v>3329</v>
      </c>
      <c r="P950" s="1" t="s">
        <v>2247</v>
      </c>
      <c r="Q950" s="1"/>
      <c r="R950" s="1"/>
      <c r="S950" s="1" t="s">
        <v>2072</v>
      </c>
      <c r="T950" s="1" t="s">
        <v>3165</v>
      </c>
      <c r="U950" s="4">
        <v>3250000</v>
      </c>
      <c r="V950" s="4">
        <v>1324</v>
      </c>
      <c r="W950" s="4">
        <v>13</v>
      </c>
      <c r="X950" s="4">
        <v>199</v>
      </c>
      <c r="Y950" s="4">
        <v>0</v>
      </c>
      <c r="Z950" s="5">
        <v>1536</v>
      </c>
      <c r="AA950" s="5">
        <v>0</v>
      </c>
      <c r="AB950" s="6">
        <v>0</v>
      </c>
      <c r="AC950" s="4">
        <v>1536</v>
      </c>
      <c r="AD950" s="4">
        <v>0</v>
      </c>
      <c r="AE950" s="4">
        <v>1536</v>
      </c>
      <c r="AF950" s="1"/>
      <c r="AG950" s="1"/>
      <c r="AH950" s="1"/>
      <c r="AI950" s="1" t="s">
        <v>2327</v>
      </c>
      <c r="AJ950" s="6">
        <v>375.86</v>
      </c>
      <c r="AK950" s="6">
        <v>345.15</v>
      </c>
      <c r="AL950" s="1"/>
    </row>
    <row r="951" spans="1:38" hidden="1" x14ac:dyDescent="0.25">
      <c r="A951" s="2">
        <v>1261</v>
      </c>
      <c r="B951" s="1" t="s">
        <v>1128</v>
      </c>
      <c r="C951" s="1" t="s">
        <v>1133</v>
      </c>
      <c r="D951" s="1" t="s">
        <v>2062</v>
      </c>
      <c r="E951" s="1" t="s">
        <v>2063</v>
      </c>
      <c r="F951" s="3">
        <v>45526</v>
      </c>
      <c r="G951" s="3">
        <v>45280</v>
      </c>
      <c r="H951" s="3">
        <v>45645</v>
      </c>
      <c r="I951" s="1" t="s">
        <v>3325</v>
      </c>
      <c r="J951" s="1" t="s">
        <v>3326</v>
      </c>
      <c r="K951" s="1"/>
      <c r="L951" s="1" t="s">
        <v>2336</v>
      </c>
      <c r="M951" s="1" t="s">
        <v>3327</v>
      </c>
      <c r="N951" s="1" t="s">
        <v>3328</v>
      </c>
      <c r="O951" s="1" t="s">
        <v>3329</v>
      </c>
      <c r="P951" s="1" t="s">
        <v>2247</v>
      </c>
      <c r="Q951" s="1"/>
      <c r="R951" s="1"/>
      <c r="S951" s="1" t="s">
        <v>2072</v>
      </c>
      <c r="T951" s="1" t="s">
        <v>3165</v>
      </c>
      <c r="U951" s="4">
        <v>3250000</v>
      </c>
      <c r="V951" s="4">
        <v>837</v>
      </c>
      <c r="W951" s="4">
        <v>8</v>
      </c>
      <c r="X951" s="4">
        <v>126</v>
      </c>
      <c r="Y951" s="4">
        <v>0</v>
      </c>
      <c r="Z951" s="5">
        <v>971</v>
      </c>
      <c r="AA951" s="5">
        <v>0</v>
      </c>
      <c r="AB951" s="6">
        <v>0</v>
      </c>
      <c r="AC951" s="4">
        <v>971</v>
      </c>
      <c r="AD951" s="4">
        <v>0</v>
      </c>
      <c r="AE951" s="4">
        <v>971</v>
      </c>
      <c r="AF951" s="1"/>
      <c r="AG951" s="1"/>
      <c r="AH951" s="1"/>
      <c r="AI951" s="1" t="s">
        <v>2327</v>
      </c>
      <c r="AJ951" s="6">
        <v>238.93</v>
      </c>
      <c r="AK951" s="6">
        <v>218.4</v>
      </c>
      <c r="AL951" s="1"/>
    </row>
    <row r="952" spans="1:38" hidden="1" x14ac:dyDescent="0.25">
      <c r="A952" s="2">
        <v>1262</v>
      </c>
      <c r="B952" s="1" t="s">
        <v>1128</v>
      </c>
      <c r="C952" s="1" t="s">
        <v>1134</v>
      </c>
      <c r="D952" s="1" t="s">
        <v>2062</v>
      </c>
      <c r="E952" s="1" t="s">
        <v>2063</v>
      </c>
      <c r="F952" s="3">
        <v>45559</v>
      </c>
      <c r="G952" s="3">
        <v>45280</v>
      </c>
      <c r="H952" s="3">
        <v>45645</v>
      </c>
      <c r="I952" s="1" t="s">
        <v>3325</v>
      </c>
      <c r="J952" s="1" t="s">
        <v>3326</v>
      </c>
      <c r="K952" s="1"/>
      <c r="L952" s="1" t="s">
        <v>2336</v>
      </c>
      <c r="M952" s="1" t="s">
        <v>3327</v>
      </c>
      <c r="N952" s="1" t="s">
        <v>3328</v>
      </c>
      <c r="O952" s="1" t="s">
        <v>3329</v>
      </c>
      <c r="P952" s="1" t="s">
        <v>2247</v>
      </c>
      <c r="Q952" s="1"/>
      <c r="R952" s="1"/>
      <c r="S952" s="1" t="s">
        <v>2072</v>
      </c>
      <c r="T952" s="1" t="s">
        <v>3165</v>
      </c>
      <c r="U952" s="4">
        <v>3250000</v>
      </c>
      <c r="V952" s="4">
        <v>1206</v>
      </c>
      <c r="W952" s="4">
        <v>12</v>
      </c>
      <c r="X952" s="4">
        <v>181</v>
      </c>
      <c r="Y952" s="4">
        <v>0</v>
      </c>
      <c r="Z952" s="5">
        <v>1399</v>
      </c>
      <c r="AA952" s="5">
        <v>0</v>
      </c>
      <c r="AB952" s="6">
        <v>0</v>
      </c>
      <c r="AC952" s="4">
        <v>1399</v>
      </c>
      <c r="AD952" s="4">
        <v>0</v>
      </c>
      <c r="AE952" s="4">
        <v>1399</v>
      </c>
      <c r="AF952" s="1"/>
      <c r="AG952" s="1"/>
      <c r="AH952" s="1"/>
      <c r="AI952" s="1" t="s">
        <v>2327</v>
      </c>
      <c r="AJ952" s="6">
        <v>331.63</v>
      </c>
      <c r="AK952" s="6">
        <v>313.93</v>
      </c>
      <c r="AL952" s="1"/>
    </row>
    <row r="953" spans="1:38" hidden="1" x14ac:dyDescent="0.25">
      <c r="A953" s="2">
        <v>1263</v>
      </c>
      <c r="B953" s="1" t="s">
        <v>1128</v>
      </c>
      <c r="C953" s="1" t="s">
        <v>1135</v>
      </c>
      <c r="D953" s="1" t="s">
        <v>2062</v>
      </c>
      <c r="E953" s="1" t="s">
        <v>2063</v>
      </c>
      <c r="F953" s="3">
        <v>45588</v>
      </c>
      <c r="G953" s="3">
        <v>45280</v>
      </c>
      <c r="H953" s="3">
        <v>45645</v>
      </c>
      <c r="I953" s="1" t="s">
        <v>3325</v>
      </c>
      <c r="J953" s="1" t="s">
        <v>3326</v>
      </c>
      <c r="K953" s="1"/>
      <c r="L953" s="1" t="s">
        <v>2336</v>
      </c>
      <c r="M953" s="1" t="s">
        <v>3327</v>
      </c>
      <c r="N953" s="1" t="s">
        <v>3328</v>
      </c>
      <c r="O953" s="1" t="s">
        <v>3329</v>
      </c>
      <c r="P953" s="1" t="s">
        <v>2247</v>
      </c>
      <c r="Q953" s="1"/>
      <c r="R953" s="1"/>
      <c r="S953" s="1" t="s">
        <v>2072</v>
      </c>
      <c r="T953" s="1" t="s">
        <v>3165</v>
      </c>
      <c r="U953" s="4">
        <v>3250000</v>
      </c>
      <c r="V953" s="4">
        <v>1017</v>
      </c>
      <c r="W953" s="4">
        <v>10</v>
      </c>
      <c r="X953" s="4">
        <v>152</v>
      </c>
      <c r="Y953" s="4">
        <v>0</v>
      </c>
      <c r="Z953" s="5">
        <v>1179</v>
      </c>
      <c r="AA953" s="5">
        <v>0</v>
      </c>
      <c r="AB953" s="6">
        <v>0</v>
      </c>
      <c r="AC953" s="4">
        <v>1179</v>
      </c>
      <c r="AD953" s="4">
        <v>0</v>
      </c>
      <c r="AE953" s="4">
        <v>1179</v>
      </c>
      <c r="AF953" s="1"/>
      <c r="AG953" s="1"/>
      <c r="AH953" s="1"/>
      <c r="AI953" s="1" t="s">
        <v>2327</v>
      </c>
      <c r="AJ953" s="6">
        <v>265.22000000000003</v>
      </c>
      <c r="AK953" s="6">
        <v>265.22000000000003</v>
      </c>
      <c r="AL953" s="1"/>
    </row>
    <row r="954" spans="1:38" hidden="1" x14ac:dyDescent="0.25">
      <c r="A954" s="2">
        <v>1264</v>
      </c>
      <c r="B954" s="1" t="s">
        <v>1128</v>
      </c>
      <c r="C954" s="1" t="s">
        <v>1136</v>
      </c>
      <c r="D954" s="1" t="s">
        <v>2062</v>
      </c>
      <c r="E954" s="1" t="s">
        <v>2063</v>
      </c>
      <c r="F954" s="3">
        <v>45596</v>
      </c>
      <c r="G954" s="3">
        <v>45280</v>
      </c>
      <c r="H954" s="3">
        <v>45645</v>
      </c>
      <c r="I954" s="1" t="s">
        <v>3325</v>
      </c>
      <c r="J954" s="1" t="s">
        <v>3326</v>
      </c>
      <c r="K954" s="1"/>
      <c r="L954" s="1" t="s">
        <v>2336</v>
      </c>
      <c r="M954" s="1" t="s">
        <v>3327</v>
      </c>
      <c r="N954" s="1" t="s">
        <v>3328</v>
      </c>
      <c r="O954" s="1" t="s">
        <v>3329</v>
      </c>
      <c r="P954" s="1" t="s">
        <v>2247</v>
      </c>
      <c r="Q954" s="1"/>
      <c r="R954" s="1"/>
      <c r="S954" s="1" t="s">
        <v>2072</v>
      </c>
      <c r="T954" s="1" t="s">
        <v>3165</v>
      </c>
      <c r="U954" s="4">
        <v>-1</v>
      </c>
      <c r="V954" s="4">
        <v>-66565</v>
      </c>
      <c r="W954" s="4">
        <v>-666</v>
      </c>
      <c r="X954" s="4">
        <v>0</v>
      </c>
      <c r="Y954" s="4">
        <v>0</v>
      </c>
      <c r="Z954" s="5">
        <v>-67231</v>
      </c>
      <c r="AA954" s="5">
        <v>0</v>
      </c>
      <c r="AB954" s="6">
        <v>0</v>
      </c>
      <c r="AC954" s="4">
        <v>-67231</v>
      </c>
      <c r="AD954" s="4">
        <v>0</v>
      </c>
      <c r="AE954" s="4">
        <v>-67231</v>
      </c>
      <c r="AF954" s="1"/>
      <c r="AG954" s="1"/>
      <c r="AH954" s="1"/>
      <c r="AI954" s="1" t="s">
        <v>2327</v>
      </c>
      <c r="AJ954" s="1"/>
      <c r="AK954" s="1"/>
      <c r="AL954" s="1"/>
    </row>
    <row r="955" spans="1:38" x14ac:dyDescent="0.25">
      <c r="A955" s="2">
        <v>1265</v>
      </c>
      <c r="B955" s="1" t="s">
        <v>1137</v>
      </c>
      <c r="C955" s="1"/>
      <c r="D955" s="1" t="s">
        <v>2062</v>
      </c>
      <c r="E955" s="1" t="s">
        <v>2063</v>
      </c>
      <c r="F955" s="3">
        <v>45281</v>
      </c>
      <c r="G955" s="3">
        <v>45279</v>
      </c>
      <c r="H955" s="3">
        <v>45644</v>
      </c>
      <c r="I955" s="1" t="s">
        <v>3330</v>
      </c>
      <c r="J955" s="1" t="s">
        <v>3331</v>
      </c>
      <c r="K955" s="1"/>
      <c r="L955" s="1" t="s">
        <v>2198</v>
      </c>
      <c r="M955" s="1" t="s">
        <v>3332</v>
      </c>
      <c r="N955" s="1" t="s">
        <v>3333</v>
      </c>
      <c r="O955" s="1" t="s">
        <v>3334</v>
      </c>
      <c r="P955" s="1" t="s">
        <v>2088</v>
      </c>
      <c r="Q955" s="1"/>
      <c r="R955" s="1"/>
      <c r="S955" s="1" t="s">
        <v>2072</v>
      </c>
      <c r="T955" s="1" t="s">
        <v>3165</v>
      </c>
      <c r="U955" s="4">
        <v>2046000</v>
      </c>
      <c r="V955" s="4">
        <v>4343</v>
      </c>
      <c r="W955" s="4">
        <v>43</v>
      </c>
      <c r="X955" s="4">
        <v>564</v>
      </c>
      <c r="Y955" s="4">
        <v>50</v>
      </c>
      <c r="Z955" s="5">
        <v>5000</v>
      </c>
      <c r="AA955" s="5">
        <v>5428</v>
      </c>
      <c r="AB955" s="6">
        <v>0</v>
      </c>
      <c r="AC955" s="4">
        <v>-428</v>
      </c>
      <c r="AD955" s="4">
        <v>0</v>
      </c>
      <c r="AE955" s="4">
        <v>-428</v>
      </c>
      <c r="AF955" s="1"/>
      <c r="AG955" s="1"/>
      <c r="AH955" s="1"/>
      <c r="AI955" s="1" t="s">
        <v>2327</v>
      </c>
      <c r="AJ955" s="1"/>
      <c r="AK955" s="1"/>
      <c r="AL955" s="1" t="s">
        <v>3335</v>
      </c>
    </row>
    <row r="956" spans="1:38" hidden="1" x14ac:dyDescent="0.25">
      <c r="A956" s="2">
        <v>1266</v>
      </c>
      <c r="B956" s="1" t="s">
        <v>1137</v>
      </c>
      <c r="C956" s="1" t="s">
        <v>1138</v>
      </c>
      <c r="D956" s="1" t="s">
        <v>2062</v>
      </c>
      <c r="E956" s="1" t="s">
        <v>2063</v>
      </c>
      <c r="F956" s="3">
        <v>45586</v>
      </c>
      <c r="G956" s="3">
        <v>45279</v>
      </c>
      <c r="H956" s="3">
        <v>45644</v>
      </c>
      <c r="I956" s="1" t="s">
        <v>3330</v>
      </c>
      <c r="J956" s="1" t="s">
        <v>3331</v>
      </c>
      <c r="K956" s="1"/>
      <c r="L956" s="1" t="s">
        <v>2198</v>
      </c>
      <c r="M956" s="1" t="s">
        <v>3332</v>
      </c>
      <c r="N956" s="1" t="s">
        <v>3333</v>
      </c>
      <c r="O956" s="1" t="s">
        <v>3334</v>
      </c>
      <c r="P956" s="1" t="s">
        <v>2088</v>
      </c>
      <c r="Q956" s="1"/>
      <c r="R956" s="1"/>
      <c r="S956" s="1" t="s">
        <v>2072</v>
      </c>
      <c r="T956" s="1" t="s">
        <v>3165</v>
      </c>
      <c r="U956" s="4">
        <v>2046000</v>
      </c>
      <c r="V956" s="4">
        <v>369</v>
      </c>
      <c r="W956" s="4">
        <v>4</v>
      </c>
      <c r="X956" s="4">
        <v>55</v>
      </c>
      <c r="Y956" s="4">
        <v>0</v>
      </c>
      <c r="Z956" s="5">
        <v>428</v>
      </c>
      <c r="AA956" s="5">
        <v>0</v>
      </c>
      <c r="AB956" s="6">
        <v>0</v>
      </c>
      <c r="AC956" s="4">
        <v>428</v>
      </c>
      <c r="AD956" s="4">
        <v>0</v>
      </c>
      <c r="AE956" s="4">
        <v>428</v>
      </c>
      <c r="AF956" s="1"/>
      <c r="AG956" s="1"/>
      <c r="AH956" s="1"/>
      <c r="AI956" s="1" t="s">
        <v>2327</v>
      </c>
      <c r="AJ956" s="6">
        <v>152.54000000000002</v>
      </c>
      <c r="AK956" s="6">
        <v>152.47</v>
      </c>
      <c r="AL956" s="1"/>
    </row>
    <row r="957" spans="1:38" hidden="1" x14ac:dyDescent="0.25">
      <c r="A957" s="2">
        <v>1267</v>
      </c>
      <c r="B957" s="1" t="s">
        <v>1139</v>
      </c>
      <c r="C957" s="1" t="s">
        <v>1140</v>
      </c>
      <c r="D957" s="1" t="s">
        <v>2062</v>
      </c>
      <c r="E957" s="1" t="s">
        <v>2063</v>
      </c>
      <c r="F957" s="3">
        <v>45289</v>
      </c>
      <c r="G957" s="3">
        <v>45281</v>
      </c>
      <c r="H957" s="3">
        <v>45646</v>
      </c>
      <c r="I957" s="1" t="s">
        <v>3336</v>
      </c>
      <c r="J957" s="1" t="s">
        <v>3337</v>
      </c>
      <c r="K957" s="1"/>
      <c r="L957" s="1" t="s">
        <v>2213</v>
      </c>
      <c r="M957" s="1" t="s">
        <v>3338</v>
      </c>
      <c r="N957" s="1" t="s">
        <v>3339</v>
      </c>
      <c r="O957" s="1" t="s">
        <v>3340</v>
      </c>
      <c r="P957" s="1" t="s">
        <v>2165</v>
      </c>
      <c r="Q957" s="1"/>
      <c r="R957" s="1"/>
      <c r="S957" s="1" t="s">
        <v>2072</v>
      </c>
      <c r="T957" s="1" t="s">
        <v>3165</v>
      </c>
      <c r="U957" s="4">
        <v>3500000</v>
      </c>
      <c r="V957" s="4">
        <v>57016</v>
      </c>
      <c r="W957" s="4">
        <v>571</v>
      </c>
      <c r="X957" s="4">
        <v>7413</v>
      </c>
      <c r="Y957" s="4">
        <v>0</v>
      </c>
      <c r="Z957" s="5">
        <v>65000</v>
      </c>
      <c r="AA957" s="5">
        <v>0</v>
      </c>
      <c r="AB957" s="6">
        <v>0</v>
      </c>
      <c r="AC957" s="4">
        <v>65000</v>
      </c>
      <c r="AD957" s="4">
        <v>0</v>
      </c>
      <c r="AE957" s="4">
        <v>65000</v>
      </c>
      <c r="AF957" s="1"/>
      <c r="AG957" s="1"/>
      <c r="AH957" s="1"/>
      <c r="AI957" s="1" t="s">
        <v>3057</v>
      </c>
      <c r="AJ957" s="1"/>
      <c r="AK957" s="1"/>
      <c r="AL957" s="1"/>
    </row>
    <row r="958" spans="1:38" hidden="1" x14ac:dyDescent="0.25">
      <c r="A958" s="2">
        <v>1268</v>
      </c>
      <c r="B958" s="1" t="s">
        <v>1139</v>
      </c>
      <c r="C958" s="1" t="s">
        <v>1141</v>
      </c>
      <c r="D958" s="1" t="s">
        <v>2062</v>
      </c>
      <c r="E958" s="1" t="s">
        <v>2063</v>
      </c>
      <c r="F958" s="3">
        <v>45344</v>
      </c>
      <c r="G958" s="3">
        <v>45281</v>
      </c>
      <c r="H958" s="3">
        <v>45646</v>
      </c>
      <c r="I958" s="1" t="s">
        <v>3336</v>
      </c>
      <c r="J958" s="1" t="s">
        <v>3337</v>
      </c>
      <c r="K958" s="1"/>
      <c r="L958" s="1" t="s">
        <v>2213</v>
      </c>
      <c r="M958" s="1" t="s">
        <v>3338</v>
      </c>
      <c r="N958" s="1" t="s">
        <v>3339</v>
      </c>
      <c r="O958" s="1" t="s">
        <v>3340</v>
      </c>
      <c r="P958" s="1" t="s">
        <v>2165</v>
      </c>
      <c r="Q958" s="1"/>
      <c r="R958" s="1"/>
      <c r="S958" s="1" t="s">
        <v>2072</v>
      </c>
      <c r="T958" s="1" t="s">
        <v>3165</v>
      </c>
      <c r="U958" s="4">
        <v>3500000</v>
      </c>
      <c r="V958" s="4">
        <v>2310</v>
      </c>
      <c r="W958" s="4">
        <v>23</v>
      </c>
      <c r="X958" s="4">
        <v>300</v>
      </c>
      <c r="Y958" s="4">
        <v>0</v>
      </c>
      <c r="Z958" s="5">
        <v>2633</v>
      </c>
      <c r="AA958" s="5">
        <v>0</v>
      </c>
      <c r="AB958" s="6">
        <v>0</v>
      </c>
      <c r="AC958" s="4">
        <v>2633</v>
      </c>
      <c r="AD958" s="4">
        <v>0</v>
      </c>
      <c r="AE958" s="4">
        <v>2633</v>
      </c>
      <c r="AF958" s="1"/>
      <c r="AG958" s="1"/>
      <c r="AH958" s="1"/>
      <c r="AI958" s="1" t="s">
        <v>3057</v>
      </c>
      <c r="AJ958" s="6">
        <v>862.01</v>
      </c>
      <c r="AK958" s="6">
        <v>548.73</v>
      </c>
      <c r="AL958" s="1"/>
    </row>
    <row r="959" spans="1:38" hidden="1" x14ac:dyDescent="0.25">
      <c r="A959" s="2">
        <v>1269</v>
      </c>
      <c r="B959" s="1" t="s">
        <v>1139</v>
      </c>
      <c r="C959" s="1" t="s">
        <v>1142</v>
      </c>
      <c r="D959" s="1" t="s">
        <v>2062</v>
      </c>
      <c r="E959" s="1" t="s">
        <v>2063</v>
      </c>
      <c r="F959" s="3">
        <v>45372</v>
      </c>
      <c r="G959" s="3">
        <v>45281</v>
      </c>
      <c r="H959" s="3">
        <v>45646</v>
      </c>
      <c r="I959" s="1" t="s">
        <v>3336</v>
      </c>
      <c r="J959" s="1" t="s">
        <v>3337</v>
      </c>
      <c r="K959" s="1"/>
      <c r="L959" s="1" t="s">
        <v>2213</v>
      </c>
      <c r="M959" s="1" t="s">
        <v>3338</v>
      </c>
      <c r="N959" s="1" t="s">
        <v>3339</v>
      </c>
      <c r="O959" s="1" t="s">
        <v>3340</v>
      </c>
      <c r="P959" s="1" t="s">
        <v>2165</v>
      </c>
      <c r="Q959" s="1"/>
      <c r="R959" s="1"/>
      <c r="S959" s="1" t="s">
        <v>2072</v>
      </c>
      <c r="T959" s="1" t="s">
        <v>3165</v>
      </c>
      <c r="U959" s="4">
        <v>3500000</v>
      </c>
      <c r="V959" s="4">
        <v>1642</v>
      </c>
      <c r="W959" s="4">
        <v>16</v>
      </c>
      <c r="X959" s="4">
        <v>213</v>
      </c>
      <c r="Y959" s="4">
        <v>0</v>
      </c>
      <c r="Z959" s="5">
        <v>1871</v>
      </c>
      <c r="AA959" s="5">
        <v>0</v>
      </c>
      <c r="AB959" s="6">
        <v>0</v>
      </c>
      <c r="AC959" s="4">
        <v>1871</v>
      </c>
      <c r="AD959" s="4">
        <v>0</v>
      </c>
      <c r="AE959" s="4">
        <v>1871</v>
      </c>
      <c r="AF959" s="1"/>
      <c r="AG959" s="1"/>
      <c r="AH959" s="1"/>
      <c r="AI959" s="1" t="s">
        <v>3057</v>
      </c>
      <c r="AJ959" s="6">
        <v>521.06000000000006</v>
      </c>
      <c r="AK959" s="6">
        <v>389.87</v>
      </c>
      <c r="AL959" s="1"/>
    </row>
    <row r="960" spans="1:38" hidden="1" x14ac:dyDescent="0.25">
      <c r="A960" s="2">
        <v>1270</v>
      </c>
      <c r="B960" s="1" t="s">
        <v>1139</v>
      </c>
      <c r="C960" s="1" t="s">
        <v>1143</v>
      </c>
      <c r="D960" s="1" t="s">
        <v>2062</v>
      </c>
      <c r="E960" s="1" t="s">
        <v>2063</v>
      </c>
      <c r="F960" s="3">
        <v>45403</v>
      </c>
      <c r="G960" s="3">
        <v>45281</v>
      </c>
      <c r="H960" s="3">
        <v>45646</v>
      </c>
      <c r="I960" s="1" t="s">
        <v>3336</v>
      </c>
      <c r="J960" s="1" t="s">
        <v>3337</v>
      </c>
      <c r="K960" s="1"/>
      <c r="L960" s="1" t="s">
        <v>2213</v>
      </c>
      <c r="M960" s="1" t="s">
        <v>3338</v>
      </c>
      <c r="N960" s="1" t="s">
        <v>3339</v>
      </c>
      <c r="O960" s="1" t="s">
        <v>3340</v>
      </c>
      <c r="P960" s="1" t="s">
        <v>2165</v>
      </c>
      <c r="Q960" s="1"/>
      <c r="R960" s="1"/>
      <c r="S960" s="1" t="s">
        <v>2072</v>
      </c>
      <c r="T960" s="1" t="s">
        <v>3165</v>
      </c>
      <c r="U960" s="4">
        <v>3500000</v>
      </c>
      <c r="V960" s="4">
        <v>1397</v>
      </c>
      <c r="W960" s="4">
        <v>14</v>
      </c>
      <c r="X960" s="4">
        <v>182</v>
      </c>
      <c r="Y960" s="4">
        <v>0</v>
      </c>
      <c r="Z960" s="5">
        <v>1593</v>
      </c>
      <c r="AA960" s="5">
        <v>0</v>
      </c>
      <c r="AB960" s="6">
        <v>0</v>
      </c>
      <c r="AC960" s="4">
        <v>1593</v>
      </c>
      <c r="AD960" s="4">
        <v>0</v>
      </c>
      <c r="AE960" s="4">
        <v>1593</v>
      </c>
      <c r="AF960" s="1"/>
      <c r="AG960" s="1"/>
      <c r="AH960" s="1"/>
      <c r="AI960" s="1" t="s">
        <v>3057</v>
      </c>
      <c r="AJ960" s="6">
        <v>368.3</v>
      </c>
      <c r="AK960" s="6">
        <v>332.47</v>
      </c>
      <c r="AL960" s="1"/>
    </row>
    <row r="961" spans="1:38" hidden="1" x14ac:dyDescent="0.25">
      <c r="A961" s="2">
        <v>1271</v>
      </c>
      <c r="B961" s="1" t="s">
        <v>1139</v>
      </c>
      <c r="C961" s="1" t="s">
        <v>1144</v>
      </c>
      <c r="D961" s="1" t="s">
        <v>2062</v>
      </c>
      <c r="E961" s="1" t="s">
        <v>2063</v>
      </c>
      <c r="F961" s="3">
        <v>45433</v>
      </c>
      <c r="G961" s="3">
        <v>45281</v>
      </c>
      <c r="H961" s="3">
        <v>45646</v>
      </c>
      <c r="I961" s="1" t="s">
        <v>3336</v>
      </c>
      <c r="J961" s="1" t="s">
        <v>3337</v>
      </c>
      <c r="K961" s="1"/>
      <c r="L961" s="1" t="s">
        <v>2213</v>
      </c>
      <c r="M961" s="1" t="s">
        <v>3338</v>
      </c>
      <c r="N961" s="1" t="s">
        <v>3339</v>
      </c>
      <c r="O961" s="1" t="s">
        <v>3340</v>
      </c>
      <c r="P961" s="1" t="s">
        <v>2165</v>
      </c>
      <c r="Q961" s="1"/>
      <c r="R961" s="1"/>
      <c r="S961" s="1" t="s">
        <v>2072</v>
      </c>
      <c r="T961" s="1" t="s">
        <v>3165</v>
      </c>
      <c r="U961" s="4">
        <v>3500000</v>
      </c>
      <c r="V961" s="4">
        <v>1789</v>
      </c>
      <c r="W961" s="4">
        <v>18</v>
      </c>
      <c r="X961" s="4">
        <v>233</v>
      </c>
      <c r="Y961" s="4">
        <v>0</v>
      </c>
      <c r="Z961" s="5">
        <v>2040</v>
      </c>
      <c r="AA961" s="5">
        <v>0</v>
      </c>
      <c r="AB961" s="6">
        <v>0</v>
      </c>
      <c r="AC961" s="4">
        <v>2040</v>
      </c>
      <c r="AD961" s="4">
        <v>0</v>
      </c>
      <c r="AE961" s="4">
        <v>2040</v>
      </c>
      <c r="AF961" s="1"/>
      <c r="AG961" s="1"/>
      <c r="AH961" s="1"/>
      <c r="AI961" s="1" t="s">
        <v>3057</v>
      </c>
      <c r="AJ961" s="6">
        <v>561.44000000000108</v>
      </c>
      <c r="AK961" s="6">
        <v>425.17</v>
      </c>
      <c r="AL961" s="1"/>
    </row>
    <row r="962" spans="1:38" hidden="1" x14ac:dyDescent="0.25">
      <c r="A962" s="2">
        <v>1272</v>
      </c>
      <c r="B962" s="1" t="s">
        <v>1139</v>
      </c>
      <c r="C962" s="1" t="s">
        <v>1145</v>
      </c>
      <c r="D962" s="1" t="s">
        <v>2062</v>
      </c>
      <c r="E962" s="1" t="s">
        <v>2063</v>
      </c>
      <c r="F962" s="3">
        <v>45465</v>
      </c>
      <c r="G962" s="3">
        <v>45281</v>
      </c>
      <c r="H962" s="3">
        <v>45646</v>
      </c>
      <c r="I962" s="1" t="s">
        <v>3336</v>
      </c>
      <c r="J962" s="1" t="s">
        <v>3337</v>
      </c>
      <c r="K962" s="1"/>
      <c r="L962" s="1" t="s">
        <v>2213</v>
      </c>
      <c r="M962" s="1" t="s">
        <v>3338</v>
      </c>
      <c r="N962" s="1" t="s">
        <v>3339</v>
      </c>
      <c r="O962" s="1" t="s">
        <v>3340</v>
      </c>
      <c r="P962" s="1" t="s">
        <v>2165</v>
      </c>
      <c r="Q962" s="1"/>
      <c r="R962" s="1"/>
      <c r="S962" s="1" t="s">
        <v>2072</v>
      </c>
      <c r="T962" s="1" t="s">
        <v>3165</v>
      </c>
      <c r="U962" s="4">
        <v>3500000</v>
      </c>
      <c r="V962" s="4">
        <v>1554</v>
      </c>
      <c r="W962" s="4">
        <v>16</v>
      </c>
      <c r="X962" s="4">
        <v>202</v>
      </c>
      <c r="Y962" s="4">
        <v>0</v>
      </c>
      <c r="Z962" s="5">
        <v>1772</v>
      </c>
      <c r="AA962" s="5">
        <v>0</v>
      </c>
      <c r="AB962" s="6">
        <v>0</v>
      </c>
      <c r="AC962" s="4">
        <v>1772</v>
      </c>
      <c r="AD962" s="4">
        <v>0</v>
      </c>
      <c r="AE962" s="4">
        <v>1772</v>
      </c>
      <c r="AF962" s="1"/>
      <c r="AG962" s="1"/>
      <c r="AH962" s="1"/>
      <c r="AI962" s="1" t="s">
        <v>3057</v>
      </c>
      <c r="AJ962" s="6">
        <v>406.87</v>
      </c>
      <c r="AK962" s="6">
        <v>369.58</v>
      </c>
      <c r="AL962" s="1"/>
    </row>
    <row r="963" spans="1:38" hidden="1" x14ac:dyDescent="0.25">
      <c r="A963" s="2">
        <v>1273</v>
      </c>
      <c r="B963" s="1" t="s">
        <v>1139</v>
      </c>
      <c r="C963" s="1" t="s">
        <v>1146</v>
      </c>
      <c r="D963" s="1" t="s">
        <v>2062</v>
      </c>
      <c r="E963" s="1" t="s">
        <v>2063</v>
      </c>
      <c r="F963" s="3">
        <v>45498</v>
      </c>
      <c r="G963" s="3">
        <v>45281</v>
      </c>
      <c r="H963" s="3">
        <v>45646</v>
      </c>
      <c r="I963" s="1" t="s">
        <v>3336</v>
      </c>
      <c r="J963" s="1" t="s">
        <v>3337</v>
      </c>
      <c r="K963" s="1"/>
      <c r="L963" s="1" t="s">
        <v>2213</v>
      </c>
      <c r="M963" s="1" t="s">
        <v>3338</v>
      </c>
      <c r="N963" s="1" t="s">
        <v>3339</v>
      </c>
      <c r="O963" s="1" t="s">
        <v>3340</v>
      </c>
      <c r="P963" s="1" t="s">
        <v>2165</v>
      </c>
      <c r="Q963" s="1"/>
      <c r="R963" s="1"/>
      <c r="S963" s="1" t="s">
        <v>2072</v>
      </c>
      <c r="T963" s="1" t="s">
        <v>3165</v>
      </c>
      <c r="U963" s="4">
        <v>3500000</v>
      </c>
      <c r="V963" s="4">
        <v>2102</v>
      </c>
      <c r="W963" s="4">
        <v>21</v>
      </c>
      <c r="X963" s="4">
        <v>315</v>
      </c>
      <c r="Y963" s="4">
        <v>0</v>
      </c>
      <c r="Z963" s="5">
        <v>2438</v>
      </c>
      <c r="AA963" s="5">
        <v>0</v>
      </c>
      <c r="AB963" s="6">
        <v>0</v>
      </c>
      <c r="AC963" s="4">
        <v>2438</v>
      </c>
      <c r="AD963" s="4">
        <v>0</v>
      </c>
      <c r="AE963" s="4">
        <v>2438</v>
      </c>
      <c r="AF963" s="1"/>
      <c r="AG963" s="1"/>
      <c r="AH963" s="1"/>
      <c r="AI963" s="1" t="s">
        <v>3057</v>
      </c>
      <c r="AJ963" s="6">
        <v>785.84000000000106</v>
      </c>
      <c r="AK963" s="6">
        <v>508.44</v>
      </c>
      <c r="AL963" s="1"/>
    </row>
    <row r="964" spans="1:38" hidden="1" x14ac:dyDescent="0.25">
      <c r="A964" s="2">
        <v>1274</v>
      </c>
      <c r="B964" s="1" t="s">
        <v>1139</v>
      </c>
      <c r="C964" s="1" t="s">
        <v>1147</v>
      </c>
      <c r="D964" s="1" t="s">
        <v>2062</v>
      </c>
      <c r="E964" s="1" t="s">
        <v>2063</v>
      </c>
      <c r="F964" s="3">
        <v>45526</v>
      </c>
      <c r="G964" s="3">
        <v>45281</v>
      </c>
      <c r="H964" s="3">
        <v>45646</v>
      </c>
      <c r="I964" s="1" t="s">
        <v>3336</v>
      </c>
      <c r="J964" s="1" t="s">
        <v>3337</v>
      </c>
      <c r="K964" s="1"/>
      <c r="L964" s="1" t="s">
        <v>2213</v>
      </c>
      <c r="M964" s="1" t="s">
        <v>3338</v>
      </c>
      <c r="N964" s="1" t="s">
        <v>3339</v>
      </c>
      <c r="O964" s="1" t="s">
        <v>3340</v>
      </c>
      <c r="P964" s="1" t="s">
        <v>2165</v>
      </c>
      <c r="Q964" s="1"/>
      <c r="R964" s="1"/>
      <c r="S964" s="1" t="s">
        <v>2072</v>
      </c>
      <c r="T964" s="1" t="s">
        <v>3165</v>
      </c>
      <c r="U964" s="4">
        <v>3500000</v>
      </c>
      <c r="V964" s="4">
        <v>3201</v>
      </c>
      <c r="W964" s="4">
        <v>32</v>
      </c>
      <c r="X964" s="4">
        <v>480</v>
      </c>
      <c r="Y964" s="4">
        <v>0</v>
      </c>
      <c r="Z964" s="5">
        <v>3713</v>
      </c>
      <c r="AA964" s="5">
        <v>0</v>
      </c>
      <c r="AB964" s="6">
        <v>0</v>
      </c>
      <c r="AC964" s="4">
        <v>3713</v>
      </c>
      <c r="AD964" s="4">
        <v>0</v>
      </c>
      <c r="AE964" s="4">
        <v>3713</v>
      </c>
      <c r="AF964" s="1"/>
      <c r="AG964" s="1"/>
      <c r="AH964" s="1"/>
      <c r="AI964" s="1" t="s">
        <v>3057</v>
      </c>
      <c r="AJ964" s="6">
        <v>1257.6100000000001</v>
      </c>
      <c r="AK964" s="6">
        <v>773.94</v>
      </c>
      <c r="AL964" s="1"/>
    </row>
    <row r="965" spans="1:38" hidden="1" x14ac:dyDescent="0.25">
      <c r="A965" s="2">
        <v>1275</v>
      </c>
      <c r="B965" s="1" t="s">
        <v>1139</v>
      </c>
      <c r="C965" s="1" t="s">
        <v>1148</v>
      </c>
      <c r="D965" s="1" t="s">
        <v>2062</v>
      </c>
      <c r="E965" s="1" t="s">
        <v>2063</v>
      </c>
      <c r="F965" s="3">
        <v>45561</v>
      </c>
      <c r="G965" s="3">
        <v>45281</v>
      </c>
      <c r="H965" s="3">
        <v>45646</v>
      </c>
      <c r="I965" s="1" t="s">
        <v>3336</v>
      </c>
      <c r="J965" s="1" t="s">
        <v>3337</v>
      </c>
      <c r="K965" s="1"/>
      <c r="L965" s="1" t="s">
        <v>2213</v>
      </c>
      <c r="M965" s="1" t="s">
        <v>3338</v>
      </c>
      <c r="N965" s="1" t="s">
        <v>3339</v>
      </c>
      <c r="O965" s="1" t="s">
        <v>3340</v>
      </c>
      <c r="P965" s="1" t="s">
        <v>2165</v>
      </c>
      <c r="Q965" s="1"/>
      <c r="R965" s="1"/>
      <c r="S965" s="1" t="s">
        <v>2072</v>
      </c>
      <c r="T965" s="1" t="s">
        <v>3165</v>
      </c>
      <c r="U965" s="4">
        <v>3500000</v>
      </c>
      <c r="V965" s="4">
        <v>2810</v>
      </c>
      <c r="W965" s="4">
        <v>28</v>
      </c>
      <c r="X965" s="4">
        <v>422</v>
      </c>
      <c r="Y965" s="4">
        <v>0</v>
      </c>
      <c r="Z965" s="5">
        <v>3260</v>
      </c>
      <c r="AA965" s="5">
        <v>0</v>
      </c>
      <c r="AB965" s="6">
        <v>0</v>
      </c>
      <c r="AC965" s="4">
        <v>3260</v>
      </c>
      <c r="AD965" s="4">
        <v>0</v>
      </c>
      <c r="AE965" s="4">
        <v>3260</v>
      </c>
      <c r="AF965" s="1"/>
      <c r="AG965" s="1"/>
      <c r="AH965" s="1"/>
      <c r="AI965" s="1" t="s">
        <v>3057</v>
      </c>
      <c r="AJ965" s="6">
        <v>927.90000000000009</v>
      </c>
      <c r="AK965" s="6">
        <v>679.5</v>
      </c>
      <c r="AL965" s="1"/>
    </row>
    <row r="966" spans="1:38" hidden="1" x14ac:dyDescent="0.25">
      <c r="A966" s="2">
        <v>1276</v>
      </c>
      <c r="B966" s="1" t="s">
        <v>1139</v>
      </c>
      <c r="C966" s="1" t="s">
        <v>1149</v>
      </c>
      <c r="D966" s="1" t="s">
        <v>2062</v>
      </c>
      <c r="E966" s="1" t="s">
        <v>2063</v>
      </c>
      <c r="F966" s="3">
        <v>45586</v>
      </c>
      <c r="G966" s="3">
        <v>45281</v>
      </c>
      <c r="H966" s="3">
        <v>45646</v>
      </c>
      <c r="I966" s="1" t="s">
        <v>3336</v>
      </c>
      <c r="J966" s="1" t="s">
        <v>3337</v>
      </c>
      <c r="K966" s="1"/>
      <c r="L966" s="1" t="s">
        <v>2213</v>
      </c>
      <c r="M966" s="1" t="s">
        <v>3338</v>
      </c>
      <c r="N966" s="1" t="s">
        <v>3339</v>
      </c>
      <c r="O966" s="1" t="s">
        <v>3340</v>
      </c>
      <c r="P966" s="1" t="s">
        <v>2165</v>
      </c>
      <c r="Q966" s="1"/>
      <c r="R966" s="1"/>
      <c r="S966" s="1" t="s">
        <v>2072</v>
      </c>
      <c r="T966" s="1" t="s">
        <v>3165</v>
      </c>
      <c r="U966" s="4">
        <v>3500000</v>
      </c>
      <c r="V966" s="4">
        <v>4500</v>
      </c>
      <c r="W966" s="4">
        <v>45</v>
      </c>
      <c r="X966" s="4">
        <v>675</v>
      </c>
      <c r="Y966" s="4">
        <v>0</v>
      </c>
      <c r="Z966" s="5">
        <v>5220</v>
      </c>
      <c r="AA966" s="5">
        <v>0</v>
      </c>
      <c r="AB966" s="6">
        <v>0</v>
      </c>
      <c r="AC966" s="4">
        <v>5220</v>
      </c>
      <c r="AD966" s="4">
        <v>0</v>
      </c>
      <c r="AE966" s="4">
        <v>5220</v>
      </c>
      <c r="AF966" s="1"/>
      <c r="AG966" s="1"/>
      <c r="AH966" s="1"/>
      <c r="AI966" s="1" t="s">
        <v>3057</v>
      </c>
      <c r="AJ966" s="6">
        <v>2007.0500000000011</v>
      </c>
      <c r="AK966" s="6">
        <v>1087.6200000000001</v>
      </c>
      <c r="AL966" s="1"/>
    </row>
    <row r="967" spans="1:38" hidden="1" x14ac:dyDescent="0.25">
      <c r="A967" s="2">
        <v>1277</v>
      </c>
      <c r="B967" s="1" t="s">
        <v>1139</v>
      </c>
      <c r="C967" s="1" t="s">
        <v>1150</v>
      </c>
      <c r="D967" s="1" t="s">
        <v>2062</v>
      </c>
      <c r="E967" s="1" t="s">
        <v>2063</v>
      </c>
      <c r="F967" s="3">
        <v>45618</v>
      </c>
      <c r="G967" s="3">
        <v>45281</v>
      </c>
      <c r="H967" s="3">
        <v>45646</v>
      </c>
      <c r="I967" s="1" t="s">
        <v>3336</v>
      </c>
      <c r="J967" s="1" t="s">
        <v>3337</v>
      </c>
      <c r="K967" s="1"/>
      <c r="L967" s="1" t="s">
        <v>2213</v>
      </c>
      <c r="M967" s="1" t="s">
        <v>3338</v>
      </c>
      <c r="N967" s="1" t="s">
        <v>3339</v>
      </c>
      <c r="O967" s="1" t="s">
        <v>3340</v>
      </c>
      <c r="P967" s="1" t="s">
        <v>2165</v>
      </c>
      <c r="Q967" s="1"/>
      <c r="R967" s="1"/>
      <c r="S967" s="1" t="s">
        <v>2072</v>
      </c>
      <c r="T967" s="1" t="s">
        <v>3165</v>
      </c>
      <c r="U967" s="4">
        <v>3500000</v>
      </c>
      <c r="V967" s="4">
        <v>4644</v>
      </c>
      <c r="W967" s="4">
        <v>46</v>
      </c>
      <c r="X967" s="4">
        <v>696</v>
      </c>
      <c r="Y967" s="4">
        <v>0</v>
      </c>
      <c r="Z967" s="5">
        <v>5386</v>
      </c>
      <c r="AA967" s="5">
        <v>0</v>
      </c>
      <c r="AB967" s="6">
        <v>0</v>
      </c>
      <c r="AC967" s="4">
        <v>5386</v>
      </c>
      <c r="AD967" s="4">
        <v>0</v>
      </c>
      <c r="AE967" s="4">
        <v>5386</v>
      </c>
      <c r="AF967" s="1"/>
      <c r="AG967" s="1"/>
      <c r="AH967" s="1"/>
      <c r="AI967" s="1" t="s">
        <v>3057</v>
      </c>
      <c r="AJ967" s="6">
        <v>1599.0700000000011</v>
      </c>
      <c r="AK967" s="6">
        <v>1122.71</v>
      </c>
      <c r="AL967" s="1"/>
    </row>
    <row r="968" spans="1:38" hidden="1" x14ac:dyDescent="0.25">
      <c r="A968" s="2">
        <v>1278</v>
      </c>
      <c r="B968" s="1" t="s">
        <v>1139</v>
      </c>
      <c r="C968" s="1" t="s">
        <v>1151</v>
      </c>
      <c r="D968" s="1" t="s">
        <v>2062</v>
      </c>
      <c r="E968" s="1" t="s">
        <v>2063</v>
      </c>
      <c r="F968" s="3">
        <v>45655</v>
      </c>
      <c r="G968" s="3">
        <v>45281</v>
      </c>
      <c r="H968" s="3">
        <v>45646</v>
      </c>
      <c r="I968" s="1" t="s">
        <v>3336</v>
      </c>
      <c r="J968" s="1" t="s">
        <v>3337</v>
      </c>
      <c r="K968" s="1"/>
      <c r="L968" s="1" t="s">
        <v>2213</v>
      </c>
      <c r="M968" s="1" t="s">
        <v>3338</v>
      </c>
      <c r="N968" s="1" t="s">
        <v>3339</v>
      </c>
      <c r="O968" s="1" t="s">
        <v>3340</v>
      </c>
      <c r="P968" s="1" t="s">
        <v>2165</v>
      </c>
      <c r="Q968" s="1"/>
      <c r="R968" s="1"/>
      <c r="S968" s="1" t="s">
        <v>2072</v>
      </c>
      <c r="T968" s="1" t="s">
        <v>3165</v>
      </c>
      <c r="U968" s="4">
        <v>-1</v>
      </c>
      <c r="V968" s="4">
        <v>-93986</v>
      </c>
      <c r="W968" s="4">
        <v>-940</v>
      </c>
      <c r="X968" s="4">
        <v>0</v>
      </c>
      <c r="Y968" s="4">
        <v>0</v>
      </c>
      <c r="Z968" s="5">
        <v>-94926</v>
      </c>
      <c r="AA968" s="5">
        <v>0</v>
      </c>
      <c r="AB968" s="6">
        <v>0</v>
      </c>
      <c r="AC968" s="4">
        <v>-94926</v>
      </c>
      <c r="AD968" s="4">
        <v>0</v>
      </c>
      <c r="AE968" s="4">
        <v>-94926</v>
      </c>
      <c r="AF968" s="1"/>
      <c r="AG968" s="1"/>
      <c r="AH968" s="1"/>
      <c r="AI968" s="1" t="s">
        <v>3057</v>
      </c>
      <c r="AJ968" s="1"/>
      <c r="AK968" s="1"/>
      <c r="AL968" s="1"/>
    </row>
    <row r="969" spans="1:38" hidden="1" x14ac:dyDescent="0.25">
      <c r="A969" s="2">
        <v>1279</v>
      </c>
      <c r="B969" s="1" t="s">
        <v>1152</v>
      </c>
      <c r="C969" s="1" t="s">
        <v>1153</v>
      </c>
      <c r="D969" s="1" t="s">
        <v>2062</v>
      </c>
      <c r="E969" s="1" t="s">
        <v>2063</v>
      </c>
      <c r="F969" s="3">
        <v>45289</v>
      </c>
      <c r="G969" s="3">
        <v>45282</v>
      </c>
      <c r="H969" s="3">
        <v>45647</v>
      </c>
      <c r="I969" s="1" t="s">
        <v>3341</v>
      </c>
      <c r="J969" s="1" t="s">
        <v>3342</v>
      </c>
      <c r="K969" s="1"/>
      <c r="L969" s="1" t="s">
        <v>3343</v>
      </c>
      <c r="M969" s="1" t="s">
        <v>3344</v>
      </c>
      <c r="N969" s="1" t="s">
        <v>3345</v>
      </c>
      <c r="O969" s="1" t="s">
        <v>3346</v>
      </c>
      <c r="P969" s="1" t="s">
        <v>2165</v>
      </c>
      <c r="Q969" s="1"/>
      <c r="R969" s="1"/>
      <c r="S969" s="1" t="s">
        <v>2072</v>
      </c>
      <c r="T969" s="1" t="s">
        <v>3165</v>
      </c>
      <c r="U969" s="4">
        <v>2500000</v>
      </c>
      <c r="V969" s="4">
        <v>39473</v>
      </c>
      <c r="W969" s="4">
        <v>395</v>
      </c>
      <c r="X969" s="4">
        <v>5132</v>
      </c>
      <c r="Y969" s="4">
        <v>0</v>
      </c>
      <c r="Z969" s="5">
        <v>45000</v>
      </c>
      <c r="AA969" s="5">
        <v>0</v>
      </c>
      <c r="AB969" s="6">
        <v>0</v>
      </c>
      <c r="AC969" s="4">
        <v>45000</v>
      </c>
      <c r="AD969" s="4">
        <v>0</v>
      </c>
      <c r="AE969" s="4">
        <v>45000</v>
      </c>
      <c r="AF969" s="1"/>
      <c r="AG969" s="1"/>
      <c r="AH969" s="1"/>
      <c r="AI969" s="1" t="s">
        <v>2327</v>
      </c>
      <c r="AJ969" s="1"/>
      <c r="AK969" s="1"/>
      <c r="AL969" s="1"/>
    </row>
    <row r="970" spans="1:38" hidden="1" x14ac:dyDescent="0.25">
      <c r="A970" s="2">
        <v>1280</v>
      </c>
      <c r="B970" s="1" t="s">
        <v>1152</v>
      </c>
      <c r="C970" s="1" t="s">
        <v>1154</v>
      </c>
      <c r="D970" s="1" t="s">
        <v>2062</v>
      </c>
      <c r="E970" s="1" t="s">
        <v>2063</v>
      </c>
      <c r="F970" s="3">
        <v>45531</v>
      </c>
      <c r="G970" s="3">
        <v>45282</v>
      </c>
      <c r="H970" s="3">
        <v>45647</v>
      </c>
      <c r="I970" s="1" t="s">
        <v>3341</v>
      </c>
      <c r="J970" s="1" t="s">
        <v>3342</v>
      </c>
      <c r="K970" s="1"/>
      <c r="L970" s="1" t="s">
        <v>3343</v>
      </c>
      <c r="M970" s="1" t="s">
        <v>3344</v>
      </c>
      <c r="N970" s="1" t="s">
        <v>3345</v>
      </c>
      <c r="O970" s="1" t="s">
        <v>3346</v>
      </c>
      <c r="P970" s="1" t="s">
        <v>2165</v>
      </c>
      <c r="Q970" s="1"/>
      <c r="R970" s="1"/>
      <c r="S970" s="1" t="s">
        <v>2072</v>
      </c>
      <c r="T970" s="1" t="s">
        <v>3165</v>
      </c>
      <c r="U970" s="4">
        <v>2500000</v>
      </c>
      <c r="V970" s="4">
        <v>639</v>
      </c>
      <c r="W970" s="4">
        <v>6</v>
      </c>
      <c r="X970" s="4">
        <v>96</v>
      </c>
      <c r="Y970" s="4">
        <v>0</v>
      </c>
      <c r="Z970" s="5">
        <v>741</v>
      </c>
      <c r="AA970" s="5">
        <v>0</v>
      </c>
      <c r="AB970" s="6">
        <v>0</v>
      </c>
      <c r="AC970" s="4">
        <v>741</v>
      </c>
      <c r="AD970" s="4">
        <v>0</v>
      </c>
      <c r="AE970" s="4">
        <v>741</v>
      </c>
      <c r="AF970" s="1"/>
      <c r="AG970" s="1"/>
      <c r="AH970" s="1"/>
      <c r="AI970" s="1" t="s">
        <v>2327</v>
      </c>
      <c r="AJ970" s="6">
        <v>263.76</v>
      </c>
      <c r="AK970" s="6">
        <v>216.16</v>
      </c>
      <c r="AL970" s="1"/>
    </row>
    <row r="971" spans="1:38" hidden="1" x14ac:dyDescent="0.25">
      <c r="A971" s="2">
        <v>1281</v>
      </c>
      <c r="B971" s="1" t="s">
        <v>1152</v>
      </c>
      <c r="C971" s="1" t="s">
        <v>1155</v>
      </c>
      <c r="D971" s="1" t="s">
        <v>2062</v>
      </c>
      <c r="E971" s="1" t="s">
        <v>2063</v>
      </c>
      <c r="F971" s="3">
        <v>45561</v>
      </c>
      <c r="G971" s="3">
        <v>45282</v>
      </c>
      <c r="H971" s="3">
        <v>45647</v>
      </c>
      <c r="I971" s="1" t="s">
        <v>3341</v>
      </c>
      <c r="J971" s="1" t="s">
        <v>3342</v>
      </c>
      <c r="K971" s="1"/>
      <c r="L971" s="1" t="s">
        <v>3343</v>
      </c>
      <c r="M971" s="1" t="s">
        <v>3344</v>
      </c>
      <c r="N971" s="1" t="s">
        <v>3345</v>
      </c>
      <c r="O971" s="1" t="s">
        <v>3346</v>
      </c>
      <c r="P971" s="1" t="s">
        <v>2165</v>
      </c>
      <c r="Q971" s="1"/>
      <c r="R971" s="1"/>
      <c r="S971" s="1" t="s">
        <v>2072</v>
      </c>
      <c r="T971" s="1" t="s">
        <v>3165</v>
      </c>
      <c r="U971" s="4">
        <v>2500000</v>
      </c>
      <c r="V971" s="4">
        <v>813</v>
      </c>
      <c r="W971" s="4">
        <v>8</v>
      </c>
      <c r="X971" s="4">
        <v>122</v>
      </c>
      <c r="Y971" s="4">
        <v>0</v>
      </c>
      <c r="Z971" s="5">
        <v>943</v>
      </c>
      <c r="AA971" s="5">
        <v>0</v>
      </c>
      <c r="AB971" s="6">
        <v>0</v>
      </c>
      <c r="AC971" s="4">
        <v>943</v>
      </c>
      <c r="AD971" s="4">
        <v>0</v>
      </c>
      <c r="AE971" s="4">
        <v>943</v>
      </c>
      <c r="AF971" s="1"/>
      <c r="AG971" s="1"/>
      <c r="AH971" s="1"/>
      <c r="AI971" s="1" t="s">
        <v>2327</v>
      </c>
      <c r="AJ971" s="6">
        <v>330.26</v>
      </c>
      <c r="AK971" s="6">
        <v>275.25000000000006</v>
      </c>
      <c r="AL971" s="1"/>
    </row>
    <row r="972" spans="1:38" hidden="1" x14ac:dyDescent="0.25">
      <c r="A972" s="2">
        <v>1282</v>
      </c>
      <c r="B972" s="1" t="s">
        <v>1152</v>
      </c>
      <c r="C972" s="1" t="s">
        <v>1156</v>
      </c>
      <c r="D972" s="1" t="s">
        <v>2062</v>
      </c>
      <c r="E972" s="1" t="s">
        <v>2063</v>
      </c>
      <c r="F972" s="3">
        <v>45588</v>
      </c>
      <c r="G972" s="3">
        <v>45282</v>
      </c>
      <c r="H972" s="3">
        <v>45647</v>
      </c>
      <c r="I972" s="1" t="s">
        <v>3341</v>
      </c>
      <c r="J972" s="1" t="s">
        <v>3342</v>
      </c>
      <c r="K972" s="1"/>
      <c r="L972" s="1" t="s">
        <v>3343</v>
      </c>
      <c r="M972" s="1" t="s">
        <v>3344</v>
      </c>
      <c r="N972" s="1" t="s">
        <v>3345</v>
      </c>
      <c r="O972" s="1" t="s">
        <v>3346</v>
      </c>
      <c r="P972" s="1" t="s">
        <v>2165</v>
      </c>
      <c r="Q972" s="1"/>
      <c r="R972" s="1"/>
      <c r="S972" s="1" t="s">
        <v>2072</v>
      </c>
      <c r="T972" s="1" t="s">
        <v>3165</v>
      </c>
      <c r="U972" s="4">
        <v>2500000</v>
      </c>
      <c r="V972" s="4">
        <v>1155</v>
      </c>
      <c r="W972" s="4">
        <v>12</v>
      </c>
      <c r="X972" s="4">
        <v>173</v>
      </c>
      <c r="Y972" s="4">
        <v>0</v>
      </c>
      <c r="Z972" s="5">
        <v>1340</v>
      </c>
      <c r="AA972" s="5">
        <v>0</v>
      </c>
      <c r="AB972" s="6">
        <v>0</v>
      </c>
      <c r="AC972" s="4">
        <v>1340</v>
      </c>
      <c r="AD972" s="4">
        <v>0</v>
      </c>
      <c r="AE972" s="4">
        <v>1340</v>
      </c>
      <c r="AF972" s="1"/>
      <c r="AG972" s="1"/>
      <c r="AH972" s="1"/>
      <c r="AI972" s="1" t="s">
        <v>2327</v>
      </c>
      <c r="AJ972" s="6">
        <v>491.3900000000001</v>
      </c>
      <c r="AK972" s="6">
        <v>391.36</v>
      </c>
      <c r="AL972" s="1"/>
    </row>
    <row r="973" spans="1:38" hidden="1" x14ac:dyDescent="0.25">
      <c r="A973" s="2">
        <v>1283</v>
      </c>
      <c r="B973" s="1" t="s">
        <v>1152</v>
      </c>
      <c r="C973" s="1" t="s">
        <v>1157</v>
      </c>
      <c r="D973" s="1" t="s">
        <v>2062</v>
      </c>
      <c r="E973" s="1" t="s">
        <v>2063</v>
      </c>
      <c r="F973" s="3">
        <v>45595</v>
      </c>
      <c r="G973" s="3">
        <v>45282</v>
      </c>
      <c r="H973" s="3">
        <v>45647</v>
      </c>
      <c r="I973" s="1" t="s">
        <v>3341</v>
      </c>
      <c r="J973" s="1" t="s">
        <v>3342</v>
      </c>
      <c r="K973" s="1"/>
      <c r="L973" s="1" t="s">
        <v>3343</v>
      </c>
      <c r="M973" s="1" t="s">
        <v>3344</v>
      </c>
      <c r="N973" s="1" t="s">
        <v>3345</v>
      </c>
      <c r="O973" s="1" t="s">
        <v>3346</v>
      </c>
      <c r="P973" s="1" t="s">
        <v>2165</v>
      </c>
      <c r="Q973" s="1"/>
      <c r="R973" s="1"/>
      <c r="S973" s="1" t="s">
        <v>2072</v>
      </c>
      <c r="T973" s="1" t="s">
        <v>3165</v>
      </c>
      <c r="U973" s="4">
        <v>-1</v>
      </c>
      <c r="V973" s="4">
        <v>-2994</v>
      </c>
      <c r="W973" s="4">
        <v>-30</v>
      </c>
      <c r="X973" s="4">
        <v>0</v>
      </c>
      <c r="Y973" s="4">
        <v>0</v>
      </c>
      <c r="Z973" s="5">
        <v>-3024</v>
      </c>
      <c r="AA973" s="5">
        <v>0</v>
      </c>
      <c r="AB973" s="6">
        <v>0</v>
      </c>
      <c r="AC973" s="4">
        <v>-3024</v>
      </c>
      <c r="AD973" s="4">
        <v>0</v>
      </c>
      <c r="AE973" s="4">
        <v>-3024</v>
      </c>
      <c r="AF973" s="1"/>
      <c r="AG973" s="1"/>
      <c r="AH973" s="1"/>
      <c r="AI973" s="1" t="s">
        <v>2327</v>
      </c>
      <c r="AJ973" s="1"/>
      <c r="AK973" s="1"/>
      <c r="AL973" s="1" t="s">
        <v>3347</v>
      </c>
    </row>
    <row r="974" spans="1:38" hidden="1" x14ac:dyDescent="0.25">
      <c r="A974" s="2">
        <v>1284</v>
      </c>
      <c r="B974" s="1" t="s">
        <v>1152</v>
      </c>
      <c r="C974" s="1" t="s">
        <v>1158</v>
      </c>
      <c r="D974" s="1" t="s">
        <v>2062</v>
      </c>
      <c r="E974" s="1" t="s">
        <v>2063</v>
      </c>
      <c r="F974" s="3">
        <v>45655</v>
      </c>
      <c r="G974" s="3">
        <v>45282</v>
      </c>
      <c r="H974" s="3">
        <v>45647</v>
      </c>
      <c r="I974" s="1" t="s">
        <v>3341</v>
      </c>
      <c r="J974" s="1" t="s">
        <v>3342</v>
      </c>
      <c r="K974" s="1"/>
      <c r="L974" s="1" t="s">
        <v>3343</v>
      </c>
      <c r="M974" s="1" t="s">
        <v>3344</v>
      </c>
      <c r="N974" s="1" t="s">
        <v>3345</v>
      </c>
      <c r="O974" s="1" t="s">
        <v>3346</v>
      </c>
      <c r="P974" s="1" t="s">
        <v>2165</v>
      </c>
      <c r="Q974" s="1"/>
      <c r="R974" s="1"/>
      <c r="S974" s="1" t="s">
        <v>2072</v>
      </c>
      <c r="T974" s="1" t="s">
        <v>3165</v>
      </c>
      <c r="U974" s="4">
        <v>-1</v>
      </c>
      <c r="V974" s="4">
        <v>-44554</v>
      </c>
      <c r="W974" s="4">
        <v>-446</v>
      </c>
      <c r="X974" s="4">
        <v>0</v>
      </c>
      <c r="Y974" s="4">
        <v>0</v>
      </c>
      <c r="Z974" s="5">
        <v>-45000</v>
      </c>
      <c r="AA974" s="5">
        <v>0</v>
      </c>
      <c r="AB974" s="6">
        <v>0</v>
      </c>
      <c r="AC974" s="4">
        <v>-45000</v>
      </c>
      <c r="AD974" s="4">
        <v>0</v>
      </c>
      <c r="AE974" s="4">
        <v>-45000</v>
      </c>
      <c r="AF974" s="1"/>
      <c r="AG974" s="1"/>
      <c r="AH974" s="1"/>
      <c r="AI974" s="1" t="s">
        <v>2327</v>
      </c>
      <c r="AJ974" s="1"/>
      <c r="AK974" s="1"/>
      <c r="AL974" s="1"/>
    </row>
    <row r="975" spans="1:38" hidden="1" x14ac:dyDescent="0.25">
      <c r="A975" s="2">
        <v>1288</v>
      </c>
      <c r="B975" s="1" t="s">
        <v>1159</v>
      </c>
      <c r="C975" s="1" t="s">
        <v>1160</v>
      </c>
      <c r="D975" s="1" t="s">
        <v>2062</v>
      </c>
      <c r="E975" s="1" t="s">
        <v>2063</v>
      </c>
      <c r="F975" s="3">
        <v>45289</v>
      </c>
      <c r="G975" s="3">
        <v>45276</v>
      </c>
      <c r="H975" s="3">
        <v>45641</v>
      </c>
      <c r="I975" s="1" t="s">
        <v>3348</v>
      </c>
      <c r="J975" s="1" t="s">
        <v>3349</v>
      </c>
      <c r="K975" s="1"/>
      <c r="L975" s="1" t="s">
        <v>2115</v>
      </c>
      <c r="M975" s="1" t="s">
        <v>3350</v>
      </c>
      <c r="N975" s="1" t="s">
        <v>3351</v>
      </c>
      <c r="O975" s="1" t="s">
        <v>3352</v>
      </c>
      <c r="P975" s="1" t="s">
        <v>2217</v>
      </c>
      <c r="Q975" s="1"/>
      <c r="R975" s="1"/>
      <c r="S975" s="1" t="s">
        <v>2072</v>
      </c>
      <c r="T975" s="1" t="s">
        <v>3165</v>
      </c>
      <c r="U975" s="4">
        <v>2200000</v>
      </c>
      <c r="V975" s="4">
        <v>34209</v>
      </c>
      <c r="W975" s="4">
        <v>343</v>
      </c>
      <c r="X975" s="4">
        <v>4448</v>
      </c>
      <c r="Y975" s="4">
        <v>0</v>
      </c>
      <c r="Z975" s="5">
        <v>39000</v>
      </c>
      <c r="AA975" s="5">
        <v>0</v>
      </c>
      <c r="AB975" s="6">
        <v>0</v>
      </c>
      <c r="AC975" s="4">
        <v>39000</v>
      </c>
      <c r="AD975" s="4">
        <v>0</v>
      </c>
      <c r="AE975" s="4">
        <v>39000</v>
      </c>
      <c r="AF975" s="1"/>
      <c r="AG975" s="1"/>
      <c r="AH975" s="1"/>
      <c r="AI975" s="1" t="s">
        <v>2841</v>
      </c>
      <c r="AJ975" s="1"/>
      <c r="AK975" s="1"/>
      <c r="AL975" s="1"/>
    </row>
    <row r="976" spans="1:38" hidden="1" x14ac:dyDescent="0.25">
      <c r="A976" s="2">
        <v>1289</v>
      </c>
      <c r="B976" s="1" t="s">
        <v>1159</v>
      </c>
      <c r="C976" s="1" t="s">
        <v>1161</v>
      </c>
      <c r="D976" s="1" t="s">
        <v>2062</v>
      </c>
      <c r="E976" s="1" t="s">
        <v>2063</v>
      </c>
      <c r="F976" s="3">
        <v>45307</v>
      </c>
      <c r="G976" s="3">
        <v>45276</v>
      </c>
      <c r="H976" s="3">
        <v>45641</v>
      </c>
      <c r="I976" s="1" t="s">
        <v>3348</v>
      </c>
      <c r="J976" s="1" t="s">
        <v>3349</v>
      </c>
      <c r="K976" s="1"/>
      <c r="L976" s="1" t="s">
        <v>2115</v>
      </c>
      <c r="M976" s="1" t="s">
        <v>3350</v>
      </c>
      <c r="N976" s="1" t="s">
        <v>3351</v>
      </c>
      <c r="O976" s="1" t="s">
        <v>3352</v>
      </c>
      <c r="P976" s="1" t="s">
        <v>2217</v>
      </c>
      <c r="Q976" s="1"/>
      <c r="R976" s="1"/>
      <c r="S976" s="1" t="s">
        <v>2072</v>
      </c>
      <c r="T976" s="1" t="s">
        <v>3165</v>
      </c>
      <c r="U976" s="4">
        <v>2200000</v>
      </c>
      <c r="V976" s="4">
        <v>3090</v>
      </c>
      <c r="W976" s="4">
        <v>30</v>
      </c>
      <c r="X976" s="4">
        <v>401</v>
      </c>
      <c r="Y976" s="4">
        <v>0</v>
      </c>
      <c r="Z976" s="5">
        <v>3521</v>
      </c>
      <c r="AA976" s="5">
        <v>0</v>
      </c>
      <c r="AB976" s="6">
        <v>0</v>
      </c>
      <c r="AC976" s="4">
        <v>3521</v>
      </c>
      <c r="AD976" s="4">
        <v>0</v>
      </c>
      <c r="AE976" s="4">
        <v>3521</v>
      </c>
      <c r="AF976" s="1"/>
      <c r="AG976" s="1"/>
      <c r="AH976" s="1"/>
      <c r="AI976" s="1" t="s">
        <v>2841</v>
      </c>
      <c r="AJ976" s="6">
        <v>1199.6100000000001</v>
      </c>
      <c r="AK976" s="6">
        <v>1167.1600000000001</v>
      </c>
      <c r="AL976" s="1"/>
    </row>
    <row r="977" spans="1:38" hidden="1" x14ac:dyDescent="0.25">
      <c r="A977" s="2">
        <v>1290</v>
      </c>
      <c r="B977" s="1" t="s">
        <v>1159</v>
      </c>
      <c r="C977" s="1" t="s">
        <v>1162</v>
      </c>
      <c r="D977" s="1" t="s">
        <v>2062</v>
      </c>
      <c r="E977" s="1" t="s">
        <v>2063</v>
      </c>
      <c r="F977" s="3">
        <v>45596</v>
      </c>
      <c r="G977" s="3">
        <v>45276</v>
      </c>
      <c r="H977" s="3">
        <v>45641</v>
      </c>
      <c r="I977" s="1" t="s">
        <v>3348</v>
      </c>
      <c r="J977" s="1" t="s">
        <v>3349</v>
      </c>
      <c r="K977" s="1"/>
      <c r="L977" s="1" t="s">
        <v>2115</v>
      </c>
      <c r="M977" s="1" t="s">
        <v>3350</v>
      </c>
      <c r="N977" s="1" t="s">
        <v>3351</v>
      </c>
      <c r="O977" s="1" t="s">
        <v>3352</v>
      </c>
      <c r="P977" s="1" t="s">
        <v>2217</v>
      </c>
      <c r="Q977" s="1"/>
      <c r="R977" s="1"/>
      <c r="S977" s="1" t="s">
        <v>2072</v>
      </c>
      <c r="T977" s="1" t="s">
        <v>3165</v>
      </c>
      <c r="U977" s="4">
        <v>-1</v>
      </c>
      <c r="V977" s="4">
        <v>-42100</v>
      </c>
      <c r="W977" s="4">
        <v>-421</v>
      </c>
      <c r="X977" s="4">
        <v>0</v>
      </c>
      <c r="Y977" s="4">
        <v>0</v>
      </c>
      <c r="Z977" s="5">
        <v>-42521</v>
      </c>
      <c r="AA977" s="5">
        <v>0</v>
      </c>
      <c r="AB977" s="6">
        <v>0</v>
      </c>
      <c r="AC977" s="4">
        <v>-42521</v>
      </c>
      <c r="AD977" s="4">
        <v>0</v>
      </c>
      <c r="AE977" s="4">
        <v>-42521</v>
      </c>
      <c r="AF977" s="1"/>
      <c r="AG977" s="1"/>
      <c r="AH977" s="1"/>
      <c r="AI977" s="1" t="s">
        <v>2841</v>
      </c>
      <c r="AJ977" s="1"/>
      <c r="AK977" s="1"/>
      <c r="AL977" s="1"/>
    </row>
    <row r="978" spans="1:38" hidden="1" x14ac:dyDescent="0.25">
      <c r="A978" s="2">
        <v>1291</v>
      </c>
      <c r="B978" s="1" t="s">
        <v>1163</v>
      </c>
      <c r="C978" s="1" t="s">
        <v>1164</v>
      </c>
      <c r="D978" s="1" t="s">
        <v>2062</v>
      </c>
      <c r="E978" s="1" t="s">
        <v>2063</v>
      </c>
      <c r="F978" s="3">
        <v>45289</v>
      </c>
      <c r="G978" s="3">
        <v>45286</v>
      </c>
      <c r="H978" s="3">
        <v>45651</v>
      </c>
      <c r="I978" s="1" t="s">
        <v>3353</v>
      </c>
      <c r="J978" s="1" t="s">
        <v>3354</v>
      </c>
      <c r="K978" s="1"/>
      <c r="L978" s="1" t="s">
        <v>3355</v>
      </c>
      <c r="M978" s="1" t="s">
        <v>3356</v>
      </c>
      <c r="N978" s="1" t="s">
        <v>3357</v>
      </c>
      <c r="O978" s="1" t="s">
        <v>3358</v>
      </c>
      <c r="P978" s="1" t="s">
        <v>2095</v>
      </c>
      <c r="Q978" s="1"/>
      <c r="R978" s="1"/>
      <c r="S978" s="1" t="s">
        <v>2072</v>
      </c>
      <c r="T978" s="1" t="s">
        <v>3165</v>
      </c>
      <c r="U978" s="4">
        <v>4200000</v>
      </c>
      <c r="V978" s="4">
        <v>69298</v>
      </c>
      <c r="W978" s="4">
        <v>693</v>
      </c>
      <c r="X978" s="4">
        <v>9009</v>
      </c>
      <c r="Y978" s="4">
        <v>0</v>
      </c>
      <c r="Z978" s="5">
        <v>79000</v>
      </c>
      <c r="AA978" s="5">
        <v>0</v>
      </c>
      <c r="AB978" s="6">
        <v>0</v>
      </c>
      <c r="AC978" s="4">
        <v>79000</v>
      </c>
      <c r="AD978" s="4">
        <v>0</v>
      </c>
      <c r="AE978" s="4">
        <v>79000</v>
      </c>
      <c r="AF978" s="1"/>
      <c r="AG978" s="1"/>
      <c r="AH978" s="1"/>
      <c r="AI978" s="1" t="s">
        <v>2841</v>
      </c>
      <c r="AJ978" s="1"/>
      <c r="AK978" s="1"/>
      <c r="AL978" s="1"/>
    </row>
    <row r="979" spans="1:38" hidden="1" x14ac:dyDescent="0.25">
      <c r="A979" s="2">
        <v>1292</v>
      </c>
      <c r="B979" s="1" t="s">
        <v>1163</v>
      </c>
      <c r="C979" s="1" t="s">
        <v>1165</v>
      </c>
      <c r="D979" s="1" t="s">
        <v>2062</v>
      </c>
      <c r="E979" s="1" t="s">
        <v>2063</v>
      </c>
      <c r="F979" s="3">
        <v>45317</v>
      </c>
      <c r="G979" s="3">
        <v>45286</v>
      </c>
      <c r="H979" s="3">
        <v>45651</v>
      </c>
      <c r="I979" s="1" t="s">
        <v>3353</v>
      </c>
      <c r="J979" s="1" t="s">
        <v>3354</v>
      </c>
      <c r="K979" s="1"/>
      <c r="L979" s="1" t="s">
        <v>3355</v>
      </c>
      <c r="M979" s="1" t="s">
        <v>3356</v>
      </c>
      <c r="N979" s="1" t="s">
        <v>3357</v>
      </c>
      <c r="O979" s="1" t="s">
        <v>3358</v>
      </c>
      <c r="P979" s="1" t="s">
        <v>2095</v>
      </c>
      <c r="Q979" s="1"/>
      <c r="R979" s="1"/>
      <c r="S979" s="1" t="s">
        <v>2072</v>
      </c>
      <c r="T979" s="1" t="s">
        <v>3165</v>
      </c>
      <c r="U979" s="4">
        <v>4200000</v>
      </c>
      <c r="V979" s="4">
        <v>5603</v>
      </c>
      <c r="W979" s="4">
        <v>56</v>
      </c>
      <c r="X979" s="4">
        <v>729</v>
      </c>
      <c r="Y979" s="4">
        <v>0</v>
      </c>
      <c r="Z979" s="5">
        <v>6388</v>
      </c>
      <c r="AA979" s="5">
        <v>0</v>
      </c>
      <c r="AB979" s="6">
        <v>0</v>
      </c>
      <c r="AC979" s="4">
        <v>6388</v>
      </c>
      <c r="AD979" s="4">
        <v>0</v>
      </c>
      <c r="AE979" s="4">
        <v>6388</v>
      </c>
      <c r="AF979" s="1"/>
      <c r="AG979" s="1"/>
      <c r="AH979" s="1"/>
      <c r="AI979" s="1" t="s">
        <v>2841</v>
      </c>
      <c r="AJ979" s="6">
        <v>5153.88</v>
      </c>
      <c r="AK979" s="6">
        <v>1109.83</v>
      </c>
      <c r="AL979" s="1"/>
    </row>
    <row r="980" spans="1:38" hidden="1" x14ac:dyDescent="0.25">
      <c r="A980" s="2">
        <v>1293</v>
      </c>
      <c r="B980" s="1" t="s">
        <v>1163</v>
      </c>
      <c r="C980" s="1" t="s">
        <v>1166</v>
      </c>
      <c r="D980" s="1" t="s">
        <v>2062</v>
      </c>
      <c r="E980" s="1" t="s">
        <v>2063</v>
      </c>
      <c r="F980" s="3">
        <v>45349</v>
      </c>
      <c r="G980" s="3">
        <v>45286</v>
      </c>
      <c r="H980" s="3">
        <v>45651</v>
      </c>
      <c r="I980" s="1" t="s">
        <v>3353</v>
      </c>
      <c r="J980" s="1" t="s">
        <v>3354</v>
      </c>
      <c r="K980" s="1"/>
      <c r="L980" s="1" t="s">
        <v>3355</v>
      </c>
      <c r="M980" s="1" t="s">
        <v>3356</v>
      </c>
      <c r="N980" s="1" t="s">
        <v>3357</v>
      </c>
      <c r="O980" s="1" t="s">
        <v>3358</v>
      </c>
      <c r="P980" s="1" t="s">
        <v>2095</v>
      </c>
      <c r="Q980" s="1"/>
      <c r="R980" s="1"/>
      <c r="S980" s="1" t="s">
        <v>2072</v>
      </c>
      <c r="T980" s="1" t="s">
        <v>3165</v>
      </c>
      <c r="U980" s="4">
        <v>4200000</v>
      </c>
      <c r="V980" s="4">
        <v>7043</v>
      </c>
      <c r="W980" s="4">
        <v>71</v>
      </c>
      <c r="X980" s="4">
        <v>915</v>
      </c>
      <c r="Y980" s="4">
        <v>0</v>
      </c>
      <c r="Z980" s="5">
        <v>8029</v>
      </c>
      <c r="AA980" s="5">
        <v>0</v>
      </c>
      <c r="AB980" s="6">
        <v>0</v>
      </c>
      <c r="AC980" s="4">
        <v>8029</v>
      </c>
      <c r="AD980" s="4">
        <v>0</v>
      </c>
      <c r="AE980" s="4">
        <v>8029</v>
      </c>
      <c r="AF980" s="1"/>
      <c r="AG980" s="1"/>
      <c r="AH980" s="1"/>
      <c r="AI980" s="1" t="s">
        <v>2841</v>
      </c>
      <c r="AJ980" s="6">
        <v>6297.3599999999933</v>
      </c>
      <c r="AK980" s="6">
        <v>1395</v>
      </c>
      <c r="AL980" s="1"/>
    </row>
    <row r="981" spans="1:38" hidden="1" x14ac:dyDescent="0.25">
      <c r="A981" s="2">
        <v>1294</v>
      </c>
      <c r="B981" s="1" t="s">
        <v>1163</v>
      </c>
      <c r="C981" s="1" t="s">
        <v>1167</v>
      </c>
      <c r="D981" s="1" t="s">
        <v>2062</v>
      </c>
      <c r="E981" s="1" t="s">
        <v>2063</v>
      </c>
      <c r="F981" s="3">
        <v>45377</v>
      </c>
      <c r="G981" s="3">
        <v>45286</v>
      </c>
      <c r="H981" s="3">
        <v>45651</v>
      </c>
      <c r="I981" s="1" t="s">
        <v>3353</v>
      </c>
      <c r="J981" s="1" t="s">
        <v>3354</v>
      </c>
      <c r="K981" s="1"/>
      <c r="L981" s="1" t="s">
        <v>3355</v>
      </c>
      <c r="M981" s="1" t="s">
        <v>3356</v>
      </c>
      <c r="N981" s="1" t="s">
        <v>3357</v>
      </c>
      <c r="O981" s="1" t="s">
        <v>3358</v>
      </c>
      <c r="P981" s="1" t="s">
        <v>2095</v>
      </c>
      <c r="Q981" s="1"/>
      <c r="R981" s="1"/>
      <c r="S981" s="1" t="s">
        <v>2072</v>
      </c>
      <c r="T981" s="1" t="s">
        <v>3165</v>
      </c>
      <c r="U981" s="4">
        <v>4200000</v>
      </c>
      <c r="V981" s="4">
        <v>6570</v>
      </c>
      <c r="W981" s="4">
        <v>66</v>
      </c>
      <c r="X981" s="4">
        <v>854</v>
      </c>
      <c r="Y981" s="4">
        <v>0</v>
      </c>
      <c r="Z981" s="5">
        <v>7490</v>
      </c>
      <c r="AA981" s="5">
        <v>0</v>
      </c>
      <c r="AB981" s="6">
        <v>0</v>
      </c>
      <c r="AC981" s="4">
        <v>7490</v>
      </c>
      <c r="AD981" s="4">
        <v>0</v>
      </c>
      <c r="AE981" s="4">
        <v>7490</v>
      </c>
      <c r="AF981" s="1"/>
      <c r="AG981" s="1"/>
      <c r="AH981" s="1"/>
      <c r="AI981" s="1" t="s">
        <v>2841</v>
      </c>
      <c r="AJ981" s="6">
        <v>4184.9799999999968</v>
      </c>
      <c r="AK981" s="6">
        <v>1301.4100000000001</v>
      </c>
      <c r="AL981" s="1"/>
    </row>
    <row r="982" spans="1:38" hidden="1" x14ac:dyDescent="0.25">
      <c r="A982" s="2">
        <v>1295</v>
      </c>
      <c r="B982" s="1" t="s">
        <v>1163</v>
      </c>
      <c r="C982" s="1" t="s">
        <v>1168</v>
      </c>
      <c r="D982" s="1" t="s">
        <v>2062</v>
      </c>
      <c r="E982" s="1" t="s">
        <v>2063</v>
      </c>
      <c r="F982" s="3">
        <v>45409</v>
      </c>
      <c r="G982" s="3">
        <v>45286</v>
      </c>
      <c r="H982" s="3">
        <v>45651</v>
      </c>
      <c r="I982" s="1" t="s">
        <v>3353</v>
      </c>
      <c r="J982" s="1" t="s">
        <v>3354</v>
      </c>
      <c r="K982" s="1"/>
      <c r="L982" s="1" t="s">
        <v>3355</v>
      </c>
      <c r="M982" s="1" t="s">
        <v>3356</v>
      </c>
      <c r="N982" s="1" t="s">
        <v>3357</v>
      </c>
      <c r="O982" s="1" t="s">
        <v>3358</v>
      </c>
      <c r="P982" s="1" t="s">
        <v>2095</v>
      </c>
      <c r="Q982" s="1"/>
      <c r="R982" s="1"/>
      <c r="S982" s="1" t="s">
        <v>2072</v>
      </c>
      <c r="T982" s="1" t="s">
        <v>3165</v>
      </c>
      <c r="U982" s="4">
        <v>4200000</v>
      </c>
      <c r="V982" s="4">
        <v>7031</v>
      </c>
      <c r="W982" s="4">
        <v>70</v>
      </c>
      <c r="X982" s="4">
        <v>915</v>
      </c>
      <c r="Y982" s="4">
        <v>0</v>
      </c>
      <c r="Z982" s="5">
        <v>8016</v>
      </c>
      <c r="AA982" s="5">
        <v>0</v>
      </c>
      <c r="AB982" s="6">
        <v>0</v>
      </c>
      <c r="AC982" s="4">
        <v>8016</v>
      </c>
      <c r="AD982" s="4">
        <v>0</v>
      </c>
      <c r="AE982" s="4">
        <v>8016</v>
      </c>
      <c r="AF982" s="1"/>
      <c r="AG982" s="1"/>
      <c r="AH982" s="1"/>
      <c r="AI982" s="1" t="s">
        <v>2841</v>
      </c>
      <c r="AJ982" s="6">
        <v>3684.75</v>
      </c>
      <c r="AK982" s="6">
        <v>1392.74</v>
      </c>
      <c r="AL982" s="1"/>
    </row>
    <row r="983" spans="1:38" hidden="1" x14ac:dyDescent="0.25">
      <c r="A983" s="2">
        <v>1296</v>
      </c>
      <c r="B983" s="1" t="s">
        <v>1163</v>
      </c>
      <c r="C983" s="1" t="s">
        <v>1169</v>
      </c>
      <c r="D983" s="1" t="s">
        <v>2062</v>
      </c>
      <c r="E983" s="1" t="s">
        <v>2063</v>
      </c>
      <c r="F983" s="3">
        <v>45439</v>
      </c>
      <c r="G983" s="3">
        <v>45286</v>
      </c>
      <c r="H983" s="3">
        <v>45651</v>
      </c>
      <c r="I983" s="1" t="s">
        <v>3353</v>
      </c>
      <c r="J983" s="1" t="s">
        <v>3354</v>
      </c>
      <c r="K983" s="1"/>
      <c r="L983" s="1" t="s">
        <v>3355</v>
      </c>
      <c r="M983" s="1" t="s">
        <v>3356</v>
      </c>
      <c r="N983" s="1" t="s">
        <v>3357</v>
      </c>
      <c r="O983" s="1" t="s">
        <v>3358</v>
      </c>
      <c r="P983" s="1" t="s">
        <v>2095</v>
      </c>
      <c r="Q983" s="1"/>
      <c r="R983" s="1"/>
      <c r="S983" s="1" t="s">
        <v>2072</v>
      </c>
      <c r="T983" s="1" t="s">
        <v>3165</v>
      </c>
      <c r="U983" s="4">
        <v>4200000</v>
      </c>
      <c r="V983" s="4">
        <v>6816</v>
      </c>
      <c r="W983" s="4">
        <v>68</v>
      </c>
      <c r="X983" s="4">
        <v>886</v>
      </c>
      <c r="Y983" s="4">
        <v>0</v>
      </c>
      <c r="Z983" s="5">
        <v>7770</v>
      </c>
      <c r="AA983" s="5">
        <v>0</v>
      </c>
      <c r="AB983" s="6">
        <v>0</v>
      </c>
      <c r="AC983" s="4">
        <v>7770</v>
      </c>
      <c r="AD983" s="4">
        <v>0</v>
      </c>
      <c r="AE983" s="4">
        <v>7770</v>
      </c>
      <c r="AF983" s="1"/>
      <c r="AG983" s="1"/>
      <c r="AH983" s="1"/>
      <c r="AI983" s="1" t="s">
        <v>2841</v>
      </c>
      <c r="AJ983" s="6">
        <v>3502.1600000000008</v>
      </c>
      <c r="AK983" s="6">
        <v>1350</v>
      </c>
      <c r="AL983" s="1"/>
    </row>
    <row r="984" spans="1:38" hidden="1" x14ac:dyDescent="0.25">
      <c r="A984" s="2">
        <v>1297</v>
      </c>
      <c r="B984" s="1" t="s">
        <v>1163</v>
      </c>
      <c r="C984" s="1" t="s">
        <v>1170</v>
      </c>
      <c r="D984" s="1" t="s">
        <v>2062</v>
      </c>
      <c r="E984" s="1" t="s">
        <v>2063</v>
      </c>
      <c r="F984" s="3">
        <v>45469</v>
      </c>
      <c r="G984" s="3">
        <v>45286</v>
      </c>
      <c r="H984" s="3">
        <v>45651</v>
      </c>
      <c r="I984" s="1" t="s">
        <v>3353</v>
      </c>
      <c r="J984" s="1" t="s">
        <v>3354</v>
      </c>
      <c r="K984" s="1"/>
      <c r="L984" s="1" t="s">
        <v>3355</v>
      </c>
      <c r="M984" s="1" t="s">
        <v>3356</v>
      </c>
      <c r="N984" s="1" t="s">
        <v>3357</v>
      </c>
      <c r="O984" s="1" t="s">
        <v>3358</v>
      </c>
      <c r="P984" s="1" t="s">
        <v>2095</v>
      </c>
      <c r="Q984" s="1"/>
      <c r="R984" s="1"/>
      <c r="S984" s="1" t="s">
        <v>2072</v>
      </c>
      <c r="T984" s="1" t="s">
        <v>3165</v>
      </c>
      <c r="U984" s="4">
        <v>4200000</v>
      </c>
      <c r="V984" s="4">
        <v>6538</v>
      </c>
      <c r="W984" s="4">
        <v>65</v>
      </c>
      <c r="X984" s="4">
        <v>849</v>
      </c>
      <c r="Y984" s="4">
        <v>0</v>
      </c>
      <c r="Z984" s="5">
        <v>7452</v>
      </c>
      <c r="AA984" s="5">
        <v>0</v>
      </c>
      <c r="AB984" s="6">
        <v>0</v>
      </c>
      <c r="AC984" s="4">
        <v>7452</v>
      </c>
      <c r="AD984" s="4">
        <v>0</v>
      </c>
      <c r="AE984" s="4">
        <v>7452</v>
      </c>
      <c r="AF984" s="1"/>
      <c r="AG984" s="1"/>
      <c r="AH984" s="1"/>
      <c r="AI984" s="1" t="s">
        <v>2841</v>
      </c>
      <c r="AJ984" s="6">
        <v>4583.4499999999935</v>
      </c>
      <c r="AK984" s="6">
        <v>1294.79</v>
      </c>
      <c r="AL984" s="1"/>
    </row>
    <row r="985" spans="1:38" hidden="1" x14ac:dyDescent="0.25">
      <c r="A985" s="2">
        <v>1298</v>
      </c>
      <c r="B985" s="1" t="s">
        <v>1163</v>
      </c>
      <c r="C985" s="1" t="s">
        <v>1171</v>
      </c>
      <c r="D985" s="1" t="s">
        <v>2062</v>
      </c>
      <c r="E985" s="1" t="s">
        <v>2063</v>
      </c>
      <c r="F985" s="3">
        <v>45499</v>
      </c>
      <c r="G985" s="3">
        <v>45286</v>
      </c>
      <c r="H985" s="3">
        <v>45651</v>
      </c>
      <c r="I985" s="1" t="s">
        <v>3353</v>
      </c>
      <c r="J985" s="1" t="s">
        <v>3354</v>
      </c>
      <c r="K985" s="1"/>
      <c r="L985" s="1" t="s">
        <v>3355</v>
      </c>
      <c r="M985" s="1" t="s">
        <v>3356</v>
      </c>
      <c r="N985" s="1" t="s">
        <v>3357</v>
      </c>
      <c r="O985" s="1" t="s">
        <v>3358</v>
      </c>
      <c r="P985" s="1" t="s">
        <v>2095</v>
      </c>
      <c r="Q985" s="1"/>
      <c r="R985" s="1"/>
      <c r="S985" s="1" t="s">
        <v>2072</v>
      </c>
      <c r="T985" s="1" t="s">
        <v>3165</v>
      </c>
      <c r="U985" s="4">
        <v>4200000</v>
      </c>
      <c r="V985" s="4">
        <v>6637</v>
      </c>
      <c r="W985" s="4">
        <v>66</v>
      </c>
      <c r="X985" s="4">
        <v>995</v>
      </c>
      <c r="Y985" s="4">
        <v>0</v>
      </c>
      <c r="Z985" s="5">
        <v>7698</v>
      </c>
      <c r="AA985" s="5">
        <v>0</v>
      </c>
      <c r="AB985" s="6">
        <v>0</v>
      </c>
      <c r="AC985" s="4">
        <v>7698</v>
      </c>
      <c r="AD985" s="4">
        <v>0</v>
      </c>
      <c r="AE985" s="4">
        <v>7698</v>
      </c>
      <c r="AF985" s="1"/>
      <c r="AG985" s="1"/>
      <c r="AH985" s="1"/>
      <c r="AI985" s="1" t="s">
        <v>2841</v>
      </c>
      <c r="AJ985" s="6">
        <v>4838.4299999999921</v>
      </c>
      <c r="AK985" s="6">
        <v>1337.48</v>
      </c>
      <c r="AL985" s="1"/>
    </row>
    <row r="986" spans="1:38" hidden="1" x14ac:dyDescent="0.25">
      <c r="A986" s="2">
        <v>1299</v>
      </c>
      <c r="B986" s="1" t="s">
        <v>1163</v>
      </c>
      <c r="C986" s="1" t="s">
        <v>1172</v>
      </c>
      <c r="D986" s="1" t="s">
        <v>2062</v>
      </c>
      <c r="E986" s="1" t="s">
        <v>2063</v>
      </c>
      <c r="F986" s="3">
        <v>45535</v>
      </c>
      <c r="G986" s="3">
        <v>45286</v>
      </c>
      <c r="H986" s="3">
        <v>45651</v>
      </c>
      <c r="I986" s="1" t="s">
        <v>3353</v>
      </c>
      <c r="J986" s="1" t="s">
        <v>3354</v>
      </c>
      <c r="K986" s="1"/>
      <c r="L986" s="1" t="s">
        <v>3355</v>
      </c>
      <c r="M986" s="1" t="s">
        <v>3356</v>
      </c>
      <c r="N986" s="1" t="s">
        <v>3357</v>
      </c>
      <c r="O986" s="1" t="s">
        <v>3358</v>
      </c>
      <c r="P986" s="1" t="s">
        <v>2095</v>
      </c>
      <c r="Q986" s="1"/>
      <c r="R986" s="1"/>
      <c r="S986" s="1" t="s">
        <v>2072</v>
      </c>
      <c r="T986" s="1" t="s">
        <v>3165</v>
      </c>
      <c r="U986" s="4">
        <v>4200000</v>
      </c>
      <c r="V986" s="4">
        <v>6763</v>
      </c>
      <c r="W986" s="4">
        <v>68</v>
      </c>
      <c r="X986" s="4">
        <v>1015</v>
      </c>
      <c r="Y986" s="4">
        <v>0</v>
      </c>
      <c r="Z986" s="5">
        <v>7846</v>
      </c>
      <c r="AA986" s="5">
        <v>0</v>
      </c>
      <c r="AB986" s="6">
        <v>0</v>
      </c>
      <c r="AC986" s="4">
        <v>7846</v>
      </c>
      <c r="AD986" s="4">
        <v>0</v>
      </c>
      <c r="AE986" s="4">
        <v>7846</v>
      </c>
      <c r="AF986" s="1"/>
      <c r="AG986" s="1"/>
      <c r="AH986" s="1"/>
      <c r="AI986" s="1" t="s">
        <v>2841</v>
      </c>
      <c r="AJ986" s="6">
        <v>3805.8599999999965</v>
      </c>
      <c r="AK986" s="6">
        <v>1363.15</v>
      </c>
      <c r="AL986" s="1"/>
    </row>
    <row r="987" spans="1:38" hidden="1" x14ac:dyDescent="0.25">
      <c r="A987" s="2">
        <v>1300</v>
      </c>
      <c r="B987" s="1" t="s">
        <v>1163</v>
      </c>
      <c r="C987" s="1" t="s">
        <v>1173</v>
      </c>
      <c r="D987" s="1" t="s">
        <v>2062</v>
      </c>
      <c r="E987" s="1" t="s">
        <v>2063</v>
      </c>
      <c r="F987" s="3">
        <v>45566</v>
      </c>
      <c r="G987" s="3">
        <v>45286</v>
      </c>
      <c r="H987" s="3">
        <v>45651</v>
      </c>
      <c r="I987" s="1" t="s">
        <v>3353</v>
      </c>
      <c r="J987" s="1" t="s">
        <v>3354</v>
      </c>
      <c r="K987" s="1"/>
      <c r="L987" s="1" t="s">
        <v>3355</v>
      </c>
      <c r="M987" s="1" t="s">
        <v>3356</v>
      </c>
      <c r="N987" s="1" t="s">
        <v>3357</v>
      </c>
      <c r="O987" s="1" t="s">
        <v>3358</v>
      </c>
      <c r="P987" s="1" t="s">
        <v>2095</v>
      </c>
      <c r="Q987" s="1"/>
      <c r="R987" s="1"/>
      <c r="S987" s="1" t="s">
        <v>2072</v>
      </c>
      <c r="T987" s="1" t="s">
        <v>3165</v>
      </c>
      <c r="U987" s="4">
        <v>4200000</v>
      </c>
      <c r="V987" s="4">
        <v>6922</v>
      </c>
      <c r="W987" s="4">
        <v>69</v>
      </c>
      <c r="X987" s="4">
        <v>1038</v>
      </c>
      <c r="Y987" s="4">
        <v>0</v>
      </c>
      <c r="Z987" s="5">
        <v>8029</v>
      </c>
      <c r="AA987" s="5">
        <v>0</v>
      </c>
      <c r="AB987" s="6">
        <v>0</v>
      </c>
      <c r="AC987" s="4">
        <v>8029</v>
      </c>
      <c r="AD987" s="4">
        <v>0</v>
      </c>
      <c r="AE987" s="4">
        <v>8029</v>
      </c>
      <c r="AF987" s="1"/>
      <c r="AG987" s="1"/>
      <c r="AH987" s="1"/>
      <c r="AI987" s="1" t="s">
        <v>2841</v>
      </c>
      <c r="AJ987" s="6">
        <v>4152.1199999999963</v>
      </c>
      <c r="AK987" s="6">
        <v>1395</v>
      </c>
      <c r="AL987" s="1"/>
    </row>
    <row r="988" spans="1:38" hidden="1" x14ac:dyDescent="0.25">
      <c r="A988" s="2">
        <v>1301</v>
      </c>
      <c r="B988" s="1" t="s">
        <v>1163</v>
      </c>
      <c r="C988" s="1" t="s">
        <v>1174</v>
      </c>
      <c r="D988" s="1" t="s">
        <v>2062</v>
      </c>
      <c r="E988" s="1" t="s">
        <v>2063</v>
      </c>
      <c r="F988" s="3">
        <v>45593</v>
      </c>
      <c r="G988" s="3">
        <v>45286</v>
      </c>
      <c r="H988" s="3">
        <v>45651</v>
      </c>
      <c r="I988" s="1" t="s">
        <v>3353</v>
      </c>
      <c r="J988" s="1" t="s">
        <v>3354</v>
      </c>
      <c r="K988" s="1"/>
      <c r="L988" s="1" t="s">
        <v>3355</v>
      </c>
      <c r="M988" s="1" t="s">
        <v>3356</v>
      </c>
      <c r="N988" s="1" t="s">
        <v>3357</v>
      </c>
      <c r="O988" s="1" t="s">
        <v>3358</v>
      </c>
      <c r="P988" s="1" t="s">
        <v>2095</v>
      </c>
      <c r="Q988" s="1"/>
      <c r="R988" s="1"/>
      <c r="S988" s="1" t="s">
        <v>2072</v>
      </c>
      <c r="T988" s="1" t="s">
        <v>3165</v>
      </c>
      <c r="U988" s="4">
        <v>4200000</v>
      </c>
      <c r="V988" s="4">
        <v>6693</v>
      </c>
      <c r="W988" s="4">
        <v>67</v>
      </c>
      <c r="X988" s="4">
        <v>1004</v>
      </c>
      <c r="Y988" s="4">
        <v>0</v>
      </c>
      <c r="Z988" s="5">
        <v>7764</v>
      </c>
      <c r="AA988" s="5">
        <v>0</v>
      </c>
      <c r="AB988" s="6">
        <v>0</v>
      </c>
      <c r="AC988" s="4">
        <v>7764</v>
      </c>
      <c r="AD988" s="4">
        <v>0</v>
      </c>
      <c r="AE988" s="4">
        <v>7764</v>
      </c>
      <c r="AF988" s="1"/>
      <c r="AG988" s="1"/>
      <c r="AH988" s="1"/>
      <c r="AI988" s="1" t="s">
        <v>2841</v>
      </c>
      <c r="AJ988" s="6">
        <v>3700.509999999997</v>
      </c>
      <c r="AK988" s="6">
        <v>1349</v>
      </c>
      <c r="AL988" s="1"/>
    </row>
    <row r="989" spans="1:38" hidden="1" x14ac:dyDescent="0.25">
      <c r="A989" s="2">
        <v>1302</v>
      </c>
      <c r="B989" s="1" t="s">
        <v>1163</v>
      </c>
      <c r="C989" s="1" t="s">
        <v>1175</v>
      </c>
      <c r="D989" s="1" t="s">
        <v>2062</v>
      </c>
      <c r="E989" s="1" t="s">
        <v>2063</v>
      </c>
      <c r="F989" s="3">
        <v>45596</v>
      </c>
      <c r="G989" s="3">
        <v>45286</v>
      </c>
      <c r="H989" s="3">
        <v>45651</v>
      </c>
      <c r="I989" s="1" t="s">
        <v>3353</v>
      </c>
      <c r="J989" s="1" t="s">
        <v>3354</v>
      </c>
      <c r="K989" s="1"/>
      <c r="L989" s="1" t="s">
        <v>3355</v>
      </c>
      <c r="M989" s="1" t="s">
        <v>3356</v>
      </c>
      <c r="N989" s="1" t="s">
        <v>3357</v>
      </c>
      <c r="O989" s="1" t="s">
        <v>3358</v>
      </c>
      <c r="P989" s="1" t="s">
        <v>2095</v>
      </c>
      <c r="Q989" s="1"/>
      <c r="R989" s="1"/>
      <c r="S989" s="1" t="s">
        <v>2072</v>
      </c>
      <c r="T989" s="1" t="s">
        <v>3165</v>
      </c>
      <c r="U989" s="4">
        <v>-1</v>
      </c>
      <c r="V989" s="4">
        <v>-153943</v>
      </c>
      <c r="W989" s="4">
        <v>-1539</v>
      </c>
      <c r="X989" s="4">
        <v>0</v>
      </c>
      <c r="Y989" s="4">
        <v>0</v>
      </c>
      <c r="Z989" s="5">
        <v>-155482</v>
      </c>
      <c r="AA989" s="5">
        <v>0</v>
      </c>
      <c r="AB989" s="6">
        <v>0</v>
      </c>
      <c r="AC989" s="4">
        <v>-155482</v>
      </c>
      <c r="AD989" s="4">
        <v>0</v>
      </c>
      <c r="AE989" s="4">
        <v>-155482</v>
      </c>
      <c r="AF989" s="1"/>
      <c r="AG989" s="1"/>
      <c r="AH989" s="1"/>
      <c r="AI989" s="1" t="s">
        <v>2841</v>
      </c>
      <c r="AJ989" s="1"/>
      <c r="AK989" s="1"/>
      <c r="AL989" s="1"/>
    </row>
    <row r="990" spans="1:38" hidden="1" x14ac:dyDescent="0.25">
      <c r="A990" s="2">
        <v>1303</v>
      </c>
      <c r="B990" s="1" t="s">
        <v>1176</v>
      </c>
      <c r="C990" s="1" t="s">
        <v>1177</v>
      </c>
      <c r="D990" s="1" t="s">
        <v>2062</v>
      </c>
      <c r="E990" s="1" t="s">
        <v>2063</v>
      </c>
      <c r="F990" s="3">
        <v>45289</v>
      </c>
      <c r="G990" s="3">
        <v>45286</v>
      </c>
      <c r="H990" s="3">
        <v>45651</v>
      </c>
      <c r="I990" s="1" t="s">
        <v>3359</v>
      </c>
      <c r="J990" s="1" t="s">
        <v>3360</v>
      </c>
      <c r="K990" s="1"/>
      <c r="L990" s="1" t="s">
        <v>2299</v>
      </c>
      <c r="M990" s="1" t="s">
        <v>3361</v>
      </c>
      <c r="N990" s="1" t="s">
        <v>3362</v>
      </c>
      <c r="O990" s="1" t="s">
        <v>3363</v>
      </c>
      <c r="P990" s="1" t="s">
        <v>2165</v>
      </c>
      <c r="Q990" s="1"/>
      <c r="R990" s="1"/>
      <c r="S990" s="1" t="s">
        <v>2072</v>
      </c>
      <c r="T990" s="1" t="s">
        <v>3165</v>
      </c>
      <c r="U990" s="4">
        <v>2000000</v>
      </c>
      <c r="V990" s="4">
        <v>30701</v>
      </c>
      <c r="W990" s="4">
        <v>307</v>
      </c>
      <c r="X990" s="4">
        <v>3992</v>
      </c>
      <c r="Y990" s="4">
        <v>0</v>
      </c>
      <c r="Z990" s="5">
        <v>35000</v>
      </c>
      <c r="AA990" s="5">
        <v>0</v>
      </c>
      <c r="AB990" s="6">
        <v>0</v>
      </c>
      <c r="AC990" s="4">
        <v>35000</v>
      </c>
      <c r="AD990" s="4">
        <v>0</v>
      </c>
      <c r="AE990" s="4">
        <v>35000</v>
      </c>
      <c r="AF990" s="1"/>
      <c r="AG990" s="1"/>
      <c r="AH990" s="1"/>
      <c r="AI990" s="1" t="s">
        <v>2841</v>
      </c>
      <c r="AJ990" s="1"/>
      <c r="AK990" s="1"/>
      <c r="AL990" s="1"/>
    </row>
    <row r="991" spans="1:38" hidden="1" x14ac:dyDescent="0.25">
      <c r="A991" s="2">
        <v>1304</v>
      </c>
      <c r="B991" s="1" t="s">
        <v>1176</v>
      </c>
      <c r="C991" s="1" t="s">
        <v>1178</v>
      </c>
      <c r="D991" s="1" t="s">
        <v>2062</v>
      </c>
      <c r="E991" s="1" t="s">
        <v>2063</v>
      </c>
      <c r="F991" s="3">
        <v>45441</v>
      </c>
      <c r="G991" s="3">
        <v>45286</v>
      </c>
      <c r="H991" s="3">
        <v>45651</v>
      </c>
      <c r="I991" s="1" t="s">
        <v>3359</v>
      </c>
      <c r="J991" s="1" t="s">
        <v>3360</v>
      </c>
      <c r="K991" s="1"/>
      <c r="L991" s="1" t="s">
        <v>2299</v>
      </c>
      <c r="M991" s="1" t="s">
        <v>3361</v>
      </c>
      <c r="N991" s="1" t="s">
        <v>3362</v>
      </c>
      <c r="O991" s="1" t="s">
        <v>3363</v>
      </c>
      <c r="P991" s="1" t="s">
        <v>2165</v>
      </c>
      <c r="Q991" s="1"/>
      <c r="R991" s="1"/>
      <c r="S991" s="1" t="s">
        <v>2072</v>
      </c>
      <c r="T991" s="1" t="s">
        <v>3165</v>
      </c>
      <c r="U991" s="4">
        <v>2000000</v>
      </c>
      <c r="V991" s="4">
        <v>3344</v>
      </c>
      <c r="W991" s="4">
        <v>34</v>
      </c>
      <c r="X991" s="4">
        <v>435</v>
      </c>
      <c r="Y991" s="4">
        <v>0</v>
      </c>
      <c r="Z991" s="5">
        <v>3813</v>
      </c>
      <c r="AA991" s="5">
        <v>0</v>
      </c>
      <c r="AB991" s="6">
        <v>0</v>
      </c>
      <c r="AC991" s="4">
        <v>3813</v>
      </c>
      <c r="AD991" s="4">
        <v>0</v>
      </c>
      <c r="AE991" s="4">
        <v>3813</v>
      </c>
      <c r="AF991" s="1"/>
      <c r="AG991" s="1"/>
      <c r="AH991" s="1"/>
      <c r="AI991" s="1" t="s">
        <v>2841</v>
      </c>
      <c r="AJ991" s="1"/>
      <c r="AK991" s="1"/>
      <c r="AL991" s="1"/>
    </row>
    <row r="992" spans="1:38" hidden="1" x14ac:dyDescent="0.25">
      <c r="A992" s="2">
        <v>1305</v>
      </c>
      <c r="B992" s="1" t="s">
        <v>1176</v>
      </c>
      <c r="C992" s="1" t="s">
        <v>1179</v>
      </c>
      <c r="D992" s="1" t="s">
        <v>2062</v>
      </c>
      <c r="E992" s="1" t="s">
        <v>2063</v>
      </c>
      <c r="F992" s="3">
        <v>45441</v>
      </c>
      <c r="G992" s="3">
        <v>45286</v>
      </c>
      <c r="H992" s="3">
        <v>45651</v>
      </c>
      <c r="I992" s="1" t="s">
        <v>3359</v>
      </c>
      <c r="J992" s="1" t="s">
        <v>3360</v>
      </c>
      <c r="K992" s="1"/>
      <c r="L992" s="1" t="s">
        <v>2299</v>
      </c>
      <c r="M992" s="1" t="s">
        <v>3361</v>
      </c>
      <c r="N992" s="1" t="s">
        <v>3362</v>
      </c>
      <c r="O992" s="1" t="s">
        <v>3363</v>
      </c>
      <c r="P992" s="1" t="s">
        <v>2165</v>
      </c>
      <c r="Q992" s="1"/>
      <c r="R992" s="1"/>
      <c r="S992" s="1" t="s">
        <v>2072</v>
      </c>
      <c r="T992" s="1" t="s">
        <v>3165</v>
      </c>
      <c r="U992" s="4">
        <v>2000000</v>
      </c>
      <c r="V992" s="4">
        <v>3346</v>
      </c>
      <c r="W992" s="4">
        <v>33</v>
      </c>
      <c r="X992" s="4">
        <v>434</v>
      </c>
      <c r="Y992" s="4">
        <v>0</v>
      </c>
      <c r="Z992" s="5">
        <v>3813</v>
      </c>
      <c r="AA992" s="5">
        <v>0</v>
      </c>
      <c r="AB992" s="6">
        <v>0</v>
      </c>
      <c r="AC992" s="4">
        <v>3813</v>
      </c>
      <c r="AD992" s="4">
        <v>0</v>
      </c>
      <c r="AE992" s="4">
        <v>3813</v>
      </c>
      <c r="AF992" s="1"/>
      <c r="AG992" s="1"/>
      <c r="AH992" s="1"/>
      <c r="AI992" s="1" t="s">
        <v>2841</v>
      </c>
      <c r="AJ992" s="1"/>
      <c r="AK992" s="1"/>
      <c r="AL992" s="1"/>
    </row>
    <row r="993" spans="1:38" hidden="1" x14ac:dyDescent="0.25">
      <c r="A993" s="2">
        <v>1306</v>
      </c>
      <c r="B993" s="1" t="s">
        <v>1176</v>
      </c>
      <c r="C993" s="1" t="s">
        <v>1180</v>
      </c>
      <c r="D993" s="1" t="s">
        <v>2062</v>
      </c>
      <c r="E993" s="1" t="s">
        <v>2063</v>
      </c>
      <c r="F993" s="3">
        <v>45441</v>
      </c>
      <c r="G993" s="3">
        <v>45286</v>
      </c>
      <c r="H993" s="3">
        <v>45651</v>
      </c>
      <c r="I993" s="1" t="s">
        <v>3359</v>
      </c>
      <c r="J993" s="1" t="s">
        <v>3360</v>
      </c>
      <c r="K993" s="1"/>
      <c r="L993" s="1" t="s">
        <v>2299</v>
      </c>
      <c r="M993" s="1" t="s">
        <v>3361</v>
      </c>
      <c r="N993" s="1" t="s">
        <v>3362</v>
      </c>
      <c r="O993" s="1" t="s">
        <v>3363</v>
      </c>
      <c r="P993" s="1" t="s">
        <v>2165</v>
      </c>
      <c r="Q993" s="1"/>
      <c r="R993" s="1"/>
      <c r="S993" s="1" t="s">
        <v>2072</v>
      </c>
      <c r="T993" s="1" t="s">
        <v>3165</v>
      </c>
      <c r="U993" s="4">
        <v>2000000</v>
      </c>
      <c r="V993" s="4">
        <v>3128</v>
      </c>
      <c r="W993" s="4">
        <v>32</v>
      </c>
      <c r="X993" s="4">
        <v>407</v>
      </c>
      <c r="Y993" s="4">
        <v>0</v>
      </c>
      <c r="Z993" s="5">
        <v>3567</v>
      </c>
      <c r="AA993" s="5">
        <v>0</v>
      </c>
      <c r="AB993" s="6">
        <v>0</v>
      </c>
      <c r="AC993" s="4">
        <v>3567</v>
      </c>
      <c r="AD993" s="4">
        <v>0</v>
      </c>
      <c r="AE993" s="4">
        <v>3567</v>
      </c>
      <c r="AF993" s="1"/>
      <c r="AG993" s="1"/>
      <c r="AH993" s="1"/>
      <c r="AI993" s="1" t="s">
        <v>2841</v>
      </c>
      <c r="AJ993" s="1"/>
      <c r="AK993" s="1"/>
      <c r="AL993" s="1"/>
    </row>
    <row r="994" spans="1:38" hidden="1" x14ac:dyDescent="0.25">
      <c r="A994" s="2">
        <v>1307</v>
      </c>
      <c r="B994" s="1" t="s">
        <v>1176</v>
      </c>
      <c r="C994" s="1" t="s">
        <v>1181</v>
      </c>
      <c r="D994" s="1" t="s">
        <v>2062</v>
      </c>
      <c r="E994" s="1" t="s">
        <v>2063</v>
      </c>
      <c r="F994" s="3">
        <v>45441</v>
      </c>
      <c r="G994" s="3">
        <v>45286</v>
      </c>
      <c r="H994" s="3">
        <v>45651</v>
      </c>
      <c r="I994" s="1" t="s">
        <v>3359</v>
      </c>
      <c r="J994" s="1" t="s">
        <v>3360</v>
      </c>
      <c r="K994" s="1"/>
      <c r="L994" s="1" t="s">
        <v>2299</v>
      </c>
      <c r="M994" s="1" t="s">
        <v>3361</v>
      </c>
      <c r="N994" s="1" t="s">
        <v>3362</v>
      </c>
      <c r="O994" s="1" t="s">
        <v>3363</v>
      </c>
      <c r="P994" s="1" t="s">
        <v>2165</v>
      </c>
      <c r="Q994" s="1"/>
      <c r="R994" s="1"/>
      <c r="S994" s="1" t="s">
        <v>2072</v>
      </c>
      <c r="T994" s="1" t="s">
        <v>3165</v>
      </c>
      <c r="U994" s="4">
        <v>2000000</v>
      </c>
      <c r="V994" s="4">
        <v>3345</v>
      </c>
      <c r="W994" s="4">
        <v>33</v>
      </c>
      <c r="X994" s="4">
        <v>435</v>
      </c>
      <c r="Y994" s="4">
        <v>0</v>
      </c>
      <c r="Z994" s="5">
        <v>3813</v>
      </c>
      <c r="AA994" s="5">
        <v>0</v>
      </c>
      <c r="AB994" s="6">
        <v>0</v>
      </c>
      <c r="AC994" s="4">
        <v>3813</v>
      </c>
      <c r="AD994" s="4">
        <v>0</v>
      </c>
      <c r="AE994" s="4">
        <v>3813</v>
      </c>
      <c r="AF994" s="1"/>
      <c r="AG994" s="1"/>
      <c r="AH994" s="1"/>
      <c r="AI994" s="1" t="s">
        <v>2841</v>
      </c>
      <c r="AJ994" s="1"/>
      <c r="AK994" s="1"/>
      <c r="AL994" s="1"/>
    </row>
    <row r="995" spans="1:38" hidden="1" x14ac:dyDescent="0.25">
      <c r="A995" s="2">
        <v>1308</v>
      </c>
      <c r="B995" s="1" t="s">
        <v>1176</v>
      </c>
      <c r="C995" s="1" t="s">
        <v>1182</v>
      </c>
      <c r="D995" s="1" t="s">
        <v>2062</v>
      </c>
      <c r="E995" s="1" t="s">
        <v>2063</v>
      </c>
      <c r="F995" s="3">
        <v>45441</v>
      </c>
      <c r="G995" s="3">
        <v>45286</v>
      </c>
      <c r="H995" s="3">
        <v>45651</v>
      </c>
      <c r="I995" s="1" t="s">
        <v>3359</v>
      </c>
      <c r="J995" s="1" t="s">
        <v>3360</v>
      </c>
      <c r="K995" s="1"/>
      <c r="L995" s="1" t="s">
        <v>2299</v>
      </c>
      <c r="M995" s="1" t="s">
        <v>3361</v>
      </c>
      <c r="N995" s="1" t="s">
        <v>3362</v>
      </c>
      <c r="O995" s="1" t="s">
        <v>3363</v>
      </c>
      <c r="P995" s="1" t="s">
        <v>2165</v>
      </c>
      <c r="Q995" s="1"/>
      <c r="R995" s="1"/>
      <c r="S995" s="1" t="s">
        <v>2072</v>
      </c>
      <c r="T995" s="1" t="s">
        <v>3165</v>
      </c>
      <c r="U995" s="4">
        <v>2000000</v>
      </c>
      <c r="V995" s="4">
        <v>3237</v>
      </c>
      <c r="W995" s="4">
        <v>32</v>
      </c>
      <c r="X995" s="4">
        <v>421</v>
      </c>
      <c r="Y995" s="4">
        <v>0</v>
      </c>
      <c r="Z995" s="5">
        <v>3690</v>
      </c>
      <c r="AA995" s="5">
        <v>0</v>
      </c>
      <c r="AB995" s="6">
        <v>0</v>
      </c>
      <c r="AC995" s="4">
        <v>3690</v>
      </c>
      <c r="AD995" s="4">
        <v>0</v>
      </c>
      <c r="AE995" s="4">
        <v>3690</v>
      </c>
      <c r="AF995" s="1"/>
      <c r="AG995" s="1"/>
      <c r="AH995" s="1"/>
      <c r="AI995" s="1" t="s">
        <v>2841</v>
      </c>
      <c r="AJ995" s="1"/>
      <c r="AK995" s="1"/>
      <c r="AL995" s="1"/>
    </row>
    <row r="996" spans="1:38" hidden="1" x14ac:dyDescent="0.25">
      <c r="A996" s="2">
        <v>1309</v>
      </c>
      <c r="B996" s="1" t="s">
        <v>1176</v>
      </c>
      <c r="C996" s="1" t="s">
        <v>1183</v>
      </c>
      <c r="D996" s="1" t="s">
        <v>2062</v>
      </c>
      <c r="E996" s="1" t="s">
        <v>2063</v>
      </c>
      <c r="F996" s="3">
        <v>45503</v>
      </c>
      <c r="G996" s="3">
        <v>45286</v>
      </c>
      <c r="H996" s="3">
        <v>45651</v>
      </c>
      <c r="I996" s="1" t="s">
        <v>3359</v>
      </c>
      <c r="J996" s="1" t="s">
        <v>3360</v>
      </c>
      <c r="K996" s="1"/>
      <c r="L996" s="1" t="s">
        <v>2299</v>
      </c>
      <c r="M996" s="1" t="s">
        <v>3361</v>
      </c>
      <c r="N996" s="1" t="s">
        <v>3362</v>
      </c>
      <c r="O996" s="1" t="s">
        <v>3363</v>
      </c>
      <c r="P996" s="1" t="s">
        <v>2165</v>
      </c>
      <c r="Q996" s="1"/>
      <c r="R996" s="1"/>
      <c r="S996" s="1" t="s">
        <v>2072</v>
      </c>
      <c r="T996" s="1" t="s">
        <v>3165</v>
      </c>
      <c r="U996" s="4">
        <v>2000000</v>
      </c>
      <c r="V996" s="4">
        <v>203</v>
      </c>
      <c r="W996" s="4">
        <v>2</v>
      </c>
      <c r="X996" s="4">
        <v>30</v>
      </c>
      <c r="Y996" s="4">
        <v>0</v>
      </c>
      <c r="Z996" s="5">
        <v>235</v>
      </c>
      <c r="AA996" s="5">
        <v>0</v>
      </c>
      <c r="AB996" s="6">
        <v>0</v>
      </c>
      <c r="AC996" s="4">
        <v>235</v>
      </c>
      <c r="AD996" s="4">
        <v>0</v>
      </c>
      <c r="AE996" s="4">
        <v>235</v>
      </c>
      <c r="AF996" s="1"/>
      <c r="AG996" s="1"/>
      <c r="AH996" s="1"/>
      <c r="AI996" s="1" t="s">
        <v>2841</v>
      </c>
      <c r="AJ996" s="6">
        <v>85.72</v>
      </c>
      <c r="AK996" s="6">
        <v>85.72</v>
      </c>
      <c r="AL996" s="1"/>
    </row>
    <row r="997" spans="1:38" hidden="1" x14ac:dyDescent="0.25">
      <c r="A997" s="2">
        <v>1310</v>
      </c>
      <c r="B997" s="1" t="s">
        <v>1176</v>
      </c>
      <c r="C997" s="1" t="s">
        <v>1184</v>
      </c>
      <c r="D997" s="1" t="s">
        <v>2062</v>
      </c>
      <c r="E997" s="1" t="s">
        <v>2063</v>
      </c>
      <c r="F997" s="3">
        <v>45503</v>
      </c>
      <c r="G997" s="3">
        <v>45286</v>
      </c>
      <c r="H997" s="3">
        <v>45651</v>
      </c>
      <c r="I997" s="1" t="s">
        <v>3359</v>
      </c>
      <c r="J997" s="1" t="s">
        <v>3360</v>
      </c>
      <c r="K997" s="1"/>
      <c r="L997" s="1" t="s">
        <v>2299</v>
      </c>
      <c r="M997" s="1" t="s">
        <v>3361</v>
      </c>
      <c r="N997" s="1" t="s">
        <v>3362</v>
      </c>
      <c r="O997" s="1" t="s">
        <v>3363</v>
      </c>
      <c r="P997" s="1" t="s">
        <v>2165</v>
      </c>
      <c r="Q997" s="1"/>
      <c r="R997" s="1"/>
      <c r="S997" s="1" t="s">
        <v>2072</v>
      </c>
      <c r="T997" s="1" t="s">
        <v>3165</v>
      </c>
      <c r="U997" s="4">
        <v>2000000</v>
      </c>
      <c r="V997" s="4">
        <v>571</v>
      </c>
      <c r="W997" s="4">
        <v>6</v>
      </c>
      <c r="X997" s="4">
        <v>86</v>
      </c>
      <c r="Y997" s="4">
        <v>0</v>
      </c>
      <c r="Z997" s="5">
        <v>663</v>
      </c>
      <c r="AA997" s="5">
        <v>0</v>
      </c>
      <c r="AB997" s="6">
        <v>0</v>
      </c>
      <c r="AC997" s="4">
        <v>663</v>
      </c>
      <c r="AD997" s="4">
        <v>0</v>
      </c>
      <c r="AE997" s="4">
        <v>663</v>
      </c>
      <c r="AF997" s="1"/>
      <c r="AG997" s="1"/>
      <c r="AH997" s="1"/>
      <c r="AI997" s="1" t="s">
        <v>2841</v>
      </c>
      <c r="AJ997" s="6">
        <v>315.28000000000003</v>
      </c>
      <c r="AK997" s="6">
        <v>242.35</v>
      </c>
      <c r="AL997" s="1"/>
    </row>
    <row r="998" spans="1:38" hidden="1" x14ac:dyDescent="0.25">
      <c r="A998" s="2">
        <v>1311</v>
      </c>
      <c r="B998" s="1" t="s">
        <v>1176</v>
      </c>
      <c r="C998" s="1" t="s">
        <v>1185</v>
      </c>
      <c r="D998" s="1" t="s">
        <v>2062</v>
      </c>
      <c r="E998" s="1" t="s">
        <v>2063</v>
      </c>
      <c r="F998" s="3">
        <v>45535</v>
      </c>
      <c r="G998" s="3">
        <v>45286</v>
      </c>
      <c r="H998" s="3">
        <v>45651</v>
      </c>
      <c r="I998" s="1" t="s">
        <v>3359</v>
      </c>
      <c r="J998" s="1" t="s">
        <v>3360</v>
      </c>
      <c r="K998" s="1"/>
      <c r="L998" s="1" t="s">
        <v>2299</v>
      </c>
      <c r="M998" s="1" t="s">
        <v>3361</v>
      </c>
      <c r="N998" s="1" t="s">
        <v>3362</v>
      </c>
      <c r="O998" s="1" t="s">
        <v>3363</v>
      </c>
      <c r="P998" s="1" t="s">
        <v>2165</v>
      </c>
      <c r="Q998" s="1"/>
      <c r="R998" s="1"/>
      <c r="S998" s="1" t="s">
        <v>2072</v>
      </c>
      <c r="T998" s="1" t="s">
        <v>3165</v>
      </c>
      <c r="U998" s="4">
        <v>2000000</v>
      </c>
      <c r="V998" s="4">
        <v>763</v>
      </c>
      <c r="W998" s="4">
        <v>8</v>
      </c>
      <c r="X998" s="4">
        <v>115</v>
      </c>
      <c r="Y998" s="4">
        <v>0</v>
      </c>
      <c r="Z998" s="5">
        <v>886</v>
      </c>
      <c r="AA998" s="5">
        <v>0</v>
      </c>
      <c r="AB998" s="6">
        <v>0</v>
      </c>
      <c r="AC998" s="4">
        <v>886</v>
      </c>
      <c r="AD998" s="4">
        <v>0</v>
      </c>
      <c r="AE998" s="4">
        <v>886</v>
      </c>
      <c r="AF998" s="1"/>
      <c r="AG998" s="1"/>
      <c r="AH998" s="1"/>
      <c r="AI998" s="1" t="s">
        <v>2841</v>
      </c>
      <c r="AJ998" s="6">
        <v>323.62</v>
      </c>
      <c r="AK998" s="6">
        <v>323.62</v>
      </c>
      <c r="AL998" s="1"/>
    </row>
    <row r="999" spans="1:38" hidden="1" x14ac:dyDescent="0.25">
      <c r="A999" s="2">
        <v>1312</v>
      </c>
      <c r="B999" s="1" t="s">
        <v>1176</v>
      </c>
      <c r="C999" s="1" t="s">
        <v>1186</v>
      </c>
      <c r="D999" s="1" t="s">
        <v>2062</v>
      </c>
      <c r="E999" s="1" t="s">
        <v>2063</v>
      </c>
      <c r="F999" s="3">
        <v>45566</v>
      </c>
      <c r="G999" s="3">
        <v>45286</v>
      </c>
      <c r="H999" s="3">
        <v>45651</v>
      </c>
      <c r="I999" s="1" t="s">
        <v>3359</v>
      </c>
      <c r="J999" s="1" t="s">
        <v>3360</v>
      </c>
      <c r="K999" s="1"/>
      <c r="L999" s="1" t="s">
        <v>2299</v>
      </c>
      <c r="M999" s="1" t="s">
        <v>3361</v>
      </c>
      <c r="N999" s="1" t="s">
        <v>3362</v>
      </c>
      <c r="O999" s="1" t="s">
        <v>3363</v>
      </c>
      <c r="P999" s="1" t="s">
        <v>2165</v>
      </c>
      <c r="Q999" s="1"/>
      <c r="R999" s="1"/>
      <c r="S999" s="1" t="s">
        <v>2072</v>
      </c>
      <c r="T999" s="1" t="s">
        <v>3165</v>
      </c>
      <c r="U999" s="4">
        <v>2000000</v>
      </c>
      <c r="V999" s="4">
        <v>388</v>
      </c>
      <c r="W999" s="4">
        <v>4</v>
      </c>
      <c r="X999" s="4">
        <v>58</v>
      </c>
      <c r="Y999" s="4">
        <v>0</v>
      </c>
      <c r="Z999" s="5">
        <v>450</v>
      </c>
      <c r="AA999" s="5">
        <v>0</v>
      </c>
      <c r="AB999" s="6">
        <v>0</v>
      </c>
      <c r="AC999" s="4">
        <v>450</v>
      </c>
      <c r="AD999" s="4">
        <v>0</v>
      </c>
      <c r="AE999" s="4">
        <v>450</v>
      </c>
      <c r="AF999" s="1"/>
      <c r="AG999" s="1"/>
      <c r="AH999" s="1"/>
      <c r="AI999" s="1" t="s">
        <v>2841</v>
      </c>
      <c r="AJ999" s="6">
        <v>174.94</v>
      </c>
      <c r="AK999" s="6">
        <v>164.53</v>
      </c>
      <c r="AL999" s="1"/>
    </row>
    <row r="1000" spans="1:38" hidden="1" x14ac:dyDescent="0.25">
      <c r="A1000" s="2">
        <v>1313</v>
      </c>
      <c r="B1000" s="1" t="s">
        <v>1176</v>
      </c>
      <c r="C1000" s="1" t="s">
        <v>1187</v>
      </c>
      <c r="D1000" s="1" t="s">
        <v>2062</v>
      </c>
      <c r="E1000" s="1" t="s">
        <v>2063</v>
      </c>
      <c r="F1000" s="3">
        <v>45593</v>
      </c>
      <c r="G1000" s="3">
        <v>45286</v>
      </c>
      <c r="H1000" s="3">
        <v>45651</v>
      </c>
      <c r="I1000" s="1" t="s">
        <v>3359</v>
      </c>
      <c r="J1000" s="1" t="s">
        <v>3360</v>
      </c>
      <c r="K1000" s="1"/>
      <c r="L1000" s="1" t="s">
        <v>2299</v>
      </c>
      <c r="M1000" s="1" t="s">
        <v>3361</v>
      </c>
      <c r="N1000" s="1" t="s">
        <v>3362</v>
      </c>
      <c r="O1000" s="1" t="s">
        <v>3363</v>
      </c>
      <c r="P1000" s="1" t="s">
        <v>2165</v>
      </c>
      <c r="Q1000" s="1"/>
      <c r="R1000" s="1"/>
      <c r="S1000" s="1" t="s">
        <v>2072</v>
      </c>
      <c r="T1000" s="1" t="s">
        <v>3165</v>
      </c>
      <c r="U1000" s="4">
        <v>2000000</v>
      </c>
      <c r="V1000" s="4">
        <v>432</v>
      </c>
      <c r="W1000" s="4">
        <v>4</v>
      </c>
      <c r="X1000" s="4">
        <v>65</v>
      </c>
      <c r="Y1000" s="4">
        <v>0</v>
      </c>
      <c r="Z1000" s="5">
        <v>501</v>
      </c>
      <c r="AA1000" s="5">
        <v>0</v>
      </c>
      <c r="AB1000" s="6">
        <v>0</v>
      </c>
      <c r="AC1000" s="4">
        <v>501</v>
      </c>
      <c r="AD1000" s="4">
        <v>0</v>
      </c>
      <c r="AE1000" s="4">
        <v>501</v>
      </c>
      <c r="AF1000" s="1"/>
      <c r="AG1000" s="1"/>
      <c r="AH1000" s="1"/>
      <c r="AI1000" s="1" t="s">
        <v>2841</v>
      </c>
      <c r="AJ1000" s="6">
        <v>182.95</v>
      </c>
      <c r="AK1000" s="6">
        <v>182.95</v>
      </c>
      <c r="AL1000" s="1"/>
    </row>
    <row r="1001" spans="1:38" hidden="1" x14ac:dyDescent="0.25">
      <c r="A1001" s="2">
        <v>1314</v>
      </c>
      <c r="B1001" s="1" t="s">
        <v>1176</v>
      </c>
      <c r="C1001" s="1" t="s">
        <v>1188</v>
      </c>
      <c r="D1001" s="1" t="s">
        <v>2062</v>
      </c>
      <c r="E1001" s="1" t="s">
        <v>2063</v>
      </c>
      <c r="F1001" s="3">
        <v>45596</v>
      </c>
      <c r="G1001" s="3">
        <v>45286</v>
      </c>
      <c r="H1001" s="3">
        <v>45651</v>
      </c>
      <c r="I1001" s="1" t="s">
        <v>3359</v>
      </c>
      <c r="J1001" s="1" t="s">
        <v>3360</v>
      </c>
      <c r="K1001" s="1"/>
      <c r="L1001" s="1" t="s">
        <v>2299</v>
      </c>
      <c r="M1001" s="1" t="s">
        <v>3361</v>
      </c>
      <c r="N1001" s="1" t="s">
        <v>3362</v>
      </c>
      <c r="O1001" s="1" t="s">
        <v>3363</v>
      </c>
      <c r="P1001" s="1" t="s">
        <v>2165</v>
      </c>
      <c r="Q1001" s="1"/>
      <c r="R1001" s="1"/>
      <c r="S1001" s="1" t="s">
        <v>2072</v>
      </c>
      <c r="T1001" s="1" t="s">
        <v>3165</v>
      </c>
      <c r="U1001" s="4">
        <v>-1</v>
      </c>
      <c r="V1001" s="4">
        <v>-55872</v>
      </c>
      <c r="W1001" s="4">
        <v>-559</v>
      </c>
      <c r="X1001" s="4">
        <v>0</v>
      </c>
      <c r="Y1001" s="4">
        <v>0</v>
      </c>
      <c r="Z1001" s="5">
        <v>-56431</v>
      </c>
      <c r="AA1001" s="5">
        <v>0</v>
      </c>
      <c r="AB1001" s="6">
        <v>0</v>
      </c>
      <c r="AC1001" s="4">
        <v>-56431</v>
      </c>
      <c r="AD1001" s="4">
        <v>0</v>
      </c>
      <c r="AE1001" s="4">
        <v>-56431</v>
      </c>
      <c r="AF1001" s="1"/>
      <c r="AG1001" s="1"/>
      <c r="AH1001" s="1"/>
      <c r="AI1001" s="1" t="s">
        <v>2841</v>
      </c>
      <c r="AJ1001" s="1"/>
      <c r="AK1001" s="1"/>
      <c r="AL1001" s="1"/>
    </row>
    <row r="1002" spans="1:38" hidden="1" x14ac:dyDescent="0.25">
      <c r="A1002" s="2">
        <v>1315</v>
      </c>
      <c r="B1002" s="1" t="s">
        <v>1189</v>
      </c>
      <c r="C1002" s="1" t="s">
        <v>1190</v>
      </c>
      <c r="D1002" s="1" t="s">
        <v>2062</v>
      </c>
      <c r="E1002" s="1" t="s">
        <v>2063</v>
      </c>
      <c r="F1002" s="3">
        <v>45289</v>
      </c>
      <c r="G1002" s="3">
        <v>45287</v>
      </c>
      <c r="H1002" s="3">
        <v>45652</v>
      </c>
      <c r="I1002" s="1" t="s">
        <v>3364</v>
      </c>
      <c r="J1002" s="1" t="s">
        <v>3365</v>
      </c>
      <c r="K1002" s="1"/>
      <c r="L1002" s="1" t="s">
        <v>2198</v>
      </c>
      <c r="M1002" s="1" t="s">
        <v>3366</v>
      </c>
      <c r="N1002" s="1" t="s">
        <v>3367</v>
      </c>
      <c r="O1002" s="1" t="s">
        <v>3368</v>
      </c>
      <c r="P1002" s="1" t="s">
        <v>2262</v>
      </c>
      <c r="Q1002" s="1"/>
      <c r="R1002" s="1"/>
      <c r="S1002" s="1" t="s">
        <v>2072</v>
      </c>
      <c r="T1002" s="1" t="s">
        <v>3165</v>
      </c>
      <c r="U1002" s="4">
        <v>2500000</v>
      </c>
      <c r="V1002" s="4">
        <v>39473</v>
      </c>
      <c r="W1002" s="4">
        <v>395</v>
      </c>
      <c r="X1002" s="4">
        <v>5132</v>
      </c>
      <c r="Y1002" s="4">
        <v>0</v>
      </c>
      <c r="Z1002" s="5">
        <v>45000</v>
      </c>
      <c r="AA1002" s="5">
        <v>0</v>
      </c>
      <c r="AB1002" s="6">
        <v>0</v>
      </c>
      <c r="AC1002" s="4">
        <v>45000</v>
      </c>
      <c r="AD1002" s="4">
        <v>0</v>
      </c>
      <c r="AE1002" s="4">
        <v>45000</v>
      </c>
      <c r="AF1002" s="1"/>
      <c r="AG1002" s="1"/>
      <c r="AH1002" s="1"/>
      <c r="AI1002" s="1" t="s">
        <v>2327</v>
      </c>
      <c r="AJ1002" s="1"/>
      <c r="AK1002" s="1"/>
      <c r="AL1002" s="1"/>
    </row>
    <row r="1003" spans="1:38" hidden="1" x14ac:dyDescent="0.25">
      <c r="A1003" s="2">
        <v>1316</v>
      </c>
      <c r="B1003" s="1" t="s">
        <v>1189</v>
      </c>
      <c r="C1003" s="1" t="s">
        <v>1191</v>
      </c>
      <c r="D1003" s="1" t="s">
        <v>2062</v>
      </c>
      <c r="E1003" s="1" t="s">
        <v>2063</v>
      </c>
      <c r="F1003" s="3">
        <v>45318</v>
      </c>
      <c r="G1003" s="3">
        <v>45287</v>
      </c>
      <c r="H1003" s="3">
        <v>45652</v>
      </c>
      <c r="I1003" s="1" t="s">
        <v>3364</v>
      </c>
      <c r="J1003" s="1" t="s">
        <v>3365</v>
      </c>
      <c r="K1003" s="1"/>
      <c r="L1003" s="1" t="s">
        <v>2198</v>
      </c>
      <c r="M1003" s="1" t="s">
        <v>3366</v>
      </c>
      <c r="N1003" s="1" t="s">
        <v>3367</v>
      </c>
      <c r="O1003" s="1" t="s">
        <v>3368</v>
      </c>
      <c r="P1003" s="1" t="s">
        <v>2262</v>
      </c>
      <c r="Q1003" s="1"/>
      <c r="R1003" s="1"/>
      <c r="S1003" s="1" t="s">
        <v>2072</v>
      </c>
      <c r="T1003" s="1" t="s">
        <v>3165</v>
      </c>
      <c r="U1003" s="4">
        <v>2500000</v>
      </c>
      <c r="V1003" s="4">
        <v>4036</v>
      </c>
      <c r="W1003" s="4">
        <v>41</v>
      </c>
      <c r="X1003" s="4">
        <v>525</v>
      </c>
      <c r="Y1003" s="4">
        <v>0</v>
      </c>
      <c r="Z1003" s="5">
        <v>4602</v>
      </c>
      <c r="AA1003" s="5">
        <v>0</v>
      </c>
      <c r="AB1003" s="6">
        <v>0</v>
      </c>
      <c r="AC1003" s="4">
        <v>4602</v>
      </c>
      <c r="AD1003" s="4">
        <v>0</v>
      </c>
      <c r="AE1003" s="4">
        <v>4602</v>
      </c>
      <c r="AF1003" s="1"/>
      <c r="AG1003" s="1"/>
      <c r="AH1003" s="1"/>
      <c r="AI1003" s="1" t="s">
        <v>2327</v>
      </c>
      <c r="AJ1003" s="6">
        <v>4193.1900000000232</v>
      </c>
      <c r="AK1003" s="6">
        <v>1344.63</v>
      </c>
      <c r="AL1003" s="1"/>
    </row>
    <row r="1004" spans="1:38" hidden="1" x14ac:dyDescent="0.25">
      <c r="A1004" s="2">
        <v>1317</v>
      </c>
      <c r="B1004" s="1" t="s">
        <v>1189</v>
      </c>
      <c r="C1004" s="1" t="s">
        <v>1192</v>
      </c>
      <c r="D1004" s="1" t="s">
        <v>2062</v>
      </c>
      <c r="E1004" s="1" t="s">
        <v>2063</v>
      </c>
      <c r="F1004" s="3">
        <v>45349</v>
      </c>
      <c r="G1004" s="3">
        <v>45287</v>
      </c>
      <c r="H1004" s="3">
        <v>45652</v>
      </c>
      <c r="I1004" s="1" t="s">
        <v>3364</v>
      </c>
      <c r="J1004" s="1" t="s">
        <v>3365</v>
      </c>
      <c r="K1004" s="1"/>
      <c r="L1004" s="1" t="s">
        <v>2198</v>
      </c>
      <c r="M1004" s="1" t="s">
        <v>3366</v>
      </c>
      <c r="N1004" s="1" t="s">
        <v>3367</v>
      </c>
      <c r="O1004" s="1" t="s">
        <v>3368</v>
      </c>
      <c r="P1004" s="1" t="s">
        <v>2262</v>
      </c>
      <c r="Q1004" s="1"/>
      <c r="R1004" s="1"/>
      <c r="S1004" s="1" t="s">
        <v>2072</v>
      </c>
      <c r="T1004" s="1" t="s">
        <v>3165</v>
      </c>
      <c r="U1004" s="4">
        <v>2500000</v>
      </c>
      <c r="V1004" s="4">
        <v>3131</v>
      </c>
      <c r="W1004" s="4">
        <v>31</v>
      </c>
      <c r="X1004" s="4">
        <v>407</v>
      </c>
      <c r="Y1004" s="4">
        <v>0</v>
      </c>
      <c r="Z1004" s="5">
        <v>3569</v>
      </c>
      <c r="AA1004" s="5">
        <v>0</v>
      </c>
      <c r="AB1004" s="6">
        <v>0</v>
      </c>
      <c r="AC1004" s="4">
        <v>3569</v>
      </c>
      <c r="AD1004" s="4">
        <v>0</v>
      </c>
      <c r="AE1004" s="4">
        <v>3569</v>
      </c>
      <c r="AF1004" s="1"/>
      <c r="AG1004" s="1"/>
      <c r="AH1004" s="1"/>
      <c r="AI1004" s="1" t="s">
        <v>2327</v>
      </c>
      <c r="AJ1004" s="6">
        <v>2667.55</v>
      </c>
      <c r="AK1004" s="6">
        <v>1042.6899999999991</v>
      </c>
      <c r="AL1004" s="1"/>
    </row>
    <row r="1005" spans="1:38" hidden="1" x14ac:dyDescent="0.25">
      <c r="A1005" s="2">
        <v>1318</v>
      </c>
      <c r="B1005" s="1" t="s">
        <v>1189</v>
      </c>
      <c r="C1005" s="1" t="s">
        <v>1193</v>
      </c>
      <c r="D1005" s="1" t="s">
        <v>2062</v>
      </c>
      <c r="E1005" s="1" t="s">
        <v>2063</v>
      </c>
      <c r="F1005" s="3">
        <v>45378</v>
      </c>
      <c r="G1005" s="3">
        <v>45287</v>
      </c>
      <c r="H1005" s="3">
        <v>45652</v>
      </c>
      <c r="I1005" s="1" t="s">
        <v>3364</v>
      </c>
      <c r="J1005" s="1" t="s">
        <v>3365</v>
      </c>
      <c r="K1005" s="1"/>
      <c r="L1005" s="1" t="s">
        <v>2198</v>
      </c>
      <c r="M1005" s="1" t="s">
        <v>3366</v>
      </c>
      <c r="N1005" s="1" t="s">
        <v>3367</v>
      </c>
      <c r="O1005" s="1" t="s">
        <v>3368</v>
      </c>
      <c r="P1005" s="1" t="s">
        <v>2262</v>
      </c>
      <c r="Q1005" s="1"/>
      <c r="R1005" s="1"/>
      <c r="S1005" s="1" t="s">
        <v>2072</v>
      </c>
      <c r="T1005" s="1" t="s">
        <v>3165</v>
      </c>
      <c r="U1005" s="4">
        <v>2500000</v>
      </c>
      <c r="V1005" s="4">
        <v>2967</v>
      </c>
      <c r="W1005" s="4">
        <v>29</v>
      </c>
      <c r="X1005" s="4">
        <v>385</v>
      </c>
      <c r="Y1005" s="4">
        <v>0</v>
      </c>
      <c r="Z1005" s="5">
        <v>3381</v>
      </c>
      <c r="AA1005" s="5">
        <v>0</v>
      </c>
      <c r="AB1005" s="6">
        <v>0</v>
      </c>
      <c r="AC1005" s="4">
        <v>3381</v>
      </c>
      <c r="AD1005" s="4">
        <v>0</v>
      </c>
      <c r="AE1005" s="4">
        <v>3381</v>
      </c>
      <c r="AF1005" s="1"/>
      <c r="AG1005" s="1"/>
      <c r="AH1005" s="1"/>
      <c r="AI1005" s="1" t="s">
        <v>2327</v>
      </c>
      <c r="AJ1005" s="6">
        <v>2190.9999999999891</v>
      </c>
      <c r="AK1005" s="6">
        <v>987.92</v>
      </c>
      <c r="AL1005" s="1"/>
    </row>
    <row r="1006" spans="1:38" hidden="1" x14ac:dyDescent="0.25">
      <c r="A1006" s="2">
        <v>1319</v>
      </c>
      <c r="B1006" s="1" t="s">
        <v>1189</v>
      </c>
      <c r="C1006" s="1" t="s">
        <v>1194</v>
      </c>
      <c r="D1006" s="1" t="s">
        <v>2062</v>
      </c>
      <c r="E1006" s="1" t="s">
        <v>2063</v>
      </c>
      <c r="F1006" s="3">
        <v>45411</v>
      </c>
      <c r="G1006" s="3">
        <v>45287</v>
      </c>
      <c r="H1006" s="3">
        <v>45652</v>
      </c>
      <c r="I1006" s="1" t="s">
        <v>3364</v>
      </c>
      <c r="J1006" s="1" t="s">
        <v>3365</v>
      </c>
      <c r="K1006" s="1"/>
      <c r="L1006" s="1" t="s">
        <v>2198</v>
      </c>
      <c r="M1006" s="1" t="s">
        <v>3366</v>
      </c>
      <c r="N1006" s="1" t="s">
        <v>3367</v>
      </c>
      <c r="O1006" s="1" t="s">
        <v>3368</v>
      </c>
      <c r="P1006" s="1" t="s">
        <v>2262</v>
      </c>
      <c r="Q1006" s="1"/>
      <c r="R1006" s="1"/>
      <c r="S1006" s="1" t="s">
        <v>2072</v>
      </c>
      <c r="T1006" s="1" t="s">
        <v>3165</v>
      </c>
      <c r="U1006" s="4">
        <v>2500000</v>
      </c>
      <c r="V1006" s="4">
        <v>3560</v>
      </c>
      <c r="W1006" s="4">
        <v>36</v>
      </c>
      <c r="X1006" s="4">
        <v>463</v>
      </c>
      <c r="Y1006" s="4">
        <v>0</v>
      </c>
      <c r="Z1006" s="5">
        <v>4059</v>
      </c>
      <c r="AA1006" s="5">
        <v>0</v>
      </c>
      <c r="AB1006" s="6">
        <v>0</v>
      </c>
      <c r="AC1006" s="4">
        <v>4059</v>
      </c>
      <c r="AD1006" s="4">
        <v>0</v>
      </c>
      <c r="AE1006" s="4">
        <v>4059</v>
      </c>
      <c r="AF1006" s="1"/>
      <c r="AG1006" s="1"/>
      <c r="AH1006" s="1"/>
      <c r="AI1006" s="1" t="s">
        <v>2327</v>
      </c>
      <c r="AJ1006" s="6">
        <v>3212.7200000000194</v>
      </c>
      <c r="AK1006" s="6">
        <v>1185.9699999999991</v>
      </c>
      <c r="AL1006" s="1"/>
    </row>
    <row r="1007" spans="1:38" hidden="1" x14ac:dyDescent="0.25">
      <c r="A1007" s="2">
        <v>1320</v>
      </c>
      <c r="B1007" s="1" t="s">
        <v>1189</v>
      </c>
      <c r="C1007" s="1" t="s">
        <v>1195</v>
      </c>
      <c r="D1007" s="1" t="s">
        <v>2062</v>
      </c>
      <c r="E1007" s="1" t="s">
        <v>2063</v>
      </c>
      <c r="F1007" s="3">
        <v>45439</v>
      </c>
      <c r="G1007" s="3">
        <v>45287</v>
      </c>
      <c r="H1007" s="3">
        <v>45652</v>
      </c>
      <c r="I1007" s="1" t="s">
        <v>3364</v>
      </c>
      <c r="J1007" s="1" t="s">
        <v>3365</v>
      </c>
      <c r="K1007" s="1"/>
      <c r="L1007" s="1" t="s">
        <v>2198</v>
      </c>
      <c r="M1007" s="1" t="s">
        <v>3366</v>
      </c>
      <c r="N1007" s="1" t="s">
        <v>3367</v>
      </c>
      <c r="O1007" s="1" t="s">
        <v>3368</v>
      </c>
      <c r="P1007" s="1" t="s">
        <v>2262</v>
      </c>
      <c r="Q1007" s="1"/>
      <c r="R1007" s="1"/>
      <c r="S1007" s="1" t="s">
        <v>2072</v>
      </c>
      <c r="T1007" s="1" t="s">
        <v>3165</v>
      </c>
      <c r="U1007" s="4">
        <v>2500000</v>
      </c>
      <c r="V1007" s="4">
        <v>3615</v>
      </c>
      <c r="W1007" s="4">
        <v>36</v>
      </c>
      <c r="X1007" s="4">
        <v>470</v>
      </c>
      <c r="Y1007" s="4">
        <v>0</v>
      </c>
      <c r="Z1007" s="5">
        <v>4121</v>
      </c>
      <c r="AA1007" s="5">
        <v>0</v>
      </c>
      <c r="AB1007" s="6">
        <v>0</v>
      </c>
      <c r="AC1007" s="4">
        <v>4121</v>
      </c>
      <c r="AD1007" s="4">
        <v>0</v>
      </c>
      <c r="AE1007" s="4">
        <v>4121</v>
      </c>
      <c r="AF1007" s="1"/>
      <c r="AG1007" s="1"/>
      <c r="AH1007" s="1"/>
      <c r="AI1007" s="1" t="s">
        <v>2327</v>
      </c>
      <c r="AJ1007" s="6">
        <v>2937.599999999994</v>
      </c>
      <c r="AK1007" s="6">
        <v>1204.4100000000001</v>
      </c>
      <c r="AL1007" s="1"/>
    </row>
    <row r="1008" spans="1:38" hidden="1" x14ac:dyDescent="0.25">
      <c r="A1008" s="2">
        <v>1321</v>
      </c>
      <c r="B1008" s="1" t="s">
        <v>1189</v>
      </c>
      <c r="C1008" s="1" t="s">
        <v>1196</v>
      </c>
      <c r="D1008" s="1" t="s">
        <v>2062</v>
      </c>
      <c r="E1008" s="1" t="s">
        <v>2063</v>
      </c>
      <c r="F1008" s="3">
        <v>45470</v>
      </c>
      <c r="G1008" s="3">
        <v>45287</v>
      </c>
      <c r="H1008" s="3">
        <v>45652</v>
      </c>
      <c r="I1008" s="1" t="s">
        <v>3364</v>
      </c>
      <c r="J1008" s="1" t="s">
        <v>3365</v>
      </c>
      <c r="K1008" s="1"/>
      <c r="L1008" s="1" t="s">
        <v>2198</v>
      </c>
      <c r="M1008" s="1" t="s">
        <v>3366</v>
      </c>
      <c r="N1008" s="1" t="s">
        <v>3367</v>
      </c>
      <c r="O1008" s="1" t="s">
        <v>3368</v>
      </c>
      <c r="P1008" s="1" t="s">
        <v>2262</v>
      </c>
      <c r="Q1008" s="1"/>
      <c r="R1008" s="1"/>
      <c r="S1008" s="1" t="s">
        <v>2072</v>
      </c>
      <c r="T1008" s="1" t="s">
        <v>3165</v>
      </c>
      <c r="U1008" s="4">
        <v>2500000</v>
      </c>
      <c r="V1008" s="4">
        <v>3418</v>
      </c>
      <c r="W1008" s="4">
        <v>34</v>
      </c>
      <c r="X1008" s="4">
        <v>444</v>
      </c>
      <c r="Y1008" s="4">
        <v>0</v>
      </c>
      <c r="Z1008" s="5">
        <v>3896</v>
      </c>
      <c r="AA1008" s="5">
        <v>0</v>
      </c>
      <c r="AB1008" s="6">
        <v>0</v>
      </c>
      <c r="AC1008" s="4">
        <v>3896</v>
      </c>
      <c r="AD1008" s="4">
        <v>0</v>
      </c>
      <c r="AE1008" s="4">
        <v>3896</v>
      </c>
      <c r="AF1008" s="1"/>
      <c r="AG1008" s="1"/>
      <c r="AH1008" s="1"/>
      <c r="AI1008" s="1" t="s">
        <v>2327</v>
      </c>
      <c r="AJ1008" s="6">
        <v>4033.2800000000752</v>
      </c>
      <c r="AK1008" s="6">
        <v>1138.1500000000001</v>
      </c>
      <c r="AL1008" s="1"/>
    </row>
    <row r="1009" spans="1:38" hidden="1" x14ac:dyDescent="0.25">
      <c r="A1009" s="2">
        <v>1322</v>
      </c>
      <c r="B1009" s="1" t="s">
        <v>1189</v>
      </c>
      <c r="C1009" s="1" t="s">
        <v>1197</v>
      </c>
      <c r="D1009" s="1" t="s">
        <v>2062</v>
      </c>
      <c r="E1009" s="1" t="s">
        <v>2063</v>
      </c>
      <c r="F1009" s="3">
        <v>45503</v>
      </c>
      <c r="G1009" s="3">
        <v>45287</v>
      </c>
      <c r="H1009" s="3">
        <v>45652</v>
      </c>
      <c r="I1009" s="1" t="s">
        <v>3364</v>
      </c>
      <c r="J1009" s="1" t="s">
        <v>3365</v>
      </c>
      <c r="K1009" s="1"/>
      <c r="L1009" s="1" t="s">
        <v>2198</v>
      </c>
      <c r="M1009" s="1" t="s">
        <v>3366</v>
      </c>
      <c r="N1009" s="1" t="s">
        <v>3367</v>
      </c>
      <c r="O1009" s="1" t="s">
        <v>3368</v>
      </c>
      <c r="P1009" s="1" t="s">
        <v>2262</v>
      </c>
      <c r="Q1009" s="1"/>
      <c r="R1009" s="1"/>
      <c r="S1009" s="1" t="s">
        <v>2072</v>
      </c>
      <c r="T1009" s="1" t="s">
        <v>3165</v>
      </c>
      <c r="U1009" s="4">
        <v>2500000</v>
      </c>
      <c r="V1009" s="4">
        <v>2642</v>
      </c>
      <c r="W1009" s="4">
        <v>26</v>
      </c>
      <c r="X1009" s="4">
        <v>396</v>
      </c>
      <c r="Y1009" s="4">
        <v>0</v>
      </c>
      <c r="Z1009" s="5">
        <v>3064</v>
      </c>
      <c r="AA1009" s="5">
        <v>0</v>
      </c>
      <c r="AB1009" s="6">
        <v>0</v>
      </c>
      <c r="AC1009" s="4">
        <v>3064</v>
      </c>
      <c r="AD1009" s="4">
        <v>0</v>
      </c>
      <c r="AE1009" s="4">
        <v>3064</v>
      </c>
      <c r="AF1009" s="1"/>
      <c r="AG1009" s="1"/>
      <c r="AH1009" s="1"/>
      <c r="AI1009" s="1" t="s">
        <v>2327</v>
      </c>
      <c r="AJ1009" s="6">
        <v>3507.1899999997013</v>
      </c>
      <c r="AK1009" s="6">
        <v>895.48</v>
      </c>
      <c r="AL1009" s="1"/>
    </row>
    <row r="1010" spans="1:38" hidden="1" x14ac:dyDescent="0.25">
      <c r="A1010" s="2">
        <v>1323</v>
      </c>
      <c r="B1010" s="1" t="s">
        <v>1189</v>
      </c>
      <c r="C1010" s="1" t="s">
        <v>1198</v>
      </c>
      <c r="D1010" s="1" t="s">
        <v>2062</v>
      </c>
      <c r="E1010" s="1" t="s">
        <v>2063</v>
      </c>
      <c r="F1010" s="3">
        <v>45535</v>
      </c>
      <c r="G1010" s="3">
        <v>45287</v>
      </c>
      <c r="H1010" s="3">
        <v>45652</v>
      </c>
      <c r="I1010" s="1" t="s">
        <v>3364</v>
      </c>
      <c r="J1010" s="1" t="s">
        <v>3365</v>
      </c>
      <c r="K1010" s="1"/>
      <c r="L1010" s="1" t="s">
        <v>2198</v>
      </c>
      <c r="M1010" s="1" t="s">
        <v>3366</v>
      </c>
      <c r="N1010" s="1" t="s">
        <v>3367</v>
      </c>
      <c r="O1010" s="1" t="s">
        <v>3368</v>
      </c>
      <c r="P1010" s="1" t="s">
        <v>2262</v>
      </c>
      <c r="Q1010" s="1"/>
      <c r="R1010" s="1"/>
      <c r="S1010" s="1" t="s">
        <v>2072</v>
      </c>
      <c r="T1010" s="1" t="s">
        <v>3165</v>
      </c>
      <c r="U1010" s="4">
        <v>2500000</v>
      </c>
      <c r="V1010" s="4">
        <v>2691</v>
      </c>
      <c r="W1010" s="4">
        <v>27</v>
      </c>
      <c r="X1010" s="4">
        <v>404</v>
      </c>
      <c r="Y1010" s="4">
        <v>0</v>
      </c>
      <c r="Z1010" s="5">
        <v>3122</v>
      </c>
      <c r="AA1010" s="5">
        <v>0</v>
      </c>
      <c r="AB1010" s="6">
        <v>0</v>
      </c>
      <c r="AC1010" s="4">
        <v>3122</v>
      </c>
      <c r="AD1010" s="4">
        <v>0</v>
      </c>
      <c r="AE1010" s="4">
        <v>3122</v>
      </c>
      <c r="AF1010" s="1"/>
      <c r="AG1010" s="1"/>
      <c r="AH1010" s="1"/>
      <c r="AI1010" s="1" t="s">
        <v>2327</v>
      </c>
      <c r="AJ1010" s="6">
        <v>2054.129999999996</v>
      </c>
      <c r="AK1010" s="6">
        <v>912.09</v>
      </c>
      <c r="AL1010" s="1"/>
    </row>
    <row r="1011" spans="1:38" hidden="1" x14ac:dyDescent="0.25">
      <c r="A1011" s="2">
        <v>1324</v>
      </c>
      <c r="B1011" s="1" t="s">
        <v>1189</v>
      </c>
      <c r="C1011" s="1" t="s">
        <v>1199</v>
      </c>
      <c r="D1011" s="1" t="s">
        <v>2062</v>
      </c>
      <c r="E1011" s="1" t="s">
        <v>2063</v>
      </c>
      <c r="F1011" s="3">
        <v>45566</v>
      </c>
      <c r="G1011" s="3">
        <v>45287</v>
      </c>
      <c r="H1011" s="3">
        <v>45652</v>
      </c>
      <c r="I1011" s="1" t="s">
        <v>3364</v>
      </c>
      <c r="J1011" s="1" t="s">
        <v>3365</v>
      </c>
      <c r="K1011" s="1"/>
      <c r="L1011" s="1" t="s">
        <v>2198</v>
      </c>
      <c r="M1011" s="1" t="s">
        <v>3366</v>
      </c>
      <c r="N1011" s="1" t="s">
        <v>3367</v>
      </c>
      <c r="O1011" s="1" t="s">
        <v>3368</v>
      </c>
      <c r="P1011" s="1" t="s">
        <v>2262</v>
      </c>
      <c r="Q1011" s="1"/>
      <c r="R1011" s="1"/>
      <c r="S1011" s="1" t="s">
        <v>2072</v>
      </c>
      <c r="T1011" s="1" t="s">
        <v>3165</v>
      </c>
      <c r="U1011" s="4">
        <v>2500000</v>
      </c>
      <c r="V1011" s="4">
        <v>639</v>
      </c>
      <c r="W1011" s="4">
        <v>6</v>
      </c>
      <c r="X1011" s="4">
        <v>96</v>
      </c>
      <c r="Y1011" s="4">
        <v>0</v>
      </c>
      <c r="Z1011" s="5">
        <v>741</v>
      </c>
      <c r="AA1011" s="5">
        <v>0</v>
      </c>
      <c r="AB1011" s="6">
        <v>0</v>
      </c>
      <c r="AC1011" s="4">
        <v>741</v>
      </c>
      <c r="AD1011" s="4">
        <v>0</v>
      </c>
      <c r="AE1011" s="4">
        <v>741</v>
      </c>
      <c r="AF1011" s="1"/>
      <c r="AG1011" s="1"/>
      <c r="AH1011" s="1"/>
      <c r="AI1011" s="1" t="s">
        <v>2327</v>
      </c>
      <c r="AJ1011" s="6">
        <v>219.51000000000005</v>
      </c>
      <c r="AK1011" s="6">
        <v>216.41</v>
      </c>
      <c r="AL1011" s="1"/>
    </row>
    <row r="1012" spans="1:38" hidden="1" x14ac:dyDescent="0.25">
      <c r="A1012" s="2">
        <v>1325</v>
      </c>
      <c r="B1012" s="1" t="s">
        <v>1189</v>
      </c>
      <c r="C1012" s="1" t="s">
        <v>1200</v>
      </c>
      <c r="D1012" s="1" t="s">
        <v>2062</v>
      </c>
      <c r="E1012" s="1" t="s">
        <v>2063</v>
      </c>
      <c r="F1012" s="3">
        <v>45595</v>
      </c>
      <c r="G1012" s="3">
        <v>45287</v>
      </c>
      <c r="H1012" s="3">
        <v>45652</v>
      </c>
      <c r="I1012" s="1" t="s">
        <v>3364</v>
      </c>
      <c r="J1012" s="1" t="s">
        <v>3365</v>
      </c>
      <c r="K1012" s="1"/>
      <c r="L1012" s="1" t="s">
        <v>2198</v>
      </c>
      <c r="M1012" s="1" t="s">
        <v>3366</v>
      </c>
      <c r="N1012" s="1" t="s">
        <v>3367</v>
      </c>
      <c r="O1012" s="1" t="s">
        <v>3368</v>
      </c>
      <c r="P1012" s="1" t="s">
        <v>2262</v>
      </c>
      <c r="Q1012" s="1"/>
      <c r="R1012" s="1"/>
      <c r="S1012" s="1" t="s">
        <v>2072</v>
      </c>
      <c r="T1012" s="1" t="s">
        <v>3165</v>
      </c>
      <c r="U1012" s="4">
        <v>2500000</v>
      </c>
      <c r="V1012" s="4">
        <v>810</v>
      </c>
      <c r="W1012" s="4">
        <v>8</v>
      </c>
      <c r="X1012" s="4">
        <v>121</v>
      </c>
      <c r="Y1012" s="4">
        <v>0</v>
      </c>
      <c r="Z1012" s="5">
        <v>939</v>
      </c>
      <c r="AA1012" s="5">
        <v>0</v>
      </c>
      <c r="AB1012" s="6">
        <v>0</v>
      </c>
      <c r="AC1012" s="4">
        <v>939</v>
      </c>
      <c r="AD1012" s="4">
        <v>0</v>
      </c>
      <c r="AE1012" s="4">
        <v>939</v>
      </c>
      <c r="AF1012" s="1"/>
      <c r="AG1012" s="1"/>
      <c r="AH1012" s="1"/>
      <c r="AI1012" s="1" t="s">
        <v>2327</v>
      </c>
      <c r="AJ1012" s="6">
        <v>675.74000000000387</v>
      </c>
      <c r="AK1012" s="6">
        <v>274.45999999999998</v>
      </c>
      <c r="AL1012" s="1"/>
    </row>
    <row r="1013" spans="1:38" hidden="1" x14ac:dyDescent="0.25">
      <c r="A1013" s="2">
        <v>1326</v>
      </c>
      <c r="B1013" s="1" t="s">
        <v>1189</v>
      </c>
      <c r="C1013" s="1" t="s">
        <v>1201</v>
      </c>
      <c r="D1013" s="1" t="s">
        <v>2062</v>
      </c>
      <c r="E1013" s="1" t="s">
        <v>2063</v>
      </c>
      <c r="F1013" s="3">
        <v>45655</v>
      </c>
      <c r="G1013" s="3">
        <v>45287</v>
      </c>
      <c r="H1013" s="3">
        <v>45652</v>
      </c>
      <c r="I1013" s="1" t="s">
        <v>3364</v>
      </c>
      <c r="J1013" s="1" t="s">
        <v>3365</v>
      </c>
      <c r="K1013" s="1"/>
      <c r="L1013" s="1" t="s">
        <v>2198</v>
      </c>
      <c r="M1013" s="1" t="s">
        <v>3366</v>
      </c>
      <c r="N1013" s="1" t="s">
        <v>3367</v>
      </c>
      <c r="O1013" s="1" t="s">
        <v>3368</v>
      </c>
      <c r="P1013" s="1" t="s">
        <v>2262</v>
      </c>
      <c r="Q1013" s="1"/>
      <c r="R1013" s="1"/>
      <c r="S1013" s="1" t="s">
        <v>2072</v>
      </c>
      <c r="T1013" s="1" t="s">
        <v>3165</v>
      </c>
      <c r="U1013" s="4">
        <v>-1</v>
      </c>
      <c r="V1013" s="4">
        <v>-75737</v>
      </c>
      <c r="W1013" s="4">
        <v>-757</v>
      </c>
      <c r="X1013" s="4">
        <v>0</v>
      </c>
      <c r="Y1013" s="4">
        <v>0</v>
      </c>
      <c r="Z1013" s="5">
        <v>-76494</v>
      </c>
      <c r="AA1013" s="5">
        <v>0</v>
      </c>
      <c r="AB1013" s="6">
        <v>0</v>
      </c>
      <c r="AC1013" s="4">
        <v>-76494</v>
      </c>
      <c r="AD1013" s="4">
        <v>0</v>
      </c>
      <c r="AE1013" s="4">
        <v>-76494</v>
      </c>
      <c r="AF1013" s="1"/>
      <c r="AG1013" s="1"/>
      <c r="AH1013" s="1"/>
      <c r="AI1013" s="1" t="s">
        <v>2327</v>
      </c>
      <c r="AJ1013" s="1"/>
      <c r="AK1013" s="1"/>
      <c r="AL1013" s="1"/>
    </row>
    <row r="1014" spans="1:38" hidden="1" x14ac:dyDescent="0.25">
      <c r="A1014" s="2">
        <v>1327</v>
      </c>
      <c r="B1014" s="1" t="s">
        <v>1202</v>
      </c>
      <c r="C1014" s="1" t="s">
        <v>1203</v>
      </c>
      <c r="D1014" s="1" t="s">
        <v>2062</v>
      </c>
      <c r="E1014" s="1" t="s">
        <v>2063</v>
      </c>
      <c r="F1014" s="3">
        <v>45378</v>
      </c>
      <c r="G1014" s="3">
        <v>45287</v>
      </c>
      <c r="H1014" s="3">
        <v>45652</v>
      </c>
      <c r="I1014" s="1" t="s">
        <v>3369</v>
      </c>
      <c r="J1014" s="1" t="s">
        <v>3370</v>
      </c>
      <c r="K1014" s="1"/>
      <c r="L1014" s="1" t="s">
        <v>2131</v>
      </c>
      <c r="M1014" s="1" t="s">
        <v>3371</v>
      </c>
      <c r="N1014" s="1" t="s">
        <v>3372</v>
      </c>
      <c r="O1014" s="1" t="s">
        <v>3373</v>
      </c>
      <c r="P1014" s="1" t="s">
        <v>2182</v>
      </c>
      <c r="Q1014" s="1"/>
      <c r="R1014" s="1"/>
      <c r="S1014" s="1" t="s">
        <v>2072</v>
      </c>
      <c r="T1014" s="1" t="s">
        <v>3165</v>
      </c>
      <c r="U1014" s="4">
        <v>2500000</v>
      </c>
      <c r="V1014" s="4">
        <v>1053</v>
      </c>
      <c r="W1014" s="4">
        <v>10</v>
      </c>
      <c r="X1014" s="4">
        <v>137</v>
      </c>
      <c r="Y1014" s="4">
        <v>0</v>
      </c>
      <c r="Z1014" s="5">
        <v>1200</v>
      </c>
      <c r="AA1014" s="5">
        <v>0</v>
      </c>
      <c r="AB1014" s="6">
        <v>0</v>
      </c>
      <c r="AC1014" s="4">
        <v>1200</v>
      </c>
      <c r="AD1014" s="4">
        <v>0</v>
      </c>
      <c r="AE1014" s="4">
        <v>1200</v>
      </c>
      <c r="AF1014" s="1"/>
      <c r="AG1014" s="1"/>
      <c r="AH1014" s="1"/>
      <c r="AI1014" s="1" t="s">
        <v>2841</v>
      </c>
      <c r="AJ1014" s="6">
        <v>365.3300000000001</v>
      </c>
      <c r="AK1014" s="6">
        <v>350.98</v>
      </c>
      <c r="AL1014" s="1"/>
    </row>
    <row r="1015" spans="1:38" hidden="1" x14ac:dyDescent="0.25">
      <c r="A1015" s="2">
        <v>1328</v>
      </c>
      <c r="B1015" s="1" t="s">
        <v>1202</v>
      </c>
      <c r="C1015" s="1" t="s">
        <v>1204</v>
      </c>
      <c r="D1015" s="1" t="s">
        <v>2062</v>
      </c>
      <c r="E1015" s="1" t="s">
        <v>2063</v>
      </c>
      <c r="F1015" s="3">
        <v>45655</v>
      </c>
      <c r="G1015" s="3">
        <v>45287</v>
      </c>
      <c r="H1015" s="3">
        <v>45652</v>
      </c>
      <c r="I1015" s="1" t="s">
        <v>3369</v>
      </c>
      <c r="J1015" s="1" t="s">
        <v>3370</v>
      </c>
      <c r="K1015" s="1"/>
      <c r="L1015" s="1" t="s">
        <v>2131</v>
      </c>
      <c r="M1015" s="1" t="s">
        <v>3371</v>
      </c>
      <c r="N1015" s="1" t="s">
        <v>3372</v>
      </c>
      <c r="O1015" s="1" t="s">
        <v>3373</v>
      </c>
      <c r="P1015" s="1" t="s">
        <v>2182</v>
      </c>
      <c r="Q1015" s="1"/>
      <c r="R1015" s="1"/>
      <c r="S1015" s="1" t="s">
        <v>2072</v>
      </c>
      <c r="T1015" s="1" t="s">
        <v>3165</v>
      </c>
      <c r="U1015" s="4">
        <v>-1</v>
      </c>
      <c r="V1015" s="4">
        <v>-1188</v>
      </c>
      <c r="W1015" s="4">
        <v>-12</v>
      </c>
      <c r="X1015" s="4">
        <v>0</v>
      </c>
      <c r="Y1015" s="4">
        <v>0</v>
      </c>
      <c r="Z1015" s="5">
        <v>-1200</v>
      </c>
      <c r="AA1015" s="5">
        <v>0</v>
      </c>
      <c r="AB1015" s="6">
        <v>0</v>
      </c>
      <c r="AC1015" s="4">
        <v>-1200</v>
      </c>
      <c r="AD1015" s="4">
        <v>0</v>
      </c>
      <c r="AE1015" s="4">
        <v>-1200</v>
      </c>
      <c r="AF1015" s="1"/>
      <c r="AG1015" s="1"/>
      <c r="AH1015" s="1"/>
      <c r="AI1015" s="1" t="s">
        <v>2841</v>
      </c>
      <c r="AJ1015" s="1"/>
      <c r="AK1015" s="1"/>
      <c r="AL1015" s="1"/>
    </row>
    <row r="1016" spans="1:38" hidden="1" x14ac:dyDescent="0.25">
      <c r="A1016" s="2">
        <v>1329</v>
      </c>
      <c r="B1016" s="1" t="s">
        <v>1205</v>
      </c>
      <c r="C1016" s="1" t="s">
        <v>1206</v>
      </c>
      <c r="D1016" s="1" t="s">
        <v>2062</v>
      </c>
      <c r="E1016" s="1" t="s">
        <v>2063</v>
      </c>
      <c r="F1016" s="3">
        <v>45474</v>
      </c>
      <c r="G1016" s="3">
        <v>45289</v>
      </c>
      <c r="H1016" s="3">
        <v>45654</v>
      </c>
      <c r="I1016" s="1" t="s">
        <v>3374</v>
      </c>
      <c r="J1016" s="1" t="s">
        <v>3375</v>
      </c>
      <c r="K1016" s="1"/>
      <c r="L1016" s="1" t="s">
        <v>2131</v>
      </c>
      <c r="M1016" s="1" t="s">
        <v>3376</v>
      </c>
      <c r="N1016" s="1" t="s">
        <v>3377</v>
      </c>
      <c r="O1016" s="1" t="s">
        <v>3378</v>
      </c>
      <c r="P1016" s="1" t="s">
        <v>2231</v>
      </c>
      <c r="Q1016" s="1"/>
      <c r="R1016" s="1"/>
      <c r="S1016" s="1" t="s">
        <v>2072</v>
      </c>
      <c r="T1016" s="1" t="s">
        <v>3165</v>
      </c>
      <c r="U1016" s="4">
        <v>2100000</v>
      </c>
      <c r="V1016" s="4">
        <v>3299</v>
      </c>
      <c r="W1016" s="4">
        <v>33</v>
      </c>
      <c r="X1016" s="4">
        <v>429</v>
      </c>
      <c r="Y1016" s="4">
        <v>0</v>
      </c>
      <c r="Z1016" s="5">
        <v>3761</v>
      </c>
      <c r="AA1016" s="5">
        <v>956</v>
      </c>
      <c r="AB1016" s="6">
        <v>0</v>
      </c>
      <c r="AC1016" s="4">
        <v>2805</v>
      </c>
      <c r="AD1016" s="4">
        <v>0</v>
      </c>
      <c r="AE1016" s="4">
        <v>2805</v>
      </c>
      <c r="AF1016" s="1"/>
      <c r="AG1016" s="1"/>
      <c r="AH1016" s="1"/>
      <c r="AI1016" s="1" t="s">
        <v>2841</v>
      </c>
      <c r="AJ1016" s="6">
        <v>2381.4800000000009</v>
      </c>
      <c r="AK1016" s="6">
        <v>1311.93</v>
      </c>
      <c r="AL1016" s="1"/>
    </row>
    <row r="1017" spans="1:38" hidden="1" x14ac:dyDescent="0.25">
      <c r="A1017" s="2">
        <v>1330</v>
      </c>
      <c r="B1017" s="1" t="s">
        <v>1205</v>
      </c>
      <c r="C1017" s="1" t="s">
        <v>1207</v>
      </c>
      <c r="D1017" s="1" t="s">
        <v>2062</v>
      </c>
      <c r="E1017" s="1" t="s">
        <v>2063</v>
      </c>
      <c r="F1017" s="3">
        <v>45503</v>
      </c>
      <c r="G1017" s="3">
        <v>45289</v>
      </c>
      <c r="H1017" s="3">
        <v>45654</v>
      </c>
      <c r="I1017" s="1" t="s">
        <v>3374</v>
      </c>
      <c r="J1017" s="1" t="s">
        <v>3375</v>
      </c>
      <c r="K1017" s="1"/>
      <c r="L1017" s="1" t="s">
        <v>2131</v>
      </c>
      <c r="M1017" s="1" t="s">
        <v>3376</v>
      </c>
      <c r="N1017" s="1" t="s">
        <v>3377</v>
      </c>
      <c r="O1017" s="1" t="s">
        <v>3378</v>
      </c>
      <c r="P1017" s="1" t="s">
        <v>2231</v>
      </c>
      <c r="Q1017" s="1"/>
      <c r="R1017" s="1"/>
      <c r="S1017" s="1" t="s">
        <v>2072</v>
      </c>
      <c r="T1017" s="1" t="s">
        <v>3165</v>
      </c>
      <c r="U1017" s="4">
        <v>2100000</v>
      </c>
      <c r="V1017" s="4">
        <v>3091</v>
      </c>
      <c r="W1017" s="4">
        <v>31</v>
      </c>
      <c r="X1017" s="4">
        <v>464</v>
      </c>
      <c r="Y1017" s="4">
        <v>0</v>
      </c>
      <c r="Z1017" s="5">
        <v>3586</v>
      </c>
      <c r="AA1017" s="5">
        <v>0</v>
      </c>
      <c r="AB1017" s="6">
        <v>0</v>
      </c>
      <c r="AC1017" s="4">
        <v>3586</v>
      </c>
      <c r="AD1017" s="4">
        <v>0</v>
      </c>
      <c r="AE1017" s="4">
        <v>3586</v>
      </c>
      <c r="AF1017" s="1"/>
      <c r="AG1017" s="1"/>
      <c r="AH1017" s="1"/>
      <c r="AI1017" s="1" t="s">
        <v>2841</v>
      </c>
      <c r="AJ1017" s="6">
        <v>2048.9100000000012</v>
      </c>
      <c r="AK1017" s="6">
        <v>1249.8900000000001</v>
      </c>
      <c r="AL1017" s="1"/>
    </row>
    <row r="1018" spans="1:38" hidden="1" x14ac:dyDescent="0.25">
      <c r="A1018" s="2">
        <v>1331</v>
      </c>
      <c r="B1018" s="1" t="s">
        <v>1205</v>
      </c>
      <c r="C1018" s="1" t="s">
        <v>1208</v>
      </c>
      <c r="D1018" s="1" t="s">
        <v>2062</v>
      </c>
      <c r="E1018" s="1" t="s">
        <v>2063</v>
      </c>
      <c r="F1018" s="3">
        <v>45538</v>
      </c>
      <c r="G1018" s="3">
        <v>45289</v>
      </c>
      <c r="H1018" s="3">
        <v>45654</v>
      </c>
      <c r="I1018" s="1" t="s">
        <v>3374</v>
      </c>
      <c r="J1018" s="1" t="s">
        <v>3375</v>
      </c>
      <c r="K1018" s="1"/>
      <c r="L1018" s="1" t="s">
        <v>2131</v>
      </c>
      <c r="M1018" s="1" t="s">
        <v>3376</v>
      </c>
      <c r="N1018" s="1" t="s">
        <v>3377</v>
      </c>
      <c r="O1018" s="1" t="s">
        <v>3378</v>
      </c>
      <c r="P1018" s="1" t="s">
        <v>2231</v>
      </c>
      <c r="Q1018" s="1"/>
      <c r="R1018" s="1"/>
      <c r="S1018" s="1" t="s">
        <v>2072</v>
      </c>
      <c r="T1018" s="1" t="s">
        <v>3165</v>
      </c>
      <c r="U1018" s="4">
        <v>2100000</v>
      </c>
      <c r="V1018" s="4">
        <v>2103</v>
      </c>
      <c r="W1018" s="4">
        <v>21</v>
      </c>
      <c r="X1018" s="4">
        <v>315</v>
      </c>
      <c r="Y1018" s="4">
        <v>0</v>
      </c>
      <c r="Z1018" s="5">
        <v>2439</v>
      </c>
      <c r="AA1018" s="5">
        <v>0</v>
      </c>
      <c r="AB1018" s="6">
        <v>0</v>
      </c>
      <c r="AC1018" s="4">
        <v>2439</v>
      </c>
      <c r="AD1018" s="4">
        <v>0</v>
      </c>
      <c r="AE1018" s="4">
        <v>2439</v>
      </c>
      <c r="AF1018" s="1"/>
      <c r="AG1018" s="1"/>
      <c r="AH1018" s="1"/>
      <c r="AI1018" s="1" t="s">
        <v>2841</v>
      </c>
      <c r="AJ1018" s="6">
        <v>1035.72</v>
      </c>
      <c r="AK1018" s="6">
        <v>849.14</v>
      </c>
      <c r="AL1018" s="1"/>
    </row>
    <row r="1019" spans="1:38" hidden="1" x14ac:dyDescent="0.25">
      <c r="A1019" s="2">
        <v>1332</v>
      </c>
      <c r="B1019" s="1" t="s">
        <v>1205</v>
      </c>
      <c r="C1019" s="1" t="s">
        <v>1209</v>
      </c>
      <c r="D1019" s="1" t="s">
        <v>2062</v>
      </c>
      <c r="E1019" s="1" t="s">
        <v>2063</v>
      </c>
      <c r="F1019" s="3">
        <v>45655</v>
      </c>
      <c r="G1019" s="3">
        <v>45289</v>
      </c>
      <c r="H1019" s="3">
        <v>45654</v>
      </c>
      <c r="I1019" s="1" t="s">
        <v>3374</v>
      </c>
      <c r="J1019" s="1" t="s">
        <v>3375</v>
      </c>
      <c r="K1019" s="1"/>
      <c r="L1019" s="1" t="s">
        <v>2131</v>
      </c>
      <c r="M1019" s="1" t="s">
        <v>3376</v>
      </c>
      <c r="N1019" s="1" t="s">
        <v>3377</v>
      </c>
      <c r="O1019" s="1" t="s">
        <v>3378</v>
      </c>
      <c r="P1019" s="1" t="s">
        <v>2231</v>
      </c>
      <c r="Q1019" s="1"/>
      <c r="R1019" s="1"/>
      <c r="S1019" s="1" t="s">
        <v>2072</v>
      </c>
      <c r="T1019" s="1" t="s">
        <v>3165</v>
      </c>
      <c r="U1019" s="4">
        <v>-1</v>
      </c>
      <c r="V1019" s="4">
        <v>-8743</v>
      </c>
      <c r="W1019" s="4">
        <v>-87</v>
      </c>
      <c r="X1019" s="4">
        <v>0</v>
      </c>
      <c r="Y1019" s="4">
        <v>0</v>
      </c>
      <c r="Z1019" s="5">
        <v>-8830</v>
      </c>
      <c r="AA1019" s="5">
        <v>0</v>
      </c>
      <c r="AB1019" s="6">
        <v>0</v>
      </c>
      <c r="AC1019" s="4">
        <v>-8830</v>
      </c>
      <c r="AD1019" s="4">
        <v>0</v>
      </c>
      <c r="AE1019" s="4">
        <v>-8830</v>
      </c>
      <c r="AF1019" s="1"/>
      <c r="AG1019" s="1"/>
      <c r="AH1019" s="1"/>
      <c r="AI1019" s="1" t="s">
        <v>2841</v>
      </c>
      <c r="AJ1019" s="1"/>
      <c r="AK1019" s="1"/>
      <c r="AL1019" s="1"/>
    </row>
    <row r="1020" spans="1:38" hidden="1" x14ac:dyDescent="0.25">
      <c r="A1020" s="2">
        <v>1334</v>
      </c>
      <c r="B1020" s="1" t="s">
        <v>1210</v>
      </c>
      <c r="C1020" s="1" t="s">
        <v>1211</v>
      </c>
      <c r="D1020" s="1" t="s">
        <v>2062</v>
      </c>
      <c r="E1020" s="1" t="s">
        <v>2063</v>
      </c>
      <c r="F1020" s="3">
        <v>45597</v>
      </c>
      <c r="G1020" s="3">
        <v>45290</v>
      </c>
      <c r="H1020" s="3">
        <v>45655</v>
      </c>
      <c r="I1020" s="1" t="s">
        <v>3379</v>
      </c>
      <c r="J1020" s="1" t="s">
        <v>3380</v>
      </c>
      <c r="K1020" s="1"/>
      <c r="L1020" s="1" t="s">
        <v>3271</v>
      </c>
      <c r="M1020" s="1" t="s">
        <v>3381</v>
      </c>
      <c r="N1020" s="1" t="s">
        <v>3382</v>
      </c>
      <c r="O1020" s="1" t="s">
        <v>3383</v>
      </c>
      <c r="P1020" s="1" t="s">
        <v>2165</v>
      </c>
      <c r="Q1020" s="1"/>
      <c r="R1020" s="1"/>
      <c r="S1020" s="1" t="s">
        <v>2072</v>
      </c>
      <c r="T1020" s="1" t="s">
        <v>3165</v>
      </c>
      <c r="U1020" s="4">
        <v>3500000</v>
      </c>
      <c r="V1020" s="4">
        <v>157</v>
      </c>
      <c r="W1020" s="4">
        <v>2</v>
      </c>
      <c r="X1020" s="4">
        <v>24</v>
      </c>
      <c r="Y1020" s="4">
        <v>0</v>
      </c>
      <c r="Z1020" s="5">
        <v>183</v>
      </c>
      <c r="AA1020" s="5">
        <v>0</v>
      </c>
      <c r="AB1020" s="6">
        <v>0</v>
      </c>
      <c r="AC1020" s="4">
        <v>183</v>
      </c>
      <c r="AD1020" s="4">
        <v>0</v>
      </c>
      <c r="AE1020" s="4">
        <v>183</v>
      </c>
      <c r="AF1020" s="1"/>
      <c r="AG1020" s="1"/>
      <c r="AH1020" s="1"/>
      <c r="AI1020" s="1" t="s">
        <v>3057</v>
      </c>
      <c r="AJ1020" s="6">
        <v>38.19</v>
      </c>
      <c r="AK1020" s="6">
        <v>38.19</v>
      </c>
      <c r="AL1020" s="1"/>
    </row>
    <row r="1021" spans="1:38" hidden="1" x14ac:dyDescent="0.25">
      <c r="A1021" s="2">
        <v>1335</v>
      </c>
      <c r="B1021" s="1" t="s">
        <v>1210</v>
      </c>
      <c r="C1021" s="1" t="s">
        <v>1212</v>
      </c>
      <c r="D1021" s="1" t="s">
        <v>2062</v>
      </c>
      <c r="E1021" s="1" t="s">
        <v>2063</v>
      </c>
      <c r="F1021" s="3">
        <v>45628</v>
      </c>
      <c r="G1021" s="3">
        <v>45290</v>
      </c>
      <c r="H1021" s="3">
        <v>45655</v>
      </c>
      <c r="I1021" s="1" t="s">
        <v>3379</v>
      </c>
      <c r="J1021" s="1" t="s">
        <v>3380</v>
      </c>
      <c r="K1021" s="1"/>
      <c r="L1021" s="1" t="s">
        <v>3271</v>
      </c>
      <c r="M1021" s="1" t="s">
        <v>3381</v>
      </c>
      <c r="N1021" s="1" t="s">
        <v>3382</v>
      </c>
      <c r="O1021" s="1" t="s">
        <v>3383</v>
      </c>
      <c r="P1021" s="1" t="s">
        <v>2165</v>
      </c>
      <c r="Q1021" s="1"/>
      <c r="R1021" s="1"/>
      <c r="S1021" s="1" t="s">
        <v>2072</v>
      </c>
      <c r="T1021" s="1" t="s">
        <v>3165</v>
      </c>
      <c r="U1021" s="4">
        <v>3500000</v>
      </c>
      <c r="V1021" s="4">
        <v>1408</v>
      </c>
      <c r="W1021" s="4">
        <v>14</v>
      </c>
      <c r="X1021" s="4">
        <v>211</v>
      </c>
      <c r="Y1021" s="4">
        <v>0</v>
      </c>
      <c r="Z1021" s="5">
        <v>1633</v>
      </c>
      <c r="AA1021" s="5">
        <v>0</v>
      </c>
      <c r="AB1021" s="6">
        <v>0</v>
      </c>
      <c r="AC1021" s="4">
        <v>1633</v>
      </c>
      <c r="AD1021" s="4">
        <v>0</v>
      </c>
      <c r="AE1021" s="4">
        <v>1633</v>
      </c>
      <c r="AF1021" s="1"/>
      <c r="AG1021" s="1"/>
      <c r="AH1021" s="1"/>
      <c r="AI1021" s="1" t="s">
        <v>3057</v>
      </c>
      <c r="AJ1021" s="6">
        <v>340.42000000000007</v>
      </c>
      <c r="AK1021" s="6">
        <v>340.42000000000007</v>
      </c>
      <c r="AL1021" s="1"/>
    </row>
    <row r="1022" spans="1:38" hidden="1" x14ac:dyDescent="0.25">
      <c r="A1022" s="2">
        <v>1336</v>
      </c>
      <c r="B1022" s="1" t="s">
        <v>1210</v>
      </c>
      <c r="C1022" s="1" t="s">
        <v>1213</v>
      </c>
      <c r="D1022" s="1" t="s">
        <v>2062</v>
      </c>
      <c r="E1022" s="1" t="s">
        <v>2063</v>
      </c>
      <c r="F1022" s="3">
        <v>45670</v>
      </c>
      <c r="G1022" s="3">
        <v>45290</v>
      </c>
      <c r="H1022" s="3">
        <v>45655</v>
      </c>
      <c r="I1022" s="1" t="s">
        <v>3379</v>
      </c>
      <c r="J1022" s="1" t="s">
        <v>3380</v>
      </c>
      <c r="K1022" s="1"/>
      <c r="L1022" s="1" t="s">
        <v>3271</v>
      </c>
      <c r="M1022" s="1" t="s">
        <v>3381</v>
      </c>
      <c r="N1022" s="1" t="s">
        <v>3382</v>
      </c>
      <c r="O1022" s="1" t="s">
        <v>3383</v>
      </c>
      <c r="P1022" s="1" t="s">
        <v>2165</v>
      </c>
      <c r="Q1022" s="1"/>
      <c r="R1022" s="1"/>
      <c r="S1022" s="1" t="s">
        <v>2072</v>
      </c>
      <c r="T1022" s="1" t="s">
        <v>3165</v>
      </c>
      <c r="U1022" s="4">
        <v>3500000</v>
      </c>
      <c r="V1022" s="4">
        <v>657</v>
      </c>
      <c r="W1022" s="4">
        <v>7</v>
      </c>
      <c r="X1022" s="4">
        <v>99</v>
      </c>
      <c r="Y1022" s="4">
        <v>0</v>
      </c>
      <c r="Z1022" s="5">
        <v>763</v>
      </c>
      <c r="AA1022" s="5">
        <v>0</v>
      </c>
      <c r="AB1022" s="6">
        <v>0</v>
      </c>
      <c r="AC1022" s="4">
        <v>763</v>
      </c>
      <c r="AD1022" s="4">
        <v>0</v>
      </c>
      <c r="AE1022" s="4">
        <v>763</v>
      </c>
      <c r="AF1022" s="1"/>
      <c r="AG1022" s="1"/>
      <c r="AH1022" s="1"/>
      <c r="AI1022" s="1" t="s">
        <v>3057</v>
      </c>
      <c r="AJ1022" s="6">
        <v>204.17</v>
      </c>
      <c r="AK1022" s="6">
        <v>159.05000000000001</v>
      </c>
      <c r="AL1022" s="1"/>
    </row>
    <row r="1023" spans="1:38" hidden="1" x14ac:dyDescent="0.25">
      <c r="A1023" s="2">
        <v>1337</v>
      </c>
      <c r="B1023" s="1" t="s">
        <v>1210</v>
      </c>
      <c r="C1023" s="1" t="s">
        <v>1214</v>
      </c>
      <c r="D1023" s="1" t="s">
        <v>2062</v>
      </c>
      <c r="E1023" s="1" t="s">
        <v>2063</v>
      </c>
      <c r="F1023" s="3">
        <v>45745</v>
      </c>
      <c r="G1023" s="3">
        <v>45290</v>
      </c>
      <c r="H1023" s="3">
        <v>45655</v>
      </c>
      <c r="I1023" s="1" t="s">
        <v>3379</v>
      </c>
      <c r="J1023" s="1" t="s">
        <v>3380</v>
      </c>
      <c r="K1023" s="1"/>
      <c r="L1023" s="1" t="s">
        <v>3271</v>
      </c>
      <c r="M1023" s="1" t="s">
        <v>3381</v>
      </c>
      <c r="N1023" s="1" t="s">
        <v>3382</v>
      </c>
      <c r="O1023" s="1" t="s">
        <v>3383</v>
      </c>
      <c r="P1023" s="1" t="s">
        <v>2165</v>
      </c>
      <c r="Q1023" s="1"/>
      <c r="R1023" s="1"/>
      <c r="S1023" s="1" t="s">
        <v>2072</v>
      </c>
      <c r="T1023" s="1" t="s">
        <v>3165</v>
      </c>
      <c r="U1023" s="4">
        <v>-1</v>
      </c>
      <c r="V1023" s="4">
        <v>-2556</v>
      </c>
      <c r="W1023" s="4">
        <v>-23</v>
      </c>
      <c r="X1023" s="4">
        <v>0</v>
      </c>
      <c r="Y1023" s="4">
        <v>0</v>
      </c>
      <c r="Z1023" s="5">
        <v>-2579</v>
      </c>
      <c r="AA1023" s="5">
        <v>0</v>
      </c>
      <c r="AB1023" s="6">
        <v>0</v>
      </c>
      <c r="AC1023" s="4">
        <v>-2579</v>
      </c>
      <c r="AD1023" s="4">
        <v>0</v>
      </c>
      <c r="AE1023" s="4">
        <v>-2579</v>
      </c>
      <c r="AF1023" s="1"/>
      <c r="AG1023" s="1"/>
      <c r="AH1023" s="1"/>
      <c r="AI1023" s="1" t="s">
        <v>3057</v>
      </c>
      <c r="AJ1023" s="1"/>
      <c r="AK1023" s="1"/>
      <c r="AL1023" s="1"/>
    </row>
    <row r="1024" spans="1:38" x14ac:dyDescent="0.25">
      <c r="A1024" s="2">
        <v>1345</v>
      </c>
      <c r="B1024" s="1" t="s">
        <v>1215</v>
      </c>
      <c r="C1024" s="1"/>
      <c r="D1024" s="1" t="s">
        <v>2062</v>
      </c>
      <c r="E1024" s="1" t="s">
        <v>2063</v>
      </c>
      <c r="F1024" s="3">
        <v>45296</v>
      </c>
      <c r="G1024" s="3">
        <v>45295</v>
      </c>
      <c r="H1024" s="3">
        <v>45660</v>
      </c>
      <c r="I1024" s="1" t="s">
        <v>3384</v>
      </c>
      <c r="J1024" s="1" t="s">
        <v>3385</v>
      </c>
      <c r="K1024" s="1"/>
      <c r="L1024" s="1" t="s">
        <v>2198</v>
      </c>
      <c r="M1024" s="1" t="s">
        <v>3386</v>
      </c>
      <c r="N1024" s="1" t="s">
        <v>3387</v>
      </c>
      <c r="O1024" s="1" t="s">
        <v>3388</v>
      </c>
      <c r="P1024" s="1" t="s">
        <v>2088</v>
      </c>
      <c r="Q1024" s="1"/>
      <c r="R1024" s="1"/>
      <c r="S1024" s="1" t="s">
        <v>2072</v>
      </c>
      <c r="T1024" s="1" t="s">
        <v>2489</v>
      </c>
      <c r="U1024" s="4">
        <v>-1</v>
      </c>
      <c r="V1024" s="4">
        <v>4343</v>
      </c>
      <c r="W1024" s="4">
        <v>43</v>
      </c>
      <c r="X1024" s="4">
        <v>564</v>
      </c>
      <c r="Y1024" s="4">
        <v>50</v>
      </c>
      <c r="Z1024" s="5">
        <v>5000</v>
      </c>
      <c r="AA1024" s="5">
        <v>5001</v>
      </c>
      <c r="AB1024" s="6">
        <v>0</v>
      </c>
      <c r="AC1024" s="4">
        <v>-1</v>
      </c>
      <c r="AD1024" s="4">
        <v>0</v>
      </c>
      <c r="AE1024" s="4">
        <v>-1</v>
      </c>
      <c r="AF1024" s="1"/>
      <c r="AG1024" s="1"/>
      <c r="AH1024" s="1"/>
      <c r="AI1024" s="1" t="s">
        <v>2327</v>
      </c>
      <c r="AJ1024" s="1"/>
      <c r="AK1024" s="1"/>
      <c r="AL1024" s="1" t="s">
        <v>3389</v>
      </c>
    </row>
    <row r="1025" spans="1:38" hidden="1" x14ac:dyDescent="0.25">
      <c r="A1025" s="2">
        <v>1346</v>
      </c>
      <c r="B1025" s="1" t="s">
        <v>1215</v>
      </c>
      <c r="C1025" s="1" t="s">
        <v>1216</v>
      </c>
      <c r="D1025" s="1" t="s">
        <v>2062</v>
      </c>
      <c r="E1025" s="1" t="s">
        <v>2063</v>
      </c>
      <c r="F1025" s="3">
        <v>45328</v>
      </c>
      <c r="G1025" s="3">
        <v>45295</v>
      </c>
      <c r="H1025" s="3">
        <v>45660</v>
      </c>
      <c r="I1025" s="1" t="s">
        <v>3384</v>
      </c>
      <c r="J1025" s="1" t="s">
        <v>3385</v>
      </c>
      <c r="K1025" s="1"/>
      <c r="L1025" s="1" t="s">
        <v>2198</v>
      </c>
      <c r="M1025" s="1" t="s">
        <v>3386</v>
      </c>
      <c r="N1025" s="1" t="s">
        <v>3387</v>
      </c>
      <c r="O1025" s="1" t="s">
        <v>3388</v>
      </c>
      <c r="P1025" s="1" t="s">
        <v>2088</v>
      </c>
      <c r="Q1025" s="1"/>
      <c r="R1025" s="1"/>
      <c r="S1025" s="1" t="s">
        <v>2072</v>
      </c>
      <c r="T1025" s="1" t="s">
        <v>2489</v>
      </c>
      <c r="U1025" s="4">
        <v>2100000</v>
      </c>
      <c r="V1025" s="4">
        <v>931</v>
      </c>
      <c r="W1025" s="4">
        <v>10</v>
      </c>
      <c r="X1025" s="4">
        <v>122</v>
      </c>
      <c r="Y1025" s="4">
        <v>0</v>
      </c>
      <c r="Z1025" s="5">
        <v>1063</v>
      </c>
      <c r="AA1025" s="5">
        <v>0</v>
      </c>
      <c r="AB1025" s="6">
        <v>0</v>
      </c>
      <c r="AC1025" s="4">
        <v>1063</v>
      </c>
      <c r="AD1025" s="4">
        <v>0</v>
      </c>
      <c r="AE1025" s="4">
        <v>1063</v>
      </c>
      <c r="AF1025" s="1"/>
      <c r="AG1025" s="1"/>
      <c r="AH1025" s="1"/>
      <c r="AI1025" s="1" t="s">
        <v>2327</v>
      </c>
      <c r="AJ1025" s="6">
        <v>556.33000000000004</v>
      </c>
      <c r="AK1025" s="6">
        <v>460.25000000000006</v>
      </c>
      <c r="AL1025" s="1"/>
    </row>
    <row r="1026" spans="1:38" hidden="1" x14ac:dyDescent="0.25">
      <c r="A1026" s="2">
        <v>1347</v>
      </c>
      <c r="B1026" s="1" t="s">
        <v>1215</v>
      </c>
      <c r="C1026" s="1" t="s">
        <v>1217</v>
      </c>
      <c r="D1026" s="1" t="s">
        <v>2062</v>
      </c>
      <c r="E1026" s="1" t="s">
        <v>2063</v>
      </c>
      <c r="F1026" s="3">
        <v>45356</v>
      </c>
      <c r="G1026" s="3">
        <v>45295</v>
      </c>
      <c r="H1026" s="3">
        <v>45660</v>
      </c>
      <c r="I1026" s="1" t="s">
        <v>3384</v>
      </c>
      <c r="J1026" s="1" t="s">
        <v>3385</v>
      </c>
      <c r="K1026" s="1"/>
      <c r="L1026" s="1" t="s">
        <v>2198</v>
      </c>
      <c r="M1026" s="1" t="s">
        <v>3386</v>
      </c>
      <c r="N1026" s="1" t="s">
        <v>3387</v>
      </c>
      <c r="O1026" s="1" t="s">
        <v>3388</v>
      </c>
      <c r="P1026" s="1" t="s">
        <v>2088</v>
      </c>
      <c r="Q1026" s="1"/>
      <c r="R1026" s="1"/>
      <c r="S1026" s="1" t="s">
        <v>2072</v>
      </c>
      <c r="T1026" s="1" t="s">
        <v>2489</v>
      </c>
      <c r="U1026" s="4">
        <v>2100000</v>
      </c>
      <c r="V1026" s="4">
        <v>672</v>
      </c>
      <c r="W1026" s="4">
        <v>6</v>
      </c>
      <c r="X1026" s="4">
        <v>87</v>
      </c>
      <c r="Y1026" s="4">
        <v>0</v>
      </c>
      <c r="Z1026" s="5">
        <v>765</v>
      </c>
      <c r="AA1026" s="5">
        <v>0</v>
      </c>
      <c r="AB1026" s="6">
        <v>0</v>
      </c>
      <c r="AC1026" s="4">
        <v>765</v>
      </c>
      <c r="AD1026" s="4">
        <v>0</v>
      </c>
      <c r="AE1026" s="4">
        <v>765</v>
      </c>
      <c r="AF1026" s="1"/>
      <c r="AG1026" s="1"/>
      <c r="AH1026" s="1"/>
      <c r="AI1026" s="1" t="s">
        <v>2327</v>
      </c>
      <c r="AJ1026" s="6">
        <v>651.34</v>
      </c>
      <c r="AK1026" s="6">
        <v>331.5800000000001</v>
      </c>
      <c r="AL1026" s="1"/>
    </row>
    <row r="1027" spans="1:38" hidden="1" x14ac:dyDescent="0.25">
      <c r="A1027" s="2">
        <v>1348</v>
      </c>
      <c r="B1027" s="1" t="s">
        <v>1215</v>
      </c>
      <c r="C1027" s="1" t="s">
        <v>1218</v>
      </c>
      <c r="D1027" s="1" t="s">
        <v>2062</v>
      </c>
      <c r="E1027" s="1" t="s">
        <v>2063</v>
      </c>
      <c r="F1027" s="3">
        <v>45569</v>
      </c>
      <c r="G1027" s="3">
        <v>45295</v>
      </c>
      <c r="H1027" s="3">
        <v>45660</v>
      </c>
      <c r="I1027" s="1" t="s">
        <v>3384</v>
      </c>
      <c r="J1027" s="1" t="s">
        <v>3385</v>
      </c>
      <c r="K1027" s="1"/>
      <c r="L1027" s="1" t="s">
        <v>2198</v>
      </c>
      <c r="M1027" s="1" t="s">
        <v>3386</v>
      </c>
      <c r="N1027" s="1" t="s">
        <v>3387</v>
      </c>
      <c r="O1027" s="1" t="s">
        <v>3388</v>
      </c>
      <c r="P1027" s="1" t="s">
        <v>2088</v>
      </c>
      <c r="Q1027" s="1"/>
      <c r="R1027" s="1"/>
      <c r="S1027" s="1" t="s">
        <v>2072</v>
      </c>
      <c r="T1027" s="1" t="s">
        <v>2489</v>
      </c>
      <c r="U1027" s="4">
        <v>-1</v>
      </c>
      <c r="V1027" s="4">
        <v>-1809</v>
      </c>
      <c r="W1027" s="4">
        <v>-18</v>
      </c>
      <c r="X1027" s="4">
        <v>0</v>
      </c>
      <c r="Y1027" s="4">
        <v>0</v>
      </c>
      <c r="Z1027" s="5">
        <v>-1827</v>
      </c>
      <c r="AA1027" s="5">
        <v>0</v>
      </c>
      <c r="AB1027" s="6">
        <v>0</v>
      </c>
      <c r="AC1027" s="4">
        <v>-1827</v>
      </c>
      <c r="AD1027" s="4">
        <v>0</v>
      </c>
      <c r="AE1027" s="4">
        <v>-1827</v>
      </c>
      <c r="AF1027" s="1"/>
      <c r="AG1027" s="1"/>
      <c r="AH1027" s="1"/>
      <c r="AI1027" s="1" t="s">
        <v>2327</v>
      </c>
      <c r="AJ1027" s="1"/>
      <c r="AK1027" s="1"/>
      <c r="AL1027" s="1" t="s">
        <v>3389</v>
      </c>
    </row>
    <row r="1028" spans="1:38" hidden="1" x14ac:dyDescent="0.25">
      <c r="A1028" s="2">
        <v>1349</v>
      </c>
      <c r="B1028" s="1" t="s">
        <v>1219</v>
      </c>
      <c r="C1028" s="1" t="s">
        <v>1220</v>
      </c>
      <c r="D1028" s="1" t="s">
        <v>2062</v>
      </c>
      <c r="E1028" s="1" t="s">
        <v>2063</v>
      </c>
      <c r="F1028" s="3">
        <v>45329</v>
      </c>
      <c r="G1028" s="3">
        <v>45296</v>
      </c>
      <c r="H1028" s="3">
        <v>45661</v>
      </c>
      <c r="I1028" s="1" t="s">
        <v>3390</v>
      </c>
      <c r="J1028" s="1" t="s">
        <v>3391</v>
      </c>
      <c r="K1028" s="1"/>
      <c r="L1028" s="1" t="s">
        <v>2198</v>
      </c>
      <c r="M1028" s="1" t="s">
        <v>3392</v>
      </c>
      <c r="N1028" s="1" t="s">
        <v>3393</v>
      </c>
      <c r="O1028" s="1" t="s">
        <v>3394</v>
      </c>
      <c r="P1028" s="1" t="s">
        <v>2262</v>
      </c>
      <c r="Q1028" s="1"/>
      <c r="R1028" s="1"/>
      <c r="S1028" s="1" t="s">
        <v>2072</v>
      </c>
      <c r="T1028" s="1" t="s">
        <v>3165</v>
      </c>
      <c r="U1028" s="4">
        <v>2650000</v>
      </c>
      <c r="V1028" s="4">
        <v>3992</v>
      </c>
      <c r="W1028" s="4">
        <v>40</v>
      </c>
      <c r="X1028" s="4">
        <v>519</v>
      </c>
      <c r="Y1028" s="4">
        <v>0</v>
      </c>
      <c r="Z1028" s="5">
        <v>4551</v>
      </c>
      <c r="AA1028" s="5">
        <v>0</v>
      </c>
      <c r="AB1028" s="6">
        <v>0</v>
      </c>
      <c r="AC1028" s="4">
        <v>4551</v>
      </c>
      <c r="AD1028" s="4">
        <v>0</v>
      </c>
      <c r="AE1028" s="4">
        <v>4551</v>
      </c>
      <c r="AF1028" s="1"/>
      <c r="AG1028" s="1"/>
      <c r="AH1028" s="1"/>
      <c r="AI1028" s="1" t="s">
        <v>2327</v>
      </c>
      <c r="AJ1028" s="6">
        <v>2101.6000000000017</v>
      </c>
      <c r="AK1028" s="6">
        <v>1256.05</v>
      </c>
      <c r="AL1028" s="1"/>
    </row>
    <row r="1029" spans="1:38" hidden="1" x14ac:dyDescent="0.25">
      <c r="A1029" s="2">
        <v>1350</v>
      </c>
      <c r="B1029" s="1" t="s">
        <v>1219</v>
      </c>
      <c r="C1029" s="1" t="s">
        <v>1221</v>
      </c>
      <c r="D1029" s="1" t="s">
        <v>2062</v>
      </c>
      <c r="E1029" s="1" t="s">
        <v>2063</v>
      </c>
      <c r="F1029" s="3">
        <v>45356</v>
      </c>
      <c r="G1029" s="3">
        <v>45296</v>
      </c>
      <c r="H1029" s="3">
        <v>45661</v>
      </c>
      <c r="I1029" s="1" t="s">
        <v>3390</v>
      </c>
      <c r="J1029" s="1" t="s">
        <v>3391</v>
      </c>
      <c r="K1029" s="1"/>
      <c r="L1029" s="1" t="s">
        <v>2198</v>
      </c>
      <c r="M1029" s="1" t="s">
        <v>3392</v>
      </c>
      <c r="N1029" s="1" t="s">
        <v>3393</v>
      </c>
      <c r="O1029" s="1" t="s">
        <v>3394</v>
      </c>
      <c r="P1029" s="1" t="s">
        <v>2262</v>
      </c>
      <c r="Q1029" s="1"/>
      <c r="R1029" s="1"/>
      <c r="S1029" s="1" t="s">
        <v>2072</v>
      </c>
      <c r="T1029" s="1" t="s">
        <v>3165</v>
      </c>
      <c r="U1029" s="4">
        <v>2650000</v>
      </c>
      <c r="V1029" s="4">
        <v>3888</v>
      </c>
      <c r="W1029" s="4">
        <v>39</v>
      </c>
      <c r="X1029" s="4">
        <v>506</v>
      </c>
      <c r="Y1029" s="4">
        <v>0</v>
      </c>
      <c r="Z1029" s="5">
        <v>4433</v>
      </c>
      <c r="AA1029" s="5">
        <v>0</v>
      </c>
      <c r="AB1029" s="6">
        <v>0</v>
      </c>
      <c r="AC1029" s="4">
        <v>4433</v>
      </c>
      <c r="AD1029" s="4">
        <v>0</v>
      </c>
      <c r="AE1029" s="4">
        <v>4433</v>
      </c>
      <c r="AF1029" s="1"/>
      <c r="AG1029" s="1"/>
      <c r="AH1029" s="1"/>
      <c r="AI1029" s="1" t="s">
        <v>2327</v>
      </c>
      <c r="AJ1029" s="6">
        <v>2152.8500000000017</v>
      </c>
      <c r="AK1029" s="6">
        <v>1223.53</v>
      </c>
      <c r="AL1029" s="1"/>
    </row>
    <row r="1030" spans="1:38" hidden="1" x14ac:dyDescent="0.25">
      <c r="A1030" s="2">
        <v>1351</v>
      </c>
      <c r="B1030" s="1" t="s">
        <v>1219</v>
      </c>
      <c r="C1030" s="1" t="s">
        <v>1222</v>
      </c>
      <c r="D1030" s="1" t="s">
        <v>2062</v>
      </c>
      <c r="E1030" s="1" t="s">
        <v>2063</v>
      </c>
      <c r="F1030" s="3">
        <v>45387</v>
      </c>
      <c r="G1030" s="3">
        <v>45296</v>
      </c>
      <c r="H1030" s="3">
        <v>45661</v>
      </c>
      <c r="I1030" s="1" t="s">
        <v>3390</v>
      </c>
      <c r="J1030" s="1" t="s">
        <v>3391</v>
      </c>
      <c r="K1030" s="1"/>
      <c r="L1030" s="1" t="s">
        <v>2198</v>
      </c>
      <c r="M1030" s="1" t="s">
        <v>3392</v>
      </c>
      <c r="N1030" s="1" t="s">
        <v>3393</v>
      </c>
      <c r="O1030" s="1" t="s">
        <v>3394</v>
      </c>
      <c r="P1030" s="1" t="s">
        <v>2262</v>
      </c>
      <c r="Q1030" s="1"/>
      <c r="R1030" s="1"/>
      <c r="S1030" s="1" t="s">
        <v>2072</v>
      </c>
      <c r="T1030" s="1" t="s">
        <v>3165</v>
      </c>
      <c r="U1030" s="4">
        <v>2650000</v>
      </c>
      <c r="V1030" s="4">
        <v>3604</v>
      </c>
      <c r="W1030" s="4">
        <v>36</v>
      </c>
      <c r="X1030" s="4">
        <v>468</v>
      </c>
      <c r="Y1030" s="4">
        <v>0</v>
      </c>
      <c r="Z1030" s="5">
        <v>4108</v>
      </c>
      <c r="AA1030" s="5">
        <v>0</v>
      </c>
      <c r="AB1030" s="6">
        <v>0</v>
      </c>
      <c r="AC1030" s="4">
        <v>4108</v>
      </c>
      <c r="AD1030" s="4">
        <v>0</v>
      </c>
      <c r="AE1030" s="4">
        <v>4108</v>
      </c>
      <c r="AF1030" s="1"/>
      <c r="AG1030" s="1"/>
      <c r="AH1030" s="1"/>
      <c r="AI1030" s="1" t="s">
        <v>2327</v>
      </c>
      <c r="AJ1030" s="6">
        <v>1730.71</v>
      </c>
      <c r="AK1030" s="6">
        <v>1133.67</v>
      </c>
      <c r="AL1030" s="1"/>
    </row>
    <row r="1031" spans="1:38" hidden="1" x14ac:dyDescent="0.25">
      <c r="A1031" s="2">
        <v>1352</v>
      </c>
      <c r="B1031" s="1" t="s">
        <v>1219</v>
      </c>
      <c r="C1031" s="1" t="s">
        <v>1223</v>
      </c>
      <c r="D1031" s="1" t="s">
        <v>2062</v>
      </c>
      <c r="E1031" s="1" t="s">
        <v>2063</v>
      </c>
      <c r="F1031" s="3">
        <v>45425</v>
      </c>
      <c r="G1031" s="3">
        <v>45296</v>
      </c>
      <c r="H1031" s="3">
        <v>45661</v>
      </c>
      <c r="I1031" s="1" t="s">
        <v>3390</v>
      </c>
      <c r="J1031" s="1" t="s">
        <v>3391</v>
      </c>
      <c r="K1031" s="1"/>
      <c r="L1031" s="1" t="s">
        <v>2198</v>
      </c>
      <c r="M1031" s="1" t="s">
        <v>3392</v>
      </c>
      <c r="N1031" s="1" t="s">
        <v>3393</v>
      </c>
      <c r="O1031" s="1" t="s">
        <v>3394</v>
      </c>
      <c r="P1031" s="1" t="s">
        <v>2262</v>
      </c>
      <c r="Q1031" s="1"/>
      <c r="R1031" s="1"/>
      <c r="S1031" s="1" t="s">
        <v>2072</v>
      </c>
      <c r="T1031" s="1" t="s">
        <v>3165</v>
      </c>
      <c r="U1031" s="4">
        <v>2650000</v>
      </c>
      <c r="V1031" s="4">
        <v>2902</v>
      </c>
      <c r="W1031" s="4">
        <v>29</v>
      </c>
      <c r="X1031" s="4">
        <v>378</v>
      </c>
      <c r="Y1031" s="4">
        <v>0</v>
      </c>
      <c r="Z1031" s="5">
        <v>3309</v>
      </c>
      <c r="AA1031" s="5">
        <v>0</v>
      </c>
      <c r="AB1031" s="6">
        <v>0</v>
      </c>
      <c r="AC1031" s="4">
        <v>3309</v>
      </c>
      <c r="AD1031" s="4">
        <v>0</v>
      </c>
      <c r="AE1031" s="4">
        <v>3309</v>
      </c>
      <c r="AF1031" s="1"/>
      <c r="AG1031" s="1"/>
      <c r="AH1031" s="1"/>
      <c r="AI1031" s="1" t="s">
        <v>2327</v>
      </c>
      <c r="AJ1031" s="6">
        <v>1274.5600000000011</v>
      </c>
      <c r="AK1031" s="6">
        <v>912.9</v>
      </c>
      <c r="AL1031" s="1"/>
    </row>
    <row r="1032" spans="1:38" hidden="1" x14ac:dyDescent="0.25">
      <c r="A1032" s="2">
        <v>1353</v>
      </c>
      <c r="B1032" s="1" t="s">
        <v>1219</v>
      </c>
      <c r="C1032" s="1" t="s">
        <v>1224</v>
      </c>
      <c r="D1032" s="1" t="s">
        <v>2062</v>
      </c>
      <c r="E1032" s="1" t="s">
        <v>2063</v>
      </c>
      <c r="F1032" s="3">
        <v>45449</v>
      </c>
      <c r="G1032" s="3">
        <v>45296</v>
      </c>
      <c r="H1032" s="3">
        <v>45661</v>
      </c>
      <c r="I1032" s="1" t="s">
        <v>3390</v>
      </c>
      <c r="J1032" s="1" t="s">
        <v>3391</v>
      </c>
      <c r="K1032" s="1"/>
      <c r="L1032" s="1" t="s">
        <v>2198</v>
      </c>
      <c r="M1032" s="1" t="s">
        <v>3392</v>
      </c>
      <c r="N1032" s="1" t="s">
        <v>3393</v>
      </c>
      <c r="O1032" s="1" t="s">
        <v>3394</v>
      </c>
      <c r="P1032" s="1" t="s">
        <v>2262</v>
      </c>
      <c r="Q1032" s="1"/>
      <c r="R1032" s="1"/>
      <c r="S1032" s="1" t="s">
        <v>2072</v>
      </c>
      <c r="T1032" s="1" t="s">
        <v>3165</v>
      </c>
      <c r="U1032" s="4">
        <v>2650000</v>
      </c>
      <c r="V1032" s="4">
        <v>3067</v>
      </c>
      <c r="W1032" s="4">
        <v>31</v>
      </c>
      <c r="X1032" s="4">
        <v>398</v>
      </c>
      <c r="Y1032" s="4">
        <v>0</v>
      </c>
      <c r="Z1032" s="5">
        <v>3496</v>
      </c>
      <c r="AA1032" s="5">
        <v>0</v>
      </c>
      <c r="AB1032" s="6">
        <v>0</v>
      </c>
      <c r="AC1032" s="4">
        <v>3496</v>
      </c>
      <c r="AD1032" s="4">
        <v>0</v>
      </c>
      <c r="AE1032" s="4">
        <v>3496</v>
      </c>
      <c r="AF1032" s="1"/>
      <c r="AG1032" s="1"/>
      <c r="AH1032" s="1"/>
      <c r="AI1032" s="1" t="s">
        <v>2327</v>
      </c>
      <c r="AJ1032" s="6">
        <v>1229.7600000000009</v>
      </c>
      <c r="AK1032" s="6">
        <v>964.22</v>
      </c>
      <c r="AL1032" s="1"/>
    </row>
    <row r="1033" spans="1:38" hidden="1" x14ac:dyDescent="0.25">
      <c r="A1033" s="2">
        <v>1354</v>
      </c>
      <c r="B1033" s="1" t="s">
        <v>1219</v>
      </c>
      <c r="C1033" s="1" t="s">
        <v>1225</v>
      </c>
      <c r="D1033" s="1" t="s">
        <v>2062</v>
      </c>
      <c r="E1033" s="1" t="s">
        <v>2063</v>
      </c>
      <c r="F1033" s="3">
        <v>45478</v>
      </c>
      <c r="G1033" s="3">
        <v>45296</v>
      </c>
      <c r="H1033" s="3">
        <v>45661</v>
      </c>
      <c r="I1033" s="1" t="s">
        <v>3390</v>
      </c>
      <c r="J1033" s="1" t="s">
        <v>3391</v>
      </c>
      <c r="K1033" s="1"/>
      <c r="L1033" s="1" t="s">
        <v>2198</v>
      </c>
      <c r="M1033" s="1" t="s">
        <v>3392</v>
      </c>
      <c r="N1033" s="1" t="s">
        <v>3393</v>
      </c>
      <c r="O1033" s="1" t="s">
        <v>3394</v>
      </c>
      <c r="P1033" s="1" t="s">
        <v>2262</v>
      </c>
      <c r="Q1033" s="1"/>
      <c r="R1033" s="1"/>
      <c r="S1033" s="1" t="s">
        <v>2072</v>
      </c>
      <c r="T1033" s="1" t="s">
        <v>3165</v>
      </c>
      <c r="U1033" s="4">
        <v>2650000</v>
      </c>
      <c r="V1033" s="4">
        <v>3231</v>
      </c>
      <c r="W1033" s="4">
        <v>32</v>
      </c>
      <c r="X1033" s="4">
        <v>485</v>
      </c>
      <c r="Y1033" s="4">
        <v>0</v>
      </c>
      <c r="Z1033" s="5">
        <v>3748</v>
      </c>
      <c r="AA1033" s="5">
        <v>0</v>
      </c>
      <c r="AB1033" s="6">
        <v>0</v>
      </c>
      <c r="AC1033" s="4">
        <v>3748</v>
      </c>
      <c r="AD1033" s="4">
        <v>0</v>
      </c>
      <c r="AE1033" s="4">
        <v>3748</v>
      </c>
      <c r="AF1033" s="1"/>
      <c r="AG1033" s="1"/>
      <c r="AH1033" s="1"/>
      <c r="AI1033" s="1" t="s">
        <v>2327</v>
      </c>
      <c r="AJ1033" s="6">
        <v>2368.4200000000019</v>
      </c>
      <c r="AK1033" s="6">
        <v>1033.74</v>
      </c>
      <c r="AL1033" s="1"/>
    </row>
    <row r="1034" spans="1:38" hidden="1" x14ac:dyDescent="0.25">
      <c r="A1034" s="2">
        <v>1355</v>
      </c>
      <c r="B1034" s="1" t="s">
        <v>1219</v>
      </c>
      <c r="C1034" s="1" t="s">
        <v>1226</v>
      </c>
      <c r="D1034" s="1" t="s">
        <v>2062</v>
      </c>
      <c r="E1034" s="1" t="s">
        <v>2063</v>
      </c>
      <c r="F1034" s="3">
        <v>45511</v>
      </c>
      <c r="G1034" s="3">
        <v>45296</v>
      </c>
      <c r="H1034" s="3">
        <v>45661</v>
      </c>
      <c r="I1034" s="1" t="s">
        <v>3390</v>
      </c>
      <c r="J1034" s="1" t="s">
        <v>3391</v>
      </c>
      <c r="K1034" s="1"/>
      <c r="L1034" s="1" t="s">
        <v>2198</v>
      </c>
      <c r="M1034" s="1" t="s">
        <v>3392</v>
      </c>
      <c r="N1034" s="1" t="s">
        <v>3393</v>
      </c>
      <c r="O1034" s="1" t="s">
        <v>3394</v>
      </c>
      <c r="P1034" s="1" t="s">
        <v>2262</v>
      </c>
      <c r="Q1034" s="1"/>
      <c r="R1034" s="1"/>
      <c r="S1034" s="1" t="s">
        <v>2072</v>
      </c>
      <c r="T1034" s="1" t="s">
        <v>3165</v>
      </c>
      <c r="U1034" s="4">
        <v>2650000</v>
      </c>
      <c r="V1034" s="4">
        <v>2786</v>
      </c>
      <c r="W1034" s="4">
        <v>28</v>
      </c>
      <c r="X1034" s="4">
        <v>418</v>
      </c>
      <c r="Y1034" s="4">
        <v>0</v>
      </c>
      <c r="Z1034" s="5">
        <v>3232</v>
      </c>
      <c r="AA1034" s="5">
        <v>0</v>
      </c>
      <c r="AB1034" s="6">
        <v>0</v>
      </c>
      <c r="AC1034" s="4">
        <v>3232</v>
      </c>
      <c r="AD1034" s="4">
        <v>0</v>
      </c>
      <c r="AE1034" s="4">
        <v>3232</v>
      </c>
      <c r="AF1034" s="1"/>
      <c r="AG1034" s="1"/>
      <c r="AH1034" s="1"/>
      <c r="AI1034" s="1" t="s">
        <v>2327</v>
      </c>
      <c r="AJ1034" s="6">
        <v>1645.4500000000021</v>
      </c>
      <c r="AK1034" s="6">
        <v>891.86</v>
      </c>
      <c r="AL1034" s="1"/>
    </row>
    <row r="1035" spans="1:38" hidden="1" x14ac:dyDescent="0.25">
      <c r="A1035" s="2">
        <v>1356</v>
      </c>
      <c r="B1035" s="1" t="s">
        <v>1219</v>
      </c>
      <c r="C1035" s="1" t="s">
        <v>1227</v>
      </c>
      <c r="D1035" s="1" t="s">
        <v>2062</v>
      </c>
      <c r="E1035" s="1" t="s">
        <v>2063</v>
      </c>
      <c r="F1035" s="3">
        <v>45541</v>
      </c>
      <c r="G1035" s="3">
        <v>45296</v>
      </c>
      <c r="H1035" s="3">
        <v>45661</v>
      </c>
      <c r="I1035" s="1" t="s">
        <v>3390</v>
      </c>
      <c r="J1035" s="1" t="s">
        <v>3391</v>
      </c>
      <c r="K1035" s="1"/>
      <c r="L1035" s="1" t="s">
        <v>2198</v>
      </c>
      <c r="M1035" s="1" t="s">
        <v>3392</v>
      </c>
      <c r="N1035" s="1" t="s">
        <v>3393</v>
      </c>
      <c r="O1035" s="1" t="s">
        <v>3394</v>
      </c>
      <c r="P1035" s="1" t="s">
        <v>2262</v>
      </c>
      <c r="Q1035" s="1"/>
      <c r="R1035" s="1"/>
      <c r="S1035" s="1" t="s">
        <v>2072</v>
      </c>
      <c r="T1035" s="1" t="s">
        <v>3165</v>
      </c>
      <c r="U1035" s="4">
        <v>2650000</v>
      </c>
      <c r="V1035" s="4">
        <v>3149</v>
      </c>
      <c r="W1035" s="4">
        <v>32</v>
      </c>
      <c r="X1035" s="4">
        <v>473</v>
      </c>
      <c r="Y1035" s="4">
        <v>0</v>
      </c>
      <c r="Z1035" s="5">
        <v>3654</v>
      </c>
      <c r="AA1035" s="5">
        <v>0</v>
      </c>
      <c r="AB1035" s="6">
        <v>0</v>
      </c>
      <c r="AC1035" s="4">
        <v>3654</v>
      </c>
      <c r="AD1035" s="4">
        <v>0</v>
      </c>
      <c r="AE1035" s="4">
        <v>3654</v>
      </c>
      <c r="AF1035" s="1"/>
      <c r="AG1035" s="1"/>
      <c r="AH1035" s="1"/>
      <c r="AI1035" s="1" t="s">
        <v>2327</v>
      </c>
      <c r="AJ1035" s="6">
        <v>1848.3100000000004</v>
      </c>
      <c r="AK1035" s="6">
        <v>1008.0400000000002</v>
      </c>
      <c r="AL1035" s="1"/>
    </row>
    <row r="1036" spans="1:38" hidden="1" x14ac:dyDescent="0.25">
      <c r="A1036" s="2">
        <v>1357</v>
      </c>
      <c r="B1036" s="1" t="s">
        <v>1219</v>
      </c>
      <c r="C1036" s="1" t="s">
        <v>1228</v>
      </c>
      <c r="D1036" s="1" t="s">
        <v>2062</v>
      </c>
      <c r="E1036" s="1" t="s">
        <v>2063</v>
      </c>
      <c r="F1036" s="3">
        <v>45574</v>
      </c>
      <c r="G1036" s="3">
        <v>45296</v>
      </c>
      <c r="H1036" s="3">
        <v>45661</v>
      </c>
      <c r="I1036" s="1" t="s">
        <v>3390</v>
      </c>
      <c r="J1036" s="1" t="s">
        <v>3391</v>
      </c>
      <c r="K1036" s="1"/>
      <c r="L1036" s="1" t="s">
        <v>2198</v>
      </c>
      <c r="M1036" s="1" t="s">
        <v>3392</v>
      </c>
      <c r="N1036" s="1" t="s">
        <v>3393</v>
      </c>
      <c r="O1036" s="1" t="s">
        <v>3394</v>
      </c>
      <c r="P1036" s="1" t="s">
        <v>2262</v>
      </c>
      <c r="Q1036" s="1"/>
      <c r="R1036" s="1"/>
      <c r="S1036" s="1" t="s">
        <v>2072</v>
      </c>
      <c r="T1036" s="1" t="s">
        <v>3165</v>
      </c>
      <c r="U1036" s="4">
        <v>2650000</v>
      </c>
      <c r="V1036" s="4">
        <v>2351</v>
      </c>
      <c r="W1036" s="4">
        <v>24</v>
      </c>
      <c r="X1036" s="4">
        <v>353</v>
      </c>
      <c r="Y1036" s="4">
        <v>0</v>
      </c>
      <c r="Z1036" s="5">
        <v>2728</v>
      </c>
      <c r="AA1036" s="5">
        <v>0</v>
      </c>
      <c r="AB1036" s="6">
        <v>0</v>
      </c>
      <c r="AC1036" s="4">
        <v>2728</v>
      </c>
      <c r="AD1036" s="4">
        <v>0</v>
      </c>
      <c r="AE1036" s="4">
        <v>2728</v>
      </c>
      <c r="AF1036" s="1"/>
      <c r="AG1036" s="1"/>
      <c r="AH1036" s="1"/>
      <c r="AI1036" s="1" t="s">
        <v>2327</v>
      </c>
      <c r="AJ1036" s="6">
        <v>1541.5100000000009</v>
      </c>
      <c r="AK1036" s="6">
        <v>752.34</v>
      </c>
      <c r="AL1036" s="1"/>
    </row>
    <row r="1037" spans="1:38" hidden="1" x14ac:dyDescent="0.25">
      <c r="A1037" s="2">
        <v>1358</v>
      </c>
      <c r="B1037" s="1" t="s">
        <v>1219</v>
      </c>
      <c r="C1037" s="1" t="s">
        <v>1229</v>
      </c>
      <c r="D1037" s="1" t="s">
        <v>2062</v>
      </c>
      <c r="E1037" s="1" t="s">
        <v>2063</v>
      </c>
      <c r="F1037" s="3">
        <v>45602</v>
      </c>
      <c r="G1037" s="3">
        <v>45296</v>
      </c>
      <c r="H1037" s="3">
        <v>45661</v>
      </c>
      <c r="I1037" s="1" t="s">
        <v>3390</v>
      </c>
      <c r="J1037" s="1" t="s">
        <v>3391</v>
      </c>
      <c r="K1037" s="1"/>
      <c r="L1037" s="1" t="s">
        <v>2198</v>
      </c>
      <c r="M1037" s="1" t="s">
        <v>3392</v>
      </c>
      <c r="N1037" s="1" t="s">
        <v>3393</v>
      </c>
      <c r="O1037" s="1" t="s">
        <v>3394</v>
      </c>
      <c r="P1037" s="1" t="s">
        <v>2262</v>
      </c>
      <c r="Q1037" s="1"/>
      <c r="R1037" s="1"/>
      <c r="S1037" s="1" t="s">
        <v>2072</v>
      </c>
      <c r="T1037" s="1" t="s">
        <v>3165</v>
      </c>
      <c r="U1037" s="4">
        <v>2650000</v>
      </c>
      <c r="V1037" s="4">
        <v>2447</v>
      </c>
      <c r="W1037" s="4">
        <v>24</v>
      </c>
      <c r="X1037" s="4">
        <v>367</v>
      </c>
      <c r="Y1037" s="4">
        <v>0</v>
      </c>
      <c r="Z1037" s="5">
        <v>2838</v>
      </c>
      <c r="AA1037" s="5">
        <v>0</v>
      </c>
      <c r="AB1037" s="6">
        <v>0</v>
      </c>
      <c r="AC1037" s="4">
        <v>2838</v>
      </c>
      <c r="AD1037" s="4">
        <v>0</v>
      </c>
      <c r="AE1037" s="4">
        <v>2838</v>
      </c>
      <c r="AF1037" s="1"/>
      <c r="AG1037" s="1"/>
      <c r="AH1037" s="1"/>
      <c r="AI1037" s="1" t="s">
        <v>2327</v>
      </c>
      <c r="AJ1037" s="6">
        <v>1377.49</v>
      </c>
      <c r="AK1037" s="6">
        <v>782.85</v>
      </c>
      <c r="AL1037" s="1"/>
    </row>
    <row r="1038" spans="1:38" hidden="1" x14ac:dyDescent="0.25">
      <c r="A1038" s="2">
        <v>1359</v>
      </c>
      <c r="B1038" s="1" t="s">
        <v>1219</v>
      </c>
      <c r="C1038" s="1" t="s">
        <v>1230</v>
      </c>
      <c r="D1038" s="1" t="s">
        <v>2062</v>
      </c>
      <c r="E1038" s="1" t="s">
        <v>2063</v>
      </c>
      <c r="F1038" s="3">
        <v>45632</v>
      </c>
      <c r="G1038" s="3">
        <v>45296</v>
      </c>
      <c r="H1038" s="3">
        <v>45661</v>
      </c>
      <c r="I1038" s="1" t="s">
        <v>3390</v>
      </c>
      <c r="J1038" s="1" t="s">
        <v>3391</v>
      </c>
      <c r="K1038" s="1"/>
      <c r="L1038" s="1" t="s">
        <v>2198</v>
      </c>
      <c r="M1038" s="1" t="s">
        <v>3392</v>
      </c>
      <c r="N1038" s="1" t="s">
        <v>3393</v>
      </c>
      <c r="O1038" s="1" t="s">
        <v>3394</v>
      </c>
      <c r="P1038" s="1" t="s">
        <v>2262</v>
      </c>
      <c r="Q1038" s="1"/>
      <c r="R1038" s="1"/>
      <c r="S1038" s="1" t="s">
        <v>2072</v>
      </c>
      <c r="T1038" s="1" t="s">
        <v>3165</v>
      </c>
      <c r="U1038" s="4">
        <v>2650000</v>
      </c>
      <c r="V1038" s="4">
        <v>3194</v>
      </c>
      <c r="W1038" s="4">
        <v>32</v>
      </c>
      <c r="X1038" s="4">
        <v>479</v>
      </c>
      <c r="Y1038" s="4">
        <v>0</v>
      </c>
      <c r="Z1038" s="5">
        <v>3705</v>
      </c>
      <c r="AA1038" s="5">
        <v>0</v>
      </c>
      <c r="AB1038" s="6">
        <v>0</v>
      </c>
      <c r="AC1038" s="4">
        <v>3705</v>
      </c>
      <c r="AD1038" s="4">
        <v>0</v>
      </c>
      <c r="AE1038" s="4">
        <v>3705</v>
      </c>
      <c r="AF1038" s="1"/>
      <c r="AG1038" s="1"/>
      <c r="AH1038" s="1"/>
      <c r="AI1038" s="1" t="s">
        <v>2327</v>
      </c>
      <c r="AJ1038" s="6">
        <v>1744.9899999999991</v>
      </c>
      <c r="AK1038" s="6">
        <v>1021.7900000000002</v>
      </c>
      <c r="AL1038" s="1"/>
    </row>
    <row r="1039" spans="1:38" hidden="1" x14ac:dyDescent="0.25">
      <c r="A1039" s="2">
        <v>1360</v>
      </c>
      <c r="B1039" s="1" t="s">
        <v>1219</v>
      </c>
      <c r="C1039" s="1" t="s">
        <v>1231</v>
      </c>
      <c r="D1039" s="1" t="s">
        <v>2062</v>
      </c>
      <c r="E1039" s="1" t="s">
        <v>2063</v>
      </c>
      <c r="F1039" s="3">
        <v>45655</v>
      </c>
      <c r="G1039" s="3">
        <v>45296</v>
      </c>
      <c r="H1039" s="3">
        <v>45661</v>
      </c>
      <c r="I1039" s="1" t="s">
        <v>3390</v>
      </c>
      <c r="J1039" s="1" t="s">
        <v>3391</v>
      </c>
      <c r="K1039" s="1"/>
      <c r="L1039" s="1" t="s">
        <v>2198</v>
      </c>
      <c r="M1039" s="1" t="s">
        <v>3392</v>
      </c>
      <c r="N1039" s="1" t="s">
        <v>3393</v>
      </c>
      <c r="O1039" s="1" t="s">
        <v>3394</v>
      </c>
      <c r="P1039" s="1" t="s">
        <v>2262</v>
      </c>
      <c r="Q1039" s="1"/>
      <c r="R1039" s="1"/>
      <c r="S1039" s="1" t="s">
        <v>2072</v>
      </c>
      <c r="T1039" s="1" t="s">
        <v>3165</v>
      </c>
      <c r="U1039" s="4">
        <v>-1</v>
      </c>
      <c r="V1039" s="4">
        <v>-39408</v>
      </c>
      <c r="W1039" s="4">
        <v>-394</v>
      </c>
      <c r="X1039" s="4">
        <v>0</v>
      </c>
      <c r="Y1039" s="4">
        <v>0</v>
      </c>
      <c r="Z1039" s="5">
        <v>-39802</v>
      </c>
      <c r="AA1039" s="5">
        <v>0</v>
      </c>
      <c r="AB1039" s="6">
        <v>0</v>
      </c>
      <c r="AC1039" s="4">
        <v>-39802</v>
      </c>
      <c r="AD1039" s="4">
        <v>0</v>
      </c>
      <c r="AE1039" s="4">
        <v>-39802</v>
      </c>
      <c r="AF1039" s="1"/>
      <c r="AG1039" s="1"/>
      <c r="AH1039" s="1"/>
      <c r="AI1039" s="1" t="s">
        <v>2327</v>
      </c>
      <c r="AJ1039" s="1"/>
      <c r="AK1039" s="1"/>
      <c r="AL1039" s="1"/>
    </row>
    <row r="1040" spans="1:38" hidden="1" x14ac:dyDescent="0.25">
      <c r="A1040" s="2">
        <v>1361</v>
      </c>
      <c r="B1040" s="1" t="s">
        <v>1232</v>
      </c>
      <c r="C1040" s="1" t="s">
        <v>1233</v>
      </c>
      <c r="D1040" s="1" t="s">
        <v>2062</v>
      </c>
      <c r="E1040" s="1" t="s">
        <v>2063</v>
      </c>
      <c r="F1040" s="3">
        <v>45329</v>
      </c>
      <c r="G1040" s="3">
        <v>45296</v>
      </c>
      <c r="H1040" s="3">
        <v>45661</v>
      </c>
      <c r="I1040" s="1" t="s">
        <v>3390</v>
      </c>
      <c r="J1040" s="1" t="s">
        <v>3391</v>
      </c>
      <c r="K1040" s="1"/>
      <c r="L1040" s="1" t="s">
        <v>2283</v>
      </c>
      <c r="M1040" s="1" t="s">
        <v>3395</v>
      </c>
      <c r="N1040" s="1" t="s">
        <v>3396</v>
      </c>
      <c r="O1040" s="1" t="s">
        <v>3397</v>
      </c>
      <c r="P1040" s="1" t="s">
        <v>2070</v>
      </c>
      <c r="Q1040" s="1"/>
      <c r="R1040" s="1"/>
      <c r="S1040" s="1" t="s">
        <v>2072</v>
      </c>
      <c r="T1040" s="1" t="s">
        <v>3165</v>
      </c>
      <c r="U1040" s="4">
        <v>2200000</v>
      </c>
      <c r="V1040" s="4">
        <v>644</v>
      </c>
      <c r="W1040" s="4">
        <v>7</v>
      </c>
      <c r="X1040" s="4">
        <v>84</v>
      </c>
      <c r="Y1040" s="4">
        <v>0</v>
      </c>
      <c r="Z1040" s="5">
        <v>735</v>
      </c>
      <c r="AA1040" s="5">
        <v>0</v>
      </c>
      <c r="AB1040" s="6">
        <v>0</v>
      </c>
      <c r="AC1040" s="4">
        <v>735</v>
      </c>
      <c r="AD1040" s="4">
        <v>0</v>
      </c>
      <c r="AE1040" s="4">
        <v>735</v>
      </c>
      <c r="AF1040" s="1"/>
      <c r="AG1040" s="1"/>
      <c r="AH1040" s="1"/>
      <c r="AI1040" s="1" t="s">
        <v>2327</v>
      </c>
      <c r="AJ1040" s="6">
        <v>269.57</v>
      </c>
      <c r="AK1040" s="6">
        <v>243.59</v>
      </c>
      <c r="AL1040" s="1"/>
    </row>
    <row r="1041" spans="1:38" hidden="1" x14ac:dyDescent="0.25">
      <c r="A1041" s="2">
        <v>1362</v>
      </c>
      <c r="B1041" s="1" t="s">
        <v>1232</v>
      </c>
      <c r="C1041" s="1" t="s">
        <v>1234</v>
      </c>
      <c r="D1041" s="1" t="s">
        <v>2062</v>
      </c>
      <c r="E1041" s="1" t="s">
        <v>2063</v>
      </c>
      <c r="F1041" s="3">
        <v>45356</v>
      </c>
      <c r="G1041" s="3">
        <v>45296</v>
      </c>
      <c r="H1041" s="3">
        <v>45661</v>
      </c>
      <c r="I1041" s="1" t="s">
        <v>3390</v>
      </c>
      <c r="J1041" s="1" t="s">
        <v>3391</v>
      </c>
      <c r="K1041" s="1"/>
      <c r="L1041" s="1" t="s">
        <v>2283</v>
      </c>
      <c r="M1041" s="1" t="s">
        <v>3395</v>
      </c>
      <c r="N1041" s="1" t="s">
        <v>3396</v>
      </c>
      <c r="O1041" s="1" t="s">
        <v>3397</v>
      </c>
      <c r="P1041" s="1" t="s">
        <v>2070</v>
      </c>
      <c r="Q1041" s="1"/>
      <c r="R1041" s="1"/>
      <c r="S1041" s="1" t="s">
        <v>2072</v>
      </c>
      <c r="T1041" s="1" t="s">
        <v>3165</v>
      </c>
      <c r="U1041" s="4">
        <v>2200000</v>
      </c>
      <c r="V1041" s="4">
        <v>187</v>
      </c>
      <c r="W1041" s="4">
        <v>2</v>
      </c>
      <c r="X1041" s="4">
        <v>25</v>
      </c>
      <c r="Y1041" s="4">
        <v>0</v>
      </c>
      <c r="Z1041" s="5">
        <v>214</v>
      </c>
      <c r="AA1041" s="5">
        <v>0</v>
      </c>
      <c r="AB1041" s="6">
        <v>0</v>
      </c>
      <c r="AC1041" s="4">
        <v>214</v>
      </c>
      <c r="AD1041" s="4">
        <v>0</v>
      </c>
      <c r="AE1041" s="4">
        <v>214</v>
      </c>
      <c r="AF1041" s="1"/>
      <c r="AG1041" s="1"/>
      <c r="AH1041" s="1"/>
      <c r="AI1041" s="1" t="s">
        <v>2327</v>
      </c>
      <c r="AJ1041" s="6">
        <v>70.499999999999986</v>
      </c>
      <c r="AK1041" s="6">
        <v>70.499999999999986</v>
      </c>
      <c r="AL1041" s="1"/>
    </row>
    <row r="1042" spans="1:38" hidden="1" x14ac:dyDescent="0.25">
      <c r="A1042" s="2">
        <v>1363</v>
      </c>
      <c r="B1042" s="1" t="s">
        <v>1232</v>
      </c>
      <c r="C1042" s="1" t="s">
        <v>1235</v>
      </c>
      <c r="D1042" s="1" t="s">
        <v>2062</v>
      </c>
      <c r="E1042" s="1" t="s">
        <v>2063</v>
      </c>
      <c r="F1042" s="3">
        <v>45387</v>
      </c>
      <c r="G1042" s="3">
        <v>45296</v>
      </c>
      <c r="H1042" s="3">
        <v>45661</v>
      </c>
      <c r="I1042" s="1" t="s">
        <v>3390</v>
      </c>
      <c r="J1042" s="1" t="s">
        <v>3391</v>
      </c>
      <c r="K1042" s="1"/>
      <c r="L1042" s="1" t="s">
        <v>2283</v>
      </c>
      <c r="M1042" s="1" t="s">
        <v>3395</v>
      </c>
      <c r="N1042" s="1" t="s">
        <v>3396</v>
      </c>
      <c r="O1042" s="1" t="s">
        <v>3397</v>
      </c>
      <c r="P1042" s="1" t="s">
        <v>2070</v>
      </c>
      <c r="Q1042" s="1"/>
      <c r="R1042" s="1"/>
      <c r="S1042" s="1" t="s">
        <v>2072</v>
      </c>
      <c r="T1042" s="1" t="s">
        <v>3165</v>
      </c>
      <c r="U1042" s="4">
        <v>2200000</v>
      </c>
      <c r="V1042" s="4">
        <v>502</v>
      </c>
      <c r="W1042" s="4">
        <v>5</v>
      </c>
      <c r="X1042" s="4">
        <v>65</v>
      </c>
      <c r="Y1042" s="4">
        <v>0</v>
      </c>
      <c r="Z1042" s="5">
        <v>572</v>
      </c>
      <c r="AA1042" s="5">
        <v>0</v>
      </c>
      <c r="AB1042" s="6">
        <v>0</v>
      </c>
      <c r="AC1042" s="4">
        <v>572</v>
      </c>
      <c r="AD1042" s="4">
        <v>0</v>
      </c>
      <c r="AE1042" s="4">
        <v>572</v>
      </c>
      <c r="AF1042" s="1"/>
      <c r="AG1042" s="1"/>
      <c r="AH1042" s="1"/>
      <c r="AI1042" s="1" t="s">
        <v>2327</v>
      </c>
      <c r="AJ1042" s="6">
        <v>942.48999999999899</v>
      </c>
      <c r="AK1042" s="6">
        <v>189.49</v>
      </c>
      <c r="AL1042" s="1"/>
    </row>
    <row r="1043" spans="1:38" hidden="1" x14ac:dyDescent="0.25">
      <c r="A1043" s="2">
        <v>1364</v>
      </c>
      <c r="B1043" s="1" t="s">
        <v>1232</v>
      </c>
      <c r="C1043" s="1" t="s">
        <v>1236</v>
      </c>
      <c r="D1043" s="1" t="s">
        <v>2062</v>
      </c>
      <c r="E1043" s="1" t="s">
        <v>2063</v>
      </c>
      <c r="F1043" s="3">
        <v>45425</v>
      </c>
      <c r="G1043" s="3">
        <v>45296</v>
      </c>
      <c r="H1043" s="3">
        <v>45661</v>
      </c>
      <c r="I1043" s="1" t="s">
        <v>3390</v>
      </c>
      <c r="J1043" s="1" t="s">
        <v>3391</v>
      </c>
      <c r="K1043" s="1"/>
      <c r="L1043" s="1" t="s">
        <v>2283</v>
      </c>
      <c r="M1043" s="1" t="s">
        <v>3395</v>
      </c>
      <c r="N1043" s="1" t="s">
        <v>3396</v>
      </c>
      <c r="O1043" s="1" t="s">
        <v>3397</v>
      </c>
      <c r="P1043" s="1" t="s">
        <v>2070</v>
      </c>
      <c r="Q1043" s="1"/>
      <c r="R1043" s="1"/>
      <c r="S1043" s="1" t="s">
        <v>2072</v>
      </c>
      <c r="T1043" s="1" t="s">
        <v>3165</v>
      </c>
      <c r="U1043" s="4">
        <v>2200000</v>
      </c>
      <c r="V1043" s="4">
        <v>672</v>
      </c>
      <c r="W1043" s="4">
        <v>6</v>
      </c>
      <c r="X1043" s="4">
        <v>87</v>
      </c>
      <c r="Y1043" s="4">
        <v>0</v>
      </c>
      <c r="Z1043" s="5">
        <v>765</v>
      </c>
      <c r="AA1043" s="5">
        <v>0</v>
      </c>
      <c r="AB1043" s="6">
        <v>0</v>
      </c>
      <c r="AC1043" s="4">
        <v>765</v>
      </c>
      <c r="AD1043" s="4">
        <v>0</v>
      </c>
      <c r="AE1043" s="4">
        <v>765</v>
      </c>
      <c r="AF1043" s="1"/>
      <c r="AG1043" s="1"/>
      <c r="AH1043" s="1"/>
      <c r="AI1043" s="1" t="s">
        <v>2327</v>
      </c>
      <c r="AJ1043" s="6">
        <v>653.02</v>
      </c>
      <c r="AK1043" s="6">
        <v>253.76000000000005</v>
      </c>
      <c r="AL1043" s="1"/>
    </row>
    <row r="1044" spans="1:38" hidden="1" x14ac:dyDescent="0.25">
      <c r="A1044" s="2">
        <v>1365</v>
      </c>
      <c r="B1044" s="1" t="s">
        <v>1232</v>
      </c>
      <c r="C1044" s="1" t="s">
        <v>1237</v>
      </c>
      <c r="D1044" s="1" t="s">
        <v>2062</v>
      </c>
      <c r="E1044" s="1" t="s">
        <v>2063</v>
      </c>
      <c r="F1044" s="3">
        <v>45478</v>
      </c>
      <c r="G1044" s="3">
        <v>45296</v>
      </c>
      <c r="H1044" s="3">
        <v>45661</v>
      </c>
      <c r="I1044" s="1" t="s">
        <v>3390</v>
      </c>
      <c r="J1044" s="1" t="s">
        <v>3391</v>
      </c>
      <c r="K1044" s="1"/>
      <c r="L1044" s="1" t="s">
        <v>2283</v>
      </c>
      <c r="M1044" s="1" t="s">
        <v>3395</v>
      </c>
      <c r="N1044" s="1" t="s">
        <v>3396</v>
      </c>
      <c r="O1044" s="1" t="s">
        <v>3397</v>
      </c>
      <c r="P1044" s="1" t="s">
        <v>2070</v>
      </c>
      <c r="Q1044" s="1"/>
      <c r="R1044" s="1"/>
      <c r="S1044" s="1" t="s">
        <v>2072</v>
      </c>
      <c r="T1044" s="1" t="s">
        <v>3165</v>
      </c>
      <c r="U1044" s="4">
        <v>2200000</v>
      </c>
      <c r="V1044" s="4">
        <v>826</v>
      </c>
      <c r="W1044" s="4">
        <v>8</v>
      </c>
      <c r="X1044" s="4">
        <v>124</v>
      </c>
      <c r="Y1044" s="4">
        <v>0</v>
      </c>
      <c r="Z1044" s="5">
        <v>958</v>
      </c>
      <c r="AA1044" s="5">
        <v>0</v>
      </c>
      <c r="AB1044" s="6">
        <v>0</v>
      </c>
      <c r="AC1044" s="4">
        <v>958</v>
      </c>
      <c r="AD1044" s="4">
        <v>0</v>
      </c>
      <c r="AE1044" s="4">
        <v>958</v>
      </c>
      <c r="AF1044" s="1"/>
      <c r="AG1044" s="1"/>
      <c r="AH1044" s="1"/>
      <c r="AI1044" s="1" t="s">
        <v>2327</v>
      </c>
      <c r="AJ1044" s="6">
        <v>377</v>
      </c>
      <c r="AK1044" s="6">
        <v>317.30000000000007</v>
      </c>
      <c r="AL1044" s="1"/>
    </row>
    <row r="1045" spans="1:38" hidden="1" x14ac:dyDescent="0.25">
      <c r="A1045" s="2">
        <v>1366</v>
      </c>
      <c r="B1045" s="1" t="s">
        <v>1232</v>
      </c>
      <c r="C1045" s="1" t="s">
        <v>1238</v>
      </c>
      <c r="D1045" s="1" t="s">
        <v>2062</v>
      </c>
      <c r="E1045" s="1" t="s">
        <v>2063</v>
      </c>
      <c r="F1045" s="3">
        <v>45511</v>
      </c>
      <c r="G1045" s="3">
        <v>45296</v>
      </c>
      <c r="H1045" s="3">
        <v>45661</v>
      </c>
      <c r="I1045" s="1" t="s">
        <v>3390</v>
      </c>
      <c r="J1045" s="1" t="s">
        <v>3391</v>
      </c>
      <c r="K1045" s="1"/>
      <c r="L1045" s="1" t="s">
        <v>2283</v>
      </c>
      <c r="M1045" s="1" t="s">
        <v>3395</v>
      </c>
      <c r="N1045" s="1" t="s">
        <v>3396</v>
      </c>
      <c r="O1045" s="1" t="s">
        <v>3397</v>
      </c>
      <c r="P1045" s="1" t="s">
        <v>2070</v>
      </c>
      <c r="Q1045" s="1"/>
      <c r="R1045" s="1"/>
      <c r="S1045" s="1" t="s">
        <v>2072</v>
      </c>
      <c r="T1045" s="1" t="s">
        <v>3165</v>
      </c>
      <c r="U1045" s="4">
        <v>2200000</v>
      </c>
      <c r="V1045" s="4">
        <v>1290</v>
      </c>
      <c r="W1045" s="4">
        <v>13</v>
      </c>
      <c r="X1045" s="4">
        <v>194</v>
      </c>
      <c r="Y1045" s="4">
        <v>0</v>
      </c>
      <c r="Z1045" s="5">
        <v>1497</v>
      </c>
      <c r="AA1045" s="5">
        <v>0</v>
      </c>
      <c r="AB1045" s="6">
        <v>0</v>
      </c>
      <c r="AC1045" s="4">
        <v>1497</v>
      </c>
      <c r="AD1045" s="4">
        <v>0</v>
      </c>
      <c r="AE1045" s="4">
        <v>1497</v>
      </c>
      <c r="AF1045" s="1"/>
      <c r="AG1045" s="1"/>
      <c r="AH1045" s="1"/>
      <c r="AI1045" s="1" t="s">
        <v>2327</v>
      </c>
      <c r="AJ1045" s="6">
        <v>1242.99</v>
      </c>
      <c r="AK1045" s="6">
        <v>496.32</v>
      </c>
      <c r="AL1045" s="1"/>
    </row>
    <row r="1046" spans="1:38" hidden="1" x14ac:dyDescent="0.25">
      <c r="A1046" s="2">
        <v>1367</v>
      </c>
      <c r="B1046" s="1" t="s">
        <v>1232</v>
      </c>
      <c r="C1046" s="1" t="s">
        <v>1239</v>
      </c>
      <c r="D1046" s="1" t="s">
        <v>2062</v>
      </c>
      <c r="E1046" s="1" t="s">
        <v>2063</v>
      </c>
      <c r="F1046" s="3">
        <v>45541</v>
      </c>
      <c r="G1046" s="3">
        <v>45296</v>
      </c>
      <c r="H1046" s="3">
        <v>45661</v>
      </c>
      <c r="I1046" s="1" t="s">
        <v>3390</v>
      </c>
      <c r="J1046" s="1" t="s">
        <v>3391</v>
      </c>
      <c r="K1046" s="1"/>
      <c r="L1046" s="1" t="s">
        <v>2283</v>
      </c>
      <c r="M1046" s="1" t="s">
        <v>3395</v>
      </c>
      <c r="N1046" s="1" t="s">
        <v>3396</v>
      </c>
      <c r="O1046" s="1" t="s">
        <v>3397</v>
      </c>
      <c r="P1046" s="1" t="s">
        <v>2070</v>
      </c>
      <c r="Q1046" s="1"/>
      <c r="R1046" s="1"/>
      <c r="S1046" s="1" t="s">
        <v>2072</v>
      </c>
      <c r="T1046" s="1" t="s">
        <v>3165</v>
      </c>
      <c r="U1046" s="4">
        <v>2200000</v>
      </c>
      <c r="V1046" s="4">
        <v>48</v>
      </c>
      <c r="W1046" s="4">
        <v>0</v>
      </c>
      <c r="X1046" s="4">
        <v>7</v>
      </c>
      <c r="Y1046" s="4">
        <v>0</v>
      </c>
      <c r="Z1046" s="5">
        <v>55</v>
      </c>
      <c r="AA1046" s="5">
        <v>0</v>
      </c>
      <c r="AB1046" s="6">
        <v>0</v>
      </c>
      <c r="AC1046" s="4">
        <v>55</v>
      </c>
      <c r="AD1046" s="4">
        <v>0</v>
      </c>
      <c r="AE1046" s="4">
        <v>55</v>
      </c>
      <c r="AF1046" s="1"/>
      <c r="AG1046" s="1"/>
      <c r="AH1046" s="1"/>
      <c r="AI1046" s="1" t="s">
        <v>2327</v>
      </c>
      <c r="AJ1046" s="6">
        <v>18.09</v>
      </c>
      <c r="AK1046" s="6">
        <v>18.09</v>
      </c>
      <c r="AL1046" s="1"/>
    </row>
    <row r="1047" spans="1:38" hidden="1" x14ac:dyDescent="0.25">
      <c r="A1047" s="2">
        <v>1368</v>
      </c>
      <c r="B1047" s="1" t="s">
        <v>1232</v>
      </c>
      <c r="C1047" s="1" t="s">
        <v>1240</v>
      </c>
      <c r="D1047" s="1" t="s">
        <v>2062</v>
      </c>
      <c r="E1047" s="1" t="s">
        <v>2063</v>
      </c>
      <c r="F1047" s="3">
        <v>45574</v>
      </c>
      <c r="G1047" s="3">
        <v>45296</v>
      </c>
      <c r="H1047" s="3">
        <v>45661</v>
      </c>
      <c r="I1047" s="1" t="s">
        <v>3390</v>
      </c>
      <c r="J1047" s="1" t="s">
        <v>3391</v>
      </c>
      <c r="K1047" s="1"/>
      <c r="L1047" s="1" t="s">
        <v>2283</v>
      </c>
      <c r="M1047" s="1" t="s">
        <v>3395</v>
      </c>
      <c r="N1047" s="1" t="s">
        <v>3396</v>
      </c>
      <c r="O1047" s="1" t="s">
        <v>3397</v>
      </c>
      <c r="P1047" s="1" t="s">
        <v>2070</v>
      </c>
      <c r="Q1047" s="1"/>
      <c r="R1047" s="1"/>
      <c r="S1047" s="1" t="s">
        <v>2072</v>
      </c>
      <c r="T1047" s="1" t="s">
        <v>3165</v>
      </c>
      <c r="U1047" s="4">
        <v>2200000</v>
      </c>
      <c r="V1047" s="4">
        <v>92</v>
      </c>
      <c r="W1047" s="4">
        <v>1</v>
      </c>
      <c r="X1047" s="4">
        <v>14</v>
      </c>
      <c r="Y1047" s="4">
        <v>0</v>
      </c>
      <c r="Z1047" s="5">
        <v>107</v>
      </c>
      <c r="AA1047" s="5">
        <v>0</v>
      </c>
      <c r="AB1047" s="6">
        <v>0</v>
      </c>
      <c r="AC1047" s="4">
        <v>107</v>
      </c>
      <c r="AD1047" s="4">
        <v>0</v>
      </c>
      <c r="AE1047" s="4">
        <v>107</v>
      </c>
      <c r="AF1047" s="1"/>
      <c r="AG1047" s="1"/>
      <c r="AH1047" s="1"/>
      <c r="AI1047" s="1" t="s">
        <v>2327</v>
      </c>
      <c r="AJ1047" s="6">
        <v>35.659999999999982</v>
      </c>
      <c r="AK1047" s="6">
        <v>35.659999999999982</v>
      </c>
      <c r="AL1047" s="1"/>
    </row>
    <row r="1048" spans="1:38" hidden="1" x14ac:dyDescent="0.25">
      <c r="A1048" s="2">
        <v>1369</v>
      </c>
      <c r="B1048" s="1" t="s">
        <v>1232</v>
      </c>
      <c r="C1048" s="1" t="s">
        <v>1241</v>
      </c>
      <c r="D1048" s="1" t="s">
        <v>2062</v>
      </c>
      <c r="E1048" s="1" t="s">
        <v>2063</v>
      </c>
      <c r="F1048" s="3">
        <v>45636</v>
      </c>
      <c r="G1048" s="3">
        <v>45296</v>
      </c>
      <c r="H1048" s="3">
        <v>45661</v>
      </c>
      <c r="I1048" s="1" t="s">
        <v>3390</v>
      </c>
      <c r="J1048" s="1" t="s">
        <v>3391</v>
      </c>
      <c r="K1048" s="1"/>
      <c r="L1048" s="1" t="s">
        <v>2283</v>
      </c>
      <c r="M1048" s="1" t="s">
        <v>3395</v>
      </c>
      <c r="N1048" s="1" t="s">
        <v>3396</v>
      </c>
      <c r="O1048" s="1" t="s">
        <v>3397</v>
      </c>
      <c r="P1048" s="1" t="s">
        <v>2070</v>
      </c>
      <c r="Q1048" s="1"/>
      <c r="R1048" s="1"/>
      <c r="S1048" s="1" t="s">
        <v>2072</v>
      </c>
      <c r="T1048" s="1" t="s">
        <v>3165</v>
      </c>
      <c r="U1048" s="4">
        <v>2200000</v>
      </c>
      <c r="V1048" s="4">
        <v>18</v>
      </c>
      <c r="W1048" s="4">
        <v>0</v>
      </c>
      <c r="X1048" s="4">
        <v>3</v>
      </c>
      <c r="Y1048" s="4">
        <v>0</v>
      </c>
      <c r="Z1048" s="5">
        <v>21</v>
      </c>
      <c r="AA1048" s="5">
        <v>0</v>
      </c>
      <c r="AB1048" s="6">
        <v>0</v>
      </c>
      <c r="AC1048" s="4">
        <v>21</v>
      </c>
      <c r="AD1048" s="4">
        <v>0</v>
      </c>
      <c r="AE1048" s="4">
        <v>21</v>
      </c>
      <c r="AF1048" s="1"/>
      <c r="AG1048" s="1"/>
      <c r="AH1048" s="1"/>
      <c r="AI1048" s="1" t="s">
        <v>2327</v>
      </c>
      <c r="AJ1048" s="6">
        <v>6.78</v>
      </c>
      <c r="AK1048" s="6">
        <v>6.78</v>
      </c>
      <c r="AL1048" s="1"/>
    </row>
    <row r="1049" spans="1:38" hidden="1" x14ac:dyDescent="0.25">
      <c r="A1049" s="2">
        <v>1370</v>
      </c>
      <c r="B1049" s="1" t="s">
        <v>1232</v>
      </c>
      <c r="C1049" s="1" t="s">
        <v>1242</v>
      </c>
      <c r="D1049" s="1" t="s">
        <v>2062</v>
      </c>
      <c r="E1049" s="1" t="s">
        <v>2063</v>
      </c>
      <c r="F1049" s="3">
        <v>45655</v>
      </c>
      <c r="G1049" s="3">
        <v>45296</v>
      </c>
      <c r="H1049" s="3">
        <v>45661</v>
      </c>
      <c r="I1049" s="1" t="s">
        <v>3390</v>
      </c>
      <c r="J1049" s="1" t="s">
        <v>3391</v>
      </c>
      <c r="K1049" s="1"/>
      <c r="L1049" s="1" t="s">
        <v>2283</v>
      </c>
      <c r="M1049" s="1" t="s">
        <v>3395</v>
      </c>
      <c r="N1049" s="1" t="s">
        <v>3396</v>
      </c>
      <c r="O1049" s="1" t="s">
        <v>3397</v>
      </c>
      <c r="P1049" s="1" t="s">
        <v>2070</v>
      </c>
      <c r="Q1049" s="1"/>
      <c r="R1049" s="1"/>
      <c r="S1049" s="1" t="s">
        <v>2072</v>
      </c>
      <c r="T1049" s="1" t="s">
        <v>3165</v>
      </c>
      <c r="U1049" s="4">
        <v>-1</v>
      </c>
      <c r="V1049" s="4">
        <v>-4875</v>
      </c>
      <c r="W1049" s="4">
        <v>-49</v>
      </c>
      <c r="X1049" s="4">
        <v>0</v>
      </c>
      <c r="Y1049" s="4">
        <v>0</v>
      </c>
      <c r="Z1049" s="5">
        <v>-4924</v>
      </c>
      <c r="AA1049" s="5">
        <v>0</v>
      </c>
      <c r="AB1049" s="6">
        <v>0</v>
      </c>
      <c r="AC1049" s="4">
        <v>-4924</v>
      </c>
      <c r="AD1049" s="4">
        <v>0</v>
      </c>
      <c r="AE1049" s="4">
        <v>-4924</v>
      </c>
      <c r="AF1049" s="1"/>
      <c r="AG1049" s="1"/>
      <c r="AH1049" s="1"/>
      <c r="AI1049" s="1" t="s">
        <v>2327</v>
      </c>
      <c r="AJ1049" s="1"/>
      <c r="AK1049" s="1"/>
      <c r="AL1049" s="1"/>
    </row>
    <row r="1050" spans="1:38" x14ac:dyDescent="0.25">
      <c r="A1050" s="2">
        <v>1371</v>
      </c>
      <c r="B1050" s="1" t="s">
        <v>1243</v>
      </c>
      <c r="C1050" s="1"/>
      <c r="D1050" s="1" t="s">
        <v>2062</v>
      </c>
      <c r="E1050" s="1" t="s">
        <v>2063</v>
      </c>
      <c r="F1050" s="3">
        <v>45296</v>
      </c>
      <c r="G1050" s="3">
        <v>45295</v>
      </c>
      <c r="H1050" s="3">
        <v>45660</v>
      </c>
      <c r="I1050" s="1" t="s">
        <v>3398</v>
      </c>
      <c r="J1050" s="1" t="s">
        <v>3399</v>
      </c>
      <c r="K1050" s="1"/>
      <c r="L1050" s="1" t="s">
        <v>2315</v>
      </c>
      <c r="M1050" s="1" t="s">
        <v>3400</v>
      </c>
      <c r="N1050" s="1" t="s">
        <v>3401</v>
      </c>
      <c r="O1050" s="1" t="s">
        <v>3402</v>
      </c>
      <c r="P1050" s="1" t="s">
        <v>2231</v>
      </c>
      <c r="Q1050" s="1"/>
      <c r="R1050" s="1"/>
      <c r="S1050" s="1" t="s">
        <v>2072</v>
      </c>
      <c r="T1050" s="1" t="s">
        <v>3165</v>
      </c>
      <c r="U1050" s="4">
        <v>5000000</v>
      </c>
      <c r="V1050" s="4">
        <v>4343</v>
      </c>
      <c r="W1050" s="4">
        <v>43</v>
      </c>
      <c r="X1050" s="4">
        <v>564</v>
      </c>
      <c r="Y1050" s="4">
        <v>50</v>
      </c>
      <c r="Z1050" s="5">
        <v>5000</v>
      </c>
      <c r="AA1050" s="5">
        <v>5079</v>
      </c>
      <c r="AB1050" s="6">
        <v>0</v>
      </c>
      <c r="AC1050" s="4">
        <v>-79</v>
      </c>
      <c r="AD1050" s="4">
        <v>0</v>
      </c>
      <c r="AE1050" s="4">
        <v>-79</v>
      </c>
      <c r="AF1050" s="1"/>
      <c r="AG1050" s="1"/>
      <c r="AH1050" s="1"/>
      <c r="AI1050" s="1" t="s">
        <v>3057</v>
      </c>
      <c r="AJ1050" s="1"/>
      <c r="AK1050" s="1"/>
      <c r="AL1050" s="1" t="s">
        <v>3403</v>
      </c>
    </row>
    <row r="1051" spans="1:38" hidden="1" x14ac:dyDescent="0.25">
      <c r="A1051" s="2">
        <v>1372</v>
      </c>
      <c r="B1051" s="1" t="s">
        <v>1243</v>
      </c>
      <c r="C1051" s="1" t="s">
        <v>1244</v>
      </c>
      <c r="D1051" s="1" t="s">
        <v>2062</v>
      </c>
      <c r="E1051" s="1" t="s">
        <v>2063</v>
      </c>
      <c r="F1051" s="3">
        <v>45631</v>
      </c>
      <c r="G1051" s="3">
        <v>45295</v>
      </c>
      <c r="H1051" s="3">
        <v>45660</v>
      </c>
      <c r="I1051" s="1" t="s">
        <v>3398</v>
      </c>
      <c r="J1051" s="1" t="s">
        <v>3399</v>
      </c>
      <c r="K1051" s="1"/>
      <c r="L1051" s="1" t="s">
        <v>2315</v>
      </c>
      <c r="M1051" s="1" t="s">
        <v>3400</v>
      </c>
      <c r="N1051" s="1" t="s">
        <v>3401</v>
      </c>
      <c r="O1051" s="1" t="s">
        <v>3402</v>
      </c>
      <c r="P1051" s="1" t="s">
        <v>2231</v>
      </c>
      <c r="Q1051" s="1"/>
      <c r="R1051" s="1"/>
      <c r="S1051" s="1" t="s">
        <v>2072</v>
      </c>
      <c r="T1051" s="1" t="s">
        <v>3165</v>
      </c>
      <c r="U1051" s="4">
        <v>5000000</v>
      </c>
      <c r="V1051" s="4">
        <v>265</v>
      </c>
      <c r="W1051" s="4">
        <v>3</v>
      </c>
      <c r="X1051" s="4">
        <v>40</v>
      </c>
      <c r="Y1051" s="4">
        <v>0</v>
      </c>
      <c r="Z1051" s="5">
        <v>308</v>
      </c>
      <c r="AA1051" s="5">
        <v>229</v>
      </c>
      <c r="AB1051" s="6">
        <v>0</v>
      </c>
      <c r="AC1051" s="4">
        <v>79</v>
      </c>
      <c r="AD1051" s="4">
        <v>0</v>
      </c>
      <c r="AE1051" s="4">
        <v>79</v>
      </c>
      <c r="AF1051" s="1"/>
      <c r="AG1051" s="1"/>
      <c r="AH1051" s="1"/>
      <c r="AI1051" s="1" t="s">
        <v>3057</v>
      </c>
      <c r="AJ1051" s="6">
        <v>212.36</v>
      </c>
      <c r="AK1051" s="6">
        <v>45</v>
      </c>
      <c r="AL1051" s="1"/>
    </row>
    <row r="1052" spans="1:38" hidden="1" x14ac:dyDescent="0.25">
      <c r="A1052" s="2">
        <v>1373</v>
      </c>
      <c r="B1052" s="1" t="s">
        <v>1245</v>
      </c>
      <c r="C1052" s="1" t="s">
        <v>1246</v>
      </c>
      <c r="D1052" s="1" t="s">
        <v>2062</v>
      </c>
      <c r="E1052" s="1" t="s">
        <v>2063</v>
      </c>
      <c r="F1052" s="3">
        <v>45574</v>
      </c>
      <c r="G1052" s="3">
        <v>45296</v>
      </c>
      <c r="H1052" s="3">
        <v>45661</v>
      </c>
      <c r="I1052" s="1" t="s">
        <v>3404</v>
      </c>
      <c r="J1052" s="1" t="s">
        <v>3405</v>
      </c>
      <c r="K1052" s="1"/>
      <c r="L1052" s="1" t="s">
        <v>2198</v>
      </c>
      <c r="M1052" s="1" t="s">
        <v>3406</v>
      </c>
      <c r="N1052" s="1" t="s">
        <v>3407</v>
      </c>
      <c r="O1052" s="1" t="s">
        <v>3408</v>
      </c>
      <c r="P1052" s="1" t="s">
        <v>3409</v>
      </c>
      <c r="Q1052" s="1"/>
      <c r="R1052" s="1"/>
      <c r="S1052" s="1" t="s">
        <v>2072</v>
      </c>
      <c r="T1052" s="1" t="s">
        <v>3165</v>
      </c>
      <c r="U1052" s="4">
        <v>2622000</v>
      </c>
      <c r="V1052" s="4">
        <v>3583</v>
      </c>
      <c r="W1052" s="4">
        <v>36</v>
      </c>
      <c r="X1052" s="4">
        <v>538</v>
      </c>
      <c r="Y1052" s="4">
        <v>0</v>
      </c>
      <c r="Z1052" s="5">
        <v>4157</v>
      </c>
      <c r="AA1052" s="5">
        <v>0</v>
      </c>
      <c r="AB1052" s="6">
        <v>0</v>
      </c>
      <c r="AC1052" s="4">
        <v>4157</v>
      </c>
      <c r="AD1052" s="4">
        <v>0</v>
      </c>
      <c r="AE1052" s="4">
        <v>4157</v>
      </c>
      <c r="AF1052" s="1"/>
      <c r="AG1052" s="1"/>
      <c r="AH1052" s="1"/>
      <c r="AI1052" s="1" t="s">
        <v>2327</v>
      </c>
      <c r="AJ1052" s="6">
        <v>1325.7500000000009</v>
      </c>
      <c r="AK1052" s="6">
        <v>1156.28</v>
      </c>
      <c r="AL1052" s="1"/>
    </row>
    <row r="1053" spans="1:38" hidden="1" x14ac:dyDescent="0.25">
      <c r="A1053" s="2">
        <v>1374</v>
      </c>
      <c r="B1053" s="1" t="s">
        <v>1245</v>
      </c>
      <c r="C1053" s="1" t="s">
        <v>1247</v>
      </c>
      <c r="D1053" s="1" t="s">
        <v>2062</v>
      </c>
      <c r="E1053" s="1" t="s">
        <v>2063</v>
      </c>
      <c r="F1053" s="3">
        <v>45602</v>
      </c>
      <c r="G1053" s="3">
        <v>45296</v>
      </c>
      <c r="H1053" s="3">
        <v>45661</v>
      </c>
      <c r="I1053" s="1" t="s">
        <v>3404</v>
      </c>
      <c r="J1053" s="1" t="s">
        <v>3405</v>
      </c>
      <c r="K1053" s="1"/>
      <c r="L1053" s="1" t="s">
        <v>2198</v>
      </c>
      <c r="M1053" s="1" t="s">
        <v>3406</v>
      </c>
      <c r="N1053" s="1" t="s">
        <v>3407</v>
      </c>
      <c r="O1053" s="1" t="s">
        <v>3408</v>
      </c>
      <c r="P1053" s="1" t="s">
        <v>3409</v>
      </c>
      <c r="Q1053" s="1"/>
      <c r="R1053" s="1"/>
      <c r="S1053" s="1" t="s">
        <v>2072</v>
      </c>
      <c r="T1053" s="1" t="s">
        <v>3165</v>
      </c>
      <c r="U1053" s="4">
        <v>2622000</v>
      </c>
      <c r="V1053" s="4">
        <v>3722</v>
      </c>
      <c r="W1053" s="4">
        <v>37</v>
      </c>
      <c r="X1053" s="4">
        <v>558</v>
      </c>
      <c r="Y1053" s="4">
        <v>0</v>
      </c>
      <c r="Z1053" s="5">
        <v>4317</v>
      </c>
      <c r="AA1053" s="5">
        <v>0</v>
      </c>
      <c r="AB1053" s="6">
        <v>0</v>
      </c>
      <c r="AC1053" s="4">
        <v>4317</v>
      </c>
      <c r="AD1053" s="4">
        <v>0</v>
      </c>
      <c r="AE1053" s="4">
        <v>4317</v>
      </c>
      <c r="AF1053" s="1"/>
      <c r="AG1053" s="1"/>
      <c r="AH1053" s="1"/>
      <c r="AI1053" s="1" t="s">
        <v>2327</v>
      </c>
      <c r="AJ1053" s="6">
        <v>1394.500000000002</v>
      </c>
      <c r="AK1053" s="6">
        <v>1200.55</v>
      </c>
      <c r="AL1053" s="1"/>
    </row>
    <row r="1054" spans="1:38" hidden="1" x14ac:dyDescent="0.25">
      <c r="A1054" s="2">
        <v>1375</v>
      </c>
      <c r="B1054" s="1" t="s">
        <v>1245</v>
      </c>
      <c r="C1054" s="1" t="s">
        <v>1248</v>
      </c>
      <c r="D1054" s="1" t="s">
        <v>2062</v>
      </c>
      <c r="E1054" s="1" t="s">
        <v>2063</v>
      </c>
      <c r="F1054" s="3">
        <v>45636</v>
      </c>
      <c r="G1054" s="3">
        <v>45296</v>
      </c>
      <c r="H1054" s="3">
        <v>45661</v>
      </c>
      <c r="I1054" s="1" t="s">
        <v>3404</v>
      </c>
      <c r="J1054" s="1" t="s">
        <v>3405</v>
      </c>
      <c r="K1054" s="1"/>
      <c r="L1054" s="1" t="s">
        <v>2198</v>
      </c>
      <c r="M1054" s="1" t="s">
        <v>3406</v>
      </c>
      <c r="N1054" s="1" t="s">
        <v>3407</v>
      </c>
      <c r="O1054" s="1" t="s">
        <v>3408</v>
      </c>
      <c r="P1054" s="1" t="s">
        <v>3409</v>
      </c>
      <c r="Q1054" s="1"/>
      <c r="R1054" s="1"/>
      <c r="S1054" s="1" t="s">
        <v>2072</v>
      </c>
      <c r="T1054" s="1" t="s">
        <v>3165</v>
      </c>
      <c r="U1054" s="4">
        <v>2622000</v>
      </c>
      <c r="V1054" s="4">
        <v>3711</v>
      </c>
      <c r="W1054" s="4">
        <v>37</v>
      </c>
      <c r="X1054" s="4">
        <v>557</v>
      </c>
      <c r="Y1054" s="4">
        <v>0</v>
      </c>
      <c r="Z1054" s="5">
        <v>4305</v>
      </c>
      <c r="AA1054" s="5">
        <v>0</v>
      </c>
      <c r="AB1054" s="6">
        <v>0</v>
      </c>
      <c r="AC1054" s="4">
        <v>4305</v>
      </c>
      <c r="AD1054" s="4">
        <v>0</v>
      </c>
      <c r="AE1054" s="4">
        <v>4305</v>
      </c>
      <c r="AF1054" s="1"/>
      <c r="AG1054" s="1"/>
      <c r="AH1054" s="1"/>
      <c r="AI1054" s="1" t="s">
        <v>2327</v>
      </c>
      <c r="AJ1054" s="6">
        <v>1481.0900000000031</v>
      </c>
      <c r="AK1054" s="6">
        <v>1196.8300000000002</v>
      </c>
      <c r="AL1054" s="1"/>
    </row>
    <row r="1055" spans="1:38" hidden="1" x14ac:dyDescent="0.25">
      <c r="A1055" s="2">
        <v>1376</v>
      </c>
      <c r="B1055" s="1" t="s">
        <v>1245</v>
      </c>
      <c r="C1055" s="1" t="s">
        <v>1249</v>
      </c>
      <c r="D1055" s="1" t="s">
        <v>2062</v>
      </c>
      <c r="E1055" s="1" t="s">
        <v>2063</v>
      </c>
      <c r="F1055" s="3">
        <v>45688</v>
      </c>
      <c r="G1055" s="3">
        <v>45296</v>
      </c>
      <c r="H1055" s="3">
        <v>45661</v>
      </c>
      <c r="I1055" s="1" t="s">
        <v>3404</v>
      </c>
      <c r="J1055" s="1" t="s">
        <v>3405</v>
      </c>
      <c r="K1055" s="1"/>
      <c r="L1055" s="1" t="s">
        <v>2198</v>
      </c>
      <c r="M1055" s="1" t="s">
        <v>3406</v>
      </c>
      <c r="N1055" s="1" t="s">
        <v>3407</v>
      </c>
      <c r="O1055" s="1" t="s">
        <v>3408</v>
      </c>
      <c r="P1055" s="1" t="s">
        <v>3409</v>
      </c>
      <c r="Q1055" s="1"/>
      <c r="R1055" s="1"/>
      <c r="S1055" s="1" t="s">
        <v>2072</v>
      </c>
      <c r="T1055" s="1" t="s">
        <v>3165</v>
      </c>
      <c r="U1055" s="4">
        <v>2622000</v>
      </c>
      <c r="V1055" s="4">
        <v>2852</v>
      </c>
      <c r="W1055" s="4">
        <v>29</v>
      </c>
      <c r="X1055" s="4">
        <v>428</v>
      </c>
      <c r="Y1055" s="4">
        <v>0</v>
      </c>
      <c r="Z1055" s="5">
        <v>3309</v>
      </c>
      <c r="AA1055" s="5">
        <v>0</v>
      </c>
      <c r="AB1055" s="6">
        <v>0</v>
      </c>
      <c r="AC1055" s="4">
        <v>3309</v>
      </c>
      <c r="AD1055" s="4">
        <v>0</v>
      </c>
      <c r="AE1055" s="4">
        <v>3309</v>
      </c>
      <c r="AF1055" s="1"/>
      <c r="AG1055" s="1"/>
      <c r="AH1055" s="1"/>
      <c r="AI1055" s="1" t="s">
        <v>2327</v>
      </c>
      <c r="AJ1055" s="6">
        <v>967.07000000000107</v>
      </c>
      <c r="AK1055" s="6">
        <v>921.48000000000104</v>
      </c>
      <c r="AL1055" s="1"/>
    </row>
    <row r="1056" spans="1:38" hidden="1" x14ac:dyDescent="0.25">
      <c r="A1056" s="2">
        <v>1377</v>
      </c>
      <c r="B1056" s="1" t="s">
        <v>1245</v>
      </c>
      <c r="C1056" s="1" t="s">
        <v>1250</v>
      </c>
      <c r="D1056" s="1" t="s">
        <v>2062</v>
      </c>
      <c r="E1056" s="1" t="s">
        <v>2063</v>
      </c>
      <c r="F1056" s="3">
        <v>45745</v>
      </c>
      <c r="G1056" s="3">
        <v>45296</v>
      </c>
      <c r="H1056" s="3">
        <v>45661</v>
      </c>
      <c r="I1056" s="1" t="s">
        <v>3404</v>
      </c>
      <c r="J1056" s="1" t="s">
        <v>3405</v>
      </c>
      <c r="K1056" s="1"/>
      <c r="L1056" s="1" t="s">
        <v>2198</v>
      </c>
      <c r="M1056" s="1" t="s">
        <v>3406</v>
      </c>
      <c r="N1056" s="1" t="s">
        <v>3407</v>
      </c>
      <c r="O1056" s="1" t="s">
        <v>3408</v>
      </c>
      <c r="P1056" s="1" t="s">
        <v>3409</v>
      </c>
      <c r="Q1056" s="1"/>
      <c r="R1056" s="1"/>
      <c r="S1056" s="1" t="s">
        <v>2072</v>
      </c>
      <c r="T1056" s="1" t="s">
        <v>3165</v>
      </c>
      <c r="U1056" s="4">
        <v>-1</v>
      </c>
      <c r="V1056" s="4">
        <v>-15947</v>
      </c>
      <c r="W1056" s="4">
        <v>-141</v>
      </c>
      <c r="X1056" s="4">
        <v>0</v>
      </c>
      <c r="Y1056" s="4">
        <v>0</v>
      </c>
      <c r="Z1056" s="5">
        <v>-16088</v>
      </c>
      <c r="AA1056" s="5">
        <v>0</v>
      </c>
      <c r="AB1056" s="6">
        <v>0</v>
      </c>
      <c r="AC1056" s="4">
        <v>-16088</v>
      </c>
      <c r="AD1056" s="4">
        <v>0</v>
      </c>
      <c r="AE1056" s="4">
        <v>-16088</v>
      </c>
      <c r="AF1056" s="1"/>
      <c r="AG1056" s="1"/>
      <c r="AH1056" s="1"/>
      <c r="AI1056" s="1" t="s">
        <v>2327</v>
      </c>
      <c r="AJ1056" s="1"/>
      <c r="AK1056" s="1"/>
      <c r="AL1056" s="1"/>
    </row>
    <row r="1057" spans="1:38" hidden="1" x14ac:dyDescent="0.25">
      <c r="A1057" s="2">
        <v>1378</v>
      </c>
      <c r="B1057" s="1" t="s">
        <v>1251</v>
      </c>
      <c r="C1057" s="1" t="s">
        <v>1252</v>
      </c>
      <c r="D1057" s="1" t="s">
        <v>2062</v>
      </c>
      <c r="E1057" s="1" t="s">
        <v>2063</v>
      </c>
      <c r="F1057" s="3">
        <v>45413</v>
      </c>
      <c r="G1057" s="3">
        <v>45292</v>
      </c>
      <c r="H1057" s="3">
        <v>45657</v>
      </c>
      <c r="I1057" s="1" t="s">
        <v>3410</v>
      </c>
      <c r="J1057" s="1" t="s">
        <v>3411</v>
      </c>
      <c r="K1057" s="1"/>
      <c r="L1057" s="1" t="s">
        <v>2765</v>
      </c>
      <c r="M1057" s="1" t="s">
        <v>3412</v>
      </c>
      <c r="N1057" s="1" t="s">
        <v>3413</v>
      </c>
      <c r="O1057" s="1" t="s">
        <v>3414</v>
      </c>
      <c r="P1057" s="1" t="s">
        <v>2247</v>
      </c>
      <c r="Q1057" s="1"/>
      <c r="R1057" s="1"/>
      <c r="S1057" s="1" t="s">
        <v>2072</v>
      </c>
      <c r="T1057" s="1" t="s">
        <v>3165</v>
      </c>
      <c r="U1057" s="4">
        <v>2000000</v>
      </c>
      <c r="V1057" s="4">
        <v>1014</v>
      </c>
      <c r="W1057" s="4">
        <v>10</v>
      </c>
      <c r="X1057" s="4">
        <v>132</v>
      </c>
      <c r="Y1057" s="4">
        <v>0</v>
      </c>
      <c r="Z1057" s="5">
        <v>1156</v>
      </c>
      <c r="AA1057" s="5">
        <v>0</v>
      </c>
      <c r="AB1057" s="6">
        <v>0</v>
      </c>
      <c r="AC1057" s="4">
        <v>1156</v>
      </c>
      <c r="AD1057" s="4">
        <v>0</v>
      </c>
      <c r="AE1057" s="4">
        <v>1156</v>
      </c>
      <c r="AF1057" s="1"/>
      <c r="AG1057" s="1"/>
      <c r="AH1057" s="1"/>
      <c r="AI1057" s="1" t="s">
        <v>2841</v>
      </c>
      <c r="AJ1057" s="6">
        <v>517.44000000000005</v>
      </c>
      <c r="AK1057" s="6">
        <v>422.34</v>
      </c>
      <c r="AL1057" s="1"/>
    </row>
    <row r="1058" spans="1:38" hidden="1" x14ac:dyDescent="0.25">
      <c r="A1058" s="2">
        <v>1379</v>
      </c>
      <c r="B1058" s="1" t="s">
        <v>1251</v>
      </c>
      <c r="C1058" s="1" t="s">
        <v>1253</v>
      </c>
      <c r="D1058" s="1" t="s">
        <v>2062</v>
      </c>
      <c r="E1058" s="1" t="s">
        <v>2063</v>
      </c>
      <c r="F1058" s="3">
        <v>45446</v>
      </c>
      <c r="G1058" s="3">
        <v>45292</v>
      </c>
      <c r="H1058" s="3">
        <v>45657</v>
      </c>
      <c r="I1058" s="1" t="s">
        <v>3410</v>
      </c>
      <c r="J1058" s="1" t="s">
        <v>3411</v>
      </c>
      <c r="K1058" s="1"/>
      <c r="L1058" s="1" t="s">
        <v>2765</v>
      </c>
      <c r="M1058" s="1" t="s">
        <v>3412</v>
      </c>
      <c r="N1058" s="1" t="s">
        <v>3413</v>
      </c>
      <c r="O1058" s="1" t="s">
        <v>3414</v>
      </c>
      <c r="P1058" s="1" t="s">
        <v>2247</v>
      </c>
      <c r="Q1058" s="1"/>
      <c r="R1058" s="1"/>
      <c r="S1058" s="1" t="s">
        <v>2072</v>
      </c>
      <c r="T1058" s="1" t="s">
        <v>3165</v>
      </c>
      <c r="U1058" s="4">
        <v>2000000</v>
      </c>
      <c r="V1058" s="4">
        <v>1992</v>
      </c>
      <c r="W1058" s="4">
        <v>20</v>
      </c>
      <c r="X1058" s="4">
        <v>259</v>
      </c>
      <c r="Y1058" s="4">
        <v>0</v>
      </c>
      <c r="Z1058" s="5">
        <v>2271</v>
      </c>
      <c r="AA1058" s="5">
        <v>0</v>
      </c>
      <c r="AB1058" s="6">
        <v>0</v>
      </c>
      <c r="AC1058" s="4">
        <v>2271</v>
      </c>
      <c r="AD1058" s="4">
        <v>0</v>
      </c>
      <c r="AE1058" s="4">
        <v>2271</v>
      </c>
      <c r="AF1058" s="1"/>
      <c r="AG1058" s="1"/>
      <c r="AH1058" s="1"/>
      <c r="AI1058" s="1" t="s">
        <v>2841</v>
      </c>
      <c r="AJ1058" s="6">
        <v>1091.3700000000001</v>
      </c>
      <c r="AK1058" s="6">
        <v>830.69</v>
      </c>
      <c r="AL1058" s="1"/>
    </row>
    <row r="1059" spans="1:38" hidden="1" x14ac:dyDescent="0.25">
      <c r="A1059" s="2">
        <v>1380</v>
      </c>
      <c r="B1059" s="1" t="s">
        <v>1251</v>
      </c>
      <c r="C1059" s="1" t="s">
        <v>1254</v>
      </c>
      <c r="D1059" s="1" t="s">
        <v>2062</v>
      </c>
      <c r="E1059" s="1" t="s">
        <v>2063</v>
      </c>
      <c r="F1059" s="3">
        <v>45475</v>
      </c>
      <c r="G1059" s="3">
        <v>45292</v>
      </c>
      <c r="H1059" s="3">
        <v>45657</v>
      </c>
      <c r="I1059" s="1" t="s">
        <v>3410</v>
      </c>
      <c r="J1059" s="1" t="s">
        <v>3411</v>
      </c>
      <c r="K1059" s="1"/>
      <c r="L1059" s="1" t="s">
        <v>2765</v>
      </c>
      <c r="M1059" s="1" t="s">
        <v>3412</v>
      </c>
      <c r="N1059" s="1" t="s">
        <v>3413</v>
      </c>
      <c r="O1059" s="1" t="s">
        <v>3414</v>
      </c>
      <c r="P1059" s="1" t="s">
        <v>2247</v>
      </c>
      <c r="Q1059" s="1"/>
      <c r="R1059" s="1"/>
      <c r="S1059" s="1" t="s">
        <v>2072</v>
      </c>
      <c r="T1059" s="1" t="s">
        <v>3165</v>
      </c>
      <c r="U1059" s="4">
        <v>2000000</v>
      </c>
      <c r="V1059" s="4">
        <v>716</v>
      </c>
      <c r="W1059" s="4">
        <v>7</v>
      </c>
      <c r="X1059" s="4">
        <v>107</v>
      </c>
      <c r="Y1059" s="4">
        <v>0</v>
      </c>
      <c r="Z1059" s="5">
        <v>830</v>
      </c>
      <c r="AA1059" s="5">
        <v>0</v>
      </c>
      <c r="AB1059" s="6">
        <v>0</v>
      </c>
      <c r="AC1059" s="4">
        <v>830</v>
      </c>
      <c r="AD1059" s="4">
        <v>0</v>
      </c>
      <c r="AE1059" s="4">
        <v>830</v>
      </c>
      <c r="AF1059" s="1"/>
      <c r="AG1059" s="1"/>
      <c r="AH1059" s="1"/>
      <c r="AI1059" s="1" t="s">
        <v>2841</v>
      </c>
      <c r="AJ1059" s="6">
        <v>485.71</v>
      </c>
      <c r="AK1059" s="6">
        <v>303.2</v>
      </c>
      <c r="AL1059" s="1"/>
    </row>
    <row r="1060" spans="1:38" hidden="1" x14ac:dyDescent="0.25">
      <c r="A1060" s="2">
        <v>1381</v>
      </c>
      <c r="B1060" s="1" t="s">
        <v>1251</v>
      </c>
      <c r="C1060" s="1" t="s">
        <v>1255</v>
      </c>
      <c r="D1060" s="1" t="s">
        <v>2062</v>
      </c>
      <c r="E1060" s="1" t="s">
        <v>2063</v>
      </c>
      <c r="F1060" s="3">
        <v>45655</v>
      </c>
      <c r="G1060" s="3">
        <v>45292</v>
      </c>
      <c r="H1060" s="3">
        <v>45657</v>
      </c>
      <c r="I1060" s="1" t="s">
        <v>3410</v>
      </c>
      <c r="J1060" s="1" t="s">
        <v>3411</v>
      </c>
      <c r="K1060" s="1"/>
      <c r="L1060" s="1" t="s">
        <v>2765</v>
      </c>
      <c r="M1060" s="1" t="s">
        <v>3412</v>
      </c>
      <c r="N1060" s="1" t="s">
        <v>3413</v>
      </c>
      <c r="O1060" s="1" t="s">
        <v>3414</v>
      </c>
      <c r="P1060" s="1" t="s">
        <v>2247</v>
      </c>
      <c r="Q1060" s="1"/>
      <c r="R1060" s="1"/>
      <c r="S1060" s="1" t="s">
        <v>2072</v>
      </c>
      <c r="T1060" s="1" t="s">
        <v>3165</v>
      </c>
      <c r="U1060" s="4">
        <v>-1</v>
      </c>
      <c r="V1060" s="4">
        <v>-4215</v>
      </c>
      <c r="W1060" s="4">
        <v>-42</v>
      </c>
      <c r="X1060" s="4">
        <v>0</v>
      </c>
      <c r="Y1060" s="4">
        <v>0</v>
      </c>
      <c r="Z1060" s="5">
        <v>-4257</v>
      </c>
      <c r="AA1060" s="5">
        <v>0</v>
      </c>
      <c r="AB1060" s="6">
        <v>0</v>
      </c>
      <c r="AC1060" s="4">
        <v>-4257</v>
      </c>
      <c r="AD1060" s="4">
        <v>0</v>
      </c>
      <c r="AE1060" s="4">
        <v>-4257</v>
      </c>
      <c r="AF1060" s="1"/>
      <c r="AG1060" s="1"/>
      <c r="AH1060" s="1"/>
      <c r="AI1060" s="1" t="s">
        <v>2841</v>
      </c>
      <c r="AJ1060" s="1"/>
      <c r="AK1060" s="1"/>
      <c r="AL1060" s="1"/>
    </row>
    <row r="1061" spans="1:38" hidden="1" x14ac:dyDescent="0.25">
      <c r="A1061" s="2">
        <v>1382</v>
      </c>
      <c r="B1061" s="1" t="s">
        <v>1256</v>
      </c>
      <c r="C1061" s="1" t="s">
        <v>1257</v>
      </c>
      <c r="D1061" s="1" t="s">
        <v>2062</v>
      </c>
      <c r="E1061" s="1" t="s">
        <v>2063</v>
      </c>
      <c r="F1061" s="3">
        <v>45412</v>
      </c>
      <c r="G1061" s="3">
        <v>45290</v>
      </c>
      <c r="H1061" s="3">
        <v>45655</v>
      </c>
      <c r="I1061" s="1" t="s">
        <v>3415</v>
      </c>
      <c r="J1061" s="1" t="s">
        <v>3416</v>
      </c>
      <c r="K1061" s="1"/>
      <c r="L1061" s="1" t="s">
        <v>3417</v>
      </c>
      <c r="M1061" s="1" t="s">
        <v>2772</v>
      </c>
      <c r="N1061" s="1" t="s">
        <v>3418</v>
      </c>
      <c r="O1061" s="1" t="s">
        <v>3419</v>
      </c>
      <c r="P1061" s="1" t="s">
        <v>2231</v>
      </c>
      <c r="Q1061" s="1"/>
      <c r="R1061" s="1"/>
      <c r="S1061" s="1" t="s">
        <v>2072</v>
      </c>
      <c r="T1061" s="1" t="s">
        <v>3165</v>
      </c>
      <c r="U1061" s="4">
        <v>9000000</v>
      </c>
      <c r="V1061" s="4">
        <v>973</v>
      </c>
      <c r="W1061" s="4">
        <v>10</v>
      </c>
      <c r="X1061" s="4">
        <v>127</v>
      </c>
      <c r="Y1061" s="4">
        <v>0</v>
      </c>
      <c r="Z1061" s="5">
        <v>1110</v>
      </c>
      <c r="AA1061" s="5">
        <v>0</v>
      </c>
      <c r="AB1061" s="6">
        <v>0</v>
      </c>
      <c r="AC1061" s="4">
        <v>1110</v>
      </c>
      <c r="AD1061" s="4">
        <v>0</v>
      </c>
      <c r="AE1061" s="4">
        <v>1110</v>
      </c>
      <c r="AF1061" s="1"/>
      <c r="AG1061" s="1"/>
      <c r="AH1061" s="1"/>
      <c r="AI1061" s="1" t="s">
        <v>2327</v>
      </c>
      <c r="AJ1061" s="6">
        <v>116.23</v>
      </c>
      <c r="AK1061" s="6">
        <v>90</v>
      </c>
      <c r="AL1061" s="1"/>
    </row>
    <row r="1062" spans="1:38" hidden="1" x14ac:dyDescent="0.25">
      <c r="A1062" s="2">
        <v>1383</v>
      </c>
      <c r="B1062" s="1" t="s">
        <v>1256</v>
      </c>
      <c r="C1062" s="1" t="s">
        <v>1258</v>
      </c>
      <c r="D1062" s="1" t="s">
        <v>2062</v>
      </c>
      <c r="E1062" s="1" t="s">
        <v>2063</v>
      </c>
      <c r="F1062" s="3">
        <v>45412</v>
      </c>
      <c r="G1062" s="3">
        <v>45290</v>
      </c>
      <c r="H1062" s="3">
        <v>45655</v>
      </c>
      <c r="I1062" s="1" t="s">
        <v>3415</v>
      </c>
      <c r="J1062" s="1" t="s">
        <v>3416</v>
      </c>
      <c r="K1062" s="1"/>
      <c r="L1062" s="1" t="s">
        <v>3417</v>
      </c>
      <c r="M1062" s="1" t="s">
        <v>2772</v>
      </c>
      <c r="N1062" s="1" t="s">
        <v>3418</v>
      </c>
      <c r="O1062" s="1" t="s">
        <v>3419</v>
      </c>
      <c r="P1062" s="1" t="s">
        <v>2231</v>
      </c>
      <c r="Q1062" s="1"/>
      <c r="R1062" s="1"/>
      <c r="S1062" s="1" t="s">
        <v>2072</v>
      </c>
      <c r="T1062" s="1" t="s">
        <v>3165</v>
      </c>
      <c r="U1062" s="4">
        <v>9000000</v>
      </c>
      <c r="V1062" s="4">
        <v>1448</v>
      </c>
      <c r="W1062" s="4">
        <v>15</v>
      </c>
      <c r="X1062" s="4">
        <v>188</v>
      </c>
      <c r="Y1062" s="4">
        <v>0</v>
      </c>
      <c r="Z1062" s="5">
        <v>1651</v>
      </c>
      <c r="AA1062" s="5">
        <v>0</v>
      </c>
      <c r="AB1062" s="6">
        <v>0</v>
      </c>
      <c r="AC1062" s="4">
        <v>1651</v>
      </c>
      <c r="AD1062" s="4">
        <v>0</v>
      </c>
      <c r="AE1062" s="4">
        <v>1651</v>
      </c>
      <c r="AF1062" s="1"/>
      <c r="AG1062" s="1"/>
      <c r="AH1062" s="1"/>
      <c r="AI1062" s="1" t="s">
        <v>2327</v>
      </c>
      <c r="AJ1062" s="6">
        <v>190.5</v>
      </c>
      <c r="AK1062" s="6">
        <v>133.88</v>
      </c>
      <c r="AL1062" s="1"/>
    </row>
    <row r="1063" spans="1:38" hidden="1" x14ac:dyDescent="0.25">
      <c r="A1063" s="2">
        <v>1384</v>
      </c>
      <c r="B1063" s="1" t="s">
        <v>1256</v>
      </c>
      <c r="C1063" s="1" t="s">
        <v>1259</v>
      </c>
      <c r="D1063" s="1" t="s">
        <v>2062</v>
      </c>
      <c r="E1063" s="1" t="s">
        <v>2063</v>
      </c>
      <c r="F1063" s="3">
        <v>45412</v>
      </c>
      <c r="G1063" s="3">
        <v>45290</v>
      </c>
      <c r="H1063" s="3">
        <v>45655</v>
      </c>
      <c r="I1063" s="1" t="s">
        <v>3415</v>
      </c>
      <c r="J1063" s="1" t="s">
        <v>3416</v>
      </c>
      <c r="K1063" s="1"/>
      <c r="L1063" s="1" t="s">
        <v>3417</v>
      </c>
      <c r="M1063" s="1" t="s">
        <v>2772</v>
      </c>
      <c r="N1063" s="1" t="s">
        <v>3418</v>
      </c>
      <c r="O1063" s="1" t="s">
        <v>3419</v>
      </c>
      <c r="P1063" s="1" t="s">
        <v>2231</v>
      </c>
      <c r="Q1063" s="1"/>
      <c r="R1063" s="1"/>
      <c r="S1063" s="1" t="s">
        <v>2072</v>
      </c>
      <c r="T1063" s="1" t="s">
        <v>3165</v>
      </c>
      <c r="U1063" s="4">
        <v>9000000</v>
      </c>
      <c r="V1063" s="4">
        <v>60</v>
      </c>
      <c r="W1063" s="4">
        <v>0</v>
      </c>
      <c r="X1063" s="4">
        <v>8</v>
      </c>
      <c r="Y1063" s="4">
        <v>0</v>
      </c>
      <c r="Z1063" s="5">
        <v>68</v>
      </c>
      <c r="AA1063" s="5">
        <v>0</v>
      </c>
      <c r="AB1063" s="6">
        <v>0</v>
      </c>
      <c r="AC1063" s="4">
        <v>68</v>
      </c>
      <c r="AD1063" s="4">
        <v>0</v>
      </c>
      <c r="AE1063" s="4">
        <v>68</v>
      </c>
      <c r="AF1063" s="1"/>
      <c r="AG1063" s="1"/>
      <c r="AH1063" s="1"/>
      <c r="AI1063" s="1" t="s">
        <v>2327</v>
      </c>
      <c r="AJ1063" s="6">
        <v>5.51</v>
      </c>
      <c r="AK1063" s="6">
        <v>5.51</v>
      </c>
      <c r="AL1063" s="1"/>
    </row>
    <row r="1064" spans="1:38" hidden="1" x14ac:dyDescent="0.25">
      <c r="A1064" s="2">
        <v>1385</v>
      </c>
      <c r="B1064" s="1" t="s">
        <v>1256</v>
      </c>
      <c r="C1064" s="1" t="s">
        <v>1260</v>
      </c>
      <c r="D1064" s="1" t="s">
        <v>2062</v>
      </c>
      <c r="E1064" s="1" t="s">
        <v>2063</v>
      </c>
      <c r="F1064" s="3">
        <v>45655</v>
      </c>
      <c r="G1064" s="3">
        <v>45290</v>
      </c>
      <c r="H1064" s="3">
        <v>45655</v>
      </c>
      <c r="I1064" s="1" t="s">
        <v>3415</v>
      </c>
      <c r="J1064" s="1" t="s">
        <v>3416</v>
      </c>
      <c r="K1064" s="1"/>
      <c r="L1064" s="1" t="s">
        <v>3417</v>
      </c>
      <c r="M1064" s="1" t="s">
        <v>2772</v>
      </c>
      <c r="N1064" s="1" t="s">
        <v>3418</v>
      </c>
      <c r="O1064" s="1" t="s">
        <v>3419</v>
      </c>
      <c r="P1064" s="1" t="s">
        <v>2231</v>
      </c>
      <c r="Q1064" s="1"/>
      <c r="R1064" s="1"/>
      <c r="S1064" s="1" t="s">
        <v>2072</v>
      </c>
      <c r="T1064" s="1" t="s">
        <v>3165</v>
      </c>
      <c r="U1064" s="4">
        <v>-1</v>
      </c>
      <c r="V1064" s="4">
        <v>-2801</v>
      </c>
      <c r="W1064" s="4">
        <v>-28</v>
      </c>
      <c r="X1064" s="4">
        <v>0</v>
      </c>
      <c r="Y1064" s="4">
        <v>0</v>
      </c>
      <c r="Z1064" s="5">
        <v>-2829</v>
      </c>
      <c r="AA1064" s="5">
        <v>0</v>
      </c>
      <c r="AB1064" s="6">
        <v>0</v>
      </c>
      <c r="AC1064" s="4">
        <v>-2829</v>
      </c>
      <c r="AD1064" s="4">
        <v>0</v>
      </c>
      <c r="AE1064" s="4">
        <v>-2829</v>
      </c>
      <c r="AF1064" s="1"/>
      <c r="AG1064" s="1"/>
      <c r="AH1064" s="1"/>
      <c r="AI1064" s="1" t="s">
        <v>2327</v>
      </c>
      <c r="AJ1064" s="1"/>
      <c r="AK1064" s="1"/>
      <c r="AL1064" s="1"/>
    </row>
    <row r="1065" spans="1:38" hidden="1" x14ac:dyDescent="0.25">
      <c r="A1065" s="2">
        <v>1387</v>
      </c>
      <c r="B1065" s="1" t="s">
        <v>1261</v>
      </c>
      <c r="C1065" s="1" t="s">
        <v>1262</v>
      </c>
      <c r="D1065" s="1" t="s">
        <v>2062</v>
      </c>
      <c r="E1065" s="1" t="s">
        <v>2063</v>
      </c>
      <c r="F1065" s="3">
        <v>45600</v>
      </c>
      <c r="G1065" s="3">
        <v>45293</v>
      </c>
      <c r="H1065" s="3">
        <v>45658</v>
      </c>
      <c r="I1065" s="1" t="s">
        <v>3420</v>
      </c>
      <c r="J1065" s="1" t="s">
        <v>3421</v>
      </c>
      <c r="K1065" s="1"/>
      <c r="L1065" s="1" t="s">
        <v>3422</v>
      </c>
      <c r="M1065" s="1" t="s">
        <v>3423</v>
      </c>
      <c r="N1065" s="1" t="s">
        <v>3424</v>
      </c>
      <c r="O1065" s="1" t="s">
        <v>3425</v>
      </c>
      <c r="P1065" s="1" t="s">
        <v>2095</v>
      </c>
      <c r="Q1065" s="1"/>
      <c r="R1065" s="1"/>
      <c r="S1065" s="1" t="s">
        <v>2072</v>
      </c>
      <c r="T1065" s="1" t="s">
        <v>3165</v>
      </c>
      <c r="U1065" s="4">
        <v>2800000</v>
      </c>
      <c r="V1065" s="4">
        <v>3740</v>
      </c>
      <c r="W1065" s="4">
        <v>37</v>
      </c>
      <c r="X1065" s="4">
        <v>561</v>
      </c>
      <c r="Y1065" s="4">
        <v>0</v>
      </c>
      <c r="Z1065" s="5">
        <v>4338</v>
      </c>
      <c r="AA1065" s="5">
        <v>3497</v>
      </c>
      <c r="AB1065" s="6">
        <v>0</v>
      </c>
      <c r="AC1065" s="4">
        <v>841</v>
      </c>
      <c r="AD1065" s="4">
        <v>0</v>
      </c>
      <c r="AE1065" s="4">
        <v>841</v>
      </c>
      <c r="AF1065" s="1"/>
      <c r="AG1065" s="1"/>
      <c r="AH1065" s="1"/>
      <c r="AI1065" s="1" t="s">
        <v>2841</v>
      </c>
      <c r="AJ1065" s="6">
        <v>2292.110000000001</v>
      </c>
      <c r="AK1065" s="6">
        <v>1128.81</v>
      </c>
      <c r="AL1065" s="1"/>
    </row>
    <row r="1066" spans="1:38" hidden="1" x14ac:dyDescent="0.25">
      <c r="A1066" s="2">
        <v>1388</v>
      </c>
      <c r="B1066" s="1" t="s">
        <v>1261</v>
      </c>
      <c r="C1066" s="1" t="s">
        <v>1263</v>
      </c>
      <c r="D1066" s="1" t="s">
        <v>2062</v>
      </c>
      <c r="E1066" s="1" t="s">
        <v>2063</v>
      </c>
      <c r="F1066" s="3">
        <v>45630</v>
      </c>
      <c r="G1066" s="3">
        <v>45293</v>
      </c>
      <c r="H1066" s="3">
        <v>45658</v>
      </c>
      <c r="I1066" s="1" t="s">
        <v>3420</v>
      </c>
      <c r="J1066" s="1" t="s">
        <v>3421</v>
      </c>
      <c r="K1066" s="1"/>
      <c r="L1066" s="1" t="s">
        <v>3422</v>
      </c>
      <c r="M1066" s="1" t="s">
        <v>3423</v>
      </c>
      <c r="N1066" s="1" t="s">
        <v>3424</v>
      </c>
      <c r="O1066" s="1" t="s">
        <v>3425</v>
      </c>
      <c r="P1066" s="1" t="s">
        <v>2095</v>
      </c>
      <c r="Q1066" s="1"/>
      <c r="R1066" s="1"/>
      <c r="S1066" s="1" t="s">
        <v>2072</v>
      </c>
      <c r="T1066" s="1" t="s">
        <v>3165</v>
      </c>
      <c r="U1066" s="4">
        <v>2800000</v>
      </c>
      <c r="V1066" s="4">
        <v>3585</v>
      </c>
      <c r="W1066" s="4">
        <v>36</v>
      </c>
      <c r="X1066" s="4">
        <v>538</v>
      </c>
      <c r="Y1066" s="4">
        <v>0</v>
      </c>
      <c r="Z1066" s="5">
        <v>4159</v>
      </c>
      <c r="AA1066" s="5">
        <v>0</v>
      </c>
      <c r="AB1066" s="6">
        <v>0</v>
      </c>
      <c r="AC1066" s="4">
        <v>4159</v>
      </c>
      <c r="AD1066" s="4">
        <v>0</v>
      </c>
      <c r="AE1066" s="4">
        <v>4159</v>
      </c>
      <c r="AF1066" s="1"/>
      <c r="AG1066" s="1"/>
      <c r="AH1066" s="1"/>
      <c r="AI1066" s="1" t="s">
        <v>2841</v>
      </c>
      <c r="AJ1066" s="6">
        <v>2259.7200000000012</v>
      </c>
      <c r="AK1066" s="6">
        <v>1081.99</v>
      </c>
      <c r="AL1066" s="1"/>
    </row>
    <row r="1067" spans="1:38" hidden="1" x14ac:dyDescent="0.25">
      <c r="A1067" s="2">
        <v>1389</v>
      </c>
      <c r="B1067" s="1" t="s">
        <v>1261</v>
      </c>
      <c r="C1067" s="1" t="s">
        <v>1264</v>
      </c>
      <c r="D1067" s="1" t="s">
        <v>2062</v>
      </c>
      <c r="E1067" s="1" t="s">
        <v>2063</v>
      </c>
      <c r="F1067" s="3">
        <v>45745</v>
      </c>
      <c r="G1067" s="3">
        <v>45293</v>
      </c>
      <c r="H1067" s="3">
        <v>45658</v>
      </c>
      <c r="I1067" s="1" t="s">
        <v>3420</v>
      </c>
      <c r="J1067" s="1" t="s">
        <v>3421</v>
      </c>
      <c r="K1067" s="1"/>
      <c r="L1067" s="1" t="s">
        <v>3422</v>
      </c>
      <c r="M1067" s="1" t="s">
        <v>3423</v>
      </c>
      <c r="N1067" s="1" t="s">
        <v>3424</v>
      </c>
      <c r="O1067" s="1" t="s">
        <v>3425</v>
      </c>
      <c r="P1067" s="1" t="s">
        <v>2095</v>
      </c>
      <c r="Q1067" s="1"/>
      <c r="R1067" s="1"/>
      <c r="S1067" s="1" t="s">
        <v>2072</v>
      </c>
      <c r="T1067" s="1" t="s">
        <v>3165</v>
      </c>
      <c r="U1067" s="4">
        <v>-1</v>
      </c>
      <c r="V1067" s="4">
        <v>-4956</v>
      </c>
      <c r="W1067" s="4">
        <v>-44</v>
      </c>
      <c r="X1067" s="4">
        <v>0</v>
      </c>
      <c r="Y1067" s="4">
        <v>0</v>
      </c>
      <c r="Z1067" s="5">
        <v>-5000</v>
      </c>
      <c r="AA1067" s="5">
        <v>0</v>
      </c>
      <c r="AB1067" s="6">
        <v>0</v>
      </c>
      <c r="AC1067" s="4">
        <v>-5000</v>
      </c>
      <c r="AD1067" s="4">
        <v>0</v>
      </c>
      <c r="AE1067" s="4">
        <v>-5000</v>
      </c>
      <c r="AF1067" s="1"/>
      <c r="AG1067" s="1"/>
      <c r="AH1067" s="1"/>
      <c r="AI1067" s="1" t="s">
        <v>2841</v>
      </c>
      <c r="AJ1067" s="1"/>
      <c r="AK1067" s="1"/>
      <c r="AL1067" s="1"/>
    </row>
    <row r="1068" spans="1:38" hidden="1" x14ac:dyDescent="0.25">
      <c r="A1068" s="2">
        <v>1390</v>
      </c>
      <c r="B1068" s="1" t="s">
        <v>1265</v>
      </c>
      <c r="C1068" s="1" t="s">
        <v>1266</v>
      </c>
      <c r="D1068" s="1" t="s">
        <v>2062</v>
      </c>
      <c r="E1068" s="1" t="s">
        <v>2063</v>
      </c>
      <c r="F1068" s="3">
        <v>45663</v>
      </c>
      <c r="G1068" s="3">
        <v>45293</v>
      </c>
      <c r="H1068" s="3">
        <v>45658</v>
      </c>
      <c r="I1068" s="1" t="s">
        <v>3426</v>
      </c>
      <c r="J1068" s="1" t="s">
        <v>3427</v>
      </c>
      <c r="K1068" s="1"/>
      <c r="L1068" s="1" t="s">
        <v>2864</v>
      </c>
      <c r="M1068" s="1" t="s">
        <v>3428</v>
      </c>
      <c r="N1068" s="1" t="s">
        <v>3429</v>
      </c>
      <c r="O1068" s="1" t="s">
        <v>3430</v>
      </c>
      <c r="P1068" s="1" t="s">
        <v>2231</v>
      </c>
      <c r="Q1068" s="1" t="s">
        <v>3431</v>
      </c>
      <c r="R1068" s="1"/>
      <c r="S1068" s="1" t="s">
        <v>2072</v>
      </c>
      <c r="T1068" s="1" t="s">
        <v>2073</v>
      </c>
      <c r="U1068" s="4">
        <v>2000000</v>
      </c>
      <c r="V1068" s="4">
        <v>1077</v>
      </c>
      <c r="W1068" s="4">
        <v>11</v>
      </c>
      <c r="X1068" s="4">
        <v>162</v>
      </c>
      <c r="Y1068" s="4">
        <v>0</v>
      </c>
      <c r="Z1068" s="5">
        <v>1250</v>
      </c>
      <c r="AA1068" s="5">
        <v>0</v>
      </c>
      <c r="AB1068" s="6">
        <v>0</v>
      </c>
      <c r="AC1068" s="4">
        <v>1250</v>
      </c>
      <c r="AD1068" s="4">
        <v>0</v>
      </c>
      <c r="AE1068" s="4">
        <v>1250</v>
      </c>
      <c r="AF1068" s="1"/>
      <c r="AG1068" s="1"/>
      <c r="AH1068" s="1"/>
      <c r="AI1068" s="1" t="s">
        <v>3432</v>
      </c>
      <c r="AJ1068" s="6">
        <v>456.43000000000006</v>
      </c>
      <c r="AK1068" s="6">
        <v>456.43000000000006</v>
      </c>
      <c r="AL1068" s="1"/>
    </row>
    <row r="1069" spans="1:38" hidden="1" x14ac:dyDescent="0.25">
      <c r="A1069" s="2">
        <v>1391</v>
      </c>
      <c r="B1069" s="1" t="s">
        <v>1265</v>
      </c>
      <c r="C1069" s="1" t="s">
        <v>1267</v>
      </c>
      <c r="D1069" s="1" t="s">
        <v>2062</v>
      </c>
      <c r="E1069" s="1" t="s">
        <v>2063</v>
      </c>
      <c r="F1069" s="3">
        <v>45745</v>
      </c>
      <c r="G1069" s="3">
        <v>45293</v>
      </c>
      <c r="H1069" s="3">
        <v>45658</v>
      </c>
      <c r="I1069" s="1" t="s">
        <v>3426</v>
      </c>
      <c r="J1069" s="1" t="s">
        <v>3427</v>
      </c>
      <c r="K1069" s="1"/>
      <c r="L1069" s="1" t="s">
        <v>2864</v>
      </c>
      <c r="M1069" s="1" t="s">
        <v>3428</v>
      </c>
      <c r="N1069" s="1" t="s">
        <v>3429</v>
      </c>
      <c r="O1069" s="1" t="s">
        <v>3430</v>
      </c>
      <c r="P1069" s="1" t="s">
        <v>2231</v>
      </c>
      <c r="Q1069" s="1" t="s">
        <v>3431</v>
      </c>
      <c r="R1069" s="1"/>
      <c r="S1069" s="1" t="s">
        <v>2072</v>
      </c>
      <c r="T1069" s="1" t="s">
        <v>2073</v>
      </c>
      <c r="U1069" s="4">
        <v>-1</v>
      </c>
      <c r="V1069" s="4">
        <v>-1239</v>
      </c>
      <c r="W1069" s="4">
        <v>-11</v>
      </c>
      <c r="X1069" s="4">
        <v>0</v>
      </c>
      <c r="Y1069" s="4">
        <v>0</v>
      </c>
      <c r="Z1069" s="5">
        <v>-1250</v>
      </c>
      <c r="AA1069" s="5">
        <v>0</v>
      </c>
      <c r="AB1069" s="6">
        <v>0</v>
      </c>
      <c r="AC1069" s="4">
        <v>-1250</v>
      </c>
      <c r="AD1069" s="4">
        <v>0</v>
      </c>
      <c r="AE1069" s="4">
        <v>-1250</v>
      </c>
      <c r="AF1069" s="1"/>
      <c r="AG1069" s="1"/>
      <c r="AH1069" s="1"/>
      <c r="AI1069" s="1" t="s">
        <v>3432</v>
      </c>
      <c r="AJ1069" s="1"/>
      <c r="AK1069" s="1"/>
      <c r="AL1069" s="1"/>
    </row>
    <row r="1070" spans="1:38" x14ac:dyDescent="0.25">
      <c r="A1070" s="2">
        <v>1392</v>
      </c>
      <c r="B1070" s="1" t="s">
        <v>1268</v>
      </c>
      <c r="C1070" s="1"/>
      <c r="D1070" s="1" t="s">
        <v>2062</v>
      </c>
      <c r="E1070" s="1" t="s">
        <v>2063</v>
      </c>
      <c r="F1070" s="3">
        <v>45300</v>
      </c>
      <c r="G1070" s="3">
        <v>45293</v>
      </c>
      <c r="H1070" s="3">
        <v>45658</v>
      </c>
      <c r="I1070" s="1" t="s">
        <v>3433</v>
      </c>
      <c r="J1070" s="1" t="s">
        <v>3434</v>
      </c>
      <c r="K1070" s="1"/>
      <c r="L1070" s="1" t="s">
        <v>3116</v>
      </c>
      <c r="M1070" s="1" t="s">
        <v>3435</v>
      </c>
      <c r="N1070" s="1" t="s">
        <v>3436</v>
      </c>
      <c r="O1070" s="1" t="s">
        <v>3437</v>
      </c>
      <c r="P1070" s="1" t="s">
        <v>2165</v>
      </c>
      <c r="Q1070" s="1" t="s">
        <v>3438</v>
      </c>
      <c r="R1070" s="1"/>
      <c r="S1070" s="1" t="s">
        <v>2072</v>
      </c>
      <c r="T1070" s="1" t="s">
        <v>2073</v>
      </c>
      <c r="U1070" s="4">
        <v>-1</v>
      </c>
      <c r="V1070" s="4">
        <v>0</v>
      </c>
      <c r="W1070" s="4">
        <v>0</v>
      </c>
      <c r="X1070" s="4">
        <v>0</v>
      </c>
      <c r="Y1070" s="4">
        <v>50</v>
      </c>
      <c r="Z1070" s="5">
        <v>50</v>
      </c>
      <c r="AA1070" s="5">
        <v>0</v>
      </c>
      <c r="AB1070" s="6">
        <v>0</v>
      </c>
      <c r="AC1070" s="4">
        <v>50</v>
      </c>
      <c r="AD1070" s="4">
        <v>0</v>
      </c>
      <c r="AE1070" s="4">
        <v>50</v>
      </c>
      <c r="AF1070" s="1"/>
      <c r="AG1070" s="1"/>
      <c r="AH1070" s="1"/>
      <c r="AI1070" s="1" t="s">
        <v>3432</v>
      </c>
      <c r="AJ1070" s="1"/>
      <c r="AK1070" s="1"/>
      <c r="AL1070" s="1" t="s">
        <v>3439</v>
      </c>
    </row>
    <row r="1071" spans="1:38" hidden="1" x14ac:dyDescent="0.25">
      <c r="A1071" s="2">
        <v>1393</v>
      </c>
      <c r="B1071" s="1" t="s">
        <v>1268</v>
      </c>
      <c r="C1071" s="1" t="s">
        <v>1269</v>
      </c>
      <c r="D1071" s="1" t="s">
        <v>2062</v>
      </c>
      <c r="E1071" s="1" t="s">
        <v>2063</v>
      </c>
      <c r="F1071" s="3">
        <v>45414</v>
      </c>
      <c r="G1071" s="3">
        <v>45293</v>
      </c>
      <c r="H1071" s="3">
        <v>45658</v>
      </c>
      <c r="I1071" s="1" t="s">
        <v>3433</v>
      </c>
      <c r="J1071" s="1" t="s">
        <v>3434</v>
      </c>
      <c r="K1071" s="1"/>
      <c r="L1071" s="1" t="s">
        <v>3116</v>
      </c>
      <c r="M1071" s="1" t="s">
        <v>3435</v>
      </c>
      <c r="N1071" s="1" t="s">
        <v>3436</v>
      </c>
      <c r="O1071" s="1" t="s">
        <v>3437</v>
      </c>
      <c r="P1071" s="1" t="s">
        <v>2165</v>
      </c>
      <c r="Q1071" s="1" t="s">
        <v>3438</v>
      </c>
      <c r="R1071" s="1"/>
      <c r="S1071" s="1" t="s">
        <v>2072</v>
      </c>
      <c r="T1071" s="1" t="s">
        <v>2073</v>
      </c>
      <c r="U1071" s="4">
        <v>2100000</v>
      </c>
      <c r="V1071" s="4">
        <v>1859</v>
      </c>
      <c r="W1071" s="4">
        <v>19</v>
      </c>
      <c r="X1071" s="4">
        <v>242</v>
      </c>
      <c r="Y1071" s="4">
        <v>0</v>
      </c>
      <c r="Z1071" s="5">
        <v>2120</v>
      </c>
      <c r="AA1071" s="5">
        <v>0</v>
      </c>
      <c r="AB1071" s="6">
        <v>0</v>
      </c>
      <c r="AC1071" s="4">
        <v>2120</v>
      </c>
      <c r="AD1071" s="4">
        <v>0</v>
      </c>
      <c r="AE1071" s="4">
        <v>2120</v>
      </c>
      <c r="AF1071" s="1"/>
      <c r="AG1071" s="1"/>
      <c r="AH1071" s="1"/>
      <c r="AI1071" s="1" t="s">
        <v>3432</v>
      </c>
      <c r="AJ1071" s="6">
        <v>877.7800000000002</v>
      </c>
      <c r="AK1071" s="6">
        <v>738.04000000000019</v>
      </c>
      <c r="AL1071" s="1"/>
    </row>
    <row r="1072" spans="1:38" hidden="1" x14ac:dyDescent="0.25">
      <c r="A1072" s="2">
        <v>1394</v>
      </c>
      <c r="B1072" s="1" t="s">
        <v>1268</v>
      </c>
      <c r="C1072" s="1" t="s">
        <v>1270</v>
      </c>
      <c r="D1072" s="1" t="s">
        <v>2062</v>
      </c>
      <c r="E1072" s="1" t="s">
        <v>2063</v>
      </c>
      <c r="F1072" s="3">
        <v>45414</v>
      </c>
      <c r="G1072" s="3">
        <v>45293</v>
      </c>
      <c r="H1072" s="3">
        <v>45658</v>
      </c>
      <c r="I1072" s="1" t="s">
        <v>3433</v>
      </c>
      <c r="J1072" s="1" t="s">
        <v>3434</v>
      </c>
      <c r="K1072" s="1"/>
      <c r="L1072" s="1" t="s">
        <v>3116</v>
      </c>
      <c r="M1072" s="1" t="s">
        <v>3435</v>
      </c>
      <c r="N1072" s="1" t="s">
        <v>3436</v>
      </c>
      <c r="O1072" s="1" t="s">
        <v>3437</v>
      </c>
      <c r="P1072" s="1" t="s">
        <v>2165</v>
      </c>
      <c r="Q1072" s="1" t="s">
        <v>3438</v>
      </c>
      <c r="R1072" s="1"/>
      <c r="S1072" s="1" t="s">
        <v>2072</v>
      </c>
      <c r="T1072" s="1" t="s">
        <v>2073</v>
      </c>
      <c r="U1072" s="4">
        <v>2100000</v>
      </c>
      <c r="V1072" s="4">
        <v>1585</v>
      </c>
      <c r="W1072" s="4">
        <v>15</v>
      </c>
      <c r="X1072" s="4">
        <v>206</v>
      </c>
      <c r="Y1072" s="4">
        <v>0</v>
      </c>
      <c r="Z1072" s="5">
        <v>1806</v>
      </c>
      <c r="AA1072" s="5">
        <v>0</v>
      </c>
      <c r="AB1072" s="6">
        <v>0</v>
      </c>
      <c r="AC1072" s="4">
        <v>1806</v>
      </c>
      <c r="AD1072" s="4">
        <v>0</v>
      </c>
      <c r="AE1072" s="4">
        <v>1806</v>
      </c>
      <c r="AF1072" s="1"/>
      <c r="AG1072" s="1"/>
      <c r="AH1072" s="1"/>
      <c r="AI1072" s="1" t="s">
        <v>3432</v>
      </c>
      <c r="AJ1072" s="6">
        <v>691.63</v>
      </c>
      <c r="AK1072" s="6">
        <v>629.23</v>
      </c>
      <c r="AL1072" s="1"/>
    </row>
    <row r="1073" spans="1:38" hidden="1" x14ac:dyDescent="0.25">
      <c r="A1073" s="2">
        <v>1395</v>
      </c>
      <c r="B1073" s="1" t="s">
        <v>1268</v>
      </c>
      <c r="C1073" s="1" t="s">
        <v>1271</v>
      </c>
      <c r="D1073" s="1" t="s">
        <v>2062</v>
      </c>
      <c r="E1073" s="1" t="s">
        <v>2063</v>
      </c>
      <c r="F1073" s="3">
        <v>45414</v>
      </c>
      <c r="G1073" s="3">
        <v>45293</v>
      </c>
      <c r="H1073" s="3">
        <v>45658</v>
      </c>
      <c r="I1073" s="1" t="s">
        <v>3433</v>
      </c>
      <c r="J1073" s="1" t="s">
        <v>3434</v>
      </c>
      <c r="K1073" s="1"/>
      <c r="L1073" s="1" t="s">
        <v>3116</v>
      </c>
      <c r="M1073" s="1" t="s">
        <v>3435</v>
      </c>
      <c r="N1073" s="1" t="s">
        <v>3436</v>
      </c>
      <c r="O1073" s="1" t="s">
        <v>3437</v>
      </c>
      <c r="P1073" s="1" t="s">
        <v>2165</v>
      </c>
      <c r="Q1073" s="1" t="s">
        <v>3438</v>
      </c>
      <c r="R1073" s="1"/>
      <c r="S1073" s="1" t="s">
        <v>2072</v>
      </c>
      <c r="T1073" s="1" t="s">
        <v>2073</v>
      </c>
      <c r="U1073" s="4">
        <v>2100000</v>
      </c>
      <c r="V1073" s="4">
        <v>1787</v>
      </c>
      <c r="W1073" s="4">
        <v>18</v>
      </c>
      <c r="X1073" s="4">
        <v>232</v>
      </c>
      <c r="Y1073" s="4">
        <v>0</v>
      </c>
      <c r="Z1073" s="5">
        <v>2037</v>
      </c>
      <c r="AA1073" s="5">
        <v>0</v>
      </c>
      <c r="AB1073" s="6">
        <v>0</v>
      </c>
      <c r="AC1073" s="4">
        <v>2037</v>
      </c>
      <c r="AD1073" s="4">
        <v>0</v>
      </c>
      <c r="AE1073" s="4">
        <v>2037</v>
      </c>
      <c r="AF1073" s="1"/>
      <c r="AG1073" s="1"/>
      <c r="AH1073" s="1"/>
      <c r="AI1073" s="1" t="s">
        <v>3432</v>
      </c>
      <c r="AJ1073" s="6">
        <v>994.13</v>
      </c>
      <c r="AK1073" s="6">
        <v>709.68</v>
      </c>
      <c r="AL1073" s="1"/>
    </row>
    <row r="1074" spans="1:38" hidden="1" x14ac:dyDescent="0.25">
      <c r="A1074" s="2">
        <v>1396</v>
      </c>
      <c r="B1074" s="1" t="s">
        <v>1268</v>
      </c>
      <c r="C1074" s="1" t="s">
        <v>1272</v>
      </c>
      <c r="D1074" s="1" t="s">
        <v>2062</v>
      </c>
      <c r="E1074" s="1" t="s">
        <v>2063</v>
      </c>
      <c r="F1074" s="3">
        <v>45414</v>
      </c>
      <c r="G1074" s="3">
        <v>45293</v>
      </c>
      <c r="H1074" s="3">
        <v>45658</v>
      </c>
      <c r="I1074" s="1" t="s">
        <v>3433</v>
      </c>
      <c r="J1074" s="1" t="s">
        <v>3434</v>
      </c>
      <c r="K1074" s="1"/>
      <c r="L1074" s="1" t="s">
        <v>3116</v>
      </c>
      <c r="M1074" s="1" t="s">
        <v>3435</v>
      </c>
      <c r="N1074" s="1" t="s">
        <v>3436</v>
      </c>
      <c r="O1074" s="1" t="s">
        <v>3437</v>
      </c>
      <c r="P1074" s="1" t="s">
        <v>2165</v>
      </c>
      <c r="Q1074" s="1" t="s">
        <v>3438</v>
      </c>
      <c r="R1074" s="1"/>
      <c r="S1074" s="1" t="s">
        <v>2072</v>
      </c>
      <c r="T1074" s="1" t="s">
        <v>2073</v>
      </c>
      <c r="U1074" s="4">
        <v>2100000</v>
      </c>
      <c r="V1074" s="4">
        <v>1098</v>
      </c>
      <c r="W1074" s="4">
        <v>11</v>
      </c>
      <c r="X1074" s="4">
        <v>143</v>
      </c>
      <c r="Y1074" s="4">
        <v>0</v>
      </c>
      <c r="Z1074" s="5">
        <v>1252</v>
      </c>
      <c r="AA1074" s="5">
        <v>0</v>
      </c>
      <c r="AB1074" s="6">
        <v>0</v>
      </c>
      <c r="AC1074" s="4">
        <v>1252</v>
      </c>
      <c r="AD1074" s="4">
        <v>0</v>
      </c>
      <c r="AE1074" s="4">
        <v>1252</v>
      </c>
      <c r="AF1074" s="1"/>
      <c r="AG1074" s="1"/>
      <c r="AH1074" s="1"/>
      <c r="AI1074" s="1" t="s">
        <v>3432</v>
      </c>
      <c r="AJ1074" s="6">
        <v>467.62</v>
      </c>
      <c r="AK1074" s="6">
        <v>434.84</v>
      </c>
      <c r="AL1074" s="1"/>
    </row>
    <row r="1075" spans="1:38" hidden="1" x14ac:dyDescent="0.25">
      <c r="A1075" s="2">
        <v>1397</v>
      </c>
      <c r="B1075" s="1" t="s">
        <v>1268</v>
      </c>
      <c r="C1075" s="1" t="s">
        <v>1273</v>
      </c>
      <c r="D1075" s="1" t="s">
        <v>2062</v>
      </c>
      <c r="E1075" s="1" t="s">
        <v>2063</v>
      </c>
      <c r="F1075" s="3">
        <v>45655</v>
      </c>
      <c r="G1075" s="3">
        <v>45293</v>
      </c>
      <c r="H1075" s="3">
        <v>45658</v>
      </c>
      <c r="I1075" s="1" t="s">
        <v>3433</v>
      </c>
      <c r="J1075" s="1" t="s">
        <v>3434</v>
      </c>
      <c r="K1075" s="1"/>
      <c r="L1075" s="1" t="s">
        <v>3116</v>
      </c>
      <c r="M1075" s="1" t="s">
        <v>3435</v>
      </c>
      <c r="N1075" s="1" t="s">
        <v>3436</v>
      </c>
      <c r="O1075" s="1" t="s">
        <v>3437</v>
      </c>
      <c r="P1075" s="1" t="s">
        <v>2165</v>
      </c>
      <c r="Q1075" s="1" t="s">
        <v>3438</v>
      </c>
      <c r="R1075" s="1"/>
      <c r="S1075" s="1" t="s">
        <v>2072</v>
      </c>
      <c r="T1075" s="1" t="s">
        <v>2073</v>
      </c>
      <c r="U1075" s="4">
        <v>-1</v>
      </c>
      <c r="V1075" s="4">
        <v>-7193</v>
      </c>
      <c r="W1075" s="4">
        <v>-72</v>
      </c>
      <c r="X1075" s="4">
        <v>0</v>
      </c>
      <c r="Y1075" s="4">
        <v>0</v>
      </c>
      <c r="Z1075" s="5">
        <v>-7265</v>
      </c>
      <c r="AA1075" s="5">
        <v>0</v>
      </c>
      <c r="AB1075" s="6">
        <v>0</v>
      </c>
      <c r="AC1075" s="4">
        <v>-7265</v>
      </c>
      <c r="AD1075" s="4">
        <v>0</v>
      </c>
      <c r="AE1075" s="4">
        <v>-7265</v>
      </c>
      <c r="AF1075" s="1"/>
      <c r="AG1075" s="1"/>
      <c r="AH1075" s="1"/>
      <c r="AI1075" s="1" t="s">
        <v>3432</v>
      </c>
      <c r="AJ1075" s="1"/>
      <c r="AK1075" s="1"/>
      <c r="AL1075" s="1"/>
    </row>
    <row r="1076" spans="1:38" hidden="1" x14ac:dyDescent="0.25">
      <c r="A1076" s="2">
        <v>1398</v>
      </c>
      <c r="B1076" s="1" t="s">
        <v>1274</v>
      </c>
      <c r="C1076" s="1" t="s">
        <v>1275</v>
      </c>
      <c r="D1076" s="1" t="s">
        <v>2062</v>
      </c>
      <c r="E1076" s="1" t="s">
        <v>2063</v>
      </c>
      <c r="F1076" s="3">
        <v>45449</v>
      </c>
      <c r="G1076" s="3">
        <v>45295</v>
      </c>
      <c r="H1076" s="3">
        <v>45660</v>
      </c>
      <c r="I1076" s="1" t="s">
        <v>3440</v>
      </c>
      <c r="J1076" s="1" t="s">
        <v>3441</v>
      </c>
      <c r="K1076" s="1"/>
      <c r="L1076" s="1" t="s">
        <v>2864</v>
      </c>
      <c r="M1076" s="1" t="s">
        <v>3442</v>
      </c>
      <c r="N1076" s="1" t="s">
        <v>3443</v>
      </c>
      <c r="O1076" s="1" t="s">
        <v>3444</v>
      </c>
      <c r="P1076" s="1" t="s">
        <v>2231</v>
      </c>
      <c r="Q1076" s="1" t="s">
        <v>3445</v>
      </c>
      <c r="R1076" s="1"/>
      <c r="S1076" s="1" t="s">
        <v>2072</v>
      </c>
      <c r="T1076" s="1" t="s">
        <v>2073</v>
      </c>
      <c r="U1076" s="4">
        <v>2000000</v>
      </c>
      <c r="V1076" s="4">
        <v>1036</v>
      </c>
      <c r="W1076" s="4">
        <v>10</v>
      </c>
      <c r="X1076" s="4">
        <v>134</v>
      </c>
      <c r="Y1076" s="4">
        <v>0</v>
      </c>
      <c r="Z1076" s="5">
        <v>1180</v>
      </c>
      <c r="AA1076" s="5">
        <v>0</v>
      </c>
      <c r="AB1076" s="6">
        <v>0</v>
      </c>
      <c r="AC1076" s="4">
        <v>1180</v>
      </c>
      <c r="AD1076" s="4">
        <v>0</v>
      </c>
      <c r="AE1076" s="4">
        <v>1180</v>
      </c>
      <c r="AF1076" s="1"/>
      <c r="AG1076" s="1"/>
      <c r="AH1076" s="1"/>
      <c r="AI1076" s="1" t="s">
        <v>3432</v>
      </c>
      <c r="AJ1076" s="1"/>
      <c r="AK1076" s="1"/>
      <c r="AL1076" s="1"/>
    </row>
    <row r="1077" spans="1:38" hidden="1" x14ac:dyDescent="0.25">
      <c r="A1077" s="2">
        <v>1399</v>
      </c>
      <c r="B1077" s="1" t="s">
        <v>1274</v>
      </c>
      <c r="C1077" s="1" t="s">
        <v>1276</v>
      </c>
      <c r="D1077" s="1" t="s">
        <v>2062</v>
      </c>
      <c r="E1077" s="1" t="s">
        <v>2063</v>
      </c>
      <c r="F1077" s="3">
        <v>45541</v>
      </c>
      <c r="G1077" s="3">
        <v>45295</v>
      </c>
      <c r="H1077" s="3">
        <v>45660</v>
      </c>
      <c r="I1077" s="1" t="s">
        <v>3440</v>
      </c>
      <c r="J1077" s="1" t="s">
        <v>3441</v>
      </c>
      <c r="K1077" s="1"/>
      <c r="L1077" s="1" t="s">
        <v>2864</v>
      </c>
      <c r="M1077" s="1" t="s">
        <v>3442</v>
      </c>
      <c r="N1077" s="1" t="s">
        <v>3443</v>
      </c>
      <c r="O1077" s="1" t="s">
        <v>3444</v>
      </c>
      <c r="P1077" s="1" t="s">
        <v>2231</v>
      </c>
      <c r="Q1077" s="1" t="s">
        <v>3445</v>
      </c>
      <c r="R1077" s="1"/>
      <c r="S1077" s="1" t="s">
        <v>2072</v>
      </c>
      <c r="T1077" s="1" t="s">
        <v>2073</v>
      </c>
      <c r="U1077" s="4">
        <v>2000000</v>
      </c>
      <c r="V1077" s="4">
        <v>882</v>
      </c>
      <c r="W1077" s="4">
        <v>9</v>
      </c>
      <c r="X1077" s="4">
        <v>132</v>
      </c>
      <c r="Y1077" s="4">
        <v>0</v>
      </c>
      <c r="Z1077" s="5">
        <v>1023</v>
      </c>
      <c r="AA1077" s="5">
        <v>0</v>
      </c>
      <c r="AB1077" s="6">
        <v>0</v>
      </c>
      <c r="AC1077" s="4">
        <v>1023</v>
      </c>
      <c r="AD1077" s="4">
        <v>0</v>
      </c>
      <c r="AE1077" s="4">
        <v>1023</v>
      </c>
      <c r="AF1077" s="1"/>
      <c r="AG1077" s="1"/>
      <c r="AH1077" s="1"/>
      <c r="AI1077" s="1" t="s">
        <v>3432</v>
      </c>
      <c r="AJ1077" s="6">
        <v>372.71</v>
      </c>
      <c r="AK1077" s="6">
        <v>372.71</v>
      </c>
      <c r="AL1077" s="1"/>
    </row>
    <row r="1078" spans="1:38" hidden="1" x14ac:dyDescent="0.25">
      <c r="A1078" s="2">
        <v>1400</v>
      </c>
      <c r="B1078" s="1" t="s">
        <v>1274</v>
      </c>
      <c r="C1078" s="1" t="s">
        <v>1277</v>
      </c>
      <c r="D1078" s="1" t="s">
        <v>2062</v>
      </c>
      <c r="E1078" s="1" t="s">
        <v>2063</v>
      </c>
      <c r="F1078" s="3">
        <v>45745</v>
      </c>
      <c r="G1078" s="3">
        <v>45295</v>
      </c>
      <c r="H1078" s="3">
        <v>45660</v>
      </c>
      <c r="I1078" s="1" t="s">
        <v>3440</v>
      </c>
      <c r="J1078" s="1" t="s">
        <v>3441</v>
      </c>
      <c r="K1078" s="1"/>
      <c r="L1078" s="1" t="s">
        <v>2864</v>
      </c>
      <c r="M1078" s="1" t="s">
        <v>3442</v>
      </c>
      <c r="N1078" s="1" t="s">
        <v>3443</v>
      </c>
      <c r="O1078" s="1" t="s">
        <v>3444</v>
      </c>
      <c r="P1078" s="1" t="s">
        <v>2231</v>
      </c>
      <c r="Q1078" s="1" t="s">
        <v>3445</v>
      </c>
      <c r="R1078" s="1"/>
      <c r="S1078" s="1" t="s">
        <v>2072</v>
      </c>
      <c r="T1078" s="1" t="s">
        <v>2073</v>
      </c>
      <c r="U1078" s="4">
        <v>-1</v>
      </c>
      <c r="V1078" s="4">
        <v>-2184</v>
      </c>
      <c r="W1078" s="4">
        <v>-19</v>
      </c>
      <c r="X1078" s="4">
        <v>0</v>
      </c>
      <c r="Y1078" s="4">
        <v>0</v>
      </c>
      <c r="Z1078" s="5">
        <v>-2203</v>
      </c>
      <c r="AA1078" s="5">
        <v>0</v>
      </c>
      <c r="AB1078" s="6">
        <v>0</v>
      </c>
      <c r="AC1078" s="4">
        <v>-2203</v>
      </c>
      <c r="AD1078" s="4">
        <v>0</v>
      </c>
      <c r="AE1078" s="4">
        <v>-2203</v>
      </c>
      <c r="AF1078" s="1"/>
      <c r="AG1078" s="1"/>
      <c r="AH1078" s="1"/>
      <c r="AI1078" s="1" t="s">
        <v>3432</v>
      </c>
      <c r="AJ1078" s="1"/>
      <c r="AK1078" s="1"/>
      <c r="AL1078" s="1"/>
    </row>
    <row r="1079" spans="1:38" hidden="1" x14ac:dyDescent="0.25">
      <c r="A1079" s="2">
        <v>1401</v>
      </c>
      <c r="B1079" s="1" t="s">
        <v>1278</v>
      </c>
      <c r="C1079" s="1" t="s">
        <v>1279</v>
      </c>
      <c r="D1079" s="1" t="s">
        <v>2062</v>
      </c>
      <c r="E1079" s="1" t="s">
        <v>2063</v>
      </c>
      <c r="F1079" s="3">
        <v>45425</v>
      </c>
      <c r="G1079" s="3">
        <v>45296</v>
      </c>
      <c r="H1079" s="3">
        <v>45661</v>
      </c>
      <c r="I1079" s="1" t="s">
        <v>3446</v>
      </c>
      <c r="J1079" s="1" t="s">
        <v>3447</v>
      </c>
      <c r="K1079" s="1"/>
      <c r="L1079" s="1" t="s">
        <v>2299</v>
      </c>
      <c r="M1079" s="1" t="s">
        <v>3448</v>
      </c>
      <c r="N1079" s="1" t="s">
        <v>3449</v>
      </c>
      <c r="O1079" s="1" t="s">
        <v>3450</v>
      </c>
      <c r="P1079" s="1" t="s">
        <v>2165</v>
      </c>
      <c r="Q1079" s="1" t="s">
        <v>3451</v>
      </c>
      <c r="R1079" s="1"/>
      <c r="S1079" s="1" t="s">
        <v>2072</v>
      </c>
      <c r="T1079" s="1" t="s">
        <v>2073</v>
      </c>
      <c r="U1079" s="4">
        <v>2000000</v>
      </c>
      <c r="V1079" s="4">
        <v>1723</v>
      </c>
      <c r="W1079" s="4">
        <v>17</v>
      </c>
      <c r="X1079" s="4">
        <v>224</v>
      </c>
      <c r="Y1079" s="4">
        <v>0</v>
      </c>
      <c r="Z1079" s="5">
        <v>1964</v>
      </c>
      <c r="AA1079" s="5">
        <v>0</v>
      </c>
      <c r="AB1079" s="6">
        <v>0</v>
      </c>
      <c r="AC1079" s="4">
        <v>1964</v>
      </c>
      <c r="AD1079" s="4">
        <v>0</v>
      </c>
      <c r="AE1079" s="4">
        <v>1964</v>
      </c>
      <c r="AF1079" s="1"/>
      <c r="AG1079" s="1"/>
      <c r="AH1079" s="1"/>
      <c r="AI1079" s="1" t="s">
        <v>3432</v>
      </c>
      <c r="AJ1079" s="6">
        <v>1139.1500000000001</v>
      </c>
      <c r="AK1079" s="6">
        <v>717.38</v>
      </c>
      <c r="AL1079" s="1"/>
    </row>
    <row r="1080" spans="1:38" hidden="1" x14ac:dyDescent="0.25">
      <c r="A1080" s="2">
        <v>1402</v>
      </c>
      <c r="B1080" s="1" t="s">
        <v>1278</v>
      </c>
      <c r="C1080" s="1" t="s">
        <v>1280</v>
      </c>
      <c r="D1080" s="1" t="s">
        <v>2062</v>
      </c>
      <c r="E1080" s="1" t="s">
        <v>2063</v>
      </c>
      <c r="F1080" s="3">
        <v>45449</v>
      </c>
      <c r="G1080" s="3">
        <v>45296</v>
      </c>
      <c r="H1080" s="3">
        <v>45661</v>
      </c>
      <c r="I1080" s="1" t="s">
        <v>3446</v>
      </c>
      <c r="J1080" s="1" t="s">
        <v>3447</v>
      </c>
      <c r="K1080" s="1"/>
      <c r="L1080" s="1" t="s">
        <v>2299</v>
      </c>
      <c r="M1080" s="1" t="s">
        <v>3448</v>
      </c>
      <c r="N1080" s="1" t="s">
        <v>3449</v>
      </c>
      <c r="O1080" s="1" t="s">
        <v>3450</v>
      </c>
      <c r="P1080" s="1" t="s">
        <v>2165</v>
      </c>
      <c r="Q1080" s="1" t="s">
        <v>3451</v>
      </c>
      <c r="R1080" s="1"/>
      <c r="S1080" s="1" t="s">
        <v>2072</v>
      </c>
      <c r="T1080" s="1" t="s">
        <v>2073</v>
      </c>
      <c r="U1080" s="4">
        <v>2000000</v>
      </c>
      <c r="V1080" s="4">
        <v>2255</v>
      </c>
      <c r="W1080" s="4">
        <v>23</v>
      </c>
      <c r="X1080" s="4">
        <v>294</v>
      </c>
      <c r="Y1080" s="4">
        <v>0</v>
      </c>
      <c r="Z1080" s="5">
        <v>2572</v>
      </c>
      <c r="AA1080" s="5">
        <v>0</v>
      </c>
      <c r="AB1080" s="6">
        <v>0</v>
      </c>
      <c r="AC1080" s="4">
        <v>2572</v>
      </c>
      <c r="AD1080" s="4">
        <v>0</v>
      </c>
      <c r="AE1080" s="4">
        <v>2572</v>
      </c>
      <c r="AF1080" s="1"/>
      <c r="AG1080" s="1"/>
      <c r="AH1080" s="1"/>
      <c r="AI1080" s="1" t="s">
        <v>3432</v>
      </c>
      <c r="AJ1080" s="6">
        <v>2028.4499999999971</v>
      </c>
      <c r="AK1080" s="6">
        <v>939.42</v>
      </c>
      <c r="AL1080" s="1"/>
    </row>
    <row r="1081" spans="1:38" hidden="1" x14ac:dyDescent="0.25">
      <c r="A1081" s="2">
        <v>1403</v>
      </c>
      <c r="B1081" s="1" t="s">
        <v>1278</v>
      </c>
      <c r="C1081" s="1" t="s">
        <v>1281</v>
      </c>
      <c r="D1081" s="1" t="s">
        <v>2062</v>
      </c>
      <c r="E1081" s="1" t="s">
        <v>2063</v>
      </c>
      <c r="F1081" s="3">
        <v>45478</v>
      </c>
      <c r="G1081" s="3">
        <v>45296</v>
      </c>
      <c r="H1081" s="3">
        <v>45661</v>
      </c>
      <c r="I1081" s="1" t="s">
        <v>3446</v>
      </c>
      <c r="J1081" s="1" t="s">
        <v>3447</v>
      </c>
      <c r="K1081" s="1"/>
      <c r="L1081" s="1" t="s">
        <v>2299</v>
      </c>
      <c r="M1081" s="1" t="s">
        <v>3448</v>
      </c>
      <c r="N1081" s="1" t="s">
        <v>3449</v>
      </c>
      <c r="O1081" s="1" t="s">
        <v>3450</v>
      </c>
      <c r="P1081" s="1" t="s">
        <v>2165</v>
      </c>
      <c r="Q1081" s="1" t="s">
        <v>3451</v>
      </c>
      <c r="R1081" s="1"/>
      <c r="S1081" s="1" t="s">
        <v>2072</v>
      </c>
      <c r="T1081" s="1" t="s">
        <v>2073</v>
      </c>
      <c r="U1081" s="4">
        <v>2000000</v>
      </c>
      <c r="V1081" s="4">
        <v>1684</v>
      </c>
      <c r="W1081" s="4">
        <v>17</v>
      </c>
      <c r="X1081" s="4">
        <v>253</v>
      </c>
      <c r="Y1081" s="4">
        <v>0</v>
      </c>
      <c r="Z1081" s="5">
        <v>1954</v>
      </c>
      <c r="AA1081" s="5">
        <v>0</v>
      </c>
      <c r="AB1081" s="6">
        <v>0</v>
      </c>
      <c r="AC1081" s="4">
        <v>1954</v>
      </c>
      <c r="AD1081" s="4">
        <v>0</v>
      </c>
      <c r="AE1081" s="4">
        <v>1954</v>
      </c>
      <c r="AF1081" s="1"/>
      <c r="AG1081" s="1"/>
      <c r="AH1081" s="1"/>
      <c r="AI1081" s="1" t="s">
        <v>3432</v>
      </c>
      <c r="AJ1081" s="6">
        <v>820.74</v>
      </c>
      <c r="AK1081" s="6">
        <v>712.66</v>
      </c>
      <c r="AL1081" s="1"/>
    </row>
    <row r="1082" spans="1:38" hidden="1" x14ac:dyDescent="0.25">
      <c r="A1082" s="2">
        <v>1404</v>
      </c>
      <c r="B1082" s="1" t="s">
        <v>1278</v>
      </c>
      <c r="C1082" s="1" t="s">
        <v>1282</v>
      </c>
      <c r="D1082" s="1" t="s">
        <v>2062</v>
      </c>
      <c r="E1082" s="1" t="s">
        <v>2063</v>
      </c>
      <c r="F1082" s="3">
        <v>45511</v>
      </c>
      <c r="G1082" s="3">
        <v>45296</v>
      </c>
      <c r="H1082" s="3">
        <v>45661</v>
      </c>
      <c r="I1082" s="1" t="s">
        <v>3446</v>
      </c>
      <c r="J1082" s="1" t="s">
        <v>3447</v>
      </c>
      <c r="K1082" s="1"/>
      <c r="L1082" s="1" t="s">
        <v>2299</v>
      </c>
      <c r="M1082" s="1" t="s">
        <v>3448</v>
      </c>
      <c r="N1082" s="1" t="s">
        <v>3449</v>
      </c>
      <c r="O1082" s="1" t="s">
        <v>3450</v>
      </c>
      <c r="P1082" s="1" t="s">
        <v>2165</v>
      </c>
      <c r="Q1082" s="1" t="s">
        <v>3451</v>
      </c>
      <c r="R1082" s="1"/>
      <c r="S1082" s="1" t="s">
        <v>2072</v>
      </c>
      <c r="T1082" s="1" t="s">
        <v>2073</v>
      </c>
      <c r="U1082" s="4">
        <v>2000000</v>
      </c>
      <c r="V1082" s="4">
        <v>1397</v>
      </c>
      <c r="W1082" s="4">
        <v>14</v>
      </c>
      <c r="X1082" s="4">
        <v>209</v>
      </c>
      <c r="Y1082" s="4">
        <v>0</v>
      </c>
      <c r="Z1082" s="5">
        <v>1620</v>
      </c>
      <c r="AA1082" s="5">
        <v>0</v>
      </c>
      <c r="AB1082" s="6">
        <v>0</v>
      </c>
      <c r="AC1082" s="4">
        <v>1620</v>
      </c>
      <c r="AD1082" s="4">
        <v>0</v>
      </c>
      <c r="AE1082" s="4">
        <v>1620</v>
      </c>
      <c r="AF1082" s="1"/>
      <c r="AG1082" s="1"/>
      <c r="AH1082" s="1"/>
      <c r="AI1082" s="1" t="s">
        <v>3432</v>
      </c>
      <c r="AJ1082" s="6">
        <v>855.76</v>
      </c>
      <c r="AK1082" s="6">
        <v>591.93000000000006</v>
      </c>
      <c r="AL1082" s="1"/>
    </row>
    <row r="1083" spans="1:38" hidden="1" x14ac:dyDescent="0.25">
      <c r="A1083" s="2">
        <v>1405</v>
      </c>
      <c r="B1083" s="1" t="s">
        <v>1278</v>
      </c>
      <c r="C1083" s="1" t="s">
        <v>1283</v>
      </c>
      <c r="D1083" s="1" t="s">
        <v>2062</v>
      </c>
      <c r="E1083" s="1" t="s">
        <v>2063</v>
      </c>
      <c r="F1083" s="3">
        <v>45541</v>
      </c>
      <c r="G1083" s="3">
        <v>45296</v>
      </c>
      <c r="H1083" s="3">
        <v>45661</v>
      </c>
      <c r="I1083" s="1" t="s">
        <v>3446</v>
      </c>
      <c r="J1083" s="1" t="s">
        <v>3447</v>
      </c>
      <c r="K1083" s="1"/>
      <c r="L1083" s="1" t="s">
        <v>2299</v>
      </c>
      <c r="M1083" s="1" t="s">
        <v>3448</v>
      </c>
      <c r="N1083" s="1" t="s">
        <v>3449</v>
      </c>
      <c r="O1083" s="1" t="s">
        <v>3450</v>
      </c>
      <c r="P1083" s="1" t="s">
        <v>2165</v>
      </c>
      <c r="Q1083" s="1" t="s">
        <v>3451</v>
      </c>
      <c r="R1083" s="1"/>
      <c r="S1083" s="1" t="s">
        <v>2072</v>
      </c>
      <c r="T1083" s="1" t="s">
        <v>2073</v>
      </c>
      <c r="U1083" s="4">
        <v>2000000</v>
      </c>
      <c r="V1083" s="4">
        <v>1313</v>
      </c>
      <c r="W1083" s="4">
        <v>13</v>
      </c>
      <c r="X1083" s="4">
        <v>197</v>
      </c>
      <c r="Y1083" s="4">
        <v>0</v>
      </c>
      <c r="Z1083" s="5">
        <v>1523</v>
      </c>
      <c r="AA1083" s="5">
        <v>0</v>
      </c>
      <c r="AB1083" s="6">
        <v>0</v>
      </c>
      <c r="AC1083" s="4">
        <v>1523</v>
      </c>
      <c r="AD1083" s="4">
        <v>0</v>
      </c>
      <c r="AE1083" s="4">
        <v>1523</v>
      </c>
      <c r="AF1083" s="1"/>
      <c r="AG1083" s="1"/>
      <c r="AH1083" s="1"/>
      <c r="AI1083" s="1" t="s">
        <v>3432</v>
      </c>
      <c r="AJ1083" s="6">
        <v>777.44</v>
      </c>
      <c r="AK1083" s="6">
        <v>556.12</v>
      </c>
      <c r="AL1083" s="1"/>
    </row>
    <row r="1084" spans="1:38" hidden="1" x14ac:dyDescent="0.25">
      <c r="A1084" s="2">
        <v>1406</v>
      </c>
      <c r="B1084" s="1" t="s">
        <v>1278</v>
      </c>
      <c r="C1084" s="1" t="s">
        <v>1284</v>
      </c>
      <c r="D1084" s="1" t="s">
        <v>2062</v>
      </c>
      <c r="E1084" s="1" t="s">
        <v>2063</v>
      </c>
      <c r="F1084" s="3">
        <v>45574</v>
      </c>
      <c r="G1084" s="3">
        <v>45296</v>
      </c>
      <c r="H1084" s="3">
        <v>45661</v>
      </c>
      <c r="I1084" s="1" t="s">
        <v>3446</v>
      </c>
      <c r="J1084" s="1" t="s">
        <v>3447</v>
      </c>
      <c r="K1084" s="1"/>
      <c r="L1084" s="1" t="s">
        <v>2299</v>
      </c>
      <c r="M1084" s="1" t="s">
        <v>3448</v>
      </c>
      <c r="N1084" s="1" t="s">
        <v>3449</v>
      </c>
      <c r="O1084" s="1" t="s">
        <v>3450</v>
      </c>
      <c r="P1084" s="1" t="s">
        <v>2165</v>
      </c>
      <c r="Q1084" s="1" t="s">
        <v>3451</v>
      </c>
      <c r="R1084" s="1"/>
      <c r="S1084" s="1" t="s">
        <v>2072</v>
      </c>
      <c r="T1084" s="1" t="s">
        <v>2073</v>
      </c>
      <c r="U1084" s="4">
        <v>2000000</v>
      </c>
      <c r="V1084" s="4">
        <v>1156</v>
      </c>
      <c r="W1084" s="4">
        <v>12</v>
      </c>
      <c r="X1084" s="4">
        <v>173</v>
      </c>
      <c r="Y1084" s="4">
        <v>0</v>
      </c>
      <c r="Z1084" s="5">
        <v>1341</v>
      </c>
      <c r="AA1084" s="5">
        <v>0</v>
      </c>
      <c r="AB1084" s="6">
        <v>0</v>
      </c>
      <c r="AC1084" s="4">
        <v>1341</v>
      </c>
      <c r="AD1084" s="4">
        <v>0</v>
      </c>
      <c r="AE1084" s="4">
        <v>1341</v>
      </c>
      <c r="AF1084" s="1"/>
      <c r="AG1084" s="1"/>
      <c r="AH1084" s="1"/>
      <c r="AI1084" s="1" t="s">
        <v>3432</v>
      </c>
      <c r="AJ1084" s="6">
        <v>848.75</v>
      </c>
      <c r="AK1084" s="6">
        <v>489.96</v>
      </c>
      <c r="AL1084" s="1"/>
    </row>
    <row r="1085" spans="1:38" hidden="1" x14ac:dyDescent="0.25">
      <c r="A1085" s="2">
        <v>1407</v>
      </c>
      <c r="B1085" s="1" t="s">
        <v>1278</v>
      </c>
      <c r="C1085" s="1" t="s">
        <v>1285</v>
      </c>
      <c r="D1085" s="1" t="s">
        <v>2062</v>
      </c>
      <c r="E1085" s="1" t="s">
        <v>2063</v>
      </c>
      <c r="F1085" s="3">
        <v>45602</v>
      </c>
      <c r="G1085" s="3">
        <v>45296</v>
      </c>
      <c r="H1085" s="3">
        <v>45661</v>
      </c>
      <c r="I1085" s="1" t="s">
        <v>3446</v>
      </c>
      <c r="J1085" s="1" t="s">
        <v>3447</v>
      </c>
      <c r="K1085" s="1"/>
      <c r="L1085" s="1" t="s">
        <v>2299</v>
      </c>
      <c r="M1085" s="1" t="s">
        <v>3448</v>
      </c>
      <c r="N1085" s="1" t="s">
        <v>3449</v>
      </c>
      <c r="O1085" s="1" t="s">
        <v>3450</v>
      </c>
      <c r="P1085" s="1" t="s">
        <v>2165</v>
      </c>
      <c r="Q1085" s="1" t="s">
        <v>3451</v>
      </c>
      <c r="R1085" s="1"/>
      <c r="S1085" s="1" t="s">
        <v>2072</v>
      </c>
      <c r="T1085" s="1" t="s">
        <v>2073</v>
      </c>
      <c r="U1085" s="4">
        <v>2000000</v>
      </c>
      <c r="V1085" s="4">
        <v>1229</v>
      </c>
      <c r="W1085" s="4">
        <v>12</v>
      </c>
      <c r="X1085" s="4">
        <v>184</v>
      </c>
      <c r="Y1085" s="4">
        <v>0</v>
      </c>
      <c r="Z1085" s="5">
        <v>1425</v>
      </c>
      <c r="AA1085" s="5">
        <v>0</v>
      </c>
      <c r="AB1085" s="6">
        <v>0</v>
      </c>
      <c r="AC1085" s="4">
        <v>1425</v>
      </c>
      <c r="AD1085" s="4">
        <v>0</v>
      </c>
      <c r="AE1085" s="4">
        <v>1425</v>
      </c>
      <c r="AF1085" s="1"/>
      <c r="AG1085" s="1"/>
      <c r="AH1085" s="1"/>
      <c r="AI1085" s="1" t="s">
        <v>3432</v>
      </c>
      <c r="AJ1085" s="6">
        <v>695.56</v>
      </c>
      <c r="AK1085" s="6">
        <v>520.62</v>
      </c>
      <c r="AL1085" s="1"/>
    </row>
    <row r="1086" spans="1:38" hidden="1" x14ac:dyDescent="0.25">
      <c r="A1086" s="2">
        <v>1408</v>
      </c>
      <c r="B1086" s="1" t="s">
        <v>1278</v>
      </c>
      <c r="C1086" s="1" t="s">
        <v>1286</v>
      </c>
      <c r="D1086" s="1" t="s">
        <v>2062</v>
      </c>
      <c r="E1086" s="1" t="s">
        <v>2063</v>
      </c>
      <c r="F1086" s="3">
        <v>45636</v>
      </c>
      <c r="G1086" s="3">
        <v>45296</v>
      </c>
      <c r="H1086" s="3">
        <v>45661</v>
      </c>
      <c r="I1086" s="1" t="s">
        <v>3446</v>
      </c>
      <c r="J1086" s="1" t="s">
        <v>3447</v>
      </c>
      <c r="K1086" s="1"/>
      <c r="L1086" s="1" t="s">
        <v>2299</v>
      </c>
      <c r="M1086" s="1" t="s">
        <v>3448</v>
      </c>
      <c r="N1086" s="1" t="s">
        <v>3449</v>
      </c>
      <c r="O1086" s="1" t="s">
        <v>3450</v>
      </c>
      <c r="P1086" s="1" t="s">
        <v>2165</v>
      </c>
      <c r="Q1086" s="1" t="s">
        <v>3451</v>
      </c>
      <c r="R1086" s="1"/>
      <c r="S1086" s="1" t="s">
        <v>2072</v>
      </c>
      <c r="T1086" s="1" t="s">
        <v>2073</v>
      </c>
      <c r="U1086" s="4">
        <v>2000000</v>
      </c>
      <c r="V1086" s="4">
        <v>835</v>
      </c>
      <c r="W1086" s="4">
        <v>8</v>
      </c>
      <c r="X1086" s="4">
        <v>125</v>
      </c>
      <c r="Y1086" s="4">
        <v>0</v>
      </c>
      <c r="Z1086" s="5">
        <v>968</v>
      </c>
      <c r="AA1086" s="5">
        <v>0</v>
      </c>
      <c r="AB1086" s="6">
        <v>0</v>
      </c>
      <c r="AC1086" s="4">
        <v>968</v>
      </c>
      <c r="AD1086" s="4">
        <v>0</v>
      </c>
      <c r="AE1086" s="4">
        <v>968</v>
      </c>
      <c r="AF1086" s="1"/>
      <c r="AG1086" s="1"/>
      <c r="AH1086" s="1"/>
      <c r="AI1086" s="1" t="s">
        <v>3432</v>
      </c>
      <c r="AJ1086" s="6">
        <v>524.43000000000006</v>
      </c>
      <c r="AK1086" s="6">
        <v>353.48</v>
      </c>
      <c r="AL1086" s="1"/>
    </row>
    <row r="1087" spans="1:38" hidden="1" x14ac:dyDescent="0.25">
      <c r="A1087" s="2">
        <v>1409</v>
      </c>
      <c r="B1087" s="1" t="s">
        <v>1278</v>
      </c>
      <c r="C1087" s="1" t="s">
        <v>1287</v>
      </c>
      <c r="D1087" s="1" t="s">
        <v>2062</v>
      </c>
      <c r="E1087" s="1" t="s">
        <v>2063</v>
      </c>
      <c r="F1087" s="3">
        <v>45655</v>
      </c>
      <c r="G1087" s="3">
        <v>45296</v>
      </c>
      <c r="H1087" s="3">
        <v>45661</v>
      </c>
      <c r="I1087" s="1" t="s">
        <v>3446</v>
      </c>
      <c r="J1087" s="1" t="s">
        <v>3447</v>
      </c>
      <c r="K1087" s="1"/>
      <c r="L1087" s="1" t="s">
        <v>2299</v>
      </c>
      <c r="M1087" s="1" t="s">
        <v>3448</v>
      </c>
      <c r="N1087" s="1" t="s">
        <v>3449</v>
      </c>
      <c r="O1087" s="1" t="s">
        <v>3450</v>
      </c>
      <c r="P1087" s="1" t="s">
        <v>2165</v>
      </c>
      <c r="Q1087" s="1" t="s">
        <v>3451</v>
      </c>
      <c r="R1087" s="1"/>
      <c r="S1087" s="1" t="s">
        <v>2072</v>
      </c>
      <c r="T1087" s="1" t="s">
        <v>2073</v>
      </c>
      <c r="U1087" s="4">
        <v>-1</v>
      </c>
      <c r="V1087" s="4">
        <v>-13235</v>
      </c>
      <c r="W1087" s="4">
        <v>-132</v>
      </c>
      <c r="X1087" s="4">
        <v>0</v>
      </c>
      <c r="Y1087" s="4">
        <v>0</v>
      </c>
      <c r="Z1087" s="5">
        <v>-13367</v>
      </c>
      <c r="AA1087" s="5">
        <v>0</v>
      </c>
      <c r="AB1087" s="6">
        <v>0</v>
      </c>
      <c r="AC1087" s="4">
        <v>-13367</v>
      </c>
      <c r="AD1087" s="4">
        <v>0</v>
      </c>
      <c r="AE1087" s="4">
        <v>-13367</v>
      </c>
      <c r="AF1087" s="1"/>
      <c r="AG1087" s="1"/>
      <c r="AH1087" s="1"/>
      <c r="AI1087" s="1" t="s">
        <v>3432</v>
      </c>
      <c r="AJ1087" s="1"/>
      <c r="AK1087" s="1"/>
      <c r="AL1087" s="1"/>
    </row>
    <row r="1088" spans="1:38" hidden="1" x14ac:dyDescent="0.25">
      <c r="A1088" s="2">
        <v>1414</v>
      </c>
      <c r="B1088" s="1" t="s">
        <v>1288</v>
      </c>
      <c r="C1088" s="1" t="s">
        <v>1289</v>
      </c>
      <c r="D1088" s="1" t="s">
        <v>2062</v>
      </c>
      <c r="E1088" s="1" t="s">
        <v>2063</v>
      </c>
      <c r="F1088" s="3">
        <v>45391</v>
      </c>
      <c r="G1088" s="3">
        <v>45300</v>
      </c>
      <c r="H1088" s="3">
        <v>45665</v>
      </c>
      <c r="I1088" s="1" t="s">
        <v>3452</v>
      </c>
      <c r="J1088" s="1" t="s">
        <v>3453</v>
      </c>
      <c r="K1088" s="1"/>
      <c r="L1088" s="1" t="s">
        <v>2404</v>
      </c>
      <c r="M1088" s="1" t="s">
        <v>3454</v>
      </c>
      <c r="N1088" s="1" t="s">
        <v>3455</v>
      </c>
      <c r="O1088" s="1" t="s">
        <v>3456</v>
      </c>
      <c r="P1088" s="1" t="s">
        <v>2217</v>
      </c>
      <c r="Q1088" s="1" t="s">
        <v>3457</v>
      </c>
      <c r="R1088" s="1"/>
      <c r="S1088" s="1" t="s">
        <v>2072</v>
      </c>
      <c r="T1088" s="1" t="s">
        <v>2073</v>
      </c>
      <c r="U1088" s="4">
        <v>2300000</v>
      </c>
      <c r="V1088" s="4">
        <v>940</v>
      </c>
      <c r="W1088" s="4">
        <v>9</v>
      </c>
      <c r="X1088" s="4">
        <v>122</v>
      </c>
      <c r="Y1088" s="4">
        <v>0</v>
      </c>
      <c r="Z1088" s="5">
        <v>1071</v>
      </c>
      <c r="AA1088" s="5">
        <v>0</v>
      </c>
      <c r="AB1088" s="6">
        <v>0</v>
      </c>
      <c r="AC1088" s="4">
        <v>1071</v>
      </c>
      <c r="AD1088" s="4">
        <v>0</v>
      </c>
      <c r="AE1088" s="4">
        <v>1071</v>
      </c>
      <c r="AF1088" s="1"/>
      <c r="AG1088" s="1"/>
      <c r="AH1088" s="1"/>
      <c r="AI1088" s="1" t="s">
        <v>3432</v>
      </c>
      <c r="AJ1088" s="6">
        <v>373.6400000000001</v>
      </c>
      <c r="AK1088" s="6">
        <v>340.32</v>
      </c>
      <c r="AL1088" s="1"/>
    </row>
    <row r="1089" spans="1:38" hidden="1" x14ac:dyDescent="0.25">
      <c r="A1089" s="2">
        <v>1415</v>
      </c>
      <c r="B1089" s="1" t="s">
        <v>1288</v>
      </c>
      <c r="C1089" s="1" t="s">
        <v>1290</v>
      </c>
      <c r="D1089" s="1" t="s">
        <v>2062</v>
      </c>
      <c r="E1089" s="1" t="s">
        <v>2063</v>
      </c>
      <c r="F1089" s="3">
        <v>45425</v>
      </c>
      <c r="G1089" s="3">
        <v>45300</v>
      </c>
      <c r="H1089" s="3">
        <v>45665</v>
      </c>
      <c r="I1089" s="1" t="s">
        <v>3452</v>
      </c>
      <c r="J1089" s="1" t="s">
        <v>3453</v>
      </c>
      <c r="K1089" s="1"/>
      <c r="L1089" s="1" t="s">
        <v>2404</v>
      </c>
      <c r="M1089" s="1" t="s">
        <v>3454</v>
      </c>
      <c r="N1089" s="1" t="s">
        <v>3455</v>
      </c>
      <c r="O1089" s="1" t="s">
        <v>3456</v>
      </c>
      <c r="P1089" s="1" t="s">
        <v>2217</v>
      </c>
      <c r="Q1089" s="1" t="s">
        <v>3457</v>
      </c>
      <c r="R1089" s="1"/>
      <c r="S1089" s="1" t="s">
        <v>2072</v>
      </c>
      <c r="T1089" s="1" t="s">
        <v>2073</v>
      </c>
      <c r="U1089" s="4">
        <v>2300000</v>
      </c>
      <c r="V1089" s="4">
        <v>1242</v>
      </c>
      <c r="W1089" s="4">
        <v>12</v>
      </c>
      <c r="X1089" s="4">
        <v>161</v>
      </c>
      <c r="Y1089" s="4">
        <v>0</v>
      </c>
      <c r="Z1089" s="5">
        <v>1415</v>
      </c>
      <c r="AA1089" s="5">
        <v>0</v>
      </c>
      <c r="AB1089" s="6">
        <v>0</v>
      </c>
      <c r="AC1089" s="4">
        <v>1415</v>
      </c>
      <c r="AD1089" s="4">
        <v>0</v>
      </c>
      <c r="AE1089" s="4">
        <v>1415</v>
      </c>
      <c r="AF1089" s="1"/>
      <c r="AG1089" s="1"/>
      <c r="AH1089" s="1"/>
      <c r="AI1089" s="1" t="s">
        <v>3432</v>
      </c>
      <c r="AJ1089" s="6">
        <v>531.79</v>
      </c>
      <c r="AK1089" s="6">
        <v>448.67</v>
      </c>
      <c r="AL1089" s="1"/>
    </row>
    <row r="1090" spans="1:38" hidden="1" x14ac:dyDescent="0.25">
      <c r="A1090" s="2">
        <v>1416</v>
      </c>
      <c r="B1090" s="1" t="s">
        <v>1288</v>
      </c>
      <c r="C1090" s="1" t="s">
        <v>1291</v>
      </c>
      <c r="D1090" s="1" t="s">
        <v>2062</v>
      </c>
      <c r="E1090" s="1" t="s">
        <v>2063</v>
      </c>
      <c r="F1090" s="3">
        <v>45453</v>
      </c>
      <c r="G1090" s="3">
        <v>45300</v>
      </c>
      <c r="H1090" s="3">
        <v>45665</v>
      </c>
      <c r="I1090" s="1" t="s">
        <v>3452</v>
      </c>
      <c r="J1090" s="1" t="s">
        <v>3453</v>
      </c>
      <c r="K1090" s="1"/>
      <c r="L1090" s="1" t="s">
        <v>2404</v>
      </c>
      <c r="M1090" s="1" t="s">
        <v>3454</v>
      </c>
      <c r="N1090" s="1" t="s">
        <v>3455</v>
      </c>
      <c r="O1090" s="1" t="s">
        <v>3456</v>
      </c>
      <c r="P1090" s="1" t="s">
        <v>2217</v>
      </c>
      <c r="Q1090" s="1" t="s">
        <v>3457</v>
      </c>
      <c r="R1090" s="1"/>
      <c r="S1090" s="1" t="s">
        <v>2072</v>
      </c>
      <c r="T1090" s="1" t="s">
        <v>2073</v>
      </c>
      <c r="U1090" s="4">
        <v>2300000</v>
      </c>
      <c r="V1090" s="4">
        <v>1064</v>
      </c>
      <c r="W1090" s="4">
        <v>11</v>
      </c>
      <c r="X1090" s="4">
        <v>139</v>
      </c>
      <c r="Y1090" s="4">
        <v>0</v>
      </c>
      <c r="Z1090" s="5">
        <v>1214</v>
      </c>
      <c r="AA1090" s="5">
        <v>0</v>
      </c>
      <c r="AB1090" s="6">
        <v>0</v>
      </c>
      <c r="AC1090" s="4">
        <v>1214</v>
      </c>
      <c r="AD1090" s="4">
        <v>0</v>
      </c>
      <c r="AE1090" s="4">
        <v>1214</v>
      </c>
      <c r="AF1090" s="1"/>
      <c r="AG1090" s="1"/>
      <c r="AH1090" s="1"/>
      <c r="AI1090" s="1" t="s">
        <v>3432</v>
      </c>
      <c r="AJ1090" s="6">
        <v>1108.1600000000121</v>
      </c>
      <c r="AK1090" s="6">
        <v>385.02</v>
      </c>
      <c r="AL1090" s="1"/>
    </row>
    <row r="1091" spans="1:38" hidden="1" x14ac:dyDescent="0.25">
      <c r="A1091" s="2">
        <v>1417</v>
      </c>
      <c r="B1091" s="1" t="s">
        <v>1288</v>
      </c>
      <c r="C1091" s="1" t="s">
        <v>1292</v>
      </c>
      <c r="D1091" s="1" t="s">
        <v>2062</v>
      </c>
      <c r="E1091" s="1" t="s">
        <v>2063</v>
      </c>
      <c r="F1091" s="3">
        <v>45483</v>
      </c>
      <c r="G1091" s="3">
        <v>45300</v>
      </c>
      <c r="H1091" s="3">
        <v>45665</v>
      </c>
      <c r="I1091" s="1" t="s">
        <v>3452</v>
      </c>
      <c r="J1091" s="1" t="s">
        <v>3453</v>
      </c>
      <c r="K1091" s="1"/>
      <c r="L1091" s="1" t="s">
        <v>2404</v>
      </c>
      <c r="M1091" s="1" t="s">
        <v>3454</v>
      </c>
      <c r="N1091" s="1" t="s">
        <v>3455</v>
      </c>
      <c r="O1091" s="1" t="s">
        <v>3456</v>
      </c>
      <c r="P1091" s="1" t="s">
        <v>2217</v>
      </c>
      <c r="Q1091" s="1" t="s">
        <v>3457</v>
      </c>
      <c r="R1091" s="1"/>
      <c r="S1091" s="1" t="s">
        <v>2072</v>
      </c>
      <c r="T1091" s="1" t="s">
        <v>2073</v>
      </c>
      <c r="U1091" s="4">
        <v>2300000</v>
      </c>
      <c r="V1091" s="4">
        <v>668</v>
      </c>
      <c r="W1091" s="4">
        <v>7</v>
      </c>
      <c r="X1091" s="4">
        <v>100</v>
      </c>
      <c r="Y1091" s="4">
        <v>0</v>
      </c>
      <c r="Z1091" s="5">
        <v>775</v>
      </c>
      <c r="AA1091" s="5">
        <v>0</v>
      </c>
      <c r="AB1091" s="6">
        <v>0</v>
      </c>
      <c r="AC1091" s="4">
        <v>775</v>
      </c>
      <c r="AD1091" s="4">
        <v>0</v>
      </c>
      <c r="AE1091" s="4">
        <v>775</v>
      </c>
      <c r="AF1091" s="1"/>
      <c r="AG1091" s="1"/>
      <c r="AH1091" s="1"/>
      <c r="AI1091" s="1" t="s">
        <v>3432</v>
      </c>
      <c r="AJ1091" s="6">
        <v>283.42</v>
      </c>
      <c r="AK1091" s="6">
        <v>245.94</v>
      </c>
      <c r="AL1091" s="1"/>
    </row>
    <row r="1092" spans="1:38" hidden="1" x14ac:dyDescent="0.25">
      <c r="A1092" s="2">
        <v>1418</v>
      </c>
      <c r="B1092" s="1" t="s">
        <v>1288</v>
      </c>
      <c r="C1092" s="1" t="s">
        <v>1293</v>
      </c>
      <c r="D1092" s="1" t="s">
        <v>2062</v>
      </c>
      <c r="E1092" s="1" t="s">
        <v>2063</v>
      </c>
      <c r="F1092" s="3">
        <v>45516</v>
      </c>
      <c r="G1092" s="3">
        <v>45300</v>
      </c>
      <c r="H1092" s="3">
        <v>45665</v>
      </c>
      <c r="I1092" s="1" t="s">
        <v>3452</v>
      </c>
      <c r="J1092" s="1" t="s">
        <v>3453</v>
      </c>
      <c r="K1092" s="1"/>
      <c r="L1092" s="1" t="s">
        <v>2404</v>
      </c>
      <c r="M1092" s="1" t="s">
        <v>3454</v>
      </c>
      <c r="N1092" s="1" t="s">
        <v>3455</v>
      </c>
      <c r="O1092" s="1" t="s">
        <v>3456</v>
      </c>
      <c r="P1092" s="1" t="s">
        <v>2217</v>
      </c>
      <c r="Q1092" s="1" t="s">
        <v>3457</v>
      </c>
      <c r="R1092" s="1"/>
      <c r="S1092" s="1" t="s">
        <v>2072</v>
      </c>
      <c r="T1092" s="1" t="s">
        <v>2073</v>
      </c>
      <c r="U1092" s="4">
        <v>2300000</v>
      </c>
      <c r="V1092" s="4">
        <v>770</v>
      </c>
      <c r="W1092" s="4">
        <v>8</v>
      </c>
      <c r="X1092" s="4">
        <v>116</v>
      </c>
      <c r="Y1092" s="4">
        <v>0</v>
      </c>
      <c r="Z1092" s="5">
        <v>894</v>
      </c>
      <c r="AA1092" s="5">
        <v>0</v>
      </c>
      <c r="AB1092" s="6">
        <v>0</v>
      </c>
      <c r="AC1092" s="4">
        <v>894</v>
      </c>
      <c r="AD1092" s="4">
        <v>0</v>
      </c>
      <c r="AE1092" s="4">
        <v>894</v>
      </c>
      <c r="AF1092" s="1"/>
      <c r="AG1092" s="1"/>
      <c r="AH1092" s="1"/>
      <c r="AI1092" s="1" t="s">
        <v>3432</v>
      </c>
      <c r="AJ1092" s="1"/>
      <c r="AK1092" s="1"/>
      <c r="AL1092" s="1"/>
    </row>
    <row r="1093" spans="1:38" hidden="1" x14ac:dyDescent="0.25">
      <c r="A1093" s="2">
        <v>1419</v>
      </c>
      <c r="B1093" s="1" t="s">
        <v>1288</v>
      </c>
      <c r="C1093" s="1" t="s">
        <v>1294</v>
      </c>
      <c r="D1093" s="1" t="s">
        <v>2062</v>
      </c>
      <c r="E1093" s="1" t="s">
        <v>2063</v>
      </c>
      <c r="F1093" s="3">
        <v>45516</v>
      </c>
      <c r="G1093" s="3">
        <v>45300</v>
      </c>
      <c r="H1093" s="3">
        <v>45665</v>
      </c>
      <c r="I1093" s="1" t="s">
        <v>3452</v>
      </c>
      <c r="J1093" s="1" t="s">
        <v>3453</v>
      </c>
      <c r="K1093" s="1"/>
      <c r="L1093" s="1" t="s">
        <v>2404</v>
      </c>
      <c r="M1093" s="1" t="s">
        <v>3454</v>
      </c>
      <c r="N1093" s="1" t="s">
        <v>3455</v>
      </c>
      <c r="O1093" s="1" t="s">
        <v>3456</v>
      </c>
      <c r="P1093" s="1" t="s">
        <v>2217</v>
      </c>
      <c r="Q1093" s="1" t="s">
        <v>3457</v>
      </c>
      <c r="R1093" s="1"/>
      <c r="S1093" s="1" t="s">
        <v>2072</v>
      </c>
      <c r="T1093" s="1" t="s">
        <v>2073</v>
      </c>
      <c r="U1093" s="4">
        <v>2300000</v>
      </c>
      <c r="V1093" s="4">
        <v>770</v>
      </c>
      <c r="W1093" s="4">
        <v>8</v>
      </c>
      <c r="X1093" s="4">
        <v>116</v>
      </c>
      <c r="Y1093" s="4">
        <v>0</v>
      </c>
      <c r="Z1093" s="5">
        <v>894</v>
      </c>
      <c r="AA1093" s="5">
        <v>0</v>
      </c>
      <c r="AB1093" s="6">
        <v>0</v>
      </c>
      <c r="AC1093" s="4">
        <v>894</v>
      </c>
      <c r="AD1093" s="4">
        <v>0</v>
      </c>
      <c r="AE1093" s="4">
        <v>894</v>
      </c>
      <c r="AF1093" s="1"/>
      <c r="AG1093" s="1"/>
      <c r="AH1093" s="1"/>
      <c r="AI1093" s="1" t="s">
        <v>3432</v>
      </c>
      <c r="AJ1093" s="6">
        <v>386.28999999999905</v>
      </c>
      <c r="AK1093" s="6">
        <v>283.74</v>
      </c>
      <c r="AL1093" s="1"/>
    </row>
    <row r="1094" spans="1:38" hidden="1" x14ac:dyDescent="0.25">
      <c r="A1094" s="2">
        <v>1420</v>
      </c>
      <c r="B1094" s="1" t="s">
        <v>1288</v>
      </c>
      <c r="C1094" s="1" t="s">
        <v>1295</v>
      </c>
      <c r="D1094" s="1" t="s">
        <v>2062</v>
      </c>
      <c r="E1094" s="1" t="s">
        <v>2063</v>
      </c>
      <c r="F1094" s="3">
        <v>45546</v>
      </c>
      <c r="G1094" s="3">
        <v>45300</v>
      </c>
      <c r="H1094" s="3">
        <v>45665</v>
      </c>
      <c r="I1094" s="1" t="s">
        <v>3452</v>
      </c>
      <c r="J1094" s="1" t="s">
        <v>3453</v>
      </c>
      <c r="K1094" s="1"/>
      <c r="L1094" s="1" t="s">
        <v>2404</v>
      </c>
      <c r="M1094" s="1" t="s">
        <v>3454</v>
      </c>
      <c r="N1094" s="1" t="s">
        <v>3455</v>
      </c>
      <c r="O1094" s="1" t="s">
        <v>3456</v>
      </c>
      <c r="P1094" s="1" t="s">
        <v>2217</v>
      </c>
      <c r="Q1094" s="1" t="s">
        <v>3457</v>
      </c>
      <c r="R1094" s="1"/>
      <c r="S1094" s="1" t="s">
        <v>2072</v>
      </c>
      <c r="T1094" s="1" t="s">
        <v>2073</v>
      </c>
      <c r="U1094" s="4">
        <v>2300000</v>
      </c>
      <c r="V1094" s="4">
        <v>839</v>
      </c>
      <c r="W1094" s="4">
        <v>8</v>
      </c>
      <c r="X1094" s="4">
        <v>126</v>
      </c>
      <c r="Y1094" s="4">
        <v>0</v>
      </c>
      <c r="Z1094" s="5">
        <v>973</v>
      </c>
      <c r="AA1094" s="5">
        <v>0</v>
      </c>
      <c r="AB1094" s="6">
        <v>0</v>
      </c>
      <c r="AC1094" s="4">
        <v>973</v>
      </c>
      <c r="AD1094" s="4">
        <v>0</v>
      </c>
      <c r="AE1094" s="4">
        <v>973</v>
      </c>
      <c r="AF1094" s="1"/>
      <c r="AG1094" s="1"/>
      <c r="AH1094" s="1"/>
      <c r="AI1094" s="1" t="s">
        <v>3432</v>
      </c>
      <c r="AJ1094" s="6">
        <v>419.30999999999904</v>
      </c>
      <c r="AK1094" s="6">
        <v>308.5</v>
      </c>
      <c r="AL1094" s="1"/>
    </row>
    <row r="1095" spans="1:38" hidden="1" x14ac:dyDescent="0.25">
      <c r="A1095" s="2">
        <v>1421</v>
      </c>
      <c r="B1095" s="1" t="s">
        <v>1288</v>
      </c>
      <c r="C1095" s="1" t="s">
        <v>1296</v>
      </c>
      <c r="D1095" s="1" t="s">
        <v>2062</v>
      </c>
      <c r="E1095" s="1" t="s">
        <v>2063</v>
      </c>
      <c r="F1095" s="3">
        <v>45575</v>
      </c>
      <c r="G1095" s="3">
        <v>45300</v>
      </c>
      <c r="H1095" s="3">
        <v>45665</v>
      </c>
      <c r="I1095" s="1" t="s">
        <v>3452</v>
      </c>
      <c r="J1095" s="1" t="s">
        <v>3453</v>
      </c>
      <c r="K1095" s="1"/>
      <c r="L1095" s="1" t="s">
        <v>2404</v>
      </c>
      <c r="M1095" s="1" t="s">
        <v>3454</v>
      </c>
      <c r="N1095" s="1" t="s">
        <v>3455</v>
      </c>
      <c r="O1095" s="1" t="s">
        <v>3456</v>
      </c>
      <c r="P1095" s="1" t="s">
        <v>2217</v>
      </c>
      <c r="Q1095" s="1" t="s">
        <v>3457</v>
      </c>
      <c r="R1095" s="1"/>
      <c r="S1095" s="1" t="s">
        <v>2072</v>
      </c>
      <c r="T1095" s="1" t="s">
        <v>2073</v>
      </c>
      <c r="U1095" s="4">
        <v>2300000</v>
      </c>
      <c r="V1095" s="4">
        <v>234</v>
      </c>
      <c r="W1095" s="4">
        <v>2</v>
      </c>
      <c r="X1095" s="4">
        <v>35</v>
      </c>
      <c r="Y1095" s="4">
        <v>0</v>
      </c>
      <c r="Z1095" s="5">
        <v>271</v>
      </c>
      <c r="AA1095" s="5">
        <v>0</v>
      </c>
      <c r="AB1095" s="6">
        <v>0</v>
      </c>
      <c r="AC1095" s="4">
        <v>271</v>
      </c>
      <c r="AD1095" s="4">
        <v>0</v>
      </c>
      <c r="AE1095" s="4">
        <v>271</v>
      </c>
      <c r="AF1095" s="1"/>
      <c r="AG1095" s="1"/>
      <c r="AH1095" s="1"/>
      <c r="AI1095" s="1" t="s">
        <v>3432</v>
      </c>
      <c r="AJ1095" s="6">
        <v>116.18</v>
      </c>
      <c r="AK1095" s="6">
        <v>85.97</v>
      </c>
      <c r="AL1095" s="1"/>
    </row>
    <row r="1096" spans="1:38" hidden="1" x14ac:dyDescent="0.25">
      <c r="A1096" s="2">
        <v>1422</v>
      </c>
      <c r="B1096" s="1" t="s">
        <v>1288</v>
      </c>
      <c r="C1096" s="1" t="s">
        <v>1297</v>
      </c>
      <c r="D1096" s="1" t="s">
        <v>2062</v>
      </c>
      <c r="E1096" s="1" t="s">
        <v>2063</v>
      </c>
      <c r="F1096" s="3">
        <v>45608</v>
      </c>
      <c r="G1096" s="3">
        <v>45300</v>
      </c>
      <c r="H1096" s="3">
        <v>45665</v>
      </c>
      <c r="I1096" s="1" t="s">
        <v>3452</v>
      </c>
      <c r="J1096" s="1" t="s">
        <v>3453</v>
      </c>
      <c r="K1096" s="1"/>
      <c r="L1096" s="1" t="s">
        <v>2404</v>
      </c>
      <c r="M1096" s="1" t="s">
        <v>3454</v>
      </c>
      <c r="N1096" s="1" t="s">
        <v>3455</v>
      </c>
      <c r="O1096" s="1" t="s">
        <v>3456</v>
      </c>
      <c r="P1096" s="1" t="s">
        <v>2217</v>
      </c>
      <c r="Q1096" s="1" t="s">
        <v>3457</v>
      </c>
      <c r="R1096" s="1"/>
      <c r="S1096" s="1" t="s">
        <v>2072</v>
      </c>
      <c r="T1096" s="1" t="s">
        <v>2073</v>
      </c>
      <c r="U1096" s="4">
        <v>2300000</v>
      </c>
      <c r="V1096" s="4">
        <v>929</v>
      </c>
      <c r="W1096" s="4">
        <v>9</v>
      </c>
      <c r="X1096" s="4">
        <v>139</v>
      </c>
      <c r="Y1096" s="4">
        <v>0</v>
      </c>
      <c r="Z1096" s="5">
        <v>1077</v>
      </c>
      <c r="AA1096" s="5">
        <v>0</v>
      </c>
      <c r="AB1096" s="6">
        <v>0</v>
      </c>
      <c r="AC1096" s="4">
        <v>1077</v>
      </c>
      <c r="AD1096" s="4">
        <v>0</v>
      </c>
      <c r="AE1096" s="4">
        <v>1077</v>
      </c>
      <c r="AF1096" s="1"/>
      <c r="AG1096" s="1"/>
      <c r="AH1096" s="1"/>
      <c r="AI1096" s="1" t="s">
        <v>3432</v>
      </c>
      <c r="AJ1096" s="6">
        <v>368.91</v>
      </c>
      <c r="AK1096" s="6">
        <v>341.07</v>
      </c>
      <c r="AL1096" s="1"/>
    </row>
    <row r="1097" spans="1:38" hidden="1" x14ac:dyDescent="0.25">
      <c r="A1097" s="2">
        <v>1423</v>
      </c>
      <c r="B1097" s="1" t="s">
        <v>1288</v>
      </c>
      <c r="C1097" s="1" t="s">
        <v>1298</v>
      </c>
      <c r="D1097" s="1" t="s">
        <v>2062</v>
      </c>
      <c r="E1097" s="1" t="s">
        <v>2063</v>
      </c>
      <c r="F1097" s="3">
        <v>45636</v>
      </c>
      <c r="G1097" s="3">
        <v>45300</v>
      </c>
      <c r="H1097" s="3">
        <v>45665</v>
      </c>
      <c r="I1097" s="1" t="s">
        <v>3452</v>
      </c>
      <c r="J1097" s="1" t="s">
        <v>3453</v>
      </c>
      <c r="K1097" s="1"/>
      <c r="L1097" s="1" t="s">
        <v>2404</v>
      </c>
      <c r="M1097" s="1" t="s">
        <v>3454</v>
      </c>
      <c r="N1097" s="1" t="s">
        <v>3455</v>
      </c>
      <c r="O1097" s="1" t="s">
        <v>3456</v>
      </c>
      <c r="P1097" s="1" t="s">
        <v>2217</v>
      </c>
      <c r="Q1097" s="1" t="s">
        <v>3457</v>
      </c>
      <c r="R1097" s="1"/>
      <c r="S1097" s="1" t="s">
        <v>2072</v>
      </c>
      <c r="T1097" s="1" t="s">
        <v>2073</v>
      </c>
      <c r="U1097" s="4">
        <v>2300000</v>
      </c>
      <c r="V1097" s="4">
        <v>1565</v>
      </c>
      <c r="W1097" s="4">
        <v>16</v>
      </c>
      <c r="X1097" s="4">
        <v>235</v>
      </c>
      <c r="Y1097" s="4">
        <v>0</v>
      </c>
      <c r="Z1097" s="5">
        <v>1816</v>
      </c>
      <c r="AA1097" s="5">
        <v>0</v>
      </c>
      <c r="AB1097" s="6">
        <v>0</v>
      </c>
      <c r="AC1097" s="4">
        <v>1816</v>
      </c>
      <c r="AD1097" s="4">
        <v>0</v>
      </c>
      <c r="AE1097" s="4">
        <v>1816</v>
      </c>
      <c r="AF1097" s="1"/>
      <c r="AG1097" s="1"/>
      <c r="AH1097" s="1"/>
      <c r="AI1097" s="1" t="s">
        <v>3432</v>
      </c>
      <c r="AJ1097" s="6">
        <v>1162.7299999999991</v>
      </c>
      <c r="AK1097" s="6">
        <v>575.92999999999995</v>
      </c>
      <c r="AL1097" s="1"/>
    </row>
    <row r="1098" spans="1:38" hidden="1" x14ac:dyDescent="0.25">
      <c r="A1098" s="2">
        <v>1424</v>
      </c>
      <c r="B1098" s="1" t="s">
        <v>1288</v>
      </c>
      <c r="C1098" s="1" t="s">
        <v>1299</v>
      </c>
      <c r="D1098" s="1" t="s">
        <v>2062</v>
      </c>
      <c r="E1098" s="1" t="s">
        <v>2063</v>
      </c>
      <c r="F1098" s="3">
        <v>45655</v>
      </c>
      <c r="G1098" s="3">
        <v>45300</v>
      </c>
      <c r="H1098" s="3">
        <v>45665</v>
      </c>
      <c r="I1098" s="1" t="s">
        <v>3452</v>
      </c>
      <c r="J1098" s="1" t="s">
        <v>3453</v>
      </c>
      <c r="K1098" s="1"/>
      <c r="L1098" s="1" t="s">
        <v>2404</v>
      </c>
      <c r="M1098" s="1" t="s">
        <v>3454</v>
      </c>
      <c r="N1098" s="1" t="s">
        <v>3455</v>
      </c>
      <c r="O1098" s="1" t="s">
        <v>3456</v>
      </c>
      <c r="P1098" s="1" t="s">
        <v>2217</v>
      </c>
      <c r="Q1098" s="1" t="s">
        <v>3457</v>
      </c>
      <c r="R1098" s="1"/>
      <c r="S1098" s="1" t="s">
        <v>2072</v>
      </c>
      <c r="T1098" s="1" t="s">
        <v>2073</v>
      </c>
      <c r="U1098" s="4">
        <v>-1</v>
      </c>
      <c r="V1098" s="4">
        <v>-10297</v>
      </c>
      <c r="W1098" s="4">
        <v>-103</v>
      </c>
      <c r="X1098" s="4">
        <v>0</v>
      </c>
      <c r="Y1098" s="4">
        <v>0</v>
      </c>
      <c r="Z1098" s="5">
        <v>-10400</v>
      </c>
      <c r="AA1098" s="5">
        <v>0</v>
      </c>
      <c r="AB1098" s="6">
        <v>0</v>
      </c>
      <c r="AC1098" s="4">
        <v>-10400</v>
      </c>
      <c r="AD1098" s="4">
        <v>0</v>
      </c>
      <c r="AE1098" s="4">
        <v>-10400</v>
      </c>
      <c r="AF1098" s="1"/>
      <c r="AG1098" s="1"/>
      <c r="AH1098" s="1"/>
      <c r="AI1098" s="1" t="s">
        <v>3432</v>
      </c>
      <c r="AJ1098" s="1"/>
      <c r="AK1098" s="1"/>
      <c r="AL1098" s="1"/>
    </row>
    <row r="1099" spans="1:38" hidden="1" x14ac:dyDescent="0.25">
      <c r="A1099" s="2">
        <v>1426</v>
      </c>
      <c r="B1099" s="1" t="s">
        <v>1300</v>
      </c>
      <c r="C1099" s="1" t="s">
        <v>1301</v>
      </c>
      <c r="D1099" s="1" t="s">
        <v>2062</v>
      </c>
      <c r="E1099" s="1" t="s">
        <v>2063</v>
      </c>
      <c r="F1099" s="3">
        <v>45667</v>
      </c>
      <c r="G1099" s="3">
        <v>45300</v>
      </c>
      <c r="H1099" s="3">
        <v>45665</v>
      </c>
      <c r="I1099" s="1" t="s">
        <v>3458</v>
      </c>
      <c r="J1099" s="1" t="s">
        <v>3459</v>
      </c>
      <c r="K1099" s="1"/>
      <c r="L1099" s="1" t="s">
        <v>2638</v>
      </c>
      <c r="M1099" s="1" t="s">
        <v>3460</v>
      </c>
      <c r="N1099" s="1" t="s">
        <v>3461</v>
      </c>
      <c r="O1099" s="1" t="s">
        <v>3462</v>
      </c>
      <c r="P1099" s="1" t="s">
        <v>2081</v>
      </c>
      <c r="Q1099" s="1"/>
      <c r="R1099" s="1"/>
      <c r="S1099" s="1" t="s">
        <v>2072</v>
      </c>
      <c r="T1099" s="1" t="s">
        <v>3165</v>
      </c>
      <c r="U1099" s="4">
        <v>3500000</v>
      </c>
      <c r="V1099" s="4">
        <v>377</v>
      </c>
      <c r="W1099" s="4">
        <v>4</v>
      </c>
      <c r="X1099" s="4">
        <v>57</v>
      </c>
      <c r="Y1099" s="4">
        <v>0</v>
      </c>
      <c r="Z1099" s="5">
        <v>438</v>
      </c>
      <c r="AA1099" s="5">
        <v>0</v>
      </c>
      <c r="AB1099" s="6">
        <v>0</v>
      </c>
      <c r="AC1099" s="4">
        <v>438</v>
      </c>
      <c r="AD1099" s="4">
        <v>0</v>
      </c>
      <c r="AE1099" s="4">
        <v>438</v>
      </c>
      <c r="AF1099" s="1"/>
      <c r="AG1099" s="1"/>
      <c r="AH1099" s="1"/>
      <c r="AI1099" s="1" t="s">
        <v>2841</v>
      </c>
      <c r="AJ1099" s="1"/>
      <c r="AK1099" s="1"/>
      <c r="AL1099" s="1"/>
    </row>
    <row r="1100" spans="1:38" hidden="1" x14ac:dyDescent="0.25">
      <c r="A1100" s="2">
        <v>1427</v>
      </c>
      <c r="B1100" s="1" t="s">
        <v>1300</v>
      </c>
      <c r="C1100" s="1" t="s">
        <v>1302</v>
      </c>
      <c r="D1100" s="1" t="s">
        <v>2062</v>
      </c>
      <c r="E1100" s="1" t="s">
        <v>2063</v>
      </c>
      <c r="F1100" s="3">
        <v>45745</v>
      </c>
      <c r="G1100" s="3">
        <v>45300</v>
      </c>
      <c r="H1100" s="3">
        <v>45665</v>
      </c>
      <c r="I1100" s="1" t="s">
        <v>3458</v>
      </c>
      <c r="J1100" s="1" t="s">
        <v>3459</v>
      </c>
      <c r="K1100" s="1"/>
      <c r="L1100" s="1" t="s">
        <v>2638</v>
      </c>
      <c r="M1100" s="1" t="s">
        <v>3460</v>
      </c>
      <c r="N1100" s="1" t="s">
        <v>3461</v>
      </c>
      <c r="O1100" s="1" t="s">
        <v>3462</v>
      </c>
      <c r="P1100" s="1" t="s">
        <v>2081</v>
      </c>
      <c r="Q1100" s="1"/>
      <c r="R1100" s="1"/>
      <c r="S1100" s="1" t="s">
        <v>2072</v>
      </c>
      <c r="T1100" s="1" t="s">
        <v>3165</v>
      </c>
      <c r="U1100" s="4">
        <v>-1</v>
      </c>
      <c r="V1100" s="4">
        <v>-434</v>
      </c>
      <c r="W1100" s="4">
        <v>-4</v>
      </c>
      <c r="X1100" s="4">
        <v>0</v>
      </c>
      <c r="Y1100" s="4">
        <v>0</v>
      </c>
      <c r="Z1100" s="5">
        <v>-438</v>
      </c>
      <c r="AA1100" s="5">
        <v>0</v>
      </c>
      <c r="AB1100" s="6">
        <v>0</v>
      </c>
      <c r="AC1100" s="4">
        <v>-438</v>
      </c>
      <c r="AD1100" s="4">
        <v>0</v>
      </c>
      <c r="AE1100" s="4">
        <v>-438</v>
      </c>
      <c r="AF1100" s="1"/>
      <c r="AG1100" s="1"/>
      <c r="AH1100" s="1"/>
      <c r="AI1100" s="1" t="s">
        <v>2841</v>
      </c>
      <c r="AJ1100" s="1"/>
      <c r="AK1100" s="1"/>
      <c r="AL1100" s="1"/>
    </row>
    <row r="1101" spans="1:38" hidden="1" x14ac:dyDescent="0.25">
      <c r="A1101" s="2">
        <v>1428</v>
      </c>
      <c r="B1101" s="1" t="s">
        <v>1303</v>
      </c>
      <c r="C1101" s="1" t="s">
        <v>1304</v>
      </c>
      <c r="D1101" s="1" t="s">
        <v>2062</v>
      </c>
      <c r="E1101" s="1" t="s">
        <v>2063</v>
      </c>
      <c r="F1101" s="3">
        <v>45449</v>
      </c>
      <c r="G1101" s="3">
        <v>45297</v>
      </c>
      <c r="H1101" s="3">
        <v>45662</v>
      </c>
      <c r="I1101" s="1" t="s">
        <v>3463</v>
      </c>
      <c r="J1101" s="1" t="s">
        <v>3464</v>
      </c>
      <c r="K1101" s="1"/>
      <c r="L1101" s="1" t="s">
        <v>2198</v>
      </c>
      <c r="M1101" s="1" t="s">
        <v>3465</v>
      </c>
      <c r="N1101" s="1" t="s">
        <v>3466</v>
      </c>
      <c r="O1101" s="1" t="s">
        <v>3467</v>
      </c>
      <c r="P1101" s="1" t="s">
        <v>3409</v>
      </c>
      <c r="Q1101" s="1"/>
      <c r="R1101" s="1"/>
      <c r="S1101" s="1" t="s">
        <v>2072</v>
      </c>
      <c r="T1101" s="1" t="s">
        <v>3165</v>
      </c>
      <c r="U1101" s="4">
        <v>2622000</v>
      </c>
      <c r="V1101" s="4">
        <v>4405</v>
      </c>
      <c r="W1101" s="4">
        <v>44</v>
      </c>
      <c r="X1101" s="4">
        <v>573</v>
      </c>
      <c r="Y1101" s="4">
        <v>0</v>
      </c>
      <c r="Z1101" s="5">
        <v>5022</v>
      </c>
      <c r="AA1101" s="5">
        <v>0</v>
      </c>
      <c r="AB1101" s="6">
        <v>0</v>
      </c>
      <c r="AC1101" s="4">
        <v>5022</v>
      </c>
      <c r="AD1101" s="4">
        <v>0</v>
      </c>
      <c r="AE1101" s="4">
        <v>5022</v>
      </c>
      <c r="AF1101" s="1"/>
      <c r="AG1101" s="1"/>
      <c r="AH1101" s="1"/>
      <c r="AI1101" s="1" t="s">
        <v>2841</v>
      </c>
      <c r="AJ1101" s="6">
        <v>9550.399999999976</v>
      </c>
      <c r="AK1101" s="6">
        <v>1395</v>
      </c>
      <c r="AL1101" s="1"/>
    </row>
    <row r="1102" spans="1:38" hidden="1" x14ac:dyDescent="0.25">
      <c r="A1102" s="2">
        <v>1429</v>
      </c>
      <c r="B1102" s="1" t="s">
        <v>1303</v>
      </c>
      <c r="C1102" s="1" t="s">
        <v>1305</v>
      </c>
      <c r="D1102" s="1" t="s">
        <v>2062</v>
      </c>
      <c r="E1102" s="1" t="s">
        <v>2063</v>
      </c>
      <c r="F1102" s="3">
        <v>45482</v>
      </c>
      <c r="G1102" s="3">
        <v>45297</v>
      </c>
      <c r="H1102" s="3">
        <v>45662</v>
      </c>
      <c r="I1102" s="1" t="s">
        <v>3463</v>
      </c>
      <c r="J1102" s="1" t="s">
        <v>3464</v>
      </c>
      <c r="K1102" s="1"/>
      <c r="L1102" s="1" t="s">
        <v>2198</v>
      </c>
      <c r="M1102" s="1" t="s">
        <v>3465</v>
      </c>
      <c r="N1102" s="1" t="s">
        <v>3466</v>
      </c>
      <c r="O1102" s="1" t="s">
        <v>3467</v>
      </c>
      <c r="P1102" s="1" t="s">
        <v>3409</v>
      </c>
      <c r="Q1102" s="1"/>
      <c r="R1102" s="1"/>
      <c r="S1102" s="1" t="s">
        <v>2072</v>
      </c>
      <c r="T1102" s="1" t="s">
        <v>3165</v>
      </c>
      <c r="U1102" s="4">
        <v>2622000</v>
      </c>
      <c r="V1102" s="4">
        <v>3870</v>
      </c>
      <c r="W1102" s="4">
        <v>39</v>
      </c>
      <c r="X1102" s="4">
        <v>580</v>
      </c>
      <c r="Y1102" s="4">
        <v>0</v>
      </c>
      <c r="Z1102" s="5">
        <v>4489</v>
      </c>
      <c r="AA1102" s="5">
        <v>0</v>
      </c>
      <c r="AB1102" s="6">
        <v>0</v>
      </c>
      <c r="AC1102" s="4">
        <v>4489</v>
      </c>
      <c r="AD1102" s="4">
        <v>0</v>
      </c>
      <c r="AE1102" s="4">
        <v>4489</v>
      </c>
      <c r="AF1102" s="1"/>
      <c r="AG1102" s="1"/>
      <c r="AH1102" s="1"/>
      <c r="AI1102" s="1" t="s">
        <v>2841</v>
      </c>
      <c r="AJ1102" s="6">
        <v>6837.0799999999945</v>
      </c>
      <c r="AK1102" s="6">
        <v>1247.04</v>
      </c>
      <c r="AL1102" s="1"/>
    </row>
    <row r="1103" spans="1:38" hidden="1" x14ac:dyDescent="0.25">
      <c r="A1103" s="2">
        <v>1430</v>
      </c>
      <c r="B1103" s="1" t="s">
        <v>1303</v>
      </c>
      <c r="C1103" s="1" t="s">
        <v>1306</v>
      </c>
      <c r="D1103" s="1" t="s">
        <v>2062</v>
      </c>
      <c r="E1103" s="1" t="s">
        <v>2063</v>
      </c>
      <c r="F1103" s="3">
        <v>45512</v>
      </c>
      <c r="G1103" s="3">
        <v>45297</v>
      </c>
      <c r="H1103" s="3">
        <v>45662</v>
      </c>
      <c r="I1103" s="1" t="s">
        <v>3463</v>
      </c>
      <c r="J1103" s="1" t="s">
        <v>3464</v>
      </c>
      <c r="K1103" s="1"/>
      <c r="L1103" s="1" t="s">
        <v>2198</v>
      </c>
      <c r="M1103" s="1" t="s">
        <v>3465</v>
      </c>
      <c r="N1103" s="1" t="s">
        <v>3466</v>
      </c>
      <c r="O1103" s="1" t="s">
        <v>3467</v>
      </c>
      <c r="P1103" s="1" t="s">
        <v>3409</v>
      </c>
      <c r="Q1103" s="1"/>
      <c r="R1103" s="1"/>
      <c r="S1103" s="1" t="s">
        <v>2072</v>
      </c>
      <c r="T1103" s="1" t="s">
        <v>3165</v>
      </c>
      <c r="U1103" s="4">
        <v>2622000</v>
      </c>
      <c r="V1103" s="4">
        <v>4190</v>
      </c>
      <c r="W1103" s="4">
        <v>42</v>
      </c>
      <c r="X1103" s="4">
        <v>629</v>
      </c>
      <c r="Y1103" s="4">
        <v>0</v>
      </c>
      <c r="Z1103" s="5">
        <v>4861</v>
      </c>
      <c r="AA1103" s="5">
        <v>0</v>
      </c>
      <c r="AB1103" s="6">
        <v>0</v>
      </c>
      <c r="AC1103" s="4">
        <v>4861</v>
      </c>
      <c r="AD1103" s="4">
        <v>0</v>
      </c>
      <c r="AE1103" s="4">
        <v>4861</v>
      </c>
      <c r="AF1103" s="1"/>
      <c r="AG1103" s="1"/>
      <c r="AH1103" s="1"/>
      <c r="AI1103" s="1" t="s">
        <v>2841</v>
      </c>
      <c r="AJ1103" s="6">
        <v>6284.4699999999957</v>
      </c>
      <c r="AK1103" s="6">
        <v>1350.34</v>
      </c>
      <c r="AL1103" s="1"/>
    </row>
    <row r="1104" spans="1:38" hidden="1" x14ac:dyDescent="0.25">
      <c r="A1104" s="2">
        <v>1431</v>
      </c>
      <c r="B1104" s="1" t="s">
        <v>1303</v>
      </c>
      <c r="C1104" s="1" t="s">
        <v>1307</v>
      </c>
      <c r="D1104" s="1" t="s">
        <v>2062</v>
      </c>
      <c r="E1104" s="1" t="s">
        <v>2063</v>
      </c>
      <c r="F1104" s="3">
        <v>45542</v>
      </c>
      <c r="G1104" s="3">
        <v>45297</v>
      </c>
      <c r="H1104" s="3">
        <v>45662</v>
      </c>
      <c r="I1104" s="1" t="s">
        <v>3463</v>
      </c>
      <c r="J1104" s="1" t="s">
        <v>3464</v>
      </c>
      <c r="K1104" s="1"/>
      <c r="L1104" s="1" t="s">
        <v>2198</v>
      </c>
      <c r="M1104" s="1" t="s">
        <v>3465</v>
      </c>
      <c r="N1104" s="1" t="s">
        <v>3466</v>
      </c>
      <c r="O1104" s="1" t="s">
        <v>3467</v>
      </c>
      <c r="P1104" s="1" t="s">
        <v>3409</v>
      </c>
      <c r="Q1104" s="1"/>
      <c r="R1104" s="1"/>
      <c r="S1104" s="1" t="s">
        <v>2072</v>
      </c>
      <c r="T1104" s="1" t="s">
        <v>3165</v>
      </c>
      <c r="U1104" s="4">
        <v>2622000</v>
      </c>
      <c r="V1104" s="4">
        <v>4074</v>
      </c>
      <c r="W1104" s="4">
        <v>41</v>
      </c>
      <c r="X1104" s="4">
        <v>611</v>
      </c>
      <c r="Y1104" s="4">
        <v>0</v>
      </c>
      <c r="Z1104" s="5">
        <v>4726</v>
      </c>
      <c r="AA1104" s="5">
        <v>0</v>
      </c>
      <c r="AB1104" s="6">
        <v>0</v>
      </c>
      <c r="AC1104" s="4">
        <v>4726</v>
      </c>
      <c r="AD1104" s="4">
        <v>0</v>
      </c>
      <c r="AE1104" s="4">
        <v>4726</v>
      </c>
      <c r="AF1104" s="1"/>
      <c r="AG1104" s="1"/>
      <c r="AH1104" s="1"/>
      <c r="AI1104" s="1" t="s">
        <v>2841</v>
      </c>
      <c r="AJ1104" s="6">
        <v>6301.8099999999968</v>
      </c>
      <c r="AK1104" s="6">
        <v>1312.64</v>
      </c>
      <c r="AL1104" s="1"/>
    </row>
    <row r="1105" spans="1:38" hidden="1" x14ac:dyDescent="0.25">
      <c r="A1105" s="2">
        <v>1432</v>
      </c>
      <c r="B1105" s="1" t="s">
        <v>1303</v>
      </c>
      <c r="C1105" s="1" t="s">
        <v>1308</v>
      </c>
      <c r="D1105" s="1" t="s">
        <v>2062</v>
      </c>
      <c r="E1105" s="1" t="s">
        <v>2063</v>
      </c>
      <c r="F1105" s="3">
        <v>45574</v>
      </c>
      <c r="G1105" s="3">
        <v>45297</v>
      </c>
      <c r="H1105" s="3">
        <v>45662</v>
      </c>
      <c r="I1105" s="1" t="s">
        <v>3463</v>
      </c>
      <c r="J1105" s="1" t="s">
        <v>3464</v>
      </c>
      <c r="K1105" s="1"/>
      <c r="L1105" s="1" t="s">
        <v>2198</v>
      </c>
      <c r="M1105" s="1" t="s">
        <v>3465</v>
      </c>
      <c r="N1105" s="1" t="s">
        <v>3466</v>
      </c>
      <c r="O1105" s="1" t="s">
        <v>3467</v>
      </c>
      <c r="P1105" s="1" t="s">
        <v>3409</v>
      </c>
      <c r="Q1105" s="1"/>
      <c r="R1105" s="1"/>
      <c r="S1105" s="1" t="s">
        <v>2072</v>
      </c>
      <c r="T1105" s="1" t="s">
        <v>3165</v>
      </c>
      <c r="U1105" s="4">
        <v>2622000</v>
      </c>
      <c r="V1105" s="4">
        <v>3892</v>
      </c>
      <c r="W1105" s="4">
        <v>39</v>
      </c>
      <c r="X1105" s="4">
        <v>584</v>
      </c>
      <c r="Y1105" s="4">
        <v>0</v>
      </c>
      <c r="Z1105" s="5">
        <v>4515</v>
      </c>
      <c r="AA1105" s="5">
        <v>0</v>
      </c>
      <c r="AB1105" s="6">
        <v>0</v>
      </c>
      <c r="AC1105" s="4">
        <v>4515</v>
      </c>
      <c r="AD1105" s="4">
        <v>0</v>
      </c>
      <c r="AE1105" s="4">
        <v>4515</v>
      </c>
      <c r="AF1105" s="1"/>
      <c r="AG1105" s="1"/>
      <c r="AH1105" s="1"/>
      <c r="AI1105" s="1" t="s">
        <v>2841</v>
      </c>
      <c r="AJ1105" s="6">
        <v>5730.5300000000016</v>
      </c>
      <c r="AK1105" s="6">
        <v>1254.3699999999992</v>
      </c>
      <c r="AL1105" s="1"/>
    </row>
    <row r="1106" spans="1:38" hidden="1" x14ac:dyDescent="0.25">
      <c r="A1106" s="2">
        <v>1433</v>
      </c>
      <c r="B1106" s="1" t="s">
        <v>1303</v>
      </c>
      <c r="C1106" s="1" t="s">
        <v>1309</v>
      </c>
      <c r="D1106" s="1" t="s">
        <v>2062</v>
      </c>
      <c r="E1106" s="1" t="s">
        <v>2063</v>
      </c>
      <c r="F1106" s="3">
        <v>45604</v>
      </c>
      <c r="G1106" s="3">
        <v>45297</v>
      </c>
      <c r="H1106" s="3">
        <v>45662</v>
      </c>
      <c r="I1106" s="1" t="s">
        <v>3463</v>
      </c>
      <c r="J1106" s="1" t="s">
        <v>3464</v>
      </c>
      <c r="K1106" s="1"/>
      <c r="L1106" s="1" t="s">
        <v>2198</v>
      </c>
      <c r="M1106" s="1" t="s">
        <v>3465</v>
      </c>
      <c r="N1106" s="1" t="s">
        <v>3466</v>
      </c>
      <c r="O1106" s="1" t="s">
        <v>3467</v>
      </c>
      <c r="P1106" s="1" t="s">
        <v>3409</v>
      </c>
      <c r="Q1106" s="1"/>
      <c r="R1106" s="1"/>
      <c r="S1106" s="1" t="s">
        <v>2072</v>
      </c>
      <c r="T1106" s="1" t="s">
        <v>3165</v>
      </c>
      <c r="U1106" s="4">
        <v>2622000</v>
      </c>
      <c r="V1106" s="4">
        <v>3862</v>
      </c>
      <c r="W1106" s="4">
        <v>39</v>
      </c>
      <c r="X1106" s="4">
        <v>579</v>
      </c>
      <c r="Y1106" s="4">
        <v>0</v>
      </c>
      <c r="Z1106" s="5">
        <v>4480</v>
      </c>
      <c r="AA1106" s="5">
        <v>0</v>
      </c>
      <c r="AB1106" s="6">
        <v>0</v>
      </c>
      <c r="AC1106" s="4">
        <v>4480</v>
      </c>
      <c r="AD1106" s="4">
        <v>0</v>
      </c>
      <c r="AE1106" s="4">
        <v>4480</v>
      </c>
      <c r="AF1106" s="1"/>
      <c r="AG1106" s="1"/>
      <c r="AH1106" s="1"/>
      <c r="AI1106" s="1" t="s">
        <v>2841</v>
      </c>
      <c r="AJ1106" s="6">
        <v>6254.7899999999945</v>
      </c>
      <c r="AK1106" s="6">
        <v>1244.44</v>
      </c>
      <c r="AL1106" s="1"/>
    </row>
    <row r="1107" spans="1:38" hidden="1" x14ac:dyDescent="0.25">
      <c r="A1107" s="2">
        <v>1434</v>
      </c>
      <c r="B1107" s="1" t="s">
        <v>1303</v>
      </c>
      <c r="C1107" s="1" t="s">
        <v>1310</v>
      </c>
      <c r="D1107" s="1" t="s">
        <v>2062</v>
      </c>
      <c r="E1107" s="1" t="s">
        <v>2063</v>
      </c>
      <c r="F1107" s="3">
        <v>45633</v>
      </c>
      <c r="G1107" s="3">
        <v>45297</v>
      </c>
      <c r="H1107" s="3">
        <v>45662</v>
      </c>
      <c r="I1107" s="1" t="s">
        <v>3463</v>
      </c>
      <c r="J1107" s="1" t="s">
        <v>3464</v>
      </c>
      <c r="K1107" s="1"/>
      <c r="L1107" s="1" t="s">
        <v>2198</v>
      </c>
      <c r="M1107" s="1" t="s">
        <v>3465</v>
      </c>
      <c r="N1107" s="1" t="s">
        <v>3466</v>
      </c>
      <c r="O1107" s="1" t="s">
        <v>3467</v>
      </c>
      <c r="P1107" s="1" t="s">
        <v>3409</v>
      </c>
      <c r="Q1107" s="1"/>
      <c r="R1107" s="1"/>
      <c r="S1107" s="1" t="s">
        <v>2072</v>
      </c>
      <c r="T1107" s="1" t="s">
        <v>3165</v>
      </c>
      <c r="U1107" s="4">
        <v>2622000</v>
      </c>
      <c r="V1107" s="4">
        <v>4190</v>
      </c>
      <c r="W1107" s="4">
        <v>42</v>
      </c>
      <c r="X1107" s="4">
        <v>628</v>
      </c>
      <c r="Y1107" s="4">
        <v>0</v>
      </c>
      <c r="Z1107" s="5">
        <v>4860</v>
      </c>
      <c r="AA1107" s="5">
        <v>0</v>
      </c>
      <c r="AB1107" s="6">
        <v>0</v>
      </c>
      <c r="AC1107" s="4">
        <v>4860</v>
      </c>
      <c r="AD1107" s="4">
        <v>0</v>
      </c>
      <c r="AE1107" s="4">
        <v>4860</v>
      </c>
      <c r="AF1107" s="1"/>
      <c r="AG1107" s="1"/>
      <c r="AH1107" s="1"/>
      <c r="AI1107" s="1" t="s">
        <v>2841</v>
      </c>
      <c r="AJ1107" s="6">
        <v>6081.7300000000068</v>
      </c>
      <c r="AK1107" s="6">
        <v>1350</v>
      </c>
      <c r="AL1107" s="1"/>
    </row>
    <row r="1108" spans="1:38" hidden="1" x14ac:dyDescent="0.25">
      <c r="A1108" s="2">
        <v>1435</v>
      </c>
      <c r="B1108" s="1" t="s">
        <v>1303</v>
      </c>
      <c r="C1108" s="1" t="s">
        <v>1311</v>
      </c>
      <c r="D1108" s="1" t="s">
        <v>2062</v>
      </c>
      <c r="E1108" s="1" t="s">
        <v>2063</v>
      </c>
      <c r="F1108" s="3">
        <v>45655</v>
      </c>
      <c r="G1108" s="3">
        <v>45297</v>
      </c>
      <c r="H1108" s="3">
        <v>45662</v>
      </c>
      <c r="I1108" s="1" t="s">
        <v>3463</v>
      </c>
      <c r="J1108" s="1" t="s">
        <v>3464</v>
      </c>
      <c r="K1108" s="1"/>
      <c r="L1108" s="1" t="s">
        <v>2198</v>
      </c>
      <c r="M1108" s="1" t="s">
        <v>3465</v>
      </c>
      <c r="N1108" s="1" t="s">
        <v>3466</v>
      </c>
      <c r="O1108" s="1" t="s">
        <v>3467</v>
      </c>
      <c r="P1108" s="1" t="s">
        <v>3409</v>
      </c>
      <c r="Q1108" s="1"/>
      <c r="R1108" s="1"/>
      <c r="S1108" s="1" t="s">
        <v>2072</v>
      </c>
      <c r="T1108" s="1" t="s">
        <v>3165</v>
      </c>
      <c r="U1108" s="4">
        <v>-1</v>
      </c>
      <c r="V1108" s="4">
        <v>-32627</v>
      </c>
      <c r="W1108" s="4">
        <v>-326</v>
      </c>
      <c r="X1108" s="4">
        <v>0</v>
      </c>
      <c r="Y1108" s="4">
        <v>0</v>
      </c>
      <c r="Z1108" s="5">
        <v>-32953</v>
      </c>
      <c r="AA1108" s="5">
        <v>0</v>
      </c>
      <c r="AB1108" s="6">
        <v>0</v>
      </c>
      <c r="AC1108" s="4">
        <v>-32953</v>
      </c>
      <c r="AD1108" s="4">
        <v>0</v>
      </c>
      <c r="AE1108" s="4">
        <v>-32953</v>
      </c>
      <c r="AF1108" s="1"/>
      <c r="AG1108" s="1"/>
      <c r="AH1108" s="1"/>
      <c r="AI1108" s="1" t="s">
        <v>2841</v>
      </c>
      <c r="AJ1108" s="1"/>
      <c r="AK1108" s="1"/>
      <c r="AL1108" s="1"/>
    </row>
    <row r="1109" spans="1:38" x14ac:dyDescent="0.25">
      <c r="A1109" s="2">
        <v>1436</v>
      </c>
      <c r="B1109" s="1" t="s">
        <v>1312</v>
      </c>
      <c r="C1109" s="1"/>
      <c r="D1109" s="1" t="s">
        <v>2062</v>
      </c>
      <c r="E1109" s="1" t="s">
        <v>2063</v>
      </c>
      <c r="F1109" s="3">
        <v>45302</v>
      </c>
      <c r="G1109" s="3">
        <v>45301</v>
      </c>
      <c r="H1109" s="3">
        <v>45666</v>
      </c>
      <c r="I1109" s="1" t="s">
        <v>3468</v>
      </c>
      <c r="J1109" s="1" t="s">
        <v>3469</v>
      </c>
      <c r="K1109" s="1"/>
      <c r="L1109" s="1" t="s">
        <v>2299</v>
      </c>
      <c r="M1109" s="1" t="s">
        <v>3470</v>
      </c>
      <c r="N1109" s="1" t="s">
        <v>3471</v>
      </c>
      <c r="O1109" s="1" t="s">
        <v>3472</v>
      </c>
      <c r="P1109" s="1" t="s">
        <v>2182</v>
      </c>
      <c r="Q1109" s="1"/>
      <c r="R1109" s="1"/>
      <c r="S1109" s="1" t="s">
        <v>2072</v>
      </c>
      <c r="T1109" s="1" t="s">
        <v>3165</v>
      </c>
      <c r="U1109" s="4">
        <v>3100000</v>
      </c>
      <c r="V1109" s="4">
        <v>4343</v>
      </c>
      <c r="W1109" s="4">
        <v>43</v>
      </c>
      <c r="X1109" s="4">
        <v>564</v>
      </c>
      <c r="Y1109" s="4">
        <v>50</v>
      </c>
      <c r="Z1109" s="5">
        <v>5000</v>
      </c>
      <c r="AA1109" s="5">
        <v>5028</v>
      </c>
      <c r="AB1109" s="6">
        <v>0</v>
      </c>
      <c r="AC1109" s="4">
        <v>-28</v>
      </c>
      <c r="AD1109" s="4">
        <v>0</v>
      </c>
      <c r="AE1109" s="4">
        <v>-28</v>
      </c>
      <c r="AF1109" s="1"/>
      <c r="AG1109" s="1"/>
      <c r="AH1109" s="1"/>
      <c r="AI1109" s="1" t="s">
        <v>2841</v>
      </c>
      <c r="AJ1109" s="1"/>
      <c r="AK1109" s="1"/>
      <c r="AL1109" s="1" t="s">
        <v>3473</v>
      </c>
    </row>
    <row r="1110" spans="1:38" hidden="1" x14ac:dyDescent="0.25">
      <c r="A1110" s="2">
        <v>1437</v>
      </c>
      <c r="B1110" s="1" t="s">
        <v>1312</v>
      </c>
      <c r="C1110" s="1" t="s">
        <v>1313</v>
      </c>
      <c r="D1110" s="1" t="s">
        <v>2062</v>
      </c>
      <c r="E1110" s="1" t="s">
        <v>2063</v>
      </c>
      <c r="F1110" s="3">
        <v>45608</v>
      </c>
      <c r="G1110" s="3">
        <v>45301</v>
      </c>
      <c r="H1110" s="3">
        <v>45666</v>
      </c>
      <c r="I1110" s="1" t="s">
        <v>3468</v>
      </c>
      <c r="J1110" s="1" t="s">
        <v>3469</v>
      </c>
      <c r="K1110" s="1"/>
      <c r="L1110" s="1" t="s">
        <v>2299</v>
      </c>
      <c r="M1110" s="1" t="s">
        <v>3470</v>
      </c>
      <c r="N1110" s="1" t="s">
        <v>3471</v>
      </c>
      <c r="O1110" s="1" t="s">
        <v>3472</v>
      </c>
      <c r="P1110" s="1" t="s">
        <v>2182</v>
      </c>
      <c r="Q1110" s="1"/>
      <c r="R1110" s="1"/>
      <c r="S1110" s="1" t="s">
        <v>2072</v>
      </c>
      <c r="T1110" s="1" t="s">
        <v>3165</v>
      </c>
      <c r="U1110" s="4">
        <v>3100000</v>
      </c>
      <c r="V1110" s="4">
        <v>24</v>
      </c>
      <c r="W1110" s="4">
        <v>0</v>
      </c>
      <c r="X1110" s="4">
        <v>4</v>
      </c>
      <c r="Y1110" s="4">
        <v>0</v>
      </c>
      <c r="Z1110" s="5">
        <v>28</v>
      </c>
      <c r="AA1110" s="5">
        <v>0</v>
      </c>
      <c r="AB1110" s="6">
        <v>0</v>
      </c>
      <c r="AC1110" s="4">
        <v>28</v>
      </c>
      <c r="AD1110" s="4">
        <v>0</v>
      </c>
      <c r="AE1110" s="4">
        <v>28</v>
      </c>
      <c r="AF1110" s="1"/>
      <c r="AG1110" s="1"/>
      <c r="AH1110" s="1"/>
      <c r="AI1110" s="1" t="s">
        <v>2841</v>
      </c>
      <c r="AJ1110" s="6">
        <v>6.77</v>
      </c>
      <c r="AK1110" s="6">
        <v>6.77</v>
      </c>
      <c r="AL1110" s="1"/>
    </row>
    <row r="1111" spans="1:38" hidden="1" x14ac:dyDescent="0.25">
      <c r="A1111" s="2">
        <v>1445</v>
      </c>
      <c r="B1111" s="1" t="s">
        <v>1314</v>
      </c>
      <c r="C1111" s="1" t="s">
        <v>1315</v>
      </c>
      <c r="D1111" s="1" t="s">
        <v>2062</v>
      </c>
      <c r="E1111" s="1" t="s">
        <v>2063</v>
      </c>
      <c r="F1111" s="3">
        <v>45608</v>
      </c>
      <c r="G1111" s="3">
        <v>45302</v>
      </c>
      <c r="H1111" s="3">
        <v>45667</v>
      </c>
      <c r="I1111" s="1" t="s">
        <v>2241</v>
      </c>
      <c r="J1111" s="1" t="s">
        <v>2242</v>
      </c>
      <c r="K1111" s="1"/>
      <c r="L1111" s="1" t="s">
        <v>2243</v>
      </c>
      <c r="M1111" s="1" t="s">
        <v>2244</v>
      </c>
      <c r="N1111" s="1" t="s">
        <v>2245</v>
      </c>
      <c r="O1111" s="1" t="s">
        <v>2246</v>
      </c>
      <c r="P1111" s="1" t="s">
        <v>2247</v>
      </c>
      <c r="Q1111" s="1"/>
      <c r="R1111" s="1"/>
      <c r="S1111" s="1" t="s">
        <v>2072</v>
      </c>
      <c r="T1111" s="1" t="s">
        <v>2073</v>
      </c>
      <c r="U1111" s="4">
        <v>2350000</v>
      </c>
      <c r="V1111" s="4">
        <v>1482</v>
      </c>
      <c r="W1111" s="4">
        <v>15</v>
      </c>
      <c r="X1111" s="4">
        <v>222</v>
      </c>
      <c r="Y1111" s="4">
        <v>0</v>
      </c>
      <c r="Z1111" s="5">
        <v>1719</v>
      </c>
      <c r="AA1111" s="5">
        <v>0</v>
      </c>
      <c r="AB1111" s="6">
        <v>0</v>
      </c>
      <c r="AC1111" s="4">
        <v>1719</v>
      </c>
      <c r="AD1111" s="4">
        <v>0</v>
      </c>
      <c r="AE1111" s="4">
        <v>1719</v>
      </c>
      <c r="AF1111" s="1"/>
      <c r="AG1111" s="1"/>
      <c r="AH1111" s="1"/>
      <c r="AI1111" s="1" t="s">
        <v>3432</v>
      </c>
      <c r="AJ1111" s="6">
        <v>709.73</v>
      </c>
      <c r="AK1111" s="6">
        <v>533.6</v>
      </c>
      <c r="AL1111" s="1"/>
    </row>
    <row r="1112" spans="1:38" hidden="1" x14ac:dyDescent="0.25">
      <c r="A1112" s="2">
        <v>1446</v>
      </c>
      <c r="B1112" s="1" t="s">
        <v>1314</v>
      </c>
      <c r="C1112" s="1" t="s">
        <v>1316</v>
      </c>
      <c r="D1112" s="1" t="s">
        <v>2062</v>
      </c>
      <c r="E1112" s="1" t="s">
        <v>2063</v>
      </c>
      <c r="F1112" s="3">
        <v>45639</v>
      </c>
      <c r="G1112" s="3">
        <v>45302</v>
      </c>
      <c r="H1112" s="3">
        <v>45667</v>
      </c>
      <c r="I1112" s="1" t="s">
        <v>2241</v>
      </c>
      <c r="J1112" s="1" t="s">
        <v>2242</v>
      </c>
      <c r="K1112" s="1"/>
      <c r="L1112" s="1" t="s">
        <v>2243</v>
      </c>
      <c r="M1112" s="1" t="s">
        <v>2244</v>
      </c>
      <c r="N1112" s="1" t="s">
        <v>2245</v>
      </c>
      <c r="O1112" s="1" t="s">
        <v>2246</v>
      </c>
      <c r="P1112" s="1" t="s">
        <v>2247</v>
      </c>
      <c r="Q1112" s="1"/>
      <c r="R1112" s="1"/>
      <c r="S1112" s="1" t="s">
        <v>2072</v>
      </c>
      <c r="T1112" s="1" t="s">
        <v>2073</v>
      </c>
      <c r="U1112" s="4">
        <v>2350000</v>
      </c>
      <c r="V1112" s="4">
        <v>1102</v>
      </c>
      <c r="W1112" s="4">
        <v>11</v>
      </c>
      <c r="X1112" s="4">
        <v>165</v>
      </c>
      <c r="Y1112" s="4">
        <v>0</v>
      </c>
      <c r="Z1112" s="5">
        <v>1278</v>
      </c>
      <c r="AA1112" s="5">
        <v>0</v>
      </c>
      <c r="AB1112" s="6">
        <v>0</v>
      </c>
      <c r="AC1112" s="4">
        <v>1278</v>
      </c>
      <c r="AD1112" s="4">
        <v>0</v>
      </c>
      <c r="AE1112" s="4">
        <v>1278</v>
      </c>
      <c r="AF1112" s="1"/>
      <c r="AG1112" s="1"/>
      <c r="AH1112" s="1"/>
      <c r="AI1112" s="1" t="s">
        <v>3432</v>
      </c>
      <c r="AJ1112" s="6">
        <v>428.59</v>
      </c>
      <c r="AK1112" s="6">
        <v>396.81000000000006</v>
      </c>
      <c r="AL1112" s="1"/>
    </row>
    <row r="1113" spans="1:38" hidden="1" x14ac:dyDescent="0.25">
      <c r="A1113" s="2">
        <v>1447</v>
      </c>
      <c r="B1113" s="1" t="s">
        <v>1314</v>
      </c>
      <c r="C1113" s="1" t="s">
        <v>1317</v>
      </c>
      <c r="D1113" s="1" t="s">
        <v>2062</v>
      </c>
      <c r="E1113" s="1" t="s">
        <v>2063</v>
      </c>
      <c r="F1113" s="3">
        <v>45745</v>
      </c>
      <c r="G1113" s="3">
        <v>45302</v>
      </c>
      <c r="H1113" s="3">
        <v>45667</v>
      </c>
      <c r="I1113" s="1" t="s">
        <v>2241</v>
      </c>
      <c r="J1113" s="1" t="s">
        <v>2242</v>
      </c>
      <c r="K1113" s="1"/>
      <c r="L1113" s="1" t="s">
        <v>2243</v>
      </c>
      <c r="M1113" s="1" t="s">
        <v>2244</v>
      </c>
      <c r="N1113" s="1" t="s">
        <v>2245</v>
      </c>
      <c r="O1113" s="1" t="s">
        <v>2246</v>
      </c>
      <c r="P1113" s="1" t="s">
        <v>2247</v>
      </c>
      <c r="Q1113" s="1"/>
      <c r="R1113" s="1"/>
      <c r="S1113" s="1" t="s">
        <v>2072</v>
      </c>
      <c r="T1113" s="1" t="s">
        <v>2073</v>
      </c>
      <c r="U1113" s="4">
        <v>-1</v>
      </c>
      <c r="V1113" s="4">
        <v>-2971</v>
      </c>
      <c r="W1113" s="4">
        <v>-26</v>
      </c>
      <c r="X1113" s="4">
        <v>0</v>
      </c>
      <c r="Y1113" s="4">
        <v>0</v>
      </c>
      <c r="Z1113" s="5">
        <v>-2997</v>
      </c>
      <c r="AA1113" s="5">
        <v>0</v>
      </c>
      <c r="AB1113" s="6">
        <v>0</v>
      </c>
      <c r="AC1113" s="4">
        <v>-2997</v>
      </c>
      <c r="AD1113" s="4">
        <v>0</v>
      </c>
      <c r="AE1113" s="4">
        <v>-2997</v>
      </c>
      <c r="AF1113" s="1"/>
      <c r="AG1113" s="1"/>
      <c r="AH1113" s="1"/>
      <c r="AI1113" s="1" t="s">
        <v>3432</v>
      </c>
      <c r="AJ1113" s="1"/>
      <c r="AK1113" s="1"/>
      <c r="AL1113" s="1"/>
    </row>
    <row r="1114" spans="1:38" x14ac:dyDescent="0.25">
      <c r="A1114" s="2">
        <v>1448</v>
      </c>
      <c r="B1114" s="1" t="s">
        <v>1318</v>
      </c>
      <c r="C1114" s="1"/>
      <c r="D1114" s="1" t="s">
        <v>2062</v>
      </c>
      <c r="E1114" s="1" t="s">
        <v>2063</v>
      </c>
      <c r="F1114" s="3">
        <v>45304</v>
      </c>
      <c r="G1114" s="3">
        <v>45304</v>
      </c>
      <c r="H1114" s="3">
        <v>45669</v>
      </c>
      <c r="I1114" s="1" t="s">
        <v>2105</v>
      </c>
      <c r="J1114" s="1" t="s">
        <v>2106</v>
      </c>
      <c r="K1114" s="1"/>
      <c r="L1114" s="1" t="s">
        <v>2107</v>
      </c>
      <c r="M1114" s="1" t="s">
        <v>2108</v>
      </c>
      <c r="N1114" s="1" t="s">
        <v>2109</v>
      </c>
      <c r="O1114" s="1" t="s">
        <v>2110</v>
      </c>
      <c r="P1114" s="1" t="s">
        <v>2095</v>
      </c>
      <c r="Q1114" s="1"/>
      <c r="R1114" s="1"/>
      <c r="S1114" s="1" t="s">
        <v>2072</v>
      </c>
      <c r="T1114" s="1" t="s">
        <v>2111</v>
      </c>
      <c r="U1114" s="4">
        <v>-1</v>
      </c>
      <c r="V1114" s="4">
        <v>0</v>
      </c>
      <c r="W1114" s="4">
        <v>0</v>
      </c>
      <c r="X1114" s="4">
        <v>0</v>
      </c>
      <c r="Y1114" s="4">
        <v>50</v>
      </c>
      <c r="Z1114" s="5">
        <v>50</v>
      </c>
      <c r="AA1114" s="5">
        <v>0</v>
      </c>
      <c r="AB1114" s="6">
        <v>0</v>
      </c>
      <c r="AC1114" s="4">
        <v>50</v>
      </c>
      <c r="AD1114" s="4">
        <v>0</v>
      </c>
      <c r="AE1114" s="4">
        <v>50</v>
      </c>
      <c r="AF1114" s="1"/>
      <c r="AG1114" s="1"/>
      <c r="AH1114" s="1"/>
      <c r="AI1114" s="1" t="s">
        <v>3432</v>
      </c>
      <c r="AJ1114" s="1"/>
      <c r="AK1114" s="1"/>
      <c r="AL1114" s="1" t="s">
        <v>3474</v>
      </c>
    </row>
    <row r="1115" spans="1:38" hidden="1" x14ac:dyDescent="0.25">
      <c r="A1115" s="2">
        <v>1449</v>
      </c>
      <c r="B1115" s="1" t="s">
        <v>1318</v>
      </c>
      <c r="C1115" s="1" t="s">
        <v>1319</v>
      </c>
      <c r="D1115" s="1" t="s">
        <v>2062</v>
      </c>
      <c r="E1115" s="1" t="s">
        <v>2063</v>
      </c>
      <c r="F1115" s="3">
        <v>45336</v>
      </c>
      <c r="G1115" s="3">
        <v>45304</v>
      </c>
      <c r="H1115" s="3">
        <v>45669</v>
      </c>
      <c r="I1115" s="1" t="s">
        <v>2105</v>
      </c>
      <c r="J1115" s="1" t="s">
        <v>2106</v>
      </c>
      <c r="K1115" s="1"/>
      <c r="L1115" s="1" t="s">
        <v>2107</v>
      </c>
      <c r="M1115" s="1" t="s">
        <v>2108</v>
      </c>
      <c r="N1115" s="1" t="s">
        <v>2109</v>
      </c>
      <c r="O1115" s="1" t="s">
        <v>2110</v>
      </c>
      <c r="P1115" s="1" t="s">
        <v>2095</v>
      </c>
      <c r="Q1115" s="1"/>
      <c r="R1115" s="1"/>
      <c r="S1115" s="1" t="s">
        <v>2072</v>
      </c>
      <c r="T1115" s="1" t="s">
        <v>2111</v>
      </c>
      <c r="U1115" s="4">
        <v>5600000</v>
      </c>
      <c r="V1115" s="4">
        <v>419</v>
      </c>
      <c r="W1115" s="4">
        <v>4</v>
      </c>
      <c r="X1115" s="4">
        <v>55</v>
      </c>
      <c r="Y1115" s="4">
        <v>0</v>
      </c>
      <c r="Z1115" s="5">
        <v>478</v>
      </c>
      <c r="AA1115" s="5">
        <v>0</v>
      </c>
      <c r="AB1115" s="6">
        <v>0</v>
      </c>
      <c r="AC1115" s="4">
        <v>478</v>
      </c>
      <c r="AD1115" s="4">
        <v>0</v>
      </c>
      <c r="AE1115" s="4">
        <v>478</v>
      </c>
      <c r="AF1115" s="1"/>
      <c r="AG1115" s="1"/>
      <c r="AH1115" s="1"/>
      <c r="AI1115" s="1" t="s">
        <v>3432</v>
      </c>
      <c r="AJ1115" s="6">
        <v>111.59</v>
      </c>
      <c r="AK1115" s="6">
        <v>74.659999999999982</v>
      </c>
      <c r="AL1115" s="1"/>
    </row>
    <row r="1116" spans="1:38" hidden="1" x14ac:dyDescent="0.25">
      <c r="A1116" s="2">
        <v>1450</v>
      </c>
      <c r="B1116" s="1" t="s">
        <v>1318</v>
      </c>
      <c r="C1116" s="1" t="s">
        <v>1320</v>
      </c>
      <c r="D1116" s="1" t="s">
        <v>2062</v>
      </c>
      <c r="E1116" s="1" t="s">
        <v>2063</v>
      </c>
      <c r="F1116" s="3">
        <v>45364</v>
      </c>
      <c r="G1116" s="3">
        <v>45304</v>
      </c>
      <c r="H1116" s="3">
        <v>45669</v>
      </c>
      <c r="I1116" s="1" t="s">
        <v>2105</v>
      </c>
      <c r="J1116" s="1" t="s">
        <v>2106</v>
      </c>
      <c r="K1116" s="1"/>
      <c r="L1116" s="1" t="s">
        <v>2107</v>
      </c>
      <c r="M1116" s="1" t="s">
        <v>2108</v>
      </c>
      <c r="N1116" s="1" t="s">
        <v>2109</v>
      </c>
      <c r="O1116" s="1" t="s">
        <v>2110</v>
      </c>
      <c r="P1116" s="1" t="s">
        <v>2095</v>
      </c>
      <c r="Q1116" s="1"/>
      <c r="R1116" s="1"/>
      <c r="S1116" s="1" t="s">
        <v>2072</v>
      </c>
      <c r="T1116" s="1" t="s">
        <v>2111</v>
      </c>
      <c r="U1116" s="4">
        <v>5600000</v>
      </c>
      <c r="V1116" s="4">
        <v>439</v>
      </c>
      <c r="W1116" s="4">
        <v>5</v>
      </c>
      <c r="X1116" s="4">
        <v>57</v>
      </c>
      <c r="Y1116" s="4">
        <v>0</v>
      </c>
      <c r="Z1116" s="5">
        <v>501</v>
      </c>
      <c r="AA1116" s="5">
        <v>0</v>
      </c>
      <c r="AB1116" s="6">
        <v>0</v>
      </c>
      <c r="AC1116" s="4">
        <v>501</v>
      </c>
      <c r="AD1116" s="4">
        <v>0</v>
      </c>
      <c r="AE1116" s="4">
        <v>501</v>
      </c>
      <c r="AF1116" s="1"/>
      <c r="AG1116" s="1"/>
      <c r="AH1116" s="1"/>
      <c r="AI1116" s="1" t="s">
        <v>3432</v>
      </c>
      <c r="AJ1116" s="1"/>
      <c r="AK1116" s="1"/>
      <c r="AL1116" s="1"/>
    </row>
    <row r="1117" spans="1:38" hidden="1" x14ac:dyDescent="0.25">
      <c r="A1117" s="2">
        <v>1451</v>
      </c>
      <c r="B1117" s="1" t="s">
        <v>1318</v>
      </c>
      <c r="C1117" s="1" t="s">
        <v>1321</v>
      </c>
      <c r="D1117" s="1" t="s">
        <v>2062</v>
      </c>
      <c r="E1117" s="1" t="s">
        <v>2063</v>
      </c>
      <c r="F1117" s="3">
        <v>45365</v>
      </c>
      <c r="G1117" s="3">
        <v>45304</v>
      </c>
      <c r="H1117" s="3">
        <v>45669</v>
      </c>
      <c r="I1117" s="1" t="s">
        <v>2105</v>
      </c>
      <c r="J1117" s="1" t="s">
        <v>2106</v>
      </c>
      <c r="K1117" s="1"/>
      <c r="L1117" s="1" t="s">
        <v>2107</v>
      </c>
      <c r="M1117" s="1" t="s">
        <v>2108</v>
      </c>
      <c r="N1117" s="1" t="s">
        <v>2109</v>
      </c>
      <c r="O1117" s="1" t="s">
        <v>2110</v>
      </c>
      <c r="P1117" s="1" t="s">
        <v>2095</v>
      </c>
      <c r="Q1117" s="1"/>
      <c r="R1117" s="1"/>
      <c r="S1117" s="1" t="s">
        <v>2072</v>
      </c>
      <c r="T1117" s="1" t="s">
        <v>2111</v>
      </c>
      <c r="U1117" s="4">
        <v>5600000</v>
      </c>
      <c r="V1117" s="4">
        <v>440</v>
      </c>
      <c r="W1117" s="4">
        <v>4</v>
      </c>
      <c r="X1117" s="4">
        <v>57</v>
      </c>
      <c r="Y1117" s="4">
        <v>0</v>
      </c>
      <c r="Z1117" s="5">
        <v>501</v>
      </c>
      <c r="AA1117" s="5">
        <v>0</v>
      </c>
      <c r="AB1117" s="6">
        <v>0</v>
      </c>
      <c r="AC1117" s="4">
        <v>501</v>
      </c>
      <c r="AD1117" s="4">
        <v>0</v>
      </c>
      <c r="AE1117" s="4">
        <v>501</v>
      </c>
      <c r="AF1117" s="1"/>
      <c r="AG1117" s="1"/>
      <c r="AH1117" s="1"/>
      <c r="AI1117" s="1" t="s">
        <v>3432</v>
      </c>
      <c r="AJ1117" s="6">
        <v>100.16</v>
      </c>
      <c r="AK1117" s="6">
        <v>78.33</v>
      </c>
      <c r="AL1117" s="1"/>
    </row>
    <row r="1118" spans="1:38" hidden="1" x14ac:dyDescent="0.25">
      <c r="A1118" s="2">
        <v>1452</v>
      </c>
      <c r="B1118" s="1" t="s">
        <v>1318</v>
      </c>
      <c r="C1118" s="1" t="s">
        <v>1322</v>
      </c>
      <c r="D1118" s="1" t="s">
        <v>2062</v>
      </c>
      <c r="E1118" s="1" t="s">
        <v>2063</v>
      </c>
      <c r="F1118" s="3">
        <v>45426</v>
      </c>
      <c r="G1118" s="3">
        <v>45304</v>
      </c>
      <c r="H1118" s="3">
        <v>45669</v>
      </c>
      <c r="I1118" s="1" t="s">
        <v>2105</v>
      </c>
      <c r="J1118" s="1" t="s">
        <v>2106</v>
      </c>
      <c r="K1118" s="1"/>
      <c r="L1118" s="1" t="s">
        <v>2107</v>
      </c>
      <c r="M1118" s="1" t="s">
        <v>2108</v>
      </c>
      <c r="N1118" s="1" t="s">
        <v>2109</v>
      </c>
      <c r="O1118" s="1" t="s">
        <v>2110</v>
      </c>
      <c r="P1118" s="1" t="s">
        <v>2095</v>
      </c>
      <c r="Q1118" s="1"/>
      <c r="R1118" s="1"/>
      <c r="S1118" s="1" t="s">
        <v>2072</v>
      </c>
      <c r="T1118" s="1" t="s">
        <v>2111</v>
      </c>
      <c r="U1118" s="4">
        <v>5600000</v>
      </c>
      <c r="V1118" s="4">
        <v>1</v>
      </c>
      <c r="W1118" s="4">
        <v>0</v>
      </c>
      <c r="X1118" s="4">
        <v>0</v>
      </c>
      <c r="Y1118" s="4">
        <v>0</v>
      </c>
      <c r="Z1118" s="5">
        <v>1</v>
      </c>
      <c r="AA1118" s="5">
        <v>0</v>
      </c>
      <c r="AB1118" s="6">
        <v>0</v>
      </c>
      <c r="AC1118" s="4">
        <v>1</v>
      </c>
      <c r="AD1118" s="4">
        <v>0</v>
      </c>
      <c r="AE1118" s="4">
        <v>1</v>
      </c>
      <c r="AF1118" s="1"/>
      <c r="AG1118" s="1"/>
      <c r="AH1118" s="1"/>
      <c r="AI1118" s="1" t="s">
        <v>3432</v>
      </c>
      <c r="AJ1118" s="6">
        <v>0.17</v>
      </c>
      <c r="AK1118" s="6">
        <v>0.17</v>
      </c>
      <c r="AL1118" s="1"/>
    </row>
    <row r="1119" spans="1:38" hidden="1" x14ac:dyDescent="0.25">
      <c r="A1119" s="2">
        <v>1453</v>
      </c>
      <c r="B1119" s="1" t="s">
        <v>1318</v>
      </c>
      <c r="C1119" s="1" t="s">
        <v>1323</v>
      </c>
      <c r="D1119" s="1" t="s">
        <v>2062</v>
      </c>
      <c r="E1119" s="1" t="s">
        <v>2063</v>
      </c>
      <c r="F1119" s="3">
        <v>45456</v>
      </c>
      <c r="G1119" s="3">
        <v>45304</v>
      </c>
      <c r="H1119" s="3">
        <v>45669</v>
      </c>
      <c r="I1119" s="1" t="s">
        <v>2105</v>
      </c>
      <c r="J1119" s="1" t="s">
        <v>2106</v>
      </c>
      <c r="K1119" s="1"/>
      <c r="L1119" s="1" t="s">
        <v>2107</v>
      </c>
      <c r="M1119" s="1" t="s">
        <v>2108</v>
      </c>
      <c r="N1119" s="1" t="s">
        <v>2109</v>
      </c>
      <c r="O1119" s="1" t="s">
        <v>2110</v>
      </c>
      <c r="P1119" s="1" t="s">
        <v>2095</v>
      </c>
      <c r="Q1119" s="1"/>
      <c r="R1119" s="1"/>
      <c r="S1119" s="1" t="s">
        <v>2072</v>
      </c>
      <c r="T1119" s="1" t="s">
        <v>2111</v>
      </c>
      <c r="U1119" s="4">
        <v>5600000</v>
      </c>
      <c r="V1119" s="4">
        <v>387</v>
      </c>
      <c r="W1119" s="4">
        <v>4</v>
      </c>
      <c r="X1119" s="4">
        <v>50</v>
      </c>
      <c r="Y1119" s="4">
        <v>0</v>
      </c>
      <c r="Z1119" s="5">
        <v>441</v>
      </c>
      <c r="AA1119" s="5">
        <v>0</v>
      </c>
      <c r="AB1119" s="6">
        <v>0</v>
      </c>
      <c r="AC1119" s="4">
        <v>441</v>
      </c>
      <c r="AD1119" s="4">
        <v>0</v>
      </c>
      <c r="AE1119" s="4">
        <v>441</v>
      </c>
      <c r="AF1119" s="1"/>
      <c r="AG1119" s="1"/>
      <c r="AH1119" s="1"/>
      <c r="AI1119" s="1" t="s">
        <v>3432</v>
      </c>
      <c r="AJ1119" s="6">
        <v>74.480000000000089</v>
      </c>
      <c r="AK1119" s="6">
        <v>68.89</v>
      </c>
      <c r="AL1119" s="1"/>
    </row>
    <row r="1120" spans="1:38" hidden="1" x14ac:dyDescent="0.25">
      <c r="A1120" s="2">
        <v>1454</v>
      </c>
      <c r="B1120" s="1" t="s">
        <v>1318</v>
      </c>
      <c r="C1120" s="1" t="s">
        <v>1324</v>
      </c>
      <c r="D1120" s="1" t="s">
        <v>2062</v>
      </c>
      <c r="E1120" s="1" t="s">
        <v>2063</v>
      </c>
      <c r="F1120" s="3">
        <v>45488</v>
      </c>
      <c r="G1120" s="3">
        <v>45304</v>
      </c>
      <c r="H1120" s="3">
        <v>45669</v>
      </c>
      <c r="I1120" s="1" t="s">
        <v>2105</v>
      </c>
      <c r="J1120" s="1" t="s">
        <v>2106</v>
      </c>
      <c r="K1120" s="1"/>
      <c r="L1120" s="1" t="s">
        <v>2107</v>
      </c>
      <c r="M1120" s="1" t="s">
        <v>2108</v>
      </c>
      <c r="N1120" s="1" t="s">
        <v>2109</v>
      </c>
      <c r="O1120" s="1" t="s">
        <v>2110</v>
      </c>
      <c r="P1120" s="1" t="s">
        <v>2095</v>
      </c>
      <c r="Q1120" s="1"/>
      <c r="R1120" s="1"/>
      <c r="S1120" s="1" t="s">
        <v>2072</v>
      </c>
      <c r="T1120" s="1" t="s">
        <v>2111</v>
      </c>
      <c r="U1120" s="4">
        <v>5600000</v>
      </c>
      <c r="V1120" s="4">
        <v>1787</v>
      </c>
      <c r="W1120" s="4">
        <v>18</v>
      </c>
      <c r="X1120" s="4">
        <v>268</v>
      </c>
      <c r="Y1120" s="4">
        <v>0</v>
      </c>
      <c r="Z1120" s="5">
        <v>2073</v>
      </c>
      <c r="AA1120" s="5">
        <v>0</v>
      </c>
      <c r="AB1120" s="6">
        <v>0</v>
      </c>
      <c r="AC1120" s="4">
        <v>2073</v>
      </c>
      <c r="AD1120" s="4">
        <v>0</v>
      </c>
      <c r="AE1120" s="4">
        <v>2073</v>
      </c>
      <c r="AF1120" s="1"/>
      <c r="AG1120" s="1"/>
      <c r="AH1120" s="1"/>
      <c r="AI1120" s="1" t="s">
        <v>3432</v>
      </c>
      <c r="AJ1120" s="6">
        <v>413.63</v>
      </c>
      <c r="AK1120" s="6">
        <v>324.04000000000002</v>
      </c>
      <c r="AL1120" s="1"/>
    </row>
    <row r="1121" spans="1:38" hidden="1" x14ac:dyDescent="0.25">
      <c r="A1121" s="2">
        <v>1455</v>
      </c>
      <c r="B1121" s="1" t="s">
        <v>1318</v>
      </c>
      <c r="C1121" s="1" t="s">
        <v>1325</v>
      </c>
      <c r="D1121" s="1" t="s">
        <v>2062</v>
      </c>
      <c r="E1121" s="1" t="s">
        <v>2063</v>
      </c>
      <c r="F1121" s="3">
        <v>45517</v>
      </c>
      <c r="G1121" s="3">
        <v>45304</v>
      </c>
      <c r="H1121" s="3">
        <v>45669</v>
      </c>
      <c r="I1121" s="1" t="s">
        <v>2105</v>
      </c>
      <c r="J1121" s="1" t="s">
        <v>2106</v>
      </c>
      <c r="K1121" s="1"/>
      <c r="L1121" s="1" t="s">
        <v>2107</v>
      </c>
      <c r="M1121" s="1" t="s">
        <v>2108</v>
      </c>
      <c r="N1121" s="1" t="s">
        <v>2109</v>
      </c>
      <c r="O1121" s="1" t="s">
        <v>2110</v>
      </c>
      <c r="P1121" s="1" t="s">
        <v>2095</v>
      </c>
      <c r="Q1121" s="1"/>
      <c r="R1121" s="1"/>
      <c r="S1121" s="1" t="s">
        <v>2072</v>
      </c>
      <c r="T1121" s="1" t="s">
        <v>2111</v>
      </c>
      <c r="U1121" s="4">
        <v>5600000</v>
      </c>
      <c r="V1121" s="4">
        <v>4983</v>
      </c>
      <c r="W1121" s="4">
        <v>50</v>
      </c>
      <c r="X1121" s="4">
        <v>747</v>
      </c>
      <c r="Y1121" s="4">
        <v>0</v>
      </c>
      <c r="Z1121" s="5">
        <v>5780</v>
      </c>
      <c r="AA1121" s="5">
        <v>0</v>
      </c>
      <c r="AB1121" s="6">
        <v>0</v>
      </c>
      <c r="AC1121" s="4">
        <v>5780</v>
      </c>
      <c r="AD1121" s="4">
        <v>0</v>
      </c>
      <c r="AE1121" s="4">
        <v>5780</v>
      </c>
      <c r="AF1121" s="1"/>
      <c r="AG1121" s="1"/>
      <c r="AH1121" s="1"/>
      <c r="AI1121" s="1" t="s">
        <v>3432</v>
      </c>
      <c r="AJ1121" s="6">
        <v>1341.97</v>
      </c>
      <c r="AK1121" s="6">
        <v>903.4100000000002</v>
      </c>
      <c r="AL1121" s="1"/>
    </row>
    <row r="1122" spans="1:38" hidden="1" x14ac:dyDescent="0.25">
      <c r="A1122" s="2">
        <v>1456</v>
      </c>
      <c r="B1122" s="1" t="s">
        <v>1318</v>
      </c>
      <c r="C1122" s="1" t="s">
        <v>1326</v>
      </c>
      <c r="D1122" s="1" t="s">
        <v>2062</v>
      </c>
      <c r="E1122" s="1" t="s">
        <v>2063</v>
      </c>
      <c r="F1122" s="3">
        <v>45555</v>
      </c>
      <c r="G1122" s="3">
        <v>45304</v>
      </c>
      <c r="H1122" s="3">
        <v>45669</v>
      </c>
      <c r="I1122" s="1" t="s">
        <v>2105</v>
      </c>
      <c r="J1122" s="1" t="s">
        <v>2106</v>
      </c>
      <c r="K1122" s="1"/>
      <c r="L1122" s="1" t="s">
        <v>2107</v>
      </c>
      <c r="M1122" s="1" t="s">
        <v>2108</v>
      </c>
      <c r="N1122" s="1" t="s">
        <v>2109</v>
      </c>
      <c r="O1122" s="1" t="s">
        <v>2110</v>
      </c>
      <c r="P1122" s="1" t="s">
        <v>2095</v>
      </c>
      <c r="Q1122" s="1"/>
      <c r="R1122" s="1"/>
      <c r="S1122" s="1" t="s">
        <v>2072</v>
      </c>
      <c r="T1122" s="1" t="s">
        <v>2111</v>
      </c>
      <c r="U1122" s="4">
        <v>5600000</v>
      </c>
      <c r="V1122" s="4">
        <v>485</v>
      </c>
      <c r="W1122" s="4">
        <v>5</v>
      </c>
      <c r="X1122" s="4">
        <v>73</v>
      </c>
      <c r="Y1122" s="4">
        <v>0</v>
      </c>
      <c r="Z1122" s="5">
        <v>563</v>
      </c>
      <c r="AA1122" s="5">
        <v>505</v>
      </c>
      <c r="AB1122" s="6">
        <v>0</v>
      </c>
      <c r="AC1122" s="4">
        <v>58</v>
      </c>
      <c r="AD1122" s="4">
        <v>0</v>
      </c>
      <c r="AE1122" s="4">
        <v>58</v>
      </c>
      <c r="AF1122" s="1"/>
      <c r="AG1122" s="1"/>
      <c r="AH1122" s="1"/>
      <c r="AI1122" s="1" t="s">
        <v>3432</v>
      </c>
      <c r="AJ1122" s="6">
        <v>118.56</v>
      </c>
      <c r="AK1122" s="6">
        <v>88.11</v>
      </c>
      <c r="AL1122" s="1"/>
    </row>
    <row r="1123" spans="1:38" hidden="1" x14ac:dyDescent="0.25">
      <c r="A1123" s="2">
        <v>1457</v>
      </c>
      <c r="B1123" s="1" t="s">
        <v>1318</v>
      </c>
      <c r="C1123" s="1" t="s">
        <v>1327</v>
      </c>
      <c r="D1123" s="1" t="s">
        <v>2062</v>
      </c>
      <c r="E1123" s="1" t="s">
        <v>2063</v>
      </c>
      <c r="F1123" s="3">
        <v>45581</v>
      </c>
      <c r="G1123" s="3">
        <v>45304</v>
      </c>
      <c r="H1123" s="3">
        <v>45669</v>
      </c>
      <c r="I1123" s="1" t="s">
        <v>2105</v>
      </c>
      <c r="J1123" s="1" t="s">
        <v>2106</v>
      </c>
      <c r="K1123" s="1"/>
      <c r="L1123" s="1" t="s">
        <v>2107</v>
      </c>
      <c r="M1123" s="1" t="s">
        <v>2108</v>
      </c>
      <c r="N1123" s="1" t="s">
        <v>2109</v>
      </c>
      <c r="O1123" s="1" t="s">
        <v>2110</v>
      </c>
      <c r="P1123" s="1" t="s">
        <v>2095</v>
      </c>
      <c r="Q1123" s="1"/>
      <c r="R1123" s="1"/>
      <c r="S1123" s="1" t="s">
        <v>2072</v>
      </c>
      <c r="T1123" s="1" t="s">
        <v>2111</v>
      </c>
      <c r="U1123" s="4">
        <v>5600000</v>
      </c>
      <c r="V1123" s="4">
        <v>1151</v>
      </c>
      <c r="W1123" s="4">
        <v>12</v>
      </c>
      <c r="X1123" s="4">
        <v>173</v>
      </c>
      <c r="Y1123" s="4">
        <v>0</v>
      </c>
      <c r="Z1123" s="5">
        <v>1336</v>
      </c>
      <c r="AA1123" s="5">
        <v>0</v>
      </c>
      <c r="AB1123" s="6">
        <v>0</v>
      </c>
      <c r="AC1123" s="4">
        <v>1336</v>
      </c>
      <c r="AD1123" s="4">
        <v>0</v>
      </c>
      <c r="AE1123" s="4">
        <v>1336</v>
      </c>
      <c r="AF1123" s="1"/>
      <c r="AG1123" s="1"/>
      <c r="AH1123" s="1"/>
      <c r="AI1123" s="1" t="s">
        <v>3432</v>
      </c>
      <c r="AJ1123" s="6">
        <v>212.32</v>
      </c>
      <c r="AK1123" s="6">
        <v>208.88</v>
      </c>
      <c r="AL1123" s="1"/>
    </row>
    <row r="1124" spans="1:38" hidden="1" x14ac:dyDescent="0.25">
      <c r="A1124" s="2">
        <v>1458</v>
      </c>
      <c r="B1124" s="1" t="s">
        <v>1318</v>
      </c>
      <c r="C1124" s="1" t="s">
        <v>1328</v>
      </c>
      <c r="D1124" s="1" t="s">
        <v>2062</v>
      </c>
      <c r="E1124" s="1" t="s">
        <v>2063</v>
      </c>
      <c r="F1124" s="3">
        <v>45610</v>
      </c>
      <c r="G1124" s="3">
        <v>45304</v>
      </c>
      <c r="H1124" s="3">
        <v>45669</v>
      </c>
      <c r="I1124" s="1" t="s">
        <v>2105</v>
      </c>
      <c r="J1124" s="1" t="s">
        <v>2106</v>
      </c>
      <c r="K1124" s="1"/>
      <c r="L1124" s="1" t="s">
        <v>2107</v>
      </c>
      <c r="M1124" s="1" t="s">
        <v>2108</v>
      </c>
      <c r="N1124" s="1" t="s">
        <v>2109</v>
      </c>
      <c r="O1124" s="1" t="s">
        <v>2110</v>
      </c>
      <c r="P1124" s="1" t="s">
        <v>2095</v>
      </c>
      <c r="Q1124" s="1"/>
      <c r="R1124" s="1"/>
      <c r="S1124" s="1" t="s">
        <v>2072</v>
      </c>
      <c r="T1124" s="1" t="s">
        <v>2111</v>
      </c>
      <c r="U1124" s="4">
        <v>5600000</v>
      </c>
      <c r="V1124" s="4">
        <v>3743</v>
      </c>
      <c r="W1124" s="4">
        <v>37</v>
      </c>
      <c r="X1124" s="4">
        <v>561</v>
      </c>
      <c r="Y1124" s="4">
        <v>0</v>
      </c>
      <c r="Z1124" s="5">
        <v>4341</v>
      </c>
      <c r="AA1124" s="5">
        <v>0</v>
      </c>
      <c r="AB1124" s="6">
        <v>0</v>
      </c>
      <c r="AC1124" s="4">
        <v>4341</v>
      </c>
      <c r="AD1124" s="4">
        <v>0</v>
      </c>
      <c r="AE1124" s="4">
        <v>4341</v>
      </c>
      <c r="AF1124" s="1"/>
      <c r="AG1124" s="1"/>
      <c r="AH1124" s="1"/>
      <c r="AI1124" s="1" t="s">
        <v>3432</v>
      </c>
      <c r="AJ1124" s="6">
        <v>967.0300000000002</v>
      </c>
      <c r="AK1124" s="6">
        <v>678.33</v>
      </c>
      <c r="AL1124" s="1"/>
    </row>
    <row r="1125" spans="1:38" hidden="1" x14ac:dyDescent="0.25">
      <c r="A1125" s="2">
        <v>1459</v>
      </c>
      <c r="B1125" s="1" t="s">
        <v>1318</v>
      </c>
      <c r="C1125" s="1" t="s">
        <v>1329</v>
      </c>
      <c r="D1125" s="1" t="s">
        <v>2062</v>
      </c>
      <c r="E1125" s="1" t="s">
        <v>2063</v>
      </c>
      <c r="F1125" s="3">
        <v>45655</v>
      </c>
      <c r="G1125" s="3">
        <v>45304</v>
      </c>
      <c r="H1125" s="3">
        <v>45669</v>
      </c>
      <c r="I1125" s="1" t="s">
        <v>2105</v>
      </c>
      <c r="J1125" s="1" t="s">
        <v>2106</v>
      </c>
      <c r="K1125" s="1"/>
      <c r="L1125" s="1" t="s">
        <v>2107</v>
      </c>
      <c r="M1125" s="1" t="s">
        <v>2108</v>
      </c>
      <c r="N1125" s="1" t="s">
        <v>2109</v>
      </c>
      <c r="O1125" s="1" t="s">
        <v>2110</v>
      </c>
      <c r="P1125" s="1" t="s">
        <v>2095</v>
      </c>
      <c r="Q1125" s="1"/>
      <c r="R1125" s="1"/>
      <c r="S1125" s="1" t="s">
        <v>2072</v>
      </c>
      <c r="T1125" s="1" t="s">
        <v>2111</v>
      </c>
      <c r="U1125" s="4">
        <v>-1</v>
      </c>
      <c r="V1125" s="4">
        <v>-15406</v>
      </c>
      <c r="W1125" s="4">
        <v>-154</v>
      </c>
      <c r="X1125" s="4">
        <v>0</v>
      </c>
      <c r="Y1125" s="4">
        <v>0</v>
      </c>
      <c r="Z1125" s="5">
        <v>-15560</v>
      </c>
      <c r="AA1125" s="5">
        <v>0</v>
      </c>
      <c r="AB1125" s="6">
        <v>0</v>
      </c>
      <c r="AC1125" s="4">
        <v>-15560</v>
      </c>
      <c r="AD1125" s="4">
        <v>0</v>
      </c>
      <c r="AE1125" s="4">
        <v>-15560</v>
      </c>
      <c r="AF1125" s="1"/>
      <c r="AG1125" s="1"/>
      <c r="AH1125" s="1"/>
      <c r="AI1125" s="1" t="s">
        <v>3432</v>
      </c>
      <c r="AJ1125" s="1"/>
      <c r="AK1125" s="1"/>
      <c r="AL1125" s="1"/>
    </row>
    <row r="1126" spans="1:38" hidden="1" x14ac:dyDescent="0.25">
      <c r="A1126" s="2">
        <v>1460</v>
      </c>
      <c r="B1126" s="1" t="s">
        <v>1330</v>
      </c>
      <c r="C1126" s="1" t="s">
        <v>1331</v>
      </c>
      <c r="D1126" s="1" t="s">
        <v>2062</v>
      </c>
      <c r="E1126" s="1" t="s">
        <v>2063</v>
      </c>
      <c r="F1126" s="3">
        <v>45336</v>
      </c>
      <c r="G1126" s="3">
        <v>45305</v>
      </c>
      <c r="H1126" s="3">
        <v>45670</v>
      </c>
      <c r="I1126" s="1" t="s">
        <v>3475</v>
      </c>
      <c r="J1126" s="1" t="s">
        <v>3476</v>
      </c>
      <c r="K1126" s="1"/>
      <c r="L1126" s="1" t="s">
        <v>3355</v>
      </c>
      <c r="M1126" s="1" t="s">
        <v>3477</v>
      </c>
      <c r="N1126" s="1" t="s">
        <v>3478</v>
      </c>
      <c r="O1126" s="1" t="s">
        <v>3479</v>
      </c>
      <c r="P1126" s="1" t="s">
        <v>2182</v>
      </c>
      <c r="Q1126" s="1"/>
      <c r="R1126" s="1"/>
      <c r="S1126" s="1" t="s">
        <v>2072</v>
      </c>
      <c r="T1126" s="1" t="s">
        <v>2073</v>
      </c>
      <c r="U1126" s="4">
        <v>2939000</v>
      </c>
      <c r="V1126" s="4">
        <v>257</v>
      </c>
      <c r="W1126" s="4">
        <v>3</v>
      </c>
      <c r="X1126" s="4">
        <v>33</v>
      </c>
      <c r="Y1126" s="4">
        <v>0</v>
      </c>
      <c r="Z1126" s="5">
        <v>293</v>
      </c>
      <c r="AA1126" s="5">
        <v>0</v>
      </c>
      <c r="AB1126" s="6">
        <v>0</v>
      </c>
      <c r="AC1126" s="4">
        <v>293</v>
      </c>
      <c r="AD1126" s="4">
        <v>0</v>
      </c>
      <c r="AE1126" s="4">
        <v>293</v>
      </c>
      <c r="AF1126" s="1"/>
      <c r="AG1126" s="1"/>
      <c r="AH1126" s="1"/>
      <c r="AI1126" s="1" t="s">
        <v>3432</v>
      </c>
      <c r="AJ1126" s="1"/>
      <c r="AK1126" s="1"/>
      <c r="AL1126" s="1"/>
    </row>
    <row r="1127" spans="1:38" hidden="1" x14ac:dyDescent="0.25">
      <c r="A1127" s="2">
        <v>1461</v>
      </c>
      <c r="B1127" s="1" t="s">
        <v>1330</v>
      </c>
      <c r="C1127" s="1" t="s">
        <v>1332</v>
      </c>
      <c r="D1127" s="1" t="s">
        <v>2062</v>
      </c>
      <c r="E1127" s="1" t="s">
        <v>2063</v>
      </c>
      <c r="F1127" s="3">
        <v>45337</v>
      </c>
      <c r="G1127" s="3">
        <v>45305</v>
      </c>
      <c r="H1127" s="3">
        <v>45670</v>
      </c>
      <c r="I1127" s="1" t="s">
        <v>3475</v>
      </c>
      <c r="J1127" s="1" t="s">
        <v>3476</v>
      </c>
      <c r="K1127" s="1"/>
      <c r="L1127" s="1" t="s">
        <v>3355</v>
      </c>
      <c r="M1127" s="1" t="s">
        <v>3477</v>
      </c>
      <c r="N1127" s="1" t="s">
        <v>3478</v>
      </c>
      <c r="O1127" s="1" t="s">
        <v>3479</v>
      </c>
      <c r="P1127" s="1" t="s">
        <v>2182</v>
      </c>
      <c r="Q1127" s="1"/>
      <c r="R1127" s="1"/>
      <c r="S1127" s="1" t="s">
        <v>2072</v>
      </c>
      <c r="T1127" s="1" t="s">
        <v>2073</v>
      </c>
      <c r="U1127" s="4">
        <v>2939000</v>
      </c>
      <c r="V1127" s="4">
        <v>257</v>
      </c>
      <c r="W1127" s="4">
        <v>2</v>
      </c>
      <c r="X1127" s="4">
        <v>34</v>
      </c>
      <c r="Y1127" s="4">
        <v>0</v>
      </c>
      <c r="Z1127" s="5">
        <v>293</v>
      </c>
      <c r="AA1127" s="5">
        <v>0</v>
      </c>
      <c r="AB1127" s="6">
        <v>0</v>
      </c>
      <c r="AC1127" s="4">
        <v>293</v>
      </c>
      <c r="AD1127" s="4">
        <v>0</v>
      </c>
      <c r="AE1127" s="4">
        <v>293</v>
      </c>
      <c r="AF1127" s="1"/>
      <c r="AG1127" s="1"/>
      <c r="AH1127" s="1"/>
      <c r="AI1127" s="1" t="s">
        <v>3432</v>
      </c>
      <c r="AJ1127" s="6">
        <v>100.2</v>
      </c>
      <c r="AK1127" s="6">
        <v>93.680000000000092</v>
      </c>
      <c r="AL1127" s="1"/>
    </row>
    <row r="1128" spans="1:38" hidden="1" x14ac:dyDescent="0.25">
      <c r="A1128" s="2">
        <v>1462</v>
      </c>
      <c r="B1128" s="1" t="s">
        <v>1330</v>
      </c>
      <c r="C1128" s="1" t="s">
        <v>1333</v>
      </c>
      <c r="D1128" s="1" t="s">
        <v>2062</v>
      </c>
      <c r="E1128" s="1" t="s">
        <v>2063</v>
      </c>
      <c r="F1128" s="3">
        <v>45396</v>
      </c>
      <c r="G1128" s="3">
        <v>45305</v>
      </c>
      <c r="H1128" s="3">
        <v>45670</v>
      </c>
      <c r="I1128" s="1" t="s">
        <v>3475</v>
      </c>
      <c r="J1128" s="1" t="s">
        <v>3476</v>
      </c>
      <c r="K1128" s="1"/>
      <c r="L1128" s="1" t="s">
        <v>3355</v>
      </c>
      <c r="M1128" s="1" t="s">
        <v>3477</v>
      </c>
      <c r="N1128" s="1" t="s">
        <v>3478</v>
      </c>
      <c r="O1128" s="1" t="s">
        <v>3479</v>
      </c>
      <c r="P1128" s="1" t="s">
        <v>2182</v>
      </c>
      <c r="Q1128" s="1"/>
      <c r="R1128" s="1"/>
      <c r="S1128" s="1" t="s">
        <v>2072</v>
      </c>
      <c r="T1128" s="1" t="s">
        <v>2073</v>
      </c>
      <c r="U1128" s="4">
        <v>961000</v>
      </c>
      <c r="V1128" s="4">
        <v>582</v>
      </c>
      <c r="W1128" s="4">
        <v>6</v>
      </c>
      <c r="X1128" s="4">
        <v>75</v>
      </c>
      <c r="Y1128" s="4">
        <v>0</v>
      </c>
      <c r="Z1128" s="5">
        <v>663</v>
      </c>
      <c r="AA1128" s="5">
        <v>0</v>
      </c>
      <c r="AB1128" s="6">
        <v>0</v>
      </c>
      <c r="AC1128" s="4">
        <v>663</v>
      </c>
      <c r="AD1128" s="4">
        <v>0</v>
      </c>
      <c r="AE1128" s="4">
        <v>663</v>
      </c>
      <c r="AF1128" s="1"/>
      <c r="AG1128" s="1"/>
      <c r="AH1128" s="1"/>
      <c r="AI1128" s="1" t="s">
        <v>3432</v>
      </c>
      <c r="AJ1128" s="6">
        <v>914.55999999999813</v>
      </c>
      <c r="AK1128" s="6">
        <v>648.05000000000007</v>
      </c>
      <c r="AL1128" s="1"/>
    </row>
    <row r="1129" spans="1:38" hidden="1" x14ac:dyDescent="0.25">
      <c r="A1129" s="2">
        <v>1463</v>
      </c>
      <c r="B1129" s="1" t="s">
        <v>1330</v>
      </c>
      <c r="C1129" s="1" t="s">
        <v>1334</v>
      </c>
      <c r="D1129" s="1" t="s">
        <v>2062</v>
      </c>
      <c r="E1129" s="1" t="s">
        <v>2063</v>
      </c>
      <c r="F1129" s="3">
        <v>45426</v>
      </c>
      <c r="G1129" s="3">
        <v>45305</v>
      </c>
      <c r="H1129" s="3">
        <v>45670</v>
      </c>
      <c r="I1129" s="1" t="s">
        <v>3475</v>
      </c>
      <c r="J1129" s="1" t="s">
        <v>3476</v>
      </c>
      <c r="K1129" s="1"/>
      <c r="L1129" s="1" t="s">
        <v>3355</v>
      </c>
      <c r="M1129" s="1" t="s">
        <v>3477</v>
      </c>
      <c r="N1129" s="1" t="s">
        <v>3478</v>
      </c>
      <c r="O1129" s="1" t="s">
        <v>3479</v>
      </c>
      <c r="P1129" s="1" t="s">
        <v>2182</v>
      </c>
      <c r="Q1129" s="1"/>
      <c r="R1129" s="1"/>
      <c r="S1129" s="1" t="s">
        <v>2072</v>
      </c>
      <c r="T1129" s="1" t="s">
        <v>2073</v>
      </c>
      <c r="U1129" s="4">
        <v>961000</v>
      </c>
      <c r="V1129" s="4">
        <v>357</v>
      </c>
      <c r="W1129" s="4">
        <v>4</v>
      </c>
      <c r="X1129" s="4">
        <v>47</v>
      </c>
      <c r="Y1129" s="4">
        <v>0</v>
      </c>
      <c r="Z1129" s="5">
        <v>408</v>
      </c>
      <c r="AA1129" s="5">
        <v>0</v>
      </c>
      <c r="AB1129" s="6">
        <v>0</v>
      </c>
      <c r="AC1129" s="4">
        <v>408</v>
      </c>
      <c r="AD1129" s="4">
        <v>0</v>
      </c>
      <c r="AE1129" s="4">
        <v>408</v>
      </c>
      <c r="AF1129" s="1"/>
      <c r="AG1129" s="1"/>
      <c r="AH1129" s="1"/>
      <c r="AI1129" s="1" t="s">
        <v>3432</v>
      </c>
      <c r="AJ1129" s="6">
        <v>539.030000000001</v>
      </c>
      <c r="AK1129" s="6">
        <v>398.75</v>
      </c>
      <c r="AL1129" s="1"/>
    </row>
    <row r="1130" spans="1:38" hidden="1" x14ac:dyDescent="0.25">
      <c r="A1130" s="2">
        <v>1464</v>
      </c>
      <c r="B1130" s="1" t="s">
        <v>1330</v>
      </c>
      <c r="C1130" s="1" t="s">
        <v>1335</v>
      </c>
      <c r="D1130" s="1" t="s">
        <v>2062</v>
      </c>
      <c r="E1130" s="1" t="s">
        <v>2063</v>
      </c>
      <c r="F1130" s="3">
        <v>45488</v>
      </c>
      <c r="G1130" s="3">
        <v>45305</v>
      </c>
      <c r="H1130" s="3">
        <v>45670</v>
      </c>
      <c r="I1130" s="1" t="s">
        <v>3475</v>
      </c>
      <c r="J1130" s="1" t="s">
        <v>3476</v>
      </c>
      <c r="K1130" s="1"/>
      <c r="L1130" s="1" t="s">
        <v>3355</v>
      </c>
      <c r="M1130" s="1" t="s">
        <v>3477</v>
      </c>
      <c r="N1130" s="1" t="s">
        <v>3478</v>
      </c>
      <c r="O1130" s="1" t="s">
        <v>3479</v>
      </c>
      <c r="P1130" s="1" t="s">
        <v>2182</v>
      </c>
      <c r="Q1130" s="1"/>
      <c r="R1130" s="1"/>
      <c r="S1130" s="1" t="s">
        <v>2072</v>
      </c>
      <c r="T1130" s="1" t="s">
        <v>2073</v>
      </c>
      <c r="U1130" s="4">
        <v>961000</v>
      </c>
      <c r="V1130" s="4">
        <v>965</v>
      </c>
      <c r="W1130" s="4">
        <v>10</v>
      </c>
      <c r="X1130" s="4">
        <v>145</v>
      </c>
      <c r="Y1130" s="4">
        <v>0</v>
      </c>
      <c r="Z1130" s="5">
        <v>1120</v>
      </c>
      <c r="AA1130" s="5">
        <v>0</v>
      </c>
      <c r="AB1130" s="6">
        <v>0</v>
      </c>
      <c r="AC1130" s="4">
        <v>1120</v>
      </c>
      <c r="AD1130" s="4">
        <v>0</v>
      </c>
      <c r="AE1130" s="4">
        <v>1120</v>
      </c>
      <c r="AF1130" s="1"/>
      <c r="AG1130" s="1"/>
      <c r="AH1130" s="1"/>
      <c r="AI1130" s="1" t="s">
        <v>3432</v>
      </c>
      <c r="AJ1130" s="6">
        <v>1307.920000000001</v>
      </c>
      <c r="AK1130" s="6">
        <v>1094.3</v>
      </c>
      <c r="AL1130" s="1"/>
    </row>
    <row r="1131" spans="1:38" hidden="1" x14ac:dyDescent="0.25">
      <c r="A1131" s="2">
        <v>1465</v>
      </c>
      <c r="B1131" s="1" t="s">
        <v>1330</v>
      </c>
      <c r="C1131" s="1" t="s">
        <v>1336</v>
      </c>
      <c r="D1131" s="1" t="s">
        <v>2062</v>
      </c>
      <c r="E1131" s="1" t="s">
        <v>2063</v>
      </c>
      <c r="F1131" s="3">
        <v>45520</v>
      </c>
      <c r="G1131" s="3">
        <v>45305</v>
      </c>
      <c r="H1131" s="3">
        <v>45670</v>
      </c>
      <c r="I1131" s="1" t="s">
        <v>3475</v>
      </c>
      <c r="J1131" s="1" t="s">
        <v>3476</v>
      </c>
      <c r="K1131" s="1"/>
      <c r="L1131" s="1" t="s">
        <v>3355</v>
      </c>
      <c r="M1131" s="1" t="s">
        <v>3477</v>
      </c>
      <c r="N1131" s="1" t="s">
        <v>3478</v>
      </c>
      <c r="O1131" s="1" t="s">
        <v>3479</v>
      </c>
      <c r="P1131" s="1" t="s">
        <v>2182</v>
      </c>
      <c r="Q1131" s="1"/>
      <c r="R1131" s="1"/>
      <c r="S1131" s="1" t="s">
        <v>2072</v>
      </c>
      <c r="T1131" s="1" t="s">
        <v>2073</v>
      </c>
      <c r="U1131" s="4">
        <v>961000</v>
      </c>
      <c r="V1131" s="4">
        <v>810</v>
      </c>
      <c r="W1131" s="4">
        <v>8</v>
      </c>
      <c r="X1131" s="4">
        <v>121</v>
      </c>
      <c r="Y1131" s="4">
        <v>0</v>
      </c>
      <c r="Z1131" s="5">
        <v>939</v>
      </c>
      <c r="AA1131" s="5">
        <v>0</v>
      </c>
      <c r="AB1131" s="6">
        <v>0</v>
      </c>
      <c r="AC1131" s="4">
        <v>939</v>
      </c>
      <c r="AD1131" s="4">
        <v>0</v>
      </c>
      <c r="AE1131" s="4">
        <v>939</v>
      </c>
      <c r="AF1131" s="1"/>
      <c r="AG1131" s="1"/>
      <c r="AH1131" s="1"/>
      <c r="AI1131" s="1" t="s">
        <v>3432</v>
      </c>
      <c r="AJ1131" s="6">
        <v>1134.74</v>
      </c>
      <c r="AK1131" s="6">
        <v>916.61000000000104</v>
      </c>
      <c r="AL1131" s="1"/>
    </row>
    <row r="1132" spans="1:38" hidden="1" x14ac:dyDescent="0.25">
      <c r="A1132" s="2">
        <v>1466</v>
      </c>
      <c r="B1132" s="1" t="s">
        <v>1330</v>
      </c>
      <c r="C1132" s="1" t="s">
        <v>1337</v>
      </c>
      <c r="D1132" s="1" t="s">
        <v>2062</v>
      </c>
      <c r="E1132" s="1" t="s">
        <v>2063</v>
      </c>
      <c r="F1132" s="3">
        <v>45555</v>
      </c>
      <c r="G1132" s="3">
        <v>45305</v>
      </c>
      <c r="H1132" s="3">
        <v>45670</v>
      </c>
      <c r="I1132" s="1" t="s">
        <v>3475</v>
      </c>
      <c r="J1132" s="1" t="s">
        <v>3476</v>
      </c>
      <c r="K1132" s="1"/>
      <c r="L1132" s="1" t="s">
        <v>3355</v>
      </c>
      <c r="M1132" s="1" t="s">
        <v>3477</v>
      </c>
      <c r="N1132" s="1" t="s">
        <v>3478</v>
      </c>
      <c r="O1132" s="1" t="s">
        <v>3479</v>
      </c>
      <c r="P1132" s="1" t="s">
        <v>2182</v>
      </c>
      <c r="Q1132" s="1"/>
      <c r="R1132" s="1"/>
      <c r="S1132" s="1" t="s">
        <v>2072</v>
      </c>
      <c r="T1132" s="1" t="s">
        <v>2073</v>
      </c>
      <c r="U1132" s="4">
        <v>961000</v>
      </c>
      <c r="V1132" s="4">
        <v>958</v>
      </c>
      <c r="W1132" s="4">
        <v>10</v>
      </c>
      <c r="X1132" s="4">
        <v>144</v>
      </c>
      <c r="Y1132" s="4">
        <v>0</v>
      </c>
      <c r="Z1132" s="5">
        <v>1112</v>
      </c>
      <c r="AA1132" s="5">
        <v>0</v>
      </c>
      <c r="AB1132" s="6">
        <v>0</v>
      </c>
      <c r="AC1132" s="4">
        <v>1112</v>
      </c>
      <c r="AD1132" s="4">
        <v>0</v>
      </c>
      <c r="AE1132" s="4">
        <v>1112</v>
      </c>
      <c r="AF1132" s="1"/>
      <c r="AG1132" s="1"/>
      <c r="AH1132" s="1"/>
      <c r="AI1132" s="1" t="s">
        <v>3432</v>
      </c>
      <c r="AJ1132" s="6">
        <v>1323.8700000000013</v>
      </c>
      <c r="AK1132" s="6">
        <v>1088.44</v>
      </c>
      <c r="AL1132" s="1"/>
    </row>
    <row r="1133" spans="1:38" hidden="1" x14ac:dyDescent="0.25">
      <c r="A1133" s="2">
        <v>1467</v>
      </c>
      <c r="B1133" s="1" t="s">
        <v>1330</v>
      </c>
      <c r="C1133" s="1" t="s">
        <v>1338</v>
      </c>
      <c r="D1133" s="1" t="s">
        <v>2062</v>
      </c>
      <c r="E1133" s="1" t="s">
        <v>2063</v>
      </c>
      <c r="F1133" s="3">
        <v>45582</v>
      </c>
      <c r="G1133" s="3">
        <v>45305</v>
      </c>
      <c r="H1133" s="3">
        <v>45670</v>
      </c>
      <c r="I1133" s="1" t="s">
        <v>3475</v>
      </c>
      <c r="J1133" s="1" t="s">
        <v>3476</v>
      </c>
      <c r="K1133" s="1"/>
      <c r="L1133" s="1" t="s">
        <v>3355</v>
      </c>
      <c r="M1133" s="1" t="s">
        <v>3477</v>
      </c>
      <c r="N1133" s="1" t="s">
        <v>3478</v>
      </c>
      <c r="O1133" s="1" t="s">
        <v>3479</v>
      </c>
      <c r="P1133" s="1" t="s">
        <v>2182</v>
      </c>
      <c r="Q1133" s="1"/>
      <c r="R1133" s="1"/>
      <c r="S1133" s="1" t="s">
        <v>2072</v>
      </c>
      <c r="T1133" s="1" t="s">
        <v>2073</v>
      </c>
      <c r="U1133" s="4">
        <v>961000</v>
      </c>
      <c r="V1133" s="4">
        <v>660</v>
      </c>
      <c r="W1133" s="4">
        <v>7</v>
      </c>
      <c r="X1133" s="4">
        <v>99</v>
      </c>
      <c r="Y1133" s="4">
        <v>0</v>
      </c>
      <c r="Z1133" s="5">
        <v>766</v>
      </c>
      <c r="AA1133" s="5">
        <v>0</v>
      </c>
      <c r="AB1133" s="6">
        <v>0</v>
      </c>
      <c r="AC1133" s="4">
        <v>766</v>
      </c>
      <c r="AD1133" s="4">
        <v>0</v>
      </c>
      <c r="AE1133" s="4">
        <v>766</v>
      </c>
      <c r="AF1133" s="1"/>
      <c r="AG1133" s="1"/>
      <c r="AH1133" s="1"/>
      <c r="AI1133" s="1" t="s">
        <v>3432</v>
      </c>
      <c r="AJ1133" s="6">
        <v>880.26000000000101</v>
      </c>
      <c r="AK1133" s="6">
        <v>749.00000000000102</v>
      </c>
      <c r="AL1133" s="1"/>
    </row>
    <row r="1134" spans="1:38" hidden="1" x14ac:dyDescent="0.25">
      <c r="A1134" s="2">
        <v>1468</v>
      </c>
      <c r="B1134" s="1" t="s">
        <v>1330</v>
      </c>
      <c r="C1134" s="1" t="s">
        <v>1339</v>
      </c>
      <c r="D1134" s="1" t="s">
        <v>2062</v>
      </c>
      <c r="E1134" s="1" t="s">
        <v>2063</v>
      </c>
      <c r="F1134" s="3">
        <v>45611</v>
      </c>
      <c r="G1134" s="3">
        <v>45305</v>
      </c>
      <c r="H1134" s="3">
        <v>45670</v>
      </c>
      <c r="I1134" s="1" t="s">
        <v>3475</v>
      </c>
      <c r="J1134" s="1" t="s">
        <v>3476</v>
      </c>
      <c r="K1134" s="1"/>
      <c r="L1134" s="1" t="s">
        <v>3355</v>
      </c>
      <c r="M1134" s="1" t="s">
        <v>3477</v>
      </c>
      <c r="N1134" s="1" t="s">
        <v>3478</v>
      </c>
      <c r="O1134" s="1" t="s">
        <v>3479</v>
      </c>
      <c r="P1134" s="1" t="s">
        <v>2182</v>
      </c>
      <c r="Q1134" s="1"/>
      <c r="R1134" s="1"/>
      <c r="S1134" s="1" t="s">
        <v>2072</v>
      </c>
      <c r="T1134" s="1" t="s">
        <v>2073</v>
      </c>
      <c r="U1134" s="4">
        <v>961000</v>
      </c>
      <c r="V1134" s="4">
        <v>1036</v>
      </c>
      <c r="W1134" s="4">
        <v>10</v>
      </c>
      <c r="X1134" s="4">
        <v>155</v>
      </c>
      <c r="Y1134" s="4">
        <v>0</v>
      </c>
      <c r="Z1134" s="5">
        <v>1201</v>
      </c>
      <c r="AA1134" s="5">
        <v>0</v>
      </c>
      <c r="AB1134" s="6">
        <v>0</v>
      </c>
      <c r="AC1134" s="4">
        <v>1201</v>
      </c>
      <c r="AD1134" s="4">
        <v>0</v>
      </c>
      <c r="AE1134" s="4">
        <v>1201</v>
      </c>
      <c r="AF1134" s="1"/>
      <c r="AG1134" s="1"/>
      <c r="AH1134" s="1"/>
      <c r="AI1134" s="1" t="s">
        <v>3432</v>
      </c>
      <c r="AJ1134" s="6">
        <v>1445.9400000000021</v>
      </c>
      <c r="AK1134" s="6">
        <v>1175.6100000000001</v>
      </c>
      <c r="AL1134" s="1"/>
    </row>
    <row r="1135" spans="1:38" hidden="1" x14ac:dyDescent="0.25">
      <c r="A1135" s="2">
        <v>1469</v>
      </c>
      <c r="B1135" s="1" t="s">
        <v>1330</v>
      </c>
      <c r="C1135" s="1" t="s">
        <v>1340</v>
      </c>
      <c r="D1135" s="1" t="s">
        <v>2062</v>
      </c>
      <c r="E1135" s="1" t="s">
        <v>2063</v>
      </c>
      <c r="F1135" s="3">
        <v>45642</v>
      </c>
      <c r="G1135" s="3">
        <v>45305</v>
      </c>
      <c r="H1135" s="3">
        <v>45670</v>
      </c>
      <c r="I1135" s="1" t="s">
        <v>3475</v>
      </c>
      <c r="J1135" s="1" t="s">
        <v>3476</v>
      </c>
      <c r="K1135" s="1"/>
      <c r="L1135" s="1" t="s">
        <v>3355</v>
      </c>
      <c r="M1135" s="1" t="s">
        <v>3477</v>
      </c>
      <c r="N1135" s="1" t="s">
        <v>3478</v>
      </c>
      <c r="O1135" s="1" t="s">
        <v>3479</v>
      </c>
      <c r="P1135" s="1" t="s">
        <v>2182</v>
      </c>
      <c r="Q1135" s="1"/>
      <c r="R1135" s="1"/>
      <c r="S1135" s="1" t="s">
        <v>2072</v>
      </c>
      <c r="T1135" s="1" t="s">
        <v>2073</v>
      </c>
      <c r="U1135" s="4">
        <v>961000</v>
      </c>
      <c r="V1135" s="4">
        <v>913</v>
      </c>
      <c r="W1135" s="4">
        <v>9</v>
      </c>
      <c r="X1135" s="4">
        <v>137</v>
      </c>
      <c r="Y1135" s="4">
        <v>0</v>
      </c>
      <c r="Z1135" s="5">
        <v>1059</v>
      </c>
      <c r="AA1135" s="5">
        <v>0</v>
      </c>
      <c r="AB1135" s="6">
        <v>0</v>
      </c>
      <c r="AC1135" s="4">
        <v>1059</v>
      </c>
      <c r="AD1135" s="4">
        <v>0</v>
      </c>
      <c r="AE1135" s="4">
        <v>1059</v>
      </c>
      <c r="AF1135" s="1"/>
      <c r="AG1135" s="1"/>
      <c r="AH1135" s="1"/>
      <c r="AI1135" s="1" t="s">
        <v>3432</v>
      </c>
      <c r="AJ1135" s="6">
        <v>1316.2700000000009</v>
      </c>
      <c r="AK1135" s="6">
        <v>1033.6500000000001</v>
      </c>
      <c r="AL1135" s="1"/>
    </row>
    <row r="1136" spans="1:38" hidden="1" x14ac:dyDescent="0.25">
      <c r="A1136" s="2">
        <v>1470</v>
      </c>
      <c r="B1136" s="1" t="s">
        <v>1330</v>
      </c>
      <c r="C1136" s="1" t="s">
        <v>1341</v>
      </c>
      <c r="D1136" s="1" t="s">
        <v>2062</v>
      </c>
      <c r="E1136" s="1" t="s">
        <v>2063</v>
      </c>
      <c r="F1136" s="3">
        <v>45655</v>
      </c>
      <c r="G1136" s="3">
        <v>45305</v>
      </c>
      <c r="H1136" s="3">
        <v>45670</v>
      </c>
      <c r="I1136" s="1" t="s">
        <v>3475</v>
      </c>
      <c r="J1136" s="1" t="s">
        <v>3476</v>
      </c>
      <c r="K1136" s="1"/>
      <c r="L1136" s="1" t="s">
        <v>3355</v>
      </c>
      <c r="M1136" s="1" t="s">
        <v>3477</v>
      </c>
      <c r="N1136" s="1" t="s">
        <v>3478</v>
      </c>
      <c r="O1136" s="1" t="s">
        <v>3479</v>
      </c>
      <c r="P1136" s="1" t="s">
        <v>2182</v>
      </c>
      <c r="Q1136" s="1"/>
      <c r="R1136" s="1"/>
      <c r="S1136" s="1" t="s">
        <v>2072</v>
      </c>
      <c r="T1136" s="1" t="s">
        <v>2073</v>
      </c>
      <c r="U1136" s="4">
        <v>-1</v>
      </c>
      <c r="V1136" s="4">
        <v>-7776</v>
      </c>
      <c r="W1136" s="4">
        <v>-78</v>
      </c>
      <c r="X1136" s="4">
        <v>0</v>
      </c>
      <c r="Y1136" s="4">
        <v>0</v>
      </c>
      <c r="Z1136" s="5">
        <v>-7854</v>
      </c>
      <c r="AA1136" s="5">
        <v>0</v>
      </c>
      <c r="AB1136" s="6">
        <v>0</v>
      </c>
      <c r="AC1136" s="4">
        <v>-7854</v>
      </c>
      <c r="AD1136" s="4">
        <v>0</v>
      </c>
      <c r="AE1136" s="4">
        <v>-7854</v>
      </c>
      <c r="AF1136" s="1"/>
      <c r="AG1136" s="1"/>
      <c r="AH1136" s="1"/>
      <c r="AI1136" s="1" t="s">
        <v>3432</v>
      </c>
      <c r="AJ1136" s="1"/>
      <c r="AK1136" s="1"/>
      <c r="AL1136" s="1"/>
    </row>
    <row r="1137" spans="1:38" hidden="1" x14ac:dyDescent="0.25">
      <c r="A1137" s="2">
        <v>1471</v>
      </c>
      <c r="B1137" s="1" t="s">
        <v>1342</v>
      </c>
      <c r="C1137" s="1" t="s">
        <v>1343</v>
      </c>
      <c r="D1137" s="1" t="s">
        <v>2062</v>
      </c>
      <c r="E1137" s="1" t="s">
        <v>2063</v>
      </c>
      <c r="F1137" s="3">
        <v>45463</v>
      </c>
      <c r="G1137" s="3">
        <v>45307</v>
      </c>
      <c r="H1137" s="3">
        <v>45672</v>
      </c>
      <c r="I1137" s="1" t="s">
        <v>3480</v>
      </c>
      <c r="J1137" s="1" t="s">
        <v>3481</v>
      </c>
      <c r="K1137" s="1"/>
      <c r="L1137" s="1" t="s">
        <v>3482</v>
      </c>
      <c r="M1137" s="1" t="s">
        <v>3483</v>
      </c>
      <c r="N1137" s="1" t="s">
        <v>3484</v>
      </c>
      <c r="O1137" s="1" t="s">
        <v>3485</v>
      </c>
      <c r="P1137" s="1" t="s">
        <v>2262</v>
      </c>
      <c r="Q1137" s="1" t="s">
        <v>3486</v>
      </c>
      <c r="R1137" s="1"/>
      <c r="S1137" s="1" t="s">
        <v>2072</v>
      </c>
      <c r="T1137" s="1" t="s">
        <v>2073</v>
      </c>
      <c r="U1137" s="4">
        <v>6200000</v>
      </c>
      <c r="V1137" s="4">
        <v>7831</v>
      </c>
      <c r="W1137" s="4">
        <v>78</v>
      </c>
      <c r="X1137" s="4">
        <v>1018</v>
      </c>
      <c r="Y1137" s="4">
        <v>0</v>
      </c>
      <c r="Z1137" s="5">
        <v>8927</v>
      </c>
      <c r="AA1137" s="5">
        <v>0</v>
      </c>
      <c r="AB1137" s="6">
        <v>0</v>
      </c>
      <c r="AC1137" s="4">
        <v>8927</v>
      </c>
      <c r="AD1137" s="4">
        <v>0</v>
      </c>
      <c r="AE1137" s="4">
        <v>8927</v>
      </c>
      <c r="AF1137" s="1"/>
      <c r="AG1137" s="1"/>
      <c r="AH1137" s="1"/>
      <c r="AI1137" s="1" t="s">
        <v>3432</v>
      </c>
      <c r="AJ1137" s="6">
        <v>2622.0500000000011</v>
      </c>
      <c r="AK1137" s="6">
        <v>1051.8900000000001</v>
      </c>
      <c r="AL1137" s="1"/>
    </row>
    <row r="1138" spans="1:38" hidden="1" x14ac:dyDescent="0.25">
      <c r="A1138" s="2">
        <v>1472</v>
      </c>
      <c r="B1138" s="1" t="s">
        <v>1342</v>
      </c>
      <c r="C1138" s="1" t="s">
        <v>1344</v>
      </c>
      <c r="D1138" s="1" t="s">
        <v>2062</v>
      </c>
      <c r="E1138" s="1" t="s">
        <v>2063</v>
      </c>
      <c r="F1138" s="3">
        <v>45463</v>
      </c>
      <c r="G1138" s="3">
        <v>45307</v>
      </c>
      <c r="H1138" s="3">
        <v>45672</v>
      </c>
      <c r="I1138" s="1" t="s">
        <v>3480</v>
      </c>
      <c r="J1138" s="1" t="s">
        <v>3481</v>
      </c>
      <c r="K1138" s="1"/>
      <c r="L1138" s="1" t="s">
        <v>3482</v>
      </c>
      <c r="M1138" s="1" t="s">
        <v>3483</v>
      </c>
      <c r="N1138" s="1" t="s">
        <v>3484</v>
      </c>
      <c r="O1138" s="1" t="s">
        <v>3485</v>
      </c>
      <c r="P1138" s="1" t="s">
        <v>2262</v>
      </c>
      <c r="Q1138" s="1" t="s">
        <v>3486</v>
      </c>
      <c r="R1138" s="1"/>
      <c r="S1138" s="1" t="s">
        <v>2072</v>
      </c>
      <c r="T1138" s="1" t="s">
        <v>2073</v>
      </c>
      <c r="U1138" s="4">
        <v>6200000</v>
      </c>
      <c r="V1138" s="4">
        <v>689</v>
      </c>
      <c r="W1138" s="4">
        <v>7</v>
      </c>
      <c r="X1138" s="4">
        <v>89</v>
      </c>
      <c r="Y1138" s="4">
        <v>0</v>
      </c>
      <c r="Z1138" s="5">
        <v>785</v>
      </c>
      <c r="AA1138" s="5">
        <v>0</v>
      </c>
      <c r="AB1138" s="6">
        <v>0</v>
      </c>
      <c r="AC1138" s="4">
        <v>785</v>
      </c>
      <c r="AD1138" s="4">
        <v>0</v>
      </c>
      <c r="AE1138" s="4">
        <v>785</v>
      </c>
      <c r="AF1138" s="1"/>
      <c r="AG1138" s="1"/>
      <c r="AH1138" s="1"/>
      <c r="AI1138" s="1" t="s">
        <v>3432</v>
      </c>
      <c r="AJ1138" s="6">
        <v>92.41</v>
      </c>
      <c r="AK1138" s="6">
        <v>92.41</v>
      </c>
      <c r="AL1138" s="1"/>
    </row>
    <row r="1139" spans="1:38" hidden="1" x14ac:dyDescent="0.25">
      <c r="A1139" s="2">
        <v>1473</v>
      </c>
      <c r="B1139" s="1" t="s">
        <v>1342</v>
      </c>
      <c r="C1139" s="1" t="s">
        <v>1345</v>
      </c>
      <c r="D1139" s="1" t="s">
        <v>2062</v>
      </c>
      <c r="E1139" s="1" t="s">
        <v>2063</v>
      </c>
      <c r="F1139" s="3">
        <v>45492</v>
      </c>
      <c r="G1139" s="3">
        <v>45307</v>
      </c>
      <c r="H1139" s="3">
        <v>45672</v>
      </c>
      <c r="I1139" s="1" t="s">
        <v>3480</v>
      </c>
      <c r="J1139" s="1" t="s">
        <v>3481</v>
      </c>
      <c r="K1139" s="1"/>
      <c r="L1139" s="1" t="s">
        <v>3482</v>
      </c>
      <c r="M1139" s="1" t="s">
        <v>3483</v>
      </c>
      <c r="N1139" s="1" t="s">
        <v>3484</v>
      </c>
      <c r="O1139" s="1" t="s">
        <v>3485</v>
      </c>
      <c r="P1139" s="1" t="s">
        <v>2262</v>
      </c>
      <c r="Q1139" s="1" t="s">
        <v>3486</v>
      </c>
      <c r="R1139" s="1"/>
      <c r="S1139" s="1" t="s">
        <v>2072</v>
      </c>
      <c r="T1139" s="1" t="s">
        <v>2073</v>
      </c>
      <c r="U1139" s="4">
        <v>6200000</v>
      </c>
      <c r="V1139" s="4">
        <v>734</v>
      </c>
      <c r="W1139" s="4">
        <v>7</v>
      </c>
      <c r="X1139" s="4">
        <v>110</v>
      </c>
      <c r="Y1139" s="4">
        <v>0</v>
      </c>
      <c r="Z1139" s="5">
        <v>851</v>
      </c>
      <c r="AA1139" s="5">
        <v>0</v>
      </c>
      <c r="AB1139" s="6">
        <v>0</v>
      </c>
      <c r="AC1139" s="4">
        <v>851</v>
      </c>
      <c r="AD1139" s="4">
        <v>0</v>
      </c>
      <c r="AE1139" s="4">
        <v>851</v>
      </c>
      <c r="AF1139" s="1"/>
      <c r="AG1139" s="1"/>
      <c r="AH1139" s="1"/>
      <c r="AI1139" s="1" t="s">
        <v>3432</v>
      </c>
      <c r="AJ1139" s="6">
        <v>192.11</v>
      </c>
      <c r="AK1139" s="6">
        <v>100.25</v>
      </c>
      <c r="AL1139" s="1"/>
    </row>
    <row r="1140" spans="1:38" hidden="1" x14ac:dyDescent="0.25">
      <c r="A1140" s="2">
        <v>1474</v>
      </c>
      <c r="B1140" s="1" t="s">
        <v>1342</v>
      </c>
      <c r="C1140" s="1" t="s">
        <v>1346</v>
      </c>
      <c r="D1140" s="1" t="s">
        <v>2062</v>
      </c>
      <c r="E1140" s="1" t="s">
        <v>2063</v>
      </c>
      <c r="F1140" s="3">
        <v>45745</v>
      </c>
      <c r="G1140" s="3">
        <v>45307</v>
      </c>
      <c r="H1140" s="3">
        <v>45672</v>
      </c>
      <c r="I1140" s="1" t="s">
        <v>3480</v>
      </c>
      <c r="J1140" s="1" t="s">
        <v>3481</v>
      </c>
      <c r="K1140" s="1"/>
      <c r="L1140" s="1" t="s">
        <v>3482</v>
      </c>
      <c r="M1140" s="1" t="s">
        <v>3483</v>
      </c>
      <c r="N1140" s="1" t="s">
        <v>3484</v>
      </c>
      <c r="O1140" s="1" t="s">
        <v>3485</v>
      </c>
      <c r="P1140" s="1" t="s">
        <v>2262</v>
      </c>
      <c r="Q1140" s="1" t="s">
        <v>3486</v>
      </c>
      <c r="R1140" s="1"/>
      <c r="S1140" s="1" t="s">
        <v>2072</v>
      </c>
      <c r="T1140" s="1" t="s">
        <v>2073</v>
      </c>
      <c r="U1140" s="4">
        <v>-1</v>
      </c>
      <c r="V1140" s="4">
        <v>-10470</v>
      </c>
      <c r="W1140" s="4">
        <v>-93</v>
      </c>
      <c r="X1140" s="4">
        <v>0</v>
      </c>
      <c r="Y1140" s="4">
        <v>0</v>
      </c>
      <c r="Z1140" s="5">
        <v>-10563</v>
      </c>
      <c r="AA1140" s="5">
        <v>0</v>
      </c>
      <c r="AB1140" s="6">
        <v>0</v>
      </c>
      <c r="AC1140" s="4">
        <v>-10563</v>
      </c>
      <c r="AD1140" s="4">
        <v>0</v>
      </c>
      <c r="AE1140" s="4">
        <v>-10563</v>
      </c>
      <c r="AF1140" s="1"/>
      <c r="AG1140" s="1"/>
      <c r="AH1140" s="1"/>
      <c r="AI1140" s="1" t="s">
        <v>3432</v>
      </c>
      <c r="AJ1140" s="1"/>
      <c r="AK1140" s="1"/>
      <c r="AL1140" s="1"/>
    </row>
    <row r="1141" spans="1:38" hidden="1" x14ac:dyDescent="0.25">
      <c r="A1141" s="2">
        <v>1487</v>
      </c>
      <c r="B1141" s="1" t="s">
        <v>1347</v>
      </c>
      <c r="C1141" s="1" t="s">
        <v>1348</v>
      </c>
      <c r="D1141" s="1" t="s">
        <v>2062</v>
      </c>
      <c r="E1141" s="1" t="s">
        <v>2063</v>
      </c>
      <c r="F1141" s="3">
        <v>45586</v>
      </c>
      <c r="G1141" s="3">
        <v>45307</v>
      </c>
      <c r="H1141" s="3">
        <v>45672</v>
      </c>
      <c r="I1141" s="1" t="s">
        <v>3487</v>
      </c>
      <c r="J1141" s="1" t="s">
        <v>3488</v>
      </c>
      <c r="K1141" s="1"/>
      <c r="L1141" s="1" t="s">
        <v>2198</v>
      </c>
      <c r="M1141" s="1" t="s">
        <v>3489</v>
      </c>
      <c r="N1141" s="1" t="s">
        <v>3490</v>
      </c>
      <c r="O1141" s="1" t="s">
        <v>3491</v>
      </c>
      <c r="P1141" s="1" t="s">
        <v>2182</v>
      </c>
      <c r="Q1141" s="1"/>
      <c r="R1141" s="1"/>
      <c r="S1141" s="1" t="s">
        <v>2072</v>
      </c>
      <c r="T1141" s="1" t="s">
        <v>3165</v>
      </c>
      <c r="U1141" s="4">
        <v>2400000</v>
      </c>
      <c r="V1141" s="4">
        <v>1586</v>
      </c>
      <c r="W1141" s="4">
        <v>16</v>
      </c>
      <c r="X1141" s="4">
        <v>238</v>
      </c>
      <c r="Y1141" s="4">
        <v>0</v>
      </c>
      <c r="Z1141" s="5">
        <v>1840</v>
      </c>
      <c r="AA1141" s="5">
        <v>0</v>
      </c>
      <c r="AB1141" s="6">
        <v>0</v>
      </c>
      <c r="AC1141" s="4">
        <v>1840</v>
      </c>
      <c r="AD1141" s="4">
        <v>0</v>
      </c>
      <c r="AE1141" s="4">
        <v>1840</v>
      </c>
      <c r="AF1141" s="1"/>
      <c r="AG1141" s="1"/>
      <c r="AH1141" s="1"/>
      <c r="AI1141" s="1" t="s">
        <v>2841</v>
      </c>
      <c r="AJ1141" s="6">
        <v>583.6700000000011</v>
      </c>
      <c r="AK1141" s="6">
        <v>559.99</v>
      </c>
      <c r="AL1141" s="1"/>
    </row>
    <row r="1142" spans="1:38" hidden="1" x14ac:dyDescent="0.25">
      <c r="A1142" s="2">
        <v>1488</v>
      </c>
      <c r="B1142" s="1" t="s">
        <v>1347</v>
      </c>
      <c r="C1142" s="1" t="s">
        <v>1349</v>
      </c>
      <c r="D1142" s="1" t="s">
        <v>2062</v>
      </c>
      <c r="E1142" s="1" t="s">
        <v>2063</v>
      </c>
      <c r="F1142" s="3">
        <v>45614</v>
      </c>
      <c r="G1142" s="3">
        <v>45307</v>
      </c>
      <c r="H1142" s="3">
        <v>45672</v>
      </c>
      <c r="I1142" s="1" t="s">
        <v>3487</v>
      </c>
      <c r="J1142" s="1" t="s">
        <v>3488</v>
      </c>
      <c r="K1142" s="1"/>
      <c r="L1142" s="1" t="s">
        <v>2198</v>
      </c>
      <c r="M1142" s="1" t="s">
        <v>3489</v>
      </c>
      <c r="N1142" s="1" t="s">
        <v>3490</v>
      </c>
      <c r="O1142" s="1" t="s">
        <v>3491</v>
      </c>
      <c r="P1142" s="1" t="s">
        <v>2182</v>
      </c>
      <c r="Q1142" s="1"/>
      <c r="R1142" s="1"/>
      <c r="S1142" s="1" t="s">
        <v>2072</v>
      </c>
      <c r="T1142" s="1" t="s">
        <v>3165</v>
      </c>
      <c r="U1142" s="4">
        <v>2400000</v>
      </c>
      <c r="V1142" s="4">
        <v>2572</v>
      </c>
      <c r="W1142" s="4">
        <v>26</v>
      </c>
      <c r="X1142" s="4">
        <v>386</v>
      </c>
      <c r="Y1142" s="4">
        <v>0</v>
      </c>
      <c r="Z1142" s="5">
        <v>2984</v>
      </c>
      <c r="AA1142" s="5">
        <v>0</v>
      </c>
      <c r="AB1142" s="6">
        <v>0</v>
      </c>
      <c r="AC1142" s="4">
        <v>2984</v>
      </c>
      <c r="AD1142" s="4">
        <v>0</v>
      </c>
      <c r="AE1142" s="4">
        <v>2984</v>
      </c>
      <c r="AF1142" s="1"/>
      <c r="AG1142" s="1"/>
      <c r="AH1142" s="1"/>
      <c r="AI1142" s="1" t="s">
        <v>2841</v>
      </c>
      <c r="AJ1142" s="6">
        <v>1843.9700000000321</v>
      </c>
      <c r="AK1142" s="6">
        <v>907.33</v>
      </c>
      <c r="AL1142" s="1"/>
    </row>
    <row r="1143" spans="1:38" hidden="1" x14ac:dyDescent="0.25">
      <c r="A1143" s="2">
        <v>1489</v>
      </c>
      <c r="B1143" s="1" t="s">
        <v>1347</v>
      </c>
      <c r="C1143" s="1" t="s">
        <v>1350</v>
      </c>
      <c r="D1143" s="1" t="s">
        <v>2062</v>
      </c>
      <c r="E1143" s="1" t="s">
        <v>2063</v>
      </c>
      <c r="F1143" s="3">
        <v>45643</v>
      </c>
      <c r="G1143" s="3">
        <v>45307</v>
      </c>
      <c r="H1143" s="3">
        <v>45672</v>
      </c>
      <c r="I1143" s="1" t="s">
        <v>3487</v>
      </c>
      <c r="J1143" s="1" t="s">
        <v>3488</v>
      </c>
      <c r="K1143" s="1"/>
      <c r="L1143" s="1" t="s">
        <v>2198</v>
      </c>
      <c r="M1143" s="1" t="s">
        <v>3489</v>
      </c>
      <c r="N1143" s="1" t="s">
        <v>3490</v>
      </c>
      <c r="O1143" s="1" t="s">
        <v>3491</v>
      </c>
      <c r="P1143" s="1" t="s">
        <v>2182</v>
      </c>
      <c r="Q1143" s="1"/>
      <c r="R1143" s="1"/>
      <c r="S1143" s="1" t="s">
        <v>2072</v>
      </c>
      <c r="T1143" s="1" t="s">
        <v>3165</v>
      </c>
      <c r="U1143" s="4">
        <v>2400000</v>
      </c>
      <c r="V1143" s="4">
        <v>1714</v>
      </c>
      <c r="W1143" s="4">
        <v>17</v>
      </c>
      <c r="X1143" s="4">
        <v>257</v>
      </c>
      <c r="Y1143" s="4">
        <v>0</v>
      </c>
      <c r="Z1143" s="5">
        <v>1988</v>
      </c>
      <c r="AA1143" s="5">
        <v>0</v>
      </c>
      <c r="AB1143" s="6">
        <v>0</v>
      </c>
      <c r="AC1143" s="4">
        <v>1988</v>
      </c>
      <c r="AD1143" s="4">
        <v>0</v>
      </c>
      <c r="AE1143" s="4">
        <v>1988</v>
      </c>
      <c r="AF1143" s="1"/>
      <c r="AG1143" s="1"/>
      <c r="AH1143" s="1"/>
      <c r="AI1143" s="1" t="s">
        <v>2841</v>
      </c>
      <c r="AJ1143" s="6">
        <v>639.35000000000105</v>
      </c>
      <c r="AK1143" s="6">
        <v>604.9</v>
      </c>
      <c r="AL1143" s="1"/>
    </row>
    <row r="1144" spans="1:38" hidden="1" x14ac:dyDescent="0.25">
      <c r="A1144" s="2">
        <v>1490</v>
      </c>
      <c r="B1144" s="1" t="s">
        <v>1347</v>
      </c>
      <c r="C1144" s="1" t="s">
        <v>1351</v>
      </c>
      <c r="D1144" s="1" t="s">
        <v>2062</v>
      </c>
      <c r="E1144" s="1" t="s">
        <v>2063</v>
      </c>
      <c r="F1144" s="3">
        <v>45745</v>
      </c>
      <c r="G1144" s="3">
        <v>45307</v>
      </c>
      <c r="H1144" s="3">
        <v>45672</v>
      </c>
      <c r="I1144" s="1" t="s">
        <v>3487</v>
      </c>
      <c r="J1144" s="1" t="s">
        <v>3488</v>
      </c>
      <c r="K1144" s="1"/>
      <c r="L1144" s="1" t="s">
        <v>2198</v>
      </c>
      <c r="M1144" s="1" t="s">
        <v>3489</v>
      </c>
      <c r="N1144" s="1" t="s">
        <v>3490</v>
      </c>
      <c r="O1144" s="1" t="s">
        <v>3491</v>
      </c>
      <c r="P1144" s="1" t="s">
        <v>2182</v>
      </c>
      <c r="Q1144" s="1"/>
      <c r="R1144" s="1"/>
      <c r="S1144" s="1" t="s">
        <v>2072</v>
      </c>
      <c r="T1144" s="1" t="s">
        <v>3165</v>
      </c>
      <c r="U1144" s="4">
        <v>-1</v>
      </c>
      <c r="V1144" s="4">
        <v>-6752</v>
      </c>
      <c r="W1144" s="4">
        <v>-60</v>
      </c>
      <c r="X1144" s="4">
        <v>0</v>
      </c>
      <c r="Y1144" s="4">
        <v>0</v>
      </c>
      <c r="Z1144" s="5">
        <v>-6812</v>
      </c>
      <c r="AA1144" s="5">
        <v>0</v>
      </c>
      <c r="AB1144" s="6">
        <v>0</v>
      </c>
      <c r="AC1144" s="4">
        <v>-6812</v>
      </c>
      <c r="AD1144" s="4">
        <v>0</v>
      </c>
      <c r="AE1144" s="4">
        <v>-6812</v>
      </c>
      <c r="AF1144" s="1"/>
      <c r="AG1144" s="1"/>
      <c r="AH1144" s="1"/>
      <c r="AI1144" s="1" t="s">
        <v>2841</v>
      </c>
      <c r="AJ1144" s="1"/>
      <c r="AK1144" s="1"/>
      <c r="AL1144" s="1"/>
    </row>
    <row r="1145" spans="1:38" hidden="1" x14ac:dyDescent="0.25">
      <c r="A1145" s="2">
        <v>1496</v>
      </c>
      <c r="B1145" s="1" t="s">
        <v>1352</v>
      </c>
      <c r="C1145" s="1" t="s">
        <v>1353</v>
      </c>
      <c r="D1145" s="1" t="s">
        <v>2062</v>
      </c>
      <c r="E1145" s="1" t="s">
        <v>2063</v>
      </c>
      <c r="F1145" s="3">
        <v>45400</v>
      </c>
      <c r="G1145" s="3">
        <v>45308</v>
      </c>
      <c r="H1145" s="3">
        <v>45673</v>
      </c>
      <c r="I1145" s="1" t="s">
        <v>3492</v>
      </c>
      <c r="J1145" s="1" t="s">
        <v>3493</v>
      </c>
      <c r="K1145" s="1"/>
      <c r="L1145" s="1" t="s">
        <v>3494</v>
      </c>
      <c r="M1145" s="1" t="s">
        <v>3495</v>
      </c>
      <c r="N1145" s="1" t="s">
        <v>3496</v>
      </c>
      <c r="O1145" s="1" t="s">
        <v>3497</v>
      </c>
      <c r="P1145" s="1" t="s">
        <v>2070</v>
      </c>
      <c r="Q1145" s="1" t="s">
        <v>3498</v>
      </c>
      <c r="R1145" s="1"/>
      <c r="S1145" s="1" t="s">
        <v>2072</v>
      </c>
      <c r="T1145" s="1" t="s">
        <v>2073</v>
      </c>
      <c r="U1145" s="4">
        <v>8000000</v>
      </c>
      <c r="V1145" s="4">
        <v>6668</v>
      </c>
      <c r="W1145" s="4">
        <v>67</v>
      </c>
      <c r="X1145" s="4">
        <v>866</v>
      </c>
      <c r="Y1145" s="4">
        <v>0</v>
      </c>
      <c r="Z1145" s="5">
        <v>7601</v>
      </c>
      <c r="AA1145" s="5">
        <v>0</v>
      </c>
      <c r="AB1145" s="6">
        <v>0</v>
      </c>
      <c r="AC1145" s="4">
        <v>7601</v>
      </c>
      <c r="AD1145" s="4">
        <v>0</v>
      </c>
      <c r="AE1145" s="4">
        <v>7601</v>
      </c>
      <c r="AF1145" s="1"/>
      <c r="AG1145" s="1"/>
      <c r="AH1145" s="1"/>
      <c r="AI1145" s="1" t="s">
        <v>3432</v>
      </c>
      <c r="AJ1145" s="6">
        <v>1540.299999999999</v>
      </c>
      <c r="AK1145" s="6">
        <v>839.97</v>
      </c>
      <c r="AL1145" s="1"/>
    </row>
    <row r="1146" spans="1:38" hidden="1" x14ac:dyDescent="0.25">
      <c r="A1146" s="2">
        <v>1497</v>
      </c>
      <c r="B1146" s="1" t="s">
        <v>1352</v>
      </c>
      <c r="C1146" s="1" t="s">
        <v>1354</v>
      </c>
      <c r="D1146" s="1" t="s">
        <v>2062</v>
      </c>
      <c r="E1146" s="1" t="s">
        <v>2063</v>
      </c>
      <c r="F1146" s="3">
        <v>45429</v>
      </c>
      <c r="G1146" s="3">
        <v>45308</v>
      </c>
      <c r="H1146" s="3">
        <v>45673</v>
      </c>
      <c r="I1146" s="1" t="s">
        <v>3492</v>
      </c>
      <c r="J1146" s="1" t="s">
        <v>3493</v>
      </c>
      <c r="K1146" s="1"/>
      <c r="L1146" s="1" t="s">
        <v>3494</v>
      </c>
      <c r="M1146" s="1" t="s">
        <v>3495</v>
      </c>
      <c r="N1146" s="1" t="s">
        <v>3496</v>
      </c>
      <c r="O1146" s="1" t="s">
        <v>3497</v>
      </c>
      <c r="P1146" s="1" t="s">
        <v>2070</v>
      </c>
      <c r="Q1146" s="1" t="s">
        <v>3498</v>
      </c>
      <c r="R1146" s="1"/>
      <c r="S1146" s="1" t="s">
        <v>2072</v>
      </c>
      <c r="T1146" s="1" t="s">
        <v>2073</v>
      </c>
      <c r="U1146" s="4">
        <v>8000000</v>
      </c>
      <c r="V1146" s="4">
        <v>4117</v>
      </c>
      <c r="W1146" s="4">
        <v>41</v>
      </c>
      <c r="X1146" s="4">
        <v>536</v>
      </c>
      <c r="Y1146" s="4">
        <v>0</v>
      </c>
      <c r="Z1146" s="5">
        <v>4694</v>
      </c>
      <c r="AA1146" s="5">
        <v>0</v>
      </c>
      <c r="AB1146" s="6">
        <v>0</v>
      </c>
      <c r="AC1146" s="4">
        <v>4694</v>
      </c>
      <c r="AD1146" s="4">
        <v>0</v>
      </c>
      <c r="AE1146" s="4">
        <v>4694</v>
      </c>
      <c r="AF1146" s="1"/>
      <c r="AG1146" s="1"/>
      <c r="AH1146" s="1"/>
      <c r="AI1146" s="1" t="s">
        <v>3432</v>
      </c>
      <c r="AJ1146" s="6">
        <v>490.50000000000102</v>
      </c>
      <c r="AK1146" s="6">
        <v>428.31</v>
      </c>
      <c r="AL1146" s="1"/>
    </row>
    <row r="1147" spans="1:38" hidden="1" x14ac:dyDescent="0.25">
      <c r="A1147" s="2">
        <v>1498</v>
      </c>
      <c r="B1147" s="1" t="s">
        <v>1352</v>
      </c>
      <c r="C1147" s="1" t="s">
        <v>1355</v>
      </c>
      <c r="D1147" s="1" t="s">
        <v>2062</v>
      </c>
      <c r="E1147" s="1" t="s">
        <v>2063</v>
      </c>
      <c r="F1147" s="3">
        <v>45525</v>
      </c>
      <c r="G1147" s="3">
        <v>45308</v>
      </c>
      <c r="H1147" s="3">
        <v>45673</v>
      </c>
      <c r="I1147" s="1" t="s">
        <v>3492</v>
      </c>
      <c r="J1147" s="1" t="s">
        <v>3493</v>
      </c>
      <c r="K1147" s="1"/>
      <c r="L1147" s="1" t="s">
        <v>3494</v>
      </c>
      <c r="M1147" s="1" t="s">
        <v>3495</v>
      </c>
      <c r="N1147" s="1" t="s">
        <v>3496</v>
      </c>
      <c r="O1147" s="1" t="s">
        <v>3497</v>
      </c>
      <c r="P1147" s="1" t="s">
        <v>2070</v>
      </c>
      <c r="Q1147" s="1" t="s">
        <v>3498</v>
      </c>
      <c r="R1147" s="1"/>
      <c r="S1147" s="1" t="s">
        <v>2072</v>
      </c>
      <c r="T1147" s="1" t="s">
        <v>2073</v>
      </c>
      <c r="U1147" s="4">
        <v>-7400000</v>
      </c>
      <c r="V1147" s="4">
        <v>722</v>
      </c>
      <c r="W1147" s="4">
        <v>7</v>
      </c>
      <c r="X1147" s="4">
        <v>108</v>
      </c>
      <c r="Y1147" s="4">
        <v>0</v>
      </c>
      <c r="Z1147" s="5">
        <v>837</v>
      </c>
      <c r="AA1147" s="5">
        <v>0</v>
      </c>
      <c r="AB1147" s="6">
        <v>0</v>
      </c>
      <c r="AC1147" s="4">
        <v>837</v>
      </c>
      <c r="AD1147" s="4">
        <v>0</v>
      </c>
      <c r="AE1147" s="4">
        <v>837</v>
      </c>
      <c r="AF1147" s="1"/>
      <c r="AG1147" s="1"/>
      <c r="AH1147" s="1"/>
      <c r="AI1147" s="1" t="s">
        <v>3432</v>
      </c>
      <c r="AJ1147" s="6">
        <v>400.61000000000104</v>
      </c>
      <c r="AK1147" s="6">
        <v>305.64</v>
      </c>
      <c r="AL1147" s="1"/>
    </row>
    <row r="1148" spans="1:38" hidden="1" x14ac:dyDescent="0.25">
      <c r="A1148" s="2">
        <v>1499</v>
      </c>
      <c r="B1148" s="1" t="s">
        <v>1352</v>
      </c>
      <c r="C1148" s="1" t="s">
        <v>1356</v>
      </c>
      <c r="D1148" s="1" t="s">
        <v>2062</v>
      </c>
      <c r="E1148" s="1" t="s">
        <v>2063</v>
      </c>
      <c r="F1148" s="3">
        <v>45655</v>
      </c>
      <c r="G1148" s="3">
        <v>45308</v>
      </c>
      <c r="H1148" s="3">
        <v>45673</v>
      </c>
      <c r="I1148" s="1" t="s">
        <v>3492</v>
      </c>
      <c r="J1148" s="1" t="s">
        <v>3493</v>
      </c>
      <c r="K1148" s="1"/>
      <c r="L1148" s="1" t="s">
        <v>3494</v>
      </c>
      <c r="M1148" s="1" t="s">
        <v>3495</v>
      </c>
      <c r="N1148" s="1" t="s">
        <v>3496</v>
      </c>
      <c r="O1148" s="1" t="s">
        <v>3497</v>
      </c>
      <c r="P1148" s="1" t="s">
        <v>2070</v>
      </c>
      <c r="Q1148" s="1" t="s">
        <v>3498</v>
      </c>
      <c r="R1148" s="1"/>
      <c r="S1148" s="1" t="s">
        <v>2072</v>
      </c>
      <c r="T1148" s="1" t="s">
        <v>2073</v>
      </c>
      <c r="U1148" s="4">
        <v>-1</v>
      </c>
      <c r="V1148" s="4">
        <v>-13002</v>
      </c>
      <c r="W1148" s="4">
        <v>-130</v>
      </c>
      <c r="X1148" s="4">
        <v>0</v>
      </c>
      <c r="Y1148" s="4">
        <v>0</v>
      </c>
      <c r="Z1148" s="5">
        <v>-13132</v>
      </c>
      <c r="AA1148" s="5">
        <v>0</v>
      </c>
      <c r="AB1148" s="6">
        <v>0</v>
      </c>
      <c r="AC1148" s="4">
        <v>-13132</v>
      </c>
      <c r="AD1148" s="4">
        <v>0</v>
      </c>
      <c r="AE1148" s="4">
        <v>-13132</v>
      </c>
      <c r="AF1148" s="1"/>
      <c r="AG1148" s="1"/>
      <c r="AH1148" s="1"/>
      <c r="AI1148" s="1" t="s">
        <v>3432</v>
      </c>
      <c r="AJ1148" s="1"/>
      <c r="AK1148" s="1"/>
      <c r="AL1148" s="1"/>
    </row>
    <row r="1149" spans="1:38" hidden="1" x14ac:dyDescent="0.25">
      <c r="A1149" s="2">
        <v>1500</v>
      </c>
      <c r="B1149" s="1" t="s">
        <v>1357</v>
      </c>
      <c r="C1149" s="1" t="s">
        <v>1358</v>
      </c>
      <c r="D1149" s="1" t="s">
        <v>2062</v>
      </c>
      <c r="E1149" s="1" t="s">
        <v>2063</v>
      </c>
      <c r="F1149" s="3">
        <v>45561</v>
      </c>
      <c r="G1149" s="3">
        <v>45309</v>
      </c>
      <c r="H1149" s="3">
        <v>45674</v>
      </c>
      <c r="I1149" s="1" t="s">
        <v>3499</v>
      </c>
      <c r="J1149" s="1" t="s">
        <v>3500</v>
      </c>
      <c r="K1149" s="1"/>
      <c r="L1149" s="1" t="s">
        <v>3501</v>
      </c>
      <c r="M1149" s="1" t="s">
        <v>3502</v>
      </c>
      <c r="N1149" s="1" t="s">
        <v>3503</v>
      </c>
      <c r="O1149" s="1" t="s">
        <v>3504</v>
      </c>
      <c r="P1149" s="1" t="s">
        <v>2182</v>
      </c>
      <c r="Q1149" s="1" t="s">
        <v>3505</v>
      </c>
      <c r="R1149" s="1"/>
      <c r="S1149" s="1" t="s">
        <v>2072</v>
      </c>
      <c r="T1149" s="1" t="s">
        <v>2073</v>
      </c>
      <c r="U1149" s="4">
        <v>4200000</v>
      </c>
      <c r="V1149" s="4">
        <v>1543</v>
      </c>
      <c r="W1149" s="4">
        <v>15</v>
      </c>
      <c r="X1149" s="4">
        <v>231</v>
      </c>
      <c r="Y1149" s="4">
        <v>0</v>
      </c>
      <c r="Z1149" s="5">
        <v>1789</v>
      </c>
      <c r="AA1149" s="5">
        <v>0</v>
      </c>
      <c r="AB1149" s="6">
        <v>0</v>
      </c>
      <c r="AC1149" s="4">
        <v>1789</v>
      </c>
      <c r="AD1149" s="4">
        <v>0</v>
      </c>
      <c r="AE1149" s="4">
        <v>1789</v>
      </c>
      <c r="AF1149" s="1"/>
      <c r="AG1149" s="1"/>
      <c r="AH1149" s="1"/>
      <c r="AI1149" s="1" t="s">
        <v>3432</v>
      </c>
      <c r="AJ1149" s="6">
        <v>1308.989999999982</v>
      </c>
      <c r="AK1149" s="6">
        <v>311.31</v>
      </c>
      <c r="AL1149" s="1"/>
    </row>
    <row r="1150" spans="1:38" hidden="1" x14ac:dyDescent="0.25">
      <c r="A1150" s="2">
        <v>1501</v>
      </c>
      <c r="B1150" s="1" t="s">
        <v>1357</v>
      </c>
      <c r="C1150" s="1" t="s">
        <v>1359</v>
      </c>
      <c r="D1150" s="1" t="s">
        <v>2062</v>
      </c>
      <c r="E1150" s="1" t="s">
        <v>2063</v>
      </c>
      <c r="F1150" s="3">
        <v>45586</v>
      </c>
      <c r="G1150" s="3">
        <v>45309</v>
      </c>
      <c r="H1150" s="3">
        <v>45674</v>
      </c>
      <c r="I1150" s="1" t="s">
        <v>3499</v>
      </c>
      <c r="J1150" s="1" t="s">
        <v>3500</v>
      </c>
      <c r="K1150" s="1"/>
      <c r="L1150" s="1" t="s">
        <v>3501</v>
      </c>
      <c r="M1150" s="1" t="s">
        <v>3502</v>
      </c>
      <c r="N1150" s="1" t="s">
        <v>3503</v>
      </c>
      <c r="O1150" s="1" t="s">
        <v>3504</v>
      </c>
      <c r="P1150" s="1" t="s">
        <v>2182</v>
      </c>
      <c r="Q1150" s="1" t="s">
        <v>3505</v>
      </c>
      <c r="R1150" s="1"/>
      <c r="S1150" s="1" t="s">
        <v>2072</v>
      </c>
      <c r="T1150" s="1" t="s">
        <v>2073</v>
      </c>
      <c r="U1150" s="4">
        <v>4200000</v>
      </c>
      <c r="V1150" s="4">
        <v>143</v>
      </c>
      <c r="W1150" s="4">
        <v>1</v>
      </c>
      <c r="X1150" s="4">
        <v>21</v>
      </c>
      <c r="Y1150" s="4">
        <v>0</v>
      </c>
      <c r="Z1150" s="5">
        <v>165</v>
      </c>
      <c r="AA1150" s="5">
        <v>0</v>
      </c>
      <c r="AB1150" s="6">
        <v>0</v>
      </c>
      <c r="AC1150" s="4">
        <v>165</v>
      </c>
      <c r="AD1150" s="4">
        <v>0</v>
      </c>
      <c r="AE1150" s="4">
        <v>165</v>
      </c>
      <c r="AF1150" s="1"/>
      <c r="AG1150" s="1"/>
      <c r="AH1150" s="1"/>
      <c r="AI1150" s="1" t="s">
        <v>3432</v>
      </c>
      <c r="AJ1150" s="6">
        <v>28.63999999999999</v>
      </c>
      <c r="AK1150" s="6">
        <v>28.63999999999999</v>
      </c>
      <c r="AL1150" s="1"/>
    </row>
    <row r="1151" spans="1:38" hidden="1" x14ac:dyDescent="0.25">
      <c r="A1151" s="2">
        <v>1502</v>
      </c>
      <c r="B1151" s="1" t="s">
        <v>1357</v>
      </c>
      <c r="C1151" s="1" t="s">
        <v>1360</v>
      </c>
      <c r="D1151" s="1" t="s">
        <v>2062</v>
      </c>
      <c r="E1151" s="1" t="s">
        <v>2063</v>
      </c>
      <c r="F1151" s="3">
        <v>45615</v>
      </c>
      <c r="G1151" s="3">
        <v>45309</v>
      </c>
      <c r="H1151" s="3">
        <v>45674</v>
      </c>
      <c r="I1151" s="1" t="s">
        <v>3499</v>
      </c>
      <c r="J1151" s="1" t="s">
        <v>3500</v>
      </c>
      <c r="K1151" s="1"/>
      <c r="L1151" s="1" t="s">
        <v>3501</v>
      </c>
      <c r="M1151" s="1" t="s">
        <v>3502</v>
      </c>
      <c r="N1151" s="1" t="s">
        <v>3503</v>
      </c>
      <c r="O1151" s="1" t="s">
        <v>3504</v>
      </c>
      <c r="P1151" s="1" t="s">
        <v>2182</v>
      </c>
      <c r="Q1151" s="1" t="s">
        <v>3505</v>
      </c>
      <c r="R1151" s="1"/>
      <c r="S1151" s="1" t="s">
        <v>2072</v>
      </c>
      <c r="T1151" s="1" t="s">
        <v>2073</v>
      </c>
      <c r="U1151" s="4">
        <v>4200000</v>
      </c>
      <c r="V1151" s="4">
        <v>3103</v>
      </c>
      <c r="W1151" s="4">
        <v>31</v>
      </c>
      <c r="X1151" s="4">
        <v>465</v>
      </c>
      <c r="Y1151" s="4">
        <v>0</v>
      </c>
      <c r="Z1151" s="5">
        <v>3599</v>
      </c>
      <c r="AA1151" s="5">
        <v>0</v>
      </c>
      <c r="AB1151" s="6">
        <v>0</v>
      </c>
      <c r="AC1151" s="4">
        <v>3599</v>
      </c>
      <c r="AD1151" s="4">
        <v>0</v>
      </c>
      <c r="AE1151" s="4">
        <v>3599</v>
      </c>
      <c r="AF1151" s="1"/>
      <c r="AG1151" s="1"/>
      <c r="AH1151" s="1"/>
      <c r="AI1151" s="1" t="s">
        <v>3432</v>
      </c>
      <c r="AJ1151" s="6">
        <v>1095.2899999999991</v>
      </c>
      <c r="AK1151" s="6">
        <v>625.14</v>
      </c>
      <c r="AL1151" s="1"/>
    </row>
    <row r="1152" spans="1:38" hidden="1" x14ac:dyDescent="0.25">
      <c r="A1152" s="2">
        <v>1503</v>
      </c>
      <c r="B1152" s="1" t="s">
        <v>1357</v>
      </c>
      <c r="C1152" s="1" t="s">
        <v>1361</v>
      </c>
      <c r="D1152" s="1" t="s">
        <v>2062</v>
      </c>
      <c r="E1152" s="1" t="s">
        <v>2063</v>
      </c>
      <c r="F1152" s="3">
        <v>45645</v>
      </c>
      <c r="G1152" s="3">
        <v>45309</v>
      </c>
      <c r="H1152" s="3">
        <v>45674</v>
      </c>
      <c r="I1152" s="1" t="s">
        <v>3499</v>
      </c>
      <c r="J1152" s="1" t="s">
        <v>3500</v>
      </c>
      <c r="K1152" s="1"/>
      <c r="L1152" s="1" t="s">
        <v>3501</v>
      </c>
      <c r="M1152" s="1" t="s">
        <v>3502</v>
      </c>
      <c r="N1152" s="1" t="s">
        <v>3503</v>
      </c>
      <c r="O1152" s="1" t="s">
        <v>3504</v>
      </c>
      <c r="P1152" s="1" t="s">
        <v>2182</v>
      </c>
      <c r="Q1152" s="1" t="s">
        <v>3505</v>
      </c>
      <c r="R1152" s="1"/>
      <c r="S1152" s="1" t="s">
        <v>2072</v>
      </c>
      <c r="T1152" s="1" t="s">
        <v>2073</v>
      </c>
      <c r="U1152" s="4">
        <v>4200000</v>
      </c>
      <c r="V1152" s="4">
        <v>2704</v>
      </c>
      <c r="W1152" s="4">
        <v>27</v>
      </c>
      <c r="X1152" s="4">
        <v>406</v>
      </c>
      <c r="Y1152" s="4">
        <v>0</v>
      </c>
      <c r="Z1152" s="5">
        <v>3137</v>
      </c>
      <c r="AA1152" s="5">
        <v>0</v>
      </c>
      <c r="AB1152" s="6">
        <v>0</v>
      </c>
      <c r="AC1152" s="4">
        <v>3137</v>
      </c>
      <c r="AD1152" s="4">
        <v>0</v>
      </c>
      <c r="AE1152" s="4">
        <v>3137</v>
      </c>
      <c r="AF1152" s="1"/>
      <c r="AG1152" s="1"/>
      <c r="AH1152" s="1"/>
      <c r="AI1152" s="1" t="s">
        <v>3432</v>
      </c>
      <c r="AJ1152" s="6">
        <v>908.07999999999902</v>
      </c>
      <c r="AK1152" s="6">
        <v>545.26</v>
      </c>
      <c r="AL1152" s="1"/>
    </row>
    <row r="1153" spans="1:38" hidden="1" x14ac:dyDescent="0.25">
      <c r="A1153" s="2">
        <v>1504</v>
      </c>
      <c r="B1153" s="1" t="s">
        <v>1357</v>
      </c>
      <c r="C1153" s="1" t="s">
        <v>1362</v>
      </c>
      <c r="D1153" s="1" t="s">
        <v>2062</v>
      </c>
      <c r="E1153" s="1" t="s">
        <v>2063</v>
      </c>
      <c r="F1153" s="3">
        <v>45655</v>
      </c>
      <c r="G1153" s="3">
        <v>45309</v>
      </c>
      <c r="H1153" s="3">
        <v>45674</v>
      </c>
      <c r="I1153" s="1" t="s">
        <v>3499</v>
      </c>
      <c r="J1153" s="1" t="s">
        <v>3500</v>
      </c>
      <c r="K1153" s="1"/>
      <c r="L1153" s="1" t="s">
        <v>3501</v>
      </c>
      <c r="M1153" s="1" t="s">
        <v>3502</v>
      </c>
      <c r="N1153" s="1" t="s">
        <v>3503</v>
      </c>
      <c r="O1153" s="1" t="s">
        <v>3504</v>
      </c>
      <c r="P1153" s="1" t="s">
        <v>2182</v>
      </c>
      <c r="Q1153" s="1" t="s">
        <v>3505</v>
      </c>
      <c r="R1153" s="1"/>
      <c r="S1153" s="1" t="s">
        <v>2072</v>
      </c>
      <c r="T1153" s="1" t="s">
        <v>2073</v>
      </c>
      <c r="U1153" s="4">
        <v>-1</v>
      </c>
      <c r="V1153" s="4">
        <v>-8604</v>
      </c>
      <c r="W1153" s="4">
        <v>-86</v>
      </c>
      <c r="X1153" s="4">
        <v>0</v>
      </c>
      <c r="Y1153" s="4">
        <v>0</v>
      </c>
      <c r="Z1153" s="5">
        <v>-8690</v>
      </c>
      <c r="AA1153" s="5">
        <v>0</v>
      </c>
      <c r="AB1153" s="6">
        <v>0</v>
      </c>
      <c r="AC1153" s="4">
        <v>-8690</v>
      </c>
      <c r="AD1153" s="4">
        <v>0</v>
      </c>
      <c r="AE1153" s="4">
        <v>-8690</v>
      </c>
      <c r="AF1153" s="1"/>
      <c r="AG1153" s="1"/>
      <c r="AH1153" s="1"/>
      <c r="AI1153" s="1" t="s">
        <v>3432</v>
      </c>
      <c r="AJ1153" s="1"/>
      <c r="AK1153" s="1"/>
      <c r="AL1153" s="1"/>
    </row>
    <row r="1154" spans="1:38" hidden="1" x14ac:dyDescent="0.25">
      <c r="A1154" s="2">
        <v>1505</v>
      </c>
      <c r="B1154" s="1" t="s">
        <v>1363</v>
      </c>
      <c r="C1154" s="1" t="s">
        <v>1364</v>
      </c>
      <c r="D1154" s="1" t="s">
        <v>2062</v>
      </c>
      <c r="E1154" s="1" t="s">
        <v>2063</v>
      </c>
      <c r="F1154" s="3">
        <v>45463</v>
      </c>
      <c r="G1154" s="3">
        <v>45310</v>
      </c>
      <c r="H1154" s="3">
        <v>45675</v>
      </c>
      <c r="I1154" s="1" t="s">
        <v>2265</v>
      </c>
      <c r="J1154" s="1" t="s">
        <v>2266</v>
      </c>
      <c r="K1154" s="1"/>
      <c r="L1154" s="1" t="s">
        <v>2267</v>
      </c>
      <c r="M1154" s="1" t="s">
        <v>2268</v>
      </c>
      <c r="N1154" s="1" t="s">
        <v>2269</v>
      </c>
      <c r="O1154" s="1" t="s">
        <v>2270</v>
      </c>
      <c r="P1154" s="1" t="s">
        <v>2088</v>
      </c>
      <c r="Q1154" s="1" t="s">
        <v>2271</v>
      </c>
      <c r="R1154" s="1"/>
      <c r="S1154" s="1" t="s">
        <v>2072</v>
      </c>
      <c r="T1154" s="1" t="s">
        <v>2073</v>
      </c>
      <c r="U1154" s="4">
        <v>3500000</v>
      </c>
      <c r="V1154" s="4">
        <v>3033</v>
      </c>
      <c r="W1154" s="4">
        <v>31</v>
      </c>
      <c r="X1154" s="4">
        <v>394</v>
      </c>
      <c r="Y1154" s="4">
        <v>0</v>
      </c>
      <c r="Z1154" s="5">
        <v>3458</v>
      </c>
      <c r="AA1154" s="5">
        <v>0</v>
      </c>
      <c r="AB1154" s="6">
        <v>0</v>
      </c>
      <c r="AC1154" s="4">
        <v>3458</v>
      </c>
      <c r="AD1154" s="4">
        <v>0</v>
      </c>
      <c r="AE1154" s="4">
        <v>3458</v>
      </c>
      <c r="AF1154" s="1"/>
      <c r="AG1154" s="1"/>
      <c r="AH1154" s="1"/>
      <c r="AI1154" s="1" t="s">
        <v>3432</v>
      </c>
      <c r="AJ1154" s="6">
        <v>1320.709999999998</v>
      </c>
      <c r="AK1154" s="6">
        <v>721.2</v>
      </c>
      <c r="AL1154" s="1"/>
    </row>
    <row r="1155" spans="1:38" hidden="1" x14ac:dyDescent="0.25">
      <c r="A1155" s="2">
        <v>1506</v>
      </c>
      <c r="B1155" s="1" t="s">
        <v>1363</v>
      </c>
      <c r="C1155" s="1" t="s">
        <v>1365</v>
      </c>
      <c r="D1155" s="1" t="s">
        <v>2062</v>
      </c>
      <c r="E1155" s="1" t="s">
        <v>2063</v>
      </c>
      <c r="F1155" s="3">
        <v>45596</v>
      </c>
      <c r="G1155" s="3">
        <v>45310</v>
      </c>
      <c r="H1155" s="3">
        <v>45675</v>
      </c>
      <c r="I1155" s="1" t="s">
        <v>2265</v>
      </c>
      <c r="J1155" s="1" t="s">
        <v>2266</v>
      </c>
      <c r="K1155" s="1"/>
      <c r="L1155" s="1" t="s">
        <v>2267</v>
      </c>
      <c r="M1155" s="1" t="s">
        <v>2268</v>
      </c>
      <c r="N1155" s="1" t="s">
        <v>2269</v>
      </c>
      <c r="O1155" s="1" t="s">
        <v>2270</v>
      </c>
      <c r="P1155" s="1" t="s">
        <v>2088</v>
      </c>
      <c r="Q1155" s="1" t="s">
        <v>2271</v>
      </c>
      <c r="R1155" s="1"/>
      <c r="S1155" s="1" t="s">
        <v>2072</v>
      </c>
      <c r="T1155" s="1" t="s">
        <v>2073</v>
      </c>
      <c r="U1155" s="4">
        <v>-1</v>
      </c>
      <c r="V1155" s="4">
        <v>-3424</v>
      </c>
      <c r="W1155" s="4">
        <v>-34</v>
      </c>
      <c r="X1155" s="4">
        <v>0</v>
      </c>
      <c r="Y1155" s="4">
        <v>0</v>
      </c>
      <c r="Z1155" s="5">
        <v>-3458</v>
      </c>
      <c r="AA1155" s="5">
        <v>0</v>
      </c>
      <c r="AB1155" s="6">
        <v>0</v>
      </c>
      <c r="AC1155" s="4">
        <v>-3458</v>
      </c>
      <c r="AD1155" s="4">
        <v>0</v>
      </c>
      <c r="AE1155" s="4">
        <v>-3458</v>
      </c>
      <c r="AF1155" s="1"/>
      <c r="AG1155" s="1"/>
      <c r="AH1155" s="1"/>
      <c r="AI1155" s="1" t="s">
        <v>3432</v>
      </c>
      <c r="AJ1155" s="1"/>
      <c r="AK1155" s="1"/>
      <c r="AL1155" s="1"/>
    </row>
    <row r="1156" spans="1:38" hidden="1" x14ac:dyDescent="0.25">
      <c r="A1156" s="2">
        <v>1507</v>
      </c>
      <c r="B1156" s="1" t="s">
        <v>1366</v>
      </c>
      <c r="C1156" s="1" t="s">
        <v>1367</v>
      </c>
      <c r="D1156" s="1" t="s">
        <v>2062</v>
      </c>
      <c r="E1156" s="1" t="s">
        <v>2063</v>
      </c>
      <c r="F1156" s="3">
        <v>45649</v>
      </c>
      <c r="G1156" s="3">
        <v>45311</v>
      </c>
      <c r="H1156" s="3">
        <v>45676</v>
      </c>
      <c r="I1156" s="1" t="s">
        <v>3506</v>
      </c>
      <c r="J1156" s="1" t="s">
        <v>3507</v>
      </c>
      <c r="K1156" s="1"/>
      <c r="L1156" s="1" t="s">
        <v>2291</v>
      </c>
      <c r="M1156" s="1" t="s">
        <v>3508</v>
      </c>
      <c r="N1156" s="1" t="s">
        <v>3509</v>
      </c>
      <c r="O1156" s="1" t="s">
        <v>3510</v>
      </c>
      <c r="P1156" s="1" t="s">
        <v>2081</v>
      </c>
      <c r="Q1156" s="1" t="s">
        <v>3511</v>
      </c>
      <c r="R1156" s="1"/>
      <c r="S1156" s="1" t="s">
        <v>2072</v>
      </c>
      <c r="T1156" s="1" t="s">
        <v>2073</v>
      </c>
      <c r="U1156" s="4">
        <v>3500000</v>
      </c>
      <c r="V1156" s="4">
        <v>3697</v>
      </c>
      <c r="W1156" s="4">
        <v>37</v>
      </c>
      <c r="X1156" s="4">
        <v>554</v>
      </c>
      <c r="Y1156" s="4">
        <v>0</v>
      </c>
      <c r="Z1156" s="5">
        <v>4288</v>
      </c>
      <c r="AA1156" s="5">
        <v>0</v>
      </c>
      <c r="AB1156" s="6">
        <v>0</v>
      </c>
      <c r="AC1156" s="4">
        <v>4288</v>
      </c>
      <c r="AD1156" s="4">
        <v>0</v>
      </c>
      <c r="AE1156" s="4">
        <v>4288</v>
      </c>
      <c r="AF1156" s="1"/>
      <c r="AG1156" s="1"/>
      <c r="AH1156" s="1"/>
      <c r="AI1156" s="1" t="s">
        <v>3432</v>
      </c>
      <c r="AJ1156" s="6">
        <v>1133.77</v>
      </c>
      <c r="AK1156" s="6">
        <v>893.84</v>
      </c>
      <c r="AL1156" s="1"/>
    </row>
    <row r="1157" spans="1:38" hidden="1" x14ac:dyDescent="0.25">
      <c r="A1157" s="2">
        <v>1508</v>
      </c>
      <c r="B1157" s="1" t="s">
        <v>1366</v>
      </c>
      <c r="C1157" s="1" t="s">
        <v>1368</v>
      </c>
      <c r="D1157" s="1" t="s">
        <v>2062</v>
      </c>
      <c r="E1157" s="1" t="s">
        <v>2063</v>
      </c>
      <c r="F1157" s="3">
        <v>45655</v>
      </c>
      <c r="G1157" s="3">
        <v>45311</v>
      </c>
      <c r="H1157" s="3">
        <v>45676</v>
      </c>
      <c r="I1157" s="1" t="s">
        <v>3506</v>
      </c>
      <c r="J1157" s="1" t="s">
        <v>3507</v>
      </c>
      <c r="K1157" s="1"/>
      <c r="L1157" s="1" t="s">
        <v>2291</v>
      </c>
      <c r="M1157" s="1" t="s">
        <v>3508</v>
      </c>
      <c r="N1157" s="1" t="s">
        <v>3509</v>
      </c>
      <c r="O1157" s="1" t="s">
        <v>3510</v>
      </c>
      <c r="P1157" s="1" t="s">
        <v>2081</v>
      </c>
      <c r="Q1157" s="1" t="s">
        <v>3511</v>
      </c>
      <c r="R1157" s="1"/>
      <c r="S1157" s="1" t="s">
        <v>2072</v>
      </c>
      <c r="T1157" s="1" t="s">
        <v>2073</v>
      </c>
      <c r="U1157" s="4">
        <v>-1</v>
      </c>
      <c r="V1157" s="4">
        <v>-4246</v>
      </c>
      <c r="W1157" s="4">
        <v>-42</v>
      </c>
      <c r="X1157" s="4">
        <v>0</v>
      </c>
      <c r="Y1157" s="4">
        <v>0</v>
      </c>
      <c r="Z1157" s="5">
        <v>-4288</v>
      </c>
      <c r="AA1157" s="5">
        <v>0</v>
      </c>
      <c r="AB1157" s="6">
        <v>0</v>
      </c>
      <c r="AC1157" s="4">
        <v>-4288</v>
      </c>
      <c r="AD1157" s="4">
        <v>0</v>
      </c>
      <c r="AE1157" s="4">
        <v>-4288</v>
      </c>
      <c r="AF1157" s="1"/>
      <c r="AG1157" s="1"/>
      <c r="AH1157" s="1"/>
      <c r="AI1157" s="1" t="s">
        <v>3432</v>
      </c>
      <c r="AJ1157" s="1"/>
      <c r="AK1157" s="1"/>
      <c r="AL1157" s="1"/>
    </row>
    <row r="1158" spans="1:38" hidden="1" x14ac:dyDescent="0.25">
      <c r="A1158" s="2">
        <v>1512</v>
      </c>
      <c r="B1158" s="1" t="s">
        <v>1369</v>
      </c>
      <c r="C1158" s="1" t="s">
        <v>1370</v>
      </c>
      <c r="D1158" s="1" t="s">
        <v>2062</v>
      </c>
      <c r="E1158" s="1" t="s">
        <v>2063</v>
      </c>
      <c r="F1158" s="3">
        <v>45376</v>
      </c>
      <c r="G1158" s="3">
        <v>45315</v>
      </c>
      <c r="H1158" s="3">
        <v>45680</v>
      </c>
      <c r="I1158" s="1" t="s">
        <v>3512</v>
      </c>
      <c r="J1158" s="1" t="s">
        <v>3513</v>
      </c>
      <c r="K1158" s="1"/>
      <c r="L1158" s="1" t="s">
        <v>2390</v>
      </c>
      <c r="M1158" s="1" t="s">
        <v>3514</v>
      </c>
      <c r="N1158" s="1" t="s">
        <v>3515</v>
      </c>
      <c r="O1158" s="1" t="s">
        <v>3516</v>
      </c>
      <c r="P1158" s="1" t="s">
        <v>2247</v>
      </c>
      <c r="Q1158" s="1"/>
      <c r="R1158" s="1"/>
      <c r="S1158" s="1" t="s">
        <v>2072</v>
      </c>
      <c r="T1158" s="1" t="s">
        <v>3165</v>
      </c>
      <c r="U1158" s="4">
        <v>9000000</v>
      </c>
      <c r="V1158" s="4">
        <v>5951</v>
      </c>
      <c r="W1158" s="4">
        <v>59</v>
      </c>
      <c r="X1158" s="4">
        <v>774</v>
      </c>
      <c r="Y1158" s="4">
        <v>0</v>
      </c>
      <c r="Z1158" s="5">
        <v>6784</v>
      </c>
      <c r="AA1158" s="5">
        <v>0</v>
      </c>
      <c r="AB1158" s="6">
        <v>0</v>
      </c>
      <c r="AC1158" s="4">
        <v>6784</v>
      </c>
      <c r="AD1158" s="4">
        <v>0</v>
      </c>
      <c r="AE1158" s="4">
        <v>6784</v>
      </c>
      <c r="AF1158" s="1"/>
      <c r="AG1158" s="1"/>
      <c r="AH1158" s="1"/>
      <c r="AI1158" s="1" t="s">
        <v>2841</v>
      </c>
      <c r="AJ1158" s="6">
        <v>2642.9299999999985</v>
      </c>
      <c r="AK1158" s="6">
        <v>550.04999999999995</v>
      </c>
      <c r="AL1158" s="1"/>
    </row>
    <row r="1159" spans="1:38" hidden="1" x14ac:dyDescent="0.25">
      <c r="A1159" s="2">
        <v>1513</v>
      </c>
      <c r="B1159" s="1" t="s">
        <v>1369</v>
      </c>
      <c r="C1159" s="1" t="s">
        <v>1371</v>
      </c>
      <c r="D1159" s="1" t="s">
        <v>2062</v>
      </c>
      <c r="E1159" s="1" t="s">
        <v>2063</v>
      </c>
      <c r="F1159" s="3">
        <v>45406</v>
      </c>
      <c r="G1159" s="3">
        <v>45315</v>
      </c>
      <c r="H1159" s="3">
        <v>45680</v>
      </c>
      <c r="I1159" s="1" t="s">
        <v>3512</v>
      </c>
      <c r="J1159" s="1" t="s">
        <v>3513</v>
      </c>
      <c r="K1159" s="1"/>
      <c r="L1159" s="1" t="s">
        <v>2390</v>
      </c>
      <c r="M1159" s="1" t="s">
        <v>3514</v>
      </c>
      <c r="N1159" s="1" t="s">
        <v>3515</v>
      </c>
      <c r="O1159" s="1" t="s">
        <v>3516</v>
      </c>
      <c r="P1159" s="1" t="s">
        <v>2247</v>
      </c>
      <c r="Q1159" s="1"/>
      <c r="R1159" s="1"/>
      <c r="S1159" s="1" t="s">
        <v>2072</v>
      </c>
      <c r="T1159" s="1" t="s">
        <v>3165</v>
      </c>
      <c r="U1159" s="4">
        <v>9000000</v>
      </c>
      <c r="V1159" s="4">
        <v>2969</v>
      </c>
      <c r="W1159" s="4">
        <v>30</v>
      </c>
      <c r="X1159" s="4">
        <v>386</v>
      </c>
      <c r="Y1159" s="4">
        <v>0</v>
      </c>
      <c r="Z1159" s="5">
        <v>3385</v>
      </c>
      <c r="AA1159" s="5">
        <v>0</v>
      </c>
      <c r="AB1159" s="6">
        <v>0</v>
      </c>
      <c r="AC1159" s="4">
        <v>3385</v>
      </c>
      <c r="AD1159" s="4">
        <v>0</v>
      </c>
      <c r="AE1159" s="4">
        <v>3385</v>
      </c>
      <c r="AF1159" s="1"/>
      <c r="AG1159" s="1"/>
      <c r="AH1159" s="1"/>
      <c r="AI1159" s="1" t="s">
        <v>2841</v>
      </c>
      <c r="AJ1159" s="6">
        <v>326.60000000000002</v>
      </c>
      <c r="AK1159" s="6">
        <v>274.64</v>
      </c>
      <c r="AL1159" s="1"/>
    </row>
    <row r="1160" spans="1:38" hidden="1" x14ac:dyDescent="0.25">
      <c r="A1160" s="2">
        <v>1514</v>
      </c>
      <c r="B1160" s="1" t="s">
        <v>1369</v>
      </c>
      <c r="C1160" s="1" t="s">
        <v>1372</v>
      </c>
      <c r="D1160" s="1" t="s">
        <v>2062</v>
      </c>
      <c r="E1160" s="1" t="s">
        <v>2063</v>
      </c>
      <c r="F1160" s="3">
        <v>45436</v>
      </c>
      <c r="G1160" s="3">
        <v>45315</v>
      </c>
      <c r="H1160" s="3">
        <v>45680</v>
      </c>
      <c r="I1160" s="1" t="s">
        <v>3512</v>
      </c>
      <c r="J1160" s="1" t="s">
        <v>3513</v>
      </c>
      <c r="K1160" s="1"/>
      <c r="L1160" s="1" t="s">
        <v>2390</v>
      </c>
      <c r="M1160" s="1" t="s">
        <v>3514</v>
      </c>
      <c r="N1160" s="1" t="s">
        <v>3515</v>
      </c>
      <c r="O1160" s="1" t="s">
        <v>3516</v>
      </c>
      <c r="P1160" s="1" t="s">
        <v>2247</v>
      </c>
      <c r="Q1160" s="1"/>
      <c r="R1160" s="1"/>
      <c r="S1160" s="1" t="s">
        <v>2072</v>
      </c>
      <c r="T1160" s="1" t="s">
        <v>3165</v>
      </c>
      <c r="U1160" s="4">
        <v>9000000</v>
      </c>
      <c r="V1160" s="4">
        <v>2010</v>
      </c>
      <c r="W1160" s="4">
        <v>20</v>
      </c>
      <c r="X1160" s="4">
        <v>261</v>
      </c>
      <c r="Y1160" s="4">
        <v>0</v>
      </c>
      <c r="Z1160" s="5">
        <v>2291</v>
      </c>
      <c r="AA1160" s="5">
        <v>0</v>
      </c>
      <c r="AB1160" s="6">
        <v>0</v>
      </c>
      <c r="AC1160" s="4">
        <v>2291</v>
      </c>
      <c r="AD1160" s="4">
        <v>0</v>
      </c>
      <c r="AE1160" s="4">
        <v>2291</v>
      </c>
      <c r="AF1160" s="1"/>
      <c r="AG1160" s="1"/>
      <c r="AH1160" s="1"/>
      <c r="AI1160" s="1" t="s">
        <v>2841</v>
      </c>
      <c r="AJ1160" s="6">
        <v>189.73</v>
      </c>
      <c r="AK1160" s="6">
        <v>185.77</v>
      </c>
      <c r="AL1160" s="1"/>
    </row>
    <row r="1161" spans="1:38" hidden="1" x14ac:dyDescent="0.25">
      <c r="A1161" s="2">
        <v>1515</v>
      </c>
      <c r="B1161" s="1" t="s">
        <v>1369</v>
      </c>
      <c r="C1161" s="1" t="s">
        <v>1373</v>
      </c>
      <c r="D1161" s="1" t="s">
        <v>2062</v>
      </c>
      <c r="E1161" s="1" t="s">
        <v>2063</v>
      </c>
      <c r="F1161" s="3">
        <v>45468</v>
      </c>
      <c r="G1161" s="3">
        <v>45315</v>
      </c>
      <c r="H1161" s="3">
        <v>45680</v>
      </c>
      <c r="I1161" s="1" t="s">
        <v>3512</v>
      </c>
      <c r="J1161" s="1" t="s">
        <v>3513</v>
      </c>
      <c r="K1161" s="1"/>
      <c r="L1161" s="1" t="s">
        <v>2390</v>
      </c>
      <c r="M1161" s="1" t="s">
        <v>3514</v>
      </c>
      <c r="N1161" s="1" t="s">
        <v>3515</v>
      </c>
      <c r="O1161" s="1" t="s">
        <v>3516</v>
      </c>
      <c r="P1161" s="1" t="s">
        <v>2247</v>
      </c>
      <c r="Q1161" s="1"/>
      <c r="R1161" s="1"/>
      <c r="S1161" s="1" t="s">
        <v>2072</v>
      </c>
      <c r="T1161" s="1" t="s">
        <v>3165</v>
      </c>
      <c r="U1161" s="4">
        <v>9000000</v>
      </c>
      <c r="V1161" s="4">
        <v>947</v>
      </c>
      <c r="W1161" s="4">
        <v>10</v>
      </c>
      <c r="X1161" s="4">
        <v>123</v>
      </c>
      <c r="Y1161" s="4">
        <v>0</v>
      </c>
      <c r="Z1161" s="5">
        <v>1080</v>
      </c>
      <c r="AA1161" s="5">
        <v>0</v>
      </c>
      <c r="AB1161" s="6">
        <v>0</v>
      </c>
      <c r="AC1161" s="4">
        <v>1080</v>
      </c>
      <c r="AD1161" s="4">
        <v>0</v>
      </c>
      <c r="AE1161" s="4">
        <v>1080</v>
      </c>
      <c r="AF1161" s="1"/>
      <c r="AG1161" s="1"/>
      <c r="AH1161" s="1"/>
      <c r="AI1161" s="1" t="s">
        <v>2841</v>
      </c>
      <c r="AJ1161" s="6">
        <v>192.17</v>
      </c>
      <c r="AK1161" s="6">
        <v>87.68</v>
      </c>
      <c r="AL1161" s="1"/>
    </row>
    <row r="1162" spans="1:38" hidden="1" x14ac:dyDescent="0.25">
      <c r="A1162" s="2">
        <v>1516</v>
      </c>
      <c r="B1162" s="1" t="s">
        <v>1369</v>
      </c>
      <c r="C1162" s="1" t="s">
        <v>1374</v>
      </c>
      <c r="D1162" s="1" t="s">
        <v>2062</v>
      </c>
      <c r="E1162" s="1" t="s">
        <v>2063</v>
      </c>
      <c r="F1162" s="3">
        <v>45499</v>
      </c>
      <c r="G1162" s="3">
        <v>45315</v>
      </c>
      <c r="H1162" s="3">
        <v>45680</v>
      </c>
      <c r="I1162" s="1" t="s">
        <v>3512</v>
      </c>
      <c r="J1162" s="1" t="s">
        <v>3513</v>
      </c>
      <c r="K1162" s="1"/>
      <c r="L1162" s="1" t="s">
        <v>2390</v>
      </c>
      <c r="M1162" s="1" t="s">
        <v>3514</v>
      </c>
      <c r="N1162" s="1" t="s">
        <v>3515</v>
      </c>
      <c r="O1162" s="1" t="s">
        <v>3516</v>
      </c>
      <c r="P1162" s="1" t="s">
        <v>2247</v>
      </c>
      <c r="Q1162" s="1"/>
      <c r="R1162" s="1"/>
      <c r="S1162" s="1" t="s">
        <v>2072</v>
      </c>
      <c r="T1162" s="1" t="s">
        <v>3165</v>
      </c>
      <c r="U1162" s="4">
        <v>9000000</v>
      </c>
      <c r="V1162" s="4">
        <v>1052</v>
      </c>
      <c r="W1162" s="4">
        <v>11</v>
      </c>
      <c r="X1162" s="4">
        <v>158</v>
      </c>
      <c r="Y1162" s="4">
        <v>0</v>
      </c>
      <c r="Z1162" s="5">
        <v>1221</v>
      </c>
      <c r="AA1162" s="5">
        <v>0</v>
      </c>
      <c r="AB1162" s="6">
        <v>0</v>
      </c>
      <c r="AC1162" s="4">
        <v>1221</v>
      </c>
      <c r="AD1162" s="4">
        <v>0</v>
      </c>
      <c r="AE1162" s="4">
        <v>1221</v>
      </c>
      <c r="AF1162" s="1"/>
      <c r="AG1162" s="1"/>
      <c r="AH1162" s="1"/>
      <c r="AI1162" s="1" t="s">
        <v>2841</v>
      </c>
      <c r="AJ1162" s="6">
        <v>98.979999999999976</v>
      </c>
      <c r="AK1162" s="6">
        <v>98.979999999999976</v>
      </c>
      <c r="AL1162" s="1"/>
    </row>
    <row r="1163" spans="1:38" hidden="1" x14ac:dyDescent="0.25">
      <c r="A1163" s="2">
        <v>1517</v>
      </c>
      <c r="B1163" s="1" t="s">
        <v>1369</v>
      </c>
      <c r="C1163" s="1" t="s">
        <v>1375</v>
      </c>
      <c r="D1163" s="1" t="s">
        <v>2062</v>
      </c>
      <c r="E1163" s="1" t="s">
        <v>2063</v>
      </c>
      <c r="F1163" s="3">
        <v>45533</v>
      </c>
      <c r="G1163" s="3">
        <v>45315</v>
      </c>
      <c r="H1163" s="3">
        <v>45680</v>
      </c>
      <c r="I1163" s="1" t="s">
        <v>3512</v>
      </c>
      <c r="J1163" s="1" t="s">
        <v>3513</v>
      </c>
      <c r="K1163" s="1"/>
      <c r="L1163" s="1" t="s">
        <v>2390</v>
      </c>
      <c r="M1163" s="1" t="s">
        <v>3514</v>
      </c>
      <c r="N1163" s="1" t="s">
        <v>3515</v>
      </c>
      <c r="O1163" s="1" t="s">
        <v>3516</v>
      </c>
      <c r="P1163" s="1" t="s">
        <v>2247</v>
      </c>
      <c r="Q1163" s="1"/>
      <c r="R1163" s="1"/>
      <c r="S1163" s="1" t="s">
        <v>2072</v>
      </c>
      <c r="T1163" s="1" t="s">
        <v>3165</v>
      </c>
      <c r="U1163" s="4">
        <v>9000000</v>
      </c>
      <c r="V1163" s="4">
        <v>2857</v>
      </c>
      <c r="W1163" s="4">
        <v>29</v>
      </c>
      <c r="X1163" s="4">
        <v>429</v>
      </c>
      <c r="Y1163" s="4">
        <v>0</v>
      </c>
      <c r="Z1163" s="5">
        <v>3315</v>
      </c>
      <c r="AA1163" s="5">
        <v>0</v>
      </c>
      <c r="AB1163" s="6">
        <v>0</v>
      </c>
      <c r="AC1163" s="4">
        <v>3315</v>
      </c>
      <c r="AD1163" s="4">
        <v>0</v>
      </c>
      <c r="AE1163" s="4">
        <v>3315</v>
      </c>
      <c r="AF1163" s="1"/>
      <c r="AG1163" s="1"/>
      <c r="AH1163" s="1"/>
      <c r="AI1163" s="1" t="s">
        <v>2841</v>
      </c>
      <c r="AJ1163" s="6">
        <v>276.60000000000002</v>
      </c>
      <c r="AK1163" s="6">
        <v>268.84000000000003</v>
      </c>
      <c r="AL1163" s="1"/>
    </row>
    <row r="1164" spans="1:38" hidden="1" x14ac:dyDescent="0.25">
      <c r="A1164" s="2">
        <v>1518</v>
      </c>
      <c r="B1164" s="1" t="s">
        <v>1369</v>
      </c>
      <c r="C1164" s="1" t="s">
        <v>1376</v>
      </c>
      <c r="D1164" s="1" t="s">
        <v>2062</v>
      </c>
      <c r="E1164" s="1" t="s">
        <v>2063</v>
      </c>
      <c r="F1164" s="3">
        <v>45563</v>
      </c>
      <c r="G1164" s="3">
        <v>45315</v>
      </c>
      <c r="H1164" s="3">
        <v>45680</v>
      </c>
      <c r="I1164" s="1" t="s">
        <v>3512</v>
      </c>
      <c r="J1164" s="1" t="s">
        <v>3513</v>
      </c>
      <c r="K1164" s="1"/>
      <c r="L1164" s="1" t="s">
        <v>2390</v>
      </c>
      <c r="M1164" s="1" t="s">
        <v>3514</v>
      </c>
      <c r="N1164" s="1" t="s">
        <v>3515</v>
      </c>
      <c r="O1164" s="1" t="s">
        <v>3516</v>
      </c>
      <c r="P1164" s="1" t="s">
        <v>2247</v>
      </c>
      <c r="Q1164" s="1"/>
      <c r="R1164" s="1"/>
      <c r="S1164" s="1" t="s">
        <v>2072</v>
      </c>
      <c r="T1164" s="1" t="s">
        <v>3165</v>
      </c>
      <c r="U1164" s="4">
        <v>9000000</v>
      </c>
      <c r="V1164" s="4">
        <v>1380</v>
      </c>
      <c r="W1164" s="4">
        <v>14</v>
      </c>
      <c r="X1164" s="4">
        <v>207</v>
      </c>
      <c r="Y1164" s="4">
        <v>0</v>
      </c>
      <c r="Z1164" s="5">
        <v>1601</v>
      </c>
      <c r="AA1164" s="5">
        <v>0</v>
      </c>
      <c r="AB1164" s="6">
        <v>0</v>
      </c>
      <c r="AC1164" s="4">
        <v>1601</v>
      </c>
      <c r="AD1164" s="4">
        <v>0</v>
      </c>
      <c r="AE1164" s="4">
        <v>1601</v>
      </c>
      <c r="AF1164" s="1"/>
      <c r="AG1164" s="1"/>
      <c r="AH1164" s="1"/>
      <c r="AI1164" s="1" t="s">
        <v>2841</v>
      </c>
      <c r="AJ1164" s="6">
        <v>129.92000000000002</v>
      </c>
      <c r="AK1164" s="6">
        <v>129.92000000000002</v>
      </c>
      <c r="AL1164" s="1"/>
    </row>
    <row r="1165" spans="1:38" hidden="1" x14ac:dyDescent="0.25">
      <c r="A1165" s="2">
        <v>1519</v>
      </c>
      <c r="B1165" s="1" t="s">
        <v>1369</v>
      </c>
      <c r="C1165" s="1" t="s">
        <v>1377</v>
      </c>
      <c r="D1165" s="1" t="s">
        <v>2062</v>
      </c>
      <c r="E1165" s="1" t="s">
        <v>2063</v>
      </c>
      <c r="F1165" s="3">
        <v>45590</v>
      </c>
      <c r="G1165" s="3">
        <v>45315</v>
      </c>
      <c r="H1165" s="3">
        <v>45680</v>
      </c>
      <c r="I1165" s="1" t="s">
        <v>3512</v>
      </c>
      <c r="J1165" s="1" t="s">
        <v>3513</v>
      </c>
      <c r="K1165" s="1"/>
      <c r="L1165" s="1" t="s">
        <v>2390</v>
      </c>
      <c r="M1165" s="1" t="s">
        <v>3514</v>
      </c>
      <c r="N1165" s="1" t="s">
        <v>3515</v>
      </c>
      <c r="O1165" s="1" t="s">
        <v>3516</v>
      </c>
      <c r="P1165" s="1" t="s">
        <v>2247</v>
      </c>
      <c r="Q1165" s="1"/>
      <c r="R1165" s="1"/>
      <c r="S1165" s="1" t="s">
        <v>2072</v>
      </c>
      <c r="T1165" s="1" t="s">
        <v>3165</v>
      </c>
      <c r="U1165" s="4">
        <v>9000000</v>
      </c>
      <c r="V1165" s="4">
        <v>1825</v>
      </c>
      <c r="W1165" s="4">
        <v>18</v>
      </c>
      <c r="X1165" s="4">
        <v>274</v>
      </c>
      <c r="Y1165" s="4">
        <v>0</v>
      </c>
      <c r="Z1165" s="5">
        <v>2117</v>
      </c>
      <c r="AA1165" s="5">
        <v>0</v>
      </c>
      <c r="AB1165" s="6">
        <v>0</v>
      </c>
      <c r="AC1165" s="4">
        <v>2117</v>
      </c>
      <c r="AD1165" s="4">
        <v>0</v>
      </c>
      <c r="AE1165" s="4">
        <v>2117</v>
      </c>
      <c r="AF1165" s="1"/>
      <c r="AG1165" s="1"/>
      <c r="AH1165" s="1"/>
      <c r="AI1165" s="1" t="s">
        <v>2841</v>
      </c>
      <c r="AJ1165" s="6">
        <v>179.11</v>
      </c>
      <c r="AK1165" s="6">
        <v>171.56</v>
      </c>
      <c r="AL1165" s="1"/>
    </row>
    <row r="1166" spans="1:38" hidden="1" x14ac:dyDescent="0.25">
      <c r="A1166" s="2">
        <v>1520</v>
      </c>
      <c r="B1166" s="1" t="s">
        <v>1369</v>
      </c>
      <c r="C1166" s="1" t="s">
        <v>1378</v>
      </c>
      <c r="D1166" s="1" t="s">
        <v>2062</v>
      </c>
      <c r="E1166" s="1" t="s">
        <v>2063</v>
      </c>
      <c r="F1166" s="3">
        <v>45596</v>
      </c>
      <c r="G1166" s="3">
        <v>45315</v>
      </c>
      <c r="H1166" s="3">
        <v>45680</v>
      </c>
      <c r="I1166" s="1" t="s">
        <v>3512</v>
      </c>
      <c r="J1166" s="1" t="s">
        <v>3513</v>
      </c>
      <c r="K1166" s="1"/>
      <c r="L1166" s="1" t="s">
        <v>2390</v>
      </c>
      <c r="M1166" s="1" t="s">
        <v>3514</v>
      </c>
      <c r="N1166" s="1" t="s">
        <v>3515</v>
      </c>
      <c r="O1166" s="1" t="s">
        <v>3516</v>
      </c>
      <c r="P1166" s="1" t="s">
        <v>2247</v>
      </c>
      <c r="Q1166" s="1"/>
      <c r="R1166" s="1"/>
      <c r="S1166" s="1" t="s">
        <v>2072</v>
      </c>
      <c r="T1166" s="1" t="s">
        <v>3165</v>
      </c>
      <c r="U1166" s="4">
        <v>-1</v>
      </c>
      <c r="V1166" s="4">
        <v>-21578</v>
      </c>
      <c r="W1166" s="4">
        <v>-216</v>
      </c>
      <c r="X1166" s="4">
        <v>0</v>
      </c>
      <c r="Y1166" s="4">
        <v>0</v>
      </c>
      <c r="Z1166" s="5">
        <v>-21794</v>
      </c>
      <c r="AA1166" s="5">
        <v>0</v>
      </c>
      <c r="AB1166" s="6">
        <v>0</v>
      </c>
      <c r="AC1166" s="4">
        <v>-21794</v>
      </c>
      <c r="AD1166" s="4">
        <v>0</v>
      </c>
      <c r="AE1166" s="4">
        <v>-21794</v>
      </c>
      <c r="AF1166" s="1"/>
      <c r="AG1166" s="1"/>
      <c r="AH1166" s="1"/>
      <c r="AI1166" s="1" t="s">
        <v>2841</v>
      </c>
      <c r="AJ1166" s="1"/>
      <c r="AK1166" s="1"/>
      <c r="AL1166" s="1"/>
    </row>
    <row r="1167" spans="1:38" hidden="1" x14ac:dyDescent="0.25">
      <c r="A1167" s="2">
        <v>1521</v>
      </c>
      <c r="B1167" s="1" t="s">
        <v>1379</v>
      </c>
      <c r="C1167" s="1" t="s">
        <v>1380</v>
      </c>
      <c r="D1167" s="1" t="s">
        <v>2062</v>
      </c>
      <c r="E1167" s="1" t="s">
        <v>2063</v>
      </c>
      <c r="F1167" s="3">
        <v>45369</v>
      </c>
      <c r="G1167" s="3">
        <v>45309</v>
      </c>
      <c r="H1167" s="3">
        <v>45674</v>
      </c>
      <c r="I1167" s="1" t="s">
        <v>3517</v>
      </c>
      <c r="J1167" s="1" t="s">
        <v>3518</v>
      </c>
      <c r="K1167" s="1"/>
      <c r="L1167" s="1" t="s">
        <v>3519</v>
      </c>
      <c r="M1167" s="1" t="s">
        <v>3520</v>
      </c>
      <c r="N1167" s="1" t="s">
        <v>3521</v>
      </c>
      <c r="O1167" s="1" t="s">
        <v>3522</v>
      </c>
      <c r="P1167" s="1" t="s">
        <v>2081</v>
      </c>
      <c r="Q1167" s="1"/>
      <c r="R1167" s="1"/>
      <c r="S1167" s="1" t="s">
        <v>2072</v>
      </c>
      <c r="T1167" s="1" t="s">
        <v>3165</v>
      </c>
      <c r="U1167" s="4">
        <v>1200000</v>
      </c>
      <c r="V1167" s="4">
        <v>1122</v>
      </c>
      <c r="W1167" s="4">
        <v>12</v>
      </c>
      <c r="X1167" s="4">
        <v>146</v>
      </c>
      <c r="Y1167" s="4">
        <v>0</v>
      </c>
      <c r="Z1167" s="5">
        <v>1280</v>
      </c>
      <c r="AA1167" s="5">
        <v>0</v>
      </c>
      <c r="AB1167" s="6">
        <v>0</v>
      </c>
      <c r="AC1167" s="4">
        <v>1280</v>
      </c>
      <c r="AD1167" s="4">
        <v>0</v>
      </c>
      <c r="AE1167" s="4">
        <v>1280</v>
      </c>
      <c r="AF1167" s="1"/>
      <c r="AG1167" s="1"/>
      <c r="AH1167" s="1"/>
      <c r="AI1167" s="1" t="s">
        <v>3057</v>
      </c>
      <c r="AJ1167" s="6">
        <v>817.31</v>
      </c>
      <c r="AK1167" s="6">
        <v>776.09</v>
      </c>
      <c r="AL1167" s="1"/>
    </row>
    <row r="1168" spans="1:38" hidden="1" x14ac:dyDescent="0.25">
      <c r="A1168" s="2">
        <v>1522</v>
      </c>
      <c r="B1168" s="1" t="s">
        <v>1379</v>
      </c>
      <c r="C1168" s="1" t="s">
        <v>1381</v>
      </c>
      <c r="D1168" s="1" t="s">
        <v>2062</v>
      </c>
      <c r="E1168" s="1" t="s">
        <v>2063</v>
      </c>
      <c r="F1168" s="3">
        <v>45400</v>
      </c>
      <c r="G1168" s="3">
        <v>45309</v>
      </c>
      <c r="H1168" s="3">
        <v>45674</v>
      </c>
      <c r="I1168" s="1" t="s">
        <v>3517</v>
      </c>
      <c r="J1168" s="1" t="s">
        <v>3518</v>
      </c>
      <c r="K1168" s="1"/>
      <c r="L1168" s="1" t="s">
        <v>3519</v>
      </c>
      <c r="M1168" s="1" t="s">
        <v>3520</v>
      </c>
      <c r="N1168" s="1" t="s">
        <v>3521</v>
      </c>
      <c r="O1168" s="1" t="s">
        <v>3522</v>
      </c>
      <c r="P1168" s="1" t="s">
        <v>2081</v>
      </c>
      <c r="Q1168" s="1"/>
      <c r="R1168" s="1"/>
      <c r="S1168" s="1" t="s">
        <v>2072</v>
      </c>
      <c r="T1168" s="1" t="s">
        <v>3165</v>
      </c>
      <c r="U1168" s="4">
        <v>1200000</v>
      </c>
      <c r="V1168" s="4">
        <v>758</v>
      </c>
      <c r="W1168" s="4">
        <v>7</v>
      </c>
      <c r="X1168" s="4">
        <v>98</v>
      </c>
      <c r="Y1168" s="4">
        <v>0</v>
      </c>
      <c r="Z1168" s="5">
        <v>863</v>
      </c>
      <c r="AA1168" s="5">
        <v>0</v>
      </c>
      <c r="AB1168" s="6">
        <v>0</v>
      </c>
      <c r="AC1168" s="4">
        <v>863</v>
      </c>
      <c r="AD1168" s="4">
        <v>0</v>
      </c>
      <c r="AE1168" s="4">
        <v>863</v>
      </c>
      <c r="AF1168" s="1"/>
      <c r="AG1168" s="1"/>
      <c r="AH1168" s="1"/>
      <c r="AI1168" s="1" t="s">
        <v>3057</v>
      </c>
      <c r="AJ1168" s="6">
        <v>551.4</v>
      </c>
      <c r="AK1168" s="6">
        <v>525.54</v>
      </c>
      <c r="AL1168" s="1"/>
    </row>
    <row r="1169" spans="1:38" hidden="1" x14ac:dyDescent="0.25">
      <c r="A1169" s="2">
        <v>1523</v>
      </c>
      <c r="B1169" s="1" t="s">
        <v>1379</v>
      </c>
      <c r="C1169" s="1" t="s">
        <v>1382</v>
      </c>
      <c r="D1169" s="1" t="s">
        <v>2062</v>
      </c>
      <c r="E1169" s="1" t="s">
        <v>2063</v>
      </c>
      <c r="F1169" s="3">
        <v>45431</v>
      </c>
      <c r="G1169" s="3">
        <v>45309</v>
      </c>
      <c r="H1169" s="3">
        <v>45674</v>
      </c>
      <c r="I1169" s="1" t="s">
        <v>3517</v>
      </c>
      <c r="J1169" s="1" t="s">
        <v>3518</v>
      </c>
      <c r="K1169" s="1"/>
      <c r="L1169" s="1" t="s">
        <v>3519</v>
      </c>
      <c r="M1169" s="1" t="s">
        <v>3520</v>
      </c>
      <c r="N1169" s="1" t="s">
        <v>3521</v>
      </c>
      <c r="O1169" s="1" t="s">
        <v>3522</v>
      </c>
      <c r="P1169" s="1" t="s">
        <v>2081</v>
      </c>
      <c r="Q1169" s="1"/>
      <c r="R1169" s="1"/>
      <c r="S1169" s="1" t="s">
        <v>2072</v>
      </c>
      <c r="T1169" s="1" t="s">
        <v>3165</v>
      </c>
      <c r="U1169" s="4">
        <v>1200000</v>
      </c>
      <c r="V1169" s="4">
        <v>707</v>
      </c>
      <c r="W1169" s="4">
        <v>7</v>
      </c>
      <c r="X1169" s="4">
        <v>92</v>
      </c>
      <c r="Y1169" s="4">
        <v>0</v>
      </c>
      <c r="Z1169" s="5">
        <v>806</v>
      </c>
      <c r="AA1169" s="5">
        <v>0</v>
      </c>
      <c r="AB1169" s="6">
        <v>0</v>
      </c>
      <c r="AC1169" s="4">
        <v>806</v>
      </c>
      <c r="AD1169" s="4">
        <v>0</v>
      </c>
      <c r="AE1169" s="4">
        <v>806</v>
      </c>
      <c r="AF1169" s="1"/>
      <c r="AG1169" s="1"/>
      <c r="AH1169" s="1"/>
      <c r="AI1169" s="1" t="s">
        <v>3057</v>
      </c>
      <c r="AJ1169" s="6">
        <v>546.80000000000007</v>
      </c>
      <c r="AK1169" s="6">
        <v>489.85000000000008</v>
      </c>
      <c r="AL1169" s="1"/>
    </row>
    <row r="1170" spans="1:38" hidden="1" x14ac:dyDescent="0.25">
      <c r="A1170" s="2">
        <v>1524</v>
      </c>
      <c r="B1170" s="1" t="s">
        <v>1379</v>
      </c>
      <c r="C1170" s="1" t="s">
        <v>1383</v>
      </c>
      <c r="D1170" s="1" t="s">
        <v>2062</v>
      </c>
      <c r="E1170" s="1" t="s">
        <v>2063</v>
      </c>
      <c r="F1170" s="3">
        <v>45463</v>
      </c>
      <c r="G1170" s="3">
        <v>45309</v>
      </c>
      <c r="H1170" s="3">
        <v>45674</v>
      </c>
      <c r="I1170" s="1" t="s">
        <v>3517</v>
      </c>
      <c r="J1170" s="1" t="s">
        <v>3518</v>
      </c>
      <c r="K1170" s="1"/>
      <c r="L1170" s="1" t="s">
        <v>3519</v>
      </c>
      <c r="M1170" s="1" t="s">
        <v>3520</v>
      </c>
      <c r="N1170" s="1" t="s">
        <v>3521</v>
      </c>
      <c r="O1170" s="1" t="s">
        <v>3522</v>
      </c>
      <c r="P1170" s="1" t="s">
        <v>2081</v>
      </c>
      <c r="Q1170" s="1"/>
      <c r="R1170" s="1"/>
      <c r="S1170" s="1" t="s">
        <v>2072</v>
      </c>
      <c r="T1170" s="1" t="s">
        <v>3165</v>
      </c>
      <c r="U1170" s="4">
        <v>1200000</v>
      </c>
      <c r="V1170" s="4">
        <v>546</v>
      </c>
      <c r="W1170" s="4">
        <v>6</v>
      </c>
      <c r="X1170" s="4">
        <v>71</v>
      </c>
      <c r="Y1170" s="4">
        <v>0</v>
      </c>
      <c r="Z1170" s="5">
        <v>623</v>
      </c>
      <c r="AA1170" s="5">
        <v>0</v>
      </c>
      <c r="AB1170" s="6">
        <v>0</v>
      </c>
      <c r="AC1170" s="4">
        <v>623</v>
      </c>
      <c r="AD1170" s="4">
        <v>0</v>
      </c>
      <c r="AE1170" s="4">
        <v>623</v>
      </c>
      <c r="AF1170" s="1"/>
      <c r="AG1170" s="1"/>
      <c r="AH1170" s="1"/>
      <c r="AI1170" s="1" t="s">
        <v>3057</v>
      </c>
      <c r="AJ1170" s="6">
        <v>391.49</v>
      </c>
      <c r="AK1170" s="6">
        <v>378.62</v>
      </c>
      <c r="AL1170" s="1"/>
    </row>
    <row r="1171" spans="1:38" hidden="1" x14ac:dyDescent="0.25">
      <c r="A1171" s="2">
        <v>1525</v>
      </c>
      <c r="B1171" s="1" t="s">
        <v>1379</v>
      </c>
      <c r="C1171" s="1" t="s">
        <v>1384</v>
      </c>
      <c r="D1171" s="1" t="s">
        <v>2062</v>
      </c>
      <c r="E1171" s="1" t="s">
        <v>2063</v>
      </c>
      <c r="F1171" s="3">
        <v>45497</v>
      </c>
      <c r="G1171" s="3">
        <v>45309</v>
      </c>
      <c r="H1171" s="3">
        <v>45674</v>
      </c>
      <c r="I1171" s="1" t="s">
        <v>3517</v>
      </c>
      <c r="J1171" s="1" t="s">
        <v>3518</v>
      </c>
      <c r="K1171" s="1"/>
      <c r="L1171" s="1" t="s">
        <v>3519</v>
      </c>
      <c r="M1171" s="1" t="s">
        <v>3520</v>
      </c>
      <c r="N1171" s="1" t="s">
        <v>3521</v>
      </c>
      <c r="O1171" s="1" t="s">
        <v>3522</v>
      </c>
      <c r="P1171" s="1" t="s">
        <v>2081</v>
      </c>
      <c r="Q1171" s="1"/>
      <c r="R1171" s="1"/>
      <c r="S1171" s="1" t="s">
        <v>2072</v>
      </c>
      <c r="T1171" s="1" t="s">
        <v>3165</v>
      </c>
      <c r="U1171" s="4">
        <v>1200000</v>
      </c>
      <c r="V1171" s="4">
        <v>783</v>
      </c>
      <c r="W1171" s="4">
        <v>8</v>
      </c>
      <c r="X1171" s="4">
        <v>118</v>
      </c>
      <c r="Y1171" s="4">
        <v>0</v>
      </c>
      <c r="Z1171" s="5">
        <v>909</v>
      </c>
      <c r="AA1171" s="5">
        <v>0</v>
      </c>
      <c r="AB1171" s="6">
        <v>0</v>
      </c>
      <c r="AC1171" s="4">
        <v>909</v>
      </c>
      <c r="AD1171" s="4">
        <v>0</v>
      </c>
      <c r="AE1171" s="4">
        <v>909</v>
      </c>
      <c r="AF1171" s="1"/>
      <c r="AG1171" s="1"/>
      <c r="AH1171" s="1"/>
      <c r="AI1171" s="1" t="s">
        <v>3057</v>
      </c>
      <c r="AJ1171" s="6">
        <v>592.43000000000006</v>
      </c>
      <c r="AK1171" s="6">
        <v>553.54000000000008</v>
      </c>
      <c r="AL1171" s="1"/>
    </row>
    <row r="1172" spans="1:38" hidden="1" x14ac:dyDescent="0.25">
      <c r="A1172" s="2">
        <v>1526</v>
      </c>
      <c r="B1172" s="1" t="s">
        <v>1379</v>
      </c>
      <c r="C1172" s="1" t="s">
        <v>1385</v>
      </c>
      <c r="D1172" s="1" t="s">
        <v>2062</v>
      </c>
      <c r="E1172" s="1" t="s">
        <v>2063</v>
      </c>
      <c r="F1172" s="3">
        <v>45525</v>
      </c>
      <c r="G1172" s="3">
        <v>45309</v>
      </c>
      <c r="H1172" s="3">
        <v>45674</v>
      </c>
      <c r="I1172" s="1" t="s">
        <v>3517</v>
      </c>
      <c r="J1172" s="1" t="s">
        <v>3518</v>
      </c>
      <c r="K1172" s="1"/>
      <c r="L1172" s="1" t="s">
        <v>3519</v>
      </c>
      <c r="M1172" s="1" t="s">
        <v>3520</v>
      </c>
      <c r="N1172" s="1" t="s">
        <v>3521</v>
      </c>
      <c r="O1172" s="1" t="s">
        <v>3522</v>
      </c>
      <c r="P1172" s="1" t="s">
        <v>2081</v>
      </c>
      <c r="Q1172" s="1"/>
      <c r="R1172" s="1"/>
      <c r="S1172" s="1" t="s">
        <v>2072</v>
      </c>
      <c r="T1172" s="1" t="s">
        <v>3165</v>
      </c>
      <c r="U1172" s="4">
        <v>1200000</v>
      </c>
      <c r="V1172" s="4">
        <v>1026</v>
      </c>
      <c r="W1172" s="4">
        <v>10</v>
      </c>
      <c r="X1172" s="4">
        <v>154</v>
      </c>
      <c r="Y1172" s="4">
        <v>0</v>
      </c>
      <c r="Z1172" s="5">
        <v>1190</v>
      </c>
      <c r="AA1172" s="5">
        <v>0</v>
      </c>
      <c r="AB1172" s="6">
        <v>0</v>
      </c>
      <c r="AC1172" s="4">
        <v>1190</v>
      </c>
      <c r="AD1172" s="4">
        <v>0</v>
      </c>
      <c r="AE1172" s="4">
        <v>1190</v>
      </c>
      <c r="AF1172" s="1"/>
      <c r="AG1172" s="1"/>
      <c r="AH1172" s="1"/>
      <c r="AI1172" s="1" t="s">
        <v>3057</v>
      </c>
      <c r="AJ1172" s="6">
        <v>925.08000000000106</v>
      </c>
      <c r="AK1172" s="6">
        <v>723.69</v>
      </c>
      <c r="AL1172" s="1"/>
    </row>
    <row r="1173" spans="1:38" hidden="1" x14ac:dyDescent="0.25">
      <c r="A1173" s="2">
        <v>1527</v>
      </c>
      <c r="B1173" s="1" t="s">
        <v>1379</v>
      </c>
      <c r="C1173" s="1" t="s">
        <v>1386</v>
      </c>
      <c r="D1173" s="1" t="s">
        <v>2062</v>
      </c>
      <c r="E1173" s="1" t="s">
        <v>2063</v>
      </c>
      <c r="F1173" s="3">
        <v>45561</v>
      </c>
      <c r="G1173" s="3">
        <v>45309</v>
      </c>
      <c r="H1173" s="3">
        <v>45674</v>
      </c>
      <c r="I1173" s="1" t="s">
        <v>3517</v>
      </c>
      <c r="J1173" s="1" t="s">
        <v>3518</v>
      </c>
      <c r="K1173" s="1"/>
      <c r="L1173" s="1" t="s">
        <v>3519</v>
      </c>
      <c r="M1173" s="1" t="s">
        <v>3520</v>
      </c>
      <c r="N1173" s="1" t="s">
        <v>3521</v>
      </c>
      <c r="O1173" s="1" t="s">
        <v>3522</v>
      </c>
      <c r="P1173" s="1" t="s">
        <v>2081</v>
      </c>
      <c r="Q1173" s="1"/>
      <c r="R1173" s="1"/>
      <c r="S1173" s="1" t="s">
        <v>2072</v>
      </c>
      <c r="T1173" s="1" t="s">
        <v>3165</v>
      </c>
      <c r="U1173" s="4">
        <v>1200000</v>
      </c>
      <c r="V1173" s="4">
        <v>1007</v>
      </c>
      <c r="W1173" s="4">
        <v>10</v>
      </c>
      <c r="X1173" s="4">
        <v>151</v>
      </c>
      <c r="Y1173" s="4">
        <v>0</v>
      </c>
      <c r="Z1173" s="5">
        <v>1168</v>
      </c>
      <c r="AA1173" s="5">
        <v>0</v>
      </c>
      <c r="AB1173" s="6">
        <v>0</v>
      </c>
      <c r="AC1173" s="4">
        <v>1168</v>
      </c>
      <c r="AD1173" s="4">
        <v>0</v>
      </c>
      <c r="AE1173" s="4">
        <v>1168</v>
      </c>
      <c r="AF1173" s="1"/>
      <c r="AG1173" s="1"/>
      <c r="AH1173" s="1"/>
      <c r="AI1173" s="1" t="s">
        <v>3057</v>
      </c>
      <c r="AJ1173" s="6">
        <v>998.82000000000107</v>
      </c>
      <c r="AK1173" s="6">
        <v>709.8</v>
      </c>
      <c r="AL1173" s="1"/>
    </row>
    <row r="1174" spans="1:38" hidden="1" x14ac:dyDescent="0.25">
      <c r="A1174" s="2">
        <v>1528</v>
      </c>
      <c r="B1174" s="1" t="s">
        <v>1379</v>
      </c>
      <c r="C1174" s="1" t="s">
        <v>1387</v>
      </c>
      <c r="D1174" s="1" t="s">
        <v>2062</v>
      </c>
      <c r="E1174" s="1" t="s">
        <v>2063</v>
      </c>
      <c r="F1174" s="3">
        <v>45586</v>
      </c>
      <c r="G1174" s="3">
        <v>45309</v>
      </c>
      <c r="H1174" s="3">
        <v>45674</v>
      </c>
      <c r="I1174" s="1" t="s">
        <v>3517</v>
      </c>
      <c r="J1174" s="1" t="s">
        <v>3518</v>
      </c>
      <c r="K1174" s="1"/>
      <c r="L1174" s="1" t="s">
        <v>3519</v>
      </c>
      <c r="M1174" s="1" t="s">
        <v>3520</v>
      </c>
      <c r="N1174" s="1" t="s">
        <v>3521</v>
      </c>
      <c r="O1174" s="1" t="s">
        <v>3522</v>
      </c>
      <c r="P1174" s="1" t="s">
        <v>2081</v>
      </c>
      <c r="Q1174" s="1"/>
      <c r="R1174" s="1"/>
      <c r="S1174" s="1" t="s">
        <v>2072</v>
      </c>
      <c r="T1174" s="1" t="s">
        <v>3165</v>
      </c>
      <c r="U1174" s="4">
        <v>1200000</v>
      </c>
      <c r="V1174" s="4">
        <v>845</v>
      </c>
      <c r="W1174" s="4">
        <v>8</v>
      </c>
      <c r="X1174" s="4">
        <v>127</v>
      </c>
      <c r="Y1174" s="4">
        <v>0</v>
      </c>
      <c r="Z1174" s="5">
        <v>980</v>
      </c>
      <c r="AA1174" s="5">
        <v>0</v>
      </c>
      <c r="AB1174" s="6">
        <v>0</v>
      </c>
      <c r="AC1174" s="4">
        <v>980</v>
      </c>
      <c r="AD1174" s="4">
        <v>0</v>
      </c>
      <c r="AE1174" s="4">
        <v>980</v>
      </c>
      <c r="AF1174" s="1"/>
      <c r="AG1174" s="1"/>
      <c r="AH1174" s="1"/>
      <c r="AI1174" s="1" t="s">
        <v>3057</v>
      </c>
      <c r="AJ1174" s="6">
        <v>968.73</v>
      </c>
      <c r="AK1174" s="6">
        <v>595.66999999999996</v>
      </c>
      <c r="AL1174" s="1"/>
    </row>
    <row r="1175" spans="1:38" hidden="1" x14ac:dyDescent="0.25">
      <c r="A1175" s="2">
        <v>1529</v>
      </c>
      <c r="B1175" s="1" t="s">
        <v>1379</v>
      </c>
      <c r="C1175" s="1" t="s">
        <v>1388</v>
      </c>
      <c r="D1175" s="1" t="s">
        <v>2062</v>
      </c>
      <c r="E1175" s="1" t="s">
        <v>2063</v>
      </c>
      <c r="F1175" s="3">
        <v>45615</v>
      </c>
      <c r="G1175" s="3">
        <v>45309</v>
      </c>
      <c r="H1175" s="3">
        <v>45674</v>
      </c>
      <c r="I1175" s="1" t="s">
        <v>3517</v>
      </c>
      <c r="J1175" s="1" t="s">
        <v>3518</v>
      </c>
      <c r="K1175" s="1"/>
      <c r="L1175" s="1" t="s">
        <v>3519</v>
      </c>
      <c r="M1175" s="1" t="s">
        <v>3520</v>
      </c>
      <c r="N1175" s="1" t="s">
        <v>3521</v>
      </c>
      <c r="O1175" s="1" t="s">
        <v>3522</v>
      </c>
      <c r="P1175" s="1" t="s">
        <v>2081</v>
      </c>
      <c r="Q1175" s="1"/>
      <c r="R1175" s="1"/>
      <c r="S1175" s="1" t="s">
        <v>2072</v>
      </c>
      <c r="T1175" s="1" t="s">
        <v>3165</v>
      </c>
      <c r="U1175" s="4">
        <v>1200000</v>
      </c>
      <c r="V1175" s="4">
        <v>469</v>
      </c>
      <c r="W1175" s="4">
        <v>5</v>
      </c>
      <c r="X1175" s="4">
        <v>70</v>
      </c>
      <c r="Y1175" s="4">
        <v>0</v>
      </c>
      <c r="Z1175" s="5">
        <v>544</v>
      </c>
      <c r="AA1175" s="5">
        <v>0</v>
      </c>
      <c r="AB1175" s="6">
        <v>0</v>
      </c>
      <c r="AC1175" s="4">
        <v>544</v>
      </c>
      <c r="AD1175" s="4">
        <v>0</v>
      </c>
      <c r="AE1175" s="4">
        <v>544</v>
      </c>
      <c r="AF1175" s="1"/>
      <c r="AG1175" s="1"/>
      <c r="AH1175" s="1"/>
      <c r="AI1175" s="1" t="s">
        <v>3057</v>
      </c>
      <c r="AJ1175" s="6">
        <v>529.70000000000005</v>
      </c>
      <c r="AK1175" s="6">
        <v>331.1</v>
      </c>
      <c r="AL1175" s="1"/>
    </row>
    <row r="1176" spans="1:38" hidden="1" x14ac:dyDescent="0.25">
      <c r="A1176" s="2">
        <v>1530</v>
      </c>
      <c r="B1176" s="1" t="s">
        <v>1379</v>
      </c>
      <c r="C1176" s="1" t="s">
        <v>1389</v>
      </c>
      <c r="D1176" s="1" t="s">
        <v>2062</v>
      </c>
      <c r="E1176" s="1" t="s">
        <v>2063</v>
      </c>
      <c r="F1176" s="3">
        <v>45645</v>
      </c>
      <c r="G1176" s="3">
        <v>45309</v>
      </c>
      <c r="H1176" s="3">
        <v>45674</v>
      </c>
      <c r="I1176" s="1" t="s">
        <v>3517</v>
      </c>
      <c r="J1176" s="1" t="s">
        <v>3518</v>
      </c>
      <c r="K1176" s="1"/>
      <c r="L1176" s="1" t="s">
        <v>3519</v>
      </c>
      <c r="M1176" s="1" t="s">
        <v>3520</v>
      </c>
      <c r="N1176" s="1" t="s">
        <v>3521</v>
      </c>
      <c r="O1176" s="1" t="s">
        <v>3522</v>
      </c>
      <c r="P1176" s="1" t="s">
        <v>2081</v>
      </c>
      <c r="Q1176" s="1"/>
      <c r="R1176" s="1"/>
      <c r="S1176" s="1" t="s">
        <v>2072</v>
      </c>
      <c r="T1176" s="1" t="s">
        <v>3165</v>
      </c>
      <c r="U1176" s="4">
        <v>1200000</v>
      </c>
      <c r="V1176" s="4">
        <v>485</v>
      </c>
      <c r="W1176" s="4">
        <v>5</v>
      </c>
      <c r="X1176" s="4">
        <v>73</v>
      </c>
      <c r="Y1176" s="4">
        <v>0</v>
      </c>
      <c r="Z1176" s="5">
        <v>563</v>
      </c>
      <c r="AA1176" s="5">
        <v>0</v>
      </c>
      <c r="AB1176" s="6">
        <v>0</v>
      </c>
      <c r="AC1176" s="4">
        <v>563</v>
      </c>
      <c r="AD1176" s="4">
        <v>0</v>
      </c>
      <c r="AE1176" s="4">
        <v>563</v>
      </c>
      <c r="AF1176" s="1"/>
      <c r="AG1176" s="1"/>
      <c r="AH1176" s="1"/>
      <c r="AI1176" s="1" t="s">
        <v>3057</v>
      </c>
      <c r="AJ1176" s="6">
        <v>835.95</v>
      </c>
      <c r="AK1176" s="6">
        <v>341.99</v>
      </c>
      <c r="AL1176" s="1"/>
    </row>
    <row r="1177" spans="1:38" hidden="1" x14ac:dyDescent="0.25">
      <c r="A1177" s="2">
        <v>1531</v>
      </c>
      <c r="B1177" s="1" t="s">
        <v>1379</v>
      </c>
      <c r="C1177" s="1" t="s">
        <v>1390</v>
      </c>
      <c r="D1177" s="1" t="s">
        <v>2062</v>
      </c>
      <c r="E1177" s="1" t="s">
        <v>2063</v>
      </c>
      <c r="F1177" s="3">
        <v>45655</v>
      </c>
      <c r="G1177" s="3">
        <v>45309</v>
      </c>
      <c r="H1177" s="3">
        <v>45674</v>
      </c>
      <c r="I1177" s="1" t="s">
        <v>3517</v>
      </c>
      <c r="J1177" s="1" t="s">
        <v>3518</v>
      </c>
      <c r="K1177" s="1"/>
      <c r="L1177" s="1" t="s">
        <v>3519</v>
      </c>
      <c r="M1177" s="1" t="s">
        <v>3520</v>
      </c>
      <c r="N1177" s="1" t="s">
        <v>3521</v>
      </c>
      <c r="O1177" s="1" t="s">
        <v>3522</v>
      </c>
      <c r="P1177" s="1" t="s">
        <v>2081</v>
      </c>
      <c r="Q1177" s="1"/>
      <c r="R1177" s="1"/>
      <c r="S1177" s="1" t="s">
        <v>2072</v>
      </c>
      <c r="T1177" s="1" t="s">
        <v>3165</v>
      </c>
      <c r="U1177" s="4">
        <v>-1</v>
      </c>
      <c r="V1177" s="4">
        <v>-8838</v>
      </c>
      <c r="W1177" s="4">
        <v>-88</v>
      </c>
      <c r="X1177" s="4">
        <v>0</v>
      </c>
      <c r="Y1177" s="4">
        <v>0</v>
      </c>
      <c r="Z1177" s="5">
        <v>-8926</v>
      </c>
      <c r="AA1177" s="5">
        <v>0</v>
      </c>
      <c r="AB1177" s="6">
        <v>0</v>
      </c>
      <c r="AC1177" s="4">
        <v>-8926</v>
      </c>
      <c r="AD1177" s="4">
        <v>0</v>
      </c>
      <c r="AE1177" s="4">
        <v>-8926</v>
      </c>
      <c r="AF1177" s="1"/>
      <c r="AG1177" s="1"/>
      <c r="AH1177" s="1"/>
      <c r="AI1177" s="1" t="s">
        <v>3057</v>
      </c>
      <c r="AJ1177" s="1"/>
      <c r="AK1177" s="1"/>
      <c r="AL1177" s="1"/>
    </row>
    <row r="1178" spans="1:38" hidden="1" x14ac:dyDescent="0.25">
      <c r="A1178" s="2">
        <v>1533</v>
      </c>
      <c r="B1178" s="1" t="s">
        <v>1391</v>
      </c>
      <c r="C1178" s="1" t="s">
        <v>1392</v>
      </c>
      <c r="D1178" s="1" t="s">
        <v>2062</v>
      </c>
      <c r="E1178" s="1" t="s">
        <v>2063</v>
      </c>
      <c r="F1178" s="3">
        <v>45404</v>
      </c>
      <c r="G1178" s="3">
        <v>45313</v>
      </c>
      <c r="H1178" s="3">
        <v>45678</v>
      </c>
      <c r="I1178" s="1" t="s">
        <v>3523</v>
      </c>
      <c r="J1178" s="1" t="s">
        <v>3524</v>
      </c>
      <c r="K1178" s="1"/>
      <c r="L1178" s="1" t="s">
        <v>3525</v>
      </c>
      <c r="M1178" s="1" t="s">
        <v>3526</v>
      </c>
      <c r="N1178" s="1" t="s">
        <v>3527</v>
      </c>
      <c r="O1178" s="1" t="s">
        <v>3528</v>
      </c>
      <c r="P1178" s="1" t="s">
        <v>2217</v>
      </c>
      <c r="Q1178" s="1"/>
      <c r="R1178" s="1"/>
      <c r="S1178" s="1" t="s">
        <v>2072</v>
      </c>
      <c r="T1178" s="1" t="s">
        <v>3165</v>
      </c>
      <c r="U1178" s="4">
        <v>1800000</v>
      </c>
      <c r="V1178" s="4">
        <v>2043</v>
      </c>
      <c r="W1178" s="4">
        <v>20</v>
      </c>
      <c r="X1178" s="4">
        <v>266</v>
      </c>
      <c r="Y1178" s="4">
        <v>0</v>
      </c>
      <c r="Z1178" s="5">
        <v>2329</v>
      </c>
      <c r="AA1178" s="5">
        <v>0</v>
      </c>
      <c r="AB1178" s="6">
        <v>0</v>
      </c>
      <c r="AC1178" s="4">
        <v>2329</v>
      </c>
      <c r="AD1178" s="4">
        <v>0</v>
      </c>
      <c r="AE1178" s="4">
        <v>2329</v>
      </c>
      <c r="AF1178" s="1"/>
      <c r="AG1178" s="1"/>
      <c r="AH1178" s="1"/>
      <c r="AI1178" s="1" t="s">
        <v>2841</v>
      </c>
      <c r="AJ1178" s="6">
        <v>2003.12</v>
      </c>
      <c r="AK1178" s="6">
        <v>944.01</v>
      </c>
      <c r="AL1178" s="1"/>
    </row>
    <row r="1179" spans="1:38" hidden="1" x14ac:dyDescent="0.25">
      <c r="A1179" s="2">
        <v>1534</v>
      </c>
      <c r="B1179" s="1" t="s">
        <v>1391</v>
      </c>
      <c r="C1179" s="1" t="s">
        <v>1393</v>
      </c>
      <c r="D1179" s="1" t="s">
        <v>2062</v>
      </c>
      <c r="E1179" s="1" t="s">
        <v>2063</v>
      </c>
      <c r="F1179" s="3">
        <v>45434</v>
      </c>
      <c r="G1179" s="3">
        <v>45313</v>
      </c>
      <c r="H1179" s="3">
        <v>45678</v>
      </c>
      <c r="I1179" s="1" t="s">
        <v>3523</v>
      </c>
      <c r="J1179" s="1" t="s">
        <v>3524</v>
      </c>
      <c r="K1179" s="1"/>
      <c r="L1179" s="1" t="s">
        <v>3525</v>
      </c>
      <c r="M1179" s="1" t="s">
        <v>3526</v>
      </c>
      <c r="N1179" s="1" t="s">
        <v>3527</v>
      </c>
      <c r="O1179" s="1" t="s">
        <v>3528</v>
      </c>
      <c r="P1179" s="1" t="s">
        <v>2217</v>
      </c>
      <c r="Q1179" s="1"/>
      <c r="R1179" s="1"/>
      <c r="S1179" s="1" t="s">
        <v>2072</v>
      </c>
      <c r="T1179" s="1" t="s">
        <v>3165</v>
      </c>
      <c r="U1179" s="4">
        <v>1800000</v>
      </c>
      <c r="V1179" s="4">
        <v>812</v>
      </c>
      <c r="W1179" s="4">
        <v>8</v>
      </c>
      <c r="X1179" s="4">
        <v>106</v>
      </c>
      <c r="Y1179" s="4">
        <v>0</v>
      </c>
      <c r="Z1179" s="5">
        <v>926</v>
      </c>
      <c r="AA1179" s="5">
        <v>0</v>
      </c>
      <c r="AB1179" s="6">
        <v>0</v>
      </c>
      <c r="AC1179" s="4">
        <v>926</v>
      </c>
      <c r="AD1179" s="4">
        <v>0</v>
      </c>
      <c r="AE1179" s="4">
        <v>926</v>
      </c>
      <c r="AF1179" s="1"/>
      <c r="AG1179" s="1"/>
      <c r="AH1179" s="1"/>
      <c r="AI1179" s="1" t="s">
        <v>2841</v>
      </c>
      <c r="AJ1179" s="6">
        <v>375.2</v>
      </c>
      <c r="AK1179" s="6">
        <v>375.2</v>
      </c>
      <c r="AL1179" s="1"/>
    </row>
    <row r="1180" spans="1:38" hidden="1" x14ac:dyDescent="0.25">
      <c r="A1180" s="2">
        <v>1535</v>
      </c>
      <c r="B1180" s="1" t="s">
        <v>1391</v>
      </c>
      <c r="C1180" s="1" t="s">
        <v>1394</v>
      </c>
      <c r="D1180" s="1" t="s">
        <v>2062</v>
      </c>
      <c r="E1180" s="1" t="s">
        <v>2063</v>
      </c>
      <c r="F1180" s="3">
        <v>45467</v>
      </c>
      <c r="G1180" s="3">
        <v>45313</v>
      </c>
      <c r="H1180" s="3">
        <v>45678</v>
      </c>
      <c r="I1180" s="1" t="s">
        <v>3523</v>
      </c>
      <c r="J1180" s="1" t="s">
        <v>3524</v>
      </c>
      <c r="K1180" s="1"/>
      <c r="L1180" s="1" t="s">
        <v>3525</v>
      </c>
      <c r="M1180" s="1" t="s">
        <v>3526</v>
      </c>
      <c r="N1180" s="1" t="s">
        <v>3527</v>
      </c>
      <c r="O1180" s="1" t="s">
        <v>3528</v>
      </c>
      <c r="P1180" s="1" t="s">
        <v>2217</v>
      </c>
      <c r="Q1180" s="1"/>
      <c r="R1180" s="1"/>
      <c r="S1180" s="1" t="s">
        <v>2072</v>
      </c>
      <c r="T1180" s="1" t="s">
        <v>3165</v>
      </c>
      <c r="U1180" s="4">
        <v>1800000</v>
      </c>
      <c r="V1180" s="4">
        <v>1185</v>
      </c>
      <c r="W1180" s="4">
        <v>12</v>
      </c>
      <c r="X1180" s="4">
        <v>153</v>
      </c>
      <c r="Y1180" s="4">
        <v>0</v>
      </c>
      <c r="Z1180" s="5">
        <v>1350</v>
      </c>
      <c r="AA1180" s="5">
        <v>0</v>
      </c>
      <c r="AB1180" s="6">
        <v>0</v>
      </c>
      <c r="AC1180" s="4">
        <v>1350</v>
      </c>
      <c r="AD1180" s="4">
        <v>0</v>
      </c>
      <c r="AE1180" s="4">
        <v>1350</v>
      </c>
      <c r="AF1180" s="1"/>
      <c r="AG1180" s="1"/>
      <c r="AH1180" s="1"/>
      <c r="AI1180" s="1" t="s">
        <v>2841</v>
      </c>
      <c r="AJ1180" s="6">
        <v>1270.5900000000031</v>
      </c>
      <c r="AK1180" s="6">
        <v>547.23</v>
      </c>
      <c r="AL1180" s="1"/>
    </row>
    <row r="1181" spans="1:38" hidden="1" x14ac:dyDescent="0.25">
      <c r="A1181" s="2">
        <v>1536</v>
      </c>
      <c r="B1181" s="1" t="s">
        <v>1391</v>
      </c>
      <c r="C1181" s="1" t="s">
        <v>1395</v>
      </c>
      <c r="D1181" s="1" t="s">
        <v>2062</v>
      </c>
      <c r="E1181" s="1" t="s">
        <v>2063</v>
      </c>
      <c r="F1181" s="3">
        <v>45498</v>
      </c>
      <c r="G1181" s="3">
        <v>45313</v>
      </c>
      <c r="H1181" s="3">
        <v>45678</v>
      </c>
      <c r="I1181" s="1" t="s">
        <v>3523</v>
      </c>
      <c r="J1181" s="1" t="s">
        <v>3524</v>
      </c>
      <c r="K1181" s="1"/>
      <c r="L1181" s="1" t="s">
        <v>3525</v>
      </c>
      <c r="M1181" s="1" t="s">
        <v>3526</v>
      </c>
      <c r="N1181" s="1" t="s">
        <v>3527</v>
      </c>
      <c r="O1181" s="1" t="s">
        <v>3528</v>
      </c>
      <c r="P1181" s="1" t="s">
        <v>2217</v>
      </c>
      <c r="Q1181" s="1"/>
      <c r="R1181" s="1"/>
      <c r="S1181" s="1" t="s">
        <v>2072</v>
      </c>
      <c r="T1181" s="1" t="s">
        <v>3165</v>
      </c>
      <c r="U1181" s="4">
        <v>1800000</v>
      </c>
      <c r="V1181" s="4">
        <v>2494</v>
      </c>
      <c r="W1181" s="4">
        <v>25</v>
      </c>
      <c r="X1181" s="4">
        <v>374</v>
      </c>
      <c r="Y1181" s="4">
        <v>0</v>
      </c>
      <c r="Z1181" s="5">
        <v>2893</v>
      </c>
      <c r="AA1181" s="5">
        <v>0</v>
      </c>
      <c r="AB1181" s="6">
        <v>0</v>
      </c>
      <c r="AC1181" s="4">
        <v>2893</v>
      </c>
      <c r="AD1181" s="4">
        <v>0</v>
      </c>
      <c r="AE1181" s="4">
        <v>2893</v>
      </c>
      <c r="AF1181" s="1"/>
      <c r="AG1181" s="1"/>
      <c r="AH1181" s="1"/>
      <c r="AI1181" s="1" t="s">
        <v>2841</v>
      </c>
      <c r="AJ1181" s="6">
        <v>3099.6100000000019</v>
      </c>
      <c r="AK1181" s="6">
        <v>1172.74</v>
      </c>
      <c r="AL1181" s="1"/>
    </row>
    <row r="1182" spans="1:38" hidden="1" x14ac:dyDescent="0.25">
      <c r="A1182" s="2">
        <v>1537</v>
      </c>
      <c r="B1182" s="1" t="s">
        <v>1391</v>
      </c>
      <c r="C1182" s="1" t="s">
        <v>1396</v>
      </c>
      <c r="D1182" s="1" t="s">
        <v>2062</v>
      </c>
      <c r="E1182" s="1" t="s">
        <v>2063</v>
      </c>
      <c r="F1182" s="3">
        <v>45531</v>
      </c>
      <c r="G1182" s="3">
        <v>45313</v>
      </c>
      <c r="H1182" s="3">
        <v>45678</v>
      </c>
      <c r="I1182" s="1" t="s">
        <v>3523</v>
      </c>
      <c r="J1182" s="1" t="s">
        <v>3524</v>
      </c>
      <c r="K1182" s="1"/>
      <c r="L1182" s="1" t="s">
        <v>3525</v>
      </c>
      <c r="M1182" s="1" t="s">
        <v>3526</v>
      </c>
      <c r="N1182" s="1" t="s">
        <v>3527</v>
      </c>
      <c r="O1182" s="1" t="s">
        <v>3528</v>
      </c>
      <c r="P1182" s="1" t="s">
        <v>2217</v>
      </c>
      <c r="Q1182" s="1"/>
      <c r="R1182" s="1"/>
      <c r="S1182" s="1" t="s">
        <v>2072</v>
      </c>
      <c r="T1182" s="1" t="s">
        <v>3165</v>
      </c>
      <c r="U1182" s="4">
        <v>1800000</v>
      </c>
      <c r="V1182" s="4">
        <v>2326</v>
      </c>
      <c r="W1182" s="4">
        <v>23</v>
      </c>
      <c r="X1182" s="4">
        <v>349</v>
      </c>
      <c r="Y1182" s="4">
        <v>0</v>
      </c>
      <c r="Z1182" s="5">
        <v>2698</v>
      </c>
      <c r="AA1182" s="5">
        <v>0</v>
      </c>
      <c r="AB1182" s="6">
        <v>0</v>
      </c>
      <c r="AC1182" s="4">
        <v>2698</v>
      </c>
      <c r="AD1182" s="4">
        <v>0</v>
      </c>
      <c r="AE1182" s="4">
        <v>2698</v>
      </c>
      <c r="AF1182" s="1"/>
      <c r="AG1182" s="1"/>
      <c r="AH1182" s="1"/>
      <c r="AI1182" s="1" t="s">
        <v>2841</v>
      </c>
      <c r="AJ1182" s="6">
        <v>2570.0600000000009</v>
      </c>
      <c r="AK1182" s="6">
        <v>1093.7099999999991</v>
      </c>
      <c r="AL1182" s="1"/>
    </row>
    <row r="1183" spans="1:38" hidden="1" x14ac:dyDescent="0.25">
      <c r="A1183" s="2">
        <v>1538</v>
      </c>
      <c r="B1183" s="1" t="s">
        <v>1391</v>
      </c>
      <c r="C1183" s="1" t="s">
        <v>1397</v>
      </c>
      <c r="D1183" s="1" t="s">
        <v>2062</v>
      </c>
      <c r="E1183" s="1" t="s">
        <v>2063</v>
      </c>
      <c r="F1183" s="3">
        <v>45561</v>
      </c>
      <c r="G1183" s="3">
        <v>45313</v>
      </c>
      <c r="H1183" s="3">
        <v>45678</v>
      </c>
      <c r="I1183" s="1" t="s">
        <v>3523</v>
      </c>
      <c r="J1183" s="1" t="s">
        <v>3524</v>
      </c>
      <c r="K1183" s="1"/>
      <c r="L1183" s="1" t="s">
        <v>3525</v>
      </c>
      <c r="M1183" s="1" t="s">
        <v>3526</v>
      </c>
      <c r="N1183" s="1" t="s">
        <v>3527</v>
      </c>
      <c r="O1183" s="1" t="s">
        <v>3528</v>
      </c>
      <c r="P1183" s="1" t="s">
        <v>2217</v>
      </c>
      <c r="Q1183" s="1"/>
      <c r="R1183" s="1"/>
      <c r="S1183" s="1" t="s">
        <v>2072</v>
      </c>
      <c r="T1183" s="1" t="s">
        <v>3165</v>
      </c>
      <c r="U1183" s="4">
        <v>1800000</v>
      </c>
      <c r="V1183" s="4">
        <v>2493</v>
      </c>
      <c r="W1183" s="4">
        <v>25</v>
      </c>
      <c r="X1183" s="4">
        <v>374</v>
      </c>
      <c r="Y1183" s="4">
        <v>0</v>
      </c>
      <c r="Z1183" s="5">
        <v>2892</v>
      </c>
      <c r="AA1183" s="5">
        <v>0</v>
      </c>
      <c r="AB1183" s="6">
        <v>0</v>
      </c>
      <c r="AC1183" s="4">
        <v>2892</v>
      </c>
      <c r="AD1183" s="4">
        <v>0</v>
      </c>
      <c r="AE1183" s="4">
        <v>2892</v>
      </c>
      <c r="AF1183" s="1"/>
      <c r="AG1183" s="1"/>
      <c r="AH1183" s="1"/>
      <c r="AI1183" s="1" t="s">
        <v>2841</v>
      </c>
      <c r="AJ1183" s="6">
        <v>3277.3500000000045</v>
      </c>
      <c r="AK1183" s="6">
        <v>1172.3900000000001</v>
      </c>
      <c r="AL1183" s="1"/>
    </row>
    <row r="1184" spans="1:38" hidden="1" x14ac:dyDescent="0.25">
      <c r="A1184" s="2">
        <v>1539</v>
      </c>
      <c r="B1184" s="1" t="s">
        <v>1391</v>
      </c>
      <c r="C1184" s="1" t="s">
        <v>1398</v>
      </c>
      <c r="D1184" s="1" t="s">
        <v>2062</v>
      </c>
      <c r="E1184" s="1" t="s">
        <v>2063</v>
      </c>
      <c r="F1184" s="3">
        <v>45588</v>
      </c>
      <c r="G1184" s="3">
        <v>45313</v>
      </c>
      <c r="H1184" s="3">
        <v>45678</v>
      </c>
      <c r="I1184" s="1" t="s">
        <v>3523</v>
      </c>
      <c r="J1184" s="1" t="s">
        <v>3524</v>
      </c>
      <c r="K1184" s="1"/>
      <c r="L1184" s="1" t="s">
        <v>3525</v>
      </c>
      <c r="M1184" s="1" t="s">
        <v>3526</v>
      </c>
      <c r="N1184" s="1" t="s">
        <v>3527</v>
      </c>
      <c r="O1184" s="1" t="s">
        <v>3528</v>
      </c>
      <c r="P1184" s="1" t="s">
        <v>2217</v>
      </c>
      <c r="Q1184" s="1"/>
      <c r="R1184" s="1"/>
      <c r="S1184" s="1" t="s">
        <v>2072</v>
      </c>
      <c r="T1184" s="1" t="s">
        <v>3165</v>
      </c>
      <c r="U1184" s="4">
        <v>1800000</v>
      </c>
      <c r="V1184" s="4">
        <v>2020</v>
      </c>
      <c r="W1184" s="4">
        <v>20</v>
      </c>
      <c r="X1184" s="4">
        <v>303</v>
      </c>
      <c r="Y1184" s="4">
        <v>0</v>
      </c>
      <c r="Z1184" s="5">
        <v>2343</v>
      </c>
      <c r="AA1184" s="5">
        <v>0</v>
      </c>
      <c r="AB1184" s="6">
        <v>0</v>
      </c>
      <c r="AC1184" s="4">
        <v>2343</v>
      </c>
      <c r="AD1184" s="4">
        <v>0</v>
      </c>
      <c r="AE1184" s="4">
        <v>2343</v>
      </c>
      <c r="AF1184" s="1"/>
      <c r="AG1184" s="1"/>
      <c r="AH1184" s="1"/>
      <c r="AI1184" s="1" t="s">
        <v>2841</v>
      </c>
      <c r="AJ1184" s="6">
        <v>2208.4900000000011</v>
      </c>
      <c r="AK1184" s="6">
        <v>950.62</v>
      </c>
      <c r="AL1184" s="1"/>
    </row>
    <row r="1185" spans="1:38" hidden="1" x14ac:dyDescent="0.25">
      <c r="A1185" s="2">
        <v>1540</v>
      </c>
      <c r="B1185" s="1" t="s">
        <v>1391</v>
      </c>
      <c r="C1185" s="1" t="s">
        <v>1399</v>
      </c>
      <c r="D1185" s="1" t="s">
        <v>2062</v>
      </c>
      <c r="E1185" s="1" t="s">
        <v>2063</v>
      </c>
      <c r="F1185" s="3">
        <v>45621</v>
      </c>
      <c r="G1185" s="3">
        <v>45313</v>
      </c>
      <c r="H1185" s="3">
        <v>45678</v>
      </c>
      <c r="I1185" s="1" t="s">
        <v>3523</v>
      </c>
      <c r="J1185" s="1" t="s">
        <v>3524</v>
      </c>
      <c r="K1185" s="1"/>
      <c r="L1185" s="1" t="s">
        <v>3525</v>
      </c>
      <c r="M1185" s="1" t="s">
        <v>3526</v>
      </c>
      <c r="N1185" s="1" t="s">
        <v>3527</v>
      </c>
      <c r="O1185" s="1" t="s">
        <v>3528</v>
      </c>
      <c r="P1185" s="1" t="s">
        <v>2217</v>
      </c>
      <c r="Q1185" s="1"/>
      <c r="R1185" s="1"/>
      <c r="S1185" s="1" t="s">
        <v>2072</v>
      </c>
      <c r="T1185" s="1" t="s">
        <v>3165</v>
      </c>
      <c r="U1185" s="4">
        <v>1800000</v>
      </c>
      <c r="V1185" s="4">
        <v>1033</v>
      </c>
      <c r="W1185" s="4">
        <v>10</v>
      </c>
      <c r="X1185" s="4">
        <v>155</v>
      </c>
      <c r="Y1185" s="4">
        <v>0</v>
      </c>
      <c r="Z1185" s="5">
        <v>1198</v>
      </c>
      <c r="AA1185" s="5">
        <v>0</v>
      </c>
      <c r="AB1185" s="6">
        <v>0</v>
      </c>
      <c r="AC1185" s="4">
        <v>1198</v>
      </c>
      <c r="AD1185" s="4">
        <v>0</v>
      </c>
      <c r="AE1185" s="4">
        <v>1198</v>
      </c>
      <c r="AF1185" s="1"/>
      <c r="AG1185" s="1"/>
      <c r="AH1185" s="1"/>
      <c r="AI1185" s="1" t="s">
        <v>2841</v>
      </c>
      <c r="AJ1185" s="6">
        <v>627.56000000000108</v>
      </c>
      <c r="AK1185" s="6">
        <v>485.32</v>
      </c>
      <c r="AL1185" s="1"/>
    </row>
    <row r="1186" spans="1:38" hidden="1" x14ac:dyDescent="0.25">
      <c r="A1186" s="2">
        <v>1541</v>
      </c>
      <c r="B1186" s="1" t="s">
        <v>1391</v>
      </c>
      <c r="C1186" s="1" t="s">
        <v>1400</v>
      </c>
      <c r="D1186" s="1" t="s">
        <v>2062</v>
      </c>
      <c r="E1186" s="1" t="s">
        <v>2063</v>
      </c>
      <c r="F1186" s="3">
        <v>45650</v>
      </c>
      <c r="G1186" s="3">
        <v>45313</v>
      </c>
      <c r="H1186" s="3">
        <v>45678</v>
      </c>
      <c r="I1186" s="1" t="s">
        <v>3523</v>
      </c>
      <c r="J1186" s="1" t="s">
        <v>3524</v>
      </c>
      <c r="K1186" s="1"/>
      <c r="L1186" s="1" t="s">
        <v>3525</v>
      </c>
      <c r="M1186" s="1" t="s">
        <v>3526</v>
      </c>
      <c r="N1186" s="1" t="s">
        <v>3527</v>
      </c>
      <c r="O1186" s="1" t="s">
        <v>3528</v>
      </c>
      <c r="P1186" s="1" t="s">
        <v>2217</v>
      </c>
      <c r="Q1186" s="1"/>
      <c r="R1186" s="1"/>
      <c r="S1186" s="1" t="s">
        <v>2072</v>
      </c>
      <c r="T1186" s="1" t="s">
        <v>3165</v>
      </c>
      <c r="U1186" s="4">
        <v>1800000</v>
      </c>
      <c r="V1186" s="4">
        <v>1882</v>
      </c>
      <c r="W1186" s="4">
        <v>19</v>
      </c>
      <c r="X1186" s="4">
        <v>282</v>
      </c>
      <c r="Y1186" s="4">
        <v>0</v>
      </c>
      <c r="Z1186" s="5">
        <v>2183</v>
      </c>
      <c r="AA1186" s="5">
        <v>0</v>
      </c>
      <c r="AB1186" s="6">
        <v>0</v>
      </c>
      <c r="AC1186" s="4">
        <v>2183</v>
      </c>
      <c r="AD1186" s="4">
        <v>0</v>
      </c>
      <c r="AE1186" s="4">
        <v>2183</v>
      </c>
      <c r="AF1186" s="1"/>
      <c r="AG1186" s="1"/>
      <c r="AH1186" s="1"/>
      <c r="AI1186" s="1" t="s">
        <v>2841</v>
      </c>
      <c r="AJ1186" s="6">
        <v>1880.760000000002</v>
      </c>
      <c r="AK1186" s="6">
        <v>885.3</v>
      </c>
      <c r="AL1186" s="1"/>
    </row>
    <row r="1187" spans="1:38" hidden="1" x14ac:dyDescent="0.25">
      <c r="A1187" s="2">
        <v>1542</v>
      </c>
      <c r="B1187" s="1" t="s">
        <v>1391</v>
      </c>
      <c r="C1187" s="1" t="s">
        <v>1401</v>
      </c>
      <c r="D1187" s="1" t="s">
        <v>2062</v>
      </c>
      <c r="E1187" s="1" t="s">
        <v>2063</v>
      </c>
      <c r="F1187" s="3">
        <v>45655</v>
      </c>
      <c r="G1187" s="3">
        <v>45313</v>
      </c>
      <c r="H1187" s="3">
        <v>45678</v>
      </c>
      <c r="I1187" s="1" t="s">
        <v>3523</v>
      </c>
      <c r="J1187" s="1" t="s">
        <v>3524</v>
      </c>
      <c r="K1187" s="1"/>
      <c r="L1187" s="1" t="s">
        <v>3525</v>
      </c>
      <c r="M1187" s="1" t="s">
        <v>3526</v>
      </c>
      <c r="N1187" s="1" t="s">
        <v>3527</v>
      </c>
      <c r="O1187" s="1" t="s">
        <v>3528</v>
      </c>
      <c r="P1187" s="1" t="s">
        <v>2217</v>
      </c>
      <c r="Q1187" s="1"/>
      <c r="R1187" s="1"/>
      <c r="S1187" s="1" t="s">
        <v>2072</v>
      </c>
      <c r="T1187" s="1" t="s">
        <v>3165</v>
      </c>
      <c r="U1187" s="4">
        <v>-1</v>
      </c>
      <c r="V1187" s="4">
        <v>-18626</v>
      </c>
      <c r="W1187" s="4">
        <v>-186</v>
      </c>
      <c r="X1187" s="4">
        <v>0</v>
      </c>
      <c r="Y1187" s="4">
        <v>0</v>
      </c>
      <c r="Z1187" s="5">
        <v>-18812</v>
      </c>
      <c r="AA1187" s="5">
        <v>0</v>
      </c>
      <c r="AB1187" s="6">
        <v>0</v>
      </c>
      <c r="AC1187" s="4">
        <v>-18812</v>
      </c>
      <c r="AD1187" s="4">
        <v>0</v>
      </c>
      <c r="AE1187" s="4">
        <v>-18812</v>
      </c>
      <c r="AF1187" s="1"/>
      <c r="AG1187" s="1"/>
      <c r="AH1187" s="1"/>
      <c r="AI1187" s="1" t="s">
        <v>2841</v>
      </c>
      <c r="AJ1187" s="1"/>
      <c r="AK1187" s="1"/>
      <c r="AL1187" s="1"/>
    </row>
    <row r="1188" spans="1:38" hidden="1" x14ac:dyDescent="0.25">
      <c r="A1188" s="2">
        <v>1559</v>
      </c>
      <c r="B1188" s="1" t="s">
        <v>1402</v>
      </c>
      <c r="C1188" s="1" t="s">
        <v>1403</v>
      </c>
      <c r="D1188" s="1" t="s">
        <v>2062</v>
      </c>
      <c r="E1188" s="1" t="s">
        <v>2063</v>
      </c>
      <c r="F1188" s="3">
        <v>45349</v>
      </c>
      <c r="G1188" s="3">
        <v>45316</v>
      </c>
      <c r="H1188" s="3">
        <v>45681</v>
      </c>
      <c r="I1188" s="1" t="s">
        <v>3529</v>
      </c>
      <c r="J1188" s="1" t="s">
        <v>3530</v>
      </c>
      <c r="K1188" s="1"/>
      <c r="L1188" s="1" t="s">
        <v>2198</v>
      </c>
      <c r="M1188" s="1" t="s">
        <v>3531</v>
      </c>
      <c r="N1188" s="1" t="s">
        <v>3532</v>
      </c>
      <c r="O1188" s="1" t="s">
        <v>3533</v>
      </c>
      <c r="P1188" s="1" t="s">
        <v>2262</v>
      </c>
      <c r="Q1188" s="1"/>
      <c r="R1188" s="1"/>
      <c r="S1188" s="1" t="s">
        <v>2072</v>
      </c>
      <c r="T1188" s="1" t="s">
        <v>3165</v>
      </c>
      <c r="U1188" s="4">
        <v>3000000</v>
      </c>
      <c r="V1188" s="4">
        <v>2272</v>
      </c>
      <c r="W1188" s="4">
        <v>23</v>
      </c>
      <c r="X1188" s="4">
        <v>296</v>
      </c>
      <c r="Y1188" s="4">
        <v>0</v>
      </c>
      <c r="Z1188" s="5">
        <v>2591</v>
      </c>
      <c r="AA1188" s="5">
        <v>0</v>
      </c>
      <c r="AB1188" s="6">
        <v>0</v>
      </c>
      <c r="AC1188" s="4">
        <v>2591</v>
      </c>
      <c r="AD1188" s="4">
        <v>0</v>
      </c>
      <c r="AE1188" s="4">
        <v>2591</v>
      </c>
      <c r="AF1188" s="1"/>
      <c r="AG1188" s="1"/>
      <c r="AH1188" s="1"/>
      <c r="AI1188" s="1" t="s">
        <v>2841</v>
      </c>
      <c r="AJ1188" s="6">
        <v>867.3</v>
      </c>
      <c r="AK1188" s="6">
        <v>630.35</v>
      </c>
      <c r="AL1188" s="1"/>
    </row>
    <row r="1189" spans="1:38" hidden="1" x14ac:dyDescent="0.25">
      <c r="A1189" s="2">
        <v>1560</v>
      </c>
      <c r="B1189" s="1" t="s">
        <v>1402</v>
      </c>
      <c r="C1189" s="1" t="s">
        <v>1404</v>
      </c>
      <c r="D1189" s="1" t="s">
        <v>2062</v>
      </c>
      <c r="E1189" s="1" t="s">
        <v>2063</v>
      </c>
      <c r="F1189" s="3">
        <v>45376</v>
      </c>
      <c r="G1189" s="3">
        <v>45316</v>
      </c>
      <c r="H1189" s="3">
        <v>45681</v>
      </c>
      <c r="I1189" s="1" t="s">
        <v>3529</v>
      </c>
      <c r="J1189" s="1" t="s">
        <v>3530</v>
      </c>
      <c r="K1189" s="1"/>
      <c r="L1189" s="1" t="s">
        <v>2198</v>
      </c>
      <c r="M1189" s="1" t="s">
        <v>3531</v>
      </c>
      <c r="N1189" s="1" t="s">
        <v>3532</v>
      </c>
      <c r="O1189" s="1" t="s">
        <v>3533</v>
      </c>
      <c r="P1189" s="1" t="s">
        <v>2262</v>
      </c>
      <c r="Q1189" s="1"/>
      <c r="R1189" s="1"/>
      <c r="S1189" s="1" t="s">
        <v>2072</v>
      </c>
      <c r="T1189" s="1" t="s">
        <v>3165</v>
      </c>
      <c r="U1189" s="4">
        <v>3000000</v>
      </c>
      <c r="V1189" s="4">
        <v>3625</v>
      </c>
      <c r="W1189" s="4">
        <v>36</v>
      </c>
      <c r="X1189" s="4">
        <v>471</v>
      </c>
      <c r="Y1189" s="4">
        <v>0</v>
      </c>
      <c r="Z1189" s="5">
        <v>4132</v>
      </c>
      <c r="AA1189" s="5">
        <v>0</v>
      </c>
      <c r="AB1189" s="6">
        <v>0</v>
      </c>
      <c r="AC1189" s="4">
        <v>4132</v>
      </c>
      <c r="AD1189" s="4">
        <v>0</v>
      </c>
      <c r="AE1189" s="4">
        <v>4132</v>
      </c>
      <c r="AF1189" s="1"/>
      <c r="AG1189" s="1"/>
      <c r="AH1189" s="1"/>
      <c r="AI1189" s="1" t="s">
        <v>2841</v>
      </c>
      <c r="AJ1189" s="6">
        <v>1436.799999999997</v>
      </c>
      <c r="AK1189" s="6">
        <v>1005.1600000000002</v>
      </c>
      <c r="AL1189" s="1"/>
    </row>
    <row r="1190" spans="1:38" hidden="1" x14ac:dyDescent="0.25">
      <c r="A1190" s="2">
        <v>1561</v>
      </c>
      <c r="B1190" s="1" t="s">
        <v>1402</v>
      </c>
      <c r="C1190" s="1" t="s">
        <v>1405</v>
      </c>
      <c r="D1190" s="1" t="s">
        <v>2062</v>
      </c>
      <c r="E1190" s="1" t="s">
        <v>2063</v>
      </c>
      <c r="F1190" s="3">
        <v>45407</v>
      </c>
      <c r="G1190" s="3">
        <v>45316</v>
      </c>
      <c r="H1190" s="3">
        <v>45681</v>
      </c>
      <c r="I1190" s="1" t="s">
        <v>3529</v>
      </c>
      <c r="J1190" s="1" t="s">
        <v>3530</v>
      </c>
      <c r="K1190" s="1"/>
      <c r="L1190" s="1" t="s">
        <v>2198</v>
      </c>
      <c r="M1190" s="1" t="s">
        <v>3531</v>
      </c>
      <c r="N1190" s="1" t="s">
        <v>3532</v>
      </c>
      <c r="O1190" s="1" t="s">
        <v>3533</v>
      </c>
      <c r="P1190" s="1" t="s">
        <v>2262</v>
      </c>
      <c r="Q1190" s="1"/>
      <c r="R1190" s="1"/>
      <c r="S1190" s="1" t="s">
        <v>2072</v>
      </c>
      <c r="T1190" s="1" t="s">
        <v>3165</v>
      </c>
      <c r="U1190" s="4">
        <v>3000000</v>
      </c>
      <c r="V1190" s="4">
        <v>2715</v>
      </c>
      <c r="W1190" s="4">
        <v>28</v>
      </c>
      <c r="X1190" s="4">
        <v>353</v>
      </c>
      <c r="Y1190" s="4">
        <v>0</v>
      </c>
      <c r="Z1190" s="5">
        <v>3096</v>
      </c>
      <c r="AA1190" s="5">
        <v>0</v>
      </c>
      <c r="AB1190" s="6">
        <v>0</v>
      </c>
      <c r="AC1190" s="4">
        <v>3096</v>
      </c>
      <c r="AD1190" s="4">
        <v>0</v>
      </c>
      <c r="AE1190" s="4">
        <v>3096</v>
      </c>
      <c r="AF1190" s="1"/>
      <c r="AG1190" s="1"/>
      <c r="AH1190" s="1"/>
      <c r="AI1190" s="1" t="s">
        <v>2841</v>
      </c>
      <c r="AJ1190" s="6">
        <v>1317.2200000000078</v>
      </c>
      <c r="AK1190" s="6">
        <v>753.13</v>
      </c>
      <c r="AL1190" s="1"/>
    </row>
    <row r="1191" spans="1:38" hidden="1" x14ac:dyDescent="0.25">
      <c r="A1191" s="2">
        <v>1562</v>
      </c>
      <c r="B1191" s="1" t="s">
        <v>1402</v>
      </c>
      <c r="C1191" s="1" t="s">
        <v>1406</v>
      </c>
      <c r="D1191" s="1" t="s">
        <v>2062</v>
      </c>
      <c r="E1191" s="1" t="s">
        <v>2063</v>
      </c>
      <c r="F1191" s="3">
        <v>45439</v>
      </c>
      <c r="G1191" s="3">
        <v>45316</v>
      </c>
      <c r="H1191" s="3">
        <v>45681</v>
      </c>
      <c r="I1191" s="1" t="s">
        <v>3529</v>
      </c>
      <c r="J1191" s="1" t="s">
        <v>3530</v>
      </c>
      <c r="K1191" s="1"/>
      <c r="L1191" s="1" t="s">
        <v>2198</v>
      </c>
      <c r="M1191" s="1" t="s">
        <v>3531</v>
      </c>
      <c r="N1191" s="1" t="s">
        <v>3532</v>
      </c>
      <c r="O1191" s="1" t="s">
        <v>3533</v>
      </c>
      <c r="P1191" s="1" t="s">
        <v>2262</v>
      </c>
      <c r="Q1191" s="1"/>
      <c r="R1191" s="1"/>
      <c r="S1191" s="1" t="s">
        <v>2072</v>
      </c>
      <c r="T1191" s="1" t="s">
        <v>3165</v>
      </c>
      <c r="U1191" s="4">
        <v>3000000</v>
      </c>
      <c r="V1191" s="4">
        <v>2461</v>
      </c>
      <c r="W1191" s="4">
        <v>24</v>
      </c>
      <c r="X1191" s="4">
        <v>320</v>
      </c>
      <c r="Y1191" s="4">
        <v>0</v>
      </c>
      <c r="Z1191" s="5">
        <v>2805</v>
      </c>
      <c r="AA1191" s="5">
        <v>0</v>
      </c>
      <c r="AB1191" s="6">
        <v>0</v>
      </c>
      <c r="AC1191" s="4">
        <v>2805</v>
      </c>
      <c r="AD1191" s="4">
        <v>0</v>
      </c>
      <c r="AE1191" s="4">
        <v>2805</v>
      </c>
      <c r="AF1191" s="1"/>
      <c r="AG1191" s="1"/>
      <c r="AH1191" s="1"/>
      <c r="AI1191" s="1" t="s">
        <v>2841</v>
      </c>
      <c r="AJ1191" s="6">
        <v>803.07999999999902</v>
      </c>
      <c r="AK1191" s="6">
        <v>682.83</v>
      </c>
      <c r="AL1191" s="1"/>
    </row>
    <row r="1192" spans="1:38" hidden="1" x14ac:dyDescent="0.25">
      <c r="A1192" s="2">
        <v>1563</v>
      </c>
      <c r="B1192" s="1" t="s">
        <v>1402</v>
      </c>
      <c r="C1192" s="1" t="s">
        <v>1407</v>
      </c>
      <c r="D1192" s="1" t="s">
        <v>2062</v>
      </c>
      <c r="E1192" s="1" t="s">
        <v>2063</v>
      </c>
      <c r="F1192" s="3">
        <v>45468</v>
      </c>
      <c r="G1192" s="3">
        <v>45316</v>
      </c>
      <c r="H1192" s="3">
        <v>45681</v>
      </c>
      <c r="I1192" s="1" t="s">
        <v>3529</v>
      </c>
      <c r="J1192" s="1" t="s">
        <v>3530</v>
      </c>
      <c r="K1192" s="1"/>
      <c r="L1192" s="1" t="s">
        <v>2198</v>
      </c>
      <c r="M1192" s="1" t="s">
        <v>3531</v>
      </c>
      <c r="N1192" s="1" t="s">
        <v>3532</v>
      </c>
      <c r="O1192" s="1" t="s">
        <v>3533</v>
      </c>
      <c r="P1192" s="1" t="s">
        <v>2262</v>
      </c>
      <c r="Q1192" s="1"/>
      <c r="R1192" s="1"/>
      <c r="S1192" s="1" t="s">
        <v>2072</v>
      </c>
      <c r="T1192" s="1" t="s">
        <v>3165</v>
      </c>
      <c r="U1192" s="4">
        <v>3000000</v>
      </c>
      <c r="V1192" s="4">
        <v>1464</v>
      </c>
      <c r="W1192" s="4">
        <v>15</v>
      </c>
      <c r="X1192" s="4">
        <v>190</v>
      </c>
      <c r="Y1192" s="4">
        <v>0</v>
      </c>
      <c r="Z1192" s="5">
        <v>1669</v>
      </c>
      <c r="AA1192" s="5">
        <v>0</v>
      </c>
      <c r="AB1192" s="6">
        <v>0</v>
      </c>
      <c r="AC1192" s="4">
        <v>1669</v>
      </c>
      <c r="AD1192" s="4">
        <v>0</v>
      </c>
      <c r="AE1192" s="4">
        <v>1669</v>
      </c>
      <c r="AF1192" s="1"/>
      <c r="AG1192" s="1"/>
      <c r="AH1192" s="1"/>
      <c r="AI1192" s="1" t="s">
        <v>2841</v>
      </c>
      <c r="AJ1192" s="6">
        <v>516.63999999999805</v>
      </c>
      <c r="AK1192" s="6">
        <v>405.99</v>
      </c>
      <c r="AL1192" s="1"/>
    </row>
    <row r="1193" spans="1:38" hidden="1" x14ac:dyDescent="0.25">
      <c r="A1193" s="2">
        <v>1564</v>
      </c>
      <c r="B1193" s="1" t="s">
        <v>1402</v>
      </c>
      <c r="C1193" s="1" t="s">
        <v>1408</v>
      </c>
      <c r="D1193" s="1" t="s">
        <v>2062</v>
      </c>
      <c r="E1193" s="1" t="s">
        <v>2063</v>
      </c>
      <c r="F1193" s="3">
        <v>45499</v>
      </c>
      <c r="G1193" s="3">
        <v>45316</v>
      </c>
      <c r="H1193" s="3">
        <v>45681</v>
      </c>
      <c r="I1193" s="1" t="s">
        <v>3529</v>
      </c>
      <c r="J1193" s="1" t="s">
        <v>3530</v>
      </c>
      <c r="K1193" s="1"/>
      <c r="L1193" s="1" t="s">
        <v>2198</v>
      </c>
      <c r="M1193" s="1" t="s">
        <v>3531</v>
      </c>
      <c r="N1193" s="1" t="s">
        <v>3532</v>
      </c>
      <c r="O1193" s="1" t="s">
        <v>3533</v>
      </c>
      <c r="P1193" s="1" t="s">
        <v>2262</v>
      </c>
      <c r="Q1193" s="1"/>
      <c r="R1193" s="1"/>
      <c r="S1193" s="1" t="s">
        <v>2072</v>
      </c>
      <c r="T1193" s="1" t="s">
        <v>3165</v>
      </c>
      <c r="U1193" s="4">
        <v>3000000</v>
      </c>
      <c r="V1193" s="4">
        <v>1655</v>
      </c>
      <c r="W1193" s="4">
        <v>17</v>
      </c>
      <c r="X1193" s="4">
        <v>248</v>
      </c>
      <c r="Y1193" s="4">
        <v>0</v>
      </c>
      <c r="Z1193" s="5">
        <v>1920</v>
      </c>
      <c r="AA1193" s="5">
        <v>0</v>
      </c>
      <c r="AB1193" s="6">
        <v>0</v>
      </c>
      <c r="AC1193" s="4">
        <v>1920</v>
      </c>
      <c r="AD1193" s="4">
        <v>0</v>
      </c>
      <c r="AE1193" s="4">
        <v>1920</v>
      </c>
      <c r="AF1193" s="1"/>
      <c r="AG1193" s="1"/>
      <c r="AH1193" s="1"/>
      <c r="AI1193" s="1" t="s">
        <v>2841</v>
      </c>
      <c r="AJ1193" s="6">
        <v>470.6</v>
      </c>
      <c r="AK1193" s="6">
        <v>466.49</v>
      </c>
      <c r="AL1193" s="1"/>
    </row>
    <row r="1194" spans="1:38" hidden="1" x14ac:dyDescent="0.25">
      <c r="A1194" s="2">
        <v>1565</v>
      </c>
      <c r="B1194" s="1" t="s">
        <v>1402</v>
      </c>
      <c r="C1194" s="1" t="s">
        <v>1409</v>
      </c>
      <c r="D1194" s="1" t="s">
        <v>2062</v>
      </c>
      <c r="E1194" s="1" t="s">
        <v>2063</v>
      </c>
      <c r="F1194" s="3">
        <v>45533</v>
      </c>
      <c r="G1194" s="3">
        <v>45316</v>
      </c>
      <c r="H1194" s="3">
        <v>45681</v>
      </c>
      <c r="I1194" s="1" t="s">
        <v>3529</v>
      </c>
      <c r="J1194" s="1" t="s">
        <v>3530</v>
      </c>
      <c r="K1194" s="1"/>
      <c r="L1194" s="1" t="s">
        <v>2198</v>
      </c>
      <c r="M1194" s="1" t="s">
        <v>3531</v>
      </c>
      <c r="N1194" s="1" t="s">
        <v>3532</v>
      </c>
      <c r="O1194" s="1" t="s">
        <v>3533</v>
      </c>
      <c r="P1194" s="1" t="s">
        <v>2262</v>
      </c>
      <c r="Q1194" s="1"/>
      <c r="R1194" s="1"/>
      <c r="S1194" s="1" t="s">
        <v>2072</v>
      </c>
      <c r="T1194" s="1" t="s">
        <v>3165</v>
      </c>
      <c r="U1194" s="4">
        <v>3000000</v>
      </c>
      <c r="V1194" s="4">
        <v>2832</v>
      </c>
      <c r="W1194" s="4">
        <v>28</v>
      </c>
      <c r="X1194" s="4">
        <v>425</v>
      </c>
      <c r="Y1194" s="4">
        <v>0</v>
      </c>
      <c r="Z1194" s="5">
        <v>3285</v>
      </c>
      <c r="AA1194" s="5">
        <v>0</v>
      </c>
      <c r="AB1194" s="6">
        <v>0</v>
      </c>
      <c r="AC1194" s="4">
        <v>3285</v>
      </c>
      <c r="AD1194" s="4">
        <v>0</v>
      </c>
      <c r="AE1194" s="4">
        <v>3285</v>
      </c>
      <c r="AF1194" s="1"/>
      <c r="AG1194" s="1"/>
      <c r="AH1194" s="1"/>
      <c r="AI1194" s="1" t="s">
        <v>2841</v>
      </c>
      <c r="AJ1194" s="6">
        <v>1178.7300000000109</v>
      </c>
      <c r="AK1194" s="6">
        <v>799.13</v>
      </c>
      <c r="AL1194" s="1"/>
    </row>
    <row r="1195" spans="1:38" hidden="1" x14ac:dyDescent="0.25">
      <c r="A1195" s="2">
        <v>1566</v>
      </c>
      <c r="B1195" s="1" t="s">
        <v>1402</v>
      </c>
      <c r="C1195" s="1" t="s">
        <v>1410</v>
      </c>
      <c r="D1195" s="1" t="s">
        <v>2062</v>
      </c>
      <c r="E1195" s="1" t="s">
        <v>2063</v>
      </c>
      <c r="F1195" s="3">
        <v>45563</v>
      </c>
      <c r="G1195" s="3">
        <v>45316</v>
      </c>
      <c r="H1195" s="3">
        <v>45681</v>
      </c>
      <c r="I1195" s="1" t="s">
        <v>3529</v>
      </c>
      <c r="J1195" s="1" t="s">
        <v>3530</v>
      </c>
      <c r="K1195" s="1"/>
      <c r="L1195" s="1" t="s">
        <v>2198</v>
      </c>
      <c r="M1195" s="1" t="s">
        <v>3531</v>
      </c>
      <c r="N1195" s="1" t="s">
        <v>3532</v>
      </c>
      <c r="O1195" s="1" t="s">
        <v>3533</v>
      </c>
      <c r="P1195" s="1" t="s">
        <v>2262</v>
      </c>
      <c r="Q1195" s="1"/>
      <c r="R1195" s="1"/>
      <c r="S1195" s="1" t="s">
        <v>2072</v>
      </c>
      <c r="T1195" s="1" t="s">
        <v>3165</v>
      </c>
      <c r="U1195" s="4">
        <v>3000000</v>
      </c>
      <c r="V1195" s="4">
        <v>2572</v>
      </c>
      <c r="W1195" s="4">
        <v>26</v>
      </c>
      <c r="X1195" s="4">
        <v>386</v>
      </c>
      <c r="Y1195" s="4">
        <v>0</v>
      </c>
      <c r="Z1195" s="5">
        <v>2984</v>
      </c>
      <c r="AA1195" s="5">
        <v>0</v>
      </c>
      <c r="AB1195" s="6">
        <v>0</v>
      </c>
      <c r="AC1195" s="4">
        <v>2984</v>
      </c>
      <c r="AD1195" s="4">
        <v>0</v>
      </c>
      <c r="AE1195" s="4">
        <v>2984</v>
      </c>
      <c r="AF1195" s="1"/>
      <c r="AG1195" s="1"/>
      <c r="AH1195" s="1"/>
      <c r="AI1195" s="1" t="s">
        <v>2841</v>
      </c>
      <c r="AJ1195" s="6">
        <v>835.5200000000001</v>
      </c>
      <c r="AK1195" s="6">
        <v>725.95</v>
      </c>
      <c r="AL1195" s="1"/>
    </row>
    <row r="1196" spans="1:38" hidden="1" x14ac:dyDescent="0.25">
      <c r="A1196" s="2">
        <v>1567</v>
      </c>
      <c r="B1196" s="1" t="s">
        <v>1402</v>
      </c>
      <c r="C1196" s="1" t="s">
        <v>1411</v>
      </c>
      <c r="D1196" s="1" t="s">
        <v>2062</v>
      </c>
      <c r="E1196" s="1" t="s">
        <v>2063</v>
      </c>
      <c r="F1196" s="3">
        <v>45591</v>
      </c>
      <c r="G1196" s="3">
        <v>45316</v>
      </c>
      <c r="H1196" s="3">
        <v>45681</v>
      </c>
      <c r="I1196" s="1" t="s">
        <v>3529</v>
      </c>
      <c r="J1196" s="1" t="s">
        <v>3530</v>
      </c>
      <c r="K1196" s="1"/>
      <c r="L1196" s="1" t="s">
        <v>2198</v>
      </c>
      <c r="M1196" s="1" t="s">
        <v>3531</v>
      </c>
      <c r="N1196" s="1" t="s">
        <v>3532</v>
      </c>
      <c r="O1196" s="1" t="s">
        <v>3533</v>
      </c>
      <c r="P1196" s="1" t="s">
        <v>2262</v>
      </c>
      <c r="Q1196" s="1"/>
      <c r="R1196" s="1"/>
      <c r="S1196" s="1" t="s">
        <v>2072</v>
      </c>
      <c r="T1196" s="1" t="s">
        <v>3165</v>
      </c>
      <c r="U1196" s="4">
        <v>3000000</v>
      </c>
      <c r="V1196" s="4">
        <v>3205</v>
      </c>
      <c r="W1196" s="4">
        <v>32</v>
      </c>
      <c r="X1196" s="4">
        <v>481</v>
      </c>
      <c r="Y1196" s="4">
        <v>0</v>
      </c>
      <c r="Z1196" s="5">
        <v>3718</v>
      </c>
      <c r="AA1196" s="5">
        <v>0</v>
      </c>
      <c r="AB1196" s="6">
        <v>0</v>
      </c>
      <c r="AC1196" s="4">
        <v>3718</v>
      </c>
      <c r="AD1196" s="4">
        <v>0</v>
      </c>
      <c r="AE1196" s="4">
        <v>3718</v>
      </c>
      <c r="AF1196" s="1"/>
      <c r="AG1196" s="1"/>
      <c r="AH1196" s="1"/>
      <c r="AI1196" s="1" t="s">
        <v>2841</v>
      </c>
      <c r="AJ1196" s="6">
        <v>1047.67</v>
      </c>
      <c r="AK1196" s="6">
        <v>905.09000000000106</v>
      </c>
      <c r="AL1196" s="1"/>
    </row>
    <row r="1197" spans="1:38" hidden="1" x14ac:dyDescent="0.25">
      <c r="A1197" s="2">
        <v>1568</v>
      </c>
      <c r="B1197" s="1" t="s">
        <v>1402</v>
      </c>
      <c r="C1197" s="1" t="s">
        <v>1412</v>
      </c>
      <c r="D1197" s="1" t="s">
        <v>2062</v>
      </c>
      <c r="E1197" s="1" t="s">
        <v>2063</v>
      </c>
      <c r="F1197" s="3">
        <v>45623</v>
      </c>
      <c r="G1197" s="3">
        <v>45316</v>
      </c>
      <c r="H1197" s="3">
        <v>45681</v>
      </c>
      <c r="I1197" s="1" t="s">
        <v>3529</v>
      </c>
      <c r="J1197" s="1" t="s">
        <v>3530</v>
      </c>
      <c r="K1197" s="1"/>
      <c r="L1197" s="1" t="s">
        <v>2198</v>
      </c>
      <c r="M1197" s="1" t="s">
        <v>3531</v>
      </c>
      <c r="N1197" s="1" t="s">
        <v>3532</v>
      </c>
      <c r="O1197" s="1" t="s">
        <v>3533</v>
      </c>
      <c r="P1197" s="1" t="s">
        <v>2262</v>
      </c>
      <c r="Q1197" s="1"/>
      <c r="R1197" s="1"/>
      <c r="S1197" s="1" t="s">
        <v>2072</v>
      </c>
      <c r="T1197" s="1" t="s">
        <v>3165</v>
      </c>
      <c r="U1197" s="4">
        <v>3000000</v>
      </c>
      <c r="V1197" s="4">
        <v>2653</v>
      </c>
      <c r="W1197" s="4">
        <v>27</v>
      </c>
      <c r="X1197" s="4">
        <v>398</v>
      </c>
      <c r="Y1197" s="4">
        <v>0</v>
      </c>
      <c r="Z1197" s="5">
        <v>3078</v>
      </c>
      <c r="AA1197" s="5">
        <v>0</v>
      </c>
      <c r="AB1197" s="6">
        <v>0</v>
      </c>
      <c r="AC1197" s="4">
        <v>3078</v>
      </c>
      <c r="AD1197" s="4">
        <v>0</v>
      </c>
      <c r="AE1197" s="4">
        <v>3078</v>
      </c>
      <c r="AF1197" s="1"/>
      <c r="AG1197" s="1"/>
      <c r="AH1197" s="1"/>
      <c r="AI1197" s="1" t="s">
        <v>2841</v>
      </c>
      <c r="AJ1197" s="6">
        <v>1057.1299999999972</v>
      </c>
      <c r="AK1197" s="6">
        <v>748.90000000000009</v>
      </c>
      <c r="AL1197" s="1"/>
    </row>
    <row r="1198" spans="1:38" hidden="1" x14ac:dyDescent="0.25">
      <c r="A1198" s="2">
        <v>1569</v>
      </c>
      <c r="B1198" s="1" t="s">
        <v>1402</v>
      </c>
      <c r="C1198" s="1" t="s">
        <v>1413</v>
      </c>
      <c r="D1198" s="1" t="s">
        <v>2062</v>
      </c>
      <c r="E1198" s="1" t="s">
        <v>2063</v>
      </c>
      <c r="F1198" s="3">
        <v>45652</v>
      </c>
      <c r="G1198" s="3">
        <v>45316</v>
      </c>
      <c r="H1198" s="3">
        <v>45681</v>
      </c>
      <c r="I1198" s="1" t="s">
        <v>3529</v>
      </c>
      <c r="J1198" s="1" t="s">
        <v>3530</v>
      </c>
      <c r="K1198" s="1"/>
      <c r="L1198" s="1" t="s">
        <v>2198</v>
      </c>
      <c r="M1198" s="1" t="s">
        <v>3531</v>
      </c>
      <c r="N1198" s="1" t="s">
        <v>3532</v>
      </c>
      <c r="O1198" s="1" t="s">
        <v>3533</v>
      </c>
      <c r="P1198" s="1" t="s">
        <v>2262</v>
      </c>
      <c r="Q1198" s="1"/>
      <c r="R1198" s="1"/>
      <c r="S1198" s="1" t="s">
        <v>2072</v>
      </c>
      <c r="T1198" s="1" t="s">
        <v>3165</v>
      </c>
      <c r="U1198" s="4">
        <v>3000000</v>
      </c>
      <c r="V1198" s="4">
        <v>3800</v>
      </c>
      <c r="W1198" s="4">
        <v>38</v>
      </c>
      <c r="X1198" s="4">
        <v>570</v>
      </c>
      <c r="Y1198" s="4">
        <v>0</v>
      </c>
      <c r="Z1198" s="5">
        <v>4408</v>
      </c>
      <c r="AA1198" s="5">
        <v>0</v>
      </c>
      <c r="AB1198" s="6">
        <v>0</v>
      </c>
      <c r="AC1198" s="4">
        <v>4408</v>
      </c>
      <c r="AD1198" s="4">
        <v>0</v>
      </c>
      <c r="AE1198" s="4">
        <v>4408</v>
      </c>
      <c r="AF1198" s="1"/>
      <c r="AG1198" s="1"/>
      <c r="AH1198" s="1"/>
      <c r="AI1198" s="1" t="s">
        <v>2841</v>
      </c>
      <c r="AJ1198" s="6">
        <v>3018.4000000000569</v>
      </c>
      <c r="AK1198" s="6">
        <v>1072.28</v>
      </c>
      <c r="AL1198" s="1"/>
    </row>
    <row r="1199" spans="1:38" hidden="1" x14ac:dyDescent="0.25">
      <c r="A1199" s="2">
        <v>1570</v>
      </c>
      <c r="B1199" s="1" t="s">
        <v>1402</v>
      </c>
      <c r="C1199" s="1" t="s">
        <v>1414</v>
      </c>
      <c r="D1199" s="1" t="s">
        <v>2062</v>
      </c>
      <c r="E1199" s="1" t="s">
        <v>2063</v>
      </c>
      <c r="F1199" s="3">
        <v>45655</v>
      </c>
      <c r="G1199" s="3">
        <v>45316</v>
      </c>
      <c r="H1199" s="3">
        <v>45681</v>
      </c>
      <c r="I1199" s="1" t="s">
        <v>3529</v>
      </c>
      <c r="J1199" s="1" t="s">
        <v>3530</v>
      </c>
      <c r="K1199" s="1"/>
      <c r="L1199" s="1" t="s">
        <v>2198</v>
      </c>
      <c r="M1199" s="1" t="s">
        <v>3531</v>
      </c>
      <c r="N1199" s="1" t="s">
        <v>3532</v>
      </c>
      <c r="O1199" s="1" t="s">
        <v>3533</v>
      </c>
      <c r="P1199" s="1" t="s">
        <v>2262</v>
      </c>
      <c r="Q1199" s="1"/>
      <c r="R1199" s="1"/>
      <c r="S1199" s="1" t="s">
        <v>2072</v>
      </c>
      <c r="T1199" s="1" t="s">
        <v>3165</v>
      </c>
      <c r="U1199" s="4">
        <v>-1</v>
      </c>
      <c r="V1199" s="4">
        <v>-33352</v>
      </c>
      <c r="W1199" s="4">
        <v>-334</v>
      </c>
      <c r="X1199" s="4">
        <v>0</v>
      </c>
      <c r="Y1199" s="4">
        <v>0</v>
      </c>
      <c r="Z1199" s="5">
        <v>-33686</v>
      </c>
      <c r="AA1199" s="5">
        <v>0</v>
      </c>
      <c r="AB1199" s="6">
        <v>0</v>
      </c>
      <c r="AC1199" s="4">
        <v>-33686</v>
      </c>
      <c r="AD1199" s="4">
        <v>0</v>
      </c>
      <c r="AE1199" s="4">
        <v>-33686</v>
      </c>
      <c r="AF1199" s="1"/>
      <c r="AG1199" s="1"/>
      <c r="AH1199" s="1"/>
      <c r="AI1199" s="1" t="s">
        <v>2841</v>
      </c>
      <c r="AJ1199" s="1"/>
      <c r="AK1199" s="1"/>
      <c r="AL1199" s="1"/>
    </row>
    <row r="1200" spans="1:38" hidden="1" x14ac:dyDescent="0.25">
      <c r="A1200" s="2">
        <v>1571</v>
      </c>
      <c r="B1200" s="1" t="s">
        <v>1415</v>
      </c>
      <c r="C1200" s="1" t="s">
        <v>1416</v>
      </c>
      <c r="D1200" s="1" t="s">
        <v>2062</v>
      </c>
      <c r="E1200" s="1" t="s">
        <v>2063</v>
      </c>
      <c r="F1200" s="3">
        <v>45476</v>
      </c>
      <c r="G1200" s="3">
        <v>45325</v>
      </c>
      <c r="H1200" s="3">
        <v>45690</v>
      </c>
      <c r="I1200" s="1" t="s">
        <v>3534</v>
      </c>
      <c r="J1200" s="1" t="s">
        <v>3535</v>
      </c>
      <c r="K1200" s="1"/>
      <c r="L1200" s="1" t="s">
        <v>3536</v>
      </c>
      <c r="M1200" s="1" t="s">
        <v>3537</v>
      </c>
      <c r="N1200" s="1" t="s">
        <v>3538</v>
      </c>
      <c r="O1200" s="1" t="s">
        <v>3539</v>
      </c>
      <c r="P1200" s="1" t="s">
        <v>2095</v>
      </c>
      <c r="Q1200" s="1" t="s">
        <v>3540</v>
      </c>
      <c r="R1200" s="1"/>
      <c r="S1200" s="1" t="s">
        <v>2072</v>
      </c>
      <c r="T1200" s="1" t="s">
        <v>2073</v>
      </c>
      <c r="U1200" s="4">
        <v>2600000</v>
      </c>
      <c r="V1200" s="4">
        <v>3521</v>
      </c>
      <c r="W1200" s="4">
        <v>35</v>
      </c>
      <c r="X1200" s="4">
        <v>528</v>
      </c>
      <c r="Y1200" s="4">
        <v>0</v>
      </c>
      <c r="Z1200" s="5">
        <v>4084</v>
      </c>
      <c r="AA1200" s="5">
        <v>0</v>
      </c>
      <c r="AB1200" s="6">
        <v>0</v>
      </c>
      <c r="AC1200" s="4">
        <v>4084</v>
      </c>
      <c r="AD1200" s="4">
        <v>0</v>
      </c>
      <c r="AE1200" s="4">
        <v>4084</v>
      </c>
      <c r="AF1200" s="1"/>
      <c r="AG1200" s="1"/>
      <c r="AH1200" s="1"/>
      <c r="AI1200" s="1" t="s">
        <v>3432</v>
      </c>
      <c r="AJ1200" s="6">
        <v>1702.4700000000009</v>
      </c>
      <c r="AK1200" s="6">
        <v>1148.23</v>
      </c>
      <c r="AL1200" s="1"/>
    </row>
    <row r="1201" spans="1:38" hidden="1" x14ac:dyDescent="0.25">
      <c r="A1201" s="2">
        <v>1572</v>
      </c>
      <c r="B1201" s="1" t="s">
        <v>1415</v>
      </c>
      <c r="C1201" s="1" t="s">
        <v>1417</v>
      </c>
      <c r="D1201" s="1" t="s">
        <v>2062</v>
      </c>
      <c r="E1201" s="1" t="s">
        <v>2063</v>
      </c>
      <c r="F1201" s="3">
        <v>45511</v>
      </c>
      <c r="G1201" s="3">
        <v>45325</v>
      </c>
      <c r="H1201" s="3">
        <v>45690</v>
      </c>
      <c r="I1201" s="1" t="s">
        <v>3534</v>
      </c>
      <c r="J1201" s="1" t="s">
        <v>3535</v>
      </c>
      <c r="K1201" s="1"/>
      <c r="L1201" s="1" t="s">
        <v>3536</v>
      </c>
      <c r="M1201" s="1" t="s">
        <v>3537</v>
      </c>
      <c r="N1201" s="1" t="s">
        <v>3538</v>
      </c>
      <c r="O1201" s="1" t="s">
        <v>3539</v>
      </c>
      <c r="P1201" s="1" t="s">
        <v>2095</v>
      </c>
      <c r="Q1201" s="1" t="s">
        <v>3540</v>
      </c>
      <c r="R1201" s="1"/>
      <c r="S1201" s="1" t="s">
        <v>2072</v>
      </c>
      <c r="T1201" s="1" t="s">
        <v>2073</v>
      </c>
      <c r="U1201" s="4">
        <v>2600000</v>
      </c>
      <c r="V1201" s="4">
        <v>3439</v>
      </c>
      <c r="W1201" s="4">
        <v>34</v>
      </c>
      <c r="X1201" s="4">
        <v>516</v>
      </c>
      <c r="Y1201" s="4">
        <v>0</v>
      </c>
      <c r="Z1201" s="5">
        <v>3989</v>
      </c>
      <c r="AA1201" s="5">
        <v>0</v>
      </c>
      <c r="AB1201" s="6">
        <v>0</v>
      </c>
      <c r="AC1201" s="4">
        <v>3989</v>
      </c>
      <c r="AD1201" s="4">
        <v>0</v>
      </c>
      <c r="AE1201" s="4">
        <v>3989</v>
      </c>
      <c r="AF1201" s="1"/>
      <c r="AG1201" s="1"/>
      <c r="AH1201" s="1"/>
      <c r="AI1201" s="1" t="s">
        <v>3432</v>
      </c>
      <c r="AJ1201" s="6">
        <v>1476.190000000001</v>
      </c>
      <c r="AK1201" s="6">
        <v>1121.52</v>
      </c>
      <c r="AL1201" s="1"/>
    </row>
    <row r="1202" spans="1:38" hidden="1" x14ac:dyDescent="0.25">
      <c r="A1202" s="2">
        <v>1573</v>
      </c>
      <c r="B1202" s="1" t="s">
        <v>1415</v>
      </c>
      <c r="C1202" s="1" t="s">
        <v>1418</v>
      </c>
      <c r="D1202" s="1" t="s">
        <v>2062</v>
      </c>
      <c r="E1202" s="1" t="s">
        <v>2063</v>
      </c>
      <c r="F1202" s="3">
        <v>45541</v>
      </c>
      <c r="G1202" s="3">
        <v>45325</v>
      </c>
      <c r="H1202" s="3">
        <v>45690</v>
      </c>
      <c r="I1202" s="1" t="s">
        <v>3534</v>
      </c>
      <c r="J1202" s="1" t="s">
        <v>3535</v>
      </c>
      <c r="K1202" s="1"/>
      <c r="L1202" s="1" t="s">
        <v>3536</v>
      </c>
      <c r="M1202" s="1" t="s">
        <v>3537</v>
      </c>
      <c r="N1202" s="1" t="s">
        <v>3538</v>
      </c>
      <c r="O1202" s="1" t="s">
        <v>3539</v>
      </c>
      <c r="P1202" s="1" t="s">
        <v>2095</v>
      </c>
      <c r="Q1202" s="1" t="s">
        <v>3540</v>
      </c>
      <c r="R1202" s="1"/>
      <c r="S1202" s="1" t="s">
        <v>2072</v>
      </c>
      <c r="T1202" s="1" t="s">
        <v>2073</v>
      </c>
      <c r="U1202" s="4">
        <v>2600000</v>
      </c>
      <c r="V1202" s="4">
        <v>3565</v>
      </c>
      <c r="W1202" s="4">
        <v>36</v>
      </c>
      <c r="X1202" s="4">
        <v>535</v>
      </c>
      <c r="Y1202" s="4">
        <v>0</v>
      </c>
      <c r="Z1202" s="5">
        <v>4136</v>
      </c>
      <c r="AA1202" s="5">
        <v>0</v>
      </c>
      <c r="AB1202" s="6">
        <v>0</v>
      </c>
      <c r="AC1202" s="4">
        <v>4136</v>
      </c>
      <c r="AD1202" s="4">
        <v>0</v>
      </c>
      <c r="AE1202" s="4">
        <v>4136</v>
      </c>
      <c r="AF1202" s="1"/>
      <c r="AG1202" s="1"/>
      <c r="AH1202" s="1"/>
      <c r="AI1202" s="1" t="s">
        <v>3432</v>
      </c>
      <c r="AJ1202" s="6">
        <v>1552.1200000000013</v>
      </c>
      <c r="AK1202" s="6">
        <v>1162.46</v>
      </c>
      <c r="AL1202" s="1"/>
    </row>
    <row r="1203" spans="1:38" hidden="1" x14ac:dyDescent="0.25">
      <c r="A1203" s="2">
        <v>1574</v>
      </c>
      <c r="B1203" s="1" t="s">
        <v>1415</v>
      </c>
      <c r="C1203" s="1" t="s">
        <v>1419</v>
      </c>
      <c r="D1203" s="1" t="s">
        <v>2062</v>
      </c>
      <c r="E1203" s="1" t="s">
        <v>2063</v>
      </c>
      <c r="F1203" s="3">
        <v>45574</v>
      </c>
      <c r="G1203" s="3">
        <v>45325</v>
      </c>
      <c r="H1203" s="3">
        <v>45690</v>
      </c>
      <c r="I1203" s="1" t="s">
        <v>3534</v>
      </c>
      <c r="J1203" s="1" t="s">
        <v>3535</v>
      </c>
      <c r="K1203" s="1"/>
      <c r="L1203" s="1" t="s">
        <v>3536</v>
      </c>
      <c r="M1203" s="1" t="s">
        <v>3537</v>
      </c>
      <c r="N1203" s="1" t="s">
        <v>3538</v>
      </c>
      <c r="O1203" s="1" t="s">
        <v>3539</v>
      </c>
      <c r="P1203" s="1" t="s">
        <v>2095</v>
      </c>
      <c r="Q1203" s="1" t="s">
        <v>3540</v>
      </c>
      <c r="R1203" s="1"/>
      <c r="S1203" s="1" t="s">
        <v>2072</v>
      </c>
      <c r="T1203" s="1" t="s">
        <v>2073</v>
      </c>
      <c r="U1203" s="4">
        <v>2600000</v>
      </c>
      <c r="V1203" s="4">
        <v>3313</v>
      </c>
      <c r="W1203" s="4">
        <v>33</v>
      </c>
      <c r="X1203" s="4">
        <v>497</v>
      </c>
      <c r="Y1203" s="4">
        <v>0</v>
      </c>
      <c r="Z1203" s="5">
        <v>3843</v>
      </c>
      <c r="AA1203" s="5">
        <v>0</v>
      </c>
      <c r="AB1203" s="6">
        <v>0</v>
      </c>
      <c r="AC1203" s="4">
        <v>3843</v>
      </c>
      <c r="AD1203" s="4">
        <v>0</v>
      </c>
      <c r="AE1203" s="4">
        <v>3843</v>
      </c>
      <c r="AF1203" s="1"/>
      <c r="AG1203" s="1"/>
      <c r="AH1203" s="1"/>
      <c r="AI1203" s="1" t="s">
        <v>3432</v>
      </c>
      <c r="AJ1203" s="6">
        <v>1577.3700000000013</v>
      </c>
      <c r="AK1203" s="6">
        <v>1080.6600000000001</v>
      </c>
      <c r="AL1203" s="1"/>
    </row>
    <row r="1204" spans="1:38" hidden="1" x14ac:dyDescent="0.25">
      <c r="A1204" s="2">
        <v>1575</v>
      </c>
      <c r="B1204" s="1" t="s">
        <v>1415</v>
      </c>
      <c r="C1204" s="1" t="s">
        <v>1420</v>
      </c>
      <c r="D1204" s="1" t="s">
        <v>2062</v>
      </c>
      <c r="E1204" s="1" t="s">
        <v>2063</v>
      </c>
      <c r="F1204" s="3">
        <v>45600</v>
      </c>
      <c r="G1204" s="3">
        <v>45325</v>
      </c>
      <c r="H1204" s="3">
        <v>45690</v>
      </c>
      <c r="I1204" s="1" t="s">
        <v>3534</v>
      </c>
      <c r="J1204" s="1" t="s">
        <v>3535</v>
      </c>
      <c r="K1204" s="1"/>
      <c r="L1204" s="1" t="s">
        <v>3536</v>
      </c>
      <c r="M1204" s="1" t="s">
        <v>3537</v>
      </c>
      <c r="N1204" s="1" t="s">
        <v>3538</v>
      </c>
      <c r="O1204" s="1" t="s">
        <v>3539</v>
      </c>
      <c r="P1204" s="1" t="s">
        <v>2095</v>
      </c>
      <c r="Q1204" s="1" t="s">
        <v>3540</v>
      </c>
      <c r="R1204" s="1"/>
      <c r="S1204" s="1" t="s">
        <v>2072</v>
      </c>
      <c r="T1204" s="1" t="s">
        <v>2073</v>
      </c>
      <c r="U1204" s="4">
        <v>2600000</v>
      </c>
      <c r="V1204" s="4">
        <v>3486</v>
      </c>
      <c r="W1204" s="4">
        <v>35</v>
      </c>
      <c r="X1204" s="4">
        <v>523</v>
      </c>
      <c r="Y1204" s="4">
        <v>0</v>
      </c>
      <c r="Z1204" s="5">
        <v>4044</v>
      </c>
      <c r="AA1204" s="5">
        <v>0</v>
      </c>
      <c r="AB1204" s="6">
        <v>0</v>
      </c>
      <c r="AC1204" s="4">
        <v>4044</v>
      </c>
      <c r="AD1204" s="4">
        <v>0</v>
      </c>
      <c r="AE1204" s="4">
        <v>4044</v>
      </c>
      <c r="AF1204" s="1"/>
      <c r="AG1204" s="1"/>
      <c r="AH1204" s="1"/>
      <c r="AI1204" s="1" t="s">
        <v>3432</v>
      </c>
      <c r="AJ1204" s="6">
        <v>1561.1500000000008</v>
      </c>
      <c r="AK1204" s="6">
        <v>1137.3500000000001</v>
      </c>
      <c r="AL1204" s="1"/>
    </row>
    <row r="1205" spans="1:38" hidden="1" x14ac:dyDescent="0.25">
      <c r="A1205" s="2">
        <v>1576</v>
      </c>
      <c r="B1205" s="1" t="s">
        <v>1415</v>
      </c>
      <c r="C1205" s="1" t="s">
        <v>1421</v>
      </c>
      <c r="D1205" s="1" t="s">
        <v>2062</v>
      </c>
      <c r="E1205" s="1" t="s">
        <v>2063</v>
      </c>
      <c r="F1205" s="3">
        <v>45630</v>
      </c>
      <c r="G1205" s="3">
        <v>45325</v>
      </c>
      <c r="H1205" s="3">
        <v>45690</v>
      </c>
      <c r="I1205" s="1" t="s">
        <v>3534</v>
      </c>
      <c r="J1205" s="1" t="s">
        <v>3535</v>
      </c>
      <c r="K1205" s="1"/>
      <c r="L1205" s="1" t="s">
        <v>3536</v>
      </c>
      <c r="M1205" s="1" t="s">
        <v>3537</v>
      </c>
      <c r="N1205" s="1" t="s">
        <v>3538</v>
      </c>
      <c r="O1205" s="1" t="s">
        <v>3539</v>
      </c>
      <c r="P1205" s="1" t="s">
        <v>2095</v>
      </c>
      <c r="Q1205" s="1" t="s">
        <v>3540</v>
      </c>
      <c r="R1205" s="1"/>
      <c r="S1205" s="1" t="s">
        <v>2072</v>
      </c>
      <c r="T1205" s="1" t="s">
        <v>2073</v>
      </c>
      <c r="U1205" s="4">
        <v>2600000</v>
      </c>
      <c r="V1205" s="4">
        <v>3550</v>
      </c>
      <c r="W1205" s="4">
        <v>36</v>
      </c>
      <c r="X1205" s="4">
        <v>533</v>
      </c>
      <c r="Y1205" s="4">
        <v>0</v>
      </c>
      <c r="Z1205" s="5">
        <v>4119</v>
      </c>
      <c r="AA1205" s="5">
        <v>0</v>
      </c>
      <c r="AB1205" s="6">
        <v>0</v>
      </c>
      <c r="AC1205" s="4">
        <v>4119</v>
      </c>
      <c r="AD1205" s="4">
        <v>0</v>
      </c>
      <c r="AE1205" s="4">
        <v>4119</v>
      </c>
      <c r="AF1205" s="1"/>
      <c r="AG1205" s="1"/>
      <c r="AH1205" s="1"/>
      <c r="AI1205" s="1" t="s">
        <v>3432</v>
      </c>
      <c r="AJ1205" s="6">
        <v>1476.4900000000009</v>
      </c>
      <c r="AK1205" s="6">
        <v>1158.0700000000002</v>
      </c>
      <c r="AL1205" s="1"/>
    </row>
    <row r="1206" spans="1:38" hidden="1" x14ac:dyDescent="0.25">
      <c r="A1206" s="2">
        <v>1577</v>
      </c>
      <c r="B1206" s="1" t="s">
        <v>1415</v>
      </c>
      <c r="C1206" s="1" t="s">
        <v>1422</v>
      </c>
      <c r="D1206" s="1" t="s">
        <v>2062</v>
      </c>
      <c r="E1206" s="1" t="s">
        <v>2063</v>
      </c>
      <c r="F1206" s="3">
        <v>45655</v>
      </c>
      <c r="G1206" s="3">
        <v>45325</v>
      </c>
      <c r="H1206" s="3">
        <v>45690</v>
      </c>
      <c r="I1206" s="1" t="s">
        <v>3534</v>
      </c>
      <c r="J1206" s="1" t="s">
        <v>3535</v>
      </c>
      <c r="K1206" s="1"/>
      <c r="L1206" s="1" t="s">
        <v>3536</v>
      </c>
      <c r="M1206" s="1" t="s">
        <v>3537</v>
      </c>
      <c r="N1206" s="1" t="s">
        <v>3538</v>
      </c>
      <c r="O1206" s="1" t="s">
        <v>3539</v>
      </c>
      <c r="P1206" s="1" t="s">
        <v>2095</v>
      </c>
      <c r="Q1206" s="1" t="s">
        <v>3540</v>
      </c>
      <c r="R1206" s="1"/>
      <c r="S1206" s="1" t="s">
        <v>2072</v>
      </c>
      <c r="T1206" s="1" t="s">
        <v>2073</v>
      </c>
      <c r="U1206" s="4">
        <v>-1</v>
      </c>
      <c r="V1206" s="4">
        <v>-23975</v>
      </c>
      <c r="W1206" s="4">
        <v>-240</v>
      </c>
      <c r="X1206" s="4">
        <v>0</v>
      </c>
      <c r="Y1206" s="4">
        <v>0</v>
      </c>
      <c r="Z1206" s="5">
        <v>-24215</v>
      </c>
      <c r="AA1206" s="5">
        <v>0</v>
      </c>
      <c r="AB1206" s="6">
        <v>0</v>
      </c>
      <c r="AC1206" s="4">
        <v>-24215</v>
      </c>
      <c r="AD1206" s="4">
        <v>0</v>
      </c>
      <c r="AE1206" s="4">
        <v>-24215</v>
      </c>
      <c r="AF1206" s="1"/>
      <c r="AG1206" s="1"/>
      <c r="AH1206" s="1"/>
      <c r="AI1206" s="1" t="s">
        <v>3432</v>
      </c>
      <c r="AJ1206" s="1"/>
      <c r="AK1206" s="1"/>
      <c r="AL1206" s="1"/>
    </row>
    <row r="1207" spans="1:38" hidden="1" x14ac:dyDescent="0.25">
      <c r="A1207" s="2">
        <v>1581</v>
      </c>
      <c r="B1207" s="1" t="s">
        <v>1423</v>
      </c>
      <c r="C1207" s="1" t="s">
        <v>1424</v>
      </c>
      <c r="D1207" s="1" t="s">
        <v>2062</v>
      </c>
      <c r="E1207" s="1" t="s">
        <v>2063</v>
      </c>
      <c r="F1207" s="3">
        <v>45482</v>
      </c>
      <c r="G1207" s="3">
        <v>45328</v>
      </c>
      <c r="H1207" s="3">
        <v>45693</v>
      </c>
      <c r="I1207" s="1" t="s">
        <v>3541</v>
      </c>
      <c r="J1207" s="1" t="s">
        <v>3542</v>
      </c>
      <c r="K1207" s="1"/>
      <c r="L1207" s="1" t="s">
        <v>2066</v>
      </c>
      <c r="M1207" s="1" t="s">
        <v>3543</v>
      </c>
      <c r="N1207" s="1" t="s">
        <v>3544</v>
      </c>
      <c r="O1207" s="1" t="s">
        <v>3545</v>
      </c>
      <c r="P1207" s="1" t="s">
        <v>2231</v>
      </c>
      <c r="Q1207" s="1"/>
      <c r="R1207" s="1"/>
      <c r="S1207" s="1" t="s">
        <v>2072</v>
      </c>
      <c r="T1207" s="1" t="s">
        <v>3165</v>
      </c>
      <c r="U1207" s="4">
        <v>3500000</v>
      </c>
      <c r="V1207" s="4">
        <v>3434</v>
      </c>
      <c r="W1207" s="4">
        <v>34</v>
      </c>
      <c r="X1207" s="4">
        <v>515</v>
      </c>
      <c r="Y1207" s="4">
        <v>0</v>
      </c>
      <c r="Z1207" s="5">
        <v>3983</v>
      </c>
      <c r="AA1207" s="5">
        <v>0</v>
      </c>
      <c r="AB1207" s="6">
        <v>0</v>
      </c>
      <c r="AC1207" s="4">
        <v>3983</v>
      </c>
      <c r="AD1207" s="4">
        <v>0</v>
      </c>
      <c r="AE1207" s="4">
        <v>3983</v>
      </c>
      <c r="AF1207" s="1"/>
      <c r="AG1207" s="1"/>
      <c r="AH1207" s="1"/>
      <c r="AI1207" s="1" t="s">
        <v>2841</v>
      </c>
      <c r="AJ1207" s="6">
        <v>1015.6400000000011</v>
      </c>
      <c r="AK1207" s="6">
        <v>830.73</v>
      </c>
      <c r="AL1207" s="1"/>
    </row>
    <row r="1208" spans="1:38" hidden="1" x14ac:dyDescent="0.25">
      <c r="A1208" s="2">
        <v>1582</v>
      </c>
      <c r="B1208" s="1" t="s">
        <v>1423</v>
      </c>
      <c r="C1208" s="1" t="s">
        <v>1425</v>
      </c>
      <c r="D1208" s="1" t="s">
        <v>2062</v>
      </c>
      <c r="E1208" s="1" t="s">
        <v>2063</v>
      </c>
      <c r="F1208" s="3">
        <v>45512</v>
      </c>
      <c r="G1208" s="3">
        <v>45328</v>
      </c>
      <c r="H1208" s="3">
        <v>45693</v>
      </c>
      <c r="I1208" s="1" t="s">
        <v>3541</v>
      </c>
      <c r="J1208" s="1" t="s">
        <v>3542</v>
      </c>
      <c r="K1208" s="1"/>
      <c r="L1208" s="1" t="s">
        <v>2066</v>
      </c>
      <c r="M1208" s="1" t="s">
        <v>3543</v>
      </c>
      <c r="N1208" s="1" t="s">
        <v>3544</v>
      </c>
      <c r="O1208" s="1" t="s">
        <v>3545</v>
      </c>
      <c r="P1208" s="1" t="s">
        <v>2231</v>
      </c>
      <c r="Q1208" s="1"/>
      <c r="R1208" s="1"/>
      <c r="S1208" s="1" t="s">
        <v>2072</v>
      </c>
      <c r="T1208" s="1" t="s">
        <v>3165</v>
      </c>
      <c r="U1208" s="4">
        <v>3500000</v>
      </c>
      <c r="V1208" s="4">
        <v>4036</v>
      </c>
      <c r="W1208" s="4">
        <v>40</v>
      </c>
      <c r="X1208" s="4">
        <v>605</v>
      </c>
      <c r="Y1208" s="4">
        <v>0</v>
      </c>
      <c r="Z1208" s="5">
        <v>4681</v>
      </c>
      <c r="AA1208" s="5">
        <v>0</v>
      </c>
      <c r="AB1208" s="6">
        <v>0</v>
      </c>
      <c r="AC1208" s="4">
        <v>4681</v>
      </c>
      <c r="AD1208" s="4">
        <v>0</v>
      </c>
      <c r="AE1208" s="4">
        <v>4681</v>
      </c>
      <c r="AF1208" s="1"/>
      <c r="AG1208" s="1"/>
      <c r="AH1208" s="1"/>
      <c r="AI1208" s="1" t="s">
        <v>2841</v>
      </c>
      <c r="AJ1208" s="6">
        <v>1093.230000000003</v>
      </c>
      <c r="AK1208" s="6">
        <v>975.46000000000106</v>
      </c>
      <c r="AL1208" s="1"/>
    </row>
    <row r="1209" spans="1:38" hidden="1" x14ac:dyDescent="0.25">
      <c r="A1209" s="2">
        <v>1583</v>
      </c>
      <c r="B1209" s="1" t="s">
        <v>1423</v>
      </c>
      <c r="C1209" s="1" t="s">
        <v>1426</v>
      </c>
      <c r="D1209" s="1" t="s">
        <v>2062</v>
      </c>
      <c r="E1209" s="1" t="s">
        <v>2063</v>
      </c>
      <c r="F1209" s="3">
        <v>45542</v>
      </c>
      <c r="G1209" s="3">
        <v>45328</v>
      </c>
      <c r="H1209" s="3">
        <v>45693</v>
      </c>
      <c r="I1209" s="1" t="s">
        <v>3541</v>
      </c>
      <c r="J1209" s="1" t="s">
        <v>3542</v>
      </c>
      <c r="K1209" s="1"/>
      <c r="L1209" s="1" t="s">
        <v>2066</v>
      </c>
      <c r="M1209" s="1" t="s">
        <v>3543</v>
      </c>
      <c r="N1209" s="1" t="s">
        <v>3544</v>
      </c>
      <c r="O1209" s="1" t="s">
        <v>3545</v>
      </c>
      <c r="P1209" s="1" t="s">
        <v>2231</v>
      </c>
      <c r="Q1209" s="1"/>
      <c r="R1209" s="1"/>
      <c r="S1209" s="1" t="s">
        <v>2072</v>
      </c>
      <c r="T1209" s="1" t="s">
        <v>3165</v>
      </c>
      <c r="U1209" s="4">
        <v>3500000</v>
      </c>
      <c r="V1209" s="4">
        <v>4558</v>
      </c>
      <c r="W1209" s="4">
        <v>46</v>
      </c>
      <c r="X1209" s="4">
        <v>684</v>
      </c>
      <c r="Y1209" s="4">
        <v>0</v>
      </c>
      <c r="Z1209" s="5">
        <v>5288</v>
      </c>
      <c r="AA1209" s="5">
        <v>0</v>
      </c>
      <c r="AB1209" s="6">
        <v>0</v>
      </c>
      <c r="AC1209" s="4">
        <v>5288</v>
      </c>
      <c r="AD1209" s="4">
        <v>0</v>
      </c>
      <c r="AE1209" s="4">
        <v>5288</v>
      </c>
      <c r="AF1209" s="1"/>
      <c r="AG1209" s="1"/>
      <c r="AH1209" s="1"/>
      <c r="AI1209" s="1" t="s">
        <v>2841</v>
      </c>
      <c r="AJ1209" s="6">
        <v>1222.8500000000022</v>
      </c>
      <c r="AK1209" s="6">
        <v>1102.380000000001</v>
      </c>
      <c r="AL1209" s="1"/>
    </row>
    <row r="1210" spans="1:38" hidden="1" x14ac:dyDescent="0.25">
      <c r="A1210" s="2">
        <v>1584</v>
      </c>
      <c r="B1210" s="1" t="s">
        <v>1423</v>
      </c>
      <c r="C1210" s="1" t="s">
        <v>1427</v>
      </c>
      <c r="D1210" s="1" t="s">
        <v>2062</v>
      </c>
      <c r="E1210" s="1" t="s">
        <v>2063</v>
      </c>
      <c r="F1210" s="3">
        <v>45574</v>
      </c>
      <c r="G1210" s="3">
        <v>45328</v>
      </c>
      <c r="H1210" s="3">
        <v>45693</v>
      </c>
      <c r="I1210" s="1" t="s">
        <v>3541</v>
      </c>
      <c r="J1210" s="1" t="s">
        <v>3542</v>
      </c>
      <c r="K1210" s="1"/>
      <c r="L1210" s="1" t="s">
        <v>2066</v>
      </c>
      <c r="M1210" s="1" t="s">
        <v>3543</v>
      </c>
      <c r="N1210" s="1" t="s">
        <v>3544</v>
      </c>
      <c r="O1210" s="1" t="s">
        <v>3545</v>
      </c>
      <c r="P1210" s="1" t="s">
        <v>2231</v>
      </c>
      <c r="Q1210" s="1"/>
      <c r="R1210" s="1"/>
      <c r="S1210" s="1" t="s">
        <v>2072</v>
      </c>
      <c r="T1210" s="1" t="s">
        <v>3165</v>
      </c>
      <c r="U1210" s="4">
        <v>3500000</v>
      </c>
      <c r="V1210" s="4">
        <v>3650</v>
      </c>
      <c r="W1210" s="4">
        <v>37</v>
      </c>
      <c r="X1210" s="4">
        <v>548</v>
      </c>
      <c r="Y1210" s="4">
        <v>0</v>
      </c>
      <c r="Z1210" s="5">
        <v>4235</v>
      </c>
      <c r="AA1210" s="5">
        <v>0</v>
      </c>
      <c r="AB1210" s="6">
        <v>0</v>
      </c>
      <c r="AC1210" s="4">
        <v>4235</v>
      </c>
      <c r="AD1210" s="4">
        <v>0</v>
      </c>
      <c r="AE1210" s="4">
        <v>4235</v>
      </c>
      <c r="AF1210" s="1"/>
      <c r="AG1210" s="1"/>
      <c r="AH1210" s="1"/>
      <c r="AI1210" s="1" t="s">
        <v>2841</v>
      </c>
      <c r="AJ1210" s="6">
        <v>1048.7500000000009</v>
      </c>
      <c r="AK1210" s="6">
        <v>883.01000000000101</v>
      </c>
      <c r="AL1210" s="1"/>
    </row>
    <row r="1211" spans="1:38" hidden="1" x14ac:dyDescent="0.25">
      <c r="A1211" s="2">
        <v>1585</v>
      </c>
      <c r="B1211" s="1" t="s">
        <v>1423</v>
      </c>
      <c r="C1211" s="1" t="s">
        <v>1428</v>
      </c>
      <c r="D1211" s="1" t="s">
        <v>2062</v>
      </c>
      <c r="E1211" s="1" t="s">
        <v>2063</v>
      </c>
      <c r="F1211" s="3">
        <v>45596</v>
      </c>
      <c r="G1211" s="3">
        <v>45328</v>
      </c>
      <c r="H1211" s="3">
        <v>45693</v>
      </c>
      <c r="I1211" s="1" t="s">
        <v>3541</v>
      </c>
      <c r="J1211" s="1" t="s">
        <v>3542</v>
      </c>
      <c r="K1211" s="1"/>
      <c r="L1211" s="1" t="s">
        <v>2066</v>
      </c>
      <c r="M1211" s="1" t="s">
        <v>3543</v>
      </c>
      <c r="N1211" s="1" t="s">
        <v>3544</v>
      </c>
      <c r="O1211" s="1" t="s">
        <v>3545</v>
      </c>
      <c r="P1211" s="1" t="s">
        <v>2231</v>
      </c>
      <c r="Q1211" s="1"/>
      <c r="R1211" s="1"/>
      <c r="S1211" s="1" t="s">
        <v>2072</v>
      </c>
      <c r="T1211" s="1" t="s">
        <v>3165</v>
      </c>
      <c r="U1211" s="4">
        <v>-1</v>
      </c>
      <c r="V1211" s="4">
        <v>-18007</v>
      </c>
      <c r="W1211" s="4">
        <v>-180</v>
      </c>
      <c r="X1211" s="4">
        <v>0</v>
      </c>
      <c r="Y1211" s="4">
        <v>0</v>
      </c>
      <c r="Z1211" s="5">
        <v>-18187</v>
      </c>
      <c r="AA1211" s="5">
        <v>0</v>
      </c>
      <c r="AB1211" s="6">
        <v>0</v>
      </c>
      <c r="AC1211" s="4">
        <v>-18187</v>
      </c>
      <c r="AD1211" s="4">
        <v>0</v>
      </c>
      <c r="AE1211" s="4">
        <v>-18187</v>
      </c>
      <c r="AF1211" s="1"/>
      <c r="AG1211" s="1"/>
      <c r="AH1211" s="1"/>
      <c r="AI1211" s="1" t="s">
        <v>2841</v>
      </c>
      <c r="AJ1211" s="1"/>
      <c r="AK1211" s="1"/>
      <c r="AL1211" s="1"/>
    </row>
    <row r="1212" spans="1:38" hidden="1" x14ac:dyDescent="0.25">
      <c r="A1212" s="2">
        <v>1586</v>
      </c>
      <c r="B1212" s="1" t="s">
        <v>1429</v>
      </c>
      <c r="C1212" s="1" t="s">
        <v>1430</v>
      </c>
      <c r="D1212" s="1" t="s">
        <v>2062</v>
      </c>
      <c r="E1212" s="1" t="s">
        <v>2063</v>
      </c>
      <c r="F1212" s="3">
        <v>45357</v>
      </c>
      <c r="G1212" s="3">
        <v>45328</v>
      </c>
      <c r="H1212" s="3">
        <v>45693</v>
      </c>
      <c r="I1212" s="1" t="s">
        <v>3546</v>
      </c>
      <c r="J1212" s="1" t="s">
        <v>3547</v>
      </c>
      <c r="K1212" s="1"/>
      <c r="L1212" s="1" t="s">
        <v>2529</v>
      </c>
      <c r="M1212" s="1" t="s">
        <v>3548</v>
      </c>
      <c r="N1212" s="1" t="s">
        <v>3549</v>
      </c>
      <c r="O1212" s="1" t="s">
        <v>3550</v>
      </c>
      <c r="P1212" s="1" t="s">
        <v>2095</v>
      </c>
      <c r="Q1212" s="1"/>
      <c r="R1212" s="1"/>
      <c r="S1212" s="1" t="s">
        <v>2072</v>
      </c>
      <c r="T1212" s="1" t="s">
        <v>3165</v>
      </c>
      <c r="U1212" s="4">
        <v>7500000</v>
      </c>
      <c r="V1212" s="4">
        <v>2179</v>
      </c>
      <c r="W1212" s="4">
        <v>22</v>
      </c>
      <c r="X1212" s="4">
        <v>284</v>
      </c>
      <c r="Y1212" s="4">
        <v>0</v>
      </c>
      <c r="Z1212" s="5">
        <v>2485</v>
      </c>
      <c r="AA1212" s="5">
        <v>0</v>
      </c>
      <c r="AB1212" s="6">
        <v>0</v>
      </c>
      <c r="AC1212" s="4">
        <v>2485</v>
      </c>
      <c r="AD1212" s="4">
        <v>0</v>
      </c>
      <c r="AE1212" s="4">
        <v>2485</v>
      </c>
      <c r="AF1212" s="1"/>
      <c r="AG1212" s="1"/>
      <c r="AH1212" s="1"/>
      <c r="AI1212" s="1" t="s">
        <v>2327</v>
      </c>
      <c r="AJ1212" s="6">
        <v>250.74</v>
      </c>
      <c r="AK1212" s="6">
        <v>241.86</v>
      </c>
      <c r="AL1212" s="1"/>
    </row>
    <row r="1213" spans="1:38" hidden="1" x14ac:dyDescent="0.25">
      <c r="A1213" s="2">
        <v>1587</v>
      </c>
      <c r="B1213" s="1" t="s">
        <v>1429</v>
      </c>
      <c r="C1213" s="1" t="s">
        <v>1431</v>
      </c>
      <c r="D1213" s="1" t="s">
        <v>2062</v>
      </c>
      <c r="E1213" s="1" t="s">
        <v>2063</v>
      </c>
      <c r="F1213" s="3">
        <v>45391</v>
      </c>
      <c r="G1213" s="3">
        <v>45328</v>
      </c>
      <c r="H1213" s="3">
        <v>45693</v>
      </c>
      <c r="I1213" s="1" t="s">
        <v>3546</v>
      </c>
      <c r="J1213" s="1" t="s">
        <v>3547</v>
      </c>
      <c r="K1213" s="1"/>
      <c r="L1213" s="1" t="s">
        <v>2529</v>
      </c>
      <c r="M1213" s="1" t="s">
        <v>3548</v>
      </c>
      <c r="N1213" s="1" t="s">
        <v>3549</v>
      </c>
      <c r="O1213" s="1" t="s">
        <v>3550</v>
      </c>
      <c r="P1213" s="1" t="s">
        <v>2095</v>
      </c>
      <c r="Q1213" s="1"/>
      <c r="R1213" s="1"/>
      <c r="S1213" s="1" t="s">
        <v>2072</v>
      </c>
      <c r="T1213" s="1" t="s">
        <v>3165</v>
      </c>
      <c r="U1213" s="4">
        <v>7500000</v>
      </c>
      <c r="V1213" s="4">
        <v>1404</v>
      </c>
      <c r="W1213" s="4">
        <v>14</v>
      </c>
      <c r="X1213" s="4">
        <v>182</v>
      </c>
      <c r="Y1213" s="4">
        <v>0</v>
      </c>
      <c r="Z1213" s="5">
        <v>1600</v>
      </c>
      <c r="AA1213" s="5">
        <v>0</v>
      </c>
      <c r="AB1213" s="6">
        <v>0</v>
      </c>
      <c r="AC1213" s="4">
        <v>1600</v>
      </c>
      <c r="AD1213" s="4">
        <v>0</v>
      </c>
      <c r="AE1213" s="4">
        <v>1600</v>
      </c>
      <c r="AF1213" s="1"/>
      <c r="AG1213" s="1"/>
      <c r="AH1213" s="1"/>
      <c r="AI1213" s="1" t="s">
        <v>2327</v>
      </c>
      <c r="AJ1213" s="6">
        <v>186.33</v>
      </c>
      <c r="AK1213" s="6">
        <v>155.97999999999999</v>
      </c>
      <c r="AL1213" s="1"/>
    </row>
    <row r="1214" spans="1:38" hidden="1" x14ac:dyDescent="0.25">
      <c r="A1214" s="2">
        <v>1588</v>
      </c>
      <c r="B1214" s="1" t="s">
        <v>1429</v>
      </c>
      <c r="C1214" s="1" t="s">
        <v>1432</v>
      </c>
      <c r="D1214" s="1" t="s">
        <v>2062</v>
      </c>
      <c r="E1214" s="1" t="s">
        <v>2063</v>
      </c>
      <c r="F1214" s="3">
        <v>45425</v>
      </c>
      <c r="G1214" s="3">
        <v>45328</v>
      </c>
      <c r="H1214" s="3">
        <v>45693</v>
      </c>
      <c r="I1214" s="1" t="s">
        <v>3546</v>
      </c>
      <c r="J1214" s="1" t="s">
        <v>3547</v>
      </c>
      <c r="K1214" s="1"/>
      <c r="L1214" s="1" t="s">
        <v>2529</v>
      </c>
      <c r="M1214" s="1" t="s">
        <v>3548</v>
      </c>
      <c r="N1214" s="1" t="s">
        <v>3549</v>
      </c>
      <c r="O1214" s="1" t="s">
        <v>3550</v>
      </c>
      <c r="P1214" s="1" t="s">
        <v>2095</v>
      </c>
      <c r="Q1214" s="1"/>
      <c r="R1214" s="1"/>
      <c r="S1214" s="1" t="s">
        <v>2072</v>
      </c>
      <c r="T1214" s="1" t="s">
        <v>3165</v>
      </c>
      <c r="U1214" s="4">
        <v>7500000</v>
      </c>
      <c r="V1214" s="4">
        <v>4532</v>
      </c>
      <c r="W1214" s="4">
        <v>46</v>
      </c>
      <c r="X1214" s="4">
        <v>590</v>
      </c>
      <c r="Y1214" s="4">
        <v>0</v>
      </c>
      <c r="Z1214" s="5">
        <v>5168</v>
      </c>
      <c r="AA1214" s="5">
        <v>0</v>
      </c>
      <c r="AB1214" s="6">
        <v>0</v>
      </c>
      <c r="AC1214" s="4">
        <v>5168</v>
      </c>
      <c r="AD1214" s="4">
        <v>0</v>
      </c>
      <c r="AE1214" s="4">
        <v>5168</v>
      </c>
      <c r="AF1214" s="1"/>
      <c r="AG1214" s="1"/>
      <c r="AH1214" s="1"/>
      <c r="AI1214" s="1" t="s">
        <v>2327</v>
      </c>
      <c r="AJ1214" s="6">
        <v>642.61000000000104</v>
      </c>
      <c r="AK1214" s="6">
        <v>503.19</v>
      </c>
      <c r="AL1214" s="1"/>
    </row>
    <row r="1215" spans="1:38" hidden="1" x14ac:dyDescent="0.25">
      <c r="A1215" s="2">
        <v>1589</v>
      </c>
      <c r="B1215" s="1" t="s">
        <v>1429</v>
      </c>
      <c r="C1215" s="1" t="s">
        <v>1433</v>
      </c>
      <c r="D1215" s="1" t="s">
        <v>2062</v>
      </c>
      <c r="E1215" s="1" t="s">
        <v>2063</v>
      </c>
      <c r="F1215" s="3">
        <v>45449</v>
      </c>
      <c r="G1215" s="3">
        <v>45328</v>
      </c>
      <c r="H1215" s="3">
        <v>45693</v>
      </c>
      <c r="I1215" s="1" t="s">
        <v>3546</v>
      </c>
      <c r="J1215" s="1" t="s">
        <v>3547</v>
      </c>
      <c r="K1215" s="1"/>
      <c r="L1215" s="1" t="s">
        <v>2529</v>
      </c>
      <c r="M1215" s="1" t="s">
        <v>3548</v>
      </c>
      <c r="N1215" s="1" t="s">
        <v>3549</v>
      </c>
      <c r="O1215" s="1" t="s">
        <v>3550</v>
      </c>
      <c r="P1215" s="1" t="s">
        <v>2095</v>
      </c>
      <c r="Q1215" s="1"/>
      <c r="R1215" s="1"/>
      <c r="S1215" s="1" t="s">
        <v>2072</v>
      </c>
      <c r="T1215" s="1" t="s">
        <v>3165</v>
      </c>
      <c r="U1215" s="4">
        <v>7500000</v>
      </c>
      <c r="V1215" s="4">
        <v>2354</v>
      </c>
      <c r="W1215" s="4">
        <v>23</v>
      </c>
      <c r="X1215" s="4">
        <v>305</v>
      </c>
      <c r="Y1215" s="4">
        <v>0</v>
      </c>
      <c r="Z1215" s="5">
        <v>2682</v>
      </c>
      <c r="AA1215" s="5">
        <v>0</v>
      </c>
      <c r="AB1215" s="6">
        <v>0</v>
      </c>
      <c r="AC1215" s="4">
        <v>2682</v>
      </c>
      <c r="AD1215" s="4">
        <v>0</v>
      </c>
      <c r="AE1215" s="4">
        <v>2682</v>
      </c>
      <c r="AF1215" s="1"/>
      <c r="AG1215" s="1"/>
      <c r="AH1215" s="1"/>
      <c r="AI1215" s="1" t="s">
        <v>2327</v>
      </c>
      <c r="AJ1215" s="6">
        <v>260.90000000000003</v>
      </c>
      <c r="AK1215" s="6">
        <v>260.90000000000003</v>
      </c>
      <c r="AL1215" s="1"/>
    </row>
    <row r="1216" spans="1:38" hidden="1" x14ac:dyDescent="0.25">
      <c r="A1216" s="2">
        <v>1590</v>
      </c>
      <c r="B1216" s="1" t="s">
        <v>1429</v>
      </c>
      <c r="C1216" s="1" t="s">
        <v>1434</v>
      </c>
      <c r="D1216" s="1" t="s">
        <v>2062</v>
      </c>
      <c r="E1216" s="1" t="s">
        <v>2063</v>
      </c>
      <c r="F1216" s="3">
        <v>45482</v>
      </c>
      <c r="G1216" s="3">
        <v>45328</v>
      </c>
      <c r="H1216" s="3">
        <v>45693</v>
      </c>
      <c r="I1216" s="1" t="s">
        <v>3546</v>
      </c>
      <c r="J1216" s="1" t="s">
        <v>3547</v>
      </c>
      <c r="K1216" s="1"/>
      <c r="L1216" s="1" t="s">
        <v>2529</v>
      </c>
      <c r="M1216" s="1" t="s">
        <v>3548</v>
      </c>
      <c r="N1216" s="1" t="s">
        <v>3549</v>
      </c>
      <c r="O1216" s="1" t="s">
        <v>3550</v>
      </c>
      <c r="P1216" s="1" t="s">
        <v>2095</v>
      </c>
      <c r="Q1216" s="1"/>
      <c r="R1216" s="1"/>
      <c r="S1216" s="1" t="s">
        <v>2072</v>
      </c>
      <c r="T1216" s="1" t="s">
        <v>3165</v>
      </c>
      <c r="U1216" s="4">
        <v>7500000</v>
      </c>
      <c r="V1216" s="4">
        <v>4170</v>
      </c>
      <c r="W1216" s="4">
        <v>42</v>
      </c>
      <c r="X1216" s="4">
        <v>626</v>
      </c>
      <c r="Y1216" s="4">
        <v>0</v>
      </c>
      <c r="Z1216" s="5">
        <v>4838</v>
      </c>
      <c r="AA1216" s="5">
        <v>0</v>
      </c>
      <c r="AB1216" s="6">
        <v>0</v>
      </c>
      <c r="AC1216" s="4">
        <v>4838</v>
      </c>
      <c r="AD1216" s="4">
        <v>0</v>
      </c>
      <c r="AE1216" s="4">
        <v>4838</v>
      </c>
      <c r="AF1216" s="1"/>
      <c r="AG1216" s="1"/>
      <c r="AH1216" s="1"/>
      <c r="AI1216" s="1" t="s">
        <v>2327</v>
      </c>
      <c r="AJ1216" s="6">
        <v>523.85</v>
      </c>
      <c r="AK1216" s="6">
        <v>470.92</v>
      </c>
      <c r="AL1216" s="1"/>
    </row>
    <row r="1217" spans="1:38" hidden="1" x14ac:dyDescent="0.25">
      <c r="A1217" s="2">
        <v>1591</v>
      </c>
      <c r="B1217" s="1" t="s">
        <v>1429</v>
      </c>
      <c r="C1217" s="1" t="s">
        <v>1435</v>
      </c>
      <c r="D1217" s="1" t="s">
        <v>2062</v>
      </c>
      <c r="E1217" s="1" t="s">
        <v>2063</v>
      </c>
      <c r="F1217" s="3">
        <v>45512</v>
      </c>
      <c r="G1217" s="3">
        <v>45328</v>
      </c>
      <c r="H1217" s="3">
        <v>45693</v>
      </c>
      <c r="I1217" s="1" t="s">
        <v>3546</v>
      </c>
      <c r="J1217" s="1" t="s">
        <v>3547</v>
      </c>
      <c r="K1217" s="1"/>
      <c r="L1217" s="1" t="s">
        <v>2529</v>
      </c>
      <c r="M1217" s="1" t="s">
        <v>3548</v>
      </c>
      <c r="N1217" s="1" t="s">
        <v>3549</v>
      </c>
      <c r="O1217" s="1" t="s">
        <v>3550</v>
      </c>
      <c r="P1217" s="1" t="s">
        <v>2095</v>
      </c>
      <c r="Q1217" s="1"/>
      <c r="R1217" s="1"/>
      <c r="S1217" s="1" t="s">
        <v>2072</v>
      </c>
      <c r="T1217" s="1" t="s">
        <v>3165</v>
      </c>
      <c r="U1217" s="4">
        <v>7500000</v>
      </c>
      <c r="V1217" s="4">
        <v>1850</v>
      </c>
      <c r="W1217" s="4">
        <v>19</v>
      </c>
      <c r="X1217" s="4">
        <v>278</v>
      </c>
      <c r="Y1217" s="4">
        <v>0</v>
      </c>
      <c r="Z1217" s="5">
        <v>2147</v>
      </c>
      <c r="AA1217" s="5">
        <v>0</v>
      </c>
      <c r="AB1217" s="6">
        <v>0</v>
      </c>
      <c r="AC1217" s="4">
        <v>2147</v>
      </c>
      <c r="AD1217" s="4">
        <v>0</v>
      </c>
      <c r="AE1217" s="4">
        <v>2147</v>
      </c>
      <c r="AF1217" s="1"/>
      <c r="AG1217" s="1"/>
      <c r="AH1217" s="1"/>
      <c r="AI1217" s="1" t="s">
        <v>2327</v>
      </c>
      <c r="AJ1217" s="6">
        <v>229.01000000000005</v>
      </c>
      <c r="AK1217" s="6">
        <v>209.04000000000005</v>
      </c>
      <c r="AL1217" s="1"/>
    </row>
    <row r="1218" spans="1:38" hidden="1" x14ac:dyDescent="0.25">
      <c r="A1218" s="2">
        <v>1592</v>
      </c>
      <c r="B1218" s="1" t="s">
        <v>1429</v>
      </c>
      <c r="C1218" s="1" t="s">
        <v>1436</v>
      </c>
      <c r="D1218" s="1" t="s">
        <v>2062</v>
      </c>
      <c r="E1218" s="1" t="s">
        <v>2063</v>
      </c>
      <c r="F1218" s="3">
        <v>45542</v>
      </c>
      <c r="G1218" s="3">
        <v>45328</v>
      </c>
      <c r="H1218" s="3">
        <v>45693</v>
      </c>
      <c r="I1218" s="1" t="s">
        <v>3546</v>
      </c>
      <c r="J1218" s="1" t="s">
        <v>3547</v>
      </c>
      <c r="K1218" s="1"/>
      <c r="L1218" s="1" t="s">
        <v>2529</v>
      </c>
      <c r="M1218" s="1" t="s">
        <v>3548</v>
      </c>
      <c r="N1218" s="1" t="s">
        <v>3549</v>
      </c>
      <c r="O1218" s="1" t="s">
        <v>3550</v>
      </c>
      <c r="P1218" s="1" t="s">
        <v>2095</v>
      </c>
      <c r="Q1218" s="1"/>
      <c r="R1218" s="1"/>
      <c r="S1218" s="1" t="s">
        <v>2072</v>
      </c>
      <c r="T1218" s="1" t="s">
        <v>3165</v>
      </c>
      <c r="U1218" s="4">
        <v>7500000</v>
      </c>
      <c r="V1218" s="4">
        <v>3298</v>
      </c>
      <c r="W1218" s="4">
        <v>33</v>
      </c>
      <c r="X1218" s="4">
        <v>495</v>
      </c>
      <c r="Y1218" s="4">
        <v>0</v>
      </c>
      <c r="Z1218" s="5">
        <v>3826</v>
      </c>
      <c r="AA1218" s="5">
        <v>0</v>
      </c>
      <c r="AB1218" s="6">
        <v>0</v>
      </c>
      <c r="AC1218" s="4">
        <v>3826</v>
      </c>
      <c r="AD1218" s="4">
        <v>0</v>
      </c>
      <c r="AE1218" s="4">
        <v>3826</v>
      </c>
      <c r="AF1218" s="1"/>
      <c r="AG1218" s="1"/>
      <c r="AH1218" s="1"/>
      <c r="AI1218" s="1" t="s">
        <v>2327</v>
      </c>
      <c r="AJ1218" s="6">
        <v>661.46</v>
      </c>
      <c r="AK1218" s="6">
        <v>372.49000000000007</v>
      </c>
      <c r="AL1218" s="1"/>
    </row>
    <row r="1219" spans="1:38" hidden="1" x14ac:dyDescent="0.25">
      <c r="A1219" s="2">
        <v>1593</v>
      </c>
      <c r="B1219" s="1" t="s">
        <v>1429</v>
      </c>
      <c r="C1219" s="1" t="s">
        <v>1437</v>
      </c>
      <c r="D1219" s="1" t="s">
        <v>2062</v>
      </c>
      <c r="E1219" s="1" t="s">
        <v>2063</v>
      </c>
      <c r="F1219" s="3">
        <v>45574</v>
      </c>
      <c r="G1219" s="3">
        <v>45328</v>
      </c>
      <c r="H1219" s="3">
        <v>45693</v>
      </c>
      <c r="I1219" s="1" t="s">
        <v>3546</v>
      </c>
      <c r="J1219" s="1" t="s">
        <v>3547</v>
      </c>
      <c r="K1219" s="1"/>
      <c r="L1219" s="1" t="s">
        <v>2529</v>
      </c>
      <c r="M1219" s="1" t="s">
        <v>3548</v>
      </c>
      <c r="N1219" s="1" t="s">
        <v>3549</v>
      </c>
      <c r="O1219" s="1" t="s">
        <v>3550</v>
      </c>
      <c r="P1219" s="1" t="s">
        <v>2095</v>
      </c>
      <c r="Q1219" s="1"/>
      <c r="R1219" s="1"/>
      <c r="S1219" s="1" t="s">
        <v>2072</v>
      </c>
      <c r="T1219" s="1" t="s">
        <v>3165</v>
      </c>
      <c r="U1219" s="4">
        <v>7500000</v>
      </c>
      <c r="V1219" s="4">
        <v>2444</v>
      </c>
      <c r="W1219" s="4">
        <v>24</v>
      </c>
      <c r="X1219" s="4">
        <v>367</v>
      </c>
      <c r="Y1219" s="4">
        <v>0</v>
      </c>
      <c r="Z1219" s="5">
        <v>2835</v>
      </c>
      <c r="AA1219" s="5">
        <v>0</v>
      </c>
      <c r="AB1219" s="6">
        <v>0</v>
      </c>
      <c r="AC1219" s="4">
        <v>2835</v>
      </c>
      <c r="AD1219" s="4">
        <v>0</v>
      </c>
      <c r="AE1219" s="4">
        <v>2835</v>
      </c>
      <c r="AF1219" s="1"/>
      <c r="AG1219" s="1"/>
      <c r="AH1219" s="1"/>
      <c r="AI1219" s="1" t="s">
        <v>2327</v>
      </c>
      <c r="AJ1219" s="6">
        <v>295.29000000000002</v>
      </c>
      <c r="AK1219" s="6">
        <v>276.11000000000007</v>
      </c>
      <c r="AL1219" s="1"/>
    </row>
    <row r="1220" spans="1:38" hidden="1" x14ac:dyDescent="0.25">
      <c r="A1220" s="2">
        <v>1594</v>
      </c>
      <c r="B1220" s="1" t="s">
        <v>1429</v>
      </c>
      <c r="C1220" s="1" t="s">
        <v>1438</v>
      </c>
      <c r="D1220" s="1" t="s">
        <v>2062</v>
      </c>
      <c r="E1220" s="1" t="s">
        <v>2063</v>
      </c>
      <c r="F1220" s="3">
        <v>45604</v>
      </c>
      <c r="G1220" s="3">
        <v>45328</v>
      </c>
      <c r="H1220" s="3">
        <v>45693</v>
      </c>
      <c r="I1220" s="1" t="s">
        <v>3546</v>
      </c>
      <c r="J1220" s="1" t="s">
        <v>3547</v>
      </c>
      <c r="K1220" s="1"/>
      <c r="L1220" s="1" t="s">
        <v>2529</v>
      </c>
      <c r="M1220" s="1" t="s">
        <v>3548</v>
      </c>
      <c r="N1220" s="1" t="s">
        <v>3549</v>
      </c>
      <c r="O1220" s="1" t="s">
        <v>3550</v>
      </c>
      <c r="P1220" s="1" t="s">
        <v>2095</v>
      </c>
      <c r="Q1220" s="1"/>
      <c r="R1220" s="1"/>
      <c r="S1220" s="1" t="s">
        <v>2072</v>
      </c>
      <c r="T1220" s="1" t="s">
        <v>3165</v>
      </c>
      <c r="U1220" s="4">
        <v>7500000</v>
      </c>
      <c r="V1220" s="4">
        <v>5113</v>
      </c>
      <c r="W1220" s="4">
        <v>51</v>
      </c>
      <c r="X1220" s="4">
        <v>767</v>
      </c>
      <c r="Y1220" s="4">
        <v>0</v>
      </c>
      <c r="Z1220" s="5">
        <v>5931</v>
      </c>
      <c r="AA1220" s="5">
        <v>0</v>
      </c>
      <c r="AB1220" s="6">
        <v>0</v>
      </c>
      <c r="AC1220" s="4">
        <v>5931</v>
      </c>
      <c r="AD1220" s="4">
        <v>0</v>
      </c>
      <c r="AE1220" s="4">
        <v>5931</v>
      </c>
      <c r="AF1220" s="1"/>
      <c r="AG1220" s="1"/>
      <c r="AH1220" s="1"/>
      <c r="AI1220" s="1" t="s">
        <v>2327</v>
      </c>
      <c r="AJ1220" s="6">
        <v>643.89</v>
      </c>
      <c r="AK1220" s="6">
        <v>577.37</v>
      </c>
      <c r="AL1220" s="1"/>
    </row>
    <row r="1221" spans="1:38" hidden="1" x14ac:dyDescent="0.25">
      <c r="A1221" s="2">
        <v>1595</v>
      </c>
      <c r="B1221" s="1" t="s">
        <v>1429</v>
      </c>
      <c r="C1221" s="1" t="s">
        <v>1439</v>
      </c>
      <c r="D1221" s="1" t="s">
        <v>2062</v>
      </c>
      <c r="E1221" s="1" t="s">
        <v>2063</v>
      </c>
      <c r="F1221" s="3">
        <v>45633</v>
      </c>
      <c r="G1221" s="3">
        <v>45328</v>
      </c>
      <c r="H1221" s="3">
        <v>45693</v>
      </c>
      <c r="I1221" s="1" t="s">
        <v>3546</v>
      </c>
      <c r="J1221" s="1" t="s">
        <v>3547</v>
      </c>
      <c r="K1221" s="1"/>
      <c r="L1221" s="1" t="s">
        <v>2529</v>
      </c>
      <c r="M1221" s="1" t="s">
        <v>3548</v>
      </c>
      <c r="N1221" s="1" t="s">
        <v>3549</v>
      </c>
      <c r="O1221" s="1" t="s">
        <v>3550</v>
      </c>
      <c r="P1221" s="1" t="s">
        <v>2095</v>
      </c>
      <c r="Q1221" s="1"/>
      <c r="R1221" s="1"/>
      <c r="S1221" s="1" t="s">
        <v>2072</v>
      </c>
      <c r="T1221" s="1" t="s">
        <v>3165</v>
      </c>
      <c r="U1221" s="4">
        <v>7500000</v>
      </c>
      <c r="V1221" s="4">
        <v>5916</v>
      </c>
      <c r="W1221" s="4">
        <v>59</v>
      </c>
      <c r="X1221" s="4">
        <v>887</v>
      </c>
      <c r="Y1221" s="4">
        <v>0</v>
      </c>
      <c r="Z1221" s="5">
        <v>6862</v>
      </c>
      <c r="AA1221" s="5">
        <v>0</v>
      </c>
      <c r="AB1221" s="6">
        <v>0</v>
      </c>
      <c r="AC1221" s="4">
        <v>6862</v>
      </c>
      <c r="AD1221" s="4">
        <v>0</v>
      </c>
      <c r="AE1221" s="4">
        <v>6862</v>
      </c>
      <c r="AF1221" s="1"/>
      <c r="AG1221" s="1"/>
      <c r="AH1221" s="1"/>
      <c r="AI1221" s="1" t="s">
        <v>2327</v>
      </c>
      <c r="AJ1221" s="6">
        <v>1802.130000000036</v>
      </c>
      <c r="AK1221" s="6">
        <v>668.08</v>
      </c>
      <c r="AL1221" s="1"/>
    </row>
    <row r="1222" spans="1:38" hidden="1" x14ac:dyDescent="0.25">
      <c r="A1222" s="2">
        <v>1596</v>
      </c>
      <c r="B1222" s="1" t="s">
        <v>1429</v>
      </c>
      <c r="C1222" s="1" t="s">
        <v>1440</v>
      </c>
      <c r="D1222" s="1" t="s">
        <v>2062</v>
      </c>
      <c r="E1222" s="1" t="s">
        <v>2063</v>
      </c>
      <c r="F1222" s="3">
        <v>45655</v>
      </c>
      <c r="G1222" s="3">
        <v>45328</v>
      </c>
      <c r="H1222" s="3">
        <v>45693</v>
      </c>
      <c r="I1222" s="1" t="s">
        <v>3546</v>
      </c>
      <c r="J1222" s="1" t="s">
        <v>3547</v>
      </c>
      <c r="K1222" s="1"/>
      <c r="L1222" s="1" t="s">
        <v>2529</v>
      </c>
      <c r="M1222" s="1" t="s">
        <v>3548</v>
      </c>
      <c r="N1222" s="1" t="s">
        <v>3549</v>
      </c>
      <c r="O1222" s="1" t="s">
        <v>3550</v>
      </c>
      <c r="P1222" s="1" t="s">
        <v>2095</v>
      </c>
      <c r="Q1222" s="1"/>
      <c r="R1222" s="1"/>
      <c r="S1222" s="1" t="s">
        <v>2072</v>
      </c>
      <c r="T1222" s="1" t="s">
        <v>3165</v>
      </c>
      <c r="U1222" s="4">
        <v>-1</v>
      </c>
      <c r="V1222" s="4">
        <v>-37994</v>
      </c>
      <c r="W1222" s="4">
        <v>-380</v>
      </c>
      <c r="X1222" s="4">
        <v>0</v>
      </c>
      <c r="Y1222" s="4">
        <v>0</v>
      </c>
      <c r="Z1222" s="5">
        <v>-38374</v>
      </c>
      <c r="AA1222" s="5">
        <v>0</v>
      </c>
      <c r="AB1222" s="6">
        <v>0</v>
      </c>
      <c r="AC1222" s="4">
        <v>-38374</v>
      </c>
      <c r="AD1222" s="4">
        <v>0</v>
      </c>
      <c r="AE1222" s="4">
        <v>-38374</v>
      </c>
      <c r="AF1222" s="1"/>
      <c r="AG1222" s="1"/>
      <c r="AH1222" s="1"/>
      <c r="AI1222" s="1" t="s">
        <v>2327</v>
      </c>
      <c r="AJ1222" s="1"/>
      <c r="AK1222" s="1"/>
      <c r="AL1222" s="1"/>
    </row>
    <row r="1223" spans="1:38" x14ac:dyDescent="0.25">
      <c r="A1223" s="2">
        <v>1601</v>
      </c>
      <c r="B1223" s="1" t="s">
        <v>1441</v>
      </c>
      <c r="C1223" s="1"/>
      <c r="D1223" s="1" t="s">
        <v>2062</v>
      </c>
      <c r="E1223" s="1" t="s">
        <v>2063</v>
      </c>
      <c r="F1223" s="3">
        <v>45329</v>
      </c>
      <c r="G1223" s="3">
        <v>45329</v>
      </c>
      <c r="H1223" s="3">
        <v>45694</v>
      </c>
      <c r="I1223" s="1" t="s">
        <v>3551</v>
      </c>
      <c r="J1223" s="1" t="s">
        <v>3552</v>
      </c>
      <c r="K1223" s="1"/>
      <c r="L1223" s="1" t="s">
        <v>2315</v>
      </c>
      <c r="M1223" s="1" t="s">
        <v>3553</v>
      </c>
      <c r="N1223" s="1" t="s">
        <v>3554</v>
      </c>
      <c r="O1223" s="1" t="s">
        <v>3555</v>
      </c>
      <c r="P1223" s="1" t="s">
        <v>2081</v>
      </c>
      <c r="Q1223" s="1" t="s">
        <v>3556</v>
      </c>
      <c r="R1223" s="1"/>
      <c r="S1223" s="1" t="s">
        <v>2072</v>
      </c>
      <c r="T1223" s="1" t="s">
        <v>2073</v>
      </c>
      <c r="U1223" s="4">
        <v>-1</v>
      </c>
      <c r="V1223" s="4">
        <v>0</v>
      </c>
      <c r="W1223" s="4">
        <v>0</v>
      </c>
      <c r="X1223" s="4">
        <v>0</v>
      </c>
      <c r="Y1223" s="4">
        <v>50</v>
      </c>
      <c r="Z1223" s="5">
        <v>50</v>
      </c>
      <c r="AA1223" s="5">
        <v>0</v>
      </c>
      <c r="AB1223" s="6">
        <v>0</v>
      </c>
      <c r="AC1223" s="4">
        <v>50</v>
      </c>
      <c r="AD1223" s="4">
        <v>0</v>
      </c>
      <c r="AE1223" s="4">
        <v>50</v>
      </c>
      <c r="AF1223" s="1"/>
      <c r="AG1223" s="1"/>
      <c r="AH1223" s="1"/>
      <c r="AI1223" s="1" t="s">
        <v>3432</v>
      </c>
      <c r="AJ1223" s="1"/>
      <c r="AK1223" s="1"/>
      <c r="AL1223" s="1" t="s">
        <v>3557</v>
      </c>
    </row>
    <row r="1224" spans="1:38" hidden="1" x14ac:dyDescent="0.25">
      <c r="A1224" s="2">
        <v>1602</v>
      </c>
      <c r="B1224" s="1" t="s">
        <v>1441</v>
      </c>
      <c r="C1224" s="1" t="s">
        <v>1442</v>
      </c>
      <c r="D1224" s="1" t="s">
        <v>2062</v>
      </c>
      <c r="E1224" s="1" t="s">
        <v>2063</v>
      </c>
      <c r="F1224" s="3">
        <v>45655</v>
      </c>
      <c r="G1224" s="3">
        <v>45329</v>
      </c>
      <c r="H1224" s="3">
        <v>45694</v>
      </c>
      <c r="I1224" s="1" t="s">
        <v>3551</v>
      </c>
      <c r="J1224" s="1" t="s">
        <v>3552</v>
      </c>
      <c r="K1224" s="1"/>
      <c r="L1224" s="1" t="s">
        <v>2315</v>
      </c>
      <c r="M1224" s="1" t="s">
        <v>3553</v>
      </c>
      <c r="N1224" s="1" t="s">
        <v>3554</v>
      </c>
      <c r="O1224" s="1" t="s">
        <v>3555</v>
      </c>
      <c r="P1224" s="1" t="s">
        <v>2081</v>
      </c>
      <c r="Q1224" s="1" t="s">
        <v>3556</v>
      </c>
      <c r="R1224" s="1"/>
      <c r="S1224" s="1" t="s">
        <v>2072</v>
      </c>
      <c r="T1224" s="1" t="s">
        <v>2073</v>
      </c>
      <c r="U1224" s="4">
        <v>-1</v>
      </c>
      <c r="V1224" s="4">
        <v>-49</v>
      </c>
      <c r="W1224" s="4">
        <v>-1</v>
      </c>
      <c r="X1224" s="4">
        <v>0</v>
      </c>
      <c r="Y1224" s="4">
        <v>0</v>
      </c>
      <c r="Z1224" s="5">
        <v>-50</v>
      </c>
      <c r="AA1224" s="5">
        <v>0</v>
      </c>
      <c r="AB1224" s="6">
        <v>0</v>
      </c>
      <c r="AC1224" s="4">
        <v>-50</v>
      </c>
      <c r="AD1224" s="4">
        <v>0</v>
      </c>
      <c r="AE1224" s="4">
        <v>-50</v>
      </c>
      <c r="AF1224" s="1"/>
      <c r="AG1224" s="1"/>
      <c r="AH1224" s="1"/>
      <c r="AI1224" s="1" t="s">
        <v>3432</v>
      </c>
      <c r="AJ1224" s="1"/>
      <c r="AK1224" s="1"/>
      <c r="AL1224" s="1"/>
    </row>
    <row r="1225" spans="1:38" hidden="1" x14ac:dyDescent="0.25">
      <c r="A1225" s="2">
        <v>1603</v>
      </c>
      <c r="B1225" s="1" t="s">
        <v>1443</v>
      </c>
      <c r="C1225" s="1" t="s">
        <v>1444</v>
      </c>
      <c r="D1225" s="1" t="s">
        <v>2062</v>
      </c>
      <c r="E1225" s="1" t="s">
        <v>2063</v>
      </c>
      <c r="F1225" s="3">
        <v>45446</v>
      </c>
      <c r="G1225" s="3">
        <v>45324</v>
      </c>
      <c r="H1225" s="3">
        <v>45689</v>
      </c>
      <c r="I1225" s="1" t="s">
        <v>2289</v>
      </c>
      <c r="J1225" s="1" t="s">
        <v>2290</v>
      </c>
      <c r="K1225" s="1"/>
      <c r="L1225" s="1" t="s">
        <v>2291</v>
      </c>
      <c r="M1225" s="1" t="s">
        <v>2292</v>
      </c>
      <c r="N1225" s="1" t="s">
        <v>2293</v>
      </c>
      <c r="O1225" s="1" t="s">
        <v>2294</v>
      </c>
      <c r="P1225" s="1" t="s">
        <v>2081</v>
      </c>
      <c r="Q1225" s="1" t="s">
        <v>2295</v>
      </c>
      <c r="R1225" s="1"/>
      <c r="S1225" s="1" t="s">
        <v>2072</v>
      </c>
      <c r="T1225" s="1" t="s">
        <v>2073</v>
      </c>
      <c r="U1225" s="4">
        <v>4000000</v>
      </c>
      <c r="V1225" s="4">
        <v>245</v>
      </c>
      <c r="W1225" s="4">
        <v>3</v>
      </c>
      <c r="X1225" s="4">
        <v>32</v>
      </c>
      <c r="Y1225" s="4">
        <v>0</v>
      </c>
      <c r="Z1225" s="5">
        <v>280</v>
      </c>
      <c r="AA1225" s="5">
        <v>0</v>
      </c>
      <c r="AB1225" s="6">
        <v>0</v>
      </c>
      <c r="AC1225" s="4">
        <v>280</v>
      </c>
      <c r="AD1225" s="4">
        <v>0</v>
      </c>
      <c r="AE1225" s="4">
        <v>280</v>
      </c>
      <c r="AF1225" s="1"/>
      <c r="AG1225" s="1"/>
      <c r="AH1225" s="1"/>
      <c r="AI1225" s="1" t="s">
        <v>3432</v>
      </c>
      <c r="AJ1225" s="6">
        <v>85.130000000000095</v>
      </c>
      <c r="AK1225" s="6">
        <v>51.05</v>
      </c>
      <c r="AL1225" s="1"/>
    </row>
    <row r="1226" spans="1:38" hidden="1" x14ac:dyDescent="0.25">
      <c r="A1226" s="2">
        <v>1604</v>
      </c>
      <c r="B1226" s="1" t="s">
        <v>1443</v>
      </c>
      <c r="C1226" s="1" t="s">
        <v>1445</v>
      </c>
      <c r="D1226" s="1" t="s">
        <v>2062</v>
      </c>
      <c r="E1226" s="1" t="s">
        <v>2063</v>
      </c>
      <c r="F1226" s="3">
        <v>45655</v>
      </c>
      <c r="G1226" s="3">
        <v>45324</v>
      </c>
      <c r="H1226" s="3">
        <v>45689</v>
      </c>
      <c r="I1226" s="1" t="s">
        <v>2289</v>
      </c>
      <c r="J1226" s="1" t="s">
        <v>2290</v>
      </c>
      <c r="K1226" s="1"/>
      <c r="L1226" s="1" t="s">
        <v>2291</v>
      </c>
      <c r="M1226" s="1" t="s">
        <v>2292</v>
      </c>
      <c r="N1226" s="1" t="s">
        <v>2293</v>
      </c>
      <c r="O1226" s="1" t="s">
        <v>2294</v>
      </c>
      <c r="P1226" s="1" t="s">
        <v>2081</v>
      </c>
      <c r="Q1226" s="1" t="s">
        <v>2295</v>
      </c>
      <c r="R1226" s="1"/>
      <c r="S1226" s="1" t="s">
        <v>2072</v>
      </c>
      <c r="T1226" s="1" t="s">
        <v>2073</v>
      </c>
      <c r="U1226" s="4">
        <v>-1</v>
      </c>
      <c r="V1226" s="4">
        <v>-277</v>
      </c>
      <c r="W1226" s="4">
        <v>-3</v>
      </c>
      <c r="X1226" s="4">
        <v>0</v>
      </c>
      <c r="Y1226" s="4">
        <v>0</v>
      </c>
      <c r="Z1226" s="5">
        <v>-280</v>
      </c>
      <c r="AA1226" s="5">
        <v>0</v>
      </c>
      <c r="AB1226" s="6">
        <v>0</v>
      </c>
      <c r="AC1226" s="4">
        <v>-280</v>
      </c>
      <c r="AD1226" s="4">
        <v>0</v>
      </c>
      <c r="AE1226" s="4">
        <v>-280</v>
      </c>
      <c r="AF1226" s="1"/>
      <c r="AG1226" s="1"/>
      <c r="AH1226" s="1"/>
      <c r="AI1226" s="1" t="s">
        <v>3432</v>
      </c>
      <c r="AJ1226" s="1"/>
      <c r="AK1226" s="1"/>
      <c r="AL1226" s="1"/>
    </row>
    <row r="1227" spans="1:38" hidden="1" x14ac:dyDescent="0.25">
      <c r="A1227" s="2">
        <v>1605</v>
      </c>
      <c r="B1227" s="1" t="s">
        <v>1446</v>
      </c>
      <c r="C1227" s="1" t="s">
        <v>1447</v>
      </c>
      <c r="D1227" s="1" t="s">
        <v>2062</v>
      </c>
      <c r="E1227" s="1" t="s">
        <v>2063</v>
      </c>
      <c r="F1227" s="3">
        <v>45477</v>
      </c>
      <c r="G1227" s="3">
        <v>45326</v>
      </c>
      <c r="H1227" s="3">
        <v>45691</v>
      </c>
      <c r="I1227" s="1" t="s">
        <v>3558</v>
      </c>
      <c r="J1227" s="1" t="s">
        <v>3559</v>
      </c>
      <c r="K1227" s="1"/>
      <c r="L1227" s="1" t="s">
        <v>3355</v>
      </c>
      <c r="M1227" s="1" t="s">
        <v>3560</v>
      </c>
      <c r="N1227" s="1" t="s">
        <v>3561</v>
      </c>
      <c r="O1227" s="1" t="s">
        <v>3562</v>
      </c>
      <c r="P1227" s="1" t="s">
        <v>2262</v>
      </c>
      <c r="Q1227" s="1" t="s">
        <v>3563</v>
      </c>
      <c r="R1227" s="1"/>
      <c r="S1227" s="1" t="s">
        <v>2072</v>
      </c>
      <c r="T1227" s="1" t="s">
        <v>2073</v>
      </c>
      <c r="U1227" s="4">
        <v>3900000</v>
      </c>
      <c r="V1227" s="4">
        <v>970</v>
      </c>
      <c r="W1227" s="4">
        <v>10</v>
      </c>
      <c r="X1227" s="4">
        <v>146</v>
      </c>
      <c r="Y1227" s="4">
        <v>0</v>
      </c>
      <c r="Z1227" s="5">
        <v>1126</v>
      </c>
      <c r="AA1227" s="5">
        <v>0</v>
      </c>
      <c r="AB1227" s="6">
        <v>0</v>
      </c>
      <c r="AC1227" s="4">
        <v>1126</v>
      </c>
      <c r="AD1227" s="4">
        <v>0</v>
      </c>
      <c r="AE1227" s="4">
        <v>1126</v>
      </c>
      <c r="AF1227" s="1"/>
      <c r="AG1227" s="1"/>
      <c r="AH1227" s="1"/>
      <c r="AI1227" s="1" t="s">
        <v>3432</v>
      </c>
      <c r="AJ1227" s="6">
        <v>755.95</v>
      </c>
      <c r="AK1227" s="6">
        <v>211.25</v>
      </c>
      <c r="AL1227" s="1"/>
    </row>
    <row r="1228" spans="1:38" hidden="1" x14ac:dyDescent="0.25">
      <c r="A1228" s="2">
        <v>1606</v>
      </c>
      <c r="B1228" s="1" t="s">
        <v>1446</v>
      </c>
      <c r="C1228" s="1" t="s">
        <v>1448</v>
      </c>
      <c r="D1228" s="1" t="s">
        <v>2062</v>
      </c>
      <c r="E1228" s="1" t="s">
        <v>2063</v>
      </c>
      <c r="F1228" s="3">
        <v>45511</v>
      </c>
      <c r="G1228" s="3">
        <v>45326</v>
      </c>
      <c r="H1228" s="3">
        <v>45691</v>
      </c>
      <c r="I1228" s="1" t="s">
        <v>3558</v>
      </c>
      <c r="J1228" s="1" t="s">
        <v>3559</v>
      </c>
      <c r="K1228" s="1"/>
      <c r="L1228" s="1" t="s">
        <v>3355</v>
      </c>
      <c r="M1228" s="1" t="s">
        <v>3560</v>
      </c>
      <c r="N1228" s="1" t="s">
        <v>3561</v>
      </c>
      <c r="O1228" s="1" t="s">
        <v>3562</v>
      </c>
      <c r="P1228" s="1" t="s">
        <v>2262</v>
      </c>
      <c r="Q1228" s="1" t="s">
        <v>3563</v>
      </c>
      <c r="R1228" s="1"/>
      <c r="S1228" s="1" t="s">
        <v>2072</v>
      </c>
      <c r="T1228" s="1" t="s">
        <v>2073</v>
      </c>
      <c r="U1228" s="4">
        <v>3900000</v>
      </c>
      <c r="V1228" s="4">
        <v>671</v>
      </c>
      <c r="W1228" s="4">
        <v>7</v>
      </c>
      <c r="X1228" s="4">
        <v>101</v>
      </c>
      <c r="Y1228" s="4">
        <v>0</v>
      </c>
      <c r="Z1228" s="5">
        <v>779</v>
      </c>
      <c r="AA1228" s="5">
        <v>0</v>
      </c>
      <c r="AB1228" s="6">
        <v>0</v>
      </c>
      <c r="AC1228" s="4">
        <v>779</v>
      </c>
      <c r="AD1228" s="4">
        <v>0</v>
      </c>
      <c r="AE1228" s="4">
        <v>779</v>
      </c>
      <c r="AF1228" s="1"/>
      <c r="AG1228" s="1"/>
      <c r="AH1228" s="1"/>
      <c r="AI1228" s="1" t="s">
        <v>3432</v>
      </c>
      <c r="AJ1228" s="6">
        <v>663.34</v>
      </c>
      <c r="AK1228" s="6">
        <v>146.17000000000002</v>
      </c>
      <c r="AL1228" s="1"/>
    </row>
    <row r="1229" spans="1:38" hidden="1" x14ac:dyDescent="0.25">
      <c r="A1229" s="2">
        <v>1607</v>
      </c>
      <c r="B1229" s="1" t="s">
        <v>1446</v>
      </c>
      <c r="C1229" s="1" t="s">
        <v>1449</v>
      </c>
      <c r="D1229" s="1" t="s">
        <v>2062</v>
      </c>
      <c r="E1229" s="1" t="s">
        <v>2063</v>
      </c>
      <c r="F1229" s="3">
        <v>45596</v>
      </c>
      <c r="G1229" s="3">
        <v>45326</v>
      </c>
      <c r="H1229" s="3">
        <v>45691</v>
      </c>
      <c r="I1229" s="1" t="s">
        <v>3558</v>
      </c>
      <c r="J1229" s="1" t="s">
        <v>3559</v>
      </c>
      <c r="K1229" s="1"/>
      <c r="L1229" s="1" t="s">
        <v>3355</v>
      </c>
      <c r="M1229" s="1" t="s">
        <v>3560</v>
      </c>
      <c r="N1229" s="1" t="s">
        <v>3561</v>
      </c>
      <c r="O1229" s="1" t="s">
        <v>3562</v>
      </c>
      <c r="P1229" s="1" t="s">
        <v>2262</v>
      </c>
      <c r="Q1229" s="1" t="s">
        <v>3563</v>
      </c>
      <c r="R1229" s="1"/>
      <c r="S1229" s="1" t="s">
        <v>2072</v>
      </c>
      <c r="T1229" s="1" t="s">
        <v>2073</v>
      </c>
      <c r="U1229" s="4">
        <v>-1</v>
      </c>
      <c r="V1229" s="4">
        <v>-1886</v>
      </c>
      <c r="W1229" s="4">
        <v>-19</v>
      </c>
      <c r="X1229" s="4">
        <v>0</v>
      </c>
      <c r="Y1229" s="4">
        <v>0</v>
      </c>
      <c r="Z1229" s="5">
        <v>-1905</v>
      </c>
      <c r="AA1229" s="5">
        <v>0</v>
      </c>
      <c r="AB1229" s="6">
        <v>0</v>
      </c>
      <c r="AC1229" s="4">
        <v>-1905</v>
      </c>
      <c r="AD1229" s="4">
        <v>0</v>
      </c>
      <c r="AE1229" s="4">
        <v>-1905</v>
      </c>
      <c r="AF1229" s="1"/>
      <c r="AG1229" s="1"/>
      <c r="AH1229" s="1"/>
      <c r="AI1229" s="1" t="s">
        <v>3432</v>
      </c>
      <c r="AJ1229" s="1"/>
      <c r="AK1229" s="1"/>
      <c r="AL1229" s="1"/>
    </row>
    <row r="1230" spans="1:38" hidden="1" x14ac:dyDescent="0.25">
      <c r="A1230" s="2">
        <v>1609</v>
      </c>
      <c r="B1230" s="1" t="s">
        <v>1450</v>
      </c>
      <c r="C1230" s="1" t="s">
        <v>1451</v>
      </c>
      <c r="D1230" s="1" t="s">
        <v>2062</v>
      </c>
      <c r="E1230" s="1" t="s">
        <v>2063</v>
      </c>
      <c r="F1230" s="3">
        <v>45709</v>
      </c>
      <c r="G1230" s="3">
        <v>45332</v>
      </c>
      <c r="H1230" s="3">
        <v>45697</v>
      </c>
      <c r="I1230" s="1" t="s">
        <v>3564</v>
      </c>
      <c r="J1230" s="1" t="s">
        <v>3565</v>
      </c>
      <c r="K1230" s="1"/>
      <c r="L1230" s="1" t="s">
        <v>2077</v>
      </c>
      <c r="M1230" s="1" t="s">
        <v>3566</v>
      </c>
      <c r="N1230" s="1" t="s">
        <v>3567</v>
      </c>
      <c r="O1230" s="1" t="s">
        <v>3568</v>
      </c>
      <c r="P1230" s="1" t="s">
        <v>2081</v>
      </c>
      <c r="Q1230" s="1" t="s">
        <v>3569</v>
      </c>
      <c r="R1230" s="1"/>
      <c r="S1230" s="1" t="s">
        <v>2072</v>
      </c>
      <c r="T1230" s="1" t="s">
        <v>2073</v>
      </c>
      <c r="U1230" s="4">
        <v>2300000</v>
      </c>
      <c r="V1230" s="4">
        <v>785</v>
      </c>
      <c r="W1230" s="4">
        <v>8</v>
      </c>
      <c r="X1230" s="4">
        <v>118</v>
      </c>
      <c r="Y1230" s="4">
        <v>0</v>
      </c>
      <c r="Z1230" s="5">
        <v>911</v>
      </c>
      <c r="AA1230" s="5">
        <v>0</v>
      </c>
      <c r="AB1230" s="6">
        <v>0</v>
      </c>
      <c r="AC1230" s="4">
        <v>911</v>
      </c>
      <c r="AD1230" s="4">
        <v>0</v>
      </c>
      <c r="AE1230" s="4">
        <v>911</v>
      </c>
      <c r="AF1230" s="1"/>
      <c r="AG1230" s="1"/>
      <c r="AH1230" s="1"/>
      <c r="AI1230" s="1" t="s">
        <v>3432</v>
      </c>
      <c r="AJ1230" s="6">
        <v>577.77</v>
      </c>
      <c r="AK1230" s="6">
        <v>289.04000000000002</v>
      </c>
      <c r="AL1230" s="1"/>
    </row>
    <row r="1231" spans="1:38" hidden="1" x14ac:dyDescent="0.25">
      <c r="A1231" s="2">
        <v>1610</v>
      </c>
      <c r="B1231" s="1" t="s">
        <v>1450</v>
      </c>
      <c r="C1231" s="1" t="s">
        <v>1452</v>
      </c>
      <c r="D1231" s="1" t="s">
        <v>2062</v>
      </c>
      <c r="E1231" s="1" t="s">
        <v>2063</v>
      </c>
      <c r="F1231" s="3">
        <v>45714</v>
      </c>
      <c r="G1231" s="3">
        <v>45332</v>
      </c>
      <c r="H1231" s="3">
        <v>45697</v>
      </c>
      <c r="I1231" s="1" t="s">
        <v>3564</v>
      </c>
      <c r="J1231" s="1" t="s">
        <v>3565</v>
      </c>
      <c r="K1231" s="1"/>
      <c r="L1231" s="1" t="s">
        <v>2077</v>
      </c>
      <c r="M1231" s="1" t="s">
        <v>3566</v>
      </c>
      <c r="N1231" s="1" t="s">
        <v>3567</v>
      </c>
      <c r="O1231" s="1" t="s">
        <v>3568</v>
      </c>
      <c r="P1231" s="1" t="s">
        <v>2081</v>
      </c>
      <c r="Q1231" s="1" t="s">
        <v>3569</v>
      </c>
      <c r="R1231" s="1"/>
      <c r="S1231" s="1" t="s">
        <v>2072</v>
      </c>
      <c r="T1231" s="1" t="s">
        <v>2073</v>
      </c>
      <c r="U1231" s="4">
        <v>-1</v>
      </c>
      <c r="V1231" s="4">
        <v>-903</v>
      </c>
      <c r="W1231" s="4">
        <v>-8</v>
      </c>
      <c r="X1231" s="4">
        <v>0</v>
      </c>
      <c r="Y1231" s="4">
        <v>0</v>
      </c>
      <c r="Z1231" s="5">
        <v>-911</v>
      </c>
      <c r="AA1231" s="5">
        <v>0</v>
      </c>
      <c r="AB1231" s="6">
        <v>0</v>
      </c>
      <c r="AC1231" s="4">
        <v>-911</v>
      </c>
      <c r="AD1231" s="4">
        <v>0</v>
      </c>
      <c r="AE1231" s="4">
        <v>-911</v>
      </c>
      <c r="AF1231" s="1"/>
      <c r="AG1231" s="1"/>
      <c r="AH1231" s="1"/>
      <c r="AI1231" s="1" t="s">
        <v>3432</v>
      </c>
      <c r="AJ1231" s="1"/>
      <c r="AK1231" s="1"/>
      <c r="AL1231" s="1" t="s">
        <v>3570</v>
      </c>
    </row>
    <row r="1232" spans="1:38" x14ac:dyDescent="0.25">
      <c r="A1232" s="2">
        <v>1614</v>
      </c>
      <c r="B1232" s="1" t="s">
        <v>1453</v>
      </c>
      <c r="C1232" s="1"/>
      <c r="D1232" s="1" t="s">
        <v>2062</v>
      </c>
      <c r="E1232" s="1" t="s">
        <v>2063</v>
      </c>
      <c r="F1232" s="3">
        <v>45334</v>
      </c>
      <c r="G1232" s="3">
        <v>45335</v>
      </c>
      <c r="H1232" s="3">
        <v>45700</v>
      </c>
      <c r="I1232" s="1" t="s">
        <v>2313</v>
      </c>
      <c r="J1232" s="1" t="s">
        <v>2314</v>
      </c>
      <c r="K1232" s="1"/>
      <c r="L1232" s="1" t="s">
        <v>2315</v>
      </c>
      <c r="M1232" s="1" t="s">
        <v>2316</v>
      </c>
      <c r="N1232" s="1" t="s">
        <v>2317</v>
      </c>
      <c r="O1232" s="1" t="s">
        <v>2318</v>
      </c>
      <c r="P1232" s="1" t="s">
        <v>2231</v>
      </c>
      <c r="Q1232" s="1" t="s">
        <v>2319</v>
      </c>
      <c r="R1232" s="1"/>
      <c r="S1232" s="1" t="s">
        <v>2072</v>
      </c>
      <c r="T1232" s="1" t="s">
        <v>2073</v>
      </c>
      <c r="U1232" s="4">
        <v>-1</v>
      </c>
      <c r="V1232" s="4">
        <v>0</v>
      </c>
      <c r="W1232" s="4">
        <v>0</v>
      </c>
      <c r="X1232" s="4">
        <v>0</v>
      </c>
      <c r="Y1232" s="4">
        <v>50</v>
      </c>
      <c r="Z1232" s="5">
        <v>50</v>
      </c>
      <c r="AA1232" s="5">
        <v>0</v>
      </c>
      <c r="AB1232" s="6">
        <v>0</v>
      </c>
      <c r="AC1232" s="4">
        <v>50</v>
      </c>
      <c r="AD1232" s="4">
        <v>0</v>
      </c>
      <c r="AE1232" s="4">
        <v>50</v>
      </c>
      <c r="AF1232" s="1"/>
      <c r="AG1232" s="1"/>
      <c r="AH1232" s="1"/>
      <c r="AI1232" s="1" t="s">
        <v>3432</v>
      </c>
      <c r="AJ1232" s="1"/>
      <c r="AK1232" s="1"/>
      <c r="AL1232" s="1" t="s">
        <v>3571</v>
      </c>
    </row>
    <row r="1233" spans="1:38" hidden="1" x14ac:dyDescent="0.25">
      <c r="A1233" s="2">
        <v>1615</v>
      </c>
      <c r="B1233" s="1" t="s">
        <v>1453</v>
      </c>
      <c r="C1233" s="1" t="s">
        <v>1454</v>
      </c>
      <c r="D1233" s="1" t="s">
        <v>2062</v>
      </c>
      <c r="E1233" s="1" t="s">
        <v>2063</v>
      </c>
      <c r="F1233" s="3">
        <v>45365</v>
      </c>
      <c r="G1233" s="3">
        <v>45335</v>
      </c>
      <c r="H1233" s="3">
        <v>45700</v>
      </c>
      <c r="I1233" s="1" t="s">
        <v>2313</v>
      </c>
      <c r="J1233" s="1" t="s">
        <v>2314</v>
      </c>
      <c r="K1233" s="1"/>
      <c r="L1233" s="1" t="s">
        <v>2315</v>
      </c>
      <c r="M1233" s="1" t="s">
        <v>2316</v>
      </c>
      <c r="N1233" s="1" t="s">
        <v>2317</v>
      </c>
      <c r="O1233" s="1" t="s">
        <v>2318</v>
      </c>
      <c r="P1233" s="1" t="s">
        <v>2231</v>
      </c>
      <c r="Q1233" s="1" t="s">
        <v>2319</v>
      </c>
      <c r="R1233" s="1"/>
      <c r="S1233" s="1" t="s">
        <v>2072</v>
      </c>
      <c r="T1233" s="1" t="s">
        <v>2073</v>
      </c>
      <c r="U1233" s="4">
        <v>4000000</v>
      </c>
      <c r="V1233" s="4">
        <v>5106</v>
      </c>
      <c r="W1233" s="4">
        <v>51</v>
      </c>
      <c r="X1233" s="4">
        <v>664</v>
      </c>
      <c r="Y1233" s="4">
        <v>0</v>
      </c>
      <c r="Z1233" s="5">
        <v>5821</v>
      </c>
      <c r="AA1233" s="5">
        <v>0</v>
      </c>
      <c r="AB1233" s="6">
        <v>0</v>
      </c>
      <c r="AC1233" s="4">
        <v>5821</v>
      </c>
      <c r="AD1233" s="4">
        <v>0</v>
      </c>
      <c r="AE1233" s="4">
        <v>5821</v>
      </c>
      <c r="AF1233" s="1"/>
      <c r="AG1233" s="1"/>
      <c r="AH1233" s="1"/>
      <c r="AI1233" s="1" t="s">
        <v>3432</v>
      </c>
      <c r="AJ1233" s="6">
        <v>1452.1100000000013</v>
      </c>
      <c r="AK1233" s="6">
        <v>1061.22</v>
      </c>
      <c r="AL1233" s="1"/>
    </row>
    <row r="1234" spans="1:38" hidden="1" x14ac:dyDescent="0.25">
      <c r="A1234" s="2">
        <v>1616</v>
      </c>
      <c r="B1234" s="1" t="s">
        <v>1453</v>
      </c>
      <c r="C1234" s="1" t="s">
        <v>1455</v>
      </c>
      <c r="D1234" s="1" t="s">
        <v>2062</v>
      </c>
      <c r="E1234" s="1" t="s">
        <v>2063</v>
      </c>
      <c r="F1234" s="3">
        <v>45396</v>
      </c>
      <c r="G1234" s="3">
        <v>45335</v>
      </c>
      <c r="H1234" s="3">
        <v>45700</v>
      </c>
      <c r="I1234" s="1" t="s">
        <v>2313</v>
      </c>
      <c r="J1234" s="1" t="s">
        <v>2314</v>
      </c>
      <c r="K1234" s="1"/>
      <c r="L1234" s="1" t="s">
        <v>2315</v>
      </c>
      <c r="M1234" s="1" t="s">
        <v>2316</v>
      </c>
      <c r="N1234" s="1" t="s">
        <v>2317</v>
      </c>
      <c r="O1234" s="1" t="s">
        <v>2318</v>
      </c>
      <c r="P1234" s="1" t="s">
        <v>2231</v>
      </c>
      <c r="Q1234" s="1" t="s">
        <v>2319</v>
      </c>
      <c r="R1234" s="1"/>
      <c r="S1234" s="1" t="s">
        <v>2072</v>
      </c>
      <c r="T1234" s="1" t="s">
        <v>2073</v>
      </c>
      <c r="U1234" s="4">
        <v>4000000</v>
      </c>
      <c r="V1234" s="4">
        <v>5151</v>
      </c>
      <c r="W1234" s="4">
        <v>52</v>
      </c>
      <c r="X1234" s="4">
        <v>669</v>
      </c>
      <c r="Y1234" s="4">
        <v>0</v>
      </c>
      <c r="Z1234" s="5">
        <v>5872</v>
      </c>
      <c r="AA1234" s="5">
        <v>0</v>
      </c>
      <c r="AB1234" s="6">
        <v>0</v>
      </c>
      <c r="AC1234" s="4">
        <v>5872</v>
      </c>
      <c r="AD1234" s="4">
        <v>0</v>
      </c>
      <c r="AE1234" s="4">
        <v>5872</v>
      </c>
      <c r="AF1234" s="1"/>
      <c r="AG1234" s="1"/>
      <c r="AH1234" s="1"/>
      <c r="AI1234" s="1" t="s">
        <v>3432</v>
      </c>
      <c r="AJ1234" s="6">
        <v>1842.12</v>
      </c>
      <c r="AK1234" s="6">
        <v>1070.3900000000001</v>
      </c>
      <c r="AL1234" s="1"/>
    </row>
    <row r="1235" spans="1:38" hidden="1" x14ac:dyDescent="0.25">
      <c r="A1235" s="2">
        <v>1617</v>
      </c>
      <c r="B1235" s="1" t="s">
        <v>1453</v>
      </c>
      <c r="C1235" s="1" t="s">
        <v>1456</v>
      </c>
      <c r="D1235" s="1" t="s">
        <v>2062</v>
      </c>
      <c r="E1235" s="1" t="s">
        <v>2063</v>
      </c>
      <c r="F1235" s="3">
        <v>45426</v>
      </c>
      <c r="G1235" s="3">
        <v>45335</v>
      </c>
      <c r="H1235" s="3">
        <v>45700</v>
      </c>
      <c r="I1235" s="1" t="s">
        <v>2313</v>
      </c>
      <c r="J1235" s="1" t="s">
        <v>2314</v>
      </c>
      <c r="K1235" s="1"/>
      <c r="L1235" s="1" t="s">
        <v>2315</v>
      </c>
      <c r="M1235" s="1" t="s">
        <v>2316</v>
      </c>
      <c r="N1235" s="1" t="s">
        <v>2317</v>
      </c>
      <c r="O1235" s="1" t="s">
        <v>2318</v>
      </c>
      <c r="P1235" s="1" t="s">
        <v>2231</v>
      </c>
      <c r="Q1235" s="1" t="s">
        <v>2319</v>
      </c>
      <c r="R1235" s="1"/>
      <c r="S1235" s="1" t="s">
        <v>2072</v>
      </c>
      <c r="T1235" s="1" t="s">
        <v>2073</v>
      </c>
      <c r="U1235" s="4">
        <v>4000000</v>
      </c>
      <c r="V1235" s="4">
        <v>2070</v>
      </c>
      <c r="W1235" s="4">
        <v>20</v>
      </c>
      <c r="X1235" s="4">
        <v>269</v>
      </c>
      <c r="Y1235" s="4">
        <v>0</v>
      </c>
      <c r="Z1235" s="5">
        <v>2359</v>
      </c>
      <c r="AA1235" s="5">
        <v>0</v>
      </c>
      <c r="AB1235" s="6">
        <v>0</v>
      </c>
      <c r="AC1235" s="4">
        <v>2359</v>
      </c>
      <c r="AD1235" s="4">
        <v>0</v>
      </c>
      <c r="AE1235" s="4">
        <v>2359</v>
      </c>
      <c r="AF1235" s="1"/>
      <c r="AG1235" s="1"/>
      <c r="AH1235" s="1"/>
      <c r="AI1235" s="1" t="s">
        <v>3432</v>
      </c>
      <c r="AJ1235" s="6">
        <v>760.97</v>
      </c>
      <c r="AK1235" s="6">
        <v>430.46</v>
      </c>
      <c r="AL1235" s="1"/>
    </row>
    <row r="1236" spans="1:38" hidden="1" x14ac:dyDescent="0.25">
      <c r="A1236" s="2">
        <v>1618</v>
      </c>
      <c r="B1236" s="1" t="s">
        <v>1453</v>
      </c>
      <c r="C1236" s="1" t="s">
        <v>1457</v>
      </c>
      <c r="D1236" s="1" t="s">
        <v>2062</v>
      </c>
      <c r="E1236" s="1" t="s">
        <v>2063</v>
      </c>
      <c r="F1236" s="3">
        <v>45655</v>
      </c>
      <c r="G1236" s="3">
        <v>45335</v>
      </c>
      <c r="H1236" s="3">
        <v>45700</v>
      </c>
      <c r="I1236" s="1" t="s">
        <v>2313</v>
      </c>
      <c r="J1236" s="1" t="s">
        <v>2314</v>
      </c>
      <c r="K1236" s="1"/>
      <c r="L1236" s="1" t="s">
        <v>2315</v>
      </c>
      <c r="M1236" s="1" t="s">
        <v>2316</v>
      </c>
      <c r="N1236" s="1" t="s">
        <v>2317</v>
      </c>
      <c r="O1236" s="1" t="s">
        <v>2318</v>
      </c>
      <c r="P1236" s="1" t="s">
        <v>2231</v>
      </c>
      <c r="Q1236" s="1" t="s">
        <v>2319</v>
      </c>
      <c r="R1236" s="1"/>
      <c r="S1236" s="1" t="s">
        <v>2072</v>
      </c>
      <c r="T1236" s="1" t="s">
        <v>2073</v>
      </c>
      <c r="U1236" s="4">
        <v>-1</v>
      </c>
      <c r="V1236" s="4">
        <v>-13962</v>
      </c>
      <c r="W1236" s="4">
        <v>-140</v>
      </c>
      <c r="X1236" s="4">
        <v>0</v>
      </c>
      <c r="Y1236" s="4">
        <v>0</v>
      </c>
      <c r="Z1236" s="5">
        <v>-14102</v>
      </c>
      <c r="AA1236" s="5">
        <v>0</v>
      </c>
      <c r="AB1236" s="6">
        <v>0</v>
      </c>
      <c r="AC1236" s="4">
        <v>-14102</v>
      </c>
      <c r="AD1236" s="4">
        <v>0</v>
      </c>
      <c r="AE1236" s="4">
        <v>-14102</v>
      </c>
      <c r="AF1236" s="1"/>
      <c r="AG1236" s="1"/>
      <c r="AH1236" s="1"/>
      <c r="AI1236" s="1" t="s">
        <v>3432</v>
      </c>
      <c r="AJ1236" s="1"/>
      <c r="AK1236" s="1"/>
      <c r="AL1236" s="1"/>
    </row>
    <row r="1237" spans="1:38" hidden="1" x14ac:dyDescent="0.25">
      <c r="A1237" s="2">
        <v>1621</v>
      </c>
      <c r="B1237" s="1" t="s">
        <v>1458</v>
      </c>
      <c r="C1237" s="1" t="s">
        <v>1459</v>
      </c>
      <c r="D1237" s="1" t="s">
        <v>2062</v>
      </c>
      <c r="E1237" s="1" t="s">
        <v>2063</v>
      </c>
      <c r="F1237" s="3">
        <v>45484</v>
      </c>
      <c r="G1237" s="3">
        <v>45331</v>
      </c>
      <c r="H1237" s="3">
        <v>45696</v>
      </c>
      <c r="I1237" s="1" t="s">
        <v>3572</v>
      </c>
      <c r="J1237" s="1" t="s">
        <v>3573</v>
      </c>
      <c r="K1237" s="1"/>
      <c r="L1237" s="1" t="s">
        <v>2198</v>
      </c>
      <c r="M1237" s="1" t="s">
        <v>3574</v>
      </c>
      <c r="N1237" s="1" t="s">
        <v>3575</v>
      </c>
      <c r="O1237" s="1" t="s">
        <v>3576</v>
      </c>
      <c r="P1237" s="1" t="s">
        <v>2095</v>
      </c>
      <c r="Q1237" s="1"/>
      <c r="R1237" s="1"/>
      <c r="S1237" s="1" t="s">
        <v>2072</v>
      </c>
      <c r="T1237" s="1" t="s">
        <v>3165</v>
      </c>
      <c r="U1237" s="4">
        <v>2200000</v>
      </c>
      <c r="V1237" s="4">
        <v>2866</v>
      </c>
      <c r="W1237" s="4">
        <v>29</v>
      </c>
      <c r="X1237" s="4">
        <v>552</v>
      </c>
      <c r="Y1237" s="4">
        <v>0</v>
      </c>
      <c r="Z1237" s="5">
        <v>3447</v>
      </c>
      <c r="AA1237" s="5">
        <v>0</v>
      </c>
      <c r="AB1237" s="6">
        <v>0</v>
      </c>
      <c r="AC1237" s="4">
        <v>3447</v>
      </c>
      <c r="AD1237" s="4">
        <v>0</v>
      </c>
      <c r="AE1237" s="4">
        <v>3447</v>
      </c>
      <c r="AF1237" s="1"/>
      <c r="AG1237" s="1"/>
      <c r="AH1237" s="1"/>
      <c r="AI1237" s="1" t="s">
        <v>2327</v>
      </c>
      <c r="AJ1237" s="6">
        <v>1424.0900000000011</v>
      </c>
      <c r="AK1237" s="6">
        <v>1142.19</v>
      </c>
      <c r="AL1237" s="1"/>
    </row>
    <row r="1238" spans="1:38" hidden="1" x14ac:dyDescent="0.25">
      <c r="A1238" s="2">
        <v>1622</v>
      </c>
      <c r="B1238" s="1" t="s">
        <v>1458</v>
      </c>
      <c r="C1238" s="1" t="s">
        <v>1460</v>
      </c>
      <c r="D1238" s="1" t="s">
        <v>2062</v>
      </c>
      <c r="E1238" s="1" t="s">
        <v>2063</v>
      </c>
      <c r="F1238" s="3">
        <v>45516</v>
      </c>
      <c r="G1238" s="3">
        <v>45331</v>
      </c>
      <c r="H1238" s="3">
        <v>45696</v>
      </c>
      <c r="I1238" s="1" t="s">
        <v>3572</v>
      </c>
      <c r="J1238" s="1" t="s">
        <v>3573</v>
      </c>
      <c r="K1238" s="1"/>
      <c r="L1238" s="1" t="s">
        <v>2198</v>
      </c>
      <c r="M1238" s="1" t="s">
        <v>3574</v>
      </c>
      <c r="N1238" s="1" t="s">
        <v>3575</v>
      </c>
      <c r="O1238" s="1" t="s">
        <v>3576</v>
      </c>
      <c r="P1238" s="1" t="s">
        <v>2095</v>
      </c>
      <c r="Q1238" s="1"/>
      <c r="R1238" s="1"/>
      <c r="S1238" s="1" t="s">
        <v>2072</v>
      </c>
      <c r="T1238" s="1" t="s">
        <v>3165</v>
      </c>
      <c r="U1238" s="4">
        <v>2200000</v>
      </c>
      <c r="V1238" s="4">
        <v>3065</v>
      </c>
      <c r="W1238" s="4">
        <v>31</v>
      </c>
      <c r="X1238" s="4">
        <v>460</v>
      </c>
      <c r="Y1238" s="4">
        <v>0</v>
      </c>
      <c r="Z1238" s="5">
        <v>3556</v>
      </c>
      <c r="AA1238" s="5">
        <v>0</v>
      </c>
      <c r="AB1238" s="6">
        <v>0</v>
      </c>
      <c r="AC1238" s="4">
        <v>3556</v>
      </c>
      <c r="AD1238" s="4">
        <v>0</v>
      </c>
      <c r="AE1238" s="4">
        <v>3556</v>
      </c>
      <c r="AF1238" s="1"/>
      <c r="AG1238" s="1"/>
      <c r="AH1238" s="1"/>
      <c r="AI1238" s="1" t="s">
        <v>2327</v>
      </c>
      <c r="AJ1238" s="6">
        <v>1535.950000000001</v>
      </c>
      <c r="AK1238" s="6">
        <v>1177.3800000000001</v>
      </c>
      <c r="AL1238" s="1"/>
    </row>
    <row r="1239" spans="1:38" hidden="1" x14ac:dyDescent="0.25">
      <c r="A1239" s="2">
        <v>1623</v>
      </c>
      <c r="B1239" s="1" t="s">
        <v>1458</v>
      </c>
      <c r="C1239" s="1" t="s">
        <v>1461</v>
      </c>
      <c r="D1239" s="1" t="s">
        <v>2062</v>
      </c>
      <c r="E1239" s="1" t="s">
        <v>2063</v>
      </c>
      <c r="F1239" s="3">
        <v>45546</v>
      </c>
      <c r="G1239" s="3">
        <v>45331</v>
      </c>
      <c r="H1239" s="3">
        <v>45696</v>
      </c>
      <c r="I1239" s="1" t="s">
        <v>3572</v>
      </c>
      <c r="J1239" s="1" t="s">
        <v>3573</v>
      </c>
      <c r="K1239" s="1"/>
      <c r="L1239" s="1" t="s">
        <v>2198</v>
      </c>
      <c r="M1239" s="1" t="s">
        <v>3574</v>
      </c>
      <c r="N1239" s="1" t="s">
        <v>3575</v>
      </c>
      <c r="O1239" s="1" t="s">
        <v>3576</v>
      </c>
      <c r="P1239" s="1" t="s">
        <v>2095</v>
      </c>
      <c r="Q1239" s="1"/>
      <c r="R1239" s="1"/>
      <c r="S1239" s="1" t="s">
        <v>2072</v>
      </c>
      <c r="T1239" s="1" t="s">
        <v>3165</v>
      </c>
      <c r="U1239" s="4">
        <v>2200000</v>
      </c>
      <c r="V1239" s="4">
        <v>2988</v>
      </c>
      <c r="W1239" s="4">
        <v>30</v>
      </c>
      <c r="X1239" s="4">
        <v>448</v>
      </c>
      <c r="Y1239" s="4">
        <v>0</v>
      </c>
      <c r="Z1239" s="5">
        <v>3466</v>
      </c>
      <c r="AA1239" s="5">
        <v>0</v>
      </c>
      <c r="AB1239" s="6">
        <v>0</v>
      </c>
      <c r="AC1239" s="4">
        <v>3466</v>
      </c>
      <c r="AD1239" s="4">
        <v>0</v>
      </c>
      <c r="AE1239" s="4">
        <v>3466</v>
      </c>
      <c r="AF1239" s="1"/>
      <c r="AG1239" s="1"/>
      <c r="AH1239" s="1"/>
      <c r="AI1239" s="1" t="s">
        <v>2327</v>
      </c>
      <c r="AJ1239" s="6">
        <v>1492.69</v>
      </c>
      <c r="AK1239" s="6">
        <v>1147.55</v>
      </c>
      <c r="AL1239" s="1"/>
    </row>
    <row r="1240" spans="1:38" hidden="1" x14ac:dyDescent="0.25">
      <c r="A1240" s="2">
        <v>1624</v>
      </c>
      <c r="B1240" s="1" t="s">
        <v>1458</v>
      </c>
      <c r="C1240" s="1" t="s">
        <v>1462</v>
      </c>
      <c r="D1240" s="1" t="s">
        <v>2062</v>
      </c>
      <c r="E1240" s="1" t="s">
        <v>2063</v>
      </c>
      <c r="F1240" s="3">
        <v>45575</v>
      </c>
      <c r="G1240" s="3">
        <v>45331</v>
      </c>
      <c r="H1240" s="3">
        <v>45696</v>
      </c>
      <c r="I1240" s="1" t="s">
        <v>3572</v>
      </c>
      <c r="J1240" s="1" t="s">
        <v>3573</v>
      </c>
      <c r="K1240" s="1"/>
      <c r="L1240" s="1" t="s">
        <v>2198</v>
      </c>
      <c r="M1240" s="1" t="s">
        <v>3574</v>
      </c>
      <c r="N1240" s="1" t="s">
        <v>3575</v>
      </c>
      <c r="O1240" s="1" t="s">
        <v>3576</v>
      </c>
      <c r="P1240" s="1" t="s">
        <v>2095</v>
      </c>
      <c r="Q1240" s="1"/>
      <c r="R1240" s="1"/>
      <c r="S1240" s="1" t="s">
        <v>2072</v>
      </c>
      <c r="T1240" s="1" t="s">
        <v>3165</v>
      </c>
      <c r="U1240" s="4">
        <v>2200000</v>
      </c>
      <c r="V1240" s="4">
        <v>3028</v>
      </c>
      <c r="W1240" s="4">
        <v>30</v>
      </c>
      <c r="X1240" s="4">
        <v>454</v>
      </c>
      <c r="Y1240" s="4">
        <v>0</v>
      </c>
      <c r="Z1240" s="5">
        <v>3512</v>
      </c>
      <c r="AA1240" s="5">
        <v>0</v>
      </c>
      <c r="AB1240" s="6">
        <v>0</v>
      </c>
      <c r="AC1240" s="4">
        <v>3512</v>
      </c>
      <c r="AD1240" s="4">
        <v>0</v>
      </c>
      <c r="AE1240" s="4">
        <v>3512</v>
      </c>
      <c r="AF1240" s="1"/>
      <c r="AG1240" s="1"/>
      <c r="AH1240" s="1"/>
      <c r="AI1240" s="1" t="s">
        <v>2327</v>
      </c>
      <c r="AJ1240" s="6">
        <v>1404.1200000000019</v>
      </c>
      <c r="AK1240" s="6">
        <v>1163.47</v>
      </c>
      <c r="AL1240" s="1"/>
    </row>
    <row r="1241" spans="1:38" hidden="1" x14ac:dyDescent="0.25">
      <c r="A1241" s="2">
        <v>1625</v>
      </c>
      <c r="B1241" s="1" t="s">
        <v>1458</v>
      </c>
      <c r="C1241" s="1" t="s">
        <v>1463</v>
      </c>
      <c r="D1241" s="1" t="s">
        <v>2062</v>
      </c>
      <c r="E1241" s="1" t="s">
        <v>2063</v>
      </c>
      <c r="F1241" s="3">
        <v>45608</v>
      </c>
      <c r="G1241" s="3">
        <v>45331</v>
      </c>
      <c r="H1241" s="3">
        <v>45696</v>
      </c>
      <c r="I1241" s="1" t="s">
        <v>3572</v>
      </c>
      <c r="J1241" s="1" t="s">
        <v>3573</v>
      </c>
      <c r="K1241" s="1"/>
      <c r="L1241" s="1" t="s">
        <v>2198</v>
      </c>
      <c r="M1241" s="1" t="s">
        <v>3574</v>
      </c>
      <c r="N1241" s="1" t="s">
        <v>3575</v>
      </c>
      <c r="O1241" s="1" t="s">
        <v>3576</v>
      </c>
      <c r="P1241" s="1" t="s">
        <v>2095</v>
      </c>
      <c r="Q1241" s="1"/>
      <c r="R1241" s="1"/>
      <c r="S1241" s="1" t="s">
        <v>2072</v>
      </c>
      <c r="T1241" s="1" t="s">
        <v>3165</v>
      </c>
      <c r="U1241" s="4">
        <v>2200000</v>
      </c>
      <c r="V1241" s="4">
        <v>3142</v>
      </c>
      <c r="W1241" s="4">
        <v>31</v>
      </c>
      <c r="X1241" s="4">
        <v>471</v>
      </c>
      <c r="Y1241" s="4">
        <v>0</v>
      </c>
      <c r="Z1241" s="5">
        <v>3644</v>
      </c>
      <c r="AA1241" s="5">
        <v>0</v>
      </c>
      <c r="AB1241" s="6">
        <v>0</v>
      </c>
      <c r="AC1241" s="4">
        <v>3644</v>
      </c>
      <c r="AD1241" s="4">
        <v>0</v>
      </c>
      <c r="AE1241" s="4">
        <v>3644</v>
      </c>
      <c r="AF1241" s="1"/>
      <c r="AG1241" s="1"/>
      <c r="AH1241" s="1"/>
      <c r="AI1241" s="1" t="s">
        <v>2327</v>
      </c>
      <c r="AJ1241" s="6">
        <v>1408.5700000000024</v>
      </c>
      <c r="AK1241" s="6">
        <v>1206.5900000000001</v>
      </c>
      <c r="AL1241" s="1"/>
    </row>
    <row r="1242" spans="1:38" hidden="1" x14ac:dyDescent="0.25">
      <c r="A1242" s="2">
        <v>1626</v>
      </c>
      <c r="B1242" s="1" t="s">
        <v>1458</v>
      </c>
      <c r="C1242" s="1" t="s">
        <v>1464</v>
      </c>
      <c r="D1242" s="1" t="s">
        <v>2062</v>
      </c>
      <c r="E1242" s="1" t="s">
        <v>2063</v>
      </c>
      <c r="F1242" s="3">
        <v>45636</v>
      </c>
      <c r="G1242" s="3">
        <v>45331</v>
      </c>
      <c r="H1242" s="3">
        <v>45696</v>
      </c>
      <c r="I1242" s="1" t="s">
        <v>3572</v>
      </c>
      <c r="J1242" s="1" t="s">
        <v>3573</v>
      </c>
      <c r="K1242" s="1"/>
      <c r="L1242" s="1" t="s">
        <v>2198</v>
      </c>
      <c r="M1242" s="1" t="s">
        <v>3574</v>
      </c>
      <c r="N1242" s="1" t="s">
        <v>3575</v>
      </c>
      <c r="O1242" s="1" t="s">
        <v>3576</v>
      </c>
      <c r="P1242" s="1" t="s">
        <v>2095</v>
      </c>
      <c r="Q1242" s="1"/>
      <c r="R1242" s="1"/>
      <c r="S1242" s="1" t="s">
        <v>2072</v>
      </c>
      <c r="T1242" s="1" t="s">
        <v>3165</v>
      </c>
      <c r="U1242" s="4">
        <v>2200000</v>
      </c>
      <c r="V1242" s="4">
        <v>3022</v>
      </c>
      <c r="W1242" s="4">
        <v>30</v>
      </c>
      <c r="X1242" s="4">
        <v>453</v>
      </c>
      <c r="Y1242" s="4">
        <v>0</v>
      </c>
      <c r="Z1242" s="5">
        <v>3505</v>
      </c>
      <c r="AA1242" s="5">
        <v>0</v>
      </c>
      <c r="AB1242" s="6">
        <v>0</v>
      </c>
      <c r="AC1242" s="4">
        <v>3505</v>
      </c>
      <c r="AD1242" s="4">
        <v>0</v>
      </c>
      <c r="AE1242" s="4">
        <v>3505</v>
      </c>
      <c r="AF1242" s="1"/>
      <c r="AG1242" s="1"/>
      <c r="AH1242" s="1"/>
      <c r="AI1242" s="1" t="s">
        <v>2327</v>
      </c>
      <c r="AJ1242" s="6">
        <v>1341.3800000000019</v>
      </c>
      <c r="AK1242" s="6">
        <v>1160.93</v>
      </c>
      <c r="AL1242" s="1"/>
    </row>
    <row r="1243" spans="1:38" hidden="1" x14ac:dyDescent="0.25">
      <c r="A1243" s="2">
        <v>1627</v>
      </c>
      <c r="B1243" s="1" t="s">
        <v>1458</v>
      </c>
      <c r="C1243" s="1" t="s">
        <v>1465</v>
      </c>
      <c r="D1243" s="1" t="s">
        <v>2062</v>
      </c>
      <c r="E1243" s="1" t="s">
        <v>2063</v>
      </c>
      <c r="F1243" s="3">
        <v>45655</v>
      </c>
      <c r="G1243" s="3">
        <v>45331</v>
      </c>
      <c r="H1243" s="3">
        <v>45696</v>
      </c>
      <c r="I1243" s="1" t="s">
        <v>3572</v>
      </c>
      <c r="J1243" s="1" t="s">
        <v>3573</v>
      </c>
      <c r="K1243" s="1"/>
      <c r="L1243" s="1" t="s">
        <v>2198</v>
      </c>
      <c r="M1243" s="1" t="s">
        <v>3574</v>
      </c>
      <c r="N1243" s="1" t="s">
        <v>3575</v>
      </c>
      <c r="O1243" s="1" t="s">
        <v>3576</v>
      </c>
      <c r="P1243" s="1" t="s">
        <v>2095</v>
      </c>
      <c r="Q1243" s="1"/>
      <c r="R1243" s="1"/>
      <c r="S1243" s="1" t="s">
        <v>2072</v>
      </c>
      <c r="T1243" s="1" t="s">
        <v>3165</v>
      </c>
      <c r="U1243" s="4">
        <v>-1</v>
      </c>
      <c r="V1243" s="4">
        <v>-20921</v>
      </c>
      <c r="W1243" s="4">
        <v>-209</v>
      </c>
      <c r="X1243" s="4">
        <v>0</v>
      </c>
      <c r="Y1243" s="4">
        <v>0</v>
      </c>
      <c r="Z1243" s="5">
        <v>-21130</v>
      </c>
      <c r="AA1243" s="5">
        <v>0</v>
      </c>
      <c r="AB1243" s="6">
        <v>0</v>
      </c>
      <c r="AC1243" s="4">
        <v>-21130</v>
      </c>
      <c r="AD1243" s="4">
        <v>0</v>
      </c>
      <c r="AE1243" s="4">
        <v>-21130</v>
      </c>
      <c r="AF1243" s="1"/>
      <c r="AG1243" s="1"/>
      <c r="AH1243" s="1"/>
      <c r="AI1243" s="1" t="s">
        <v>2327</v>
      </c>
      <c r="AJ1243" s="1"/>
      <c r="AK1243" s="1"/>
      <c r="AL1243" s="1"/>
    </row>
    <row r="1244" spans="1:38" hidden="1" x14ac:dyDescent="0.25">
      <c r="A1244" s="2">
        <v>1628</v>
      </c>
      <c r="B1244" s="1" t="s">
        <v>1466</v>
      </c>
      <c r="C1244" s="1" t="s">
        <v>1467</v>
      </c>
      <c r="D1244" s="1" t="s">
        <v>2062</v>
      </c>
      <c r="E1244" s="1" t="s">
        <v>2063</v>
      </c>
      <c r="F1244" s="3">
        <v>45425</v>
      </c>
      <c r="G1244" s="3">
        <v>45334</v>
      </c>
      <c r="H1244" s="3">
        <v>45699</v>
      </c>
      <c r="I1244" s="1" t="s">
        <v>3577</v>
      </c>
      <c r="J1244" s="1" t="s">
        <v>3578</v>
      </c>
      <c r="K1244" s="1"/>
      <c r="L1244" s="1" t="s">
        <v>2681</v>
      </c>
      <c r="M1244" s="1" t="s">
        <v>3579</v>
      </c>
      <c r="N1244" s="1" t="s">
        <v>3580</v>
      </c>
      <c r="O1244" s="1" t="s">
        <v>3581</v>
      </c>
      <c r="P1244" s="1" t="s">
        <v>2182</v>
      </c>
      <c r="Q1244" s="1"/>
      <c r="R1244" s="1"/>
      <c r="S1244" s="1" t="s">
        <v>2072</v>
      </c>
      <c r="T1244" s="1" t="s">
        <v>3165</v>
      </c>
      <c r="U1244" s="4">
        <v>5000000</v>
      </c>
      <c r="V1244" s="4">
        <v>7521</v>
      </c>
      <c r="W1244" s="4">
        <v>75</v>
      </c>
      <c r="X1244" s="4">
        <v>978</v>
      </c>
      <c r="Y1244" s="4">
        <v>0</v>
      </c>
      <c r="Z1244" s="5">
        <v>8574</v>
      </c>
      <c r="AA1244" s="5">
        <v>0</v>
      </c>
      <c r="AB1244" s="6">
        <v>0</v>
      </c>
      <c r="AC1244" s="4">
        <v>8574</v>
      </c>
      <c r="AD1244" s="4">
        <v>0</v>
      </c>
      <c r="AE1244" s="4">
        <v>8574</v>
      </c>
      <c r="AF1244" s="1"/>
      <c r="AG1244" s="1"/>
      <c r="AH1244" s="1"/>
      <c r="AI1244" s="1" t="s">
        <v>2841</v>
      </c>
      <c r="AJ1244" s="6">
        <v>3243.3500000000413</v>
      </c>
      <c r="AK1244" s="6">
        <v>1252.55</v>
      </c>
      <c r="AL1244" s="1"/>
    </row>
    <row r="1245" spans="1:38" hidden="1" x14ac:dyDescent="0.25">
      <c r="A1245" s="2">
        <v>1629</v>
      </c>
      <c r="B1245" s="1" t="s">
        <v>1466</v>
      </c>
      <c r="C1245" s="1" t="s">
        <v>1468</v>
      </c>
      <c r="D1245" s="1" t="s">
        <v>2062</v>
      </c>
      <c r="E1245" s="1" t="s">
        <v>2063</v>
      </c>
      <c r="F1245" s="3">
        <v>45455</v>
      </c>
      <c r="G1245" s="3">
        <v>45334</v>
      </c>
      <c r="H1245" s="3">
        <v>45699</v>
      </c>
      <c r="I1245" s="1" t="s">
        <v>3577</v>
      </c>
      <c r="J1245" s="1" t="s">
        <v>3578</v>
      </c>
      <c r="K1245" s="1"/>
      <c r="L1245" s="1" t="s">
        <v>2681</v>
      </c>
      <c r="M1245" s="1" t="s">
        <v>3579</v>
      </c>
      <c r="N1245" s="1" t="s">
        <v>3580</v>
      </c>
      <c r="O1245" s="1" t="s">
        <v>3581</v>
      </c>
      <c r="P1245" s="1" t="s">
        <v>2182</v>
      </c>
      <c r="Q1245" s="1"/>
      <c r="R1245" s="1"/>
      <c r="S1245" s="1" t="s">
        <v>2072</v>
      </c>
      <c r="T1245" s="1" t="s">
        <v>3165</v>
      </c>
      <c r="U1245" s="4">
        <v>5000000</v>
      </c>
      <c r="V1245" s="4">
        <v>7121</v>
      </c>
      <c r="W1245" s="4">
        <v>72</v>
      </c>
      <c r="X1245" s="4">
        <v>926</v>
      </c>
      <c r="Y1245" s="4">
        <v>0</v>
      </c>
      <c r="Z1245" s="5">
        <v>8119</v>
      </c>
      <c r="AA1245" s="5">
        <v>0</v>
      </c>
      <c r="AB1245" s="6">
        <v>0</v>
      </c>
      <c r="AC1245" s="4">
        <v>8119</v>
      </c>
      <c r="AD1245" s="4">
        <v>0</v>
      </c>
      <c r="AE1245" s="4">
        <v>8119</v>
      </c>
      <c r="AF1245" s="1"/>
      <c r="AG1245" s="1"/>
      <c r="AH1245" s="1"/>
      <c r="AI1245" s="1" t="s">
        <v>2841</v>
      </c>
      <c r="AJ1245" s="6">
        <v>3455.5700000000452</v>
      </c>
      <c r="AK1245" s="6">
        <v>1186.18</v>
      </c>
      <c r="AL1245" s="1"/>
    </row>
    <row r="1246" spans="1:38" hidden="1" x14ac:dyDescent="0.25">
      <c r="A1246" s="2">
        <v>1630</v>
      </c>
      <c r="B1246" s="1" t="s">
        <v>1466</v>
      </c>
      <c r="C1246" s="1" t="s">
        <v>1469</v>
      </c>
      <c r="D1246" s="1" t="s">
        <v>2062</v>
      </c>
      <c r="E1246" s="1" t="s">
        <v>2063</v>
      </c>
      <c r="F1246" s="3">
        <v>45486</v>
      </c>
      <c r="G1246" s="3">
        <v>45334</v>
      </c>
      <c r="H1246" s="3">
        <v>45699</v>
      </c>
      <c r="I1246" s="1" t="s">
        <v>3577</v>
      </c>
      <c r="J1246" s="1" t="s">
        <v>3578</v>
      </c>
      <c r="K1246" s="1"/>
      <c r="L1246" s="1" t="s">
        <v>2681</v>
      </c>
      <c r="M1246" s="1" t="s">
        <v>3579</v>
      </c>
      <c r="N1246" s="1" t="s">
        <v>3580</v>
      </c>
      <c r="O1246" s="1" t="s">
        <v>3581</v>
      </c>
      <c r="P1246" s="1" t="s">
        <v>2182</v>
      </c>
      <c r="Q1246" s="1"/>
      <c r="R1246" s="1"/>
      <c r="S1246" s="1" t="s">
        <v>2072</v>
      </c>
      <c r="T1246" s="1" t="s">
        <v>3165</v>
      </c>
      <c r="U1246" s="4">
        <v>5000000</v>
      </c>
      <c r="V1246" s="4">
        <v>7256</v>
      </c>
      <c r="W1246" s="4">
        <v>73</v>
      </c>
      <c r="X1246" s="4">
        <v>1089</v>
      </c>
      <c r="Y1246" s="4">
        <v>0</v>
      </c>
      <c r="Z1246" s="5">
        <v>8418</v>
      </c>
      <c r="AA1246" s="5">
        <v>0</v>
      </c>
      <c r="AB1246" s="6">
        <v>0</v>
      </c>
      <c r="AC1246" s="4">
        <v>8418</v>
      </c>
      <c r="AD1246" s="4">
        <v>0</v>
      </c>
      <c r="AE1246" s="4">
        <v>8418</v>
      </c>
      <c r="AF1246" s="1"/>
      <c r="AG1246" s="1"/>
      <c r="AH1246" s="1"/>
      <c r="AI1246" s="1" t="s">
        <v>2841</v>
      </c>
      <c r="AJ1246" s="6">
        <v>3122.8600000000501</v>
      </c>
      <c r="AK1246" s="6">
        <v>1229.81</v>
      </c>
      <c r="AL1246" s="1"/>
    </row>
    <row r="1247" spans="1:38" hidden="1" x14ac:dyDescent="0.25">
      <c r="A1247" s="2">
        <v>1631</v>
      </c>
      <c r="B1247" s="1" t="s">
        <v>1466</v>
      </c>
      <c r="C1247" s="1" t="s">
        <v>1470</v>
      </c>
      <c r="D1247" s="1" t="s">
        <v>2062</v>
      </c>
      <c r="E1247" s="1" t="s">
        <v>2063</v>
      </c>
      <c r="F1247" s="3">
        <v>45517</v>
      </c>
      <c r="G1247" s="3">
        <v>45334</v>
      </c>
      <c r="H1247" s="3">
        <v>45699</v>
      </c>
      <c r="I1247" s="1" t="s">
        <v>3577</v>
      </c>
      <c r="J1247" s="1" t="s">
        <v>3578</v>
      </c>
      <c r="K1247" s="1"/>
      <c r="L1247" s="1" t="s">
        <v>2681</v>
      </c>
      <c r="M1247" s="1" t="s">
        <v>3579</v>
      </c>
      <c r="N1247" s="1" t="s">
        <v>3580</v>
      </c>
      <c r="O1247" s="1" t="s">
        <v>3581</v>
      </c>
      <c r="P1247" s="1" t="s">
        <v>2182</v>
      </c>
      <c r="Q1247" s="1"/>
      <c r="R1247" s="1"/>
      <c r="S1247" s="1" t="s">
        <v>2072</v>
      </c>
      <c r="T1247" s="1" t="s">
        <v>3165</v>
      </c>
      <c r="U1247" s="4">
        <v>5000000</v>
      </c>
      <c r="V1247" s="4">
        <v>6901</v>
      </c>
      <c r="W1247" s="4">
        <v>69</v>
      </c>
      <c r="X1247" s="4">
        <v>1035</v>
      </c>
      <c r="Y1247" s="4">
        <v>0</v>
      </c>
      <c r="Z1247" s="5">
        <v>8005</v>
      </c>
      <c r="AA1247" s="5">
        <v>0</v>
      </c>
      <c r="AB1247" s="6">
        <v>0</v>
      </c>
      <c r="AC1247" s="4">
        <v>8005</v>
      </c>
      <c r="AD1247" s="4">
        <v>0</v>
      </c>
      <c r="AE1247" s="4">
        <v>8005</v>
      </c>
      <c r="AF1247" s="1"/>
      <c r="AG1247" s="1"/>
      <c r="AH1247" s="1"/>
      <c r="AI1247" s="1" t="s">
        <v>2841</v>
      </c>
      <c r="AJ1247" s="6">
        <v>1868.2300000000009</v>
      </c>
      <c r="AK1247" s="6">
        <v>1169.3700000000001</v>
      </c>
      <c r="AL1247" s="1"/>
    </row>
    <row r="1248" spans="1:38" hidden="1" x14ac:dyDescent="0.25">
      <c r="A1248" s="2">
        <v>1632</v>
      </c>
      <c r="B1248" s="1" t="s">
        <v>1466</v>
      </c>
      <c r="C1248" s="1" t="s">
        <v>1471</v>
      </c>
      <c r="D1248" s="1" t="s">
        <v>2062</v>
      </c>
      <c r="E1248" s="1" t="s">
        <v>2063</v>
      </c>
      <c r="F1248" s="3">
        <v>45549</v>
      </c>
      <c r="G1248" s="3">
        <v>45334</v>
      </c>
      <c r="H1248" s="3">
        <v>45699</v>
      </c>
      <c r="I1248" s="1" t="s">
        <v>3577</v>
      </c>
      <c r="J1248" s="1" t="s">
        <v>3578</v>
      </c>
      <c r="K1248" s="1"/>
      <c r="L1248" s="1" t="s">
        <v>2681</v>
      </c>
      <c r="M1248" s="1" t="s">
        <v>3579</v>
      </c>
      <c r="N1248" s="1" t="s">
        <v>3580</v>
      </c>
      <c r="O1248" s="1" t="s">
        <v>3581</v>
      </c>
      <c r="P1248" s="1" t="s">
        <v>2182</v>
      </c>
      <c r="Q1248" s="1"/>
      <c r="R1248" s="1"/>
      <c r="S1248" s="1" t="s">
        <v>2072</v>
      </c>
      <c r="T1248" s="1" t="s">
        <v>3165</v>
      </c>
      <c r="U1248" s="4">
        <v>5000000</v>
      </c>
      <c r="V1248" s="4">
        <v>7471</v>
      </c>
      <c r="W1248" s="4">
        <v>75</v>
      </c>
      <c r="X1248" s="4">
        <v>1121</v>
      </c>
      <c r="Y1248" s="4">
        <v>0</v>
      </c>
      <c r="Z1248" s="5">
        <v>8667</v>
      </c>
      <c r="AA1248" s="5">
        <v>0</v>
      </c>
      <c r="AB1248" s="6">
        <v>0</v>
      </c>
      <c r="AC1248" s="4">
        <v>8667</v>
      </c>
      <c r="AD1248" s="4">
        <v>0</v>
      </c>
      <c r="AE1248" s="4">
        <v>8667</v>
      </c>
      <c r="AF1248" s="1"/>
      <c r="AG1248" s="1"/>
      <c r="AH1248" s="1"/>
      <c r="AI1248" s="1" t="s">
        <v>2841</v>
      </c>
      <c r="AJ1248" s="6">
        <v>2163.7800000000034</v>
      </c>
      <c r="AK1248" s="6">
        <v>1266.24</v>
      </c>
      <c r="AL1248" s="1"/>
    </row>
    <row r="1249" spans="1:38" hidden="1" x14ac:dyDescent="0.25">
      <c r="A1249" s="2">
        <v>1633</v>
      </c>
      <c r="B1249" s="1" t="s">
        <v>1466</v>
      </c>
      <c r="C1249" s="1" t="s">
        <v>1472</v>
      </c>
      <c r="D1249" s="1" t="s">
        <v>2062</v>
      </c>
      <c r="E1249" s="1" t="s">
        <v>2063</v>
      </c>
      <c r="F1249" s="3">
        <v>45579</v>
      </c>
      <c r="G1249" s="3">
        <v>45334</v>
      </c>
      <c r="H1249" s="3">
        <v>45699</v>
      </c>
      <c r="I1249" s="1" t="s">
        <v>3577</v>
      </c>
      <c r="J1249" s="1" t="s">
        <v>3578</v>
      </c>
      <c r="K1249" s="1"/>
      <c r="L1249" s="1" t="s">
        <v>2681</v>
      </c>
      <c r="M1249" s="1" t="s">
        <v>3579</v>
      </c>
      <c r="N1249" s="1" t="s">
        <v>3580</v>
      </c>
      <c r="O1249" s="1" t="s">
        <v>3581</v>
      </c>
      <c r="P1249" s="1" t="s">
        <v>2182</v>
      </c>
      <c r="Q1249" s="1"/>
      <c r="R1249" s="1"/>
      <c r="S1249" s="1" t="s">
        <v>2072</v>
      </c>
      <c r="T1249" s="1" t="s">
        <v>3165</v>
      </c>
      <c r="U1249" s="4">
        <v>5000000</v>
      </c>
      <c r="V1249" s="4">
        <v>7675</v>
      </c>
      <c r="W1249" s="4">
        <v>77</v>
      </c>
      <c r="X1249" s="4">
        <v>1151</v>
      </c>
      <c r="Y1249" s="4">
        <v>0</v>
      </c>
      <c r="Z1249" s="5">
        <v>8903</v>
      </c>
      <c r="AA1249" s="5">
        <v>0</v>
      </c>
      <c r="AB1249" s="6">
        <v>0</v>
      </c>
      <c r="AC1249" s="4">
        <v>8903</v>
      </c>
      <c r="AD1249" s="4">
        <v>0</v>
      </c>
      <c r="AE1249" s="4">
        <v>8903</v>
      </c>
      <c r="AF1249" s="1"/>
      <c r="AG1249" s="1"/>
      <c r="AH1249" s="1"/>
      <c r="AI1249" s="1" t="s">
        <v>2841</v>
      </c>
      <c r="AJ1249" s="6">
        <v>2734.1600000000112</v>
      </c>
      <c r="AK1249" s="6">
        <v>1300.52</v>
      </c>
      <c r="AL1249" s="1"/>
    </row>
    <row r="1250" spans="1:38" hidden="1" x14ac:dyDescent="0.25">
      <c r="A1250" s="2">
        <v>1634</v>
      </c>
      <c r="B1250" s="1" t="s">
        <v>1466</v>
      </c>
      <c r="C1250" s="1" t="s">
        <v>1473</v>
      </c>
      <c r="D1250" s="1" t="s">
        <v>2062</v>
      </c>
      <c r="E1250" s="1" t="s">
        <v>2063</v>
      </c>
      <c r="F1250" s="3">
        <v>45609</v>
      </c>
      <c r="G1250" s="3">
        <v>45334</v>
      </c>
      <c r="H1250" s="3">
        <v>45699</v>
      </c>
      <c r="I1250" s="1" t="s">
        <v>3577</v>
      </c>
      <c r="J1250" s="1" t="s">
        <v>3578</v>
      </c>
      <c r="K1250" s="1"/>
      <c r="L1250" s="1" t="s">
        <v>2681</v>
      </c>
      <c r="M1250" s="1" t="s">
        <v>3579</v>
      </c>
      <c r="N1250" s="1" t="s">
        <v>3580</v>
      </c>
      <c r="O1250" s="1" t="s">
        <v>3581</v>
      </c>
      <c r="P1250" s="1" t="s">
        <v>2182</v>
      </c>
      <c r="Q1250" s="1"/>
      <c r="R1250" s="1"/>
      <c r="S1250" s="1" t="s">
        <v>2072</v>
      </c>
      <c r="T1250" s="1" t="s">
        <v>3165</v>
      </c>
      <c r="U1250" s="4">
        <v>5000000</v>
      </c>
      <c r="V1250" s="4">
        <v>7416</v>
      </c>
      <c r="W1250" s="4">
        <v>74</v>
      </c>
      <c r="X1250" s="4">
        <v>1112</v>
      </c>
      <c r="Y1250" s="4">
        <v>0</v>
      </c>
      <c r="Z1250" s="5">
        <v>8602</v>
      </c>
      <c r="AA1250" s="5">
        <v>0</v>
      </c>
      <c r="AB1250" s="6">
        <v>0</v>
      </c>
      <c r="AC1250" s="4">
        <v>8602</v>
      </c>
      <c r="AD1250" s="4">
        <v>0</v>
      </c>
      <c r="AE1250" s="4">
        <v>8602</v>
      </c>
      <c r="AF1250" s="1"/>
      <c r="AG1250" s="1"/>
      <c r="AH1250" s="1"/>
      <c r="AI1250" s="1" t="s">
        <v>2841</v>
      </c>
      <c r="AJ1250" s="6">
        <v>3566.850000000044</v>
      </c>
      <c r="AK1250" s="6">
        <v>1256.77</v>
      </c>
      <c r="AL1250" s="1"/>
    </row>
    <row r="1251" spans="1:38" hidden="1" x14ac:dyDescent="0.25">
      <c r="A1251" s="2">
        <v>1635</v>
      </c>
      <c r="B1251" s="1" t="s">
        <v>1466</v>
      </c>
      <c r="C1251" s="1" t="s">
        <v>1474</v>
      </c>
      <c r="D1251" s="1" t="s">
        <v>2062</v>
      </c>
      <c r="E1251" s="1" t="s">
        <v>2063</v>
      </c>
      <c r="F1251" s="3">
        <v>45639</v>
      </c>
      <c r="G1251" s="3">
        <v>45334</v>
      </c>
      <c r="H1251" s="3">
        <v>45699</v>
      </c>
      <c r="I1251" s="1" t="s">
        <v>3577</v>
      </c>
      <c r="J1251" s="1" t="s">
        <v>3578</v>
      </c>
      <c r="K1251" s="1"/>
      <c r="L1251" s="1" t="s">
        <v>2681</v>
      </c>
      <c r="M1251" s="1" t="s">
        <v>3579</v>
      </c>
      <c r="N1251" s="1" t="s">
        <v>3580</v>
      </c>
      <c r="O1251" s="1" t="s">
        <v>3581</v>
      </c>
      <c r="P1251" s="1" t="s">
        <v>2182</v>
      </c>
      <c r="Q1251" s="1"/>
      <c r="R1251" s="1"/>
      <c r="S1251" s="1" t="s">
        <v>2072</v>
      </c>
      <c r="T1251" s="1" t="s">
        <v>3165</v>
      </c>
      <c r="U1251" s="4">
        <v>5000000</v>
      </c>
      <c r="V1251" s="4">
        <v>6670</v>
      </c>
      <c r="W1251" s="4">
        <v>67</v>
      </c>
      <c r="X1251" s="4">
        <v>1001</v>
      </c>
      <c r="Y1251" s="4">
        <v>0</v>
      </c>
      <c r="Z1251" s="5">
        <v>7738</v>
      </c>
      <c r="AA1251" s="5">
        <v>0</v>
      </c>
      <c r="AB1251" s="6">
        <v>0</v>
      </c>
      <c r="AC1251" s="4">
        <v>7738</v>
      </c>
      <c r="AD1251" s="4">
        <v>0</v>
      </c>
      <c r="AE1251" s="4">
        <v>7738</v>
      </c>
      <c r="AF1251" s="1"/>
      <c r="AG1251" s="1"/>
      <c r="AH1251" s="1"/>
      <c r="AI1251" s="1" t="s">
        <v>2841</v>
      </c>
      <c r="AJ1251" s="6">
        <v>2132.7600000000134</v>
      </c>
      <c r="AK1251" s="6">
        <v>1130.24</v>
      </c>
      <c r="AL1251" s="1"/>
    </row>
    <row r="1252" spans="1:38" hidden="1" x14ac:dyDescent="0.25">
      <c r="A1252" s="2">
        <v>1636</v>
      </c>
      <c r="B1252" s="1" t="s">
        <v>1466</v>
      </c>
      <c r="C1252" s="1" t="s">
        <v>1475</v>
      </c>
      <c r="D1252" s="1" t="s">
        <v>2062</v>
      </c>
      <c r="E1252" s="1" t="s">
        <v>2063</v>
      </c>
      <c r="F1252" s="3">
        <v>45655</v>
      </c>
      <c r="G1252" s="3">
        <v>45334</v>
      </c>
      <c r="H1252" s="3">
        <v>45699</v>
      </c>
      <c r="I1252" s="1" t="s">
        <v>3577</v>
      </c>
      <c r="J1252" s="1" t="s">
        <v>3578</v>
      </c>
      <c r="K1252" s="1"/>
      <c r="L1252" s="1" t="s">
        <v>2681</v>
      </c>
      <c r="M1252" s="1" t="s">
        <v>3579</v>
      </c>
      <c r="N1252" s="1" t="s">
        <v>3580</v>
      </c>
      <c r="O1252" s="1" t="s">
        <v>3581</v>
      </c>
      <c r="P1252" s="1" t="s">
        <v>2182</v>
      </c>
      <c r="Q1252" s="1"/>
      <c r="R1252" s="1"/>
      <c r="S1252" s="1" t="s">
        <v>2072</v>
      </c>
      <c r="T1252" s="1" t="s">
        <v>3165</v>
      </c>
      <c r="U1252" s="4">
        <v>-1</v>
      </c>
      <c r="V1252" s="4">
        <v>-66362</v>
      </c>
      <c r="W1252" s="4">
        <v>-664</v>
      </c>
      <c r="X1252" s="4">
        <v>0</v>
      </c>
      <c r="Y1252" s="4">
        <v>0</v>
      </c>
      <c r="Z1252" s="5">
        <v>-67026</v>
      </c>
      <c r="AA1252" s="5">
        <v>0</v>
      </c>
      <c r="AB1252" s="6">
        <v>0</v>
      </c>
      <c r="AC1252" s="4">
        <v>-67026</v>
      </c>
      <c r="AD1252" s="4">
        <v>0</v>
      </c>
      <c r="AE1252" s="4">
        <v>-67026</v>
      </c>
      <c r="AF1252" s="1"/>
      <c r="AG1252" s="1"/>
      <c r="AH1252" s="1"/>
      <c r="AI1252" s="1" t="s">
        <v>2841</v>
      </c>
      <c r="AJ1252" s="1"/>
      <c r="AK1252" s="1"/>
      <c r="AL1252" s="1"/>
    </row>
    <row r="1253" spans="1:38" hidden="1" x14ac:dyDescent="0.25">
      <c r="A1253" s="2">
        <v>1651</v>
      </c>
      <c r="B1253" s="1" t="s">
        <v>1476</v>
      </c>
      <c r="C1253" s="1" t="s">
        <v>1477</v>
      </c>
      <c r="D1253" s="1" t="s">
        <v>2062</v>
      </c>
      <c r="E1253" s="1" t="s">
        <v>2063</v>
      </c>
      <c r="F1253" s="3">
        <v>45429</v>
      </c>
      <c r="G1253" s="3">
        <v>45338</v>
      </c>
      <c r="H1253" s="3">
        <v>45703</v>
      </c>
      <c r="I1253" s="1" t="s">
        <v>3582</v>
      </c>
      <c r="J1253" s="1" t="s">
        <v>3583</v>
      </c>
      <c r="K1253" s="1"/>
      <c r="L1253" s="1" t="s">
        <v>2638</v>
      </c>
      <c r="M1253" s="1" t="s">
        <v>3584</v>
      </c>
      <c r="N1253" s="1" t="s">
        <v>3585</v>
      </c>
      <c r="O1253" s="1" t="s">
        <v>3586</v>
      </c>
      <c r="P1253" s="1" t="s">
        <v>2095</v>
      </c>
      <c r="Q1253" s="1"/>
      <c r="R1253" s="1"/>
      <c r="S1253" s="1" t="s">
        <v>2072</v>
      </c>
      <c r="T1253" s="1" t="s">
        <v>3165</v>
      </c>
      <c r="U1253" s="4">
        <v>5000000</v>
      </c>
      <c r="V1253" s="4">
        <v>617</v>
      </c>
      <c r="W1253" s="4">
        <v>6</v>
      </c>
      <c r="X1253" s="4">
        <v>80</v>
      </c>
      <c r="Y1253" s="4">
        <v>0</v>
      </c>
      <c r="Z1253" s="5">
        <v>703</v>
      </c>
      <c r="AA1253" s="5">
        <v>688</v>
      </c>
      <c r="AB1253" s="6">
        <v>0</v>
      </c>
      <c r="AC1253" s="4">
        <v>15</v>
      </c>
      <c r="AD1253" s="4">
        <v>0</v>
      </c>
      <c r="AE1253" s="4">
        <v>15</v>
      </c>
      <c r="AF1253" s="1"/>
      <c r="AG1253" s="1"/>
      <c r="AH1253" s="1"/>
      <c r="AI1253" s="1" t="s">
        <v>2841</v>
      </c>
      <c r="AJ1253" s="6">
        <v>103.81</v>
      </c>
      <c r="AK1253" s="6">
        <v>102.7</v>
      </c>
      <c r="AL1253" s="1"/>
    </row>
    <row r="1254" spans="1:38" hidden="1" x14ac:dyDescent="0.25">
      <c r="A1254" s="2">
        <v>1652</v>
      </c>
      <c r="B1254" s="1" t="s">
        <v>1476</v>
      </c>
      <c r="C1254" s="1" t="s">
        <v>1478</v>
      </c>
      <c r="D1254" s="1" t="s">
        <v>2062</v>
      </c>
      <c r="E1254" s="1" t="s">
        <v>2063</v>
      </c>
      <c r="F1254" s="3">
        <v>45586</v>
      </c>
      <c r="G1254" s="3">
        <v>45338</v>
      </c>
      <c r="H1254" s="3">
        <v>45703</v>
      </c>
      <c r="I1254" s="1" t="s">
        <v>3582</v>
      </c>
      <c r="J1254" s="1" t="s">
        <v>3583</v>
      </c>
      <c r="K1254" s="1"/>
      <c r="L1254" s="1" t="s">
        <v>2638</v>
      </c>
      <c r="M1254" s="1" t="s">
        <v>3584</v>
      </c>
      <c r="N1254" s="1" t="s">
        <v>3585</v>
      </c>
      <c r="O1254" s="1" t="s">
        <v>3586</v>
      </c>
      <c r="P1254" s="1" t="s">
        <v>2095</v>
      </c>
      <c r="Q1254" s="1"/>
      <c r="R1254" s="1"/>
      <c r="S1254" s="1" t="s">
        <v>2072</v>
      </c>
      <c r="T1254" s="1" t="s">
        <v>3165</v>
      </c>
      <c r="U1254" s="4">
        <v>5000000</v>
      </c>
      <c r="V1254" s="4">
        <v>1744</v>
      </c>
      <c r="W1254" s="4">
        <v>17</v>
      </c>
      <c r="X1254" s="4">
        <v>261</v>
      </c>
      <c r="Y1254" s="4">
        <v>0</v>
      </c>
      <c r="Z1254" s="5">
        <v>2022</v>
      </c>
      <c r="AA1254" s="5">
        <v>0</v>
      </c>
      <c r="AB1254" s="6">
        <v>0</v>
      </c>
      <c r="AC1254" s="4">
        <v>2022</v>
      </c>
      <c r="AD1254" s="4">
        <v>0</v>
      </c>
      <c r="AE1254" s="4">
        <v>2022</v>
      </c>
      <c r="AF1254" s="1"/>
      <c r="AG1254" s="1"/>
      <c r="AH1254" s="1"/>
      <c r="AI1254" s="1" t="s">
        <v>2841</v>
      </c>
      <c r="AJ1254" s="6">
        <v>1358.15</v>
      </c>
      <c r="AK1254" s="6">
        <v>295.36</v>
      </c>
      <c r="AL1254" s="1"/>
    </row>
    <row r="1255" spans="1:38" hidden="1" x14ac:dyDescent="0.25">
      <c r="A1255" s="2">
        <v>1653</v>
      </c>
      <c r="B1255" s="1" t="s">
        <v>1476</v>
      </c>
      <c r="C1255" s="1" t="s">
        <v>1479</v>
      </c>
      <c r="D1255" s="1" t="s">
        <v>2062</v>
      </c>
      <c r="E1255" s="1" t="s">
        <v>2063</v>
      </c>
      <c r="F1255" s="3">
        <v>45595</v>
      </c>
      <c r="G1255" s="3">
        <v>45338</v>
      </c>
      <c r="H1255" s="3">
        <v>45703</v>
      </c>
      <c r="I1255" s="1" t="s">
        <v>3582</v>
      </c>
      <c r="J1255" s="1" t="s">
        <v>3583</v>
      </c>
      <c r="K1255" s="1"/>
      <c r="L1255" s="1" t="s">
        <v>2638</v>
      </c>
      <c r="M1255" s="1" t="s">
        <v>3584</v>
      </c>
      <c r="N1255" s="1" t="s">
        <v>3585</v>
      </c>
      <c r="O1255" s="1" t="s">
        <v>3586</v>
      </c>
      <c r="P1255" s="1" t="s">
        <v>2095</v>
      </c>
      <c r="Q1255" s="1"/>
      <c r="R1255" s="1"/>
      <c r="S1255" s="1" t="s">
        <v>2072</v>
      </c>
      <c r="T1255" s="1" t="s">
        <v>3165</v>
      </c>
      <c r="U1255" s="4">
        <v>-1</v>
      </c>
      <c r="V1255" s="4">
        <v>-2017</v>
      </c>
      <c r="W1255" s="4">
        <v>-20</v>
      </c>
      <c r="X1255" s="4">
        <v>0</v>
      </c>
      <c r="Y1255" s="4">
        <v>0</v>
      </c>
      <c r="Z1255" s="5">
        <v>-2037</v>
      </c>
      <c r="AA1255" s="5">
        <v>0</v>
      </c>
      <c r="AB1255" s="6">
        <v>0</v>
      </c>
      <c r="AC1255" s="4">
        <v>-2037</v>
      </c>
      <c r="AD1255" s="4">
        <v>0</v>
      </c>
      <c r="AE1255" s="4">
        <v>-2037</v>
      </c>
      <c r="AF1255" s="1"/>
      <c r="AG1255" s="1"/>
      <c r="AH1255" s="1"/>
      <c r="AI1255" s="1" t="s">
        <v>2841</v>
      </c>
      <c r="AJ1255" s="1"/>
      <c r="AK1255" s="1"/>
      <c r="AL1255" s="1" t="s">
        <v>3587</v>
      </c>
    </row>
    <row r="1256" spans="1:38" hidden="1" x14ac:dyDescent="0.25">
      <c r="A1256" s="2">
        <v>1654</v>
      </c>
      <c r="B1256" s="1" t="s">
        <v>1480</v>
      </c>
      <c r="C1256" s="1" t="s">
        <v>1481</v>
      </c>
      <c r="D1256" s="1" t="s">
        <v>2062</v>
      </c>
      <c r="E1256" s="1" t="s">
        <v>2063</v>
      </c>
      <c r="F1256" s="3">
        <v>45372</v>
      </c>
      <c r="G1256" s="3">
        <v>45342</v>
      </c>
      <c r="H1256" s="3">
        <v>45707</v>
      </c>
      <c r="I1256" s="1" t="s">
        <v>3588</v>
      </c>
      <c r="J1256" s="1" t="s">
        <v>3589</v>
      </c>
      <c r="K1256" s="1"/>
      <c r="L1256" s="1" t="s">
        <v>3064</v>
      </c>
      <c r="M1256" s="1" t="s">
        <v>3590</v>
      </c>
      <c r="N1256" s="1" t="s">
        <v>3591</v>
      </c>
      <c r="O1256" s="1" t="s">
        <v>3592</v>
      </c>
      <c r="P1256" s="1" t="s">
        <v>2182</v>
      </c>
      <c r="Q1256" s="1" t="s">
        <v>3593</v>
      </c>
      <c r="R1256" s="1"/>
      <c r="S1256" s="1" t="s">
        <v>2072</v>
      </c>
      <c r="T1256" s="1" t="s">
        <v>2073</v>
      </c>
      <c r="U1256" s="4">
        <v>6300000</v>
      </c>
      <c r="V1256" s="4">
        <v>6006</v>
      </c>
      <c r="W1256" s="4">
        <v>60</v>
      </c>
      <c r="X1256" s="4">
        <v>781</v>
      </c>
      <c r="Y1256" s="4">
        <v>0</v>
      </c>
      <c r="Z1256" s="5">
        <v>6847</v>
      </c>
      <c r="AA1256" s="5">
        <v>0</v>
      </c>
      <c r="AB1256" s="6">
        <v>0</v>
      </c>
      <c r="AC1256" s="4">
        <v>6847</v>
      </c>
      <c r="AD1256" s="4">
        <v>0</v>
      </c>
      <c r="AE1256" s="4">
        <v>6847</v>
      </c>
      <c r="AF1256" s="1"/>
      <c r="AG1256" s="1"/>
      <c r="AH1256" s="1"/>
      <c r="AI1256" s="1" t="s">
        <v>3432</v>
      </c>
      <c r="AJ1256" s="6">
        <v>821.44000000000096</v>
      </c>
      <c r="AK1256" s="6">
        <v>793.31</v>
      </c>
      <c r="AL1256" s="1"/>
    </row>
    <row r="1257" spans="1:38" hidden="1" x14ac:dyDescent="0.25">
      <c r="A1257" s="2">
        <v>1655</v>
      </c>
      <c r="B1257" s="1" t="s">
        <v>1480</v>
      </c>
      <c r="C1257" s="1" t="s">
        <v>1482</v>
      </c>
      <c r="D1257" s="1" t="s">
        <v>2062</v>
      </c>
      <c r="E1257" s="1" t="s">
        <v>2063</v>
      </c>
      <c r="F1257" s="3">
        <v>45403</v>
      </c>
      <c r="G1257" s="3">
        <v>45342</v>
      </c>
      <c r="H1257" s="3">
        <v>45707</v>
      </c>
      <c r="I1257" s="1" t="s">
        <v>3588</v>
      </c>
      <c r="J1257" s="1" t="s">
        <v>3589</v>
      </c>
      <c r="K1257" s="1"/>
      <c r="L1257" s="1" t="s">
        <v>3064</v>
      </c>
      <c r="M1257" s="1" t="s">
        <v>3590</v>
      </c>
      <c r="N1257" s="1" t="s">
        <v>3591</v>
      </c>
      <c r="O1257" s="1" t="s">
        <v>3592</v>
      </c>
      <c r="P1257" s="1" t="s">
        <v>2182</v>
      </c>
      <c r="Q1257" s="1" t="s">
        <v>3593</v>
      </c>
      <c r="R1257" s="1"/>
      <c r="S1257" s="1" t="s">
        <v>2072</v>
      </c>
      <c r="T1257" s="1" t="s">
        <v>2073</v>
      </c>
      <c r="U1257" s="4">
        <v>6300000</v>
      </c>
      <c r="V1257" s="4">
        <v>4819</v>
      </c>
      <c r="W1257" s="4">
        <v>48</v>
      </c>
      <c r="X1257" s="4">
        <v>626</v>
      </c>
      <c r="Y1257" s="4">
        <v>0</v>
      </c>
      <c r="Z1257" s="5">
        <v>5493</v>
      </c>
      <c r="AA1257" s="5">
        <v>0</v>
      </c>
      <c r="AB1257" s="6">
        <v>0</v>
      </c>
      <c r="AC1257" s="4">
        <v>5493</v>
      </c>
      <c r="AD1257" s="4">
        <v>0</v>
      </c>
      <c r="AE1257" s="4">
        <v>5493</v>
      </c>
      <c r="AF1257" s="1"/>
      <c r="AG1257" s="1"/>
      <c r="AH1257" s="1"/>
      <c r="AI1257" s="1" t="s">
        <v>3432</v>
      </c>
      <c r="AJ1257" s="6">
        <v>641.88</v>
      </c>
      <c r="AK1257" s="6">
        <v>636.42999999999995</v>
      </c>
      <c r="AL1257" s="1"/>
    </row>
    <row r="1258" spans="1:38" hidden="1" x14ac:dyDescent="0.25">
      <c r="A1258" s="2">
        <v>1656</v>
      </c>
      <c r="B1258" s="1" t="s">
        <v>1480</v>
      </c>
      <c r="C1258" s="1" t="s">
        <v>1483</v>
      </c>
      <c r="D1258" s="1" t="s">
        <v>2062</v>
      </c>
      <c r="E1258" s="1" t="s">
        <v>2063</v>
      </c>
      <c r="F1258" s="3">
        <v>45649</v>
      </c>
      <c r="G1258" s="3">
        <v>45342</v>
      </c>
      <c r="H1258" s="3">
        <v>45707</v>
      </c>
      <c r="I1258" s="1" t="s">
        <v>3588</v>
      </c>
      <c r="J1258" s="1" t="s">
        <v>3589</v>
      </c>
      <c r="K1258" s="1"/>
      <c r="L1258" s="1" t="s">
        <v>3064</v>
      </c>
      <c r="M1258" s="1" t="s">
        <v>3590</v>
      </c>
      <c r="N1258" s="1" t="s">
        <v>3591</v>
      </c>
      <c r="O1258" s="1" t="s">
        <v>3592</v>
      </c>
      <c r="P1258" s="1" t="s">
        <v>2182</v>
      </c>
      <c r="Q1258" s="1" t="s">
        <v>3593</v>
      </c>
      <c r="R1258" s="1"/>
      <c r="S1258" s="1" t="s">
        <v>2072</v>
      </c>
      <c r="T1258" s="1" t="s">
        <v>2073</v>
      </c>
      <c r="U1258" s="4">
        <v>6300000</v>
      </c>
      <c r="V1258" s="4">
        <v>5872</v>
      </c>
      <c r="W1258" s="4">
        <v>59</v>
      </c>
      <c r="X1258" s="4">
        <v>881</v>
      </c>
      <c r="Y1258" s="4">
        <v>0</v>
      </c>
      <c r="Z1258" s="5">
        <v>6812</v>
      </c>
      <c r="AA1258" s="5">
        <v>0</v>
      </c>
      <c r="AB1258" s="6">
        <v>0</v>
      </c>
      <c r="AC1258" s="4">
        <v>6812</v>
      </c>
      <c r="AD1258" s="4">
        <v>0</v>
      </c>
      <c r="AE1258" s="4">
        <v>6812</v>
      </c>
      <c r="AF1258" s="1"/>
      <c r="AG1258" s="1"/>
      <c r="AH1258" s="1"/>
      <c r="AI1258" s="1" t="s">
        <v>3432</v>
      </c>
      <c r="AJ1258" s="6">
        <v>885.27</v>
      </c>
      <c r="AK1258" s="6">
        <v>789.38</v>
      </c>
      <c r="AL1258" s="1"/>
    </row>
    <row r="1259" spans="1:38" hidden="1" x14ac:dyDescent="0.25">
      <c r="A1259" s="2">
        <v>1657</v>
      </c>
      <c r="B1259" s="1" t="s">
        <v>1480</v>
      </c>
      <c r="C1259" s="1" t="s">
        <v>1484</v>
      </c>
      <c r="D1259" s="1" t="s">
        <v>2062</v>
      </c>
      <c r="E1259" s="1" t="s">
        <v>2063</v>
      </c>
      <c r="F1259" s="3">
        <v>45655</v>
      </c>
      <c r="G1259" s="3">
        <v>45342</v>
      </c>
      <c r="H1259" s="3">
        <v>45707</v>
      </c>
      <c r="I1259" s="1" t="s">
        <v>3588</v>
      </c>
      <c r="J1259" s="1" t="s">
        <v>3589</v>
      </c>
      <c r="K1259" s="1"/>
      <c r="L1259" s="1" t="s">
        <v>3064</v>
      </c>
      <c r="M1259" s="1" t="s">
        <v>3590</v>
      </c>
      <c r="N1259" s="1" t="s">
        <v>3591</v>
      </c>
      <c r="O1259" s="1" t="s">
        <v>3592</v>
      </c>
      <c r="P1259" s="1" t="s">
        <v>2182</v>
      </c>
      <c r="Q1259" s="1" t="s">
        <v>3593</v>
      </c>
      <c r="R1259" s="1"/>
      <c r="S1259" s="1" t="s">
        <v>2072</v>
      </c>
      <c r="T1259" s="1" t="s">
        <v>2073</v>
      </c>
      <c r="U1259" s="4">
        <v>-1</v>
      </c>
      <c r="V1259" s="4">
        <v>-18962</v>
      </c>
      <c r="W1259" s="4">
        <v>-190</v>
      </c>
      <c r="X1259" s="4">
        <v>0</v>
      </c>
      <c r="Y1259" s="4">
        <v>0</v>
      </c>
      <c r="Z1259" s="5">
        <v>-19152</v>
      </c>
      <c r="AA1259" s="5">
        <v>0</v>
      </c>
      <c r="AB1259" s="6">
        <v>0</v>
      </c>
      <c r="AC1259" s="4">
        <v>-19152</v>
      </c>
      <c r="AD1259" s="4">
        <v>0</v>
      </c>
      <c r="AE1259" s="4">
        <v>-19152</v>
      </c>
      <c r="AF1259" s="1"/>
      <c r="AG1259" s="1"/>
      <c r="AH1259" s="1"/>
      <c r="AI1259" s="1" t="s">
        <v>3432</v>
      </c>
      <c r="AJ1259" s="1"/>
      <c r="AK1259" s="1"/>
      <c r="AL1259" s="1"/>
    </row>
    <row r="1260" spans="1:38" hidden="1" x14ac:dyDescent="0.25">
      <c r="A1260" s="2">
        <v>1662</v>
      </c>
      <c r="B1260" s="1" t="s">
        <v>1485</v>
      </c>
      <c r="C1260" s="1" t="s">
        <v>1486</v>
      </c>
      <c r="D1260" s="1" t="s">
        <v>2062</v>
      </c>
      <c r="E1260" s="1" t="s">
        <v>2063</v>
      </c>
      <c r="F1260" s="3">
        <v>45373</v>
      </c>
      <c r="G1260" s="3">
        <v>45344</v>
      </c>
      <c r="H1260" s="3">
        <v>45709</v>
      </c>
      <c r="I1260" s="1" t="s">
        <v>3420</v>
      </c>
      <c r="J1260" s="1" t="s">
        <v>3594</v>
      </c>
      <c r="K1260" s="1"/>
      <c r="L1260" s="1" t="s">
        <v>2917</v>
      </c>
      <c r="M1260" s="1" t="s">
        <v>3595</v>
      </c>
      <c r="N1260" s="1" t="s">
        <v>3596</v>
      </c>
      <c r="O1260" s="1" t="s">
        <v>3597</v>
      </c>
      <c r="P1260" s="1" t="s">
        <v>2095</v>
      </c>
      <c r="Q1260" s="1"/>
      <c r="R1260" s="1"/>
      <c r="S1260" s="1" t="s">
        <v>2072</v>
      </c>
      <c r="T1260" s="1" t="s">
        <v>3165</v>
      </c>
      <c r="U1260" s="4">
        <v>3500000</v>
      </c>
      <c r="V1260" s="4">
        <v>1134</v>
      </c>
      <c r="W1260" s="4">
        <v>12</v>
      </c>
      <c r="X1260" s="4">
        <v>148</v>
      </c>
      <c r="Y1260" s="4">
        <v>0</v>
      </c>
      <c r="Z1260" s="5">
        <v>1294</v>
      </c>
      <c r="AA1260" s="5">
        <v>0</v>
      </c>
      <c r="AB1260" s="6">
        <v>0</v>
      </c>
      <c r="AC1260" s="4">
        <v>1294</v>
      </c>
      <c r="AD1260" s="4">
        <v>0</v>
      </c>
      <c r="AE1260" s="4">
        <v>1294</v>
      </c>
      <c r="AF1260" s="1"/>
      <c r="AG1260" s="1"/>
      <c r="AH1260" s="1"/>
      <c r="AI1260" s="1" t="s">
        <v>2841</v>
      </c>
      <c r="AJ1260" s="6">
        <v>287.87</v>
      </c>
      <c r="AK1260" s="6">
        <v>269.74</v>
      </c>
      <c r="AL1260" s="1"/>
    </row>
    <row r="1261" spans="1:38" hidden="1" x14ac:dyDescent="0.25">
      <c r="A1261" s="2">
        <v>1663</v>
      </c>
      <c r="B1261" s="1" t="s">
        <v>1485</v>
      </c>
      <c r="C1261" s="1" t="s">
        <v>1487</v>
      </c>
      <c r="D1261" s="1" t="s">
        <v>2062</v>
      </c>
      <c r="E1261" s="1" t="s">
        <v>2063</v>
      </c>
      <c r="F1261" s="3">
        <v>45655</v>
      </c>
      <c r="G1261" s="3">
        <v>45344</v>
      </c>
      <c r="H1261" s="3">
        <v>45709</v>
      </c>
      <c r="I1261" s="1" t="s">
        <v>3420</v>
      </c>
      <c r="J1261" s="1" t="s">
        <v>3594</v>
      </c>
      <c r="K1261" s="1"/>
      <c r="L1261" s="1" t="s">
        <v>2917</v>
      </c>
      <c r="M1261" s="1" t="s">
        <v>3595</v>
      </c>
      <c r="N1261" s="1" t="s">
        <v>3596</v>
      </c>
      <c r="O1261" s="1" t="s">
        <v>3597</v>
      </c>
      <c r="P1261" s="1" t="s">
        <v>2095</v>
      </c>
      <c r="Q1261" s="1"/>
      <c r="R1261" s="1"/>
      <c r="S1261" s="1" t="s">
        <v>2072</v>
      </c>
      <c r="T1261" s="1" t="s">
        <v>3165</v>
      </c>
      <c r="U1261" s="4">
        <v>-1</v>
      </c>
      <c r="V1261" s="4">
        <v>-1281</v>
      </c>
      <c r="W1261" s="4">
        <v>-13</v>
      </c>
      <c r="X1261" s="4">
        <v>0</v>
      </c>
      <c r="Y1261" s="4">
        <v>0</v>
      </c>
      <c r="Z1261" s="5">
        <v>-1294</v>
      </c>
      <c r="AA1261" s="5">
        <v>0</v>
      </c>
      <c r="AB1261" s="6">
        <v>0</v>
      </c>
      <c r="AC1261" s="4">
        <v>-1294</v>
      </c>
      <c r="AD1261" s="4">
        <v>0</v>
      </c>
      <c r="AE1261" s="4">
        <v>-1294</v>
      </c>
      <c r="AF1261" s="1"/>
      <c r="AG1261" s="1"/>
      <c r="AH1261" s="1"/>
      <c r="AI1261" s="1" t="s">
        <v>2841</v>
      </c>
      <c r="AJ1261" s="1"/>
      <c r="AK1261" s="1"/>
      <c r="AL1261" s="1"/>
    </row>
    <row r="1262" spans="1:38" hidden="1" x14ac:dyDescent="0.25">
      <c r="A1262" s="2">
        <v>1664</v>
      </c>
      <c r="B1262" s="1" t="s">
        <v>1488</v>
      </c>
      <c r="C1262" s="1" t="s">
        <v>1489</v>
      </c>
      <c r="D1262" s="1" t="s">
        <v>2062</v>
      </c>
      <c r="E1262" s="1" t="s">
        <v>2063</v>
      </c>
      <c r="F1262" s="3">
        <v>45439</v>
      </c>
      <c r="G1262" s="3">
        <v>45347</v>
      </c>
      <c r="H1262" s="3">
        <v>45712</v>
      </c>
      <c r="I1262" s="1" t="s">
        <v>3598</v>
      </c>
      <c r="J1262" s="1" t="s">
        <v>3599</v>
      </c>
      <c r="K1262" s="1"/>
      <c r="L1262" s="1" t="s">
        <v>3600</v>
      </c>
      <c r="M1262" s="1" t="s">
        <v>3601</v>
      </c>
      <c r="N1262" s="1" t="s">
        <v>3602</v>
      </c>
      <c r="O1262" s="1" t="s">
        <v>3603</v>
      </c>
      <c r="P1262" s="1" t="s">
        <v>2165</v>
      </c>
      <c r="Q1262" s="1" t="s">
        <v>3604</v>
      </c>
      <c r="R1262" s="1"/>
      <c r="S1262" s="1" t="s">
        <v>2072</v>
      </c>
      <c r="T1262" s="1" t="s">
        <v>2073</v>
      </c>
      <c r="U1262" s="4">
        <v>2100000</v>
      </c>
      <c r="V1262" s="4">
        <v>2301</v>
      </c>
      <c r="W1262" s="4">
        <v>23</v>
      </c>
      <c r="X1262" s="4">
        <v>299</v>
      </c>
      <c r="Y1262" s="4">
        <v>0</v>
      </c>
      <c r="Z1262" s="5">
        <v>2623</v>
      </c>
      <c r="AA1262" s="5">
        <v>0</v>
      </c>
      <c r="AB1262" s="6">
        <v>0</v>
      </c>
      <c r="AC1262" s="4">
        <v>2623</v>
      </c>
      <c r="AD1262" s="4">
        <v>0</v>
      </c>
      <c r="AE1262" s="4">
        <v>2623</v>
      </c>
      <c r="AF1262" s="1"/>
      <c r="AG1262" s="1"/>
      <c r="AH1262" s="1"/>
      <c r="AI1262" s="1" t="s">
        <v>3432</v>
      </c>
      <c r="AJ1262" s="6">
        <v>1154.5700000000011</v>
      </c>
      <c r="AK1262" s="6">
        <v>915.15</v>
      </c>
      <c r="AL1262" s="1"/>
    </row>
    <row r="1263" spans="1:38" hidden="1" x14ac:dyDescent="0.25">
      <c r="A1263" s="2">
        <v>1665</v>
      </c>
      <c r="B1263" s="1" t="s">
        <v>1488</v>
      </c>
      <c r="C1263" s="1" t="s">
        <v>1490</v>
      </c>
      <c r="D1263" s="1" t="s">
        <v>2062</v>
      </c>
      <c r="E1263" s="1" t="s">
        <v>2063</v>
      </c>
      <c r="F1263" s="3">
        <v>45439</v>
      </c>
      <c r="G1263" s="3">
        <v>45347</v>
      </c>
      <c r="H1263" s="3">
        <v>45712</v>
      </c>
      <c r="I1263" s="1" t="s">
        <v>3598</v>
      </c>
      <c r="J1263" s="1" t="s">
        <v>3599</v>
      </c>
      <c r="K1263" s="1"/>
      <c r="L1263" s="1" t="s">
        <v>3600</v>
      </c>
      <c r="M1263" s="1" t="s">
        <v>3601</v>
      </c>
      <c r="N1263" s="1" t="s">
        <v>3602</v>
      </c>
      <c r="O1263" s="1" t="s">
        <v>3603</v>
      </c>
      <c r="P1263" s="1" t="s">
        <v>2165</v>
      </c>
      <c r="Q1263" s="1" t="s">
        <v>3604</v>
      </c>
      <c r="R1263" s="1"/>
      <c r="S1263" s="1" t="s">
        <v>2072</v>
      </c>
      <c r="T1263" s="1" t="s">
        <v>2073</v>
      </c>
      <c r="U1263" s="4">
        <v>2100000</v>
      </c>
      <c r="V1263" s="4">
        <v>418</v>
      </c>
      <c r="W1263" s="4">
        <v>5</v>
      </c>
      <c r="X1263" s="4">
        <v>55</v>
      </c>
      <c r="Y1263" s="4">
        <v>0</v>
      </c>
      <c r="Z1263" s="5">
        <v>478</v>
      </c>
      <c r="AA1263" s="5">
        <v>0</v>
      </c>
      <c r="AB1263" s="6">
        <v>0</v>
      </c>
      <c r="AC1263" s="4">
        <v>478</v>
      </c>
      <c r="AD1263" s="4">
        <v>0</v>
      </c>
      <c r="AE1263" s="4">
        <v>478</v>
      </c>
      <c r="AF1263" s="1"/>
      <c r="AG1263" s="1"/>
      <c r="AH1263" s="1"/>
      <c r="AI1263" s="1" t="s">
        <v>3432</v>
      </c>
      <c r="AJ1263" s="6">
        <v>215.76000000000005</v>
      </c>
      <c r="AK1263" s="6">
        <v>166.57</v>
      </c>
      <c r="AL1263" s="1"/>
    </row>
    <row r="1264" spans="1:38" hidden="1" x14ac:dyDescent="0.25">
      <c r="A1264" s="2">
        <v>1666</v>
      </c>
      <c r="B1264" s="1" t="s">
        <v>1488</v>
      </c>
      <c r="C1264" s="1" t="s">
        <v>1491</v>
      </c>
      <c r="D1264" s="1" t="s">
        <v>2062</v>
      </c>
      <c r="E1264" s="1" t="s">
        <v>2063</v>
      </c>
      <c r="F1264" s="3">
        <v>45596</v>
      </c>
      <c r="G1264" s="3">
        <v>45347</v>
      </c>
      <c r="H1264" s="3">
        <v>45712</v>
      </c>
      <c r="I1264" s="1" t="s">
        <v>3598</v>
      </c>
      <c r="J1264" s="1" t="s">
        <v>3599</v>
      </c>
      <c r="K1264" s="1"/>
      <c r="L1264" s="1" t="s">
        <v>3600</v>
      </c>
      <c r="M1264" s="1" t="s">
        <v>3601</v>
      </c>
      <c r="N1264" s="1" t="s">
        <v>3602</v>
      </c>
      <c r="O1264" s="1" t="s">
        <v>3603</v>
      </c>
      <c r="P1264" s="1" t="s">
        <v>2165</v>
      </c>
      <c r="Q1264" s="1" t="s">
        <v>3604</v>
      </c>
      <c r="R1264" s="1"/>
      <c r="S1264" s="1" t="s">
        <v>2072</v>
      </c>
      <c r="T1264" s="1" t="s">
        <v>2073</v>
      </c>
      <c r="U1264" s="4">
        <v>-1</v>
      </c>
      <c r="V1264" s="4">
        <v>-3070</v>
      </c>
      <c r="W1264" s="4">
        <v>-31</v>
      </c>
      <c r="X1264" s="4">
        <v>0</v>
      </c>
      <c r="Y1264" s="4">
        <v>0</v>
      </c>
      <c r="Z1264" s="5">
        <v>-3101</v>
      </c>
      <c r="AA1264" s="5">
        <v>0</v>
      </c>
      <c r="AB1264" s="6">
        <v>0</v>
      </c>
      <c r="AC1264" s="4">
        <v>-3101</v>
      </c>
      <c r="AD1264" s="4">
        <v>0</v>
      </c>
      <c r="AE1264" s="4">
        <v>-3101</v>
      </c>
      <c r="AF1264" s="1"/>
      <c r="AG1264" s="1"/>
      <c r="AH1264" s="1"/>
      <c r="AI1264" s="1" t="s">
        <v>3432</v>
      </c>
      <c r="AJ1264" s="1"/>
      <c r="AK1264" s="1"/>
      <c r="AL1264" s="1"/>
    </row>
    <row r="1265" spans="1:38" hidden="1" x14ac:dyDescent="0.25">
      <c r="A1265" s="2">
        <v>1667</v>
      </c>
      <c r="B1265" s="1" t="s">
        <v>1492</v>
      </c>
      <c r="C1265" s="1" t="s">
        <v>1493</v>
      </c>
      <c r="D1265" s="1" t="s">
        <v>2062</v>
      </c>
      <c r="E1265" s="1" t="s">
        <v>2063</v>
      </c>
      <c r="F1265" s="3">
        <v>45436</v>
      </c>
      <c r="G1265" s="3">
        <v>45346</v>
      </c>
      <c r="H1265" s="3">
        <v>45711</v>
      </c>
      <c r="I1265" s="1" t="s">
        <v>3605</v>
      </c>
      <c r="J1265" s="1" t="s">
        <v>3606</v>
      </c>
      <c r="K1265" s="1"/>
      <c r="L1265" s="1" t="s">
        <v>3116</v>
      </c>
      <c r="M1265" s="1" t="s">
        <v>3607</v>
      </c>
      <c r="N1265" s="1" t="s">
        <v>3608</v>
      </c>
      <c r="O1265" s="1" t="s">
        <v>3609</v>
      </c>
      <c r="P1265" s="1" t="s">
        <v>2182</v>
      </c>
      <c r="Q1265" s="1" t="s">
        <v>3610</v>
      </c>
      <c r="R1265" s="1"/>
      <c r="S1265" s="1" t="s">
        <v>2072</v>
      </c>
      <c r="T1265" s="1" t="s">
        <v>2073</v>
      </c>
      <c r="U1265" s="4">
        <v>3000000</v>
      </c>
      <c r="V1265" s="4">
        <v>303</v>
      </c>
      <c r="W1265" s="4">
        <v>3</v>
      </c>
      <c r="X1265" s="4">
        <v>40</v>
      </c>
      <c r="Y1265" s="4">
        <v>0</v>
      </c>
      <c r="Z1265" s="5">
        <v>346</v>
      </c>
      <c r="AA1265" s="5">
        <v>0</v>
      </c>
      <c r="AB1265" s="6">
        <v>0</v>
      </c>
      <c r="AC1265" s="4">
        <v>346</v>
      </c>
      <c r="AD1265" s="4">
        <v>0</v>
      </c>
      <c r="AE1265" s="4">
        <v>346</v>
      </c>
      <c r="AF1265" s="1"/>
      <c r="AG1265" s="1"/>
      <c r="AH1265" s="1"/>
      <c r="AI1265" s="1" t="s">
        <v>3432</v>
      </c>
      <c r="AJ1265" s="6">
        <v>83.95999999999998</v>
      </c>
      <c r="AK1265" s="6">
        <v>83.95999999999998</v>
      </c>
      <c r="AL1265" s="1"/>
    </row>
    <row r="1266" spans="1:38" hidden="1" x14ac:dyDescent="0.25">
      <c r="A1266" s="2">
        <v>1668</v>
      </c>
      <c r="B1266" s="1" t="s">
        <v>1492</v>
      </c>
      <c r="C1266" s="1" t="s">
        <v>1494</v>
      </c>
      <c r="D1266" s="1" t="s">
        <v>2062</v>
      </c>
      <c r="E1266" s="1" t="s">
        <v>2063</v>
      </c>
      <c r="F1266" s="3">
        <v>45468</v>
      </c>
      <c r="G1266" s="3">
        <v>45346</v>
      </c>
      <c r="H1266" s="3">
        <v>45711</v>
      </c>
      <c r="I1266" s="1" t="s">
        <v>3605</v>
      </c>
      <c r="J1266" s="1" t="s">
        <v>3606</v>
      </c>
      <c r="K1266" s="1"/>
      <c r="L1266" s="1" t="s">
        <v>3116</v>
      </c>
      <c r="M1266" s="1" t="s">
        <v>3607</v>
      </c>
      <c r="N1266" s="1" t="s">
        <v>3608</v>
      </c>
      <c r="O1266" s="1" t="s">
        <v>3609</v>
      </c>
      <c r="P1266" s="1" t="s">
        <v>2182</v>
      </c>
      <c r="Q1266" s="1" t="s">
        <v>3610</v>
      </c>
      <c r="R1266" s="1"/>
      <c r="S1266" s="1" t="s">
        <v>2072</v>
      </c>
      <c r="T1266" s="1" t="s">
        <v>2073</v>
      </c>
      <c r="U1266" s="4">
        <v>3000000</v>
      </c>
      <c r="V1266" s="4">
        <v>1280</v>
      </c>
      <c r="W1266" s="4">
        <v>13</v>
      </c>
      <c r="X1266" s="4">
        <v>166</v>
      </c>
      <c r="Y1266" s="4">
        <v>0</v>
      </c>
      <c r="Z1266" s="5">
        <v>1459</v>
      </c>
      <c r="AA1266" s="5">
        <v>0</v>
      </c>
      <c r="AB1266" s="6">
        <v>0</v>
      </c>
      <c r="AC1266" s="4">
        <v>1459</v>
      </c>
      <c r="AD1266" s="4">
        <v>0</v>
      </c>
      <c r="AE1266" s="4">
        <v>1459</v>
      </c>
      <c r="AF1266" s="1"/>
      <c r="AG1266" s="1"/>
      <c r="AH1266" s="1"/>
      <c r="AI1266" s="1" t="s">
        <v>3432</v>
      </c>
      <c r="AJ1266" s="6">
        <v>1008.7599999999981</v>
      </c>
      <c r="AK1266" s="6">
        <v>355.03</v>
      </c>
      <c r="AL1266" s="1"/>
    </row>
    <row r="1267" spans="1:38" hidden="1" x14ac:dyDescent="0.25">
      <c r="A1267" s="2">
        <v>1669</v>
      </c>
      <c r="B1267" s="1" t="s">
        <v>1492</v>
      </c>
      <c r="C1267" s="1" t="s">
        <v>1495</v>
      </c>
      <c r="D1267" s="1" t="s">
        <v>2062</v>
      </c>
      <c r="E1267" s="1" t="s">
        <v>2063</v>
      </c>
      <c r="F1267" s="3">
        <v>45499</v>
      </c>
      <c r="G1267" s="3">
        <v>45346</v>
      </c>
      <c r="H1267" s="3">
        <v>45711</v>
      </c>
      <c r="I1267" s="1" t="s">
        <v>3605</v>
      </c>
      <c r="J1267" s="1" t="s">
        <v>3606</v>
      </c>
      <c r="K1267" s="1"/>
      <c r="L1267" s="1" t="s">
        <v>3116</v>
      </c>
      <c r="M1267" s="1" t="s">
        <v>3607</v>
      </c>
      <c r="N1267" s="1" t="s">
        <v>3608</v>
      </c>
      <c r="O1267" s="1" t="s">
        <v>3609</v>
      </c>
      <c r="P1267" s="1" t="s">
        <v>2182</v>
      </c>
      <c r="Q1267" s="1" t="s">
        <v>3610</v>
      </c>
      <c r="R1267" s="1"/>
      <c r="S1267" s="1" t="s">
        <v>2072</v>
      </c>
      <c r="T1267" s="1" t="s">
        <v>2073</v>
      </c>
      <c r="U1267" s="4">
        <v>3000000</v>
      </c>
      <c r="V1267" s="4">
        <v>967</v>
      </c>
      <c r="W1267" s="4">
        <v>10</v>
      </c>
      <c r="X1267" s="4">
        <v>145</v>
      </c>
      <c r="Y1267" s="4">
        <v>0</v>
      </c>
      <c r="Z1267" s="5">
        <v>1122</v>
      </c>
      <c r="AA1267" s="5">
        <v>0</v>
      </c>
      <c r="AB1267" s="6">
        <v>0</v>
      </c>
      <c r="AC1267" s="4">
        <v>1122</v>
      </c>
      <c r="AD1267" s="4">
        <v>0</v>
      </c>
      <c r="AE1267" s="4">
        <v>1122</v>
      </c>
      <c r="AF1267" s="1"/>
      <c r="AG1267" s="1"/>
      <c r="AH1267" s="1"/>
      <c r="AI1267" s="1" t="s">
        <v>3432</v>
      </c>
      <c r="AJ1267" s="6">
        <v>1005.0299999999971</v>
      </c>
      <c r="AK1267" s="6">
        <v>273.13000000000005</v>
      </c>
      <c r="AL1267" s="1"/>
    </row>
    <row r="1268" spans="1:38" hidden="1" x14ac:dyDescent="0.25">
      <c r="A1268" s="2">
        <v>1670</v>
      </c>
      <c r="B1268" s="1" t="s">
        <v>1492</v>
      </c>
      <c r="C1268" s="1" t="s">
        <v>1496</v>
      </c>
      <c r="D1268" s="1" t="s">
        <v>2062</v>
      </c>
      <c r="E1268" s="1" t="s">
        <v>2063</v>
      </c>
      <c r="F1268" s="3">
        <v>45533</v>
      </c>
      <c r="G1268" s="3">
        <v>45346</v>
      </c>
      <c r="H1268" s="3">
        <v>45711</v>
      </c>
      <c r="I1268" s="1" t="s">
        <v>3605</v>
      </c>
      <c r="J1268" s="1" t="s">
        <v>3606</v>
      </c>
      <c r="K1268" s="1"/>
      <c r="L1268" s="1" t="s">
        <v>3116</v>
      </c>
      <c r="M1268" s="1" t="s">
        <v>3607</v>
      </c>
      <c r="N1268" s="1" t="s">
        <v>3608</v>
      </c>
      <c r="O1268" s="1" t="s">
        <v>3609</v>
      </c>
      <c r="P1268" s="1" t="s">
        <v>2182</v>
      </c>
      <c r="Q1268" s="1" t="s">
        <v>3610</v>
      </c>
      <c r="R1268" s="1"/>
      <c r="S1268" s="1" t="s">
        <v>2072</v>
      </c>
      <c r="T1268" s="1" t="s">
        <v>2073</v>
      </c>
      <c r="U1268" s="4">
        <v>3000000</v>
      </c>
      <c r="V1268" s="4">
        <v>1137</v>
      </c>
      <c r="W1268" s="4">
        <v>11</v>
      </c>
      <c r="X1268" s="4">
        <v>170</v>
      </c>
      <c r="Y1268" s="4">
        <v>0</v>
      </c>
      <c r="Z1268" s="5">
        <v>1318</v>
      </c>
      <c r="AA1268" s="5">
        <v>0</v>
      </c>
      <c r="AB1268" s="6">
        <v>0</v>
      </c>
      <c r="AC1268" s="4">
        <v>1318</v>
      </c>
      <c r="AD1268" s="4">
        <v>0</v>
      </c>
      <c r="AE1268" s="4">
        <v>1318</v>
      </c>
      <c r="AF1268" s="1"/>
      <c r="AG1268" s="1"/>
      <c r="AH1268" s="1"/>
      <c r="AI1268" s="1" t="s">
        <v>3432</v>
      </c>
      <c r="AJ1268" s="6">
        <v>322.49</v>
      </c>
      <c r="AK1268" s="6">
        <v>320.87</v>
      </c>
      <c r="AL1268" s="1"/>
    </row>
    <row r="1269" spans="1:38" hidden="1" x14ac:dyDescent="0.25">
      <c r="A1269" s="2">
        <v>1671</v>
      </c>
      <c r="B1269" s="1" t="s">
        <v>1492</v>
      </c>
      <c r="C1269" s="1" t="s">
        <v>1497</v>
      </c>
      <c r="D1269" s="1" t="s">
        <v>2062</v>
      </c>
      <c r="E1269" s="1" t="s">
        <v>2063</v>
      </c>
      <c r="F1269" s="3">
        <v>45563</v>
      </c>
      <c r="G1269" s="3">
        <v>45346</v>
      </c>
      <c r="H1269" s="3">
        <v>45711</v>
      </c>
      <c r="I1269" s="1" t="s">
        <v>3605</v>
      </c>
      <c r="J1269" s="1" t="s">
        <v>3606</v>
      </c>
      <c r="K1269" s="1"/>
      <c r="L1269" s="1" t="s">
        <v>3116</v>
      </c>
      <c r="M1269" s="1" t="s">
        <v>3607</v>
      </c>
      <c r="N1269" s="1" t="s">
        <v>3608</v>
      </c>
      <c r="O1269" s="1" t="s">
        <v>3609</v>
      </c>
      <c r="P1269" s="1" t="s">
        <v>2182</v>
      </c>
      <c r="Q1269" s="1" t="s">
        <v>3610</v>
      </c>
      <c r="R1269" s="1"/>
      <c r="S1269" s="1" t="s">
        <v>2072</v>
      </c>
      <c r="T1269" s="1" t="s">
        <v>2073</v>
      </c>
      <c r="U1269" s="4">
        <v>3000000</v>
      </c>
      <c r="V1269" s="4">
        <v>858</v>
      </c>
      <c r="W1269" s="4">
        <v>9</v>
      </c>
      <c r="X1269" s="4">
        <v>129</v>
      </c>
      <c r="Y1269" s="4">
        <v>0</v>
      </c>
      <c r="Z1269" s="5">
        <v>996</v>
      </c>
      <c r="AA1269" s="5">
        <v>0</v>
      </c>
      <c r="AB1269" s="6">
        <v>0</v>
      </c>
      <c r="AC1269" s="4">
        <v>996</v>
      </c>
      <c r="AD1269" s="4">
        <v>0</v>
      </c>
      <c r="AE1269" s="4">
        <v>996</v>
      </c>
      <c r="AF1269" s="1"/>
      <c r="AG1269" s="1"/>
      <c r="AH1269" s="1"/>
      <c r="AI1269" s="1" t="s">
        <v>3432</v>
      </c>
      <c r="AJ1269" s="6">
        <v>301.31</v>
      </c>
      <c r="AK1269" s="6">
        <v>242.12</v>
      </c>
      <c r="AL1269" s="1"/>
    </row>
    <row r="1270" spans="1:38" hidden="1" x14ac:dyDescent="0.25">
      <c r="A1270" s="2">
        <v>1672</v>
      </c>
      <c r="B1270" s="1" t="s">
        <v>1492</v>
      </c>
      <c r="C1270" s="1" t="s">
        <v>1498</v>
      </c>
      <c r="D1270" s="1" t="s">
        <v>2062</v>
      </c>
      <c r="E1270" s="1" t="s">
        <v>2063</v>
      </c>
      <c r="F1270" s="3">
        <v>45590</v>
      </c>
      <c r="G1270" s="3">
        <v>45346</v>
      </c>
      <c r="H1270" s="3">
        <v>45711</v>
      </c>
      <c r="I1270" s="1" t="s">
        <v>3605</v>
      </c>
      <c r="J1270" s="1" t="s">
        <v>3606</v>
      </c>
      <c r="K1270" s="1"/>
      <c r="L1270" s="1" t="s">
        <v>3116</v>
      </c>
      <c r="M1270" s="1" t="s">
        <v>3607</v>
      </c>
      <c r="N1270" s="1" t="s">
        <v>3608</v>
      </c>
      <c r="O1270" s="1" t="s">
        <v>3609</v>
      </c>
      <c r="P1270" s="1" t="s">
        <v>2182</v>
      </c>
      <c r="Q1270" s="1" t="s">
        <v>3610</v>
      </c>
      <c r="R1270" s="1"/>
      <c r="S1270" s="1" t="s">
        <v>2072</v>
      </c>
      <c r="T1270" s="1" t="s">
        <v>2073</v>
      </c>
      <c r="U1270" s="4">
        <v>3000000</v>
      </c>
      <c r="V1270" s="4">
        <v>296</v>
      </c>
      <c r="W1270" s="4">
        <v>3</v>
      </c>
      <c r="X1270" s="4">
        <v>44</v>
      </c>
      <c r="Y1270" s="4">
        <v>0</v>
      </c>
      <c r="Z1270" s="5">
        <v>343</v>
      </c>
      <c r="AA1270" s="5">
        <v>0</v>
      </c>
      <c r="AB1270" s="6">
        <v>0</v>
      </c>
      <c r="AC1270" s="4">
        <v>343</v>
      </c>
      <c r="AD1270" s="4">
        <v>0</v>
      </c>
      <c r="AE1270" s="4">
        <v>343</v>
      </c>
      <c r="AF1270" s="1"/>
      <c r="AG1270" s="1"/>
      <c r="AH1270" s="1"/>
      <c r="AI1270" s="1" t="s">
        <v>3432</v>
      </c>
      <c r="AJ1270" s="6">
        <v>83.200000000000102</v>
      </c>
      <c r="AK1270" s="6">
        <v>83.200000000000102</v>
      </c>
      <c r="AL1270" s="1"/>
    </row>
    <row r="1271" spans="1:38" hidden="1" x14ac:dyDescent="0.25">
      <c r="A1271" s="2">
        <v>1673</v>
      </c>
      <c r="B1271" s="1" t="s">
        <v>1492</v>
      </c>
      <c r="C1271" s="1" t="s">
        <v>1499</v>
      </c>
      <c r="D1271" s="1" t="s">
        <v>2062</v>
      </c>
      <c r="E1271" s="1" t="s">
        <v>2063</v>
      </c>
      <c r="F1271" s="3">
        <v>45622</v>
      </c>
      <c r="G1271" s="3">
        <v>45346</v>
      </c>
      <c r="H1271" s="3">
        <v>45711</v>
      </c>
      <c r="I1271" s="1" t="s">
        <v>3605</v>
      </c>
      <c r="J1271" s="1" t="s">
        <v>3606</v>
      </c>
      <c r="K1271" s="1"/>
      <c r="L1271" s="1" t="s">
        <v>3116</v>
      </c>
      <c r="M1271" s="1" t="s">
        <v>3607</v>
      </c>
      <c r="N1271" s="1" t="s">
        <v>3608</v>
      </c>
      <c r="O1271" s="1" t="s">
        <v>3609</v>
      </c>
      <c r="P1271" s="1" t="s">
        <v>2182</v>
      </c>
      <c r="Q1271" s="1" t="s">
        <v>3610</v>
      </c>
      <c r="R1271" s="1"/>
      <c r="S1271" s="1" t="s">
        <v>2072</v>
      </c>
      <c r="T1271" s="1" t="s">
        <v>2073</v>
      </c>
      <c r="U1271" s="4">
        <v>3000000</v>
      </c>
      <c r="V1271" s="4">
        <v>375</v>
      </c>
      <c r="W1271" s="4">
        <v>4</v>
      </c>
      <c r="X1271" s="4">
        <v>56</v>
      </c>
      <c r="Y1271" s="4">
        <v>0</v>
      </c>
      <c r="Z1271" s="5">
        <v>435</v>
      </c>
      <c r="AA1271" s="5">
        <v>0</v>
      </c>
      <c r="AB1271" s="6">
        <v>0</v>
      </c>
      <c r="AC1271" s="4">
        <v>435</v>
      </c>
      <c r="AD1271" s="4">
        <v>0</v>
      </c>
      <c r="AE1271" s="4">
        <v>435</v>
      </c>
      <c r="AF1271" s="1"/>
      <c r="AG1271" s="1"/>
      <c r="AH1271" s="1"/>
      <c r="AI1271" s="1" t="s">
        <v>3432</v>
      </c>
      <c r="AJ1271" s="6">
        <v>106.14</v>
      </c>
      <c r="AK1271" s="6">
        <v>106.14</v>
      </c>
      <c r="AL1271" s="1"/>
    </row>
    <row r="1272" spans="1:38" hidden="1" x14ac:dyDescent="0.25">
      <c r="A1272" s="2">
        <v>1674</v>
      </c>
      <c r="B1272" s="1" t="s">
        <v>1492</v>
      </c>
      <c r="C1272" s="1" t="s">
        <v>1500</v>
      </c>
      <c r="D1272" s="1" t="s">
        <v>2062</v>
      </c>
      <c r="E1272" s="1" t="s">
        <v>2063</v>
      </c>
      <c r="F1272" s="3">
        <v>45652</v>
      </c>
      <c r="G1272" s="3">
        <v>45346</v>
      </c>
      <c r="H1272" s="3">
        <v>45711</v>
      </c>
      <c r="I1272" s="1" t="s">
        <v>3605</v>
      </c>
      <c r="J1272" s="1" t="s">
        <v>3606</v>
      </c>
      <c r="K1272" s="1"/>
      <c r="L1272" s="1" t="s">
        <v>3116</v>
      </c>
      <c r="M1272" s="1" t="s">
        <v>3607</v>
      </c>
      <c r="N1272" s="1" t="s">
        <v>3608</v>
      </c>
      <c r="O1272" s="1" t="s">
        <v>3609</v>
      </c>
      <c r="P1272" s="1" t="s">
        <v>2182</v>
      </c>
      <c r="Q1272" s="1" t="s">
        <v>3610</v>
      </c>
      <c r="R1272" s="1"/>
      <c r="S1272" s="1" t="s">
        <v>2072</v>
      </c>
      <c r="T1272" s="1" t="s">
        <v>2073</v>
      </c>
      <c r="U1272" s="4">
        <v>3000000</v>
      </c>
      <c r="V1272" s="4">
        <v>370</v>
      </c>
      <c r="W1272" s="4">
        <v>4</v>
      </c>
      <c r="X1272" s="4">
        <v>55</v>
      </c>
      <c r="Y1272" s="4">
        <v>0</v>
      </c>
      <c r="Z1272" s="5">
        <v>429</v>
      </c>
      <c r="AA1272" s="5">
        <v>0</v>
      </c>
      <c r="AB1272" s="6">
        <v>0</v>
      </c>
      <c r="AC1272" s="4">
        <v>429</v>
      </c>
      <c r="AD1272" s="4">
        <v>0</v>
      </c>
      <c r="AE1272" s="4">
        <v>429</v>
      </c>
      <c r="AF1272" s="1"/>
      <c r="AG1272" s="1"/>
      <c r="AH1272" s="1"/>
      <c r="AI1272" s="1" t="s">
        <v>3432</v>
      </c>
      <c r="AJ1272" s="6">
        <v>104.13</v>
      </c>
      <c r="AK1272" s="6">
        <v>104.13</v>
      </c>
      <c r="AL1272" s="1"/>
    </row>
    <row r="1273" spans="1:38" hidden="1" x14ac:dyDescent="0.25">
      <c r="A1273" s="2">
        <v>1675</v>
      </c>
      <c r="B1273" s="1" t="s">
        <v>1492</v>
      </c>
      <c r="C1273" s="1" t="s">
        <v>1501</v>
      </c>
      <c r="D1273" s="1" t="s">
        <v>2062</v>
      </c>
      <c r="E1273" s="1" t="s">
        <v>2063</v>
      </c>
      <c r="F1273" s="3">
        <v>45655</v>
      </c>
      <c r="G1273" s="3">
        <v>45346</v>
      </c>
      <c r="H1273" s="3">
        <v>45711</v>
      </c>
      <c r="I1273" s="1" t="s">
        <v>3605</v>
      </c>
      <c r="J1273" s="1" t="s">
        <v>3606</v>
      </c>
      <c r="K1273" s="1"/>
      <c r="L1273" s="1" t="s">
        <v>3116</v>
      </c>
      <c r="M1273" s="1" t="s">
        <v>3607</v>
      </c>
      <c r="N1273" s="1" t="s">
        <v>3608</v>
      </c>
      <c r="O1273" s="1" t="s">
        <v>3609</v>
      </c>
      <c r="P1273" s="1" t="s">
        <v>2182</v>
      </c>
      <c r="Q1273" s="1" t="s">
        <v>3610</v>
      </c>
      <c r="R1273" s="1"/>
      <c r="S1273" s="1" t="s">
        <v>2072</v>
      </c>
      <c r="T1273" s="1" t="s">
        <v>2073</v>
      </c>
      <c r="U1273" s="4">
        <v>-1</v>
      </c>
      <c r="V1273" s="4">
        <v>-6384</v>
      </c>
      <c r="W1273" s="4">
        <v>-64</v>
      </c>
      <c r="X1273" s="4">
        <v>0</v>
      </c>
      <c r="Y1273" s="4">
        <v>0</v>
      </c>
      <c r="Z1273" s="5">
        <v>-6448</v>
      </c>
      <c r="AA1273" s="5">
        <v>0</v>
      </c>
      <c r="AB1273" s="6">
        <v>0</v>
      </c>
      <c r="AC1273" s="4">
        <v>-6448</v>
      </c>
      <c r="AD1273" s="4">
        <v>0</v>
      </c>
      <c r="AE1273" s="4">
        <v>-6448</v>
      </c>
      <c r="AF1273" s="1"/>
      <c r="AG1273" s="1"/>
      <c r="AH1273" s="1"/>
      <c r="AI1273" s="1" t="s">
        <v>3432</v>
      </c>
      <c r="AJ1273" s="1"/>
      <c r="AK1273" s="1"/>
      <c r="AL1273" s="1"/>
    </row>
    <row r="1274" spans="1:38" hidden="1" x14ac:dyDescent="0.25">
      <c r="A1274" s="2">
        <v>1676</v>
      </c>
      <c r="B1274" s="1" t="s">
        <v>1502</v>
      </c>
      <c r="C1274" s="1" t="s">
        <v>1503</v>
      </c>
      <c r="D1274" s="1" t="s">
        <v>2062</v>
      </c>
      <c r="E1274" s="1" t="s">
        <v>2063</v>
      </c>
      <c r="F1274" s="3">
        <v>45436</v>
      </c>
      <c r="G1274" s="3">
        <v>45346</v>
      </c>
      <c r="H1274" s="3">
        <v>45711</v>
      </c>
      <c r="I1274" s="1" t="s">
        <v>2818</v>
      </c>
      <c r="J1274" s="1" t="s">
        <v>3611</v>
      </c>
      <c r="K1274" s="1"/>
      <c r="L1274" s="1" t="s">
        <v>3612</v>
      </c>
      <c r="M1274" s="1" t="s">
        <v>3613</v>
      </c>
      <c r="N1274" s="1" t="s">
        <v>3614</v>
      </c>
      <c r="O1274" s="1" t="s">
        <v>3615</v>
      </c>
      <c r="P1274" s="1" t="s">
        <v>2088</v>
      </c>
      <c r="Q1274" s="1"/>
      <c r="R1274" s="1"/>
      <c r="S1274" s="1" t="s">
        <v>2072</v>
      </c>
      <c r="T1274" s="1" t="s">
        <v>3165</v>
      </c>
      <c r="U1274" s="4">
        <v>5600000</v>
      </c>
      <c r="V1274" s="4">
        <v>5770</v>
      </c>
      <c r="W1274" s="4">
        <v>58</v>
      </c>
      <c r="X1274" s="4">
        <v>751</v>
      </c>
      <c r="Y1274" s="4">
        <v>0</v>
      </c>
      <c r="Z1274" s="5">
        <v>6579</v>
      </c>
      <c r="AA1274" s="5">
        <v>0</v>
      </c>
      <c r="AB1274" s="6">
        <v>0</v>
      </c>
      <c r="AC1274" s="4">
        <v>6579</v>
      </c>
      <c r="AD1274" s="4">
        <v>0</v>
      </c>
      <c r="AE1274" s="4">
        <v>6579</v>
      </c>
      <c r="AF1274" s="1"/>
      <c r="AG1274" s="1"/>
      <c r="AH1274" s="1"/>
      <c r="AI1274" s="1" t="s">
        <v>2551</v>
      </c>
      <c r="AJ1274" s="6">
        <v>1328.200000000001</v>
      </c>
      <c r="AK1274" s="6">
        <v>858</v>
      </c>
      <c r="AL1274" s="1"/>
    </row>
    <row r="1275" spans="1:38" hidden="1" x14ac:dyDescent="0.25">
      <c r="A1275" s="2">
        <v>1677</v>
      </c>
      <c r="B1275" s="1" t="s">
        <v>1502</v>
      </c>
      <c r="C1275" s="1" t="s">
        <v>1504</v>
      </c>
      <c r="D1275" s="1" t="s">
        <v>2062</v>
      </c>
      <c r="E1275" s="1" t="s">
        <v>2063</v>
      </c>
      <c r="F1275" s="3">
        <v>45468</v>
      </c>
      <c r="G1275" s="3">
        <v>45346</v>
      </c>
      <c r="H1275" s="3">
        <v>45711</v>
      </c>
      <c r="I1275" s="1" t="s">
        <v>2818</v>
      </c>
      <c r="J1275" s="1" t="s">
        <v>3611</v>
      </c>
      <c r="K1275" s="1"/>
      <c r="L1275" s="1" t="s">
        <v>3612</v>
      </c>
      <c r="M1275" s="1" t="s">
        <v>3613</v>
      </c>
      <c r="N1275" s="1" t="s">
        <v>3614</v>
      </c>
      <c r="O1275" s="1" t="s">
        <v>3615</v>
      </c>
      <c r="P1275" s="1" t="s">
        <v>2088</v>
      </c>
      <c r="Q1275" s="1"/>
      <c r="R1275" s="1"/>
      <c r="S1275" s="1" t="s">
        <v>2072</v>
      </c>
      <c r="T1275" s="1" t="s">
        <v>3165</v>
      </c>
      <c r="U1275" s="4">
        <v>5600000</v>
      </c>
      <c r="V1275" s="4">
        <v>6668</v>
      </c>
      <c r="W1275" s="4">
        <v>67</v>
      </c>
      <c r="X1275" s="4">
        <v>866</v>
      </c>
      <c r="Y1275" s="4">
        <v>0</v>
      </c>
      <c r="Z1275" s="5">
        <v>7601</v>
      </c>
      <c r="AA1275" s="5">
        <v>0</v>
      </c>
      <c r="AB1275" s="6">
        <v>0</v>
      </c>
      <c r="AC1275" s="4">
        <v>7601</v>
      </c>
      <c r="AD1275" s="4">
        <v>0</v>
      </c>
      <c r="AE1275" s="4">
        <v>7601</v>
      </c>
      <c r="AF1275" s="1"/>
      <c r="AG1275" s="1"/>
      <c r="AH1275" s="1"/>
      <c r="AI1275" s="1" t="s">
        <v>2551</v>
      </c>
      <c r="AJ1275" s="6">
        <v>1836.4600000000009</v>
      </c>
      <c r="AK1275" s="6">
        <v>991.17</v>
      </c>
      <c r="AL1275" s="1"/>
    </row>
    <row r="1276" spans="1:38" hidden="1" x14ac:dyDescent="0.25">
      <c r="A1276" s="2">
        <v>1678</v>
      </c>
      <c r="B1276" s="1" t="s">
        <v>1502</v>
      </c>
      <c r="C1276" s="1" t="s">
        <v>1505</v>
      </c>
      <c r="D1276" s="1" t="s">
        <v>2062</v>
      </c>
      <c r="E1276" s="1" t="s">
        <v>2063</v>
      </c>
      <c r="F1276" s="3">
        <v>45499</v>
      </c>
      <c r="G1276" s="3">
        <v>45346</v>
      </c>
      <c r="H1276" s="3">
        <v>45711</v>
      </c>
      <c r="I1276" s="1" t="s">
        <v>2818</v>
      </c>
      <c r="J1276" s="1" t="s">
        <v>3611</v>
      </c>
      <c r="K1276" s="1"/>
      <c r="L1276" s="1" t="s">
        <v>3612</v>
      </c>
      <c r="M1276" s="1" t="s">
        <v>3613</v>
      </c>
      <c r="N1276" s="1" t="s">
        <v>3614</v>
      </c>
      <c r="O1276" s="1" t="s">
        <v>3615</v>
      </c>
      <c r="P1276" s="1" t="s">
        <v>2088</v>
      </c>
      <c r="Q1276" s="1"/>
      <c r="R1276" s="1"/>
      <c r="S1276" s="1" t="s">
        <v>2072</v>
      </c>
      <c r="T1276" s="1" t="s">
        <v>3165</v>
      </c>
      <c r="U1276" s="4">
        <v>5600000</v>
      </c>
      <c r="V1276" s="4">
        <v>5893</v>
      </c>
      <c r="W1276" s="4">
        <v>59</v>
      </c>
      <c r="X1276" s="4">
        <v>884</v>
      </c>
      <c r="Y1276" s="4">
        <v>0</v>
      </c>
      <c r="Z1276" s="5">
        <v>6836</v>
      </c>
      <c r="AA1276" s="5">
        <v>0</v>
      </c>
      <c r="AB1276" s="6">
        <v>0</v>
      </c>
      <c r="AC1276" s="4">
        <v>6836</v>
      </c>
      <c r="AD1276" s="4">
        <v>0</v>
      </c>
      <c r="AE1276" s="4">
        <v>6836</v>
      </c>
      <c r="AF1276" s="1"/>
      <c r="AG1276" s="1"/>
      <c r="AH1276" s="1"/>
      <c r="AI1276" s="1" t="s">
        <v>2551</v>
      </c>
      <c r="AJ1276" s="6">
        <v>1251.8</v>
      </c>
      <c r="AK1276" s="6">
        <v>891.48</v>
      </c>
      <c r="AL1276" s="1"/>
    </row>
    <row r="1277" spans="1:38" hidden="1" x14ac:dyDescent="0.25">
      <c r="A1277" s="2">
        <v>1679</v>
      </c>
      <c r="B1277" s="1" t="s">
        <v>1502</v>
      </c>
      <c r="C1277" s="1" t="s">
        <v>1506</v>
      </c>
      <c r="D1277" s="1" t="s">
        <v>2062</v>
      </c>
      <c r="E1277" s="1" t="s">
        <v>2063</v>
      </c>
      <c r="F1277" s="3">
        <v>45533</v>
      </c>
      <c r="G1277" s="3">
        <v>45346</v>
      </c>
      <c r="H1277" s="3">
        <v>45711</v>
      </c>
      <c r="I1277" s="1" t="s">
        <v>2818</v>
      </c>
      <c r="J1277" s="1" t="s">
        <v>3611</v>
      </c>
      <c r="K1277" s="1"/>
      <c r="L1277" s="1" t="s">
        <v>3612</v>
      </c>
      <c r="M1277" s="1" t="s">
        <v>3613</v>
      </c>
      <c r="N1277" s="1" t="s">
        <v>3614</v>
      </c>
      <c r="O1277" s="1" t="s">
        <v>3615</v>
      </c>
      <c r="P1277" s="1" t="s">
        <v>2088</v>
      </c>
      <c r="Q1277" s="1"/>
      <c r="R1277" s="1"/>
      <c r="S1277" s="1" t="s">
        <v>2072</v>
      </c>
      <c r="T1277" s="1" t="s">
        <v>3165</v>
      </c>
      <c r="U1277" s="4">
        <v>5600000</v>
      </c>
      <c r="V1277" s="4">
        <v>5428</v>
      </c>
      <c r="W1277" s="4">
        <v>54</v>
      </c>
      <c r="X1277" s="4">
        <v>814</v>
      </c>
      <c r="Y1277" s="4">
        <v>0</v>
      </c>
      <c r="Z1277" s="5">
        <v>6296</v>
      </c>
      <c r="AA1277" s="5">
        <v>0</v>
      </c>
      <c r="AB1277" s="6">
        <v>0</v>
      </c>
      <c r="AC1277" s="4">
        <v>6296</v>
      </c>
      <c r="AD1277" s="4">
        <v>0</v>
      </c>
      <c r="AE1277" s="4">
        <v>6296</v>
      </c>
      <c r="AF1277" s="1"/>
      <c r="AG1277" s="1"/>
      <c r="AH1277" s="1"/>
      <c r="AI1277" s="1" t="s">
        <v>2551</v>
      </c>
      <c r="AJ1277" s="6">
        <v>1042.49</v>
      </c>
      <c r="AK1277" s="6">
        <v>820.8</v>
      </c>
      <c r="AL1277" s="1"/>
    </row>
    <row r="1278" spans="1:38" hidden="1" x14ac:dyDescent="0.25">
      <c r="A1278" s="2">
        <v>1680</v>
      </c>
      <c r="B1278" s="1" t="s">
        <v>1502</v>
      </c>
      <c r="C1278" s="1" t="s">
        <v>1507</v>
      </c>
      <c r="D1278" s="1" t="s">
        <v>2062</v>
      </c>
      <c r="E1278" s="1" t="s">
        <v>2063</v>
      </c>
      <c r="F1278" s="3">
        <v>45563</v>
      </c>
      <c r="G1278" s="3">
        <v>45346</v>
      </c>
      <c r="H1278" s="3">
        <v>45711</v>
      </c>
      <c r="I1278" s="1" t="s">
        <v>2818</v>
      </c>
      <c r="J1278" s="1" t="s">
        <v>3611</v>
      </c>
      <c r="K1278" s="1"/>
      <c r="L1278" s="1" t="s">
        <v>3612</v>
      </c>
      <c r="M1278" s="1" t="s">
        <v>3613</v>
      </c>
      <c r="N1278" s="1" t="s">
        <v>3614</v>
      </c>
      <c r="O1278" s="1" t="s">
        <v>3615</v>
      </c>
      <c r="P1278" s="1" t="s">
        <v>2088</v>
      </c>
      <c r="Q1278" s="1"/>
      <c r="R1278" s="1"/>
      <c r="S1278" s="1" t="s">
        <v>2072</v>
      </c>
      <c r="T1278" s="1" t="s">
        <v>3165</v>
      </c>
      <c r="U1278" s="4">
        <v>5600000</v>
      </c>
      <c r="V1278" s="4">
        <v>6895</v>
      </c>
      <c r="W1278" s="4">
        <v>69</v>
      </c>
      <c r="X1278" s="4">
        <v>1034</v>
      </c>
      <c r="Y1278" s="4">
        <v>0</v>
      </c>
      <c r="Z1278" s="5">
        <v>7998</v>
      </c>
      <c r="AA1278" s="5">
        <v>0</v>
      </c>
      <c r="AB1278" s="6">
        <v>0</v>
      </c>
      <c r="AC1278" s="4">
        <v>7998</v>
      </c>
      <c r="AD1278" s="4">
        <v>0</v>
      </c>
      <c r="AE1278" s="4">
        <v>7998</v>
      </c>
      <c r="AF1278" s="1"/>
      <c r="AG1278" s="1"/>
      <c r="AH1278" s="1"/>
      <c r="AI1278" s="1" t="s">
        <v>2551</v>
      </c>
      <c r="AJ1278" s="6">
        <v>1343.03</v>
      </c>
      <c r="AK1278" s="6">
        <v>1042.82</v>
      </c>
      <c r="AL1278" s="1"/>
    </row>
    <row r="1279" spans="1:38" hidden="1" x14ac:dyDescent="0.25">
      <c r="A1279" s="2">
        <v>1681</v>
      </c>
      <c r="B1279" s="1" t="s">
        <v>1502</v>
      </c>
      <c r="C1279" s="1" t="s">
        <v>1508</v>
      </c>
      <c r="D1279" s="1" t="s">
        <v>2062</v>
      </c>
      <c r="E1279" s="1" t="s">
        <v>2063</v>
      </c>
      <c r="F1279" s="3">
        <v>45590</v>
      </c>
      <c r="G1279" s="3">
        <v>45346</v>
      </c>
      <c r="H1279" s="3">
        <v>45711</v>
      </c>
      <c r="I1279" s="1" t="s">
        <v>2818</v>
      </c>
      <c r="J1279" s="1" t="s">
        <v>3611</v>
      </c>
      <c r="K1279" s="1"/>
      <c r="L1279" s="1" t="s">
        <v>3612</v>
      </c>
      <c r="M1279" s="1" t="s">
        <v>3613</v>
      </c>
      <c r="N1279" s="1" t="s">
        <v>3614</v>
      </c>
      <c r="O1279" s="1" t="s">
        <v>3615</v>
      </c>
      <c r="P1279" s="1" t="s">
        <v>2088</v>
      </c>
      <c r="Q1279" s="1"/>
      <c r="R1279" s="1"/>
      <c r="S1279" s="1" t="s">
        <v>2072</v>
      </c>
      <c r="T1279" s="1" t="s">
        <v>3165</v>
      </c>
      <c r="U1279" s="4">
        <v>5600000</v>
      </c>
      <c r="V1279" s="4">
        <v>6345</v>
      </c>
      <c r="W1279" s="4">
        <v>63</v>
      </c>
      <c r="X1279" s="4">
        <v>952</v>
      </c>
      <c r="Y1279" s="4">
        <v>0</v>
      </c>
      <c r="Z1279" s="5">
        <v>7360</v>
      </c>
      <c r="AA1279" s="5">
        <v>0</v>
      </c>
      <c r="AB1279" s="6">
        <v>0</v>
      </c>
      <c r="AC1279" s="4">
        <v>7360</v>
      </c>
      <c r="AD1279" s="4">
        <v>0</v>
      </c>
      <c r="AE1279" s="4">
        <v>7360</v>
      </c>
      <c r="AF1279" s="1"/>
      <c r="AG1279" s="1"/>
      <c r="AH1279" s="1"/>
      <c r="AI1279" s="1" t="s">
        <v>2551</v>
      </c>
      <c r="AJ1279" s="6">
        <v>1390.38</v>
      </c>
      <c r="AK1279" s="6">
        <v>959.67</v>
      </c>
      <c r="AL1279" s="1"/>
    </row>
    <row r="1280" spans="1:38" hidden="1" x14ac:dyDescent="0.25">
      <c r="A1280" s="2">
        <v>1682</v>
      </c>
      <c r="B1280" s="1" t="s">
        <v>1502</v>
      </c>
      <c r="C1280" s="1" t="s">
        <v>1509</v>
      </c>
      <c r="D1280" s="1" t="s">
        <v>2062</v>
      </c>
      <c r="E1280" s="1" t="s">
        <v>2063</v>
      </c>
      <c r="F1280" s="3">
        <v>45622</v>
      </c>
      <c r="G1280" s="3">
        <v>45346</v>
      </c>
      <c r="H1280" s="3">
        <v>45711</v>
      </c>
      <c r="I1280" s="1" t="s">
        <v>2818</v>
      </c>
      <c r="J1280" s="1" t="s">
        <v>3611</v>
      </c>
      <c r="K1280" s="1"/>
      <c r="L1280" s="1" t="s">
        <v>3612</v>
      </c>
      <c r="M1280" s="1" t="s">
        <v>3613</v>
      </c>
      <c r="N1280" s="1" t="s">
        <v>3614</v>
      </c>
      <c r="O1280" s="1" t="s">
        <v>3615</v>
      </c>
      <c r="P1280" s="1" t="s">
        <v>2088</v>
      </c>
      <c r="Q1280" s="1"/>
      <c r="R1280" s="1"/>
      <c r="S1280" s="1" t="s">
        <v>2072</v>
      </c>
      <c r="T1280" s="1" t="s">
        <v>3165</v>
      </c>
      <c r="U1280" s="4">
        <v>5600000</v>
      </c>
      <c r="V1280" s="4">
        <v>6097</v>
      </c>
      <c r="W1280" s="4">
        <v>61</v>
      </c>
      <c r="X1280" s="4">
        <v>914</v>
      </c>
      <c r="Y1280" s="4">
        <v>0</v>
      </c>
      <c r="Z1280" s="5">
        <v>7072</v>
      </c>
      <c r="AA1280" s="5">
        <v>0</v>
      </c>
      <c r="AB1280" s="6">
        <v>0</v>
      </c>
      <c r="AC1280" s="4">
        <v>7072</v>
      </c>
      <c r="AD1280" s="4">
        <v>0</v>
      </c>
      <c r="AE1280" s="4">
        <v>7072</v>
      </c>
      <c r="AF1280" s="1"/>
      <c r="AG1280" s="1"/>
      <c r="AH1280" s="1"/>
      <c r="AI1280" s="1" t="s">
        <v>2551</v>
      </c>
      <c r="AJ1280" s="6">
        <v>1055.8800000000001</v>
      </c>
      <c r="AK1280" s="6">
        <v>922.34</v>
      </c>
      <c r="AL1280" s="1"/>
    </row>
    <row r="1281" spans="1:38" hidden="1" x14ac:dyDescent="0.25">
      <c r="A1281" s="2">
        <v>1683</v>
      </c>
      <c r="B1281" s="1" t="s">
        <v>1502</v>
      </c>
      <c r="C1281" s="1" t="s">
        <v>1510</v>
      </c>
      <c r="D1281" s="1" t="s">
        <v>2062</v>
      </c>
      <c r="E1281" s="1" t="s">
        <v>2063</v>
      </c>
      <c r="F1281" s="3">
        <v>45652</v>
      </c>
      <c r="G1281" s="3">
        <v>45346</v>
      </c>
      <c r="H1281" s="3">
        <v>45711</v>
      </c>
      <c r="I1281" s="1" t="s">
        <v>2818</v>
      </c>
      <c r="J1281" s="1" t="s">
        <v>3611</v>
      </c>
      <c r="K1281" s="1"/>
      <c r="L1281" s="1" t="s">
        <v>3612</v>
      </c>
      <c r="M1281" s="1" t="s">
        <v>3613</v>
      </c>
      <c r="N1281" s="1" t="s">
        <v>3614</v>
      </c>
      <c r="O1281" s="1" t="s">
        <v>3615</v>
      </c>
      <c r="P1281" s="1" t="s">
        <v>2088</v>
      </c>
      <c r="Q1281" s="1"/>
      <c r="R1281" s="1"/>
      <c r="S1281" s="1" t="s">
        <v>2072</v>
      </c>
      <c r="T1281" s="1" t="s">
        <v>3165</v>
      </c>
      <c r="U1281" s="4">
        <v>5600000</v>
      </c>
      <c r="V1281" s="4">
        <v>6951</v>
      </c>
      <c r="W1281" s="4">
        <v>70</v>
      </c>
      <c r="X1281" s="4">
        <v>1043</v>
      </c>
      <c r="Y1281" s="4">
        <v>0</v>
      </c>
      <c r="Z1281" s="5">
        <v>8064</v>
      </c>
      <c r="AA1281" s="5">
        <v>0</v>
      </c>
      <c r="AB1281" s="6">
        <v>0</v>
      </c>
      <c r="AC1281" s="4">
        <v>8064</v>
      </c>
      <c r="AD1281" s="4">
        <v>0</v>
      </c>
      <c r="AE1281" s="4">
        <v>8064</v>
      </c>
      <c r="AF1281" s="1"/>
      <c r="AG1281" s="1"/>
      <c r="AH1281" s="1"/>
      <c r="AI1281" s="1" t="s">
        <v>2551</v>
      </c>
      <c r="AJ1281" s="6">
        <v>1765.72</v>
      </c>
      <c r="AK1281" s="6">
        <v>1051.5899999999999</v>
      </c>
      <c r="AL1281" s="1"/>
    </row>
    <row r="1282" spans="1:38" hidden="1" x14ac:dyDescent="0.25">
      <c r="A1282" s="2">
        <v>1684</v>
      </c>
      <c r="B1282" s="1" t="s">
        <v>1502</v>
      </c>
      <c r="C1282" s="1" t="s">
        <v>1511</v>
      </c>
      <c r="D1282" s="1" t="s">
        <v>2062</v>
      </c>
      <c r="E1282" s="1" t="s">
        <v>2063</v>
      </c>
      <c r="F1282" s="3">
        <v>45655</v>
      </c>
      <c r="G1282" s="3">
        <v>45346</v>
      </c>
      <c r="H1282" s="3">
        <v>45711</v>
      </c>
      <c r="I1282" s="1" t="s">
        <v>2818</v>
      </c>
      <c r="J1282" s="1" t="s">
        <v>3611</v>
      </c>
      <c r="K1282" s="1"/>
      <c r="L1282" s="1" t="s">
        <v>3612</v>
      </c>
      <c r="M1282" s="1" t="s">
        <v>3613</v>
      </c>
      <c r="N1282" s="1" t="s">
        <v>3614</v>
      </c>
      <c r="O1282" s="1" t="s">
        <v>3615</v>
      </c>
      <c r="P1282" s="1" t="s">
        <v>2088</v>
      </c>
      <c r="Q1282" s="1"/>
      <c r="R1282" s="1"/>
      <c r="S1282" s="1" t="s">
        <v>2072</v>
      </c>
      <c r="T1282" s="1" t="s">
        <v>3165</v>
      </c>
      <c r="U1282" s="4">
        <v>-1</v>
      </c>
      <c r="V1282" s="4">
        <v>-57234</v>
      </c>
      <c r="W1282" s="4">
        <v>-572</v>
      </c>
      <c r="X1282" s="4">
        <v>0</v>
      </c>
      <c r="Y1282" s="4">
        <v>0</v>
      </c>
      <c r="Z1282" s="5">
        <v>-57806</v>
      </c>
      <c r="AA1282" s="5">
        <v>0</v>
      </c>
      <c r="AB1282" s="6">
        <v>0</v>
      </c>
      <c r="AC1282" s="4">
        <v>-57806</v>
      </c>
      <c r="AD1282" s="4">
        <v>0</v>
      </c>
      <c r="AE1282" s="4">
        <v>-57806</v>
      </c>
      <c r="AF1282" s="1"/>
      <c r="AG1282" s="1"/>
      <c r="AH1282" s="1"/>
      <c r="AI1282" s="1" t="s">
        <v>2551</v>
      </c>
      <c r="AJ1282" s="1"/>
      <c r="AK1282" s="1"/>
      <c r="AL1282" s="1"/>
    </row>
    <row r="1283" spans="1:38" x14ac:dyDescent="0.25">
      <c r="A1283" s="2">
        <v>1685</v>
      </c>
      <c r="B1283" s="1" t="s">
        <v>1512</v>
      </c>
      <c r="C1283" s="1"/>
      <c r="D1283" s="1" t="s">
        <v>2062</v>
      </c>
      <c r="E1283" s="1" t="s">
        <v>2063</v>
      </c>
      <c r="F1283" s="3">
        <v>45348</v>
      </c>
      <c r="G1283" s="3">
        <v>45345</v>
      </c>
      <c r="H1283" s="3">
        <v>45710</v>
      </c>
      <c r="I1283" s="1" t="s">
        <v>3616</v>
      </c>
      <c r="J1283" s="1" t="s">
        <v>3617</v>
      </c>
      <c r="K1283" s="1"/>
      <c r="L1283" s="1" t="s">
        <v>2336</v>
      </c>
      <c r="M1283" s="1" t="s">
        <v>3618</v>
      </c>
      <c r="N1283" s="1" t="s">
        <v>3619</v>
      </c>
      <c r="O1283" s="1" t="s">
        <v>3620</v>
      </c>
      <c r="P1283" s="1" t="s">
        <v>2217</v>
      </c>
      <c r="Q1283" s="1"/>
      <c r="R1283" s="1"/>
      <c r="S1283" s="1" t="s">
        <v>2072</v>
      </c>
      <c r="T1283" s="1" t="s">
        <v>3165</v>
      </c>
      <c r="U1283" s="4">
        <v>-1</v>
      </c>
      <c r="V1283" s="4">
        <v>4343</v>
      </c>
      <c r="W1283" s="4">
        <v>43</v>
      </c>
      <c r="X1283" s="4">
        <v>564</v>
      </c>
      <c r="Y1283" s="4">
        <v>50</v>
      </c>
      <c r="Z1283" s="5">
        <v>5000</v>
      </c>
      <c r="AA1283" s="5">
        <v>5051</v>
      </c>
      <c r="AB1283" s="6">
        <v>0</v>
      </c>
      <c r="AC1283" s="4">
        <v>-51</v>
      </c>
      <c r="AD1283" s="4">
        <v>0</v>
      </c>
      <c r="AE1283" s="4">
        <v>-51</v>
      </c>
      <c r="AF1283" s="1"/>
      <c r="AG1283" s="1"/>
      <c r="AH1283" s="1"/>
      <c r="AI1283" s="1" t="s">
        <v>2327</v>
      </c>
      <c r="AJ1283" s="1"/>
      <c r="AK1283" s="1"/>
      <c r="AL1283" s="1" t="s">
        <v>3621</v>
      </c>
    </row>
    <row r="1284" spans="1:38" hidden="1" x14ac:dyDescent="0.25">
      <c r="A1284" s="2">
        <v>1686</v>
      </c>
      <c r="B1284" s="1" t="s">
        <v>1512</v>
      </c>
      <c r="C1284" s="1" t="s">
        <v>1513</v>
      </c>
      <c r="D1284" s="1" t="s">
        <v>2062</v>
      </c>
      <c r="E1284" s="1" t="s">
        <v>2063</v>
      </c>
      <c r="F1284" s="3">
        <v>45589</v>
      </c>
      <c r="G1284" s="3">
        <v>45345</v>
      </c>
      <c r="H1284" s="3">
        <v>45710</v>
      </c>
      <c r="I1284" s="1" t="s">
        <v>3616</v>
      </c>
      <c r="J1284" s="1" t="s">
        <v>3617</v>
      </c>
      <c r="K1284" s="1"/>
      <c r="L1284" s="1" t="s">
        <v>2336</v>
      </c>
      <c r="M1284" s="1" t="s">
        <v>3618</v>
      </c>
      <c r="N1284" s="1" t="s">
        <v>3619</v>
      </c>
      <c r="O1284" s="1" t="s">
        <v>3620</v>
      </c>
      <c r="P1284" s="1" t="s">
        <v>2217</v>
      </c>
      <c r="Q1284" s="1"/>
      <c r="R1284" s="1"/>
      <c r="S1284" s="1" t="s">
        <v>2072</v>
      </c>
      <c r="T1284" s="1" t="s">
        <v>3165</v>
      </c>
      <c r="U1284" s="4">
        <v>3200000</v>
      </c>
      <c r="V1284" s="4">
        <v>44</v>
      </c>
      <c r="W1284" s="4">
        <v>0</v>
      </c>
      <c r="X1284" s="4">
        <v>7</v>
      </c>
      <c r="Y1284" s="4">
        <v>0</v>
      </c>
      <c r="Z1284" s="5">
        <v>51</v>
      </c>
      <c r="AA1284" s="5">
        <v>0</v>
      </c>
      <c r="AB1284" s="6">
        <v>0</v>
      </c>
      <c r="AC1284" s="4">
        <v>51</v>
      </c>
      <c r="AD1284" s="4">
        <v>0</v>
      </c>
      <c r="AE1284" s="4">
        <v>51</v>
      </c>
      <c r="AF1284" s="1"/>
      <c r="AG1284" s="1"/>
      <c r="AH1284" s="1"/>
      <c r="AI1284" s="1" t="s">
        <v>2327</v>
      </c>
      <c r="AJ1284" s="6">
        <v>11.719999999999992</v>
      </c>
      <c r="AK1284" s="6">
        <v>11.719999999999992</v>
      </c>
      <c r="AL1284" s="1"/>
    </row>
    <row r="1285" spans="1:38" hidden="1" x14ac:dyDescent="0.25">
      <c r="A1285" s="2">
        <v>1687</v>
      </c>
      <c r="B1285" s="1" t="s">
        <v>1512</v>
      </c>
      <c r="C1285" s="1" t="s">
        <v>1514</v>
      </c>
      <c r="D1285" s="1" t="s">
        <v>2062</v>
      </c>
      <c r="E1285" s="1" t="s">
        <v>2063</v>
      </c>
      <c r="F1285" s="3">
        <v>45621</v>
      </c>
      <c r="G1285" s="3">
        <v>45345</v>
      </c>
      <c r="H1285" s="3">
        <v>45710</v>
      </c>
      <c r="I1285" s="1" t="s">
        <v>3616</v>
      </c>
      <c r="J1285" s="1" t="s">
        <v>3617</v>
      </c>
      <c r="K1285" s="1"/>
      <c r="L1285" s="1" t="s">
        <v>2336</v>
      </c>
      <c r="M1285" s="1" t="s">
        <v>3618</v>
      </c>
      <c r="N1285" s="1" t="s">
        <v>3619</v>
      </c>
      <c r="O1285" s="1" t="s">
        <v>3620</v>
      </c>
      <c r="P1285" s="1" t="s">
        <v>2217</v>
      </c>
      <c r="Q1285" s="1"/>
      <c r="R1285" s="1"/>
      <c r="S1285" s="1" t="s">
        <v>2072</v>
      </c>
      <c r="T1285" s="1" t="s">
        <v>3165</v>
      </c>
      <c r="U1285" s="4">
        <v>3200000</v>
      </c>
      <c r="V1285" s="4">
        <v>410</v>
      </c>
      <c r="W1285" s="4">
        <v>4</v>
      </c>
      <c r="X1285" s="4">
        <v>62</v>
      </c>
      <c r="Y1285" s="4">
        <v>0</v>
      </c>
      <c r="Z1285" s="5">
        <v>476</v>
      </c>
      <c r="AA1285" s="5">
        <v>0</v>
      </c>
      <c r="AB1285" s="6">
        <v>0</v>
      </c>
      <c r="AC1285" s="4">
        <v>476</v>
      </c>
      <c r="AD1285" s="4">
        <v>0</v>
      </c>
      <c r="AE1285" s="4">
        <v>476</v>
      </c>
      <c r="AF1285" s="1"/>
      <c r="AG1285" s="1"/>
      <c r="AH1285" s="1"/>
      <c r="AI1285" s="1" t="s">
        <v>2327</v>
      </c>
      <c r="AJ1285" s="6">
        <v>113.51</v>
      </c>
      <c r="AK1285" s="6">
        <v>108.72</v>
      </c>
      <c r="AL1285" s="1"/>
    </row>
    <row r="1286" spans="1:38" hidden="1" x14ac:dyDescent="0.25">
      <c r="A1286" s="2">
        <v>1688</v>
      </c>
      <c r="B1286" s="1" t="s">
        <v>1512</v>
      </c>
      <c r="C1286" s="1" t="s">
        <v>1515</v>
      </c>
      <c r="D1286" s="1" t="s">
        <v>2062</v>
      </c>
      <c r="E1286" s="1" t="s">
        <v>2063</v>
      </c>
      <c r="F1286" s="3">
        <v>45650</v>
      </c>
      <c r="G1286" s="3">
        <v>45345</v>
      </c>
      <c r="H1286" s="3">
        <v>45710</v>
      </c>
      <c r="I1286" s="1" t="s">
        <v>3616</v>
      </c>
      <c r="J1286" s="1" t="s">
        <v>3617</v>
      </c>
      <c r="K1286" s="1"/>
      <c r="L1286" s="1" t="s">
        <v>2336</v>
      </c>
      <c r="M1286" s="1" t="s">
        <v>3618</v>
      </c>
      <c r="N1286" s="1" t="s">
        <v>3619</v>
      </c>
      <c r="O1286" s="1" t="s">
        <v>3620</v>
      </c>
      <c r="P1286" s="1" t="s">
        <v>2217</v>
      </c>
      <c r="Q1286" s="1"/>
      <c r="R1286" s="1"/>
      <c r="S1286" s="1" t="s">
        <v>2072</v>
      </c>
      <c r="T1286" s="1" t="s">
        <v>3165</v>
      </c>
      <c r="U1286" s="4">
        <v>3200000</v>
      </c>
      <c r="V1286" s="4">
        <v>1033</v>
      </c>
      <c r="W1286" s="4">
        <v>10</v>
      </c>
      <c r="X1286" s="4">
        <v>155</v>
      </c>
      <c r="Y1286" s="4">
        <v>0</v>
      </c>
      <c r="Z1286" s="5">
        <v>1198</v>
      </c>
      <c r="AA1286" s="5">
        <v>0</v>
      </c>
      <c r="AB1286" s="6">
        <v>0</v>
      </c>
      <c r="AC1286" s="4">
        <v>1198</v>
      </c>
      <c r="AD1286" s="4">
        <v>0</v>
      </c>
      <c r="AE1286" s="4">
        <v>1198</v>
      </c>
      <c r="AF1286" s="1"/>
      <c r="AG1286" s="1"/>
      <c r="AH1286" s="1"/>
      <c r="AI1286" s="1" t="s">
        <v>2327</v>
      </c>
      <c r="AJ1286" s="6">
        <v>273.40000000000003</v>
      </c>
      <c r="AK1286" s="6">
        <v>273.40000000000003</v>
      </c>
      <c r="AL1286" s="1"/>
    </row>
    <row r="1287" spans="1:38" hidden="1" x14ac:dyDescent="0.25">
      <c r="A1287" s="2">
        <v>1689</v>
      </c>
      <c r="B1287" s="1" t="s">
        <v>1512</v>
      </c>
      <c r="C1287" s="1" t="s">
        <v>1516</v>
      </c>
      <c r="D1287" s="1" t="s">
        <v>2062</v>
      </c>
      <c r="E1287" s="1" t="s">
        <v>2063</v>
      </c>
      <c r="F1287" s="3">
        <v>45680</v>
      </c>
      <c r="G1287" s="3">
        <v>45345</v>
      </c>
      <c r="H1287" s="3">
        <v>45710</v>
      </c>
      <c r="I1287" s="1" t="s">
        <v>3616</v>
      </c>
      <c r="J1287" s="1" t="s">
        <v>3617</v>
      </c>
      <c r="K1287" s="1"/>
      <c r="L1287" s="1" t="s">
        <v>2336</v>
      </c>
      <c r="M1287" s="1" t="s">
        <v>3618</v>
      </c>
      <c r="N1287" s="1" t="s">
        <v>3619</v>
      </c>
      <c r="O1287" s="1" t="s">
        <v>3620</v>
      </c>
      <c r="P1287" s="1" t="s">
        <v>2217</v>
      </c>
      <c r="Q1287" s="1"/>
      <c r="R1287" s="1"/>
      <c r="S1287" s="1" t="s">
        <v>2072</v>
      </c>
      <c r="T1287" s="1" t="s">
        <v>3165</v>
      </c>
      <c r="U1287" s="4">
        <v>3200000</v>
      </c>
      <c r="V1287" s="4">
        <v>423</v>
      </c>
      <c r="W1287" s="4">
        <v>4</v>
      </c>
      <c r="X1287" s="4">
        <v>63</v>
      </c>
      <c r="Y1287" s="4">
        <v>0</v>
      </c>
      <c r="Z1287" s="5">
        <v>490</v>
      </c>
      <c r="AA1287" s="5">
        <v>0</v>
      </c>
      <c r="AB1287" s="6">
        <v>0</v>
      </c>
      <c r="AC1287" s="4">
        <v>490</v>
      </c>
      <c r="AD1287" s="4">
        <v>0</v>
      </c>
      <c r="AE1287" s="4">
        <v>490</v>
      </c>
      <c r="AF1287" s="1"/>
      <c r="AG1287" s="1"/>
      <c r="AH1287" s="1"/>
      <c r="AI1287" s="1" t="s">
        <v>2327</v>
      </c>
      <c r="AJ1287" s="6">
        <v>111.26</v>
      </c>
      <c r="AK1287" s="6">
        <v>111.26</v>
      </c>
      <c r="AL1287" s="1"/>
    </row>
    <row r="1288" spans="1:38" hidden="1" x14ac:dyDescent="0.25">
      <c r="A1288" s="2">
        <v>1690</v>
      </c>
      <c r="B1288" s="1" t="s">
        <v>1512</v>
      </c>
      <c r="C1288" s="1" t="s">
        <v>1517</v>
      </c>
      <c r="D1288" s="1" t="s">
        <v>2062</v>
      </c>
      <c r="E1288" s="1" t="s">
        <v>2063</v>
      </c>
      <c r="F1288" s="3">
        <v>45714</v>
      </c>
      <c r="G1288" s="3">
        <v>45345</v>
      </c>
      <c r="H1288" s="3">
        <v>45710</v>
      </c>
      <c r="I1288" s="1" t="s">
        <v>3616</v>
      </c>
      <c r="J1288" s="1" t="s">
        <v>3617</v>
      </c>
      <c r="K1288" s="1"/>
      <c r="L1288" s="1" t="s">
        <v>2336</v>
      </c>
      <c r="M1288" s="1" t="s">
        <v>3618</v>
      </c>
      <c r="N1288" s="1" t="s">
        <v>3619</v>
      </c>
      <c r="O1288" s="1" t="s">
        <v>3620</v>
      </c>
      <c r="P1288" s="1" t="s">
        <v>2217</v>
      </c>
      <c r="Q1288" s="1"/>
      <c r="R1288" s="1"/>
      <c r="S1288" s="1" t="s">
        <v>2072</v>
      </c>
      <c r="T1288" s="1" t="s">
        <v>3165</v>
      </c>
      <c r="U1288" s="4">
        <v>3200000</v>
      </c>
      <c r="V1288" s="4">
        <v>2349</v>
      </c>
      <c r="W1288" s="4">
        <v>24</v>
      </c>
      <c r="X1288" s="4">
        <v>353</v>
      </c>
      <c r="Y1288" s="4">
        <v>0</v>
      </c>
      <c r="Z1288" s="5">
        <v>2726</v>
      </c>
      <c r="AA1288" s="5">
        <v>0</v>
      </c>
      <c r="AB1288" s="6">
        <v>0</v>
      </c>
      <c r="AC1288" s="4">
        <v>2726</v>
      </c>
      <c r="AD1288" s="4">
        <v>0</v>
      </c>
      <c r="AE1288" s="4">
        <v>2726</v>
      </c>
      <c r="AF1288" s="1"/>
      <c r="AG1288" s="1"/>
      <c r="AH1288" s="1"/>
      <c r="AI1288" s="1" t="s">
        <v>2327</v>
      </c>
      <c r="AJ1288" s="6">
        <v>702.1</v>
      </c>
      <c r="AK1288" s="6">
        <v>622.25</v>
      </c>
      <c r="AL1288" s="1"/>
    </row>
    <row r="1289" spans="1:38" hidden="1" x14ac:dyDescent="0.25">
      <c r="A1289" s="2">
        <v>1691</v>
      </c>
      <c r="B1289" s="1" t="s">
        <v>1512</v>
      </c>
      <c r="C1289" s="1" t="s">
        <v>1518</v>
      </c>
      <c r="D1289" s="1" t="s">
        <v>2062</v>
      </c>
      <c r="E1289" s="1" t="s">
        <v>2063</v>
      </c>
      <c r="F1289" s="3">
        <v>45745</v>
      </c>
      <c r="G1289" s="3">
        <v>45345</v>
      </c>
      <c r="H1289" s="3">
        <v>45710</v>
      </c>
      <c r="I1289" s="1" t="s">
        <v>3616</v>
      </c>
      <c r="J1289" s="1" t="s">
        <v>3617</v>
      </c>
      <c r="K1289" s="1"/>
      <c r="L1289" s="1" t="s">
        <v>2336</v>
      </c>
      <c r="M1289" s="1" t="s">
        <v>3618</v>
      </c>
      <c r="N1289" s="1" t="s">
        <v>3619</v>
      </c>
      <c r="O1289" s="1" t="s">
        <v>3620</v>
      </c>
      <c r="P1289" s="1" t="s">
        <v>2217</v>
      </c>
      <c r="Q1289" s="1"/>
      <c r="R1289" s="1"/>
      <c r="S1289" s="1" t="s">
        <v>2072</v>
      </c>
      <c r="T1289" s="1" t="s">
        <v>3165</v>
      </c>
      <c r="U1289" s="4">
        <v>-1</v>
      </c>
      <c r="V1289" s="4">
        <v>-4847</v>
      </c>
      <c r="W1289" s="4">
        <v>-43</v>
      </c>
      <c r="X1289" s="4">
        <v>0</v>
      </c>
      <c r="Y1289" s="4">
        <v>0</v>
      </c>
      <c r="Z1289" s="5">
        <v>-4890</v>
      </c>
      <c r="AA1289" s="5">
        <v>0</v>
      </c>
      <c r="AB1289" s="6">
        <v>0</v>
      </c>
      <c r="AC1289" s="4">
        <v>-4890</v>
      </c>
      <c r="AD1289" s="4">
        <v>0</v>
      </c>
      <c r="AE1289" s="4">
        <v>-4890</v>
      </c>
      <c r="AF1289" s="1"/>
      <c r="AG1289" s="1"/>
      <c r="AH1289" s="1"/>
      <c r="AI1289" s="1" t="s">
        <v>2327</v>
      </c>
      <c r="AJ1289" s="1"/>
      <c r="AK1289" s="1"/>
      <c r="AL1289" s="1"/>
    </row>
    <row r="1290" spans="1:38" x14ac:dyDescent="0.25">
      <c r="A1290" s="2">
        <v>1703</v>
      </c>
      <c r="B1290" s="1" t="s">
        <v>1519</v>
      </c>
      <c r="C1290" s="1"/>
      <c r="D1290" s="1" t="s">
        <v>2062</v>
      </c>
      <c r="E1290" s="1" t="s">
        <v>2063</v>
      </c>
      <c r="F1290" s="3">
        <v>45349</v>
      </c>
      <c r="G1290" s="3">
        <v>45350</v>
      </c>
      <c r="H1290" s="3">
        <v>45715</v>
      </c>
      <c r="I1290" s="1" t="s">
        <v>2341</v>
      </c>
      <c r="J1290" s="1" t="s">
        <v>2342</v>
      </c>
      <c r="K1290" s="1"/>
      <c r="L1290" s="1" t="s">
        <v>2147</v>
      </c>
      <c r="M1290" s="1" t="s">
        <v>2343</v>
      </c>
      <c r="N1290" s="1" t="s">
        <v>2344</v>
      </c>
      <c r="O1290" s="1" t="s">
        <v>2345</v>
      </c>
      <c r="P1290" s="1" t="s">
        <v>2095</v>
      </c>
      <c r="Q1290" s="1" t="s">
        <v>2346</v>
      </c>
      <c r="R1290" s="1"/>
      <c r="S1290" s="1" t="s">
        <v>2072</v>
      </c>
      <c r="T1290" s="1" t="s">
        <v>2073</v>
      </c>
      <c r="U1290" s="4">
        <v>-1</v>
      </c>
      <c r="V1290" s="4">
        <v>0</v>
      </c>
      <c r="W1290" s="4">
        <v>0</v>
      </c>
      <c r="X1290" s="4">
        <v>0</v>
      </c>
      <c r="Y1290" s="4">
        <v>50</v>
      </c>
      <c r="Z1290" s="5">
        <v>50</v>
      </c>
      <c r="AA1290" s="5">
        <v>0</v>
      </c>
      <c r="AB1290" s="6">
        <v>0</v>
      </c>
      <c r="AC1290" s="4">
        <v>50</v>
      </c>
      <c r="AD1290" s="4">
        <v>0</v>
      </c>
      <c r="AE1290" s="4">
        <v>50</v>
      </c>
      <c r="AF1290" s="1"/>
      <c r="AG1290" s="1"/>
      <c r="AH1290" s="1"/>
      <c r="AI1290" s="1" t="s">
        <v>3432</v>
      </c>
      <c r="AJ1290" s="1"/>
      <c r="AK1290" s="1"/>
      <c r="AL1290" s="1" t="s">
        <v>3622</v>
      </c>
    </row>
    <row r="1291" spans="1:38" hidden="1" x14ac:dyDescent="0.25">
      <c r="A1291" s="2">
        <v>1704</v>
      </c>
      <c r="B1291" s="1" t="s">
        <v>1519</v>
      </c>
      <c r="C1291" s="1" t="s">
        <v>1520</v>
      </c>
      <c r="D1291" s="1" t="s">
        <v>2062</v>
      </c>
      <c r="E1291" s="1" t="s">
        <v>2063</v>
      </c>
      <c r="F1291" s="3">
        <v>45379</v>
      </c>
      <c r="G1291" s="3">
        <v>45350</v>
      </c>
      <c r="H1291" s="3">
        <v>45715</v>
      </c>
      <c r="I1291" s="1" t="s">
        <v>2341</v>
      </c>
      <c r="J1291" s="1" t="s">
        <v>2342</v>
      </c>
      <c r="K1291" s="1"/>
      <c r="L1291" s="1" t="s">
        <v>2147</v>
      </c>
      <c r="M1291" s="1" t="s">
        <v>2343</v>
      </c>
      <c r="N1291" s="1" t="s">
        <v>2344</v>
      </c>
      <c r="O1291" s="1" t="s">
        <v>2345</v>
      </c>
      <c r="P1291" s="1" t="s">
        <v>2095</v>
      </c>
      <c r="Q1291" s="1" t="s">
        <v>2346</v>
      </c>
      <c r="R1291" s="1"/>
      <c r="S1291" s="1" t="s">
        <v>2072</v>
      </c>
      <c r="T1291" s="1" t="s">
        <v>2073</v>
      </c>
      <c r="U1291" s="4">
        <v>4800000</v>
      </c>
      <c r="V1291" s="4">
        <v>5701</v>
      </c>
      <c r="W1291" s="4">
        <v>57</v>
      </c>
      <c r="X1291" s="4">
        <v>741</v>
      </c>
      <c r="Y1291" s="4">
        <v>0</v>
      </c>
      <c r="Z1291" s="5">
        <v>6499</v>
      </c>
      <c r="AA1291" s="5">
        <v>0</v>
      </c>
      <c r="AB1291" s="6">
        <v>0</v>
      </c>
      <c r="AC1291" s="4">
        <v>6499</v>
      </c>
      <c r="AD1291" s="4">
        <v>0</v>
      </c>
      <c r="AE1291" s="4">
        <v>6499</v>
      </c>
      <c r="AF1291" s="1"/>
      <c r="AG1291" s="1"/>
      <c r="AH1291" s="1"/>
      <c r="AI1291" s="1" t="s">
        <v>3432</v>
      </c>
      <c r="AJ1291" s="6">
        <v>1651.8000000000002</v>
      </c>
      <c r="AK1291" s="6">
        <v>988.07</v>
      </c>
      <c r="AL1291" s="1"/>
    </row>
    <row r="1292" spans="1:38" hidden="1" x14ac:dyDescent="0.25">
      <c r="A1292" s="2">
        <v>1705</v>
      </c>
      <c r="B1292" s="1" t="s">
        <v>1519</v>
      </c>
      <c r="C1292" s="1" t="s">
        <v>1521</v>
      </c>
      <c r="D1292" s="1" t="s">
        <v>2062</v>
      </c>
      <c r="E1292" s="1" t="s">
        <v>2063</v>
      </c>
      <c r="F1292" s="3">
        <v>45411</v>
      </c>
      <c r="G1292" s="3">
        <v>45350</v>
      </c>
      <c r="H1292" s="3">
        <v>45715</v>
      </c>
      <c r="I1292" s="1" t="s">
        <v>2341</v>
      </c>
      <c r="J1292" s="1" t="s">
        <v>2342</v>
      </c>
      <c r="K1292" s="1"/>
      <c r="L1292" s="1" t="s">
        <v>2147</v>
      </c>
      <c r="M1292" s="1" t="s">
        <v>2343</v>
      </c>
      <c r="N1292" s="1" t="s">
        <v>2344</v>
      </c>
      <c r="O1292" s="1" t="s">
        <v>2345</v>
      </c>
      <c r="P1292" s="1" t="s">
        <v>2095</v>
      </c>
      <c r="Q1292" s="1" t="s">
        <v>2346</v>
      </c>
      <c r="R1292" s="1"/>
      <c r="S1292" s="1" t="s">
        <v>2072</v>
      </c>
      <c r="T1292" s="1" t="s">
        <v>2073</v>
      </c>
      <c r="U1292" s="4">
        <v>4800000</v>
      </c>
      <c r="V1292" s="4">
        <v>5164</v>
      </c>
      <c r="W1292" s="4">
        <v>52</v>
      </c>
      <c r="X1292" s="4">
        <v>671</v>
      </c>
      <c r="Y1292" s="4">
        <v>0</v>
      </c>
      <c r="Z1292" s="5">
        <v>5887</v>
      </c>
      <c r="AA1292" s="5">
        <v>0</v>
      </c>
      <c r="AB1292" s="6">
        <v>0</v>
      </c>
      <c r="AC1292" s="4">
        <v>5887</v>
      </c>
      <c r="AD1292" s="4">
        <v>0</v>
      </c>
      <c r="AE1292" s="4">
        <v>5887</v>
      </c>
      <c r="AF1292" s="1"/>
      <c r="AG1292" s="1"/>
      <c r="AH1292" s="1"/>
      <c r="AI1292" s="1" t="s">
        <v>3432</v>
      </c>
      <c r="AJ1292" s="6">
        <v>1495.1999999999991</v>
      </c>
      <c r="AK1292" s="6">
        <v>895.4</v>
      </c>
      <c r="AL1292" s="1"/>
    </row>
    <row r="1293" spans="1:38" hidden="1" x14ac:dyDescent="0.25">
      <c r="A1293" s="2">
        <v>1706</v>
      </c>
      <c r="B1293" s="1" t="s">
        <v>1519</v>
      </c>
      <c r="C1293" s="1" t="s">
        <v>1522</v>
      </c>
      <c r="D1293" s="1" t="s">
        <v>2062</v>
      </c>
      <c r="E1293" s="1" t="s">
        <v>2063</v>
      </c>
      <c r="F1293" s="3">
        <v>45441</v>
      </c>
      <c r="G1293" s="3">
        <v>45350</v>
      </c>
      <c r="H1293" s="3">
        <v>45715</v>
      </c>
      <c r="I1293" s="1" t="s">
        <v>2341</v>
      </c>
      <c r="J1293" s="1" t="s">
        <v>2342</v>
      </c>
      <c r="K1293" s="1"/>
      <c r="L1293" s="1" t="s">
        <v>2147</v>
      </c>
      <c r="M1293" s="1" t="s">
        <v>2343</v>
      </c>
      <c r="N1293" s="1" t="s">
        <v>2344</v>
      </c>
      <c r="O1293" s="1" t="s">
        <v>2345</v>
      </c>
      <c r="P1293" s="1" t="s">
        <v>2095</v>
      </c>
      <c r="Q1293" s="1" t="s">
        <v>2346</v>
      </c>
      <c r="R1293" s="1"/>
      <c r="S1293" s="1" t="s">
        <v>2072</v>
      </c>
      <c r="T1293" s="1" t="s">
        <v>2073</v>
      </c>
      <c r="U1293" s="4">
        <v>4800000</v>
      </c>
      <c r="V1293" s="4">
        <v>7113</v>
      </c>
      <c r="W1293" s="4">
        <v>71</v>
      </c>
      <c r="X1293" s="4">
        <v>925</v>
      </c>
      <c r="Y1293" s="4">
        <v>0</v>
      </c>
      <c r="Z1293" s="5">
        <v>8109</v>
      </c>
      <c r="AA1293" s="5">
        <v>0</v>
      </c>
      <c r="AB1293" s="6">
        <v>0</v>
      </c>
      <c r="AC1293" s="4">
        <v>8109</v>
      </c>
      <c r="AD1293" s="4">
        <v>0</v>
      </c>
      <c r="AE1293" s="4">
        <v>8109</v>
      </c>
      <c r="AF1293" s="1"/>
      <c r="AG1293" s="1"/>
      <c r="AH1293" s="1"/>
      <c r="AI1293" s="1" t="s">
        <v>3432</v>
      </c>
      <c r="AJ1293" s="6">
        <v>4985.5199999999968</v>
      </c>
      <c r="AK1293" s="6">
        <v>1232.96</v>
      </c>
      <c r="AL1293" s="1"/>
    </row>
    <row r="1294" spans="1:38" hidden="1" x14ac:dyDescent="0.25">
      <c r="A1294" s="2">
        <v>1707</v>
      </c>
      <c r="B1294" s="1" t="s">
        <v>1519</v>
      </c>
      <c r="C1294" s="1" t="s">
        <v>1523</v>
      </c>
      <c r="D1294" s="1" t="s">
        <v>2062</v>
      </c>
      <c r="E1294" s="1" t="s">
        <v>2063</v>
      </c>
      <c r="F1294" s="3">
        <v>45471</v>
      </c>
      <c r="G1294" s="3">
        <v>45350</v>
      </c>
      <c r="H1294" s="3">
        <v>45715</v>
      </c>
      <c r="I1294" s="1" t="s">
        <v>2341</v>
      </c>
      <c r="J1294" s="1" t="s">
        <v>2342</v>
      </c>
      <c r="K1294" s="1"/>
      <c r="L1294" s="1" t="s">
        <v>2147</v>
      </c>
      <c r="M1294" s="1" t="s">
        <v>2343</v>
      </c>
      <c r="N1294" s="1" t="s">
        <v>2344</v>
      </c>
      <c r="O1294" s="1" t="s">
        <v>2345</v>
      </c>
      <c r="P1294" s="1" t="s">
        <v>2095</v>
      </c>
      <c r="Q1294" s="1" t="s">
        <v>2346</v>
      </c>
      <c r="R1294" s="1"/>
      <c r="S1294" s="1" t="s">
        <v>2072</v>
      </c>
      <c r="T1294" s="1" t="s">
        <v>2073</v>
      </c>
      <c r="U1294" s="4">
        <v>4800000</v>
      </c>
      <c r="V1294" s="4">
        <v>4222</v>
      </c>
      <c r="W1294" s="4">
        <v>42</v>
      </c>
      <c r="X1294" s="4">
        <v>549</v>
      </c>
      <c r="Y1294" s="4">
        <v>0</v>
      </c>
      <c r="Z1294" s="5">
        <v>4813</v>
      </c>
      <c r="AA1294" s="5">
        <v>0</v>
      </c>
      <c r="AB1294" s="6">
        <v>0</v>
      </c>
      <c r="AC1294" s="4">
        <v>4813</v>
      </c>
      <c r="AD1294" s="4">
        <v>0</v>
      </c>
      <c r="AE1294" s="4">
        <v>4813</v>
      </c>
      <c r="AF1294" s="1"/>
      <c r="AG1294" s="1"/>
      <c r="AH1294" s="1"/>
      <c r="AI1294" s="1" t="s">
        <v>3432</v>
      </c>
      <c r="AJ1294" s="6">
        <v>3614.2499999999955</v>
      </c>
      <c r="AK1294" s="6">
        <v>731.88</v>
      </c>
      <c r="AL1294" s="1"/>
    </row>
    <row r="1295" spans="1:38" hidden="1" x14ac:dyDescent="0.25">
      <c r="A1295" s="2">
        <v>1708</v>
      </c>
      <c r="B1295" s="1" t="s">
        <v>1519</v>
      </c>
      <c r="C1295" s="1" t="s">
        <v>1524</v>
      </c>
      <c r="D1295" s="1" t="s">
        <v>2062</v>
      </c>
      <c r="E1295" s="1" t="s">
        <v>2063</v>
      </c>
      <c r="F1295" s="3">
        <v>45655</v>
      </c>
      <c r="G1295" s="3">
        <v>45350</v>
      </c>
      <c r="H1295" s="3">
        <v>45715</v>
      </c>
      <c r="I1295" s="1" t="s">
        <v>2341</v>
      </c>
      <c r="J1295" s="1" t="s">
        <v>2342</v>
      </c>
      <c r="K1295" s="1"/>
      <c r="L1295" s="1" t="s">
        <v>2147</v>
      </c>
      <c r="M1295" s="1" t="s">
        <v>2343</v>
      </c>
      <c r="N1295" s="1" t="s">
        <v>2344</v>
      </c>
      <c r="O1295" s="1" t="s">
        <v>2345</v>
      </c>
      <c r="P1295" s="1" t="s">
        <v>2095</v>
      </c>
      <c r="Q1295" s="1" t="s">
        <v>2346</v>
      </c>
      <c r="R1295" s="1"/>
      <c r="S1295" s="1" t="s">
        <v>2072</v>
      </c>
      <c r="T1295" s="1" t="s">
        <v>2073</v>
      </c>
      <c r="U1295" s="4">
        <v>-1</v>
      </c>
      <c r="V1295" s="4">
        <v>-25107</v>
      </c>
      <c r="W1295" s="4">
        <v>-251</v>
      </c>
      <c r="X1295" s="4">
        <v>0</v>
      </c>
      <c r="Y1295" s="4">
        <v>0</v>
      </c>
      <c r="Z1295" s="5">
        <v>-25358</v>
      </c>
      <c r="AA1295" s="5">
        <v>0</v>
      </c>
      <c r="AB1295" s="6">
        <v>0</v>
      </c>
      <c r="AC1295" s="4">
        <v>-25358</v>
      </c>
      <c r="AD1295" s="4">
        <v>0</v>
      </c>
      <c r="AE1295" s="4">
        <v>-25358</v>
      </c>
      <c r="AF1295" s="1"/>
      <c r="AG1295" s="1"/>
      <c r="AH1295" s="1"/>
      <c r="AI1295" s="1" t="s">
        <v>3432</v>
      </c>
      <c r="AJ1295" s="1"/>
      <c r="AK1295" s="1"/>
      <c r="AL1295" s="1"/>
    </row>
    <row r="1296" spans="1:38" hidden="1" x14ac:dyDescent="0.25">
      <c r="A1296" s="2">
        <v>1716</v>
      </c>
      <c r="B1296" s="1" t="s">
        <v>1525</v>
      </c>
      <c r="C1296" s="1" t="s">
        <v>1526</v>
      </c>
      <c r="D1296" s="1" t="s">
        <v>2062</v>
      </c>
      <c r="E1296" s="1" t="s">
        <v>2063</v>
      </c>
      <c r="F1296" s="3">
        <v>45378</v>
      </c>
      <c r="G1296" s="3">
        <v>45349</v>
      </c>
      <c r="H1296" s="3">
        <v>45714</v>
      </c>
      <c r="I1296" s="1" t="s">
        <v>3623</v>
      </c>
      <c r="J1296" s="1" t="s">
        <v>3624</v>
      </c>
      <c r="K1296" s="1"/>
      <c r="L1296" s="1" t="s">
        <v>3422</v>
      </c>
      <c r="M1296" s="1" t="s">
        <v>3625</v>
      </c>
      <c r="N1296" s="1" t="s">
        <v>3626</v>
      </c>
      <c r="O1296" s="1" t="s">
        <v>3627</v>
      </c>
      <c r="P1296" s="1" t="s">
        <v>2070</v>
      </c>
      <c r="Q1296" s="1"/>
      <c r="R1296" s="1"/>
      <c r="S1296" s="1" t="s">
        <v>2072</v>
      </c>
      <c r="T1296" s="1" t="s">
        <v>3165</v>
      </c>
      <c r="U1296" s="4">
        <v>2000000</v>
      </c>
      <c r="V1296" s="4">
        <v>327</v>
      </c>
      <c r="W1296" s="4">
        <v>4</v>
      </c>
      <c r="X1296" s="4">
        <v>43</v>
      </c>
      <c r="Y1296" s="4">
        <v>0</v>
      </c>
      <c r="Z1296" s="5">
        <v>374</v>
      </c>
      <c r="AA1296" s="5">
        <v>0</v>
      </c>
      <c r="AB1296" s="6">
        <v>0</v>
      </c>
      <c r="AC1296" s="4">
        <v>374</v>
      </c>
      <c r="AD1296" s="4">
        <v>0</v>
      </c>
      <c r="AE1296" s="4">
        <v>374</v>
      </c>
      <c r="AF1296" s="1"/>
      <c r="AG1296" s="1"/>
      <c r="AH1296" s="1"/>
      <c r="AI1296" s="1" t="s">
        <v>2327</v>
      </c>
      <c r="AJ1296" s="6">
        <v>136.65</v>
      </c>
      <c r="AK1296" s="6">
        <v>136.65</v>
      </c>
      <c r="AL1296" s="1"/>
    </row>
    <row r="1297" spans="1:38" hidden="1" x14ac:dyDescent="0.25">
      <c r="A1297" s="2">
        <v>1717</v>
      </c>
      <c r="B1297" s="1" t="s">
        <v>1525</v>
      </c>
      <c r="C1297" s="1" t="s">
        <v>1527</v>
      </c>
      <c r="D1297" s="1" t="s">
        <v>2062</v>
      </c>
      <c r="E1297" s="1" t="s">
        <v>2063</v>
      </c>
      <c r="F1297" s="3">
        <v>45411</v>
      </c>
      <c r="G1297" s="3">
        <v>45349</v>
      </c>
      <c r="H1297" s="3">
        <v>45714</v>
      </c>
      <c r="I1297" s="1" t="s">
        <v>3623</v>
      </c>
      <c r="J1297" s="1" t="s">
        <v>3624</v>
      </c>
      <c r="K1297" s="1"/>
      <c r="L1297" s="1" t="s">
        <v>3422</v>
      </c>
      <c r="M1297" s="1" t="s">
        <v>3625</v>
      </c>
      <c r="N1297" s="1" t="s">
        <v>3626</v>
      </c>
      <c r="O1297" s="1" t="s">
        <v>3627</v>
      </c>
      <c r="P1297" s="1" t="s">
        <v>2070</v>
      </c>
      <c r="Q1297" s="1"/>
      <c r="R1297" s="1"/>
      <c r="S1297" s="1" t="s">
        <v>2072</v>
      </c>
      <c r="T1297" s="1" t="s">
        <v>3165</v>
      </c>
      <c r="U1297" s="4">
        <v>2000000</v>
      </c>
      <c r="V1297" s="4">
        <v>296</v>
      </c>
      <c r="W1297" s="4">
        <v>3</v>
      </c>
      <c r="X1297" s="4">
        <v>39</v>
      </c>
      <c r="Y1297" s="4">
        <v>0</v>
      </c>
      <c r="Z1297" s="5">
        <v>338</v>
      </c>
      <c r="AA1297" s="5">
        <v>0</v>
      </c>
      <c r="AB1297" s="6">
        <v>0</v>
      </c>
      <c r="AC1297" s="4">
        <v>338</v>
      </c>
      <c r="AD1297" s="4">
        <v>0</v>
      </c>
      <c r="AE1297" s="4">
        <v>338</v>
      </c>
      <c r="AF1297" s="1"/>
      <c r="AG1297" s="1"/>
      <c r="AH1297" s="1"/>
      <c r="AI1297" s="1" t="s">
        <v>2327</v>
      </c>
      <c r="AJ1297" s="6">
        <v>123.41</v>
      </c>
      <c r="AK1297" s="6">
        <v>123.41</v>
      </c>
      <c r="AL1297" s="1"/>
    </row>
    <row r="1298" spans="1:38" hidden="1" x14ac:dyDescent="0.25">
      <c r="A1298" s="2">
        <v>1718</v>
      </c>
      <c r="B1298" s="1" t="s">
        <v>1525</v>
      </c>
      <c r="C1298" s="1" t="s">
        <v>1528</v>
      </c>
      <c r="D1298" s="1" t="s">
        <v>2062</v>
      </c>
      <c r="E1298" s="1" t="s">
        <v>2063</v>
      </c>
      <c r="F1298" s="3">
        <v>45441</v>
      </c>
      <c r="G1298" s="3">
        <v>45349</v>
      </c>
      <c r="H1298" s="3">
        <v>45714</v>
      </c>
      <c r="I1298" s="1" t="s">
        <v>3623</v>
      </c>
      <c r="J1298" s="1" t="s">
        <v>3624</v>
      </c>
      <c r="K1298" s="1"/>
      <c r="L1298" s="1" t="s">
        <v>3422</v>
      </c>
      <c r="M1298" s="1" t="s">
        <v>3625</v>
      </c>
      <c r="N1298" s="1" t="s">
        <v>3626</v>
      </c>
      <c r="O1298" s="1" t="s">
        <v>3627</v>
      </c>
      <c r="P1298" s="1" t="s">
        <v>2070</v>
      </c>
      <c r="Q1298" s="1"/>
      <c r="R1298" s="1"/>
      <c r="S1298" s="1" t="s">
        <v>2072</v>
      </c>
      <c r="T1298" s="1" t="s">
        <v>3165</v>
      </c>
      <c r="U1298" s="4">
        <v>2000000</v>
      </c>
      <c r="V1298" s="4">
        <v>373</v>
      </c>
      <c r="W1298" s="4">
        <v>3</v>
      </c>
      <c r="X1298" s="4">
        <v>48</v>
      </c>
      <c r="Y1298" s="4">
        <v>0</v>
      </c>
      <c r="Z1298" s="5">
        <v>424</v>
      </c>
      <c r="AA1298" s="5">
        <v>0</v>
      </c>
      <c r="AB1298" s="6">
        <v>0</v>
      </c>
      <c r="AC1298" s="4">
        <v>424</v>
      </c>
      <c r="AD1298" s="4">
        <v>0</v>
      </c>
      <c r="AE1298" s="4">
        <v>424</v>
      </c>
      <c r="AF1298" s="1"/>
      <c r="AG1298" s="1"/>
      <c r="AH1298" s="1"/>
      <c r="AI1298" s="1" t="s">
        <v>2327</v>
      </c>
      <c r="AJ1298" s="6">
        <v>187.11</v>
      </c>
      <c r="AK1298" s="6">
        <v>154.6</v>
      </c>
      <c r="AL1298" s="1"/>
    </row>
    <row r="1299" spans="1:38" hidden="1" x14ac:dyDescent="0.25">
      <c r="A1299" s="2">
        <v>1719</v>
      </c>
      <c r="B1299" s="1" t="s">
        <v>1525</v>
      </c>
      <c r="C1299" s="1" t="s">
        <v>1529</v>
      </c>
      <c r="D1299" s="1" t="s">
        <v>2062</v>
      </c>
      <c r="E1299" s="1" t="s">
        <v>2063</v>
      </c>
      <c r="F1299" s="3">
        <v>45470</v>
      </c>
      <c r="G1299" s="3">
        <v>45349</v>
      </c>
      <c r="H1299" s="3">
        <v>45714</v>
      </c>
      <c r="I1299" s="1" t="s">
        <v>3623</v>
      </c>
      <c r="J1299" s="1" t="s">
        <v>3624</v>
      </c>
      <c r="K1299" s="1"/>
      <c r="L1299" s="1" t="s">
        <v>3422</v>
      </c>
      <c r="M1299" s="1" t="s">
        <v>3625</v>
      </c>
      <c r="N1299" s="1" t="s">
        <v>3626</v>
      </c>
      <c r="O1299" s="1" t="s">
        <v>3627</v>
      </c>
      <c r="P1299" s="1" t="s">
        <v>2070</v>
      </c>
      <c r="Q1299" s="1"/>
      <c r="R1299" s="1"/>
      <c r="S1299" s="1" t="s">
        <v>2072</v>
      </c>
      <c r="T1299" s="1" t="s">
        <v>3165</v>
      </c>
      <c r="U1299" s="4">
        <v>2000000</v>
      </c>
      <c r="V1299" s="4">
        <v>824</v>
      </c>
      <c r="W1299" s="4">
        <v>9</v>
      </c>
      <c r="X1299" s="4">
        <v>107</v>
      </c>
      <c r="Y1299" s="4">
        <v>0</v>
      </c>
      <c r="Z1299" s="5">
        <v>940</v>
      </c>
      <c r="AA1299" s="5">
        <v>0</v>
      </c>
      <c r="AB1299" s="6">
        <v>0</v>
      </c>
      <c r="AC1299" s="4">
        <v>940</v>
      </c>
      <c r="AD1299" s="4">
        <v>0</v>
      </c>
      <c r="AE1299" s="4">
        <v>940</v>
      </c>
      <c r="AF1299" s="1"/>
      <c r="AG1299" s="1"/>
      <c r="AH1299" s="1"/>
      <c r="AI1299" s="1" t="s">
        <v>2327</v>
      </c>
      <c r="AJ1299" s="6">
        <v>344.85</v>
      </c>
      <c r="AK1299" s="6">
        <v>342.84</v>
      </c>
      <c r="AL1299" s="1"/>
    </row>
    <row r="1300" spans="1:38" hidden="1" x14ac:dyDescent="0.25">
      <c r="A1300" s="2">
        <v>1720</v>
      </c>
      <c r="B1300" s="1" t="s">
        <v>1525</v>
      </c>
      <c r="C1300" s="1" t="s">
        <v>1530</v>
      </c>
      <c r="D1300" s="1" t="s">
        <v>2062</v>
      </c>
      <c r="E1300" s="1" t="s">
        <v>2063</v>
      </c>
      <c r="F1300" s="3">
        <v>45503</v>
      </c>
      <c r="G1300" s="3">
        <v>45349</v>
      </c>
      <c r="H1300" s="3">
        <v>45714</v>
      </c>
      <c r="I1300" s="1" t="s">
        <v>3623</v>
      </c>
      <c r="J1300" s="1" t="s">
        <v>3624</v>
      </c>
      <c r="K1300" s="1"/>
      <c r="L1300" s="1" t="s">
        <v>3422</v>
      </c>
      <c r="M1300" s="1" t="s">
        <v>3625</v>
      </c>
      <c r="N1300" s="1" t="s">
        <v>3626</v>
      </c>
      <c r="O1300" s="1" t="s">
        <v>3627</v>
      </c>
      <c r="P1300" s="1" t="s">
        <v>2070</v>
      </c>
      <c r="Q1300" s="1"/>
      <c r="R1300" s="1"/>
      <c r="S1300" s="1" t="s">
        <v>2072</v>
      </c>
      <c r="T1300" s="1" t="s">
        <v>3165</v>
      </c>
      <c r="U1300" s="4">
        <v>2000000</v>
      </c>
      <c r="V1300" s="4">
        <v>271</v>
      </c>
      <c r="W1300" s="4">
        <v>3</v>
      </c>
      <c r="X1300" s="4">
        <v>41</v>
      </c>
      <c r="Y1300" s="4">
        <v>0</v>
      </c>
      <c r="Z1300" s="5">
        <v>315</v>
      </c>
      <c r="AA1300" s="5">
        <v>0</v>
      </c>
      <c r="AB1300" s="6">
        <v>0</v>
      </c>
      <c r="AC1300" s="4">
        <v>315</v>
      </c>
      <c r="AD1300" s="4">
        <v>0</v>
      </c>
      <c r="AE1300" s="4">
        <v>315</v>
      </c>
      <c r="AF1300" s="1"/>
      <c r="AG1300" s="1"/>
      <c r="AH1300" s="1"/>
      <c r="AI1300" s="1" t="s">
        <v>2327</v>
      </c>
      <c r="AJ1300" s="6">
        <v>114.72</v>
      </c>
      <c r="AK1300" s="6">
        <v>114.72</v>
      </c>
      <c r="AL1300" s="1"/>
    </row>
    <row r="1301" spans="1:38" hidden="1" x14ac:dyDescent="0.25">
      <c r="A1301" s="2">
        <v>1721</v>
      </c>
      <c r="B1301" s="1" t="s">
        <v>1525</v>
      </c>
      <c r="C1301" s="1" t="s">
        <v>1531</v>
      </c>
      <c r="D1301" s="1" t="s">
        <v>2062</v>
      </c>
      <c r="E1301" s="1" t="s">
        <v>2063</v>
      </c>
      <c r="F1301" s="3">
        <v>45535</v>
      </c>
      <c r="G1301" s="3">
        <v>45349</v>
      </c>
      <c r="H1301" s="3">
        <v>45714</v>
      </c>
      <c r="I1301" s="1" t="s">
        <v>3623</v>
      </c>
      <c r="J1301" s="1" t="s">
        <v>3624</v>
      </c>
      <c r="K1301" s="1"/>
      <c r="L1301" s="1" t="s">
        <v>3422</v>
      </c>
      <c r="M1301" s="1" t="s">
        <v>3625</v>
      </c>
      <c r="N1301" s="1" t="s">
        <v>3626</v>
      </c>
      <c r="O1301" s="1" t="s">
        <v>3627</v>
      </c>
      <c r="P1301" s="1" t="s">
        <v>2070</v>
      </c>
      <c r="Q1301" s="1"/>
      <c r="R1301" s="1"/>
      <c r="S1301" s="1" t="s">
        <v>2072</v>
      </c>
      <c r="T1301" s="1" t="s">
        <v>3165</v>
      </c>
      <c r="U1301" s="4">
        <v>2000000</v>
      </c>
      <c r="V1301" s="4">
        <v>184</v>
      </c>
      <c r="W1301" s="4">
        <v>2</v>
      </c>
      <c r="X1301" s="4">
        <v>28</v>
      </c>
      <c r="Y1301" s="4">
        <v>0</v>
      </c>
      <c r="Z1301" s="5">
        <v>214</v>
      </c>
      <c r="AA1301" s="5">
        <v>0</v>
      </c>
      <c r="AB1301" s="6">
        <v>0</v>
      </c>
      <c r="AC1301" s="4">
        <v>214</v>
      </c>
      <c r="AD1301" s="4">
        <v>0</v>
      </c>
      <c r="AE1301" s="4">
        <v>214</v>
      </c>
      <c r="AF1301" s="1"/>
      <c r="AG1301" s="1"/>
      <c r="AH1301" s="1"/>
      <c r="AI1301" s="1" t="s">
        <v>2327</v>
      </c>
      <c r="AJ1301" s="6">
        <v>77.930000000000007</v>
      </c>
      <c r="AK1301" s="6">
        <v>77.930000000000007</v>
      </c>
      <c r="AL1301" s="1"/>
    </row>
    <row r="1302" spans="1:38" hidden="1" x14ac:dyDescent="0.25">
      <c r="A1302" s="2">
        <v>1722</v>
      </c>
      <c r="B1302" s="1" t="s">
        <v>1525</v>
      </c>
      <c r="C1302" s="1" t="s">
        <v>1532</v>
      </c>
      <c r="D1302" s="1" t="s">
        <v>2062</v>
      </c>
      <c r="E1302" s="1" t="s">
        <v>2063</v>
      </c>
      <c r="F1302" s="3">
        <v>45596</v>
      </c>
      <c r="G1302" s="3">
        <v>45349</v>
      </c>
      <c r="H1302" s="3">
        <v>45714</v>
      </c>
      <c r="I1302" s="1" t="s">
        <v>3623</v>
      </c>
      <c r="J1302" s="1" t="s">
        <v>3624</v>
      </c>
      <c r="K1302" s="1"/>
      <c r="L1302" s="1" t="s">
        <v>3422</v>
      </c>
      <c r="M1302" s="1" t="s">
        <v>3625</v>
      </c>
      <c r="N1302" s="1" t="s">
        <v>3626</v>
      </c>
      <c r="O1302" s="1" t="s">
        <v>3627</v>
      </c>
      <c r="P1302" s="1" t="s">
        <v>2070</v>
      </c>
      <c r="Q1302" s="1"/>
      <c r="R1302" s="1"/>
      <c r="S1302" s="1" t="s">
        <v>2072</v>
      </c>
      <c r="T1302" s="1" t="s">
        <v>3165</v>
      </c>
      <c r="U1302" s="4">
        <v>-1</v>
      </c>
      <c r="V1302" s="4">
        <v>-2579</v>
      </c>
      <c r="W1302" s="4">
        <v>-26</v>
      </c>
      <c r="X1302" s="4">
        <v>0</v>
      </c>
      <c r="Y1302" s="4">
        <v>0</v>
      </c>
      <c r="Z1302" s="5">
        <v>-2605</v>
      </c>
      <c r="AA1302" s="5">
        <v>0</v>
      </c>
      <c r="AB1302" s="6">
        <v>0</v>
      </c>
      <c r="AC1302" s="4">
        <v>-2605</v>
      </c>
      <c r="AD1302" s="4">
        <v>0</v>
      </c>
      <c r="AE1302" s="4">
        <v>-2605</v>
      </c>
      <c r="AF1302" s="1"/>
      <c r="AG1302" s="1"/>
      <c r="AH1302" s="1"/>
      <c r="AI1302" s="1" t="s">
        <v>2327</v>
      </c>
      <c r="AJ1302" s="1"/>
      <c r="AK1302" s="1"/>
      <c r="AL1302" s="1"/>
    </row>
    <row r="1303" spans="1:38" hidden="1" x14ac:dyDescent="0.25">
      <c r="A1303" s="2">
        <v>1723</v>
      </c>
      <c r="B1303" s="1" t="s">
        <v>1533</v>
      </c>
      <c r="C1303" s="1" t="s">
        <v>1534</v>
      </c>
      <c r="D1303" s="1" t="s">
        <v>2062</v>
      </c>
      <c r="E1303" s="1" t="s">
        <v>2063</v>
      </c>
      <c r="F1303" s="3">
        <v>45378</v>
      </c>
      <c r="G1303" s="3">
        <v>45349</v>
      </c>
      <c r="H1303" s="3">
        <v>45714</v>
      </c>
      <c r="I1303" s="1" t="s">
        <v>3628</v>
      </c>
      <c r="J1303" s="1" t="s">
        <v>3629</v>
      </c>
      <c r="K1303" s="1"/>
      <c r="L1303" s="1" t="s">
        <v>2198</v>
      </c>
      <c r="M1303" s="1" t="s">
        <v>3630</v>
      </c>
      <c r="N1303" s="1" t="s">
        <v>3631</v>
      </c>
      <c r="O1303" s="1" t="s">
        <v>3632</v>
      </c>
      <c r="P1303" s="1" t="s">
        <v>2088</v>
      </c>
      <c r="Q1303" s="1"/>
      <c r="R1303" s="1"/>
      <c r="S1303" s="1" t="s">
        <v>2072</v>
      </c>
      <c r="T1303" s="1" t="s">
        <v>3165</v>
      </c>
      <c r="U1303" s="4">
        <v>2000000</v>
      </c>
      <c r="V1303" s="4">
        <v>2943</v>
      </c>
      <c r="W1303" s="4">
        <v>30</v>
      </c>
      <c r="X1303" s="4">
        <v>383</v>
      </c>
      <c r="Y1303" s="4">
        <v>0</v>
      </c>
      <c r="Z1303" s="5">
        <v>3356</v>
      </c>
      <c r="AA1303" s="5">
        <v>0</v>
      </c>
      <c r="AB1303" s="6">
        <v>0</v>
      </c>
      <c r="AC1303" s="4">
        <v>3356</v>
      </c>
      <c r="AD1303" s="4">
        <v>0</v>
      </c>
      <c r="AE1303" s="4">
        <v>3356</v>
      </c>
      <c r="AF1303" s="1"/>
      <c r="AG1303" s="1"/>
      <c r="AH1303" s="1"/>
      <c r="AI1303" s="1" t="s">
        <v>2841</v>
      </c>
      <c r="AJ1303" s="6">
        <v>6380.5499999999938</v>
      </c>
      <c r="AK1303" s="6">
        <v>1227.71</v>
      </c>
      <c r="AL1303" s="1"/>
    </row>
    <row r="1304" spans="1:38" hidden="1" x14ac:dyDescent="0.25">
      <c r="A1304" s="2">
        <v>1724</v>
      </c>
      <c r="B1304" s="1" t="s">
        <v>1533</v>
      </c>
      <c r="C1304" s="1" t="s">
        <v>1535</v>
      </c>
      <c r="D1304" s="1" t="s">
        <v>2062</v>
      </c>
      <c r="E1304" s="1" t="s">
        <v>2063</v>
      </c>
      <c r="F1304" s="3">
        <v>45411</v>
      </c>
      <c r="G1304" s="3">
        <v>45349</v>
      </c>
      <c r="H1304" s="3">
        <v>45714</v>
      </c>
      <c r="I1304" s="1" t="s">
        <v>3628</v>
      </c>
      <c r="J1304" s="1" t="s">
        <v>3629</v>
      </c>
      <c r="K1304" s="1"/>
      <c r="L1304" s="1" t="s">
        <v>2198</v>
      </c>
      <c r="M1304" s="1" t="s">
        <v>3630</v>
      </c>
      <c r="N1304" s="1" t="s">
        <v>3631</v>
      </c>
      <c r="O1304" s="1" t="s">
        <v>3632</v>
      </c>
      <c r="P1304" s="1" t="s">
        <v>2088</v>
      </c>
      <c r="Q1304" s="1"/>
      <c r="R1304" s="1"/>
      <c r="S1304" s="1" t="s">
        <v>2072</v>
      </c>
      <c r="T1304" s="1" t="s">
        <v>3165</v>
      </c>
      <c r="U1304" s="4">
        <v>2000000</v>
      </c>
      <c r="V1304" s="4">
        <v>3129</v>
      </c>
      <c r="W1304" s="4">
        <v>31</v>
      </c>
      <c r="X1304" s="4">
        <v>407</v>
      </c>
      <c r="Y1304" s="4">
        <v>0</v>
      </c>
      <c r="Z1304" s="5">
        <v>3567</v>
      </c>
      <c r="AA1304" s="5">
        <v>0</v>
      </c>
      <c r="AB1304" s="6">
        <v>0</v>
      </c>
      <c r="AC1304" s="4">
        <v>3567</v>
      </c>
      <c r="AD1304" s="4">
        <v>0</v>
      </c>
      <c r="AE1304" s="4">
        <v>3567</v>
      </c>
      <c r="AF1304" s="1"/>
      <c r="AG1304" s="1"/>
      <c r="AH1304" s="1"/>
      <c r="AI1304" s="1" t="s">
        <v>2841</v>
      </c>
      <c r="AJ1304" s="6">
        <v>6989.6499999999887</v>
      </c>
      <c r="AK1304" s="6">
        <v>1305</v>
      </c>
      <c r="AL1304" s="1"/>
    </row>
    <row r="1305" spans="1:38" hidden="1" x14ac:dyDescent="0.25">
      <c r="A1305" s="2">
        <v>1725</v>
      </c>
      <c r="B1305" s="1" t="s">
        <v>1533</v>
      </c>
      <c r="C1305" s="1" t="s">
        <v>1536</v>
      </c>
      <c r="D1305" s="1" t="s">
        <v>2062</v>
      </c>
      <c r="E1305" s="1" t="s">
        <v>2063</v>
      </c>
      <c r="F1305" s="3">
        <v>45441</v>
      </c>
      <c r="G1305" s="3">
        <v>45349</v>
      </c>
      <c r="H1305" s="3">
        <v>45714</v>
      </c>
      <c r="I1305" s="1" t="s">
        <v>3628</v>
      </c>
      <c r="J1305" s="1" t="s">
        <v>3629</v>
      </c>
      <c r="K1305" s="1"/>
      <c r="L1305" s="1" t="s">
        <v>2198</v>
      </c>
      <c r="M1305" s="1" t="s">
        <v>3630</v>
      </c>
      <c r="N1305" s="1" t="s">
        <v>3631</v>
      </c>
      <c r="O1305" s="1" t="s">
        <v>3632</v>
      </c>
      <c r="P1305" s="1" t="s">
        <v>2088</v>
      </c>
      <c r="Q1305" s="1"/>
      <c r="R1305" s="1"/>
      <c r="S1305" s="1" t="s">
        <v>2072</v>
      </c>
      <c r="T1305" s="1" t="s">
        <v>3165</v>
      </c>
      <c r="U1305" s="4">
        <v>2000000</v>
      </c>
      <c r="V1305" s="4">
        <v>3146</v>
      </c>
      <c r="W1305" s="4">
        <v>32</v>
      </c>
      <c r="X1305" s="4">
        <v>409</v>
      </c>
      <c r="Y1305" s="4">
        <v>0</v>
      </c>
      <c r="Z1305" s="5">
        <v>3587</v>
      </c>
      <c r="AA1305" s="5">
        <v>0</v>
      </c>
      <c r="AB1305" s="6">
        <v>0</v>
      </c>
      <c r="AC1305" s="4">
        <v>3587</v>
      </c>
      <c r="AD1305" s="4">
        <v>0</v>
      </c>
      <c r="AE1305" s="4">
        <v>3587</v>
      </c>
      <c r="AF1305" s="1"/>
      <c r="AG1305" s="1"/>
      <c r="AH1305" s="1"/>
      <c r="AI1305" s="1" t="s">
        <v>2841</v>
      </c>
      <c r="AJ1305" s="6">
        <v>6965.8699999999926</v>
      </c>
      <c r="AK1305" s="6">
        <v>1312.08</v>
      </c>
      <c r="AL1305" s="1"/>
    </row>
    <row r="1306" spans="1:38" hidden="1" x14ac:dyDescent="0.25">
      <c r="A1306" s="2">
        <v>1726</v>
      </c>
      <c r="B1306" s="1" t="s">
        <v>1533</v>
      </c>
      <c r="C1306" s="1" t="s">
        <v>1537</v>
      </c>
      <c r="D1306" s="1" t="s">
        <v>2062</v>
      </c>
      <c r="E1306" s="1" t="s">
        <v>2063</v>
      </c>
      <c r="F1306" s="3">
        <v>45470</v>
      </c>
      <c r="G1306" s="3">
        <v>45349</v>
      </c>
      <c r="H1306" s="3">
        <v>45714</v>
      </c>
      <c r="I1306" s="1" t="s">
        <v>3628</v>
      </c>
      <c r="J1306" s="1" t="s">
        <v>3629</v>
      </c>
      <c r="K1306" s="1"/>
      <c r="L1306" s="1" t="s">
        <v>2198</v>
      </c>
      <c r="M1306" s="1" t="s">
        <v>3630</v>
      </c>
      <c r="N1306" s="1" t="s">
        <v>3631</v>
      </c>
      <c r="O1306" s="1" t="s">
        <v>3632</v>
      </c>
      <c r="P1306" s="1" t="s">
        <v>2088</v>
      </c>
      <c r="Q1306" s="1"/>
      <c r="R1306" s="1"/>
      <c r="S1306" s="1" t="s">
        <v>2072</v>
      </c>
      <c r="T1306" s="1" t="s">
        <v>3165</v>
      </c>
      <c r="U1306" s="4">
        <v>2000000</v>
      </c>
      <c r="V1306" s="4">
        <v>3345</v>
      </c>
      <c r="W1306" s="4">
        <v>33</v>
      </c>
      <c r="X1306" s="4">
        <v>435</v>
      </c>
      <c r="Y1306" s="4">
        <v>0</v>
      </c>
      <c r="Z1306" s="5">
        <v>3813</v>
      </c>
      <c r="AA1306" s="5">
        <v>0</v>
      </c>
      <c r="AB1306" s="6">
        <v>0</v>
      </c>
      <c r="AC1306" s="4">
        <v>3813</v>
      </c>
      <c r="AD1306" s="4">
        <v>0</v>
      </c>
      <c r="AE1306" s="4">
        <v>3813</v>
      </c>
      <c r="AF1306" s="1"/>
      <c r="AG1306" s="1"/>
      <c r="AH1306" s="1"/>
      <c r="AI1306" s="1" t="s">
        <v>2841</v>
      </c>
      <c r="AJ1306" s="6">
        <v>8144.7999999999829</v>
      </c>
      <c r="AK1306" s="6">
        <v>1395</v>
      </c>
      <c r="AL1306" s="1"/>
    </row>
    <row r="1307" spans="1:38" hidden="1" x14ac:dyDescent="0.25">
      <c r="A1307" s="2">
        <v>1727</v>
      </c>
      <c r="B1307" s="1" t="s">
        <v>1533</v>
      </c>
      <c r="C1307" s="1" t="s">
        <v>1538</v>
      </c>
      <c r="D1307" s="1" t="s">
        <v>2062</v>
      </c>
      <c r="E1307" s="1" t="s">
        <v>2063</v>
      </c>
      <c r="F1307" s="3">
        <v>45503</v>
      </c>
      <c r="G1307" s="3">
        <v>45349</v>
      </c>
      <c r="H1307" s="3">
        <v>45714</v>
      </c>
      <c r="I1307" s="1" t="s">
        <v>3628</v>
      </c>
      <c r="J1307" s="1" t="s">
        <v>3629</v>
      </c>
      <c r="K1307" s="1"/>
      <c r="L1307" s="1" t="s">
        <v>2198</v>
      </c>
      <c r="M1307" s="1" t="s">
        <v>3630</v>
      </c>
      <c r="N1307" s="1" t="s">
        <v>3631</v>
      </c>
      <c r="O1307" s="1" t="s">
        <v>3632</v>
      </c>
      <c r="P1307" s="1" t="s">
        <v>2088</v>
      </c>
      <c r="Q1307" s="1"/>
      <c r="R1307" s="1"/>
      <c r="S1307" s="1" t="s">
        <v>2072</v>
      </c>
      <c r="T1307" s="1" t="s">
        <v>3165</v>
      </c>
      <c r="U1307" s="4">
        <v>2000000</v>
      </c>
      <c r="V1307" s="4">
        <v>3133</v>
      </c>
      <c r="W1307" s="4">
        <v>31</v>
      </c>
      <c r="X1307" s="4">
        <v>470</v>
      </c>
      <c r="Y1307" s="4">
        <v>0</v>
      </c>
      <c r="Z1307" s="5">
        <v>3634</v>
      </c>
      <c r="AA1307" s="5">
        <v>0</v>
      </c>
      <c r="AB1307" s="6">
        <v>0</v>
      </c>
      <c r="AC1307" s="4">
        <v>3634</v>
      </c>
      <c r="AD1307" s="4">
        <v>0</v>
      </c>
      <c r="AE1307" s="4">
        <v>3634</v>
      </c>
      <c r="AF1307" s="1"/>
      <c r="AG1307" s="1"/>
      <c r="AH1307" s="1"/>
      <c r="AI1307" s="1" t="s">
        <v>2841</v>
      </c>
      <c r="AJ1307" s="6">
        <v>7584.2499999999836</v>
      </c>
      <c r="AK1307" s="6">
        <v>1329.32</v>
      </c>
      <c r="AL1307" s="1"/>
    </row>
    <row r="1308" spans="1:38" hidden="1" x14ac:dyDescent="0.25">
      <c r="A1308" s="2">
        <v>1728</v>
      </c>
      <c r="B1308" s="1" t="s">
        <v>1533</v>
      </c>
      <c r="C1308" s="1" t="s">
        <v>1539</v>
      </c>
      <c r="D1308" s="1" t="s">
        <v>2062</v>
      </c>
      <c r="E1308" s="1" t="s">
        <v>2063</v>
      </c>
      <c r="F1308" s="3">
        <v>45535</v>
      </c>
      <c r="G1308" s="3">
        <v>45349</v>
      </c>
      <c r="H1308" s="3">
        <v>45714</v>
      </c>
      <c r="I1308" s="1" t="s">
        <v>3628</v>
      </c>
      <c r="J1308" s="1" t="s">
        <v>3629</v>
      </c>
      <c r="K1308" s="1"/>
      <c r="L1308" s="1" t="s">
        <v>2198</v>
      </c>
      <c r="M1308" s="1" t="s">
        <v>3630</v>
      </c>
      <c r="N1308" s="1" t="s">
        <v>3631</v>
      </c>
      <c r="O1308" s="1" t="s">
        <v>3632</v>
      </c>
      <c r="P1308" s="1" t="s">
        <v>2088</v>
      </c>
      <c r="Q1308" s="1"/>
      <c r="R1308" s="1"/>
      <c r="S1308" s="1" t="s">
        <v>2072</v>
      </c>
      <c r="T1308" s="1" t="s">
        <v>3165</v>
      </c>
      <c r="U1308" s="4">
        <v>2000000</v>
      </c>
      <c r="V1308" s="4">
        <v>3249</v>
      </c>
      <c r="W1308" s="4">
        <v>33</v>
      </c>
      <c r="X1308" s="4">
        <v>488</v>
      </c>
      <c r="Y1308" s="4">
        <v>0</v>
      </c>
      <c r="Z1308" s="5">
        <v>3770</v>
      </c>
      <c r="AA1308" s="5">
        <v>0</v>
      </c>
      <c r="AB1308" s="6">
        <v>0</v>
      </c>
      <c r="AC1308" s="4">
        <v>3770</v>
      </c>
      <c r="AD1308" s="4">
        <v>0</v>
      </c>
      <c r="AE1308" s="4">
        <v>3770</v>
      </c>
      <c r="AF1308" s="1"/>
      <c r="AG1308" s="1"/>
      <c r="AH1308" s="1"/>
      <c r="AI1308" s="1" t="s">
        <v>2841</v>
      </c>
      <c r="AJ1308" s="6">
        <v>6924.2499999999891</v>
      </c>
      <c r="AK1308" s="6">
        <v>1379.05</v>
      </c>
      <c r="AL1308" s="1"/>
    </row>
    <row r="1309" spans="1:38" hidden="1" x14ac:dyDescent="0.25">
      <c r="A1309" s="2">
        <v>1729</v>
      </c>
      <c r="B1309" s="1" t="s">
        <v>1533</v>
      </c>
      <c r="C1309" s="1" t="s">
        <v>1540</v>
      </c>
      <c r="D1309" s="1" t="s">
        <v>2062</v>
      </c>
      <c r="E1309" s="1" t="s">
        <v>2063</v>
      </c>
      <c r="F1309" s="3">
        <v>45566</v>
      </c>
      <c r="G1309" s="3">
        <v>45349</v>
      </c>
      <c r="H1309" s="3">
        <v>45714</v>
      </c>
      <c r="I1309" s="1" t="s">
        <v>3628</v>
      </c>
      <c r="J1309" s="1" t="s">
        <v>3629</v>
      </c>
      <c r="K1309" s="1"/>
      <c r="L1309" s="1" t="s">
        <v>2198</v>
      </c>
      <c r="M1309" s="1" t="s">
        <v>3630</v>
      </c>
      <c r="N1309" s="1" t="s">
        <v>3631</v>
      </c>
      <c r="O1309" s="1" t="s">
        <v>3632</v>
      </c>
      <c r="P1309" s="1" t="s">
        <v>2088</v>
      </c>
      <c r="Q1309" s="1"/>
      <c r="R1309" s="1"/>
      <c r="S1309" s="1" t="s">
        <v>2072</v>
      </c>
      <c r="T1309" s="1" t="s">
        <v>3165</v>
      </c>
      <c r="U1309" s="4">
        <v>2000000</v>
      </c>
      <c r="V1309" s="4">
        <v>3287</v>
      </c>
      <c r="W1309" s="4">
        <v>33</v>
      </c>
      <c r="X1309" s="4">
        <v>493</v>
      </c>
      <c r="Y1309" s="4">
        <v>0</v>
      </c>
      <c r="Z1309" s="5">
        <v>3813</v>
      </c>
      <c r="AA1309" s="5">
        <v>0</v>
      </c>
      <c r="AB1309" s="6">
        <v>0</v>
      </c>
      <c r="AC1309" s="4">
        <v>3813</v>
      </c>
      <c r="AD1309" s="4">
        <v>0</v>
      </c>
      <c r="AE1309" s="4">
        <v>3813</v>
      </c>
      <c r="AF1309" s="1"/>
      <c r="AG1309" s="1"/>
      <c r="AH1309" s="1"/>
      <c r="AI1309" s="1" t="s">
        <v>2841</v>
      </c>
      <c r="AJ1309" s="6">
        <v>8240.3499999999822</v>
      </c>
      <c r="AK1309" s="6">
        <v>1395</v>
      </c>
      <c r="AL1309" s="1"/>
    </row>
    <row r="1310" spans="1:38" hidden="1" x14ac:dyDescent="0.25">
      <c r="A1310" s="2">
        <v>1730</v>
      </c>
      <c r="B1310" s="1" t="s">
        <v>1533</v>
      </c>
      <c r="C1310" s="1" t="s">
        <v>1541</v>
      </c>
      <c r="D1310" s="1" t="s">
        <v>2062</v>
      </c>
      <c r="E1310" s="1" t="s">
        <v>2063</v>
      </c>
      <c r="F1310" s="3">
        <v>45595</v>
      </c>
      <c r="G1310" s="3">
        <v>45349</v>
      </c>
      <c r="H1310" s="3">
        <v>45714</v>
      </c>
      <c r="I1310" s="1" t="s">
        <v>3628</v>
      </c>
      <c r="J1310" s="1" t="s">
        <v>3629</v>
      </c>
      <c r="K1310" s="1"/>
      <c r="L1310" s="1" t="s">
        <v>2198</v>
      </c>
      <c r="M1310" s="1" t="s">
        <v>3630</v>
      </c>
      <c r="N1310" s="1" t="s">
        <v>3631</v>
      </c>
      <c r="O1310" s="1" t="s">
        <v>3632</v>
      </c>
      <c r="P1310" s="1" t="s">
        <v>2088</v>
      </c>
      <c r="Q1310" s="1"/>
      <c r="R1310" s="1"/>
      <c r="S1310" s="1" t="s">
        <v>2072</v>
      </c>
      <c r="T1310" s="1" t="s">
        <v>3165</v>
      </c>
      <c r="U1310" s="4">
        <v>2000000</v>
      </c>
      <c r="V1310" s="4">
        <v>3156</v>
      </c>
      <c r="W1310" s="4">
        <v>32</v>
      </c>
      <c r="X1310" s="4">
        <v>473</v>
      </c>
      <c r="Y1310" s="4">
        <v>0</v>
      </c>
      <c r="Z1310" s="5">
        <v>3661</v>
      </c>
      <c r="AA1310" s="5">
        <v>0</v>
      </c>
      <c r="AB1310" s="6">
        <v>0</v>
      </c>
      <c r="AC1310" s="4">
        <v>3661</v>
      </c>
      <c r="AD1310" s="4">
        <v>0</v>
      </c>
      <c r="AE1310" s="4">
        <v>3661</v>
      </c>
      <c r="AF1310" s="1"/>
      <c r="AG1310" s="1"/>
      <c r="AH1310" s="1"/>
      <c r="AI1310" s="1" t="s">
        <v>2841</v>
      </c>
      <c r="AJ1310" s="6">
        <v>6805.1599999999853</v>
      </c>
      <c r="AK1310" s="6">
        <v>1339.27</v>
      </c>
      <c r="AL1310" s="1"/>
    </row>
    <row r="1311" spans="1:38" hidden="1" x14ac:dyDescent="0.25">
      <c r="A1311" s="2">
        <v>1731</v>
      </c>
      <c r="B1311" s="1" t="s">
        <v>1533</v>
      </c>
      <c r="C1311" s="1" t="s">
        <v>1542</v>
      </c>
      <c r="D1311" s="1" t="s">
        <v>2062</v>
      </c>
      <c r="E1311" s="1" t="s">
        <v>2063</v>
      </c>
      <c r="F1311" s="3">
        <v>45624</v>
      </c>
      <c r="G1311" s="3">
        <v>45349</v>
      </c>
      <c r="H1311" s="3">
        <v>45714</v>
      </c>
      <c r="I1311" s="1" t="s">
        <v>3628</v>
      </c>
      <c r="J1311" s="1" t="s">
        <v>3629</v>
      </c>
      <c r="K1311" s="1"/>
      <c r="L1311" s="1" t="s">
        <v>2198</v>
      </c>
      <c r="M1311" s="1" t="s">
        <v>3630</v>
      </c>
      <c r="N1311" s="1" t="s">
        <v>3631</v>
      </c>
      <c r="O1311" s="1" t="s">
        <v>3632</v>
      </c>
      <c r="P1311" s="1" t="s">
        <v>2088</v>
      </c>
      <c r="Q1311" s="1"/>
      <c r="R1311" s="1"/>
      <c r="S1311" s="1" t="s">
        <v>2072</v>
      </c>
      <c r="T1311" s="1" t="s">
        <v>3165</v>
      </c>
      <c r="U1311" s="4">
        <v>2000000</v>
      </c>
      <c r="V1311" s="4">
        <v>2863</v>
      </c>
      <c r="W1311" s="4">
        <v>29</v>
      </c>
      <c r="X1311" s="4">
        <v>429</v>
      </c>
      <c r="Y1311" s="4">
        <v>0</v>
      </c>
      <c r="Z1311" s="5">
        <v>3321</v>
      </c>
      <c r="AA1311" s="5">
        <v>0</v>
      </c>
      <c r="AB1311" s="6">
        <v>0</v>
      </c>
      <c r="AC1311" s="4">
        <v>3321</v>
      </c>
      <c r="AD1311" s="4">
        <v>0</v>
      </c>
      <c r="AE1311" s="4">
        <v>3321</v>
      </c>
      <c r="AF1311" s="1"/>
      <c r="AG1311" s="1"/>
      <c r="AH1311" s="1"/>
      <c r="AI1311" s="1" t="s">
        <v>2841</v>
      </c>
      <c r="AJ1311" s="6">
        <v>6652.3899999999858</v>
      </c>
      <c r="AK1311" s="6">
        <v>1215</v>
      </c>
      <c r="AL1311" s="1"/>
    </row>
    <row r="1312" spans="1:38" hidden="1" x14ac:dyDescent="0.25">
      <c r="A1312" s="2">
        <v>1732</v>
      </c>
      <c r="B1312" s="1" t="s">
        <v>1533</v>
      </c>
      <c r="C1312" s="1" t="s">
        <v>1543</v>
      </c>
      <c r="D1312" s="1" t="s">
        <v>2062</v>
      </c>
      <c r="E1312" s="1" t="s">
        <v>2063</v>
      </c>
      <c r="F1312" s="3">
        <v>45655</v>
      </c>
      <c r="G1312" s="3">
        <v>45349</v>
      </c>
      <c r="H1312" s="3">
        <v>45714</v>
      </c>
      <c r="I1312" s="1" t="s">
        <v>3628</v>
      </c>
      <c r="J1312" s="1" t="s">
        <v>3629</v>
      </c>
      <c r="K1312" s="1"/>
      <c r="L1312" s="1" t="s">
        <v>2198</v>
      </c>
      <c r="M1312" s="1" t="s">
        <v>3630</v>
      </c>
      <c r="N1312" s="1" t="s">
        <v>3631</v>
      </c>
      <c r="O1312" s="1" t="s">
        <v>3632</v>
      </c>
      <c r="P1312" s="1" t="s">
        <v>2088</v>
      </c>
      <c r="Q1312" s="1"/>
      <c r="R1312" s="1"/>
      <c r="S1312" s="1" t="s">
        <v>2072</v>
      </c>
      <c r="T1312" s="1" t="s">
        <v>3165</v>
      </c>
      <c r="U1312" s="4">
        <v>-1</v>
      </c>
      <c r="V1312" s="4">
        <v>-32200</v>
      </c>
      <c r="W1312" s="4">
        <v>-322</v>
      </c>
      <c r="X1312" s="4">
        <v>0</v>
      </c>
      <c r="Y1312" s="4">
        <v>0</v>
      </c>
      <c r="Z1312" s="5">
        <v>-32522</v>
      </c>
      <c r="AA1312" s="5">
        <v>0</v>
      </c>
      <c r="AB1312" s="6">
        <v>0</v>
      </c>
      <c r="AC1312" s="4">
        <v>-32522</v>
      </c>
      <c r="AD1312" s="4">
        <v>0</v>
      </c>
      <c r="AE1312" s="4">
        <v>-32522</v>
      </c>
      <c r="AF1312" s="1"/>
      <c r="AG1312" s="1"/>
      <c r="AH1312" s="1"/>
      <c r="AI1312" s="1" t="s">
        <v>2841</v>
      </c>
      <c r="AJ1312" s="1"/>
      <c r="AK1312" s="1"/>
      <c r="AL1312" s="1"/>
    </row>
    <row r="1313" spans="1:38" hidden="1" x14ac:dyDescent="0.25">
      <c r="A1313" s="2">
        <v>1733</v>
      </c>
      <c r="B1313" s="1" t="s">
        <v>1544</v>
      </c>
      <c r="C1313" s="1" t="s">
        <v>1545</v>
      </c>
      <c r="D1313" s="1" t="s">
        <v>2062</v>
      </c>
      <c r="E1313" s="1" t="s">
        <v>2063</v>
      </c>
      <c r="F1313" s="3">
        <v>45403</v>
      </c>
      <c r="G1313" s="3">
        <v>45343</v>
      </c>
      <c r="H1313" s="3">
        <v>45708</v>
      </c>
      <c r="I1313" s="1" t="s">
        <v>2636</v>
      </c>
      <c r="J1313" s="1" t="s">
        <v>3633</v>
      </c>
      <c r="K1313" s="1"/>
      <c r="L1313" s="1" t="s">
        <v>3634</v>
      </c>
      <c r="M1313" s="1" t="s">
        <v>3635</v>
      </c>
      <c r="N1313" s="1" t="s">
        <v>3636</v>
      </c>
      <c r="O1313" s="1" t="s">
        <v>3637</v>
      </c>
      <c r="P1313" s="1" t="s">
        <v>2095</v>
      </c>
      <c r="Q1313" s="1" t="s">
        <v>3638</v>
      </c>
      <c r="R1313" s="1"/>
      <c r="S1313" s="1" t="s">
        <v>2072</v>
      </c>
      <c r="T1313" s="1" t="s">
        <v>2073</v>
      </c>
      <c r="U1313" s="4">
        <v>12300000</v>
      </c>
      <c r="V1313" s="4">
        <v>7043</v>
      </c>
      <c r="W1313" s="4">
        <v>70</v>
      </c>
      <c r="X1313" s="4">
        <v>916</v>
      </c>
      <c r="Y1313" s="4">
        <v>0</v>
      </c>
      <c r="Z1313" s="5">
        <v>8029</v>
      </c>
      <c r="AA1313" s="5">
        <v>0</v>
      </c>
      <c r="AB1313" s="6">
        <v>0</v>
      </c>
      <c r="AC1313" s="4">
        <v>8029</v>
      </c>
      <c r="AD1313" s="4">
        <v>0</v>
      </c>
      <c r="AE1313" s="4">
        <v>8029</v>
      </c>
      <c r="AF1313" s="1"/>
      <c r="AG1313" s="1"/>
      <c r="AH1313" s="1"/>
      <c r="AI1313" s="1" t="s">
        <v>3432</v>
      </c>
      <c r="AJ1313" s="6">
        <v>476.51000000000005</v>
      </c>
      <c r="AK1313" s="6">
        <v>476.51000000000005</v>
      </c>
      <c r="AL1313" s="1"/>
    </row>
    <row r="1314" spans="1:38" hidden="1" x14ac:dyDescent="0.25">
      <c r="A1314" s="2">
        <v>1734</v>
      </c>
      <c r="B1314" s="1" t="s">
        <v>1544</v>
      </c>
      <c r="C1314" s="1" t="s">
        <v>1546</v>
      </c>
      <c r="D1314" s="1" t="s">
        <v>2062</v>
      </c>
      <c r="E1314" s="1" t="s">
        <v>2063</v>
      </c>
      <c r="F1314" s="3">
        <v>45649</v>
      </c>
      <c r="G1314" s="3">
        <v>45343</v>
      </c>
      <c r="H1314" s="3">
        <v>45708</v>
      </c>
      <c r="I1314" s="1" t="s">
        <v>2636</v>
      </c>
      <c r="J1314" s="1" t="s">
        <v>3633</v>
      </c>
      <c r="K1314" s="1"/>
      <c r="L1314" s="1" t="s">
        <v>3634</v>
      </c>
      <c r="M1314" s="1" t="s">
        <v>3635</v>
      </c>
      <c r="N1314" s="1" t="s">
        <v>3636</v>
      </c>
      <c r="O1314" s="1" t="s">
        <v>3637</v>
      </c>
      <c r="P1314" s="1" t="s">
        <v>2095</v>
      </c>
      <c r="Q1314" s="1" t="s">
        <v>3638</v>
      </c>
      <c r="R1314" s="1"/>
      <c r="S1314" s="1" t="s">
        <v>2072</v>
      </c>
      <c r="T1314" s="1" t="s">
        <v>2073</v>
      </c>
      <c r="U1314" s="4">
        <v>12300000</v>
      </c>
      <c r="V1314" s="4">
        <v>13057</v>
      </c>
      <c r="W1314" s="4">
        <v>131</v>
      </c>
      <c r="X1314" s="4">
        <v>1959</v>
      </c>
      <c r="Y1314" s="4">
        <v>0</v>
      </c>
      <c r="Z1314" s="5">
        <v>15147</v>
      </c>
      <c r="AA1314" s="5">
        <v>0</v>
      </c>
      <c r="AB1314" s="6">
        <v>0</v>
      </c>
      <c r="AC1314" s="4">
        <v>15147</v>
      </c>
      <c r="AD1314" s="4">
        <v>0</v>
      </c>
      <c r="AE1314" s="4">
        <v>15147</v>
      </c>
      <c r="AF1314" s="1"/>
      <c r="AG1314" s="1"/>
      <c r="AH1314" s="1"/>
      <c r="AI1314" s="1" t="s">
        <v>3432</v>
      </c>
      <c r="AJ1314" s="6">
        <v>1357.0400000000029</v>
      </c>
      <c r="AK1314" s="6">
        <v>899.1</v>
      </c>
      <c r="AL1314" s="1"/>
    </row>
    <row r="1315" spans="1:38" hidden="1" x14ac:dyDescent="0.25">
      <c r="A1315" s="2">
        <v>1735</v>
      </c>
      <c r="B1315" s="1" t="s">
        <v>1544</v>
      </c>
      <c r="C1315" s="1" t="s">
        <v>1547</v>
      </c>
      <c r="D1315" s="1" t="s">
        <v>2062</v>
      </c>
      <c r="E1315" s="1" t="s">
        <v>2063</v>
      </c>
      <c r="F1315" s="3">
        <v>45655</v>
      </c>
      <c r="G1315" s="3">
        <v>45343</v>
      </c>
      <c r="H1315" s="3">
        <v>45708</v>
      </c>
      <c r="I1315" s="1" t="s">
        <v>2636</v>
      </c>
      <c r="J1315" s="1" t="s">
        <v>3633</v>
      </c>
      <c r="K1315" s="1"/>
      <c r="L1315" s="1" t="s">
        <v>3634</v>
      </c>
      <c r="M1315" s="1" t="s">
        <v>3635</v>
      </c>
      <c r="N1315" s="1" t="s">
        <v>3636</v>
      </c>
      <c r="O1315" s="1" t="s">
        <v>3637</v>
      </c>
      <c r="P1315" s="1" t="s">
        <v>2095</v>
      </c>
      <c r="Q1315" s="1" t="s">
        <v>3638</v>
      </c>
      <c r="R1315" s="1"/>
      <c r="S1315" s="1" t="s">
        <v>2072</v>
      </c>
      <c r="T1315" s="1" t="s">
        <v>2073</v>
      </c>
      <c r="U1315" s="4">
        <v>-1</v>
      </c>
      <c r="V1315" s="4">
        <v>-22947</v>
      </c>
      <c r="W1315" s="4">
        <v>-229</v>
      </c>
      <c r="X1315" s="4">
        <v>0</v>
      </c>
      <c r="Y1315" s="4">
        <v>0</v>
      </c>
      <c r="Z1315" s="5">
        <v>-23176</v>
      </c>
      <c r="AA1315" s="5">
        <v>0</v>
      </c>
      <c r="AB1315" s="6">
        <v>0</v>
      </c>
      <c r="AC1315" s="4">
        <v>-23176</v>
      </c>
      <c r="AD1315" s="4">
        <v>0</v>
      </c>
      <c r="AE1315" s="4">
        <v>-23176</v>
      </c>
      <c r="AF1315" s="1"/>
      <c r="AG1315" s="1"/>
      <c r="AH1315" s="1"/>
      <c r="AI1315" s="1" t="s">
        <v>3432</v>
      </c>
      <c r="AJ1315" s="1"/>
      <c r="AK1315" s="1"/>
      <c r="AL1315" s="1"/>
    </row>
    <row r="1316" spans="1:38" hidden="1" x14ac:dyDescent="0.25">
      <c r="A1316" s="2">
        <v>1738</v>
      </c>
      <c r="B1316" s="1" t="s">
        <v>1548</v>
      </c>
      <c r="C1316" s="1" t="s">
        <v>1549</v>
      </c>
      <c r="D1316" s="1" t="s">
        <v>2062</v>
      </c>
      <c r="E1316" s="1" t="s">
        <v>2063</v>
      </c>
      <c r="F1316" s="3">
        <v>45384</v>
      </c>
      <c r="G1316" s="3">
        <v>45351</v>
      </c>
      <c r="H1316" s="3">
        <v>45716</v>
      </c>
      <c r="I1316" s="1" t="s">
        <v>3639</v>
      </c>
      <c r="J1316" s="1" t="s">
        <v>3640</v>
      </c>
      <c r="K1316" s="1"/>
      <c r="L1316" s="1" t="s">
        <v>2443</v>
      </c>
      <c r="M1316" s="1" t="s">
        <v>3641</v>
      </c>
      <c r="N1316" s="1" t="s">
        <v>3642</v>
      </c>
      <c r="O1316" s="1" t="s">
        <v>3643</v>
      </c>
      <c r="P1316" s="1" t="s">
        <v>2182</v>
      </c>
      <c r="Q1316" s="1"/>
      <c r="R1316" s="1"/>
      <c r="S1316" s="1" t="s">
        <v>2072</v>
      </c>
      <c r="T1316" s="1" t="s">
        <v>3165</v>
      </c>
      <c r="U1316" s="4">
        <v>4200000</v>
      </c>
      <c r="V1316" s="4">
        <v>5324</v>
      </c>
      <c r="W1316" s="4">
        <v>54</v>
      </c>
      <c r="X1316" s="4">
        <v>693</v>
      </c>
      <c r="Y1316" s="4">
        <v>0</v>
      </c>
      <c r="Z1316" s="5">
        <v>6071</v>
      </c>
      <c r="AA1316" s="5">
        <v>0</v>
      </c>
      <c r="AB1316" s="6">
        <v>0</v>
      </c>
      <c r="AC1316" s="4">
        <v>6071</v>
      </c>
      <c r="AD1316" s="4">
        <v>0</v>
      </c>
      <c r="AE1316" s="4">
        <v>6071</v>
      </c>
      <c r="AF1316" s="1"/>
      <c r="AG1316" s="1"/>
      <c r="AH1316" s="1"/>
      <c r="AI1316" s="1" t="s">
        <v>2327</v>
      </c>
      <c r="AJ1316" s="6">
        <v>2280.5300000000343</v>
      </c>
      <c r="AK1316" s="6">
        <v>1054.98</v>
      </c>
      <c r="AL1316" s="1"/>
    </row>
    <row r="1317" spans="1:38" hidden="1" x14ac:dyDescent="0.25">
      <c r="A1317" s="2">
        <v>1739</v>
      </c>
      <c r="B1317" s="1" t="s">
        <v>1548</v>
      </c>
      <c r="C1317" s="1" t="s">
        <v>1550</v>
      </c>
      <c r="D1317" s="1" t="s">
        <v>2062</v>
      </c>
      <c r="E1317" s="1" t="s">
        <v>2063</v>
      </c>
      <c r="F1317" s="3">
        <v>45412</v>
      </c>
      <c r="G1317" s="3">
        <v>45351</v>
      </c>
      <c r="H1317" s="3">
        <v>45716</v>
      </c>
      <c r="I1317" s="1" t="s">
        <v>3639</v>
      </c>
      <c r="J1317" s="1" t="s">
        <v>3640</v>
      </c>
      <c r="K1317" s="1"/>
      <c r="L1317" s="1" t="s">
        <v>2443</v>
      </c>
      <c r="M1317" s="1" t="s">
        <v>3641</v>
      </c>
      <c r="N1317" s="1" t="s">
        <v>3642</v>
      </c>
      <c r="O1317" s="1" t="s">
        <v>3643</v>
      </c>
      <c r="P1317" s="1" t="s">
        <v>2182</v>
      </c>
      <c r="Q1317" s="1"/>
      <c r="R1317" s="1"/>
      <c r="S1317" s="1" t="s">
        <v>2072</v>
      </c>
      <c r="T1317" s="1" t="s">
        <v>3165</v>
      </c>
      <c r="U1317" s="4">
        <v>4200000</v>
      </c>
      <c r="V1317" s="4">
        <v>5477</v>
      </c>
      <c r="W1317" s="4">
        <v>54</v>
      </c>
      <c r="X1317" s="4">
        <v>712</v>
      </c>
      <c r="Y1317" s="4">
        <v>0</v>
      </c>
      <c r="Z1317" s="5">
        <v>6243</v>
      </c>
      <c r="AA1317" s="5">
        <v>0</v>
      </c>
      <c r="AB1317" s="6">
        <v>0</v>
      </c>
      <c r="AC1317" s="4">
        <v>6243</v>
      </c>
      <c r="AD1317" s="4">
        <v>0</v>
      </c>
      <c r="AE1317" s="4">
        <v>6243</v>
      </c>
      <c r="AF1317" s="1"/>
      <c r="AG1317" s="1"/>
      <c r="AH1317" s="1"/>
      <c r="AI1317" s="1" t="s">
        <v>2327</v>
      </c>
      <c r="AJ1317" s="6">
        <v>2107.5500000000102</v>
      </c>
      <c r="AK1317" s="6">
        <v>1084.78</v>
      </c>
      <c r="AL1317" s="1"/>
    </row>
    <row r="1318" spans="1:38" hidden="1" x14ac:dyDescent="0.25">
      <c r="A1318" s="2">
        <v>1740</v>
      </c>
      <c r="B1318" s="1" t="s">
        <v>1548</v>
      </c>
      <c r="C1318" s="1" t="s">
        <v>1551</v>
      </c>
      <c r="D1318" s="1" t="s">
        <v>2062</v>
      </c>
      <c r="E1318" s="1" t="s">
        <v>2063</v>
      </c>
      <c r="F1318" s="3">
        <v>45443</v>
      </c>
      <c r="G1318" s="3">
        <v>45351</v>
      </c>
      <c r="H1318" s="3">
        <v>45716</v>
      </c>
      <c r="I1318" s="1" t="s">
        <v>3639</v>
      </c>
      <c r="J1318" s="1" t="s">
        <v>3640</v>
      </c>
      <c r="K1318" s="1"/>
      <c r="L1318" s="1" t="s">
        <v>2443</v>
      </c>
      <c r="M1318" s="1" t="s">
        <v>3641</v>
      </c>
      <c r="N1318" s="1" t="s">
        <v>3642</v>
      </c>
      <c r="O1318" s="1" t="s">
        <v>3643</v>
      </c>
      <c r="P1318" s="1" t="s">
        <v>2182</v>
      </c>
      <c r="Q1318" s="1"/>
      <c r="R1318" s="1"/>
      <c r="S1318" s="1" t="s">
        <v>2072</v>
      </c>
      <c r="T1318" s="1" t="s">
        <v>3165</v>
      </c>
      <c r="U1318" s="4">
        <v>4200000</v>
      </c>
      <c r="V1318" s="4">
        <v>6320</v>
      </c>
      <c r="W1318" s="4">
        <v>64</v>
      </c>
      <c r="X1318" s="4">
        <v>821</v>
      </c>
      <c r="Y1318" s="4">
        <v>0</v>
      </c>
      <c r="Z1318" s="5">
        <v>7205</v>
      </c>
      <c r="AA1318" s="5">
        <v>0</v>
      </c>
      <c r="AB1318" s="6">
        <v>0</v>
      </c>
      <c r="AC1318" s="4">
        <v>7205</v>
      </c>
      <c r="AD1318" s="4">
        <v>0</v>
      </c>
      <c r="AE1318" s="4">
        <v>7205</v>
      </c>
      <c r="AF1318" s="1"/>
      <c r="AG1318" s="1"/>
      <c r="AH1318" s="1"/>
      <c r="AI1318" s="1" t="s">
        <v>2327</v>
      </c>
      <c r="AJ1318" s="6">
        <v>2213.5900000000252</v>
      </c>
      <c r="AK1318" s="6">
        <v>1252.5</v>
      </c>
      <c r="AL1318" s="1"/>
    </row>
    <row r="1319" spans="1:38" hidden="1" x14ac:dyDescent="0.25">
      <c r="A1319" s="2">
        <v>1741</v>
      </c>
      <c r="B1319" s="1" t="s">
        <v>1548</v>
      </c>
      <c r="C1319" s="1" t="s">
        <v>1552</v>
      </c>
      <c r="D1319" s="1" t="s">
        <v>2062</v>
      </c>
      <c r="E1319" s="1" t="s">
        <v>2063</v>
      </c>
      <c r="F1319" s="3">
        <v>45474</v>
      </c>
      <c r="G1319" s="3">
        <v>45351</v>
      </c>
      <c r="H1319" s="3">
        <v>45716</v>
      </c>
      <c r="I1319" s="1" t="s">
        <v>3639</v>
      </c>
      <c r="J1319" s="1" t="s">
        <v>3640</v>
      </c>
      <c r="K1319" s="1"/>
      <c r="L1319" s="1" t="s">
        <v>2443</v>
      </c>
      <c r="M1319" s="1" t="s">
        <v>3641</v>
      </c>
      <c r="N1319" s="1" t="s">
        <v>3642</v>
      </c>
      <c r="O1319" s="1" t="s">
        <v>3643</v>
      </c>
      <c r="P1319" s="1" t="s">
        <v>2182</v>
      </c>
      <c r="Q1319" s="1"/>
      <c r="R1319" s="1"/>
      <c r="S1319" s="1" t="s">
        <v>2072</v>
      </c>
      <c r="T1319" s="1" t="s">
        <v>3165</v>
      </c>
      <c r="U1319" s="4">
        <v>4200000</v>
      </c>
      <c r="V1319" s="4">
        <v>5496</v>
      </c>
      <c r="W1319" s="4">
        <v>55</v>
      </c>
      <c r="X1319" s="4">
        <v>715</v>
      </c>
      <c r="Y1319" s="4">
        <v>0</v>
      </c>
      <c r="Z1319" s="5">
        <v>6266</v>
      </c>
      <c r="AA1319" s="5">
        <v>0</v>
      </c>
      <c r="AB1319" s="6">
        <v>0</v>
      </c>
      <c r="AC1319" s="4">
        <v>6266</v>
      </c>
      <c r="AD1319" s="4">
        <v>0</v>
      </c>
      <c r="AE1319" s="4">
        <v>6266</v>
      </c>
      <c r="AF1319" s="1"/>
      <c r="AG1319" s="1"/>
      <c r="AH1319" s="1"/>
      <c r="AI1319" s="1" t="s">
        <v>2327</v>
      </c>
      <c r="AJ1319" s="6">
        <v>1704.2000000000021</v>
      </c>
      <c r="AK1319" s="6">
        <v>1088.8900000000001</v>
      </c>
      <c r="AL1319" s="1"/>
    </row>
    <row r="1320" spans="1:38" hidden="1" x14ac:dyDescent="0.25">
      <c r="A1320" s="2">
        <v>1742</v>
      </c>
      <c r="B1320" s="1" t="s">
        <v>1548</v>
      </c>
      <c r="C1320" s="1" t="s">
        <v>1553</v>
      </c>
      <c r="D1320" s="1" t="s">
        <v>2062</v>
      </c>
      <c r="E1320" s="1" t="s">
        <v>2063</v>
      </c>
      <c r="F1320" s="3">
        <v>45506</v>
      </c>
      <c r="G1320" s="3">
        <v>45351</v>
      </c>
      <c r="H1320" s="3">
        <v>45716</v>
      </c>
      <c r="I1320" s="1" t="s">
        <v>3639</v>
      </c>
      <c r="J1320" s="1" t="s">
        <v>3640</v>
      </c>
      <c r="K1320" s="1"/>
      <c r="L1320" s="1" t="s">
        <v>2443</v>
      </c>
      <c r="M1320" s="1" t="s">
        <v>3641</v>
      </c>
      <c r="N1320" s="1" t="s">
        <v>3642</v>
      </c>
      <c r="O1320" s="1" t="s">
        <v>3643</v>
      </c>
      <c r="P1320" s="1" t="s">
        <v>2182</v>
      </c>
      <c r="Q1320" s="1"/>
      <c r="R1320" s="1"/>
      <c r="S1320" s="1" t="s">
        <v>2072</v>
      </c>
      <c r="T1320" s="1" t="s">
        <v>3165</v>
      </c>
      <c r="U1320" s="4">
        <v>4200000</v>
      </c>
      <c r="V1320" s="4">
        <v>5161</v>
      </c>
      <c r="W1320" s="4">
        <v>52</v>
      </c>
      <c r="X1320" s="4">
        <v>774</v>
      </c>
      <c r="Y1320" s="4">
        <v>0</v>
      </c>
      <c r="Z1320" s="5">
        <v>5987</v>
      </c>
      <c r="AA1320" s="5">
        <v>0</v>
      </c>
      <c r="AB1320" s="6">
        <v>0</v>
      </c>
      <c r="AC1320" s="4">
        <v>5987</v>
      </c>
      <c r="AD1320" s="4">
        <v>0</v>
      </c>
      <c r="AE1320" s="4">
        <v>5987</v>
      </c>
      <c r="AF1320" s="1"/>
      <c r="AG1320" s="1"/>
      <c r="AH1320" s="1"/>
      <c r="AI1320" s="1" t="s">
        <v>2327</v>
      </c>
      <c r="AJ1320" s="6">
        <v>2355.4900000000202</v>
      </c>
      <c r="AK1320" s="6">
        <v>1040.46</v>
      </c>
      <c r="AL1320" s="1"/>
    </row>
    <row r="1321" spans="1:38" hidden="1" x14ac:dyDescent="0.25">
      <c r="A1321" s="2">
        <v>1743</v>
      </c>
      <c r="B1321" s="1" t="s">
        <v>1548</v>
      </c>
      <c r="C1321" s="1" t="s">
        <v>1554</v>
      </c>
      <c r="D1321" s="1" t="s">
        <v>2062</v>
      </c>
      <c r="E1321" s="1" t="s">
        <v>2063</v>
      </c>
      <c r="F1321" s="3">
        <v>45539</v>
      </c>
      <c r="G1321" s="3">
        <v>45351</v>
      </c>
      <c r="H1321" s="3">
        <v>45716</v>
      </c>
      <c r="I1321" s="1" t="s">
        <v>3639</v>
      </c>
      <c r="J1321" s="1" t="s">
        <v>3640</v>
      </c>
      <c r="K1321" s="1"/>
      <c r="L1321" s="1" t="s">
        <v>2443</v>
      </c>
      <c r="M1321" s="1" t="s">
        <v>3641</v>
      </c>
      <c r="N1321" s="1" t="s">
        <v>3642</v>
      </c>
      <c r="O1321" s="1" t="s">
        <v>3643</v>
      </c>
      <c r="P1321" s="1" t="s">
        <v>2182</v>
      </c>
      <c r="Q1321" s="1"/>
      <c r="R1321" s="1"/>
      <c r="S1321" s="1" t="s">
        <v>2072</v>
      </c>
      <c r="T1321" s="1" t="s">
        <v>3165</v>
      </c>
      <c r="U1321" s="4">
        <v>4200000</v>
      </c>
      <c r="V1321" s="4">
        <v>5447</v>
      </c>
      <c r="W1321" s="4">
        <v>54</v>
      </c>
      <c r="X1321" s="4">
        <v>817</v>
      </c>
      <c r="Y1321" s="4">
        <v>0</v>
      </c>
      <c r="Z1321" s="5">
        <v>6318</v>
      </c>
      <c r="AA1321" s="5">
        <v>0</v>
      </c>
      <c r="AB1321" s="6">
        <v>0</v>
      </c>
      <c r="AC1321" s="4">
        <v>6318</v>
      </c>
      <c r="AD1321" s="4">
        <v>0</v>
      </c>
      <c r="AE1321" s="4">
        <v>6318</v>
      </c>
      <c r="AF1321" s="1"/>
      <c r="AG1321" s="1"/>
      <c r="AH1321" s="1"/>
      <c r="AI1321" s="1" t="s">
        <v>2327</v>
      </c>
      <c r="AJ1321" s="6">
        <v>1777.0600000000022</v>
      </c>
      <c r="AK1321" s="6">
        <v>1098.17</v>
      </c>
      <c r="AL1321" s="1"/>
    </row>
    <row r="1322" spans="1:38" hidden="1" x14ac:dyDescent="0.25">
      <c r="A1322" s="2">
        <v>1744</v>
      </c>
      <c r="B1322" s="1" t="s">
        <v>1548</v>
      </c>
      <c r="C1322" s="1" t="s">
        <v>1555</v>
      </c>
      <c r="D1322" s="1" t="s">
        <v>2062</v>
      </c>
      <c r="E1322" s="1" t="s">
        <v>2063</v>
      </c>
      <c r="F1322" s="3">
        <v>45570</v>
      </c>
      <c r="G1322" s="3">
        <v>45351</v>
      </c>
      <c r="H1322" s="3">
        <v>45716</v>
      </c>
      <c r="I1322" s="1" t="s">
        <v>3639</v>
      </c>
      <c r="J1322" s="1" t="s">
        <v>3640</v>
      </c>
      <c r="K1322" s="1"/>
      <c r="L1322" s="1" t="s">
        <v>2443</v>
      </c>
      <c r="M1322" s="1" t="s">
        <v>3641</v>
      </c>
      <c r="N1322" s="1" t="s">
        <v>3642</v>
      </c>
      <c r="O1322" s="1" t="s">
        <v>3643</v>
      </c>
      <c r="P1322" s="1" t="s">
        <v>2182</v>
      </c>
      <c r="Q1322" s="1"/>
      <c r="R1322" s="1"/>
      <c r="S1322" s="1" t="s">
        <v>2072</v>
      </c>
      <c r="T1322" s="1" t="s">
        <v>3165</v>
      </c>
      <c r="U1322" s="4">
        <v>4200000</v>
      </c>
      <c r="V1322" s="4">
        <v>5103</v>
      </c>
      <c r="W1322" s="4">
        <v>51</v>
      </c>
      <c r="X1322" s="4">
        <v>765</v>
      </c>
      <c r="Y1322" s="4">
        <v>0</v>
      </c>
      <c r="Z1322" s="5">
        <v>5919</v>
      </c>
      <c r="AA1322" s="5">
        <v>0</v>
      </c>
      <c r="AB1322" s="6">
        <v>0</v>
      </c>
      <c r="AC1322" s="4">
        <v>5919</v>
      </c>
      <c r="AD1322" s="4">
        <v>0</v>
      </c>
      <c r="AE1322" s="4">
        <v>5919</v>
      </c>
      <c r="AF1322" s="1"/>
      <c r="AG1322" s="1"/>
      <c r="AH1322" s="1"/>
      <c r="AI1322" s="1" t="s">
        <v>2327</v>
      </c>
      <c r="AJ1322" s="6">
        <v>2114.9100000000244</v>
      </c>
      <c r="AK1322" s="6">
        <v>1028.3600000000001</v>
      </c>
      <c r="AL1322" s="1"/>
    </row>
    <row r="1323" spans="1:38" hidden="1" x14ac:dyDescent="0.25">
      <c r="A1323" s="2">
        <v>1745</v>
      </c>
      <c r="B1323" s="1" t="s">
        <v>1548</v>
      </c>
      <c r="C1323" s="1" t="s">
        <v>1556</v>
      </c>
      <c r="D1323" s="1" t="s">
        <v>2062</v>
      </c>
      <c r="E1323" s="1" t="s">
        <v>2063</v>
      </c>
      <c r="F1323" s="3">
        <v>45598</v>
      </c>
      <c r="G1323" s="3">
        <v>45351</v>
      </c>
      <c r="H1323" s="3">
        <v>45716</v>
      </c>
      <c r="I1323" s="1" t="s">
        <v>3639</v>
      </c>
      <c r="J1323" s="1" t="s">
        <v>3640</v>
      </c>
      <c r="K1323" s="1"/>
      <c r="L1323" s="1" t="s">
        <v>2443</v>
      </c>
      <c r="M1323" s="1" t="s">
        <v>3641</v>
      </c>
      <c r="N1323" s="1" t="s">
        <v>3642</v>
      </c>
      <c r="O1323" s="1" t="s">
        <v>3643</v>
      </c>
      <c r="P1323" s="1" t="s">
        <v>2182</v>
      </c>
      <c r="Q1323" s="1"/>
      <c r="R1323" s="1"/>
      <c r="S1323" s="1" t="s">
        <v>2072</v>
      </c>
      <c r="T1323" s="1" t="s">
        <v>3165</v>
      </c>
      <c r="U1323" s="4">
        <v>4200000</v>
      </c>
      <c r="V1323" s="4">
        <v>5690</v>
      </c>
      <c r="W1323" s="4">
        <v>57</v>
      </c>
      <c r="X1323" s="4">
        <v>853</v>
      </c>
      <c r="Y1323" s="4">
        <v>0</v>
      </c>
      <c r="Z1323" s="5">
        <v>6600</v>
      </c>
      <c r="AA1323" s="5">
        <v>0</v>
      </c>
      <c r="AB1323" s="6">
        <v>0</v>
      </c>
      <c r="AC1323" s="4">
        <v>6600</v>
      </c>
      <c r="AD1323" s="4">
        <v>0</v>
      </c>
      <c r="AE1323" s="4">
        <v>6600</v>
      </c>
      <c r="AF1323" s="1"/>
      <c r="AG1323" s="1"/>
      <c r="AH1323" s="1"/>
      <c r="AI1323" s="1" t="s">
        <v>2327</v>
      </c>
      <c r="AJ1323" s="6">
        <v>2178.52000000001</v>
      </c>
      <c r="AK1323" s="6">
        <v>1146.75</v>
      </c>
      <c r="AL1323" s="1"/>
    </row>
    <row r="1324" spans="1:38" hidden="1" x14ac:dyDescent="0.25">
      <c r="A1324" s="2">
        <v>1746</v>
      </c>
      <c r="B1324" s="1" t="s">
        <v>1548</v>
      </c>
      <c r="C1324" s="1" t="s">
        <v>1557</v>
      </c>
      <c r="D1324" s="1" t="s">
        <v>2062</v>
      </c>
      <c r="E1324" s="1" t="s">
        <v>2063</v>
      </c>
      <c r="F1324" s="3">
        <v>45628</v>
      </c>
      <c r="G1324" s="3">
        <v>45351</v>
      </c>
      <c r="H1324" s="3">
        <v>45716</v>
      </c>
      <c r="I1324" s="1" t="s">
        <v>3639</v>
      </c>
      <c r="J1324" s="1" t="s">
        <v>3640</v>
      </c>
      <c r="K1324" s="1"/>
      <c r="L1324" s="1" t="s">
        <v>2443</v>
      </c>
      <c r="M1324" s="1" t="s">
        <v>3641</v>
      </c>
      <c r="N1324" s="1" t="s">
        <v>3642</v>
      </c>
      <c r="O1324" s="1" t="s">
        <v>3643</v>
      </c>
      <c r="P1324" s="1" t="s">
        <v>2182</v>
      </c>
      <c r="Q1324" s="1"/>
      <c r="R1324" s="1"/>
      <c r="S1324" s="1" t="s">
        <v>2072</v>
      </c>
      <c r="T1324" s="1" t="s">
        <v>3165</v>
      </c>
      <c r="U1324" s="4">
        <v>4200000</v>
      </c>
      <c r="V1324" s="4">
        <v>5444</v>
      </c>
      <c r="W1324" s="4">
        <v>54</v>
      </c>
      <c r="X1324" s="4">
        <v>817</v>
      </c>
      <c r="Y1324" s="4">
        <v>0</v>
      </c>
      <c r="Z1324" s="5">
        <v>6315</v>
      </c>
      <c r="AA1324" s="5">
        <v>0</v>
      </c>
      <c r="AB1324" s="6">
        <v>0</v>
      </c>
      <c r="AC1324" s="4">
        <v>6315</v>
      </c>
      <c r="AD1324" s="4">
        <v>0</v>
      </c>
      <c r="AE1324" s="4">
        <v>6315</v>
      </c>
      <c r="AF1324" s="1"/>
      <c r="AG1324" s="1"/>
      <c r="AH1324" s="1"/>
      <c r="AI1324" s="1" t="s">
        <v>2327</v>
      </c>
      <c r="AJ1324" s="6">
        <v>1787.249999999995</v>
      </c>
      <c r="AK1324" s="6">
        <v>1097.3</v>
      </c>
      <c r="AL1324" s="1"/>
    </row>
    <row r="1325" spans="1:38" hidden="1" x14ac:dyDescent="0.25">
      <c r="A1325" s="2">
        <v>1747</v>
      </c>
      <c r="B1325" s="1" t="s">
        <v>1548</v>
      </c>
      <c r="C1325" s="1" t="s">
        <v>1558</v>
      </c>
      <c r="D1325" s="1" t="s">
        <v>2062</v>
      </c>
      <c r="E1325" s="1" t="s">
        <v>2063</v>
      </c>
      <c r="F1325" s="3">
        <v>45655</v>
      </c>
      <c r="G1325" s="3">
        <v>45351</v>
      </c>
      <c r="H1325" s="3">
        <v>45716</v>
      </c>
      <c r="I1325" s="1" t="s">
        <v>3639</v>
      </c>
      <c r="J1325" s="1" t="s">
        <v>3640</v>
      </c>
      <c r="K1325" s="1"/>
      <c r="L1325" s="1" t="s">
        <v>2443</v>
      </c>
      <c r="M1325" s="1" t="s">
        <v>3641</v>
      </c>
      <c r="N1325" s="1" t="s">
        <v>3642</v>
      </c>
      <c r="O1325" s="1" t="s">
        <v>3643</v>
      </c>
      <c r="P1325" s="1" t="s">
        <v>2182</v>
      </c>
      <c r="Q1325" s="1"/>
      <c r="R1325" s="1"/>
      <c r="S1325" s="1" t="s">
        <v>2072</v>
      </c>
      <c r="T1325" s="1" t="s">
        <v>3165</v>
      </c>
      <c r="U1325" s="4">
        <v>-1</v>
      </c>
      <c r="V1325" s="4">
        <v>-56360</v>
      </c>
      <c r="W1325" s="4">
        <v>-564</v>
      </c>
      <c r="X1325" s="4">
        <v>0</v>
      </c>
      <c r="Y1325" s="4">
        <v>0</v>
      </c>
      <c r="Z1325" s="5">
        <v>-56924</v>
      </c>
      <c r="AA1325" s="5">
        <v>0</v>
      </c>
      <c r="AB1325" s="6">
        <v>0</v>
      </c>
      <c r="AC1325" s="4">
        <v>-56924</v>
      </c>
      <c r="AD1325" s="4">
        <v>0</v>
      </c>
      <c r="AE1325" s="4">
        <v>-56924</v>
      </c>
      <c r="AF1325" s="1"/>
      <c r="AG1325" s="1"/>
      <c r="AH1325" s="1"/>
      <c r="AI1325" s="1" t="s">
        <v>2327</v>
      </c>
      <c r="AJ1325" s="1"/>
      <c r="AK1325" s="1"/>
      <c r="AL1325" s="1"/>
    </row>
    <row r="1326" spans="1:38" hidden="1" x14ac:dyDescent="0.25">
      <c r="A1326" s="2">
        <v>1765</v>
      </c>
      <c r="B1326" s="1" t="s">
        <v>1559</v>
      </c>
      <c r="C1326" s="1" t="s">
        <v>1560</v>
      </c>
      <c r="D1326" s="1" t="s">
        <v>2062</v>
      </c>
      <c r="E1326" s="1" t="s">
        <v>2063</v>
      </c>
      <c r="F1326" s="3">
        <v>45457</v>
      </c>
      <c r="G1326" s="3">
        <v>45365</v>
      </c>
      <c r="H1326" s="3">
        <v>45729</v>
      </c>
      <c r="I1326" s="1" t="s">
        <v>3233</v>
      </c>
      <c r="J1326" s="1" t="s">
        <v>3644</v>
      </c>
      <c r="K1326" s="1"/>
      <c r="L1326" s="1" t="s">
        <v>2299</v>
      </c>
      <c r="M1326" s="1" t="s">
        <v>3645</v>
      </c>
      <c r="N1326" s="1" t="s">
        <v>3646</v>
      </c>
      <c r="O1326" s="1" t="s">
        <v>3647</v>
      </c>
      <c r="P1326" s="1" t="s">
        <v>2088</v>
      </c>
      <c r="Q1326" s="1"/>
      <c r="R1326" s="1"/>
      <c r="S1326" s="1" t="s">
        <v>2072</v>
      </c>
      <c r="T1326" s="1" t="s">
        <v>2073</v>
      </c>
      <c r="U1326" s="4">
        <v>2700000</v>
      </c>
      <c r="V1326" s="4">
        <v>2231</v>
      </c>
      <c r="W1326" s="4">
        <v>22</v>
      </c>
      <c r="X1326" s="4">
        <v>290</v>
      </c>
      <c r="Y1326" s="4">
        <v>0</v>
      </c>
      <c r="Z1326" s="5">
        <v>2543</v>
      </c>
      <c r="AA1326" s="5">
        <v>0</v>
      </c>
      <c r="AB1326" s="6">
        <v>0</v>
      </c>
      <c r="AC1326" s="4">
        <v>2543</v>
      </c>
      <c r="AD1326" s="4">
        <v>0</v>
      </c>
      <c r="AE1326" s="4">
        <v>2543</v>
      </c>
      <c r="AF1326" s="1"/>
      <c r="AG1326" s="1"/>
      <c r="AH1326" s="1"/>
      <c r="AI1326" s="1" t="s">
        <v>3432</v>
      </c>
      <c r="AJ1326" s="6">
        <v>1081.68</v>
      </c>
      <c r="AK1326" s="6">
        <v>687.87</v>
      </c>
      <c r="AL1326" s="1"/>
    </row>
    <row r="1327" spans="1:38" hidden="1" x14ac:dyDescent="0.25">
      <c r="A1327" s="2">
        <v>1766</v>
      </c>
      <c r="B1327" s="1" t="s">
        <v>1559</v>
      </c>
      <c r="C1327" s="1" t="s">
        <v>1561</v>
      </c>
      <c r="D1327" s="1" t="s">
        <v>2062</v>
      </c>
      <c r="E1327" s="1" t="s">
        <v>2063</v>
      </c>
      <c r="F1327" s="3">
        <v>45596</v>
      </c>
      <c r="G1327" s="3">
        <v>45365</v>
      </c>
      <c r="H1327" s="3">
        <v>45729</v>
      </c>
      <c r="I1327" s="1" t="s">
        <v>3233</v>
      </c>
      <c r="J1327" s="1" t="s">
        <v>3644</v>
      </c>
      <c r="K1327" s="1"/>
      <c r="L1327" s="1" t="s">
        <v>2299</v>
      </c>
      <c r="M1327" s="1" t="s">
        <v>3645</v>
      </c>
      <c r="N1327" s="1" t="s">
        <v>3646</v>
      </c>
      <c r="O1327" s="1" t="s">
        <v>3647</v>
      </c>
      <c r="P1327" s="1" t="s">
        <v>2088</v>
      </c>
      <c r="Q1327" s="1"/>
      <c r="R1327" s="1"/>
      <c r="S1327" s="1" t="s">
        <v>2072</v>
      </c>
      <c r="T1327" s="1" t="s">
        <v>2073</v>
      </c>
      <c r="U1327" s="4">
        <v>-1</v>
      </c>
      <c r="V1327" s="4">
        <v>-2518</v>
      </c>
      <c r="W1327" s="4">
        <v>-25</v>
      </c>
      <c r="X1327" s="4">
        <v>0</v>
      </c>
      <c r="Y1327" s="4">
        <v>0</v>
      </c>
      <c r="Z1327" s="5">
        <v>-2543</v>
      </c>
      <c r="AA1327" s="5">
        <v>0</v>
      </c>
      <c r="AB1327" s="6">
        <v>0</v>
      </c>
      <c r="AC1327" s="4">
        <v>-2543</v>
      </c>
      <c r="AD1327" s="4">
        <v>0</v>
      </c>
      <c r="AE1327" s="4">
        <v>-2543</v>
      </c>
      <c r="AF1327" s="1"/>
      <c r="AG1327" s="1"/>
      <c r="AH1327" s="1"/>
      <c r="AI1327" s="1" t="s">
        <v>3432</v>
      </c>
      <c r="AJ1327" s="1"/>
      <c r="AK1327" s="1"/>
      <c r="AL1327" s="1"/>
    </row>
    <row r="1328" spans="1:38" x14ac:dyDescent="0.25">
      <c r="A1328" s="2">
        <v>1768</v>
      </c>
      <c r="B1328" s="1" t="s">
        <v>1562</v>
      </c>
      <c r="C1328" s="1"/>
      <c r="D1328" s="1" t="s">
        <v>2062</v>
      </c>
      <c r="E1328" s="1" t="s">
        <v>2063</v>
      </c>
      <c r="F1328" s="3">
        <v>45364</v>
      </c>
      <c r="G1328" s="3">
        <v>45364</v>
      </c>
      <c r="H1328" s="3">
        <v>45728</v>
      </c>
      <c r="I1328" s="1" t="s">
        <v>3648</v>
      </c>
      <c r="J1328" s="1" t="s">
        <v>3649</v>
      </c>
      <c r="K1328" s="1"/>
      <c r="L1328" s="1" t="s">
        <v>2085</v>
      </c>
      <c r="M1328" s="1" t="s">
        <v>3650</v>
      </c>
      <c r="N1328" s="1" t="s">
        <v>3651</v>
      </c>
      <c r="O1328" s="1" t="s">
        <v>3652</v>
      </c>
      <c r="P1328" s="1" t="s">
        <v>2095</v>
      </c>
      <c r="Q1328" s="1"/>
      <c r="R1328" s="1"/>
      <c r="S1328" s="1" t="s">
        <v>2072</v>
      </c>
      <c r="T1328" s="1" t="s">
        <v>3165</v>
      </c>
      <c r="U1328" s="4">
        <v>-1</v>
      </c>
      <c r="V1328" s="4">
        <v>4386</v>
      </c>
      <c r="W1328" s="4">
        <v>44</v>
      </c>
      <c r="X1328" s="4">
        <v>570</v>
      </c>
      <c r="Y1328" s="4">
        <v>0</v>
      </c>
      <c r="Z1328" s="5">
        <v>5000</v>
      </c>
      <c r="AA1328" s="5">
        <v>5001</v>
      </c>
      <c r="AB1328" s="6">
        <v>0</v>
      </c>
      <c r="AC1328" s="4">
        <v>-1</v>
      </c>
      <c r="AD1328" s="4">
        <v>0</v>
      </c>
      <c r="AE1328" s="4">
        <v>-1</v>
      </c>
      <c r="AF1328" s="1"/>
      <c r="AG1328" s="1"/>
      <c r="AH1328" s="1"/>
      <c r="AI1328" s="1" t="s">
        <v>2327</v>
      </c>
      <c r="AJ1328" s="1"/>
      <c r="AK1328" s="1"/>
      <c r="AL1328" s="1" t="s">
        <v>3653</v>
      </c>
    </row>
    <row r="1329" spans="1:38" hidden="1" x14ac:dyDescent="0.25">
      <c r="A1329" s="2">
        <v>1769</v>
      </c>
      <c r="B1329" s="1" t="s">
        <v>1562</v>
      </c>
      <c r="C1329" s="1" t="s">
        <v>1563</v>
      </c>
      <c r="D1329" s="1" t="s">
        <v>2062</v>
      </c>
      <c r="E1329" s="1" t="s">
        <v>2063</v>
      </c>
      <c r="F1329" s="3">
        <v>45560</v>
      </c>
      <c r="G1329" s="3">
        <v>45364</v>
      </c>
      <c r="H1329" s="3">
        <v>45728</v>
      </c>
      <c r="I1329" s="1" t="s">
        <v>3648</v>
      </c>
      <c r="J1329" s="1" t="s">
        <v>3649</v>
      </c>
      <c r="K1329" s="1"/>
      <c r="L1329" s="1" t="s">
        <v>2085</v>
      </c>
      <c r="M1329" s="1" t="s">
        <v>3650</v>
      </c>
      <c r="N1329" s="1" t="s">
        <v>3651</v>
      </c>
      <c r="O1329" s="1" t="s">
        <v>3652</v>
      </c>
      <c r="P1329" s="1" t="s">
        <v>2095</v>
      </c>
      <c r="Q1329" s="1"/>
      <c r="R1329" s="1"/>
      <c r="S1329" s="1" t="s">
        <v>2072</v>
      </c>
      <c r="T1329" s="1" t="s">
        <v>3165</v>
      </c>
      <c r="U1329" s="4">
        <v>-1</v>
      </c>
      <c r="V1329" s="4">
        <v>63557</v>
      </c>
      <c r="W1329" s="4">
        <v>636</v>
      </c>
      <c r="X1329" s="4">
        <v>9534</v>
      </c>
      <c r="Y1329" s="4">
        <v>0</v>
      </c>
      <c r="Z1329" s="5">
        <v>73727</v>
      </c>
      <c r="AA1329" s="5">
        <v>73726</v>
      </c>
      <c r="AB1329" s="6">
        <v>0</v>
      </c>
      <c r="AC1329" s="4">
        <v>1</v>
      </c>
      <c r="AD1329" s="4">
        <v>0</v>
      </c>
      <c r="AE1329" s="4">
        <v>1</v>
      </c>
      <c r="AF1329" s="1"/>
      <c r="AG1329" s="1"/>
      <c r="AH1329" s="1"/>
      <c r="AI1329" s="1" t="s">
        <v>2327</v>
      </c>
      <c r="AJ1329" s="1"/>
      <c r="AK1329" s="1"/>
      <c r="AL1329" s="1" t="s">
        <v>3653</v>
      </c>
    </row>
    <row r="1330" spans="1:38" hidden="1" x14ac:dyDescent="0.25">
      <c r="A1330" s="2">
        <v>1770</v>
      </c>
      <c r="B1330" s="1" t="s">
        <v>1564</v>
      </c>
      <c r="C1330" s="1" t="s">
        <v>1565</v>
      </c>
      <c r="D1330" s="1" t="s">
        <v>2062</v>
      </c>
      <c r="E1330" s="1" t="s">
        <v>2063</v>
      </c>
      <c r="F1330" s="3">
        <v>45586</v>
      </c>
      <c r="G1330" s="3">
        <v>45367</v>
      </c>
      <c r="H1330" s="3">
        <v>45731</v>
      </c>
      <c r="I1330" s="1" t="s">
        <v>3654</v>
      </c>
      <c r="J1330" s="1" t="s">
        <v>3655</v>
      </c>
      <c r="K1330" s="1"/>
      <c r="L1330" s="1" t="s">
        <v>3656</v>
      </c>
      <c r="M1330" s="1"/>
      <c r="N1330" s="1" t="s">
        <v>3657</v>
      </c>
      <c r="O1330" s="1" t="s">
        <v>3658</v>
      </c>
      <c r="P1330" s="1" t="s">
        <v>2262</v>
      </c>
      <c r="Q1330" s="1"/>
      <c r="R1330" s="1"/>
      <c r="S1330" s="1" t="s">
        <v>2072</v>
      </c>
      <c r="T1330" s="1" t="s">
        <v>2073</v>
      </c>
      <c r="U1330" s="4">
        <v>5200000</v>
      </c>
      <c r="V1330" s="4">
        <v>7168</v>
      </c>
      <c r="W1330" s="4">
        <v>72</v>
      </c>
      <c r="X1330" s="4">
        <v>1075</v>
      </c>
      <c r="Y1330" s="4">
        <v>0</v>
      </c>
      <c r="Z1330" s="5">
        <v>8315</v>
      </c>
      <c r="AA1330" s="5">
        <v>0</v>
      </c>
      <c r="AB1330" s="6">
        <v>0</v>
      </c>
      <c r="AC1330" s="4">
        <v>8315</v>
      </c>
      <c r="AD1330" s="4">
        <v>0</v>
      </c>
      <c r="AE1330" s="4">
        <v>8315</v>
      </c>
      <c r="AF1330" s="1"/>
      <c r="AG1330" s="1"/>
      <c r="AH1330" s="1"/>
      <c r="AI1330" s="1" t="s">
        <v>3432</v>
      </c>
      <c r="AJ1330" s="6">
        <v>1944.5400000000011</v>
      </c>
      <c r="AK1330" s="6">
        <v>1165.5899999999999</v>
      </c>
      <c r="AL1330" s="1"/>
    </row>
    <row r="1331" spans="1:38" hidden="1" x14ac:dyDescent="0.25">
      <c r="A1331" s="2">
        <v>1771</v>
      </c>
      <c r="B1331" s="1" t="s">
        <v>1564</v>
      </c>
      <c r="C1331" s="1" t="s">
        <v>1566</v>
      </c>
      <c r="D1331" s="1" t="s">
        <v>2062</v>
      </c>
      <c r="E1331" s="1" t="s">
        <v>2063</v>
      </c>
      <c r="F1331" s="3">
        <v>45614</v>
      </c>
      <c r="G1331" s="3">
        <v>45367</v>
      </c>
      <c r="H1331" s="3">
        <v>45731</v>
      </c>
      <c r="I1331" s="1" t="s">
        <v>3654</v>
      </c>
      <c r="J1331" s="1" t="s">
        <v>3655</v>
      </c>
      <c r="K1331" s="1"/>
      <c r="L1331" s="1" t="s">
        <v>3656</v>
      </c>
      <c r="M1331" s="1"/>
      <c r="N1331" s="1" t="s">
        <v>3657</v>
      </c>
      <c r="O1331" s="1" t="s">
        <v>3658</v>
      </c>
      <c r="P1331" s="1" t="s">
        <v>2262</v>
      </c>
      <c r="Q1331" s="1"/>
      <c r="R1331" s="1"/>
      <c r="S1331" s="1" t="s">
        <v>2072</v>
      </c>
      <c r="T1331" s="1" t="s">
        <v>2073</v>
      </c>
      <c r="U1331" s="4">
        <v>5200000</v>
      </c>
      <c r="V1331" s="4">
        <v>7524</v>
      </c>
      <c r="W1331" s="4">
        <v>75</v>
      </c>
      <c r="X1331" s="4">
        <v>1128</v>
      </c>
      <c r="Y1331" s="4">
        <v>0</v>
      </c>
      <c r="Z1331" s="5">
        <v>8727</v>
      </c>
      <c r="AA1331" s="5">
        <v>0</v>
      </c>
      <c r="AB1331" s="6">
        <v>0</v>
      </c>
      <c r="AC1331" s="4">
        <v>8727</v>
      </c>
      <c r="AD1331" s="4">
        <v>0</v>
      </c>
      <c r="AE1331" s="4">
        <v>8727</v>
      </c>
      <c r="AF1331" s="1"/>
      <c r="AG1331" s="1"/>
      <c r="AH1331" s="1"/>
      <c r="AI1331" s="1" t="s">
        <v>3432</v>
      </c>
      <c r="AJ1331" s="6">
        <v>2236.3400000000011</v>
      </c>
      <c r="AK1331" s="6">
        <v>1223.5199999999991</v>
      </c>
      <c r="AL1331" s="1"/>
    </row>
    <row r="1332" spans="1:38" hidden="1" x14ac:dyDescent="0.25">
      <c r="A1332" s="2">
        <v>1772</v>
      </c>
      <c r="B1332" s="1" t="s">
        <v>1564</v>
      </c>
      <c r="C1332" s="1" t="s">
        <v>1567</v>
      </c>
      <c r="D1332" s="1" t="s">
        <v>2062</v>
      </c>
      <c r="E1332" s="1" t="s">
        <v>2063</v>
      </c>
      <c r="F1332" s="3">
        <v>45643</v>
      </c>
      <c r="G1332" s="3">
        <v>45367</v>
      </c>
      <c r="H1332" s="3">
        <v>45731</v>
      </c>
      <c r="I1332" s="1" t="s">
        <v>3654</v>
      </c>
      <c r="J1332" s="1" t="s">
        <v>3655</v>
      </c>
      <c r="K1332" s="1"/>
      <c r="L1332" s="1" t="s">
        <v>3656</v>
      </c>
      <c r="M1332" s="1"/>
      <c r="N1332" s="1" t="s">
        <v>3657</v>
      </c>
      <c r="O1332" s="1" t="s">
        <v>3658</v>
      </c>
      <c r="P1332" s="1" t="s">
        <v>2262</v>
      </c>
      <c r="Q1332" s="1"/>
      <c r="R1332" s="1"/>
      <c r="S1332" s="1" t="s">
        <v>2072</v>
      </c>
      <c r="T1332" s="1" t="s">
        <v>2073</v>
      </c>
      <c r="U1332" s="4">
        <v>5200000</v>
      </c>
      <c r="V1332" s="4">
        <v>5936</v>
      </c>
      <c r="W1332" s="4">
        <v>59</v>
      </c>
      <c r="X1332" s="4">
        <v>890</v>
      </c>
      <c r="Y1332" s="4">
        <v>0</v>
      </c>
      <c r="Z1332" s="5">
        <v>6885</v>
      </c>
      <c r="AA1332" s="5">
        <v>0</v>
      </c>
      <c r="AB1332" s="6">
        <v>0</v>
      </c>
      <c r="AC1332" s="4">
        <v>6885</v>
      </c>
      <c r="AD1332" s="4">
        <v>0</v>
      </c>
      <c r="AE1332" s="4">
        <v>6885</v>
      </c>
      <c r="AF1332" s="1"/>
      <c r="AG1332" s="1"/>
      <c r="AH1332" s="1"/>
      <c r="AI1332" s="1" t="s">
        <v>3432</v>
      </c>
      <c r="AJ1332" s="6">
        <v>1682.0500000000002</v>
      </c>
      <c r="AK1332" s="6">
        <v>965.3900000000001</v>
      </c>
      <c r="AL1332" s="1"/>
    </row>
    <row r="1333" spans="1:38" hidden="1" x14ac:dyDescent="0.25">
      <c r="A1333" s="2">
        <v>1773</v>
      </c>
      <c r="B1333" s="1" t="s">
        <v>1564</v>
      </c>
      <c r="C1333" s="1" t="s">
        <v>1568</v>
      </c>
      <c r="D1333" s="1" t="s">
        <v>2062</v>
      </c>
      <c r="E1333" s="1" t="s">
        <v>2063</v>
      </c>
      <c r="F1333" s="3">
        <v>45674</v>
      </c>
      <c r="G1333" s="3">
        <v>45367</v>
      </c>
      <c r="H1333" s="3">
        <v>45731</v>
      </c>
      <c r="I1333" s="1" t="s">
        <v>3654</v>
      </c>
      <c r="J1333" s="1" t="s">
        <v>3655</v>
      </c>
      <c r="K1333" s="1"/>
      <c r="L1333" s="1" t="s">
        <v>3656</v>
      </c>
      <c r="M1333" s="1"/>
      <c r="N1333" s="1" t="s">
        <v>3657</v>
      </c>
      <c r="O1333" s="1" t="s">
        <v>3658</v>
      </c>
      <c r="P1333" s="1" t="s">
        <v>2262</v>
      </c>
      <c r="Q1333" s="1"/>
      <c r="R1333" s="1"/>
      <c r="S1333" s="1" t="s">
        <v>2072</v>
      </c>
      <c r="T1333" s="1" t="s">
        <v>2073</v>
      </c>
      <c r="U1333" s="4">
        <v>5200000</v>
      </c>
      <c r="V1333" s="4">
        <v>6276</v>
      </c>
      <c r="W1333" s="4">
        <v>63</v>
      </c>
      <c r="X1333" s="4">
        <v>941</v>
      </c>
      <c r="Y1333" s="4">
        <v>0</v>
      </c>
      <c r="Z1333" s="5">
        <v>7280</v>
      </c>
      <c r="AA1333" s="5">
        <v>0</v>
      </c>
      <c r="AB1333" s="6">
        <v>0</v>
      </c>
      <c r="AC1333" s="4">
        <v>7280</v>
      </c>
      <c r="AD1333" s="4">
        <v>0</v>
      </c>
      <c r="AE1333" s="4">
        <v>7280</v>
      </c>
      <c r="AF1333" s="1"/>
      <c r="AG1333" s="1"/>
      <c r="AH1333" s="1"/>
      <c r="AI1333" s="1" t="s">
        <v>3432</v>
      </c>
      <c r="AJ1333" s="6">
        <v>1672.3400000000011</v>
      </c>
      <c r="AK1333" s="6">
        <v>1020.73</v>
      </c>
      <c r="AL1333" s="1"/>
    </row>
    <row r="1334" spans="1:38" hidden="1" x14ac:dyDescent="0.25">
      <c r="A1334" s="2">
        <v>1774</v>
      </c>
      <c r="B1334" s="1" t="s">
        <v>1564</v>
      </c>
      <c r="C1334" s="1" t="s">
        <v>1569</v>
      </c>
      <c r="D1334" s="1" t="s">
        <v>2062</v>
      </c>
      <c r="E1334" s="1" t="s">
        <v>2063</v>
      </c>
      <c r="F1334" s="3">
        <v>45705</v>
      </c>
      <c r="G1334" s="3">
        <v>45367</v>
      </c>
      <c r="H1334" s="3">
        <v>45731</v>
      </c>
      <c r="I1334" s="1" t="s">
        <v>3654</v>
      </c>
      <c r="J1334" s="1" t="s">
        <v>3655</v>
      </c>
      <c r="K1334" s="1"/>
      <c r="L1334" s="1" t="s">
        <v>3656</v>
      </c>
      <c r="M1334" s="1"/>
      <c r="N1334" s="1" t="s">
        <v>3657</v>
      </c>
      <c r="O1334" s="1" t="s">
        <v>3658</v>
      </c>
      <c r="P1334" s="1" t="s">
        <v>2262</v>
      </c>
      <c r="Q1334" s="1"/>
      <c r="R1334" s="1"/>
      <c r="S1334" s="1" t="s">
        <v>2072</v>
      </c>
      <c r="T1334" s="1" t="s">
        <v>2073</v>
      </c>
      <c r="U1334" s="4">
        <v>5200000</v>
      </c>
      <c r="V1334" s="4">
        <v>5391</v>
      </c>
      <c r="W1334" s="4">
        <v>54</v>
      </c>
      <c r="X1334" s="4">
        <v>809</v>
      </c>
      <c r="Y1334" s="4">
        <v>0</v>
      </c>
      <c r="Z1334" s="5">
        <v>6254</v>
      </c>
      <c r="AA1334" s="5">
        <v>0</v>
      </c>
      <c r="AB1334" s="6">
        <v>0</v>
      </c>
      <c r="AC1334" s="4">
        <v>6254</v>
      </c>
      <c r="AD1334" s="4">
        <v>0</v>
      </c>
      <c r="AE1334" s="4">
        <v>6254</v>
      </c>
      <c r="AF1334" s="1"/>
      <c r="AG1334" s="1"/>
      <c r="AH1334" s="1"/>
      <c r="AI1334" s="1" t="s">
        <v>3432</v>
      </c>
      <c r="AJ1334" s="6">
        <v>1550.6400000000008</v>
      </c>
      <c r="AK1334" s="6">
        <v>876.89</v>
      </c>
      <c r="AL1334" s="1"/>
    </row>
    <row r="1335" spans="1:38" hidden="1" x14ac:dyDescent="0.25">
      <c r="A1335" s="2">
        <v>1775</v>
      </c>
      <c r="B1335" s="1" t="s">
        <v>1564</v>
      </c>
      <c r="C1335" s="1" t="s">
        <v>1570</v>
      </c>
      <c r="D1335" s="1" t="s">
        <v>2062</v>
      </c>
      <c r="E1335" s="1" t="s">
        <v>2063</v>
      </c>
      <c r="F1335" s="3">
        <v>45733</v>
      </c>
      <c r="G1335" s="3">
        <v>45367</v>
      </c>
      <c r="H1335" s="3">
        <v>45731</v>
      </c>
      <c r="I1335" s="1" t="s">
        <v>3654</v>
      </c>
      <c r="J1335" s="1" t="s">
        <v>3655</v>
      </c>
      <c r="K1335" s="1"/>
      <c r="L1335" s="1" t="s">
        <v>3656</v>
      </c>
      <c r="M1335" s="1"/>
      <c r="N1335" s="1" t="s">
        <v>3657</v>
      </c>
      <c r="O1335" s="1" t="s">
        <v>3658</v>
      </c>
      <c r="P1335" s="1" t="s">
        <v>2262</v>
      </c>
      <c r="Q1335" s="1"/>
      <c r="R1335" s="1"/>
      <c r="S1335" s="1" t="s">
        <v>2072</v>
      </c>
      <c r="T1335" s="1" t="s">
        <v>2073</v>
      </c>
      <c r="U1335" s="4">
        <v>5200000</v>
      </c>
      <c r="V1335" s="4">
        <v>6083</v>
      </c>
      <c r="W1335" s="4">
        <v>61</v>
      </c>
      <c r="X1335" s="4">
        <v>912</v>
      </c>
      <c r="Y1335" s="4">
        <v>0</v>
      </c>
      <c r="Z1335" s="5">
        <v>7056</v>
      </c>
      <c r="AA1335" s="5">
        <v>0</v>
      </c>
      <c r="AB1335" s="6">
        <v>0</v>
      </c>
      <c r="AC1335" s="4">
        <v>7056</v>
      </c>
      <c r="AD1335" s="4">
        <v>0</v>
      </c>
      <c r="AE1335" s="4">
        <v>7056</v>
      </c>
      <c r="AF1335" s="1"/>
      <c r="AG1335" s="1"/>
      <c r="AH1335" s="1"/>
      <c r="AI1335" s="1" t="s">
        <v>3432</v>
      </c>
      <c r="AJ1335" s="6">
        <v>1807.5300000000002</v>
      </c>
      <c r="AK1335" s="6">
        <v>989.17</v>
      </c>
      <c r="AL1335" s="1"/>
    </row>
    <row r="1336" spans="1:38" hidden="1" x14ac:dyDescent="0.25">
      <c r="A1336" s="2">
        <v>1776</v>
      </c>
      <c r="B1336" s="1" t="s">
        <v>1564</v>
      </c>
      <c r="C1336" s="1" t="s">
        <v>1571</v>
      </c>
      <c r="D1336" s="1" t="s">
        <v>2062</v>
      </c>
      <c r="E1336" s="1" t="s">
        <v>2063</v>
      </c>
      <c r="F1336" s="3">
        <v>45745</v>
      </c>
      <c r="G1336" s="3">
        <v>45367</v>
      </c>
      <c r="H1336" s="3">
        <v>45731</v>
      </c>
      <c r="I1336" s="1" t="s">
        <v>3654</v>
      </c>
      <c r="J1336" s="1" t="s">
        <v>3655</v>
      </c>
      <c r="K1336" s="1"/>
      <c r="L1336" s="1" t="s">
        <v>3656</v>
      </c>
      <c r="M1336" s="1"/>
      <c r="N1336" s="1" t="s">
        <v>3657</v>
      </c>
      <c r="O1336" s="1" t="s">
        <v>3658</v>
      </c>
      <c r="P1336" s="1" t="s">
        <v>2262</v>
      </c>
      <c r="Q1336" s="1"/>
      <c r="R1336" s="1"/>
      <c r="S1336" s="1" t="s">
        <v>2072</v>
      </c>
      <c r="T1336" s="1" t="s">
        <v>2073</v>
      </c>
      <c r="U1336" s="4">
        <v>-1</v>
      </c>
      <c r="V1336" s="4">
        <v>-44126</v>
      </c>
      <c r="W1336" s="4">
        <v>-391</v>
      </c>
      <c r="X1336" s="4">
        <v>0</v>
      </c>
      <c r="Y1336" s="4">
        <v>0</v>
      </c>
      <c r="Z1336" s="5">
        <v>-44517</v>
      </c>
      <c r="AA1336" s="5">
        <v>0</v>
      </c>
      <c r="AB1336" s="6">
        <v>0</v>
      </c>
      <c r="AC1336" s="4">
        <v>-44517</v>
      </c>
      <c r="AD1336" s="4">
        <v>0</v>
      </c>
      <c r="AE1336" s="4">
        <v>-44517</v>
      </c>
      <c r="AF1336" s="1"/>
      <c r="AG1336" s="1"/>
      <c r="AH1336" s="1"/>
      <c r="AI1336" s="1" t="s">
        <v>3432</v>
      </c>
      <c r="AJ1336" s="1"/>
      <c r="AK1336" s="1"/>
      <c r="AL1336" s="1"/>
    </row>
    <row r="1337" spans="1:38" hidden="1" x14ac:dyDescent="0.25">
      <c r="A1337" s="2">
        <v>1778</v>
      </c>
      <c r="B1337" s="1" t="s">
        <v>1572</v>
      </c>
      <c r="C1337" s="1" t="s">
        <v>1573</v>
      </c>
      <c r="D1337" s="1" t="s">
        <v>2062</v>
      </c>
      <c r="E1337" s="1" t="s">
        <v>2063</v>
      </c>
      <c r="F1337" s="3">
        <v>45428</v>
      </c>
      <c r="G1337" s="3">
        <v>45367</v>
      </c>
      <c r="H1337" s="3">
        <v>45731</v>
      </c>
      <c r="I1337" s="1" t="s">
        <v>3659</v>
      </c>
      <c r="J1337" s="1" t="s">
        <v>3660</v>
      </c>
      <c r="K1337" s="1"/>
      <c r="L1337" s="1" t="s">
        <v>2864</v>
      </c>
      <c r="M1337" s="1" t="s">
        <v>3661</v>
      </c>
      <c r="N1337" s="1" t="s">
        <v>3662</v>
      </c>
      <c r="O1337" s="1" t="s">
        <v>3663</v>
      </c>
      <c r="P1337" s="1" t="s">
        <v>2095</v>
      </c>
      <c r="Q1337" s="1"/>
      <c r="R1337" s="1"/>
      <c r="S1337" s="1" t="s">
        <v>2072</v>
      </c>
      <c r="T1337" s="1" t="s">
        <v>3165</v>
      </c>
      <c r="U1337" s="4">
        <v>3000000</v>
      </c>
      <c r="V1337" s="4">
        <v>1786</v>
      </c>
      <c r="W1337" s="4">
        <v>18</v>
      </c>
      <c r="X1337" s="4">
        <v>232</v>
      </c>
      <c r="Y1337" s="4">
        <v>0</v>
      </c>
      <c r="Z1337" s="5">
        <v>2036</v>
      </c>
      <c r="AA1337" s="5">
        <v>0</v>
      </c>
      <c r="AB1337" s="6">
        <v>0</v>
      </c>
      <c r="AC1337" s="4">
        <v>2036</v>
      </c>
      <c r="AD1337" s="4">
        <v>0</v>
      </c>
      <c r="AE1337" s="4">
        <v>2036</v>
      </c>
      <c r="AF1337" s="1"/>
      <c r="AG1337" s="1"/>
      <c r="AH1337" s="1"/>
      <c r="AI1337" s="1" t="s">
        <v>3057</v>
      </c>
      <c r="AJ1337" s="6">
        <v>596.58000000000004</v>
      </c>
      <c r="AK1337" s="6">
        <v>495.3300000000001</v>
      </c>
      <c r="AL1337" s="1"/>
    </row>
    <row r="1338" spans="1:38" hidden="1" x14ac:dyDescent="0.25">
      <c r="A1338" s="2">
        <v>1779</v>
      </c>
      <c r="B1338" s="1" t="s">
        <v>1572</v>
      </c>
      <c r="C1338" s="1" t="s">
        <v>1574</v>
      </c>
      <c r="D1338" s="1" t="s">
        <v>2062</v>
      </c>
      <c r="E1338" s="1" t="s">
        <v>2063</v>
      </c>
      <c r="F1338" s="3">
        <v>45596</v>
      </c>
      <c r="G1338" s="3">
        <v>45367</v>
      </c>
      <c r="H1338" s="3">
        <v>45731</v>
      </c>
      <c r="I1338" s="1" t="s">
        <v>3659</v>
      </c>
      <c r="J1338" s="1" t="s">
        <v>3660</v>
      </c>
      <c r="K1338" s="1"/>
      <c r="L1338" s="1" t="s">
        <v>2864</v>
      </c>
      <c r="M1338" s="1" t="s">
        <v>3661</v>
      </c>
      <c r="N1338" s="1" t="s">
        <v>3662</v>
      </c>
      <c r="O1338" s="1" t="s">
        <v>3663</v>
      </c>
      <c r="P1338" s="1" t="s">
        <v>2095</v>
      </c>
      <c r="Q1338" s="1"/>
      <c r="R1338" s="1"/>
      <c r="S1338" s="1" t="s">
        <v>2072</v>
      </c>
      <c r="T1338" s="1" t="s">
        <v>3165</v>
      </c>
      <c r="U1338" s="4">
        <v>-1</v>
      </c>
      <c r="V1338" s="4">
        <v>-2016</v>
      </c>
      <c r="W1338" s="4">
        <v>-20</v>
      </c>
      <c r="X1338" s="4">
        <v>0</v>
      </c>
      <c r="Y1338" s="4">
        <v>0</v>
      </c>
      <c r="Z1338" s="5">
        <v>-2036</v>
      </c>
      <c r="AA1338" s="5">
        <v>0</v>
      </c>
      <c r="AB1338" s="6">
        <v>0</v>
      </c>
      <c r="AC1338" s="4">
        <v>-2036</v>
      </c>
      <c r="AD1338" s="4">
        <v>0</v>
      </c>
      <c r="AE1338" s="4">
        <v>-2036</v>
      </c>
      <c r="AF1338" s="1"/>
      <c r="AG1338" s="1"/>
      <c r="AH1338" s="1"/>
      <c r="AI1338" s="1" t="s">
        <v>3057</v>
      </c>
      <c r="AJ1338" s="1"/>
      <c r="AK1338" s="1"/>
      <c r="AL1338" s="1"/>
    </row>
    <row r="1339" spans="1:38" hidden="1" x14ac:dyDescent="0.25">
      <c r="A1339" s="2">
        <v>1789</v>
      </c>
      <c r="B1339" s="1" t="s">
        <v>1575</v>
      </c>
      <c r="C1339" s="1" t="s">
        <v>1576</v>
      </c>
      <c r="D1339" s="1" t="s">
        <v>2062</v>
      </c>
      <c r="E1339" s="1" t="s">
        <v>2063</v>
      </c>
      <c r="F1339" s="3">
        <v>45403</v>
      </c>
      <c r="G1339" s="3">
        <v>45372</v>
      </c>
      <c r="H1339" s="3">
        <v>45736</v>
      </c>
      <c r="I1339" s="1" t="s">
        <v>3664</v>
      </c>
      <c r="J1339" s="1" t="s">
        <v>3665</v>
      </c>
      <c r="K1339" s="1"/>
      <c r="L1339" s="1" t="s">
        <v>2864</v>
      </c>
      <c r="M1339" s="1" t="s">
        <v>3666</v>
      </c>
      <c r="N1339" s="1" t="s">
        <v>3667</v>
      </c>
      <c r="O1339" s="1" t="s">
        <v>3668</v>
      </c>
      <c r="P1339" s="1" t="s">
        <v>2165</v>
      </c>
      <c r="Q1339" s="1"/>
      <c r="R1339" s="1"/>
      <c r="S1339" s="1" t="s">
        <v>2072</v>
      </c>
      <c r="T1339" s="1" t="s">
        <v>3165</v>
      </c>
      <c r="U1339" s="4">
        <v>2600000</v>
      </c>
      <c r="V1339" s="4">
        <v>3405</v>
      </c>
      <c r="W1339" s="4">
        <v>34</v>
      </c>
      <c r="X1339" s="4">
        <v>443</v>
      </c>
      <c r="Y1339" s="4">
        <v>0</v>
      </c>
      <c r="Z1339" s="5">
        <v>3882</v>
      </c>
      <c r="AA1339" s="5">
        <v>0</v>
      </c>
      <c r="AB1339" s="6">
        <v>0</v>
      </c>
      <c r="AC1339" s="4">
        <v>3882</v>
      </c>
      <c r="AD1339" s="4">
        <v>0</v>
      </c>
      <c r="AE1339" s="4">
        <v>3882</v>
      </c>
      <c r="AF1339" s="1"/>
      <c r="AG1339" s="1"/>
      <c r="AH1339" s="1"/>
      <c r="AI1339" s="1" t="s">
        <v>2327</v>
      </c>
      <c r="AJ1339" s="6">
        <v>1793.02</v>
      </c>
      <c r="AK1339" s="6">
        <v>1091.3</v>
      </c>
      <c r="AL1339" s="1"/>
    </row>
    <row r="1340" spans="1:38" hidden="1" x14ac:dyDescent="0.25">
      <c r="A1340" s="2">
        <v>1790</v>
      </c>
      <c r="B1340" s="1" t="s">
        <v>1575</v>
      </c>
      <c r="C1340" s="1" t="s">
        <v>1577</v>
      </c>
      <c r="D1340" s="1" t="s">
        <v>2062</v>
      </c>
      <c r="E1340" s="1" t="s">
        <v>2063</v>
      </c>
      <c r="F1340" s="3">
        <v>45433</v>
      </c>
      <c r="G1340" s="3">
        <v>45372</v>
      </c>
      <c r="H1340" s="3">
        <v>45736</v>
      </c>
      <c r="I1340" s="1" t="s">
        <v>3664</v>
      </c>
      <c r="J1340" s="1" t="s">
        <v>3665</v>
      </c>
      <c r="K1340" s="1"/>
      <c r="L1340" s="1" t="s">
        <v>2864</v>
      </c>
      <c r="M1340" s="1" t="s">
        <v>3666</v>
      </c>
      <c r="N1340" s="1" t="s">
        <v>3667</v>
      </c>
      <c r="O1340" s="1" t="s">
        <v>3668</v>
      </c>
      <c r="P1340" s="1" t="s">
        <v>2165</v>
      </c>
      <c r="Q1340" s="1"/>
      <c r="R1340" s="1"/>
      <c r="S1340" s="1" t="s">
        <v>2072</v>
      </c>
      <c r="T1340" s="1" t="s">
        <v>3165</v>
      </c>
      <c r="U1340" s="4">
        <v>2600000</v>
      </c>
      <c r="V1340" s="4">
        <v>1999</v>
      </c>
      <c r="W1340" s="4">
        <v>20</v>
      </c>
      <c r="X1340" s="4">
        <v>260</v>
      </c>
      <c r="Y1340" s="4">
        <v>0</v>
      </c>
      <c r="Z1340" s="5">
        <v>2279</v>
      </c>
      <c r="AA1340" s="5">
        <v>0</v>
      </c>
      <c r="AB1340" s="6">
        <v>0</v>
      </c>
      <c r="AC1340" s="4">
        <v>2279</v>
      </c>
      <c r="AD1340" s="4">
        <v>0</v>
      </c>
      <c r="AE1340" s="4">
        <v>2279</v>
      </c>
      <c r="AF1340" s="1"/>
      <c r="AG1340" s="1"/>
      <c r="AH1340" s="1"/>
      <c r="AI1340" s="1" t="s">
        <v>2327</v>
      </c>
      <c r="AJ1340" s="6">
        <v>883.17000000000121</v>
      </c>
      <c r="AK1340" s="6">
        <v>640.33000000000004</v>
      </c>
      <c r="AL1340" s="1"/>
    </row>
    <row r="1341" spans="1:38" hidden="1" x14ac:dyDescent="0.25">
      <c r="A1341" s="2">
        <v>1791</v>
      </c>
      <c r="B1341" s="1" t="s">
        <v>1575</v>
      </c>
      <c r="C1341" s="1" t="s">
        <v>1578</v>
      </c>
      <c r="D1341" s="1" t="s">
        <v>2062</v>
      </c>
      <c r="E1341" s="1" t="s">
        <v>2063</v>
      </c>
      <c r="F1341" s="3">
        <v>45655</v>
      </c>
      <c r="G1341" s="3">
        <v>45372</v>
      </c>
      <c r="H1341" s="3">
        <v>45736</v>
      </c>
      <c r="I1341" s="1" t="s">
        <v>3664</v>
      </c>
      <c r="J1341" s="1" t="s">
        <v>3665</v>
      </c>
      <c r="K1341" s="1"/>
      <c r="L1341" s="1" t="s">
        <v>2864</v>
      </c>
      <c r="M1341" s="1" t="s">
        <v>3666</v>
      </c>
      <c r="N1341" s="1" t="s">
        <v>3667</v>
      </c>
      <c r="O1341" s="1" t="s">
        <v>3668</v>
      </c>
      <c r="P1341" s="1" t="s">
        <v>2165</v>
      </c>
      <c r="Q1341" s="1"/>
      <c r="R1341" s="1"/>
      <c r="S1341" s="1" t="s">
        <v>2072</v>
      </c>
      <c r="T1341" s="1" t="s">
        <v>3165</v>
      </c>
      <c r="U1341" s="4">
        <v>-1</v>
      </c>
      <c r="V1341" s="4">
        <v>-6100</v>
      </c>
      <c r="W1341" s="4">
        <v>-61</v>
      </c>
      <c r="X1341" s="4">
        <v>0</v>
      </c>
      <c r="Y1341" s="4">
        <v>0</v>
      </c>
      <c r="Z1341" s="5">
        <v>-6161</v>
      </c>
      <c r="AA1341" s="5">
        <v>0</v>
      </c>
      <c r="AB1341" s="6">
        <v>0</v>
      </c>
      <c r="AC1341" s="4">
        <v>-6161</v>
      </c>
      <c r="AD1341" s="4">
        <v>0</v>
      </c>
      <c r="AE1341" s="4">
        <v>-6161</v>
      </c>
      <c r="AF1341" s="1"/>
      <c r="AG1341" s="1"/>
      <c r="AH1341" s="1"/>
      <c r="AI1341" s="1" t="s">
        <v>2327</v>
      </c>
      <c r="AJ1341" s="1"/>
      <c r="AK1341" s="1"/>
      <c r="AL1341" s="1"/>
    </row>
    <row r="1342" spans="1:38" hidden="1" x14ac:dyDescent="0.25">
      <c r="A1342" s="2">
        <v>1792</v>
      </c>
      <c r="B1342" s="1" t="s">
        <v>1579</v>
      </c>
      <c r="C1342" s="1" t="s">
        <v>1580</v>
      </c>
      <c r="D1342" s="1" t="s">
        <v>2062</v>
      </c>
      <c r="E1342" s="1" t="s">
        <v>2063</v>
      </c>
      <c r="F1342" s="3">
        <v>45526</v>
      </c>
      <c r="G1342" s="3">
        <v>45372</v>
      </c>
      <c r="H1342" s="3">
        <v>45736</v>
      </c>
      <c r="I1342" s="1" t="s">
        <v>3669</v>
      </c>
      <c r="J1342" s="1" t="s">
        <v>3670</v>
      </c>
      <c r="K1342" s="1"/>
      <c r="L1342" s="1" t="s">
        <v>2370</v>
      </c>
      <c r="M1342" s="1" t="s">
        <v>3671</v>
      </c>
      <c r="N1342" s="1" t="s">
        <v>3672</v>
      </c>
      <c r="O1342" s="1" t="s">
        <v>3673</v>
      </c>
      <c r="P1342" s="1" t="s">
        <v>2182</v>
      </c>
      <c r="Q1342" s="1"/>
      <c r="R1342" s="1"/>
      <c r="S1342" s="1" t="s">
        <v>2072</v>
      </c>
      <c r="T1342" s="1" t="s">
        <v>3165</v>
      </c>
      <c r="U1342" s="4">
        <v>7500000</v>
      </c>
      <c r="V1342" s="4">
        <v>4097</v>
      </c>
      <c r="W1342" s="4">
        <v>41</v>
      </c>
      <c r="X1342" s="4">
        <v>615</v>
      </c>
      <c r="Y1342" s="4">
        <v>0</v>
      </c>
      <c r="Z1342" s="5">
        <v>4753</v>
      </c>
      <c r="AA1342" s="5">
        <v>0</v>
      </c>
      <c r="AB1342" s="6">
        <v>0</v>
      </c>
      <c r="AC1342" s="4">
        <v>4753</v>
      </c>
      <c r="AD1342" s="4">
        <v>0</v>
      </c>
      <c r="AE1342" s="4">
        <v>4753</v>
      </c>
      <c r="AF1342" s="1"/>
      <c r="AG1342" s="1"/>
      <c r="AH1342" s="1"/>
      <c r="AI1342" s="1" t="s">
        <v>2327</v>
      </c>
      <c r="AJ1342" s="6">
        <v>1055.0900000000331</v>
      </c>
      <c r="AK1342" s="6">
        <v>462.88</v>
      </c>
      <c r="AL1342" s="1"/>
    </row>
    <row r="1343" spans="1:38" hidden="1" x14ac:dyDescent="0.25">
      <c r="A1343" s="2">
        <v>1793</v>
      </c>
      <c r="B1343" s="1" t="s">
        <v>1579</v>
      </c>
      <c r="C1343" s="1" t="s">
        <v>1581</v>
      </c>
      <c r="D1343" s="1" t="s">
        <v>2062</v>
      </c>
      <c r="E1343" s="1" t="s">
        <v>2063</v>
      </c>
      <c r="F1343" s="3">
        <v>45596</v>
      </c>
      <c r="G1343" s="3">
        <v>45372</v>
      </c>
      <c r="H1343" s="3">
        <v>45736</v>
      </c>
      <c r="I1343" s="1" t="s">
        <v>3669</v>
      </c>
      <c r="J1343" s="1" t="s">
        <v>3670</v>
      </c>
      <c r="K1343" s="1"/>
      <c r="L1343" s="1" t="s">
        <v>2370</v>
      </c>
      <c r="M1343" s="1" t="s">
        <v>3671</v>
      </c>
      <c r="N1343" s="1" t="s">
        <v>3672</v>
      </c>
      <c r="O1343" s="1" t="s">
        <v>3673</v>
      </c>
      <c r="P1343" s="1" t="s">
        <v>2182</v>
      </c>
      <c r="Q1343" s="1"/>
      <c r="R1343" s="1"/>
      <c r="S1343" s="1" t="s">
        <v>2072</v>
      </c>
      <c r="T1343" s="1" t="s">
        <v>3165</v>
      </c>
      <c r="U1343" s="4">
        <v>-1</v>
      </c>
      <c r="V1343" s="4">
        <v>-4706</v>
      </c>
      <c r="W1343" s="4">
        <v>-47</v>
      </c>
      <c r="X1343" s="4">
        <v>0</v>
      </c>
      <c r="Y1343" s="4">
        <v>0</v>
      </c>
      <c r="Z1343" s="5">
        <v>-4753</v>
      </c>
      <c r="AA1343" s="5">
        <v>0</v>
      </c>
      <c r="AB1343" s="6">
        <v>0</v>
      </c>
      <c r="AC1343" s="4">
        <v>-4753</v>
      </c>
      <c r="AD1343" s="4">
        <v>0</v>
      </c>
      <c r="AE1343" s="4">
        <v>-4753</v>
      </c>
      <c r="AF1343" s="1"/>
      <c r="AG1343" s="1"/>
      <c r="AH1343" s="1"/>
      <c r="AI1343" s="1" t="s">
        <v>2327</v>
      </c>
      <c r="AJ1343" s="1"/>
      <c r="AK1343" s="1"/>
      <c r="AL1343" s="1"/>
    </row>
    <row r="1344" spans="1:38" hidden="1" x14ac:dyDescent="0.25">
      <c r="A1344" s="2">
        <v>1794</v>
      </c>
      <c r="B1344" s="1" t="s">
        <v>1582</v>
      </c>
      <c r="C1344" s="1" t="s">
        <v>1583</v>
      </c>
      <c r="D1344" s="1" t="s">
        <v>2062</v>
      </c>
      <c r="E1344" s="1" t="s">
        <v>2063</v>
      </c>
      <c r="F1344" s="3">
        <v>45433</v>
      </c>
      <c r="G1344" s="3">
        <v>45372</v>
      </c>
      <c r="H1344" s="3">
        <v>45736</v>
      </c>
      <c r="I1344" s="1" t="s">
        <v>3674</v>
      </c>
      <c r="J1344" s="1" t="s">
        <v>3675</v>
      </c>
      <c r="K1344" s="1"/>
      <c r="L1344" s="1" t="s">
        <v>3676</v>
      </c>
      <c r="M1344" s="1" t="s">
        <v>3677</v>
      </c>
      <c r="N1344" s="1" t="s">
        <v>3678</v>
      </c>
      <c r="O1344" s="1" t="s">
        <v>3679</v>
      </c>
      <c r="P1344" s="1" t="s">
        <v>2095</v>
      </c>
      <c r="Q1344" s="1"/>
      <c r="R1344" s="1"/>
      <c r="S1344" s="1" t="s">
        <v>2072</v>
      </c>
      <c r="T1344" s="1" t="s">
        <v>3165</v>
      </c>
      <c r="U1344" s="4">
        <v>4500000</v>
      </c>
      <c r="V1344" s="4">
        <v>2947</v>
      </c>
      <c r="W1344" s="4">
        <v>29</v>
      </c>
      <c r="X1344" s="4">
        <v>383</v>
      </c>
      <c r="Y1344" s="4">
        <v>0</v>
      </c>
      <c r="Z1344" s="5">
        <v>3359</v>
      </c>
      <c r="AA1344" s="5">
        <v>0</v>
      </c>
      <c r="AB1344" s="6">
        <v>0</v>
      </c>
      <c r="AC1344" s="4">
        <v>3359</v>
      </c>
      <c r="AD1344" s="4">
        <v>0</v>
      </c>
      <c r="AE1344" s="4">
        <v>3359</v>
      </c>
      <c r="AF1344" s="1"/>
      <c r="AG1344" s="1"/>
      <c r="AH1344" s="1"/>
      <c r="AI1344" s="1" t="s">
        <v>3057</v>
      </c>
      <c r="AJ1344" s="6">
        <v>747.07999999999902</v>
      </c>
      <c r="AK1344" s="6">
        <v>545.15</v>
      </c>
      <c r="AL1344" s="1"/>
    </row>
    <row r="1345" spans="1:38" hidden="1" x14ac:dyDescent="0.25">
      <c r="A1345" s="2">
        <v>1795</v>
      </c>
      <c r="B1345" s="1" t="s">
        <v>1582</v>
      </c>
      <c r="C1345" s="1" t="s">
        <v>1584</v>
      </c>
      <c r="D1345" s="1" t="s">
        <v>2062</v>
      </c>
      <c r="E1345" s="1" t="s">
        <v>2063</v>
      </c>
      <c r="F1345" s="3">
        <v>45586</v>
      </c>
      <c r="G1345" s="3">
        <v>45372</v>
      </c>
      <c r="H1345" s="3">
        <v>45736</v>
      </c>
      <c r="I1345" s="1" t="s">
        <v>3674</v>
      </c>
      <c r="J1345" s="1" t="s">
        <v>3675</v>
      </c>
      <c r="K1345" s="1"/>
      <c r="L1345" s="1" t="s">
        <v>3676</v>
      </c>
      <c r="M1345" s="1" t="s">
        <v>3677</v>
      </c>
      <c r="N1345" s="1" t="s">
        <v>3678</v>
      </c>
      <c r="O1345" s="1" t="s">
        <v>3679</v>
      </c>
      <c r="P1345" s="1" t="s">
        <v>2095</v>
      </c>
      <c r="Q1345" s="1"/>
      <c r="R1345" s="1"/>
      <c r="S1345" s="1" t="s">
        <v>2072</v>
      </c>
      <c r="T1345" s="1" t="s">
        <v>3165</v>
      </c>
      <c r="U1345" s="4">
        <v>4500000</v>
      </c>
      <c r="V1345" s="4">
        <v>4685</v>
      </c>
      <c r="W1345" s="4">
        <v>47</v>
      </c>
      <c r="X1345" s="4">
        <v>703</v>
      </c>
      <c r="Y1345" s="4">
        <v>0</v>
      </c>
      <c r="Z1345" s="5">
        <v>5435</v>
      </c>
      <c r="AA1345" s="5">
        <v>0</v>
      </c>
      <c r="AB1345" s="6">
        <v>0</v>
      </c>
      <c r="AC1345" s="4">
        <v>5435</v>
      </c>
      <c r="AD1345" s="4">
        <v>0</v>
      </c>
      <c r="AE1345" s="4">
        <v>5435</v>
      </c>
      <c r="AF1345" s="1"/>
      <c r="AG1345" s="1"/>
      <c r="AH1345" s="1"/>
      <c r="AI1345" s="1" t="s">
        <v>3057</v>
      </c>
      <c r="AJ1345" s="6">
        <v>1372.8600000000122</v>
      </c>
      <c r="AK1345" s="6">
        <v>882.23</v>
      </c>
      <c r="AL1345" s="1"/>
    </row>
    <row r="1346" spans="1:38" hidden="1" x14ac:dyDescent="0.25">
      <c r="A1346" s="2">
        <v>1796</v>
      </c>
      <c r="B1346" s="1" t="s">
        <v>1582</v>
      </c>
      <c r="C1346" s="1" t="s">
        <v>1585</v>
      </c>
      <c r="D1346" s="1" t="s">
        <v>2062</v>
      </c>
      <c r="E1346" s="1" t="s">
        <v>2063</v>
      </c>
      <c r="F1346" s="3">
        <v>45618</v>
      </c>
      <c r="G1346" s="3">
        <v>45372</v>
      </c>
      <c r="H1346" s="3">
        <v>45736</v>
      </c>
      <c r="I1346" s="1" t="s">
        <v>3674</v>
      </c>
      <c r="J1346" s="1" t="s">
        <v>3675</v>
      </c>
      <c r="K1346" s="1"/>
      <c r="L1346" s="1" t="s">
        <v>3676</v>
      </c>
      <c r="M1346" s="1" t="s">
        <v>3677</v>
      </c>
      <c r="N1346" s="1" t="s">
        <v>3678</v>
      </c>
      <c r="O1346" s="1" t="s">
        <v>3679</v>
      </c>
      <c r="P1346" s="1" t="s">
        <v>2095</v>
      </c>
      <c r="Q1346" s="1"/>
      <c r="R1346" s="1"/>
      <c r="S1346" s="1" t="s">
        <v>2072</v>
      </c>
      <c r="T1346" s="1" t="s">
        <v>3165</v>
      </c>
      <c r="U1346" s="4">
        <v>4500000</v>
      </c>
      <c r="V1346" s="4">
        <v>3899</v>
      </c>
      <c r="W1346" s="4">
        <v>39</v>
      </c>
      <c r="X1346" s="4">
        <v>585</v>
      </c>
      <c r="Y1346" s="4">
        <v>0</v>
      </c>
      <c r="Z1346" s="5">
        <v>4523</v>
      </c>
      <c r="AA1346" s="5">
        <v>0</v>
      </c>
      <c r="AB1346" s="6">
        <v>0</v>
      </c>
      <c r="AC1346" s="4">
        <v>4523</v>
      </c>
      <c r="AD1346" s="4">
        <v>0</v>
      </c>
      <c r="AE1346" s="4">
        <v>4523</v>
      </c>
      <c r="AF1346" s="1"/>
      <c r="AG1346" s="1"/>
      <c r="AH1346" s="1"/>
      <c r="AI1346" s="1" t="s">
        <v>3057</v>
      </c>
      <c r="AJ1346" s="6">
        <v>1050.329999999997</v>
      </c>
      <c r="AK1346" s="6">
        <v>734.36</v>
      </c>
      <c r="AL1346" s="1"/>
    </row>
    <row r="1347" spans="1:38" hidden="1" x14ac:dyDescent="0.25">
      <c r="A1347" s="2">
        <v>1797</v>
      </c>
      <c r="B1347" s="1" t="s">
        <v>1582</v>
      </c>
      <c r="C1347" s="1" t="s">
        <v>1586</v>
      </c>
      <c r="D1347" s="1" t="s">
        <v>2062</v>
      </c>
      <c r="E1347" s="1" t="s">
        <v>2063</v>
      </c>
      <c r="F1347" s="3">
        <v>45649</v>
      </c>
      <c r="G1347" s="3">
        <v>45372</v>
      </c>
      <c r="H1347" s="3">
        <v>45736</v>
      </c>
      <c r="I1347" s="1" t="s">
        <v>3674</v>
      </c>
      <c r="J1347" s="1" t="s">
        <v>3675</v>
      </c>
      <c r="K1347" s="1"/>
      <c r="L1347" s="1" t="s">
        <v>3676</v>
      </c>
      <c r="M1347" s="1" t="s">
        <v>3677</v>
      </c>
      <c r="N1347" s="1" t="s">
        <v>3678</v>
      </c>
      <c r="O1347" s="1" t="s">
        <v>3679</v>
      </c>
      <c r="P1347" s="1" t="s">
        <v>2095</v>
      </c>
      <c r="Q1347" s="1"/>
      <c r="R1347" s="1"/>
      <c r="S1347" s="1" t="s">
        <v>2072</v>
      </c>
      <c r="T1347" s="1" t="s">
        <v>3165</v>
      </c>
      <c r="U1347" s="4">
        <v>4500000</v>
      </c>
      <c r="V1347" s="4">
        <v>2945</v>
      </c>
      <c r="W1347" s="4">
        <v>29</v>
      </c>
      <c r="X1347" s="4">
        <v>442</v>
      </c>
      <c r="Y1347" s="4">
        <v>0</v>
      </c>
      <c r="Z1347" s="5">
        <v>3416</v>
      </c>
      <c r="AA1347" s="5">
        <v>0</v>
      </c>
      <c r="AB1347" s="6">
        <v>0</v>
      </c>
      <c r="AC1347" s="4">
        <v>3416</v>
      </c>
      <c r="AD1347" s="4">
        <v>0</v>
      </c>
      <c r="AE1347" s="4">
        <v>3416</v>
      </c>
      <c r="AF1347" s="1"/>
      <c r="AG1347" s="1"/>
      <c r="AH1347" s="1"/>
      <c r="AI1347" s="1" t="s">
        <v>3057</v>
      </c>
      <c r="AJ1347" s="6">
        <v>739.60000000000207</v>
      </c>
      <c r="AK1347" s="6">
        <v>554.52</v>
      </c>
      <c r="AL1347" s="1"/>
    </row>
    <row r="1348" spans="1:38" hidden="1" x14ac:dyDescent="0.25">
      <c r="A1348" s="2">
        <v>1798</v>
      </c>
      <c r="B1348" s="1" t="s">
        <v>1582</v>
      </c>
      <c r="C1348" s="1" t="s">
        <v>1587</v>
      </c>
      <c r="D1348" s="1" t="s">
        <v>2062</v>
      </c>
      <c r="E1348" s="1" t="s">
        <v>2063</v>
      </c>
      <c r="F1348" s="3">
        <v>45679</v>
      </c>
      <c r="G1348" s="3">
        <v>45372</v>
      </c>
      <c r="H1348" s="3">
        <v>45736</v>
      </c>
      <c r="I1348" s="1" t="s">
        <v>3674</v>
      </c>
      <c r="J1348" s="1" t="s">
        <v>3675</v>
      </c>
      <c r="K1348" s="1"/>
      <c r="L1348" s="1" t="s">
        <v>3676</v>
      </c>
      <c r="M1348" s="1" t="s">
        <v>3677</v>
      </c>
      <c r="N1348" s="1" t="s">
        <v>3678</v>
      </c>
      <c r="O1348" s="1" t="s">
        <v>3679</v>
      </c>
      <c r="P1348" s="1" t="s">
        <v>2095</v>
      </c>
      <c r="Q1348" s="1"/>
      <c r="R1348" s="1"/>
      <c r="S1348" s="1" t="s">
        <v>2072</v>
      </c>
      <c r="T1348" s="1" t="s">
        <v>3165</v>
      </c>
      <c r="U1348" s="4">
        <v>4500000</v>
      </c>
      <c r="V1348" s="4">
        <v>2821</v>
      </c>
      <c r="W1348" s="4">
        <v>28</v>
      </c>
      <c r="X1348" s="4">
        <v>423</v>
      </c>
      <c r="Y1348" s="4">
        <v>0</v>
      </c>
      <c r="Z1348" s="5">
        <v>3272</v>
      </c>
      <c r="AA1348" s="5">
        <v>0</v>
      </c>
      <c r="AB1348" s="6">
        <v>0</v>
      </c>
      <c r="AC1348" s="4">
        <v>3272</v>
      </c>
      <c r="AD1348" s="4">
        <v>0</v>
      </c>
      <c r="AE1348" s="4">
        <v>3272</v>
      </c>
      <c r="AF1348" s="1"/>
      <c r="AG1348" s="1"/>
      <c r="AH1348" s="1"/>
      <c r="AI1348" s="1" t="s">
        <v>3057</v>
      </c>
      <c r="AJ1348" s="6">
        <v>545.7900000000011</v>
      </c>
      <c r="AK1348" s="6">
        <v>530.89000000000101</v>
      </c>
      <c r="AL1348" s="1"/>
    </row>
    <row r="1349" spans="1:38" hidden="1" x14ac:dyDescent="0.25">
      <c r="A1349" s="2">
        <v>1799</v>
      </c>
      <c r="B1349" s="1" t="s">
        <v>1582</v>
      </c>
      <c r="C1349" s="1" t="s">
        <v>1588</v>
      </c>
      <c r="D1349" s="1" t="s">
        <v>2062</v>
      </c>
      <c r="E1349" s="1" t="s">
        <v>2063</v>
      </c>
      <c r="F1349" s="3">
        <v>45709</v>
      </c>
      <c r="G1349" s="3">
        <v>45372</v>
      </c>
      <c r="H1349" s="3">
        <v>45736</v>
      </c>
      <c r="I1349" s="1" t="s">
        <v>3674</v>
      </c>
      <c r="J1349" s="1" t="s">
        <v>3675</v>
      </c>
      <c r="K1349" s="1"/>
      <c r="L1349" s="1" t="s">
        <v>3676</v>
      </c>
      <c r="M1349" s="1" t="s">
        <v>3677</v>
      </c>
      <c r="N1349" s="1" t="s">
        <v>3678</v>
      </c>
      <c r="O1349" s="1" t="s">
        <v>3679</v>
      </c>
      <c r="P1349" s="1" t="s">
        <v>2095</v>
      </c>
      <c r="Q1349" s="1"/>
      <c r="R1349" s="1"/>
      <c r="S1349" s="1" t="s">
        <v>2072</v>
      </c>
      <c r="T1349" s="1" t="s">
        <v>3165</v>
      </c>
      <c r="U1349" s="4">
        <v>4500000</v>
      </c>
      <c r="V1349" s="4">
        <v>2759</v>
      </c>
      <c r="W1349" s="4">
        <v>28</v>
      </c>
      <c r="X1349" s="4">
        <v>414</v>
      </c>
      <c r="Y1349" s="4">
        <v>0</v>
      </c>
      <c r="Z1349" s="5">
        <v>3201</v>
      </c>
      <c r="AA1349" s="5">
        <v>0</v>
      </c>
      <c r="AB1349" s="6">
        <v>0</v>
      </c>
      <c r="AC1349" s="4">
        <v>3201</v>
      </c>
      <c r="AD1349" s="4">
        <v>0</v>
      </c>
      <c r="AE1349" s="4">
        <v>3201</v>
      </c>
      <c r="AF1349" s="1"/>
      <c r="AG1349" s="1"/>
      <c r="AH1349" s="1"/>
      <c r="AI1349" s="1" t="s">
        <v>3057</v>
      </c>
      <c r="AJ1349" s="6">
        <v>1048.97000000002</v>
      </c>
      <c r="AK1349" s="6">
        <v>519.21</v>
      </c>
      <c r="AL1349" s="1"/>
    </row>
    <row r="1350" spans="1:38" hidden="1" x14ac:dyDescent="0.25">
      <c r="A1350" s="2">
        <v>1800</v>
      </c>
      <c r="B1350" s="1" t="s">
        <v>1582</v>
      </c>
      <c r="C1350" s="1" t="s">
        <v>1589</v>
      </c>
      <c r="D1350" s="1" t="s">
        <v>2062</v>
      </c>
      <c r="E1350" s="1" t="s">
        <v>2063</v>
      </c>
      <c r="F1350" s="3">
        <v>45745</v>
      </c>
      <c r="G1350" s="3">
        <v>45372</v>
      </c>
      <c r="H1350" s="3">
        <v>45736</v>
      </c>
      <c r="I1350" s="1" t="s">
        <v>3674</v>
      </c>
      <c r="J1350" s="1" t="s">
        <v>3675</v>
      </c>
      <c r="K1350" s="1"/>
      <c r="L1350" s="1" t="s">
        <v>3676</v>
      </c>
      <c r="M1350" s="1" t="s">
        <v>3677</v>
      </c>
      <c r="N1350" s="1" t="s">
        <v>3678</v>
      </c>
      <c r="O1350" s="1" t="s">
        <v>3679</v>
      </c>
      <c r="P1350" s="1" t="s">
        <v>2095</v>
      </c>
      <c r="Q1350" s="1"/>
      <c r="R1350" s="1"/>
      <c r="S1350" s="1" t="s">
        <v>2072</v>
      </c>
      <c r="T1350" s="1" t="s">
        <v>3165</v>
      </c>
      <c r="U1350" s="4">
        <v>-1</v>
      </c>
      <c r="V1350" s="4">
        <v>-23002</v>
      </c>
      <c r="W1350" s="4">
        <v>-204</v>
      </c>
      <c r="X1350" s="4">
        <v>0</v>
      </c>
      <c r="Y1350" s="4">
        <v>0</v>
      </c>
      <c r="Z1350" s="5">
        <v>-23206</v>
      </c>
      <c r="AA1350" s="5">
        <v>0</v>
      </c>
      <c r="AB1350" s="6">
        <v>0</v>
      </c>
      <c r="AC1350" s="4">
        <v>-23206</v>
      </c>
      <c r="AD1350" s="4">
        <v>0</v>
      </c>
      <c r="AE1350" s="4">
        <v>-23206</v>
      </c>
      <c r="AF1350" s="1"/>
      <c r="AG1350" s="1"/>
      <c r="AH1350" s="1"/>
      <c r="AI1350" s="1" t="s">
        <v>3057</v>
      </c>
      <c r="AJ1350" s="1"/>
      <c r="AK1350" s="1"/>
      <c r="AL1350" s="1"/>
    </row>
    <row r="1351" spans="1:38" x14ac:dyDescent="0.25">
      <c r="A1351" s="2">
        <v>1801</v>
      </c>
      <c r="B1351" s="1" t="s">
        <v>1590</v>
      </c>
      <c r="C1351" s="1"/>
      <c r="D1351" s="1" t="s">
        <v>2062</v>
      </c>
      <c r="E1351" s="1" t="s">
        <v>2063</v>
      </c>
      <c r="F1351" s="3">
        <v>45376</v>
      </c>
      <c r="G1351" s="3">
        <v>45368</v>
      </c>
      <c r="H1351" s="3">
        <v>45732</v>
      </c>
      <c r="I1351" s="1" t="s">
        <v>3680</v>
      </c>
      <c r="J1351" s="1" t="s">
        <v>3681</v>
      </c>
      <c r="K1351" s="1"/>
      <c r="L1351" s="1" t="s">
        <v>3682</v>
      </c>
      <c r="M1351" s="1" t="s">
        <v>3683</v>
      </c>
      <c r="N1351" s="1" t="s">
        <v>3684</v>
      </c>
      <c r="O1351" s="1" t="s">
        <v>3685</v>
      </c>
      <c r="P1351" s="1" t="s">
        <v>2262</v>
      </c>
      <c r="Q1351" s="1"/>
      <c r="R1351" s="1"/>
      <c r="S1351" s="1" t="s">
        <v>2072</v>
      </c>
      <c r="T1351" s="1" t="s">
        <v>2073</v>
      </c>
      <c r="U1351" s="4">
        <v>1000000</v>
      </c>
      <c r="V1351" s="4">
        <v>0</v>
      </c>
      <c r="W1351" s="4">
        <v>0</v>
      </c>
      <c r="X1351" s="4">
        <v>0</v>
      </c>
      <c r="Y1351" s="4">
        <v>50</v>
      </c>
      <c r="Z1351" s="5">
        <v>50</v>
      </c>
      <c r="AA1351" s="5">
        <v>65</v>
      </c>
      <c r="AB1351" s="6">
        <v>0</v>
      </c>
      <c r="AC1351" s="4">
        <v>-15</v>
      </c>
      <c r="AD1351" s="4">
        <v>0</v>
      </c>
      <c r="AE1351" s="4">
        <v>-15</v>
      </c>
      <c r="AF1351" s="1"/>
      <c r="AG1351" s="1"/>
      <c r="AH1351" s="1"/>
      <c r="AI1351" s="1" t="s">
        <v>3432</v>
      </c>
      <c r="AJ1351" s="1"/>
      <c r="AK1351" s="1"/>
      <c r="AL1351" s="1" t="s">
        <v>3686</v>
      </c>
    </row>
    <row r="1352" spans="1:38" hidden="1" x14ac:dyDescent="0.25">
      <c r="A1352" s="2">
        <v>1802</v>
      </c>
      <c r="B1352" s="1" t="s">
        <v>1590</v>
      </c>
      <c r="C1352" s="1" t="s">
        <v>1591</v>
      </c>
      <c r="D1352" s="1" t="s">
        <v>2062</v>
      </c>
      <c r="E1352" s="1" t="s">
        <v>2063</v>
      </c>
      <c r="F1352" s="3">
        <v>45614</v>
      </c>
      <c r="G1352" s="3">
        <v>45368</v>
      </c>
      <c r="H1352" s="3">
        <v>45732</v>
      </c>
      <c r="I1352" s="1" t="s">
        <v>3680</v>
      </c>
      <c r="J1352" s="1" t="s">
        <v>3681</v>
      </c>
      <c r="K1352" s="1"/>
      <c r="L1352" s="1" t="s">
        <v>3682</v>
      </c>
      <c r="M1352" s="1" t="s">
        <v>3683</v>
      </c>
      <c r="N1352" s="1" t="s">
        <v>3684</v>
      </c>
      <c r="O1352" s="1" t="s">
        <v>3685</v>
      </c>
      <c r="P1352" s="1" t="s">
        <v>2262</v>
      </c>
      <c r="Q1352" s="1"/>
      <c r="R1352" s="1"/>
      <c r="S1352" s="1" t="s">
        <v>2072</v>
      </c>
      <c r="T1352" s="1" t="s">
        <v>2073</v>
      </c>
      <c r="U1352" s="4">
        <v>1000000</v>
      </c>
      <c r="V1352" s="4">
        <v>13</v>
      </c>
      <c r="W1352" s="4">
        <v>0</v>
      </c>
      <c r="X1352" s="4">
        <v>2</v>
      </c>
      <c r="Y1352" s="4">
        <v>0</v>
      </c>
      <c r="Z1352" s="5">
        <v>15</v>
      </c>
      <c r="AA1352" s="5">
        <v>0</v>
      </c>
      <c r="AB1352" s="6">
        <v>0</v>
      </c>
      <c r="AC1352" s="4">
        <v>15</v>
      </c>
      <c r="AD1352" s="4">
        <v>0</v>
      </c>
      <c r="AE1352" s="4">
        <v>15</v>
      </c>
      <c r="AF1352" s="1"/>
      <c r="AG1352" s="1"/>
      <c r="AH1352" s="1"/>
      <c r="AI1352" s="1" t="s">
        <v>3432</v>
      </c>
      <c r="AJ1352" s="1"/>
      <c r="AK1352" s="1"/>
      <c r="AL1352" s="1"/>
    </row>
    <row r="1353" spans="1:38" hidden="1" x14ac:dyDescent="0.25">
      <c r="A1353" s="2">
        <v>1803</v>
      </c>
      <c r="B1353" s="1" t="s">
        <v>1592</v>
      </c>
      <c r="C1353" s="1" t="s">
        <v>1593</v>
      </c>
      <c r="D1353" s="1" t="s">
        <v>2062</v>
      </c>
      <c r="E1353" s="1" t="s">
        <v>2063</v>
      </c>
      <c r="F1353" s="3">
        <v>45404</v>
      </c>
      <c r="G1353" s="3">
        <v>45373</v>
      </c>
      <c r="H1353" s="3">
        <v>45737</v>
      </c>
      <c r="I1353" s="1" t="s">
        <v>3687</v>
      </c>
      <c r="J1353" s="1" t="s">
        <v>3688</v>
      </c>
      <c r="K1353" s="1"/>
      <c r="L1353" s="1" t="s">
        <v>2299</v>
      </c>
      <c r="M1353" s="1" t="s">
        <v>3689</v>
      </c>
      <c r="N1353" s="1" t="s">
        <v>3690</v>
      </c>
      <c r="O1353" s="1" t="s">
        <v>3691</v>
      </c>
      <c r="P1353" s="1" t="s">
        <v>2231</v>
      </c>
      <c r="Q1353" s="1"/>
      <c r="R1353" s="1"/>
      <c r="S1353" s="1" t="s">
        <v>2072</v>
      </c>
      <c r="T1353" s="1" t="s">
        <v>3165</v>
      </c>
      <c r="U1353" s="4">
        <v>2500000</v>
      </c>
      <c r="V1353" s="4">
        <v>3169</v>
      </c>
      <c r="W1353" s="4">
        <v>32</v>
      </c>
      <c r="X1353" s="4">
        <v>413</v>
      </c>
      <c r="Y1353" s="4">
        <v>0</v>
      </c>
      <c r="Z1353" s="5">
        <v>3614</v>
      </c>
      <c r="AA1353" s="5">
        <v>0</v>
      </c>
      <c r="AB1353" s="6">
        <v>0</v>
      </c>
      <c r="AC1353" s="4">
        <v>3614</v>
      </c>
      <c r="AD1353" s="4">
        <v>0</v>
      </c>
      <c r="AE1353" s="4">
        <v>3614</v>
      </c>
      <c r="AF1353" s="1"/>
      <c r="AG1353" s="1"/>
      <c r="AH1353" s="1"/>
      <c r="AI1353" s="1" t="s">
        <v>3057</v>
      </c>
      <c r="AJ1353" s="6">
        <v>1522.3300000000011</v>
      </c>
      <c r="AK1353" s="6">
        <v>1056.1599999999992</v>
      </c>
      <c r="AL1353" s="1"/>
    </row>
    <row r="1354" spans="1:38" hidden="1" x14ac:dyDescent="0.25">
      <c r="A1354" s="2">
        <v>1804</v>
      </c>
      <c r="B1354" s="1" t="s">
        <v>1592</v>
      </c>
      <c r="C1354" s="1" t="s">
        <v>1594</v>
      </c>
      <c r="D1354" s="1" t="s">
        <v>2062</v>
      </c>
      <c r="E1354" s="1" t="s">
        <v>2063</v>
      </c>
      <c r="F1354" s="3">
        <v>45434</v>
      </c>
      <c r="G1354" s="3">
        <v>45373</v>
      </c>
      <c r="H1354" s="3">
        <v>45737</v>
      </c>
      <c r="I1354" s="1" t="s">
        <v>3687</v>
      </c>
      <c r="J1354" s="1" t="s">
        <v>3688</v>
      </c>
      <c r="K1354" s="1"/>
      <c r="L1354" s="1" t="s">
        <v>2299</v>
      </c>
      <c r="M1354" s="1" t="s">
        <v>3689</v>
      </c>
      <c r="N1354" s="1" t="s">
        <v>3690</v>
      </c>
      <c r="O1354" s="1" t="s">
        <v>3691</v>
      </c>
      <c r="P1354" s="1" t="s">
        <v>2231</v>
      </c>
      <c r="Q1354" s="1"/>
      <c r="R1354" s="1"/>
      <c r="S1354" s="1" t="s">
        <v>2072</v>
      </c>
      <c r="T1354" s="1" t="s">
        <v>3165</v>
      </c>
      <c r="U1354" s="4">
        <v>2500000</v>
      </c>
      <c r="V1354" s="4">
        <v>2843</v>
      </c>
      <c r="W1354" s="4">
        <v>29</v>
      </c>
      <c r="X1354" s="4">
        <v>369</v>
      </c>
      <c r="Y1354" s="4">
        <v>0</v>
      </c>
      <c r="Z1354" s="5">
        <v>3241</v>
      </c>
      <c r="AA1354" s="5">
        <v>0</v>
      </c>
      <c r="AB1354" s="6">
        <v>0</v>
      </c>
      <c r="AC1354" s="4">
        <v>3241</v>
      </c>
      <c r="AD1354" s="4">
        <v>0</v>
      </c>
      <c r="AE1354" s="4">
        <v>3241</v>
      </c>
      <c r="AF1354" s="1"/>
      <c r="AG1354" s="1"/>
      <c r="AH1354" s="1"/>
      <c r="AI1354" s="1" t="s">
        <v>3057</v>
      </c>
      <c r="AJ1354" s="6">
        <v>1473.28</v>
      </c>
      <c r="AK1354" s="6">
        <v>946.77</v>
      </c>
      <c r="AL1354" s="1"/>
    </row>
    <row r="1355" spans="1:38" hidden="1" x14ac:dyDescent="0.25">
      <c r="A1355" s="2">
        <v>1805</v>
      </c>
      <c r="B1355" s="1" t="s">
        <v>1592</v>
      </c>
      <c r="C1355" s="1" t="s">
        <v>1595</v>
      </c>
      <c r="D1355" s="1" t="s">
        <v>2062</v>
      </c>
      <c r="E1355" s="1" t="s">
        <v>2063</v>
      </c>
      <c r="F1355" s="3">
        <v>45467</v>
      </c>
      <c r="G1355" s="3">
        <v>45373</v>
      </c>
      <c r="H1355" s="3">
        <v>45737</v>
      </c>
      <c r="I1355" s="1" t="s">
        <v>3687</v>
      </c>
      <c r="J1355" s="1" t="s">
        <v>3688</v>
      </c>
      <c r="K1355" s="1"/>
      <c r="L1355" s="1" t="s">
        <v>2299</v>
      </c>
      <c r="M1355" s="1" t="s">
        <v>3689</v>
      </c>
      <c r="N1355" s="1" t="s">
        <v>3690</v>
      </c>
      <c r="O1355" s="1" t="s">
        <v>3691</v>
      </c>
      <c r="P1355" s="1" t="s">
        <v>2231</v>
      </c>
      <c r="Q1355" s="1"/>
      <c r="R1355" s="1"/>
      <c r="S1355" s="1" t="s">
        <v>2072</v>
      </c>
      <c r="T1355" s="1" t="s">
        <v>3165</v>
      </c>
      <c r="U1355" s="4">
        <v>2500000</v>
      </c>
      <c r="V1355" s="4">
        <v>3404</v>
      </c>
      <c r="W1355" s="4">
        <v>34</v>
      </c>
      <c r="X1355" s="4">
        <v>443</v>
      </c>
      <c r="Y1355" s="4">
        <v>0</v>
      </c>
      <c r="Z1355" s="5">
        <v>3881</v>
      </c>
      <c r="AA1355" s="5">
        <v>0</v>
      </c>
      <c r="AB1355" s="6">
        <v>0</v>
      </c>
      <c r="AC1355" s="4">
        <v>3881</v>
      </c>
      <c r="AD1355" s="4">
        <v>0</v>
      </c>
      <c r="AE1355" s="4">
        <v>3881</v>
      </c>
      <c r="AF1355" s="1"/>
      <c r="AG1355" s="1"/>
      <c r="AH1355" s="1"/>
      <c r="AI1355" s="1" t="s">
        <v>3057</v>
      </c>
      <c r="AJ1355" s="6">
        <v>3232.4199999999942</v>
      </c>
      <c r="AK1355" s="6">
        <v>1133.5299999999991</v>
      </c>
      <c r="AL1355" s="1"/>
    </row>
    <row r="1356" spans="1:38" hidden="1" x14ac:dyDescent="0.25">
      <c r="A1356" s="2">
        <v>1806</v>
      </c>
      <c r="B1356" s="1" t="s">
        <v>1592</v>
      </c>
      <c r="C1356" s="1" t="s">
        <v>1596</v>
      </c>
      <c r="D1356" s="1" t="s">
        <v>2062</v>
      </c>
      <c r="E1356" s="1" t="s">
        <v>2063</v>
      </c>
      <c r="F1356" s="3">
        <v>45498</v>
      </c>
      <c r="G1356" s="3">
        <v>45373</v>
      </c>
      <c r="H1356" s="3">
        <v>45737</v>
      </c>
      <c r="I1356" s="1" t="s">
        <v>3687</v>
      </c>
      <c r="J1356" s="1" t="s">
        <v>3688</v>
      </c>
      <c r="K1356" s="1"/>
      <c r="L1356" s="1" t="s">
        <v>2299</v>
      </c>
      <c r="M1356" s="1" t="s">
        <v>3689</v>
      </c>
      <c r="N1356" s="1" t="s">
        <v>3690</v>
      </c>
      <c r="O1356" s="1" t="s">
        <v>3691</v>
      </c>
      <c r="P1356" s="1" t="s">
        <v>2231</v>
      </c>
      <c r="Q1356" s="1"/>
      <c r="R1356" s="1"/>
      <c r="S1356" s="1" t="s">
        <v>2072</v>
      </c>
      <c r="T1356" s="1" t="s">
        <v>3165</v>
      </c>
      <c r="U1356" s="4">
        <v>2500000</v>
      </c>
      <c r="V1356" s="4">
        <v>3031</v>
      </c>
      <c r="W1356" s="4">
        <v>30</v>
      </c>
      <c r="X1356" s="4">
        <v>455</v>
      </c>
      <c r="Y1356" s="4">
        <v>0</v>
      </c>
      <c r="Z1356" s="5">
        <v>3516</v>
      </c>
      <c r="AA1356" s="5">
        <v>0</v>
      </c>
      <c r="AB1356" s="6">
        <v>0</v>
      </c>
      <c r="AC1356" s="4">
        <v>3516</v>
      </c>
      <c r="AD1356" s="4">
        <v>0</v>
      </c>
      <c r="AE1356" s="4">
        <v>3516</v>
      </c>
      <c r="AF1356" s="1"/>
      <c r="AG1356" s="1"/>
      <c r="AH1356" s="1"/>
      <c r="AI1356" s="1" t="s">
        <v>3057</v>
      </c>
      <c r="AJ1356" s="6">
        <v>1752.09</v>
      </c>
      <c r="AK1356" s="6">
        <v>1026.76</v>
      </c>
      <c r="AL1356" s="1"/>
    </row>
    <row r="1357" spans="1:38" hidden="1" x14ac:dyDescent="0.25">
      <c r="A1357" s="2">
        <v>1807</v>
      </c>
      <c r="B1357" s="1" t="s">
        <v>1592</v>
      </c>
      <c r="C1357" s="1" t="s">
        <v>1597</v>
      </c>
      <c r="D1357" s="1" t="s">
        <v>2062</v>
      </c>
      <c r="E1357" s="1" t="s">
        <v>2063</v>
      </c>
      <c r="F1357" s="3">
        <v>45531</v>
      </c>
      <c r="G1357" s="3">
        <v>45373</v>
      </c>
      <c r="H1357" s="3">
        <v>45737</v>
      </c>
      <c r="I1357" s="1" t="s">
        <v>3687</v>
      </c>
      <c r="J1357" s="1" t="s">
        <v>3688</v>
      </c>
      <c r="K1357" s="1"/>
      <c r="L1357" s="1" t="s">
        <v>2299</v>
      </c>
      <c r="M1357" s="1" t="s">
        <v>3689</v>
      </c>
      <c r="N1357" s="1" t="s">
        <v>3690</v>
      </c>
      <c r="O1357" s="1" t="s">
        <v>3691</v>
      </c>
      <c r="P1357" s="1" t="s">
        <v>2231</v>
      </c>
      <c r="Q1357" s="1"/>
      <c r="R1357" s="1"/>
      <c r="S1357" s="1" t="s">
        <v>2072</v>
      </c>
      <c r="T1357" s="1" t="s">
        <v>3165</v>
      </c>
      <c r="U1357" s="4">
        <v>2500000</v>
      </c>
      <c r="V1357" s="4">
        <v>2561</v>
      </c>
      <c r="W1357" s="4">
        <v>26</v>
      </c>
      <c r="X1357" s="4">
        <v>384</v>
      </c>
      <c r="Y1357" s="4">
        <v>0</v>
      </c>
      <c r="Z1357" s="5">
        <v>2971</v>
      </c>
      <c r="AA1357" s="5">
        <v>0</v>
      </c>
      <c r="AB1357" s="6">
        <v>0</v>
      </c>
      <c r="AC1357" s="4">
        <v>2971</v>
      </c>
      <c r="AD1357" s="4">
        <v>0</v>
      </c>
      <c r="AE1357" s="4">
        <v>2971</v>
      </c>
      <c r="AF1357" s="1"/>
      <c r="AG1357" s="1"/>
      <c r="AH1357" s="1"/>
      <c r="AI1357" s="1" t="s">
        <v>3057</v>
      </c>
      <c r="AJ1357" s="6">
        <v>1431.5200000000009</v>
      </c>
      <c r="AK1357" s="6">
        <v>868.14</v>
      </c>
      <c r="AL1357" s="1"/>
    </row>
    <row r="1358" spans="1:38" hidden="1" x14ac:dyDescent="0.25">
      <c r="A1358" s="2">
        <v>1808</v>
      </c>
      <c r="B1358" s="1" t="s">
        <v>1592</v>
      </c>
      <c r="C1358" s="1" t="s">
        <v>1598</v>
      </c>
      <c r="D1358" s="1" t="s">
        <v>2062</v>
      </c>
      <c r="E1358" s="1" t="s">
        <v>2063</v>
      </c>
      <c r="F1358" s="3">
        <v>45561</v>
      </c>
      <c r="G1358" s="3">
        <v>45373</v>
      </c>
      <c r="H1358" s="3">
        <v>45737</v>
      </c>
      <c r="I1358" s="1" t="s">
        <v>3687</v>
      </c>
      <c r="J1358" s="1" t="s">
        <v>3688</v>
      </c>
      <c r="K1358" s="1"/>
      <c r="L1358" s="1" t="s">
        <v>2299</v>
      </c>
      <c r="M1358" s="1" t="s">
        <v>3689</v>
      </c>
      <c r="N1358" s="1" t="s">
        <v>3690</v>
      </c>
      <c r="O1358" s="1" t="s">
        <v>3691</v>
      </c>
      <c r="P1358" s="1" t="s">
        <v>2231</v>
      </c>
      <c r="Q1358" s="1"/>
      <c r="R1358" s="1"/>
      <c r="S1358" s="1" t="s">
        <v>2072</v>
      </c>
      <c r="T1358" s="1" t="s">
        <v>3165</v>
      </c>
      <c r="U1358" s="4">
        <v>2500000</v>
      </c>
      <c r="V1358" s="4">
        <v>2510</v>
      </c>
      <c r="W1358" s="4">
        <v>25</v>
      </c>
      <c r="X1358" s="4">
        <v>377</v>
      </c>
      <c r="Y1358" s="4">
        <v>0</v>
      </c>
      <c r="Z1358" s="5">
        <v>2912</v>
      </c>
      <c r="AA1358" s="5">
        <v>0</v>
      </c>
      <c r="AB1358" s="6">
        <v>0</v>
      </c>
      <c r="AC1358" s="4">
        <v>2912</v>
      </c>
      <c r="AD1358" s="4">
        <v>0</v>
      </c>
      <c r="AE1358" s="4">
        <v>2912</v>
      </c>
      <c r="AF1358" s="1"/>
      <c r="AG1358" s="1"/>
      <c r="AH1358" s="1"/>
      <c r="AI1358" s="1" t="s">
        <v>3057</v>
      </c>
      <c r="AJ1358" s="6">
        <v>1136.42</v>
      </c>
      <c r="AK1358" s="6">
        <v>850.68</v>
      </c>
      <c r="AL1358" s="1"/>
    </row>
    <row r="1359" spans="1:38" hidden="1" x14ac:dyDescent="0.25">
      <c r="A1359" s="2">
        <v>1809</v>
      </c>
      <c r="B1359" s="1" t="s">
        <v>1592</v>
      </c>
      <c r="C1359" s="1" t="s">
        <v>1599</v>
      </c>
      <c r="D1359" s="1" t="s">
        <v>2062</v>
      </c>
      <c r="E1359" s="1" t="s">
        <v>2063</v>
      </c>
      <c r="F1359" s="3">
        <v>45588</v>
      </c>
      <c r="G1359" s="3">
        <v>45373</v>
      </c>
      <c r="H1359" s="3">
        <v>45737</v>
      </c>
      <c r="I1359" s="1" t="s">
        <v>3687</v>
      </c>
      <c r="J1359" s="1" t="s">
        <v>3688</v>
      </c>
      <c r="K1359" s="1"/>
      <c r="L1359" s="1" t="s">
        <v>2299</v>
      </c>
      <c r="M1359" s="1" t="s">
        <v>3689</v>
      </c>
      <c r="N1359" s="1" t="s">
        <v>3690</v>
      </c>
      <c r="O1359" s="1" t="s">
        <v>3691</v>
      </c>
      <c r="P1359" s="1" t="s">
        <v>2231</v>
      </c>
      <c r="Q1359" s="1"/>
      <c r="R1359" s="1"/>
      <c r="S1359" s="1" t="s">
        <v>2072</v>
      </c>
      <c r="T1359" s="1" t="s">
        <v>3165</v>
      </c>
      <c r="U1359" s="4">
        <v>2500000</v>
      </c>
      <c r="V1359" s="4">
        <v>2970</v>
      </c>
      <c r="W1359" s="4">
        <v>30</v>
      </c>
      <c r="X1359" s="4">
        <v>445</v>
      </c>
      <c r="Y1359" s="4">
        <v>0</v>
      </c>
      <c r="Z1359" s="5">
        <v>3445</v>
      </c>
      <c r="AA1359" s="5">
        <v>0</v>
      </c>
      <c r="AB1359" s="6">
        <v>0</v>
      </c>
      <c r="AC1359" s="4">
        <v>3445</v>
      </c>
      <c r="AD1359" s="4">
        <v>0</v>
      </c>
      <c r="AE1359" s="4">
        <v>3445</v>
      </c>
      <c r="AF1359" s="1"/>
      <c r="AG1359" s="1"/>
      <c r="AH1359" s="1"/>
      <c r="AI1359" s="1" t="s">
        <v>3057</v>
      </c>
      <c r="AJ1359" s="6">
        <v>1423.29</v>
      </c>
      <c r="AK1359" s="6">
        <v>1006.1799999999989</v>
      </c>
      <c r="AL1359" s="1"/>
    </row>
    <row r="1360" spans="1:38" hidden="1" x14ac:dyDescent="0.25">
      <c r="A1360" s="2">
        <v>1810</v>
      </c>
      <c r="B1360" s="1" t="s">
        <v>1592</v>
      </c>
      <c r="C1360" s="1" t="s">
        <v>1600</v>
      </c>
      <c r="D1360" s="1" t="s">
        <v>2062</v>
      </c>
      <c r="E1360" s="1" t="s">
        <v>2063</v>
      </c>
      <c r="F1360" s="3">
        <v>45621</v>
      </c>
      <c r="G1360" s="3">
        <v>45373</v>
      </c>
      <c r="H1360" s="3">
        <v>45737</v>
      </c>
      <c r="I1360" s="1" t="s">
        <v>3687</v>
      </c>
      <c r="J1360" s="1" t="s">
        <v>3688</v>
      </c>
      <c r="K1360" s="1"/>
      <c r="L1360" s="1" t="s">
        <v>2299</v>
      </c>
      <c r="M1360" s="1" t="s">
        <v>3689</v>
      </c>
      <c r="N1360" s="1" t="s">
        <v>3690</v>
      </c>
      <c r="O1360" s="1" t="s">
        <v>3691</v>
      </c>
      <c r="P1360" s="1" t="s">
        <v>2231</v>
      </c>
      <c r="Q1360" s="1"/>
      <c r="R1360" s="1"/>
      <c r="S1360" s="1" t="s">
        <v>2072</v>
      </c>
      <c r="T1360" s="1" t="s">
        <v>3165</v>
      </c>
      <c r="U1360" s="4">
        <v>2500000</v>
      </c>
      <c r="V1360" s="4">
        <v>3635</v>
      </c>
      <c r="W1360" s="4">
        <v>36</v>
      </c>
      <c r="X1360" s="4">
        <v>545</v>
      </c>
      <c r="Y1360" s="4">
        <v>0</v>
      </c>
      <c r="Z1360" s="5">
        <v>4216</v>
      </c>
      <c r="AA1360" s="5">
        <v>0</v>
      </c>
      <c r="AB1360" s="6">
        <v>0</v>
      </c>
      <c r="AC1360" s="4">
        <v>4216</v>
      </c>
      <c r="AD1360" s="4">
        <v>0</v>
      </c>
      <c r="AE1360" s="4">
        <v>4216</v>
      </c>
      <c r="AF1360" s="1"/>
      <c r="AG1360" s="1"/>
      <c r="AH1360" s="1"/>
      <c r="AI1360" s="1" t="s">
        <v>3057</v>
      </c>
      <c r="AJ1360" s="6">
        <v>2394.84</v>
      </c>
      <c r="AK1360" s="6">
        <v>1231.21</v>
      </c>
      <c r="AL1360" s="1"/>
    </row>
    <row r="1361" spans="1:38" hidden="1" x14ac:dyDescent="0.25">
      <c r="A1361" s="2">
        <v>1811</v>
      </c>
      <c r="B1361" s="1" t="s">
        <v>1592</v>
      </c>
      <c r="C1361" s="1" t="s">
        <v>1601</v>
      </c>
      <c r="D1361" s="1" t="s">
        <v>2062</v>
      </c>
      <c r="E1361" s="1" t="s">
        <v>2063</v>
      </c>
      <c r="F1361" s="3">
        <v>45650</v>
      </c>
      <c r="G1361" s="3">
        <v>45373</v>
      </c>
      <c r="H1361" s="3">
        <v>45737</v>
      </c>
      <c r="I1361" s="1" t="s">
        <v>3687</v>
      </c>
      <c r="J1361" s="1" t="s">
        <v>3688</v>
      </c>
      <c r="K1361" s="1"/>
      <c r="L1361" s="1" t="s">
        <v>2299</v>
      </c>
      <c r="M1361" s="1" t="s">
        <v>3689</v>
      </c>
      <c r="N1361" s="1" t="s">
        <v>3690</v>
      </c>
      <c r="O1361" s="1" t="s">
        <v>3691</v>
      </c>
      <c r="P1361" s="1" t="s">
        <v>2231</v>
      </c>
      <c r="Q1361" s="1"/>
      <c r="R1361" s="1"/>
      <c r="S1361" s="1" t="s">
        <v>2072</v>
      </c>
      <c r="T1361" s="1" t="s">
        <v>3165</v>
      </c>
      <c r="U1361" s="4">
        <v>2500000</v>
      </c>
      <c r="V1361" s="4">
        <v>3224</v>
      </c>
      <c r="W1361" s="4">
        <v>32</v>
      </c>
      <c r="X1361" s="4">
        <v>483</v>
      </c>
      <c r="Y1361" s="4">
        <v>0</v>
      </c>
      <c r="Z1361" s="5">
        <v>3739</v>
      </c>
      <c r="AA1361" s="5">
        <v>0</v>
      </c>
      <c r="AB1361" s="6">
        <v>0</v>
      </c>
      <c r="AC1361" s="4">
        <v>3739</v>
      </c>
      <c r="AD1361" s="4">
        <v>0</v>
      </c>
      <c r="AE1361" s="4">
        <v>3739</v>
      </c>
      <c r="AF1361" s="1"/>
      <c r="AG1361" s="1"/>
      <c r="AH1361" s="1"/>
      <c r="AI1361" s="1" t="s">
        <v>3057</v>
      </c>
      <c r="AJ1361" s="6">
        <v>1465.2100000000009</v>
      </c>
      <c r="AK1361" s="6">
        <v>1092.24</v>
      </c>
      <c r="AL1361" s="1"/>
    </row>
    <row r="1362" spans="1:38" hidden="1" x14ac:dyDescent="0.25">
      <c r="A1362" s="2">
        <v>1812</v>
      </c>
      <c r="B1362" s="1" t="s">
        <v>1592</v>
      </c>
      <c r="C1362" s="1" t="s">
        <v>1602</v>
      </c>
      <c r="D1362" s="1" t="s">
        <v>2062</v>
      </c>
      <c r="E1362" s="1" t="s">
        <v>2063</v>
      </c>
      <c r="F1362" s="3">
        <v>45655</v>
      </c>
      <c r="G1362" s="3">
        <v>45373</v>
      </c>
      <c r="H1362" s="3">
        <v>45737</v>
      </c>
      <c r="I1362" s="1" t="s">
        <v>3687</v>
      </c>
      <c r="J1362" s="1" t="s">
        <v>3688</v>
      </c>
      <c r="K1362" s="1"/>
      <c r="L1362" s="1" t="s">
        <v>2299</v>
      </c>
      <c r="M1362" s="1" t="s">
        <v>3689</v>
      </c>
      <c r="N1362" s="1" t="s">
        <v>3690</v>
      </c>
      <c r="O1362" s="1" t="s">
        <v>3691</v>
      </c>
      <c r="P1362" s="1" t="s">
        <v>2231</v>
      </c>
      <c r="Q1362" s="1"/>
      <c r="R1362" s="1"/>
      <c r="S1362" s="1" t="s">
        <v>2072</v>
      </c>
      <c r="T1362" s="1" t="s">
        <v>3165</v>
      </c>
      <c r="U1362" s="4">
        <v>-1</v>
      </c>
      <c r="V1362" s="4">
        <v>-31223</v>
      </c>
      <c r="W1362" s="4">
        <v>-312</v>
      </c>
      <c r="X1362" s="4">
        <v>0</v>
      </c>
      <c r="Y1362" s="4">
        <v>0</v>
      </c>
      <c r="Z1362" s="5">
        <v>-31535</v>
      </c>
      <c r="AA1362" s="5">
        <v>0</v>
      </c>
      <c r="AB1362" s="6">
        <v>0</v>
      </c>
      <c r="AC1362" s="4">
        <v>-31535</v>
      </c>
      <c r="AD1362" s="4">
        <v>0</v>
      </c>
      <c r="AE1362" s="4">
        <v>-31535</v>
      </c>
      <c r="AF1362" s="1"/>
      <c r="AG1362" s="1"/>
      <c r="AH1362" s="1"/>
      <c r="AI1362" s="1" t="s">
        <v>3057</v>
      </c>
      <c r="AJ1362" s="1"/>
      <c r="AK1362" s="1"/>
      <c r="AL1362" s="1"/>
    </row>
    <row r="1363" spans="1:38" hidden="1" x14ac:dyDescent="0.25">
      <c r="A1363" s="2">
        <v>1813</v>
      </c>
      <c r="B1363" s="1" t="s">
        <v>1603</v>
      </c>
      <c r="C1363" s="1" t="s">
        <v>1604</v>
      </c>
      <c r="D1363" s="1" t="s">
        <v>2062</v>
      </c>
      <c r="E1363" s="1" t="s">
        <v>2063</v>
      </c>
      <c r="F1363" s="3">
        <v>45640</v>
      </c>
      <c r="G1363" s="3">
        <v>45335</v>
      </c>
      <c r="H1363" s="3">
        <v>45700</v>
      </c>
      <c r="I1363" s="1" t="s">
        <v>3551</v>
      </c>
      <c r="J1363" s="1" t="s">
        <v>3692</v>
      </c>
      <c r="K1363" s="1"/>
      <c r="L1363" s="1" t="s">
        <v>2450</v>
      </c>
      <c r="M1363" s="1" t="s">
        <v>3693</v>
      </c>
      <c r="N1363" s="1" t="s">
        <v>3694</v>
      </c>
      <c r="O1363" s="1" t="s">
        <v>3695</v>
      </c>
      <c r="P1363" s="1" t="s">
        <v>2247</v>
      </c>
      <c r="Q1363" s="1" t="s">
        <v>3556</v>
      </c>
      <c r="R1363" s="1"/>
      <c r="S1363" s="1" t="s">
        <v>2072</v>
      </c>
      <c r="T1363" s="1" t="s">
        <v>2073</v>
      </c>
      <c r="U1363" s="4">
        <v>1400000</v>
      </c>
      <c r="V1363" s="4">
        <v>414</v>
      </c>
      <c r="W1363" s="4">
        <v>4</v>
      </c>
      <c r="X1363" s="4">
        <v>62</v>
      </c>
      <c r="Y1363" s="4">
        <v>0</v>
      </c>
      <c r="Z1363" s="5">
        <v>480</v>
      </c>
      <c r="AA1363" s="5">
        <v>0</v>
      </c>
      <c r="AB1363" s="6">
        <v>0</v>
      </c>
      <c r="AC1363" s="4">
        <v>480</v>
      </c>
      <c r="AD1363" s="4">
        <v>0</v>
      </c>
      <c r="AE1363" s="4">
        <v>480</v>
      </c>
      <c r="AF1363" s="1"/>
      <c r="AG1363" s="1"/>
      <c r="AH1363" s="1"/>
      <c r="AI1363" s="1" t="s">
        <v>3432</v>
      </c>
      <c r="AJ1363" s="6">
        <v>683.17000000001315</v>
      </c>
      <c r="AK1363" s="6">
        <v>249.36</v>
      </c>
      <c r="AL1363" s="1"/>
    </row>
    <row r="1364" spans="1:38" hidden="1" x14ac:dyDescent="0.25">
      <c r="A1364" s="2">
        <v>1814</v>
      </c>
      <c r="B1364" s="1" t="s">
        <v>1603</v>
      </c>
      <c r="C1364" s="1" t="s">
        <v>1605</v>
      </c>
      <c r="D1364" s="1" t="s">
        <v>2062</v>
      </c>
      <c r="E1364" s="1" t="s">
        <v>2063</v>
      </c>
      <c r="F1364" s="3">
        <v>45655</v>
      </c>
      <c r="G1364" s="3">
        <v>45335</v>
      </c>
      <c r="H1364" s="3">
        <v>45700</v>
      </c>
      <c r="I1364" s="1" t="s">
        <v>3551</v>
      </c>
      <c r="J1364" s="1" t="s">
        <v>3692</v>
      </c>
      <c r="K1364" s="1"/>
      <c r="L1364" s="1" t="s">
        <v>2450</v>
      </c>
      <c r="M1364" s="1" t="s">
        <v>3693</v>
      </c>
      <c r="N1364" s="1" t="s">
        <v>3694</v>
      </c>
      <c r="O1364" s="1" t="s">
        <v>3695</v>
      </c>
      <c r="P1364" s="1" t="s">
        <v>2247</v>
      </c>
      <c r="Q1364" s="1" t="s">
        <v>3556</v>
      </c>
      <c r="R1364" s="1"/>
      <c r="S1364" s="1" t="s">
        <v>2072</v>
      </c>
      <c r="T1364" s="1" t="s">
        <v>2073</v>
      </c>
      <c r="U1364" s="4">
        <v>-1</v>
      </c>
      <c r="V1364" s="4">
        <v>-475</v>
      </c>
      <c r="W1364" s="4">
        <v>-5</v>
      </c>
      <c r="X1364" s="4">
        <v>0</v>
      </c>
      <c r="Y1364" s="4">
        <v>0</v>
      </c>
      <c r="Z1364" s="5">
        <v>-480</v>
      </c>
      <c r="AA1364" s="5">
        <v>0</v>
      </c>
      <c r="AB1364" s="6">
        <v>0</v>
      </c>
      <c r="AC1364" s="4">
        <v>-480</v>
      </c>
      <c r="AD1364" s="4">
        <v>0</v>
      </c>
      <c r="AE1364" s="4">
        <v>-480</v>
      </c>
      <c r="AF1364" s="1"/>
      <c r="AG1364" s="1"/>
      <c r="AH1364" s="1"/>
      <c r="AI1364" s="1" t="s">
        <v>3432</v>
      </c>
      <c r="AJ1364" s="1"/>
      <c r="AK1364" s="1"/>
      <c r="AL1364" s="1"/>
    </row>
    <row r="1365" spans="1:38" x14ac:dyDescent="0.25">
      <c r="A1365" s="2">
        <v>1815</v>
      </c>
      <c r="B1365" s="1" t="s">
        <v>1606</v>
      </c>
      <c r="C1365" s="1"/>
      <c r="D1365" s="1" t="s">
        <v>2062</v>
      </c>
      <c r="E1365" s="1" t="s">
        <v>2063</v>
      </c>
      <c r="F1365" s="3">
        <v>45378</v>
      </c>
      <c r="G1365" s="3">
        <v>45317</v>
      </c>
      <c r="H1365" s="3">
        <v>45682</v>
      </c>
      <c r="I1365" s="1" t="s">
        <v>3696</v>
      </c>
      <c r="J1365" s="1" t="s">
        <v>3697</v>
      </c>
      <c r="K1365" s="1"/>
      <c r="L1365" s="1" t="s">
        <v>2864</v>
      </c>
      <c r="M1365" s="1" t="s">
        <v>3698</v>
      </c>
      <c r="N1365" s="1" t="s">
        <v>3699</v>
      </c>
      <c r="O1365" s="1" t="s">
        <v>3700</v>
      </c>
      <c r="P1365" s="1" t="s">
        <v>2231</v>
      </c>
      <c r="Q1365" s="1"/>
      <c r="R1365" s="1"/>
      <c r="S1365" s="1" t="s">
        <v>2072</v>
      </c>
      <c r="T1365" s="1" t="s">
        <v>2073</v>
      </c>
      <c r="U1365" s="4">
        <v>-1</v>
      </c>
      <c r="V1365" s="4">
        <v>0</v>
      </c>
      <c r="W1365" s="4">
        <v>0</v>
      </c>
      <c r="X1365" s="4">
        <v>0</v>
      </c>
      <c r="Y1365" s="4">
        <v>50</v>
      </c>
      <c r="Z1365" s="5">
        <v>50</v>
      </c>
      <c r="AA1365" s="5">
        <v>0</v>
      </c>
      <c r="AB1365" s="6">
        <v>0</v>
      </c>
      <c r="AC1365" s="4">
        <v>50</v>
      </c>
      <c r="AD1365" s="4">
        <v>0</v>
      </c>
      <c r="AE1365" s="4">
        <v>50</v>
      </c>
      <c r="AF1365" s="1"/>
      <c r="AG1365" s="1"/>
      <c r="AH1365" s="1"/>
      <c r="AI1365" s="1" t="s">
        <v>3432</v>
      </c>
      <c r="AJ1365" s="1"/>
      <c r="AK1365" s="1"/>
      <c r="AL1365" s="1" t="s">
        <v>3701</v>
      </c>
    </row>
    <row r="1366" spans="1:38" hidden="1" x14ac:dyDescent="0.25">
      <c r="A1366" s="2">
        <v>1816</v>
      </c>
      <c r="B1366" s="1" t="s">
        <v>1606</v>
      </c>
      <c r="C1366" s="1" t="s">
        <v>1607</v>
      </c>
      <c r="D1366" s="1" t="s">
        <v>2062</v>
      </c>
      <c r="E1366" s="1" t="s">
        <v>2063</v>
      </c>
      <c r="F1366" s="3">
        <v>45409</v>
      </c>
      <c r="G1366" s="3">
        <v>45317</v>
      </c>
      <c r="H1366" s="3">
        <v>45682</v>
      </c>
      <c r="I1366" s="1" t="s">
        <v>3696</v>
      </c>
      <c r="J1366" s="1" t="s">
        <v>3697</v>
      </c>
      <c r="K1366" s="1"/>
      <c r="L1366" s="1" t="s">
        <v>2864</v>
      </c>
      <c r="M1366" s="1" t="s">
        <v>3698</v>
      </c>
      <c r="N1366" s="1" t="s">
        <v>3699</v>
      </c>
      <c r="O1366" s="1" t="s">
        <v>3700</v>
      </c>
      <c r="P1366" s="1" t="s">
        <v>2231</v>
      </c>
      <c r="Q1366" s="1"/>
      <c r="R1366" s="1"/>
      <c r="S1366" s="1" t="s">
        <v>2072</v>
      </c>
      <c r="T1366" s="1" t="s">
        <v>2073</v>
      </c>
      <c r="U1366" s="4">
        <v>2200000</v>
      </c>
      <c r="V1366" s="4">
        <v>2481</v>
      </c>
      <c r="W1366" s="4">
        <v>25</v>
      </c>
      <c r="X1366" s="4">
        <v>322</v>
      </c>
      <c r="Y1366" s="4">
        <v>0</v>
      </c>
      <c r="Z1366" s="5">
        <v>2828</v>
      </c>
      <c r="AA1366" s="5">
        <v>0</v>
      </c>
      <c r="AB1366" s="6">
        <v>0</v>
      </c>
      <c r="AC1366" s="4">
        <v>2828</v>
      </c>
      <c r="AD1366" s="4">
        <v>0</v>
      </c>
      <c r="AE1366" s="4">
        <v>2828</v>
      </c>
      <c r="AF1366" s="1"/>
      <c r="AG1366" s="1"/>
      <c r="AH1366" s="1"/>
      <c r="AI1366" s="1" t="s">
        <v>3432</v>
      </c>
      <c r="AJ1366" s="6">
        <v>1489.3000000000081</v>
      </c>
      <c r="AK1366" s="6">
        <v>936.98</v>
      </c>
      <c r="AL1366" s="1"/>
    </row>
    <row r="1367" spans="1:38" hidden="1" x14ac:dyDescent="0.25">
      <c r="A1367" s="2">
        <v>1817</v>
      </c>
      <c r="B1367" s="1" t="s">
        <v>1606</v>
      </c>
      <c r="C1367" s="1" t="s">
        <v>1608</v>
      </c>
      <c r="D1367" s="1" t="s">
        <v>2062</v>
      </c>
      <c r="E1367" s="1" t="s">
        <v>2063</v>
      </c>
      <c r="F1367" s="3">
        <v>45439</v>
      </c>
      <c r="G1367" s="3">
        <v>45317</v>
      </c>
      <c r="H1367" s="3">
        <v>45682</v>
      </c>
      <c r="I1367" s="1" t="s">
        <v>3696</v>
      </c>
      <c r="J1367" s="1" t="s">
        <v>3697</v>
      </c>
      <c r="K1367" s="1"/>
      <c r="L1367" s="1" t="s">
        <v>2864</v>
      </c>
      <c r="M1367" s="1" t="s">
        <v>3698</v>
      </c>
      <c r="N1367" s="1" t="s">
        <v>3699</v>
      </c>
      <c r="O1367" s="1" t="s">
        <v>3700</v>
      </c>
      <c r="P1367" s="1" t="s">
        <v>2231</v>
      </c>
      <c r="Q1367" s="1"/>
      <c r="R1367" s="1"/>
      <c r="S1367" s="1" t="s">
        <v>2072</v>
      </c>
      <c r="T1367" s="1" t="s">
        <v>2073</v>
      </c>
      <c r="U1367" s="4">
        <v>2200000</v>
      </c>
      <c r="V1367" s="4">
        <v>2465</v>
      </c>
      <c r="W1367" s="4">
        <v>24</v>
      </c>
      <c r="X1367" s="4">
        <v>321</v>
      </c>
      <c r="Y1367" s="4">
        <v>0</v>
      </c>
      <c r="Z1367" s="5">
        <v>2810</v>
      </c>
      <c r="AA1367" s="5">
        <v>0</v>
      </c>
      <c r="AB1367" s="6">
        <v>0</v>
      </c>
      <c r="AC1367" s="4">
        <v>2810</v>
      </c>
      <c r="AD1367" s="4">
        <v>0</v>
      </c>
      <c r="AE1367" s="4">
        <v>2810</v>
      </c>
      <c r="AF1367" s="1"/>
      <c r="AG1367" s="1"/>
      <c r="AH1367" s="1"/>
      <c r="AI1367" s="1" t="s">
        <v>3432</v>
      </c>
      <c r="AJ1367" s="6">
        <v>1453.920000000011</v>
      </c>
      <c r="AK1367" s="6">
        <v>931.69</v>
      </c>
      <c r="AL1367" s="1"/>
    </row>
    <row r="1368" spans="1:38" hidden="1" x14ac:dyDescent="0.25">
      <c r="A1368" s="2">
        <v>1818</v>
      </c>
      <c r="B1368" s="1" t="s">
        <v>1606</v>
      </c>
      <c r="C1368" s="1" t="s">
        <v>1609</v>
      </c>
      <c r="D1368" s="1" t="s">
        <v>2062</v>
      </c>
      <c r="E1368" s="1" t="s">
        <v>2063</v>
      </c>
      <c r="F1368" s="3">
        <v>45469</v>
      </c>
      <c r="G1368" s="3">
        <v>45317</v>
      </c>
      <c r="H1368" s="3">
        <v>45682</v>
      </c>
      <c r="I1368" s="1" t="s">
        <v>3696</v>
      </c>
      <c r="J1368" s="1" t="s">
        <v>3697</v>
      </c>
      <c r="K1368" s="1"/>
      <c r="L1368" s="1" t="s">
        <v>2864</v>
      </c>
      <c r="M1368" s="1" t="s">
        <v>3698</v>
      </c>
      <c r="N1368" s="1" t="s">
        <v>3699</v>
      </c>
      <c r="O1368" s="1" t="s">
        <v>3700</v>
      </c>
      <c r="P1368" s="1" t="s">
        <v>2231</v>
      </c>
      <c r="Q1368" s="1"/>
      <c r="R1368" s="1"/>
      <c r="S1368" s="1" t="s">
        <v>2072</v>
      </c>
      <c r="T1368" s="1" t="s">
        <v>2073</v>
      </c>
      <c r="U1368" s="4">
        <v>2200000</v>
      </c>
      <c r="V1368" s="4">
        <v>2703</v>
      </c>
      <c r="W1368" s="4">
        <v>27</v>
      </c>
      <c r="X1368" s="4">
        <v>351</v>
      </c>
      <c r="Y1368" s="4">
        <v>0</v>
      </c>
      <c r="Z1368" s="5">
        <v>3081</v>
      </c>
      <c r="AA1368" s="5">
        <v>0</v>
      </c>
      <c r="AB1368" s="6">
        <v>0</v>
      </c>
      <c r="AC1368" s="4">
        <v>3081</v>
      </c>
      <c r="AD1368" s="4">
        <v>0</v>
      </c>
      <c r="AE1368" s="4">
        <v>3081</v>
      </c>
      <c r="AF1368" s="1"/>
      <c r="AG1368" s="1"/>
      <c r="AH1368" s="1"/>
      <c r="AI1368" s="1" t="s">
        <v>3432</v>
      </c>
      <c r="AJ1368" s="6">
        <v>1750.4500000000151</v>
      </c>
      <c r="AK1368" s="6">
        <v>1021.5400000000002</v>
      </c>
      <c r="AL1368" s="1"/>
    </row>
    <row r="1369" spans="1:38" hidden="1" x14ac:dyDescent="0.25">
      <c r="A1369" s="2">
        <v>1819</v>
      </c>
      <c r="B1369" s="1" t="s">
        <v>1606</v>
      </c>
      <c r="C1369" s="1" t="s">
        <v>1610</v>
      </c>
      <c r="D1369" s="1" t="s">
        <v>2062</v>
      </c>
      <c r="E1369" s="1" t="s">
        <v>2063</v>
      </c>
      <c r="F1369" s="3">
        <v>45499</v>
      </c>
      <c r="G1369" s="3">
        <v>45317</v>
      </c>
      <c r="H1369" s="3">
        <v>45682</v>
      </c>
      <c r="I1369" s="1" t="s">
        <v>3696</v>
      </c>
      <c r="J1369" s="1" t="s">
        <v>3697</v>
      </c>
      <c r="K1369" s="1"/>
      <c r="L1369" s="1" t="s">
        <v>2864</v>
      </c>
      <c r="M1369" s="1" t="s">
        <v>3698</v>
      </c>
      <c r="N1369" s="1" t="s">
        <v>3699</v>
      </c>
      <c r="O1369" s="1" t="s">
        <v>3700</v>
      </c>
      <c r="P1369" s="1" t="s">
        <v>2231</v>
      </c>
      <c r="Q1369" s="1"/>
      <c r="R1369" s="1"/>
      <c r="S1369" s="1" t="s">
        <v>2072</v>
      </c>
      <c r="T1369" s="1" t="s">
        <v>2073</v>
      </c>
      <c r="U1369" s="4">
        <v>2200000</v>
      </c>
      <c r="V1369" s="4">
        <v>2427</v>
      </c>
      <c r="W1369" s="4">
        <v>24</v>
      </c>
      <c r="X1369" s="4">
        <v>364</v>
      </c>
      <c r="Y1369" s="4">
        <v>0</v>
      </c>
      <c r="Z1369" s="5">
        <v>2815</v>
      </c>
      <c r="AA1369" s="5">
        <v>0</v>
      </c>
      <c r="AB1369" s="6">
        <v>0</v>
      </c>
      <c r="AC1369" s="4">
        <v>2815</v>
      </c>
      <c r="AD1369" s="4">
        <v>0</v>
      </c>
      <c r="AE1369" s="4">
        <v>2815</v>
      </c>
      <c r="AF1369" s="1"/>
      <c r="AG1369" s="1"/>
      <c r="AH1369" s="1"/>
      <c r="AI1369" s="1" t="s">
        <v>3432</v>
      </c>
      <c r="AJ1369" s="6">
        <v>1151.96</v>
      </c>
      <c r="AK1369" s="6">
        <v>932.26</v>
      </c>
      <c r="AL1369" s="1"/>
    </row>
    <row r="1370" spans="1:38" hidden="1" x14ac:dyDescent="0.25">
      <c r="A1370" s="2">
        <v>1820</v>
      </c>
      <c r="B1370" s="1" t="s">
        <v>1606</v>
      </c>
      <c r="C1370" s="1" t="s">
        <v>1611</v>
      </c>
      <c r="D1370" s="1" t="s">
        <v>2062</v>
      </c>
      <c r="E1370" s="1" t="s">
        <v>2063</v>
      </c>
      <c r="F1370" s="3">
        <v>45535</v>
      </c>
      <c r="G1370" s="3">
        <v>45317</v>
      </c>
      <c r="H1370" s="3">
        <v>45682</v>
      </c>
      <c r="I1370" s="1" t="s">
        <v>3696</v>
      </c>
      <c r="J1370" s="1" t="s">
        <v>3697</v>
      </c>
      <c r="K1370" s="1"/>
      <c r="L1370" s="1" t="s">
        <v>2864</v>
      </c>
      <c r="M1370" s="1" t="s">
        <v>3698</v>
      </c>
      <c r="N1370" s="1" t="s">
        <v>3699</v>
      </c>
      <c r="O1370" s="1" t="s">
        <v>3700</v>
      </c>
      <c r="P1370" s="1" t="s">
        <v>2231</v>
      </c>
      <c r="Q1370" s="1"/>
      <c r="R1370" s="1"/>
      <c r="S1370" s="1" t="s">
        <v>2072</v>
      </c>
      <c r="T1370" s="1" t="s">
        <v>2073</v>
      </c>
      <c r="U1370" s="4">
        <v>2200000</v>
      </c>
      <c r="V1370" s="4">
        <v>2194</v>
      </c>
      <c r="W1370" s="4">
        <v>22</v>
      </c>
      <c r="X1370" s="4">
        <v>329</v>
      </c>
      <c r="Y1370" s="4">
        <v>0</v>
      </c>
      <c r="Z1370" s="5">
        <v>2545</v>
      </c>
      <c r="AA1370" s="5">
        <v>0</v>
      </c>
      <c r="AB1370" s="6">
        <v>0</v>
      </c>
      <c r="AC1370" s="4">
        <v>2545</v>
      </c>
      <c r="AD1370" s="4">
        <v>0</v>
      </c>
      <c r="AE1370" s="4">
        <v>2545</v>
      </c>
      <c r="AF1370" s="1"/>
      <c r="AG1370" s="1"/>
      <c r="AH1370" s="1"/>
      <c r="AI1370" s="1" t="s">
        <v>3432</v>
      </c>
      <c r="AJ1370" s="6">
        <v>1329.5000000000159</v>
      </c>
      <c r="AK1370" s="6">
        <v>844.1600000000002</v>
      </c>
      <c r="AL1370" s="1"/>
    </row>
    <row r="1371" spans="1:38" hidden="1" x14ac:dyDescent="0.25">
      <c r="A1371" s="2">
        <v>1821</v>
      </c>
      <c r="B1371" s="1" t="s">
        <v>1606</v>
      </c>
      <c r="C1371" s="1" t="s">
        <v>1612</v>
      </c>
      <c r="D1371" s="1" t="s">
        <v>2062</v>
      </c>
      <c r="E1371" s="1" t="s">
        <v>2063</v>
      </c>
      <c r="F1371" s="3">
        <v>45566</v>
      </c>
      <c r="G1371" s="3">
        <v>45317</v>
      </c>
      <c r="H1371" s="3">
        <v>45682</v>
      </c>
      <c r="I1371" s="1" t="s">
        <v>3696</v>
      </c>
      <c r="J1371" s="1" t="s">
        <v>3697</v>
      </c>
      <c r="K1371" s="1"/>
      <c r="L1371" s="1" t="s">
        <v>2864</v>
      </c>
      <c r="M1371" s="1" t="s">
        <v>3698</v>
      </c>
      <c r="N1371" s="1" t="s">
        <v>3699</v>
      </c>
      <c r="O1371" s="1" t="s">
        <v>3700</v>
      </c>
      <c r="P1371" s="1" t="s">
        <v>2231</v>
      </c>
      <c r="Q1371" s="1"/>
      <c r="R1371" s="1"/>
      <c r="S1371" s="1" t="s">
        <v>2072</v>
      </c>
      <c r="T1371" s="1" t="s">
        <v>2073</v>
      </c>
      <c r="U1371" s="4">
        <v>2200000</v>
      </c>
      <c r="V1371" s="4">
        <v>2832</v>
      </c>
      <c r="W1371" s="4">
        <v>28</v>
      </c>
      <c r="X1371" s="4">
        <v>425</v>
      </c>
      <c r="Y1371" s="4">
        <v>0</v>
      </c>
      <c r="Z1371" s="5">
        <v>3285</v>
      </c>
      <c r="AA1371" s="5">
        <v>0</v>
      </c>
      <c r="AB1371" s="6">
        <v>0</v>
      </c>
      <c r="AC1371" s="4">
        <v>3285</v>
      </c>
      <c r="AD1371" s="4">
        <v>0</v>
      </c>
      <c r="AE1371" s="4">
        <v>3285</v>
      </c>
      <c r="AF1371" s="1"/>
      <c r="AG1371" s="1"/>
      <c r="AH1371" s="1"/>
      <c r="AI1371" s="1" t="s">
        <v>3432</v>
      </c>
      <c r="AJ1371" s="6">
        <v>2572.9700000000153</v>
      </c>
      <c r="AK1371" s="6">
        <v>1087.67</v>
      </c>
      <c r="AL1371" s="1"/>
    </row>
    <row r="1372" spans="1:38" hidden="1" x14ac:dyDescent="0.25">
      <c r="A1372" s="2">
        <v>1822</v>
      </c>
      <c r="B1372" s="1" t="s">
        <v>1606</v>
      </c>
      <c r="C1372" s="1" t="s">
        <v>1613</v>
      </c>
      <c r="D1372" s="1" t="s">
        <v>2062</v>
      </c>
      <c r="E1372" s="1" t="s">
        <v>2063</v>
      </c>
      <c r="F1372" s="3">
        <v>45593</v>
      </c>
      <c r="G1372" s="3">
        <v>45317</v>
      </c>
      <c r="H1372" s="3">
        <v>45682</v>
      </c>
      <c r="I1372" s="1" t="s">
        <v>3696</v>
      </c>
      <c r="J1372" s="1" t="s">
        <v>3697</v>
      </c>
      <c r="K1372" s="1"/>
      <c r="L1372" s="1" t="s">
        <v>2864</v>
      </c>
      <c r="M1372" s="1" t="s">
        <v>3698</v>
      </c>
      <c r="N1372" s="1" t="s">
        <v>3699</v>
      </c>
      <c r="O1372" s="1" t="s">
        <v>3700</v>
      </c>
      <c r="P1372" s="1" t="s">
        <v>2231</v>
      </c>
      <c r="Q1372" s="1"/>
      <c r="R1372" s="1"/>
      <c r="S1372" s="1" t="s">
        <v>2072</v>
      </c>
      <c r="T1372" s="1" t="s">
        <v>2073</v>
      </c>
      <c r="U1372" s="4">
        <v>2200000</v>
      </c>
      <c r="V1372" s="4">
        <v>2951</v>
      </c>
      <c r="W1372" s="4">
        <v>30</v>
      </c>
      <c r="X1372" s="4">
        <v>443</v>
      </c>
      <c r="Y1372" s="4">
        <v>0</v>
      </c>
      <c r="Z1372" s="5">
        <v>3424</v>
      </c>
      <c r="AA1372" s="5">
        <v>0</v>
      </c>
      <c r="AB1372" s="6">
        <v>0</v>
      </c>
      <c r="AC1372" s="4">
        <v>3424</v>
      </c>
      <c r="AD1372" s="4">
        <v>0</v>
      </c>
      <c r="AE1372" s="4">
        <v>3424</v>
      </c>
      <c r="AF1372" s="1"/>
      <c r="AG1372" s="1"/>
      <c r="AH1372" s="1"/>
      <c r="AI1372" s="1" t="s">
        <v>3432</v>
      </c>
      <c r="AJ1372" s="6">
        <v>2009.2599999999961</v>
      </c>
      <c r="AK1372" s="6">
        <v>1133.55</v>
      </c>
      <c r="AL1372" s="1"/>
    </row>
    <row r="1373" spans="1:38" hidden="1" x14ac:dyDescent="0.25">
      <c r="A1373" s="2">
        <v>1823</v>
      </c>
      <c r="B1373" s="1" t="s">
        <v>1606</v>
      </c>
      <c r="C1373" s="1" t="s">
        <v>1614</v>
      </c>
      <c r="D1373" s="1" t="s">
        <v>2062</v>
      </c>
      <c r="E1373" s="1" t="s">
        <v>2063</v>
      </c>
      <c r="F1373" s="3">
        <v>45623</v>
      </c>
      <c r="G1373" s="3">
        <v>45317</v>
      </c>
      <c r="H1373" s="3">
        <v>45682</v>
      </c>
      <c r="I1373" s="1" t="s">
        <v>3696</v>
      </c>
      <c r="J1373" s="1" t="s">
        <v>3697</v>
      </c>
      <c r="K1373" s="1"/>
      <c r="L1373" s="1" t="s">
        <v>2864</v>
      </c>
      <c r="M1373" s="1" t="s">
        <v>3698</v>
      </c>
      <c r="N1373" s="1" t="s">
        <v>3699</v>
      </c>
      <c r="O1373" s="1" t="s">
        <v>3700</v>
      </c>
      <c r="P1373" s="1" t="s">
        <v>2231</v>
      </c>
      <c r="Q1373" s="1"/>
      <c r="R1373" s="1"/>
      <c r="S1373" s="1" t="s">
        <v>2072</v>
      </c>
      <c r="T1373" s="1" t="s">
        <v>2073</v>
      </c>
      <c r="U1373" s="4">
        <v>2200000</v>
      </c>
      <c r="V1373" s="4">
        <v>2669</v>
      </c>
      <c r="W1373" s="4">
        <v>27</v>
      </c>
      <c r="X1373" s="4">
        <v>400</v>
      </c>
      <c r="Y1373" s="4">
        <v>0</v>
      </c>
      <c r="Z1373" s="5">
        <v>3096</v>
      </c>
      <c r="AA1373" s="5">
        <v>0</v>
      </c>
      <c r="AB1373" s="6">
        <v>0</v>
      </c>
      <c r="AC1373" s="4">
        <v>3096</v>
      </c>
      <c r="AD1373" s="4">
        <v>0</v>
      </c>
      <c r="AE1373" s="4">
        <v>3096</v>
      </c>
      <c r="AF1373" s="1"/>
      <c r="AG1373" s="1"/>
      <c r="AH1373" s="1"/>
      <c r="AI1373" s="1" t="s">
        <v>3432</v>
      </c>
      <c r="AJ1373" s="6">
        <v>1184.2100000000009</v>
      </c>
      <c r="AK1373" s="6">
        <v>1025.67</v>
      </c>
      <c r="AL1373" s="1"/>
    </row>
    <row r="1374" spans="1:38" hidden="1" x14ac:dyDescent="0.25">
      <c r="A1374" s="2">
        <v>1824</v>
      </c>
      <c r="B1374" s="1" t="s">
        <v>1606</v>
      </c>
      <c r="C1374" s="1" t="s">
        <v>1615</v>
      </c>
      <c r="D1374" s="1" t="s">
        <v>2062</v>
      </c>
      <c r="E1374" s="1" t="s">
        <v>2063</v>
      </c>
      <c r="F1374" s="3">
        <v>45653</v>
      </c>
      <c r="G1374" s="3">
        <v>45317</v>
      </c>
      <c r="H1374" s="3">
        <v>45682</v>
      </c>
      <c r="I1374" s="1" t="s">
        <v>3696</v>
      </c>
      <c r="J1374" s="1" t="s">
        <v>3697</v>
      </c>
      <c r="K1374" s="1"/>
      <c r="L1374" s="1" t="s">
        <v>2864</v>
      </c>
      <c r="M1374" s="1" t="s">
        <v>3698</v>
      </c>
      <c r="N1374" s="1" t="s">
        <v>3699</v>
      </c>
      <c r="O1374" s="1" t="s">
        <v>3700</v>
      </c>
      <c r="P1374" s="1" t="s">
        <v>2231</v>
      </c>
      <c r="Q1374" s="1"/>
      <c r="R1374" s="1"/>
      <c r="S1374" s="1" t="s">
        <v>2072</v>
      </c>
      <c r="T1374" s="1" t="s">
        <v>2073</v>
      </c>
      <c r="U1374" s="4">
        <v>2200000</v>
      </c>
      <c r="V1374" s="4">
        <v>3416</v>
      </c>
      <c r="W1374" s="4">
        <v>34</v>
      </c>
      <c r="X1374" s="4">
        <v>512</v>
      </c>
      <c r="Y1374" s="4">
        <v>0</v>
      </c>
      <c r="Z1374" s="5">
        <v>3962</v>
      </c>
      <c r="AA1374" s="5">
        <v>0</v>
      </c>
      <c r="AB1374" s="6">
        <v>0</v>
      </c>
      <c r="AC1374" s="4">
        <v>3962</v>
      </c>
      <c r="AD1374" s="4">
        <v>0</v>
      </c>
      <c r="AE1374" s="4">
        <v>3962</v>
      </c>
      <c r="AF1374" s="1"/>
      <c r="AG1374" s="1"/>
      <c r="AH1374" s="1"/>
      <c r="AI1374" s="1" t="s">
        <v>3432</v>
      </c>
      <c r="AJ1374" s="6">
        <v>2299.7499999999973</v>
      </c>
      <c r="AK1374" s="6">
        <v>1311.63</v>
      </c>
      <c r="AL1374" s="1"/>
    </row>
    <row r="1375" spans="1:38" hidden="1" x14ac:dyDescent="0.25">
      <c r="A1375" s="2">
        <v>1825</v>
      </c>
      <c r="B1375" s="1" t="s">
        <v>1606</v>
      </c>
      <c r="C1375" s="1" t="s">
        <v>1616</v>
      </c>
      <c r="D1375" s="1" t="s">
        <v>2062</v>
      </c>
      <c r="E1375" s="1" t="s">
        <v>2063</v>
      </c>
      <c r="F1375" s="3">
        <v>45655</v>
      </c>
      <c r="G1375" s="3">
        <v>45317</v>
      </c>
      <c r="H1375" s="3">
        <v>45682</v>
      </c>
      <c r="I1375" s="1" t="s">
        <v>3696</v>
      </c>
      <c r="J1375" s="1" t="s">
        <v>3697</v>
      </c>
      <c r="K1375" s="1"/>
      <c r="L1375" s="1" t="s">
        <v>2864</v>
      </c>
      <c r="M1375" s="1" t="s">
        <v>3698</v>
      </c>
      <c r="N1375" s="1" t="s">
        <v>3699</v>
      </c>
      <c r="O1375" s="1" t="s">
        <v>3700</v>
      </c>
      <c r="P1375" s="1" t="s">
        <v>2231</v>
      </c>
      <c r="Q1375" s="1"/>
      <c r="R1375" s="1"/>
      <c r="S1375" s="1" t="s">
        <v>2072</v>
      </c>
      <c r="T1375" s="1" t="s">
        <v>2073</v>
      </c>
      <c r="U1375" s="4">
        <v>-1</v>
      </c>
      <c r="V1375" s="4">
        <v>-27620</v>
      </c>
      <c r="W1375" s="4">
        <v>-276</v>
      </c>
      <c r="X1375" s="4">
        <v>0</v>
      </c>
      <c r="Y1375" s="4">
        <v>0</v>
      </c>
      <c r="Z1375" s="5">
        <v>-27896</v>
      </c>
      <c r="AA1375" s="5">
        <v>0</v>
      </c>
      <c r="AB1375" s="6">
        <v>0</v>
      </c>
      <c r="AC1375" s="4">
        <v>-27896</v>
      </c>
      <c r="AD1375" s="4">
        <v>0</v>
      </c>
      <c r="AE1375" s="4">
        <v>-27896</v>
      </c>
      <c r="AF1375" s="1"/>
      <c r="AG1375" s="1"/>
      <c r="AH1375" s="1"/>
      <c r="AI1375" s="1" t="s">
        <v>3432</v>
      </c>
      <c r="AJ1375" s="1"/>
      <c r="AK1375" s="1"/>
      <c r="AL1375" s="1"/>
    </row>
    <row r="1376" spans="1:38" x14ac:dyDescent="0.25">
      <c r="A1376" s="2">
        <v>1826</v>
      </c>
      <c r="B1376" s="1" t="s">
        <v>1617</v>
      </c>
      <c r="C1376" s="1"/>
      <c r="D1376" s="1" t="s">
        <v>2062</v>
      </c>
      <c r="E1376" s="1" t="s">
        <v>2063</v>
      </c>
      <c r="F1376" s="3">
        <v>45379</v>
      </c>
      <c r="G1376" s="3">
        <v>45380</v>
      </c>
      <c r="H1376" s="3">
        <v>45744</v>
      </c>
      <c r="I1376" s="1" t="s">
        <v>3702</v>
      </c>
      <c r="J1376" s="1" t="s">
        <v>3703</v>
      </c>
      <c r="K1376" s="1"/>
      <c r="L1376" s="1" t="s">
        <v>2740</v>
      </c>
      <c r="M1376" s="1" t="s">
        <v>3704</v>
      </c>
      <c r="N1376" s="1" t="s">
        <v>3705</v>
      </c>
      <c r="O1376" s="1" t="s">
        <v>3706</v>
      </c>
      <c r="P1376" s="1" t="s">
        <v>2095</v>
      </c>
      <c r="Q1376" s="1"/>
      <c r="R1376" s="1"/>
      <c r="S1376" s="1" t="s">
        <v>2072</v>
      </c>
      <c r="T1376" s="1" t="s">
        <v>2073</v>
      </c>
      <c r="U1376" s="4">
        <v>-1</v>
      </c>
      <c r="V1376" s="4">
        <v>0</v>
      </c>
      <c r="W1376" s="4">
        <v>0</v>
      </c>
      <c r="X1376" s="4">
        <v>0</v>
      </c>
      <c r="Y1376" s="4">
        <v>50</v>
      </c>
      <c r="Z1376" s="5">
        <v>50</v>
      </c>
      <c r="AA1376" s="5">
        <v>0</v>
      </c>
      <c r="AB1376" s="6">
        <v>0</v>
      </c>
      <c r="AC1376" s="4">
        <v>50</v>
      </c>
      <c r="AD1376" s="4">
        <v>0</v>
      </c>
      <c r="AE1376" s="4">
        <v>50</v>
      </c>
      <c r="AF1376" s="1"/>
      <c r="AG1376" s="1"/>
      <c r="AH1376" s="1"/>
      <c r="AI1376" s="1" t="s">
        <v>3432</v>
      </c>
      <c r="AJ1376" s="1"/>
      <c r="AK1376" s="1"/>
      <c r="AL1376" s="1" t="s">
        <v>3707</v>
      </c>
    </row>
    <row r="1377" spans="1:38" hidden="1" x14ac:dyDescent="0.25">
      <c r="A1377" s="2">
        <v>1827</v>
      </c>
      <c r="B1377" s="1" t="s">
        <v>1617</v>
      </c>
      <c r="C1377" s="1" t="s">
        <v>1618</v>
      </c>
      <c r="D1377" s="1" t="s">
        <v>2062</v>
      </c>
      <c r="E1377" s="1" t="s">
        <v>2063</v>
      </c>
      <c r="F1377" s="3">
        <v>45411</v>
      </c>
      <c r="G1377" s="3">
        <v>45380</v>
      </c>
      <c r="H1377" s="3">
        <v>45744</v>
      </c>
      <c r="I1377" s="1" t="s">
        <v>3702</v>
      </c>
      <c r="J1377" s="1" t="s">
        <v>3703</v>
      </c>
      <c r="K1377" s="1"/>
      <c r="L1377" s="1" t="s">
        <v>2740</v>
      </c>
      <c r="M1377" s="1" t="s">
        <v>3704</v>
      </c>
      <c r="N1377" s="1" t="s">
        <v>3705</v>
      </c>
      <c r="O1377" s="1" t="s">
        <v>3706</v>
      </c>
      <c r="P1377" s="1" t="s">
        <v>2095</v>
      </c>
      <c r="Q1377" s="1"/>
      <c r="R1377" s="1"/>
      <c r="S1377" s="1" t="s">
        <v>2072</v>
      </c>
      <c r="T1377" s="1" t="s">
        <v>2073</v>
      </c>
      <c r="U1377" s="4">
        <v>7500000</v>
      </c>
      <c r="V1377" s="4">
        <v>1191</v>
      </c>
      <c r="W1377" s="4">
        <v>12</v>
      </c>
      <c r="X1377" s="4">
        <v>155</v>
      </c>
      <c r="Y1377" s="4">
        <v>0</v>
      </c>
      <c r="Z1377" s="5">
        <v>1358</v>
      </c>
      <c r="AA1377" s="5">
        <v>0</v>
      </c>
      <c r="AB1377" s="6">
        <v>0</v>
      </c>
      <c r="AC1377" s="4">
        <v>1358</v>
      </c>
      <c r="AD1377" s="4">
        <v>0</v>
      </c>
      <c r="AE1377" s="4">
        <v>1358</v>
      </c>
      <c r="AF1377" s="1"/>
      <c r="AG1377" s="1"/>
      <c r="AH1377" s="1"/>
      <c r="AI1377" s="1" t="s">
        <v>3432</v>
      </c>
      <c r="AJ1377" s="6">
        <v>132.11000000000001</v>
      </c>
      <c r="AK1377" s="6">
        <v>132.11000000000001</v>
      </c>
      <c r="AL1377" s="1"/>
    </row>
    <row r="1378" spans="1:38" hidden="1" x14ac:dyDescent="0.25">
      <c r="A1378" s="2">
        <v>1828</v>
      </c>
      <c r="B1378" s="1" t="s">
        <v>1617</v>
      </c>
      <c r="C1378" s="1" t="s">
        <v>1619</v>
      </c>
      <c r="D1378" s="1" t="s">
        <v>2062</v>
      </c>
      <c r="E1378" s="1" t="s">
        <v>2063</v>
      </c>
      <c r="F1378" s="3">
        <v>45441</v>
      </c>
      <c r="G1378" s="3">
        <v>45380</v>
      </c>
      <c r="H1378" s="3">
        <v>45744</v>
      </c>
      <c r="I1378" s="1" t="s">
        <v>3702</v>
      </c>
      <c r="J1378" s="1" t="s">
        <v>3703</v>
      </c>
      <c r="K1378" s="1"/>
      <c r="L1378" s="1" t="s">
        <v>2740</v>
      </c>
      <c r="M1378" s="1" t="s">
        <v>3704</v>
      </c>
      <c r="N1378" s="1" t="s">
        <v>3705</v>
      </c>
      <c r="O1378" s="1" t="s">
        <v>3706</v>
      </c>
      <c r="P1378" s="1" t="s">
        <v>2095</v>
      </c>
      <c r="Q1378" s="1"/>
      <c r="R1378" s="1"/>
      <c r="S1378" s="1" t="s">
        <v>2072</v>
      </c>
      <c r="T1378" s="1" t="s">
        <v>2073</v>
      </c>
      <c r="U1378" s="4">
        <v>7500000</v>
      </c>
      <c r="V1378" s="4">
        <v>3733</v>
      </c>
      <c r="W1378" s="4">
        <v>37</v>
      </c>
      <c r="X1378" s="4">
        <v>485</v>
      </c>
      <c r="Y1378" s="4">
        <v>0</v>
      </c>
      <c r="Z1378" s="5">
        <v>4255</v>
      </c>
      <c r="AA1378" s="5">
        <v>0</v>
      </c>
      <c r="AB1378" s="6">
        <v>0</v>
      </c>
      <c r="AC1378" s="4">
        <v>4255</v>
      </c>
      <c r="AD1378" s="4">
        <v>0</v>
      </c>
      <c r="AE1378" s="4">
        <v>4255</v>
      </c>
      <c r="AF1378" s="1"/>
      <c r="AG1378" s="1"/>
      <c r="AH1378" s="1"/>
      <c r="AI1378" s="1" t="s">
        <v>3432</v>
      </c>
      <c r="AJ1378" s="6">
        <v>430.25</v>
      </c>
      <c r="AK1378" s="6">
        <v>414.27</v>
      </c>
      <c r="AL1378" s="1"/>
    </row>
    <row r="1379" spans="1:38" hidden="1" x14ac:dyDescent="0.25">
      <c r="A1379" s="2">
        <v>1829</v>
      </c>
      <c r="B1379" s="1" t="s">
        <v>1617</v>
      </c>
      <c r="C1379" s="1" t="s">
        <v>1620</v>
      </c>
      <c r="D1379" s="1" t="s">
        <v>2062</v>
      </c>
      <c r="E1379" s="1" t="s">
        <v>2063</v>
      </c>
      <c r="F1379" s="3">
        <v>45474</v>
      </c>
      <c r="G1379" s="3">
        <v>45380</v>
      </c>
      <c r="H1379" s="3">
        <v>45744</v>
      </c>
      <c r="I1379" s="1" t="s">
        <v>3702</v>
      </c>
      <c r="J1379" s="1" t="s">
        <v>3703</v>
      </c>
      <c r="K1379" s="1"/>
      <c r="L1379" s="1" t="s">
        <v>2740</v>
      </c>
      <c r="M1379" s="1" t="s">
        <v>3704</v>
      </c>
      <c r="N1379" s="1" t="s">
        <v>3705</v>
      </c>
      <c r="O1379" s="1" t="s">
        <v>3706</v>
      </c>
      <c r="P1379" s="1" t="s">
        <v>2095</v>
      </c>
      <c r="Q1379" s="1"/>
      <c r="R1379" s="1"/>
      <c r="S1379" s="1" t="s">
        <v>2072</v>
      </c>
      <c r="T1379" s="1" t="s">
        <v>2073</v>
      </c>
      <c r="U1379" s="4">
        <v>7500000</v>
      </c>
      <c r="V1379" s="4">
        <v>1459</v>
      </c>
      <c r="W1379" s="4">
        <v>15</v>
      </c>
      <c r="X1379" s="4">
        <v>190</v>
      </c>
      <c r="Y1379" s="4">
        <v>0</v>
      </c>
      <c r="Z1379" s="5">
        <v>1664</v>
      </c>
      <c r="AA1379" s="5">
        <v>0</v>
      </c>
      <c r="AB1379" s="6">
        <v>0</v>
      </c>
      <c r="AC1379" s="4">
        <v>1664</v>
      </c>
      <c r="AD1379" s="4">
        <v>0</v>
      </c>
      <c r="AE1379" s="4">
        <v>1664</v>
      </c>
      <c r="AF1379" s="1"/>
      <c r="AG1379" s="1"/>
      <c r="AH1379" s="1"/>
      <c r="AI1379" s="1" t="s">
        <v>3432</v>
      </c>
      <c r="AJ1379" s="6">
        <v>168.27</v>
      </c>
      <c r="AK1379" s="6">
        <v>162.02000000000001</v>
      </c>
      <c r="AL1379" s="1"/>
    </row>
    <row r="1380" spans="1:38" hidden="1" x14ac:dyDescent="0.25">
      <c r="A1380" s="2">
        <v>1830</v>
      </c>
      <c r="B1380" s="1" t="s">
        <v>1617</v>
      </c>
      <c r="C1380" s="1" t="s">
        <v>1621</v>
      </c>
      <c r="D1380" s="1" t="s">
        <v>2062</v>
      </c>
      <c r="E1380" s="1" t="s">
        <v>2063</v>
      </c>
      <c r="F1380" s="3">
        <v>45503</v>
      </c>
      <c r="G1380" s="3">
        <v>45380</v>
      </c>
      <c r="H1380" s="3">
        <v>45744</v>
      </c>
      <c r="I1380" s="1" t="s">
        <v>3702</v>
      </c>
      <c r="J1380" s="1" t="s">
        <v>3703</v>
      </c>
      <c r="K1380" s="1"/>
      <c r="L1380" s="1" t="s">
        <v>2740</v>
      </c>
      <c r="M1380" s="1" t="s">
        <v>3704</v>
      </c>
      <c r="N1380" s="1" t="s">
        <v>3705</v>
      </c>
      <c r="O1380" s="1" t="s">
        <v>3706</v>
      </c>
      <c r="P1380" s="1" t="s">
        <v>2095</v>
      </c>
      <c r="Q1380" s="1"/>
      <c r="R1380" s="1"/>
      <c r="S1380" s="1" t="s">
        <v>2072</v>
      </c>
      <c r="T1380" s="1" t="s">
        <v>2073</v>
      </c>
      <c r="U1380" s="4">
        <v>7500000</v>
      </c>
      <c r="V1380" s="4">
        <v>3137</v>
      </c>
      <c r="W1380" s="4">
        <v>31</v>
      </c>
      <c r="X1380" s="4">
        <v>470</v>
      </c>
      <c r="Y1380" s="4">
        <v>0</v>
      </c>
      <c r="Z1380" s="5">
        <v>3638</v>
      </c>
      <c r="AA1380" s="5">
        <v>0</v>
      </c>
      <c r="AB1380" s="6">
        <v>0</v>
      </c>
      <c r="AC1380" s="4">
        <v>3638</v>
      </c>
      <c r="AD1380" s="4">
        <v>0</v>
      </c>
      <c r="AE1380" s="4">
        <v>3638</v>
      </c>
      <c r="AF1380" s="1"/>
      <c r="AG1380" s="1"/>
      <c r="AH1380" s="1"/>
      <c r="AI1380" s="1" t="s">
        <v>3432</v>
      </c>
      <c r="AJ1380" s="6">
        <v>353.81000000000006</v>
      </c>
      <c r="AK1380" s="6">
        <v>353.81000000000006</v>
      </c>
      <c r="AL1380" s="1"/>
    </row>
    <row r="1381" spans="1:38" hidden="1" x14ac:dyDescent="0.25">
      <c r="A1381" s="2">
        <v>1831</v>
      </c>
      <c r="B1381" s="1" t="s">
        <v>1617</v>
      </c>
      <c r="C1381" s="1" t="s">
        <v>1622</v>
      </c>
      <c r="D1381" s="1" t="s">
        <v>2062</v>
      </c>
      <c r="E1381" s="1" t="s">
        <v>2063</v>
      </c>
      <c r="F1381" s="3">
        <v>45538</v>
      </c>
      <c r="G1381" s="3">
        <v>45380</v>
      </c>
      <c r="H1381" s="3">
        <v>45744</v>
      </c>
      <c r="I1381" s="1" t="s">
        <v>3702</v>
      </c>
      <c r="J1381" s="1" t="s">
        <v>3703</v>
      </c>
      <c r="K1381" s="1"/>
      <c r="L1381" s="1" t="s">
        <v>2740</v>
      </c>
      <c r="M1381" s="1" t="s">
        <v>3704</v>
      </c>
      <c r="N1381" s="1" t="s">
        <v>3705</v>
      </c>
      <c r="O1381" s="1" t="s">
        <v>3706</v>
      </c>
      <c r="P1381" s="1" t="s">
        <v>2095</v>
      </c>
      <c r="Q1381" s="1"/>
      <c r="R1381" s="1"/>
      <c r="S1381" s="1" t="s">
        <v>2072</v>
      </c>
      <c r="T1381" s="1" t="s">
        <v>2073</v>
      </c>
      <c r="U1381" s="4">
        <v>7500000</v>
      </c>
      <c r="V1381" s="4">
        <v>3468</v>
      </c>
      <c r="W1381" s="4">
        <v>35</v>
      </c>
      <c r="X1381" s="4">
        <v>520</v>
      </c>
      <c r="Y1381" s="4">
        <v>0</v>
      </c>
      <c r="Z1381" s="5">
        <v>4023</v>
      </c>
      <c r="AA1381" s="5">
        <v>0</v>
      </c>
      <c r="AB1381" s="6">
        <v>0</v>
      </c>
      <c r="AC1381" s="4">
        <v>4023</v>
      </c>
      <c r="AD1381" s="4">
        <v>0</v>
      </c>
      <c r="AE1381" s="4">
        <v>4023</v>
      </c>
      <c r="AF1381" s="1"/>
      <c r="AG1381" s="1"/>
      <c r="AH1381" s="1"/>
      <c r="AI1381" s="1" t="s">
        <v>3432</v>
      </c>
      <c r="AJ1381" s="6">
        <v>416.1400000000001</v>
      </c>
      <c r="AK1381" s="6">
        <v>391.45000000000005</v>
      </c>
      <c r="AL1381" s="1"/>
    </row>
    <row r="1382" spans="1:38" hidden="1" x14ac:dyDescent="0.25">
      <c r="A1382" s="2">
        <v>1832</v>
      </c>
      <c r="B1382" s="1" t="s">
        <v>1617</v>
      </c>
      <c r="C1382" s="1" t="s">
        <v>1623</v>
      </c>
      <c r="D1382" s="1" t="s">
        <v>2062</v>
      </c>
      <c r="E1382" s="1" t="s">
        <v>2063</v>
      </c>
      <c r="F1382" s="3">
        <v>45570</v>
      </c>
      <c r="G1382" s="3">
        <v>45380</v>
      </c>
      <c r="H1382" s="3">
        <v>45744</v>
      </c>
      <c r="I1382" s="1" t="s">
        <v>3702</v>
      </c>
      <c r="J1382" s="1" t="s">
        <v>3703</v>
      </c>
      <c r="K1382" s="1"/>
      <c r="L1382" s="1" t="s">
        <v>2740</v>
      </c>
      <c r="M1382" s="1" t="s">
        <v>3704</v>
      </c>
      <c r="N1382" s="1" t="s">
        <v>3705</v>
      </c>
      <c r="O1382" s="1" t="s">
        <v>3706</v>
      </c>
      <c r="P1382" s="1" t="s">
        <v>2095</v>
      </c>
      <c r="Q1382" s="1"/>
      <c r="R1382" s="1"/>
      <c r="S1382" s="1" t="s">
        <v>2072</v>
      </c>
      <c r="T1382" s="1" t="s">
        <v>2073</v>
      </c>
      <c r="U1382" s="4">
        <v>7500000</v>
      </c>
      <c r="V1382" s="4">
        <v>3421</v>
      </c>
      <c r="W1382" s="4">
        <v>34</v>
      </c>
      <c r="X1382" s="4">
        <v>513</v>
      </c>
      <c r="Y1382" s="4">
        <v>0</v>
      </c>
      <c r="Z1382" s="5">
        <v>3968</v>
      </c>
      <c r="AA1382" s="5">
        <v>0</v>
      </c>
      <c r="AB1382" s="6">
        <v>0</v>
      </c>
      <c r="AC1382" s="4">
        <v>3968</v>
      </c>
      <c r="AD1382" s="4">
        <v>0</v>
      </c>
      <c r="AE1382" s="4">
        <v>3968</v>
      </c>
      <c r="AF1382" s="1"/>
      <c r="AG1382" s="1"/>
      <c r="AH1382" s="1"/>
      <c r="AI1382" s="1" t="s">
        <v>3432</v>
      </c>
      <c r="AJ1382" s="6">
        <v>441.45000000000005</v>
      </c>
      <c r="AK1382" s="6">
        <v>386.11000000000007</v>
      </c>
      <c r="AL1382" s="1"/>
    </row>
    <row r="1383" spans="1:38" hidden="1" x14ac:dyDescent="0.25">
      <c r="A1383" s="2">
        <v>1833</v>
      </c>
      <c r="B1383" s="1" t="s">
        <v>1617</v>
      </c>
      <c r="C1383" s="1" t="s">
        <v>1624</v>
      </c>
      <c r="D1383" s="1" t="s">
        <v>2062</v>
      </c>
      <c r="E1383" s="1" t="s">
        <v>2063</v>
      </c>
      <c r="F1383" s="3">
        <v>45597</v>
      </c>
      <c r="G1383" s="3">
        <v>45380</v>
      </c>
      <c r="H1383" s="3">
        <v>45744</v>
      </c>
      <c r="I1383" s="1" t="s">
        <v>3702</v>
      </c>
      <c r="J1383" s="1" t="s">
        <v>3703</v>
      </c>
      <c r="K1383" s="1"/>
      <c r="L1383" s="1" t="s">
        <v>2740</v>
      </c>
      <c r="M1383" s="1" t="s">
        <v>3704</v>
      </c>
      <c r="N1383" s="1" t="s">
        <v>3705</v>
      </c>
      <c r="O1383" s="1" t="s">
        <v>3706</v>
      </c>
      <c r="P1383" s="1" t="s">
        <v>2095</v>
      </c>
      <c r="Q1383" s="1"/>
      <c r="R1383" s="1"/>
      <c r="S1383" s="1" t="s">
        <v>2072</v>
      </c>
      <c r="T1383" s="1" t="s">
        <v>2073</v>
      </c>
      <c r="U1383" s="4">
        <v>7500000</v>
      </c>
      <c r="V1383" s="4">
        <v>2327</v>
      </c>
      <c r="W1383" s="4">
        <v>23</v>
      </c>
      <c r="X1383" s="4">
        <v>349</v>
      </c>
      <c r="Y1383" s="4">
        <v>0</v>
      </c>
      <c r="Z1383" s="5">
        <v>2699</v>
      </c>
      <c r="AA1383" s="5">
        <v>0</v>
      </c>
      <c r="AB1383" s="6">
        <v>0</v>
      </c>
      <c r="AC1383" s="4">
        <v>2699</v>
      </c>
      <c r="AD1383" s="4">
        <v>0</v>
      </c>
      <c r="AE1383" s="4">
        <v>2699</v>
      </c>
      <c r="AF1383" s="1"/>
      <c r="AG1383" s="1"/>
      <c r="AH1383" s="1"/>
      <c r="AI1383" s="1" t="s">
        <v>3432</v>
      </c>
      <c r="AJ1383" s="6">
        <v>262.64000000000004</v>
      </c>
      <c r="AK1383" s="6">
        <v>262.64000000000004</v>
      </c>
      <c r="AL1383" s="1"/>
    </row>
    <row r="1384" spans="1:38" hidden="1" x14ac:dyDescent="0.25">
      <c r="A1384" s="2">
        <v>1834</v>
      </c>
      <c r="B1384" s="1" t="s">
        <v>1617</v>
      </c>
      <c r="C1384" s="1" t="s">
        <v>1625</v>
      </c>
      <c r="D1384" s="1" t="s">
        <v>2062</v>
      </c>
      <c r="E1384" s="1" t="s">
        <v>2063</v>
      </c>
      <c r="F1384" s="3">
        <v>45627</v>
      </c>
      <c r="G1384" s="3">
        <v>45380</v>
      </c>
      <c r="H1384" s="3">
        <v>45744</v>
      </c>
      <c r="I1384" s="1" t="s">
        <v>3702</v>
      </c>
      <c r="J1384" s="1" t="s">
        <v>3703</v>
      </c>
      <c r="K1384" s="1"/>
      <c r="L1384" s="1" t="s">
        <v>2740</v>
      </c>
      <c r="M1384" s="1" t="s">
        <v>3704</v>
      </c>
      <c r="N1384" s="1" t="s">
        <v>3705</v>
      </c>
      <c r="O1384" s="1" t="s">
        <v>3706</v>
      </c>
      <c r="P1384" s="1" t="s">
        <v>2095</v>
      </c>
      <c r="Q1384" s="1"/>
      <c r="R1384" s="1"/>
      <c r="S1384" s="1" t="s">
        <v>2072</v>
      </c>
      <c r="T1384" s="1" t="s">
        <v>2073</v>
      </c>
      <c r="U1384" s="4">
        <v>7500000</v>
      </c>
      <c r="V1384" s="4">
        <v>4225</v>
      </c>
      <c r="W1384" s="4">
        <v>42</v>
      </c>
      <c r="X1384" s="4">
        <v>634</v>
      </c>
      <c r="Y1384" s="4">
        <v>0</v>
      </c>
      <c r="Z1384" s="5">
        <v>4901</v>
      </c>
      <c r="AA1384" s="5">
        <v>0</v>
      </c>
      <c r="AB1384" s="6">
        <v>0</v>
      </c>
      <c r="AC1384" s="4">
        <v>4901</v>
      </c>
      <c r="AD1384" s="4">
        <v>0</v>
      </c>
      <c r="AE1384" s="4">
        <v>4901</v>
      </c>
      <c r="AF1384" s="1"/>
      <c r="AG1384" s="1"/>
      <c r="AH1384" s="1"/>
      <c r="AI1384" s="1" t="s">
        <v>3432</v>
      </c>
      <c r="AJ1384" s="6">
        <v>476.92000000000007</v>
      </c>
      <c r="AK1384" s="6">
        <v>476.92000000000007</v>
      </c>
      <c r="AL1384" s="1"/>
    </row>
    <row r="1385" spans="1:38" hidden="1" x14ac:dyDescent="0.25">
      <c r="A1385" s="2">
        <v>1835</v>
      </c>
      <c r="B1385" s="1" t="s">
        <v>1617</v>
      </c>
      <c r="C1385" s="1" t="s">
        <v>1626</v>
      </c>
      <c r="D1385" s="1" t="s">
        <v>2062</v>
      </c>
      <c r="E1385" s="1" t="s">
        <v>2063</v>
      </c>
      <c r="F1385" s="3">
        <v>45655</v>
      </c>
      <c r="G1385" s="3">
        <v>45380</v>
      </c>
      <c r="H1385" s="3">
        <v>45744</v>
      </c>
      <c r="I1385" s="1" t="s">
        <v>3702</v>
      </c>
      <c r="J1385" s="1" t="s">
        <v>3703</v>
      </c>
      <c r="K1385" s="1"/>
      <c r="L1385" s="1" t="s">
        <v>2740</v>
      </c>
      <c r="M1385" s="1" t="s">
        <v>3704</v>
      </c>
      <c r="N1385" s="1" t="s">
        <v>3705</v>
      </c>
      <c r="O1385" s="1" t="s">
        <v>3706</v>
      </c>
      <c r="P1385" s="1" t="s">
        <v>2095</v>
      </c>
      <c r="Q1385" s="1"/>
      <c r="R1385" s="1"/>
      <c r="S1385" s="1" t="s">
        <v>2072</v>
      </c>
      <c r="T1385" s="1" t="s">
        <v>2073</v>
      </c>
      <c r="U1385" s="4">
        <v>-1</v>
      </c>
      <c r="V1385" s="4">
        <v>-26293</v>
      </c>
      <c r="W1385" s="4">
        <v>-263</v>
      </c>
      <c r="X1385" s="4">
        <v>0</v>
      </c>
      <c r="Y1385" s="4">
        <v>0</v>
      </c>
      <c r="Z1385" s="5">
        <v>-26556</v>
      </c>
      <c r="AA1385" s="5">
        <v>0</v>
      </c>
      <c r="AB1385" s="6">
        <v>0</v>
      </c>
      <c r="AC1385" s="4">
        <v>-26556</v>
      </c>
      <c r="AD1385" s="4">
        <v>0</v>
      </c>
      <c r="AE1385" s="4">
        <v>-26556</v>
      </c>
      <c r="AF1385" s="1"/>
      <c r="AG1385" s="1"/>
      <c r="AH1385" s="1"/>
      <c r="AI1385" s="1" t="s">
        <v>3432</v>
      </c>
      <c r="AJ1385" s="1"/>
      <c r="AK1385" s="1"/>
      <c r="AL1385" s="1"/>
    </row>
    <row r="1386" spans="1:38" hidden="1" x14ac:dyDescent="0.25">
      <c r="A1386" s="2">
        <v>1836</v>
      </c>
      <c r="B1386" s="1" t="s">
        <v>1627</v>
      </c>
      <c r="C1386" s="1" t="s">
        <v>1628</v>
      </c>
      <c r="D1386" s="1" t="s">
        <v>2062</v>
      </c>
      <c r="E1386" s="1" t="s">
        <v>2063</v>
      </c>
      <c r="F1386" s="3">
        <v>45691</v>
      </c>
      <c r="G1386" s="3">
        <v>45380</v>
      </c>
      <c r="H1386" s="3">
        <v>45744</v>
      </c>
      <c r="I1386" s="1" t="s">
        <v>3708</v>
      </c>
      <c r="J1386" s="1" t="s">
        <v>3709</v>
      </c>
      <c r="K1386" s="1"/>
      <c r="L1386" s="1" t="s">
        <v>2917</v>
      </c>
      <c r="M1386" s="1" t="s">
        <v>3710</v>
      </c>
      <c r="N1386" s="1" t="s">
        <v>3711</v>
      </c>
      <c r="O1386" s="1" t="s">
        <v>3712</v>
      </c>
      <c r="P1386" s="1" t="s">
        <v>2095</v>
      </c>
      <c r="Q1386" s="1"/>
      <c r="R1386" s="1"/>
      <c r="S1386" s="1" t="s">
        <v>2072</v>
      </c>
      <c r="T1386" s="1" t="s">
        <v>2073</v>
      </c>
      <c r="U1386" s="4">
        <v>4000000</v>
      </c>
      <c r="V1386" s="4">
        <v>2978</v>
      </c>
      <c r="W1386" s="4">
        <v>30</v>
      </c>
      <c r="X1386" s="4">
        <v>447</v>
      </c>
      <c r="Y1386" s="4">
        <v>0</v>
      </c>
      <c r="Z1386" s="5">
        <v>3455</v>
      </c>
      <c r="AA1386" s="5">
        <v>0</v>
      </c>
      <c r="AB1386" s="6">
        <v>0</v>
      </c>
      <c r="AC1386" s="4">
        <v>3455</v>
      </c>
      <c r="AD1386" s="4">
        <v>0</v>
      </c>
      <c r="AE1386" s="4">
        <v>3455</v>
      </c>
      <c r="AF1386" s="1"/>
      <c r="AG1386" s="1"/>
      <c r="AH1386" s="1"/>
      <c r="AI1386" s="1" t="s">
        <v>3432</v>
      </c>
      <c r="AJ1386" s="6">
        <v>898.54000000000019</v>
      </c>
      <c r="AK1386" s="6">
        <v>630.17999999999995</v>
      </c>
      <c r="AL1386" s="1"/>
    </row>
    <row r="1387" spans="1:38" hidden="1" x14ac:dyDescent="0.25">
      <c r="A1387" s="2">
        <v>1837</v>
      </c>
      <c r="B1387" s="1" t="s">
        <v>1627</v>
      </c>
      <c r="C1387" s="1" t="s">
        <v>1629</v>
      </c>
      <c r="D1387" s="1" t="s">
        <v>2062</v>
      </c>
      <c r="E1387" s="1" t="s">
        <v>2063</v>
      </c>
      <c r="F1387" s="3">
        <v>45691</v>
      </c>
      <c r="G1387" s="3">
        <v>45380</v>
      </c>
      <c r="H1387" s="3">
        <v>45744</v>
      </c>
      <c r="I1387" s="1" t="s">
        <v>3708</v>
      </c>
      <c r="J1387" s="1" t="s">
        <v>3709</v>
      </c>
      <c r="K1387" s="1"/>
      <c r="L1387" s="1" t="s">
        <v>2917</v>
      </c>
      <c r="M1387" s="1" t="s">
        <v>3710</v>
      </c>
      <c r="N1387" s="1" t="s">
        <v>3711</v>
      </c>
      <c r="O1387" s="1" t="s">
        <v>3712</v>
      </c>
      <c r="P1387" s="1" t="s">
        <v>2095</v>
      </c>
      <c r="Q1387" s="1"/>
      <c r="R1387" s="1"/>
      <c r="S1387" s="1" t="s">
        <v>2072</v>
      </c>
      <c r="T1387" s="1" t="s">
        <v>2073</v>
      </c>
      <c r="U1387" s="4">
        <v>4000000</v>
      </c>
      <c r="V1387" s="4">
        <v>2350</v>
      </c>
      <c r="W1387" s="4">
        <v>24</v>
      </c>
      <c r="X1387" s="4">
        <v>353</v>
      </c>
      <c r="Y1387" s="4">
        <v>0</v>
      </c>
      <c r="Z1387" s="5">
        <v>2727</v>
      </c>
      <c r="AA1387" s="5">
        <v>0</v>
      </c>
      <c r="AB1387" s="6">
        <v>0</v>
      </c>
      <c r="AC1387" s="4">
        <v>2727</v>
      </c>
      <c r="AD1387" s="4">
        <v>0</v>
      </c>
      <c r="AE1387" s="4">
        <v>2727</v>
      </c>
      <c r="AF1387" s="1"/>
      <c r="AG1387" s="1"/>
      <c r="AH1387" s="1"/>
      <c r="AI1387" s="1" t="s">
        <v>3432</v>
      </c>
      <c r="AJ1387" s="6">
        <v>507.2700000000001</v>
      </c>
      <c r="AK1387" s="6">
        <v>497.55000000000007</v>
      </c>
      <c r="AL1387" s="1"/>
    </row>
    <row r="1388" spans="1:38" hidden="1" x14ac:dyDescent="0.25">
      <c r="A1388" s="2">
        <v>1838</v>
      </c>
      <c r="B1388" s="1" t="s">
        <v>1627</v>
      </c>
      <c r="C1388" s="1" t="s">
        <v>1630</v>
      </c>
      <c r="D1388" s="1" t="s">
        <v>2062</v>
      </c>
      <c r="E1388" s="1" t="s">
        <v>2063</v>
      </c>
      <c r="F1388" s="3">
        <v>45691</v>
      </c>
      <c r="G1388" s="3">
        <v>45380</v>
      </c>
      <c r="H1388" s="3">
        <v>45744</v>
      </c>
      <c r="I1388" s="1" t="s">
        <v>3708</v>
      </c>
      <c r="J1388" s="1" t="s">
        <v>3709</v>
      </c>
      <c r="K1388" s="1"/>
      <c r="L1388" s="1" t="s">
        <v>2917</v>
      </c>
      <c r="M1388" s="1" t="s">
        <v>3710</v>
      </c>
      <c r="N1388" s="1" t="s">
        <v>3711</v>
      </c>
      <c r="O1388" s="1" t="s">
        <v>3712</v>
      </c>
      <c r="P1388" s="1" t="s">
        <v>2095</v>
      </c>
      <c r="Q1388" s="1"/>
      <c r="R1388" s="1"/>
      <c r="S1388" s="1" t="s">
        <v>2072</v>
      </c>
      <c r="T1388" s="1" t="s">
        <v>2073</v>
      </c>
      <c r="U1388" s="4">
        <v>4000000</v>
      </c>
      <c r="V1388" s="4">
        <v>2800</v>
      </c>
      <c r="W1388" s="4">
        <v>28</v>
      </c>
      <c r="X1388" s="4">
        <v>420</v>
      </c>
      <c r="Y1388" s="4">
        <v>0</v>
      </c>
      <c r="Z1388" s="5">
        <v>3248</v>
      </c>
      <c r="AA1388" s="5">
        <v>0</v>
      </c>
      <c r="AB1388" s="6">
        <v>0</v>
      </c>
      <c r="AC1388" s="4">
        <v>3248</v>
      </c>
      <c r="AD1388" s="4">
        <v>0</v>
      </c>
      <c r="AE1388" s="4">
        <v>3248</v>
      </c>
      <c r="AF1388" s="1"/>
      <c r="AG1388" s="1"/>
      <c r="AH1388" s="1"/>
      <c r="AI1388" s="1" t="s">
        <v>3432</v>
      </c>
      <c r="AJ1388" s="6">
        <v>920.19999999999902</v>
      </c>
      <c r="AK1388" s="6">
        <v>592.53</v>
      </c>
      <c r="AL1388" s="1"/>
    </row>
    <row r="1389" spans="1:38" hidden="1" x14ac:dyDescent="0.25">
      <c r="A1389" s="2">
        <v>1839</v>
      </c>
      <c r="B1389" s="1" t="s">
        <v>1627</v>
      </c>
      <c r="C1389" s="1" t="s">
        <v>1631</v>
      </c>
      <c r="D1389" s="1" t="s">
        <v>2062</v>
      </c>
      <c r="E1389" s="1" t="s">
        <v>2063</v>
      </c>
      <c r="F1389" s="3">
        <v>45691</v>
      </c>
      <c r="G1389" s="3">
        <v>45380</v>
      </c>
      <c r="H1389" s="3">
        <v>45744</v>
      </c>
      <c r="I1389" s="1" t="s">
        <v>3708</v>
      </c>
      <c r="J1389" s="1" t="s">
        <v>3709</v>
      </c>
      <c r="K1389" s="1"/>
      <c r="L1389" s="1" t="s">
        <v>2917</v>
      </c>
      <c r="M1389" s="1" t="s">
        <v>3710</v>
      </c>
      <c r="N1389" s="1" t="s">
        <v>3711</v>
      </c>
      <c r="O1389" s="1" t="s">
        <v>3712</v>
      </c>
      <c r="P1389" s="1" t="s">
        <v>2095</v>
      </c>
      <c r="Q1389" s="1"/>
      <c r="R1389" s="1"/>
      <c r="S1389" s="1" t="s">
        <v>2072</v>
      </c>
      <c r="T1389" s="1" t="s">
        <v>2073</v>
      </c>
      <c r="U1389" s="4">
        <v>4000000</v>
      </c>
      <c r="V1389" s="4">
        <v>3109</v>
      </c>
      <c r="W1389" s="4">
        <v>31</v>
      </c>
      <c r="X1389" s="4">
        <v>466</v>
      </c>
      <c r="Y1389" s="4">
        <v>0</v>
      </c>
      <c r="Z1389" s="5">
        <v>3606</v>
      </c>
      <c r="AA1389" s="5">
        <v>0</v>
      </c>
      <c r="AB1389" s="6">
        <v>0</v>
      </c>
      <c r="AC1389" s="4">
        <v>3606</v>
      </c>
      <c r="AD1389" s="4">
        <v>0</v>
      </c>
      <c r="AE1389" s="4">
        <v>3606</v>
      </c>
      <c r="AF1389" s="1"/>
      <c r="AG1389" s="1"/>
      <c r="AH1389" s="1"/>
      <c r="AI1389" s="1" t="s">
        <v>3432</v>
      </c>
      <c r="AJ1389" s="6">
        <v>734.2</v>
      </c>
      <c r="AK1389" s="6">
        <v>657.68</v>
      </c>
      <c r="AL1389" s="1"/>
    </row>
    <row r="1390" spans="1:38" hidden="1" x14ac:dyDescent="0.25">
      <c r="A1390" s="2">
        <v>1840</v>
      </c>
      <c r="B1390" s="1" t="s">
        <v>1627</v>
      </c>
      <c r="C1390" s="1" t="s">
        <v>1632</v>
      </c>
      <c r="D1390" s="1" t="s">
        <v>2062</v>
      </c>
      <c r="E1390" s="1" t="s">
        <v>2063</v>
      </c>
      <c r="F1390" s="3">
        <v>45691</v>
      </c>
      <c r="G1390" s="3">
        <v>45380</v>
      </c>
      <c r="H1390" s="3">
        <v>45744</v>
      </c>
      <c r="I1390" s="1" t="s">
        <v>3708</v>
      </c>
      <c r="J1390" s="1" t="s">
        <v>3709</v>
      </c>
      <c r="K1390" s="1"/>
      <c r="L1390" s="1" t="s">
        <v>2917</v>
      </c>
      <c r="M1390" s="1" t="s">
        <v>3710</v>
      </c>
      <c r="N1390" s="1" t="s">
        <v>3711</v>
      </c>
      <c r="O1390" s="1" t="s">
        <v>3712</v>
      </c>
      <c r="P1390" s="1" t="s">
        <v>2095</v>
      </c>
      <c r="Q1390" s="1"/>
      <c r="R1390" s="1"/>
      <c r="S1390" s="1" t="s">
        <v>2072</v>
      </c>
      <c r="T1390" s="1" t="s">
        <v>2073</v>
      </c>
      <c r="U1390" s="4">
        <v>4000000</v>
      </c>
      <c r="V1390" s="4">
        <v>3060</v>
      </c>
      <c r="W1390" s="4">
        <v>31</v>
      </c>
      <c r="X1390" s="4">
        <v>459</v>
      </c>
      <c r="Y1390" s="4">
        <v>0</v>
      </c>
      <c r="Z1390" s="5">
        <v>3550</v>
      </c>
      <c r="AA1390" s="5">
        <v>0</v>
      </c>
      <c r="AB1390" s="6">
        <v>0</v>
      </c>
      <c r="AC1390" s="4">
        <v>3550</v>
      </c>
      <c r="AD1390" s="4">
        <v>0</v>
      </c>
      <c r="AE1390" s="4">
        <v>3550</v>
      </c>
      <c r="AF1390" s="1"/>
      <c r="AG1390" s="1"/>
      <c r="AH1390" s="1"/>
      <c r="AI1390" s="1" t="s">
        <v>3432</v>
      </c>
      <c r="AJ1390" s="6">
        <v>724.04000000000019</v>
      </c>
      <c r="AK1390" s="6">
        <v>648.09</v>
      </c>
      <c r="AL1390" s="1"/>
    </row>
    <row r="1391" spans="1:38" hidden="1" x14ac:dyDescent="0.25">
      <c r="A1391" s="2">
        <v>1841</v>
      </c>
      <c r="B1391" s="1" t="s">
        <v>1627</v>
      </c>
      <c r="C1391" s="1" t="s">
        <v>1633</v>
      </c>
      <c r="D1391" s="1" t="s">
        <v>2062</v>
      </c>
      <c r="E1391" s="1" t="s">
        <v>2063</v>
      </c>
      <c r="F1391" s="3">
        <v>45691</v>
      </c>
      <c r="G1391" s="3">
        <v>45380</v>
      </c>
      <c r="H1391" s="3">
        <v>45744</v>
      </c>
      <c r="I1391" s="1" t="s">
        <v>3708</v>
      </c>
      <c r="J1391" s="1" t="s">
        <v>3709</v>
      </c>
      <c r="K1391" s="1"/>
      <c r="L1391" s="1" t="s">
        <v>2917</v>
      </c>
      <c r="M1391" s="1" t="s">
        <v>3710</v>
      </c>
      <c r="N1391" s="1" t="s">
        <v>3711</v>
      </c>
      <c r="O1391" s="1" t="s">
        <v>3712</v>
      </c>
      <c r="P1391" s="1" t="s">
        <v>2095</v>
      </c>
      <c r="Q1391" s="1"/>
      <c r="R1391" s="1"/>
      <c r="S1391" s="1" t="s">
        <v>2072</v>
      </c>
      <c r="T1391" s="1" t="s">
        <v>2073</v>
      </c>
      <c r="U1391" s="4">
        <v>4000000</v>
      </c>
      <c r="V1391" s="4">
        <v>2237</v>
      </c>
      <c r="W1391" s="4">
        <v>22</v>
      </c>
      <c r="X1391" s="4">
        <v>335</v>
      </c>
      <c r="Y1391" s="4">
        <v>0</v>
      </c>
      <c r="Z1391" s="5">
        <v>2594</v>
      </c>
      <c r="AA1391" s="5">
        <v>0</v>
      </c>
      <c r="AB1391" s="6">
        <v>0</v>
      </c>
      <c r="AC1391" s="4">
        <v>2594</v>
      </c>
      <c r="AD1391" s="4">
        <v>0</v>
      </c>
      <c r="AE1391" s="4">
        <v>2594</v>
      </c>
      <c r="AF1391" s="1"/>
      <c r="AG1391" s="1"/>
      <c r="AH1391" s="1"/>
      <c r="AI1391" s="1" t="s">
        <v>3432</v>
      </c>
      <c r="AJ1391" s="6">
        <v>473.86000000000007</v>
      </c>
      <c r="AK1391" s="6">
        <v>473.86000000000007</v>
      </c>
      <c r="AL1391" s="1"/>
    </row>
    <row r="1392" spans="1:38" hidden="1" x14ac:dyDescent="0.25">
      <c r="A1392" s="2">
        <v>1842</v>
      </c>
      <c r="B1392" s="1" t="s">
        <v>1627</v>
      </c>
      <c r="C1392" s="1" t="s">
        <v>1634</v>
      </c>
      <c r="D1392" s="1" t="s">
        <v>2062</v>
      </c>
      <c r="E1392" s="1" t="s">
        <v>2063</v>
      </c>
      <c r="F1392" s="3">
        <v>45691</v>
      </c>
      <c r="G1392" s="3">
        <v>45380</v>
      </c>
      <c r="H1392" s="3">
        <v>45744</v>
      </c>
      <c r="I1392" s="1" t="s">
        <v>3708</v>
      </c>
      <c r="J1392" s="1" t="s">
        <v>3709</v>
      </c>
      <c r="K1392" s="1"/>
      <c r="L1392" s="1" t="s">
        <v>2917</v>
      </c>
      <c r="M1392" s="1" t="s">
        <v>3710</v>
      </c>
      <c r="N1392" s="1" t="s">
        <v>3711</v>
      </c>
      <c r="O1392" s="1" t="s">
        <v>3712</v>
      </c>
      <c r="P1392" s="1" t="s">
        <v>2095</v>
      </c>
      <c r="Q1392" s="1"/>
      <c r="R1392" s="1"/>
      <c r="S1392" s="1" t="s">
        <v>2072</v>
      </c>
      <c r="T1392" s="1" t="s">
        <v>2073</v>
      </c>
      <c r="U1392" s="4">
        <v>4000000</v>
      </c>
      <c r="V1392" s="4">
        <v>1409</v>
      </c>
      <c r="W1392" s="4">
        <v>14</v>
      </c>
      <c r="X1392" s="4">
        <v>211</v>
      </c>
      <c r="Y1392" s="4">
        <v>0</v>
      </c>
      <c r="Z1392" s="5">
        <v>1634</v>
      </c>
      <c r="AA1392" s="5">
        <v>0</v>
      </c>
      <c r="AB1392" s="6">
        <v>0</v>
      </c>
      <c r="AC1392" s="4">
        <v>1634</v>
      </c>
      <c r="AD1392" s="4">
        <v>0</v>
      </c>
      <c r="AE1392" s="4">
        <v>1634</v>
      </c>
      <c r="AF1392" s="1"/>
      <c r="AG1392" s="1"/>
      <c r="AH1392" s="1"/>
      <c r="AI1392" s="1" t="s">
        <v>3432</v>
      </c>
      <c r="AJ1392" s="6">
        <v>310.20999999999998</v>
      </c>
      <c r="AK1392" s="6">
        <v>298.09000000000003</v>
      </c>
      <c r="AL1392" s="1"/>
    </row>
    <row r="1393" spans="1:38" hidden="1" x14ac:dyDescent="0.25">
      <c r="A1393" s="2">
        <v>1843</v>
      </c>
      <c r="B1393" s="1" t="s">
        <v>1627</v>
      </c>
      <c r="C1393" s="1" t="s">
        <v>1635</v>
      </c>
      <c r="D1393" s="1" t="s">
        <v>2062</v>
      </c>
      <c r="E1393" s="1" t="s">
        <v>2063</v>
      </c>
      <c r="F1393" s="3">
        <v>45691</v>
      </c>
      <c r="G1393" s="3">
        <v>45380</v>
      </c>
      <c r="H1393" s="3">
        <v>45744</v>
      </c>
      <c r="I1393" s="1" t="s">
        <v>3708</v>
      </c>
      <c r="J1393" s="1" t="s">
        <v>3709</v>
      </c>
      <c r="K1393" s="1"/>
      <c r="L1393" s="1" t="s">
        <v>2917</v>
      </c>
      <c r="M1393" s="1" t="s">
        <v>3710</v>
      </c>
      <c r="N1393" s="1" t="s">
        <v>3711</v>
      </c>
      <c r="O1393" s="1" t="s">
        <v>3712</v>
      </c>
      <c r="P1393" s="1" t="s">
        <v>2095</v>
      </c>
      <c r="Q1393" s="1"/>
      <c r="R1393" s="1"/>
      <c r="S1393" s="1" t="s">
        <v>2072</v>
      </c>
      <c r="T1393" s="1" t="s">
        <v>2073</v>
      </c>
      <c r="U1393" s="4">
        <v>4000000</v>
      </c>
      <c r="V1393" s="4">
        <v>2890</v>
      </c>
      <c r="W1393" s="4">
        <v>29</v>
      </c>
      <c r="X1393" s="4">
        <v>433</v>
      </c>
      <c r="Y1393" s="4">
        <v>0</v>
      </c>
      <c r="Z1393" s="5">
        <v>3352</v>
      </c>
      <c r="AA1393" s="5">
        <v>0</v>
      </c>
      <c r="AB1393" s="6">
        <v>0</v>
      </c>
      <c r="AC1393" s="4">
        <v>3352</v>
      </c>
      <c r="AD1393" s="4">
        <v>0</v>
      </c>
      <c r="AE1393" s="4">
        <v>3352</v>
      </c>
      <c r="AF1393" s="1"/>
      <c r="AG1393" s="1"/>
      <c r="AH1393" s="1"/>
      <c r="AI1393" s="1" t="s">
        <v>3432</v>
      </c>
      <c r="AJ1393" s="6">
        <v>611.29</v>
      </c>
      <c r="AK1393" s="6">
        <v>611.29</v>
      </c>
      <c r="AL1393" s="1"/>
    </row>
    <row r="1394" spans="1:38" hidden="1" x14ac:dyDescent="0.25">
      <c r="A1394" s="2">
        <v>1844</v>
      </c>
      <c r="B1394" s="1" t="s">
        <v>1627</v>
      </c>
      <c r="C1394" s="1" t="s">
        <v>1636</v>
      </c>
      <c r="D1394" s="1" t="s">
        <v>2062</v>
      </c>
      <c r="E1394" s="1" t="s">
        <v>2063</v>
      </c>
      <c r="F1394" s="3">
        <v>45694</v>
      </c>
      <c r="G1394" s="3">
        <v>45380</v>
      </c>
      <c r="H1394" s="3">
        <v>45744</v>
      </c>
      <c r="I1394" s="1" t="s">
        <v>3708</v>
      </c>
      <c r="J1394" s="1" t="s">
        <v>3709</v>
      </c>
      <c r="K1394" s="1"/>
      <c r="L1394" s="1" t="s">
        <v>2917</v>
      </c>
      <c r="M1394" s="1" t="s">
        <v>3710</v>
      </c>
      <c r="N1394" s="1" t="s">
        <v>3711</v>
      </c>
      <c r="O1394" s="1" t="s">
        <v>3712</v>
      </c>
      <c r="P1394" s="1" t="s">
        <v>2095</v>
      </c>
      <c r="Q1394" s="1"/>
      <c r="R1394" s="1"/>
      <c r="S1394" s="1" t="s">
        <v>2072</v>
      </c>
      <c r="T1394" s="1" t="s">
        <v>2073</v>
      </c>
      <c r="U1394" s="4">
        <v>4000000</v>
      </c>
      <c r="V1394" s="4">
        <v>6601</v>
      </c>
      <c r="W1394" s="4">
        <v>66</v>
      </c>
      <c r="X1394" s="4">
        <v>990</v>
      </c>
      <c r="Y1394" s="4">
        <v>0</v>
      </c>
      <c r="Z1394" s="5">
        <v>7657</v>
      </c>
      <c r="AA1394" s="5">
        <v>0</v>
      </c>
      <c r="AB1394" s="6">
        <v>0</v>
      </c>
      <c r="AC1394" s="4">
        <v>7657</v>
      </c>
      <c r="AD1394" s="4">
        <v>0</v>
      </c>
      <c r="AE1394" s="4">
        <v>7657</v>
      </c>
      <c r="AF1394" s="1"/>
      <c r="AG1394" s="1"/>
      <c r="AH1394" s="1"/>
      <c r="AI1394" s="1" t="s">
        <v>3432</v>
      </c>
      <c r="AJ1394" s="6">
        <v>1395</v>
      </c>
      <c r="AK1394" s="6">
        <v>1395</v>
      </c>
      <c r="AL1394" s="1"/>
    </row>
    <row r="1395" spans="1:38" hidden="1" x14ac:dyDescent="0.25">
      <c r="A1395" s="2">
        <v>1845</v>
      </c>
      <c r="B1395" s="1" t="s">
        <v>1627</v>
      </c>
      <c r="C1395" s="1" t="s">
        <v>1637</v>
      </c>
      <c r="D1395" s="1" t="s">
        <v>2062</v>
      </c>
      <c r="E1395" s="1" t="s">
        <v>2063</v>
      </c>
      <c r="F1395" s="3">
        <v>45694</v>
      </c>
      <c r="G1395" s="3">
        <v>45380</v>
      </c>
      <c r="H1395" s="3">
        <v>45744</v>
      </c>
      <c r="I1395" s="1" t="s">
        <v>3708</v>
      </c>
      <c r="J1395" s="1" t="s">
        <v>3709</v>
      </c>
      <c r="K1395" s="1"/>
      <c r="L1395" s="1" t="s">
        <v>2917</v>
      </c>
      <c r="M1395" s="1" t="s">
        <v>3710</v>
      </c>
      <c r="N1395" s="1" t="s">
        <v>3711</v>
      </c>
      <c r="O1395" s="1" t="s">
        <v>3712</v>
      </c>
      <c r="P1395" s="1" t="s">
        <v>2095</v>
      </c>
      <c r="Q1395" s="1"/>
      <c r="R1395" s="1"/>
      <c r="S1395" s="1" t="s">
        <v>2072</v>
      </c>
      <c r="T1395" s="1" t="s">
        <v>2073</v>
      </c>
      <c r="U1395" s="4">
        <v>4000000</v>
      </c>
      <c r="V1395" s="4">
        <v>6025</v>
      </c>
      <c r="W1395" s="4">
        <v>60</v>
      </c>
      <c r="X1395" s="4">
        <v>904</v>
      </c>
      <c r="Y1395" s="4">
        <v>0</v>
      </c>
      <c r="Z1395" s="5">
        <v>6989</v>
      </c>
      <c r="AA1395" s="5">
        <v>0</v>
      </c>
      <c r="AB1395" s="6">
        <v>0</v>
      </c>
      <c r="AC1395" s="4">
        <v>6989</v>
      </c>
      <c r="AD1395" s="4">
        <v>0</v>
      </c>
      <c r="AE1395" s="4">
        <v>6989</v>
      </c>
      <c r="AF1395" s="1"/>
      <c r="AG1395" s="1"/>
      <c r="AH1395" s="1"/>
      <c r="AI1395" s="1" t="s">
        <v>3432</v>
      </c>
      <c r="AJ1395" s="6">
        <v>1357.39</v>
      </c>
      <c r="AK1395" s="6">
        <v>1273.43</v>
      </c>
      <c r="AL1395" s="1"/>
    </row>
    <row r="1396" spans="1:38" hidden="1" x14ac:dyDescent="0.25">
      <c r="A1396" s="2">
        <v>1846</v>
      </c>
      <c r="B1396" s="1" t="s">
        <v>1627</v>
      </c>
      <c r="C1396" s="1" t="s">
        <v>1638</v>
      </c>
      <c r="D1396" s="1" t="s">
        <v>2062</v>
      </c>
      <c r="E1396" s="1" t="s">
        <v>2063</v>
      </c>
      <c r="F1396" s="3">
        <v>45745</v>
      </c>
      <c r="G1396" s="3">
        <v>45380</v>
      </c>
      <c r="H1396" s="3">
        <v>45744</v>
      </c>
      <c r="I1396" s="1" t="s">
        <v>3708</v>
      </c>
      <c r="J1396" s="1" t="s">
        <v>3709</v>
      </c>
      <c r="K1396" s="1"/>
      <c r="L1396" s="1" t="s">
        <v>2917</v>
      </c>
      <c r="M1396" s="1" t="s">
        <v>3710</v>
      </c>
      <c r="N1396" s="1" t="s">
        <v>3711</v>
      </c>
      <c r="O1396" s="1" t="s">
        <v>3712</v>
      </c>
      <c r="P1396" s="1" t="s">
        <v>2095</v>
      </c>
      <c r="Q1396" s="1"/>
      <c r="R1396" s="1"/>
      <c r="S1396" s="1" t="s">
        <v>2072</v>
      </c>
      <c r="T1396" s="1" t="s">
        <v>2073</v>
      </c>
      <c r="U1396" s="4">
        <v>-1</v>
      </c>
      <c r="V1396" s="4">
        <v>-38472</v>
      </c>
      <c r="W1396" s="4">
        <v>-340</v>
      </c>
      <c r="X1396" s="4">
        <v>0</v>
      </c>
      <c r="Y1396" s="4">
        <v>0</v>
      </c>
      <c r="Z1396" s="5">
        <v>-38812</v>
      </c>
      <c r="AA1396" s="5">
        <v>0</v>
      </c>
      <c r="AB1396" s="6">
        <v>0</v>
      </c>
      <c r="AC1396" s="4">
        <v>-38812</v>
      </c>
      <c r="AD1396" s="4">
        <v>0</v>
      </c>
      <c r="AE1396" s="4">
        <v>-38812</v>
      </c>
      <c r="AF1396" s="1"/>
      <c r="AG1396" s="1"/>
      <c r="AH1396" s="1"/>
      <c r="AI1396" s="1" t="s">
        <v>3432</v>
      </c>
      <c r="AJ1396" s="1"/>
      <c r="AK1396" s="1"/>
      <c r="AL1396" s="1"/>
    </row>
    <row r="1397" spans="1:38" x14ac:dyDescent="0.25">
      <c r="A1397" s="2">
        <v>1848</v>
      </c>
      <c r="B1397" s="1" t="s">
        <v>1639</v>
      </c>
      <c r="C1397" s="1"/>
      <c r="D1397" s="1" t="s">
        <v>2062</v>
      </c>
      <c r="E1397" s="1" t="s">
        <v>2063</v>
      </c>
      <c r="F1397" s="3">
        <v>45383</v>
      </c>
      <c r="G1397" s="3">
        <v>45379</v>
      </c>
      <c r="H1397" s="3">
        <v>45743</v>
      </c>
      <c r="I1397" s="1" t="s">
        <v>3228</v>
      </c>
      <c r="J1397" s="1" t="s">
        <v>3713</v>
      </c>
      <c r="K1397" s="1"/>
      <c r="L1397" s="1" t="s">
        <v>2178</v>
      </c>
      <c r="M1397" s="1" t="s">
        <v>3714</v>
      </c>
      <c r="N1397" s="1" t="s">
        <v>3715</v>
      </c>
      <c r="O1397" s="1" t="s">
        <v>3716</v>
      </c>
      <c r="P1397" s="1" t="s">
        <v>2231</v>
      </c>
      <c r="Q1397" s="1"/>
      <c r="R1397" s="1"/>
      <c r="S1397" s="1" t="s">
        <v>2072</v>
      </c>
      <c r="T1397" s="1" t="s">
        <v>2073</v>
      </c>
      <c r="U1397" s="4">
        <v>-1</v>
      </c>
      <c r="V1397" s="4">
        <v>0</v>
      </c>
      <c r="W1397" s="4">
        <v>0</v>
      </c>
      <c r="X1397" s="4">
        <v>0</v>
      </c>
      <c r="Y1397" s="4">
        <v>50</v>
      </c>
      <c r="Z1397" s="5">
        <v>50</v>
      </c>
      <c r="AA1397" s="5">
        <v>0</v>
      </c>
      <c r="AB1397" s="6">
        <v>0</v>
      </c>
      <c r="AC1397" s="4">
        <v>50</v>
      </c>
      <c r="AD1397" s="4">
        <v>0</v>
      </c>
      <c r="AE1397" s="4">
        <v>50</v>
      </c>
      <c r="AF1397" s="1"/>
      <c r="AG1397" s="1"/>
      <c r="AH1397" s="1"/>
      <c r="AI1397" s="1" t="s">
        <v>3432</v>
      </c>
      <c r="AJ1397" s="1"/>
      <c r="AK1397" s="1"/>
      <c r="AL1397" s="1" t="s">
        <v>3717</v>
      </c>
    </row>
    <row r="1398" spans="1:38" hidden="1" x14ac:dyDescent="0.25">
      <c r="A1398" s="2">
        <v>1849</v>
      </c>
      <c r="B1398" s="1" t="s">
        <v>1639</v>
      </c>
      <c r="C1398" s="1" t="s">
        <v>1640</v>
      </c>
      <c r="D1398" s="1" t="s">
        <v>2062</v>
      </c>
      <c r="E1398" s="1" t="s">
        <v>2063</v>
      </c>
      <c r="F1398" s="3">
        <v>45411</v>
      </c>
      <c r="G1398" s="3">
        <v>45379</v>
      </c>
      <c r="H1398" s="3">
        <v>45743</v>
      </c>
      <c r="I1398" s="1" t="s">
        <v>3228</v>
      </c>
      <c r="J1398" s="1" t="s">
        <v>3713</v>
      </c>
      <c r="K1398" s="1"/>
      <c r="L1398" s="1" t="s">
        <v>2178</v>
      </c>
      <c r="M1398" s="1" t="s">
        <v>3714</v>
      </c>
      <c r="N1398" s="1" t="s">
        <v>3715</v>
      </c>
      <c r="O1398" s="1" t="s">
        <v>3716</v>
      </c>
      <c r="P1398" s="1" t="s">
        <v>2231</v>
      </c>
      <c r="Q1398" s="1"/>
      <c r="R1398" s="1"/>
      <c r="S1398" s="1" t="s">
        <v>2072</v>
      </c>
      <c r="T1398" s="1" t="s">
        <v>2073</v>
      </c>
      <c r="U1398" s="4">
        <v>2300000</v>
      </c>
      <c r="V1398" s="4">
        <v>1999</v>
      </c>
      <c r="W1398" s="4">
        <v>20</v>
      </c>
      <c r="X1398" s="4">
        <v>260</v>
      </c>
      <c r="Y1398" s="4">
        <v>0</v>
      </c>
      <c r="Z1398" s="5">
        <v>2279</v>
      </c>
      <c r="AA1398" s="5">
        <v>0</v>
      </c>
      <c r="AB1398" s="6">
        <v>0</v>
      </c>
      <c r="AC1398" s="4">
        <v>2279</v>
      </c>
      <c r="AD1398" s="4">
        <v>0</v>
      </c>
      <c r="AE1398" s="4">
        <v>2279</v>
      </c>
      <c r="AF1398" s="1"/>
      <c r="AG1398" s="1"/>
      <c r="AH1398" s="1"/>
      <c r="AI1398" s="1" t="s">
        <v>3432</v>
      </c>
      <c r="AJ1398" s="6">
        <v>844.76</v>
      </c>
      <c r="AK1398" s="6">
        <v>722.99</v>
      </c>
      <c r="AL1398" s="1"/>
    </row>
    <row r="1399" spans="1:38" hidden="1" x14ac:dyDescent="0.25">
      <c r="A1399" s="2">
        <v>1850</v>
      </c>
      <c r="B1399" s="1" t="s">
        <v>1639</v>
      </c>
      <c r="C1399" s="1" t="s">
        <v>1641</v>
      </c>
      <c r="D1399" s="1" t="s">
        <v>2062</v>
      </c>
      <c r="E1399" s="1" t="s">
        <v>2063</v>
      </c>
      <c r="F1399" s="3">
        <v>45441</v>
      </c>
      <c r="G1399" s="3">
        <v>45379</v>
      </c>
      <c r="H1399" s="3">
        <v>45743</v>
      </c>
      <c r="I1399" s="1" t="s">
        <v>3228</v>
      </c>
      <c r="J1399" s="1" t="s">
        <v>3713</v>
      </c>
      <c r="K1399" s="1"/>
      <c r="L1399" s="1" t="s">
        <v>2178</v>
      </c>
      <c r="M1399" s="1" t="s">
        <v>3714</v>
      </c>
      <c r="N1399" s="1" t="s">
        <v>3715</v>
      </c>
      <c r="O1399" s="1" t="s">
        <v>3716</v>
      </c>
      <c r="P1399" s="1" t="s">
        <v>2231</v>
      </c>
      <c r="Q1399" s="1"/>
      <c r="R1399" s="1"/>
      <c r="S1399" s="1" t="s">
        <v>2072</v>
      </c>
      <c r="T1399" s="1" t="s">
        <v>2073</v>
      </c>
      <c r="U1399" s="4">
        <v>2300000</v>
      </c>
      <c r="V1399" s="4">
        <v>1847</v>
      </c>
      <c r="W1399" s="4">
        <v>18</v>
      </c>
      <c r="X1399" s="4">
        <v>240</v>
      </c>
      <c r="Y1399" s="4">
        <v>0</v>
      </c>
      <c r="Z1399" s="5">
        <v>2105</v>
      </c>
      <c r="AA1399" s="5">
        <v>0</v>
      </c>
      <c r="AB1399" s="6">
        <v>0</v>
      </c>
      <c r="AC1399" s="4">
        <v>2105</v>
      </c>
      <c r="AD1399" s="4">
        <v>0</v>
      </c>
      <c r="AE1399" s="4">
        <v>2105</v>
      </c>
      <c r="AF1399" s="1"/>
      <c r="AG1399" s="1"/>
      <c r="AH1399" s="1"/>
      <c r="AI1399" s="1" t="s">
        <v>3432</v>
      </c>
      <c r="AJ1399" s="6">
        <v>739.37</v>
      </c>
      <c r="AK1399" s="6">
        <v>669.11</v>
      </c>
      <c r="AL1399" s="1"/>
    </row>
    <row r="1400" spans="1:38" hidden="1" x14ac:dyDescent="0.25">
      <c r="A1400" s="2">
        <v>1851</v>
      </c>
      <c r="B1400" s="1" t="s">
        <v>1639</v>
      </c>
      <c r="C1400" s="1" t="s">
        <v>1642</v>
      </c>
      <c r="D1400" s="1" t="s">
        <v>2062</v>
      </c>
      <c r="E1400" s="1" t="s">
        <v>2063</v>
      </c>
      <c r="F1400" s="3">
        <v>45471</v>
      </c>
      <c r="G1400" s="3">
        <v>45379</v>
      </c>
      <c r="H1400" s="3">
        <v>45743</v>
      </c>
      <c r="I1400" s="1" t="s">
        <v>3228</v>
      </c>
      <c r="J1400" s="1" t="s">
        <v>3713</v>
      </c>
      <c r="K1400" s="1"/>
      <c r="L1400" s="1" t="s">
        <v>2178</v>
      </c>
      <c r="M1400" s="1" t="s">
        <v>3714</v>
      </c>
      <c r="N1400" s="1" t="s">
        <v>3715</v>
      </c>
      <c r="O1400" s="1" t="s">
        <v>3716</v>
      </c>
      <c r="P1400" s="1" t="s">
        <v>2231</v>
      </c>
      <c r="Q1400" s="1"/>
      <c r="R1400" s="1"/>
      <c r="S1400" s="1" t="s">
        <v>2072</v>
      </c>
      <c r="T1400" s="1" t="s">
        <v>2073</v>
      </c>
      <c r="U1400" s="4">
        <v>2300000</v>
      </c>
      <c r="V1400" s="4">
        <v>1884</v>
      </c>
      <c r="W1400" s="4">
        <v>19</v>
      </c>
      <c r="X1400" s="4">
        <v>245</v>
      </c>
      <c r="Y1400" s="4">
        <v>0</v>
      </c>
      <c r="Z1400" s="5">
        <v>2148</v>
      </c>
      <c r="AA1400" s="5">
        <v>0</v>
      </c>
      <c r="AB1400" s="6">
        <v>0</v>
      </c>
      <c r="AC1400" s="4">
        <v>2148</v>
      </c>
      <c r="AD1400" s="4">
        <v>0</v>
      </c>
      <c r="AE1400" s="4">
        <v>2148</v>
      </c>
      <c r="AF1400" s="1"/>
      <c r="AG1400" s="1"/>
      <c r="AH1400" s="1"/>
      <c r="AI1400" s="1" t="s">
        <v>3432</v>
      </c>
      <c r="AJ1400" s="6">
        <v>802.69999999999902</v>
      </c>
      <c r="AK1400" s="6">
        <v>681.86</v>
      </c>
      <c r="AL1400" s="1"/>
    </row>
    <row r="1401" spans="1:38" hidden="1" x14ac:dyDescent="0.25">
      <c r="A1401" s="2">
        <v>1852</v>
      </c>
      <c r="B1401" s="1" t="s">
        <v>1639</v>
      </c>
      <c r="C1401" s="1" t="s">
        <v>1643</v>
      </c>
      <c r="D1401" s="1" t="s">
        <v>2062</v>
      </c>
      <c r="E1401" s="1" t="s">
        <v>2063</v>
      </c>
      <c r="F1401" s="3">
        <v>45503</v>
      </c>
      <c r="G1401" s="3">
        <v>45379</v>
      </c>
      <c r="H1401" s="3">
        <v>45743</v>
      </c>
      <c r="I1401" s="1" t="s">
        <v>3228</v>
      </c>
      <c r="J1401" s="1" t="s">
        <v>3713</v>
      </c>
      <c r="K1401" s="1"/>
      <c r="L1401" s="1" t="s">
        <v>2178</v>
      </c>
      <c r="M1401" s="1" t="s">
        <v>3714</v>
      </c>
      <c r="N1401" s="1" t="s">
        <v>3715</v>
      </c>
      <c r="O1401" s="1" t="s">
        <v>3716</v>
      </c>
      <c r="P1401" s="1" t="s">
        <v>2231</v>
      </c>
      <c r="Q1401" s="1"/>
      <c r="R1401" s="1"/>
      <c r="S1401" s="1" t="s">
        <v>2072</v>
      </c>
      <c r="T1401" s="1" t="s">
        <v>2073</v>
      </c>
      <c r="U1401" s="4">
        <v>2300000</v>
      </c>
      <c r="V1401" s="4">
        <v>1744</v>
      </c>
      <c r="W1401" s="4">
        <v>17</v>
      </c>
      <c r="X1401" s="4">
        <v>262</v>
      </c>
      <c r="Y1401" s="4">
        <v>0</v>
      </c>
      <c r="Z1401" s="5">
        <v>2023</v>
      </c>
      <c r="AA1401" s="5">
        <v>0</v>
      </c>
      <c r="AB1401" s="6">
        <v>0</v>
      </c>
      <c r="AC1401" s="4">
        <v>2023</v>
      </c>
      <c r="AD1401" s="4">
        <v>0</v>
      </c>
      <c r="AE1401" s="4">
        <v>2023</v>
      </c>
      <c r="AF1401" s="1"/>
      <c r="AG1401" s="1"/>
      <c r="AH1401" s="1"/>
      <c r="AI1401" s="1" t="s">
        <v>3432</v>
      </c>
      <c r="AJ1401" s="6">
        <v>670.71</v>
      </c>
      <c r="AK1401" s="6">
        <v>640.94000000000005</v>
      </c>
      <c r="AL1401" s="1"/>
    </row>
    <row r="1402" spans="1:38" hidden="1" x14ac:dyDescent="0.25">
      <c r="A1402" s="2">
        <v>1853</v>
      </c>
      <c r="B1402" s="1" t="s">
        <v>1639</v>
      </c>
      <c r="C1402" s="1" t="s">
        <v>1644</v>
      </c>
      <c r="D1402" s="1" t="s">
        <v>2062</v>
      </c>
      <c r="E1402" s="1" t="s">
        <v>2063</v>
      </c>
      <c r="F1402" s="3">
        <v>45535</v>
      </c>
      <c r="G1402" s="3">
        <v>45379</v>
      </c>
      <c r="H1402" s="3">
        <v>45743</v>
      </c>
      <c r="I1402" s="1" t="s">
        <v>3228</v>
      </c>
      <c r="J1402" s="1" t="s">
        <v>3713</v>
      </c>
      <c r="K1402" s="1"/>
      <c r="L1402" s="1" t="s">
        <v>2178</v>
      </c>
      <c r="M1402" s="1" t="s">
        <v>3714</v>
      </c>
      <c r="N1402" s="1" t="s">
        <v>3715</v>
      </c>
      <c r="O1402" s="1" t="s">
        <v>3716</v>
      </c>
      <c r="P1402" s="1" t="s">
        <v>2231</v>
      </c>
      <c r="Q1402" s="1"/>
      <c r="R1402" s="1"/>
      <c r="S1402" s="1" t="s">
        <v>2072</v>
      </c>
      <c r="T1402" s="1" t="s">
        <v>2073</v>
      </c>
      <c r="U1402" s="4">
        <v>2300000</v>
      </c>
      <c r="V1402" s="4">
        <v>1880</v>
      </c>
      <c r="W1402" s="4">
        <v>19</v>
      </c>
      <c r="X1402" s="4">
        <v>282</v>
      </c>
      <c r="Y1402" s="4">
        <v>0</v>
      </c>
      <c r="Z1402" s="5">
        <v>2181</v>
      </c>
      <c r="AA1402" s="5">
        <v>0</v>
      </c>
      <c r="AB1402" s="6">
        <v>0</v>
      </c>
      <c r="AC1402" s="4">
        <v>2181</v>
      </c>
      <c r="AD1402" s="4">
        <v>0</v>
      </c>
      <c r="AE1402" s="4">
        <v>2181</v>
      </c>
      <c r="AF1402" s="1"/>
      <c r="AG1402" s="1"/>
      <c r="AH1402" s="1"/>
      <c r="AI1402" s="1" t="s">
        <v>3432</v>
      </c>
      <c r="AJ1402" s="6">
        <v>760.91</v>
      </c>
      <c r="AK1402" s="6">
        <v>692.54000000000019</v>
      </c>
      <c r="AL1402" s="1"/>
    </row>
    <row r="1403" spans="1:38" hidden="1" x14ac:dyDescent="0.25">
      <c r="A1403" s="2">
        <v>1854</v>
      </c>
      <c r="B1403" s="1" t="s">
        <v>1639</v>
      </c>
      <c r="C1403" s="1" t="s">
        <v>1645</v>
      </c>
      <c r="D1403" s="1" t="s">
        <v>2062</v>
      </c>
      <c r="E1403" s="1" t="s">
        <v>2063</v>
      </c>
      <c r="F1403" s="3">
        <v>45570</v>
      </c>
      <c r="G1403" s="3">
        <v>45379</v>
      </c>
      <c r="H1403" s="3">
        <v>45743</v>
      </c>
      <c r="I1403" s="1" t="s">
        <v>3228</v>
      </c>
      <c r="J1403" s="1" t="s">
        <v>3713</v>
      </c>
      <c r="K1403" s="1"/>
      <c r="L1403" s="1" t="s">
        <v>2178</v>
      </c>
      <c r="M1403" s="1" t="s">
        <v>3714</v>
      </c>
      <c r="N1403" s="1" t="s">
        <v>3715</v>
      </c>
      <c r="O1403" s="1" t="s">
        <v>3716</v>
      </c>
      <c r="P1403" s="1" t="s">
        <v>2231</v>
      </c>
      <c r="Q1403" s="1"/>
      <c r="R1403" s="1"/>
      <c r="S1403" s="1" t="s">
        <v>2072</v>
      </c>
      <c r="T1403" s="1" t="s">
        <v>2073</v>
      </c>
      <c r="U1403" s="4">
        <v>2300000</v>
      </c>
      <c r="V1403" s="4">
        <v>1857</v>
      </c>
      <c r="W1403" s="4">
        <v>19</v>
      </c>
      <c r="X1403" s="4">
        <v>279</v>
      </c>
      <c r="Y1403" s="4">
        <v>0</v>
      </c>
      <c r="Z1403" s="5">
        <v>2155</v>
      </c>
      <c r="AA1403" s="5">
        <v>0</v>
      </c>
      <c r="AB1403" s="6">
        <v>0</v>
      </c>
      <c r="AC1403" s="4">
        <v>2155</v>
      </c>
      <c r="AD1403" s="4">
        <v>0</v>
      </c>
      <c r="AE1403" s="4">
        <v>2155</v>
      </c>
      <c r="AF1403" s="1"/>
      <c r="AG1403" s="1"/>
      <c r="AH1403" s="1"/>
      <c r="AI1403" s="1" t="s">
        <v>3432</v>
      </c>
      <c r="AJ1403" s="6">
        <v>738.83000000000106</v>
      </c>
      <c r="AK1403" s="6">
        <v>682.9100000000002</v>
      </c>
      <c r="AL1403" s="1"/>
    </row>
    <row r="1404" spans="1:38" hidden="1" x14ac:dyDescent="0.25">
      <c r="A1404" s="2">
        <v>1855</v>
      </c>
      <c r="B1404" s="1" t="s">
        <v>1639</v>
      </c>
      <c r="C1404" s="1" t="s">
        <v>1646</v>
      </c>
      <c r="D1404" s="1" t="s">
        <v>2062</v>
      </c>
      <c r="E1404" s="1" t="s">
        <v>2063</v>
      </c>
      <c r="F1404" s="3">
        <v>45595</v>
      </c>
      <c r="G1404" s="3">
        <v>45379</v>
      </c>
      <c r="H1404" s="3">
        <v>45743</v>
      </c>
      <c r="I1404" s="1" t="s">
        <v>3228</v>
      </c>
      <c r="J1404" s="1" t="s">
        <v>3713</v>
      </c>
      <c r="K1404" s="1"/>
      <c r="L1404" s="1" t="s">
        <v>2178</v>
      </c>
      <c r="M1404" s="1" t="s">
        <v>3714</v>
      </c>
      <c r="N1404" s="1" t="s">
        <v>3715</v>
      </c>
      <c r="O1404" s="1" t="s">
        <v>3716</v>
      </c>
      <c r="P1404" s="1" t="s">
        <v>2231</v>
      </c>
      <c r="Q1404" s="1"/>
      <c r="R1404" s="1"/>
      <c r="S1404" s="1" t="s">
        <v>2072</v>
      </c>
      <c r="T1404" s="1" t="s">
        <v>2073</v>
      </c>
      <c r="U1404" s="4">
        <v>2300000</v>
      </c>
      <c r="V1404" s="4">
        <v>1837</v>
      </c>
      <c r="W1404" s="4">
        <v>18</v>
      </c>
      <c r="X1404" s="4">
        <v>276</v>
      </c>
      <c r="Y1404" s="4">
        <v>0</v>
      </c>
      <c r="Z1404" s="5">
        <v>2131</v>
      </c>
      <c r="AA1404" s="5">
        <v>0</v>
      </c>
      <c r="AB1404" s="6">
        <v>0</v>
      </c>
      <c r="AC1404" s="4">
        <v>2131</v>
      </c>
      <c r="AD1404" s="4">
        <v>0</v>
      </c>
      <c r="AE1404" s="4">
        <v>2131</v>
      </c>
      <c r="AF1404" s="1"/>
      <c r="AG1404" s="1"/>
      <c r="AH1404" s="1"/>
      <c r="AI1404" s="1" t="s">
        <v>3432</v>
      </c>
      <c r="AJ1404" s="6">
        <v>722.61</v>
      </c>
      <c r="AK1404" s="6">
        <v>676.84</v>
      </c>
      <c r="AL1404" s="1"/>
    </row>
    <row r="1405" spans="1:38" hidden="1" x14ac:dyDescent="0.25">
      <c r="A1405" s="2">
        <v>1856</v>
      </c>
      <c r="B1405" s="1" t="s">
        <v>1639</v>
      </c>
      <c r="C1405" s="1" t="s">
        <v>1647</v>
      </c>
      <c r="D1405" s="1" t="s">
        <v>2062</v>
      </c>
      <c r="E1405" s="1" t="s">
        <v>2063</v>
      </c>
      <c r="F1405" s="3">
        <v>45625</v>
      </c>
      <c r="G1405" s="3">
        <v>45379</v>
      </c>
      <c r="H1405" s="3">
        <v>45743</v>
      </c>
      <c r="I1405" s="1" t="s">
        <v>3228</v>
      </c>
      <c r="J1405" s="1" t="s">
        <v>3713</v>
      </c>
      <c r="K1405" s="1"/>
      <c r="L1405" s="1" t="s">
        <v>2178</v>
      </c>
      <c r="M1405" s="1" t="s">
        <v>3714</v>
      </c>
      <c r="N1405" s="1" t="s">
        <v>3715</v>
      </c>
      <c r="O1405" s="1" t="s">
        <v>3716</v>
      </c>
      <c r="P1405" s="1" t="s">
        <v>2231</v>
      </c>
      <c r="Q1405" s="1"/>
      <c r="R1405" s="1"/>
      <c r="S1405" s="1" t="s">
        <v>2072</v>
      </c>
      <c r="T1405" s="1" t="s">
        <v>2073</v>
      </c>
      <c r="U1405" s="4">
        <v>2300000</v>
      </c>
      <c r="V1405" s="4">
        <v>1607</v>
      </c>
      <c r="W1405" s="4">
        <v>16</v>
      </c>
      <c r="X1405" s="4">
        <v>241</v>
      </c>
      <c r="Y1405" s="4">
        <v>0</v>
      </c>
      <c r="Z1405" s="5">
        <v>1864</v>
      </c>
      <c r="AA1405" s="5">
        <v>0</v>
      </c>
      <c r="AB1405" s="6">
        <v>0</v>
      </c>
      <c r="AC1405" s="4">
        <v>1864</v>
      </c>
      <c r="AD1405" s="4">
        <v>0</v>
      </c>
      <c r="AE1405" s="4">
        <v>1864</v>
      </c>
      <c r="AF1405" s="1"/>
      <c r="AG1405" s="1"/>
      <c r="AH1405" s="1"/>
      <c r="AI1405" s="1" t="s">
        <v>3432</v>
      </c>
      <c r="AJ1405" s="6">
        <v>624.42999999999995</v>
      </c>
      <c r="AK1405" s="6">
        <v>591.30000000000007</v>
      </c>
      <c r="AL1405" s="1"/>
    </row>
    <row r="1406" spans="1:38" hidden="1" x14ac:dyDescent="0.25">
      <c r="A1406" s="2">
        <v>1857</v>
      </c>
      <c r="B1406" s="1" t="s">
        <v>1639</v>
      </c>
      <c r="C1406" s="1" t="s">
        <v>1648</v>
      </c>
      <c r="D1406" s="1" t="s">
        <v>2062</v>
      </c>
      <c r="E1406" s="1" t="s">
        <v>2063</v>
      </c>
      <c r="F1406" s="3">
        <v>45655</v>
      </c>
      <c r="G1406" s="3">
        <v>45379</v>
      </c>
      <c r="H1406" s="3">
        <v>45743</v>
      </c>
      <c r="I1406" s="1" t="s">
        <v>3228</v>
      </c>
      <c r="J1406" s="1" t="s">
        <v>3713</v>
      </c>
      <c r="K1406" s="1"/>
      <c r="L1406" s="1" t="s">
        <v>2178</v>
      </c>
      <c r="M1406" s="1" t="s">
        <v>3714</v>
      </c>
      <c r="N1406" s="1" t="s">
        <v>3715</v>
      </c>
      <c r="O1406" s="1" t="s">
        <v>3716</v>
      </c>
      <c r="P1406" s="1" t="s">
        <v>2231</v>
      </c>
      <c r="Q1406" s="1"/>
      <c r="R1406" s="1"/>
      <c r="S1406" s="1" t="s">
        <v>2072</v>
      </c>
      <c r="T1406" s="1" t="s">
        <v>2073</v>
      </c>
      <c r="U1406" s="4">
        <v>-1</v>
      </c>
      <c r="V1406" s="4">
        <v>-16768</v>
      </c>
      <c r="W1406" s="4">
        <v>-168</v>
      </c>
      <c r="X1406" s="4">
        <v>0</v>
      </c>
      <c r="Y1406" s="4">
        <v>0</v>
      </c>
      <c r="Z1406" s="5">
        <v>-16936</v>
      </c>
      <c r="AA1406" s="5">
        <v>0</v>
      </c>
      <c r="AB1406" s="6">
        <v>0</v>
      </c>
      <c r="AC1406" s="4">
        <v>-16936</v>
      </c>
      <c r="AD1406" s="4">
        <v>0</v>
      </c>
      <c r="AE1406" s="4">
        <v>-16936</v>
      </c>
      <c r="AF1406" s="1"/>
      <c r="AG1406" s="1"/>
      <c r="AH1406" s="1"/>
      <c r="AI1406" s="1" t="s">
        <v>3432</v>
      </c>
      <c r="AJ1406" s="1"/>
      <c r="AK1406" s="1"/>
      <c r="AL1406" s="1"/>
    </row>
    <row r="1407" spans="1:38" hidden="1" x14ac:dyDescent="0.25">
      <c r="A1407" s="2">
        <v>1858</v>
      </c>
      <c r="B1407" s="1" t="s">
        <v>1649</v>
      </c>
      <c r="C1407" s="1" t="s">
        <v>1650</v>
      </c>
      <c r="D1407" s="1" t="s">
        <v>2062</v>
      </c>
      <c r="E1407" s="1" t="s">
        <v>2063</v>
      </c>
      <c r="F1407" s="3">
        <v>45442</v>
      </c>
      <c r="G1407" s="3">
        <v>45381</v>
      </c>
      <c r="H1407" s="3">
        <v>45745</v>
      </c>
      <c r="I1407" s="1" t="s">
        <v>3718</v>
      </c>
      <c r="J1407" s="1" t="s">
        <v>3719</v>
      </c>
      <c r="K1407" s="1"/>
      <c r="L1407" s="1" t="s">
        <v>2430</v>
      </c>
      <c r="M1407" s="1" t="s">
        <v>3720</v>
      </c>
      <c r="N1407" s="1" t="s">
        <v>3721</v>
      </c>
      <c r="O1407" s="1" t="s">
        <v>3722</v>
      </c>
      <c r="P1407" s="1" t="s">
        <v>2088</v>
      </c>
      <c r="Q1407" s="1"/>
      <c r="R1407" s="1"/>
      <c r="S1407" s="1" t="s">
        <v>2072</v>
      </c>
      <c r="T1407" s="1" t="s">
        <v>3165</v>
      </c>
      <c r="U1407" s="4">
        <v>3600000</v>
      </c>
      <c r="V1407" s="4">
        <v>752</v>
      </c>
      <c r="W1407" s="4">
        <v>8</v>
      </c>
      <c r="X1407" s="4">
        <v>98</v>
      </c>
      <c r="Y1407" s="4">
        <v>0</v>
      </c>
      <c r="Z1407" s="5">
        <v>858</v>
      </c>
      <c r="AA1407" s="5">
        <v>0</v>
      </c>
      <c r="AB1407" s="6">
        <v>0</v>
      </c>
      <c r="AC1407" s="4">
        <v>858</v>
      </c>
      <c r="AD1407" s="4">
        <v>0</v>
      </c>
      <c r="AE1407" s="4">
        <v>858</v>
      </c>
      <c r="AF1407" s="1"/>
      <c r="AG1407" s="1"/>
      <c r="AH1407" s="1"/>
      <c r="AI1407" s="1" t="s">
        <v>2327</v>
      </c>
      <c r="AJ1407" s="6">
        <v>183.11</v>
      </c>
      <c r="AK1407" s="6">
        <v>173.97</v>
      </c>
      <c r="AL1407" s="1"/>
    </row>
    <row r="1408" spans="1:38" hidden="1" x14ac:dyDescent="0.25">
      <c r="A1408" s="2">
        <v>1859</v>
      </c>
      <c r="B1408" s="1" t="s">
        <v>1649</v>
      </c>
      <c r="C1408" s="1" t="s">
        <v>1651</v>
      </c>
      <c r="D1408" s="1" t="s">
        <v>2062</v>
      </c>
      <c r="E1408" s="1" t="s">
        <v>2063</v>
      </c>
      <c r="F1408" s="3">
        <v>45474</v>
      </c>
      <c r="G1408" s="3">
        <v>45381</v>
      </c>
      <c r="H1408" s="3">
        <v>45745</v>
      </c>
      <c r="I1408" s="1" t="s">
        <v>3718</v>
      </c>
      <c r="J1408" s="1" t="s">
        <v>3719</v>
      </c>
      <c r="K1408" s="1"/>
      <c r="L1408" s="1" t="s">
        <v>2430</v>
      </c>
      <c r="M1408" s="1" t="s">
        <v>3720</v>
      </c>
      <c r="N1408" s="1" t="s">
        <v>3721</v>
      </c>
      <c r="O1408" s="1" t="s">
        <v>3722</v>
      </c>
      <c r="P1408" s="1" t="s">
        <v>2088</v>
      </c>
      <c r="Q1408" s="1"/>
      <c r="R1408" s="1"/>
      <c r="S1408" s="1" t="s">
        <v>2072</v>
      </c>
      <c r="T1408" s="1" t="s">
        <v>3165</v>
      </c>
      <c r="U1408" s="4">
        <v>3600000</v>
      </c>
      <c r="V1408" s="4">
        <v>766</v>
      </c>
      <c r="W1408" s="4">
        <v>8</v>
      </c>
      <c r="X1408" s="4">
        <v>100</v>
      </c>
      <c r="Y1408" s="4">
        <v>0</v>
      </c>
      <c r="Z1408" s="5">
        <v>874</v>
      </c>
      <c r="AA1408" s="5">
        <v>0</v>
      </c>
      <c r="AB1408" s="6">
        <v>0</v>
      </c>
      <c r="AC1408" s="4">
        <v>874</v>
      </c>
      <c r="AD1408" s="4">
        <v>0</v>
      </c>
      <c r="AE1408" s="4">
        <v>874</v>
      </c>
      <c r="AF1408" s="1"/>
      <c r="AG1408" s="1"/>
      <c r="AH1408" s="1"/>
      <c r="AI1408" s="1" t="s">
        <v>2327</v>
      </c>
      <c r="AJ1408" s="6">
        <v>615.21</v>
      </c>
      <c r="AK1408" s="6">
        <v>176.86</v>
      </c>
      <c r="AL1408" s="1"/>
    </row>
    <row r="1409" spans="1:38" hidden="1" x14ac:dyDescent="0.25">
      <c r="A1409" s="2">
        <v>1860</v>
      </c>
      <c r="B1409" s="1" t="s">
        <v>1649</v>
      </c>
      <c r="C1409" s="1" t="s">
        <v>1652</v>
      </c>
      <c r="D1409" s="1" t="s">
        <v>2062</v>
      </c>
      <c r="E1409" s="1" t="s">
        <v>2063</v>
      </c>
      <c r="F1409" s="3">
        <v>45503</v>
      </c>
      <c r="G1409" s="3">
        <v>45381</v>
      </c>
      <c r="H1409" s="3">
        <v>45745</v>
      </c>
      <c r="I1409" s="1" t="s">
        <v>3718</v>
      </c>
      <c r="J1409" s="1" t="s">
        <v>3719</v>
      </c>
      <c r="K1409" s="1"/>
      <c r="L1409" s="1" t="s">
        <v>2430</v>
      </c>
      <c r="M1409" s="1" t="s">
        <v>3720</v>
      </c>
      <c r="N1409" s="1" t="s">
        <v>3721</v>
      </c>
      <c r="O1409" s="1" t="s">
        <v>3722</v>
      </c>
      <c r="P1409" s="1" t="s">
        <v>2088</v>
      </c>
      <c r="Q1409" s="1"/>
      <c r="R1409" s="1"/>
      <c r="S1409" s="1" t="s">
        <v>2072</v>
      </c>
      <c r="T1409" s="1" t="s">
        <v>3165</v>
      </c>
      <c r="U1409" s="4">
        <v>3600000</v>
      </c>
      <c r="V1409" s="4">
        <v>448</v>
      </c>
      <c r="W1409" s="4">
        <v>4</v>
      </c>
      <c r="X1409" s="4">
        <v>67</v>
      </c>
      <c r="Y1409" s="4">
        <v>0</v>
      </c>
      <c r="Z1409" s="5">
        <v>519</v>
      </c>
      <c r="AA1409" s="5">
        <v>0</v>
      </c>
      <c r="AB1409" s="6">
        <v>0</v>
      </c>
      <c r="AC1409" s="4">
        <v>519</v>
      </c>
      <c r="AD1409" s="4">
        <v>0</v>
      </c>
      <c r="AE1409" s="4">
        <v>519</v>
      </c>
      <c r="AF1409" s="1"/>
      <c r="AG1409" s="1"/>
      <c r="AH1409" s="1"/>
      <c r="AI1409" s="1" t="s">
        <v>2327</v>
      </c>
      <c r="AJ1409" s="6">
        <v>105.1</v>
      </c>
      <c r="AK1409" s="6">
        <v>105.1</v>
      </c>
      <c r="AL1409" s="1"/>
    </row>
    <row r="1410" spans="1:38" hidden="1" x14ac:dyDescent="0.25">
      <c r="A1410" s="2">
        <v>1861</v>
      </c>
      <c r="B1410" s="1" t="s">
        <v>1649</v>
      </c>
      <c r="C1410" s="1" t="s">
        <v>1653</v>
      </c>
      <c r="D1410" s="1" t="s">
        <v>2062</v>
      </c>
      <c r="E1410" s="1" t="s">
        <v>2063</v>
      </c>
      <c r="F1410" s="3">
        <v>45538</v>
      </c>
      <c r="G1410" s="3">
        <v>45381</v>
      </c>
      <c r="H1410" s="3">
        <v>45745</v>
      </c>
      <c r="I1410" s="1" t="s">
        <v>3718</v>
      </c>
      <c r="J1410" s="1" t="s">
        <v>3719</v>
      </c>
      <c r="K1410" s="1"/>
      <c r="L1410" s="1" t="s">
        <v>2430</v>
      </c>
      <c r="M1410" s="1" t="s">
        <v>3720</v>
      </c>
      <c r="N1410" s="1" t="s">
        <v>3721</v>
      </c>
      <c r="O1410" s="1" t="s">
        <v>3722</v>
      </c>
      <c r="P1410" s="1" t="s">
        <v>2088</v>
      </c>
      <c r="Q1410" s="1"/>
      <c r="R1410" s="1"/>
      <c r="S1410" s="1" t="s">
        <v>2072</v>
      </c>
      <c r="T1410" s="1" t="s">
        <v>3165</v>
      </c>
      <c r="U1410" s="4">
        <v>3600000</v>
      </c>
      <c r="V1410" s="4">
        <v>862</v>
      </c>
      <c r="W1410" s="4">
        <v>9</v>
      </c>
      <c r="X1410" s="4">
        <v>129</v>
      </c>
      <c r="Y1410" s="4">
        <v>0</v>
      </c>
      <c r="Z1410" s="5">
        <v>1000</v>
      </c>
      <c r="AA1410" s="5">
        <v>0</v>
      </c>
      <c r="AB1410" s="6">
        <v>0</v>
      </c>
      <c r="AC1410" s="4">
        <v>1000</v>
      </c>
      <c r="AD1410" s="4">
        <v>0</v>
      </c>
      <c r="AE1410" s="4">
        <v>1000</v>
      </c>
      <c r="AF1410" s="1"/>
      <c r="AG1410" s="1"/>
      <c r="AH1410" s="1"/>
      <c r="AI1410" s="1" t="s">
        <v>2327</v>
      </c>
      <c r="AJ1410" s="6">
        <v>202.92</v>
      </c>
      <c r="AK1410" s="6">
        <v>202.92</v>
      </c>
      <c r="AL1410" s="1"/>
    </row>
    <row r="1411" spans="1:38" hidden="1" x14ac:dyDescent="0.25">
      <c r="A1411" s="2">
        <v>1862</v>
      </c>
      <c r="B1411" s="1" t="s">
        <v>1649</v>
      </c>
      <c r="C1411" s="1" t="s">
        <v>1654</v>
      </c>
      <c r="D1411" s="1" t="s">
        <v>2062</v>
      </c>
      <c r="E1411" s="1" t="s">
        <v>2063</v>
      </c>
      <c r="F1411" s="3">
        <v>45570</v>
      </c>
      <c r="G1411" s="3">
        <v>45381</v>
      </c>
      <c r="H1411" s="3">
        <v>45745</v>
      </c>
      <c r="I1411" s="1" t="s">
        <v>3718</v>
      </c>
      <c r="J1411" s="1" t="s">
        <v>3719</v>
      </c>
      <c r="K1411" s="1"/>
      <c r="L1411" s="1" t="s">
        <v>2430</v>
      </c>
      <c r="M1411" s="1" t="s">
        <v>3720</v>
      </c>
      <c r="N1411" s="1" t="s">
        <v>3721</v>
      </c>
      <c r="O1411" s="1" t="s">
        <v>3722</v>
      </c>
      <c r="P1411" s="1" t="s">
        <v>2088</v>
      </c>
      <c r="Q1411" s="1"/>
      <c r="R1411" s="1"/>
      <c r="S1411" s="1" t="s">
        <v>2072</v>
      </c>
      <c r="T1411" s="1" t="s">
        <v>3165</v>
      </c>
      <c r="U1411" s="4">
        <v>3600000</v>
      </c>
      <c r="V1411" s="4">
        <v>221</v>
      </c>
      <c r="W1411" s="4">
        <v>2</v>
      </c>
      <c r="X1411" s="4">
        <v>33</v>
      </c>
      <c r="Y1411" s="4">
        <v>0</v>
      </c>
      <c r="Z1411" s="5">
        <v>256</v>
      </c>
      <c r="AA1411" s="5">
        <v>0</v>
      </c>
      <c r="AB1411" s="6">
        <v>0</v>
      </c>
      <c r="AC1411" s="4">
        <v>256</v>
      </c>
      <c r="AD1411" s="4">
        <v>0</v>
      </c>
      <c r="AE1411" s="4">
        <v>256</v>
      </c>
      <c r="AF1411" s="1"/>
      <c r="AG1411" s="1"/>
      <c r="AH1411" s="1"/>
      <c r="AI1411" s="1" t="s">
        <v>2327</v>
      </c>
      <c r="AJ1411" s="6">
        <v>52.1</v>
      </c>
      <c r="AK1411" s="6">
        <v>52.1</v>
      </c>
      <c r="AL1411" s="1"/>
    </row>
    <row r="1412" spans="1:38" hidden="1" x14ac:dyDescent="0.25">
      <c r="A1412" s="2">
        <v>1863</v>
      </c>
      <c r="B1412" s="1" t="s">
        <v>1649</v>
      </c>
      <c r="C1412" s="1" t="s">
        <v>1655</v>
      </c>
      <c r="D1412" s="1" t="s">
        <v>2062</v>
      </c>
      <c r="E1412" s="1" t="s">
        <v>2063</v>
      </c>
      <c r="F1412" s="3">
        <v>45655</v>
      </c>
      <c r="G1412" s="3">
        <v>45381</v>
      </c>
      <c r="H1412" s="3">
        <v>45745</v>
      </c>
      <c r="I1412" s="1" t="s">
        <v>3718</v>
      </c>
      <c r="J1412" s="1" t="s">
        <v>3719</v>
      </c>
      <c r="K1412" s="1"/>
      <c r="L1412" s="1" t="s">
        <v>2430</v>
      </c>
      <c r="M1412" s="1" t="s">
        <v>3720</v>
      </c>
      <c r="N1412" s="1" t="s">
        <v>3721</v>
      </c>
      <c r="O1412" s="1" t="s">
        <v>3722</v>
      </c>
      <c r="P1412" s="1" t="s">
        <v>2088</v>
      </c>
      <c r="Q1412" s="1"/>
      <c r="R1412" s="1"/>
      <c r="S1412" s="1" t="s">
        <v>2072</v>
      </c>
      <c r="T1412" s="1" t="s">
        <v>3165</v>
      </c>
      <c r="U1412" s="4">
        <v>-1</v>
      </c>
      <c r="V1412" s="4">
        <v>-3472</v>
      </c>
      <c r="W1412" s="4">
        <v>-35</v>
      </c>
      <c r="X1412" s="4">
        <v>0</v>
      </c>
      <c r="Y1412" s="4">
        <v>0</v>
      </c>
      <c r="Z1412" s="5">
        <v>-3507</v>
      </c>
      <c r="AA1412" s="5">
        <v>0</v>
      </c>
      <c r="AB1412" s="6">
        <v>0</v>
      </c>
      <c r="AC1412" s="4">
        <v>-3507</v>
      </c>
      <c r="AD1412" s="4">
        <v>0</v>
      </c>
      <c r="AE1412" s="4">
        <v>-3507</v>
      </c>
      <c r="AF1412" s="1"/>
      <c r="AG1412" s="1"/>
      <c r="AH1412" s="1"/>
      <c r="AI1412" s="1" t="s">
        <v>2327</v>
      </c>
      <c r="AJ1412" s="1"/>
      <c r="AK1412" s="1"/>
      <c r="AL1412" s="1"/>
    </row>
    <row r="1413" spans="1:38" hidden="1" x14ac:dyDescent="0.25">
      <c r="A1413" s="2">
        <v>1869</v>
      </c>
      <c r="B1413" s="1" t="s">
        <v>1656</v>
      </c>
      <c r="C1413" s="1" t="s">
        <v>1657</v>
      </c>
      <c r="D1413" s="1" t="s">
        <v>2062</v>
      </c>
      <c r="E1413" s="1" t="s">
        <v>2063</v>
      </c>
      <c r="F1413" s="3">
        <v>45446</v>
      </c>
      <c r="G1413" s="3">
        <v>45383</v>
      </c>
      <c r="H1413" s="3">
        <v>45747</v>
      </c>
      <c r="I1413" s="1" t="s">
        <v>2718</v>
      </c>
      <c r="J1413" s="1" t="s">
        <v>3723</v>
      </c>
      <c r="K1413" s="1"/>
      <c r="L1413" s="1" t="s">
        <v>3724</v>
      </c>
      <c r="M1413" s="1" t="s">
        <v>3725</v>
      </c>
      <c r="N1413" s="1" t="s">
        <v>3726</v>
      </c>
      <c r="O1413" s="1" t="s">
        <v>3727</v>
      </c>
      <c r="P1413" s="1" t="s">
        <v>2119</v>
      </c>
      <c r="Q1413" s="1"/>
      <c r="R1413" s="1"/>
      <c r="S1413" s="1" t="s">
        <v>2072</v>
      </c>
      <c r="T1413" s="1" t="s">
        <v>3165</v>
      </c>
      <c r="U1413" s="4">
        <v>2200000</v>
      </c>
      <c r="V1413" s="4">
        <v>2133</v>
      </c>
      <c r="W1413" s="4">
        <v>22</v>
      </c>
      <c r="X1413" s="4">
        <v>278</v>
      </c>
      <c r="Y1413" s="4">
        <v>0</v>
      </c>
      <c r="Z1413" s="5">
        <v>2433</v>
      </c>
      <c r="AA1413" s="5">
        <v>0</v>
      </c>
      <c r="AB1413" s="6">
        <v>0</v>
      </c>
      <c r="AC1413" s="4">
        <v>2433</v>
      </c>
      <c r="AD1413" s="4">
        <v>0</v>
      </c>
      <c r="AE1413" s="4">
        <v>2433</v>
      </c>
      <c r="AF1413" s="1"/>
      <c r="AG1413" s="1"/>
      <c r="AH1413" s="1"/>
      <c r="AI1413" s="1" t="s">
        <v>2327</v>
      </c>
      <c r="AJ1413" s="6">
        <v>992.57</v>
      </c>
      <c r="AK1413" s="6">
        <v>805.71</v>
      </c>
      <c r="AL1413" s="1"/>
    </row>
    <row r="1414" spans="1:38" hidden="1" x14ac:dyDescent="0.25">
      <c r="A1414" s="2">
        <v>1870</v>
      </c>
      <c r="B1414" s="1" t="s">
        <v>1656</v>
      </c>
      <c r="C1414" s="1" t="s">
        <v>1658</v>
      </c>
      <c r="D1414" s="1" t="s">
        <v>2062</v>
      </c>
      <c r="E1414" s="1" t="s">
        <v>2063</v>
      </c>
      <c r="F1414" s="3">
        <v>45475</v>
      </c>
      <c r="G1414" s="3">
        <v>45383</v>
      </c>
      <c r="H1414" s="3">
        <v>45747</v>
      </c>
      <c r="I1414" s="1" t="s">
        <v>2718</v>
      </c>
      <c r="J1414" s="1" t="s">
        <v>3723</v>
      </c>
      <c r="K1414" s="1"/>
      <c r="L1414" s="1" t="s">
        <v>3724</v>
      </c>
      <c r="M1414" s="1" t="s">
        <v>3725</v>
      </c>
      <c r="N1414" s="1" t="s">
        <v>3726</v>
      </c>
      <c r="O1414" s="1" t="s">
        <v>3727</v>
      </c>
      <c r="P1414" s="1" t="s">
        <v>2119</v>
      </c>
      <c r="Q1414" s="1"/>
      <c r="R1414" s="1"/>
      <c r="S1414" s="1" t="s">
        <v>2072</v>
      </c>
      <c r="T1414" s="1" t="s">
        <v>3165</v>
      </c>
      <c r="U1414" s="4">
        <v>2200000</v>
      </c>
      <c r="V1414" s="4">
        <v>1710</v>
      </c>
      <c r="W1414" s="4">
        <v>17</v>
      </c>
      <c r="X1414" s="4">
        <v>257</v>
      </c>
      <c r="Y1414" s="4">
        <v>0</v>
      </c>
      <c r="Z1414" s="5">
        <v>1984</v>
      </c>
      <c r="AA1414" s="5">
        <v>0</v>
      </c>
      <c r="AB1414" s="6">
        <v>0</v>
      </c>
      <c r="AC1414" s="4">
        <v>1984</v>
      </c>
      <c r="AD1414" s="4">
        <v>0</v>
      </c>
      <c r="AE1414" s="4">
        <v>1984</v>
      </c>
      <c r="AF1414" s="1"/>
      <c r="AG1414" s="1"/>
      <c r="AH1414" s="1"/>
      <c r="AI1414" s="1" t="s">
        <v>2327</v>
      </c>
      <c r="AJ1414" s="6">
        <v>675.020000000001</v>
      </c>
      <c r="AK1414" s="6">
        <v>657.12000000000103</v>
      </c>
      <c r="AL1414" s="1"/>
    </row>
    <row r="1415" spans="1:38" hidden="1" x14ac:dyDescent="0.25">
      <c r="A1415" s="2">
        <v>1871</v>
      </c>
      <c r="B1415" s="1" t="s">
        <v>1656</v>
      </c>
      <c r="C1415" s="1" t="s">
        <v>1659</v>
      </c>
      <c r="D1415" s="1" t="s">
        <v>2062</v>
      </c>
      <c r="E1415" s="1" t="s">
        <v>2063</v>
      </c>
      <c r="F1415" s="3">
        <v>45506</v>
      </c>
      <c r="G1415" s="3">
        <v>45383</v>
      </c>
      <c r="H1415" s="3">
        <v>45747</v>
      </c>
      <c r="I1415" s="1" t="s">
        <v>2718</v>
      </c>
      <c r="J1415" s="1" t="s">
        <v>3723</v>
      </c>
      <c r="K1415" s="1"/>
      <c r="L1415" s="1" t="s">
        <v>3724</v>
      </c>
      <c r="M1415" s="1" t="s">
        <v>3725</v>
      </c>
      <c r="N1415" s="1" t="s">
        <v>3726</v>
      </c>
      <c r="O1415" s="1" t="s">
        <v>3727</v>
      </c>
      <c r="P1415" s="1" t="s">
        <v>2119</v>
      </c>
      <c r="Q1415" s="1"/>
      <c r="R1415" s="1"/>
      <c r="S1415" s="1" t="s">
        <v>2072</v>
      </c>
      <c r="T1415" s="1" t="s">
        <v>3165</v>
      </c>
      <c r="U1415" s="4">
        <v>2200000</v>
      </c>
      <c r="V1415" s="4">
        <v>1219</v>
      </c>
      <c r="W1415" s="4">
        <v>12</v>
      </c>
      <c r="X1415" s="4">
        <v>183</v>
      </c>
      <c r="Y1415" s="4">
        <v>0</v>
      </c>
      <c r="Z1415" s="5">
        <v>1414</v>
      </c>
      <c r="AA1415" s="5">
        <v>0</v>
      </c>
      <c r="AB1415" s="6">
        <v>0</v>
      </c>
      <c r="AC1415" s="4">
        <v>1414</v>
      </c>
      <c r="AD1415" s="4">
        <v>0</v>
      </c>
      <c r="AE1415" s="4">
        <v>1414</v>
      </c>
      <c r="AF1415" s="1"/>
      <c r="AG1415" s="1"/>
      <c r="AH1415" s="1"/>
      <c r="AI1415" s="1" t="s">
        <v>2327</v>
      </c>
      <c r="AJ1415" s="6">
        <v>513.79</v>
      </c>
      <c r="AK1415" s="6">
        <v>469.07000000000005</v>
      </c>
      <c r="AL1415" s="1"/>
    </row>
    <row r="1416" spans="1:38" hidden="1" x14ac:dyDescent="0.25">
      <c r="A1416" s="2">
        <v>1872</v>
      </c>
      <c r="B1416" s="1" t="s">
        <v>1656</v>
      </c>
      <c r="C1416" s="1" t="s">
        <v>1660</v>
      </c>
      <c r="D1416" s="1" t="s">
        <v>2062</v>
      </c>
      <c r="E1416" s="1" t="s">
        <v>2063</v>
      </c>
      <c r="F1416" s="3">
        <v>45539</v>
      </c>
      <c r="G1416" s="3">
        <v>45383</v>
      </c>
      <c r="H1416" s="3">
        <v>45747</v>
      </c>
      <c r="I1416" s="1" t="s">
        <v>2718</v>
      </c>
      <c r="J1416" s="1" t="s">
        <v>3723</v>
      </c>
      <c r="K1416" s="1"/>
      <c r="L1416" s="1" t="s">
        <v>3724</v>
      </c>
      <c r="M1416" s="1" t="s">
        <v>3725</v>
      </c>
      <c r="N1416" s="1" t="s">
        <v>3726</v>
      </c>
      <c r="O1416" s="1" t="s">
        <v>3727</v>
      </c>
      <c r="P1416" s="1" t="s">
        <v>2119</v>
      </c>
      <c r="Q1416" s="1"/>
      <c r="R1416" s="1"/>
      <c r="S1416" s="1" t="s">
        <v>2072</v>
      </c>
      <c r="T1416" s="1" t="s">
        <v>3165</v>
      </c>
      <c r="U1416" s="4">
        <v>2200000</v>
      </c>
      <c r="V1416" s="4">
        <v>1062</v>
      </c>
      <c r="W1416" s="4">
        <v>11</v>
      </c>
      <c r="X1416" s="4">
        <v>159</v>
      </c>
      <c r="Y1416" s="4">
        <v>0</v>
      </c>
      <c r="Z1416" s="5">
        <v>1232</v>
      </c>
      <c r="AA1416" s="5">
        <v>0</v>
      </c>
      <c r="AB1416" s="6">
        <v>0</v>
      </c>
      <c r="AC1416" s="4">
        <v>1232</v>
      </c>
      <c r="AD1416" s="4">
        <v>0</v>
      </c>
      <c r="AE1416" s="4">
        <v>1232</v>
      </c>
      <c r="AF1416" s="1"/>
      <c r="AG1416" s="1"/>
      <c r="AH1416" s="1"/>
      <c r="AI1416" s="1" t="s">
        <v>2327</v>
      </c>
      <c r="AJ1416" s="6">
        <v>421.52000000000112</v>
      </c>
      <c r="AK1416" s="6">
        <v>408.75</v>
      </c>
      <c r="AL1416" s="1"/>
    </row>
    <row r="1417" spans="1:38" hidden="1" x14ac:dyDescent="0.25">
      <c r="A1417" s="2">
        <v>1873</v>
      </c>
      <c r="B1417" s="1" t="s">
        <v>1656</v>
      </c>
      <c r="C1417" s="1" t="s">
        <v>1661</v>
      </c>
      <c r="D1417" s="1" t="s">
        <v>2062</v>
      </c>
      <c r="E1417" s="1" t="s">
        <v>2063</v>
      </c>
      <c r="F1417" s="3">
        <v>45745</v>
      </c>
      <c r="G1417" s="3">
        <v>45383</v>
      </c>
      <c r="H1417" s="3">
        <v>45747</v>
      </c>
      <c r="I1417" s="1" t="s">
        <v>2718</v>
      </c>
      <c r="J1417" s="1" t="s">
        <v>3723</v>
      </c>
      <c r="K1417" s="1"/>
      <c r="L1417" s="1" t="s">
        <v>3724</v>
      </c>
      <c r="M1417" s="1" t="s">
        <v>3725</v>
      </c>
      <c r="N1417" s="1" t="s">
        <v>3726</v>
      </c>
      <c r="O1417" s="1" t="s">
        <v>3727</v>
      </c>
      <c r="P1417" s="1" t="s">
        <v>2119</v>
      </c>
      <c r="Q1417" s="1"/>
      <c r="R1417" s="1"/>
      <c r="S1417" s="1" t="s">
        <v>2072</v>
      </c>
      <c r="T1417" s="1" t="s">
        <v>3165</v>
      </c>
      <c r="U1417" s="4">
        <v>-1</v>
      </c>
      <c r="V1417" s="4">
        <v>-7001</v>
      </c>
      <c r="W1417" s="4">
        <v>-62</v>
      </c>
      <c r="X1417" s="4">
        <v>0</v>
      </c>
      <c r="Y1417" s="4">
        <v>0</v>
      </c>
      <c r="Z1417" s="5">
        <v>-7063</v>
      </c>
      <c r="AA1417" s="5">
        <v>0</v>
      </c>
      <c r="AB1417" s="6">
        <v>0</v>
      </c>
      <c r="AC1417" s="4">
        <v>-7063</v>
      </c>
      <c r="AD1417" s="4">
        <v>0</v>
      </c>
      <c r="AE1417" s="4">
        <v>-7063</v>
      </c>
      <c r="AF1417" s="1"/>
      <c r="AG1417" s="1"/>
      <c r="AH1417" s="1"/>
      <c r="AI1417" s="1" t="s">
        <v>2327</v>
      </c>
      <c r="AJ1417" s="1"/>
      <c r="AK1417" s="1"/>
      <c r="AL1417" s="1"/>
    </row>
    <row r="1418" spans="1:38" x14ac:dyDescent="0.25">
      <c r="A1418" s="2">
        <v>1879</v>
      </c>
      <c r="B1418" s="1" t="s">
        <v>1662</v>
      </c>
      <c r="C1418" s="1"/>
      <c r="D1418" s="1" t="s">
        <v>2062</v>
      </c>
      <c r="E1418" s="1" t="s">
        <v>2063</v>
      </c>
      <c r="F1418" s="3">
        <v>45387</v>
      </c>
      <c r="G1418" s="3">
        <v>45382</v>
      </c>
      <c r="H1418" s="3">
        <v>45746</v>
      </c>
      <c r="I1418" s="1" t="s">
        <v>2409</v>
      </c>
      <c r="J1418" s="1" t="s">
        <v>2410</v>
      </c>
      <c r="K1418" s="1"/>
      <c r="L1418" s="1" t="s">
        <v>2370</v>
      </c>
      <c r="M1418" s="1" t="s">
        <v>2411</v>
      </c>
      <c r="N1418" s="1" t="s">
        <v>2412</v>
      </c>
      <c r="O1418" s="1" t="s">
        <v>2413</v>
      </c>
      <c r="P1418" s="1" t="s">
        <v>2070</v>
      </c>
      <c r="Q1418" s="1"/>
      <c r="R1418" s="1"/>
      <c r="S1418" s="1" t="s">
        <v>2072</v>
      </c>
      <c r="T1418" s="1" t="s">
        <v>2073</v>
      </c>
      <c r="U1418" s="4">
        <v>-1</v>
      </c>
      <c r="V1418" s="4">
        <v>0</v>
      </c>
      <c r="W1418" s="4">
        <v>0</v>
      </c>
      <c r="X1418" s="4">
        <v>0</v>
      </c>
      <c r="Y1418" s="4">
        <v>50</v>
      </c>
      <c r="Z1418" s="5">
        <v>50</v>
      </c>
      <c r="AA1418" s="5">
        <v>0</v>
      </c>
      <c r="AB1418" s="6">
        <v>0</v>
      </c>
      <c r="AC1418" s="4">
        <v>50</v>
      </c>
      <c r="AD1418" s="4">
        <v>0</v>
      </c>
      <c r="AE1418" s="4">
        <v>50</v>
      </c>
      <c r="AF1418" s="1"/>
      <c r="AG1418" s="1"/>
      <c r="AH1418" s="1"/>
      <c r="AI1418" s="1" t="s">
        <v>3432</v>
      </c>
      <c r="AJ1418" s="1"/>
      <c r="AK1418" s="1"/>
      <c r="AL1418" s="1" t="s">
        <v>3728</v>
      </c>
    </row>
    <row r="1419" spans="1:38" hidden="1" x14ac:dyDescent="0.25">
      <c r="A1419" s="2">
        <v>1880</v>
      </c>
      <c r="B1419" s="1" t="s">
        <v>1662</v>
      </c>
      <c r="C1419" s="1" t="s">
        <v>1663</v>
      </c>
      <c r="D1419" s="1" t="s">
        <v>2062</v>
      </c>
      <c r="E1419" s="1" t="s">
        <v>2063</v>
      </c>
      <c r="F1419" s="3">
        <v>45412</v>
      </c>
      <c r="G1419" s="3">
        <v>45382</v>
      </c>
      <c r="H1419" s="3">
        <v>45746</v>
      </c>
      <c r="I1419" s="1" t="s">
        <v>2409</v>
      </c>
      <c r="J1419" s="1" t="s">
        <v>2410</v>
      </c>
      <c r="K1419" s="1"/>
      <c r="L1419" s="1" t="s">
        <v>2370</v>
      </c>
      <c r="M1419" s="1" t="s">
        <v>2411</v>
      </c>
      <c r="N1419" s="1" t="s">
        <v>2412</v>
      </c>
      <c r="O1419" s="1" t="s">
        <v>2413</v>
      </c>
      <c r="P1419" s="1" t="s">
        <v>2070</v>
      </c>
      <c r="Q1419" s="1"/>
      <c r="R1419" s="1"/>
      <c r="S1419" s="1" t="s">
        <v>2072</v>
      </c>
      <c r="T1419" s="1" t="s">
        <v>2073</v>
      </c>
      <c r="U1419" s="4">
        <v>4000000</v>
      </c>
      <c r="V1419" s="4">
        <v>5222</v>
      </c>
      <c r="W1419" s="4">
        <v>52</v>
      </c>
      <c r="X1419" s="4">
        <v>679</v>
      </c>
      <c r="Y1419" s="4">
        <v>0</v>
      </c>
      <c r="Z1419" s="5">
        <v>5953</v>
      </c>
      <c r="AA1419" s="5">
        <v>0</v>
      </c>
      <c r="AB1419" s="6">
        <v>0</v>
      </c>
      <c r="AC1419" s="4">
        <v>5953</v>
      </c>
      <c r="AD1419" s="4">
        <v>0</v>
      </c>
      <c r="AE1419" s="4">
        <v>5953</v>
      </c>
      <c r="AF1419" s="1"/>
      <c r="AG1419" s="1"/>
      <c r="AH1419" s="1"/>
      <c r="AI1419" s="1" t="s">
        <v>3432</v>
      </c>
      <c r="AJ1419" s="6">
        <v>2436.04000000002</v>
      </c>
      <c r="AK1419" s="6">
        <v>1084.8700000000001</v>
      </c>
      <c r="AL1419" s="1"/>
    </row>
    <row r="1420" spans="1:38" hidden="1" x14ac:dyDescent="0.25">
      <c r="A1420" s="2">
        <v>1881</v>
      </c>
      <c r="B1420" s="1" t="s">
        <v>1662</v>
      </c>
      <c r="C1420" s="1" t="s">
        <v>1664</v>
      </c>
      <c r="D1420" s="1" t="s">
        <v>2062</v>
      </c>
      <c r="E1420" s="1" t="s">
        <v>2063</v>
      </c>
      <c r="F1420" s="3">
        <v>45443</v>
      </c>
      <c r="G1420" s="3">
        <v>45382</v>
      </c>
      <c r="H1420" s="3">
        <v>45746</v>
      </c>
      <c r="I1420" s="1" t="s">
        <v>2409</v>
      </c>
      <c r="J1420" s="1" t="s">
        <v>2410</v>
      </c>
      <c r="K1420" s="1"/>
      <c r="L1420" s="1" t="s">
        <v>2370</v>
      </c>
      <c r="M1420" s="1" t="s">
        <v>2411</v>
      </c>
      <c r="N1420" s="1" t="s">
        <v>2412</v>
      </c>
      <c r="O1420" s="1" t="s">
        <v>2413</v>
      </c>
      <c r="P1420" s="1" t="s">
        <v>2070</v>
      </c>
      <c r="Q1420" s="1"/>
      <c r="R1420" s="1"/>
      <c r="S1420" s="1" t="s">
        <v>2072</v>
      </c>
      <c r="T1420" s="1" t="s">
        <v>2073</v>
      </c>
      <c r="U1420" s="4">
        <v>4000000</v>
      </c>
      <c r="V1420" s="4">
        <v>6013</v>
      </c>
      <c r="W1420" s="4">
        <v>60</v>
      </c>
      <c r="X1420" s="4">
        <v>781</v>
      </c>
      <c r="Y1420" s="4">
        <v>0</v>
      </c>
      <c r="Z1420" s="5">
        <v>6854</v>
      </c>
      <c r="AA1420" s="5">
        <v>0</v>
      </c>
      <c r="AB1420" s="6">
        <v>0</v>
      </c>
      <c r="AC1420" s="4">
        <v>6854</v>
      </c>
      <c r="AD1420" s="4">
        <v>0</v>
      </c>
      <c r="AE1420" s="4">
        <v>6854</v>
      </c>
      <c r="AF1420" s="1"/>
      <c r="AG1420" s="1"/>
      <c r="AH1420" s="1"/>
      <c r="AI1420" s="1" t="s">
        <v>3432</v>
      </c>
      <c r="AJ1420" s="6">
        <v>2762.0400000000241</v>
      </c>
      <c r="AK1420" s="6">
        <v>1248.67</v>
      </c>
      <c r="AL1420" s="1"/>
    </row>
    <row r="1421" spans="1:38" hidden="1" x14ac:dyDescent="0.25">
      <c r="A1421" s="2">
        <v>1882</v>
      </c>
      <c r="B1421" s="1" t="s">
        <v>1662</v>
      </c>
      <c r="C1421" s="1" t="s">
        <v>1665</v>
      </c>
      <c r="D1421" s="1" t="s">
        <v>2062</v>
      </c>
      <c r="E1421" s="1" t="s">
        <v>2063</v>
      </c>
      <c r="F1421" s="3">
        <v>45474</v>
      </c>
      <c r="G1421" s="3">
        <v>45382</v>
      </c>
      <c r="H1421" s="3">
        <v>45746</v>
      </c>
      <c r="I1421" s="1" t="s">
        <v>2409</v>
      </c>
      <c r="J1421" s="1" t="s">
        <v>2410</v>
      </c>
      <c r="K1421" s="1"/>
      <c r="L1421" s="1" t="s">
        <v>2370</v>
      </c>
      <c r="M1421" s="1" t="s">
        <v>2411</v>
      </c>
      <c r="N1421" s="1" t="s">
        <v>2412</v>
      </c>
      <c r="O1421" s="1" t="s">
        <v>2413</v>
      </c>
      <c r="P1421" s="1" t="s">
        <v>2070</v>
      </c>
      <c r="Q1421" s="1"/>
      <c r="R1421" s="1"/>
      <c r="S1421" s="1" t="s">
        <v>2072</v>
      </c>
      <c r="T1421" s="1" t="s">
        <v>2073</v>
      </c>
      <c r="U1421" s="4">
        <v>4000000</v>
      </c>
      <c r="V1421" s="4">
        <v>5587</v>
      </c>
      <c r="W1421" s="4">
        <v>56</v>
      </c>
      <c r="X1421" s="4">
        <v>727</v>
      </c>
      <c r="Y1421" s="4">
        <v>0</v>
      </c>
      <c r="Z1421" s="5">
        <v>6370</v>
      </c>
      <c r="AA1421" s="5">
        <v>0</v>
      </c>
      <c r="AB1421" s="6">
        <v>0</v>
      </c>
      <c r="AC1421" s="4">
        <v>6370</v>
      </c>
      <c r="AD1421" s="4">
        <v>0</v>
      </c>
      <c r="AE1421" s="4">
        <v>6370</v>
      </c>
      <c r="AF1421" s="1"/>
      <c r="AG1421" s="1"/>
      <c r="AH1421" s="1"/>
      <c r="AI1421" s="1" t="s">
        <v>3432</v>
      </c>
      <c r="AJ1421" s="6">
        <v>2518.8400000000011</v>
      </c>
      <c r="AK1421" s="6">
        <v>1160.71</v>
      </c>
      <c r="AL1421" s="1"/>
    </row>
    <row r="1422" spans="1:38" hidden="1" x14ac:dyDescent="0.25">
      <c r="A1422" s="2">
        <v>1883</v>
      </c>
      <c r="B1422" s="1" t="s">
        <v>1662</v>
      </c>
      <c r="C1422" s="1" t="s">
        <v>1666</v>
      </c>
      <c r="D1422" s="1" t="s">
        <v>2062</v>
      </c>
      <c r="E1422" s="1" t="s">
        <v>2063</v>
      </c>
      <c r="F1422" s="3">
        <v>45506</v>
      </c>
      <c r="G1422" s="3">
        <v>45382</v>
      </c>
      <c r="H1422" s="3">
        <v>45746</v>
      </c>
      <c r="I1422" s="1" t="s">
        <v>2409</v>
      </c>
      <c r="J1422" s="1" t="s">
        <v>2410</v>
      </c>
      <c r="K1422" s="1"/>
      <c r="L1422" s="1" t="s">
        <v>2370</v>
      </c>
      <c r="M1422" s="1" t="s">
        <v>2411</v>
      </c>
      <c r="N1422" s="1" t="s">
        <v>2412</v>
      </c>
      <c r="O1422" s="1" t="s">
        <v>2413</v>
      </c>
      <c r="P1422" s="1" t="s">
        <v>2070</v>
      </c>
      <c r="Q1422" s="1"/>
      <c r="R1422" s="1"/>
      <c r="S1422" s="1" t="s">
        <v>2072</v>
      </c>
      <c r="T1422" s="1" t="s">
        <v>2073</v>
      </c>
      <c r="U1422" s="4">
        <v>4000000</v>
      </c>
      <c r="V1422" s="4">
        <v>5818</v>
      </c>
      <c r="W1422" s="4">
        <v>58</v>
      </c>
      <c r="X1422" s="4">
        <v>873</v>
      </c>
      <c r="Y1422" s="4">
        <v>0</v>
      </c>
      <c r="Z1422" s="5">
        <v>6749</v>
      </c>
      <c r="AA1422" s="5">
        <v>0</v>
      </c>
      <c r="AB1422" s="6">
        <v>0</v>
      </c>
      <c r="AC1422" s="4">
        <v>6749</v>
      </c>
      <c r="AD1422" s="4">
        <v>0</v>
      </c>
      <c r="AE1422" s="4">
        <v>6749</v>
      </c>
      <c r="AF1422" s="1"/>
      <c r="AG1422" s="1"/>
      <c r="AH1422" s="1"/>
      <c r="AI1422" s="1" t="s">
        <v>3432</v>
      </c>
      <c r="AJ1422" s="6">
        <v>2783.060000000004</v>
      </c>
      <c r="AK1422" s="6">
        <v>1229.6400000000001</v>
      </c>
      <c r="AL1422" s="1"/>
    </row>
    <row r="1423" spans="1:38" hidden="1" x14ac:dyDescent="0.25">
      <c r="A1423" s="2">
        <v>1884</v>
      </c>
      <c r="B1423" s="1" t="s">
        <v>1662</v>
      </c>
      <c r="C1423" s="1" t="s">
        <v>1667</v>
      </c>
      <c r="D1423" s="1" t="s">
        <v>2062</v>
      </c>
      <c r="E1423" s="1" t="s">
        <v>2063</v>
      </c>
      <c r="F1423" s="3">
        <v>45539</v>
      </c>
      <c r="G1423" s="3">
        <v>45382</v>
      </c>
      <c r="H1423" s="3">
        <v>45746</v>
      </c>
      <c r="I1423" s="1" t="s">
        <v>2409</v>
      </c>
      <c r="J1423" s="1" t="s">
        <v>2410</v>
      </c>
      <c r="K1423" s="1"/>
      <c r="L1423" s="1" t="s">
        <v>2370</v>
      </c>
      <c r="M1423" s="1" t="s">
        <v>2411</v>
      </c>
      <c r="N1423" s="1" t="s">
        <v>2412</v>
      </c>
      <c r="O1423" s="1" t="s">
        <v>2413</v>
      </c>
      <c r="P1423" s="1" t="s">
        <v>2070</v>
      </c>
      <c r="Q1423" s="1"/>
      <c r="R1423" s="1"/>
      <c r="S1423" s="1" t="s">
        <v>2072</v>
      </c>
      <c r="T1423" s="1" t="s">
        <v>2073</v>
      </c>
      <c r="U1423" s="4">
        <v>4000000</v>
      </c>
      <c r="V1423" s="4">
        <v>4986</v>
      </c>
      <c r="W1423" s="4">
        <v>50</v>
      </c>
      <c r="X1423" s="4">
        <v>748</v>
      </c>
      <c r="Y1423" s="4">
        <v>0</v>
      </c>
      <c r="Z1423" s="5">
        <v>5784</v>
      </c>
      <c r="AA1423" s="5">
        <v>0</v>
      </c>
      <c r="AB1423" s="6">
        <v>0</v>
      </c>
      <c r="AC1423" s="4">
        <v>5784</v>
      </c>
      <c r="AD1423" s="4">
        <v>0</v>
      </c>
      <c r="AE1423" s="4">
        <v>5784</v>
      </c>
      <c r="AF1423" s="1"/>
      <c r="AG1423" s="1"/>
      <c r="AH1423" s="1"/>
      <c r="AI1423" s="1" t="s">
        <v>3432</v>
      </c>
      <c r="AJ1423" s="6">
        <v>2012.7999999999963</v>
      </c>
      <c r="AK1423" s="6">
        <v>1053.9100000000001</v>
      </c>
      <c r="AL1423" s="1"/>
    </row>
    <row r="1424" spans="1:38" hidden="1" x14ac:dyDescent="0.25">
      <c r="A1424" s="2">
        <v>1885</v>
      </c>
      <c r="B1424" s="1" t="s">
        <v>1662</v>
      </c>
      <c r="C1424" s="1" t="s">
        <v>1668</v>
      </c>
      <c r="D1424" s="1" t="s">
        <v>2062</v>
      </c>
      <c r="E1424" s="1" t="s">
        <v>2063</v>
      </c>
      <c r="F1424" s="3">
        <v>45570</v>
      </c>
      <c r="G1424" s="3">
        <v>45382</v>
      </c>
      <c r="H1424" s="3">
        <v>45746</v>
      </c>
      <c r="I1424" s="1" t="s">
        <v>2409</v>
      </c>
      <c r="J1424" s="1" t="s">
        <v>2410</v>
      </c>
      <c r="K1424" s="1"/>
      <c r="L1424" s="1" t="s">
        <v>2370</v>
      </c>
      <c r="M1424" s="1" t="s">
        <v>2411</v>
      </c>
      <c r="N1424" s="1" t="s">
        <v>2412</v>
      </c>
      <c r="O1424" s="1" t="s">
        <v>2413</v>
      </c>
      <c r="P1424" s="1" t="s">
        <v>2070</v>
      </c>
      <c r="Q1424" s="1"/>
      <c r="R1424" s="1"/>
      <c r="S1424" s="1" t="s">
        <v>2072</v>
      </c>
      <c r="T1424" s="1" t="s">
        <v>2073</v>
      </c>
      <c r="U1424" s="4">
        <v>4000000</v>
      </c>
      <c r="V1424" s="4">
        <v>3937</v>
      </c>
      <c r="W1424" s="4">
        <v>39</v>
      </c>
      <c r="X1424" s="4">
        <v>590</v>
      </c>
      <c r="Y1424" s="4">
        <v>0</v>
      </c>
      <c r="Z1424" s="5">
        <v>4566</v>
      </c>
      <c r="AA1424" s="5">
        <v>0</v>
      </c>
      <c r="AB1424" s="6">
        <v>0</v>
      </c>
      <c r="AC1424" s="4">
        <v>4566</v>
      </c>
      <c r="AD1424" s="4">
        <v>0</v>
      </c>
      <c r="AE1424" s="4">
        <v>4566</v>
      </c>
      <c r="AF1424" s="1"/>
      <c r="AG1424" s="1"/>
      <c r="AH1424" s="1"/>
      <c r="AI1424" s="1" t="s">
        <v>3432</v>
      </c>
      <c r="AJ1424" s="6">
        <v>2540.8600000000311</v>
      </c>
      <c r="AK1424" s="6">
        <v>832</v>
      </c>
      <c r="AL1424" s="1"/>
    </row>
    <row r="1425" spans="1:38" hidden="1" x14ac:dyDescent="0.25">
      <c r="A1425" s="2">
        <v>1886</v>
      </c>
      <c r="B1425" s="1" t="s">
        <v>1662</v>
      </c>
      <c r="C1425" s="1" t="s">
        <v>1669</v>
      </c>
      <c r="D1425" s="1" t="s">
        <v>2062</v>
      </c>
      <c r="E1425" s="1" t="s">
        <v>2063</v>
      </c>
      <c r="F1425" s="3">
        <v>45598</v>
      </c>
      <c r="G1425" s="3">
        <v>45382</v>
      </c>
      <c r="H1425" s="3">
        <v>45746</v>
      </c>
      <c r="I1425" s="1" t="s">
        <v>2409</v>
      </c>
      <c r="J1425" s="1" t="s">
        <v>2410</v>
      </c>
      <c r="K1425" s="1"/>
      <c r="L1425" s="1" t="s">
        <v>2370</v>
      </c>
      <c r="M1425" s="1" t="s">
        <v>2411</v>
      </c>
      <c r="N1425" s="1" t="s">
        <v>2412</v>
      </c>
      <c r="O1425" s="1" t="s">
        <v>2413</v>
      </c>
      <c r="P1425" s="1" t="s">
        <v>2070</v>
      </c>
      <c r="Q1425" s="1"/>
      <c r="R1425" s="1"/>
      <c r="S1425" s="1" t="s">
        <v>2072</v>
      </c>
      <c r="T1425" s="1" t="s">
        <v>2073</v>
      </c>
      <c r="U1425" s="4">
        <v>4000000</v>
      </c>
      <c r="V1425" s="4">
        <v>3756</v>
      </c>
      <c r="W1425" s="4">
        <v>38</v>
      </c>
      <c r="X1425" s="4">
        <v>563</v>
      </c>
      <c r="Y1425" s="4">
        <v>0</v>
      </c>
      <c r="Z1425" s="5">
        <v>4357</v>
      </c>
      <c r="AA1425" s="5">
        <v>0</v>
      </c>
      <c r="AB1425" s="6">
        <v>0</v>
      </c>
      <c r="AC1425" s="4">
        <v>4357</v>
      </c>
      <c r="AD1425" s="4">
        <v>0</v>
      </c>
      <c r="AE1425" s="4">
        <v>4357</v>
      </c>
      <c r="AF1425" s="1"/>
      <c r="AG1425" s="1"/>
      <c r="AH1425" s="1"/>
      <c r="AI1425" s="1" t="s">
        <v>3432</v>
      </c>
      <c r="AJ1425" s="6">
        <v>2427.2900000000518</v>
      </c>
      <c r="AK1425" s="6">
        <v>793.81</v>
      </c>
      <c r="AL1425" s="1"/>
    </row>
    <row r="1426" spans="1:38" hidden="1" x14ac:dyDescent="0.25">
      <c r="A1426" s="2">
        <v>1887</v>
      </c>
      <c r="B1426" s="1" t="s">
        <v>1662</v>
      </c>
      <c r="C1426" s="1" t="s">
        <v>1670</v>
      </c>
      <c r="D1426" s="1" t="s">
        <v>2062</v>
      </c>
      <c r="E1426" s="1" t="s">
        <v>2063</v>
      </c>
      <c r="F1426" s="3">
        <v>45628</v>
      </c>
      <c r="G1426" s="3">
        <v>45382</v>
      </c>
      <c r="H1426" s="3">
        <v>45746</v>
      </c>
      <c r="I1426" s="1" t="s">
        <v>2409</v>
      </c>
      <c r="J1426" s="1" t="s">
        <v>2410</v>
      </c>
      <c r="K1426" s="1"/>
      <c r="L1426" s="1" t="s">
        <v>2370</v>
      </c>
      <c r="M1426" s="1" t="s">
        <v>2411</v>
      </c>
      <c r="N1426" s="1" t="s">
        <v>2412</v>
      </c>
      <c r="O1426" s="1" t="s">
        <v>2413</v>
      </c>
      <c r="P1426" s="1" t="s">
        <v>2070</v>
      </c>
      <c r="Q1426" s="1"/>
      <c r="R1426" s="1"/>
      <c r="S1426" s="1" t="s">
        <v>2072</v>
      </c>
      <c r="T1426" s="1" t="s">
        <v>2073</v>
      </c>
      <c r="U1426" s="4">
        <v>4000000</v>
      </c>
      <c r="V1426" s="4">
        <v>5161</v>
      </c>
      <c r="W1426" s="4">
        <v>52</v>
      </c>
      <c r="X1426" s="4">
        <v>774</v>
      </c>
      <c r="Y1426" s="4">
        <v>0</v>
      </c>
      <c r="Z1426" s="5">
        <v>5987</v>
      </c>
      <c r="AA1426" s="5">
        <v>0</v>
      </c>
      <c r="AB1426" s="6">
        <v>0</v>
      </c>
      <c r="AC1426" s="4">
        <v>5987</v>
      </c>
      <c r="AD1426" s="4">
        <v>0</v>
      </c>
      <c r="AE1426" s="4">
        <v>5987</v>
      </c>
      <c r="AF1426" s="1"/>
      <c r="AG1426" s="1"/>
      <c r="AH1426" s="1"/>
      <c r="AI1426" s="1" t="s">
        <v>3432</v>
      </c>
      <c r="AJ1426" s="6">
        <v>2026.019999999997</v>
      </c>
      <c r="AK1426" s="6">
        <v>1091.1199999999992</v>
      </c>
      <c r="AL1426" s="1"/>
    </row>
    <row r="1427" spans="1:38" hidden="1" x14ac:dyDescent="0.25">
      <c r="A1427" s="2">
        <v>1888</v>
      </c>
      <c r="B1427" s="1" t="s">
        <v>1662</v>
      </c>
      <c r="C1427" s="1" t="s">
        <v>1671</v>
      </c>
      <c r="D1427" s="1" t="s">
        <v>2062</v>
      </c>
      <c r="E1427" s="1" t="s">
        <v>2063</v>
      </c>
      <c r="F1427" s="3">
        <v>45655</v>
      </c>
      <c r="G1427" s="3">
        <v>45382</v>
      </c>
      <c r="H1427" s="3">
        <v>45746</v>
      </c>
      <c r="I1427" s="1" t="s">
        <v>2409</v>
      </c>
      <c r="J1427" s="1" t="s">
        <v>2410</v>
      </c>
      <c r="K1427" s="1"/>
      <c r="L1427" s="1" t="s">
        <v>2370</v>
      </c>
      <c r="M1427" s="1" t="s">
        <v>2411</v>
      </c>
      <c r="N1427" s="1" t="s">
        <v>2412</v>
      </c>
      <c r="O1427" s="1" t="s">
        <v>2413</v>
      </c>
      <c r="P1427" s="1" t="s">
        <v>2070</v>
      </c>
      <c r="Q1427" s="1"/>
      <c r="R1427" s="1"/>
      <c r="S1427" s="1" t="s">
        <v>2072</v>
      </c>
      <c r="T1427" s="1" t="s">
        <v>2073</v>
      </c>
      <c r="U1427" s="4">
        <v>-1</v>
      </c>
      <c r="V1427" s="4">
        <v>-46208</v>
      </c>
      <c r="W1427" s="4">
        <v>-462</v>
      </c>
      <c r="X1427" s="4">
        <v>0</v>
      </c>
      <c r="Y1427" s="4">
        <v>0</v>
      </c>
      <c r="Z1427" s="5">
        <v>-46670</v>
      </c>
      <c r="AA1427" s="5">
        <v>0</v>
      </c>
      <c r="AB1427" s="6">
        <v>0</v>
      </c>
      <c r="AC1427" s="4">
        <v>-46670</v>
      </c>
      <c r="AD1427" s="4">
        <v>0</v>
      </c>
      <c r="AE1427" s="4">
        <v>-46670</v>
      </c>
      <c r="AF1427" s="1"/>
      <c r="AG1427" s="1"/>
      <c r="AH1427" s="1"/>
      <c r="AI1427" s="1" t="s">
        <v>3432</v>
      </c>
      <c r="AJ1427" s="1"/>
      <c r="AK1427" s="1"/>
      <c r="AL1427" s="1"/>
    </row>
    <row r="1428" spans="1:38" x14ac:dyDescent="0.25">
      <c r="A1428" s="2">
        <v>1902</v>
      </c>
      <c r="B1428" s="1" t="s">
        <v>1672</v>
      </c>
      <c r="C1428" s="1"/>
      <c r="D1428" s="1" t="s">
        <v>2062</v>
      </c>
      <c r="E1428" s="1" t="s">
        <v>2063</v>
      </c>
      <c r="F1428" s="3">
        <v>45387</v>
      </c>
      <c r="G1428" s="3">
        <v>45382</v>
      </c>
      <c r="H1428" s="3">
        <v>45746</v>
      </c>
      <c r="I1428" s="1" t="s">
        <v>2428</v>
      </c>
      <c r="J1428" s="1" t="s">
        <v>2429</v>
      </c>
      <c r="K1428" s="1"/>
      <c r="L1428" s="1" t="s">
        <v>2430</v>
      </c>
      <c r="M1428" s="1" t="s">
        <v>2431</v>
      </c>
      <c r="N1428" s="1" t="s">
        <v>2432</v>
      </c>
      <c r="O1428" s="1" t="s">
        <v>2433</v>
      </c>
      <c r="P1428" s="1" t="s">
        <v>2434</v>
      </c>
      <c r="Q1428" s="1"/>
      <c r="R1428" s="1"/>
      <c r="S1428" s="1" t="s">
        <v>2072</v>
      </c>
      <c r="T1428" s="1" t="s">
        <v>2073</v>
      </c>
      <c r="U1428" s="4">
        <v>-1</v>
      </c>
      <c r="V1428" s="4">
        <v>0</v>
      </c>
      <c r="W1428" s="4">
        <v>0</v>
      </c>
      <c r="X1428" s="4">
        <v>0</v>
      </c>
      <c r="Y1428" s="4">
        <v>50</v>
      </c>
      <c r="Z1428" s="5">
        <v>50</v>
      </c>
      <c r="AA1428" s="5">
        <v>0</v>
      </c>
      <c r="AB1428" s="6">
        <v>0</v>
      </c>
      <c r="AC1428" s="4">
        <v>50</v>
      </c>
      <c r="AD1428" s="4">
        <v>0</v>
      </c>
      <c r="AE1428" s="4">
        <v>50</v>
      </c>
      <c r="AF1428" s="1"/>
      <c r="AG1428" s="1"/>
      <c r="AH1428" s="1"/>
      <c r="AI1428" s="1" t="s">
        <v>3432</v>
      </c>
      <c r="AJ1428" s="1"/>
      <c r="AK1428" s="1"/>
      <c r="AL1428" s="1" t="s">
        <v>3729</v>
      </c>
    </row>
    <row r="1429" spans="1:38" hidden="1" x14ac:dyDescent="0.25">
      <c r="A1429" s="2">
        <v>1903</v>
      </c>
      <c r="B1429" s="1" t="s">
        <v>1672</v>
      </c>
      <c r="C1429" s="1" t="s">
        <v>1673</v>
      </c>
      <c r="D1429" s="1" t="s">
        <v>2062</v>
      </c>
      <c r="E1429" s="1" t="s">
        <v>2063</v>
      </c>
      <c r="F1429" s="3">
        <v>45412</v>
      </c>
      <c r="G1429" s="3">
        <v>45382</v>
      </c>
      <c r="H1429" s="3">
        <v>45746</v>
      </c>
      <c r="I1429" s="1" t="s">
        <v>2428</v>
      </c>
      <c r="J1429" s="1" t="s">
        <v>2429</v>
      </c>
      <c r="K1429" s="1"/>
      <c r="L1429" s="1" t="s">
        <v>2430</v>
      </c>
      <c r="M1429" s="1" t="s">
        <v>2431</v>
      </c>
      <c r="N1429" s="1" t="s">
        <v>2432</v>
      </c>
      <c r="O1429" s="1" t="s">
        <v>2433</v>
      </c>
      <c r="P1429" s="1" t="s">
        <v>2434</v>
      </c>
      <c r="Q1429" s="1"/>
      <c r="R1429" s="1"/>
      <c r="S1429" s="1" t="s">
        <v>2072</v>
      </c>
      <c r="T1429" s="1" t="s">
        <v>2073</v>
      </c>
      <c r="U1429" s="4">
        <v>1000000</v>
      </c>
      <c r="V1429" s="4">
        <v>1049</v>
      </c>
      <c r="W1429" s="4">
        <v>10</v>
      </c>
      <c r="X1429" s="4">
        <v>136</v>
      </c>
      <c r="Y1429" s="4">
        <v>0</v>
      </c>
      <c r="Z1429" s="5">
        <v>1195</v>
      </c>
      <c r="AA1429" s="5">
        <v>0</v>
      </c>
      <c r="AB1429" s="6">
        <v>0</v>
      </c>
      <c r="AC1429" s="4">
        <v>1195</v>
      </c>
      <c r="AD1429" s="4">
        <v>0</v>
      </c>
      <c r="AE1429" s="4">
        <v>1195</v>
      </c>
      <c r="AF1429" s="1"/>
      <c r="AG1429" s="1"/>
      <c r="AH1429" s="1"/>
      <c r="AI1429" s="1" t="s">
        <v>3432</v>
      </c>
      <c r="AJ1429" s="6">
        <v>2445.4500000000612</v>
      </c>
      <c r="AK1429" s="6">
        <v>867.76</v>
      </c>
      <c r="AL1429" s="1"/>
    </row>
    <row r="1430" spans="1:38" hidden="1" x14ac:dyDescent="0.25">
      <c r="A1430" s="2">
        <v>1904</v>
      </c>
      <c r="B1430" s="1" t="s">
        <v>1672</v>
      </c>
      <c r="C1430" s="1" t="s">
        <v>1674</v>
      </c>
      <c r="D1430" s="1" t="s">
        <v>2062</v>
      </c>
      <c r="E1430" s="1" t="s">
        <v>2063</v>
      </c>
      <c r="F1430" s="3">
        <v>45443</v>
      </c>
      <c r="G1430" s="3">
        <v>45382</v>
      </c>
      <c r="H1430" s="3">
        <v>45746</v>
      </c>
      <c r="I1430" s="1" t="s">
        <v>2428</v>
      </c>
      <c r="J1430" s="1" t="s">
        <v>2429</v>
      </c>
      <c r="K1430" s="1"/>
      <c r="L1430" s="1" t="s">
        <v>2430</v>
      </c>
      <c r="M1430" s="1" t="s">
        <v>2431</v>
      </c>
      <c r="N1430" s="1" t="s">
        <v>2432</v>
      </c>
      <c r="O1430" s="1" t="s">
        <v>2433</v>
      </c>
      <c r="P1430" s="1" t="s">
        <v>2434</v>
      </c>
      <c r="Q1430" s="1"/>
      <c r="R1430" s="1"/>
      <c r="S1430" s="1" t="s">
        <v>2072</v>
      </c>
      <c r="T1430" s="1" t="s">
        <v>2073</v>
      </c>
      <c r="U1430" s="4">
        <v>1000000</v>
      </c>
      <c r="V1430" s="4">
        <v>1445</v>
      </c>
      <c r="W1430" s="4">
        <v>15</v>
      </c>
      <c r="X1430" s="4">
        <v>188</v>
      </c>
      <c r="Y1430" s="4">
        <v>0</v>
      </c>
      <c r="Z1430" s="5">
        <v>1648</v>
      </c>
      <c r="AA1430" s="5">
        <v>0</v>
      </c>
      <c r="AB1430" s="6">
        <v>0</v>
      </c>
      <c r="AC1430" s="4">
        <v>1648</v>
      </c>
      <c r="AD1430" s="4">
        <v>0</v>
      </c>
      <c r="AE1430" s="4">
        <v>1648</v>
      </c>
      <c r="AF1430" s="1"/>
      <c r="AG1430" s="1"/>
      <c r="AH1430" s="1"/>
      <c r="AI1430" s="1" t="s">
        <v>3432</v>
      </c>
      <c r="AJ1430" s="6">
        <v>2178.0600000000159</v>
      </c>
      <c r="AK1430" s="6">
        <v>1197.67</v>
      </c>
      <c r="AL1430" s="1"/>
    </row>
    <row r="1431" spans="1:38" hidden="1" x14ac:dyDescent="0.25">
      <c r="A1431" s="2">
        <v>1905</v>
      </c>
      <c r="B1431" s="1" t="s">
        <v>1672</v>
      </c>
      <c r="C1431" s="1" t="s">
        <v>1675</v>
      </c>
      <c r="D1431" s="1" t="s">
        <v>2062</v>
      </c>
      <c r="E1431" s="1" t="s">
        <v>2063</v>
      </c>
      <c r="F1431" s="3">
        <v>45474</v>
      </c>
      <c r="G1431" s="3">
        <v>45382</v>
      </c>
      <c r="H1431" s="3">
        <v>45746</v>
      </c>
      <c r="I1431" s="1" t="s">
        <v>2428</v>
      </c>
      <c r="J1431" s="1" t="s">
        <v>2429</v>
      </c>
      <c r="K1431" s="1"/>
      <c r="L1431" s="1" t="s">
        <v>2430</v>
      </c>
      <c r="M1431" s="1" t="s">
        <v>2431</v>
      </c>
      <c r="N1431" s="1" t="s">
        <v>2432</v>
      </c>
      <c r="O1431" s="1" t="s">
        <v>2433</v>
      </c>
      <c r="P1431" s="1" t="s">
        <v>2434</v>
      </c>
      <c r="Q1431" s="1"/>
      <c r="R1431" s="1"/>
      <c r="S1431" s="1" t="s">
        <v>2072</v>
      </c>
      <c r="T1431" s="1" t="s">
        <v>2073</v>
      </c>
      <c r="U1431" s="4">
        <v>1000000</v>
      </c>
      <c r="V1431" s="4">
        <v>1454</v>
      </c>
      <c r="W1431" s="4">
        <v>14</v>
      </c>
      <c r="X1431" s="4">
        <v>189</v>
      </c>
      <c r="Y1431" s="4">
        <v>0</v>
      </c>
      <c r="Z1431" s="5">
        <v>1657</v>
      </c>
      <c r="AA1431" s="5">
        <v>0</v>
      </c>
      <c r="AB1431" s="6">
        <v>0</v>
      </c>
      <c r="AC1431" s="4">
        <v>1657</v>
      </c>
      <c r="AD1431" s="4">
        <v>0</v>
      </c>
      <c r="AE1431" s="4">
        <v>1657</v>
      </c>
      <c r="AF1431" s="1"/>
      <c r="AG1431" s="1"/>
      <c r="AH1431" s="1"/>
      <c r="AI1431" s="1" t="s">
        <v>3432</v>
      </c>
      <c r="AJ1431" s="6">
        <v>2812.4900000000302</v>
      </c>
      <c r="AK1431" s="6">
        <v>1204.6100000000001</v>
      </c>
      <c r="AL1431" s="1"/>
    </row>
    <row r="1432" spans="1:38" hidden="1" x14ac:dyDescent="0.25">
      <c r="A1432" s="2">
        <v>1906</v>
      </c>
      <c r="B1432" s="1" t="s">
        <v>1672</v>
      </c>
      <c r="C1432" s="1" t="s">
        <v>1676</v>
      </c>
      <c r="D1432" s="1" t="s">
        <v>2062</v>
      </c>
      <c r="E1432" s="1" t="s">
        <v>2063</v>
      </c>
      <c r="F1432" s="3">
        <v>45506</v>
      </c>
      <c r="G1432" s="3">
        <v>45382</v>
      </c>
      <c r="H1432" s="3">
        <v>45746</v>
      </c>
      <c r="I1432" s="1" t="s">
        <v>2428</v>
      </c>
      <c r="J1432" s="1" t="s">
        <v>2429</v>
      </c>
      <c r="K1432" s="1"/>
      <c r="L1432" s="1" t="s">
        <v>2430</v>
      </c>
      <c r="M1432" s="1" t="s">
        <v>2431</v>
      </c>
      <c r="N1432" s="1" t="s">
        <v>2432</v>
      </c>
      <c r="O1432" s="1" t="s">
        <v>2433</v>
      </c>
      <c r="P1432" s="1" t="s">
        <v>2434</v>
      </c>
      <c r="Q1432" s="1"/>
      <c r="R1432" s="1"/>
      <c r="S1432" s="1" t="s">
        <v>2072</v>
      </c>
      <c r="T1432" s="1" t="s">
        <v>2073</v>
      </c>
      <c r="U1432" s="4">
        <v>1000000</v>
      </c>
      <c r="V1432" s="4">
        <v>1390</v>
      </c>
      <c r="W1432" s="4">
        <v>14</v>
      </c>
      <c r="X1432" s="4">
        <v>209</v>
      </c>
      <c r="Y1432" s="4">
        <v>0</v>
      </c>
      <c r="Z1432" s="5">
        <v>1613</v>
      </c>
      <c r="AA1432" s="5">
        <v>0</v>
      </c>
      <c r="AB1432" s="6">
        <v>0</v>
      </c>
      <c r="AC1432" s="4">
        <v>1613</v>
      </c>
      <c r="AD1432" s="4">
        <v>0</v>
      </c>
      <c r="AE1432" s="4">
        <v>1613</v>
      </c>
      <c r="AF1432" s="1"/>
      <c r="AG1432" s="1"/>
      <c r="AH1432" s="1"/>
      <c r="AI1432" s="1" t="s">
        <v>3432</v>
      </c>
      <c r="AJ1432" s="6">
        <v>2651.9700000000248</v>
      </c>
      <c r="AK1432" s="6">
        <v>1172.9100000000001</v>
      </c>
      <c r="AL1432" s="1"/>
    </row>
    <row r="1433" spans="1:38" hidden="1" x14ac:dyDescent="0.25">
      <c r="A1433" s="2">
        <v>1907</v>
      </c>
      <c r="B1433" s="1" t="s">
        <v>1672</v>
      </c>
      <c r="C1433" s="1" t="s">
        <v>1677</v>
      </c>
      <c r="D1433" s="1" t="s">
        <v>2062</v>
      </c>
      <c r="E1433" s="1" t="s">
        <v>2063</v>
      </c>
      <c r="F1433" s="3">
        <v>45539</v>
      </c>
      <c r="G1433" s="3">
        <v>45382</v>
      </c>
      <c r="H1433" s="3">
        <v>45746</v>
      </c>
      <c r="I1433" s="1" t="s">
        <v>2428</v>
      </c>
      <c r="J1433" s="1" t="s">
        <v>2429</v>
      </c>
      <c r="K1433" s="1"/>
      <c r="L1433" s="1" t="s">
        <v>2430</v>
      </c>
      <c r="M1433" s="1" t="s">
        <v>2431</v>
      </c>
      <c r="N1433" s="1" t="s">
        <v>2432</v>
      </c>
      <c r="O1433" s="1" t="s">
        <v>2433</v>
      </c>
      <c r="P1433" s="1" t="s">
        <v>2434</v>
      </c>
      <c r="Q1433" s="1"/>
      <c r="R1433" s="1"/>
      <c r="S1433" s="1" t="s">
        <v>2072</v>
      </c>
      <c r="T1433" s="1" t="s">
        <v>2073</v>
      </c>
      <c r="U1433" s="4">
        <v>1000000</v>
      </c>
      <c r="V1433" s="4">
        <v>1367</v>
      </c>
      <c r="W1433" s="4">
        <v>14</v>
      </c>
      <c r="X1433" s="4">
        <v>205</v>
      </c>
      <c r="Y1433" s="4">
        <v>0</v>
      </c>
      <c r="Z1433" s="5">
        <v>1586</v>
      </c>
      <c r="AA1433" s="5">
        <v>0</v>
      </c>
      <c r="AB1433" s="6">
        <v>0</v>
      </c>
      <c r="AC1433" s="4">
        <v>1586</v>
      </c>
      <c r="AD1433" s="4">
        <v>0</v>
      </c>
      <c r="AE1433" s="4">
        <v>1586</v>
      </c>
      <c r="AF1433" s="1"/>
      <c r="AG1433" s="1"/>
      <c r="AH1433" s="1"/>
      <c r="AI1433" s="1" t="s">
        <v>3432</v>
      </c>
      <c r="AJ1433" s="6">
        <v>3241.5200000000918</v>
      </c>
      <c r="AK1433" s="6">
        <v>1153.6000000000001</v>
      </c>
      <c r="AL1433" s="1"/>
    </row>
    <row r="1434" spans="1:38" hidden="1" x14ac:dyDescent="0.25">
      <c r="A1434" s="2">
        <v>1908</v>
      </c>
      <c r="B1434" s="1" t="s">
        <v>1672</v>
      </c>
      <c r="C1434" s="1" t="s">
        <v>1678</v>
      </c>
      <c r="D1434" s="1" t="s">
        <v>2062</v>
      </c>
      <c r="E1434" s="1" t="s">
        <v>2063</v>
      </c>
      <c r="F1434" s="3">
        <v>45570</v>
      </c>
      <c r="G1434" s="3">
        <v>45382</v>
      </c>
      <c r="H1434" s="3">
        <v>45746</v>
      </c>
      <c r="I1434" s="1" t="s">
        <v>2428</v>
      </c>
      <c r="J1434" s="1" t="s">
        <v>2429</v>
      </c>
      <c r="K1434" s="1"/>
      <c r="L1434" s="1" t="s">
        <v>2430</v>
      </c>
      <c r="M1434" s="1" t="s">
        <v>2431</v>
      </c>
      <c r="N1434" s="1" t="s">
        <v>2432</v>
      </c>
      <c r="O1434" s="1" t="s">
        <v>2433</v>
      </c>
      <c r="P1434" s="1" t="s">
        <v>2434</v>
      </c>
      <c r="Q1434" s="1"/>
      <c r="R1434" s="1"/>
      <c r="S1434" s="1" t="s">
        <v>2072</v>
      </c>
      <c r="T1434" s="1" t="s">
        <v>2073</v>
      </c>
      <c r="U1434" s="4">
        <v>1000000</v>
      </c>
      <c r="V1434" s="4">
        <v>1235</v>
      </c>
      <c r="W1434" s="4">
        <v>12</v>
      </c>
      <c r="X1434" s="4">
        <v>185</v>
      </c>
      <c r="Y1434" s="4">
        <v>0</v>
      </c>
      <c r="Z1434" s="5">
        <v>1432</v>
      </c>
      <c r="AA1434" s="5">
        <v>0</v>
      </c>
      <c r="AB1434" s="6">
        <v>0</v>
      </c>
      <c r="AC1434" s="4">
        <v>1432</v>
      </c>
      <c r="AD1434" s="4">
        <v>0</v>
      </c>
      <c r="AE1434" s="4">
        <v>1432</v>
      </c>
      <c r="AF1434" s="1"/>
      <c r="AG1434" s="1"/>
      <c r="AH1434" s="1"/>
      <c r="AI1434" s="1" t="s">
        <v>3432</v>
      </c>
      <c r="AJ1434" s="6">
        <v>2052.8000000000293</v>
      </c>
      <c r="AK1434" s="6">
        <v>1042.04</v>
      </c>
      <c r="AL1434" s="1"/>
    </row>
    <row r="1435" spans="1:38" hidden="1" x14ac:dyDescent="0.25">
      <c r="A1435" s="2">
        <v>1909</v>
      </c>
      <c r="B1435" s="1" t="s">
        <v>1672</v>
      </c>
      <c r="C1435" s="1" t="s">
        <v>1679</v>
      </c>
      <c r="D1435" s="1" t="s">
        <v>2062</v>
      </c>
      <c r="E1435" s="1" t="s">
        <v>2063</v>
      </c>
      <c r="F1435" s="3">
        <v>45598</v>
      </c>
      <c r="G1435" s="3">
        <v>45382</v>
      </c>
      <c r="H1435" s="3">
        <v>45746</v>
      </c>
      <c r="I1435" s="1" t="s">
        <v>2428</v>
      </c>
      <c r="J1435" s="1" t="s">
        <v>2429</v>
      </c>
      <c r="K1435" s="1"/>
      <c r="L1435" s="1" t="s">
        <v>2430</v>
      </c>
      <c r="M1435" s="1" t="s">
        <v>2431</v>
      </c>
      <c r="N1435" s="1" t="s">
        <v>2432</v>
      </c>
      <c r="O1435" s="1" t="s">
        <v>2433</v>
      </c>
      <c r="P1435" s="1" t="s">
        <v>2434</v>
      </c>
      <c r="Q1435" s="1"/>
      <c r="R1435" s="1"/>
      <c r="S1435" s="1" t="s">
        <v>2072</v>
      </c>
      <c r="T1435" s="1" t="s">
        <v>2073</v>
      </c>
      <c r="U1435" s="4">
        <v>1000000</v>
      </c>
      <c r="V1435" s="4">
        <v>1263</v>
      </c>
      <c r="W1435" s="4">
        <v>13</v>
      </c>
      <c r="X1435" s="4">
        <v>189</v>
      </c>
      <c r="Y1435" s="4">
        <v>0</v>
      </c>
      <c r="Z1435" s="5">
        <v>1465</v>
      </c>
      <c r="AA1435" s="5">
        <v>0</v>
      </c>
      <c r="AB1435" s="6">
        <v>0</v>
      </c>
      <c r="AC1435" s="4">
        <v>1465</v>
      </c>
      <c r="AD1435" s="4">
        <v>0</v>
      </c>
      <c r="AE1435" s="4">
        <v>1465</v>
      </c>
      <c r="AF1435" s="1"/>
      <c r="AG1435" s="1"/>
      <c r="AH1435" s="1"/>
      <c r="AI1435" s="1" t="s">
        <v>3432</v>
      </c>
      <c r="AJ1435" s="6">
        <v>1569.52</v>
      </c>
      <c r="AK1435" s="6">
        <v>1065.23</v>
      </c>
      <c r="AL1435" s="1"/>
    </row>
    <row r="1436" spans="1:38" hidden="1" x14ac:dyDescent="0.25">
      <c r="A1436" s="2">
        <v>1910</v>
      </c>
      <c r="B1436" s="1" t="s">
        <v>1672</v>
      </c>
      <c r="C1436" s="1" t="s">
        <v>1680</v>
      </c>
      <c r="D1436" s="1" t="s">
        <v>2062</v>
      </c>
      <c r="E1436" s="1" t="s">
        <v>2063</v>
      </c>
      <c r="F1436" s="3">
        <v>45628</v>
      </c>
      <c r="G1436" s="3">
        <v>45382</v>
      </c>
      <c r="H1436" s="3">
        <v>45746</v>
      </c>
      <c r="I1436" s="1" t="s">
        <v>2428</v>
      </c>
      <c r="J1436" s="1" t="s">
        <v>2429</v>
      </c>
      <c r="K1436" s="1"/>
      <c r="L1436" s="1" t="s">
        <v>2430</v>
      </c>
      <c r="M1436" s="1" t="s">
        <v>2431</v>
      </c>
      <c r="N1436" s="1" t="s">
        <v>2432</v>
      </c>
      <c r="O1436" s="1" t="s">
        <v>2433</v>
      </c>
      <c r="P1436" s="1" t="s">
        <v>2434</v>
      </c>
      <c r="Q1436" s="1"/>
      <c r="R1436" s="1"/>
      <c r="S1436" s="1" t="s">
        <v>2072</v>
      </c>
      <c r="T1436" s="1" t="s">
        <v>2073</v>
      </c>
      <c r="U1436" s="4">
        <v>1000000</v>
      </c>
      <c r="V1436" s="4">
        <v>1412</v>
      </c>
      <c r="W1436" s="4">
        <v>14</v>
      </c>
      <c r="X1436" s="4">
        <v>212</v>
      </c>
      <c r="Y1436" s="4">
        <v>0</v>
      </c>
      <c r="Z1436" s="5">
        <v>1638</v>
      </c>
      <c r="AA1436" s="5">
        <v>0</v>
      </c>
      <c r="AB1436" s="6">
        <v>0</v>
      </c>
      <c r="AC1436" s="4">
        <v>1638</v>
      </c>
      <c r="AD1436" s="4">
        <v>0</v>
      </c>
      <c r="AE1436" s="4">
        <v>1638</v>
      </c>
      <c r="AF1436" s="1"/>
      <c r="AG1436" s="1"/>
      <c r="AH1436" s="1"/>
      <c r="AI1436" s="1" t="s">
        <v>3432</v>
      </c>
      <c r="AJ1436" s="6">
        <v>3154.3500000000495</v>
      </c>
      <c r="AK1436" s="6">
        <v>1191.52</v>
      </c>
      <c r="AL1436" s="1"/>
    </row>
    <row r="1437" spans="1:38" hidden="1" x14ac:dyDescent="0.25">
      <c r="A1437" s="2">
        <v>1911</v>
      </c>
      <c r="B1437" s="1" t="s">
        <v>1672</v>
      </c>
      <c r="C1437" s="1" t="s">
        <v>1681</v>
      </c>
      <c r="D1437" s="1" t="s">
        <v>2062</v>
      </c>
      <c r="E1437" s="1" t="s">
        <v>2063</v>
      </c>
      <c r="F1437" s="3">
        <v>45655</v>
      </c>
      <c r="G1437" s="3">
        <v>45382</v>
      </c>
      <c r="H1437" s="3">
        <v>45746</v>
      </c>
      <c r="I1437" s="1" t="s">
        <v>2428</v>
      </c>
      <c r="J1437" s="1" t="s">
        <v>2429</v>
      </c>
      <c r="K1437" s="1"/>
      <c r="L1437" s="1" t="s">
        <v>2430</v>
      </c>
      <c r="M1437" s="1" t="s">
        <v>2431</v>
      </c>
      <c r="N1437" s="1" t="s">
        <v>2432</v>
      </c>
      <c r="O1437" s="1" t="s">
        <v>2433</v>
      </c>
      <c r="P1437" s="1" t="s">
        <v>2434</v>
      </c>
      <c r="Q1437" s="1"/>
      <c r="R1437" s="1"/>
      <c r="S1437" s="1" t="s">
        <v>2072</v>
      </c>
      <c r="T1437" s="1" t="s">
        <v>2073</v>
      </c>
      <c r="U1437" s="4">
        <v>-1</v>
      </c>
      <c r="V1437" s="4">
        <v>-12162</v>
      </c>
      <c r="W1437" s="4">
        <v>-122</v>
      </c>
      <c r="X1437" s="4">
        <v>0</v>
      </c>
      <c r="Y1437" s="4">
        <v>0</v>
      </c>
      <c r="Z1437" s="5">
        <v>-12284</v>
      </c>
      <c r="AA1437" s="5">
        <v>0</v>
      </c>
      <c r="AB1437" s="6">
        <v>0</v>
      </c>
      <c r="AC1437" s="4">
        <v>-12284</v>
      </c>
      <c r="AD1437" s="4">
        <v>0</v>
      </c>
      <c r="AE1437" s="4">
        <v>-12284</v>
      </c>
      <c r="AF1437" s="1"/>
      <c r="AG1437" s="1"/>
      <c r="AH1437" s="1"/>
      <c r="AI1437" s="1" t="s">
        <v>3432</v>
      </c>
      <c r="AJ1437" s="1"/>
      <c r="AK1437" s="1"/>
      <c r="AL1437" s="1"/>
    </row>
    <row r="1438" spans="1:38" hidden="1" x14ac:dyDescent="0.25">
      <c r="A1438" s="2">
        <v>1915</v>
      </c>
      <c r="B1438" s="1" t="s">
        <v>1682</v>
      </c>
      <c r="C1438" s="1" t="s">
        <v>1683</v>
      </c>
      <c r="D1438" s="1" t="s">
        <v>2062</v>
      </c>
      <c r="E1438" s="1" t="s">
        <v>2063</v>
      </c>
      <c r="F1438" s="3">
        <v>45425</v>
      </c>
      <c r="G1438" s="3">
        <v>45386</v>
      </c>
      <c r="H1438" s="3">
        <v>45750</v>
      </c>
      <c r="I1438" s="1" t="s">
        <v>3730</v>
      </c>
      <c r="J1438" s="1" t="s">
        <v>3731</v>
      </c>
      <c r="K1438" s="1"/>
      <c r="L1438" s="1" t="s">
        <v>2864</v>
      </c>
      <c r="M1438" s="1" t="s">
        <v>3732</v>
      </c>
      <c r="N1438" s="1" t="s">
        <v>3733</v>
      </c>
      <c r="O1438" s="1" t="s">
        <v>3734</v>
      </c>
      <c r="P1438" s="1" t="s">
        <v>2095</v>
      </c>
      <c r="Q1438" s="1"/>
      <c r="R1438" s="1"/>
      <c r="S1438" s="1" t="s">
        <v>2072</v>
      </c>
      <c r="T1438" s="1" t="s">
        <v>3165</v>
      </c>
      <c r="U1438" s="4">
        <v>3500000</v>
      </c>
      <c r="V1438" s="4">
        <v>5241</v>
      </c>
      <c r="W1438" s="4">
        <v>53</v>
      </c>
      <c r="X1438" s="4">
        <v>682</v>
      </c>
      <c r="Y1438" s="4">
        <v>0</v>
      </c>
      <c r="Z1438" s="5">
        <v>5976</v>
      </c>
      <c r="AA1438" s="5">
        <v>0</v>
      </c>
      <c r="AB1438" s="6">
        <v>0</v>
      </c>
      <c r="AC1438" s="4">
        <v>5976</v>
      </c>
      <c r="AD1438" s="4">
        <v>0</v>
      </c>
      <c r="AE1438" s="4">
        <v>5976</v>
      </c>
      <c r="AF1438" s="1"/>
      <c r="AG1438" s="1"/>
      <c r="AH1438" s="1"/>
      <c r="AI1438" s="1" t="s">
        <v>2327</v>
      </c>
      <c r="AJ1438" s="1"/>
      <c r="AK1438" s="1"/>
      <c r="AL1438" s="1"/>
    </row>
    <row r="1439" spans="1:38" hidden="1" x14ac:dyDescent="0.25">
      <c r="A1439" s="2">
        <v>1916</v>
      </c>
      <c r="B1439" s="1" t="s">
        <v>1682</v>
      </c>
      <c r="C1439" s="1" t="s">
        <v>1684</v>
      </c>
      <c r="D1439" s="1" t="s">
        <v>2062</v>
      </c>
      <c r="E1439" s="1" t="s">
        <v>2063</v>
      </c>
      <c r="F1439" s="3">
        <v>45477</v>
      </c>
      <c r="G1439" s="3">
        <v>45386</v>
      </c>
      <c r="H1439" s="3">
        <v>45750</v>
      </c>
      <c r="I1439" s="1" t="s">
        <v>3730</v>
      </c>
      <c r="J1439" s="1" t="s">
        <v>3731</v>
      </c>
      <c r="K1439" s="1"/>
      <c r="L1439" s="1" t="s">
        <v>2864</v>
      </c>
      <c r="M1439" s="1" t="s">
        <v>3732</v>
      </c>
      <c r="N1439" s="1" t="s">
        <v>3733</v>
      </c>
      <c r="O1439" s="1" t="s">
        <v>3734</v>
      </c>
      <c r="P1439" s="1" t="s">
        <v>2095</v>
      </c>
      <c r="Q1439" s="1"/>
      <c r="R1439" s="1"/>
      <c r="S1439" s="1" t="s">
        <v>2072</v>
      </c>
      <c r="T1439" s="1" t="s">
        <v>3165</v>
      </c>
      <c r="U1439" s="4">
        <v>3500000</v>
      </c>
      <c r="V1439" s="4">
        <v>4994</v>
      </c>
      <c r="W1439" s="4">
        <v>50</v>
      </c>
      <c r="X1439" s="4">
        <v>749</v>
      </c>
      <c r="Y1439" s="4">
        <v>0</v>
      </c>
      <c r="Z1439" s="5">
        <v>5793</v>
      </c>
      <c r="AA1439" s="5">
        <v>0</v>
      </c>
      <c r="AB1439" s="6">
        <v>0</v>
      </c>
      <c r="AC1439" s="4">
        <v>5793</v>
      </c>
      <c r="AD1439" s="4">
        <v>0</v>
      </c>
      <c r="AE1439" s="4">
        <v>5793</v>
      </c>
      <c r="AF1439" s="1"/>
      <c r="AG1439" s="1"/>
      <c r="AH1439" s="1"/>
      <c r="AI1439" s="1" t="s">
        <v>2327</v>
      </c>
      <c r="AJ1439" s="6">
        <v>2824.0899999999979</v>
      </c>
      <c r="AK1439" s="6">
        <v>1207.17</v>
      </c>
      <c r="AL1439" s="1"/>
    </row>
    <row r="1440" spans="1:38" hidden="1" x14ac:dyDescent="0.25">
      <c r="A1440" s="2">
        <v>1917</v>
      </c>
      <c r="B1440" s="1" t="s">
        <v>1682</v>
      </c>
      <c r="C1440" s="1" t="s">
        <v>1685</v>
      </c>
      <c r="D1440" s="1" t="s">
        <v>2062</v>
      </c>
      <c r="E1440" s="1" t="s">
        <v>2063</v>
      </c>
      <c r="F1440" s="3">
        <v>45477</v>
      </c>
      <c r="G1440" s="3">
        <v>45386</v>
      </c>
      <c r="H1440" s="3">
        <v>45750</v>
      </c>
      <c r="I1440" s="1" t="s">
        <v>3730</v>
      </c>
      <c r="J1440" s="1" t="s">
        <v>3731</v>
      </c>
      <c r="K1440" s="1"/>
      <c r="L1440" s="1" t="s">
        <v>2864</v>
      </c>
      <c r="M1440" s="1" t="s">
        <v>3732</v>
      </c>
      <c r="N1440" s="1" t="s">
        <v>3733</v>
      </c>
      <c r="O1440" s="1" t="s">
        <v>3734</v>
      </c>
      <c r="P1440" s="1" t="s">
        <v>2095</v>
      </c>
      <c r="Q1440" s="1"/>
      <c r="R1440" s="1"/>
      <c r="S1440" s="1" t="s">
        <v>2072</v>
      </c>
      <c r="T1440" s="1" t="s">
        <v>3165</v>
      </c>
      <c r="U1440" s="4">
        <v>3500000</v>
      </c>
      <c r="V1440" s="4">
        <v>4518</v>
      </c>
      <c r="W1440" s="4">
        <v>45</v>
      </c>
      <c r="X1440" s="4">
        <v>677</v>
      </c>
      <c r="Y1440" s="4">
        <v>0</v>
      </c>
      <c r="Z1440" s="5">
        <v>5240</v>
      </c>
      <c r="AA1440" s="5">
        <v>0</v>
      </c>
      <c r="AB1440" s="6">
        <v>0</v>
      </c>
      <c r="AC1440" s="4">
        <v>5240</v>
      </c>
      <c r="AD1440" s="4">
        <v>0</v>
      </c>
      <c r="AE1440" s="4">
        <v>5240</v>
      </c>
      <c r="AF1440" s="1"/>
      <c r="AG1440" s="1"/>
      <c r="AH1440" s="1"/>
      <c r="AI1440" s="1" t="s">
        <v>2327</v>
      </c>
      <c r="AJ1440" s="6">
        <v>2504.2899999999991</v>
      </c>
      <c r="AK1440" s="6">
        <v>1091.829999999999</v>
      </c>
      <c r="AL1440" s="1"/>
    </row>
    <row r="1441" spans="1:38" hidden="1" x14ac:dyDescent="0.25">
      <c r="A1441" s="2">
        <v>1918</v>
      </c>
      <c r="B1441" s="1" t="s">
        <v>1682</v>
      </c>
      <c r="C1441" s="1" t="s">
        <v>1686</v>
      </c>
      <c r="D1441" s="1" t="s">
        <v>2062</v>
      </c>
      <c r="E1441" s="1" t="s">
        <v>2063</v>
      </c>
      <c r="F1441" s="3">
        <v>45745</v>
      </c>
      <c r="G1441" s="3">
        <v>45386</v>
      </c>
      <c r="H1441" s="3">
        <v>45750</v>
      </c>
      <c r="I1441" s="1" t="s">
        <v>3730</v>
      </c>
      <c r="J1441" s="1" t="s">
        <v>3731</v>
      </c>
      <c r="K1441" s="1"/>
      <c r="L1441" s="1" t="s">
        <v>2864</v>
      </c>
      <c r="M1441" s="1" t="s">
        <v>3732</v>
      </c>
      <c r="N1441" s="1" t="s">
        <v>3733</v>
      </c>
      <c r="O1441" s="1" t="s">
        <v>3734</v>
      </c>
      <c r="P1441" s="1" t="s">
        <v>2095</v>
      </c>
      <c r="Q1441" s="1"/>
      <c r="R1441" s="1"/>
      <c r="S1441" s="1" t="s">
        <v>2072</v>
      </c>
      <c r="T1441" s="1" t="s">
        <v>3165</v>
      </c>
      <c r="U1441" s="4">
        <v>-1</v>
      </c>
      <c r="V1441" s="4">
        <v>-16860</v>
      </c>
      <c r="W1441" s="4">
        <v>-149</v>
      </c>
      <c r="X1441" s="4">
        <v>0</v>
      </c>
      <c r="Y1441" s="4">
        <v>0</v>
      </c>
      <c r="Z1441" s="5">
        <v>-17009</v>
      </c>
      <c r="AA1441" s="5">
        <v>0</v>
      </c>
      <c r="AB1441" s="6">
        <v>0</v>
      </c>
      <c r="AC1441" s="4">
        <v>-17009</v>
      </c>
      <c r="AD1441" s="4">
        <v>0</v>
      </c>
      <c r="AE1441" s="4">
        <v>-17009</v>
      </c>
      <c r="AF1441" s="1"/>
      <c r="AG1441" s="1"/>
      <c r="AH1441" s="1"/>
      <c r="AI1441" s="1" t="s">
        <v>2327</v>
      </c>
      <c r="AJ1441" s="1"/>
      <c r="AK1441" s="1"/>
      <c r="AL1441" s="1"/>
    </row>
    <row r="1442" spans="1:38" hidden="1" x14ac:dyDescent="0.25">
      <c r="A1442" s="2">
        <v>1919</v>
      </c>
      <c r="B1442" s="1" t="s">
        <v>1687</v>
      </c>
      <c r="C1442" s="1" t="s">
        <v>1688</v>
      </c>
      <c r="D1442" s="1" t="s">
        <v>2062</v>
      </c>
      <c r="E1442" s="1" t="s">
        <v>2063</v>
      </c>
      <c r="F1442" s="3">
        <v>45512</v>
      </c>
      <c r="G1442" s="3">
        <v>45388</v>
      </c>
      <c r="H1442" s="3">
        <v>45752</v>
      </c>
      <c r="I1442" s="1" t="s">
        <v>3735</v>
      </c>
      <c r="J1442" s="1" t="s">
        <v>3736</v>
      </c>
      <c r="K1442" s="1"/>
      <c r="L1442" s="1" t="s">
        <v>2322</v>
      </c>
      <c r="M1442" s="1" t="s">
        <v>2772</v>
      </c>
      <c r="N1442" s="1" t="s">
        <v>3737</v>
      </c>
      <c r="O1442" s="1" t="s">
        <v>3738</v>
      </c>
      <c r="P1442" s="1" t="s">
        <v>3409</v>
      </c>
      <c r="Q1442" s="1"/>
      <c r="R1442" s="1"/>
      <c r="S1442" s="1" t="s">
        <v>2072</v>
      </c>
      <c r="T1442" s="1" t="s">
        <v>3165</v>
      </c>
      <c r="U1442" s="4">
        <v>2261000</v>
      </c>
      <c r="V1442" s="4">
        <v>1214</v>
      </c>
      <c r="W1442" s="4">
        <v>12</v>
      </c>
      <c r="X1442" s="4">
        <v>182</v>
      </c>
      <c r="Y1442" s="4">
        <v>0</v>
      </c>
      <c r="Z1442" s="5">
        <v>1408</v>
      </c>
      <c r="AA1442" s="5">
        <v>1368</v>
      </c>
      <c r="AB1442" s="6">
        <v>0</v>
      </c>
      <c r="AC1442" s="4">
        <v>40</v>
      </c>
      <c r="AD1442" s="4">
        <v>0</v>
      </c>
      <c r="AE1442" s="4">
        <v>40</v>
      </c>
      <c r="AF1442" s="1"/>
      <c r="AG1442" s="1"/>
      <c r="AH1442" s="1"/>
      <c r="AI1442" s="1" t="s">
        <v>3057</v>
      </c>
      <c r="AJ1442" s="6">
        <v>1029.57</v>
      </c>
      <c r="AK1442" s="6">
        <v>455.64</v>
      </c>
      <c r="AL1442" s="1"/>
    </row>
    <row r="1443" spans="1:38" hidden="1" x14ac:dyDescent="0.25">
      <c r="A1443" s="2">
        <v>1920</v>
      </c>
      <c r="B1443" s="1" t="s">
        <v>1687</v>
      </c>
      <c r="C1443" s="1" t="s">
        <v>1689</v>
      </c>
      <c r="D1443" s="1" t="s">
        <v>2062</v>
      </c>
      <c r="E1443" s="1" t="s">
        <v>2063</v>
      </c>
      <c r="F1443" s="3">
        <v>45542</v>
      </c>
      <c r="G1443" s="3">
        <v>45388</v>
      </c>
      <c r="H1443" s="3">
        <v>45752</v>
      </c>
      <c r="I1443" s="1" t="s">
        <v>3735</v>
      </c>
      <c r="J1443" s="1" t="s">
        <v>3736</v>
      </c>
      <c r="K1443" s="1"/>
      <c r="L1443" s="1" t="s">
        <v>2322</v>
      </c>
      <c r="M1443" s="1" t="s">
        <v>2772</v>
      </c>
      <c r="N1443" s="1" t="s">
        <v>3737</v>
      </c>
      <c r="O1443" s="1" t="s">
        <v>3738</v>
      </c>
      <c r="P1443" s="1" t="s">
        <v>3409</v>
      </c>
      <c r="Q1443" s="1"/>
      <c r="R1443" s="1"/>
      <c r="S1443" s="1" t="s">
        <v>2072</v>
      </c>
      <c r="T1443" s="1" t="s">
        <v>3165</v>
      </c>
      <c r="U1443" s="4">
        <v>2261000</v>
      </c>
      <c r="V1443" s="4">
        <v>1163</v>
      </c>
      <c r="W1443" s="4">
        <v>12</v>
      </c>
      <c r="X1443" s="4">
        <v>175</v>
      </c>
      <c r="Y1443" s="4">
        <v>0</v>
      </c>
      <c r="Z1443" s="5">
        <v>1350</v>
      </c>
      <c r="AA1443" s="5">
        <v>0</v>
      </c>
      <c r="AB1443" s="6">
        <v>0</v>
      </c>
      <c r="AC1443" s="4">
        <v>1350</v>
      </c>
      <c r="AD1443" s="4">
        <v>0</v>
      </c>
      <c r="AE1443" s="4">
        <v>1350</v>
      </c>
      <c r="AF1443" s="1"/>
      <c r="AG1443" s="1"/>
      <c r="AH1443" s="1"/>
      <c r="AI1443" s="1" t="s">
        <v>3057</v>
      </c>
      <c r="AJ1443" s="6">
        <v>1441.8799999999942</v>
      </c>
      <c r="AK1443" s="6">
        <v>436.59</v>
      </c>
      <c r="AL1443" s="1"/>
    </row>
    <row r="1444" spans="1:38" hidden="1" x14ac:dyDescent="0.25">
      <c r="A1444" s="2">
        <v>1921</v>
      </c>
      <c r="B1444" s="1" t="s">
        <v>1687</v>
      </c>
      <c r="C1444" s="1" t="s">
        <v>1690</v>
      </c>
      <c r="D1444" s="1" t="s">
        <v>2062</v>
      </c>
      <c r="E1444" s="1" t="s">
        <v>2063</v>
      </c>
      <c r="F1444" s="3">
        <v>45574</v>
      </c>
      <c r="G1444" s="3">
        <v>45388</v>
      </c>
      <c r="H1444" s="3">
        <v>45752</v>
      </c>
      <c r="I1444" s="1" t="s">
        <v>3735</v>
      </c>
      <c r="J1444" s="1" t="s">
        <v>3736</v>
      </c>
      <c r="K1444" s="1"/>
      <c r="L1444" s="1" t="s">
        <v>2322</v>
      </c>
      <c r="M1444" s="1" t="s">
        <v>2772</v>
      </c>
      <c r="N1444" s="1" t="s">
        <v>3737</v>
      </c>
      <c r="O1444" s="1" t="s">
        <v>3738</v>
      </c>
      <c r="P1444" s="1" t="s">
        <v>3409</v>
      </c>
      <c r="Q1444" s="1"/>
      <c r="R1444" s="1"/>
      <c r="S1444" s="1" t="s">
        <v>2072</v>
      </c>
      <c r="T1444" s="1" t="s">
        <v>3165</v>
      </c>
      <c r="U1444" s="4">
        <v>2261000</v>
      </c>
      <c r="V1444" s="4">
        <v>1638</v>
      </c>
      <c r="W1444" s="4">
        <v>16</v>
      </c>
      <c r="X1444" s="4">
        <v>246</v>
      </c>
      <c r="Y1444" s="4">
        <v>0</v>
      </c>
      <c r="Z1444" s="5">
        <v>1900</v>
      </c>
      <c r="AA1444" s="5">
        <v>0</v>
      </c>
      <c r="AB1444" s="6">
        <v>0</v>
      </c>
      <c r="AC1444" s="4">
        <v>1900</v>
      </c>
      <c r="AD1444" s="4">
        <v>0</v>
      </c>
      <c r="AE1444" s="4">
        <v>1900</v>
      </c>
      <c r="AF1444" s="1"/>
      <c r="AG1444" s="1"/>
      <c r="AH1444" s="1"/>
      <c r="AI1444" s="1" t="s">
        <v>3057</v>
      </c>
      <c r="AJ1444" s="6">
        <v>1544.02</v>
      </c>
      <c r="AK1444" s="6">
        <v>614.65</v>
      </c>
      <c r="AL1444" s="1"/>
    </row>
    <row r="1445" spans="1:38" hidden="1" x14ac:dyDescent="0.25">
      <c r="A1445" s="2">
        <v>1922</v>
      </c>
      <c r="B1445" s="1" t="s">
        <v>1687</v>
      </c>
      <c r="C1445" s="1" t="s">
        <v>1691</v>
      </c>
      <c r="D1445" s="1" t="s">
        <v>2062</v>
      </c>
      <c r="E1445" s="1" t="s">
        <v>2063</v>
      </c>
      <c r="F1445" s="3">
        <v>45604</v>
      </c>
      <c r="G1445" s="3">
        <v>45388</v>
      </c>
      <c r="H1445" s="3">
        <v>45752</v>
      </c>
      <c r="I1445" s="1" t="s">
        <v>3735</v>
      </c>
      <c r="J1445" s="1" t="s">
        <v>3736</v>
      </c>
      <c r="K1445" s="1"/>
      <c r="L1445" s="1" t="s">
        <v>2322</v>
      </c>
      <c r="M1445" s="1" t="s">
        <v>2772</v>
      </c>
      <c r="N1445" s="1" t="s">
        <v>3737</v>
      </c>
      <c r="O1445" s="1" t="s">
        <v>3738</v>
      </c>
      <c r="P1445" s="1" t="s">
        <v>3409</v>
      </c>
      <c r="Q1445" s="1"/>
      <c r="R1445" s="1"/>
      <c r="S1445" s="1" t="s">
        <v>2072</v>
      </c>
      <c r="T1445" s="1" t="s">
        <v>3165</v>
      </c>
      <c r="U1445" s="4">
        <v>2261000</v>
      </c>
      <c r="V1445" s="4">
        <v>3715</v>
      </c>
      <c r="W1445" s="4">
        <v>37</v>
      </c>
      <c r="X1445" s="4">
        <v>557</v>
      </c>
      <c r="Y1445" s="4">
        <v>0</v>
      </c>
      <c r="Z1445" s="5">
        <v>4309</v>
      </c>
      <c r="AA1445" s="5">
        <v>0</v>
      </c>
      <c r="AB1445" s="6">
        <v>0</v>
      </c>
      <c r="AC1445" s="4">
        <v>4309</v>
      </c>
      <c r="AD1445" s="4">
        <v>0</v>
      </c>
      <c r="AE1445" s="4">
        <v>4309</v>
      </c>
      <c r="AF1445" s="1"/>
      <c r="AG1445" s="1"/>
      <c r="AH1445" s="1"/>
      <c r="AI1445" s="1" t="s">
        <v>3057</v>
      </c>
      <c r="AJ1445" s="6">
        <v>5550.3499999999949</v>
      </c>
      <c r="AK1445" s="6">
        <v>1395</v>
      </c>
      <c r="AL1445" s="1"/>
    </row>
    <row r="1446" spans="1:38" hidden="1" x14ac:dyDescent="0.25">
      <c r="A1446" s="2">
        <v>1923</v>
      </c>
      <c r="B1446" s="1" t="s">
        <v>1687</v>
      </c>
      <c r="C1446" s="1" t="s">
        <v>1692</v>
      </c>
      <c r="D1446" s="1" t="s">
        <v>2062</v>
      </c>
      <c r="E1446" s="1" t="s">
        <v>2063</v>
      </c>
      <c r="F1446" s="3">
        <v>45633</v>
      </c>
      <c r="G1446" s="3">
        <v>45388</v>
      </c>
      <c r="H1446" s="3">
        <v>45752</v>
      </c>
      <c r="I1446" s="1" t="s">
        <v>3735</v>
      </c>
      <c r="J1446" s="1" t="s">
        <v>3736</v>
      </c>
      <c r="K1446" s="1"/>
      <c r="L1446" s="1" t="s">
        <v>2322</v>
      </c>
      <c r="M1446" s="1" t="s">
        <v>2772</v>
      </c>
      <c r="N1446" s="1" t="s">
        <v>3737</v>
      </c>
      <c r="O1446" s="1" t="s">
        <v>3738</v>
      </c>
      <c r="P1446" s="1" t="s">
        <v>3409</v>
      </c>
      <c r="Q1446" s="1"/>
      <c r="R1446" s="1"/>
      <c r="S1446" s="1" t="s">
        <v>2072</v>
      </c>
      <c r="T1446" s="1" t="s">
        <v>3165</v>
      </c>
      <c r="U1446" s="4">
        <v>2261000</v>
      </c>
      <c r="V1446" s="4">
        <v>3479</v>
      </c>
      <c r="W1446" s="4">
        <v>35</v>
      </c>
      <c r="X1446" s="4">
        <v>522</v>
      </c>
      <c r="Y1446" s="4">
        <v>0</v>
      </c>
      <c r="Z1446" s="5">
        <v>4036</v>
      </c>
      <c r="AA1446" s="5">
        <v>0</v>
      </c>
      <c r="AB1446" s="6">
        <v>0</v>
      </c>
      <c r="AC1446" s="4">
        <v>4036</v>
      </c>
      <c r="AD1446" s="4">
        <v>0</v>
      </c>
      <c r="AE1446" s="4">
        <v>4036</v>
      </c>
      <c r="AF1446" s="1"/>
      <c r="AG1446" s="1"/>
      <c r="AH1446" s="1"/>
      <c r="AI1446" s="1" t="s">
        <v>3057</v>
      </c>
      <c r="AJ1446" s="6">
        <v>4913.6000000000013</v>
      </c>
      <c r="AK1446" s="6">
        <v>1306.71</v>
      </c>
      <c r="AL1446" s="1"/>
    </row>
    <row r="1447" spans="1:38" hidden="1" x14ac:dyDescent="0.25">
      <c r="A1447" s="2">
        <v>1924</v>
      </c>
      <c r="B1447" s="1" t="s">
        <v>1687</v>
      </c>
      <c r="C1447" s="1" t="s">
        <v>1693</v>
      </c>
      <c r="D1447" s="1" t="s">
        <v>2062</v>
      </c>
      <c r="E1447" s="1" t="s">
        <v>2063</v>
      </c>
      <c r="F1447" s="3">
        <v>45655</v>
      </c>
      <c r="G1447" s="3">
        <v>45388</v>
      </c>
      <c r="H1447" s="3">
        <v>45752</v>
      </c>
      <c r="I1447" s="1" t="s">
        <v>3735</v>
      </c>
      <c r="J1447" s="1" t="s">
        <v>3736</v>
      </c>
      <c r="K1447" s="1"/>
      <c r="L1447" s="1" t="s">
        <v>2322</v>
      </c>
      <c r="M1447" s="1" t="s">
        <v>2772</v>
      </c>
      <c r="N1447" s="1" t="s">
        <v>3737</v>
      </c>
      <c r="O1447" s="1" t="s">
        <v>3738</v>
      </c>
      <c r="P1447" s="1" t="s">
        <v>3409</v>
      </c>
      <c r="Q1447" s="1"/>
      <c r="R1447" s="1"/>
      <c r="S1447" s="1" t="s">
        <v>2072</v>
      </c>
      <c r="T1447" s="1" t="s">
        <v>3165</v>
      </c>
      <c r="U1447" s="4">
        <v>-1</v>
      </c>
      <c r="V1447" s="4">
        <v>-11520</v>
      </c>
      <c r="W1447" s="4">
        <v>-115</v>
      </c>
      <c r="X1447" s="4">
        <v>0</v>
      </c>
      <c r="Y1447" s="4">
        <v>0</v>
      </c>
      <c r="Z1447" s="5">
        <v>-11635</v>
      </c>
      <c r="AA1447" s="5">
        <v>0</v>
      </c>
      <c r="AB1447" s="6">
        <v>0</v>
      </c>
      <c r="AC1447" s="4">
        <v>-11635</v>
      </c>
      <c r="AD1447" s="4">
        <v>0</v>
      </c>
      <c r="AE1447" s="4">
        <v>-11635</v>
      </c>
      <c r="AF1447" s="1"/>
      <c r="AG1447" s="1"/>
      <c r="AH1447" s="1"/>
      <c r="AI1447" s="1" t="s">
        <v>3057</v>
      </c>
      <c r="AJ1447" s="1"/>
      <c r="AK1447" s="1"/>
      <c r="AL1447" s="1"/>
    </row>
    <row r="1448" spans="1:38" hidden="1" x14ac:dyDescent="0.25">
      <c r="A1448" s="2">
        <v>1925</v>
      </c>
      <c r="B1448" s="1" t="s">
        <v>1694</v>
      </c>
      <c r="C1448" s="1" t="s">
        <v>1695</v>
      </c>
      <c r="D1448" s="1" t="s">
        <v>2062</v>
      </c>
      <c r="E1448" s="1" t="s">
        <v>2063</v>
      </c>
      <c r="F1448" s="3">
        <v>45574</v>
      </c>
      <c r="G1448" s="3">
        <v>45386</v>
      </c>
      <c r="H1448" s="3">
        <v>45750</v>
      </c>
      <c r="I1448" s="1" t="s">
        <v>3739</v>
      </c>
      <c r="J1448" s="1" t="s">
        <v>3740</v>
      </c>
      <c r="K1448" s="1"/>
      <c r="L1448" s="1" t="s">
        <v>2450</v>
      </c>
      <c r="M1448" s="1" t="s">
        <v>3741</v>
      </c>
      <c r="N1448" s="1" t="s">
        <v>3742</v>
      </c>
      <c r="O1448" s="1" t="s">
        <v>3743</v>
      </c>
      <c r="P1448" s="1" t="s">
        <v>2231</v>
      </c>
      <c r="Q1448" s="1"/>
      <c r="R1448" s="1"/>
      <c r="S1448" s="1" t="s">
        <v>2072</v>
      </c>
      <c r="T1448" s="1" t="s">
        <v>3165</v>
      </c>
      <c r="U1448" s="4">
        <v>3000000</v>
      </c>
      <c r="V1448" s="4">
        <v>3780</v>
      </c>
      <c r="W1448" s="4">
        <v>38</v>
      </c>
      <c r="X1448" s="4">
        <v>567</v>
      </c>
      <c r="Y1448" s="4">
        <v>0</v>
      </c>
      <c r="Z1448" s="5">
        <v>4385</v>
      </c>
      <c r="AA1448" s="5">
        <v>0</v>
      </c>
      <c r="AB1448" s="6">
        <v>0</v>
      </c>
      <c r="AC1448" s="4">
        <v>4385</v>
      </c>
      <c r="AD1448" s="4">
        <v>0</v>
      </c>
      <c r="AE1448" s="4">
        <v>4385</v>
      </c>
      <c r="AF1448" s="1"/>
      <c r="AG1448" s="1"/>
      <c r="AH1448" s="1"/>
      <c r="AI1448" s="1" t="s">
        <v>3057</v>
      </c>
      <c r="AJ1448" s="6">
        <v>5488.1999999999916</v>
      </c>
      <c r="AK1448" s="6">
        <v>1066.67</v>
      </c>
      <c r="AL1448" s="1"/>
    </row>
    <row r="1449" spans="1:38" hidden="1" x14ac:dyDescent="0.25">
      <c r="A1449" s="2">
        <v>1926</v>
      </c>
      <c r="B1449" s="1" t="s">
        <v>1694</v>
      </c>
      <c r="C1449" s="1" t="s">
        <v>1696</v>
      </c>
      <c r="D1449" s="1" t="s">
        <v>2062</v>
      </c>
      <c r="E1449" s="1" t="s">
        <v>2063</v>
      </c>
      <c r="F1449" s="3">
        <v>45601</v>
      </c>
      <c r="G1449" s="3">
        <v>45386</v>
      </c>
      <c r="H1449" s="3">
        <v>45750</v>
      </c>
      <c r="I1449" s="1" t="s">
        <v>3739</v>
      </c>
      <c r="J1449" s="1" t="s">
        <v>3740</v>
      </c>
      <c r="K1449" s="1"/>
      <c r="L1449" s="1" t="s">
        <v>2450</v>
      </c>
      <c r="M1449" s="1" t="s">
        <v>3741</v>
      </c>
      <c r="N1449" s="1" t="s">
        <v>3742</v>
      </c>
      <c r="O1449" s="1" t="s">
        <v>3743</v>
      </c>
      <c r="P1449" s="1" t="s">
        <v>2231</v>
      </c>
      <c r="Q1449" s="1"/>
      <c r="R1449" s="1"/>
      <c r="S1449" s="1" t="s">
        <v>2072</v>
      </c>
      <c r="T1449" s="1" t="s">
        <v>3165</v>
      </c>
      <c r="U1449" s="4">
        <v>3000000</v>
      </c>
      <c r="V1449" s="4">
        <v>4076</v>
      </c>
      <c r="W1449" s="4">
        <v>41</v>
      </c>
      <c r="X1449" s="4">
        <v>612</v>
      </c>
      <c r="Y1449" s="4">
        <v>0</v>
      </c>
      <c r="Z1449" s="5">
        <v>4729</v>
      </c>
      <c r="AA1449" s="5">
        <v>0</v>
      </c>
      <c r="AB1449" s="6">
        <v>0</v>
      </c>
      <c r="AC1449" s="4">
        <v>4729</v>
      </c>
      <c r="AD1449" s="4">
        <v>0</v>
      </c>
      <c r="AE1449" s="4">
        <v>4729</v>
      </c>
      <c r="AF1449" s="1"/>
      <c r="AG1449" s="1"/>
      <c r="AH1449" s="1"/>
      <c r="AI1449" s="1" t="s">
        <v>3057</v>
      </c>
      <c r="AJ1449" s="6">
        <v>6325.9599999999909</v>
      </c>
      <c r="AK1449" s="6">
        <v>1150.43</v>
      </c>
      <c r="AL1449" s="1"/>
    </row>
    <row r="1450" spans="1:38" hidden="1" x14ac:dyDescent="0.25">
      <c r="A1450" s="2">
        <v>1927</v>
      </c>
      <c r="B1450" s="1" t="s">
        <v>1694</v>
      </c>
      <c r="C1450" s="1" t="s">
        <v>1697</v>
      </c>
      <c r="D1450" s="1" t="s">
        <v>2062</v>
      </c>
      <c r="E1450" s="1" t="s">
        <v>2063</v>
      </c>
      <c r="F1450" s="3">
        <v>45631</v>
      </c>
      <c r="G1450" s="3">
        <v>45386</v>
      </c>
      <c r="H1450" s="3">
        <v>45750</v>
      </c>
      <c r="I1450" s="1" t="s">
        <v>3739</v>
      </c>
      <c r="J1450" s="1" t="s">
        <v>3740</v>
      </c>
      <c r="K1450" s="1"/>
      <c r="L1450" s="1" t="s">
        <v>2450</v>
      </c>
      <c r="M1450" s="1" t="s">
        <v>3741</v>
      </c>
      <c r="N1450" s="1" t="s">
        <v>3742</v>
      </c>
      <c r="O1450" s="1" t="s">
        <v>3743</v>
      </c>
      <c r="P1450" s="1" t="s">
        <v>2231</v>
      </c>
      <c r="Q1450" s="1"/>
      <c r="R1450" s="1"/>
      <c r="S1450" s="1" t="s">
        <v>2072</v>
      </c>
      <c r="T1450" s="1" t="s">
        <v>3165</v>
      </c>
      <c r="U1450" s="4">
        <v>3000000</v>
      </c>
      <c r="V1450" s="4">
        <v>3271</v>
      </c>
      <c r="W1450" s="4">
        <v>33</v>
      </c>
      <c r="X1450" s="4">
        <v>491</v>
      </c>
      <c r="Y1450" s="4">
        <v>0</v>
      </c>
      <c r="Z1450" s="5">
        <v>3795</v>
      </c>
      <c r="AA1450" s="5">
        <v>0</v>
      </c>
      <c r="AB1450" s="6">
        <v>0</v>
      </c>
      <c r="AC1450" s="4">
        <v>3795</v>
      </c>
      <c r="AD1450" s="4">
        <v>0</v>
      </c>
      <c r="AE1450" s="4">
        <v>3795</v>
      </c>
      <c r="AF1450" s="1"/>
      <c r="AG1450" s="1"/>
      <c r="AH1450" s="1"/>
      <c r="AI1450" s="1" t="s">
        <v>3057</v>
      </c>
      <c r="AJ1450" s="6">
        <v>5549.1699999999837</v>
      </c>
      <c r="AK1450" s="6">
        <v>923.22</v>
      </c>
      <c r="AL1450" s="1"/>
    </row>
    <row r="1451" spans="1:38" hidden="1" x14ac:dyDescent="0.25">
      <c r="A1451" s="2">
        <v>1928</v>
      </c>
      <c r="B1451" s="1" t="s">
        <v>1694</v>
      </c>
      <c r="C1451" s="1" t="s">
        <v>1698</v>
      </c>
      <c r="D1451" s="1" t="s">
        <v>2062</v>
      </c>
      <c r="E1451" s="1" t="s">
        <v>2063</v>
      </c>
      <c r="F1451" s="3">
        <v>45663</v>
      </c>
      <c r="G1451" s="3">
        <v>45386</v>
      </c>
      <c r="H1451" s="3">
        <v>45750</v>
      </c>
      <c r="I1451" s="1" t="s">
        <v>3739</v>
      </c>
      <c r="J1451" s="1" t="s">
        <v>3740</v>
      </c>
      <c r="K1451" s="1"/>
      <c r="L1451" s="1" t="s">
        <v>2450</v>
      </c>
      <c r="M1451" s="1" t="s">
        <v>3741</v>
      </c>
      <c r="N1451" s="1" t="s">
        <v>3742</v>
      </c>
      <c r="O1451" s="1" t="s">
        <v>3743</v>
      </c>
      <c r="P1451" s="1" t="s">
        <v>2231</v>
      </c>
      <c r="Q1451" s="1"/>
      <c r="R1451" s="1"/>
      <c r="S1451" s="1" t="s">
        <v>2072</v>
      </c>
      <c r="T1451" s="1" t="s">
        <v>3165</v>
      </c>
      <c r="U1451" s="4">
        <v>3000000</v>
      </c>
      <c r="V1451" s="4">
        <v>4366</v>
      </c>
      <c r="W1451" s="4">
        <v>44</v>
      </c>
      <c r="X1451" s="4">
        <v>655</v>
      </c>
      <c r="Y1451" s="4">
        <v>0</v>
      </c>
      <c r="Z1451" s="5">
        <v>5065</v>
      </c>
      <c r="AA1451" s="5">
        <v>0</v>
      </c>
      <c r="AB1451" s="6">
        <v>0</v>
      </c>
      <c r="AC1451" s="4">
        <v>5065</v>
      </c>
      <c r="AD1451" s="4">
        <v>0</v>
      </c>
      <c r="AE1451" s="4">
        <v>5065</v>
      </c>
      <c r="AF1451" s="1"/>
      <c r="AG1451" s="1"/>
      <c r="AH1451" s="1"/>
      <c r="AI1451" s="1" t="s">
        <v>3057</v>
      </c>
      <c r="AJ1451" s="6">
        <v>7372.2499999999891</v>
      </c>
      <c r="AK1451" s="6">
        <v>1232.2</v>
      </c>
      <c r="AL1451" s="1"/>
    </row>
    <row r="1452" spans="1:38" hidden="1" x14ac:dyDescent="0.25">
      <c r="A1452" s="2">
        <v>1929</v>
      </c>
      <c r="B1452" s="1" t="s">
        <v>1694</v>
      </c>
      <c r="C1452" s="1" t="s">
        <v>1699</v>
      </c>
      <c r="D1452" s="1" t="s">
        <v>2062</v>
      </c>
      <c r="E1452" s="1" t="s">
        <v>2063</v>
      </c>
      <c r="F1452" s="3">
        <v>45694</v>
      </c>
      <c r="G1452" s="3">
        <v>45386</v>
      </c>
      <c r="H1452" s="3">
        <v>45750</v>
      </c>
      <c r="I1452" s="1" t="s">
        <v>3739</v>
      </c>
      <c r="J1452" s="1" t="s">
        <v>3740</v>
      </c>
      <c r="K1452" s="1"/>
      <c r="L1452" s="1" t="s">
        <v>2450</v>
      </c>
      <c r="M1452" s="1" t="s">
        <v>3741</v>
      </c>
      <c r="N1452" s="1" t="s">
        <v>3742</v>
      </c>
      <c r="O1452" s="1" t="s">
        <v>3743</v>
      </c>
      <c r="P1452" s="1" t="s">
        <v>2231</v>
      </c>
      <c r="Q1452" s="1"/>
      <c r="R1452" s="1"/>
      <c r="S1452" s="1" t="s">
        <v>2072</v>
      </c>
      <c r="T1452" s="1" t="s">
        <v>3165</v>
      </c>
      <c r="U1452" s="4">
        <v>3000000</v>
      </c>
      <c r="V1452" s="4">
        <v>4465</v>
      </c>
      <c r="W1452" s="4">
        <v>45</v>
      </c>
      <c r="X1452" s="4">
        <v>670</v>
      </c>
      <c r="Y1452" s="4">
        <v>0</v>
      </c>
      <c r="Z1452" s="5">
        <v>5180</v>
      </c>
      <c r="AA1452" s="5">
        <v>0</v>
      </c>
      <c r="AB1452" s="6">
        <v>0</v>
      </c>
      <c r="AC1452" s="4">
        <v>5180</v>
      </c>
      <c r="AD1452" s="4">
        <v>0</v>
      </c>
      <c r="AE1452" s="4">
        <v>5180</v>
      </c>
      <c r="AF1452" s="1"/>
      <c r="AG1452" s="1"/>
      <c r="AH1452" s="1"/>
      <c r="AI1452" s="1" t="s">
        <v>3057</v>
      </c>
      <c r="AJ1452" s="6">
        <v>7383.8199999999915</v>
      </c>
      <c r="AK1452" s="6">
        <v>1260</v>
      </c>
      <c r="AL1452" s="1"/>
    </row>
    <row r="1453" spans="1:38" hidden="1" x14ac:dyDescent="0.25">
      <c r="A1453" s="2">
        <v>1930</v>
      </c>
      <c r="B1453" s="1" t="s">
        <v>1694</v>
      </c>
      <c r="C1453" s="1" t="s">
        <v>1700</v>
      </c>
      <c r="D1453" s="1" t="s">
        <v>2062</v>
      </c>
      <c r="E1453" s="1" t="s">
        <v>2063</v>
      </c>
      <c r="F1453" s="3">
        <v>45720</v>
      </c>
      <c r="G1453" s="3">
        <v>45386</v>
      </c>
      <c r="H1453" s="3">
        <v>45750</v>
      </c>
      <c r="I1453" s="1" t="s">
        <v>3739</v>
      </c>
      <c r="J1453" s="1" t="s">
        <v>3740</v>
      </c>
      <c r="K1453" s="1"/>
      <c r="L1453" s="1" t="s">
        <v>2450</v>
      </c>
      <c r="M1453" s="1" t="s">
        <v>3741</v>
      </c>
      <c r="N1453" s="1" t="s">
        <v>3742</v>
      </c>
      <c r="O1453" s="1" t="s">
        <v>3743</v>
      </c>
      <c r="P1453" s="1" t="s">
        <v>2231</v>
      </c>
      <c r="Q1453" s="1"/>
      <c r="R1453" s="1"/>
      <c r="S1453" s="1" t="s">
        <v>2072</v>
      </c>
      <c r="T1453" s="1" t="s">
        <v>3165</v>
      </c>
      <c r="U1453" s="4">
        <v>3000000</v>
      </c>
      <c r="V1453" s="4">
        <v>3837</v>
      </c>
      <c r="W1453" s="4">
        <v>38</v>
      </c>
      <c r="X1453" s="4">
        <v>575</v>
      </c>
      <c r="Y1453" s="4">
        <v>0</v>
      </c>
      <c r="Z1453" s="5">
        <v>4450</v>
      </c>
      <c r="AA1453" s="5">
        <v>0</v>
      </c>
      <c r="AB1453" s="6">
        <v>0</v>
      </c>
      <c r="AC1453" s="4">
        <v>4450</v>
      </c>
      <c r="AD1453" s="4">
        <v>0</v>
      </c>
      <c r="AE1453" s="4">
        <v>4450</v>
      </c>
      <c r="AF1453" s="1"/>
      <c r="AG1453" s="1"/>
      <c r="AH1453" s="1"/>
      <c r="AI1453" s="1" t="s">
        <v>3057</v>
      </c>
      <c r="AJ1453" s="6">
        <v>5658.8399999999929</v>
      </c>
      <c r="AK1453" s="6">
        <v>1082.55</v>
      </c>
      <c r="AL1453" s="1"/>
    </row>
    <row r="1454" spans="1:38" hidden="1" x14ac:dyDescent="0.25">
      <c r="A1454" s="2">
        <v>1931</v>
      </c>
      <c r="B1454" s="1" t="s">
        <v>1694</v>
      </c>
      <c r="C1454" s="1" t="s">
        <v>1701</v>
      </c>
      <c r="D1454" s="1" t="s">
        <v>2062</v>
      </c>
      <c r="E1454" s="1" t="s">
        <v>2063</v>
      </c>
      <c r="F1454" s="3">
        <v>45745</v>
      </c>
      <c r="G1454" s="3">
        <v>45386</v>
      </c>
      <c r="H1454" s="3">
        <v>45750</v>
      </c>
      <c r="I1454" s="1" t="s">
        <v>3739</v>
      </c>
      <c r="J1454" s="1" t="s">
        <v>3740</v>
      </c>
      <c r="K1454" s="1"/>
      <c r="L1454" s="1" t="s">
        <v>2450</v>
      </c>
      <c r="M1454" s="1" t="s">
        <v>3741</v>
      </c>
      <c r="N1454" s="1" t="s">
        <v>3742</v>
      </c>
      <c r="O1454" s="1" t="s">
        <v>3743</v>
      </c>
      <c r="P1454" s="1" t="s">
        <v>2231</v>
      </c>
      <c r="Q1454" s="1"/>
      <c r="R1454" s="1"/>
      <c r="S1454" s="1" t="s">
        <v>2072</v>
      </c>
      <c r="T1454" s="1" t="s">
        <v>3165</v>
      </c>
      <c r="U1454" s="4">
        <v>-1</v>
      </c>
      <c r="V1454" s="4">
        <v>-27362</v>
      </c>
      <c r="W1454" s="4">
        <v>-242</v>
      </c>
      <c r="X1454" s="4">
        <v>0</v>
      </c>
      <c r="Y1454" s="4">
        <v>0</v>
      </c>
      <c r="Z1454" s="5">
        <v>-27604</v>
      </c>
      <c r="AA1454" s="5">
        <v>0</v>
      </c>
      <c r="AB1454" s="6">
        <v>0</v>
      </c>
      <c r="AC1454" s="4">
        <v>-27604</v>
      </c>
      <c r="AD1454" s="4">
        <v>0</v>
      </c>
      <c r="AE1454" s="4">
        <v>-27604</v>
      </c>
      <c r="AF1454" s="1"/>
      <c r="AG1454" s="1"/>
      <c r="AH1454" s="1"/>
      <c r="AI1454" s="1" t="s">
        <v>3057</v>
      </c>
      <c r="AJ1454" s="1"/>
      <c r="AK1454" s="1"/>
      <c r="AL1454" s="1"/>
    </row>
    <row r="1455" spans="1:38" x14ac:dyDescent="0.25">
      <c r="A1455" s="2">
        <v>1941</v>
      </c>
      <c r="B1455" s="1" t="s">
        <v>1702</v>
      </c>
      <c r="C1455" s="1"/>
      <c r="D1455" s="1" t="s">
        <v>2062</v>
      </c>
      <c r="E1455" s="1" t="s">
        <v>2063</v>
      </c>
      <c r="F1455" s="3">
        <v>45390</v>
      </c>
      <c r="G1455" s="3">
        <v>45386</v>
      </c>
      <c r="H1455" s="3">
        <v>45750</v>
      </c>
      <c r="I1455" s="1" t="s">
        <v>2415</v>
      </c>
      <c r="J1455" s="1" t="s">
        <v>2416</v>
      </c>
      <c r="K1455" s="1"/>
      <c r="L1455" s="1" t="s">
        <v>2213</v>
      </c>
      <c r="M1455" s="1" t="s">
        <v>2417</v>
      </c>
      <c r="N1455" s="1" t="s">
        <v>2418</v>
      </c>
      <c r="O1455" s="1" t="s">
        <v>2419</v>
      </c>
      <c r="P1455" s="1" t="s">
        <v>2103</v>
      </c>
      <c r="Q1455" s="1"/>
      <c r="R1455" s="1"/>
      <c r="S1455" s="1" t="s">
        <v>2072</v>
      </c>
      <c r="T1455" s="1" t="s">
        <v>2073</v>
      </c>
      <c r="U1455" s="4">
        <v>-1</v>
      </c>
      <c r="V1455" s="4">
        <v>0</v>
      </c>
      <c r="W1455" s="4">
        <v>0</v>
      </c>
      <c r="X1455" s="4">
        <v>0</v>
      </c>
      <c r="Y1455" s="4">
        <v>50</v>
      </c>
      <c r="Z1455" s="5">
        <v>50</v>
      </c>
      <c r="AA1455" s="5">
        <v>0</v>
      </c>
      <c r="AB1455" s="6">
        <v>0</v>
      </c>
      <c r="AC1455" s="4">
        <v>50</v>
      </c>
      <c r="AD1455" s="4">
        <v>0</v>
      </c>
      <c r="AE1455" s="4">
        <v>50</v>
      </c>
      <c r="AF1455" s="1"/>
      <c r="AG1455" s="1"/>
      <c r="AH1455" s="1"/>
      <c r="AI1455" s="1" t="s">
        <v>3432</v>
      </c>
      <c r="AJ1455" s="1"/>
      <c r="AK1455" s="1"/>
      <c r="AL1455" s="1" t="s">
        <v>2420</v>
      </c>
    </row>
    <row r="1456" spans="1:38" hidden="1" x14ac:dyDescent="0.25">
      <c r="A1456" s="2">
        <v>1942</v>
      </c>
      <c r="B1456" s="1" t="s">
        <v>1702</v>
      </c>
      <c r="C1456" s="1" t="s">
        <v>1703</v>
      </c>
      <c r="D1456" s="1" t="s">
        <v>2062</v>
      </c>
      <c r="E1456" s="1" t="s">
        <v>2063</v>
      </c>
      <c r="F1456" s="3">
        <v>45425</v>
      </c>
      <c r="G1456" s="3">
        <v>45386</v>
      </c>
      <c r="H1456" s="3">
        <v>45750</v>
      </c>
      <c r="I1456" s="1" t="s">
        <v>2415</v>
      </c>
      <c r="J1456" s="1" t="s">
        <v>2416</v>
      </c>
      <c r="K1456" s="1"/>
      <c r="L1456" s="1" t="s">
        <v>2213</v>
      </c>
      <c r="M1456" s="1" t="s">
        <v>2417</v>
      </c>
      <c r="N1456" s="1" t="s">
        <v>2418</v>
      </c>
      <c r="O1456" s="1" t="s">
        <v>2419</v>
      </c>
      <c r="P1456" s="1" t="s">
        <v>2103</v>
      </c>
      <c r="Q1456" s="1"/>
      <c r="R1456" s="1"/>
      <c r="S1456" s="1" t="s">
        <v>2072</v>
      </c>
      <c r="T1456" s="1" t="s">
        <v>2073</v>
      </c>
      <c r="U1456" s="4">
        <v>2000000</v>
      </c>
      <c r="V1456" s="4">
        <v>701</v>
      </c>
      <c r="W1456" s="4">
        <v>7</v>
      </c>
      <c r="X1456" s="4">
        <v>91</v>
      </c>
      <c r="Y1456" s="4">
        <v>0</v>
      </c>
      <c r="Z1456" s="5">
        <v>799</v>
      </c>
      <c r="AA1456" s="5">
        <v>0</v>
      </c>
      <c r="AB1456" s="6">
        <v>0</v>
      </c>
      <c r="AC1456" s="4">
        <v>799</v>
      </c>
      <c r="AD1456" s="4">
        <v>0</v>
      </c>
      <c r="AE1456" s="4">
        <v>799</v>
      </c>
      <c r="AF1456" s="1"/>
      <c r="AG1456" s="1"/>
      <c r="AH1456" s="1"/>
      <c r="AI1456" s="1" t="s">
        <v>3432</v>
      </c>
      <c r="AJ1456" s="6">
        <v>500.3</v>
      </c>
      <c r="AK1456" s="6">
        <v>292.26</v>
      </c>
      <c r="AL1456" s="1"/>
    </row>
    <row r="1457" spans="1:38" hidden="1" x14ac:dyDescent="0.25">
      <c r="A1457" s="2">
        <v>1943</v>
      </c>
      <c r="B1457" s="1" t="s">
        <v>1702</v>
      </c>
      <c r="C1457" s="1" t="s">
        <v>1704</v>
      </c>
      <c r="D1457" s="1" t="s">
        <v>2062</v>
      </c>
      <c r="E1457" s="1" t="s">
        <v>2063</v>
      </c>
      <c r="F1457" s="3">
        <v>45449</v>
      </c>
      <c r="G1457" s="3">
        <v>45386</v>
      </c>
      <c r="H1457" s="3">
        <v>45750</v>
      </c>
      <c r="I1457" s="1" t="s">
        <v>2415</v>
      </c>
      <c r="J1457" s="1" t="s">
        <v>2416</v>
      </c>
      <c r="K1457" s="1"/>
      <c r="L1457" s="1" t="s">
        <v>2213</v>
      </c>
      <c r="M1457" s="1" t="s">
        <v>2417</v>
      </c>
      <c r="N1457" s="1" t="s">
        <v>2418</v>
      </c>
      <c r="O1457" s="1" t="s">
        <v>2419</v>
      </c>
      <c r="P1457" s="1" t="s">
        <v>2103</v>
      </c>
      <c r="Q1457" s="1"/>
      <c r="R1457" s="1"/>
      <c r="S1457" s="1" t="s">
        <v>2072</v>
      </c>
      <c r="T1457" s="1" t="s">
        <v>2073</v>
      </c>
      <c r="U1457" s="4">
        <v>2000000</v>
      </c>
      <c r="V1457" s="4">
        <v>695</v>
      </c>
      <c r="W1457" s="4">
        <v>7</v>
      </c>
      <c r="X1457" s="4">
        <v>90</v>
      </c>
      <c r="Y1457" s="4">
        <v>0</v>
      </c>
      <c r="Z1457" s="5">
        <v>792</v>
      </c>
      <c r="AA1457" s="5">
        <v>0</v>
      </c>
      <c r="AB1457" s="6">
        <v>0</v>
      </c>
      <c r="AC1457" s="4">
        <v>792</v>
      </c>
      <c r="AD1457" s="4">
        <v>0</v>
      </c>
      <c r="AE1457" s="4">
        <v>792</v>
      </c>
      <c r="AF1457" s="1"/>
      <c r="AG1457" s="1"/>
      <c r="AH1457" s="1"/>
      <c r="AI1457" s="1" t="s">
        <v>3432</v>
      </c>
      <c r="AJ1457" s="6">
        <v>360.32</v>
      </c>
      <c r="AK1457" s="6">
        <v>289.40000000000003</v>
      </c>
      <c r="AL1457" s="1"/>
    </row>
    <row r="1458" spans="1:38" hidden="1" x14ac:dyDescent="0.25">
      <c r="A1458" s="2">
        <v>1944</v>
      </c>
      <c r="B1458" s="1" t="s">
        <v>1702</v>
      </c>
      <c r="C1458" s="1" t="s">
        <v>1705</v>
      </c>
      <c r="D1458" s="1" t="s">
        <v>2062</v>
      </c>
      <c r="E1458" s="1" t="s">
        <v>2063</v>
      </c>
      <c r="F1458" s="3">
        <v>45477</v>
      </c>
      <c r="G1458" s="3">
        <v>45386</v>
      </c>
      <c r="H1458" s="3">
        <v>45750</v>
      </c>
      <c r="I1458" s="1" t="s">
        <v>2415</v>
      </c>
      <c r="J1458" s="1" t="s">
        <v>2416</v>
      </c>
      <c r="K1458" s="1"/>
      <c r="L1458" s="1" t="s">
        <v>2213</v>
      </c>
      <c r="M1458" s="1" t="s">
        <v>2417</v>
      </c>
      <c r="N1458" s="1" t="s">
        <v>2418</v>
      </c>
      <c r="O1458" s="1" t="s">
        <v>2419</v>
      </c>
      <c r="P1458" s="1" t="s">
        <v>2103</v>
      </c>
      <c r="Q1458" s="1"/>
      <c r="R1458" s="1"/>
      <c r="S1458" s="1" t="s">
        <v>2072</v>
      </c>
      <c r="T1458" s="1" t="s">
        <v>2073</v>
      </c>
      <c r="U1458" s="4">
        <v>2000000</v>
      </c>
      <c r="V1458" s="4">
        <v>78</v>
      </c>
      <c r="W1458" s="4">
        <v>1</v>
      </c>
      <c r="X1458" s="4">
        <v>12</v>
      </c>
      <c r="Y1458" s="4">
        <v>0</v>
      </c>
      <c r="Z1458" s="5">
        <v>91</v>
      </c>
      <c r="AA1458" s="5">
        <v>0</v>
      </c>
      <c r="AB1458" s="6">
        <v>0</v>
      </c>
      <c r="AC1458" s="4">
        <v>91</v>
      </c>
      <c r="AD1458" s="4">
        <v>0</v>
      </c>
      <c r="AE1458" s="4">
        <v>91</v>
      </c>
      <c r="AF1458" s="1"/>
      <c r="AG1458" s="1"/>
      <c r="AH1458" s="1"/>
      <c r="AI1458" s="1" t="s">
        <v>3432</v>
      </c>
      <c r="AJ1458" s="6">
        <v>33.15</v>
      </c>
      <c r="AK1458" s="6">
        <v>33.15</v>
      </c>
      <c r="AL1458" s="1"/>
    </row>
    <row r="1459" spans="1:38" hidden="1" x14ac:dyDescent="0.25">
      <c r="A1459" s="2">
        <v>1945</v>
      </c>
      <c r="B1459" s="1" t="s">
        <v>1702</v>
      </c>
      <c r="C1459" s="1" t="s">
        <v>1706</v>
      </c>
      <c r="D1459" s="1" t="s">
        <v>2062</v>
      </c>
      <c r="E1459" s="1" t="s">
        <v>2063</v>
      </c>
      <c r="F1459" s="3">
        <v>45655</v>
      </c>
      <c r="G1459" s="3">
        <v>45386</v>
      </c>
      <c r="H1459" s="3">
        <v>45750</v>
      </c>
      <c r="I1459" s="1" t="s">
        <v>2415</v>
      </c>
      <c r="J1459" s="1" t="s">
        <v>2416</v>
      </c>
      <c r="K1459" s="1"/>
      <c r="L1459" s="1" t="s">
        <v>2213</v>
      </c>
      <c r="M1459" s="1" t="s">
        <v>2417</v>
      </c>
      <c r="N1459" s="1" t="s">
        <v>2418</v>
      </c>
      <c r="O1459" s="1" t="s">
        <v>2419</v>
      </c>
      <c r="P1459" s="1" t="s">
        <v>2103</v>
      </c>
      <c r="Q1459" s="1"/>
      <c r="R1459" s="1"/>
      <c r="S1459" s="1" t="s">
        <v>2072</v>
      </c>
      <c r="T1459" s="1" t="s">
        <v>2073</v>
      </c>
      <c r="U1459" s="4">
        <v>-1</v>
      </c>
      <c r="V1459" s="4">
        <v>-1715</v>
      </c>
      <c r="W1459" s="4">
        <v>-17</v>
      </c>
      <c r="X1459" s="4">
        <v>0</v>
      </c>
      <c r="Y1459" s="4">
        <v>0</v>
      </c>
      <c r="Z1459" s="5">
        <v>-1732</v>
      </c>
      <c r="AA1459" s="5">
        <v>0</v>
      </c>
      <c r="AB1459" s="6">
        <v>0</v>
      </c>
      <c r="AC1459" s="4">
        <v>-1732</v>
      </c>
      <c r="AD1459" s="4">
        <v>0</v>
      </c>
      <c r="AE1459" s="4">
        <v>-1732</v>
      </c>
      <c r="AF1459" s="1"/>
      <c r="AG1459" s="1"/>
      <c r="AH1459" s="1"/>
      <c r="AI1459" s="1" t="s">
        <v>3432</v>
      </c>
      <c r="AJ1459" s="1"/>
      <c r="AK1459" s="1"/>
      <c r="AL1459" s="1"/>
    </row>
    <row r="1460" spans="1:38" x14ac:dyDescent="0.25">
      <c r="A1460" s="2">
        <v>1946</v>
      </c>
      <c r="B1460" s="1" t="s">
        <v>1707</v>
      </c>
      <c r="C1460" s="1"/>
      <c r="D1460" s="1" t="s">
        <v>2062</v>
      </c>
      <c r="E1460" s="1" t="s">
        <v>2063</v>
      </c>
      <c r="F1460" s="3">
        <v>45390</v>
      </c>
      <c r="G1460" s="3">
        <v>45390</v>
      </c>
      <c r="H1460" s="3">
        <v>45754</v>
      </c>
      <c r="I1460" s="1" t="s">
        <v>2448</v>
      </c>
      <c r="J1460" s="1" t="s">
        <v>2449</v>
      </c>
      <c r="K1460" s="1"/>
      <c r="L1460" s="1" t="s">
        <v>2450</v>
      </c>
      <c r="M1460" s="1" t="s">
        <v>2451</v>
      </c>
      <c r="N1460" s="1" t="s">
        <v>2452</v>
      </c>
      <c r="O1460" s="1" t="s">
        <v>2453</v>
      </c>
      <c r="P1460" s="1" t="s">
        <v>2095</v>
      </c>
      <c r="Q1460" s="1"/>
      <c r="R1460" s="1"/>
      <c r="S1460" s="1" t="s">
        <v>2072</v>
      </c>
      <c r="T1460" s="1" t="s">
        <v>2073</v>
      </c>
      <c r="U1460" s="4">
        <v>-1</v>
      </c>
      <c r="V1460" s="4">
        <v>0</v>
      </c>
      <c r="W1460" s="4">
        <v>0</v>
      </c>
      <c r="X1460" s="4">
        <v>0</v>
      </c>
      <c r="Y1460" s="4">
        <v>50</v>
      </c>
      <c r="Z1460" s="5">
        <v>50</v>
      </c>
      <c r="AA1460" s="5">
        <v>0</v>
      </c>
      <c r="AB1460" s="6">
        <v>0</v>
      </c>
      <c r="AC1460" s="4">
        <v>50</v>
      </c>
      <c r="AD1460" s="4">
        <v>0</v>
      </c>
      <c r="AE1460" s="4">
        <v>50</v>
      </c>
      <c r="AF1460" s="1"/>
      <c r="AG1460" s="1"/>
      <c r="AH1460" s="1"/>
      <c r="AI1460" s="1" t="s">
        <v>3432</v>
      </c>
      <c r="AJ1460" s="1"/>
      <c r="AK1460" s="1"/>
      <c r="AL1460" s="1" t="s">
        <v>3744</v>
      </c>
    </row>
    <row r="1461" spans="1:38" hidden="1" x14ac:dyDescent="0.25">
      <c r="A1461" s="2">
        <v>1947</v>
      </c>
      <c r="B1461" s="1" t="s">
        <v>1707</v>
      </c>
      <c r="C1461" s="1" t="s">
        <v>1708</v>
      </c>
      <c r="D1461" s="1" t="s">
        <v>2062</v>
      </c>
      <c r="E1461" s="1" t="s">
        <v>2063</v>
      </c>
      <c r="F1461" s="3">
        <v>45425</v>
      </c>
      <c r="G1461" s="3">
        <v>45390</v>
      </c>
      <c r="H1461" s="3">
        <v>45754</v>
      </c>
      <c r="I1461" s="1" t="s">
        <v>2448</v>
      </c>
      <c r="J1461" s="1" t="s">
        <v>2449</v>
      </c>
      <c r="K1461" s="1"/>
      <c r="L1461" s="1" t="s">
        <v>2450</v>
      </c>
      <c r="M1461" s="1" t="s">
        <v>2451</v>
      </c>
      <c r="N1461" s="1" t="s">
        <v>2452</v>
      </c>
      <c r="O1461" s="1" t="s">
        <v>2453</v>
      </c>
      <c r="P1461" s="1" t="s">
        <v>2095</v>
      </c>
      <c r="Q1461" s="1"/>
      <c r="R1461" s="1"/>
      <c r="S1461" s="1" t="s">
        <v>2072</v>
      </c>
      <c r="T1461" s="1" t="s">
        <v>2073</v>
      </c>
      <c r="U1461" s="4">
        <v>3500000</v>
      </c>
      <c r="V1461" s="4">
        <v>837</v>
      </c>
      <c r="W1461" s="4">
        <v>8</v>
      </c>
      <c r="X1461" s="4">
        <v>109</v>
      </c>
      <c r="Y1461" s="4">
        <v>0</v>
      </c>
      <c r="Z1461" s="5">
        <v>954</v>
      </c>
      <c r="AA1461" s="5">
        <v>0</v>
      </c>
      <c r="AB1461" s="6">
        <v>0</v>
      </c>
      <c r="AC1461" s="4">
        <v>954</v>
      </c>
      <c r="AD1461" s="4">
        <v>0</v>
      </c>
      <c r="AE1461" s="4">
        <v>954</v>
      </c>
      <c r="AF1461" s="1"/>
      <c r="AG1461" s="1"/>
      <c r="AH1461" s="1"/>
      <c r="AI1461" s="1" t="s">
        <v>3432</v>
      </c>
      <c r="AJ1461" s="6">
        <v>231.19</v>
      </c>
      <c r="AK1461" s="6">
        <v>198.63</v>
      </c>
      <c r="AL1461" s="1"/>
    </row>
    <row r="1462" spans="1:38" hidden="1" x14ac:dyDescent="0.25">
      <c r="A1462" s="2">
        <v>1948</v>
      </c>
      <c r="B1462" s="1" t="s">
        <v>1707</v>
      </c>
      <c r="C1462" s="1" t="s">
        <v>1709</v>
      </c>
      <c r="D1462" s="1" t="s">
        <v>2062</v>
      </c>
      <c r="E1462" s="1" t="s">
        <v>2063</v>
      </c>
      <c r="F1462" s="3">
        <v>45512</v>
      </c>
      <c r="G1462" s="3">
        <v>45390</v>
      </c>
      <c r="H1462" s="3">
        <v>45754</v>
      </c>
      <c r="I1462" s="1" t="s">
        <v>2448</v>
      </c>
      <c r="J1462" s="1" t="s">
        <v>2449</v>
      </c>
      <c r="K1462" s="1"/>
      <c r="L1462" s="1" t="s">
        <v>2450</v>
      </c>
      <c r="M1462" s="1" t="s">
        <v>2451</v>
      </c>
      <c r="N1462" s="1" t="s">
        <v>2452</v>
      </c>
      <c r="O1462" s="1" t="s">
        <v>2453</v>
      </c>
      <c r="P1462" s="1" t="s">
        <v>2095</v>
      </c>
      <c r="Q1462" s="1"/>
      <c r="R1462" s="1"/>
      <c r="S1462" s="1" t="s">
        <v>2072</v>
      </c>
      <c r="T1462" s="1" t="s">
        <v>2073</v>
      </c>
      <c r="U1462" s="4">
        <v>3500000</v>
      </c>
      <c r="V1462" s="4">
        <v>3571</v>
      </c>
      <c r="W1462" s="4">
        <v>36</v>
      </c>
      <c r="X1462" s="4">
        <v>536</v>
      </c>
      <c r="Y1462" s="4">
        <v>0</v>
      </c>
      <c r="Z1462" s="5">
        <v>4143</v>
      </c>
      <c r="AA1462" s="5">
        <v>0</v>
      </c>
      <c r="AB1462" s="6">
        <v>0</v>
      </c>
      <c r="AC1462" s="4">
        <v>4143</v>
      </c>
      <c r="AD1462" s="4">
        <v>0</v>
      </c>
      <c r="AE1462" s="4">
        <v>4143</v>
      </c>
      <c r="AF1462" s="1"/>
      <c r="AG1462" s="1"/>
      <c r="AH1462" s="1"/>
      <c r="AI1462" s="1" t="s">
        <v>3432</v>
      </c>
      <c r="AJ1462" s="6">
        <v>3947.3800000001029</v>
      </c>
      <c r="AK1462" s="6">
        <v>863.01</v>
      </c>
      <c r="AL1462" s="1"/>
    </row>
    <row r="1463" spans="1:38" hidden="1" x14ac:dyDescent="0.25">
      <c r="A1463" s="2">
        <v>1949</v>
      </c>
      <c r="B1463" s="1" t="s">
        <v>1707</v>
      </c>
      <c r="C1463" s="1" t="s">
        <v>1710</v>
      </c>
      <c r="D1463" s="1" t="s">
        <v>2062</v>
      </c>
      <c r="E1463" s="1" t="s">
        <v>2063</v>
      </c>
      <c r="F1463" s="3">
        <v>45546</v>
      </c>
      <c r="G1463" s="3">
        <v>45390</v>
      </c>
      <c r="H1463" s="3">
        <v>45754</v>
      </c>
      <c r="I1463" s="1" t="s">
        <v>2448</v>
      </c>
      <c r="J1463" s="1" t="s">
        <v>2449</v>
      </c>
      <c r="K1463" s="1"/>
      <c r="L1463" s="1" t="s">
        <v>2450</v>
      </c>
      <c r="M1463" s="1" t="s">
        <v>2451</v>
      </c>
      <c r="N1463" s="1" t="s">
        <v>2452</v>
      </c>
      <c r="O1463" s="1" t="s">
        <v>2453</v>
      </c>
      <c r="P1463" s="1" t="s">
        <v>2095</v>
      </c>
      <c r="Q1463" s="1"/>
      <c r="R1463" s="1"/>
      <c r="S1463" s="1" t="s">
        <v>2072</v>
      </c>
      <c r="T1463" s="1" t="s">
        <v>2073</v>
      </c>
      <c r="U1463" s="4">
        <v>3500000</v>
      </c>
      <c r="V1463" s="4">
        <v>4226</v>
      </c>
      <c r="W1463" s="4">
        <v>42</v>
      </c>
      <c r="X1463" s="4">
        <v>634</v>
      </c>
      <c r="Y1463" s="4">
        <v>0</v>
      </c>
      <c r="Z1463" s="5">
        <v>4902</v>
      </c>
      <c r="AA1463" s="5">
        <v>0</v>
      </c>
      <c r="AB1463" s="6">
        <v>0</v>
      </c>
      <c r="AC1463" s="4">
        <v>4902</v>
      </c>
      <c r="AD1463" s="4">
        <v>0</v>
      </c>
      <c r="AE1463" s="4">
        <v>4902</v>
      </c>
      <c r="AF1463" s="1"/>
      <c r="AG1463" s="1"/>
      <c r="AH1463" s="1"/>
      <c r="AI1463" s="1" t="s">
        <v>3432</v>
      </c>
      <c r="AJ1463" s="6">
        <v>4375.2600000000903</v>
      </c>
      <c r="AK1463" s="6">
        <v>1021.39</v>
      </c>
      <c r="AL1463" s="1"/>
    </row>
    <row r="1464" spans="1:38" hidden="1" x14ac:dyDescent="0.25">
      <c r="A1464" s="2">
        <v>1950</v>
      </c>
      <c r="B1464" s="1" t="s">
        <v>1707</v>
      </c>
      <c r="C1464" s="1" t="s">
        <v>1711</v>
      </c>
      <c r="D1464" s="1" t="s">
        <v>2062</v>
      </c>
      <c r="E1464" s="1" t="s">
        <v>2063</v>
      </c>
      <c r="F1464" s="3">
        <v>45579</v>
      </c>
      <c r="G1464" s="3">
        <v>45390</v>
      </c>
      <c r="H1464" s="3">
        <v>45754</v>
      </c>
      <c r="I1464" s="1" t="s">
        <v>2448</v>
      </c>
      <c r="J1464" s="1" t="s">
        <v>2449</v>
      </c>
      <c r="K1464" s="1"/>
      <c r="L1464" s="1" t="s">
        <v>2450</v>
      </c>
      <c r="M1464" s="1" t="s">
        <v>2451</v>
      </c>
      <c r="N1464" s="1" t="s">
        <v>2452</v>
      </c>
      <c r="O1464" s="1" t="s">
        <v>2453</v>
      </c>
      <c r="P1464" s="1" t="s">
        <v>2095</v>
      </c>
      <c r="Q1464" s="1"/>
      <c r="R1464" s="1"/>
      <c r="S1464" s="1" t="s">
        <v>2072</v>
      </c>
      <c r="T1464" s="1" t="s">
        <v>2073</v>
      </c>
      <c r="U1464" s="4">
        <v>3500000</v>
      </c>
      <c r="V1464" s="4">
        <v>4849</v>
      </c>
      <c r="W1464" s="4">
        <v>48</v>
      </c>
      <c r="X1464" s="4">
        <v>727</v>
      </c>
      <c r="Y1464" s="4">
        <v>0</v>
      </c>
      <c r="Z1464" s="5">
        <v>5624</v>
      </c>
      <c r="AA1464" s="5">
        <v>0</v>
      </c>
      <c r="AB1464" s="6">
        <v>0</v>
      </c>
      <c r="AC1464" s="4">
        <v>5624</v>
      </c>
      <c r="AD1464" s="4">
        <v>0</v>
      </c>
      <c r="AE1464" s="4">
        <v>5624</v>
      </c>
      <c r="AF1464" s="1"/>
      <c r="AG1464" s="1"/>
      <c r="AH1464" s="1"/>
      <c r="AI1464" s="1" t="s">
        <v>3432</v>
      </c>
      <c r="AJ1464" s="6">
        <v>5376.800000000133</v>
      </c>
      <c r="AK1464" s="6">
        <v>1171.9599999999991</v>
      </c>
      <c r="AL1464" s="1"/>
    </row>
    <row r="1465" spans="1:38" hidden="1" x14ac:dyDescent="0.25">
      <c r="A1465" s="2">
        <v>1951</v>
      </c>
      <c r="B1465" s="1" t="s">
        <v>1707</v>
      </c>
      <c r="C1465" s="1" t="s">
        <v>1712</v>
      </c>
      <c r="D1465" s="1" t="s">
        <v>2062</v>
      </c>
      <c r="E1465" s="1" t="s">
        <v>2063</v>
      </c>
      <c r="F1465" s="3">
        <v>45655</v>
      </c>
      <c r="G1465" s="3">
        <v>45390</v>
      </c>
      <c r="H1465" s="3">
        <v>45754</v>
      </c>
      <c r="I1465" s="1" t="s">
        <v>2448</v>
      </c>
      <c r="J1465" s="1" t="s">
        <v>2449</v>
      </c>
      <c r="K1465" s="1"/>
      <c r="L1465" s="1" t="s">
        <v>2450</v>
      </c>
      <c r="M1465" s="1" t="s">
        <v>2451</v>
      </c>
      <c r="N1465" s="1" t="s">
        <v>2452</v>
      </c>
      <c r="O1465" s="1" t="s">
        <v>2453</v>
      </c>
      <c r="P1465" s="1" t="s">
        <v>2095</v>
      </c>
      <c r="Q1465" s="1"/>
      <c r="R1465" s="1"/>
      <c r="S1465" s="1" t="s">
        <v>2072</v>
      </c>
      <c r="T1465" s="1" t="s">
        <v>2073</v>
      </c>
      <c r="U1465" s="4">
        <v>-1</v>
      </c>
      <c r="V1465" s="4">
        <v>-15518</v>
      </c>
      <c r="W1465" s="4">
        <v>-155</v>
      </c>
      <c r="X1465" s="4">
        <v>0</v>
      </c>
      <c r="Y1465" s="4">
        <v>0</v>
      </c>
      <c r="Z1465" s="5">
        <v>-15673</v>
      </c>
      <c r="AA1465" s="5">
        <v>0</v>
      </c>
      <c r="AB1465" s="6">
        <v>0</v>
      </c>
      <c r="AC1465" s="4">
        <v>-15673</v>
      </c>
      <c r="AD1465" s="4">
        <v>0</v>
      </c>
      <c r="AE1465" s="4">
        <v>-15673</v>
      </c>
      <c r="AF1465" s="1"/>
      <c r="AG1465" s="1"/>
      <c r="AH1465" s="1"/>
      <c r="AI1465" s="1" t="s">
        <v>3432</v>
      </c>
      <c r="AJ1465" s="1"/>
      <c r="AK1465" s="1"/>
      <c r="AL1465" s="1"/>
    </row>
    <row r="1466" spans="1:38" hidden="1" x14ac:dyDescent="0.25">
      <c r="A1466" s="2">
        <v>1952</v>
      </c>
      <c r="B1466" s="1" t="s">
        <v>1713</v>
      </c>
      <c r="C1466" s="1" t="s">
        <v>1714</v>
      </c>
      <c r="D1466" s="1" t="s">
        <v>2062</v>
      </c>
      <c r="E1466" s="1" t="s">
        <v>2063</v>
      </c>
      <c r="F1466" s="3">
        <v>45720</v>
      </c>
      <c r="G1466" s="3">
        <v>45386</v>
      </c>
      <c r="H1466" s="3">
        <v>45750</v>
      </c>
      <c r="I1466" s="1" t="s">
        <v>3745</v>
      </c>
      <c r="J1466" s="1" t="s">
        <v>3746</v>
      </c>
      <c r="K1466" s="1"/>
      <c r="L1466" s="1" t="s">
        <v>2283</v>
      </c>
      <c r="M1466" s="1" t="s">
        <v>3747</v>
      </c>
      <c r="N1466" s="1" t="s">
        <v>3748</v>
      </c>
      <c r="O1466" s="1" t="s">
        <v>3749</v>
      </c>
      <c r="P1466" s="1" t="s">
        <v>2165</v>
      </c>
      <c r="Q1466" s="1"/>
      <c r="R1466" s="1"/>
      <c r="S1466" s="1" t="s">
        <v>2072</v>
      </c>
      <c r="T1466" s="1" t="s">
        <v>3165</v>
      </c>
      <c r="U1466" s="4">
        <v>5000000</v>
      </c>
      <c r="V1466" s="4">
        <v>627</v>
      </c>
      <c r="W1466" s="4">
        <v>6</v>
      </c>
      <c r="X1466" s="4">
        <v>94</v>
      </c>
      <c r="Y1466" s="4">
        <v>0</v>
      </c>
      <c r="Z1466" s="5">
        <v>727</v>
      </c>
      <c r="AA1466" s="5">
        <v>0</v>
      </c>
      <c r="AB1466" s="6">
        <v>0</v>
      </c>
      <c r="AC1466" s="4">
        <v>727</v>
      </c>
      <c r="AD1466" s="4">
        <v>0</v>
      </c>
      <c r="AE1466" s="4">
        <v>727</v>
      </c>
      <c r="AF1466" s="1"/>
      <c r="AG1466" s="1"/>
      <c r="AH1466" s="1"/>
      <c r="AI1466" s="1" t="s">
        <v>2327</v>
      </c>
      <c r="AJ1466" s="6">
        <v>361.51</v>
      </c>
      <c r="AK1466" s="6">
        <v>106.08</v>
      </c>
      <c r="AL1466" s="1"/>
    </row>
    <row r="1467" spans="1:38" hidden="1" x14ac:dyDescent="0.25">
      <c r="A1467" s="2">
        <v>1953</v>
      </c>
      <c r="B1467" s="1" t="s">
        <v>1713</v>
      </c>
      <c r="C1467" s="1" t="s">
        <v>1715</v>
      </c>
      <c r="D1467" s="1" t="s">
        <v>2062</v>
      </c>
      <c r="E1467" s="1" t="s">
        <v>2063</v>
      </c>
      <c r="F1467" s="3">
        <v>45745</v>
      </c>
      <c r="G1467" s="3">
        <v>45386</v>
      </c>
      <c r="H1467" s="3">
        <v>45750</v>
      </c>
      <c r="I1467" s="1" t="s">
        <v>3745</v>
      </c>
      <c r="J1467" s="1" t="s">
        <v>3746</v>
      </c>
      <c r="K1467" s="1"/>
      <c r="L1467" s="1" t="s">
        <v>2283</v>
      </c>
      <c r="M1467" s="1" t="s">
        <v>3747</v>
      </c>
      <c r="N1467" s="1" t="s">
        <v>3748</v>
      </c>
      <c r="O1467" s="1" t="s">
        <v>3749</v>
      </c>
      <c r="P1467" s="1" t="s">
        <v>2165</v>
      </c>
      <c r="Q1467" s="1"/>
      <c r="R1467" s="1"/>
      <c r="S1467" s="1" t="s">
        <v>2072</v>
      </c>
      <c r="T1467" s="1" t="s">
        <v>3165</v>
      </c>
      <c r="U1467" s="4">
        <v>-1</v>
      </c>
      <c r="V1467" s="4">
        <v>-721</v>
      </c>
      <c r="W1467" s="4">
        <v>-6</v>
      </c>
      <c r="X1467" s="4">
        <v>0</v>
      </c>
      <c r="Y1467" s="4">
        <v>0</v>
      </c>
      <c r="Z1467" s="5">
        <v>-727</v>
      </c>
      <c r="AA1467" s="5">
        <v>0</v>
      </c>
      <c r="AB1467" s="6">
        <v>0</v>
      </c>
      <c r="AC1467" s="4">
        <v>-727</v>
      </c>
      <c r="AD1467" s="4">
        <v>0</v>
      </c>
      <c r="AE1467" s="4">
        <v>-727</v>
      </c>
      <c r="AF1467" s="1"/>
      <c r="AG1467" s="1"/>
      <c r="AH1467" s="1"/>
      <c r="AI1467" s="1" t="s">
        <v>2327</v>
      </c>
      <c r="AJ1467" s="1"/>
      <c r="AK1467" s="1"/>
      <c r="AL1467" s="1"/>
    </row>
    <row r="1468" spans="1:38" x14ac:dyDescent="0.25">
      <c r="A1468" s="2">
        <v>1955</v>
      </c>
      <c r="B1468" s="1" t="s">
        <v>1716</v>
      </c>
      <c r="C1468" s="1"/>
      <c r="D1468" s="1" t="s">
        <v>2062</v>
      </c>
      <c r="E1468" s="1" t="s">
        <v>2063</v>
      </c>
      <c r="F1468" s="3">
        <v>45397</v>
      </c>
      <c r="G1468" s="3">
        <v>45394</v>
      </c>
      <c r="H1468" s="3">
        <v>45758</v>
      </c>
      <c r="I1468" s="1" t="s">
        <v>2454</v>
      </c>
      <c r="J1468" s="1" t="s">
        <v>2455</v>
      </c>
      <c r="K1468" s="1"/>
      <c r="L1468" s="1" t="s">
        <v>2456</v>
      </c>
      <c r="M1468" s="1" t="s">
        <v>2457</v>
      </c>
      <c r="N1468" s="1" t="s">
        <v>2458</v>
      </c>
      <c r="O1468" s="1" t="s">
        <v>2459</v>
      </c>
      <c r="P1468" s="1" t="s">
        <v>2247</v>
      </c>
      <c r="Q1468" s="1"/>
      <c r="R1468" s="1"/>
      <c r="S1468" s="1" t="s">
        <v>2072</v>
      </c>
      <c r="T1468" s="1" t="s">
        <v>2073</v>
      </c>
      <c r="U1468" s="4">
        <v>-1</v>
      </c>
      <c r="V1468" s="4">
        <v>0</v>
      </c>
      <c r="W1468" s="4">
        <v>0</v>
      </c>
      <c r="X1468" s="4">
        <v>0</v>
      </c>
      <c r="Y1468" s="4">
        <v>50</v>
      </c>
      <c r="Z1468" s="5">
        <v>50</v>
      </c>
      <c r="AA1468" s="5">
        <v>0</v>
      </c>
      <c r="AB1468" s="6">
        <v>0</v>
      </c>
      <c r="AC1468" s="4">
        <v>50</v>
      </c>
      <c r="AD1468" s="4">
        <v>0</v>
      </c>
      <c r="AE1468" s="4">
        <v>50</v>
      </c>
      <c r="AF1468" s="1"/>
      <c r="AG1468" s="1"/>
      <c r="AH1468" s="1"/>
      <c r="AI1468" s="1" t="s">
        <v>3432</v>
      </c>
      <c r="AJ1468" s="1"/>
      <c r="AK1468" s="1"/>
      <c r="AL1468" s="1" t="s">
        <v>3750</v>
      </c>
    </row>
    <row r="1469" spans="1:38" hidden="1" x14ac:dyDescent="0.25">
      <c r="A1469" s="2">
        <v>1956</v>
      </c>
      <c r="B1469" s="1" t="s">
        <v>1716</v>
      </c>
      <c r="C1469" s="1" t="s">
        <v>1717</v>
      </c>
      <c r="D1469" s="1" t="s">
        <v>2062</v>
      </c>
      <c r="E1469" s="1" t="s">
        <v>2063</v>
      </c>
      <c r="F1469" s="3">
        <v>45425</v>
      </c>
      <c r="G1469" s="3">
        <v>45394</v>
      </c>
      <c r="H1469" s="3">
        <v>45758</v>
      </c>
      <c r="I1469" s="1" t="s">
        <v>2454</v>
      </c>
      <c r="J1469" s="1" t="s">
        <v>2455</v>
      </c>
      <c r="K1469" s="1"/>
      <c r="L1469" s="1" t="s">
        <v>2456</v>
      </c>
      <c r="M1469" s="1" t="s">
        <v>2457</v>
      </c>
      <c r="N1469" s="1" t="s">
        <v>2458</v>
      </c>
      <c r="O1469" s="1" t="s">
        <v>2459</v>
      </c>
      <c r="P1469" s="1" t="s">
        <v>2247</v>
      </c>
      <c r="Q1469" s="1"/>
      <c r="R1469" s="1"/>
      <c r="S1469" s="1" t="s">
        <v>2072</v>
      </c>
      <c r="T1469" s="1" t="s">
        <v>2073</v>
      </c>
      <c r="U1469" s="4">
        <v>8500000</v>
      </c>
      <c r="V1469" s="4">
        <v>3560</v>
      </c>
      <c r="W1469" s="4">
        <v>36</v>
      </c>
      <c r="X1469" s="4">
        <v>463</v>
      </c>
      <c r="Y1469" s="4">
        <v>0</v>
      </c>
      <c r="Z1469" s="5">
        <v>4059</v>
      </c>
      <c r="AA1469" s="5">
        <v>0</v>
      </c>
      <c r="AB1469" s="6">
        <v>0</v>
      </c>
      <c r="AC1469" s="4">
        <v>4059</v>
      </c>
      <c r="AD1469" s="4">
        <v>0</v>
      </c>
      <c r="AE1469" s="4">
        <v>4059</v>
      </c>
      <c r="AF1469" s="1"/>
      <c r="AG1469" s="1"/>
      <c r="AH1469" s="1"/>
      <c r="AI1469" s="1" t="s">
        <v>3432</v>
      </c>
      <c r="AJ1469" s="6">
        <v>348.59</v>
      </c>
      <c r="AK1469" s="6">
        <v>348.59</v>
      </c>
      <c r="AL1469" s="1"/>
    </row>
    <row r="1470" spans="1:38" hidden="1" x14ac:dyDescent="0.25">
      <c r="A1470" s="2">
        <v>1957</v>
      </c>
      <c r="B1470" s="1" t="s">
        <v>1716</v>
      </c>
      <c r="C1470" s="1" t="s">
        <v>1718</v>
      </c>
      <c r="D1470" s="1" t="s">
        <v>2062</v>
      </c>
      <c r="E1470" s="1" t="s">
        <v>2063</v>
      </c>
      <c r="F1470" s="3">
        <v>45455</v>
      </c>
      <c r="G1470" s="3">
        <v>45394</v>
      </c>
      <c r="H1470" s="3">
        <v>45758</v>
      </c>
      <c r="I1470" s="1" t="s">
        <v>2454</v>
      </c>
      <c r="J1470" s="1" t="s">
        <v>2455</v>
      </c>
      <c r="K1470" s="1"/>
      <c r="L1470" s="1" t="s">
        <v>2456</v>
      </c>
      <c r="M1470" s="1" t="s">
        <v>2457</v>
      </c>
      <c r="N1470" s="1" t="s">
        <v>2458</v>
      </c>
      <c r="O1470" s="1" t="s">
        <v>2459</v>
      </c>
      <c r="P1470" s="1" t="s">
        <v>2247</v>
      </c>
      <c r="Q1470" s="1"/>
      <c r="R1470" s="1"/>
      <c r="S1470" s="1" t="s">
        <v>2072</v>
      </c>
      <c r="T1470" s="1" t="s">
        <v>2073</v>
      </c>
      <c r="U1470" s="4">
        <v>8500000</v>
      </c>
      <c r="V1470" s="4">
        <v>3029</v>
      </c>
      <c r="W1470" s="4">
        <v>30</v>
      </c>
      <c r="X1470" s="4">
        <v>394</v>
      </c>
      <c r="Y1470" s="4">
        <v>0</v>
      </c>
      <c r="Z1470" s="5">
        <v>3453</v>
      </c>
      <c r="AA1470" s="5">
        <v>0</v>
      </c>
      <c r="AB1470" s="6">
        <v>0</v>
      </c>
      <c r="AC1470" s="4">
        <v>3453</v>
      </c>
      <c r="AD1470" s="4">
        <v>0</v>
      </c>
      <c r="AE1470" s="4">
        <v>3453</v>
      </c>
      <c r="AF1470" s="1"/>
      <c r="AG1470" s="1"/>
      <c r="AH1470" s="1"/>
      <c r="AI1470" s="1" t="s">
        <v>3432</v>
      </c>
      <c r="AJ1470" s="6">
        <v>296.32000000000005</v>
      </c>
      <c r="AK1470" s="6">
        <v>296.32000000000005</v>
      </c>
      <c r="AL1470" s="1"/>
    </row>
    <row r="1471" spans="1:38" hidden="1" x14ac:dyDescent="0.25">
      <c r="A1471" s="2">
        <v>1958</v>
      </c>
      <c r="B1471" s="1" t="s">
        <v>1716</v>
      </c>
      <c r="C1471" s="1" t="s">
        <v>1719</v>
      </c>
      <c r="D1471" s="1" t="s">
        <v>2062</v>
      </c>
      <c r="E1471" s="1" t="s">
        <v>2063</v>
      </c>
      <c r="F1471" s="3">
        <v>45486</v>
      </c>
      <c r="G1471" s="3">
        <v>45394</v>
      </c>
      <c r="H1471" s="3">
        <v>45758</v>
      </c>
      <c r="I1471" s="1" t="s">
        <v>2454</v>
      </c>
      <c r="J1471" s="1" t="s">
        <v>2455</v>
      </c>
      <c r="K1471" s="1"/>
      <c r="L1471" s="1" t="s">
        <v>2456</v>
      </c>
      <c r="M1471" s="1" t="s">
        <v>2457</v>
      </c>
      <c r="N1471" s="1" t="s">
        <v>2458</v>
      </c>
      <c r="O1471" s="1" t="s">
        <v>2459</v>
      </c>
      <c r="P1471" s="1" t="s">
        <v>2247</v>
      </c>
      <c r="Q1471" s="1"/>
      <c r="R1471" s="1"/>
      <c r="S1471" s="1" t="s">
        <v>2072</v>
      </c>
      <c r="T1471" s="1" t="s">
        <v>2073</v>
      </c>
      <c r="U1471" s="4">
        <v>8500000</v>
      </c>
      <c r="V1471" s="4">
        <v>2597</v>
      </c>
      <c r="W1471" s="4">
        <v>26</v>
      </c>
      <c r="X1471" s="4">
        <v>390</v>
      </c>
      <c r="Y1471" s="4">
        <v>0</v>
      </c>
      <c r="Z1471" s="5">
        <v>3013</v>
      </c>
      <c r="AA1471" s="5">
        <v>0</v>
      </c>
      <c r="AB1471" s="6">
        <v>0</v>
      </c>
      <c r="AC1471" s="4">
        <v>3013</v>
      </c>
      <c r="AD1471" s="4">
        <v>0</v>
      </c>
      <c r="AE1471" s="4">
        <v>3013</v>
      </c>
      <c r="AF1471" s="1"/>
      <c r="AG1471" s="1"/>
      <c r="AH1471" s="1"/>
      <c r="AI1471" s="1" t="s">
        <v>3432</v>
      </c>
      <c r="AJ1471" s="6">
        <v>258.74000000000007</v>
      </c>
      <c r="AK1471" s="6">
        <v>258.74000000000007</v>
      </c>
      <c r="AL1471" s="1"/>
    </row>
    <row r="1472" spans="1:38" hidden="1" x14ac:dyDescent="0.25">
      <c r="A1472" s="2">
        <v>1959</v>
      </c>
      <c r="B1472" s="1" t="s">
        <v>1716</v>
      </c>
      <c r="C1472" s="1" t="s">
        <v>1720</v>
      </c>
      <c r="D1472" s="1" t="s">
        <v>2062</v>
      </c>
      <c r="E1472" s="1" t="s">
        <v>2063</v>
      </c>
      <c r="F1472" s="3">
        <v>45517</v>
      </c>
      <c r="G1472" s="3">
        <v>45394</v>
      </c>
      <c r="H1472" s="3">
        <v>45758</v>
      </c>
      <c r="I1472" s="1" t="s">
        <v>2454</v>
      </c>
      <c r="J1472" s="1" t="s">
        <v>2455</v>
      </c>
      <c r="K1472" s="1"/>
      <c r="L1472" s="1" t="s">
        <v>2456</v>
      </c>
      <c r="M1472" s="1" t="s">
        <v>2457</v>
      </c>
      <c r="N1472" s="1" t="s">
        <v>2458</v>
      </c>
      <c r="O1472" s="1" t="s">
        <v>2459</v>
      </c>
      <c r="P1472" s="1" t="s">
        <v>2247</v>
      </c>
      <c r="Q1472" s="1"/>
      <c r="R1472" s="1"/>
      <c r="S1472" s="1" t="s">
        <v>2072</v>
      </c>
      <c r="T1472" s="1" t="s">
        <v>2073</v>
      </c>
      <c r="U1472" s="4">
        <v>8500000</v>
      </c>
      <c r="V1472" s="4">
        <v>2605</v>
      </c>
      <c r="W1472" s="4">
        <v>26</v>
      </c>
      <c r="X1472" s="4">
        <v>391</v>
      </c>
      <c r="Y1472" s="4">
        <v>0</v>
      </c>
      <c r="Z1472" s="5">
        <v>3022</v>
      </c>
      <c r="AA1472" s="5">
        <v>0</v>
      </c>
      <c r="AB1472" s="6">
        <v>0</v>
      </c>
      <c r="AC1472" s="4">
        <v>3022</v>
      </c>
      <c r="AD1472" s="4">
        <v>0</v>
      </c>
      <c r="AE1472" s="4">
        <v>3022</v>
      </c>
      <c r="AF1472" s="1"/>
      <c r="AG1472" s="1"/>
      <c r="AH1472" s="1"/>
      <c r="AI1472" s="1" t="s">
        <v>3432</v>
      </c>
      <c r="AJ1472" s="6">
        <v>264.62</v>
      </c>
      <c r="AK1472" s="6">
        <v>259.49000000000007</v>
      </c>
      <c r="AL1472" s="1"/>
    </row>
    <row r="1473" spans="1:38" hidden="1" x14ac:dyDescent="0.25">
      <c r="A1473" s="2">
        <v>1960</v>
      </c>
      <c r="B1473" s="1" t="s">
        <v>1716</v>
      </c>
      <c r="C1473" s="1" t="s">
        <v>1721</v>
      </c>
      <c r="D1473" s="1" t="s">
        <v>2062</v>
      </c>
      <c r="E1473" s="1" t="s">
        <v>2063</v>
      </c>
      <c r="F1473" s="3">
        <v>45549</v>
      </c>
      <c r="G1473" s="3">
        <v>45394</v>
      </c>
      <c r="H1473" s="3">
        <v>45758</v>
      </c>
      <c r="I1473" s="1" t="s">
        <v>2454</v>
      </c>
      <c r="J1473" s="1" t="s">
        <v>2455</v>
      </c>
      <c r="K1473" s="1"/>
      <c r="L1473" s="1" t="s">
        <v>2456</v>
      </c>
      <c r="M1473" s="1" t="s">
        <v>2457</v>
      </c>
      <c r="N1473" s="1" t="s">
        <v>2458</v>
      </c>
      <c r="O1473" s="1" t="s">
        <v>2459</v>
      </c>
      <c r="P1473" s="1" t="s">
        <v>2247</v>
      </c>
      <c r="Q1473" s="1"/>
      <c r="R1473" s="1"/>
      <c r="S1473" s="1" t="s">
        <v>2072</v>
      </c>
      <c r="T1473" s="1" t="s">
        <v>2073</v>
      </c>
      <c r="U1473" s="4">
        <v>8500000</v>
      </c>
      <c r="V1473" s="4">
        <v>2291</v>
      </c>
      <c r="W1473" s="4">
        <v>23</v>
      </c>
      <c r="X1473" s="4">
        <v>344</v>
      </c>
      <c r="Y1473" s="4">
        <v>0</v>
      </c>
      <c r="Z1473" s="5">
        <v>2658</v>
      </c>
      <c r="AA1473" s="5">
        <v>0</v>
      </c>
      <c r="AB1473" s="6">
        <v>0</v>
      </c>
      <c r="AC1473" s="4">
        <v>2658</v>
      </c>
      <c r="AD1473" s="4">
        <v>0</v>
      </c>
      <c r="AE1473" s="4">
        <v>2658</v>
      </c>
      <c r="AF1473" s="1"/>
      <c r="AG1473" s="1"/>
      <c r="AH1473" s="1"/>
      <c r="AI1473" s="1" t="s">
        <v>3432</v>
      </c>
      <c r="AJ1473" s="6">
        <v>228.38000000000002</v>
      </c>
      <c r="AK1473" s="6">
        <v>228.38000000000002</v>
      </c>
      <c r="AL1473" s="1"/>
    </row>
    <row r="1474" spans="1:38" hidden="1" x14ac:dyDescent="0.25">
      <c r="A1474" s="2">
        <v>1961</v>
      </c>
      <c r="B1474" s="1" t="s">
        <v>1716</v>
      </c>
      <c r="C1474" s="1" t="s">
        <v>1722</v>
      </c>
      <c r="D1474" s="1" t="s">
        <v>2062</v>
      </c>
      <c r="E1474" s="1" t="s">
        <v>2063</v>
      </c>
      <c r="F1474" s="3">
        <v>45579</v>
      </c>
      <c r="G1474" s="3">
        <v>45394</v>
      </c>
      <c r="H1474" s="3">
        <v>45758</v>
      </c>
      <c r="I1474" s="1" t="s">
        <v>2454</v>
      </c>
      <c r="J1474" s="1" t="s">
        <v>2455</v>
      </c>
      <c r="K1474" s="1"/>
      <c r="L1474" s="1" t="s">
        <v>2456</v>
      </c>
      <c r="M1474" s="1" t="s">
        <v>2457</v>
      </c>
      <c r="N1474" s="1" t="s">
        <v>2458</v>
      </c>
      <c r="O1474" s="1" t="s">
        <v>2459</v>
      </c>
      <c r="P1474" s="1" t="s">
        <v>2247</v>
      </c>
      <c r="Q1474" s="1"/>
      <c r="R1474" s="1"/>
      <c r="S1474" s="1" t="s">
        <v>2072</v>
      </c>
      <c r="T1474" s="1" t="s">
        <v>2073</v>
      </c>
      <c r="U1474" s="4">
        <v>8500000</v>
      </c>
      <c r="V1474" s="4">
        <v>2962</v>
      </c>
      <c r="W1474" s="4">
        <v>30</v>
      </c>
      <c r="X1474" s="4">
        <v>444</v>
      </c>
      <c r="Y1474" s="4">
        <v>0</v>
      </c>
      <c r="Z1474" s="5">
        <v>3436</v>
      </c>
      <c r="AA1474" s="5">
        <v>0</v>
      </c>
      <c r="AB1474" s="6">
        <v>0</v>
      </c>
      <c r="AC1474" s="4">
        <v>3436</v>
      </c>
      <c r="AD1474" s="4">
        <v>0</v>
      </c>
      <c r="AE1474" s="4">
        <v>3436</v>
      </c>
      <c r="AF1474" s="1"/>
      <c r="AG1474" s="1"/>
      <c r="AH1474" s="1"/>
      <c r="AI1474" s="1" t="s">
        <v>3432</v>
      </c>
      <c r="AJ1474" s="6">
        <v>295.03000000000003</v>
      </c>
      <c r="AK1474" s="6">
        <v>295.03000000000003</v>
      </c>
      <c r="AL1474" s="1"/>
    </row>
    <row r="1475" spans="1:38" hidden="1" x14ac:dyDescent="0.25">
      <c r="A1475" s="2">
        <v>1962</v>
      </c>
      <c r="B1475" s="1" t="s">
        <v>1716</v>
      </c>
      <c r="C1475" s="1" t="s">
        <v>1723</v>
      </c>
      <c r="D1475" s="1" t="s">
        <v>2062</v>
      </c>
      <c r="E1475" s="1" t="s">
        <v>2063</v>
      </c>
      <c r="F1475" s="3">
        <v>45609</v>
      </c>
      <c r="G1475" s="3">
        <v>45394</v>
      </c>
      <c r="H1475" s="3">
        <v>45758</v>
      </c>
      <c r="I1475" s="1" t="s">
        <v>2454</v>
      </c>
      <c r="J1475" s="1" t="s">
        <v>2455</v>
      </c>
      <c r="K1475" s="1"/>
      <c r="L1475" s="1" t="s">
        <v>2456</v>
      </c>
      <c r="M1475" s="1" t="s">
        <v>2457</v>
      </c>
      <c r="N1475" s="1" t="s">
        <v>2458</v>
      </c>
      <c r="O1475" s="1" t="s">
        <v>2459</v>
      </c>
      <c r="P1475" s="1" t="s">
        <v>2247</v>
      </c>
      <c r="Q1475" s="1"/>
      <c r="R1475" s="1"/>
      <c r="S1475" s="1" t="s">
        <v>2072</v>
      </c>
      <c r="T1475" s="1" t="s">
        <v>2073</v>
      </c>
      <c r="U1475" s="4">
        <v>8500000</v>
      </c>
      <c r="V1475" s="4">
        <v>3942</v>
      </c>
      <c r="W1475" s="4">
        <v>39</v>
      </c>
      <c r="X1475" s="4">
        <v>591</v>
      </c>
      <c r="Y1475" s="4">
        <v>0</v>
      </c>
      <c r="Z1475" s="5">
        <v>4572</v>
      </c>
      <c r="AA1475" s="5">
        <v>0</v>
      </c>
      <c r="AB1475" s="6">
        <v>0</v>
      </c>
      <c r="AC1475" s="4">
        <v>4572</v>
      </c>
      <c r="AD1475" s="4">
        <v>0</v>
      </c>
      <c r="AE1475" s="4">
        <v>4572</v>
      </c>
      <c r="AF1475" s="1"/>
      <c r="AG1475" s="1"/>
      <c r="AH1475" s="1"/>
      <c r="AI1475" s="1" t="s">
        <v>3432</v>
      </c>
      <c r="AJ1475" s="6">
        <v>396</v>
      </c>
      <c r="AK1475" s="6">
        <v>392.74000000000007</v>
      </c>
      <c r="AL1475" s="1"/>
    </row>
    <row r="1476" spans="1:38" hidden="1" x14ac:dyDescent="0.25">
      <c r="A1476" s="2">
        <v>1963</v>
      </c>
      <c r="B1476" s="1" t="s">
        <v>1716</v>
      </c>
      <c r="C1476" s="1" t="s">
        <v>1724</v>
      </c>
      <c r="D1476" s="1" t="s">
        <v>2062</v>
      </c>
      <c r="E1476" s="1" t="s">
        <v>2063</v>
      </c>
      <c r="F1476" s="3">
        <v>45639</v>
      </c>
      <c r="G1476" s="3">
        <v>45394</v>
      </c>
      <c r="H1476" s="3">
        <v>45758</v>
      </c>
      <c r="I1476" s="1" t="s">
        <v>2454</v>
      </c>
      <c r="J1476" s="1" t="s">
        <v>2455</v>
      </c>
      <c r="K1476" s="1"/>
      <c r="L1476" s="1" t="s">
        <v>2456</v>
      </c>
      <c r="M1476" s="1" t="s">
        <v>2457</v>
      </c>
      <c r="N1476" s="1" t="s">
        <v>2458</v>
      </c>
      <c r="O1476" s="1" t="s">
        <v>2459</v>
      </c>
      <c r="P1476" s="1" t="s">
        <v>2247</v>
      </c>
      <c r="Q1476" s="1"/>
      <c r="R1476" s="1"/>
      <c r="S1476" s="1" t="s">
        <v>2072</v>
      </c>
      <c r="T1476" s="1" t="s">
        <v>2073</v>
      </c>
      <c r="U1476" s="4">
        <v>8500000</v>
      </c>
      <c r="V1476" s="4">
        <v>4347</v>
      </c>
      <c r="W1476" s="4">
        <v>43</v>
      </c>
      <c r="X1476" s="4">
        <v>652</v>
      </c>
      <c r="Y1476" s="4">
        <v>0</v>
      </c>
      <c r="Z1476" s="5">
        <v>5042</v>
      </c>
      <c r="AA1476" s="5">
        <v>0</v>
      </c>
      <c r="AB1476" s="6">
        <v>0</v>
      </c>
      <c r="AC1476" s="4">
        <v>5042</v>
      </c>
      <c r="AD1476" s="4">
        <v>0</v>
      </c>
      <c r="AE1476" s="4">
        <v>5042</v>
      </c>
      <c r="AF1476" s="1"/>
      <c r="AG1476" s="1"/>
      <c r="AH1476" s="1"/>
      <c r="AI1476" s="1" t="s">
        <v>3432</v>
      </c>
      <c r="AJ1476" s="6">
        <v>432.95000000000005</v>
      </c>
      <c r="AK1476" s="6">
        <v>432.95000000000005</v>
      </c>
      <c r="AL1476" s="1"/>
    </row>
    <row r="1477" spans="1:38" hidden="1" x14ac:dyDescent="0.25">
      <c r="A1477" s="2">
        <v>1964</v>
      </c>
      <c r="B1477" s="1" t="s">
        <v>1716</v>
      </c>
      <c r="C1477" s="1" t="s">
        <v>1725</v>
      </c>
      <c r="D1477" s="1" t="s">
        <v>2062</v>
      </c>
      <c r="E1477" s="1" t="s">
        <v>2063</v>
      </c>
      <c r="F1477" s="3">
        <v>45655</v>
      </c>
      <c r="G1477" s="3">
        <v>45394</v>
      </c>
      <c r="H1477" s="3">
        <v>45758</v>
      </c>
      <c r="I1477" s="1" t="s">
        <v>2454</v>
      </c>
      <c r="J1477" s="1" t="s">
        <v>2455</v>
      </c>
      <c r="K1477" s="1"/>
      <c r="L1477" s="1" t="s">
        <v>2456</v>
      </c>
      <c r="M1477" s="1" t="s">
        <v>2457</v>
      </c>
      <c r="N1477" s="1" t="s">
        <v>2458</v>
      </c>
      <c r="O1477" s="1" t="s">
        <v>2459</v>
      </c>
      <c r="P1477" s="1" t="s">
        <v>2247</v>
      </c>
      <c r="Q1477" s="1"/>
      <c r="R1477" s="1"/>
      <c r="S1477" s="1" t="s">
        <v>2072</v>
      </c>
      <c r="T1477" s="1" t="s">
        <v>2073</v>
      </c>
      <c r="U1477" s="4">
        <v>-1</v>
      </c>
      <c r="V1477" s="4">
        <v>-29015</v>
      </c>
      <c r="W1477" s="4">
        <v>-290</v>
      </c>
      <c r="X1477" s="4">
        <v>0</v>
      </c>
      <c r="Y1477" s="4">
        <v>0</v>
      </c>
      <c r="Z1477" s="5">
        <v>-29305</v>
      </c>
      <c r="AA1477" s="5">
        <v>0</v>
      </c>
      <c r="AB1477" s="6">
        <v>0</v>
      </c>
      <c r="AC1477" s="4">
        <v>-29305</v>
      </c>
      <c r="AD1477" s="4">
        <v>0</v>
      </c>
      <c r="AE1477" s="4">
        <v>-29305</v>
      </c>
      <c r="AF1477" s="1"/>
      <c r="AG1477" s="1"/>
      <c r="AH1477" s="1"/>
      <c r="AI1477" s="1" t="s">
        <v>3432</v>
      </c>
      <c r="AJ1477" s="1"/>
      <c r="AK1477" s="1"/>
      <c r="AL1477" s="1"/>
    </row>
    <row r="1478" spans="1:38" x14ac:dyDescent="0.25">
      <c r="A1478" s="2">
        <v>1968</v>
      </c>
      <c r="B1478" s="1" t="s">
        <v>1726</v>
      </c>
      <c r="C1478" s="1"/>
      <c r="D1478" s="1" t="s">
        <v>2062</v>
      </c>
      <c r="E1478" s="1" t="s">
        <v>2063</v>
      </c>
      <c r="F1478" s="3">
        <v>45397</v>
      </c>
      <c r="G1478" s="3">
        <v>45385</v>
      </c>
      <c r="H1478" s="3">
        <v>45749</v>
      </c>
      <c r="I1478" s="1" t="s">
        <v>3751</v>
      </c>
      <c r="J1478" s="1" t="s">
        <v>3752</v>
      </c>
      <c r="K1478" s="1"/>
      <c r="L1478" s="1" t="s">
        <v>2178</v>
      </c>
      <c r="M1478" s="1" t="s">
        <v>3753</v>
      </c>
      <c r="N1478" s="1" t="s">
        <v>3754</v>
      </c>
      <c r="O1478" s="1" t="s">
        <v>3755</v>
      </c>
      <c r="P1478" s="1" t="s">
        <v>2095</v>
      </c>
      <c r="Q1478" s="1"/>
      <c r="R1478" s="1"/>
      <c r="S1478" s="1" t="s">
        <v>2072</v>
      </c>
      <c r="T1478" s="1" t="s">
        <v>2073</v>
      </c>
      <c r="U1478" s="4">
        <v>-1</v>
      </c>
      <c r="V1478" s="4">
        <v>0</v>
      </c>
      <c r="W1478" s="4">
        <v>0</v>
      </c>
      <c r="X1478" s="4">
        <v>0</v>
      </c>
      <c r="Y1478" s="4">
        <v>50</v>
      </c>
      <c r="Z1478" s="5">
        <v>50</v>
      </c>
      <c r="AA1478" s="5">
        <v>0</v>
      </c>
      <c r="AB1478" s="6">
        <v>0</v>
      </c>
      <c r="AC1478" s="4">
        <v>50</v>
      </c>
      <c r="AD1478" s="4">
        <v>0</v>
      </c>
      <c r="AE1478" s="4">
        <v>50</v>
      </c>
      <c r="AF1478" s="1"/>
      <c r="AG1478" s="1"/>
      <c r="AH1478" s="1"/>
      <c r="AI1478" s="1" t="s">
        <v>3432</v>
      </c>
      <c r="AJ1478" s="1"/>
      <c r="AK1478" s="1"/>
      <c r="AL1478" s="1" t="s">
        <v>3756</v>
      </c>
    </row>
    <row r="1479" spans="1:38" hidden="1" x14ac:dyDescent="0.25">
      <c r="A1479" s="2">
        <v>1969</v>
      </c>
      <c r="B1479" s="1" t="s">
        <v>1726</v>
      </c>
      <c r="C1479" s="1" t="s">
        <v>1727</v>
      </c>
      <c r="D1479" s="1" t="s">
        <v>2062</v>
      </c>
      <c r="E1479" s="1" t="s">
        <v>2063</v>
      </c>
      <c r="F1479" s="3">
        <v>45449</v>
      </c>
      <c r="G1479" s="3">
        <v>45385</v>
      </c>
      <c r="H1479" s="3">
        <v>45749</v>
      </c>
      <c r="I1479" s="1" t="s">
        <v>3751</v>
      </c>
      <c r="J1479" s="1" t="s">
        <v>3752</v>
      </c>
      <c r="K1479" s="1"/>
      <c r="L1479" s="1" t="s">
        <v>2178</v>
      </c>
      <c r="M1479" s="1" t="s">
        <v>3753</v>
      </c>
      <c r="N1479" s="1" t="s">
        <v>3754</v>
      </c>
      <c r="O1479" s="1" t="s">
        <v>3755</v>
      </c>
      <c r="P1479" s="1" t="s">
        <v>2095</v>
      </c>
      <c r="Q1479" s="1"/>
      <c r="R1479" s="1"/>
      <c r="S1479" s="1" t="s">
        <v>2072</v>
      </c>
      <c r="T1479" s="1" t="s">
        <v>2073</v>
      </c>
      <c r="U1479" s="4">
        <v>2300000</v>
      </c>
      <c r="V1479" s="4">
        <v>3042</v>
      </c>
      <c r="W1479" s="4">
        <v>30</v>
      </c>
      <c r="X1479" s="4">
        <v>395</v>
      </c>
      <c r="Y1479" s="4">
        <v>0</v>
      </c>
      <c r="Z1479" s="5">
        <v>3467</v>
      </c>
      <c r="AA1479" s="5">
        <v>0</v>
      </c>
      <c r="AB1479" s="6">
        <v>0</v>
      </c>
      <c r="AC1479" s="4">
        <v>3467</v>
      </c>
      <c r="AD1479" s="4">
        <v>0</v>
      </c>
      <c r="AE1479" s="4">
        <v>3467</v>
      </c>
      <c r="AF1479" s="1"/>
      <c r="AG1479" s="1"/>
      <c r="AH1479" s="1"/>
      <c r="AI1479" s="1" t="s">
        <v>3432</v>
      </c>
      <c r="AJ1479" s="6">
        <v>2022.8199999999963</v>
      </c>
      <c r="AK1479" s="6">
        <v>1099.1300000000001</v>
      </c>
      <c r="AL1479" s="1"/>
    </row>
    <row r="1480" spans="1:38" hidden="1" x14ac:dyDescent="0.25">
      <c r="A1480" s="2">
        <v>1970</v>
      </c>
      <c r="B1480" s="1" t="s">
        <v>1726</v>
      </c>
      <c r="C1480" s="1" t="s">
        <v>1728</v>
      </c>
      <c r="D1480" s="1" t="s">
        <v>2062</v>
      </c>
      <c r="E1480" s="1" t="s">
        <v>2063</v>
      </c>
      <c r="F1480" s="3">
        <v>45511</v>
      </c>
      <c r="G1480" s="3">
        <v>45385</v>
      </c>
      <c r="H1480" s="3">
        <v>45749</v>
      </c>
      <c r="I1480" s="1" t="s">
        <v>3751</v>
      </c>
      <c r="J1480" s="1" t="s">
        <v>3752</v>
      </c>
      <c r="K1480" s="1"/>
      <c r="L1480" s="1" t="s">
        <v>2178</v>
      </c>
      <c r="M1480" s="1" t="s">
        <v>3753</v>
      </c>
      <c r="N1480" s="1" t="s">
        <v>3754</v>
      </c>
      <c r="O1480" s="1" t="s">
        <v>3755</v>
      </c>
      <c r="P1480" s="1" t="s">
        <v>2095</v>
      </c>
      <c r="Q1480" s="1"/>
      <c r="R1480" s="1"/>
      <c r="S1480" s="1" t="s">
        <v>2072</v>
      </c>
      <c r="T1480" s="1" t="s">
        <v>2073</v>
      </c>
      <c r="U1480" s="4">
        <v>2300000</v>
      </c>
      <c r="V1480" s="4">
        <v>2817</v>
      </c>
      <c r="W1480" s="4">
        <v>28</v>
      </c>
      <c r="X1480" s="4">
        <v>422</v>
      </c>
      <c r="Y1480" s="4">
        <v>0</v>
      </c>
      <c r="Z1480" s="5">
        <v>3267</v>
      </c>
      <c r="AA1480" s="5">
        <v>0</v>
      </c>
      <c r="AB1480" s="6">
        <v>0</v>
      </c>
      <c r="AC1480" s="4">
        <v>3267</v>
      </c>
      <c r="AD1480" s="4">
        <v>0</v>
      </c>
      <c r="AE1480" s="4">
        <v>3267</v>
      </c>
      <c r="AF1480" s="1"/>
      <c r="AG1480" s="1"/>
      <c r="AH1480" s="1"/>
      <c r="AI1480" s="1" t="s">
        <v>3432</v>
      </c>
      <c r="AJ1480" s="6">
        <v>1731.259999999997</v>
      </c>
      <c r="AK1480" s="6">
        <v>1035.2799999999991</v>
      </c>
      <c r="AL1480" s="1"/>
    </row>
    <row r="1481" spans="1:38" hidden="1" x14ac:dyDescent="0.25">
      <c r="A1481" s="2">
        <v>1971</v>
      </c>
      <c r="B1481" s="1" t="s">
        <v>1726</v>
      </c>
      <c r="C1481" s="1" t="s">
        <v>1729</v>
      </c>
      <c r="D1481" s="1" t="s">
        <v>2062</v>
      </c>
      <c r="E1481" s="1" t="s">
        <v>2063</v>
      </c>
      <c r="F1481" s="3">
        <v>45541</v>
      </c>
      <c r="G1481" s="3">
        <v>45385</v>
      </c>
      <c r="H1481" s="3">
        <v>45749</v>
      </c>
      <c r="I1481" s="1" t="s">
        <v>3751</v>
      </c>
      <c r="J1481" s="1" t="s">
        <v>3752</v>
      </c>
      <c r="K1481" s="1"/>
      <c r="L1481" s="1" t="s">
        <v>2178</v>
      </c>
      <c r="M1481" s="1" t="s">
        <v>3753</v>
      </c>
      <c r="N1481" s="1" t="s">
        <v>3754</v>
      </c>
      <c r="O1481" s="1" t="s">
        <v>3755</v>
      </c>
      <c r="P1481" s="1" t="s">
        <v>2095</v>
      </c>
      <c r="Q1481" s="1"/>
      <c r="R1481" s="1"/>
      <c r="S1481" s="1" t="s">
        <v>2072</v>
      </c>
      <c r="T1481" s="1" t="s">
        <v>2073</v>
      </c>
      <c r="U1481" s="4">
        <v>2300000</v>
      </c>
      <c r="V1481" s="4">
        <v>3085</v>
      </c>
      <c r="W1481" s="4">
        <v>31</v>
      </c>
      <c r="X1481" s="4">
        <v>463</v>
      </c>
      <c r="Y1481" s="4">
        <v>0</v>
      </c>
      <c r="Z1481" s="5">
        <v>3579</v>
      </c>
      <c r="AA1481" s="5">
        <v>0</v>
      </c>
      <c r="AB1481" s="6">
        <v>0</v>
      </c>
      <c r="AC1481" s="4">
        <v>3579</v>
      </c>
      <c r="AD1481" s="4">
        <v>0</v>
      </c>
      <c r="AE1481" s="4">
        <v>3579</v>
      </c>
      <c r="AF1481" s="1"/>
      <c r="AG1481" s="1"/>
      <c r="AH1481" s="1"/>
      <c r="AI1481" s="1" t="s">
        <v>3432</v>
      </c>
      <c r="AJ1481" s="6">
        <v>1901.009999999997</v>
      </c>
      <c r="AK1481" s="6">
        <v>1134.43</v>
      </c>
      <c r="AL1481" s="1"/>
    </row>
    <row r="1482" spans="1:38" hidden="1" x14ac:dyDescent="0.25">
      <c r="A1482" s="2">
        <v>1972</v>
      </c>
      <c r="B1482" s="1" t="s">
        <v>1726</v>
      </c>
      <c r="C1482" s="1" t="s">
        <v>1730</v>
      </c>
      <c r="D1482" s="1" t="s">
        <v>2062</v>
      </c>
      <c r="E1482" s="1" t="s">
        <v>2063</v>
      </c>
      <c r="F1482" s="3">
        <v>45574</v>
      </c>
      <c r="G1482" s="3">
        <v>45385</v>
      </c>
      <c r="H1482" s="3">
        <v>45749</v>
      </c>
      <c r="I1482" s="1" t="s">
        <v>3751</v>
      </c>
      <c r="J1482" s="1" t="s">
        <v>3752</v>
      </c>
      <c r="K1482" s="1"/>
      <c r="L1482" s="1" t="s">
        <v>2178</v>
      </c>
      <c r="M1482" s="1" t="s">
        <v>3753</v>
      </c>
      <c r="N1482" s="1" t="s">
        <v>3754</v>
      </c>
      <c r="O1482" s="1" t="s">
        <v>3755</v>
      </c>
      <c r="P1482" s="1" t="s">
        <v>2095</v>
      </c>
      <c r="Q1482" s="1"/>
      <c r="R1482" s="1"/>
      <c r="S1482" s="1" t="s">
        <v>2072</v>
      </c>
      <c r="T1482" s="1" t="s">
        <v>2073</v>
      </c>
      <c r="U1482" s="4">
        <v>2300000</v>
      </c>
      <c r="V1482" s="4">
        <v>3026</v>
      </c>
      <c r="W1482" s="4">
        <v>30</v>
      </c>
      <c r="X1482" s="4">
        <v>454</v>
      </c>
      <c r="Y1482" s="4">
        <v>0</v>
      </c>
      <c r="Z1482" s="5">
        <v>3510</v>
      </c>
      <c r="AA1482" s="5">
        <v>0</v>
      </c>
      <c r="AB1482" s="6">
        <v>0</v>
      </c>
      <c r="AC1482" s="4">
        <v>3510</v>
      </c>
      <c r="AD1482" s="4">
        <v>0</v>
      </c>
      <c r="AE1482" s="4">
        <v>3510</v>
      </c>
      <c r="AF1482" s="1"/>
      <c r="AG1482" s="1"/>
      <c r="AH1482" s="1"/>
      <c r="AI1482" s="1" t="s">
        <v>3432</v>
      </c>
      <c r="AJ1482" s="6">
        <v>2179.5799999999972</v>
      </c>
      <c r="AK1482" s="6">
        <v>1112.32</v>
      </c>
      <c r="AL1482" s="1"/>
    </row>
    <row r="1483" spans="1:38" hidden="1" x14ac:dyDescent="0.25">
      <c r="A1483" s="2">
        <v>1973</v>
      </c>
      <c r="B1483" s="1" t="s">
        <v>1726</v>
      </c>
      <c r="C1483" s="1" t="s">
        <v>1731</v>
      </c>
      <c r="D1483" s="1" t="s">
        <v>2062</v>
      </c>
      <c r="E1483" s="1" t="s">
        <v>2063</v>
      </c>
      <c r="F1483" s="3">
        <v>45600</v>
      </c>
      <c r="G1483" s="3">
        <v>45385</v>
      </c>
      <c r="H1483" s="3">
        <v>45749</v>
      </c>
      <c r="I1483" s="1" t="s">
        <v>3751</v>
      </c>
      <c r="J1483" s="1" t="s">
        <v>3752</v>
      </c>
      <c r="K1483" s="1"/>
      <c r="L1483" s="1" t="s">
        <v>2178</v>
      </c>
      <c r="M1483" s="1" t="s">
        <v>3753</v>
      </c>
      <c r="N1483" s="1" t="s">
        <v>3754</v>
      </c>
      <c r="O1483" s="1" t="s">
        <v>3755</v>
      </c>
      <c r="P1483" s="1" t="s">
        <v>2095</v>
      </c>
      <c r="Q1483" s="1"/>
      <c r="R1483" s="1"/>
      <c r="S1483" s="1" t="s">
        <v>2072</v>
      </c>
      <c r="T1483" s="1" t="s">
        <v>2073</v>
      </c>
      <c r="U1483" s="4">
        <v>2300000</v>
      </c>
      <c r="V1483" s="4">
        <v>966</v>
      </c>
      <c r="W1483" s="4">
        <v>10</v>
      </c>
      <c r="X1483" s="4">
        <v>145</v>
      </c>
      <c r="Y1483" s="4">
        <v>0</v>
      </c>
      <c r="Z1483" s="5">
        <v>1121</v>
      </c>
      <c r="AA1483" s="5">
        <v>0</v>
      </c>
      <c r="AB1483" s="6">
        <v>0</v>
      </c>
      <c r="AC1483" s="4">
        <v>1121</v>
      </c>
      <c r="AD1483" s="4">
        <v>0</v>
      </c>
      <c r="AE1483" s="4">
        <v>1121</v>
      </c>
      <c r="AF1483" s="1"/>
      <c r="AG1483" s="1"/>
      <c r="AH1483" s="1"/>
      <c r="AI1483" s="1" t="s">
        <v>3432</v>
      </c>
      <c r="AJ1483" s="6">
        <v>647.47999999999911</v>
      </c>
      <c r="AK1483" s="6">
        <v>355.43</v>
      </c>
      <c r="AL1483" s="1"/>
    </row>
    <row r="1484" spans="1:38" hidden="1" x14ac:dyDescent="0.25">
      <c r="A1484" s="2">
        <v>1974</v>
      </c>
      <c r="B1484" s="1" t="s">
        <v>1726</v>
      </c>
      <c r="C1484" s="1" t="s">
        <v>1732</v>
      </c>
      <c r="D1484" s="1" t="s">
        <v>2062</v>
      </c>
      <c r="E1484" s="1" t="s">
        <v>2063</v>
      </c>
      <c r="F1484" s="3">
        <v>45655</v>
      </c>
      <c r="G1484" s="3">
        <v>45385</v>
      </c>
      <c r="H1484" s="3">
        <v>45749</v>
      </c>
      <c r="I1484" s="1" t="s">
        <v>3751</v>
      </c>
      <c r="J1484" s="1" t="s">
        <v>3752</v>
      </c>
      <c r="K1484" s="1"/>
      <c r="L1484" s="1" t="s">
        <v>2178</v>
      </c>
      <c r="M1484" s="1" t="s">
        <v>3753</v>
      </c>
      <c r="N1484" s="1" t="s">
        <v>3754</v>
      </c>
      <c r="O1484" s="1" t="s">
        <v>3755</v>
      </c>
      <c r="P1484" s="1" t="s">
        <v>2095</v>
      </c>
      <c r="Q1484" s="1"/>
      <c r="R1484" s="1"/>
      <c r="S1484" s="1" t="s">
        <v>2072</v>
      </c>
      <c r="T1484" s="1" t="s">
        <v>2073</v>
      </c>
      <c r="U1484" s="4">
        <v>-1</v>
      </c>
      <c r="V1484" s="4">
        <v>-14846</v>
      </c>
      <c r="W1484" s="4">
        <v>-148</v>
      </c>
      <c r="X1484" s="4">
        <v>0</v>
      </c>
      <c r="Y1484" s="4">
        <v>0</v>
      </c>
      <c r="Z1484" s="5">
        <v>-14994</v>
      </c>
      <c r="AA1484" s="5">
        <v>0</v>
      </c>
      <c r="AB1484" s="6">
        <v>0</v>
      </c>
      <c r="AC1484" s="4">
        <v>-14994</v>
      </c>
      <c r="AD1484" s="4">
        <v>0</v>
      </c>
      <c r="AE1484" s="4">
        <v>-14994</v>
      </c>
      <c r="AF1484" s="1"/>
      <c r="AG1484" s="1"/>
      <c r="AH1484" s="1"/>
      <c r="AI1484" s="1" t="s">
        <v>3432</v>
      </c>
      <c r="AJ1484" s="1"/>
      <c r="AK1484" s="1"/>
      <c r="AL1484" s="1"/>
    </row>
    <row r="1485" spans="1:38" hidden="1" x14ac:dyDescent="0.25">
      <c r="A1485" s="2">
        <v>1982</v>
      </c>
      <c r="B1485" s="1" t="s">
        <v>1733</v>
      </c>
      <c r="C1485" s="1" t="s">
        <v>1734</v>
      </c>
      <c r="D1485" s="1" t="s">
        <v>2062</v>
      </c>
      <c r="E1485" s="1" t="s">
        <v>2063</v>
      </c>
      <c r="F1485" s="3">
        <v>45429</v>
      </c>
      <c r="G1485" s="3">
        <v>45399</v>
      </c>
      <c r="H1485" s="3">
        <v>45763</v>
      </c>
      <c r="I1485" s="1" t="s">
        <v>3757</v>
      </c>
      <c r="J1485" s="1" t="s">
        <v>3758</v>
      </c>
      <c r="K1485" s="1"/>
      <c r="L1485" s="1" t="s">
        <v>2450</v>
      </c>
      <c r="M1485" s="1" t="s">
        <v>3759</v>
      </c>
      <c r="N1485" s="1" t="s">
        <v>3760</v>
      </c>
      <c r="O1485" s="1" t="s">
        <v>3761</v>
      </c>
      <c r="P1485" s="1" t="s">
        <v>2165</v>
      </c>
      <c r="Q1485" s="1"/>
      <c r="R1485" s="1"/>
      <c r="S1485" s="1" t="s">
        <v>2072</v>
      </c>
      <c r="T1485" s="1" t="s">
        <v>2073</v>
      </c>
      <c r="U1485" s="4">
        <v>2500000</v>
      </c>
      <c r="V1485" s="4">
        <v>1029</v>
      </c>
      <c r="W1485" s="4">
        <v>10</v>
      </c>
      <c r="X1485" s="4">
        <v>134</v>
      </c>
      <c r="Y1485" s="4">
        <v>0</v>
      </c>
      <c r="Z1485" s="5">
        <v>1173</v>
      </c>
      <c r="AA1485" s="5">
        <v>0</v>
      </c>
      <c r="AB1485" s="6">
        <v>0</v>
      </c>
      <c r="AC1485" s="4">
        <v>1173</v>
      </c>
      <c r="AD1485" s="4">
        <v>0</v>
      </c>
      <c r="AE1485" s="4">
        <v>1173</v>
      </c>
      <c r="AF1485" s="1"/>
      <c r="AG1485" s="1"/>
      <c r="AH1485" s="1"/>
      <c r="AI1485" s="1" t="s">
        <v>3432</v>
      </c>
      <c r="AJ1485" s="6">
        <v>819.11999999999898</v>
      </c>
      <c r="AK1485" s="6">
        <v>342.81000000000006</v>
      </c>
      <c r="AL1485" s="1"/>
    </row>
    <row r="1486" spans="1:38" hidden="1" x14ac:dyDescent="0.25">
      <c r="A1486" s="2">
        <v>1983</v>
      </c>
      <c r="B1486" s="1" t="s">
        <v>1733</v>
      </c>
      <c r="C1486" s="1" t="s">
        <v>1735</v>
      </c>
      <c r="D1486" s="1" t="s">
        <v>2062</v>
      </c>
      <c r="E1486" s="1" t="s">
        <v>2063</v>
      </c>
      <c r="F1486" s="3">
        <v>45463</v>
      </c>
      <c r="G1486" s="3">
        <v>45399</v>
      </c>
      <c r="H1486" s="3">
        <v>45763</v>
      </c>
      <c r="I1486" s="1" t="s">
        <v>3757</v>
      </c>
      <c r="J1486" s="1" t="s">
        <v>3758</v>
      </c>
      <c r="K1486" s="1"/>
      <c r="L1486" s="1" t="s">
        <v>2450</v>
      </c>
      <c r="M1486" s="1" t="s">
        <v>3759</v>
      </c>
      <c r="N1486" s="1" t="s">
        <v>3760</v>
      </c>
      <c r="O1486" s="1" t="s">
        <v>3761</v>
      </c>
      <c r="P1486" s="1" t="s">
        <v>2165</v>
      </c>
      <c r="Q1486" s="1"/>
      <c r="R1486" s="1"/>
      <c r="S1486" s="1" t="s">
        <v>2072</v>
      </c>
      <c r="T1486" s="1" t="s">
        <v>2073</v>
      </c>
      <c r="U1486" s="4">
        <v>2500000</v>
      </c>
      <c r="V1486" s="4">
        <v>1767</v>
      </c>
      <c r="W1486" s="4">
        <v>18</v>
      </c>
      <c r="X1486" s="4">
        <v>229</v>
      </c>
      <c r="Y1486" s="4">
        <v>0</v>
      </c>
      <c r="Z1486" s="5">
        <v>2014</v>
      </c>
      <c r="AA1486" s="5">
        <v>0</v>
      </c>
      <c r="AB1486" s="6">
        <v>0</v>
      </c>
      <c r="AC1486" s="4">
        <v>2014</v>
      </c>
      <c r="AD1486" s="4">
        <v>0</v>
      </c>
      <c r="AE1486" s="4">
        <v>2014</v>
      </c>
      <c r="AF1486" s="1"/>
      <c r="AG1486" s="1"/>
      <c r="AH1486" s="1"/>
      <c r="AI1486" s="1" t="s">
        <v>3432</v>
      </c>
      <c r="AJ1486" s="6">
        <v>1455.6600000000008</v>
      </c>
      <c r="AK1486" s="6">
        <v>588.32000000000005</v>
      </c>
      <c r="AL1486" s="1"/>
    </row>
    <row r="1487" spans="1:38" hidden="1" x14ac:dyDescent="0.25">
      <c r="A1487" s="2">
        <v>1984</v>
      </c>
      <c r="B1487" s="1" t="s">
        <v>1733</v>
      </c>
      <c r="C1487" s="1" t="s">
        <v>1736</v>
      </c>
      <c r="D1487" s="1" t="s">
        <v>2062</v>
      </c>
      <c r="E1487" s="1" t="s">
        <v>2063</v>
      </c>
      <c r="F1487" s="3">
        <v>45492</v>
      </c>
      <c r="G1487" s="3">
        <v>45399</v>
      </c>
      <c r="H1487" s="3">
        <v>45763</v>
      </c>
      <c r="I1487" s="1" t="s">
        <v>3757</v>
      </c>
      <c r="J1487" s="1" t="s">
        <v>3758</v>
      </c>
      <c r="K1487" s="1"/>
      <c r="L1487" s="1" t="s">
        <v>2450</v>
      </c>
      <c r="M1487" s="1" t="s">
        <v>3759</v>
      </c>
      <c r="N1487" s="1" t="s">
        <v>3760</v>
      </c>
      <c r="O1487" s="1" t="s">
        <v>3761</v>
      </c>
      <c r="P1487" s="1" t="s">
        <v>2165</v>
      </c>
      <c r="Q1487" s="1"/>
      <c r="R1487" s="1"/>
      <c r="S1487" s="1" t="s">
        <v>2072</v>
      </c>
      <c r="T1487" s="1" t="s">
        <v>2073</v>
      </c>
      <c r="U1487" s="4">
        <v>2500000</v>
      </c>
      <c r="V1487" s="4">
        <v>1373</v>
      </c>
      <c r="W1487" s="4">
        <v>14</v>
      </c>
      <c r="X1487" s="4">
        <v>206</v>
      </c>
      <c r="Y1487" s="4">
        <v>0</v>
      </c>
      <c r="Z1487" s="5">
        <v>1593</v>
      </c>
      <c r="AA1487" s="5">
        <v>0</v>
      </c>
      <c r="AB1487" s="6">
        <v>0</v>
      </c>
      <c r="AC1487" s="4">
        <v>1593</v>
      </c>
      <c r="AD1487" s="4">
        <v>0</v>
      </c>
      <c r="AE1487" s="4">
        <v>1593</v>
      </c>
      <c r="AF1487" s="1"/>
      <c r="AG1487" s="1"/>
      <c r="AH1487" s="1"/>
      <c r="AI1487" s="1" t="s">
        <v>3432</v>
      </c>
      <c r="AJ1487" s="6">
        <v>1037.1999999999991</v>
      </c>
      <c r="AK1487" s="6">
        <v>465.30000000000007</v>
      </c>
      <c r="AL1487" s="1"/>
    </row>
    <row r="1488" spans="1:38" hidden="1" x14ac:dyDescent="0.25">
      <c r="A1488" s="2">
        <v>1985</v>
      </c>
      <c r="B1488" s="1" t="s">
        <v>1733</v>
      </c>
      <c r="C1488" s="1" t="s">
        <v>1737</v>
      </c>
      <c r="D1488" s="1" t="s">
        <v>2062</v>
      </c>
      <c r="E1488" s="1" t="s">
        <v>2063</v>
      </c>
      <c r="F1488" s="3">
        <v>45524</v>
      </c>
      <c r="G1488" s="3">
        <v>45399</v>
      </c>
      <c r="H1488" s="3">
        <v>45763</v>
      </c>
      <c r="I1488" s="1" t="s">
        <v>3757</v>
      </c>
      <c r="J1488" s="1" t="s">
        <v>3758</v>
      </c>
      <c r="K1488" s="1"/>
      <c r="L1488" s="1" t="s">
        <v>2450</v>
      </c>
      <c r="M1488" s="1" t="s">
        <v>3759</v>
      </c>
      <c r="N1488" s="1" t="s">
        <v>3760</v>
      </c>
      <c r="O1488" s="1" t="s">
        <v>3761</v>
      </c>
      <c r="P1488" s="1" t="s">
        <v>2165</v>
      </c>
      <c r="Q1488" s="1"/>
      <c r="R1488" s="1"/>
      <c r="S1488" s="1" t="s">
        <v>2072</v>
      </c>
      <c r="T1488" s="1" t="s">
        <v>2073</v>
      </c>
      <c r="U1488" s="4">
        <v>2500000</v>
      </c>
      <c r="V1488" s="4">
        <v>785</v>
      </c>
      <c r="W1488" s="4">
        <v>8</v>
      </c>
      <c r="X1488" s="4">
        <v>118</v>
      </c>
      <c r="Y1488" s="4">
        <v>0</v>
      </c>
      <c r="Z1488" s="5">
        <v>911</v>
      </c>
      <c r="AA1488" s="5">
        <v>0</v>
      </c>
      <c r="AB1488" s="6">
        <v>0</v>
      </c>
      <c r="AC1488" s="4">
        <v>911</v>
      </c>
      <c r="AD1488" s="4">
        <v>0</v>
      </c>
      <c r="AE1488" s="4">
        <v>911</v>
      </c>
      <c r="AF1488" s="1"/>
      <c r="AG1488" s="1"/>
      <c r="AH1488" s="1"/>
      <c r="AI1488" s="1" t="s">
        <v>3432</v>
      </c>
      <c r="AJ1488" s="6">
        <v>791.15000000000009</v>
      </c>
      <c r="AK1488" s="6">
        <v>265.89</v>
      </c>
      <c r="AL1488" s="1"/>
    </row>
    <row r="1489" spans="1:38" hidden="1" x14ac:dyDescent="0.25">
      <c r="A1489" s="2">
        <v>1986</v>
      </c>
      <c r="B1489" s="1" t="s">
        <v>1733</v>
      </c>
      <c r="C1489" s="1" t="s">
        <v>1738</v>
      </c>
      <c r="D1489" s="1" t="s">
        <v>2062</v>
      </c>
      <c r="E1489" s="1" t="s">
        <v>2063</v>
      </c>
      <c r="F1489" s="3">
        <v>45559</v>
      </c>
      <c r="G1489" s="3">
        <v>45399</v>
      </c>
      <c r="H1489" s="3">
        <v>45763</v>
      </c>
      <c r="I1489" s="1" t="s">
        <v>3757</v>
      </c>
      <c r="J1489" s="1" t="s">
        <v>3758</v>
      </c>
      <c r="K1489" s="1"/>
      <c r="L1489" s="1" t="s">
        <v>2450</v>
      </c>
      <c r="M1489" s="1" t="s">
        <v>3759</v>
      </c>
      <c r="N1489" s="1" t="s">
        <v>3760</v>
      </c>
      <c r="O1489" s="1" t="s">
        <v>3761</v>
      </c>
      <c r="P1489" s="1" t="s">
        <v>2165</v>
      </c>
      <c r="Q1489" s="1"/>
      <c r="R1489" s="1"/>
      <c r="S1489" s="1" t="s">
        <v>2072</v>
      </c>
      <c r="T1489" s="1" t="s">
        <v>2073</v>
      </c>
      <c r="U1489" s="4">
        <v>2500000</v>
      </c>
      <c r="V1489" s="4">
        <v>1628</v>
      </c>
      <c r="W1489" s="4">
        <v>16</v>
      </c>
      <c r="X1489" s="4">
        <v>244</v>
      </c>
      <c r="Y1489" s="4">
        <v>0</v>
      </c>
      <c r="Z1489" s="5">
        <v>1888</v>
      </c>
      <c r="AA1489" s="5">
        <v>0</v>
      </c>
      <c r="AB1489" s="6">
        <v>0</v>
      </c>
      <c r="AC1489" s="4">
        <v>1888</v>
      </c>
      <c r="AD1489" s="4">
        <v>0</v>
      </c>
      <c r="AE1489" s="4">
        <v>1888</v>
      </c>
      <c r="AF1489" s="1"/>
      <c r="AG1489" s="1"/>
      <c r="AH1489" s="1"/>
      <c r="AI1489" s="1" t="s">
        <v>3432</v>
      </c>
      <c r="AJ1489" s="6">
        <v>1010.269999999999</v>
      </c>
      <c r="AK1489" s="6">
        <v>551.87</v>
      </c>
      <c r="AL1489" s="1"/>
    </row>
    <row r="1490" spans="1:38" hidden="1" x14ac:dyDescent="0.25">
      <c r="A1490" s="2">
        <v>1987</v>
      </c>
      <c r="B1490" s="1" t="s">
        <v>1733</v>
      </c>
      <c r="C1490" s="1" t="s">
        <v>1739</v>
      </c>
      <c r="D1490" s="1" t="s">
        <v>2062</v>
      </c>
      <c r="E1490" s="1" t="s">
        <v>2063</v>
      </c>
      <c r="F1490" s="3">
        <v>45586</v>
      </c>
      <c r="G1490" s="3">
        <v>45399</v>
      </c>
      <c r="H1490" s="3">
        <v>45763</v>
      </c>
      <c r="I1490" s="1" t="s">
        <v>3757</v>
      </c>
      <c r="J1490" s="1" t="s">
        <v>3758</v>
      </c>
      <c r="K1490" s="1"/>
      <c r="L1490" s="1" t="s">
        <v>2450</v>
      </c>
      <c r="M1490" s="1" t="s">
        <v>3759</v>
      </c>
      <c r="N1490" s="1" t="s">
        <v>3760</v>
      </c>
      <c r="O1490" s="1" t="s">
        <v>3761</v>
      </c>
      <c r="P1490" s="1" t="s">
        <v>2165</v>
      </c>
      <c r="Q1490" s="1"/>
      <c r="R1490" s="1"/>
      <c r="S1490" s="1" t="s">
        <v>2072</v>
      </c>
      <c r="T1490" s="1" t="s">
        <v>2073</v>
      </c>
      <c r="U1490" s="4">
        <v>2500000</v>
      </c>
      <c r="V1490" s="4">
        <v>1554</v>
      </c>
      <c r="W1490" s="4">
        <v>16</v>
      </c>
      <c r="X1490" s="4">
        <v>233</v>
      </c>
      <c r="Y1490" s="4">
        <v>0</v>
      </c>
      <c r="Z1490" s="5">
        <v>1803</v>
      </c>
      <c r="AA1490" s="5">
        <v>0</v>
      </c>
      <c r="AB1490" s="6">
        <v>0</v>
      </c>
      <c r="AC1490" s="4">
        <v>1803</v>
      </c>
      <c r="AD1490" s="4">
        <v>0</v>
      </c>
      <c r="AE1490" s="4">
        <v>1803</v>
      </c>
      <c r="AF1490" s="1"/>
      <c r="AG1490" s="1"/>
      <c r="AH1490" s="1"/>
      <c r="AI1490" s="1" t="s">
        <v>3432</v>
      </c>
      <c r="AJ1490" s="6">
        <v>1093.05</v>
      </c>
      <c r="AK1490" s="6">
        <v>526.73</v>
      </c>
      <c r="AL1490" s="1"/>
    </row>
    <row r="1491" spans="1:38" hidden="1" x14ac:dyDescent="0.25">
      <c r="A1491" s="2">
        <v>1988</v>
      </c>
      <c r="B1491" s="1" t="s">
        <v>1733</v>
      </c>
      <c r="C1491" s="1" t="s">
        <v>1740</v>
      </c>
      <c r="D1491" s="1" t="s">
        <v>2062</v>
      </c>
      <c r="E1491" s="1" t="s">
        <v>2063</v>
      </c>
      <c r="F1491" s="3">
        <v>45614</v>
      </c>
      <c r="G1491" s="3">
        <v>45399</v>
      </c>
      <c r="H1491" s="3">
        <v>45763</v>
      </c>
      <c r="I1491" s="1" t="s">
        <v>3757</v>
      </c>
      <c r="J1491" s="1" t="s">
        <v>3758</v>
      </c>
      <c r="K1491" s="1"/>
      <c r="L1491" s="1" t="s">
        <v>2450</v>
      </c>
      <c r="M1491" s="1" t="s">
        <v>3759</v>
      </c>
      <c r="N1491" s="1" t="s">
        <v>3760</v>
      </c>
      <c r="O1491" s="1" t="s">
        <v>3761</v>
      </c>
      <c r="P1491" s="1" t="s">
        <v>2165</v>
      </c>
      <c r="Q1491" s="1"/>
      <c r="R1491" s="1"/>
      <c r="S1491" s="1" t="s">
        <v>2072</v>
      </c>
      <c r="T1491" s="1" t="s">
        <v>2073</v>
      </c>
      <c r="U1491" s="4">
        <v>2500000</v>
      </c>
      <c r="V1491" s="4">
        <v>817</v>
      </c>
      <c r="W1491" s="4">
        <v>8</v>
      </c>
      <c r="X1491" s="4">
        <v>122</v>
      </c>
      <c r="Y1491" s="4">
        <v>0</v>
      </c>
      <c r="Z1491" s="5">
        <v>947</v>
      </c>
      <c r="AA1491" s="5">
        <v>0</v>
      </c>
      <c r="AB1491" s="6">
        <v>0</v>
      </c>
      <c r="AC1491" s="4">
        <v>947</v>
      </c>
      <c r="AD1491" s="4">
        <v>0</v>
      </c>
      <c r="AE1491" s="4">
        <v>947</v>
      </c>
      <c r="AF1491" s="1"/>
      <c r="AG1491" s="1"/>
      <c r="AH1491" s="1"/>
      <c r="AI1491" s="1" t="s">
        <v>3432</v>
      </c>
      <c r="AJ1491" s="6">
        <v>898.68000000000097</v>
      </c>
      <c r="AK1491" s="6">
        <v>276.63</v>
      </c>
      <c r="AL1491" s="1"/>
    </row>
    <row r="1492" spans="1:38" hidden="1" x14ac:dyDescent="0.25">
      <c r="A1492" s="2">
        <v>1989</v>
      </c>
      <c r="B1492" s="1" t="s">
        <v>1733</v>
      </c>
      <c r="C1492" s="1" t="s">
        <v>1741</v>
      </c>
      <c r="D1492" s="1" t="s">
        <v>2062</v>
      </c>
      <c r="E1492" s="1" t="s">
        <v>2063</v>
      </c>
      <c r="F1492" s="3">
        <v>45644</v>
      </c>
      <c r="G1492" s="3">
        <v>45399</v>
      </c>
      <c r="H1492" s="3">
        <v>45763</v>
      </c>
      <c r="I1492" s="1" t="s">
        <v>3757</v>
      </c>
      <c r="J1492" s="1" t="s">
        <v>3758</v>
      </c>
      <c r="K1492" s="1"/>
      <c r="L1492" s="1" t="s">
        <v>2450</v>
      </c>
      <c r="M1492" s="1" t="s">
        <v>3759</v>
      </c>
      <c r="N1492" s="1" t="s">
        <v>3760</v>
      </c>
      <c r="O1492" s="1" t="s">
        <v>3761</v>
      </c>
      <c r="P1492" s="1" t="s">
        <v>2165</v>
      </c>
      <c r="Q1492" s="1"/>
      <c r="R1492" s="1"/>
      <c r="S1492" s="1" t="s">
        <v>2072</v>
      </c>
      <c r="T1492" s="1" t="s">
        <v>2073</v>
      </c>
      <c r="U1492" s="4">
        <v>2500000</v>
      </c>
      <c r="V1492" s="4">
        <v>1365</v>
      </c>
      <c r="W1492" s="4">
        <v>14</v>
      </c>
      <c r="X1492" s="4">
        <v>205</v>
      </c>
      <c r="Y1492" s="4">
        <v>0</v>
      </c>
      <c r="Z1492" s="5">
        <v>1584</v>
      </c>
      <c r="AA1492" s="5">
        <v>0</v>
      </c>
      <c r="AB1492" s="6">
        <v>0</v>
      </c>
      <c r="AC1492" s="4">
        <v>1584</v>
      </c>
      <c r="AD1492" s="4">
        <v>0</v>
      </c>
      <c r="AE1492" s="4">
        <v>1584</v>
      </c>
      <c r="AF1492" s="1"/>
      <c r="AG1492" s="1"/>
      <c r="AH1492" s="1"/>
      <c r="AI1492" s="1" t="s">
        <v>3432</v>
      </c>
      <c r="AJ1492" s="6">
        <v>636.0400000000011</v>
      </c>
      <c r="AK1492" s="6">
        <v>462.66</v>
      </c>
      <c r="AL1492" s="1"/>
    </row>
    <row r="1493" spans="1:38" hidden="1" x14ac:dyDescent="0.25">
      <c r="A1493" s="2">
        <v>1990</v>
      </c>
      <c r="B1493" s="1" t="s">
        <v>1733</v>
      </c>
      <c r="C1493" s="1" t="s">
        <v>1742</v>
      </c>
      <c r="D1493" s="1" t="s">
        <v>2062</v>
      </c>
      <c r="E1493" s="1" t="s">
        <v>2063</v>
      </c>
      <c r="F1493" s="3">
        <v>45655</v>
      </c>
      <c r="G1493" s="3">
        <v>45399</v>
      </c>
      <c r="H1493" s="3">
        <v>45763</v>
      </c>
      <c r="I1493" s="1" t="s">
        <v>3757</v>
      </c>
      <c r="J1493" s="1" t="s">
        <v>3758</v>
      </c>
      <c r="K1493" s="1"/>
      <c r="L1493" s="1" t="s">
        <v>2450</v>
      </c>
      <c r="M1493" s="1" t="s">
        <v>3759</v>
      </c>
      <c r="N1493" s="1" t="s">
        <v>3760</v>
      </c>
      <c r="O1493" s="1" t="s">
        <v>3761</v>
      </c>
      <c r="P1493" s="1" t="s">
        <v>2165</v>
      </c>
      <c r="Q1493" s="1"/>
      <c r="R1493" s="1"/>
      <c r="S1493" s="1" t="s">
        <v>2072</v>
      </c>
      <c r="T1493" s="1" t="s">
        <v>2073</v>
      </c>
      <c r="U1493" s="4">
        <v>-1</v>
      </c>
      <c r="V1493" s="4">
        <v>-11795</v>
      </c>
      <c r="W1493" s="4">
        <v>-118</v>
      </c>
      <c r="X1493" s="4">
        <v>0</v>
      </c>
      <c r="Y1493" s="4">
        <v>0</v>
      </c>
      <c r="Z1493" s="5">
        <v>-11913</v>
      </c>
      <c r="AA1493" s="5">
        <v>0</v>
      </c>
      <c r="AB1493" s="6">
        <v>0</v>
      </c>
      <c r="AC1493" s="4">
        <v>-11913</v>
      </c>
      <c r="AD1493" s="4">
        <v>0</v>
      </c>
      <c r="AE1493" s="4">
        <v>-11913</v>
      </c>
      <c r="AF1493" s="1"/>
      <c r="AG1493" s="1"/>
      <c r="AH1493" s="1"/>
      <c r="AI1493" s="1" t="s">
        <v>3432</v>
      </c>
      <c r="AJ1493" s="1"/>
      <c r="AK1493" s="1"/>
      <c r="AL1493" s="1"/>
    </row>
    <row r="1494" spans="1:38" hidden="1" x14ac:dyDescent="0.25">
      <c r="A1494" s="2">
        <v>1991</v>
      </c>
      <c r="B1494" s="1" t="s">
        <v>1743</v>
      </c>
      <c r="C1494" s="1" t="s">
        <v>1744</v>
      </c>
      <c r="D1494" s="1" t="s">
        <v>2062</v>
      </c>
      <c r="E1494" s="1" t="s">
        <v>2063</v>
      </c>
      <c r="F1494" s="3">
        <v>45656</v>
      </c>
      <c r="G1494" s="3">
        <v>45378</v>
      </c>
      <c r="H1494" s="3">
        <v>45742</v>
      </c>
      <c r="I1494" s="1" t="s">
        <v>3762</v>
      </c>
      <c r="J1494" s="1" t="s">
        <v>3763</v>
      </c>
      <c r="K1494" s="1"/>
      <c r="L1494" s="1" t="s">
        <v>2299</v>
      </c>
      <c r="M1494" s="1" t="s">
        <v>3764</v>
      </c>
      <c r="N1494" s="1" t="s">
        <v>3765</v>
      </c>
      <c r="O1494" s="1" t="s">
        <v>3766</v>
      </c>
      <c r="P1494" s="1" t="s">
        <v>2119</v>
      </c>
      <c r="Q1494" s="1"/>
      <c r="R1494" s="1"/>
      <c r="S1494" s="1" t="s">
        <v>2072</v>
      </c>
      <c r="T1494" s="1" t="s">
        <v>2073</v>
      </c>
      <c r="U1494" s="4">
        <v>1600000</v>
      </c>
      <c r="V1494" s="4">
        <v>1424</v>
      </c>
      <c r="W1494" s="4">
        <v>14</v>
      </c>
      <c r="X1494" s="4">
        <v>213</v>
      </c>
      <c r="Y1494" s="4">
        <v>0</v>
      </c>
      <c r="Z1494" s="5">
        <v>1651</v>
      </c>
      <c r="AA1494" s="5">
        <v>0</v>
      </c>
      <c r="AB1494" s="6">
        <v>0</v>
      </c>
      <c r="AC1494" s="4">
        <v>1651</v>
      </c>
      <c r="AD1494" s="4">
        <v>0</v>
      </c>
      <c r="AE1494" s="4">
        <v>1651</v>
      </c>
      <c r="AF1494" s="1"/>
      <c r="AG1494" s="1"/>
      <c r="AH1494" s="1"/>
      <c r="AI1494" s="1" t="s">
        <v>3432</v>
      </c>
      <c r="AJ1494" s="6">
        <v>993.50999999999908</v>
      </c>
      <c r="AK1494" s="6">
        <v>751.64000000000101</v>
      </c>
      <c r="AL1494" s="1"/>
    </row>
    <row r="1495" spans="1:38" hidden="1" x14ac:dyDescent="0.25">
      <c r="A1495" s="2">
        <v>1992</v>
      </c>
      <c r="B1495" s="1" t="s">
        <v>1743</v>
      </c>
      <c r="C1495" s="1" t="s">
        <v>1745</v>
      </c>
      <c r="D1495" s="1" t="s">
        <v>2062</v>
      </c>
      <c r="E1495" s="1" t="s">
        <v>2063</v>
      </c>
      <c r="F1495" s="3">
        <v>45684</v>
      </c>
      <c r="G1495" s="3">
        <v>45378</v>
      </c>
      <c r="H1495" s="3">
        <v>45742</v>
      </c>
      <c r="I1495" s="1" t="s">
        <v>3762</v>
      </c>
      <c r="J1495" s="1" t="s">
        <v>3763</v>
      </c>
      <c r="K1495" s="1"/>
      <c r="L1495" s="1" t="s">
        <v>2299</v>
      </c>
      <c r="M1495" s="1" t="s">
        <v>3764</v>
      </c>
      <c r="N1495" s="1" t="s">
        <v>3765</v>
      </c>
      <c r="O1495" s="1" t="s">
        <v>3766</v>
      </c>
      <c r="P1495" s="1" t="s">
        <v>2119</v>
      </c>
      <c r="Q1495" s="1"/>
      <c r="R1495" s="1"/>
      <c r="S1495" s="1" t="s">
        <v>2072</v>
      </c>
      <c r="T1495" s="1" t="s">
        <v>2073</v>
      </c>
      <c r="U1495" s="4">
        <v>1600000</v>
      </c>
      <c r="V1495" s="4">
        <v>1939</v>
      </c>
      <c r="W1495" s="4">
        <v>19</v>
      </c>
      <c r="X1495" s="4">
        <v>291</v>
      </c>
      <c r="Y1495" s="4">
        <v>0</v>
      </c>
      <c r="Z1495" s="5">
        <v>2249</v>
      </c>
      <c r="AA1495" s="5">
        <v>0</v>
      </c>
      <c r="AB1495" s="6">
        <v>0</v>
      </c>
      <c r="AC1495" s="4">
        <v>2249</v>
      </c>
      <c r="AD1495" s="4">
        <v>0</v>
      </c>
      <c r="AE1495" s="4">
        <v>2249</v>
      </c>
      <c r="AF1495" s="1"/>
      <c r="AG1495" s="1"/>
      <c r="AH1495" s="1"/>
      <c r="AI1495" s="1" t="s">
        <v>3432</v>
      </c>
      <c r="AJ1495" s="6">
        <v>1507.6099999999963</v>
      </c>
      <c r="AK1495" s="6">
        <v>1023.42</v>
      </c>
      <c r="AL1495" s="1"/>
    </row>
    <row r="1496" spans="1:38" hidden="1" x14ac:dyDescent="0.25">
      <c r="A1496" s="2">
        <v>1993</v>
      </c>
      <c r="B1496" s="1" t="s">
        <v>1743</v>
      </c>
      <c r="C1496" s="1" t="s">
        <v>1746</v>
      </c>
      <c r="D1496" s="1" t="s">
        <v>2062</v>
      </c>
      <c r="E1496" s="1" t="s">
        <v>2063</v>
      </c>
      <c r="F1496" s="3">
        <v>45715</v>
      </c>
      <c r="G1496" s="3">
        <v>45378</v>
      </c>
      <c r="H1496" s="3">
        <v>45742</v>
      </c>
      <c r="I1496" s="1" t="s">
        <v>3762</v>
      </c>
      <c r="J1496" s="1" t="s">
        <v>3763</v>
      </c>
      <c r="K1496" s="1"/>
      <c r="L1496" s="1" t="s">
        <v>2299</v>
      </c>
      <c r="M1496" s="1" t="s">
        <v>3764</v>
      </c>
      <c r="N1496" s="1" t="s">
        <v>3765</v>
      </c>
      <c r="O1496" s="1" t="s">
        <v>3766</v>
      </c>
      <c r="P1496" s="1" t="s">
        <v>2119</v>
      </c>
      <c r="Q1496" s="1"/>
      <c r="R1496" s="1"/>
      <c r="S1496" s="1" t="s">
        <v>2072</v>
      </c>
      <c r="T1496" s="1" t="s">
        <v>2073</v>
      </c>
      <c r="U1496" s="4">
        <v>1600000</v>
      </c>
      <c r="V1496" s="4">
        <v>1904</v>
      </c>
      <c r="W1496" s="4">
        <v>19</v>
      </c>
      <c r="X1496" s="4">
        <v>286</v>
      </c>
      <c r="Y1496" s="4">
        <v>0</v>
      </c>
      <c r="Z1496" s="5">
        <v>2209</v>
      </c>
      <c r="AA1496" s="5">
        <v>0</v>
      </c>
      <c r="AB1496" s="6">
        <v>0</v>
      </c>
      <c r="AC1496" s="4">
        <v>2209</v>
      </c>
      <c r="AD1496" s="4">
        <v>0</v>
      </c>
      <c r="AE1496" s="4">
        <v>2209</v>
      </c>
      <c r="AF1496" s="1"/>
      <c r="AG1496" s="1"/>
      <c r="AH1496" s="1"/>
      <c r="AI1496" s="1" t="s">
        <v>3432</v>
      </c>
      <c r="AJ1496" s="6">
        <v>1978.149999999988</v>
      </c>
      <c r="AK1496" s="6">
        <v>1004.31</v>
      </c>
      <c r="AL1496" s="1"/>
    </row>
    <row r="1497" spans="1:38" hidden="1" x14ac:dyDescent="0.25">
      <c r="A1497" s="2">
        <v>1994</v>
      </c>
      <c r="B1497" s="1" t="s">
        <v>1743</v>
      </c>
      <c r="C1497" s="1" t="s">
        <v>1747</v>
      </c>
      <c r="D1497" s="1" t="s">
        <v>2062</v>
      </c>
      <c r="E1497" s="1" t="s">
        <v>2063</v>
      </c>
      <c r="F1497" s="3">
        <v>45743</v>
      </c>
      <c r="G1497" s="3">
        <v>45378</v>
      </c>
      <c r="H1497" s="3">
        <v>45742</v>
      </c>
      <c r="I1497" s="1" t="s">
        <v>3762</v>
      </c>
      <c r="J1497" s="1" t="s">
        <v>3763</v>
      </c>
      <c r="K1497" s="1"/>
      <c r="L1497" s="1" t="s">
        <v>2299</v>
      </c>
      <c r="M1497" s="1" t="s">
        <v>3764</v>
      </c>
      <c r="N1497" s="1" t="s">
        <v>3765</v>
      </c>
      <c r="O1497" s="1" t="s">
        <v>3766</v>
      </c>
      <c r="P1497" s="1" t="s">
        <v>2119</v>
      </c>
      <c r="Q1497" s="1"/>
      <c r="R1497" s="1"/>
      <c r="S1497" s="1" t="s">
        <v>2072</v>
      </c>
      <c r="T1497" s="1" t="s">
        <v>2073</v>
      </c>
      <c r="U1497" s="4">
        <v>1600000</v>
      </c>
      <c r="V1497" s="4">
        <v>1863</v>
      </c>
      <c r="W1497" s="4">
        <v>19</v>
      </c>
      <c r="X1497" s="4">
        <v>280</v>
      </c>
      <c r="Y1497" s="4">
        <v>0</v>
      </c>
      <c r="Z1497" s="5">
        <v>2162</v>
      </c>
      <c r="AA1497" s="5">
        <v>0</v>
      </c>
      <c r="AB1497" s="6">
        <v>0</v>
      </c>
      <c r="AC1497" s="4">
        <v>2162</v>
      </c>
      <c r="AD1497" s="4">
        <v>0</v>
      </c>
      <c r="AE1497" s="4">
        <v>2162</v>
      </c>
      <c r="AF1497" s="1"/>
      <c r="AG1497" s="1"/>
      <c r="AH1497" s="1"/>
      <c r="AI1497" s="1" t="s">
        <v>3432</v>
      </c>
      <c r="AJ1497" s="6">
        <v>1506.279999999997</v>
      </c>
      <c r="AK1497" s="6">
        <v>983.09</v>
      </c>
      <c r="AL1497" s="1"/>
    </row>
    <row r="1498" spans="1:38" hidden="1" x14ac:dyDescent="0.25">
      <c r="A1498" s="2">
        <v>1995</v>
      </c>
      <c r="B1498" s="1" t="s">
        <v>1743</v>
      </c>
      <c r="C1498" s="1" t="s">
        <v>1748</v>
      </c>
      <c r="D1498" s="1" t="s">
        <v>2062</v>
      </c>
      <c r="E1498" s="1" t="s">
        <v>2063</v>
      </c>
      <c r="F1498" s="3">
        <v>45745</v>
      </c>
      <c r="G1498" s="3">
        <v>45378</v>
      </c>
      <c r="H1498" s="3">
        <v>45742</v>
      </c>
      <c r="I1498" s="1" t="s">
        <v>3762</v>
      </c>
      <c r="J1498" s="1" t="s">
        <v>3763</v>
      </c>
      <c r="K1498" s="1"/>
      <c r="L1498" s="1" t="s">
        <v>2299</v>
      </c>
      <c r="M1498" s="1" t="s">
        <v>3764</v>
      </c>
      <c r="N1498" s="1" t="s">
        <v>3765</v>
      </c>
      <c r="O1498" s="1" t="s">
        <v>3766</v>
      </c>
      <c r="P1498" s="1" t="s">
        <v>2119</v>
      </c>
      <c r="Q1498" s="1"/>
      <c r="R1498" s="1"/>
      <c r="S1498" s="1" t="s">
        <v>2072</v>
      </c>
      <c r="T1498" s="1" t="s">
        <v>2073</v>
      </c>
      <c r="U1498" s="4">
        <v>-1</v>
      </c>
      <c r="V1498" s="4">
        <v>-8198</v>
      </c>
      <c r="W1498" s="4">
        <v>-73</v>
      </c>
      <c r="X1498" s="4">
        <v>0</v>
      </c>
      <c r="Y1498" s="4">
        <v>0</v>
      </c>
      <c r="Z1498" s="5">
        <v>-8271</v>
      </c>
      <c r="AA1498" s="5">
        <v>0</v>
      </c>
      <c r="AB1498" s="6">
        <v>0</v>
      </c>
      <c r="AC1498" s="4">
        <v>-8271</v>
      </c>
      <c r="AD1498" s="4">
        <v>0</v>
      </c>
      <c r="AE1498" s="4">
        <v>-8271</v>
      </c>
      <c r="AF1498" s="1"/>
      <c r="AG1498" s="1"/>
      <c r="AH1498" s="1"/>
      <c r="AI1498" s="1" t="s">
        <v>3432</v>
      </c>
      <c r="AJ1498" s="1"/>
      <c r="AK1498" s="1"/>
      <c r="AL1498" s="1"/>
    </row>
    <row r="1499" spans="1:38" x14ac:dyDescent="0.25">
      <c r="A1499" s="2">
        <v>1996</v>
      </c>
      <c r="B1499" s="1" t="s">
        <v>1749</v>
      </c>
      <c r="C1499" s="1"/>
      <c r="D1499" s="1" t="s">
        <v>2062</v>
      </c>
      <c r="E1499" s="1" t="s">
        <v>2063</v>
      </c>
      <c r="F1499" s="3">
        <v>45399</v>
      </c>
      <c r="G1499" s="3">
        <v>45353</v>
      </c>
      <c r="H1499" s="3">
        <v>45717</v>
      </c>
      <c r="I1499" s="1" t="s">
        <v>3767</v>
      </c>
      <c r="J1499" s="1" t="s">
        <v>3768</v>
      </c>
      <c r="K1499" s="1"/>
      <c r="L1499" s="1" t="s">
        <v>2698</v>
      </c>
      <c r="M1499" s="1" t="s">
        <v>3769</v>
      </c>
      <c r="N1499" s="1" t="s">
        <v>3770</v>
      </c>
      <c r="O1499" s="1" t="s">
        <v>3771</v>
      </c>
      <c r="P1499" s="1" t="s">
        <v>2103</v>
      </c>
      <c r="Q1499" s="1" t="s">
        <v>3772</v>
      </c>
      <c r="R1499" s="1"/>
      <c r="S1499" s="1" t="s">
        <v>2072</v>
      </c>
      <c r="T1499" s="1" t="s">
        <v>2073</v>
      </c>
      <c r="U1499" s="4">
        <v>-1</v>
      </c>
      <c r="V1499" s="4">
        <v>0</v>
      </c>
      <c r="W1499" s="4">
        <v>0</v>
      </c>
      <c r="X1499" s="4">
        <v>0</v>
      </c>
      <c r="Y1499" s="4">
        <v>50</v>
      </c>
      <c r="Z1499" s="5">
        <v>50</v>
      </c>
      <c r="AA1499" s="5">
        <v>0</v>
      </c>
      <c r="AB1499" s="6">
        <v>0</v>
      </c>
      <c r="AC1499" s="4">
        <v>50</v>
      </c>
      <c r="AD1499" s="4">
        <v>0</v>
      </c>
      <c r="AE1499" s="4">
        <v>50</v>
      </c>
      <c r="AF1499" s="1"/>
      <c r="AG1499" s="1"/>
      <c r="AH1499" s="1"/>
      <c r="AI1499" s="1" t="s">
        <v>3432</v>
      </c>
      <c r="AJ1499" s="1"/>
      <c r="AK1499" s="1"/>
      <c r="AL1499" s="1" t="s">
        <v>3773</v>
      </c>
    </row>
    <row r="1500" spans="1:38" hidden="1" x14ac:dyDescent="0.25">
      <c r="A1500" s="2">
        <v>1997</v>
      </c>
      <c r="B1500" s="1" t="s">
        <v>1749</v>
      </c>
      <c r="C1500" s="1" t="s">
        <v>1750</v>
      </c>
      <c r="D1500" s="1" t="s">
        <v>2062</v>
      </c>
      <c r="E1500" s="1" t="s">
        <v>2063</v>
      </c>
      <c r="F1500" s="3">
        <v>45414</v>
      </c>
      <c r="G1500" s="3">
        <v>45353</v>
      </c>
      <c r="H1500" s="3">
        <v>45717</v>
      </c>
      <c r="I1500" s="1" t="s">
        <v>3767</v>
      </c>
      <c r="J1500" s="1" t="s">
        <v>3768</v>
      </c>
      <c r="K1500" s="1"/>
      <c r="L1500" s="1" t="s">
        <v>2698</v>
      </c>
      <c r="M1500" s="1" t="s">
        <v>3769</v>
      </c>
      <c r="N1500" s="1" t="s">
        <v>3770</v>
      </c>
      <c r="O1500" s="1" t="s">
        <v>3771</v>
      </c>
      <c r="P1500" s="1" t="s">
        <v>2103</v>
      </c>
      <c r="Q1500" s="1" t="s">
        <v>3772</v>
      </c>
      <c r="R1500" s="1"/>
      <c r="S1500" s="1" t="s">
        <v>2072</v>
      </c>
      <c r="T1500" s="1" t="s">
        <v>2073</v>
      </c>
      <c r="U1500" s="4">
        <v>1200000</v>
      </c>
      <c r="V1500" s="4">
        <v>143</v>
      </c>
      <c r="W1500" s="4">
        <v>1</v>
      </c>
      <c r="X1500" s="4">
        <v>19</v>
      </c>
      <c r="Y1500" s="4">
        <v>0</v>
      </c>
      <c r="Z1500" s="5">
        <v>163</v>
      </c>
      <c r="AA1500" s="5">
        <v>0</v>
      </c>
      <c r="AB1500" s="6">
        <v>0</v>
      </c>
      <c r="AC1500" s="4">
        <v>163</v>
      </c>
      <c r="AD1500" s="4">
        <v>0</v>
      </c>
      <c r="AE1500" s="4">
        <v>163</v>
      </c>
      <c r="AF1500" s="1"/>
      <c r="AG1500" s="1"/>
      <c r="AH1500" s="1"/>
      <c r="AI1500" s="1" t="s">
        <v>3432</v>
      </c>
      <c r="AJ1500" s="6">
        <v>99.189999999999984</v>
      </c>
      <c r="AK1500" s="6">
        <v>99.189999999999984</v>
      </c>
      <c r="AL1500" s="1"/>
    </row>
    <row r="1501" spans="1:38" hidden="1" x14ac:dyDescent="0.25">
      <c r="A1501" s="2">
        <v>1998</v>
      </c>
      <c r="B1501" s="1" t="s">
        <v>1749</v>
      </c>
      <c r="C1501" s="1" t="s">
        <v>1751</v>
      </c>
      <c r="D1501" s="1" t="s">
        <v>2062</v>
      </c>
      <c r="E1501" s="1" t="s">
        <v>2063</v>
      </c>
      <c r="F1501" s="3">
        <v>45596</v>
      </c>
      <c r="G1501" s="3">
        <v>45353</v>
      </c>
      <c r="H1501" s="3">
        <v>45717</v>
      </c>
      <c r="I1501" s="1" t="s">
        <v>3767</v>
      </c>
      <c r="J1501" s="1" t="s">
        <v>3768</v>
      </c>
      <c r="K1501" s="1"/>
      <c r="L1501" s="1" t="s">
        <v>2698</v>
      </c>
      <c r="M1501" s="1" t="s">
        <v>3769</v>
      </c>
      <c r="N1501" s="1" t="s">
        <v>3770</v>
      </c>
      <c r="O1501" s="1" t="s">
        <v>3771</v>
      </c>
      <c r="P1501" s="1" t="s">
        <v>2103</v>
      </c>
      <c r="Q1501" s="1" t="s">
        <v>3772</v>
      </c>
      <c r="R1501" s="1"/>
      <c r="S1501" s="1" t="s">
        <v>2072</v>
      </c>
      <c r="T1501" s="1" t="s">
        <v>2073</v>
      </c>
      <c r="U1501" s="4">
        <v>-1</v>
      </c>
      <c r="V1501" s="4">
        <v>-211</v>
      </c>
      <c r="W1501" s="4">
        <v>-2</v>
      </c>
      <c r="X1501" s="4">
        <v>0</v>
      </c>
      <c r="Y1501" s="4">
        <v>0</v>
      </c>
      <c r="Z1501" s="5">
        <v>-213</v>
      </c>
      <c r="AA1501" s="5">
        <v>0</v>
      </c>
      <c r="AB1501" s="6">
        <v>0</v>
      </c>
      <c r="AC1501" s="4">
        <v>-213</v>
      </c>
      <c r="AD1501" s="4">
        <v>0</v>
      </c>
      <c r="AE1501" s="4">
        <v>-213</v>
      </c>
      <c r="AF1501" s="1"/>
      <c r="AG1501" s="1"/>
      <c r="AH1501" s="1"/>
      <c r="AI1501" s="1" t="s">
        <v>3432</v>
      </c>
      <c r="AJ1501" s="1"/>
      <c r="AK1501" s="1"/>
      <c r="AL1501" s="1"/>
    </row>
    <row r="1502" spans="1:38" x14ac:dyDescent="0.25">
      <c r="A1502" s="2">
        <v>2000</v>
      </c>
      <c r="B1502" s="1" t="s">
        <v>1752</v>
      </c>
      <c r="C1502" s="1"/>
      <c r="D1502" s="1" t="s">
        <v>2062</v>
      </c>
      <c r="E1502" s="1" t="s">
        <v>2063</v>
      </c>
      <c r="F1502" s="3">
        <v>45399</v>
      </c>
      <c r="G1502" s="3">
        <v>45339</v>
      </c>
      <c r="H1502" s="3">
        <v>45704</v>
      </c>
      <c r="I1502" s="1" t="s">
        <v>2347</v>
      </c>
      <c r="J1502" s="1" t="s">
        <v>2348</v>
      </c>
      <c r="K1502" s="1"/>
      <c r="L1502" s="1" t="s">
        <v>2336</v>
      </c>
      <c r="M1502" s="1" t="s">
        <v>2349</v>
      </c>
      <c r="N1502" s="1" t="s">
        <v>2350</v>
      </c>
      <c r="O1502" s="1" t="s">
        <v>2351</v>
      </c>
      <c r="P1502" s="1" t="s">
        <v>2182</v>
      </c>
      <c r="Q1502" s="1" t="s">
        <v>2352</v>
      </c>
      <c r="R1502" s="1"/>
      <c r="S1502" s="1" t="s">
        <v>2072</v>
      </c>
      <c r="T1502" s="1" t="s">
        <v>2073</v>
      </c>
      <c r="U1502" s="4">
        <v>-1</v>
      </c>
      <c r="V1502" s="4">
        <v>0</v>
      </c>
      <c r="W1502" s="4">
        <v>0</v>
      </c>
      <c r="X1502" s="4">
        <v>0</v>
      </c>
      <c r="Y1502" s="4">
        <v>50</v>
      </c>
      <c r="Z1502" s="5">
        <v>50</v>
      </c>
      <c r="AA1502" s="5">
        <v>0</v>
      </c>
      <c r="AB1502" s="6">
        <v>0</v>
      </c>
      <c r="AC1502" s="4">
        <v>50</v>
      </c>
      <c r="AD1502" s="4">
        <v>0</v>
      </c>
      <c r="AE1502" s="4">
        <v>50</v>
      </c>
      <c r="AF1502" s="1"/>
      <c r="AG1502" s="1"/>
      <c r="AH1502" s="1"/>
      <c r="AI1502" s="1" t="s">
        <v>3432</v>
      </c>
      <c r="AJ1502" s="1"/>
      <c r="AK1502" s="1"/>
      <c r="AL1502" s="1" t="s">
        <v>3774</v>
      </c>
    </row>
    <row r="1503" spans="1:38" hidden="1" x14ac:dyDescent="0.25">
      <c r="A1503" s="2">
        <v>2001</v>
      </c>
      <c r="B1503" s="1" t="s">
        <v>1752</v>
      </c>
      <c r="C1503" s="1" t="s">
        <v>1753</v>
      </c>
      <c r="D1503" s="1" t="s">
        <v>2062</v>
      </c>
      <c r="E1503" s="1" t="s">
        <v>2063</v>
      </c>
      <c r="F1503" s="3">
        <v>45429</v>
      </c>
      <c r="G1503" s="3">
        <v>45339</v>
      </c>
      <c r="H1503" s="3">
        <v>45704</v>
      </c>
      <c r="I1503" s="1" t="s">
        <v>2347</v>
      </c>
      <c r="J1503" s="1" t="s">
        <v>2348</v>
      </c>
      <c r="K1503" s="1"/>
      <c r="L1503" s="1" t="s">
        <v>2336</v>
      </c>
      <c r="M1503" s="1" t="s">
        <v>2349</v>
      </c>
      <c r="N1503" s="1" t="s">
        <v>2350</v>
      </c>
      <c r="O1503" s="1" t="s">
        <v>2351</v>
      </c>
      <c r="P1503" s="1" t="s">
        <v>2182</v>
      </c>
      <c r="Q1503" s="1" t="s">
        <v>2352</v>
      </c>
      <c r="R1503" s="1"/>
      <c r="S1503" s="1" t="s">
        <v>2072</v>
      </c>
      <c r="T1503" s="1" t="s">
        <v>2073</v>
      </c>
      <c r="U1503" s="4">
        <v>3200000</v>
      </c>
      <c r="V1503" s="4">
        <v>3750</v>
      </c>
      <c r="W1503" s="4">
        <v>38</v>
      </c>
      <c r="X1503" s="4">
        <v>488</v>
      </c>
      <c r="Y1503" s="4">
        <v>0</v>
      </c>
      <c r="Z1503" s="5">
        <v>4276</v>
      </c>
      <c r="AA1503" s="5">
        <v>0</v>
      </c>
      <c r="AB1503" s="6">
        <v>0</v>
      </c>
      <c r="AC1503" s="4">
        <v>4276</v>
      </c>
      <c r="AD1503" s="4">
        <v>0</v>
      </c>
      <c r="AE1503" s="4">
        <v>4276</v>
      </c>
      <c r="AF1503" s="1"/>
      <c r="AG1503" s="1"/>
      <c r="AH1503" s="1"/>
      <c r="AI1503" s="1" t="s">
        <v>3432</v>
      </c>
      <c r="AJ1503" s="6">
        <v>2482.36</v>
      </c>
      <c r="AK1503" s="6">
        <v>976.39</v>
      </c>
      <c r="AL1503" s="1"/>
    </row>
    <row r="1504" spans="1:38" hidden="1" x14ac:dyDescent="0.25">
      <c r="A1504" s="2">
        <v>2002</v>
      </c>
      <c r="B1504" s="1" t="s">
        <v>1752</v>
      </c>
      <c r="C1504" s="1" t="s">
        <v>1754</v>
      </c>
      <c r="D1504" s="1" t="s">
        <v>2062</v>
      </c>
      <c r="E1504" s="1" t="s">
        <v>2063</v>
      </c>
      <c r="F1504" s="3">
        <v>45463</v>
      </c>
      <c r="G1504" s="3">
        <v>45339</v>
      </c>
      <c r="H1504" s="3">
        <v>45704</v>
      </c>
      <c r="I1504" s="1" t="s">
        <v>2347</v>
      </c>
      <c r="J1504" s="1" t="s">
        <v>2348</v>
      </c>
      <c r="K1504" s="1"/>
      <c r="L1504" s="1" t="s">
        <v>2336</v>
      </c>
      <c r="M1504" s="1" t="s">
        <v>2349</v>
      </c>
      <c r="N1504" s="1" t="s">
        <v>2350</v>
      </c>
      <c r="O1504" s="1" t="s">
        <v>2351</v>
      </c>
      <c r="P1504" s="1" t="s">
        <v>2182</v>
      </c>
      <c r="Q1504" s="1" t="s">
        <v>2352</v>
      </c>
      <c r="R1504" s="1"/>
      <c r="S1504" s="1" t="s">
        <v>2072</v>
      </c>
      <c r="T1504" s="1" t="s">
        <v>2073</v>
      </c>
      <c r="U1504" s="4">
        <v>3200000</v>
      </c>
      <c r="V1504" s="4">
        <v>3277</v>
      </c>
      <c r="W1504" s="4">
        <v>32</v>
      </c>
      <c r="X1504" s="4">
        <v>426</v>
      </c>
      <c r="Y1504" s="4">
        <v>0</v>
      </c>
      <c r="Z1504" s="5">
        <v>3735</v>
      </c>
      <c r="AA1504" s="5">
        <v>0</v>
      </c>
      <c r="AB1504" s="6">
        <v>0</v>
      </c>
      <c r="AC1504" s="4">
        <v>3735</v>
      </c>
      <c r="AD1504" s="4">
        <v>0</v>
      </c>
      <c r="AE1504" s="4">
        <v>3735</v>
      </c>
      <c r="AF1504" s="1"/>
      <c r="AG1504" s="1"/>
      <c r="AH1504" s="1"/>
      <c r="AI1504" s="1" t="s">
        <v>3432</v>
      </c>
      <c r="AJ1504" s="6">
        <v>1769.409999999998</v>
      </c>
      <c r="AK1504" s="6">
        <v>852.42</v>
      </c>
      <c r="AL1504" s="1"/>
    </row>
    <row r="1505" spans="1:38" hidden="1" x14ac:dyDescent="0.25">
      <c r="A1505" s="2">
        <v>2003</v>
      </c>
      <c r="B1505" s="1" t="s">
        <v>1752</v>
      </c>
      <c r="C1505" s="1" t="s">
        <v>1755</v>
      </c>
      <c r="D1505" s="1" t="s">
        <v>2062</v>
      </c>
      <c r="E1505" s="1" t="s">
        <v>2063</v>
      </c>
      <c r="F1505" s="3">
        <v>45492</v>
      </c>
      <c r="G1505" s="3">
        <v>45339</v>
      </c>
      <c r="H1505" s="3">
        <v>45704</v>
      </c>
      <c r="I1505" s="1" t="s">
        <v>2347</v>
      </c>
      <c r="J1505" s="1" t="s">
        <v>2348</v>
      </c>
      <c r="K1505" s="1"/>
      <c r="L1505" s="1" t="s">
        <v>2336</v>
      </c>
      <c r="M1505" s="1" t="s">
        <v>2349</v>
      </c>
      <c r="N1505" s="1" t="s">
        <v>2350</v>
      </c>
      <c r="O1505" s="1" t="s">
        <v>2351</v>
      </c>
      <c r="P1505" s="1" t="s">
        <v>2182</v>
      </c>
      <c r="Q1505" s="1" t="s">
        <v>2352</v>
      </c>
      <c r="R1505" s="1"/>
      <c r="S1505" s="1" t="s">
        <v>2072</v>
      </c>
      <c r="T1505" s="1" t="s">
        <v>2073</v>
      </c>
      <c r="U1505" s="4">
        <v>3200000</v>
      </c>
      <c r="V1505" s="4">
        <v>3195</v>
      </c>
      <c r="W1505" s="4">
        <v>32</v>
      </c>
      <c r="X1505" s="4">
        <v>479</v>
      </c>
      <c r="Y1505" s="4">
        <v>0</v>
      </c>
      <c r="Z1505" s="5">
        <v>3706</v>
      </c>
      <c r="AA1505" s="5">
        <v>0</v>
      </c>
      <c r="AB1505" s="6">
        <v>0</v>
      </c>
      <c r="AC1505" s="4">
        <v>3706</v>
      </c>
      <c r="AD1505" s="4">
        <v>0</v>
      </c>
      <c r="AE1505" s="4">
        <v>3706</v>
      </c>
      <c r="AF1505" s="1"/>
      <c r="AG1505" s="1"/>
      <c r="AH1505" s="1"/>
      <c r="AI1505" s="1" t="s">
        <v>3432</v>
      </c>
      <c r="AJ1505" s="6">
        <v>1636.499999999998</v>
      </c>
      <c r="AK1505" s="6">
        <v>846.74</v>
      </c>
      <c r="AL1505" s="1"/>
    </row>
    <row r="1506" spans="1:38" hidden="1" x14ac:dyDescent="0.25">
      <c r="A1506" s="2">
        <v>2004</v>
      </c>
      <c r="B1506" s="1" t="s">
        <v>1752</v>
      </c>
      <c r="C1506" s="1" t="s">
        <v>1756</v>
      </c>
      <c r="D1506" s="1" t="s">
        <v>2062</v>
      </c>
      <c r="E1506" s="1" t="s">
        <v>2063</v>
      </c>
      <c r="F1506" s="3">
        <v>45524</v>
      </c>
      <c r="G1506" s="3">
        <v>45339</v>
      </c>
      <c r="H1506" s="3">
        <v>45704</v>
      </c>
      <c r="I1506" s="1" t="s">
        <v>2347</v>
      </c>
      <c r="J1506" s="1" t="s">
        <v>2348</v>
      </c>
      <c r="K1506" s="1"/>
      <c r="L1506" s="1" t="s">
        <v>2336</v>
      </c>
      <c r="M1506" s="1" t="s">
        <v>2349</v>
      </c>
      <c r="N1506" s="1" t="s">
        <v>2350</v>
      </c>
      <c r="O1506" s="1" t="s">
        <v>2351</v>
      </c>
      <c r="P1506" s="1" t="s">
        <v>2182</v>
      </c>
      <c r="Q1506" s="1" t="s">
        <v>2352</v>
      </c>
      <c r="R1506" s="1"/>
      <c r="S1506" s="1" t="s">
        <v>2072</v>
      </c>
      <c r="T1506" s="1" t="s">
        <v>2073</v>
      </c>
      <c r="U1506" s="4">
        <v>3200000</v>
      </c>
      <c r="V1506" s="4">
        <v>3682</v>
      </c>
      <c r="W1506" s="4">
        <v>37</v>
      </c>
      <c r="X1506" s="4">
        <v>552</v>
      </c>
      <c r="Y1506" s="4">
        <v>0</v>
      </c>
      <c r="Z1506" s="5">
        <v>4271</v>
      </c>
      <c r="AA1506" s="5">
        <v>0</v>
      </c>
      <c r="AB1506" s="6">
        <v>0</v>
      </c>
      <c r="AC1506" s="4">
        <v>4271</v>
      </c>
      <c r="AD1506" s="4">
        <v>0</v>
      </c>
      <c r="AE1506" s="4">
        <v>4271</v>
      </c>
      <c r="AF1506" s="1"/>
      <c r="AG1506" s="1"/>
      <c r="AH1506" s="1"/>
      <c r="AI1506" s="1" t="s">
        <v>3432</v>
      </c>
      <c r="AJ1506" s="6">
        <v>1754.45</v>
      </c>
      <c r="AK1506" s="6">
        <v>975.37</v>
      </c>
      <c r="AL1506" s="1"/>
    </row>
    <row r="1507" spans="1:38" hidden="1" x14ac:dyDescent="0.25">
      <c r="A1507" s="2">
        <v>2005</v>
      </c>
      <c r="B1507" s="1" t="s">
        <v>1752</v>
      </c>
      <c r="C1507" s="1" t="s">
        <v>1757</v>
      </c>
      <c r="D1507" s="1" t="s">
        <v>2062</v>
      </c>
      <c r="E1507" s="1" t="s">
        <v>2063</v>
      </c>
      <c r="F1507" s="3">
        <v>45559</v>
      </c>
      <c r="G1507" s="3">
        <v>45339</v>
      </c>
      <c r="H1507" s="3">
        <v>45704</v>
      </c>
      <c r="I1507" s="1" t="s">
        <v>2347</v>
      </c>
      <c r="J1507" s="1" t="s">
        <v>2348</v>
      </c>
      <c r="K1507" s="1"/>
      <c r="L1507" s="1" t="s">
        <v>2336</v>
      </c>
      <c r="M1507" s="1" t="s">
        <v>2349</v>
      </c>
      <c r="N1507" s="1" t="s">
        <v>2350</v>
      </c>
      <c r="O1507" s="1" t="s">
        <v>2351</v>
      </c>
      <c r="P1507" s="1" t="s">
        <v>2182</v>
      </c>
      <c r="Q1507" s="1" t="s">
        <v>2352</v>
      </c>
      <c r="R1507" s="1"/>
      <c r="S1507" s="1" t="s">
        <v>2072</v>
      </c>
      <c r="T1507" s="1" t="s">
        <v>2073</v>
      </c>
      <c r="U1507" s="4">
        <v>3200000</v>
      </c>
      <c r="V1507" s="4">
        <v>3322</v>
      </c>
      <c r="W1507" s="4">
        <v>33</v>
      </c>
      <c r="X1507" s="4">
        <v>498</v>
      </c>
      <c r="Y1507" s="4">
        <v>0</v>
      </c>
      <c r="Z1507" s="5">
        <v>3853</v>
      </c>
      <c r="AA1507" s="5">
        <v>0</v>
      </c>
      <c r="AB1507" s="6">
        <v>0</v>
      </c>
      <c r="AC1507" s="4">
        <v>3853</v>
      </c>
      <c r="AD1507" s="4">
        <v>0</v>
      </c>
      <c r="AE1507" s="4">
        <v>3853</v>
      </c>
      <c r="AF1507" s="1"/>
      <c r="AG1507" s="1"/>
      <c r="AH1507" s="1"/>
      <c r="AI1507" s="1" t="s">
        <v>3432</v>
      </c>
      <c r="AJ1507" s="6">
        <v>1291.1300000000001</v>
      </c>
      <c r="AK1507" s="6">
        <v>879.95</v>
      </c>
      <c r="AL1507" s="1"/>
    </row>
    <row r="1508" spans="1:38" hidden="1" x14ac:dyDescent="0.25">
      <c r="A1508" s="2">
        <v>2006</v>
      </c>
      <c r="B1508" s="1" t="s">
        <v>1752</v>
      </c>
      <c r="C1508" s="1" t="s">
        <v>1758</v>
      </c>
      <c r="D1508" s="1" t="s">
        <v>2062</v>
      </c>
      <c r="E1508" s="1" t="s">
        <v>2063</v>
      </c>
      <c r="F1508" s="3">
        <v>45586</v>
      </c>
      <c r="G1508" s="3">
        <v>45339</v>
      </c>
      <c r="H1508" s="3">
        <v>45704</v>
      </c>
      <c r="I1508" s="1" t="s">
        <v>2347</v>
      </c>
      <c r="J1508" s="1" t="s">
        <v>2348</v>
      </c>
      <c r="K1508" s="1"/>
      <c r="L1508" s="1" t="s">
        <v>2336</v>
      </c>
      <c r="M1508" s="1" t="s">
        <v>2349</v>
      </c>
      <c r="N1508" s="1" t="s">
        <v>2350</v>
      </c>
      <c r="O1508" s="1" t="s">
        <v>2351</v>
      </c>
      <c r="P1508" s="1" t="s">
        <v>2182</v>
      </c>
      <c r="Q1508" s="1" t="s">
        <v>2352</v>
      </c>
      <c r="R1508" s="1"/>
      <c r="S1508" s="1" t="s">
        <v>2072</v>
      </c>
      <c r="T1508" s="1" t="s">
        <v>2073</v>
      </c>
      <c r="U1508" s="4">
        <v>3200000</v>
      </c>
      <c r="V1508" s="4">
        <v>4040</v>
      </c>
      <c r="W1508" s="4">
        <v>40</v>
      </c>
      <c r="X1508" s="4">
        <v>606</v>
      </c>
      <c r="Y1508" s="4">
        <v>0</v>
      </c>
      <c r="Z1508" s="5">
        <v>4686</v>
      </c>
      <c r="AA1508" s="5">
        <v>0</v>
      </c>
      <c r="AB1508" s="6">
        <v>0</v>
      </c>
      <c r="AC1508" s="4">
        <v>4686</v>
      </c>
      <c r="AD1508" s="4">
        <v>0</v>
      </c>
      <c r="AE1508" s="4">
        <v>4686</v>
      </c>
      <c r="AF1508" s="1"/>
      <c r="AG1508" s="1"/>
      <c r="AH1508" s="1"/>
      <c r="AI1508" s="1" t="s">
        <v>3432</v>
      </c>
      <c r="AJ1508" s="6">
        <v>2211.0100000000002</v>
      </c>
      <c r="AK1508" s="6">
        <v>1070.1400000000001</v>
      </c>
      <c r="AL1508" s="1"/>
    </row>
    <row r="1509" spans="1:38" hidden="1" x14ac:dyDescent="0.25">
      <c r="A1509" s="2">
        <v>2007</v>
      </c>
      <c r="B1509" s="1" t="s">
        <v>1752</v>
      </c>
      <c r="C1509" s="1" t="s">
        <v>1759</v>
      </c>
      <c r="D1509" s="1" t="s">
        <v>2062</v>
      </c>
      <c r="E1509" s="1" t="s">
        <v>2063</v>
      </c>
      <c r="F1509" s="3">
        <v>45596</v>
      </c>
      <c r="G1509" s="3">
        <v>45339</v>
      </c>
      <c r="H1509" s="3">
        <v>45704</v>
      </c>
      <c r="I1509" s="1" t="s">
        <v>2347</v>
      </c>
      <c r="J1509" s="1" t="s">
        <v>2348</v>
      </c>
      <c r="K1509" s="1"/>
      <c r="L1509" s="1" t="s">
        <v>2336</v>
      </c>
      <c r="M1509" s="1" t="s">
        <v>2349</v>
      </c>
      <c r="N1509" s="1" t="s">
        <v>2350</v>
      </c>
      <c r="O1509" s="1" t="s">
        <v>2351</v>
      </c>
      <c r="P1509" s="1" t="s">
        <v>2182</v>
      </c>
      <c r="Q1509" s="1" t="s">
        <v>2352</v>
      </c>
      <c r="R1509" s="1"/>
      <c r="S1509" s="1" t="s">
        <v>2072</v>
      </c>
      <c r="T1509" s="1" t="s">
        <v>2073</v>
      </c>
      <c r="U1509" s="4">
        <v>-1</v>
      </c>
      <c r="V1509" s="4">
        <v>-24334</v>
      </c>
      <c r="W1509" s="4">
        <v>-243</v>
      </c>
      <c r="X1509" s="4">
        <v>0</v>
      </c>
      <c r="Y1509" s="4">
        <v>0</v>
      </c>
      <c r="Z1509" s="5">
        <v>-24577</v>
      </c>
      <c r="AA1509" s="5">
        <v>0</v>
      </c>
      <c r="AB1509" s="6">
        <v>0</v>
      </c>
      <c r="AC1509" s="4">
        <v>-24577</v>
      </c>
      <c r="AD1509" s="4">
        <v>0</v>
      </c>
      <c r="AE1509" s="4">
        <v>-24577</v>
      </c>
      <c r="AF1509" s="1"/>
      <c r="AG1509" s="1"/>
      <c r="AH1509" s="1"/>
      <c r="AI1509" s="1" t="s">
        <v>3432</v>
      </c>
      <c r="AJ1509" s="1"/>
      <c r="AK1509" s="1"/>
      <c r="AL1509" s="1"/>
    </row>
    <row r="1510" spans="1:38" x14ac:dyDescent="0.25">
      <c r="A1510" s="2">
        <v>2008</v>
      </c>
      <c r="B1510" s="1" t="s">
        <v>1760</v>
      </c>
      <c r="C1510" s="1"/>
      <c r="D1510" s="1" t="s">
        <v>2062</v>
      </c>
      <c r="E1510" s="1" t="s">
        <v>2063</v>
      </c>
      <c r="F1510" s="3">
        <v>45400</v>
      </c>
      <c r="G1510" s="3">
        <v>45399</v>
      </c>
      <c r="H1510" s="3">
        <v>45763</v>
      </c>
      <c r="I1510" s="1" t="s">
        <v>3775</v>
      </c>
      <c r="J1510" s="1" t="s">
        <v>3776</v>
      </c>
      <c r="K1510" s="1"/>
      <c r="L1510" s="1" t="s">
        <v>2765</v>
      </c>
      <c r="M1510" s="1" t="s">
        <v>3777</v>
      </c>
      <c r="N1510" s="1" t="s">
        <v>3778</v>
      </c>
      <c r="O1510" s="1" t="s">
        <v>3779</v>
      </c>
      <c r="P1510" s="1" t="s">
        <v>2081</v>
      </c>
      <c r="Q1510" s="1"/>
      <c r="R1510" s="1"/>
      <c r="S1510" s="1" t="s">
        <v>2072</v>
      </c>
      <c r="T1510" s="1" t="s">
        <v>2073</v>
      </c>
      <c r="U1510" s="4">
        <v>-1</v>
      </c>
      <c r="V1510" s="4">
        <v>0</v>
      </c>
      <c r="W1510" s="4">
        <v>0</v>
      </c>
      <c r="X1510" s="4">
        <v>0</v>
      </c>
      <c r="Y1510" s="4">
        <v>50</v>
      </c>
      <c r="Z1510" s="5">
        <v>50</v>
      </c>
      <c r="AA1510" s="5">
        <v>0</v>
      </c>
      <c r="AB1510" s="6">
        <v>0</v>
      </c>
      <c r="AC1510" s="4">
        <v>50</v>
      </c>
      <c r="AD1510" s="4">
        <v>0</v>
      </c>
      <c r="AE1510" s="4">
        <v>50</v>
      </c>
      <c r="AF1510" s="1"/>
      <c r="AG1510" s="1"/>
      <c r="AH1510" s="1"/>
      <c r="AI1510" s="1" t="s">
        <v>3432</v>
      </c>
      <c r="AJ1510" s="1"/>
      <c r="AK1510" s="1"/>
      <c r="AL1510" s="1" t="s">
        <v>3780</v>
      </c>
    </row>
    <row r="1511" spans="1:38" hidden="1" x14ac:dyDescent="0.25">
      <c r="A1511" s="2">
        <v>2009</v>
      </c>
      <c r="B1511" s="1" t="s">
        <v>1760</v>
      </c>
      <c r="C1511" s="1" t="s">
        <v>1761</v>
      </c>
      <c r="D1511" s="1" t="s">
        <v>2062</v>
      </c>
      <c r="E1511" s="1" t="s">
        <v>2063</v>
      </c>
      <c r="F1511" s="3">
        <v>45429</v>
      </c>
      <c r="G1511" s="3">
        <v>45399</v>
      </c>
      <c r="H1511" s="3">
        <v>45763</v>
      </c>
      <c r="I1511" s="1" t="s">
        <v>3775</v>
      </c>
      <c r="J1511" s="1" t="s">
        <v>3776</v>
      </c>
      <c r="K1511" s="1"/>
      <c r="L1511" s="1" t="s">
        <v>2765</v>
      </c>
      <c r="M1511" s="1" t="s">
        <v>3777</v>
      </c>
      <c r="N1511" s="1" t="s">
        <v>3778</v>
      </c>
      <c r="O1511" s="1" t="s">
        <v>3779</v>
      </c>
      <c r="P1511" s="1" t="s">
        <v>2081</v>
      </c>
      <c r="Q1511" s="1"/>
      <c r="R1511" s="1"/>
      <c r="S1511" s="1" t="s">
        <v>2072</v>
      </c>
      <c r="T1511" s="1" t="s">
        <v>2073</v>
      </c>
      <c r="U1511" s="4">
        <v>1650000</v>
      </c>
      <c r="V1511" s="4">
        <v>818</v>
      </c>
      <c r="W1511" s="4">
        <v>8</v>
      </c>
      <c r="X1511" s="4">
        <v>106</v>
      </c>
      <c r="Y1511" s="4">
        <v>0</v>
      </c>
      <c r="Z1511" s="5">
        <v>932</v>
      </c>
      <c r="AA1511" s="5">
        <v>0</v>
      </c>
      <c r="AB1511" s="6">
        <v>0</v>
      </c>
      <c r="AC1511" s="4">
        <v>932</v>
      </c>
      <c r="AD1511" s="4">
        <v>0</v>
      </c>
      <c r="AE1511" s="4">
        <v>932</v>
      </c>
      <c r="AF1511" s="1"/>
      <c r="AG1511" s="1"/>
      <c r="AH1511" s="1"/>
      <c r="AI1511" s="1" t="s">
        <v>3432</v>
      </c>
      <c r="AJ1511" s="6">
        <v>731.90000000000305</v>
      </c>
      <c r="AK1511" s="6">
        <v>413.17</v>
      </c>
      <c r="AL1511" s="1"/>
    </row>
    <row r="1512" spans="1:38" hidden="1" x14ac:dyDescent="0.25">
      <c r="A1512" s="2">
        <v>2010</v>
      </c>
      <c r="B1512" s="1" t="s">
        <v>1760</v>
      </c>
      <c r="C1512" s="1" t="s">
        <v>1762</v>
      </c>
      <c r="D1512" s="1" t="s">
        <v>2062</v>
      </c>
      <c r="E1512" s="1" t="s">
        <v>2063</v>
      </c>
      <c r="F1512" s="3">
        <v>45463</v>
      </c>
      <c r="G1512" s="3">
        <v>45399</v>
      </c>
      <c r="H1512" s="3">
        <v>45763</v>
      </c>
      <c r="I1512" s="1" t="s">
        <v>3775</v>
      </c>
      <c r="J1512" s="1" t="s">
        <v>3776</v>
      </c>
      <c r="K1512" s="1"/>
      <c r="L1512" s="1" t="s">
        <v>2765</v>
      </c>
      <c r="M1512" s="1" t="s">
        <v>3777</v>
      </c>
      <c r="N1512" s="1" t="s">
        <v>3778</v>
      </c>
      <c r="O1512" s="1" t="s">
        <v>3779</v>
      </c>
      <c r="P1512" s="1" t="s">
        <v>2081</v>
      </c>
      <c r="Q1512" s="1"/>
      <c r="R1512" s="1"/>
      <c r="S1512" s="1" t="s">
        <v>2072</v>
      </c>
      <c r="T1512" s="1" t="s">
        <v>2073</v>
      </c>
      <c r="U1512" s="4">
        <v>1650000</v>
      </c>
      <c r="V1512" s="4">
        <v>1509</v>
      </c>
      <c r="W1512" s="4">
        <v>15</v>
      </c>
      <c r="X1512" s="4">
        <v>197</v>
      </c>
      <c r="Y1512" s="4">
        <v>0</v>
      </c>
      <c r="Z1512" s="5">
        <v>1721</v>
      </c>
      <c r="AA1512" s="5">
        <v>0</v>
      </c>
      <c r="AB1512" s="6">
        <v>0</v>
      </c>
      <c r="AC1512" s="4">
        <v>1721</v>
      </c>
      <c r="AD1512" s="4">
        <v>0</v>
      </c>
      <c r="AE1512" s="4">
        <v>1721</v>
      </c>
      <c r="AF1512" s="1"/>
      <c r="AG1512" s="1"/>
      <c r="AH1512" s="1"/>
      <c r="AI1512" s="1" t="s">
        <v>3432</v>
      </c>
      <c r="AJ1512" s="6">
        <v>1100.8299999999979</v>
      </c>
      <c r="AK1512" s="6">
        <v>759.9</v>
      </c>
      <c r="AL1512" s="1"/>
    </row>
    <row r="1513" spans="1:38" hidden="1" x14ac:dyDescent="0.25">
      <c r="A1513" s="2">
        <v>2011</v>
      </c>
      <c r="B1513" s="1" t="s">
        <v>1760</v>
      </c>
      <c r="C1513" s="1" t="s">
        <v>1763</v>
      </c>
      <c r="D1513" s="1" t="s">
        <v>2062</v>
      </c>
      <c r="E1513" s="1" t="s">
        <v>2063</v>
      </c>
      <c r="F1513" s="3">
        <v>45492</v>
      </c>
      <c r="G1513" s="3">
        <v>45399</v>
      </c>
      <c r="H1513" s="3">
        <v>45763</v>
      </c>
      <c r="I1513" s="1" t="s">
        <v>3775</v>
      </c>
      <c r="J1513" s="1" t="s">
        <v>3776</v>
      </c>
      <c r="K1513" s="1"/>
      <c r="L1513" s="1" t="s">
        <v>2765</v>
      </c>
      <c r="M1513" s="1" t="s">
        <v>3777</v>
      </c>
      <c r="N1513" s="1" t="s">
        <v>3778</v>
      </c>
      <c r="O1513" s="1" t="s">
        <v>3779</v>
      </c>
      <c r="P1513" s="1" t="s">
        <v>2081</v>
      </c>
      <c r="Q1513" s="1"/>
      <c r="R1513" s="1"/>
      <c r="S1513" s="1" t="s">
        <v>2072</v>
      </c>
      <c r="T1513" s="1" t="s">
        <v>2073</v>
      </c>
      <c r="U1513" s="4">
        <v>1650000</v>
      </c>
      <c r="V1513" s="4">
        <v>2105</v>
      </c>
      <c r="W1513" s="4">
        <v>21</v>
      </c>
      <c r="X1513" s="4">
        <v>316</v>
      </c>
      <c r="Y1513" s="4">
        <v>0</v>
      </c>
      <c r="Z1513" s="5">
        <v>2442</v>
      </c>
      <c r="AA1513" s="5">
        <v>0</v>
      </c>
      <c r="AB1513" s="6">
        <v>0</v>
      </c>
      <c r="AC1513" s="4">
        <v>2442</v>
      </c>
      <c r="AD1513" s="4">
        <v>0</v>
      </c>
      <c r="AE1513" s="4">
        <v>2442</v>
      </c>
      <c r="AF1513" s="1"/>
      <c r="AG1513" s="1"/>
      <c r="AH1513" s="1"/>
      <c r="AI1513" s="1" t="s">
        <v>3432</v>
      </c>
      <c r="AJ1513" s="6">
        <v>1486.4599999999971</v>
      </c>
      <c r="AK1513" s="6">
        <v>1078.52</v>
      </c>
      <c r="AL1513" s="1"/>
    </row>
    <row r="1514" spans="1:38" hidden="1" x14ac:dyDescent="0.25">
      <c r="A1514" s="2">
        <v>2012</v>
      </c>
      <c r="B1514" s="1" t="s">
        <v>1760</v>
      </c>
      <c r="C1514" s="1" t="s">
        <v>1764</v>
      </c>
      <c r="D1514" s="1" t="s">
        <v>2062</v>
      </c>
      <c r="E1514" s="1" t="s">
        <v>2063</v>
      </c>
      <c r="F1514" s="3">
        <v>45524</v>
      </c>
      <c r="G1514" s="3">
        <v>45399</v>
      </c>
      <c r="H1514" s="3">
        <v>45763</v>
      </c>
      <c r="I1514" s="1" t="s">
        <v>3775</v>
      </c>
      <c r="J1514" s="1" t="s">
        <v>3776</v>
      </c>
      <c r="K1514" s="1"/>
      <c r="L1514" s="1" t="s">
        <v>2765</v>
      </c>
      <c r="M1514" s="1" t="s">
        <v>3777</v>
      </c>
      <c r="N1514" s="1" t="s">
        <v>3778</v>
      </c>
      <c r="O1514" s="1" t="s">
        <v>3779</v>
      </c>
      <c r="P1514" s="1" t="s">
        <v>2081</v>
      </c>
      <c r="Q1514" s="1"/>
      <c r="R1514" s="1"/>
      <c r="S1514" s="1" t="s">
        <v>2072</v>
      </c>
      <c r="T1514" s="1" t="s">
        <v>2073</v>
      </c>
      <c r="U1514" s="4">
        <v>1650000</v>
      </c>
      <c r="V1514" s="4">
        <v>2184</v>
      </c>
      <c r="W1514" s="4">
        <v>22</v>
      </c>
      <c r="X1514" s="4">
        <v>328</v>
      </c>
      <c r="Y1514" s="4">
        <v>0</v>
      </c>
      <c r="Z1514" s="5">
        <v>2534</v>
      </c>
      <c r="AA1514" s="5">
        <v>0</v>
      </c>
      <c r="AB1514" s="6">
        <v>0</v>
      </c>
      <c r="AC1514" s="4">
        <v>2534</v>
      </c>
      <c r="AD1514" s="4">
        <v>0</v>
      </c>
      <c r="AE1514" s="4">
        <v>2534</v>
      </c>
      <c r="AF1514" s="1"/>
      <c r="AG1514" s="1"/>
      <c r="AH1514" s="1"/>
      <c r="AI1514" s="1" t="s">
        <v>3432</v>
      </c>
      <c r="AJ1514" s="6">
        <v>1656.309999999999</v>
      </c>
      <c r="AK1514" s="6">
        <v>1119.0800000000002</v>
      </c>
      <c r="AL1514" s="1"/>
    </row>
    <row r="1515" spans="1:38" hidden="1" x14ac:dyDescent="0.25">
      <c r="A1515" s="2">
        <v>2013</v>
      </c>
      <c r="B1515" s="1" t="s">
        <v>1760</v>
      </c>
      <c r="C1515" s="1" t="s">
        <v>1765</v>
      </c>
      <c r="D1515" s="1" t="s">
        <v>2062</v>
      </c>
      <c r="E1515" s="1" t="s">
        <v>2063</v>
      </c>
      <c r="F1515" s="3">
        <v>45559</v>
      </c>
      <c r="G1515" s="3">
        <v>45399</v>
      </c>
      <c r="H1515" s="3">
        <v>45763</v>
      </c>
      <c r="I1515" s="1" t="s">
        <v>3775</v>
      </c>
      <c r="J1515" s="1" t="s">
        <v>3776</v>
      </c>
      <c r="K1515" s="1"/>
      <c r="L1515" s="1" t="s">
        <v>2765</v>
      </c>
      <c r="M1515" s="1" t="s">
        <v>3777</v>
      </c>
      <c r="N1515" s="1" t="s">
        <v>3778</v>
      </c>
      <c r="O1515" s="1" t="s">
        <v>3779</v>
      </c>
      <c r="P1515" s="1" t="s">
        <v>2081</v>
      </c>
      <c r="Q1515" s="1"/>
      <c r="R1515" s="1"/>
      <c r="S1515" s="1" t="s">
        <v>2072</v>
      </c>
      <c r="T1515" s="1" t="s">
        <v>2073</v>
      </c>
      <c r="U1515" s="4">
        <v>1650000</v>
      </c>
      <c r="V1515" s="4">
        <v>1711</v>
      </c>
      <c r="W1515" s="4">
        <v>17</v>
      </c>
      <c r="X1515" s="4">
        <v>257</v>
      </c>
      <c r="Y1515" s="4">
        <v>0</v>
      </c>
      <c r="Z1515" s="5">
        <v>1985</v>
      </c>
      <c r="AA1515" s="5">
        <v>0</v>
      </c>
      <c r="AB1515" s="6">
        <v>0</v>
      </c>
      <c r="AC1515" s="4">
        <v>1985</v>
      </c>
      <c r="AD1515" s="4">
        <v>0</v>
      </c>
      <c r="AE1515" s="4">
        <v>1985</v>
      </c>
      <c r="AF1515" s="1"/>
      <c r="AG1515" s="1"/>
      <c r="AH1515" s="1"/>
      <c r="AI1515" s="1" t="s">
        <v>3432</v>
      </c>
      <c r="AJ1515" s="6">
        <v>1238.6099999999963</v>
      </c>
      <c r="AK1515" s="6">
        <v>877.40000000000009</v>
      </c>
      <c r="AL1515" s="1"/>
    </row>
    <row r="1516" spans="1:38" hidden="1" x14ac:dyDescent="0.25">
      <c r="A1516" s="2">
        <v>2014</v>
      </c>
      <c r="B1516" s="1" t="s">
        <v>1760</v>
      </c>
      <c r="C1516" s="1" t="s">
        <v>1766</v>
      </c>
      <c r="D1516" s="1" t="s">
        <v>2062</v>
      </c>
      <c r="E1516" s="1" t="s">
        <v>2063</v>
      </c>
      <c r="F1516" s="3">
        <v>45586</v>
      </c>
      <c r="G1516" s="3">
        <v>45399</v>
      </c>
      <c r="H1516" s="3">
        <v>45763</v>
      </c>
      <c r="I1516" s="1" t="s">
        <v>3775</v>
      </c>
      <c r="J1516" s="1" t="s">
        <v>3776</v>
      </c>
      <c r="K1516" s="1"/>
      <c r="L1516" s="1" t="s">
        <v>2765</v>
      </c>
      <c r="M1516" s="1" t="s">
        <v>3777</v>
      </c>
      <c r="N1516" s="1" t="s">
        <v>3778</v>
      </c>
      <c r="O1516" s="1" t="s">
        <v>3779</v>
      </c>
      <c r="P1516" s="1" t="s">
        <v>2081</v>
      </c>
      <c r="Q1516" s="1"/>
      <c r="R1516" s="1"/>
      <c r="S1516" s="1" t="s">
        <v>2072</v>
      </c>
      <c r="T1516" s="1" t="s">
        <v>2073</v>
      </c>
      <c r="U1516" s="4">
        <v>1650000</v>
      </c>
      <c r="V1516" s="4">
        <v>2081</v>
      </c>
      <c r="W1516" s="4">
        <v>21</v>
      </c>
      <c r="X1516" s="4">
        <v>312</v>
      </c>
      <c r="Y1516" s="4">
        <v>0</v>
      </c>
      <c r="Z1516" s="5">
        <v>2414</v>
      </c>
      <c r="AA1516" s="5">
        <v>0</v>
      </c>
      <c r="AB1516" s="6">
        <v>0</v>
      </c>
      <c r="AC1516" s="4">
        <v>2414</v>
      </c>
      <c r="AD1516" s="4">
        <v>0</v>
      </c>
      <c r="AE1516" s="4">
        <v>2414</v>
      </c>
      <c r="AF1516" s="1"/>
      <c r="AG1516" s="1"/>
      <c r="AH1516" s="1"/>
      <c r="AI1516" s="1" t="s">
        <v>3432</v>
      </c>
      <c r="AJ1516" s="6">
        <v>1573.249999999995</v>
      </c>
      <c r="AK1516" s="6">
        <v>1066.04</v>
      </c>
      <c r="AL1516" s="1"/>
    </row>
    <row r="1517" spans="1:38" hidden="1" x14ac:dyDescent="0.25">
      <c r="A1517" s="2">
        <v>2015</v>
      </c>
      <c r="B1517" s="1" t="s">
        <v>1760</v>
      </c>
      <c r="C1517" s="1" t="s">
        <v>1767</v>
      </c>
      <c r="D1517" s="1" t="s">
        <v>2062</v>
      </c>
      <c r="E1517" s="1" t="s">
        <v>2063</v>
      </c>
      <c r="F1517" s="3">
        <v>45614</v>
      </c>
      <c r="G1517" s="3">
        <v>45399</v>
      </c>
      <c r="H1517" s="3">
        <v>45763</v>
      </c>
      <c r="I1517" s="1" t="s">
        <v>3775</v>
      </c>
      <c r="J1517" s="1" t="s">
        <v>3776</v>
      </c>
      <c r="K1517" s="1"/>
      <c r="L1517" s="1" t="s">
        <v>2765</v>
      </c>
      <c r="M1517" s="1" t="s">
        <v>3777</v>
      </c>
      <c r="N1517" s="1" t="s">
        <v>3778</v>
      </c>
      <c r="O1517" s="1" t="s">
        <v>3779</v>
      </c>
      <c r="P1517" s="1" t="s">
        <v>2081</v>
      </c>
      <c r="Q1517" s="1"/>
      <c r="R1517" s="1"/>
      <c r="S1517" s="1" t="s">
        <v>2072</v>
      </c>
      <c r="T1517" s="1" t="s">
        <v>2073</v>
      </c>
      <c r="U1517" s="4">
        <v>1650000</v>
      </c>
      <c r="V1517" s="4">
        <v>2112</v>
      </c>
      <c r="W1517" s="4">
        <v>21</v>
      </c>
      <c r="X1517" s="4">
        <v>317</v>
      </c>
      <c r="Y1517" s="4">
        <v>0</v>
      </c>
      <c r="Z1517" s="5">
        <v>2450</v>
      </c>
      <c r="AA1517" s="5">
        <v>0</v>
      </c>
      <c r="AB1517" s="6">
        <v>0</v>
      </c>
      <c r="AC1517" s="4">
        <v>2450</v>
      </c>
      <c r="AD1517" s="4">
        <v>0</v>
      </c>
      <c r="AE1517" s="4">
        <v>2450</v>
      </c>
      <c r="AF1517" s="1"/>
      <c r="AG1517" s="1"/>
      <c r="AH1517" s="1"/>
      <c r="AI1517" s="1" t="s">
        <v>3432</v>
      </c>
      <c r="AJ1517" s="6">
        <v>1536.399999999998</v>
      </c>
      <c r="AK1517" s="6">
        <v>1082.49</v>
      </c>
      <c r="AL1517" s="1"/>
    </row>
    <row r="1518" spans="1:38" hidden="1" x14ac:dyDescent="0.25">
      <c r="A1518" s="2">
        <v>2016</v>
      </c>
      <c r="B1518" s="1" t="s">
        <v>1760</v>
      </c>
      <c r="C1518" s="1" t="s">
        <v>1768</v>
      </c>
      <c r="D1518" s="1" t="s">
        <v>2062</v>
      </c>
      <c r="E1518" s="1" t="s">
        <v>2063</v>
      </c>
      <c r="F1518" s="3">
        <v>45644</v>
      </c>
      <c r="G1518" s="3">
        <v>45399</v>
      </c>
      <c r="H1518" s="3">
        <v>45763</v>
      </c>
      <c r="I1518" s="1" t="s">
        <v>3775</v>
      </c>
      <c r="J1518" s="1" t="s">
        <v>3776</v>
      </c>
      <c r="K1518" s="1"/>
      <c r="L1518" s="1" t="s">
        <v>2765</v>
      </c>
      <c r="M1518" s="1" t="s">
        <v>3777</v>
      </c>
      <c r="N1518" s="1" t="s">
        <v>3778</v>
      </c>
      <c r="O1518" s="1" t="s">
        <v>3779</v>
      </c>
      <c r="P1518" s="1" t="s">
        <v>2081</v>
      </c>
      <c r="Q1518" s="1"/>
      <c r="R1518" s="1"/>
      <c r="S1518" s="1" t="s">
        <v>2072</v>
      </c>
      <c r="T1518" s="1" t="s">
        <v>2073</v>
      </c>
      <c r="U1518" s="4">
        <v>1650000</v>
      </c>
      <c r="V1518" s="4">
        <v>2221</v>
      </c>
      <c r="W1518" s="4">
        <v>22</v>
      </c>
      <c r="X1518" s="4">
        <v>333</v>
      </c>
      <c r="Y1518" s="4">
        <v>0</v>
      </c>
      <c r="Z1518" s="5">
        <v>2576</v>
      </c>
      <c r="AA1518" s="5">
        <v>0</v>
      </c>
      <c r="AB1518" s="6">
        <v>0</v>
      </c>
      <c r="AC1518" s="4">
        <v>2576</v>
      </c>
      <c r="AD1518" s="4">
        <v>0</v>
      </c>
      <c r="AE1518" s="4">
        <v>2576</v>
      </c>
      <c r="AF1518" s="1"/>
      <c r="AG1518" s="1"/>
      <c r="AH1518" s="1"/>
      <c r="AI1518" s="1" t="s">
        <v>3432</v>
      </c>
      <c r="AJ1518" s="6">
        <v>1577.299999999997</v>
      </c>
      <c r="AK1518" s="6">
        <v>1137.31</v>
      </c>
      <c r="AL1518" s="1"/>
    </row>
    <row r="1519" spans="1:38" hidden="1" x14ac:dyDescent="0.25">
      <c r="A1519" s="2">
        <v>2017</v>
      </c>
      <c r="B1519" s="1" t="s">
        <v>1760</v>
      </c>
      <c r="C1519" s="1" t="s">
        <v>1769</v>
      </c>
      <c r="D1519" s="1" t="s">
        <v>2062</v>
      </c>
      <c r="E1519" s="1" t="s">
        <v>2063</v>
      </c>
      <c r="F1519" s="3">
        <v>45655</v>
      </c>
      <c r="G1519" s="3">
        <v>45399</v>
      </c>
      <c r="H1519" s="3">
        <v>45763</v>
      </c>
      <c r="I1519" s="1" t="s">
        <v>3775</v>
      </c>
      <c r="J1519" s="1" t="s">
        <v>3776</v>
      </c>
      <c r="K1519" s="1"/>
      <c r="L1519" s="1" t="s">
        <v>2765</v>
      </c>
      <c r="M1519" s="1" t="s">
        <v>3777</v>
      </c>
      <c r="N1519" s="1" t="s">
        <v>3778</v>
      </c>
      <c r="O1519" s="1" t="s">
        <v>3779</v>
      </c>
      <c r="P1519" s="1" t="s">
        <v>2081</v>
      </c>
      <c r="Q1519" s="1"/>
      <c r="R1519" s="1"/>
      <c r="S1519" s="1" t="s">
        <v>2072</v>
      </c>
      <c r="T1519" s="1" t="s">
        <v>2073</v>
      </c>
      <c r="U1519" s="4">
        <v>-1</v>
      </c>
      <c r="V1519" s="4">
        <v>-16935</v>
      </c>
      <c r="W1519" s="4">
        <v>-169</v>
      </c>
      <c r="X1519" s="4">
        <v>0</v>
      </c>
      <c r="Y1519" s="4">
        <v>0</v>
      </c>
      <c r="Z1519" s="5">
        <v>-17104</v>
      </c>
      <c r="AA1519" s="5">
        <v>0</v>
      </c>
      <c r="AB1519" s="6">
        <v>0</v>
      </c>
      <c r="AC1519" s="4">
        <v>-17104</v>
      </c>
      <c r="AD1519" s="4">
        <v>0</v>
      </c>
      <c r="AE1519" s="4">
        <v>-17104</v>
      </c>
      <c r="AF1519" s="1"/>
      <c r="AG1519" s="1"/>
      <c r="AH1519" s="1"/>
      <c r="AI1519" s="1" t="s">
        <v>3432</v>
      </c>
      <c r="AJ1519" s="1"/>
      <c r="AK1519" s="1"/>
      <c r="AL1519" s="1"/>
    </row>
    <row r="1520" spans="1:38" hidden="1" x14ac:dyDescent="0.25">
      <c r="A1520" s="2">
        <v>2030</v>
      </c>
      <c r="B1520" s="1" t="s">
        <v>1770</v>
      </c>
      <c r="C1520" s="1" t="s">
        <v>1771</v>
      </c>
      <c r="D1520" s="1" t="s">
        <v>2062</v>
      </c>
      <c r="E1520" s="1" t="s">
        <v>2063</v>
      </c>
      <c r="F1520" s="3">
        <v>45429</v>
      </c>
      <c r="G1520" s="3">
        <v>45398</v>
      </c>
      <c r="H1520" s="3">
        <v>45762</v>
      </c>
      <c r="I1520" s="1" t="s">
        <v>3781</v>
      </c>
      <c r="J1520" s="1" t="s">
        <v>3782</v>
      </c>
      <c r="K1520" s="1"/>
      <c r="L1520" s="1" t="s">
        <v>2638</v>
      </c>
      <c r="M1520" s="1" t="s">
        <v>3783</v>
      </c>
      <c r="N1520" s="1" t="s">
        <v>3784</v>
      </c>
      <c r="O1520" s="1" t="s">
        <v>3785</v>
      </c>
      <c r="P1520" s="1" t="s">
        <v>2165</v>
      </c>
      <c r="Q1520" s="1"/>
      <c r="R1520" s="1"/>
      <c r="S1520" s="1" t="s">
        <v>2072</v>
      </c>
      <c r="T1520" s="1" t="s">
        <v>3165</v>
      </c>
      <c r="U1520" s="4">
        <v>5000000</v>
      </c>
      <c r="V1520" s="4">
        <v>4349</v>
      </c>
      <c r="W1520" s="4">
        <v>44</v>
      </c>
      <c r="X1520" s="4">
        <v>566</v>
      </c>
      <c r="Y1520" s="4">
        <v>0</v>
      </c>
      <c r="Z1520" s="5">
        <v>4959</v>
      </c>
      <c r="AA1520" s="5">
        <v>0</v>
      </c>
      <c r="AB1520" s="6">
        <v>0</v>
      </c>
      <c r="AC1520" s="4">
        <v>4959</v>
      </c>
      <c r="AD1520" s="4">
        <v>0</v>
      </c>
      <c r="AE1520" s="4">
        <v>4959</v>
      </c>
      <c r="AF1520" s="1"/>
      <c r="AG1520" s="1"/>
      <c r="AH1520" s="1"/>
      <c r="AI1520" s="1" t="s">
        <v>2551</v>
      </c>
      <c r="AJ1520" s="6">
        <v>834.37</v>
      </c>
      <c r="AK1520" s="6">
        <v>724.42</v>
      </c>
      <c r="AL1520" s="1"/>
    </row>
    <row r="1521" spans="1:38" hidden="1" x14ac:dyDescent="0.25">
      <c r="A1521" s="2">
        <v>2031</v>
      </c>
      <c r="B1521" s="1" t="s">
        <v>1770</v>
      </c>
      <c r="C1521" s="1" t="s">
        <v>1772</v>
      </c>
      <c r="D1521" s="1" t="s">
        <v>2062</v>
      </c>
      <c r="E1521" s="1" t="s">
        <v>2063</v>
      </c>
      <c r="F1521" s="3">
        <v>45463</v>
      </c>
      <c r="G1521" s="3">
        <v>45398</v>
      </c>
      <c r="H1521" s="3">
        <v>45762</v>
      </c>
      <c r="I1521" s="1" t="s">
        <v>3781</v>
      </c>
      <c r="J1521" s="1" t="s">
        <v>3782</v>
      </c>
      <c r="K1521" s="1"/>
      <c r="L1521" s="1" t="s">
        <v>2638</v>
      </c>
      <c r="M1521" s="1" t="s">
        <v>3783</v>
      </c>
      <c r="N1521" s="1" t="s">
        <v>3784</v>
      </c>
      <c r="O1521" s="1" t="s">
        <v>3785</v>
      </c>
      <c r="P1521" s="1" t="s">
        <v>2165</v>
      </c>
      <c r="Q1521" s="1"/>
      <c r="R1521" s="1"/>
      <c r="S1521" s="1" t="s">
        <v>2072</v>
      </c>
      <c r="T1521" s="1" t="s">
        <v>3165</v>
      </c>
      <c r="U1521" s="4">
        <v>5000000</v>
      </c>
      <c r="V1521" s="4">
        <v>6884</v>
      </c>
      <c r="W1521" s="4">
        <v>69</v>
      </c>
      <c r="X1521" s="4">
        <v>895</v>
      </c>
      <c r="Y1521" s="4">
        <v>0</v>
      </c>
      <c r="Z1521" s="5">
        <v>7848</v>
      </c>
      <c r="AA1521" s="5">
        <v>0</v>
      </c>
      <c r="AB1521" s="6">
        <v>0</v>
      </c>
      <c r="AC1521" s="4">
        <v>7848</v>
      </c>
      <c r="AD1521" s="4">
        <v>0</v>
      </c>
      <c r="AE1521" s="4">
        <v>7848</v>
      </c>
      <c r="AF1521" s="1"/>
      <c r="AG1521" s="1"/>
      <c r="AH1521" s="1"/>
      <c r="AI1521" s="1" t="s">
        <v>2551</v>
      </c>
      <c r="AJ1521" s="6">
        <v>1298.6600000000001</v>
      </c>
      <c r="AK1521" s="6">
        <v>1146.17</v>
      </c>
      <c r="AL1521" s="1"/>
    </row>
    <row r="1522" spans="1:38" hidden="1" x14ac:dyDescent="0.25">
      <c r="A1522" s="2">
        <v>2032</v>
      </c>
      <c r="B1522" s="1" t="s">
        <v>1770</v>
      </c>
      <c r="C1522" s="1" t="s">
        <v>1773</v>
      </c>
      <c r="D1522" s="1" t="s">
        <v>2062</v>
      </c>
      <c r="E1522" s="1" t="s">
        <v>2063</v>
      </c>
      <c r="F1522" s="3">
        <v>45492</v>
      </c>
      <c r="G1522" s="3">
        <v>45398</v>
      </c>
      <c r="H1522" s="3">
        <v>45762</v>
      </c>
      <c r="I1522" s="1" t="s">
        <v>3781</v>
      </c>
      <c r="J1522" s="1" t="s">
        <v>3782</v>
      </c>
      <c r="K1522" s="1"/>
      <c r="L1522" s="1" t="s">
        <v>2638</v>
      </c>
      <c r="M1522" s="1" t="s">
        <v>3783</v>
      </c>
      <c r="N1522" s="1" t="s">
        <v>3784</v>
      </c>
      <c r="O1522" s="1" t="s">
        <v>3785</v>
      </c>
      <c r="P1522" s="1" t="s">
        <v>2165</v>
      </c>
      <c r="Q1522" s="1"/>
      <c r="R1522" s="1"/>
      <c r="S1522" s="1" t="s">
        <v>2072</v>
      </c>
      <c r="T1522" s="1" t="s">
        <v>3165</v>
      </c>
      <c r="U1522" s="4">
        <v>5000000</v>
      </c>
      <c r="V1522" s="4">
        <v>5921</v>
      </c>
      <c r="W1522" s="4">
        <v>59</v>
      </c>
      <c r="X1522" s="4">
        <v>888</v>
      </c>
      <c r="Y1522" s="4">
        <v>0</v>
      </c>
      <c r="Z1522" s="5">
        <v>6868</v>
      </c>
      <c r="AA1522" s="5">
        <v>0</v>
      </c>
      <c r="AB1522" s="6">
        <v>0</v>
      </c>
      <c r="AC1522" s="4">
        <v>6868</v>
      </c>
      <c r="AD1522" s="4">
        <v>0</v>
      </c>
      <c r="AE1522" s="4">
        <v>6868</v>
      </c>
      <c r="AF1522" s="1"/>
      <c r="AG1522" s="1"/>
      <c r="AH1522" s="1"/>
      <c r="AI1522" s="1" t="s">
        <v>2551</v>
      </c>
      <c r="AJ1522" s="6">
        <v>1174.98</v>
      </c>
      <c r="AK1522" s="6">
        <v>1003.229999999999</v>
      </c>
      <c r="AL1522" s="1"/>
    </row>
    <row r="1523" spans="1:38" hidden="1" x14ac:dyDescent="0.25">
      <c r="A1523" s="2">
        <v>2033</v>
      </c>
      <c r="B1523" s="1" t="s">
        <v>1770</v>
      </c>
      <c r="C1523" s="1" t="s">
        <v>1774</v>
      </c>
      <c r="D1523" s="1" t="s">
        <v>2062</v>
      </c>
      <c r="E1523" s="1" t="s">
        <v>2063</v>
      </c>
      <c r="F1523" s="3">
        <v>45521</v>
      </c>
      <c r="G1523" s="3">
        <v>45398</v>
      </c>
      <c r="H1523" s="3">
        <v>45762</v>
      </c>
      <c r="I1523" s="1" t="s">
        <v>3781</v>
      </c>
      <c r="J1523" s="1" t="s">
        <v>3782</v>
      </c>
      <c r="K1523" s="1"/>
      <c r="L1523" s="1" t="s">
        <v>2638</v>
      </c>
      <c r="M1523" s="1" t="s">
        <v>3783</v>
      </c>
      <c r="N1523" s="1" t="s">
        <v>3784</v>
      </c>
      <c r="O1523" s="1" t="s">
        <v>3785</v>
      </c>
      <c r="P1523" s="1" t="s">
        <v>2165</v>
      </c>
      <c r="Q1523" s="1"/>
      <c r="R1523" s="1"/>
      <c r="S1523" s="1" t="s">
        <v>2072</v>
      </c>
      <c r="T1523" s="1" t="s">
        <v>3165</v>
      </c>
      <c r="U1523" s="4">
        <v>5000000</v>
      </c>
      <c r="V1523" s="4">
        <v>6153</v>
      </c>
      <c r="W1523" s="4">
        <v>62</v>
      </c>
      <c r="X1523" s="4">
        <v>923</v>
      </c>
      <c r="Y1523" s="4">
        <v>0</v>
      </c>
      <c r="Z1523" s="5">
        <v>7138</v>
      </c>
      <c r="AA1523" s="5">
        <v>0</v>
      </c>
      <c r="AB1523" s="6">
        <v>0</v>
      </c>
      <c r="AC1523" s="4">
        <v>7138</v>
      </c>
      <c r="AD1523" s="4">
        <v>0</v>
      </c>
      <c r="AE1523" s="4">
        <v>7138</v>
      </c>
      <c r="AF1523" s="1"/>
      <c r="AG1523" s="1"/>
      <c r="AH1523" s="1"/>
      <c r="AI1523" s="1" t="s">
        <v>2551</v>
      </c>
      <c r="AJ1523" s="6">
        <v>1209.54</v>
      </c>
      <c r="AK1523" s="6">
        <v>1042.54</v>
      </c>
      <c r="AL1523" s="1"/>
    </row>
    <row r="1524" spans="1:38" hidden="1" x14ac:dyDescent="0.25">
      <c r="A1524" s="2">
        <v>2034</v>
      </c>
      <c r="B1524" s="1" t="s">
        <v>1770</v>
      </c>
      <c r="C1524" s="1" t="s">
        <v>1775</v>
      </c>
      <c r="D1524" s="1" t="s">
        <v>2062</v>
      </c>
      <c r="E1524" s="1" t="s">
        <v>2063</v>
      </c>
      <c r="F1524" s="3">
        <v>45555</v>
      </c>
      <c r="G1524" s="3">
        <v>45398</v>
      </c>
      <c r="H1524" s="3">
        <v>45762</v>
      </c>
      <c r="I1524" s="1" t="s">
        <v>3781</v>
      </c>
      <c r="J1524" s="1" t="s">
        <v>3782</v>
      </c>
      <c r="K1524" s="1"/>
      <c r="L1524" s="1" t="s">
        <v>2638</v>
      </c>
      <c r="M1524" s="1" t="s">
        <v>3783</v>
      </c>
      <c r="N1524" s="1" t="s">
        <v>3784</v>
      </c>
      <c r="O1524" s="1" t="s">
        <v>3785</v>
      </c>
      <c r="P1524" s="1" t="s">
        <v>2165</v>
      </c>
      <c r="Q1524" s="1"/>
      <c r="R1524" s="1"/>
      <c r="S1524" s="1" t="s">
        <v>2072</v>
      </c>
      <c r="T1524" s="1" t="s">
        <v>3165</v>
      </c>
      <c r="U1524" s="4">
        <v>5000000</v>
      </c>
      <c r="V1524" s="4">
        <v>6315</v>
      </c>
      <c r="W1524" s="4">
        <v>63</v>
      </c>
      <c r="X1524" s="4">
        <v>947</v>
      </c>
      <c r="Y1524" s="4">
        <v>0</v>
      </c>
      <c r="Z1524" s="5">
        <v>7325</v>
      </c>
      <c r="AA1524" s="5">
        <v>0</v>
      </c>
      <c r="AB1524" s="6">
        <v>0</v>
      </c>
      <c r="AC1524" s="4">
        <v>7325</v>
      </c>
      <c r="AD1524" s="4">
        <v>0</v>
      </c>
      <c r="AE1524" s="4">
        <v>7325</v>
      </c>
      <c r="AF1524" s="1"/>
      <c r="AG1524" s="1"/>
      <c r="AH1524" s="1"/>
      <c r="AI1524" s="1" t="s">
        <v>2551</v>
      </c>
      <c r="AJ1524" s="6">
        <v>1307.3</v>
      </c>
      <c r="AK1524" s="6">
        <v>1070.01</v>
      </c>
      <c r="AL1524" s="1"/>
    </row>
    <row r="1525" spans="1:38" hidden="1" x14ac:dyDescent="0.25">
      <c r="A1525" s="2">
        <v>2035</v>
      </c>
      <c r="B1525" s="1" t="s">
        <v>1770</v>
      </c>
      <c r="C1525" s="1" t="s">
        <v>1776</v>
      </c>
      <c r="D1525" s="1" t="s">
        <v>2062</v>
      </c>
      <c r="E1525" s="1" t="s">
        <v>2063</v>
      </c>
      <c r="F1525" s="3">
        <v>45586</v>
      </c>
      <c r="G1525" s="3">
        <v>45398</v>
      </c>
      <c r="H1525" s="3">
        <v>45762</v>
      </c>
      <c r="I1525" s="1" t="s">
        <v>3781</v>
      </c>
      <c r="J1525" s="1" t="s">
        <v>3782</v>
      </c>
      <c r="K1525" s="1"/>
      <c r="L1525" s="1" t="s">
        <v>2638</v>
      </c>
      <c r="M1525" s="1" t="s">
        <v>3783</v>
      </c>
      <c r="N1525" s="1" t="s">
        <v>3784</v>
      </c>
      <c r="O1525" s="1" t="s">
        <v>3785</v>
      </c>
      <c r="P1525" s="1" t="s">
        <v>2165</v>
      </c>
      <c r="Q1525" s="1"/>
      <c r="R1525" s="1"/>
      <c r="S1525" s="1" t="s">
        <v>2072</v>
      </c>
      <c r="T1525" s="1" t="s">
        <v>3165</v>
      </c>
      <c r="U1525" s="4">
        <v>5000000</v>
      </c>
      <c r="V1525" s="4">
        <v>6292</v>
      </c>
      <c r="W1525" s="4">
        <v>63</v>
      </c>
      <c r="X1525" s="4">
        <v>944</v>
      </c>
      <c r="Y1525" s="4">
        <v>0</v>
      </c>
      <c r="Z1525" s="5">
        <v>7299</v>
      </c>
      <c r="AA1525" s="5">
        <v>0</v>
      </c>
      <c r="AB1525" s="6">
        <v>0</v>
      </c>
      <c r="AC1525" s="4">
        <v>7299</v>
      </c>
      <c r="AD1525" s="4">
        <v>0</v>
      </c>
      <c r="AE1525" s="4">
        <v>7299</v>
      </c>
      <c r="AF1525" s="1"/>
      <c r="AG1525" s="1"/>
      <c r="AH1525" s="1"/>
      <c r="AI1525" s="1" t="s">
        <v>2551</v>
      </c>
      <c r="AJ1525" s="6">
        <v>1315.09</v>
      </c>
      <c r="AK1525" s="6">
        <v>1066.03</v>
      </c>
      <c r="AL1525" s="1"/>
    </row>
    <row r="1526" spans="1:38" hidden="1" x14ac:dyDescent="0.25">
      <c r="A1526" s="2">
        <v>2036</v>
      </c>
      <c r="B1526" s="1" t="s">
        <v>1770</v>
      </c>
      <c r="C1526" s="1" t="s">
        <v>1777</v>
      </c>
      <c r="D1526" s="1" t="s">
        <v>2062</v>
      </c>
      <c r="E1526" s="1" t="s">
        <v>2063</v>
      </c>
      <c r="F1526" s="3">
        <v>45614</v>
      </c>
      <c r="G1526" s="3">
        <v>45398</v>
      </c>
      <c r="H1526" s="3">
        <v>45762</v>
      </c>
      <c r="I1526" s="1" t="s">
        <v>3781</v>
      </c>
      <c r="J1526" s="1" t="s">
        <v>3782</v>
      </c>
      <c r="K1526" s="1"/>
      <c r="L1526" s="1" t="s">
        <v>2638</v>
      </c>
      <c r="M1526" s="1" t="s">
        <v>3783</v>
      </c>
      <c r="N1526" s="1" t="s">
        <v>3784</v>
      </c>
      <c r="O1526" s="1" t="s">
        <v>3785</v>
      </c>
      <c r="P1526" s="1" t="s">
        <v>2165</v>
      </c>
      <c r="Q1526" s="1"/>
      <c r="R1526" s="1"/>
      <c r="S1526" s="1" t="s">
        <v>2072</v>
      </c>
      <c r="T1526" s="1" t="s">
        <v>3165</v>
      </c>
      <c r="U1526" s="4">
        <v>5000000</v>
      </c>
      <c r="V1526" s="4">
        <v>7182</v>
      </c>
      <c r="W1526" s="4">
        <v>72</v>
      </c>
      <c r="X1526" s="4">
        <v>1077</v>
      </c>
      <c r="Y1526" s="4">
        <v>0</v>
      </c>
      <c r="Z1526" s="5">
        <v>8331</v>
      </c>
      <c r="AA1526" s="5">
        <v>0</v>
      </c>
      <c r="AB1526" s="6">
        <v>0</v>
      </c>
      <c r="AC1526" s="4">
        <v>8331</v>
      </c>
      <c r="AD1526" s="4">
        <v>0</v>
      </c>
      <c r="AE1526" s="4">
        <v>8331</v>
      </c>
      <c r="AF1526" s="1"/>
      <c r="AG1526" s="1"/>
      <c r="AH1526" s="1"/>
      <c r="AI1526" s="1" t="s">
        <v>2551</v>
      </c>
      <c r="AJ1526" s="6">
        <v>1485.25</v>
      </c>
      <c r="AK1526" s="6">
        <v>1217.05</v>
      </c>
      <c r="AL1526" s="1"/>
    </row>
    <row r="1527" spans="1:38" hidden="1" x14ac:dyDescent="0.25">
      <c r="A1527" s="2">
        <v>2037</v>
      </c>
      <c r="B1527" s="1" t="s">
        <v>1770</v>
      </c>
      <c r="C1527" s="1" t="s">
        <v>1778</v>
      </c>
      <c r="D1527" s="1" t="s">
        <v>2062</v>
      </c>
      <c r="E1527" s="1" t="s">
        <v>2063</v>
      </c>
      <c r="F1527" s="3">
        <v>45643</v>
      </c>
      <c r="G1527" s="3">
        <v>45398</v>
      </c>
      <c r="H1527" s="3">
        <v>45762</v>
      </c>
      <c r="I1527" s="1" t="s">
        <v>3781</v>
      </c>
      <c r="J1527" s="1" t="s">
        <v>3782</v>
      </c>
      <c r="K1527" s="1"/>
      <c r="L1527" s="1" t="s">
        <v>2638</v>
      </c>
      <c r="M1527" s="1" t="s">
        <v>3783</v>
      </c>
      <c r="N1527" s="1" t="s">
        <v>3784</v>
      </c>
      <c r="O1527" s="1" t="s">
        <v>3785</v>
      </c>
      <c r="P1527" s="1" t="s">
        <v>2165</v>
      </c>
      <c r="Q1527" s="1"/>
      <c r="R1527" s="1"/>
      <c r="S1527" s="1" t="s">
        <v>2072</v>
      </c>
      <c r="T1527" s="1" t="s">
        <v>3165</v>
      </c>
      <c r="U1527" s="4">
        <v>5000000</v>
      </c>
      <c r="V1527" s="4">
        <v>6258</v>
      </c>
      <c r="W1527" s="4">
        <v>63</v>
      </c>
      <c r="X1527" s="4">
        <v>939</v>
      </c>
      <c r="Y1527" s="4">
        <v>0</v>
      </c>
      <c r="Z1527" s="5">
        <v>7260</v>
      </c>
      <c r="AA1527" s="5">
        <v>0</v>
      </c>
      <c r="AB1527" s="6">
        <v>0</v>
      </c>
      <c r="AC1527" s="4">
        <v>7260</v>
      </c>
      <c r="AD1527" s="4">
        <v>0</v>
      </c>
      <c r="AE1527" s="4">
        <v>7260</v>
      </c>
      <c r="AF1527" s="1"/>
      <c r="AG1527" s="1"/>
      <c r="AH1527" s="1"/>
      <c r="AI1527" s="1" t="s">
        <v>2551</v>
      </c>
      <c r="AJ1527" s="6">
        <v>1167.1600000000001</v>
      </c>
      <c r="AK1527" s="6">
        <v>1060.31</v>
      </c>
      <c r="AL1527" s="1"/>
    </row>
    <row r="1528" spans="1:38" hidden="1" x14ac:dyDescent="0.25">
      <c r="A1528" s="2">
        <v>2038</v>
      </c>
      <c r="B1528" s="1" t="s">
        <v>1770</v>
      </c>
      <c r="C1528" s="1" t="s">
        <v>1779</v>
      </c>
      <c r="D1528" s="1" t="s">
        <v>2062</v>
      </c>
      <c r="E1528" s="1" t="s">
        <v>2063</v>
      </c>
      <c r="F1528" s="3">
        <v>45745</v>
      </c>
      <c r="G1528" s="3">
        <v>45398</v>
      </c>
      <c r="H1528" s="3">
        <v>45762</v>
      </c>
      <c r="I1528" s="1" t="s">
        <v>3781</v>
      </c>
      <c r="J1528" s="1" t="s">
        <v>3782</v>
      </c>
      <c r="K1528" s="1"/>
      <c r="L1528" s="1" t="s">
        <v>2638</v>
      </c>
      <c r="M1528" s="1" t="s">
        <v>3783</v>
      </c>
      <c r="N1528" s="1" t="s">
        <v>3784</v>
      </c>
      <c r="O1528" s="1" t="s">
        <v>3785</v>
      </c>
      <c r="P1528" s="1" t="s">
        <v>2165</v>
      </c>
      <c r="Q1528" s="1"/>
      <c r="R1528" s="1"/>
      <c r="S1528" s="1" t="s">
        <v>2072</v>
      </c>
      <c r="T1528" s="1" t="s">
        <v>3165</v>
      </c>
      <c r="U1528" s="4">
        <v>-1</v>
      </c>
      <c r="V1528" s="4">
        <v>-56528</v>
      </c>
      <c r="W1528" s="4">
        <v>-500</v>
      </c>
      <c r="X1528" s="4">
        <v>0</v>
      </c>
      <c r="Y1528" s="4">
        <v>0</v>
      </c>
      <c r="Z1528" s="5">
        <v>-57028</v>
      </c>
      <c r="AA1528" s="5">
        <v>0</v>
      </c>
      <c r="AB1528" s="6">
        <v>0</v>
      </c>
      <c r="AC1528" s="4">
        <v>-57028</v>
      </c>
      <c r="AD1528" s="4">
        <v>0</v>
      </c>
      <c r="AE1528" s="4">
        <v>-57028</v>
      </c>
      <c r="AF1528" s="1"/>
      <c r="AG1528" s="1"/>
      <c r="AH1528" s="1"/>
      <c r="AI1528" s="1" t="s">
        <v>2551</v>
      </c>
      <c r="AJ1528" s="1"/>
      <c r="AK1528" s="1"/>
      <c r="AL1528" s="1"/>
    </row>
    <row r="1529" spans="1:38" hidden="1" x14ac:dyDescent="0.25">
      <c r="A1529" s="2">
        <v>2050</v>
      </c>
      <c r="B1529" s="1" t="s">
        <v>1780</v>
      </c>
      <c r="C1529" s="1" t="s">
        <v>1781</v>
      </c>
      <c r="D1529" s="1" t="s">
        <v>2062</v>
      </c>
      <c r="E1529" s="1" t="s">
        <v>2063</v>
      </c>
      <c r="F1529" s="3">
        <v>45436</v>
      </c>
      <c r="G1529" s="3">
        <v>45406</v>
      </c>
      <c r="H1529" s="3">
        <v>45770</v>
      </c>
      <c r="I1529" s="1" t="s">
        <v>3786</v>
      </c>
      <c r="J1529" s="1" t="s">
        <v>3787</v>
      </c>
      <c r="K1529" s="1"/>
      <c r="L1529" s="1" t="s">
        <v>2283</v>
      </c>
      <c r="M1529" s="1" t="s">
        <v>3788</v>
      </c>
      <c r="N1529" s="1" t="s">
        <v>3789</v>
      </c>
      <c r="O1529" s="1" t="s">
        <v>3790</v>
      </c>
      <c r="P1529" s="1" t="s">
        <v>2231</v>
      </c>
      <c r="Q1529" s="1"/>
      <c r="R1529" s="1"/>
      <c r="S1529" s="1" t="s">
        <v>2072</v>
      </c>
      <c r="T1529" s="1" t="s">
        <v>3165</v>
      </c>
      <c r="U1529" s="4">
        <v>4000000</v>
      </c>
      <c r="V1529" s="4">
        <v>6076</v>
      </c>
      <c r="W1529" s="4">
        <v>61</v>
      </c>
      <c r="X1529" s="4">
        <v>791</v>
      </c>
      <c r="Y1529" s="4">
        <v>0</v>
      </c>
      <c r="Z1529" s="5">
        <v>6928</v>
      </c>
      <c r="AA1529" s="5">
        <v>0</v>
      </c>
      <c r="AB1529" s="6">
        <v>0</v>
      </c>
      <c r="AC1529" s="4">
        <v>6928</v>
      </c>
      <c r="AD1529" s="4">
        <v>0</v>
      </c>
      <c r="AE1529" s="4">
        <v>6928</v>
      </c>
      <c r="AF1529" s="1"/>
      <c r="AG1529" s="1"/>
      <c r="AH1529" s="1"/>
      <c r="AI1529" s="1" t="s">
        <v>3057</v>
      </c>
      <c r="AJ1529" s="6">
        <v>4347.1099999999951</v>
      </c>
      <c r="AK1529" s="6">
        <v>1262.3500000000001</v>
      </c>
      <c r="AL1529" s="1"/>
    </row>
    <row r="1530" spans="1:38" hidden="1" x14ac:dyDescent="0.25">
      <c r="A1530" s="2">
        <v>2051</v>
      </c>
      <c r="B1530" s="1" t="s">
        <v>1780</v>
      </c>
      <c r="C1530" s="1" t="s">
        <v>1782</v>
      </c>
      <c r="D1530" s="1" t="s">
        <v>2062</v>
      </c>
      <c r="E1530" s="1" t="s">
        <v>2063</v>
      </c>
      <c r="F1530" s="3">
        <v>45468</v>
      </c>
      <c r="G1530" s="3">
        <v>45406</v>
      </c>
      <c r="H1530" s="3">
        <v>45770</v>
      </c>
      <c r="I1530" s="1" t="s">
        <v>3786</v>
      </c>
      <c r="J1530" s="1" t="s">
        <v>3787</v>
      </c>
      <c r="K1530" s="1"/>
      <c r="L1530" s="1" t="s">
        <v>2283</v>
      </c>
      <c r="M1530" s="1" t="s">
        <v>3788</v>
      </c>
      <c r="N1530" s="1" t="s">
        <v>3789</v>
      </c>
      <c r="O1530" s="1" t="s">
        <v>3790</v>
      </c>
      <c r="P1530" s="1" t="s">
        <v>2231</v>
      </c>
      <c r="Q1530" s="1"/>
      <c r="R1530" s="1"/>
      <c r="S1530" s="1" t="s">
        <v>2072</v>
      </c>
      <c r="T1530" s="1" t="s">
        <v>3165</v>
      </c>
      <c r="U1530" s="4">
        <v>4000000</v>
      </c>
      <c r="V1530" s="4">
        <v>5945</v>
      </c>
      <c r="W1530" s="4">
        <v>60</v>
      </c>
      <c r="X1530" s="4">
        <v>772</v>
      </c>
      <c r="Y1530" s="4">
        <v>0</v>
      </c>
      <c r="Z1530" s="5">
        <v>6777</v>
      </c>
      <c r="AA1530" s="5">
        <v>0</v>
      </c>
      <c r="AB1530" s="6">
        <v>0</v>
      </c>
      <c r="AC1530" s="4">
        <v>6777</v>
      </c>
      <c r="AD1530" s="4">
        <v>0</v>
      </c>
      <c r="AE1530" s="4">
        <v>6777</v>
      </c>
      <c r="AF1530" s="1"/>
      <c r="AG1530" s="1"/>
      <c r="AH1530" s="1"/>
      <c r="AI1530" s="1" t="s">
        <v>3057</v>
      </c>
      <c r="AJ1530" s="6">
        <v>5700.5899999999756</v>
      </c>
      <c r="AK1530" s="6">
        <v>1234.9799999999991</v>
      </c>
      <c r="AL1530" s="1"/>
    </row>
    <row r="1531" spans="1:38" hidden="1" x14ac:dyDescent="0.25">
      <c r="A1531" s="2">
        <v>2052</v>
      </c>
      <c r="B1531" s="1" t="s">
        <v>1780</v>
      </c>
      <c r="C1531" s="1" t="s">
        <v>1783</v>
      </c>
      <c r="D1531" s="1" t="s">
        <v>2062</v>
      </c>
      <c r="E1531" s="1" t="s">
        <v>2063</v>
      </c>
      <c r="F1531" s="3">
        <v>45499</v>
      </c>
      <c r="G1531" s="3">
        <v>45406</v>
      </c>
      <c r="H1531" s="3">
        <v>45770</v>
      </c>
      <c r="I1531" s="1" t="s">
        <v>3786</v>
      </c>
      <c r="J1531" s="1" t="s">
        <v>3787</v>
      </c>
      <c r="K1531" s="1"/>
      <c r="L1531" s="1" t="s">
        <v>2283</v>
      </c>
      <c r="M1531" s="1" t="s">
        <v>3788</v>
      </c>
      <c r="N1531" s="1" t="s">
        <v>3789</v>
      </c>
      <c r="O1531" s="1" t="s">
        <v>3790</v>
      </c>
      <c r="P1531" s="1" t="s">
        <v>2231</v>
      </c>
      <c r="Q1531" s="1"/>
      <c r="R1531" s="1"/>
      <c r="S1531" s="1" t="s">
        <v>2072</v>
      </c>
      <c r="T1531" s="1" t="s">
        <v>3165</v>
      </c>
      <c r="U1531" s="4">
        <v>4000000</v>
      </c>
      <c r="V1531" s="4">
        <v>4632</v>
      </c>
      <c r="W1531" s="4">
        <v>46</v>
      </c>
      <c r="X1531" s="4">
        <v>695</v>
      </c>
      <c r="Y1531" s="4">
        <v>0</v>
      </c>
      <c r="Z1531" s="5">
        <v>5373</v>
      </c>
      <c r="AA1531" s="5">
        <v>0</v>
      </c>
      <c r="AB1531" s="6">
        <v>0</v>
      </c>
      <c r="AC1531" s="4">
        <v>5373</v>
      </c>
      <c r="AD1531" s="4">
        <v>0</v>
      </c>
      <c r="AE1531" s="4">
        <v>5373</v>
      </c>
      <c r="AF1531" s="1"/>
      <c r="AG1531" s="1"/>
      <c r="AH1531" s="1"/>
      <c r="AI1531" s="1" t="s">
        <v>3057</v>
      </c>
      <c r="AJ1531" s="6">
        <v>3046.4099999999989</v>
      </c>
      <c r="AK1531" s="6">
        <v>979.21</v>
      </c>
      <c r="AL1531" s="1"/>
    </row>
    <row r="1532" spans="1:38" hidden="1" x14ac:dyDescent="0.25">
      <c r="A1532" s="2">
        <v>2053</v>
      </c>
      <c r="B1532" s="1" t="s">
        <v>1780</v>
      </c>
      <c r="C1532" s="1" t="s">
        <v>1784</v>
      </c>
      <c r="D1532" s="1" t="s">
        <v>2062</v>
      </c>
      <c r="E1532" s="1" t="s">
        <v>2063</v>
      </c>
      <c r="F1532" s="3">
        <v>45533</v>
      </c>
      <c r="G1532" s="3">
        <v>45406</v>
      </c>
      <c r="H1532" s="3">
        <v>45770</v>
      </c>
      <c r="I1532" s="1" t="s">
        <v>3786</v>
      </c>
      <c r="J1532" s="1" t="s">
        <v>3787</v>
      </c>
      <c r="K1532" s="1"/>
      <c r="L1532" s="1" t="s">
        <v>2283</v>
      </c>
      <c r="M1532" s="1" t="s">
        <v>3788</v>
      </c>
      <c r="N1532" s="1" t="s">
        <v>3789</v>
      </c>
      <c r="O1532" s="1" t="s">
        <v>3790</v>
      </c>
      <c r="P1532" s="1" t="s">
        <v>2231</v>
      </c>
      <c r="Q1532" s="1"/>
      <c r="R1532" s="1"/>
      <c r="S1532" s="1" t="s">
        <v>2072</v>
      </c>
      <c r="T1532" s="1" t="s">
        <v>3165</v>
      </c>
      <c r="U1532" s="4">
        <v>4000000</v>
      </c>
      <c r="V1532" s="4">
        <v>4420</v>
      </c>
      <c r="W1532" s="4">
        <v>44</v>
      </c>
      <c r="X1532" s="4">
        <v>663</v>
      </c>
      <c r="Y1532" s="4">
        <v>0</v>
      </c>
      <c r="Z1532" s="5">
        <v>5127</v>
      </c>
      <c r="AA1532" s="5">
        <v>0</v>
      </c>
      <c r="AB1532" s="6">
        <v>0</v>
      </c>
      <c r="AC1532" s="4">
        <v>5127</v>
      </c>
      <c r="AD1532" s="4">
        <v>0</v>
      </c>
      <c r="AE1532" s="4">
        <v>5127</v>
      </c>
      <c r="AF1532" s="1"/>
      <c r="AG1532" s="1"/>
      <c r="AH1532" s="1"/>
      <c r="AI1532" s="1" t="s">
        <v>3057</v>
      </c>
      <c r="AJ1532" s="6">
        <v>2240.37</v>
      </c>
      <c r="AK1532" s="6">
        <v>934.47</v>
      </c>
      <c r="AL1532" s="1"/>
    </row>
    <row r="1533" spans="1:38" hidden="1" x14ac:dyDescent="0.25">
      <c r="A1533" s="2">
        <v>2054</v>
      </c>
      <c r="B1533" s="1" t="s">
        <v>1780</v>
      </c>
      <c r="C1533" s="1" t="s">
        <v>1785</v>
      </c>
      <c r="D1533" s="1" t="s">
        <v>2062</v>
      </c>
      <c r="E1533" s="1" t="s">
        <v>2063</v>
      </c>
      <c r="F1533" s="3">
        <v>45563</v>
      </c>
      <c r="G1533" s="3">
        <v>45406</v>
      </c>
      <c r="H1533" s="3">
        <v>45770</v>
      </c>
      <c r="I1533" s="1" t="s">
        <v>3786</v>
      </c>
      <c r="J1533" s="1" t="s">
        <v>3787</v>
      </c>
      <c r="K1533" s="1"/>
      <c r="L1533" s="1" t="s">
        <v>2283</v>
      </c>
      <c r="M1533" s="1" t="s">
        <v>3788</v>
      </c>
      <c r="N1533" s="1" t="s">
        <v>3789</v>
      </c>
      <c r="O1533" s="1" t="s">
        <v>3790</v>
      </c>
      <c r="P1533" s="1" t="s">
        <v>2231</v>
      </c>
      <c r="Q1533" s="1"/>
      <c r="R1533" s="1"/>
      <c r="S1533" s="1" t="s">
        <v>2072</v>
      </c>
      <c r="T1533" s="1" t="s">
        <v>3165</v>
      </c>
      <c r="U1533" s="4">
        <v>4000000</v>
      </c>
      <c r="V1533" s="4">
        <v>4649</v>
      </c>
      <c r="W1533" s="4">
        <v>47</v>
      </c>
      <c r="X1533" s="4">
        <v>698</v>
      </c>
      <c r="Y1533" s="4">
        <v>0</v>
      </c>
      <c r="Z1533" s="5">
        <v>5394</v>
      </c>
      <c r="AA1533" s="5">
        <v>0</v>
      </c>
      <c r="AB1533" s="6">
        <v>0</v>
      </c>
      <c r="AC1533" s="4">
        <v>5394</v>
      </c>
      <c r="AD1533" s="4">
        <v>0</v>
      </c>
      <c r="AE1533" s="4">
        <v>5394</v>
      </c>
      <c r="AF1533" s="1"/>
      <c r="AG1533" s="1"/>
      <c r="AH1533" s="1"/>
      <c r="AI1533" s="1" t="s">
        <v>3057</v>
      </c>
      <c r="AJ1533" s="6">
        <v>2585.5500000000002</v>
      </c>
      <c r="AK1533" s="6">
        <v>982.87</v>
      </c>
      <c r="AL1533" s="1"/>
    </row>
    <row r="1534" spans="1:38" hidden="1" x14ac:dyDescent="0.25">
      <c r="A1534" s="2">
        <v>2055</v>
      </c>
      <c r="B1534" s="1" t="s">
        <v>1780</v>
      </c>
      <c r="C1534" s="1" t="s">
        <v>1786</v>
      </c>
      <c r="D1534" s="1" t="s">
        <v>2062</v>
      </c>
      <c r="E1534" s="1" t="s">
        <v>2063</v>
      </c>
      <c r="F1534" s="3">
        <v>45590</v>
      </c>
      <c r="G1534" s="3">
        <v>45406</v>
      </c>
      <c r="H1534" s="3">
        <v>45770</v>
      </c>
      <c r="I1534" s="1" t="s">
        <v>3786</v>
      </c>
      <c r="J1534" s="1" t="s">
        <v>3787</v>
      </c>
      <c r="K1534" s="1"/>
      <c r="L1534" s="1" t="s">
        <v>2283</v>
      </c>
      <c r="M1534" s="1" t="s">
        <v>3788</v>
      </c>
      <c r="N1534" s="1" t="s">
        <v>3789</v>
      </c>
      <c r="O1534" s="1" t="s">
        <v>3790</v>
      </c>
      <c r="P1534" s="1" t="s">
        <v>2231</v>
      </c>
      <c r="Q1534" s="1"/>
      <c r="R1534" s="1"/>
      <c r="S1534" s="1" t="s">
        <v>2072</v>
      </c>
      <c r="T1534" s="1" t="s">
        <v>3165</v>
      </c>
      <c r="U1534" s="4">
        <v>4000000</v>
      </c>
      <c r="V1534" s="4">
        <v>3660</v>
      </c>
      <c r="W1534" s="4">
        <v>37</v>
      </c>
      <c r="X1534" s="4">
        <v>549</v>
      </c>
      <c r="Y1534" s="4">
        <v>0</v>
      </c>
      <c r="Z1534" s="5">
        <v>4246</v>
      </c>
      <c r="AA1534" s="5">
        <v>0</v>
      </c>
      <c r="AB1534" s="6">
        <v>0</v>
      </c>
      <c r="AC1534" s="4">
        <v>4246</v>
      </c>
      <c r="AD1534" s="4">
        <v>0</v>
      </c>
      <c r="AE1534" s="4">
        <v>4246</v>
      </c>
      <c r="AF1534" s="1"/>
      <c r="AG1534" s="1"/>
      <c r="AH1534" s="1"/>
      <c r="AI1534" s="1" t="s">
        <v>3057</v>
      </c>
      <c r="AJ1534" s="6">
        <v>1499.97</v>
      </c>
      <c r="AK1534" s="6">
        <v>774.76</v>
      </c>
      <c r="AL1534" s="1"/>
    </row>
    <row r="1535" spans="1:38" hidden="1" x14ac:dyDescent="0.25">
      <c r="A1535" s="2">
        <v>2056</v>
      </c>
      <c r="B1535" s="1" t="s">
        <v>1780</v>
      </c>
      <c r="C1535" s="1" t="s">
        <v>1787</v>
      </c>
      <c r="D1535" s="1" t="s">
        <v>2062</v>
      </c>
      <c r="E1535" s="1" t="s">
        <v>2063</v>
      </c>
      <c r="F1535" s="3">
        <v>45596</v>
      </c>
      <c r="G1535" s="3">
        <v>45406</v>
      </c>
      <c r="H1535" s="3">
        <v>45770</v>
      </c>
      <c r="I1535" s="1" t="s">
        <v>3786</v>
      </c>
      <c r="J1535" s="1" t="s">
        <v>3787</v>
      </c>
      <c r="K1535" s="1"/>
      <c r="L1535" s="1" t="s">
        <v>2283</v>
      </c>
      <c r="M1535" s="1" t="s">
        <v>3788</v>
      </c>
      <c r="N1535" s="1" t="s">
        <v>3789</v>
      </c>
      <c r="O1535" s="1" t="s">
        <v>3790</v>
      </c>
      <c r="P1535" s="1" t="s">
        <v>2231</v>
      </c>
      <c r="Q1535" s="1"/>
      <c r="R1535" s="1"/>
      <c r="S1535" s="1" t="s">
        <v>2072</v>
      </c>
      <c r="T1535" s="1" t="s">
        <v>3165</v>
      </c>
      <c r="U1535" s="4">
        <v>-1</v>
      </c>
      <c r="V1535" s="4">
        <v>-33510</v>
      </c>
      <c r="W1535" s="4">
        <v>-335</v>
      </c>
      <c r="X1535" s="4">
        <v>0</v>
      </c>
      <c r="Y1535" s="4">
        <v>0</v>
      </c>
      <c r="Z1535" s="5">
        <v>-33845</v>
      </c>
      <c r="AA1535" s="5">
        <v>0</v>
      </c>
      <c r="AB1535" s="6">
        <v>0</v>
      </c>
      <c r="AC1535" s="4">
        <v>-33845</v>
      </c>
      <c r="AD1535" s="4">
        <v>0</v>
      </c>
      <c r="AE1535" s="4">
        <v>-33845</v>
      </c>
      <c r="AF1535" s="1"/>
      <c r="AG1535" s="1"/>
      <c r="AH1535" s="1"/>
      <c r="AI1535" s="1" t="s">
        <v>3057</v>
      </c>
      <c r="AJ1535" s="1"/>
      <c r="AK1535" s="1"/>
      <c r="AL1535" s="1"/>
    </row>
    <row r="1536" spans="1:38" hidden="1" x14ac:dyDescent="0.25">
      <c r="A1536" s="2">
        <v>2057</v>
      </c>
      <c r="B1536" s="1" t="s">
        <v>1788</v>
      </c>
      <c r="C1536" s="1" t="s">
        <v>1789</v>
      </c>
      <c r="D1536" s="1" t="s">
        <v>2062</v>
      </c>
      <c r="E1536" s="1" t="s">
        <v>2063</v>
      </c>
      <c r="F1536" s="3">
        <v>45650</v>
      </c>
      <c r="G1536" s="3">
        <v>45404</v>
      </c>
      <c r="H1536" s="3">
        <v>45768</v>
      </c>
      <c r="I1536" s="1" t="s">
        <v>3791</v>
      </c>
      <c r="J1536" s="1" t="s">
        <v>3792</v>
      </c>
      <c r="K1536" s="1"/>
      <c r="L1536" s="1" t="s">
        <v>2336</v>
      </c>
      <c r="M1536" s="1" t="s">
        <v>3793</v>
      </c>
      <c r="N1536" s="1" t="s">
        <v>3794</v>
      </c>
      <c r="O1536" s="1" t="s">
        <v>3795</v>
      </c>
      <c r="P1536" s="1" t="s">
        <v>2165</v>
      </c>
      <c r="Q1536" s="1"/>
      <c r="R1536" s="1"/>
      <c r="S1536" s="1" t="s">
        <v>2072</v>
      </c>
      <c r="T1536" s="1" t="s">
        <v>3165</v>
      </c>
      <c r="U1536" s="4">
        <v>3650000</v>
      </c>
      <c r="V1536" s="4">
        <v>475</v>
      </c>
      <c r="W1536" s="4">
        <v>5</v>
      </c>
      <c r="X1536" s="4">
        <v>71</v>
      </c>
      <c r="Y1536" s="4">
        <v>0</v>
      </c>
      <c r="Z1536" s="5">
        <v>551</v>
      </c>
      <c r="AA1536" s="5">
        <v>0</v>
      </c>
      <c r="AB1536" s="6">
        <v>0</v>
      </c>
      <c r="AC1536" s="4">
        <v>551</v>
      </c>
      <c r="AD1536" s="4">
        <v>0</v>
      </c>
      <c r="AE1536" s="4">
        <v>551</v>
      </c>
      <c r="AF1536" s="1"/>
      <c r="AG1536" s="1"/>
      <c r="AH1536" s="1"/>
      <c r="AI1536" s="1" t="s">
        <v>3057</v>
      </c>
      <c r="AJ1536" s="6">
        <v>155.4</v>
      </c>
      <c r="AK1536" s="6">
        <v>110.25</v>
      </c>
      <c r="AL1536" s="1"/>
    </row>
    <row r="1537" spans="1:38" hidden="1" x14ac:dyDescent="0.25">
      <c r="A1537" s="2">
        <v>2058</v>
      </c>
      <c r="B1537" s="1" t="s">
        <v>1788</v>
      </c>
      <c r="C1537" s="1" t="s">
        <v>1790</v>
      </c>
      <c r="D1537" s="1" t="s">
        <v>2062</v>
      </c>
      <c r="E1537" s="1" t="s">
        <v>2063</v>
      </c>
      <c r="F1537" s="3">
        <v>45674</v>
      </c>
      <c r="G1537" s="3">
        <v>45404</v>
      </c>
      <c r="H1537" s="3">
        <v>45768</v>
      </c>
      <c r="I1537" s="1" t="s">
        <v>3791</v>
      </c>
      <c r="J1537" s="1" t="s">
        <v>3792</v>
      </c>
      <c r="K1537" s="1"/>
      <c r="L1537" s="1" t="s">
        <v>2336</v>
      </c>
      <c r="M1537" s="1" t="s">
        <v>3793</v>
      </c>
      <c r="N1537" s="1" t="s">
        <v>3794</v>
      </c>
      <c r="O1537" s="1" t="s">
        <v>3795</v>
      </c>
      <c r="P1537" s="1" t="s">
        <v>2165</v>
      </c>
      <c r="Q1537" s="1"/>
      <c r="R1537" s="1"/>
      <c r="S1537" s="1" t="s">
        <v>2072</v>
      </c>
      <c r="T1537" s="1" t="s">
        <v>3165</v>
      </c>
      <c r="U1537" s="4">
        <v>-1</v>
      </c>
      <c r="V1537" s="4">
        <v>-546</v>
      </c>
      <c r="W1537" s="4">
        <v>-5</v>
      </c>
      <c r="X1537" s="4">
        <v>0</v>
      </c>
      <c r="Y1537" s="4">
        <v>0</v>
      </c>
      <c r="Z1537" s="5">
        <v>-551</v>
      </c>
      <c r="AA1537" s="5">
        <v>0</v>
      </c>
      <c r="AB1537" s="6">
        <v>0</v>
      </c>
      <c r="AC1537" s="4">
        <v>-551</v>
      </c>
      <c r="AD1537" s="4">
        <v>0</v>
      </c>
      <c r="AE1537" s="4">
        <v>-551</v>
      </c>
      <c r="AF1537" s="1"/>
      <c r="AG1537" s="1"/>
      <c r="AH1537" s="1"/>
      <c r="AI1537" s="1" t="s">
        <v>3057</v>
      </c>
      <c r="AJ1537" s="1"/>
      <c r="AK1537" s="1"/>
      <c r="AL1537" s="1" t="s">
        <v>3796</v>
      </c>
    </row>
    <row r="1538" spans="1:38" hidden="1" x14ac:dyDescent="0.25">
      <c r="A1538" s="2">
        <v>2076</v>
      </c>
      <c r="B1538" s="1" t="s">
        <v>1791</v>
      </c>
      <c r="C1538" s="1" t="s">
        <v>1792</v>
      </c>
      <c r="D1538" s="1" t="s">
        <v>2062</v>
      </c>
      <c r="E1538" s="1" t="s">
        <v>2063</v>
      </c>
      <c r="F1538" s="3">
        <v>45622</v>
      </c>
      <c r="G1538" s="3">
        <v>45406</v>
      </c>
      <c r="H1538" s="3">
        <v>45770</v>
      </c>
      <c r="I1538" s="1" t="s">
        <v>3797</v>
      </c>
      <c r="J1538" s="1" t="s">
        <v>3798</v>
      </c>
      <c r="K1538" s="1"/>
      <c r="L1538" s="1" t="s">
        <v>2147</v>
      </c>
      <c r="M1538" s="1" t="s">
        <v>3799</v>
      </c>
      <c r="N1538" s="1" t="s">
        <v>3800</v>
      </c>
      <c r="O1538" s="1" t="s">
        <v>3801</v>
      </c>
      <c r="P1538" s="1" t="s">
        <v>2231</v>
      </c>
      <c r="Q1538" s="1"/>
      <c r="R1538" s="1"/>
      <c r="S1538" s="1" t="s">
        <v>2072</v>
      </c>
      <c r="T1538" s="1" t="s">
        <v>3165</v>
      </c>
      <c r="U1538" s="4">
        <v>5500000</v>
      </c>
      <c r="V1538" s="4">
        <v>7640</v>
      </c>
      <c r="W1538" s="4">
        <v>76</v>
      </c>
      <c r="X1538" s="4">
        <v>1146</v>
      </c>
      <c r="Y1538" s="4">
        <v>0</v>
      </c>
      <c r="Z1538" s="5">
        <v>8862</v>
      </c>
      <c r="AA1538" s="5">
        <v>0</v>
      </c>
      <c r="AB1538" s="6">
        <v>0</v>
      </c>
      <c r="AC1538" s="4">
        <v>8862</v>
      </c>
      <c r="AD1538" s="4">
        <v>0</v>
      </c>
      <c r="AE1538" s="4">
        <v>8862</v>
      </c>
      <c r="AF1538" s="1"/>
      <c r="AG1538" s="1"/>
      <c r="AH1538" s="1"/>
      <c r="AI1538" s="1" t="s">
        <v>2327</v>
      </c>
      <c r="AJ1538" s="6">
        <v>1564.449999999998</v>
      </c>
      <c r="AK1538" s="6">
        <v>1176.3600000000001</v>
      </c>
      <c r="AL1538" s="1"/>
    </row>
    <row r="1539" spans="1:38" hidden="1" x14ac:dyDescent="0.25">
      <c r="A1539" s="2">
        <v>2077</v>
      </c>
      <c r="B1539" s="1" t="s">
        <v>1791</v>
      </c>
      <c r="C1539" s="1" t="s">
        <v>1793</v>
      </c>
      <c r="D1539" s="1" t="s">
        <v>2062</v>
      </c>
      <c r="E1539" s="1" t="s">
        <v>2063</v>
      </c>
      <c r="F1539" s="3">
        <v>45652</v>
      </c>
      <c r="G1539" s="3">
        <v>45406</v>
      </c>
      <c r="H1539" s="3">
        <v>45770</v>
      </c>
      <c r="I1539" s="1" t="s">
        <v>3797</v>
      </c>
      <c r="J1539" s="1" t="s">
        <v>3798</v>
      </c>
      <c r="K1539" s="1"/>
      <c r="L1539" s="1" t="s">
        <v>2147</v>
      </c>
      <c r="M1539" s="1" t="s">
        <v>3799</v>
      </c>
      <c r="N1539" s="1" t="s">
        <v>3800</v>
      </c>
      <c r="O1539" s="1" t="s">
        <v>3801</v>
      </c>
      <c r="P1539" s="1" t="s">
        <v>2231</v>
      </c>
      <c r="Q1539" s="1"/>
      <c r="R1539" s="1"/>
      <c r="S1539" s="1" t="s">
        <v>2072</v>
      </c>
      <c r="T1539" s="1" t="s">
        <v>3165</v>
      </c>
      <c r="U1539" s="4">
        <v>5500000</v>
      </c>
      <c r="V1539" s="4">
        <v>7190</v>
      </c>
      <c r="W1539" s="4">
        <v>72</v>
      </c>
      <c r="X1539" s="4">
        <v>1079</v>
      </c>
      <c r="Y1539" s="4">
        <v>0</v>
      </c>
      <c r="Z1539" s="5">
        <v>8341</v>
      </c>
      <c r="AA1539" s="5">
        <v>0</v>
      </c>
      <c r="AB1539" s="6">
        <v>0</v>
      </c>
      <c r="AC1539" s="4">
        <v>8341</v>
      </c>
      <c r="AD1539" s="4">
        <v>0</v>
      </c>
      <c r="AE1539" s="4">
        <v>8341</v>
      </c>
      <c r="AF1539" s="1"/>
      <c r="AG1539" s="1"/>
      <c r="AH1539" s="1"/>
      <c r="AI1539" s="1" t="s">
        <v>2327</v>
      </c>
      <c r="AJ1539" s="6">
        <v>1370.6099999999979</v>
      </c>
      <c r="AK1539" s="6">
        <v>1107.29</v>
      </c>
      <c r="AL1539" s="1"/>
    </row>
    <row r="1540" spans="1:38" hidden="1" x14ac:dyDescent="0.25">
      <c r="A1540" s="2">
        <v>2078</v>
      </c>
      <c r="B1540" s="1" t="s">
        <v>1791</v>
      </c>
      <c r="C1540" s="1" t="s">
        <v>1794</v>
      </c>
      <c r="D1540" s="1" t="s">
        <v>2062</v>
      </c>
      <c r="E1540" s="1" t="s">
        <v>2063</v>
      </c>
      <c r="F1540" s="3">
        <v>45681</v>
      </c>
      <c r="G1540" s="3">
        <v>45406</v>
      </c>
      <c r="H1540" s="3">
        <v>45770</v>
      </c>
      <c r="I1540" s="1" t="s">
        <v>3797</v>
      </c>
      <c r="J1540" s="1" t="s">
        <v>3798</v>
      </c>
      <c r="K1540" s="1"/>
      <c r="L1540" s="1" t="s">
        <v>2147</v>
      </c>
      <c r="M1540" s="1" t="s">
        <v>3799</v>
      </c>
      <c r="N1540" s="1" t="s">
        <v>3800</v>
      </c>
      <c r="O1540" s="1" t="s">
        <v>3801</v>
      </c>
      <c r="P1540" s="1" t="s">
        <v>2231</v>
      </c>
      <c r="Q1540" s="1"/>
      <c r="R1540" s="1"/>
      <c r="S1540" s="1" t="s">
        <v>2072</v>
      </c>
      <c r="T1540" s="1" t="s">
        <v>3165</v>
      </c>
      <c r="U1540" s="4">
        <v>5500000</v>
      </c>
      <c r="V1540" s="4">
        <v>7289</v>
      </c>
      <c r="W1540" s="4">
        <v>73</v>
      </c>
      <c r="X1540" s="4">
        <v>1093</v>
      </c>
      <c r="Y1540" s="4">
        <v>0</v>
      </c>
      <c r="Z1540" s="5">
        <v>8455</v>
      </c>
      <c r="AA1540" s="5">
        <v>0</v>
      </c>
      <c r="AB1540" s="6">
        <v>0</v>
      </c>
      <c r="AC1540" s="4">
        <v>8455</v>
      </c>
      <c r="AD1540" s="4">
        <v>0</v>
      </c>
      <c r="AE1540" s="4">
        <v>8455</v>
      </c>
      <c r="AF1540" s="1"/>
      <c r="AG1540" s="1"/>
      <c r="AH1540" s="1"/>
      <c r="AI1540" s="1" t="s">
        <v>2327</v>
      </c>
      <c r="AJ1540" s="6">
        <v>1631.659999999998</v>
      </c>
      <c r="AK1540" s="6">
        <v>1122.42</v>
      </c>
      <c r="AL1540" s="1"/>
    </row>
    <row r="1541" spans="1:38" hidden="1" x14ac:dyDescent="0.25">
      <c r="A1541" s="2">
        <v>2079</v>
      </c>
      <c r="B1541" s="1" t="s">
        <v>1791</v>
      </c>
      <c r="C1541" s="1" t="s">
        <v>1795</v>
      </c>
      <c r="D1541" s="1" t="s">
        <v>2062</v>
      </c>
      <c r="E1541" s="1" t="s">
        <v>2063</v>
      </c>
      <c r="F1541" s="3">
        <v>45713</v>
      </c>
      <c r="G1541" s="3">
        <v>45406</v>
      </c>
      <c r="H1541" s="3">
        <v>45770</v>
      </c>
      <c r="I1541" s="1" t="s">
        <v>3797</v>
      </c>
      <c r="J1541" s="1" t="s">
        <v>3798</v>
      </c>
      <c r="K1541" s="1"/>
      <c r="L1541" s="1" t="s">
        <v>2147</v>
      </c>
      <c r="M1541" s="1" t="s">
        <v>3799</v>
      </c>
      <c r="N1541" s="1" t="s">
        <v>3800</v>
      </c>
      <c r="O1541" s="1" t="s">
        <v>3801</v>
      </c>
      <c r="P1541" s="1" t="s">
        <v>2231</v>
      </c>
      <c r="Q1541" s="1"/>
      <c r="R1541" s="1"/>
      <c r="S1541" s="1" t="s">
        <v>2072</v>
      </c>
      <c r="T1541" s="1" t="s">
        <v>3165</v>
      </c>
      <c r="U1541" s="4">
        <v>5500000</v>
      </c>
      <c r="V1541" s="4">
        <v>7641</v>
      </c>
      <c r="W1541" s="4">
        <v>76</v>
      </c>
      <c r="X1541" s="4">
        <v>1146</v>
      </c>
      <c r="Y1541" s="4">
        <v>0</v>
      </c>
      <c r="Z1541" s="5">
        <v>8863</v>
      </c>
      <c r="AA1541" s="5">
        <v>0</v>
      </c>
      <c r="AB1541" s="6">
        <v>0</v>
      </c>
      <c r="AC1541" s="4">
        <v>8863</v>
      </c>
      <c r="AD1541" s="4">
        <v>0</v>
      </c>
      <c r="AE1541" s="4">
        <v>8863</v>
      </c>
      <c r="AF1541" s="1"/>
      <c r="AG1541" s="1"/>
      <c r="AH1541" s="1"/>
      <c r="AI1541" s="1" t="s">
        <v>2327</v>
      </c>
      <c r="AJ1541" s="6">
        <v>1615.939999999998</v>
      </c>
      <c r="AK1541" s="6">
        <v>1176.42</v>
      </c>
      <c r="AL1541" s="1"/>
    </row>
    <row r="1542" spans="1:38" hidden="1" x14ac:dyDescent="0.25">
      <c r="A1542" s="2">
        <v>2080</v>
      </c>
      <c r="B1542" s="1" t="s">
        <v>1791</v>
      </c>
      <c r="C1542" s="1" t="s">
        <v>1796</v>
      </c>
      <c r="D1542" s="1" t="s">
        <v>2062</v>
      </c>
      <c r="E1542" s="1" t="s">
        <v>2063</v>
      </c>
      <c r="F1542" s="3">
        <v>45745</v>
      </c>
      <c r="G1542" s="3">
        <v>45406</v>
      </c>
      <c r="H1542" s="3">
        <v>45770</v>
      </c>
      <c r="I1542" s="1" t="s">
        <v>3797</v>
      </c>
      <c r="J1542" s="1" t="s">
        <v>3798</v>
      </c>
      <c r="K1542" s="1"/>
      <c r="L1542" s="1" t="s">
        <v>2147</v>
      </c>
      <c r="M1542" s="1" t="s">
        <v>3799</v>
      </c>
      <c r="N1542" s="1" t="s">
        <v>3800</v>
      </c>
      <c r="O1542" s="1" t="s">
        <v>3801</v>
      </c>
      <c r="P1542" s="1" t="s">
        <v>2231</v>
      </c>
      <c r="Q1542" s="1"/>
      <c r="R1542" s="1"/>
      <c r="S1542" s="1" t="s">
        <v>2072</v>
      </c>
      <c r="T1542" s="1" t="s">
        <v>3165</v>
      </c>
      <c r="U1542" s="4">
        <v>-1</v>
      </c>
      <c r="V1542" s="4">
        <v>-34218</v>
      </c>
      <c r="W1542" s="4">
        <v>-303</v>
      </c>
      <c r="X1542" s="4">
        <v>0</v>
      </c>
      <c r="Y1542" s="4">
        <v>0</v>
      </c>
      <c r="Z1542" s="5">
        <v>-34521</v>
      </c>
      <c r="AA1542" s="5">
        <v>0</v>
      </c>
      <c r="AB1542" s="6">
        <v>0</v>
      </c>
      <c r="AC1542" s="4">
        <v>-34521</v>
      </c>
      <c r="AD1542" s="4">
        <v>0</v>
      </c>
      <c r="AE1542" s="4">
        <v>-34521</v>
      </c>
      <c r="AF1542" s="1"/>
      <c r="AG1542" s="1"/>
      <c r="AH1542" s="1"/>
      <c r="AI1542" s="1" t="s">
        <v>2327</v>
      </c>
      <c r="AJ1542" s="1"/>
      <c r="AK1542" s="1"/>
      <c r="AL1542" s="1"/>
    </row>
    <row r="1543" spans="1:38" x14ac:dyDescent="0.25">
      <c r="A1543" s="2">
        <v>2082</v>
      </c>
      <c r="B1543" s="1" t="s">
        <v>1797</v>
      </c>
      <c r="C1543" s="1"/>
      <c r="D1543" s="1" t="s">
        <v>3802</v>
      </c>
      <c r="E1543" s="1" t="s">
        <v>2063</v>
      </c>
      <c r="F1543" s="3">
        <v>45411</v>
      </c>
      <c r="G1543" s="3">
        <v>45366</v>
      </c>
      <c r="H1543" s="3">
        <v>45730</v>
      </c>
      <c r="I1543" s="1" t="s">
        <v>3803</v>
      </c>
      <c r="J1543" s="1" t="s">
        <v>3804</v>
      </c>
      <c r="K1543" s="1"/>
      <c r="L1543" s="1"/>
      <c r="M1543" s="1"/>
      <c r="N1543" s="1"/>
      <c r="O1543" s="1"/>
      <c r="P1543" s="1"/>
      <c r="Q1543" s="1"/>
      <c r="R1543" s="1"/>
      <c r="S1543" s="1" t="s">
        <v>2072</v>
      </c>
      <c r="T1543" s="1" t="s">
        <v>3805</v>
      </c>
      <c r="U1543" s="1"/>
      <c r="V1543" s="4">
        <v>68552</v>
      </c>
      <c r="W1543" s="4">
        <v>686</v>
      </c>
      <c r="X1543" s="4">
        <v>8912</v>
      </c>
      <c r="Y1543" s="4">
        <v>50</v>
      </c>
      <c r="Z1543" s="5">
        <v>78200</v>
      </c>
      <c r="AA1543" s="5">
        <v>0</v>
      </c>
      <c r="AB1543" s="6">
        <v>0</v>
      </c>
      <c r="AC1543" s="4">
        <v>78200</v>
      </c>
      <c r="AD1543" s="4">
        <v>0</v>
      </c>
      <c r="AE1543" s="4">
        <v>78200</v>
      </c>
      <c r="AF1543" s="1"/>
      <c r="AG1543" s="1" t="s">
        <v>3806</v>
      </c>
      <c r="AH1543" s="1"/>
      <c r="AI1543" s="1" t="s">
        <v>3432</v>
      </c>
      <c r="AJ1543" s="1"/>
      <c r="AK1543" s="1"/>
      <c r="AL1543" s="1"/>
    </row>
    <row r="1544" spans="1:38" hidden="1" x14ac:dyDescent="0.25">
      <c r="A1544" s="2">
        <v>2083</v>
      </c>
      <c r="B1544" s="1" t="s">
        <v>1797</v>
      </c>
      <c r="C1544" s="1" t="s">
        <v>1798</v>
      </c>
      <c r="D1544" s="1" t="s">
        <v>2062</v>
      </c>
      <c r="E1544" s="1" t="s">
        <v>2063</v>
      </c>
      <c r="F1544" s="3">
        <v>45609</v>
      </c>
      <c r="G1544" s="3">
        <v>45366</v>
      </c>
      <c r="H1544" s="3">
        <v>45730</v>
      </c>
      <c r="I1544" s="1" t="s">
        <v>3803</v>
      </c>
      <c r="J1544" s="1" t="s">
        <v>3804</v>
      </c>
      <c r="K1544" s="1"/>
      <c r="L1544" s="1" t="s">
        <v>3031</v>
      </c>
      <c r="M1544" s="1" t="s">
        <v>3807</v>
      </c>
      <c r="N1544" s="1" t="s">
        <v>3808</v>
      </c>
      <c r="O1544" s="1" t="s">
        <v>3809</v>
      </c>
      <c r="P1544" s="1" t="s">
        <v>2088</v>
      </c>
      <c r="Q1544" s="1"/>
      <c r="R1544" s="1"/>
      <c r="S1544" s="1" t="s">
        <v>2072</v>
      </c>
      <c r="T1544" s="1" t="s">
        <v>3805</v>
      </c>
      <c r="U1544" s="4">
        <v>4600000</v>
      </c>
      <c r="V1544" s="4">
        <v>-68552</v>
      </c>
      <c r="W1544" s="4">
        <v>-686</v>
      </c>
      <c r="X1544" s="4">
        <v>-8912</v>
      </c>
      <c r="Y1544" s="4">
        <v>-50</v>
      </c>
      <c r="Z1544" s="5">
        <v>-78200</v>
      </c>
      <c r="AA1544" s="5">
        <v>0</v>
      </c>
      <c r="AB1544" s="6">
        <v>0</v>
      </c>
      <c r="AC1544" s="4">
        <v>-78200</v>
      </c>
      <c r="AD1544" s="4">
        <v>0</v>
      </c>
      <c r="AE1544" s="4">
        <v>-78200</v>
      </c>
      <c r="AF1544" s="1"/>
      <c r="AG1544" s="1"/>
      <c r="AH1544" s="1"/>
      <c r="AI1544" s="1" t="s">
        <v>3432</v>
      </c>
      <c r="AJ1544" s="1"/>
      <c r="AK1544" s="1"/>
      <c r="AL1544" s="1"/>
    </row>
    <row r="1545" spans="1:38" hidden="1" x14ac:dyDescent="0.25">
      <c r="A1545" s="2">
        <v>2084</v>
      </c>
      <c r="B1545" s="1" t="s">
        <v>1799</v>
      </c>
      <c r="C1545" s="1" t="s">
        <v>1800</v>
      </c>
      <c r="D1545" s="1" t="s">
        <v>2062</v>
      </c>
      <c r="E1545" s="1" t="s">
        <v>2063</v>
      </c>
      <c r="F1545" s="3">
        <v>45441</v>
      </c>
      <c r="G1545" s="3">
        <v>45411</v>
      </c>
      <c r="H1545" s="3">
        <v>45775</v>
      </c>
      <c r="I1545" s="1" t="s">
        <v>3810</v>
      </c>
      <c r="J1545" s="1" t="s">
        <v>3811</v>
      </c>
      <c r="K1545" s="1"/>
      <c r="L1545" s="1" t="s">
        <v>3812</v>
      </c>
      <c r="M1545" s="1" t="s">
        <v>3813</v>
      </c>
      <c r="N1545" s="1" t="s">
        <v>3814</v>
      </c>
      <c r="O1545" s="1" t="s">
        <v>3815</v>
      </c>
      <c r="P1545" s="1" t="s">
        <v>2095</v>
      </c>
      <c r="Q1545" s="1"/>
      <c r="R1545" s="1"/>
      <c r="S1545" s="1" t="s">
        <v>2072</v>
      </c>
      <c r="T1545" s="1" t="s">
        <v>3165</v>
      </c>
      <c r="U1545" s="4">
        <v>4200000</v>
      </c>
      <c r="V1545" s="4">
        <v>4334</v>
      </c>
      <c r="W1545" s="4">
        <v>44</v>
      </c>
      <c r="X1545" s="4">
        <v>564</v>
      </c>
      <c r="Y1545" s="4">
        <v>0</v>
      </c>
      <c r="Z1545" s="5">
        <v>4942</v>
      </c>
      <c r="AA1545" s="5">
        <v>4200</v>
      </c>
      <c r="AB1545" s="6">
        <v>0</v>
      </c>
      <c r="AC1545" s="4">
        <v>742</v>
      </c>
      <c r="AD1545" s="4">
        <v>0</v>
      </c>
      <c r="AE1545" s="4">
        <v>742</v>
      </c>
      <c r="AF1545" s="1"/>
      <c r="AG1545" s="1"/>
      <c r="AH1545" s="1"/>
      <c r="AI1545" s="1" t="s">
        <v>3057</v>
      </c>
      <c r="AJ1545" s="6">
        <v>889.58</v>
      </c>
      <c r="AK1545" s="6">
        <v>858.61</v>
      </c>
      <c r="AL1545" s="1"/>
    </row>
    <row r="1546" spans="1:38" hidden="1" x14ac:dyDescent="0.25">
      <c r="A1546" s="2">
        <v>2085</v>
      </c>
      <c r="B1546" s="1" t="s">
        <v>1799</v>
      </c>
      <c r="C1546" s="1" t="s">
        <v>1801</v>
      </c>
      <c r="D1546" s="1" t="s">
        <v>2062</v>
      </c>
      <c r="E1546" s="1" t="s">
        <v>2063</v>
      </c>
      <c r="F1546" s="3">
        <v>45474</v>
      </c>
      <c r="G1546" s="3">
        <v>45411</v>
      </c>
      <c r="H1546" s="3">
        <v>45775</v>
      </c>
      <c r="I1546" s="1" t="s">
        <v>3810</v>
      </c>
      <c r="J1546" s="1" t="s">
        <v>3811</v>
      </c>
      <c r="K1546" s="1"/>
      <c r="L1546" s="1" t="s">
        <v>3812</v>
      </c>
      <c r="M1546" s="1" t="s">
        <v>3813</v>
      </c>
      <c r="N1546" s="1" t="s">
        <v>3814</v>
      </c>
      <c r="O1546" s="1" t="s">
        <v>3815</v>
      </c>
      <c r="P1546" s="1" t="s">
        <v>2095</v>
      </c>
      <c r="Q1546" s="1"/>
      <c r="R1546" s="1"/>
      <c r="S1546" s="1" t="s">
        <v>2072</v>
      </c>
      <c r="T1546" s="1" t="s">
        <v>3165</v>
      </c>
      <c r="U1546" s="4">
        <v>4200000</v>
      </c>
      <c r="V1546" s="4">
        <v>4257</v>
      </c>
      <c r="W1546" s="4">
        <v>42</v>
      </c>
      <c r="X1546" s="4">
        <v>553</v>
      </c>
      <c r="Y1546" s="4">
        <v>0</v>
      </c>
      <c r="Z1546" s="5">
        <v>4852</v>
      </c>
      <c r="AA1546" s="5">
        <v>0</v>
      </c>
      <c r="AB1546" s="6">
        <v>0</v>
      </c>
      <c r="AC1546" s="4">
        <v>4852</v>
      </c>
      <c r="AD1546" s="4">
        <v>0</v>
      </c>
      <c r="AE1546" s="4">
        <v>4852</v>
      </c>
      <c r="AF1546" s="1"/>
      <c r="AG1546" s="1"/>
      <c r="AH1546" s="1"/>
      <c r="AI1546" s="1" t="s">
        <v>3057</v>
      </c>
      <c r="AJ1546" s="6">
        <v>1597.4699999999971</v>
      </c>
      <c r="AK1546" s="6">
        <v>843.43</v>
      </c>
      <c r="AL1546" s="1"/>
    </row>
    <row r="1547" spans="1:38" hidden="1" x14ac:dyDescent="0.25">
      <c r="A1547" s="2">
        <v>2086</v>
      </c>
      <c r="B1547" s="1" t="s">
        <v>1799</v>
      </c>
      <c r="C1547" s="1" t="s">
        <v>1802</v>
      </c>
      <c r="D1547" s="1" t="s">
        <v>2062</v>
      </c>
      <c r="E1547" s="1" t="s">
        <v>2063</v>
      </c>
      <c r="F1547" s="3">
        <v>45503</v>
      </c>
      <c r="G1547" s="3">
        <v>45411</v>
      </c>
      <c r="H1547" s="3">
        <v>45775</v>
      </c>
      <c r="I1547" s="1" t="s">
        <v>3810</v>
      </c>
      <c r="J1547" s="1" t="s">
        <v>3811</v>
      </c>
      <c r="K1547" s="1"/>
      <c r="L1547" s="1" t="s">
        <v>3812</v>
      </c>
      <c r="M1547" s="1" t="s">
        <v>3813</v>
      </c>
      <c r="N1547" s="1" t="s">
        <v>3814</v>
      </c>
      <c r="O1547" s="1" t="s">
        <v>3815</v>
      </c>
      <c r="P1547" s="1" t="s">
        <v>2095</v>
      </c>
      <c r="Q1547" s="1"/>
      <c r="R1547" s="1"/>
      <c r="S1547" s="1" t="s">
        <v>2072</v>
      </c>
      <c r="T1547" s="1" t="s">
        <v>3165</v>
      </c>
      <c r="U1547" s="4">
        <v>4200000</v>
      </c>
      <c r="V1547" s="4">
        <v>4647</v>
      </c>
      <c r="W1547" s="4">
        <v>46</v>
      </c>
      <c r="X1547" s="4">
        <v>697</v>
      </c>
      <c r="Y1547" s="4">
        <v>0</v>
      </c>
      <c r="Z1547" s="5">
        <v>5390</v>
      </c>
      <c r="AA1547" s="5">
        <v>0</v>
      </c>
      <c r="AB1547" s="6">
        <v>0</v>
      </c>
      <c r="AC1547" s="4">
        <v>5390</v>
      </c>
      <c r="AD1547" s="4">
        <v>0</v>
      </c>
      <c r="AE1547" s="4">
        <v>5390</v>
      </c>
      <c r="AF1547" s="1"/>
      <c r="AG1547" s="1"/>
      <c r="AH1547" s="1"/>
      <c r="AI1547" s="1" t="s">
        <v>3057</v>
      </c>
      <c r="AJ1547" s="6">
        <v>1070.48</v>
      </c>
      <c r="AK1547" s="6">
        <v>936.83</v>
      </c>
      <c r="AL1547" s="1"/>
    </row>
    <row r="1548" spans="1:38" hidden="1" x14ac:dyDescent="0.25">
      <c r="A1548" s="2">
        <v>2087</v>
      </c>
      <c r="B1548" s="1" t="s">
        <v>1799</v>
      </c>
      <c r="C1548" s="1" t="s">
        <v>1803</v>
      </c>
      <c r="D1548" s="1" t="s">
        <v>2062</v>
      </c>
      <c r="E1548" s="1" t="s">
        <v>2063</v>
      </c>
      <c r="F1548" s="3">
        <v>45538</v>
      </c>
      <c r="G1548" s="3">
        <v>45411</v>
      </c>
      <c r="H1548" s="3">
        <v>45775</v>
      </c>
      <c r="I1548" s="1" t="s">
        <v>3810</v>
      </c>
      <c r="J1548" s="1" t="s">
        <v>3811</v>
      </c>
      <c r="K1548" s="1"/>
      <c r="L1548" s="1" t="s">
        <v>3812</v>
      </c>
      <c r="M1548" s="1" t="s">
        <v>3813</v>
      </c>
      <c r="N1548" s="1" t="s">
        <v>3814</v>
      </c>
      <c r="O1548" s="1" t="s">
        <v>3815</v>
      </c>
      <c r="P1548" s="1" t="s">
        <v>2095</v>
      </c>
      <c r="Q1548" s="1"/>
      <c r="R1548" s="1"/>
      <c r="S1548" s="1" t="s">
        <v>2072</v>
      </c>
      <c r="T1548" s="1" t="s">
        <v>3165</v>
      </c>
      <c r="U1548" s="4">
        <v>4200000</v>
      </c>
      <c r="V1548" s="4">
        <v>4190</v>
      </c>
      <c r="W1548" s="4">
        <v>42</v>
      </c>
      <c r="X1548" s="4">
        <v>628</v>
      </c>
      <c r="Y1548" s="4">
        <v>0</v>
      </c>
      <c r="Z1548" s="5">
        <v>4860</v>
      </c>
      <c r="AA1548" s="5">
        <v>0</v>
      </c>
      <c r="AB1548" s="6">
        <v>0</v>
      </c>
      <c r="AC1548" s="4">
        <v>4860</v>
      </c>
      <c r="AD1548" s="4">
        <v>0</v>
      </c>
      <c r="AE1548" s="4">
        <v>4860</v>
      </c>
      <c r="AF1548" s="1"/>
      <c r="AG1548" s="1"/>
      <c r="AH1548" s="1"/>
      <c r="AI1548" s="1" t="s">
        <v>3057</v>
      </c>
      <c r="AJ1548" s="6">
        <v>1032.3400000000001</v>
      </c>
      <c r="AK1548" s="6">
        <v>844.98</v>
      </c>
      <c r="AL1548" s="1"/>
    </row>
    <row r="1549" spans="1:38" hidden="1" x14ac:dyDescent="0.25">
      <c r="A1549" s="2">
        <v>2088</v>
      </c>
      <c r="B1549" s="1" t="s">
        <v>1799</v>
      </c>
      <c r="C1549" s="1" t="s">
        <v>1804</v>
      </c>
      <c r="D1549" s="1" t="s">
        <v>2062</v>
      </c>
      <c r="E1549" s="1" t="s">
        <v>2063</v>
      </c>
      <c r="F1549" s="3">
        <v>45745</v>
      </c>
      <c r="G1549" s="3">
        <v>45411</v>
      </c>
      <c r="H1549" s="3">
        <v>45775</v>
      </c>
      <c r="I1549" s="1" t="s">
        <v>3810</v>
      </c>
      <c r="J1549" s="1" t="s">
        <v>3811</v>
      </c>
      <c r="K1549" s="1"/>
      <c r="L1549" s="1" t="s">
        <v>3812</v>
      </c>
      <c r="M1549" s="1" t="s">
        <v>3813</v>
      </c>
      <c r="N1549" s="1" t="s">
        <v>3814</v>
      </c>
      <c r="O1549" s="1" t="s">
        <v>3815</v>
      </c>
      <c r="P1549" s="1" t="s">
        <v>2095</v>
      </c>
      <c r="Q1549" s="1"/>
      <c r="R1549" s="1"/>
      <c r="S1549" s="1" t="s">
        <v>2072</v>
      </c>
      <c r="T1549" s="1" t="s">
        <v>3165</v>
      </c>
      <c r="U1549" s="4">
        <v>-1</v>
      </c>
      <c r="V1549" s="4">
        <v>-15705</v>
      </c>
      <c r="W1549" s="4">
        <v>-139</v>
      </c>
      <c r="X1549" s="4">
        <v>0</v>
      </c>
      <c r="Y1549" s="4">
        <v>0</v>
      </c>
      <c r="Z1549" s="5">
        <v>-15844</v>
      </c>
      <c r="AA1549" s="5">
        <v>0</v>
      </c>
      <c r="AB1549" s="6">
        <v>0</v>
      </c>
      <c r="AC1549" s="4">
        <v>-15844</v>
      </c>
      <c r="AD1549" s="4">
        <v>0</v>
      </c>
      <c r="AE1549" s="4">
        <v>-15844</v>
      </c>
      <c r="AF1549" s="1"/>
      <c r="AG1549" s="1"/>
      <c r="AH1549" s="1"/>
      <c r="AI1549" s="1" t="s">
        <v>3057</v>
      </c>
      <c r="AJ1549" s="1"/>
      <c r="AK1549" s="1"/>
      <c r="AL1549" s="1"/>
    </row>
    <row r="1550" spans="1:38" hidden="1" x14ac:dyDescent="0.25">
      <c r="A1550" s="2">
        <v>2109</v>
      </c>
      <c r="B1550" s="1" t="s">
        <v>1805</v>
      </c>
      <c r="C1550" s="1" t="s">
        <v>1806</v>
      </c>
      <c r="D1550" s="1" t="s">
        <v>2062</v>
      </c>
      <c r="E1550" s="1" t="s">
        <v>2063</v>
      </c>
      <c r="F1550" s="3">
        <v>45446</v>
      </c>
      <c r="G1550" s="3">
        <v>45414</v>
      </c>
      <c r="H1550" s="3">
        <v>45778</v>
      </c>
      <c r="I1550" s="1" t="s">
        <v>3816</v>
      </c>
      <c r="J1550" s="1" t="s">
        <v>3817</v>
      </c>
      <c r="K1550" s="1"/>
      <c r="L1550" s="1" t="s">
        <v>2315</v>
      </c>
      <c r="M1550" s="1" t="s">
        <v>3818</v>
      </c>
      <c r="N1550" s="1" t="s">
        <v>3819</v>
      </c>
      <c r="O1550" s="1" t="s">
        <v>3820</v>
      </c>
      <c r="P1550" s="1" t="s">
        <v>2119</v>
      </c>
      <c r="Q1550" s="1"/>
      <c r="R1550" s="1"/>
      <c r="S1550" s="1" t="s">
        <v>2072</v>
      </c>
      <c r="T1550" s="1" t="s">
        <v>3165</v>
      </c>
      <c r="U1550" s="4">
        <v>3100000</v>
      </c>
      <c r="V1550" s="4">
        <v>4609</v>
      </c>
      <c r="W1550" s="4">
        <v>47</v>
      </c>
      <c r="X1550" s="4">
        <v>600</v>
      </c>
      <c r="Y1550" s="4">
        <v>0</v>
      </c>
      <c r="Z1550" s="5">
        <v>5256</v>
      </c>
      <c r="AA1550" s="5">
        <v>0</v>
      </c>
      <c r="AB1550" s="6">
        <v>0</v>
      </c>
      <c r="AC1550" s="4">
        <v>5256</v>
      </c>
      <c r="AD1550" s="4">
        <v>0</v>
      </c>
      <c r="AE1550" s="4">
        <v>5256</v>
      </c>
      <c r="AF1550" s="1"/>
      <c r="AG1550" s="1"/>
      <c r="AH1550" s="1"/>
      <c r="AI1550" s="1" t="s">
        <v>2327</v>
      </c>
      <c r="AJ1550" s="6">
        <v>1516.68</v>
      </c>
      <c r="AK1550" s="6">
        <v>1238.21</v>
      </c>
      <c r="AL1550" s="1"/>
    </row>
    <row r="1551" spans="1:38" hidden="1" x14ac:dyDescent="0.25">
      <c r="A1551" s="2">
        <v>2110</v>
      </c>
      <c r="B1551" s="1" t="s">
        <v>1805</v>
      </c>
      <c r="C1551" s="1" t="s">
        <v>1807</v>
      </c>
      <c r="D1551" s="1" t="s">
        <v>2062</v>
      </c>
      <c r="E1551" s="1" t="s">
        <v>2063</v>
      </c>
      <c r="F1551" s="3">
        <v>45475</v>
      </c>
      <c r="G1551" s="3">
        <v>45414</v>
      </c>
      <c r="H1551" s="3">
        <v>45778</v>
      </c>
      <c r="I1551" s="1" t="s">
        <v>3816</v>
      </c>
      <c r="J1551" s="1" t="s">
        <v>3817</v>
      </c>
      <c r="K1551" s="1"/>
      <c r="L1551" s="1" t="s">
        <v>2315</v>
      </c>
      <c r="M1551" s="1" t="s">
        <v>3818</v>
      </c>
      <c r="N1551" s="1" t="s">
        <v>3819</v>
      </c>
      <c r="O1551" s="1" t="s">
        <v>3820</v>
      </c>
      <c r="P1551" s="1" t="s">
        <v>2119</v>
      </c>
      <c r="Q1551" s="1"/>
      <c r="R1551" s="1"/>
      <c r="S1551" s="1" t="s">
        <v>2072</v>
      </c>
      <c r="T1551" s="1" t="s">
        <v>3165</v>
      </c>
      <c r="U1551" s="4">
        <v>3100000</v>
      </c>
      <c r="V1551" s="4">
        <v>4276</v>
      </c>
      <c r="W1551" s="4">
        <v>43</v>
      </c>
      <c r="X1551" s="4">
        <v>641</v>
      </c>
      <c r="Y1551" s="4">
        <v>0</v>
      </c>
      <c r="Z1551" s="5">
        <v>4960</v>
      </c>
      <c r="AA1551" s="5">
        <v>0</v>
      </c>
      <c r="AB1551" s="6">
        <v>0</v>
      </c>
      <c r="AC1551" s="4">
        <v>4960</v>
      </c>
      <c r="AD1551" s="4">
        <v>0</v>
      </c>
      <c r="AE1551" s="4">
        <v>4960</v>
      </c>
      <c r="AF1551" s="1"/>
      <c r="AG1551" s="1"/>
      <c r="AH1551" s="1"/>
      <c r="AI1551" s="1" t="s">
        <v>2327</v>
      </c>
      <c r="AJ1551" s="6">
        <v>1463.0000000000009</v>
      </c>
      <c r="AK1551" s="6">
        <v>1168.5</v>
      </c>
      <c r="AL1551" s="1"/>
    </row>
    <row r="1552" spans="1:38" hidden="1" x14ac:dyDescent="0.25">
      <c r="A1552" s="2">
        <v>2111</v>
      </c>
      <c r="B1552" s="1" t="s">
        <v>1805</v>
      </c>
      <c r="C1552" s="1" t="s">
        <v>1808</v>
      </c>
      <c r="D1552" s="1" t="s">
        <v>2062</v>
      </c>
      <c r="E1552" s="1" t="s">
        <v>2063</v>
      </c>
      <c r="F1552" s="3">
        <v>45507</v>
      </c>
      <c r="G1552" s="3">
        <v>45414</v>
      </c>
      <c r="H1552" s="3">
        <v>45778</v>
      </c>
      <c r="I1552" s="1" t="s">
        <v>3816</v>
      </c>
      <c r="J1552" s="1" t="s">
        <v>3817</v>
      </c>
      <c r="K1552" s="1"/>
      <c r="L1552" s="1" t="s">
        <v>2315</v>
      </c>
      <c r="M1552" s="1" t="s">
        <v>3818</v>
      </c>
      <c r="N1552" s="1" t="s">
        <v>3819</v>
      </c>
      <c r="O1552" s="1" t="s">
        <v>3820</v>
      </c>
      <c r="P1552" s="1" t="s">
        <v>2119</v>
      </c>
      <c r="Q1552" s="1"/>
      <c r="R1552" s="1"/>
      <c r="S1552" s="1" t="s">
        <v>2072</v>
      </c>
      <c r="T1552" s="1" t="s">
        <v>3165</v>
      </c>
      <c r="U1552" s="4">
        <v>3100000</v>
      </c>
      <c r="V1552" s="4">
        <v>3899</v>
      </c>
      <c r="W1552" s="4">
        <v>39</v>
      </c>
      <c r="X1552" s="4">
        <v>585</v>
      </c>
      <c r="Y1552" s="4">
        <v>0</v>
      </c>
      <c r="Z1552" s="5">
        <v>4523</v>
      </c>
      <c r="AA1552" s="5">
        <v>0</v>
      </c>
      <c r="AB1552" s="6">
        <v>0</v>
      </c>
      <c r="AC1552" s="4">
        <v>4523</v>
      </c>
      <c r="AD1552" s="4">
        <v>0</v>
      </c>
      <c r="AE1552" s="4">
        <v>4523</v>
      </c>
      <c r="AF1552" s="1"/>
      <c r="AG1552" s="1"/>
      <c r="AH1552" s="1"/>
      <c r="AI1552" s="1" t="s">
        <v>2327</v>
      </c>
      <c r="AJ1552" s="6">
        <v>1340.77</v>
      </c>
      <c r="AK1552" s="6">
        <v>1065.45</v>
      </c>
      <c r="AL1552" s="1"/>
    </row>
    <row r="1553" spans="1:38" hidden="1" x14ac:dyDescent="0.25">
      <c r="A1553" s="2">
        <v>2112</v>
      </c>
      <c r="B1553" s="1" t="s">
        <v>1805</v>
      </c>
      <c r="C1553" s="1" t="s">
        <v>1809</v>
      </c>
      <c r="D1553" s="1" t="s">
        <v>2062</v>
      </c>
      <c r="E1553" s="1" t="s">
        <v>2063</v>
      </c>
      <c r="F1553" s="3">
        <v>45539</v>
      </c>
      <c r="G1553" s="3">
        <v>45414</v>
      </c>
      <c r="H1553" s="3">
        <v>45778</v>
      </c>
      <c r="I1553" s="1" t="s">
        <v>3816</v>
      </c>
      <c r="J1553" s="1" t="s">
        <v>3817</v>
      </c>
      <c r="K1553" s="1"/>
      <c r="L1553" s="1" t="s">
        <v>2315</v>
      </c>
      <c r="M1553" s="1" t="s">
        <v>3818</v>
      </c>
      <c r="N1553" s="1" t="s">
        <v>3819</v>
      </c>
      <c r="O1553" s="1" t="s">
        <v>3820</v>
      </c>
      <c r="P1553" s="1" t="s">
        <v>2119</v>
      </c>
      <c r="Q1553" s="1"/>
      <c r="R1553" s="1"/>
      <c r="S1553" s="1" t="s">
        <v>2072</v>
      </c>
      <c r="T1553" s="1" t="s">
        <v>3165</v>
      </c>
      <c r="U1553" s="4">
        <v>3100000</v>
      </c>
      <c r="V1553" s="4">
        <v>3405</v>
      </c>
      <c r="W1553" s="4">
        <v>34</v>
      </c>
      <c r="X1553" s="4">
        <v>511</v>
      </c>
      <c r="Y1553" s="4">
        <v>0</v>
      </c>
      <c r="Z1553" s="5">
        <v>3950</v>
      </c>
      <c r="AA1553" s="5">
        <v>0</v>
      </c>
      <c r="AB1553" s="6">
        <v>0</v>
      </c>
      <c r="AC1553" s="4">
        <v>3950</v>
      </c>
      <c r="AD1553" s="4">
        <v>0</v>
      </c>
      <c r="AE1553" s="4">
        <v>3950</v>
      </c>
      <c r="AF1553" s="1"/>
      <c r="AG1553" s="1"/>
      <c r="AH1553" s="1"/>
      <c r="AI1553" s="1" t="s">
        <v>2327</v>
      </c>
      <c r="AJ1553" s="6">
        <v>1140.99</v>
      </c>
      <c r="AK1553" s="6">
        <v>930.41</v>
      </c>
      <c r="AL1553" s="1"/>
    </row>
    <row r="1554" spans="1:38" hidden="1" x14ac:dyDescent="0.25">
      <c r="A1554" s="2">
        <v>2113</v>
      </c>
      <c r="B1554" s="1" t="s">
        <v>1805</v>
      </c>
      <c r="C1554" s="1" t="s">
        <v>1810</v>
      </c>
      <c r="D1554" s="1" t="s">
        <v>2062</v>
      </c>
      <c r="E1554" s="1" t="s">
        <v>2063</v>
      </c>
      <c r="F1554" s="3">
        <v>45574</v>
      </c>
      <c r="G1554" s="3">
        <v>45414</v>
      </c>
      <c r="H1554" s="3">
        <v>45778</v>
      </c>
      <c r="I1554" s="1" t="s">
        <v>3816</v>
      </c>
      <c r="J1554" s="1" t="s">
        <v>3817</v>
      </c>
      <c r="K1554" s="1"/>
      <c r="L1554" s="1" t="s">
        <v>2315</v>
      </c>
      <c r="M1554" s="1" t="s">
        <v>3818</v>
      </c>
      <c r="N1554" s="1" t="s">
        <v>3819</v>
      </c>
      <c r="O1554" s="1" t="s">
        <v>3820</v>
      </c>
      <c r="P1554" s="1" t="s">
        <v>2119</v>
      </c>
      <c r="Q1554" s="1"/>
      <c r="R1554" s="1"/>
      <c r="S1554" s="1" t="s">
        <v>2072</v>
      </c>
      <c r="T1554" s="1" t="s">
        <v>3165</v>
      </c>
      <c r="U1554" s="4">
        <v>3100000</v>
      </c>
      <c r="V1554" s="4">
        <v>3799</v>
      </c>
      <c r="W1554" s="4">
        <v>38</v>
      </c>
      <c r="X1554" s="4">
        <v>570</v>
      </c>
      <c r="Y1554" s="4">
        <v>0</v>
      </c>
      <c r="Z1554" s="5">
        <v>4407</v>
      </c>
      <c r="AA1554" s="5">
        <v>0</v>
      </c>
      <c r="AB1554" s="6">
        <v>0</v>
      </c>
      <c r="AC1554" s="4">
        <v>4407</v>
      </c>
      <c r="AD1554" s="4">
        <v>0</v>
      </c>
      <c r="AE1554" s="4">
        <v>4407</v>
      </c>
      <c r="AF1554" s="1"/>
      <c r="AG1554" s="1"/>
      <c r="AH1554" s="1"/>
      <c r="AI1554" s="1" t="s">
        <v>2327</v>
      </c>
      <c r="AJ1554" s="6">
        <v>1177.3700000000001</v>
      </c>
      <c r="AK1554" s="6">
        <v>1038.08</v>
      </c>
      <c r="AL1554" s="1"/>
    </row>
    <row r="1555" spans="1:38" hidden="1" x14ac:dyDescent="0.25">
      <c r="A1555" s="2">
        <v>2114</v>
      </c>
      <c r="B1555" s="1" t="s">
        <v>1805</v>
      </c>
      <c r="C1555" s="1" t="s">
        <v>1811</v>
      </c>
      <c r="D1555" s="1" t="s">
        <v>2062</v>
      </c>
      <c r="E1555" s="1" t="s">
        <v>2063</v>
      </c>
      <c r="F1555" s="3">
        <v>45600</v>
      </c>
      <c r="G1555" s="3">
        <v>45414</v>
      </c>
      <c r="H1555" s="3">
        <v>45778</v>
      </c>
      <c r="I1555" s="1" t="s">
        <v>3816</v>
      </c>
      <c r="J1555" s="1" t="s">
        <v>3817</v>
      </c>
      <c r="K1555" s="1"/>
      <c r="L1555" s="1" t="s">
        <v>2315</v>
      </c>
      <c r="M1555" s="1" t="s">
        <v>3818</v>
      </c>
      <c r="N1555" s="1" t="s">
        <v>3819</v>
      </c>
      <c r="O1555" s="1" t="s">
        <v>3820</v>
      </c>
      <c r="P1555" s="1" t="s">
        <v>2119</v>
      </c>
      <c r="Q1555" s="1"/>
      <c r="R1555" s="1"/>
      <c r="S1555" s="1" t="s">
        <v>2072</v>
      </c>
      <c r="T1555" s="1" t="s">
        <v>3165</v>
      </c>
      <c r="U1555" s="4">
        <v>3100000</v>
      </c>
      <c r="V1555" s="4">
        <v>3896</v>
      </c>
      <c r="W1555" s="4">
        <v>39</v>
      </c>
      <c r="X1555" s="4">
        <v>584</v>
      </c>
      <c r="Y1555" s="4">
        <v>0</v>
      </c>
      <c r="Z1555" s="5">
        <v>4519</v>
      </c>
      <c r="AA1555" s="5">
        <v>0</v>
      </c>
      <c r="AB1555" s="6">
        <v>0</v>
      </c>
      <c r="AC1555" s="4">
        <v>4519</v>
      </c>
      <c r="AD1555" s="4">
        <v>0</v>
      </c>
      <c r="AE1555" s="4">
        <v>4519</v>
      </c>
      <c r="AF1555" s="1"/>
      <c r="AG1555" s="1"/>
      <c r="AH1555" s="1"/>
      <c r="AI1555" s="1" t="s">
        <v>2327</v>
      </c>
      <c r="AJ1555" s="6">
        <v>1289.93</v>
      </c>
      <c r="AK1555" s="6">
        <v>1064.98</v>
      </c>
      <c r="AL1555" s="1"/>
    </row>
    <row r="1556" spans="1:38" hidden="1" x14ac:dyDescent="0.25">
      <c r="A1556" s="2">
        <v>2115</v>
      </c>
      <c r="B1556" s="1" t="s">
        <v>1805</v>
      </c>
      <c r="C1556" s="1" t="s">
        <v>1812</v>
      </c>
      <c r="D1556" s="1" t="s">
        <v>2062</v>
      </c>
      <c r="E1556" s="1" t="s">
        <v>2063</v>
      </c>
      <c r="F1556" s="3">
        <v>45596</v>
      </c>
      <c r="G1556" s="3">
        <v>45414</v>
      </c>
      <c r="H1556" s="3">
        <v>45778</v>
      </c>
      <c r="I1556" s="1" t="s">
        <v>3816</v>
      </c>
      <c r="J1556" s="1" t="s">
        <v>3817</v>
      </c>
      <c r="K1556" s="1"/>
      <c r="L1556" s="1" t="s">
        <v>2315</v>
      </c>
      <c r="M1556" s="1" t="s">
        <v>3818</v>
      </c>
      <c r="N1556" s="1" t="s">
        <v>3819</v>
      </c>
      <c r="O1556" s="1" t="s">
        <v>3820</v>
      </c>
      <c r="P1556" s="1" t="s">
        <v>2119</v>
      </c>
      <c r="Q1556" s="1"/>
      <c r="R1556" s="1"/>
      <c r="S1556" s="1" t="s">
        <v>2072</v>
      </c>
      <c r="T1556" s="1" t="s">
        <v>3165</v>
      </c>
      <c r="U1556" s="4">
        <v>-1</v>
      </c>
      <c r="V1556" s="4">
        <v>-24224</v>
      </c>
      <c r="W1556" s="4">
        <v>-242</v>
      </c>
      <c r="X1556" s="4">
        <v>-3149</v>
      </c>
      <c r="Y1556" s="4">
        <v>0</v>
      </c>
      <c r="Z1556" s="5">
        <v>-27615</v>
      </c>
      <c r="AA1556" s="5">
        <v>0</v>
      </c>
      <c r="AB1556" s="6">
        <v>0</v>
      </c>
      <c r="AC1556" s="4">
        <v>-27615</v>
      </c>
      <c r="AD1556" s="4">
        <v>0</v>
      </c>
      <c r="AE1556" s="4">
        <v>-27615</v>
      </c>
      <c r="AF1556" s="1"/>
      <c r="AG1556" s="1"/>
      <c r="AH1556" s="1"/>
      <c r="AI1556" s="1" t="s">
        <v>2327</v>
      </c>
      <c r="AJ1556" s="1"/>
      <c r="AK1556" s="1"/>
      <c r="AL1556" s="1"/>
    </row>
    <row r="1557" spans="1:38" hidden="1" x14ac:dyDescent="0.25">
      <c r="A1557" s="2">
        <v>2120</v>
      </c>
      <c r="B1557" s="1" t="s">
        <v>1813</v>
      </c>
      <c r="C1557" s="1" t="s">
        <v>1814</v>
      </c>
      <c r="D1557" s="1" t="s">
        <v>2062</v>
      </c>
      <c r="E1557" s="1" t="s">
        <v>2063</v>
      </c>
      <c r="F1557" s="3">
        <v>45446</v>
      </c>
      <c r="G1557" s="3">
        <v>45414</v>
      </c>
      <c r="H1557" s="3">
        <v>45778</v>
      </c>
      <c r="I1557" s="1" t="s">
        <v>3821</v>
      </c>
      <c r="J1557" s="1" t="s">
        <v>3822</v>
      </c>
      <c r="K1557" s="1"/>
      <c r="L1557" s="1" t="s">
        <v>3823</v>
      </c>
      <c r="M1557" s="1" t="s">
        <v>3824</v>
      </c>
      <c r="N1557" s="1" t="s">
        <v>3825</v>
      </c>
      <c r="O1557" s="1" t="s">
        <v>3826</v>
      </c>
      <c r="P1557" s="1" t="s">
        <v>3409</v>
      </c>
      <c r="Q1557" s="1"/>
      <c r="R1557" s="1"/>
      <c r="S1557" s="1" t="s">
        <v>2072</v>
      </c>
      <c r="T1557" s="1" t="s">
        <v>3165</v>
      </c>
      <c r="U1557" s="4">
        <v>9862000</v>
      </c>
      <c r="V1557" s="4">
        <v>1827</v>
      </c>
      <c r="W1557" s="4">
        <v>19</v>
      </c>
      <c r="X1557" s="4">
        <v>238</v>
      </c>
      <c r="Y1557" s="4">
        <v>0</v>
      </c>
      <c r="Z1557" s="5">
        <v>2084</v>
      </c>
      <c r="AA1557" s="5">
        <v>0</v>
      </c>
      <c r="AB1557" s="6">
        <v>0</v>
      </c>
      <c r="AC1557" s="4">
        <v>2084</v>
      </c>
      <c r="AD1557" s="4">
        <v>0</v>
      </c>
      <c r="AE1557" s="4">
        <v>2084</v>
      </c>
      <c r="AF1557" s="1"/>
      <c r="AG1557" s="1"/>
      <c r="AH1557" s="1"/>
      <c r="AI1557" s="1" t="s">
        <v>2327</v>
      </c>
      <c r="AJ1557" s="6">
        <v>159.36000000000001</v>
      </c>
      <c r="AK1557" s="6">
        <v>154.22999999999999</v>
      </c>
      <c r="AL1557" s="1"/>
    </row>
    <row r="1558" spans="1:38" hidden="1" x14ac:dyDescent="0.25">
      <c r="A1558" s="2">
        <v>2121</v>
      </c>
      <c r="B1558" s="1" t="s">
        <v>1813</v>
      </c>
      <c r="C1558" s="1" t="s">
        <v>1815</v>
      </c>
      <c r="D1558" s="1" t="s">
        <v>2062</v>
      </c>
      <c r="E1558" s="1" t="s">
        <v>2063</v>
      </c>
      <c r="F1558" s="3">
        <v>45475</v>
      </c>
      <c r="G1558" s="3">
        <v>45414</v>
      </c>
      <c r="H1558" s="3">
        <v>45778</v>
      </c>
      <c r="I1558" s="1" t="s">
        <v>3821</v>
      </c>
      <c r="J1558" s="1" t="s">
        <v>3822</v>
      </c>
      <c r="K1558" s="1"/>
      <c r="L1558" s="1" t="s">
        <v>3823</v>
      </c>
      <c r="M1558" s="1" t="s">
        <v>3824</v>
      </c>
      <c r="N1558" s="1" t="s">
        <v>3825</v>
      </c>
      <c r="O1558" s="1" t="s">
        <v>3826</v>
      </c>
      <c r="P1558" s="1" t="s">
        <v>3409</v>
      </c>
      <c r="Q1558" s="1"/>
      <c r="R1558" s="1"/>
      <c r="S1558" s="1" t="s">
        <v>2072</v>
      </c>
      <c r="T1558" s="1" t="s">
        <v>3165</v>
      </c>
      <c r="U1558" s="4">
        <v>9862000</v>
      </c>
      <c r="V1558" s="4">
        <v>891</v>
      </c>
      <c r="W1558" s="4">
        <v>9</v>
      </c>
      <c r="X1558" s="4">
        <v>134</v>
      </c>
      <c r="Y1558" s="4">
        <v>0</v>
      </c>
      <c r="Z1558" s="5">
        <v>1034</v>
      </c>
      <c r="AA1558" s="5">
        <v>0</v>
      </c>
      <c r="AB1558" s="6">
        <v>0</v>
      </c>
      <c r="AC1558" s="4">
        <v>1034</v>
      </c>
      <c r="AD1558" s="4">
        <v>0</v>
      </c>
      <c r="AE1558" s="4">
        <v>1034</v>
      </c>
      <c r="AF1558" s="1"/>
      <c r="AG1558" s="1"/>
      <c r="AH1558" s="1"/>
      <c r="AI1558" s="1" t="s">
        <v>2327</v>
      </c>
      <c r="AJ1558" s="6">
        <v>76.470000000000098</v>
      </c>
      <c r="AK1558" s="6">
        <v>76.470000000000098</v>
      </c>
      <c r="AL1558" s="1"/>
    </row>
    <row r="1559" spans="1:38" hidden="1" x14ac:dyDescent="0.25">
      <c r="A1559" s="2">
        <v>2122</v>
      </c>
      <c r="B1559" s="1" t="s">
        <v>1813</v>
      </c>
      <c r="C1559" s="1" t="s">
        <v>1816</v>
      </c>
      <c r="D1559" s="1" t="s">
        <v>2062</v>
      </c>
      <c r="E1559" s="1" t="s">
        <v>2063</v>
      </c>
      <c r="F1559" s="3">
        <v>45507</v>
      </c>
      <c r="G1559" s="3">
        <v>45414</v>
      </c>
      <c r="H1559" s="3">
        <v>45778</v>
      </c>
      <c r="I1559" s="1" t="s">
        <v>3821</v>
      </c>
      <c r="J1559" s="1" t="s">
        <v>3822</v>
      </c>
      <c r="K1559" s="1"/>
      <c r="L1559" s="1" t="s">
        <v>3823</v>
      </c>
      <c r="M1559" s="1" t="s">
        <v>3824</v>
      </c>
      <c r="N1559" s="1" t="s">
        <v>3825</v>
      </c>
      <c r="O1559" s="1" t="s">
        <v>3826</v>
      </c>
      <c r="P1559" s="1" t="s">
        <v>3409</v>
      </c>
      <c r="Q1559" s="1"/>
      <c r="R1559" s="1"/>
      <c r="S1559" s="1" t="s">
        <v>2072</v>
      </c>
      <c r="T1559" s="1" t="s">
        <v>3165</v>
      </c>
      <c r="U1559" s="4">
        <v>9862000</v>
      </c>
      <c r="V1559" s="4">
        <v>1124</v>
      </c>
      <c r="W1559" s="4">
        <v>11</v>
      </c>
      <c r="X1559" s="4">
        <v>168</v>
      </c>
      <c r="Y1559" s="4">
        <v>0</v>
      </c>
      <c r="Z1559" s="5">
        <v>1303</v>
      </c>
      <c r="AA1559" s="5">
        <v>0</v>
      </c>
      <c r="AB1559" s="6">
        <v>0</v>
      </c>
      <c r="AC1559" s="4">
        <v>1303</v>
      </c>
      <c r="AD1559" s="4">
        <v>0</v>
      </c>
      <c r="AE1559" s="4">
        <v>1303</v>
      </c>
      <c r="AF1559" s="1"/>
      <c r="AG1559" s="1"/>
      <c r="AH1559" s="1"/>
      <c r="AI1559" s="1" t="s">
        <v>2327</v>
      </c>
      <c r="AJ1559" s="6">
        <v>138.41</v>
      </c>
      <c r="AK1559" s="6">
        <v>96.49</v>
      </c>
      <c r="AL1559" s="1"/>
    </row>
    <row r="1560" spans="1:38" hidden="1" x14ac:dyDescent="0.25">
      <c r="A1560" s="2">
        <v>2123</v>
      </c>
      <c r="B1560" s="1" t="s">
        <v>1813</v>
      </c>
      <c r="C1560" s="1" t="s">
        <v>1817</v>
      </c>
      <c r="D1560" s="1" t="s">
        <v>2062</v>
      </c>
      <c r="E1560" s="1" t="s">
        <v>2063</v>
      </c>
      <c r="F1560" s="3">
        <v>45539</v>
      </c>
      <c r="G1560" s="3">
        <v>45414</v>
      </c>
      <c r="H1560" s="3">
        <v>45778</v>
      </c>
      <c r="I1560" s="1" t="s">
        <v>3821</v>
      </c>
      <c r="J1560" s="1" t="s">
        <v>3822</v>
      </c>
      <c r="K1560" s="1"/>
      <c r="L1560" s="1" t="s">
        <v>3823</v>
      </c>
      <c r="M1560" s="1" t="s">
        <v>3824</v>
      </c>
      <c r="N1560" s="1" t="s">
        <v>3825</v>
      </c>
      <c r="O1560" s="1" t="s">
        <v>3826</v>
      </c>
      <c r="P1560" s="1" t="s">
        <v>3409</v>
      </c>
      <c r="Q1560" s="1"/>
      <c r="R1560" s="1"/>
      <c r="S1560" s="1" t="s">
        <v>2072</v>
      </c>
      <c r="T1560" s="1" t="s">
        <v>3165</v>
      </c>
      <c r="U1560" s="4">
        <v>9862000</v>
      </c>
      <c r="V1560" s="4">
        <v>707</v>
      </c>
      <c r="W1560" s="4">
        <v>7</v>
      </c>
      <c r="X1560" s="4">
        <v>106</v>
      </c>
      <c r="Y1560" s="4">
        <v>0</v>
      </c>
      <c r="Z1560" s="5">
        <v>820</v>
      </c>
      <c r="AA1560" s="5">
        <v>0</v>
      </c>
      <c r="AB1560" s="6">
        <v>0</v>
      </c>
      <c r="AC1560" s="4">
        <v>820</v>
      </c>
      <c r="AD1560" s="4">
        <v>0</v>
      </c>
      <c r="AE1560" s="4">
        <v>820</v>
      </c>
      <c r="AF1560" s="1"/>
      <c r="AG1560" s="1"/>
      <c r="AH1560" s="1"/>
      <c r="AI1560" s="1" t="s">
        <v>2327</v>
      </c>
      <c r="AJ1560" s="6">
        <v>60.75</v>
      </c>
      <c r="AK1560" s="6">
        <v>60.75</v>
      </c>
      <c r="AL1560" s="1"/>
    </row>
    <row r="1561" spans="1:38" hidden="1" x14ac:dyDescent="0.25">
      <c r="A1561" s="2">
        <v>2124</v>
      </c>
      <c r="B1561" s="1" t="s">
        <v>1813</v>
      </c>
      <c r="C1561" s="1" t="s">
        <v>1818</v>
      </c>
      <c r="D1561" s="1" t="s">
        <v>2062</v>
      </c>
      <c r="E1561" s="1" t="s">
        <v>2063</v>
      </c>
      <c r="F1561" s="3">
        <v>45574</v>
      </c>
      <c r="G1561" s="3">
        <v>45414</v>
      </c>
      <c r="H1561" s="3">
        <v>45778</v>
      </c>
      <c r="I1561" s="1" t="s">
        <v>3821</v>
      </c>
      <c r="J1561" s="1" t="s">
        <v>3822</v>
      </c>
      <c r="K1561" s="1"/>
      <c r="L1561" s="1" t="s">
        <v>3823</v>
      </c>
      <c r="M1561" s="1" t="s">
        <v>3824</v>
      </c>
      <c r="N1561" s="1" t="s">
        <v>3825</v>
      </c>
      <c r="O1561" s="1" t="s">
        <v>3826</v>
      </c>
      <c r="P1561" s="1" t="s">
        <v>3409</v>
      </c>
      <c r="Q1561" s="1"/>
      <c r="R1561" s="1"/>
      <c r="S1561" s="1" t="s">
        <v>2072</v>
      </c>
      <c r="T1561" s="1" t="s">
        <v>3165</v>
      </c>
      <c r="U1561" s="4">
        <v>9862000</v>
      </c>
      <c r="V1561" s="4">
        <v>1481</v>
      </c>
      <c r="W1561" s="4">
        <v>15</v>
      </c>
      <c r="X1561" s="4">
        <v>222</v>
      </c>
      <c r="Y1561" s="4">
        <v>0</v>
      </c>
      <c r="Z1561" s="5">
        <v>1718</v>
      </c>
      <c r="AA1561" s="5">
        <v>0</v>
      </c>
      <c r="AB1561" s="6">
        <v>0</v>
      </c>
      <c r="AC1561" s="4">
        <v>1718</v>
      </c>
      <c r="AD1561" s="4">
        <v>0</v>
      </c>
      <c r="AE1561" s="4">
        <v>1718</v>
      </c>
      <c r="AF1561" s="1"/>
      <c r="AG1561" s="1"/>
      <c r="AH1561" s="1"/>
      <c r="AI1561" s="1" t="s">
        <v>2327</v>
      </c>
      <c r="AJ1561" s="6">
        <v>127.18</v>
      </c>
      <c r="AK1561" s="6">
        <v>127.18</v>
      </c>
      <c r="AL1561" s="1"/>
    </row>
    <row r="1562" spans="1:38" hidden="1" x14ac:dyDescent="0.25">
      <c r="A1562" s="2">
        <v>2125</v>
      </c>
      <c r="B1562" s="1" t="s">
        <v>1813</v>
      </c>
      <c r="C1562" s="1" t="s">
        <v>1819</v>
      </c>
      <c r="D1562" s="1" t="s">
        <v>2062</v>
      </c>
      <c r="E1562" s="1" t="s">
        <v>2063</v>
      </c>
      <c r="F1562" s="3">
        <v>45600</v>
      </c>
      <c r="G1562" s="3">
        <v>45414</v>
      </c>
      <c r="H1562" s="3">
        <v>45778</v>
      </c>
      <c r="I1562" s="1" t="s">
        <v>3821</v>
      </c>
      <c r="J1562" s="1" t="s">
        <v>3822</v>
      </c>
      <c r="K1562" s="1"/>
      <c r="L1562" s="1" t="s">
        <v>3823</v>
      </c>
      <c r="M1562" s="1" t="s">
        <v>3824</v>
      </c>
      <c r="N1562" s="1" t="s">
        <v>3825</v>
      </c>
      <c r="O1562" s="1" t="s">
        <v>3826</v>
      </c>
      <c r="P1562" s="1" t="s">
        <v>3409</v>
      </c>
      <c r="Q1562" s="1"/>
      <c r="R1562" s="1"/>
      <c r="S1562" s="1" t="s">
        <v>2072</v>
      </c>
      <c r="T1562" s="1" t="s">
        <v>3165</v>
      </c>
      <c r="U1562" s="4">
        <v>9862000</v>
      </c>
      <c r="V1562" s="4">
        <v>1344</v>
      </c>
      <c r="W1562" s="4">
        <v>13</v>
      </c>
      <c r="X1562" s="4">
        <v>202</v>
      </c>
      <c r="Y1562" s="4">
        <v>0</v>
      </c>
      <c r="Z1562" s="5">
        <v>1559</v>
      </c>
      <c r="AA1562" s="5">
        <v>0</v>
      </c>
      <c r="AB1562" s="6">
        <v>0</v>
      </c>
      <c r="AC1562" s="4">
        <v>1559</v>
      </c>
      <c r="AD1562" s="4">
        <v>0</v>
      </c>
      <c r="AE1562" s="4">
        <v>1559</v>
      </c>
      <c r="AF1562" s="1"/>
      <c r="AG1562" s="1"/>
      <c r="AH1562" s="1"/>
      <c r="AI1562" s="1" t="s">
        <v>2327</v>
      </c>
      <c r="AJ1562" s="6">
        <v>115.42</v>
      </c>
      <c r="AK1562" s="6">
        <v>115.42</v>
      </c>
      <c r="AL1562" s="1"/>
    </row>
    <row r="1563" spans="1:38" hidden="1" x14ac:dyDescent="0.25">
      <c r="A1563" s="2">
        <v>2126</v>
      </c>
      <c r="B1563" s="1" t="s">
        <v>1813</v>
      </c>
      <c r="C1563" s="1" t="s">
        <v>1820</v>
      </c>
      <c r="D1563" s="1" t="s">
        <v>2062</v>
      </c>
      <c r="E1563" s="1" t="s">
        <v>2063</v>
      </c>
      <c r="F1563" s="3">
        <v>45630</v>
      </c>
      <c r="G1563" s="3">
        <v>45414</v>
      </c>
      <c r="H1563" s="3">
        <v>45778</v>
      </c>
      <c r="I1563" s="1" t="s">
        <v>3821</v>
      </c>
      <c r="J1563" s="1" t="s">
        <v>3822</v>
      </c>
      <c r="K1563" s="1"/>
      <c r="L1563" s="1" t="s">
        <v>3823</v>
      </c>
      <c r="M1563" s="1" t="s">
        <v>3824</v>
      </c>
      <c r="N1563" s="1" t="s">
        <v>3825</v>
      </c>
      <c r="O1563" s="1" t="s">
        <v>3826</v>
      </c>
      <c r="P1563" s="1" t="s">
        <v>3409</v>
      </c>
      <c r="Q1563" s="1"/>
      <c r="R1563" s="1"/>
      <c r="S1563" s="1" t="s">
        <v>2072</v>
      </c>
      <c r="T1563" s="1" t="s">
        <v>3165</v>
      </c>
      <c r="U1563" s="4">
        <v>9862000</v>
      </c>
      <c r="V1563" s="4">
        <v>550</v>
      </c>
      <c r="W1563" s="4">
        <v>5</v>
      </c>
      <c r="X1563" s="4">
        <v>82</v>
      </c>
      <c r="Y1563" s="4">
        <v>0</v>
      </c>
      <c r="Z1563" s="5">
        <v>637</v>
      </c>
      <c r="AA1563" s="5">
        <v>0</v>
      </c>
      <c r="AB1563" s="6">
        <v>0</v>
      </c>
      <c r="AC1563" s="4">
        <v>637</v>
      </c>
      <c r="AD1563" s="4">
        <v>0</v>
      </c>
      <c r="AE1563" s="4">
        <v>637</v>
      </c>
      <c r="AF1563" s="1"/>
      <c r="AG1563" s="1"/>
      <c r="AH1563" s="1"/>
      <c r="AI1563" s="1" t="s">
        <v>2327</v>
      </c>
      <c r="AJ1563" s="6">
        <v>47.16</v>
      </c>
      <c r="AK1563" s="6">
        <v>47.16</v>
      </c>
      <c r="AL1563" s="1"/>
    </row>
    <row r="1564" spans="1:38" hidden="1" x14ac:dyDescent="0.25">
      <c r="A1564" s="2">
        <v>2127</v>
      </c>
      <c r="B1564" s="1" t="s">
        <v>1813</v>
      </c>
      <c r="C1564" s="1" t="s">
        <v>1821</v>
      </c>
      <c r="D1564" s="1" t="s">
        <v>2062</v>
      </c>
      <c r="E1564" s="1" t="s">
        <v>2063</v>
      </c>
      <c r="F1564" s="3">
        <v>45655</v>
      </c>
      <c r="G1564" s="3">
        <v>45414</v>
      </c>
      <c r="H1564" s="3">
        <v>45778</v>
      </c>
      <c r="I1564" s="1" t="s">
        <v>3821</v>
      </c>
      <c r="J1564" s="1" t="s">
        <v>3822</v>
      </c>
      <c r="K1564" s="1"/>
      <c r="L1564" s="1" t="s">
        <v>3823</v>
      </c>
      <c r="M1564" s="1" t="s">
        <v>3824</v>
      </c>
      <c r="N1564" s="1" t="s">
        <v>3825</v>
      </c>
      <c r="O1564" s="1" t="s">
        <v>3826</v>
      </c>
      <c r="P1564" s="1" t="s">
        <v>3409</v>
      </c>
      <c r="Q1564" s="1"/>
      <c r="R1564" s="1"/>
      <c r="S1564" s="1" t="s">
        <v>2072</v>
      </c>
      <c r="T1564" s="1" t="s">
        <v>3165</v>
      </c>
      <c r="U1564" s="4">
        <v>-1</v>
      </c>
      <c r="V1564" s="4">
        <v>-9064</v>
      </c>
      <c r="W1564" s="4">
        <v>-91</v>
      </c>
      <c r="X1564" s="4">
        <v>0</v>
      </c>
      <c r="Y1564" s="4">
        <v>0</v>
      </c>
      <c r="Z1564" s="5">
        <v>-9155</v>
      </c>
      <c r="AA1564" s="5">
        <v>0</v>
      </c>
      <c r="AB1564" s="6">
        <v>0</v>
      </c>
      <c r="AC1564" s="4">
        <v>-9155</v>
      </c>
      <c r="AD1564" s="4">
        <v>0</v>
      </c>
      <c r="AE1564" s="4">
        <v>-9155</v>
      </c>
      <c r="AF1564" s="1"/>
      <c r="AG1564" s="1"/>
      <c r="AH1564" s="1"/>
      <c r="AI1564" s="1" t="s">
        <v>2327</v>
      </c>
      <c r="AJ1564" s="1"/>
      <c r="AK1564" s="1"/>
      <c r="AL1564" s="1"/>
    </row>
    <row r="1565" spans="1:38" hidden="1" x14ac:dyDescent="0.25">
      <c r="A1565" s="2">
        <v>2133</v>
      </c>
      <c r="B1565" s="1" t="s">
        <v>1822</v>
      </c>
      <c r="C1565" s="1" t="s">
        <v>1823</v>
      </c>
      <c r="D1565" s="1" t="s">
        <v>2062</v>
      </c>
      <c r="E1565" s="1" t="s">
        <v>2063</v>
      </c>
      <c r="F1565" s="3">
        <v>45663</v>
      </c>
      <c r="G1565" s="3">
        <v>45416</v>
      </c>
      <c r="H1565" s="3">
        <v>45780</v>
      </c>
      <c r="I1565" s="1" t="s">
        <v>3827</v>
      </c>
      <c r="J1565" s="1" t="s">
        <v>3828</v>
      </c>
      <c r="K1565" s="1"/>
      <c r="L1565" s="1" t="s">
        <v>2131</v>
      </c>
      <c r="M1565" s="1" t="s">
        <v>3829</v>
      </c>
      <c r="N1565" s="1" t="s">
        <v>3830</v>
      </c>
      <c r="O1565" s="1" t="s">
        <v>3831</v>
      </c>
      <c r="P1565" s="1" t="s">
        <v>2182</v>
      </c>
      <c r="Q1565" s="1"/>
      <c r="R1565" s="1"/>
      <c r="S1565" s="1" t="s">
        <v>2072</v>
      </c>
      <c r="T1565" s="1" t="s">
        <v>3165</v>
      </c>
      <c r="U1565" s="4">
        <v>2800000</v>
      </c>
      <c r="V1565" s="4">
        <v>3338</v>
      </c>
      <c r="W1565" s="4">
        <v>33</v>
      </c>
      <c r="X1565" s="4">
        <v>501</v>
      </c>
      <c r="Y1565" s="4">
        <v>0</v>
      </c>
      <c r="Z1565" s="5">
        <v>3872</v>
      </c>
      <c r="AA1565" s="5">
        <v>0</v>
      </c>
      <c r="AB1565" s="6">
        <v>0</v>
      </c>
      <c r="AC1565" s="4">
        <v>3872</v>
      </c>
      <c r="AD1565" s="4">
        <v>0</v>
      </c>
      <c r="AE1565" s="4">
        <v>3872</v>
      </c>
      <c r="AF1565" s="1"/>
      <c r="AG1565" s="1"/>
      <c r="AH1565" s="1"/>
      <c r="AI1565" s="1" t="s">
        <v>2327</v>
      </c>
      <c r="AJ1565" s="6">
        <v>1267.22</v>
      </c>
      <c r="AK1565" s="6">
        <v>1007.6500000000001</v>
      </c>
      <c r="AL1565" s="1"/>
    </row>
    <row r="1566" spans="1:38" hidden="1" x14ac:dyDescent="0.25">
      <c r="A1566" s="2">
        <v>2134</v>
      </c>
      <c r="B1566" s="1" t="s">
        <v>1822</v>
      </c>
      <c r="C1566" s="1" t="s">
        <v>1824</v>
      </c>
      <c r="D1566" s="1" t="s">
        <v>2062</v>
      </c>
      <c r="E1566" s="1" t="s">
        <v>2063</v>
      </c>
      <c r="F1566" s="3">
        <v>45694</v>
      </c>
      <c r="G1566" s="3">
        <v>45416</v>
      </c>
      <c r="H1566" s="3">
        <v>45780</v>
      </c>
      <c r="I1566" s="1" t="s">
        <v>3827</v>
      </c>
      <c r="J1566" s="1" t="s">
        <v>3828</v>
      </c>
      <c r="K1566" s="1"/>
      <c r="L1566" s="1" t="s">
        <v>2131</v>
      </c>
      <c r="M1566" s="1" t="s">
        <v>3829</v>
      </c>
      <c r="N1566" s="1" t="s">
        <v>3830</v>
      </c>
      <c r="O1566" s="1" t="s">
        <v>3831</v>
      </c>
      <c r="P1566" s="1" t="s">
        <v>2182</v>
      </c>
      <c r="Q1566" s="1"/>
      <c r="R1566" s="1"/>
      <c r="S1566" s="1" t="s">
        <v>2072</v>
      </c>
      <c r="T1566" s="1" t="s">
        <v>3165</v>
      </c>
      <c r="U1566" s="4">
        <v>2800000</v>
      </c>
      <c r="V1566" s="4">
        <v>390</v>
      </c>
      <c r="W1566" s="4">
        <v>4</v>
      </c>
      <c r="X1566" s="4">
        <v>59</v>
      </c>
      <c r="Y1566" s="4">
        <v>0</v>
      </c>
      <c r="Z1566" s="5">
        <v>453</v>
      </c>
      <c r="AA1566" s="5">
        <v>0</v>
      </c>
      <c r="AB1566" s="6">
        <v>0</v>
      </c>
      <c r="AC1566" s="4">
        <v>453</v>
      </c>
      <c r="AD1566" s="4">
        <v>0</v>
      </c>
      <c r="AE1566" s="4">
        <v>453</v>
      </c>
      <c r="AF1566" s="1"/>
      <c r="AG1566" s="1"/>
      <c r="AH1566" s="1"/>
      <c r="AI1566" s="1" t="s">
        <v>2327</v>
      </c>
      <c r="AJ1566" s="6">
        <v>118.13000000000002</v>
      </c>
      <c r="AK1566" s="6">
        <v>118.13000000000002</v>
      </c>
      <c r="AL1566" s="1"/>
    </row>
    <row r="1567" spans="1:38" hidden="1" x14ac:dyDescent="0.25">
      <c r="A1567" s="2">
        <v>2135</v>
      </c>
      <c r="B1567" s="1" t="s">
        <v>1822</v>
      </c>
      <c r="C1567" s="1" t="s">
        <v>1825</v>
      </c>
      <c r="D1567" s="1" t="s">
        <v>2062</v>
      </c>
      <c r="E1567" s="1" t="s">
        <v>2063</v>
      </c>
      <c r="F1567" s="3">
        <v>45745</v>
      </c>
      <c r="G1567" s="3">
        <v>45416</v>
      </c>
      <c r="H1567" s="3">
        <v>45780</v>
      </c>
      <c r="I1567" s="1" t="s">
        <v>3827</v>
      </c>
      <c r="J1567" s="1" t="s">
        <v>3828</v>
      </c>
      <c r="K1567" s="1"/>
      <c r="L1567" s="1" t="s">
        <v>2131</v>
      </c>
      <c r="M1567" s="1" t="s">
        <v>3829</v>
      </c>
      <c r="N1567" s="1" t="s">
        <v>3830</v>
      </c>
      <c r="O1567" s="1" t="s">
        <v>3831</v>
      </c>
      <c r="P1567" s="1" t="s">
        <v>2182</v>
      </c>
      <c r="Q1567" s="1"/>
      <c r="R1567" s="1"/>
      <c r="S1567" s="1" t="s">
        <v>2072</v>
      </c>
      <c r="T1567" s="1" t="s">
        <v>3165</v>
      </c>
      <c r="U1567" s="4">
        <v>-1</v>
      </c>
      <c r="V1567" s="4">
        <v>-4287</v>
      </c>
      <c r="W1567" s="4">
        <v>-38</v>
      </c>
      <c r="X1567" s="4">
        <v>0</v>
      </c>
      <c r="Y1567" s="4">
        <v>0</v>
      </c>
      <c r="Z1567" s="5">
        <v>-4325</v>
      </c>
      <c r="AA1567" s="5">
        <v>0</v>
      </c>
      <c r="AB1567" s="6">
        <v>0</v>
      </c>
      <c r="AC1567" s="4">
        <v>-4325</v>
      </c>
      <c r="AD1567" s="4">
        <v>0</v>
      </c>
      <c r="AE1567" s="4">
        <v>-4325</v>
      </c>
      <c r="AF1567" s="1"/>
      <c r="AG1567" s="1"/>
      <c r="AH1567" s="1"/>
      <c r="AI1567" s="1" t="s">
        <v>2327</v>
      </c>
      <c r="AJ1567" s="1"/>
      <c r="AK1567" s="1"/>
      <c r="AL1567" s="1"/>
    </row>
    <row r="1568" spans="1:38" x14ac:dyDescent="0.25">
      <c r="A1568" s="2">
        <v>2137</v>
      </c>
      <c r="B1568" s="1" t="s">
        <v>1826</v>
      </c>
      <c r="C1568" s="1"/>
      <c r="D1568" s="1" t="s">
        <v>2062</v>
      </c>
      <c r="E1568" s="1" t="s">
        <v>2063</v>
      </c>
      <c r="F1568" s="3">
        <v>45420</v>
      </c>
      <c r="G1568" s="3">
        <v>45417</v>
      </c>
      <c r="H1568" s="3">
        <v>45781</v>
      </c>
      <c r="I1568" s="1" t="s">
        <v>2502</v>
      </c>
      <c r="J1568" s="1" t="s">
        <v>2503</v>
      </c>
      <c r="K1568" s="1"/>
      <c r="L1568" s="1" t="s">
        <v>2504</v>
      </c>
      <c r="M1568" s="1" t="s">
        <v>2505</v>
      </c>
      <c r="N1568" s="1" t="s">
        <v>3832</v>
      </c>
      <c r="O1568" s="1" t="s">
        <v>3833</v>
      </c>
      <c r="P1568" s="1" t="s">
        <v>2247</v>
      </c>
      <c r="Q1568" s="1"/>
      <c r="R1568" s="1"/>
      <c r="S1568" s="1" t="s">
        <v>2072</v>
      </c>
      <c r="T1568" s="1" t="s">
        <v>2508</v>
      </c>
      <c r="U1568" s="4">
        <v>-1</v>
      </c>
      <c r="V1568" s="4">
        <v>0</v>
      </c>
      <c r="W1568" s="4">
        <v>0</v>
      </c>
      <c r="X1568" s="4">
        <v>0</v>
      </c>
      <c r="Y1568" s="4">
        <v>50</v>
      </c>
      <c r="Z1568" s="5">
        <v>50</v>
      </c>
      <c r="AA1568" s="5">
        <v>0</v>
      </c>
      <c r="AB1568" s="6">
        <v>0</v>
      </c>
      <c r="AC1568" s="4">
        <v>50</v>
      </c>
      <c r="AD1568" s="4">
        <v>0</v>
      </c>
      <c r="AE1568" s="4">
        <v>50</v>
      </c>
      <c r="AF1568" s="1"/>
      <c r="AG1568" s="1"/>
      <c r="AH1568" s="1"/>
      <c r="AI1568" s="1" t="s">
        <v>3432</v>
      </c>
      <c r="AJ1568" s="1"/>
      <c r="AK1568" s="1"/>
      <c r="AL1568" s="1" t="s">
        <v>3834</v>
      </c>
    </row>
    <row r="1569" spans="1:38" hidden="1" x14ac:dyDescent="0.25">
      <c r="A1569" s="2">
        <v>2138</v>
      </c>
      <c r="B1569" s="1" t="s">
        <v>1826</v>
      </c>
      <c r="C1569" s="1" t="s">
        <v>1827</v>
      </c>
      <c r="D1569" s="1" t="s">
        <v>2062</v>
      </c>
      <c r="E1569" s="1" t="s">
        <v>2063</v>
      </c>
      <c r="F1569" s="3">
        <v>45449</v>
      </c>
      <c r="G1569" s="3">
        <v>45417</v>
      </c>
      <c r="H1569" s="3">
        <v>45781</v>
      </c>
      <c r="I1569" s="1" t="s">
        <v>2502</v>
      </c>
      <c r="J1569" s="1" t="s">
        <v>2503</v>
      </c>
      <c r="K1569" s="1"/>
      <c r="L1569" s="1" t="s">
        <v>2504</v>
      </c>
      <c r="M1569" s="1" t="s">
        <v>2505</v>
      </c>
      <c r="N1569" s="1" t="s">
        <v>3832</v>
      </c>
      <c r="O1569" s="1" t="s">
        <v>3833</v>
      </c>
      <c r="P1569" s="1" t="s">
        <v>2247</v>
      </c>
      <c r="Q1569" s="1"/>
      <c r="R1569" s="1"/>
      <c r="S1569" s="1" t="s">
        <v>2072</v>
      </c>
      <c r="T1569" s="1" t="s">
        <v>2508</v>
      </c>
      <c r="U1569" s="4">
        <v>3100000</v>
      </c>
      <c r="V1569" s="4">
        <v>388</v>
      </c>
      <c r="W1569" s="4">
        <v>4</v>
      </c>
      <c r="X1569" s="4">
        <v>50</v>
      </c>
      <c r="Y1569" s="4">
        <v>0</v>
      </c>
      <c r="Z1569" s="5">
        <v>442</v>
      </c>
      <c r="AA1569" s="5">
        <v>0</v>
      </c>
      <c r="AB1569" s="6">
        <v>0</v>
      </c>
      <c r="AC1569" s="4">
        <v>442</v>
      </c>
      <c r="AD1569" s="4">
        <v>0</v>
      </c>
      <c r="AE1569" s="4">
        <v>442</v>
      </c>
      <c r="AF1569" s="1"/>
      <c r="AG1569" s="1"/>
      <c r="AH1569" s="1"/>
      <c r="AI1569" s="1" t="s">
        <v>3432</v>
      </c>
      <c r="AJ1569" s="6">
        <v>104.06</v>
      </c>
      <c r="AK1569" s="6">
        <v>104.06</v>
      </c>
      <c r="AL1569" s="1"/>
    </row>
    <row r="1570" spans="1:38" hidden="1" x14ac:dyDescent="0.25">
      <c r="A1570" s="2">
        <v>2139</v>
      </c>
      <c r="B1570" s="1" t="s">
        <v>1826</v>
      </c>
      <c r="C1570" s="1" t="s">
        <v>1828</v>
      </c>
      <c r="D1570" s="1" t="s">
        <v>2062</v>
      </c>
      <c r="E1570" s="1" t="s">
        <v>2063</v>
      </c>
      <c r="F1570" s="3">
        <v>45478</v>
      </c>
      <c r="G1570" s="3">
        <v>45417</v>
      </c>
      <c r="H1570" s="3">
        <v>45781</v>
      </c>
      <c r="I1570" s="1" t="s">
        <v>2502</v>
      </c>
      <c r="J1570" s="1" t="s">
        <v>2503</v>
      </c>
      <c r="K1570" s="1"/>
      <c r="L1570" s="1" t="s">
        <v>2504</v>
      </c>
      <c r="M1570" s="1" t="s">
        <v>2505</v>
      </c>
      <c r="N1570" s="1" t="s">
        <v>3832</v>
      </c>
      <c r="O1570" s="1" t="s">
        <v>3833</v>
      </c>
      <c r="P1570" s="1" t="s">
        <v>2247</v>
      </c>
      <c r="Q1570" s="1"/>
      <c r="R1570" s="1"/>
      <c r="S1570" s="1" t="s">
        <v>2072</v>
      </c>
      <c r="T1570" s="1" t="s">
        <v>2508</v>
      </c>
      <c r="U1570" s="4">
        <v>3100000</v>
      </c>
      <c r="V1570" s="4">
        <v>1111</v>
      </c>
      <c r="W1570" s="4">
        <v>11</v>
      </c>
      <c r="X1570" s="4">
        <v>167</v>
      </c>
      <c r="Y1570" s="4">
        <v>0</v>
      </c>
      <c r="Z1570" s="5">
        <v>1289</v>
      </c>
      <c r="AA1570" s="5">
        <v>0</v>
      </c>
      <c r="AB1570" s="6">
        <v>0</v>
      </c>
      <c r="AC1570" s="4">
        <v>1289</v>
      </c>
      <c r="AD1570" s="4">
        <v>0</v>
      </c>
      <c r="AE1570" s="4">
        <v>1289</v>
      </c>
      <c r="AF1570" s="1"/>
      <c r="AG1570" s="1"/>
      <c r="AH1570" s="1"/>
      <c r="AI1570" s="1" t="s">
        <v>3432</v>
      </c>
      <c r="AJ1570" s="6">
        <v>308</v>
      </c>
      <c r="AK1570" s="6">
        <v>304.29000000000002</v>
      </c>
      <c r="AL1570" s="1"/>
    </row>
    <row r="1571" spans="1:38" hidden="1" x14ac:dyDescent="0.25">
      <c r="A1571" s="2">
        <v>2140</v>
      </c>
      <c r="B1571" s="1" t="s">
        <v>1826</v>
      </c>
      <c r="C1571" s="1" t="s">
        <v>1829</v>
      </c>
      <c r="D1571" s="1" t="s">
        <v>2062</v>
      </c>
      <c r="E1571" s="1" t="s">
        <v>2063</v>
      </c>
      <c r="F1571" s="3">
        <v>45511</v>
      </c>
      <c r="G1571" s="3">
        <v>45417</v>
      </c>
      <c r="H1571" s="3">
        <v>45781</v>
      </c>
      <c r="I1571" s="1" t="s">
        <v>2502</v>
      </c>
      <c r="J1571" s="1" t="s">
        <v>2503</v>
      </c>
      <c r="K1571" s="1"/>
      <c r="L1571" s="1" t="s">
        <v>2504</v>
      </c>
      <c r="M1571" s="1" t="s">
        <v>2505</v>
      </c>
      <c r="N1571" s="1" t="s">
        <v>3832</v>
      </c>
      <c r="O1571" s="1" t="s">
        <v>3833</v>
      </c>
      <c r="P1571" s="1" t="s">
        <v>2247</v>
      </c>
      <c r="Q1571" s="1"/>
      <c r="R1571" s="1"/>
      <c r="S1571" s="1" t="s">
        <v>2072</v>
      </c>
      <c r="T1571" s="1" t="s">
        <v>2508</v>
      </c>
      <c r="U1571" s="4">
        <v>3100000</v>
      </c>
      <c r="V1571" s="4">
        <v>339</v>
      </c>
      <c r="W1571" s="4">
        <v>3</v>
      </c>
      <c r="X1571" s="4">
        <v>51</v>
      </c>
      <c r="Y1571" s="4">
        <v>0</v>
      </c>
      <c r="Z1571" s="5">
        <v>393</v>
      </c>
      <c r="AA1571" s="5">
        <v>0</v>
      </c>
      <c r="AB1571" s="6">
        <v>0</v>
      </c>
      <c r="AC1571" s="4">
        <v>393</v>
      </c>
      <c r="AD1571" s="4">
        <v>0</v>
      </c>
      <c r="AE1571" s="4">
        <v>393</v>
      </c>
      <c r="AF1571" s="1"/>
      <c r="AG1571" s="1"/>
      <c r="AH1571" s="1"/>
      <c r="AI1571" s="1" t="s">
        <v>3432</v>
      </c>
      <c r="AJ1571" s="6">
        <v>92.419999999999987</v>
      </c>
      <c r="AK1571" s="6">
        <v>92.419999999999987</v>
      </c>
      <c r="AL1571" s="1"/>
    </row>
    <row r="1572" spans="1:38" hidden="1" x14ac:dyDescent="0.25">
      <c r="A1572" s="2">
        <v>2141</v>
      </c>
      <c r="B1572" s="1" t="s">
        <v>1826</v>
      </c>
      <c r="C1572" s="1" t="s">
        <v>1830</v>
      </c>
      <c r="D1572" s="1" t="s">
        <v>2062</v>
      </c>
      <c r="E1572" s="1" t="s">
        <v>2063</v>
      </c>
      <c r="F1572" s="3">
        <v>45596</v>
      </c>
      <c r="G1572" s="3">
        <v>45417</v>
      </c>
      <c r="H1572" s="3">
        <v>45781</v>
      </c>
      <c r="I1572" s="1" t="s">
        <v>2502</v>
      </c>
      <c r="J1572" s="1" t="s">
        <v>2503</v>
      </c>
      <c r="K1572" s="1"/>
      <c r="L1572" s="1" t="s">
        <v>2504</v>
      </c>
      <c r="M1572" s="1" t="s">
        <v>2505</v>
      </c>
      <c r="N1572" s="1" t="s">
        <v>3832</v>
      </c>
      <c r="O1572" s="1" t="s">
        <v>3833</v>
      </c>
      <c r="P1572" s="1" t="s">
        <v>2247</v>
      </c>
      <c r="Q1572" s="1"/>
      <c r="R1572" s="1"/>
      <c r="S1572" s="1" t="s">
        <v>2072</v>
      </c>
      <c r="T1572" s="1" t="s">
        <v>2508</v>
      </c>
      <c r="U1572" s="4">
        <v>-1</v>
      </c>
      <c r="V1572" s="4">
        <v>-1907</v>
      </c>
      <c r="W1572" s="4">
        <v>-19</v>
      </c>
      <c r="X1572" s="4">
        <v>-248</v>
      </c>
      <c r="Y1572" s="4">
        <v>0</v>
      </c>
      <c r="Z1572" s="5">
        <v>-2174</v>
      </c>
      <c r="AA1572" s="5">
        <v>0</v>
      </c>
      <c r="AB1572" s="6">
        <v>0</v>
      </c>
      <c r="AC1572" s="4">
        <v>-2174</v>
      </c>
      <c r="AD1572" s="4">
        <v>0</v>
      </c>
      <c r="AE1572" s="4">
        <v>-2174</v>
      </c>
      <c r="AF1572" s="1"/>
      <c r="AG1572" s="1"/>
      <c r="AH1572" s="1"/>
      <c r="AI1572" s="1" t="s">
        <v>3432</v>
      </c>
      <c r="AJ1572" s="1"/>
      <c r="AK1572" s="1"/>
      <c r="AL1572" s="1"/>
    </row>
    <row r="1573" spans="1:38" hidden="1" x14ac:dyDescent="0.25">
      <c r="A1573" s="2">
        <v>2142</v>
      </c>
      <c r="B1573" s="1" t="s">
        <v>1831</v>
      </c>
      <c r="C1573" s="1" t="s">
        <v>1832</v>
      </c>
      <c r="D1573" s="1" t="s">
        <v>2062</v>
      </c>
      <c r="E1573" s="1" t="s">
        <v>2063</v>
      </c>
      <c r="F1573" s="3">
        <v>45482</v>
      </c>
      <c r="G1573" s="3">
        <v>45419</v>
      </c>
      <c r="H1573" s="3">
        <v>45783</v>
      </c>
      <c r="I1573" s="1" t="s">
        <v>3835</v>
      </c>
      <c r="J1573" s="1" t="s">
        <v>3836</v>
      </c>
      <c r="K1573" s="1"/>
      <c r="L1573" s="1" t="s">
        <v>2178</v>
      </c>
      <c r="M1573" s="1" t="s">
        <v>3837</v>
      </c>
      <c r="N1573" s="1" t="s">
        <v>3838</v>
      </c>
      <c r="O1573" s="1" t="s">
        <v>3839</v>
      </c>
      <c r="P1573" s="1" t="s">
        <v>2182</v>
      </c>
      <c r="Q1573" s="1"/>
      <c r="R1573" s="1"/>
      <c r="S1573" s="1" t="s">
        <v>2072</v>
      </c>
      <c r="T1573" s="1" t="s">
        <v>3165</v>
      </c>
      <c r="U1573" s="4">
        <v>2600000</v>
      </c>
      <c r="V1573" s="4">
        <v>2365</v>
      </c>
      <c r="W1573" s="4">
        <v>24</v>
      </c>
      <c r="X1573" s="4">
        <v>355</v>
      </c>
      <c r="Y1573" s="4">
        <v>0</v>
      </c>
      <c r="Z1573" s="5">
        <v>2744</v>
      </c>
      <c r="AA1573" s="5">
        <v>0</v>
      </c>
      <c r="AB1573" s="6">
        <v>0</v>
      </c>
      <c r="AC1573" s="4">
        <v>2744</v>
      </c>
      <c r="AD1573" s="4">
        <v>0</v>
      </c>
      <c r="AE1573" s="4">
        <v>2744</v>
      </c>
      <c r="AF1573" s="1"/>
      <c r="AG1573" s="1"/>
      <c r="AH1573" s="1"/>
      <c r="AI1573" s="1" t="s">
        <v>2327</v>
      </c>
      <c r="AJ1573" s="6">
        <v>2976.4900000001585</v>
      </c>
      <c r="AK1573" s="6">
        <v>771.08</v>
      </c>
      <c r="AL1573" s="1"/>
    </row>
    <row r="1574" spans="1:38" hidden="1" x14ac:dyDescent="0.25">
      <c r="A1574" s="2">
        <v>2143</v>
      </c>
      <c r="B1574" s="1" t="s">
        <v>1831</v>
      </c>
      <c r="C1574" s="1" t="s">
        <v>1833</v>
      </c>
      <c r="D1574" s="1" t="s">
        <v>2062</v>
      </c>
      <c r="E1574" s="1" t="s">
        <v>2063</v>
      </c>
      <c r="F1574" s="3">
        <v>45604</v>
      </c>
      <c r="G1574" s="3">
        <v>45419</v>
      </c>
      <c r="H1574" s="3">
        <v>45783</v>
      </c>
      <c r="I1574" s="1" t="s">
        <v>3835</v>
      </c>
      <c r="J1574" s="1" t="s">
        <v>3836</v>
      </c>
      <c r="K1574" s="1"/>
      <c r="L1574" s="1" t="s">
        <v>2178</v>
      </c>
      <c r="M1574" s="1" t="s">
        <v>3837</v>
      </c>
      <c r="N1574" s="1" t="s">
        <v>3838</v>
      </c>
      <c r="O1574" s="1" t="s">
        <v>3839</v>
      </c>
      <c r="P1574" s="1" t="s">
        <v>2182</v>
      </c>
      <c r="Q1574" s="1"/>
      <c r="R1574" s="1"/>
      <c r="S1574" s="1" t="s">
        <v>2072</v>
      </c>
      <c r="T1574" s="1" t="s">
        <v>3165</v>
      </c>
      <c r="U1574" s="4">
        <v>2600000</v>
      </c>
      <c r="V1574" s="4">
        <v>3553</v>
      </c>
      <c r="W1574" s="4">
        <v>36</v>
      </c>
      <c r="X1574" s="4">
        <v>533</v>
      </c>
      <c r="Y1574" s="4">
        <v>0</v>
      </c>
      <c r="Z1574" s="5">
        <v>4122</v>
      </c>
      <c r="AA1574" s="5">
        <v>0</v>
      </c>
      <c r="AB1574" s="6">
        <v>0</v>
      </c>
      <c r="AC1574" s="4">
        <v>4122</v>
      </c>
      <c r="AD1574" s="4">
        <v>0</v>
      </c>
      <c r="AE1574" s="4">
        <v>4122</v>
      </c>
      <c r="AF1574" s="1"/>
      <c r="AG1574" s="1"/>
      <c r="AH1574" s="1"/>
      <c r="AI1574" s="1" t="s">
        <v>2327</v>
      </c>
      <c r="AJ1574" s="6">
        <v>1391.3500000000013</v>
      </c>
      <c r="AK1574" s="6">
        <v>1158.8700000000001</v>
      </c>
      <c r="AL1574" s="1"/>
    </row>
    <row r="1575" spans="1:38" hidden="1" x14ac:dyDescent="0.25">
      <c r="A1575" s="2">
        <v>2144</v>
      </c>
      <c r="B1575" s="1" t="s">
        <v>1831</v>
      </c>
      <c r="C1575" s="1" t="s">
        <v>1834</v>
      </c>
      <c r="D1575" s="1" t="s">
        <v>2062</v>
      </c>
      <c r="E1575" s="1" t="s">
        <v>2063</v>
      </c>
      <c r="F1575" s="3">
        <v>45635</v>
      </c>
      <c r="G1575" s="3">
        <v>45419</v>
      </c>
      <c r="H1575" s="3">
        <v>45783</v>
      </c>
      <c r="I1575" s="1" t="s">
        <v>3835</v>
      </c>
      <c r="J1575" s="1" t="s">
        <v>3836</v>
      </c>
      <c r="K1575" s="1"/>
      <c r="L1575" s="1" t="s">
        <v>2178</v>
      </c>
      <c r="M1575" s="1" t="s">
        <v>3837</v>
      </c>
      <c r="N1575" s="1" t="s">
        <v>3838</v>
      </c>
      <c r="O1575" s="1" t="s">
        <v>3839</v>
      </c>
      <c r="P1575" s="1" t="s">
        <v>2182</v>
      </c>
      <c r="Q1575" s="1"/>
      <c r="R1575" s="1"/>
      <c r="S1575" s="1" t="s">
        <v>2072</v>
      </c>
      <c r="T1575" s="1" t="s">
        <v>3165</v>
      </c>
      <c r="U1575" s="4">
        <v>2600000</v>
      </c>
      <c r="V1575" s="4">
        <v>2891</v>
      </c>
      <c r="W1575" s="4">
        <v>29</v>
      </c>
      <c r="X1575" s="4">
        <v>434</v>
      </c>
      <c r="Y1575" s="4">
        <v>0</v>
      </c>
      <c r="Z1575" s="5">
        <v>3354</v>
      </c>
      <c r="AA1575" s="5">
        <v>0</v>
      </c>
      <c r="AB1575" s="6">
        <v>0</v>
      </c>
      <c r="AC1575" s="4">
        <v>3354</v>
      </c>
      <c r="AD1575" s="4">
        <v>0</v>
      </c>
      <c r="AE1575" s="4">
        <v>3354</v>
      </c>
      <c r="AF1575" s="1"/>
      <c r="AG1575" s="1"/>
      <c r="AH1575" s="1"/>
      <c r="AI1575" s="1" t="s">
        <v>2327</v>
      </c>
      <c r="AJ1575" s="6">
        <v>1124.4899999999991</v>
      </c>
      <c r="AK1575" s="6">
        <v>942.44</v>
      </c>
      <c r="AL1575" s="1"/>
    </row>
    <row r="1576" spans="1:38" hidden="1" x14ac:dyDescent="0.25">
      <c r="A1576" s="2">
        <v>2145</v>
      </c>
      <c r="B1576" s="1" t="s">
        <v>1831</v>
      </c>
      <c r="C1576" s="1" t="s">
        <v>1835</v>
      </c>
      <c r="D1576" s="1" t="s">
        <v>2062</v>
      </c>
      <c r="E1576" s="1" t="s">
        <v>2063</v>
      </c>
      <c r="F1576" s="3">
        <v>45655</v>
      </c>
      <c r="G1576" s="3">
        <v>45419</v>
      </c>
      <c r="H1576" s="3">
        <v>45783</v>
      </c>
      <c r="I1576" s="1" t="s">
        <v>3835</v>
      </c>
      <c r="J1576" s="1" t="s">
        <v>3836</v>
      </c>
      <c r="K1576" s="1"/>
      <c r="L1576" s="1" t="s">
        <v>2178</v>
      </c>
      <c r="M1576" s="1" t="s">
        <v>3837</v>
      </c>
      <c r="N1576" s="1" t="s">
        <v>3838</v>
      </c>
      <c r="O1576" s="1" t="s">
        <v>3839</v>
      </c>
      <c r="P1576" s="1" t="s">
        <v>2182</v>
      </c>
      <c r="Q1576" s="1"/>
      <c r="R1576" s="1"/>
      <c r="S1576" s="1" t="s">
        <v>2072</v>
      </c>
      <c r="T1576" s="1" t="s">
        <v>3165</v>
      </c>
      <c r="U1576" s="4">
        <v>-1</v>
      </c>
      <c r="V1576" s="4">
        <v>-10119</v>
      </c>
      <c r="W1576" s="4">
        <v>-101</v>
      </c>
      <c r="X1576" s="4">
        <v>0</v>
      </c>
      <c r="Y1576" s="4">
        <v>0</v>
      </c>
      <c r="Z1576" s="5">
        <v>-10220</v>
      </c>
      <c r="AA1576" s="5">
        <v>0</v>
      </c>
      <c r="AB1576" s="6">
        <v>0</v>
      </c>
      <c r="AC1576" s="4">
        <v>-10220</v>
      </c>
      <c r="AD1576" s="4">
        <v>0</v>
      </c>
      <c r="AE1576" s="4">
        <v>-10220</v>
      </c>
      <c r="AF1576" s="1"/>
      <c r="AG1576" s="1"/>
      <c r="AH1576" s="1"/>
      <c r="AI1576" s="1" t="s">
        <v>2327</v>
      </c>
      <c r="AJ1576" s="1"/>
      <c r="AK1576" s="1"/>
      <c r="AL1576" s="1"/>
    </row>
    <row r="1577" spans="1:38" x14ac:dyDescent="0.25">
      <c r="A1577" s="2">
        <v>2148</v>
      </c>
      <c r="B1577" s="1" t="s">
        <v>1836</v>
      </c>
      <c r="C1577" s="1"/>
      <c r="D1577" s="1" t="s">
        <v>2062</v>
      </c>
      <c r="E1577" s="1" t="s">
        <v>2063</v>
      </c>
      <c r="F1577" s="3">
        <v>45424</v>
      </c>
      <c r="G1577" s="3">
        <v>45425</v>
      </c>
      <c r="H1577" s="3">
        <v>45789</v>
      </c>
      <c r="I1577" s="1" t="s">
        <v>2516</v>
      </c>
      <c r="J1577" s="1" t="s">
        <v>2517</v>
      </c>
      <c r="K1577" s="1"/>
      <c r="L1577" s="1" t="s">
        <v>2322</v>
      </c>
      <c r="M1577" s="1" t="s">
        <v>2518</v>
      </c>
      <c r="N1577" s="1" t="s">
        <v>2519</v>
      </c>
      <c r="O1577" s="1" t="s">
        <v>2520</v>
      </c>
      <c r="P1577" s="1" t="s">
        <v>2182</v>
      </c>
      <c r="Q1577" s="1"/>
      <c r="R1577" s="1"/>
      <c r="S1577" s="1" t="s">
        <v>2072</v>
      </c>
      <c r="T1577" s="1" t="s">
        <v>2073</v>
      </c>
      <c r="U1577" s="4">
        <v>-1</v>
      </c>
      <c r="V1577" s="4">
        <v>0</v>
      </c>
      <c r="W1577" s="4">
        <v>0</v>
      </c>
      <c r="X1577" s="4">
        <v>0</v>
      </c>
      <c r="Y1577" s="4">
        <v>50</v>
      </c>
      <c r="Z1577" s="5">
        <v>50</v>
      </c>
      <c r="AA1577" s="5">
        <v>0</v>
      </c>
      <c r="AB1577" s="6">
        <v>0</v>
      </c>
      <c r="AC1577" s="4">
        <v>50</v>
      </c>
      <c r="AD1577" s="4">
        <v>0</v>
      </c>
      <c r="AE1577" s="4">
        <v>50</v>
      </c>
      <c r="AF1577" s="1"/>
      <c r="AG1577" s="1"/>
      <c r="AH1577" s="1"/>
      <c r="AI1577" s="1" t="s">
        <v>3432</v>
      </c>
      <c r="AJ1577" s="1"/>
      <c r="AK1577" s="1"/>
      <c r="AL1577" s="1" t="s">
        <v>3840</v>
      </c>
    </row>
    <row r="1578" spans="1:38" hidden="1" x14ac:dyDescent="0.25">
      <c r="A1578" s="2">
        <v>2149</v>
      </c>
      <c r="B1578" s="1" t="s">
        <v>1836</v>
      </c>
      <c r="C1578" s="1" t="s">
        <v>1837</v>
      </c>
      <c r="D1578" s="1" t="s">
        <v>2062</v>
      </c>
      <c r="E1578" s="1" t="s">
        <v>2063</v>
      </c>
      <c r="F1578" s="3">
        <v>45456</v>
      </c>
      <c r="G1578" s="3">
        <v>45425</v>
      </c>
      <c r="H1578" s="3">
        <v>45789</v>
      </c>
      <c r="I1578" s="1" t="s">
        <v>2516</v>
      </c>
      <c r="J1578" s="1" t="s">
        <v>2517</v>
      </c>
      <c r="K1578" s="1"/>
      <c r="L1578" s="1" t="s">
        <v>2322</v>
      </c>
      <c r="M1578" s="1" t="s">
        <v>2518</v>
      </c>
      <c r="N1578" s="1" t="s">
        <v>2519</v>
      </c>
      <c r="O1578" s="1" t="s">
        <v>2520</v>
      </c>
      <c r="P1578" s="1" t="s">
        <v>2182</v>
      </c>
      <c r="Q1578" s="1"/>
      <c r="R1578" s="1"/>
      <c r="S1578" s="1" t="s">
        <v>2072</v>
      </c>
      <c r="T1578" s="1" t="s">
        <v>2073</v>
      </c>
      <c r="U1578" s="4">
        <v>1800000</v>
      </c>
      <c r="V1578" s="4">
        <v>1327</v>
      </c>
      <c r="W1578" s="4">
        <v>13</v>
      </c>
      <c r="X1578" s="4">
        <v>172</v>
      </c>
      <c r="Y1578" s="4">
        <v>0</v>
      </c>
      <c r="Z1578" s="5">
        <v>1512</v>
      </c>
      <c r="AA1578" s="5">
        <v>0</v>
      </c>
      <c r="AB1578" s="6">
        <v>0</v>
      </c>
      <c r="AC1578" s="4">
        <v>1512</v>
      </c>
      <c r="AD1578" s="4">
        <v>0</v>
      </c>
      <c r="AE1578" s="4">
        <v>1512</v>
      </c>
      <c r="AF1578" s="1"/>
      <c r="AG1578" s="1"/>
      <c r="AH1578" s="1"/>
      <c r="AI1578" s="1" t="s">
        <v>3432</v>
      </c>
      <c r="AJ1578" s="6">
        <v>983.74000000000103</v>
      </c>
      <c r="AK1578" s="6">
        <v>612.61</v>
      </c>
      <c r="AL1578" s="1"/>
    </row>
    <row r="1579" spans="1:38" hidden="1" x14ac:dyDescent="0.25">
      <c r="A1579" s="2">
        <v>2150</v>
      </c>
      <c r="B1579" s="1" t="s">
        <v>1836</v>
      </c>
      <c r="C1579" s="1" t="s">
        <v>1838</v>
      </c>
      <c r="D1579" s="1" t="s">
        <v>2062</v>
      </c>
      <c r="E1579" s="1" t="s">
        <v>2063</v>
      </c>
      <c r="F1579" s="3">
        <v>45596</v>
      </c>
      <c r="G1579" s="3">
        <v>45425</v>
      </c>
      <c r="H1579" s="3">
        <v>45789</v>
      </c>
      <c r="I1579" s="1" t="s">
        <v>2516</v>
      </c>
      <c r="J1579" s="1" t="s">
        <v>2517</v>
      </c>
      <c r="K1579" s="1"/>
      <c r="L1579" s="1" t="s">
        <v>2322</v>
      </c>
      <c r="M1579" s="1" t="s">
        <v>2518</v>
      </c>
      <c r="N1579" s="1" t="s">
        <v>2519</v>
      </c>
      <c r="O1579" s="1" t="s">
        <v>2520</v>
      </c>
      <c r="P1579" s="1" t="s">
        <v>2182</v>
      </c>
      <c r="Q1579" s="1"/>
      <c r="R1579" s="1"/>
      <c r="S1579" s="1" t="s">
        <v>2072</v>
      </c>
      <c r="T1579" s="1" t="s">
        <v>2073</v>
      </c>
      <c r="U1579" s="4">
        <v>-1</v>
      </c>
      <c r="V1579" s="4">
        <v>-1370</v>
      </c>
      <c r="W1579" s="4">
        <v>-14</v>
      </c>
      <c r="X1579" s="4">
        <v>-178</v>
      </c>
      <c r="Y1579" s="4">
        <v>0</v>
      </c>
      <c r="Z1579" s="5">
        <v>-1562</v>
      </c>
      <c r="AA1579" s="5">
        <v>0</v>
      </c>
      <c r="AB1579" s="6">
        <v>0</v>
      </c>
      <c r="AC1579" s="4">
        <v>-1562</v>
      </c>
      <c r="AD1579" s="4">
        <v>0</v>
      </c>
      <c r="AE1579" s="4">
        <v>-1562</v>
      </c>
      <c r="AF1579" s="1"/>
      <c r="AG1579" s="1"/>
      <c r="AH1579" s="1"/>
      <c r="AI1579" s="1" t="s">
        <v>3432</v>
      </c>
      <c r="AJ1579" s="1"/>
      <c r="AK1579" s="1"/>
      <c r="AL1579" s="1"/>
    </row>
    <row r="1580" spans="1:38" hidden="1" x14ac:dyDescent="0.25">
      <c r="A1580" s="2">
        <v>2151</v>
      </c>
      <c r="B1580" s="1" t="s">
        <v>1839</v>
      </c>
      <c r="C1580" s="1" t="s">
        <v>1840</v>
      </c>
      <c r="D1580" s="1" t="s">
        <v>2062</v>
      </c>
      <c r="E1580" s="1" t="s">
        <v>2063</v>
      </c>
      <c r="F1580" s="3">
        <v>45611</v>
      </c>
      <c r="G1580" s="3">
        <v>45426</v>
      </c>
      <c r="H1580" s="3">
        <v>45790</v>
      </c>
      <c r="I1580" s="1" t="s">
        <v>3841</v>
      </c>
      <c r="J1580" s="1" t="s">
        <v>3842</v>
      </c>
      <c r="K1580" s="1"/>
      <c r="L1580" s="1" t="s">
        <v>3843</v>
      </c>
      <c r="M1580" s="1" t="s">
        <v>3844</v>
      </c>
      <c r="N1580" s="1" t="s">
        <v>3845</v>
      </c>
      <c r="O1580" s="1" t="s">
        <v>3846</v>
      </c>
      <c r="P1580" s="1" t="s">
        <v>2231</v>
      </c>
      <c r="Q1580" s="1"/>
      <c r="R1580" s="1"/>
      <c r="S1580" s="1" t="s">
        <v>2072</v>
      </c>
      <c r="T1580" s="1" t="s">
        <v>3165</v>
      </c>
      <c r="U1580" s="4">
        <v>3000000</v>
      </c>
      <c r="V1580" s="4">
        <v>2940</v>
      </c>
      <c r="W1580" s="4">
        <v>29</v>
      </c>
      <c r="X1580" s="4">
        <v>441</v>
      </c>
      <c r="Y1580" s="4">
        <v>0</v>
      </c>
      <c r="Z1580" s="5">
        <v>3410</v>
      </c>
      <c r="AA1580" s="5">
        <v>0</v>
      </c>
      <c r="AB1580" s="6">
        <v>0</v>
      </c>
      <c r="AC1580" s="4">
        <v>3410</v>
      </c>
      <c r="AD1580" s="4">
        <v>0</v>
      </c>
      <c r="AE1580" s="4">
        <v>3410</v>
      </c>
      <c r="AF1580" s="1"/>
      <c r="AG1580" s="1"/>
      <c r="AH1580" s="1"/>
      <c r="AI1580" s="1" t="s">
        <v>2327</v>
      </c>
      <c r="AJ1580" s="6">
        <v>865.44</v>
      </c>
      <c r="AK1580" s="6">
        <v>829.94</v>
      </c>
      <c r="AL1580" s="1"/>
    </row>
    <row r="1581" spans="1:38" hidden="1" x14ac:dyDescent="0.25">
      <c r="A1581" s="2">
        <v>2152</v>
      </c>
      <c r="B1581" s="1" t="s">
        <v>1839</v>
      </c>
      <c r="C1581" s="1" t="s">
        <v>1841</v>
      </c>
      <c r="D1581" s="1" t="s">
        <v>2062</v>
      </c>
      <c r="E1581" s="1" t="s">
        <v>2063</v>
      </c>
      <c r="F1581" s="3">
        <v>45642</v>
      </c>
      <c r="G1581" s="3">
        <v>45426</v>
      </c>
      <c r="H1581" s="3">
        <v>45790</v>
      </c>
      <c r="I1581" s="1" t="s">
        <v>3841</v>
      </c>
      <c r="J1581" s="1" t="s">
        <v>3842</v>
      </c>
      <c r="K1581" s="1"/>
      <c r="L1581" s="1" t="s">
        <v>3843</v>
      </c>
      <c r="M1581" s="1" t="s">
        <v>3844</v>
      </c>
      <c r="N1581" s="1" t="s">
        <v>3845</v>
      </c>
      <c r="O1581" s="1" t="s">
        <v>3846</v>
      </c>
      <c r="P1581" s="1" t="s">
        <v>2231</v>
      </c>
      <c r="Q1581" s="1"/>
      <c r="R1581" s="1"/>
      <c r="S1581" s="1" t="s">
        <v>2072</v>
      </c>
      <c r="T1581" s="1" t="s">
        <v>3165</v>
      </c>
      <c r="U1581" s="4">
        <v>3000000</v>
      </c>
      <c r="V1581" s="4">
        <v>2530</v>
      </c>
      <c r="W1581" s="4">
        <v>25</v>
      </c>
      <c r="X1581" s="4">
        <v>380</v>
      </c>
      <c r="Y1581" s="4">
        <v>0</v>
      </c>
      <c r="Z1581" s="5">
        <v>2935</v>
      </c>
      <c r="AA1581" s="5">
        <v>0</v>
      </c>
      <c r="AB1581" s="6">
        <v>0</v>
      </c>
      <c r="AC1581" s="4">
        <v>2935</v>
      </c>
      <c r="AD1581" s="4">
        <v>0</v>
      </c>
      <c r="AE1581" s="4">
        <v>2935</v>
      </c>
      <c r="AF1581" s="1"/>
      <c r="AG1581" s="1"/>
      <c r="AH1581" s="1"/>
      <c r="AI1581" s="1" t="s">
        <v>2327</v>
      </c>
      <c r="AJ1581" s="6">
        <v>756.2</v>
      </c>
      <c r="AK1581" s="6">
        <v>714.14</v>
      </c>
      <c r="AL1581" s="1"/>
    </row>
    <row r="1582" spans="1:38" hidden="1" x14ac:dyDescent="0.25">
      <c r="A1582" s="2">
        <v>2153</v>
      </c>
      <c r="B1582" s="1" t="s">
        <v>1839</v>
      </c>
      <c r="C1582" s="1" t="s">
        <v>1842</v>
      </c>
      <c r="D1582" s="1" t="s">
        <v>2062</v>
      </c>
      <c r="E1582" s="1" t="s">
        <v>2063</v>
      </c>
      <c r="F1582" s="3">
        <v>45655</v>
      </c>
      <c r="G1582" s="3">
        <v>45426</v>
      </c>
      <c r="H1582" s="3">
        <v>45790</v>
      </c>
      <c r="I1582" s="1" t="s">
        <v>3841</v>
      </c>
      <c r="J1582" s="1" t="s">
        <v>3842</v>
      </c>
      <c r="K1582" s="1"/>
      <c r="L1582" s="1" t="s">
        <v>3843</v>
      </c>
      <c r="M1582" s="1" t="s">
        <v>3844</v>
      </c>
      <c r="N1582" s="1" t="s">
        <v>3845</v>
      </c>
      <c r="O1582" s="1" t="s">
        <v>3846</v>
      </c>
      <c r="P1582" s="1" t="s">
        <v>2231</v>
      </c>
      <c r="Q1582" s="1"/>
      <c r="R1582" s="1"/>
      <c r="S1582" s="1" t="s">
        <v>2072</v>
      </c>
      <c r="T1582" s="1" t="s">
        <v>3165</v>
      </c>
      <c r="U1582" s="4">
        <v>-1</v>
      </c>
      <c r="V1582" s="4">
        <v>-6282</v>
      </c>
      <c r="W1582" s="4">
        <v>-63</v>
      </c>
      <c r="X1582" s="4">
        <v>0</v>
      </c>
      <c r="Y1582" s="4">
        <v>0</v>
      </c>
      <c r="Z1582" s="5">
        <v>-6345</v>
      </c>
      <c r="AA1582" s="5">
        <v>0</v>
      </c>
      <c r="AB1582" s="6">
        <v>0</v>
      </c>
      <c r="AC1582" s="4">
        <v>-6345</v>
      </c>
      <c r="AD1582" s="4">
        <v>0</v>
      </c>
      <c r="AE1582" s="4">
        <v>-6345</v>
      </c>
      <c r="AF1582" s="1"/>
      <c r="AG1582" s="1"/>
      <c r="AH1582" s="1"/>
      <c r="AI1582" s="1" t="s">
        <v>2327</v>
      </c>
      <c r="AJ1582" s="1"/>
      <c r="AK1582" s="1"/>
      <c r="AL1582" s="1"/>
    </row>
    <row r="1583" spans="1:38" hidden="1" x14ac:dyDescent="0.25">
      <c r="A1583" s="2">
        <v>2172</v>
      </c>
      <c r="B1583" s="1" t="s">
        <v>1843</v>
      </c>
      <c r="C1583" s="1" t="s">
        <v>1844</v>
      </c>
      <c r="D1583" s="1" t="s">
        <v>2062</v>
      </c>
      <c r="E1583" s="1" t="s">
        <v>2063</v>
      </c>
      <c r="F1583" s="3">
        <v>45492</v>
      </c>
      <c r="G1583" s="3">
        <v>45429</v>
      </c>
      <c r="H1583" s="3">
        <v>45793</v>
      </c>
      <c r="I1583" s="1" t="s">
        <v>3847</v>
      </c>
      <c r="J1583" s="1" t="s">
        <v>3848</v>
      </c>
      <c r="K1583" s="1"/>
      <c r="L1583" s="1" t="s">
        <v>2131</v>
      </c>
      <c r="M1583" s="1" t="s">
        <v>3849</v>
      </c>
      <c r="N1583" s="1" t="s">
        <v>3850</v>
      </c>
      <c r="O1583" s="1" t="s">
        <v>3851</v>
      </c>
      <c r="P1583" s="1" t="s">
        <v>3409</v>
      </c>
      <c r="Q1583" s="1"/>
      <c r="R1583" s="1"/>
      <c r="S1583" s="1" t="s">
        <v>2072</v>
      </c>
      <c r="T1583" s="1" t="s">
        <v>3165</v>
      </c>
      <c r="U1583" s="4">
        <v>3055000</v>
      </c>
      <c r="V1583" s="4">
        <v>3409</v>
      </c>
      <c r="W1583" s="4">
        <v>34</v>
      </c>
      <c r="X1583" s="4">
        <v>511</v>
      </c>
      <c r="Y1583" s="4">
        <v>0</v>
      </c>
      <c r="Z1583" s="5">
        <v>3954</v>
      </c>
      <c r="AA1583" s="5">
        <v>3655</v>
      </c>
      <c r="AB1583" s="6">
        <v>0</v>
      </c>
      <c r="AC1583" s="4">
        <v>299</v>
      </c>
      <c r="AD1583" s="4">
        <v>0</v>
      </c>
      <c r="AE1583" s="4">
        <v>299</v>
      </c>
      <c r="AF1583" s="1"/>
      <c r="AG1583" s="1"/>
      <c r="AH1583" s="1"/>
      <c r="AI1583" s="1" t="s">
        <v>2327</v>
      </c>
      <c r="AJ1583" s="6">
        <v>1125.7800000000009</v>
      </c>
      <c r="AK1583" s="6">
        <v>945.59000000000106</v>
      </c>
      <c r="AL1583" s="1"/>
    </row>
    <row r="1584" spans="1:38" hidden="1" x14ac:dyDescent="0.25">
      <c r="A1584" s="2">
        <v>2173</v>
      </c>
      <c r="B1584" s="1" t="s">
        <v>1843</v>
      </c>
      <c r="C1584" s="1" t="s">
        <v>1845</v>
      </c>
      <c r="D1584" s="1" t="s">
        <v>2062</v>
      </c>
      <c r="E1584" s="1" t="s">
        <v>2063</v>
      </c>
      <c r="F1584" s="3">
        <v>45524</v>
      </c>
      <c r="G1584" s="3">
        <v>45429</v>
      </c>
      <c r="H1584" s="3">
        <v>45793</v>
      </c>
      <c r="I1584" s="1" t="s">
        <v>3847</v>
      </c>
      <c r="J1584" s="1" t="s">
        <v>3848</v>
      </c>
      <c r="K1584" s="1"/>
      <c r="L1584" s="1" t="s">
        <v>2131</v>
      </c>
      <c r="M1584" s="1" t="s">
        <v>3849</v>
      </c>
      <c r="N1584" s="1" t="s">
        <v>3850</v>
      </c>
      <c r="O1584" s="1" t="s">
        <v>3851</v>
      </c>
      <c r="P1584" s="1" t="s">
        <v>3409</v>
      </c>
      <c r="Q1584" s="1"/>
      <c r="R1584" s="1"/>
      <c r="S1584" s="1" t="s">
        <v>2072</v>
      </c>
      <c r="T1584" s="1" t="s">
        <v>3165</v>
      </c>
      <c r="U1584" s="4">
        <v>3055000</v>
      </c>
      <c r="V1584" s="4">
        <v>3987</v>
      </c>
      <c r="W1584" s="4">
        <v>40</v>
      </c>
      <c r="X1584" s="4">
        <v>598</v>
      </c>
      <c r="Y1584" s="4">
        <v>0</v>
      </c>
      <c r="Z1584" s="5">
        <v>4625</v>
      </c>
      <c r="AA1584" s="5">
        <v>0</v>
      </c>
      <c r="AB1584" s="6">
        <v>0</v>
      </c>
      <c r="AC1584" s="4">
        <v>4625</v>
      </c>
      <c r="AD1584" s="4">
        <v>0</v>
      </c>
      <c r="AE1584" s="4">
        <v>4625</v>
      </c>
      <c r="AF1584" s="1"/>
      <c r="AG1584" s="1"/>
      <c r="AH1584" s="1"/>
      <c r="AI1584" s="1" t="s">
        <v>2327</v>
      </c>
      <c r="AJ1584" s="6">
        <v>1305.3300000000022</v>
      </c>
      <c r="AK1584" s="6">
        <v>1106.02</v>
      </c>
      <c r="AL1584" s="1"/>
    </row>
    <row r="1585" spans="1:38" hidden="1" x14ac:dyDescent="0.25">
      <c r="A1585" s="2">
        <v>2174</v>
      </c>
      <c r="B1585" s="1" t="s">
        <v>1843</v>
      </c>
      <c r="C1585" s="1" t="s">
        <v>1846</v>
      </c>
      <c r="D1585" s="1" t="s">
        <v>2062</v>
      </c>
      <c r="E1585" s="1" t="s">
        <v>2063</v>
      </c>
      <c r="F1585" s="3">
        <v>45559</v>
      </c>
      <c r="G1585" s="3">
        <v>45429</v>
      </c>
      <c r="H1585" s="3">
        <v>45793</v>
      </c>
      <c r="I1585" s="1" t="s">
        <v>3847</v>
      </c>
      <c r="J1585" s="1" t="s">
        <v>3848</v>
      </c>
      <c r="K1585" s="1"/>
      <c r="L1585" s="1" t="s">
        <v>2131</v>
      </c>
      <c r="M1585" s="1" t="s">
        <v>3849</v>
      </c>
      <c r="N1585" s="1" t="s">
        <v>3850</v>
      </c>
      <c r="O1585" s="1" t="s">
        <v>3851</v>
      </c>
      <c r="P1585" s="1" t="s">
        <v>3409</v>
      </c>
      <c r="Q1585" s="1"/>
      <c r="R1585" s="1"/>
      <c r="S1585" s="1" t="s">
        <v>2072</v>
      </c>
      <c r="T1585" s="1" t="s">
        <v>3165</v>
      </c>
      <c r="U1585" s="4">
        <v>3055000</v>
      </c>
      <c r="V1585" s="4">
        <v>3688</v>
      </c>
      <c r="W1585" s="4">
        <v>37</v>
      </c>
      <c r="X1585" s="4">
        <v>553</v>
      </c>
      <c r="Y1585" s="4">
        <v>0</v>
      </c>
      <c r="Z1585" s="5">
        <v>4278</v>
      </c>
      <c r="AA1585" s="5">
        <v>0</v>
      </c>
      <c r="AB1585" s="6">
        <v>0</v>
      </c>
      <c r="AC1585" s="4">
        <v>4278</v>
      </c>
      <c r="AD1585" s="4">
        <v>0</v>
      </c>
      <c r="AE1585" s="4">
        <v>4278</v>
      </c>
      <c r="AF1585" s="1"/>
      <c r="AG1585" s="1"/>
      <c r="AH1585" s="1"/>
      <c r="AI1585" s="1" t="s">
        <v>2327</v>
      </c>
      <c r="AJ1585" s="6">
        <v>1202.6000000000031</v>
      </c>
      <c r="AK1585" s="6">
        <v>1023.0200000000011</v>
      </c>
      <c r="AL1585" s="1"/>
    </row>
    <row r="1586" spans="1:38" hidden="1" x14ac:dyDescent="0.25">
      <c r="A1586" s="2">
        <v>2175</v>
      </c>
      <c r="B1586" s="1" t="s">
        <v>1843</v>
      </c>
      <c r="C1586" s="1" t="s">
        <v>1847</v>
      </c>
      <c r="D1586" s="1" t="s">
        <v>2062</v>
      </c>
      <c r="E1586" s="1" t="s">
        <v>2063</v>
      </c>
      <c r="F1586" s="3">
        <v>45586</v>
      </c>
      <c r="G1586" s="3">
        <v>45429</v>
      </c>
      <c r="H1586" s="3">
        <v>45793</v>
      </c>
      <c r="I1586" s="1" t="s">
        <v>3847</v>
      </c>
      <c r="J1586" s="1" t="s">
        <v>3848</v>
      </c>
      <c r="K1586" s="1"/>
      <c r="L1586" s="1" t="s">
        <v>2131</v>
      </c>
      <c r="M1586" s="1" t="s">
        <v>3849</v>
      </c>
      <c r="N1586" s="1" t="s">
        <v>3850</v>
      </c>
      <c r="O1586" s="1" t="s">
        <v>3851</v>
      </c>
      <c r="P1586" s="1" t="s">
        <v>3409</v>
      </c>
      <c r="Q1586" s="1"/>
      <c r="R1586" s="1"/>
      <c r="S1586" s="1" t="s">
        <v>2072</v>
      </c>
      <c r="T1586" s="1" t="s">
        <v>3165</v>
      </c>
      <c r="U1586" s="4">
        <v>3055000</v>
      </c>
      <c r="V1586" s="4">
        <v>3721</v>
      </c>
      <c r="W1586" s="4">
        <v>37</v>
      </c>
      <c r="X1586" s="4">
        <v>558</v>
      </c>
      <c r="Y1586" s="4">
        <v>0</v>
      </c>
      <c r="Z1586" s="5">
        <v>4316</v>
      </c>
      <c r="AA1586" s="5">
        <v>0</v>
      </c>
      <c r="AB1586" s="6">
        <v>0</v>
      </c>
      <c r="AC1586" s="4">
        <v>4316</v>
      </c>
      <c r="AD1586" s="4">
        <v>0</v>
      </c>
      <c r="AE1586" s="4">
        <v>4316</v>
      </c>
      <c r="AF1586" s="1"/>
      <c r="AG1586" s="1"/>
      <c r="AH1586" s="1"/>
      <c r="AI1586" s="1" t="s">
        <v>2327</v>
      </c>
      <c r="AJ1586" s="6">
        <v>1178.300000000002</v>
      </c>
      <c r="AK1586" s="6">
        <v>1031.610000000001</v>
      </c>
      <c r="AL1586" s="1"/>
    </row>
    <row r="1587" spans="1:38" hidden="1" x14ac:dyDescent="0.25">
      <c r="A1587" s="2">
        <v>2176</v>
      </c>
      <c r="B1587" s="1" t="s">
        <v>1843</v>
      </c>
      <c r="C1587" s="1" t="s">
        <v>1848</v>
      </c>
      <c r="D1587" s="1" t="s">
        <v>2062</v>
      </c>
      <c r="E1587" s="1" t="s">
        <v>2063</v>
      </c>
      <c r="F1587" s="3">
        <v>45614</v>
      </c>
      <c r="G1587" s="3">
        <v>45429</v>
      </c>
      <c r="H1587" s="3">
        <v>45793</v>
      </c>
      <c r="I1587" s="1" t="s">
        <v>3847</v>
      </c>
      <c r="J1587" s="1" t="s">
        <v>3848</v>
      </c>
      <c r="K1587" s="1"/>
      <c r="L1587" s="1" t="s">
        <v>2131</v>
      </c>
      <c r="M1587" s="1" t="s">
        <v>3849</v>
      </c>
      <c r="N1587" s="1" t="s">
        <v>3850</v>
      </c>
      <c r="O1587" s="1" t="s">
        <v>3851</v>
      </c>
      <c r="P1587" s="1" t="s">
        <v>3409</v>
      </c>
      <c r="Q1587" s="1"/>
      <c r="R1587" s="1"/>
      <c r="S1587" s="1" t="s">
        <v>2072</v>
      </c>
      <c r="T1587" s="1" t="s">
        <v>3165</v>
      </c>
      <c r="U1587" s="4">
        <v>3055000</v>
      </c>
      <c r="V1587" s="4">
        <v>3764</v>
      </c>
      <c r="W1587" s="4">
        <v>38</v>
      </c>
      <c r="X1587" s="4">
        <v>565</v>
      </c>
      <c r="Y1587" s="4">
        <v>0</v>
      </c>
      <c r="Z1587" s="5">
        <v>4367</v>
      </c>
      <c r="AA1587" s="5">
        <v>0</v>
      </c>
      <c r="AB1587" s="6">
        <v>0</v>
      </c>
      <c r="AC1587" s="4">
        <v>4367</v>
      </c>
      <c r="AD1587" s="4">
        <v>0</v>
      </c>
      <c r="AE1587" s="4">
        <v>4367</v>
      </c>
      <c r="AF1587" s="1"/>
      <c r="AG1587" s="1"/>
      <c r="AH1587" s="1"/>
      <c r="AI1587" s="1" t="s">
        <v>2327</v>
      </c>
      <c r="AJ1587" s="6">
        <v>1230.6800000000021</v>
      </c>
      <c r="AK1587" s="6">
        <v>1044.140000000001</v>
      </c>
      <c r="AL1587" s="1"/>
    </row>
    <row r="1588" spans="1:38" hidden="1" x14ac:dyDescent="0.25">
      <c r="A1588" s="2">
        <v>2177</v>
      </c>
      <c r="B1588" s="1" t="s">
        <v>1843</v>
      </c>
      <c r="C1588" s="1" t="s">
        <v>1849</v>
      </c>
      <c r="D1588" s="1" t="s">
        <v>2062</v>
      </c>
      <c r="E1588" s="1" t="s">
        <v>2063</v>
      </c>
      <c r="F1588" s="3">
        <v>45644</v>
      </c>
      <c r="G1588" s="3">
        <v>45429</v>
      </c>
      <c r="H1588" s="3">
        <v>45793</v>
      </c>
      <c r="I1588" s="1" t="s">
        <v>3847</v>
      </c>
      <c r="J1588" s="1" t="s">
        <v>3848</v>
      </c>
      <c r="K1588" s="1"/>
      <c r="L1588" s="1" t="s">
        <v>2131</v>
      </c>
      <c r="M1588" s="1" t="s">
        <v>3849</v>
      </c>
      <c r="N1588" s="1" t="s">
        <v>3850</v>
      </c>
      <c r="O1588" s="1" t="s">
        <v>3851</v>
      </c>
      <c r="P1588" s="1" t="s">
        <v>3409</v>
      </c>
      <c r="Q1588" s="1"/>
      <c r="R1588" s="1"/>
      <c r="S1588" s="1" t="s">
        <v>2072</v>
      </c>
      <c r="T1588" s="1" t="s">
        <v>3165</v>
      </c>
      <c r="U1588" s="4">
        <v>3055000</v>
      </c>
      <c r="V1588" s="4">
        <v>4111</v>
      </c>
      <c r="W1588" s="4">
        <v>41</v>
      </c>
      <c r="X1588" s="4">
        <v>617</v>
      </c>
      <c r="Y1588" s="4">
        <v>0</v>
      </c>
      <c r="Z1588" s="5">
        <v>4769</v>
      </c>
      <c r="AA1588" s="5">
        <v>0</v>
      </c>
      <c r="AB1588" s="6">
        <v>0</v>
      </c>
      <c r="AC1588" s="4">
        <v>4769</v>
      </c>
      <c r="AD1588" s="4">
        <v>0</v>
      </c>
      <c r="AE1588" s="4">
        <v>4769</v>
      </c>
      <c r="AF1588" s="1"/>
      <c r="AG1588" s="1"/>
      <c r="AH1588" s="1"/>
      <c r="AI1588" s="1" t="s">
        <v>2327</v>
      </c>
      <c r="AJ1588" s="6">
        <v>1405.3900000000021</v>
      </c>
      <c r="AK1588" s="6">
        <v>1140.850000000001</v>
      </c>
      <c r="AL1588" s="1"/>
    </row>
    <row r="1589" spans="1:38" hidden="1" x14ac:dyDescent="0.25">
      <c r="A1589" s="2">
        <v>2178</v>
      </c>
      <c r="B1589" s="1" t="s">
        <v>1843</v>
      </c>
      <c r="C1589" s="1" t="s">
        <v>1850</v>
      </c>
      <c r="D1589" s="1" t="s">
        <v>2062</v>
      </c>
      <c r="E1589" s="1" t="s">
        <v>2063</v>
      </c>
      <c r="F1589" s="3">
        <v>45655</v>
      </c>
      <c r="G1589" s="3">
        <v>45429</v>
      </c>
      <c r="H1589" s="3">
        <v>45793</v>
      </c>
      <c r="I1589" s="1" t="s">
        <v>3847</v>
      </c>
      <c r="J1589" s="1" t="s">
        <v>3848</v>
      </c>
      <c r="K1589" s="1"/>
      <c r="L1589" s="1" t="s">
        <v>2131</v>
      </c>
      <c r="M1589" s="1" t="s">
        <v>3849</v>
      </c>
      <c r="N1589" s="1" t="s">
        <v>3850</v>
      </c>
      <c r="O1589" s="1" t="s">
        <v>3851</v>
      </c>
      <c r="P1589" s="1" t="s">
        <v>3409</v>
      </c>
      <c r="Q1589" s="1"/>
      <c r="R1589" s="1"/>
      <c r="S1589" s="1" t="s">
        <v>2072</v>
      </c>
      <c r="T1589" s="1" t="s">
        <v>3165</v>
      </c>
      <c r="U1589" s="4">
        <v>-1</v>
      </c>
      <c r="V1589" s="4">
        <v>-22430</v>
      </c>
      <c r="W1589" s="4">
        <v>-224</v>
      </c>
      <c r="X1589" s="4">
        <v>0</v>
      </c>
      <c r="Y1589" s="4">
        <v>0</v>
      </c>
      <c r="Z1589" s="5">
        <v>-22654</v>
      </c>
      <c r="AA1589" s="5">
        <v>0</v>
      </c>
      <c r="AB1589" s="6">
        <v>0</v>
      </c>
      <c r="AC1589" s="4">
        <v>-22654</v>
      </c>
      <c r="AD1589" s="4">
        <v>0</v>
      </c>
      <c r="AE1589" s="4">
        <v>-22654</v>
      </c>
      <c r="AF1589" s="1"/>
      <c r="AG1589" s="1"/>
      <c r="AH1589" s="1"/>
      <c r="AI1589" s="1" t="s">
        <v>2327</v>
      </c>
      <c r="AJ1589" s="1"/>
      <c r="AK1589" s="1"/>
      <c r="AL1589" s="1"/>
    </row>
    <row r="1590" spans="1:38" x14ac:dyDescent="0.25">
      <c r="A1590" s="2">
        <v>2202</v>
      </c>
      <c r="B1590" s="1" t="s">
        <v>1851</v>
      </c>
      <c r="C1590" s="1"/>
      <c r="D1590" s="1" t="s">
        <v>2062</v>
      </c>
      <c r="E1590" s="1" t="s">
        <v>2063</v>
      </c>
      <c r="F1590" s="3">
        <v>45437</v>
      </c>
      <c r="G1590" s="3">
        <v>45438</v>
      </c>
      <c r="H1590" s="3">
        <v>45802</v>
      </c>
      <c r="I1590" s="1" t="s">
        <v>3852</v>
      </c>
      <c r="J1590" s="1" t="s">
        <v>3853</v>
      </c>
      <c r="K1590" s="1"/>
      <c r="L1590" s="1" t="s">
        <v>2198</v>
      </c>
      <c r="M1590" s="1" t="s">
        <v>3854</v>
      </c>
      <c r="N1590" s="1" t="s">
        <v>3855</v>
      </c>
      <c r="O1590" s="1" t="s">
        <v>3856</v>
      </c>
      <c r="P1590" s="1" t="s">
        <v>2182</v>
      </c>
      <c r="Q1590" s="1"/>
      <c r="R1590" s="1"/>
      <c r="S1590" s="1" t="s">
        <v>2072</v>
      </c>
      <c r="T1590" s="1" t="s">
        <v>2073</v>
      </c>
      <c r="U1590" s="4">
        <v>-1</v>
      </c>
      <c r="V1590" s="4">
        <v>0</v>
      </c>
      <c r="W1590" s="4">
        <v>0</v>
      </c>
      <c r="X1590" s="4">
        <v>0</v>
      </c>
      <c r="Y1590" s="4">
        <v>50</v>
      </c>
      <c r="Z1590" s="5">
        <v>50</v>
      </c>
      <c r="AA1590" s="5">
        <v>0</v>
      </c>
      <c r="AB1590" s="6">
        <v>0</v>
      </c>
      <c r="AC1590" s="4">
        <v>50</v>
      </c>
      <c r="AD1590" s="4">
        <v>0</v>
      </c>
      <c r="AE1590" s="4">
        <v>50</v>
      </c>
      <c r="AF1590" s="1"/>
      <c r="AG1590" s="1"/>
      <c r="AH1590" s="1"/>
      <c r="AI1590" s="1" t="s">
        <v>3432</v>
      </c>
      <c r="AJ1590" s="1"/>
      <c r="AK1590" s="1"/>
      <c r="AL1590" s="1" t="s">
        <v>3857</v>
      </c>
    </row>
    <row r="1591" spans="1:38" hidden="1" x14ac:dyDescent="0.25">
      <c r="A1591" s="2">
        <v>2203</v>
      </c>
      <c r="B1591" s="1" t="s">
        <v>1851</v>
      </c>
      <c r="C1591" s="1" t="s">
        <v>1852</v>
      </c>
      <c r="D1591" s="1" t="s">
        <v>2062</v>
      </c>
      <c r="E1591" s="1" t="s">
        <v>2063</v>
      </c>
      <c r="F1591" s="3">
        <v>45469</v>
      </c>
      <c r="G1591" s="3">
        <v>45438</v>
      </c>
      <c r="H1591" s="3">
        <v>45802</v>
      </c>
      <c r="I1591" s="1" t="s">
        <v>3852</v>
      </c>
      <c r="J1591" s="1" t="s">
        <v>3853</v>
      </c>
      <c r="K1591" s="1"/>
      <c r="L1591" s="1" t="s">
        <v>2198</v>
      </c>
      <c r="M1591" s="1" t="s">
        <v>3854</v>
      </c>
      <c r="N1591" s="1" t="s">
        <v>3855</v>
      </c>
      <c r="O1591" s="1" t="s">
        <v>3856</v>
      </c>
      <c r="P1591" s="1" t="s">
        <v>2182</v>
      </c>
      <c r="Q1591" s="1"/>
      <c r="R1591" s="1"/>
      <c r="S1591" s="1" t="s">
        <v>2072</v>
      </c>
      <c r="T1591" s="1" t="s">
        <v>2073</v>
      </c>
      <c r="U1591" s="4">
        <v>2500000</v>
      </c>
      <c r="V1591" s="4">
        <v>2465</v>
      </c>
      <c r="W1591" s="4">
        <v>25</v>
      </c>
      <c r="X1591" s="4">
        <v>320</v>
      </c>
      <c r="Y1591" s="4">
        <v>0</v>
      </c>
      <c r="Z1591" s="5">
        <v>2810</v>
      </c>
      <c r="AA1591" s="5">
        <v>0</v>
      </c>
      <c r="AB1591" s="6">
        <v>0</v>
      </c>
      <c r="AC1591" s="4">
        <v>2810</v>
      </c>
      <c r="AD1591" s="4">
        <v>0</v>
      </c>
      <c r="AE1591" s="4">
        <v>2810</v>
      </c>
      <c r="AF1591" s="1"/>
      <c r="AG1591" s="1"/>
      <c r="AH1591" s="1"/>
      <c r="AI1591" s="1" t="s">
        <v>3432</v>
      </c>
      <c r="AJ1591" s="6">
        <v>1037.98</v>
      </c>
      <c r="AK1591" s="6">
        <v>821.18</v>
      </c>
      <c r="AL1591" s="1"/>
    </row>
    <row r="1592" spans="1:38" hidden="1" x14ac:dyDescent="0.25">
      <c r="A1592" s="2">
        <v>2204</v>
      </c>
      <c r="B1592" s="1" t="s">
        <v>1851</v>
      </c>
      <c r="C1592" s="1" t="s">
        <v>1853</v>
      </c>
      <c r="D1592" s="1" t="s">
        <v>2062</v>
      </c>
      <c r="E1592" s="1" t="s">
        <v>2063</v>
      </c>
      <c r="F1592" s="3">
        <v>45500</v>
      </c>
      <c r="G1592" s="3">
        <v>45438</v>
      </c>
      <c r="H1592" s="3">
        <v>45802</v>
      </c>
      <c r="I1592" s="1" t="s">
        <v>3852</v>
      </c>
      <c r="J1592" s="1" t="s">
        <v>3853</v>
      </c>
      <c r="K1592" s="1"/>
      <c r="L1592" s="1" t="s">
        <v>2198</v>
      </c>
      <c r="M1592" s="1" t="s">
        <v>3854</v>
      </c>
      <c r="N1592" s="1" t="s">
        <v>3855</v>
      </c>
      <c r="O1592" s="1" t="s">
        <v>3856</v>
      </c>
      <c r="P1592" s="1" t="s">
        <v>2182</v>
      </c>
      <c r="Q1592" s="1"/>
      <c r="R1592" s="1"/>
      <c r="S1592" s="1" t="s">
        <v>2072</v>
      </c>
      <c r="T1592" s="1" t="s">
        <v>2073</v>
      </c>
      <c r="U1592" s="4">
        <v>2500000</v>
      </c>
      <c r="V1592" s="4">
        <v>2723</v>
      </c>
      <c r="W1592" s="4">
        <v>27</v>
      </c>
      <c r="X1592" s="4">
        <v>408</v>
      </c>
      <c r="Y1592" s="4">
        <v>0</v>
      </c>
      <c r="Z1592" s="5">
        <v>3158</v>
      </c>
      <c r="AA1592" s="5">
        <v>0</v>
      </c>
      <c r="AB1592" s="6">
        <v>0</v>
      </c>
      <c r="AC1592" s="4">
        <v>3158</v>
      </c>
      <c r="AD1592" s="4">
        <v>0</v>
      </c>
      <c r="AE1592" s="4">
        <v>3158</v>
      </c>
      <c r="AF1592" s="1"/>
      <c r="AG1592" s="1"/>
      <c r="AH1592" s="1"/>
      <c r="AI1592" s="1" t="s">
        <v>3432</v>
      </c>
      <c r="AJ1592" s="6">
        <v>2216.0300000000811</v>
      </c>
      <c r="AK1592" s="6">
        <v>922.49000000000103</v>
      </c>
      <c r="AL1592" s="1"/>
    </row>
    <row r="1593" spans="1:38" hidden="1" x14ac:dyDescent="0.25">
      <c r="A1593" s="2">
        <v>2205</v>
      </c>
      <c r="B1593" s="1" t="s">
        <v>1851</v>
      </c>
      <c r="C1593" s="1" t="s">
        <v>1854</v>
      </c>
      <c r="D1593" s="1" t="s">
        <v>2062</v>
      </c>
      <c r="E1593" s="1" t="s">
        <v>2063</v>
      </c>
      <c r="F1593" s="3">
        <v>45535</v>
      </c>
      <c r="G1593" s="3">
        <v>45438</v>
      </c>
      <c r="H1593" s="3">
        <v>45802</v>
      </c>
      <c r="I1593" s="1" t="s">
        <v>3852</v>
      </c>
      <c r="J1593" s="1" t="s">
        <v>3853</v>
      </c>
      <c r="K1593" s="1"/>
      <c r="L1593" s="1" t="s">
        <v>2198</v>
      </c>
      <c r="M1593" s="1" t="s">
        <v>3854</v>
      </c>
      <c r="N1593" s="1" t="s">
        <v>3855</v>
      </c>
      <c r="O1593" s="1" t="s">
        <v>3856</v>
      </c>
      <c r="P1593" s="1" t="s">
        <v>2182</v>
      </c>
      <c r="Q1593" s="1"/>
      <c r="R1593" s="1"/>
      <c r="S1593" s="1" t="s">
        <v>2072</v>
      </c>
      <c r="T1593" s="1" t="s">
        <v>2073</v>
      </c>
      <c r="U1593" s="4">
        <v>2500000</v>
      </c>
      <c r="V1593" s="4">
        <v>1671</v>
      </c>
      <c r="W1593" s="4">
        <v>17</v>
      </c>
      <c r="X1593" s="4">
        <v>251</v>
      </c>
      <c r="Y1593" s="4">
        <v>0</v>
      </c>
      <c r="Z1593" s="5">
        <v>1939</v>
      </c>
      <c r="AA1593" s="5">
        <v>0</v>
      </c>
      <c r="AB1593" s="6">
        <v>0</v>
      </c>
      <c r="AC1593" s="4">
        <v>1939</v>
      </c>
      <c r="AD1593" s="4">
        <v>0</v>
      </c>
      <c r="AE1593" s="4">
        <v>1939</v>
      </c>
      <c r="AF1593" s="1"/>
      <c r="AG1593" s="1"/>
      <c r="AH1593" s="1"/>
      <c r="AI1593" s="1" t="s">
        <v>3432</v>
      </c>
      <c r="AJ1593" s="6">
        <v>725.89999999999895</v>
      </c>
      <c r="AK1593" s="6">
        <v>566.20000000000005</v>
      </c>
      <c r="AL1593" s="1"/>
    </row>
    <row r="1594" spans="1:38" hidden="1" x14ac:dyDescent="0.25">
      <c r="A1594" s="2">
        <v>2206</v>
      </c>
      <c r="B1594" s="1" t="s">
        <v>1851</v>
      </c>
      <c r="C1594" s="1" t="s">
        <v>1855</v>
      </c>
      <c r="D1594" s="1" t="s">
        <v>2062</v>
      </c>
      <c r="E1594" s="1" t="s">
        <v>2063</v>
      </c>
      <c r="F1594" s="3">
        <v>45745</v>
      </c>
      <c r="G1594" s="3">
        <v>45438</v>
      </c>
      <c r="H1594" s="3">
        <v>45802</v>
      </c>
      <c r="I1594" s="1" t="s">
        <v>3852</v>
      </c>
      <c r="J1594" s="1" t="s">
        <v>3853</v>
      </c>
      <c r="K1594" s="1"/>
      <c r="L1594" s="1" t="s">
        <v>2198</v>
      </c>
      <c r="M1594" s="1" t="s">
        <v>3854</v>
      </c>
      <c r="N1594" s="1" t="s">
        <v>3855</v>
      </c>
      <c r="O1594" s="1" t="s">
        <v>3856</v>
      </c>
      <c r="P1594" s="1" t="s">
        <v>2182</v>
      </c>
      <c r="Q1594" s="1"/>
      <c r="R1594" s="1"/>
      <c r="S1594" s="1" t="s">
        <v>2072</v>
      </c>
      <c r="T1594" s="1" t="s">
        <v>2073</v>
      </c>
      <c r="U1594" s="4">
        <v>-1</v>
      </c>
      <c r="V1594" s="4">
        <v>-7887</v>
      </c>
      <c r="W1594" s="4">
        <v>-70</v>
      </c>
      <c r="X1594" s="4">
        <v>0</v>
      </c>
      <c r="Y1594" s="4">
        <v>0</v>
      </c>
      <c r="Z1594" s="5">
        <v>-7957</v>
      </c>
      <c r="AA1594" s="5">
        <v>0</v>
      </c>
      <c r="AB1594" s="6">
        <v>0</v>
      </c>
      <c r="AC1594" s="4">
        <v>-7957</v>
      </c>
      <c r="AD1594" s="4">
        <v>0</v>
      </c>
      <c r="AE1594" s="4">
        <v>-7957</v>
      </c>
      <c r="AF1594" s="1"/>
      <c r="AG1594" s="1"/>
      <c r="AH1594" s="1"/>
      <c r="AI1594" s="1" t="s">
        <v>3432</v>
      </c>
      <c r="AJ1594" s="1"/>
      <c r="AK1594" s="1"/>
      <c r="AL1594" s="1"/>
    </row>
    <row r="1595" spans="1:38" hidden="1" x14ac:dyDescent="0.25">
      <c r="A1595" s="2">
        <v>2207</v>
      </c>
      <c r="B1595" s="1" t="s">
        <v>1856</v>
      </c>
      <c r="C1595" s="1" t="s">
        <v>1857</v>
      </c>
      <c r="D1595" s="1" t="s">
        <v>2062</v>
      </c>
      <c r="E1595" s="1" t="s">
        <v>2063</v>
      </c>
      <c r="F1595" s="3">
        <v>45475</v>
      </c>
      <c r="G1595" s="3">
        <v>45442</v>
      </c>
      <c r="H1595" s="3">
        <v>45806</v>
      </c>
      <c r="I1595" s="1" t="s">
        <v>3858</v>
      </c>
      <c r="J1595" s="1" t="s">
        <v>3859</v>
      </c>
      <c r="K1595" s="1"/>
      <c r="L1595" s="1" t="s">
        <v>3860</v>
      </c>
      <c r="M1595" s="1" t="s">
        <v>3861</v>
      </c>
      <c r="N1595" s="1" t="s">
        <v>3862</v>
      </c>
      <c r="O1595" s="1" t="s">
        <v>3863</v>
      </c>
      <c r="P1595" s="1" t="s">
        <v>2182</v>
      </c>
      <c r="Q1595" s="1"/>
      <c r="R1595" s="1"/>
      <c r="S1595" s="1" t="s">
        <v>2072</v>
      </c>
      <c r="T1595" s="1" t="s">
        <v>3165</v>
      </c>
      <c r="U1595" s="4">
        <v>8000000</v>
      </c>
      <c r="V1595" s="4">
        <v>5385</v>
      </c>
      <c r="W1595" s="4">
        <v>54</v>
      </c>
      <c r="X1595" s="4">
        <v>701</v>
      </c>
      <c r="Y1595" s="4">
        <v>0</v>
      </c>
      <c r="Z1595" s="5">
        <v>6140</v>
      </c>
      <c r="AA1595" s="5">
        <v>0</v>
      </c>
      <c r="AB1595" s="6">
        <v>0</v>
      </c>
      <c r="AC1595" s="4">
        <v>6140</v>
      </c>
      <c r="AD1595" s="4">
        <v>0</v>
      </c>
      <c r="AE1595" s="4">
        <v>6140</v>
      </c>
      <c r="AF1595" s="1"/>
      <c r="AG1595" s="1"/>
      <c r="AH1595" s="1"/>
      <c r="AI1595" s="1" t="s">
        <v>2327</v>
      </c>
      <c r="AJ1595" s="6">
        <v>833.19</v>
      </c>
      <c r="AK1595" s="6">
        <v>560.18000000000006</v>
      </c>
      <c r="AL1595" s="1"/>
    </row>
    <row r="1596" spans="1:38" hidden="1" x14ac:dyDescent="0.25">
      <c r="A1596" s="2">
        <v>2208</v>
      </c>
      <c r="B1596" s="1" t="s">
        <v>1856</v>
      </c>
      <c r="C1596" s="1" t="s">
        <v>1858</v>
      </c>
      <c r="D1596" s="1" t="s">
        <v>2062</v>
      </c>
      <c r="E1596" s="1" t="s">
        <v>2063</v>
      </c>
      <c r="F1596" s="3">
        <v>45538</v>
      </c>
      <c r="G1596" s="3">
        <v>45442</v>
      </c>
      <c r="H1596" s="3">
        <v>45806</v>
      </c>
      <c r="I1596" s="1" t="s">
        <v>3858</v>
      </c>
      <c r="J1596" s="1" t="s">
        <v>3859</v>
      </c>
      <c r="K1596" s="1"/>
      <c r="L1596" s="1" t="s">
        <v>3860</v>
      </c>
      <c r="M1596" s="1" t="s">
        <v>3861</v>
      </c>
      <c r="N1596" s="1" t="s">
        <v>3862</v>
      </c>
      <c r="O1596" s="1" t="s">
        <v>3863</v>
      </c>
      <c r="P1596" s="1" t="s">
        <v>2182</v>
      </c>
      <c r="Q1596" s="1"/>
      <c r="R1596" s="1"/>
      <c r="S1596" s="1" t="s">
        <v>2072</v>
      </c>
      <c r="T1596" s="1" t="s">
        <v>3165</v>
      </c>
      <c r="U1596" s="4">
        <v>8000000</v>
      </c>
      <c r="V1596" s="4">
        <v>2890</v>
      </c>
      <c r="W1596" s="4">
        <v>29</v>
      </c>
      <c r="X1596" s="4">
        <v>434</v>
      </c>
      <c r="Y1596" s="4">
        <v>0</v>
      </c>
      <c r="Z1596" s="5">
        <v>3353</v>
      </c>
      <c r="AA1596" s="5">
        <v>0</v>
      </c>
      <c r="AB1596" s="6">
        <v>0</v>
      </c>
      <c r="AC1596" s="4">
        <v>3353</v>
      </c>
      <c r="AD1596" s="4">
        <v>0</v>
      </c>
      <c r="AE1596" s="4">
        <v>3353</v>
      </c>
      <c r="AF1596" s="1"/>
      <c r="AG1596" s="1"/>
      <c r="AH1596" s="1"/>
      <c r="AI1596" s="1" t="s">
        <v>2327</v>
      </c>
      <c r="AJ1596" s="6">
        <v>306.16000000000003</v>
      </c>
      <c r="AK1596" s="6">
        <v>306.16000000000003</v>
      </c>
      <c r="AL1596" s="1"/>
    </row>
    <row r="1597" spans="1:38" hidden="1" x14ac:dyDescent="0.25">
      <c r="A1597" s="2">
        <v>2209</v>
      </c>
      <c r="B1597" s="1" t="s">
        <v>1856</v>
      </c>
      <c r="C1597" s="1" t="s">
        <v>1859</v>
      </c>
      <c r="D1597" s="1" t="s">
        <v>2062</v>
      </c>
      <c r="E1597" s="1" t="s">
        <v>2063</v>
      </c>
      <c r="F1597" s="3">
        <v>45538</v>
      </c>
      <c r="G1597" s="3">
        <v>45442</v>
      </c>
      <c r="H1597" s="3">
        <v>45806</v>
      </c>
      <c r="I1597" s="1" t="s">
        <v>3858</v>
      </c>
      <c r="J1597" s="1" t="s">
        <v>3859</v>
      </c>
      <c r="K1597" s="1"/>
      <c r="L1597" s="1" t="s">
        <v>3860</v>
      </c>
      <c r="M1597" s="1" t="s">
        <v>3861</v>
      </c>
      <c r="N1597" s="1" t="s">
        <v>3862</v>
      </c>
      <c r="O1597" s="1" t="s">
        <v>3863</v>
      </c>
      <c r="P1597" s="1" t="s">
        <v>2182</v>
      </c>
      <c r="Q1597" s="1"/>
      <c r="R1597" s="1"/>
      <c r="S1597" s="1" t="s">
        <v>2072</v>
      </c>
      <c r="T1597" s="1" t="s">
        <v>3165</v>
      </c>
      <c r="U1597" s="4">
        <v>8000000</v>
      </c>
      <c r="V1597" s="4">
        <v>5981</v>
      </c>
      <c r="W1597" s="4">
        <v>60</v>
      </c>
      <c r="X1597" s="4">
        <v>897</v>
      </c>
      <c r="Y1597" s="4">
        <v>0</v>
      </c>
      <c r="Z1597" s="5">
        <v>6938</v>
      </c>
      <c r="AA1597" s="5">
        <v>0</v>
      </c>
      <c r="AB1597" s="6">
        <v>0</v>
      </c>
      <c r="AC1597" s="4">
        <v>6938</v>
      </c>
      <c r="AD1597" s="4">
        <v>0</v>
      </c>
      <c r="AE1597" s="4">
        <v>6938</v>
      </c>
      <c r="AF1597" s="1"/>
      <c r="AG1597" s="1"/>
      <c r="AH1597" s="1"/>
      <c r="AI1597" s="1" t="s">
        <v>2327</v>
      </c>
      <c r="AJ1597" s="6">
        <v>1902.4500000000301</v>
      </c>
      <c r="AK1597" s="6">
        <v>633.18000000000006</v>
      </c>
      <c r="AL1597" s="1"/>
    </row>
    <row r="1598" spans="1:38" hidden="1" x14ac:dyDescent="0.25">
      <c r="A1598" s="2">
        <v>2210</v>
      </c>
      <c r="B1598" s="1" t="s">
        <v>1856</v>
      </c>
      <c r="C1598" s="1" t="s">
        <v>1860</v>
      </c>
      <c r="D1598" s="1" t="s">
        <v>2062</v>
      </c>
      <c r="E1598" s="1" t="s">
        <v>2063</v>
      </c>
      <c r="F1598" s="3">
        <v>45570</v>
      </c>
      <c r="G1598" s="3">
        <v>45442</v>
      </c>
      <c r="H1598" s="3">
        <v>45806</v>
      </c>
      <c r="I1598" s="1" t="s">
        <v>3858</v>
      </c>
      <c r="J1598" s="1" t="s">
        <v>3859</v>
      </c>
      <c r="K1598" s="1"/>
      <c r="L1598" s="1" t="s">
        <v>3860</v>
      </c>
      <c r="M1598" s="1" t="s">
        <v>3861</v>
      </c>
      <c r="N1598" s="1" t="s">
        <v>3862</v>
      </c>
      <c r="O1598" s="1" t="s">
        <v>3863</v>
      </c>
      <c r="P1598" s="1" t="s">
        <v>2182</v>
      </c>
      <c r="Q1598" s="1"/>
      <c r="R1598" s="1"/>
      <c r="S1598" s="1" t="s">
        <v>2072</v>
      </c>
      <c r="T1598" s="1" t="s">
        <v>3165</v>
      </c>
      <c r="U1598" s="4">
        <v>8000000</v>
      </c>
      <c r="V1598" s="4">
        <v>3156</v>
      </c>
      <c r="W1598" s="4">
        <v>32</v>
      </c>
      <c r="X1598" s="4">
        <v>474</v>
      </c>
      <c r="Y1598" s="4">
        <v>0</v>
      </c>
      <c r="Z1598" s="5">
        <v>3662</v>
      </c>
      <c r="AA1598" s="5">
        <v>0</v>
      </c>
      <c r="AB1598" s="6">
        <v>0</v>
      </c>
      <c r="AC1598" s="4">
        <v>3662</v>
      </c>
      <c r="AD1598" s="4">
        <v>0</v>
      </c>
      <c r="AE1598" s="4">
        <v>3662</v>
      </c>
      <c r="AF1598" s="1"/>
      <c r="AG1598" s="1"/>
      <c r="AH1598" s="1"/>
      <c r="AI1598" s="1" t="s">
        <v>2327</v>
      </c>
      <c r="AJ1598" s="6">
        <v>686.48000000001502</v>
      </c>
      <c r="AK1598" s="6">
        <v>334.17000000000007</v>
      </c>
      <c r="AL1598" s="1"/>
    </row>
    <row r="1599" spans="1:38" hidden="1" x14ac:dyDescent="0.25">
      <c r="A1599" s="2">
        <v>2211</v>
      </c>
      <c r="B1599" s="1" t="s">
        <v>1856</v>
      </c>
      <c r="C1599" s="1" t="s">
        <v>1861</v>
      </c>
      <c r="D1599" s="1" t="s">
        <v>2062</v>
      </c>
      <c r="E1599" s="1" t="s">
        <v>2063</v>
      </c>
      <c r="F1599" s="3">
        <v>45597</v>
      </c>
      <c r="G1599" s="3">
        <v>45442</v>
      </c>
      <c r="H1599" s="3">
        <v>45806</v>
      </c>
      <c r="I1599" s="1" t="s">
        <v>3858</v>
      </c>
      <c r="J1599" s="1" t="s">
        <v>3859</v>
      </c>
      <c r="K1599" s="1"/>
      <c r="L1599" s="1" t="s">
        <v>3860</v>
      </c>
      <c r="M1599" s="1" t="s">
        <v>3861</v>
      </c>
      <c r="N1599" s="1" t="s">
        <v>3862</v>
      </c>
      <c r="O1599" s="1" t="s">
        <v>3863</v>
      </c>
      <c r="P1599" s="1" t="s">
        <v>2182</v>
      </c>
      <c r="Q1599" s="1"/>
      <c r="R1599" s="1"/>
      <c r="S1599" s="1" t="s">
        <v>2072</v>
      </c>
      <c r="T1599" s="1" t="s">
        <v>3165</v>
      </c>
      <c r="U1599" s="4">
        <v>8000000</v>
      </c>
      <c r="V1599" s="4">
        <v>5262</v>
      </c>
      <c r="W1599" s="4">
        <v>53</v>
      </c>
      <c r="X1599" s="4">
        <v>789</v>
      </c>
      <c r="Y1599" s="4">
        <v>0</v>
      </c>
      <c r="Z1599" s="5">
        <v>6104</v>
      </c>
      <c r="AA1599" s="5">
        <v>0</v>
      </c>
      <c r="AB1599" s="6">
        <v>0</v>
      </c>
      <c r="AC1599" s="4">
        <v>6104</v>
      </c>
      <c r="AD1599" s="4">
        <v>0</v>
      </c>
      <c r="AE1599" s="4">
        <v>6104</v>
      </c>
      <c r="AF1599" s="1"/>
      <c r="AG1599" s="1"/>
      <c r="AH1599" s="1"/>
      <c r="AI1599" s="1" t="s">
        <v>2327</v>
      </c>
      <c r="AJ1599" s="6">
        <v>1859.9400000000401</v>
      </c>
      <c r="AK1599" s="6">
        <v>557</v>
      </c>
      <c r="AL1599" s="1"/>
    </row>
    <row r="1600" spans="1:38" hidden="1" x14ac:dyDescent="0.25">
      <c r="A1600" s="2">
        <v>2212</v>
      </c>
      <c r="B1600" s="1" t="s">
        <v>1856</v>
      </c>
      <c r="C1600" s="1" t="s">
        <v>1862</v>
      </c>
      <c r="D1600" s="1" t="s">
        <v>2062</v>
      </c>
      <c r="E1600" s="1" t="s">
        <v>2063</v>
      </c>
      <c r="F1600" s="3">
        <v>45628</v>
      </c>
      <c r="G1600" s="3">
        <v>45442</v>
      </c>
      <c r="H1600" s="3">
        <v>45806</v>
      </c>
      <c r="I1600" s="1" t="s">
        <v>3858</v>
      </c>
      <c r="J1600" s="1" t="s">
        <v>3859</v>
      </c>
      <c r="K1600" s="1"/>
      <c r="L1600" s="1" t="s">
        <v>3860</v>
      </c>
      <c r="M1600" s="1" t="s">
        <v>3861</v>
      </c>
      <c r="N1600" s="1" t="s">
        <v>3862</v>
      </c>
      <c r="O1600" s="1" t="s">
        <v>3863</v>
      </c>
      <c r="P1600" s="1" t="s">
        <v>2182</v>
      </c>
      <c r="Q1600" s="1"/>
      <c r="R1600" s="1"/>
      <c r="S1600" s="1" t="s">
        <v>2072</v>
      </c>
      <c r="T1600" s="1" t="s">
        <v>3165</v>
      </c>
      <c r="U1600" s="4">
        <v>8000000</v>
      </c>
      <c r="V1600" s="4">
        <v>1709</v>
      </c>
      <c r="W1600" s="4">
        <v>17</v>
      </c>
      <c r="X1600" s="4">
        <v>256</v>
      </c>
      <c r="Y1600" s="4">
        <v>0</v>
      </c>
      <c r="Z1600" s="5">
        <v>1982</v>
      </c>
      <c r="AA1600" s="5">
        <v>0</v>
      </c>
      <c r="AB1600" s="6">
        <v>0</v>
      </c>
      <c r="AC1600" s="4">
        <v>1982</v>
      </c>
      <c r="AD1600" s="4">
        <v>0</v>
      </c>
      <c r="AE1600" s="4">
        <v>1982</v>
      </c>
      <c r="AF1600" s="1"/>
      <c r="AG1600" s="1"/>
      <c r="AH1600" s="1"/>
      <c r="AI1600" s="1" t="s">
        <v>2327</v>
      </c>
      <c r="AJ1600" s="6">
        <v>496.50000000000296</v>
      </c>
      <c r="AK1600" s="6">
        <v>180.82000000000005</v>
      </c>
      <c r="AL1600" s="1"/>
    </row>
    <row r="1601" spans="1:38" hidden="1" x14ac:dyDescent="0.25">
      <c r="A1601" s="2">
        <v>2213</v>
      </c>
      <c r="B1601" s="1" t="s">
        <v>1856</v>
      </c>
      <c r="C1601" s="1" t="s">
        <v>1863</v>
      </c>
      <c r="D1601" s="1" t="s">
        <v>2062</v>
      </c>
      <c r="E1601" s="1" t="s">
        <v>2063</v>
      </c>
      <c r="F1601" s="3">
        <v>45655</v>
      </c>
      <c r="G1601" s="3">
        <v>45442</v>
      </c>
      <c r="H1601" s="3">
        <v>45806</v>
      </c>
      <c r="I1601" s="1" t="s">
        <v>3858</v>
      </c>
      <c r="J1601" s="1" t="s">
        <v>3859</v>
      </c>
      <c r="K1601" s="1"/>
      <c r="L1601" s="1" t="s">
        <v>3860</v>
      </c>
      <c r="M1601" s="1" t="s">
        <v>3861</v>
      </c>
      <c r="N1601" s="1" t="s">
        <v>3862</v>
      </c>
      <c r="O1601" s="1" t="s">
        <v>3863</v>
      </c>
      <c r="P1601" s="1" t="s">
        <v>2182</v>
      </c>
      <c r="Q1601" s="1"/>
      <c r="R1601" s="1"/>
      <c r="S1601" s="1" t="s">
        <v>2072</v>
      </c>
      <c r="T1601" s="1" t="s">
        <v>3165</v>
      </c>
      <c r="U1601" s="4">
        <v>-1</v>
      </c>
      <c r="V1601" s="4">
        <v>-27900</v>
      </c>
      <c r="W1601" s="4">
        <v>-279</v>
      </c>
      <c r="X1601" s="4">
        <v>0</v>
      </c>
      <c r="Y1601" s="4">
        <v>0</v>
      </c>
      <c r="Z1601" s="5">
        <v>-28179</v>
      </c>
      <c r="AA1601" s="5">
        <v>0</v>
      </c>
      <c r="AB1601" s="6">
        <v>0</v>
      </c>
      <c r="AC1601" s="4">
        <v>-28179</v>
      </c>
      <c r="AD1601" s="4">
        <v>0</v>
      </c>
      <c r="AE1601" s="4">
        <v>-28179</v>
      </c>
      <c r="AF1601" s="1"/>
      <c r="AG1601" s="1"/>
      <c r="AH1601" s="1"/>
      <c r="AI1601" s="1" t="s">
        <v>2327</v>
      </c>
      <c r="AJ1601" s="1"/>
      <c r="AK1601" s="1"/>
      <c r="AL1601" s="1"/>
    </row>
    <row r="1602" spans="1:38" hidden="1" x14ac:dyDescent="0.25">
      <c r="A1602" s="2">
        <v>2216</v>
      </c>
      <c r="B1602" s="1" t="s">
        <v>1864</v>
      </c>
      <c r="C1602" s="1" t="s">
        <v>1865</v>
      </c>
      <c r="D1602" s="1" t="s">
        <v>2062</v>
      </c>
      <c r="E1602" s="1" t="s">
        <v>2063</v>
      </c>
      <c r="F1602" s="3">
        <v>45475</v>
      </c>
      <c r="G1602" s="3">
        <v>45442</v>
      </c>
      <c r="H1602" s="3">
        <v>45806</v>
      </c>
      <c r="I1602" s="1" t="s">
        <v>3864</v>
      </c>
      <c r="J1602" s="1" t="s">
        <v>3865</v>
      </c>
      <c r="K1602" s="1"/>
      <c r="L1602" s="1" t="s">
        <v>3866</v>
      </c>
      <c r="M1602" s="1" t="s">
        <v>3867</v>
      </c>
      <c r="N1602" s="1" t="s">
        <v>3868</v>
      </c>
      <c r="O1602" s="1" t="s">
        <v>3869</v>
      </c>
      <c r="P1602" s="1" t="s">
        <v>2119</v>
      </c>
      <c r="Q1602" s="1"/>
      <c r="R1602" s="1"/>
      <c r="S1602" s="1" t="s">
        <v>2072</v>
      </c>
      <c r="T1602" s="1" t="s">
        <v>3165</v>
      </c>
      <c r="U1602" s="4">
        <v>3000000</v>
      </c>
      <c r="V1602" s="4">
        <v>2180</v>
      </c>
      <c r="W1602" s="4">
        <v>22</v>
      </c>
      <c r="X1602" s="4">
        <v>284</v>
      </c>
      <c r="Y1602" s="4">
        <v>0</v>
      </c>
      <c r="Z1602" s="5">
        <v>2486</v>
      </c>
      <c r="AA1602" s="5">
        <v>0</v>
      </c>
      <c r="AB1602" s="6">
        <v>0</v>
      </c>
      <c r="AC1602" s="4">
        <v>2486</v>
      </c>
      <c r="AD1602" s="4">
        <v>0</v>
      </c>
      <c r="AE1602" s="4">
        <v>2486</v>
      </c>
      <c r="AF1602" s="1"/>
      <c r="AG1602" s="1"/>
      <c r="AH1602" s="1"/>
      <c r="AI1602" s="1" t="s">
        <v>2327</v>
      </c>
      <c r="AJ1602" s="6">
        <v>731.42</v>
      </c>
      <c r="AK1602" s="6">
        <v>604.81000000000006</v>
      </c>
      <c r="AL1602" s="1"/>
    </row>
    <row r="1603" spans="1:38" hidden="1" x14ac:dyDescent="0.25">
      <c r="A1603" s="2">
        <v>2217</v>
      </c>
      <c r="B1603" s="1" t="s">
        <v>1864</v>
      </c>
      <c r="C1603" s="1" t="s">
        <v>1866</v>
      </c>
      <c r="D1603" s="1" t="s">
        <v>2062</v>
      </c>
      <c r="E1603" s="1" t="s">
        <v>2063</v>
      </c>
      <c r="F1603" s="3">
        <v>45503</v>
      </c>
      <c r="G1603" s="3">
        <v>45442</v>
      </c>
      <c r="H1603" s="3">
        <v>45806</v>
      </c>
      <c r="I1603" s="1" t="s">
        <v>3864</v>
      </c>
      <c r="J1603" s="1" t="s">
        <v>3865</v>
      </c>
      <c r="K1603" s="1"/>
      <c r="L1603" s="1" t="s">
        <v>3866</v>
      </c>
      <c r="M1603" s="1" t="s">
        <v>3867</v>
      </c>
      <c r="N1603" s="1" t="s">
        <v>3868</v>
      </c>
      <c r="O1603" s="1" t="s">
        <v>3869</v>
      </c>
      <c r="P1603" s="1" t="s">
        <v>2119</v>
      </c>
      <c r="Q1603" s="1"/>
      <c r="R1603" s="1"/>
      <c r="S1603" s="1" t="s">
        <v>2072</v>
      </c>
      <c r="T1603" s="1" t="s">
        <v>3165</v>
      </c>
      <c r="U1603" s="4">
        <v>3000000</v>
      </c>
      <c r="V1603" s="4">
        <v>3276</v>
      </c>
      <c r="W1603" s="4">
        <v>33</v>
      </c>
      <c r="X1603" s="4">
        <v>491</v>
      </c>
      <c r="Y1603" s="4">
        <v>0</v>
      </c>
      <c r="Z1603" s="5">
        <v>3800</v>
      </c>
      <c r="AA1603" s="5">
        <v>0</v>
      </c>
      <c r="AB1603" s="6">
        <v>0</v>
      </c>
      <c r="AC1603" s="4">
        <v>3800</v>
      </c>
      <c r="AD1603" s="4">
        <v>0</v>
      </c>
      <c r="AE1603" s="4">
        <v>3800</v>
      </c>
      <c r="AF1603" s="1"/>
      <c r="AG1603" s="1"/>
      <c r="AH1603" s="1"/>
      <c r="AI1603" s="1" t="s">
        <v>2327</v>
      </c>
      <c r="AJ1603" s="6">
        <v>1119.02</v>
      </c>
      <c r="AK1603" s="6">
        <v>924.6</v>
      </c>
      <c r="AL1603" s="1"/>
    </row>
    <row r="1604" spans="1:38" hidden="1" x14ac:dyDescent="0.25">
      <c r="A1604" s="2">
        <v>2218</v>
      </c>
      <c r="B1604" s="1" t="s">
        <v>1864</v>
      </c>
      <c r="C1604" s="1" t="s">
        <v>1867</v>
      </c>
      <c r="D1604" s="1" t="s">
        <v>2062</v>
      </c>
      <c r="E1604" s="1" t="s">
        <v>2063</v>
      </c>
      <c r="F1604" s="3">
        <v>45538</v>
      </c>
      <c r="G1604" s="3">
        <v>45442</v>
      </c>
      <c r="H1604" s="3">
        <v>45806</v>
      </c>
      <c r="I1604" s="1" t="s">
        <v>3864</v>
      </c>
      <c r="J1604" s="1" t="s">
        <v>3865</v>
      </c>
      <c r="K1604" s="1"/>
      <c r="L1604" s="1" t="s">
        <v>3866</v>
      </c>
      <c r="M1604" s="1" t="s">
        <v>3867</v>
      </c>
      <c r="N1604" s="1" t="s">
        <v>3868</v>
      </c>
      <c r="O1604" s="1" t="s">
        <v>3869</v>
      </c>
      <c r="P1604" s="1" t="s">
        <v>2119</v>
      </c>
      <c r="Q1604" s="1"/>
      <c r="R1604" s="1"/>
      <c r="S1604" s="1" t="s">
        <v>2072</v>
      </c>
      <c r="T1604" s="1" t="s">
        <v>3165</v>
      </c>
      <c r="U1604" s="4">
        <v>3000000</v>
      </c>
      <c r="V1604" s="4">
        <v>4031</v>
      </c>
      <c r="W1604" s="4">
        <v>40</v>
      </c>
      <c r="X1604" s="4">
        <v>605</v>
      </c>
      <c r="Y1604" s="4">
        <v>0</v>
      </c>
      <c r="Z1604" s="5">
        <v>4676</v>
      </c>
      <c r="AA1604" s="5">
        <v>0</v>
      </c>
      <c r="AB1604" s="6">
        <v>0</v>
      </c>
      <c r="AC1604" s="4">
        <v>4676</v>
      </c>
      <c r="AD1604" s="4">
        <v>0</v>
      </c>
      <c r="AE1604" s="4">
        <v>4676</v>
      </c>
      <c r="AF1604" s="1"/>
      <c r="AG1604" s="1"/>
      <c r="AH1604" s="1"/>
      <c r="AI1604" s="1" t="s">
        <v>2327</v>
      </c>
      <c r="AJ1604" s="6">
        <v>1656.3000000000002</v>
      </c>
      <c r="AK1604" s="6">
        <v>1137.78</v>
      </c>
      <c r="AL1604" s="1"/>
    </row>
    <row r="1605" spans="1:38" hidden="1" x14ac:dyDescent="0.25">
      <c r="A1605" s="2">
        <v>2219</v>
      </c>
      <c r="B1605" s="1" t="s">
        <v>1864</v>
      </c>
      <c r="C1605" s="1" t="s">
        <v>1868</v>
      </c>
      <c r="D1605" s="1" t="s">
        <v>2062</v>
      </c>
      <c r="E1605" s="1" t="s">
        <v>2063</v>
      </c>
      <c r="F1605" s="3">
        <v>45570</v>
      </c>
      <c r="G1605" s="3">
        <v>45442</v>
      </c>
      <c r="H1605" s="3">
        <v>45806</v>
      </c>
      <c r="I1605" s="1" t="s">
        <v>3864</v>
      </c>
      <c r="J1605" s="1" t="s">
        <v>3865</v>
      </c>
      <c r="K1605" s="1"/>
      <c r="L1605" s="1" t="s">
        <v>3866</v>
      </c>
      <c r="M1605" s="1" t="s">
        <v>3867</v>
      </c>
      <c r="N1605" s="1" t="s">
        <v>3868</v>
      </c>
      <c r="O1605" s="1" t="s">
        <v>3869</v>
      </c>
      <c r="P1605" s="1" t="s">
        <v>2119</v>
      </c>
      <c r="Q1605" s="1"/>
      <c r="R1605" s="1"/>
      <c r="S1605" s="1" t="s">
        <v>2072</v>
      </c>
      <c r="T1605" s="1" t="s">
        <v>3165</v>
      </c>
      <c r="U1605" s="4">
        <v>3000000</v>
      </c>
      <c r="V1605" s="4">
        <v>3731</v>
      </c>
      <c r="W1605" s="4">
        <v>37</v>
      </c>
      <c r="X1605" s="4">
        <v>560</v>
      </c>
      <c r="Y1605" s="4">
        <v>0</v>
      </c>
      <c r="Z1605" s="5">
        <v>4328</v>
      </c>
      <c r="AA1605" s="5">
        <v>0</v>
      </c>
      <c r="AB1605" s="6">
        <v>0</v>
      </c>
      <c r="AC1605" s="4">
        <v>4328</v>
      </c>
      <c r="AD1605" s="4">
        <v>0</v>
      </c>
      <c r="AE1605" s="4">
        <v>4328</v>
      </c>
      <c r="AF1605" s="1"/>
      <c r="AG1605" s="1"/>
      <c r="AH1605" s="1"/>
      <c r="AI1605" s="1" t="s">
        <v>2327</v>
      </c>
      <c r="AJ1605" s="6">
        <v>1410.22</v>
      </c>
      <c r="AK1605" s="6">
        <v>1052.6699999999992</v>
      </c>
      <c r="AL1605" s="1"/>
    </row>
    <row r="1606" spans="1:38" hidden="1" x14ac:dyDescent="0.25">
      <c r="A1606" s="2">
        <v>2220</v>
      </c>
      <c r="B1606" s="1" t="s">
        <v>1864</v>
      </c>
      <c r="C1606" s="1" t="s">
        <v>1869</v>
      </c>
      <c r="D1606" s="1" t="s">
        <v>2062</v>
      </c>
      <c r="E1606" s="1" t="s">
        <v>2063</v>
      </c>
      <c r="F1606" s="3">
        <v>45597</v>
      </c>
      <c r="G1606" s="3">
        <v>45442</v>
      </c>
      <c r="H1606" s="3">
        <v>45806</v>
      </c>
      <c r="I1606" s="1" t="s">
        <v>3864</v>
      </c>
      <c r="J1606" s="1" t="s">
        <v>3865</v>
      </c>
      <c r="K1606" s="1"/>
      <c r="L1606" s="1" t="s">
        <v>3866</v>
      </c>
      <c r="M1606" s="1" t="s">
        <v>3867</v>
      </c>
      <c r="N1606" s="1" t="s">
        <v>3868</v>
      </c>
      <c r="O1606" s="1" t="s">
        <v>3869</v>
      </c>
      <c r="P1606" s="1" t="s">
        <v>2119</v>
      </c>
      <c r="Q1606" s="1"/>
      <c r="R1606" s="1"/>
      <c r="S1606" s="1" t="s">
        <v>2072</v>
      </c>
      <c r="T1606" s="1" t="s">
        <v>3165</v>
      </c>
      <c r="U1606" s="4">
        <v>3000000</v>
      </c>
      <c r="V1606" s="4">
        <v>4476</v>
      </c>
      <c r="W1606" s="4">
        <v>45</v>
      </c>
      <c r="X1606" s="4">
        <v>671</v>
      </c>
      <c r="Y1606" s="4">
        <v>0</v>
      </c>
      <c r="Z1606" s="5">
        <v>5192</v>
      </c>
      <c r="AA1606" s="5">
        <v>0</v>
      </c>
      <c r="AB1606" s="6">
        <v>0</v>
      </c>
      <c r="AC1606" s="4">
        <v>5192</v>
      </c>
      <c r="AD1606" s="4">
        <v>0</v>
      </c>
      <c r="AE1606" s="4">
        <v>5192</v>
      </c>
      <c r="AF1606" s="1"/>
      <c r="AG1606" s="1"/>
      <c r="AH1606" s="1"/>
      <c r="AI1606" s="1" t="s">
        <v>2327</v>
      </c>
      <c r="AJ1606" s="6">
        <v>1707.99</v>
      </c>
      <c r="AK1606" s="6">
        <v>1262.78</v>
      </c>
      <c r="AL1606" s="1"/>
    </row>
    <row r="1607" spans="1:38" hidden="1" x14ac:dyDescent="0.25">
      <c r="A1607" s="2">
        <v>2221</v>
      </c>
      <c r="B1607" s="1" t="s">
        <v>1864</v>
      </c>
      <c r="C1607" s="1" t="s">
        <v>1870</v>
      </c>
      <c r="D1607" s="1" t="s">
        <v>2062</v>
      </c>
      <c r="E1607" s="1" t="s">
        <v>2063</v>
      </c>
      <c r="F1607" s="3">
        <v>45628</v>
      </c>
      <c r="G1607" s="3">
        <v>45442</v>
      </c>
      <c r="H1607" s="3">
        <v>45806</v>
      </c>
      <c r="I1607" s="1" t="s">
        <v>3864</v>
      </c>
      <c r="J1607" s="1" t="s">
        <v>3865</v>
      </c>
      <c r="K1607" s="1"/>
      <c r="L1607" s="1" t="s">
        <v>3866</v>
      </c>
      <c r="M1607" s="1" t="s">
        <v>3867</v>
      </c>
      <c r="N1607" s="1" t="s">
        <v>3868</v>
      </c>
      <c r="O1607" s="1" t="s">
        <v>3869</v>
      </c>
      <c r="P1607" s="1" t="s">
        <v>2119</v>
      </c>
      <c r="Q1607" s="1"/>
      <c r="R1607" s="1"/>
      <c r="S1607" s="1" t="s">
        <v>2072</v>
      </c>
      <c r="T1607" s="1" t="s">
        <v>3165</v>
      </c>
      <c r="U1607" s="4">
        <v>3000000</v>
      </c>
      <c r="V1607" s="4">
        <v>4404</v>
      </c>
      <c r="W1607" s="4">
        <v>44</v>
      </c>
      <c r="X1607" s="4">
        <v>661</v>
      </c>
      <c r="Y1607" s="4">
        <v>0</v>
      </c>
      <c r="Z1607" s="5">
        <v>5109</v>
      </c>
      <c r="AA1607" s="5">
        <v>0</v>
      </c>
      <c r="AB1607" s="6">
        <v>0</v>
      </c>
      <c r="AC1607" s="4">
        <v>5109</v>
      </c>
      <c r="AD1607" s="4">
        <v>0</v>
      </c>
      <c r="AE1607" s="4">
        <v>5109</v>
      </c>
      <c r="AF1607" s="1"/>
      <c r="AG1607" s="1"/>
      <c r="AH1607" s="1"/>
      <c r="AI1607" s="1" t="s">
        <v>2327</v>
      </c>
      <c r="AJ1607" s="6">
        <v>1595.89</v>
      </c>
      <c r="AK1607" s="6">
        <v>1242.76</v>
      </c>
      <c r="AL1607" s="1"/>
    </row>
    <row r="1608" spans="1:38" hidden="1" x14ac:dyDescent="0.25">
      <c r="A1608" s="2">
        <v>2222</v>
      </c>
      <c r="B1608" s="1" t="s">
        <v>1864</v>
      </c>
      <c r="C1608" s="1" t="s">
        <v>1871</v>
      </c>
      <c r="D1608" s="1" t="s">
        <v>2062</v>
      </c>
      <c r="E1608" s="1" t="s">
        <v>2063</v>
      </c>
      <c r="F1608" s="3">
        <v>45655</v>
      </c>
      <c r="G1608" s="3">
        <v>45442</v>
      </c>
      <c r="H1608" s="3">
        <v>45806</v>
      </c>
      <c r="I1608" s="1" t="s">
        <v>3864</v>
      </c>
      <c r="J1608" s="1" t="s">
        <v>3865</v>
      </c>
      <c r="K1608" s="1"/>
      <c r="L1608" s="1" t="s">
        <v>3866</v>
      </c>
      <c r="M1608" s="1" t="s">
        <v>3867</v>
      </c>
      <c r="N1608" s="1" t="s">
        <v>3868</v>
      </c>
      <c r="O1608" s="1" t="s">
        <v>3869</v>
      </c>
      <c r="P1608" s="1" t="s">
        <v>2119</v>
      </c>
      <c r="Q1608" s="1"/>
      <c r="R1608" s="1"/>
      <c r="S1608" s="1" t="s">
        <v>2072</v>
      </c>
      <c r="T1608" s="1" t="s">
        <v>3165</v>
      </c>
      <c r="U1608" s="4">
        <v>-1</v>
      </c>
      <c r="V1608" s="4">
        <v>-25338</v>
      </c>
      <c r="W1608" s="4">
        <v>-253</v>
      </c>
      <c r="X1608" s="4">
        <v>0</v>
      </c>
      <c r="Y1608" s="4">
        <v>0</v>
      </c>
      <c r="Z1608" s="5">
        <v>-25591</v>
      </c>
      <c r="AA1608" s="5">
        <v>0</v>
      </c>
      <c r="AB1608" s="6">
        <v>0</v>
      </c>
      <c r="AC1608" s="4">
        <v>-25591</v>
      </c>
      <c r="AD1608" s="4">
        <v>0</v>
      </c>
      <c r="AE1608" s="4">
        <v>-25591</v>
      </c>
      <c r="AF1608" s="1"/>
      <c r="AG1608" s="1"/>
      <c r="AH1608" s="1"/>
      <c r="AI1608" s="1" t="s">
        <v>2327</v>
      </c>
      <c r="AJ1608" s="1"/>
      <c r="AK1608" s="1"/>
      <c r="AL1608" s="1"/>
    </row>
    <row r="1609" spans="1:38" hidden="1" x14ac:dyDescent="0.25">
      <c r="A1609" s="2">
        <v>2223</v>
      </c>
      <c r="B1609" s="1" t="s">
        <v>1872</v>
      </c>
      <c r="C1609" s="1" t="s">
        <v>1873</v>
      </c>
      <c r="D1609" s="1" t="s">
        <v>2062</v>
      </c>
      <c r="E1609" s="1" t="s">
        <v>2063</v>
      </c>
      <c r="F1609" s="3">
        <v>45475</v>
      </c>
      <c r="G1609" s="3">
        <v>45443</v>
      </c>
      <c r="H1609" s="3">
        <v>45807</v>
      </c>
      <c r="I1609" s="1" t="s">
        <v>3870</v>
      </c>
      <c r="J1609" s="1" t="s">
        <v>3871</v>
      </c>
      <c r="K1609" s="1"/>
      <c r="L1609" s="1" t="s">
        <v>3872</v>
      </c>
      <c r="M1609" s="1" t="s">
        <v>3873</v>
      </c>
      <c r="N1609" s="1" t="s">
        <v>3874</v>
      </c>
      <c r="O1609" s="1" t="s">
        <v>3875</v>
      </c>
      <c r="P1609" s="1" t="s">
        <v>2095</v>
      </c>
      <c r="Q1609" s="1"/>
      <c r="R1609" s="1"/>
      <c r="S1609" s="1" t="s">
        <v>2072</v>
      </c>
      <c r="T1609" s="1" t="s">
        <v>3165</v>
      </c>
      <c r="U1609" s="4">
        <v>4900000</v>
      </c>
      <c r="V1609" s="4">
        <v>5824</v>
      </c>
      <c r="W1609" s="4">
        <v>59</v>
      </c>
      <c r="X1609" s="4">
        <v>758</v>
      </c>
      <c r="Y1609" s="4">
        <v>0</v>
      </c>
      <c r="Z1609" s="5">
        <v>6641</v>
      </c>
      <c r="AA1609" s="5">
        <v>0</v>
      </c>
      <c r="AB1609" s="6">
        <v>0</v>
      </c>
      <c r="AC1609" s="4">
        <v>6641</v>
      </c>
      <c r="AD1609" s="4">
        <v>0</v>
      </c>
      <c r="AE1609" s="4">
        <v>6641</v>
      </c>
      <c r="AF1609" s="1"/>
      <c r="AG1609" s="1"/>
      <c r="AH1609" s="1"/>
      <c r="AI1609" s="1" t="s">
        <v>2327</v>
      </c>
      <c r="AJ1609" s="6">
        <v>1660.6100000000013</v>
      </c>
      <c r="AK1609" s="6">
        <v>989.67</v>
      </c>
      <c r="AL1609" s="1"/>
    </row>
    <row r="1610" spans="1:38" hidden="1" x14ac:dyDescent="0.25">
      <c r="A1610" s="2">
        <v>2224</v>
      </c>
      <c r="B1610" s="1" t="s">
        <v>1872</v>
      </c>
      <c r="C1610" s="1" t="s">
        <v>1874</v>
      </c>
      <c r="D1610" s="1" t="s">
        <v>2062</v>
      </c>
      <c r="E1610" s="1" t="s">
        <v>2063</v>
      </c>
      <c r="F1610" s="3">
        <v>45596</v>
      </c>
      <c r="G1610" s="3">
        <v>45443</v>
      </c>
      <c r="H1610" s="3">
        <v>45807</v>
      </c>
      <c r="I1610" s="1" t="s">
        <v>3870</v>
      </c>
      <c r="J1610" s="1" t="s">
        <v>3871</v>
      </c>
      <c r="K1610" s="1"/>
      <c r="L1610" s="1" t="s">
        <v>3872</v>
      </c>
      <c r="M1610" s="1" t="s">
        <v>3873</v>
      </c>
      <c r="N1610" s="1" t="s">
        <v>3874</v>
      </c>
      <c r="O1610" s="1" t="s">
        <v>3875</v>
      </c>
      <c r="P1610" s="1" t="s">
        <v>2095</v>
      </c>
      <c r="Q1610" s="1"/>
      <c r="R1610" s="1"/>
      <c r="S1610" s="1" t="s">
        <v>2072</v>
      </c>
      <c r="T1610" s="1" t="s">
        <v>3165</v>
      </c>
      <c r="U1610" s="4">
        <v>-1</v>
      </c>
      <c r="V1610" s="4">
        <v>-5825</v>
      </c>
      <c r="W1610" s="4">
        <v>-59</v>
      </c>
      <c r="X1610" s="4">
        <v>-757</v>
      </c>
      <c r="Y1610" s="4">
        <v>0</v>
      </c>
      <c r="Z1610" s="5">
        <v>-6641</v>
      </c>
      <c r="AA1610" s="5">
        <v>0</v>
      </c>
      <c r="AB1610" s="6">
        <v>0</v>
      </c>
      <c r="AC1610" s="4">
        <v>-6641</v>
      </c>
      <c r="AD1610" s="4">
        <v>0</v>
      </c>
      <c r="AE1610" s="4">
        <v>-6641</v>
      </c>
      <c r="AF1610" s="1"/>
      <c r="AG1610" s="1"/>
      <c r="AH1610" s="1"/>
      <c r="AI1610" s="1" t="s">
        <v>2327</v>
      </c>
      <c r="AJ1610" s="1"/>
      <c r="AK1610" s="1"/>
      <c r="AL1610" s="1"/>
    </row>
    <row r="1611" spans="1:38" hidden="1" x14ac:dyDescent="0.25">
      <c r="A1611" s="2">
        <v>2229</v>
      </c>
      <c r="B1611" s="1" t="s">
        <v>1875</v>
      </c>
      <c r="C1611" s="1" t="s">
        <v>1876</v>
      </c>
      <c r="D1611" s="1" t="s">
        <v>2062</v>
      </c>
      <c r="E1611" s="1" t="s">
        <v>2063</v>
      </c>
      <c r="F1611" s="3">
        <v>45475</v>
      </c>
      <c r="G1611" s="3">
        <v>45444</v>
      </c>
      <c r="H1611" s="3">
        <v>45808</v>
      </c>
      <c r="I1611" s="1" t="s">
        <v>3876</v>
      </c>
      <c r="J1611" s="1" t="s">
        <v>3877</v>
      </c>
      <c r="K1611" s="1"/>
      <c r="L1611" s="1" t="s">
        <v>2131</v>
      </c>
      <c r="M1611" s="1" t="s">
        <v>3878</v>
      </c>
      <c r="N1611" s="1" t="s">
        <v>3879</v>
      </c>
      <c r="O1611" s="1" t="s">
        <v>3880</v>
      </c>
      <c r="P1611" s="1" t="s">
        <v>3409</v>
      </c>
      <c r="Q1611" s="1"/>
      <c r="R1611" s="1"/>
      <c r="S1611" s="1" t="s">
        <v>2072</v>
      </c>
      <c r="T1611" s="1" t="s">
        <v>3165</v>
      </c>
      <c r="U1611" s="4">
        <v>2885000</v>
      </c>
      <c r="V1611" s="4">
        <v>149</v>
      </c>
      <c r="W1611" s="4">
        <v>2</v>
      </c>
      <c r="X1611" s="4">
        <v>23</v>
      </c>
      <c r="Y1611" s="4">
        <v>0</v>
      </c>
      <c r="Z1611" s="5">
        <v>174</v>
      </c>
      <c r="AA1611" s="5">
        <v>0</v>
      </c>
      <c r="AB1611" s="6">
        <v>0</v>
      </c>
      <c r="AC1611" s="4">
        <v>174</v>
      </c>
      <c r="AD1611" s="4">
        <v>0</v>
      </c>
      <c r="AE1611" s="4">
        <v>174</v>
      </c>
      <c r="AF1611" s="1"/>
      <c r="AG1611" s="1"/>
      <c r="AH1611" s="1"/>
      <c r="AI1611" s="1" t="s">
        <v>2327</v>
      </c>
      <c r="AJ1611" s="6">
        <v>43.97</v>
      </c>
      <c r="AK1611" s="6">
        <v>43.97</v>
      </c>
      <c r="AL1611" s="1"/>
    </row>
    <row r="1612" spans="1:38" hidden="1" x14ac:dyDescent="0.25">
      <c r="A1612" s="2">
        <v>2230</v>
      </c>
      <c r="B1612" s="1" t="s">
        <v>1875</v>
      </c>
      <c r="C1612" s="1" t="s">
        <v>1877</v>
      </c>
      <c r="D1612" s="1" t="s">
        <v>2062</v>
      </c>
      <c r="E1612" s="1" t="s">
        <v>2063</v>
      </c>
      <c r="F1612" s="3">
        <v>45506</v>
      </c>
      <c r="G1612" s="3">
        <v>45444</v>
      </c>
      <c r="H1612" s="3">
        <v>45808</v>
      </c>
      <c r="I1612" s="1" t="s">
        <v>3876</v>
      </c>
      <c r="J1612" s="1" t="s">
        <v>3877</v>
      </c>
      <c r="K1612" s="1"/>
      <c r="L1612" s="1" t="s">
        <v>2131</v>
      </c>
      <c r="M1612" s="1" t="s">
        <v>3878</v>
      </c>
      <c r="N1612" s="1" t="s">
        <v>3879</v>
      </c>
      <c r="O1612" s="1" t="s">
        <v>3880</v>
      </c>
      <c r="P1612" s="1" t="s">
        <v>3409</v>
      </c>
      <c r="Q1612" s="1"/>
      <c r="R1612" s="1"/>
      <c r="S1612" s="1" t="s">
        <v>2072</v>
      </c>
      <c r="T1612" s="1" t="s">
        <v>3165</v>
      </c>
      <c r="U1612" s="4">
        <v>2885000</v>
      </c>
      <c r="V1612" s="4">
        <v>607</v>
      </c>
      <c r="W1612" s="4">
        <v>6</v>
      </c>
      <c r="X1612" s="4">
        <v>91</v>
      </c>
      <c r="Y1612" s="4">
        <v>0</v>
      </c>
      <c r="Z1612" s="5">
        <v>704</v>
      </c>
      <c r="AA1612" s="5">
        <v>0</v>
      </c>
      <c r="AB1612" s="6">
        <v>0</v>
      </c>
      <c r="AC1612" s="4">
        <v>704</v>
      </c>
      <c r="AD1612" s="4">
        <v>0</v>
      </c>
      <c r="AE1612" s="4">
        <v>704</v>
      </c>
      <c r="AF1612" s="1"/>
      <c r="AG1612" s="1"/>
      <c r="AH1612" s="1"/>
      <c r="AI1612" s="1" t="s">
        <v>2327</v>
      </c>
      <c r="AJ1612" s="6">
        <v>210.38000000000002</v>
      </c>
      <c r="AK1612" s="6">
        <v>178.01</v>
      </c>
      <c r="AL1612" s="1"/>
    </row>
    <row r="1613" spans="1:38" hidden="1" x14ac:dyDescent="0.25">
      <c r="A1613" s="2">
        <v>2231</v>
      </c>
      <c r="B1613" s="1" t="s">
        <v>1875</v>
      </c>
      <c r="C1613" s="1" t="s">
        <v>1878</v>
      </c>
      <c r="D1613" s="1" t="s">
        <v>2062</v>
      </c>
      <c r="E1613" s="1" t="s">
        <v>2063</v>
      </c>
      <c r="F1613" s="3">
        <v>45539</v>
      </c>
      <c r="G1613" s="3">
        <v>45444</v>
      </c>
      <c r="H1613" s="3">
        <v>45808</v>
      </c>
      <c r="I1613" s="1" t="s">
        <v>3876</v>
      </c>
      <c r="J1613" s="1" t="s">
        <v>3877</v>
      </c>
      <c r="K1613" s="1"/>
      <c r="L1613" s="1" t="s">
        <v>2131</v>
      </c>
      <c r="M1613" s="1" t="s">
        <v>3878</v>
      </c>
      <c r="N1613" s="1" t="s">
        <v>3879</v>
      </c>
      <c r="O1613" s="1" t="s">
        <v>3880</v>
      </c>
      <c r="P1613" s="1" t="s">
        <v>3409</v>
      </c>
      <c r="Q1613" s="1"/>
      <c r="R1613" s="1"/>
      <c r="S1613" s="1" t="s">
        <v>2072</v>
      </c>
      <c r="T1613" s="1" t="s">
        <v>3165</v>
      </c>
      <c r="U1613" s="4">
        <v>2885000</v>
      </c>
      <c r="V1613" s="4">
        <v>736</v>
      </c>
      <c r="W1613" s="4">
        <v>7</v>
      </c>
      <c r="X1613" s="4">
        <v>110</v>
      </c>
      <c r="Y1613" s="4">
        <v>0</v>
      </c>
      <c r="Z1613" s="5">
        <v>853</v>
      </c>
      <c r="AA1613" s="5">
        <v>0</v>
      </c>
      <c r="AB1613" s="6">
        <v>0</v>
      </c>
      <c r="AC1613" s="4">
        <v>853</v>
      </c>
      <c r="AD1613" s="4">
        <v>0</v>
      </c>
      <c r="AE1613" s="4">
        <v>853</v>
      </c>
      <c r="AF1613" s="1"/>
      <c r="AG1613" s="1"/>
      <c r="AH1613" s="1"/>
      <c r="AI1613" s="1" t="s">
        <v>2327</v>
      </c>
      <c r="AJ1613" s="6">
        <v>239.26000000000005</v>
      </c>
      <c r="AK1613" s="6">
        <v>215.8</v>
      </c>
      <c r="AL1613" s="1"/>
    </row>
    <row r="1614" spans="1:38" hidden="1" x14ac:dyDescent="0.25">
      <c r="A1614" s="2">
        <v>2232</v>
      </c>
      <c r="B1614" s="1" t="s">
        <v>1875</v>
      </c>
      <c r="C1614" s="1" t="s">
        <v>1879</v>
      </c>
      <c r="D1614" s="1" t="s">
        <v>2062</v>
      </c>
      <c r="E1614" s="1" t="s">
        <v>2063</v>
      </c>
      <c r="F1614" s="3">
        <v>45570</v>
      </c>
      <c r="G1614" s="3">
        <v>45444</v>
      </c>
      <c r="H1614" s="3">
        <v>45808</v>
      </c>
      <c r="I1614" s="1" t="s">
        <v>3876</v>
      </c>
      <c r="J1614" s="1" t="s">
        <v>3877</v>
      </c>
      <c r="K1614" s="1"/>
      <c r="L1614" s="1" t="s">
        <v>2131</v>
      </c>
      <c r="M1614" s="1" t="s">
        <v>3878</v>
      </c>
      <c r="N1614" s="1" t="s">
        <v>3879</v>
      </c>
      <c r="O1614" s="1" t="s">
        <v>3880</v>
      </c>
      <c r="P1614" s="1" t="s">
        <v>3409</v>
      </c>
      <c r="Q1614" s="1"/>
      <c r="R1614" s="1"/>
      <c r="S1614" s="1" t="s">
        <v>2072</v>
      </c>
      <c r="T1614" s="1" t="s">
        <v>3165</v>
      </c>
      <c r="U1614" s="4">
        <v>2885000</v>
      </c>
      <c r="V1614" s="4">
        <v>1124</v>
      </c>
      <c r="W1614" s="4">
        <v>11</v>
      </c>
      <c r="X1614" s="4">
        <v>169</v>
      </c>
      <c r="Y1614" s="4">
        <v>0</v>
      </c>
      <c r="Z1614" s="5">
        <v>1304</v>
      </c>
      <c r="AA1614" s="5">
        <v>0</v>
      </c>
      <c r="AB1614" s="6">
        <v>0</v>
      </c>
      <c r="AC1614" s="4">
        <v>1304</v>
      </c>
      <c r="AD1614" s="4">
        <v>0</v>
      </c>
      <c r="AE1614" s="4">
        <v>1304</v>
      </c>
      <c r="AF1614" s="1"/>
      <c r="AG1614" s="1"/>
      <c r="AH1614" s="1"/>
      <c r="AI1614" s="1" t="s">
        <v>2327</v>
      </c>
      <c r="AJ1614" s="6">
        <v>350.1</v>
      </c>
      <c r="AK1614" s="6">
        <v>330.03</v>
      </c>
      <c r="AL1614" s="1"/>
    </row>
    <row r="1615" spans="1:38" hidden="1" x14ac:dyDescent="0.25">
      <c r="A1615" s="2">
        <v>2233</v>
      </c>
      <c r="B1615" s="1" t="s">
        <v>1875</v>
      </c>
      <c r="C1615" s="1" t="s">
        <v>1880</v>
      </c>
      <c r="D1615" s="1" t="s">
        <v>2062</v>
      </c>
      <c r="E1615" s="1" t="s">
        <v>2063</v>
      </c>
      <c r="F1615" s="3">
        <v>45600</v>
      </c>
      <c r="G1615" s="3">
        <v>45444</v>
      </c>
      <c r="H1615" s="3">
        <v>45808</v>
      </c>
      <c r="I1615" s="1" t="s">
        <v>3876</v>
      </c>
      <c r="J1615" s="1" t="s">
        <v>3877</v>
      </c>
      <c r="K1615" s="1"/>
      <c r="L1615" s="1" t="s">
        <v>2131</v>
      </c>
      <c r="M1615" s="1" t="s">
        <v>3878</v>
      </c>
      <c r="N1615" s="1" t="s">
        <v>3879</v>
      </c>
      <c r="O1615" s="1" t="s">
        <v>3880</v>
      </c>
      <c r="P1615" s="1" t="s">
        <v>3409</v>
      </c>
      <c r="Q1615" s="1"/>
      <c r="R1615" s="1"/>
      <c r="S1615" s="1" t="s">
        <v>2072</v>
      </c>
      <c r="T1615" s="1" t="s">
        <v>3165</v>
      </c>
      <c r="U1615" s="4">
        <v>2885000</v>
      </c>
      <c r="V1615" s="4">
        <v>794</v>
      </c>
      <c r="W1615" s="4">
        <v>8</v>
      </c>
      <c r="X1615" s="4">
        <v>119</v>
      </c>
      <c r="Y1615" s="4">
        <v>0</v>
      </c>
      <c r="Z1615" s="5">
        <v>921</v>
      </c>
      <c r="AA1615" s="5">
        <v>0</v>
      </c>
      <c r="AB1615" s="6">
        <v>0</v>
      </c>
      <c r="AC1615" s="4">
        <v>921</v>
      </c>
      <c r="AD1615" s="4">
        <v>0</v>
      </c>
      <c r="AE1615" s="4">
        <v>921</v>
      </c>
      <c r="AF1615" s="1"/>
      <c r="AG1615" s="1"/>
      <c r="AH1615" s="1"/>
      <c r="AI1615" s="1" t="s">
        <v>2327</v>
      </c>
      <c r="AJ1615" s="6">
        <v>238.98</v>
      </c>
      <c r="AK1615" s="6">
        <v>232.81</v>
      </c>
      <c r="AL1615" s="1"/>
    </row>
    <row r="1616" spans="1:38" hidden="1" x14ac:dyDescent="0.25">
      <c r="A1616" s="2">
        <v>2234</v>
      </c>
      <c r="B1616" s="1" t="s">
        <v>1875</v>
      </c>
      <c r="C1616" s="1" t="s">
        <v>1881</v>
      </c>
      <c r="D1616" s="1" t="s">
        <v>2062</v>
      </c>
      <c r="E1616" s="1" t="s">
        <v>2063</v>
      </c>
      <c r="F1616" s="3">
        <v>45596</v>
      </c>
      <c r="G1616" s="3">
        <v>45444</v>
      </c>
      <c r="H1616" s="3">
        <v>45808</v>
      </c>
      <c r="I1616" s="1" t="s">
        <v>3876</v>
      </c>
      <c r="J1616" s="1" t="s">
        <v>3877</v>
      </c>
      <c r="K1616" s="1"/>
      <c r="L1616" s="1" t="s">
        <v>2131</v>
      </c>
      <c r="M1616" s="1" t="s">
        <v>3878</v>
      </c>
      <c r="N1616" s="1" t="s">
        <v>3879</v>
      </c>
      <c r="O1616" s="1" t="s">
        <v>3880</v>
      </c>
      <c r="P1616" s="1" t="s">
        <v>3409</v>
      </c>
      <c r="Q1616" s="1"/>
      <c r="R1616" s="1"/>
      <c r="S1616" s="1" t="s">
        <v>2072</v>
      </c>
      <c r="T1616" s="1" t="s">
        <v>3165</v>
      </c>
      <c r="U1616" s="4">
        <v>-1</v>
      </c>
      <c r="V1616" s="4">
        <v>-3470</v>
      </c>
      <c r="W1616" s="4">
        <v>-35</v>
      </c>
      <c r="X1616" s="4">
        <v>-451</v>
      </c>
      <c r="Y1616" s="4">
        <v>0</v>
      </c>
      <c r="Z1616" s="5">
        <v>-3956</v>
      </c>
      <c r="AA1616" s="5">
        <v>0</v>
      </c>
      <c r="AB1616" s="6">
        <v>0</v>
      </c>
      <c r="AC1616" s="4">
        <v>-3956</v>
      </c>
      <c r="AD1616" s="4">
        <v>0</v>
      </c>
      <c r="AE1616" s="4">
        <v>-3956</v>
      </c>
      <c r="AF1616" s="1"/>
      <c r="AG1616" s="1"/>
      <c r="AH1616" s="1"/>
      <c r="AI1616" s="1" t="s">
        <v>2327</v>
      </c>
      <c r="AJ1616" s="1"/>
      <c r="AK1616" s="1"/>
      <c r="AL1616" s="1"/>
    </row>
    <row r="1617" spans="1:38" hidden="1" x14ac:dyDescent="0.25">
      <c r="A1617" s="2">
        <v>2238</v>
      </c>
      <c r="B1617" s="1" t="s">
        <v>1882</v>
      </c>
      <c r="C1617" s="1" t="s">
        <v>1883</v>
      </c>
      <c r="D1617" s="1" t="s">
        <v>2062</v>
      </c>
      <c r="E1617" s="1" t="s">
        <v>2063</v>
      </c>
      <c r="F1617" s="3">
        <v>45570</v>
      </c>
      <c r="G1617" s="3">
        <v>45444</v>
      </c>
      <c r="H1617" s="3">
        <v>45808</v>
      </c>
      <c r="I1617" s="1" t="s">
        <v>2176</v>
      </c>
      <c r="J1617" s="1" t="s">
        <v>3881</v>
      </c>
      <c r="K1617" s="1"/>
      <c r="L1617" s="1" t="s">
        <v>2131</v>
      </c>
      <c r="M1617" s="1" t="s">
        <v>3882</v>
      </c>
      <c r="N1617" s="1" t="s">
        <v>3883</v>
      </c>
      <c r="O1617" s="1" t="s">
        <v>3884</v>
      </c>
      <c r="P1617" s="1" t="s">
        <v>3409</v>
      </c>
      <c r="Q1617" s="1"/>
      <c r="R1617" s="1"/>
      <c r="S1617" s="1" t="s">
        <v>2072</v>
      </c>
      <c r="T1617" s="1" t="s">
        <v>3165</v>
      </c>
      <c r="U1617" s="4">
        <v>3200000</v>
      </c>
      <c r="V1617" s="4">
        <v>1941</v>
      </c>
      <c r="W1617" s="4">
        <v>19</v>
      </c>
      <c r="X1617" s="4">
        <v>291</v>
      </c>
      <c r="Y1617" s="4">
        <v>0</v>
      </c>
      <c r="Z1617" s="5">
        <v>2251</v>
      </c>
      <c r="AA1617" s="5">
        <v>0</v>
      </c>
      <c r="AB1617" s="6">
        <v>0</v>
      </c>
      <c r="AC1617" s="4">
        <v>2251</v>
      </c>
      <c r="AD1617" s="4">
        <v>0</v>
      </c>
      <c r="AE1617" s="4">
        <v>2251</v>
      </c>
      <c r="AF1617" s="1"/>
      <c r="AG1617" s="1"/>
      <c r="AH1617" s="1"/>
      <c r="AI1617" s="1" t="s">
        <v>2327</v>
      </c>
      <c r="AJ1617" s="6">
        <v>561.530000000001</v>
      </c>
      <c r="AK1617" s="6">
        <v>513.83000000000004</v>
      </c>
      <c r="AL1617" s="1"/>
    </row>
    <row r="1618" spans="1:38" hidden="1" x14ac:dyDescent="0.25">
      <c r="A1618" s="2">
        <v>2239</v>
      </c>
      <c r="B1618" s="1" t="s">
        <v>1882</v>
      </c>
      <c r="C1618" s="1" t="s">
        <v>1884</v>
      </c>
      <c r="D1618" s="1" t="s">
        <v>2062</v>
      </c>
      <c r="E1618" s="1" t="s">
        <v>2063</v>
      </c>
      <c r="F1618" s="3">
        <v>45600</v>
      </c>
      <c r="G1618" s="3">
        <v>45444</v>
      </c>
      <c r="H1618" s="3">
        <v>45808</v>
      </c>
      <c r="I1618" s="1" t="s">
        <v>2176</v>
      </c>
      <c r="J1618" s="1" t="s">
        <v>3881</v>
      </c>
      <c r="K1618" s="1"/>
      <c r="L1618" s="1" t="s">
        <v>2131</v>
      </c>
      <c r="M1618" s="1" t="s">
        <v>3882</v>
      </c>
      <c r="N1618" s="1" t="s">
        <v>3883</v>
      </c>
      <c r="O1618" s="1" t="s">
        <v>3884</v>
      </c>
      <c r="P1618" s="1" t="s">
        <v>3409</v>
      </c>
      <c r="Q1618" s="1"/>
      <c r="R1618" s="1"/>
      <c r="S1618" s="1" t="s">
        <v>2072</v>
      </c>
      <c r="T1618" s="1" t="s">
        <v>3165</v>
      </c>
      <c r="U1618" s="4">
        <v>3200000</v>
      </c>
      <c r="V1618" s="4">
        <v>1509</v>
      </c>
      <c r="W1618" s="4">
        <v>15</v>
      </c>
      <c r="X1618" s="4">
        <v>226</v>
      </c>
      <c r="Y1618" s="4">
        <v>0</v>
      </c>
      <c r="Z1618" s="5">
        <v>1750</v>
      </c>
      <c r="AA1618" s="5">
        <v>0</v>
      </c>
      <c r="AB1618" s="6">
        <v>0</v>
      </c>
      <c r="AC1618" s="4">
        <v>1750</v>
      </c>
      <c r="AD1618" s="4">
        <v>0</v>
      </c>
      <c r="AE1618" s="4">
        <v>1750</v>
      </c>
      <c r="AF1618" s="1"/>
      <c r="AG1618" s="1"/>
      <c r="AH1618" s="1"/>
      <c r="AI1618" s="1" t="s">
        <v>2327</v>
      </c>
      <c r="AJ1618" s="6">
        <v>483.79000000000104</v>
      </c>
      <c r="AK1618" s="6">
        <v>399.32</v>
      </c>
      <c r="AL1618" s="1"/>
    </row>
    <row r="1619" spans="1:38" hidden="1" x14ac:dyDescent="0.25">
      <c r="A1619" s="2">
        <v>2240</v>
      </c>
      <c r="B1619" s="1" t="s">
        <v>1882</v>
      </c>
      <c r="C1619" s="1" t="s">
        <v>1885</v>
      </c>
      <c r="D1619" s="1" t="s">
        <v>2062</v>
      </c>
      <c r="E1619" s="1" t="s">
        <v>2063</v>
      </c>
      <c r="F1619" s="3">
        <v>45630</v>
      </c>
      <c r="G1619" s="3">
        <v>45444</v>
      </c>
      <c r="H1619" s="3">
        <v>45808</v>
      </c>
      <c r="I1619" s="1" t="s">
        <v>2176</v>
      </c>
      <c r="J1619" s="1" t="s">
        <v>3881</v>
      </c>
      <c r="K1619" s="1"/>
      <c r="L1619" s="1" t="s">
        <v>2131</v>
      </c>
      <c r="M1619" s="1" t="s">
        <v>3882</v>
      </c>
      <c r="N1619" s="1" t="s">
        <v>3883</v>
      </c>
      <c r="O1619" s="1" t="s">
        <v>3884</v>
      </c>
      <c r="P1619" s="1" t="s">
        <v>3409</v>
      </c>
      <c r="Q1619" s="1"/>
      <c r="R1619" s="1"/>
      <c r="S1619" s="1" t="s">
        <v>2072</v>
      </c>
      <c r="T1619" s="1" t="s">
        <v>3165</v>
      </c>
      <c r="U1619" s="4">
        <v>3200000</v>
      </c>
      <c r="V1619" s="4">
        <v>2570</v>
      </c>
      <c r="W1619" s="4">
        <v>26</v>
      </c>
      <c r="X1619" s="4">
        <v>386</v>
      </c>
      <c r="Y1619" s="4">
        <v>0</v>
      </c>
      <c r="Z1619" s="5">
        <v>2982</v>
      </c>
      <c r="AA1619" s="5">
        <v>0</v>
      </c>
      <c r="AB1619" s="6">
        <v>0</v>
      </c>
      <c r="AC1619" s="4">
        <v>2982</v>
      </c>
      <c r="AD1619" s="4">
        <v>0</v>
      </c>
      <c r="AE1619" s="4">
        <v>2982</v>
      </c>
      <c r="AF1619" s="1"/>
      <c r="AG1619" s="1"/>
      <c r="AH1619" s="1"/>
      <c r="AI1619" s="1" t="s">
        <v>2327</v>
      </c>
      <c r="AJ1619" s="6">
        <v>937.97999999999809</v>
      </c>
      <c r="AK1619" s="6">
        <v>680.57</v>
      </c>
      <c r="AL1619" s="1"/>
    </row>
    <row r="1620" spans="1:38" hidden="1" x14ac:dyDescent="0.25">
      <c r="A1620" s="2">
        <v>2241</v>
      </c>
      <c r="B1620" s="1" t="s">
        <v>1882</v>
      </c>
      <c r="C1620" s="1" t="s">
        <v>1886</v>
      </c>
      <c r="D1620" s="1" t="s">
        <v>2062</v>
      </c>
      <c r="E1620" s="1" t="s">
        <v>2063</v>
      </c>
      <c r="F1620" s="3">
        <v>45658</v>
      </c>
      <c r="G1620" s="3">
        <v>45444</v>
      </c>
      <c r="H1620" s="3">
        <v>45808</v>
      </c>
      <c r="I1620" s="1" t="s">
        <v>2176</v>
      </c>
      <c r="J1620" s="1" t="s">
        <v>3881</v>
      </c>
      <c r="K1620" s="1"/>
      <c r="L1620" s="1" t="s">
        <v>2131</v>
      </c>
      <c r="M1620" s="1" t="s">
        <v>3882</v>
      </c>
      <c r="N1620" s="1" t="s">
        <v>3883</v>
      </c>
      <c r="O1620" s="1" t="s">
        <v>3884</v>
      </c>
      <c r="P1620" s="1" t="s">
        <v>3409</v>
      </c>
      <c r="Q1620" s="1"/>
      <c r="R1620" s="1"/>
      <c r="S1620" s="1" t="s">
        <v>2072</v>
      </c>
      <c r="T1620" s="1" t="s">
        <v>3165</v>
      </c>
      <c r="U1620" s="4">
        <v>3200000</v>
      </c>
      <c r="V1620" s="4">
        <v>3305</v>
      </c>
      <c r="W1620" s="4">
        <v>33</v>
      </c>
      <c r="X1620" s="4">
        <v>496</v>
      </c>
      <c r="Y1620" s="4">
        <v>0</v>
      </c>
      <c r="Z1620" s="5">
        <v>3834</v>
      </c>
      <c r="AA1620" s="5">
        <v>0</v>
      </c>
      <c r="AB1620" s="6">
        <v>0</v>
      </c>
      <c r="AC1620" s="4">
        <v>3834</v>
      </c>
      <c r="AD1620" s="4">
        <v>0</v>
      </c>
      <c r="AE1620" s="4">
        <v>3834</v>
      </c>
      <c r="AF1620" s="1"/>
      <c r="AG1620" s="1"/>
      <c r="AH1620" s="1"/>
      <c r="AI1620" s="1" t="s">
        <v>2327</v>
      </c>
      <c r="AJ1620" s="6">
        <v>1312.3899999999971</v>
      </c>
      <c r="AK1620" s="6">
        <v>875.61</v>
      </c>
      <c r="AL1620" s="1"/>
    </row>
    <row r="1621" spans="1:38" hidden="1" x14ac:dyDescent="0.25">
      <c r="A1621" s="2">
        <v>2242</v>
      </c>
      <c r="B1621" s="1" t="s">
        <v>1882</v>
      </c>
      <c r="C1621" s="1" t="s">
        <v>1887</v>
      </c>
      <c r="D1621" s="1" t="s">
        <v>2062</v>
      </c>
      <c r="E1621" s="1" t="s">
        <v>2063</v>
      </c>
      <c r="F1621" s="3">
        <v>45691</v>
      </c>
      <c r="G1621" s="3">
        <v>45444</v>
      </c>
      <c r="H1621" s="3">
        <v>45808</v>
      </c>
      <c r="I1621" s="1" t="s">
        <v>2176</v>
      </c>
      <c r="J1621" s="1" t="s">
        <v>3881</v>
      </c>
      <c r="K1621" s="1"/>
      <c r="L1621" s="1" t="s">
        <v>2131</v>
      </c>
      <c r="M1621" s="1" t="s">
        <v>3882</v>
      </c>
      <c r="N1621" s="1" t="s">
        <v>3883</v>
      </c>
      <c r="O1621" s="1" t="s">
        <v>3884</v>
      </c>
      <c r="P1621" s="1" t="s">
        <v>3409</v>
      </c>
      <c r="Q1621" s="1"/>
      <c r="R1621" s="1"/>
      <c r="S1621" s="1" t="s">
        <v>2072</v>
      </c>
      <c r="T1621" s="1" t="s">
        <v>3165</v>
      </c>
      <c r="U1621" s="4">
        <v>3200000</v>
      </c>
      <c r="V1621" s="4">
        <v>4245</v>
      </c>
      <c r="W1621" s="4">
        <v>42</v>
      </c>
      <c r="X1621" s="4">
        <v>637</v>
      </c>
      <c r="Y1621" s="4">
        <v>0</v>
      </c>
      <c r="Z1621" s="5">
        <v>4924</v>
      </c>
      <c r="AA1621" s="5">
        <v>0</v>
      </c>
      <c r="AB1621" s="6">
        <v>0</v>
      </c>
      <c r="AC1621" s="4">
        <v>4924</v>
      </c>
      <c r="AD1621" s="4">
        <v>0</v>
      </c>
      <c r="AE1621" s="4">
        <v>4924</v>
      </c>
      <c r="AF1621" s="1"/>
      <c r="AG1621" s="1"/>
      <c r="AH1621" s="1"/>
      <c r="AI1621" s="1" t="s">
        <v>2327</v>
      </c>
      <c r="AJ1621" s="6">
        <v>1969.469999999998</v>
      </c>
      <c r="AK1621" s="6">
        <v>1124.27</v>
      </c>
      <c r="AL1621" s="1"/>
    </row>
    <row r="1622" spans="1:38" hidden="1" x14ac:dyDescent="0.25">
      <c r="A1622" s="2">
        <v>2243</v>
      </c>
      <c r="B1622" s="1" t="s">
        <v>1882</v>
      </c>
      <c r="C1622" s="1" t="s">
        <v>1888</v>
      </c>
      <c r="D1622" s="1" t="s">
        <v>2062</v>
      </c>
      <c r="E1622" s="1" t="s">
        <v>2063</v>
      </c>
      <c r="F1622" s="3">
        <v>45719</v>
      </c>
      <c r="G1622" s="3">
        <v>45444</v>
      </c>
      <c r="H1622" s="3">
        <v>45808</v>
      </c>
      <c r="I1622" s="1" t="s">
        <v>2176</v>
      </c>
      <c r="J1622" s="1" t="s">
        <v>3881</v>
      </c>
      <c r="K1622" s="1"/>
      <c r="L1622" s="1" t="s">
        <v>2131</v>
      </c>
      <c r="M1622" s="1" t="s">
        <v>3882</v>
      </c>
      <c r="N1622" s="1" t="s">
        <v>3883</v>
      </c>
      <c r="O1622" s="1" t="s">
        <v>3884</v>
      </c>
      <c r="P1622" s="1" t="s">
        <v>3409</v>
      </c>
      <c r="Q1622" s="1"/>
      <c r="R1622" s="1"/>
      <c r="S1622" s="1" t="s">
        <v>2072</v>
      </c>
      <c r="T1622" s="1" t="s">
        <v>3165</v>
      </c>
      <c r="U1622" s="4">
        <v>3200000</v>
      </c>
      <c r="V1622" s="4">
        <v>2783</v>
      </c>
      <c r="W1622" s="4">
        <v>28</v>
      </c>
      <c r="X1622" s="4">
        <v>418</v>
      </c>
      <c r="Y1622" s="4">
        <v>0</v>
      </c>
      <c r="Z1622" s="5">
        <v>3229</v>
      </c>
      <c r="AA1622" s="5">
        <v>0</v>
      </c>
      <c r="AB1622" s="6">
        <v>0</v>
      </c>
      <c r="AC1622" s="4">
        <v>3229</v>
      </c>
      <c r="AD1622" s="4">
        <v>0</v>
      </c>
      <c r="AE1622" s="4">
        <v>3229</v>
      </c>
      <c r="AF1622" s="1"/>
      <c r="AG1622" s="1"/>
      <c r="AH1622" s="1"/>
      <c r="AI1622" s="1" t="s">
        <v>2327</v>
      </c>
      <c r="AJ1622" s="6">
        <v>981.64999999999895</v>
      </c>
      <c r="AK1622" s="6">
        <v>737.61</v>
      </c>
      <c r="AL1622" s="1"/>
    </row>
    <row r="1623" spans="1:38" hidden="1" x14ac:dyDescent="0.25">
      <c r="A1623" s="2">
        <v>2244</v>
      </c>
      <c r="B1623" s="1" t="s">
        <v>1882</v>
      </c>
      <c r="C1623" s="1" t="s">
        <v>1889</v>
      </c>
      <c r="D1623" s="1" t="s">
        <v>2062</v>
      </c>
      <c r="E1623" s="1" t="s">
        <v>2063</v>
      </c>
      <c r="F1623" s="3">
        <v>45745</v>
      </c>
      <c r="G1623" s="3">
        <v>45444</v>
      </c>
      <c r="H1623" s="3">
        <v>45808</v>
      </c>
      <c r="I1623" s="1" t="s">
        <v>2176</v>
      </c>
      <c r="J1623" s="1" t="s">
        <v>3881</v>
      </c>
      <c r="K1623" s="1"/>
      <c r="L1623" s="1" t="s">
        <v>2131</v>
      </c>
      <c r="M1623" s="1" t="s">
        <v>3882</v>
      </c>
      <c r="N1623" s="1" t="s">
        <v>3883</v>
      </c>
      <c r="O1623" s="1" t="s">
        <v>3884</v>
      </c>
      <c r="P1623" s="1" t="s">
        <v>3409</v>
      </c>
      <c r="Q1623" s="1"/>
      <c r="R1623" s="1"/>
      <c r="S1623" s="1" t="s">
        <v>2072</v>
      </c>
      <c r="T1623" s="1" t="s">
        <v>3165</v>
      </c>
      <c r="U1623" s="4">
        <v>-1</v>
      </c>
      <c r="V1623" s="4">
        <v>-18804</v>
      </c>
      <c r="W1623" s="4">
        <v>-166</v>
      </c>
      <c r="X1623" s="4">
        <v>0</v>
      </c>
      <c r="Y1623" s="4">
        <v>0</v>
      </c>
      <c r="Z1623" s="5">
        <v>-18970</v>
      </c>
      <c r="AA1623" s="5">
        <v>0</v>
      </c>
      <c r="AB1623" s="6">
        <v>0</v>
      </c>
      <c r="AC1623" s="4">
        <v>-18970</v>
      </c>
      <c r="AD1623" s="4">
        <v>0</v>
      </c>
      <c r="AE1623" s="4">
        <v>-18970</v>
      </c>
      <c r="AF1623" s="1"/>
      <c r="AG1623" s="1"/>
      <c r="AH1623" s="1"/>
      <c r="AI1623" s="1" t="s">
        <v>2327</v>
      </c>
      <c r="AJ1623" s="1"/>
      <c r="AK1623" s="1"/>
      <c r="AL1623" s="1"/>
    </row>
    <row r="1624" spans="1:38" x14ac:dyDescent="0.25">
      <c r="A1624" s="2">
        <v>2246</v>
      </c>
      <c r="B1624" s="1" t="s">
        <v>1890</v>
      </c>
      <c r="C1624" s="1"/>
      <c r="D1624" s="1" t="s">
        <v>2062</v>
      </c>
      <c r="E1624" s="1" t="s">
        <v>2063</v>
      </c>
      <c r="F1624" s="3">
        <v>45447</v>
      </c>
      <c r="G1624" s="3">
        <v>45444</v>
      </c>
      <c r="H1624" s="3">
        <v>45808</v>
      </c>
      <c r="I1624" s="1" t="s">
        <v>2594</v>
      </c>
      <c r="J1624" s="1" t="s">
        <v>2595</v>
      </c>
      <c r="K1624" s="1"/>
      <c r="L1624" s="1" t="s">
        <v>2198</v>
      </c>
      <c r="M1624" s="1" t="s">
        <v>2596</v>
      </c>
      <c r="N1624" s="1" t="s">
        <v>2597</v>
      </c>
      <c r="O1624" s="1" t="s">
        <v>2598</v>
      </c>
      <c r="P1624" s="1" t="s">
        <v>2095</v>
      </c>
      <c r="Q1624" s="1"/>
      <c r="R1624" s="1"/>
      <c r="S1624" s="1" t="s">
        <v>2072</v>
      </c>
      <c r="T1624" s="1" t="s">
        <v>2073</v>
      </c>
      <c r="U1624" s="4">
        <v>-1</v>
      </c>
      <c r="V1624" s="4">
        <v>0</v>
      </c>
      <c r="W1624" s="4">
        <v>0</v>
      </c>
      <c r="X1624" s="4">
        <v>0</v>
      </c>
      <c r="Y1624" s="4">
        <v>50</v>
      </c>
      <c r="Z1624" s="5">
        <v>50</v>
      </c>
      <c r="AA1624" s="5">
        <v>0</v>
      </c>
      <c r="AB1624" s="6">
        <v>0</v>
      </c>
      <c r="AC1624" s="4">
        <v>50</v>
      </c>
      <c r="AD1624" s="4">
        <v>0</v>
      </c>
      <c r="AE1624" s="4">
        <v>50</v>
      </c>
      <c r="AF1624" s="1"/>
      <c r="AG1624" s="1"/>
      <c r="AH1624" s="1"/>
      <c r="AI1624" s="1" t="s">
        <v>3432</v>
      </c>
      <c r="AJ1624" s="1"/>
      <c r="AK1624" s="1"/>
      <c r="AL1624" s="1" t="s">
        <v>3885</v>
      </c>
    </row>
    <row r="1625" spans="1:38" hidden="1" x14ac:dyDescent="0.25">
      <c r="A1625" s="2">
        <v>2247</v>
      </c>
      <c r="B1625" s="1" t="s">
        <v>1890</v>
      </c>
      <c r="C1625" s="1" t="s">
        <v>1891</v>
      </c>
      <c r="D1625" s="1" t="s">
        <v>2062</v>
      </c>
      <c r="E1625" s="1" t="s">
        <v>2063</v>
      </c>
      <c r="F1625" s="3">
        <v>45475</v>
      </c>
      <c r="G1625" s="3">
        <v>45444</v>
      </c>
      <c r="H1625" s="3">
        <v>45808</v>
      </c>
      <c r="I1625" s="1" t="s">
        <v>2594</v>
      </c>
      <c r="J1625" s="1" t="s">
        <v>2595</v>
      </c>
      <c r="K1625" s="1"/>
      <c r="L1625" s="1" t="s">
        <v>2198</v>
      </c>
      <c r="M1625" s="1" t="s">
        <v>2596</v>
      </c>
      <c r="N1625" s="1" t="s">
        <v>2597</v>
      </c>
      <c r="O1625" s="1" t="s">
        <v>2598</v>
      </c>
      <c r="P1625" s="1" t="s">
        <v>2095</v>
      </c>
      <c r="Q1625" s="1"/>
      <c r="R1625" s="1"/>
      <c r="S1625" s="1" t="s">
        <v>2072</v>
      </c>
      <c r="T1625" s="1" t="s">
        <v>2073</v>
      </c>
      <c r="U1625" s="4">
        <v>2200000</v>
      </c>
      <c r="V1625" s="4">
        <v>3297</v>
      </c>
      <c r="W1625" s="4">
        <v>33</v>
      </c>
      <c r="X1625" s="4">
        <v>494</v>
      </c>
      <c r="Y1625" s="4">
        <v>0</v>
      </c>
      <c r="Z1625" s="5">
        <v>3824</v>
      </c>
      <c r="AA1625" s="5">
        <v>0</v>
      </c>
      <c r="AB1625" s="6">
        <v>0</v>
      </c>
      <c r="AC1625" s="4">
        <v>3824</v>
      </c>
      <c r="AD1625" s="4">
        <v>0</v>
      </c>
      <c r="AE1625" s="4">
        <v>3824</v>
      </c>
      <c r="AF1625" s="1"/>
      <c r="AG1625" s="1"/>
      <c r="AH1625" s="1"/>
      <c r="AI1625" s="1" t="s">
        <v>3432</v>
      </c>
      <c r="AJ1625" s="6">
        <v>7724.4999999999964</v>
      </c>
      <c r="AK1625" s="6">
        <v>1265.3900000000001</v>
      </c>
      <c r="AL1625" s="1"/>
    </row>
    <row r="1626" spans="1:38" hidden="1" x14ac:dyDescent="0.25">
      <c r="A1626" s="2">
        <v>2248</v>
      </c>
      <c r="B1626" s="1" t="s">
        <v>1890</v>
      </c>
      <c r="C1626" s="1" t="s">
        <v>1892</v>
      </c>
      <c r="D1626" s="1" t="s">
        <v>2062</v>
      </c>
      <c r="E1626" s="1" t="s">
        <v>2063</v>
      </c>
      <c r="F1626" s="3">
        <v>45506</v>
      </c>
      <c r="G1626" s="3">
        <v>45444</v>
      </c>
      <c r="H1626" s="3">
        <v>45808</v>
      </c>
      <c r="I1626" s="1" t="s">
        <v>2594</v>
      </c>
      <c r="J1626" s="1" t="s">
        <v>2595</v>
      </c>
      <c r="K1626" s="1"/>
      <c r="L1626" s="1" t="s">
        <v>2198</v>
      </c>
      <c r="M1626" s="1" t="s">
        <v>2596</v>
      </c>
      <c r="N1626" s="1" t="s">
        <v>2597</v>
      </c>
      <c r="O1626" s="1" t="s">
        <v>2598</v>
      </c>
      <c r="P1626" s="1" t="s">
        <v>2095</v>
      </c>
      <c r="Q1626" s="1"/>
      <c r="R1626" s="1"/>
      <c r="S1626" s="1" t="s">
        <v>2072</v>
      </c>
      <c r="T1626" s="1" t="s">
        <v>2073</v>
      </c>
      <c r="U1626" s="4">
        <v>2200000</v>
      </c>
      <c r="V1626" s="4">
        <v>3195</v>
      </c>
      <c r="W1626" s="4">
        <v>32</v>
      </c>
      <c r="X1626" s="4">
        <v>479</v>
      </c>
      <c r="Y1626" s="4">
        <v>0</v>
      </c>
      <c r="Z1626" s="5">
        <v>3706</v>
      </c>
      <c r="AA1626" s="5">
        <v>0</v>
      </c>
      <c r="AB1626" s="6">
        <v>0</v>
      </c>
      <c r="AC1626" s="4">
        <v>3706</v>
      </c>
      <c r="AD1626" s="4">
        <v>0</v>
      </c>
      <c r="AE1626" s="4">
        <v>3706</v>
      </c>
      <c r="AF1626" s="1"/>
      <c r="AG1626" s="1"/>
      <c r="AH1626" s="1"/>
      <c r="AI1626" s="1" t="s">
        <v>3432</v>
      </c>
      <c r="AJ1626" s="6">
        <v>6948.9200000000092</v>
      </c>
      <c r="AK1626" s="6">
        <v>1226.3</v>
      </c>
      <c r="AL1626" s="1"/>
    </row>
    <row r="1627" spans="1:38" hidden="1" x14ac:dyDescent="0.25">
      <c r="A1627" s="2">
        <v>2249</v>
      </c>
      <c r="B1627" s="1" t="s">
        <v>1890</v>
      </c>
      <c r="C1627" s="1" t="s">
        <v>1893</v>
      </c>
      <c r="D1627" s="1" t="s">
        <v>2062</v>
      </c>
      <c r="E1627" s="1" t="s">
        <v>2063</v>
      </c>
      <c r="F1627" s="3">
        <v>45539</v>
      </c>
      <c r="G1627" s="3">
        <v>45444</v>
      </c>
      <c r="H1627" s="3">
        <v>45808</v>
      </c>
      <c r="I1627" s="1" t="s">
        <v>2594</v>
      </c>
      <c r="J1627" s="1" t="s">
        <v>2595</v>
      </c>
      <c r="K1627" s="1"/>
      <c r="L1627" s="1" t="s">
        <v>2198</v>
      </c>
      <c r="M1627" s="1" t="s">
        <v>2596</v>
      </c>
      <c r="N1627" s="1" t="s">
        <v>2597</v>
      </c>
      <c r="O1627" s="1" t="s">
        <v>2598</v>
      </c>
      <c r="P1627" s="1" t="s">
        <v>2095</v>
      </c>
      <c r="Q1627" s="1"/>
      <c r="R1627" s="1"/>
      <c r="S1627" s="1" t="s">
        <v>2072</v>
      </c>
      <c r="T1627" s="1" t="s">
        <v>2073</v>
      </c>
      <c r="U1627" s="4">
        <v>2200000</v>
      </c>
      <c r="V1627" s="4">
        <v>810</v>
      </c>
      <c r="W1627" s="4">
        <v>8</v>
      </c>
      <c r="X1627" s="4">
        <v>121</v>
      </c>
      <c r="Y1627" s="4">
        <v>0</v>
      </c>
      <c r="Z1627" s="5">
        <v>939</v>
      </c>
      <c r="AA1627" s="5">
        <v>0</v>
      </c>
      <c r="AB1627" s="6">
        <v>0</v>
      </c>
      <c r="AC1627" s="4">
        <v>939</v>
      </c>
      <c r="AD1627" s="4">
        <v>0</v>
      </c>
      <c r="AE1627" s="4">
        <v>939</v>
      </c>
      <c r="AF1627" s="1"/>
      <c r="AG1627" s="1"/>
      <c r="AH1627" s="1"/>
      <c r="AI1627" s="1" t="s">
        <v>3432</v>
      </c>
      <c r="AJ1627" s="6">
        <v>2087.5999999999963</v>
      </c>
      <c r="AK1627" s="6">
        <v>311.05</v>
      </c>
      <c r="AL1627" s="1"/>
    </row>
    <row r="1628" spans="1:38" hidden="1" x14ac:dyDescent="0.25">
      <c r="A1628" s="2">
        <v>2250</v>
      </c>
      <c r="B1628" s="1" t="s">
        <v>1890</v>
      </c>
      <c r="C1628" s="1" t="s">
        <v>1894</v>
      </c>
      <c r="D1628" s="1" t="s">
        <v>2062</v>
      </c>
      <c r="E1628" s="1" t="s">
        <v>2063</v>
      </c>
      <c r="F1628" s="3">
        <v>45570</v>
      </c>
      <c r="G1628" s="3">
        <v>45444</v>
      </c>
      <c r="H1628" s="3">
        <v>45808</v>
      </c>
      <c r="I1628" s="1" t="s">
        <v>2594</v>
      </c>
      <c r="J1628" s="1" t="s">
        <v>2595</v>
      </c>
      <c r="K1628" s="1"/>
      <c r="L1628" s="1" t="s">
        <v>2198</v>
      </c>
      <c r="M1628" s="1" t="s">
        <v>2596</v>
      </c>
      <c r="N1628" s="1" t="s">
        <v>2597</v>
      </c>
      <c r="O1628" s="1" t="s">
        <v>2598</v>
      </c>
      <c r="P1628" s="1" t="s">
        <v>2095</v>
      </c>
      <c r="Q1628" s="1"/>
      <c r="R1628" s="1"/>
      <c r="S1628" s="1" t="s">
        <v>2072</v>
      </c>
      <c r="T1628" s="1" t="s">
        <v>2073</v>
      </c>
      <c r="U1628" s="4">
        <v>2200000</v>
      </c>
      <c r="V1628" s="4">
        <v>3517</v>
      </c>
      <c r="W1628" s="4">
        <v>35</v>
      </c>
      <c r="X1628" s="4">
        <v>528</v>
      </c>
      <c r="Y1628" s="4">
        <v>0</v>
      </c>
      <c r="Z1628" s="5">
        <v>4080</v>
      </c>
      <c r="AA1628" s="5">
        <v>0</v>
      </c>
      <c r="AB1628" s="6">
        <v>0</v>
      </c>
      <c r="AC1628" s="4">
        <v>4080</v>
      </c>
      <c r="AD1628" s="4">
        <v>0</v>
      </c>
      <c r="AE1628" s="4">
        <v>4080</v>
      </c>
      <c r="AF1628" s="1"/>
      <c r="AG1628" s="1"/>
      <c r="AH1628" s="1"/>
      <c r="AI1628" s="1" t="s">
        <v>3432</v>
      </c>
      <c r="AJ1628" s="6">
        <v>7124.4700000000103</v>
      </c>
      <c r="AK1628" s="6">
        <v>1350</v>
      </c>
      <c r="AL1628" s="1"/>
    </row>
    <row r="1629" spans="1:38" hidden="1" x14ac:dyDescent="0.25">
      <c r="A1629" s="2">
        <v>2251</v>
      </c>
      <c r="B1629" s="1" t="s">
        <v>1890</v>
      </c>
      <c r="C1629" s="1" t="s">
        <v>1895</v>
      </c>
      <c r="D1629" s="1" t="s">
        <v>2062</v>
      </c>
      <c r="E1629" s="1" t="s">
        <v>2063</v>
      </c>
      <c r="F1629" s="3">
        <v>45600</v>
      </c>
      <c r="G1629" s="3">
        <v>45444</v>
      </c>
      <c r="H1629" s="3">
        <v>45808</v>
      </c>
      <c r="I1629" s="1" t="s">
        <v>2594</v>
      </c>
      <c r="J1629" s="1" t="s">
        <v>2595</v>
      </c>
      <c r="K1629" s="1"/>
      <c r="L1629" s="1" t="s">
        <v>2198</v>
      </c>
      <c r="M1629" s="1" t="s">
        <v>2596</v>
      </c>
      <c r="N1629" s="1" t="s">
        <v>2597</v>
      </c>
      <c r="O1629" s="1" t="s">
        <v>2598</v>
      </c>
      <c r="P1629" s="1" t="s">
        <v>2095</v>
      </c>
      <c r="Q1629" s="1"/>
      <c r="R1629" s="1"/>
      <c r="S1629" s="1" t="s">
        <v>2072</v>
      </c>
      <c r="T1629" s="1" t="s">
        <v>2073</v>
      </c>
      <c r="U1629" s="4">
        <v>2200000</v>
      </c>
      <c r="V1629" s="4">
        <v>3103</v>
      </c>
      <c r="W1629" s="4">
        <v>31</v>
      </c>
      <c r="X1629" s="4">
        <v>465</v>
      </c>
      <c r="Y1629" s="4">
        <v>0</v>
      </c>
      <c r="Z1629" s="5">
        <v>3599</v>
      </c>
      <c r="AA1629" s="5">
        <v>0</v>
      </c>
      <c r="AB1629" s="6">
        <v>0</v>
      </c>
      <c r="AC1629" s="4">
        <v>3599</v>
      </c>
      <c r="AD1629" s="4">
        <v>0</v>
      </c>
      <c r="AE1629" s="4">
        <v>3599</v>
      </c>
      <c r="AF1629" s="1"/>
      <c r="AG1629" s="1"/>
      <c r="AH1629" s="1"/>
      <c r="AI1629" s="1" t="s">
        <v>3432</v>
      </c>
      <c r="AJ1629" s="6">
        <v>5932.4900000000171</v>
      </c>
      <c r="AK1629" s="6">
        <v>1190.96</v>
      </c>
      <c r="AL1629" s="1"/>
    </row>
    <row r="1630" spans="1:38" hidden="1" x14ac:dyDescent="0.25">
      <c r="A1630" s="2">
        <v>2252</v>
      </c>
      <c r="B1630" s="1" t="s">
        <v>1890</v>
      </c>
      <c r="C1630" s="1" t="s">
        <v>1896</v>
      </c>
      <c r="D1630" s="1" t="s">
        <v>2062</v>
      </c>
      <c r="E1630" s="1" t="s">
        <v>2063</v>
      </c>
      <c r="F1630" s="3">
        <v>45630</v>
      </c>
      <c r="G1630" s="3">
        <v>45444</v>
      </c>
      <c r="H1630" s="3">
        <v>45808</v>
      </c>
      <c r="I1630" s="1" t="s">
        <v>2594</v>
      </c>
      <c r="J1630" s="1" t="s">
        <v>2595</v>
      </c>
      <c r="K1630" s="1"/>
      <c r="L1630" s="1" t="s">
        <v>2198</v>
      </c>
      <c r="M1630" s="1" t="s">
        <v>2596</v>
      </c>
      <c r="N1630" s="1" t="s">
        <v>2597</v>
      </c>
      <c r="O1630" s="1" t="s">
        <v>2598</v>
      </c>
      <c r="P1630" s="1" t="s">
        <v>2095</v>
      </c>
      <c r="Q1630" s="1"/>
      <c r="R1630" s="1"/>
      <c r="S1630" s="1" t="s">
        <v>2072</v>
      </c>
      <c r="T1630" s="1" t="s">
        <v>2073</v>
      </c>
      <c r="U1630" s="4">
        <v>2200000</v>
      </c>
      <c r="V1630" s="4">
        <v>3517</v>
      </c>
      <c r="W1630" s="4">
        <v>35</v>
      </c>
      <c r="X1630" s="4">
        <v>528</v>
      </c>
      <c r="Y1630" s="4">
        <v>0</v>
      </c>
      <c r="Z1630" s="5">
        <v>4080</v>
      </c>
      <c r="AA1630" s="5">
        <v>0</v>
      </c>
      <c r="AB1630" s="6">
        <v>0</v>
      </c>
      <c r="AC1630" s="4">
        <v>4080</v>
      </c>
      <c r="AD1630" s="4">
        <v>0</v>
      </c>
      <c r="AE1630" s="4">
        <v>4080</v>
      </c>
      <c r="AF1630" s="1"/>
      <c r="AG1630" s="1"/>
      <c r="AH1630" s="1"/>
      <c r="AI1630" s="1" t="s">
        <v>3432</v>
      </c>
      <c r="AJ1630" s="6">
        <v>6827.7700000000159</v>
      </c>
      <c r="AK1630" s="6">
        <v>1350</v>
      </c>
      <c r="AL1630" s="1"/>
    </row>
    <row r="1631" spans="1:38" hidden="1" x14ac:dyDescent="0.25">
      <c r="A1631" s="2">
        <v>2253</v>
      </c>
      <c r="B1631" s="1" t="s">
        <v>1890</v>
      </c>
      <c r="C1631" s="1" t="s">
        <v>1897</v>
      </c>
      <c r="D1631" s="1" t="s">
        <v>2062</v>
      </c>
      <c r="E1631" s="1" t="s">
        <v>2063</v>
      </c>
      <c r="F1631" s="3">
        <v>45655</v>
      </c>
      <c r="G1631" s="3">
        <v>45444</v>
      </c>
      <c r="H1631" s="3">
        <v>45808</v>
      </c>
      <c r="I1631" s="1" t="s">
        <v>2594</v>
      </c>
      <c r="J1631" s="1" t="s">
        <v>2595</v>
      </c>
      <c r="K1631" s="1"/>
      <c r="L1631" s="1" t="s">
        <v>2198</v>
      </c>
      <c r="M1631" s="1" t="s">
        <v>2596</v>
      </c>
      <c r="N1631" s="1" t="s">
        <v>2597</v>
      </c>
      <c r="O1631" s="1" t="s">
        <v>2598</v>
      </c>
      <c r="P1631" s="1" t="s">
        <v>2095</v>
      </c>
      <c r="Q1631" s="1"/>
      <c r="R1631" s="1"/>
      <c r="S1631" s="1" t="s">
        <v>2072</v>
      </c>
      <c r="T1631" s="1" t="s">
        <v>2073</v>
      </c>
      <c r="U1631" s="4">
        <v>-1</v>
      </c>
      <c r="V1631" s="4">
        <v>-20077</v>
      </c>
      <c r="W1631" s="4">
        <v>-201</v>
      </c>
      <c r="X1631" s="4">
        <v>0</v>
      </c>
      <c r="Y1631" s="4">
        <v>0</v>
      </c>
      <c r="Z1631" s="5">
        <v>-20278</v>
      </c>
      <c r="AA1631" s="5">
        <v>0</v>
      </c>
      <c r="AB1631" s="6">
        <v>0</v>
      </c>
      <c r="AC1631" s="4">
        <v>-20278</v>
      </c>
      <c r="AD1631" s="4">
        <v>0</v>
      </c>
      <c r="AE1631" s="4">
        <v>-20278</v>
      </c>
      <c r="AF1631" s="1"/>
      <c r="AG1631" s="1"/>
      <c r="AH1631" s="1"/>
      <c r="AI1631" s="1" t="s">
        <v>3432</v>
      </c>
      <c r="AJ1631" s="1"/>
      <c r="AK1631" s="1"/>
      <c r="AL1631" s="1"/>
    </row>
    <row r="1632" spans="1:38" x14ac:dyDescent="0.25">
      <c r="A1632" s="2">
        <v>2255</v>
      </c>
      <c r="B1632" s="1" t="s">
        <v>1898</v>
      </c>
      <c r="C1632" s="1"/>
      <c r="D1632" s="1" t="s">
        <v>2062</v>
      </c>
      <c r="E1632" s="1" t="s">
        <v>2063</v>
      </c>
      <c r="F1632" s="3">
        <v>45449</v>
      </c>
      <c r="G1632" s="3">
        <v>45386</v>
      </c>
      <c r="H1632" s="3">
        <v>45750</v>
      </c>
      <c r="I1632" s="1" t="s">
        <v>3886</v>
      </c>
      <c r="J1632" s="1" t="s">
        <v>3887</v>
      </c>
      <c r="K1632" s="1"/>
      <c r="L1632" s="1" t="s">
        <v>2404</v>
      </c>
      <c r="M1632" s="1" t="s">
        <v>3888</v>
      </c>
      <c r="N1632" s="1" t="s">
        <v>3889</v>
      </c>
      <c r="O1632" s="1" t="s">
        <v>3890</v>
      </c>
      <c r="P1632" s="1" t="s">
        <v>2217</v>
      </c>
      <c r="Q1632" s="1" t="s">
        <v>3891</v>
      </c>
      <c r="R1632" s="1"/>
      <c r="S1632" s="1" t="s">
        <v>2072</v>
      </c>
      <c r="T1632" s="1" t="s">
        <v>2073</v>
      </c>
      <c r="U1632" s="4">
        <v>-1</v>
      </c>
      <c r="V1632" s="4">
        <v>0</v>
      </c>
      <c r="W1632" s="4">
        <v>0</v>
      </c>
      <c r="X1632" s="4">
        <v>0</v>
      </c>
      <c r="Y1632" s="4">
        <v>50</v>
      </c>
      <c r="Z1632" s="5">
        <v>50</v>
      </c>
      <c r="AA1632" s="5">
        <v>0</v>
      </c>
      <c r="AB1632" s="6">
        <v>0</v>
      </c>
      <c r="AC1632" s="4">
        <v>50</v>
      </c>
      <c r="AD1632" s="4">
        <v>0</v>
      </c>
      <c r="AE1632" s="4">
        <v>50</v>
      </c>
      <c r="AF1632" s="1"/>
      <c r="AG1632" s="1"/>
      <c r="AH1632" s="1"/>
      <c r="AI1632" s="1" t="s">
        <v>3432</v>
      </c>
      <c r="AJ1632" s="1"/>
      <c r="AK1632" s="1"/>
      <c r="AL1632" s="1" t="s">
        <v>3892</v>
      </c>
    </row>
    <row r="1633" spans="1:38" hidden="1" x14ac:dyDescent="0.25">
      <c r="A1633" s="2">
        <v>2256</v>
      </c>
      <c r="B1633" s="1" t="s">
        <v>1898</v>
      </c>
      <c r="C1633" s="1" t="s">
        <v>1899</v>
      </c>
      <c r="D1633" s="1" t="s">
        <v>2062</v>
      </c>
      <c r="E1633" s="1" t="s">
        <v>2063</v>
      </c>
      <c r="F1633" s="3">
        <v>45477</v>
      </c>
      <c r="G1633" s="3">
        <v>45386</v>
      </c>
      <c r="H1633" s="3">
        <v>45750</v>
      </c>
      <c r="I1633" s="1" t="s">
        <v>3886</v>
      </c>
      <c r="J1633" s="1" t="s">
        <v>3887</v>
      </c>
      <c r="K1633" s="1"/>
      <c r="L1633" s="1" t="s">
        <v>2404</v>
      </c>
      <c r="M1633" s="1" t="s">
        <v>3888</v>
      </c>
      <c r="N1633" s="1" t="s">
        <v>3889</v>
      </c>
      <c r="O1633" s="1" t="s">
        <v>3890</v>
      </c>
      <c r="P1633" s="1" t="s">
        <v>2217</v>
      </c>
      <c r="Q1633" s="1" t="s">
        <v>3891</v>
      </c>
      <c r="R1633" s="1"/>
      <c r="S1633" s="1" t="s">
        <v>2072</v>
      </c>
      <c r="T1633" s="1" t="s">
        <v>2073</v>
      </c>
      <c r="U1633" s="4">
        <v>2400000</v>
      </c>
      <c r="V1633" s="4">
        <v>657</v>
      </c>
      <c r="W1633" s="4">
        <v>7</v>
      </c>
      <c r="X1633" s="4">
        <v>99</v>
      </c>
      <c r="Y1633" s="4">
        <v>0</v>
      </c>
      <c r="Z1633" s="5">
        <v>763</v>
      </c>
      <c r="AA1633" s="5">
        <v>0</v>
      </c>
      <c r="AB1633" s="6">
        <v>0</v>
      </c>
      <c r="AC1633" s="4">
        <v>763</v>
      </c>
      <c r="AD1633" s="4">
        <v>0</v>
      </c>
      <c r="AE1633" s="4">
        <v>763</v>
      </c>
      <c r="AF1633" s="1"/>
      <c r="AG1633" s="1"/>
      <c r="AH1633" s="1"/>
      <c r="AI1633" s="1" t="s">
        <v>3432</v>
      </c>
      <c r="AJ1633" s="6">
        <v>330.63</v>
      </c>
      <c r="AK1633" s="6">
        <v>232.2</v>
      </c>
      <c r="AL1633" s="1"/>
    </row>
    <row r="1634" spans="1:38" hidden="1" x14ac:dyDescent="0.25">
      <c r="A1634" s="2">
        <v>2257</v>
      </c>
      <c r="B1634" s="1" t="s">
        <v>1898</v>
      </c>
      <c r="C1634" s="1" t="s">
        <v>1900</v>
      </c>
      <c r="D1634" s="1" t="s">
        <v>2062</v>
      </c>
      <c r="E1634" s="1" t="s">
        <v>2063</v>
      </c>
      <c r="F1634" s="3">
        <v>45511</v>
      </c>
      <c r="G1634" s="3">
        <v>45386</v>
      </c>
      <c r="H1634" s="3">
        <v>45750</v>
      </c>
      <c r="I1634" s="1" t="s">
        <v>3886</v>
      </c>
      <c r="J1634" s="1" t="s">
        <v>3887</v>
      </c>
      <c r="K1634" s="1"/>
      <c r="L1634" s="1" t="s">
        <v>2404</v>
      </c>
      <c r="M1634" s="1" t="s">
        <v>3888</v>
      </c>
      <c r="N1634" s="1" t="s">
        <v>3889</v>
      </c>
      <c r="O1634" s="1" t="s">
        <v>3890</v>
      </c>
      <c r="P1634" s="1" t="s">
        <v>2217</v>
      </c>
      <c r="Q1634" s="1" t="s">
        <v>3891</v>
      </c>
      <c r="R1634" s="1"/>
      <c r="S1634" s="1" t="s">
        <v>2072</v>
      </c>
      <c r="T1634" s="1" t="s">
        <v>2073</v>
      </c>
      <c r="U1634" s="4">
        <v>2400000</v>
      </c>
      <c r="V1634" s="4">
        <v>664</v>
      </c>
      <c r="W1634" s="4">
        <v>7</v>
      </c>
      <c r="X1634" s="4">
        <v>100</v>
      </c>
      <c r="Y1634" s="4">
        <v>0</v>
      </c>
      <c r="Z1634" s="5">
        <v>771</v>
      </c>
      <c r="AA1634" s="5">
        <v>0</v>
      </c>
      <c r="AB1634" s="6">
        <v>0</v>
      </c>
      <c r="AC1634" s="4">
        <v>771</v>
      </c>
      <c r="AD1634" s="4">
        <v>0</v>
      </c>
      <c r="AE1634" s="4">
        <v>771</v>
      </c>
      <c r="AF1634" s="1"/>
      <c r="AG1634" s="1"/>
      <c r="AH1634" s="1"/>
      <c r="AI1634" s="1" t="s">
        <v>3432</v>
      </c>
      <c r="AJ1634" s="6">
        <v>234.33</v>
      </c>
      <c r="AK1634" s="6">
        <v>234.33</v>
      </c>
      <c r="AL1634" s="1"/>
    </row>
    <row r="1635" spans="1:38" hidden="1" x14ac:dyDescent="0.25">
      <c r="A1635" s="2">
        <v>2258</v>
      </c>
      <c r="B1635" s="1" t="s">
        <v>1898</v>
      </c>
      <c r="C1635" s="1" t="s">
        <v>1901</v>
      </c>
      <c r="D1635" s="1" t="s">
        <v>2062</v>
      </c>
      <c r="E1635" s="1" t="s">
        <v>2063</v>
      </c>
      <c r="F1635" s="3">
        <v>45541</v>
      </c>
      <c r="G1635" s="3">
        <v>45386</v>
      </c>
      <c r="H1635" s="3">
        <v>45750</v>
      </c>
      <c r="I1635" s="1" t="s">
        <v>3886</v>
      </c>
      <c r="J1635" s="1" t="s">
        <v>3887</v>
      </c>
      <c r="K1635" s="1"/>
      <c r="L1635" s="1" t="s">
        <v>2404</v>
      </c>
      <c r="M1635" s="1" t="s">
        <v>3888</v>
      </c>
      <c r="N1635" s="1" t="s">
        <v>3889</v>
      </c>
      <c r="O1635" s="1" t="s">
        <v>3890</v>
      </c>
      <c r="P1635" s="1" t="s">
        <v>2217</v>
      </c>
      <c r="Q1635" s="1" t="s">
        <v>3891</v>
      </c>
      <c r="R1635" s="1"/>
      <c r="S1635" s="1" t="s">
        <v>2072</v>
      </c>
      <c r="T1635" s="1" t="s">
        <v>2073</v>
      </c>
      <c r="U1635" s="4">
        <v>2400000</v>
      </c>
      <c r="V1635" s="4">
        <v>383</v>
      </c>
      <c r="W1635" s="4">
        <v>4</v>
      </c>
      <c r="X1635" s="4">
        <v>58</v>
      </c>
      <c r="Y1635" s="4">
        <v>0</v>
      </c>
      <c r="Z1635" s="5">
        <v>445</v>
      </c>
      <c r="AA1635" s="5">
        <v>0</v>
      </c>
      <c r="AB1635" s="6">
        <v>0</v>
      </c>
      <c r="AC1635" s="4">
        <v>445</v>
      </c>
      <c r="AD1635" s="4">
        <v>0</v>
      </c>
      <c r="AE1635" s="4">
        <v>445</v>
      </c>
      <c r="AF1635" s="1"/>
      <c r="AG1635" s="1"/>
      <c r="AH1635" s="1"/>
      <c r="AI1635" s="1" t="s">
        <v>3432</v>
      </c>
      <c r="AJ1635" s="6">
        <v>135.21</v>
      </c>
      <c r="AK1635" s="6">
        <v>135.21</v>
      </c>
      <c r="AL1635" s="1"/>
    </row>
    <row r="1636" spans="1:38" hidden="1" x14ac:dyDescent="0.25">
      <c r="A1636" s="2">
        <v>2259</v>
      </c>
      <c r="B1636" s="1" t="s">
        <v>1898</v>
      </c>
      <c r="C1636" s="1" t="s">
        <v>1902</v>
      </c>
      <c r="D1636" s="1" t="s">
        <v>2062</v>
      </c>
      <c r="E1636" s="1" t="s">
        <v>2063</v>
      </c>
      <c r="F1636" s="3">
        <v>45574</v>
      </c>
      <c r="G1636" s="3">
        <v>45386</v>
      </c>
      <c r="H1636" s="3">
        <v>45750</v>
      </c>
      <c r="I1636" s="1" t="s">
        <v>3886</v>
      </c>
      <c r="J1636" s="1" t="s">
        <v>3887</v>
      </c>
      <c r="K1636" s="1"/>
      <c r="L1636" s="1" t="s">
        <v>2404</v>
      </c>
      <c r="M1636" s="1" t="s">
        <v>3888</v>
      </c>
      <c r="N1636" s="1" t="s">
        <v>3889</v>
      </c>
      <c r="O1636" s="1" t="s">
        <v>3890</v>
      </c>
      <c r="P1636" s="1" t="s">
        <v>2217</v>
      </c>
      <c r="Q1636" s="1" t="s">
        <v>3891</v>
      </c>
      <c r="R1636" s="1"/>
      <c r="S1636" s="1" t="s">
        <v>2072</v>
      </c>
      <c r="T1636" s="1" t="s">
        <v>2073</v>
      </c>
      <c r="U1636" s="4">
        <v>2400000</v>
      </c>
      <c r="V1636" s="4">
        <v>626</v>
      </c>
      <c r="W1636" s="4">
        <v>6</v>
      </c>
      <c r="X1636" s="4">
        <v>94</v>
      </c>
      <c r="Y1636" s="4">
        <v>0</v>
      </c>
      <c r="Z1636" s="5">
        <v>726</v>
      </c>
      <c r="AA1636" s="5">
        <v>0</v>
      </c>
      <c r="AB1636" s="6">
        <v>0</v>
      </c>
      <c r="AC1636" s="4">
        <v>726</v>
      </c>
      <c r="AD1636" s="4">
        <v>0</v>
      </c>
      <c r="AE1636" s="4">
        <v>726</v>
      </c>
      <c r="AF1636" s="1"/>
      <c r="AG1636" s="1"/>
      <c r="AH1636" s="1"/>
      <c r="AI1636" s="1" t="s">
        <v>3432</v>
      </c>
      <c r="AJ1636" s="6">
        <v>233.24</v>
      </c>
      <c r="AK1636" s="6">
        <v>220.42</v>
      </c>
      <c r="AL1636" s="1"/>
    </row>
    <row r="1637" spans="1:38" hidden="1" x14ac:dyDescent="0.25">
      <c r="A1637" s="2">
        <v>2260</v>
      </c>
      <c r="B1637" s="1" t="s">
        <v>1898</v>
      </c>
      <c r="C1637" s="1" t="s">
        <v>1903</v>
      </c>
      <c r="D1637" s="1" t="s">
        <v>2062</v>
      </c>
      <c r="E1637" s="1" t="s">
        <v>2063</v>
      </c>
      <c r="F1637" s="3">
        <v>45601</v>
      </c>
      <c r="G1637" s="3">
        <v>45386</v>
      </c>
      <c r="H1637" s="3">
        <v>45750</v>
      </c>
      <c r="I1637" s="1" t="s">
        <v>3886</v>
      </c>
      <c r="J1637" s="1" t="s">
        <v>3887</v>
      </c>
      <c r="K1637" s="1"/>
      <c r="L1637" s="1" t="s">
        <v>2404</v>
      </c>
      <c r="M1637" s="1" t="s">
        <v>3888</v>
      </c>
      <c r="N1637" s="1" t="s">
        <v>3889</v>
      </c>
      <c r="O1637" s="1" t="s">
        <v>3890</v>
      </c>
      <c r="P1637" s="1" t="s">
        <v>2217</v>
      </c>
      <c r="Q1637" s="1" t="s">
        <v>3891</v>
      </c>
      <c r="R1637" s="1"/>
      <c r="S1637" s="1" t="s">
        <v>2072</v>
      </c>
      <c r="T1637" s="1" t="s">
        <v>2073</v>
      </c>
      <c r="U1637" s="4">
        <v>2400000</v>
      </c>
      <c r="V1637" s="4">
        <v>536</v>
      </c>
      <c r="W1637" s="4">
        <v>5</v>
      </c>
      <c r="X1637" s="4">
        <v>80</v>
      </c>
      <c r="Y1637" s="4">
        <v>0</v>
      </c>
      <c r="Z1637" s="5">
        <v>621</v>
      </c>
      <c r="AA1637" s="5">
        <v>0</v>
      </c>
      <c r="AB1637" s="6">
        <v>0</v>
      </c>
      <c r="AC1637" s="4">
        <v>621</v>
      </c>
      <c r="AD1637" s="4">
        <v>0</v>
      </c>
      <c r="AE1637" s="4">
        <v>621</v>
      </c>
      <c r="AF1637" s="1"/>
      <c r="AG1637" s="1"/>
      <c r="AH1637" s="1"/>
      <c r="AI1637" s="1" t="s">
        <v>3432</v>
      </c>
      <c r="AJ1637" s="6">
        <v>482.95999999999896</v>
      </c>
      <c r="AK1637" s="6">
        <v>188.76000000000005</v>
      </c>
      <c r="AL1637" s="1"/>
    </row>
    <row r="1638" spans="1:38" hidden="1" x14ac:dyDescent="0.25">
      <c r="A1638" s="2">
        <v>2261</v>
      </c>
      <c r="B1638" s="1" t="s">
        <v>1898</v>
      </c>
      <c r="C1638" s="1" t="s">
        <v>1904</v>
      </c>
      <c r="D1638" s="1" t="s">
        <v>2062</v>
      </c>
      <c r="E1638" s="1" t="s">
        <v>2063</v>
      </c>
      <c r="F1638" s="3">
        <v>45631</v>
      </c>
      <c r="G1638" s="3">
        <v>45386</v>
      </c>
      <c r="H1638" s="3">
        <v>45750</v>
      </c>
      <c r="I1638" s="1" t="s">
        <v>3886</v>
      </c>
      <c r="J1638" s="1" t="s">
        <v>3887</v>
      </c>
      <c r="K1638" s="1"/>
      <c r="L1638" s="1" t="s">
        <v>2404</v>
      </c>
      <c r="M1638" s="1" t="s">
        <v>3888</v>
      </c>
      <c r="N1638" s="1" t="s">
        <v>3889</v>
      </c>
      <c r="O1638" s="1" t="s">
        <v>3890</v>
      </c>
      <c r="P1638" s="1" t="s">
        <v>2217</v>
      </c>
      <c r="Q1638" s="1" t="s">
        <v>3891</v>
      </c>
      <c r="R1638" s="1"/>
      <c r="S1638" s="1" t="s">
        <v>2072</v>
      </c>
      <c r="T1638" s="1" t="s">
        <v>2073</v>
      </c>
      <c r="U1638" s="4">
        <v>2400000</v>
      </c>
      <c r="V1638" s="4">
        <v>469</v>
      </c>
      <c r="W1638" s="4">
        <v>5</v>
      </c>
      <c r="X1638" s="4">
        <v>70</v>
      </c>
      <c r="Y1638" s="4">
        <v>0</v>
      </c>
      <c r="Z1638" s="5">
        <v>544</v>
      </c>
      <c r="AA1638" s="5">
        <v>0</v>
      </c>
      <c r="AB1638" s="6">
        <v>0</v>
      </c>
      <c r="AC1638" s="4">
        <v>544</v>
      </c>
      <c r="AD1638" s="4">
        <v>0</v>
      </c>
      <c r="AE1638" s="4">
        <v>544</v>
      </c>
      <c r="AF1638" s="1"/>
      <c r="AG1638" s="1"/>
      <c r="AH1638" s="1"/>
      <c r="AI1638" s="1" t="s">
        <v>3432</v>
      </c>
      <c r="AJ1638" s="6">
        <v>165.81</v>
      </c>
      <c r="AK1638" s="6">
        <v>165.81</v>
      </c>
      <c r="AL1638" s="1"/>
    </row>
    <row r="1639" spans="1:38" hidden="1" x14ac:dyDescent="0.25">
      <c r="A1639" s="2">
        <v>2262</v>
      </c>
      <c r="B1639" s="1" t="s">
        <v>1898</v>
      </c>
      <c r="C1639" s="1" t="s">
        <v>1905</v>
      </c>
      <c r="D1639" s="1" t="s">
        <v>2062</v>
      </c>
      <c r="E1639" s="1" t="s">
        <v>2063</v>
      </c>
      <c r="F1639" s="3">
        <v>45655</v>
      </c>
      <c r="G1639" s="3">
        <v>45386</v>
      </c>
      <c r="H1639" s="3">
        <v>45750</v>
      </c>
      <c r="I1639" s="1" t="s">
        <v>3886</v>
      </c>
      <c r="J1639" s="1" t="s">
        <v>3887</v>
      </c>
      <c r="K1639" s="1"/>
      <c r="L1639" s="1" t="s">
        <v>2404</v>
      </c>
      <c r="M1639" s="1" t="s">
        <v>3888</v>
      </c>
      <c r="N1639" s="1" t="s">
        <v>3889</v>
      </c>
      <c r="O1639" s="1" t="s">
        <v>3890</v>
      </c>
      <c r="P1639" s="1" t="s">
        <v>2217</v>
      </c>
      <c r="Q1639" s="1" t="s">
        <v>3891</v>
      </c>
      <c r="R1639" s="1"/>
      <c r="S1639" s="1" t="s">
        <v>2072</v>
      </c>
      <c r="T1639" s="1" t="s">
        <v>2073</v>
      </c>
      <c r="U1639" s="4">
        <v>-1</v>
      </c>
      <c r="V1639" s="4">
        <v>-3881</v>
      </c>
      <c r="W1639" s="4">
        <v>-39</v>
      </c>
      <c r="X1639" s="4">
        <v>0</v>
      </c>
      <c r="Y1639" s="4">
        <v>0</v>
      </c>
      <c r="Z1639" s="5">
        <v>-3920</v>
      </c>
      <c r="AA1639" s="5">
        <v>0</v>
      </c>
      <c r="AB1639" s="6">
        <v>0</v>
      </c>
      <c r="AC1639" s="4">
        <v>-3920</v>
      </c>
      <c r="AD1639" s="4">
        <v>0</v>
      </c>
      <c r="AE1639" s="4">
        <v>-3920</v>
      </c>
      <c r="AF1639" s="1"/>
      <c r="AG1639" s="1"/>
      <c r="AH1639" s="1"/>
      <c r="AI1639" s="1" t="s">
        <v>3432</v>
      </c>
      <c r="AJ1639" s="1"/>
      <c r="AK1639" s="1"/>
      <c r="AL1639" s="1"/>
    </row>
    <row r="1640" spans="1:38" hidden="1" x14ac:dyDescent="0.25">
      <c r="A1640" s="2">
        <v>2277</v>
      </c>
      <c r="B1640" s="1" t="s">
        <v>1906</v>
      </c>
      <c r="C1640" s="1" t="s">
        <v>1907</v>
      </c>
      <c r="D1640" s="1" t="s">
        <v>2062</v>
      </c>
      <c r="E1640" s="1" t="s">
        <v>2063</v>
      </c>
      <c r="F1640" s="3">
        <v>45723</v>
      </c>
      <c r="G1640" s="3">
        <v>45450</v>
      </c>
      <c r="H1640" s="3">
        <v>45814</v>
      </c>
      <c r="I1640" s="1" t="s">
        <v>3893</v>
      </c>
      <c r="J1640" s="1" t="s">
        <v>3894</v>
      </c>
      <c r="K1640" s="1"/>
      <c r="L1640" s="1" t="s">
        <v>2541</v>
      </c>
      <c r="M1640" s="1" t="s">
        <v>3895</v>
      </c>
      <c r="N1640" s="1" t="s">
        <v>3896</v>
      </c>
      <c r="O1640" s="1" t="s">
        <v>3897</v>
      </c>
      <c r="P1640" s="1" t="s">
        <v>2088</v>
      </c>
      <c r="Q1640" s="1"/>
      <c r="R1640" s="1"/>
      <c r="S1640" s="1" t="s">
        <v>2072</v>
      </c>
      <c r="T1640" s="1" t="s">
        <v>3165</v>
      </c>
      <c r="U1640" s="4">
        <v>3600000</v>
      </c>
      <c r="V1640" s="4">
        <v>649</v>
      </c>
      <c r="W1640" s="4">
        <v>6</v>
      </c>
      <c r="X1640" s="4">
        <v>97</v>
      </c>
      <c r="Y1640" s="4">
        <v>0</v>
      </c>
      <c r="Z1640" s="5">
        <v>752</v>
      </c>
      <c r="AA1640" s="5">
        <v>0</v>
      </c>
      <c r="AB1640" s="6">
        <v>0</v>
      </c>
      <c r="AC1640" s="4">
        <v>752</v>
      </c>
      <c r="AD1640" s="4">
        <v>0</v>
      </c>
      <c r="AE1640" s="4">
        <v>752</v>
      </c>
      <c r="AF1640" s="1"/>
      <c r="AG1640" s="1"/>
      <c r="AH1640" s="1"/>
      <c r="AI1640" s="1" t="s">
        <v>2327</v>
      </c>
      <c r="AJ1640" s="6">
        <v>154.81</v>
      </c>
      <c r="AK1640" s="6">
        <v>152.31</v>
      </c>
      <c r="AL1640" s="1"/>
    </row>
    <row r="1641" spans="1:38" hidden="1" x14ac:dyDescent="0.25">
      <c r="A1641" s="2">
        <v>2278</v>
      </c>
      <c r="B1641" s="1" t="s">
        <v>1906</v>
      </c>
      <c r="C1641" s="1" t="s">
        <v>1908</v>
      </c>
      <c r="D1641" s="1" t="s">
        <v>2062</v>
      </c>
      <c r="E1641" s="1" t="s">
        <v>2063</v>
      </c>
      <c r="F1641" s="3">
        <v>45745</v>
      </c>
      <c r="G1641" s="3">
        <v>45450</v>
      </c>
      <c r="H1641" s="3">
        <v>45814</v>
      </c>
      <c r="I1641" s="1" t="s">
        <v>3893</v>
      </c>
      <c r="J1641" s="1" t="s">
        <v>3894</v>
      </c>
      <c r="K1641" s="1"/>
      <c r="L1641" s="1" t="s">
        <v>2541</v>
      </c>
      <c r="M1641" s="1" t="s">
        <v>3895</v>
      </c>
      <c r="N1641" s="1" t="s">
        <v>3896</v>
      </c>
      <c r="O1641" s="1" t="s">
        <v>3897</v>
      </c>
      <c r="P1641" s="1" t="s">
        <v>2088</v>
      </c>
      <c r="Q1641" s="1"/>
      <c r="R1641" s="1"/>
      <c r="S1641" s="1" t="s">
        <v>2072</v>
      </c>
      <c r="T1641" s="1" t="s">
        <v>3165</v>
      </c>
      <c r="U1641" s="4">
        <v>-1</v>
      </c>
      <c r="V1641" s="4">
        <v>-745</v>
      </c>
      <c r="W1641" s="4">
        <v>-7</v>
      </c>
      <c r="X1641" s="4">
        <v>0</v>
      </c>
      <c r="Y1641" s="4">
        <v>0</v>
      </c>
      <c r="Z1641" s="5">
        <v>-752</v>
      </c>
      <c r="AA1641" s="5">
        <v>0</v>
      </c>
      <c r="AB1641" s="6">
        <v>0</v>
      </c>
      <c r="AC1641" s="4">
        <v>-752</v>
      </c>
      <c r="AD1641" s="4">
        <v>0</v>
      </c>
      <c r="AE1641" s="4">
        <v>-752</v>
      </c>
      <c r="AF1641" s="1"/>
      <c r="AG1641" s="1"/>
      <c r="AH1641" s="1"/>
      <c r="AI1641" s="1" t="s">
        <v>2327</v>
      </c>
      <c r="AJ1641" s="1"/>
      <c r="AK1641" s="1"/>
      <c r="AL1641" s="1"/>
    </row>
    <row r="1642" spans="1:38" hidden="1" x14ac:dyDescent="0.25">
      <c r="A1642" s="2">
        <v>2279</v>
      </c>
      <c r="B1642" s="1" t="s">
        <v>1909</v>
      </c>
      <c r="C1642" s="1" t="s">
        <v>1910</v>
      </c>
      <c r="D1642" s="1" t="s">
        <v>2062</v>
      </c>
      <c r="E1642" s="1" t="s">
        <v>2063</v>
      </c>
      <c r="F1642" s="3">
        <v>45579</v>
      </c>
      <c r="G1642" s="3">
        <v>45453</v>
      </c>
      <c r="H1642" s="3">
        <v>45817</v>
      </c>
      <c r="I1642" s="1" t="s">
        <v>3898</v>
      </c>
      <c r="J1642" s="1" t="s">
        <v>3899</v>
      </c>
      <c r="K1642" s="1"/>
      <c r="L1642" s="1" t="s">
        <v>3900</v>
      </c>
      <c r="M1642" s="1" t="s">
        <v>3901</v>
      </c>
      <c r="N1642" s="1" t="s">
        <v>3902</v>
      </c>
      <c r="O1642" s="1" t="s">
        <v>3903</v>
      </c>
      <c r="P1642" s="1" t="s">
        <v>2182</v>
      </c>
      <c r="Q1642" s="1"/>
      <c r="R1642" s="1"/>
      <c r="S1642" s="1" t="s">
        <v>2072</v>
      </c>
      <c r="T1642" s="1" t="s">
        <v>3165</v>
      </c>
      <c r="U1642" s="4">
        <v>5000000</v>
      </c>
      <c r="V1642" s="4">
        <v>1197</v>
      </c>
      <c r="W1642" s="4">
        <v>12</v>
      </c>
      <c r="X1642" s="4">
        <v>179</v>
      </c>
      <c r="Y1642" s="4">
        <v>0</v>
      </c>
      <c r="Z1642" s="5">
        <v>1388</v>
      </c>
      <c r="AA1642" s="5">
        <v>0</v>
      </c>
      <c r="AB1642" s="6">
        <v>0</v>
      </c>
      <c r="AC1642" s="4">
        <v>1388</v>
      </c>
      <c r="AD1642" s="4">
        <v>0</v>
      </c>
      <c r="AE1642" s="4">
        <v>1388</v>
      </c>
      <c r="AF1642" s="1"/>
      <c r="AG1642" s="1"/>
      <c r="AH1642" s="1"/>
      <c r="AI1642" s="1" t="s">
        <v>2327</v>
      </c>
      <c r="AJ1642" s="6">
        <v>225.06</v>
      </c>
      <c r="AK1642" s="6">
        <v>202.87</v>
      </c>
      <c r="AL1642" s="1"/>
    </row>
    <row r="1643" spans="1:38" hidden="1" x14ac:dyDescent="0.25">
      <c r="A1643" s="2">
        <v>2280</v>
      </c>
      <c r="B1643" s="1" t="s">
        <v>1909</v>
      </c>
      <c r="C1643" s="1" t="s">
        <v>1911</v>
      </c>
      <c r="D1643" s="1" t="s">
        <v>2062</v>
      </c>
      <c r="E1643" s="1" t="s">
        <v>2063</v>
      </c>
      <c r="F1643" s="3">
        <v>45608</v>
      </c>
      <c r="G1643" s="3">
        <v>45453</v>
      </c>
      <c r="H1643" s="3">
        <v>45817</v>
      </c>
      <c r="I1643" s="1" t="s">
        <v>3898</v>
      </c>
      <c r="J1643" s="1" t="s">
        <v>3899</v>
      </c>
      <c r="K1643" s="1"/>
      <c r="L1643" s="1" t="s">
        <v>3900</v>
      </c>
      <c r="M1643" s="1" t="s">
        <v>3901</v>
      </c>
      <c r="N1643" s="1" t="s">
        <v>3902</v>
      </c>
      <c r="O1643" s="1" t="s">
        <v>3903</v>
      </c>
      <c r="P1643" s="1" t="s">
        <v>2182</v>
      </c>
      <c r="Q1643" s="1"/>
      <c r="R1643" s="1"/>
      <c r="S1643" s="1" t="s">
        <v>2072</v>
      </c>
      <c r="T1643" s="1" t="s">
        <v>3165</v>
      </c>
      <c r="U1643" s="4">
        <v>5000000</v>
      </c>
      <c r="V1643" s="4">
        <v>1249</v>
      </c>
      <c r="W1643" s="4">
        <v>13</v>
      </c>
      <c r="X1643" s="4">
        <v>188</v>
      </c>
      <c r="Y1643" s="4">
        <v>0</v>
      </c>
      <c r="Z1643" s="5">
        <v>1450</v>
      </c>
      <c r="AA1643" s="5">
        <v>0</v>
      </c>
      <c r="AB1643" s="6">
        <v>0</v>
      </c>
      <c r="AC1643" s="4">
        <v>1450</v>
      </c>
      <c r="AD1643" s="4">
        <v>0</v>
      </c>
      <c r="AE1643" s="4">
        <v>1450</v>
      </c>
      <c r="AF1643" s="1"/>
      <c r="AG1643" s="1"/>
      <c r="AH1643" s="1"/>
      <c r="AI1643" s="1" t="s">
        <v>2327</v>
      </c>
      <c r="AJ1643" s="6">
        <v>545.07999999999902</v>
      </c>
      <c r="AK1643" s="6">
        <v>211.94</v>
      </c>
      <c r="AL1643" s="1"/>
    </row>
    <row r="1644" spans="1:38" hidden="1" x14ac:dyDescent="0.25">
      <c r="A1644" s="2">
        <v>2281</v>
      </c>
      <c r="B1644" s="1" t="s">
        <v>1909</v>
      </c>
      <c r="C1644" s="1" t="s">
        <v>1912</v>
      </c>
      <c r="D1644" s="1" t="s">
        <v>2062</v>
      </c>
      <c r="E1644" s="1" t="s">
        <v>2063</v>
      </c>
      <c r="F1644" s="3">
        <v>45637</v>
      </c>
      <c r="G1644" s="3">
        <v>45453</v>
      </c>
      <c r="H1644" s="3">
        <v>45817</v>
      </c>
      <c r="I1644" s="1" t="s">
        <v>3898</v>
      </c>
      <c r="J1644" s="1" t="s">
        <v>3899</v>
      </c>
      <c r="K1644" s="1"/>
      <c r="L1644" s="1" t="s">
        <v>3900</v>
      </c>
      <c r="M1644" s="1" t="s">
        <v>3901</v>
      </c>
      <c r="N1644" s="1" t="s">
        <v>3902</v>
      </c>
      <c r="O1644" s="1" t="s">
        <v>3903</v>
      </c>
      <c r="P1644" s="1" t="s">
        <v>2182</v>
      </c>
      <c r="Q1644" s="1"/>
      <c r="R1644" s="1"/>
      <c r="S1644" s="1" t="s">
        <v>2072</v>
      </c>
      <c r="T1644" s="1" t="s">
        <v>3165</v>
      </c>
      <c r="U1644" s="4">
        <v>5000000</v>
      </c>
      <c r="V1644" s="4">
        <v>2589</v>
      </c>
      <c r="W1644" s="4">
        <v>26</v>
      </c>
      <c r="X1644" s="4">
        <v>388</v>
      </c>
      <c r="Y1644" s="4">
        <v>0</v>
      </c>
      <c r="Z1644" s="5">
        <v>3003</v>
      </c>
      <c r="AA1644" s="5">
        <v>0</v>
      </c>
      <c r="AB1644" s="6">
        <v>0</v>
      </c>
      <c r="AC1644" s="4">
        <v>3003</v>
      </c>
      <c r="AD1644" s="4">
        <v>0</v>
      </c>
      <c r="AE1644" s="4">
        <v>3003</v>
      </c>
      <c r="AF1644" s="1"/>
      <c r="AG1644" s="1"/>
      <c r="AH1644" s="1"/>
      <c r="AI1644" s="1" t="s">
        <v>2327</v>
      </c>
      <c r="AJ1644" s="6">
        <v>494.48</v>
      </c>
      <c r="AK1644" s="6">
        <v>438.53</v>
      </c>
      <c r="AL1644" s="1"/>
    </row>
    <row r="1645" spans="1:38" hidden="1" x14ac:dyDescent="0.25">
      <c r="A1645" s="2">
        <v>2282</v>
      </c>
      <c r="B1645" s="1" t="s">
        <v>1909</v>
      </c>
      <c r="C1645" s="1" t="s">
        <v>1913</v>
      </c>
      <c r="D1645" s="1" t="s">
        <v>2062</v>
      </c>
      <c r="E1645" s="1" t="s">
        <v>2063</v>
      </c>
      <c r="F1645" s="3">
        <v>45667</v>
      </c>
      <c r="G1645" s="3">
        <v>45453</v>
      </c>
      <c r="H1645" s="3">
        <v>45817</v>
      </c>
      <c r="I1645" s="1" t="s">
        <v>3898</v>
      </c>
      <c r="J1645" s="1" t="s">
        <v>3899</v>
      </c>
      <c r="K1645" s="1"/>
      <c r="L1645" s="1" t="s">
        <v>3900</v>
      </c>
      <c r="M1645" s="1" t="s">
        <v>3901</v>
      </c>
      <c r="N1645" s="1" t="s">
        <v>3902</v>
      </c>
      <c r="O1645" s="1" t="s">
        <v>3903</v>
      </c>
      <c r="P1645" s="1" t="s">
        <v>2182</v>
      </c>
      <c r="Q1645" s="1"/>
      <c r="R1645" s="1"/>
      <c r="S1645" s="1" t="s">
        <v>2072</v>
      </c>
      <c r="T1645" s="1" t="s">
        <v>3165</v>
      </c>
      <c r="U1645" s="4">
        <v>5000000</v>
      </c>
      <c r="V1645" s="4">
        <v>2040</v>
      </c>
      <c r="W1645" s="4">
        <v>20</v>
      </c>
      <c r="X1645" s="4">
        <v>306</v>
      </c>
      <c r="Y1645" s="4">
        <v>0</v>
      </c>
      <c r="Z1645" s="5">
        <v>2366</v>
      </c>
      <c r="AA1645" s="5">
        <v>0</v>
      </c>
      <c r="AB1645" s="6">
        <v>0</v>
      </c>
      <c r="AC1645" s="4">
        <v>2366</v>
      </c>
      <c r="AD1645" s="4">
        <v>0</v>
      </c>
      <c r="AE1645" s="4">
        <v>2366</v>
      </c>
      <c r="AF1645" s="1"/>
      <c r="AG1645" s="1"/>
      <c r="AH1645" s="1"/>
      <c r="AI1645" s="1" t="s">
        <v>2327</v>
      </c>
      <c r="AJ1645" s="6">
        <v>459.16</v>
      </c>
      <c r="AK1645" s="6">
        <v>345.35</v>
      </c>
      <c r="AL1645" s="1"/>
    </row>
    <row r="1646" spans="1:38" hidden="1" x14ac:dyDescent="0.25">
      <c r="A1646" s="2">
        <v>2283</v>
      </c>
      <c r="B1646" s="1" t="s">
        <v>1909</v>
      </c>
      <c r="C1646" s="1" t="s">
        <v>1914</v>
      </c>
      <c r="D1646" s="1" t="s">
        <v>2062</v>
      </c>
      <c r="E1646" s="1" t="s">
        <v>2063</v>
      </c>
      <c r="F1646" s="3">
        <v>45699</v>
      </c>
      <c r="G1646" s="3">
        <v>45453</v>
      </c>
      <c r="H1646" s="3">
        <v>45817</v>
      </c>
      <c r="I1646" s="1" t="s">
        <v>3898</v>
      </c>
      <c r="J1646" s="1" t="s">
        <v>3899</v>
      </c>
      <c r="K1646" s="1"/>
      <c r="L1646" s="1" t="s">
        <v>3900</v>
      </c>
      <c r="M1646" s="1" t="s">
        <v>3901</v>
      </c>
      <c r="N1646" s="1" t="s">
        <v>3902</v>
      </c>
      <c r="O1646" s="1" t="s">
        <v>3903</v>
      </c>
      <c r="P1646" s="1" t="s">
        <v>2182</v>
      </c>
      <c r="Q1646" s="1"/>
      <c r="R1646" s="1"/>
      <c r="S1646" s="1" t="s">
        <v>2072</v>
      </c>
      <c r="T1646" s="1" t="s">
        <v>3165</v>
      </c>
      <c r="U1646" s="4">
        <v>5000000</v>
      </c>
      <c r="V1646" s="4">
        <v>3488</v>
      </c>
      <c r="W1646" s="4">
        <v>35</v>
      </c>
      <c r="X1646" s="4">
        <v>523</v>
      </c>
      <c r="Y1646" s="4">
        <v>0</v>
      </c>
      <c r="Z1646" s="5">
        <v>4046</v>
      </c>
      <c r="AA1646" s="5">
        <v>0</v>
      </c>
      <c r="AB1646" s="6">
        <v>0</v>
      </c>
      <c r="AC1646" s="4">
        <v>4046</v>
      </c>
      <c r="AD1646" s="4">
        <v>0</v>
      </c>
      <c r="AE1646" s="4">
        <v>4046</v>
      </c>
      <c r="AF1646" s="1"/>
      <c r="AG1646" s="1"/>
      <c r="AH1646" s="1"/>
      <c r="AI1646" s="1" t="s">
        <v>2327</v>
      </c>
      <c r="AJ1646" s="6">
        <v>1972.0500000000002</v>
      </c>
      <c r="AK1646" s="6">
        <v>590.98</v>
      </c>
      <c r="AL1646" s="1"/>
    </row>
    <row r="1647" spans="1:38" hidden="1" x14ac:dyDescent="0.25">
      <c r="A1647" s="2">
        <v>2284</v>
      </c>
      <c r="B1647" s="1" t="s">
        <v>1909</v>
      </c>
      <c r="C1647" s="1" t="s">
        <v>1915</v>
      </c>
      <c r="D1647" s="1" t="s">
        <v>2062</v>
      </c>
      <c r="E1647" s="1" t="s">
        <v>2063</v>
      </c>
      <c r="F1647" s="3">
        <v>45727</v>
      </c>
      <c r="G1647" s="3">
        <v>45453</v>
      </c>
      <c r="H1647" s="3">
        <v>45817</v>
      </c>
      <c r="I1647" s="1" t="s">
        <v>3898</v>
      </c>
      <c r="J1647" s="1" t="s">
        <v>3899</v>
      </c>
      <c r="K1647" s="1"/>
      <c r="L1647" s="1" t="s">
        <v>3900</v>
      </c>
      <c r="M1647" s="1" t="s">
        <v>3901</v>
      </c>
      <c r="N1647" s="1" t="s">
        <v>3902</v>
      </c>
      <c r="O1647" s="1" t="s">
        <v>3903</v>
      </c>
      <c r="P1647" s="1" t="s">
        <v>2182</v>
      </c>
      <c r="Q1647" s="1"/>
      <c r="R1647" s="1"/>
      <c r="S1647" s="1" t="s">
        <v>2072</v>
      </c>
      <c r="T1647" s="1" t="s">
        <v>3165</v>
      </c>
      <c r="U1647" s="4">
        <v>5000000</v>
      </c>
      <c r="V1647" s="4">
        <v>2048</v>
      </c>
      <c r="W1647" s="4">
        <v>20</v>
      </c>
      <c r="X1647" s="4">
        <v>307</v>
      </c>
      <c r="Y1647" s="4">
        <v>0</v>
      </c>
      <c r="Z1647" s="5">
        <v>2375</v>
      </c>
      <c r="AA1647" s="5">
        <v>0</v>
      </c>
      <c r="AB1647" s="6">
        <v>0</v>
      </c>
      <c r="AC1647" s="4">
        <v>2375</v>
      </c>
      <c r="AD1647" s="4">
        <v>0</v>
      </c>
      <c r="AE1647" s="4">
        <v>2375</v>
      </c>
      <c r="AF1647" s="1"/>
      <c r="AG1647" s="1"/>
      <c r="AH1647" s="1"/>
      <c r="AI1647" s="1" t="s">
        <v>2327</v>
      </c>
      <c r="AJ1647" s="6">
        <v>767.27000000000203</v>
      </c>
      <c r="AK1647" s="6">
        <v>346.99</v>
      </c>
      <c r="AL1647" s="1"/>
    </row>
    <row r="1648" spans="1:38" hidden="1" x14ac:dyDescent="0.25">
      <c r="A1648" s="2">
        <v>2285</v>
      </c>
      <c r="B1648" s="1" t="s">
        <v>1909</v>
      </c>
      <c r="C1648" s="1" t="s">
        <v>1916</v>
      </c>
      <c r="D1648" s="1" t="s">
        <v>2062</v>
      </c>
      <c r="E1648" s="1" t="s">
        <v>2063</v>
      </c>
      <c r="F1648" s="3">
        <v>45745</v>
      </c>
      <c r="G1648" s="3">
        <v>45453</v>
      </c>
      <c r="H1648" s="3">
        <v>45817</v>
      </c>
      <c r="I1648" s="1" t="s">
        <v>3898</v>
      </c>
      <c r="J1648" s="1" t="s">
        <v>3899</v>
      </c>
      <c r="K1648" s="1"/>
      <c r="L1648" s="1" t="s">
        <v>3900</v>
      </c>
      <c r="M1648" s="1" t="s">
        <v>3901</v>
      </c>
      <c r="N1648" s="1" t="s">
        <v>3902</v>
      </c>
      <c r="O1648" s="1" t="s">
        <v>3903</v>
      </c>
      <c r="P1648" s="1" t="s">
        <v>2182</v>
      </c>
      <c r="Q1648" s="1"/>
      <c r="R1648" s="1"/>
      <c r="S1648" s="1" t="s">
        <v>2072</v>
      </c>
      <c r="T1648" s="1" t="s">
        <v>3165</v>
      </c>
      <c r="U1648" s="4">
        <v>-1</v>
      </c>
      <c r="V1648" s="4">
        <v>-14500</v>
      </c>
      <c r="W1648" s="4">
        <v>-128</v>
      </c>
      <c r="X1648" s="4">
        <v>0</v>
      </c>
      <c r="Y1648" s="4">
        <v>0</v>
      </c>
      <c r="Z1648" s="5">
        <v>-14628</v>
      </c>
      <c r="AA1648" s="5">
        <v>0</v>
      </c>
      <c r="AB1648" s="6">
        <v>0</v>
      </c>
      <c r="AC1648" s="4">
        <v>-14628</v>
      </c>
      <c r="AD1648" s="4">
        <v>0</v>
      </c>
      <c r="AE1648" s="4">
        <v>-14628</v>
      </c>
      <c r="AF1648" s="1"/>
      <c r="AG1648" s="1"/>
      <c r="AH1648" s="1"/>
      <c r="AI1648" s="1" t="s">
        <v>2327</v>
      </c>
      <c r="AJ1648" s="1"/>
      <c r="AK1648" s="1"/>
      <c r="AL1648" s="1"/>
    </row>
    <row r="1649" spans="1:38" hidden="1" x14ac:dyDescent="0.25">
      <c r="A1649" s="2">
        <v>2299</v>
      </c>
      <c r="B1649" s="1" t="s">
        <v>1917</v>
      </c>
      <c r="C1649" s="1" t="s">
        <v>1918</v>
      </c>
      <c r="D1649" s="1" t="s">
        <v>2062</v>
      </c>
      <c r="E1649" s="1" t="s">
        <v>2063</v>
      </c>
      <c r="F1649" s="3">
        <v>45488</v>
      </c>
      <c r="G1649" s="3">
        <v>45455</v>
      </c>
      <c r="H1649" s="3">
        <v>45819</v>
      </c>
      <c r="I1649" s="1" t="s">
        <v>3669</v>
      </c>
      <c r="J1649" s="1" t="s">
        <v>3904</v>
      </c>
      <c r="K1649" s="1"/>
      <c r="L1649" s="1" t="s">
        <v>3905</v>
      </c>
      <c r="M1649" s="1" t="s">
        <v>3906</v>
      </c>
      <c r="N1649" s="1" t="s">
        <v>3907</v>
      </c>
      <c r="O1649" s="1" t="s">
        <v>3908</v>
      </c>
      <c r="P1649" s="1" t="s">
        <v>2182</v>
      </c>
      <c r="Q1649" s="1"/>
      <c r="R1649" s="1"/>
      <c r="S1649" s="1" t="s">
        <v>2072</v>
      </c>
      <c r="T1649" s="1" t="s">
        <v>3165</v>
      </c>
      <c r="U1649" s="4">
        <v>9000000</v>
      </c>
      <c r="V1649" s="4">
        <v>8570</v>
      </c>
      <c r="W1649" s="4">
        <v>86</v>
      </c>
      <c r="X1649" s="4">
        <v>1286</v>
      </c>
      <c r="Y1649" s="4">
        <v>0</v>
      </c>
      <c r="Z1649" s="5">
        <v>9942</v>
      </c>
      <c r="AA1649" s="5">
        <v>0</v>
      </c>
      <c r="AB1649" s="6">
        <v>0</v>
      </c>
      <c r="AC1649" s="4">
        <v>9942</v>
      </c>
      <c r="AD1649" s="4">
        <v>0</v>
      </c>
      <c r="AE1649" s="4">
        <v>9942</v>
      </c>
      <c r="AF1649" s="1"/>
      <c r="AG1649" s="1"/>
      <c r="AH1649" s="1"/>
      <c r="AI1649" s="1" t="s">
        <v>2327</v>
      </c>
      <c r="AJ1649" s="6">
        <v>4370.8100000000441</v>
      </c>
      <c r="AK1649" s="6">
        <v>806.10000000000105</v>
      </c>
      <c r="AL1649" s="1"/>
    </row>
    <row r="1650" spans="1:38" hidden="1" x14ac:dyDescent="0.25">
      <c r="A1650" s="2">
        <v>2300</v>
      </c>
      <c r="B1650" s="1" t="s">
        <v>1917</v>
      </c>
      <c r="C1650" s="1" t="s">
        <v>1919</v>
      </c>
      <c r="D1650" s="1" t="s">
        <v>2062</v>
      </c>
      <c r="E1650" s="1" t="s">
        <v>2063</v>
      </c>
      <c r="F1650" s="3">
        <v>45596</v>
      </c>
      <c r="G1650" s="3">
        <v>45455</v>
      </c>
      <c r="H1650" s="3">
        <v>45819</v>
      </c>
      <c r="I1650" s="1" t="s">
        <v>3669</v>
      </c>
      <c r="J1650" s="1" t="s">
        <v>3904</v>
      </c>
      <c r="K1650" s="1"/>
      <c r="L1650" s="1" t="s">
        <v>3905</v>
      </c>
      <c r="M1650" s="1" t="s">
        <v>3906</v>
      </c>
      <c r="N1650" s="1" t="s">
        <v>3907</v>
      </c>
      <c r="O1650" s="1" t="s">
        <v>3908</v>
      </c>
      <c r="P1650" s="1" t="s">
        <v>2182</v>
      </c>
      <c r="Q1650" s="1"/>
      <c r="R1650" s="1"/>
      <c r="S1650" s="1" t="s">
        <v>2072</v>
      </c>
      <c r="T1650" s="1" t="s">
        <v>3165</v>
      </c>
      <c r="U1650" s="4">
        <v>-1</v>
      </c>
      <c r="V1650" s="4">
        <v>-8721</v>
      </c>
      <c r="W1650" s="4">
        <v>-87</v>
      </c>
      <c r="X1650" s="4">
        <v>-1134</v>
      </c>
      <c r="Y1650" s="4">
        <v>0</v>
      </c>
      <c r="Z1650" s="5">
        <v>-9942</v>
      </c>
      <c r="AA1650" s="5">
        <v>0</v>
      </c>
      <c r="AB1650" s="6">
        <v>0</v>
      </c>
      <c r="AC1650" s="4">
        <v>-9942</v>
      </c>
      <c r="AD1650" s="4">
        <v>0</v>
      </c>
      <c r="AE1650" s="4">
        <v>-9942</v>
      </c>
      <c r="AF1650" s="1"/>
      <c r="AG1650" s="1"/>
      <c r="AH1650" s="1"/>
      <c r="AI1650" s="1" t="s">
        <v>2327</v>
      </c>
      <c r="AJ1650" s="1"/>
      <c r="AK1650" s="1"/>
      <c r="AL1650" s="1"/>
    </row>
    <row r="1651" spans="1:38" hidden="1" x14ac:dyDescent="0.25">
      <c r="A1651" s="2">
        <v>2305</v>
      </c>
      <c r="B1651" s="1" t="s">
        <v>1920</v>
      </c>
      <c r="C1651" s="1" t="s">
        <v>1921</v>
      </c>
      <c r="D1651" s="1" t="s">
        <v>2062</v>
      </c>
      <c r="E1651" s="1" t="s">
        <v>2063</v>
      </c>
      <c r="F1651" s="3">
        <v>45640</v>
      </c>
      <c r="G1651" s="3">
        <v>45456</v>
      </c>
      <c r="H1651" s="3">
        <v>45820</v>
      </c>
      <c r="I1651" s="1" t="s">
        <v>3909</v>
      </c>
      <c r="J1651" s="1" t="s">
        <v>3910</v>
      </c>
      <c r="K1651" s="1"/>
      <c r="L1651" s="1" t="s">
        <v>3911</v>
      </c>
      <c r="M1651" s="1" t="s">
        <v>3912</v>
      </c>
      <c r="N1651" s="1" t="s">
        <v>3913</v>
      </c>
      <c r="O1651" s="1" t="s">
        <v>3914</v>
      </c>
      <c r="P1651" s="1" t="s">
        <v>2434</v>
      </c>
      <c r="Q1651" s="1"/>
      <c r="R1651" s="1"/>
      <c r="S1651" s="1" t="s">
        <v>2072</v>
      </c>
      <c r="T1651" s="1" t="s">
        <v>3165</v>
      </c>
      <c r="U1651" s="4">
        <v>1800000</v>
      </c>
      <c r="V1651" s="4">
        <v>1548</v>
      </c>
      <c r="W1651" s="4">
        <v>15</v>
      </c>
      <c r="X1651" s="4">
        <v>232</v>
      </c>
      <c r="Y1651" s="4">
        <v>0</v>
      </c>
      <c r="Z1651" s="5">
        <v>1795</v>
      </c>
      <c r="AA1651" s="5">
        <v>0</v>
      </c>
      <c r="AB1651" s="6">
        <v>0</v>
      </c>
      <c r="AC1651" s="4">
        <v>1795</v>
      </c>
      <c r="AD1651" s="4">
        <v>0</v>
      </c>
      <c r="AE1651" s="4">
        <v>1795</v>
      </c>
      <c r="AF1651" s="1"/>
      <c r="AG1651" s="1"/>
      <c r="AH1651" s="1"/>
      <c r="AI1651" s="1" t="s">
        <v>2327</v>
      </c>
      <c r="AJ1651" s="6">
        <v>1005.0100000000001</v>
      </c>
      <c r="AK1651" s="6">
        <v>727.56</v>
      </c>
      <c r="AL1651" s="1"/>
    </row>
    <row r="1652" spans="1:38" hidden="1" x14ac:dyDescent="0.25">
      <c r="A1652" s="2">
        <v>2306</v>
      </c>
      <c r="B1652" s="1" t="s">
        <v>1920</v>
      </c>
      <c r="C1652" s="1" t="s">
        <v>1922</v>
      </c>
      <c r="D1652" s="1" t="s">
        <v>2062</v>
      </c>
      <c r="E1652" s="1" t="s">
        <v>2063</v>
      </c>
      <c r="F1652" s="3">
        <v>45745</v>
      </c>
      <c r="G1652" s="3">
        <v>45456</v>
      </c>
      <c r="H1652" s="3">
        <v>45820</v>
      </c>
      <c r="I1652" s="1" t="s">
        <v>3909</v>
      </c>
      <c r="J1652" s="1" t="s">
        <v>3910</v>
      </c>
      <c r="K1652" s="1"/>
      <c r="L1652" s="1" t="s">
        <v>3911</v>
      </c>
      <c r="M1652" s="1" t="s">
        <v>3912</v>
      </c>
      <c r="N1652" s="1" t="s">
        <v>3913</v>
      </c>
      <c r="O1652" s="1" t="s">
        <v>3914</v>
      </c>
      <c r="P1652" s="1" t="s">
        <v>2434</v>
      </c>
      <c r="Q1652" s="1"/>
      <c r="R1652" s="1"/>
      <c r="S1652" s="1" t="s">
        <v>2072</v>
      </c>
      <c r="T1652" s="1" t="s">
        <v>3165</v>
      </c>
      <c r="U1652" s="4">
        <v>-1</v>
      </c>
      <c r="V1652" s="4">
        <v>-1779</v>
      </c>
      <c r="W1652" s="4">
        <v>-16</v>
      </c>
      <c r="X1652" s="4">
        <v>0</v>
      </c>
      <c r="Y1652" s="4">
        <v>0</v>
      </c>
      <c r="Z1652" s="5">
        <v>-1795</v>
      </c>
      <c r="AA1652" s="5">
        <v>0</v>
      </c>
      <c r="AB1652" s="6">
        <v>0</v>
      </c>
      <c r="AC1652" s="4">
        <v>-1795</v>
      </c>
      <c r="AD1652" s="4">
        <v>0</v>
      </c>
      <c r="AE1652" s="4">
        <v>-1795</v>
      </c>
      <c r="AF1652" s="1"/>
      <c r="AG1652" s="1"/>
      <c r="AH1652" s="1"/>
      <c r="AI1652" s="1" t="s">
        <v>2327</v>
      </c>
      <c r="AJ1652" s="1"/>
      <c r="AK1652" s="1"/>
      <c r="AL1652" s="1"/>
    </row>
    <row r="1653" spans="1:38" hidden="1" x14ac:dyDescent="0.25">
      <c r="A1653" s="2">
        <v>2322</v>
      </c>
      <c r="B1653" s="1" t="s">
        <v>1923</v>
      </c>
      <c r="C1653" s="1" t="s">
        <v>1924</v>
      </c>
      <c r="D1653" s="1" t="s">
        <v>2062</v>
      </c>
      <c r="E1653" s="1" t="s">
        <v>2063</v>
      </c>
      <c r="F1653" s="3">
        <v>45650</v>
      </c>
      <c r="G1653" s="3">
        <v>45465</v>
      </c>
      <c r="H1653" s="3">
        <v>45829</v>
      </c>
      <c r="I1653" s="1" t="s">
        <v>2669</v>
      </c>
      <c r="J1653" s="1" t="s">
        <v>2670</v>
      </c>
      <c r="K1653" s="1"/>
      <c r="L1653" s="1" t="s">
        <v>2404</v>
      </c>
      <c r="M1653" s="1" t="s">
        <v>2671</v>
      </c>
      <c r="N1653" s="1" t="s">
        <v>2672</v>
      </c>
      <c r="O1653" s="1" t="s">
        <v>2673</v>
      </c>
      <c r="P1653" s="1" t="s">
        <v>2165</v>
      </c>
      <c r="Q1653" s="1"/>
      <c r="R1653" s="1"/>
      <c r="S1653" s="1" t="s">
        <v>2072</v>
      </c>
      <c r="T1653" s="1" t="s">
        <v>3165</v>
      </c>
      <c r="U1653" s="4">
        <v>3350000</v>
      </c>
      <c r="V1653" s="4">
        <v>3887</v>
      </c>
      <c r="W1653" s="4">
        <v>39</v>
      </c>
      <c r="X1653" s="4">
        <v>583</v>
      </c>
      <c r="Y1653" s="4">
        <v>0</v>
      </c>
      <c r="Z1653" s="5">
        <v>4509</v>
      </c>
      <c r="AA1653" s="5">
        <v>0</v>
      </c>
      <c r="AB1653" s="6">
        <v>0</v>
      </c>
      <c r="AC1653" s="4">
        <v>4509</v>
      </c>
      <c r="AD1653" s="4">
        <v>0</v>
      </c>
      <c r="AE1653" s="4">
        <v>4509</v>
      </c>
      <c r="AF1653" s="1"/>
      <c r="AG1653" s="1"/>
      <c r="AH1653" s="1"/>
      <c r="AI1653" s="1" t="s">
        <v>3057</v>
      </c>
      <c r="AJ1653" s="6">
        <v>1255.059999999999</v>
      </c>
      <c r="AK1653" s="6">
        <v>980.98</v>
      </c>
      <c r="AL1653" s="1"/>
    </row>
    <row r="1654" spans="1:38" hidden="1" x14ac:dyDescent="0.25">
      <c r="A1654" s="2">
        <v>2323</v>
      </c>
      <c r="B1654" s="1" t="s">
        <v>1923</v>
      </c>
      <c r="C1654" s="1" t="s">
        <v>1925</v>
      </c>
      <c r="D1654" s="1" t="s">
        <v>2062</v>
      </c>
      <c r="E1654" s="1" t="s">
        <v>2063</v>
      </c>
      <c r="F1654" s="3">
        <v>45655</v>
      </c>
      <c r="G1654" s="3">
        <v>45465</v>
      </c>
      <c r="H1654" s="3">
        <v>45829</v>
      </c>
      <c r="I1654" s="1" t="s">
        <v>2669</v>
      </c>
      <c r="J1654" s="1" t="s">
        <v>2670</v>
      </c>
      <c r="K1654" s="1"/>
      <c r="L1654" s="1" t="s">
        <v>2404</v>
      </c>
      <c r="M1654" s="1" t="s">
        <v>2671</v>
      </c>
      <c r="N1654" s="1" t="s">
        <v>2672</v>
      </c>
      <c r="O1654" s="1" t="s">
        <v>2673</v>
      </c>
      <c r="P1654" s="1" t="s">
        <v>2165</v>
      </c>
      <c r="Q1654" s="1"/>
      <c r="R1654" s="1"/>
      <c r="S1654" s="1" t="s">
        <v>2072</v>
      </c>
      <c r="T1654" s="1" t="s">
        <v>3165</v>
      </c>
      <c r="U1654" s="4">
        <v>-1</v>
      </c>
      <c r="V1654" s="4">
        <v>-4464</v>
      </c>
      <c r="W1654" s="4">
        <v>-45</v>
      </c>
      <c r="X1654" s="4">
        <v>0</v>
      </c>
      <c r="Y1654" s="4">
        <v>0</v>
      </c>
      <c r="Z1654" s="5">
        <v>-4509</v>
      </c>
      <c r="AA1654" s="5">
        <v>0</v>
      </c>
      <c r="AB1654" s="6">
        <v>0</v>
      </c>
      <c r="AC1654" s="4">
        <v>-4509</v>
      </c>
      <c r="AD1654" s="4">
        <v>0</v>
      </c>
      <c r="AE1654" s="4">
        <v>-4509</v>
      </c>
      <c r="AF1654" s="1"/>
      <c r="AG1654" s="1"/>
      <c r="AH1654" s="1"/>
      <c r="AI1654" s="1" t="s">
        <v>3057</v>
      </c>
      <c r="AJ1654" s="1"/>
      <c r="AK1654" s="1"/>
      <c r="AL1654" s="1"/>
    </row>
    <row r="1655" spans="1:38" hidden="1" x14ac:dyDescent="0.25">
      <c r="A1655" s="2">
        <v>2324</v>
      </c>
      <c r="B1655" s="1" t="s">
        <v>1926</v>
      </c>
      <c r="C1655" s="1" t="s">
        <v>1927</v>
      </c>
      <c r="D1655" s="1" t="s">
        <v>2062</v>
      </c>
      <c r="E1655" s="1" t="s">
        <v>2063</v>
      </c>
      <c r="F1655" s="3">
        <v>45612</v>
      </c>
      <c r="G1655" s="3">
        <v>45458</v>
      </c>
      <c r="H1655" s="3">
        <v>45822</v>
      </c>
      <c r="I1655" s="1" t="s">
        <v>3915</v>
      </c>
      <c r="J1655" s="1" t="s">
        <v>3916</v>
      </c>
      <c r="K1655" s="1"/>
      <c r="L1655" s="1" t="s">
        <v>2376</v>
      </c>
      <c r="M1655" s="1" t="s">
        <v>3917</v>
      </c>
      <c r="N1655" s="1" t="s">
        <v>3918</v>
      </c>
      <c r="O1655" s="1" t="s">
        <v>3919</v>
      </c>
      <c r="P1655" s="1" t="s">
        <v>2119</v>
      </c>
      <c r="Q1655" s="1"/>
      <c r="R1655" s="1"/>
      <c r="S1655" s="1" t="s">
        <v>2072</v>
      </c>
      <c r="T1655" s="1" t="s">
        <v>3165</v>
      </c>
      <c r="U1655" s="4">
        <v>5000000</v>
      </c>
      <c r="V1655" s="4">
        <v>5617</v>
      </c>
      <c r="W1655" s="4">
        <v>56</v>
      </c>
      <c r="X1655" s="4">
        <v>843</v>
      </c>
      <c r="Y1655" s="4">
        <v>0</v>
      </c>
      <c r="Z1655" s="5">
        <v>6516</v>
      </c>
      <c r="AA1655" s="5">
        <v>0</v>
      </c>
      <c r="AB1655" s="6">
        <v>0</v>
      </c>
      <c r="AC1655" s="4">
        <v>6516</v>
      </c>
      <c r="AD1655" s="4">
        <v>0</v>
      </c>
      <c r="AE1655" s="4">
        <v>6516</v>
      </c>
      <c r="AF1655" s="1"/>
      <c r="AG1655" s="1"/>
      <c r="AH1655" s="1"/>
      <c r="AI1655" s="1" t="s">
        <v>2327</v>
      </c>
      <c r="AJ1655" s="6">
        <v>1228.490000000003</v>
      </c>
      <c r="AK1655" s="6">
        <v>951.47000000000105</v>
      </c>
      <c r="AL1655" s="1"/>
    </row>
    <row r="1656" spans="1:38" hidden="1" x14ac:dyDescent="0.25">
      <c r="A1656" s="2">
        <v>2325</v>
      </c>
      <c r="B1656" s="1" t="s">
        <v>1926</v>
      </c>
      <c r="C1656" s="1" t="s">
        <v>1928</v>
      </c>
      <c r="D1656" s="1" t="s">
        <v>2062</v>
      </c>
      <c r="E1656" s="1" t="s">
        <v>2063</v>
      </c>
      <c r="F1656" s="3">
        <v>45642</v>
      </c>
      <c r="G1656" s="3">
        <v>45458</v>
      </c>
      <c r="H1656" s="3">
        <v>45822</v>
      </c>
      <c r="I1656" s="1" t="s">
        <v>3915</v>
      </c>
      <c r="J1656" s="1" t="s">
        <v>3916</v>
      </c>
      <c r="K1656" s="1"/>
      <c r="L1656" s="1" t="s">
        <v>2376</v>
      </c>
      <c r="M1656" s="1" t="s">
        <v>3917</v>
      </c>
      <c r="N1656" s="1" t="s">
        <v>3918</v>
      </c>
      <c r="O1656" s="1" t="s">
        <v>3919</v>
      </c>
      <c r="P1656" s="1" t="s">
        <v>2119</v>
      </c>
      <c r="Q1656" s="1"/>
      <c r="R1656" s="1"/>
      <c r="S1656" s="1" t="s">
        <v>2072</v>
      </c>
      <c r="T1656" s="1" t="s">
        <v>3165</v>
      </c>
      <c r="U1656" s="4">
        <v>5000000</v>
      </c>
      <c r="V1656" s="4">
        <v>4655</v>
      </c>
      <c r="W1656" s="4">
        <v>47</v>
      </c>
      <c r="X1656" s="4">
        <v>698</v>
      </c>
      <c r="Y1656" s="4">
        <v>0</v>
      </c>
      <c r="Z1656" s="5">
        <v>5400</v>
      </c>
      <c r="AA1656" s="5">
        <v>0</v>
      </c>
      <c r="AB1656" s="6">
        <v>0</v>
      </c>
      <c r="AC1656" s="4">
        <v>5400</v>
      </c>
      <c r="AD1656" s="4">
        <v>0</v>
      </c>
      <c r="AE1656" s="4">
        <v>5400</v>
      </c>
      <c r="AF1656" s="1"/>
      <c r="AG1656" s="1"/>
      <c r="AH1656" s="1"/>
      <c r="AI1656" s="1" t="s">
        <v>2327</v>
      </c>
      <c r="AJ1656" s="6">
        <v>2109.0100000000343</v>
      </c>
      <c r="AK1656" s="6">
        <v>788.95000000000107</v>
      </c>
      <c r="AL1656" s="1"/>
    </row>
    <row r="1657" spans="1:38" hidden="1" x14ac:dyDescent="0.25">
      <c r="A1657" s="2">
        <v>2326</v>
      </c>
      <c r="B1657" s="1" t="s">
        <v>1926</v>
      </c>
      <c r="C1657" s="1" t="s">
        <v>1929</v>
      </c>
      <c r="D1657" s="1" t="s">
        <v>2062</v>
      </c>
      <c r="E1657" s="1" t="s">
        <v>2063</v>
      </c>
      <c r="F1657" s="3">
        <v>45673</v>
      </c>
      <c r="G1657" s="3">
        <v>45458</v>
      </c>
      <c r="H1657" s="3">
        <v>45822</v>
      </c>
      <c r="I1657" s="1" t="s">
        <v>3915</v>
      </c>
      <c r="J1657" s="1" t="s">
        <v>3916</v>
      </c>
      <c r="K1657" s="1"/>
      <c r="L1657" s="1" t="s">
        <v>2376</v>
      </c>
      <c r="M1657" s="1" t="s">
        <v>3917</v>
      </c>
      <c r="N1657" s="1" t="s">
        <v>3918</v>
      </c>
      <c r="O1657" s="1" t="s">
        <v>3919</v>
      </c>
      <c r="P1657" s="1" t="s">
        <v>2119</v>
      </c>
      <c r="Q1657" s="1"/>
      <c r="R1657" s="1"/>
      <c r="S1657" s="1" t="s">
        <v>2072</v>
      </c>
      <c r="T1657" s="1" t="s">
        <v>3165</v>
      </c>
      <c r="U1657" s="4">
        <v>5000000</v>
      </c>
      <c r="V1657" s="4">
        <v>5287</v>
      </c>
      <c r="W1657" s="4">
        <v>53</v>
      </c>
      <c r="X1657" s="4">
        <v>793</v>
      </c>
      <c r="Y1657" s="4">
        <v>0</v>
      </c>
      <c r="Z1657" s="5">
        <v>6133</v>
      </c>
      <c r="AA1657" s="5">
        <v>0</v>
      </c>
      <c r="AB1657" s="6">
        <v>0</v>
      </c>
      <c r="AC1657" s="4">
        <v>6133</v>
      </c>
      <c r="AD1657" s="4">
        <v>0</v>
      </c>
      <c r="AE1657" s="4">
        <v>6133</v>
      </c>
      <c r="AF1657" s="1"/>
      <c r="AG1657" s="1"/>
      <c r="AH1657" s="1"/>
      <c r="AI1657" s="1" t="s">
        <v>2327</v>
      </c>
      <c r="AJ1657" s="6">
        <v>2224.5900000000333</v>
      </c>
      <c r="AK1657" s="6">
        <v>895.77000000000112</v>
      </c>
      <c r="AL1657" s="1"/>
    </row>
    <row r="1658" spans="1:38" hidden="1" x14ac:dyDescent="0.25">
      <c r="A1658" s="2">
        <v>2327</v>
      </c>
      <c r="B1658" s="1" t="s">
        <v>1926</v>
      </c>
      <c r="C1658" s="1" t="s">
        <v>1930</v>
      </c>
      <c r="D1658" s="1" t="s">
        <v>2062</v>
      </c>
      <c r="E1658" s="1" t="s">
        <v>2063</v>
      </c>
      <c r="F1658" s="3">
        <v>45705</v>
      </c>
      <c r="G1658" s="3">
        <v>45458</v>
      </c>
      <c r="H1658" s="3">
        <v>45822</v>
      </c>
      <c r="I1658" s="1" t="s">
        <v>3915</v>
      </c>
      <c r="J1658" s="1" t="s">
        <v>3916</v>
      </c>
      <c r="K1658" s="1"/>
      <c r="L1658" s="1" t="s">
        <v>2376</v>
      </c>
      <c r="M1658" s="1" t="s">
        <v>3917</v>
      </c>
      <c r="N1658" s="1" t="s">
        <v>3918</v>
      </c>
      <c r="O1658" s="1" t="s">
        <v>3919</v>
      </c>
      <c r="P1658" s="1" t="s">
        <v>2119</v>
      </c>
      <c r="Q1658" s="1"/>
      <c r="R1658" s="1"/>
      <c r="S1658" s="1" t="s">
        <v>2072</v>
      </c>
      <c r="T1658" s="1" t="s">
        <v>3165</v>
      </c>
      <c r="U1658" s="4">
        <v>5000000</v>
      </c>
      <c r="V1658" s="4">
        <v>7406</v>
      </c>
      <c r="W1658" s="4">
        <v>74</v>
      </c>
      <c r="X1658" s="4">
        <v>1111</v>
      </c>
      <c r="Y1658" s="4">
        <v>0</v>
      </c>
      <c r="Z1658" s="5">
        <v>8591</v>
      </c>
      <c r="AA1658" s="5">
        <v>0</v>
      </c>
      <c r="AB1658" s="6">
        <v>0</v>
      </c>
      <c r="AC1658" s="4">
        <v>8591</v>
      </c>
      <c r="AD1658" s="4">
        <v>0</v>
      </c>
      <c r="AE1658" s="4">
        <v>8591</v>
      </c>
      <c r="AF1658" s="1"/>
      <c r="AG1658" s="1"/>
      <c r="AH1658" s="1"/>
      <c r="AI1658" s="1" t="s">
        <v>2327</v>
      </c>
      <c r="AJ1658" s="6">
        <v>1871.8599999999963</v>
      </c>
      <c r="AK1658" s="6">
        <v>1254.75</v>
      </c>
      <c r="AL1658" s="1"/>
    </row>
    <row r="1659" spans="1:38" hidden="1" x14ac:dyDescent="0.25">
      <c r="A1659" s="2">
        <v>2328</v>
      </c>
      <c r="B1659" s="1" t="s">
        <v>1926</v>
      </c>
      <c r="C1659" s="1" t="s">
        <v>1931</v>
      </c>
      <c r="D1659" s="1" t="s">
        <v>2062</v>
      </c>
      <c r="E1659" s="1" t="s">
        <v>2063</v>
      </c>
      <c r="F1659" s="3">
        <v>45733</v>
      </c>
      <c r="G1659" s="3">
        <v>45458</v>
      </c>
      <c r="H1659" s="3">
        <v>45822</v>
      </c>
      <c r="I1659" s="1" t="s">
        <v>3915</v>
      </c>
      <c r="J1659" s="1" t="s">
        <v>3916</v>
      </c>
      <c r="K1659" s="1"/>
      <c r="L1659" s="1" t="s">
        <v>2376</v>
      </c>
      <c r="M1659" s="1" t="s">
        <v>3917</v>
      </c>
      <c r="N1659" s="1" t="s">
        <v>3918</v>
      </c>
      <c r="O1659" s="1" t="s">
        <v>3919</v>
      </c>
      <c r="P1659" s="1" t="s">
        <v>2119</v>
      </c>
      <c r="Q1659" s="1"/>
      <c r="R1659" s="1"/>
      <c r="S1659" s="1" t="s">
        <v>2072</v>
      </c>
      <c r="T1659" s="1" t="s">
        <v>3165</v>
      </c>
      <c r="U1659" s="4">
        <v>5000000</v>
      </c>
      <c r="V1659" s="4">
        <v>5944</v>
      </c>
      <c r="W1659" s="4">
        <v>59</v>
      </c>
      <c r="X1659" s="4">
        <v>891</v>
      </c>
      <c r="Y1659" s="4">
        <v>0</v>
      </c>
      <c r="Z1659" s="5">
        <v>6894</v>
      </c>
      <c r="AA1659" s="5">
        <v>0</v>
      </c>
      <c r="AB1659" s="6">
        <v>0</v>
      </c>
      <c r="AC1659" s="4">
        <v>6894</v>
      </c>
      <c r="AD1659" s="4">
        <v>0</v>
      </c>
      <c r="AE1659" s="4">
        <v>6894</v>
      </c>
      <c r="AF1659" s="1"/>
      <c r="AG1659" s="1"/>
      <c r="AH1659" s="1"/>
      <c r="AI1659" s="1" t="s">
        <v>2327</v>
      </c>
      <c r="AJ1659" s="6">
        <v>2181.4600000000219</v>
      </c>
      <c r="AK1659" s="6">
        <v>1007.13</v>
      </c>
      <c r="AL1659" s="1"/>
    </row>
    <row r="1660" spans="1:38" hidden="1" x14ac:dyDescent="0.25">
      <c r="A1660" s="2">
        <v>2329</v>
      </c>
      <c r="B1660" s="1" t="s">
        <v>1926</v>
      </c>
      <c r="C1660" s="1" t="s">
        <v>1932</v>
      </c>
      <c r="D1660" s="1" t="s">
        <v>2062</v>
      </c>
      <c r="E1660" s="1" t="s">
        <v>2063</v>
      </c>
      <c r="F1660" s="3">
        <v>45745</v>
      </c>
      <c r="G1660" s="3">
        <v>45458</v>
      </c>
      <c r="H1660" s="3">
        <v>45822</v>
      </c>
      <c r="I1660" s="1" t="s">
        <v>3915</v>
      </c>
      <c r="J1660" s="1" t="s">
        <v>3916</v>
      </c>
      <c r="K1660" s="1"/>
      <c r="L1660" s="1" t="s">
        <v>2376</v>
      </c>
      <c r="M1660" s="1" t="s">
        <v>3917</v>
      </c>
      <c r="N1660" s="1" t="s">
        <v>3918</v>
      </c>
      <c r="O1660" s="1" t="s">
        <v>3919</v>
      </c>
      <c r="P1660" s="1" t="s">
        <v>2119</v>
      </c>
      <c r="Q1660" s="1"/>
      <c r="R1660" s="1"/>
      <c r="S1660" s="1" t="s">
        <v>2072</v>
      </c>
      <c r="T1660" s="1" t="s">
        <v>3165</v>
      </c>
      <c r="U1660" s="4">
        <v>-1</v>
      </c>
      <c r="V1660" s="4">
        <v>-33240</v>
      </c>
      <c r="W1660" s="4">
        <v>-294</v>
      </c>
      <c r="X1660" s="4">
        <v>0</v>
      </c>
      <c r="Y1660" s="4">
        <v>0</v>
      </c>
      <c r="Z1660" s="5">
        <v>-33534</v>
      </c>
      <c r="AA1660" s="5">
        <v>0</v>
      </c>
      <c r="AB1660" s="6">
        <v>0</v>
      </c>
      <c r="AC1660" s="4">
        <v>-33534</v>
      </c>
      <c r="AD1660" s="4">
        <v>0</v>
      </c>
      <c r="AE1660" s="4">
        <v>-33534</v>
      </c>
      <c r="AF1660" s="1"/>
      <c r="AG1660" s="1"/>
      <c r="AH1660" s="1"/>
      <c r="AI1660" s="1" t="s">
        <v>2327</v>
      </c>
      <c r="AJ1660" s="1"/>
      <c r="AK1660" s="1"/>
      <c r="AL1660" s="1"/>
    </row>
    <row r="1661" spans="1:38" x14ac:dyDescent="0.25">
      <c r="A1661" s="2">
        <v>2360</v>
      </c>
      <c r="B1661" s="1" t="s">
        <v>1933</v>
      </c>
      <c r="C1661" s="1"/>
      <c r="D1661" s="1" t="s">
        <v>2062</v>
      </c>
      <c r="E1661" s="1" t="s">
        <v>2063</v>
      </c>
      <c r="F1661" s="3">
        <v>45471</v>
      </c>
      <c r="G1661" s="3">
        <v>45471</v>
      </c>
      <c r="H1661" s="3">
        <v>45835</v>
      </c>
      <c r="I1661" s="1" t="s">
        <v>2521</v>
      </c>
      <c r="J1661" s="1" t="s">
        <v>3920</v>
      </c>
      <c r="K1661" s="1"/>
      <c r="L1661" s="1" t="s">
        <v>2523</v>
      </c>
      <c r="M1661" s="1" t="s">
        <v>2524</v>
      </c>
      <c r="N1661" s="1" t="s">
        <v>2525</v>
      </c>
      <c r="O1661" s="1" t="s">
        <v>2526</v>
      </c>
      <c r="P1661" s="1" t="s">
        <v>2165</v>
      </c>
      <c r="Q1661" s="1"/>
      <c r="R1661" s="1"/>
      <c r="S1661" s="1" t="s">
        <v>2072</v>
      </c>
      <c r="T1661" s="1" t="s">
        <v>3165</v>
      </c>
      <c r="U1661" s="4">
        <v>-1</v>
      </c>
      <c r="V1661" s="4">
        <v>0</v>
      </c>
      <c r="W1661" s="4">
        <v>0</v>
      </c>
      <c r="X1661" s="4">
        <v>0</v>
      </c>
      <c r="Y1661" s="4">
        <v>50</v>
      </c>
      <c r="Z1661" s="5">
        <v>50</v>
      </c>
      <c r="AA1661" s="5">
        <v>0</v>
      </c>
      <c r="AB1661" s="6">
        <v>0</v>
      </c>
      <c r="AC1661" s="4">
        <v>50</v>
      </c>
      <c r="AD1661" s="4">
        <v>0</v>
      </c>
      <c r="AE1661" s="4">
        <v>50</v>
      </c>
      <c r="AF1661" s="1"/>
      <c r="AG1661" s="1"/>
      <c r="AH1661" s="1"/>
      <c r="AI1661" s="1" t="s">
        <v>2551</v>
      </c>
      <c r="AJ1661" s="1"/>
      <c r="AK1661" s="1"/>
      <c r="AL1661" s="1" t="s">
        <v>3921</v>
      </c>
    </row>
    <row r="1662" spans="1:38" hidden="1" x14ac:dyDescent="0.25">
      <c r="A1662" s="2">
        <v>2361</v>
      </c>
      <c r="B1662" s="1" t="s">
        <v>1933</v>
      </c>
      <c r="C1662" s="1" t="s">
        <v>1934</v>
      </c>
      <c r="D1662" s="1" t="s">
        <v>2062</v>
      </c>
      <c r="E1662" s="1" t="s">
        <v>2063</v>
      </c>
      <c r="F1662" s="3">
        <v>45503</v>
      </c>
      <c r="G1662" s="3">
        <v>45471</v>
      </c>
      <c r="H1662" s="3">
        <v>45835</v>
      </c>
      <c r="I1662" s="1" t="s">
        <v>2521</v>
      </c>
      <c r="J1662" s="1" t="s">
        <v>3920</v>
      </c>
      <c r="K1662" s="1"/>
      <c r="L1662" s="1" t="s">
        <v>2523</v>
      </c>
      <c r="M1662" s="1" t="s">
        <v>2524</v>
      </c>
      <c r="N1662" s="1" t="s">
        <v>2525</v>
      </c>
      <c r="O1662" s="1" t="s">
        <v>2526</v>
      </c>
      <c r="P1662" s="1" t="s">
        <v>2165</v>
      </c>
      <c r="Q1662" s="1"/>
      <c r="R1662" s="1"/>
      <c r="S1662" s="1" t="s">
        <v>2072</v>
      </c>
      <c r="T1662" s="1" t="s">
        <v>3165</v>
      </c>
      <c r="U1662" s="4">
        <v>1200000</v>
      </c>
      <c r="V1662" s="4">
        <v>497</v>
      </c>
      <c r="W1662" s="4">
        <v>5</v>
      </c>
      <c r="X1662" s="4">
        <v>75</v>
      </c>
      <c r="Y1662" s="4">
        <v>0</v>
      </c>
      <c r="Z1662" s="5">
        <v>577</v>
      </c>
      <c r="AA1662" s="5">
        <v>0</v>
      </c>
      <c r="AB1662" s="6">
        <v>0</v>
      </c>
      <c r="AC1662" s="4">
        <v>577</v>
      </c>
      <c r="AD1662" s="4">
        <v>0</v>
      </c>
      <c r="AE1662" s="4">
        <v>577</v>
      </c>
      <c r="AF1662" s="1"/>
      <c r="AG1662" s="1"/>
      <c r="AH1662" s="1"/>
      <c r="AI1662" s="1" t="s">
        <v>2551</v>
      </c>
      <c r="AJ1662" s="6">
        <v>757.95</v>
      </c>
      <c r="AK1662" s="6">
        <v>351.42000000000007</v>
      </c>
      <c r="AL1662" s="1"/>
    </row>
    <row r="1663" spans="1:38" hidden="1" x14ac:dyDescent="0.25">
      <c r="A1663" s="2">
        <v>2362</v>
      </c>
      <c r="B1663" s="1" t="s">
        <v>1933</v>
      </c>
      <c r="C1663" s="1" t="s">
        <v>1935</v>
      </c>
      <c r="D1663" s="1" t="s">
        <v>2062</v>
      </c>
      <c r="E1663" s="1" t="s">
        <v>2063</v>
      </c>
      <c r="F1663" s="3">
        <v>45535</v>
      </c>
      <c r="G1663" s="3">
        <v>45471</v>
      </c>
      <c r="H1663" s="3">
        <v>45835</v>
      </c>
      <c r="I1663" s="1" t="s">
        <v>2521</v>
      </c>
      <c r="J1663" s="1" t="s">
        <v>3920</v>
      </c>
      <c r="K1663" s="1"/>
      <c r="L1663" s="1" t="s">
        <v>2523</v>
      </c>
      <c r="M1663" s="1" t="s">
        <v>2524</v>
      </c>
      <c r="N1663" s="1" t="s">
        <v>2525</v>
      </c>
      <c r="O1663" s="1" t="s">
        <v>2526</v>
      </c>
      <c r="P1663" s="1" t="s">
        <v>2165</v>
      </c>
      <c r="Q1663" s="1"/>
      <c r="R1663" s="1"/>
      <c r="S1663" s="1" t="s">
        <v>2072</v>
      </c>
      <c r="T1663" s="1" t="s">
        <v>3165</v>
      </c>
      <c r="U1663" s="4">
        <v>1200000</v>
      </c>
      <c r="V1663" s="4">
        <v>622</v>
      </c>
      <c r="W1663" s="4">
        <v>6</v>
      </c>
      <c r="X1663" s="4">
        <v>93</v>
      </c>
      <c r="Y1663" s="4">
        <v>0</v>
      </c>
      <c r="Z1663" s="5">
        <v>721</v>
      </c>
      <c r="AA1663" s="5">
        <v>0</v>
      </c>
      <c r="AB1663" s="6">
        <v>0</v>
      </c>
      <c r="AC1663" s="4">
        <v>721</v>
      </c>
      <c r="AD1663" s="4">
        <v>0</v>
      </c>
      <c r="AE1663" s="4">
        <v>721</v>
      </c>
      <c r="AF1663" s="1"/>
      <c r="AG1663" s="1"/>
      <c r="AH1663" s="1"/>
      <c r="AI1663" s="1" t="s">
        <v>2551</v>
      </c>
      <c r="AJ1663" s="6">
        <v>458.96</v>
      </c>
      <c r="AK1663" s="6">
        <v>438.0800000000001</v>
      </c>
      <c r="AL1663" s="1"/>
    </row>
    <row r="1664" spans="1:38" hidden="1" x14ac:dyDescent="0.25">
      <c r="A1664" s="2">
        <v>2363</v>
      </c>
      <c r="B1664" s="1" t="s">
        <v>1933</v>
      </c>
      <c r="C1664" s="1" t="s">
        <v>1936</v>
      </c>
      <c r="D1664" s="1" t="s">
        <v>2062</v>
      </c>
      <c r="E1664" s="1" t="s">
        <v>2063</v>
      </c>
      <c r="F1664" s="3">
        <v>45570</v>
      </c>
      <c r="G1664" s="3">
        <v>45471</v>
      </c>
      <c r="H1664" s="3">
        <v>45835</v>
      </c>
      <c r="I1664" s="1" t="s">
        <v>2521</v>
      </c>
      <c r="J1664" s="1" t="s">
        <v>3920</v>
      </c>
      <c r="K1664" s="1"/>
      <c r="L1664" s="1" t="s">
        <v>2523</v>
      </c>
      <c r="M1664" s="1" t="s">
        <v>2524</v>
      </c>
      <c r="N1664" s="1" t="s">
        <v>2525</v>
      </c>
      <c r="O1664" s="1" t="s">
        <v>2526</v>
      </c>
      <c r="P1664" s="1" t="s">
        <v>2165</v>
      </c>
      <c r="Q1664" s="1"/>
      <c r="R1664" s="1"/>
      <c r="S1664" s="1" t="s">
        <v>2072</v>
      </c>
      <c r="T1664" s="1" t="s">
        <v>3165</v>
      </c>
      <c r="U1664" s="4">
        <v>1200000</v>
      </c>
      <c r="V1664" s="4">
        <v>488</v>
      </c>
      <c r="W1664" s="4">
        <v>5</v>
      </c>
      <c r="X1664" s="4">
        <v>73</v>
      </c>
      <c r="Y1664" s="4">
        <v>0</v>
      </c>
      <c r="Z1664" s="5">
        <v>566</v>
      </c>
      <c r="AA1664" s="5">
        <v>0</v>
      </c>
      <c r="AB1664" s="6">
        <v>0</v>
      </c>
      <c r="AC1664" s="4">
        <v>566</v>
      </c>
      <c r="AD1664" s="4">
        <v>0</v>
      </c>
      <c r="AE1664" s="4">
        <v>566</v>
      </c>
      <c r="AF1664" s="1"/>
      <c r="AG1664" s="1"/>
      <c r="AH1664" s="1"/>
      <c r="AI1664" s="1" t="s">
        <v>2551</v>
      </c>
      <c r="AJ1664" s="6">
        <v>354.2</v>
      </c>
      <c r="AK1664" s="6">
        <v>344.59</v>
      </c>
      <c r="AL1664" s="1"/>
    </row>
    <row r="1665" spans="1:38" hidden="1" x14ac:dyDescent="0.25">
      <c r="A1665" s="2">
        <v>2364</v>
      </c>
      <c r="B1665" s="1" t="s">
        <v>1933</v>
      </c>
      <c r="C1665" s="1" t="s">
        <v>1937</v>
      </c>
      <c r="D1665" s="1" t="s">
        <v>2062</v>
      </c>
      <c r="E1665" s="1" t="s">
        <v>2063</v>
      </c>
      <c r="F1665" s="3">
        <v>45595</v>
      </c>
      <c r="G1665" s="3">
        <v>45471</v>
      </c>
      <c r="H1665" s="3">
        <v>45835</v>
      </c>
      <c r="I1665" s="1" t="s">
        <v>2521</v>
      </c>
      <c r="J1665" s="1" t="s">
        <v>3920</v>
      </c>
      <c r="K1665" s="1"/>
      <c r="L1665" s="1" t="s">
        <v>2523</v>
      </c>
      <c r="M1665" s="1" t="s">
        <v>2524</v>
      </c>
      <c r="N1665" s="1" t="s">
        <v>2525</v>
      </c>
      <c r="O1665" s="1" t="s">
        <v>2526</v>
      </c>
      <c r="P1665" s="1" t="s">
        <v>2165</v>
      </c>
      <c r="Q1665" s="1"/>
      <c r="R1665" s="1"/>
      <c r="S1665" s="1" t="s">
        <v>2072</v>
      </c>
      <c r="T1665" s="1" t="s">
        <v>3165</v>
      </c>
      <c r="U1665" s="4">
        <v>1200000</v>
      </c>
      <c r="V1665" s="4">
        <v>994</v>
      </c>
      <c r="W1665" s="4">
        <v>10</v>
      </c>
      <c r="X1665" s="4">
        <v>149</v>
      </c>
      <c r="Y1665" s="4">
        <v>0</v>
      </c>
      <c r="Z1665" s="5">
        <v>1153</v>
      </c>
      <c r="AA1665" s="5">
        <v>0</v>
      </c>
      <c r="AB1665" s="6">
        <v>0</v>
      </c>
      <c r="AC1665" s="4">
        <v>1153</v>
      </c>
      <c r="AD1665" s="4">
        <v>0</v>
      </c>
      <c r="AE1665" s="4">
        <v>1153</v>
      </c>
      <c r="AF1665" s="1"/>
      <c r="AG1665" s="1"/>
      <c r="AH1665" s="1"/>
      <c r="AI1665" s="1" t="s">
        <v>2551</v>
      </c>
      <c r="AJ1665" s="6">
        <v>1235.5400000000059</v>
      </c>
      <c r="AK1665" s="6">
        <v>701.27</v>
      </c>
      <c r="AL1665" s="1"/>
    </row>
    <row r="1666" spans="1:38" hidden="1" x14ac:dyDescent="0.25">
      <c r="A1666" s="2">
        <v>2365</v>
      </c>
      <c r="B1666" s="1" t="s">
        <v>1933</v>
      </c>
      <c r="C1666" s="1" t="s">
        <v>1938</v>
      </c>
      <c r="D1666" s="1" t="s">
        <v>2062</v>
      </c>
      <c r="E1666" s="1" t="s">
        <v>2063</v>
      </c>
      <c r="F1666" s="3">
        <v>45625</v>
      </c>
      <c r="G1666" s="3">
        <v>45471</v>
      </c>
      <c r="H1666" s="3">
        <v>45835</v>
      </c>
      <c r="I1666" s="1" t="s">
        <v>2521</v>
      </c>
      <c r="J1666" s="1" t="s">
        <v>3920</v>
      </c>
      <c r="K1666" s="1"/>
      <c r="L1666" s="1" t="s">
        <v>2523</v>
      </c>
      <c r="M1666" s="1" t="s">
        <v>2524</v>
      </c>
      <c r="N1666" s="1" t="s">
        <v>2525</v>
      </c>
      <c r="O1666" s="1" t="s">
        <v>2526</v>
      </c>
      <c r="P1666" s="1" t="s">
        <v>2165</v>
      </c>
      <c r="Q1666" s="1"/>
      <c r="R1666" s="1"/>
      <c r="S1666" s="1" t="s">
        <v>2072</v>
      </c>
      <c r="T1666" s="1" t="s">
        <v>3165</v>
      </c>
      <c r="U1666" s="4">
        <v>1200000</v>
      </c>
      <c r="V1666" s="4">
        <v>543</v>
      </c>
      <c r="W1666" s="4">
        <v>5</v>
      </c>
      <c r="X1666" s="4">
        <v>81</v>
      </c>
      <c r="Y1666" s="4">
        <v>0</v>
      </c>
      <c r="Z1666" s="5">
        <v>629</v>
      </c>
      <c r="AA1666" s="5">
        <v>0</v>
      </c>
      <c r="AB1666" s="6">
        <v>0</v>
      </c>
      <c r="AC1666" s="4">
        <v>629</v>
      </c>
      <c r="AD1666" s="4">
        <v>0</v>
      </c>
      <c r="AE1666" s="4">
        <v>629</v>
      </c>
      <c r="AF1666" s="1"/>
      <c r="AG1666" s="1"/>
      <c r="AH1666" s="1"/>
      <c r="AI1666" s="1" t="s">
        <v>2551</v>
      </c>
      <c r="AJ1666" s="6">
        <v>448.2700000000001</v>
      </c>
      <c r="AK1666" s="6">
        <v>383.24</v>
      </c>
      <c r="AL1666" s="1"/>
    </row>
    <row r="1667" spans="1:38" hidden="1" x14ac:dyDescent="0.25">
      <c r="A1667" s="2">
        <v>2366</v>
      </c>
      <c r="B1667" s="1" t="s">
        <v>1933</v>
      </c>
      <c r="C1667" s="1" t="s">
        <v>1939</v>
      </c>
      <c r="D1667" s="1" t="s">
        <v>2062</v>
      </c>
      <c r="E1667" s="1" t="s">
        <v>2063</v>
      </c>
      <c r="F1667" s="3">
        <v>45655</v>
      </c>
      <c r="G1667" s="3">
        <v>45471</v>
      </c>
      <c r="H1667" s="3">
        <v>45835</v>
      </c>
      <c r="I1667" s="1" t="s">
        <v>2521</v>
      </c>
      <c r="J1667" s="1" t="s">
        <v>3920</v>
      </c>
      <c r="K1667" s="1"/>
      <c r="L1667" s="1" t="s">
        <v>2523</v>
      </c>
      <c r="M1667" s="1" t="s">
        <v>2524</v>
      </c>
      <c r="N1667" s="1" t="s">
        <v>2525</v>
      </c>
      <c r="O1667" s="1" t="s">
        <v>2526</v>
      </c>
      <c r="P1667" s="1" t="s">
        <v>2165</v>
      </c>
      <c r="Q1667" s="1"/>
      <c r="R1667" s="1"/>
      <c r="S1667" s="1" t="s">
        <v>2072</v>
      </c>
      <c r="T1667" s="1" t="s">
        <v>3165</v>
      </c>
      <c r="U1667" s="4">
        <v>-1</v>
      </c>
      <c r="V1667" s="4">
        <v>-3659</v>
      </c>
      <c r="W1667" s="4">
        <v>-37</v>
      </c>
      <c r="X1667" s="4">
        <v>0</v>
      </c>
      <c r="Y1667" s="4">
        <v>0</v>
      </c>
      <c r="Z1667" s="5">
        <v>-3696</v>
      </c>
      <c r="AA1667" s="5">
        <v>0</v>
      </c>
      <c r="AB1667" s="6">
        <v>0</v>
      </c>
      <c r="AC1667" s="4">
        <v>-3696</v>
      </c>
      <c r="AD1667" s="4">
        <v>0</v>
      </c>
      <c r="AE1667" s="4">
        <v>-3696</v>
      </c>
      <c r="AF1667" s="1"/>
      <c r="AG1667" s="1"/>
      <c r="AH1667" s="1"/>
      <c r="AI1667" s="1" t="s">
        <v>2551</v>
      </c>
      <c r="AJ1667" s="1"/>
      <c r="AK1667" s="1"/>
      <c r="AL1667" s="1"/>
    </row>
    <row r="1668" spans="1:38" hidden="1" x14ac:dyDescent="0.25">
      <c r="A1668" s="2">
        <v>2374</v>
      </c>
      <c r="B1668" s="1" t="s">
        <v>1940</v>
      </c>
      <c r="C1668" s="1" t="s">
        <v>1941</v>
      </c>
      <c r="D1668" s="1" t="s">
        <v>2062</v>
      </c>
      <c r="E1668" s="1" t="s">
        <v>2063</v>
      </c>
      <c r="F1668" s="3">
        <v>45498</v>
      </c>
      <c r="G1668" s="3">
        <v>45464</v>
      </c>
      <c r="H1668" s="3">
        <v>45828</v>
      </c>
      <c r="I1668" s="1" t="s">
        <v>3922</v>
      </c>
      <c r="J1668" s="1" t="s">
        <v>3923</v>
      </c>
      <c r="K1668" s="1"/>
      <c r="L1668" s="1" t="s">
        <v>2450</v>
      </c>
      <c r="M1668" s="1" t="s">
        <v>3924</v>
      </c>
      <c r="N1668" s="1" t="s">
        <v>3925</v>
      </c>
      <c r="O1668" s="1" t="s">
        <v>3926</v>
      </c>
      <c r="P1668" s="1" t="s">
        <v>2231</v>
      </c>
      <c r="Q1668" s="1"/>
      <c r="R1668" s="1"/>
      <c r="S1668" s="1" t="s">
        <v>2072</v>
      </c>
      <c r="T1668" s="1" t="s">
        <v>3165</v>
      </c>
      <c r="U1668" s="4">
        <v>1800000</v>
      </c>
      <c r="V1668" s="4">
        <v>908</v>
      </c>
      <c r="W1668" s="4">
        <v>9</v>
      </c>
      <c r="X1668" s="4">
        <v>136</v>
      </c>
      <c r="Y1668" s="4">
        <v>0</v>
      </c>
      <c r="Z1668" s="5">
        <v>1053</v>
      </c>
      <c r="AA1668" s="5">
        <v>0</v>
      </c>
      <c r="AB1668" s="6">
        <v>0</v>
      </c>
      <c r="AC1668" s="4">
        <v>1053</v>
      </c>
      <c r="AD1668" s="4">
        <v>0</v>
      </c>
      <c r="AE1668" s="4">
        <v>1053</v>
      </c>
      <c r="AF1668" s="1"/>
      <c r="AG1668" s="1"/>
      <c r="AH1668" s="1"/>
      <c r="AI1668" s="1" t="s">
        <v>3292</v>
      </c>
      <c r="AJ1668" s="6">
        <v>426.29</v>
      </c>
      <c r="AK1668" s="6">
        <v>426.29</v>
      </c>
      <c r="AL1668" s="1"/>
    </row>
    <row r="1669" spans="1:38" hidden="1" x14ac:dyDescent="0.25">
      <c r="A1669" s="2">
        <v>2375</v>
      </c>
      <c r="B1669" s="1" t="s">
        <v>1940</v>
      </c>
      <c r="C1669" s="1" t="s">
        <v>1942</v>
      </c>
      <c r="D1669" s="1" t="s">
        <v>2062</v>
      </c>
      <c r="E1669" s="1" t="s">
        <v>2063</v>
      </c>
      <c r="F1669" s="3">
        <v>45526</v>
      </c>
      <c r="G1669" s="3">
        <v>45464</v>
      </c>
      <c r="H1669" s="3">
        <v>45828</v>
      </c>
      <c r="I1669" s="1" t="s">
        <v>3922</v>
      </c>
      <c r="J1669" s="1" t="s">
        <v>3923</v>
      </c>
      <c r="K1669" s="1"/>
      <c r="L1669" s="1" t="s">
        <v>2450</v>
      </c>
      <c r="M1669" s="1" t="s">
        <v>3924</v>
      </c>
      <c r="N1669" s="1" t="s">
        <v>3925</v>
      </c>
      <c r="O1669" s="1" t="s">
        <v>3926</v>
      </c>
      <c r="P1669" s="1" t="s">
        <v>2231</v>
      </c>
      <c r="Q1669" s="1"/>
      <c r="R1669" s="1"/>
      <c r="S1669" s="1" t="s">
        <v>2072</v>
      </c>
      <c r="T1669" s="1" t="s">
        <v>3165</v>
      </c>
      <c r="U1669" s="4">
        <v>1800000</v>
      </c>
      <c r="V1669" s="4">
        <v>701</v>
      </c>
      <c r="W1669" s="4">
        <v>7</v>
      </c>
      <c r="X1669" s="4">
        <v>105</v>
      </c>
      <c r="Y1669" s="4">
        <v>0</v>
      </c>
      <c r="Z1669" s="5">
        <v>813</v>
      </c>
      <c r="AA1669" s="5">
        <v>0</v>
      </c>
      <c r="AB1669" s="6">
        <v>0</v>
      </c>
      <c r="AC1669" s="4">
        <v>813</v>
      </c>
      <c r="AD1669" s="4">
        <v>0</v>
      </c>
      <c r="AE1669" s="4">
        <v>813</v>
      </c>
      <c r="AF1669" s="1"/>
      <c r="AG1669" s="1"/>
      <c r="AH1669" s="1"/>
      <c r="AI1669" s="1" t="s">
        <v>3292</v>
      </c>
      <c r="AJ1669" s="6">
        <v>331.04</v>
      </c>
      <c r="AK1669" s="6">
        <v>331.04</v>
      </c>
      <c r="AL1669" s="1"/>
    </row>
    <row r="1670" spans="1:38" hidden="1" x14ac:dyDescent="0.25">
      <c r="A1670" s="2">
        <v>2376</v>
      </c>
      <c r="B1670" s="1" t="s">
        <v>1940</v>
      </c>
      <c r="C1670" s="1" t="s">
        <v>1943</v>
      </c>
      <c r="D1670" s="1" t="s">
        <v>2062</v>
      </c>
      <c r="E1670" s="1" t="s">
        <v>2063</v>
      </c>
      <c r="F1670" s="3">
        <v>45561</v>
      </c>
      <c r="G1670" s="3">
        <v>45464</v>
      </c>
      <c r="H1670" s="3">
        <v>45828</v>
      </c>
      <c r="I1670" s="1" t="s">
        <v>3922</v>
      </c>
      <c r="J1670" s="1" t="s">
        <v>3923</v>
      </c>
      <c r="K1670" s="1"/>
      <c r="L1670" s="1" t="s">
        <v>2450</v>
      </c>
      <c r="M1670" s="1" t="s">
        <v>3924</v>
      </c>
      <c r="N1670" s="1" t="s">
        <v>3925</v>
      </c>
      <c r="O1670" s="1" t="s">
        <v>3926</v>
      </c>
      <c r="P1670" s="1" t="s">
        <v>2231</v>
      </c>
      <c r="Q1670" s="1"/>
      <c r="R1670" s="1"/>
      <c r="S1670" s="1" t="s">
        <v>2072</v>
      </c>
      <c r="T1670" s="1" t="s">
        <v>3165</v>
      </c>
      <c r="U1670" s="4">
        <v>1800000</v>
      </c>
      <c r="V1670" s="4">
        <v>800</v>
      </c>
      <c r="W1670" s="4">
        <v>8</v>
      </c>
      <c r="X1670" s="4">
        <v>120</v>
      </c>
      <c r="Y1670" s="4">
        <v>0</v>
      </c>
      <c r="Z1670" s="5">
        <v>928</v>
      </c>
      <c r="AA1670" s="5">
        <v>0</v>
      </c>
      <c r="AB1670" s="6">
        <v>0</v>
      </c>
      <c r="AC1670" s="4">
        <v>928</v>
      </c>
      <c r="AD1670" s="4">
        <v>0</v>
      </c>
      <c r="AE1670" s="4">
        <v>928</v>
      </c>
      <c r="AF1670" s="1"/>
      <c r="AG1670" s="1"/>
      <c r="AH1670" s="1"/>
      <c r="AI1670" s="1" t="s">
        <v>3292</v>
      </c>
      <c r="AJ1670" s="6">
        <v>376.38</v>
      </c>
      <c r="AK1670" s="6">
        <v>376.38</v>
      </c>
      <c r="AL1670" s="1"/>
    </row>
    <row r="1671" spans="1:38" hidden="1" x14ac:dyDescent="0.25">
      <c r="A1671" s="2">
        <v>2377</v>
      </c>
      <c r="B1671" s="1" t="s">
        <v>1940</v>
      </c>
      <c r="C1671" s="1" t="s">
        <v>1944</v>
      </c>
      <c r="D1671" s="1" t="s">
        <v>2062</v>
      </c>
      <c r="E1671" s="1" t="s">
        <v>2063</v>
      </c>
      <c r="F1671" s="3">
        <v>45586</v>
      </c>
      <c r="G1671" s="3">
        <v>45464</v>
      </c>
      <c r="H1671" s="3">
        <v>45828</v>
      </c>
      <c r="I1671" s="1" t="s">
        <v>3922</v>
      </c>
      <c r="J1671" s="1" t="s">
        <v>3923</v>
      </c>
      <c r="K1671" s="1"/>
      <c r="L1671" s="1" t="s">
        <v>2450</v>
      </c>
      <c r="M1671" s="1" t="s">
        <v>3924</v>
      </c>
      <c r="N1671" s="1" t="s">
        <v>3925</v>
      </c>
      <c r="O1671" s="1" t="s">
        <v>3926</v>
      </c>
      <c r="P1671" s="1" t="s">
        <v>2231</v>
      </c>
      <c r="Q1671" s="1"/>
      <c r="R1671" s="1"/>
      <c r="S1671" s="1" t="s">
        <v>2072</v>
      </c>
      <c r="T1671" s="1" t="s">
        <v>3165</v>
      </c>
      <c r="U1671" s="4">
        <v>1800000</v>
      </c>
      <c r="V1671" s="4">
        <v>1051</v>
      </c>
      <c r="W1671" s="4">
        <v>11</v>
      </c>
      <c r="X1671" s="4">
        <v>158</v>
      </c>
      <c r="Y1671" s="4">
        <v>0</v>
      </c>
      <c r="Z1671" s="5">
        <v>1220</v>
      </c>
      <c r="AA1671" s="5">
        <v>0</v>
      </c>
      <c r="AB1671" s="6">
        <v>0</v>
      </c>
      <c r="AC1671" s="4">
        <v>1220</v>
      </c>
      <c r="AD1671" s="4">
        <v>0</v>
      </c>
      <c r="AE1671" s="4">
        <v>1220</v>
      </c>
      <c r="AF1671" s="1"/>
      <c r="AG1671" s="1"/>
      <c r="AH1671" s="1"/>
      <c r="AI1671" s="1" t="s">
        <v>3292</v>
      </c>
      <c r="AJ1671" s="6">
        <v>495.32000000000005</v>
      </c>
      <c r="AK1671" s="6">
        <v>495.32000000000005</v>
      </c>
      <c r="AL1671" s="1"/>
    </row>
    <row r="1672" spans="1:38" hidden="1" x14ac:dyDescent="0.25">
      <c r="A1672" s="2">
        <v>2378</v>
      </c>
      <c r="B1672" s="1" t="s">
        <v>1940</v>
      </c>
      <c r="C1672" s="1" t="s">
        <v>1945</v>
      </c>
      <c r="D1672" s="1" t="s">
        <v>2062</v>
      </c>
      <c r="E1672" s="1" t="s">
        <v>2063</v>
      </c>
      <c r="F1672" s="3">
        <v>45618</v>
      </c>
      <c r="G1672" s="3">
        <v>45464</v>
      </c>
      <c r="H1672" s="3">
        <v>45828</v>
      </c>
      <c r="I1672" s="1" t="s">
        <v>3922</v>
      </c>
      <c r="J1672" s="1" t="s">
        <v>3923</v>
      </c>
      <c r="K1672" s="1"/>
      <c r="L1672" s="1" t="s">
        <v>2450</v>
      </c>
      <c r="M1672" s="1" t="s">
        <v>3924</v>
      </c>
      <c r="N1672" s="1" t="s">
        <v>3925</v>
      </c>
      <c r="O1672" s="1" t="s">
        <v>3926</v>
      </c>
      <c r="P1672" s="1" t="s">
        <v>2231</v>
      </c>
      <c r="Q1672" s="1"/>
      <c r="R1672" s="1"/>
      <c r="S1672" s="1" t="s">
        <v>2072</v>
      </c>
      <c r="T1672" s="1" t="s">
        <v>3165</v>
      </c>
      <c r="U1672" s="4">
        <v>1800000</v>
      </c>
      <c r="V1672" s="4">
        <v>777</v>
      </c>
      <c r="W1672" s="4">
        <v>8</v>
      </c>
      <c r="X1672" s="4">
        <v>117</v>
      </c>
      <c r="Y1672" s="4">
        <v>0</v>
      </c>
      <c r="Z1672" s="5">
        <v>902</v>
      </c>
      <c r="AA1672" s="5">
        <v>0</v>
      </c>
      <c r="AB1672" s="6">
        <v>0</v>
      </c>
      <c r="AC1672" s="4">
        <v>902</v>
      </c>
      <c r="AD1672" s="4">
        <v>0</v>
      </c>
      <c r="AE1672" s="4">
        <v>902</v>
      </c>
      <c r="AF1672" s="1"/>
      <c r="AG1672" s="1"/>
      <c r="AH1672" s="1"/>
      <c r="AI1672" s="1" t="s">
        <v>3292</v>
      </c>
      <c r="AJ1672" s="6">
        <v>366.6</v>
      </c>
      <c r="AK1672" s="6">
        <v>366.6</v>
      </c>
      <c r="AL1672" s="1"/>
    </row>
    <row r="1673" spans="1:38" hidden="1" x14ac:dyDescent="0.25">
      <c r="A1673" s="2">
        <v>2379</v>
      </c>
      <c r="B1673" s="1" t="s">
        <v>1940</v>
      </c>
      <c r="C1673" s="1" t="s">
        <v>1946</v>
      </c>
      <c r="D1673" s="1" t="s">
        <v>2062</v>
      </c>
      <c r="E1673" s="1" t="s">
        <v>2063</v>
      </c>
      <c r="F1673" s="3">
        <v>45649</v>
      </c>
      <c r="G1673" s="3">
        <v>45464</v>
      </c>
      <c r="H1673" s="3">
        <v>45828</v>
      </c>
      <c r="I1673" s="1" t="s">
        <v>3922</v>
      </c>
      <c r="J1673" s="1" t="s">
        <v>3923</v>
      </c>
      <c r="K1673" s="1"/>
      <c r="L1673" s="1" t="s">
        <v>2450</v>
      </c>
      <c r="M1673" s="1" t="s">
        <v>3924</v>
      </c>
      <c r="N1673" s="1" t="s">
        <v>3925</v>
      </c>
      <c r="O1673" s="1" t="s">
        <v>3926</v>
      </c>
      <c r="P1673" s="1" t="s">
        <v>2231</v>
      </c>
      <c r="Q1673" s="1"/>
      <c r="R1673" s="1"/>
      <c r="S1673" s="1" t="s">
        <v>2072</v>
      </c>
      <c r="T1673" s="1" t="s">
        <v>3165</v>
      </c>
      <c r="U1673" s="4">
        <v>1800000</v>
      </c>
      <c r="V1673" s="4">
        <v>797</v>
      </c>
      <c r="W1673" s="4">
        <v>8</v>
      </c>
      <c r="X1673" s="4">
        <v>120</v>
      </c>
      <c r="Y1673" s="4">
        <v>0</v>
      </c>
      <c r="Z1673" s="5">
        <v>925</v>
      </c>
      <c r="AA1673" s="5">
        <v>0</v>
      </c>
      <c r="AB1673" s="6">
        <v>0</v>
      </c>
      <c r="AC1673" s="4">
        <v>925</v>
      </c>
      <c r="AD1673" s="4">
        <v>0</v>
      </c>
      <c r="AE1673" s="4">
        <v>925</v>
      </c>
      <c r="AF1673" s="1"/>
      <c r="AG1673" s="1"/>
      <c r="AH1673" s="1"/>
      <c r="AI1673" s="1" t="s">
        <v>3292</v>
      </c>
      <c r="AJ1673" s="6">
        <v>375.96</v>
      </c>
      <c r="AK1673" s="6">
        <v>375.96</v>
      </c>
      <c r="AL1673" s="1"/>
    </row>
    <row r="1674" spans="1:38" hidden="1" x14ac:dyDescent="0.25">
      <c r="A1674" s="2">
        <v>2380</v>
      </c>
      <c r="B1674" s="1" t="s">
        <v>1940</v>
      </c>
      <c r="C1674" s="1" t="s">
        <v>1947</v>
      </c>
      <c r="D1674" s="1" t="s">
        <v>2062</v>
      </c>
      <c r="E1674" s="1" t="s">
        <v>2063</v>
      </c>
      <c r="F1674" s="3">
        <v>45655</v>
      </c>
      <c r="G1674" s="3">
        <v>45464</v>
      </c>
      <c r="H1674" s="3">
        <v>45828</v>
      </c>
      <c r="I1674" s="1" t="s">
        <v>3922</v>
      </c>
      <c r="J1674" s="1" t="s">
        <v>3923</v>
      </c>
      <c r="K1674" s="1"/>
      <c r="L1674" s="1" t="s">
        <v>2450</v>
      </c>
      <c r="M1674" s="1" t="s">
        <v>3924</v>
      </c>
      <c r="N1674" s="1" t="s">
        <v>3925</v>
      </c>
      <c r="O1674" s="1" t="s">
        <v>3926</v>
      </c>
      <c r="P1674" s="1" t="s">
        <v>2231</v>
      </c>
      <c r="Q1674" s="1"/>
      <c r="R1674" s="1"/>
      <c r="S1674" s="1" t="s">
        <v>2072</v>
      </c>
      <c r="T1674" s="1" t="s">
        <v>3165</v>
      </c>
      <c r="U1674" s="4">
        <v>-1</v>
      </c>
      <c r="V1674" s="4">
        <v>-5783</v>
      </c>
      <c r="W1674" s="4">
        <v>-58</v>
      </c>
      <c r="X1674" s="4">
        <v>0</v>
      </c>
      <c r="Y1674" s="4">
        <v>0</v>
      </c>
      <c r="Z1674" s="5">
        <v>-5841</v>
      </c>
      <c r="AA1674" s="5">
        <v>0</v>
      </c>
      <c r="AB1674" s="6">
        <v>0</v>
      </c>
      <c r="AC1674" s="4">
        <v>-5841</v>
      </c>
      <c r="AD1674" s="4">
        <v>0</v>
      </c>
      <c r="AE1674" s="4">
        <v>-5841</v>
      </c>
      <c r="AF1674" s="1"/>
      <c r="AG1674" s="1"/>
      <c r="AH1674" s="1"/>
      <c r="AI1674" s="1" t="s">
        <v>3292</v>
      </c>
      <c r="AJ1674" s="1"/>
      <c r="AK1674" s="1"/>
      <c r="AL1674" s="1"/>
    </row>
    <row r="1675" spans="1:38" hidden="1" x14ac:dyDescent="0.25">
      <c r="A1675" s="2">
        <v>2382</v>
      </c>
      <c r="B1675" s="1" t="s">
        <v>1948</v>
      </c>
      <c r="C1675" s="1" t="s">
        <v>1949</v>
      </c>
      <c r="D1675" s="1" t="s">
        <v>2062</v>
      </c>
      <c r="E1675" s="1" t="s">
        <v>2063</v>
      </c>
      <c r="F1675" s="3">
        <v>45559</v>
      </c>
      <c r="G1675" s="3">
        <v>45463</v>
      </c>
      <c r="H1675" s="3">
        <v>45827</v>
      </c>
      <c r="I1675" s="1" t="s">
        <v>2652</v>
      </c>
      <c r="J1675" s="1" t="s">
        <v>2653</v>
      </c>
      <c r="K1675" s="1"/>
      <c r="L1675" s="1" t="s">
        <v>2154</v>
      </c>
      <c r="M1675" s="1" t="s">
        <v>2654</v>
      </c>
      <c r="N1675" s="1" t="s">
        <v>2655</v>
      </c>
      <c r="O1675" s="1" t="s">
        <v>2656</v>
      </c>
      <c r="P1675" s="1" t="s">
        <v>2182</v>
      </c>
      <c r="Q1675" s="1"/>
      <c r="R1675" s="1"/>
      <c r="S1675" s="1" t="s">
        <v>2072</v>
      </c>
      <c r="T1675" s="1" t="s">
        <v>3165</v>
      </c>
      <c r="U1675" s="4">
        <v>4000000</v>
      </c>
      <c r="V1675" s="4">
        <v>172</v>
      </c>
      <c r="W1675" s="4">
        <v>2</v>
      </c>
      <c r="X1675" s="4">
        <v>26</v>
      </c>
      <c r="Y1675" s="4">
        <v>0</v>
      </c>
      <c r="Z1675" s="5">
        <v>200</v>
      </c>
      <c r="AA1675" s="5">
        <v>0</v>
      </c>
      <c r="AB1675" s="6">
        <v>0</v>
      </c>
      <c r="AC1675" s="4">
        <v>200</v>
      </c>
      <c r="AD1675" s="4">
        <v>0</v>
      </c>
      <c r="AE1675" s="4">
        <v>200</v>
      </c>
      <c r="AF1675" s="1"/>
      <c r="AG1675" s="1"/>
      <c r="AH1675" s="1"/>
      <c r="AI1675" s="1" t="s">
        <v>2551</v>
      </c>
      <c r="AJ1675" s="6">
        <v>36.359999999999985</v>
      </c>
      <c r="AK1675" s="6">
        <v>36.359999999999985</v>
      </c>
      <c r="AL1675" s="1"/>
    </row>
    <row r="1676" spans="1:38" hidden="1" x14ac:dyDescent="0.25">
      <c r="A1676" s="2">
        <v>2383</v>
      </c>
      <c r="B1676" s="1" t="s">
        <v>1948</v>
      </c>
      <c r="C1676" s="1" t="s">
        <v>1950</v>
      </c>
      <c r="D1676" s="1" t="s">
        <v>2062</v>
      </c>
      <c r="E1676" s="1" t="s">
        <v>2063</v>
      </c>
      <c r="F1676" s="3">
        <v>45588</v>
      </c>
      <c r="G1676" s="3">
        <v>45463</v>
      </c>
      <c r="H1676" s="3">
        <v>45827</v>
      </c>
      <c r="I1676" s="1" t="s">
        <v>2652</v>
      </c>
      <c r="J1676" s="1" t="s">
        <v>2653</v>
      </c>
      <c r="K1676" s="1"/>
      <c r="L1676" s="1" t="s">
        <v>2154</v>
      </c>
      <c r="M1676" s="1" t="s">
        <v>2654</v>
      </c>
      <c r="N1676" s="1" t="s">
        <v>2655</v>
      </c>
      <c r="O1676" s="1" t="s">
        <v>2656</v>
      </c>
      <c r="P1676" s="1" t="s">
        <v>2182</v>
      </c>
      <c r="Q1676" s="1"/>
      <c r="R1676" s="1"/>
      <c r="S1676" s="1" t="s">
        <v>2072</v>
      </c>
      <c r="T1676" s="1" t="s">
        <v>3165</v>
      </c>
      <c r="U1676" s="4">
        <v>4000000</v>
      </c>
      <c r="V1676" s="4">
        <v>2850</v>
      </c>
      <c r="W1676" s="4">
        <v>28</v>
      </c>
      <c r="X1676" s="4">
        <v>427</v>
      </c>
      <c r="Y1676" s="4">
        <v>0</v>
      </c>
      <c r="Z1676" s="5">
        <v>3305</v>
      </c>
      <c r="AA1676" s="5">
        <v>0</v>
      </c>
      <c r="AB1676" s="6">
        <v>0</v>
      </c>
      <c r="AC1676" s="4">
        <v>3305</v>
      </c>
      <c r="AD1676" s="4">
        <v>0</v>
      </c>
      <c r="AE1676" s="4">
        <v>3305</v>
      </c>
      <c r="AF1676" s="1"/>
      <c r="AG1676" s="1"/>
      <c r="AH1676" s="1"/>
      <c r="AI1676" s="1" t="s">
        <v>2551</v>
      </c>
      <c r="AJ1676" s="6">
        <v>2280.9399999999905</v>
      </c>
      <c r="AK1676" s="6">
        <v>602.52</v>
      </c>
      <c r="AL1676" s="1"/>
    </row>
    <row r="1677" spans="1:38" hidden="1" x14ac:dyDescent="0.25">
      <c r="A1677" s="2">
        <v>2384</v>
      </c>
      <c r="B1677" s="1" t="s">
        <v>1948</v>
      </c>
      <c r="C1677" s="1" t="s">
        <v>1951</v>
      </c>
      <c r="D1677" s="1" t="s">
        <v>2062</v>
      </c>
      <c r="E1677" s="1" t="s">
        <v>2063</v>
      </c>
      <c r="F1677" s="3">
        <v>45596</v>
      </c>
      <c r="G1677" s="3">
        <v>45463</v>
      </c>
      <c r="H1677" s="3">
        <v>45827</v>
      </c>
      <c r="I1677" s="1" t="s">
        <v>2652</v>
      </c>
      <c r="J1677" s="1" t="s">
        <v>2653</v>
      </c>
      <c r="K1677" s="1"/>
      <c r="L1677" s="1" t="s">
        <v>2154</v>
      </c>
      <c r="M1677" s="1" t="s">
        <v>2654</v>
      </c>
      <c r="N1677" s="1" t="s">
        <v>2655</v>
      </c>
      <c r="O1677" s="1" t="s">
        <v>2656</v>
      </c>
      <c r="P1677" s="1" t="s">
        <v>2182</v>
      </c>
      <c r="Q1677" s="1"/>
      <c r="R1677" s="1"/>
      <c r="S1677" s="1" t="s">
        <v>2072</v>
      </c>
      <c r="T1677" s="1" t="s">
        <v>3165</v>
      </c>
      <c r="U1677" s="4">
        <v>-1</v>
      </c>
      <c r="V1677" s="4">
        <v>-3022</v>
      </c>
      <c r="W1677" s="4">
        <v>-30</v>
      </c>
      <c r="X1677" s="4">
        <v>-453</v>
      </c>
      <c r="Y1677" s="4">
        <v>0</v>
      </c>
      <c r="Z1677" s="5">
        <v>-3505</v>
      </c>
      <c r="AA1677" s="5">
        <v>0</v>
      </c>
      <c r="AB1677" s="6">
        <v>0</v>
      </c>
      <c r="AC1677" s="4">
        <v>-3505</v>
      </c>
      <c r="AD1677" s="4">
        <v>0</v>
      </c>
      <c r="AE1677" s="4">
        <v>-3505</v>
      </c>
      <c r="AF1677" s="1"/>
      <c r="AG1677" s="1"/>
      <c r="AH1677" s="1"/>
      <c r="AI1677" s="1" t="s">
        <v>2551</v>
      </c>
      <c r="AJ1677" s="1"/>
      <c r="AK1677" s="1"/>
      <c r="AL1677" s="1"/>
    </row>
    <row r="1678" spans="1:38" x14ac:dyDescent="0.25">
      <c r="A1678" s="2">
        <v>2388</v>
      </c>
      <c r="B1678" s="1" t="s">
        <v>1952</v>
      </c>
      <c r="C1678" s="1"/>
      <c r="D1678" s="1" t="s">
        <v>2062</v>
      </c>
      <c r="E1678" s="1" t="s">
        <v>2063</v>
      </c>
      <c r="F1678" s="3">
        <v>45478</v>
      </c>
      <c r="G1678" s="3">
        <v>45478</v>
      </c>
      <c r="H1678" s="3">
        <v>45842</v>
      </c>
      <c r="I1678" s="1" t="s">
        <v>3927</v>
      </c>
      <c r="J1678" s="1" t="s">
        <v>3928</v>
      </c>
      <c r="K1678" s="1"/>
      <c r="L1678" s="1" t="s">
        <v>2864</v>
      </c>
      <c r="M1678" s="1" t="s">
        <v>3929</v>
      </c>
      <c r="N1678" s="1" t="s">
        <v>3930</v>
      </c>
      <c r="O1678" s="1" t="s">
        <v>3931</v>
      </c>
      <c r="P1678" s="1" t="s">
        <v>2095</v>
      </c>
      <c r="Q1678" s="1"/>
      <c r="R1678" s="1"/>
      <c r="S1678" s="1" t="s">
        <v>2072</v>
      </c>
      <c r="T1678" s="1" t="s">
        <v>3165</v>
      </c>
      <c r="U1678" s="4">
        <v>-1</v>
      </c>
      <c r="V1678" s="4">
        <v>3879</v>
      </c>
      <c r="W1678" s="4">
        <v>39</v>
      </c>
      <c r="X1678" s="4">
        <v>582</v>
      </c>
      <c r="Y1678" s="4">
        <v>500</v>
      </c>
      <c r="Z1678" s="5">
        <v>5000</v>
      </c>
      <c r="AA1678" s="5">
        <v>0</v>
      </c>
      <c r="AB1678" s="6">
        <v>0</v>
      </c>
      <c r="AC1678" s="4">
        <v>5000</v>
      </c>
      <c r="AD1678" s="4">
        <v>0</v>
      </c>
      <c r="AE1678" s="4">
        <v>5000</v>
      </c>
      <c r="AF1678" s="1"/>
      <c r="AG1678" s="1"/>
      <c r="AH1678" s="1"/>
      <c r="AI1678" s="1" t="s">
        <v>3932</v>
      </c>
      <c r="AJ1678" s="1"/>
      <c r="AK1678" s="1"/>
      <c r="AL1678" s="1" t="s">
        <v>3933</v>
      </c>
    </row>
    <row r="1679" spans="1:38" hidden="1" x14ac:dyDescent="0.25">
      <c r="A1679" s="2">
        <v>2389</v>
      </c>
      <c r="B1679" s="1" t="s">
        <v>1952</v>
      </c>
      <c r="C1679" s="1" t="s">
        <v>1953</v>
      </c>
      <c r="D1679" s="1" t="s">
        <v>2062</v>
      </c>
      <c r="E1679" s="1" t="s">
        <v>2063</v>
      </c>
      <c r="F1679" s="3">
        <v>45511</v>
      </c>
      <c r="G1679" s="3">
        <v>45478</v>
      </c>
      <c r="H1679" s="3">
        <v>45842</v>
      </c>
      <c r="I1679" s="1" t="s">
        <v>3927</v>
      </c>
      <c r="J1679" s="1" t="s">
        <v>3928</v>
      </c>
      <c r="K1679" s="1"/>
      <c r="L1679" s="1" t="s">
        <v>2864</v>
      </c>
      <c r="M1679" s="1" t="s">
        <v>3929</v>
      </c>
      <c r="N1679" s="1" t="s">
        <v>3930</v>
      </c>
      <c r="O1679" s="1" t="s">
        <v>3931</v>
      </c>
      <c r="P1679" s="1" t="s">
        <v>2095</v>
      </c>
      <c r="Q1679" s="1"/>
      <c r="R1679" s="1"/>
      <c r="S1679" s="1" t="s">
        <v>2072</v>
      </c>
      <c r="T1679" s="1" t="s">
        <v>3165</v>
      </c>
      <c r="U1679" s="4">
        <v>2800000</v>
      </c>
      <c r="V1679" s="4">
        <v>2781</v>
      </c>
      <c r="W1679" s="4">
        <v>28</v>
      </c>
      <c r="X1679" s="4">
        <v>417</v>
      </c>
      <c r="Y1679" s="4">
        <v>0</v>
      </c>
      <c r="Z1679" s="5">
        <v>3226</v>
      </c>
      <c r="AA1679" s="5">
        <v>0</v>
      </c>
      <c r="AB1679" s="6">
        <v>0</v>
      </c>
      <c r="AC1679" s="4">
        <v>3226</v>
      </c>
      <c r="AD1679" s="4">
        <v>0</v>
      </c>
      <c r="AE1679" s="4">
        <v>3226</v>
      </c>
      <c r="AF1679" s="1"/>
      <c r="AG1679" s="1"/>
      <c r="AH1679" s="1"/>
      <c r="AI1679" s="1" t="s">
        <v>3932</v>
      </c>
      <c r="AJ1679" s="6">
        <v>1016.87</v>
      </c>
      <c r="AK1679" s="6">
        <v>839.73</v>
      </c>
      <c r="AL1679" s="1"/>
    </row>
    <row r="1680" spans="1:38" hidden="1" x14ac:dyDescent="0.25">
      <c r="A1680" s="2">
        <v>2390</v>
      </c>
      <c r="B1680" s="1" t="s">
        <v>1952</v>
      </c>
      <c r="C1680" s="1" t="s">
        <v>1954</v>
      </c>
      <c r="D1680" s="1" t="s">
        <v>2062</v>
      </c>
      <c r="E1680" s="1" t="s">
        <v>2063</v>
      </c>
      <c r="F1680" s="3">
        <v>45541</v>
      </c>
      <c r="G1680" s="3">
        <v>45478</v>
      </c>
      <c r="H1680" s="3">
        <v>45842</v>
      </c>
      <c r="I1680" s="1" t="s">
        <v>3927</v>
      </c>
      <c r="J1680" s="1" t="s">
        <v>3928</v>
      </c>
      <c r="K1680" s="1"/>
      <c r="L1680" s="1" t="s">
        <v>2864</v>
      </c>
      <c r="M1680" s="1" t="s">
        <v>3929</v>
      </c>
      <c r="N1680" s="1" t="s">
        <v>3930</v>
      </c>
      <c r="O1680" s="1" t="s">
        <v>3931</v>
      </c>
      <c r="P1680" s="1" t="s">
        <v>2095</v>
      </c>
      <c r="Q1680" s="1"/>
      <c r="R1680" s="1"/>
      <c r="S1680" s="1" t="s">
        <v>2072</v>
      </c>
      <c r="T1680" s="1" t="s">
        <v>3165</v>
      </c>
      <c r="U1680" s="4">
        <v>2800000</v>
      </c>
      <c r="V1680" s="4">
        <v>1844</v>
      </c>
      <c r="W1680" s="4">
        <v>18</v>
      </c>
      <c r="X1680" s="4">
        <v>276</v>
      </c>
      <c r="Y1680" s="4">
        <v>0</v>
      </c>
      <c r="Z1680" s="5">
        <v>2138</v>
      </c>
      <c r="AA1680" s="5">
        <v>0</v>
      </c>
      <c r="AB1680" s="6">
        <v>0</v>
      </c>
      <c r="AC1680" s="4">
        <v>2138</v>
      </c>
      <c r="AD1680" s="4">
        <v>0</v>
      </c>
      <c r="AE1680" s="4">
        <v>2138</v>
      </c>
      <c r="AF1680" s="1"/>
      <c r="AG1680" s="1"/>
      <c r="AH1680" s="1"/>
      <c r="AI1680" s="1" t="s">
        <v>3932</v>
      </c>
      <c r="AJ1680" s="6">
        <v>784.91999999999894</v>
      </c>
      <c r="AK1680" s="6">
        <v>556.72</v>
      </c>
      <c r="AL1680" s="1"/>
    </row>
    <row r="1681" spans="1:38" hidden="1" x14ac:dyDescent="0.25">
      <c r="A1681" s="2">
        <v>2391</v>
      </c>
      <c r="B1681" s="1" t="s">
        <v>1952</v>
      </c>
      <c r="C1681" s="1" t="s">
        <v>1955</v>
      </c>
      <c r="D1681" s="1" t="s">
        <v>2062</v>
      </c>
      <c r="E1681" s="1" t="s">
        <v>2063</v>
      </c>
      <c r="F1681" s="3">
        <v>45574</v>
      </c>
      <c r="G1681" s="3">
        <v>45478</v>
      </c>
      <c r="H1681" s="3">
        <v>45842</v>
      </c>
      <c r="I1681" s="1" t="s">
        <v>3927</v>
      </c>
      <c r="J1681" s="1" t="s">
        <v>3928</v>
      </c>
      <c r="K1681" s="1"/>
      <c r="L1681" s="1" t="s">
        <v>2864</v>
      </c>
      <c r="M1681" s="1" t="s">
        <v>3929</v>
      </c>
      <c r="N1681" s="1" t="s">
        <v>3930</v>
      </c>
      <c r="O1681" s="1" t="s">
        <v>3931</v>
      </c>
      <c r="P1681" s="1" t="s">
        <v>2095</v>
      </c>
      <c r="Q1681" s="1"/>
      <c r="R1681" s="1"/>
      <c r="S1681" s="1" t="s">
        <v>2072</v>
      </c>
      <c r="T1681" s="1" t="s">
        <v>3165</v>
      </c>
      <c r="U1681" s="4">
        <v>2800000</v>
      </c>
      <c r="V1681" s="4">
        <v>596</v>
      </c>
      <c r="W1681" s="4">
        <v>6</v>
      </c>
      <c r="X1681" s="4">
        <v>89</v>
      </c>
      <c r="Y1681" s="4">
        <v>0</v>
      </c>
      <c r="Z1681" s="5">
        <v>691</v>
      </c>
      <c r="AA1681" s="5">
        <v>0</v>
      </c>
      <c r="AB1681" s="6">
        <v>0</v>
      </c>
      <c r="AC1681" s="4">
        <v>691</v>
      </c>
      <c r="AD1681" s="4">
        <v>0</v>
      </c>
      <c r="AE1681" s="4">
        <v>691</v>
      </c>
      <c r="AF1681" s="1"/>
      <c r="AG1681" s="1"/>
      <c r="AH1681" s="1"/>
      <c r="AI1681" s="1" t="s">
        <v>3932</v>
      </c>
      <c r="AJ1681" s="6">
        <v>260.94999999999902</v>
      </c>
      <c r="AK1681" s="6">
        <v>180.03</v>
      </c>
      <c r="AL1681" s="1"/>
    </row>
    <row r="1682" spans="1:38" hidden="1" x14ac:dyDescent="0.25">
      <c r="A1682" s="2">
        <v>2392</v>
      </c>
      <c r="B1682" s="1" t="s">
        <v>1952</v>
      </c>
      <c r="C1682" s="1" t="s">
        <v>1956</v>
      </c>
      <c r="D1682" s="1" t="s">
        <v>2062</v>
      </c>
      <c r="E1682" s="1" t="s">
        <v>2063</v>
      </c>
      <c r="F1682" s="3">
        <v>45745</v>
      </c>
      <c r="G1682" s="3">
        <v>45478</v>
      </c>
      <c r="H1682" s="3">
        <v>45842</v>
      </c>
      <c r="I1682" s="1" t="s">
        <v>3927</v>
      </c>
      <c r="J1682" s="1" t="s">
        <v>3928</v>
      </c>
      <c r="K1682" s="1"/>
      <c r="L1682" s="1" t="s">
        <v>2864</v>
      </c>
      <c r="M1682" s="1" t="s">
        <v>3929</v>
      </c>
      <c r="N1682" s="1" t="s">
        <v>3930</v>
      </c>
      <c r="O1682" s="1" t="s">
        <v>3931</v>
      </c>
      <c r="P1682" s="1" t="s">
        <v>2095</v>
      </c>
      <c r="Q1682" s="1"/>
      <c r="R1682" s="1"/>
      <c r="S1682" s="1" t="s">
        <v>2072</v>
      </c>
      <c r="T1682" s="1" t="s">
        <v>3165</v>
      </c>
      <c r="U1682" s="4">
        <v>-1</v>
      </c>
      <c r="V1682" s="4">
        <v>-10960</v>
      </c>
      <c r="W1682" s="4">
        <v>-95</v>
      </c>
      <c r="X1682" s="4">
        <v>0</v>
      </c>
      <c r="Y1682" s="4">
        <v>0</v>
      </c>
      <c r="Z1682" s="5">
        <v>-11055</v>
      </c>
      <c r="AA1682" s="5">
        <v>0</v>
      </c>
      <c r="AB1682" s="6">
        <v>0</v>
      </c>
      <c r="AC1682" s="4">
        <v>-11055</v>
      </c>
      <c r="AD1682" s="4">
        <v>0</v>
      </c>
      <c r="AE1682" s="4">
        <v>-11055</v>
      </c>
      <c r="AF1682" s="1"/>
      <c r="AG1682" s="1"/>
      <c r="AH1682" s="1"/>
      <c r="AI1682" s="1" t="s">
        <v>3932</v>
      </c>
      <c r="AJ1682" s="1"/>
      <c r="AK1682" s="1"/>
      <c r="AL1682" s="1"/>
    </row>
    <row r="1683" spans="1:38" hidden="1" x14ac:dyDescent="0.25">
      <c r="A1683" s="2">
        <v>2402</v>
      </c>
      <c r="B1683" s="1" t="s">
        <v>1957</v>
      </c>
      <c r="C1683" s="1" t="s">
        <v>1958</v>
      </c>
      <c r="D1683" s="1" t="s">
        <v>2062</v>
      </c>
      <c r="E1683" s="1" t="s">
        <v>2063</v>
      </c>
      <c r="F1683" s="3">
        <v>45517</v>
      </c>
      <c r="G1683" s="3">
        <v>45484</v>
      </c>
      <c r="H1683" s="3">
        <v>45848</v>
      </c>
      <c r="I1683" s="1" t="s">
        <v>3934</v>
      </c>
      <c r="J1683" s="1" t="s">
        <v>3935</v>
      </c>
      <c r="K1683" s="1"/>
      <c r="L1683" s="1" t="s">
        <v>3812</v>
      </c>
      <c r="M1683" s="1" t="s">
        <v>3936</v>
      </c>
      <c r="N1683" s="1" t="s">
        <v>3937</v>
      </c>
      <c r="O1683" s="1" t="s">
        <v>3938</v>
      </c>
      <c r="P1683" s="1" t="s">
        <v>2182</v>
      </c>
      <c r="Q1683" s="1"/>
      <c r="R1683" s="1"/>
      <c r="S1683" s="1" t="s">
        <v>2072</v>
      </c>
      <c r="T1683" s="1" t="s">
        <v>3165</v>
      </c>
      <c r="U1683" s="4">
        <v>5200000</v>
      </c>
      <c r="V1683" s="4">
        <v>4922</v>
      </c>
      <c r="W1683" s="4">
        <v>49</v>
      </c>
      <c r="X1683" s="4">
        <v>738</v>
      </c>
      <c r="Y1683" s="4">
        <v>0</v>
      </c>
      <c r="Z1683" s="5">
        <v>5709</v>
      </c>
      <c r="AA1683" s="5">
        <v>0</v>
      </c>
      <c r="AB1683" s="6">
        <v>0</v>
      </c>
      <c r="AC1683" s="4">
        <v>5709</v>
      </c>
      <c r="AD1683" s="4">
        <v>0</v>
      </c>
      <c r="AE1683" s="4">
        <v>5709</v>
      </c>
      <c r="AF1683" s="1"/>
      <c r="AG1683" s="1"/>
      <c r="AH1683" s="1"/>
      <c r="AI1683" s="1" t="s">
        <v>3939</v>
      </c>
      <c r="AJ1683" s="6">
        <v>1363.2699999999991</v>
      </c>
      <c r="AK1683" s="6">
        <v>800.56</v>
      </c>
      <c r="AL1683" s="1"/>
    </row>
    <row r="1684" spans="1:38" hidden="1" x14ac:dyDescent="0.25">
      <c r="A1684" s="2">
        <v>2403</v>
      </c>
      <c r="B1684" s="1" t="s">
        <v>1957</v>
      </c>
      <c r="C1684" s="1" t="s">
        <v>1959</v>
      </c>
      <c r="D1684" s="1" t="s">
        <v>2062</v>
      </c>
      <c r="E1684" s="1" t="s">
        <v>2063</v>
      </c>
      <c r="F1684" s="3">
        <v>45549</v>
      </c>
      <c r="G1684" s="3">
        <v>45484</v>
      </c>
      <c r="H1684" s="3">
        <v>45848</v>
      </c>
      <c r="I1684" s="1" t="s">
        <v>3934</v>
      </c>
      <c r="J1684" s="1" t="s">
        <v>3935</v>
      </c>
      <c r="K1684" s="1"/>
      <c r="L1684" s="1" t="s">
        <v>3812</v>
      </c>
      <c r="M1684" s="1" t="s">
        <v>3936</v>
      </c>
      <c r="N1684" s="1" t="s">
        <v>3937</v>
      </c>
      <c r="O1684" s="1" t="s">
        <v>3938</v>
      </c>
      <c r="P1684" s="1" t="s">
        <v>2182</v>
      </c>
      <c r="Q1684" s="1"/>
      <c r="R1684" s="1"/>
      <c r="S1684" s="1" t="s">
        <v>2072</v>
      </c>
      <c r="T1684" s="1" t="s">
        <v>3165</v>
      </c>
      <c r="U1684" s="4">
        <v>5200000</v>
      </c>
      <c r="V1684" s="4">
        <v>5921</v>
      </c>
      <c r="W1684" s="4">
        <v>59</v>
      </c>
      <c r="X1684" s="4">
        <v>888</v>
      </c>
      <c r="Y1684" s="4">
        <v>0</v>
      </c>
      <c r="Z1684" s="5">
        <v>6868</v>
      </c>
      <c r="AA1684" s="5">
        <v>0</v>
      </c>
      <c r="AB1684" s="6">
        <v>0</v>
      </c>
      <c r="AC1684" s="4">
        <v>6868</v>
      </c>
      <c r="AD1684" s="4">
        <v>0</v>
      </c>
      <c r="AE1684" s="4">
        <v>6868</v>
      </c>
      <c r="AF1684" s="1"/>
      <c r="AG1684" s="1"/>
      <c r="AH1684" s="1"/>
      <c r="AI1684" s="1" t="s">
        <v>3939</v>
      </c>
      <c r="AJ1684" s="6">
        <v>2117.7699999999891</v>
      </c>
      <c r="AK1684" s="6">
        <v>963.11</v>
      </c>
      <c r="AL1684" s="1"/>
    </row>
    <row r="1685" spans="1:38" hidden="1" x14ac:dyDescent="0.25">
      <c r="A1685" s="2">
        <v>2404</v>
      </c>
      <c r="B1685" s="1" t="s">
        <v>1957</v>
      </c>
      <c r="C1685" s="1" t="s">
        <v>1960</v>
      </c>
      <c r="D1685" s="1" t="s">
        <v>2062</v>
      </c>
      <c r="E1685" s="1" t="s">
        <v>2063</v>
      </c>
      <c r="F1685" s="3">
        <v>45579</v>
      </c>
      <c r="G1685" s="3">
        <v>45484</v>
      </c>
      <c r="H1685" s="3">
        <v>45848</v>
      </c>
      <c r="I1685" s="1" t="s">
        <v>3934</v>
      </c>
      <c r="J1685" s="1" t="s">
        <v>3935</v>
      </c>
      <c r="K1685" s="1"/>
      <c r="L1685" s="1" t="s">
        <v>3812</v>
      </c>
      <c r="M1685" s="1" t="s">
        <v>3936</v>
      </c>
      <c r="N1685" s="1" t="s">
        <v>3937</v>
      </c>
      <c r="O1685" s="1" t="s">
        <v>3938</v>
      </c>
      <c r="P1685" s="1" t="s">
        <v>2182</v>
      </c>
      <c r="Q1685" s="1"/>
      <c r="R1685" s="1"/>
      <c r="S1685" s="1" t="s">
        <v>2072</v>
      </c>
      <c r="T1685" s="1" t="s">
        <v>3165</v>
      </c>
      <c r="U1685" s="4">
        <v>5200000</v>
      </c>
      <c r="V1685" s="4">
        <v>5786</v>
      </c>
      <c r="W1685" s="4">
        <v>58</v>
      </c>
      <c r="X1685" s="4">
        <v>868</v>
      </c>
      <c r="Y1685" s="4">
        <v>0</v>
      </c>
      <c r="Z1685" s="5">
        <v>6712</v>
      </c>
      <c r="AA1685" s="5">
        <v>0</v>
      </c>
      <c r="AB1685" s="6">
        <v>0</v>
      </c>
      <c r="AC1685" s="4">
        <v>6712</v>
      </c>
      <c r="AD1685" s="4">
        <v>0</v>
      </c>
      <c r="AE1685" s="4">
        <v>6712</v>
      </c>
      <c r="AF1685" s="1"/>
      <c r="AG1685" s="1"/>
      <c r="AH1685" s="1"/>
      <c r="AI1685" s="1" t="s">
        <v>3939</v>
      </c>
      <c r="AJ1685" s="6">
        <v>2520.1999999999871</v>
      </c>
      <c r="AK1685" s="6">
        <v>941.04</v>
      </c>
      <c r="AL1685" s="1"/>
    </row>
    <row r="1686" spans="1:38" hidden="1" x14ac:dyDescent="0.25">
      <c r="A1686" s="2">
        <v>2405</v>
      </c>
      <c r="B1686" s="1" t="s">
        <v>1957</v>
      </c>
      <c r="C1686" s="1" t="s">
        <v>1961</v>
      </c>
      <c r="D1686" s="1" t="s">
        <v>2062</v>
      </c>
      <c r="E1686" s="1" t="s">
        <v>2063</v>
      </c>
      <c r="F1686" s="3">
        <v>45608</v>
      </c>
      <c r="G1686" s="3">
        <v>45484</v>
      </c>
      <c r="H1686" s="3">
        <v>45848</v>
      </c>
      <c r="I1686" s="1" t="s">
        <v>3934</v>
      </c>
      <c r="J1686" s="1" t="s">
        <v>3935</v>
      </c>
      <c r="K1686" s="1"/>
      <c r="L1686" s="1" t="s">
        <v>3812</v>
      </c>
      <c r="M1686" s="1" t="s">
        <v>3936</v>
      </c>
      <c r="N1686" s="1" t="s">
        <v>3937</v>
      </c>
      <c r="O1686" s="1" t="s">
        <v>3938</v>
      </c>
      <c r="P1686" s="1" t="s">
        <v>2182</v>
      </c>
      <c r="Q1686" s="1"/>
      <c r="R1686" s="1"/>
      <c r="S1686" s="1" t="s">
        <v>2072</v>
      </c>
      <c r="T1686" s="1" t="s">
        <v>3165</v>
      </c>
      <c r="U1686" s="4">
        <v>5200000</v>
      </c>
      <c r="V1686" s="4">
        <v>5516</v>
      </c>
      <c r="W1686" s="4">
        <v>55</v>
      </c>
      <c r="X1686" s="4">
        <v>827</v>
      </c>
      <c r="Y1686" s="4">
        <v>0</v>
      </c>
      <c r="Z1686" s="5">
        <v>6398</v>
      </c>
      <c r="AA1686" s="5">
        <v>0</v>
      </c>
      <c r="AB1686" s="6">
        <v>0</v>
      </c>
      <c r="AC1686" s="4">
        <v>6398</v>
      </c>
      <c r="AD1686" s="4">
        <v>0</v>
      </c>
      <c r="AE1686" s="4">
        <v>6398</v>
      </c>
      <c r="AF1686" s="1"/>
      <c r="AG1686" s="1"/>
      <c r="AH1686" s="1"/>
      <c r="AI1686" s="1" t="s">
        <v>3939</v>
      </c>
      <c r="AJ1686" s="6">
        <v>2242.7099999999882</v>
      </c>
      <c r="AK1686" s="6">
        <v>896.93</v>
      </c>
      <c r="AL1686" s="1"/>
    </row>
    <row r="1687" spans="1:38" hidden="1" x14ac:dyDescent="0.25">
      <c r="A1687" s="2">
        <v>2406</v>
      </c>
      <c r="B1687" s="1" t="s">
        <v>1957</v>
      </c>
      <c r="C1687" s="1" t="s">
        <v>1962</v>
      </c>
      <c r="D1687" s="1" t="s">
        <v>2062</v>
      </c>
      <c r="E1687" s="1" t="s">
        <v>2063</v>
      </c>
      <c r="F1687" s="3">
        <v>45639</v>
      </c>
      <c r="G1687" s="3">
        <v>45484</v>
      </c>
      <c r="H1687" s="3">
        <v>45848</v>
      </c>
      <c r="I1687" s="1" t="s">
        <v>3934</v>
      </c>
      <c r="J1687" s="1" t="s">
        <v>3935</v>
      </c>
      <c r="K1687" s="1"/>
      <c r="L1687" s="1" t="s">
        <v>3812</v>
      </c>
      <c r="M1687" s="1" t="s">
        <v>3936</v>
      </c>
      <c r="N1687" s="1" t="s">
        <v>3937</v>
      </c>
      <c r="O1687" s="1" t="s">
        <v>3938</v>
      </c>
      <c r="P1687" s="1" t="s">
        <v>2182</v>
      </c>
      <c r="Q1687" s="1"/>
      <c r="R1687" s="1"/>
      <c r="S1687" s="1" t="s">
        <v>2072</v>
      </c>
      <c r="T1687" s="1" t="s">
        <v>3165</v>
      </c>
      <c r="U1687" s="4">
        <v>5200000</v>
      </c>
      <c r="V1687" s="4">
        <v>3823</v>
      </c>
      <c r="W1687" s="4">
        <v>38</v>
      </c>
      <c r="X1687" s="4">
        <v>573</v>
      </c>
      <c r="Y1687" s="4">
        <v>0</v>
      </c>
      <c r="Z1687" s="5">
        <v>4434</v>
      </c>
      <c r="AA1687" s="5">
        <v>0</v>
      </c>
      <c r="AB1687" s="6">
        <v>0</v>
      </c>
      <c r="AC1687" s="4">
        <v>4434</v>
      </c>
      <c r="AD1687" s="4">
        <v>0</v>
      </c>
      <c r="AE1687" s="4">
        <v>4434</v>
      </c>
      <c r="AF1687" s="1"/>
      <c r="AG1687" s="1"/>
      <c r="AH1687" s="1"/>
      <c r="AI1687" s="1" t="s">
        <v>3939</v>
      </c>
      <c r="AJ1687" s="6">
        <v>1129.449999999995</v>
      </c>
      <c r="AK1687" s="6">
        <v>621.86</v>
      </c>
      <c r="AL1687" s="1"/>
    </row>
    <row r="1688" spans="1:38" hidden="1" x14ac:dyDescent="0.25">
      <c r="A1688" s="2">
        <v>2407</v>
      </c>
      <c r="B1688" s="1" t="s">
        <v>1957</v>
      </c>
      <c r="C1688" s="1" t="s">
        <v>1963</v>
      </c>
      <c r="D1688" s="1" t="s">
        <v>2062</v>
      </c>
      <c r="E1688" s="1" t="s">
        <v>2063</v>
      </c>
      <c r="F1688" s="3">
        <v>45655</v>
      </c>
      <c r="G1688" s="3">
        <v>45484</v>
      </c>
      <c r="H1688" s="3">
        <v>45848</v>
      </c>
      <c r="I1688" s="1" t="s">
        <v>3934</v>
      </c>
      <c r="J1688" s="1" t="s">
        <v>3935</v>
      </c>
      <c r="K1688" s="1"/>
      <c r="L1688" s="1" t="s">
        <v>3812</v>
      </c>
      <c r="M1688" s="1" t="s">
        <v>3936</v>
      </c>
      <c r="N1688" s="1" t="s">
        <v>3937</v>
      </c>
      <c r="O1688" s="1" t="s">
        <v>3938</v>
      </c>
      <c r="P1688" s="1" t="s">
        <v>2182</v>
      </c>
      <c r="Q1688" s="1"/>
      <c r="R1688" s="1"/>
      <c r="S1688" s="1" t="s">
        <v>2072</v>
      </c>
      <c r="T1688" s="1" t="s">
        <v>3165</v>
      </c>
      <c r="U1688" s="4">
        <v>-1</v>
      </c>
      <c r="V1688" s="4">
        <v>-25966</v>
      </c>
      <c r="W1688" s="4">
        <v>-260</v>
      </c>
      <c r="X1688" s="4">
        <v>-3895</v>
      </c>
      <c r="Y1688" s="4">
        <v>0</v>
      </c>
      <c r="Z1688" s="5">
        <v>-30121</v>
      </c>
      <c r="AA1688" s="5">
        <v>0</v>
      </c>
      <c r="AB1688" s="6">
        <v>0</v>
      </c>
      <c r="AC1688" s="4">
        <v>-30121</v>
      </c>
      <c r="AD1688" s="4">
        <v>0</v>
      </c>
      <c r="AE1688" s="4">
        <v>-30121</v>
      </c>
      <c r="AF1688" s="1"/>
      <c r="AG1688" s="1"/>
      <c r="AH1688" s="1"/>
      <c r="AI1688" s="1" t="s">
        <v>3939</v>
      </c>
      <c r="AJ1688" s="1"/>
      <c r="AK1688" s="1"/>
      <c r="AL1688" s="1"/>
    </row>
    <row r="1689" spans="1:38" hidden="1" x14ac:dyDescent="0.25">
      <c r="A1689" s="2">
        <v>2409</v>
      </c>
      <c r="B1689" s="1" t="s">
        <v>1964</v>
      </c>
      <c r="C1689" s="1" t="s">
        <v>1965</v>
      </c>
      <c r="D1689" s="1" t="s">
        <v>2062</v>
      </c>
      <c r="E1689" s="1" t="s">
        <v>2063</v>
      </c>
      <c r="F1689" s="3">
        <v>45549</v>
      </c>
      <c r="G1689" s="3">
        <v>45485</v>
      </c>
      <c r="H1689" s="3">
        <v>45849</v>
      </c>
      <c r="I1689" s="1" t="s">
        <v>2745</v>
      </c>
      <c r="J1689" s="1" t="s">
        <v>2746</v>
      </c>
      <c r="K1689" s="1"/>
      <c r="L1689" s="1" t="s">
        <v>2198</v>
      </c>
      <c r="M1689" s="1" t="s">
        <v>2747</v>
      </c>
      <c r="N1689" s="1" t="s">
        <v>2748</v>
      </c>
      <c r="O1689" s="1" t="s">
        <v>2749</v>
      </c>
      <c r="P1689" s="1" t="s">
        <v>2182</v>
      </c>
      <c r="Q1689" s="1"/>
      <c r="R1689" s="1"/>
      <c r="S1689" s="1" t="s">
        <v>2072</v>
      </c>
      <c r="T1689" s="1" t="s">
        <v>3165</v>
      </c>
      <c r="U1689" s="4">
        <v>3000000</v>
      </c>
      <c r="V1689" s="4">
        <v>477</v>
      </c>
      <c r="W1689" s="4">
        <v>5</v>
      </c>
      <c r="X1689" s="4">
        <v>72</v>
      </c>
      <c r="Y1689" s="4">
        <v>0</v>
      </c>
      <c r="Z1689" s="5">
        <v>554</v>
      </c>
      <c r="AA1689" s="5">
        <v>0</v>
      </c>
      <c r="AB1689" s="6">
        <v>0</v>
      </c>
      <c r="AC1689" s="4">
        <v>554</v>
      </c>
      <c r="AD1689" s="4">
        <v>0</v>
      </c>
      <c r="AE1689" s="4">
        <v>554</v>
      </c>
      <c r="AF1689" s="1"/>
      <c r="AG1689" s="1"/>
      <c r="AH1689" s="1"/>
      <c r="AI1689" s="1" t="s">
        <v>3057</v>
      </c>
      <c r="AJ1689" s="6">
        <v>200.01000000000005</v>
      </c>
      <c r="AK1689" s="6">
        <v>134.63000000000002</v>
      </c>
      <c r="AL1689" s="1"/>
    </row>
    <row r="1690" spans="1:38" hidden="1" x14ac:dyDescent="0.25">
      <c r="A1690" s="2">
        <v>2410</v>
      </c>
      <c r="B1690" s="1" t="s">
        <v>1964</v>
      </c>
      <c r="C1690" s="1" t="s">
        <v>1966</v>
      </c>
      <c r="D1690" s="1" t="s">
        <v>2062</v>
      </c>
      <c r="E1690" s="1" t="s">
        <v>2063</v>
      </c>
      <c r="F1690" s="3">
        <v>45655</v>
      </c>
      <c r="G1690" s="3">
        <v>45485</v>
      </c>
      <c r="H1690" s="3">
        <v>45849</v>
      </c>
      <c r="I1690" s="1" t="s">
        <v>2745</v>
      </c>
      <c r="J1690" s="1" t="s">
        <v>2746</v>
      </c>
      <c r="K1690" s="1"/>
      <c r="L1690" s="1" t="s">
        <v>2198</v>
      </c>
      <c r="M1690" s="1" t="s">
        <v>2747</v>
      </c>
      <c r="N1690" s="1" t="s">
        <v>2748</v>
      </c>
      <c r="O1690" s="1" t="s">
        <v>2749</v>
      </c>
      <c r="P1690" s="1" t="s">
        <v>2182</v>
      </c>
      <c r="Q1690" s="1"/>
      <c r="R1690" s="1"/>
      <c r="S1690" s="1" t="s">
        <v>2072</v>
      </c>
      <c r="T1690" s="1" t="s">
        <v>3165</v>
      </c>
      <c r="U1690" s="4">
        <v>-1</v>
      </c>
      <c r="V1690" s="4">
        <v>-477</v>
      </c>
      <c r="W1690" s="4">
        <v>-5</v>
      </c>
      <c r="X1690" s="4">
        <v>-72</v>
      </c>
      <c r="Y1690" s="4">
        <v>0</v>
      </c>
      <c r="Z1690" s="5">
        <v>-554</v>
      </c>
      <c r="AA1690" s="5">
        <v>0</v>
      </c>
      <c r="AB1690" s="6">
        <v>0</v>
      </c>
      <c r="AC1690" s="4">
        <v>-554</v>
      </c>
      <c r="AD1690" s="4">
        <v>0</v>
      </c>
      <c r="AE1690" s="4">
        <v>-554</v>
      </c>
      <c r="AF1690" s="1"/>
      <c r="AG1690" s="1"/>
      <c r="AH1690" s="1"/>
      <c r="AI1690" s="1" t="s">
        <v>3057</v>
      </c>
      <c r="AJ1690" s="1"/>
      <c r="AK1690" s="1"/>
      <c r="AL1690" s="1"/>
    </row>
    <row r="1691" spans="1:38" hidden="1" x14ac:dyDescent="0.25">
      <c r="A1691" s="2">
        <v>2415</v>
      </c>
      <c r="B1691" s="1" t="s">
        <v>1967</v>
      </c>
      <c r="C1691" s="1" t="s">
        <v>1968</v>
      </c>
      <c r="D1691" s="1" t="s">
        <v>2062</v>
      </c>
      <c r="E1691" s="1" t="s">
        <v>2063</v>
      </c>
      <c r="F1691" s="3">
        <v>45595</v>
      </c>
      <c r="G1691" s="3">
        <v>45500</v>
      </c>
      <c r="H1691" s="3">
        <v>45864</v>
      </c>
      <c r="I1691" s="1" t="s">
        <v>2793</v>
      </c>
      <c r="J1691" s="1" t="s">
        <v>2794</v>
      </c>
      <c r="K1691" s="1"/>
      <c r="L1691" s="1" t="s">
        <v>2795</v>
      </c>
      <c r="M1691" s="1" t="s">
        <v>2796</v>
      </c>
      <c r="N1691" s="1" t="s">
        <v>2797</v>
      </c>
      <c r="O1691" s="1" t="s">
        <v>2798</v>
      </c>
      <c r="P1691" s="1" t="s">
        <v>2182</v>
      </c>
      <c r="Q1691" s="1"/>
      <c r="R1691" s="1"/>
      <c r="S1691" s="1" t="s">
        <v>2072</v>
      </c>
      <c r="T1691" s="1" t="s">
        <v>3165</v>
      </c>
      <c r="U1691" s="4">
        <v>6000000</v>
      </c>
      <c r="V1691" s="4">
        <v>3939</v>
      </c>
      <c r="W1691" s="4">
        <v>39</v>
      </c>
      <c r="X1691" s="4">
        <v>591</v>
      </c>
      <c r="Y1691" s="4">
        <v>0</v>
      </c>
      <c r="Z1691" s="5">
        <v>4569</v>
      </c>
      <c r="AA1691" s="5">
        <v>0</v>
      </c>
      <c r="AB1691" s="6">
        <v>0</v>
      </c>
      <c r="AC1691" s="4">
        <v>4569</v>
      </c>
      <c r="AD1691" s="4">
        <v>0</v>
      </c>
      <c r="AE1691" s="4">
        <v>4569</v>
      </c>
      <c r="AF1691" s="1"/>
      <c r="AG1691" s="1"/>
      <c r="AH1691" s="1"/>
      <c r="AI1691" s="1" t="s">
        <v>3057</v>
      </c>
      <c r="AJ1691" s="6">
        <v>555.94000000000005</v>
      </c>
      <c r="AK1691" s="6">
        <v>555.94000000000005</v>
      </c>
      <c r="AL1691" s="1"/>
    </row>
    <row r="1692" spans="1:38" hidden="1" x14ac:dyDescent="0.25">
      <c r="A1692" s="2">
        <v>2416</v>
      </c>
      <c r="B1692" s="1" t="s">
        <v>1967</v>
      </c>
      <c r="C1692" s="1" t="s">
        <v>1969</v>
      </c>
      <c r="D1692" s="1" t="s">
        <v>2062</v>
      </c>
      <c r="E1692" s="1" t="s">
        <v>2063</v>
      </c>
      <c r="F1692" s="3">
        <v>45624</v>
      </c>
      <c r="G1692" s="3">
        <v>45500</v>
      </c>
      <c r="H1692" s="3">
        <v>45864</v>
      </c>
      <c r="I1692" s="1" t="s">
        <v>2793</v>
      </c>
      <c r="J1692" s="1" t="s">
        <v>2794</v>
      </c>
      <c r="K1692" s="1"/>
      <c r="L1692" s="1" t="s">
        <v>2795</v>
      </c>
      <c r="M1692" s="1" t="s">
        <v>2796</v>
      </c>
      <c r="N1692" s="1" t="s">
        <v>2797</v>
      </c>
      <c r="O1692" s="1" t="s">
        <v>2798</v>
      </c>
      <c r="P1692" s="1" t="s">
        <v>2182</v>
      </c>
      <c r="Q1692" s="1"/>
      <c r="R1692" s="1"/>
      <c r="S1692" s="1" t="s">
        <v>2072</v>
      </c>
      <c r="T1692" s="1" t="s">
        <v>3165</v>
      </c>
      <c r="U1692" s="4">
        <v>6000000</v>
      </c>
      <c r="V1692" s="4">
        <v>4685</v>
      </c>
      <c r="W1692" s="4">
        <v>47</v>
      </c>
      <c r="X1692" s="4">
        <v>703</v>
      </c>
      <c r="Y1692" s="4">
        <v>0</v>
      </c>
      <c r="Z1692" s="5">
        <v>5435</v>
      </c>
      <c r="AA1692" s="5">
        <v>0</v>
      </c>
      <c r="AB1692" s="6">
        <v>0</v>
      </c>
      <c r="AC1692" s="4">
        <v>5435</v>
      </c>
      <c r="AD1692" s="4">
        <v>0</v>
      </c>
      <c r="AE1692" s="4">
        <v>5435</v>
      </c>
      <c r="AF1692" s="1"/>
      <c r="AG1692" s="1"/>
      <c r="AH1692" s="1"/>
      <c r="AI1692" s="1" t="s">
        <v>3057</v>
      </c>
      <c r="AJ1692" s="6">
        <v>684.37000000000103</v>
      </c>
      <c r="AK1692" s="6">
        <v>661.02</v>
      </c>
      <c r="AL1692" s="1"/>
    </row>
    <row r="1693" spans="1:38" hidden="1" x14ac:dyDescent="0.25">
      <c r="A1693" s="2">
        <v>2417</v>
      </c>
      <c r="B1693" s="1" t="s">
        <v>1967</v>
      </c>
      <c r="C1693" s="1" t="s">
        <v>1970</v>
      </c>
      <c r="D1693" s="1" t="s">
        <v>2062</v>
      </c>
      <c r="E1693" s="1" t="s">
        <v>2063</v>
      </c>
      <c r="F1693" s="3">
        <v>45656</v>
      </c>
      <c r="G1693" s="3">
        <v>45500</v>
      </c>
      <c r="H1693" s="3">
        <v>45864</v>
      </c>
      <c r="I1693" s="1" t="s">
        <v>2793</v>
      </c>
      <c r="J1693" s="1" t="s">
        <v>2794</v>
      </c>
      <c r="K1693" s="1"/>
      <c r="L1693" s="1" t="s">
        <v>2795</v>
      </c>
      <c r="M1693" s="1" t="s">
        <v>2796</v>
      </c>
      <c r="N1693" s="1" t="s">
        <v>2797</v>
      </c>
      <c r="O1693" s="1" t="s">
        <v>2798</v>
      </c>
      <c r="P1693" s="1" t="s">
        <v>2182</v>
      </c>
      <c r="Q1693" s="1"/>
      <c r="R1693" s="1"/>
      <c r="S1693" s="1" t="s">
        <v>2072</v>
      </c>
      <c r="T1693" s="1" t="s">
        <v>3165</v>
      </c>
      <c r="U1693" s="4">
        <v>6000000</v>
      </c>
      <c r="V1693" s="4">
        <v>3413</v>
      </c>
      <c r="W1693" s="4">
        <v>34</v>
      </c>
      <c r="X1693" s="4">
        <v>512</v>
      </c>
      <c r="Y1693" s="4">
        <v>0</v>
      </c>
      <c r="Z1693" s="5">
        <v>3959</v>
      </c>
      <c r="AA1693" s="5">
        <v>0</v>
      </c>
      <c r="AB1693" s="6">
        <v>0</v>
      </c>
      <c r="AC1693" s="4">
        <v>3959</v>
      </c>
      <c r="AD1693" s="4">
        <v>0</v>
      </c>
      <c r="AE1693" s="4">
        <v>3959</v>
      </c>
      <c r="AF1693" s="1"/>
      <c r="AG1693" s="1"/>
      <c r="AH1693" s="1"/>
      <c r="AI1693" s="1" t="s">
        <v>3057</v>
      </c>
      <c r="AJ1693" s="6">
        <v>504.4</v>
      </c>
      <c r="AK1693" s="6">
        <v>499.5200000000001</v>
      </c>
      <c r="AL1693" s="1"/>
    </row>
    <row r="1694" spans="1:38" hidden="1" x14ac:dyDescent="0.25">
      <c r="A1694" s="2">
        <v>2418</v>
      </c>
      <c r="B1694" s="1" t="s">
        <v>1967</v>
      </c>
      <c r="C1694" s="1" t="s">
        <v>1971</v>
      </c>
      <c r="D1694" s="1" t="s">
        <v>2062</v>
      </c>
      <c r="E1694" s="1" t="s">
        <v>2063</v>
      </c>
      <c r="F1694" s="3">
        <v>45684</v>
      </c>
      <c r="G1694" s="3">
        <v>45500</v>
      </c>
      <c r="H1694" s="3">
        <v>45864</v>
      </c>
      <c r="I1694" s="1" t="s">
        <v>2793</v>
      </c>
      <c r="J1694" s="1" t="s">
        <v>2794</v>
      </c>
      <c r="K1694" s="1"/>
      <c r="L1694" s="1" t="s">
        <v>2795</v>
      </c>
      <c r="M1694" s="1" t="s">
        <v>2796</v>
      </c>
      <c r="N1694" s="1" t="s">
        <v>2797</v>
      </c>
      <c r="O1694" s="1" t="s">
        <v>2798</v>
      </c>
      <c r="P1694" s="1" t="s">
        <v>2182</v>
      </c>
      <c r="Q1694" s="1"/>
      <c r="R1694" s="1"/>
      <c r="S1694" s="1" t="s">
        <v>2072</v>
      </c>
      <c r="T1694" s="1" t="s">
        <v>3165</v>
      </c>
      <c r="U1694" s="4">
        <v>6000000</v>
      </c>
      <c r="V1694" s="4">
        <v>3610</v>
      </c>
      <c r="W1694" s="4">
        <v>36</v>
      </c>
      <c r="X1694" s="4">
        <v>541</v>
      </c>
      <c r="Y1694" s="4">
        <v>0</v>
      </c>
      <c r="Z1694" s="5">
        <v>4187</v>
      </c>
      <c r="AA1694" s="5">
        <v>0</v>
      </c>
      <c r="AB1694" s="6">
        <v>0</v>
      </c>
      <c r="AC1694" s="4">
        <v>4187</v>
      </c>
      <c r="AD1694" s="4">
        <v>0</v>
      </c>
      <c r="AE1694" s="4">
        <v>4187</v>
      </c>
      <c r="AF1694" s="1"/>
      <c r="AG1694" s="1"/>
      <c r="AH1694" s="1"/>
      <c r="AI1694" s="1" t="s">
        <v>3057</v>
      </c>
      <c r="AJ1694" s="6">
        <v>515.09000000000106</v>
      </c>
      <c r="AK1694" s="6">
        <v>509.1</v>
      </c>
      <c r="AL1694" s="1"/>
    </row>
    <row r="1695" spans="1:38" hidden="1" x14ac:dyDescent="0.25">
      <c r="A1695" s="2">
        <v>2419</v>
      </c>
      <c r="B1695" s="1" t="s">
        <v>1967</v>
      </c>
      <c r="C1695" s="1" t="s">
        <v>1972</v>
      </c>
      <c r="D1695" s="1" t="s">
        <v>2062</v>
      </c>
      <c r="E1695" s="1" t="s">
        <v>2063</v>
      </c>
      <c r="F1695" s="3">
        <v>45715</v>
      </c>
      <c r="G1695" s="3">
        <v>45500</v>
      </c>
      <c r="H1695" s="3">
        <v>45864</v>
      </c>
      <c r="I1695" s="1" t="s">
        <v>2793</v>
      </c>
      <c r="J1695" s="1" t="s">
        <v>2794</v>
      </c>
      <c r="K1695" s="1"/>
      <c r="L1695" s="1" t="s">
        <v>2795</v>
      </c>
      <c r="M1695" s="1" t="s">
        <v>2796</v>
      </c>
      <c r="N1695" s="1" t="s">
        <v>2797</v>
      </c>
      <c r="O1695" s="1" t="s">
        <v>2798</v>
      </c>
      <c r="P1695" s="1" t="s">
        <v>2182</v>
      </c>
      <c r="Q1695" s="1"/>
      <c r="R1695" s="1"/>
      <c r="S1695" s="1" t="s">
        <v>2072</v>
      </c>
      <c r="T1695" s="1" t="s">
        <v>3165</v>
      </c>
      <c r="U1695" s="4">
        <v>6000000</v>
      </c>
      <c r="V1695" s="4">
        <v>4652</v>
      </c>
      <c r="W1695" s="4">
        <v>47</v>
      </c>
      <c r="X1695" s="4">
        <v>698</v>
      </c>
      <c r="Y1695" s="4">
        <v>0</v>
      </c>
      <c r="Z1695" s="5">
        <v>5397</v>
      </c>
      <c r="AA1695" s="5">
        <v>0</v>
      </c>
      <c r="AB1695" s="6">
        <v>0</v>
      </c>
      <c r="AC1695" s="4">
        <v>5397</v>
      </c>
      <c r="AD1695" s="4">
        <v>0</v>
      </c>
      <c r="AE1695" s="4">
        <v>5397</v>
      </c>
      <c r="AF1695" s="1"/>
      <c r="AG1695" s="1"/>
      <c r="AH1695" s="1"/>
      <c r="AI1695" s="1" t="s">
        <v>3057</v>
      </c>
      <c r="AJ1695" s="6">
        <v>665.45</v>
      </c>
      <c r="AK1695" s="6">
        <v>656.81</v>
      </c>
      <c r="AL1695" s="1"/>
    </row>
    <row r="1696" spans="1:38" hidden="1" x14ac:dyDescent="0.25">
      <c r="A1696" s="2">
        <v>2420</v>
      </c>
      <c r="B1696" s="1" t="s">
        <v>1967</v>
      </c>
      <c r="C1696" s="1" t="s">
        <v>1973</v>
      </c>
      <c r="D1696" s="1" t="s">
        <v>2062</v>
      </c>
      <c r="E1696" s="1" t="s">
        <v>2063</v>
      </c>
      <c r="F1696" s="3">
        <v>45743</v>
      </c>
      <c r="G1696" s="3">
        <v>45500</v>
      </c>
      <c r="H1696" s="3">
        <v>45864</v>
      </c>
      <c r="I1696" s="1" t="s">
        <v>2793</v>
      </c>
      <c r="J1696" s="1" t="s">
        <v>2794</v>
      </c>
      <c r="K1696" s="1"/>
      <c r="L1696" s="1" t="s">
        <v>2795</v>
      </c>
      <c r="M1696" s="1" t="s">
        <v>2796</v>
      </c>
      <c r="N1696" s="1" t="s">
        <v>2797</v>
      </c>
      <c r="O1696" s="1" t="s">
        <v>2798</v>
      </c>
      <c r="P1696" s="1" t="s">
        <v>2182</v>
      </c>
      <c r="Q1696" s="1"/>
      <c r="R1696" s="1"/>
      <c r="S1696" s="1" t="s">
        <v>2072</v>
      </c>
      <c r="T1696" s="1" t="s">
        <v>3165</v>
      </c>
      <c r="U1696" s="4">
        <v>6000000</v>
      </c>
      <c r="V1696" s="4">
        <v>3533</v>
      </c>
      <c r="W1696" s="4">
        <v>35</v>
      </c>
      <c r="X1696" s="4">
        <v>530</v>
      </c>
      <c r="Y1696" s="4">
        <v>0</v>
      </c>
      <c r="Z1696" s="5">
        <v>4098</v>
      </c>
      <c r="AA1696" s="5">
        <v>0</v>
      </c>
      <c r="AB1696" s="6">
        <v>0</v>
      </c>
      <c r="AC1696" s="4">
        <v>4098</v>
      </c>
      <c r="AD1696" s="4">
        <v>0</v>
      </c>
      <c r="AE1696" s="4">
        <v>4098</v>
      </c>
      <c r="AF1696" s="1"/>
      <c r="AG1696" s="1"/>
      <c r="AH1696" s="1"/>
      <c r="AI1696" s="1" t="s">
        <v>3057</v>
      </c>
      <c r="AJ1696" s="6">
        <v>498.55</v>
      </c>
      <c r="AK1696" s="6">
        <v>498.55</v>
      </c>
      <c r="AL1696" s="1"/>
    </row>
    <row r="1697" spans="1:38" hidden="1" x14ac:dyDescent="0.25">
      <c r="A1697" s="2">
        <v>2421</v>
      </c>
      <c r="B1697" s="1" t="s">
        <v>1967</v>
      </c>
      <c r="C1697" s="1" t="s">
        <v>1974</v>
      </c>
      <c r="D1697" s="1" t="s">
        <v>2062</v>
      </c>
      <c r="E1697" s="1" t="s">
        <v>2063</v>
      </c>
      <c r="F1697" s="3">
        <v>45745</v>
      </c>
      <c r="G1697" s="3">
        <v>45500</v>
      </c>
      <c r="H1697" s="3">
        <v>45864</v>
      </c>
      <c r="I1697" s="1" t="s">
        <v>2793</v>
      </c>
      <c r="J1697" s="1" t="s">
        <v>2794</v>
      </c>
      <c r="K1697" s="1"/>
      <c r="L1697" s="1" t="s">
        <v>2795</v>
      </c>
      <c r="M1697" s="1" t="s">
        <v>2796</v>
      </c>
      <c r="N1697" s="1" t="s">
        <v>2797</v>
      </c>
      <c r="O1697" s="1" t="s">
        <v>2798</v>
      </c>
      <c r="P1697" s="1" t="s">
        <v>2182</v>
      </c>
      <c r="Q1697" s="1"/>
      <c r="R1697" s="1"/>
      <c r="S1697" s="1" t="s">
        <v>2072</v>
      </c>
      <c r="T1697" s="1" t="s">
        <v>3165</v>
      </c>
      <c r="U1697" s="4">
        <v>-1</v>
      </c>
      <c r="V1697" s="4">
        <v>-27407</v>
      </c>
      <c r="W1697" s="4">
        <v>-238</v>
      </c>
      <c r="X1697" s="4">
        <v>0</v>
      </c>
      <c r="Y1697" s="4">
        <v>0</v>
      </c>
      <c r="Z1697" s="5">
        <v>-27645</v>
      </c>
      <c r="AA1697" s="5">
        <v>0</v>
      </c>
      <c r="AB1697" s="6">
        <v>0</v>
      </c>
      <c r="AC1697" s="4">
        <v>-27645</v>
      </c>
      <c r="AD1697" s="4">
        <v>0</v>
      </c>
      <c r="AE1697" s="4">
        <v>-27645</v>
      </c>
      <c r="AF1697" s="1"/>
      <c r="AG1697" s="1"/>
      <c r="AH1697" s="1"/>
      <c r="AI1697" s="1" t="s">
        <v>3057</v>
      </c>
      <c r="AJ1697" s="1"/>
      <c r="AK1697" s="1"/>
      <c r="AL1697" s="1"/>
    </row>
    <row r="1698" spans="1:38" hidden="1" x14ac:dyDescent="0.25">
      <c r="A1698" s="2">
        <v>2435</v>
      </c>
      <c r="B1698" s="1" t="s">
        <v>1975</v>
      </c>
      <c r="C1698" s="1" t="s">
        <v>1976</v>
      </c>
      <c r="D1698" s="1" t="s">
        <v>2062</v>
      </c>
      <c r="E1698" s="1" t="s">
        <v>2063</v>
      </c>
      <c r="F1698" s="3">
        <v>45533</v>
      </c>
      <c r="G1698" s="3">
        <v>45497</v>
      </c>
      <c r="H1698" s="3">
        <v>45861</v>
      </c>
      <c r="I1698" s="1" t="s">
        <v>2770</v>
      </c>
      <c r="J1698" s="1" t="s">
        <v>2771</v>
      </c>
      <c r="K1698" s="1"/>
      <c r="L1698" s="1" t="s">
        <v>2147</v>
      </c>
      <c r="M1698" s="1" t="s">
        <v>3940</v>
      </c>
      <c r="N1698" s="1" t="s">
        <v>2773</v>
      </c>
      <c r="O1698" s="1" t="s">
        <v>2774</v>
      </c>
      <c r="P1698" s="1" t="s">
        <v>2262</v>
      </c>
      <c r="Q1698" s="1"/>
      <c r="R1698" s="1"/>
      <c r="S1698" s="1" t="s">
        <v>2072</v>
      </c>
      <c r="T1698" s="1" t="s">
        <v>3165</v>
      </c>
      <c r="U1698" s="4">
        <v>6900000</v>
      </c>
      <c r="V1698" s="4">
        <v>3216</v>
      </c>
      <c r="W1698" s="4">
        <v>32</v>
      </c>
      <c r="X1698" s="4">
        <v>482</v>
      </c>
      <c r="Y1698" s="4">
        <v>0</v>
      </c>
      <c r="Z1698" s="5">
        <v>3730</v>
      </c>
      <c r="AA1698" s="5">
        <v>0</v>
      </c>
      <c r="AB1698" s="6">
        <v>0</v>
      </c>
      <c r="AC1698" s="4">
        <v>3730</v>
      </c>
      <c r="AD1698" s="4">
        <v>0</v>
      </c>
      <c r="AE1698" s="4">
        <v>3730</v>
      </c>
      <c r="AF1698" s="1"/>
      <c r="AG1698" s="1"/>
      <c r="AH1698" s="1"/>
      <c r="AI1698" s="1" t="s">
        <v>2551</v>
      </c>
      <c r="AJ1698" s="6">
        <v>431.54000000000008</v>
      </c>
      <c r="AK1698" s="6">
        <v>394.6</v>
      </c>
      <c r="AL1698" s="1"/>
    </row>
    <row r="1699" spans="1:38" hidden="1" x14ac:dyDescent="0.25">
      <c r="A1699" s="2">
        <v>2436</v>
      </c>
      <c r="B1699" s="1" t="s">
        <v>1975</v>
      </c>
      <c r="C1699" s="1" t="s">
        <v>1977</v>
      </c>
      <c r="D1699" s="1" t="s">
        <v>2062</v>
      </c>
      <c r="E1699" s="1" t="s">
        <v>2063</v>
      </c>
      <c r="F1699" s="3">
        <v>45563</v>
      </c>
      <c r="G1699" s="3">
        <v>45497</v>
      </c>
      <c r="H1699" s="3">
        <v>45861</v>
      </c>
      <c r="I1699" s="1" t="s">
        <v>2770</v>
      </c>
      <c r="J1699" s="1" t="s">
        <v>2771</v>
      </c>
      <c r="K1699" s="1"/>
      <c r="L1699" s="1" t="s">
        <v>2147</v>
      </c>
      <c r="M1699" s="1" t="s">
        <v>3940</v>
      </c>
      <c r="N1699" s="1" t="s">
        <v>2773</v>
      </c>
      <c r="O1699" s="1" t="s">
        <v>2774</v>
      </c>
      <c r="P1699" s="1" t="s">
        <v>2262</v>
      </c>
      <c r="Q1699" s="1"/>
      <c r="R1699" s="1"/>
      <c r="S1699" s="1" t="s">
        <v>2072</v>
      </c>
      <c r="T1699" s="1" t="s">
        <v>3165</v>
      </c>
      <c r="U1699" s="4">
        <v>6900000</v>
      </c>
      <c r="V1699" s="4">
        <v>3392</v>
      </c>
      <c r="W1699" s="4">
        <v>34</v>
      </c>
      <c r="X1699" s="4">
        <v>509</v>
      </c>
      <c r="Y1699" s="4">
        <v>0</v>
      </c>
      <c r="Z1699" s="5">
        <v>3935</v>
      </c>
      <c r="AA1699" s="5">
        <v>0</v>
      </c>
      <c r="AB1699" s="6">
        <v>0</v>
      </c>
      <c r="AC1699" s="4">
        <v>3935</v>
      </c>
      <c r="AD1699" s="4">
        <v>0</v>
      </c>
      <c r="AE1699" s="4">
        <v>3935</v>
      </c>
      <c r="AF1699" s="1"/>
      <c r="AG1699" s="1"/>
      <c r="AH1699" s="1"/>
      <c r="AI1699" s="1" t="s">
        <v>2551</v>
      </c>
      <c r="AJ1699" s="6">
        <v>453.65</v>
      </c>
      <c r="AK1699" s="6">
        <v>416.31000000000103</v>
      </c>
      <c r="AL1699" s="1"/>
    </row>
    <row r="1700" spans="1:38" hidden="1" x14ac:dyDescent="0.25">
      <c r="A1700" s="2">
        <v>2437</v>
      </c>
      <c r="B1700" s="1" t="s">
        <v>1975</v>
      </c>
      <c r="C1700" s="1" t="s">
        <v>1978</v>
      </c>
      <c r="D1700" s="1" t="s">
        <v>2062</v>
      </c>
      <c r="E1700" s="1" t="s">
        <v>2063</v>
      </c>
      <c r="F1700" s="3">
        <v>45590</v>
      </c>
      <c r="G1700" s="3">
        <v>45497</v>
      </c>
      <c r="H1700" s="3">
        <v>45861</v>
      </c>
      <c r="I1700" s="1" t="s">
        <v>2770</v>
      </c>
      <c r="J1700" s="1" t="s">
        <v>2771</v>
      </c>
      <c r="K1700" s="1"/>
      <c r="L1700" s="1" t="s">
        <v>2147</v>
      </c>
      <c r="M1700" s="1" t="s">
        <v>3940</v>
      </c>
      <c r="N1700" s="1" t="s">
        <v>2773</v>
      </c>
      <c r="O1700" s="1" t="s">
        <v>2774</v>
      </c>
      <c r="P1700" s="1" t="s">
        <v>2262</v>
      </c>
      <c r="Q1700" s="1"/>
      <c r="R1700" s="1"/>
      <c r="S1700" s="1" t="s">
        <v>2072</v>
      </c>
      <c r="T1700" s="1" t="s">
        <v>3165</v>
      </c>
      <c r="U1700" s="4">
        <v>6900000</v>
      </c>
      <c r="V1700" s="4">
        <v>2352</v>
      </c>
      <c r="W1700" s="4">
        <v>24</v>
      </c>
      <c r="X1700" s="4">
        <v>353</v>
      </c>
      <c r="Y1700" s="4">
        <v>0</v>
      </c>
      <c r="Z1700" s="5">
        <v>2729</v>
      </c>
      <c r="AA1700" s="5">
        <v>0</v>
      </c>
      <c r="AB1700" s="6">
        <v>0</v>
      </c>
      <c r="AC1700" s="4">
        <v>2729</v>
      </c>
      <c r="AD1700" s="4">
        <v>0</v>
      </c>
      <c r="AE1700" s="4">
        <v>2729</v>
      </c>
      <c r="AF1700" s="1"/>
      <c r="AG1700" s="1"/>
      <c r="AH1700" s="1"/>
      <c r="AI1700" s="1" t="s">
        <v>2551</v>
      </c>
      <c r="AJ1700" s="6">
        <v>325.73000000000008</v>
      </c>
      <c r="AK1700" s="6">
        <v>288.82000000000005</v>
      </c>
      <c r="AL1700" s="1"/>
    </row>
    <row r="1701" spans="1:38" hidden="1" x14ac:dyDescent="0.25">
      <c r="A1701" s="2">
        <v>2438</v>
      </c>
      <c r="B1701" s="1" t="s">
        <v>1975</v>
      </c>
      <c r="C1701" s="1" t="s">
        <v>1979</v>
      </c>
      <c r="D1701" s="1" t="s">
        <v>2062</v>
      </c>
      <c r="E1701" s="1" t="s">
        <v>2063</v>
      </c>
      <c r="F1701" s="3">
        <v>45596</v>
      </c>
      <c r="G1701" s="3">
        <v>45497</v>
      </c>
      <c r="H1701" s="3">
        <v>45861</v>
      </c>
      <c r="I1701" s="1" t="s">
        <v>2770</v>
      </c>
      <c r="J1701" s="1" t="s">
        <v>2771</v>
      </c>
      <c r="K1701" s="1"/>
      <c r="L1701" s="1" t="s">
        <v>2147</v>
      </c>
      <c r="M1701" s="1" t="s">
        <v>3940</v>
      </c>
      <c r="N1701" s="1" t="s">
        <v>2773</v>
      </c>
      <c r="O1701" s="1" t="s">
        <v>2774</v>
      </c>
      <c r="P1701" s="1" t="s">
        <v>2262</v>
      </c>
      <c r="Q1701" s="1"/>
      <c r="R1701" s="1"/>
      <c r="S1701" s="1" t="s">
        <v>2072</v>
      </c>
      <c r="T1701" s="1" t="s">
        <v>3165</v>
      </c>
      <c r="U1701" s="4">
        <v>-1</v>
      </c>
      <c r="V1701" s="4">
        <v>-8960</v>
      </c>
      <c r="W1701" s="4">
        <v>-90</v>
      </c>
      <c r="X1701" s="4">
        <v>-1344</v>
      </c>
      <c r="Y1701" s="4">
        <v>0</v>
      </c>
      <c r="Z1701" s="5">
        <v>-10394</v>
      </c>
      <c r="AA1701" s="5">
        <v>0</v>
      </c>
      <c r="AB1701" s="6">
        <v>0</v>
      </c>
      <c r="AC1701" s="4">
        <v>-10394</v>
      </c>
      <c r="AD1701" s="4">
        <v>0</v>
      </c>
      <c r="AE1701" s="4">
        <v>-10394</v>
      </c>
      <c r="AF1701" s="1"/>
      <c r="AG1701" s="1"/>
      <c r="AH1701" s="1"/>
      <c r="AI1701" s="1" t="s">
        <v>2551</v>
      </c>
      <c r="AJ1701" s="1"/>
      <c r="AK1701" s="1"/>
      <c r="AL1701" s="1"/>
    </row>
    <row r="1702" spans="1:38" hidden="1" x14ac:dyDescent="0.25">
      <c r="A1702" s="2">
        <v>2460</v>
      </c>
      <c r="B1702" s="1" t="s">
        <v>1980</v>
      </c>
      <c r="C1702" s="1" t="s">
        <v>1981</v>
      </c>
      <c r="D1702" s="1" t="s">
        <v>2062</v>
      </c>
      <c r="E1702" s="1" t="s">
        <v>2063</v>
      </c>
      <c r="F1702" s="3">
        <v>45570</v>
      </c>
      <c r="G1702" s="3">
        <v>45503</v>
      </c>
      <c r="H1702" s="3">
        <v>45867</v>
      </c>
      <c r="I1702" s="1" t="s">
        <v>3941</v>
      </c>
      <c r="J1702" s="1" t="s">
        <v>3942</v>
      </c>
      <c r="K1702" s="1"/>
      <c r="L1702" s="1" t="s">
        <v>2147</v>
      </c>
      <c r="M1702" s="1" t="s">
        <v>3943</v>
      </c>
      <c r="N1702" s="1" t="s">
        <v>3944</v>
      </c>
      <c r="O1702" s="1" t="s">
        <v>3945</v>
      </c>
      <c r="P1702" s="1" t="s">
        <v>2081</v>
      </c>
      <c r="Q1702" s="1"/>
      <c r="R1702" s="1"/>
      <c r="S1702" s="1" t="s">
        <v>2072</v>
      </c>
      <c r="T1702" s="1" t="s">
        <v>3165</v>
      </c>
      <c r="U1702" s="4">
        <v>4000000</v>
      </c>
      <c r="V1702" s="4">
        <v>263</v>
      </c>
      <c r="W1702" s="4">
        <v>3</v>
      </c>
      <c r="X1702" s="4">
        <v>40</v>
      </c>
      <c r="Y1702" s="4">
        <v>0</v>
      </c>
      <c r="Z1702" s="5">
        <v>306</v>
      </c>
      <c r="AA1702" s="5">
        <v>0</v>
      </c>
      <c r="AB1702" s="6">
        <v>0</v>
      </c>
      <c r="AC1702" s="4">
        <v>306</v>
      </c>
      <c r="AD1702" s="4">
        <v>0</v>
      </c>
      <c r="AE1702" s="4">
        <v>306</v>
      </c>
      <c r="AF1702" s="1"/>
      <c r="AG1702" s="1"/>
      <c r="AH1702" s="1"/>
      <c r="AI1702" s="1" t="s">
        <v>2327</v>
      </c>
      <c r="AJ1702" s="6">
        <v>60.73</v>
      </c>
      <c r="AK1702" s="6">
        <v>55.64</v>
      </c>
      <c r="AL1702" s="1"/>
    </row>
    <row r="1703" spans="1:38" hidden="1" x14ac:dyDescent="0.25">
      <c r="A1703" s="2">
        <v>2461</v>
      </c>
      <c r="B1703" s="1" t="s">
        <v>1980</v>
      </c>
      <c r="C1703" s="1" t="s">
        <v>1982</v>
      </c>
      <c r="D1703" s="1" t="s">
        <v>2062</v>
      </c>
      <c r="E1703" s="1" t="s">
        <v>2063</v>
      </c>
      <c r="F1703" s="3">
        <v>45750</v>
      </c>
      <c r="G1703" s="3">
        <v>45503</v>
      </c>
      <c r="H1703" s="3">
        <v>45867</v>
      </c>
      <c r="I1703" s="1" t="s">
        <v>3941</v>
      </c>
      <c r="J1703" s="1" t="s">
        <v>3942</v>
      </c>
      <c r="K1703" s="1"/>
      <c r="L1703" s="1" t="s">
        <v>2147</v>
      </c>
      <c r="M1703" s="1" t="s">
        <v>3943</v>
      </c>
      <c r="N1703" s="1" t="s">
        <v>3944</v>
      </c>
      <c r="O1703" s="1" t="s">
        <v>3945</v>
      </c>
      <c r="P1703" s="1" t="s">
        <v>2081</v>
      </c>
      <c r="Q1703" s="1"/>
      <c r="R1703" s="1"/>
      <c r="S1703" s="1" t="s">
        <v>2072</v>
      </c>
      <c r="T1703" s="1" t="s">
        <v>3165</v>
      </c>
      <c r="U1703" s="4">
        <v>4000000</v>
      </c>
      <c r="V1703" s="4">
        <v>4550</v>
      </c>
      <c r="W1703" s="4">
        <v>46</v>
      </c>
      <c r="X1703" s="4">
        <v>683</v>
      </c>
      <c r="Y1703" s="4">
        <v>0</v>
      </c>
      <c r="Z1703" s="5">
        <v>5279</v>
      </c>
      <c r="AA1703" s="5">
        <v>0</v>
      </c>
      <c r="AB1703" s="6">
        <v>0</v>
      </c>
      <c r="AC1703" s="4">
        <v>5279</v>
      </c>
      <c r="AD1703" s="4">
        <v>0</v>
      </c>
      <c r="AE1703" s="4">
        <v>5279</v>
      </c>
      <c r="AF1703" s="1"/>
      <c r="AG1703" s="1"/>
      <c r="AH1703" s="1"/>
      <c r="AI1703" s="1" t="s">
        <v>2327</v>
      </c>
      <c r="AJ1703" s="6">
        <v>1177.3200000000002</v>
      </c>
      <c r="AK1703" s="6">
        <v>962.58</v>
      </c>
      <c r="AL1703" s="1"/>
    </row>
    <row r="1704" spans="1:38" hidden="1" x14ac:dyDescent="0.25">
      <c r="A1704" s="2">
        <v>2462</v>
      </c>
      <c r="B1704" s="1" t="s">
        <v>1980</v>
      </c>
      <c r="C1704" s="1" t="s">
        <v>1983</v>
      </c>
      <c r="D1704" s="1" t="s">
        <v>2062</v>
      </c>
      <c r="E1704" s="1" t="s">
        <v>2063</v>
      </c>
      <c r="F1704" s="3">
        <v>45745</v>
      </c>
      <c r="G1704" s="3">
        <v>45503</v>
      </c>
      <c r="H1704" s="3">
        <v>45867</v>
      </c>
      <c r="I1704" s="1" t="s">
        <v>3941</v>
      </c>
      <c r="J1704" s="1" t="s">
        <v>3942</v>
      </c>
      <c r="K1704" s="1"/>
      <c r="L1704" s="1" t="s">
        <v>2147</v>
      </c>
      <c r="M1704" s="1" t="s">
        <v>3943</v>
      </c>
      <c r="N1704" s="1" t="s">
        <v>3944</v>
      </c>
      <c r="O1704" s="1" t="s">
        <v>3945</v>
      </c>
      <c r="P1704" s="1" t="s">
        <v>2081</v>
      </c>
      <c r="Q1704" s="1"/>
      <c r="R1704" s="1"/>
      <c r="S1704" s="1" t="s">
        <v>2072</v>
      </c>
      <c r="T1704" s="1" t="s">
        <v>3165</v>
      </c>
      <c r="U1704" s="4">
        <v>-1</v>
      </c>
      <c r="V1704" s="4">
        <v>-5537</v>
      </c>
      <c r="W1704" s="4">
        <v>-48</v>
      </c>
      <c r="X1704" s="4">
        <v>0</v>
      </c>
      <c r="Y1704" s="4">
        <v>0</v>
      </c>
      <c r="Z1704" s="5">
        <v>-5585</v>
      </c>
      <c r="AA1704" s="5">
        <v>0</v>
      </c>
      <c r="AB1704" s="6">
        <v>0</v>
      </c>
      <c r="AC1704" s="4">
        <v>-5585</v>
      </c>
      <c r="AD1704" s="4">
        <v>0</v>
      </c>
      <c r="AE1704" s="4">
        <v>-5585</v>
      </c>
      <c r="AF1704" s="1"/>
      <c r="AG1704" s="1"/>
      <c r="AH1704" s="1"/>
      <c r="AI1704" s="1" t="s">
        <v>2327</v>
      </c>
      <c r="AJ1704" s="1"/>
      <c r="AK1704" s="1"/>
      <c r="AL1704" s="1"/>
    </row>
    <row r="1705" spans="1:38" hidden="1" x14ac:dyDescent="0.25">
      <c r="A1705" s="2">
        <v>2465</v>
      </c>
      <c r="B1705" s="1" t="s">
        <v>1984</v>
      </c>
      <c r="C1705" s="1" t="s">
        <v>1985</v>
      </c>
      <c r="D1705" s="1" t="s">
        <v>2062</v>
      </c>
      <c r="E1705" s="1" t="s">
        <v>2063</v>
      </c>
      <c r="F1705" s="3">
        <v>45750</v>
      </c>
      <c r="G1705" s="3">
        <v>45503</v>
      </c>
      <c r="H1705" s="3">
        <v>45867</v>
      </c>
      <c r="I1705" s="1" t="s">
        <v>2799</v>
      </c>
      <c r="J1705" s="1" t="s">
        <v>2800</v>
      </c>
      <c r="K1705" s="1"/>
      <c r="L1705" s="1" t="s">
        <v>2291</v>
      </c>
      <c r="M1705" s="1" t="s">
        <v>2801</v>
      </c>
      <c r="N1705" s="1" t="s">
        <v>2802</v>
      </c>
      <c r="O1705" s="1" t="s">
        <v>2803</v>
      </c>
      <c r="P1705" s="1" t="s">
        <v>2165</v>
      </c>
      <c r="Q1705" s="1"/>
      <c r="R1705" s="1"/>
      <c r="S1705" s="1" t="s">
        <v>2072</v>
      </c>
      <c r="T1705" s="1" t="s">
        <v>3165</v>
      </c>
      <c r="U1705" s="4">
        <v>4500000</v>
      </c>
      <c r="V1705" s="4">
        <v>1204</v>
      </c>
      <c r="W1705" s="4">
        <v>12</v>
      </c>
      <c r="X1705" s="4">
        <v>181</v>
      </c>
      <c r="Y1705" s="4">
        <v>0</v>
      </c>
      <c r="Z1705" s="5">
        <v>1397</v>
      </c>
      <c r="AA1705" s="5">
        <v>0</v>
      </c>
      <c r="AB1705" s="6">
        <v>0</v>
      </c>
      <c r="AC1705" s="4">
        <v>1397</v>
      </c>
      <c r="AD1705" s="4">
        <v>0</v>
      </c>
      <c r="AE1705" s="4">
        <v>1397</v>
      </c>
      <c r="AF1705" s="1"/>
      <c r="AG1705" s="1"/>
      <c r="AH1705" s="1"/>
      <c r="AI1705" s="1" t="s">
        <v>2551</v>
      </c>
      <c r="AJ1705" s="6">
        <v>235</v>
      </c>
      <c r="AK1705" s="6">
        <v>226.75</v>
      </c>
      <c r="AL1705" s="1"/>
    </row>
    <row r="1706" spans="1:38" hidden="1" x14ac:dyDescent="0.25">
      <c r="A1706" s="2">
        <v>2466</v>
      </c>
      <c r="B1706" s="1" t="s">
        <v>1984</v>
      </c>
      <c r="C1706" s="1" t="s">
        <v>1986</v>
      </c>
      <c r="D1706" s="1" t="s">
        <v>2062</v>
      </c>
      <c r="E1706" s="1" t="s">
        <v>2063</v>
      </c>
      <c r="F1706" s="3">
        <v>45745</v>
      </c>
      <c r="G1706" s="3">
        <v>45503</v>
      </c>
      <c r="H1706" s="3">
        <v>45867</v>
      </c>
      <c r="I1706" s="1" t="s">
        <v>2799</v>
      </c>
      <c r="J1706" s="1" t="s">
        <v>2800</v>
      </c>
      <c r="K1706" s="1"/>
      <c r="L1706" s="1" t="s">
        <v>2291</v>
      </c>
      <c r="M1706" s="1" t="s">
        <v>2801</v>
      </c>
      <c r="N1706" s="1" t="s">
        <v>2802</v>
      </c>
      <c r="O1706" s="1" t="s">
        <v>2803</v>
      </c>
      <c r="P1706" s="1" t="s">
        <v>2165</v>
      </c>
      <c r="Q1706" s="1"/>
      <c r="R1706" s="1"/>
      <c r="S1706" s="1" t="s">
        <v>2072</v>
      </c>
      <c r="T1706" s="1" t="s">
        <v>3165</v>
      </c>
      <c r="U1706" s="4">
        <v>-1</v>
      </c>
      <c r="V1706" s="4">
        <v>-1385</v>
      </c>
      <c r="W1706" s="4">
        <v>-12</v>
      </c>
      <c r="X1706" s="4">
        <v>0</v>
      </c>
      <c r="Y1706" s="4">
        <v>0</v>
      </c>
      <c r="Z1706" s="5">
        <v>-1397</v>
      </c>
      <c r="AA1706" s="5">
        <v>0</v>
      </c>
      <c r="AB1706" s="6">
        <v>0</v>
      </c>
      <c r="AC1706" s="4">
        <v>-1397</v>
      </c>
      <c r="AD1706" s="4">
        <v>0</v>
      </c>
      <c r="AE1706" s="4">
        <v>-1397</v>
      </c>
      <c r="AF1706" s="1"/>
      <c r="AG1706" s="1"/>
      <c r="AH1706" s="1"/>
      <c r="AI1706" s="1" t="s">
        <v>2551</v>
      </c>
      <c r="AJ1706" s="1"/>
      <c r="AK1706" s="1"/>
      <c r="AL1706" s="1"/>
    </row>
    <row r="1707" spans="1:38" hidden="1" x14ac:dyDescent="0.25">
      <c r="A1707" s="2">
        <v>2468</v>
      </c>
      <c r="B1707" s="1" t="s">
        <v>1987</v>
      </c>
      <c r="C1707" s="1" t="s">
        <v>1988</v>
      </c>
      <c r="D1707" s="1" t="s">
        <v>2062</v>
      </c>
      <c r="E1707" s="1" t="s">
        <v>2063</v>
      </c>
      <c r="F1707" s="3">
        <v>45570</v>
      </c>
      <c r="G1707" s="3">
        <v>45504</v>
      </c>
      <c r="H1707" s="3">
        <v>45868</v>
      </c>
      <c r="I1707" s="1" t="s">
        <v>2799</v>
      </c>
      <c r="J1707" s="1" t="s">
        <v>3946</v>
      </c>
      <c r="K1707" s="1"/>
      <c r="L1707" s="1" t="s">
        <v>2077</v>
      </c>
      <c r="M1707" s="1" t="s">
        <v>3947</v>
      </c>
      <c r="N1707" s="1" t="s">
        <v>3948</v>
      </c>
      <c r="O1707" s="1" t="s">
        <v>3949</v>
      </c>
      <c r="P1707" s="1" t="s">
        <v>2247</v>
      </c>
      <c r="Q1707" s="1"/>
      <c r="R1707" s="1"/>
      <c r="S1707" s="1" t="s">
        <v>2072</v>
      </c>
      <c r="T1707" s="1" t="s">
        <v>3165</v>
      </c>
      <c r="U1707" s="4">
        <v>2500000</v>
      </c>
      <c r="V1707" s="4">
        <v>2742</v>
      </c>
      <c r="W1707" s="4">
        <v>27</v>
      </c>
      <c r="X1707" s="4">
        <v>411</v>
      </c>
      <c r="Y1707" s="4">
        <v>0</v>
      </c>
      <c r="Z1707" s="5">
        <v>3180</v>
      </c>
      <c r="AA1707" s="5">
        <v>0</v>
      </c>
      <c r="AB1707" s="6">
        <v>0</v>
      </c>
      <c r="AC1707" s="4">
        <v>3180</v>
      </c>
      <c r="AD1707" s="4">
        <v>0</v>
      </c>
      <c r="AE1707" s="4">
        <v>3180</v>
      </c>
      <c r="AF1707" s="1"/>
      <c r="AG1707" s="1"/>
      <c r="AH1707" s="1"/>
      <c r="AI1707" s="1" t="s">
        <v>3057</v>
      </c>
      <c r="AJ1707" s="6">
        <v>2656.51</v>
      </c>
      <c r="AK1707" s="6">
        <v>928.95</v>
      </c>
      <c r="AL1707" s="1"/>
    </row>
    <row r="1708" spans="1:38" hidden="1" x14ac:dyDescent="0.25">
      <c r="A1708" s="2">
        <v>2469</v>
      </c>
      <c r="B1708" s="1" t="s">
        <v>1987</v>
      </c>
      <c r="C1708" s="1" t="s">
        <v>1989</v>
      </c>
      <c r="D1708" s="1" t="s">
        <v>2062</v>
      </c>
      <c r="E1708" s="1" t="s">
        <v>2063</v>
      </c>
      <c r="F1708" s="3">
        <v>45598</v>
      </c>
      <c r="G1708" s="3">
        <v>45504</v>
      </c>
      <c r="H1708" s="3">
        <v>45868</v>
      </c>
      <c r="I1708" s="1" t="s">
        <v>2799</v>
      </c>
      <c r="J1708" s="1" t="s">
        <v>3946</v>
      </c>
      <c r="K1708" s="1"/>
      <c r="L1708" s="1" t="s">
        <v>2077</v>
      </c>
      <c r="M1708" s="1" t="s">
        <v>3947</v>
      </c>
      <c r="N1708" s="1" t="s">
        <v>3948</v>
      </c>
      <c r="O1708" s="1" t="s">
        <v>3949</v>
      </c>
      <c r="P1708" s="1" t="s">
        <v>2247</v>
      </c>
      <c r="Q1708" s="1"/>
      <c r="R1708" s="1"/>
      <c r="S1708" s="1" t="s">
        <v>2072</v>
      </c>
      <c r="T1708" s="1" t="s">
        <v>3165</v>
      </c>
      <c r="U1708" s="4">
        <v>2500000</v>
      </c>
      <c r="V1708" s="4">
        <v>3020</v>
      </c>
      <c r="W1708" s="4">
        <v>30</v>
      </c>
      <c r="X1708" s="4">
        <v>453</v>
      </c>
      <c r="Y1708" s="4">
        <v>0</v>
      </c>
      <c r="Z1708" s="5">
        <v>3503</v>
      </c>
      <c r="AA1708" s="5">
        <v>0</v>
      </c>
      <c r="AB1708" s="6">
        <v>0</v>
      </c>
      <c r="AC1708" s="4">
        <v>3503</v>
      </c>
      <c r="AD1708" s="4">
        <v>0</v>
      </c>
      <c r="AE1708" s="4">
        <v>3503</v>
      </c>
      <c r="AF1708" s="1"/>
      <c r="AG1708" s="1"/>
      <c r="AH1708" s="1"/>
      <c r="AI1708" s="1" t="s">
        <v>3057</v>
      </c>
      <c r="AJ1708" s="6">
        <v>2643.33</v>
      </c>
      <c r="AK1708" s="6">
        <v>1023.749999999999</v>
      </c>
      <c r="AL1708" s="1"/>
    </row>
    <row r="1709" spans="1:38" hidden="1" x14ac:dyDescent="0.25">
      <c r="A1709" s="2">
        <v>2470</v>
      </c>
      <c r="B1709" s="1" t="s">
        <v>1987</v>
      </c>
      <c r="C1709" s="1" t="s">
        <v>1990</v>
      </c>
      <c r="D1709" s="1" t="s">
        <v>2062</v>
      </c>
      <c r="E1709" s="1" t="s">
        <v>2063</v>
      </c>
      <c r="F1709" s="3">
        <v>45628</v>
      </c>
      <c r="G1709" s="3">
        <v>45504</v>
      </c>
      <c r="H1709" s="3">
        <v>45868</v>
      </c>
      <c r="I1709" s="1" t="s">
        <v>2799</v>
      </c>
      <c r="J1709" s="1" t="s">
        <v>3946</v>
      </c>
      <c r="K1709" s="1"/>
      <c r="L1709" s="1" t="s">
        <v>2077</v>
      </c>
      <c r="M1709" s="1" t="s">
        <v>3947</v>
      </c>
      <c r="N1709" s="1" t="s">
        <v>3948</v>
      </c>
      <c r="O1709" s="1" t="s">
        <v>3949</v>
      </c>
      <c r="P1709" s="1" t="s">
        <v>2247</v>
      </c>
      <c r="Q1709" s="1"/>
      <c r="R1709" s="1"/>
      <c r="S1709" s="1" t="s">
        <v>2072</v>
      </c>
      <c r="T1709" s="1" t="s">
        <v>3165</v>
      </c>
      <c r="U1709" s="4">
        <v>2500000</v>
      </c>
      <c r="V1709" s="4">
        <v>2681</v>
      </c>
      <c r="W1709" s="4">
        <v>27</v>
      </c>
      <c r="X1709" s="4">
        <v>402</v>
      </c>
      <c r="Y1709" s="4">
        <v>0</v>
      </c>
      <c r="Z1709" s="5">
        <v>3110</v>
      </c>
      <c r="AA1709" s="5">
        <v>0</v>
      </c>
      <c r="AB1709" s="6">
        <v>0</v>
      </c>
      <c r="AC1709" s="4">
        <v>3110</v>
      </c>
      <c r="AD1709" s="4">
        <v>0</v>
      </c>
      <c r="AE1709" s="4">
        <v>3110</v>
      </c>
      <c r="AF1709" s="1"/>
      <c r="AG1709" s="1"/>
      <c r="AH1709" s="1"/>
      <c r="AI1709" s="1" t="s">
        <v>3057</v>
      </c>
      <c r="AJ1709" s="6">
        <v>2638.63</v>
      </c>
      <c r="AK1709" s="6">
        <v>908.73</v>
      </c>
      <c r="AL1709" s="1"/>
    </row>
    <row r="1710" spans="1:38" hidden="1" x14ac:dyDescent="0.25">
      <c r="A1710" s="2">
        <v>2471</v>
      </c>
      <c r="B1710" s="1" t="s">
        <v>1987</v>
      </c>
      <c r="C1710" s="1" t="s">
        <v>1991</v>
      </c>
      <c r="D1710" s="1" t="s">
        <v>2062</v>
      </c>
      <c r="E1710" s="1" t="s">
        <v>2063</v>
      </c>
      <c r="F1710" s="3">
        <v>45658</v>
      </c>
      <c r="G1710" s="3">
        <v>45504</v>
      </c>
      <c r="H1710" s="3">
        <v>45868</v>
      </c>
      <c r="I1710" s="1" t="s">
        <v>2799</v>
      </c>
      <c r="J1710" s="1" t="s">
        <v>3946</v>
      </c>
      <c r="K1710" s="1"/>
      <c r="L1710" s="1" t="s">
        <v>2077</v>
      </c>
      <c r="M1710" s="1" t="s">
        <v>3947</v>
      </c>
      <c r="N1710" s="1" t="s">
        <v>3948</v>
      </c>
      <c r="O1710" s="1" t="s">
        <v>3949</v>
      </c>
      <c r="P1710" s="1" t="s">
        <v>2247</v>
      </c>
      <c r="Q1710" s="1"/>
      <c r="R1710" s="1"/>
      <c r="S1710" s="1" t="s">
        <v>2072</v>
      </c>
      <c r="T1710" s="1" t="s">
        <v>3165</v>
      </c>
      <c r="U1710" s="4">
        <v>2500000</v>
      </c>
      <c r="V1710" s="4">
        <v>3775</v>
      </c>
      <c r="W1710" s="4">
        <v>38</v>
      </c>
      <c r="X1710" s="4">
        <v>566</v>
      </c>
      <c r="Y1710" s="4">
        <v>0</v>
      </c>
      <c r="Z1710" s="5">
        <v>4379</v>
      </c>
      <c r="AA1710" s="5">
        <v>0</v>
      </c>
      <c r="AB1710" s="6">
        <v>0</v>
      </c>
      <c r="AC1710" s="4">
        <v>4379</v>
      </c>
      <c r="AD1710" s="4">
        <v>0</v>
      </c>
      <c r="AE1710" s="4">
        <v>4379</v>
      </c>
      <c r="AF1710" s="1"/>
      <c r="AG1710" s="1"/>
      <c r="AH1710" s="1"/>
      <c r="AI1710" s="1" t="s">
        <v>3057</v>
      </c>
      <c r="AJ1710" s="6">
        <v>3406.659999999998</v>
      </c>
      <c r="AK1710" s="6">
        <v>1279.4000000000001</v>
      </c>
      <c r="AL1710" s="1"/>
    </row>
    <row r="1711" spans="1:38" hidden="1" x14ac:dyDescent="0.25">
      <c r="A1711" s="2">
        <v>2472</v>
      </c>
      <c r="B1711" s="1" t="s">
        <v>1987</v>
      </c>
      <c r="C1711" s="1" t="s">
        <v>1992</v>
      </c>
      <c r="D1711" s="1" t="s">
        <v>2062</v>
      </c>
      <c r="E1711" s="1" t="s">
        <v>2063</v>
      </c>
      <c r="F1711" s="3">
        <v>45691</v>
      </c>
      <c r="G1711" s="3">
        <v>45504</v>
      </c>
      <c r="H1711" s="3">
        <v>45868</v>
      </c>
      <c r="I1711" s="1" t="s">
        <v>2799</v>
      </c>
      <c r="J1711" s="1" t="s">
        <v>3946</v>
      </c>
      <c r="K1711" s="1"/>
      <c r="L1711" s="1" t="s">
        <v>2077</v>
      </c>
      <c r="M1711" s="1" t="s">
        <v>3947</v>
      </c>
      <c r="N1711" s="1" t="s">
        <v>3948</v>
      </c>
      <c r="O1711" s="1" t="s">
        <v>3949</v>
      </c>
      <c r="P1711" s="1" t="s">
        <v>2247</v>
      </c>
      <c r="Q1711" s="1"/>
      <c r="R1711" s="1"/>
      <c r="S1711" s="1" t="s">
        <v>2072</v>
      </c>
      <c r="T1711" s="1" t="s">
        <v>3165</v>
      </c>
      <c r="U1711" s="4">
        <v>2500000</v>
      </c>
      <c r="V1711" s="4">
        <v>3824</v>
      </c>
      <c r="W1711" s="4">
        <v>38</v>
      </c>
      <c r="X1711" s="4">
        <v>573</v>
      </c>
      <c r="Y1711" s="4">
        <v>0</v>
      </c>
      <c r="Z1711" s="5">
        <v>4435</v>
      </c>
      <c r="AA1711" s="5">
        <v>0</v>
      </c>
      <c r="AB1711" s="6">
        <v>0</v>
      </c>
      <c r="AC1711" s="4">
        <v>4435</v>
      </c>
      <c r="AD1711" s="4">
        <v>0</v>
      </c>
      <c r="AE1711" s="4">
        <v>4435</v>
      </c>
      <c r="AF1711" s="1"/>
      <c r="AG1711" s="1"/>
      <c r="AH1711" s="1"/>
      <c r="AI1711" s="1" t="s">
        <v>3057</v>
      </c>
      <c r="AJ1711" s="6">
        <v>3244.3300000000022</v>
      </c>
      <c r="AK1711" s="6">
        <v>1295.75</v>
      </c>
      <c r="AL1711" s="1"/>
    </row>
    <row r="1712" spans="1:38" hidden="1" x14ac:dyDescent="0.25">
      <c r="A1712" s="2">
        <v>2473</v>
      </c>
      <c r="B1712" s="1" t="s">
        <v>1987</v>
      </c>
      <c r="C1712" s="1" t="s">
        <v>1993</v>
      </c>
      <c r="D1712" s="1" t="s">
        <v>2062</v>
      </c>
      <c r="E1712" s="1" t="s">
        <v>2063</v>
      </c>
      <c r="F1712" s="3">
        <v>45716</v>
      </c>
      <c r="G1712" s="3">
        <v>45504</v>
      </c>
      <c r="H1712" s="3">
        <v>45868</v>
      </c>
      <c r="I1712" s="1" t="s">
        <v>2799</v>
      </c>
      <c r="J1712" s="1" t="s">
        <v>3946</v>
      </c>
      <c r="K1712" s="1"/>
      <c r="L1712" s="1" t="s">
        <v>2077</v>
      </c>
      <c r="M1712" s="1" t="s">
        <v>3947</v>
      </c>
      <c r="N1712" s="1" t="s">
        <v>3948</v>
      </c>
      <c r="O1712" s="1" t="s">
        <v>3949</v>
      </c>
      <c r="P1712" s="1" t="s">
        <v>2247</v>
      </c>
      <c r="Q1712" s="1"/>
      <c r="R1712" s="1"/>
      <c r="S1712" s="1" t="s">
        <v>2072</v>
      </c>
      <c r="T1712" s="1" t="s">
        <v>3165</v>
      </c>
      <c r="U1712" s="4">
        <v>2500000</v>
      </c>
      <c r="V1712" s="4">
        <v>3389</v>
      </c>
      <c r="W1712" s="4">
        <v>34</v>
      </c>
      <c r="X1712" s="4">
        <v>508</v>
      </c>
      <c r="Y1712" s="4">
        <v>0</v>
      </c>
      <c r="Z1712" s="5">
        <v>3931</v>
      </c>
      <c r="AA1712" s="5">
        <v>0</v>
      </c>
      <c r="AB1712" s="6">
        <v>0</v>
      </c>
      <c r="AC1712" s="4">
        <v>3931</v>
      </c>
      <c r="AD1712" s="4">
        <v>0</v>
      </c>
      <c r="AE1712" s="4">
        <v>3931</v>
      </c>
      <c r="AF1712" s="1"/>
      <c r="AG1712" s="1"/>
      <c r="AH1712" s="1"/>
      <c r="AI1712" s="1" t="s">
        <v>3057</v>
      </c>
      <c r="AJ1712" s="6">
        <v>2822.07</v>
      </c>
      <c r="AK1712" s="6">
        <v>1148.7</v>
      </c>
      <c r="AL1712" s="1"/>
    </row>
    <row r="1713" spans="1:38" hidden="1" x14ac:dyDescent="0.25">
      <c r="A1713" s="2">
        <v>2474</v>
      </c>
      <c r="B1713" s="1" t="s">
        <v>1987</v>
      </c>
      <c r="C1713" s="1" t="s">
        <v>1994</v>
      </c>
      <c r="D1713" s="1" t="s">
        <v>2062</v>
      </c>
      <c r="E1713" s="1" t="s">
        <v>2063</v>
      </c>
      <c r="F1713" s="3">
        <v>45750</v>
      </c>
      <c r="G1713" s="3">
        <v>45504</v>
      </c>
      <c r="H1713" s="3">
        <v>45868</v>
      </c>
      <c r="I1713" s="1" t="s">
        <v>2799</v>
      </c>
      <c r="J1713" s="1" t="s">
        <v>3946</v>
      </c>
      <c r="K1713" s="1"/>
      <c r="L1713" s="1" t="s">
        <v>2077</v>
      </c>
      <c r="M1713" s="1" t="s">
        <v>3947</v>
      </c>
      <c r="N1713" s="1" t="s">
        <v>3948</v>
      </c>
      <c r="O1713" s="1" t="s">
        <v>3949</v>
      </c>
      <c r="P1713" s="1" t="s">
        <v>2247</v>
      </c>
      <c r="Q1713" s="1"/>
      <c r="R1713" s="1"/>
      <c r="S1713" s="1" t="s">
        <v>2072</v>
      </c>
      <c r="T1713" s="1" t="s">
        <v>3165</v>
      </c>
      <c r="U1713" s="4">
        <v>2500000</v>
      </c>
      <c r="V1713" s="4">
        <v>3853</v>
      </c>
      <c r="W1713" s="4">
        <v>39</v>
      </c>
      <c r="X1713" s="4">
        <v>578</v>
      </c>
      <c r="Y1713" s="4">
        <v>0</v>
      </c>
      <c r="Z1713" s="5">
        <v>4470</v>
      </c>
      <c r="AA1713" s="5">
        <v>0</v>
      </c>
      <c r="AB1713" s="6">
        <v>0</v>
      </c>
      <c r="AC1713" s="4">
        <v>4470</v>
      </c>
      <c r="AD1713" s="4">
        <v>0</v>
      </c>
      <c r="AE1713" s="4">
        <v>4470</v>
      </c>
      <c r="AF1713" s="1"/>
      <c r="AG1713" s="1"/>
      <c r="AH1713" s="1"/>
      <c r="AI1713" s="1" t="s">
        <v>3057</v>
      </c>
      <c r="AJ1713" s="6">
        <v>3065.860000000001</v>
      </c>
      <c r="AK1713" s="6">
        <v>1306.05</v>
      </c>
      <c r="AL1713" s="1"/>
    </row>
    <row r="1714" spans="1:38" hidden="1" x14ac:dyDescent="0.25">
      <c r="A1714" s="2">
        <v>2475</v>
      </c>
      <c r="B1714" s="1" t="s">
        <v>1987</v>
      </c>
      <c r="C1714" s="1" t="s">
        <v>1995</v>
      </c>
      <c r="D1714" s="1" t="s">
        <v>2062</v>
      </c>
      <c r="E1714" s="1" t="s">
        <v>2063</v>
      </c>
      <c r="F1714" s="3">
        <v>45745</v>
      </c>
      <c r="G1714" s="3">
        <v>45504</v>
      </c>
      <c r="H1714" s="3">
        <v>45868</v>
      </c>
      <c r="I1714" s="1" t="s">
        <v>2799</v>
      </c>
      <c r="J1714" s="1" t="s">
        <v>3946</v>
      </c>
      <c r="K1714" s="1"/>
      <c r="L1714" s="1" t="s">
        <v>2077</v>
      </c>
      <c r="M1714" s="1" t="s">
        <v>3947</v>
      </c>
      <c r="N1714" s="1" t="s">
        <v>3948</v>
      </c>
      <c r="O1714" s="1" t="s">
        <v>3949</v>
      </c>
      <c r="P1714" s="1" t="s">
        <v>2247</v>
      </c>
      <c r="Q1714" s="1"/>
      <c r="R1714" s="1"/>
      <c r="S1714" s="1" t="s">
        <v>2072</v>
      </c>
      <c r="T1714" s="1" t="s">
        <v>3165</v>
      </c>
      <c r="U1714" s="4">
        <v>-1</v>
      </c>
      <c r="V1714" s="4">
        <v>-26775</v>
      </c>
      <c r="W1714" s="4">
        <v>-233</v>
      </c>
      <c r="X1714" s="4">
        <v>0</v>
      </c>
      <c r="Y1714" s="4">
        <v>0</v>
      </c>
      <c r="Z1714" s="5">
        <v>-27008</v>
      </c>
      <c r="AA1714" s="5">
        <v>0</v>
      </c>
      <c r="AB1714" s="6">
        <v>0</v>
      </c>
      <c r="AC1714" s="4">
        <v>-27008</v>
      </c>
      <c r="AD1714" s="4">
        <v>0</v>
      </c>
      <c r="AE1714" s="4">
        <v>-27008</v>
      </c>
      <c r="AF1714" s="1"/>
      <c r="AG1714" s="1"/>
      <c r="AH1714" s="1"/>
      <c r="AI1714" s="1" t="s">
        <v>3057</v>
      </c>
      <c r="AJ1714" s="1"/>
      <c r="AK1714" s="1"/>
      <c r="AL1714" s="1"/>
    </row>
    <row r="1715" spans="1:38" hidden="1" x14ac:dyDescent="0.25">
      <c r="A1715" s="2">
        <v>2507</v>
      </c>
      <c r="B1715" s="1" t="s">
        <v>1996</v>
      </c>
      <c r="C1715" s="1" t="s">
        <v>1997</v>
      </c>
      <c r="D1715" s="1" t="s">
        <v>2062</v>
      </c>
      <c r="E1715" s="1" t="s">
        <v>2063</v>
      </c>
      <c r="F1715" s="3">
        <v>45570</v>
      </c>
      <c r="G1715" s="3">
        <v>45533</v>
      </c>
      <c r="H1715" s="3">
        <v>45897</v>
      </c>
      <c r="I1715" s="1" t="s">
        <v>3950</v>
      </c>
      <c r="J1715" s="1" t="s">
        <v>3951</v>
      </c>
      <c r="K1715" s="1"/>
      <c r="L1715" s="1" t="s">
        <v>2450</v>
      </c>
      <c r="M1715" s="1" t="s">
        <v>3952</v>
      </c>
      <c r="N1715" s="1" t="s">
        <v>3953</v>
      </c>
      <c r="O1715" s="1" t="s">
        <v>3954</v>
      </c>
      <c r="P1715" s="1" t="s">
        <v>2081</v>
      </c>
      <c r="Q1715" s="1"/>
      <c r="R1715" s="1"/>
      <c r="S1715" s="1" t="s">
        <v>2072</v>
      </c>
      <c r="T1715" s="1" t="s">
        <v>3165</v>
      </c>
      <c r="U1715" s="4">
        <v>1500000</v>
      </c>
      <c r="V1715" s="4">
        <v>2563</v>
      </c>
      <c r="W1715" s="4">
        <v>26</v>
      </c>
      <c r="X1715" s="4">
        <v>385</v>
      </c>
      <c r="Y1715" s="4">
        <v>0</v>
      </c>
      <c r="Z1715" s="5">
        <v>2974</v>
      </c>
      <c r="AA1715" s="5">
        <v>0</v>
      </c>
      <c r="AB1715" s="6">
        <v>0</v>
      </c>
      <c r="AC1715" s="4">
        <v>2974</v>
      </c>
      <c r="AD1715" s="4">
        <v>0</v>
      </c>
      <c r="AE1715" s="4">
        <v>2974</v>
      </c>
      <c r="AF1715" s="1"/>
      <c r="AG1715" s="1"/>
      <c r="AH1715" s="1"/>
      <c r="AI1715" s="1" t="s">
        <v>3057</v>
      </c>
      <c r="AJ1715" s="6">
        <v>941.8</v>
      </c>
      <c r="AK1715" s="6">
        <v>881.13</v>
      </c>
      <c r="AL1715" s="1"/>
    </row>
    <row r="1716" spans="1:38" hidden="1" x14ac:dyDescent="0.25">
      <c r="A1716" s="2">
        <v>2508</v>
      </c>
      <c r="B1716" s="1" t="s">
        <v>1996</v>
      </c>
      <c r="C1716" s="1" t="s">
        <v>1998</v>
      </c>
      <c r="D1716" s="1" t="s">
        <v>2062</v>
      </c>
      <c r="E1716" s="1" t="s">
        <v>2063</v>
      </c>
      <c r="F1716" s="3">
        <v>45597</v>
      </c>
      <c r="G1716" s="3">
        <v>45533</v>
      </c>
      <c r="H1716" s="3">
        <v>45897</v>
      </c>
      <c r="I1716" s="1" t="s">
        <v>3950</v>
      </c>
      <c r="J1716" s="1" t="s">
        <v>3951</v>
      </c>
      <c r="K1716" s="1"/>
      <c r="L1716" s="1" t="s">
        <v>2450</v>
      </c>
      <c r="M1716" s="1" t="s">
        <v>3952</v>
      </c>
      <c r="N1716" s="1" t="s">
        <v>3953</v>
      </c>
      <c r="O1716" s="1" t="s">
        <v>3954</v>
      </c>
      <c r="P1716" s="1" t="s">
        <v>2081</v>
      </c>
      <c r="Q1716" s="1"/>
      <c r="R1716" s="1"/>
      <c r="S1716" s="1" t="s">
        <v>2072</v>
      </c>
      <c r="T1716" s="1" t="s">
        <v>3165</v>
      </c>
      <c r="U1716" s="4">
        <v>1500000</v>
      </c>
      <c r="V1716" s="4">
        <v>3412</v>
      </c>
      <c r="W1716" s="4">
        <v>34</v>
      </c>
      <c r="X1716" s="4">
        <v>512</v>
      </c>
      <c r="Y1716" s="4">
        <v>0</v>
      </c>
      <c r="Z1716" s="5">
        <v>3958</v>
      </c>
      <c r="AA1716" s="5">
        <v>0</v>
      </c>
      <c r="AB1716" s="6">
        <v>0</v>
      </c>
      <c r="AC1716" s="4">
        <v>3958</v>
      </c>
      <c r="AD1716" s="4">
        <v>0</v>
      </c>
      <c r="AE1716" s="4">
        <v>3958</v>
      </c>
      <c r="AF1716" s="1"/>
      <c r="AG1716" s="1"/>
      <c r="AH1716" s="1"/>
      <c r="AI1716" s="1" t="s">
        <v>3057</v>
      </c>
      <c r="AJ1716" s="6">
        <v>1179.1300000000001</v>
      </c>
      <c r="AK1716" s="6">
        <v>1172.56</v>
      </c>
      <c r="AL1716" s="1"/>
    </row>
    <row r="1717" spans="1:38" hidden="1" x14ac:dyDescent="0.25">
      <c r="A1717" s="2">
        <v>2509</v>
      </c>
      <c r="B1717" s="1" t="s">
        <v>1996</v>
      </c>
      <c r="C1717" s="1" t="s">
        <v>1999</v>
      </c>
      <c r="D1717" s="1" t="s">
        <v>2062</v>
      </c>
      <c r="E1717" s="1" t="s">
        <v>2063</v>
      </c>
      <c r="F1717" s="3">
        <v>45627</v>
      </c>
      <c r="G1717" s="3">
        <v>45533</v>
      </c>
      <c r="H1717" s="3">
        <v>45897</v>
      </c>
      <c r="I1717" s="1" t="s">
        <v>3950</v>
      </c>
      <c r="J1717" s="1" t="s">
        <v>3951</v>
      </c>
      <c r="K1717" s="1"/>
      <c r="L1717" s="1" t="s">
        <v>2450</v>
      </c>
      <c r="M1717" s="1" t="s">
        <v>3952</v>
      </c>
      <c r="N1717" s="1" t="s">
        <v>3953</v>
      </c>
      <c r="O1717" s="1" t="s">
        <v>3954</v>
      </c>
      <c r="P1717" s="1" t="s">
        <v>2081</v>
      </c>
      <c r="Q1717" s="1"/>
      <c r="R1717" s="1"/>
      <c r="S1717" s="1" t="s">
        <v>2072</v>
      </c>
      <c r="T1717" s="1" t="s">
        <v>3165</v>
      </c>
      <c r="U1717" s="4">
        <v>1500000</v>
      </c>
      <c r="V1717" s="4">
        <v>3299</v>
      </c>
      <c r="W1717" s="4">
        <v>33</v>
      </c>
      <c r="X1717" s="4">
        <v>495</v>
      </c>
      <c r="Y1717" s="4">
        <v>0</v>
      </c>
      <c r="Z1717" s="5">
        <v>3827</v>
      </c>
      <c r="AA1717" s="5">
        <v>0</v>
      </c>
      <c r="AB1717" s="6">
        <v>0</v>
      </c>
      <c r="AC1717" s="4">
        <v>3827</v>
      </c>
      <c r="AD1717" s="4">
        <v>0</v>
      </c>
      <c r="AE1717" s="4">
        <v>3827</v>
      </c>
      <c r="AF1717" s="1"/>
      <c r="AG1717" s="1"/>
      <c r="AH1717" s="1"/>
      <c r="AI1717" s="1" t="s">
        <v>3057</v>
      </c>
      <c r="AJ1717" s="6">
        <v>1133.6400000000001</v>
      </c>
      <c r="AK1717" s="6">
        <v>1133.6400000000001</v>
      </c>
      <c r="AL1717" s="1"/>
    </row>
    <row r="1718" spans="1:38" hidden="1" x14ac:dyDescent="0.25">
      <c r="A1718" s="2">
        <v>2510</v>
      </c>
      <c r="B1718" s="1" t="s">
        <v>1996</v>
      </c>
      <c r="C1718" s="1" t="s">
        <v>2000</v>
      </c>
      <c r="D1718" s="1" t="s">
        <v>2062</v>
      </c>
      <c r="E1718" s="1" t="s">
        <v>2063</v>
      </c>
      <c r="F1718" s="3">
        <v>45657</v>
      </c>
      <c r="G1718" s="3">
        <v>45533</v>
      </c>
      <c r="H1718" s="3">
        <v>45897</v>
      </c>
      <c r="I1718" s="1" t="s">
        <v>3950</v>
      </c>
      <c r="J1718" s="1" t="s">
        <v>3951</v>
      </c>
      <c r="K1718" s="1"/>
      <c r="L1718" s="1" t="s">
        <v>2450</v>
      </c>
      <c r="M1718" s="1" t="s">
        <v>3952</v>
      </c>
      <c r="N1718" s="1" t="s">
        <v>3953</v>
      </c>
      <c r="O1718" s="1" t="s">
        <v>3954</v>
      </c>
      <c r="P1718" s="1" t="s">
        <v>2081</v>
      </c>
      <c r="Q1718" s="1"/>
      <c r="R1718" s="1"/>
      <c r="S1718" s="1" t="s">
        <v>2072</v>
      </c>
      <c r="T1718" s="1" t="s">
        <v>3165</v>
      </c>
      <c r="U1718" s="4">
        <v>1500000</v>
      </c>
      <c r="V1718" s="4">
        <v>2756</v>
      </c>
      <c r="W1718" s="4">
        <v>28</v>
      </c>
      <c r="X1718" s="4">
        <v>414</v>
      </c>
      <c r="Y1718" s="4">
        <v>0</v>
      </c>
      <c r="Z1718" s="5">
        <v>3198</v>
      </c>
      <c r="AA1718" s="5">
        <v>0</v>
      </c>
      <c r="AB1718" s="6">
        <v>0</v>
      </c>
      <c r="AC1718" s="4">
        <v>3198</v>
      </c>
      <c r="AD1718" s="4">
        <v>0</v>
      </c>
      <c r="AE1718" s="4">
        <v>3198</v>
      </c>
      <c r="AF1718" s="1"/>
      <c r="AG1718" s="1"/>
      <c r="AH1718" s="1"/>
      <c r="AI1718" s="1" t="s">
        <v>3057</v>
      </c>
      <c r="AJ1718" s="6">
        <v>947.08</v>
      </c>
      <c r="AK1718" s="6">
        <v>947.08</v>
      </c>
      <c r="AL1718" s="1"/>
    </row>
    <row r="1719" spans="1:38" hidden="1" x14ac:dyDescent="0.25">
      <c r="A1719" s="2">
        <v>2511</v>
      </c>
      <c r="B1719" s="1" t="s">
        <v>1996</v>
      </c>
      <c r="C1719" s="1" t="s">
        <v>2001</v>
      </c>
      <c r="D1719" s="1" t="s">
        <v>2062</v>
      </c>
      <c r="E1719" s="1" t="s">
        <v>2063</v>
      </c>
      <c r="F1719" s="3">
        <v>45686</v>
      </c>
      <c r="G1719" s="3">
        <v>45533</v>
      </c>
      <c r="H1719" s="3">
        <v>45897</v>
      </c>
      <c r="I1719" s="1" t="s">
        <v>3950</v>
      </c>
      <c r="J1719" s="1" t="s">
        <v>3951</v>
      </c>
      <c r="K1719" s="1"/>
      <c r="L1719" s="1" t="s">
        <v>2450</v>
      </c>
      <c r="M1719" s="1" t="s">
        <v>3952</v>
      </c>
      <c r="N1719" s="1" t="s">
        <v>3953</v>
      </c>
      <c r="O1719" s="1" t="s">
        <v>3954</v>
      </c>
      <c r="P1719" s="1" t="s">
        <v>2081</v>
      </c>
      <c r="Q1719" s="1"/>
      <c r="R1719" s="1"/>
      <c r="S1719" s="1" t="s">
        <v>2072</v>
      </c>
      <c r="T1719" s="1" t="s">
        <v>3165</v>
      </c>
      <c r="U1719" s="4">
        <v>1500000</v>
      </c>
      <c r="V1719" s="4">
        <v>2445</v>
      </c>
      <c r="W1719" s="4">
        <v>24</v>
      </c>
      <c r="X1719" s="4">
        <v>367</v>
      </c>
      <c r="Y1719" s="4">
        <v>0</v>
      </c>
      <c r="Z1719" s="5">
        <v>2836</v>
      </c>
      <c r="AA1719" s="5">
        <v>0</v>
      </c>
      <c r="AB1719" s="6">
        <v>0</v>
      </c>
      <c r="AC1719" s="4">
        <v>2836</v>
      </c>
      <c r="AD1719" s="4">
        <v>0</v>
      </c>
      <c r="AE1719" s="4">
        <v>2836</v>
      </c>
      <c r="AF1719" s="1"/>
      <c r="AG1719" s="1"/>
      <c r="AH1719" s="1"/>
      <c r="AI1719" s="1" t="s">
        <v>3057</v>
      </c>
      <c r="AJ1719" s="6">
        <v>840.19</v>
      </c>
      <c r="AK1719" s="6">
        <v>840.19</v>
      </c>
      <c r="AL1719" s="1"/>
    </row>
    <row r="1720" spans="1:38" hidden="1" x14ac:dyDescent="0.25">
      <c r="A1720" s="2">
        <v>2512</v>
      </c>
      <c r="B1720" s="1" t="s">
        <v>1996</v>
      </c>
      <c r="C1720" s="1" t="s">
        <v>2002</v>
      </c>
      <c r="D1720" s="1" t="s">
        <v>2062</v>
      </c>
      <c r="E1720" s="1" t="s">
        <v>2063</v>
      </c>
      <c r="F1720" s="3">
        <v>45745</v>
      </c>
      <c r="G1720" s="3">
        <v>45533</v>
      </c>
      <c r="H1720" s="3">
        <v>45897</v>
      </c>
      <c r="I1720" s="1" t="s">
        <v>3950</v>
      </c>
      <c r="J1720" s="1" t="s">
        <v>3951</v>
      </c>
      <c r="K1720" s="1"/>
      <c r="L1720" s="1" t="s">
        <v>2450</v>
      </c>
      <c r="M1720" s="1" t="s">
        <v>3952</v>
      </c>
      <c r="N1720" s="1" t="s">
        <v>3953</v>
      </c>
      <c r="O1720" s="1" t="s">
        <v>3954</v>
      </c>
      <c r="P1720" s="1" t="s">
        <v>2081</v>
      </c>
      <c r="Q1720" s="1"/>
      <c r="R1720" s="1"/>
      <c r="S1720" s="1" t="s">
        <v>2072</v>
      </c>
      <c r="T1720" s="1" t="s">
        <v>3165</v>
      </c>
      <c r="U1720" s="4">
        <v>-1</v>
      </c>
      <c r="V1720" s="4">
        <v>-16648</v>
      </c>
      <c r="W1720" s="4">
        <v>-145</v>
      </c>
      <c r="X1720" s="4">
        <v>0</v>
      </c>
      <c r="Y1720" s="4">
        <v>0</v>
      </c>
      <c r="Z1720" s="5">
        <v>-16793</v>
      </c>
      <c r="AA1720" s="5">
        <v>0</v>
      </c>
      <c r="AB1720" s="6">
        <v>0</v>
      </c>
      <c r="AC1720" s="4">
        <v>-16793</v>
      </c>
      <c r="AD1720" s="4">
        <v>0</v>
      </c>
      <c r="AE1720" s="4">
        <v>-16793</v>
      </c>
      <c r="AF1720" s="1"/>
      <c r="AG1720" s="1"/>
      <c r="AH1720" s="1"/>
      <c r="AI1720" s="1" t="s">
        <v>3057</v>
      </c>
      <c r="AJ1720" s="1"/>
      <c r="AK1720" s="1"/>
      <c r="AL1720" s="1"/>
    </row>
    <row r="1721" spans="1:38" hidden="1" x14ac:dyDescent="0.25">
      <c r="A1721" s="2">
        <v>2514</v>
      </c>
      <c r="B1721" s="1" t="s">
        <v>2003</v>
      </c>
      <c r="C1721" s="1" t="s">
        <v>2004</v>
      </c>
      <c r="D1721" s="1" t="s">
        <v>2062</v>
      </c>
      <c r="E1721" s="1" t="s">
        <v>2063</v>
      </c>
      <c r="F1721" s="3">
        <v>45574</v>
      </c>
      <c r="G1721" s="3">
        <v>45537</v>
      </c>
      <c r="H1721" s="3">
        <v>45901</v>
      </c>
      <c r="I1721" s="1" t="s">
        <v>3955</v>
      </c>
      <c r="J1721" s="1" t="s">
        <v>3956</v>
      </c>
      <c r="K1721" s="1"/>
      <c r="L1721" s="1" t="s">
        <v>3957</v>
      </c>
      <c r="M1721" s="1" t="s">
        <v>3958</v>
      </c>
      <c r="N1721" s="1" t="s">
        <v>3959</v>
      </c>
      <c r="O1721" s="1" t="s">
        <v>3960</v>
      </c>
      <c r="P1721" s="1" t="s">
        <v>2231</v>
      </c>
      <c r="Q1721" s="1"/>
      <c r="R1721" s="1"/>
      <c r="S1721" s="1" t="s">
        <v>2072</v>
      </c>
      <c r="T1721" s="1" t="s">
        <v>3165</v>
      </c>
      <c r="U1721" s="4">
        <v>5000000</v>
      </c>
      <c r="V1721" s="4">
        <v>4737</v>
      </c>
      <c r="W1721" s="4">
        <v>47</v>
      </c>
      <c r="X1721" s="4">
        <v>710</v>
      </c>
      <c r="Y1721" s="4">
        <v>0</v>
      </c>
      <c r="Z1721" s="5">
        <v>5494</v>
      </c>
      <c r="AA1721" s="5">
        <v>0</v>
      </c>
      <c r="AB1721" s="6">
        <v>0</v>
      </c>
      <c r="AC1721" s="4">
        <v>5494</v>
      </c>
      <c r="AD1721" s="4">
        <v>0</v>
      </c>
      <c r="AE1721" s="4">
        <v>5494</v>
      </c>
      <c r="AF1721" s="1"/>
      <c r="AG1721" s="1"/>
      <c r="AH1721" s="1"/>
      <c r="AI1721" s="1" t="s">
        <v>2327</v>
      </c>
      <c r="AJ1721" s="6">
        <v>488.51000000000005</v>
      </c>
      <c r="AK1721" s="6">
        <v>488.51000000000005</v>
      </c>
      <c r="AL1721" s="1"/>
    </row>
    <row r="1722" spans="1:38" hidden="1" x14ac:dyDescent="0.25">
      <c r="A1722" s="2">
        <v>2515</v>
      </c>
      <c r="B1722" s="1" t="s">
        <v>2003</v>
      </c>
      <c r="C1722" s="1" t="s">
        <v>2005</v>
      </c>
      <c r="D1722" s="1" t="s">
        <v>2062</v>
      </c>
      <c r="E1722" s="1" t="s">
        <v>2063</v>
      </c>
      <c r="F1722" s="3">
        <v>45600</v>
      </c>
      <c r="G1722" s="3">
        <v>45537</v>
      </c>
      <c r="H1722" s="3">
        <v>45901</v>
      </c>
      <c r="I1722" s="1" t="s">
        <v>3955</v>
      </c>
      <c r="J1722" s="1" t="s">
        <v>3956</v>
      </c>
      <c r="K1722" s="1"/>
      <c r="L1722" s="1" t="s">
        <v>3957</v>
      </c>
      <c r="M1722" s="1" t="s">
        <v>3958</v>
      </c>
      <c r="N1722" s="1" t="s">
        <v>3959</v>
      </c>
      <c r="O1722" s="1" t="s">
        <v>3960</v>
      </c>
      <c r="P1722" s="1" t="s">
        <v>2231</v>
      </c>
      <c r="Q1722" s="1"/>
      <c r="R1722" s="1"/>
      <c r="S1722" s="1" t="s">
        <v>2072</v>
      </c>
      <c r="T1722" s="1" t="s">
        <v>3165</v>
      </c>
      <c r="U1722" s="4">
        <v>5000000</v>
      </c>
      <c r="V1722" s="4">
        <v>6103</v>
      </c>
      <c r="W1722" s="4">
        <v>61</v>
      </c>
      <c r="X1722" s="4">
        <v>915</v>
      </c>
      <c r="Y1722" s="4">
        <v>0</v>
      </c>
      <c r="Z1722" s="5">
        <v>7079</v>
      </c>
      <c r="AA1722" s="5">
        <v>0</v>
      </c>
      <c r="AB1722" s="6">
        <v>0</v>
      </c>
      <c r="AC1722" s="4">
        <v>7079</v>
      </c>
      <c r="AD1722" s="4">
        <v>0</v>
      </c>
      <c r="AE1722" s="4">
        <v>7079</v>
      </c>
      <c r="AF1722" s="1"/>
      <c r="AG1722" s="1"/>
      <c r="AH1722" s="1"/>
      <c r="AI1722" s="1" t="s">
        <v>2327</v>
      </c>
      <c r="AJ1722" s="6">
        <v>629.37000000000398</v>
      </c>
      <c r="AK1722" s="6">
        <v>629.37000000000398</v>
      </c>
      <c r="AL1722" s="1"/>
    </row>
    <row r="1723" spans="1:38" hidden="1" x14ac:dyDescent="0.25">
      <c r="A1723" s="2">
        <v>2516</v>
      </c>
      <c r="B1723" s="1" t="s">
        <v>2003</v>
      </c>
      <c r="C1723" s="1" t="s">
        <v>2006</v>
      </c>
      <c r="D1723" s="1" t="s">
        <v>2062</v>
      </c>
      <c r="E1723" s="1" t="s">
        <v>2063</v>
      </c>
      <c r="F1723" s="3">
        <v>45630</v>
      </c>
      <c r="G1723" s="3">
        <v>45537</v>
      </c>
      <c r="H1723" s="3">
        <v>45901</v>
      </c>
      <c r="I1723" s="1" t="s">
        <v>3955</v>
      </c>
      <c r="J1723" s="1" t="s">
        <v>3956</v>
      </c>
      <c r="K1723" s="1"/>
      <c r="L1723" s="1" t="s">
        <v>3957</v>
      </c>
      <c r="M1723" s="1" t="s">
        <v>3958</v>
      </c>
      <c r="N1723" s="1" t="s">
        <v>3959</v>
      </c>
      <c r="O1723" s="1" t="s">
        <v>3960</v>
      </c>
      <c r="P1723" s="1" t="s">
        <v>2231</v>
      </c>
      <c r="Q1723" s="1"/>
      <c r="R1723" s="1"/>
      <c r="S1723" s="1" t="s">
        <v>2072</v>
      </c>
      <c r="T1723" s="1" t="s">
        <v>3165</v>
      </c>
      <c r="U1723" s="4">
        <v>5000000</v>
      </c>
      <c r="V1723" s="4">
        <v>3949</v>
      </c>
      <c r="W1723" s="4">
        <v>39</v>
      </c>
      <c r="X1723" s="4">
        <v>592</v>
      </c>
      <c r="Y1723" s="4">
        <v>0</v>
      </c>
      <c r="Z1723" s="5">
        <v>4580</v>
      </c>
      <c r="AA1723" s="5">
        <v>0</v>
      </c>
      <c r="AB1723" s="6">
        <v>0</v>
      </c>
      <c r="AC1723" s="4">
        <v>4580</v>
      </c>
      <c r="AD1723" s="4">
        <v>0</v>
      </c>
      <c r="AE1723" s="4">
        <v>4580</v>
      </c>
      <c r="AF1723" s="1"/>
      <c r="AG1723" s="1"/>
      <c r="AH1723" s="1"/>
      <c r="AI1723" s="1" t="s">
        <v>2327</v>
      </c>
      <c r="AJ1723" s="6">
        <v>406.97999999999905</v>
      </c>
      <c r="AK1723" s="6">
        <v>406.97999999999905</v>
      </c>
      <c r="AL1723" s="1"/>
    </row>
    <row r="1724" spans="1:38" hidden="1" x14ac:dyDescent="0.25">
      <c r="A1724" s="2">
        <v>2517</v>
      </c>
      <c r="B1724" s="1" t="s">
        <v>2003</v>
      </c>
      <c r="C1724" s="1" t="s">
        <v>2007</v>
      </c>
      <c r="D1724" s="1" t="s">
        <v>2062</v>
      </c>
      <c r="E1724" s="1" t="s">
        <v>2063</v>
      </c>
      <c r="F1724" s="3">
        <v>45659</v>
      </c>
      <c r="G1724" s="3">
        <v>45537</v>
      </c>
      <c r="H1724" s="3">
        <v>45901</v>
      </c>
      <c r="I1724" s="1" t="s">
        <v>3955</v>
      </c>
      <c r="J1724" s="1" t="s">
        <v>3956</v>
      </c>
      <c r="K1724" s="1"/>
      <c r="L1724" s="1" t="s">
        <v>3957</v>
      </c>
      <c r="M1724" s="1" t="s">
        <v>3958</v>
      </c>
      <c r="N1724" s="1" t="s">
        <v>3959</v>
      </c>
      <c r="O1724" s="1" t="s">
        <v>3960</v>
      </c>
      <c r="P1724" s="1" t="s">
        <v>2231</v>
      </c>
      <c r="Q1724" s="1"/>
      <c r="R1724" s="1"/>
      <c r="S1724" s="1" t="s">
        <v>2072</v>
      </c>
      <c r="T1724" s="1" t="s">
        <v>3165</v>
      </c>
      <c r="U1724" s="4">
        <v>5000000</v>
      </c>
      <c r="V1724" s="4">
        <v>3267</v>
      </c>
      <c r="W1724" s="4">
        <v>33</v>
      </c>
      <c r="X1724" s="4">
        <v>490</v>
      </c>
      <c r="Y1724" s="4">
        <v>0</v>
      </c>
      <c r="Z1724" s="5">
        <v>3790</v>
      </c>
      <c r="AA1724" s="5">
        <v>0</v>
      </c>
      <c r="AB1724" s="6">
        <v>0</v>
      </c>
      <c r="AC1724" s="4">
        <v>3790</v>
      </c>
      <c r="AD1724" s="4">
        <v>0</v>
      </c>
      <c r="AE1724" s="4">
        <v>3790</v>
      </c>
      <c r="AF1724" s="1"/>
      <c r="AG1724" s="1"/>
      <c r="AH1724" s="1"/>
      <c r="AI1724" s="1" t="s">
        <v>2327</v>
      </c>
      <c r="AJ1724" s="6">
        <v>336.73000000000104</v>
      </c>
      <c r="AK1724" s="6">
        <v>336.73000000000104</v>
      </c>
      <c r="AL1724" s="1"/>
    </row>
    <row r="1725" spans="1:38" hidden="1" x14ac:dyDescent="0.25">
      <c r="A1725" s="2">
        <v>2518</v>
      </c>
      <c r="B1725" s="1" t="s">
        <v>2003</v>
      </c>
      <c r="C1725" s="1" t="s">
        <v>2008</v>
      </c>
      <c r="D1725" s="1" t="s">
        <v>2062</v>
      </c>
      <c r="E1725" s="1" t="s">
        <v>2063</v>
      </c>
      <c r="F1725" s="3">
        <v>45692</v>
      </c>
      <c r="G1725" s="3">
        <v>45537</v>
      </c>
      <c r="H1725" s="3">
        <v>45901</v>
      </c>
      <c r="I1725" s="1" t="s">
        <v>3955</v>
      </c>
      <c r="J1725" s="1" t="s">
        <v>3956</v>
      </c>
      <c r="K1725" s="1"/>
      <c r="L1725" s="1" t="s">
        <v>3957</v>
      </c>
      <c r="M1725" s="1" t="s">
        <v>3958</v>
      </c>
      <c r="N1725" s="1" t="s">
        <v>3959</v>
      </c>
      <c r="O1725" s="1" t="s">
        <v>3960</v>
      </c>
      <c r="P1725" s="1" t="s">
        <v>2231</v>
      </c>
      <c r="Q1725" s="1"/>
      <c r="R1725" s="1"/>
      <c r="S1725" s="1" t="s">
        <v>2072</v>
      </c>
      <c r="T1725" s="1" t="s">
        <v>3165</v>
      </c>
      <c r="U1725" s="4">
        <v>5000000</v>
      </c>
      <c r="V1725" s="4">
        <v>2587</v>
      </c>
      <c r="W1725" s="4">
        <v>26</v>
      </c>
      <c r="X1725" s="4">
        <v>388</v>
      </c>
      <c r="Y1725" s="4">
        <v>0</v>
      </c>
      <c r="Z1725" s="5">
        <v>3001</v>
      </c>
      <c r="AA1725" s="5">
        <v>0</v>
      </c>
      <c r="AB1725" s="6">
        <v>0</v>
      </c>
      <c r="AC1725" s="4">
        <v>3001</v>
      </c>
      <c r="AD1725" s="4">
        <v>0</v>
      </c>
      <c r="AE1725" s="4">
        <v>3001</v>
      </c>
      <c r="AF1725" s="1"/>
      <c r="AG1725" s="1"/>
      <c r="AH1725" s="1"/>
      <c r="AI1725" s="1" t="s">
        <v>2327</v>
      </c>
      <c r="AJ1725" s="6">
        <v>266.82</v>
      </c>
      <c r="AK1725" s="6">
        <v>266.82</v>
      </c>
      <c r="AL1725" s="1"/>
    </row>
    <row r="1726" spans="1:38" hidden="1" x14ac:dyDescent="0.25">
      <c r="A1726" s="2">
        <v>2519</v>
      </c>
      <c r="B1726" s="1" t="s">
        <v>2003</v>
      </c>
      <c r="C1726" s="1" t="s">
        <v>2009</v>
      </c>
      <c r="D1726" s="1" t="s">
        <v>2062</v>
      </c>
      <c r="E1726" s="1" t="s">
        <v>2063</v>
      </c>
      <c r="F1726" s="3">
        <v>45719</v>
      </c>
      <c r="G1726" s="3">
        <v>45537</v>
      </c>
      <c r="H1726" s="3">
        <v>45901</v>
      </c>
      <c r="I1726" s="1" t="s">
        <v>3955</v>
      </c>
      <c r="J1726" s="1" t="s">
        <v>3956</v>
      </c>
      <c r="K1726" s="1"/>
      <c r="L1726" s="1" t="s">
        <v>3957</v>
      </c>
      <c r="M1726" s="1" t="s">
        <v>3958</v>
      </c>
      <c r="N1726" s="1" t="s">
        <v>3959</v>
      </c>
      <c r="O1726" s="1" t="s">
        <v>3960</v>
      </c>
      <c r="P1726" s="1" t="s">
        <v>2231</v>
      </c>
      <c r="Q1726" s="1"/>
      <c r="R1726" s="1"/>
      <c r="S1726" s="1" t="s">
        <v>2072</v>
      </c>
      <c r="T1726" s="1" t="s">
        <v>3165</v>
      </c>
      <c r="U1726" s="4">
        <v>5000000</v>
      </c>
      <c r="V1726" s="4">
        <v>1734</v>
      </c>
      <c r="W1726" s="4">
        <v>17</v>
      </c>
      <c r="X1726" s="4">
        <v>260</v>
      </c>
      <c r="Y1726" s="4">
        <v>0</v>
      </c>
      <c r="Z1726" s="5">
        <v>2011</v>
      </c>
      <c r="AA1726" s="5">
        <v>0</v>
      </c>
      <c r="AB1726" s="6">
        <v>0</v>
      </c>
      <c r="AC1726" s="4">
        <v>2011</v>
      </c>
      <c r="AD1726" s="4">
        <v>0</v>
      </c>
      <c r="AE1726" s="4">
        <v>2011</v>
      </c>
      <c r="AF1726" s="1"/>
      <c r="AG1726" s="1"/>
      <c r="AH1726" s="1"/>
      <c r="AI1726" s="1" t="s">
        <v>2327</v>
      </c>
      <c r="AJ1726" s="6">
        <v>178.74</v>
      </c>
      <c r="AK1726" s="6">
        <v>178.74</v>
      </c>
      <c r="AL1726" s="1"/>
    </row>
    <row r="1727" spans="1:38" hidden="1" x14ac:dyDescent="0.25">
      <c r="A1727" s="2">
        <v>2520</v>
      </c>
      <c r="B1727" s="1" t="s">
        <v>2003</v>
      </c>
      <c r="C1727" s="1" t="s">
        <v>2010</v>
      </c>
      <c r="D1727" s="1" t="s">
        <v>2062</v>
      </c>
      <c r="E1727" s="1" t="s">
        <v>2063</v>
      </c>
      <c r="F1727" s="3">
        <v>45751</v>
      </c>
      <c r="G1727" s="3">
        <v>45537</v>
      </c>
      <c r="H1727" s="3">
        <v>45901</v>
      </c>
      <c r="I1727" s="1" t="s">
        <v>3955</v>
      </c>
      <c r="J1727" s="1" t="s">
        <v>3956</v>
      </c>
      <c r="K1727" s="1"/>
      <c r="L1727" s="1" t="s">
        <v>3957</v>
      </c>
      <c r="M1727" s="1" t="s">
        <v>3958</v>
      </c>
      <c r="N1727" s="1" t="s">
        <v>3959</v>
      </c>
      <c r="O1727" s="1" t="s">
        <v>3960</v>
      </c>
      <c r="P1727" s="1" t="s">
        <v>2231</v>
      </c>
      <c r="Q1727" s="1"/>
      <c r="R1727" s="1"/>
      <c r="S1727" s="1" t="s">
        <v>2072</v>
      </c>
      <c r="T1727" s="1" t="s">
        <v>3165</v>
      </c>
      <c r="U1727" s="4">
        <v>5000000</v>
      </c>
      <c r="V1727" s="4">
        <v>3126</v>
      </c>
      <c r="W1727" s="4">
        <v>31</v>
      </c>
      <c r="X1727" s="4">
        <v>469</v>
      </c>
      <c r="Y1727" s="4">
        <v>0</v>
      </c>
      <c r="Z1727" s="5">
        <v>3626</v>
      </c>
      <c r="AA1727" s="5">
        <v>0</v>
      </c>
      <c r="AB1727" s="6">
        <v>0</v>
      </c>
      <c r="AC1727" s="4">
        <v>3626</v>
      </c>
      <c r="AD1727" s="4">
        <v>0</v>
      </c>
      <c r="AE1727" s="4">
        <v>3626</v>
      </c>
      <c r="AF1727" s="1"/>
      <c r="AG1727" s="1"/>
      <c r="AH1727" s="1"/>
      <c r="AI1727" s="1" t="s">
        <v>2327</v>
      </c>
      <c r="AJ1727" s="6">
        <v>322.32000000000301</v>
      </c>
      <c r="AK1727" s="6">
        <v>322.32000000000301</v>
      </c>
      <c r="AL1727" s="1"/>
    </row>
    <row r="1728" spans="1:38" hidden="1" x14ac:dyDescent="0.25">
      <c r="A1728" s="2">
        <v>2521</v>
      </c>
      <c r="B1728" s="1" t="s">
        <v>2003</v>
      </c>
      <c r="C1728" s="1" t="s">
        <v>2011</v>
      </c>
      <c r="D1728" s="1" t="s">
        <v>2062</v>
      </c>
      <c r="E1728" s="1" t="s">
        <v>2063</v>
      </c>
      <c r="F1728" s="3">
        <v>45745</v>
      </c>
      <c r="G1728" s="3">
        <v>45537</v>
      </c>
      <c r="H1728" s="3">
        <v>45901</v>
      </c>
      <c r="I1728" s="1" t="s">
        <v>3955</v>
      </c>
      <c r="J1728" s="1" t="s">
        <v>3956</v>
      </c>
      <c r="K1728" s="1"/>
      <c r="L1728" s="1" t="s">
        <v>3957</v>
      </c>
      <c r="M1728" s="1" t="s">
        <v>3958</v>
      </c>
      <c r="N1728" s="1" t="s">
        <v>3959</v>
      </c>
      <c r="O1728" s="1" t="s">
        <v>3960</v>
      </c>
      <c r="P1728" s="1" t="s">
        <v>2231</v>
      </c>
      <c r="Q1728" s="1"/>
      <c r="R1728" s="1"/>
      <c r="S1728" s="1" t="s">
        <v>2072</v>
      </c>
      <c r="T1728" s="1" t="s">
        <v>3165</v>
      </c>
      <c r="U1728" s="4">
        <v>-1</v>
      </c>
      <c r="V1728" s="4">
        <v>-29326</v>
      </c>
      <c r="W1728" s="4">
        <v>-255</v>
      </c>
      <c r="X1728" s="4">
        <v>0</v>
      </c>
      <c r="Y1728" s="4">
        <v>0</v>
      </c>
      <c r="Z1728" s="5">
        <v>-29581</v>
      </c>
      <c r="AA1728" s="5">
        <v>0</v>
      </c>
      <c r="AB1728" s="6">
        <v>0</v>
      </c>
      <c r="AC1728" s="4">
        <v>-29581</v>
      </c>
      <c r="AD1728" s="4">
        <v>0</v>
      </c>
      <c r="AE1728" s="4">
        <v>-29581</v>
      </c>
      <c r="AF1728" s="1"/>
      <c r="AG1728" s="1"/>
      <c r="AH1728" s="1"/>
      <c r="AI1728" s="1" t="s">
        <v>2327</v>
      </c>
      <c r="AJ1728" s="1"/>
      <c r="AK1728" s="1"/>
      <c r="AL1728" s="1"/>
    </row>
    <row r="1729" spans="1:38" hidden="1" x14ac:dyDescent="0.25">
      <c r="A1729" s="2">
        <v>2524</v>
      </c>
      <c r="B1729" s="1" t="s">
        <v>2012</v>
      </c>
      <c r="C1729" s="1" t="s">
        <v>2013</v>
      </c>
      <c r="D1729" s="1" t="s">
        <v>2062</v>
      </c>
      <c r="E1729" s="1" t="s">
        <v>2063</v>
      </c>
      <c r="F1729" s="3">
        <v>45663</v>
      </c>
      <c r="G1729" s="3">
        <v>45540</v>
      </c>
      <c r="H1729" s="3">
        <v>45904</v>
      </c>
      <c r="I1729" s="1" t="s">
        <v>3961</v>
      </c>
      <c r="J1729" s="1" t="s">
        <v>3962</v>
      </c>
      <c r="K1729" s="1"/>
      <c r="L1729" s="1" t="s">
        <v>2131</v>
      </c>
      <c r="M1729" s="1" t="s">
        <v>3963</v>
      </c>
      <c r="N1729" s="1" t="s">
        <v>3964</v>
      </c>
      <c r="O1729" s="1" t="s">
        <v>3965</v>
      </c>
      <c r="P1729" s="1" t="s">
        <v>2262</v>
      </c>
      <c r="Q1729" s="1"/>
      <c r="R1729" s="1"/>
      <c r="S1729" s="1" t="s">
        <v>2072</v>
      </c>
      <c r="T1729" s="1" t="s">
        <v>3165</v>
      </c>
      <c r="U1729" s="4">
        <v>2935000</v>
      </c>
      <c r="V1729" s="4">
        <v>5394</v>
      </c>
      <c r="W1729" s="4">
        <v>54</v>
      </c>
      <c r="X1729" s="4">
        <v>809</v>
      </c>
      <c r="Y1729" s="4">
        <v>0</v>
      </c>
      <c r="Z1729" s="5">
        <v>6257</v>
      </c>
      <c r="AA1729" s="5">
        <v>0</v>
      </c>
      <c r="AB1729" s="6">
        <v>0</v>
      </c>
      <c r="AC1729" s="4">
        <v>6257</v>
      </c>
      <c r="AD1729" s="4">
        <v>0</v>
      </c>
      <c r="AE1729" s="4">
        <v>6257</v>
      </c>
      <c r="AF1729" s="1"/>
      <c r="AG1729" s="1"/>
      <c r="AH1729" s="1"/>
      <c r="AI1729" s="1" t="s">
        <v>3966</v>
      </c>
      <c r="AJ1729" s="6">
        <v>947.42999999999893</v>
      </c>
      <c r="AK1729" s="6">
        <v>947.42999999999893</v>
      </c>
      <c r="AL1729" s="1"/>
    </row>
    <row r="1730" spans="1:38" hidden="1" x14ac:dyDescent="0.25">
      <c r="A1730" s="2">
        <v>2525</v>
      </c>
      <c r="B1730" s="1" t="s">
        <v>2012</v>
      </c>
      <c r="C1730" s="1" t="s">
        <v>2014</v>
      </c>
      <c r="D1730" s="1" t="s">
        <v>2062</v>
      </c>
      <c r="E1730" s="1" t="s">
        <v>2063</v>
      </c>
      <c r="F1730" s="3">
        <v>45745</v>
      </c>
      <c r="G1730" s="3">
        <v>45540</v>
      </c>
      <c r="H1730" s="3">
        <v>45904</v>
      </c>
      <c r="I1730" s="1" t="s">
        <v>3961</v>
      </c>
      <c r="J1730" s="1" t="s">
        <v>3962</v>
      </c>
      <c r="K1730" s="1"/>
      <c r="L1730" s="1" t="s">
        <v>2131</v>
      </c>
      <c r="M1730" s="1" t="s">
        <v>3963</v>
      </c>
      <c r="N1730" s="1" t="s">
        <v>3964</v>
      </c>
      <c r="O1730" s="1" t="s">
        <v>3965</v>
      </c>
      <c r="P1730" s="1" t="s">
        <v>2262</v>
      </c>
      <c r="Q1730" s="1"/>
      <c r="R1730" s="1"/>
      <c r="S1730" s="1" t="s">
        <v>2072</v>
      </c>
      <c r="T1730" s="1" t="s">
        <v>3165</v>
      </c>
      <c r="U1730" s="4">
        <v>-1</v>
      </c>
      <c r="V1730" s="4">
        <v>-6203</v>
      </c>
      <c r="W1730" s="4">
        <v>-54</v>
      </c>
      <c r="X1730" s="4">
        <v>0</v>
      </c>
      <c r="Y1730" s="4">
        <v>0</v>
      </c>
      <c r="Z1730" s="5">
        <v>-6257</v>
      </c>
      <c r="AA1730" s="5">
        <v>0</v>
      </c>
      <c r="AB1730" s="6">
        <v>0</v>
      </c>
      <c r="AC1730" s="4">
        <v>-6257</v>
      </c>
      <c r="AD1730" s="4">
        <v>0</v>
      </c>
      <c r="AE1730" s="4">
        <v>-6257</v>
      </c>
      <c r="AF1730" s="1"/>
      <c r="AG1730" s="1"/>
      <c r="AH1730" s="1"/>
      <c r="AI1730" s="1" t="s">
        <v>3966</v>
      </c>
      <c r="AJ1730" s="1"/>
      <c r="AK1730" s="1"/>
      <c r="AL1730" s="1"/>
    </row>
    <row r="1731" spans="1:38" hidden="1" x14ac:dyDescent="0.25">
      <c r="A1731" s="2">
        <v>2528</v>
      </c>
      <c r="B1731" s="1" t="s">
        <v>2015</v>
      </c>
      <c r="C1731" s="1" t="s">
        <v>2016</v>
      </c>
      <c r="D1731" s="1" t="s">
        <v>2062</v>
      </c>
      <c r="E1731" s="1" t="s">
        <v>2063</v>
      </c>
      <c r="F1731" s="3">
        <v>45575</v>
      </c>
      <c r="G1731" s="3">
        <v>45544</v>
      </c>
      <c r="H1731" s="3">
        <v>45908</v>
      </c>
      <c r="I1731" s="1" t="s">
        <v>3810</v>
      </c>
      <c r="J1731" s="1" t="s">
        <v>3967</v>
      </c>
      <c r="K1731" s="1"/>
      <c r="L1731" s="1" t="s">
        <v>2171</v>
      </c>
      <c r="M1731" s="1" t="s">
        <v>3968</v>
      </c>
      <c r="N1731" s="1" t="s">
        <v>3969</v>
      </c>
      <c r="O1731" s="1" t="s">
        <v>3970</v>
      </c>
      <c r="P1731" s="1" t="s">
        <v>2119</v>
      </c>
      <c r="Q1731" s="1"/>
      <c r="R1731" s="1"/>
      <c r="S1731" s="1" t="s">
        <v>2072</v>
      </c>
      <c r="T1731" s="1" t="s">
        <v>3165</v>
      </c>
      <c r="U1731" s="4">
        <v>4500000</v>
      </c>
      <c r="V1731" s="4">
        <v>1671</v>
      </c>
      <c r="W1731" s="4">
        <v>17</v>
      </c>
      <c r="X1731" s="4">
        <v>251</v>
      </c>
      <c r="Y1731" s="4">
        <v>0</v>
      </c>
      <c r="Z1731" s="5">
        <v>1939</v>
      </c>
      <c r="AA1731" s="5">
        <v>0</v>
      </c>
      <c r="AB1731" s="6">
        <v>0</v>
      </c>
      <c r="AC1731" s="4">
        <v>1939</v>
      </c>
      <c r="AD1731" s="4">
        <v>0</v>
      </c>
      <c r="AE1731" s="4">
        <v>1939</v>
      </c>
      <c r="AF1731" s="1"/>
      <c r="AG1731" s="1"/>
      <c r="AH1731" s="1"/>
      <c r="AI1731" s="1" t="s">
        <v>3057</v>
      </c>
      <c r="AJ1731" s="6">
        <v>823.219999999999</v>
      </c>
      <c r="AK1731" s="6">
        <v>191.37</v>
      </c>
      <c r="AL1731" s="1"/>
    </row>
    <row r="1732" spans="1:38" hidden="1" x14ac:dyDescent="0.25">
      <c r="A1732" s="2">
        <v>2529</v>
      </c>
      <c r="B1732" s="1" t="s">
        <v>2015</v>
      </c>
      <c r="C1732" s="1" t="s">
        <v>2017</v>
      </c>
      <c r="D1732" s="1" t="s">
        <v>2062</v>
      </c>
      <c r="E1732" s="1" t="s">
        <v>2063</v>
      </c>
      <c r="F1732" s="3">
        <v>45608</v>
      </c>
      <c r="G1732" s="3">
        <v>45544</v>
      </c>
      <c r="H1732" s="3">
        <v>45908</v>
      </c>
      <c r="I1732" s="1" t="s">
        <v>3810</v>
      </c>
      <c r="J1732" s="1" t="s">
        <v>3967</v>
      </c>
      <c r="K1732" s="1"/>
      <c r="L1732" s="1" t="s">
        <v>2171</v>
      </c>
      <c r="M1732" s="1" t="s">
        <v>3968</v>
      </c>
      <c r="N1732" s="1" t="s">
        <v>3969</v>
      </c>
      <c r="O1732" s="1" t="s">
        <v>3970</v>
      </c>
      <c r="P1732" s="1" t="s">
        <v>2119</v>
      </c>
      <c r="Q1732" s="1"/>
      <c r="R1732" s="1"/>
      <c r="S1732" s="1" t="s">
        <v>2072</v>
      </c>
      <c r="T1732" s="1" t="s">
        <v>3165</v>
      </c>
      <c r="U1732" s="4">
        <v>4500000</v>
      </c>
      <c r="V1732" s="4">
        <v>16925</v>
      </c>
      <c r="W1732" s="4">
        <v>169</v>
      </c>
      <c r="X1732" s="4">
        <v>2539</v>
      </c>
      <c r="Y1732" s="4">
        <v>0</v>
      </c>
      <c r="Z1732" s="5">
        <v>19633</v>
      </c>
      <c r="AA1732" s="5">
        <v>0</v>
      </c>
      <c r="AB1732" s="6">
        <v>0</v>
      </c>
      <c r="AC1732" s="4">
        <v>19633</v>
      </c>
      <c r="AD1732" s="4">
        <v>0</v>
      </c>
      <c r="AE1732" s="4">
        <v>19633</v>
      </c>
      <c r="AF1732" s="1"/>
      <c r="AG1732" s="1"/>
      <c r="AH1732" s="1"/>
      <c r="AI1732" s="1" t="s">
        <v>3057</v>
      </c>
      <c r="AJ1732" s="6">
        <v>1939.02</v>
      </c>
      <c r="AK1732" s="6">
        <v>1939.02</v>
      </c>
      <c r="AL1732" s="1"/>
    </row>
    <row r="1733" spans="1:38" hidden="1" x14ac:dyDescent="0.25">
      <c r="A1733" s="2">
        <v>2530</v>
      </c>
      <c r="B1733" s="1" t="s">
        <v>2015</v>
      </c>
      <c r="C1733" s="1" t="s">
        <v>2018</v>
      </c>
      <c r="D1733" s="1" t="s">
        <v>2062</v>
      </c>
      <c r="E1733" s="1" t="s">
        <v>2063</v>
      </c>
      <c r="F1733" s="3">
        <v>45636</v>
      </c>
      <c r="G1733" s="3">
        <v>45544</v>
      </c>
      <c r="H1733" s="3">
        <v>45908</v>
      </c>
      <c r="I1733" s="1" t="s">
        <v>3810</v>
      </c>
      <c r="J1733" s="1" t="s">
        <v>3967</v>
      </c>
      <c r="K1733" s="1"/>
      <c r="L1733" s="1" t="s">
        <v>2171</v>
      </c>
      <c r="M1733" s="1" t="s">
        <v>3968</v>
      </c>
      <c r="N1733" s="1" t="s">
        <v>3969</v>
      </c>
      <c r="O1733" s="1" t="s">
        <v>3970</v>
      </c>
      <c r="P1733" s="1" t="s">
        <v>2119</v>
      </c>
      <c r="Q1733" s="1"/>
      <c r="R1733" s="1"/>
      <c r="S1733" s="1" t="s">
        <v>2072</v>
      </c>
      <c r="T1733" s="1" t="s">
        <v>3165</v>
      </c>
      <c r="U1733" s="4">
        <v>4500000</v>
      </c>
      <c r="V1733" s="4">
        <v>12881</v>
      </c>
      <c r="W1733" s="4">
        <v>129</v>
      </c>
      <c r="X1733" s="4">
        <v>1932</v>
      </c>
      <c r="Y1733" s="4">
        <v>0</v>
      </c>
      <c r="Z1733" s="5">
        <v>14942</v>
      </c>
      <c r="AA1733" s="5">
        <v>0</v>
      </c>
      <c r="AB1733" s="6">
        <v>0</v>
      </c>
      <c r="AC1733" s="4">
        <v>14942</v>
      </c>
      <c r="AD1733" s="4">
        <v>0</v>
      </c>
      <c r="AE1733" s="4">
        <v>14942</v>
      </c>
      <c r="AF1733" s="1"/>
      <c r="AG1733" s="1"/>
      <c r="AH1733" s="1"/>
      <c r="AI1733" s="1" t="s">
        <v>3057</v>
      </c>
      <c r="AJ1733" s="6">
        <v>1475.75</v>
      </c>
      <c r="AK1733" s="6">
        <v>1475.75</v>
      </c>
      <c r="AL1733" s="1"/>
    </row>
    <row r="1734" spans="1:38" hidden="1" x14ac:dyDescent="0.25">
      <c r="A1734" s="2">
        <v>2531</v>
      </c>
      <c r="B1734" s="1" t="s">
        <v>2015</v>
      </c>
      <c r="C1734" s="1" t="s">
        <v>2019</v>
      </c>
      <c r="D1734" s="1" t="s">
        <v>2062</v>
      </c>
      <c r="E1734" s="1" t="s">
        <v>2063</v>
      </c>
      <c r="F1734" s="3">
        <v>45745</v>
      </c>
      <c r="G1734" s="3">
        <v>45544</v>
      </c>
      <c r="H1734" s="3">
        <v>45908</v>
      </c>
      <c r="I1734" s="1" t="s">
        <v>3810</v>
      </c>
      <c r="J1734" s="1" t="s">
        <v>3967</v>
      </c>
      <c r="K1734" s="1"/>
      <c r="L1734" s="1" t="s">
        <v>2171</v>
      </c>
      <c r="M1734" s="1" t="s">
        <v>3968</v>
      </c>
      <c r="N1734" s="1" t="s">
        <v>3969</v>
      </c>
      <c r="O1734" s="1" t="s">
        <v>3970</v>
      </c>
      <c r="P1734" s="1" t="s">
        <v>2119</v>
      </c>
      <c r="Q1734" s="1"/>
      <c r="R1734" s="1"/>
      <c r="S1734" s="1" t="s">
        <v>2072</v>
      </c>
      <c r="T1734" s="1" t="s">
        <v>3165</v>
      </c>
      <c r="U1734" s="4">
        <v>-1</v>
      </c>
      <c r="V1734" s="4">
        <v>-36199</v>
      </c>
      <c r="W1734" s="4">
        <v>-315</v>
      </c>
      <c r="X1734" s="4">
        <v>0</v>
      </c>
      <c r="Y1734" s="4">
        <v>0</v>
      </c>
      <c r="Z1734" s="5">
        <v>-36514</v>
      </c>
      <c r="AA1734" s="5">
        <v>0</v>
      </c>
      <c r="AB1734" s="6">
        <v>0</v>
      </c>
      <c r="AC1734" s="4">
        <v>-36514</v>
      </c>
      <c r="AD1734" s="4">
        <v>0</v>
      </c>
      <c r="AE1734" s="4">
        <v>-36514</v>
      </c>
      <c r="AF1734" s="1"/>
      <c r="AG1734" s="1"/>
      <c r="AH1734" s="1"/>
      <c r="AI1734" s="1" t="s">
        <v>3057</v>
      </c>
      <c r="AJ1734" s="1"/>
      <c r="AK1734" s="1"/>
      <c r="AL1734" s="1"/>
    </row>
    <row r="1735" spans="1:38" hidden="1" x14ac:dyDescent="0.25">
      <c r="A1735" s="2">
        <v>2600</v>
      </c>
      <c r="B1735" s="1" t="s">
        <v>3</v>
      </c>
      <c r="C1735" s="1" t="s">
        <v>4</v>
      </c>
      <c r="D1735" s="1" t="s">
        <v>2062</v>
      </c>
      <c r="E1735" s="1" t="s">
        <v>2063</v>
      </c>
      <c r="F1735" s="3">
        <v>45623</v>
      </c>
      <c r="G1735" s="3">
        <v>45590</v>
      </c>
      <c r="H1735" s="3">
        <v>45954</v>
      </c>
      <c r="I1735" s="1" t="s">
        <v>3280</v>
      </c>
      <c r="J1735" s="1" t="s">
        <v>3971</v>
      </c>
      <c r="K1735" s="1"/>
      <c r="L1735" s="1" t="s">
        <v>3972</v>
      </c>
      <c r="M1735" s="1" t="s">
        <v>3283</v>
      </c>
      <c r="N1735" s="1" t="s">
        <v>3284</v>
      </c>
      <c r="O1735" s="1" t="s">
        <v>3285</v>
      </c>
      <c r="P1735" s="1" t="s">
        <v>2095</v>
      </c>
      <c r="Q1735" s="1"/>
      <c r="R1735" s="1"/>
      <c r="S1735" s="1" t="s">
        <v>2072</v>
      </c>
      <c r="T1735" s="1" t="s">
        <v>3165</v>
      </c>
      <c r="U1735" s="4">
        <v>3800000</v>
      </c>
      <c r="V1735" s="4">
        <v>763</v>
      </c>
      <c r="W1735" s="4">
        <v>8</v>
      </c>
      <c r="X1735" s="4">
        <v>115</v>
      </c>
      <c r="Y1735" s="4">
        <v>0</v>
      </c>
      <c r="Z1735" s="5">
        <v>886</v>
      </c>
      <c r="AA1735" s="5">
        <v>0</v>
      </c>
      <c r="AB1735" s="6">
        <v>0</v>
      </c>
      <c r="AC1735" s="4">
        <v>886</v>
      </c>
      <c r="AD1735" s="4">
        <v>0</v>
      </c>
      <c r="AE1735" s="4">
        <v>886</v>
      </c>
      <c r="AF1735" s="1"/>
      <c r="AG1735" s="1"/>
      <c r="AH1735" s="1"/>
      <c r="AI1735" s="1" t="s">
        <v>2327</v>
      </c>
      <c r="AJ1735" s="6">
        <v>103.56</v>
      </c>
      <c r="AK1735" s="6">
        <v>103.56</v>
      </c>
      <c r="AL1735" s="1"/>
    </row>
    <row r="1736" spans="1:38" hidden="1" x14ac:dyDescent="0.25">
      <c r="A1736" s="2">
        <v>2601</v>
      </c>
      <c r="B1736" s="1" t="s">
        <v>3</v>
      </c>
      <c r="C1736" s="1" t="s">
        <v>5</v>
      </c>
      <c r="D1736" s="1" t="s">
        <v>2062</v>
      </c>
      <c r="E1736" s="1" t="s">
        <v>2063</v>
      </c>
      <c r="F1736" s="3">
        <v>45652</v>
      </c>
      <c r="G1736" s="3">
        <v>45590</v>
      </c>
      <c r="H1736" s="3">
        <v>45954</v>
      </c>
      <c r="I1736" s="1" t="s">
        <v>3280</v>
      </c>
      <c r="J1736" s="1" t="s">
        <v>3971</v>
      </c>
      <c r="K1736" s="1"/>
      <c r="L1736" s="1" t="s">
        <v>3972</v>
      </c>
      <c r="M1736" s="1" t="s">
        <v>3283</v>
      </c>
      <c r="N1736" s="1" t="s">
        <v>3284</v>
      </c>
      <c r="O1736" s="1" t="s">
        <v>3285</v>
      </c>
      <c r="P1736" s="1" t="s">
        <v>2095</v>
      </c>
      <c r="Q1736" s="1"/>
      <c r="R1736" s="1"/>
      <c r="S1736" s="1" t="s">
        <v>2072</v>
      </c>
      <c r="T1736" s="1" t="s">
        <v>3165</v>
      </c>
      <c r="U1736" s="4">
        <v>3800000</v>
      </c>
      <c r="V1736" s="4">
        <v>12598</v>
      </c>
      <c r="W1736" s="4">
        <v>126</v>
      </c>
      <c r="X1736" s="4">
        <v>1890</v>
      </c>
      <c r="Y1736" s="4">
        <v>0</v>
      </c>
      <c r="Z1736" s="5">
        <v>14614</v>
      </c>
      <c r="AA1736" s="5">
        <v>0</v>
      </c>
      <c r="AB1736" s="6">
        <v>0</v>
      </c>
      <c r="AC1736" s="4">
        <v>14614</v>
      </c>
      <c r="AD1736" s="4">
        <v>0</v>
      </c>
      <c r="AE1736" s="4">
        <v>14614</v>
      </c>
      <c r="AF1736" s="1"/>
      <c r="AG1736" s="1"/>
      <c r="AH1736" s="1"/>
      <c r="AI1736" s="1" t="s">
        <v>2327</v>
      </c>
      <c r="AJ1736" s="6">
        <v>1709.1500000000401</v>
      </c>
      <c r="AK1736" s="6">
        <v>1709.1500000000401</v>
      </c>
      <c r="AL1736" s="1"/>
    </row>
    <row r="1737" spans="1:38" hidden="1" x14ac:dyDescent="0.25">
      <c r="A1737" s="2">
        <v>2602</v>
      </c>
      <c r="B1737" s="1" t="s">
        <v>3</v>
      </c>
      <c r="C1737" s="1" t="s">
        <v>6</v>
      </c>
      <c r="D1737" s="1" t="s">
        <v>2062</v>
      </c>
      <c r="E1737" s="1" t="s">
        <v>2063</v>
      </c>
      <c r="F1737" s="3">
        <v>45684</v>
      </c>
      <c r="G1737" s="3">
        <v>45590</v>
      </c>
      <c r="H1737" s="3">
        <v>45954</v>
      </c>
      <c r="I1737" s="1" t="s">
        <v>3280</v>
      </c>
      <c r="J1737" s="1" t="s">
        <v>3971</v>
      </c>
      <c r="K1737" s="1"/>
      <c r="L1737" s="1" t="s">
        <v>3972</v>
      </c>
      <c r="M1737" s="1" t="s">
        <v>3283</v>
      </c>
      <c r="N1737" s="1" t="s">
        <v>3284</v>
      </c>
      <c r="O1737" s="1" t="s">
        <v>3285</v>
      </c>
      <c r="P1737" s="1" t="s">
        <v>2095</v>
      </c>
      <c r="Q1737" s="1"/>
      <c r="R1737" s="1"/>
      <c r="S1737" s="1" t="s">
        <v>2072</v>
      </c>
      <c r="T1737" s="1" t="s">
        <v>3165</v>
      </c>
      <c r="U1737" s="4">
        <v>3800000</v>
      </c>
      <c r="V1737" s="4">
        <v>6776</v>
      </c>
      <c r="W1737" s="4">
        <v>68</v>
      </c>
      <c r="X1737" s="4">
        <v>1016</v>
      </c>
      <c r="Y1737" s="4">
        <v>0</v>
      </c>
      <c r="Z1737" s="5">
        <v>7860</v>
      </c>
      <c r="AA1737" s="5">
        <v>0</v>
      </c>
      <c r="AB1737" s="6">
        <v>0</v>
      </c>
      <c r="AC1737" s="4">
        <v>7860</v>
      </c>
      <c r="AD1737" s="4">
        <v>0</v>
      </c>
      <c r="AE1737" s="4">
        <v>7860</v>
      </c>
      <c r="AF1737" s="1"/>
      <c r="AG1737" s="1"/>
      <c r="AH1737" s="1"/>
      <c r="AI1737" s="1" t="s">
        <v>2327</v>
      </c>
      <c r="AJ1737" s="6">
        <v>919.24000000001104</v>
      </c>
      <c r="AK1737" s="6">
        <v>919.24000000001104</v>
      </c>
      <c r="AL1737" s="1"/>
    </row>
    <row r="1738" spans="1:38" hidden="1" x14ac:dyDescent="0.25">
      <c r="A1738" s="2">
        <v>2603</v>
      </c>
      <c r="B1738" s="1" t="s">
        <v>3</v>
      </c>
      <c r="C1738" s="1" t="s">
        <v>7</v>
      </c>
      <c r="D1738" s="1" t="s">
        <v>2062</v>
      </c>
      <c r="E1738" s="1" t="s">
        <v>2063</v>
      </c>
      <c r="F1738" s="3">
        <v>45714</v>
      </c>
      <c r="G1738" s="3">
        <v>45590</v>
      </c>
      <c r="H1738" s="3">
        <v>45954</v>
      </c>
      <c r="I1738" s="1" t="s">
        <v>3280</v>
      </c>
      <c r="J1738" s="1" t="s">
        <v>3971</v>
      </c>
      <c r="K1738" s="1"/>
      <c r="L1738" s="1" t="s">
        <v>3972</v>
      </c>
      <c r="M1738" s="1" t="s">
        <v>3283</v>
      </c>
      <c r="N1738" s="1" t="s">
        <v>3284</v>
      </c>
      <c r="O1738" s="1" t="s">
        <v>3285</v>
      </c>
      <c r="P1738" s="1" t="s">
        <v>2095</v>
      </c>
      <c r="Q1738" s="1"/>
      <c r="R1738" s="1"/>
      <c r="S1738" s="1" t="s">
        <v>2072</v>
      </c>
      <c r="T1738" s="1" t="s">
        <v>3165</v>
      </c>
      <c r="U1738" s="4">
        <v>3800000</v>
      </c>
      <c r="V1738" s="4">
        <v>12471</v>
      </c>
      <c r="W1738" s="4">
        <v>125</v>
      </c>
      <c r="X1738" s="4">
        <v>1871</v>
      </c>
      <c r="Y1738" s="4">
        <v>0</v>
      </c>
      <c r="Z1738" s="5">
        <v>14467</v>
      </c>
      <c r="AA1738" s="5">
        <v>0</v>
      </c>
      <c r="AB1738" s="6">
        <v>0</v>
      </c>
      <c r="AC1738" s="4">
        <v>14467</v>
      </c>
      <c r="AD1738" s="4">
        <v>0</v>
      </c>
      <c r="AE1738" s="4">
        <v>14467</v>
      </c>
      <c r="AF1738" s="1"/>
      <c r="AG1738" s="1"/>
      <c r="AH1738" s="1"/>
      <c r="AI1738" s="1" t="s">
        <v>2327</v>
      </c>
      <c r="AJ1738" s="6">
        <v>1692.03000000003</v>
      </c>
      <c r="AK1738" s="6">
        <v>1692.03000000003</v>
      </c>
      <c r="AL1738" s="1"/>
    </row>
    <row r="1739" spans="1:38" hidden="1" x14ac:dyDescent="0.25">
      <c r="A1739" s="2">
        <v>2604</v>
      </c>
      <c r="B1739" s="1" t="s">
        <v>3</v>
      </c>
      <c r="C1739" s="1" t="s">
        <v>8</v>
      </c>
      <c r="D1739" s="1" t="s">
        <v>2062</v>
      </c>
      <c r="E1739" s="1" t="s">
        <v>2063</v>
      </c>
      <c r="F1739" s="3">
        <v>45741</v>
      </c>
      <c r="G1739" s="3">
        <v>45590</v>
      </c>
      <c r="H1739" s="3">
        <v>45954</v>
      </c>
      <c r="I1739" s="1" t="s">
        <v>3280</v>
      </c>
      <c r="J1739" s="1" t="s">
        <v>3971</v>
      </c>
      <c r="K1739" s="1"/>
      <c r="L1739" s="1" t="s">
        <v>3972</v>
      </c>
      <c r="M1739" s="1" t="s">
        <v>3283</v>
      </c>
      <c r="N1739" s="1" t="s">
        <v>3284</v>
      </c>
      <c r="O1739" s="1" t="s">
        <v>3285</v>
      </c>
      <c r="P1739" s="1" t="s">
        <v>2095</v>
      </c>
      <c r="Q1739" s="1"/>
      <c r="R1739" s="1"/>
      <c r="S1739" s="1" t="s">
        <v>2072</v>
      </c>
      <c r="T1739" s="1" t="s">
        <v>3165</v>
      </c>
      <c r="U1739" s="4">
        <v>3800000</v>
      </c>
      <c r="V1739" s="4">
        <v>1975</v>
      </c>
      <c r="W1739" s="4">
        <v>20</v>
      </c>
      <c r="X1739" s="4">
        <v>296</v>
      </c>
      <c r="Y1739" s="4">
        <v>0</v>
      </c>
      <c r="Z1739" s="5">
        <v>2291</v>
      </c>
      <c r="AA1739" s="5">
        <v>0</v>
      </c>
      <c r="AB1739" s="6">
        <v>0</v>
      </c>
      <c r="AC1739" s="4">
        <v>2291</v>
      </c>
      <c r="AD1739" s="4">
        <v>0</v>
      </c>
      <c r="AE1739" s="4">
        <v>2291</v>
      </c>
      <c r="AF1739" s="1"/>
      <c r="AG1739" s="1"/>
      <c r="AH1739" s="1"/>
      <c r="AI1739" s="1" t="s">
        <v>2327</v>
      </c>
      <c r="AJ1739" s="6">
        <v>267.87</v>
      </c>
      <c r="AK1739" s="6">
        <v>267.87</v>
      </c>
      <c r="AL1739" s="1"/>
    </row>
    <row r="1740" spans="1:38" hidden="1" x14ac:dyDescent="0.25">
      <c r="A1740" s="2">
        <v>2605</v>
      </c>
      <c r="B1740" s="1" t="s">
        <v>3</v>
      </c>
      <c r="C1740" s="1" t="s">
        <v>9</v>
      </c>
      <c r="D1740" s="1" t="s">
        <v>2062</v>
      </c>
      <c r="E1740" s="1" t="s">
        <v>2063</v>
      </c>
      <c r="F1740" s="3">
        <v>45745</v>
      </c>
      <c r="G1740" s="3">
        <v>45590</v>
      </c>
      <c r="H1740" s="3">
        <v>45954</v>
      </c>
      <c r="I1740" s="1" t="s">
        <v>3280</v>
      </c>
      <c r="J1740" s="1" t="s">
        <v>3971</v>
      </c>
      <c r="K1740" s="1"/>
      <c r="L1740" s="1" t="s">
        <v>3972</v>
      </c>
      <c r="M1740" s="1" t="s">
        <v>3283</v>
      </c>
      <c r="N1740" s="1" t="s">
        <v>3284</v>
      </c>
      <c r="O1740" s="1" t="s">
        <v>3285</v>
      </c>
      <c r="P1740" s="1" t="s">
        <v>2095</v>
      </c>
      <c r="Q1740" s="1"/>
      <c r="R1740" s="1"/>
      <c r="S1740" s="1" t="s">
        <v>2072</v>
      </c>
      <c r="T1740" s="1" t="s">
        <v>3165</v>
      </c>
      <c r="U1740" s="4">
        <v>-1</v>
      </c>
      <c r="V1740" s="4">
        <v>-39772</v>
      </c>
      <c r="W1740" s="4">
        <v>-346</v>
      </c>
      <c r="X1740" s="4">
        <v>0</v>
      </c>
      <c r="Y1740" s="4">
        <v>0</v>
      </c>
      <c r="Z1740" s="5">
        <v>-40118</v>
      </c>
      <c r="AA1740" s="5">
        <v>0</v>
      </c>
      <c r="AB1740" s="6">
        <v>0</v>
      </c>
      <c r="AC1740" s="4">
        <v>-40118</v>
      </c>
      <c r="AD1740" s="4">
        <v>0</v>
      </c>
      <c r="AE1740" s="4">
        <v>-40118</v>
      </c>
      <c r="AF1740" s="1"/>
      <c r="AG1740" s="1"/>
      <c r="AH1740" s="1"/>
      <c r="AI1740" s="1" t="s">
        <v>2327</v>
      </c>
      <c r="AJ1740" s="1"/>
      <c r="AK1740" s="1"/>
      <c r="AL1740" s="1"/>
    </row>
  </sheetData>
  <autoFilter ref="A2:AL1740" xr:uid="{833DAC53-2A5B-4557-9D78-9EA60856E8D7}">
    <filterColumn colId="2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9C096-8003-4EC8-9F19-8948F3B170F3}">
  <dimension ref="A3:B2088"/>
  <sheetViews>
    <sheetView workbookViewId="0">
      <pane ySplit="3" topLeftCell="A1841" activePane="bottomLeft" state="frozen"/>
      <selection pane="bottomLeft" activeCell="B1854" sqref="B1854"/>
    </sheetView>
  </sheetViews>
  <sheetFormatPr defaultRowHeight="15" x14ac:dyDescent="0.25"/>
  <cols>
    <col min="1" max="1" width="40.7109375" bestFit="1" customWidth="1"/>
    <col min="2" max="2" width="17.28515625" bestFit="1" customWidth="1"/>
  </cols>
  <sheetData>
    <row r="3" spans="1:2" x14ac:dyDescent="0.25">
      <c r="A3" s="9" t="s">
        <v>3973</v>
      </c>
      <c r="B3" t="s">
        <v>2</v>
      </c>
    </row>
    <row r="4" spans="1:2" x14ac:dyDescent="0.25">
      <c r="A4" s="10" t="s">
        <v>3</v>
      </c>
      <c r="B4" s="11">
        <v>0</v>
      </c>
    </row>
    <row r="5" spans="1:2" x14ac:dyDescent="0.25">
      <c r="A5" s="12" t="s">
        <v>4</v>
      </c>
      <c r="B5" s="11">
        <v>886</v>
      </c>
    </row>
    <row r="6" spans="1:2" x14ac:dyDescent="0.25">
      <c r="A6" s="12" t="s">
        <v>5</v>
      </c>
      <c r="B6" s="11">
        <v>14614</v>
      </c>
    </row>
    <row r="7" spans="1:2" x14ac:dyDescent="0.25">
      <c r="A7" s="12" t="s">
        <v>6</v>
      </c>
      <c r="B7" s="11">
        <v>7860</v>
      </c>
    </row>
    <row r="8" spans="1:2" x14ac:dyDescent="0.25">
      <c r="A8" s="12" t="s">
        <v>7</v>
      </c>
      <c r="B8" s="11">
        <v>14467</v>
      </c>
    </row>
    <row r="9" spans="1:2" x14ac:dyDescent="0.25">
      <c r="A9" s="12" t="s">
        <v>8</v>
      </c>
      <c r="B9" s="11">
        <v>2291</v>
      </c>
    </row>
    <row r="10" spans="1:2" x14ac:dyDescent="0.25">
      <c r="A10" s="12" t="s">
        <v>9</v>
      </c>
      <c r="B10" s="11">
        <v>-40118</v>
      </c>
    </row>
    <row r="11" spans="1:2" x14ac:dyDescent="0.25">
      <c r="A11" s="10" t="s">
        <v>11</v>
      </c>
      <c r="B11" s="11">
        <v>0</v>
      </c>
    </row>
    <row r="12" spans="1:2" x14ac:dyDescent="0.25">
      <c r="A12" s="12" t="s">
        <v>12</v>
      </c>
      <c r="B12" s="11">
        <v>2231</v>
      </c>
    </row>
    <row r="13" spans="1:2" x14ac:dyDescent="0.25">
      <c r="A13" s="12" t="s">
        <v>13</v>
      </c>
      <c r="B13" s="11">
        <v>-2231</v>
      </c>
    </row>
    <row r="14" spans="1:2" x14ac:dyDescent="0.25">
      <c r="A14" s="10" t="s">
        <v>14</v>
      </c>
      <c r="B14" s="11">
        <v>0</v>
      </c>
    </row>
    <row r="15" spans="1:2" x14ac:dyDescent="0.25">
      <c r="A15" s="12" t="s">
        <v>15</v>
      </c>
      <c r="B15" s="11">
        <v>1964</v>
      </c>
    </row>
    <row r="16" spans="1:2" x14ac:dyDescent="0.25">
      <c r="A16" s="12" t="s">
        <v>16</v>
      </c>
      <c r="B16" s="11">
        <v>1282</v>
      </c>
    </row>
    <row r="17" spans="1:2" x14ac:dyDescent="0.25">
      <c r="A17" s="12" t="s">
        <v>17</v>
      </c>
      <c r="B17" s="11">
        <v>-3246</v>
      </c>
    </row>
    <row r="18" spans="1:2" x14ac:dyDescent="0.25">
      <c r="A18" s="10" t="s">
        <v>18</v>
      </c>
      <c r="B18" s="11">
        <v>0</v>
      </c>
    </row>
    <row r="19" spans="1:2" x14ac:dyDescent="0.25">
      <c r="A19" s="12" t="s">
        <v>19</v>
      </c>
      <c r="B19" s="11">
        <v>5169</v>
      </c>
    </row>
    <row r="20" spans="1:2" x14ac:dyDescent="0.25">
      <c r="A20" s="12" t="s">
        <v>20</v>
      </c>
      <c r="B20" s="11">
        <v>4118</v>
      </c>
    </row>
    <row r="21" spans="1:2" x14ac:dyDescent="0.25">
      <c r="A21" s="12" t="s">
        <v>21</v>
      </c>
      <c r="B21" s="11">
        <v>-9287</v>
      </c>
    </row>
    <row r="22" spans="1:2" x14ac:dyDescent="0.25">
      <c r="A22" s="10" t="s">
        <v>22</v>
      </c>
      <c r="B22" s="11">
        <v>0</v>
      </c>
    </row>
    <row r="23" spans="1:2" x14ac:dyDescent="0.25">
      <c r="A23" s="12" t="s">
        <v>23</v>
      </c>
      <c r="B23" s="11">
        <v>1013</v>
      </c>
    </row>
    <row r="24" spans="1:2" x14ac:dyDescent="0.25">
      <c r="A24" s="12" t="s">
        <v>24</v>
      </c>
      <c r="B24" s="11">
        <v>-1013</v>
      </c>
    </row>
    <row r="25" spans="1:2" x14ac:dyDescent="0.25">
      <c r="A25" s="10" t="s">
        <v>25</v>
      </c>
      <c r="B25" s="11">
        <v>0</v>
      </c>
    </row>
    <row r="26" spans="1:2" x14ac:dyDescent="0.25">
      <c r="A26" s="12" t="s">
        <v>26</v>
      </c>
      <c r="B26" s="11">
        <v>105</v>
      </c>
    </row>
    <row r="27" spans="1:2" x14ac:dyDescent="0.25">
      <c r="A27" s="12" t="s">
        <v>27</v>
      </c>
      <c r="B27" s="11">
        <v>1232</v>
      </c>
    </row>
    <row r="28" spans="1:2" x14ac:dyDescent="0.25">
      <c r="A28" s="12" t="s">
        <v>28</v>
      </c>
      <c r="B28" s="11">
        <v>1141</v>
      </c>
    </row>
    <row r="29" spans="1:2" x14ac:dyDescent="0.25">
      <c r="A29" s="12" t="s">
        <v>29</v>
      </c>
      <c r="B29" s="11">
        <v>105</v>
      </c>
    </row>
    <row r="30" spans="1:2" x14ac:dyDescent="0.25">
      <c r="A30" s="12" t="s">
        <v>30</v>
      </c>
      <c r="B30" s="11">
        <v>-2583</v>
      </c>
    </row>
    <row r="31" spans="1:2" x14ac:dyDescent="0.25">
      <c r="A31" s="10" t="s">
        <v>31</v>
      </c>
      <c r="B31" s="11">
        <v>0</v>
      </c>
    </row>
    <row r="32" spans="1:2" x14ac:dyDescent="0.25">
      <c r="A32" s="12" t="s">
        <v>32</v>
      </c>
      <c r="B32" s="11">
        <v>231</v>
      </c>
    </row>
    <row r="33" spans="1:2" x14ac:dyDescent="0.25">
      <c r="A33" s="12" t="s">
        <v>33</v>
      </c>
      <c r="B33" s="11">
        <v>762</v>
      </c>
    </row>
    <row r="34" spans="1:2" x14ac:dyDescent="0.25">
      <c r="A34" s="12" t="s">
        <v>34</v>
      </c>
      <c r="B34" s="11">
        <v>-993</v>
      </c>
    </row>
    <row r="35" spans="1:2" x14ac:dyDescent="0.25">
      <c r="A35" s="10" t="s">
        <v>35</v>
      </c>
      <c r="B35" s="11">
        <v>0</v>
      </c>
    </row>
    <row r="36" spans="1:2" x14ac:dyDescent="0.25">
      <c r="A36" s="12" t="s">
        <v>36</v>
      </c>
      <c r="B36" s="11">
        <v>166</v>
      </c>
    </row>
    <row r="37" spans="1:2" x14ac:dyDescent="0.25">
      <c r="A37" s="12" t="s">
        <v>37</v>
      </c>
      <c r="B37" s="11">
        <v>-166</v>
      </c>
    </row>
    <row r="38" spans="1:2" x14ac:dyDescent="0.25">
      <c r="A38" s="10" t="s">
        <v>38</v>
      </c>
      <c r="B38" s="11">
        <v>0</v>
      </c>
    </row>
    <row r="39" spans="1:2" x14ac:dyDescent="0.25">
      <c r="A39" s="12" t="s">
        <v>39</v>
      </c>
      <c r="B39" s="11">
        <v>2061</v>
      </c>
    </row>
    <row r="40" spans="1:2" x14ac:dyDescent="0.25">
      <c r="A40" s="12" t="s">
        <v>40</v>
      </c>
      <c r="B40" s="11">
        <v>344</v>
      </c>
    </row>
    <row r="41" spans="1:2" x14ac:dyDescent="0.25">
      <c r="A41" s="12" t="s">
        <v>41</v>
      </c>
      <c r="B41" s="11">
        <v>1059</v>
      </c>
    </row>
    <row r="42" spans="1:2" x14ac:dyDescent="0.25">
      <c r="A42" s="12" t="s">
        <v>42</v>
      </c>
      <c r="B42" s="11">
        <v>-3464</v>
      </c>
    </row>
    <row r="43" spans="1:2" x14ac:dyDescent="0.25">
      <c r="A43" s="10" t="s">
        <v>43</v>
      </c>
      <c r="B43" s="11">
        <v>0</v>
      </c>
    </row>
    <row r="44" spans="1:2" x14ac:dyDescent="0.25">
      <c r="A44" s="12" t="s">
        <v>44</v>
      </c>
      <c r="B44" s="11">
        <v>1579</v>
      </c>
    </row>
    <row r="45" spans="1:2" x14ac:dyDescent="0.25">
      <c r="A45" s="12" t="s">
        <v>45</v>
      </c>
      <c r="B45" s="11">
        <v>1619</v>
      </c>
    </row>
    <row r="46" spans="1:2" x14ac:dyDescent="0.25">
      <c r="A46" s="12" t="s">
        <v>46</v>
      </c>
      <c r="B46" s="11">
        <v>-4500</v>
      </c>
    </row>
    <row r="47" spans="1:2" x14ac:dyDescent="0.25">
      <c r="A47" s="12" t="s">
        <v>10</v>
      </c>
      <c r="B47" s="11">
        <v>1302</v>
      </c>
    </row>
    <row r="48" spans="1:2" x14ac:dyDescent="0.25">
      <c r="A48" s="10" t="s">
        <v>47</v>
      </c>
      <c r="B48" s="11">
        <v>0</v>
      </c>
    </row>
    <row r="49" spans="1:2" x14ac:dyDescent="0.25">
      <c r="A49" s="12" t="s">
        <v>48</v>
      </c>
      <c r="B49" s="11">
        <v>3970</v>
      </c>
    </row>
    <row r="50" spans="1:2" x14ac:dyDescent="0.25">
      <c r="A50" s="12" t="s">
        <v>49</v>
      </c>
      <c r="B50" s="11">
        <v>-3970</v>
      </c>
    </row>
    <row r="51" spans="1:2" x14ac:dyDescent="0.25">
      <c r="A51" s="10" t="s">
        <v>50</v>
      </c>
      <c r="B51" s="11">
        <v>0</v>
      </c>
    </row>
    <row r="52" spans="1:2" x14ac:dyDescent="0.25">
      <c r="A52" s="12" t="s">
        <v>51</v>
      </c>
      <c r="B52" s="11">
        <v>779</v>
      </c>
    </row>
    <row r="53" spans="1:2" x14ac:dyDescent="0.25">
      <c r="A53" s="12" t="s">
        <v>52</v>
      </c>
      <c r="B53" s="11">
        <v>-779</v>
      </c>
    </row>
    <row r="54" spans="1:2" x14ac:dyDescent="0.25">
      <c r="A54" s="10" t="s">
        <v>53</v>
      </c>
      <c r="B54" s="11">
        <v>0</v>
      </c>
    </row>
    <row r="55" spans="1:2" x14ac:dyDescent="0.25">
      <c r="A55" s="12" t="s">
        <v>54</v>
      </c>
      <c r="B55" s="11">
        <v>339</v>
      </c>
    </row>
    <row r="56" spans="1:2" x14ac:dyDescent="0.25">
      <c r="A56" s="12" t="s">
        <v>55</v>
      </c>
      <c r="B56" s="11">
        <v>204</v>
      </c>
    </row>
    <row r="57" spans="1:2" x14ac:dyDescent="0.25">
      <c r="A57" s="12" t="s">
        <v>56</v>
      </c>
      <c r="B57" s="11">
        <v>111</v>
      </c>
    </row>
    <row r="58" spans="1:2" x14ac:dyDescent="0.25">
      <c r="A58" s="12" t="s">
        <v>57</v>
      </c>
      <c r="B58" s="11">
        <v>339</v>
      </c>
    </row>
    <row r="59" spans="1:2" x14ac:dyDescent="0.25">
      <c r="A59" s="12" t="s">
        <v>58</v>
      </c>
      <c r="B59" s="11">
        <v>-993</v>
      </c>
    </row>
    <row r="60" spans="1:2" x14ac:dyDescent="0.25">
      <c r="A60" s="10" t="s">
        <v>59</v>
      </c>
      <c r="B60" s="11">
        <v>0</v>
      </c>
    </row>
    <row r="61" spans="1:2" x14ac:dyDescent="0.25">
      <c r="A61" s="12" t="s">
        <v>60</v>
      </c>
      <c r="B61" s="11">
        <v>536</v>
      </c>
    </row>
    <row r="62" spans="1:2" x14ac:dyDescent="0.25">
      <c r="A62" s="12" t="s">
        <v>61</v>
      </c>
      <c r="B62" s="11">
        <v>-536</v>
      </c>
    </row>
    <row r="63" spans="1:2" x14ac:dyDescent="0.25">
      <c r="A63" s="10" t="s">
        <v>62</v>
      </c>
      <c r="B63" s="11">
        <v>0</v>
      </c>
    </row>
    <row r="64" spans="1:2" x14ac:dyDescent="0.25">
      <c r="A64" s="12" t="s">
        <v>63</v>
      </c>
      <c r="B64" s="11">
        <v>1</v>
      </c>
    </row>
    <row r="65" spans="1:2" x14ac:dyDescent="0.25">
      <c r="A65" s="12" t="s">
        <v>10</v>
      </c>
      <c r="B65" s="11">
        <v>-1</v>
      </c>
    </row>
    <row r="66" spans="1:2" x14ac:dyDescent="0.25">
      <c r="A66" s="10" t="s">
        <v>64</v>
      </c>
      <c r="B66" s="11">
        <v>0</v>
      </c>
    </row>
    <row r="67" spans="1:2" x14ac:dyDescent="0.25">
      <c r="A67" s="12" t="s">
        <v>65</v>
      </c>
      <c r="B67" s="11">
        <v>969</v>
      </c>
    </row>
    <row r="68" spans="1:2" x14ac:dyDescent="0.25">
      <c r="A68" s="12" t="s">
        <v>66</v>
      </c>
      <c r="B68" s="11">
        <v>-969</v>
      </c>
    </row>
    <row r="69" spans="1:2" x14ac:dyDescent="0.25">
      <c r="A69" s="10" t="s">
        <v>67</v>
      </c>
      <c r="B69" s="11">
        <v>0</v>
      </c>
    </row>
    <row r="70" spans="1:2" x14ac:dyDescent="0.25">
      <c r="A70" s="12" t="s">
        <v>68</v>
      </c>
      <c r="B70" s="11">
        <v>434</v>
      </c>
    </row>
    <row r="71" spans="1:2" x14ac:dyDescent="0.25">
      <c r="A71" s="12" t="s">
        <v>69</v>
      </c>
      <c r="B71" s="11">
        <v>-385</v>
      </c>
    </row>
    <row r="72" spans="1:2" x14ac:dyDescent="0.25">
      <c r="A72" s="12" t="s">
        <v>70</v>
      </c>
      <c r="B72" s="11">
        <v>-49</v>
      </c>
    </row>
    <row r="73" spans="1:2" x14ac:dyDescent="0.25">
      <c r="A73" s="10" t="s">
        <v>71</v>
      </c>
      <c r="B73" s="11">
        <v>0</v>
      </c>
    </row>
    <row r="74" spans="1:2" x14ac:dyDescent="0.25">
      <c r="A74" s="12" t="s">
        <v>72</v>
      </c>
      <c r="B74" s="11">
        <v>404</v>
      </c>
    </row>
    <row r="75" spans="1:2" x14ac:dyDescent="0.25">
      <c r="A75" s="12" t="s">
        <v>10</v>
      </c>
      <c r="B75" s="11">
        <v>-404</v>
      </c>
    </row>
    <row r="76" spans="1:2" x14ac:dyDescent="0.25">
      <c r="A76" s="10" t="s">
        <v>73</v>
      </c>
      <c r="B76" s="11">
        <v>0</v>
      </c>
    </row>
    <row r="77" spans="1:2" x14ac:dyDescent="0.25">
      <c r="A77" s="12" t="s">
        <v>74</v>
      </c>
      <c r="B77" s="11">
        <v>1699</v>
      </c>
    </row>
    <row r="78" spans="1:2" x14ac:dyDescent="0.25">
      <c r="A78" s="12" t="s">
        <v>75</v>
      </c>
      <c r="B78" s="11">
        <v>-1699</v>
      </c>
    </row>
    <row r="79" spans="1:2" x14ac:dyDescent="0.25">
      <c r="A79" s="10" t="s">
        <v>76</v>
      </c>
      <c r="B79" s="11">
        <v>0</v>
      </c>
    </row>
    <row r="80" spans="1:2" x14ac:dyDescent="0.25">
      <c r="A80" s="12" t="s">
        <v>77</v>
      </c>
      <c r="B80" s="11">
        <v>374</v>
      </c>
    </row>
    <row r="81" spans="1:2" x14ac:dyDescent="0.25">
      <c r="A81" s="12" t="s">
        <v>10</v>
      </c>
      <c r="B81" s="11">
        <v>-374</v>
      </c>
    </row>
    <row r="82" spans="1:2" x14ac:dyDescent="0.25">
      <c r="A82" s="10" t="s">
        <v>78</v>
      </c>
      <c r="B82" s="11">
        <v>0</v>
      </c>
    </row>
    <row r="83" spans="1:2" x14ac:dyDescent="0.25">
      <c r="A83" s="12" t="s">
        <v>79</v>
      </c>
      <c r="B83" s="11">
        <v>126</v>
      </c>
    </row>
    <row r="84" spans="1:2" x14ac:dyDescent="0.25">
      <c r="A84" s="12" t="s">
        <v>80</v>
      </c>
      <c r="B84" s="11">
        <v>240</v>
      </c>
    </row>
    <row r="85" spans="1:2" x14ac:dyDescent="0.25">
      <c r="A85" s="12" t="s">
        <v>81</v>
      </c>
      <c r="B85" s="11">
        <v>240</v>
      </c>
    </row>
    <row r="86" spans="1:2" x14ac:dyDescent="0.25">
      <c r="A86" s="12" t="s">
        <v>82</v>
      </c>
      <c r="B86" s="11">
        <v>-606</v>
      </c>
    </row>
    <row r="87" spans="1:2" x14ac:dyDescent="0.25">
      <c r="A87" s="10" t="s">
        <v>83</v>
      </c>
      <c r="B87" s="11">
        <v>0</v>
      </c>
    </row>
    <row r="88" spans="1:2" x14ac:dyDescent="0.25">
      <c r="A88" s="12" t="s">
        <v>84</v>
      </c>
      <c r="B88" s="11">
        <v>1236</v>
      </c>
    </row>
    <row r="89" spans="1:2" x14ac:dyDescent="0.25">
      <c r="A89" s="12" t="s">
        <v>85</v>
      </c>
      <c r="B89" s="11">
        <v>-1236</v>
      </c>
    </row>
    <row r="90" spans="1:2" x14ac:dyDescent="0.25">
      <c r="A90" s="10" t="s">
        <v>86</v>
      </c>
      <c r="B90" s="11">
        <v>0</v>
      </c>
    </row>
    <row r="91" spans="1:2" x14ac:dyDescent="0.25">
      <c r="A91" s="12" t="s">
        <v>87</v>
      </c>
      <c r="B91" s="11">
        <v>1</v>
      </c>
    </row>
    <row r="92" spans="1:2" x14ac:dyDescent="0.25">
      <c r="A92" s="12" t="s">
        <v>10</v>
      </c>
      <c r="B92" s="11">
        <v>-1</v>
      </c>
    </row>
    <row r="93" spans="1:2" x14ac:dyDescent="0.25">
      <c r="A93" s="10" t="s">
        <v>88</v>
      </c>
      <c r="B93" s="11">
        <v>0</v>
      </c>
    </row>
    <row r="94" spans="1:2" x14ac:dyDescent="0.25">
      <c r="A94" s="12" t="s">
        <v>89</v>
      </c>
      <c r="B94" s="11">
        <v>3</v>
      </c>
    </row>
    <row r="95" spans="1:2" x14ac:dyDescent="0.25">
      <c r="A95" s="12" t="s">
        <v>10</v>
      </c>
      <c r="B95" s="11">
        <v>-3</v>
      </c>
    </row>
    <row r="96" spans="1:2" x14ac:dyDescent="0.25">
      <c r="A96" s="10" t="s">
        <v>90</v>
      </c>
      <c r="B96" s="11">
        <v>0</v>
      </c>
    </row>
    <row r="97" spans="1:2" x14ac:dyDescent="0.25">
      <c r="A97" s="12" t="s">
        <v>91</v>
      </c>
      <c r="B97" s="11">
        <v>4371</v>
      </c>
    </row>
    <row r="98" spans="1:2" x14ac:dyDescent="0.25">
      <c r="A98" s="12" t="s">
        <v>92</v>
      </c>
      <c r="B98" s="11">
        <v>81</v>
      </c>
    </row>
    <row r="99" spans="1:2" x14ac:dyDescent="0.25">
      <c r="A99" s="12" t="s">
        <v>93</v>
      </c>
      <c r="B99" s="11">
        <v>54</v>
      </c>
    </row>
    <row r="100" spans="1:2" x14ac:dyDescent="0.25">
      <c r="A100" s="12" t="s">
        <v>94</v>
      </c>
      <c r="B100" s="11">
        <v>744</v>
      </c>
    </row>
    <row r="101" spans="1:2" x14ac:dyDescent="0.25">
      <c r="A101" s="12" t="s">
        <v>95</v>
      </c>
      <c r="B101" s="11">
        <v>388</v>
      </c>
    </row>
    <row r="102" spans="1:2" x14ac:dyDescent="0.25">
      <c r="A102" s="12" t="s">
        <v>96</v>
      </c>
      <c r="B102" s="11">
        <v>2663</v>
      </c>
    </row>
    <row r="103" spans="1:2" x14ac:dyDescent="0.25">
      <c r="A103" s="12" t="s">
        <v>97</v>
      </c>
      <c r="B103" s="11">
        <v>106</v>
      </c>
    </row>
    <row r="104" spans="1:2" x14ac:dyDescent="0.25">
      <c r="A104" s="12" t="s">
        <v>98</v>
      </c>
      <c r="B104" s="11">
        <v>1778</v>
      </c>
    </row>
    <row r="105" spans="1:2" x14ac:dyDescent="0.25">
      <c r="A105" s="12" t="s">
        <v>99</v>
      </c>
      <c r="B105" s="11">
        <v>-10185</v>
      </c>
    </row>
    <row r="106" spans="1:2" x14ac:dyDescent="0.25">
      <c r="A106" s="10" t="s">
        <v>100</v>
      </c>
      <c r="B106" s="11">
        <v>0</v>
      </c>
    </row>
    <row r="107" spans="1:2" x14ac:dyDescent="0.25">
      <c r="A107" s="12" t="s">
        <v>101</v>
      </c>
      <c r="B107" s="11">
        <v>5</v>
      </c>
    </row>
    <row r="108" spans="1:2" x14ac:dyDescent="0.25">
      <c r="A108" s="12" t="s">
        <v>10</v>
      </c>
      <c r="B108" s="11">
        <v>-5</v>
      </c>
    </row>
    <row r="109" spans="1:2" x14ac:dyDescent="0.25">
      <c r="A109" s="10" t="s">
        <v>102</v>
      </c>
      <c r="B109" s="11">
        <v>0</v>
      </c>
    </row>
    <row r="110" spans="1:2" x14ac:dyDescent="0.25">
      <c r="A110" s="12" t="s">
        <v>103</v>
      </c>
      <c r="B110" s="11">
        <v>8</v>
      </c>
    </row>
    <row r="111" spans="1:2" x14ac:dyDescent="0.25">
      <c r="A111" s="12" t="s">
        <v>10</v>
      </c>
      <c r="B111" s="11">
        <v>-8</v>
      </c>
    </row>
    <row r="112" spans="1:2" x14ac:dyDescent="0.25">
      <c r="A112" s="10" t="s">
        <v>104</v>
      </c>
      <c r="B112" s="11">
        <v>0</v>
      </c>
    </row>
    <row r="113" spans="1:2" x14ac:dyDescent="0.25">
      <c r="A113" s="12" t="s">
        <v>105</v>
      </c>
      <c r="B113" s="11">
        <v>1</v>
      </c>
    </row>
    <row r="114" spans="1:2" x14ac:dyDescent="0.25">
      <c r="A114" s="12" t="s">
        <v>106</v>
      </c>
      <c r="B114" s="11">
        <v>7037</v>
      </c>
    </row>
    <row r="115" spans="1:2" x14ac:dyDescent="0.25">
      <c r="A115" s="12" t="s">
        <v>107</v>
      </c>
      <c r="B115" s="11">
        <v>-7038</v>
      </c>
    </row>
    <row r="116" spans="1:2" x14ac:dyDescent="0.25">
      <c r="A116" s="10" t="s">
        <v>108</v>
      </c>
      <c r="B116" s="11">
        <v>0</v>
      </c>
    </row>
    <row r="117" spans="1:2" x14ac:dyDescent="0.25">
      <c r="A117" s="12" t="s">
        <v>109</v>
      </c>
      <c r="B117" s="11">
        <v>99</v>
      </c>
    </row>
    <row r="118" spans="1:2" x14ac:dyDescent="0.25">
      <c r="A118" s="12" t="s">
        <v>10</v>
      </c>
      <c r="B118" s="11">
        <v>-99</v>
      </c>
    </row>
    <row r="119" spans="1:2" x14ac:dyDescent="0.25">
      <c r="A119" s="10" t="s">
        <v>110</v>
      </c>
      <c r="B119" s="11">
        <v>0</v>
      </c>
    </row>
    <row r="120" spans="1:2" x14ac:dyDescent="0.25">
      <c r="A120" s="12" t="s">
        <v>111</v>
      </c>
      <c r="B120" s="11">
        <v>2</v>
      </c>
    </row>
    <row r="121" spans="1:2" x14ac:dyDescent="0.25">
      <c r="A121" s="12" t="s">
        <v>10</v>
      </c>
      <c r="B121" s="11">
        <v>-2</v>
      </c>
    </row>
    <row r="122" spans="1:2" x14ac:dyDescent="0.25">
      <c r="A122" s="10" t="s">
        <v>112</v>
      </c>
      <c r="B122" s="11">
        <v>0</v>
      </c>
    </row>
    <row r="123" spans="1:2" x14ac:dyDescent="0.25">
      <c r="A123" s="12" t="s">
        <v>113</v>
      </c>
      <c r="B123" s="11">
        <v>370</v>
      </c>
    </row>
    <row r="124" spans="1:2" x14ac:dyDescent="0.25">
      <c r="A124" s="12" t="s">
        <v>10</v>
      </c>
      <c r="B124" s="11">
        <v>-370</v>
      </c>
    </row>
    <row r="125" spans="1:2" x14ac:dyDescent="0.25">
      <c r="A125" s="10" t="s">
        <v>114</v>
      </c>
      <c r="B125" s="11">
        <v>0</v>
      </c>
    </row>
    <row r="126" spans="1:2" x14ac:dyDescent="0.25">
      <c r="A126" s="12" t="s">
        <v>115</v>
      </c>
      <c r="B126" s="11">
        <v>5372</v>
      </c>
    </row>
    <row r="127" spans="1:2" x14ac:dyDescent="0.25">
      <c r="A127" s="12" t="s">
        <v>116</v>
      </c>
      <c r="B127" s="11">
        <v>4996</v>
      </c>
    </row>
    <row r="128" spans="1:2" x14ac:dyDescent="0.25">
      <c r="A128" s="12" t="s">
        <v>117</v>
      </c>
      <c r="B128" s="11">
        <v>5132</v>
      </c>
    </row>
    <row r="129" spans="1:2" x14ac:dyDescent="0.25">
      <c r="A129" s="12" t="s">
        <v>118</v>
      </c>
      <c r="B129" s="11">
        <v>5858</v>
      </c>
    </row>
    <row r="130" spans="1:2" x14ac:dyDescent="0.25">
      <c r="A130" s="12" t="s">
        <v>119</v>
      </c>
      <c r="B130" s="11">
        <v>5043</v>
      </c>
    </row>
    <row r="131" spans="1:2" x14ac:dyDescent="0.25">
      <c r="A131" s="12" t="s">
        <v>120</v>
      </c>
      <c r="B131" s="11">
        <v>4483</v>
      </c>
    </row>
    <row r="132" spans="1:2" x14ac:dyDescent="0.25">
      <c r="A132" s="12" t="s">
        <v>121</v>
      </c>
      <c r="B132" s="11">
        <v>-30884</v>
      </c>
    </row>
    <row r="133" spans="1:2" x14ac:dyDescent="0.25">
      <c r="A133" s="10" t="s">
        <v>122</v>
      </c>
      <c r="B133" s="11">
        <v>0</v>
      </c>
    </row>
    <row r="134" spans="1:2" x14ac:dyDescent="0.25">
      <c r="A134" s="12" t="s">
        <v>123</v>
      </c>
      <c r="B134" s="11">
        <v>2</v>
      </c>
    </row>
    <row r="135" spans="1:2" x14ac:dyDescent="0.25">
      <c r="A135" s="12" t="s">
        <v>10</v>
      </c>
      <c r="B135" s="11">
        <v>-2</v>
      </c>
    </row>
    <row r="136" spans="1:2" x14ac:dyDescent="0.25">
      <c r="A136" s="10" t="s">
        <v>124</v>
      </c>
      <c r="B136" s="11">
        <v>0</v>
      </c>
    </row>
    <row r="137" spans="1:2" x14ac:dyDescent="0.25">
      <c r="A137" s="12" t="s">
        <v>125</v>
      </c>
      <c r="B137" s="11">
        <v>-57</v>
      </c>
    </row>
    <row r="138" spans="1:2" x14ac:dyDescent="0.25">
      <c r="A138" s="12" t="s">
        <v>10</v>
      </c>
      <c r="B138" s="11">
        <v>57</v>
      </c>
    </row>
    <row r="139" spans="1:2" x14ac:dyDescent="0.25">
      <c r="A139" s="10" t="s">
        <v>126</v>
      </c>
      <c r="B139" s="11">
        <v>0</v>
      </c>
    </row>
    <row r="140" spans="1:2" x14ac:dyDescent="0.25">
      <c r="A140" s="12" t="s">
        <v>127</v>
      </c>
      <c r="B140" s="11">
        <v>4509</v>
      </c>
    </row>
    <row r="141" spans="1:2" x14ac:dyDescent="0.25">
      <c r="A141" s="12" t="s">
        <v>128</v>
      </c>
      <c r="B141" s="11">
        <v>4323</v>
      </c>
    </row>
    <row r="142" spans="1:2" x14ac:dyDescent="0.25">
      <c r="A142" s="12" t="s">
        <v>129</v>
      </c>
      <c r="B142" s="11">
        <v>5739</v>
      </c>
    </row>
    <row r="143" spans="1:2" x14ac:dyDescent="0.25">
      <c r="A143" s="12" t="s">
        <v>130</v>
      </c>
      <c r="B143" s="11">
        <v>-14571</v>
      </c>
    </row>
    <row r="144" spans="1:2" x14ac:dyDescent="0.25">
      <c r="A144" s="10" t="s">
        <v>131</v>
      </c>
      <c r="B144" s="11">
        <v>0</v>
      </c>
    </row>
    <row r="145" spans="1:2" x14ac:dyDescent="0.25">
      <c r="A145" s="12" t="s">
        <v>132</v>
      </c>
      <c r="B145" s="11">
        <v>1172</v>
      </c>
    </row>
    <row r="146" spans="1:2" x14ac:dyDescent="0.25">
      <c r="A146" s="12" t="s">
        <v>133</v>
      </c>
      <c r="B146" s="11">
        <v>-1172</v>
      </c>
    </row>
    <row r="147" spans="1:2" x14ac:dyDescent="0.25">
      <c r="A147" s="10" t="s">
        <v>134</v>
      </c>
      <c r="B147" s="11">
        <v>0</v>
      </c>
    </row>
    <row r="148" spans="1:2" x14ac:dyDescent="0.25">
      <c r="A148" s="12" t="s">
        <v>135</v>
      </c>
      <c r="B148" s="11">
        <v>657</v>
      </c>
    </row>
    <row r="149" spans="1:2" x14ac:dyDescent="0.25">
      <c r="A149" s="12" t="s">
        <v>136</v>
      </c>
      <c r="B149" s="11">
        <v>-657</v>
      </c>
    </row>
    <row r="150" spans="1:2" x14ac:dyDescent="0.25">
      <c r="A150" s="10" t="s">
        <v>137</v>
      </c>
      <c r="B150" s="11">
        <v>0</v>
      </c>
    </row>
    <row r="151" spans="1:2" x14ac:dyDescent="0.25">
      <c r="A151" s="12" t="s">
        <v>138</v>
      </c>
      <c r="B151" s="11">
        <v>4276</v>
      </c>
    </row>
    <row r="152" spans="1:2" x14ac:dyDescent="0.25">
      <c r="A152" s="12" t="s">
        <v>139</v>
      </c>
      <c r="B152" s="11">
        <v>4586</v>
      </c>
    </row>
    <row r="153" spans="1:2" x14ac:dyDescent="0.25">
      <c r="A153" s="12" t="s">
        <v>140</v>
      </c>
      <c r="B153" s="11">
        <v>4679</v>
      </c>
    </row>
    <row r="154" spans="1:2" x14ac:dyDescent="0.25">
      <c r="A154" s="12" t="s">
        <v>141</v>
      </c>
      <c r="B154" s="11">
        <v>4381</v>
      </c>
    </row>
    <row r="155" spans="1:2" x14ac:dyDescent="0.25">
      <c r="A155" s="12" t="s">
        <v>142</v>
      </c>
      <c r="B155" s="11">
        <v>4717</v>
      </c>
    </row>
    <row r="156" spans="1:2" x14ac:dyDescent="0.25">
      <c r="A156" s="12" t="s">
        <v>143</v>
      </c>
      <c r="B156" s="11">
        <v>-22639</v>
      </c>
    </row>
    <row r="157" spans="1:2" x14ac:dyDescent="0.25">
      <c r="A157" s="10" t="s">
        <v>144</v>
      </c>
      <c r="B157" s="11">
        <v>0</v>
      </c>
    </row>
    <row r="158" spans="1:2" x14ac:dyDescent="0.25">
      <c r="A158" s="12" t="s">
        <v>145</v>
      </c>
      <c r="B158" s="11">
        <v>4942</v>
      </c>
    </row>
    <row r="159" spans="1:2" x14ac:dyDescent="0.25">
      <c r="A159" s="12" t="s">
        <v>146</v>
      </c>
      <c r="B159" s="11">
        <v>4754</v>
      </c>
    </row>
    <row r="160" spans="1:2" x14ac:dyDescent="0.25">
      <c r="A160" s="12" t="s">
        <v>147</v>
      </c>
      <c r="B160" s="11">
        <v>-9696</v>
      </c>
    </row>
    <row r="161" spans="1:2" x14ac:dyDescent="0.25">
      <c r="A161" s="10" t="s">
        <v>148</v>
      </c>
      <c r="B161" s="11">
        <v>0</v>
      </c>
    </row>
    <row r="162" spans="1:2" x14ac:dyDescent="0.25">
      <c r="A162" s="12" t="s">
        <v>149</v>
      </c>
      <c r="B162" s="11">
        <v>4696</v>
      </c>
    </row>
    <row r="163" spans="1:2" x14ac:dyDescent="0.25">
      <c r="A163" s="12" t="s">
        <v>150</v>
      </c>
      <c r="B163" s="11">
        <v>3950</v>
      </c>
    </row>
    <row r="164" spans="1:2" x14ac:dyDescent="0.25">
      <c r="A164" s="12" t="s">
        <v>151</v>
      </c>
      <c r="B164" s="11">
        <v>-8646</v>
      </c>
    </row>
    <row r="165" spans="1:2" x14ac:dyDescent="0.25">
      <c r="A165" s="10" t="s">
        <v>152</v>
      </c>
      <c r="B165" s="11">
        <v>0</v>
      </c>
    </row>
    <row r="166" spans="1:2" x14ac:dyDescent="0.25">
      <c r="A166" s="12" t="s">
        <v>153</v>
      </c>
      <c r="B166" s="11">
        <v>3</v>
      </c>
    </row>
    <row r="167" spans="1:2" x14ac:dyDescent="0.25">
      <c r="A167" s="12" t="s">
        <v>154</v>
      </c>
      <c r="B167" s="11">
        <v>10491</v>
      </c>
    </row>
    <row r="168" spans="1:2" x14ac:dyDescent="0.25">
      <c r="A168" s="12" t="s">
        <v>155</v>
      </c>
      <c r="B168" s="11">
        <v>-10494</v>
      </c>
    </row>
    <row r="169" spans="1:2" x14ac:dyDescent="0.25">
      <c r="A169" s="10" t="s">
        <v>156</v>
      </c>
      <c r="B169" s="11">
        <v>0</v>
      </c>
    </row>
    <row r="170" spans="1:2" x14ac:dyDescent="0.25">
      <c r="A170" s="12" t="s">
        <v>157</v>
      </c>
      <c r="B170" s="11">
        <v>1531</v>
      </c>
    </row>
    <row r="171" spans="1:2" x14ac:dyDescent="0.25">
      <c r="A171" s="12" t="s">
        <v>158</v>
      </c>
      <c r="B171" s="11">
        <v>1454</v>
      </c>
    </row>
    <row r="172" spans="1:2" x14ac:dyDescent="0.25">
      <c r="A172" s="12" t="s">
        <v>159</v>
      </c>
      <c r="B172" s="11">
        <v>-2985</v>
      </c>
    </row>
    <row r="173" spans="1:2" x14ac:dyDescent="0.25">
      <c r="A173" s="10" t="s">
        <v>160</v>
      </c>
      <c r="B173" s="11">
        <v>0</v>
      </c>
    </row>
    <row r="174" spans="1:2" x14ac:dyDescent="0.25">
      <c r="A174" s="12" t="s">
        <v>161</v>
      </c>
      <c r="B174" s="11">
        <v>1</v>
      </c>
    </row>
    <row r="175" spans="1:2" x14ac:dyDescent="0.25">
      <c r="A175" s="12" t="s">
        <v>162</v>
      </c>
      <c r="B175" s="11">
        <v>285</v>
      </c>
    </row>
    <row r="176" spans="1:2" x14ac:dyDescent="0.25">
      <c r="A176" s="12" t="s">
        <v>163</v>
      </c>
      <c r="B176" s="11">
        <v>993</v>
      </c>
    </row>
    <row r="177" spans="1:2" x14ac:dyDescent="0.25">
      <c r="A177" s="12" t="s">
        <v>164</v>
      </c>
      <c r="B177" s="11">
        <v>1865</v>
      </c>
    </row>
    <row r="178" spans="1:2" x14ac:dyDescent="0.25">
      <c r="A178" s="12" t="s">
        <v>165</v>
      </c>
      <c r="B178" s="11">
        <v>863</v>
      </c>
    </row>
    <row r="179" spans="1:2" x14ac:dyDescent="0.25">
      <c r="A179" s="12" t="s">
        <v>166</v>
      </c>
      <c r="B179" s="11">
        <v>-4007</v>
      </c>
    </row>
    <row r="180" spans="1:2" x14ac:dyDescent="0.25">
      <c r="A180" s="10" t="s">
        <v>167</v>
      </c>
      <c r="B180" s="11">
        <v>0</v>
      </c>
    </row>
    <row r="181" spans="1:2" x14ac:dyDescent="0.25">
      <c r="A181" s="12" t="s">
        <v>168</v>
      </c>
      <c r="B181" s="11">
        <v>4850</v>
      </c>
    </row>
    <row r="182" spans="1:2" x14ac:dyDescent="0.25">
      <c r="A182" s="12" t="s">
        <v>169</v>
      </c>
      <c r="B182" s="11">
        <v>3888</v>
      </c>
    </row>
    <row r="183" spans="1:2" x14ac:dyDescent="0.25">
      <c r="A183" s="12" t="s">
        <v>170</v>
      </c>
      <c r="B183" s="11">
        <v>-8738</v>
      </c>
    </row>
    <row r="184" spans="1:2" x14ac:dyDescent="0.25">
      <c r="A184" s="10" t="s">
        <v>171</v>
      </c>
      <c r="B184" s="11">
        <v>0</v>
      </c>
    </row>
    <row r="185" spans="1:2" x14ac:dyDescent="0.25">
      <c r="A185" s="12" t="s">
        <v>172</v>
      </c>
      <c r="B185" s="11">
        <v>6</v>
      </c>
    </row>
    <row r="186" spans="1:2" x14ac:dyDescent="0.25">
      <c r="A186" s="12" t="s">
        <v>173</v>
      </c>
      <c r="B186" s="11">
        <v>2</v>
      </c>
    </row>
    <row r="187" spans="1:2" x14ac:dyDescent="0.25">
      <c r="A187" s="12" t="s">
        <v>10</v>
      </c>
      <c r="B187" s="11">
        <v>-8</v>
      </c>
    </row>
    <row r="188" spans="1:2" x14ac:dyDescent="0.25">
      <c r="A188" s="10" t="s">
        <v>174</v>
      </c>
      <c r="B188" s="11">
        <v>0</v>
      </c>
    </row>
    <row r="189" spans="1:2" x14ac:dyDescent="0.25">
      <c r="A189" s="12" t="s">
        <v>175</v>
      </c>
      <c r="B189" s="11">
        <v>1</v>
      </c>
    </row>
    <row r="190" spans="1:2" x14ac:dyDescent="0.25">
      <c r="A190" s="12" t="s">
        <v>10</v>
      </c>
      <c r="B190" s="11">
        <v>-1</v>
      </c>
    </row>
    <row r="191" spans="1:2" x14ac:dyDescent="0.25">
      <c r="A191" s="10" t="s">
        <v>176</v>
      </c>
      <c r="B191" s="11">
        <v>0</v>
      </c>
    </row>
    <row r="192" spans="1:2" x14ac:dyDescent="0.25">
      <c r="A192" s="12" t="s">
        <v>177</v>
      </c>
      <c r="B192" s="11">
        <v>1859</v>
      </c>
    </row>
    <row r="193" spans="1:2" x14ac:dyDescent="0.25">
      <c r="A193" s="12" t="s">
        <v>178</v>
      </c>
      <c r="B193" s="11">
        <v>-1859</v>
      </c>
    </row>
    <row r="194" spans="1:2" x14ac:dyDescent="0.25">
      <c r="A194" s="10" t="s">
        <v>179</v>
      </c>
      <c r="B194" s="11">
        <v>0</v>
      </c>
    </row>
    <row r="195" spans="1:2" x14ac:dyDescent="0.25">
      <c r="A195" s="12" t="s">
        <v>180</v>
      </c>
      <c r="B195" s="11">
        <v>5938</v>
      </c>
    </row>
    <row r="196" spans="1:2" x14ac:dyDescent="0.25">
      <c r="A196" s="12" t="s">
        <v>181</v>
      </c>
      <c r="B196" s="11">
        <v>-5938</v>
      </c>
    </row>
    <row r="197" spans="1:2" x14ac:dyDescent="0.25">
      <c r="A197" s="10" t="s">
        <v>182</v>
      </c>
      <c r="B197" s="11">
        <v>0</v>
      </c>
    </row>
    <row r="198" spans="1:2" x14ac:dyDescent="0.25">
      <c r="A198" s="12" t="s">
        <v>183</v>
      </c>
      <c r="B198" s="11">
        <v>5915</v>
      </c>
    </row>
    <row r="199" spans="1:2" x14ac:dyDescent="0.25">
      <c r="A199" s="12" t="s">
        <v>184</v>
      </c>
      <c r="B199" s="11">
        <v>-5915</v>
      </c>
    </row>
    <row r="200" spans="1:2" x14ac:dyDescent="0.25">
      <c r="A200" s="10" t="s">
        <v>185</v>
      </c>
      <c r="B200" s="11">
        <v>0</v>
      </c>
    </row>
    <row r="201" spans="1:2" x14ac:dyDescent="0.25">
      <c r="A201" s="12" t="s">
        <v>186</v>
      </c>
      <c r="B201" s="11">
        <v>165</v>
      </c>
    </row>
    <row r="202" spans="1:2" x14ac:dyDescent="0.25">
      <c r="A202" s="12" t="s">
        <v>10</v>
      </c>
      <c r="B202" s="11">
        <v>-165</v>
      </c>
    </row>
    <row r="203" spans="1:2" x14ac:dyDescent="0.25">
      <c r="A203" s="10" t="s">
        <v>187</v>
      </c>
      <c r="B203" s="11">
        <v>0</v>
      </c>
    </row>
    <row r="204" spans="1:2" x14ac:dyDescent="0.25">
      <c r="A204" s="12" t="s">
        <v>188</v>
      </c>
      <c r="B204" s="11">
        <v>2092</v>
      </c>
    </row>
    <row r="205" spans="1:2" x14ac:dyDescent="0.25">
      <c r="A205" s="12" t="s">
        <v>189</v>
      </c>
      <c r="B205" s="11">
        <v>-2092</v>
      </c>
    </row>
    <row r="206" spans="1:2" x14ac:dyDescent="0.25">
      <c r="A206" s="10" t="s">
        <v>190</v>
      </c>
      <c r="B206" s="11">
        <v>0</v>
      </c>
    </row>
    <row r="207" spans="1:2" x14ac:dyDescent="0.25">
      <c r="A207" s="12" t="s">
        <v>191</v>
      </c>
      <c r="B207" s="11">
        <v>1482</v>
      </c>
    </row>
    <row r="208" spans="1:2" x14ac:dyDescent="0.25">
      <c r="A208" s="12" t="s">
        <v>192</v>
      </c>
      <c r="B208" s="11">
        <v>-1482</v>
      </c>
    </row>
    <row r="209" spans="1:2" x14ac:dyDescent="0.25">
      <c r="A209" s="10" t="s">
        <v>193</v>
      </c>
      <c r="B209" s="11">
        <v>0</v>
      </c>
    </row>
    <row r="210" spans="1:2" x14ac:dyDescent="0.25">
      <c r="A210" s="12" t="s">
        <v>194</v>
      </c>
      <c r="B210" s="11">
        <v>1666</v>
      </c>
    </row>
    <row r="211" spans="1:2" x14ac:dyDescent="0.25">
      <c r="A211" s="12" t="s">
        <v>195</v>
      </c>
      <c r="B211" s="11">
        <v>1337</v>
      </c>
    </row>
    <row r="212" spans="1:2" x14ac:dyDescent="0.25">
      <c r="A212" s="12" t="s">
        <v>196</v>
      </c>
      <c r="B212" s="11">
        <v>-3003</v>
      </c>
    </row>
    <row r="213" spans="1:2" x14ac:dyDescent="0.25">
      <c r="A213" s="10" t="s">
        <v>197</v>
      </c>
      <c r="B213" s="11">
        <v>0</v>
      </c>
    </row>
    <row r="214" spans="1:2" x14ac:dyDescent="0.25">
      <c r="A214" s="12" t="s">
        <v>198</v>
      </c>
      <c r="B214" s="11">
        <v>362</v>
      </c>
    </row>
    <row r="215" spans="1:2" x14ac:dyDescent="0.25">
      <c r="A215" s="12" t="s">
        <v>10</v>
      </c>
      <c r="B215" s="11">
        <v>-362</v>
      </c>
    </row>
    <row r="216" spans="1:2" x14ac:dyDescent="0.25">
      <c r="A216" s="10" t="s">
        <v>199</v>
      </c>
      <c r="B216" s="11">
        <v>0</v>
      </c>
    </row>
    <row r="217" spans="1:2" x14ac:dyDescent="0.25">
      <c r="A217" s="12" t="s">
        <v>200</v>
      </c>
      <c r="B217" s="11">
        <v>897</v>
      </c>
    </row>
    <row r="218" spans="1:2" x14ac:dyDescent="0.25">
      <c r="A218" s="12" t="s">
        <v>201</v>
      </c>
      <c r="B218" s="11">
        <v>-897</v>
      </c>
    </row>
    <row r="219" spans="1:2" x14ac:dyDescent="0.25">
      <c r="A219" s="10" t="s">
        <v>202</v>
      </c>
      <c r="B219" s="11">
        <v>0</v>
      </c>
    </row>
    <row r="220" spans="1:2" x14ac:dyDescent="0.25">
      <c r="A220" s="12" t="s">
        <v>203</v>
      </c>
      <c r="B220" s="11">
        <v>3915</v>
      </c>
    </row>
    <row r="221" spans="1:2" x14ac:dyDescent="0.25">
      <c r="A221" s="12" t="s">
        <v>204</v>
      </c>
      <c r="B221" s="11">
        <v>-3915</v>
      </c>
    </row>
    <row r="222" spans="1:2" x14ac:dyDescent="0.25">
      <c r="A222" s="10" t="s">
        <v>205</v>
      </c>
      <c r="B222" s="11">
        <v>0</v>
      </c>
    </row>
    <row r="223" spans="1:2" x14ac:dyDescent="0.25">
      <c r="A223" s="12" t="s">
        <v>206</v>
      </c>
      <c r="B223" s="11">
        <v>90000</v>
      </c>
    </row>
    <row r="224" spans="1:2" x14ac:dyDescent="0.25">
      <c r="A224" s="12" t="s">
        <v>207</v>
      </c>
      <c r="B224" s="11">
        <v>-90001</v>
      </c>
    </row>
    <row r="225" spans="1:2" x14ac:dyDescent="0.25">
      <c r="A225" s="12" t="s">
        <v>10</v>
      </c>
      <c r="B225" s="11">
        <v>1</v>
      </c>
    </row>
    <row r="226" spans="1:2" x14ac:dyDescent="0.25">
      <c r="A226" s="10" t="s">
        <v>208</v>
      </c>
      <c r="B226" s="11">
        <v>0</v>
      </c>
    </row>
    <row r="227" spans="1:2" x14ac:dyDescent="0.25">
      <c r="A227" s="12" t="s">
        <v>209</v>
      </c>
      <c r="B227" s="11">
        <v>537</v>
      </c>
    </row>
    <row r="228" spans="1:2" x14ac:dyDescent="0.25">
      <c r="A228" s="12" t="s">
        <v>10</v>
      </c>
      <c r="B228" s="11">
        <v>-537</v>
      </c>
    </row>
    <row r="229" spans="1:2" x14ac:dyDescent="0.25">
      <c r="A229" s="10" t="s">
        <v>210</v>
      </c>
      <c r="B229" s="11">
        <v>0</v>
      </c>
    </row>
    <row r="230" spans="1:2" x14ac:dyDescent="0.25">
      <c r="A230" s="12" t="s">
        <v>211</v>
      </c>
      <c r="B230" s="11">
        <v>1964</v>
      </c>
    </row>
    <row r="231" spans="1:2" x14ac:dyDescent="0.25">
      <c r="A231" s="12" t="s">
        <v>212</v>
      </c>
      <c r="B231" s="11">
        <v>1886</v>
      </c>
    </row>
    <row r="232" spans="1:2" x14ac:dyDescent="0.25">
      <c r="A232" s="12" t="s">
        <v>213</v>
      </c>
      <c r="B232" s="11">
        <v>-3850</v>
      </c>
    </row>
    <row r="233" spans="1:2" x14ac:dyDescent="0.25">
      <c r="A233" s="10" t="s">
        <v>214</v>
      </c>
      <c r="B233" s="11">
        <v>0</v>
      </c>
    </row>
    <row r="234" spans="1:2" x14ac:dyDescent="0.25">
      <c r="A234" s="12" t="s">
        <v>215</v>
      </c>
      <c r="B234" s="11">
        <v>655</v>
      </c>
    </row>
    <row r="235" spans="1:2" x14ac:dyDescent="0.25">
      <c r="A235" s="12" t="s">
        <v>216</v>
      </c>
      <c r="B235" s="11">
        <v>-655</v>
      </c>
    </row>
    <row r="236" spans="1:2" x14ac:dyDescent="0.25">
      <c r="A236" s="10" t="s">
        <v>217</v>
      </c>
      <c r="B236" s="11">
        <v>0</v>
      </c>
    </row>
    <row r="237" spans="1:2" x14ac:dyDescent="0.25">
      <c r="A237" s="12" t="s">
        <v>218</v>
      </c>
      <c r="B237" s="11">
        <v>3720</v>
      </c>
    </row>
    <row r="238" spans="1:2" x14ac:dyDescent="0.25">
      <c r="A238" s="12" t="s">
        <v>219</v>
      </c>
      <c r="B238" s="11">
        <v>4502</v>
      </c>
    </row>
    <row r="239" spans="1:2" x14ac:dyDescent="0.25">
      <c r="A239" s="12" t="s">
        <v>220</v>
      </c>
      <c r="B239" s="11">
        <v>4091</v>
      </c>
    </row>
    <row r="240" spans="1:2" x14ac:dyDescent="0.25">
      <c r="A240" s="12" t="s">
        <v>221</v>
      </c>
      <c r="B240" s="11">
        <v>-12313</v>
      </c>
    </row>
    <row r="241" spans="1:2" x14ac:dyDescent="0.25">
      <c r="A241" s="10" t="s">
        <v>222</v>
      </c>
      <c r="B241" s="11">
        <v>0</v>
      </c>
    </row>
    <row r="242" spans="1:2" x14ac:dyDescent="0.25">
      <c r="A242" s="12" t="s">
        <v>223</v>
      </c>
      <c r="B242" s="11">
        <v>370</v>
      </c>
    </row>
    <row r="243" spans="1:2" x14ac:dyDescent="0.25">
      <c r="A243" s="12" t="s">
        <v>224</v>
      </c>
      <c r="B243" s="11">
        <v>453</v>
      </c>
    </row>
    <row r="244" spans="1:2" x14ac:dyDescent="0.25">
      <c r="A244" s="12" t="s">
        <v>225</v>
      </c>
      <c r="B244" s="11">
        <v>133</v>
      </c>
    </row>
    <row r="245" spans="1:2" x14ac:dyDescent="0.25">
      <c r="A245" s="12" t="s">
        <v>226</v>
      </c>
      <c r="B245" s="11">
        <v>267</v>
      </c>
    </row>
    <row r="246" spans="1:2" x14ac:dyDescent="0.25">
      <c r="A246" s="12" t="s">
        <v>227</v>
      </c>
      <c r="B246" s="11">
        <v>323</v>
      </c>
    </row>
    <row r="247" spans="1:2" x14ac:dyDescent="0.25">
      <c r="A247" s="12" t="s">
        <v>228</v>
      </c>
      <c r="B247" s="11">
        <v>-1546</v>
      </c>
    </row>
    <row r="248" spans="1:2" x14ac:dyDescent="0.25">
      <c r="A248" s="10" t="s">
        <v>229</v>
      </c>
      <c r="B248" s="11">
        <v>0</v>
      </c>
    </row>
    <row r="249" spans="1:2" x14ac:dyDescent="0.25">
      <c r="A249" s="12" t="s">
        <v>230</v>
      </c>
      <c r="B249" s="11">
        <v>1379</v>
      </c>
    </row>
    <row r="250" spans="1:2" x14ac:dyDescent="0.25">
      <c r="A250" s="12" t="s">
        <v>231</v>
      </c>
      <c r="B250" s="11">
        <v>492</v>
      </c>
    </row>
    <row r="251" spans="1:2" x14ac:dyDescent="0.25">
      <c r="A251" s="12" t="s">
        <v>232</v>
      </c>
      <c r="B251" s="11">
        <v>661</v>
      </c>
    </row>
    <row r="252" spans="1:2" x14ac:dyDescent="0.25">
      <c r="A252" s="12" t="s">
        <v>233</v>
      </c>
      <c r="B252" s="11">
        <v>1616</v>
      </c>
    </row>
    <row r="253" spans="1:2" x14ac:dyDescent="0.25">
      <c r="A253" s="12" t="s">
        <v>234</v>
      </c>
      <c r="B253" s="11">
        <v>-4148</v>
      </c>
    </row>
    <row r="254" spans="1:2" x14ac:dyDescent="0.25">
      <c r="A254" s="10" t="s">
        <v>235</v>
      </c>
      <c r="B254" s="11">
        <v>0</v>
      </c>
    </row>
    <row r="255" spans="1:2" x14ac:dyDescent="0.25">
      <c r="A255" s="12" t="s">
        <v>236</v>
      </c>
      <c r="B255" s="11">
        <v>119</v>
      </c>
    </row>
    <row r="256" spans="1:2" x14ac:dyDescent="0.25">
      <c r="A256" s="12" t="s">
        <v>237</v>
      </c>
      <c r="B256" s="11">
        <v>146</v>
      </c>
    </row>
    <row r="257" spans="1:2" x14ac:dyDescent="0.25">
      <c r="A257" s="12" t="s">
        <v>238</v>
      </c>
      <c r="B257" s="11">
        <v>544</v>
      </c>
    </row>
    <row r="258" spans="1:2" x14ac:dyDescent="0.25">
      <c r="A258" s="12" t="s">
        <v>239</v>
      </c>
      <c r="B258" s="11">
        <v>361</v>
      </c>
    </row>
    <row r="259" spans="1:2" x14ac:dyDescent="0.25">
      <c r="A259" s="12" t="s">
        <v>240</v>
      </c>
      <c r="B259" s="11">
        <v>209</v>
      </c>
    </row>
    <row r="260" spans="1:2" x14ac:dyDescent="0.25">
      <c r="A260" s="12" t="s">
        <v>241</v>
      </c>
      <c r="B260" s="11">
        <v>-1379</v>
      </c>
    </row>
    <row r="261" spans="1:2" x14ac:dyDescent="0.25">
      <c r="A261" s="10" t="s">
        <v>242</v>
      </c>
      <c r="B261" s="11">
        <v>0</v>
      </c>
    </row>
    <row r="262" spans="1:2" x14ac:dyDescent="0.25">
      <c r="A262" s="12" t="s">
        <v>243</v>
      </c>
      <c r="B262" s="11">
        <v>6</v>
      </c>
    </row>
    <row r="263" spans="1:2" x14ac:dyDescent="0.25">
      <c r="A263" s="12" t="s">
        <v>10</v>
      </c>
      <c r="B263" s="11">
        <v>-6</v>
      </c>
    </row>
    <row r="264" spans="1:2" x14ac:dyDescent="0.25">
      <c r="A264" s="10" t="s">
        <v>244</v>
      </c>
      <c r="B264" s="11">
        <v>0</v>
      </c>
    </row>
    <row r="265" spans="1:2" x14ac:dyDescent="0.25">
      <c r="A265" s="12" t="s">
        <v>245</v>
      </c>
      <c r="B265" s="11">
        <v>1184</v>
      </c>
    </row>
    <row r="266" spans="1:2" x14ac:dyDescent="0.25">
      <c r="A266" s="12" t="s">
        <v>246</v>
      </c>
      <c r="B266" s="11">
        <v>-1184</v>
      </c>
    </row>
    <row r="267" spans="1:2" x14ac:dyDescent="0.25">
      <c r="A267" s="10" t="s">
        <v>247</v>
      </c>
      <c r="B267" s="11">
        <v>0</v>
      </c>
    </row>
    <row r="268" spans="1:2" x14ac:dyDescent="0.25">
      <c r="A268" s="12" t="s">
        <v>248</v>
      </c>
      <c r="B268" s="11">
        <v>949</v>
      </c>
    </row>
    <row r="269" spans="1:2" x14ac:dyDescent="0.25">
      <c r="A269" s="12" t="s">
        <v>249</v>
      </c>
      <c r="B269" s="11">
        <v>432</v>
      </c>
    </row>
    <row r="270" spans="1:2" x14ac:dyDescent="0.25">
      <c r="A270" s="12" t="s">
        <v>250</v>
      </c>
      <c r="B270" s="11">
        <v>-1381</v>
      </c>
    </row>
    <row r="271" spans="1:2" x14ac:dyDescent="0.25">
      <c r="A271" s="10" t="s">
        <v>251</v>
      </c>
      <c r="B271" s="11">
        <v>0</v>
      </c>
    </row>
    <row r="272" spans="1:2" x14ac:dyDescent="0.25">
      <c r="A272" s="12" t="s">
        <v>252</v>
      </c>
      <c r="B272" s="11">
        <v>1191</v>
      </c>
    </row>
    <row r="273" spans="1:2" x14ac:dyDescent="0.25">
      <c r="A273" s="12" t="s">
        <v>253</v>
      </c>
      <c r="B273" s="11">
        <v>4216</v>
      </c>
    </row>
    <row r="274" spans="1:2" x14ac:dyDescent="0.25">
      <c r="A274" s="12" t="s">
        <v>254</v>
      </c>
      <c r="B274" s="11">
        <v>1667</v>
      </c>
    </row>
    <row r="275" spans="1:2" x14ac:dyDescent="0.25">
      <c r="A275" s="12" t="s">
        <v>255</v>
      </c>
      <c r="B275" s="11">
        <v>-7074</v>
      </c>
    </row>
    <row r="276" spans="1:2" x14ac:dyDescent="0.25">
      <c r="A276" s="10" t="s">
        <v>256</v>
      </c>
      <c r="B276" s="11">
        <v>0</v>
      </c>
    </row>
    <row r="277" spans="1:2" x14ac:dyDescent="0.25">
      <c r="A277" s="12" t="s">
        <v>257</v>
      </c>
      <c r="B277" s="11">
        <v>2</v>
      </c>
    </row>
    <row r="278" spans="1:2" x14ac:dyDescent="0.25">
      <c r="A278" s="12" t="s">
        <v>10</v>
      </c>
      <c r="B278" s="11">
        <v>-2</v>
      </c>
    </row>
    <row r="279" spans="1:2" x14ac:dyDescent="0.25">
      <c r="A279" s="10" t="s">
        <v>258</v>
      </c>
      <c r="B279" s="11">
        <v>0</v>
      </c>
    </row>
    <row r="280" spans="1:2" x14ac:dyDescent="0.25">
      <c r="A280" s="12" t="s">
        <v>259</v>
      </c>
      <c r="B280" s="11">
        <v>662</v>
      </c>
    </row>
    <row r="281" spans="1:2" x14ac:dyDescent="0.25">
      <c r="A281" s="12" t="s">
        <v>260</v>
      </c>
      <c r="B281" s="11">
        <v>258</v>
      </c>
    </row>
    <row r="282" spans="1:2" x14ac:dyDescent="0.25">
      <c r="A282" s="12" t="s">
        <v>261</v>
      </c>
      <c r="B282" s="11">
        <v>-920</v>
      </c>
    </row>
    <row r="283" spans="1:2" x14ac:dyDescent="0.25">
      <c r="A283" s="10" t="s">
        <v>262</v>
      </c>
      <c r="B283" s="11">
        <v>0</v>
      </c>
    </row>
    <row r="284" spans="1:2" x14ac:dyDescent="0.25">
      <c r="A284" s="12" t="s">
        <v>263</v>
      </c>
      <c r="B284" s="11">
        <v>39000</v>
      </c>
    </row>
    <row r="285" spans="1:2" x14ac:dyDescent="0.25">
      <c r="A285" s="12" t="s">
        <v>264</v>
      </c>
      <c r="B285" s="11">
        <v>1997</v>
      </c>
    </row>
    <row r="286" spans="1:2" x14ac:dyDescent="0.25">
      <c r="A286" s="12" t="s">
        <v>265</v>
      </c>
      <c r="B286" s="11">
        <v>2257</v>
      </c>
    </row>
    <row r="287" spans="1:2" x14ac:dyDescent="0.25">
      <c r="A287" s="12" t="s">
        <v>266</v>
      </c>
      <c r="B287" s="11">
        <v>-34000</v>
      </c>
    </row>
    <row r="288" spans="1:2" x14ac:dyDescent="0.25">
      <c r="A288" s="12" t="s">
        <v>267</v>
      </c>
      <c r="B288" s="11">
        <v>-9254</v>
      </c>
    </row>
    <row r="289" spans="1:2" x14ac:dyDescent="0.25">
      <c r="A289" s="10" t="s">
        <v>268</v>
      </c>
      <c r="B289" s="11">
        <v>0</v>
      </c>
    </row>
    <row r="290" spans="1:2" x14ac:dyDescent="0.25">
      <c r="A290" s="12" t="s">
        <v>269</v>
      </c>
      <c r="B290" s="11">
        <v>1</v>
      </c>
    </row>
    <row r="291" spans="1:2" x14ac:dyDescent="0.25">
      <c r="A291" s="12" t="s">
        <v>10</v>
      </c>
      <c r="B291" s="11">
        <v>-1</v>
      </c>
    </row>
    <row r="292" spans="1:2" x14ac:dyDescent="0.25">
      <c r="A292" s="10" t="s">
        <v>270</v>
      </c>
      <c r="B292" s="11">
        <v>0</v>
      </c>
    </row>
    <row r="293" spans="1:2" x14ac:dyDescent="0.25">
      <c r="A293" s="12" t="s">
        <v>271</v>
      </c>
      <c r="B293" s="11">
        <v>2249</v>
      </c>
    </row>
    <row r="294" spans="1:2" x14ac:dyDescent="0.25">
      <c r="A294" s="12" t="s">
        <v>272</v>
      </c>
      <c r="B294" s="11">
        <v>-2249</v>
      </c>
    </row>
    <row r="295" spans="1:2" x14ac:dyDescent="0.25">
      <c r="A295" s="10" t="s">
        <v>273</v>
      </c>
      <c r="B295" s="11">
        <v>0</v>
      </c>
    </row>
    <row r="296" spans="1:2" x14ac:dyDescent="0.25">
      <c r="A296" s="12" t="s">
        <v>274</v>
      </c>
      <c r="B296" s="11">
        <v>2918</v>
      </c>
    </row>
    <row r="297" spans="1:2" x14ac:dyDescent="0.25">
      <c r="A297" s="12" t="s">
        <v>275</v>
      </c>
      <c r="B297" s="11">
        <v>-2918</v>
      </c>
    </row>
    <row r="298" spans="1:2" x14ac:dyDescent="0.25">
      <c r="A298" s="10" t="s">
        <v>276</v>
      </c>
      <c r="B298" s="11">
        <v>0</v>
      </c>
    </row>
    <row r="299" spans="1:2" x14ac:dyDescent="0.25">
      <c r="A299" s="12" t="s">
        <v>277</v>
      </c>
      <c r="B299" s="11">
        <v>4194</v>
      </c>
    </row>
    <row r="300" spans="1:2" x14ac:dyDescent="0.25">
      <c r="A300" s="12" t="s">
        <v>278</v>
      </c>
      <c r="B300" s="11">
        <v>-4194</v>
      </c>
    </row>
    <row r="301" spans="1:2" x14ac:dyDescent="0.25">
      <c r="A301" s="10" t="s">
        <v>279</v>
      </c>
      <c r="B301" s="11">
        <v>0</v>
      </c>
    </row>
    <row r="302" spans="1:2" x14ac:dyDescent="0.25">
      <c r="A302" s="12" t="s">
        <v>280</v>
      </c>
      <c r="B302" s="11">
        <v>4905</v>
      </c>
    </row>
    <row r="303" spans="1:2" x14ac:dyDescent="0.25">
      <c r="A303" s="12" t="s">
        <v>281</v>
      </c>
      <c r="B303" s="11">
        <v>5760</v>
      </c>
    </row>
    <row r="304" spans="1:2" x14ac:dyDescent="0.25">
      <c r="A304" s="12" t="s">
        <v>282</v>
      </c>
      <c r="B304" s="11">
        <v>4597</v>
      </c>
    </row>
    <row r="305" spans="1:2" x14ac:dyDescent="0.25">
      <c r="A305" s="12" t="s">
        <v>283</v>
      </c>
      <c r="B305" s="11">
        <v>-15262</v>
      </c>
    </row>
    <row r="306" spans="1:2" x14ac:dyDescent="0.25">
      <c r="A306" s="10" t="s">
        <v>284</v>
      </c>
      <c r="B306" s="11">
        <v>0</v>
      </c>
    </row>
    <row r="307" spans="1:2" x14ac:dyDescent="0.25">
      <c r="A307" s="12" t="s">
        <v>285</v>
      </c>
      <c r="B307" s="11">
        <v>17837</v>
      </c>
    </row>
    <row r="308" spans="1:2" x14ac:dyDescent="0.25">
      <c r="A308" s="12" t="s">
        <v>286</v>
      </c>
      <c r="B308" s="11">
        <v>24633</v>
      </c>
    </row>
    <row r="309" spans="1:2" x14ac:dyDescent="0.25">
      <c r="A309" s="12" t="s">
        <v>287</v>
      </c>
      <c r="B309" s="11">
        <v>28547</v>
      </c>
    </row>
    <row r="310" spans="1:2" x14ac:dyDescent="0.25">
      <c r="A310" s="12" t="s">
        <v>288</v>
      </c>
      <c r="B310" s="11">
        <v>17113</v>
      </c>
    </row>
    <row r="311" spans="1:2" x14ac:dyDescent="0.25">
      <c r="A311" s="12" t="s">
        <v>289</v>
      </c>
      <c r="B311" s="11">
        <v>-88130</v>
      </c>
    </row>
    <row r="312" spans="1:2" x14ac:dyDescent="0.25">
      <c r="A312" s="10" t="s">
        <v>290</v>
      </c>
      <c r="B312" s="11">
        <v>0</v>
      </c>
    </row>
    <row r="313" spans="1:2" x14ac:dyDescent="0.25">
      <c r="A313" s="12" t="s">
        <v>291</v>
      </c>
      <c r="B313" s="11">
        <v>3035</v>
      </c>
    </row>
    <row r="314" spans="1:2" x14ac:dyDescent="0.25">
      <c r="A314" s="12" t="s">
        <v>292</v>
      </c>
      <c r="B314" s="11">
        <v>-3035</v>
      </c>
    </row>
    <row r="315" spans="1:2" x14ac:dyDescent="0.25">
      <c r="A315" s="10" t="s">
        <v>293</v>
      </c>
      <c r="B315" s="11">
        <v>0</v>
      </c>
    </row>
    <row r="316" spans="1:2" x14ac:dyDescent="0.25">
      <c r="A316" s="12" t="s">
        <v>294</v>
      </c>
      <c r="B316" s="11">
        <v>1837</v>
      </c>
    </row>
    <row r="317" spans="1:2" x14ac:dyDescent="0.25">
      <c r="A317" s="12" t="s">
        <v>295</v>
      </c>
      <c r="B317" s="11">
        <v>-1837</v>
      </c>
    </row>
    <row r="318" spans="1:2" x14ac:dyDescent="0.25">
      <c r="A318" s="10" t="s">
        <v>296</v>
      </c>
      <c r="B318" s="11">
        <v>0</v>
      </c>
    </row>
    <row r="319" spans="1:2" x14ac:dyDescent="0.25">
      <c r="A319" s="12" t="s">
        <v>297</v>
      </c>
      <c r="B319" s="11">
        <v>4216</v>
      </c>
    </row>
    <row r="320" spans="1:2" x14ac:dyDescent="0.25">
      <c r="A320" s="12" t="s">
        <v>298</v>
      </c>
      <c r="B320" s="11">
        <v>-4216</v>
      </c>
    </row>
    <row r="321" spans="1:2" x14ac:dyDescent="0.25">
      <c r="A321" s="10" t="s">
        <v>299</v>
      </c>
      <c r="B321" s="11">
        <v>0</v>
      </c>
    </row>
    <row r="322" spans="1:2" x14ac:dyDescent="0.25">
      <c r="A322" s="12" t="s">
        <v>300</v>
      </c>
      <c r="B322" s="11">
        <v>52</v>
      </c>
    </row>
    <row r="323" spans="1:2" x14ac:dyDescent="0.25">
      <c r="A323" s="12" t="s">
        <v>301</v>
      </c>
      <c r="B323" s="11">
        <v>-52</v>
      </c>
    </row>
    <row r="324" spans="1:2" x14ac:dyDescent="0.25">
      <c r="A324" s="10" t="s">
        <v>302</v>
      </c>
      <c r="B324" s="11">
        <v>0</v>
      </c>
    </row>
    <row r="325" spans="1:2" x14ac:dyDescent="0.25">
      <c r="A325" s="12" t="s">
        <v>303</v>
      </c>
      <c r="B325" s="11">
        <v>2889</v>
      </c>
    </row>
    <row r="326" spans="1:2" x14ac:dyDescent="0.25">
      <c r="A326" s="12" t="s">
        <v>304</v>
      </c>
      <c r="B326" s="11">
        <v>-2889</v>
      </c>
    </row>
    <row r="327" spans="1:2" x14ac:dyDescent="0.25">
      <c r="A327" s="10" t="s">
        <v>305</v>
      </c>
      <c r="B327" s="11">
        <v>0</v>
      </c>
    </row>
    <row r="328" spans="1:2" x14ac:dyDescent="0.25">
      <c r="A328" s="12" t="s">
        <v>306</v>
      </c>
      <c r="B328" s="11">
        <v>1841</v>
      </c>
    </row>
    <row r="329" spans="1:2" x14ac:dyDescent="0.25">
      <c r="A329" s="12" t="s">
        <v>307</v>
      </c>
      <c r="B329" s="11">
        <v>-1841</v>
      </c>
    </row>
    <row r="330" spans="1:2" x14ac:dyDescent="0.25">
      <c r="A330" s="10" t="s">
        <v>308</v>
      </c>
      <c r="B330" s="11">
        <v>0</v>
      </c>
    </row>
    <row r="331" spans="1:2" x14ac:dyDescent="0.25">
      <c r="A331" s="12" t="s">
        <v>309</v>
      </c>
      <c r="B331" s="11">
        <v>644</v>
      </c>
    </row>
    <row r="332" spans="1:2" x14ac:dyDescent="0.25">
      <c r="A332" s="12" t="s">
        <v>310</v>
      </c>
      <c r="B332" s="11">
        <v>-644</v>
      </c>
    </row>
    <row r="333" spans="1:2" x14ac:dyDescent="0.25">
      <c r="A333" s="10" t="s">
        <v>311</v>
      </c>
      <c r="B333" s="11">
        <v>0</v>
      </c>
    </row>
    <row r="334" spans="1:2" x14ac:dyDescent="0.25">
      <c r="A334" s="12" t="s">
        <v>312</v>
      </c>
      <c r="B334" s="11">
        <v>2237</v>
      </c>
    </row>
    <row r="335" spans="1:2" x14ac:dyDescent="0.25">
      <c r="A335" s="12" t="s">
        <v>313</v>
      </c>
      <c r="B335" s="11">
        <v>-2237</v>
      </c>
    </row>
    <row r="336" spans="1:2" x14ac:dyDescent="0.25">
      <c r="A336" s="10" t="s">
        <v>314</v>
      </c>
      <c r="B336" s="11">
        <v>0</v>
      </c>
    </row>
    <row r="337" spans="1:2" x14ac:dyDescent="0.25">
      <c r="A337" s="12" t="s">
        <v>315</v>
      </c>
      <c r="B337" s="11">
        <v>2839</v>
      </c>
    </row>
    <row r="338" spans="1:2" x14ac:dyDescent="0.25">
      <c r="A338" s="12" t="s">
        <v>316</v>
      </c>
      <c r="B338" s="11">
        <v>2861</v>
      </c>
    </row>
    <row r="339" spans="1:2" x14ac:dyDescent="0.25">
      <c r="A339" s="12" t="s">
        <v>317</v>
      </c>
      <c r="B339" s="11">
        <v>2769</v>
      </c>
    </row>
    <row r="340" spans="1:2" x14ac:dyDescent="0.25">
      <c r="A340" s="12" t="s">
        <v>318</v>
      </c>
      <c r="B340" s="11">
        <v>2372</v>
      </c>
    </row>
    <row r="341" spans="1:2" x14ac:dyDescent="0.25">
      <c r="A341" s="12" t="s">
        <v>319</v>
      </c>
      <c r="B341" s="11">
        <v>3953</v>
      </c>
    </row>
    <row r="342" spans="1:2" x14ac:dyDescent="0.25">
      <c r="A342" s="12" t="s">
        <v>320</v>
      </c>
      <c r="B342" s="11">
        <v>3950</v>
      </c>
    </row>
    <row r="343" spans="1:2" x14ac:dyDescent="0.25">
      <c r="A343" s="12" t="s">
        <v>321</v>
      </c>
      <c r="B343" s="11">
        <v>4636</v>
      </c>
    </row>
    <row r="344" spans="1:2" x14ac:dyDescent="0.25">
      <c r="A344" s="12" t="s">
        <v>322</v>
      </c>
      <c r="B344" s="11">
        <v>3873</v>
      </c>
    </row>
    <row r="345" spans="1:2" x14ac:dyDescent="0.25">
      <c r="A345" s="12" t="s">
        <v>323</v>
      </c>
      <c r="B345" s="11">
        <v>3641</v>
      </c>
    </row>
    <row r="346" spans="1:2" x14ac:dyDescent="0.25">
      <c r="A346" s="12" t="s">
        <v>324</v>
      </c>
      <c r="B346" s="11">
        <v>4101</v>
      </c>
    </row>
    <row r="347" spans="1:2" x14ac:dyDescent="0.25">
      <c r="A347" s="12" t="s">
        <v>325</v>
      </c>
      <c r="B347" s="11">
        <v>3737</v>
      </c>
    </row>
    <row r="348" spans="1:2" x14ac:dyDescent="0.25">
      <c r="A348" s="12" t="s">
        <v>326</v>
      </c>
      <c r="B348" s="11">
        <v>4797</v>
      </c>
    </row>
    <row r="349" spans="1:2" x14ac:dyDescent="0.25">
      <c r="A349" s="12" t="s">
        <v>327</v>
      </c>
      <c r="B349" s="11">
        <v>-43529</v>
      </c>
    </row>
    <row r="350" spans="1:2" x14ac:dyDescent="0.25">
      <c r="A350" s="10" t="s">
        <v>328</v>
      </c>
      <c r="B350" s="11">
        <v>0</v>
      </c>
    </row>
    <row r="351" spans="1:2" x14ac:dyDescent="0.25">
      <c r="A351" s="12" t="s">
        <v>329</v>
      </c>
      <c r="B351" s="11">
        <v>88</v>
      </c>
    </row>
    <row r="352" spans="1:2" x14ac:dyDescent="0.25">
      <c r="A352" s="12" t="s">
        <v>330</v>
      </c>
      <c r="B352" s="11">
        <v>492</v>
      </c>
    </row>
    <row r="353" spans="1:2" x14ac:dyDescent="0.25">
      <c r="A353" s="12" t="s">
        <v>331</v>
      </c>
      <c r="B353" s="11">
        <v>-580</v>
      </c>
    </row>
    <row r="354" spans="1:2" x14ac:dyDescent="0.25">
      <c r="A354" s="10" t="s">
        <v>332</v>
      </c>
      <c r="B354" s="11">
        <v>0</v>
      </c>
    </row>
    <row r="355" spans="1:2" x14ac:dyDescent="0.25">
      <c r="A355" s="12" t="s">
        <v>333</v>
      </c>
      <c r="B355" s="11">
        <v>8116</v>
      </c>
    </row>
    <row r="356" spans="1:2" x14ac:dyDescent="0.25">
      <c r="A356" s="12" t="s">
        <v>334</v>
      </c>
      <c r="B356" s="11">
        <v>-8116</v>
      </c>
    </row>
    <row r="357" spans="1:2" x14ac:dyDescent="0.25">
      <c r="A357" s="10" t="s">
        <v>335</v>
      </c>
      <c r="B357" s="11">
        <v>0</v>
      </c>
    </row>
    <row r="358" spans="1:2" x14ac:dyDescent="0.25">
      <c r="A358" s="12" t="s">
        <v>336</v>
      </c>
      <c r="B358" s="11">
        <v>1524</v>
      </c>
    </row>
    <row r="359" spans="1:2" x14ac:dyDescent="0.25">
      <c r="A359" s="12" t="s">
        <v>337</v>
      </c>
      <c r="B359" s="11">
        <v>989</v>
      </c>
    </row>
    <row r="360" spans="1:2" x14ac:dyDescent="0.25">
      <c r="A360" s="12" t="s">
        <v>338</v>
      </c>
      <c r="B360" s="11">
        <v>1255</v>
      </c>
    </row>
    <row r="361" spans="1:2" x14ac:dyDescent="0.25">
      <c r="A361" s="12" t="s">
        <v>339</v>
      </c>
      <c r="B361" s="11">
        <v>756</v>
      </c>
    </row>
    <row r="362" spans="1:2" x14ac:dyDescent="0.25">
      <c r="A362" s="12" t="s">
        <v>340</v>
      </c>
      <c r="B362" s="11">
        <v>-4524</v>
      </c>
    </row>
    <row r="363" spans="1:2" x14ac:dyDescent="0.25">
      <c r="A363" s="10" t="s">
        <v>341</v>
      </c>
      <c r="B363" s="11">
        <v>0</v>
      </c>
    </row>
    <row r="364" spans="1:2" x14ac:dyDescent="0.25">
      <c r="A364" s="12" t="s">
        <v>342</v>
      </c>
      <c r="B364" s="11">
        <v>795</v>
      </c>
    </row>
    <row r="365" spans="1:2" x14ac:dyDescent="0.25">
      <c r="A365" s="12" t="s">
        <v>343</v>
      </c>
      <c r="B365" s="11">
        <v>943</v>
      </c>
    </row>
    <row r="366" spans="1:2" x14ac:dyDescent="0.25">
      <c r="A366" s="12" t="s">
        <v>344</v>
      </c>
      <c r="B366" s="11">
        <v>1438</v>
      </c>
    </row>
    <row r="367" spans="1:2" x14ac:dyDescent="0.25">
      <c r="A367" s="12" t="s">
        <v>345</v>
      </c>
      <c r="B367" s="11">
        <v>-3176</v>
      </c>
    </row>
    <row r="368" spans="1:2" x14ac:dyDescent="0.25">
      <c r="A368" s="10" t="s">
        <v>346</v>
      </c>
      <c r="B368" s="11">
        <v>0</v>
      </c>
    </row>
    <row r="369" spans="1:2" x14ac:dyDescent="0.25">
      <c r="A369" s="12" t="s">
        <v>347</v>
      </c>
      <c r="B369" s="11">
        <v>1554</v>
      </c>
    </row>
    <row r="370" spans="1:2" x14ac:dyDescent="0.25">
      <c r="A370" s="12" t="s">
        <v>348</v>
      </c>
      <c r="B370" s="11">
        <v>-1554</v>
      </c>
    </row>
    <row r="371" spans="1:2" x14ac:dyDescent="0.25">
      <c r="A371" s="10" t="s">
        <v>349</v>
      </c>
      <c r="B371" s="11">
        <v>0</v>
      </c>
    </row>
    <row r="372" spans="1:2" x14ac:dyDescent="0.25">
      <c r="A372" s="12" t="s">
        <v>350</v>
      </c>
      <c r="B372" s="11">
        <v>454</v>
      </c>
    </row>
    <row r="373" spans="1:2" x14ac:dyDescent="0.25">
      <c r="A373" s="12" t="s">
        <v>10</v>
      </c>
      <c r="B373" s="11">
        <v>-454</v>
      </c>
    </row>
    <row r="374" spans="1:2" x14ac:dyDescent="0.25">
      <c r="A374" s="10" t="s">
        <v>351</v>
      </c>
      <c r="B374" s="11">
        <v>0</v>
      </c>
    </row>
    <row r="375" spans="1:2" x14ac:dyDescent="0.25">
      <c r="A375" s="12" t="s">
        <v>352</v>
      </c>
      <c r="B375" s="11">
        <v>8</v>
      </c>
    </row>
    <row r="376" spans="1:2" x14ac:dyDescent="0.25">
      <c r="A376" s="12" t="s">
        <v>353</v>
      </c>
      <c r="B376" s="11">
        <v>71</v>
      </c>
    </row>
    <row r="377" spans="1:2" x14ac:dyDescent="0.25">
      <c r="A377" s="12" t="s">
        <v>354</v>
      </c>
      <c r="B377" s="11">
        <v>23</v>
      </c>
    </row>
    <row r="378" spans="1:2" x14ac:dyDescent="0.25">
      <c r="A378" s="12" t="s">
        <v>10</v>
      </c>
      <c r="B378" s="11">
        <v>-102</v>
      </c>
    </row>
    <row r="379" spans="1:2" x14ac:dyDescent="0.25">
      <c r="A379" s="10" t="s">
        <v>355</v>
      </c>
      <c r="B379" s="11">
        <v>0</v>
      </c>
    </row>
    <row r="380" spans="1:2" x14ac:dyDescent="0.25">
      <c r="A380" s="12" t="s">
        <v>356</v>
      </c>
      <c r="B380" s="11">
        <v>4082</v>
      </c>
    </row>
    <row r="381" spans="1:2" x14ac:dyDescent="0.25">
      <c r="A381" s="12" t="s">
        <v>357</v>
      </c>
      <c r="B381" s="11">
        <v>3238</v>
      </c>
    </row>
    <row r="382" spans="1:2" x14ac:dyDescent="0.25">
      <c r="A382" s="12" t="s">
        <v>358</v>
      </c>
      <c r="B382" s="11">
        <v>2330</v>
      </c>
    </row>
    <row r="383" spans="1:2" x14ac:dyDescent="0.25">
      <c r="A383" s="12" t="s">
        <v>359</v>
      </c>
      <c r="B383" s="11">
        <v>-9650</v>
      </c>
    </row>
    <row r="384" spans="1:2" x14ac:dyDescent="0.25">
      <c r="A384" s="10" t="s">
        <v>360</v>
      </c>
      <c r="B384" s="11">
        <v>0</v>
      </c>
    </row>
    <row r="385" spans="1:2" x14ac:dyDescent="0.25">
      <c r="A385" s="12" t="s">
        <v>361</v>
      </c>
      <c r="B385" s="11">
        <v>3054</v>
      </c>
    </row>
    <row r="386" spans="1:2" x14ac:dyDescent="0.25">
      <c r="A386" s="12" t="s">
        <v>362</v>
      </c>
      <c r="B386" s="11">
        <v>3832</v>
      </c>
    </row>
    <row r="387" spans="1:2" x14ac:dyDescent="0.25">
      <c r="A387" s="12" t="s">
        <v>363</v>
      </c>
      <c r="B387" s="11">
        <v>3547</v>
      </c>
    </row>
    <row r="388" spans="1:2" x14ac:dyDescent="0.25">
      <c r="A388" s="12" t="s">
        <v>364</v>
      </c>
      <c r="B388" s="11">
        <v>-10433</v>
      </c>
    </row>
    <row r="389" spans="1:2" x14ac:dyDescent="0.25">
      <c r="A389" s="10" t="s">
        <v>365</v>
      </c>
      <c r="B389" s="11">
        <v>0</v>
      </c>
    </row>
    <row r="390" spans="1:2" x14ac:dyDescent="0.25">
      <c r="A390" s="12" t="s">
        <v>366</v>
      </c>
      <c r="B390" s="11">
        <v>1249</v>
      </c>
    </row>
    <row r="391" spans="1:2" x14ac:dyDescent="0.25">
      <c r="A391" s="12" t="s">
        <v>367</v>
      </c>
      <c r="B391" s="11">
        <v>451</v>
      </c>
    </row>
    <row r="392" spans="1:2" x14ac:dyDescent="0.25">
      <c r="A392" s="12" t="s">
        <v>368</v>
      </c>
      <c r="B392" s="11">
        <v>336</v>
      </c>
    </row>
    <row r="393" spans="1:2" x14ac:dyDescent="0.25">
      <c r="A393" s="12" t="s">
        <v>369</v>
      </c>
      <c r="B393" s="11">
        <v>-2036</v>
      </c>
    </row>
    <row r="394" spans="1:2" x14ac:dyDescent="0.25">
      <c r="A394" s="10" t="s">
        <v>370</v>
      </c>
      <c r="B394" s="11">
        <v>0</v>
      </c>
    </row>
    <row r="395" spans="1:2" x14ac:dyDescent="0.25">
      <c r="A395" s="12" t="s">
        <v>371</v>
      </c>
      <c r="B395" s="11">
        <v>2578</v>
      </c>
    </row>
    <row r="396" spans="1:2" x14ac:dyDescent="0.25">
      <c r="A396" s="12" t="s">
        <v>372</v>
      </c>
      <c r="B396" s="11">
        <v>2582</v>
      </c>
    </row>
    <row r="397" spans="1:2" x14ac:dyDescent="0.25">
      <c r="A397" s="12" t="s">
        <v>373</v>
      </c>
      <c r="B397" s="11">
        <v>3265</v>
      </c>
    </row>
    <row r="398" spans="1:2" x14ac:dyDescent="0.25">
      <c r="A398" s="12" t="s">
        <v>374</v>
      </c>
      <c r="B398" s="11">
        <v>-8425</v>
      </c>
    </row>
    <row r="399" spans="1:2" x14ac:dyDescent="0.25">
      <c r="A399" s="10" t="s">
        <v>375</v>
      </c>
      <c r="B399" s="11">
        <v>0</v>
      </c>
    </row>
    <row r="400" spans="1:2" x14ac:dyDescent="0.25">
      <c r="A400" s="12" t="s">
        <v>376</v>
      </c>
      <c r="B400" s="11">
        <v>6391</v>
      </c>
    </row>
    <row r="401" spans="1:2" x14ac:dyDescent="0.25">
      <c r="A401" s="12" t="s">
        <v>377</v>
      </c>
      <c r="B401" s="11">
        <v>6452</v>
      </c>
    </row>
    <row r="402" spans="1:2" x14ac:dyDescent="0.25">
      <c r="A402" s="12" t="s">
        <v>378</v>
      </c>
      <c r="B402" s="11">
        <v>6193</v>
      </c>
    </row>
    <row r="403" spans="1:2" x14ac:dyDescent="0.25">
      <c r="A403" s="12" t="s">
        <v>379</v>
      </c>
      <c r="B403" s="11">
        <v>-19036</v>
      </c>
    </row>
    <row r="404" spans="1:2" x14ac:dyDescent="0.25">
      <c r="A404" s="10" t="s">
        <v>380</v>
      </c>
      <c r="B404" s="11">
        <v>0</v>
      </c>
    </row>
    <row r="405" spans="1:2" x14ac:dyDescent="0.25">
      <c r="A405" s="12" t="s">
        <v>381</v>
      </c>
      <c r="B405" s="11">
        <v>1323</v>
      </c>
    </row>
    <row r="406" spans="1:2" x14ac:dyDescent="0.25">
      <c r="A406" s="12" t="s">
        <v>382</v>
      </c>
      <c r="B406" s="11">
        <v>-1323</v>
      </c>
    </row>
    <row r="407" spans="1:2" x14ac:dyDescent="0.25">
      <c r="A407" s="10" t="s">
        <v>383</v>
      </c>
      <c r="B407" s="11">
        <v>0</v>
      </c>
    </row>
    <row r="408" spans="1:2" x14ac:dyDescent="0.25">
      <c r="A408" s="12" t="s">
        <v>384</v>
      </c>
      <c r="B408" s="11">
        <v>557</v>
      </c>
    </row>
    <row r="409" spans="1:2" x14ac:dyDescent="0.25">
      <c r="A409" s="12" t="s">
        <v>10</v>
      </c>
      <c r="B409" s="11">
        <v>-557</v>
      </c>
    </row>
    <row r="410" spans="1:2" x14ac:dyDescent="0.25">
      <c r="A410" s="10" t="s">
        <v>385</v>
      </c>
      <c r="B410" s="11">
        <v>0</v>
      </c>
    </row>
    <row r="411" spans="1:2" x14ac:dyDescent="0.25">
      <c r="A411" s="12" t="s">
        <v>386</v>
      </c>
      <c r="B411" s="11">
        <v>1994</v>
      </c>
    </row>
    <row r="412" spans="1:2" x14ac:dyDescent="0.25">
      <c r="A412" s="12" t="s">
        <v>387</v>
      </c>
      <c r="B412" s="11">
        <v>2020</v>
      </c>
    </row>
    <row r="413" spans="1:2" x14ac:dyDescent="0.25">
      <c r="A413" s="12" t="s">
        <v>388</v>
      </c>
      <c r="B413" s="11">
        <v>1571</v>
      </c>
    </row>
    <row r="414" spans="1:2" x14ac:dyDescent="0.25">
      <c r="A414" s="12" t="s">
        <v>389</v>
      </c>
      <c r="B414" s="11">
        <v>1649</v>
      </c>
    </row>
    <row r="415" spans="1:2" x14ac:dyDescent="0.25">
      <c r="A415" s="12" t="s">
        <v>390</v>
      </c>
      <c r="B415" s="11">
        <v>1500</v>
      </c>
    </row>
    <row r="416" spans="1:2" x14ac:dyDescent="0.25">
      <c r="A416" s="12" t="s">
        <v>391</v>
      </c>
      <c r="B416" s="11">
        <v>1063</v>
      </c>
    </row>
    <row r="417" spans="1:2" x14ac:dyDescent="0.25">
      <c r="A417" s="12" t="s">
        <v>392</v>
      </c>
      <c r="B417" s="11">
        <v>1700</v>
      </c>
    </row>
    <row r="418" spans="1:2" x14ac:dyDescent="0.25">
      <c r="A418" s="12" t="s">
        <v>393</v>
      </c>
      <c r="B418" s="11">
        <v>1116</v>
      </c>
    </row>
    <row r="419" spans="1:2" x14ac:dyDescent="0.25">
      <c r="A419" s="12" t="s">
        <v>394</v>
      </c>
      <c r="B419" s="11">
        <v>1572</v>
      </c>
    </row>
    <row r="420" spans="1:2" x14ac:dyDescent="0.25">
      <c r="A420" s="12" t="s">
        <v>395</v>
      </c>
      <c r="B420" s="11">
        <v>2924</v>
      </c>
    </row>
    <row r="421" spans="1:2" x14ac:dyDescent="0.25">
      <c r="A421" s="12" t="s">
        <v>396</v>
      </c>
      <c r="B421" s="11">
        <v>2673</v>
      </c>
    </row>
    <row r="422" spans="1:2" x14ac:dyDescent="0.25">
      <c r="A422" s="12" t="s">
        <v>397</v>
      </c>
      <c r="B422" s="11">
        <v>2702</v>
      </c>
    </row>
    <row r="423" spans="1:2" x14ac:dyDescent="0.25">
      <c r="A423" s="12" t="s">
        <v>398</v>
      </c>
      <c r="B423" s="11">
        <v>-22484</v>
      </c>
    </row>
    <row r="424" spans="1:2" x14ac:dyDescent="0.25">
      <c r="A424" s="10" t="s">
        <v>399</v>
      </c>
      <c r="B424" s="11">
        <v>0</v>
      </c>
    </row>
    <row r="425" spans="1:2" x14ac:dyDescent="0.25">
      <c r="A425" s="12" t="s">
        <v>400</v>
      </c>
      <c r="B425" s="11">
        <v>1251</v>
      </c>
    </row>
    <row r="426" spans="1:2" x14ac:dyDescent="0.25">
      <c r="A426" s="12" t="s">
        <v>401</v>
      </c>
      <c r="B426" s="11">
        <v>2623</v>
      </c>
    </row>
    <row r="427" spans="1:2" x14ac:dyDescent="0.25">
      <c r="A427" s="12" t="s">
        <v>402</v>
      </c>
      <c r="B427" s="11">
        <v>617</v>
      </c>
    </row>
    <row r="428" spans="1:2" x14ac:dyDescent="0.25">
      <c r="A428" s="12" t="s">
        <v>403</v>
      </c>
      <c r="B428" s="11">
        <v>614</v>
      </c>
    </row>
    <row r="429" spans="1:2" x14ac:dyDescent="0.25">
      <c r="A429" s="12" t="s">
        <v>404</v>
      </c>
      <c r="B429" s="11">
        <v>802</v>
      </c>
    </row>
    <row r="430" spans="1:2" x14ac:dyDescent="0.25">
      <c r="A430" s="12" t="s">
        <v>405</v>
      </c>
      <c r="B430" s="11">
        <v>738</v>
      </c>
    </row>
    <row r="431" spans="1:2" x14ac:dyDescent="0.25">
      <c r="A431" s="12" t="s">
        <v>406</v>
      </c>
      <c r="B431" s="11">
        <v>-6645</v>
      </c>
    </row>
    <row r="432" spans="1:2" x14ac:dyDescent="0.25">
      <c r="A432" s="10" t="s">
        <v>407</v>
      </c>
      <c r="B432" s="11">
        <v>0</v>
      </c>
    </row>
    <row r="433" spans="1:2" x14ac:dyDescent="0.25">
      <c r="A433" s="12" t="s">
        <v>408</v>
      </c>
      <c r="B433" s="11">
        <v>23826</v>
      </c>
    </row>
    <row r="434" spans="1:2" x14ac:dyDescent="0.25">
      <c r="A434" s="12" t="s">
        <v>409</v>
      </c>
      <c r="B434" s="11">
        <v>2524</v>
      </c>
    </row>
    <row r="435" spans="1:2" x14ac:dyDescent="0.25">
      <c r="A435" s="12" t="s">
        <v>410</v>
      </c>
      <c r="B435" s="11">
        <v>-2524</v>
      </c>
    </row>
    <row r="436" spans="1:2" x14ac:dyDescent="0.25">
      <c r="A436" s="12" t="s">
        <v>411</v>
      </c>
      <c r="B436" s="11">
        <v>-23826</v>
      </c>
    </row>
    <row r="437" spans="1:2" x14ac:dyDescent="0.25">
      <c r="A437" s="10" t="s">
        <v>412</v>
      </c>
      <c r="B437" s="11">
        <v>0</v>
      </c>
    </row>
    <row r="438" spans="1:2" x14ac:dyDescent="0.25">
      <c r="A438" s="12" t="s">
        <v>413</v>
      </c>
      <c r="B438" s="11">
        <v>115000</v>
      </c>
    </row>
    <row r="439" spans="1:2" x14ac:dyDescent="0.25">
      <c r="A439" s="12" t="s">
        <v>414</v>
      </c>
      <c r="B439" s="11">
        <v>7695</v>
      </c>
    </row>
    <row r="440" spans="1:2" x14ac:dyDescent="0.25">
      <c r="A440" s="12" t="s">
        <v>415</v>
      </c>
      <c r="B440" s="11">
        <v>-7696</v>
      </c>
    </row>
    <row r="441" spans="1:2" x14ac:dyDescent="0.25">
      <c r="A441" s="12" t="s">
        <v>416</v>
      </c>
      <c r="B441" s="11">
        <v>-114999</v>
      </c>
    </row>
    <row r="442" spans="1:2" x14ac:dyDescent="0.25">
      <c r="A442" s="10" t="s">
        <v>417</v>
      </c>
      <c r="B442" s="11">
        <v>0</v>
      </c>
    </row>
    <row r="443" spans="1:2" x14ac:dyDescent="0.25">
      <c r="A443" s="12" t="s">
        <v>418</v>
      </c>
      <c r="B443" s="11">
        <v>95000</v>
      </c>
    </row>
    <row r="444" spans="1:2" x14ac:dyDescent="0.25">
      <c r="A444" s="12" t="s">
        <v>419</v>
      </c>
      <c r="B444" s="11">
        <v>3330</v>
      </c>
    </row>
    <row r="445" spans="1:2" x14ac:dyDescent="0.25">
      <c r="A445" s="12" t="s">
        <v>420</v>
      </c>
      <c r="B445" s="11">
        <v>3425</v>
      </c>
    </row>
    <row r="446" spans="1:2" x14ac:dyDescent="0.25">
      <c r="A446" s="12" t="s">
        <v>421</v>
      </c>
      <c r="B446" s="11">
        <v>3978</v>
      </c>
    </row>
    <row r="447" spans="1:2" x14ac:dyDescent="0.25">
      <c r="A447" s="12" t="s">
        <v>422</v>
      </c>
      <c r="B447" s="11">
        <v>5638</v>
      </c>
    </row>
    <row r="448" spans="1:2" x14ac:dyDescent="0.25">
      <c r="A448" s="12" t="s">
        <v>423</v>
      </c>
      <c r="B448" s="11">
        <v>-111371</v>
      </c>
    </row>
    <row r="449" spans="1:2" x14ac:dyDescent="0.25">
      <c r="A449" s="10" t="s">
        <v>424</v>
      </c>
      <c r="B449" s="11">
        <v>0</v>
      </c>
    </row>
    <row r="450" spans="1:2" x14ac:dyDescent="0.25">
      <c r="A450" s="12" t="s">
        <v>425</v>
      </c>
      <c r="B450" s="11">
        <v>111000</v>
      </c>
    </row>
    <row r="451" spans="1:2" x14ac:dyDescent="0.25">
      <c r="A451" s="12" t="s">
        <v>426</v>
      </c>
      <c r="B451" s="11">
        <v>3084</v>
      </c>
    </row>
    <row r="452" spans="1:2" x14ac:dyDescent="0.25">
      <c r="A452" s="12" t="s">
        <v>427</v>
      </c>
      <c r="B452" s="11">
        <v>-114084</v>
      </c>
    </row>
    <row r="453" spans="1:2" x14ac:dyDescent="0.25">
      <c r="A453" s="10" t="s">
        <v>428</v>
      </c>
      <c r="B453" s="11">
        <v>0</v>
      </c>
    </row>
    <row r="454" spans="1:2" x14ac:dyDescent="0.25">
      <c r="A454" s="12" t="s">
        <v>429</v>
      </c>
      <c r="B454" s="11">
        <v>55000</v>
      </c>
    </row>
    <row r="455" spans="1:2" x14ac:dyDescent="0.25">
      <c r="A455" s="12" t="s">
        <v>430</v>
      </c>
      <c r="B455" s="11">
        <v>1173</v>
      </c>
    </row>
    <row r="456" spans="1:2" x14ac:dyDescent="0.25">
      <c r="A456" s="12" t="s">
        <v>431</v>
      </c>
      <c r="B456" s="11">
        <v>-56173</v>
      </c>
    </row>
    <row r="457" spans="1:2" x14ac:dyDescent="0.25">
      <c r="A457" s="10" t="s">
        <v>432</v>
      </c>
      <c r="B457" s="11">
        <v>0</v>
      </c>
    </row>
    <row r="458" spans="1:2" x14ac:dyDescent="0.25">
      <c r="A458" s="12" t="s">
        <v>433</v>
      </c>
      <c r="B458" s="11">
        <v>57000</v>
      </c>
    </row>
    <row r="459" spans="1:2" x14ac:dyDescent="0.25">
      <c r="A459" s="12" t="s">
        <v>434</v>
      </c>
      <c r="B459" s="11">
        <v>1132</v>
      </c>
    </row>
    <row r="460" spans="1:2" x14ac:dyDescent="0.25">
      <c r="A460" s="12" t="s">
        <v>435</v>
      </c>
      <c r="B460" s="11">
        <v>2001</v>
      </c>
    </row>
    <row r="461" spans="1:2" x14ac:dyDescent="0.25">
      <c r="A461" s="12" t="s">
        <v>436</v>
      </c>
      <c r="B461" s="11">
        <v>1887</v>
      </c>
    </row>
    <row r="462" spans="1:2" x14ac:dyDescent="0.25">
      <c r="A462" s="12" t="s">
        <v>437</v>
      </c>
      <c r="B462" s="11">
        <v>2371</v>
      </c>
    </row>
    <row r="463" spans="1:2" x14ac:dyDescent="0.25">
      <c r="A463" s="12" t="s">
        <v>438</v>
      </c>
      <c r="B463" s="11">
        <v>2607</v>
      </c>
    </row>
    <row r="464" spans="1:2" x14ac:dyDescent="0.25">
      <c r="A464" s="12" t="s">
        <v>439</v>
      </c>
      <c r="B464" s="11">
        <v>-66998</v>
      </c>
    </row>
    <row r="465" spans="1:2" x14ac:dyDescent="0.25">
      <c r="A465" s="10" t="s">
        <v>440</v>
      </c>
      <c r="B465" s="11">
        <v>0</v>
      </c>
    </row>
    <row r="466" spans="1:2" x14ac:dyDescent="0.25">
      <c r="A466" s="12" t="s">
        <v>441</v>
      </c>
      <c r="B466" s="11">
        <v>75000</v>
      </c>
    </row>
    <row r="467" spans="1:2" x14ac:dyDescent="0.25">
      <c r="A467" s="12" t="s">
        <v>442</v>
      </c>
      <c r="B467" s="11">
        <v>-1118</v>
      </c>
    </row>
    <row r="468" spans="1:2" x14ac:dyDescent="0.25">
      <c r="A468" s="12" t="s">
        <v>443</v>
      </c>
      <c r="B468" s="11">
        <v>4626</v>
      </c>
    </row>
    <row r="469" spans="1:2" x14ac:dyDescent="0.25">
      <c r="A469" s="12" t="s">
        <v>444</v>
      </c>
      <c r="B469" s="11">
        <v>4534</v>
      </c>
    </row>
    <row r="470" spans="1:2" x14ac:dyDescent="0.25">
      <c r="A470" s="12" t="s">
        <v>445</v>
      </c>
      <c r="B470" s="11">
        <v>4695</v>
      </c>
    </row>
    <row r="471" spans="1:2" x14ac:dyDescent="0.25">
      <c r="A471" s="12" t="s">
        <v>446</v>
      </c>
      <c r="B471" s="11">
        <v>4600</v>
      </c>
    </row>
    <row r="472" spans="1:2" x14ac:dyDescent="0.25">
      <c r="A472" s="12" t="s">
        <v>447</v>
      </c>
      <c r="B472" s="11">
        <v>4632</v>
      </c>
    </row>
    <row r="473" spans="1:2" x14ac:dyDescent="0.25">
      <c r="A473" s="12" t="s">
        <v>448</v>
      </c>
      <c r="B473" s="11">
        <v>5142</v>
      </c>
    </row>
    <row r="474" spans="1:2" x14ac:dyDescent="0.25">
      <c r="A474" s="12" t="s">
        <v>449</v>
      </c>
      <c r="B474" s="11">
        <v>4505</v>
      </c>
    </row>
    <row r="475" spans="1:2" x14ac:dyDescent="0.25">
      <c r="A475" s="12" t="s">
        <v>450</v>
      </c>
      <c r="B475" s="11">
        <v>-106616</v>
      </c>
    </row>
    <row r="476" spans="1:2" x14ac:dyDescent="0.25">
      <c r="A476" s="10" t="s">
        <v>451</v>
      </c>
      <c r="B476" s="11">
        <v>0</v>
      </c>
    </row>
    <row r="477" spans="1:2" x14ac:dyDescent="0.25">
      <c r="A477" s="12" t="s">
        <v>452</v>
      </c>
      <c r="B477" s="11">
        <v>41000</v>
      </c>
    </row>
    <row r="478" spans="1:2" x14ac:dyDescent="0.25">
      <c r="A478" s="12" t="s">
        <v>453</v>
      </c>
      <c r="B478" s="11">
        <v>494</v>
      </c>
    </row>
    <row r="479" spans="1:2" x14ac:dyDescent="0.25">
      <c r="A479" s="12" t="s">
        <v>454</v>
      </c>
      <c r="B479" s="11">
        <v>878</v>
      </c>
    </row>
    <row r="480" spans="1:2" x14ac:dyDescent="0.25">
      <c r="A480" s="12" t="s">
        <v>455</v>
      </c>
      <c r="B480" s="11">
        <v>504</v>
      </c>
    </row>
    <row r="481" spans="1:2" x14ac:dyDescent="0.25">
      <c r="A481" s="12" t="s">
        <v>456</v>
      </c>
      <c r="B481" s="11">
        <v>-42876</v>
      </c>
    </row>
    <row r="482" spans="1:2" x14ac:dyDescent="0.25">
      <c r="A482" s="10" t="s">
        <v>457</v>
      </c>
      <c r="B482" s="11">
        <v>0</v>
      </c>
    </row>
    <row r="483" spans="1:2" x14ac:dyDescent="0.25">
      <c r="A483" s="12" t="s">
        <v>458</v>
      </c>
      <c r="B483" s="11">
        <v>133000</v>
      </c>
    </row>
    <row r="484" spans="1:2" x14ac:dyDescent="0.25">
      <c r="A484" s="12" t="s">
        <v>459</v>
      </c>
      <c r="B484" s="11">
        <v>4710</v>
      </c>
    </row>
    <row r="485" spans="1:2" x14ac:dyDescent="0.25">
      <c r="A485" s="12" t="s">
        <v>460</v>
      </c>
      <c r="B485" s="11">
        <v>3641</v>
      </c>
    </row>
    <row r="486" spans="1:2" x14ac:dyDescent="0.25">
      <c r="A486" s="12" t="s">
        <v>461</v>
      </c>
      <c r="B486" s="11">
        <v>3736</v>
      </c>
    </row>
    <row r="487" spans="1:2" x14ac:dyDescent="0.25">
      <c r="A487" s="12" t="s">
        <v>462</v>
      </c>
      <c r="B487" s="11">
        <v>5468</v>
      </c>
    </row>
    <row r="488" spans="1:2" x14ac:dyDescent="0.25">
      <c r="A488" s="12" t="s">
        <v>463</v>
      </c>
      <c r="B488" s="11">
        <v>1786</v>
      </c>
    </row>
    <row r="489" spans="1:2" x14ac:dyDescent="0.25">
      <c r="A489" s="12" t="s">
        <v>464</v>
      </c>
      <c r="B489" s="11">
        <v>-152341</v>
      </c>
    </row>
    <row r="490" spans="1:2" x14ac:dyDescent="0.25">
      <c r="A490" s="10" t="s">
        <v>465</v>
      </c>
      <c r="B490" s="11">
        <v>0</v>
      </c>
    </row>
    <row r="491" spans="1:2" x14ac:dyDescent="0.25">
      <c r="A491" s="12" t="s">
        <v>466</v>
      </c>
      <c r="B491" s="11">
        <v>65000</v>
      </c>
    </row>
    <row r="492" spans="1:2" x14ac:dyDescent="0.25">
      <c r="A492" s="12" t="s">
        <v>467</v>
      </c>
      <c r="B492" s="11">
        <v>-65000</v>
      </c>
    </row>
    <row r="493" spans="1:2" x14ac:dyDescent="0.25">
      <c r="A493" s="10" t="s">
        <v>468</v>
      </c>
      <c r="B493" s="11">
        <v>0</v>
      </c>
    </row>
    <row r="494" spans="1:2" x14ac:dyDescent="0.25">
      <c r="A494" s="12" t="s">
        <v>469</v>
      </c>
      <c r="B494" s="11">
        <v>63000</v>
      </c>
    </row>
    <row r="495" spans="1:2" x14ac:dyDescent="0.25">
      <c r="A495" s="12" t="s">
        <v>470</v>
      </c>
      <c r="B495" s="11">
        <v>-5626</v>
      </c>
    </row>
    <row r="496" spans="1:2" x14ac:dyDescent="0.25">
      <c r="A496" s="12" t="s">
        <v>471</v>
      </c>
      <c r="B496" s="11">
        <v>4639</v>
      </c>
    </row>
    <row r="497" spans="1:2" x14ac:dyDescent="0.25">
      <c r="A497" s="12" t="s">
        <v>472</v>
      </c>
      <c r="B497" s="11">
        <v>6004</v>
      </c>
    </row>
    <row r="498" spans="1:2" x14ac:dyDescent="0.25">
      <c r="A498" s="12" t="s">
        <v>473</v>
      </c>
      <c r="B498" s="11">
        <v>5923</v>
      </c>
    </row>
    <row r="499" spans="1:2" x14ac:dyDescent="0.25">
      <c r="A499" s="12" t="s">
        <v>474</v>
      </c>
      <c r="B499" s="11">
        <v>5761</v>
      </c>
    </row>
    <row r="500" spans="1:2" x14ac:dyDescent="0.25">
      <c r="A500" s="12" t="s">
        <v>475</v>
      </c>
      <c r="B500" s="11">
        <v>5766</v>
      </c>
    </row>
    <row r="501" spans="1:2" x14ac:dyDescent="0.25">
      <c r="A501" s="12" t="s">
        <v>476</v>
      </c>
      <c r="B501" s="11">
        <v>-85467</v>
      </c>
    </row>
    <row r="502" spans="1:2" x14ac:dyDescent="0.25">
      <c r="A502" s="10" t="s">
        <v>477</v>
      </c>
      <c r="B502" s="11">
        <v>0</v>
      </c>
    </row>
    <row r="503" spans="1:2" x14ac:dyDescent="0.25">
      <c r="A503" s="12" t="s">
        <v>478</v>
      </c>
      <c r="B503" s="11">
        <v>35000</v>
      </c>
    </row>
    <row r="504" spans="1:2" x14ac:dyDescent="0.25">
      <c r="A504" s="12" t="s">
        <v>479</v>
      </c>
      <c r="B504" s="11">
        <v>34</v>
      </c>
    </row>
    <row r="505" spans="1:2" x14ac:dyDescent="0.25">
      <c r="A505" s="12" t="s">
        <v>480</v>
      </c>
      <c r="B505" s="11">
        <v>-35034</v>
      </c>
    </row>
    <row r="506" spans="1:2" x14ac:dyDescent="0.25">
      <c r="A506" s="10" t="s">
        <v>481</v>
      </c>
      <c r="B506" s="11">
        <v>0</v>
      </c>
    </row>
    <row r="507" spans="1:2" x14ac:dyDescent="0.25">
      <c r="A507" s="12" t="s">
        <v>482</v>
      </c>
      <c r="B507" s="11">
        <v>115000</v>
      </c>
    </row>
    <row r="508" spans="1:2" x14ac:dyDescent="0.25">
      <c r="A508" s="12" t="s">
        <v>483</v>
      </c>
      <c r="B508" s="11">
        <v>1561</v>
      </c>
    </row>
    <row r="509" spans="1:2" x14ac:dyDescent="0.25">
      <c r="A509" s="12" t="s">
        <v>484</v>
      </c>
      <c r="B509" s="11">
        <v>1611</v>
      </c>
    </row>
    <row r="510" spans="1:2" x14ac:dyDescent="0.25">
      <c r="A510" s="12" t="s">
        <v>485</v>
      </c>
      <c r="B510" s="11">
        <v>-118172</v>
      </c>
    </row>
    <row r="511" spans="1:2" x14ac:dyDescent="0.25">
      <c r="A511" s="10" t="s">
        <v>486</v>
      </c>
      <c r="B511" s="11">
        <v>0</v>
      </c>
    </row>
    <row r="512" spans="1:2" x14ac:dyDescent="0.25">
      <c r="A512" s="12" t="s">
        <v>487</v>
      </c>
      <c r="B512" s="11">
        <v>85000</v>
      </c>
    </row>
    <row r="513" spans="1:2" x14ac:dyDescent="0.25">
      <c r="A513" s="12" t="s">
        <v>488</v>
      </c>
      <c r="B513" s="11">
        <v>3374</v>
      </c>
    </row>
    <row r="514" spans="1:2" x14ac:dyDescent="0.25">
      <c r="A514" s="12" t="s">
        <v>489</v>
      </c>
      <c r="B514" s="11">
        <v>5402</v>
      </c>
    </row>
    <row r="515" spans="1:2" x14ac:dyDescent="0.25">
      <c r="A515" s="12" t="s">
        <v>490</v>
      </c>
      <c r="B515" s="11">
        <v>4587</v>
      </c>
    </row>
    <row r="516" spans="1:2" x14ac:dyDescent="0.25">
      <c r="A516" s="12" t="s">
        <v>491</v>
      </c>
      <c r="B516" s="11">
        <v>5536</v>
      </c>
    </row>
    <row r="517" spans="1:2" x14ac:dyDescent="0.25">
      <c r="A517" s="12" t="s">
        <v>492</v>
      </c>
      <c r="B517" s="11">
        <v>2017</v>
      </c>
    </row>
    <row r="518" spans="1:2" x14ac:dyDescent="0.25">
      <c r="A518" s="12" t="s">
        <v>493</v>
      </c>
      <c r="B518" s="11">
        <v>13</v>
      </c>
    </row>
    <row r="519" spans="1:2" x14ac:dyDescent="0.25">
      <c r="A519" s="12" t="s">
        <v>494</v>
      </c>
      <c r="B519" s="11">
        <v>-105929</v>
      </c>
    </row>
    <row r="520" spans="1:2" x14ac:dyDescent="0.25">
      <c r="A520" s="10" t="s">
        <v>495</v>
      </c>
      <c r="B520" s="11">
        <v>0</v>
      </c>
    </row>
    <row r="521" spans="1:2" x14ac:dyDescent="0.25">
      <c r="A521" s="12" t="s">
        <v>496</v>
      </c>
      <c r="B521" s="11">
        <v>53000</v>
      </c>
    </row>
    <row r="522" spans="1:2" x14ac:dyDescent="0.25">
      <c r="A522" s="12" t="s">
        <v>497</v>
      </c>
      <c r="B522" s="11">
        <v>-53000</v>
      </c>
    </row>
    <row r="523" spans="1:2" x14ac:dyDescent="0.25">
      <c r="A523" s="10" t="s">
        <v>498</v>
      </c>
      <c r="B523" s="11">
        <v>0</v>
      </c>
    </row>
    <row r="524" spans="1:2" x14ac:dyDescent="0.25">
      <c r="A524" s="12" t="s">
        <v>499</v>
      </c>
      <c r="B524" s="11">
        <v>35000</v>
      </c>
    </row>
    <row r="525" spans="1:2" x14ac:dyDescent="0.25">
      <c r="A525" s="12" t="s">
        <v>500</v>
      </c>
      <c r="B525" s="11">
        <v>1899</v>
      </c>
    </row>
    <row r="526" spans="1:2" x14ac:dyDescent="0.25">
      <c r="A526" s="12" t="s">
        <v>501</v>
      </c>
      <c r="B526" s="11">
        <v>1623</v>
      </c>
    </row>
    <row r="527" spans="1:2" x14ac:dyDescent="0.25">
      <c r="A527" s="12" t="s">
        <v>502</v>
      </c>
      <c r="B527" s="11">
        <v>2153</v>
      </c>
    </row>
    <row r="528" spans="1:2" x14ac:dyDescent="0.25">
      <c r="A528" s="12" t="s">
        <v>503</v>
      </c>
      <c r="B528" s="11">
        <v>-3522</v>
      </c>
    </row>
    <row r="529" spans="1:2" x14ac:dyDescent="0.25">
      <c r="A529" s="12" t="s">
        <v>504</v>
      </c>
      <c r="B529" s="11">
        <v>-37153</v>
      </c>
    </row>
    <row r="530" spans="1:2" x14ac:dyDescent="0.25">
      <c r="A530" s="10" t="s">
        <v>505</v>
      </c>
      <c r="B530" s="11">
        <v>0</v>
      </c>
    </row>
    <row r="531" spans="1:2" x14ac:dyDescent="0.25">
      <c r="A531" s="12" t="s">
        <v>506</v>
      </c>
      <c r="B531" s="11">
        <v>55000</v>
      </c>
    </row>
    <row r="532" spans="1:2" x14ac:dyDescent="0.25">
      <c r="A532" s="12" t="s">
        <v>507</v>
      </c>
      <c r="B532" s="11">
        <v>-55000</v>
      </c>
    </row>
    <row r="533" spans="1:2" x14ac:dyDescent="0.25">
      <c r="A533" s="10" t="s">
        <v>508</v>
      </c>
      <c r="B533" s="11">
        <v>0</v>
      </c>
    </row>
    <row r="534" spans="1:2" x14ac:dyDescent="0.25">
      <c r="A534" s="12" t="s">
        <v>509</v>
      </c>
      <c r="B534" s="11">
        <v>135000</v>
      </c>
    </row>
    <row r="535" spans="1:2" x14ac:dyDescent="0.25">
      <c r="A535" s="12" t="s">
        <v>510</v>
      </c>
      <c r="B535" s="11">
        <v>4592</v>
      </c>
    </row>
    <row r="536" spans="1:2" x14ac:dyDescent="0.25">
      <c r="A536" s="12" t="s">
        <v>511</v>
      </c>
      <c r="B536" s="11">
        <v>3324</v>
      </c>
    </row>
    <row r="537" spans="1:2" x14ac:dyDescent="0.25">
      <c r="A537" s="12" t="s">
        <v>512</v>
      </c>
      <c r="B537" s="11">
        <v>5616</v>
      </c>
    </row>
    <row r="538" spans="1:2" x14ac:dyDescent="0.25">
      <c r="A538" s="12" t="s">
        <v>513</v>
      </c>
      <c r="B538" s="11">
        <v>-7916</v>
      </c>
    </row>
    <row r="539" spans="1:2" x14ac:dyDescent="0.25">
      <c r="A539" s="12" t="s">
        <v>514</v>
      </c>
      <c r="B539" s="11">
        <v>-140616</v>
      </c>
    </row>
    <row r="540" spans="1:2" x14ac:dyDescent="0.25">
      <c r="A540" s="10" t="s">
        <v>515</v>
      </c>
      <c r="B540" s="11">
        <v>0</v>
      </c>
    </row>
    <row r="541" spans="1:2" x14ac:dyDescent="0.25">
      <c r="A541" s="12" t="s">
        <v>516</v>
      </c>
      <c r="B541" s="11">
        <v>75000</v>
      </c>
    </row>
    <row r="542" spans="1:2" x14ac:dyDescent="0.25">
      <c r="A542" s="12" t="s">
        <v>517</v>
      </c>
      <c r="B542" s="11">
        <v>-75000</v>
      </c>
    </row>
    <row r="543" spans="1:2" x14ac:dyDescent="0.25">
      <c r="A543" s="10" t="s">
        <v>518</v>
      </c>
      <c r="B543" s="11">
        <v>0</v>
      </c>
    </row>
    <row r="544" spans="1:2" x14ac:dyDescent="0.25">
      <c r="A544" s="12" t="s">
        <v>519</v>
      </c>
      <c r="B544" s="11">
        <v>39000</v>
      </c>
    </row>
    <row r="545" spans="1:2" x14ac:dyDescent="0.25">
      <c r="A545" s="12" t="s">
        <v>520</v>
      </c>
      <c r="B545" s="11">
        <v>1585</v>
      </c>
    </row>
    <row r="546" spans="1:2" x14ac:dyDescent="0.25">
      <c r="A546" s="12" t="s">
        <v>521</v>
      </c>
      <c r="B546" s="11">
        <v>1922</v>
      </c>
    </row>
    <row r="547" spans="1:2" x14ac:dyDescent="0.25">
      <c r="A547" s="12" t="s">
        <v>522</v>
      </c>
      <c r="B547" s="11">
        <v>-42507</v>
      </c>
    </row>
    <row r="548" spans="1:2" x14ac:dyDescent="0.25">
      <c r="A548" s="10" t="s">
        <v>523</v>
      </c>
      <c r="B548" s="11">
        <v>0</v>
      </c>
    </row>
    <row r="549" spans="1:2" x14ac:dyDescent="0.25">
      <c r="A549" s="12" t="s">
        <v>524</v>
      </c>
      <c r="B549" s="11">
        <v>61000</v>
      </c>
    </row>
    <row r="550" spans="1:2" x14ac:dyDescent="0.25">
      <c r="A550" s="12" t="s">
        <v>525</v>
      </c>
      <c r="B550" s="11">
        <v>3</v>
      </c>
    </row>
    <row r="551" spans="1:2" x14ac:dyDescent="0.25">
      <c r="A551" s="12" t="s">
        <v>526</v>
      </c>
      <c r="B551" s="11">
        <v>14</v>
      </c>
    </row>
    <row r="552" spans="1:2" x14ac:dyDescent="0.25">
      <c r="A552" s="12" t="s">
        <v>527</v>
      </c>
      <c r="B552" s="11">
        <v>2857</v>
      </c>
    </row>
    <row r="553" spans="1:2" x14ac:dyDescent="0.25">
      <c r="A553" s="12" t="s">
        <v>528</v>
      </c>
      <c r="B553" s="11">
        <v>-63874</v>
      </c>
    </row>
    <row r="554" spans="1:2" x14ac:dyDescent="0.25">
      <c r="A554" s="10" t="s">
        <v>529</v>
      </c>
      <c r="B554" s="11">
        <v>0</v>
      </c>
    </row>
    <row r="555" spans="1:2" x14ac:dyDescent="0.25">
      <c r="A555" s="12" t="s">
        <v>530</v>
      </c>
      <c r="B555" s="11">
        <v>51000</v>
      </c>
    </row>
    <row r="556" spans="1:2" x14ac:dyDescent="0.25">
      <c r="A556" s="12" t="s">
        <v>531</v>
      </c>
      <c r="B556" s="11">
        <v>198</v>
      </c>
    </row>
    <row r="557" spans="1:2" x14ac:dyDescent="0.25">
      <c r="A557" s="12" t="s">
        <v>532</v>
      </c>
      <c r="B557" s="11">
        <v>940</v>
      </c>
    </row>
    <row r="558" spans="1:2" x14ac:dyDescent="0.25">
      <c r="A558" s="12" t="s">
        <v>533</v>
      </c>
      <c r="B558" s="11">
        <v>934</v>
      </c>
    </row>
    <row r="559" spans="1:2" x14ac:dyDescent="0.25">
      <c r="A559" s="12" t="s">
        <v>534</v>
      </c>
      <c r="B559" s="11">
        <v>422</v>
      </c>
    </row>
    <row r="560" spans="1:2" x14ac:dyDescent="0.25">
      <c r="A560" s="12" t="s">
        <v>535</v>
      </c>
      <c r="B560" s="11">
        <v>907</v>
      </c>
    </row>
    <row r="561" spans="1:2" x14ac:dyDescent="0.25">
      <c r="A561" s="12" t="s">
        <v>536</v>
      </c>
      <c r="B561" s="11">
        <v>-54401</v>
      </c>
    </row>
    <row r="562" spans="1:2" x14ac:dyDescent="0.25">
      <c r="A562" s="10" t="s">
        <v>537</v>
      </c>
      <c r="B562" s="11">
        <v>0</v>
      </c>
    </row>
    <row r="563" spans="1:2" x14ac:dyDescent="0.25">
      <c r="A563" s="12" t="s">
        <v>538</v>
      </c>
      <c r="B563" s="11">
        <v>55000</v>
      </c>
    </row>
    <row r="564" spans="1:2" x14ac:dyDescent="0.25">
      <c r="A564" s="12" t="s">
        <v>539</v>
      </c>
      <c r="B564" s="11">
        <v>-55000</v>
      </c>
    </row>
    <row r="565" spans="1:2" x14ac:dyDescent="0.25">
      <c r="A565" s="10" t="s">
        <v>540</v>
      </c>
      <c r="B565" s="11">
        <v>0</v>
      </c>
    </row>
    <row r="566" spans="1:2" x14ac:dyDescent="0.25">
      <c r="A566" s="12" t="s">
        <v>541</v>
      </c>
      <c r="B566" s="11">
        <v>45000</v>
      </c>
    </row>
    <row r="567" spans="1:2" x14ac:dyDescent="0.25">
      <c r="A567" s="12" t="s">
        <v>542</v>
      </c>
      <c r="B567" s="11">
        <v>2085</v>
      </c>
    </row>
    <row r="568" spans="1:2" x14ac:dyDescent="0.25">
      <c r="A568" s="12" t="s">
        <v>543</v>
      </c>
      <c r="B568" s="11">
        <v>1835</v>
      </c>
    </row>
    <row r="569" spans="1:2" x14ac:dyDescent="0.25">
      <c r="A569" s="12" t="s">
        <v>544</v>
      </c>
      <c r="B569" s="11">
        <v>1674</v>
      </c>
    </row>
    <row r="570" spans="1:2" x14ac:dyDescent="0.25">
      <c r="A570" s="12" t="s">
        <v>545</v>
      </c>
      <c r="B570" s="11">
        <v>1955</v>
      </c>
    </row>
    <row r="571" spans="1:2" x14ac:dyDescent="0.25">
      <c r="A571" s="12" t="s">
        <v>546</v>
      </c>
      <c r="B571" s="11">
        <v>-52549</v>
      </c>
    </row>
    <row r="572" spans="1:2" x14ac:dyDescent="0.25">
      <c r="A572" s="10" t="s">
        <v>547</v>
      </c>
      <c r="B572" s="11">
        <v>0</v>
      </c>
    </row>
    <row r="573" spans="1:2" x14ac:dyDescent="0.25">
      <c r="A573" s="12" t="s">
        <v>548</v>
      </c>
      <c r="B573" s="11">
        <v>51000</v>
      </c>
    </row>
    <row r="574" spans="1:2" x14ac:dyDescent="0.25">
      <c r="A574" s="12" t="s">
        <v>549</v>
      </c>
      <c r="B574" s="11">
        <v>152</v>
      </c>
    </row>
    <row r="575" spans="1:2" x14ac:dyDescent="0.25">
      <c r="A575" s="12" t="s">
        <v>550</v>
      </c>
      <c r="B575" s="11">
        <v>582</v>
      </c>
    </row>
    <row r="576" spans="1:2" x14ac:dyDescent="0.25">
      <c r="A576" s="12" t="s">
        <v>551</v>
      </c>
      <c r="B576" s="11">
        <v>294</v>
      </c>
    </row>
    <row r="577" spans="1:2" x14ac:dyDescent="0.25">
      <c r="A577" s="12" t="s">
        <v>552</v>
      </c>
      <c r="B577" s="11">
        <v>-52028</v>
      </c>
    </row>
    <row r="578" spans="1:2" x14ac:dyDescent="0.25">
      <c r="A578" s="10" t="s">
        <v>553</v>
      </c>
      <c r="B578" s="11">
        <v>0</v>
      </c>
    </row>
    <row r="579" spans="1:2" x14ac:dyDescent="0.25">
      <c r="A579" s="12" t="s">
        <v>554</v>
      </c>
      <c r="B579" s="11">
        <v>55000</v>
      </c>
    </row>
    <row r="580" spans="1:2" x14ac:dyDescent="0.25">
      <c r="A580" s="12" t="s">
        <v>555</v>
      </c>
      <c r="B580" s="11">
        <v>3937</v>
      </c>
    </row>
    <row r="581" spans="1:2" x14ac:dyDescent="0.25">
      <c r="A581" s="12" t="s">
        <v>556</v>
      </c>
      <c r="B581" s="11">
        <v>4159</v>
      </c>
    </row>
    <row r="582" spans="1:2" x14ac:dyDescent="0.25">
      <c r="A582" s="12" t="s">
        <v>557</v>
      </c>
      <c r="B582" s="11">
        <v>3362</v>
      </c>
    </row>
    <row r="583" spans="1:2" x14ac:dyDescent="0.25">
      <c r="A583" s="12" t="s">
        <v>558</v>
      </c>
      <c r="B583" s="11">
        <v>4184</v>
      </c>
    </row>
    <row r="584" spans="1:2" x14ac:dyDescent="0.25">
      <c r="A584" s="12" t="s">
        <v>559</v>
      </c>
      <c r="B584" s="11">
        <v>3792</v>
      </c>
    </row>
    <row r="585" spans="1:2" x14ac:dyDescent="0.25">
      <c r="A585" s="12" t="s">
        <v>560</v>
      </c>
      <c r="B585" s="11">
        <v>1752</v>
      </c>
    </row>
    <row r="586" spans="1:2" x14ac:dyDescent="0.25">
      <c r="A586" s="12" t="s">
        <v>561</v>
      </c>
      <c r="B586" s="11">
        <v>-76186</v>
      </c>
    </row>
    <row r="587" spans="1:2" x14ac:dyDescent="0.25">
      <c r="A587" s="10" t="s">
        <v>562</v>
      </c>
      <c r="B587" s="11">
        <v>0</v>
      </c>
    </row>
    <row r="588" spans="1:2" x14ac:dyDescent="0.25">
      <c r="A588" s="12" t="s">
        <v>563</v>
      </c>
      <c r="B588" s="11">
        <v>39000</v>
      </c>
    </row>
    <row r="589" spans="1:2" x14ac:dyDescent="0.25">
      <c r="A589" s="12" t="s">
        <v>564</v>
      </c>
      <c r="B589" s="11">
        <v>790</v>
      </c>
    </row>
    <row r="590" spans="1:2" x14ac:dyDescent="0.25">
      <c r="A590" s="12" t="s">
        <v>565</v>
      </c>
      <c r="B590" s="11">
        <v>633</v>
      </c>
    </row>
    <row r="591" spans="1:2" x14ac:dyDescent="0.25">
      <c r="A591" s="12" t="s">
        <v>566</v>
      </c>
      <c r="B591" s="11">
        <v>447</v>
      </c>
    </row>
    <row r="592" spans="1:2" x14ac:dyDescent="0.25">
      <c r="A592" s="12" t="s">
        <v>567</v>
      </c>
      <c r="B592" s="11">
        <v>-40870</v>
      </c>
    </row>
    <row r="593" spans="1:2" x14ac:dyDescent="0.25">
      <c r="A593" s="10" t="s">
        <v>568</v>
      </c>
      <c r="B593" s="11">
        <v>0</v>
      </c>
    </row>
    <row r="594" spans="1:2" x14ac:dyDescent="0.25">
      <c r="A594" s="12" t="s">
        <v>569</v>
      </c>
      <c r="B594" s="11">
        <v>35000</v>
      </c>
    </row>
    <row r="595" spans="1:2" x14ac:dyDescent="0.25">
      <c r="A595" s="12" t="s">
        <v>570</v>
      </c>
      <c r="B595" s="11">
        <v>2422</v>
      </c>
    </row>
    <row r="596" spans="1:2" x14ac:dyDescent="0.25">
      <c r="A596" s="12" t="s">
        <v>571</v>
      </c>
      <c r="B596" s="11">
        <v>2026</v>
      </c>
    </row>
    <row r="597" spans="1:2" x14ac:dyDescent="0.25">
      <c r="A597" s="12" t="s">
        <v>572</v>
      </c>
      <c r="B597" s="11">
        <v>-39448</v>
      </c>
    </row>
    <row r="598" spans="1:2" x14ac:dyDescent="0.25">
      <c r="A598" s="10" t="s">
        <v>573</v>
      </c>
      <c r="B598" s="11">
        <v>0</v>
      </c>
    </row>
    <row r="599" spans="1:2" x14ac:dyDescent="0.25">
      <c r="A599" s="12" t="s">
        <v>574</v>
      </c>
      <c r="B599" s="11">
        <v>113000</v>
      </c>
    </row>
    <row r="600" spans="1:2" x14ac:dyDescent="0.25">
      <c r="A600" s="12" t="s">
        <v>575</v>
      </c>
      <c r="B600" s="11">
        <v>22186</v>
      </c>
    </row>
    <row r="601" spans="1:2" x14ac:dyDescent="0.25">
      <c r="A601" s="12" t="s">
        <v>576</v>
      </c>
      <c r="B601" s="11">
        <v>-135186</v>
      </c>
    </row>
    <row r="602" spans="1:2" x14ac:dyDescent="0.25">
      <c r="A602" s="10" t="s">
        <v>577</v>
      </c>
      <c r="B602" s="11">
        <v>0</v>
      </c>
    </row>
    <row r="603" spans="1:2" x14ac:dyDescent="0.25">
      <c r="A603" s="12" t="s">
        <v>578</v>
      </c>
      <c r="B603" s="11">
        <v>45000</v>
      </c>
    </row>
    <row r="604" spans="1:2" x14ac:dyDescent="0.25">
      <c r="A604" s="12" t="s">
        <v>579</v>
      </c>
      <c r="B604" s="11">
        <v>-45000</v>
      </c>
    </row>
    <row r="605" spans="1:2" x14ac:dyDescent="0.25">
      <c r="A605" s="10" t="s">
        <v>580</v>
      </c>
      <c r="B605" s="11">
        <v>0</v>
      </c>
    </row>
    <row r="606" spans="1:2" x14ac:dyDescent="0.25">
      <c r="A606" s="12" t="s">
        <v>581</v>
      </c>
      <c r="B606" s="11">
        <v>58900</v>
      </c>
    </row>
    <row r="607" spans="1:2" x14ac:dyDescent="0.25">
      <c r="A607" s="12" t="s">
        <v>582</v>
      </c>
      <c r="B607" s="11">
        <v>3615</v>
      </c>
    </row>
    <row r="608" spans="1:2" x14ac:dyDescent="0.25">
      <c r="A608" s="12" t="s">
        <v>583</v>
      </c>
      <c r="B608" s="11">
        <v>3693</v>
      </c>
    </row>
    <row r="609" spans="1:2" x14ac:dyDescent="0.25">
      <c r="A609" s="12" t="s">
        <v>584</v>
      </c>
      <c r="B609" s="11">
        <v>3409</v>
      </c>
    </row>
    <row r="610" spans="1:2" x14ac:dyDescent="0.25">
      <c r="A610" s="12" t="s">
        <v>585</v>
      </c>
      <c r="B610" s="11">
        <v>3606</v>
      </c>
    </row>
    <row r="611" spans="1:2" x14ac:dyDescent="0.25">
      <c r="A611" s="12" t="s">
        <v>586</v>
      </c>
      <c r="B611" s="11">
        <v>-10717</v>
      </c>
    </row>
    <row r="612" spans="1:2" x14ac:dyDescent="0.25">
      <c r="A612" s="12" t="s">
        <v>587</v>
      </c>
      <c r="B612" s="11">
        <v>-62506</v>
      </c>
    </row>
    <row r="613" spans="1:2" x14ac:dyDescent="0.25">
      <c r="A613" s="10" t="s">
        <v>588</v>
      </c>
      <c r="B613" s="11">
        <v>0</v>
      </c>
    </row>
    <row r="614" spans="1:2" x14ac:dyDescent="0.25">
      <c r="A614" s="12" t="s">
        <v>589</v>
      </c>
      <c r="B614" s="11">
        <v>3362</v>
      </c>
    </row>
    <row r="615" spans="1:2" x14ac:dyDescent="0.25">
      <c r="A615" s="12" t="s">
        <v>590</v>
      </c>
      <c r="B615" s="11">
        <v>753</v>
      </c>
    </row>
    <row r="616" spans="1:2" x14ac:dyDescent="0.25">
      <c r="A616" s="12" t="s">
        <v>591</v>
      </c>
      <c r="B616" s="11">
        <v>83</v>
      </c>
    </row>
    <row r="617" spans="1:2" x14ac:dyDescent="0.25">
      <c r="A617" s="12" t="s">
        <v>592</v>
      </c>
      <c r="B617" s="11">
        <v>123</v>
      </c>
    </row>
    <row r="618" spans="1:2" x14ac:dyDescent="0.25">
      <c r="A618" s="12" t="s">
        <v>593</v>
      </c>
      <c r="B618" s="11">
        <v>2585</v>
      </c>
    </row>
    <row r="619" spans="1:2" x14ac:dyDescent="0.25">
      <c r="A619" s="12" t="s">
        <v>594</v>
      </c>
      <c r="B619" s="11">
        <v>-6906</v>
      </c>
    </row>
    <row r="620" spans="1:2" x14ac:dyDescent="0.25">
      <c r="A620" s="10" t="s">
        <v>595</v>
      </c>
      <c r="B620" s="11">
        <v>0</v>
      </c>
    </row>
    <row r="621" spans="1:2" x14ac:dyDescent="0.25">
      <c r="A621" s="12" t="s">
        <v>596</v>
      </c>
      <c r="B621" s="11">
        <v>39000</v>
      </c>
    </row>
    <row r="622" spans="1:2" x14ac:dyDescent="0.25">
      <c r="A622" s="12" t="s">
        <v>597</v>
      </c>
      <c r="B622" s="11">
        <v>3443</v>
      </c>
    </row>
    <row r="623" spans="1:2" x14ac:dyDescent="0.25">
      <c r="A623" s="12" t="s">
        <v>598</v>
      </c>
      <c r="B623" s="11">
        <v>3228</v>
      </c>
    </row>
    <row r="624" spans="1:2" x14ac:dyDescent="0.25">
      <c r="A624" s="12" t="s">
        <v>599</v>
      </c>
      <c r="B624" s="11">
        <v>3518</v>
      </c>
    </row>
    <row r="625" spans="1:2" x14ac:dyDescent="0.25">
      <c r="A625" s="12" t="s">
        <v>600</v>
      </c>
      <c r="B625" s="11">
        <v>-6671</v>
      </c>
    </row>
    <row r="626" spans="1:2" x14ac:dyDescent="0.25">
      <c r="A626" s="12" t="s">
        <v>601</v>
      </c>
      <c r="B626" s="11">
        <v>-42518</v>
      </c>
    </row>
    <row r="627" spans="1:2" x14ac:dyDescent="0.25">
      <c r="A627" s="10" t="s">
        <v>602</v>
      </c>
      <c r="B627" s="11">
        <v>0</v>
      </c>
    </row>
    <row r="628" spans="1:2" x14ac:dyDescent="0.25">
      <c r="A628" s="12" t="s">
        <v>603</v>
      </c>
      <c r="B628" s="11">
        <v>85000</v>
      </c>
    </row>
    <row r="629" spans="1:2" x14ac:dyDescent="0.25">
      <c r="A629" s="12" t="s">
        <v>604</v>
      </c>
      <c r="B629" s="11">
        <v>2349</v>
      </c>
    </row>
    <row r="630" spans="1:2" x14ac:dyDescent="0.25">
      <c r="A630" s="12" t="s">
        <v>605</v>
      </c>
      <c r="B630" s="11">
        <v>-87349</v>
      </c>
    </row>
    <row r="631" spans="1:2" x14ac:dyDescent="0.25">
      <c r="A631" s="10" t="s">
        <v>606</v>
      </c>
      <c r="B631" s="11">
        <v>0</v>
      </c>
    </row>
    <row r="632" spans="1:2" x14ac:dyDescent="0.25">
      <c r="A632" s="12" t="s">
        <v>607</v>
      </c>
      <c r="B632" s="11">
        <v>85990</v>
      </c>
    </row>
    <row r="633" spans="1:2" x14ac:dyDescent="0.25">
      <c r="A633" s="12" t="s">
        <v>608</v>
      </c>
      <c r="B633" s="11">
        <v>3238</v>
      </c>
    </row>
    <row r="634" spans="1:2" x14ac:dyDescent="0.25">
      <c r="A634" s="12" t="s">
        <v>609</v>
      </c>
      <c r="B634" s="11">
        <v>5215</v>
      </c>
    </row>
    <row r="635" spans="1:2" x14ac:dyDescent="0.25">
      <c r="A635" s="12" t="s">
        <v>610</v>
      </c>
      <c r="B635" s="11">
        <v>5330</v>
      </c>
    </row>
    <row r="636" spans="1:2" x14ac:dyDescent="0.25">
      <c r="A636" s="12" t="s">
        <v>611</v>
      </c>
      <c r="B636" s="11">
        <v>5168</v>
      </c>
    </row>
    <row r="637" spans="1:2" x14ac:dyDescent="0.25">
      <c r="A637" s="12" t="s">
        <v>612</v>
      </c>
      <c r="B637" s="11">
        <v>2244</v>
      </c>
    </row>
    <row r="638" spans="1:2" x14ac:dyDescent="0.25">
      <c r="A638" s="12" t="s">
        <v>613</v>
      </c>
      <c r="B638" s="11">
        <v>-107185</v>
      </c>
    </row>
    <row r="639" spans="1:2" x14ac:dyDescent="0.25">
      <c r="A639" s="10" t="s">
        <v>614</v>
      </c>
      <c r="B639" s="11">
        <v>0</v>
      </c>
    </row>
    <row r="640" spans="1:2" x14ac:dyDescent="0.25">
      <c r="A640" s="12" t="s">
        <v>615</v>
      </c>
      <c r="B640" s="11">
        <v>65000</v>
      </c>
    </row>
    <row r="641" spans="1:2" x14ac:dyDescent="0.25">
      <c r="A641" s="12" t="s">
        <v>616</v>
      </c>
      <c r="B641" s="11">
        <v>2618</v>
      </c>
    </row>
    <row r="642" spans="1:2" x14ac:dyDescent="0.25">
      <c r="A642" s="12" t="s">
        <v>617</v>
      </c>
      <c r="B642" s="11">
        <v>3473</v>
      </c>
    </row>
    <row r="643" spans="1:2" x14ac:dyDescent="0.25">
      <c r="A643" s="12" t="s">
        <v>618</v>
      </c>
      <c r="B643" s="11">
        <v>4652</v>
      </c>
    </row>
    <row r="644" spans="1:2" x14ac:dyDescent="0.25">
      <c r="A644" s="12" t="s">
        <v>619</v>
      </c>
      <c r="B644" s="11">
        <v>3225</v>
      </c>
    </row>
    <row r="645" spans="1:2" x14ac:dyDescent="0.25">
      <c r="A645" s="12" t="s">
        <v>620</v>
      </c>
      <c r="B645" s="11">
        <v>2901</v>
      </c>
    </row>
    <row r="646" spans="1:2" x14ac:dyDescent="0.25">
      <c r="A646" s="12" t="s">
        <v>621</v>
      </c>
      <c r="B646" s="11">
        <v>-81869</v>
      </c>
    </row>
    <row r="647" spans="1:2" x14ac:dyDescent="0.25">
      <c r="A647" s="10" t="s">
        <v>622</v>
      </c>
      <c r="B647" s="11">
        <v>0</v>
      </c>
    </row>
    <row r="648" spans="1:2" x14ac:dyDescent="0.25">
      <c r="A648" s="12" t="s">
        <v>623</v>
      </c>
      <c r="B648" s="11">
        <v>400</v>
      </c>
    </row>
    <row r="649" spans="1:2" x14ac:dyDescent="0.25">
      <c r="A649" s="12" t="s">
        <v>10</v>
      </c>
      <c r="B649" s="11">
        <v>-400</v>
      </c>
    </row>
    <row r="650" spans="1:2" x14ac:dyDescent="0.25">
      <c r="A650" s="10" t="s">
        <v>624</v>
      </c>
      <c r="B650" s="11">
        <v>0</v>
      </c>
    </row>
    <row r="651" spans="1:2" x14ac:dyDescent="0.25">
      <c r="A651" s="12" t="s">
        <v>625</v>
      </c>
      <c r="B651" s="11">
        <v>39000</v>
      </c>
    </row>
    <row r="652" spans="1:2" x14ac:dyDescent="0.25">
      <c r="A652" s="12" t="s">
        <v>626</v>
      </c>
      <c r="B652" s="11">
        <v>349</v>
      </c>
    </row>
    <row r="653" spans="1:2" x14ac:dyDescent="0.25">
      <c r="A653" s="12" t="s">
        <v>627</v>
      </c>
      <c r="B653" s="11">
        <v>-39349</v>
      </c>
    </row>
    <row r="654" spans="1:2" x14ac:dyDescent="0.25">
      <c r="A654" s="10" t="s">
        <v>628</v>
      </c>
      <c r="B654" s="11">
        <v>0</v>
      </c>
    </row>
    <row r="655" spans="1:2" x14ac:dyDescent="0.25">
      <c r="A655" s="12" t="s">
        <v>629</v>
      </c>
      <c r="B655" s="11">
        <v>75000</v>
      </c>
    </row>
    <row r="656" spans="1:2" x14ac:dyDescent="0.25">
      <c r="A656" s="12" t="s">
        <v>630</v>
      </c>
      <c r="B656" s="11">
        <v>3823</v>
      </c>
    </row>
    <row r="657" spans="1:2" x14ac:dyDescent="0.25">
      <c r="A657" s="12" t="s">
        <v>631</v>
      </c>
      <c r="B657" s="11">
        <v>3553</v>
      </c>
    </row>
    <row r="658" spans="1:2" x14ac:dyDescent="0.25">
      <c r="A658" s="12" t="s">
        <v>632</v>
      </c>
      <c r="B658" s="11">
        <v>2963</v>
      </c>
    </row>
    <row r="659" spans="1:2" x14ac:dyDescent="0.25">
      <c r="A659" s="12" t="s">
        <v>633</v>
      </c>
      <c r="B659" s="11">
        <v>3173</v>
      </c>
    </row>
    <row r="660" spans="1:2" x14ac:dyDescent="0.25">
      <c r="A660" s="12" t="s">
        <v>634</v>
      </c>
      <c r="B660" s="11">
        <v>5753</v>
      </c>
    </row>
    <row r="661" spans="1:2" x14ac:dyDescent="0.25">
      <c r="A661" s="12" t="s">
        <v>635</v>
      </c>
      <c r="B661" s="11">
        <v>-94265</v>
      </c>
    </row>
    <row r="662" spans="1:2" x14ac:dyDescent="0.25">
      <c r="A662" s="10" t="s">
        <v>636</v>
      </c>
      <c r="B662" s="11">
        <v>0</v>
      </c>
    </row>
    <row r="663" spans="1:2" x14ac:dyDescent="0.25">
      <c r="A663" s="12" t="s">
        <v>637</v>
      </c>
      <c r="B663" s="11">
        <v>195000</v>
      </c>
    </row>
    <row r="664" spans="1:2" x14ac:dyDescent="0.25">
      <c r="A664" s="12" t="s">
        <v>638</v>
      </c>
      <c r="B664" s="11">
        <v>6</v>
      </c>
    </row>
    <row r="665" spans="1:2" x14ac:dyDescent="0.25">
      <c r="A665" s="12" t="s">
        <v>639</v>
      </c>
      <c r="B665" s="11">
        <v>552</v>
      </c>
    </row>
    <row r="666" spans="1:2" x14ac:dyDescent="0.25">
      <c r="A666" s="12" t="s">
        <v>640</v>
      </c>
      <c r="B666" s="11">
        <v>840</v>
      </c>
    </row>
    <row r="667" spans="1:2" x14ac:dyDescent="0.25">
      <c r="A667" s="12" t="s">
        <v>641</v>
      </c>
      <c r="B667" s="11">
        <v>1448</v>
      </c>
    </row>
    <row r="668" spans="1:2" x14ac:dyDescent="0.25">
      <c r="A668" s="12" t="s">
        <v>642</v>
      </c>
      <c r="B668" s="11">
        <v>-197846</v>
      </c>
    </row>
    <row r="669" spans="1:2" x14ac:dyDescent="0.25">
      <c r="A669" s="10" t="s">
        <v>643</v>
      </c>
      <c r="B669" s="11">
        <v>0</v>
      </c>
    </row>
    <row r="670" spans="1:2" x14ac:dyDescent="0.25">
      <c r="A670" s="12" t="s">
        <v>644</v>
      </c>
      <c r="B670" s="11">
        <v>55000</v>
      </c>
    </row>
    <row r="671" spans="1:2" x14ac:dyDescent="0.25">
      <c r="A671" s="12" t="s">
        <v>645</v>
      </c>
      <c r="B671" s="11">
        <v>2</v>
      </c>
    </row>
    <row r="672" spans="1:2" x14ac:dyDescent="0.25">
      <c r="A672" s="12" t="s">
        <v>646</v>
      </c>
      <c r="B672" s="11">
        <v>927</v>
      </c>
    </row>
    <row r="673" spans="1:2" x14ac:dyDescent="0.25">
      <c r="A673" s="12" t="s">
        <v>647</v>
      </c>
      <c r="B673" s="11">
        <v>1066</v>
      </c>
    </row>
    <row r="674" spans="1:2" x14ac:dyDescent="0.25">
      <c r="A674" s="12" t="s">
        <v>648</v>
      </c>
      <c r="B674" s="11">
        <v>1236</v>
      </c>
    </row>
    <row r="675" spans="1:2" x14ac:dyDescent="0.25">
      <c r="A675" s="12" t="s">
        <v>649</v>
      </c>
      <c r="B675" s="11">
        <v>1431</v>
      </c>
    </row>
    <row r="676" spans="1:2" x14ac:dyDescent="0.25">
      <c r="A676" s="12" t="s">
        <v>650</v>
      </c>
      <c r="B676" s="11">
        <v>1393</v>
      </c>
    </row>
    <row r="677" spans="1:2" x14ac:dyDescent="0.25">
      <c r="A677" s="12" t="s">
        <v>651</v>
      </c>
      <c r="B677" s="11">
        <v>1791</v>
      </c>
    </row>
    <row r="678" spans="1:2" x14ac:dyDescent="0.25">
      <c r="A678" s="12" t="s">
        <v>652</v>
      </c>
      <c r="B678" s="11">
        <v>653</v>
      </c>
    </row>
    <row r="679" spans="1:2" x14ac:dyDescent="0.25">
      <c r="A679" s="12" t="s">
        <v>653</v>
      </c>
      <c r="B679" s="11">
        <v>-63499</v>
      </c>
    </row>
    <row r="680" spans="1:2" x14ac:dyDescent="0.25">
      <c r="A680" s="10" t="s">
        <v>654</v>
      </c>
      <c r="B680" s="11">
        <v>0</v>
      </c>
    </row>
    <row r="681" spans="1:2" x14ac:dyDescent="0.25">
      <c r="A681" s="12" t="s">
        <v>655</v>
      </c>
      <c r="B681" s="11">
        <v>75000</v>
      </c>
    </row>
    <row r="682" spans="1:2" x14ac:dyDescent="0.25">
      <c r="A682" s="12" t="s">
        <v>656</v>
      </c>
      <c r="B682" s="11">
        <v>261</v>
      </c>
    </row>
    <row r="683" spans="1:2" x14ac:dyDescent="0.25">
      <c r="A683" s="12" t="s">
        <v>657</v>
      </c>
      <c r="B683" s="11">
        <v>2881</v>
      </c>
    </row>
    <row r="684" spans="1:2" x14ac:dyDescent="0.25">
      <c r="A684" s="12" t="s">
        <v>658</v>
      </c>
      <c r="B684" s="11">
        <v>4701</v>
      </c>
    </row>
    <row r="685" spans="1:2" x14ac:dyDescent="0.25">
      <c r="A685" s="12" t="s">
        <v>659</v>
      </c>
      <c r="B685" s="11">
        <v>4804</v>
      </c>
    </row>
    <row r="686" spans="1:2" x14ac:dyDescent="0.25">
      <c r="A686" s="12" t="s">
        <v>660</v>
      </c>
      <c r="B686" s="11">
        <v>2681</v>
      </c>
    </row>
    <row r="687" spans="1:2" x14ac:dyDescent="0.25">
      <c r="A687" s="12" t="s">
        <v>661</v>
      </c>
      <c r="B687" s="11">
        <v>3730</v>
      </c>
    </row>
    <row r="688" spans="1:2" x14ac:dyDescent="0.25">
      <c r="A688" s="12" t="s">
        <v>662</v>
      </c>
      <c r="B688" s="11">
        <v>-94058</v>
      </c>
    </row>
    <row r="689" spans="1:2" x14ac:dyDescent="0.25">
      <c r="A689" s="10" t="s">
        <v>663</v>
      </c>
      <c r="B689" s="11">
        <v>0</v>
      </c>
    </row>
    <row r="690" spans="1:2" x14ac:dyDescent="0.25">
      <c r="A690" s="12" t="s">
        <v>664</v>
      </c>
      <c r="B690" s="11">
        <v>175000</v>
      </c>
    </row>
    <row r="691" spans="1:2" x14ac:dyDescent="0.25">
      <c r="A691" s="12" t="s">
        <v>665</v>
      </c>
      <c r="B691" s="11">
        <v>-1908</v>
      </c>
    </row>
    <row r="692" spans="1:2" x14ac:dyDescent="0.25">
      <c r="A692" s="12" t="s">
        <v>666</v>
      </c>
      <c r="B692" s="11">
        <v>1038</v>
      </c>
    </row>
    <row r="693" spans="1:2" x14ac:dyDescent="0.25">
      <c r="A693" s="12" t="s">
        <v>667</v>
      </c>
      <c r="B693" s="11">
        <v>818</v>
      </c>
    </row>
    <row r="694" spans="1:2" x14ac:dyDescent="0.25">
      <c r="A694" s="12" t="s">
        <v>668</v>
      </c>
      <c r="B694" s="11">
        <v>433</v>
      </c>
    </row>
    <row r="695" spans="1:2" x14ac:dyDescent="0.25">
      <c r="A695" s="12" t="s">
        <v>669</v>
      </c>
      <c r="B695" s="11">
        <v>1526</v>
      </c>
    </row>
    <row r="696" spans="1:2" x14ac:dyDescent="0.25">
      <c r="A696" s="12" t="s">
        <v>670</v>
      </c>
      <c r="B696" s="11">
        <v>-176907</v>
      </c>
    </row>
    <row r="697" spans="1:2" x14ac:dyDescent="0.25">
      <c r="A697" s="10" t="s">
        <v>671</v>
      </c>
      <c r="B697" s="11">
        <v>0</v>
      </c>
    </row>
    <row r="698" spans="1:2" x14ac:dyDescent="0.25">
      <c r="A698" s="12" t="s">
        <v>672</v>
      </c>
      <c r="B698" s="11">
        <v>89000</v>
      </c>
    </row>
    <row r="699" spans="1:2" x14ac:dyDescent="0.25">
      <c r="A699" s="12" t="s">
        <v>673</v>
      </c>
      <c r="B699" s="11">
        <v>76</v>
      </c>
    </row>
    <row r="700" spans="1:2" x14ac:dyDescent="0.25">
      <c r="A700" s="12" t="s">
        <v>674</v>
      </c>
      <c r="B700" s="11">
        <v>2926</v>
      </c>
    </row>
    <row r="701" spans="1:2" x14ac:dyDescent="0.25">
      <c r="A701" s="12" t="s">
        <v>675</v>
      </c>
      <c r="B701" s="11">
        <v>5556</v>
      </c>
    </row>
    <row r="702" spans="1:2" x14ac:dyDescent="0.25">
      <c r="A702" s="12" t="s">
        <v>676</v>
      </c>
      <c r="B702" s="11">
        <v>473</v>
      </c>
    </row>
    <row r="703" spans="1:2" x14ac:dyDescent="0.25">
      <c r="A703" s="12" t="s">
        <v>677</v>
      </c>
      <c r="B703" s="11">
        <v>-98031</v>
      </c>
    </row>
    <row r="704" spans="1:2" x14ac:dyDescent="0.25">
      <c r="A704" s="10" t="s">
        <v>678</v>
      </c>
      <c r="B704" s="11">
        <v>0</v>
      </c>
    </row>
    <row r="705" spans="1:2" x14ac:dyDescent="0.25">
      <c r="A705" s="12" t="s">
        <v>679</v>
      </c>
      <c r="B705" s="11">
        <v>65000</v>
      </c>
    </row>
    <row r="706" spans="1:2" x14ac:dyDescent="0.25">
      <c r="A706" s="12" t="s">
        <v>680</v>
      </c>
      <c r="B706" s="11">
        <v>2360</v>
      </c>
    </row>
    <row r="707" spans="1:2" x14ac:dyDescent="0.25">
      <c r="A707" s="12" t="s">
        <v>681</v>
      </c>
      <c r="B707" s="11">
        <v>-67360</v>
      </c>
    </row>
    <row r="708" spans="1:2" x14ac:dyDescent="0.25">
      <c r="A708" s="10" t="s">
        <v>682</v>
      </c>
      <c r="B708" s="11">
        <v>0</v>
      </c>
    </row>
    <row r="709" spans="1:2" x14ac:dyDescent="0.25">
      <c r="A709" s="12" t="s">
        <v>683</v>
      </c>
      <c r="B709" s="11">
        <v>43000</v>
      </c>
    </row>
    <row r="710" spans="1:2" x14ac:dyDescent="0.25">
      <c r="A710" s="12" t="s">
        <v>684</v>
      </c>
      <c r="B710" s="11">
        <v>1856</v>
      </c>
    </row>
    <row r="711" spans="1:2" x14ac:dyDescent="0.25">
      <c r="A711" s="12" t="s">
        <v>685</v>
      </c>
      <c r="B711" s="11">
        <v>-44856</v>
      </c>
    </row>
    <row r="712" spans="1:2" x14ac:dyDescent="0.25">
      <c r="A712" s="10" t="s">
        <v>686</v>
      </c>
      <c r="B712" s="11">
        <v>0</v>
      </c>
    </row>
    <row r="713" spans="1:2" x14ac:dyDescent="0.25">
      <c r="A713" s="12" t="s">
        <v>687</v>
      </c>
      <c r="B713" s="11">
        <v>51000</v>
      </c>
    </row>
    <row r="714" spans="1:2" x14ac:dyDescent="0.25">
      <c r="A714" s="12" t="s">
        <v>688</v>
      </c>
      <c r="B714" s="11">
        <v>3367</v>
      </c>
    </row>
    <row r="715" spans="1:2" x14ac:dyDescent="0.25">
      <c r="A715" s="12" t="s">
        <v>689</v>
      </c>
      <c r="B715" s="11">
        <v>-54367</v>
      </c>
    </row>
    <row r="716" spans="1:2" x14ac:dyDescent="0.25">
      <c r="A716" s="10" t="s">
        <v>690</v>
      </c>
      <c r="B716" s="11">
        <v>0</v>
      </c>
    </row>
    <row r="717" spans="1:2" x14ac:dyDescent="0.25">
      <c r="A717" s="12" t="s">
        <v>691</v>
      </c>
      <c r="B717" s="11">
        <v>155000</v>
      </c>
    </row>
    <row r="718" spans="1:2" x14ac:dyDescent="0.25">
      <c r="A718" s="12" t="s">
        <v>692</v>
      </c>
      <c r="B718" s="11">
        <v>-155000</v>
      </c>
    </row>
    <row r="719" spans="1:2" x14ac:dyDescent="0.25">
      <c r="A719" s="10" t="s">
        <v>693</v>
      </c>
      <c r="B719" s="11">
        <v>0</v>
      </c>
    </row>
    <row r="720" spans="1:2" x14ac:dyDescent="0.25">
      <c r="A720" s="12" t="s">
        <v>694</v>
      </c>
      <c r="B720" s="11">
        <v>35000</v>
      </c>
    </row>
    <row r="721" spans="1:2" x14ac:dyDescent="0.25">
      <c r="A721" s="12" t="s">
        <v>695</v>
      </c>
      <c r="B721" s="11">
        <v>-35000</v>
      </c>
    </row>
    <row r="722" spans="1:2" x14ac:dyDescent="0.25">
      <c r="A722" s="10" t="s">
        <v>696</v>
      </c>
      <c r="B722" s="11">
        <v>0</v>
      </c>
    </row>
    <row r="723" spans="1:2" x14ac:dyDescent="0.25">
      <c r="A723" s="12" t="s">
        <v>697</v>
      </c>
      <c r="B723" s="11">
        <v>45000</v>
      </c>
    </row>
    <row r="724" spans="1:2" x14ac:dyDescent="0.25">
      <c r="A724" s="12" t="s">
        <v>698</v>
      </c>
      <c r="B724" s="11">
        <v>1756</v>
      </c>
    </row>
    <row r="725" spans="1:2" x14ac:dyDescent="0.25">
      <c r="A725" s="12" t="s">
        <v>699</v>
      </c>
      <c r="B725" s="11">
        <v>-46756</v>
      </c>
    </row>
    <row r="726" spans="1:2" x14ac:dyDescent="0.25">
      <c r="A726" s="10" t="s">
        <v>700</v>
      </c>
      <c r="B726" s="11">
        <v>0</v>
      </c>
    </row>
    <row r="727" spans="1:2" x14ac:dyDescent="0.25">
      <c r="A727" s="12" t="s">
        <v>701</v>
      </c>
      <c r="B727" s="11">
        <v>59000</v>
      </c>
    </row>
    <row r="728" spans="1:2" x14ac:dyDescent="0.25">
      <c r="A728" s="12" t="s">
        <v>702</v>
      </c>
      <c r="B728" s="11">
        <v>595</v>
      </c>
    </row>
    <row r="729" spans="1:2" x14ac:dyDescent="0.25">
      <c r="A729" s="12" t="s">
        <v>703</v>
      </c>
      <c r="B729" s="11">
        <v>356</v>
      </c>
    </row>
    <row r="730" spans="1:2" x14ac:dyDescent="0.25">
      <c r="A730" s="12" t="s">
        <v>704</v>
      </c>
      <c r="B730" s="11">
        <v>339</v>
      </c>
    </row>
    <row r="731" spans="1:2" x14ac:dyDescent="0.25">
      <c r="A731" s="12" t="s">
        <v>705</v>
      </c>
      <c r="B731" s="11">
        <v>1251</v>
      </c>
    </row>
    <row r="732" spans="1:2" x14ac:dyDescent="0.25">
      <c r="A732" s="12" t="s">
        <v>706</v>
      </c>
      <c r="B732" s="11">
        <v>39</v>
      </c>
    </row>
    <row r="733" spans="1:2" x14ac:dyDescent="0.25">
      <c r="A733" s="12" t="s">
        <v>707</v>
      </c>
      <c r="B733" s="11">
        <v>394</v>
      </c>
    </row>
    <row r="734" spans="1:2" x14ac:dyDescent="0.25">
      <c r="A734" s="12" t="s">
        <v>708</v>
      </c>
      <c r="B734" s="11">
        <v>-61974</v>
      </c>
    </row>
    <row r="735" spans="1:2" x14ac:dyDescent="0.25">
      <c r="A735" s="10" t="s">
        <v>709</v>
      </c>
      <c r="B735" s="11">
        <v>0</v>
      </c>
    </row>
    <row r="736" spans="1:2" x14ac:dyDescent="0.25">
      <c r="A736" s="12" t="s">
        <v>710</v>
      </c>
      <c r="B736" s="11">
        <v>95000</v>
      </c>
    </row>
    <row r="737" spans="1:2" x14ac:dyDescent="0.25">
      <c r="A737" s="12" t="s">
        <v>711</v>
      </c>
      <c r="B737" s="11">
        <v>451</v>
      </c>
    </row>
    <row r="738" spans="1:2" x14ac:dyDescent="0.25">
      <c r="A738" s="12" t="s">
        <v>712</v>
      </c>
      <c r="B738" s="11">
        <v>155</v>
      </c>
    </row>
    <row r="739" spans="1:2" x14ac:dyDescent="0.25">
      <c r="A739" s="12" t="s">
        <v>713</v>
      </c>
      <c r="B739" s="11">
        <v>-95606</v>
      </c>
    </row>
    <row r="740" spans="1:2" x14ac:dyDescent="0.25">
      <c r="A740" s="10" t="s">
        <v>714</v>
      </c>
      <c r="B740" s="11">
        <v>0</v>
      </c>
    </row>
    <row r="741" spans="1:2" x14ac:dyDescent="0.25">
      <c r="A741" s="12" t="s">
        <v>715</v>
      </c>
      <c r="B741" s="11">
        <v>53000</v>
      </c>
    </row>
    <row r="742" spans="1:2" x14ac:dyDescent="0.25">
      <c r="A742" s="12" t="s">
        <v>716</v>
      </c>
      <c r="B742" s="11">
        <v>718</v>
      </c>
    </row>
    <row r="743" spans="1:2" x14ac:dyDescent="0.25">
      <c r="A743" s="12" t="s">
        <v>717</v>
      </c>
      <c r="B743" s="11">
        <v>2780</v>
      </c>
    </row>
    <row r="744" spans="1:2" x14ac:dyDescent="0.25">
      <c r="A744" s="12" t="s">
        <v>718</v>
      </c>
      <c r="B744" s="11">
        <v>-56498</v>
      </c>
    </row>
    <row r="745" spans="1:2" x14ac:dyDescent="0.25">
      <c r="A745" s="10" t="s">
        <v>719</v>
      </c>
      <c r="B745" s="11">
        <v>0</v>
      </c>
    </row>
    <row r="746" spans="1:2" x14ac:dyDescent="0.25">
      <c r="A746" s="12" t="s">
        <v>720</v>
      </c>
      <c r="B746" s="11">
        <v>65000</v>
      </c>
    </row>
    <row r="747" spans="1:2" x14ac:dyDescent="0.25">
      <c r="A747" s="12" t="s">
        <v>721</v>
      </c>
      <c r="B747" s="11">
        <v>2937</v>
      </c>
    </row>
    <row r="748" spans="1:2" x14ac:dyDescent="0.25">
      <c r="A748" s="12" t="s">
        <v>722</v>
      </c>
      <c r="B748" s="11">
        <v>4269</v>
      </c>
    </row>
    <row r="749" spans="1:2" x14ac:dyDescent="0.25">
      <c r="A749" s="12" t="s">
        <v>723</v>
      </c>
      <c r="B749" s="11">
        <v>4779</v>
      </c>
    </row>
    <row r="750" spans="1:2" x14ac:dyDescent="0.25">
      <c r="A750" s="12" t="s">
        <v>724</v>
      </c>
      <c r="B750" s="11">
        <v>3985</v>
      </c>
    </row>
    <row r="751" spans="1:2" x14ac:dyDescent="0.25">
      <c r="A751" s="12" t="s">
        <v>725</v>
      </c>
      <c r="B751" s="11">
        <v>-80970</v>
      </c>
    </row>
    <row r="752" spans="1:2" x14ac:dyDescent="0.25">
      <c r="A752" s="10" t="s">
        <v>726</v>
      </c>
      <c r="B752" s="11">
        <v>0</v>
      </c>
    </row>
    <row r="753" spans="1:2" x14ac:dyDescent="0.25">
      <c r="A753" s="12" t="s">
        <v>727</v>
      </c>
      <c r="B753" s="11">
        <v>55000</v>
      </c>
    </row>
    <row r="754" spans="1:2" x14ac:dyDescent="0.25">
      <c r="A754" s="12" t="s">
        <v>728</v>
      </c>
      <c r="B754" s="11">
        <v>2110</v>
      </c>
    </row>
    <row r="755" spans="1:2" x14ac:dyDescent="0.25">
      <c r="A755" s="12" t="s">
        <v>729</v>
      </c>
      <c r="B755" s="11">
        <v>1316</v>
      </c>
    </row>
    <row r="756" spans="1:2" x14ac:dyDescent="0.25">
      <c r="A756" s="12" t="s">
        <v>730</v>
      </c>
      <c r="B756" s="11">
        <v>922</v>
      </c>
    </row>
    <row r="757" spans="1:2" x14ac:dyDescent="0.25">
      <c r="A757" s="12" t="s">
        <v>731</v>
      </c>
      <c r="B757" s="11">
        <v>-59348</v>
      </c>
    </row>
    <row r="758" spans="1:2" x14ac:dyDescent="0.25">
      <c r="A758" s="10" t="s">
        <v>732</v>
      </c>
      <c r="B758" s="11">
        <v>0</v>
      </c>
    </row>
    <row r="759" spans="1:2" x14ac:dyDescent="0.25">
      <c r="A759" s="12" t="s">
        <v>733</v>
      </c>
      <c r="B759" s="11">
        <v>68603</v>
      </c>
    </row>
    <row r="760" spans="1:2" x14ac:dyDescent="0.25">
      <c r="A760" s="12" t="s">
        <v>734</v>
      </c>
      <c r="B760" s="11">
        <v>4394</v>
      </c>
    </row>
    <row r="761" spans="1:2" x14ac:dyDescent="0.25">
      <c r="A761" s="12" t="s">
        <v>735</v>
      </c>
      <c r="B761" s="11">
        <v>-72997</v>
      </c>
    </row>
    <row r="762" spans="1:2" x14ac:dyDescent="0.25">
      <c r="A762" s="10" t="s">
        <v>736</v>
      </c>
      <c r="B762" s="11">
        <v>0</v>
      </c>
    </row>
    <row r="763" spans="1:2" x14ac:dyDescent="0.25">
      <c r="A763" s="12" t="s">
        <v>737</v>
      </c>
      <c r="B763" s="11">
        <v>53430</v>
      </c>
    </row>
    <row r="764" spans="1:2" x14ac:dyDescent="0.25">
      <c r="A764" s="12" t="s">
        <v>738</v>
      </c>
      <c r="B764" s="11">
        <v>2902</v>
      </c>
    </row>
    <row r="765" spans="1:2" x14ac:dyDescent="0.25">
      <c r="A765" s="12" t="s">
        <v>739</v>
      </c>
      <c r="B765" s="11">
        <v>1194</v>
      </c>
    </row>
    <row r="766" spans="1:2" x14ac:dyDescent="0.25">
      <c r="A766" s="12" t="s">
        <v>740</v>
      </c>
      <c r="B766" s="11">
        <v>1467</v>
      </c>
    </row>
    <row r="767" spans="1:2" x14ac:dyDescent="0.25">
      <c r="A767" s="12" t="s">
        <v>741</v>
      </c>
      <c r="B767" s="11">
        <v>691</v>
      </c>
    </row>
    <row r="768" spans="1:2" x14ac:dyDescent="0.25">
      <c r="A768" s="12" t="s">
        <v>742</v>
      </c>
      <c r="B768" s="11">
        <v>1317</v>
      </c>
    </row>
    <row r="769" spans="1:2" x14ac:dyDescent="0.25">
      <c r="A769" s="12" t="s">
        <v>743</v>
      </c>
      <c r="B769" s="11">
        <v>-61001</v>
      </c>
    </row>
    <row r="770" spans="1:2" x14ac:dyDescent="0.25">
      <c r="A770" s="10" t="s">
        <v>744</v>
      </c>
      <c r="B770" s="11">
        <v>0</v>
      </c>
    </row>
    <row r="771" spans="1:2" x14ac:dyDescent="0.25">
      <c r="A771" s="12" t="s">
        <v>745</v>
      </c>
      <c r="B771" s="11">
        <v>34644</v>
      </c>
    </row>
    <row r="772" spans="1:2" x14ac:dyDescent="0.25">
      <c r="A772" s="12" t="s">
        <v>746</v>
      </c>
      <c r="B772" s="11">
        <v>605</v>
      </c>
    </row>
    <row r="773" spans="1:2" x14ac:dyDescent="0.25">
      <c r="A773" s="12" t="s">
        <v>747</v>
      </c>
      <c r="B773" s="11">
        <v>1059</v>
      </c>
    </row>
    <row r="774" spans="1:2" x14ac:dyDescent="0.25">
      <c r="A774" s="12" t="s">
        <v>748</v>
      </c>
      <c r="B774" s="11">
        <v>1451</v>
      </c>
    </row>
    <row r="775" spans="1:2" x14ac:dyDescent="0.25">
      <c r="A775" s="12" t="s">
        <v>749</v>
      </c>
      <c r="B775" s="11">
        <v>432</v>
      </c>
    </row>
    <row r="776" spans="1:2" x14ac:dyDescent="0.25">
      <c r="A776" s="12" t="s">
        <v>750</v>
      </c>
      <c r="B776" s="11">
        <v>318</v>
      </c>
    </row>
    <row r="777" spans="1:2" x14ac:dyDescent="0.25">
      <c r="A777" s="12" t="s">
        <v>751</v>
      </c>
      <c r="B777" s="11">
        <v>-38509</v>
      </c>
    </row>
    <row r="778" spans="1:2" x14ac:dyDescent="0.25">
      <c r="A778" s="10" t="s">
        <v>752</v>
      </c>
      <c r="B778" s="11">
        <v>0</v>
      </c>
    </row>
    <row r="779" spans="1:2" x14ac:dyDescent="0.25">
      <c r="A779" s="12" t="s">
        <v>753</v>
      </c>
      <c r="B779" s="11">
        <v>94700</v>
      </c>
    </row>
    <row r="780" spans="1:2" x14ac:dyDescent="0.25">
      <c r="A780" s="12" t="s">
        <v>754</v>
      </c>
      <c r="B780" s="11">
        <v>2929</v>
      </c>
    </row>
    <row r="781" spans="1:2" x14ac:dyDescent="0.25">
      <c r="A781" s="12" t="s">
        <v>755</v>
      </c>
      <c r="B781" s="11">
        <v>3729</v>
      </c>
    </row>
    <row r="782" spans="1:2" x14ac:dyDescent="0.25">
      <c r="A782" s="12" t="s">
        <v>756</v>
      </c>
      <c r="B782" s="11">
        <v>4239</v>
      </c>
    </row>
    <row r="783" spans="1:2" x14ac:dyDescent="0.25">
      <c r="A783" s="12" t="s">
        <v>757</v>
      </c>
      <c r="B783" s="11">
        <v>2326</v>
      </c>
    </row>
    <row r="784" spans="1:2" x14ac:dyDescent="0.25">
      <c r="A784" s="12" t="s">
        <v>758</v>
      </c>
      <c r="B784" s="11">
        <v>3344</v>
      </c>
    </row>
    <row r="785" spans="1:2" x14ac:dyDescent="0.25">
      <c r="A785" s="12" t="s">
        <v>759</v>
      </c>
      <c r="B785" s="11">
        <v>-111267</v>
      </c>
    </row>
    <row r="786" spans="1:2" x14ac:dyDescent="0.25">
      <c r="A786" s="10" t="s">
        <v>760</v>
      </c>
      <c r="B786" s="11">
        <v>0</v>
      </c>
    </row>
    <row r="787" spans="1:2" x14ac:dyDescent="0.25">
      <c r="A787" s="12" t="s">
        <v>761</v>
      </c>
      <c r="B787" s="11">
        <v>155000</v>
      </c>
    </row>
    <row r="788" spans="1:2" x14ac:dyDescent="0.25">
      <c r="A788" s="12" t="s">
        <v>762</v>
      </c>
      <c r="B788" s="11">
        <v>2572</v>
      </c>
    </row>
    <row r="789" spans="1:2" x14ac:dyDescent="0.25">
      <c r="A789" s="12" t="s">
        <v>763</v>
      </c>
      <c r="B789" s="11">
        <v>5112</v>
      </c>
    </row>
    <row r="790" spans="1:2" x14ac:dyDescent="0.25">
      <c r="A790" s="12" t="s">
        <v>764</v>
      </c>
      <c r="B790" s="11">
        <v>-162684</v>
      </c>
    </row>
    <row r="791" spans="1:2" x14ac:dyDescent="0.25">
      <c r="A791" s="10" t="s">
        <v>765</v>
      </c>
      <c r="B791" s="11">
        <v>0</v>
      </c>
    </row>
    <row r="792" spans="1:2" x14ac:dyDescent="0.25">
      <c r="A792" s="12" t="s">
        <v>766</v>
      </c>
      <c r="B792" s="11">
        <v>41000</v>
      </c>
    </row>
    <row r="793" spans="1:2" x14ac:dyDescent="0.25">
      <c r="A793" s="12" t="s">
        <v>767</v>
      </c>
      <c r="B793" s="11">
        <v>3814</v>
      </c>
    </row>
    <row r="794" spans="1:2" x14ac:dyDescent="0.25">
      <c r="A794" s="12" t="s">
        <v>768</v>
      </c>
      <c r="B794" s="11">
        <v>3929</v>
      </c>
    </row>
    <row r="795" spans="1:2" x14ac:dyDescent="0.25">
      <c r="A795" s="12" t="s">
        <v>769</v>
      </c>
      <c r="B795" s="11">
        <v>3224</v>
      </c>
    </row>
    <row r="796" spans="1:2" x14ac:dyDescent="0.25">
      <c r="A796" s="12" t="s">
        <v>770</v>
      </c>
      <c r="B796" s="11">
        <v>1919</v>
      </c>
    </row>
    <row r="797" spans="1:2" x14ac:dyDescent="0.25">
      <c r="A797" s="12" t="s">
        <v>771</v>
      </c>
      <c r="B797" s="11">
        <v>1808</v>
      </c>
    </row>
    <row r="798" spans="1:2" x14ac:dyDescent="0.25">
      <c r="A798" s="12" t="s">
        <v>772</v>
      </c>
      <c r="B798" s="11">
        <v>967</v>
      </c>
    </row>
    <row r="799" spans="1:2" x14ac:dyDescent="0.25">
      <c r="A799" s="12" t="s">
        <v>773</v>
      </c>
      <c r="B799" s="11">
        <v>950</v>
      </c>
    </row>
    <row r="800" spans="1:2" x14ac:dyDescent="0.25">
      <c r="A800" s="12" t="s">
        <v>774</v>
      </c>
      <c r="B800" s="11">
        <v>1580</v>
      </c>
    </row>
    <row r="801" spans="1:2" x14ac:dyDescent="0.25">
      <c r="A801" s="12" t="s">
        <v>775</v>
      </c>
      <c r="B801" s="11">
        <v>-59191</v>
      </c>
    </row>
    <row r="802" spans="1:2" x14ac:dyDescent="0.25">
      <c r="A802" s="10" t="s">
        <v>776</v>
      </c>
      <c r="B802" s="11">
        <v>0</v>
      </c>
    </row>
    <row r="803" spans="1:2" x14ac:dyDescent="0.25">
      <c r="A803" s="12" t="s">
        <v>777</v>
      </c>
      <c r="B803" s="11">
        <v>445000</v>
      </c>
    </row>
    <row r="804" spans="1:2" x14ac:dyDescent="0.25">
      <c r="A804" s="12" t="s">
        <v>778</v>
      </c>
      <c r="B804" s="11">
        <v>3528</v>
      </c>
    </row>
    <row r="805" spans="1:2" x14ac:dyDescent="0.25">
      <c r="A805" s="12" t="s">
        <v>779</v>
      </c>
      <c r="B805" s="11">
        <v>3924</v>
      </c>
    </row>
    <row r="806" spans="1:2" x14ac:dyDescent="0.25">
      <c r="A806" s="12" t="s">
        <v>780</v>
      </c>
      <c r="B806" s="11">
        <v>2589</v>
      </c>
    </row>
    <row r="807" spans="1:2" x14ac:dyDescent="0.25">
      <c r="A807" s="12" t="s">
        <v>781</v>
      </c>
      <c r="B807" s="11">
        <v>4334</v>
      </c>
    </row>
    <row r="808" spans="1:2" x14ac:dyDescent="0.25">
      <c r="A808" s="12" t="s">
        <v>782</v>
      </c>
      <c r="B808" s="11">
        <v>4882</v>
      </c>
    </row>
    <row r="809" spans="1:2" x14ac:dyDescent="0.25">
      <c r="A809" s="12" t="s">
        <v>783</v>
      </c>
      <c r="B809" s="11">
        <v>-464257</v>
      </c>
    </row>
    <row r="810" spans="1:2" x14ac:dyDescent="0.25">
      <c r="A810" s="10" t="s">
        <v>784</v>
      </c>
      <c r="B810" s="11">
        <v>0</v>
      </c>
    </row>
    <row r="811" spans="1:2" x14ac:dyDescent="0.25">
      <c r="A811" s="12" t="s">
        <v>785</v>
      </c>
      <c r="B811" s="11">
        <v>99</v>
      </c>
    </row>
    <row r="812" spans="1:2" x14ac:dyDescent="0.25">
      <c r="A812" s="12" t="s">
        <v>10</v>
      </c>
      <c r="B812" s="11">
        <v>-99</v>
      </c>
    </row>
    <row r="813" spans="1:2" x14ac:dyDescent="0.25">
      <c r="A813" s="10" t="s">
        <v>786</v>
      </c>
      <c r="B813" s="11">
        <v>0</v>
      </c>
    </row>
    <row r="814" spans="1:2" x14ac:dyDescent="0.25">
      <c r="A814" s="12" t="s">
        <v>787</v>
      </c>
      <c r="B814" s="11">
        <v>47000</v>
      </c>
    </row>
    <row r="815" spans="1:2" x14ac:dyDescent="0.25">
      <c r="A815" s="12" t="s">
        <v>788</v>
      </c>
      <c r="B815" s="11">
        <v>3983</v>
      </c>
    </row>
    <row r="816" spans="1:2" x14ac:dyDescent="0.25">
      <c r="A816" s="12" t="s">
        <v>789</v>
      </c>
      <c r="B816" s="11">
        <v>3937</v>
      </c>
    </row>
    <row r="817" spans="1:2" x14ac:dyDescent="0.25">
      <c r="A817" s="12" t="s">
        <v>790</v>
      </c>
      <c r="B817" s="11">
        <v>3298</v>
      </c>
    </row>
    <row r="818" spans="1:2" x14ac:dyDescent="0.25">
      <c r="A818" s="12" t="s">
        <v>791</v>
      </c>
      <c r="B818" s="11">
        <v>3592</v>
      </c>
    </row>
    <row r="819" spans="1:2" x14ac:dyDescent="0.25">
      <c r="A819" s="12" t="s">
        <v>792</v>
      </c>
      <c r="B819" s="11">
        <v>3259</v>
      </c>
    </row>
    <row r="820" spans="1:2" x14ac:dyDescent="0.25">
      <c r="A820" s="12" t="s">
        <v>793</v>
      </c>
      <c r="B820" s="11">
        <v>4003</v>
      </c>
    </row>
    <row r="821" spans="1:2" x14ac:dyDescent="0.25">
      <c r="A821" s="12" t="s">
        <v>794</v>
      </c>
      <c r="B821" s="11">
        <v>3268</v>
      </c>
    </row>
    <row r="822" spans="1:2" x14ac:dyDescent="0.25">
      <c r="A822" s="12" t="s">
        <v>795</v>
      </c>
      <c r="B822" s="11">
        <v>2136</v>
      </c>
    </row>
    <row r="823" spans="1:2" x14ac:dyDescent="0.25">
      <c r="A823" s="12" t="s">
        <v>796</v>
      </c>
      <c r="B823" s="11">
        <v>-74476</v>
      </c>
    </row>
    <row r="824" spans="1:2" x14ac:dyDescent="0.25">
      <c r="A824" s="10" t="s">
        <v>797</v>
      </c>
      <c r="B824" s="11">
        <v>0</v>
      </c>
    </row>
    <row r="825" spans="1:2" x14ac:dyDescent="0.25">
      <c r="A825" s="12" t="s">
        <v>798</v>
      </c>
      <c r="B825" s="11">
        <v>35000</v>
      </c>
    </row>
    <row r="826" spans="1:2" x14ac:dyDescent="0.25">
      <c r="A826" s="12" t="s">
        <v>799</v>
      </c>
      <c r="B826" s="11">
        <v>1445</v>
      </c>
    </row>
    <row r="827" spans="1:2" x14ac:dyDescent="0.25">
      <c r="A827" s="12" t="s">
        <v>800</v>
      </c>
      <c r="B827" s="11">
        <v>-1937</v>
      </c>
    </row>
    <row r="828" spans="1:2" x14ac:dyDescent="0.25">
      <c r="A828" s="12" t="s">
        <v>801</v>
      </c>
      <c r="B828" s="11">
        <v>-34508</v>
      </c>
    </row>
    <row r="829" spans="1:2" x14ac:dyDescent="0.25">
      <c r="A829" s="10" t="s">
        <v>802</v>
      </c>
      <c r="B829" s="11">
        <v>0</v>
      </c>
    </row>
    <row r="830" spans="1:2" x14ac:dyDescent="0.25">
      <c r="A830" s="12" t="s">
        <v>803</v>
      </c>
      <c r="B830" s="11">
        <v>215000</v>
      </c>
    </row>
    <row r="831" spans="1:2" x14ac:dyDescent="0.25">
      <c r="A831" s="12" t="s">
        <v>804</v>
      </c>
      <c r="B831" s="11">
        <v>19293</v>
      </c>
    </row>
    <row r="832" spans="1:2" x14ac:dyDescent="0.25">
      <c r="A832" s="12" t="s">
        <v>805</v>
      </c>
      <c r="B832" s="11">
        <v>17878</v>
      </c>
    </row>
    <row r="833" spans="1:2" x14ac:dyDescent="0.25">
      <c r="A833" s="12" t="s">
        <v>806</v>
      </c>
      <c r="B833" s="11">
        <v>-252171</v>
      </c>
    </row>
    <row r="834" spans="1:2" x14ac:dyDescent="0.25">
      <c r="A834" s="10" t="s">
        <v>807</v>
      </c>
      <c r="B834" s="11">
        <v>0</v>
      </c>
    </row>
    <row r="835" spans="1:2" x14ac:dyDescent="0.25">
      <c r="A835" s="12" t="s">
        <v>808</v>
      </c>
      <c r="B835" s="11">
        <v>2345</v>
      </c>
    </row>
    <row r="836" spans="1:2" x14ac:dyDescent="0.25">
      <c r="A836" s="12" t="s">
        <v>809</v>
      </c>
      <c r="B836" s="11">
        <v>92655</v>
      </c>
    </row>
    <row r="837" spans="1:2" x14ac:dyDescent="0.25">
      <c r="A837" s="12" t="s">
        <v>810</v>
      </c>
      <c r="B837" s="11">
        <v>4961</v>
      </c>
    </row>
    <row r="838" spans="1:2" x14ac:dyDescent="0.25">
      <c r="A838" s="12" t="s">
        <v>811</v>
      </c>
      <c r="B838" s="11">
        <v>4758</v>
      </c>
    </row>
    <row r="839" spans="1:2" x14ac:dyDescent="0.25">
      <c r="A839" s="12" t="s">
        <v>812</v>
      </c>
      <c r="B839" s="11">
        <v>6392</v>
      </c>
    </row>
    <row r="840" spans="1:2" x14ac:dyDescent="0.25">
      <c r="A840" s="12" t="s">
        <v>813</v>
      </c>
      <c r="B840" s="11">
        <v>5574</v>
      </c>
    </row>
    <row r="841" spans="1:2" x14ac:dyDescent="0.25">
      <c r="A841" s="12" t="s">
        <v>814</v>
      </c>
      <c r="B841" s="11">
        <v>4397</v>
      </c>
    </row>
    <row r="842" spans="1:2" x14ac:dyDescent="0.25">
      <c r="A842" s="12" t="s">
        <v>815</v>
      </c>
      <c r="B842" s="11">
        <v>449</v>
      </c>
    </row>
    <row r="843" spans="1:2" x14ac:dyDescent="0.25">
      <c r="A843" s="12" t="s">
        <v>816</v>
      </c>
      <c r="B843" s="11">
        <v>-121531</v>
      </c>
    </row>
    <row r="844" spans="1:2" x14ac:dyDescent="0.25">
      <c r="A844" s="10" t="s">
        <v>817</v>
      </c>
      <c r="B844" s="11">
        <v>0</v>
      </c>
    </row>
    <row r="845" spans="1:2" x14ac:dyDescent="0.25">
      <c r="A845" s="12" t="s">
        <v>818</v>
      </c>
      <c r="B845" s="11">
        <v>2</v>
      </c>
    </row>
    <row r="846" spans="1:2" x14ac:dyDescent="0.25">
      <c r="A846" s="12" t="s">
        <v>10</v>
      </c>
      <c r="B846" s="11">
        <v>-2</v>
      </c>
    </row>
    <row r="847" spans="1:2" x14ac:dyDescent="0.25">
      <c r="A847" s="10" t="s">
        <v>819</v>
      </c>
      <c r="B847" s="11">
        <v>0</v>
      </c>
    </row>
    <row r="848" spans="1:2" x14ac:dyDescent="0.25">
      <c r="A848" s="12" t="s">
        <v>820</v>
      </c>
      <c r="B848" s="11">
        <v>155000</v>
      </c>
    </row>
    <row r="849" spans="1:2" x14ac:dyDescent="0.25">
      <c r="A849" s="12" t="s">
        <v>821</v>
      </c>
      <c r="B849" s="11">
        <v>580</v>
      </c>
    </row>
    <row r="850" spans="1:2" x14ac:dyDescent="0.25">
      <c r="A850" s="12" t="s">
        <v>822</v>
      </c>
      <c r="B850" s="11">
        <v>1469</v>
      </c>
    </row>
    <row r="851" spans="1:2" x14ac:dyDescent="0.25">
      <c r="A851" s="12" t="s">
        <v>823</v>
      </c>
      <c r="B851" s="11">
        <v>1274</v>
      </c>
    </row>
    <row r="852" spans="1:2" x14ac:dyDescent="0.25">
      <c r="A852" s="12" t="s">
        <v>824</v>
      </c>
      <c r="B852" s="11">
        <v>2580</v>
      </c>
    </row>
    <row r="853" spans="1:2" x14ac:dyDescent="0.25">
      <c r="A853" s="12" t="s">
        <v>825</v>
      </c>
      <c r="B853" s="11">
        <v>3254</v>
      </c>
    </row>
    <row r="854" spans="1:2" x14ac:dyDescent="0.25">
      <c r="A854" s="12" t="s">
        <v>826</v>
      </c>
      <c r="B854" s="11">
        <v>2049</v>
      </c>
    </row>
    <row r="855" spans="1:2" x14ac:dyDescent="0.25">
      <c r="A855" s="12" t="s">
        <v>827</v>
      </c>
      <c r="B855" s="11">
        <v>-166206</v>
      </c>
    </row>
    <row r="856" spans="1:2" x14ac:dyDescent="0.25">
      <c r="A856" s="10" t="s">
        <v>828</v>
      </c>
      <c r="B856" s="11">
        <v>0</v>
      </c>
    </row>
    <row r="857" spans="1:2" x14ac:dyDescent="0.25">
      <c r="A857" s="12" t="s">
        <v>829</v>
      </c>
      <c r="B857" s="11">
        <v>45000</v>
      </c>
    </row>
    <row r="858" spans="1:2" x14ac:dyDescent="0.25">
      <c r="A858" s="12" t="s">
        <v>830</v>
      </c>
      <c r="B858" s="11">
        <v>180</v>
      </c>
    </row>
    <row r="859" spans="1:2" x14ac:dyDescent="0.25">
      <c r="A859" s="12" t="s">
        <v>831</v>
      </c>
      <c r="B859" s="11">
        <v>19</v>
      </c>
    </row>
    <row r="860" spans="1:2" x14ac:dyDescent="0.25">
      <c r="A860" s="12" t="s">
        <v>832</v>
      </c>
      <c r="B860" s="11">
        <v>4438</v>
      </c>
    </row>
    <row r="861" spans="1:2" x14ac:dyDescent="0.25">
      <c r="A861" s="12" t="s">
        <v>833</v>
      </c>
      <c r="B861" s="11">
        <v>-49637</v>
      </c>
    </row>
    <row r="862" spans="1:2" x14ac:dyDescent="0.25">
      <c r="A862" s="10" t="s">
        <v>834</v>
      </c>
      <c r="B862" s="11">
        <v>0</v>
      </c>
    </row>
    <row r="863" spans="1:2" x14ac:dyDescent="0.25">
      <c r="A863" s="12" t="s">
        <v>835</v>
      </c>
      <c r="B863" s="11">
        <v>91000</v>
      </c>
    </row>
    <row r="864" spans="1:2" x14ac:dyDescent="0.25">
      <c r="A864" s="12" t="s">
        <v>836</v>
      </c>
      <c r="B864" s="11">
        <v>3682</v>
      </c>
    </row>
    <row r="865" spans="1:2" x14ac:dyDescent="0.25">
      <c r="A865" s="12" t="s">
        <v>837</v>
      </c>
      <c r="B865" s="11">
        <v>4421</v>
      </c>
    </row>
    <row r="866" spans="1:2" x14ac:dyDescent="0.25">
      <c r="A866" s="12" t="s">
        <v>838</v>
      </c>
      <c r="B866" s="11">
        <v>4339</v>
      </c>
    </row>
    <row r="867" spans="1:2" x14ac:dyDescent="0.25">
      <c r="A867" s="12" t="s">
        <v>839</v>
      </c>
      <c r="B867" s="11">
        <v>4178</v>
      </c>
    </row>
    <row r="868" spans="1:2" x14ac:dyDescent="0.25">
      <c r="A868" s="12" t="s">
        <v>840</v>
      </c>
      <c r="B868" s="11">
        <v>4950</v>
      </c>
    </row>
    <row r="869" spans="1:2" x14ac:dyDescent="0.25">
      <c r="A869" s="12" t="s">
        <v>841</v>
      </c>
      <c r="B869" s="11">
        <v>5106</v>
      </c>
    </row>
    <row r="870" spans="1:2" x14ac:dyDescent="0.25">
      <c r="A870" s="12" t="s">
        <v>842</v>
      </c>
      <c r="B870" s="11">
        <v>5125</v>
      </c>
    </row>
    <row r="871" spans="1:2" x14ac:dyDescent="0.25">
      <c r="A871" s="12" t="s">
        <v>843</v>
      </c>
      <c r="B871" s="11">
        <v>5002</v>
      </c>
    </row>
    <row r="872" spans="1:2" x14ac:dyDescent="0.25">
      <c r="A872" s="12" t="s">
        <v>844</v>
      </c>
      <c r="B872" s="11">
        <v>-127803</v>
      </c>
    </row>
    <row r="873" spans="1:2" x14ac:dyDescent="0.25">
      <c r="A873" s="10" t="s">
        <v>845</v>
      </c>
      <c r="B873" s="11">
        <v>0</v>
      </c>
    </row>
    <row r="874" spans="1:2" x14ac:dyDescent="0.25">
      <c r="A874" s="12" t="s">
        <v>846</v>
      </c>
      <c r="B874" s="11">
        <v>59000</v>
      </c>
    </row>
    <row r="875" spans="1:2" x14ac:dyDescent="0.25">
      <c r="A875" s="12" t="s">
        <v>847</v>
      </c>
      <c r="B875" s="11">
        <v>900</v>
      </c>
    </row>
    <row r="876" spans="1:2" x14ac:dyDescent="0.25">
      <c r="A876" s="12" t="s">
        <v>848</v>
      </c>
      <c r="B876" s="11">
        <v>903</v>
      </c>
    </row>
    <row r="877" spans="1:2" x14ac:dyDescent="0.25">
      <c r="A877" s="12" t="s">
        <v>849</v>
      </c>
      <c r="B877" s="11">
        <v>1826</v>
      </c>
    </row>
    <row r="878" spans="1:2" x14ac:dyDescent="0.25">
      <c r="A878" s="12" t="s">
        <v>850</v>
      </c>
      <c r="B878" s="11">
        <v>1696</v>
      </c>
    </row>
    <row r="879" spans="1:2" x14ac:dyDescent="0.25">
      <c r="A879" s="12" t="s">
        <v>851</v>
      </c>
      <c r="B879" s="11">
        <v>1747</v>
      </c>
    </row>
    <row r="880" spans="1:2" x14ac:dyDescent="0.25">
      <c r="A880" s="12" t="s">
        <v>852</v>
      </c>
      <c r="B880" s="11">
        <v>2146</v>
      </c>
    </row>
    <row r="881" spans="1:2" x14ac:dyDescent="0.25">
      <c r="A881" s="12" t="s">
        <v>853</v>
      </c>
      <c r="B881" s="11">
        <v>4159</v>
      </c>
    </row>
    <row r="882" spans="1:2" x14ac:dyDescent="0.25">
      <c r="A882" s="12" t="s">
        <v>854</v>
      </c>
      <c r="B882" s="11">
        <v>1794</v>
      </c>
    </row>
    <row r="883" spans="1:2" x14ac:dyDescent="0.25">
      <c r="A883" s="12" t="s">
        <v>855</v>
      </c>
      <c r="B883" s="11">
        <v>-74171</v>
      </c>
    </row>
    <row r="884" spans="1:2" x14ac:dyDescent="0.25">
      <c r="A884" s="10" t="s">
        <v>856</v>
      </c>
      <c r="B884" s="11">
        <v>0</v>
      </c>
    </row>
    <row r="885" spans="1:2" x14ac:dyDescent="0.25">
      <c r="A885" s="12" t="s">
        <v>857</v>
      </c>
      <c r="B885" s="11">
        <v>65000</v>
      </c>
    </row>
    <row r="886" spans="1:2" x14ac:dyDescent="0.25">
      <c r="A886" s="12" t="s">
        <v>858</v>
      </c>
      <c r="B886" s="11">
        <v>3885</v>
      </c>
    </row>
    <row r="887" spans="1:2" x14ac:dyDescent="0.25">
      <c r="A887" s="12" t="s">
        <v>859</v>
      </c>
      <c r="B887" s="11">
        <v>2724</v>
      </c>
    </row>
    <row r="888" spans="1:2" x14ac:dyDescent="0.25">
      <c r="A888" s="12" t="s">
        <v>860</v>
      </c>
      <c r="B888" s="11">
        <v>4028</v>
      </c>
    </row>
    <row r="889" spans="1:2" x14ac:dyDescent="0.25">
      <c r="A889" s="12" t="s">
        <v>861</v>
      </c>
      <c r="B889" s="11">
        <v>3374</v>
      </c>
    </row>
    <row r="890" spans="1:2" x14ac:dyDescent="0.25">
      <c r="A890" s="12" t="s">
        <v>862</v>
      </c>
      <c r="B890" s="11">
        <v>-79011</v>
      </c>
    </row>
    <row r="891" spans="1:2" x14ac:dyDescent="0.25">
      <c r="A891" s="10" t="s">
        <v>863</v>
      </c>
      <c r="B891" s="11">
        <v>0</v>
      </c>
    </row>
    <row r="892" spans="1:2" x14ac:dyDescent="0.25">
      <c r="A892" s="12" t="s">
        <v>864</v>
      </c>
      <c r="B892" s="11">
        <v>155000</v>
      </c>
    </row>
    <row r="893" spans="1:2" x14ac:dyDescent="0.25">
      <c r="A893" s="12" t="s">
        <v>865</v>
      </c>
      <c r="B893" s="11">
        <v>1208</v>
      </c>
    </row>
    <row r="894" spans="1:2" x14ac:dyDescent="0.25">
      <c r="A894" s="12" t="s">
        <v>866</v>
      </c>
      <c r="B894" s="11">
        <v>397</v>
      </c>
    </row>
    <row r="895" spans="1:2" x14ac:dyDescent="0.25">
      <c r="A895" s="12" t="s">
        <v>867</v>
      </c>
      <c r="B895" s="11">
        <v>-156605</v>
      </c>
    </row>
    <row r="896" spans="1:2" x14ac:dyDescent="0.25">
      <c r="A896" s="10" t="s">
        <v>868</v>
      </c>
      <c r="B896" s="11">
        <v>0</v>
      </c>
    </row>
    <row r="897" spans="1:2" x14ac:dyDescent="0.25">
      <c r="A897" s="12" t="s">
        <v>869</v>
      </c>
      <c r="B897" s="11">
        <v>19000</v>
      </c>
    </row>
    <row r="898" spans="1:2" x14ac:dyDescent="0.25">
      <c r="A898" s="12" t="s">
        <v>870</v>
      </c>
      <c r="B898" s="11">
        <v>-19000</v>
      </c>
    </row>
    <row r="899" spans="1:2" x14ac:dyDescent="0.25">
      <c r="A899" s="10" t="s">
        <v>871</v>
      </c>
      <c r="B899" s="11">
        <v>0</v>
      </c>
    </row>
    <row r="900" spans="1:2" x14ac:dyDescent="0.25">
      <c r="A900" s="12" t="s">
        <v>872</v>
      </c>
      <c r="B900" s="11">
        <v>14</v>
      </c>
    </row>
    <row r="901" spans="1:2" x14ac:dyDescent="0.25">
      <c r="A901" s="12" t="s">
        <v>10</v>
      </c>
      <c r="B901" s="11">
        <v>-14</v>
      </c>
    </row>
    <row r="902" spans="1:2" x14ac:dyDescent="0.25">
      <c r="A902" s="10" t="s">
        <v>873</v>
      </c>
      <c r="B902" s="11">
        <v>0</v>
      </c>
    </row>
    <row r="903" spans="1:2" x14ac:dyDescent="0.25">
      <c r="A903" s="12" t="s">
        <v>874</v>
      </c>
      <c r="B903" s="11">
        <v>55000</v>
      </c>
    </row>
    <row r="904" spans="1:2" x14ac:dyDescent="0.25">
      <c r="A904" s="12" t="s">
        <v>875</v>
      </c>
      <c r="B904" s="11">
        <v>4189</v>
      </c>
    </row>
    <row r="905" spans="1:2" x14ac:dyDescent="0.25">
      <c r="A905" s="12" t="s">
        <v>876</v>
      </c>
      <c r="B905" s="11">
        <v>5328</v>
      </c>
    </row>
    <row r="906" spans="1:2" x14ac:dyDescent="0.25">
      <c r="A906" s="12" t="s">
        <v>877</v>
      </c>
      <c r="B906" s="11">
        <v>5433</v>
      </c>
    </row>
    <row r="907" spans="1:2" x14ac:dyDescent="0.25">
      <c r="A907" s="12" t="s">
        <v>878</v>
      </c>
      <c r="B907" s="11">
        <v>5290</v>
      </c>
    </row>
    <row r="908" spans="1:2" x14ac:dyDescent="0.25">
      <c r="A908" s="12" t="s">
        <v>879</v>
      </c>
      <c r="B908" s="11">
        <v>5436</v>
      </c>
    </row>
    <row r="909" spans="1:2" x14ac:dyDescent="0.25">
      <c r="A909" s="12" t="s">
        <v>880</v>
      </c>
      <c r="B909" s="11">
        <v>5503</v>
      </c>
    </row>
    <row r="910" spans="1:2" x14ac:dyDescent="0.25">
      <c r="A910" s="12" t="s">
        <v>881</v>
      </c>
      <c r="B910" s="11">
        <v>-86179</v>
      </c>
    </row>
    <row r="911" spans="1:2" x14ac:dyDescent="0.25">
      <c r="A911" s="10" t="s">
        <v>882</v>
      </c>
      <c r="B911" s="11">
        <v>0</v>
      </c>
    </row>
    <row r="912" spans="1:2" x14ac:dyDescent="0.25">
      <c r="A912" s="12" t="s">
        <v>883</v>
      </c>
      <c r="B912" s="11">
        <v>1559</v>
      </c>
    </row>
    <row r="913" spans="1:2" x14ac:dyDescent="0.25">
      <c r="A913" s="12" t="s">
        <v>884</v>
      </c>
      <c r="B913" s="11">
        <v>57441</v>
      </c>
    </row>
    <row r="914" spans="1:2" x14ac:dyDescent="0.25">
      <c r="A914" s="12" t="s">
        <v>885</v>
      </c>
      <c r="B914" s="11">
        <v>-59000</v>
      </c>
    </row>
    <row r="915" spans="1:2" x14ac:dyDescent="0.25">
      <c r="A915" s="10" t="s">
        <v>886</v>
      </c>
      <c r="B915" s="11">
        <v>0</v>
      </c>
    </row>
    <row r="916" spans="1:2" x14ac:dyDescent="0.25">
      <c r="A916" s="12" t="s">
        <v>887</v>
      </c>
      <c r="B916" s="11">
        <v>61881</v>
      </c>
    </row>
    <row r="917" spans="1:2" x14ac:dyDescent="0.25">
      <c r="A917" s="12" t="s">
        <v>888</v>
      </c>
      <c r="B917" s="11">
        <v>2356</v>
      </c>
    </row>
    <row r="918" spans="1:2" x14ac:dyDescent="0.25">
      <c r="A918" s="12" t="s">
        <v>889</v>
      </c>
      <c r="B918" s="11">
        <v>2083</v>
      </c>
    </row>
    <row r="919" spans="1:2" x14ac:dyDescent="0.25">
      <c r="A919" s="12" t="s">
        <v>890</v>
      </c>
      <c r="B919" s="11">
        <v>1718</v>
      </c>
    </row>
    <row r="920" spans="1:2" x14ac:dyDescent="0.25">
      <c r="A920" s="12" t="s">
        <v>891</v>
      </c>
      <c r="B920" s="11">
        <v>544</v>
      </c>
    </row>
    <row r="921" spans="1:2" x14ac:dyDescent="0.25">
      <c r="A921" s="12" t="s">
        <v>892</v>
      </c>
      <c r="B921" s="11">
        <v>1852</v>
      </c>
    </row>
    <row r="922" spans="1:2" x14ac:dyDescent="0.25">
      <c r="A922" s="12" t="s">
        <v>893</v>
      </c>
      <c r="B922" s="11">
        <v>2016</v>
      </c>
    </row>
    <row r="923" spans="1:2" x14ac:dyDescent="0.25">
      <c r="A923" s="12" t="s">
        <v>894</v>
      </c>
      <c r="B923" s="11">
        <v>-72450</v>
      </c>
    </row>
    <row r="924" spans="1:2" x14ac:dyDescent="0.25">
      <c r="A924" s="10" t="s">
        <v>895</v>
      </c>
      <c r="B924" s="11">
        <v>0</v>
      </c>
    </row>
    <row r="925" spans="1:2" x14ac:dyDescent="0.25">
      <c r="A925" s="12" t="s">
        <v>896</v>
      </c>
      <c r="B925" s="11">
        <v>49323</v>
      </c>
    </row>
    <row r="926" spans="1:2" x14ac:dyDescent="0.25">
      <c r="A926" s="12" t="s">
        <v>897</v>
      </c>
      <c r="B926" s="11">
        <v>2315</v>
      </c>
    </row>
    <row r="927" spans="1:2" x14ac:dyDescent="0.25">
      <c r="A927" s="12" t="s">
        <v>898</v>
      </c>
      <c r="B927" s="11">
        <v>2165</v>
      </c>
    </row>
    <row r="928" spans="1:2" x14ac:dyDescent="0.25">
      <c r="A928" s="12" t="s">
        <v>899</v>
      </c>
      <c r="B928" s="11">
        <v>2839</v>
      </c>
    </row>
    <row r="929" spans="1:2" x14ac:dyDescent="0.25">
      <c r="A929" s="12" t="s">
        <v>900</v>
      </c>
      <c r="B929" s="11">
        <v>-56642</v>
      </c>
    </row>
    <row r="930" spans="1:2" x14ac:dyDescent="0.25">
      <c r="A930" s="10" t="s">
        <v>901</v>
      </c>
      <c r="B930" s="11">
        <v>0</v>
      </c>
    </row>
    <row r="931" spans="1:2" x14ac:dyDescent="0.25">
      <c r="A931" s="12" t="s">
        <v>902</v>
      </c>
      <c r="B931" s="11">
        <v>36321</v>
      </c>
    </row>
    <row r="932" spans="1:2" x14ac:dyDescent="0.25">
      <c r="A932" s="12" t="s">
        <v>903</v>
      </c>
      <c r="B932" s="11">
        <v>1243</v>
      </c>
    </row>
    <row r="933" spans="1:2" x14ac:dyDescent="0.25">
      <c r="A933" s="12" t="s">
        <v>904</v>
      </c>
      <c r="B933" s="11">
        <v>1554</v>
      </c>
    </row>
    <row r="934" spans="1:2" x14ac:dyDescent="0.25">
      <c r="A934" s="12" t="s">
        <v>905</v>
      </c>
      <c r="B934" s="11">
        <v>-39118</v>
      </c>
    </row>
    <row r="935" spans="1:2" x14ac:dyDescent="0.25">
      <c r="A935" s="10" t="s">
        <v>906</v>
      </c>
      <c r="B935" s="11">
        <v>0</v>
      </c>
    </row>
    <row r="936" spans="1:2" x14ac:dyDescent="0.25">
      <c r="A936" s="12" t="s">
        <v>907</v>
      </c>
      <c r="B936" s="11">
        <v>1081</v>
      </c>
    </row>
    <row r="937" spans="1:2" x14ac:dyDescent="0.25">
      <c r="A937" s="12" t="s">
        <v>908</v>
      </c>
      <c r="B937" s="11">
        <v>113919</v>
      </c>
    </row>
    <row r="938" spans="1:2" x14ac:dyDescent="0.25">
      <c r="A938" s="12" t="s">
        <v>909</v>
      </c>
      <c r="B938" s="11">
        <v>1676</v>
      </c>
    </row>
    <row r="939" spans="1:2" x14ac:dyDescent="0.25">
      <c r="A939" s="12" t="s">
        <v>910</v>
      </c>
      <c r="B939" s="11">
        <v>370</v>
      </c>
    </row>
    <row r="940" spans="1:2" x14ac:dyDescent="0.25">
      <c r="A940" s="12" t="s">
        <v>911</v>
      </c>
      <c r="B940" s="11">
        <v>992</v>
      </c>
    </row>
    <row r="941" spans="1:2" x14ac:dyDescent="0.25">
      <c r="A941" s="12" t="s">
        <v>912</v>
      </c>
      <c r="B941" s="11">
        <v>898</v>
      </c>
    </row>
    <row r="942" spans="1:2" x14ac:dyDescent="0.25">
      <c r="A942" s="12" t="s">
        <v>913</v>
      </c>
      <c r="B942" s="11">
        <v>760</v>
      </c>
    </row>
    <row r="943" spans="1:2" x14ac:dyDescent="0.25">
      <c r="A943" s="12" t="s">
        <v>914</v>
      </c>
      <c r="B943" s="11">
        <v>1456</v>
      </c>
    </row>
    <row r="944" spans="1:2" x14ac:dyDescent="0.25">
      <c r="A944" s="12" t="s">
        <v>915</v>
      </c>
      <c r="B944" s="11">
        <v>440</v>
      </c>
    </row>
    <row r="945" spans="1:2" x14ac:dyDescent="0.25">
      <c r="A945" s="12" t="s">
        <v>916</v>
      </c>
      <c r="B945" s="11">
        <v>113</v>
      </c>
    </row>
    <row r="946" spans="1:2" x14ac:dyDescent="0.25">
      <c r="A946" s="12" t="s">
        <v>917</v>
      </c>
      <c r="B946" s="11">
        <v>1719</v>
      </c>
    </row>
    <row r="947" spans="1:2" x14ac:dyDescent="0.25">
      <c r="A947" s="12" t="s">
        <v>918</v>
      </c>
      <c r="B947" s="11">
        <v>15</v>
      </c>
    </row>
    <row r="948" spans="1:2" x14ac:dyDescent="0.25">
      <c r="A948" s="12" t="s">
        <v>919</v>
      </c>
      <c r="B948" s="11">
        <v>993</v>
      </c>
    </row>
    <row r="949" spans="1:2" x14ac:dyDescent="0.25">
      <c r="A949" s="12" t="s">
        <v>920</v>
      </c>
      <c r="B949" s="11">
        <v>-124432</v>
      </c>
    </row>
    <row r="950" spans="1:2" x14ac:dyDescent="0.25">
      <c r="A950" s="10" t="s">
        <v>921</v>
      </c>
      <c r="B950" s="11">
        <v>0</v>
      </c>
    </row>
    <row r="951" spans="1:2" x14ac:dyDescent="0.25">
      <c r="A951" s="12" t="s">
        <v>922</v>
      </c>
      <c r="B951" s="11">
        <v>4199</v>
      </c>
    </row>
    <row r="952" spans="1:2" x14ac:dyDescent="0.25">
      <c r="A952" s="12" t="s">
        <v>923</v>
      </c>
      <c r="B952" s="11">
        <v>50801</v>
      </c>
    </row>
    <row r="953" spans="1:2" x14ac:dyDescent="0.25">
      <c r="A953" s="12" t="s">
        <v>924</v>
      </c>
      <c r="B953" s="11">
        <v>5445</v>
      </c>
    </row>
    <row r="954" spans="1:2" x14ac:dyDescent="0.25">
      <c r="A954" s="12" t="s">
        <v>925</v>
      </c>
      <c r="B954" s="11">
        <v>5302</v>
      </c>
    </row>
    <row r="955" spans="1:2" x14ac:dyDescent="0.25">
      <c r="A955" s="12" t="s">
        <v>926</v>
      </c>
      <c r="B955" s="11">
        <v>3802</v>
      </c>
    </row>
    <row r="956" spans="1:2" x14ac:dyDescent="0.25">
      <c r="A956" s="12" t="s">
        <v>927</v>
      </c>
      <c r="B956" s="11">
        <v>5202</v>
      </c>
    </row>
    <row r="957" spans="1:2" x14ac:dyDescent="0.25">
      <c r="A957" s="12" t="s">
        <v>928</v>
      </c>
      <c r="B957" s="11">
        <v>4436</v>
      </c>
    </row>
    <row r="958" spans="1:2" x14ac:dyDescent="0.25">
      <c r="A958" s="12" t="s">
        <v>929</v>
      </c>
      <c r="B958" s="11">
        <v>4745</v>
      </c>
    </row>
    <row r="959" spans="1:2" x14ac:dyDescent="0.25">
      <c r="A959" s="12" t="s">
        <v>930</v>
      </c>
      <c r="B959" s="11">
        <v>4637</v>
      </c>
    </row>
    <row r="960" spans="1:2" x14ac:dyDescent="0.25">
      <c r="A960" s="12" t="s">
        <v>931</v>
      </c>
      <c r="B960" s="11">
        <v>4644</v>
      </c>
    </row>
    <row r="961" spans="1:2" x14ac:dyDescent="0.25">
      <c r="A961" s="12" t="s">
        <v>932</v>
      </c>
      <c r="B961" s="11">
        <v>4211</v>
      </c>
    </row>
    <row r="962" spans="1:2" x14ac:dyDescent="0.25">
      <c r="A962" s="12" t="s">
        <v>933</v>
      </c>
      <c r="B962" s="11">
        <v>2604</v>
      </c>
    </row>
    <row r="963" spans="1:2" x14ac:dyDescent="0.25">
      <c r="A963" s="12" t="s">
        <v>934</v>
      </c>
      <c r="B963" s="11">
        <v>1308</v>
      </c>
    </row>
    <row r="964" spans="1:2" x14ac:dyDescent="0.25">
      <c r="A964" s="12" t="s">
        <v>935</v>
      </c>
      <c r="B964" s="11">
        <v>-101336</v>
      </c>
    </row>
    <row r="965" spans="1:2" x14ac:dyDescent="0.25">
      <c r="A965" s="10" t="s">
        <v>936</v>
      </c>
      <c r="B965" s="11">
        <v>0</v>
      </c>
    </row>
    <row r="966" spans="1:2" x14ac:dyDescent="0.25">
      <c r="A966" s="12" t="s">
        <v>937</v>
      </c>
      <c r="B966" s="11">
        <v>70458</v>
      </c>
    </row>
    <row r="967" spans="1:2" x14ac:dyDescent="0.25">
      <c r="A967" s="12" t="s">
        <v>938</v>
      </c>
      <c r="B967" s="11">
        <v>5585</v>
      </c>
    </row>
    <row r="968" spans="1:2" x14ac:dyDescent="0.25">
      <c r="A968" s="12" t="s">
        <v>939</v>
      </c>
      <c r="B968" s="11">
        <v>4864</v>
      </c>
    </row>
    <row r="969" spans="1:2" x14ac:dyDescent="0.25">
      <c r="A969" s="12" t="s">
        <v>940</v>
      </c>
      <c r="B969" s="11">
        <v>3082</v>
      </c>
    </row>
    <row r="970" spans="1:2" x14ac:dyDescent="0.25">
      <c r="A970" s="12" t="s">
        <v>941</v>
      </c>
      <c r="B970" s="11">
        <v>2811</v>
      </c>
    </row>
    <row r="971" spans="1:2" x14ac:dyDescent="0.25">
      <c r="A971" s="12" t="s">
        <v>942</v>
      </c>
      <c r="B971" s="11">
        <v>4375</v>
      </c>
    </row>
    <row r="972" spans="1:2" x14ac:dyDescent="0.25">
      <c r="A972" s="12" t="s">
        <v>943</v>
      </c>
      <c r="B972" s="11">
        <v>4180</v>
      </c>
    </row>
    <row r="973" spans="1:2" x14ac:dyDescent="0.25">
      <c r="A973" s="12" t="s">
        <v>944</v>
      </c>
      <c r="B973" s="11">
        <v>3793</v>
      </c>
    </row>
    <row r="974" spans="1:2" x14ac:dyDescent="0.25">
      <c r="A974" s="12" t="s">
        <v>945</v>
      </c>
      <c r="B974" s="11">
        <v>1975</v>
      </c>
    </row>
    <row r="975" spans="1:2" x14ac:dyDescent="0.25">
      <c r="A975" s="12" t="s">
        <v>946</v>
      </c>
      <c r="B975" s="11">
        <v>3180</v>
      </c>
    </row>
    <row r="976" spans="1:2" x14ac:dyDescent="0.25">
      <c r="A976" s="12" t="s">
        <v>947</v>
      </c>
      <c r="B976" s="11">
        <v>-104303</v>
      </c>
    </row>
    <row r="977" spans="1:2" x14ac:dyDescent="0.25">
      <c r="A977" s="10" t="s">
        <v>948</v>
      </c>
      <c r="B977" s="11">
        <v>0</v>
      </c>
    </row>
    <row r="978" spans="1:2" x14ac:dyDescent="0.25">
      <c r="A978" s="12" t="s">
        <v>949</v>
      </c>
      <c r="B978" s="11">
        <v>432</v>
      </c>
    </row>
    <row r="979" spans="1:2" x14ac:dyDescent="0.25">
      <c r="A979" s="12" t="s">
        <v>950</v>
      </c>
      <c r="B979" s="11">
        <v>134568</v>
      </c>
    </row>
    <row r="980" spans="1:2" x14ac:dyDescent="0.25">
      <c r="A980" s="12" t="s">
        <v>951</v>
      </c>
      <c r="B980" s="11">
        <v>1865</v>
      </c>
    </row>
    <row r="981" spans="1:2" x14ac:dyDescent="0.25">
      <c r="A981" s="12" t="s">
        <v>952</v>
      </c>
      <c r="B981" s="11">
        <v>-136865</v>
      </c>
    </row>
    <row r="982" spans="1:2" x14ac:dyDescent="0.25">
      <c r="A982" s="10" t="s">
        <v>953</v>
      </c>
      <c r="B982" s="11">
        <v>0</v>
      </c>
    </row>
    <row r="983" spans="1:2" x14ac:dyDescent="0.25">
      <c r="A983" s="12" t="s">
        <v>954</v>
      </c>
      <c r="B983" s="11">
        <v>51855</v>
      </c>
    </row>
    <row r="984" spans="1:2" x14ac:dyDescent="0.25">
      <c r="A984" s="12" t="s">
        <v>955</v>
      </c>
      <c r="B984" s="11">
        <v>4137</v>
      </c>
    </row>
    <row r="985" spans="1:2" x14ac:dyDescent="0.25">
      <c r="A985" s="12" t="s">
        <v>956</v>
      </c>
      <c r="B985" s="11">
        <v>2318</v>
      </c>
    </row>
    <row r="986" spans="1:2" x14ac:dyDescent="0.25">
      <c r="A986" s="12" t="s">
        <v>957</v>
      </c>
      <c r="B986" s="11">
        <v>3418</v>
      </c>
    </row>
    <row r="987" spans="1:2" x14ac:dyDescent="0.25">
      <c r="A987" s="12" t="s">
        <v>958</v>
      </c>
      <c r="B987" s="11">
        <v>4399</v>
      </c>
    </row>
    <row r="988" spans="1:2" x14ac:dyDescent="0.25">
      <c r="A988" s="12" t="s">
        <v>959</v>
      </c>
      <c r="B988" s="11">
        <v>4465</v>
      </c>
    </row>
    <row r="989" spans="1:2" x14ac:dyDescent="0.25">
      <c r="A989" s="12" t="s">
        <v>960</v>
      </c>
      <c r="B989" s="11">
        <v>4985</v>
      </c>
    </row>
    <row r="990" spans="1:2" x14ac:dyDescent="0.25">
      <c r="A990" s="12" t="s">
        <v>961</v>
      </c>
      <c r="B990" s="11">
        <v>-75577</v>
      </c>
    </row>
    <row r="991" spans="1:2" x14ac:dyDescent="0.25">
      <c r="A991" s="10" t="s">
        <v>962</v>
      </c>
      <c r="B991" s="11">
        <v>0</v>
      </c>
    </row>
    <row r="992" spans="1:2" x14ac:dyDescent="0.25">
      <c r="A992" s="12" t="s">
        <v>963</v>
      </c>
      <c r="B992" s="11">
        <v>775</v>
      </c>
    </row>
    <row r="993" spans="1:2" x14ac:dyDescent="0.25">
      <c r="A993" s="12" t="s">
        <v>964</v>
      </c>
      <c r="B993" s="11">
        <v>59225</v>
      </c>
    </row>
    <row r="994" spans="1:2" x14ac:dyDescent="0.25">
      <c r="A994" s="12" t="s">
        <v>965</v>
      </c>
      <c r="B994" s="11">
        <v>2047</v>
      </c>
    </row>
    <row r="995" spans="1:2" x14ac:dyDescent="0.25">
      <c r="A995" s="12" t="s">
        <v>966</v>
      </c>
      <c r="B995" s="11">
        <v>2328</v>
      </c>
    </row>
    <row r="996" spans="1:2" x14ac:dyDescent="0.25">
      <c r="A996" s="12" t="s">
        <v>967</v>
      </c>
      <c r="B996" s="11">
        <v>1561</v>
      </c>
    </row>
    <row r="997" spans="1:2" x14ac:dyDescent="0.25">
      <c r="A997" s="12" t="s">
        <v>968</v>
      </c>
      <c r="B997" s="11">
        <v>2128</v>
      </c>
    </row>
    <row r="998" spans="1:2" x14ac:dyDescent="0.25">
      <c r="A998" s="12" t="s">
        <v>969</v>
      </c>
      <c r="B998" s="11">
        <v>2262</v>
      </c>
    </row>
    <row r="999" spans="1:2" x14ac:dyDescent="0.25">
      <c r="A999" s="12" t="s">
        <v>970</v>
      </c>
      <c r="B999" s="11">
        <v>3957</v>
      </c>
    </row>
    <row r="1000" spans="1:2" x14ac:dyDescent="0.25">
      <c r="A1000" s="12" t="s">
        <v>971</v>
      </c>
      <c r="B1000" s="11">
        <v>2740</v>
      </c>
    </row>
    <row r="1001" spans="1:2" x14ac:dyDescent="0.25">
      <c r="A1001" s="12" t="s">
        <v>972</v>
      </c>
      <c r="B1001" s="11">
        <v>3192</v>
      </c>
    </row>
    <row r="1002" spans="1:2" x14ac:dyDescent="0.25">
      <c r="A1002" s="12" t="s">
        <v>973</v>
      </c>
      <c r="B1002" s="11">
        <v>4125</v>
      </c>
    </row>
    <row r="1003" spans="1:2" x14ac:dyDescent="0.25">
      <c r="A1003" s="12" t="s">
        <v>974</v>
      </c>
      <c r="B1003" s="11">
        <v>3703</v>
      </c>
    </row>
    <row r="1004" spans="1:2" x14ac:dyDescent="0.25">
      <c r="A1004" s="12" t="s">
        <v>975</v>
      </c>
      <c r="B1004" s="11">
        <v>-88043</v>
      </c>
    </row>
    <row r="1005" spans="1:2" x14ac:dyDescent="0.25">
      <c r="A1005" s="10" t="s">
        <v>976</v>
      </c>
      <c r="B1005" s="11">
        <v>0</v>
      </c>
    </row>
    <row r="1006" spans="1:2" x14ac:dyDescent="0.25">
      <c r="A1006" s="12" t="s">
        <v>977</v>
      </c>
      <c r="B1006" s="11">
        <v>804</v>
      </c>
    </row>
    <row r="1007" spans="1:2" x14ac:dyDescent="0.25">
      <c r="A1007" s="12" t="s">
        <v>978</v>
      </c>
      <c r="B1007" s="11">
        <v>24196</v>
      </c>
    </row>
    <row r="1008" spans="1:2" x14ac:dyDescent="0.25">
      <c r="A1008" s="12" t="s">
        <v>979</v>
      </c>
      <c r="B1008" s="11">
        <v>1423</v>
      </c>
    </row>
    <row r="1009" spans="1:2" x14ac:dyDescent="0.25">
      <c r="A1009" s="12" t="s">
        <v>980</v>
      </c>
      <c r="B1009" s="11">
        <v>359</v>
      </c>
    </row>
    <row r="1010" spans="1:2" x14ac:dyDescent="0.25">
      <c r="A1010" s="12" t="s">
        <v>981</v>
      </c>
      <c r="B1010" s="11">
        <v>217</v>
      </c>
    </row>
    <row r="1011" spans="1:2" x14ac:dyDescent="0.25">
      <c r="A1011" s="12" t="s">
        <v>982</v>
      </c>
      <c r="B1011" s="11">
        <v>706</v>
      </c>
    </row>
    <row r="1012" spans="1:2" x14ac:dyDescent="0.25">
      <c r="A1012" s="12" t="s">
        <v>983</v>
      </c>
      <c r="B1012" s="11">
        <v>160</v>
      </c>
    </row>
    <row r="1013" spans="1:2" x14ac:dyDescent="0.25">
      <c r="A1013" s="12" t="s">
        <v>984</v>
      </c>
      <c r="B1013" s="11">
        <v>254</v>
      </c>
    </row>
    <row r="1014" spans="1:2" x14ac:dyDescent="0.25">
      <c r="A1014" s="12" t="s">
        <v>985</v>
      </c>
      <c r="B1014" s="11">
        <v>339</v>
      </c>
    </row>
    <row r="1015" spans="1:2" x14ac:dyDescent="0.25">
      <c r="A1015" s="12" t="s">
        <v>986</v>
      </c>
      <c r="B1015" s="11">
        <v>232</v>
      </c>
    </row>
    <row r="1016" spans="1:2" x14ac:dyDescent="0.25">
      <c r="A1016" s="12" t="s">
        <v>987</v>
      </c>
      <c r="B1016" s="11">
        <v>507</v>
      </c>
    </row>
    <row r="1017" spans="1:2" x14ac:dyDescent="0.25">
      <c r="A1017" s="12" t="s">
        <v>988</v>
      </c>
      <c r="B1017" s="11">
        <v>147</v>
      </c>
    </row>
    <row r="1018" spans="1:2" x14ac:dyDescent="0.25">
      <c r="A1018" s="12" t="s">
        <v>989</v>
      </c>
      <c r="B1018" s="11">
        <v>-29344</v>
      </c>
    </row>
    <row r="1019" spans="1:2" x14ac:dyDescent="0.25">
      <c r="A1019" s="10" t="s">
        <v>990</v>
      </c>
      <c r="B1019" s="11">
        <v>0</v>
      </c>
    </row>
    <row r="1020" spans="1:2" x14ac:dyDescent="0.25">
      <c r="A1020" s="12" t="s">
        <v>991</v>
      </c>
      <c r="B1020" s="11">
        <v>58000</v>
      </c>
    </row>
    <row r="1021" spans="1:2" x14ac:dyDescent="0.25">
      <c r="A1021" s="12" t="s">
        <v>992</v>
      </c>
      <c r="B1021" s="11">
        <v>1471</v>
      </c>
    </row>
    <row r="1022" spans="1:2" x14ac:dyDescent="0.25">
      <c r="A1022" s="12" t="s">
        <v>993</v>
      </c>
      <c r="B1022" s="11">
        <v>2020</v>
      </c>
    </row>
    <row r="1023" spans="1:2" x14ac:dyDescent="0.25">
      <c r="A1023" s="12" t="s">
        <v>994</v>
      </c>
      <c r="B1023" s="11">
        <v>2023</v>
      </c>
    </row>
    <row r="1024" spans="1:2" x14ac:dyDescent="0.25">
      <c r="A1024" s="12" t="s">
        <v>995</v>
      </c>
      <c r="B1024" s="11">
        <v>1580</v>
      </c>
    </row>
    <row r="1025" spans="1:2" x14ac:dyDescent="0.25">
      <c r="A1025" s="12" t="s">
        <v>996</v>
      </c>
      <c r="B1025" s="11">
        <v>1972</v>
      </c>
    </row>
    <row r="1026" spans="1:2" x14ac:dyDescent="0.25">
      <c r="A1026" s="12" t="s">
        <v>997</v>
      </c>
      <c r="B1026" s="11">
        <v>3154</v>
      </c>
    </row>
    <row r="1027" spans="1:2" x14ac:dyDescent="0.25">
      <c r="A1027" s="12" t="s">
        <v>998</v>
      </c>
      <c r="B1027" s="11">
        <v>2965</v>
      </c>
    </row>
    <row r="1028" spans="1:2" x14ac:dyDescent="0.25">
      <c r="A1028" s="12" t="s">
        <v>999</v>
      </c>
      <c r="B1028" s="11">
        <v>3044</v>
      </c>
    </row>
    <row r="1029" spans="1:2" x14ac:dyDescent="0.25">
      <c r="A1029" s="12" t="s">
        <v>1000</v>
      </c>
      <c r="B1029" s="11">
        <v>3264</v>
      </c>
    </row>
    <row r="1030" spans="1:2" x14ac:dyDescent="0.25">
      <c r="A1030" s="12" t="s">
        <v>1001</v>
      </c>
      <c r="B1030" s="11">
        <v>4126</v>
      </c>
    </row>
    <row r="1031" spans="1:2" x14ac:dyDescent="0.25">
      <c r="A1031" s="12" t="s">
        <v>1002</v>
      </c>
      <c r="B1031" s="11">
        <v>3529</v>
      </c>
    </row>
    <row r="1032" spans="1:2" x14ac:dyDescent="0.25">
      <c r="A1032" s="12" t="s">
        <v>1003</v>
      </c>
      <c r="B1032" s="11">
        <v>-87148</v>
      </c>
    </row>
    <row r="1033" spans="1:2" x14ac:dyDescent="0.25">
      <c r="A1033" s="10" t="s">
        <v>1004</v>
      </c>
      <c r="B1033" s="11">
        <v>0</v>
      </c>
    </row>
    <row r="1034" spans="1:2" x14ac:dyDescent="0.25">
      <c r="A1034" s="12" t="s">
        <v>1005</v>
      </c>
      <c r="B1034" s="11">
        <v>170819</v>
      </c>
    </row>
    <row r="1035" spans="1:2" x14ac:dyDescent="0.25">
      <c r="A1035" s="12" t="s">
        <v>1006</v>
      </c>
      <c r="B1035" s="11">
        <v>4960</v>
      </c>
    </row>
    <row r="1036" spans="1:2" x14ac:dyDescent="0.25">
      <c r="A1036" s="12" t="s">
        <v>1007</v>
      </c>
      <c r="B1036" s="11">
        <v>5800</v>
      </c>
    </row>
    <row r="1037" spans="1:2" x14ac:dyDescent="0.25">
      <c r="A1037" s="12" t="s">
        <v>1008</v>
      </c>
      <c r="B1037" s="11">
        <v>6760</v>
      </c>
    </row>
    <row r="1038" spans="1:2" x14ac:dyDescent="0.25">
      <c r="A1038" s="12" t="s">
        <v>1009</v>
      </c>
      <c r="B1038" s="11">
        <v>4656</v>
      </c>
    </row>
    <row r="1039" spans="1:2" x14ac:dyDescent="0.25">
      <c r="A1039" s="12" t="s">
        <v>1010</v>
      </c>
      <c r="B1039" s="11">
        <v>6316</v>
      </c>
    </row>
    <row r="1040" spans="1:2" x14ac:dyDescent="0.25">
      <c r="A1040" s="12" t="s">
        <v>1011</v>
      </c>
      <c r="B1040" s="11">
        <v>10375</v>
      </c>
    </row>
    <row r="1041" spans="1:2" x14ac:dyDescent="0.25">
      <c r="A1041" s="12" t="s">
        <v>1012</v>
      </c>
      <c r="B1041" s="11">
        <v>8534</v>
      </c>
    </row>
    <row r="1042" spans="1:2" x14ac:dyDescent="0.25">
      <c r="A1042" s="12" t="s">
        <v>1013</v>
      </c>
      <c r="B1042" s="11">
        <v>-218220</v>
      </c>
    </row>
    <row r="1043" spans="1:2" x14ac:dyDescent="0.25">
      <c r="A1043" s="10" t="s">
        <v>1014</v>
      </c>
      <c r="B1043" s="11">
        <v>0</v>
      </c>
    </row>
    <row r="1044" spans="1:2" x14ac:dyDescent="0.25">
      <c r="A1044" s="12" t="s">
        <v>1015</v>
      </c>
      <c r="B1044" s="11">
        <v>111972</v>
      </c>
    </row>
    <row r="1045" spans="1:2" x14ac:dyDescent="0.25">
      <c r="A1045" s="12" t="s">
        <v>1016</v>
      </c>
      <c r="B1045" s="11">
        <v>493</v>
      </c>
    </row>
    <row r="1046" spans="1:2" x14ac:dyDescent="0.25">
      <c r="A1046" s="12" t="s">
        <v>1017</v>
      </c>
      <c r="B1046" s="11">
        <v>-112465</v>
      </c>
    </row>
    <row r="1047" spans="1:2" x14ac:dyDescent="0.25">
      <c r="A1047" s="10" t="s">
        <v>1018</v>
      </c>
      <c r="B1047" s="11">
        <v>0</v>
      </c>
    </row>
    <row r="1048" spans="1:2" x14ac:dyDescent="0.25">
      <c r="A1048" s="12" t="s">
        <v>1019</v>
      </c>
      <c r="B1048" s="11">
        <v>3711</v>
      </c>
    </row>
    <row r="1049" spans="1:2" x14ac:dyDescent="0.25">
      <c r="A1049" s="12" t="s">
        <v>1020</v>
      </c>
      <c r="B1049" s="11">
        <v>-3711</v>
      </c>
    </row>
    <row r="1050" spans="1:2" x14ac:dyDescent="0.25">
      <c r="A1050" s="10" t="s">
        <v>1021</v>
      </c>
      <c r="B1050" s="11">
        <v>0</v>
      </c>
    </row>
    <row r="1051" spans="1:2" x14ac:dyDescent="0.25">
      <c r="A1051" s="12" t="s">
        <v>1022</v>
      </c>
      <c r="B1051" s="11">
        <v>1467</v>
      </c>
    </row>
    <row r="1052" spans="1:2" x14ac:dyDescent="0.25">
      <c r="A1052" s="12" t="s">
        <v>1023</v>
      </c>
      <c r="B1052" s="11">
        <v>29533</v>
      </c>
    </row>
    <row r="1053" spans="1:2" x14ac:dyDescent="0.25">
      <c r="A1053" s="12" t="s">
        <v>1024</v>
      </c>
      <c r="B1053" s="11">
        <v>1640</v>
      </c>
    </row>
    <row r="1054" spans="1:2" x14ac:dyDescent="0.25">
      <c r="A1054" s="12" t="s">
        <v>1025</v>
      </c>
      <c r="B1054" s="11">
        <v>1491</v>
      </c>
    </row>
    <row r="1055" spans="1:2" x14ac:dyDescent="0.25">
      <c r="A1055" s="12" t="s">
        <v>1026</v>
      </c>
      <c r="B1055" s="11">
        <v>1753</v>
      </c>
    </row>
    <row r="1056" spans="1:2" x14ac:dyDescent="0.25">
      <c r="A1056" s="12" t="s">
        <v>1027</v>
      </c>
      <c r="B1056" s="11">
        <v>1779</v>
      </c>
    </row>
    <row r="1057" spans="1:2" x14ac:dyDescent="0.25">
      <c r="A1057" s="12" t="s">
        <v>1028</v>
      </c>
      <c r="B1057" s="11">
        <v>2342</v>
      </c>
    </row>
    <row r="1058" spans="1:2" x14ac:dyDescent="0.25">
      <c r="A1058" s="12" t="s">
        <v>1029</v>
      </c>
      <c r="B1058" s="11">
        <v>1805</v>
      </c>
    </row>
    <row r="1059" spans="1:2" x14ac:dyDescent="0.25">
      <c r="A1059" s="12" t="s">
        <v>1030</v>
      </c>
      <c r="B1059" s="11">
        <v>1864</v>
      </c>
    </row>
    <row r="1060" spans="1:2" x14ac:dyDescent="0.25">
      <c r="A1060" s="12" t="s">
        <v>1031</v>
      </c>
      <c r="B1060" s="11">
        <v>1987</v>
      </c>
    </row>
    <row r="1061" spans="1:2" x14ac:dyDescent="0.25">
      <c r="A1061" s="12" t="s">
        <v>1032</v>
      </c>
      <c r="B1061" s="11">
        <v>1243</v>
      </c>
    </row>
    <row r="1062" spans="1:2" x14ac:dyDescent="0.25">
      <c r="A1062" s="12" t="s">
        <v>1033</v>
      </c>
      <c r="B1062" s="11">
        <v>1923</v>
      </c>
    </row>
    <row r="1063" spans="1:2" x14ac:dyDescent="0.25">
      <c r="A1063" s="12" t="s">
        <v>1034</v>
      </c>
      <c r="B1063" s="11">
        <v>-48827</v>
      </c>
    </row>
    <row r="1064" spans="1:2" x14ac:dyDescent="0.25">
      <c r="A1064" s="10" t="s">
        <v>1035</v>
      </c>
      <c r="B1064" s="11">
        <v>0</v>
      </c>
    </row>
    <row r="1065" spans="1:2" x14ac:dyDescent="0.25">
      <c r="A1065" s="12" t="s">
        <v>1036</v>
      </c>
      <c r="B1065" s="11">
        <v>95000</v>
      </c>
    </row>
    <row r="1066" spans="1:2" x14ac:dyDescent="0.25">
      <c r="A1066" s="12" t="s">
        <v>1037</v>
      </c>
      <c r="B1066" s="11">
        <v>719</v>
      </c>
    </row>
    <row r="1067" spans="1:2" x14ac:dyDescent="0.25">
      <c r="A1067" s="12" t="s">
        <v>1038</v>
      </c>
      <c r="B1067" s="11">
        <v>13</v>
      </c>
    </row>
    <row r="1068" spans="1:2" x14ac:dyDescent="0.25">
      <c r="A1068" s="12" t="s">
        <v>1039</v>
      </c>
      <c r="B1068" s="11">
        <v>-95732</v>
      </c>
    </row>
    <row r="1069" spans="1:2" x14ac:dyDescent="0.25">
      <c r="A1069" s="10" t="s">
        <v>1040</v>
      </c>
      <c r="B1069" s="11">
        <v>0</v>
      </c>
    </row>
    <row r="1070" spans="1:2" x14ac:dyDescent="0.25">
      <c r="A1070" s="12" t="s">
        <v>1041</v>
      </c>
      <c r="B1070" s="11">
        <v>2</v>
      </c>
    </row>
    <row r="1071" spans="1:2" x14ac:dyDescent="0.25">
      <c r="A1071" s="12" t="s">
        <v>10</v>
      </c>
      <c r="B1071" s="11">
        <v>-2</v>
      </c>
    </row>
    <row r="1072" spans="1:2" x14ac:dyDescent="0.25">
      <c r="A1072" s="10" t="s">
        <v>1042</v>
      </c>
      <c r="B1072" s="11">
        <v>0</v>
      </c>
    </row>
    <row r="1073" spans="1:2" x14ac:dyDescent="0.25">
      <c r="A1073" s="12" t="s">
        <v>1043</v>
      </c>
      <c r="B1073" s="11">
        <v>-3532</v>
      </c>
    </row>
    <row r="1074" spans="1:2" x14ac:dyDescent="0.25">
      <c r="A1074" s="12" t="s">
        <v>1044</v>
      </c>
      <c r="B1074" s="11">
        <v>3502</v>
      </c>
    </row>
    <row r="1075" spans="1:2" x14ac:dyDescent="0.25">
      <c r="A1075" s="12" t="s">
        <v>1045</v>
      </c>
      <c r="B1075" s="11">
        <v>30</v>
      </c>
    </row>
    <row r="1076" spans="1:2" x14ac:dyDescent="0.25">
      <c r="A1076" s="10" t="s">
        <v>1046</v>
      </c>
      <c r="B1076" s="11">
        <v>0</v>
      </c>
    </row>
    <row r="1077" spans="1:2" x14ac:dyDescent="0.25">
      <c r="A1077" s="12" t="s">
        <v>1047</v>
      </c>
      <c r="B1077" s="11">
        <v>55000</v>
      </c>
    </row>
    <row r="1078" spans="1:2" x14ac:dyDescent="0.25">
      <c r="A1078" s="12" t="s">
        <v>1048</v>
      </c>
      <c r="B1078" s="11">
        <v>-55000</v>
      </c>
    </row>
    <row r="1079" spans="1:2" x14ac:dyDescent="0.25">
      <c r="A1079" s="10" t="s">
        <v>1049</v>
      </c>
      <c r="B1079" s="11">
        <v>0</v>
      </c>
    </row>
    <row r="1080" spans="1:2" x14ac:dyDescent="0.25">
      <c r="A1080" s="12" t="s">
        <v>1050</v>
      </c>
      <c r="B1080" s="11">
        <v>47000</v>
      </c>
    </row>
    <row r="1081" spans="1:2" x14ac:dyDescent="0.25">
      <c r="A1081" s="12" t="s">
        <v>1051</v>
      </c>
      <c r="B1081" s="11">
        <v>2571</v>
      </c>
    </row>
    <row r="1082" spans="1:2" x14ac:dyDescent="0.25">
      <c r="A1082" s="12" t="s">
        <v>1052</v>
      </c>
      <c r="B1082" s="11">
        <v>3162</v>
      </c>
    </row>
    <row r="1083" spans="1:2" x14ac:dyDescent="0.25">
      <c r="A1083" s="12" t="s">
        <v>1053</v>
      </c>
      <c r="B1083" s="11">
        <v>2499</v>
      </c>
    </row>
    <row r="1084" spans="1:2" x14ac:dyDescent="0.25">
      <c r="A1084" s="12" t="s">
        <v>1054</v>
      </c>
      <c r="B1084" s="11">
        <v>2648</v>
      </c>
    </row>
    <row r="1085" spans="1:2" x14ac:dyDescent="0.25">
      <c r="A1085" s="12" t="s">
        <v>1055</v>
      </c>
      <c r="B1085" s="11">
        <v>2453</v>
      </c>
    </row>
    <row r="1086" spans="1:2" x14ac:dyDescent="0.25">
      <c r="A1086" s="12" t="s">
        <v>1056</v>
      </c>
      <c r="B1086" s="11">
        <v>2349</v>
      </c>
    </row>
    <row r="1087" spans="1:2" x14ac:dyDescent="0.25">
      <c r="A1087" s="12" t="s">
        <v>1057</v>
      </c>
      <c r="B1087" s="11">
        <v>1698</v>
      </c>
    </row>
    <row r="1088" spans="1:2" x14ac:dyDescent="0.25">
      <c r="A1088" s="12" t="s">
        <v>1058</v>
      </c>
      <c r="B1088" s="11">
        <v>-64380</v>
      </c>
    </row>
    <row r="1089" spans="1:2" x14ac:dyDescent="0.25">
      <c r="A1089" s="10" t="s">
        <v>1059</v>
      </c>
      <c r="B1089" s="11">
        <v>0</v>
      </c>
    </row>
    <row r="1090" spans="1:2" x14ac:dyDescent="0.25">
      <c r="A1090" s="12" t="s">
        <v>1060</v>
      </c>
      <c r="B1090" s="11">
        <v>89000</v>
      </c>
    </row>
    <row r="1091" spans="1:2" x14ac:dyDescent="0.25">
      <c r="A1091" s="12" t="s">
        <v>1061</v>
      </c>
      <c r="B1091" s="11">
        <v>4303</v>
      </c>
    </row>
    <row r="1092" spans="1:2" x14ac:dyDescent="0.25">
      <c r="A1092" s="12" t="s">
        <v>1062</v>
      </c>
      <c r="B1092" s="11">
        <v>6062</v>
      </c>
    </row>
    <row r="1093" spans="1:2" x14ac:dyDescent="0.25">
      <c r="A1093" s="12" t="s">
        <v>1063</v>
      </c>
      <c r="B1093" s="11">
        <v>5325</v>
      </c>
    </row>
    <row r="1094" spans="1:2" x14ac:dyDescent="0.25">
      <c r="A1094" s="12" t="s">
        <v>1064</v>
      </c>
      <c r="B1094" s="11">
        <v>6836</v>
      </c>
    </row>
    <row r="1095" spans="1:2" x14ac:dyDescent="0.25">
      <c r="A1095" s="12" t="s">
        <v>1065</v>
      </c>
      <c r="B1095" s="11">
        <v>4678</v>
      </c>
    </row>
    <row r="1096" spans="1:2" x14ac:dyDescent="0.25">
      <c r="A1096" s="12" t="s">
        <v>1066</v>
      </c>
      <c r="B1096" s="11">
        <v>6299</v>
      </c>
    </row>
    <row r="1097" spans="1:2" x14ac:dyDescent="0.25">
      <c r="A1097" s="12" t="s">
        <v>1067</v>
      </c>
      <c r="B1097" s="11">
        <v>7487</v>
      </c>
    </row>
    <row r="1098" spans="1:2" x14ac:dyDescent="0.25">
      <c r="A1098" s="12" t="s">
        <v>1068</v>
      </c>
      <c r="B1098" s="11">
        <v>7261</v>
      </c>
    </row>
    <row r="1099" spans="1:2" x14ac:dyDescent="0.25">
      <c r="A1099" s="12" t="s">
        <v>1069</v>
      </c>
      <c r="B1099" s="11">
        <v>6534</v>
      </c>
    </row>
    <row r="1100" spans="1:2" x14ac:dyDescent="0.25">
      <c r="A1100" s="12" t="s">
        <v>1070</v>
      </c>
      <c r="B1100" s="11">
        <v>5808</v>
      </c>
    </row>
    <row r="1101" spans="1:2" x14ac:dyDescent="0.25">
      <c r="A1101" s="12" t="s">
        <v>1071</v>
      </c>
      <c r="B1101" s="11">
        <v>3750</v>
      </c>
    </row>
    <row r="1102" spans="1:2" x14ac:dyDescent="0.25">
      <c r="A1102" s="12" t="s">
        <v>1072</v>
      </c>
      <c r="B1102" s="11">
        <v>-153343</v>
      </c>
    </row>
    <row r="1103" spans="1:2" x14ac:dyDescent="0.25">
      <c r="A1103" s="10" t="s">
        <v>1073</v>
      </c>
      <c r="B1103" s="11">
        <v>0</v>
      </c>
    </row>
    <row r="1104" spans="1:2" x14ac:dyDescent="0.25">
      <c r="A1104" s="12" t="s">
        <v>1074</v>
      </c>
      <c r="B1104" s="11">
        <v>115000</v>
      </c>
    </row>
    <row r="1105" spans="1:2" x14ac:dyDescent="0.25">
      <c r="A1105" s="12" t="s">
        <v>1075</v>
      </c>
      <c r="B1105" s="11">
        <v>8139</v>
      </c>
    </row>
    <row r="1106" spans="1:2" x14ac:dyDescent="0.25">
      <c r="A1106" s="12" t="s">
        <v>1076</v>
      </c>
      <c r="B1106" s="11">
        <v>5135</v>
      </c>
    </row>
    <row r="1107" spans="1:2" x14ac:dyDescent="0.25">
      <c r="A1107" s="12" t="s">
        <v>1077</v>
      </c>
      <c r="B1107" s="11">
        <v>6731</v>
      </c>
    </row>
    <row r="1108" spans="1:2" x14ac:dyDescent="0.25">
      <c r="A1108" s="12" t="s">
        <v>1078</v>
      </c>
      <c r="B1108" s="11">
        <v>6471</v>
      </c>
    </row>
    <row r="1109" spans="1:2" x14ac:dyDescent="0.25">
      <c r="A1109" s="12" t="s">
        <v>1079</v>
      </c>
      <c r="B1109" s="11">
        <v>6979</v>
      </c>
    </row>
    <row r="1110" spans="1:2" x14ac:dyDescent="0.25">
      <c r="A1110" s="12" t="s">
        <v>1080</v>
      </c>
      <c r="B1110" s="11">
        <v>4653</v>
      </c>
    </row>
    <row r="1111" spans="1:2" x14ac:dyDescent="0.25">
      <c r="A1111" s="12" t="s">
        <v>1081</v>
      </c>
      <c r="B1111" s="11">
        <v>5508</v>
      </c>
    </row>
    <row r="1112" spans="1:2" x14ac:dyDescent="0.25">
      <c r="A1112" s="12" t="s">
        <v>1082</v>
      </c>
      <c r="B1112" s="11">
        <v>6317</v>
      </c>
    </row>
    <row r="1113" spans="1:2" x14ac:dyDescent="0.25">
      <c r="A1113" s="12" t="s">
        <v>1083</v>
      </c>
      <c r="B1113" s="11">
        <v>-164933</v>
      </c>
    </row>
    <row r="1114" spans="1:2" x14ac:dyDescent="0.25">
      <c r="A1114" s="10" t="s">
        <v>1084</v>
      </c>
      <c r="B1114" s="11">
        <v>0</v>
      </c>
    </row>
    <row r="1115" spans="1:2" x14ac:dyDescent="0.25">
      <c r="A1115" s="12" t="s">
        <v>1085</v>
      </c>
      <c r="B1115" s="11">
        <v>42185</v>
      </c>
    </row>
    <row r="1116" spans="1:2" x14ac:dyDescent="0.25">
      <c r="A1116" s="12" t="s">
        <v>1086</v>
      </c>
      <c r="B1116" s="11">
        <v>206</v>
      </c>
    </row>
    <row r="1117" spans="1:2" x14ac:dyDescent="0.25">
      <c r="A1117" s="12" t="s">
        <v>1087</v>
      </c>
      <c r="B1117" s="11">
        <v>406</v>
      </c>
    </row>
    <row r="1118" spans="1:2" x14ac:dyDescent="0.25">
      <c r="A1118" s="12" t="s">
        <v>1088</v>
      </c>
      <c r="B1118" s="11">
        <v>-42797</v>
      </c>
    </row>
    <row r="1119" spans="1:2" x14ac:dyDescent="0.25">
      <c r="A1119" s="10" t="s">
        <v>1089</v>
      </c>
      <c r="B1119" s="11">
        <v>0</v>
      </c>
    </row>
    <row r="1120" spans="1:2" x14ac:dyDescent="0.25">
      <c r="A1120" s="12" t="s">
        <v>1090</v>
      </c>
      <c r="B1120" s="11">
        <v>2955</v>
      </c>
    </row>
    <row r="1121" spans="1:2" x14ac:dyDescent="0.25">
      <c r="A1121" s="12" t="s">
        <v>1091</v>
      </c>
      <c r="B1121" s="11">
        <v>2934</v>
      </c>
    </row>
    <row r="1122" spans="1:2" x14ac:dyDescent="0.25">
      <c r="A1122" s="12" t="s">
        <v>1092</v>
      </c>
      <c r="B1122" s="11">
        <v>2361</v>
      </c>
    </row>
    <row r="1123" spans="1:2" x14ac:dyDescent="0.25">
      <c r="A1123" s="12" t="s">
        <v>1093</v>
      </c>
      <c r="B1123" s="11">
        <v>1801</v>
      </c>
    </row>
    <row r="1124" spans="1:2" x14ac:dyDescent="0.25">
      <c r="A1124" s="12" t="s">
        <v>1094</v>
      </c>
      <c r="B1124" s="11">
        <v>1965</v>
      </c>
    </row>
    <row r="1125" spans="1:2" x14ac:dyDescent="0.25">
      <c r="A1125" s="12" t="s">
        <v>1095</v>
      </c>
      <c r="B1125" s="11">
        <v>2066</v>
      </c>
    </row>
    <row r="1126" spans="1:2" x14ac:dyDescent="0.25">
      <c r="A1126" s="12" t="s">
        <v>1096</v>
      </c>
      <c r="B1126" s="11">
        <v>1688</v>
      </c>
    </row>
    <row r="1127" spans="1:2" x14ac:dyDescent="0.25">
      <c r="A1127" s="12" t="s">
        <v>1097</v>
      </c>
      <c r="B1127" s="11">
        <v>-15820</v>
      </c>
    </row>
    <row r="1128" spans="1:2" x14ac:dyDescent="0.25">
      <c r="A1128" s="12" t="s">
        <v>10</v>
      </c>
      <c r="B1128" s="11">
        <v>50</v>
      </c>
    </row>
    <row r="1129" spans="1:2" x14ac:dyDescent="0.25">
      <c r="A1129" s="10" t="s">
        <v>1098</v>
      </c>
      <c r="B1129" s="11">
        <v>0</v>
      </c>
    </row>
    <row r="1130" spans="1:2" x14ac:dyDescent="0.25">
      <c r="A1130" s="12" t="s">
        <v>1099</v>
      </c>
      <c r="B1130" s="11">
        <v>4043</v>
      </c>
    </row>
    <row r="1131" spans="1:2" x14ac:dyDescent="0.25">
      <c r="A1131" s="12" t="s">
        <v>1100</v>
      </c>
      <c r="B1131" s="11">
        <v>-4043</v>
      </c>
    </row>
    <row r="1132" spans="1:2" x14ac:dyDescent="0.25">
      <c r="A1132" s="10" t="s">
        <v>1101</v>
      </c>
      <c r="B1132" s="11">
        <v>0</v>
      </c>
    </row>
    <row r="1133" spans="1:2" x14ac:dyDescent="0.25">
      <c r="A1133" s="12" t="s">
        <v>1102</v>
      </c>
      <c r="B1133" s="11">
        <v>-17457</v>
      </c>
    </row>
    <row r="1134" spans="1:2" x14ac:dyDescent="0.25">
      <c r="A1134" s="12" t="s">
        <v>1103</v>
      </c>
      <c r="B1134" s="11">
        <v>17456</v>
      </c>
    </row>
    <row r="1135" spans="1:2" x14ac:dyDescent="0.25">
      <c r="A1135" s="12" t="s">
        <v>1104</v>
      </c>
      <c r="B1135" s="11">
        <v>5443</v>
      </c>
    </row>
    <row r="1136" spans="1:2" x14ac:dyDescent="0.25">
      <c r="A1136" s="12" t="s">
        <v>1105</v>
      </c>
      <c r="B1136" s="11">
        <v>4520</v>
      </c>
    </row>
    <row r="1137" spans="1:2" x14ac:dyDescent="0.25">
      <c r="A1137" s="12" t="s">
        <v>1106</v>
      </c>
      <c r="B1137" s="11">
        <v>7304</v>
      </c>
    </row>
    <row r="1138" spans="1:2" x14ac:dyDescent="0.25">
      <c r="A1138" s="12" t="s">
        <v>1107</v>
      </c>
      <c r="B1138" s="11">
        <v>4611</v>
      </c>
    </row>
    <row r="1139" spans="1:2" x14ac:dyDescent="0.25">
      <c r="A1139" s="12" t="s">
        <v>1108</v>
      </c>
      <c r="B1139" s="11">
        <v>6165</v>
      </c>
    </row>
    <row r="1140" spans="1:2" x14ac:dyDescent="0.25">
      <c r="A1140" s="12" t="s">
        <v>1109</v>
      </c>
      <c r="B1140" s="11">
        <v>10630</v>
      </c>
    </row>
    <row r="1141" spans="1:2" x14ac:dyDescent="0.25">
      <c r="A1141" s="12" t="s">
        <v>1110</v>
      </c>
      <c r="B1141" s="11">
        <v>5224</v>
      </c>
    </row>
    <row r="1142" spans="1:2" x14ac:dyDescent="0.25">
      <c r="A1142" s="12" t="s">
        <v>1111</v>
      </c>
      <c r="B1142" s="11">
        <v>7374</v>
      </c>
    </row>
    <row r="1143" spans="1:2" x14ac:dyDescent="0.25">
      <c r="A1143" s="12" t="s">
        <v>1112</v>
      </c>
      <c r="B1143" s="11">
        <v>-51270</v>
      </c>
    </row>
    <row r="1144" spans="1:2" x14ac:dyDescent="0.25">
      <c r="A1144" s="10" t="s">
        <v>1113</v>
      </c>
      <c r="B1144" s="11">
        <v>0</v>
      </c>
    </row>
    <row r="1145" spans="1:2" x14ac:dyDescent="0.25">
      <c r="A1145" s="12" t="s">
        <v>1114</v>
      </c>
      <c r="B1145" s="11">
        <v>906</v>
      </c>
    </row>
    <row r="1146" spans="1:2" x14ac:dyDescent="0.25">
      <c r="A1146" s="12" t="s">
        <v>1115</v>
      </c>
      <c r="B1146" s="11">
        <v>569</v>
      </c>
    </row>
    <row r="1147" spans="1:2" x14ac:dyDescent="0.25">
      <c r="A1147" s="12" t="s">
        <v>1116</v>
      </c>
      <c r="B1147" s="11">
        <v>422</v>
      </c>
    </row>
    <row r="1148" spans="1:2" x14ac:dyDescent="0.25">
      <c r="A1148" s="12" t="s">
        <v>1117</v>
      </c>
      <c r="B1148" s="11">
        <v>-1897</v>
      </c>
    </row>
    <row r="1149" spans="1:2" x14ac:dyDescent="0.25">
      <c r="A1149" s="10" t="s">
        <v>1118</v>
      </c>
      <c r="B1149" s="11">
        <v>0</v>
      </c>
    </row>
    <row r="1150" spans="1:2" x14ac:dyDescent="0.25">
      <c r="A1150" s="12" t="s">
        <v>1119</v>
      </c>
      <c r="B1150" s="11">
        <v>51000</v>
      </c>
    </row>
    <row r="1151" spans="1:2" x14ac:dyDescent="0.25">
      <c r="A1151" s="12" t="s">
        <v>1120</v>
      </c>
      <c r="B1151" s="11">
        <v>616</v>
      </c>
    </row>
    <row r="1152" spans="1:2" x14ac:dyDescent="0.25">
      <c r="A1152" s="12" t="s">
        <v>1121</v>
      </c>
      <c r="B1152" s="11">
        <v>1332</v>
      </c>
    </row>
    <row r="1153" spans="1:2" x14ac:dyDescent="0.25">
      <c r="A1153" s="12" t="s">
        <v>1122</v>
      </c>
      <c r="B1153" s="11">
        <v>717</v>
      </c>
    </row>
    <row r="1154" spans="1:2" x14ac:dyDescent="0.25">
      <c r="A1154" s="12" t="s">
        <v>1123</v>
      </c>
      <c r="B1154" s="11">
        <v>-53665</v>
      </c>
    </row>
    <row r="1155" spans="1:2" x14ac:dyDescent="0.25">
      <c r="A1155" s="10" t="s">
        <v>1124</v>
      </c>
      <c r="B1155" s="11">
        <v>0</v>
      </c>
    </row>
    <row r="1156" spans="1:2" x14ac:dyDescent="0.25">
      <c r="A1156" s="12" t="s">
        <v>1125</v>
      </c>
      <c r="B1156" s="11">
        <v>85000</v>
      </c>
    </row>
    <row r="1157" spans="1:2" x14ac:dyDescent="0.25">
      <c r="A1157" s="12" t="s">
        <v>1126</v>
      </c>
      <c r="B1157" s="11">
        <v>2493</v>
      </c>
    </row>
    <row r="1158" spans="1:2" x14ac:dyDescent="0.25">
      <c r="A1158" s="12" t="s">
        <v>1127</v>
      </c>
      <c r="B1158" s="11">
        <v>-87493</v>
      </c>
    </row>
    <row r="1159" spans="1:2" x14ac:dyDescent="0.25">
      <c r="A1159" s="10" t="s">
        <v>1128</v>
      </c>
      <c r="B1159" s="11">
        <v>0</v>
      </c>
    </row>
    <row r="1160" spans="1:2" x14ac:dyDescent="0.25">
      <c r="A1160" s="12" t="s">
        <v>1129</v>
      </c>
      <c r="B1160" s="11">
        <v>60000</v>
      </c>
    </row>
    <row r="1161" spans="1:2" x14ac:dyDescent="0.25">
      <c r="A1161" s="12" t="s">
        <v>1130</v>
      </c>
      <c r="B1161" s="11">
        <v>840</v>
      </c>
    </row>
    <row r="1162" spans="1:2" x14ac:dyDescent="0.25">
      <c r="A1162" s="12" t="s">
        <v>1131</v>
      </c>
      <c r="B1162" s="11">
        <v>1306</v>
      </c>
    </row>
    <row r="1163" spans="1:2" x14ac:dyDescent="0.25">
      <c r="A1163" s="12" t="s">
        <v>1132</v>
      </c>
      <c r="B1163" s="11">
        <v>1536</v>
      </c>
    </row>
    <row r="1164" spans="1:2" x14ac:dyDescent="0.25">
      <c r="A1164" s="12" t="s">
        <v>1133</v>
      </c>
      <c r="B1164" s="11">
        <v>971</v>
      </c>
    </row>
    <row r="1165" spans="1:2" x14ac:dyDescent="0.25">
      <c r="A1165" s="12" t="s">
        <v>1134</v>
      </c>
      <c r="B1165" s="11">
        <v>1399</v>
      </c>
    </row>
    <row r="1166" spans="1:2" x14ac:dyDescent="0.25">
      <c r="A1166" s="12" t="s">
        <v>1135</v>
      </c>
      <c r="B1166" s="11">
        <v>1179</v>
      </c>
    </row>
    <row r="1167" spans="1:2" x14ac:dyDescent="0.25">
      <c r="A1167" s="12" t="s">
        <v>1136</v>
      </c>
      <c r="B1167" s="11">
        <v>-67231</v>
      </c>
    </row>
    <row r="1168" spans="1:2" x14ac:dyDescent="0.25">
      <c r="A1168" s="10" t="s">
        <v>1137</v>
      </c>
      <c r="B1168" s="11">
        <v>0</v>
      </c>
    </row>
    <row r="1169" spans="1:2" x14ac:dyDescent="0.25">
      <c r="A1169" s="12" t="s">
        <v>1138</v>
      </c>
      <c r="B1169" s="11">
        <v>428</v>
      </c>
    </row>
    <row r="1170" spans="1:2" x14ac:dyDescent="0.25">
      <c r="A1170" s="12" t="s">
        <v>10</v>
      </c>
      <c r="B1170" s="11">
        <v>-428</v>
      </c>
    </row>
    <row r="1171" spans="1:2" x14ac:dyDescent="0.25">
      <c r="A1171" s="10" t="s">
        <v>1139</v>
      </c>
      <c r="B1171" s="11">
        <v>0</v>
      </c>
    </row>
    <row r="1172" spans="1:2" x14ac:dyDescent="0.25">
      <c r="A1172" s="12" t="s">
        <v>1140</v>
      </c>
      <c r="B1172" s="11">
        <v>65000</v>
      </c>
    </row>
    <row r="1173" spans="1:2" x14ac:dyDescent="0.25">
      <c r="A1173" s="12" t="s">
        <v>1141</v>
      </c>
      <c r="B1173" s="11">
        <v>2633</v>
      </c>
    </row>
    <row r="1174" spans="1:2" x14ac:dyDescent="0.25">
      <c r="A1174" s="12" t="s">
        <v>1142</v>
      </c>
      <c r="B1174" s="11">
        <v>1871</v>
      </c>
    </row>
    <row r="1175" spans="1:2" x14ac:dyDescent="0.25">
      <c r="A1175" s="12" t="s">
        <v>1143</v>
      </c>
      <c r="B1175" s="11">
        <v>1593</v>
      </c>
    </row>
    <row r="1176" spans="1:2" x14ac:dyDescent="0.25">
      <c r="A1176" s="12" t="s">
        <v>1144</v>
      </c>
      <c r="B1176" s="11">
        <v>2040</v>
      </c>
    </row>
    <row r="1177" spans="1:2" x14ac:dyDescent="0.25">
      <c r="A1177" s="12" t="s">
        <v>1145</v>
      </c>
      <c r="B1177" s="11">
        <v>1772</v>
      </c>
    </row>
    <row r="1178" spans="1:2" x14ac:dyDescent="0.25">
      <c r="A1178" s="12" t="s">
        <v>1146</v>
      </c>
      <c r="B1178" s="11">
        <v>2438</v>
      </c>
    </row>
    <row r="1179" spans="1:2" x14ac:dyDescent="0.25">
      <c r="A1179" s="12" t="s">
        <v>1147</v>
      </c>
      <c r="B1179" s="11">
        <v>3713</v>
      </c>
    </row>
    <row r="1180" spans="1:2" x14ac:dyDescent="0.25">
      <c r="A1180" s="12" t="s">
        <v>1148</v>
      </c>
      <c r="B1180" s="11">
        <v>3260</v>
      </c>
    </row>
    <row r="1181" spans="1:2" x14ac:dyDescent="0.25">
      <c r="A1181" s="12" t="s">
        <v>1149</v>
      </c>
      <c r="B1181" s="11">
        <v>5220</v>
      </c>
    </row>
    <row r="1182" spans="1:2" x14ac:dyDescent="0.25">
      <c r="A1182" s="12" t="s">
        <v>1150</v>
      </c>
      <c r="B1182" s="11">
        <v>5386</v>
      </c>
    </row>
    <row r="1183" spans="1:2" x14ac:dyDescent="0.25">
      <c r="A1183" s="12" t="s">
        <v>1151</v>
      </c>
      <c r="B1183" s="11">
        <v>-94926</v>
      </c>
    </row>
    <row r="1184" spans="1:2" x14ac:dyDescent="0.25">
      <c r="A1184" s="10" t="s">
        <v>1152</v>
      </c>
      <c r="B1184" s="11">
        <v>0</v>
      </c>
    </row>
    <row r="1185" spans="1:2" x14ac:dyDescent="0.25">
      <c r="A1185" s="12" t="s">
        <v>1153</v>
      </c>
      <c r="B1185" s="11">
        <v>45000</v>
      </c>
    </row>
    <row r="1186" spans="1:2" x14ac:dyDescent="0.25">
      <c r="A1186" s="12" t="s">
        <v>1154</v>
      </c>
      <c r="B1186" s="11">
        <v>741</v>
      </c>
    </row>
    <row r="1187" spans="1:2" x14ac:dyDescent="0.25">
      <c r="A1187" s="12" t="s">
        <v>1155</v>
      </c>
      <c r="B1187" s="11">
        <v>943</v>
      </c>
    </row>
    <row r="1188" spans="1:2" x14ac:dyDescent="0.25">
      <c r="A1188" s="12" t="s">
        <v>1156</v>
      </c>
      <c r="B1188" s="11">
        <v>1340</v>
      </c>
    </row>
    <row r="1189" spans="1:2" x14ac:dyDescent="0.25">
      <c r="A1189" s="12" t="s">
        <v>1157</v>
      </c>
      <c r="B1189" s="11">
        <v>-3024</v>
      </c>
    </row>
    <row r="1190" spans="1:2" x14ac:dyDescent="0.25">
      <c r="A1190" s="12" t="s">
        <v>1158</v>
      </c>
      <c r="B1190" s="11">
        <v>-45000</v>
      </c>
    </row>
    <row r="1191" spans="1:2" x14ac:dyDescent="0.25">
      <c r="A1191" s="10" t="s">
        <v>1159</v>
      </c>
      <c r="B1191" s="11">
        <v>0</v>
      </c>
    </row>
    <row r="1192" spans="1:2" x14ac:dyDescent="0.25">
      <c r="A1192" s="12" t="s">
        <v>1160</v>
      </c>
      <c r="B1192" s="11">
        <v>39000</v>
      </c>
    </row>
    <row r="1193" spans="1:2" x14ac:dyDescent="0.25">
      <c r="A1193" s="12" t="s">
        <v>1161</v>
      </c>
      <c r="B1193" s="11">
        <v>3521</v>
      </c>
    </row>
    <row r="1194" spans="1:2" x14ac:dyDescent="0.25">
      <c r="A1194" s="12" t="s">
        <v>1162</v>
      </c>
      <c r="B1194" s="11">
        <v>-42521</v>
      </c>
    </row>
    <row r="1195" spans="1:2" x14ac:dyDescent="0.25">
      <c r="A1195" s="10" t="s">
        <v>1163</v>
      </c>
      <c r="B1195" s="11">
        <v>0</v>
      </c>
    </row>
    <row r="1196" spans="1:2" x14ac:dyDescent="0.25">
      <c r="A1196" s="12" t="s">
        <v>1164</v>
      </c>
      <c r="B1196" s="11">
        <v>79000</v>
      </c>
    </row>
    <row r="1197" spans="1:2" x14ac:dyDescent="0.25">
      <c r="A1197" s="12" t="s">
        <v>1165</v>
      </c>
      <c r="B1197" s="11">
        <v>6388</v>
      </c>
    </row>
    <row r="1198" spans="1:2" x14ac:dyDescent="0.25">
      <c r="A1198" s="12" t="s">
        <v>1166</v>
      </c>
      <c r="B1198" s="11">
        <v>8029</v>
      </c>
    </row>
    <row r="1199" spans="1:2" x14ac:dyDescent="0.25">
      <c r="A1199" s="12" t="s">
        <v>1167</v>
      </c>
      <c r="B1199" s="11">
        <v>7490</v>
      </c>
    </row>
    <row r="1200" spans="1:2" x14ac:dyDescent="0.25">
      <c r="A1200" s="12" t="s">
        <v>1168</v>
      </c>
      <c r="B1200" s="11">
        <v>8016</v>
      </c>
    </row>
    <row r="1201" spans="1:2" x14ac:dyDescent="0.25">
      <c r="A1201" s="12" t="s">
        <v>1169</v>
      </c>
      <c r="B1201" s="11">
        <v>7770</v>
      </c>
    </row>
    <row r="1202" spans="1:2" x14ac:dyDescent="0.25">
      <c r="A1202" s="12" t="s">
        <v>1170</v>
      </c>
      <c r="B1202" s="11">
        <v>7452</v>
      </c>
    </row>
    <row r="1203" spans="1:2" x14ac:dyDescent="0.25">
      <c r="A1203" s="12" t="s">
        <v>1171</v>
      </c>
      <c r="B1203" s="11">
        <v>7698</v>
      </c>
    </row>
    <row r="1204" spans="1:2" x14ac:dyDescent="0.25">
      <c r="A1204" s="12" t="s">
        <v>1172</v>
      </c>
      <c r="B1204" s="11">
        <v>7846</v>
      </c>
    </row>
    <row r="1205" spans="1:2" x14ac:dyDescent="0.25">
      <c r="A1205" s="12" t="s">
        <v>1173</v>
      </c>
      <c r="B1205" s="11">
        <v>8029</v>
      </c>
    </row>
    <row r="1206" spans="1:2" x14ac:dyDescent="0.25">
      <c r="A1206" s="12" t="s">
        <v>1174</v>
      </c>
      <c r="B1206" s="11">
        <v>7764</v>
      </c>
    </row>
    <row r="1207" spans="1:2" x14ac:dyDescent="0.25">
      <c r="A1207" s="12" t="s">
        <v>1175</v>
      </c>
      <c r="B1207" s="11">
        <v>-155482</v>
      </c>
    </row>
    <row r="1208" spans="1:2" x14ac:dyDescent="0.25">
      <c r="A1208" s="10" t="s">
        <v>1176</v>
      </c>
      <c r="B1208" s="11">
        <v>0</v>
      </c>
    </row>
    <row r="1209" spans="1:2" x14ac:dyDescent="0.25">
      <c r="A1209" s="12" t="s">
        <v>1177</v>
      </c>
      <c r="B1209" s="11">
        <v>35000</v>
      </c>
    </row>
    <row r="1210" spans="1:2" x14ac:dyDescent="0.25">
      <c r="A1210" s="12" t="s">
        <v>1178</v>
      </c>
      <c r="B1210" s="11">
        <v>3813</v>
      </c>
    </row>
    <row r="1211" spans="1:2" x14ac:dyDescent="0.25">
      <c r="A1211" s="12" t="s">
        <v>1179</v>
      </c>
      <c r="B1211" s="11">
        <v>3813</v>
      </c>
    </row>
    <row r="1212" spans="1:2" x14ac:dyDescent="0.25">
      <c r="A1212" s="12" t="s">
        <v>1180</v>
      </c>
      <c r="B1212" s="11">
        <v>3567</v>
      </c>
    </row>
    <row r="1213" spans="1:2" x14ac:dyDescent="0.25">
      <c r="A1213" s="12" t="s">
        <v>1181</v>
      </c>
      <c r="B1213" s="11">
        <v>3813</v>
      </c>
    </row>
    <row r="1214" spans="1:2" x14ac:dyDescent="0.25">
      <c r="A1214" s="12" t="s">
        <v>1182</v>
      </c>
      <c r="B1214" s="11">
        <v>3690</v>
      </c>
    </row>
    <row r="1215" spans="1:2" x14ac:dyDescent="0.25">
      <c r="A1215" s="12" t="s">
        <v>1183</v>
      </c>
      <c r="B1215" s="11">
        <v>235</v>
      </c>
    </row>
    <row r="1216" spans="1:2" x14ac:dyDescent="0.25">
      <c r="A1216" s="12" t="s">
        <v>1184</v>
      </c>
      <c r="B1216" s="11">
        <v>663</v>
      </c>
    </row>
    <row r="1217" spans="1:2" x14ac:dyDescent="0.25">
      <c r="A1217" s="12" t="s">
        <v>1185</v>
      </c>
      <c r="B1217" s="11">
        <v>886</v>
      </c>
    </row>
    <row r="1218" spans="1:2" x14ac:dyDescent="0.25">
      <c r="A1218" s="12" t="s">
        <v>1186</v>
      </c>
      <c r="B1218" s="11">
        <v>450</v>
      </c>
    </row>
    <row r="1219" spans="1:2" x14ac:dyDescent="0.25">
      <c r="A1219" s="12" t="s">
        <v>1187</v>
      </c>
      <c r="B1219" s="11">
        <v>501</v>
      </c>
    </row>
    <row r="1220" spans="1:2" x14ac:dyDescent="0.25">
      <c r="A1220" s="12" t="s">
        <v>1188</v>
      </c>
      <c r="B1220" s="11">
        <v>-56431</v>
      </c>
    </row>
    <row r="1221" spans="1:2" x14ac:dyDescent="0.25">
      <c r="A1221" s="10" t="s">
        <v>1189</v>
      </c>
      <c r="B1221" s="11">
        <v>0</v>
      </c>
    </row>
    <row r="1222" spans="1:2" x14ac:dyDescent="0.25">
      <c r="A1222" s="12" t="s">
        <v>1190</v>
      </c>
      <c r="B1222" s="11">
        <v>45000</v>
      </c>
    </row>
    <row r="1223" spans="1:2" x14ac:dyDescent="0.25">
      <c r="A1223" s="12" t="s">
        <v>1191</v>
      </c>
      <c r="B1223" s="11">
        <v>4602</v>
      </c>
    </row>
    <row r="1224" spans="1:2" x14ac:dyDescent="0.25">
      <c r="A1224" s="12" t="s">
        <v>1192</v>
      </c>
      <c r="B1224" s="11">
        <v>3569</v>
      </c>
    </row>
    <row r="1225" spans="1:2" x14ac:dyDescent="0.25">
      <c r="A1225" s="12" t="s">
        <v>1193</v>
      </c>
      <c r="B1225" s="11">
        <v>3381</v>
      </c>
    </row>
    <row r="1226" spans="1:2" x14ac:dyDescent="0.25">
      <c r="A1226" s="12" t="s">
        <v>1194</v>
      </c>
      <c r="B1226" s="11">
        <v>4059</v>
      </c>
    </row>
    <row r="1227" spans="1:2" x14ac:dyDescent="0.25">
      <c r="A1227" s="12" t="s">
        <v>1195</v>
      </c>
      <c r="B1227" s="11">
        <v>4121</v>
      </c>
    </row>
    <row r="1228" spans="1:2" x14ac:dyDescent="0.25">
      <c r="A1228" s="12" t="s">
        <v>1196</v>
      </c>
      <c r="B1228" s="11">
        <v>3896</v>
      </c>
    </row>
    <row r="1229" spans="1:2" x14ac:dyDescent="0.25">
      <c r="A1229" s="12" t="s">
        <v>1197</v>
      </c>
      <c r="B1229" s="11">
        <v>3064</v>
      </c>
    </row>
    <row r="1230" spans="1:2" x14ac:dyDescent="0.25">
      <c r="A1230" s="12" t="s">
        <v>1198</v>
      </c>
      <c r="B1230" s="11">
        <v>3122</v>
      </c>
    </row>
    <row r="1231" spans="1:2" x14ac:dyDescent="0.25">
      <c r="A1231" s="12" t="s">
        <v>1199</v>
      </c>
      <c r="B1231" s="11">
        <v>741</v>
      </c>
    </row>
    <row r="1232" spans="1:2" x14ac:dyDescent="0.25">
      <c r="A1232" s="12" t="s">
        <v>1200</v>
      </c>
      <c r="B1232" s="11">
        <v>939</v>
      </c>
    </row>
    <row r="1233" spans="1:2" x14ac:dyDescent="0.25">
      <c r="A1233" s="12" t="s">
        <v>1201</v>
      </c>
      <c r="B1233" s="11">
        <v>-76494</v>
      </c>
    </row>
    <row r="1234" spans="1:2" x14ac:dyDescent="0.25">
      <c r="A1234" s="10" t="s">
        <v>1202</v>
      </c>
      <c r="B1234" s="11">
        <v>0</v>
      </c>
    </row>
    <row r="1235" spans="1:2" x14ac:dyDescent="0.25">
      <c r="A1235" s="12" t="s">
        <v>1203</v>
      </c>
      <c r="B1235" s="11">
        <v>1200</v>
      </c>
    </row>
    <row r="1236" spans="1:2" x14ac:dyDescent="0.25">
      <c r="A1236" s="12" t="s">
        <v>1204</v>
      </c>
      <c r="B1236" s="11">
        <v>-1200</v>
      </c>
    </row>
    <row r="1237" spans="1:2" x14ac:dyDescent="0.25">
      <c r="A1237" s="10" t="s">
        <v>1205</v>
      </c>
      <c r="B1237" s="11">
        <v>0</v>
      </c>
    </row>
    <row r="1238" spans="1:2" x14ac:dyDescent="0.25">
      <c r="A1238" s="12" t="s">
        <v>1206</v>
      </c>
      <c r="B1238" s="11">
        <v>2805</v>
      </c>
    </row>
    <row r="1239" spans="1:2" x14ac:dyDescent="0.25">
      <c r="A1239" s="12" t="s">
        <v>1207</v>
      </c>
      <c r="B1239" s="11">
        <v>3586</v>
      </c>
    </row>
    <row r="1240" spans="1:2" x14ac:dyDescent="0.25">
      <c r="A1240" s="12" t="s">
        <v>1208</v>
      </c>
      <c r="B1240" s="11">
        <v>2439</v>
      </c>
    </row>
    <row r="1241" spans="1:2" x14ac:dyDescent="0.25">
      <c r="A1241" s="12" t="s">
        <v>1209</v>
      </c>
      <c r="B1241" s="11">
        <v>-8830</v>
      </c>
    </row>
    <row r="1242" spans="1:2" x14ac:dyDescent="0.25">
      <c r="A1242" s="10" t="s">
        <v>1210</v>
      </c>
      <c r="B1242" s="11">
        <v>0</v>
      </c>
    </row>
    <row r="1243" spans="1:2" x14ac:dyDescent="0.25">
      <c r="A1243" s="12" t="s">
        <v>1211</v>
      </c>
      <c r="B1243" s="11">
        <v>183</v>
      </c>
    </row>
    <row r="1244" spans="1:2" x14ac:dyDescent="0.25">
      <c r="A1244" s="12" t="s">
        <v>1212</v>
      </c>
      <c r="B1244" s="11">
        <v>1633</v>
      </c>
    </row>
    <row r="1245" spans="1:2" x14ac:dyDescent="0.25">
      <c r="A1245" s="12" t="s">
        <v>1213</v>
      </c>
      <c r="B1245" s="11">
        <v>763</v>
      </c>
    </row>
    <row r="1246" spans="1:2" x14ac:dyDescent="0.25">
      <c r="A1246" s="12" t="s">
        <v>1214</v>
      </c>
      <c r="B1246" s="11">
        <v>-2579</v>
      </c>
    </row>
    <row r="1247" spans="1:2" x14ac:dyDescent="0.25">
      <c r="A1247" s="10" t="s">
        <v>1215</v>
      </c>
      <c r="B1247" s="11">
        <v>0</v>
      </c>
    </row>
    <row r="1248" spans="1:2" x14ac:dyDescent="0.25">
      <c r="A1248" s="12" t="s">
        <v>1216</v>
      </c>
      <c r="B1248" s="11">
        <v>1063</v>
      </c>
    </row>
    <row r="1249" spans="1:2" x14ac:dyDescent="0.25">
      <c r="A1249" s="12" t="s">
        <v>1217</v>
      </c>
      <c r="B1249" s="11">
        <v>765</v>
      </c>
    </row>
    <row r="1250" spans="1:2" x14ac:dyDescent="0.25">
      <c r="A1250" s="12" t="s">
        <v>1218</v>
      </c>
      <c r="B1250" s="11">
        <v>-1827</v>
      </c>
    </row>
    <row r="1251" spans="1:2" x14ac:dyDescent="0.25">
      <c r="A1251" s="12" t="s">
        <v>10</v>
      </c>
      <c r="B1251" s="11">
        <v>-1</v>
      </c>
    </row>
    <row r="1252" spans="1:2" x14ac:dyDescent="0.25">
      <c r="A1252" s="10" t="s">
        <v>1219</v>
      </c>
      <c r="B1252" s="11">
        <v>0</v>
      </c>
    </row>
    <row r="1253" spans="1:2" x14ac:dyDescent="0.25">
      <c r="A1253" s="12" t="s">
        <v>1220</v>
      </c>
      <c r="B1253" s="11">
        <v>4551</v>
      </c>
    </row>
    <row r="1254" spans="1:2" x14ac:dyDescent="0.25">
      <c r="A1254" s="12" t="s">
        <v>1221</v>
      </c>
      <c r="B1254" s="11">
        <v>4433</v>
      </c>
    </row>
    <row r="1255" spans="1:2" x14ac:dyDescent="0.25">
      <c r="A1255" s="12" t="s">
        <v>1222</v>
      </c>
      <c r="B1255" s="11">
        <v>4108</v>
      </c>
    </row>
    <row r="1256" spans="1:2" x14ac:dyDescent="0.25">
      <c r="A1256" s="12" t="s">
        <v>1223</v>
      </c>
      <c r="B1256" s="11">
        <v>3309</v>
      </c>
    </row>
    <row r="1257" spans="1:2" x14ac:dyDescent="0.25">
      <c r="A1257" s="12" t="s">
        <v>1224</v>
      </c>
      <c r="B1257" s="11">
        <v>3496</v>
      </c>
    </row>
    <row r="1258" spans="1:2" x14ac:dyDescent="0.25">
      <c r="A1258" s="12" t="s">
        <v>1225</v>
      </c>
      <c r="B1258" s="11">
        <v>3748</v>
      </c>
    </row>
    <row r="1259" spans="1:2" x14ac:dyDescent="0.25">
      <c r="A1259" s="12" t="s">
        <v>1226</v>
      </c>
      <c r="B1259" s="11">
        <v>3232</v>
      </c>
    </row>
    <row r="1260" spans="1:2" x14ac:dyDescent="0.25">
      <c r="A1260" s="12" t="s">
        <v>1227</v>
      </c>
      <c r="B1260" s="11">
        <v>3654</v>
      </c>
    </row>
    <row r="1261" spans="1:2" x14ac:dyDescent="0.25">
      <c r="A1261" s="12" t="s">
        <v>1228</v>
      </c>
      <c r="B1261" s="11">
        <v>2728</v>
      </c>
    </row>
    <row r="1262" spans="1:2" x14ac:dyDescent="0.25">
      <c r="A1262" s="12" t="s">
        <v>1229</v>
      </c>
      <c r="B1262" s="11">
        <v>2838</v>
      </c>
    </row>
    <row r="1263" spans="1:2" x14ac:dyDescent="0.25">
      <c r="A1263" s="12" t="s">
        <v>1230</v>
      </c>
      <c r="B1263" s="11">
        <v>3705</v>
      </c>
    </row>
    <row r="1264" spans="1:2" x14ac:dyDescent="0.25">
      <c r="A1264" s="12" t="s">
        <v>1231</v>
      </c>
      <c r="B1264" s="11">
        <v>-39802</v>
      </c>
    </row>
    <row r="1265" spans="1:2" x14ac:dyDescent="0.25">
      <c r="A1265" s="10" t="s">
        <v>1232</v>
      </c>
      <c r="B1265" s="11">
        <v>0</v>
      </c>
    </row>
    <row r="1266" spans="1:2" x14ac:dyDescent="0.25">
      <c r="A1266" s="12" t="s">
        <v>1233</v>
      </c>
      <c r="B1266" s="11">
        <v>735</v>
      </c>
    </row>
    <row r="1267" spans="1:2" x14ac:dyDescent="0.25">
      <c r="A1267" s="12" t="s">
        <v>1234</v>
      </c>
      <c r="B1267" s="11">
        <v>214</v>
      </c>
    </row>
    <row r="1268" spans="1:2" x14ac:dyDescent="0.25">
      <c r="A1268" s="12" t="s">
        <v>1235</v>
      </c>
      <c r="B1268" s="11">
        <v>572</v>
      </c>
    </row>
    <row r="1269" spans="1:2" x14ac:dyDescent="0.25">
      <c r="A1269" s="12" t="s">
        <v>1236</v>
      </c>
      <c r="B1269" s="11">
        <v>765</v>
      </c>
    </row>
    <row r="1270" spans="1:2" x14ac:dyDescent="0.25">
      <c r="A1270" s="12" t="s">
        <v>1237</v>
      </c>
      <c r="B1270" s="11">
        <v>958</v>
      </c>
    </row>
    <row r="1271" spans="1:2" x14ac:dyDescent="0.25">
      <c r="A1271" s="12" t="s">
        <v>1238</v>
      </c>
      <c r="B1271" s="11">
        <v>1497</v>
      </c>
    </row>
    <row r="1272" spans="1:2" x14ac:dyDescent="0.25">
      <c r="A1272" s="12" t="s">
        <v>1239</v>
      </c>
      <c r="B1272" s="11">
        <v>55</v>
      </c>
    </row>
    <row r="1273" spans="1:2" x14ac:dyDescent="0.25">
      <c r="A1273" s="12" t="s">
        <v>1240</v>
      </c>
      <c r="B1273" s="11">
        <v>107</v>
      </c>
    </row>
    <row r="1274" spans="1:2" x14ac:dyDescent="0.25">
      <c r="A1274" s="12" t="s">
        <v>1241</v>
      </c>
      <c r="B1274" s="11">
        <v>21</v>
      </c>
    </row>
    <row r="1275" spans="1:2" x14ac:dyDescent="0.25">
      <c r="A1275" s="12" t="s">
        <v>1242</v>
      </c>
      <c r="B1275" s="11">
        <v>-4924</v>
      </c>
    </row>
    <row r="1276" spans="1:2" x14ac:dyDescent="0.25">
      <c r="A1276" s="10" t="s">
        <v>1243</v>
      </c>
      <c r="B1276" s="11">
        <v>0</v>
      </c>
    </row>
    <row r="1277" spans="1:2" x14ac:dyDescent="0.25">
      <c r="A1277" s="12" t="s">
        <v>1244</v>
      </c>
      <c r="B1277" s="11">
        <v>79</v>
      </c>
    </row>
    <row r="1278" spans="1:2" x14ac:dyDescent="0.25">
      <c r="A1278" s="12" t="s">
        <v>10</v>
      </c>
      <c r="B1278" s="11">
        <v>-79</v>
      </c>
    </row>
    <row r="1279" spans="1:2" x14ac:dyDescent="0.25">
      <c r="A1279" s="10" t="s">
        <v>1245</v>
      </c>
      <c r="B1279" s="11">
        <v>0</v>
      </c>
    </row>
    <row r="1280" spans="1:2" x14ac:dyDescent="0.25">
      <c r="A1280" s="12" t="s">
        <v>1246</v>
      </c>
      <c r="B1280" s="11">
        <v>4157</v>
      </c>
    </row>
    <row r="1281" spans="1:2" x14ac:dyDescent="0.25">
      <c r="A1281" s="12" t="s">
        <v>1247</v>
      </c>
      <c r="B1281" s="11">
        <v>4317</v>
      </c>
    </row>
    <row r="1282" spans="1:2" x14ac:dyDescent="0.25">
      <c r="A1282" s="12" t="s">
        <v>1248</v>
      </c>
      <c r="B1282" s="11">
        <v>4305</v>
      </c>
    </row>
    <row r="1283" spans="1:2" x14ac:dyDescent="0.25">
      <c r="A1283" s="12" t="s">
        <v>1249</v>
      </c>
      <c r="B1283" s="11">
        <v>3309</v>
      </c>
    </row>
    <row r="1284" spans="1:2" x14ac:dyDescent="0.25">
      <c r="A1284" s="12" t="s">
        <v>1250</v>
      </c>
      <c r="B1284" s="11">
        <v>-16088</v>
      </c>
    </row>
    <row r="1285" spans="1:2" x14ac:dyDescent="0.25">
      <c r="A1285" s="10" t="s">
        <v>1251</v>
      </c>
      <c r="B1285" s="11">
        <v>0</v>
      </c>
    </row>
    <row r="1286" spans="1:2" x14ac:dyDescent="0.25">
      <c r="A1286" s="12" t="s">
        <v>1252</v>
      </c>
      <c r="B1286" s="11">
        <v>1156</v>
      </c>
    </row>
    <row r="1287" spans="1:2" x14ac:dyDescent="0.25">
      <c r="A1287" s="12" t="s">
        <v>1253</v>
      </c>
      <c r="B1287" s="11">
        <v>2271</v>
      </c>
    </row>
    <row r="1288" spans="1:2" x14ac:dyDescent="0.25">
      <c r="A1288" s="12" t="s">
        <v>1254</v>
      </c>
      <c r="B1288" s="11">
        <v>830</v>
      </c>
    </row>
    <row r="1289" spans="1:2" x14ac:dyDescent="0.25">
      <c r="A1289" s="12" t="s">
        <v>1255</v>
      </c>
      <c r="B1289" s="11">
        <v>-4257</v>
      </c>
    </row>
    <row r="1290" spans="1:2" x14ac:dyDescent="0.25">
      <c r="A1290" s="10" t="s">
        <v>1256</v>
      </c>
      <c r="B1290" s="11">
        <v>0</v>
      </c>
    </row>
    <row r="1291" spans="1:2" x14ac:dyDescent="0.25">
      <c r="A1291" s="12" t="s">
        <v>1257</v>
      </c>
      <c r="B1291" s="11">
        <v>1110</v>
      </c>
    </row>
    <row r="1292" spans="1:2" x14ac:dyDescent="0.25">
      <c r="A1292" s="12" t="s">
        <v>1258</v>
      </c>
      <c r="B1292" s="11">
        <v>1651</v>
      </c>
    </row>
    <row r="1293" spans="1:2" x14ac:dyDescent="0.25">
      <c r="A1293" s="12" t="s">
        <v>1259</v>
      </c>
      <c r="B1293" s="11">
        <v>68</v>
      </c>
    </row>
    <row r="1294" spans="1:2" x14ac:dyDescent="0.25">
      <c r="A1294" s="12" t="s">
        <v>1260</v>
      </c>
      <c r="B1294" s="11">
        <v>-2829</v>
      </c>
    </row>
    <row r="1295" spans="1:2" x14ac:dyDescent="0.25">
      <c r="A1295" s="10" t="s">
        <v>1261</v>
      </c>
      <c r="B1295" s="11">
        <v>0</v>
      </c>
    </row>
    <row r="1296" spans="1:2" x14ac:dyDescent="0.25">
      <c r="A1296" s="12" t="s">
        <v>1262</v>
      </c>
      <c r="B1296" s="11">
        <v>841</v>
      </c>
    </row>
    <row r="1297" spans="1:2" x14ac:dyDescent="0.25">
      <c r="A1297" s="12" t="s">
        <v>1263</v>
      </c>
      <c r="B1297" s="11">
        <v>4159</v>
      </c>
    </row>
    <row r="1298" spans="1:2" x14ac:dyDescent="0.25">
      <c r="A1298" s="12" t="s">
        <v>1264</v>
      </c>
      <c r="B1298" s="11">
        <v>-5000</v>
      </c>
    </row>
    <row r="1299" spans="1:2" x14ac:dyDescent="0.25">
      <c r="A1299" s="10" t="s">
        <v>1265</v>
      </c>
      <c r="B1299" s="11">
        <v>0</v>
      </c>
    </row>
    <row r="1300" spans="1:2" x14ac:dyDescent="0.25">
      <c r="A1300" s="12" t="s">
        <v>1266</v>
      </c>
      <c r="B1300" s="11">
        <v>1250</v>
      </c>
    </row>
    <row r="1301" spans="1:2" x14ac:dyDescent="0.25">
      <c r="A1301" s="12" t="s">
        <v>1267</v>
      </c>
      <c r="B1301" s="11">
        <v>-1250</v>
      </c>
    </row>
    <row r="1302" spans="1:2" x14ac:dyDescent="0.25">
      <c r="A1302" s="10" t="s">
        <v>1268</v>
      </c>
      <c r="B1302" s="11">
        <v>0</v>
      </c>
    </row>
    <row r="1303" spans="1:2" x14ac:dyDescent="0.25">
      <c r="A1303" s="12" t="s">
        <v>1269</v>
      </c>
      <c r="B1303" s="11">
        <v>2120</v>
      </c>
    </row>
    <row r="1304" spans="1:2" x14ac:dyDescent="0.25">
      <c r="A1304" s="12" t="s">
        <v>1270</v>
      </c>
      <c r="B1304" s="11">
        <v>1806</v>
      </c>
    </row>
    <row r="1305" spans="1:2" x14ac:dyDescent="0.25">
      <c r="A1305" s="12" t="s">
        <v>1271</v>
      </c>
      <c r="B1305" s="11">
        <v>2037</v>
      </c>
    </row>
    <row r="1306" spans="1:2" x14ac:dyDescent="0.25">
      <c r="A1306" s="12" t="s">
        <v>1272</v>
      </c>
      <c r="B1306" s="11">
        <v>1252</v>
      </c>
    </row>
    <row r="1307" spans="1:2" x14ac:dyDescent="0.25">
      <c r="A1307" s="12" t="s">
        <v>1273</v>
      </c>
      <c r="B1307" s="11">
        <v>-7265</v>
      </c>
    </row>
    <row r="1308" spans="1:2" x14ac:dyDescent="0.25">
      <c r="A1308" s="12" t="s">
        <v>10</v>
      </c>
      <c r="B1308" s="11">
        <v>50</v>
      </c>
    </row>
    <row r="1309" spans="1:2" x14ac:dyDescent="0.25">
      <c r="A1309" s="10" t="s">
        <v>1274</v>
      </c>
      <c r="B1309" s="11">
        <v>0</v>
      </c>
    </row>
    <row r="1310" spans="1:2" x14ac:dyDescent="0.25">
      <c r="A1310" s="12" t="s">
        <v>1275</v>
      </c>
      <c r="B1310" s="11">
        <v>1180</v>
      </c>
    </row>
    <row r="1311" spans="1:2" x14ac:dyDescent="0.25">
      <c r="A1311" s="12" t="s">
        <v>1276</v>
      </c>
      <c r="B1311" s="11">
        <v>1023</v>
      </c>
    </row>
    <row r="1312" spans="1:2" x14ac:dyDescent="0.25">
      <c r="A1312" s="12" t="s">
        <v>1277</v>
      </c>
      <c r="B1312" s="11">
        <v>-2203</v>
      </c>
    </row>
    <row r="1313" spans="1:2" x14ac:dyDescent="0.25">
      <c r="A1313" s="10" t="s">
        <v>1278</v>
      </c>
      <c r="B1313" s="11">
        <v>0</v>
      </c>
    </row>
    <row r="1314" spans="1:2" x14ac:dyDescent="0.25">
      <c r="A1314" s="12" t="s">
        <v>1279</v>
      </c>
      <c r="B1314" s="11">
        <v>1964</v>
      </c>
    </row>
    <row r="1315" spans="1:2" x14ac:dyDescent="0.25">
      <c r="A1315" s="12" t="s">
        <v>1280</v>
      </c>
      <c r="B1315" s="11">
        <v>2572</v>
      </c>
    </row>
    <row r="1316" spans="1:2" x14ac:dyDescent="0.25">
      <c r="A1316" s="12" t="s">
        <v>1281</v>
      </c>
      <c r="B1316" s="11">
        <v>1954</v>
      </c>
    </row>
    <row r="1317" spans="1:2" x14ac:dyDescent="0.25">
      <c r="A1317" s="12" t="s">
        <v>1282</v>
      </c>
      <c r="B1317" s="11">
        <v>1620</v>
      </c>
    </row>
    <row r="1318" spans="1:2" x14ac:dyDescent="0.25">
      <c r="A1318" s="12" t="s">
        <v>1283</v>
      </c>
      <c r="B1318" s="11">
        <v>1523</v>
      </c>
    </row>
    <row r="1319" spans="1:2" x14ac:dyDescent="0.25">
      <c r="A1319" s="12" t="s">
        <v>1284</v>
      </c>
      <c r="B1319" s="11">
        <v>1341</v>
      </c>
    </row>
    <row r="1320" spans="1:2" x14ac:dyDescent="0.25">
      <c r="A1320" s="12" t="s">
        <v>1285</v>
      </c>
      <c r="B1320" s="11">
        <v>1425</v>
      </c>
    </row>
    <row r="1321" spans="1:2" x14ac:dyDescent="0.25">
      <c r="A1321" s="12" t="s">
        <v>1286</v>
      </c>
      <c r="B1321" s="11">
        <v>968</v>
      </c>
    </row>
    <row r="1322" spans="1:2" x14ac:dyDescent="0.25">
      <c r="A1322" s="12" t="s">
        <v>1287</v>
      </c>
      <c r="B1322" s="11">
        <v>-13367</v>
      </c>
    </row>
    <row r="1323" spans="1:2" x14ac:dyDescent="0.25">
      <c r="A1323" s="10" t="s">
        <v>1288</v>
      </c>
      <c r="B1323" s="11">
        <v>0</v>
      </c>
    </row>
    <row r="1324" spans="1:2" x14ac:dyDescent="0.25">
      <c r="A1324" s="12" t="s">
        <v>1289</v>
      </c>
      <c r="B1324" s="11">
        <v>1071</v>
      </c>
    </row>
    <row r="1325" spans="1:2" x14ac:dyDescent="0.25">
      <c r="A1325" s="12" t="s">
        <v>1290</v>
      </c>
      <c r="B1325" s="11">
        <v>1415</v>
      </c>
    </row>
    <row r="1326" spans="1:2" x14ac:dyDescent="0.25">
      <c r="A1326" s="12" t="s">
        <v>1291</v>
      </c>
      <c r="B1326" s="11">
        <v>1214</v>
      </c>
    </row>
    <row r="1327" spans="1:2" x14ac:dyDescent="0.25">
      <c r="A1327" s="12" t="s">
        <v>1292</v>
      </c>
      <c r="B1327" s="11">
        <v>775</v>
      </c>
    </row>
    <row r="1328" spans="1:2" x14ac:dyDescent="0.25">
      <c r="A1328" s="12" t="s">
        <v>1293</v>
      </c>
      <c r="B1328" s="11">
        <v>894</v>
      </c>
    </row>
    <row r="1329" spans="1:2" x14ac:dyDescent="0.25">
      <c r="A1329" s="12" t="s">
        <v>1294</v>
      </c>
      <c r="B1329" s="11">
        <v>894</v>
      </c>
    </row>
    <row r="1330" spans="1:2" x14ac:dyDescent="0.25">
      <c r="A1330" s="12" t="s">
        <v>1295</v>
      </c>
      <c r="B1330" s="11">
        <v>973</v>
      </c>
    </row>
    <row r="1331" spans="1:2" x14ac:dyDescent="0.25">
      <c r="A1331" s="12" t="s">
        <v>1296</v>
      </c>
      <c r="B1331" s="11">
        <v>271</v>
      </c>
    </row>
    <row r="1332" spans="1:2" x14ac:dyDescent="0.25">
      <c r="A1332" s="12" t="s">
        <v>1297</v>
      </c>
      <c r="B1332" s="11">
        <v>1077</v>
      </c>
    </row>
    <row r="1333" spans="1:2" x14ac:dyDescent="0.25">
      <c r="A1333" s="12" t="s">
        <v>1298</v>
      </c>
      <c r="B1333" s="11">
        <v>1816</v>
      </c>
    </row>
    <row r="1334" spans="1:2" x14ac:dyDescent="0.25">
      <c r="A1334" s="12" t="s">
        <v>1299</v>
      </c>
      <c r="B1334" s="11">
        <v>-10400</v>
      </c>
    </row>
    <row r="1335" spans="1:2" x14ac:dyDescent="0.25">
      <c r="A1335" s="10" t="s">
        <v>1300</v>
      </c>
      <c r="B1335" s="11">
        <v>0</v>
      </c>
    </row>
    <row r="1336" spans="1:2" x14ac:dyDescent="0.25">
      <c r="A1336" s="12" t="s">
        <v>1301</v>
      </c>
      <c r="B1336" s="11">
        <v>438</v>
      </c>
    </row>
    <row r="1337" spans="1:2" x14ac:dyDescent="0.25">
      <c r="A1337" s="12" t="s">
        <v>1302</v>
      </c>
      <c r="B1337" s="11">
        <v>-438</v>
      </c>
    </row>
    <row r="1338" spans="1:2" x14ac:dyDescent="0.25">
      <c r="A1338" s="10" t="s">
        <v>1303</v>
      </c>
      <c r="B1338" s="11">
        <v>0</v>
      </c>
    </row>
    <row r="1339" spans="1:2" x14ac:dyDescent="0.25">
      <c r="A1339" s="12" t="s">
        <v>1304</v>
      </c>
      <c r="B1339" s="11">
        <v>5022</v>
      </c>
    </row>
    <row r="1340" spans="1:2" x14ac:dyDescent="0.25">
      <c r="A1340" s="12" t="s">
        <v>1305</v>
      </c>
      <c r="B1340" s="11">
        <v>4489</v>
      </c>
    </row>
    <row r="1341" spans="1:2" x14ac:dyDescent="0.25">
      <c r="A1341" s="12" t="s">
        <v>1306</v>
      </c>
      <c r="B1341" s="11">
        <v>4861</v>
      </c>
    </row>
    <row r="1342" spans="1:2" x14ac:dyDescent="0.25">
      <c r="A1342" s="12" t="s">
        <v>1307</v>
      </c>
      <c r="B1342" s="11">
        <v>4726</v>
      </c>
    </row>
    <row r="1343" spans="1:2" x14ac:dyDescent="0.25">
      <c r="A1343" s="12" t="s">
        <v>1308</v>
      </c>
      <c r="B1343" s="11">
        <v>4515</v>
      </c>
    </row>
    <row r="1344" spans="1:2" x14ac:dyDescent="0.25">
      <c r="A1344" s="12" t="s">
        <v>1309</v>
      </c>
      <c r="B1344" s="11">
        <v>4480</v>
      </c>
    </row>
    <row r="1345" spans="1:2" x14ac:dyDescent="0.25">
      <c r="A1345" s="12" t="s">
        <v>1310</v>
      </c>
      <c r="B1345" s="11">
        <v>4860</v>
      </c>
    </row>
    <row r="1346" spans="1:2" x14ac:dyDescent="0.25">
      <c r="A1346" s="12" t="s">
        <v>1311</v>
      </c>
      <c r="B1346" s="11">
        <v>-32953</v>
      </c>
    </row>
    <row r="1347" spans="1:2" x14ac:dyDescent="0.25">
      <c r="A1347" s="10" t="s">
        <v>1312</v>
      </c>
      <c r="B1347" s="11">
        <v>0</v>
      </c>
    </row>
    <row r="1348" spans="1:2" x14ac:dyDescent="0.25">
      <c r="A1348" s="12" t="s">
        <v>1313</v>
      </c>
      <c r="B1348" s="11">
        <v>28</v>
      </c>
    </row>
    <row r="1349" spans="1:2" x14ac:dyDescent="0.25">
      <c r="A1349" s="12" t="s">
        <v>10</v>
      </c>
      <c r="B1349" s="11">
        <v>-28</v>
      </c>
    </row>
    <row r="1350" spans="1:2" x14ac:dyDescent="0.25">
      <c r="A1350" s="10" t="s">
        <v>1314</v>
      </c>
      <c r="B1350" s="11">
        <v>0</v>
      </c>
    </row>
    <row r="1351" spans="1:2" x14ac:dyDescent="0.25">
      <c r="A1351" s="12" t="s">
        <v>1315</v>
      </c>
      <c r="B1351" s="11">
        <v>1719</v>
      </c>
    </row>
    <row r="1352" spans="1:2" x14ac:dyDescent="0.25">
      <c r="A1352" s="12" t="s">
        <v>1316</v>
      </c>
      <c r="B1352" s="11">
        <v>1278</v>
      </c>
    </row>
    <row r="1353" spans="1:2" x14ac:dyDescent="0.25">
      <c r="A1353" s="12" t="s">
        <v>1317</v>
      </c>
      <c r="B1353" s="11">
        <v>-2997</v>
      </c>
    </row>
    <row r="1354" spans="1:2" x14ac:dyDescent="0.25">
      <c r="A1354" s="10" t="s">
        <v>1318</v>
      </c>
      <c r="B1354" s="11">
        <v>0</v>
      </c>
    </row>
    <row r="1355" spans="1:2" x14ac:dyDescent="0.25">
      <c r="A1355" s="12" t="s">
        <v>1319</v>
      </c>
      <c r="B1355" s="11">
        <v>478</v>
      </c>
    </row>
    <row r="1356" spans="1:2" x14ac:dyDescent="0.25">
      <c r="A1356" s="12" t="s">
        <v>1320</v>
      </c>
      <c r="B1356" s="11">
        <v>501</v>
      </c>
    </row>
    <row r="1357" spans="1:2" x14ac:dyDescent="0.25">
      <c r="A1357" s="12" t="s">
        <v>1321</v>
      </c>
      <c r="B1357" s="11">
        <v>501</v>
      </c>
    </row>
    <row r="1358" spans="1:2" x14ac:dyDescent="0.25">
      <c r="A1358" s="12" t="s">
        <v>1322</v>
      </c>
      <c r="B1358" s="11">
        <v>1</v>
      </c>
    </row>
    <row r="1359" spans="1:2" x14ac:dyDescent="0.25">
      <c r="A1359" s="12" t="s">
        <v>1323</v>
      </c>
      <c r="B1359" s="11">
        <v>441</v>
      </c>
    </row>
    <row r="1360" spans="1:2" x14ac:dyDescent="0.25">
      <c r="A1360" s="12" t="s">
        <v>1324</v>
      </c>
      <c r="B1360" s="11">
        <v>2073</v>
      </c>
    </row>
    <row r="1361" spans="1:2" x14ac:dyDescent="0.25">
      <c r="A1361" s="12" t="s">
        <v>1325</v>
      </c>
      <c r="B1361" s="11">
        <v>5780</v>
      </c>
    </row>
    <row r="1362" spans="1:2" x14ac:dyDescent="0.25">
      <c r="A1362" s="12" t="s">
        <v>1326</v>
      </c>
      <c r="B1362" s="11">
        <v>58</v>
      </c>
    </row>
    <row r="1363" spans="1:2" x14ac:dyDescent="0.25">
      <c r="A1363" s="12" t="s">
        <v>1327</v>
      </c>
      <c r="B1363" s="11">
        <v>1336</v>
      </c>
    </row>
    <row r="1364" spans="1:2" x14ac:dyDescent="0.25">
      <c r="A1364" s="12" t="s">
        <v>1328</v>
      </c>
      <c r="B1364" s="11">
        <v>4341</v>
      </c>
    </row>
    <row r="1365" spans="1:2" x14ac:dyDescent="0.25">
      <c r="A1365" s="12" t="s">
        <v>1329</v>
      </c>
      <c r="B1365" s="11">
        <v>-15560</v>
      </c>
    </row>
    <row r="1366" spans="1:2" x14ac:dyDescent="0.25">
      <c r="A1366" s="12" t="s">
        <v>10</v>
      </c>
      <c r="B1366" s="11">
        <v>50</v>
      </c>
    </row>
    <row r="1367" spans="1:2" x14ac:dyDescent="0.25">
      <c r="A1367" s="10" t="s">
        <v>1330</v>
      </c>
      <c r="B1367" s="11">
        <v>0</v>
      </c>
    </row>
    <row r="1368" spans="1:2" x14ac:dyDescent="0.25">
      <c r="A1368" s="12" t="s">
        <v>1331</v>
      </c>
      <c r="B1368" s="11">
        <v>293</v>
      </c>
    </row>
    <row r="1369" spans="1:2" x14ac:dyDescent="0.25">
      <c r="A1369" s="12" t="s">
        <v>1332</v>
      </c>
      <c r="B1369" s="11">
        <v>293</v>
      </c>
    </row>
    <row r="1370" spans="1:2" x14ac:dyDescent="0.25">
      <c r="A1370" s="12" t="s">
        <v>1333</v>
      </c>
      <c r="B1370" s="11">
        <v>663</v>
      </c>
    </row>
    <row r="1371" spans="1:2" x14ac:dyDescent="0.25">
      <c r="A1371" s="12" t="s">
        <v>1334</v>
      </c>
      <c r="B1371" s="11">
        <v>408</v>
      </c>
    </row>
    <row r="1372" spans="1:2" x14ac:dyDescent="0.25">
      <c r="A1372" s="12" t="s">
        <v>1335</v>
      </c>
      <c r="B1372" s="11">
        <v>1120</v>
      </c>
    </row>
    <row r="1373" spans="1:2" x14ac:dyDescent="0.25">
      <c r="A1373" s="12" t="s">
        <v>1336</v>
      </c>
      <c r="B1373" s="11">
        <v>939</v>
      </c>
    </row>
    <row r="1374" spans="1:2" x14ac:dyDescent="0.25">
      <c r="A1374" s="12" t="s">
        <v>1337</v>
      </c>
      <c r="B1374" s="11">
        <v>1112</v>
      </c>
    </row>
    <row r="1375" spans="1:2" x14ac:dyDescent="0.25">
      <c r="A1375" s="12" t="s">
        <v>1338</v>
      </c>
      <c r="B1375" s="11">
        <v>766</v>
      </c>
    </row>
    <row r="1376" spans="1:2" x14ac:dyDescent="0.25">
      <c r="A1376" s="12" t="s">
        <v>1339</v>
      </c>
      <c r="B1376" s="11">
        <v>1201</v>
      </c>
    </row>
    <row r="1377" spans="1:2" x14ac:dyDescent="0.25">
      <c r="A1377" s="12" t="s">
        <v>1340</v>
      </c>
      <c r="B1377" s="11">
        <v>1059</v>
      </c>
    </row>
    <row r="1378" spans="1:2" x14ac:dyDescent="0.25">
      <c r="A1378" s="12" t="s">
        <v>1341</v>
      </c>
      <c r="B1378" s="11">
        <v>-7854</v>
      </c>
    </row>
    <row r="1379" spans="1:2" x14ac:dyDescent="0.25">
      <c r="A1379" s="10" t="s">
        <v>1342</v>
      </c>
      <c r="B1379" s="11">
        <v>0</v>
      </c>
    </row>
    <row r="1380" spans="1:2" x14ac:dyDescent="0.25">
      <c r="A1380" s="12" t="s">
        <v>1343</v>
      </c>
      <c r="B1380" s="11">
        <v>8927</v>
      </c>
    </row>
    <row r="1381" spans="1:2" x14ac:dyDescent="0.25">
      <c r="A1381" s="12" t="s">
        <v>1344</v>
      </c>
      <c r="B1381" s="11">
        <v>785</v>
      </c>
    </row>
    <row r="1382" spans="1:2" x14ac:dyDescent="0.25">
      <c r="A1382" s="12" t="s">
        <v>1345</v>
      </c>
      <c r="B1382" s="11">
        <v>851</v>
      </c>
    </row>
    <row r="1383" spans="1:2" x14ac:dyDescent="0.25">
      <c r="A1383" s="12" t="s">
        <v>1346</v>
      </c>
      <c r="B1383" s="11">
        <v>-10563</v>
      </c>
    </row>
    <row r="1384" spans="1:2" x14ac:dyDescent="0.25">
      <c r="A1384" s="10" t="s">
        <v>1347</v>
      </c>
      <c r="B1384" s="11">
        <v>0</v>
      </c>
    </row>
    <row r="1385" spans="1:2" x14ac:dyDescent="0.25">
      <c r="A1385" s="12" t="s">
        <v>1348</v>
      </c>
      <c r="B1385" s="11">
        <v>1840</v>
      </c>
    </row>
    <row r="1386" spans="1:2" x14ac:dyDescent="0.25">
      <c r="A1386" s="12" t="s">
        <v>1349</v>
      </c>
      <c r="B1386" s="11">
        <v>2984</v>
      </c>
    </row>
    <row r="1387" spans="1:2" x14ac:dyDescent="0.25">
      <c r="A1387" s="12" t="s">
        <v>1350</v>
      </c>
      <c r="B1387" s="11">
        <v>1988</v>
      </c>
    </row>
    <row r="1388" spans="1:2" x14ac:dyDescent="0.25">
      <c r="A1388" s="12" t="s">
        <v>1351</v>
      </c>
      <c r="B1388" s="11">
        <v>-6812</v>
      </c>
    </row>
    <row r="1389" spans="1:2" x14ac:dyDescent="0.25">
      <c r="A1389" s="10" t="s">
        <v>1352</v>
      </c>
      <c r="B1389" s="11">
        <v>0</v>
      </c>
    </row>
    <row r="1390" spans="1:2" x14ac:dyDescent="0.25">
      <c r="A1390" s="12" t="s">
        <v>1353</v>
      </c>
      <c r="B1390" s="11">
        <v>7601</v>
      </c>
    </row>
    <row r="1391" spans="1:2" x14ac:dyDescent="0.25">
      <c r="A1391" s="12" t="s">
        <v>1354</v>
      </c>
      <c r="B1391" s="11">
        <v>4694</v>
      </c>
    </row>
    <row r="1392" spans="1:2" x14ac:dyDescent="0.25">
      <c r="A1392" s="12" t="s">
        <v>1355</v>
      </c>
      <c r="B1392" s="11">
        <v>837</v>
      </c>
    </row>
    <row r="1393" spans="1:2" x14ac:dyDescent="0.25">
      <c r="A1393" s="12" t="s">
        <v>1356</v>
      </c>
      <c r="B1393" s="11">
        <v>-13132</v>
      </c>
    </row>
    <row r="1394" spans="1:2" x14ac:dyDescent="0.25">
      <c r="A1394" s="10" t="s">
        <v>1357</v>
      </c>
      <c r="B1394" s="11">
        <v>0</v>
      </c>
    </row>
    <row r="1395" spans="1:2" x14ac:dyDescent="0.25">
      <c r="A1395" s="12" t="s">
        <v>1358</v>
      </c>
      <c r="B1395" s="11">
        <v>1789</v>
      </c>
    </row>
    <row r="1396" spans="1:2" x14ac:dyDescent="0.25">
      <c r="A1396" s="12" t="s">
        <v>1359</v>
      </c>
      <c r="B1396" s="11">
        <v>165</v>
      </c>
    </row>
    <row r="1397" spans="1:2" x14ac:dyDescent="0.25">
      <c r="A1397" s="12" t="s">
        <v>1360</v>
      </c>
      <c r="B1397" s="11">
        <v>3599</v>
      </c>
    </row>
    <row r="1398" spans="1:2" x14ac:dyDescent="0.25">
      <c r="A1398" s="12" t="s">
        <v>1361</v>
      </c>
      <c r="B1398" s="11">
        <v>3137</v>
      </c>
    </row>
    <row r="1399" spans="1:2" x14ac:dyDescent="0.25">
      <c r="A1399" s="12" t="s">
        <v>1362</v>
      </c>
      <c r="B1399" s="11">
        <v>-8690</v>
      </c>
    </row>
    <row r="1400" spans="1:2" x14ac:dyDescent="0.25">
      <c r="A1400" s="10" t="s">
        <v>1363</v>
      </c>
      <c r="B1400" s="11">
        <v>0</v>
      </c>
    </row>
    <row r="1401" spans="1:2" x14ac:dyDescent="0.25">
      <c r="A1401" s="12" t="s">
        <v>1364</v>
      </c>
      <c r="B1401" s="11">
        <v>3458</v>
      </c>
    </row>
    <row r="1402" spans="1:2" x14ac:dyDescent="0.25">
      <c r="A1402" s="12" t="s">
        <v>1365</v>
      </c>
      <c r="B1402" s="11">
        <v>-3458</v>
      </c>
    </row>
    <row r="1403" spans="1:2" x14ac:dyDescent="0.25">
      <c r="A1403" s="10" t="s">
        <v>1366</v>
      </c>
      <c r="B1403" s="11">
        <v>0</v>
      </c>
    </row>
    <row r="1404" spans="1:2" x14ac:dyDescent="0.25">
      <c r="A1404" s="12" t="s">
        <v>1367</v>
      </c>
      <c r="B1404" s="11">
        <v>4288</v>
      </c>
    </row>
    <row r="1405" spans="1:2" x14ac:dyDescent="0.25">
      <c r="A1405" s="12" t="s">
        <v>1368</v>
      </c>
      <c r="B1405" s="11">
        <v>-4288</v>
      </c>
    </row>
    <row r="1406" spans="1:2" x14ac:dyDescent="0.25">
      <c r="A1406" s="10" t="s">
        <v>1369</v>
      </c>
      <c r="B1406" s="11">
        <v>0</v>
      </c>
    </row>
    <row r="1407" spans="1:2" x14ac:dyDescent="0.25">
      <c r="A1407" s="12" t="s">
        <v>1370</v>
      </c>
      <c r="B1407" s="11">
        <v>6784</v>
      </c>
    </row>
    <row r="1408" spans="1:2" x14ac:dyDescent="0.25">
      <c r="A1408" s="12" t="s">
        <v>1371</v>
      </c>
      <c r="B1408" s="11">
        <v>3385</v>
      </c>
    </row>
    <row r="1409" spans="1:2" x14ac:dyDescent="0.25">
      <c r="A1409" s="12" t="s">
        <v>1372</v>
      </c>
      <c r="B1409" s="11">
        <v>2291</v>
      </c>
    </row>
    <row r="1410" spans="1:2" x14ac:dyDescent="0.25">
      <c r="A1410" s="12" t="s">
        <v>1373</v>
      </c>
      <c r="B1410" s="11">
        <v>1080</v>
      </c>
    </row>
    <row r="1411" spans="1:2" x14ac:dyDescent="0.25">
      <c r="A1411" s="12" t="s">
        <v>1374</v>
      </c>
      <c r="B1411" s="11">
        <v>1221</v>
      </c>
    </row>
    <row r="1412" spans="1:2" x14ac:dyDescent="0.25">
      <c r="A1412" s="12" t="s">
        <v>1375</v>
      </c>
      <c r="B1412" s="11">
        <v>3315</v>
      </c>
    </row>
    <row r="1413" spans="1:2" x14ac:dyDescent="0.25">
      <c r="A1413" s="12" t="s">
        <v>1376</v>
      </c>
      <c r="B1413" s="11">
        <v>1601</v>
      </c>
    </row>
    <row r="1414" spans="1:2" x14ac:dyDescent="0.25">
      <c r="A1414" s="12" t="s">
        <v>1377</v>
      </c>
      <c r="B1414" s="11">
        <v>2117</v>
      </c>
    </row>
    <row r="1415" spans="1:2" x14ac:dyDescent="0.25">
      <c r="A1415" s="12" t="s">
        <v>1378</v>
      </c>
      <c r="B1415" s="11">
        <v>-21794</v>
      </c>
    </row>
    <row r="1416" spans="1:2" x14ac:dyDescent="0.25">
      <c r="A1416" s="10" t="s">
        <v>1379</v>
      </c>
      <c r="B1416" s="11">
        <v>0</v>
      </c>
    </row>
    <row r="1417" spans="1:2" x14ac:dyDescent="0.25">
      <c r="A1417" s="12" t="s">
        <v>1380</v>
      </c>
      <c r="B1417" s="11">
        <v>1280</v>
      </c>
    </row>
    <row r="1418" spans="1:2" x14ac:dyDescent="0.25">
      <c r="A1418" s="12" t="s">
        <v>1381</v>
      </c>
      <c r="B1418" s="11">
        <v>863</v>
      </c>
    </row>
    <row r="1419" spans="1:2" x14ac:dyDescent="0.25">
      <c r="A1419" s="12" t="s">
        <v>1382</v>
      </c>
      <c r="B1419" s="11">
        <v>806</v>
      </c>
    </row>
    <row r="1420" spans="1:2" x14ac:dyDescent="0.25">
      <c r="A1420" s="12" t="s">
        <v>1383</v>
      </c>
      <c r="B1420" s="11">
        <v>623</v>
      </c>
    </row>
    <row r="1421" spans="1:2" x14ac:dyDescent="0.25">
      <c r="A1421" s="12" t="s">
        <v>1384</v>
      </c>
      <c r="B1421" s="11">
        <v>909</v>
      </c>
    </row>
    <row r="1422" spans="1:2" x14ac:dyDescent="0.25">
      <c r="A1422" s="12" t="s">
        <v>1385</v>
      </c>
      <c r="B1422" s="11">
        <v>1190</v>
      </c>
    </row>
    <row r="1423" spans="1:2" x14ac:dyDescent="0.25">
      <c r="A1423" s="12" t="s">
        <v>1386</v>
      </c>
      <c r="B1423" s="11">
        <v>1168</v>
      </c>
    </row>
    <row r="1424" spans="1:2" x14ac:dyDescent="0.25">
      <c r="A1424" s="12" t="s">
        <v>1387</v>
      </c>
      <c r="B1424" s="11">
        <v>980</v>
      </c>
    </row>
    <row r="1425" spans="1:2" x14ac:dyDescent="0.25">
      <c r="A1425" s="12" t="s">
        <v>1388</v>
      </c>
      <c r="B1425" s="11">
        <v>544</v>
      </c>
    </row>
    <row r="1426" spans="1:2" x14ac:dyDescent="0.25">
      <c r="A1426" s="12" t="s">
        <v>1389</v>
      </c>
      <c r="B1426" s="11">
        <v>563</v>
      </c>
    </row>
    <row r="1427" spans="1:2" x14ac:dyDescent="0.25">
      <c r="A1427" s="12" t="s">
        <v>1390</v>
      </c>
      <c r="B1427" s="11">
        <v>-8926</v>
      </c>
    </row>
    <row r="1428" spans="1:2" x14ac:dyDescent="0.25">
      <c r="A1428" s="10" t="s">
        <v>1391</v>
      </c>
      <c r="B1428" s="11">
        <v>0</v>
      </c>
    </row>
    <row r="1429" spans="1:2" x14ac:dyDescent="0.25">
      <c r="A1429" s="12" t="s">
        <v>1392</v>
      </c>
      <c r="B1429" s="11">
        <v>2329</v>
      </c>
    </row>
    <row r="1430" spans="1:2" x14ac:dyDescent="0.25">
      <c r="A1430" s="12" t="s">
        <v>1393</v>
      </c>
      <c r="B1430" s="11">
        <v>926</v>
      </c>
    </row>
    <row r="1431" spans="1:2" x14ac:dyDescent="0.25">
      <c r="A1431" s="12" t="s">
        <v>1394</v>
      </c>
      <c r="B1431" s="11">
        <v>1350</v>
      </c>
    </row>
    <row r="1432" spans="1:2" x14ac:dyDescent="0.25">
      <c r="A1432" s="12" t="s">
        <v>1395</v>
      </c>
      <c r="B1432" s="11">
        <v>2893</v>
      </c>
    </row>
    <row r="1433" spans="1:2" x14ac:dyDescent="0.25">
      <c r="A1433" s="12" t="s">
        <v>1396</v>
      </c>
      <c r="B1433" s="11">
        <v>2698</v>
      </c>
    </row>
    <row r="1434" spans="1:2" x14ac:dyDescent="0.25">
      <c r="A1434" s="12" t="s">
        <v>1397</v>
      </c>
      <c r="B1434" s="11">
        <v>2892</v>
      </c>
    </row>
    <row r="1435" spans="1:2" x14ac:dyDescent="0.25">
      <c r="A1435" s="12" t="s">
        <v>1398</v>
      </c>
      <c r="B1435" s="11">
        <v>2343</v>
      </c>
    </row>
    <row r="1436" spans="1:2" x14ac:dyDescent="0.25">
      <c r="A1436" s="12" t="s">
        <v>1399</v>
      </c>
      <c r="B1436" s="11">
        <v>1198</v>
      </c>
    </row>
    <row r="1437" spans="1:2" x14ac:dyDescent="0.25">
      <c r="A1437" s="12" t="s">
        <v>1400</v>
      </c>
      <c r="B1437" s="11">
        <v>2183</v>
      </c>
    </row>
    <row r="1438" spans="1:2" x14ac:dyDescent="0.25">
      <c r="A1438" s="12" t="s">
        <v>1401</v>
      </c>
      <c r="B1438" s="11">
        <v>-18812</v>
      </c>
    </row>
    <row r="1439" spans="1:2" x14ac:dyDescent="0.25">
      <c r="A1439" s="10" t="s">
        <v>1402</v>
      </c>
      <c r="B1439" s="11">
        <v>0</v>
      </c>
    </row>
    <row r="1440" spans="1:2" x14ac:dyDescent="0.25">
      <c r="A1440" s="12" t="s">
        <v>1403</v>
      </c>
      <c r="B1440" s="11">
        <v>2591</v>
      </c>
    </row>
    <row r="1441" spans="1:2" x14ac:dyDescent="0.25">
      <c r="A1441" s="12" t="s">
        <v>1404</v>
      </c>
      <c r="B1441" s="11">
        <v>4132</v>
      </c>
    </row>
    <row r="1442" spans="1:2" x14ac:dyDescent="0.25">
      <c r="A1442" s="12" t="s">
        <v>1405</v>
      </c>
      <c r="B1442" s="11">
        <v>3096</v>
      </c>
    </row>
    <row r="1443" spans="1:2" x14ac:dyDescent="0.25">
      <c r="A1443" s="12" t="s">
        <v>1406</v>
      </c>
      <c r="B1443" s="11">
        <v>2805</v>
      </c>
    </row>
    <row r="1444" spans="1:2" x14ac:dyDescent="0.25">
      <c r="A1444" s="12" t="s">
        <v>1407</v>
      </c>
      <c r="B1444" s="11">
        <v>1669</v>
      </c>
    </row>
    <row r="1445" spans="1:2" x14ac:dyDescent="0.25">
      <c r="A1445" s="12" t="s">
        <v>1408</v>
      </c>
      <c r="B1445" s="11">
        <v>1920</v>
      </c>
    </row>
    <row r="1446" spans="1:2" x14ac:dyDescent="0.25">
      <c r="A1446" s="12" t="s">
        <v>1409</v>
      </c>
      <c r="B1446" s="11">
        <v>3285</v>
      </c>
    </row>
    <row r="1447" spans="1:2" x14ac:dyDescent="0.25">
      <c r="A1447" s="12" t="s">
        <v>1410</v>
      </c>
      <c r="B1447" s="11">
        <v>2984</v>
      </c>
    </row>
    <row r="1448" spans="1:2" x14ac:dyDescent="0.25">
      <c r="A1448" s="12" t="s">
        <v>1411</v>
      </c>
      <c r="B1448" s="11">
        <v>3718</v>
      </c>
    </row>
    <row r="1449" spans="1:2" x14ac:dyDescent="0.25">
      <c r="A1449" s="12" t="s">
        <v>1412</v>
      </c>
      <c r="B1449" s="11">
        <v>3078</v>
      </c>
    </row>
    <row r="1450" spans="1:2" x14ac:dyDescent="0.25">
      <c r="A1450" s="12" t="s">
        <v>1413</v>
      </c>
      <c r="B1450" s="11">
        <v>4408</v>
      </c>
    </row>
    <row r="1451" spans="1:2" x14ac:dyDescent="0.25">
      <c r="A1451" s="12" t="s">
        <v>1414</v>
      </c>
      <c r="B1451" s="11">
        <v>-33686</v>
      </c>
    </row>
    <row r="1452" spans="1:2" x14ac:dyDescent="0.25">
      <c r="A1452" s="10" t="s">
        <v>1415</v>
      </c>
      <c r="B1452" s="11">
        <v>0</v>
      </c>
    </row>
    <row r="1453" spans="1:2" x14ac:dyDescent="0.25">
      <c r="A1453" s="12" t="s">
        <v>1416</v>
      </c>
      <c r="B1453" s="11">
        <v>4084</v>
      </c>
    </row>
    <row r="1454" spans="1:2" x14ac:dyDescent="0.25">
      <c r="A1454" s="12" t="s">
        <v>1417</v>
      </c>
      <c r="B1454" s="11">
        <v>3989</v>
      </c>
    </row>
    <row r="1455" spans="1:2" x14ac:dyDescent="0.25">
      <c r="A1455" s="12" t="s">
        <v>1418</v>
      </c>
      <c r="B1455" s="11">
        <v>4136</v>
      </c>
    </row>
    <row r="1456" spans="1:2" x14ac:dyDescent="0.25">
      <c r="A1456" s="12" t="s">
        <v>1419</v>
      </c>
      <c r="B1456" s="11">
        <v>3843</v>
      </c>
    </row>
    <row r="1457" spans="1:2" x14ac:dyDescent="0.25">
      <c r="A1457" s="12" t="s">
        <v>1420</v>
      </c>
      <c r="B1457" s="11">
        <v>4044</v>
      </c>
    </row>
    <row r="1458" spans="1:2" x14ac:dyDescent="0.25">
      <c r="A1458" s="12" t="s">
        <v>1421</v>
      </c>
      <c r="B1458" s="11">
        <v>4119</v>
      </c>
    </row>
    <row r="1459" spans="1:2" x14ac:dyDescent="0.25">
      <c r="A1459" s="12" t="s">
        <v>1422</v>
      </c>
      <c r="B1459" s="11">
        <v>-24215</v>
      </c>
    </row>
    <row r="1460" spans="1:2" x14ac:dyDescent="0.25">
      <c r="A1460" s="10" t="s">
        <v>1423</v>
      </c>
      <c r="B1460" s="11">
        <v>0</v>
      </c>
    </row>
    <row r="1461" spans="1:2" x14ac:dyDescent="0.25">
      <c r="A1461" s="12" t="s">
        <v>1424</v>
      </c>
      <c r="B1461" s="11">
        <v>3983</v>
      </c>
    </row>
    <row r="1462" spans="1:2" x14ac:dyDescent="0.25">
      <c r="A1462" s="12" t="s">
        <v>1425</v>
      </c>
      <c r="B1462" s="11">
        <v>4681</v>
      </c>
    </row>
    <row r="1463" spans="1:2" x14ac:dyDescent="0.25">
      <c r="A1463" s="12" t="s">
        <v>1426</v>
      </c>
      <c r="B1463" s="11">
        <v>5288</v>
      </c>
    </row>
    <row r="1464" spans="1:2" x14ac:dyDescent="0.25">
      <c r="A1464" s="12" t="s">
        <v>1427</v>
      </c>
      <c r="B1464" s="11">
        <v>4235</v>
      </c>
    </row>
    <row r="1465" spans="1:2" x14ac:dyDescent="0.25">
      <c r="A1465" s="12" t="s">
        <v>1428</v>
      </c>
      <c r="B1465" s="11">
        <v>-18187</v>
      </c>
    </row>
    <row r="1466" spans="1:2" x14ac:dyDescent="0.25">
      <c r="A1466" s="10" t="s">
        <v>1429</v>
      </c>
      <c r="B1466" s="11">
        <v>0</v>
      </c>
    </row>
    <row r="1467" spans="1:2" x14ac:dyDescent="0.25">
      <c r="A1467" s="12" t="s">
        <v>1430</v>
      </c>
      <c r="B1467" s="11">
        <v>2485</v>
      </c>
    </row>
    <row r="1468" spans="1:2" x14ac:dyDescent="0.25">
      <c r="A1468" s="12" t="s">
        <v>1431</v>
      </c>
      <c r="B1468" s="11">
        <v>1600</v>
      </c>
    </row>
    <row r="1469" spans="1:2" x14ac:dyDescent="0.25">
      <c r="A1469" s="12" t="s">
        <v>1432</v>
      </c>
      <c r="B1469" s="11">
        <v>5168</v>
      </c>
    </row>
    <row r="1470" spans="1:2" x14ac:dyDescent="0.25">
      <c r="A1470" s="12" t="s">
        <v>1433</v>
      </c>
      <c r="B1470" s="11">
        <v>2682</v>
      </c>
    </row>
    <row r="1471" spans="1:2" x14ac:dyDescent="0.25">
      <c r="A1471" s="12" t="s">
        <v>1434</v>
      </c>
      <c r="B1471" s="11">
        <v>4838</v>
      </c>
    </row>
    <row r="1472" spans="1:2" x14ac:dyDescent="0.25">
      <c r="A1472" s="12" t="s">
        <v>1435</v>
      </c>
      <c r="B1472" s="11">
        <v>2147</v>
      </c>
    </row>
    <row r="1473" spans="1:2" x14ac:dyDescent="0.25">
      <c r="A1473" s="12" t="s">
        <v>1436</v>
      </c>
      <c r="B1473" s="11">
        <v>3826</v>
      </c>
    </row>
    <row r="1474" spans="1:2" x14ac:dyDescent="0.25">
      <c r="A1474" s="12" t="s">
        <v>1437</v>
      </c>
      <c r="B1474" s="11">
        <v>2835</v>
      </c>
    </row>
    <row r="1475" spans="1:2" x14ac:dyDescent="0.25">
      <c r="A1475" s="12" t="s">
        <v>1438</v>
      </c>
      <c r="B1475" s="11">
        <v>5931</v>
      </c>
    </row>
    <row r="1476" spans="1:2" x14ac:dyDescent="0.25">
      <c r="A1476" s="12" t="s">
        <v>1439</v>
      </c>
      <c r="B1476" s="11">
        <v>6862</v>
      </c>
    </row>
    <row r="1477" spans="1:2" x14ac:dyDescent="0.25">
      <c r="A1477" s="12" t="s">
        <v>1440</v>
      </c>
      <c r="B1477" s="11">
        <v>-38374</v>
      </c>
    </row>
    <row r="1478" spans="1:2" x14ac:dyDescent="0.25">
      <c r="A1478" s="10" t="s">
        <v>1441</v>
      </c>
      <c r="B1478" s="11">
        <v>0</v>
      </c>
    </row>
    <row r="1479" spans="1:2" x14ac:dyDescent="0.25">
      <c r="A1479" s="12" t="s">
        <v>1442</v>
      </c>
      <c r="B1479" s="11">
        <v>-50</v>
      </c>
    </row>
    <row r="1480" spans="1:2" x14ac:dyDescent="0.25">
      <c r="A1480" s="12" t="s">
        <v>10</v>
      </c>
      <c r="B1480" s="11">
        <v>50</v>
      </c>
    </row>
    <row r="1481" spans="1:2" x14ac:dyDescent="0.25">
      <c r="A1481" s="10" t="s">
        <v>1443</v>
      </c>
      <c r="B1481" s="11">
        <v>0</v>
      </c>
    </row>
    <row r="1482" spans="1:2" x14ac:dyDescent="0.25">
      <c r="A1482" s="12" t="s">
        <v>1444</v>
      </c>
      <c r="B1482" s="11">
        <v>280</v>
      </c>
    </row>
    <row r="1483" spans="1:2" x14ac:dyDescent="0.25">
      <c r="A1483" s="12" t="s">
        <v>1445</v>
      </c>
      <c r="B1483" s="11">
        <v>-280</v>
      </c>
    </row>
    <row r="1484" spans="1:2" x14ac:dyDescent="0.25">
      <c r="A1484" s="10" t="s">
        <v>1446</v>
      </c>
      <c r="B1484" s="11">
        <v>0</v>
      </c>
    </row>
    <row r="1485" spans="1:2" x14ac:dyDescent="0.25">
      <c r="A1485" s="12" t="s">
        <v>1447</v>
      </c>
      <c r="B1485" s="11">
        <v>1126</v>
      </c>
    </row>
    <row r="1486" spans="1:2" x14ac:dyDescent="0.25">
      <c r="A1486" s="12" t="s">
        <v>1448</v>
      </c>
      <c r="B1486" s="11">
        <v>779</v>
      </c>
    </row>
    <row r="1487" spans="1:2" x14ac:dyDescent="0.25">
      <c r="A1487" s="12" t="s">
        <v>1449</v>
      </c>
      <c r="B1487" s="11">
        <v>-1905</v>
      </c>
    </row>
    <row r="1488" spans="1:2" x14ac:dyDescent="0.25">
      <c r="A1488" s="10" t="s">
        <v>1450</v>
      </c>
      <c r="B1488" s="11">
        <v>0</v>
      </c>
    </row>
    <row r="1489" spans="1:2" x14ac:dyDescent="0.25">
      <c r="A1489" s="12" t="s">
        <v>1451</v>
      </c>
      <c r="B1489" s="11">
        <v>911</v>
      </c>
    </row>
    <row r="1490" spans="1:2" x14ac:dyDescent="0.25">
      <c r="A1490" s="12" t="s">
        <v>1452</v>
      </c>
      <c r="B1490" s="11">
        <v>-911</v>
      </c>
    </row>
    <row r="1491" spans="1:2" x14ac:dyDescent="0.25">
      <c r="A1491" s="10" t="s">
        <v>1453</v>
      </c>
      <c r="B1491" s="11">
        <v>0</v>
      </c>
    </row>
    <row r="1492" spans="1:2" x14ac:dyDescent="0.25">
      <c r="A1492" s="12" t="s">
        <v>1454</v>
      </c>
      <c r="B1492" s="11">
        <v>5821</v>
      </c>
    </row>
    <row r="1493" spans="1:2" x14ac:dyDescent="0.25">
      <c r="A1493" s="12" t="s">
        <v>1455</v>
      </c>
      <c r="B1493" s="11">
        <v>5872</v>
      </c>
    </row>
    <row r="1494" spans="1:2" x14ac:dyDescent="0.25">
      <c r="A1494" s="12" t="s">
        <v>1456</v>
      </c>
      <c r="B1494" s="11">
        <v>2359</v>
      </c>
    </row>
    <row r="1495" spans="1:2" x14ac:dyDescent="0.25">
      <c r="A1495" s="12" t="s">
        <v>1457</v>
      </c>
      <c r="B1495" s="11">
        <v>-14102</v>
      </c>
    </row>
    <row r="1496" spans="1:2" x14ac:dyDescent="0.25">
      <c r="A1496" s="12" t="s">
        <v>10</v>
      </c>
      <c r="B1496" s="11">
        <v>50</v>
      </c>
    </row>
    <row r="1497" spans="1:2" x14ac:dyDescent="0.25">
      <c r="A1497" s="10" t="s">
        <v>1458</v>
      </c>
      <c r="B1497" s="11">
        <v>0</v>
      </c>
    </row>
    <row r="1498" spans="1:2" x14ac:dyDescent="0.25">
      <c r="A1498" s="12" t="s">
        <v>1459</v>
      </c>
      <c r="B1498" s="11">
        <v>3447</v>
      </c>
    </row>
    <row r="1499" spans="1:2" x14ac:dyDescent="0.25">
      <c r="A1499" s="12" t="s">
        <v>1460</v>
      </c>
      <c r="B1499" s="11">
        <v>3556</v>
      </c>
    </row>
    <row r="1500" spans="1:2" x14ac:dyDescent="0.25">
      <c r="A1500" s="12" t="s">
        <v>1461</v>
      </c>
      <c r="B1500" s="11">
        <v>3466</v>
      </c>
    </row>
    <row r="1501" spans="1:2" x14ac:dyDescent="0.25">
      <c r="A1501" s="12" t="s">
        <v>1462</v>
      </c>
      <c r="B1501" s="11">
        <v>3512</v>
      </c>
    </row>
    <row r="1502" spans="1:2" x14ac:dyDescent="0.25">
      <c r="A1502" s="12" t="s">
        <v>1463</v>
      </c>
      <c r="B1502" s="11">
        <v>3644</v>
      </c>
    </row>
    <row r="1503" spans="1:2" x14ac:dyDescent="0.25">
      <c r="A1503" s="12" t="s">
        <v>1464</v>
      </c>
      <c r="B1503" s="11">
        <v>3505</v>
      </c>
    </row>
    <row r="1504" spans="1:2" x14ac:dyDescent="0.25">
      <c r="A1504" s="12" t="s">
        <v>1465</v>
      </c>
      <c r="B1504" s="11">
        <v>-21130</v>
      </c>
    </row>
    <row r="1505" spans="1:2" x14ac:dyDescent="0.25">
      <c r="A1505" s="10" t="s">
        <v>1466</v>
      </c>
      <c r="B1505" s="11">
        <v>0</v>
      </c>
    </row>
    <row r="1506" spans="1:2" x14ac:dyDescent="0.25">
      <c r="A1506" s="12" t="s">
        <v>1467</v>
      </c>
      <c r="B1506" s="11">
        <v>8574</v>
      </c>
    </row>
    <row r="1507" spans="1:2" x14ac:dyDescent="0.25">
      <c r="A1507" s="12" t="s">
        <v>1468</v>
      </c>
      <c r="B1507" s="11">
        <v>8119</v>
      </c>
    </row>
    <row r="1508" spans="1:2" x14ac:dyDescent="0.25">
      <c r="A1508" s="12" t="s">
        <v>1469</v>
      </c>
      <c r="B1508" s="11">
        <v>8418</v>
      </c>
    </row>
    <row r="1509" spans="1:2" x14ac:dyDescent="0.25">
      <c r="A1509" s="12" t="s">
        <v>1470</v>
      </c>
      <c r="B1509" s="11">
        <v>8005</v>
      </c>
    </row>
    <row r="1510" spans="1:2" x14ac:dyDescent="0.25">
      <c r="A1510" s="12" t="s">
        <v>1471</v>
      </c>
      <c r="B1510" s="11">
        <v>8667</v>
      </c>
    </row>
    <row r="1511" spans="1:2" x14ac:dyDescent="0.25">
      <c r="A1511" s="12" t="s">
        <v>1472</v>
      </c>
      <c r="B1511" s="11">
        <v>8903</v>
      </c>
    </row>
    <row r="1512" spans="1:2" x14ac:dyDescent="0.25">
      <c r="A1512" s="12" t="s">
        <v>1473</v>
      </c>
      <c r="B1512" s="11">
        <v>8602</v>
      </c>
    </row>
    <row r="1513" spans="1:2" x14ac:dyDescent="0.25">
      <c r="A1513" s="12" t="s">
        <v>1474</v>
      </c>
      <c r="B1513" s="11">
        <v>7738</v>
      </c>
    </row>
    <row r="1514" spans="1:2" x14ac:dyDescent="0.25">
      <c r="A1514" s="12" t="s">
        <v>1475</v>
      </c>
      <c r="B1514" s="11">
        <v>-67026</v>
      </c>
    </row>
    <row r="1515" spans="1:2" x14ac:dyDescent="0.25">
      <c r="A1515" s="10" t="s">
        <v>1476</v>
      </c>
      <c r="B1515" s="11">
        <v>0</v>
      </c>
    </row>
    <row r="1516" spans="1:2" x14ac:dyDescent="0.25">
      <c r="A1516" s="12" t="s">
        <v>1477</v>
      </c>
      <c r="B1516" s="11">
        <v>15</v>
      </c>
    </row>
    <row r="1517" spans="1:2" x14ac:dyDescent="0.25">
      <c r="A1517" s="12" t="s">
        <v>1478</v>
      </c>
      <c r="B1517" s="11">
        <v>2022</v>
      </c>
    </row>
    <row r="1518" spans="1:2" x14ac:dyDescent="0.25">
      <c r="A1518" s="12" t="s">
        <v>1479</v>
      </c>
      <c r="B1518" s="11">
        <v>-2037</v>
      </c>
    </row>
    <row r="1519" spans="1:2" x14ac:dyDescent="0.25">
      <c r="A1519" s="10" t="s">
        <v>1480</v>
      </c>
      <c r="B1519" s="11">
        <v>0</v>
      </c>
    </row>
    <row r="1520" spans="1:2" x14ac:dyDescent="0.25">
      <c r="A1520" s="12" t="s">
        <v>1481</v>
      </c>
      <c r="B1520" s="11">
        <v>6847</v>
      </c>
    </row>
    <row r="1521" spans="1:2" x14ac:dyDescent="0.25">
      <c r="A1521" s="12" t="s">
        <v>1482</v>
      </c>
      <c r="B1521" s="11">
        <v>5493</v>
      </c>
    </row>
    <row r="1522" spans="1:2" x14ac:dyDescent="0.25">
      <c r="A1522" s="12" t="s">
        <v>1483</v>
      </c>
      <c r="B1522" s="11">
        <v>6812</v>
      </c>
    </row>
    <row r="1523" spans="1:2" x14ac:dyDescent="0.25">
      <c r="A1523" s="12" t="s">
        <v>1484</v>
      </c>
      <c r="B1523" s="11">
        <v>-19152</v>
      </c>
    </row>
    <row r="1524" spans="1:2" x14ac:dyDescent="0.25">
      <c r="A1524" s="10" t="s">
        <v>1485</v>
      </c>
      <c r="B1524" s="11">
        <v>0</v>
      </c>
    </row>
    <row r="1525" spans="1:2" x14ac:dyDescent="0.25">
      <c r="A1525" s="12" t="s">
        <v>1486</v>
      </c>
      <c r="B1525" s="11">
        <v>1294</v>
      </c>
    </row>
    <row r="1526" spans="1:2" x14ac:dyDescent="0.25">
      <c r="A1526" s="12" t="s">
        <v>1487</v>
      </c>
      <c r="B1526" s="11">
        <v>-1294</v>
      </c>
    </row>
    <row r="1527" spans="1:2" x14ac:dyDescent="0.25">
      <c r="A1527" s="10" t="s">
        <v>1488</v>
      </c>
      <c r="B1527" s="11">
        <v>0</v>
      </c>
    </row>
    <row r="1528" spans="1:2" x14ac:dyDescent="0.25">
      <c r="A1528" s="12" t="s">
        <v>1489</v>
      </c>
      <c r="B1528" s="11">
        <v>2623</v>
      </c>
    </row>
    <row r="1529" spans="1:2" x14ac:dyDescent="0.25">
      <c r="A1529" s="12" t="s">
        <v>1490</v>
      </c>
      <c r="B1529" s="11">
        <v>478</v>
      </c>
    </row>
    <row r="1530" spans="1:2" x14ac:dyDescent="0.25">
      <c r="A1530" s="12" t="s">
        <v>1491</v>
      </c>
      <c r="B1530" s="11">
        <v>-3101</v>
      </c>
    </row>
    <row r="1531" spans="1:2" x14ac:dyDescent="0.25">
      <c r="A1531" s="10" t="s">
        <v>1492</v>
      </c>
      <c r="B1531" s="11">
        <v>0</v>
      </c>
    </row>
    <row r="1532" spans="1:2" x14ac:dyDescent="0.25">
      <c r="A1532" s="12" t="s">
        <v>1493</v>
      </c>
      <c r="B1532" s="11">
        <v>346</v>
      </c>
    </row>
    <row r="1533" spans="1:2" x14ac:dyDescent="0.25">
      <c r="A1533" s="12" t="s">
        <v>1494</v>
      </c>
      <c r="B1533" s="11">
        <v>1459</v>
      </c>
    </row>
    <row r="1534" spans="1:2" x14ac:dyDescent="0.25">
      <c r="A1534" s="12" t="s">
        <v>1495</v>
      </c>
      <c r="B1534" s="11">
        <v>1122</v>
      </c>
    </row>
    <row r="1535" spans="1:2" x14ac:dyDescent="0.25">
      <c r="A1535" s="12" t="s">
        <v>1496</v>
      </c>
      <c r="B1535" s="11">
        <v>1318</v>
      </c>
    </row>
    <row r="1536" spans="1:2" x14ac:dyDescent="0.25">
      <c r="A1536" s="12" t="s">
        <v>1497</v>
      </c>
      <c r="B1536" s="11">
        <v>996</v>
      </c>
    </row>
    <row r="1537" spans="1:2" x14ac:dyDescent="0.25">
      <c r="A1537" s="12" t="s">
        <v>1498</v>
      </c>
      <c r="B1537" s="11">
        <v>343</v>
      </c>
    </row>
    <row r="1538" spans="1:2" x14ac:dyDescent="0.25">
      <c r="A1538" s="12" t="s">
        <v>1499</v>
      </c>
      <c r="B1538" s="11">
        <v>435</v>
      </c>
    </row>
    <row r="1539" spans="1:2" x14ac:dyDescent="0.25">
      <c r="A1539" s="12" t="s">
        <v>1500</v>
      </c>
      <c r="B1539" s="11">
        <v>429</v>
      </c>
    </row>
    <row r="1540" spans="1:2" x14ac:dyDescent="0.25">
      <c r="A1540" s="12" t="s">
        <v>1501</v>
      </c>
      <c r="B1540" s="11">
        <v>-6448</v>
      </c>
    </row>
    <row r="1541" spans="1:2" x14ac:dyDescent="0.25">
      <c r="A1541" s="10" t="s">
        <v>1502</v>
      </c>
      <c r="B1541" s="11">
        <v>0</v>
      </c>
    </row>
    <row r="1542" spans="1:2" x14ac:dyDescent="0.25">
      <c r="A1542" s="12" t="s">
        <v>1503</v>
      </c>
      <c r="B1542" s="11">
        <v>6579</v>
      </c>
    </row>
    <row r="1543" spans="1:2" x14ac:dyDescent="0.25">
      <c r="A1543" s="12" t="s">
        <v>1504</v>
      </c>
      <c r="B1543" s="11">
        <v>7601</v>
      </c>
    </row>
    <row r="1544" spans="1:2" x14ac:dyDescent="0.25">
      <c r="A1544" s="12" t="s">
        <v>1505</v>
      </c>
      <c r="B1544" s="11">
        <v>6836</v>
      </c>
    </row>
    <row r="1545" spans="1:2" x14ac:dyDescent="0.25">
      <c r="A1545" s="12" t="s">
        <v>1506</v>
      </c>
      <c r="B1545" s="11">
        <v>6296</v>
      </c>
    </row>
    <row r="1546" spans="1:2" x14ac:dyDescent="0.25">
      <c r="A1546" s="12" t="s">
        <v>1507</v>
      </c>
      <c r="B1546" s="11">
        <v>7998</v>
      </c>
    </row>
    <row r="1547" spans="1:2" x14ac:dyDescent="0.25">
      <c r="A1547" s="12" t="s">
        <v>1508</v>
      </c>
      <c r="B1547" s="11">
        <v>7360</v>
      </c>
    </row>
    <row r="1548" spans="1:2" x14ac:dyDescent="0.25">
      <c r="A1548" s="12" t="s">
        <v>1509</v>
      </c>
      <c r="B1548" s="11">
        <v>7072</v>
      </c>
    </row>
    <row r="1549" spans="1:2" x14ac:dyDescent="0.25">
      <c r="A1549" s="12" t="s">
        <v>1510</v>
      </c>
      <c r="B1549" s="11">
        <v>8064</v>
      </c>
    </row>
    <row r="1550" spans="1:2" x14ac:dyDescent="0.25">
      <c r="A1550" s="12" t="s">
        <v>1511</v>
      </c>
      <c r="B1550" s="11">
        <v>-57806</v>
      </c>
    </row>
    <row r="1551" spans="1:2" x14ac:dyDescent="0.25">
      <c r="A1551" s="10" t="s">
        <v>1512</v>
      </c>
      <c r="B1551" s="11">
        <v>0</v>
      </c>
    </row>
    <row r="1552" spans="1:2" x14ac:dyDescent="0.25">
      <c r="A1552" s="12" t="s">
        <v>1513</v>
      </c>
      <c r="B1552" s="11">
        <v>51</v>
      </c>
    </row>
    <row r="1553" spans="1:2" x14ac:dyDescent="0.25">
      <c r="A1553" s="12" t="s">
        <v>1514</v>
      </c>
      <c r="B1553" s="11">
        <v>476</v>
      </c>
    </row>
    <row r="1554" spans="1:2" x14ac:dyDescent="0.25">
      <c r="A1554" s="12" t="s">
        <v>1515</v>
      </c>
      <c r="B1554" s="11">
        <v>1198</v>
      </c>
    </row>
    <row r="1555" spans="1:2" x14ac:dyDescent="0.25">
      <c r="A1555" s="12" t="s">
        <v>1516</v>
      </c>
      <c r="B1555" s="11">
        <v>490</v>
      </c>
    </row>
    <row r="1556" spans="1:2" x14ac:dyDescent="0.25">
      <c r="A1556" s="12" t="s">
        <v>1517</v>
      </c>
      <c r="B1556" s="11">
        <v>2726</v>
      </c>
    </row>
    <row r="1557" spans="1:2" x14ac:dyDescent="0.25">
      <c r="A1557" s="12" t="s">
        <v>1518</v>
      </c>
      <c r="B1557" s="11">
        <v>-4890</v>
      </c>
    </row>
    <row r="1558" spans="1:2" x14ac:dyDescent="0.25">
      <c r="A1558" s="12" t="s">
        <v>10</v>
      </c>
      <c r="B1558" s="11">
        <v>-51</v>
      </c>
    </row>
    <row r="1559" spans="1:2" x14ac:dyDescent="0.25">
      <c r="A1559" s="10" t="s">
        <v>1519</v>
      </c>
      <c r="B1559" s="11">
        <v>0</v>
      </c>
    </row>
    <row r="1560" spans="1:2" x14ac:dyDescent="0.25">
      <c r="A1560" s="12" t="s">
        <v>1520</v>
      </c>
      <c r="B1560" s="11">
        <v>6499</v>
      </c>
    </row>
    <row r="1561" spans="1:2" x14ac:dyDescent="0.25">
      <c r="A1561" s="12" t="s">
        <v>1521</v>
      </c>
      <c r="B1561" s="11">
        <v>5887</v>
      </c>
    </row>
    <row r="1562" spans="1:2" x14ac:dyDescent="0.25">
      <c r="A1562" s="12" t="s">
        <v>1522</v>
      </c>
      <c r="B1562" s="11">
        <v>8109</v>
      </c>
    </row>
    <row r="1563" spans="1:2" x14ac:dyDescent="0.25">
      <c r="A1563" s="12" t="s">
        <v>1523</v>
      </c>
      <c r="B1563" s="11">
        <v>4813</v>
      </c>
    </row>
    <row r="1564" spans="1:2" x14ac:dyDescent="0.25">
      <c r="A1564" s="12" t="s">
        <v>1524</v>
      </c>
      <c r="B1564" s="11">
        <v>-25358</v>
      </c>
    </row>
    <row r="1565" spans="1:2" x14ac:dyDescent="0.25">
      <c r="A1565" s="12" t="s">
        <v>10</v>
      </c>
      <c r="B1565" s="11">
        <v>50</v>
      </c>
    </row>
    <row r="1566" spans="1:2" x14ac:dyDescent="0.25">
      <c r="A1566" s="10" t="s">
        <v>1525</v>
      </c>
      <c r="B1566" s="11">
        <v>0</v>
      </c>
    </row>
    <row r="1567" spans="1:2" x14ac:dyDescent="0.25">
      <c r="A1567" s="12" t="s">
        <v>1526</v>
      </c>
      <c r="B1567" s="11">
        <v>374</v>
      </c>
    </row>
    <row r="1568" spans="1:2" x14ac:dyDescent="0.25">
      <c r="A1568" s="12" t="s">
        <v>1527</v>
      </c>
      <c r="B1568" s="11">
        <v>338</v>
      </c>
    </row>
    <row r="1569" spans="1:2" x14ac:dyDescent="0.25">
      <c r="A1569" s="12" t="s">
        <v>1528</v>
      </c>
      <c r="B1569" s="11">
        <v>424</v>
      </c>
    </row>
    <row r="1570" spans="1:2" x14ac:dyDescent="0.25">
      <c r="A1570" s="12" t="s">
        <v>1529</v>
      </c>
      <c r="B1570" s="11">
        <v>940</v>
      </c>
    </row>
    <row r="1571" spans="1:2" x14ac:dyDescent="0.25">
      <c r="A1571" s="12" t="s">
        <v>1530</v>
      </c>
      <c r="B1571" s="11">
        <v>315</v>
      </c>
    </row>
    <row r="1572" spans="1:2" x14ac:dyDescent="0.25">
      <c r="A1572" s="12" t="s">
        <v>1531</v>
      </c>
      <c r="B1572" s="11">
        <v>214</v>
      </c>
    </row>
    <row r="1573" spans="1:2" x14ac:dyDescent="0.25">
      <c r="A1573" s="12" t="s">
        <v>1532</v>
      </c>
      <c r="B1573" s="11">
        <v>-2605</v>
      </c>
    </row>
    <row r="1574" spans="1:2" x14ac:dyDescent="0.25">
      <c r="A1574" s="10" t="s">
        <v>1533</v>
      </c>
      <c r="B1574" s="11">
        <v>0</v>
      </c>
    </row>
    <row r="1575" spans="1:2" x14ac:dyDescent="0.25">
      <c r="A1575" s="12" t="s">
        <v>1534</v>
      </c>
      <c r="B1575" s="11">
        <v>3356</v>
      </c>
    </row>
    <row r="1576" spans="1:2" x14ac:dyDescent="0.25">
      <c r="A1576" s="12" t="s">
        <v>1535</v>
      </c>
      <c r="B1576" s="11">
        <v>3567</v>
      </c>
    </row>
    <row r="1577" spans="1:2" x14ac:dyDescent="0.25">
      <c r="A1577" s="12" t="s">
        <v>1536</v>
      </c>
      <c r="B1577" s="11">
        <v>3587</v>
      </c>
    </row>
    <row r="1578" spans="1:2" x14ac:dyDescent="0.25">
      <c r="A1578" s="12" t="s">
        <v>1537</v>
      </c>
      <c r="B1578" s="11">
        <v>3813</v>
      </c>
    </row>
    <row r="1579" spans="1:2" x14ac:dyDescent="0.25">
      <c r="A1579" s="12" t="s">
        <v>1538</v>
      </c>
      <c r="B1579" s="11">
        <v>3634</v>
      </c>
    </row>
    <row r="1580" spans="1:2" x14ac:dyDescent="0.25">
      <c r="A1580" s="12" t="s">
        <v>1539</v>
      </c>
      <c r="B1580" s="11">
        <v>3770</v>
      </c>
    </row>
    <row r="1581" spans="1:2" x14ac:dyDescent="0.25">
      <c r="A1581" s="12" t="s">
        <v>1540</v>
      </c>
      <c r="B1581" s="11">
        <v>3813</v>
      </c>
    </row>
    <row r="1582" spans="1:2" x14ac:dyDescent="0.25">
      <c r="A1582" s="12" t="s">
        <v>1541</v>
      </c>
      <c r="B1582" s="11">
        <v>3661</v>
      </c>
    </row>
    <row r="1583" spans="1:2" x14ac:dyDescent="0.25">
      <c r="A1583" s="12" t="s">
        <v>1542</v>
      </c>
      <c r="B1583" s="11">
        <v>3321</v>
      </c>
    </row>
    <row r="1584" spans="1:2" x14ac:dyDescent="0.25">
      <c r="A1584" s="12" t="s">
        <v>1543</v>
      </c>
      <c r="B1584" s="11">
        <v>-32522</v>
      </c>
    </row>
    <row r="1585" spans="1:2" x14ac:dyDescent="0.25">
      <c r="A1585" s="10" t="s">
        <v>1544</v>
      </c>
      <c r="B1585" s="11">
        <v>0</v>
      </c>
    </row>
    <row r="1586" spans="1:2" x14ac:dyDescent="0.25">
      <c r="A1586" s="12" t="s">
        <v>1545</v>
      </c>
      <c r="B1586" s="11">
        <v>8029</v>
      </c>
    </row>
    <row r="1587" spans="1:2" x14ac:dyDescent="0.25">
      <c r="A1587" s="12" t="s">
        <v>1546</v>
      </c>
      <c r="B1587" s="11">
        <v>15147</v>
      </c>
    </row>
    <row r="1588" spans="1:2" x14ac:dyDescent="0.25">
      <c r="A1588" s="12" t="s">
        <v>1547</v>
      </c>
      <c r="B1588" s="11">
        <v>-23176</v>
      </c>
    </row>
    <row r="1589" spans="1:2" x14ac:dyDescent="0.25">
      <c r="A1589" s="10" t="s">
        <v>1548</v>
      </c>
      <c r="B1589" s="11">
        <v>0</v>
      </c>
    </row>
    <row r="1590" spans="1:2" x14ac:dyDescent="0.25">
      <c r="A1590" s="12" t="s">
        <v>1549</v>
      </c>
      <c r="B1590" s="11">
        <v>6071</v>
      </c>
    </row>
    <row r="1591" spans="1:2" x14ac:dyDescent="0.25">
      <c r="A1591" s="12" t="s">
        <v>1550</v>
      </c>
      <c r="B1591" s="11">
        <v>6243</v>
      </c>
    </row>
    <row r="1592" spans="1:2" x14ac:dyDescent="0.25">
      <c r="A1592" s="12" t="s">
        <v>1551</v>
      </c>
      <c r="B1592" s="11">
        <v>7205</v>
      </c>
    </row>
    <row r="1593" spans="1:2" x14ac:dyDescent="0.25">
      <c r="A1593" s="12" t="s">
        <v>1552</v>
      </c>
      <c r="B1593" s="11">
        <v>6266</v>
      </c>
    </row>
    <row r="1594" spans="1:2" x14ac:dyDescent="0.25">
      <c r="A1594" s="12" t="s">
        <v>1553</v>
      </c>
      <c r="B1594" s="11">
        <v>5987</v>
      </c>
    </row>
    <row r="1595" spans="1:2" x14ac:dyDescent="0.25">
      <c r="A1595" s="12" t="s">
        <v>1554</v>
      </c>
      <c r="B1595" s="11">
        <v>6318</v>
      </c>
    </row>
    <row r="1596" spans="1:2" x14ac:dyDescent="0.25">
      <c r="A1596" s="12" t="s">
        <v>1555</v>
      </c>
      <c r="B1596" s="11">
        <v>5919</v>
      </c>
    </row>
    <row r="1597" spans="1:2" x14ac:dyDescent="0.25">
      <c r="A1597" s="12" t="s">
        <v>1556</v>
      </c>
      <c r="B1597" s="11">
        <v>6600</v>
      </c>
    </row>
    <row r="1598" spans="1:2" x14ac:dyDescent="0.25">
      <c r="A1598" s="12" t="s">
        <v>1557</v>
      </c>
      <c r="B1598" s="11">
        <v>6315</v>
      </c>
    </row>
    <row r="1599" spans="1:2" x14ac:dyDescent="0.25">
      <c r="A1599" s="12" t="s">
        <v>1558</v>
      </c>
      <c r="B1599" s="11">
        <v>-56924</v>
      </c>
    </row>
    <row r="1600" spans="1:2" x14ac:dyDescent="0.25">
      <c r="A1600" s="10" t="s">
        <v>1559</v>
      </c>
      <c r="B1600" s="11">
        <v>0</v>
      </c>
    </row>
    <row r="1601" spans="1:2" x14ac:dyDescent="0.25">
      <c r="A1601" s="12" t="s">
        <v>1560</v>
      </c>
      <c r="B1601" s="11">
        <v>2543</v>
      </c>
    </row>
    <row r="1602" spans="1:2" x14ac:dyDescent="0.25">
      <c r="A1602" s="12" t="s">
        <v>1561</v>
      </c>
      <c r="B1602" s="11">
        <v>-2543</v>
      </c>
    </row>
    <row r="1603" spans="1:2" x14ac:dyDescent="0.25">
      <c r="A1603" s="10" t="s">
        <v>1562</v>
      </c>
      <c r="B1603" s="11">
        <v>0</v>
      </c>
    </row>
    <row r="1604" spans="1:2" x14ac:dyDescent="0.25">
      <c r="A1604" s="12" t="s">
        <v>1563</v>
      </c>
      <c r="B1604" s="11">
        <v>1</v>
      </c>
    </row>
    <row r="1605" spans="1:2" x14ac:dyDescent="0.25">
      <c r="A1605" s="12" t="s">
        <v>10</v>
      </c>
      <c r="B1605" s="11">
        <v>-1</v>
      </c>
    </row>
    <row r="1606" spans="1:2" x14ac:dyDescent="0.25">
      <c r="A1606" s="10" t="s">
        <v>1564</v>
      </c>
      <c r="B1606" s="11">
        <v>0</v>
      </c>
    </row>
    <row r="1607" spans="1:2" x14ac:dyDescent="0.25">
      <c r="A1607" s="12" t="s">
        <v>1565</v>
      </c>
      <c r="B1607" s="11">
        <v>8315</v>
      </c>
    </row>
    <row r="1608" spans="1:2" x14ac:dyDescent="0.25">
      <c r="A1608" s="12" t="s">
        <v>1566</v>
      </c>
      <c r="B1608" s="11">
        <v>8727</v>
      </c>
    </row>
    <row r="1609" spans="1:2" x14ac:dyDescent="0.25">
      <c r="A1609" s="12" t="s">
        <v>1567</v>
      </c>
      <c r="B1609" s="11">
        <v>6885</v>
      </c>
    </row>
    <row r="1610" spans="1:2" x14ac:dyDescent="0.25">
      <c r="A1610" s="12" t="s">
        <v>1568</v>
      </c>
      <c r="B1610" s="11">
        <v>7280</v>
      </c>
    </row>
    <row r="1611" spans="1:2" x14ac:dyDescent="0.25">
      <c r="A1611" s="12" t="s">
        <v>1569</v>
      </c>
      <c r="B1611" s="11">
        <v>6254</v>
      </c>
    </row>
    <row r="1612" spans="1:2" x14ac:dyDescent="0.25">
      <c r="A1612" s="12" t="s">
        <v>1570</v>
      </c>
      <c r="B1612" s="11">
        <v>7056</v>
      </c>
    </row>
    <row r="1613" spans="1:2" x14ac:dyDescent="0.25">
      <c r="A1613" s="12" t="s">
        <v>1571</v>
      </c>
      <c r="B1613" s="11">
        <v>-44517</v>
      </c>
    </row>
    <row r="1614" spans="1:2" x14ac:dyDescent="0.25">
      <c r="A1614" s="10" t="s">
        <v>1572</v>
      </c>
      <c r="B1614" s="11">
        <v>0</v>
      </c>
    </row>
    <row r="1615" spans="1:2" x14ac:dyDescent="0.25">
      <c r="A1615" s="12" t="s">
        <v>1573</v>
      </c>
      <c r="B1615" s="11">
        <v>2036</v>
      </c>
    </row>
    <row r="1616" spans="1:2" x14ac:dyDescent="0.25">
      <c r="A1616" s="12" t="s">
        <v>1574</v>
      </c>
      <c r="B1616" s="11">
        <v>-2036</v>
      </c>
    </row>
    <row r="1617" spans="1:2" x14ac:dyDescent="0.25">
      <c r="A1617" s="10" t="s">
        <v>1575</v>
      </c>
      <c r="B1617" s="11">
        <v>0</v>
      </c>
    </row>
    <row r="1618" spans="1:2" x14ac:dyDescent="0.25">
      <c r="A1618" s="12" t="s">
        <v>1576</v>
      </c>
      <c r="B1618" s="11">
        <v>3882</v>
      </c>
    </row>
    <row r="1619" spans="1:2" x14ac:dyDescent="0.25">
      <c r="A1619" s="12" t="s">
        <v>1577</v>
      </c>
      <c r="B1619" s="11">
        <v>2279</v>
      </c>
    </row>
    <row r="1620" spans="1:2" x14ac:dyDescent="0.25">
      <c r="A1620" s="12" t="s">
        <v>1578</v>
      </c>
      <c r="B1620" s="11">
        <v>-6161</v>
      </c>
    </row>
    <row r="1621" spans="1:2" x14ac:dyDescent="0.25">
      <c r="A1621" s="10" t="s">
        <v>1579</v>
      </c>
      <c r="B1621" s="11">
        <v>0</v>
      </c>
    </row>
    <row r="1622" spans="1:2" x14ac:dyDescent="0.25">
      <c r="A1622" s="12" t="s">
        <v>1580</v>
      </c>
      <c r="B1622" s="11">
        <v>4753</v>
      </c>
    </row>
    <row r="1623" spans="1:2" x14ac:dyDescent="0.25">
      <c r="A1623" s="12" t="s">
        <v>1581</v>
      </c>
      <c r="B1623" s="11">
        <v>-4753</v>
      </c>
    </row>
    <row r="1624" spans="1:2" x14ac:dyDescent="0.25">
      <c r="A1624" s="10" t="s">
        <v>1582</v>
      </c>
      <c r="B1624" s="11">
        <v>0</v>
      </c>
    </row>
    <row r="1625" spans="1:2" x14ac:dyDescent="0.25">
      <c r="A1625" s="12" t="s">
        <v>1583</v>
      </c>
      <c r="B1625" s="11">
        <v>3359</v>
      </c>
    </row>
    <row r="1626" spans="1:2" x14ac:dyDescent="0.25">
      <c r="A1626" s="12" t="s">
        <v>1584</v>
      </c>
      <c r="B1626" s="11">
        <v>5435</v>
      </c>
    </row>
    <row r="1627" spans="1:2" x14ac:dyDescent="0.25">
      <c r="A1627" s="12" t="s">
        <v>1585</v>
      </c>
      <c r="B1627" s="11">
        <v>4523</v>
      </c>
    </row>
    <row r="1628" spans="1:2" x14ac:dyDescent="0.25">
      <c r="A1628" s="12" t="s">
        <v>1586</v>
      </c>
      <c r="B1628" s="11">
        <v>3416</v>
      </c>
    </row>
    <row r="1629" spans="1:2" x14ac:dyDescent="0.25">
      <c r="A1629" s="12" t="s">
        <v>1587</v>
      </c>
      <c r="B1629" s="11">
        <v>3272</v>
      </c>
    </row>
    <row r="1630" spans="1:2" x14ac:dyDescent="0.25">
      <c r="A1630" s="12" t="s">
        <v>1588</v>
      </c>
      <c r="B1630" s="11">
        <v>3201</v>
      </c>
    </row>
    <row r="1631" spans="1:2" x14ac:dyDescent="0.25">
      <c r="A1631" s="12" t="s">
        <v>1589</v>
      </c>
      <c r="B1631" s="11">
        <v>-23206</v>
      </c>
    </row>
    <row r="1632" spans="1:2" x14ac:dyDescent="0.25">
      <c r="A1632" s="10" t="s">
        <v>1590</v>
      </c>
      <c r="B1632" s="11">
        <v>0</v>
      </c>
    </row>
    <row r="1633" spans="1:2" x14ac:dyDescent="0.25">
      <c r="A1633" s="12" t="s">
        <v>1591</v>
      </c>
      <c r="B1633" s="11">
        <v>15</v>
      </c>
    </row>
    <row r="1634" spans="1:2" x14ac:dyDescent="0.25">
      <c r="A1634" s="12" t="s">
        <v>10</v>
      </c>
      <c r="B1634" s="11">
        <v>-15</v>
      </c>
    </row>
    <row r="1635" spans="1:2" x14ac:dyDescent="0.25">
      <c r="A1635" s="10" t="s">
        <v>1592</v>
      </c>
      <c r="B1635" s="11">
        <v>0</v>
      </c>
    </row>
    <row r="1636" spans="1:2" x14ac:dyDescent="0.25">
      <c r="A1636" s="12" t="s">
        <v>1593</v>
      </c>
      <c r="B1636" s="11">
        <v>3614</v>
      </c>
    </row>
    <row r="1637" spans="1:2" x14ac:dyDescent="0.25">
      <c r="A1637" s="12" t="s">
        <v>1594</v>
      </c>
      <c r="B1637" s="11">
        <v>3241</v>
      </c>
    </row>
    <row r="1638" spans="1:2" x14ac:dyDescent="0.25">
      <c r="A1638" s="12" t="s">
        <v>1595</v>
      </c>
      <c r="B1638" s="11">
        <v>3881</v>
      </c>
    </row>
    <row r="1639" spans="1:2" x14ac:dyDescent="0.25">
      <c r="A1639" s="12" t="s">
        <v>1596</v>
      </c>
      <c r="B1639" s="11">
        <v>3516</v>
      </c>
    </row>
    <row r="1640" spans="1:2" x14ac:dyDescent="0.25">
      <c r="A1640" s="12" t="s">
        <v>1597</v>
      </c>
      <c r="B1640" s="11">
        <v>2971</v>
      </c>
    </row>
    <row r="1641" spans="1:2" x14ac:dyDescent="0.25">
      <c r="A1641" s="12" t="s">
        <v>1598</v>
      </c>
      <c r="B1641" s="11">
        <v>2912</v>
      </c>
    </row>
    <row r="1642" spans="1:2" x14ac:dyDescent="0.25">
      <c r="A1642" s="12" t="s">
        <v>1599</v>
      </c>
      <c r="B1642" s="11">
        <v>3445</v>
      </c>
    </row>
    <row r="1643" spans="1:2" x14ac:dyDescent="0.25">
      <c r="A1643" s="12" t="s">
        <v>1600</v>
      </c>
      <c r="B1643" s="11">
        <v>4216</v>
      </c>
    </row>
    <row r="1644" spans="1:2" x14ac:dyDescent="0.25">
      <c r="A1644" s="12" t="s">
        <v>1601</v>
      </c>
      <c r="B1644" s="11">
        <v>3739</v>
      </c>
    </row>
    <row r="1645" spans="1:2" x14ac:dyDescent="0.25">
      <c r="A1645" s="12" t="s">
        <v>1602</v>
      </c>
      <c r="B1645" s="11">
        <v>-31535</v>
      </c>
    </row>
    <row r="1646" spans="1:2" x14ac:dyDescent="0.25">
      <c r="A1646" s="10" t="s">
        <v>1603</v>
      </c>
      <c r="B1646" s="11">
        <v>0</v>
      </c>
    </row>
    <row r="1647" spans="1:2" x14ac:dyDescent="0.25">
      <c r="A1647" s="12" t="s">
        <v>1604</v>
      </c>
      <c r="B1647" s="11">
        <v>480</v>
      </c>
    </row>
    <row r="1648" spans="1:2" x14ac:dyDescent="0.25">
      <c r="A1648" s="12" t="s">
        <v>1605</v>
      </c>
      <c r="B1648" s="11">
        <v>-480</v>
      </c>
    </row>
    <row r="1649" spans="1:2" x14ac:dyDescent="0.25">
      <c r="A1649" s="10" t="s">
        <v>1606</v>
      </c>
      <c r="B1649" s="11">
        <v>0</v>
      </c>
    </row>
    <row r="1650" spans="1:2" x14ac:dyDescent="0.25">
      <c r="A1650" s="12" t="s">
        <v>1607</v>
      </c>
      <c r="B1650" s="11">
        <v>2828</v>
      </c>
    </row>
    <row r="1651" spans="1:2" x14ac:dyDescent="0.25">
      <c r="A1651" s="12" t="s">
        <v>1608</v>
      </c>
      <c r="B1651" s="11">
        <v>2810</v>
      </c>
    </row>
    <row r="1652" spans="1:2" x14ac:dyDescent="0.25">
      <c r="A1652" s="12" t="s">
        <v>1609</v>
      </c>
      <c r="B1652" s="11">
        <v>3081</v>
      </c>
    </row>
    <row r="1653" spans="1:2" x14ac:dyDescent="0.25">
      <c r="A1653" s="12" t="s">
        <v>1610</v>
      </c>
      <c r="B1653" s="11">
        <v>2815</v>
      </c>
    </row>
    <row r="1654" spans="1:2" x14ac:dyDescent="0.25">
      <c r="A1654" s="12" t="s">
        <v>1611</v>
      </c>
      <c r="B1654" s="11">
        <v>2545</v>
      </c>
    </row>
    <row r="1655" spans="1:2" x14ac:dyDescent="0.25">
      <c r="A1655" s="12" t="s">
        <v>1612</v>
      </c>
      <c r="B1655" s="11">
        <v>3285</v>
      </c>
    </row>
    <row r="1656" spans="1:2" x14ac:dyDescent="0.25">
      <c r="A1656" s="12" t="s">
        <v>1613</v>
      </c>
      <c r="B1656" s="11">
        <v>3424</v>
      </c>
    </row>
    <row r="1657" spans="1:2" x14ac:dyDescent="0.25">
      <c r="A1657" s="12" t="s">
        <v>1614</v>
      </c>
      <c r="B1657" s="11">
        <v>3096</v>
      </c>
    </row>
    <row r="1658" spans="1:2" x14ac:dyDescent="0.25">
      <c r="A1658" s="12" t="s">
        <v>1615</v>
      </c>
      <c r="B1658" s="11">
        <v>3962</v>
      </c>
    </row>
    <row r="1659" spans="1:2" x14ac:dyDescent="0.25">
      <c r="A1659" s="12" t="s">
        <v>1616</v>
      </c>
      <c r="B1659" s="11">
        <v>-27896</v>
      </c>
    </row>
    <row r="1660" spans="1:2" x14ac:dyDescent="0.25">
      <c r="A1660" s="12" t="s">
        <v>10</v>
      </c>
      <c r="B1660" s="11">
        <v>50</v>
      </c>
    </row>
    <row r="1661" spans="1:2" x14ac:dyDescent="0.25">
      <c r="A1661" s="10" t="s">
        <v>1617</v>
      </c>
      <c r="B1661" s="11">
        <v>0</v>
      </c>
    </row>
    <row r="1662" spans="1:2" x14ac:dyDescent="0.25">
      <c r="A1662" s="12" t="s">
        <v>1618</v>
      </c>
      <c r="B1662" s="11">
        <v>1358</v>
      </c>
    </row>
    <row r="1663" spans="1:2" x14ac:dyDescent="0.25">
      <c r="A1663" s="12" t="s">
        <v>1619</v>
      </c>
      <c r="B1663" s="11">
        <v>4255</v>
      </c>
    </row>
    <row r="1664" spans="1:2" x14ac:dyDescent="0.25">
      <c r="A1664" s="12" t="s">
        <v>1620</v>
      </c>
      <c r="B1664" s="11">
        <v>1664</v>
      </c>
    </row>
    <row r="1665" spans="1:2" x14ac:dyDescent="0.25">
      <c r="A1665" s="12" t="s">
        <v>1621</v>
      </c>
      <c r="B1665" s="11">
        <v>3638</v>
      </c>
    </row>
    <row r="1666" spans="1:2" x14ac:dyDescent="0.25">
      <c r="A1666" s="12" t="s">
        <v>1622</v>
      </c>
      <c r="B1666" s="11">
        <v>4023</v>
      </c>
    </row>
    <row r="1667" spans="1:2" x14ac:dyDescent="0.25">
      <c r="A1667" s="12" t="s">
        <v>1623</v>
      </c>
      <c r="B1667" s="11">
        <v>3968</v>
      </c>
    </row>
    <row r="1668" spans="1:2" x14ac:dyDescent="0.25">
      <c r="A1668" s="12" t="s">
        <v>1624</v>
      </c>
      <c r="B1668" s="11">
        <v>2699</v>
      </c>
    </row>
    <row r="1669" spans="1:2" x14ac:dyDescent="0.25">
      <c r="A1669" s="12" t="s">
        <v>1625</v>
      </c>
      <c r="B1669" s="11">
        <v>4901</v>
      </c>
    </row>
    <row r="1670" spans="1:2" x14ac:dyDescent="0.25">
      <c r="A1670" s="12" t="s">
        <v>1626</v>
      </c>
      <c r="B1670" s="11">
        <v>-26556</v>
      </c>
    </row>
    <row r="1671" spans="1:2" x14ac:dyDescent="0.25">
      <c r="A1671" s="12" t="s">
        <v>10</v>
      </c>
      <c r="B1671" s="11">
        <v>50</v>
      </c>
    </row>
    <row r="1672" spans="1:2" x14ac:dyDescent="0.25">
      <c r="A1672" s="10" t="s">
        <v>1627</v>
      </c>
      <c r="B1672" s="11">
        <v>0</v>
      </c>
    </row>
    <row r="1673" spans="1:2" x14ac:dyDescent="0.25">
      <c r="A1673" s="12" t="s">
        <v>1628</v>
      </c>
      <c r="B1673" s="11">
        <v>3455</v>
      </c>
    </row>
    <row r="1674" spans="1:2" x14ac:dyDescent="0.25">
      <c r="A1674" s="12" t="s">
        <v>1629</v>
      </c>
      <c r="B1674" s="11">
        <v>2727</v>
      </c>
    </row>
    <row r="1675" spans="1:2" x14ac:dyDescent="0.25">
      <c r="A1675" s="12" t="s">
        <v>1630</v>
      </c>
      <c r="B1675" s="11">
        <v>3248</v>
      </c>
    </row>
    <row r="1676" spans="1:2" x14ac:dyDescent="0.25">
      <c r="A1676" s="12" t="s">
        <v>1631</v>
      </c>
      <c r="B1676" s="11">
        <v>3606</v>
      </c>
    </row>
    <row r="1677" spans="1:2" x14ac:dyDescent="0.25">
      <c r="A1677" s="12" t="s">
        <v>1632</v>
      </c>
      <c r="B1677" s="11">
        <v>3550</v>
      </c>
    </row>
    <row r="1678" spans="1:2" x14ac:dyDescent="0.25">
      <c r="A1678" s="12" t="s">
        <v>1633</v>
      </c>
      <c r="B1678" s="11">
        <v>2594</v>
      </c>
    </row>
    <row r="1679" spans="1:2" x14ac:dyDescent="0.25">
      <c r="A1679" s="12" t="s">
        <v>1634</v>
      </c>
      <c r="B1679" s="11">
        <v>1634</v>
      </c>
    </row>
    <row r="1680" spans="1:2" x14ac:dyDescent="0.25">
      <c r="A1680" s="12" t="s">
        <v>1635</v>
      </c>
      <c r="B1680" s="11">
        <v>3352</v>
      </c>
    </row>
    <row r="1681" spans="1:2" x14ac:dyDescent="0.25">
      <c r="A1681" s="12" t="s">
        <v>1636</v>
      </c>
      <c r="B1681" s="11">
        <v>7657</v>
      </c>
    </row>
    <row r="1682" spans="1:2" x14ac:dyDescent="0.25">
      <c r="A1682" s="12" t="s">
        <v>1637</v>
      </c>
      <c r="B1682" s="11">
        <v>6989</v>
      </c>
    </row>
    <row r="1683" spans="1:2" x14ac:dyDescent="0.25">
      <c r="A1683" s="12" t="s">
        <v>1638</v>
      </c>
      <c r="B1683" s="11">
        <v>-38812</v>
      </c>
    </row>
    <row r="1684" spans="1:2" x14ac:dyDescent="0.25">
      <c r="A1684" s="10" t="s">
        <v>1639</v>
      </c>
      <c r="B1684" s="11">
        <v>0</v>
      </c>
    </row>
    <row r="1685" spans="1:2" x14ac:dyDescent="0.25">
      <c r="A1685" s="12" t="s">
        <v>1640</v>
      </c>
      <c r="B1685" s="11">
        <v>2279</v>
      </c>
    </row>
    <row r="1686" spans="1:2" x14ac:dyDescent="0.25">
      <c r="A1686" s="12" t="s">
        <v>1641</v>
      </c>
      <c r="B1686" s="11">
        <v>2105</v>
      </c>
    </row>
    <row r="1687" spans="1:2" x14ac:dyDescent="0.25">
      <c r="A1687" s="12" t="s">
        <v>1642</v>
      </c>
      <c r="B1687" s="11">
        <v>2148</v>
      </c>
    </row>
    <row r="1688" spans="1:2" x14ac:dyDescent="0.25">
      <c r="A1688" s="12" t="s">
        <v>1643</v>
      </c>
      <c r="B1688" s="11">
        <v>2023</v>
      </c>
    </row>
    <row r="1689" spans="1:2" x14ac:dyDescent="0.25">
      <c r="A1689" s="12" t="s">
        <v>1644</v>
      </c>
      <c r="B1689" s="11">
        <v>2181</v>
      </c>
    </row>
    <row r="1690" spans="1:2" x14ac:dyDescent="0.25">
      <c r="A1690" s="12" t="s">
        <v>1645</v>
      </c>
      <c r="B1690" s="11">
        <v>2155</v>
      </c>
    </row>
    <row r="1691" spans="1:2" x14ac:dyDescent="0.25">
      <c r="A1691" s="12" t="s">
        <v>1646</v>
      </c>
      <c r="B1691" s="11">
        <v>2131</v>
      </c>
    </row>
    <row r="1692" spans="1:2" x14ac:dyDescent="0.25">
      <c r="A1692" s="12" t="s">
        <v>1647</v>
      </c>
      <c r="B1692" s="11">
        <v>1864</v>
      </c>
    </row>
    <row r="1693" spans="1:2" x14ac:dyDescent="0.25">
      <c r="A1693" s="12" t="s">
        <v>1648</v>
      </c>
      <c r="B1693" s="11">
        <v>-16936</v>
      </c>
    </row>
    <row r="1694" spans="1:2" x14ac:dyDescent="0.25">
      <c r="A1694" s="12" t="s">
        <v>10</v>
      </c>
      <c r="B1694" s="11">
        <v>50</v>
      </c>
    </row>
    <row r="1695" spans="1:2" x14ac:dyDescent="0.25">
      <c r="A1695" s="10" t="s">
        <v>1649</v>
      </c>
      <c r="B1695" s="11">
        <v>0</v>
      </c>
    </row>
    <row r="1696" spans="1:2" x14ac:dyDescent="0.25">
      <c r="A1696" s="12" t="s">
        <v>1650</v>
      </c>
      <c r="B1696" s="11">
        <v>858</v>
      </c>
    </row>
    <row r="1697" spans="1:2" x14ac:dyDescent="0.25">
      <c r="A1697" s="12" t="s">
        <v>1651</v>
      </c>
      <c r="B1697" s="11">
        <v>874</v>
      </c>
    </row>
    <row r="1698" spans="1:2" x14ac:dyDescent="0.25">
      <c r="A1698" s="12" t="s">
        <v>1652</v>
      </c>
      <c r="B1698" s="11">
        <v>519</v>
      </c>
    </row>
    <row r="1699" spans="1:2" x14ac:dyDescent="0.25">
      <c r="A1699" s="12" t="s">
        <v>1653</v>
      </c>
      <c r="B1699" s="11">
        <v>1000</v>
      </c>
    </row>
    <row r="1700" spans="1:2" x14ac:dyDescent="0.25">
      <c r="A1700" s="12" t="s">
        <v>1654</v>
      </c>
      <c r="B1700" s="11">
        <v>256</v>
      </c>
    </row>
    <row r="1701" spans="1:2" x14ac:dyDescent="0.25">
      <c r="A1701" s="12" t="s">
        <v>1655</v>
      </c>
      <c r="B1701" s="11">
        <v>-3507</v>
      </c>
    </row>
    <row r="1702" spans="1:2" x14ac:dyDescent="0.25">
      <c r="A1702" s="10" t="s">
        <v>1656</v>
      </c>
      <c r="B1702" s="11">
        <v>0</v>
      </c>
    </row>
    <row r="1703" spans="1:2" x14ac:dyDescent="0.25">
      <c r="A1703" s="12" t="s">
        <v>1657</v>
      </c>
      <c r="B1703" s="11">
        <v>2433</v>
      </c>
    </row>
    <row r="1704" spans="1:2" x14ac:dyDescent="0.25">
      <c r="A1704" s="12" t="s">
        <v>1658</v>
      </c>
      <c r="B1704" s="11">
        <v>1984</v>
      </c>
    </row>
    <row r="1705" spans="1:2" x14ac:dyDescent="0.25">
      <c r="A1705" s="12" t="s">
        <v>1659</v>
      </c>
      <c r="B1705" s="11">
        <v>1414</v>
      </c>
    </row>
    <row r="1706" spans="1:2" x14ac:dyDescent="0.25">
      <c r="A1706" s="12" t="s">
        <v>1660</v>
      </c>
      <c r="B1706" s="11">
        <v>1232</v>
      </c>
    </row>
    <row r="1707" spans="1:2" x14ac:dyDescent="0.25">
      <c r="A1707" s="12" t="s">
        <v>1661</v>
      </c>
      <c r="B1707" s="11">
        <v>-7063</v>
      </c>
    </row>
    <row r="1708" spans="1:2" x14ac:dyDescent="0.25">
      <c r="A1708" s="10" t="s">
        <v>1662</v>
      </c>
      <c r="B1708" s="11">
        <v>0</v>
      </c>
    </row>
    <row r="1709" spans="1:2" x14ac:dyDescent="0.25">
      <c r="A1709" s="12" t="s">
        <v>1663</v>
      </c>
      <c r="B1709" s="11">
        <v>5953</v>
      </c>
    </row>
    <row r="1710" spans="1:2" x14ac:dyDescent="0.25">
      <c r="A1710" s="12" t="s">
        <v>1664</v>
      </c>
      <c r="B1710" s="11">
        <v>6854</v>
      </c>
    </row>
    <row r="1711" spans="1:2" x14ac:dyDescent="0.25">
      <c r="A1711" s="12" t="s">
        <v>1665</v>
      </c>
      <c r="B1711" s="11">
        <v>6370</v>
      </c>
    </row>
    <row r="1712" spans="1:2" x14ac:dyDescent="0.25">
      <c r="A1712" s="12" t="s">
        <v>1666</v>
      </c>
      <c r="B1712" s="11">
        <v>6749</v>
      </c>
    </row>
    <row r="1713" spans="1:2" x14ac:dyDescent="0.25">
      <c r="A1713" s="12" t="s">
        <v>1667</v>
      </c>
      <c r="B1713" s="11">
        <v>5784</v>
      </c>
    </row>
    <row r="1714" spans="1:2" x14ac:dyDescent="0.25">
      <c r="A1714" s="12" t="s">
        <v>1668</v>
      </c>
      <c r="B1714" s="11">
        <v>4566</v>
      </c>
    </row>
    <row r="1715" spans="1:2" x14ac:dyDescent="0.25">
      <c r="A1715" s="12" t="s">
        <v>1669</v>
      </c>
      <c r="B1715" s="11">
        <v>4357</v>
      </c>
    </row>
    <row r="1716" spans="1:2" x14ac:dyDescent="0.25">
      <c r="A1716" s="12" t="s">
        <v>1670</v>
      </c>
      <c r="B1716" s="11">
        <v>5987</v>
      </c>
    </row>
    <row r="1717" spans="1:2" x14ac:dyDescent="0.25">
      <c r="A1717" s="12" t="s">
        <v>1671</v>
      </c>
      <c r="B1717" s="11">
        <v>-46670</v>
      </c>
    </row>
    <row r="1718" spans="1:2" x14ac:dyDescent="0.25">
      <c r="A1718" s="12" t="s">
        <v>10</v>
      </c>
      <c r="B1718" s="11">
        <v>50</v>
      </c>
    </row>
    <row r="1719" spans="1:2" x14ac:dyDescent="0.25">
      <c r="A1719" s="10" t="s">
        <v>1672</v>
      </c>
      <c r="B1719" s="11">
        <v>0</v>
      </c>
    </row>
    <row r="1720" spans="1:2" x14ac:dyDescent="0.25">
      <c r="A1720" s="12" t="s">
        <v>1673</v>
      </c>
      <c r="B1720" s="11">
        <v>1195</v>
      </c>
    </row>
    <row r="1721" spans="1:2" x14ac:dyDescent="0.25">
      <c r="A1721" s="12" t="s">
        <v>1674</v>
      </c>
      <c r="B1721" s="11">
        <v>1648</v>
      </c>
    </row>
    <row r="1722" spans="1:2" x14ac:dyDescent="0.25">
      <c r="A1722" s="12" t="s">
        <v>1675</v>
      </c>
      <c r="B1722" s="11">
        <v>1657</v>
      </c>
    </row>
    <row r="1723" spans="1:2" x14ac:dyDescent="0.25">
      <c r="A1723" s="12" t="s">
        <v>1676</v>
      </c>
      <c r="B1723" s="11">
        <v>1613</v>
      </c>
    </row>
    <row r="1724" spans="1:2" x14ac:dyDescent="0.25">
      <c r="A1724" s="12" t="s">
        <v>1677</v>
      </c>
      <c r="B1724" s="11">
        <v>1586</v>
      </c>
    </row>
    <row r="1725" spans="1:2" x14ac:dyDescent="0.25">
      <c r="A1725" s="12" t="s">
        <v>1678</v>
      </c>
      <c r="B1725" s="11">
        <v>1432</v>
      </c>
    </row>
    <row r="1726" spans="1:2" x14ac:dyDescent="0.25">
      <c r="A1726" s="12" t="s">
        <v>1679</v>
      </c>
      <c r="B1726" s="11">
        <v>1465</v>
      </c>
    </row>
    <row r="1727" spans="1:2" x14ac:dyDescent="0.25">
      <c r="A1727" s="12" t="s">
        <v>1680</v>
      </c>
      <c r="B1727" s="11">
        <v>1638</v>
      </c>
    </row>
    <row r="1728" spans="1:2" x14ac:dyDescent="0.25">
      <c r="A1728" s="12" t="s">
        <v>1681</v>
      </c>
      <c r="B1728" s="11">
        <v>-12284</v>
      </c>
    </row>
    <row r="1729" spans="1:2" x14ac:dyDescent="0.25">
      <c r="A1729" s="12" t="s">
        <v>10</v>
      </c>
      <c r="B1729" s="11">
        <v>50</v>
      </c>
    </row>
    <row r="1730" spans="1:2" x14ac:dyDescent="0.25">
      <c r="A1730" s="10" t="s">
        <v>1682</v>
      </c>
      <c r="B1730" s="11">
        <v>0</v>
      </c>
    </row>
    <row r="1731" spans="1:2" x14ac:dyDescent="0.25">
      <c r="A1731" s="12" t="s">
        <v>1683</v>
      </c>
      <c r="B1731" s="11">
        <v>5976</v>
      </c>
    </row>
    <row r="1732" spans="1:2" x14ac:dyDescent="0.25">
      <c r="A1732" s="12" t="s">
        <v>1684</v>
      </c>
      <c r="B1732" s="11">
        <v>5793</v>
      </c>
    </row>
    <row r="1733" spans="1:2" x14ac:dyDescent="0.25">
      <c r="A1733" s="12" t="s">
        <v>1685</v>
      </c>
      <c r="B1733" s="11">
        <v>5240</v>
      </c>
    </row>
    <row r="1734" spans="1:2" x14ac:dyDescent="0.25">
      <c r="A1734" s="12" t="s">
        <v>1686</v>
      </c>
      <c r="B1734" s="11">
        <v>-17009</v>
      </c>
    </row>
    <row r="1735" spans="1:2" x14ac:dyDescent="0.25">
      <c r="A1735" s="10" t="s">
        <v>1687</v>
      </c>
      <c r="B1735" s="11">
        <v>0</v>
      </c>
    </row>
    <row r="1736" spans="1:2" x14ac:dyDescent="0.25">
      <c r="A1736" s="12" t="s">
        <v>1688</v>
      </c>
      <c r="B1736" s="11">
        <v>40</v>
      </c>
    </row>
    <row r="1737" spans="1:2" x14ac:dyDescent="0.25">
      <c r="A1737" s="12" t="s">
        <v>1689</v>
      </c>
      <c r="B1737" s="11">
        <v>1350</v>
      </c>
    </row>
    <row r="1738" spans="1:2" x14ac:dyDescent="0.25">
      <c r="A1738" s="12" t="s">
        <v>1690</v>
      </c>
      <c r="B1738" s="11">
        <v>1900</v>
      </c>
    </row>
    <row r="1739" spans="1:2" x14ac:dyDescent="0.25">
      <c r="A1739" s="12" t="s">
        <v>1691</v>
      </c>
      <c r="B1739" s="11">
        <v>4309</v>
      </c>
    </row>
    <row r="1740" spans="1:2" x14ac:dyDescent="0.25">
      <c r="A1740" s="12" t="s">
        <v>1692</v>
      </c>
      <c r="B1740" s="11">
        <v>4036</v>
      </c>
    </row>
    <row r="1741" spans="1:2" x14ac:dyDescent="0.25">
      <c r="A1741" s="12" t="s">
        <v>1693</v>
      </c>
      <c r="B1741" s="11">
        <v>-11635</v>
      </c>
    </row>
    <row r="1742" spans="1:2" x14ac:dyDescent="0.25">
      <c r="A1742" s="10" t="s">
        <v>1694</v>
      </c>
      <c r="B1742" s="11">
        <v>0</v>
      </c>
    </row>
    <row r="1743" spans="1:2" x14ac:dyDescent="0.25">
      <c r="A1743" s="12" t="s">
        <v>1695</v>
      </c>
      <c r="B1743" s="11">
        <v>4385</v>
      </c>
    </row>
    <row r="1744" spans="1:2" x14ac:dyDescent="0.25">
      <c r="A1744" s="12" t="s">
        <v>1696</v>
      </c>
      <c r="B1744" s="11">
        <v>4729</v>
      </c>
    </row>
    <row r="1745" spans="1:2" x14ac:dyDescent="0.25">
      <c r="A1745" s="12" t="s">
        <v>1697</v>
      </c>
      <c r="B1745" s="11">
        <v>3795</v>
      </c>
    </row>
    <row r="1746" spans="1:2" x14ac:dyDescent="0.25">
      <c r="A1746" s="12" t="s">
        <v>1698</v>
      </c>
      <c r="B1746" s="11">
        <v>5065</v>
      </c>
    </row>
    <row r="1747" spans="1:2" x14ac:dyDescent="0.25">
      <c r="A1747" s="12" t="s">
        <v>1699</v>
      </c>
      <c r="B1747" s="11">
        <v>5180</v>
      </c>
    </row>
    <row r="1748" spans="1:2" x14ac:dyDescent="0.25">
      <c r="A1748" s="12" t="s">
        <v>1700</v>
      </c>
      <c r="B1748" s="11">
        <v>4450</v>
      </c>
    </row>
    <row r="1749" spans="1:2" x14ac:dyDescent="0.25">
      <c r="A1749" s="12" t="s">
        <v>1701</v>
      </c>
      <c r="B1749" s="11">
        <v>-27604</v>
      </c>
    </row>
    <row r="1750" spans="1:2" x14ac:dyDescent="0.25">
      <c r="A1750" s="10" t="s">
        <v>1702</v>
      </c>
      <c r="B1750" s="11">
        <v>0</v>
      </c>
    </row>
    <row r="1751" spans="1:2" x14ac:dyDescent="0.25">
      <c r="A1751" s="12" t="s">
        <v>1703</v>
      </c>
      <c r="B1751" s="11">
        <v>799</v>
      </c>
    </row>
    <row r="1752" spans="1:2" x14ac:dyDescent="0.25">
      <c r="A1752" s="12" t="s">
        <v>1704</v>
      </c>
      <c r="B1752" s="11">
        <v>792</v>
      </c>
    </row>
    <row r="1753" spans="1:2" x14ac:dyDescent="0.25">
      <c r="A1753" s="12" t="s">
        <v>1705</v>
      </c>
      <c r="B1753" s="11">
        <v>91</v>
      </c>
    </row>
    <row r="1754" spans="1:2" x14ac:dyDescent="0.25">
      <c r="A1754" s="12" t="s">
        <v>1706</v>
      </c>
      <c r="B1754" s="11">
        <v>-1732</v>
      </c>
    </row>
    <row r="1755" spans="1:2" x14ac:dyDescent="0.25">
      <c r="A1755" s="12" t="s">
        <v>10</v>
      </c>
      <c r="B1755" s="11">
        <v>50</v>
      </c>
    </row>
    <row r="1756" spans="1:2" x14ac:dyDescent="0.25">
      <c r="A1756" s="10" t="s">
        <v>1707</v>
      </c>
      <c r="B1756" s="11">
        <v>0</v>
      </c>
    </row>
    <row r="1757" spans="1:2" x14ac:dyDescent="0.25">
      <c r="A1757" s="12" t="s">
        <v>1708</v>
      </c>
      <c r="B1757" s="11">
        <v>954</v>
      </c>
    </row>
    <row r="1758" spans="1:2" x14ac:dyDescent="0.25">
      <c r="A1758" s="12" t="s">
        <v>1709</v>
      </c>
      <c r="B1758" s="11">
        <v>4143</v>
      </c>
    </row>
    <row r="1759" spans="1:2" x14ac:dyDescent="0.25">
      <c r="A1759" s="12" t="s">
        <v>1710</v>
      </c>
      <c r="B1759" s="11">
        <v>4902</v>
      </c>
    </row>
    <row r="1760" spans="1:2" x14ac:dyDescent="0.25">
      <c r="A1760" s="12" t="s">
        <v>1711</v>
      </c>
      <c r="B1760" s="11">
        <v>5624</v>
      </c>
    </row>
    <row r="1761" spans="1:2" x14ac:dyDescent="0.25">
      <c r="A1761" s="12" t="s">
        <v>1712</v>
      </c>
      <c r="B1761" s="11">
        <v>-15673</v>
      </c>
    </row>
    <row r="1762" spans="1:2" x14ac:dyDescent="0.25">
      <c r="A1762" s="12" t="s">
        <v>10</v>
      </c>
      <c r="B1762" s="11">
        <v>50</v>
      </c>
    </row>
    <row r="1763" spans="1:2" x14ac:dyDescent="0.25">
      <c r="A1763" s="10" t="s">
        <v>1713</v>
      </c>
      <c r="B1763" s="11">
        <v>0</v>
      </c>
    </row>
    <row r="1764" spans="1:2" x14ac:dyDescent="0.25">
      <c r="A1764" s="12" t="s">
        <v>1714</v>
      </c>
      <c r="B1764" s="11">
        <v>727</v>
      </c>
    </row>
    <row r="1765" spans="1:2" x14ac:dyDescent="0.25">
      <c r="A1765" s="12" t="s">
        <v>1715</v>
      </c>
      <c r="B1765" s="11">
        <v>-727</v>
      </c>
    </row>
    <row r="1766" spans="1:2" x14ac:dyDescent="0.25">
      <c r="A1766" s="10" t="s">
        <v>1716</v>
      </c>
      <c r="B1766" s="11">
        <v>0</v>
      </c>
    </row>
    <row r="1767" spans="1:2" x14ac:dyDescent="0.25">
      <c r="A1767" s="12" t="s">
        <v>1717</v>
      </c>
      <c r="B1767" s="11">
        <v>4059</v>
      </c>
    </row>
    <row r="1768" spans="1:2" x14ac:dyDescent="0.25">
      <c r="A1768" s="12" t="s">
        <v>1718</v>
      </c>
      <c r="B1768" s="11">
        <v>3453</v>
      </c>
    </row>
    <row r="1769" spans="1:2" x14ac:dyDescent="0.25">
      <c r="A1769" s="12" t="s">
        <v>1719</v>
      </c>
      <c r="B1769" s="11">
        <v>3013</v>
      </c>
    </row>
    <row r="1770" spans="1:2" x14ac:dyDescent="0.25">
      <c r="A1770" s="12" t="s">
        <v>1720</v>
      </c>
      <c r="B1770" s="11">
        <v>3022</v>
      </c>
    </row>
    <row r="1771" spans="1:2" x14ac:dyDescent="0.25">
      <c r="A1771" s="12" t="s">
        <v>1721</v>
      </c>
      <c r="B1771" s="11">
        <v>2658</v>
      </c>
    </row>
    <row r="1772" spans="1:2" x14ac:dyDescent="0.25">
      <c r="A1772" s="12" t="s">
        <v>1722</v>
      </c>
      <c r="B1772" s="11">
        <v>3436</v>
      </c>
    </row>
    <row r="1773" spans="1:2" x14ac:dyDescent="0.25">
      <c r="A1773" s="12" t="s">
        <v>1723</v>
      </c>
      <c r="B1773" s="11">
        <v>4572</v>
      </c>
    </row>
    <row r="1774" spans="1:2" x14ac:dyDescent="0.25">
      <c r="A1774" s="12" t="s">
        <v>1724</v>
      </c>
      <c r="B1774" s="11">
        <v>5042</v>
      </c>
    </row>
    <row r="1775" spans="1:2" x14ac:dyDescent="0.25">
      <c r="A1775" s="12" t="s">
        <v>1725</v>
      </c>
      <c r="B1775" s="11">
        <v>-29305</v>
      </c>
    </row>
    <row r="1776" spans="1:2" x14ac:dyDescent="0.25">
      <c r="A1776" s="12" t="s">
        <v>10</v>
      </c>
      <c r="B1776" s="11">
        <v>50</v>
      </c>
    </row>
    <row r="1777" spans="1:2" x14ac:dyDescent="0.25">
      <c r="A1777" s="10" t="s">
        <v>1726</v>
      </c>
      <c r="B1777" s="11">
        <v>0</v>
      </c>
    </row>
    <row r="1778" spans="1:2" x14ac:dyDescent="0.25">
      <c r="A1778" s="12" t="s">
        <v>1727</v>
      </c>
      <c r="B1778" s="11">
        <v>3467</v>
      </c>
    </row>
    <row r="1779" spans="1:2" x14ac:dyDescent="0.25">
      <c r="A1779" s="12" t="s">
        <v>1728</v>
      </c>
      <c r="B1779" s="11">
        <v>3267</v>
      </c>
    </row>
    <row r="1780" spans="1:2" x14ac:dyDescent="0.25">
      <c r="A1780" s="12" t="s">
        <v>1729</v>
      </c>
      <c r="B1780" s="11">
        <v>3579</v>
      </c>
    </row>
    <row r="1781" spans="1:2" x14ac:dyDescent="0.25">
      <c r="A1781" s="12" t="s">
        <v>1730</v>
      </c>
      <c r="B1781" s="11">
        <v>3510</v>
      </c>
    </row>
    <row r="1782" spans="1:2" x14ac:dyDescent="0.25">
      <c r="A1782" s="12" t="s">
        <v>1731</v>
      </c>
      <c r="B1782" s="11">
        <v>1121</v>
      </c>
    </row>
    <row r="1783" spans="1:2" x14ac:dyDescent="0.25">
      <c r="A1783" s="12" t="s">
        <v>1732</v>
      </c>
      <c r="B1783" s="11">
        <v>-14994</v>
      </c>
    </row>
    <row r="1784" spans="1:2" x14ac:dyDescent="0.25">
      <c r="A1784" s="12" t="s">
        <v>10</v>
      </c>
      <c r="B1784" s="11">
        <v>50</v>
      </c>
    </row>
    <row r="1785" spans="1:2" x14ac:dyDescent="0.25">
      <c r="A1785" s="10" t="s">
        <v>1733</v>
      </c>
      <c r="B1785" s="11">
        <v>0</v>
      </c>
    </row>
    <row r="1786" spans="1:2" x14ac:dyDescent="0.25">
      <c r="A1786" s="12" t="s">
        <v>1734</v>
      </c>
      <c r="B1786" s="11">
        <v>1173</v>
      </c>
    </row>
    <row r="1787" spans="1:2" x14ac:dyDescent="0.25">
      <c r="A1787" s="12" t="s">
        <v>1735</v>
      </c>
      <c r="B1787" s="11">
        <v>2014</v>
      </c>
    </row>
    <row r="1788" spans="1:2" x14ac:dyDescent="0.25">
      <c r="A1788" s="12" t="s">
        <v>1736</v>
      </c>
      <c r="B1788" s="11">
        <v>1593</v>
      </c>
    </row>
    <row r="1789" spans="1:2" x14ac:dyDescent="0.25">
      <c r="A1789" s="12" t="s">
        <v>1737</v>
      </c>
      <c r="B1789" s="11">
        <v>911</v>
      </c>
    </row>
    <row r="1790" spans="1:2" x14ac:dyDescent="0.25">
      <c r="A1790" s="12" t="s">
        <v>1738</v>
      </c>
      <c r="B1790" s="11">
        <v>1888</v>
      </c>
    </row>
    <row r="1791" spans="1:2" x14ac:dyDescent="0.25">
      <c r="A1791" s="12" t="s">
        <v>1739</v>
      </c>
      <c r="B1791" s="11">
        <v>1803</v>
      </c>
    </row>
    <row r="1792" spans="1:2" x14ac:dyDescent="0.25">
      <c r="A1792" s="12" t="s">
        <v>1740</v>
      </c>
      <c r="B1792" s="11">
        <v>947</v>
      </c>
    </row>
    <row r="1793" spans="1:2" x14ac:dyDescent="0.25">
      <c r="A1793" s="12" t="s">
        <v>1741</v>
      </c>
      <c r="B1793" s="11">
        <v>1584</v>
      </c>
    </row>
    <row r="1794" spans="1:2" x14ac:dyDescent="0.25">
      <c r="A1794" s="12" t="s">
        <v>1742</v>
      </c>
      <c r="B1794" s="11">
        <v>-11913</v>
      </c>
    </row>
    <row r="1795" spans="1:2" x14ac:dyDescent="0.25">
      <c r="A1795" s="10" t="s">
        <v>1743</v>
      </c>
      <c r="B1795" s="11">
        <v>0</v>
      </c>
    </row>
    <row r="1796" spans="1:2" x14ac:dyDescent="0.25">
      <c r="A1796" s="12" t="s">
        <v>1744</v>
      </c>
      <c r="B1796" s="11">
        <v>1651</v>
      </c>
    </row>
    <row r="1797" spans="1:2" x14ac:dyDescent="0.25">
      <c r="A1797" s="12" t="s">
        <v>1745</v>
      </c>
      <c r="B1797" s="11">
        <v>2249</v>
      </c>
    </row>
    <row r="1798" spans="1:2" x14ac:dyDescent="0.25">
      <c r="A1798" s="12" t="s">
        <v>1746</v>
      </c>
      <c r="B1798" s="11">
        <v>2209</v>
      </c>
    </row>
    <row r="1799" spans="1:2" x14ac:dyDescent="0.25">
      <c r="A1799" s="12" t="s">
        <v>1747</v>
      </c>
      <c r="B1799" s="11">
        <v>2162</v>
      </c>
    </row>
    <row r="1800" spans="1:2" x14ac:dyDescent="0.25">
      <c r="A1800" s="12" t="s">
        <v>1748</v>
      </c>
      <c r="B1800" s="11">
        <v>-8271</v>
      </c>
    </row>
    <row r="1801" spans="1:2" x14ac:dyDescent="0.25">
      <c r="A1801" s="10" t="s">
        <v>1749</v>
      </c>
      <c r="B1801" s="11">
        <v>0</v>
      </c>
    </row>
    <row r="1802" spans="1:2" x14ac:dyDescent="0.25">
      <c r="A1802" s="12" t="s">
        <v>1750</v>
      </c>
      <c r="B1802" s="11">
        <v>163</v>
      </c>
    </row>
    <row r="1803" spans="1:2" x14ac:dyDescent="0.25">
      <c r="A1803" s="12" t="s">
        <v>1751</v>
      </c>
      <c r="B1803" s="11">
        <v>-213</v>
      </c>
    </row>
    <row r="1804" spans="1:2" x14ac:dyDescent="0.25">
      <c r="A1804" s="12" t="s">
        <v>10</v>
      </c>
      <c r="B1804" s="11">
        <v>50</v>
      </c>
    </row>
    <row r="1805" spans="1:2" x14ac:dyDescent="0.25">
      <c r="A1805" s="10" t="s">
        <v>1752</v>
      </c>
      <c r="B1805" s="11">
        <v>0</v>
      </c>
    </row>
    <row r="1806" spans="1:2" x14ac:dyDescent="0.25">
      <c r="A1806" s="12" t="s">
        <v>1753</v>
      </c>
      <c r="B1806" s="11">
        <v>4276</v>
      </c>
    </row>
    <row r="1807" spans="1:2" x14ac:dyDescent="0.25">
      <c r="A1807" s="12" t="s">
        <v>1754</v>
      </c>
      <c r="B1807" s="11">
        <v>3735</v>
      </c>
    </row>
    <row r="1808" spans="1:2" x14ac:dyDescent="0.25">
      <c r="A1808" s="12" t="s">
        <v>1755</v>
      </c>
      <c r="B1808" s="11">
        <v>3706</v>
      </c>
    </row>
    <row r="1809" spans="1:2" x14ac:dyDescent="0.25">
      <c r="A1809" s="12" t="s">
        <v>1756</v>
      </c>
      <c r="B1809" s="11">
        <v>4271</v>
      </c>
    </row>
    <row r="1810" spans="1:2" x14ac:dyDescent="0.25">
      <c r="A1810" s="12" t="s">
        <v>1757</v>
      </c>
      <c r="B1810" s="11">
        <v>3853</v>
      </c>
    </row>
    <row r="1811" spans="1:2" x14ac:dyDescent="0.25">
      <c r="A1811" s="12" t="s">
        <v>1758</v>
      </c>
      <c r="B1811" s="11">
        <v>4686</v>
      </c>
    </row>
    <row r="1812" spans="1:2" x14ac:dyDescent="0.25">
      <c r="A1812" s="12" t="s">
        <v>1759</v>
      </c>
      <c r="B1812" s="11">
        <v>-24577</v>
      </c>
    </row>
    <row r="1813" spans="1:2" x14ac:dyDescent="0.25">
      <c r="A1813" s="12" t="s">
        <v>10</v>
      </c>
      <c r="B1813" s="11">
        <v>50</v>
      </c>
    </row>
    <row r="1814" spans="1:2" x14ac:dyDescent="0.25">
      <c r="A1814" s="10" t="s">
        <v>1760</v>
      </c>
      <c r="B1814" s="11">
        <v>0</v>
      </c>
    </row>
    <row r="1815" spans="1:2" x14ac:dyDescent="0.25">
      <c r="A1815" s="12" t="s">
        <v>1761</v>
      </c>
      <c r="B1815" s="11">
        <v>932</v>
      </c>
    </row>
    <row r="1816" spans="1:2" x14ac:dyDescent="0.25">
      <c r="A1816" s="12" t="s">
        <v>1762</v>
      </c>
      <c r="B1816" s="11">
        <v>1721</v>
      </c>
    </row>
    <row r="1817" spans="1:2" x14ac:dyDescent="0.25">
      <c r="A1817" s="12" t="s">
        <v>1763</v>
      </c>
      <c r="B1817" s="11">
        <v>2442</v>
      </c>
    </row>
    <row r="1818" spans="1:2" x14ac:dyDescent="0.25">
      <c r="A1818" s="12" t="s">
        <v>1764</v>
      </c>
      <c r="B1818" s="11">
        <v>2534</v>
      </c>
    </row>
    <row r="1819" spans="1:2" x14ac:dyDescent="0.25">
      <c r="A1819" s="12" t="s">
        <v>1765</v>
      </c>
      <c r="B1819" s="11">
        <v>1985</v>
      </c>
    </row>
    <row r="1820" spans="1:2" x14ac:dyDescent="0.25">
      <c r="A1820" s="12" t="s">
        <v>1766</v>
      </c>
      <c r="B1820" s="11">
        <v>2414</v>
      </c>
    </row>
    <row r="1821" spans="1:2" x14ac:dyDescent="0.25">
      <c r="A1821" s="12" t="s">
        <v>1767</v>
      </c>
      <c r="B1821" s="11">
        <v>2450</v>
      </c>
    </row>
    <row r="1822" spans="1:2" x14ac:dyDescent="0.25">
      <c r="A1822" s="12" t="s">
        <v>1768</v>
      </c>
      <c r="B1822" s="11">
        <v>2576</v>
      </c>
    </row>
    <row r="1823" spans="1:2" x14ac:dyDescent="0.25">
      <c r="A1823" s="12" t="s">
        <v>1769</v>
      </c>
      <c r="B1823" s="11">
        <v>-17104</v>
      </c>
    </row>
    <row r="1824" spans="1:2" x14ac:dyDescent="0.25">
      <c r="A1824" s="12" t="s">
        <v>10</v>
      </c>
      <c r="B1824" s="11">
        <v>50</v>
      </c>
    </row>
    <row r="1825" spans="1:2" x14ac:dyDescent="0.25">
      <c r="A1825" s="10" t="s">
        <v>1770</v>
      </c>
      <c r="B1825" s="11">
        <v>0</v>
      </c>
    </row>
    <row r="1826" spans="1:2" x14ac:dyDescent="0.25">
      <c r="A1826" s="12" t="s">
        <v>1771</v>
      </c>
      <c r="B1826" s="11">
        <v>4959</v>
      </c>
    </row>
    <row r="1827" spans="1:2" x14ac:dyDescent="0.25">
      <c r="A1827" s="12" t="s">
        <v>1772</v>
      </c>
      <c r="B1827" s="11">
        <v>7848</v>
      </c>
    </row>
    <row r="1828" spans="1:2" x14ac:dyDescent="0.25">
      <c r="A1828" s="12" t="s">
        <v>1773</v>
      </c>
      <c r="B1828" s="11">
        <v>6868</v>
      </c>
    </row>
    <row r="1829" spans="1:2" x14ac:dyDescent="0.25">
      <c r="A1829" s="12" t="s">
        <v>1774</v>
      </c>
      <c r="B1829" s="11">
        <v>7138</v>
      </c>
    </row>
    <row r="1830" spans="1:2" x14ac:dyDescent="0.25">
      <c r="A1830" s="12" t="s">
        <v>1775</v>
      </c>
      <c r="B1830" s="11">
        <v>7325</v>
      </c>
    </row>
    <row r="1831" spans="1:2" x14ac:dyDescent="0.25">
      <c r="A1831" s="12" t="s">
        <v>1776</v>
      </c>
      <c r="B1831" s="11">
        <v>7299</v>
      </c>
    </row>
    <row r="1832" spans="1:2" x14ac:dyDescent="0.25">
      <c r="A1832" s="12" t="s">
        <v>1777</v>
      </c>
      <c r="B1832" s="11">
        <v>8331</v>
      </c>
    </row>
    <row r="1833" spans="1:2" x14ac:dyDescent="0.25">
      <c r="A1833" s="12" t="s">
        <v>1778</v>
      </c>
      <c r="B1833" s="11">
        <v>7260</v>
      </c>
    </row>
    <row r="1834" spans="1:2" x14ac:dyDescent="0.25">
      <c r="A1834" s="12" t="s">
        <v>1779</v>
      </c>
      <c r="B1834" s="11">
        <v>-57028</v>
      </c>
    </row>
    <row r="1835" spans="1:2" x14ac:dyDescent="0.25">
      <c r="A1835" s="10" t="s">
        <v>1780</v>
      </c>
      <c r="B1835" s="11">
        <v>0</v>
      </c>
    </row>
    <row r="1836" spans="1:2" x14ac:dyDescent="0.25">
      <c r="A1836" s="12" t="s">
        <v>1781</v>
      </c>
      <c r="B1836" s="11">
        <v>6928</v>
      </c>
    </row>
    <row r="1837" spans="1:2" x14ac:dyDescent="0.25">
      <c r="A1837" s="12" t="s">
        <v>1782</v>
      </c>
      <c r="B1837" s="11">
        <v>6777</v>
      </c>
    </row>
    <row r="1838" spans="1:2" x14ac:dyDescent="0.25">
      <c r="A1838" s="12" t="s">
        <v>1783</v>
      </c>
      <c r="B1838" s="11">
        <v>5373</v>
      </c>
    </row>
    <row r="1839" spans="1:2" x14ac:dyDescent="0.25">
      <c r="A1839" s="12" t="s">
        <v>1784</v>
      </c>
      <c r="B1839" s="11">
        <v>5127</v>
      </c>
    </row>
    <row r="1840" spans="1:2" x14ac:dyDescent="0.25">
      <c r="A1840" s="12" t="s">
        <v>1785</v>
      </c>
      <c r="B1840" s="11">
        <v>5394</v>
      </c>
    </row>
    <row r="1841" spans="1:2" x14ac:dyDescent="0.25">
      <c r="A1841" s="12" t="s">
        <v>1786</v>
      </c>
      <c r="B1841" s="11">
        <v>4246</v>
      </c>
    </row>
    <row r="1842" spans="1:2" x14ac:dyDescent="0.25">
      <c r="A1842" s="12" t="s">
        <v>1787</v>
      </c>
      <c r="B1842" s="11">
        <v>-33845</v>
      </c>
    </row>
    <row r="1843" spans="1:2" x14ac:dyDescent="0.25">
      <c r="A1843" s="10" t="s">
        <v>1788</v>
      </c>
      <c r="B1843" s="11">
        <v>0</v>
      </c>
    </row>
    <row r="1844" spans="1:2" x14ac:dyDescent="0.25">
      <c r="A1844" s="12" t="s">
        <v>1789</v>
      </c>
      <c r="B1844" s="11">
        <v>551</v>
      </c>
    </row>
    <row r="1845" spans="1:2" x14ac:dyDescent="0.25">
      <c r="A1845" s="12" t="s">
        <v>1790</v>
      </c>
      <c r="B1845" s="11">
        <v>-551</v>
      </c>
    </row>
    <row r="1846" spans="1:2" x14ac:dyDescent="0.25">
      <c r="A1846" s="10" t="s">
        <v>1791</v>
      </c>
      <c r="B1846" s="11">
        <v>0</v>
      </c>
    </row>
    <row r="1847" spans="1:2" x14ac:dyDescent="0.25">
      <c r="A1847" s="12" t="s">
        <v>1792</v>
      </c>
      <c r="B1847" s="11">
        <v>8862</v>
      </c>
    </row>
    <row r="1848" spans="1:2" x14ac:dyDescent="0.25">
      <c r="A1848" s="12" t="s">
        <v>1793</v>
      </c>
      <c r="B1848" s="11">
        <v>8341</v>
      </c>
    </row>
    <row r="1849" spans="1:2" x14ac:dyDescent="0.25">
      <c r="A1849" s="12" t="s">
        <v>1794</v>
      </c>
      <c r="B1849" s="11">
        <v>8455</v>
      </c>
    </row>
    <row r="1850" spans="1:2" x14ac:dyDescent="0.25">
      <c r="A1850" s="12" t="s">
        <v>1795</v>
      </c>
      <c r="B1850" s="11">
        <v>8863</v>
      </c>
    </row>
    <row r="1851" spans="1:2" x14ac:dyDescent="0.25">
      <c r="A1851" s="12" t="s">
        <v>1796</v>
      </c>
      <c r="B1851" s="11">
        <v>-34521</v>
      </c>
    </row>
    <row r="1852" spans="1:2" x14ac:dyDescent="0.25">
      <c r="A1852" s="10" t="s">
        <v>1797</v>
      </c>
      <c r="B1852" s="11">
        <v>0</v>
      </c>
    </row>
    <row r="1853" spans="1:2" x14ac:dyDescent="0.25">
      <c r="A1853" s="12" t="s">
        <v>1798</v>
      </c>
      <c r="B1853" s="11">
        <v>-78200</v>
      </c>
    </row>
    <row r="1854" spans="1:2" x14ac:dyDescent="0.25">
      <c r="A1854" s="12" t="s">
        <v>10</v>
      </c>
      <c r="B1854" s="11">
        <v>78200</v>
      </c>
    </row>
    <row r="1855" spans="1:2" x14ac:dyDescent="0.25">
      <c r="A1855" s="10" t="s">
        <v>1799</v>
      </c>
      <c r="B1855" s="11">
        <v>0</v>
      </c>
    </row>
    <row r="1856" spans="1:2" x14ac:dyDescent="0.25">
      <c r="A1856" s="12" t="s">
        <v>1800</v>
      </c>
      <c r="B1856" s="11">
        <v>742</v>
      </c>
    </row>
    <row r="1857" spans="1:2" x14ac:dyDescent="0.25">
      <c r="A1857" s="12" t="s">
        <v>1801</v>
      </c>
      <c r="B1857" s="11">
        <v>4852</v>
      </c>
    </row>
    <row r="1858" spans="1:2" x14ac:dyDescent="0.25">
      <c r="A1858" s="12" t="s">
        <v>1802</v>
      </c>
      <c r="B1858" s="11">
        <v>5390</v>
      </c>
    </row>
    <row r="1859" spans="1:2" x14ac:dyDescent="0.25">
      <c r="A1859" s="12" t="s">
        <v>1803</v>
      </c>
      <c r="B1859" s="11">
        <v>4860</v>
      </c>
    </row>
    <row r="1860" spans="1:2" x14ac:dyDescent="0.25">
      <c r="A1860" s="12" t="s">
        <v>1804</v>
      </c>
      <c r="B1860" s="11">
        <v>-15844</v>
      </c>
    </row>
    <row r="1861" spans="1:2" x14ac:dyDescent="0.25">
      <c r="A1861" s="10" t="s">
        <v>1805</v>
      </c>
      <c r="B1861" s="11">
        <v>0</v>
      </c>
    </row>
    <row r="1862" spans="1:2" x14ac:dyDescent="0.25">
      <c r="A1862" s="12" t="s">
        <v>1806</v>
      </c>
      <c r="B1862" s="11">
        <v>5256</v>
      </c>
    </row>
    <row r="1863" spans="1:2" x14ac:dyDescent="0.25">
      <c r="A1863" s="12" t="s">
        <v>1807</v>
      </c>
      <c r="B1863" s="11">
        <v>4960</v>
      </c>
    </row>
    <row r="1864" spans="1:2" x14ac:dyDescent="0.25">
      <c r="A1864" s="12" t="s">
        <v>1808</v>
      </c>
      <c r="B1864" s="11">
        <v>4523</v>
      </c>
    </row>
    <row r="1865" spans="1:2" x14ac:dyDescent="0.25">
      <c r="A1865" s="12" t="s">
        <v>1809</v>
      </c>
      <c r="B1865" s="11">
        <v>3950</v>
      </c>
    </row>
    <row r="1866" spans="1:2" x14ac:dyDescent="0.25">
      <c r="A1866" s="12" t="s">
        <v>1810</v>
      </c>
      <c r="B1866" s="11">
        <v>4407</v>
      </c>
    </row>
    <row r="1867" spans="1:2" x14ac:dyDescent="0.25">
      <c r="A1867" s="12" t="s">
        <v>1811</v>
      </c>
      <c r="B1867" s="11">
        <v>4519</v>
      </c>
    </row>
    <row r="1868" spans="1:2" x14ac:dyDescent="0.25">
      <c r="A1868" s="12" t="s">
        <v>1812</v>
      </c>
      <c r="B1868" s="11">
        <v>-27615</v>
      </c>
    </row>
    <row r="1869" spans="1:2" x14ac:dyDescent="0.25">
      <c r="A1869" s="10" t="s">
        <v>1813</v>
      </c>
      <c r="B1869" s="11">
        <v>0</v>
      </c>
    </row>
    <row r="1870" spans="1:2" x14ac:dyDescent="0.25">
      <c r="A1870" s="12" t="s">
        <v>1814</v>
      </c>
      <c r="B1870" s="11">
        <v>2084</v>
      </c>
    </row>
    <row r="1871" spans="1:2" x14ac:dyDescent="0.25">
      <c r="A1871" s="12" t="s">
        <v>1815</v>
      </c>
      <c r="B1871" s="11">
        <v>1034</v>
      </c>
    </row>
    <row r="1872" spans="1:2" x14ac:dyDescent="0.25">
      <c r="A1872" s="12" t="s">
        <v>1816</v>
      </c>
      <c r="B1872" s="11">
        <v>1303</v>
      </c>
    </row>
    <row r="1873" spans="1:2" x14ac:dyDescent="0.25">
      <c r="A1873" s="12" t="s">
        <v>1817</v>
      </c>
      <c r="B1873" s="11">
        <v>820</v>
      </c>
    </row>
    <row r="1874" spans="1:2" x14ac:dyDescent="0.25">
      <c r="A1874" s="12" t="s">
        <v>1818</v>
      </c>
      <c r="B1874" s="11">
        <v>1718</v>
      </c>
    </row>
    <row r="1875" spans="1:2" x14ac:dyDescent="0.25">
      <c r="A1875" s="12" t="s">
        <v>1819</v>
      </c>
      <c r="B1875" s="11">
        <v>1559</v>
      </c>
    </row>
    <row r="1876" spans="1:2" x14ac:dyDescent="0.25">
      <c r="A1876" s="12" t="s">
        <v>1820</v>
      </c>
      <c r="B1876" s="11">
        <v>637</v>
      </c>
    </row>
    <row r="1877" spans="1:2" x14ac:dyDescent="0.25">
      <c r="A1877" s="12" t="s">
        <v>1821</v>
      </c>
      <c r="B1877" s="11">
        <v>-9155</v>
      </c>
    </row>
    <row r="1878" spans="1:2" x14ac:dyDescent="0.25">
      <c r="A1878" s="10" t="s">
        <v>1822</v>
      </c>
      <c r="B1878" s="11">
        <v>0</v>
      </c>
    </row>
    <row r="1879" spans="1:2" x14ac:dyDescent="0.25">
      <c r="A1879" s="12" t="s">
        <v>1823</v>
      </c>
      <c r="B1879" s="11">
        <v>3872</v>
      </c>
    </row>
    <row r="1880" spans="1:2" x14ac:dyDescent="0.25">
      <c r="A1880" s="12" t="s">
        <v>1824</v>
      </c>
      <c r="B1880" s="11">
        <v>453</v>
      </c>
    </row>
    <row r="1881" spans="1:2" x14ac:dyDescent="0.25">
      <c r="A1881" s="12" t="s">
        <v>1825</v>
      </c>
      <c r="B1881" s="11">
        <v>-4325</v>
      </c>
    </row>
    <row r="1882" spans="1:2" x14ac:dyDescent="0.25">
      <c r="A1882" s="10" t="s">
        <v>1826</v>
      </c>
      <c r="B1882" s="11">
        <v>0</v>
      </c>
    </row>
    <row r="1883" spans="1:2" x14ac:dyDescent="0.25">
      <c r="A1883" s="12" t="s">
        <v>1827</v>
      </c>
      <c r="B1883" s="11">
        <v>442</v>
      </c>
    </row>
    <row r="1884" spans="1:2" x14ac:dyDescent="0.25">
      <c r="A1884" s="12" t="s">
        <v>1828</v>
      </c>
      <c r="B1884" s="11">
        <v>1289</v>
      </c>
    </row>
    <row r="1885" spans="1:2" x14ac:dyDescent="0.25">
      <c r="A1885" s="12" t="s">
        <v>1829</v>
      </c>
      <c r="B1885" s="11">
        <v>393</v>
      </c>
    </row>
    <row r="1886" spans="1:2" x14ac:dyDescent="0.25">
      <c r="A1886" s="12" t="s">
        <v>1830</v>
      </c>
      <c r="B1886" s="11">
        <v>-2174</v>
      </c>
    </row>
    <row r="1887" spans="1:2" x14ac:dyDescent="0.25">
      <c r="A1887" s="12" t="s">
        <v>10</v>
      </c>
      <c r="B1887" s="11">
        <v>50</v>
      </c>
    </row>
    <row r="1888" spans="1:2" x14ac:dyDescent="0.25">
      <c r="A1888" s="10" t="s">
        <v>1831</v>
      </c>
      <c r="B1888" s="11">
        <v>0</v>
      </c>
    </row>
    <row r="1889" spans="1:2" x14ac:dyDescent="0.25">
      <c r="A1889" s="12" t="s">
        <v>1832</v>
      </c>
      <c r="B1889" s="11">
        <v>2744</v>
      </c>
    </row>
    <row r="1890" spans="1:2" x14ac:dyDescent="0.25">
      <c r="A1890" s="12" t="s">
        <v>1833</v>
      </c>
      <c r="B1890" s="11">
        <v>4122</v>
      </c>
    </row>
    <row r="1891" spans="1:2" x14ac:dyDescent="0.25">
      <c r="A1891" s="12" t="s">
        <v>1834</v>
      </c>
      <c r="B1891" s="11">
        <v>3354</v>
      </c>
    </row>
    <row r="1892" spans="1:2" x14ac:dyDescent="0.25">
      <c r="A1892" s="12" t="s">
        <v>1835</v>
      </c>
      <c r="B1892" s="11">
        <v>-10220</v>
      </c>
    </row>
    <row r="1893" spans="1:2" x14ac:dyDescent="0.25">
      <c r="A1893" s="10" t="s">
        <v>1836</v>
      </c>
      <c r="B1893" s="11">
        <v>0</v>
      </c>
    </row>
    <row r="1894" spans="1:2" x14ac:dyDescent="0.25">
      <c r="A1894" s="12" t="s">
        <v>1837</v>
      </c>
      <c r="B1894" s="11">
        <v>1512</v>
      </c>
    </row>
    <row r="1895" spans="1:2" x14ac:dyDescent="0.25">
      <c r="A1895" s="12" t="s">
        <v>1838</v>
      </c>
      <c r="B1895" s="11">
        <v>-1562</v>
      </c>
    </row>
    <row r="1896" spans="1:2" x14ac:dyDescent="0.25">
      <c r="A1896" s="12" t="s">
        <v>10</v>
      </c>
      <c r="B1896" s="11">
        <v>50</v>
      </c>
    </row>
    <row r="1897" spans="1:2" x14ac:dyDescent="0.25">
      <c r="A1897" s="10" t="s">
        <v>1839</v>
      </c>
      <c r="B1897" s="11">
        <v>0</v>
      </c>
    </row>
    <row r="1898" spans="1:2" x14ac:dyDescent="0.25">
      <c r="A1898" s="12" t="s">
        <v>1840</v>
      </c>
      <c r="B1898" s="11">
        <v>3410</v>
      </c>
    </row>
    <row r="1899" spans="1:2" x14ac:dyDescent="0.25">
      <c r="A1899" s="12" t="s">
        <v>1841</v>
      </c>
      <c r="B1899" s="11">
        <v>2935</v>
      </c>
    </row>
    <row r="1900" spans="1:2" x14ac:dyDescent="0.25">
      <c r="A1900" s="12" t="s">
        <v>1842</v>
      </c>
      <c r="B1900" s="11">
        <v>-6345</v>
      </c>
    </row>
    <row r="1901" spans="1:2" x14ac:dyDescent="0.25">
      <c r="A1901" s="10" t="s">
        <v>1843</v>
      </c>
      <c r="B1901" s="11">
        <v>0</v>
      </c>
    </row>
    <row r="1902" spans="1:2" x14ac:dyDescent="0.25">
      <c r="A1902" s="12" t="s">
        <v>1844</v>
      </c>
      <c r="B1902" s="11">
        <v>299</v>
      </c>
    </row>
    <row r="1903" spans="1:2" x14ac:dyDescent="0.25">
      <c r="A1903" s="12" t="s">
        <v>1845</v>
      </c>
      <c r="B1903" s="11">
        <v>4625</v>
      </c>
    </row>
    <row r="1904" spans="1:2" x14ac:dyDescent="0.25">
      <c r="A1904" s="12" t="s">
        <v>1846</v>
      </c>
      <c r="B1904" s="11">
        <v>4278</v>
      </c>
    </row>
    <row r="1905" spans="1:2" x14ac:dyDescent="0.25">
      <c r="A1905" s="12" t="s">
        <v>1847</v>
      </c>
      <c r="B1905" s="11">
        <v>4316</v>
      </c>
    </row>
    <row r="1906" spans="1:2" x14ac:dyDescent="0.25">
      <c r="A1906" s="12" t="s">
        <v>1848</v>
      </c>
      <c r="B1906" s="11">
        <v>4367</v>
      </c>
    </row>
    <row r="1907" spans="1:2" x14ac:dyDescent="0.25">
      <c r="A1907" s="12" t="s">
        <v>1849</v>
      </c>
      <c r="B1907" s="11">
        <v>4769</v>
      </c>
    </row>
    <row r="1908" spans="1:2" x14ac:dyDescent="0.25">
      <c r="A1908" s="12" t="s">
        <v>1850</v>
      </c>
      <c r="B1908" s="11">
        <v>-22654</v>
      </c>
    </row>
    <row r="1909" spans="1:2" x14ac:dyDescent="0.25">
      <c r="A1909" s="10" t="s">
        <v>1851</v>
      </c>
      <c r="B1909" s="11">
        <v>0</v>
      </c>
    </row>
    <row r="1910" spans="1:2" x14ac:dyDescent="0.25">
      <c r="A1910" s="12" t="s">
        <v>1852</v>
      </c>
      <c r="B1910" s="11">
        <v>2810</v>
      </c>
    </row>
    <row r="1911" spans="1:2" x14ac:dyDescent="0.25">
      <c r="A1911" s="12" t="s">
        <v>1853</v>
      </c>
      <c r="B1911" s="11">
        <v>3158</v>
      </c>
    </row>
    <row r="1912" spans="1:2" x14ac:dyDescent="0.25">
      <c r="A1912" s="12" t="s">
        <v>1854</v>
      </c>
      <c r="B1912" s="11">
        <v>1939</v>
      </c>
    </row>
    <row r="1913" spans="1:2" x14ac:dyDescent="0.25">
      <c r="A1913" s="12" t="s">
        <v>1855</v>
      </c>
      <c r="B1913" s="11">
        <v>-7957</v>
      </c>
    </row>
    <row r="1914" spans="1:2" x14ac:dyDescent="0.25">
      <c r="A1914" s="12" t="s">
        <v>10</v>
      </c>
      <c r="B1914" s="11">
        <v>50</v>
      </c>
    </row>
    <row r="1915" spans="1:2" x14ac:dyDescent="0.25">
      <c r="A1915" s="10" t="s">
        <v>1856</v>
      </c>
      <c r="B1915" s="11">
        <v>0</v>
      </c>
    </row>
    <row r="1916" spans="1:2" x14ac:dyDescent="0.25">
      <c r="A1916" s="12" t="s">
        <v>1857</v>
      </c>
      <c r="B1916" s="11">
        <v>6140</v>
      </c>
    </row>
    <row r="1917" spans="1:2" x14ac:dyDescent="0.25">
      <c r="A1917" s="12" t="s">
        <v>1858</v>
      </c>
      <c r="B1917" s="11">
        <v>3353</v>
      </c>
    </row>
    <row r="1918" spans="1:2" x14ac:dyDescent="0.25">
      <c r="A1918" s="12" t="s">
        <v>1859</v>
      </c>
      <c r="B1918" s="11">
        <v>6938</v>
      </c>
    </row>
    <row r="1919" spans="1:2" x14ac:dyDescent="0.25">
      <c r="A1919" s="12" t="s">
        <v>1860</v>
      </c>
      <c r="B1919" s="11">
        <v>3662</v>
      </c>
    </row>
    <row r="1920" spans="1:2" x14ac:dyDescent="0.25">
      <c r="A1920" s="12" t="s">
        <v>1861</v>
      </c>
      <c r="B1920" s="11">
        <v>6104</v>
      </c>
    </row>
    <row r="1921" spans="1:2" x14ac:dyDescent="0.25">
      <c r="A1921" s="12" t="s">
        <v>1862</v>
      </c>
      <c r="B1921" s="11">
        <v>1982</v>
      </c>
    </row>
    <row r="1922" spans="1:2" x14ac:dyDescent="0.25">
      <c r="A1922" s="12" t="s">
        <v>1863</v>
      </c>
      <c r="B1922" s="11">
        <v>-28179</v>
      </c>
    </row>
    <row r="1923" spans="1:2" x14ac:dyDescent="0.25">
      <c r="A1923" s="10" t="s">
        <v>1864</v>
      </c>
      <c r="B1923" s="11">
        <v>0</v>
      </c>
    </row>
    <row r="1924" spans="1:2" x14ac:dyDescent="0.25">
      <c r="A1924" s="12" t="s">
        <v>1865</v>
      </c>
      <c r="B1924" s="11">
        <v>2486</v>
      </c>
    </row>
    <row r="1925" spans="1:2" x14ac:dyDescent="0.25">
      <c r="A1925" s="12" t="s">
        <v>1866</v>
      </c>
      <c r="B1925" s="11">
        <v>3800</v>
      </c>
    </row>
    <row r="1926" spans="1:2" x14ac:dyDescent="0.25">
      <c r="A1926" s="12" t="s">
        <v>1867</v>
      </c>
      <c r="B1926" s="11">
        <v>4676</v>
      </c>
    </row>
    <row r="1927" spans="1:2" x14ac:dyDescent="0.25">
      <c r="A1927" s="12" t="s">
        <v>1868</v>
      </c>
      <c r="B1927" s="11">
        <v>4328</v>
      </c>
    </row>
    <row r="1928" spans="1:2" x14ac:dyDescent="0.25">
      <c r="A1928" s="12" t="s">
        <v>1869</v>
      </c>
      <c r="B1928" s="11">
        <v>5192</v>
      </c>
    </row>
    <row r="1929" spans="1:2" x14ac:dyDescent="0.25">
      <c r="A1929" s="12" t="s">
        <v>1870</v>
      </c>
      <c r="B1929" s="11">
        <v>5109</v>
      </c>
    </row>
    <row r="1930" spans="1:2" x14ac:dyDescent="0.25">
      <c r="A1930" s="12" t="s">
        <v>1871</v>
      </c>
      <c r="B1930" s="11">
        <v>-25591</v>
      </c>
    </row>
    <row r="1931" spans="1:2" x14ac:dyDescent="0.25">
      <c r="A1931" s="10" t="s">
        <v>1872</v>
      </c>
      <c r="B1931" s="11">
        <v>0</v>
      </c>
    </row>
    <row r="1932" spans="1:2" x14ac:dyDescent="0.25">
      <c r="A1932" s="12" t="s">
        <v>1873</v>
      </c>
      <c r="B1932" s="11">
        <v>6641</v>
      </c>
    </row>
    <row r="1933" spans="1:2" x14ac:dyDescent="0.25">
      <c r="A1933" s="12" t="s">
        <v>1874</v>
      </c>
      <c r="B1933" s="11">
        <v>-6641</v>
      </c>
    </row>
    <row r="1934" spans="1:2" x14ac:dyDescent="0.25">
      <c r="A1934" s="10" t="s">
        <v>1875</v>
      </c>
      <c r="B1934" s="11">
        <v>0</v>
      </c>
    </row>
    <row r="1935" spans="1:2" x14ac:dyDescent="0.25">
      <c r="A1935" s="12" t="s">
        <v>1876</v>
      </c>
      <c r="B1935" s="11">
        <v>174</v>
      </c>
    </row>
    <row r="1936" spans="1:2" x14ac:dyDescent="0.25">
      <c r="A1936" s="12" t="s">
        <v>1877</v>
      </c>
      <c r="B1936" s="11">
        <v>704</v>
      </c>
    </row>
    <row r="1937" spans="1:2" x14ac:dyDescent="0.25">
      <c r="A1937" s="12" t="s">
        <v>1878</v>
      </c>
      <c r="B1937" s="11">
        <v>853</v>
      </c>
    </row>
    <row r="1938" spans="1:2" x14ac:dyDescent="0.25">
      <c r="A1938" s="12" t="s">
        <v>1879</v>
      </c>
      <c r="B1938" s="11">
        <v>1304</v>
      </c>
    </row>
    <row r="1939" spans="1:2" x14ac:dyDescent="0.25">
      <c r="A1939" s="12" t="s">
        <v>1880</v>
      </c>
      <c r="B1939" s="11">
        <v>921</v>
      </c>
    </row>
    <row r="1940" spans="1:2" x14ac:dyDescent="0.25">
      <c r="A1940" s="12" t="s">
        <v>1881</v>
      </c>
      <c r="B1940" s="11">
        <v>-3956</v>
      </c>
    </row>
    <row r="1941" spans="1:2" x14ac:dyDescent="0.25">
      <c r="A1941" s="10" t="s">
        <v>1882</v>
      </c>
      <c r="B1941" s="11">
        <v>0</v>
      </c>
    </row>
    <row r="1942" spans="1:2" x14ac:dyDescent="0.25">
      <c r="A1942" s="12" t="s">
        <v>1883</v>
      </c>
      <c r="B1942" s="11">
        <v>2251</v>
      </c>
    </row>
    <row r="1943" spans="1:2" x14ac:dyDescent="0.25">
      <c r="A1943" s="12" t="s">
        <v>1884</v>
      </c>
      <c r="B1943" s="11">
        <v>1750</v>
      </c>
    </row>
    <row r="1944" spans="1:2" x14ac:dyDescent="0.25">
      <c r="A1944" s="12" t="s">
        <v>1885</v>
      </c>
      <c r="B1944" s="11">
        <v>2982</v>
      </c>
    </row>
    <row r="1945" spans="1:2" x14ac:dyDescent="0.25">
      <c r="A1945" s="12" t="s">
        <v>1886</v>
      </c>
      <c r="B1945" s="11">
        <v>3834</v>
      </c>
    </row>
    <row r="1946" spans="1:2" x14ac:dyDescent="0.25">
      <c r="A1946" s="12" t="s">
        <v>1887</v>
      </c>
      <c r="B1946" s="11">
        <v>4924</v>
      </c>
    </row>
    <row r="1947" spans="1:2" x14ac:dyDescent="0.25">
      <c r="A1947" s="12" t="s">
        <v>1888</v>
      </c>
      <c r="B1947" s="11">
        <v>3229</v>
      </c>
    </row>
    <row r="1948" spans="1:2" x14ac:dyDescent="0.25">
      <c r="A1948" s="12" t="s">
        <v>1889</v>
      </c>
      <c r="B1948" s="11">
        <v>-18970</v>
      </c>
    </row>
    <row r="1949" spans="1:2" x14ac:dyDescent="0.25">
      <c r="A1949" s="10" t="s">
        <v>1890</v>
      </c>
      <c r="B1949" s="11">
        <v>0</v>
      </c>
    </row>
    <row r="1950" spans="1:2" x14ac:dyDescent="0.25">
      <c r="A1950" s="12" t="s">
        <v>1891</v>
      </c>
      <c r="B1950" s="11">
        <v>3824</v>
      </c>
    </row>
    <row r="1951" spans="1:2" x14ac:dyDescent="0.25">
      <c r="A1951" s="12" t="s">
        <v>1892</v>
      </c>
      <c r="B1951" s="11">
        <v>3706</v>
      </c>
    </row>
    <row r="1952" spans="1:2" x14ac:dyDescent="0.25">
      <c r="A1952" s="12" t="s">
        <v>1893</v>
      </c>
      <c r="B1952" s="11">
        <v>939</v>
      </c>
    </row>
    <row r="1953" spans="1:2" x14ac:dyDescent="0.25">
      <c r="A1953" s="12" t="s">
        <v>1894</v>
      </c>
      <c r="B1953" s="11">
        <v>4080</v>
      </c>
    </row>
    <row r="1954" spans="1:2" x14ac:dyDescent="0.25">
      <c r="A1954" s="12" t="s">
        <v>1895</v>
      </c>
      <c r="B1954" s="11">
        <v>3599</v>
      </c>
    </row>
    <row r="1955" spans="1:2" x14ac:dyDescent="0.25">
      <c r="A1955" s="12" t="s">
        <v>1896</v>
      </c>
      <c r="B1955" s="11">
        <v>4080</v>
      </c>
    </row>
    <row r="1956" spans="1:2" x14ac:dyDescent="0.25">
      <c r="A1956" s="12" t="s">
        <v>1897</v>
      </c>
      <c r="B1956" s="11">
        <v>-20278</v>
      </c>
    </row>
    <row r="1957" spans="1:2" x14ac:dyDescent="0.25">
      <c r="A1957" s="12" t="s">
        <v>10</v>
      </c>
      <c r="B1957" s="11">
        <v>50</v>
      </c>
    </row>
    <row r="1958" spans="1:2" x14ac:dyDescent="0.25">
      <c r="A1958" s="10" t="s">
        <v>1898</v>
      </c>
      <c r="B1958" s="11">
        <v>0</v>
      </c>
    </row>
    <row r="1959" spans="1:2" x14ac:dyDescent="0.25">
      <c r="A1959" s="12" t="s">
        <v>1899</v>
      </c>
      <c r="B1959" s="11">
        <v>763</v>
      </c>
    </row>
    <row r="1960" spans="1:2" x14ac:dyDescent="0.25">
      <c r="A1960" s="12" t="s">
        <v>1900</v>
      </c>
      <c r="B1960" s="11">
        <v>771</v>
      </c>
    </row>
    <row r="1961" spans="1:2" x14ac:dyDescent="0.25">
      <c r="A1961" s="12" t="s">
        <v>1901</v>
      </c>
      <c r="B1961" s="11">
        <v>445</v>
      </c>
    </row>
    <row r="1962" spans="1:2" x14ac:dyDescent="0.25">
      <c r="A1962" s="12" t="s">
        <v>1902</v>
      </c>
      <c r="B1962" s="11">
        <v>726</v>
      </c>
    </row>
    <row r="1963" spans="1:2" x14ac:dyDescent="0.25">
      <c r="A1963" s="12" t="s">
        <v>1903</v>
      </c>
      <c r="B1963" s="11">
        <v>621</v>
      </c>
    </row>
    <row r="1964" spans="1:2" x14ac:dyDescent="0.25">
      <c r="A1964" s="12" t="s">
        <v>1904</v>
      </c>
      <c r="B1964" s="11">
        <v>544</v>
      </c>
    </row>
    <row r="1965" spans="1:2" x14ac:dyDescent="0.25">
      <c r="A1965" s="12" t="s">
        <v>1905</v>
      </c>
      <c r="B1965" s="11">
        <v>-3920</v>
      </c>
    </row>
    <row r="1966" spans="1:2" x14ac:dyDescent="0.25">
      <c r="A1966" s="12" t="s">
        <v>10</v>
      </c>
      <c r="B1966" s="11">
        <v>50</v>
      </c>
    </row>
    <row r="1967" spans="1:2" x14ac:dyDescent="0.25">
      <c r="A1967" s="10" t="s">
        <v>1906</v>
      </c>
      <c r="B1967" s="11">
        <v>0</v>
      </c>
    </row>
    <row r="1968" spans="1:2" x14ac:dyDescent="0.25">
      <c r="A1968" s="12" t="s">
        <v>1907</v>
      </c>
      <c r="B1968" s="11">
        <v>752</v>
      </c>
    </row>
    <row r="1969" spans="1:2" x14ac:dyDescent="0.25">
      <c r="A1969" s="12" t="s">
        <v>1908</v>
      </c>
      <c r="B1969" s="11">
        <v>-752</v>
      </c>
    </row>
    <row r="1970" spans="1:2" x14ac:dyDescent="0.25">
      <c r="A1970" s="10" t="s">
        <v>1909</v>
      </c>
      <c r="B1970" s="11">
        <v>0</v>
      </c>
    </row>
    <row r="1971" spans="1:2" x14ac:dyDescent="0.25">
      <c r="A1971" s="12" t="s">
        <v>1910</v>
      </c>
      <c r="B1971" s="11">
        <v>1388</v>
      </c>
    </row>
    <row r="1972" spans="1:2" x14ac:dyDescent="0.25">
      <c r="A1972" s="12" t="s">
        <v>1911</v>
      </c>
      <c r="B1972" s="11">
        <v>1450</v>
      </c>
    </row>
    <row r="1973" spans="1:2" x14ac:dyDescent="0.25">
      <c r="A1973" s="12" t="s">
        <v>1912</v>
      </c>
      <c r="B1973" s="11">
        <v>3003</v>
      </c>
    </row>
    <row r="1974" spans="1:2" x14ac:dyDescent="0.25">
      <c r="A1974" s="12" t="s">
        <v>1913</v>
      </c>
      <c r="B1974" s="11">
        <v>2366</v>
      </c>
    </row>
    <row r="1975" spans="1:2" x14ac:dyDescent="0.25">
      <c r="A1975" s="12" t="s">
        <v>1914</v>
      </c>
      <c r="B1975" s="11">
        <v>4046</v>
      </c>
    </row>
    <row r="1976" spans="1:2" x14ac:dyDescent="0.25">
      <c r="A1976" s="12" t="s">
        <v>1915</v>
      </c>
      <c r="B1976" s="11">
        <v>2375</v>
      </c>
    </row>
    <row r="1977" spans="1:2" x14ac:dyDescent="0.25">
      <c r="A1977" s="12" t="s">
        <v>1916</v>
      </c>
      <c r="B1977" s="11">
        <v>-14628</v>
      </c>
    </row>
    <row r="1978" spans="1:2" x14ac:dyDescent="0.25">
      <c r="A1978" s="10" t="s">
        <v>1917</v>
      </c>
      <c r="B1978" s="11">
        <v>0</v>
      </c>
    </row>
    <row r="1979" spans="1:2" x14ac:dyDescent="0.25">
      <c r="A1979" s="12" t="s">
        <v>1918</v>
      </c>
      <c r="B1979" s="11">
        <v>9942</v>
      </c>
    </row>
    <row r="1980" spans="1:2" x14ac:dyDescent="0.25">
      <c r="A1980" s="12" t="s">
        <v>1919</v>
      </c>
      <c r="B1980" s="11">
        <v>-9942</v>
      </c>
    </row>
    <row r="1981" spans="1:2" x14ac:dyDescent="0.25">
      <c r="A1981" s="10" t="s">
        <v>1920</v>
      </c>
      <c r="B1981" s="11">
        <v>0</v>
      </c>
    </row>
    <row r="1982" spans="1:2" x14ac:dyDescent="0.25">
      <c r="A1982" s="12" t="s">
        <v>1921</v>
      </c>
      <c r="B1982" s="11">
        <v>1795</v>
      </c>
    </row>
    <row r="1983" spans="1:2" x14ac:dyDescent="0.25">
      <c r="A1983" s="12" t="s">
        <v>1922</v>
      </c>
      <c r="B1983" s="11">
        <v>-1795</v>
      </c>
    </row>
    <row r="1984" spans="1:2" x14ac:dyDescent="0.25">
      <c r="A1984" s="10" t="s">
        <v>1923</v>
      </c>
      <c r="B1984" s="11">
        <v>0</v>
      </c>
    </row>
    <row r="1985" spans="1:2" x14ac:dyDescent="0.25">
      <c r="A1985" s="12" t="s">
        <v>1924</v>
      </c>
      <c r="B1985" s="11">
        <v>4509</v>
      </c>
    </row>
    <row r="1986" spans="1:2" x14ac:dyDescent="0.25">
      <c r="A1986" s="12" t="s">
        <v>1925</v>
      </c>
      <c r="B1986" s="11">
        <v>-4509</v>
      </c>
    </row>
    <row r="1987" spans="1:2" x14ac:dyDescent="0.25">
      <c r="A1987" s="10" t="s">
        <v>1926</v>
      </c>
      <c r="B1987" s="11">
        <v>0</v>
      </c>
    </row>
    <row r="1988" spans="1:2" x14ac:dyDescent="0.25">
      <c r="A1988" s="12" t="s">
        <v>1927</v>
      </c>
      <c r="B1988" s="11">
        <v>6516</v>
      </c>
    </row>
    <row r="1989" spans="1:2" x14ac:dyDescent="0.25">
      <c r="A1989" s="12" t="s">
        <v>1928</v>
      </c>
      <c r="B1989" s="11">
        <v>5400</v>
      </c>
    </row>
    <row r="1990" spans="1:2" x14ac:dyDescent="0.25">
      <c r="A1990" s="12" t="s">
        <v>1929</v>
      </c>
      <c r="B1990" s="11">
        <v>6133</v>
      </c>
    </row>
    <row r="1991" spans="1:2" x14ac:dyDescent="0.25">
      <c r="A1991" s="12" t="s">
        <v>1930</v>
      </c>
      <c r="B1991" s="11">
        <v>8591</v>
      </c>
    </row>
    <row r="1992" spans="1:2" x14ac:dyDescent="0.25">
      <c r="A1992" s="12" t="s">
        <v>1931</v>
      </c>
      <c r="B1992" s="11">
        <v>6894</v>
      </c>
    </row>
    <row r="1993" spans="1:2" x14ac:dyDescent="0.25">
      <c r="A1993" s="12" t="s">
        <v>1932</v>
      </c>
      <c r="B1993" s="11">
        <v>-33534</v>
      </c>
    </row>
    <row r="1994" spans="1:2" x14ac:dyDescent="0.25">
      <c r="A1994" s="10" t="s">
        <v>1933</v>
      </c>
      <c r="B1994" s="11">
        <v>0</v>
      </c>
    </row>
    <row r="1995" spans="1:2" x14ac:dyDescent="0.25">
      <c r="A1995" s="12" t="s">
        <v>1934</v>
      </c>
      <c r="B1995" s="11">
        <v>577</v>
      </c>
    </row>
    <row r="1996" spans="1:2" x14ac:dyDescent="0.25">
      <c r="A1996" s="12" t="s">
        <v>1935</v>
      </c>
      <c r="B1996" s="11">
        <v>721</v>
      </c>
    </row>
    <row r="1997" spans="1:2" x14ac:dyDescent="0.25">
      <c r="A1997" s="12" t="s">
        <v>1936</v>
      </c>
      <c r="B1997" s="11">
        <v>566</v>
      </c>
    </row>
    <row r="1998" spans="1:2" x14ac:dyDescent="0.25">
      <c r="A1998" s="12" t="s">
        <v>1937</v>
      </c>
      <c r="B1998" s="11">
        <v>1153</v>
      </c>
    </row>
    <row r="1999" spans="1:2" x14ac:dyDescent="0.25">
      <c r="A1999" s="12" t="s">
        <v>1938</v>
      </c>
      <c r="B1999" s="11">
        <v>629</v>
      </c>
    </row>
    <row r="2000" spans="1:2" x14ac:dyDescent="0.25">
      <c r="A2000" s="12" t="s">
        <v>1939</v>
      </c>
      <c r="B2000" s="11">
        <v>-3696</v>
      </c>
    </row>
    <row r="2001" spans="1:2" x14ac:dyDescent="0.25">
      <c r="A2001" s="12" t="s">
        <v>10</v>
      </c>
      <c r="B2001" s="11">
        <v>50</v>
      </c>
    </row>
    <row r="2002" spans="1:2" x14ac:dyDescent="0.25">
      <c r="A2002" s="10" t="s">
        <v>1940</v>
      </c>
      <c r="B2002" s="11">
        <v>0</v>
      </c>
    </row>
    <row r="2003" spans="1:2" x14ac:dyDescent="0.25">
      <c r="A2003" s="12" t="s">
        <v>1941</v>
      </c>
      <c r="B2003" s="11">
        <v>1053</v>
      </c>
    </row>
    <row r="2004" spans="1:2" x14ac:dyDescent="0.25">
      <c r="A2004" s="12" t="s">
        <v>1942</v>
      </c>
      <c r="B2004" s="11">
        <v>813</v>
      </c>
    </row>
    <row r="2005" spans="1:2" x14ac:dyDescent="0.25">
      <c r="A2005" s="12" t="s">
        <v>1943</v>
      </c>
      <c r="B2005" s="11">
        <v>928</v>
      </c>
    </row>
    <row r="2006" spans="1:2" x14ac:dyDescent="0.25">
      <c r="A2006" s="12" t="s">
        <v>1944</v>
      </c>
      <c r="B2006" s="11">
        <v>1220</v>
      </c>
    </row>
    <row r="2007" spans="1:2" x14ac:dyDescent="0.25">
      <c r="A2007" s="12" t="s">
        <v>1945</v>
      </c>
      <c r="B2007" s="11">
        <v>902</v>
      </c>
    </row>
    <row r="2008" spans="1:2" x14ac:dyDescent="0.25">
      <c r="A2008" s="12" t="s">
        <v>1946</v>
      </c>
      <c r="B2008" s="11">
        <v>925</v>
      </c>
    </row>
    <row r="2009" spans="1:2" x14ac:dyDescent="0.25">
      <c r="A2009" s="12" t="s">
        <v>1947</v>
      </c>
      <c r="B2009" s="11">
        <v>-5841</v>
      </c>
    </row>
    <row r="2010" spans="1:2" x14ac:dyDescent="0.25">
      <c r="A2010" s="10" t="s">
        <v>1948</v>
      </c>
      <c r="B2010" s="11">
        <v>0</v>
      </c>
    </row>
    <row r="2011" spans="1:2" x14ac:dyDescent="0.25">
      <c r="A2011" s="12" t="s">
        <v>1949</v>
      </c>
      <c r="B2011" s="11">
        <v>200</v>
      </c>
    </row>
    <row r="2012" spans="1:2" x14ac:dyDescent="0.25">
      <c r="A2012" s="12" t="s">
        <v>1950</v>
      </c>
      <c r="B2012" s="11">
        <v>3305</v>
      </c>
    </row>
    <row r="2013" spans="1:2" x14ac:dyDescent="0.25">
      <c r="A2013" s="12" t="s">
        <v>1951</v>
      </c>
      <c r="B2013" s="11">
        <v>-3505</v>
      </c>
    </row>
    <row r="2014" spans="1:2" x14ac:dyDescent="0.25">
      <c r="A2014" s="10" t="s">
        <v>1952</v>
      </c>
      <c r="B2014" s="11">
        <v>0</v>
      </c>
    </row>
    <row r="2015" spans="1:2" x14ac:dyDescent="0.25">
      <c r="A2015" s="12" t="s">
        <v>1953</v>
      </c>
      <c r="B2015" s="11">
        <v>3226</v>
      </c>
    </row>
    <row r="2016" spans="1:2" x14ac:dyDescent="0.25">
      <c r="A2016" s="12" t="s">
        <v>1954</v>
      </c>
      <c r="B2016" s="11">
        <v>2138</v>
      </c>
    </row>
    <row r="2017" spans="1:2" x14ac:dyDescent="0.25">
      <c r="A2017" s="12" t="s">
        <v>1955</v>
      </c>
      <c r="B2017" s="11">
        <v>691</v>
      </c>
    </row>
    <row r="2018" spans="1:2" x14ac:dyDescent="0.25">
      <c r="A2018" s="12" t="s">
        <v>1956</v>
      </c>
      <c r="B2018" s="11">
        <v>-11055</v>
      </c>
    </row>
    <row r="2019" spans="1:2" x14ac:dyDescent="0.25">
      <c r="A2019" s="12" t="s">
        <v>10</v>
      </c>
      <c r="B2019" s="11">
        <v>5000</v>
      </c>
    </row>
    <row r="2020" spans="1:2" x14ac:dyDescent="0.25">
      <c r="A2020" s="10" t="s">
        <v>1957</v>
      </c>
      <c r="B2020" s="11">
        <v>0</v>
      </c>
    </row>
    <row r="2021" spans="1:2" x14ac:dyDescent="0.25">
      <c r="A2021" s="12" t="s">
        <v>1958</v>
      </c>
      <c r="B2021" s="11">
        <v>5709</v>
      </c>
    </row>
    <row r="2022" spans="1:2" x14ac:dyDescent="0.25">
      <c r="A2022" s="12" t="s">
        <v>1959</v>
      </c>
      <c r="B2022" s="11">
        <v>6868</v>
      </c>
    </row>
    <row r="2023" spans="1:2" x14ac:dyDescent="0.25">
      <c r="A2023" s="12" t="s">
        <v>1960</v>
      </c>
      <c r="B2023" s="11">
        <v>6712</v>
      </c>
    </row>
    <row r="2024" spans="1:2" x14ac:dyDescent="0.25">
      <c r="A2024" s="12" t="s">
        <v>1961</v>
      </c>
      <c r="B2024" s="11">
        <v>6398</v>
      </c>
    </row>
    <row r="2025" spans="1:2" x14ac:dyDescent="0.25">
      <c r="A2025" s="12" t="s">
        <v>1962</v>
      </c>
      <c r="B2025" s="11">
        <v>4434</v>
      </c>
    </row>
    <row r="2026" spans="1:2" x14ac:dyDescent="0.25">
      <c r="A2026" s="12" t="s">
        <v>1963</v>
      </c>
      <c r="B2026" s="11">
        <v>-30121</v>
      </c>
    </row>
    <row r="2027" spans="1:2" x14ac:dyDescent="0.25">
      <c r="A2027" s="10" t="s">
        <v>1964</v>
      </c>
      <c r="B2027" s="11">
        <v>0</v>
      </c>
    </row>
    <row r="2028" spans="1:2" x14ac:dyDescent="0.25">
      <c r="A2028" s="12" t="s">
        <v>1965</v>
      </c>
      <c r="B2028" s="11">
        <v>554</v>
      </c>
    </row>
    <row r="2029" spans="1:2" x14ac:dyDescent="0.25">
      <c r="A2029" s="12" t="s">
        <v>1966</v>
      </c>
      <c r="B2029" s="11">
        <v>-554</v>
      </c>
    </row>
    <row r="2030" spans="1:2" x14ac:dyDescent="0.25">
      <c r="A2030" s="10" t="s">
        <v>1967</v>
      </c>
      <c r="B2030" s="11">
        <v>0</v>
      </c>
    </row>
    <row r="2031" spans="1:2" x14ac:dyDescent="0.25">
      <c r="A2031" s="12" t="s">
        <v>1968</v>
      </c>
      <c r="B2031" s="11">
        <v>4569</v>
      </c>
    </row>
    <row r="2032" spans="1:2" x14ac:dyDescent="0.25">
      <c r="A2032" s="12" t="s">
        <v>1969</v>
      </c>
      <c r="B2032" s="11">
        <v>5435</v>
      </c>
    </row>
    <row r="2033" spans="1:2" x14ac:dyDescent="0.25">
      <c r="A2033" s="12" t="s">
        <v>1970</v>
      </c>
      <c r="B2033" s="11">
        <v>3959</v>
      </c>
    </row>
    <row r="2034" spans="1:2" x14ac:dyDescent="0.25">
      <c r="A2034" s="12" t="s">
        <v>1971</v>
      </c>
      <c r="B2034" s="11">
        <v>4187</v>
      </c>
    </row>
    <row r="2035" spans="1:2" x14ac:dyDescent="0.25">
      <c r="A2035" s="12" t="s">
        <v>1972</v>
      </c>
      <c r="B2035" s="11">
        <v>5397</v>
      </c>
    </row>
    <row r="2036" spans="1:2" x14ac:dyDescent="0.25">
      <c r="A2036" s="12" t="s">
        <v>1973</v>
      </c>
      <c r="B2036" s="11">
        <v>4098</v>
      </c>
    </row>
    <row r="2037" spans="1:2" x14ac:dyDescent="0.25">
      <c r="A2037" s="12" t="s">
        <v>1974</v>
      </c>
      <c r="B2037" s="11">
        <v>-27645</v>
      </c>
    </row>
    <row r="2038" spans="1:2" x14ac:dyDescent="0.25">
      <c r="A2038" s="10" t="s">
        <v>1975</v>
      </c>
      <c r="B2038" s="11">
        <v>0</v>
      </c>
    </row>
    <row r="2039" spans="1:2" x14ac:dyDescent="0.25">
      <c r="A2039" s="12" t="s">
        <v>1976</v>
      </c>
      <c r="B2039" s="11">
        <v>3730</v>
      </c>
    </row>
    <row r="2040" spans="1:2" x14ac:dyDescent="0.25">
      <c r="A2040" s="12" t="s">
        <v>1977</v>
      </c>
      <c r="B2040" s="11">
        <v>3935</v>
      </c>
    </row>
    <row r="2041" spans="1:2" x14ac:dyDescent="0.25">
      <c r="A2041" s="12" t="s">
        <v>1978</v>
      </c>
      <c r="B2041" s="11">
        <v>2729</v>
      </c>
    </row>
    <row r="2042" spans="1:2" x14ac:dyDescent="0.25">
      <c r="A2042" s="12" t="s">
        <v>1979</v>
      </c>
      <c r="B2042" s="11">
        <v>-10394</v>
      </c>
    </row>
    <row r="2043" spans="1:2" x14ac:dyDescent="0.25">
      <c r="A2043" s="10" t="s">
        <v>1980</v>
      </c>
      <c r="B2043" s="11">
        <v>0</v>
      </c>
    </row>
    <row r="2044" spans="1:2" x14ac:dyDescent="0.25">
      <c r="A2044" s="12" t="s">
        <v>1981</v>
      </c>
      <c r="B2044" s="11">
        <v>306</v>
      </c>
    </row>
    <row r="2045" spans="1:2" x14ac:dyDescent="0.25">
      <c r="A2045" s="12" t="s">
        <v>1982</v>
      </c>
      <c r="B2045" s="11">
        <v>5279</v>
      </c>
    </row>
    <row r="2046" spans="1:2" x14ac:dyDescent="0.25">
      <c r="A2046" s="12" t="s">
        <v>1983</v>
      </c>
      <c r="B2046" s="11">
        <v>-5585</v>
      </c>
    </row>
    <row r="2047" spans="1:2" x14ac:dyDescent="0.25">
      <c r="A2047" s="10" t="s">
        <v>1984</v>
      </c>
      <c r="B2047" s="11">
        <v>0</v>
      </c>
    </row>
    <row r="2048" spans="1:2" x14ac:dyDescent="0.25">
      <c r="A2048" s="12" t="s">
        <v>1985</v>
      </c>
      <c r="B2048" s="11">
        <v>1397</v>
      </c>
    </row>
    <row r="2049" spans="1:2" x14ac:dyDescent="0.25">
      <c r="A2049" s="12" t="s">
        <v>1986</v>
      </c>
      <c r="B2049" s="11">
        <v>-1397</v>
      </c>
    </row>
    <row r="2050" spans="1:2" x14ac:dyDescent="0.25">
      <c r="A2050" s="10" t="s">
        <v>1987</v>
      </c>
      <c r="B2050" s="11">
        <v>0</v>
      </c>
    </row>
    <row r="2051" spans="1:2" x14ac:dyDescent="0.25">
      <c r="A2051" s="12" t="s">
        <v>1988</v>
      </c>
      <c r="B2051" s="11">
        <v>3180</v>
      </c>
    </row>
    <row r="2052" spans="1:2" x14ac:dyDescent="0.25">
      <c r="A2052" s="12" t="s">
        <v>1989</v>
      </c>
      <c r="B2052" s="11">
        <v>3503</v>
      </c>
    </row>
    <row r="2053" spans="1:2" x14ac:dyDescent="0.25">
      <c r="A2053" s="12" t="s">
        <v>1990</v>
      </c>
      <c r="B2053" s="11">
        <v>3110</v>
      </c>
    </row>
    <row r="2054" spans="1:2" x14ac:dyDescent="0.25">
      <c r="A2054" s="12" t="s">
        <v>1991</v>
      </c>
      <c r="B2054" s="11">
        <v>4379</v>
      </c>
    </row>
    <row r="2055" spans="1:2" x14ac:dyDescent="0.25">
      <c r="A2055" s="12" t="s">
        <v>1992</v>
      </c>
      <c r="B2055" s="11">
        <v>4435</v>
      </c>
    </row>
    <row r="2056" spans="1:2" x14ac:dyDescent="0.25">
      <c r="A2056" s="12" t="s">
        <v>1993</v>
      </c>
      <c r="B2056" s="11">
        <v>3931</v>
      </c>
    </row>
    <row r="2057" spans="1:2" x14ac:dyDescent="0.25">
      <c r="A2057" s="12" t="s">
        <v>1994</v>
      </c>
      <c r="B2057" s="11">
        <v>4470</v>
      </c>
    </row>
    <row r="2058" spans="1:2" x14ac:dyDescent="0.25">
      <c r="A2058" s="12" t="s">
        <v>1995</v>
      </c>
      <c r="B2058" s="11">
        <v>-27008</v>
      </c>
    </row>
    <row r="2059" spans="1:2" x14ac:dyDescent="0.25">
      <c r="A2059" s="10" t="s">
        <v>1996</v>
      </c>
      <c r="B2059" s="11">
        <v>0</v>
      </c>
    </row>
    <row r="2060" spans="1:2" x14ac:dyDescent="0.25">
      <c r="A2060" s="12" t="s">
        <v>1997</v>
      </c>
      <c r="B2060" s="11">
        <v>2974</v>
      </c>
    </row>
    <row r="2061" spans="1:2" x14ac:dyDescent="0.25">
      <c r="A2061" s="12" t="s">
        <v>1998</v>
      </c>
      <c r="B2061" s="11">
        <v>3958</v>
      </c>
    </row>
    <row r="2062" spans="1:2" x14ac:dyDescent="0.25">
      <c r="A2062" s="12" t="s">
        <v>1999</v>
      </c>
      <c r="B2062" s="11">
        <v>3827</v>
      </c>
    </row>
    <row r="2063" spans="1:2" x14ac:dyDescent="0.25">
      <c r="A2063" s="12" t="s">
        <v>2000</v>
      </c>
      <c r="B2063" s="11">
        <v>3198</v>
      </c>
    </row>
    <row r="2064" spans="1:2" x14ac:dyDescent="0.25">
      <c r="A2064" s="12" t="s">
        <v>2001</v>
      </c>
      <c r="B2064" s="11">
        <v>2836</v>
      </c>
    </row>
    <row r="2065" spans="1:2" x14ac:dyDescent="0.25">
      <c r="A2065" s="12" t="s">
        <v>2002</v>
      </c>
      <c r="B2065" s="11">
        <v>-16793</v>
      </c>
    </row>
    <row r="2066" spans="1:2" x14ac:dyDescent="0.25">
      <c r="A2066" s="10" t="s">
        <v>2003</v>
      </c>
      <c r="B2066" s="11">
        <v>0</v>
      </c>
    </row>
    <row r="2067" spans="1:2" x14ac:dyDescent="0.25">
      <c r="A2067" s="12" t="s">
        <v>2004</v>
      </c>
      <c r="B2067" s="11">
        <v>5494</v>
      </c>
    </row>
    <row r="2068" spans="1:2" x14ac:dyDescent="0.25">
      <c r="A2068" s="12" t="s">
        <v>2005</v>
      </c>
      <c r="B2068" s="11">
        <v>7079</v>
      </c>
    </row>
    <row r="2069" spans="1:2" x14ac:dyDescent="0.25">
      <c r="A2069" s="12" t="s">
        <v>2006</v>
      </c>
      <c r="B2069" s="11">
        <v>4580</v>
      </c>
    </row>
    <row r="2070" spans="1:2" x14ac:dyDescent="0.25">
      <c r="A2070" s="12" t="s">
        <v>2007</v>
      </c>
      <c r="B2070" s="11">
        <v>3790</v>
      </c>
    </row>
    <row r="2071" spans="1:2" x14ac:dyDescent="0.25">
      <c r="A2071" s="12" t="s">
        <v>2008</v>
      </c>
      <c r="B2071" s="11">
        <v>3001</v>
      </c>
    </row>
    <row r="2072" spans="1:2" x14ac:dyDescent="0.25">
      <c r="A2072" s="12" t="s">
        <v>2009</v>
      </c>
      <c r="B2072" s="11">
        <v>2011</v>
      </c>
    </row>
    <row r="2073" spans="1:2" x14ac:dyDescent="0.25">
      <c r="A2073" s="12" t="s">
        <v>2010</v>
      </c>
      <c r="B2073" s="11">
        <v>3626</v>
      </c>
    </row>
    <row r="2074" spans="1:2" x14ac:dyDescent="0.25">
      <c r="A2074" s="12" t="s">
        <v>2011</v>
      </c>
      <c r="B2074" s="11">
        <v>-29581</v>
      </c>
    </row>
    <row r="2075" spans="1:2" x14ac:dyDescent="0.25">
      <c r="A2075" s="10" t="s">
        <v>2012</v>
      </c>
      <c r="B2075" s="11">
        <v>0</v>
      </c>
    </row>
    <row r="2076" spans="1:2" x14ac:dyDescent="0.25">
      <c r="A2076" s="12" t="s">
        <v>2013</v>
      </c>
      <c r="B2076" s="11">
        <v>6257</v>
      </c>
    </row>
    <row r="2077" spans="1:2" x14ac:dyDescent="0.25">
      <c r="A2077" s="12" t="s">
        <v>2014</v>
      </c>
      <c r="B2077" s="11">
        <v>-6257</v>
      </c>
    </row>
    <row r="2078" spans="1:2" x14ac:dyDescent="0.25">
      <c r="A2078" s="10" t="s">
        <v>2015</v>
      </c>
      <c r="B2078" s="11">
        <v>0</v>
      </c>
    </row>
    <row r="2079" spans="1:2" x14ac:dyDescent="0.25">
      <c r="A2079" s="12" t="s">
        <v>2016</v>
      </c>
      <c r="B2079" s="11">
        <v>1939</v>
      </c>
    </row>
    <row r="2080" spans="1:2" x14ac:dyDescent="0.25">
      <c r="A2080" s="12" t="s">
        <v>2017</v>
      </c>
      <c r="B2080" s="11">
        <v>19633</v>
      </c>
    </row>
    <row r="2081" spans="1:2" x14ac:dyDescent="0.25">
      <c r="A2081" s="12" t="s">
        <v>2018</v>
      </c>
      <c r="B2081" s="11">
        <v>14942</v>
      </c>
    </row>
    <row r="2082" spans="1:2" x14ac:dyDescent="0.25">
      <c r="A2082" s="12" t="s">
        <v>2019</v>
      </c>
      <c r="B2082" s="11">
        <v>-36514</v>
      </c>
    </row>
    <row r="2083" spans="1:2" x14ac:dyDescent="0.25">
      <c r="A2083" s="10" t="s">
        <v>2020</v>
      </c>
      <c r="B2083" s="11">
        <v>0</v>
      </c>
    </row>
    <row r="2084" spans="1:2" x14ac:dyDescent="0.25">
      <c r="A2084" s="12" t="s">
        <v>2021</v>
      </c>
      <c r="B2084" s="11">
        <v>2328</v>
      </c>
    </row>
    <row r="2085" spans="1:2" x14ac:dyDescent="0.25">
      <c r="A2085" s="12" t="s">
        <v>2022</v>
      </c>
      <c r="B2085" s="11">
        <v>2589</v>
      </c>
    </row>
    <row r="2086" spans="1:2" x14ac:dyDescent="0.25">
      <c r="A2086" s="12" t="s">
        <v>2023</v>
      </c>
      <c r="B2086" s="11">
        <v>2254</v>
      </c>
    </row>
    <row r="2087" spans="1:2" x14ac:dyDescent="0.25">
      <c r="A2087" s="12" t="s">
        <v>2024</v>
      </c>
      <c r="B2087" s="11">
        <v>-7171</v>
      </c>
    </row>
    <row r="2088" spans="1:2" x14ac:dyDescent="0.25">
      <c r="A2088" s="10" t="s">
        <v>2025</v>
      </c>
      <c r="B2088" s="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F1BEE-80DA-41C8-A254-DA1B2DF258AB}">
  <sheetPr filterMode="1"/>
  <dimension ref="A1:D2086"/>
  <sheetViews>
    <sheetView topLeftCell="A1713" workbookViewId="0">
      <selection activeCell="A65" sqref="A65:B2084"/>
    </sheetView>
  </sheetViews>
  <sheetFormatPr defaultRowHeight="15" x14ac:dyDescent="0.25"/>
  <cols>
    <col min="1" max="1" width="37.5703125" bestFit="1" customWidth="1"/>
    <col min="2" max="2" width="16.5703125" style="13" bestFit="1" customWidth="1"/>
  </cols>
  <sheetData>
    <row r="1" spans="1:4" x14ac:dyDescent="0.25">
      <c r="A1" t="s">
        <v>3973</v>
      </c>
      <c r="B1" s="13" t="s">
        <v>2</v>
      </c>
    </row>
    <row r="2" spans="1:4" hidden="1" x14ac:dyDescent="0.25">
      <c r="A2" s="14" t="s">
        <v>10</v>
      </c>
      <c r="B2" s="15">
        <v>-557</v>
      </c>
      <c r="D2" t="s">
        <v>3974</v>
      </c>
    </row>
    <row r="3" spans="1:4" hidden="1" x14ac:dyDescent="0.25">
      <c r="A3" s="14" t="s">
        <v>10</v>
      </c>
      <c r="B3" s="15">
        <v>-537</v>
      </c>
    </row>
    <row r="4" spans="1:4" hidden="1" x14ac:dyDescent="0.25">
      <c r="A4" s="14" t="s">
        <v>10</v>
      </c>
      <c r="B4" s="15">
        <v>-454</v>
      </c>
    </row>
    <row r="5" spans="1:4" hidden="1" x14ac:dyDescent="0.25">
      <c r="A5" s="14" t="s">
        <v>10</v>
      </c>
      <c r="B5" s="15">
        <v>-428</v>
      </c>
    </row>
    <row r="6" spans="1:4" hidden="1" x14ac:dyDescent="0.25">
      <c r="A6" s="14" t="s">
        <v>10</v>
      </c>
      <c r="B6" s="15">
        <v>-404</v>
      </c>
    </row>
    <row r="7" spans="1:4" hidden="1" x14ac:dyDescent="0.25">
      <c r="A7" s="14" t="s">
        <v>10</v>
      </c>
      <c r="B7" s="15">
        <v>-400</v>
      </c>
    </row>
    <row r="8" spans="1:4" hidden="1" x14ac:dyDescent="0.25">
      <c r="A8" s="14" t="s">
        <v>10</v>
      </c>
      <c r="B8" s="15">
        <v>-374</v>
      </c>
    </row>
    <row r="9" spans="1:4" hidden="1" x14ac:dyDescent="0.25">
      <c r="A9" s="14" t="s">
        <v>10</v>
      </c>
      <c r="B9" s="15">
        <v>-370</v>
      </c>
    </row>
    <row r="10" spans="1:4" hidden="1" x14ac:dyDescent="0.25">
      <c r="A10" s="14" t="s">
        <v>10</v>
      </c>
      <c r="B10" s="15">
        <v>-362</v>
      </c>
    </row>
    <row r="11" spans="1:4" hidden="1" x14ac:dyDescent="0.25">
      <c r="A11" s="14" t="s">
        <v>10</v>
      </c>
      <c r="B11" s="15">
        <v>-165</v>
      </c>
    </row>
    <row r="12" spans="1:4" hidden="1" x14ac:dyDescent="0.25">
      <c r="A12" s="14" t="s">
        <v>10</v>
      </c>
      <c r="B12" s="15">
        <v>-102</v>
      </c>
    </row>
    <row r="13" spans="1:4" hidden="1" x14ac:dyDescent="0.25">
      <c r="A13" s="14" t="s">
        <v>10</v>
      </c>
      <c r="B13" s="15">
        <v>-99</v>
      </c>
    </row>
    <row r="14" spans="1:4" hidden="1" x14ac:dyDescent="0.25">
      <c r="A14" s="14" t="s">
        <v>10</v>
      </c>
      <c r="B14" s="15">
        <v>-99</v>
      </c>
    </row>
    <row r="15" spans="1:4" hidden="1" x14ac:dyDescent="0.25">
      <c r="A15" s="14" t="s">
        <v>10</v>
      </c>
      <c r="B15" s="15">
        <v>-79</v>
      </c>
    </row>
    <row r="16" spans="1:4" hidden="1" x14ac:dyDescent="0.25">
      <c r="A16" s="14" t="s">
        <v>10</v>
      </c>
      <c r="B16" s="15">
        <v>-51</v>
      </c>
    </row>
    <row r="17" spans="1:2" hidden="1" x14ac:dyDescent="0.25">
      <c r="A17" s="14" t="s">
        <v>10</v>
      </c>
      <c r="B17" s="15">
        <v>-28</v>
      </c>
    </row>
    <row r="18" spans="1:2" hidden="1" x14ac:dyDescent="0.25">
      <c r="A18" s="14" t="s">
        <v>10</v>
      </c>
      <c r="B18" s="15">
        <v>-15</v>
      </c>
    </row>
    <row r="19" spans="1:2" hidden="1" x14ac:dyDescent="0.25">
      <c r="A19" s="14" t="s">
        <v>10</v>
      </c>
      <c r="B19" s="15">
        <v>-14</v>
      </c>
    </row>
    <row r="20" spans="1:2" hidden="1" x14ac:dyDescent="0.25">
      <c r="A20" s="14" t="s">
        <v>10</v>
      </c>
      <c r="B20" s="15">
        <v>-8</v>
      </c>
    </row>
    <row r="21" spans="1:2" hidden="1" x14ac:dyDescent="0.25">
      <c r="A21" s="14" t="s">
        <v>10</v>
      </c>
      <c r="B21" s="15">
        <v>-8</v>
      </c>
    </row>
    <row r="22" spans="1:2" hidden="1" x14ac:dyDescent="0.25">
      <c r="A22" s="14" t="s">
        <v>10</v>
      </c>
      <c r="B22" s="15">
        <v>-6</v>
      </c>
    </row>
    <row r="23" spans="1:2" hidden="1" x14ac:dyDescent="0.25">
      <c r="A23" s="14" t="s">
        <v>10</v>
      </c>
      <c r="B23" s="15">
        <v>-5</v>
      </c>
    </row>
    <row r="24" spans="1:2" hidden="1" x14ac:dyDescent="0.25">
      <c r="A24" s="14" t="s">
        <v>10</v>
      </c>
      <c r="B24" s="15">
        <v>-3</v>
      </c>
    </row>
    <row r="25" spans="1:2" hidden="1" x14ac:dyDescent="0.25">
      <c r="A25" s="14" t="s">
        <v>10</v>
      </c>
      <c r="B25" s="15">
        <v>-2</v>
      </c>
    </row>
    <row r="26" spans="1:2" hidden="1" x14ac:dyDescent="0.25">
      <c r="A26" s="14" t="s">
        <v>10</v>
      </c>
      <c r="B26" s="15">
        <v>-2</v>
      </c>
    </row>
    <row r="27" spans="1:2" hidden="1" x14ac:dyDescent="0.25">
      <c r="A27" s="14" t="s">
        <v>10</v>
      </c>
      <c r="B27" s="15">
        <v>-2</v>
      </c>
    </row>
    <row r="28" spans="1:2" hidden="1" x14ac:dyDescent="0.25">
      <c r="A28" s="14" t="s">
        <v>10</v>
      </c>
      <c r="B28" s="15">
        <v>-2</v>
      </c>
    </row>
    <row r="29" spans="1:2" hidden="1" x14ac:dyDescent="0.25">
      <c r="A29" s="14" t="s">
        <v>10</v>
      </c>
      <c r="B29" s="15">
        <v>-2</v>
      </c>
    </row>
    <row r="30" spans="1:2" hidden="1" x14ac:dyDescent="0.25">
      <c r="A30" s="14" t="s">
        <v>10</v>
      </c>
      <c r="B30" s="15">
        <v>-1</v>
      </c>
    </row>
    <row r="31" spans="1:2" hidden="1" x14ac:dyDescent="0.25">
      <c r="A31" s="14" t="s">
        <v>10</v>
      </c>
      <c r="B31" s="15">
        <v>-1</v>
      </c>
    </row>
    <row r="32" spans="1:2" hidden="1" x14ac:dyDescent="0.25">
      <c r="A32" s="14" t="s">
        <v>10</v>
      </c>
      <c r="B32" s="15">
        <v>-1</v>
      </c>
    </row>
    <row r="33" spans="1:2" hidden="1" x14ac:dyDescent="0.25">
      <c r="A33" s="14" t="s">
        <v>10</v>
      </c>
      <c r="B33" s="15">
        <v>-1</v>
      </c>
    </row>
    <row r="34" spans="1:2" hidden="1" x14ac:dyDescent="0.25">
      <c r="A34" s="14" t="s">
        <v>10</v>
      </c>
      <c r="B34" s="15">
        <v>-1</v>
      </c>
    </row>
    <row r="35" spans="1:2" hidden="1" x14ac:dyDescent="0.25">
      <c r="A35" s="14" t="s">
        <v>10</v>
      </c>
      <c r="B35" s="15">
        <v>-1</v>
      </c>
    </row>
    <row r="36" spans="1:2" hidden="1" x14ac:dyDescent="0.25">
      <c r="A36" s="14" t="s">
        <v>10</v>
      </c>
      <c r="B36" s="15">
        <v>1</v>
      </c>
    </row>
    <row r="37" spans="1:2" hidden="1" x14ac:dyDescent="0.25">
      <c r="A37" s="14" t="s">
        <v>10</v>
      </c>
      <c r="B37" s="15">
        <v>50</v>
      </c>
    </row>
    <row r="38" spans="1:2" hidden="1" x14ac:dyDescent="0.25">
      <c r="A38" s="14" t="s">
        <v>10</v>
      </c>
      <c r="B38" s="15">
        <v>50</v>
      </c>
    </row>
    <row r="39" spans="1:2" hidden="1" x14ac:dyDescent="0.25">
      <c r="A39" s="14" t="s">
        <v>10</v>
      </c>
      <c r="B39" s="15">
        <v>50</v>
      </c>
    </row>
    <row r="40" spans="1:2" hidden="1" x14ac:dyDescent="0.25">
      <c r="A40" s="14" t="s">
        <v>10</v>
      </c>
      <c r="B40" s="15">
        <v>50</v>
      </c>
    </row>
    <row r="41" spans="1:2" hidden="1" x14ac:dyDescent="0.25">
      <c r="A41" s="14" t="s">
        <v>10</v>
      </c>
      <c r="B41" s="15">
        <v>50</v>
      </c>
    </row>
    <row r="42" spans="1:2" hidden="1" x14ac:dyDescent="0.25">
      <c r="A42" s="14" t="s">
        <v>10</v>
      </c>
      <c r="B42" s="15">
        <v>50</v>
      </c>
    </row>
    <row r="43" spans="1:2" hidden="1" x14ac:dyDescent="0.25">
      <c r="A43" s="14" t="s">
        <v>10</v>
      </c>
      <c r="B43" s="15">
        <v>50</v>
      </c>
    </row>
    <row r="44" spans="1:2" hidden="1" x14ac:dyDescent="0.25">
      <c r="A44" s="14" t="s">
        <v>10</v>
      </c>
      <c r="B44" s="15">
        <v>50</v>
      </c>
    </row>
    <row r="45" spans="1:2" hidden="1" x14ac:dyDescent="0.25">
      <c r="A45" s="14" t="s">
        <v>10</v>
      </c>
      <c r="B45" s="15">
        <v>50</v>
      </c>
    </row>
    <row r="46" spans="1:2" hidden="1" x14ac:dyDescent="0.25">
      <c r="A46" s="14" t="s">
        <v>10</v>
      </c>
      <c r="B46" s="15">
        <v>50</v>
      </c>
    </row>
    <row r="47" spans="1:2" hidden="1" x14ac:dyDescent="0.25">
      <c r="A47" s="14" t="s">
        <v>10</v>
      </c>
      <c r="B47" s="15">
        <v>50</v>
      </c>
    </row>
    <row r="48" spans="1:2" hidden="1" x14ac:dyDescent="0.25">
      <c r="A48" s="14" t="s">
        <v>10</v>
      </c>
      <c r="B48" s="15">
        <v>50</v>
      </c>
    </row>
    <row r="49" spans="1:2" hidden="1" x14ac:dyDescent="0.25">
      <c r="A49" s="14" t="s">
        <v>10</v>
      </c>
      <c r="B49" s="15">
        <v>50</v>
      </c>
    </row>
    <row r="50" spans="1:2" hidden="1" x14ac:dyDescent="0.25">
      <c r="A50" s="14" t="s">
        <v>10</v>
      </c>
      <c r="B50" s="15">
        <v>50</v>
      </c>
    </row>
    <row r="51" spans="1:2" hidden="1" x14ac:dyDescent="0.25">
      <c r="A51" s="14" t="s">
        <v>10</v>
      </c>
      <c r="B51" s="15">
        <v>50</v>
      </c>
    </row>
    <row r="52" spans="1:2" hidden="1" x14ac:dyDescent="0.25">
      <c r="A52" s="14" t="s">
        <v>10</v>
      </c>
      <c r="B52" s="15">
        <v>50</v>
      </c>
    </row>
    <row r="53" spans="1:2" hidden="1" x14ac:dyDescent="0.25">
      <c r="A53" s="14" t="s">
        <v>10</v>
      </c>
      <c r="B53" s="15">
        <v>50</v>
      </c>
    </row>
    <row r="54" spans="1:2" hidden="1" x14ac:dyDescent="0.25">
      <c r="A54" s="14" t="s">
        <v>10</v>
      </c>
      <c r="B54" s="15">
        <v>50</v>
      </c>
    </row>
    <row r="55" spans="1:2" hidden="1" x14ac:dyDescent="0.25">
      <c r="A55" s="14" t="s">
        <v>10</v>
      </c>
      <c r="B55" s="15">
        <v>50</v>
      </c>
    </row>
    <row r="56" spans="1:2" hidden="1" x14ac:dyDescent="0.25">
      <c r="A56" s="14" t="s">
        <v>10</v>
      </c>
      <c r="B56" s="15">
        <v>50</v>
      </c>
    </row>
    <row r="57" spans="1:2" hidden="1" x14ac:dyDescent="0.25">
      <c r="A57" s="14" t="s">
        <v>10</v>
      </c>
      <c r="B57" s="15">
        <v>50</v>
      </c>
    </row>
    <row r="58" spans="1:2" hidden="1" x14ac:dyDescent="0.25">
      <c r="A58" s="14" t="s">
        <v>10</v>
      </c>
      <c r="B58" s="15">
        <v>50</v>
      </c>
    </row>
    <row r="59" spans="1:2" hidden="1" x14ac:dyDescent="0.25">
      <c r="A59" s="14" t="s">
        <v>10</v>
      </c>
      <c r="B59" s="15">
        <v>50</v>
      </c>
    </row>
    <row r="60" spans="1:2" hidden="1" x14ac:dyDescent="0.25">
      <c r="A60" s="14" t="s">
        <v>10</v>
      </c>
      <c r="B60" s="15">
        <v>50</v>
      </c>
    </row>
    <row r="61" spans="1:2" hidden="1" x14ac:dyDescent="0.25">
      <c r="A61" s="14" t="s">
        <v>10</v>
      </c>
      <c r="B61" s="15">
        <v>57</v>
      </c>
    </row>
    <row r="62" spans="1:2" hidden="1" x14ac:dyDescent="0.25">
      <c r="A62" s="14" t="s">
        <v>10</v>
      </c>
      <c r="B62" s="15">
        <v>1302</v>
      </c>
    </row>
    <row r="63" spans="1:2" hidden="1" x14ac:dyDescent="0.25">
      <c r="A63" s="14" t="s">
        <v>10</v>
      </c>
      <c r="B63" s="15">
        <v>5000</v>
      </c>
    </row>
    <row r="64" spans="1:2" hidden="1" x14ac:dyDescent="0.25">
      <c r="A64" s="14" t="s">
        <v>10</v>
      </c>
      <c r="B64" s="15">
        <v>78200</v>
      </c>
    </row>
    <row r="65" spans="1:2" x14ac:dyDescent="0.25">
      <c r="A65" t="s">
        <v>19</v>
      </c>
      <c r="B65" s="13">
        <v>5169</v>
      </c>
    </row>
    <row r="66" spans="1:2" x14ac:dyDescent="0.25">
      <c r="A66" t="s">
        <v>12</v>
      </c>
      <c r="B66" s="13">
        <v>2231</v>
      </c>
    </row>
    <row r="67" spans="1:2" x14ac:dyDescent="0.25">
      <c r="A67" t="s">
        <v>15</v>
      </c>
      <c r="B67" s="13">
        <v>1964</v>
      </c>
    </row>
    <row r="68" spans="1:2" x14ac:dyDescent="0.25">
      <c r="A68" t="s">
        <v>26</v>
      </c>
      <c r="B68" s="13">
        <v>105</v>
      </c>
    </row>
    <row r="69" spans="1:2" x14ac:dyDescent="0.25">
      <c r="A69" t="s">
        <v>36</v>
      </c>
      <c r="B69" s="13">
        <v>166</v>
      </c>
    </row>
    <row r="70" spans="1:2" x14ac:dyDescent="0.25">
      <c r="A70" t="s">
        <v>27</v>
      </c>
      <c r="B70" s="13">
        <v>1232</v>
      </c>
    </row>
    <row r="71" spans="1:2" x14ac:dyDescent="0.25">
      <c r="A71" t="s">
        <v>28</v>
      </c>
      <c r="B71" s="13">
        <v>1141</v>
      </c>
    </row>
    <row r="72" spans="1:2" x14ac:dyDescent="0.25">
      <c r="A72" t="s">
        <v>77</v>
      </c>
      <c r="B72" s="13">
        <v>374</v>
      </c>
    </row>
    <row r="73" spans="1:2" x14ac:dyDescent="0.25">
      <c r="A73" t="s">
        <v>74</v>
      </c>
      <c r="B73" s="13">
        <v>1699</v>
      </c>
    </row>
    <row r="74" spans="1:2" x14ac:dyDescent="0.25">
      <c r="A74" t="s">
        <v>68</v>
      </c>
      <c r="B74" s="13">
        <v>434</v>
      </c>
    </row>
    <row r="75" spans="1:2" x14ac:dyDescent="0.25">
      <c r="A75" t="s">
        <v>65</v>
      </c>
      <c r="B75" s="13">
        <v>969</v>
      </c>
    </row>
    <row r="76" spans="1:2" x14ac:dyDescent="0.25">
      <c r="A76" t="s">
        <v>72</v>
      </c>
      <c r="B76" s="13">
        <v>404</v>
      </c>
    </row>
    <row r="77" spans="1:2" x14ac:dyDescent="0.25">
      <c r="A77" t="s">
        <v>20</v>
      </c>
      <c r="B77" s="13">
        <v>4118</v>
      </c>
    </row>
    <row r="78" spans="1:2" x14ac:dyDescent="0.25">
      <c r="A78" t="s">
        <v>16</v>
      </c>
      <c r="B78" s="13">
        <v>1282</v>
      </c>
    </row>
    <row r="79" spans="1:2" x14ac:dyDescent="0.25">
      <c r="A79" t="s">
        <v>48</v>
      </c>
      <c r="B79" s="13">
        <v>3970</v>
      </c>
    </row>
    <row r="80" spans="1:2" x14ac:dyDescent="0.25">
      <c r="A80" t="s">
        <v>29</v>
      </c>
      <c r="B80" s="13">
        <v>105</v>
      </c>
    </row>
    <row r="81" spans="1:2" x14ac:dyDescent="0.25">
      <c r="A81" t="s">
        <v>84</v>
      </c>
      <c r="B81" s="13">
        <v>1236</v>
      </c>
    </row>
    <row r="82" spans="1:2" x14ac:dyDescent="0.25">
      <c r="A82" t="s">
        <v>23</v>
      </c>
      <c r="B82" s="13">
        <v>1013</v>
      </c>
    </row>
    <row r="83" spans="1:2" x14ac:dyDescent="0.25">
      <c r="A83" t="s">
        <v>32</v>
      </c>
      <c r="B83" s="13">
        <v>231</v>
      </c>
    </row>
    <row r="84" spans="1:2" x14ac:dyDescent="0.25">
      <c r="A84" t="s">
        <v>39</v>
      </c>
      <c r="B84" s="13">
        <v>2061</v>
      </c>
    </row>
    <row r="85" spans="1:2" x14ac:dyDescent="0.25">
      <c r="A85" t="s">
        <v>44</v>
      </c>
      <c r="B85" s="13">
        <v>1579</v>
      </c>
    </row>
    <row r="86" spans="1:2" x14ac:dyDescent="0.25">
      <c r="A86" t="s">
        <v>40</v>
      </c>
      <c r="B86" s="13">
        <v>344</v>
      </c>
    </row>
    <row r="87" spans="1:2" x14ac:dyDescent="0.25">
      <c r="A87" t="s">
        <v>33</v>
      </c>
      <c r="B87" s="13">
        <v>762</v>
      </c>
    </row>
    <row r="88" spans="1:2" x14ac:dyDescent="0.25">
      <c r="A88" t="s">
        <v>54</v>
      </c>
      <c r="B88" s="13">
        <v>339</v>
      </c>
    </row>
    <row r="89" spans="1:2" x14ac:dyDescent="0.25">
      <c r="A89" t="s">
        <v>55</v>
      </c>
      <c r="B89" s="13">
        <v>204</v>
      </c>
    </row>
    <row r="90" spans="1:2" x14ac:dyDescent="0.25">
      <c r="A90" t="s">
        <v>41</v>
      </c>
      <c r="B90" s="13">
        <v>1059</v>
      </c>
    </row>
    <row r="91" spans="1:2" x14ac:dyDescent="0.25">
      <c r="A91" t="s">
        <v>45</v>
      </c>
      <c r="B91" s="13">
        <v>1619</v>
      </c>
    </row>
    <row r="92" spans="1:2" x14ac:dyDescent="0.25">
      <c r="A92" t="s">
        <v>51</v>
      </c>
      <c r="B92" s="13">
        <v>779</v>
      </c>
    </row>
    <row r="93" spans="1:2" x14ac:dyDescent="0.25">
      <c r="A93" t="s">
        <v>56</v>
      </c>
      <c r="B93" s="13">
        <v>111</v>
      </c>
    </row>
    <row r="94" spans="1:2" x14ac:dyDescent="0.25">
      <c r="A94" t="s">
        <v>57</v>
      </c>
      <c r="B94" s="13">
        <v>339</v>
      </c>
    </row>
    <row r="95" spans="1:2" x14ac:dyDescent="0.25">
      <c r="A95" t="s">
        <v>69</v>
      </c>
      <c r="B95" s="13">
        <v>-385</v>
      </c>
    </row>
    <row r="96" spans="1:2" x14ac:dyDescent="0.25">
      <c r="A96" t="s">
        <v>89</v>
      </c>
      <c r="B96" s="13">
        <v>3</v>
      </c>
    </row>
    <row r="97" spans="1:2" x14ac:dyDescent="0.25">
      <c r="A97" t="s">
        <v>91</v>
      </c>
      <c r="B97" s="13">
        <v>4371</v>
      </c>
    </row>
    <row r="98" spans="1:2" x14ac:dyDescent="0.25">
      <c r="A98" t="s">
        <v>92</v>
      </c>
      <c r="B98" s="13">
        <v>81</v>
      </c>
    </row>
    <row r="99" spans="1:2" x14ac:dyDescent="0.25">
      <c r="A99" t="s">
        <v>60</v>
      </c>
      <c r="B99" s="13">
        <v>536</v>
      </c>
    </row>
    <row r="100" spans="1:2" x14ac:dyDescent="0.25">
      <c r="A100" t="s">
        <v>63</v>
      </c>
      <c r="B100" s="13">
        <v>1</v>
      </c>
    </row>
    <row r="101" spans="1:2" x14ac:dyDescent="0.25">
      <c r="A101" t="s">
        <v>125</v>
      </c>
      <c r="B101" s="13">
        <v>-57</v>
      </c>
    </row>
    <row r="102" spans="1:2" x14ac:dyDescent="0.25">
      <c r="A102" t="s">
        <v>109</v>
      </c>
      <c r="B102" s="13">
        <v>99</v>
      </c>
    </row>
    <row r="103" spans="1:2" x14ac:dyDescent="0.25">
      <c r="A103" t="s">
        <v>206</v>
      </c>
      <c r="B103" s="13">
        <v>90000</v>
      </c>
    </row>
    <row r="104" spans="1:2" x14ac:dyDescent="0.25">
      <c r="A104" t="s">
        <v>177</v>
      </c>
      <c r="B104" s="13">
        <v>1859</v>
      </c>
    </row>
    <row r="105" spans="1:2" x14ac:dyDescent="0.25">
      <c r="A105" t="s">
        <v>178</v>
      </c>
      <c r="B105" s="13">
        <v>-1859</v>
      </c>
    </row>
    <row r="106" spans="1:2" x14ac:dyDescent="0.25">
      <c r="A106" t="s">
        <v>87</v>
      </c>
      <c r="B106" s="13">
        <v>1</v>
      </c>
    </row>
    <row r="107" spans="1:2" x14ac:dyDescent="0.25">
      <c r="A107" t="s">
        <v>218</v>
      </c>
      <c r="B107" s="13">
        <v>3720</v>
      </c>
    </row>
    <row r="108" spans="1:2" x14ac:dyDescent="0.25">
      <c r="A108" t="s">
        <v>257</v>
      </c>
      <c r="B108" s="13">
        <v>2</v>
      </c>
    </row>
    <row r="109" spans="1:2" x14ac:dyDescent="0.25">
      <c r="A109" t="s">
        <v>263</v>
      </c>
      <c r="B109" s="13">
        <v>39000</v>
      </c>
    </row>
    <row r="110" spans="1:2" x14ac:dyDescent="0.25">
      <c r="A110" t="s">
        <v>223</v>
      </c>
      <c r="B110" s="13">
        <v>370</v>
      </c>
    </row>
    <row r="111" spans="1:2" x14ac:dyDescent="0.25">
      <c r="A111" t="s">
        <v>161</v>
      </c>
      <c r="B111" s="13">
        <v>1</v>
      </c>
    </row>
    <row r="112" spans="1:2" x14ac:dyDescent="0.25">
      <c r="A112" t="s">
        <v>175</v>
      </c>
      <c r="B112" s="13">
        <v>1</v>
      </c>
    </row>
    <row r="113" spans="1:2" x14ac:dyDescent="0.25">
      <c r="A113" t="s">
        <v>264</v>
      </c>
      <c r="B113" s="13">
        <v>1997</v>
      </c>
    </row>
    <row r="114" spans="1:2" x14ac:dyDescent="0.25">
      <c r="A114" t="s">
        <v>79</v>
      </c>
      <c r="B114" s="13">
        <v>126</v>
      </c>
    </row>
    <row r="115" spans="1:2" x14ac:dyDescent="0.25">
      <c r="A115" t="s">
        <v>224</v>
      </c>
      <c r="B115" s="13">
        <v>453</v>
      </c>
    </row>
    <row r="116" spans="1:2" x14ac:dyDescent="0.25">
      <c r="A116" t="s">
        <v>93</v>
      </c>
      <c r="B116" s="13">
        <v>54</v>
      </c>
    </row>
    <row r="117" spans="1:2" x14ac:dyDescent="0.25">
      <c r="A117" t="s">
        <v>101</v>
      </c>
      <c r="B117" s="13">
        <v>5</v>
      </c>
    </row>
    <row r="118" spans="1:2" x14ac:dyDescent="0.25">
      <c r="A118" t="s">
        <v>172</v>
      </c>
      <c r="B118" s="13">
        <v>6</v>
      </c>
    </row>
    <row r="119" spans="1:2" x14ac:dyDescent="0.25">
      <c r="A119" t="s">
        <v>315</v>
      </c>
      <c r="B119" s="13">
        <v>2839</v>
      </c>
    </row>
    <row r="120" spans="1:2" x14ac:dyDescent="0.25">
      <c r="A120" t="s">
        <v>386</v>
      </c>
      <c r="B120" s="13">
        <v>1994</v>
      </c>
    </row>
    <row r="121" spans="1:2" x14ac:dyDescent="0.25">
      <c r="A121" t="s">
        <v>400</v>
      </c>
      <c r="B121" s="13">
        <v>1251</v>
      </c>
    </row>
    <row r="122" spans="1:2" x14ac:dyDescent="0.25">
      <c r="A122" t="s">
        <v>265</v>
      </c>
      <c r="B122" s="13">
        <v>2257</v>
      </c>
    </row>
    <row r="123" spans="1:2" x14ac:dyDescent="0.25">
      <c r="A123" t="s">
        <v>80</v>
      </c>
      <c r="B123" s="13">
        <v>240</v>
      </c>
    </row>
    <row r="124" spans="1:2" x14ac:dyDescent="0.25">
      <c r="A124" t="s">
        <v>81</v>
      </c>
      <c r="B124" s="13">
        <v>240</v>
      </c>
    </row>
    <row r="125" spans="1:2" x14ac:dyDescent="0.25">
      <c r="A125" t="s">
        <v>408</v>
      </c>
      <c r="B125" s="13">
        <v>23826</v>
      </c>
    </row>
    <row r="126" spans="1:2" x14ac:dyDescent="0.25">
      <c r="A126" t="s">
        <v>418</v>
      </c>
      <c r="B126" s="13">
        <v>95000</v>
      </c>
    </row>
    <row r="127" spans="1:2" x14ac:dyDescent="0.25">
      <c r="A127" t="s">
        <v>413</v>
      </c>
      <c r="B127" s="13">
        <v>115000</v>
      </c>
    </row>
    <row r="128" spans="1:2" x14ac:dyDescent="0.25">
      <c r="A128" t="s">
        <v>425</v>
      </c>
      <c r="B128" s="13">
        <v>111000</v>
      </c>
    </row>
    <row r="129" spans="1:2" x14ac:dyDescent="0.25">
      <c r="A129" t="s">
        <v>429</v>
      </c>
      <c r="B129" s="13">
        <v>55000</v>
      </c>
    </row>
    <row r="130" spans="1:2" x14ac:dyDescent="0.25">
      <c r="A130" t="s">
        <v>433</v>
      </c>
      <c r="B130" s="13">
        <v>57000</v>
      </c>
    </row>
    <row r="131" spans="1:2" x14ac:dyDescent="0.25">
      <c r="A131" t="s">
        <v>441</v>
      </c>
      <c r="B131" s="13">
        <v>75000</v>
      </c>
    </row>
    <row r="132" spans="1:2" x14ac:dyDescent="0.25">
      <c r="A132" t="s">
        <v>452</v>
      </c>
      <c r="B132" s="13">
        <v>41000</v>
      </c>
    </row>
    <row r="133" spans="1:2" x14ac:dyDescent="0.25">
      <c r="A133" t="s">
        <v>458</v>
      </c>
      <c r="B133" s="13">
        <v>133000</v>
      </c>
    </row>
    <row r="134" spans="1:2" x14ac:dyDescent="0.25">
      <c r="A134" t="s">
        <v>466</v>
      </c>
      <c r="B134" s="13">
        <v>65000</v>
      </c>
    </row>
    <row r="135" spans="1:2" x14ac:dyDescent="0.25">
      <c r="A135" t="s">
        <v>478</v>
      </c>
      <c r="B135" s="13">
        <v>35000</v>
      </c>
    </row>
    <row r="136" spans="1:2" x14ac:dyDescent="0.25">
      <c r="A136" t="s">
        <v>469</v>
      </c>
      <c r="B136" s="13">
        <v>63000</v>
      </c>
    </row>
    <row r="137" spans="1:2" x14ac:dyDescent="0.25">
      <c r="A137" t="s">
        <v>482</v>
      </c>
      <c r="B137" s="13">
        <v>115000</v>
      </c>
    </row>
    <row r="138" spans="1:2" x14ac:dyDescent="0.25">
      <c r="A138" t="s">
        <v>487</v>
      </c>
      <c r="B138" s="13">
        <v>85000</v>
      </c>
    </row>
    <row r="139" spans="1:2" x14ac:dyDescent="0.25">
      <c r="A139" t="s">
        <v>225</v>
      </c>
      <c r="B139" s="13">
        <v>133</v>
      </c>
    </row>
    <row r="140" spans="1:2" x14ac:dyDescent="0.25">
      <c r="A140" t="s">
        <v>316</v>
      </c>
      <c r="B140" s="13">
        <v>2861</v>
      </c>
    </row>
    <row r="141" spans="1:2" x14ac:dyDescent="0.25">
      <c r="A141" t="s">
        <v>94</v>
      </c>
      <c r="B141" s="13">
        <v>744</v>
      </c>
    </row>
    <row r="142" spans="1:2" x14ac:dyDescent="0.25">
      <c r="A142" t="s">
        <v>103</v>
      </c>
      <c r="B142" s="13">
        <v>8</v>
      </c>
    </row>
    <row r="143" spans="1:2" x14ac:dyDescent="0.25">
      <c r="A143" t="s">
        <v>105</v>
      </c>
      <c r="B143" s="13">
        <v>1</v>
      </c>
    </row>
    <row r="144" spans="1:2" x14ac:dyDescent="0.25">
      <c r="A144" t="s">
        <v>387</v>
      </c>
      <c r="B144" s="13">
        <v>2020</v>
      </c>
    </row>
    <row r="145" spans="1:2" x14ac:dyDescent="0.25">
      <c r="A145" t="s">
        <v>401</v>
      </c>
      <c r="B145" s="13">
        <v>2623</v>
      </c>
    </row>
    <row r="146" spans="1:2" x14ac:dyDescent="0.25">
      <c r="A146" t="s">
        <v>153</v>
      </c>
      <c r="B146" s="13">
        <v>3</v>
      </c>
    </row>
    <row r="147" spans="1:2" x14ac:dyDescent="0.25">
      <c r="A147" t="s">
        <v>496</v>
      </c>
      <c r="B147" s="13">
        <v>53000</v>
      </c>
    </row>
    <row r="148" spans="1:2" x14ac:dyDescent="0.25">
      <c r="A148" t="s">
        <v>499</v>
      </c>
      <c r="B148" s="13">
        <v>35000</v>
      </c>
    </row>
    <row r="149" spans="1:2" x14ac:dyDescent="0.25">
      <c r="A149" t="s">
        <v>506</v>
      </c>
      <c r="B149" s="13">
        <v>55000</v>
      </c>
    </row>
    <row r="150" spans="1:2" x14ac:dyDescent="0.25">
      <c r="A150" t="s">
        <v>509</v>
      </c>
      <c r="B150" s="13">
        <v>135000</v>
      </c>
    </row>
    <row r="151" spans="1:2" x14ac:dyDescent="0.25">
      <c r="A151" t="s">
        <v>516</v>
      </c>
      <c r="B151" s="13">
        <v>75000</v>
      </c>
    </row>
    <row r="152" spans="1:2" x14ac:dyDescent="0.25">
      <c r="A152" t="s">
        <v>519</v>
      </c>
      <c r="B152" s="13">
        <v>39000</v>
      </c>
    </row>
    <row r="153" spans="1:2" x14ac:dyDescent="0.25">
      <c r="A153" t="s">
        <v>524</v>
      </c>
      <c r="B153" s="13">
        <v>61000</v>
      </c>
    </row>
    <row r="154" spans="1:2" x14ac:dyDescent="0.25">
      <c r="A154" t="s">
        <v>538</v>
      </c>
      <c r="B154" s="13">
        <v>55000</v>
      </c>
    </row>
    <row r="155" spans="1:2" x14ac:dyDescent="0.25">
      <c r="A155" t="s">
        <v>530</v>
      </c>
      <c r="B155" s="13">
        <v>51000</v>
      </c>
    </row>
    <row r="156" spans="1:2" x14ac:dyDescent="0.25">
      <c r="A156" t="s">
        <v>541</v>
      </c>
      <c r="B156" s="13">
        <v>45000</v>
      </c>
    </row>
    <row r="157" spans="1:2" x14ac:dyDescent="0.25">
      <c r="A157" t="s">
        <v>548</v>
      </c>
      <c r="B157" s="13">
        <v>51000</v>
      </c>
    </row>
    <row r="158" spans="1:2" x14ac:dyDescent="0.25">
      <c r="A158" t="s">
        <v>554</v>
      </c>
      <c r="B158" s="13">
        <v>55000</v>
      </c>
    </row>
    <row r="159" spans="1:2" x14ac:dyDescent="0.25">
      <c r="A159" t="s">
        <v>563</v>
      </c>
      <c r="B159" s="13">
        <v>39000</v>
      </c>
    </row>
    <row r="160" spans="1:2" x14ac:dyDescent="0.25">
      <c r="A160" t="s">
        <v>569</v>
      </c>
      <c r="B160" s="13">
        <v>35000</v>
      </c>
    </row>
    <row r="161" spans="1:2" x14ac:dyDescent="0.25">
      <c r="A161" t="s">
        <v>317</v>
      </c>
      <c r="B161" s="13">
        <v>2769</v>
      </c>
    </row>
    <row r="162" spans="1:2" x14ac:dyDescent="0.25">
      <c r="A162" t="s">
        <v>243</v>
      </c>
      <c r="B162" s="13">
        <v>6</v>
      </c>
    </row>
    <row r="163" spans="1:2" x14ac:dyDescent="0.25">
      <c r="A163" t="s">
        <v>95</v>
      </c>
      <c r="B163" s="13">
        <v>388</v>
      </c>
    </row>
    <row r="164" spans="1:2" x14ac:dyDescent="0.25">
      <c r="A164" t="s">
        <v>388</v>
      </c>
      <c r="B164" s="13">
        <v>1571</v>
      </c>
    </row>
    <row r="165" spans="1:2" x14ac:dyDescent="0.25">
      <c r="A165" t="s">
        <v>402</v>
      </c>
      <c r="B165" s="13">
        <v>617</v>
      </c>
    </row>
    <row r="166" spans="1:2" x14ac:dyDescent="0.25">
      <c r="A166" t="s">
        <v>574</v>
      </c>
      <c r="B166" s="13">
        <v>113000</v>
      </c>
    </row>
    <row r="167" spans="1:2" x14ac:dyDescent="0.25">
      <c r="A167" t="s">
        <v>581</v>
      </c>
      <c r="B167" s="13">
        <v>58900</v>
      </c>
    </row>
    <row r="168" spans="1:2" x14ac:dyDescent="0.25">
      <c r="A168" t="s">
        <v>578</v>
      </c>
      <c r="B168" s="13">
        <v>45000</v>
      </c>
    </row>
    <row r="169" spans="1:2" x14ac:dyDescent="0.25">
      <c r="A169" t="s">
        <v>596</v>
      </c>
      <c r="B169" s="13">
        <v>39000</v>
      </c>
    </row>
    <row r="170" spans="1:2" x14ac:dyDescent="0.25">
      <c r="A170" t="s">
        <v>607</v>
      </c>
      <c r="B170" s="13">
        <v>85990</v>
      </c>
    </row>
    <row r="171" spans="1:2" x14ac:dyDescent="0.25">
      <c r="A171" t="s">
        <v>603</v>
      </c>
      <c r="B171" s="13">
        <v>85000</v>
      </c>
    </row>
    <row r="172" spans="1:2" x14ac:dyDescent="0.25">
      <c r="A172" t="s">
        <v>615</v>
      </c>
      <c r="B172" s="13">
        <v>65000</v>
      </c>
    </row>
    <row r="173" spans="1:2" x14ac:dyDescent="0.25">
      <c r="A173" t="s">
        <v>625</v>
      </c>
      <c r="B173" s="13">
        <v>39000</v>
      </c>
    </row>
    <row r="174" spans="1:2" x14ac:dyDescent="0.25">
      <c r="A174" t="s">
        <v>629</v>
      </c>
      <c r="B174" s="13">
        <v>75000</v>
      </c>
    </row>
    <row r="175" spans="1:2" x14ac:dyDescent="0.25">
      <c r="A175" t="s">
        <v>637</v>
      </c>
      <c r="B175" s="13">
        <v>195000</v>
      </c>
    </row>
    <row r="176" spans="1:2" x14ac:dyDescent="0.25">
      <c r="A176" t="s">
        <v>644</v>
      </c>
      <c r="B176" s="13">
        <v>55000</v>
      </c>
    </row>
    <row r="177" spans="1:2" x14ac:dyDescent="0.25">
      <c r="A177" t="s">
        <v>664</v>
      </c>
      <c r="B177" s="13">
        <v>175000</v>
      </c>
    </row>
    <row r="178" spans="1:2" x14ac:dyDescent="0.25">
      <c r="A178" t="s">
        <v>672</v>
      </c>
      <c r="B178" s="13">
        <v>89000</v>
      </c>
    </row>
    <row r="179" spans="1:2" x14ac:dyDescent="0.25">
      <c r="A179" t="s">
        <v>655</v>
      </c>
      <c r="B179" s="13">
        <v>75000</v>
      </c>
    </row>
    <row r="180" spans="1:2" x14ac:dyDescent="0.25">
      <c r="A180" t="s">
        <v>679</v>
      </c>
      <c r="B180" s="13">
        <v>65000</v>
      </c>
    </row>
    <row r="181" spans="1:2" x14ac:dyDescent="0.25">
      <c r="A181" t="s">
        <v>683</v>
      </c>
      <c r="B181" s="13">
        <v>43000</v>
      </c>
    </row>
    <row r="182" spans="1:2" x14ac:dyDescent="0.25">
      <c r="A182" t="s">
        <v>687</v>
      </c>
      <c r="B182" s="13">
        <v>51000</v>
      </c>
    </row>
    <row r="183" spans="1:2" x14ac:dyDescent="0.25">
      <c r="A183" t="s">
        <v>691</v>
      </c>
      <c r="B183" s="13">
        <v>155000</v>
      </c>
    </row>
    <row r="184" spans="1:2" x14ac:dyDescent="0.25">
      <c r="A184" t="s">
        <v>697</v>
      </c>
      <c r="B184" s="13">
        <v>45000</v>
      </c>
    </row>
    <row r="185" spans="1:2" x14ac:dyDescent="0.25">
      <c r="A185" t="s">
        <v>694</v>
      </c>
      <c r="B185" s="13">
        <v>35000</v>
      </c>
    </row>
    <row r="186" spans="1:2" x14ac:dyDescent="0.25">
      <c r="A186" t="s">
        <v>701</v>
      </c>
      <c r="B186" s="13">
        <v>59000</v>
      </c>
    </row>
    <row r="187" spans="1:2" x14ac:dyDescent="0.25">
      <c r="A187" t="s">
        <v>710</v>
      </c>
      <c r="B187" s="13">
        <v>95000</v>
      </c>
    </row>
    <row r="188" spans="1:2" x14ac:dyDescent="0.25">
      <c r="A188" t="s">
        <v>720</v>
      </c>
      <c r="B188" s="13">
        <v>65000</v>
      </c>
    </row>
    <row r="189" spans="1:2" x14ac:dyDescent="0.25">
      <c r="A189" t="s">
        <v>715</v>
      </c>
      <c r="B189" s="13">
        <v>53000</v>
      </c>
    </row>
    <row r="190" spans="1:2" x14ac:dyDescent="0.25">
      <c r="A190" t="s">
        <v>727</v>
      </c>
      <c r="B190" s="13">
        <v>55000</v>
      </c>
    </row>
    <row r="191" spans="1:2" x14ac:dyDescent="0.25">
      <c r="A191" t="s">
        <v>180</v>
      </c>
      <c r="B191" s="13">
        <v>5938</v>
      </c>
    </row>
    <row r="192" spans="1:2" x14ac:dyDescent="0.25">
      <c r="A192" t="s">
        <v>318</v>
      </c>
      <c r="B192" s="13">
        <v>2372</v>
      </c>
    </row>
    <row r="193" spans="1:2" x14ac:dyDescent="0.25">
      <c r="A193" t="s">
        <v>96</v>
      </c>
      <c r="B193" s="13">
        <v>2663</v>
      </c>
    </row>
    <row r="194" spans="1:2" x14ac:dyDescent="0.25">
      <c r="A194" t="s">
        <v>442</v>
      </c>
      <c r="B194" s="13">
        <v>-1118</v>
      </c>
    </row>
    <row r="195" spans="1:2" x14ac:dyDescent="0.25">
      <c r="A195" t="s">
        <v>389</v>
      </c>
      <c r="B195" s="13">
        <v>1649</v>
      </c>
    </row>
    <row r="196" spans="1:2" x14ac:dyDescent="0.25">
      <c r="A196" t="s">
        <v>403</v>
      </c>
      <c r="B196" s="13">
        <v>614</v>
      </c>
    </row>
    <row r="197" spans="1:2" x14ac:dyDescent="0.25">
      <c r="A197" t="s">
        <v>808</v>
      </c>
      <c r="B197" s="13">
        <v>2345</v>
      </c>
    </row>
    <row r="198" spans="1:2" x14ac:dyDescent="0.25">
      <c r="A198" t="s">
        <v>733</v>
      </c>
      <c r="B198" s="13">
        <v>68603</v>
      </c>
    </row>
    <row r="199" spans="1:2" x14ac:dyDescent="0.25">
      <c r="A199" t="s">
        <v>737</v>
      </c>
      <c r="B199" s="13">
        <v>53430</v>
      </c>
    </row>
    <row r="200" spans="1:2" x14ac:dyDescent="0.25">
      <c r="A200" t="s">
        <v>745</v>
      </c>
      <c r="B200" s="13">
        <v>34644</v>
      </c>
    </row>
    <row r="201" spans="1:2" x14ac:dyDescent="0.25">
      <c r="A201" t="s">
        <v>753</v>
      </c>
      <c r="B201" s="13">
        <v>94700</v>
      </c>
    </row>
    <row r="202" spans="1:2" x14ac:dyDescent="0.25">
      <c r="A202" t="s">
        <v>766</v>
      </c>
      <c r="B202" s="13">
        <v>41000</v>
      </c>
    </row>
    <row r="203" spans="1:2" x14ac:dyDescent="0.25">
      <c r="A203" t="s">
        <v>761</v>
      </c>
      <c r="B203" s="13">
        <v>155000</v>
      </c>
    </row>
    <row r="204" spans="1:2" x14ac:dyDescent="0.25">
      <c r="A204" t="s">
        <v>798</v>
      </c>
      <c r="B204" s="13">
        <v>35000</v>
      </c>
    </row>
    <row r="205" spans="1:2" x14ac:dyDescent="0.25">
      <c r="A205" t="s">
        <v>787</v>
      </c>
      <c r="B205" s="13">
        <v>47000</v>
      </c>
    </row>
    <row r="206" spans="1:2" x14ac:dyDescent="0.25">
      <c r="A206" t="s">
        <v>777</v>
      </c>
      <c r="B206" s="13">
        <v>445000</v>
      </c>
    </row>
    <row r="207" spans="1:2" x14ac:dyDescent="0.25">
      <c r="A207" t="s">
        <v>803</v>
      </c>
      <c r="B207" s="13">
        <v>215000</v>
      </c>
    </row>
    <row r="208" spans="1:2" x14ac:dyDescent="0.25">
      <c r="A208" t="s">
        <v>809</v>
      </c>
      <c r="B208" s="13">
        <v>92655</v>
      </c>
    </row>
    <row r="209" spans="1:2" x14ac:dyDescent="0.25">
      <c r="A209" t="s">
        <v>820</v>
      </c>
      <c r="B209" s="13">
        <v>155000</v>
      </c>
    </row>
    <row r="210" spans="1:2" x14ac:dyDescent="0.25">
      <c r="A210" t="s">
        <v>835</v>
      </c>
      <c r="B210" s="13">
        <v>91000</v>
      </c>
    </row>
    <row r="211" spans="1:2" x14ac:dyDescent="0.25">
      <c r="A211" t="s">
        <v>829</v>
      </c>
      <c r="B211" s="13">
        <v>45000</v>
      </c>
    </row>
    <row r="212" spans="1:2" x14ac:dyDescent="0.25">
      <c r="A212" t="s">
        <v>846</v>
      </c>
      <c r="B212" s="13">
        <v>59000</v>
      </c>
    </row>
    <row r="213" spans="1:2" x14ac:dyDescent="0.25">
      <c r="A213" t="s">
        <v>857</v>
      </c>
      <c r="B213" s="13">
        <v>65000</v>
      </c>
    </row>
    <row r="214" spans="1:2" x14ac:dyDescent="0.25">
      <c r="A214" t="s">
        <v>864</v>
      </c>
      <c r="B214" s="13">
        <v>155000</v>
      </c>
    </row>
    <row r="215" spans="1:2" x14ac:dyDescent="0.25">
      <c r="A215" t="s">
        <v>869</v>
      </c>
      <c r="B215" s="13">
        <v>19000</v>
      </c>
    </row>
    <row r="216" spans="1:2" x14ac:dyDescent="0.25">
      <c r="A216" t="s">
        <v>874</v>
      </c>
      <c r="B216" s="13">
        <v>55000</v>
      </c>
    </row>
    <row r="217" spans="1:2" x14ac:dyDescent="0.25">
      <c r="A217" t="s">
        <v>207</v>
      </c>
      <c r="B217" s="13">
        <v>-90001</v>
      </c>
    </row>
    <row r="218" spans="1:2" x14ac:dyDescent="0.25">
      <c r="A218" t="s">
        <v>236</v>
      </c>
      <c r="B218" s="13">
        <v>119</v>
      </c>
    </row>
    <row r="219" spans="1:2" x14ac:dyDescent="0.25">
      <c r="A219" t="s">
        <v>319</v>
      </c>
      <c r="B219" s="13">
        <v>3953</v>
      </c>
    </row>
    <row r="220" spans="1:2" x14ac:dyDescent="0.25">
      <c r="A220" t="s">
        <v>97</v>
      </c>
      <c r="B220" s="13">
        <v>106</v>
      </c>
    </row>
    <row r="221" spans="1:2" x14ac:dyDescent="0.25">
      <c r="A221" t="s">
        <v>818</v>
      </c>
      <c r="B221" s="13">
        <v>2</v>
      </c>
    </row>
    <row r="222" spans="1:2" x14ac:dyDescent="0.25">
      <c r="A222" t="s">
        <v>830</v>
      </c>
      <c r="B222" s="13">
        <v>180</v>
      </c>
    </row>
    <row r="223" spans="1:2" x14ac:dyDescent="0.25">
      <c r="A223" t="s">
        <v>127</v>
      </c>
      <c r="B223" s="13">
        <v>4509</v>
      </c>
    </row>
    <row r="224" spans="1:2" x14ac:dyDescent="0.25">
      <c r="A224" t="s">
        <v>638</v>
      </c>
      <c r="B224" s="13">
        <v>6</v>
      </c>
    </row>
    <row r="225" spans="1:2" x14ac:dyDescent="0.25">
      <c r="A225" t="s">
        <v>173</v>
      </c>
      <c r="B225" s="13">
        <v>2</v>
      </c>
    </row>
    <row r="226" spans="1:2" x14ac:dyDescent="0.25">
      <c r="A226" t="s">
        <v>211</v>
      </c>
      <c r="B226" s="13">
        <v>1964</v>
      </c>
    </row>
    <row r="227" spans="1:2" x14ac:dyDescent="0.25">
      <c r="A227" t="s">
        <v>479</v>
      </c>
      <c r="B227" s="13">
        <v>34</v>
      </c>
    </row>
    <row r="228" spans="1:2" x14ac:dyDescent="0.25">
      <c r="A228" t="s">
        <v>157</v>
      </c>
      <c r="B228" s="13">
        <v>1531</v>
      </c>
    </row>
    <row r="229" spans="1:2" x14ac:dyDescent="0.25">
      <c r="A229" t="s">
        <v>390</v>
      </c>
      <c r="B229" s="13">
        <v>1500</v>
      </c>
    </row>
    <row r="230" spans="1:2" x14ac:dyDescent="0.25">
      <c r="A230" t="s">
        <v>404</v>
      </c>
      <c r="B230" s="13">
        <v>802</v>
      </c>
    </row>
    <row r="231" spans="1:2" x14ac:dyDescent="0.25">
      <c r="A231" t="s">
        <v>810</v>
      </c>
      <c r="B231" s="13">
        <v>4961</v>
      </c>
    </row>
    <row r="232" spans="1:2" x14ac:dyDescent="0.25">
      <c r="A232" t="s">
        <v>883</v>
      </c>
      <c r="B232" s="13">
        <v>1559</v>
      </c>
    </row>
    <row r="233" spans="1:2" x14ac:dyDescent="0.25">
      <c r="A233" t="s">
        <v>115</v>
      </c>
      <c r="B233" s="13">
        <v>5372</v>
      </c>
    </row>
    <row r="234" spans="1:2" x14ac:dyDescent="0.25">
      <c r="A234" t="s">
        <v>116</v>
      </c>
      <c r="B234" s="13">
        <v>4996</v>
      </c>
    </row>
    <row r="235" spans="1:2" x14ac:dyDescent="0.25">
      <c r="A235" t="s">
        <v>117</v>
      </c>
      <c r="B235" s="13">
        <v>5132</v>
      </c>
    </row>
    <row r="236" spans="1:2" x14ac:dyDescent="0.25">
      <c r="A236" t="s">
        <v>118</v>
      </c>
      <c r="B236" s="13">
        <v>5858</v>
      </c>
    </row>
    <row r="237" spans="1:2" x14ac:dyDescent="0.25">
      <c r="A237" t="s">
        <v>119</v>
      </c>
      <c r="B237" s="13">
        <v>5043</v>
      </c>
    </row>
    <row r="238" spans="1:2" x14ac:dyDescent="0.25">
      <c r="A238" t="s">
        <v>907</v>
      </c>
      <c r="B238" s="13">
        <v>1081</v>
      </c>
    </row>
    <row r="239" spans="1:2" x14ac:dyDescent="0.25">
      <c r="A239" t="s">
        <v>922</v>
      </c>
      <c r="B239" s="13">
        <v>4199</v>
      </c>
    </row>
    <row r="240" spans="1:2" x14ac:dyDescent="0.25">
      <c r="A240" t="s">
        <v>237</v>
      </c>
      <c r="B240" s="13">
        <v>146</v>
      </c>
    </row>
    <row r="241" spans="1:2" x14ac:dyDescent="0.25">
      <c r="A241" t="s">
        <v>320</v>
      </c>
      <c r="B241" s="13">
        <v>3950</v>
      </c>
    </row>
    <row r="242" spans="1:2" x14ac:dyDescent="0.25">
      <c r="A242" t="s">
        <v>963</v>
      </c>
      <c r="B242" s="13">
        <v>775</v>
      </c>
    </row>
    <row r="243" spans="1:2" x14ac:dyDescent="0.25">
      <c r="A243" t="s">
        <v>162</v>
      </c>
      <c r="B243" s="13">
        <v>285</v>
      </c>
    </row>
    <row r="244" spans="1:2" x14ac:dyDescent="0.25">
      <c r="A244" t="s">
        <v>163</v>
      </c>
      <c r="B244" s="13">
        <v>993</v>
      </c>
    </row>
    <row r="245" spans="1:2" x14ac:dyDescent="0.25">
      <c r="A245" t="s">
        <v>128</v>
      </c>
      <c r="B245" s="13">
        <v>4323</v>
      </c>
    </row>
    <row r="246" spans="1:2" x14ac:dyDescent="0.25">
      <c r="A246" t="s">
        <v>949</v>
      </c>
      <c r="B246" s="13">
        <v>432</v>
      </c>
    </row>
    <row r="247" spans="1:2" x14ac:dyDescent="0.25">
      <c r="A247" t="s">
        <v>98</v>
      </c>
      <c r="B247" s="13">
        <v>1778</v>
      </c>
    </row>
    <row r="248" spans="1:2" x14ac:dyDescent="0.25">
      <c r="A248" t="s">
        <v>138</v>
      </c>
      <c r="B248" s="13">
        <v>4276</v>
      </c>
    </row>
    <row r="249" spans="1:2" x14ac:dyDescent="0.25">
      <c r="A249" t="s">
        <v>149</v>
      </c>
      <c r="B249" s="13">
        <v>4696</v>
      </c>
    </row>
    <row r="250" spans="1:2" x14ac:dyDescent="0.25">
      <c r="A250" t="s">
        <v>212</v>
      </c>
      <c r="B250" s="13">
        <v>1886</v>
      </c>
    </row>
    <row r="251" spans="1:2" x14ac:dyDescent="0.25">
      <c r="A251" t="s">
        <v>414</v>
      </c>
      <c r="B251" s="13">
        <v>7695</v>
      </c>
    </row>
    <row r="252" spans="1:2" x14ac:dyDescent="0.25">
      <c r="A252" t="s">
        <v>106</v>
      </c>
      <c r="B252" s="13">
        <v>7037</v>
      </c>
    </row>
    <row r="253" spans="1:2" x14ac:dyDescent="0.25">
      <c r="A253" t="s">
        <v>230</v>
      </c>
      <c r="B253" s="13">
        <v>1379</v>
      </c>
    </row>
    <row r="254" spans="1:2" x14ac:dyDescent="0.25">
      <c r="A254" t="s">
        <v>470</v>
      </c>
      <c r="B254" s="13">
        <v>-5626</v>
      </c>
    </row>
    <row r="255" spans="1:2" x14ac:dyDescent="0.25">
      <c r="A255" t="s">
        <v>977</v>
      </c>
      <c r="B255" s="13">
        <v>804</v>
      </c>
    </row>
    <row r="256" spans="1:2" x14ac:dyDescent="0.25">
      <c r="A256" t="s">
        <v>158</v>
      </c>
      <c r="B256" s="13">
        <v>1454</v>
      </c>
    </row>
    <row r="257" spans="1:2" x14ac:dyDescent="0.25">
      <c r="A257" t="s">
        <v>269</v>
      </c>
      <c r="B257" s="13">
        <v>1</v>
      </c>
    </row>
    <row r="258" spans="1:2" x14ac:dyDescent="0.25">
      <c r="A258" t="s">
        <v>391</v>
      </c>
      <c r="B258" s="13">
        <v>1063</v>
      </c>
    </row>
    <row r="259" spans="1:2" x14ac:dyDescent="0.25">
      <c r="A259" t="s">
        <v>405</v>
      </c>
      <c r="B259" s="13">
        <v>738</v>
      </c>
    </row>
    <row r="260" spans="1:2" x14ac:dyDescent="0.25">
      <c r="A260" t="s">
        <v>811</v>
      </c>
      <c r="B260" s="13">
        <v>4758</v>
      </c>
    </row>
    <row r="261" spans="1:2" x14ac:dyDescent="0.25">
      <c r="A261" t="s">
        <v>154</v>
      </c>
      <c r="B261" s="13">
        <v>10491</v>
      </c>
    </row>
    <row r="262" spans="1:2" x14ac:dyDescent="0.25">
      <c r="A262" t="s">
        <v>1022</v>
      </c>
      <c r="B262" s="13">
        <v>1467</v>
      </c>
    </row>
    <row r="263" spans="1:2" x14ac:dyDescent="0.25">
      <c r="A263" t="s">
        <v>884</v>
      </c>
      <c r="B263" s="13">
        <v>57441</v>
      </c>
    </row>
    <row r="264" spans="1:2" x14ac:dyDescent="0.25">
      <c r="A264" t="s">
        <v>887</v>
      </c>
      <c r="B264" s="13">
        <v>61881</v>
      </c>
    </row>
    <row r="265" spans="1:2" x14ac:dyDescent="0.25">
      <c r="A265" t="s">
        <v>902</v>
      </c>
      <c r="B265" s="13">
        <v>36321</v>
      </c>
    </row>
    <row r="266" spans="1:2" x14ac:dyDescent="0.25">
      <c r="A266" t="s">
        <v>896</v>
      </c>
      <c r="B266" s="13">
        <v>49323</v>
      </c>
    </row>
    <row r="267" spans="1:2" x14ac:dyDescent="0.25">
      <c r="A267" t="s">
        <v>908</v>
      </c>
      <c r="B267" s="13">
        <v>113919</v>
      </c>
    </row>
    <row r="268" spans="1:2" x14ac:dyDescent="0.25">
      <c r="A268" t="s">
        <v>923</v>
      </c>
      <c r="B268" s="13">
        <v>50801</v>
      </c>
    </row>
    <row r="269" spans="1:2" x14ac:dyDescent="0.25">
      <c r="A269" t="s">
        <v>937</v>
      </c>
      <c r="B269" s="13">
        <v>70458</v>
      </c>
    </row>
    <row r="270" spans="1:2" x14ac:dyDescent="0.25">
      <c r="A270" t="s">
        <v>950</v>
      </c>
      <c r="B270" s="13">
        <v>134568</v>
      </c>
    </row>
    <row r="271" spans="1:2" x14ac:dyDescent="0.25">
      <c r="A271" t="s">
        <v>964</v>
      </c>
      <c r="B271" s="13">
        <v>59225</v>
      </c>
    </row>
    <row r="272" spans="1:2" x14ac:dyDescent="0.25">
      <c r="A272" t="s">
        <v>954</v>
      </c>
      <c r="B272" s="13">
        <v>51855</v>
      </c>
    </row>
    <row r="273" spans="1:2" x14ac:dyDescent="0.25">
      <c r="A273" t="s">
        <v>978</v>
      </c>
      <c r="B273" s="13">
        <v>24196</v>
      </c>
    </row>
    <row r="274" spans="1:2" x14ac:dyDescent="0.25">
      <c r="A274" t="s">
        <v>1005</v>
      </c>
      <c r="B274" s="13">
        <v>170819</v>
      </c>
    </row>
    <row r="275" spans="1:2" x14ac:dyDescent="0.25">
      <c r="A275" t="s">
        <v>991</v>
      </c>
      <c r="B275" s="13">
        <v>58000</v>
      </c>
    </row>
    <row r="276" spans="1:2" x14ac:dyDescent="0.25">
      <c r="A276" t="s">
        <v>1023</v>
      </c>
      <c r="B276" s="13">
        <v>29533</v>
      </c>
    </row>
    <row r="277" spans="1:2" x14ac:dyDescent="0.25">
      <c r="A277" t="s">
        <v>1015</v>
      </c>
      <c r="B277" s="13">
        <v>111972</v>
      </c>
    </row>
    <row r="278" spans="1:2" x14ac:dyDescent="0.25">
      <c r="A278" t="s">
        <v>1036</v>
      </c>
      <c r="B278" s="13">
        <v>95000</v>
      </c>
    </row>
    <row r="279" spans="1:2" x14ac:dyDescent="0.25">
      <c r="A279" t="s">
        <v>1047</v>
      </c>
      <c r="B279" s="13">
        <v>55000</v>
      </c>
    </row>
    <row r="280" spans="1:2" x14ac:dyDescent="0.25">
      <c r="A280" t="s">
        <v>1050</v>
      </c>
      <c r="B280" s="13">
        <v>47000</v>
      </c>
    </row>
    <row r="281" spans="1:2" x14ac:dyDescent="0.25">
      <c r="A281" t="s">
        <v>1060</v>
      </c>
      <c r="B281" s="13">
        <v>89000</v>
      </c>
    </row>
    <row r="282" spans="1:2" x14ac:dyDescent="0.25">
      <c r="A282" t="s">
        <v>1074</v>
      </c>
      <c r="B282" s="13">
        <v>115000</v>
      </c>
    </row>
    <row r="283" spans="1:2" x14ac:dyDescent="0.25">
      <c r="A283" t="s">
        <v>1085</v>
      </c>
      <c r="B283" s="13">
        <v>42185</v>
      </c>
    </row>
    <row r="284" spans="1:2" x14ac:dyDescent="0.25">
      <c r="A284" t="s">
        <v>1119</v>
      </c>
      <c r="B284" s="13">
        <v>51000</v>
      </c>
    </row>
    <row r="285" spans="1:2" x14ac:dyDescent="0.25">
      <c r="A285" t="s">
        <v>1125</v>
      </c>
      <c r="B285" s="13">
        <v>85000</v>
      </c>
    </row>
    <row r="286" spans="1:2" x14ac:dyDescent="0.25">
      <c r="A286" t="s">
        <v>1129</v>
      </c>
      <c r="B286" s="13">
        <v>60000</v>
      </c>
    </row>
    <row r="287" spans="1:2" x14ac:dyDescent="0.25">
      <c r="A287" t="s">
        <v>1140</v>
      </c>
      <c r="B287" s="13">
        <v>65000</v>
      </c>
    </row>
    <row r="288" spans="1:2" x14ac:dyDescent="0.25">
      <c r="A288" t="s">
        <v>1153</v>
      </c>
      <c r="B288" s="13">
        <v>45000</v>
      </c>
    </row>
    <row r="289" spans="1:2" x14ac:dyDescent="0.25">
      <c r="A289" t="s">
        <v>1160</v>
      </c>
      <c r="B289" s="13">
        <v>39000</v>
      </c>
    </row>
    <row r="290" spans="1:2" x14ac:dyDescent="0.25">
      <c r="A290" t="s">
        <v>1164</v>
      </c>
      <c r="B290" s="13">
        <v>79000</v>
      </c>
    </row>
    <row r="291" spans="1:2" x14ac:dyDescent="0.25">
      <c r="A291" t="s">
        <v>1190</v>
      </c>
      <c r="B291" s="13">
        <v>45000</v>
      </c>
    </row>
    <row r="292" spans="1:2" x14ac:dyDescent="0.25">
      <c r="A292" t="s">
        <v>1177</v>
      </c>
      <c r="B292" s="13">
        <v>35000</v>
      </c>
    </row>
    <row r="293" spans="1:2" x14ac:dyDescent="0.25">
      <c r="A293" t="s">
        <v>266</v>
      </c>
      <c r="B293" s="13">
        <v>-34000</v>
      </c>
    </row>
    <row r="294" spans="1:2" x14ac:dyDescent="0.25">
      <c r="A294" t="s">
        <v>488</v>
      </c>
      <c r="B294" s="13">
        <v>3374</v>
      </c>
    </row>
    <row r="295" spans="1:2" x14ac:dyDescent="0.25">
      <c r="A295" t="s">
        <v>570</v>
      </c>
      <c r="B295" s="13">
        <v>2422</v>
      </c>
    </row>
    <row r="296" spans="1:2" x14ac:dyDescent="0.25">
      <c r="A296" t="s">
        <v>145</v>
      </c>
      <c r="B296" s="13">
        <v>4942</v>
      </c>
    </row>
    <row r="297" spans="1:2" x14ac:dyDescent="0.25">
      <c r="A297" t="s">
        <v>1037</v>
      </c>
      <c r="B297" s="13">
        <v>719</v>
      </c>
    </row>
    <row r="298" spans="1:2" x14ac:dyDescent="0.25">
      <c r="A298" t="s">
        <v>582</v>
      </c>
      <c r="B298" s="13">
        <v>3615</v>
      </c>
    </row>
    <row r="299" spans="1:2" x14ac:dyDescent="0.25">
      <c r="A299" t="s">
        <v>597</v>
      </c>
      <c r="B299" s="13">
        <v>3443</v>
      </c>
    </row>
    <row r="300" spans="1:2" x14ac:dyDescent="0.25">
      <c r="A300" t="s">
        <v>888</v>
      </c>
      <c r="B300" s="13">
        <v>2356</v>
      </c>
    </row>
    <row r="301" spans="1:2" x14ac:dyDescent="0.25">
      <c r="A301" t="s">
        <v>1041</v>
      </c>
      <c r="B301" s="13">
        <v>2</v>
      </c>
    </row>
    <row r="302" spans="1:2" x14ac:dyDescent="0.25">
      <c r="A302" t="s">
        <v>123</v>
      </c>
      <c r="B302" s="13">
        <v>2</v>
      </c>
    </row>
    <row r="303" spans="1:2" x14ac:dyDescent="0.25">
      <c r="A303" t="s">
        <v>415</v>
      </c>
      <c r="B303" s="13">
        <v>-7696</v>
      </c>
    </row>
    <row r="304" spans="1:2" x14ac:dyDescent="0.25">
      <c r="A304" t="s">
        <v>120</v>
      </c>
      <c r="B304" s="13">
        <v>4483</v>
      </c>
    </row>
    <row r="305" spans="1:2" x14ac:dyDescent="0.25">
      <c r="A305" t="s">
        <v>924</v>
      </c>
      <c r="B305" s="13">
        <v>5445</v>
      </c>
    </row>
    <row r="306" spans="1:2" x14ac:dyDescent="0.25">
      <c r="A306" t="s">
        <v>909</v>
      </c>
      <c r="B306" s="13">
        <v>1676</v>
      </c>
    </row>
    <row r="307" spans="1:2" x14ac:dyDescent="0.25">
      <c r="A307" t="s">
        <v>238</v>
      </c>
      <c r="B307" s="13">
        <v>544</v>
      </c>
    </row>
    <row r="308" spans="1:2" x14ac:dyDescent="0.25">
      <c r="A308" t="s">
        <v>1051</v>
      </c>
      <c r="B308" s="13">
        <v>2571</v>
      </c>
    </row>
    <row r="309" spans="1:2" x14ac:dyDescent="0.25">
      <c r="A309" t="s">
        <v>321</v>
      </c>
      <c r="B309" s="13">
        <v>4636</v>
      </c>
    </row>
    <row r="310" spans="1:2" x14ac:dyDescent="0.25">
      <c r="A310" t="s">
        <v>500</v>
      </c>
      <c r="B310" s="13">
        <v>1899</v>
      </c>
    </row>
    <row r="311" spans="1:2" x14ac:dyDescent="0.25">
      <c r="A311" t="s">
        <v>965</v>
      </c>
      <c r="B311" s="13">
        <v>2047</v>
      </c>
    </row>
    <row r="312" spans="1:2" x14ac:dyDescent="0.25">
      <c r="A312" t="s">
        <v>1061</v>
      </c>
      <c r="B312" s="13">
        <v>4303</v>
      </c>
    </row>
    <row r="313" spans="1:2" x14ac:dyDescent="0.25">
      <c r="A313" t="s">
        <v>164</v>
      </c>
      <c r="B313" s="13">
        <v>1865</v>
      </c>
    </row>
    <row r="314" spans="1:2" x14ac:dyDescent="0.25">
      <c r="A314" t="s">
        <v>645</v>
      </c>
      <c r="B314" s="13">
        <v>2</v>
      </c>
    </row>
    <row r="315" spans="1:2" x14ac:dyDescent="0.25">
      <c r="A315" t="s">
        <v>443</v>
      </c>
      <c r="B315" s="13">
        <v>4626</v>
      </c>
    </row>
    <row r="316" spans="1:2" x14ac:dyDescent="0.25">
      <c r="A316" t="s">
        <v>129</v>
      </c>
      <c r="B316" s="13">
        <v>5739</v>
      </c>
    </row>
    <row r="317" spans="1:2" x14ac:dyDescent="0.25">
      <c r="A317" t="s">
        <v>168</v>
      </c>
      <c r="B317" s="13">
        <v>4850</v>
      </c>
    </row>
    <row r="318" spans="1:2" x14ac:dyDescent="0.25">
      <c r="A318" t="s">
        <v>831</v>
      </c>
      <c r="B318" s="13">
        <v>19</v>
      </c>
    </row>
    <row r="319" spans="1:2" x14ac:dyDescent="0.25">
      <c r="A319" t="s">
        <v>951</v>
      </c>
      <c r="B319" s="13">
        <v>1865</v>
      </c>
    </row>
    <row r="320" spans="1:2" x14ac:dyDescent="0.25">
      <c r="A320" t="s">
        <v>665</v>
      </c>
      <c r="B320" s="13">
        <v>-1908</v>
      </c>
    </row>
    <row r="321" spans="1:2" x14ac:dyDescent="0.25">
      <c r="A321" t="s">
        <v>1161</v>
      </c>
      <c r="B321" s="13">
        <v>3521</v>
      </c>
    </row>
    <row r="322" spans="1:2" x14ac:dyDescent="0.25">
      <c r="A322" t="s">
        <v>150</v>
      </c>
      <c r="B322" s="13">
        <v>3950</v>
      </c>
    </row>
    <row r="323" spans="1:2" x14ac:dyDescent="0.25">
      <c r="A323" t="s">
        <v>992</v>
      </c>
      <c r="B323" s="13">
        <v>1471</v>
      </c>
    </row>
    <row r="324" spans="1:2" x14ac:dyDescent="0.25">
      <c r="A324" t="s">
        <v>993</v>
      </c>
      <c r="B324" s="13">
        <v>2020</v>
      </c>
    </row>
    <row r="325" spans="1:2" x14ac:dyDescent="0.25">
      <c r="A325" t="s">
        <v>231</v>
      </c>
      <c r="B325" s="13">
        <v>492</v>
      </c>
    </row>
    <row r="326" spans="1:2" x14ac:dyDescent="0.25">
      <c r="A326" t="s">
        <v>979</v>
      </c>
      <c r="B326" s="13">
        <v>1423</v>
      </c>
    </row>
    <row r="327" spans="1:2" x14ac:dyDescent="0.25">
      <c r="A327" t="s">
        <v>139</v>
      </c>
      <c r="B327" s="13">
        <v>4586</v>
      </c>
    </row>
    <row r="328" spans="1:2" x14ac:dyDescent="0.25">
      <c r="A328" t="s">
        <v>140</v>
      </c>
      <c r="B328" s="13">
        <v>4679</v>
      </c>
    </row>
    <row r="329" spans="1:2" x14ac:dyDescent="0.25">
      <c r="A329" t="s">
        <v>141</v>
      </c>
      <c r="B329" s="13">
        <v>4381</v>
      </c>
    </row>
    <row r="330" spans="1:2" x14ac:dyDescent="0.25">
      <c r="A330" t="s">
        <v>142</v>
      </c>
      <c r="B330" s="13">
        <v>4717</v>
      </c>
    </row>
    <row r="331" spans="1:2" x14ac:dyDescent="0.25">
      <c r="A331" t="s">
        <v>392</v>
      </c>
      <c r="B331" s="13">
        <v>1700</v>
      </c>
    </row>
    <row r="332" spans="1:2" x14ac:dyDescent="0.25">
      <c r="A332" t="s">
        <v>812</v>
      </c>
      <c r="B332" s="13">
        <v>6392</v>
      </c>
    </row>
    <row r="333" spans="1:2" x14ac:dyDescent="0.25">
      <c r="A333" t="s">
        <v>1165</v>
      </c>
      <c r="B333" s="13">
        <v>6388</v>
      </c>
    </row>
    <row r="334" spans="1:2" x14ac:dyDescent="0.25">
      <c r="A334" t="s">
        <v>1024</v>
      </c>
      <c r="B334" s="13">
        <v>1640</v>
      </c>
    </row>
    <row r="335" spans="1:2" x14ac:dyDescent="0.25">
      <c r="A335" t="s">
        <v>1191</v>
      </c>
      <c r="B335" s="13">
        <v>4602</v>
      </c>
    </row>
    <row r="336" spans="1:2" x14ac:dyDescent="0.25">
      <c r="A336" t="s">
        <v>489</v>
      </c>
      <c r="B336" s="13">
        <v>5402</v>
      </c>
    </row>
    <row r="337" spans="1:2" x14ac:dyDescent="0.25">
      <c r="A337" t="s">
        <v>146</v>
      </c>
      <c r="B337" s="13">
        <v>4754</v>
      </c>
    </row>
    <row r="338" spans="1:2" x14ac:dyDescent="0.25">
      <c r="A338" t="s">
        <v>1038</v>
      </c>
      <c r="B338" s="13">
        <v>13</v>
      </c>
    </row>
    <row r="339" spans="1:2" x14ac:dyDescent="0.25">
      <c r="A339" t="s">
        <v>583</v>
      </c>
      <c r="B339" s="13">
        <v>3693</v>
      </c>
    </row>
    <row r="340" spans="1:2" x14ac:dyDescent="0.25">
      <c r="A340" t="s">
        <v>910</v>
      </c>
      <c r="B340" s="13">
        <v>370</v>
      </c>
    </row>
    <row r="341" spans="1:2" x14ac:dyDescent="0.25">
      <c r="A341" t="s">
        <v>925</v>
      </c>
      <c r="B341" s="13">
        <v>5302</v>
      </c>
    </row>
    <row r="342" spans="1:2" x14ac:dyDescent="0.25">
      <c r="A342" t="s">
        <v>1216</v>
      </c>
      <c r="B342" s="13">
        <v>1063</v>
      </c>
    </row>
    <row r="343" spans="1:2" x14ac:dyDescent="0.25">
      <c r="A343" t="s">
        <v>239</v>
      </c>
      <c r="B343" s="13">
        <v>361</v>
      </c>
    </row>
    <row r="344" spans="1:2" x14ac:dyDescent="0.25">
      <c r="A344" t="s">
        <v>300</v>
      </c>
      <c r="B344" s="13">
        <v>52</v>
      </c>
    </row>
    <row r="345" spans="1:2" x14ac:dyDescent="0.25">
      <c r="A345" t="s">
        <v>1052</v>
      </c>
      <c r="B345" s="13">
        <v>3162</v>
      </c>
    </row>
    <row r="346" spans="1:2" x14ac:dyDescent="0.25">
      <c r="A346" t="s">
        <v>1220</v>
      </c>
      <c r="B346" s="13">
        <v>4551</v>
      </c>
    </row>
    <row r="347" spans="1:2" x14ac:dyDescent="0.25">
      <c r="A347" t="s">
        <v>1233</v>
      </c>
      <c r="B347" s="13">
        <v>735</v>
      </c>
    </row>
    <row r="348" spans="1:2" x14ac:dyDescent="0.25">
      <c r="A348" t="s">
        <v>510</v>
      </c>
      <c r="B348" s="13">
        <v>4592</v>
      </c>
    </row>
    <row r="349" spans="1:2" x14ac:dyDescent="0.25">
      <c r="A349" t="s">
        <v>165</v>
      </c>
      <c r="B349" s="13">
        <v>863</v>
      </c>
    </row>
    <row r="350" spans="1:2" x14ac:dyDescent="0.25">
      <c r="A350" t="s">
        <v>322</v>
      </c>
      <c r="B350" s="13">
        <v>3873</v>
      </c>
    </row>
    <row r="351" spans="1:2" x14ac:dyDescent="0.25">
      <c r="A351" t="s">
        <v>966</v>
      </c>
      <c r="B351" s="13">
        <v>2328</v>
      </c>
    </row>
    <row r="352" spans="1:2" x14ac:dyDescent="0.25">
      <c r="A352" t="s">
        <v>1062</v>
      </c>
      <c r="B352" s="13">
        <v>6062</v>
      </c>
    </row>
    <row r="353" spans="1:2" x14ac:dyDescent="0.25">
      <c r="A353" t="s">
        <v>938</v>
      </c>
      <c r="B353" s="13">
        <v>5585</v>
      </c>
    </row>
    <row r="354" spans="1:2" x14ac:dyDescent="0.25">
      <c r="A354" t="s">
        <v>444</v>
      </c>
      <c r="B354" s="13">
        <v>4534</v>
      </c>
    </row>
    <row r="355" spans="1:2" x14ac:dyDescent="0.25">
      <c r="A355" t="s">
        <v>1319</v>
      </c>
      <c r="B355" s="13">
        <v>478</v>
      </c>
    </row>
    <row r="356" spans="1:2" x14ac:dyDescent="0.25">
      <c r="A356" t="s">
        <v>169</v>
      </c>
      <c r="B356" s="13">
        <v>3888</v>
      </c>
    </row>
    <row r="357" spans="1:2" x14ac:dyDescent="0.25">
      <c r="A357" t="s">
        <v>1331</v>
      </c>
      <c r="B357" s="13">
        <v>293</v>
      </c>
    </row>
    <row r="358" spans="1:2" x14ac:dyDescent="0.25">
      <c r="A358" t="s">
        <v>111</v>
      </c>
      <c r="B358" s="13">
        <v>2</v>
      </c>
    </row>
    <row r="359" spans="1:2" x14ac:dyDescent="0.25">
      <c r="A359" t="s">
        <v>1332</v>
      </c>
      <c r="B359" s="13">
        <v>293</v>
      </c>
    </row>
    <row r="360" spans="1:2" x14ac:dyDescent="0.25">
      <c r="A360" t="s">
        <v>994</v>
      </c>
      <c r="B360" s="13">
        <v>2023</v>
      </c>
    </row>
    <row r="361" spans="1:2" x14ac:dyDescent="0.25">
      <c r="A361" t="s">
        <v>232</v>
      </c>
      <c r="B361" s="13">
        <v>661</v>
      </c>
    </row>
    <row r="362" spans="1:2" x14ac:dyDescent="0.25">
      <c r="A362" t="s">
        <v>1099</v>
      </c>
      <c r="B362" s="13">
        <v>4043</v>
      </c>
    </row>
    <row r="363" spans="1:2" x14ac:dyDescent="0.25">
      <c r="A363" t="s">
        <v>1141</v>
      </c>
      <c r="B363" s="13">
        <v>2633</v>
      </c>
    </row>
    <row r="364" spans="1:2" x14ac:dyDescent="0.25">
      <c r="A364" t="s">
        <v>980</v>
      </c>
      <c r="B364" s="13">
        <v>359</v>
      </c>
    </row>
    <row r="365" spans="1:2" x14ac:dyDescent="0.25">
      <c r="A365" t="s">
        <v>132</v>
      </c>
      <c r="B365" s="13">
        <v>1172</v>
      </c>
    </row>
    <row r="366" spans="1:2" x14ac:dyDescent="0.25">
      <c r="A366" t="s">
        <v>393</v>
      </c>
      <c r="B366" s="13">
        <v>1116</v>
      </c>
    </row>
    <row r="367" spans="1:2" x14ac:dyDescent="0.25">
      <c r="A367" t="s">
        <v>409</v>
      </c>
      <c r="B367" s="13">
        <v>2524</v>
      </c>
    </row>
    <row r="368" spans="1:2" x14ac:dyDescent="0.25">
      <c r="A368" t="s">
        <v>813</v>
      </c>
      <c r="B368" s="13">
        <v>5574</v>
      </c>
    </row>
    <row r="369" spans="1:2" x14ac:dyDescent="0.25">
      <c r="A369" t="s">
        <v>1025</v>
      </c>
      <c r="B369" s="13">
        <v>1491</v>
      </c>
    </row>
    <row r="370" spans="1:2" x14ac:dyDescent="0.25">
      <c r="A370" t="s">
        <v>1166</v>
      </c>
      <c r="B370" s="13">
        <v>8029</v>
      </c>
    </row>
    <row r="371" spans="1:2" x14ac:dyDescent="0.25">
      <c r="A371" t="s">
        <v>1192</v>
      </c>
      <c r="B371" s="13">
        <v>3569</v>
      </c>
    </row>
    <row r="372" spans="1:2" x14ac:dyDescent="0.25">
      <c r="A372" t="s">
        <v>1403</v>
      </c>
      <c r="B372" s="13">
        <v>2591</v>
      </c>
    </row>
    <row r="373" spans="1:2" x14ac:dyDescent="0.25">
      <c r="A373" t="s">
        <v>490</v>
      </c>
      <c r="B373" s="13">
        <v>4587</v>
      </c>
    </row>
    <row r="374" spans="1:2" x14ac:dyDescent="0.25">
      <c r="A374" t="s">
        <v>584</v>
      </c>
      <c r="B374" s="13">
        <v>3409</v>
      </c>
    </row>
    <row r="375" spans="1:2" x14ac:dyDescent="0.25">
      <c r="A375" t="s">
        <v>598</v>
      </c>
      <c r="B375" s="13">
        <v>3228</v>
      </c>
    </row>
    <row r="376" spans="1:2" x14ac:dyDescent="0.25">
      <c r="A376" t="s">
        <v>226</v>
      </c>
      <c r="B376" s="13">
        <v>267</v>
      </c>
    </row>
    <row r="377" spans="1:2" x14ac:dyDescent="0.25">
      <c r="A377" t="s">
        <v>911</v>
      </c>
      <c r="B377" s="13">
        <v>992</v>
      </c>
    </row>
    <row r="378" spans="1:2" x14ac:dyDescent="0.25">
      <c r="A378" t="s">
        <v>926</v>
      </c>
      <c r="B378" s="13">
        <v>3802</v>
      </c>
    </row>
    <row r="379" spans="1:2" x14ac:dyDescent="0.25">
      <c r="A379" t="s">
        <v>1217</v>
      </c>
      <c r="B379" s="13">
        <v>765</v>
      </c>
    </row>
    <row r="380" spans="1:2" x14ac:dyDescent="0.25">
      <c r="A380" t="s">
        <v>240</v>
      </c>
      <c r="B380" s="13">
        <v>209</v>
      </c>
    </row>
    <row r="381" spans="1:2" x14ac:dyDescent="0.25">
      <c r="A381" t="s">
        <v>767</v>
      </c>
      <c r="B381" s="13">
        <v>3814</v>
      </c>
    </row>
    <row r="382" spans="1:2" x14ac:dyDescent="0.25">
      <c r="A382" t="s">
        <v>799</v>
      </c>
      <c r="B382" s="13">
        <v>1445</v>
      </c>
    </row>
    <row r="383" spans="1:2" x14ac:dyDescent="0.25">
      <c r="A383" t="s">
        <v>1053</v>
      </c>
      <c r="B383" s="13">
        <v>2499</v>
      </c>
    </row>
    <row r="384" spans="1:2" x14ac:dyDescent="0.25">
      <c r="A384" t="s">
        <v>1221</v>
      </c>
      <c r="B384" s="13">
        <v>4433</v>
      </c>
    </row>
    <row r="385" spans="1:2" x14ac:dyDescent="0.25">
      <c r="A385" t="s">
        <v>1234</v>
      </c>
      <c r="B385" s="13">
        <v>214</v>
      </c>
    </row>
    <row r="386" spans="1:2" x14ac:dyDescent="0.25">
      <c r="A386" t="s">
        <v>788</v>
      </c>
      <c r="B386" s="13">
        <v>3983</v>
      </c>
    </row>
    <row r="387" spans="1:2" x14ac:dyDescent="0.25">
      <c r="A387" t="s">
        <v>804</v>
      </c>
      <c r="B387" s="13">
        <v>19293</v>
      </c>
    </row>
    <row r="388" spans="1:2" x14ac:dyDescent="0.25">
      <c r="A388" t="s">
        <v>1430</v>
      </c>
      <c r="B388" s="13">
        <v>2485</v>
      </c>
    </row>
    <row r="389" spans="1:2" x14ac:dyDescent="0.25">
      <c r="A389" t="s">
        <v>501</v>
      </c>
      <c r="B389" s="13">
        <v>1623</v>
      </c>
    </row>
    <row r="390" spans="1:2" x14ac:dyDescent="0.25">
      <c r="A390" t="s">
        <v>511</v>
      </c>
      <c r="B390" s="13">
        <v>3324</v>
      </c>
    </row>
    <row r="391" spans="1:2" x14ac:dyDescent="0.25">
      <c r="A391" t="s">
        <v>555</v>
      </c>
      <c r="B391" s="13">
        <v>3937</v>
      </c>
    </row>
    <row r="392" spans="1:2" x14ac:dyDescent="0.25">
      <c r="A392" t="s">
        <v>309</v>
      </c>
      <c r="B392" s="13">
        <v>644</v>
      </c>
    </row>
    <row r="393" spans="1:2" x14ac:dyDescent="0.25">
      <c r="A393" t="s">
        <v>323</v>
      </c>
      <c r="B393" s="13">
        <v>3641</v>
      </c>
    </row>
    <row r="394" spans="1:2" x14ac:dyDescent="0.25">
      <c r="A394" t="s">
        <v>967</v>
      </c>
      <c r="B394" s="13">
        <v>1561</v>
      </c>
    </row>
    <row r="395" spans="1:2" x14ac:dyDescent="0.25">
      <c r="A395" t="s">
        <v>1063</v>
      </c>
      <c r="B395" s="13">
        <v>5325</v>
      </c>
    </row>
    <row r="396" spans="1:2" x14ac:dyDescent="0.25">
      <c r="A396" t="s">
        <v>646</v>
      </c>
      <c r="B396" s="13">
        <v>927</v>
      </c>
    </row>
    <row r="397" spans="1:2" x14ac:dyDescent="0.25">
      <c r="A397" t="s">
        <v>939</v>
      </c>
      <c r="B397" s="13">
        <v>4864</v>
      </c>
    </row>
    <row r="398" spans="1:2" x14ac:dyDescent="0.25">
      <c r="A398" t="s">
        <v>445</v>
      </c>
      <c r="B398" s="13">
        <v>4695</v>
      </c>
    </row>
    <row r="399" spans="1:2" x14ac:dyDescent="0.25">
      <c r="A399" t="s">
        <v>1320</v>
      </c>
      <c r="B399" s="13">
        <v>501</v>
      </c>
    </row>
    <row r="400" spans="1:2" x14ac:dyDescent="0.25">
      <c r="A400" t="s">
        <v>1321</v>
      </c>
      <c r="B400" s="13">
        <v>501</v>
      </c>
    </row>
    <row r="401" spans="1:2" x14ac:dyDescent="0.25">
      <c r="A401" t="s">
        <v>1454</v>
      </c>
      <c r="B401" s="13">
        <v>5821</v>
      </c>
    </row>
    <row r="402" spans="1:2" x14ac:dyDescent="0.25">
      <c r="A402" t="s">
        <v>336</v>
      </c>
      <c r="B402" s="13">
        <v>1524</v>
      </c>
    </row>
    <row r="403" spans="1:2" x14ac:dyDescent="0.25">
      <c r="A403" t="s">
        <v>656</v>
      </c>
      <c r="B403" s="13">
        <v>261</v>
      </c>
    </row>
    <row r="404" spans="1:2" x14ac:dyDescent="0.25">
      <c r="A404" t="s">
        <v>352</v>
      </c>
      <c r="B404" s="13">
        <v>8</v>
      </c>
    </row>
    <row r="405" spans="1:2" x14ac:dyDescent="0.25">
      <c r="A405" t="s">
        <v>1120</v>
      </c>
      <c r="B405" s="13">
        <v>616</v>
      </c>
    </row>
    <row r="406" spans="1:2" x14ac:dyDescent="0.25">
      <c r="A406" t="s">
        <v>434</v>
      </c>
      <c r="B406" s="13">
        <v>1132</v>
      </c>
    </row>
    <row r="407" spans="1:2" x14ac:dyDescent="0.25">
      <c r="A407" t="s">
        <v>995</v>
      </c>
      <c r="B407" s="13">
        <v>1580</v>
      </c>
    </row>
    <row r="408" spans="1:2" x14ac:dyDescent="0.25">
      <c r="A408" t="s">
        <v>1380</v>
      </c>
      <c r="B408" s="13">
        <v>1280</v>
      </c>
    </row>
    <row r="409" spans="1:2" x14ac:dyDescent="0.25">
      <c r="A409" t="s">
        <v>371</v>
      </c>
      <c r="B409" s="13">
        <v>2578</v>
      </c>
    </row>
    <row r="410" spans="1:2" x14ac:dyDescent="0.25">
      <c r="A410" t="s">
        <v>688</v>
      </c>
      <c r="B410" s="13">
        <v>3367</v>
      </c>
    </row>
    <row r="411" spans="1:2" x14ac:dyDescent="0.25">
      <c r="A411" t="s">
        <v>233</v>
      </c>
      <c r="B411" s="13">
        <v>1616</v>
      </c>
    </row>
    <row r="412" spans="1:2" x14ac:dyDescent="0.25">
      <c r="A412" t="s">
        <v>698</v>
      </c>
      <c r="B412" s="13">
        <v>1756</v>
      </c>
    </row>
    <row r="413" spans="1:2" x14ac:dyDescent="0.25">
      <c r="A413" t="s">
        <v>847</v>
      </c>
      <c r="B413" s="13">
        <v>900</v>
      </c>
    </row>
    <row r="414" spans="1:2" x14ac:dyDescent="0.25">
      <c r="A414" t="s">
        <v>1142</v>
      </c>
      <c r="B414" s="13">
        <v>1871</v>
      </c>
    </row>
    <row r="415" spans="1:2" x14ac:dyDescent="0.25">
      <c r="A415" t="s">
        <v>1481</v>
      </c>
      <c r="B415" s="13">
        <v>6847</v>
      </c>
    </row>
    <row r="416" spans="1:2" x14ac:dyDescent="0.25">
      <c r="A416" t="s">
        <v>471</v>
      </c>
      <c r="B416" s="13">
        <v>4639</v>
      </c>
    </row>
    <row r="417" spans="1:2" x14ac:dyDescent="0.25">
      <c r="A417" t="s">
        <v>981</v>
      </c>
      <c r="B417" s="13">
        <v>217</v>
      </c>
    </row>
    <row r="418" spans="1:2" x14ac:dyDescent="0.25">
      <c r="A418" t="s">
        <v>1006</v>
      </c>
      <c r="B418" s="13">
        <v>4960</v>
      </c>
    </row>
    <row r="419" spans="1:2" x14ac:dyDescent="0.25">
      <c r="A419" t="s">
        <v>1486</v>
      </c>
      <c r="B419" s="13">
        <v>1294</v>
      </c>
    </row>
    <row r="420" spans="1:2" x14ac:dyDescent="0.25">
      <c r="A420" t="s">
        <v>252</v>
      </c>
      <c r="B420" s="13">
        <v>1191</v>
      </c>
    </row>
    <row r="421" spans="1:2" x14ac:dyDescent="0.25">
      <c r="A421" t="s">
        <v>459</v>
      </c>
      <c r="B421" s="13">
        <v>4710</v>
      </c>
    </row>
    <row r="422" spans="1:2" x14ac:dyDescent="0.25">
      <c r="A422" t="s">
        <v>1370</v>
      </c>
      <c r="B422" s="13">
        <v>6784</v>
      </c>
    </row>
    <row r="423" spans="1:2" x14ac:dyDescent="0.25">
      <c r="A423" t="s">
        <v>1404</v>
      </c>
      <c r="B423" s="13">
        <v>4132</v>
      </c>
    </row>
    <row r="424" spans="1:2" x14ac:dyDescent="0.25">
      <c r="A424" t="s">
        <v>219</v>
      </c>
      <c r="B424" s="13">
        <v>4502</v>
      </c>
    </row>
    <row r="425" spans="1:2" x14ac:dyDescent="0.25">
      <c r="A425" t="s">
        <v>394</v>
      </c>
      <c r="B425" s="13">
        <v>1572</v>
      </c>
    </row>
    <row r="426" spans="1:2" x14ac:dyDescent="0.25">
      <c r="A426" t="s">
        <v>814</v>
      </c>
      <c r="B426" s="13">
        <v>4397</v>
      </c>
    </row>
    <row r="427" spans="1:2" x14ac:dyDescent="0.25">
      <c r="A427" t="s">
        <v>1167</v>
      </c>
      <c r="B427" s="13">
        <v>7490</v>
      </c>
    </row>
    <row r="428" spans="1:2" x14ac:dyDescent="0.25">
      <c r="A428" t="s">
        <v>135</v>
      </c>
      <c r="B428" s="13">
        <v>657</v>
      </c>
    </row>
    <row r="429" spans="1:2" x14ac:dyDescent="0.25">
      <c r="A429" t="s">
        <v>1026</v>
      </c>
      <c r="B429" s="13">
        <v>1753</v>
      </c>
    </row>
    <row r="430" spans="1:2" x14ac:dyDescent="0.25">
      <c r="A430" t="s">
        <v>1193</v>
      </c>
      <c r="B430" s="13">
        <v>3381</v>
      </c>
    </row>
    <row r="431" spans="1:2" x14ac:dyDescent="0.25">
      <c r="A431" t="s">
        <v>1203</v>
      </c>
      <c r="B431" s="13">
        <v>1200</v>
      </c>
    </row>
    <row r="432" spans="1:2" x14ac:dyDescent="0.25">
      <c r="A432" t="s">
        <v>1526</v>
      </c>
      <c r="B432" s="13">
        <v>374</v>
      </c>
    </row>
    <row r="433" spans="1:2" x14ac:dyDescent="0.25">
      <c r="A433" t="s">
        <v>1534</v>
      </c>
      <c r="B433" s="13">
        <v>3356</v>
      </c>
    </row>
    <row r="434" spans="1:2" x14ac:dyDescent="0.25">
      <c r="A434" t="s">
        <v>1520</v>
      </c>
      <c r="B434" s="13">
        <v>6499</v>
      </c>
    </row>
    <row r="435" spans="1:2" x14ac:dyDescent="0.25">
      <c r="A435" t="s">
        <v>280</v>
      </c>
      <c r="B435" s="13">
        <v>4905</v>
      </c>
    </row>
    <row r="436" spans="1:2" x14ac:dyDescent="0.25">
      <c r="A436" t="s">
        <v>285</v>
      </c>
      <c r="B436" s="13">
        <v>17837</v>
      </c>
    </row>
    <row r="437" spans="1:2" x14ac:dyDescent="0.25">
      <c r="A437" t="s">
        <v>286</v>
      </c>
      <c r="B437" s="13">
        <v>24633</v>
      </c>
    </row>
    <row r="438" spans="1:2" x14ac:dyDescent="0.25">
      <c r="A438" t="s">
        <v>491</v>
      </c>
      <c r="B438" s="13">
        <v>5536</v>
      </c>
    </row>
    <row r="439" spans="1:2" x14ac:dyDescent="0.25">
      <c r="A439" t="s">
        <v>585</v>
      </c>
      <c r="B439" s="13">
        <v>3606</v>
      </c>
    </row>
    <row r="440" spans="1:2" x14ac:dyDescent="0.25">
      <c r="A440" t="s">
        <v>599</v>
      </c>
      <c r="B440" s="13">
        <v>3518</v>
      </c>
    </row>
    <row r="441" spans="1:2" x14ac:dyDescent="0.25">
      <c r="A441" t="s">
        <v>1549</v>
      </c>
      <c r="B441" s="13">
        <v>6071</v>
      </c>
    </row>
    <row r="442" spans="1:2" x14ac:dyDescent="0.25">
      <c r="A442" t="s">
        <v>183</v>
      </c>
      <c r="B442" s="13">
        <v>5915</v>
      </c>
    </row>
    <row r="443" spans="1:2" x14ac:dyDescent="0.25">
      <c r="A443" t="s">
        <v>191</v>
      </c>
      <c r="B443" s="13">
        <v>1482</v>
      </c>
    </row>
    <row r="444" spans="1:2" x14ac:dyDescent="0.25">
      <c r="A444" t="s">
        <v>227</v>
      </c>
      <c r="B444" s="13">
        <v>323</v>
      </c>
    </row>
    <row r="445" spans="1:2" x14ac:dyDescent="0.25">
      <c r="A445" t="s">
        <v>927</v>
      </c>
      <c r="B445" s="13">
        <v>5202</v>
      </c>
    </row>
    <row r="446" spans="1:2" x14ac:dyDescent="0.25">
      <c r="A446" t="s">
        <v>186</v>
      </c>
      <c r="B446" s="13">
        <v>165</v>
      </c>
    </row>
    <row r="447" spans="1:2" x14ac:dyDescent="0.25">
      <c r="A447" t="s">
        <v>188</v>
      </c>
      <c r="B447" s="13">
        <v>2092</v>
      </c>
    </row>
    <row r="448" spans="1:2" x14ac:dyDescent="0.25">
      <c r="A448" t="s">
        <v>912</v>
      </c>
      <c r="B448" s="13">
        <v>898</v>
      </c>
    </row>
    <row r="449" spans="1:2" x14ac:dyDescent="0.25">
      <c r="A449" t="s">
        <v>419</v>
      </c>
      <c r="B449" s="13">
        <v>3330</v>
      </c>
    </row>
    <row r="450" spans="1:2" x14ac:dyDescent="0.25">
      <c r="A450" t="s">
        <v>768</v>
      </c>
      <c r="B450" s="13">
        <v>3929</v>
      </c>
    </row>
    <row r="451" spans="1:2" x14ac:dyDescent="0.25">
      <c r="A451" t="s">
        <v>1054</v>
      </c>
      <c r="B451" s="13">
        <v>2648</v>
      </c>
    </row>
    <row r="452" spans="1:2" x14ac:dyDescent="0.25">
      <c r="A452" t="s">
        <v>1222</v>
      </c>
      <c r="B452" s="13">
        <v>4108</v>
      </c>
    </row>
    <row r="453" spans="1:2" x14ac:dyDescent="0.25">
      <c r="A453" t="s">
        <v>1235</v>
      </c>
      <c r="B453" s="13">
        <v>572</v>
      </c>
    </row>
    <row r="454" spans="1:2" x14ac:dyDescent="0.25">
      <c r="A454" t="s">
        <v>194</v>
      </c>
      <c r="B454" s="13">
        <v>1666</v>
      </c>
    </row>
    <row r="455" spans="1:2" x14ac:dyDescent="0.25">
      <c r="A455" t="s">
        <v>195</v>
      </c>
      <c r="B455" s="13">
        <v>1337</v>
      </c>
    </row>
    <row r="456" spans="1:2" x14ac:dyDescent="0.25">
      <c r="A456" t="s">
        <v>198</v>
      </c>
      <c r="B456" s="13">
        <v>362</v>
      </c>
    </row>
    <row r="457" spans="1:2" x14ac:dyDescent="0.25">
      <c r="A457" t="s">
        <v>200</v>
      </c>
      <c r="B457" s="13">
        <v>897</v>
      </c>
    </row>
    <row r="458" spans="1:2" x14ac:dyDescent="0.25">
      <c r="A458" t="s">
        <v>303</v>
      </c>
      <c r="B458" s="13">
        <v>2889</v>
      </c>
    </row>
    <row r="459" spans="1:2" x14ac:dyDescent="0.25">
      <c r="A459" t="s">
        <v>312</v>
      </c>
      <c r="B459" s="13">
        <v>2237</v>
      </c>
    </row>
    <row r="460" spans="1:2" x14ac:dyDescent="0.25">
      <c r="A460" t="s">
        <v>324</v>
      </c>
      <c r="B460" s="13">
        <v>4101</v>
      </c>
    </row>
    <row r="461" spans="1:2" x14ac:dyDescent="0.25">
      <c r="A461" t="s">
        <v>329</v>
      </c>
      <c r="B461" s="13">
        <v>88</v>
      </c>
    </row>
    <row r="462" spans="1:2" x14ac:dyDescent="0.25">
      <c r="A462" t="s">
        <v>342</v>
      </c>
      <c r="B462" s="13">
        <v>795</v>
      </c>
    </row>
    <row r="463" spans="1:2" x14ac:dyDescent="0.25">
      <c r="A463" t="s">
        <v>502</v>
      </c>
      <c r="B463" s="13">
        <v>2153</v>
      </c>
    </row>
    <row r="464" spans="1:2" x14ac:dyDescent="0.25">
      <c r="A464" t="s">
        <v>512</v>
      </c>
      <c r="B464" s="13">
        <v>5616</v>
      </c>
    </row>
    <row r="465" spans="1:2" x14ac:dyDescent="0.25">
      <c r="A465" t="s">
        <v>556</v>
      </c>
      <c r="B465" s="13">
        <v>4159</v>
      </c>
    </row>
    <row r="466" spans="1:2" x14ac:dyDescent="0.25">
      <c r="A466" t="s">
        <v>789</v>
      </c>
      <c r="B466" s="13">
        <v>3937</v>
      </c>
    </row>
    <row r="467" spans="1:2" x14ac:dyDescent="0.25">
      <c r="A467" t="s">
        <v>805</v>
      </c>
      <c r="B467" s="13">
        <v>17878</v>
      </c>
    </row>
    <row r="468" spans="1:2" x14ac:dyDescent="0.25">
      <c r="A468" t="s">
        <v>968</v>
      </c>
      <c r="B468" s="13">
        <v>2128</v>
      </c>
    </row>
    <row r="469" spans="1:2" x14ac:dyDescent="0.25">
      <c r="A469" t="s">
        <v>1064</v>
      </c>
      <c r="B469" s="13">
        <v>6836</v>
      </c>
    </row>
    <row r="470" spans="1:2" x14ac:dyDescent="0.25">
      <c r="A470" t="s">
        <v>1431</v>
      </c>
      <c r="B470" s="13">
        <v>1600</v>
      </c>
    </row>
    <row r="471" spans="1:2" x14ac:dyDescent="0.25">
      <c r="A471" t="s">
        <v>589</v>
      </c>
      <c r="B471" s="13">
        <v>3362</v>
      </c>
    </row>
    <row r="472" spans="1:2" x14ac:dyDescent="0.25">
      <c r="A472" t="s">
        <v>1289</v>
      </c>
      <c r="B472" s="13">
        <v>1071</v>
      </c>
    </row>
    <row r="473" spans="1:2" x14ac:dyDescent="0.25">
      <c r="A473" t="s">
        <v>203</v>
      </c>
      <c r="B473" s="13">
        <v>3915</v>
      </c>
    </row>
    <row r="474" spans="1:2" x14ac:dyDescent="0.25">
      <c r="A474" t="s">
        <v>337</v>
      </c>
      <c r="B474" s="13">
        <v>989</v>
      </c>
    </row>
    <row r="475" spans="1:2" x14ac:dyDescent="0.25">
      <c r="A475" t="s">
        <v>446</v>
      </c>
      <c r="B475" s="13">
        <v>4600</v>
      </c>
    </row>
    <row r="476" spans="1:2" x14ac:dyDescent="0.25">
      <c r="A476" t="s">
        <v>525</v>
      </c>
      <c r="B476" s="13">
        <v>3</v>
      </c>
    </row>
    <row r="477" spans="1:2" x14ac:dyDescent="0.25">
      <c r="A477" t="s">
        <v>531</v>
      </c>
      <c r="B477" s="13">
        <v>198</v>
      </c>
    </row>
    <row r="478" spans="1:2" x14ac:dyDescent="0.25">
      <c r="A478" t="s">
        <v>630</v>
      </c>
      <c r="B478" s="13">
        <v>3823</v>
      </c>
    </row>
    <row r="479" spans="1:2" x14ac:dyDescent="0.25">
      <c r="A479" t="s">
        <v>647</v>
      </c>
      <c r="B479" s="13">
        <v>1066</v>
      </c>
    </row>
    <row r="480" spans="1:2" x14ac:dyDescent="0.25">
      <c r="A480" t="s">
        <v>821</v>
      </c>
      <c r="B480" s="13">
        <v>580</v>
      </c>
    </row>
    <row r="481" spans="1:2" x14ac:dyDescent="0.25">
      <c r="A481" t="s">
        <v>832</v>
      </c>
      <c r="B481" s="13">
        <v>4438</v>
      </c>
    </row>
    <row r="482" spans="1:2" x14ac:dyDescent="0.25">
      <c r="A482" t="s">
        <v>940</v>
      </c>
      <c r="B482" s="13">
        <v>3082</v>
      </c>
    </row>
    <row r="483" spans="1:2" x14ac:dyDescent="0.25">
      <c r="A483" t="s">
        <v>1075</v>
      </c>
      <c r="B483" s="13">
        <v>8139</v>
      </c>
    </row>
    <row r="484" spans="1:2" x14ac:dyDescent="0.25">
      <c r="A484" t="s">
        <v>1333</v>
      </c>
      <c r="B484" s="13">
        <v>663</v>
      </c>
    </row>
    <row r="485" spans="1:2" x14ac:dyDescent="0.25">
      <c r="A485" t="s">
        <v>1455</v>
      </c>
      <c r="B485" s="13">
        <v>5872</v>
      </c>
    </row>
    <row r="486" spans="1:2" x14ac:dyDescent="0.25">
      <c r="A486" t="s">
        <v>657</v>
      </c>
      <c r="B486" s="13">
        <v>2881</v>
      </c>
    </row>
    <row r="487" spans="1:2" x14ac:dyDescent="0.25">
      <c r="A487" t="s">
        <v>702</v>
      </c>
      <c r="B487" s="13">
        <v>595</v>
      </c>
    </row>
    <row r="488" spans="1:2" x14ac:dyDescent="0.25">
      <c r="A488" t="s">
        <v>800</v>
      </c>
      <c r="B488" s="13">
        <v>-1937</v>
      </c>
    </row>
    <row r="489" spans="1:2" x14ac:dyDescent="0.25">
      <c r="A489" t="s">
        <v>209</v>
      </c>
      <c r="B489" s="13">
        <v>537</v>
      </c>
    </row>
    <row r="490" spans="1:2" x14ac:dyDescent="0.25">
      <c r="A490" t="s">
        <v>248</v>
      </c>
      <c r="B490" s="13">
        <v>949</v>
      </c>
    </row>
    <row r="491" spans="1:2" x14ac:dyDescent="0.25">
      <c r="A491" t="s">
        <v>353</v>
      </c>
      <c r="B491" s="13">
        <v>71</v>
      </c>
    </row>
    <row r="492" spans="1:2" x14ac:dyDescent="0.25">
      <c r="A492" t="s">
        <v>1121</v>
      </c>
      <c r="B492" s="13">
        <v>1332</v>
      </c>
    </row>
    <row r="493" spans="1:2" x14ac:dyDescent="0.25">
      <c r="A493" t="s">
        <v>301</v>
      </c>
      <c r="B493" s="13">
        <v>-52</v>
      </c>
    </row>
    <row r="494" spans="1:2" x14ac:dyDescent="0.25">
      <c r="A494" t="s">
        <v>410</v>
      </c>
      <c r="B494" s="13">
        <v>-2524</v>
      </c>
    </row>
    <row r="495" spans="1:2" x14ac:dyDescent="0.25">
      <c r="A495" t="s">
        <v>503</v>
      </c>
      <c r="B495" s="13">
        <v>-3522</v>
      </c>
    </row>
    <row r="496" spans="1:2" x14ac:dyDescent="0.25">
      <c r="A496" t="s">
        <v>513</v>
      </c>
      <c r="B496" s="13">
        <v>-7916</v>
      </c>
    </row>
    <row r="497" spans="1:2" x14ac:dyDescent="0.25">
      <c r="A497" t="s">
        <v>600</v>
      </c>
      <c r="B497" s="13">
        <v>-6671</v>
      </c>
    </row>
    <row r="498" spans="1:2" x14ac:dyDescent="0.25">
      <c r="A498" t="s">
        <v>586</v>
      </c>
      <c r="B498" s="13">
        <v>-10717</v>
      </c>
    </row>
    <row r="499" spans="1:2" x14ac:dyDescent="0.25">
      <c r="A499" t="s">
        <v>1102</v>
      </c>
      <c r="B499" s="13">
        <v>-17457</v>
      </c>
    </row>
    <row r="500" spans="1:2" x14ac:dyDescent="0.25">
      <c r="A500" t="s">
        <v>130</v>
      </c>
      <c r="B500" s="13">
        <v>-14571</v>
      </c>
    </row>
    <row r="501" spans="1:2" x14ac:dyDescent="0.25">
      <c r="A501" t="s">
        <v>151</v>
      </c>
      <c r="B501" s="13">
        <v>-8646</v>
      </c>
    </row>
    <row r="502" spans="1:2" x14ac:dyDescent="0.25">
      <c r="A502" t="s">
        <v>143</v>
      </c>
      <c r="B502" s="13">
        <v>-22639</v>
      </c>
    </row>
    <row r="503" spans="1:2" x14ac:dyDescent="0.25">
      <c r="A503" t="s">
        <v>159</v>
      </c>
      <c r="B503" s="13">
        <v>-2985</v>
      </c>
    </row>
    <row r="504" spans="1:2" x14ac:dyDescent="0.25">
      <c r="A504" t="s">
        <v>170</v>
      </c>
      <c r="B504" s="13">
        <v>-8738</v>
      </c>
    </row>
    <row r="505" spans="1:2" x14ac:dyDescent="0.25">
      <c r="A505" t="s">
        <v>234</v>
      </c>
      <c r="B505" s="13">
        <v>-4148</v>
      </c>
    </row>
    <row r="506" spans="1:2" x14ac:dyDescent="0.25">
      <c r="A506" t="s">
        <v>356</v>
      </c>
      <c r="B506" s="13">
        <v>4082</v>
      </c>
    </row>
    <row r="507" spans="1:2" x14ac:dyDescent="0.25">
      <c r="A507" t="s">
        <v>1353</v>
      </c>
      <c r="B507" s="13">
        <v>7601</v>
      </c>
    </row>
    <row r="508" spans="1:2" x14ac:dyDescent="0.25">
      <c r="A508" t="s">
        <v>215</v>
      </c>
      <c r="B508" s="13">
        <v>655</v>
      </c>
    </row>
    <row r="509" spans="1:2" x14ac:dyDescent="0.25">
      <c r="A509" t="s">
        <v>435</v>
      </c>
      <c r="B509" s="13">
        <v>2001</v>
      </c>
    </row>
    <row r="510" spans="1:2" x14ac:dyDescent="0.25">
      <c r="A510" t="s">
        <v>996</v>
      </c>
      <c r="B510" s="13">
        <v>1972</v>
      </c>
    </row>
    <row r="511" spans="1:2" x14ac:dyDescent="0.25">
      <c r="A511" t="s">
        <v>1381</v>
      </c>
      <c r="B511" s="13">
        <v>863</v>
      </c>
    </row>
    <row r="512" spans="1:2" x14ac:dyDescent="0.25">
      <c r="A512" t="s">
        <v>372</v>
      </c>
      <c r="B512" s="13">
        <v>2582</v>
      </c>
    </row>
    <row r="513" spans="1:2" x14ac:dyDescent="0.25">
      <c r="A513" t="s">
        <v>836</v>
      </c>
      <c r="B513" s="13">
        <v>3682</v>
      </c>
    </row>
    <row r="514" spans="1:2" x14ac:dyDescent="0.25">
      <c r="A514" t="s">
        <v>837</v>
      </c>
      <c r="B514" s="13">
        <v>4421</v>
      </c>
    </row>
    <row r="515" spans="1:2" x14ac:dyDescent="0.25">
      <c r="A515" t="s">
        <v>350</v>
      </c>
      <c r="B515" s="13">
        <v>454</v>
      </c>
    </row>
    <row r="516" spans="1:2" x14ac:dyDescent="0.25">
      <c r="A516" t="s">
        <v>848</v>
      </c>
      <c r="B516" s="13">
        <v>903</v>
      </c>
    </row>
    <row r="517" spans="1:2" x14ac:dyDescent="0.25">
      <c r="A517" t="s">
        <v>1482</v>
      </c>
      <c r="B517" s="13">
        <v>5493</v>
      </c>
    </row>
    <row r="518" spans="1:2" x14ac:dyDescent="0.25">
      <c r="A518" t="s">
        <v>1143</v>
      </c>
      <c r="B518" s="13">
        <v>1593</v>
      </c>
    </row>
    <row r="519" spans="1:2" x14ac:dyDescent="0.25">
      <c r="A519" t="s">
        <v>1545</v>
      </c>
      <c r="B519" s="13">
        <v>8029</v>
      </c>
    </row>
    <row r="520" spans="1:2" x14ac:dyDescent="0.25">
      <c r="A520" t="s">
        <v>1576</v>
      </c>
      <c r="B520" s="13">
        <v>3882</v>
      </c>
    </row>
    <row r="521" spans="1:2" x14ac:dyDescent="0.25">
      <c r="A521" t="s">
        <v>361</v>
      </c>
      <c r="B521" s="13">
        <v>3054</v>
      </c>
    </row>
    <row r="522" spans="1:2" x14ac:dyDescent="0.25">
      <c r="A522" t="s">
        <v>376</v>
      </c>
      <c r="B522" s="13">
        <v>6391</v>
      </c>
    </row>
    <row r="523" spans="1:2" x14ac:dyDescent="0.25">
      <c r="A523" t="s">
        <v>472</v>
      </c>
      <c r="B523" s="13">
        <v>6004</v>
      </c>
    </row>
    <row r="524" spans="1:2" x14ac:dyDescent="0.25">
      <c r="A524" t="s">
        <v>982</v>
      </c>
      <c r="B524" s="13">
        <v>706</v>
      </c>
    </row>
    <row r="525" spans="1:2" x14ac:dyDescent="0.25">
      <c r="A525" t="s">
        <v>1007</v>
      </c>
      <c r="B525" s="13">
        <v>5800</v>
      </c>
    </row>
    <row r="526" spans="1:2" x14ac:dyDescent="0.25">
      <c r="A526" t="s">
        <v>1392</v>
      </c>
      <c r="B526" s="13">
        <v>2329</v>
      </c>
    </row>
    <row r="527" spans="1:2" x14ac:dyDescent="0.25">
      <c r="A527" t="s">
        <v>1593</v>
      </c>
      <c r="B527" s="13">
        <v>3614</v>
      </c>
    </row>
    <row r="528" spans="1:2" x14ac:dyDescent="0.25">
      <c r="A528" t="s">
        <v>253</v>
      </c>
      <c r="B528" s="13">
        <v>4216</v>
      </c>
    </row>
    <row r="529" spans="1:2" x14ac:dyDescent="0.25">
      <c r="A529" t="s">
        <v>259</v>
      </c>
      <c r="B529" s="13">
        <v>662</v>
      </c>
    </row>
    <row r="530" spans="1:2" x14ac:dyDescent="0.25">
      <c r="A530" t="s">
        <v>460</v>
      </c>
      <c r="B530" s="13">
        <v>3641</v>
      </c>
    </row>
    <row r="531" spans="1:2" x14ac:dyDescent="0.25">
      <c r="A531" t="s">
        <v>1371</v>
      </c>
      <c r="B531" s="13">
        <v>3385</v>
      </c>
    </row>
    <row r="532" spans="1:2" x14ac:dyDescent="0.25">
      <c r="A532" t="s">
        <v>711</v>
      </c>
      <c r="B532" s="13">
        <v>451</v>
      </c>
    </row>
    <row r="533" spans="1:2" x14ac:dyDescent="0.25">
      <c r="A533" t="s">
        <v>872</v>
      </c>
      <c r="B533" s="13">
        <v>14</v>
      </c>
    </row>
    <row r="534" spans="1:2" x14ac:dyDescent="0.25">
      <c r="A534" t="s">
        <v>1405</v>
      </c>
      <c r="B534" s="13">
        <v>3096</v>
      </c>
    </row>
    <row r="535" spans="1:2" x14ac:dyDescent="0.25">
      <c r="A535" t="s">
        <v>220</v>
      </c>
      <c r="B535" s="13">
        <v>4091</v>
      </c>
    </row>
    <row r="536" spans="1:2" x14ac:dyDescent="0.25">
      <c r="A536" t="s">
        <v>274</v>
      </c>
      <c r="B536" s="13">
        <v>2918</v>
      </c>
    </row>
    <row r="537" spans="1:2" x14ac:dyDescent="0.25">
      <c r="A537" t="s">
        <v>395</v>
      </c>
      <c r="B537" s="13">
        <v>2924</v>
      </c>
    </row>
    <row r="538" spans="1:2" x14ac:dyDescent="0.25">
      <c r="A538" t="s">
        <v>815</v>
      </c>
      <c r="B538" s="13">
        <v>449</v>
      </c>
    </row>
    <row r="539" spans="1:2" x14ac:dyDescent="0.25">
      <c r="A539" t="s">
        <v>1168</v>
      </c>
      <c r="B539" s="13">
        <v>8016</v>
      </c>
    </row>
    <row r="540" spans="1:2" x14ac:dyDescent="0.25">
      <c r="A540" t="s">
        <v>1607</v>
      </c>
      <c r="B540" s="13">
        <v>2828</v>
      </c>
    </row>
    <row r="541" spans="1:2" x14ac:dyDescent="0.25">
      <c r="A541" t="s">
        <v>366</v>
      </c>
      <c r="B541" s="13">
        <v>1249</v>
      </c>
    </row>
    <row r="542" spans="1:2" x14ac:dyDescent="0.25">
      <c r="A542" t="s">
        <v>721</v>
      </c>
      <c r="B542" s="13">
        <v>2937</v>
      </c>
    </row>
    <row r="543" spans="1:2" x14ac:dyDescent="0.25">
      <c r="A543" t="s">
        <v>738</v>
      </c>
      <c r="B543" s="13">
        <v>2902</v>
      </c>
    </row>
    <row r="544" spans="1:2" x14ac:dyDescent="0.25">
      <c r="A544" t="s">
        <v>746</v>
      </c>
      <c r="B544" s="13">
        <v>605</v>
      </c>
    </row>
    <row r="545" spans="1:2" x14ac:dyDescent="0.25">
      <c r="A545" t="s">
        <v>875</v>
      </c>
      <c r="B545" s="13">
        <v>4189</v>
      </c>
    </row>
    <row r="546" spans="1:2" x14ac:dyDescent="0.25">
      <c r="A546" t="s">
        <v>1027</v>
      </c>
      <c r="B546" s="13">
        <v>1779</v>
      </c>
    </row>
    <row r="547" spans="1:2" x14ac:dyDescent="0.25">
      <c r="A547" t="s">
        <v>1194</v>
      </c>
      <c r="B547" s="13">
        <v>4059</v>
      </c>
    </row>
    <row r="548" spans="1:2" x14ac:dyDescent="0.25">
      <c r="A548" t="s">
        <v>1527</v>
      </c>
      <c r="B548" s="13">
        <v>338</v>
      </c>
    </row>
    <row r="549" spans="1:2" x14ac:dyDescent="0.25">
      <c r="A549" t="s">
        <v>1535</v>
      </c>
      <c r="B549" s="13">
        <v>3567</v>
      </c>
    </row>
    <row r="550" spans="1:2" x14ac:dyDescent="0.25">
      <c r="A550" t="s">
        <v>1521</v>
      </c>
      <c r="B550" s="13">
        <v>5887</v>
      </c>
    </row>
    <row r="551" spans="1:2" x14ac:dyDescent="0.25">
      <c r="A551" t="s">
        <v>1618</v>
      </c>
      <c r="B551" s="13">
        <v>1358</v>
      </c>
    </row>
    <row r="552" spans="1:2" x14ac:dyDescent="0.25">
      <c r="A552" t="s">
        <v>1640</v>
      </c>
      <c r="B552" s="13">
        <v>2279</v>
      </c>
    </row>
    <row r="553" spans="1:2" x14ac:dyDescent="0.25">
      <c r="A553" t="s">
        <v>271</v>
      </c>
      <c r="B553" s="13">
        <v>2249</v>
      </c>
    </row>
    <row r="554" spans="1:2" x14ac:dyDescent="0.25">
      <c r="A554" t="s">
        <v>277</v>
      </c>
      <c r="B554" s="13">
        <v>4194</v>
      </c>
    </row>
    <row r="555" spans="1:2" x14ac:dyDescent="0.25">
      <c r="A555" t="s">
        <v>281</v>
      </c>
      <c r="B555" s="13">
        <v>5760</v>
      </c>
    </row>
    <row r="556" spans="1:2" x14ac:dyDescent="0.25">
      <c r="A556" t="s">
        <v>287</v>
      </c>
      <c r="B556" s="13">
        <v>28547</v>
      </c>
    </row>
    <row r="557" spans="1:2" x14ac:dyDescent="0.25">
      <c r="A557" t="s">
        <v>291</v>
      </c>
      <c r="B557" s="13">
        <v>3035</v>
      </c>
    </row>
    <row r="558" spans="1:2" x14ac:dyDescent="0.25">
      <c r="A558" t="s">
        <v>492</v>
      </c>
      <c r="B558" s="13">
        <v>2017</v>
      </c>
    </row>
    <row r="559" spans="1:2" x14ac:dyDescent="0.25">
      <c r="A559" t="s">
        <v>1257</v>
      </c>
      <c r="B559" s="13">
        <v>1110</v>
      </c>
    </row>
    <row r="560" spans="1:2" x14ac:dyDescent="0.25">
      <c r="A560" t="s">
        <v>1258</v>
      </c>
      <c r="B560" s="13">
        <v>1651</v>
      </c>
    </row>
    <row r="561" spans="1:2" x14ac:dyDescent="0.25">
      <c r="A561" t="s">
        <v>1259</v>
      </c>
      <c r="B561" s="13">
        <v>68</v>
      </c>
    </row>
    <row r="562" spans="1:2" x14ac:dyDescent="0.25">
      <c r="A562" t="s">
        <v>1550</v>
      </c>
      <c r="B562" s="13">
        <v>6243</v>
      </c>
    </row>
    <row r="563" spans="1:2" x14ac:dyDescent="0.25">
      <c r="A563" t="s">
        <v>1663</v>
      </c>
      <c r="B563" s="13">
        <v>5953</v>
      </c>
    </row>
    <row r="564" spans="1:2" x14ac:dyDescent="0.25">
      <c r="A564" t="s">
        <v>1673</v>
      </c>
      <c r="B564" s="13">
        <v>1195</v>
      </c>
    </row>
    <row r="565" spans="1:2" x14ac:dyDescent="0.25">
      <c r="A565" t="s">
        <v>608</v>
      </c>
      <c r="B565" s="13">
        <v>3238</v>
      </c>
    </row>
    <row r="566" spans="1:2" x14ac:dyDescent="0.25">
      <c r="A566" t="s">
        <v>1252</v>
      </c>
      <c r="B566" s="13">
        <v>1156</v>
      </c>
    </row>
    <row r="567" spans="1:2" x14ac:dyDescent="0.25">
      <c r="A567" t="s">
        <v>903</v>
      </c>
      <c r="B567" s="13">
        <v>1243</v>
      </c>
    </row>
    <row r="568" spans="1:2" x14ac:dyDescent="0.25">
      <c r="A568" t="s">
        <v>1269</v>
      </c>
      <c r="B568" s="13">
        <v>2120</v>
      </c>
    </row>
    <row r="569" spans="1:2" x14ac:dyDescent="0.25">
      <c r="A569" t="s">
        <v>1270</v>
      </c>
      <c r="B569" s="13">
        <v>1806</v>
      </c>
    </row>
    <row r="570" spans="1:2" x14ac:dyDescent="0.25">
      <c r="A570" t="s">
        <v>1271</v>
      </c>
      <c r="B570" s="13">
        <v>2037</v>
      </c>
    </row>
    <row r="571" spans="1:2" x14ac:dyDescent="0.25">
      <c r="A571" t="s">
        <v>1272</v>
      </c>
      <c r="B571" s="13">
        <v>1252</v>
      </c>
    </row>
    <row r="572" spans="1:2" x14ac:dyDescent="0.25">
      <c r="A572" t="s">
        <v>1750</v>
      </c>
      <c r="B572" s="13">
        <v>163</v>
      </c>
    </row>
    <row r="573" spans="1:2" x14ac:dyDescent="0.25">
      <c r="A573" t="s">
        <v>325</v>
      </c>
      <c r="B573" s="13">
        <v>3737</v>
      </c>
    </row>
    <row r="574" spans="1:2" x14ac:dyDescent="0.25">
      <c r="A574" t="s">
        <v>330</v>
      </c>
      <c r="B574" s="13">
        <v>492</v>
      </c>
    </row>
    <row r="575" spans="1:2" x14ac:dyDescent="0.25">
      <c r="A575" t="s">
        <v>343</v>
      </c>
      <c r="B575" s="13">
        <v>943</v>
      </c>
    </row>
    <row r="576" spans="1:2" x14ac:dyDescent="0.25">
      <c r="A576" t="s">
        <v>420</v>
      </c>
      <c r="B576" s="13">
        <v>3425</v>
      </c>
    </row>
    <row r="577" spans="1:2" x14ac:dyDescent="0.25">
      <c r="A577" t="s">
        <v>557</v>
      </c>
      <c r="B577" s="13">
        <v>3362</v>
      </c>
    </row>
    <row r="578" spans="1:2" x14ac:dyDescent="0.25">
      <c r="A578" t="s">
        <v>590</v>
      </c>
      <c r="B578" s="13">
        <v>753</v>
      </c>
    </row>
    <row r="579" spans="1:2" x14ac:dyDescent="0.25">
      <c r="A579" t="s">
        <v>769</v>
      </c>
      <c r="B579" s="13">
        <v>3224</v>
      </c>
    </row>
    <row r="580" spans="1:2" x14ac:dyDescent="0.25">
      <c r="A580" t="s">
        <v>790</v>
      </c>
      <c r="B580" s="13">
        <v>3298</v>
      </c>
    </row>
    <row r="581" spans="1:2" x14ac:dyDescent="0.25">
      <c r="A581" t="s">
        <v>913</v>
      </c>
      <c r="B581" s="13">
        <v>760</v>
      </c>
    </row>
    <row r="582" spans="1:2" x14ac:dyDescent="0.25">
      <c r="A582" t="s">
        <v>928</v>
      </c>
      <c r="B582" s="13">
        <v>4436</v>
      </c>
    </row>
    <row r="583" spans="1:2" x14ac:dyDescent="0.25">
      <c r="A583" t="s">
        <v>969</v>
      </c>
      <c r="B583" s="13">
        <v>2262</v>
      </c>
    </row>
    <row r="584" spans="1:2" x14ac:dyDescent="0.25">
      <c r="A584" t="s">
        <v>1055</v>
      </c>
      <c r="B584" s="13">
        <v>2453</v>
      </c>
    </row>
    <row r="585" spans="1:2" x14ac:dyDescent="0.25">
      <c r="A585" t="s">
        <v>1065</v>
      </c>
      <c r="B585" s="13">
        <v>4678</v>
      </c>
    </row>
    <row r="586" spans="1:2" x14ac:dyDescent="0.25">
      <c r="A586" t="s">
        <v>1090</v>
      </c>
      <c r="B586" s="13">
        <v>2955</v>
      </c>
    </row>
    <row r="587" spans="1:2" x14ac:dyDescent="0.25">
      <c r="A587" t="s">
        <v>1223</v>
      </c>
      <c r="B587" s="13">
        <v>3309</v>
      </c>
    </row>
    <row r="588" spans="1:2" x14ac:dyDescent="0.25">
      <c r="A588" t="s">
        <v>1236</v>
      </c>
      <c r="B588" s="13">
        <v>765</v>
      </c>
    </row>
    <row r="589" spans="1:2" x14ac:dyDescent="0.25">
      <c r="A589" t="s">
        <v>1279</v>
      </c>
      <c r="B589" s="13">
        <v>1964</v>
      </c>
    </row>
    <row r="590" spans="1:2" x14ac:dyDescent="0.25">
      <c r="A590" t="s">
        <v>1290</v>
      </c>
      <c r="B590" s="13">
        <v>1415</v>
      </c>
    </row>
    <row r="591" spans="1:2" x14ac:dyDescent="0.25">
      <c r="A591" t="s">
        <v>1432</v>
      </c>
      <c r="B591" s="13">
        <v>5168</v>
      </c>
    </row>
    <row r="592" spans="1:2" x14ac:dyDescent="0.25">
      <c r="A592" t="s">
        <v>1683</v>
      </c>
      <c r="B592" s="13">
        <v>5976</v>
      </c>
    </row>
    <row r="593" spans="1:2" x14ac:dyDescent="0.25">
      <c r="A593" t="s">
        <v>1703</v>
      </c>
      <c r="B593" s="13">
        <v>799</v>
      </c>
    </row>
    <row r="594" spans="1:2" x14ac:dyDescent="0.25">
      <c r="A594" t="s">
        <v>1708</v>
      </c>
      <c r="B594" s="13">
        <v>954</v>
      </c>
    </row>
    <row r="595" spans="1:2" x14ac:dyDescent="0.25">
      <c r="A595" t="s">
        <v>245</v>
      </c>
      <c r="B595" s="13">
        <v>1184</v>
      </c>
    </row>
    <row r="596" spans="1:2" x14ac:dyDescent="0.25">
      <c r="A596" t="s">
        <v>447</v>
      </c>
      <c r="B596" s="13">
        <v>4632</v>
      </c>
    </row>
    <row r="597" spans="1:2" x14ac:dyDescent="0.25">
      <c r="A597" t="s">
        <v>526</v>
      </c>
      <c r="B597" s="13">
        <v>14</v>
      </c>
    </row>
    <row r="598" spans="1:2" x14ac:dyDescent="0.25">
      <c r="A598" t="s">
        <v>532</v>
      </c>
      <c r="B598" s="13">
        <v>940</v>
      </c>
    </row>
    <row r="599" spans="1:2" x14ac:dyDescent="0.25">
      <c r="A599" t="s">
        <v>616</v>
      </c>
      <c r="B599" s="13">
        <v>2618</v>
      </c>
    </row>
    <row r="600" spans="1:2" x14ac:dyDescent="0.25">
      <c r="A600" t="s">
        <v>648</v>
      </c>
      <c r="B600" s="13">
        <v>1236</v>
      </c>
    </row>
    <row r="601" spans="1:2" x14ac:dyDescent="0.25">
      <c r="A601" t="s">
        <v>822</v>
      </c>
      <c r="B601" s="13">
        <v>1469</v>
      </c>
    </row>
    <row r="602" spans="1:2" x14ac:dyDescent="0.25">
      <c r="A602" t="s">
        <v>941</v>
      </c>
      <c r="B602" s="13">
        <v>2811</v>
      </c>
    </row>
    <row r="603" spans="1:2" x14ac:dyDescent="0.25">
      <c r="A603" t="s">
        <v>1076</v>
      </c>
      <c r="B603" s="13">
        <v>5135</v>
      </c>
    </row>
    <row r="604" spans="1:2" x14ac:dyDescent="0.25">
      <c r="A604" t="s">
        <v>1467</v>
      </c>
      <c r="B604" s="13">
        <v>8574</v>
      </c>
    </row>
    <row r="605" spans="1:2" x14ac:dyDescent="0.25">
      <c r="A605" t="s">
        <v>1717</v>
      </c>
      <c r="B605" s="13">
        <v>4059</v>
      </c>
    </row>
    <row r="606" spans="1:2" x14ac:dyDescent="0.25">
      <c r="A606" t="s">
        <v>338</v>
      </c>
      <c r="B606" s="13">
        <v>1255</v>
      </c>
    </row>
    <row r="607" spans="1:2" x14ac:dyDescent="0.25">
      <c r="A607" t="s">
        <v>1322</v>
      </c>
      <c r="B607" s="13">
        <v>1</v>
      </c>
    </row>
    <row r="608" spans="1:2" x14ac:dyDescent="0.25">
      <c r="A608" t="s">
        <v>1334</v>
      </c>
      <c r="B608" s="13">
        <v>408</v>
      </c>
    </row>
    <row r="609" spans="1:2" x14ac:dyDescent="0.25">
      <c r="A609" t="s">
        <v>1456</v>
      </c>
      <c r="B609" s="13">
        <v>2359</v>
      </c>
    </row>
    <row r="610" spans="1:2" x14ac:dyDescent="0.25">
      <c r="A610" t="s">
        <v>658</v>
      </c>
      <c r="B610" s="13">
        <v>4701</v>
      </c>
    </row>
    <row r="611" spans="1:2" x14ac:dyDescent="0.25">
      <c r="A611" t="s">
        <v>703</v>
      </c>
      <c r="B611" s="13">
        <v>356</v>
      </c>
    </row>
    <row r="612" spans="1:2" x14ac:dyDescent="0.25">
      <c r="A612" t="s">
        <v>249</v>
      </c>
      <c r="B612" s="13">
        <v>432</v>
      </c>
    </row>
    <row r="613" spans="1:2" x14ac:dyDescent="0.25">
      <c r="A613" t="s">
        <v>354</v>
      </c>
      <c r="B613" s="13">
        <v>23</v>
      </c>
    </row>
    <row r="614" spans="1:2" x14ac:dyDescent="0.25">
      <c r="A614" t="s">
        <v>1122</v>
      </c>
      <c r="B614" s="13">
        <v>717</v>
      </c>
    </row>
    <row r="615" spans="1:2" x14ac:dyDescent="0.25">
      <c r="A615" t="s">
        <v>1573</v>
      </c>
      <c r="B615" s="13">
        <v>2036</v>
      </c>
    </row>
    <row r="616" spans="1:2" x14ac:dyDescent="0.25">
      <c r="A616" t="s">
        <v>357</v>
      </c>
      <c r="B616" s="13">
        <v>3238</v>
      </c>
    </row>
    <row r="617" spans="1:2" x14ac:dyDescent="0.25">
      <c r="A617" t="s">
        <v>1354</v>
      </c>
      <c r="B617" s="13">
        <v>4694</v>
      </c>
    </row>
    <row r="618" spans="1:2" x14ac:dyDescent="0.25">
      <c r="A618" t="s">
        <v>1477</v>
      </c>
      <c r="B618" s="13">
        <v>15</v>
      </c>
    </row>
    <row r="619" spans="1:2" x14ac:dyDescent="0.25">
      <c r="A619" t="s">
        <v>1734</v>
      </c>
      <c r="B619" s="13">
        <v>1173</v>
      </c>
    </row>
    <row r="620" spans="1:2" x14ac:dyDescent="0.25">
      <c r="A620" t="s">
        <v>1753</v>
      </c>
      <c r="B620" s="13">
        <v>4276</v>
      </c>
    </row>
    <row r="621" spans="1:2" x14ac:dyDescent="0.25">
      <c r="A621" t="s">
        <v>1761</v>
      </c>
      <c r="B621" s="13">
        <v>932</v>
      </c>
    </row>
    <row r="622" spans="1:2" x14ac:dyDescent="0.25">
      <c r="A622" t="s">
        <v>1771</v>
      </c>
      <c r="B622" s="13">
        <v>4959</v>
      </c>
    </row>
    <row r="623" spans="1:2" x14ac:dyDescent="0.25">
      <c r="A623" t="s">
        <v>436</v>
      </c>
      <c r="B623" s="13">
        <v>1887</v>
      </c>
    </row>
    <row r="624" spans="1:2" x14ac:dyDescent="0.25">
      <c r="A624" t="s">
        <v>542</v>
      </c>
      <c r="B624" s="13">
        <v>2085</v>
      </c>
    </row>
    <row r="625" spans="1:2" x14ac:dyDescent="0.25">
      <c r="A625" t="s">
        <v>997</v>
      </c>
      <c r="B625" s="13">
        <v>3154</v>
      </c>
    </row>
    <row r="626" spans="1:2" x14ac:dyDescent="0.25">
      <c r="A626" t="s">
        <v>1382</v>
      </c>
      <c r="B626" s="13">
        <v>806</v>
      </c>
    </row>
    <row r="627" spans="1:2" x14ac:dyDescent="0.25">
      <c r="A627" t="s">
        <v>373</v>
      </c>
      <c r="B627" s="13">
        <v>3265</v>
      </c>
    </row>
    <row r="628" spans="1:2" x14ac:dyDescent="0.25">
      <c r="A628" t="s">
        <v>453</v>
      </c>
      <c r="B628" s="13">
        <v>494</v>
      </c>
    </row>
    <row r="629" spans="1:2" x14ac:dyDescent="0.25">
      <c r="A629" t="s">
        <v>838</v>
      </c>
      <c r="B629" s="13">
        <v>4339</v>
      </c>
    </row>
    <row r="630" spans="1:2" x14ac:dyDescent="0.25">
      <c r="A630" t="s">
        <v>849</v>
      </c>
      <c r="B630" s="13">
        <v>1826</v>
      </c>
    </row>
    <row r="631" spans="1:2" x14ac:dyDescent="0.25">
      <c r="A631" t="s">
        <v>1130</v>
      </c>
      <c r="B631" s="13">
        <v>840</v>
      </c>
    </row>
    <row r="632" spans="1:2" x14ac:dyDescent="0.25">
      <c r="A632" t="s">
        <v>1144</v>
      </c>
      <c r="B632" s="13">
        <v>2040</v>
      </c>
    </row>
    <row r="633" spans="1:2" x14ac:dyDescent="0.25">
      <c r="A633" t="s">
        <v>1577</v>
      </c>
      <c r="B633" s="13">
        <v>2279</v>
      </c>
    </row>
    <row r="634" spans="1:2" x14ac:dyDescent="0.25">
      <c r="A634" t="s">
        <v>1583</v>
      </c>
      <c r="B634" s="13">
        <v>3359</v>
      </c>
    </row>
    <row r="635" spans="1:2" x14ac:dyDescent="0.25">
      <c r="A635" t="s">
        <v>362</v>
      </c>
      <c r="B635" s="13">
        <v>3832</v>
      </c>
    </row>
    <row r="636" spans="1:2" x14ac:dyDescent="0.25">
      <c r="A636" t="s">
        <v>377</v>
      </c>
      <c r="B636" s="13">
        <v>6452</v>
      </c>
    </row>
    <row r="637" spans="1:2" x14ac:dyDescent="0.25">
      <c r="A637" t="s">
        <v>473</v>
      </c>
      <c r="B637" s="13">
        <v>5923</v>
      </c>
    </row>
    <row r="638" spans="1:2" x14ac:dyDescent="0.25">
      <c r="A638" t="s">
        <v>983</v>
      </c>
      <c r="B638" s="13">
        <v>160</v>
      </c>
    </row>
    <row r="639" spans="1:2" x14ac:dyDescent="0.25">
      <c r="A639" t="s">
        <v>1008</v>
      </c>
      <c r="B639" s="13">
        <v>6760</v>
      </c>
    </row>
    <row r="640" spans="1:2" x14ac:dyDescent="0.25">
      <c r="A640" t="s">
        <v>1393</v>
      </c>
      <c r="B640" s="13">
        <v>926</v>
      </c>
    </row>
    <row r="641" spans="1:2" x14ac:dyDescent="0.25">
      <c r="A641" t="s">
        <v>1594</v>
      </c>
      <c r="B641" s="13">
        <v>3241</v>
      </c>
    </row>
    <row r="642" spans="1:2" x14ac:dyDescent="0.25">
      <c r="A642" t="s">
        <v>254</v>
      </c>
      <c r="B642" s="13">
        <v>1667</v>
      </c>
    </row>
    <row r="643" spans="1:2" x14ac:dyDescent="0.25">
      <c r="A643" t="s">
        <v>260</v>
      </c>
      <c r="B643" s="13">
        <v>258</v>
      </c>
    </row>
    <row r="644" spans="1:2" x14ac:dyDescent="0.25">
      <c r="A644" t="s">
        <v>461</v>
      </c>
      <c r="B644" s="13">
        <v>3736</v>
      </c>
    </row>
    <row r="645" spans="1:2" x14ac:dyDescent="0.25">
      <c r="A645" t="s">
        <v>1372</v>
      </c>
      <c r="B645" s="13">
        <v>2291</v>
      </c>
    </row>
    <row r="646" spans="1:2" x14ac:dyDescent="0.25">
      <c r="A646" t="s">
        <v>1493</v>
      </c>
      <c r="B646" s="13">
        <v>346</v>
      </c>
    </row>
    <row r="647" spans="1:2" x14ac:dyDescent="0.25">
      <c r="A647" t="s">
        <v>1503</v>
      </c>
      <c r="B647" s="13">
        <v>6579</v>
      </c>
    </row>
    <row r="648" spans="1:2" x14ac:dyDescent="0.25">
      <c r="A648" t="s">
        <v>1781</v>
      </c>
      <c r="B648" s="13">
        <v>6928</v>
      </c>
    </row>
    <row r="649" spans="1:2" x14ac:dyDescent="0.25">
      <c r="A649" t="s">
        <v>367</v>
      </c>
      <c r="B649" s="13">
        <v>451</v>
      </c>
    </row>
    <row r="650" spans="1:2" x14ac:dyDescent="0.25">
      <c r="A650" t="s">
        <v>396</v>
      </c>
      <c r="B650" s="13">
        <v>2673</v>
      </c>
    </row>
    <row r="651" spans="1:2" x14ac:dyDescent="0.25">
      <c r="A651" t="s">
        <v>722</v>
      </c>
      <c r="B651" s="13">
        <v>4269</v>
      </c>
    </row>
    <row r="652" spans="1:2" x14ac:dyDescent="0.25">
      <c r="A652" t="s">
        <v>1028</v>
      </c>
      <c r="B652" s="13">
        <v>2342</v>
      </c>
    </row>
    <row r="653" spans="1:2" x14ac:dyDescent="0.25">
      <c r="A653" t="s">
        <v>1169</v>
      </c>
      <c r="B653" s="13">
        <v>7770</v>
      </c>
    </row>
    <row r="654" spans="1:2" x14ac:dyDescent="0.25">
      <c r="A654" t="s">
        <v>1195</v>
      </c>
      <c r="B654" s="13">
        <v>4121</v>
      </c>
    </row>
    <row r="655" spans="1:2" x14ac:dyDescent="0.25">
      <c r="A655" t="s">
        <v>1406</v>
      </c>
      <c r="B655" s="13">
        <v>2805</v>
      </c>
    </row>
    <row r="656" spans="1:2" x14ac:dyDescent="0.25">
      <c r="A656" t="s">
        <v>1489</v>
      </c>
      <c r="B656" s="13">
        <v>2623</v>
      </c>
    </row>
    <row r="657" spans="1:2" x14ac:dyDescent="0.25">
      <c r="A657" t="s">
        <v>1490</v>
      </c>
      <c r="B657" s="13">
        <v>478</v>
      </c>
    </row>
    <row r="658" spans="1:2" x14ac:dyDescent="0.25">
      <c r="A658" t="s">
        <v>1608</v>
      </c>
      <c r="B658" s="13">
        <v>2810</v>
      </c>
    </row>
    <row r="659" spans="1:2" x14ac:dyDescent="0.25">
      <c r="A659" t="s">
        <v>1178</v>
      </c>
      <c r="B659" s="13">
        <v>3813</v>
      </c>
    </row>
    <row r="660" spans="1:2" x14ac:dyDescent="0.25">
      <c r="A660" t="s">
        <v>1179</v>
      </c>
      <c r="B660" s="13">
        <v>3813</v>
      </c>
    </row>
    <row r="661" spans="1:2" x14ac:dyDescent="0.25">
      <c r="A661" t="s">
        <v>1180</v>
      </c>
      <c r="B661" s="13">
        <v>3567</v>
      </c>
    </row>
    <row r="662" spans="1:2" x14ac:dyDescent="0.25">
      <c r="A662" t="s">
        <v>1181</v>
      </c>
      <c r="B662" s="13">
        <v>3813</v>
      </c>
    </row>
    <row r="663" spans="1:2" x14ac:dyDescent="0.25">
      <c r="A663" t="s">
        <v>1182</v>
      </c>
      <c r="B663" s="13">
        <v>3690</v>
      </c>
    </row>
    <row r="664" spans="1:2" x14ac:dyDescent="0.25">
      <c r="A664" t="s">
        <v>739</v>
      </c>
      <c r="B664" s="13">
        <v>1194</v>
      </c>
    </row>
    <row r="665" spans="1:2" x14ac:dyDescent="0.25">
      <c r="A665" t="s">
        <v>747</v>
      </c>
      <c r="B665" s="13">
        <v>1059</v>
      </c>
    </row>
    <row r="666" spans="1:2" x14ac:dyDescent="0.25">
      <c r="A666" t="s">
        <v>876</v>
      </c>
      <c r="B666" s="13">
        <v>5328</v>
      </c>
    </row>
    <row r="667" spans="1:2" x14ac:dyDescent="0.25">
      <c r="A667" t="s">
        <v>1522</v>
      </c>
      <c r="B667" s="13">
        <v>8109</v>
      </c>
    </row>
    <row r="668" spans="1:2" x14ac:dyDescent="0.25">
      <c r="A668" t="s">
        <v>1528</v>
      </c>
      <c r="B668" s="13">
        <v>424</v>
      </c>
    </row>
    <row r="669" spans="1:2" x14ac:dyDescent="0.25">
      <c r="A669" t="s">
        <v>1536</v>
      </c>
      <c r="B669" s="13">
        <v>3587</v>
      </c>
    </row>
    <row r="670" spans="1:2" x14ac:dyDescent="0.25">
      <c r="A670" t="s">
        <v>1619</v>
      </c>
      <c r="B670" s="13">
        <v>4255</v>
      </c>
    </row>
    <row r="671" spans="1:2" x14ac:dyDescent="0.25">
      <c r="A671" t="s">
        <v>1641</v>
      </c>
      <c r="B671" s="13">
        <v>2105</v>
      </c>
    </row>
    <row r="672" spans="1:2" x14ac:dyDescent="0.25">
      <c r="A672" t="s">
        <v>1800</v>
      </c>
      <c r="B672" s="13">
        <v>742</v>
      </c>
    </row>
    <row r="673" spans="1:2" x14ac:dyDescent="0.25">
      <c r="A673" t="s">
        <v>1650</v>
      </c>
      <c r="B673" s="13">
        <v>858</v>
      </c>
    </row>
    <row r="674" spans="1:2" x14ac:dyDescent="0.25">
      <c r="A674" t="s">
        <v>282</v>
      </c>
      <c r="B674" s="13">
        <v>4597</v>
      </c>
    </row>
    <row r="675" spans="1:2" x14ac:dyDescent="0.25">
      <c r="A675" t="s">
        <v>288</v>
      </c>
      <c r="B675" s="13">
        <v>17113</v>
      </c>
    </row>
    <row r="676" spans="1:2" x14ac:dyDescent="0.25">
      <c r="A676" t="s">
        <v>1551</v>
      </c>
      <c r="B676" s="13">
        <v>7205</v>
      </c>
    </row>
    <row r="677" spans="1:2" x14ac:dyDescent="0.25">
      <c r="A677" t="s">
        <v>1664</v>
      </c>
      <c r="B677" s="13">
        <v>6854</v>
      </c>
    </row>
    <row r="678" spans="1:2" x14ac:dyDescent="0.25">
      <c r="A678" t="s">
        <v>1674</v>
      </c>
      <c r="B678" s="13">
        <v>1648</v>
      </c>
    </row>
    <row r="679" spans="1:2" x14ac:dyDescent="0.25">
      <c r="A679" t="s">
        <v>294</v>
      </c>
      <c r="B679" s="13">
        <v>1837</v>
      </c>
    </row>
    <row r="680" spans="1:2" x14ac:dyDescent="0.25">
      <c r="A680" t="s">
        <v>297</v>
      </c>
      <c r="B680" s="13">
        <v>4216</v>
      </c>
    </row>
    <row r="681" spans="1:2" x14ac:dyDescent="0.25">
      <c r="A681" t="s">
        <v>609</v>
      </c>
      <c r="B681" s="13">
        <v>5215</v>
      </c>
    </row>
    <row r="682" spans="1:2" x14ac:dyDescent="0.25">
      <c r="A682" t="s">
        <v>897</v>
      </c>
      <c r="B682" s="13">
        <v>2315</v>
      </c>
    </row>
    <row r="683" spans="1:2" x14ac:dyDescent="0.25">
      <c r="A683" t="s">
        <v>904</v>
      </c>
      <c r="B683" s="13">
        <v>1554</v>
      </c>
    </row>
    <row r="684" spans="1:2" x14ac:dyDescent="0.25">
      <c r="A684" t="s">
        <v>1253</v>
      </c>
      <c r="B684" s="13">
        <v>2271</v>
      </c>
    </row>
    <row r="685" spans="1:2" x14ac:dyDescent="0.25">
      <c r="A685" t="s">
        <v>1444</v>
      </c>
      <c r="B685" s="13">
        <v>280</v>
      </c>
    </row>
    <row r="686" spans="1:2" x14ac:dyDescent="0.25">
      <c r="A686" t="s">
        <v>1657</v>
      </c>
      <c r="B686" s="13">
        <v>2433</v>
      </c>
    </row>
    <row r="687" spans="1:2" x14ac:dyDescent="0.25">
      <c r="A687" t="s">
        <v>1806</v>
      </c>
      <c r="B687" s="13">
        <v>5256</v>
      </c>
    </row>
    <row r="688" spans="1:2" x14ac:dyDescent="0.25">
      <c r="A688" t="s">
        <v>1814</v>
      </c>
      <c r="B688" s="13">
        <v>2084</v>
      </c>
    </row>
    <row r="689" spans="1:2" x14ac:dyDescent="0.25">
      <c r="A689" t="s">
        <v>754</v>
      </c>
      <c r="B689" s="13">
        <v>2929</v>
      </c>
    </row>
    <row r="690" spans="1:2" x14ac:dyDescent="0.25">
      <c r="A690" t="s">
        <v>914</v>
      </c>
      <c r="B690" s="13">
        <v>1456</v>
      </c>
    </row>
    <row r="691" spans="1:2" x14ac:dyDescent="0.25">
      <c r="A691" t="s">
        <v>929</v>
      </c>
      <c r="B691" s="13">
        <v>4745</v>
      </c>
    </row>
    <row r="692" spans="1:2" x14ac:dyDescent="0.25">
      <c r="A692" t="s">
        <v>1275</v>
      </c>
      <c r="B692" s="13">
        <v>1180</v>
      </c>
    </row>
    <row r="693" spans="1:2" x14ac:dyDescent="0.25">
      <c r="A693" t="s">
        <v>1704</v>
      </c>
      <c r="B693" s="13">
        <v>792</v>
      </c>
    </row>
    <row r="694" spans="1:2" x14ac:dyDescent="0.25">
      <c r="A694" t="s">
        <v>1727</v>
      </c>
      <c r="B694" s="13">
        <v>3467</v>
      </c>
    </row>
    <row r="695" spans="1:2" x14ac:dyDescent="0.25">
      <c r="A695" t="s">
        <v>421</v>
      </c>
      <c r="B695" s="13">
        <v>3978</v>
      </c>
    </row>
    <row r="696" spans="1:2" x14ac:dyDescent="0.25">
      <c r="A696" t="s">
        <v>770</v>
      </c>
      <c r="B696" s="13">
        <v>1919</v>
      </c>
    </row>
    <row r="697" spans="1:2" x14ac:dyDescent="0.25">
      <c r="A697" t="s">
        <v>778</v>
      </c>
      <c r="B697" s="13">
        <v>3528</v>
      </c>
    </row>
    <row r="698" spans="1:2" x14ac:dyDescent="0.25">
      <c r="A698" t="s">
        <v>791</v>
      </c>
      <c r="B698" s="13">
        <v>3592</v>
      </c>
    </row>
    <row r="699" spans="1:2" x14ac:dyDescent="0.25">
      <c r="A699" t="s">
        <v>1056</v>
      </c>
      <c r="B699" s="13">
        <v>2349</v>
      </c>
    </row>
    <row r="700" spans="1:2" x14ac:dyDescent="0.25">
      <c r="A700" t="s">
        <v>1091</v>
      </c>
      <c r="B700" s="13">
        <v>2934</v>
      </c>
    </row>
    <row r="701" spans="1:2" x14ac:dyDescent="0.25">
      <c r="A701" t="s">
        <v>1224</v>
      </c>
      <c r="B701" s="13">
        <v>3496</v>
      </c>
    </row>
    <row r="702" spans="1:2" x14ac:dyDescent="0.25">
      <c r="A702" t="s">
        <v>1280</v>
      </c>
      <c r="B702" s="13">
        <v>2572</v>
      </c>
    </row>
    <row r="703" spans="1:2" x14ac:dyDescent="0.25">
      <c r="A703" t="s">
        <v>1304</v>
      </c>
      <c r="B703" s="13">
        <v>5022</v>
      </c>
    </row>
    <row r="704" spans="1:2" x14ac:dyDescent="0.25">
      <c r="A704" t="s">
        <v>1433</v>
      </c>
      <c r="B704" s="13">
        <v>2682</v>
      </c>
    </row>
    <row r="705" spans="1:2" x14ac:dyDescent="0.25">
      <c r="A705" t="s">
        <v>1827</v>
      </c>
      <c r="B705" s="13">
        <v>442</v>
      </c>
    </row>
    <row r="706" spans="1:2" x14ac:dyDescent="0.25">
      <c r="A706" t="s">
        <v>306</v>
      </c>
      <c r="B706" s="13">
        <v>1841</v>
      </c>
    </row>
    <row r="707" spans="1:2" x14ac:dyDescent="0.25">
      <c r="A707" t="s">
        <v>558</v>
      </c>
      <c r="B707" s="13">
        <v>4184</v>
      </c>
    </row>
    <row r="708" spans="1:2" x14ac:dyDescent="0.25">
      <c r="A708" t="s">
        <v>326</v>
      </c>
      <c r="B708" s="13">
        <v>4797</v>
      </c>
    </row>
    <row r="709" spans="1:2" x14ac:dyDescent="0.25">
      <c r="A709" t="s">
        <v>333</v>
      </c>
      <c r="B709" s="13">
        <v>8116</v>
      </c>
    </row>
    <row r="710" spans="1:2" x14ac:dyDescent="0.25">
      <c r="A710" t="s">
        <v>344</v>
      </c>
      <c r="B710" s="13">
        <v>1438</v>
      </c>
    </row>
    <row r="711" spans="1:2" x14ac:dyDescent="0.25">
      <c r="A711" t="s">
        <v>591</v>
      </c>
      <c r="B711" s="13">
        <v>83</v>
      </c>
    </row>
    <row r="712" spans="1:2" x14ac:dyDescent="0.25">
      <c r="A712" t="s">
        <v>970</v>
      </c>
      <c r="B712" s="13">
        <v>3957</v>
      </c>
    </row>
    <row r="713" spans="1:2" x14ac:dyDescent="0.25">
      <c r="A713" t="s">
        <v>1066</v>
      </c>
      <c r="B713" s="13">
        <v>6299</v>
      </c>
    </row>
    <row r="714" spans="1:2" x14ac:dyDescent="0.25">
      <c r="A714" t="s">
        <v>1291</v>
      </c>
      <c r="B714" s="13">
        <v>1214</v>
      </c>
    </row>
    <row r="715" spans="1:2" x14ac:dyDescent="0.25">
      <c r="A715" t="s">
        <v>617</v>
      </c>
      <c r="B715" s="13">
        <v>3473</v>
      </c>
    </row>
    <row r="716" spans="1:2" x14ac:dyDescent="0.25">
      <c r="A716" t="s">
        <v>649</v>
      </c>
      <c r="B716" s="13">
        <v>1431</v>
      </c>
    </row>
    <row r="717" spans="1:2" x14ac:dyDescent="0.25">
      <c r="A717" t="s">
        <v>942</v>
      </c>
      <c r="B717" s="13">
        <v>4375</v>
      </c>
    </row>
    <row r="718" spans="1:2" x14ac:dyDescent="0.25">
      <c r="A718" t="s">
        <v>448</v>
      </c>
      <c r="B718" s="13">
        <v>5142</v>
      </c>
    </row>
    <row r="719" spans="1:2" x14ac:dyDescent="0.25">
      <c r="A719" t="s">
        <v>533</v>
      </c>
      <c r="B719" s="13">
        <v>934</v>
      </c>
    </row>
    <row r="720" spans="1:2" x14ac:dyDescent="0.25">
      <c r="A720" t="s">
        <v>631</v>
      </c>
      <c r="B720" s="13">
        <v>3553</v>
      </c>
    </row>
    <row r="721" spans="1:2" x14ac:dyDescent="0.25">
      <c r="A721" t="s">
        <v>823</v>
      </c>
      <c r="B721" s="13">
        <v>1274</v>
      </c>
    </row>
    <row r="722" spans="1:2" x14ac:dyDescent="0.25">
      <c r="A722" t="s">
        <v>1077</v>
      </c>
      <c r="B722" s="13">
        <v>6731</v>
      </c>
    </row>
    <row r="723" spans="1:2" x14ac:dyDescent="0.25">
      <c r="A723" t="s">
        <v>1468</v>
      </c>
      <c r="B723" s="13">
        <v>8119</v>
      </c>
    </row>
    <row r="724" spans="1:2" x14ac:dyDescent="0.25">
      <c r="A724" t="s">
        <v>1718</v>
      </c>
      <c r="B724" s="13">
        <v>3453</v>
      </c>
    </row>
    <row r="725" spans="1:2" x14ac:dyDescent="0.25">
      <c r="A725" t="s">
        <v>1323</v>
      </c>
      <c r="B725" s="13">
        <v>441</v>
      </c>
    </row>
    <row r="726" spans="1:2" x14ac:dyDescent="0.25">
      <c r="A726" t="s">
        <v>1837</v>
      </c>
      <c r="B726" s="13">
        <v>1512</v>
      </c>
    </row>
    <row r="727" spans="1:2" x14ac:dyDescent="0.25">
      <c r="A727" t="s">
        <v>339</v>
      </c>
      <c r="B727" s="13">
        <v>756</v>
      </c>
    </row>
    <row r="728" spans="1:2" x14ac:dyDescent="0.25">
      <c r="A728" t="s">
        <v>955</v>
      </c>
      <c r="B728" s="13">
        <v>4137</v>
      </c>
    </row>
    <row r="729" spans="1:2" x14ac:dyDescent="0.25">
      <c r="A729" t="s">
        <v>1560</v>
      </c>
      <c r="B729" s="13">
        <v>2543</v>
      </c>
    </row>
    <row r="730" spans="1:2" x14ac:dyDescent="0.25">
      <c r="A730" t="s">
        <v>347</v>
      </c>
      <c r="B730" s="13">
        <v>1554</v>
      </c>
    </row>
    <row r="731" spans="1:2" x14ac:dyDescent="0.25">
      <c r="A731" t="s">
        <v>358</v>
      </c>
      <c r="B731" s="13">
        <v>2330</v>
      </c>
    </row>
    <row r="732" spans="1:2" x14ac:dyDescent="0.25">
      <c r="A732" t="s">
        <v>437</v>
      </c>
      <c r="B732" s="13">
        <v>2371</v>
      </c>
    </row>
    <row r="733" spans="1:2" x14ac:dyDescent="0.25">
      <c r="A733" t="s">
        <v>543</v>
      </c>
      <c r="B733" s="13">
        <v>1835</v>
      </c>
    </row>
    <row r="734" spans="1:2" x14ac:dyDescent="0.25">
      <c r="A734" t="s">
        <v>659</v>
      </c>
      <c r="B734" s="13">
        <v>4804</v>
      </c>
    </row>
    <row r="735" spans="1:2" x14ac:dyDescent="0.25">
      <c r="A735" t="s">
        <v>666</v>
      </c>
      <c r="B735" s="13">
        <v>1038</v>
      </c>
    </row>
    <row r="736" spans="1:2" x14ac:dyDescent="0.25">
      <c r="A736" t="s">
        <v>673</v>
      </c>
      <c r="B736" s="13">
        <v>76</v>
      </c>
    </row>
    <row r="737" spans="1:2" x14ac:dyDescent="0.25">
      <c r="A737" t="s">
        <v>704</v>
      </c>
      <c r="B737" s="13">
        <v>339</v>
      </c>
    </row>
    <row r="738" spans="1:2" x14ac:dyDescent="0.25">
      <c r="A738" t="s">
        <v>839</v>
      </c>
      <c r="B738" s="13">
        <v>4178</v>
      </c>
    </row>
    <row r="739" spans="1:2" x14ac:dyDescent="0.25">
      <c r="A739" t="s">
        <v>858</v>
      </c>
      <c r="B739" s="13">
        <v>3885</v>
      </c>
    </row>
    <row r="740" spans="1:2" x14ac:dyDescent="0.25">
      <c r="A740" t="s">
        <v>998</v>
      </c>
      <c r="B740" s="13">
        <v>2965</v>
      </c>
    </row>
    <row r="741" spans="1:2" x14ac:dyDescent="0.25">
      <c r="A741" t="s">
        <v>1343</v>
      </c>
      <c r="B741" s="13">
        <v>8927</v>
      </c>
    </row>
    <row r="742" spans="1:2" x14ac:dyDescent="0.25">
      <c r="A742" t="s">
        <v>1344</v>
      </c>
      <c r="B742" s="13">
        <v>785</v>
      </c>
    </row>
    <row r="743" spans="1:2" x14ac:dyDescent="0.25">
      <c r="A743" t="s">
        <v>1364</v>
      </c>
      <c r="B743" s="13">
        <v>3458</v>
      </c>
    </row>
    <row r="744" spans="1:2" x14ac:dyDescent="0.25">
      <c r="A744" t="s">
        <v>1383</v>
      </c>
      <c r="B744" s="13">
        <v>623</v>
      </c>
    </row>
    <row r="745" spans="1:2" x14ac:dyDescent="0.25">
      <c r="A745" t="s">
        <v>1735</v>
      </c>
      <c r="B745" s="13">
        <v>2014</v>
      </c>
    </row>
    <row r="746" spans="1:2" x14ac:dyDescent="0.25">
      <c r="A746" t="s">
        <v>1754</v>
      </c>
      <c r="B746" s="13">
        <v>3735</v>
      </c>
    </row>
    <row r="747" spans="1:2" x14ac:dyDescent="0.25">
      <c r="A747" t="s">
        <v>1762</v>
      </c>
      <c r="B747" s="13">
        <v>1721</v>
      </c>
    </row>
    <row r="748" spans="1:2" x14ac:dyDescent="0.25">
      <c r="A748" t="s">
        <v>1772</v>
      </c>
      <c r="B748" s="13">
        <v>7848</v>
      </c>
    </row>
    <row r="749" spans="1:2" x14ac:dyDescent="0.25">
      <c r="A749" t="s">
        <v>454</v>
      </c>
      <c r="B749" s="13">
        <v>878</v>
      </c>
    </row>
    <row r="750" spans="1:2" x14ac:dyDescent="0.25">
      <c r="A750" t="s">
        <v>549</v>
      </c>
      <c r="B750" s="13">
        <v>152</v>
      </c>
    </row>
    <row r="751" spans="1:2" x14ac:dyDescent="0.25">
      <c r="A751" t="s">
        <v>850</v>
      </c>
      <c r="B751" s="13">
        <v>1696</v>
      </c>
    </row>
    <row r="752" spans="1:2" x14ac:dyDescent="0.25">
      <c r="A752" t="s">
        <v>1131</v>
      </c>
      <c r="B752" s="13">
        <v>1306</v>
      </c>
    </row>
    <row r="753" spans="1:2" x14ac:dyDescent="0.25">
      <c r="A753" t="s">
        <v>1145</v>
      </c>
      <c r="B753" s="13">
        <v>1772</v>
      </c>
    </row>
    <row r="754" spans="1:2" x14ac:dyDescent="0.25">
      <c r="A754" t="s">
        <v>363</v>
      </c>
      <c r="B754" s="13">
        <v>3547</v>
      </c>
    </row>
    <row r="755" spans="1:2" x14ac:dyDescent="0.25">
      <c r="A755" t="s">
        <v>378</v>
      </c>
      <c r="B755" s="13">
        <v>6193</v>
      </c>
    </row>
    <row r="756" spans="1:2" x14ac:dyDescent="0.25">
      <c r="A756" t="s">
        <v>381</v>
      </c>
      <c r="B756" s="13">
        <v>1323</v>
      </c>
    </row>
    <row r="757" spans="1:2" x14ac:dyDescent="0.25">
      <c r="A757" t="s">
        <v>474</v>
      </c>
      <c r="B757" s="13">
        <v>5761</v>
      </c>
    </row>
    <row r="758" spans="1:2" x14ac:dyDescent="0.25">
      <c r="A758" t="s">
        <v>984</v>
      </c>
      <c r="B758" s="13">
        <v>254</v>
      </c>
    </row>
    <row r="759" spans="1:2" x14ac:dyDescent="0.25">
      <c r="A759" t="s">
        <v>1009</v>
      </c>
      <c r="B759" s="13">
        <v>4656</v>
      </c>
    </row>
    <row r="760" spans="1:2" x14ac:dyDescent="0.25">
      <c r="A760" t="s">
        <v>1394</v>
      </c>
      <c r="B760" s="13">
        <v>1350</v>
      </c>
    </row>
    <row r="761" spans="1:2" x14ac:dyDescent="0.25">
      <c r="A761" t="s">
        <v>1595</v>
      </c>
      <c r="B761" s="13">
        <v>3881</v>
      </c>
    </row>
    <row r="762" spans="1:2" x14ac:dyDescent="0.25">
      <c r="A762" t="s">
        <v>462</v>
      </c>
      <c r="B762" s="13">
        <v>5468</v>
      </c>
    </row>
    <row r="763" spans="1:2" x14ac:dyDescent="0.25">
      <c r="A763" t="s">
        <v>712</v>
      </c>
      <c r="B763" s="13">
        <v>155</v>
      </c>
    </row>
    <row r="764" spans="1:2" x14ac:dyDescent="0.25">
      <c r="A764" t="s">
        <v>1373</v>
      </c>
      <c r="B764" s="13">
        <v>1080</v>
      </c>
    </row>
    <row r="765" spans="1:2" x14ac:dyDescent="0.25">
      <c r="A765" t="s">
        <v>1407</v>
      </c>
      <c r="B765" s="13">
        <v>1669</v>
      </c>
    </row>
    <row r="766" spans="1:2" x14ac:dyDescent="0.25">
      <c r="A766" t="s">
        <v>1494</v>
      </c>
      <c r="B766" s="13">
        <v>1459</v>
      </c>
    </row>
    <row r="767" spans="1:2" x14ac:dyDescent="0.25">
      <c r="A767" t="s">
        <v>1504</v>
      </c>
      <c r="B767" s="13">
        <v>7601</v>
      </c>
    </row>
    <row r="768" spans="1:2" x14ac:dyDescent="0.25">
      <c r="A768" t="s">
        <v>1782</v>
      </c>
      <c r="B768" s="13">
        <v>6777</v>
      </c>
    </row>
    <row r="769" spans="1:2" x14ac:dyDescent="0.25">
      <c r="A769" t="s">
        <v>384</v>
      </c>
      <c r="B769" s="13">
        <v>557</v>
      </c>
    </row>
    <row r="770" spans="1:2" x14ac:dyDescent="0.25">
      <c r="A770" t="s">
        <v>397</v>
      </c>
      <c r="B770" s="13">
        <v>2702</v>
      </c>
    </row>
    <row r="771" spans="1:2" x14ac:dyDescent="0.25">
      <c r="A771" t="s">
        <v>1170</v>
      </c>
      <c r="B771" s="13">
        <v>7452</v>
      </c>
    </row>
    <row r="772" spans="1:2" x14ac:dyDescent="0.25">
      <c r="A772" t="s">
        <v>1609</v>
      </c>
      <c r="B772" s="13">
        <v>3081</v>
      </c>
    </row>
    <row r="773" spans="1:2" x14ac:dyDescent="0.25">
      <c r="A773" t="s">
        <v>1852</v>
      </c>
      <c r="B773" s="13">
        <v>2810</v>
      </c>
    </row>
    <row r="774" spans="1:2" x14ac:dyDescent="0.25">
      <c r="A774" t="s">
        <v>368</v>
      </c>
      <c r="B774" s="13">
        <v>336</v>
      </c>
    </row>
    <row r="775" spans="1:2" x14ac:dyDescent="0.25">
      <c r="A775" t="s">
        <v>483</v>
      </c>
      <c r="B775" s="13">
        <v>1561</v>
      </c>
    </row>
    <row r="776" spans="1:2" x14ac:dyDescent="0.25">
      <c r="A776" t="s">
        <v>723</v>
      </c>
      <c r="B776" s="13">
        <v>4779</v>
      </c>
    </row>
    <row r="777" spans="1:2" x14ac:dyDescent="0.25">
      <c r="A777" t="s">
        <v>1029</v>
      </c>
      <c r="B777" s="13">
        <v>1805</v>
      </c>
    </row>
    <row r="778" spans="1:2" x14ac:dyDescent="0.25">
      <c r="A778" t="s">
        <v>1196</v>
      </c>
      <c r="B778" s="13">
        <v>3896</v>
      </c>
    </row>
    <row r="779" spans="1:2" x14ac:dyDescent="0.25">
      <c r="A779" t="s">
        <v>1529</v>
      </c>
      <c r="B779" s="13">
        <v>940</v>
      </c>
    </row>
    <row r="780" spans="1:2" x14ac:dyDescent="0.25">
      <c r="A780" t="s">
        <v>1537</v>
      </c>
      <c r="B780" s="13">
        <v>3813</v>
      </c>
    </row>
    <row r="781" spans="1:2" x14ac:dyDescent="0.25">
      <c r="A781" t="s">
        <v>564</v>
      </c>
      <c r="B781" s="13">
        <v>790</v>
      </c>
    </row>
    <row r="782" spans="1:2" x14ac:dyDescent="0.25">
      <c r="A782" t="s">
        <v>740</v>
      </c>
      <c r="B782" s="13">
        <v>1467</v>
      </c>
    </row>
    <row r="783" spans="1:2" x14ac:dyDescent="0.25">
      <c r="A783" t="s">
        <v>748</v>
      </c>
      <c r="B783" s="13">
        <v>1451</v>
      </c>
    </row>
    <row r="784" spans="1:2" x14ac:dyDescent="0.25">
      <c r="A784" t="s">
        <v>877</v>
      </c>
      <c r="B784" s="13">
        <v>5433</v>
      </c>
    </row>
    <row r="785" spans="1:2" x14ac:dyDescent="0.25">
      <c r="A785" t="s">
        <v>1523</v>
      </c>
      <c r="B785" s="13">
        <v>4813</v>
      </c>
    </row>
    <row r="786" spans="1:2" x14ac:dyDescent="0.25">
      <c r="A786" t="s">
        <v>1642</v>
      </c>
      <c r="B786" s="13">
        <v>2148</v>
      </c>
    </row>
    <row r="787" spans="1:2" x14ac:dyDescent="0.25">
      <c r="A787" t="s">
        <v>571</v>
      </c>
      <c r="B787" s="13">
        <v>2026</v>
      </c>
    </row>
    <row r="788" spans="1:2" x14ac:dyDescent="0.25">
      <c r="A788" t="s">
        <v>1043</v>
      </c>
      <c r="B788" s="13">
        <v>-3532</v>
      </c>
    </row>
    <row r="789" spans="1:2" x14ac:dyDescent="0.25">
      <c r="A789" t="s">
        <v>1206</v>
      </c>
      <c r="B789" s="13">
        <v>2805</v>
      </c>
    </row>
    <row r="790" spans="1:2" x14ac:dyDescent="0.25">
      <c r="A790" t="s">
        <v>1552</v>
      </c>
      <c r="B790" s="13">
        <v>6266</v>
      </c>
    </row>
    <row r="791" spans="1:2" x14ac:dyDescent="0.25">
      <c r="A791" t="s">
        <v>1620</v>
      </c>
      <c r="B791" s="13">
        <v>1664</v>
      </c>
    </row>
    <row r="792" spans="1:2" x14ac:dyDescent="0.25">
      <c r="A792" t="s">
        <v>1651</v>
      </c>
      <c r="B792" s="13">
        <v>874</v>
      </c>
    </row>
    <row r="793" spans="1:2" x14ac:dyDescent="0.25">
      <c r="A793" t="s">
        <v>1665</v>
      </c>
      <c r="B793" s="13">
        <v>6370</v>
      </c>
    </row>
    <row r="794" spans="1:2" x14ac:dyDescent="0.25">
      <c r="A794" t="s">
        <v>1675</v>
      </c>
      <c r="B794" s="13">
        <v>1657</v>
      </c>
    </row>
    <row r="795" spans="1:2" x14ac:dyDescent="0.25">
      <c r="A795" t="s">
        <v>1801</v>
      </c>
      <c r="B795" s="13">
        <v>4852</v>
      </c>
    </row>
    <row r="796" spans="1:2" x14ac:dyDescent="0.25">
      <c r="A796" t="s">
        <v>1857</v>
      </c>
      <c r="B796" s="13">
        <v>6140</v>
      </c>
    </row>
    <row r="797" spans="1:2" x14ac:dyDescent="0.25">
      <c r="A797" t="s">
        <v>1865</v>
      </c>
      <c r="B797" s="13">
        <v>2486</v>
      </c>
    </row>
    <row r="798" spans="1:2" x14ac:dyDescent="0.25">
      <c r="A798" t="s">
        <v>1873</v>
      </c>
      <c r="B798" s="13">
        <v>6641</v>
      </c>
    </row>
    <row r="799" spans="1:2" x14ac:dyDescent="0.25">
      <c r="A799" t="s">
        <v>610</v>
      </c>
      <c r="B799" s="13">
        <v>5330</v>
      </c>
    </row>
    <row r="800" spans="1:2" x14ac:dyDescent="0.25">
      <c r="A800" t="s">
        <v>889</v>
      </c>
      <c r="B800" s="13">
        <v>2083</v>
      </c>
    </row>
    <row r="801" spans="1:2" x14ac:dyDescent="0.25">
      <c r="A801" t="s">
        <v>1254</v>
      </c>
      <c r="B801" s="13">
        <v>830</v>
      </c>
    </row>
    <row r="802" spans="1:2" x14ac:dyDescent="0.25">
      <c r="A802" t="s">
        <v>1658</v>
      </c>
      <c r="B802" s="13">
        <v>1984</v>
      </c>
    </row>
    <row r="803" spans="1:2" x14ac:dyDescent="0.25">
      <c r="A803" t="s">
        <v>1807</v>
      </c>
      <c r="B803" s="13">
        <v>4960</v>
      </c>
    </row>
    <row r="804" spans="1:2" x14ac:dyDescent="0.25">
      <c r="A804" t="s">
        <v>1815</v>
      </c>
      <c r="B804" s="13">
        <v>1034</v>
      </c>
    </row>
    <row r="805" spans="1:2" x14ac:dyDescent="0.25">
      <c r="A805" t="s">
        <v>1876</v>
      </c>
      <c r="B805" s="13">
        <v>174</v>
      </c>
    </row>
    <row r="806" spans="1:2" x14ac:dyDescent="0.25">
      <c r="A806" t="s">
        <v>1891</v>
      </c>
      <c r="B806" s="13">
        <v>3824</v>
      </c>
    </row>
    <row r="807" spans="1:2" x14ac:dyDescent="0.25">
      <c r="A807" t="s">
        <v>930</v>
      </c>
      <c r="B807" s="13">
        <v>4637</v>
      </c>
    </row>
    <row r="808" spans="1:2" x14ac:dyDescent="0.25">
      <c r="A808" t="s">
        <v>1416</v>
      </c>
      <c r="B808" s="13">
        <v>4084</v>
      </c>
    </row>
    <row r="809" spans="1:2" x14ac:dyDescent="0.25">
      <c r="A809" t="s">
        <v>755</v>
      </c>
      <c r="B809" s="13">
        <v>3729</v>
      </c>
    </row>
    <row r="810" spans="1:2" x14ac:dyDescent="0.25">
      <c r="A810" t="s">
        <v>915</v>
      </c>
      <c r="B810" s="13">
        <v>440</v>
      </c>
    </row>
    <row r="811" spans="1:2" x14ac:dyDescent="0.25">
      <c r="A811" t="s">
        <v>1447</v>
      </c>
      <c r="B811" s="13">
        <v>1126</v>
      </c>
    </row>
    <row r="812" spans="1:2" x14ac:dyDescent="0.25">
      <c r="A812" t="s">
        <v>1684</v>
      </c>
      <c r="B812" s="13">
        <v>5793</v>
      </c>
    </row>
    <row r="813" spans="1:2" x14ac:dyDescent="0.25">
      <c r="A813" t="s">
        <v>1685</v>
      </c>
      <c r="B813" s="13">
        <v>5240</v>
      </c>
    </row>
    <row r="814" spans="1:2" x14ac:dyDescent="0.25">
      <c r="A814" t="s">
        <v>1705</v>
      </c>
      <c r="B814" s="13">
        <v>91</v>
      </c>
    </row>
    <row r="815" spans="1:2" x14ac:dyDescent="0.25">
      <c r="A815" t="s">
        <v>1899</v>
      </c>
      <c r="B815" s="13">
        <v>763</v>
      </c>
    </row>
    <row r="816" spans="1:2" x14ac:dyDescent="0.25">
      <c r="A816" t="s">
        <v>422</v>
      </c>
      <c r="B816" s="13">
        <v>5638</v>
      </c>
    </row>
    <row r="817" spans="1:2" x14ac:dyDescent="0.25">
      <c r="A817" t="s">
        <v>771</v>
      </c>
      <c r="B817" s="13">
        <v>1808</v>
      </c>
    </row>
    <row r="818" spans="1:2" x14ac:dyDescent="0.25">
      <c r="A818" t="s">
        <v>1057</v>
      </c>
      <c r="B818" s="13">
        <v>1698</v>
      </c>
    </row>
    <row r="819" spans="1:2" x14ac:dyDescent="0.25">
      <c r="A819" t="s">
        <v>1092</v>
      </c>
      <c r="B819" s="13">
        <v>2361</v>
      </c>
    </row>
    <row r="820" spans="1:2" x14ac:dyDescent="0.25">
      <c r="A820" t="s">
        <v>1225</v>
      </c>
      <c r="B820" s="13">
        <v>3748</v>
      </c>
    </row>
    <row r="821" spans="1:2" x14ac:dyDescent="0.25">
      <c r="A821" t="s">
        <v>1237</v>
      </c>
      <c r="B821" s="13">
        <v>958</v>
      </c>
    </row>
    <row r="822" spans="1:2" x14ac:dyDescent="0.25">
      <c r="A822" t="s">
        <v>1281</v>
      </c>
      <c r="B822" s="13">
        <v>1954</v>
      </c>
    </row>
    <row r="823" spans="1:2" x14ac:dyDescent="0.25">
      <c r="A823" t="s">
        <v>1828</v>
      </c>
      <c r="B823" s="13">
        <v>1289</v>
      </c>
    </row>
    <row r="824" spans="1:2" x14ac:dyDescent="0.25">
      <c r="A824" t="s">
        <v>426</v>
      </c>
      <c r="B824" s="13">
        <v>3084</v>
      </c>
    </row>
    <row r="825" spans="1:2" x14ac:dyDescent="0.25">
      <c r="A825" t="s">
        <v>559</v>
      </c>
      <c r="B825" s="13">
        <v>3792</v>
      </c>
    </row>
    <row r="826" spans="1:2" x14ac:dyDescent="0.25">
      <c r="A826" t="s">
        <v>779</v>
      </c>
      <c r="B826" s="13">
        <v>3924</v>
      </c>
    </row>
    <row r="827" spans="1:2" x14ac:dyDescent="0.25">
      <c r="A827" t="s">
        <v>792</v>
      </c>
      <c r="B827" s="13">
        <v>3259</v>
      </c>
    </row>
    <row r="828" spans="1:2" x14ac:dyDescent="0.25">
      <c r="A828" t="s">
        <v>971</v>
      </c>
      <c r="B828" s="13">
        <v>2740</v>
      </c>
    </row>
    <row r="829" spans="1:2" x14ac:dyDescent="0.25">
      <c r="A829" t="s">
        <v>1067</v>
      </c>
      <c r="B829" s="13">
        <v>7487</v>
      </c>
    </row>
    <row r="830" spans="1:2" x14ac:dyDescent="0.25">
      <c r="A830" t="s">
        <v>1305</v>
      </c>
      <c r="B830" s="13">
        <v>4489</v>
      </c>
    </row>
    <row r="831" spans="1:2" x14ac:dyDescent="0.25">
      <c r="A831" t="s">
        <v>1424</v>
      </c>
      <c r="B831" s="13">
        <v>3983</v>
      </c>
    </row>
    <row r="832" spans="1:2" x14ac:dyDescent="0.25">
      <c r="A832" t="s">
        <v>1434</v>
      </c>
      <c r="B832" s="13">
        <v>4838</v>
      </c>
    </row>
    <row r="833" spans="1:2" x14ac:dyDescent="0.25">
      <c r="A833" t="s">
        <v>1832</v>
      </c>
      <c r="B833" s="13">
        <v>2744</v>
      </c>
    </row>
    <row r="834" spans="1:2" x14ac:dyDescent="0.25">
      <c r="A834" t="s">
        <v>520</v>
      </c>
      <c r="B834" s="13">
        <v>1585</v>
      </c>
    </row>
    <row r="835" spans="1:2" x14ac:dyDescent="0.25">
      <c r="A835" t="s">
        <v>592</v>
      </c>
      <c r="B835" s="13">
        <v>123</v>
      </c>
    </row>
    <row r="836" spans="1:2" x14ac:dyDescent="0.25">
      <c r="A836" t="s">
        <v>1292</v>
      </c>
      <c r="B836" s="13">
        <v>775</v>
      </c>
    </row>
    <row r="837" spans="1:2" x14ac:dyDescent="0.25">
      <c r="A837" t="s">
        <v>1459</v>
      </c>
      <c r="B837" s="13">
        <v>3447</v>
      </c>
    </row>
    <row r="838" spans="1:2" x14ac:dyDescent="0.25">
      <c r="A838" t="s">
        <v>430</v>
      </c>
      <c r="B838" s="13">
        <v>1173</v>
      </c>
    </row>
    <row r="839" spans="1:2" x14ac:dyDescent="0.25">
      <c r="A839" t="s">
        <v>449</v>
      </c>
      <c r="B839" s="13">
        <v>4505</v>
      </c>
    </row>
    <row r="840" spans="1:2" x14ac:dyDescent="0.25">
      <c r="A840" t="s">
        <v>527</v>
      </c>
      <c r="B840" s="13">
        <v>2857</v>
      </c>
    </row>
    <row r="841" spans="1:2" x14ac:dyDescent="0.25">
      <c r="A841" t="s">
        <v>534</v>
      </c>
      <c r="B841" s="13">
        <v>422</v>
      </c>
    </row>
    <row r="842" spans="1:2" x14ac:dyDescent="0.25">
      <c r="A842" t="s">
        <v>618</v>
      </c>
      <c r="B842" s="13">
        <v>4652</v>
      </c>
    </row>
    <row r="843" spans="1:2" x14ac:dyDescent="0.25">
      <c r="A843" t="s">
        <v>632</v>
      </c>
      <c r="B843" s="13">
        <v>2963</v>
      </c>
    </row>
    <row r="844" spans="1:2" x14ac:dyDescent="0.25">
      <c r="A844" t="s">
        <v>650</v>
      </c>
      <c r="B844" s="13">
        <v>1393</v>
      </c>
    </row>
    <row r="845" spans="1:2" x14ac:dyDescent="0.25">
      <c r="A845" t="s">
        <v>824</v>
      </c>
      <c r="B845" s="13">
        <v>2580</v>
      </c>
    </row>
    <row r="846" spans="1:2" x14ac:dyDescent="0.25">
      <c r="A846" t="s">
        <v>943</v>
      </c>
      <c r="B846" s="13">
        <v>4180</v>
      </c>
    </row>
    <row r="847" spans="1:2" x14ac:dyDescent="0.25">
      <c r="A847" t="s">
        <v>1078</v>
      </c>
      <c r="B847" s="13">
        <v>6471</v>
      </c>
    </row>
    <row r="848" spans="1:2" x14ac:dyDescent="0.25">
      <c r="A848" t="s">
        <v>1469</v>
      </c>
      <c r="B848" s="13">
        <v>8418</v>
      </c>
    </row>
    <row r="849" spans="1:2" x14ac:dyDescent="0.25">
      <c r="A849" t="s">
        <v>1719</v>
      </c>
      <c r="B849" s="13">
        <v>3013</v>
      </c>
    </row>
    <row r="850" spans="1:2" x14ac:dyDescent="0.25">
      <c r="A850" t="s">
        <v>956</v>
      </c>
      <c r="B850" s="13">
        <v>2318</v>
      </c>
    </row>
    <row r="851" spans="1:2" x14ac:dyDescent="0.25">
      <c r="A851" t="s">
        <v>1324</v>
      </c>
      <c r="B851" s="13">
        <v>2073</v>
      </c>
    </row>
    <row r="852" spans="1:2" x14ac:dyDescent="0.25">
      <c r="A852" t="s">
        <v>1335</v>
      </c>
      <c r="B852" s="13">
        <v>1120</v>
      </c>
    </row>
    <row r="853" spans="1:2" x14ac:dyDescent="0.25">
      <c r="A853" t="s">
        <v>1918</v>
      </c>
      <c r="B853" s="13">
        <v>9942</v>
      </c>
    </row>
    <row r="854" spans="1:2" x14ac:dyDescent="0.25">
      <c r="A854" t="s">
        <v>639</v>
      </c>
      <c r="B854" s="13">
        <v>552</v>
      </c>
    </row>
    <row r="855" spans="1:2" x14ac:dyDescent="0.25">
      <c r="A855" t="s">
        <v>667</v>
      </c>
      <c r="B855" s="13">
        <v>818</v>
      </c>
    </row>
    <row r="856" spans="1:2" x14ac:dyDescent="0.25">
      <c r="A856" t="s">
        <v>674</v>
      </c>
      <c r="B856" s="13">
        <v>2926</v>
      </c>
    </row>
    <row r="857" spans="1:2" x14ac:dyDescent="0.25">
      <c r="A857" t="s">
        <v>705</v>
      </c>
      <c r="B857" s="13">
        <v>1251</v>
      </c>
    </row>
    <row r="858" spans="1:2" x14ac:dyDescent="0.25">
      <c r="A858" t="s">
        <v>859</v>
      </c>
      <c r="B858" s="13">
        <v>2724</v>
      </c>
    </row>
    <row r="859" spans="1:2" x14ac:dyDescent="0.25">
      <c r="A859" t="s">
        <v>1345</v>
      </c>
      <c r="B859" s="13">
        <v>851</v>
      </c>
    </row>
    <row r="860" spans="1:2" x14ac:dyDescent="0.25">
      <c r="A860" t="s">
        <v>438</v>
      </c>
      <c r="B860" s="13">
        <v>2607</v>
      </c>
    </row>
    <row r="861" spans="1:2" x14ac:dyDescent="0.25">
      <c r="A861" t="s">
        <v>1736</v>
      </c>
      <c r="B861" s="13">
        <v>1593</v>
      </c>
    </row>
    <row r="862" spans="1:2" x14ac:dyDescent="0.25">
      <c r="A862" t="s">
        <v>1755</v>
      </c>
      <c r="B862" s="13">
        <v>3706</v>
      </c>
    </row>
    <row r="863" spans="1:2" x14ac:dyDescent="0.25">
      <c r="A863" t="s">
        <v>1763</v>
      </c>
      <c r="B863" s="13">
        <v>2442</v>
      </c>
    </row>
    <row r="864" spans="1:2" x14ac:dyDescent="0.25">
      <c r="A864" t="s">
        <v>1773</v>
      </c>
      <c r="B864" s="13">
        <v>6868</v>
      </c>
    </row>
    <row r="865" spans="1:2" x14ac:dyDescent="0.25">
      <c r="A865" t="s">
        <v>1844</v>
      </c>
      <c r="B865" s="13">
        <v>299</v>
      </c>
    </row>
    <row r="866" spans="1:2" x14ac:dyDescent="0.25">
      <c r="A866" t="s">
        <v>455</v>
      </c>
      <c r="B866" s="13">
        <v>504</v>
      </c>
    </row>
    <row r="867" spans="1:2" x14ac:dyDescent="0.25">
      <c r="A867" t="s">
        <v>475</v>
      </c>
      <c r="B867" s="13">
        <v>5766</v>
      </c>
    </row>
    <row r="868" spans="1:2" x14ac:dyDescent="0.25">
      <c r="A868" t="s">
        <v>544</v>
      </c>
      <c r="B868" s="13">
        <v>1674</v>
      </c>
    </row>
    <row r="869" spans="1:2" x14ac:dyDescent="0.25">
      <c r="A869" t="s">
        <v>840</v>
      </c>
      <c r="B869" s="13">
        <v>4950</v>
      </c>
    </row>
    <row r="870" spans="1:2" x14ac:dyDescent="0.25">
      <c r="A870" t="s">
        <v>851</v>
      </c>
      <c r="B870" s="13">
        <v>1747</v>
      </c>
    </row>
    <row r="871" spans="1:2" x14ac:dyDescent="0.25">
      <c r="A871" t="s">
        <v>999</v>
      </c>
      <c r="B871" s="13">
        <v>3044</v>
      </c>
    </row>
    <row r="872" spans="1:2" x14ac:dyDescent="0.25">
      <c r="A872" t="s">
        <v>1126</v>
      </c>
      <c r="B872" s="13">
        <v>2493</v>
      </c>
    </row>
    <row r="873" spans="1:2" x14ac:dyDescent="0.25">
      <c r="A873" t="s">
        <v>1132</v>
      </c>
      <c r="B873" s="13">
        <v>1536</v>
      </c>
    </row>
    <row r="874" spans="1:2" x14ac:dyDescent="0.25">
      <c r="A874" t="s">
        <v>1384</v>
      </c>
      <c r="B874" s="13">
        <v>909</v>
      </c>
    </row>
    <row r="875" spans="1:2" x14ac:dyDescent="0.25">
      <c r="A875" t="s">
        <v>550</v>
      </c>
      <c r="B875" s="13">
        <v>582</v>
      </c>
    </row>
    <row r="876" spans="1:2" x14ac:dyDescent="0.25">
      <c r="A876" t="s">
        <v>985</v>
      </c>
      <c r="B876" s="13">
        <v>339</v>
      </c>
    </row>
    <row r="877" spans="1:2" x14ac:dyDescent="0.25">
      <c r="A877" t="s">
        <v>1010</v>
      </c>
      <c r="B877" s="13">
        <v>6316</v>
      </c>
    </row>
    <row r="878" spans="1:2" x14ac:dyDescent="0.25">
      <c r="A878" t="s">
        <v>1146</v>
      </c>
      <c r="B878" s="13">
        <v>2438</v>
      </c>
    </row>
    <row r="879" spans="1:2" x14ac:dyDescent="0.25">
      <c r="A879" t="s">
        <v>1395</v>
      </c>
      <c r="B879" s="13">
        <v>2893</v>
      </c>
    </row>
    <row r="880" spans="1:2" x14ac:dyDescent="0.25">
      <c r="A880" t="s">
        <v>1596</v>
      </c>
      <c r="B880" s="13">
        <v>3516</v>
      </c>
    </row>
    <row r="881" spans="1:2" x14ac:dyDescent="0.25">
      <c r="A881" t="s">
        <v>1941</v>
      </c>
      <c r="B881" s="13">
        <v>1053</v>
      </c>
    </row>
    <row r="882" spans="1:2" x14ac:dyDescent="0.25">
      <c r="A882" t="s">
        <v>463</v>
      </c>
      <c r="B882" s="13">
        <v>1786</v>
      </c>
    </row>
    <row r="883" spans="1:2" x14ac:dyDescent="0.25">
      <c r="A883" t="s">
        <v>1374</v>
      </c>
      <c r="B883" s="13">
        <v>1221</v>
      </c>
    </row>
    <row r="884" spans="1:2" x14ac:dyDescent="0.25">
      <c r="A884" t="s">
        <v>1495</v>
      </c>
      <c r="B884" s="13">
        <v>1122</v>
      </c>
    </row>
    <row r="885" spans="1:2" x14ac:dyDescent="0.25">
      <c r="A885" t="s">
        <v>1505</v>
      </c>
      <c r="B885" s="13">
        <v>6836</v>
      </c>
    </row>
    <row r="886" spans="1:2" x14ac:dyDescent="0.25">
      <c r="A886" t="s">
        <v>1783</v>
      </c>
      <c r="B886" s="13">
        <v>5373</v>
      </c>
    </row>
    <row r="887" spans="1:2" x14ac:dyDescent="0.25">
      <c r="A887" t="s">
        <v>575</v>
      </c>
      <c r="B887" s="13">
        <v>22186</v>
      </c>
    </row>
    <row r="888" spans="1:2" x14ac:dyDescent="0.25">
      <c r="A888" t="s">
        <v>1171</v>
      </c>
      <c r="B888" s="13">
        <v>7698</v>
      </c>
    </row>
    <row r="889" spans="1:2" x14ac:dyDescent="0.25">
      <c r="A889" t="s">
        <v>1408</v>
      </c>
      <c r="B889" s="13">
        <v>1920</v>
      </c>
    </row>
    <row r="890" spans="1:2" x14ac:dyDescent="0.25">
      <c r="A890" t="s">
        <v>1610</v>
      </c>
      <c r="B890" s="13">
        <v>2815</v>
      </c>
    </row>
    <row r="891" spans="1:2" x14ac:dyDescent="0.25">
      <c r="A891" t="s">
        <v>1853</v>
      </c>
      <c r="B891" s="13">
        <v>3158</v>
      </c>
    </row>
    <row r="892" spans="1:2" x14ac:dyDescent="0.25">
      <c r="A892" t="s">
        <v>484</v>
      </c>
      <c r="B892" s="13">
        <v>1611</v>
      </c>
    </row>
    <row r="893" spans="1:2" x14ac:dyDescent="0.25">
      <c r="A893" t="s">
        <v>565</v>
      </c>
      <c r="B893" s="13">
        <v>633</v>
      </c>
    </row>
    <row r="894" spans="1:2" x14ac:dyDescent="0.25">
      <c r="A894" t="s">
        <v>724</v>
      </c>
      <c r="B894" s="13">
        <v>3985</v>
      </c>
    </row>
    <row r="895" spans="1:2" x14ac:dyDescent="0.25">
      <c r="A895" t="s">
        <v>728</v>
      </c>
      <c r="B895" s="13">
        <v>2110</v>
      </c>
    </row>
    <row r="896" spans="1:2" x14ac:dyDescent="0.25">
      <c r="A896" t="s">
        <v>741</v>
      </c>
      <c r="B896" s="13">
        <v>691</v>
      </c>
    </row>
    <row r="897" spans="1:2" x14ac:dyDescent="0.25">
      <c r="A897" t="s">
        <v>749</v>
      </c>
      <c r="B897" s="13">
        <v>432</v>
      </c>
    </row>
    <row r="898" spans="1:2" x14ac:dyDescent="0.25">
      <c r="A898" t="s">
        <v>878</v>
      </c>
      <c r="B898" s="13">
        <v>5290</v>
      </c>
    </row>
    <row r="899" spans="1:2" x14ac:dyDescent="0.25">
      <c r="A899" t="s">
        <v>1030</v>
      </c>
      <c r="B899" s="13">
        <v>1864</v>
      </c>
    </row>
    <row r="900" spans="1:2" x14ac:dyDescent="0.25">
      <c r="A900" t="s">
        <v>1183</v>
      </c>
      <c r="B900" s="13">
        <v>235</v>
      </c>
    </row>
    <row r="901" spans="1:2" x14ac:dyDescent="0.25">
      <c r="A901" t="s">
        <v>1184</v>
      </c>
      <c r="B901" s="13">
        <v>663</v>
      </c>
    </row>
    <row r="902" spans="1:2" x14ac:dyDescent="0.25">
      <c r="A902" t="s">
        <v>1197</v>
      </c>
      <c r="B902" s="13">
        <v>3064</v>
      </c>
    </row>
    <row r="903" spans="1:2" x14ac:dyDescent="0.25">
      <c r="A903" t="s">
        <v>1207</v>
      </c>
      <c r="B903" s="13">
        <v>3586</v>
      </c>
    </row>
    <row r="904" spans="1:2" x14ac:dyDescent="0.25">
      <c r="A904" t="s">
        <v>1530</v>
      </c>
      <c r="B904" s="13">
        <v>315</v>
      </c>
    </row>
    <row r="905" spans="1:2" x14ac:dyDescent="0.25">
      <c r="A905" t="s">
        <v>1538</v>
      </c>
      <c r="B905" s="13">
        <v>3634</v>
      </c>
    </row>
    <row r="906" spans="1:2" x14ac:dyDescent="0.25">
      <c r="A906" t="s">
        <v>1621</v>
      </c>
      <c r="B906" s="13">
        <v>3638</v>
      </c>
    </row>
    <row r="907" spans="1:2" x14ac:dyDescent="0.25">
      <c r="A907" t="s">
        <v>1643</v>
      </c>
      <c r="B907" s="13">
        <v>2023</v>
      </c>
    </row>
    <row r="908" spans="1:2" x14ac:dyDescent="0.25">
      <c r="A908" t="s">
        <v>1802</v>
      </c>
      <c r="B908" s="13">
        <v>5390</v>
      </c>
    </row>
    <row r="909" spans="1:2" x14ac:dyDescent="0.25">
      <c r="A909" t="s">
        <v>1934</v>
      </c>
      <c r="B909" s="13">
        <v>577</v>
      </c>
    </row>
    <row r="910" spans="1:2" x14ac:dyDescent="0.25">
      <c r="A910" t="s">
        <v>493</v>
      </c>
      <c r="B910" s="13">
        <v>13</v>
      </c>
    </row>
    <row r="911" spans="1:2" x14ac:dyDescent="0.25">
      <c r="A911" t="s">
        <v>1652</v>
      </c>
      <c r="B911" s="13">
        <v>519</v>
      </c>
    </row>
    <row r="912" spans="1:2" x14ac:dyDescent="0.25">
      <c r="A912" t="s">
        <v>1866</v>
      </c>
      <c r="B912" s="13">
        <v>3800</v>
      </c>
    </row>
    <row r="913" spans="1:2" x14ac:dyDescent="0.25">
      <c r="A913" t="s">
        <v>611</v>
      </c>
      <c r="B913" s="13">
        <v>5168</v>
      </c>
    </row>
    <row r="914" spans="1:2" x14ac:dyDescent="0.25">
      <c r="A914" t="s">
        <v>1553</v>
      </c>
      <c r="B914" s="13">
        <v>5987</v>
      </c>
    </row>
    <row r="915" spans="1:2" x14ac:dyDescent="0.25">
      <c r="A915" t="s">
        <v>1659</v>
      </c>
      <c r="B915" s="13">
        <v>1414</v>
      </c>
    </row>
    <row r="916" spans="1:2" x14ac:dyDescent="0.25">
      <c r="A916" t="s">
        <v>1666</v>
      </c>
      <c r="B916" s="13">
        <v>6749</v>
      </c>
    </row>
    <row r="917" spans="1:2" x14ac:dyDescent="0.25">
      <c r="A917" t="s">
        <v>1676</v>
      </c>
      <c r="B917" s="13">
        <v>1613</v>
      </c>
    </row>
    <row r="918" spans="1:2" x14ac:dyDescent="0.25">
      <c r="A918" t="s">
        <v>1877</v>
      </c>
      <c r="B918" s="13">
        <v>704</v>
      </c>
    </row>
    <row r="919" spans="1:2" x14ac:dyDescent="0.25">
      <c r="A919" t="s">
        <v>1892</v>
      </c>
      <c r="B919" s="13">
        <v>3706</v>
      </c>
    </row>
    <row r="920" spans="1:2" x14ac:dyDescent="0.25">
      <c r="A920" t="s">
        <v>1808</v>
      </c>
      <c r="B920" s="13">
        <v>4523</v>
      </c>
    </row>
    <row r="921" spans="1:2" x14ac:dyDescent="0.25">
      <c r="A921" t="s">
        <v>1816</v>
      </c>
      <c r="B921" s="13">
        <v>1303</v>
      </c>
    </row>
    <row r="922" spans="1:2" x14ac:dyDescent="0.25">
      <c r="A922" t="s">
        <v>756</v>
      </c>
      <c r="B922" s="13">
        <v>4239</v>
      </c>
    </row>
    <row r="923" spans="1:2" x14ac:dyDescent="0.25">
      <c r="A923" t="s">
        <v>762</v>
      </c>
      <c r="B923" s="13">
        <v>2572</v>
      </c>
    </row>
    <row r="924" spans="1:2" x14ac:dyDescent="0.25">
      <c r="A924" t="s">
        <v>772</v>
      </c>
      <c r="B924" s="13">
        <v>967</v>
      </c>
    </row>
    <row r="925" spans="1:2" x14ac:dyDescent="0.25">
      <c r="A925" t="s">
        <v>916</v>
      </c>
      <c r="B925" s="13">
        <v>113</v>
      </c>
    </row>
    <row r="926" spans="1:2" x14ac:dyDescent="0.25">
      <c r="A926" t="s">
        <v>931</v>
      </c>
      <c r="B926" s="13">
        <v>4644</v>
      </c>
    </row>
    <row r="927" spans="1:2" x14ac:dyDescent="0.25">
      <c r="A927" t="s">
        <v>1093</v>
      </c>
      <c r="B927" s="13">
        <v>1801</v>
      </c>
    </row>
    <row r="928" spans="1:2" x14ac:dyDescent="0.25">
      <c r="A928" t="s">
        <v>1226</v>
      </c>
      <c r="B928" s="13">
        <v>3232</v>
      </c>
    </row>
    <row r="929" spans="1:2" x14ac:dyDescent="0.25">
      <c r="A929" t="s">
        <v>1238</v>
      </c>
      <c r="B929" s="13">
        <v>1497</v>
      </c>
    </row>
    <row r="930" spans="1:2" x14ac:dyDescent="0.25">
      <c r="A930" t="s">
        <v>1282</v>
      </c>
      <c r="B930" s="13">
        <v>1620</v>
      </c>
    </row>
    <row r="931" spans="1:2" x14ac:dyDescent="0.25">
      <c r="A931" t="s">
        <v>1417</v>
      </c>
      <c r="B931" s="13">
        <v>3989</v>
      </c>
    </row>
    <row r="932" spans="1:2" x14ac:dyDescent="0.25">
      <c r="A932" t="s">
        <v>1448</v>
      </c>
      <c r="B932" s="13">
        <v>779</v>
      </c>
    </row>
    <row r="933" spans="1:2" x14ac:dyDescent="0.25">
      <c r="A933" t="s">
        <v>1728</v>
      </c>
      <c r="B933" s="13">
        <v>3267</v>
      </c>
    </row>
    <row r="934" spans="1:2" x14ac:dyDescent="0.25">
      <c r="A934" t="s">
        <v>1829</v>
      </c>
      <c r="B934" s="13">
        <v>393</v>
      </c>
    </row>
    <row r="935" spans="1:2" x14ac:dyDescent="0.25">
      <c r="A935" t="s">
        <v>1900</v>
      </c>
      <c r="B935" s="13">
        <v>771</v>
      </c>
    </row>
    <row r="936" spans="1:2" x14ac:dyDescent="0.25">
      <c r="A936" t="s">
        <v>1953</v>
      </c>
      <c r="B936" s="13">
        <v>3226</v>
      </c>
    </row>
    <row r="937" spans="1:2" x14ac:dyDescent="0.25">
      <c r="A937" t="s">
        <v>560</v>
      </c>
      <c r="B937" s="13">
        <v>1752</v>
      </c>
    </row>
    <row r="938" spans="1:2" x14ac:dyDescent="0.25">
      <c r="A938" t="s">
        <v>780</v>
      </c>
      <c r="B938" s="13">
        <v>2589</v>
      </c>
    </row>
    <row r="939" spans="1:2" x14ac:dyDescent="0.25">
      <c r="A939" t="s">
        <v>793</v>
      </c>
      <c r="B939" s="13">
        <v>4003</v>
      </c>
    </row>
    <row r="940" spans="1:2" x14ac:dyDescent="0.25">
      <c r="A940" t="s">
        <v>1306</v>
      </c>
      <c r="B940" s="13">
        <v>4861</v>
      </c>
    </row>
    <row r="941" spans="1:2" x14ac:dyDescent="0.25">
      <c r="A941" t="s">
        <v>1425</v>
      </c>
      <c r="B941" s="13">
        <v>4681</v>
      </c>
    </row>
    <row r="942" spans="1:2" x14ac:dyDescent="0.25">
      <c r="A942" t="s">
        <v>1435</v>
      </c>
      <c r="B942" s="13">
        <v>2147</v>
      </c>
    </row>
    <row r="943" spans="1:2" x14ac:dyDescent="0.25">
      <c r="A943" t="s">
        <v>1688</v>
      </c>
      <c r="B943" s="13">
        <v>40</v>
      </c>
    </row>
    <row r="944" spans="1:2" x14ac:dyDescent="0.25">
      <c r="A944" t="s">
        <v>972</v>
      </c>
      <c r="B944" s="13">
        <v>3192</v>
      </c>
    </row>
    <row r="945" spans="1:2" x14ac:dyDescent="0.25">
      <c r="A945" t="s">
        <v>1068</v>
      </c>
      <c r="B945" s="13">
        <v>7261</v>
      </c>
    </row>
    <row r="946" spans="1:2" x14ac:dyDescent="0.25">
      <c r="A946" t="s">
        <v>1709</v>
      </c>
      <c r="B946" s="13">
        <v>4143</v>
      </c>
    </row>
    <row r="947" spans="1:2" x14ac:dyDescent="0.25">
      <c r="A947" t="s">
        <v>1293</v>
      </c>
      <c r="B947" s="13">
        <v>894</v>
      </c>
    </row>
    <row r="948" spans="1:2" x14ac:dyDescent="0.25">
      <c r="A948" t="s">
        <v>1294</v>
      </c>
      <c r="B948" s="13">
        <v>894</v>
      </c>
    </row>
    <row r="949" spans="1:2" x14ac:dyDescent="0.25">
      <c r="A949" t="s">
        <v>1460</v>
      </c>
      <c r="B949" s="13">
        <v>3556</v>
      </c>
    </row>
    <row r="950" spans="1:2" x14ac:dyDescent="0.25">
      <c r="A950" t="s">
        <v>521</v>
      </c>
      <c r="B950" s="13">
        <v>1922</v>
      </c>
    </row>
    <row r="951" spans="1:2" x14ac:dyDescent="0.25">
      <c r="A951" t="s">
        <v>535</v>
      </c>
      <c r="B951" s="13">
        <v>907</v>
      </c>
    </row>
    <row r="952" spans="1:2" x14ac:dyDescent="0.25">
      <c r="A952" t="s">
        <v>619</v>
      </c>
      <c r="B952" s="13">
        <v>3225</v>
      </c>
    </row>
    <row r="953" spans="1:2" x14ac:dyDescent="0.25">
      <c r="A953" t="s">
        <v>633</v>
      </c>
      <c r="B953" s="13">
        <v>3173</v>
      </c>
    </row>
    <row r="954" spans="1:2" x14ac:dyDescent="0.25">
      <c r="A954" t="s">
        <v>651</v>
      </c>
      <c r="B954" s="13">
        <v>1791</v>
      </c>
    </row>
    <row r="955" spans="1:2" x14ac:dyDescent="0.25">
      <c r="A955" t="s">
        <v>825</v>
      </c>
      <c r="B955" s="13">
        <v>3254</v>
      </c>
    </row>
    <row r="956" spans="1:2" x14ac:dyDescent="0.25">
      <c r="A956" t="s">
        <v>944</v>
      </c>
      <c r="B956" s="13">
        <v>3793</v>
      </c>
    </row>
    <row r="957" spans="1:2" x14ac:dyDescent="0.25">
      <c r="A957" t="s">
        <v>1079</v>
      </c>
      <c r="B957" s="13">
        <v>6979</v>
      </c>
    </row>
    <row r="958" spans="1:2" x14ac:dyDescent="0.25">
      <c r="A958" t="s">
        <v>1470</v>
      </c>
      <c r="B958" s="13">
        <v>8005</v>
      </c>
    </row>
    <row r="959" spans="1:2" x14ac:dyDescent="0.25">
      <c r="A959" t="s">
        <v>1720</v>
      </c>
      <c r="B959" s="13">
        <v>3022</v>
      </c>
    </row>
    <row r="960" spans="1:2" x14ac:dyDescent="0.25">
      <c r="A960" t="s">
        <v>1958</v>
      </c>
      <c r="B960" s="13">
        <v>5709</v>
      </c>
    </row>
    <row r="961" spans="1:2" x14ac:dyDescent="0.25">
      <c r="A961" t="s">
        <v>1325</v>
      </c>
      <c r="B961" s="13">
        <v>5780</v>
      </c>
    </row>
    <row r="962" spans="1:2" x14ac:dyDescent="0.25">
      <c r="A962" t="s">
        <v>640</v>
      </c>
      <c r="B962" s="13">
        <v>840</v>
      </c>
    </row>
    <row r="963" spans="1:2" x14ac:dyDescent="0.25">
      <c r="A963" t="s">
        <v>957</v>
      </c>
      <c r="B963" s="13">
        <v>3418</v>
      </c>
    </row>
    <row r="964" spans="1:2" x14ac:dyDescent="0.25">
      <c r="A964" t="s">
        <v>1336</v>
      </c>
      <c r="B964" s="13">
        <v>939</v>
      </c>
    </row>
    <row r="965" spans="1:2" x14ac:dyDescent="0.25">
      <c r="A965" t="s">
        <v>660</v>
      </c>
      <c r="B965" s="13">
        <v>2681</v>
      </c>
    </row>
    <row r="966" spans="1:2" x14ac:dyDescent="0.25">
      <c r="A966" t="s">
        <v>706</v>
      </c>
      <c r="B966" s="13">
        <v>39</v>
      </c>
    </row>
    <row r="967" spans="1:2" x14ac:dyDescent="0.25">
      <c r="A967" t="s">
        <v>1774</v>
      </c>
      <c r="B967" s="13">
        <v>7138</v>
      </c>
    </row>
    <row r="968" spans="1:2" x14ac:dyDescent="0.25">
      <c r="A968" t="s">
        <v>545</v>
      </c>
      <c r="B968" s="13">
        <v>1955</v>
      </c>
    </row>
    <row r="969" spans="1:2" x14ac:dyDescent="0.25">
      <c r="A969" t="s">
        <v>668</v>
      </c>
      <c r="B969" s="13">
        <v>433</v>
      </c>
    </row>
    <row r="970" spans="1:2" x14ac:dyDescent="0.25">
      <c r="A970" t="s">
        <v>675</v>
      </c>
      <c r="B970" s="13">
        <v>5556</v>
      </c>
    </row>
    <row r="971" spans="1:2" x14ac:dyDescent="0.25">
      <c r="A971" t="s">
        <v>860</v>
      </c>
      <c r="B971" s="13">
        <v>4028</v>
      </c>
    </row>
    <row r="972" spans="1:2" x14ac:dyDescent="0.25">
      <c r="A972" t="s">
        <v>1737</v>
      </c>
      <c r="B972" s="13">
        <v>911</v>
      </c>
    </row>
    <row r="973" spans="1:2" x14ac:dyDescent="0.25">
      <c r="A973" t="s">
        <v>1756</v>
      </c>
      <c r="B973" s="13">
        <v>4271</v>
      </c>
    </row>
    <row r="974" spans="1:2" x14ac:dyDescent="0.25">
      <c r="A974" t="s">
        <v>1764</v>
      </c>
      <c r="B974" s="13">
        <v>2534</v>
      </c>
    </row>
    <row r="975" spans="1:2" x14ac:dyDescent="0.25">
      <c r="A975" t="s">
        <v>1845</v>
      </c>
      <c r="B975" s="13">
        <v>4625</v>
      </c>
    </row>
    <row r="976" spans="1:2" x14ac:dyDescent="0.25">
      <c r="A976" t="s">
        <v>841</v>
      </c>
      <c r="B976" s="13">
        <v>5106</v>
      </c>
    </row>
    <row r="977" spans="1:2" x14ac:dyDescent="0.25">
      <c r="A977" t="s">
        <v>1000</v>
      </c>
      <c r="B977" s="13">
        <v>3264</v>
      </c>
    </row>
    <row r="978" spans="1:2" x14ac:dyDescent="0.25">
      <c r="A978" t="s">
        <v>1355</v>
      </c>
      <c r="B978" s="13">
        <v>837</v>
      </c>
    </row>
    <row r="979" spans="1:2" x14ac:dyDescent="0.25">
      <c r="A979" t="s">
        <v>1385</v>
      </c>
      <c r="B979" s="13">
        <v>1190</v>
      </c>
    </row>
    <row r="980" spans="1:2" x14ac:dyDescent="0.25">
      <c r="A980" t="s">
        <v>551</v>
      </c>
      <c r="B980" s="13">
        <v>294</v>
      </c>
    </row>
    <row r="981" spans="1:2" x14ac:dyDescent="0.25">
      <c r="A981" t="s">
        <v>852</v>
      </c>
      <c r="B981" s="13">
        <v>2146</v>
      </c>
    </row>
    <row r="982" spans="1:2" x14ac:dyDescent="0.25">
      <c r="A982" t="s">
        <v>1133</v>
      </c>
      <c r="B982" s="13">
        <v>971</v>
      </c>
    </row>
    <row r="983" spans="1:2" x14ac:dyDescent="0.25">
      <c r="A983" t="s">
        <v>1147</v>
      </c>
      <c r="B983" s="13">
        <v>3713</v>
      </c>
    </row>
    <row r="984" spans="1:2" x14ac:dyDescent="0.25">
      <c r="A984" t="s">
        <v>1580</v>
      </c>
      <c r="B984" s="13">
        <v>4753</v>
      </c>
    </row>
    <row r="985" spans="1:2" x14ac:dyDescent="0.25">
      <c r="A985" t="s">
        <v>1942</v>
      </c>
      <c r="B985" s="13">
        <v>813</v>
      </c>
    </row>
    <row r="986" spans="1:2" x14ac:dyDescent="0.25">
      <c r="A986" t="s">
        <v>113</v>
      </c>
      <c r="B986" s="13">
        <v>370</v>
      </c>
    </row>
    <row r="987" spans="1:2" x14ac:dyDescent="0.25">
      <c r="A987" t="s">
        <v>716</v>
      </c>
      <c r="B987" s="13">
        <v>718</v>
      </c>
    </row>
    <row r="988" spans="1:2" x14ac:dyDescent="0.25">
      <c r="A988" t="s">
        <v>986</v>
      </c>
      <c r="B988" s="13">
        <v>232</v>
      </c>
    </row>
    <row r="989" spans="1:2" x14ac:dyDescent="0.25">
      <c r="A989" t="s">
        <v>1011</v>
      </c>
      <c r="B989" s="13">
        <v>10375</v>
      </c>
    </row>
    <row r="990" spans="1:2" x14ac:dyDescent="0.25">
      <c r="A990" t="s">
        <v>1154</v>
      </c>
      <c r="B990" s="13">
        <v>741</v>
      </c>
    </row>
    <row r="991" spans="1:2" x14ac:dyDescent="0.25">
      <c r="A991" t="s">
        <v>1396</v>
      </c>
      <c r="B991" s="13">
        <v>2698</v>
      </c>
    </row>
    <row r="992" spans="1:2" x14ac:dyDescent="0.25">
      <c r="A992" t="s">
        <v>1597</v>
      </c>
      <c r="B992" s="13">
        <v>2971</v>
      </c>
    </row>
    <row r="993" spans="1:2" x14ac:dyDescent="0.25">
      <c r="A993" t="s">
        <v>566</v>
      </c>
      <c r="B993" s="13">
        <v>447</v>
      </c>
    </row>
    <row r="994" spans="1:2" x14ac:dyDescent="0.25">
      <c r="A994" t="s">
        <v>734</v>
      </c>
      <c r="B994" s="13">
        <v>4394</v>
      </c>
    </row>
    <row r="995" spans="1:2" x14ac:dyDescent="0.25">
      <c r="A995" t="s">
        <v>865</v>
      </c>
      <c r="B995" s="13">
        <v>1208</v>
      </c>
    </row>
    <row r="996" spans="1:2" x14ac:dyDescent="0.25">
      <c r="A996" t="s">
        <v>1016</v>
      </c>
      <c r="B996" s="13">
        <v>493</v>
      </c>
    </row>
    <row r="997" spans="1:2" x14ac:dyDescent="0.25">
      <c r="A997" t="s">
        <v>1375</v>
      </c>
      <c r="B997" s="13">
        <v>3315</v>
      </c>
    </row>
    <row r="998" spans="1:2" x14ac:dyDescent="0.25">
      <c r="A998" t="s">
        <v>1409</v>
      </c>
      <c r="B998" s="13">
        <v>3285</v>
      </c>
    </row>
    <row r="999" spans="1:2" x14ac:dyDescent="0.25">
      <c r="A999" t="s">
        <v>1496</v>
      </c>
      <c r="B999" s="13">
        <v>1318</v>
      </c>
    </row>
    <row r="1000" spans="1:2" x14ac:dyDescent="0.25">
      <c r="A1000" t="s">
        <v>1506</v>
      </c>
      <c r="B1000" s="13">
        <v>6296</v>
      </c>
    </row>
    <row r="1001" spans="1:2" x14ac:dyDescent="0.25">
      <c r="A1001" t="s">
        <v>1784</v>
      </c>
      <c r="B1001" s="13">
        <v>5127</v>
      </c>
    </row>
    <row r="1002" spans="1:2" x14ac:dyDescent="0.25">
      <c r="A1002" t="s">
        <v>1976</v>
      </c>
      <c r="B1002" s="13">
        <v>3730</v>
      </c>
    </row>
    <row r="1003" spans="1:2" x14ac:dyDescent="0.25">
      <c r="A1003" t="s">
        <v>729</v>
      </c>
      <c r="B1003" s="13">
        <v>1316</v>
      </c>
    </row>
    <row r="1004" spans="1:2" x14ac:dyDescent="0.25">
      <c r="A1004" t="s">
        <v>742</v>
      </c>
      <c r="B1004" s="13">
        <v>1317</v>
      </c>
    </row>
    <row r="1005" spans="1:2" x14ac:dyDescent="0.25">
      <c r="A1005" t="s">
        <v>750</v>
      </c>
      <c r="B1005" s="13">
        <v>318</v>
      </c>
    </row>
    <row r="1006" spans="1:2" x14ac:dyDescent="0.25">
      <c r="A1006" t="s">
        <v>879</v>
      </c>
      <c r="B1006" s="13">
        <v>5436</v>
      </c>
    </row>
    <row r="1007" spans="1:2" x14ac:dyDescent="0.25">
      <c r="A1007" t="s">
        <v>1031</v>
      </c>
      <c r="B1007" s="13">
        <v>1987</v>
      </c>
    </row>
    <row r="1008" spans="1:2" x14ac:dyDescent="0.25">
      <c r="A1008" t="s">
        <v>1086</v>
      </c>
      <c r="B1008" s="13">
        <v>206</v>
      </c>
    </row>
    <row r="1009" spans="1:2" x14ac:dyDescent="0.25">
      <c r="A1009" t="s">
        <v>1172</v>
      </c>
      <c r="B1009" s="13">
        <v>7846</v>
      </c>
    </row>
    <row r="1010" spans="1:2" x14ac:dyDescent="0.25">
      <c r="A1010" t="s">
        <v>1185</v>
      </c>
      <c r="B1010" s="13">
        <v>886</v>
      </c>
    </row>
    <row r="1011" spans="1:2" x14ac:dyDescent="0.25">
      <c r="A1011" t="s">
        <v>1198</v>
      </c>
      <c r="B1011" s="13">
        <v>3122</v>
      </c>
    </row>
    <row r="1012" spans="1:2" x14ac:dyDescent="0.25">
      <c r="A1012" t="s">
        <v>1531</v>
      </c>
      <c r="B1012" s="13">
        <v>214</v>
      </c>
    </row>
    <row r="1013" spans="1:2" x14ac:dyDescent="0.25">
      <c r="A1013" t="s">
        <v>1539</v>
      </c>
      <c r="B1013" s="13">
        <v>3770</v>
      </c>
    </row>
    <row r="1014" spans="1:2" x14ac:dyDescent="0.25">
      <c r="A1014" t="s">
        <v>1611</v>
      </c>
      <c r="B1014" s="13">
        <v>2545</v>
      </c>
    </row>
    <row r="1015" spans="1:2" x14ac:dyDescent="0.25">
      <c r="A1015" t="s">
        <v>1644</v>
      </c>
      <c r="B1015" s="13">
        <v>2181</v>
      </c>
    </row>
    <row r="1016" spans="1:2" x14ac:dyDescent="0.25">
      <c r="A1016" t="s">
        <v>1854</v>
      </c>
      <c r="B1016" s="13">
        <v>1939</v>
      </c>
    </row>
    <row r="1017" spans="1:2" x14ac:dyDescent="0.25">
      <c r="A1017" t="s">
        <v>1935</v>
      </c>
      <c r="B1017" s="13">
        <v>721</v>
      </c>
    </row>
    <row r="1018" spans="1:2" x14ac:dyDescent="0.25">
      <c r="A1018" t="s">
        <v>1044</v>
      </c>
      <c r="B1018" s="13">
        <v>3502</v>
      </c>
    </row>
    <row r="1019" spans="1:2" x14ac:dyDescent="0.25">
      <c r="A1019" t="s">
        <v>1208</v>
      </c>
      <c r="B1019" s="13">
        <v>2439</v>
      </c>
    </row>
    <row r="1020" spans="1:2" x14ac:dyDescent="0.25">
      <c r="A1020" t="s">
        <v>1622</v>
      </c>
      <c r="B1020" s="13">
        <v>4023</v>
      </c>
    </row>
    <row r="1021" spans="1:2" x14ac:dyDescent="0.25">
      <c r="A1021" t="s">
        <v>1653</v>
      </c>
      <c r="B1021" s="13">
        <v>1000</v>
      </c>
    </row>
    <row r="1022" spans="1:2" x14ac:dyDescent="0.25">
      <c r="A1022" t="s">
        <v>1803</v>
      </c>
      <c r="B1022" s="13">
        <v>4860</v>
      </c>
    </row>
    <row r="1023" spans="1:2" x14ac:dyDescent="0.25">
      <c r="A1023" t="s">
        <v>1858</v>
      </c>
      <c r="B1023" s="13">
        <v>3353</v>
      </c>
    </row>
    <row r="1024" spans="1:2" x14ac:dyDescent="0.25">
      <c r="A1024" t="s">
        <v>1859</v>
      </c>
      <c r="B1024" s="13">
        <v>6938</v>
      </c>
    </row>
    <row r="1025" spans="1:2" x14ac:dyDescent="0.25">
      <c r="A1025" t="s">
        <v>1867</v>
      </c>
      <c r="B1025" s="13">
        <v>4676</v>
      </c>
    </row>
    <row r="1026" spans="1:2" x14ac:dyDescent="0.25">
      <c r="A1026" t="s">
        <v>612</v>
      </c>
      <c r="B1026" s="13">
        <v>2244</v>
      </c>
    </row>
    <row r="1027" spans="1:2" x14ac:dyDescent="0.25">
      <c r="A1027" t="s">
        <v>1554</v>
      </c>
      <c r="B1027" s="13">
        <v>6318</v>
      </c>
    </row>
    <row r="1028" spans="1:2" x14ac:dyDescent="0.25">
      <c r="A1028" t="s">
        <v>1660</v>
      </c>
      <c r="B1028" s="13">
        <v>1232</v>
      </c>
    </row>
    <row r="1029" spans="1:2" x14ac:dyDescent="0.25">
      <c r="A1029" t="s">
        <v>1667</v>
      </c>
      <c r="B1029" s="13">
        <v>5784</v>
      </c>
    </row>
    <row r="1030" spans="1:2" x14ac:dyDescent="0.25">
      <c r="A1030" t="s">
        <v>1677</v>
      </c>
      <c r="B1030" s="13">
        <v>1586</v>
      </c>
    </row>
    <row r="1031" spans="1:2" x14ac:dyDescent="0.25">
      <c r="A1031" t="s">
        <v>1809</v>
      </c>
      <c r="B1031" s="13">
        <v>3950</v>
      </c>
    </row>
    <row r="1032" spans="1:2" x14ac:dyDescent="0.25">
      <c r="A1032" t="s">
        <v>1817</v>
      </c>
      <c r="B1032" s="13">
        <v>820</v>
      </c>
    </row>
    <row r="1033" spans="1:2" x14ac:dyDescent="0.25">
      <c r="A1033" t="s">
        <v>1878</v>
      </c>
      <c r="B1033" s="13">
        <v>853</v>
      </c>
    </row>
    <row r="1034" spans="1:2" x14ac:dyDescent="0.25">
      <c r="A1034" t="s">
        <v>1893</v>
      </c>
      <c r="B1034" s="13">
        <v>939</v>
      </c>
    </row>
    <row r="1035" spans="1:2" x14ac:dyDescent="0.25">
      <c r="A1035" t="s">
        <v>757</v>
      </c>
      <c r="B1035" s="13">
        <v>2326</v>
      </c>
    </row>
    <row r="1036" spans="1:2" x14ac:dyDescent="0.25">
      <c r="A1036" t="s">
        <v>773</v>
      </c>
      <c r="B1036" s="13">
        <v>950</v>
      </c>
    </row>
    <row r="1037" spans="1:2" x14ac:dyDescent="0.25">
      <c r="A1037" t="s">
        <v>917</v>
      </c>
      <c r="B1037" s="13">
        <v>1719</v>
      </c>
    </row>
    <row r="1038" spans="1:2" x14ac:dyDescent="0.25">
      <c r="A1038" t="s">
        <v>932</v>
      </c>
      <c r="B1038" s="13">
        <v>4211</v>
      </c>
    </row>
    <row r="1039" spans="1:2" x14ac:dyDescent="0.25">
      <c r="A1039" t="s">
        <v>1094</v>
      </c>
      <c r="B1039" s="13">
        <v>1965</v>
      </c>
    </row>
    <row r="1040" spans="1:2" x14ac:dyDescent="0.25">
      <c r="A1040" t="s">
        <v>1227</v>
      </c>
      <c r="B1040" s="13">
        <v>3654</v>
      </c>
    </row>
    <row r="1041" spans="1:2" x14ac:dyDescent="0.25">
      <c r="A1041" t="s">
        <v>1239</v>
      </c>
      <c r="B1041" s="13">
        <v>55</v>
      </c>
    </row>
    <row r="1042" spans="1:2" x14ac:dyDescent="0.25">
      <c r="A1042" t="s">
        <v>1276</v>
      </c>
      <c r="B1042" s="13">
        <v>1023</v>
      </c>
    </row>
    <row r="1043" spans="1:2" x14ac:dyDescent="0.25">
      <c r="A1043" t="s">
        <v>1283</v>
      </c>
      <c r="B1043" s="13">
        <v>1523</v>
      </c>
    </row>
    <row r="1044" spans="1:2" x14ac:dyDescent="0.25">
      <c r="A1044" t="s">
        <v>1418</v>
      </c>
      <c r="B1044" s="13">
        <v>4136</v>
      </c>
    </row>
    <row r="1045" spans="1:2" x14ac:dyDescent="0.25">
      <c r="A1045" t="s">
        <v>1729</v>
      </c>
      <c r="B1045" s="13">
        <v>3579</v>
      </c>
    </row>
    <row r="1046" spans="1:2" x14ac:dyDescent="0.25">
      <c r="A1046" t="s">
        <v>1901</v>
      </c>
      <c r="B1046" s="13">
        <v>445</v>
      </c>
    </row>
    <row r="1047" spans="1:2" x14ac:dyDescent="0.25">
      <c r="A1047" t="s">
        <v>1954</v>
      </c>
      <c r="B1047" s="13">
        <v>2138</v>
      </c>
    </row>
    <row r="1048" spans="1:2" x14ac:dyDescent="0.25">
      <c r="A1048" t="s">
        <v>781</v>
      </c>
      <c r="B1048" s="13">
        <v>4334</v>
      </c>
    </row>
    <row r="1049" spans="1:2" x14ac:dyDescent="0.25">
      <c r="A1049" t="s">
        <v>794</v>
      </c>
      <c r="B1049" s="13">
        <v>3268</v>
      </c>
    </row>
    <row r="1050" spans="1:2" x14ac:dyDescent="0.25">
      <c r="A1050" t="s">
        <v>1307</v>
      </c>
      <c r="B1050" s="13">
        <v>4726</v>
      </c>
    </row>
    <row r="1051" spans="1:2" x14ac:dyDescent="0.25">
      <c r="A1051" t="s">
        <v>1426</v>
      </c>
      <c r="B1051" s="13">
        <v>5288</v>
      </c>
    </row>
    <row r="1052" spans="1:2" x14ac:dyDescent="0.25">
      <c r="A1052" t="s">
        <v>1436</v>
      </c>
      <c r="B1052" s="13">
        <v>3826</v>
      </c>
    </row>
    <row r="1053" spans="1:2" x14ac:dyDescent="0.25">
      <c r="A1053" t="s">
        <v>1689</v>
      </c>
      <c r="B1053" s="13">
        <v>1350</v>
      </c>
    </row>
    <row r="1054" spans="1:2" x14ac:dyDescent="0.25">
      <c r="A1054" t="s">
        <v>604</v>
      </c>
      <c r="B1054" s="13">
        <v>2349</v>
      </c>
    </row>
    <row r="1055" spans="1:2" x14ac:dyDescent="0.25">
      <c r="A1055" t="s">
        <v>973</v>
      </c>
      <c r="B1055" s="13">
        <v>4125</v>
      </c>
    </row>
    <row r="1056" spans="1:2" x14ac:dyDescent="0.25">
      <c r="A1056" t="s">
        <v>1069</v>
      </c>
      <c r="B1056" s="13">
        <v>6534</v>
      </c>
    </row>
    <row r="1057" spans="1:2" x14ac:dyDescent="0.25">
      <c r="A1057" t="s">
        <v>1295</v>
      </c>
      <c r="B1057" s="13">
        <v>973</v>
      </c>
    </row>
    <row r="1058" spans="1:2" x14ac:dyDescent="0.25">
      <c r="A1058" t="s">
        <v>1461</v>
      </c>
      <c r="B1058" s="13">
        <v>3466</v>
      </c>
    </row>
    <row r="1059" spans="1:2" x14ac:dyDescent="0.25">
      <c r="A1059" t="s">
        <v>1710</v>
      </c>
      <c r="B1059" s="13">
        <v>4902</v>
      </c>
    </row>
    <row r="1060" spans="1:2" x14ac:dyDescent="0.25">
      <c r="A1060" t="s">
        <v>593</v>
      </c>
      <c r="B1060" s="13">
        <v>2585</v>
      </c>
    </row>
    <row r="1061" spans="1:2" x14ac:dyDescent="0.25">
      <c r="A1061" t="s">
        <v>620</v>
      </c>
      <c r="B1061" s="13">
        <v>2901</v>
      </c>
    </row>
    <row r="1062" spans="1:2" x14ac:dyDescent="0.25">
      <c r="A1062" t="s">
        <v>623</v>
      </c>
      <c r="B1062" s="13">
        <v>400</v>
      </c>
    </row>
    <row r="1063" spans="1:2" x14ac:dyDescent="0.25">
      <c r="A1063" t="s">
        <v>652</v>
      </c>
      <c r="B1063" s="13">
        <v>653</v>
      </c>
    </row>
    <row r="1064" spans="1:2" x14ac:dyDescent="0.25">
      <c r="A1064" t="s">
        <v>826</v>
      </c>
      <c r="B1064" s="13">
        <v>2049</v>
      </c>
    </row>
    <row r="1065" spans="1:2" x14ac:dyDescent="0.25">
      <c r="A1065" t="s">
        <v>945</v>
      </c>
      <c r="B1065" s="13">
        <v>1975</v>
      </c>
    </row>
    <row r="1066" spans="1:2" x14ac:dyDescent="0.25">
      <c r="A1066" t="s">
        <v>1080</v>
      </c>
      <c r="B1066" s="13">
        <v>4653</v>
      </c>
    </row>
    <row r="1067" spans="1:2" x14ac:dyDescent="0.25">
      <c r="A1067" t="s">
        <v>1471</v>
      </c>
      <c r="B1067" s="13">
        <v>8667</v>
      </c>
    </row>
    <row r="1068" spans="1:2" x14ac:dyDescent="0.25">
      <c r="A1068" t="s">
        <v>1721</v>
      </c>
      <c r="B1068" s="13">
        <v>2658</v>
      </c>
    </row>
    <row r="1069" spans="1:2" x14ac:dyDescent="0.25">
      <c r="A1069" t="s">
        <v>1959</v>
      </c>
      <c r="B1069" s="13">
        <v>6868</v>
      </c>
    </row>
    <row r="1070" spans="1:2" x14ac:dyDescent="0.25">
      <c r="A1070" t="s">
        <v>1965</v>
      </c>
      <c r="B1070" s="13">
        <v>554</v>
      </c>
    </row>
    <row r="1071" spans="1:2" x14ac:dyDescent="0.25">
      <c r="A1071" t="s">
        <v>634</v>
      </c>
      <c r="B1071" s="13">
        <v>5753</v>
      </c>
    </row>
    <row r="1072" spans="1:2" x14ac:dyDescent="0.25">
      <c r="A1072" t="s">
        <v>626</v>
      </c>
      <c r="B1072" s="13">
        <v>349</v>
      </c>
    </row>
    <row r="1073" spans="1:2" x14ac:dyDescent="0.25">
      <c r="A1073" t="s">
        <v>641</v>
      </c>
      <c r="B1073" s="13">
        <v>1448</v>
      </c>
    </row>
    <row r="1074" spans="1:2" x14ac:dyDescent="0.25">
      <c r="A1074" t="s">
        <v>661</v>
      </c>
      <c r="B1074" s="13">
        <v>3730</v>
      </c>
    </row>
    <row r="1075" spans="1:2" x14ac:dyDescent="0.25">
      <c r="A1075" t="s">
        <v>669</v>
      </c>
      <c r="B1075" s="13">
        <v>1526</v>
      </c>
    </row>
    <row r="1076" spans="1:2" x14ac:dyDescent="0.25">
      <c r="A1076" t="s">
        <v>676</v>
      </c>
      <c r="B1076" s="13">
        <v>473</v>
      </c>
    </row>
    <row r="1077" spans="1:2" x14ac:dyDescent="0.25">
      <c r="A1077" t="s">
        <v>680</v>
      </c>
      <c r="B1077" s="13">
        <v>2360</v>
      </c>
    </row>
    <row r="1078" spans="1:2" x14ac:dyDescent="0.25">
      <c r="A1078" t="s">
        <v>684</v>
      </c>
      <c r="B1078" s="13">
        <v>1856</v>
      </c>
    </row>
    <row r="1079" spans="1:2" x14ac:dyDescent="0.25">
      <c r="A1079" t="s">
        <v>707</v>
      </c>
      <c r="B1079" s="13">
        <v>394</v>
      </c>
    </row>
    <row r="1080" spans="1:2" x14ac:dyDescent="0.25">
      <c r="A1080" t="s">
        <v>861</v>
      </c>
      <c r="B1080" s="13">
        <v>3374</v>
      </c>
    </row>
    <row r="1081" spans="1:2" x14ac:dyDescent="0.25">
      <c r="A1081" t="s">
        <v>958</v>
      </c>
      <c r="B1081" s="13">
        <v>4399</v>
      </c>
    </row>
    <row r="1082" spans="1:2" x14ac:dyDescent="0.25">
      <c r="A1082" t="s">
        <v>1326</v>
      </c>
      <c r="B1082" s="13">
        <v>58</v>
      </c>
    </row>
    <row r="1083" spans="1:2" x14ac:dyDescent="0.25">
      <c r="A1083" t="s">
        <v>1337</v>
      </c>
      <c r="B1083" s="13">
        <v>1112</v>
      </c>
    </row>
    <row r="1084" spans="1:2" x14ac:dyDescent="0.25">
      <c r="A1084" t="s">
        <v>1775</v>
      </c>
      <c r="B1084" s="13">
        <v>7325</v>
      </c>
    </row>
    <row r="1085" spans="1:2" x14ac:dyDescent="0.25">
      <c r="A1085" t="s">
        <v>717</v>
      </c>
      <c r="B1085" s="13">
        <v>2780</v>
      </c>
    </row>
    <row r="1086" spans="1:2" x14ac:dyDescent="0.25">
      <c r="A1086" t="s">
        <v>853</v>
      </c>
      <c r="B1086" s="13">
        <v>4159</v>
      </c>
    </row>
    <row r="1087" spans="1:2" x14ac:dyDescent="0.25">
      <c r="A1087" t="s">
        <v>1001</v>
      </c>
      <c r="B1087" s="13">
        <v>4126</v>
      </c>
    </row>
    <row r="1088" spans="1:2" x14ac:dyDescent="0.25">
      <c r="A1088" t="s">
        <v>1134</v>
      </c>
      <c r="B1088" s="13">
        <v>1399</v>
      </c>
    </row>
    <row r="1089" spans="1:2" x14ac:dyDescent="0.25">
      <c r="A1089" t="s">
        <v>1738</v>
      </c>
      <c r="B1089" s="13">
        <v>1888</v>
      </c>
    </row>
    <row r="1090" spans="1:2" x14ac:dyDescent="0.25">
      <c r="A1090" t="s">
        <v>1757</v>
      </c>
      <c r="B1090" s="13">
        <v>3853</v>
      </c>
    </row>
    <row r="1091" spans="1:2" x14ac:dyDescent="0.25">
      <c r="A1091" t="s">
        <v>1765</v>
      </c>
      <c r="B1091" s="13">
        <v>1985</v>
      </c>
    </row>
    <row r="1092" spans="1:2" x14ac:dyDescent="0.25">
      <c r="A1092" t="s">
        <v>1846</v>
      </c>
      <c r="B1092" s="13">
        <v>4278</v>
      </c>
    </row>
    <row r="1093" spans="1:2" x14ac:dyDescent="0.25">
      <c r="A1093" t="s">
        <v>1949</v>
      </c>
      <c r="B1093" s="13">
        <v>200</v>
      </c>
    </row>
    <row r="1094" spans="1:2" x14ac:dyDescent="0.25">
      <c r="A1094" t="s">
        <v>1563</v>
      </c>
      <c r="B1094" s="13">
        <v>1</v>
      </c>
    </row>
    <row r="1095" spans="1:2" x14ac:dyDescent="0.25">
      <c r="A1095" t="s">
        <v>842</v>
      </c>
      <c r="B1095" s="13">
        <v>5125</v>
      </c>
    </row>
    <row r="1096" spans="1:2" x14ac:dyDescent="0.25">
      <c r="A1096" t="s">
        <v>987</v>
      </c>
      <c r="B1096" s="13">
        <v>507</v>
      </c>
    </row>
    <row r="1097" spans="1:2" x14ac:dyDescent="0.25">
      <c r="A1097" t="s">
        <v>1012</v>
      </c>
      <c r="B1097" s="13">
        <v>8534</v>
      </c>
    </row>
    <row r="1098" spans="1:2" x14ac:dyDescent="0.25">
      <c r="A1098" t="s">
        <v>1148</v>
      </c>
      <c r="B1098" s="13">
        <v>3260</v>
      </c>
    </row>
    <row r="1099" spans="1:2" x14ac:dyDescent="0.25">
      <c r="A1099" t="s">
        <v>1155</v>
      </c>
      <c r="B1099" s="13">
        <v>943</v>
      </c>
    </row>
    <row r="1100" spans="1:2" x14ac:dyDescent="0.25">
      <c r="A1100" t="s">
        <v>1358</v>
      </c>
      <c r="B1100" s="13">
        <v>1789</v>
      </c>
    </row>
    <row r="1101" spans="1:2" x14ac:dyDescent="0.25">
      <c r="A1101" t="s">
        <v>1386</v>
      </c>
      <c r="B1101" s="13">
        <v>1168</v>
      </c>
    </row>
    <row r="1102" spans="1:2" x14ac:dyDescent="0.25">
      <c r="A1102" t="s">
        <v>1397</v>
      </c>
      <c r="B1102" s="13">
        <v>2892</v>
      </c>
    </row>
    <row r="1103" spans="1:2" x14ac:dyDescent="0.25">
      <c r="A1103" t="s">
        <v>1598</v>
      </c>
      <c r="B1103" s="13">
        <v>2912</v>
      </c>
    </row>
    <row r="1104" spans="1:2" x14ac:dyDescent="0.25">
      <c r="A1104" t="s">
        <v>1943</v>
      </c>
      <c r="B1104" s="13">
        <v>928</v>
      </c>
    </row>
    <row r="1105" spans="1:2" x14ac:dyDescent="0.25">
      <c r="A1105" t="s">
        <v>730</v>
      </c>
      <c r="B1105" s="13">
        <v>922</v>
      </c>
    </row>
    <row r="1106" spans="1:2" x14ac:dyDescent="0.25">
      <c r="A1106" t="s">
        <v>866</v>
      </c>
      <c r="B1106" s="13">
        <v>397</v>
      </c>
    </row>
    <row r="1107" spans="1:2" x14ac:dyDescent="0.25">
      <c r="A1107" t="s">
        <v>1376</v>
      </c>
      <c r="B1107" s="13">
        <v>1601</v>
      </c>
    </row>
    <row r="1108" spans="1:2" x14ac:dyDescent="0.25">
      <c r="A1108" t="s">
        <v>1410</v>
      </c>
      <c r="B1108" s="13">
        <v>2984</v>
      </c>
    </row>
    <row r="1109" spans="1:2" x14ac:dyDescent="0.25">
      <c r="A1109" t="s">
        <v>1497</v>
      </c>
      <c r="B1109" s="13">
        <v>996</v>
      </c>
    </row>
    <row r="1110" spans="1:2" x14ac:dyDescent="0.25">
      <c r="A1110" t="s">
        <v>1507</v>
      </c>
      <c r="B1110" s="13">
        <v>7998</v>
      </c>
    </row>
    <row r="1111" spans="1:2" x14ac:dyDescent="0.25">
      <c r="A1111" t="s">
        <v>1785</v>
      </c>
      <c r="B1111" s="13">
        <v>5394</v>
      </c>
    </row>
    <row r="1112" spans="1:2" x14ac:dyDescent="0.25">
      <c r="A1112" t="s">
        <v>1977</v>
      </c>
      <c r="B1112" s="13">
        <v>3935</v>
      </c>
    </row>
    <row r="1113" spans="1:2" x14ac:dyDescent="0.25">
      <c r="A1113" t="s">
        <v>1032</v>
      </c>
      <c r="B1113" s="13">
        <v>1243</v>
      </c>
    </row>
    <row r="1114" spans="1:2" x14ac:dyDescent="0.25">
      <c r="A1114" t="s">
        <v>1114</v>
      </c>
      <c r="B1114" s="13">
        <v>906</v>
      </c>
    </row>
    <row r="1115" spans="1:2" x14ac:dyDescent="0.25">
      <c r="A1115" t="s">
        <v>1173</v>
      </c>
      <c r="B1115" s="13">
        <v>8029</v>
      </c>
    </row>
    <row r="1116" spans="1:2" x14ac:dyDescent="0.25">
      <c r="A1116" t="s">
        <v>1186</v>
      </c>
      <c r="B1116" s="13">
        <v>450</v>
      </c>
    </row>
    <row r="1117" spans="1:2" x14ac:dyDescent="0.25">
      <c r="A1117" t="s">
        <v>1199</v>
      </c>
      <c r="B1117" s="13">
        <v>741</v>
      </c>
    </row>
    <row r="1118" spans="1:2" x14ac:dyDescent="0.25">
      <c r="A1118" t="s">
        <v>1540</v>
      </c>
      <c r="B1118" s="13">
        <v>3813</v>
      </c>
    </row>
    <row r="1119" spans="1:2" x14ac:dyDescent="0.25">
      <c r="A1119" t="s">
        <v>1612</v>
      </c>
      <c r="B1119" s="13">
        <v>3285</v>
      </c>
    </row>
    <row r="1120" spans="1:2" x14ac:dyDescent="0.25">
      <c r="A1120" t="s">
        <v>1087</v>
      </c>
      <c r="B1120" s="13">
        <v>406</v>
      </c>
    </row>
    <row r="1121" spans="1:2" x14ac:dyDescent="0.25">
      <c r="A1121" t="s">
        <v>1218</v>
      </c>
      <c r="B1121" s="13">
        <v>-1827</v>
      </c>
    </row>
    <row r="1122" spans="1:2" x14ac:dyDescent="0.25">
      <c r="A1122" t="s">
        <v>880</v>
      </c>
      <c r="B1122" s="13">
        <v>5503</v>
      </c>
    </row>
    <row r="1123" spans="1:2" x14ac:dyDescent="0.25">
      <c r="A1123" t="s">
        <v>1555</v>
      </c>
      <c r="B1123" s="13">
        <v>5919</v>
      </c>
    </row>
    <row r="1124" spans="1:2" x14ac:dyDescent="0.25">
      <c r="A1124" t="s">
        <v>1623</v>
      </c>
      <c r="B1124" s="13">
        <v>3968</v>
      </c>
    </row>
    <row r="1125" spans="1:2" x14ac:dyDescent="0.25">
      <c r="A1125" t="s">
        <v>1645</v>
      </c>
      <c r="B1125" s="13">
        <v>2155</v>
      </c>
    </row>
    <row r="1126" spans="1:2" x14ac:dyDescent="0.25">
      <c r="A1126" t="s">
        <v>1654</v>
      </c>
      <c r="B1126" s="13">
        <v>256</v>
      </c>
    </row>
    <row r="1127" spans="1:2" x14ac:dyDescent="0.25">
      <c r="A1127" t="s">
        <v>1668</v>
      </c>
      <c r="B1127" s="13">
        <v>4566</v>
      </c>
    </row>
    <row r="1128" spans="1:2" x14ac:dyDescent="0.25">
      <c r="A1128" t="s">
        <v>1678</v>
      </c>
      <c r="B1128" s="13">
        <v>1432</v>
      </c>
    </row>
    <row r="1129" spans="1:2" x14ac:dyDescent="0.25">
      <c r="A1129" t="s">
        <v>1860</v>
      </c>
      <c r="B1129" s="13">
        <v>3662</v>
      </c>
    </row>
    <row r="1130" spans="1:2" x14ac:dyDescent="0.25">
      <c r="A1130" t="s">
        <v>1868</v>
      </c>
      <c r="B1130" s="13">
        <v>4328</v>
      </c>
    </row>
    <row r="1131" spans="1:2" x14ac:dyDescent="0.25">
      <c r="A1131" t="s">
        <v>1879</v>
      </c>
      <c r="B1131" s="13">
        <v>1304</v>
      </c>
    </row>
    <row r="1132" spans="1:2" x14ac:dyDescent="0.25">
      <c r="A1132" t="s">
        <v>1883</v>
      </c>
      <c r="B1132" s="13">
        <v>2251</v>
      </c>
    </row>
    <row r="1133" spans="1:2" x14ac:dyDescent="0.25">
      <c r="A1133" t="s">
        <v>1894</v>
      </c>
      <c r="B1133" s="13">
        <v>4080</v>
      </c>
    </row>
    <row r="1134" spans="1:2" x14ac:dyDescent="0.25">
      <c r="A1134" t="s">
        <v>1936</v>
      </c>
      <c r="B1134" s="13">
        <v>566</v>
      </c>
    </row>
    <row r="1135" spans="1:2" x14ac:dyDescent="0.25">
      <c r="A1135" t="s">
        <v>1981</v>
      </c>
      <c r="B1135" s="13">
        <v>306</v>
      </c>
    </row>
    <row r="1136" spans="1:2" x14ac:dyDescent="0.25">
      <c r="A1136" t="s">
        <v>1988</v>
      </c>
      <c r="B1136" s="13">
        <v>3180</v>
      </c>
    </row>
    <row r="1137" spans="1:2" x14ac:dyDescent="0.25">
      <c r="A1137" t="s">
        <v>1997</v>
      </c>
      <c r="B1137" s="13">
        <v>2974</v>
      </c>
    </row>
    <row r="1138" spans="1:2" x14ac:dyDescent="0.25">
      <c r="A1138" t="s">
        <v>1103</v>
      </c>
      <c r="B1138" s="13">
        <v>17456</v>
      </c>
    </row>
    <row r="1139" spans="1:2" x14ac:dyDescent="0.25">
      <c r="A1139" t="s">
        <v>1104</v>
      </c>
      <c r="B1139" s="13">
        <v>5443</v>
      </c>
    </row>
    <row r="1140" spans="1:2" x14ac:dyDescent="0.25">
      <c r="A1140" t="s">
        <v>758</v>
      </c>
      <c r="B1140" s="13">
        <v>3344</v>
      </c>
    </row>
    <row r="1141" spans="1:2" x14ac:dyDescent="0.25">
      <c r="A1141" t="s">
        <v>1105</v>
      </c>
      <c r="B1141" s="13">
        <v>4520</v>
      </c>
    </row>
    <row r="1142" spans="1:2" x14ac:dyDescent="0.25">
      <c r="A1142" t="s">
        <v>1106</v>
      </c>
      <c r="B1142" s="13">
        <v>7304</v>
      </c>
    </row>
    <row r="1143" spans="1:2" x14ac:dyDescent="0.25">
      <c r="A1143" t="s">
        <v>1107</v>
      </c>
      <c r="B1143" s="13">
        <v>4611</v>
      </c>
    </row>
    <row r="1144" spans="1:2" x14ac:dyDescent="0.25">
      <c r="A1144" t="s">
        <v>1108</v>
      </c>
      <c r="B1144" s="13">
        <v>6165</v>
      </c>
    </row>
    <row r="1145" spans="1:2" x14ac:dyDescent="0.25">
      <c r="A1145" t="s">
        <v>1109</v>
      </c>
      <c r="B1145" s="13">
        <v>10630</v>
      </c>
    </row>
    <row r="1146" spans="1:2" x14ac:dyDescent="0.25">
      <c r="A1146" t="s">
        <v>763</v>
      </c>
      <c r="B1146" s="13">
        <v>5112</v>
      </c>
    </row>
    <row r="1147" spans="1:2" x14ac:dyDescent="0.25">
      <c r="A1147" t="s">
        <v>774</v>
      </c>
      <c r="B1147" s="13">
        <v>1580</v>
      </c>
    </row>
    <row r="1148" spans="1:2" x14ac:dyDescent="0.25">
      <c r="A1148" t="s">
        <v>782</v>
      </c>
      <c r="B1148" s="13">
        <v>4882</v>
      </c>
    </row>
    <row r="1149" spans="1:2" x14ac:dyDescent="0.25">
      <c r="A1149" t="s">
        <v>785</v>
      </c>
      <c r="B1149" s="13">
        <v>99</v>
      </c>
    </row>
    <row r="1150" spans="1:2" x14ac:dyDescent="0.25">
      <c r="A1150" t="s">
        <v>795</v>
      </c>
      <c r="B1150" s="13">
        <v>2136</v>
      </c>
    </row>
    <row r="1151" spans="1:2" x14ac:dyDescent="0.25">
      <c r="A1151" t="s">
        <v>898</v>
      </c>
      <c r="B1151" s="13">
        <v>2165</v>
      </c>
    </row>
    <row r="1152" spans="1:2" x14ac:dyDescent="0.25">
      <c r="A1152" t="s">
        <v>918</v>
      </c>
      <c r="B1152" s="13">
        <v>15</v>
      </c>
    </row>
    <row r="1153" spans="1:2" x14ac:dyDescent="0.25">
      <c r="A1153" t="s">
        <v>933</v>
      </c>
      <c r="B1153" s="13">
        <v>2604</v>
      </c>
    </row>
    <row r="1154" spans="1:2" x14ac:dyDescent="0.25">
      <c r="A1154" t="s">
        <v>1419</v>
      </c>
      <c r="B1154" s="13">
        <v>3843</v>
      </c>
    </row>
    <row r="1155" spans="1:2" x14ac:dyDescent="0.25">
      <c r="A1155" t="s">
        <v>1695</v>
      </c>
      <c r="B1155" s="13">
        <v>4385</v>
      </c>
    </row>
    <row r="1156" spans="1:2" x14ac:dyDescent="0.25">
      <c r="A1156" t="s">
        <v>1730</v>
      </c>
      <c r="B1156" s="13">
        <v>3510</v>
      </c>
    </row>
    <row r="1157" spans="1:2" x14ac:dyDescent="0.25">
      <c r="A1157" t="s">
        <v>1810</v>
      </c>
      <c r="B1157" s="13">
        <v>4407</v>
      </c>
    </row>
    <row r="1158" spans="1:2" x14ac:dyDescent="0.25">
      <c r="A1158" t="s">
        <v>1818</v>
      </c>
      <c r="B1158" s="13">
        <v>1718</v>
      </c>
    </row>
    <row r="1159" spans="1:2" x14ac:dyDescent="0.25">
      <c r="A1159" t="s">
        <v>1902</v>
      </c>
      <c r="B1159" s="13">
        <v>726</v>
      </c>
    </row>
    <row r="1160" spans="1:2" x14ac:dyDescent="0.25">
      <c r="A1160" t="s">
        <v>2004</v>
      </c>
      <c r="B1160" s="13">
        <v>5494</v>
      </c>
    </row>
    <row r="1161" spans="1:2" x14ac:dyDescent="0.25">
      <c r="A1161" t="s">
        <v>1095</v>
      </c>
      <c r="B1161" s="13">
        <v>2066</v>
      </c>
    </row>
    <row r="1162" spans="1:2" x14ac:dyDescent="0.25">
      <c r="A1162" t="s">
        <v>1228</v>
      </c>
      <c r="B1162" s="13">
        <v>2728</v>
      </c>
    </row>
    <row r="1163" spans="1:2" x14ac:dyDescent="0.25">
      <c r="A1163" t="s">
        <v>1240</v>
      </c>
      <c r="B1163" s="13">
        <v>107</v>
      </c>
    </row>
    <row r="1164" spans="1:2" x14ac:dyDescent="0.25">
      <c r="A1164" t="s">
        <v>1246</v>
      </c>
      <c r="B1164" s="13">
        <v>4157</v>
      </c>
    </row>
    <row r="1165" spans="1:2" x14ac:dyDescent="0.25">
      <c r="A1165" t="s">
        <v>1284</v>
      </c>
      <c r="B1165" s="13">
        <v>1341</v>
      </c>
    </row>
    <row r="1166" spans="1:2" x14ac:dyDescent="0.25">
      <c r="A1166" t="s">
        <v>1308</v>
      </c>
      <c r="B1166" s="13">
        <v>4515</v>
      </c>
    </row>
    <row r="1167" spans="1:2" x14ac:dyDescent="0.25">
      <c r="A1167" t="s">
        <v>1427</v>
      </c>
      <c r="B1167" s="13">
        <v>4235</v>
      </c>
    </row>
    <row r="1168" spans="1:2" x14ac:dyDescent="0.25">
      <c r="A1168" t="s">
        <v>1437</v>
      </c>
      <c r="B1168" s="13">
        <v>2835</v>
      </c>
    </row>
    <row r="1169" spans="1:2" x14ac:dyDescent="0.25">
      <c r="A1169" t="s">
        <v>1690</v>
      </c>
      <c r="B1169" s="13">
        <v>1900</v>
      </c>
    </row>
    <row r="1170" spans="1:2" x14ac:dyDescent="0.25">
      <c r="A1170" t="s">
        <v>1955</v>
      </c>
      <c r="B1170" s="13">
        <v>691</v>
      </c>
    </row>
    <row r="1171" spans="1:2" x14ac:dyDescent="0.25">
      <c r="A1171" t="s">
        <v>1296</v>
      </c>
      <c r="B1171" s="13">
        <v>271</v>
      </c>
    </row>
    <row r="1172" spans="1:2" x14ac:dyDescent="0.25">
      <c r="A1172" t="s">
        <v>1462</v>
      </c>
      <c r="B1172" s="13">
        <v>3512</v>
      </c>
    </row>
    <row r="1173" spans="1:2" x14ac:dyDescent="0.25">
      <c r="A1173" t="s">
        <v>2016</v>
      </c>
      <c r="B1173" s="13">
        <v>1939</v>
      </c>
    </row>
    <row r="1174" spans="1:2" x14ac:dyDescent="0.25">
      <c r="A1174" t="s">
        <v>946</v>
      </c>
      <c r="B1174" s="13">
        <v>3180</v>
      </c>
    </row>
    <row r="1175" spans="1:2" x14ac:dyDescent="0.25">
      <c r="A1175" t="s">
        <v>974</v>
      </c>
      <c r="B1175" s="13">
        <v>3703</v>
      </c>
    </row>
    <row r="1176" spans="1:2" x14ac:dyDescent="0.25">
      <c r="A1176" t="s">
        <v>1070</v>
      </c>
      <c r="B1176" s="13">
        <v>5808</v>
      </c>
    </row>
    <row r="1177" spans="1:2" x14ac:dyDescent="0.25">
      <c r="A1177" t="s">
        <v>1081</v>
      </c>
      <c r="B1177" s="13">
        <v>5508</v>
      </c>
    </row>
    <row r="1178" spans="1:2" x14ac:dyDescent="0.25">
      <c r="A1178" t="s">
        <v>1472</v>
      </c>
      <c r="B1178" s="13">
        <v>8903</v>
      </c>
    </row>
    <row r="1179" spans="1:2" x14ac:dyDescent="0.25">
      <c r="A1179" t="s">
        <v>1711</v>
      </c>
      <c r="B1179" s="13">
        <v>5624</v>
      </c>
    </row>
    <row r="1180" spans="1:2" x14ac:dyDescent="0.25">
      <c r="A1180" t="s">
        <v>1722</v>
      </c>
      <c r="B1180" s="13">
        <v>3436</v>
      </c>
    </row>
    <row r="1181" spans="1:2" x14ac:dyDescent="0.25">
      <c r="A1181" t="s">
        <v>1910</v>
      </c>
      <c r="B1181" s="13">
        <v>1388</v>
      </c>
    </row>
    <row r="1182" spans="1:2" x14ac:dyDescent="0.25">
      <c r="A1182" t="s">
        <v>1960</v>
      </c>
      <c r="B1182" s="13">
        <v>6712</v>
      </c>
    </row>
    <row r="1183" spans="1:2" x14ac:dyDescent="0.25">
      <c r="A1183" t="s">
        <v>1327</v>
      </c>
      <c r="B1183" s="13">
        <v>1336</v>
      </c>
    </row>
    <row r="1184" spans="1:2" x14ac:dyDescent="0.25">
      <c r="A1184" t="s">
        <v>959</v>
      </c>
      <c r="B1184" s="13">
        <v>4465</v>
      </c>
    </row>
    <row r="1185" spans="1:2" x14ac:dyDescent="0.25">
      <c r="A1185" t="s">
        <v>1338</v>
      </c>
      <c r="B1185" s="13">
        <v>766</v>
      </c>
    </row>
    <row r="1186" spans="1:2" x14ac:dyDescent="0.25">
      <c r="A1186" t="s">
        <v>843</v>
      </c>
      <c r="B1186" s="13">
        <v>5002</v>
      </c>
    </row>
    <row r="1187" spans="1:2" x14ac:dyDescent="0.25">
      <c r="A1187" t="s">
        <v>854</v>
      </c>
      <c r="B1187" s="13">
        <v>1794</v>
      </c>
    </row>
    <row r="1188" spans="1:2" x14ac:dyDescent="0.25">
      <c r="A1188" t="s">
        <v>1002</v>
      </c>
      <c r="B1188" s="13">
        <v>3529</v>
      </c>
    </row>
    <row r="1189" spans="1:2" x14ac:dyDescent="0.25">
      <c r="A1189" t="s">
        <v>1138</v>
      </c>
      <c r="B1189" s="13">
        <v>428</v>
      </c>
    </row>
    <row r="1190" spans="1:2" x14ac:dyDescent="0.25">
      <c r="A1190" t="s">
        <v>1149</v>
      </c>
      <c r="B1190" s="13">
        <v>5220</v>
      </c>
    </row>
    <row r="1191" spans="1:2" x14ac:dyDescent="0.25">
      <c r="A1191" t="s">
        <v>1348</v>
      </c>
      <c r="B1191" s="13">
        <v>1840</v>
      </c>
    </row>
    <row r="1192" spans="1:2" x14ac:dyDescent="0.25">
      <c r="A1192" t="s">
        <v>1359</v>
      </c>
      <c r="B1192" s="13">
        <v>165</v>
      </c>
    </row>
    <row r="1193" spans="1:2" x14ac:dyDescent="0.25">
      <c r="A1193" t="s">
        <v>1387</v>
      </c>
      <c r="B1193" s="13">
        <v>980</v>
      </c>
    </row>
    <row r="1194" spans="1:2" x14ac:dyDescent="0.25">
      <c r="A1194" t="s">
        <v>1478</v>
      </c>
      <c r="B1194" s="13">
        <v>2022</v>
      </c>
    </row>
    <row r="1195" spans="1:2" x14ac:dyDescent="0.25">
      <c r="A1195" t="s">
        <v>1565</v>
      </c>
      <c r="B1195" s="13">
        <v>8315</v>
      </c>
    </row>
    <row r="1196" spans="1:2" x14ac:dyDescent="0.25">
      <c r="A1196" t="s">
        <v>1584</v>
      </c>
      <c r="B1196" s="13">
        <v>5435</v>
      </c>
    </row>
    <row r="1197" spans="1:2" x14ac:dyDescent="0.25">
      <c r="A1197" t="s">
        <v>1739</v>
      </c>
      <c r="B1197" s="13">
        <v>1803</v>
      </c>
    </row>
    <row r="1198" spans="1:2" x14ac:dyDescent="0.25">
      <c r="A1198" t="s">
        <v>1758</v>
      </c>
      <c r="B1198" s="13">
        <v>4686</v>
      </c>
    </row>
    <row r="1199" spans="1:2" x14ac:dyDescent="0.25">
      <c r="A1199" t="s">
        <v>1766</v>
      </c>
      <c r="B1199" s="13">
        <v>2414</v>
      </c>
    </row>
    <row r="1200" spans="1:2" x14ac:dyDescent="0.25">
      <c r="A1200" t="s">
        <v>1776</v>
      </c>
      <c r="B1200" s="13">
        <v>7299</v>
      </c>
    </row>
    <row r="1201" spans="1:2" x14ac:dyDescent="0.25">
      <c r="A1201" t="s">
        <v>1847</v>
      </c>
      <c r="B1201" s="13">
        <v>4316</v>
      </c>
    </row>
    <row r="1202" spans="1:2" x14ac:dyDescent="0.25">
      <c r="A1202" t="s">
        <v>1944</v>
      </c>
      <c r="B1202" s="13">
        <v>1220</v>
      </c>
    </row>
    <row r="1203" spans="1:2" x14ac:dyDescent="0.25">
      <c r="A1203" t="s">
        <v>988</v>
      </c>
      <c r="B1203" s="13">
        <v>147</v>
      </c>
    </row>
    <row r="1204" spans="1:2" x14ac:dyDescent="0.25">
      <c r="A1204" t="s">
        <v>1135</v>
      </c>
      <c r="B1204" s="13">
        <v>1179</v>
      </c>
    </row>
    <row r="1205" spans="1:2" x14ac:dyDescent="0.25">
      <c r="A1205" t="s">
        <v>1156</v>
      </c>
      <c r="B1205" s="13">
        <v>1340</v>
      </c>
    </row>
    <row r="1206" spans="1:2" x14ac:dyDescent="0.25">
      <c r="A1206" t="s">
        <v>1398</v>
      </c>
      <c r="B1206" s="13">
        <v>2343</v>
      </c>
    </row>
    <row r="1207" spans="1:2" x14ac:dyDescent="0.25">
      <c r="A1207" t="s">
        <v>1599</v>
      </c>
      <c r="B1207" s="13">
        <v>3445</v>
      </c>
    </row>
    <row r="1208" spans="1:2" x14ac:dyDescent="0.25">
      <c r="A1208" t="s">
        <v>1950</v>
      </c>
      <c r="B1208" s="13">
        <v>3305</v>
      </c>
    </row>
    <row r="1209" spans="1:2" x14ac:dyDescent="0.25">
      <c r="A1209" t="s">
        <v>1513</v>
      </c>
      <c r="B1209" s="13">
        <v>51</v>
      </c>
    </row>
    <row r="1210" spans="1:2" x14ac:dyDescent="0.25">
      <c r="A1210" t="s">
        <v>1377</v>
      </c>
      <c r="B1210" s="13">
        <v>2117</v>
      </c>
    </row>
    <row r="1211" spans="1:2" x14ac:dyDescent="0.25">
      <c r="A1211" t="s">
        <v>1498</v>
      </c>
      <c r="B1211" s="13">
        <v>343</v>
      </c>
    </row>
    <row r="1212" spans="1:2" x14ac:dyDescent="0.25">
      <c r="A1212" t="s">
        <v>1508</v>
      </c>
      <c r="B1212" s="13">
        <v>7360</v>
      </c>
    </row>
    <row r="1213" spans="1:2" x14ac:dyDescent="0.25">
      <c r="A1213" t="s">
        <v>1786</v>
      </c>
      <c r="B1213" s="13">
        <v>4246</v>
      </c>
    </row>
    <row r="1214" spans="1:2" x14ac:dyDescent="0.25">
      <c r="A1214" t="s">
        <v>1978</v>
      </c>
      <c r="B1214" s="13">
        <v>2729</v>
      </c>
    </row>
    <row r="1215" spans="1:2" x14ac:dyDescent="0.25">
      <c r="A1215" t="s">
        <v>1411</v>
      </c>
      <c r="B1215" s="13">
        <v>3718</v>
      </c>
    </row>
    <row r="1216" spans="1:2" x14ac:dyDescent="0.25">
      <c r="A1216" t="s">
        <v>1110</v>
      </c>
      <c r="B1216" s="13">
        <v>5224</v>
      </c>
    </row>
    <row r="1217" spans="1:2" x14ac:dyDescent="0.25">
      <c r="A1217" t="s">
        <v>1174</v>
      </c>
      <c r="B1217" s="13">
        <v>7764</v>
      </c>
    </row>
    <row r="1218" spans="1:2" x14ac:dyDescent="0.25">
      <c r="A1218" t="s">
        <v>1187</v>
      </c>
      <c r="B1218" s="13">
        <v>501</v>
      </c>
    </row>
    <row r="1219" spans="1:2" x14ac:dyDescent="0.25">
      <c r="A1219" t="s">
        <v>1613</v>
      </c>
      <c r="B1219" s="13">
        <v>3424</v>
      </c>
    </row>
    <row r="1220" spans="1:2" x14ac:dyDescent="0.25">
      <c r="A1220" t="s">
        <v>1157</v>
      </c>
      <c r="B1220" s="13">
        <v>-3024</v>
      </c>
    </row>
    <row r="1221" spans="1:2" x14ac:dyDescent="0.25">
      <c r="A1221" t="s">
        <v>1479</v>
      </c>
      <c r="B1221" s="13">
        <v>-2037</v>
      </c>
    </row>
    <row r="1222" spans="1:2" x14ac:dyDescent="0.25">
      <c r="A1222" t="s">
        <v>1019</v>
      </c>
      <c r="B1222" s="13">
        <v>3711</v>
      </c>
    </row>
    <row r="1223" spans="1:2" x14ac:dyDescent="0.25">
      <c r="A1223" t="s">
        <v>1033</v>
      </c>
      <c r="B1223" s="13">
        <v>1923</v>
      </c>
    </row>
    <row r="1224" spans="1:2" x14ac:dyDescent="0.25">
      <c r="A1224" t="s">
        <v>1115</v>
      </c>
      <c r="B1224" s="13">
        <v>569</v>
      </c>
    </row>
    <row r="1225" spans="1:2" x14ac:dyDescent="0.25">
      <c r="A1225" t="s">
        <v>1200</v>
      </c>
      <c r="B1225" s="13">
        <v>939</v>
      </c>
    </row>
    <row r="1226" spans="1:2" x14ac:dyDescent="0.25">
      <c r="A1226" t="s">
        <v>1541</v>
      </c>
      <c r="B1226" s="13">
        <v>3661</v>
      </c>
    </row>
    <row r="1227" spans="1:2" x14ac:dyDescent="0.25">
      <c r="A1227" t="s">
        <v>1646</v>
      </c>
      <c r="B1227" s="13">
        <v>2131</v>
      </c>
    </row>
    <row r="1228" spans="1:2" x14ac:dyDescent="0.25">
      <c r="A1228" t="s">
        <v>1937</v>
      </c>
      <c r="B1228" s="13">
        <v>1153</v>
      </c>
    </row>
    <row r="1229" spans="1:2" x14ac:dyDescent="0.25">
      <c r="A1229" t="s">
        <v>1968</v>
      </c>
      <c r="B1229" s="13">
        <v>4569</v>
      </c>
    </row>
    <row r="1230" spans="1:2" x14ac:dyDescent="0.25">
      <c r="A1230" t="s">
        <v>1045</v>
      </c>
      <c r="B1230" s="13">
        <v>30</v>
      </c>
    </row>
    <row r="1231" spans="1:2" x14ac:dyDescent="0.25">
      <c r="A1231" t="s">
        <v>1211</v>
      </c>
      <c r="B1231" s="13">
        <v>183</v>
      </c>
    </row>
    <row r="1232" spans="1:2" x14ac:dyDescent="0.25">
      <c r="A1232" t="s">
        <v>1624</v>
      </c>
      <c r="B1232" s="13">
        <v>2699</v>
      </c>
    </row>
    <row r="1233" spans="1:2" x14ac:dyDescent="0.25">
      <c r="A1233" t="s">
        <v>1861</v>
      </c>
      <c r="B1233" s="13">
        <v>6104</v>
      </c>
    </row>
    <row r="1234" spans="1:2" x14ac:dyDescent="0.25">
      <c r="A1234" t="s">
        <v>1869</v>
      </c>
      <c r="B1234" s="13">
        <v>5192</v>
      </c>
    </row>
    <row r="1235" spans="1:2" x14ac:dyDescent="0.25">
      <c r="A1235" t="s">
        <v>1998</v>
      </c>
      <c r="B1235" s="13">
        <v>3958</v>
      </c>
    </row>
    <row r="1236" spans="1:2" x14ac:dyDescent="0.25">
      <c r="A1236" t="s">
        <v>1556</v>
      </c>
      <c r="B1236" s="13">
        <v>6600</v>
      </c>
    </row>
    <row r="1237" spans="1:2" x14ac:dyDescent="0.25">
      <c r="A1237" t="s">
        <v>1669</v>
      </c>
      <c r="B1237" s="13">
        <v>4357</v>
      </c>
    </row>
    <row r="1238" spans="1:2" x14ac:dyDescent="0.25">
      <c r="A1238" t="s">
        <v>1679</v>
      </c>
      <c r="B1238" s="13">
        <v>1465</v>
      </c>
    </row>
    <row r="1239" spans="1:2" x14ac:dyDescent="0.25">
      <c r="A1239" t="s">
        <v>1989</v>
      </c>
      <c r="B1239" s="13">
        <v>3503</v>
      </c>
    </row>
    <row r="1240" spans="1:2" x14ac:dyDescent="0.25">
      <c r="A1240" t="s">
        <v>1262</v>
      </c>
      <c r="B1240" s="13">
        <v>841</v>
      </c>
    </row>
    <row r="1241" spans="1:2" x14ac:dyDescent="0.25">
      <c r="A1241" t="s">
        <v>1420</v>
      </c>
      <c r="B1241" s="13">
        <v>4044</v>
      </c>
    </row>
    <row r="1242" spans="1:2" x14ac:dyDescent="0.25">
      <c r="A1242" t="s">
        <v>1731</v>
      </c>
      <c r="B1242" s="13">
        <v>1121</v>
      </c>
    </row>
    <row r="1243" spans="1:2" x14ac:dyDescent="0.25">
      <c r="A1243" t="s">
        <v>1811</v>
      </c>
      <c r="B1243" s="13">
        <v>4519</v>
      </c>
    </row>
    <row r="1244" spans="1:2" x14ac:dyDescent="0.25">
      <c r="A1244" t="s">
        <v>1819</v>
      </c>
      <c r="B1244" s="13">
        <v>1559</v>
      </c>
    </row>
    <row r="1245" spans="1:2" x14ac:dyDescent="0.25">
      <c r="A1245" t="s">
        <v>1880</v>
      </c>
      <c r="B1245" s="13">
        <v>921</v>
      </c>
    </row>
    <row r="1246" spans="1:2" x14ac:dyDescent="0.25">
      <c r="A1246" t="s">
        <v>1884</v>
      </c>
      <c r="B1246" s="13">
        <v>1750</v>
      </c>
    </row>
    <row r="1247" spans="1:2" x14ac:dyDescent="0.25">
      <c r="A1247" t="s">
        <v>1895</v>
      </c>
      <c r="B1247" s="13">
        <v>3599</v>
      </c>
    </row>
    <row r="1248" spans="1:2" x14ac:dyDescent="0.25">
      <c r="A1248" t="s">
        <v>2005</v>
      </c>
      <c r="B1248" s="13">
        <v>7079</v>
      </c>
    </row>
    <row r="1249" spans="1:2" x14ac:dyDescent="0.25">
      <c r="A1249" t="s">
        <v>890</v>
      </c>
      <c r="B1249" s="13">
        <v>1718</v>
      </c>
    </row>
    <row r="1250" spans="1:2" x14ac:dyDescent="0.25">
      <c r="A1250" t="s">
        <v>891</v>
      </c>
      <c r="B1250" s="13">
        <v>544</v>
      </c>
    </row>
    <row r="1251" spans="1:2" x14ac:dyDescent="0.25">
      <c r="A1251" t="s">
        <v>892</v>
      </c>
      <c r="B1251" s="13">
        <v>1852</v>
      </c>
    </row>
    <row r="1252" spans="1:2" x14ac:dyDescent="0.25">
      <c r="A1252" t="s">
        <v>893</v>
      </c>
      <c r="B1252" s="13">
        <v>2016</v>
      </c>
    </row>
    <row r="1253" spans="1:2" x14ac:dyDescent="0.25">
      <c r="A1253" t="s">
        <v>899</v>
      </c>
      <c r="B1253" s="13">
        <v>2839</v>
      </c>
    </row>
    <row r="1254" spans="1:2" x14ac:dyDescent="0.25">
      <c r="A1254" t="s">
        <v>919</v>
      </c>
      <c r="B1254" s="13">
        <v>993</v>
      </c>
    </row>
    <row r="1255" spans="1:2" x14ac:dyDescent="0.25">
      <c r="A1255" t="s">
        <v>934</v>
      </c>
      <c r="B1255" s="13">
        <v>1308</v>
      </c>
    </row>
    <row r="1256" spans="1:2" x14ac:dyDescent="0.25">
      <c r="A1256" t="s">
        <v>1696</v>
      </c>
      <c r="B1256" s="13">
        <v>4729</v>
      </c>
    </row>
    <row r="1257" spans="1:2" x14ac:dyDescent="0.25">
      <c r="A1257" t="s">
        <v>1903</v>
      </c>
      <c r="B1257" s="13">
        <v>621</v>
      </c>
    </row>
    <row r="1258" spans="1:2" x14ac:dyDescent="0.25">
      <c r="A1258" t="s">
        <v>1096</v>
      </c>
      <c r="B1258" s="13">
        <v>1688</v>
      </c>
    </row>
    <row r="1259" spans="1:2" x14ac:dyDescent="0.25">
      <c r="A1259" t="s">
        <v>1229</v>
      </c>
      <c r="B1259" s="13">
        <v>2838</v>
      </c>
    </row>
    <row r="1260" spans="1:2" x14ac:dyDescent="0.25">
      <c r="A1260" t="s">
        <v>1247</v>
      </c>
      <c r="B1260" s="13">
        <v>4317</v>
      </c>
    </row>
    <row r="1261" spans="1:2" x14ac:dyDescent="0.25">
      <c r="A1261" t="s">
        <v>1285</v>
      </c>
      <c r="B1261" s="13">
        <v>1425</v>
      </c>
    </row>
    <row r="1262" spans="1:2" x14ac:dyDescent="0.25">
      <c r="A1262" t="s">
        <v>13</v>
      </c>
      <c r="B1262" s="13">
        <v>-2231</v>
      </c>
    </row>
    <row r="1263" spans="1:2" x14ac:dyDescent="0.25">
      <c r="A1263" t="s">
        <v>17</v>
      </c>
      <c r="B1263" s="13">
        <v>-3246</v>
      </c>
    </row>
    <row r="1264" spans="1:2" x14ac:dyDescent="0.25">
      <c r="A1264" t="s">
        <v>21</v>
      </c>
      <c r="B1264" s="13">
        <v>-9287</v>
      </c>
    </row>
    <row r="1265" spans="1:2" x14ac:dyDescent="0.25">
      <c r="A1265" t="s">
        <v>37</v>
      </c>
      <c r="B1265" s="13">
        <v>-166</v>
      </c>
    </row>
    <row r="1266" spans="1:2" x14ac:dyDescent="0.25">
      <c r="A1266" t="s">
        <v>42</v>
      </c>
      <c r="B1266" s="13">
        <v>-3464</v>
      </c>
    </row>
    <row r="1267" spans="1:2" x14ac:dyDescent="0.25">
      <c r="A1267" t="s">
        <v>46</v>
      </c>
      <c r="B1267" s="13">
        <v>-4500</v>
      </c>
    </row>
    <row r="1268" spans="1:2" x14ac:dyDescent="0.25">
      <c r="A1268" t="s">
        <v>49</v>
      </c>
      <c r="B1268" s="13">
        <v>-3970</v>
      </c>
    </row>
    <row r="1269" spans="1:2" x14ac:dyDescent="0.25">
      <c r="A1269" t="s">
        <v>52</v>
      </c>
      <c r="B1269" s="13">
        <v>-779</v>
      </c>
    </row>
    <row r="1270" spans="1:2" x14ac:dyDescent="0.25">
      <c r="A1270" t="s">
        <v>58</v>
      </c>
      <c r="B1270" s="13">
        <v>-993</v>
      </c>
    </row>
    <row r="1271" spans="1:2" x14ac:dyDescent="0.25">
      <c r="A1271" t="s">
        <v>61</v>
      </c>
      <c r="B1271" s="13">
        <v>-536</v>
      </c>
    </row>
    <row r="1272" spans="1:2" x14ac:dyDescent="0.25">
      <c r="A1272" t="s">
        <v>70</v>
      </c>
      <c r="B1272" s="13">
        <v>-49</v>
      </c>
    </row>
    <row r="1273" spans="1:2" x14ac:dyDescent="0.25">
      <c r="A1273" t="s">
        <v>75</v>
      </c>
      <c r="B1273" s="13">
        <v>-1699</v>
      </c>
    </row>
    <row r="1274" spans="1:2" x14ac:dyDescent="0.25">
      <c r="A1274" t="s">
        <v>82</v>
      </c>
      <c r="B1274" s="13">
        <v>-606</v>
      </c>
    </row>
    <row r="1275" spans="1:2" x14ac:dyDescent="0.25">
      <c r="A1275" t="s">
        <v>107</v>
      </c>
      <c r="B1275" s="13">
        <v>-7038</v>
      </c>
    </row>
    <row r="1276" spans="1:2" x14ac:dyDescent="0.25">
      <c r="A1276" t="s">
        <v>155</v>
      </c>
      <c r="B1276" s="13">
        <v>-10494</v>
      </c>
    </row>
    <row r="1277" spans="1:2" x14ac:dyDescent="0.25">
      <c r="A1277" t="s">
        <v>166</v>
      </c>
      <c r="B1277" s="13">
        <v>-4007</v>
      </c>
    </row>
    <row r="1278" spans="1:2" x14ac:dyDescent="0.25">
      <c r="A1278" t="s">
        <v>181</v>
      </c>
      <c r="B1278" s="13">
        <v>-5938</v>
      </c>
    </row>
    <row r="1279" spans="1:2" x14ac:dyDescent="0.25">
      <c r="A1279" t="s">
        <v>189</v>
      </c>
      <c r="B1279" s="13">
        <v>-2092</v>
      </c>
    </row>
    <row r="1280" spans="1:2" x14ac:dyDescent="0.25">
      <c r="A1280" t="s">
        <v>216</v>
      </c>
      <c r="B1280" s="13">
        <v>-655</v>
      </c>
    </row>
    <row r="1281" spans="1:2" x14ac:dyDescent="0.25">
      <c r="A1281" t="s">
        <v>221</v>
      </c>
      <c r="B1281" s="13">
        <v>-12313</v>
      </c>
    </row>
    <row r="1282" spans="1:2" x14ac:dyDescent="0.25">
      <c r="A1282" t="s">
        <v>228</v>
      </c>
      <c r="B1282" s="13">
        <v>-1546</v>
      </c>
    </row>
    <row r="1283" spans="1:2" x14ac:dyDescent="0.25">
      <c r="A1283" t="s">
        <v>241</v>
      </c>
      <c r="B1283" s="13">
        <v>-1379</v>
      </c>
    </row>
    <row r="1284" spans="1:2" x14ac:dyDescent="0.25">
      <c r="A1284" t="s">
        <v>278</v>
      </c>
      <c r="B1284" s="13">
        <v>-4194</v>
      </c>
    </row>
    <row r="1285" spans="1:2" x14ac:dyDescent="0.25">
      <c r="A1285" t="s">
        <v>289</v>
      </c>
      <c r="B1285" s="13">
        <v>-88130</v>
      </c>
    </row>
    <row r="1286" spans="1:2" x14ac:dyDescent="0.25">
      <c r="A1286" t="s">
        <v>304</v>
      </c>
      <c r="B1286" s="13">
        <v>-2889</v>
      </c>
    </row>
    <row r="1287" spans="1:2" x14ac:dyDescent="0.25">
      <c r="A1287" t="s">
        <v>307</v>
      </c>
      <c r="B1287" s="13">
        <v>-1841</v>
      </c>
    </row>
    <row r="1288" spans="1:2" x14ac:dyDescent="0.25">
      <c r="A1288" t="s">
        <v>313</v>
      </c>
      <c r="B1288" s="13">
        <v>-2237</v>
      </c>
    </row>
    <row r="1289" spans="1:2" x14ac:dyDescent="0.25">
      <c r="A1289" t="s">
        <v>327</v>
      </c>
      <c r="B1289" s="13">
        <v>-43529</v>
      </c>
    </row>
    <row r="1290" spans="1:2" x14ac:dyDescent="0.25">
      <c r="A1290" t="s">
        <v>340</v>
      </c>
      <c r="B1290" s="13">
        <v>-4524</v>
      </c>
    </row>
    <row r="1291" spans="1:2" x14ac:dyDescent="0.25">
      <c r="A1291" t="s">
        <v>359</v>
      </c>
      <c r="B1291" s="13">
        <v>-9650</v>
      </c>
    </row>
    <row r="1292" spans="1:2" x14ac:dyDescent="0.25">
      <c r="A1292" t="s">
        <v>379</v>
      </c>
      <c r="B1292" s="13">
        <v>-19036</v>
      </c>
    </row>
    <row r="1293" spans="1:2" x14ac:dyDescent="0.25">
      <c r="A1293" t="s">
        <v>382</v>
      </c>
      <c r="B1293" s="13">
        <v>-1323</v>
      </c>
    </row>
    <row r="1294" spans="1:2" x14ac:dyDescent="0.25">
      <c r="A1294" t="s">
        <v>398</v>
      </c>
      <c r="B1294" s="13">
        <v>-22484</v>
      </c>
    </row>
    <row r="1295" spans="1:2" x14ac:dyDescent="0.25">
      <c r="A1295" t="s">
        <v>406</v>
      </c>
      <c r="B1295" s="13">
        <v>-6645</v>
      </c>
    </row>
    <row r="1296" spans="1:2" x14ac:dyDescent="0.25">
      <c r="A1296" t="s">
        <v>411</v>
      </c>
      <c r="B1296" s="13">
        <v>-23826</v>
      </c>
    </row>
    <row r="1297" spans="1:2" x14ac:dyDescent="0.25">
      <c r="A1297" t="s">
        <v>416</v>
      </c>
      <c r="B1297" s="13">
        <v>-114999</v>
      </c>
    </row>
    <row r="1298" spans="1:2" x14ac:dyDescent="0.25">
      <c r="A1298" t="s">
        <v>423</v>
      </c>
      <c r="B1298" s="13">
        <v>-111371</v>
      </c>
    </row>
    <row r="1299" spans="1:2" x14ac:dyDescent="0.25">
      <c r="A1299" t="s">
        <v>427</v>
      </c>
      <c r="B1299" s="13">
        <v>-114084</v>
      </c>
    </row>
    <row r="1300" spans="1:2" x14ac:dyDescent="0.25">
      <c r="A1300" t="s">
        <v>450</v>
      </c>
      <c r="B1300" s="13">
        <v>-106616</v>
      </c>
    </row>
    <row r="1301" spans="1:2" x14ac:dyDescent="0.25">
      <c r="A1301" t="s">
        <v>467</v>
      </c>
      <c r="B1301" s="13">
        <v>-65000</v>
      </c>
    </row>
    <row r="1302" spans="1:2" x14ac:dyDescent="0.25">
      <c r="A1302" t="s">
        <v>480</v>
      </c>
      <c r="B1302" s="13">
        <v>-35034</v>
      </c>
    </row>
    <row r="1303" spans="1:2" x14ac:dyDescent="0.25">
      <c r="A1303" t="s">
        <v>497</v>
      </c>
      <c r="B1303" s="13">
        <v>-53000</v>
      </c>
    </row>
    <row r="1304" spans="1:2" x14ac:dyDescent="0.25">
      <c r="A1304" t="s">
        <v>504</v>
      </c>
      <c r="B1304" s="13">
        <v>-37153</v>
      </c>
    </row>
    <row r="1305" spans="1:2" x14ac:dyDescent="0.25">
      <c r="A1305" t="s">
        <v>507</v>
      </c>
      <c r="B1305" s="13">
        <v>-55000</v>
      </c>
    </row>
    <row r="1306" spans="1:2" x14ac:dyDescent="0.25">
      <c r="A1306" t="s">
        <v>514</v>
      </c>
      <c r="B1306" s="13">
        <v>-140616</v>
      </c>
    </row>
    <row r="1307" spans="1:2" x14ac:dyDescent="0.25">
      <c r="A1307" t="s">
        <v>517</v>
      </c>
      <c r="B1307" s="13">
        <v>-75000</v>
      </c>
    </row>
    <row r="1308" spans="1:2" x14ac:dyDescent="0.25">
      <c r="A1308" t="s">
        <v>528</v>
      </c>
      <c r="B1308" s="13">
        <v>-63874</v>
      </c>
    </row>
    <row r="1309" spans="1:2" x14ac:dyDescent="0.25">
      <c r="A1309" t="s">
        <v>536</v>
      </c>
      <c r="B1309" s="13">
        <v>-54401</v>
      </c>
    </row>
    <row r="1310" spans="1:2" x14ac:dyDescent="0.25">
      <c r="A1310" t="s">
        <v>539</v>
      </c>
      <c r="B1310" s="13">
        <v>-55000</v>
      </c>
    </row>
    <row r="1311" spans="1:2" x14ac:dyDescent="0.25">
      <c r="A1311" t="s">
        <v>546</v>
      </c>
      <c r="B1311" s="13">
        <v>-52549</v>
      </c>
    </row>
    <row r="1312" spans="1:2" x14ac:dyDescent="0.25">
      <c r="A1312" t="s">
        <v>552</v>
      </c>
      <c r="B1312" s="13">
        <v>-52028</v>
      </c>
    </row>
    <row r="1313" spans="1:2" x14ac:dyDescent="0.25">
      <c r="A1313" t="s">
        <v>561</v>
      </c>
      <c r="B1313" s="13">
        <v>-76186</v>
      </c>
    </row>
    <row r="1314" spans="1:2" x14ac:dyDescent="0.25">
      <c r="A1314" t="s">
        <v>567</v>
      </c>
      <c r="B1314" s="13">
        <v>-40870</v>
      </c>
    </row>
    <row r="1315" spans="1:2" x14ac:dyDescent="0.25">
      <c r="A1315" t="s">
        <v>576</v>
      </c>
      <c r="B1315" s="13">
        <v>-135186</v>
      </c>
    </row>
    <row r="1316" spans="1:2" x14ac:dyDescent="0.25">
      <c r="A1316" t="s">
        <v>579</v>
      </c>
      <c r="B1316" s="13">
        <v>-45000</v>
      </c>
    </row>
    <row r="1317" spans="1:2" x14ac:dyDescent="0.25">
      <c r="A1317" t="s">
        <v>587</v>
      </c>
      <c r="B1317" s="13">
        <v>-62506</v>
      </c>
    </row>
    <row r="1318" spans="1:2" x14ac:dyDescent="0.25">
      <c r="A1318" t="s">
        <v>601</v>
      </c>
      <c r="B1318" s="13">
        <v>-42518</v>
      </c>
    </row>
    <row r="1319" spans="1:2" x14ac:dyDescent="0.25">
      <c r="A1319" t="s">
        <v>605</v>
      </c>
      <c r="B1319" s="13">
        <v>-87349</v>
      </c>
    </row>
    <row r="1320" spans="1:2" x14ac:dyDescent="0.25">
      <c r="A1320" t="s">
        <v>613</v>
      </c>
      <c r="B1320" s="13">
        <v>-107185</v>
      </c>
    </row>
    <row r="1321" spans="1:2" x14ac:dyDescent="0.25">
      <c r="A1321" t="s">
        <v>621</v>
      </c>
      <c r="B1321" s="13">
        <v>-81869</v>
      </c>
    </row>
    <row r="1322" spans="1:2" x14ac:dyDescent="0.25">
      <c r="A1322" t="s">
        <v>627</v>
      </c>
      <c r="B1322" s="13">
        <v>-39349</v>
      </c>
    </row>
    <row r="1323" spans="1:2" x14ac:dyDescent="0.25">
      <c r="A1323" t="s">
        <v>642</v>
      </c>
      <c r="B1323" s="13">
        <v>-197846</v>
      </c>
    </row>
    <row r="1324" spans="1:2" x14ac:dyDescent="0.25">
      <c r="A1324" t="s">
        <v>653</v>
      </c>
      <c r="B1324" s="13">
        <v>-63499</v>
      </c>
    </row>
    <row r="1325" spans="1:2" x14ac:dyDescent="0.25">
      <c r="A1325" t="s">
        <v>662</v>
      </c>
      <c r="B1325" s="13">
        <v>-94058</v>
      </c>
    </row>
    <row r="1326" spans="1:2" x14ac:dyDescent="0.25">
      <c r="A1326" t="s">
        <v>670</v>
      </c>
      <c r="B1326" s="13">
        <v>-176907</v>
      </c>
    </row>
    <row r="1327" spans="1:2" x14ac:dyDescent="0.25">
      <c r="A1327" t="s">
        <v>681</v>
      </c>
      <c r="B1327" s="13">
        <v>-67360</v>
      </c>
    </row>
    <row r="1328" spans="1:2" x14ac:dyDescent="0.25">
      <c r="A1328" t="s">
        <v>689</v>
      </c>
      <c r="B1328" s="13">
        <v>-54367</v>
      </c>
    </row>
    <row r="1329" spans="1:2" x14ac:dyDescent="0.25">
      <c r="A1329" t="s">
        <v>692</v>
      </c>
      <c r="B1329" s="13">
        <v>-155000</v>
      </c>
    </row>
    <row r="1330" spans="1:2" x14ac:dyDescent="0.25">
      <c r="A1330" t="s">
        <v>695</v>
      </c>
      <c r="B1330" s="13">
        <v>-35000</v>
      </c>
    </row>
    <row r="1331" spans="1:2" x14ac:dyDescent="0.25">
      <c r="A1331" t="s">
        <v>699</v>
      </c>
      <c r="B1331" s="13">
        <v>-46756</v>
      </c>
    </row>
    <row r="1332" spans="1:2" x14ac:dyDescent="0.25">
      <c r="A1332" t="s">
        <v>708</v>
      </c>
      <c r="B1332" s="13">
        <v>-61974</v>
      </c>
    </row>
    <row r="1333" spans="1:2" x14ac:dyDescent="0.25">
      <c r="A1333" t="s">
        <v>713</v>
      </c>
      <c r="B1333" s="13">
        <v>-95606</v>
      </c>
    </row>
    <row r="1334" spans="1:2" x14ac:dyDescent="0.25">
      <c r="A1334" t="s">
        <v>718</v>
      </c>
      <c r="B1334" s="13">
        <v>-56498</v>
      </c>
    </row>
    <row r="1335" spans="1:2" x14ac:dyDescent="0.25">
      <c r="A1335" t="s">
        <v>725</v>
      </c>
      <c r="B1335" s="13">
        <v>-80970</v>
      </c>
    </row>
    <row r="1336" spans="1:2" x14ac:dyDescent="0.25">
      <c r="A1336" t="s">
        <v>731</v>
      </c>
      <c r="B1336" s="13">
        <v>-59348</v>
      </c>
    </row>
    <row r="1337" spans="1:2" x14ac:dyDescent="0.25">
      <c r="A1337" t="s">
        <v>735</v>
      </c>
      <c r="B1337" s="13">
        <v>-72997</v>
      </c>
    </row>
    <row r="1338" spans="1:2" x14ac:dyDescent="0.25">
      <c r="A1338" t="s">
        <v>751</v>
      </c>
      <c r="B1338" s="13">
        <v>-38509</v>
      </c>
    </row>
    <row r="1339" spans="1:2" x14ac:dyDescent="0.25">
      <c r="A1339" t="s">
        <v>816</v>
      </c>
      <c r="B1339" s="13">
        <v>-121531</v>
      </c>
    </row>
    <row r="1340" spans="1:2" x14ac:dyDescent="0.25">
      <c r="A1340" t="s">
        <v>1088</v>
      </c>
      <c r="B1340" s="13">
        <v>-42797</v>
      </c>
    </row>
    <row r="1341" spans="1:2" x14ac:dyDescent="0.25">
      <c r="A1341" t="s">
        <v>24</v>
      </c>
      <c r="B1341" s="13">
        <v>-1013</v>
      </c>
    </row>
    <row r="1342" spans="1:2" x14ac:dyDescent="0.25">
      <c r="A1342" t="s">
        <v>66</v>
      </c>
      <c r="B1342" s="13">
        <v>-969</v>
      </c>
    </row>
    <row r="1343" spans="1:2" x14ac:dyDescent="0.25">
      <c r="A1343" t="s">
        <v>292</v>
      </c>
      <c r="B1343" s="13">
        <v>-3035</v>
      </c>
    </row>
    <row r="1344" spans="1:2" x14ac:dyDescent="0.25">
      <c r="A1344" t="s">
        <v>1951</v>
      </c>
      <c r="B1344" s="13">
        <v>-3505</v>
      </c>
    </row>
    <row r="1345" spans="1:2" x14ac:dyDescent="0.25">
      <c r="A1345" t="s">
        <v>1881</v>
      </c>
      <c r="B1345" s="13">
        <v>-3956</v>
      </c>
    </row>
    <row r="1346" spans="1:2" x14ac:dyDescent="0.25">
      <c r="A1346" t="s">
        <v>1175</v>
      </c>
      <c r="B1346" s="13">
        <v>-155482</v>
      </c>
    </row>
    <row r="1347" spans="1:2" x14ac:dyDescent="0.25">
      <c r="A1347" t="s">
        <v>1013</v>
      </c>
      <c r="B1347" s="13">
        <v>-218220</v>
      </c>
    </row>
    <row r="1348" spans="1:2" x14ac:dyDescent="0.25">
      <c r="A1348" t="s">
        <v>764</v>
      </c>
      <c r="B1348" s="13">
        <v>-162684</v>
      </c>
    </row>
    <row r="1349" spans="1:2" x14ac:dyDescent="0.25">
      <c r="A1349" t="s">
        <v>1751</v>
      </c>
      <c r="B1349" s="13">
        <v>-213</v>
      </c>
    </row>
    <row r="1350" spans="1:2" x14ac:dyDescent="0.25">
      <c r="A1350" t="s">
        <v>1874</v>
      </c>
      <c r="B1350" s="13">
        <v>-6641</v>
      </c>
    </row>
    <row r="1351" spans="1:2" x14ac:dyDescent="0.25">
      <c r="A1351" t="s">
        <v>1136</v>
      </c>
      <c r="B1351" s="13">
        <v>-67231</v>
      </c>
    </row>
    <row r="1352" spans="1:2" x14ac:dyDescent="0.25">
      <c r="A1352" t="s">
        <v>905</v>
      </c>
      <c r="B1352" s="13">
        <v>-39118</v>
      </c>
    </row>
    <row r="1353" spans="1:2" x14ac:dyDescent="0.25">
      <c r="A1353" t="s">
        <v>1532</v>
      </c>
      <c r="B1353" s="13">
        <v>-2605</v>
      </c>
    </row>
    <row r="1354" spans="1:2" x14ac:dyDescent="0.25">
      <c r="A1354" t="s">
        <v>1561</v>
      </c>
      <c r="B1354" s="13">
        <v>-2543</v>
      </c>
    </row>
    <row r="1355" spans="1:2" x14ac:dyDescent="0.25">
      <c r="A1355" t="s">
        <v>1787</v>
      </c>
      <c r="B1355" s="13">
        <v>-33845</v>
      </c>
    </row>
    <row r="1356" spans="1:2" x14ac:dyDescent="0.25">
      <c r="A1356" t="s">
        <v>1188</v>
      </c>
      <c r="B1356" s="13">
        <v>-56431</v>
      </c>
    </row>
    <row r="1357" spans="1:2" x14ac:dyDescent="0.25">
      <c r="A1357" t="s">
        <v>1759</v>
      </c>
      <c r="B1357" s="13">
        <v>-24577</v>
      </c>
    </row>
    <row r="1358" spans="1:2" x14ac:dyDescent="0.25">
      <c r="A1358" t="s">
        <v>1812</v>
      </c>
      <c r="B1358" s="13">
        <v>-27615</v>
      </c>
    </row>
    <row r="1359" spans="1:2" x14ac:dyDescent="0.25">
      <c r="A1359" t="s">
        <v>1378</v>
      </c>
      <c r="B1359" s="13">
        <v>-21794</v>
      </c>
    </row>
    <row r="1360" spans="1:2" x14ac:dyDescent="0.25">
      <c r="A1360" t="s">
        <v>1058</v>
      </c>
      <c r="B1360" s="13">
        <v>-64380</v>
      </c>
    </row>
    <row r="1361" spans="1:2" x14ac:dyDescent="0.25">
      <c r="A1361" t="s">
        <v>775</v>
      </c>
      <c r="B1361" s="13">
        <v>-59191</v>
      </c>
    </row>
    <row r="1362" spans="1:2" x14ac:dyDescent="0.25">
      <c r="A1362" t="s">
        <v>1428</v>
      </c>
      <c r="B1362" s="13">
        <v>-18187</v>
      </c>
    </row>
    <row r="1363" spans="1:2" x14ac:dyDescent="0.25">
      <c r="A1363" t="s">
        <v>833</v>
      </c>
      <c r="B1363" s="13">
        <v>-49637</v>
      </c>
    </row>
    <row r="1364" spans="1:2" x14ac:dyDescent="0.25">
      <c r="A1364" t="s">
        <v>1449</v>
      </c>
      <c r="B1364" s="13">
        <v>-1905</v>
      </c>
    </row>
    <row r="1365" spans="1:2" x14ac:dyDescent="0.25">
      <c r="A1365" t="s">
        <v>1838</v>
      </c>
      <c r="B1365" s="13">
        <v>-1562</v>
      </c>
    </row>
    <row r="1366" spans="1:2" x14ac:dyDescent="0.25">
      <c r="A1366" t="s">
        <v>885</v>
      </c>
      <c r="B1366" s="13">
        <v>-59000</v>
      </c>
    </row>
    <row r="1367" spans="1:2" x14ac:dyDescent="0.25">
      <c r="A1367" t="s">
        <v>1830</v>
      </c>
      <c r="B1367" s="13">
        <v>-2174</v>
      </c>
    </row>
    <row r="1368" spans="1:2" x14ac:dyDescent="0.25">
      <c r="A1368" t="s">
        <v>1574</v>
      </c>
      <c r="B1368" s="13">
        <v>-2036</v>
      </c>
    </row>
    <row r="1369" spans="1:2" x14ac:dyDescent="0.25">
      <c r="A1369" t="s">
        <v>1491</v>
      </c>
      <c r="B1369" s="13">
        <v>-3101</v>
      </c>
    </row>
    <row r="1370" spans="1:2" x14ac:dyDescent="0.25">
      <c r="A1370" t="s">
        <v>1123</v>
      </c>
      <c r="B1370" s="13">
        <v>-53665</v>
      </c>
    </row>
    <row r="1371" spans="1:2" x14ac:dyDescent="0.25">
      <c r="A1371" t="s">
        <v>1919</v>
      </c>
      <c r="B1371" s="13">
        <v>-9942</v>
      </c>
    </row>
    <row r="1372" spans="1:2" x14ac:dyDescent="0.25">
      <c r="A1372" t="s">
        <v>1581</v>
      </c>
      <c r="B1372" s="13">
        <v>-4753</v>
      </c>
    </row>
    <row r="1373" spans="1:2" x14ac:dyDescent="0.25">
      <c r="A1373" t="s">
        <v>1100</v>
      </c>
      <c r="B1373" s="13">
        <v>-4043</v>
      </c>
    </row>
    <row r="1374" spans="1:2" x14ac:dyDescent="0.25">
      <c r="A1374" t="s">
        <v>213</v>
      </c>
      <c r="B1374" s="13">
        <v>-3850</v>
      </c>
    </row>
    <row r="1375" spans="1:2" x14ac:dyDescent="0.25">
      <c r="A1375" t="s">
        <v>1979</v>
      </c>
      <c r="B1375" s="13">
        <v>-10394</v>
      </c>
    </row>
    <row r="1376" spans="1:2" x14ac:dyDescent="0.25">
      <c r="A1376" t="s">
        <v>1162</v>
      </c>
      <c r="B1376" s="13">
        <v>-42521</v>
      </c>
    </row>
    <row r="1377" spans="1:2" x14ac:dyDescent="0.25">
      <c r="A1377" t="s">
        <v>522</v>
      </c>
      <c r="B1377" s="13">
        <v>-42507</v>
      </c>
    </row>
    <row r="1378" spans="1:2" x14ac:dyDescent="0.25">
      <c r="A1378" t="s">
        <v>1365</v>
      </c>
      <c r="B1378" s="13">
        <v>-3458</v>
      </c>
    </row>
    <row r="1379" spans="1:2" x14ac:dyDescent="0.25">
      <c r="A1379" t="s">
        <v>275</v>
      </c>
      <c r="B1379" s="13">
        <v>-2918</v>
      </c>
    </row>
    <row r="1380" spans="1:2" x14ac:dyDescent="0.25">
      <c r="A1380" t="s">
        <v>272</v>
      </c>
      <c r="B1380" s="13">
        <v>-2249</v>
      </c>
    </row>
    <row r="1381" spans="1:2" x14ac:dyDescent="0.25">
      <c r="A1381" t="s">
        <v>801</v>
      </c>
      <c r="B1381" s="13">
        <v>-34508</v>
      </c>
    </row>
    <row r="1382" spans="1:2" x14ac:dyDescent="0.25">
      <c r="A1382" t="s">
        <v>870</v>
      </c>
      <c r="B1382" s="13">
        <v>-19000</v>
      </c>
    </row>
    <row r="1383" spans="1:2" x14ac:dyDescent="0.25">
      <c r="A1383" t="s">
        <v>1309</v>
      </c>
      <c r="B1383" s="13">
        <v>4480</v>
      </c>
    </row>
    <row r="1384" spans="1:2" x14ac:dyDescent="0.25">
      <c r="A1384" t="s">
        <v>1438</v>
      </c>
      <c r="B1384" s="13">
        <v>5931</v>
      </c>
    </row>
    <row r="1385" spans="1:2" x14ac:dyDescent="0.25">
      <c r="A1385" t="s">
        <v>1691</v>
      </c>
      <c r="B1385" s="13">
        <v>4309</v>
      </c>
    </row>
    <row r="1386" spans="1:2" x14ac:dyDescent="0.25">
      <c r="A1386" t="s">
        <v>1833</v>
      </c>
      <c r="B1386" s="13">
        <v>4122</v>
      </c>
    </row>
    <row r="1387" spans="1:2" x14ac:dyDescent="0.25">
      <c r="A1387" t="s">
        <v>1071</v>
      </c>
      <c r="B1387" s="13">
        <v>3750</v>
      </c>
    </row>
    <row r="1388" spans="1:2" x14ac:dyDescent="0.25">
      <c r="A1388" t="s">
        <v>1297</v>
      </c>
      <c r="B1388" s="13">
        <v>1077</v>
      </c>
    </row>
    <row r="1389" spans="1:2" x14ac:dyDescent="0.25">
      <c r="A1389" t="s">
        <v>1313</v>
      </c>
      <c r="B1389" s="13">
        <v>28</v>
      </c>
    </row>
    <row r="1390" spans="1:2" x14ac:dyDescent="0.25">
      <c r="A1390" t="s">
        <v>1315</v>
      </c>
      <c r="B1390" s="13">
        <v>1719</v>
      </c>
    </row>
    <row r="1391" spans="1:2" x14ac:dyDescent="0.25">
      <c r="A1391" t="s">
        <v>1463</v>
      </c>
      <c r="B1391" s="13">
        <v>3644</v>
      </c>
    </row>
    <row r="1392" spans="1:2" x14ac:dyDescent="0.25">
      <c r="A1392" t="s">
        <v>1911</v>
      </c>
      <c r="B1392" s="13">
        <v>1450</v>
      </c>
    </row>
    <row r="1393" spans="1:2" x14ac:dyDescent="0.25">
      <c r="A1393" t="s">
        <v>1961</v>
      </c>
      <c r="B1393" s="13">
        <v>6398</v>
      </c>
    </row>
    <row r="1394" spans="1:2" x14ac:dyDescent="0.25">
      <c r="A1394" t="s">
        <v>2017</v>
      </c>
      <c r="B1394" s="13">
        <v>19633</v>
      </c>
    </row>
    <row r="1395" spans="1:2" x14ac:dyDescent="0.25">
      <c r="A1395" t="s">
        <v>1798</v>
      </c>
      <c r="B1395" s="13">
        <v>-78200</v>
      </c>
    </row>
    <row r="1396" spans="1:2" x14ac:dyDescent="0.25">
      <c r="A1396" t="s">
        <v>1082</v>
      </c>
      <c r="B1396" s="13">
        <v>6317</v>
      </c>
    </row>
    <row r="1397" spans="1:2" x14ac:dyDescent="0.25">
      <c r="A1397" t="s">
        <v>1473</v>
      </c>
      <c r="B1397" s="13">
        <v>8602</v>
      </c>
    </row>
    <row r="1398" spans="1:2" x14ac:dyDescent="0.25">
      <c r="A1398" t="s">
        <v>1723</v>
      </c>
      <c r="B1398" s="13">
        <v>4572</v>
      </c>
    </row>
    <row r="1399" spans="1:2" x14ac:dyDescent="0.25">
      <c r="A1399" t="s">
        <v>1328</v>
      </c>
      <c r="B1399" s="13">
        <v>4341</v>
      </c>
    </row>
    <row r="1400" spans="1:2" x14ac:dyDescent="0.25">
      <c r="A1400" t="s">
        <v>1339</v>
      </c>
      <c r="B1400" s="13">
        <v>1201</v>
      </c>
    </row>
    <row r="1401" spans="1:2" x14ac:dyDescent="0.25">
      <c r="A1401" t="s">
        <v>1840</v>
      </c>
      <c r="B1401" s="13">
        <v>3410</v>
      </c>
    </row>
    <row r="1402" spans="1:2" x14ac:dyDescent="0.25">
      <c r="A1402" t="s">
        <v>1927</v>
      </c>
      <c r="B1402" s="13">
        <v>6516</v>
      </c>
    </row>
    <row r="1403" spans="1:2" x14ac:dyDescent="0.25">
      <c r="A1403" t="s">
        <v>1349</v>
      </c>
      <c r="B1403" s="13">
        <v>2984</v>
      </c>
    </row>
    <row r="1404" spans="1:2" x14ac:dyDescent="0.25">
      <c r="A1404" t="s">
        <v>1566</v>
      </c>
      <c r="B1404" s="13">
        <v>8727</v>
      </c>
    </row>
    <row r="1405" spans="1:2" x14ac:dyDescent="0.25">
      <c r="A1405" t="s">
        <v>1591</v>
      </c>
      <c r="B1405" s="13">
        <v>15</v>
      </c>
    </row>
    <row r="1406" spans="1:2" x14ac:dyDescent="0.25">
      <c r="A1406" t="s">
        <v>1740</v>
      </c>
      <c r="B1406" s="13">
        <v>947</v>
      </c>
    </row>
    <row r="1407" spans="1:2" x14ac:dyDescent="0.25">
      <c r="A1407" t="s">
        <v>1767</v>
      </c>
      <c r="B1407" s="13">
        <v>2450</v>
      </c>
    </row>
    <row r="1408" spans="1:2" x14ac:dyDescent="0.25">
      <c r="A1408" t="s">
        <v>1777</v>
      </c>
      <c r="B1408" s="13">
        <v>8331</v>
      </c>
    </row>
    <row r="1409" spans="1:2" x14ac:dyDescent="0.25">
      <c r="A1409" t="s">
        <v>1848</v>
      </c>
      <c r="B1409" s="13">
        <v>4367</v>
      </c>
    </row>
    <row r="1410" spans="1:2" x14ac:dyDescent="0.25">
      <c r="A1410" t="s">
        <v>1360</v>
      </c>
      <c r="B1410" s="13">
        <v>3599</v>
      </c>
    </row>
    <row r="1411" spans="1:2" x14ac:dyDescent="0.25">
      <c r="A1411" t="s">
        <v>1388</v>
      </c>
      <c r="B1411" s="13">
        <v>544</v>
      </c>
    </row>
    <row r="1412" spans="1:2" x14ac:dyDescent="0.25">
      <c r="A1412" t="s">
        <v>960</v>
      </c>
      <c r="B1412" s="13">
        <v>4985</v>
      </c>
    </row>
    <row r="1413" spans="1:2" x14ac:dyDescent="0.25">
      <c r="A1413" t="s">
        <v>1150</v>
      </c>
      <c r="B1413" s="13">
        <v>5386</v>
      </c>
    </row>
    <row r="1414" spans="1:2" x14ac:dyDescent="0.25">
      <c r="A1414" t="s">
        <v>1585</v>
      </c>
      <c r="B1414" s="13">
        <v>4523</v>
      </c>
    </row>
    <row r="1415" spans="1:2" x14ac:dyDescent="0.25">
      <c r="A1415" t="s">
        <v>1945</v>
      </c>
      <c r="B1415" s="13">
        <v>902</v>
      </c>
    </row>
    <row r="1416" spans="1:2" x14ac:dyDescent="0.25">
      <c r="A1416" t="s">
        <v>1399</v>
      </c>
      <c r="B1416" s="13">
        <v>1198</v>
      </c>
    </row>
    <row r="1417" spans="1:2" x14ac:dyDescent="0.25">
      <c r="A1417" t="s">
        <v>1514</v>
      </c>
      <c r="B1417" s="13">
        <v>476</v>
      </c>
    </row>
    <row r="1418" spans="1:2" x14ac:dyDescent="0.25">
      <c r="A1418" t="s">
        <v>1600</v>
      </c>
      <c r="B1418" s="13">
        <v>4216</v>
      </c>
    </row>
    <row r="1419" spans="1:2" x14ac:dyDescent="0.25">
      <c r="A1419" t="s">
        <v>1499</v>
      </c>
      <c r="B1419" s="13">
        <v>435</v>
      </c>
    </row>
    <row r="1420" spans="1:2" x14ac:dyDescent="0.25">
      <c r="A1420" t="s">
        <v>1509</v>
      </c>
      <c r="B1420" s="13">
        <v>7072</v>
      </c>
    </row>
    <row r="1421" spans="1:2" x14ac:dyDescent="0.25">
      <c r="A1421" t="s">
        <v>1792</v>
      </c>
      <c r="B1421" s="13">
        <v>8862</v>
      </c>
    </row>
    <row r="1422" spans="1:2" x14ac:dyDescent="0.25">
      <c r="A1422" t="s">
        <v>1111</v>
      </c>
      <c r="B1422" s="13">
        <v>7374</v>
      </c>
    </row>
    <row r="1423" spans="1:2" x14ac:dyDescent="0.25">
      <c r="A1423" t="s">
        <v>1412</v>
      </c>
      <c r="B1423" s="13">
        <v>3078</v>
      </c>
    </row>
    <row r="1424" spans="1:2" x14ac:dyDescent="0.25">
      <c r="A1424" t="s">
        <v>1614</v>
      </c>
      <c r="B1424" s="13">
        <v>3096</v>
      </c>
    </row>
    <row r="1425" spans="1:2" x14ac:dyDescent="0.25">
      <c r="A1425" t="s">
        <v>4</v>
      </c>
      <c r="B1425" s="13">
        <v>886</v>
      </c>
    </row>
    <row r="1426" spans="1:2" x14ac:dyDescent="0.25">
      <c r="A1426" t="s">
        <v>1116</v>
      </c>
      <c r="B1426" s="13">
        <v>422</v>
      </c>
    </row>
    <row r="1427" spans="1:2" x14ac:dyDescent="0.25">
      <c r="A1427" t="s">
        <v>1542</v>
      </c>
      <c r="B1427" s="13">
        <v>3321</v>
      </c>
    </row>
    <row r="1428" spans="1:2" x14ac:dyDescent="0.25">
      <c r="A1428" t="s">
        <v>1969</v>
      </c>
      <c r="B1428" s="13">
        <v>5435</v>
      </c>
    </row>
    <row r="1429" spans="1:2" x14ac:dyDescent="0.25">
      <c r="A1429" t="s">
        <v>1647</v>
      </c>
      <c r="B1429" s="13">
        <v>1864</v>
      </c>
    </row>
    <row r="1430" spans="1:2" x14ac:dyDescent="0.25">
      <c r="A1430" t="s">
        <v>1938</v>
      </c>
      <c r="B1430" s="13">
        <v>629</v>
      </c>
    </row>
    <row r="1431" spans="1:2" x14ac:dyDescent="0.25">
      <c r="A1431" t="s">
        <v>1625</v>
      </c>
      <c r="B1431" s="13">
        <v>4901</v>
      </c>
    </row>
    <row r="1432" spans="1:2" x14ac:dyDescent="0.25">
      <c r="A1432" t="s">
        <v>1999</v>
      </c>
      <c r="B1432" s="13">
        <v>3827</v>
      </c>
    </row>
    <row r="1433" spans="1:2" x14ac:dyDescent="0.25">
      <c r="A1433" t="s">
        <v>1212</v>
      </c>
      <c r="B1433" s="13">
        <v>1633</v>
      </c>
    </row>
    <row r="1434" spans="1:2" x14ac:dyDescent="0.25">
      <c r="A1434" t="s">
        <v>1557</v>
      </c>
      <c r="B1434" s="13">
        <v>6315</v>
      </c>
    </row>
    <row r="1435" spans="1:2" x14ac:dyDescent="0.25">
      <c r="A1435" t="s">
        <v>1670</v>
      </c>
      <c r="B1435" s="13">
        <v>5987</v>
      </c>
    </row>
    <row r="1436" spans="1:2" x14ac:dyDescent="0.25">
      <c r="A1436" t="s">
        <v>1680</v>
      </c>
      <c r="B1436" s="13">
        <v>1638</v>
      </c>
    </row>
    <row r="1437" spans="1:2" x14ac:dyDescent="0.25">
      <c r="A1437" t="s">
        <v>1862</v>
      </c>
      <c r="B1437" s="13">
        <v>1982</v>
      </c>
    </row>
    <row r="1438" spans="1:2" x14ac:dyDescent="0.25">
      <c r="A1438" t="s">
        <v>1870</v>
      </c>
      <c r="B1438" s="13">
        <v>5109</v>
      </c>
    </row>
    <row r="1439" spans="1:2" x14ac:dyDescent="0.25">
      <c r="A1439" t="s">
        <v>1990</v>
      </c>
      <c r="B1439" s="13">
        <v>3110</v>
      </c>
    </row>
    <row r="1440" spans="1:2" x14ac:dyDescent="0.25">
      <c r="A1440" t="s">
        <v>1263</v>
      </c>
      <c r="B1440" s="13">
        <v>4159</v>
      </c>
    </row>
    <row r="1441" spans="1:2" x14ac:dyDescent="0.25">
      <c r="A1441" t="s">
        <v>1421</v>
      </c>
      <c r="B1441" s="13">
        <v>4119</v>
      </c>
    </row>
    <row r="1442" spans="1:2" x14ac:dyDescent="0.25">
      <c r="A1442" t="s">
        <v>1820</v>
      </c>
      <c r="B1442" s="13">
        <v>637</v>
      </c>
    </row>
    <row r="1443" spans="1:2" x14ac:dyDescent="0.25">
      <c r="A1443" t="s">
        <v>1885</v>
      </c>
      <c r="B1443" s="13">
        <v>2982</v>
      </c>
    </row>
    <row r="1444" spans="1:2" x14ac:dyDescent="0.25">
      <c r="A1444" t="s">
        <v>1896</v>
      </c>
      <c r="B1444" s="13">
        <v>4080</v>
      </c>
    </row>
    <row r="1445" spans="1:2" x14ac:dyDescent="0.25">
      <c r="A1445" t="s">
        <v>2006</v>
      </c>
      <c r="B1445" s="13">
        <v>4580</v>
      </c>
    </row>
    <row r="1446" spans="1:2" x14ac:dyDescent="0.25">
      <c r="A1446" t="s">
        <v>1244</v>
      </c>
      <c r="B1446" s="13">
        <v>79</v>
      </c>
    </row>
    <row r="1447" spans="1:2" x14ac:dyDescent="0.25">
      <c r="A1447" t="s">
        <v>1697</v>
      </c>
      <c r="B1447" s="13">
        <v>3795</v>
      </c>
    </row>
    <row r="1448" spans="1:2" x14ac:dyDescent="0.25">
      <c r="A1448" t="s">
        <v>1904</v>
      </c>
      <c r="B1448" s="13">
        <v>544</v>
      </c>
    </row>
    <row r="1449" spans="1:2" x14ac:dyDescent="0.25">
      <c r="A1449" t="s">
        <v>1230</v>
      </c>
      <c r="B1449" s="13">
        <v>3705</v>
      </c>
    </row>
    <row r="1450" spans="1:2" x14ac:dyDescent="0.25">
      <c r="A1450" t="s">
        <v>1310</v>
      </c>
      <c r="B1450" s="13">
        <v>4860</v>
      </c>
    </row>
    <row r="1451" spans="1:2" x14ac:dyDescent="0.25">
      <c r="A1451" t="s">
        <v>1439</v>
      </c>
      <c r="B1451" s="13">
        <v>6862</v>
      </c>
    </row>
    <row r="1452" spans="1:2" x14ac:dyDescent="0.25">
      <c r="A1452" t="s">
        <v>1692</v>
      </c>
      <c r="B1452" s="13">
        <v>4036</v>
      </c>
    </row>
    <row r="1453" spans="1:2" x14ac:dyDescent="0.25">
      <c r="A1453" t="s">
        <v>1834</v>
      </c>
      <c r="B1453" s="13">
        <v>3354</v>
      </c>
    </row>
    <row r="1454" spans="1:2" x14ac:dyDescent="0.25">
      <c r="A1454" t="s">
        <v>1241</v>
      </c>
      <c r="B1454" s="13">
        <v>21</v>
      </c>
    </row>
    <row r="1455" spans="1:2" x14ac:dyDescent="0.25">
      <c r="A1455" t="s">
        <v>1248</v>
      </c>
      <c r="B1455" s="13">
        <v>4305</v>
      </c>
    </row>
    <row r="1456" spans="1:2" x14ac:dyDescent="0.25">
      <c r="A1456" t="s">
        <v>1286</v>
      </c>
      <c r="B1456" s="13">
        <v>968</v>
      </c>
    </row>
    <row r="1457" spans="1:2" x14ac:dyDescent="0.25">
      <c r="A1457" t="s">
        <v>1298</v>
      </c>
      <c r="B1457" s="13">
        <v>1816</v>
      </c>
    </row>
    <row r="1458" spans="1:2" x14ac:dyDescent="0.25">
      <c r="A1458" t="s">
        <v>1464</v>
      </c>
      <c r="B1458" s="13">
        <v>3505</v>
      </c>
    </row>
    <row r="1459" spans="1:2" x14ac:dyDescent="0.25">
      <c r="A1459" t="s">
        <v>2018</v>
      </c>
      <c r="B1459" s="13">
        <v>14942</v>
      </c>
    </row>
    <row r="1460" spans="1:2" x14ac:dyDescent="0.25">
      <c r="A1460" t="s">
        <v>1912</v>
      </c>
      <c r="B1460" s="13">
        <v>3003</v>
      </c>
    </row>
    <row r="1461" spans="1:2" x14ac:dyDescent="0.25">
      <c r="A1461" t="s">
        <v>1316</v>
      </c>
      <c r="B1461" s="13">
        <v>1278</v>
      </c>
    </row>
    <row r="1462" spans="1:2" x14ac:dyDescent="0.25">
      <c r="A1462" t="s">
        <v>1474</v>
      </c>
      <c r="B1462" s="13">
        <v>7738</v>
      </c>
    </row>
    <row r="1463" spans="1:2" x14ac:dyDescent="0.25">
      <c r="A1463" t="s">
        <v>1724</v>
      </c>
      <c r="B1463" s="13">
        <v>5042</v>
      </c>
    </row>
    <row r="1464" spans="1:2" x14ac:dyDescent="0.25">
      <c r="A1464" t="s">
        <v>1962</v>
      </c>
      <c r="B1464" s="13">
        <v>4434</v>
      </c>
    </row>
    <row r="1465" spans="1:2" x14ac:dyDescent="0.25">
      <c r="A1465" t="s">
        <v>1604</v>
      </c>
      <c r="B1465" s="13">
        <v>480</v>
      </c>
    </row>
    <row r="1466" spans="1:2" x14ac:dyDescent="0.25">
      <c r="A1466" t="s">
        <v>1921</v>
      </c>
      <c r="B1466" s="13">
        <v>1795</v>
      </c>
    </row>
    <row r="1467" spans="1:2" x14ac:dyDescent="0.25">
      <c r="A1467" t="s">
        <v>1340</v>
      </c>
      <c r="B1467" s="13">
        <v>1059</v>
      </c>
    </row>
    <row r="1468" spans="1:2" x14ac:dyDescent="0.25">
      <c r="A1468" t="s">
        <v>1841</v>
      </c>
      <c r="B1468" s="13">
        <v>2935</v>
      </c>
    </row>
    <row r="1469" spans="1:2" x14ac:dyDescent="0.25">
      <c r="A1469" t="s">
        <v>1928</v>
      </c>
      <c r="B1469" s="13">
        <v>5400</v>
      </c>
    </row>
    <row r="1470" spans="1:2" x14ac:dyDescent="0.25">
      <c r="A1470" t="s">
        <v>1350</v>
      </c>
      <c r="B1470" s="13">
        <v>1988</v>
      </c>
    </row>
    <row r="1471" spans="1:2" x14ac:dyDescent="0.25">
      <c r="A1471" t="s">
        <v>1567</v>
      </c>
      <c r="B1471" s="13">
        <v>6885</v>
      </c>
    </row>
    <row r="1472" spans="1:2" x14ac:dyDescent="0.25">
      <c r="A1472" t="s">
        <v>1778</v>
      </c>
      <c r="B1472" s="13">
        <v>7260</v>
      </c>
    </row>
    <row r="1473" spans="1:2" x14ac:dyDescent="0.25">
      <c r="A1473" t="s">
        <v>1741</v>
      </c>
      <c r="B1473" s="13">
        <v>1584</v>
      </c>
    </row>
    <row r="1474" spans="1:2" x14ac:dyDescent="0.25">
      <c r="A1474" t="s">
        <v>1768</v>
      </c>
      <c r="B1474" s="13">
        <v>2576</v>
      </c>
    </row>
    <row r="1475" spans="1:2" x14ac:dyDescent="0.25">
      <c r="A1475" t="s">
        <v>1849</v>
      </c>
      <c r="B1475" s="13">
        <v>4769</v>
      </c>
    </row>
    <row r="1476" spans="1:2" x14ac:dyDescent="0.25">
      <c r="A1476" t="s">
        <v>1361</v>
      </c>
      <c r="B1476" s="13">
        <v>3137</v>
      </c>
    </row>
    <row r="1477" spans="1:2" x14ac:dyDescent="0.25">
      <c r="A1477" t="s">
        <v>1389</v>
      </c>
      <c r="B1477" s="13">
        <v>563</v>
      </c>
    </row>
    <row r="1478" spans="1:2" x14ac:dyDescent="0.25">
      <c r="A1478" t="s">
        <v>1367</v>
      </c>
      <c r="B1478" s="13">
        <v>4288</v>
      </c>
    </row>
    <row r="1479" spans="1:2" x14ac:dyDescent="0.25">
      <c r="A1479" t="s">
        <v>1483</v>
      </c>
      <c r="B1479" s="13">
        <v>6812</v>
      </c>
    </row>
    <row r="1480" spans="1:2" x14ac:dyDescent="0.25">
      <c r="A1480" t="s">
        <v>1546</v>
      </c>
      <c r="B1480" s="13">
        <v>15147</v>
      </c>
    </row>
    <row r="1481" spans="1:2" x14ac:dyDescent="0.25">
      <c r="A1481" t="s">
        <v>1586</v>
      </c>
      <c r="B1481" s="13">
        <v>3416</v>
      </c>
    </row>
    <row r="1482" spans="1:2" x14ac:dyDescent="0.25">
      <c r="A1482" t="s">
        <v>1946</v>
      </c>
      <c r="B1482" s="13">
        <v>925</v>
      </c>
    </row>
    <row r="1483" spans="1:2" x14ac:dyDescent="0.25">
      <c r="A1483" t="s">
        <v>1400</v>
      </c>
      <c r="B1483" s="13">
        <v>2183</v>
      </c>
    </row>
    <row r="1484" spans="1:2" x14ac:dyDescent="0.25">
      <c r="A1484" t="s">
        <v>1515</v>
      </c>
      <c r="B1484" s="13">
        <v>1198</v>
      </c>
    </row>
    <row r="1485" spans="1:2" x14ac:dyDescent="0.25">
      <c r="A1485" t="s">
        <v>1601</v>
      </c>
      <c r="B1485" s="13">
        <v>3739</v>
      </c>
    </row>
    <row r="1486" spans="1:2" x14ac:dyDescent="0.25">
      <c r="A1486" t="s">
        <v>1789</v>
      </c>
      <c r="B1486" s="13">
        <v>551</v>
      </c>
    </row>
    <row r="1487" spans="1:2" x14ac:dyDescent="0.25">
      <c r="A1487" t="s">
        <v>1924</v>
      </c>
      <c r="B1487" s="13">
        <v>4509</v>
      </c>
    </row>
    <row r="1488" spans="1:2" x14ac:dyDescent="0.25">
      <c r="A1488" t="s">
        <v>594</v>
      </c>
      <c r="B1488" s="13">
        <v>-6906</v>
      </c>
    </row>
    <row r="1489" spans="1:2" x14ac:dyDescent="0.25">
      <c r="A1489" t="s">
        <v>1413</v>
      </c>
      <c r="B1489" s="13">
        <v>4408</v>
      </c>
    </row>
    <row r="1490" spans="1:2" x14ac:dyDescent="0.25">
      <c r="A1490" t="s">
        <v>1500</v>
      </c>
      <c r="B1490" s="13">
        <v>429</v>
      </c>
    </row>
    <row r="1491" spans="1:2" x14ac:dyDescent="0.25">
      <c r="A1491" t="s">
        <v>1510</v>
      </c>
      <c r="B1491" s="13">
        <v>8064</v>
      </c>
    </row>
    <row r="1492" spans="1:2" x14ac:dyDescent="0.25">
      <c r="A1492" t="s">
        <v>1793</v>
      </c>
      <c r="B1492" s="13">
        <v>8341</v>
      </c>
    </row>
    <row r="1493" spans="1:2" x14ac:dyDescent="0.25">
      <c r="A1493" t="s">
        <v>5</v>
      </c>
      <c r="B1493" s="13">
        <v>14614</v>
      </c>
    </row>
    <row r="1494" spans="1:2" x14ac:dyDescent="0.25">
      <c r="A1494" t="s">
        <v>1615</v>
      </c>
      <c r="B1494" s="13">
        <v>3962</v>
      </c>
    </row>
    <row r="1495" spans="1:2" x14ac:dyDescent="0.25">
      <c r="A1495" t="s">
        <v>30</v>
      </c>
      <c r="B1495" s="13">
        <v>-2583</v>
      </c>
    </row>
    <row r="1496" spans="1:2" x14ac:dyDescent="0.25">
      <c r="A1496" t="s">
        <v>34</v>
      </c>
      <c r="B1496" s="13">
        <v>-993</v>
      </c>
    </row>
    <row r="1497" spans="1:2" x14ac:dyDescent="0.25">
      <c r="A1497" t="s">
        <v>99</v>
      </c>
      <c r="B1497" s="13">
        <v>-10185</v>
      </c>
    </row>
    <row r="1498" spans="1:2" x14ac:dyDescent="0.25">
      <c r="A1498" t="s">
        <v>121</v>
      </c>
      <c r="B1498" s="13">
        <v>-30884</v>
      </c>
    </row>
    <row r="1499" spans="1:2" x14ac:dyDescent="0.25">
      <c r="A1499" t="s">
        <v>133</v>
      </c>
      <c r="B1499" s="13">
        <v>-1172</v>
      </c>
    </row>
    <row r="1500" spans="1:2" x14ac:dyDescent="0.25">
      <c r="A1500" t="s">
        <v>136</v>
      </c>
      <c r="B1500" s="13">
        <v>-657</v>
      </c>
    </row>
    <row r="1501" spans="1:2" x14ac:dyDescent="0.25">
      <c r="A1501" t="s">
        <v>147</v>
      </c>
      <c r="B1501" s="13">
        <v>-9696</v>
      </c>
    </row>
    <row r="1502" spans="1:2" x14ac:dyDescent="0.25">
      <c r="A1502" t="s">
        <v>184</v>
      </c>
      <c r="B1502" s="13">
        <v>-5915</v>
      </c>
    </row>
    <row r="1503" spans="1:2" x14ac:dyDescent="0.25">
      <c r="A1503" t="s">
        <v>192</v>
      </c>
      <c r="B1503" s="13">
        <v>-1482</v>
      </c>
    </row>
    <row r="1504" spans="1:2" x14ac:dyDescent="0.25">
      <c r="A1504" t="s">
        <v>196</v>
      </c>
      <c r="B1504" s="13">
        <v>-3003</v>
      </c>
    </row>
    <row r="1505" spans="1:2" x14ac:dyDescent="0.25">
      <c r="A1505" t="s">
        <v>204</v>
      </c>
      <c r="B1505" s="13">
        <v>-3915</v>
      </c>
    </row>
    <row r="1506" spans="1:2" x14ac:dyDescent="0.25">
      <c r="A1506" t="s">
        <v>246</v>
      </c>
      <c r="B1506" s="13">
        <v>-1184</v>
      </c>
    </row>
    <row r="1507" spans="1:2" x14ac:dyDescent="0.25">
      <c r="A1507" t="s">
        <v>250</v>
      </c>
      <c r="B1507" s="13">
        <v>-1381</v>
      </c>
    </row>
    <row r="1508" spans="1:2" x14ac:dyDescent="0.25">
      <c r="A1508" t="s">
        <v>261</v>
      </c>
      <c r="B1508" s="13">
        <v>-920</v>
      </c>
    </row>
    <row r="1509" spans="1:2" x14ac:dyDescent="0.25">
      <c r="A1509" t="s">
        <v>267</v>
      </c>
      <c r="B1509" s="13">
        <v>-9254</v>
      </c>
    </row>
    <row r="1510" spans="1:2" x14ac:dyDescent="0.25">
      <c r="A1510" t="s">
        <v>295</v>
      </c>
      <c r="B1510" s="13">
        <v>-1837</v>
      </c>
    </row>
    <row r="1511" spans="1:2" x14ac:dyDescent="0.25">
      <c r="A1511" t="s">
        <v>298</v>
      </c>
      <c r="B1511" s="13">
        <v>-4216</v>
      </c>
    </row>
    <row r="1512" spans="1:2" x14ac:dyDescent="0.25">
      <c r="A1512" t="s">
        <v>310</v>
      </c>
      <c r="B1512" s="13">
        <v>-644</v>
      </c>
    </row>
    <row r="1513" spans="1:2" x14ac:dyDescent="0.25">
      <c r="A1513" t="s">
        <v>331</v>
      </c>
      <c r="B1513" s="13">
        <v>-580</v>
      </c>
    </row>
    <row r="1514" spans="1:2" x14ac:dyDescent="0.25">
      <c r="A1514" t="s">
        <v>345</v>
      </c>
      <c r="B1514" s="13">
        <v>-3176</v>
      </c>
    </row>
    <row r="1515" spans="1:2" x14ac:dyDescent="0.25">
      <c r="A1515" t="s">
        <v>364</v>
      </c>
      <c r="B1515" s="13">
        <v>-10433</v>
      </c>
    </row>
    <row r="1516" spans="1:2" x14ac:dyDescent="0.25">
      <c r="A1516" t="s">
        <v>369</v>
      </c>
      <c r="B1516" s="13">
        <v>-2036</v>
      </c>
    </row>
    <row r="1517" spans="1:2" x14ac:dyDescent="0.25">
      <c r="A1517" t="s">
        <v>374</v>
      </c>
      <c r="B1517" s="13">
        <v>-8425</v>
      </c>
    </row>
    <row r="1518" spans="1:2" x14ac:dyDescent="0.25">
      <c r="A1518" t="s">
        <v>431</v>
      </c>
      <c r="B1518" s="13">
        <v>-56173</v>
      </c>
    </row>
    <row r="1519" spans="1:2" x14ac:dyDescent="0.25">
      <c r="A1519" t="s">
        <v>439</v>
      </c>
      <c r="B1519" s="13">
        <v>-66998</v>
      </c>
    </row>
    <row r="1520" spans="1:2" x14ac:dyDescent="0.25">
      <c r="A1520" t="s">
        <v>456</v>
      </c>
      <c r="B1520" s="13">
        <v>-42876</v>
      </c>
    </row>
    <row r="1521" spans="1:2" x14ac:dyDescent="0.25">
      <c r="A1521" t="s">
        <v>464</v>
      </c>
      <c r="B1521" s="13">
        <v>-152341</v>
      </c>
    </row>
    <row r="1522" spans="1:2" x14ac:dyDescent="0.25">
      <c r="A1522" t="s">
        <v>476</v>
      </c>
      <c r="B1522" s="13">
        <v>-85467</v>
      </c>
    </row>
    <row r="1523" spans="1:2" x14ac:dyDescent="0.25">
      <c r="A1523" t="s">
        <v>485</v>
      </c>
      <c r="B1523" s="13">
        <v>-118172</v>
      </c>
    </row>
    <row r="1524" spans="1:2" x14ac:dyDescent="0.25">
      <c r="A1524" t="s">
        <v>494</v>
      </c>
      <c r="B1524" s="13">
        <v>-105929</v>
      </c>
    </row>
    <row r="1525" spans="1:2" x14ac:dyDescent="0.25">
      <c r="A1525" t="s">
        <v>572</v>
      </c>
      <c r="B1525" s="13">
        <v>-39448</v>
      </c>
    </row>
    <row r="1526" spans="1:2" x14ac:dyDescent="0.25">
      <c r="A1526" t="s">
        <v>635</v>
      </c>
      <c r="B1526" s="13">
        <v>-94265</v>
      </c>
    </row>
    <row r="1527" spans="1:2" x14ac:dyDescent="0.25">
      <c r="A1527" t="s">
        <v>677</v>
      </c>
      <c r="B1527" s="13">
        <v>-98031</v>
      </c>
    </row>
    <row r="1528" spans="1:2" x14ac:dyDescent="0.25">
      <c r="A1528" t="s">
        <v>685</v>
      </c>
      <c r="B1528" s="13">
        <v>-44856</v>
      </c>
    </row>
    <row r="1529" spans="1:2" x14ac:dyDescent="0.25">
      <c r="A1529" t="s">
        <v>743</v>
      </c>
      <c r="B1529" s="13">
        <v>-61001</v>
      </c>
    </row>
    <row r="1530" spans="1:2" x14ac:dyDescent="0.25">
      <c r="A1530" t="s">
        <v>759</v>
      </c>
      <c r="B1530" s="13">
        <v>-111267</v>
      </c>
    </row>
    <row r="1531" spans="1:2" x14ac:dyDescent="0.25">
      <c r="A1531" t="s">
        <v>783</v>
      </c>
      <c r="B1531" s="13">
        <v>-464257</v>
      </c>
    </row>
    <row r="1532" spans="1:2" x14ac:dyDescent="0.25">
      <c r="A1532" t="s">
        <v>796</v>
      </c>
      <c r="B1532" s="13">
        <v>-74476</v>
      </c>
    </row>
    <row r="1533" spans="1:2" x14ac:dyDescent="0.25">
      <c r="A1533" t="s">
        <v>806</v>
      </c>
      <c r="B1533" s="13">
        <v>-252171</v>
      </c>
    </row>
    <row r="1534" spans="1:2" x14ac:dyDescent="0.25">
      <c r="A1534" t="s">
        <v>827</v>
      </c>
      <c r="B1534" s="13">
        <v>-166206</v>
      </c>
    </row>
    <row r="1535" spans="1:2" x14ac:dyDescent="0.25">
      <c r="A1535" t="s">
        <v>844</v>
      </c>
      <c r="B1535" s="13">
        <v>-127803</v>
      </c>
    </row>
    <row r="1536" spans="1:2" x14ac:dyDescent="0.25">
      <c r="A1536" t="s">
        <v>855</v>
      </c>
      <c r="B1536" s="13">
        <v>-74171</v>
      </c>
    </row>
    <row r="1537" spans="1:2" x14ac:dyDescent="0.25">
      <c r="A1537" t="s">
        <v>862</v>
      </c>
      <c r="B1537" s="13">
        <v>-79011</v>
      </c>
    </row>
    <row r="1538" spans="1:2" x14ac:dyDescent="0.25">
      <c r="A1538" t="s">
        <v>867</v>
      </c>
      <c r="B1538" s="13">
        <v>-156605</v>
      </c>
    </row>
    <row r="1539" spans="1:2" x14ac:dyDescent="0.25">
      <c r="A1539" t="s">
        <v>881</v>
      </c>
      <c r="B1539" s="13">
        <v>-86179</v>
      </c>
    </row>
    <row r="1540" spans="1:2" x14ac:dyDescent="0.25">
      <c r="A1540" t="s">
        <v>894</v>
      </c>
      <c r="B1540" s="13">
        <v>-72450</v>
      </c>
    </row>
    <row r="1541" spans="1:2" x14ac:dyDescent="0.25">
      <c r="A1541" t="s">
        <v>900</v>
      </c>
      <c r="B1541" s="13">
        <v>-56642</v>
      </c>
    </row>
    <row r="1542" spans="1:2" x14ac:dyDescent="0.25">
      <c r="A1542" t="s">
        <v>920</v>
      </c>
      <c r="B1542" s="13">
        <v>-124432</v>
      </c>
    </row>
    <row r="1543" spans="1:2" x14ac:dyDescent="0.25">
      <c r="A1543" t="s">
        <v>935</v>
      </c>
      <c r="B1543" s="13">
        <v>-101336</v>
      </c>
    </row>
    <row r="1544" spans="1:2" x14ac:dyDescent="0.25">
      <c r="A1544" t="s">
        <v>947</v>
      </c>
      <c r="B1544" s="13">
        <v>-104303</v>
      </c>
    </row>
    <row r="1545" spans="1:2" x14ac:dyDescent="0.25">
      <c r="A1545" t="s">
        <v>952</v>
      </c>
      <c r="B1545" s="13">
        <v>-136865</v>
      </c>
    </row>
    <row r="1546" spans="1:2" x14ac:dyDescent="0.25">
      <c r="A1546" t="s">
        <v>961</v>
      </c>
      <c r="B1546" s="13">
        <v>-75577</v>
      </c>
    </row>
    <row r="1547" spans="1:2" x14ac:dyDescent="0.25">
      <c r="A1547" t="s">
        <v>975</v>
      </c>
      <c r="B1547" s="13">
        <v>-88043</v>
      </c>
    </row>
    <row r="1548" spans="1:2" x14ac:dyDescent="0.25">
      <c r="A1548" t="s">
        <v>989</v>
      </c>
      <c r="B1548" s="13">
        <v>-29344</v>
      </c>
    </row>
    <row r="1549" spans="1:2" x14ac:dyDescent="0.25">
      <c r="A1549" t="s">
        <v>1003</v>
      </c>
      <c r="B1549" s="13">
        <v>-87148</v>
      </c>
    </row>
    <row r="1550" spans="1:2" x14ac:dyDescent="0.25">
      <c r="A1550" t="s">
        <v>1017</v>
      </c>
      <c r="B1550" s="13">
        <v>-112465</v>
      </c>
    </row>
    <row r="1551" spans="1:2" x14ac:dyDescent="0.25">
      <c r="A1551" t="s">
        <v>1034</v>
      </c>
      <c r="B1551" s="13">
        <v>-48827</v>
      </c>
    </row>
    <row r="1552" spans="1:2" x14ac:dyDescent="0.25">
      <c r="A1552" t="s">
        <v>1039</v>
      </c>
      <c r="B1552" s="13">
        <v>-95732</v>
      </c>
    </row>
    <row r="1553" spans="1:2" x14ac:dyDescent="0.25">
      <c r="A1553" t="s">
        <v>1048</v>
      </c>
      <c r="B1553" s="13">
        <v>-55000</v>
      </c>
    </row>
    <row r="1554" spans="1:2" x14ac:dyDescent="0.25">
      <c r="A1554" t="s">
        <v>1072</v>
      </c>
      <c r="B1554" s="13">
        <v>-153343</v>
      </c>
    </row>
    <row r="1555" spans="1:2" x14ac:dyDescent="0.25">
      <c r="A1555" t="s">
        <v>1083</v>
      </c>
      <c r="B1555" s="13">
        <v>-164933</v>
      </c>
    </row>
    <row r="1556" spans="1:2" x14ac:dyDescent="0.25">
      <c r="A1556" t="s">
        <v>1097</v>
      </c>
      <c r="B1556" s="13">
        <v>-15820</v>
      </c>
    </row>
    <row r="1557" spans="1:2" x14ac:dyDescent="0.25">
      <c r="A1557" t="s">
        <v>1127</v>
      </c>
      <c r="B1557" s="13">
        <v>-87493</v>
      </c>
    </row>
    <row r="1558" spans="1:2" x14ac:dyDescent="0.25">
      <c r="A1558" t="s">
        <v>1151</v>
      </c>
      <c r="B1558" s="13">
        <v>-94926</v>
      </c>
    </row>
    <row r="1559" spans="1:2" x14ac:dyDescent="0.25">
      <c r="A1559" t="s">
        <v>1158</v>
      </c>
      <c r="B1559" s="13">
        <v>-45000</v>
      </c>
    </row>
    <row r="1560" spans="1:2" x14ac:dyDescent="0.25">
      <c r="A1560" t="s">
        <v>1201</v>
      </c>
      <c r="B1560" s="13">
        <v>-76494</v>
      </c>
    </row>
    <row r="1561" spans="1:2" x14ac:dyDescent="0.25">
      <c r="A1561" t="s">
        <v>1204</v>
      </c>
      <c r="B1561" s="13">
        <v>-1200</v>
      </c>
    </row>
    <row r="1562" spans="1:2" x14ac:dyDescent="0.25">
      <c r="A1562" t="s">
        <v>1209</v>
      </c>
      <c r="B1562" s="13">
        <v>-8830</v>
      </c>
    </row>
    <row r="1563" spans="1:2" x14ac:dyDescent="0.25">
      <c r="A1563" t="s">
        <v>1231</v>
      </c>
      <c r="B1563" s="13">
        <v>-39802</v>
      </c>
    </row>
    <row r="1564" spans="1:2" x14ac:dyDescent="0.25">
      <c r="A1564" t="s">
        <v>1242</v>
      </c>
      <c r="B1564" s="13">
        <v>-4924</v>
      </c>
    </row>
    <row r="1565" spans="1:2" x14ac:dyDescent="0.25">
      <c r="A1565" t="s">
        <v>1255</v>
      </c>
      <c r="B1565" s="13">
        <v>-4257</v>
      </c>
    </row>
    <row r="1566" spans="1:2" x14ac:dyDescent="0.25">
      <c r="A1566" t="s">
        <v>1260</v>
      </c>
      <c r="B1566" s="13">
        <v>-2829</v>
      </c>
    </row>
    <row r="1567" spans="1:2" x14ac:dyDescent="0.25">
      <c r="A1567" t="s">
        <v>1273</v>
      </c>
      <c r="B1567" s="13">
        <v>-7265</v>
      </c>
    </row>
    <row r="1568" spans="1:2" x14ac:dyDescent="0.25">
      <c r="A1568" t="s">
        <v>1287</v>
      </c>
      <c r="B1568" s="13">
        <v>-13367</v>
      </c>
    </row>
    <row r="1569" spans="1:2" x14ac:dyDescent="0.25">
      <c r="A1569" t="s">
        <v>1299</v>
      </c>
      <c r="B1569" s="13">
        <v>-10400</v>
      </c>
    </row>
    <row r="1570" spans="1:2" x14ac:dyDescent="0.25">
      <c r="A1570" t="s">
        <v>1311</v>
      </c>
      <c r="B1570" s="13">
        <v>-32953</v>
      </c>
    </row>
    <row r="1571" spans="1:2" x14ac:dyDescent="0.25">
      <c r="A1571" t="s">
        <v>1329</v>
      </c>
      <c r="B1571" s="13">
        <v>-15560</v>
      </c>
    </row>
    <row r="1572" spans="1:2" x14ac:dyDescent="0.25">
      <c r="A1572" t="s">
        <v>1341</v>
      </c>
      <c r="B1572" s="13">
        <v>-7854</v>
      </c>
    </row>
    <row r="1573" spans="1:2" x14ac:dyDescent="0.25">
      <c r="A1573" t="s">
        <v>1356</v>
      </c>
      <c r="B1573" s="13">
        <v>-13132</v>
      </c>
    </row>
    <row r="1574" spans="1:2" x14ac:dyDescent="0.25">
      <c r="A1574" t="s">
        <v>1362</v>
      </c>
      <c r="B1574" s="13">
        <v>-8690</v>
      </c>
    </row>
    <row r="1575" spans="1:2" x14ac:dyDescent="0.25">
      <c r="A1575" t="s">
        <v>1368</v>
      </c>
      <c r="B1575" s="13">
        <v>-4288</v>
      </c>
    </row>
    <row r="1576" spans="1:2" x14ac:dyDescent="0.25">
      <c r="A1576" t="s">
        <v>1390</v>
      </c>
      <c r="B1576" s="13">
        <v>-8926</v>
      </c>
    </row>
    <row r="1577" spans="1:2" x14ac:dyDescent="0.25">
      <c r="A1577" t="s">
        <v>1401</v>
      </c>
      <c r="B1577" s="13">
        <v>-18812</v>
      </c>
    </row>
    <row r="1578" spans="1:2" x14ac:dyDescent="0.25">
      <c r="A1578" t="s">
        <v>1414</v>
      </c>
      <c r="B1578" s="13">
        <v>-33686</v>
      </c>
    </row>
    <row r="1579" spans="1:2" x14ac:dyDescent="0.25">
      <c r="A1579" t="s">
        <v>1422</v>
      </c>
      <c r="B1579" s="13">
        <v>-24215</v>
      </c>
    </row>
    <row r="1580" spans="1:2" x14ac:dyDescent="0.25">
      <c r="A1580" t="s">
        <v>1440</v>
      </c>
      <c r="B1580" s="13">
        <v>-38374</v>
      </c>
    </row>
    <row r="1581" spans="1:2" x14ac:dyDescent="0.25">
      <c r="A1581" t="s">
        <v>1442</v>
      </c>
      <c r="B1581" s="13">
        <v>-50</v>
      </c>
    </row>
    <row r="1582" spans="1:2" x14ac:dyDescent="0.25">
      <c r="A1582" t="s">
        <v>1445</v>
      </c>
      <c r="B1582" s="13">
        <v>-280</v>
      </c>
    </row>
    <row r="1583" spans="1:2" x14ac:dyDescent="0.25">
      <c r="A1583" t="s">
        <v>1457</v>
      </c>
      <c r="B1583" s="13">
        <v>-14102</v>
      </c>
    </row>
    <row r="1584" spans="1:2" x14ac:dyDescent="0.25">
      <c r="A1584" t="s">
        <v>1465</v>
      </c>
      <c r="B1584" s="13">
        <v>-21130</v>
      </c>
    </row>
    <row r="1585" spans="1:2" x14ac:dyDescent="0.25">
      <c r="A1585" t="s">
        <v>1475</v>
      </c>
      <c r="B1585" s="13">
        <v>-67026</v>
      </c>
    </row>
    <row r="1586" spans="1:2" x14ac:dyDescent="0.25">
      <c r="A1586" t="s">
        <v>1484</v>
      </c>
      <c r="B1586" s="13">
        <v>-19152</v>
      </c>
    </row>
    <row r="1587" spans="1:2" x14ac:dyDescent="0.25">
      <c r="A1587" t="s">
        <v>1487</v>
      </c>
      <c r="B1587" s="13">
        <v>-1294</v>
      </c>
    </row>
    <row r="1588" spans="1:2" x14ac:dyDescent="0.25">
      <c r="A1588" t="s">
        <v>1501</v>
      </c>
      <c r="B1588" s="13">
        <v>-6448</v>
      </c>
    </row>
    <row r="1589" spans="1:2" x14ac:dyDescent="0.25">
      <c r="A1589" t="s">
        <v>1511</v>
      </c>
      <c r="B1589" s="13">
        <v>-57806</v>
      </c>
    </row>
    <row r="1590" spans="1:2" x14ac:dyDescent="0.25">
      <c r="A1590" t="s">
        <v>1524</v>
      </c>
      <c r="B1590" s="13">
        <v>-25358</v>
      </c>
    </row>
    <row r="1591" spans="1:2" x14ac:dyDescent="0.25">
      <c r="A1591" t="s">
        <v>1543</v>
      </c>
      <c r="B1591" s="13">
        <v>-32522</v>
      </c>
    </row>
    <row r="1592" spans="1:2" x14ac:dyDescent="0.25">
      <c r="A1592" t="s">
        <v>1547</v>
      </c>
      <c r="B1592" s="13">
        <v>-23176</v>
      </c>
    </row>
    <row r="1593" spans="1:2" x14ac:dyDescent="0.25">
      <c r="A1593" t="s">
        <v>1558</v>
      </c>
      <c r="B1593" s="13">
        <v>-56924</v>
      </c>
    </row>
    <row r="1594" spans="1:2" x14ac:dyDescent="0.25">
      <c r="A1594" t="s">
        <v>1578</v>
      </c>
      <c r="B1594" s="13">
        <v>-6161</v>
      </c>
    </row>
    <row r="1595" spans="1:2" x14ac:dyDescent="0.25">
      <c r="A1595" t="s">
        <v>1602</v>
      </c>
      <c r="B1595" s="13">
        <v>-31535</v>
      </c>
    </row>
    <row r="1596" spans="1:2" x14ac:dyDescent="0.25">
      <c r="A1596" t="s">
        <v>1605</v>
      </c>
      <c r="B1596" s="13">
        <v>-480</v>
      </c>
    </row>
    <row r="1597" spans="1:2" x14ac:dyDescent="0.25">
      <c r="A1597" t="s">
        <v>1616</v>
      </c>
      <c r="B1597" s="13">
        <v>-27896</v>
      </c>
    </row>
    <row r="1598" spans="1:2" x14ac:dyDescent="0.25">
      <c r="A1598" t="s">
        <v>1626</v>
      </c>
      <c r="B1598" s="13">
        <v>-26556</v>
      </c>
    </row>
    <row r="1599" spans="1:2" x14ac:dyDescent="0.25">
      <c r="A1599" t="s">
        <v>1648</v>
      </c>
      <c r="B1599" s="13">
        <v>-16936</v>
      </c>
    </row>
    <row r="1600" spans="1:2" x14ac:dyDescent="0.25">
      <c r="A1600" t="s">
        <v>1655</v>
      </c>
      <c r="B1600" s="13">
        <v>-3507</v>
      </c>
    </row>
    <row r="1601" spans="1:2" x14ac:dyDescent="0.25">
      <c r="A1601" t="s">
        <v>1671</v>
      </c>
      <c r="B1601" s="13">
        <v>-46670</v>
      </c>
    </row>
    <row r="1602" spans="1:2" x14ac:dyDescent="0.25">
      <c r="A1602" t="s">
        <v>1681</v>
      </c>
      <c r="B1602" s="13">
        <v>-12284</v>
      </c>
    </row>
    <row r="1603" spans="1:2" x14ac:dyDescent="0.25">
      <c r="A1603" t="s">
        <v>1693</v>
      </c>
      <c r="B1603" s="13">
        <v>-11635</v>
      </c>
    </row>
    <row r="1604" spans="1:2" x14ac:dyDescent="0.25">
      <c r="A1604" t="s">
        <v>1706</v>
      </c>
      <c r="B1604" s="13">
        <v>-1732</v>
      </c>
    </row>
    <row r="1605" spans="1:2" x14ac:dyDescent="0.25">
      <c r="A1605" t="s">
        <v>1712</v>
      </c>
      <c r="B1605" s="13">
        <v>-15673</v>
      </c>
    </row>
    <row r="1606" spans="1:2" x14ac:dyDescent="0.25">
      <c r="A1606" t="s">
        <v>1725</v>
      </c>
      <c r="B1606" s="13">
        <v>-29305</v>
      </c>
    </row>
    <row r="1607" spans="1:2" x14ac:dyDescent="0.25">
      <c r="A1607" t="s">
        <v>1732</v>
      </c>
      <c r="B1607" s="13">
        <v>-14994</v>
      </c>
    </row>
    <row r="1608" spans="1:2" x14ac:dyDescent="0.25">
      <c r="A1608" t="s">
        <v>1742</v>
      </c>
      <c r="B1608" s="13">
        <v>-11913</v>
      </c>
    </row>
    <row r="1609" spans="1:2" x14ac:dyDescent="0.25">
      <c r="A1609" t="s">
        <v>1769</v>
      </c>
      <c r="B1609" s="13">
        <v>-17104</v>
      </c>
    </row>
    <row r="1610" spans="1:2" x14ac:dyDescent="0.25">
      <c r="A1610" t="s">
        <v>1821</v>
      </c>
      <c r="B1610" s="13">
        <v>-9155</v>
      </c>
    </row>
    <row r="1611" spans="1:2" x14ac:dyDescent="0.25">
      <c r="A1611" t="s">
        <v>1835</v>
      </c>
      <c r="B1611" s="13">
        <v>-10220</v>
      </c>
    </row>
    <row r="1612" spans="1:2" x14ac:dyDescent="0.25">
      <c r="A1612" t="s">
        <v>1842</v>
      </c>
      <c r="B1612" s="13">
        <v>-6345</v>
      </c>
    </row>
    <row r="1613" spans="1:2" x14ac:dyDescent="0.25">
      <c r="A1613" t="s">
        <v>1850</v>
      </c>
      <c r="B1613" s="13">
        <v>-22654</v>
      </c>
    </row>
    <row r="1614" spans="1:2" x14ac:dyDescent="0.25">
      <c r="A1614" t="s">
        <v>1863</v>
      </c>
      <c r="B1614" s="13">
        <v>-28179</v>
      </c>
    </row>
    <row r="1615" spans="1:2" x14ac:dyDescent="0.25">
      <c r="A1615" t="s">
        <v>1871</v>
      </c>
      <c r="B1615" s="13">
        <v>-25591</v>
      </c>
    </row>
    <row r="1616" spans="1:2" x14ac:dyDescent="0.25">
      <c r="A1616" t="s">
        <v>1897</v>
      </c>
      <c r="B1616" s="13">
        <v>-20278</v>
      </c>
    </row>
    <row r="1617" spans="1:2" x14ac:dyDescent="0.25">
      <c r="A1617" t="s">
        <v>1905</v>
      </c>
      <c r="B1617" s="13">
        <v>-3920</v>
      </c>
    </row>
    <row r="1618" spans="1:2" x14ac:dyDescent="0.25">
      <c r="A1618" t="s">
        <v>1925</v>
      </c>
      <c r="B1618" s="13">
        <v>-4509</v>
      </c>
    </row>
    <row r="1619" spans="1:2" x14ac:dyDescent="0.25">
      <c r="A1619" t="s">
        <v>1939</v>
      </c>
      <c r="B1619" s="13">
        <v>-3696</v>
      </c>
    </row>
    <row r="1620" spans="1:2" x14ac:dyDescent="0.25">
      <c r="A1620" t="s">
        <v>1947</v>
      </c>
      <c r="B1620" s="13">
        <v>-5841</v>
      </c>
    </row>
    <row r="1621" spans="1:2" x14ac:dyDescent="0.25">
      <c r="A1621" t="s">
        <v>1963</v>
      </c>
      <c r="B1621" s="13">
        <v>-30121</v>
      </c>
    </row>
    <row r="1622" spans="1:2" x14ac:dyDescent="0.25">
      <c r="A1622" t="s">
        <v>1966</v>
      </c>
      <c r="B1622" s="13">
        <v>-554</v>
      </c>
    </row>
    <row r="1623" spans="1:2" x14ac:dyDescent="0.25">
      <c r="A1623" t="s">
        <v>1744</v>
      </c>
      <c r="B1623" s="13">
        <v>1651</v>
      </c>
    </row>
    <row r="1624" spans="1:2" x14ac:dyDescent="0.25">
      <c r="A1624" t="s">
        <v>1970</v>
      </c>
      <c r="B1624" s="13">
        <v>3959</v>
      </c>
    </row>
    <row r="1625" spans="1:2" x14ac:dyDescent="0.25">
      <c r="A1625" t="s">
        <v>2000</v>
      </c>
      <c r="B1625" s="13">
        <v>3198</v>
      </c>
    </row>
    <row r="1626" spans="1:2" x14ac:dyDescent="0.25">
      <c r="A1626" t="s">
        <v>1886</v>
      </c>
      <c r="B1626" s="13">
        <v>3834</v>
      </c>
    </row>
    <row r="1627" spans="1:2" x14ac:dyDescent="0.25">
      <c r="A1627" t="s">
        <v>1991</v>
      </c>
      <c r="B1627" s="13">
        <v>4379</v>
      </c>
    </row>
    <row r="1628" spans="1:2" x14ac:dyDescent="0.25">
      <c r="A1628" t="s">
        <v>2007</v>
      </c>
      <c r="B1628" s="13">
        <v>3790</v>
      </c>
    </row>
    <row r="1629" spans="1:2" x14ac:dyDescent="0.25">
      <c r="A1629" t="s">
        <v>1266</v>
      </c>
      <c r="B1629" s="13">
        <v>1250</v>
      </c>
    </row>
    <row r="1630" spans="1:2" x14ac:dyDescent="0.25">
      <c r="A1630" t="s">
        <v>1698</v>
      </c>
      <c r="B1630" s="13">
        <v>5065</v>
      </c>
    </row>
    <row r="1631" spans="1:2" x14ac:dyDescent="0.25">
      <c r="A1631" t="s">
        <v>1823</v>
      </c>
      <c r="B1631" s="13">
        <v>3872</v>
      </c>
    </row>
    <row r="1632" spans="1:2" x14ac:dyDescent="0.25">
      <c r="A1632" t="s">
        <v>2013</v>
      </c>
      <c r="B1632" s="13">
        <v>6257</v>
      </c>
    </row>
    <row r="1633" spans="1:2" x14ac:dyDescent="0.25">
      <c r="A1633" t="s">
        <v>1301</v>
      </c>
      <c r="B1633" s="13">
        <v>438</v>
      </c>
    </row>
    <row r="1634" spans="1:2" x14ac:dyDescent="0.25">
      <c r="A1634" t="s">
        <v>1913</v>
      </c>
      <c r="B1634" s="13">
        <v>2366</v>
      </c>
    </row>
    <row r="1635" spans="1:2" x14ac:dyDescent="0.25">
      <c r="A1635" t="s">
        <v>1213</v>
      </c>
      <c r="B1635" s="13">
        <v>763</v>
      </c>
    </row>
    <row r="1636" spans="1:2" x14ac:dyDescent="0.25">
      <c r="A1636" t="s">
        <v>1929</v>
      </c>
      <c r="B1636" s="13">
        <v>6133</v>
      </c>
    </row>
    <row r="1637" spans="1:2" x14ac:dyDescent="0.25">
      <c r="A1637" t="s">
        <v>1790</v>
      </c>
      <c r="B1637" s="13">
        <v>-551</v>
      </c>
    </row>
    <row r="1638" spans="1:2" x14ac:dyDescent="0.25">
      <c r="A1638" t="s">
        <v>1568</v>
      </c>
      <c r="B1638" s="13">
        <v>7280</v>
      </c>
    </row>
    <row r="1639" spans="1:2" x14ac:dyDescent="0.25">
      <c r="A1639" t="s">
        <v>1587</v>
      </c>
      <c r="B1639" s="13">
        <v>3272</v>
      </c>
    </row>
    <row r="1640" spans="1:2" x14ac:dyDescent="0.25">
      <c r="A1640" t="s">
        <v>1516</v>
      </c>
      <c r="B1640" s="13">
        <v>490</v>
      </c>
    </row>
    <row r="1641" spans="1:2" x14ac:dyDescent="0.25">
      <c r="A1641" t="s">
        <v>1794</v>
      </c>
      <c r="B1641" s="13">
        <v>8455</v>
      </c>
    </row>
    <row r="1642" spans="1:2" x14ac:dyDescent="0.25">
      <c r="A1642" t="s">
        <v>1745</v>
      </c>
      <c r="B1642" s="13">
        <v>2249</v>
      </c>
    </row>
    <row r="1643" spans="1:2" x14ac:dyDescent="0.25">
      <c r="A1643" t="s">
        <v>1971</v>
      </c>
      <c r="B1643" s="13">
        <v>4187</v>
      </c>
    </row>
    <row r="1644" spans="1:2" x14ac:dyDescent="0.25">
      <c r="A1644" t="s">
        <v>6</v>
      </c>
      <c r="B1644" s="13">
        <v>7860</v>
      </c>
    </row>
    <row r="1645" spans="1:2" x14ac:dyDescent="0.25">
      <c r="A1645" t="s">
        <v>2001</v>
      </c>
      <c r="B1645" s="13">
        <v>2836</v>
      </c>
    </row>
    <row r="1646" spans="1:2" x14ac:dyDescent="0.25">
      <c r="A1646" t="s">
        <v>1249</v>
      </c>
      <c r="B1646" s="13">
        <v>3309</v>
      </c>
    </row>
    <row r="1647" spans="1:2" x14ac:dyDescent="0.25">
      <c r="A1647" t="s">
        <v>1628</v>
      </c>
      <c r="B1647" s="13">
        <v>3455</v>
      </c>
    </row>
    <row r="1648" spans="1:2" x14ac:dyDescent="0.25">
      <c r="A1648" t="s">
        <v>1629</v>
      </c>
      <c r="B1648" s="13">
        <v>2727</v>
      </c>
    </row>
    <row r="1649" spans="1:2" x14ac:dyDescent="0.25">
      <c r="A1649" t="s">
        <v>1630</v>
      </c>
      <c r="B1649" s="13">
        <v>3248</v>
      </c>
    </row>
    <row r="1650" spans="1:2" x14ac:dyDescent="0.25">
      <c r="A1650" t="s">
        <v>1631</v>
      </c>
      <c r="B1650" s="13">
        <v>3606</v>
      </c>
    </row>
    <row r="1651" spans="1:2" x14ac:dyDescent="0.25">
      <c r="A1651" t="s">
        <v>1632</v>
      </c>
      <c r="B1651" s="13">
        <v>3550</v>
      </c>
    </row>
    <row r="1652" spans="1:2" x14ac:dyDescent="0.25">
      <c r="A1652" t="s">
        <v>1633</v>
      </c>
      <c r="B1652" s="13">
        <v>2594</v>
      </c>
    </row>
    <row r="1653" spans="1:2" x14ac:dyDescent="0.25">
      <c r="A1653" t="s">
        <v>1634</v>
      </c>
      <c r="B1653" s="13">
        <v>1634</v>
      </c>
    </row>
    <row r="1654" spans="1:2" x14ac:dyDescent="0.25">
      <c r="A1654" t="s">
        <v>1635</v>
      </c>
      <c r="B1654" s="13">
        <v>3352</v>
      </c>
    </row>
    <row r="1655" spans="1:2" x14ac:dyDescent="0.25">
      <c r="A1655" t="s">
        <v>1887</v>
      </c>
      <c r="B1655" s="13">
        <v>4924</v>
      </c>
    </row>
    <row r="1656" spans="1:2" x14ac:dyDescent="0.25">
      <c r="A1656" t="s">
        <v>1992</v>
      </c>
      <c r="B1656" s="13">
        <v>4435</v>
      </c>
    </row>
    <row r="1657" spans="1:2" x14ac:dyDescent="0.25">
      <c r="A1657" t="s">
        <v>2008</v>
      </c>
      <c r="B1657" s="13">
        <v>3001</v>
      </c>
    </row>
    <row r="1658" spans="1:2" x14ac:dyDescent="0.25">
      <c r="A1658" t="s">
        <v>1636</v>
      </c>
      <c r="B1658" s="13">
        <v>7657</v>
      </c>
    </row>
    <row r="1659" spans="1:2" x14ac:dyDescent="0.25">
      <c r="A1659" t="s">
        <v>1637</v>
      </c>
      <c r="B1659" s="13">
        <v>6989</v>
      </c>
    </row>
    <row r="1660" spans="1:2" x14ac:dyDescent="0.25">
      <c r="A1660" t="s">
        <v>1699</v>
      </c>
      <c r="B1660" s="13">
        <v>5180</v>
      </c>
    </row>
    <row r="1661" spans="1:2" x14ac:dyDescent="0.25">
      <c r="A1661" t="s">
        <v>1824</v>
      </c>
      <c r="B1661" s="13">
        <v>453</v>
      </c>
    </row>
    <row r="1662" spans="1:2" x14ac:dyDescent="0.25">
      <c r="A1662" t="s">
        <v>1914</v>
      </c>
      <c r="B1662" s="13">
        <v>4046</v>
      </c>
    </row>
    <row r="1663" spans="1:2" x14ac:dyDescent="0.25">
      <c r="A1663" t="s">
        <v>1569</v>
      </c>
      <c r="B1663" s="13">
        <v>6254</v>
      </c>
    </row>
    <row r="1664" spans="1:2" x14ac:dyDescent="0.25">
      <c r="A1664" t="s">
        <v>1930</v>
      </c>
      <c r="B1664" s="13">
        <v>8591</v>
      </c>
    </row>
    <row r="1665" spans="1:2" x14ac:dyDescent="0.25">
      <c r="A1665" t="s">
        <v>1451</v>
      </c>
      <c r="B1665" s="13">
        <v>911</v>
      </c>
    </row>
    <row r="1666" spans="1:2" x14ac:dyDescent="0.25">
      <c r="A1666" t="s">
        <v>1588</v>
      </c>
      <c r="B1666" s="13">
        <v>3201</v>
      </c>
    </row>
    <row r="1667" spans="1:2" x14ac:dyDescent="0.25">
      <c r="A1667" t="s">
        <v>1795</v>
      </c>
      <c r="B1667" s="13">
        <v>8863</v>
      </c>
    </row>
    <row r="1668" spans="1:2" x14ac:dyDescent="0.25">
      <c r="A1668" t="s">
        <v>1452</v>
      </c>
      <c r="B1668" s="13">
        <v>-911</v>
      </c>
    </row>
    <row r="1669" spans="1:2" x14ac:dyDescent="0.25">
      <c r="A1669" t="s">
        <v>1517</v>
      </c>
      <c r="B1669" s="13">
        <v>2726</v>
      </c>
    </row>
    <row r="1670" spans="1:2" x14ac:dyDescent="0.25">
      <c r="A1670" t="s">
        <v>7</v>
      </c>
      <c r="B1670" s="13">
        <v>14467</v>
      </c>
    </row>
    <row r="1671" spans="1:2" x14ac:dyDescent="0.25">
      <c r="A1671" t="s">
        <v>1746</v>
      </c>
      <c r="B1671" s="13">
        <v>2209</v>
      </c>
    </row>
    <row r="1672" spans="1:2" x14ac:dyDescent="0.25">
      <c r="A1672" t="s">
        <v>1972</v>
      </c>
      <c r="B1672" s="13">
        <v>5397</v>
      </c>
    </row>
    <row r="1673" spans="1:2" x14ac:dyDescent="0.25">
      <c r="A1673" t="s">
        <v>1993</v>
      </c>
      <c r="B1673" s="13">
        <v>3931</v>
      </c>
    </row>
    <row r="1674" spans="1:2" x14ac:dyDescent="0.25">
      <c r="A1674" t="s">
        <v>1888</v>
      </c>
      <c r="B1674" s="13">
        <v>3229</v>
      </c>
    </row>
    <row r="1675" spans="1:2" x14ac:dyDescent="0.25">
      <c r="A1675" t="s">
        <v>2009</v>
      </c>
      <c r="B1675" s="13">
        <v>2011</v>
      </c>
    </row>
    <row r="1676" spans="1:2" x14ac:dyDescent="0.25">
      <c r="A1676" t="s">
        <v>1700</v>
      </c>
      <c r="B1676" s="13">
        <v>4450</v>
      </c>
    </row>
    <row r="1677" spans="1:2" x14ac:dyDescent="0.25">
      <c r="A1677" t="s">
        <v>1714</v>
      </c>
      <c r="B1677" s="13">
        <v>727</v>
      </c>
    </row>
    <row r="1678" spans="1:2" x14ac:dyDescent="0.25">
      <c r="A1678" t="s">
        <v>1907</v>
      </c>
      <c r="B1678" s="13">
        <v>752</v>
      </c>
    </row>
    <row r="1679" spans="1:2" x14ac:dyDescent="0.25">
      <c r="A1679" t="s">
        <v>1915</v>
      </c>
      <c r="B1679" s="13">
        <v>2375</v>
      </c>
    </row>
    <row r="1680" spans="1:2" x14ac:dyDescent="0.25">
      <c r="A1680" t="s">
        <v>1570</v>
      </c>
      <c r="B1680" s="13">
        <v>7056</v>
      </c>
    </row>
    <row r="1681" spans="1:2" x14ac:dyDescent="0.25">
      <c r="A1681" t="s">
        <v>1931</v>
      </c>
      <c r="B1681" s="13">
        <v>6894</v>
      </c>
    </row>
    <row r="1682" spans="1:2" x14ac:dyDescent="0.25">
      <c r="A1682" t="s">
        <v>8</v>
      </c>
      <c r="B1682" s="13">
        <v>2291</v>
      </c>
    </row>
    <row r="1683" spans="1:2" x14ac:dyDescent="0.25">
      <c r="A1683" t="s">
        <v>1747</v>
      </c>
      <c r="B1683" s="13">
        <v>2162</v>
      </c>
    </row>
    <row r="1684" spans="1:2" x14ac:dyDescent="0.25">
      <c r="A1684" t="s">
        <v>1973</v>
      </c>
      <c r="B1684" s="13">
        <v>4098</v>
      </c>
    </row>
    <row r="1685" spans="1:2" x14ac:dyDescent="0.25">
      <c r="A1685" t="s">
        <v>1982</v>
      </c>
      <c r="B1685" s="13">
        <v>5279</v>
      </c>
    </row>
    <row r="1686" spans="1:2" x14ac:dyDescent="0.25">
      <c r="A1686" t="s">
        <v>1985</v>
      </c>
      <c r="B1686" s="13">
        <v>1397</v>
      </c>
    </row>
    <row r="1687" spans="1:2" x14ac:dyDescent="0.25">
      <c r="A1687" t="s">
        <v>1994</v>
      </c>
      <c r="B1687" s="13">
        <v>4470</v>
      </c>
    </row>
    <row r="1688" spans="1:2" x14ac:dyDescent="0.25">
      <c r="A1688" t="s">
        <v>2010</v>
      </c>
      <c r="B1688" s="13">
        <v>3626</v>
      </c>
    </row>
    <row r="1689" spans="1:2" x14ac:dyDescent="0.25">
      <c r="A1689" t="s">
        <v>1779</v>
      </c>
      <c r="B1689" s="13">
        <v>-57028</v>
      </c>
    </row>
    <row r="1690" spans="1:2" x14ac:dyDescent="0.25">
      <c r="A1690" t="s">
        <v>1112</v>
      </c>
      <c r="B1690" s="13">
        <v>-51270</v>
      </c>
    </row>
    <row r="1691" spans="1:2" x14ac:dyDescent="0.25">
      <c r="A1691" t="s">
        <v>2019</v>
      </c>
      <c r="B1691" s="13">
        <v>-36514</v>
      </c>
    </row>
    <row r="1692" spans="1:2" x14ac:dyDescent="0.25">
      <c r="A1692" t="s">
        <v>2011</v>
      </c>
      <c r="B1692" s="13">
        <v>-29581</v>
      </c>
    </row>
    <row r="1693" spans="1:2" x14ac:dyDescent="0.25">
      <c r="A1693" t="s">
        <v>1796</v>
      </c>
      <c r="B1693" s="13">
        <v>-34521</v>
      </c>
    </row>
    <row r="1694" spans="1:2" x14ac:dyDescent="0.25">
      <c r="A1694" t="s">
        <v>1686</v>
      </c>
      <c r="B1694" s="13">
        <v>-17009</v>
      </c>
    </row>
    <row r="1695" spans="1:2" x14ac:dyDescent="0.25">
      <c r="A1695" t="s">
        <v>1589</v>
      </c>
      <c r="B1695" s="13">
        <v>-23206</v>
      </c>
    </row>
    <row r="1696" spans="1:2" x14ac:dyDescent="0.25">
      <c r="A1696" t="s">
        <v>1804</v>
      </c>
      <c r="B1696" s="13">
        <v>-15844</v>
      </c>
    </row>
    <row r="1697" spans="1:2" x14ac:dyDescent="0.25">
      <c r="A1697" t="s">
        <v>1995</v>
      </c>
      <c r="B1697" s="13">
        <v>-27008</v>
      </c>
    </row>
    <row r="1698" spans="1:2" x14ac:dyDescent="0.25">
      <c r="A1698" t="s">
        <v>2002</v>
      </c>
      <c r="B1698" s="13">
        <v>-16793</v>
      </c>
    </row>
    <row r="1699" spans="1:2" x14ac:dyDescent="0.25">
      <c r="A1699" t="s">
        <v>1956</v>
      </c>
      <c r="B1699" s="13">
        <v>-11055</v>
      </c>
    </row>
    <row r="1700" spans="1:2" x14ac:dyDescent="0.25">
      <c r="A1700" t="s">
        <v>1889</v>
      </c>
      <c r="B1700" s="13">
        <v>-18970</v>
      </c>
    </row>
    <row r="1701" spans="1:2" x14ac:dyDescent="0.25">
      <c r="A1701" t="s">
        <v>1346</v>
      </c>
      <c r="B1701" s="13">
        <v>-10563</v>
      </c>
    </row>
    <row r="1702" spans="1:2" x14ac:dyDescent="0.25">
      <c r="A1702" t="s">
        <v>1825</v>
      </c>
      <c r="B1702" s="13">
        <v>-4325</v>
      </c>
    </row>
    <row r="1703" spans="1:2" x14ac:dyDescent="0.25">
      <c r="A1703" t="s">
        <v>1020</v>
      </c>
      <c r="B1703" s="13">
        <v>-3711</v>
      </c>
    </row>
    <row r="1704" spans="1:2" x14ac:dyDescent="0.25">
      <c r="A1704" t="s">
        <v>1317</v>
      </c>
      <c r="B1704" s="13">
        <v>-2997</v>
      </c>
    </row>
    <row r="1705" spans="1:2" x14ac:dyDescent="0.25">
      <c r="A1705" t="s">
        <v>1277</v>
      </c>
      <c r="B1705" s="13">
        <v>-2203</v>
      </c>
    </row>
    <row r="1706" spans="1:2" x14ac:dyDescent="0.25">
      <c r="A1706" t="s">
        <v>1983</v>
      </c>
      <c r="B1706" s="13">
        <v>-5585</v>
      </c>
    </row>
    <row r="1707" spans="1:2" x14ac:dyDescent="0.25">
      <c r="A1707" t="s">
        <v>1117</v>
      </c>
      <c r="B1707" s="13">
        <v>-1897</v>
      </c>
    </row>
    <row r="1708" spans="1:2" x14ac:dyDescent="0.25">
      <c r="A1708" t="s">
        <v>1214</v>
      </c>
      <c r="B1708" s="13">
        <v>-2579</v>
      </c>
    </row>
    <row r="1709" spans="1:2" x14ac:dyDescent="0.25">
      <c r="A1709" t="s">
        <v>1922</v>
      </c>
      <c r="B1709" s="13">
        <v>-1795</v>
      </c>
    </row>
    <row r="1710" spans="1:2" x14ac:dyDescent="0.25">
      <c r="A1710" t="s">
        <v>1302</v>
      </c>
      <c r="B1710" s="13">
        <v>-438</v>
      </c>
    </row>
    <row r="1711" spans="1:2" x14ac:dyDescent="0.25">
      <c r="A1711" t="s">
        <v>1518</v>
      </c>
      <c r="B1711" s="13">
        <v>-4890</v>
      </c>
    </row>
    <row r="1712" spans="1:2" x14ac:dyDescent="0.25">
      <c r="A1712" t="s">
        <v>348</v>
      </c>
      <c r="B1712" s="13">
        <v>-1554</v>
      </c>
    </row>
    <row r="1713" spans="1:2" x14ac:dyDescent="0.25">
      <c r="A1713" t="s">
        <v>1267</v>
      </c>
      <c r="B1713" s="13">
        <v>-1250</v>
      </c>
    </row>
    <row r="1714" spans="1:2" x14ac:dyDescent="0.25">
      <c r="A1714" t="s">
        <v>85</v>
      </c>
      <c r="B1714" s="13">
        <v>-1236</v>
      </c>
    </row>
    <row r="1715" spans="1:2" x14ac:dyDescent="0.25">
      <c r="A1715" t="s">
        <v>1932</v>
      </c>
      <c r="B1715" s="13">
        <v>-33534</v>
      </c>
    </row>
    <row r="1716" spans="1:2" x14ac:dyDescent="0.25">
      <c r="A1716" t="s">
        <v>334</v>
      </c>
      <c r="B1716" s="13">
        <v>-8116</v>
      </c>
    </row>
    <row r="1717" spans="1:2" x14ac:dyDescent="0.25">
      <c r="A1717" t="s">
        <v>1855</v>
      </c>
      <c r="B1717" s="13">
        <v>-7957</v>
      </c>
    </row>
    <row r="1718" spans="1:2" x14ac:dyDescent="0.25">
      <c r="A1718" t="s">
        <v>255</v>
      </c>
      <c r="B1718" s="13">
        <v>-7074</v>
      </c>
    </row>
    <row r="1719" spans="1:2" x14ac:dyDescent="0.25">
      <c r="A1719" t="s">
        <v>1661</v>
      </c>
      <c r="B1719" s="13">
        <v>-7063</v>
      </c>
    </row>
    <row r="1720" spans="1:2" x14ac:dyDescent="0.25">
      <c r="A1720" t="s">
        <v>2014</v>
      </c>
      <c r="B1720" s="13">
        <v>-6257</v>
      </c>
    </row>
    <row r="1721" spans="1:2" x14ac:dyDescent="0.25">
      <c r="A1721" t="s">
        <v>1916</v>
      </c>
      <c r="B1721" s="13">
        <v>-14628</v>
      </c>
    </row>
    <row r="1722" spans="1:2" x14ac:dyDescent="0.25">
      <c r="A1722" t="s">
        <v>1264</v>
      </c>
      <c r="B1722" s="13">
        <v>-5000</v>
      </c>
    </row>
    <row r="1723" spans="1:2" x14ac:dyDescent="0.25">
      <c r="A1723" t="s">
        <v>1908</v>
      </c>
      <c r="B1723" s="13">
        <v>-752</v>
      </c>
    </row>
    <row r="1724" spans="1:2" x14ac:dyDescent="0.25">
      <c r="A1724" t="s">
        <v>201</v>
      </c>
      <c r="B1724" s="13">
        <v>-897</v>
      </c>
    </row>
    <row r="1725" spans="1:2" x14ac:dyDescent="0.25">
      <c r="A1725" t="s">
        <v>1638</v>
      </c>
      <c r="B1725" s="13">
        <v>-38812</v>
      </c>
    </row>
    <row r="1726" spans="1:2" x14ac:dyDescent="0.25">
      <c r="A1726" t="s">
        <v>1701</v>
      </c>
      <c r="B1726" s="13">
        <v>-27604</v>
      </c>
    </row>
    <row r="1727" spans="1:2" x14ac:dyDescent="0.25">
      <c r="A1727" t="s">
        <v>1974</v>
      </c>
      <c r="B1727" s="13">
        <v>-27645</v>
      </c>
    </row>
    <row r="1728" spans="1:2" x14ac:dyDescent="0.25">
      <c r="A1728" t="s">
        <v>1715</v>
      </c>
      <c r="B1728" s="13">
        <v>-727</v>
      </c>
    </row>
    <row r="1729" spans="1:2" x14ac:dyDescent="0.25">
      <c r="A1729" t="s">
        <v>1986</v>
      </c>
      <c r="B1729" s="13">
        <v>-1397</v>
      </c>
    </row>
    <row r="1730" spans="1:2" x14ac:dyDescent="0.25">
      <c r="A1730" t="s">
        <v>1748</v>
      </c>
      <c r="B1730" s="13">
        <v>-8271</v>
      </c>
    </row>
    <row r="1731" spans="1:2" x14ac:dyDescent="0.25">
      <c r="A1731" t="s">
        <v>1351</v>
      </c>
      <c r="B1731" s="13">
        <v>-6812</v>
      </c>
    </row>
    <row r="1732" spans="1:2" x14ac:dyDescent="0.25">
      <c r="A1732" t="s">
        <v>283</v>
      </c>
      <c r="B1732" s="13">
        <v>-15262</v>
      </c>
    </row>
    <row r="1733" spans="1:2" x14ac:dyDescent="0.25">
      <c r="A1733" t="s">
        <v>1250</v>
      </c>
      <c r="B1733" s="13">
        <v>-16088</v>
      </c>
    </row>
    <row r="1734" spans="1:2" x14ac:dyDescent="0.25">
      <c r="A1734" t="s">
        <v>1571</v>
      </c>
      <c r="B1734" s="13">
        <v>-44517</v>
      </c>
    </row>
    <row r="1735" spans="1:2" x14ac:dyDescent="0.25">
      <c r="A1735" t="s">
        <v>9</v>
      </c>
      <c r="B1735" s="13">
        <v>-40118</v>
      </c>
    </row>
    <row r="1736" spans="1:2" hidden="1" x14ac:dyDescent="0.25">
      <c r="A1736" t="s">
        <v>3</v>
      </c>
      <c r="B1736" s="13">
        <v>0</v>
      </c>
    </row>
    <row r="1737" spans="1:2" hidden="1" x14ac:dyDescent="0.25">
      <c r="A1737" t="s">
        <v>11</v>
      </c>
      <c r="B1737" s="13">
        <v>0</v>
      </c>
    </row>
    <row r="1738" spans="1:2" hidden="1" x14ac:dyDescent="0.25">
      <c r="A1738" t="s">
        <v>14</v>
      </c>
      <c r="B1738" s="13">
        <v>0</v>
      </c>
    </row>
    <row r="1739" spans="1:2" hidden="1" x14ac:dyDescent="0.25">
      <c r="A1739" t="s">
        <v>18</v>
      </c>
      <c r="B1739" s="13">
        <v>0</v>
      </c>
    </row>
    <row r="1740" spans="1:2" hidden="1" x14ac:dyDescent="0.25">
      <c r="A1740" t="s">
        <v>22</v>
      </c>
      <c r="B1740" s="13">
        <v>0</v>
      </c>
    </row>
    <row r="1741" spans="1:2" hidden="1" x14ac:dyDescent="0.25">
      <c r="A1741" t="s">
        <v>25</v>
      </c>
      <c r="B1741" s="13">
        <v>0</v>
      </c>
    </row>
    <row r="1742" spans="1:2" hidden="1" x14ac:dyDescent="0.25">
      <c r="A1742" t="s">
        <v>31</v>
      </c>
      <c r="B1742" s="13">
        <v>0</v>
      </c>
    </row>
    <row r="1743" spans="1:2" hidden="1" x14ac:dyDescent="0.25">
      <c r="A1743" t="s">
        <v>35</v>
      </c>
      <c r="B1743" s="13">
        <v>0</v>
      </c>
    </row>
    <row r="1744" spans="1:2" hidden="1" x14ac:dyDescent="0.25">
      <c r="A1744" t="s">
        <v>38</v>
      </c>
      <c r="B1744" s="13">
        <v>0</v>
      </c>
    </row>
    <row r="1745" spans="1:2" hidden="1" x14ac:dyDescent="0.25">
      <c r="A1745" t="s">
        <v>43</v>
      </c>
      <c r="B1745" s="13">
        <v>0</v>
      </c>
    </row>
    <row r="1746" spans="1:2" hidden="1" x14ac:dyDescent="0.25">
      <c r="A1746" t="s">
        <v>47</v>
      </c>
      <c r="B1746" s="13">
        <v>0</v>
      </c>
    </row>
    <row r="1747" spans="1:2" hidden="1" x14ac:dyDescent="0.25">
      <c r="A1747" t="s">
        <v>50</v>
      </c>
      <c r="B1747" s="13">
        <v>0</v>
      </c>
    </row>
    <row r="1748" spans="1:2" hidden="1" x14ac:dyDescent="0.25">
      <c r="A1748" t="s">
        <v>53</v>
      </c>
      <c r="B1748" s="13">
        <v>0</v>
      </c>
    </row>
    <row r="1749" spans="1:2" hidden="1" x14ac:dyDescent="0.25">
      <c r="A1749" t="s">
        <v>59</v>
      </c>
      <c r="B1749" s="13">
        <v>0</v>
      </c>
    </row>
    <row r="1750" spans="1:2" hidden="1" x14ac:dyDescent="0.25">
      <c r="A1750" t="s">
        <v>62</v>
      </c>
      <c r="B1750" s="13">
        <v>0</v>
      </c>
    </row>
    <row r="1751" spans="1:2" hidden="1" x14ac:dyDescent="0.25">
      <c r="A1751" t="s">
        <v>64</v>
      </c>
      <c r="B1751" s="13">
        <v>0</v>
      </c>
    </row>
    <row r="1752" spans="1:2" hidden="1" x14ac:dyDescent="0.25">
      <c r="A1752" t="s">
        <v>67</v>
      </c>
      <c r="B1752" s="13">
        <v>0</v>
      </c>
    </row>
    <row r="1753" spans="1:2" hidden="1" x14ac:dyDescent="0.25">
      <c r="A1753" t="s">
        <v>71</v>
      </c>
      <c r="B1753" s="13">
        <v>0</v>
      </c>
    </row>
    <row r="1754" spans="1:2" hidden="1" x14ac:dyDescent="0.25">
      <c r="A1754" t="s">
        <v>73</v>
      </c>
      <c r="B1754" s="13">
        <v>0</v>
      </c>
    </row>
    <row r="1755" spans="1:2" hidden="1" x14ac:dyDescent="0.25">
      <c r="A1755" t="s">
        <v>76</v>
      </c>
      <c r="B1755" s="13">
        <v>0</v>
      </c>
    </row>
    <row r="1756" spans="1:2" hidden="1" x14ac:dyDescent="0.25">
      <c r="A1756" t="s">
        <v>78</v>
      </c>
      <c r="B1756" s="13">
        <v>0</v>
      </c>
    </row>
    <row r="1757" spans="1:2" hidden="1" x14ac:dyDescent="0.25">
      <c r="A1757" t="s">
        <v>83</v>
      </c>
      <c r="B1757" s="13">
        <v>0</v>
      </c>
    </row>
    <row r="1758" spans="1:2" hidden="1" x14ac:dyDescent="0.25">
      <c r="A1758" t="s">
        <v>86</v>
      </c>
      <c r="B1758" s="13">
        <v>0</v>
      </c>
    </row>
    <row r="1759" spans="1:2" hidden="1" x14ac:dyDescent="0.25">
      <c r="A1759" t="s">
        <v>88</v>
      </c>
      <c r="B1759" s="13">
        <v>0</v>
      </c>
    </row>
    <row r="1760" spans="1:2" hidden="1" x14ac:dyDescent="0.25">
      <c r="A1760" t="s">
        <v>90</v>
      </c>
      <c r="B1760" s="13">
        <v>0</v>
      </c>
    </row>
    <row r="1761" spans="1:2" hidden="1" x14ac:dyDescent="0.25">
      <c r="A1761" t="s">
        <v>100</v>
      </c>
      <c r="B1761" s="13">
        <v>0</v>
      </c>
    </row>
    <row r="1762" spans="1:2" hidden="1" x14ac:dyDescent="0.25">
      <c r="A1762" t="s">
        <v>102</v>
      </c>
      <c r="B1762" s="13">
        <v>0</v>
      </c>
    </row>
    <row r="1763" spans="1:2" hidden="1" x14ac:dyDescent="0.25">
      <c r="A1763" t="s">
        <v>104</v>
      </c>
      <c r="B1763" s="13">
        <v>0</v>
      </c>
    </row>
    <row r="1764" spans="1:2" hidden="1" x14ac:dyDescent="0.25">
      <c r="A1764" t="s">
        <v>108</v>
      </c>
      <c r="B1764" s="13">
        <v>0</v>
      </c>
    </row>
    <row r="1765" spans="1:2" hidden="1" x14ac:dyDescent="0.25">
      <c r="A1765" t="s">
        <v>110</v>
      </c>
      <c r="B1765" s="13">
        <v>0</v>
      </c>
    </row>
    <row r="1766" spans="1:2" hidden="1" x14ac:dyDescent="0.25">
      <c r="A1766" t="s">
        <v>112</v>
      </c>
      <c r="B1766" s="13">
        <v>0</v>
      </c>
    </row>
    <row r="1767" spans="1:2" hidden="1" x14ac:dyDescent="0.25">
      <c r="A1767" t="s">
        <v>114</v>
      </c>
      <c r="B1767" s="13">
        <v>0</v>
      </c>
    </row>
    <row r="1768" spans="1:2" hidden="1" x14ac:dyDescent="0.25">
      <c r="A1768" t="s">
        <v>122</v>
      </c>
      <c r="B1768" s="13">
        <v>0</v>
      </c>
    </row>
    <row r="1769" spans="1:2" hidden="1" x14ac:dyDescent="0.25">
      <c r="A1769" t="s">
        <v>124</v>
      </c>
      <c r="B1769" s="13">
        <v>0</v>
      </c>
    </row>
    <row r="1770" spans="1:2" hidden="1" x14ac:dyDescent="0.25">
      <c r="A1770" t="s">
        <v>126</v>
      </c>
      <c r="B1770" s="13">
        <v>0</v>
      </c>
    </row>
    <row r="1771" spans="1:2" hidden="1" x14ac:dyDescent="0.25">
      <c r="A1771" t="s">
        <v>131</v>
      </c>
      <c r="B1771" s="13">
        <v>0</v>
      </c>
    </row>
    <row r="1772" spans="1:2" hidden="1" x14ac:dyDescent="0.25">
      <c r="A1772" t="s">
        <v>134</v>
      </c>
      <c r="B1772" s="13">
        <v>0</v>
      </c>
    </row>
    <row r="1773" spans="1:2" hidden="1" x14ac:dyDescent="0.25">
      <c r="A1773" t="s">
        <v>137</v>
      </c>
      <c r="B1773" s="13">
        <v>0</v>
      </c>
    </row>
    <row r="1774" spans="1:2" hidden="1" x14ac:dyDescent="0.25">
      <c r="A1774" t="s">
        <v>144</v>
      </c>
      <c r="B1774" s="13">
        <v>0</v>
      </c>
    </row>
    <row r="1775" spans="1:2" hidden="1" x14ac:dyDescent="0.25">
      <c r="A1775" t="s">
        <v>148</v>
      </c>
      <c r="B1775" s="13">
        <v>0</v>
      </c>
    </row>
    <row r="1776" spans="1:2" hidden="1" x14ac:dyDescent="0.25">
      <c r="A1776" t="s">
        <v>152</v>
      </c>
      <c r="B1776" s="13">
        <v>0</v>
      </c>
    </row>
    <row r="1777" spans="1:2" hidden="1" x14ac:dyDescent="0.25">
      <c r="A1777" t="s">
        <v>156</v>
      </c>
      <c r="B1777" s="13">
        <v>0</v>
      </c>
    </row>
    <row r="1778" spans="1:2" hidden="1" x14ac:dyDescent="0.25">
      <c r="A1778" t="s">
        <v>160</v>
      </c>
      <c r="B1778" s="13">
        <v>0</v>
      </c>
    </row>
    <row r="1779" spans="1:2" hidden="1" x14ac:dyDescent="0.25">
      <c r="A1779" t="s">
        <v>167</v>
      </c>
      <c r="B1779" s="13">
        <v>0</v>
      </c>
    </row>
    <row r="1780" spans="1:2" hidden="1" x14ac:dyDescent="0.25">
      <c r="A1780" t="s">
        <v>171</v>
      </c>
      <c r="B1780" s="13">
        <v>0</v>
      </c>
    </row>
    <row r="1781" spans="1:2" hidden="1" x14ac:dyDescent="0.25">
      <c r="A1781" t="s">
        <v>174</v>
      </c>
      <c r="B1781" s="13">
        <v>0</v>
      </c>
    </row>
    <row r="1782" spans="1:2" hidden="1" x14ac:dyDescent="0.25">
      <c r="A1782" t="s">
        <v>176</v>
      </c>
      <c r="B1782" s="13">
        <v>0</v>
      </c>
    </row>
    <row r="1783" spans="1:2" hidden="1" x14ac:dyDescent="0.25">
      <c r="A1783" t="s">
        <v>179</v>
      </c>
      <c r="B1783" s="13">
        <v>0</v>
      </c>
    </row>
    <row r="1784" spans="1:2" hidden="1" x14ac:dyDescent="0.25">
      <c r="A1784" t="s">
        <v>182</v>
      </c>
      <c r="B1784" s="13">
        <v>0</v>
      </c>
    </row>
    <row r="1785" spans="1:2" hidden="1" x14ac:dyDescent="0.25">
      <c r="A1785" t="s">
        <v>185</v>
      </c>
      <c r="B1785" s="13">
        <v>0</v>
      </c>
    </row>
    <row r="1786" spans="1:2" hidden="1" x14ac:dyDescent="0.25">
      <c r="A1786" t="s">
        <v>187</v>
      </c>
      <c r="B1786" s="13">
        <v>0</v>
      </c>
    </row>
    <row r="1787" spans="1:2" hidden="1" x14ac:dyDescent="0.25">
      <c r="A1787" t="s">
        <v>190</v>
      </c>
      <c r="B1787" s="13">
        <v>0</v>
      </c>
    </row>
    <row r="1788" spans="1:2" hidden="1" x14ac:dyDescent="0.25">
      <c r="A1788" t="s">
        <v>193</v>
      </c>
      <c r="B1788" s="13">
        <v>0</v>
      </c>
    </row>
    <row r="1789" spans="1:2" hidden="1" x14ac:dyDescent="0.25">
      <c r="A1789" t="s">
        <v>197</v>
      </c>
      <c r="B1789" s="13">
        <v>0</v>
      </c>
    </row>
    <row r="1790" spans="1:2" hidden="1" x14ac:dyDescent="0.25">
      <c r="A1790" t="s">
        <v>199</v>
      </c>
      <c r="B1790" s="13">
        <v>0</v>
      </c>
    </row>
    <row r="1791" spans="1:2" hidden="1" x14ac:dyDescent="0.25">
      <c r="A1791" t="s">
        <v>202</v>
      </c>
      <c r="B1791" s="13">
        <v>0</v>
      </c>
    </row>
    <row r="1792" spans="1:2" hidden="1" x14ac:dyDescent="0.25">
      <c r="A1792" t="s">
        <v>205</v>
      </c>
      <c r="B1792" s="13">
        <v>0</v>
      </c>
    </row>
    <row r="1793" spans="1:2" hidden="1" x14ac:dyDescent="0.25">
      <c r="A1793" t="s">
        <v>208</v>
      </c>
      <c r="B1793" s="13">
        <v>0</v>
      </c>
    </row>
    <row r="1794" spans="1:2" hidden="1" x14ac:dyDescent="0.25">
      <c r="A1794" t="s">
        <v>210</v>
      </c>
      <c r="B1794" s="13">
        <v>0</v>
      </c>
    </row>
    <row r="1795" spans="1:2" hidden="1" x14ac:dyDescent="0.25">
      <c r="A1795" t="s">
        <v>214</v>
      </c>
      <c r="B1795" s="13">
        <v>0</v>
      </c>
    </row>
    <row r="1796" spans="1:2" hidden="1" x14ac:dyDescent="0.25">
      <c r="A1796" t="s">
        <v>217</v>
      </c>
      <c r="B1796" s="13">
        <v>0</v>
      </c>
    </row>
    <row r="1797" spans="1:2" hidden="1" x14ac:dyDescent="0.25">
      <c r="A1797" t="s">
        <v>222</v>
      </c>
      <c r="B1797" s="13">
        <v>0</v>
      </c>
    </row>
    <row r="1798" spans="1:2" hidden="1" x14ac:dyDescent="0.25">
      <c r="A1798" t="s">
        <v>229</v>
      </c>
      <c r="B1798" s="13">
        <v>0</v>
      </c>
    </row>
    <row r="1799" spans="1:2" hidden="1" x14ac:dyDescent="0.25">
      <c r="A1799" t="s">
        <v>235</v>
      </c>
      <c r="B1799" s="13">
        <v>0</v>
      </c>
    </row>
    <row r="1800" spans="1:2" hidden="1" x14ac:dyDescent="0.25">
      <c r="A1800" t="s">
        <v>242</v>
      </c>
      <c r="B1800" s="13">
        <v>0</v>
      </c>
    </row>
    <row r="1801" spans="1:2" hidden="1" x14ac:dyDescent="0.25">
      <c r="A1801" t="s">
        <v>244</v>
      </c>
      <c r="B1801" s="13">
        <v>0</v>
      </c>
    </row>
    <row r="1802" spans="1:2" hidden="1" x14ac:dyDescent="0.25">
      <c r="A1802" t="s">
        <v>247</v>
      </c>
      <c r="B1802" s="13">
        <v>0</v>
      </c>
    </row>
    <row r="1803" spans="1:2" hidden="1" x14ac:dyDescent="0.25">
      <c r="A1803" t="s">
        <v>251</v>
      </c>
      <c r="B1803" s="13">
        <v>0</v>
      </c>
    </row>
    <row r="1804" spans="1:2" hidden="1" x14ac:dyDescent="0.25">
      <c r="A1804" t="s">
        <v>256</v>
      </c>
      <c r="B1804" s="13">
        <v>0</v>
      </c>
    </row>
    <row r="1805" spans="1:2" hidden="1" x14ac:dyDescent="0.25">
      <c r="A1805" t="s">
        <v>258</v>
      </c>
      <c r="B1805" s="13">
        <v>0</v>
      </c>
    </row>
    <row r="1806" spans="1:2" hidden="1" x14ac:dyDescent="0.25">
      <c r="A1806" t="s">
        <v>262</v>
      </c>
      <c r="B1806" s="13">
        <v>0</v>
      </c>
    </row>
    <row r="1807" spans="1:2" hidden="1" x14ac:dyDescent="0.25">
      <c r="A1807" t="s">
        <v>268</v>
      </c>
      <c r="B1807" s="13">
        <v>0</v>
      </c>
    </row>
    <row r="1808" spans="1:2" hidden="1" x14ac:dyDescent="0.25">
      <c r="A1808" t="s">
        <v>270</v>
      </c>
      <c r="B1808" s="13">
        <v>0</v>
      </c>
    </row>
    <row r="1809" spans="1:2" hidden="1" x14ac:dyDescent="0.25">
      <c r="A1809" t="s">
        <v>273</v>
      </c>
      <c r="B1809" s="13">
        <v>0</v>
      </c>
    </row>
    <row r="1810" spans="1:2" hidden="1" x14ac:dyDescent="0.25">
      <c r="A1810" t="s">
        <v>276</v>
      </c>
      <c r="B1810" s="13">
        <v>0</v>
      </c>
    </row>
    <row r="1811" spans="1:2" hidden="1" x14ac:dyDescent="0.25">
      <c r="A1811" t="s">
        <v>279</v>
      </c>
      <c r="B1811" s="13">
        <v>0</v>
      </c>
    </row>
    <row r="1812" spans="1:2" hidden="1" x14ac:dyDescent="0.25">
      <c r="A1812" t="s">
        <v>284</v>
      </c>
      <c r="B1812" s="13">
        <v>0</v>
      </c>
    </row>
    <row r="1813" spans="1:2" hidden="1" x14ac:dyDescent="0.25">
      <c r="A1813" t="s">
        <v>290</v>
      </c>
      <c r="B1813" s="13">
        <v>0</v>
      </c>
    </row>
    <row r="1814" spans="1:2" hidden="1" x14ac:dyDescent="0.25">
      <c r="A1814" t="s">
        <v>293</v>
      </c>
      <c r="B1814" s="13">
        <v>0</v>
      </c>
    </row>
    <row r="1815" spans="1:2" hidden="1" x14ac:dyDescent="0.25">
      <c r="A1815" t="s">
        <v>296</v>
      </c>
      <c r="B1815" s="13">
        <v>0</v>
      </c>
    </row>
    <row r="1816" spans="1:2" hidden="1" x14ac:dyDescent="0.25">
      <c r="A1816" t="s">
        <v>299</v>
      </c>
      <c r="B1816" s="13">
        <v>0</v>
      </c>
    </row>
    <row r="1817" spans="1:2" hidden="1" x14ac:dyDescent="0.25">
      <c r="A1817" t="s">
        <v>302</v>
      </c>
      <c r="B1817" s="13">
        <v>0</v>
      </c>
    </row>
    <row r="1818" spans="1:2" hidden="1" x14ac:dyDescent="0.25">
      <c r="A1818" t="s">
        <v>305</v>
      </c>
      <c r="B1818" s="13">
        <v>0</v>
      </c>
    </row>
    <row r="1819" spans="1:2" hidden="1" x14ac:dyDescent="0.25">
      <c r="A1819" t="s">
        <v>308</v>
      </c>
      <c r="B1819" s="13">
        <v>0</v>
      </c>
    </row>
    <row r="1820" spans="1:2" hidden="1" x14ac:dyDescent="0.25">
      <c r="A1820" t="s">
        <v>311</v>
      </c>
      <c r="B1820" s="13">
        <v>0</v>
      </c>
    </row>
    <row r="1821" spans="1:2" hidden="1" x14ac:dyDescent="0.25">
      <c r="A1821" t="s">
        <v>314</v>
      </c>
      <c r="B1821" s="13">
        <v>0</v>
      </c>
    </row>
    <row r="1822" spans="1:2" hidden="1" x14ac:dyDescent="0.25">
      <c r="A1822" t="s">
        <v>328</v>
      </c>
      <c r="B1822" s="13">
        <v>0</v>
      </c>
    </row>
    <row r="1823" spans="1:2" hidden="1" x14ac:dyDescent="0.25">
      <c r="A1823" t="s">
        <v>332</v>
      </c>
      <c r="B1823" s="13">
        <v>0</v>
      </c>
    </row>
    <row r="1824" spans="1:2" hidden="1" x14ac:dyDescent="0.25">
      <c r="A1824" t="s">
        <v>335</v>
      </c>
      <c r="B1824" s="13">
        <v>0</v>
      </c>
    </row>
    <row r="1825" spans="1:2" hidden="1" x14ac:dyDescent="0.25">
      <c r="A1825" t="s">
        <v>341</v>
      </c>
      <c r="B1825" s="13">
        <v>0</v>
      </c>
    </row>
    <row r="1826" spans="1:2" hidden="1" x14ac:dyDescent="0.25">
      <c r="A1826" t="s">
        <v>346</v>
      </c>
      <c r="B1826" s="13">
        <v>0</v>
      </c>
    </row>
    <row r="1827" spans="1:2" hidden="1" x14ac:dyDescent="0.25">
      <c r="A1827" t="s">
        <v>349</v>
      </c>
      <c r="B1827" s="13">
        <v>0</v>
      </c>
    </row>
    <row r="1828" spans="1:2" hidden="1" x14ac:dyDescent="0.25">
      <c r="A1828" t="s">
        <v>351</v>
      </c>
      <c r="B1828" s="13">
        <v>0</v>
      </c>
    </row>
    <row r="1829" spans="1:2" hidden="1" x14ac:dyDescent="0.25">
      <c r="A1829" t="s">
        <v>355</v>
      </c>
      <c r="B1829" s="13">
        <v>0</v>
      </c>
    </row>
    <row r="1830" spans="1:2" hidden="1" x14ac:dyDescent="0.25">
      <c r="A1830" t="s">
        <v>360</v>
      </c>
      <c r="B1830" s="13">
        <v>0</v>
      </c>
    </row>
    <row r="1831" spans="1:2" hidden="1" x14ac:dyDescent="0.25">
      <c r="A1831" t="s">
        <v>365</v>
      </c>
      <c r="B1831" s="13">
        <v>0</v>
      </c>
    </row>
    <row r="1832" spans="1:2" hidden="1" x14ac:dyDescent="0.25">
      <c r="A1832" t="s">
        <v>370</v>
      </c>
      <c r="B1832" s="13">
        <v>0</v>
      </c>
    </row>
    <row r="1833" spans="1:2" hidden="1" x14ac:dyDescent="0.25">
      <c r="A1833" t="s">
        <v>375</v>
      </c>
      <c r="B1833" s="13">
        <v>0</v>
      </c>
    </row>
    <row r="1834" spans="1:2" hidden="1" x14ac:dyDescent="0.25">
      <c r="A1834" t="s">
        <v>380</v>
      </c>
      <c r="B1834" s="13">
        <v>0</v>
      </c>
    </row>
    <row r="1835" spans="1:2" hidden="1" x14ac:dyDescent="0.25">
      <c r="A1835" t="s">
        <v>383</v>
      </c>
      <c r="B1835" s="13">
        <v>0</v>
      </c>
    </row>
    <row r="1836" spans="1:2" hidden="1" x14ac:dyDescent="0.25">
      <c r="A1836" t="s">
        <v>385</v>
      </c>
      <c r="B1836" s="13">
        <v>0</v>
      </c>
    </row>
    <row r="1837" spans="1:2" hidden="1" x14ac:dyDescent="0.25">
      <c r="A1837" t="s">
        <v>399</v>
      </c>
      <c r="B1837" s="13">
        <v>0</v>
      </c>
    </row>
    <row r="1838" spans="1:2" hidden="1" x14ac:dyDescent="0.25">
      <c r="A1838" t="s">
        <v>407</v>
      </c>
      <c r="B1838" s="13">
        <v>0</v>
      </c>
    </row>
    <row r="1839" spans="1:2" hidden="1" x14ac:dyDescent="0.25">
      <c r="A1839" t="s">
        <v>412</v>
      </c>
      <c r="B1839" s="13">
        <v>0</v>
      </c>
    </row>
    <row r="1840" spans="1:2" hidden="1" x14ac:dyDescent="0.25">
      <c r="A1840" t="s">
        <v>417</v>
      </c>
      <c r="B1840" s="13">
        <v>0</v>
      </c>
    </row>
    <row r="1841" spans="1:2" hidden="1" x14ac:dyDescent="0.25">
      <c r="A1841" t="s">
        <v>424</v>
      </c>
      <c r="B1841" s="13">
        <v>0</v>
      </c>
    </row>
    <row r="1842" spans="1:2" hidden="1" x14ac:dyDescent="0.25">
      <c r="A1842" t="s">
        <v>428</v>
      </c>
      <c r="B1842" s="13">
        <v>0</v>
      </c>
    </row>
    <row r="1843" spans="1:2" hidden="1" x14ac:dyDescent="0.25">
      <c r="A1843" t="s">
        <v>432</v>
      </c>
      <c r="B1843" s="13">
        <v>0</v>
      </c>
    </row>
    <row r="1844" spans="1:2" hidden="1" x14ac:dyDescent="0.25">
      <c r="A1844" t="s">
        <v>440</v>
      </c>
      <c r="B1844" s="13">
        <v>0</v>
      </c>
    </row>
    <row r="1845" spans="1:2" hidden="1" x14ac:dyDescent="0.25">
      <c r="A1845" t="s">
        <v>451</v>
      </c>
      <c r="B1845" s="13">
        <v>0</v>
      </c>
    </row>
    <row r="1846" spans="1:2" hidden="1" x14ac:dyDescent="0.25">
      <c r="A1846" t="s">
        <v>457</v>
      </c>
      <c r="B1846" s="13">
        <v>0</v>
      </c>
    </row>
    <row r="1847" spans="1:2" hidden="1" x14ac:dyDescent="0.25">
      <c r="A1847" t="s">
        <v>465</v>
      </c>
      <c r="B1847" s="13">
        <v>0</v>
      </c>
    </row>
    <row r="1848" spans="1:2" hidden="1" x14ac:dyDescent="0.25">
      <c r="A1848" t="s">
        <v>468</v>
      </c>
      <c r="B1848" s="13">
        <v>0</v>
      </c>
    </row>
    <row r="1849" spans="1:2" hidden="1" x14ac:dyDescent="0.25">
      <c r="A1849" t="s">
        <v>477</v>
      </c>
      <c r="B1849" s="13">
        <v>0</v>
      </c>
    </row>
    <row r="1850" spans="1:2" hidden="1" x14ac:dyDescent="0.25">
      <c r="A1850" t="s">
        <v>481</v>
      </c>
      <c r="B1850" s="13">
        <v>0</v>
      </c>
    </row>
    <row r="1851" spans="1:2" hidden="1" x14ac:dyDescent="0.25">
      <c r="A1851" t="s">
        <v>486</v>
      </c>
      <c r="B1851" s="13">
        <v>0</v>
      </c>
    </row>
    <row r="1852" spans="1:2" hidden="1" x14ac:dyDescent="0.25">
      <c r="A1852" t="s">
        <v>495</v>
      </c>
      <c r="B1852" s="13">
        <v>0</v>
      </c>
    </row>
    <row r="1853" spans="1:2" hidden="1" x14ac:dyDescent="0.25">
      <c r="A1853" t="s">
        <v>498</v>
      </c>
      <c r="B1853" s="13">
        <v>0</v>
      </c>
    </row>
    <row r="1854" spans="1:2" hidden="1" x14ac:dyDescent="0.25">
      <c r="A1854" t="s">
        <v>505</v>
      </c>
      <c r="B1854" s="13">
        <v>0</v>
      </c>
    </row>
    <row r="1855" spans="1:2" hidden="1" x14ac:dyDescent="0.25">
      <c r="A1855" t="s">
        <v>508</v>
      </c>
      <c r="B1855" s="13">
        <v>0</v>
      </c>
    </row>
    <row r="1856" spans="1:2" hidden="1" x14ac:dyDescent="0.25">
      <c r="A1856" t="s">
        <v>515</v>
      </c>
      <c r="B1856" s="13">
        <v>0</v>
      </c>
    </row>
    <row r="1857" spans="1:2" hidden="1" x14ac:dyDescent="0.25">
      <c r="A1857" t="s">
        <v>518</v>
      </c>
      <c r="B1857" s="13">
        <v>0</v>
      </c>
    </row>
    <row r="1858" spans="1:2" hidden="1" x14ac:dyDescent="0.25">
      <c r="A1858" t="s">
        <v>523</v>
      </c>
      <c r="B1858" s="13">
        <v>0</v>
      </c>
    </row>
    <row r="1859" spans="1:2" hidden="1" x14ac:dyDescent="0.25">
      <c r="A1859" t="s">
        <v>529</v>
      </c>
      <c r="B1859" s="13">
        <v>0</v>
      </c>
    </row>
    <row r="1860" spans="1:2" hidden="1" x14ac:dyDescent="0.25">
      <c r="A1860" t="s">
        <v>537</v>
      </c>
      <c r="B1860" s="13">
        <v>0</v>
      </c>
    </row>
    <row r="1861" spans="1:2" hidden="1" x14ac:dyDescent="0.25">
      <c r="A1861" t="s">
        <v>540</v>
      </c>
      <c r="B1861" s="13">
        <v>0</v>
      </c>
    </row>
    <row r="1862" spans="1:2" hidden="1" x14ac:dyDescent="0.25">
      <c r="A1862" t="s">
        <v>547</v>
      </c>
      <c r="B1862" s="13">
        <v>0</v>
      </c>
    </row>
    <row r="1863" spans="1:2" hidden="1" x14ac:dyDescent="0.25">
      <c r="A1863" t="s">
        <v>553</v>
      </c>
      <c r="B1863" s="13">
        <v>0</v>
      </c>
    </row>
    <row r="1864" spans="1:2" hidden="1" x14ac:dyDescent="0.25">
      <c r="A1864" t="s">
        <v>562</v>
      </c>
      <c r="B1864" s="13">
        <v>0</v>
      </c>
    </row>
    <row r="1865" spans="1:2" hidden="1" x14ac:dyDescent="0.25">
      <c r="A1865" t="s">
        <v>568</v>
      </c>
      <c r="B1865" s="13">
        <v>0</v>
      </c>
    </row>
    <row r="1866" spans="1:2" hidden="1" x14ac:dyDescent="0.25">
      <c r="A1866" t="s">
        <v>573</v>
      </c>
      <c r="B1866" s="13">
        <v>0</v>
      </c>
    </row>
    <row r="1867" spans="1:2" hidden="1" x14ac:dyDescent="0.25">
      <c r="A1867" t="s">
        <v>577</v>
      </c>
      <c r="B1867" s="13">
        <v>0</v>
      </c>
    </row>
    <row r="1868" spans="1:2" hidden="1" x14ac:dyDescent="0.25">
      <c r="A1868" t="s">
        <v>580</v>
      </c>
      <c r="B1868" s="13">
        <v>0</v>
      </c>
    </row>
    <row r="1869" spans="1:2" hidden="1" x14ac:dyDescent="0.25">
      <c r="A1869" t="s">
        <v>588</v>
      </c>
      <c r="B1869" s="13">
        <v>0</v>
      </c>
    </row>
    <row r="1870" spans="1:2" hidden="1" x14ac:dyDescent="0.25">
      <c r="A1870" t="s">
        <v>595</v>
      </c>
      <c r="B1870" s="13">
        <v>0</v>
      </c>
    </row>
    <row r="1871" spans="1:2" hidden="1" x14ac:dyDescent="0.25">
      <c r="A1871" t="s">
        <v>602</v>
      </c>
      <c r="B1871" s="13">
        <v>0</v>
      </c>
    </row>
    <row r="1872" spans="1:2" hidden="1" x14ac:dyDescent="0.25">
      <c r="A1872" t="s">
        <v>606</v>
      </c>
      <c r="B1872" s="13">
        <v>0</v>
      </c>
    </row>
    <row r="1873" spans="1:2" hidden="1" x14ac:dyDescent="0.25">
      <c r="A1873" t="s">
        <v>614</v>
      </c>
      <c r="B1873" s="13">
        <v>0</v>
      </c>
    </row>
    <row r="1874" spans="1:2" hidden="1" x14ac:dyDescent="0.25">
      <c r="A1874" t="s">
        <v>622</v>
      </c>
      <c r="B1874" s="13">
        <v>0</v>
      </c>
    </row>
    <row r="1875" spans="1:2" hidden="1" x14ac:dyDescent="0.25">
      <c r="A1875" t="s">
        <v>624</v>
      </c>
      <c r="B1875" s="13">
        <v>0</v>
      </c>
    </row>
    <row r="1876" spans="1:2" hidden="1" x14ac:dyDescent="0.25">
      <c r="A1876" t="s">
        <v>628</v>
      </c>
      <c r="B1876" s="13">
        <v>0</v>
      </c>
    </row>
    <row r="1877" spans="1:2" hidden="1" x14ac:dyDescent="0.25">
      <c r="A1877" t="s">
        <v>636</v>
      </c>
      <c r="B1877" s="13">
        <v>0</v>
      </c>
    </row>
    <row r="1878" spans="1:2" hidden="1" x14ac:dyDescent="0.25">
      <c r="A1878" t="s">
        <v>643</v>
      </c>
      <c r="B1878" s="13">
        <v>0</v>
      </c>
    </row>
    <row r="1879" spans="1:2" hidden="1" x14ac:dyDescent="0.25">
      <c r="A1879" t="s">
        <v>654</v>
      </c>
      <c r="B1879" s="13">
        <v>0</v>
      </c>
    </row>
    <row r="1880" spans="1:2" hidden="1" x14ac:dyDescent="0.25">
      <c r="A1880" t="s">
        <v>663</v>
      </c>
      <c r="B1880" s="13">
        <v>0</v>
      </c>
    </row>
    <row r="1881" spans="1:2" hidden="1" x14ac:dyDescent="0.25">
      <c r="A1881" t="s">
        <v>671</v>
      </c>
      <c r="B1881" s="13">
        <v>0</v>
      </c>
    </row>
    <row r="1882" spans="1:2" hidden="1" x14ac:dyDescent="0.25">
      <c r="A1882" t="s">
        <v>678</v>
      </c>
      <c r="B1882" s="13">
        <v>0</v>
      </c>
    </row>
    <row r="1883" spans="1:2" hidden="1" x14ac:dyDescent="0.25">
      <c r="A1883" t="s">
        <v>682</v>
      </c>
      <c r="B1883" s="13">
        <v>0</v>
      </c>
    </row>
    <row r="1884" spans="1:2" hidden="1" x14ac:dyDescent="0.25">
      <c r="A1884" t="s">
        <v>686</v>
      </c>
      <c r="B1884" s="13">
        <v>0</v>
      </c>
    </row>
    <row r="1885" spans="1:2" hidden="1" x14ac:dyDescent="0.25">
      <c r="A1885" t="s">
        <v>690</v>
      </c>
      <c r="B1885" s="13">
        <v>0</v>
      </c>
    </row>
    <row r="1886" spans="1:2" hidden="1" x14ac:dyDescent="0.25">
      <c r="A1886" t="s">
        <v>693</v>
      </c>
      <c r="B1886" s="13">
        <v>0</v>
      </c>
    </row>
    <row r="1887" spans="1:2" hidden="1" x14ac:dyDescent="0.25">
      <c r="A1887" t="s">
        <v>696</v>
      </c>
      <c r="B1887" s="13">
        <v>0</v>
      </c>
    </row>
    <row r="1888" spans="1:2" hidden="1" x14ac:dyDescent="0.25">
      <c r="A1888" t="s">
        <v>700</v>
      </c>
      <c r="B1888" s="13">
        <v>0</v>
      </c>
    </row>
    <row r="1889" spans="1:2" hidden="1" x14ac:dyDescent="0.25">
      <c r="A1889" t="s">
        <v>709</v>
      </c>
      <c r="B1889" s="13">
        <v>0</v>
      </c>
    </row>
    <row r="1890" spans="1:2" hidden="1" x14ac:dyDescent="0.25">
      <c r="A1890" t="s">
        <v>714</v>
      </c>
      <c r="B1890" s="13">
        <v>0</v>
      </c>
    </row>
    <row r="1891" spans="1:2" hidden="1" x14ac:dyDescent="0.25">
      <c r="A1891" t="s">
        <v>719</v>
      </c>
      <c r="B1891" s="13">
        <v>0</v>
      </c>
    </row>
    <row r="1892" spans="1:2" hidden="1" x14ac:dyDescent="0.25">
      <c r="A1892" t="s">
        <v>726</v>
      </c>
      <c r="B1892" s="13">
        <v>0</v>
      </c>
    </row>
    <row r="1893" spans="1:2" hidden="1" x14ac:dyDescent="0.25">
      <c r="A1893" t="s">
        <v>732</v>
      </c>
      <c r="B1893" s="13">
        <v>0</v>
      </c>
    </row>
    <row r="1894" spans="1:2" hidden="1" x14ac:dyDescent="0.25">
      <c r="A1894" t="s">
        <v>736</v>
      </c>
      <c r="B1894" s="13">
        <v>0</v>
      </c>
    </row>
    <row r="1895" spans="1:2" hidden="1" x14ac:dyDescent="0.25">
      <c r="A1895" t="s">
        <v>744</v>
      </c>
      <c r="B1895" s="13">
        <v>0</v>
      </c>
    </row>
    <row r="1896" spans="1:2" hidden="1" x14ac:dyDescent="0.25">
      <c r="A1896" t="s">
        <v>752</v>
      </c>
      <c r="B1896" s="13">
        <v>0</v>
      </c>
    </row>
    <row r="1897" spans="1:2" hidden="1" x14ac:dyDescent="0.25">
      <c r="A1897" t="s">
        <v>760</v>
      </c>
      <c r="B1897" s="13">
        <v>0</v>
      </c>
    </row>
    <row r="1898" spans="1:2" hidden="1" x14ac:dyDescent="0.25">
      <c r="A1898" t="s">
        <v>765</v>
      </c>
      <c r="B1898" s="13">
        <v>0</v>
      </c>
    </row>
    <row r="1899" spans="1:2" hidden="1" x14ac:dyDescent="0.25">
      <c r="A1899" t="s">
        <v>776</v>
      </c>
      <c r="B1899" s="13">
        <v>0</v>
      </c>
    </row>
    <row r="1900" spans="1:2" hidden="1" x14ac:dyDescent="0.25">
      <c r="A1900" t="s">
        <v>784</v>
      </c>
      <c r="B1900" s="13">
        <v>0</v>
      </c>
    </row>
    <row r="1901" spans="1:2" hidden="1" x14ac:dyDescent="0.25">
      <c r="A1901" t="s">
        <v>786</v>
      </c>
      <c r="B1901" s="13">
        <v>0</v>
      </c>
    </row>
    <row r="1902" spans="1:2" hidden="1" x14ac:dyDescent="0.25">
      <c r="A1902" t="s">
        <v>797</v>
      </c>
      <c r="B1902" s="13">
        <v>0</v>
      </c>
    </row>
    <row r="1903" spans="1:2" hidden="1" x14ac:dyDescent="0.25">
      <c r="A1903" t="s">
        <v>802</v>
      </c>
      <c r="B1903" s="13">
        <v>0</v>
      </c>
    </row>
    <row r="1904" spans="1:2" hidden="1" x14ac:dyDescent="0.25">
      <c r="A1904" t="s">
        <v>807</v>
      </c>
      <c r="B1904" s="13">
        <v>0</v>
      </c>
    </row>
    <row r="1905" spans="1:2" hidden="1" x14ac:dyDescent="0.25">
      <c r="A1905" t="s">
        <v>817</v>
      </c>
      <c r="B1905" s="13">
        <v>0</v>
      </c>
    </row>
    <row r="1906" spans="1:2" hidden="1" x14ac:dyDescent="0.25">
      <c r="A1906" t="s">
        <v>819</v>
      </c>
      <c r="B1906" s="13">
        <v>0</v>
      </c>
    </row>
    <row r="1907" spans="1:2" hidden="1" x14ac:dyDescent="0.25">
      <c r="A1907" t="s">
        <v>828</v>
      </c>
      <c r="B1907" s="13">
        <v>0</v>
      </c>
    </row>
    <row r="1908" spans="1:2" hidden="1" x14ac:dyDescent="0.25">
      <c r="A1908" t="s">
        <v>834</v>
      </c>
      <c r="B1908" s="13">
        <v>0</v>
      </c>
    </row>
    <row r="1909" spans="1:2" hidden="1" x14ac:dyDescent="0.25">
      <c r="A1909" t="s">
        <v>845</v>
      </c>
      <c r="B1909" s="13">
        <v>0</v>
      </c>
    </row>
    <row r="1910" spans="1:2" hidden="1" x14ac:dyDescent="0.25">
      <c r="A1910" t="s">
        <v>856</v>
      </c>
      <c r="B1910" s="13">
        <v>0</v>
      </c>
    </row>
    <row r="1911" spans="1:2" hidden="1" x14ac:dyDescent="0.25">
      <c r="A1911" t="s">
        <v>863</v>
      </c>
      <c r="B1911" s="13">
        <v>0</v>
      </c>
    </row>
    <row r="1912" spans="1:2" hidden="1" x14ac:dyDescent="0.25">
      <c r="A1912" t="s">
        <v>868</v>
      </c>
      <c r="B1912" s="13">
        <v>0</v>
      </c>
    </row>
    <row r="1913" spans="1:2" hidden="1" x14ac:dyDescent="0.25">
      <c r="A1913" t="s">
        <v>871</v>
      </c>
      <c r="B1913" s="13">
        <v>0</v>
      </c>
    </row>
    <row r="1914" spans="1:2" hidden="1" x14ac:dyDescent="0.25">
      <c r="A1914" t="s">
        <v>873</v>
      </c>
      <c r="B1914" s="13">
        <v>0</v>
      </c>
    </row>
    <row r="1915" spans="1:2" hidden="1" x14ac:dyDescent="0.25">
      <c r="A1915" t="s">
        <v>882</v>
      </c>
      <c r="B1915" s="13">
        <v>0</v>
      </c>
    </row>
    <row r="1916" spans="1:2" hidden="1" x14ac:dyDescent="0.25">
      <c r="A1916" t="s">
        <v>886</v>
      </c>
      <c r="B1916" s="13">
        <v>0</v>
      </c>
    </row>
    <row r="1917" spans="1:2" hidden="1" x14ac:dyDescent="0.25">
      <c r="A1917" t="s">
        <v>895</v>
      </c>
      <c r="B1917" s="13">
        <v>0</v>
      </c>
    </row>
    <row r="1918" spans="1:2" hidden="1" x14ac:dyDescent="0.25">
      <c r="A1918" t="s">
        <v>901</v>
      </c>
      <c r="B1918" s="13">
        <v>0</v>
      </c>
    </row>
    <row r="1919" spans="1:2" hidden="1" x14ac:dyDescent="0.25">
      <c r="A1919" t="s">
        <v>906</v>
      </c>
      <c r="B1919" s="13">
        <v>0</v>
      </c>
    </row>
    <row r="1920" spans="1:2" hidden="1" x14ac:dyDescent="0.25">
      <c r="A1920" t="s">
        <v>921</v>
      </c>
      <c r="B1920" s="13">
        <v>0</v>
      </c>
    </row>
    <row r="1921" spans="1:2" hidden="1" x14ac:dyDescent="0.25">
      <c r="A1921" t="s">
        <v>936</v>
      </c>
      <c r="B1921" s="13">
        <v>0</v>
      </c>
    </row>
    <row r="1922" spans="1:2" hidden="1" x14ac:dyDescent="0.25">
      <c r="A1922" t="s">
        <v>948</v>
      </c>
      <c r="B1922" s="13">
        <v>0</v>
      </c>
    </row>
    <row r="1923" spans="1:2" hidden="1" x14ac:dyDescent="0.25">
      <c r="A1923" t="s">
        <v>953</v>
      </c>
      <c r="B1923" s="13">
        <v>0</v>
      </c>
    </row>
    <row r="1924" spans="1:2" hidden="1" x14ac:dyDescent="0.25">
      <c r="A1924" t="s">
        <v>962</v>
      </c>
      <c r="B1924" s="13">
        <v>0</v>
      </c>
    </row>
    <row r="1925" spans="1:2" hidden="1" x14ac:dyDescent="0.25">
      <c r="A1925" t="s">
        <v>976</v>
      </c>
      <c r="B1925" s="13">
        <v>0</v>
      </c>
    </row>
    <row r="1926" spans="1:2" hidden="1" x14ac:dyDescent="0.25">
      <c r="A1926" t="s">
        <v>990</v>
      </c>
      <c r="B1926" s="13">
        <v>0</v>
      </c>
    </row>
    <row r="1927" spans="1:2" hidden="1" x14ac:dyDescent="0.25">
      <c r="A1927" t="s">
        <v>1004</v>
      </c>
      <c r="B1927" s="13">
        <v>0</v>
      </c>
    </row>
    <row r="1928" spans="1:2" hidden="1" x14ac:dyDescent="0.25">
      <c r="A1928" t="s">
        <v>1014</v>
      </c>
      <c r="B1928" s="13">
        <v>0</v>
      </c>
    </row>
    <row r="1929" spans="1:2" hidden="1" x14ac:dyDescent="0.25">
      <c r="A1929" t="s">
        <v>1018</v>
      </c>
      <c r="B1929" s="13">
        <v>0</v>
      </c>
    </row>
    <row r="1930" spans="1:2" hidden="1" x14ac:dyDescent="0.25">
      <c r="A1930" t="s">
        <v>1021</v>
      </c>
      <c r="B1930" s="13">
        <v>0</v>
      </c>
    </row>
    <row r="1931" spans="1:2" hidden="1" x14ac:dyDescent="0.25">
      <c r="A1931" t="s">
        <v>1035</v>
      </c>
      <c r="B1931" s="13">
        <v>0</v>
      </c>
    </row>
    <row r="1932" spans="1:2" hidden="1" x14ac:dyDescent="0.25">
      <c r="A1932" t="s">
        <v>1040</v>
      </c>
      <c r="B1932" s="13">
        <v>0</v>
      </c>
    </row>
    <row r="1933" spans="1:2" hidden="1" x14ac:dyDescent="0.25">
      <c r="A1933" t="s">
        <v>1042</v>
      </c>
      <c r="B1933" s="13">
        <v>0</v>
      </c>
    </row>
    <row r="1934" spans="1:2" hidden="1" x14ac:dyDescent="0.25">
      <c r="A1934" t="s">
        <v>1046</v>
      </c>
      <c r="B1934" s="13">
        <v>0</v>
      </c>
    </row>
    <row r="1935" spans="1:2" hidden="1" x14ac:dyDescent="0.25">
      <c r="A1935" t="s">
        <v>1049</v>
      </c>
      <c r="B1935" s="13">
        <v>0</v>
      </c>
    </row>
    <row r="1936" spans="1:2" hidden="1" x14ac:dyDescent="0.25">
      <c r="A1936" t="s">
        <v>1059</v>
      </c>
      <c r="B1936" s="13">
        <v>0</v>
      </c>
    </row>
    <row r="1937" spans="1:2" hidden="1" x14ac:dyDescent="0.25">
      <c r="A1937" t="s">
        <v>1073</v>
      </c>
      <c r="B1937" s="13">
        <v>0</v>
      </c>
    </row>
    <row r="1938" spans="1:2" hidden="1" x14ac:dyDescent="0.25">
      <c r="A1938" t="s">
        <v>1084</v>
      </c>
      <c r="B1938" s="13">
        <v>0</v>
      </c>
    </row>
    <row r="1939" spans="1:2" hidden="1" x14ac:dyDescent="0.25">
      <c r="A1939" t="s">
        <v>1089</v>
      </c>
      <c r="B1939" s="13">
        <v>0</v>
      </c>
    </row>
    <row r="1940" spans="1:2" hidden="1" x14ac:dyDescent="0.25">
      <c r="A1940" t="s">
        <v>1098</v>
      </c>
      <c r="B1940" s="13">
        <v>0</v>
      </c>
    </row>
    <row r="1941" spans="1:2" hidden="1" x14ac:dyDescent="0.25">
      <c r="A1941" t="s">
        <v>1101</v>
      </c>
      <c r="B1941" s="13">
        <v>0</v>
      </c>
    </row>
    <row r="1942" spans="1:2" hidden="1" x14ac:dyDescent="0.25">
      <c r="A1942" t="s">
        <v>1113</v>
      </c>
      <c r="B1942" s="13">
        <v>0</v>
      </c>
    </row>
    <row r="1943" spans="1:2" hidden="1" x14ac:dyDescent="0.25">
      <c r="A1943" t="s">
        <v>1118</v>
      </c>
      <c r="B1943" s="13">
        <v>0</v>
      </c>
    </row>
    <row r="1944" spans="1:2" hidden="1" x14ac:dyDescent="0.25">
      <c r="A1944" t="s">
        <v>1124</v>
      </c>
      <c r="B1944" s="13">
        <v>0</v>
      </c>
    </row>
    <row r="1945" spans="1:2" hidden="1" x14ac:dyDescent="0.25">
      <c r="A1945" t="s">
        <v>1128</v>
      </c>
      <c r="B1945" s="13">
        <v>0</v>
      </c>
    </row>
    <row r="1946" spans="1:2" hidden="1" x14ac:dyDescent="0.25">
      <c r="A1946" t="s">
        <v>1137</v>
      </c>
      <c r="B1946" s="13">
        <v>0</v>
      </c>
    </row>
    <row r="1947" spans="1:2" hidden="1" x14ac:dyDescent="0.25">
      <c r="A1947" t="s">
        <v>1139</v>
      </c>
      <c r="B1947" s="13">
        <v>0</v>
      </c>
    </row>
    <row r="1948" spans="1:2" hidden="1" x14ac:dyDescent="0.25">
      <c r="A1948" t="s">
        <v>1152</v>
      </c>
      <c r="B1948" s="13">
        <v>0</v>
      </c>
    </row>
    <row r="1949" spans="1:2" hidden="1" x14ac:dyDescent="0.25">
      <c r="A1949" t="s">
        <v>1159</v>
      </c>
      <c r="B1949" s="13">
        <v>0</v>
      </c>
    </row>
    <row r="1950" spans="1:2" hidden="1" x14ac:dyDescent="0.25">
      <c r="A1950" t="s">
        <v>1163</v>
      </c>
      <c r="B1950" s="13">
        <v>0</v>
      </c>
    </row>
    <row r="1951" spans="1:2" hidden="1" x14ac:dyDescent="0.25">
      <c r="A1951" t="s">
        <v>1176</v>
      </c>
      <c r="B1951" s="13">
        <v>0</v>
      </c>
    </row>
    <row r="1952" spans="1:2" hidden="1" x14ac:dyDescent="0.25">
      <c r="A1952" t="s">
        <v>1189</v>
      </c>
      <c r="B1952" s="13">
        <v>0</v>
      </c>
    </row>
    <row r="1953" spans="1:2" hidden="1" x14ac:dyDescent="0.25">
      <c r="A1953" t="s">
        <v>1202</v>
      </c>
      <c r="B1953" s="13">
        <v>0</v>
      </c>
    </row>
    <row r="1954" spans="1:2" hidden="1" x14ac:dyDescent="0.25">
      <c r="A1954" t="s">
        <v>1205</v>
      </c>
      <c r="B1954" s="13">
        <v>0</v>
      </c>
    </row>
    <row r="1955" spans="1:2" hidden="1" x14ac:dyDescent="0.25">
      <c r="A1955" t="s">
        <v>1210</v>
      </c>
      <c r="B1955" s="13">
        <v>0</v>
      </c>
    </row>
    <row r="1956" spans="1:2" hidden="1" x14ac:dyDescent="0.25">
      <c r="A1956" t="s">
        <v>1215</v>
      </c>
      <c r="B1956" s="13">
        <v>0</v>
      </c>
    </row>
    <row r="1957" spans="1:2" hidden="1" x14ac:dyDescent="0.25">
      <c r="A1957" t="s">
        <v>1219</v>
      </c>
      <c r="B1957" s="13">
        <v>0</v>
      </c>
    </row>
    <row r="1958" spans="1:2" hidden="1" x14ac:dyDescent="0.25">
      <c r="A1958" t="s">
        <v>1232</v>
      </c>
      <c r="B1958" s="13">
        <v>0</v>
      </c>
    </row>
    <row r="1959" spans="1:2" hidden="1" x14ac:dyDescent="0.25">
      <c r="A1959" t="s">
        <v>1243</v>
      </c>
      <c r="B1959" s="13">
        <v>0</v>
      </c>
    </row>
    <row r="1960" spans="1:2" hidden="1" x14ac:dyDescent="0.25">
      <c r="A1960" t="s">
        <v>1245</v>
      </c>
      <c r="B1960" s="13">
        <v>0</v>
      </c>
    </row>
    <row r="1961" spans="1:2" hidden="1" x14ac:dyDescent="0.25">
      <c r="A1961" t="s">
        <v>1251</v>
      </c>
      <c r="B1961" s="13">
        <v>0</v>
      </c>
    </row>
    <row r="1962" spans="1:2" hidden="1" x14ac:dyDescent="0.25">
      <c r="A1962" t="s">
        <v>1256</v>
      </c>
      <c r="B1962" s="13">
        <v>0</v>
      </c>
    </row>
    <row r="1963" spans="1:2" hidden="1" x14ac:dyDescent="0.25">
      <c r="A1963" t="s">
        <v>1261</v>
      </c>
      <c r="B1963" s="13">
        <v>0</v>
      </c>
    </row>
    <row r="1964" spans="1:2" hidden="1" x14ac:dyDescent="0.25">
      <c r="A1964" t="s">
        <v>1265</v>
      </c>
      <c r="B1964" s="13">
        <v>0</v>
      </c>
    </row>
    <row r="1965" spans="1:2" hidden="1" x14ac:dyDescent="0.25">
      <c r="A1965" t="s">
        <v>1268</v>
      </c>
      <c r="B1965" s="13">
        <v>0</v>
      </c>
    </row>
    <row r="1966" spans="1:2" hidden="1" x14ac:dyDescent="0.25">
      <c r="A1966" t="s">
        <v>1274</v>
      </c>
      <c r="B1966" s="13">
        <v>0</v>
      </c>
    </row>
    <row r="1967" spans="1:2" hidden="1" x14ac:dyDescent="0.25">
      <c r="A1967" t="s">
        <v>1278</v>
      </c>
      <c r="B1967" s="13">
        <v>0</v>
      </c>
    </row>
    <row r="1968" spans="1:2" hidden="1" x14ac:dyDescent="0.25">
      <c r="A1968" t="s">
        <v>1288</v>
      </c>
      <c r="B1968" s="13">
        <v>0</v>
      </c>
    </row>
    <row r="1969" spans="1:2" hidden="1" x14ac:dyDescent="0.25">
      <c r="A1969" t="s">
        <v>1300</v>
      </c>
      <c r="B1969" s="13">
        <v>0</v>
      </c>
    </row>
    <row r="1970" spans="1:2" hidden="1" x14ac:dyDescent="0.25">
      <c r="A1970" t="s">
        <v>1303</v>
      </c>
      <c r="B1970" s="13">
        <v>0</v>
      </c>
    </row>
    <row r="1971" spans="1:2" hidden="1" x14ac:dyDescent="0.25">
      <c r="A1971" t="s">
        <v>1312</v>
      </c>
      <c r="B1971" s="13">
        <v>0</v>
      </c>
    </row>
    <row r="1972" spans="1:2" hidden="1" x14ac:dyDescent="0.25">
      <c r="A1972" t="s">
        <v>1314</v>
      </c>
      <c r="B1972" s="13">
        <v>0</v>
      </c>
    </row>
    <row r="1973" spans="1:2" hidden="1" x14ac:dyDescent="0.25">
      <c r="A1973" t="s">
        <v>1318</v>
      </c>
      <c r="B1973" s="13">
        <v>0</v>
      </c>
    </row>
    <row r="1974" spans="1:2" hidden="1" x14ac:dyDescent="0.25">
      <c r="A1974" t="s">
        <v>1330</v>
      </c>
      <c r="B1974" s="13">
        <v>0</v>
      </c>
    </row>
    <row r="1975" spans="1:2" hidden="1" x14ac:dyDescent="0.25">
      <c r="A1975" t="s">
        <v>1342</v>
      </c>
      <c r="B1975" s="13">
        <v>0</v>
      </c>
    </row>
    <row r="1976" spans="1:2" hidden="1" x14ac:dyDescent="0.25">
      <c r="A1976" t="s">
        <v>1347</v>
      </c>
      <c r="B1976" s="13">
        <v>0</v>
      </c>
    </row>
    <row r="1977" spans="1:2" hidden="1" x14ac:dyDescent="0.25">
      <c r="A1977" t="s">
        <v>1352</v>
      </c>
      <c r="B1977" s="13">
        <v>0</v>
      </c>
    </row>
    <row r="1978" spans="1:2" hidden="1" x14ac:dyDescent="0.25">
      <c r="A1978" t="s">
        <v>1357</v>
      </c>
      <c r="B1978" s="13">
        <v>0</v>
      </c>
    </row>
    <row r="1979" spans="1:2" hidden="1" x14ac:dyDescent="0.25">
      <c r="A1979" t="s">
        <v>1363</v>
      </c>
      <c r="B1979" s="13">
        <v>0</v>
      </c>
    </row>
    <row r="1980" spans="1:2" hidden="1" x14ac:dyDescent="0.25">
      <c r="A1980" t="s">
        <v>1366</v>
      </c>
      <c r="B1980" s="13">
        <v>0</v>
      </c>
    </row>
    <row r="1981" spans="1:2" hidden="1" x14ac:dyDescent="0.25">
      <c r="A1981" t="s">
        <v>1369</v>
      </c>
      <c r="B1981" s="13">
        <v>0</v>
      </c>
    </row>
    <row r="1982" spans="1:2" hidden="1" x14ac:dyDescent="0.25">
      <c r="A1982" t="s">
        <v>1379</v>
      </c>
      <c r="B1982" s="13">
        <v>0</v>
      </c>
    </row>
    <row r="1983" spans="1:2" hidden="1" x14ac:dyDescent="0.25">
      <c r="A1983" t="s">
        <v>1391</v>
      </c>
      <c r="B1983" s="13">
        <v>0</v>
      </c>
    </row>
    <row r="1984" spans="1:2" hidden="1" x14ac:dyDescent="0.25">
      <c r="A1984" t="s">
        <v>1402</v>
      </c>
      <c r="B1984" s="13">
        <v>0</v>
      </c>
    </row>
    <row r="1985" spans="1:2" hidden="1" x14ac:dyDescent="0.25">
      <c r="A1985" t="s">
        <v>1415</v>
      </c>
      <c r="B1985" s="13">
        <v>0</v>
      </c>
    </row>
    <row r="1986" spans="1:2" hidden="1" x14ac:dyDescent="0.25">
      <c r="A1986" t="s">
        <v>1423</v>
      </c>
      <c r="B1986" s="13">
        <v>0</v>
      </c>
    </row>
    <row r="1987" spans="1:2" hidden="1" x14ac:dyDescent="0.25">
      <c r="A1987" t="s">
        <v>1429</v>
      </c>
      <c r="B1987" s="13">
        <v>0</v>
      </c>
    </row>
    <row r="1988" spans="1:2" hidden="1" x14ac:dyDescent="0.25">
      <c r="A1988" t="s">
        <v>1441</v>
      </c>
      <c r="B1988" s="13">
        <v>0</v>
      </c>
    </row>
    <row r="1989" spans="1:2" hidden="1" x14ac:dyDescent="0.25">
      <c r="A1989" t="s">
        <v>1443</v>
      </c>
      <c r="B1989" s="13">
        <v>0</v>
      </c>
    </row>
    <row r="1990" spans="1:2" hidden="1" x14ac:dyDescent="0.25">
      <c r="A1990" t="s">
        <v>1446</v>
      </c>
      <c r="B1990" s="13">
        <v>0</v>
      </c>
    </row>
    <row r="1991" spans="1:2" hidden="1" x14ac:dyDescent="0.25">
      <c r="A1991" t="s">
        <v>1450</v>
      </c>
      <c r="B1991" s="13">
        <v>0</v>
      </c>
    </row>
    <row r="1992" spans="1:2" hidden="1" x14ac:dyDescent="0.25">
      <c r="A1992" t="s">
        <v>1453</v>
      </c>
      <c r="B1992" s="13">
        <v>0</v>
      </c>
    </row>
    <row r="1993" spans="1:2" hidden="1" x14ac:dyDescent="0.25">
      <c r="A1993" t="s">
        <v>1458</v>
      </c>
      <c r="B1993" s="13">
        <v>0</v>
      </c>
    </row>
    <row r="1994" spans="1:2" hidden="1" x14ac:dyDescent="0.25">
      <c r="A1994" t="s">
        <v>1466</v>
      </c>
      <c r="B1994" s="13">
        <v>0</v>
      </c>
    </row>
    <row r="1995" spans="1:2" hidden="1" x14ac:dyDescent="0.25">
      <c r="A1995" t="s">
        <v>1476</v>
      </c>
      <c r="B1995" s="13">
        <v>0</v>
      </c>
    </row>
    <row r="1996" spans="1:2" hidden="1" x14ac:dyDescent="0.25">
      <c r="A1996" t="s">
        <v>1480</v>
      </c>
      <c r="B1996" s="13">
        <v>0</v>
      </c>
    </row>
    <row r="1997" spans="1:2" hidden="1" x14ac:dyDescent="0.25">
      <c r="A1997" t="s">
        <v>1485</v>
      </c>
      <c r="B1997" s="13">
        <v>0</v>
      </c>
    </row>
    <row r="1998" spans="1:2" hidden="1" x14ac:dyDescent="0.25">
      <c r="A1998" t="s">
        <v>1488</v>
      </c>
      <c r="B1998" s="13">
        <v>0</v>
      </c>
    </row>
    <row r="1999" spans="1:2" hidden="1" x14ac:dyDescent="0.25">
      <c r="A1999" t="s">
        <v>1492</v>
      </c>
      <c r="B1999" s="13">
        <v>0</v>
      </c>
    </row>
    <row r="2000" spans="1:2" hidden="1" x14ac:dyDescent="0.25">
      <c r="A2000" t="s">
        <v>1502</v>
      </c>
      <c r="B2000" s="13">
        <v>0</v>
      </c>
    </row>
    <row r="2001" spans="1:2" hidden="1" x14ac:dyDescent="0.25">
      <c r="A2001" t="s">
        <v>1512</v>
      </c>
      <c r="B2001" s="13">
        <v>0</v>
      </c>
    </row>
    <row r="2002" spans="1:2" hidden="1" x14ac:dyDescent="0.25">
      <c r="A2002" t="s">
        <v>1519</v>
      </c>
      <c r="B2002" s="13">
        <v>0</v>
      </c>
    </row>
    <row r="2003" spans="1:2" hidden="1" x14ac:dyDescent="0.25">
      <c r="A2003" t="s">
        <v>1525</v>
      </c>
      <c r="B2003" s="13">
        <v>0</v>
      </c>
    </row>
    <row r="2004" spans="1:2" hidden="1" x14ac:dyDescent="0.25">
      <c r="A2004" t="s">
        <v>1533</v>
      </c>
      <c r="B2004" s="13">
        <v>0</v>
      </c>
    </row>
    <row r="2005" spans="1:2" hidden="1" x14ac:dyDescent="0.25">
      <c r="A2005" t="s">
        <v>1544</v>
      </c>
      <c r="B2005" s="13">
        <v>0</v>
      </c>
    </row>
    <row r="2006" spans="1:2" hidden="1" x14ac:dyDescent="0.25">
      <c r="A2006" t="s">
        <v>1548</v>
      </c>
      <c r="B2006" s="13">
        <v>0</v>
      </c>
    </row>
    <row r="2007" spans="1:2" hidden="1" x14ac:dyDescent="0.25">
      <c r="A2007" t="s">
        <v>1559</v>
      </c>
      <c r="B2007" s="13">
        <v>0</v>
      </c>
    </row>
    <row r="2008" spans="1:2" hidden="1" x14ac:dyDescent="0.25">
      <c r="A2008" t="s">
        <v>1562</v>
      </c>
      <c r="B2008" s="13">
        <v>0</v>
      </c>
    </row>
    <row r="2009" spans="1:2" hidden="1" x14ac:dyDescent="0.25">
      <c r="A2009" t="s">
        <v>1564</v>
      </c>
      <c r="B2009" s="13">
        <v>0</v>
      </c>
    </row>
    <row r="2010" spans="1:2" hidden="1" x14ac:dyDescent="0.25">
      <c r="A2010" t="s">
        <v>1572</v>
      </c>
      <c r="B2010" s="13">
        <v>0</v>
      </c>
    </row>
    <row r="2011" spans="1:2" hidden="1" x14ac:dyDescent="0.25">
      <c r="A2011" t="s">
        <v>1575</v>
      </c>
      <c r="B2011" s="13">
        <v>0</v>
      </c>
    </row>
    <row r="2012" spans="1:2" hidden="1" x14ac:dyDescent="0.25">
      <c r="A2012" t="s">
        <v>1579</v>
      </c>
      <c r="B2012" s="13">
        <v>0</v>
      </c>
    </row>
    <row r="2013" spans="1:2" hidden="1" x14ac:dyDescent="0.25">
      <c r="A2013" t="s">
        <v>1582</v>
      </c>
      <c r="B2013" s="13">
        <v>0</v>
      </c>
    </row>
    <row r="2014" spans="1:2" hidden="1" x14ac:dyDescent="0.25">
      <c r="A2014" t="s">
        <v>1590</v>
      </c>
      <c r="B2014" s="13">
        <v>0</v>
      </c>
    </row>
    <row r="2015" spans="1:2" hidden="1" x14ac:dyDescent="0.25">
      <c r="A2015" t="s">
        <v>1592</v>
      </c>
      <c r="B2015" s="13">
        <v>0</v>
      </c>
    </row>
    <row r="2016" spans="1:2" hidden="1" x14ac:dyDescent="0.25">
      <c r="A2016" t="s">
        <v>1603</v>
      </c>
      <c r="B2016" s="13">
        <v>0</v>
      </c>
    </row>
    <row r="2017" spans="1:2" hidden="1" x14ac:dyDescent="0.25">
      <c r="A2017" t="s">
        <v>1606</v>
      </c>
      <c r="B2017" s="13">
        <v>0</v>
      </c>
    </row>
    <row r="2018" spans="1:2" hidden="1" x14ac:dyDescent="0.25">
      <c r="A2018" t="s">
        <v>1617</v>
      </c>
      <c r="B2018" s="13">
        <v>0</v>
      </c>
    </row>
    <row r="2019" spans="1:2" hidden="1" x14ac:dyDescent="0.25">
      <c r="A2019" t="s">
        <v>1627</v>
      </c>
      <c r="B2019" s="13">
        <v>0</v>
      </c>
    </row>
    <row r="2020" spans="1:2" hidden="1" x14ac:dyDescent="0.25">
      <c r="A2020" t="s">
        <v>1639</v>
      </c>
      <c r="B2020" s="13">
        <v>0</v>
      </c>
    </row>
    <row r="2021" spans="1:2" hidden="1" x14ac:dyDescent="0.25">
      <c r="A2021" t="s">
        <v>1649</v>
      </c>
      <c r="B2021" s="13">
        <v>0</v>
      </c>
    </row>
    <row r="2022" spans="1:2" hidden="1" x14ac:dyDescent="0.25">
      <c r="A2022" t="s">
        <v>1656</v>
      </c>
      <c r="B2022" s="13">
        <v>0</v>
      </c>
    </row>
    <row r="2023" spans="1:2" hidden="1" x14ac:dyDescent="0.25">
      <c r="A2023" t="s">
        <v>1662</v>
      </c>
      <c r="B2023" s="13">
        <v>0</v>
      </c>
    </row>
    <row r="2024" spans="1:2" hidden="1" x14ac:dyDescent="0.25">
      <c r="A2024" t="s">
        <v>1672</v>
      </c>
      <c r="B2024" s="13">
        <v>0</v>
      </c>
    </row>
    <row r="2025" spans="1:2" hidden="1" x14ac:dyDescent="0.25">
      <c r="A2025" t="s">
        <v>1682</v>
      </c>
      <c r="B2025" s="13">
        <v>0</v>
      </c>
    </row>
    <row r="2026" spans="1:2" hidden="1" x14ac:dyDescent="0.25">
      <c r="A2026" t="s">
        <v>1687</v>
      </c>
      <c r="B2026" s="13">
        <v>0</v>
      </c>
    </row>
    <row r="2027" spans="1:2" hidden="1" x14ac:dyDescent="0.25">
      <c r="A2027" t="s">
        <v>1694</v>
      </c>
      <c r="B2027" s="13">
        <v>0</v>
      </c>
    </row>
    <row r="2028" spans="1:2" hidden="1" x14ac:dyDescent="0.25">
      <c r="A2028" t="s">
        <v>1702</v>
      </c>
      <c r="B2028" s="13">
        <v>0</v>
      </c>
    </row>
    <row r="2029" spans="1:2" hidden="1" x14ac:dyDescent="0.25">
      <c r="A2029" t="s">
        <v>1707</v>
      </c>
      <c r="B2029" s="13">
        <v>0</v>
      </c>
    </row>
    <row r="2030" spans="1:2" hidden="1" x14ac:dyDescent="0.25">
      <c r="A2030" t="s">
        <v>1713</v>
      </c>
      <c r="B2030" s="13">
        <v>0</v>
      </c>
    </row>
    <row r="2031" spans="1:2" hidden="1" x14ac:dyDescent="0.25">
      <c r="A2031" t="s">
        <v>1716</v>
      </c>
      <c r="B2031" s="13">
        <v>0</v>
      </c>
    </row>
    <row r="2032" spans="1:2" hidden="1" x14ac:dyDescent="0.25">
      <c r="A2032" t="s">
        <v>1726</v>
      </c>
      <c r="B2032" s="13">
        <v>0</v>
      </c>
    </row>
    <row r="2033" spans="1:2" hidden="1" x14ac:dyDescent="0.25">
      <c r="A2033" t="s">
        <v>1733</v>
      </c>
      <c r="B2033" s="13">
        <v>0</v>
      </c>
    </row>
    <row r="2034" spans="1:2" hidden="1" x14ac:dyDescent="0.25">
      <c r="A2034" t="s">
        <v>1743</v>
      </c>
      <c r="B2034" s="13">
        <v>0</v>
      </c>
    </row>
    <row r="2035" spans="1:2" hidden="1" x14ac:dyDescent="0.25">
      <c r="A2035" t="s">
        <v>1749</v>
      </c>
      <c r="B2035" s="13">
        <v>0</v>
      </c>
    </row>
    <row r="2036" spans="1:2" hidden="1" x14ac:dyDescent="0.25">
      <c r="A2036" t="s">
        <v>1752</v>
      </c>
      <c r="B2036" s="13">
        <v>0</v>
      </c>
    </row>
    <row r="2037" spans="1:2" hidden="1" x14ac:dyDescent="0.25">
      <c r="A2037" t="s">
        <v>1760</v>
      </c>
      <c r="B2037" s="13">
        <v>0</v>
      </c>
    </row>
    <row r="2038" spans="1:2" hidden="1" x14ac:dyDescent="0.25">
      <c r="A2038" t="s">
        <v>1770</v>
      </c>
      <c r="B2038" s="13">
        <v>0</v>
      </c>
    </row>
    <row r="2039" spans="1:2" hidden="1" x14ac:dyDescent="0.25">
      <c r="A2039" t="s">
        <v>1780</v>
      </c>
      <c r="B2039" s="13">
        <v>0</v>
      </c>
    </row>
    <row r="2040" spans="1:2" hidden="1" x14ac:dyDescent="0.25">
      <c r="A2040" t="s">
        <v>1788</v>
      </c>
      <c r="B2040" s="13">
        <v>0</v>
      </c>
    </row>
    <row r="2041" spans="1:2" hidden="1" x14ac:dyDescent="0.25">
      <c r="A2041" t="s">
        <v>1791</v>
      </c>
      <c r="B2041" s="13">
        <v>0</v>
      </c>
    </row>
    <row r="2042" spans="1:2" hidden="1" x14ac:dyDescent="0.25">
      <c r="A2042" t="s">
        <v>1797</v>
      </c>
      <c r="B2042" s="13">
        <v>0</v>
      </c>
    </row>
    <row r="2043" spans="1:2" hidden="1" x14ac:dyDescent="0.25">
      <c r="A2043" t="s">
        <v>1799</v>
      </c>
      <c r="B2043" s="13">
        <v>0</v>
      </c>
    </row>
    <row r="2044" spans="1:2" hidden="1" x14ac:dyDescent="0.25">
      <c r="A2044" t="s">
        <v>1805</v>
      </c>
      <c r="B2044" s="13">
        <v>0</v>
      </c>
    </row>
    <row r="2045" spans="1:2" hidden="1" x14ac:dyDescent="0.25">
      <c r="A2045" t="s">
        <v>1813</v>
      </c>
      <c r="B2045" s="13">
        <v>0</v>
      </c>
    </row>
    <row r="2046" spans="1:2" hidden="1" x14ac:dyDescent="0.25">
      <c r="A2046" t="s">
        <v>1822</v>
      </c>
      <c r="B2046" s="13">
        <v>0</v>
      </c>
    </row>
    <row r="2047" spans="1:2" hidden="1" x14ac:dyDescent="0.25">
      <c r="A2047" t="s">
        <v>1826</v>
      </c>
      <c r="B2047" s="13">
        <v>0</v>
      </c>
    </row>
    <row r="2048" spans="1:2" hidden="1" x14ac:dyDescent="0.25">
      <c r="A2048" t="s">
        <v>1831</v>
      </c>
      <c r="B2048" s="13">
        <v>0</v>
      </c>
    </row>
    <row r="2049" spans="1:2" hidden="1" x14ac:dyDescent="0.25">
      <c r="A2049" t="s">
        <v>1836</v>
      </c>
      <c r="B2049" s="13">
        <v>0</v>
      </c>
    </row>
    <row r="2050" spans="1:2" hidden="1" x14ac:dyDescent="0.25">
      <c r="A2050" t="s">
        <v>1839</v>
      </c>
      <c r="B2050" s="13">
        <v>0</v>
      </c>
    </row>
    <row r="2051" spans="1:2" hidden="1" x14ac:dyDescent="0.25">
      <c r="A2051" t="s">
        <v>1843</v>
      </c>
      <c r="B2051" s="13">
        <v>0</v>
      </c>
    </row>
    <row r="2052" spans="1:2" hidden="1" x14ac:dyDescent="0.25">
      <c r="A2052" t="s">
        <v>1851</v>
      </c>
      <c r="B2052" s="13">
        <v>0</v>
      </c>
    </row>
    <row r="2053" spans="1:2" hidden="1" x14ac:dyDescent="0.25">
      <c r="A2053" t="s">
        <v>1856</v>
      </c>
      <c r="B2053" s="13">
        <v>0</v>
      </c>
    </row>
    <row r="2054" spans="1:2" hidden="1" x14ac:dyDescent="0.25">
      <c r="A2054" t="s">
        <v>1864</v>
      </c>
      <c r="B2054" s="13">
        <v>0</v>
      </c>
    </row>
    <row r="2055" spans="1:2" hidden="1" x14ac:dyDescent="0.25">
      <c r="A2055" t="s">
        <v>1872</v>
      </c>
      <c r="B2055" s="13">
        <v>0</v>
      </c>
    </row>
    <row r="2056" spans="1:2" hidden="1" x14ac:dyDescent="0.25">
      <c r="A2056" t="s">
        <v>1875</v>
      </c>
      <c r="B2056" s="13">
        <v>0</v>
      </c>
    </row>
    <row r="2057" spans="1:2" hidden="1" x14ac:dyDescent="0.25">
      <c r="A2057" t="s">
        <v>1882</v>
      </c>
      <c r="B2057" s="13">
        <v>0</v>
      </c>
    </row>
    <row r="2058" spans="1:2" hidden="1" x14ac:dyDescent="0.25">
      <c r="A2058" t="s">
        <v>1890</v>
      </c>
      <c r="B2058" s="13">
        <v>0</v>
      </c>
    </row>
    <row r="2059" spans="1:2" hidden="1" x14ac:dyDescent="0.25">
      <c r="A2059" t="s">
        <v>1898</v>
      </c>
      <c r="B2059" s="13">
        <v>0</v>
      </c>
    </row>
    <row r="2060" spans="1:2" hidden="1" x14ac:dyDescent="0.25">
      <c r="A2060" t="s">
        <v>1906</v>
      </c>
      <c r="B2060" s="13">
        <v>0</v>
      </c>
    </row>
    <row r="2061" spans="1:2" hidden="1" x14ac:dyDescent="0.25">
      <c r="A2061" t="s">
        <v>1909</v>
      </c>
      <c r="B2061" s="13">
        <v>0</v>
      </c>
    </row>
    <row r="2062" spans="1:2" hidden="1" x14ac:dyDescent="0.25">
      <c r="A2062" t="s">
        <v>1917</v>
      </c>
      <c r="B2062" s="13">
        <v>0</v>
      </c>
    </row>
    <row r="2063" spans="1:2" hidden="1" x14ac:dyDescent="0.25">
      <c r="A2063" t="s">
        <v>1920</v>
      </c>
      <c r="B2063" s="13">
        <v>0</v>
      </c>
    </row>
    <row r="2064" spans="1:2" hidden="1" x14ac:dyDescent="0.25">
      <c r="A2064" t="s">
        <v>1923</v>
      </c>
      <c r="B2064" s="13">
        <v>0</v>
      </c>
    </row>
    <row r="2065" spans="1:2" hidden="1" x14ac:dyDescent="0.25">
      <c r="A2065" t="s">
        <v>1926</v>
      </c>
      <c r="B2065" s="13">
        <v>0</v>
      </c>
    </row>
    <row r="2066" spans="1:2" hidden="1" x14ac:dyDescent="0.25">
      <c r="A2066" t="s">
        <v>1933</v>
      </c>
      <c r="B2066" s="13">
        <v>0</v>
      </c>
    </row>
    <row r="2067" spans="1:2" hidden="1" x14ac:dyDescent="0.25">
      <c r="A2067" t="s">
        <v>1940</v>
      </c>
      <c r="B2067" s="13">
        <v>0</v>
      </c>
    </row>
    <row r="2068" spans="1:2" hidden="1" x14ac:dyDescent="0.25">
      <c r="A2068" t="s">
        <v>1948</v>
      </c>
      <c r="B2068" s="13">
        <v>0</v>
      </c>
    </row>
    <row r="2069" spans="1:2" hidden="1" x14ac:dyDescent="0.25">
      <c r="A2069" t="s">
        <v>1952</v>
      </c>
      <c r="B2069" s="13">
        <v>0</v>
      </c>
    </row>
    <row r="2070" spans="1:2" hidden="1" x14ac:dyDescent="0.25">
      <c r="A2070" t="s">
        <v>1957</v>
      </c>
      <c r="B2070" s="13">
        <v>0</v>
      </c>
    </row>
    <row r="2071" spans="1:2" hidden="1" x14ac:dyDescent="0.25">
      <c r="A2071" t="s">
        <v>1964</v>
      </c>
      <c r="B2071" s="13">
        <v>0</v>
      </c>
    </row>
    <row r="2072" spans="1:2" hidden="1" x14ac:dyDescent="0.25">
      <c r="A2072" t="s">
        <v>1967</v>
      </c>
      <c r="B2072" s="13">
        <v>0</v>
      </c>
    </row>
    <row r="2073" spans="1:2" hidden="1" x14ac:dyDescent="0.25">
      <c r="A2073" t="s">
        <v>1975</v>
      </c>
      <c r="B2073" s="13">
        <v>0</v>
      </c>
    </row>
    <row r="2074" spans="1:2" hidden="1" x14ac:dyDescent="0.25">
      <c r="A2074" t="s">
        <v>1980</v>
      </c>
      <c r="B2074" s="13">
        <v>0</v>
      </c>
    </row>
    <row r="2075" spans="1:2" hidden="1" x14ac:dyDescent="0.25">
      <c r="A2075" t="s">
        <v>1984</v>
      </c>
      <c r="B2075" s="13">
        <v>0</v>
      </c>
    </row>
    <row r="2076" spans="1:2" hidden="1" x14ac:dyDescent="0.25">
      <c r="A2076" t="s">
        <v>1987</v>
      </c>
      <c r="B2076" s="13">
        <v>0</v>
      </c>
    </row>
    <row r="2077" spans="1:2" hidden="1" x14ac:dyDescent="0.25">
      <c r="A2077" t="s">
        <v>1996</v>
      </c>
      <c r="B2077" s="13">
        <v>0</v>
      </c>
    </row>
    <row r="2078" spans="1:2" hidden="1" x14ac:dyDescent="0.25">
      <c r="A2078" t="s">
        <v>2003</v>
      </c>
      <c r="B2078" s="13">
        <v>0</v>
      </c>
    </row>
    <row r="2079" spans="1:2" hidden="1" x14ac:dyDescent="0.25">
      <c r="A2079" t="s">
        <v>2012</v>
      </c>
      <c r="B2079" s="13">
        <v>0</v>
      </c>
    </row>
    <row r="2080" spans="1:2" hidden="1" x14ac:dyDescent="0.25">
      <c r="A2080" t="s">
        <v>2015</v>
      </c>
      <c r="B2080" s="13">
        <v>0</v>
      </c>
    </row>
    <row r="2081" spans="1:2" x14ac:dyDescent="0.25">
      <c r="A2081" t="s">
        <v>2021</v>
      </c>
      <c r="B2081" s="13">
        <v>2328</v>
      </c>
    </row>
    <row r="2082" spans="1:2" x14ac:dyDescent="0.25">
      <c r="A2082" t="s">
        <v>2022</v>
      </c>
      <c r="B2082" s="13">
        <v>2589</v>
      </c>
    </row>
    <row r="2083" spans="1:2" x14ac:dyDescent="0.25">
      <c r="A2083" t="s">
        <v>2023</v>
      </c>
      <c r="B2083" s="13">
        <v>2254</v>
      </c>
    </row>
    <row r="2084" spans="1:2" x14ac:dyDescent="0.25">
      <c r="A2084" t="s">
        <v>2024</v>
      </c>
      <c r="B2084" s="13">
        <v>-7171</v>
      </c>
    </row>
    <row r="2085" spans="1:2" hidden="1" x14ac:dyDescent="0.25">
      <c r="A2085" t="s">
        <v>2020</v>
      </c>
      <c r="B2085" s="13">
        <v>0</v>
      </c>
    </row>
    <row r="2086" spans="1:2" hidden="1" x14ac:dyDescent="0.25"/>
  </sheetData>
  <autoFilter ref="A1:B2086" xr:uid="{D90F1BEE-80DA-41C8-A254-DA1B2DF258AB}">
    <filterColumn colId="0">
      <filters blank="1">
        <filter val="KHI/HO/D/MO/PD COMP/E/18227/12/2021"/>
        <filter val="KHI/HO/D/MO/PD COMP/E/18327/12/2021"/>
        <filter val="KHI/HO/D/MO/PD COMP/E/18537/01/2022"/>
        <filter val="KHI/HO/D/MO/PD COMP/E/18671/02/2022"/>
        <filter val="KHI/HO/D/MO/PD COMP/E/18762/02/2022"/>
        <filter val="KHI/HO/D/MO/PD COMP/E/19615/05/2022"/>
        <filter val="KHI/HO/D/MO/PD COMP/E/19649/05/2022"/>
        <filter val="KHI/HO/D/MO/PD COMP/E/21786/10/2022"/>
        <filter val="KHI/HO/D/MO/PD COMP/E/21787/10/2022"/>
        <filter val="KHI/HO/D/MO/PD COMP/E/21792/10/2022"/>
        <filter val="KHI/HO/D/MO/PD COMP/E/21795/10/2022"/>
        <filter val="KHI/HO/D/MO/PD COMP/E/21796/10/2022"/>
        <filter val="KHI/HO/D/MO/PD COMP/E/21801/10/2022"/>
        <filter val="KHI/HO/D/MO/PD COMP/E/21803/10/2022"/>
        <filter val="KHI/HO/D/MO/PD COMP/E/21805/10/2022"/>
        <filter val="KHI/HO/D/MO/PD COMP/E/21806/10/2022"/>
        <filter val="KHI/HO/D/MO/PD COMP/E/21807/10/2022"/>
        <filter val="KHI/HO/D/MO/PD COMP/E/22006/11/2022"/>
        <filter val="KHI/HO/D/MO/PD COMP/E/22012/11/2022"/>
        <filter val="KHI/HO/D/MO/PD COMP/E/22027/11/2022"/>
        <filter val="KHI/HO/D/MO/PD COMP/E/22226/11/2022"/>
        <filter val="KHI/HO/D/MO/PD COMP/E/22227/11/2022"/>
        <filter val="KHI/HO/D/MO/PD COMP/E/22239/11/2022"/>
        <filter val="KHI/HO/D/MO/PD COMP/E/22261/11/2022"/>
        <filter val="KHI/HO/D/MO/PD COMP/E/22399/12/2022"/>
        <filter val="KHI/HO/D/MO/PD COMP/E/22541/12/2022"/>
        <filter val="KHI/HO/D/MO/PD COMP/E/22607/12/2022"/>
        <filter val="KHI/HO/D/MO/PD COMP/E/22651/01/2023"/>
        <filter val="KHI/HO/D/MO/PD COMP/E/22778/01/2023"/>
        <filter val="KHI/HO/D/MO/PD COMP/E/23073/02/2023"/>
        <filter val="KHI/HO/D/MO/PD COMP/E/23322/02/2023"/>
        <filter val="KHI/HO/D/MO/PD COMP/E/23543/03/2023"/>
        <filter val="KHI/HO/D/MO/PD COMP/E/23895/03/2023"/>
        <filter val="KHI/HO/D/MO/PD COMP/E/23974/03/2023"/>
        <filter val="KHI/HO/D/MO/PD COMP/E/24332/03/2023"/>
        <filter val="KHI/HO/D/MO/PD COMP/E/24359/03/2023"/>
        <filter val="KHI/HO/D/MO/PD COMP/E/24822/04/2023"/>
        <filter val="KHI/HO/D/MO/PD COMP/E/24941/04/2023"/>
        <filter val="KHI/HO/D/MO/PD COMP/E/25062/04/2023"/>
        <filter val="KHI/HO/D/MO/PD COMP/E/25160/05/2023"/>
        <filter val="KHI/HO/D/MO/PD COMP/E/25417/05/2023"/>
        <filter val="KHI/HO/D/MO/PD COMP/E/25678/05/2023"/>
        <filter val="KHI/HO/D/MO/PD COMP/E/25853/05/2023"/>
        <filter val="KHI/HO/D/MO/PD COMP/E/26026/05/2023"/>
        <filter val="KHI/HO/D/MO/PD COMP/E/26031/05/2023"/>
        <filter val="KHI/HO/D/MO/PD COMP/E/26224/06/2023"/>
        <filter val="KHI/HO/D/MO/PD COMP/E/26301/06/2023"/>
        <filter val="KHI/HO/D/MO/PD COMP/E/26458/06/2023"/>
        <filter val="KHI/HO/D/MO/PD COMP/E/26906/07/2023"/>
        <filter val="KHI/HO/D/MO/PD COMP/E/27010/07/2023"/>
        <filter val="KHI/HO/D/MO/PD COMP/E/27061/07/2023"/>
        <filter val="KHI/HO/D/MO/PD COMP/E/27460/07/2023"/>
        <filter val="KHI/HO/D/MO/PD COMP/E/27467/07/2023"/>
        <filter val="KHI/HO/D/MO/PD COMP/E/27475/07/2023"/>
        <filter val="KHI/HO/D/MO/PD COMP/E/27952/07/2023"/>
        <filter val="KHI/HO/D/MO/PD COMP/E/28034/07/2023"/>
        <filter val="KHI/HO/D/MO/PD COMP/E/28035/07/2023"/>
        <filter val="KHI/HO/D/MO/PD COMP/E/28117/07/2023"/>
        <filter val="KHI/HO/D/MO/PD COMP/E/28184/07/2023"/>
        <filter val="KHI/HO/D/MO/PD COMP/E/28186/07/2023"/>
        <filter val="KHI/HO/D/MO/PD COMP/E/28255/07/2023"/>
        <filter val="KHI/HO/D/MO/PD COMP/E/28257/07/2023"/>
        <filter val="KHI/HO/D/MO/PD COMP/E/28258/07/2023"/>
        <filter val="KHI/HO/D/MO/PD COMP/E/28260/07/2023"/>
        <filter val="KHI/HO/D/MO/PD COMP/E/28264/07/2023"/>
        <filter val="KHI/HO/D/MO/PD COMP/E/28267/07/2023"/>
        <filter val="KHI/HO/D/MO/PD COMP/E/28272/07/2023"/>
        <filter val="KHI/HO/D/MO/PD COMP/E/28274/07/2023"/>
        <filter val="KHI/HO/D/MO/PD COMP/E/28277/07/2023"/>
        <filter val="KHI/HO/D/MO/PD COMP/E/28278/07/2023"/>
        <filter val="KHI/HO/D/MO/PD COMP/E/28279/07/2023"/>
        <filter val="KHI/HO/D/MO/PD COMP/E/28280/07/2023"/>
        <filter val="KHI/HO/D/MO/PD COMP/E/28282/07/2023"/>
        <filter val="KHI/HO/D/MO/PD COMP/E/28284/07/2023"/>
        <filter val="KHI/HO/D/MO/PD COMP/E/28394/08/2023"/>
        <filter val="KHI/HO/D/MO/PD COMP/E/28566/08/2023"/>
        <filter val="KHI/HO/D/MO/PD COMP/E/28755/08/2023"/>
        <filter val="KHI/HO/D/MO/PD COMP/E/28916/08/2023"/>
        <filter val="KHI/HO/D/MO/PD COMP/E/28964/08/2023"/>
        <filter val="KHI/HO/D/MO/PD COMP/E/29183/08/2023"/>
        <filter val="KHI/HO/D/MO/PD COMP/E/29184/08/2023"/>
        <filter val="KHI/HO/D/MO/PD COMP/E/29245/08/2023"/>
        <filter val="KHI/HO/D/MO/PD COMP/E/29841/08/2023"/>
        <filter val="KHI/HO/D/MO/PD COMP/E/29842/08/2023"/>
        <filter val="KHI/HO/D/MO/PD COMP/E/29845/08/2023"/>
        <filter val="KHI/HO/D/MO/PD COMP/E/29846/08/2023"/>
        <filter val="KHI/HO/D/MO/PD COMP/E/29848/08/2023"/>
        <filter val="KHI/HO/D/MO/PD COMP/E/29851/08/2023"/>
        <filter val="KHI/HO/D/MO/PD COMP/E/29852/08/2023"/>
        <filter val="KHI/HO/D/MO/PD COMP/E/29853/08/2023"/>
        <filter val="KHI/HO/D/MO/PD COMP/E/29854/08/2023"/>
        <filter val="KHI/HO/D/MO/PD COMP/E/29856/08/2023"/>
        <filter val="KHI/HO/D/MO/PD COMP/E/29857/08/2023"/>
        <filter val="KHI/HO/D/MO/PD COMP/E/29858/08/2023"/>
        <filter val="KHI/HO/D/MO/PD COMP/E/29862/08/2023"/>
        <filter val="KHI/HO/D/MO/PD COMP/E/29867/08/2023"/>
        <filter val="KHI/HO/D/MO/PD COMP/E/30344/09/2023"/>
        <filter val="KHI/HO/D/MO/PD COMP/E/30360/09/2023"/>
        <filter val="KHI/HO/D/MO/PD COMP/E/30471/09/2023"/>
        <filter val="KHI/HO/D/MO/PD COMP/E/30850/09/2023"/>
        <filter val="KHI/HO/D/MO/PD COMP/E/30851/09/2023"/>
        <filter val="KHI/HO/D/MO/PD COMP/E/30905/09/2023"/>
        <filter val="KHI/HO/D/MO/PD COMP/E/30907/09/2023"/>
        <filter val="KHI/HO/D/MO/PD COMP/E/30909/09/2023"/>
        <filter val="KHI/HO/D/MO/PD COMP/E/30911/09/2023"/>
        <filter val="KHI/HO/D/MO/PD COMP/E/30913/09/2023"/>
        <filter val="KHI/HO/D/MO/PD COMP/E/30914/09/2023"/>
        <filter val="KHI/HO/D/MO/PD COMP/E/30920/09/2023"/>
        <filter val="KHI/HO/D/MO/PD COMP/E/30923/09/2023"/>
        <filter val="KHI/HO/D/MO/PD COMP/E/30925/09/2023"/>
        <filter val="KHI/HO/D/MO/PD COMP/E/30926/09/2023"/>
        <filter val="KHI/HO/D/MO/PD COMP/E/30928/09/2023"/>
        <filter val="KHI/HO/D/MO/PD COMP/E/30932/09/2023"/>
        <filter val="KHI/HO/D/MO/PD COMP/E/30933/09/2023"/>
        <filter val="KHI/HO/D/MO/PD COMP/E/30934/09/2023"/>
        <filter val="KHI/HO/D/MO/PD COMP/E/30935/09/2023"/>
        <filter val="KHI/HO/D/MO/PD COMP/E/30937/09/2023"/>
        <filter val="KHI/HO/D/MO/PD COMP/E/30938/09/2023"/>
        <filter val="KHI/HO/D/MO/PD COMP/E/30939/09/2023"/>
        <filter val="KHI/HO/D/MO/PD COMP/E/30940/09/2023"/>
        <filter val="KHI/HO/D/MO/PD COMP/E/30941/09/2023"/>
        <filter val="KHI/HO/D/MO/PD COMP/E/30942/09/2023"/>
        <filter val="KHI/HO/D/MO/PD COMP/E/30945/09/2023"/>
        <filter val="KHI/HO/D/MO/PD COMP/E/30948/09/2023"/>
        <filter val="KHI/HO/D/MO/PD COMP/E/30950/09/2023"/>
        <filter val="KHI/HO/D/MO/PD COMP/E/30951/09/2023"/>
        <filter val="KHI/HO/D/MO/PD COMP/E/32606/10/2023"/>
        <filter val="KHI/HO/D/MO/PD COMP/E/32975/10/2023"/>
        <filter val="KHI/HO/D/MO/PD COMP/E/33102/10/2023"/>
        <filter val="KHI/HO/D/MO/PD COMP/E/33545/10/2023"/>
        <filter val="KHI/HO/D/MO/PD COMP/E/33616/10/2023"/>
        <filter val="KHI/HO/D/MO/PD COMP/E/33617/10/2023"/>
        <filter val="KHI/HO/D/MO/PD COMP/E/33618/10/2023"/>
        <filter val="KHI/HO/D/MO/PD COMP/E/33832/10/2023"/>
        <filter val="KHI/HO/D/MO/PD COMP/E/33833/10/2023"/>
        <filter val="KHI/HO/D/MO/PD COMP/E/33834/10/2023"/>
        <filter val="KHI/HO/D/MO/PD COMP/E/33836/10/2023"/>
        <filter val="KHI/HO/D/MO/PD COMP/E/33840/10/2023"/>
        <filter val="KHI/HO/D/MO/PD COMP/E/33843/10/2023"/>
        <filter val="KHI/HO/D/MO/PD COMP/E/33845/10/2023"/>
        <filter val="KHI/HO/D/MO/PD COMP/E/33847/10/2023"/>
        <filter val="KHI/HO/D/MO/PD COMP/E/33850/10/2023"/>
        <filter val="KHI/HO/D/MO/PD COMP/E/33854/10/2023"/>
        <filter val="KHI/HO/D/MO/PD COMP/E/33857/10/2023"/>
        <filter val="KHI/HO/D/MO/PD COMP/E/33863/10/2023"/>
        <filter val="KHI/HO/D/MO/PD COMP/E/33874/10/2023"/>
        <filter val="KHI/HO/D/MO/PD COMP/E/33875/10/2023"/>
        <filter val="KHI/HO/D/MO/PD COMP/E/33879/10/2023"/>
        <filter val="KHI/HO/D/MO/PD COMP/E/33881/10/2023"/>
        <filter val="KHI/HO/D/MO/PD COMP/E/33886/10/2023"/>
        <filter val="KHI/HO/D/MO/PD COMP/E/33887/10/2023"/>
        <filter val="KHI/HO/D/MO/PD COMP/E/33890/10/2023"/>
        <filter val="KHI/HO/D/MO/PD COMP/E/33927/10/2023"/>
        <filter val="KHI/HO/D/MO/PD COMP/E/34122/11/2023"/>
        <filter val="KHI/HO/D/MO/PD COMP/E/34190/11/2023"/>
        <filter val="KHI/HO/D/MO/PD COMP/E/34228/11/2023"/>
        <filter val="KHI/HO/D/MO/PD COMP/E/34265/11/2023"/>
        <filter val="KHI/HO/D/MO/PD COMP/E/34270/11/2023"/>
        <filter val="KHI/HO/D/MO/PD COMP/E/34284/11/2023"/>
        <filter val="KHI/HO/D/MO/PD COMP/E/34317/11/2023"/>
        <filter val="KHI/HO/D/MO/PD COMP/E/34384/11/2023"/>
        <filter val="KHI/HO/D/MO/PD COMP/E/34390/11/2023"/>
        <filter val="KHI/HO/D/MO/PD COMP/E/34471/11/2023"/>
        <filter val="KHI/HO/D/MO/PD COMP/E/34565/11/2023"/>
        <filter val="KHI/HO/D/MO/PD COMP/E/34616/11/2023"/>
        <filter val="KHI/HO/D/MO/PD COMP/E/34618/11/2023"/>
        <filter val="KHI/HO/D/MO/PD COMP/E/34624/11/2023"/>
        <filter val="KHI/HO/D/MO/PD COMP/E/34731/12/2023"/>
        <filter val="KHI/HO/D/MO/PD COMP/E/34876/12/2023"/>
        <filter val="KHI/HO/D/MO/PD COMP/E/34877/12/2023"/>
        <filter val="KHI/HO/D/MO/PD COMP/E/34878/12/2023"/>
        <filter val="KHI/HO/D/MO/PD COMP/E/34879/12/2023"/>
        <filter val="KHI/HO/D/MO/PD COMP/E/34880/12/2023"/>
        <filter val="KHI/HO/D/MO/PD COMP/E/34907/12/2023"/>
        <filter val="KHI/HO/D/MO/PD COMP/E/34984/12/2023"/>
        <filter val="KHI/HO/D/MO/PD COMP/E/35012/12/2023"/>
        <filter val="KHI/HO/D/MO/PD COMP/E/35018/12/2023"/>
        <filter val="KHI/HO/D/MO/PD COMP/E/35024/12/2023"/>
        <filter val="KHI/HO/D/MO/PD COMP/E/35050/12/2023"/>
        <filter val="KHI/HO/D/MO/PD COMP/E/35051/12/2023"/>
        <filter val="KHI/HO/D/MO/PD COMP/E/35156/12/2023"/>
        <filter val="KHI/HO/D/MO/PD COMP/E/35186/12/2023"/>
        <filter val="KHI/HO/D/MO/PD COMP/E/35192/12/2023"/>
        <filter val="KHI/HO/D/MO/PD COMP/E/35243/12/2023"/>
        <filter val="KHI/HO/D/MO/PD COMP/E/35283/12/2023"/>
        <filter val="KHI/HO/D/MO/PD COMP/E/35292/12/2023"/>
        <filter val="KHI/HO/D/MO/PD COMP/E/35330/12/2023"/>
        <filter val="KHI/HO/D/MO/PD COMP/E/35349/12/2023"/>
        <filter val="KHI/HO/D/MO/PD COMP/E/35354/12/2023"/>
        <filter val="KHI/HO/D/MO/PD COMP/E/35428/12/2023"/>
        <filter val="KHI/HO/D/MO/PD COMP/E/35451/12/2023"/>
        <filter val="KHI/HO/D/MO/PD COMP/E/35490/12/2023"/>
        <filter val="KHI/HO/D/MO/PD COMP/E/35493/12/2023"/>
        <filter val="KHI/HO/D/MO/PD COMP/E/35498/12/2023"/>
        <filter val="KHI/HO/D/MO/PD COMP/E/35499/12/2023"/>
        <filter val="KHI/HO/D/MO/PD COMP/E/35509/12/2023"/>
        <filter val="KHI/HO/D/MO/PD COMP/E/35521/12/2023"/>
        <filter val="KHI/HO/D/MO/PD COMP/E/35534/12/2023"/>
        <filter val="KHI/HO/D/MO/PD COMP/E/35568/12/2023"/>
        <filter val="KHI/HO/D/MO/PD COMP/E/35570/12/2023"/>
        <filter val="KHI/HO/D/MO/PD COMP/E/35574/12/2023"/>
        <filter val="KHI/HO/D/MO/PD COMP/E/35577/12/2023"/>
        <filter val="KHI/HO/D/MO/PD COMP/E/35579/12/2023"/>
        <filter val="KHI/HO/D/MO/PD COMP/E/35580/12/2023"/>
        <filter val="KHI/HO/D/MO/PD COMP/E/35583/12/2023"/>
        <filter val="KHI/HO/D/MO/PD COMP/E/35586/12/2023"/>
        <filter val="KHI/HO/D/MO/PD COMP/E/35588/12/2023"/>
        <filter val="KHI/HO/D/MO/PD COMP/E/35590/12/2023"/>
        <filter val="KHI/HO/D/MO/PD COMP/E/35602/12/2023"/>
        <filter val="KHI/HO/D/MO/PD COMP/E/35605/12/2023"/>
        <filter val="KHI/HO/D/MO/PD COMP/E/35606/12/2023"/>
        <filter val="KHI/HO/D/MO/PD COMP/E/35607/12/2023"/>
        <filter val="KHI/HO/D/MO/PD COMP/E/35608/12/2023"/>
        <filter val="KHI/HO/D/MO/PD COMP/E/35611/12/2023"/>
        <filter val="KHI/HO/D/MO/PD COMP/E/35624/12/2023"/>
        <filter val="KHI/HO/D/MO/PD COMP/E/35625/12/2023"/>
        <filter val="KHI/HO/D/MO/PD COMP/E/35633/12/2023"/>
        <filter val="KHI/HO/D/MO/PD COMP/E/35634/12/2023"/>
        <filter val="KHI/HO/D/MO/PD COMP/E/35636/12/2023"/>
        <filter val="KHI/HO/D/MO/PD COMP/E/35644/12/2023"/>
        <filter val="KHI/HO/D/MO/PD COMP/E/35647/12/2023"/>
        <filter val="KHI/HO/D/MO/PD COMP/E/35648/12/2023"/>
        <filter val="KHI/HO/D/MO/PD COMP/E/35650/12/2023"/>
        <filter val="KHI/HO/D/MO/PD COMP/E/35651/12/2023"/>
        <filter val="KHI/HO/D/MO/PD COMP/E/35655/12/2023"/>
        <filter val="KHI/HO/D/MO/PD COMP/E/35656/12/2023"/>
        <filter val="KHI/HO/D/MO/PD COMP/E/35661/12/2023"/>
        <filter val="KHI/HO/D/MO/PD COMP/E/35662/12/2023"/>
        <filter val="KHI/HO/D/MO/PD COMP/E/35697/12/2023"/>
        <filter val="KHI/HO/D/MO/PD COMP/E/35811/12/2023"/>
        <filter val="KHI/HO/D/MO/PD COMP/E/35812/12/2023"/>
        <filter val="KHI/HO/D/MO/PD COMP/E/35836/01/2024"/>
        <filter val="KHI/HO/D/MO/PD COMP/E/35853/01/2024"/>
        <filter val="KHI/HO/D/MO/PD COMP/E/35863/01/2024"/>
        <filter val="KHI/HO/D/MO/PD COMP/E/35864/01/2024"/>
        <filter val="KHI/HO/D/MO/PD COMP/E/35866/01/2024"/>
        <filter val="KHI/HO/D/MO/PD COMP/E/35869/01/2024"/>
        <filter val="KHI/HO/D/MO/PD COMP/E/35874/01/2024"/>
        <filter val="KHI/HO/D/MO/PD COMP/E/35881/01/2024"/>
        <filter val="KHI/HO/D/MO/PD COMP/E/35888/01/2024"/>
        <filter val="KHI/HO/D/MO/PD COMP/E/35924/01/2024"/>
        <filter val="KHI/HO/D/MO/PD COMP/E/35966/01/2024"/>
        <filter val="KHI/HO/D/MO/PD COMP/E/35992/01/2024"/>
        <filter val="KHI/HO/D/MO/PD COMP/E/36007/01/2024"/>
        <filter val="KHI/HO/D/MO/PD COMP/E/36076/01/2024"/>
        <filter val="KHI/HO/D/MO/PD COMP/E/36085/01/2024"/>
        <filter val="KHI/HO/D/MO/PD COMP/E/36106/01/2024"/>
        <filter val="KHI/HO/D/MO/PD COMP/E/36109/01/2024"/>
        <filter val="KHI/HO/D/MO/PD COMP/E/36131/01/2024"/>
        <filter val="KHI/HO/D/MO/PD COMP/E/36196/01/2024"/>
        <filter val="KHI/HO/D/MO/PD COMP/E/36228/01/2024"/>
        <filter val="KHI/HO/D/MO/PD COMP/E/36259/01/2024"/>
        <filter val="KHI/HO/D/MO/PD COMP/E/36266/01/2024"/>
        <filter val="KHI/HO/D/MO/PD COMP/E/36297/01/2024"/>
        <filter val="KHI/HO/D/MO/PD COMP/E/36299/01/2024"/>
        <filter val="KHI/HO/D/MO/PD COMP/E/36332/01/2024"/>
        <filter val="KHI/HO/D/MO/PD COMP/E/36342/01/2024"/>
        <filter val="KHI/HO/D/MO/PD COMP/E/36361/01/2024"/>
        <filter val="KHI/HO/D/MO/PD COMP/E/36396/01/2024"/>
        <filter val="KHI/HO/D/MO/PD COMP/E/36397/01/2024"/>
        <filter val="KHI/HO/D/MO/PD COMP/E/36459/01/2024"/>
        <filter val="KHI/HO/D/MO/PD COMP/E/36488/01/2024"/>
        <filter val="KHI/HO/D/MO/PD COMP/E/36532/01/2024"/>
        <filter val="KHI/HO/D/MO/PD COMP/E/36533/01/2024"/>
        <filter val="KHI/HO/D/MO/PD COMP/E/36534/01/2024"/>
        <filter val="KHI/HO/D/MO/PD COMP/E/36535/01/2024"/>
        <filter val="KHI/HO/D/MO/PD COMP/E/36587/01/2024"/>
        <filter val="KHI/HO/D/MO/PD COMP/E/36588/01/2024"/>
        <filter val="KHI/HO/D/MO/PD COMP/E/36594/01/2024"/>
        <filter val="KHI/HO/D/MO/PD COMP/E/36611/01/2024"/>
        <filter val="KHI/HO/D/MO/PD COMP/E/36619/01/2024"/>
        <filter val="KHI/HO/D/MO/PD COMP/E/36719/01/2024"/>
        <filter val="KHI/HO/D/MO/PD COMP/E/36735/01/2024"/>
        <filter val="KHI/HO/D/MO/PD COMP/E/36749/01/2024"/>
        <filter val="KHI/HO/D/MO/PD COMP/E/36774/02/2024"/>
        <filter val="KHI/HO/D/MO/PD COMP/E/36854/02/2024"/>
        <filter val="KHI/HO/D/MO/PD COMP/E/36855/02/2024"/>
        <filter val="KHI/HO/D/MO/PD COMP/E/36861/02/2024"/>
        <filter val="KHI/HO/D/MO/PD COMP/E/36883/02/2024"/>
        <filter val="KHI/HO/D/MO/PD COMP/E/36885/02/2024"/>
        <filter val="KHI/HO/D/MO/PD COMP/E/36909/02/2024"/>
        <filter val="KHI/HO/D/MO/PD COMP/E/36912/02/2024"/>
        <filter val="KHI/HO/D/MO/PD COMP/E/36913/02/2024"/>
        <filter val="KHI/HO/D/MO/PD COMP/E/36929/02/2024"/>
        <filter val="KHI/HO/D/MO/PD COMP/E/36948/02/2024"/>
        <filter val="KHI/HO/D/MO/PD COMP/E/36956/02/2024"/>
        <filter val="KHI/HO/D/MO/PD COMP/E/36970/02/2024"/>
        <filter val="KHI/HO/D/MO/PD COMP/E/36973/02/2024"/>
        <filter val="KHI/HO/D/MO/PD COMP/E/37027/02/2024"/>
        <filter val="KHI/HO/D/MO/PD COMP/E/37063/02/2024"/>
        <filter val="KHI/HO/D/MO/PD COMP/E/37076/02/2024"/>
        <filter val="KHI/HO/D/MO/PD COMP/E/37085/02/2024"/>
        <filter val="KHI/HO/D/MO/PD COMP/E/37105/02/2024"/>
        <filter val="KHI/HO/D/MO/PD COMP/E/37109/02/2024"/>
        <filter val="KHI/HO/D/MO/PD COMP/E/37111/02/2024"/>
        <filter val="KHI/HO/D/MO/PD COMP/E/37234/02/2024"/>
        <filter val="KHI/HO/D/MO/PD COMP/E/37284/02/2024"/>
        <filter val="KHI/HO/D/MO/PD COMP/E/37347/02/2024"/>
        <filter val="KHI/HO/D/MO/PD COMP/E/37348/02/2024"/>
        <filter val="KHI/HO/D/MO/PD COMP/E/37379/02/2024"/>
        <filter val="KHI/HO/D/MO/PD COMP/E/37420/02/2024"/>
        <filter val="KHI/HO/D/MO/PD COMP/E/37434/02/2024"/>
        <filter val="KHI/HO/D/MO/PD COMP/E/37436/02/2024"/>
        <filter val="KHI/HO/D/MO/PD COMP/E/37445/02/2024"/>
        <filter val="KHI/HO/D/MO/PD COMP/E/37452/02/2024"/>
        <filter val="KHI/HO/D/MO/PD COMP/E/37461/02/2024"/>
        <filter val="KHI/HO/D/MO/PD COMP/E/37464/02/2024"/>
        <filter val="KHI/HO/D/MO/PD COMP/E/37472/02/2024"/>
        <filter val="KHI/HO/D/MO/PD COMP/E/37616/03/2024"/>
        <filter val="KHI/HO/D/MO/PD COMP/E/37620/03/2024"/>
        <filter val="KHI/HO/D/MO/PD COMP/E/37621/03/2024"/>
        <filter val="KHI/HO/D/MO/PD COMP/E/37673/03/2024"/>
        <filter val="KHI/HO/D/MO/PD COMP/E/37691/03/2024"/>
        <filter val="KHI/HO/D/MO/PD COMP/E/37692/03/2024"/>
        <filter val="KHI/HO/D/MO/PD COMP/E/37706/03/2024"/>
        <filter val="KHI/HO/D/MO/PD COMP/E/37742/03/2024"/>
        <filter val="KHI/HO/D/MO/PD COMP/E/37749/03/2024"/>
        <filter val="KHI/HO/D/MO/PD COMP/E/37751/03/2024"/>
        <filter val="KHI/HO/D/MO/PD COMP/E/37754/03/2024"/>
        <filter val="KHI/HO/D/MO/PD COMP/E/37757/03/2024"/>
        <filter val="KHI/HO/D/MO/PD COMP/E/37758/03/2024"/>
        <filter val="KHI/HO/D/MO/PD COMP/E/37795/03/2024"/>
        <filter val="KHI/HO/D/MO/PD COMP/E/37796/03/2024"/>
        <filter val="KHI/HO/D/MO/PD COMP/E/37799/03/2024"/>
        <filter val="KHI/HO/D/MO/PD COMP/E/37822/03/2024"/>
        <filter val="KHI/HO/D/MO/PD COMP/E/37823/03/2024"/>
        <filter val="KHI/HO/D/MO/PD COMP/E/37824/03/2024"/>
        <filter val="KHI/HO/D/MO/PD COMP/E/37841/03/2024"/>
        <filter val="KHI/HO/D/MO/PD COMP/E/37844/03/2024"/>
        <filter val="KHI/HO/D/MO/PD COMP/E/37849/03/2024"/>
        <filter val="KHI/HO/D/MO/PD COMP/E/37851/03/2024"/>
        <filter val="KHI/HO/D/MO/PD COMP/E/37888/03/2024"/>
        <filter val="KHI/HO/D/MO/PD COMP/E/37894/03/2024"/>
        <filter val="KHI/HO/D/MO/PD COMP/E/37926/03/2024"/>
        <filter val="KHI/HO/D/MO/PD COMP/E/37983/03/2024"/>
        <filter val="KHI/HO/D/MO/PD COMP/E/37984/03/2024"/>
        <filter val="KHI/HO/D/MO/PD COMP/E/37985/03/2024"/>
        <filter val="KHI/HO/D/MO/PD COMP/E/37999/03/2024"/>
        <filter val="KHI/HO/D/MO/PD COMP/E/38024/03/2024"/>
        <filter val="KHI/HO/D/MO/PD COMP/E/38039/03/2024"/>
        <filter val="KHI/HO/D/MO/PD COMP/E/38053/03/2024"/>
        <filter val="KHI/HO/D/MO/PD COMP/E/38084/03/2024"/>
        <filter val="KHI/HO/D/MO/PD COMP/E/38088/03/2024"/>
        <filter val="KHI/HO/D/MO/PD COMP/E/38092/03/2024"/>
        <filter val="KHI/HO/D/MO/PD COMP/E/38118/03/2024"/>
        <filter val="KHI/HO/D/MO/PD COMP/E/38120/03/2024"/>
        <filter val="KHI/HO/D/MO/PD COMP/E/38227/03/2024"/>
        <filter val="KHI/HO/D/MO/PD COMP/E/38246/03/2024"/>
        <filter val="KHI/HO/D/MO/PD COMP/E/38248/03/2024"/>
        <filter val="KHI/HO/D/MO/PD COMP/E/38254/03/2024"/>
        <filter val="KHI/HO/D/MO/PD COMP/E/38258/03/2024"/>
        <filter val="KHI/HO/D/MO/PD COMP/E/38279/03/2024"/>
        <filter val="KHI/HO/D/MO/PD COMP/E/38282/03/2024"/>
        <filter val="KHI/HO/D/MO/PD COMP/E/38285/03/2024"/>
        <filter val="KHI/HO/D/MO/PD COMP/E/38293/03/2024"/>
        <filter val="KHI/HO/D/MO/PD COMP/E/38295/03/2024"/>
        <filter val="KHI/HO/D/MO/PD COMP/E/38305/03/2024"/>
        <filter val="KHI/HO/D/MO/PD COMP/E/38310/03/2024"/>
        <filter val="KHI/HO/D/MO/PD COMP/E/38333/03/2024"/>
        <filter val="KHI/HO/D/MO/PD COMP/E/38368/03/2024"/>
        <filter val="KHI/HO/D/MO/PD COMP/E/38372/03/2024"/>
        <filter val="KHI/HO/D/MO/PD COMP/E/38373/03/2024"/>
        <filter val="KHI/HO/D/MO/PD COMP/E/38378/03/2024"/>
        <filter val="KHI/HO/D/MO/PD COMP/E/38388/03/2024"/>
        <filter val="KHI/HO/D/MO/PD COMP/E/38398/03/2024"/>
        <filter val="KHI/HO/D/MO/PD COMP/E/38405/03/2024"/>
        <filter val="KHI/HO/D/MO/PD COMP/E/38406/03/2024"/>
        <filter val="KHI/HO/D/MO/PD COMP/E/38409/03/2024"/>
        <filter val="KHI/HO/D/MO/PD COMP/E/38410/03/2024"/>
        <filter val="KHI/HO/D/MO/PD COMP/E/38443/03/2024"/>
        <filter val="KHI/HO/D/MO/PD COMP/E/38482/04/2024"/>
        <filter val="KHI/HO/D/MO/PD COMP/E/38483/04/2024"/>
        <filter val="KHI/HO/D/MO/PD COMP/E/38484/04/2024"/>
        <filter val="KHI/HO/D/MO/PD COMP/E/38490/04/2024"/>
        <filter val="KHI/HO/D/MO/PD COMP/E/38495/04/2024"/>
        <filter val="KHI/HO/D/MO/PD COMP/E/38496/04/2024"/>
        <filter val="KHI/HO/D/MO/PD COMP/E/38523/04/2024"/>
        <filter val="KHI/HO/D/MO/PD COMP/E/38538/04/2024"/>
        <filter val="KHI/HO/D/MO/PD COMP/E/38539/04/2024"/>
        <filter val="KHI/HO/D/MO/PD COMP/E/38574/04/2024"/>
        <filter val="KHI/HO/D/MO/PD COMP/E/38577/04/2024"/>
        <filter val="KHI/HO/D/MO/PD COMP/E/40483/04/2024"/>
        <filter val="KHI/HO/D/MO/PD COMP/E/40484/04/2024"/>
        <filter val="KHI/HO/D/MO/PD COMP/E/40493/04/2024"/>
        <filter val="KHI/HO/D/MO/PD COMP/E/40513/04/2024"/>
        <filter val="KHI/HO/D/MO/PD COMP/E/40517/04/2024"/>
        <filter val="KHI/HO/D/MO/PD COMP/E/40521/04/2024"/>
        <filter val="KHI/HO/D/MO/PD COMP/E/40524/04/2024"/>
        <filter val="KHI/HO/D/MO/PD COMP/E/40525/04/2024"/>
        <filter val="KHI/HO/D/MO/PD COMP/E/40545/04/2024"/>
        <filter val="KHI/HO/D/MO/PD COMP/E/40546/04/2024"/>
        <filter val="KHI/HO/D/MO/PD COMP/E/40548/04/2024"/>
        <filter val="KHI/HO/D/MO/PD COMP/E/40549/04/2024"/>
        <filter val="KHI/HO/D/MO/PD COMP/E/40554/04/2024"/>
        <filter val="KHI/HO/D/MO/PD COMP/E/40559/04/2024"/>
        <filter val="KHI/HO/D/MO/PD COMP/E/40560/04/2024"/>
        <filter val="KHI/HO/D/MO/PD COMP/E/40562/04/2024"/>
        <filter val="KHI/HO/D/MO/PD COMP/E/40563/04/2024"/>
        <filter val="KHI/HO/D/MO/PD COMP/E/40566/04/2024"/>
        <filter val="KHI/HO/D/MO/PD COMP/E/40567/04/2024"/>
        <filter val="KHI/HO/D/MO/PD COMP/E/40568/04/2024"/>
        <filter val="KHI/HO/D/MO/PD COMP/E/40577/04/2024"/>
        <filter val="KHI/HO/D/MO/PD COMP/E/40578/04/2024"/>
        <filter val="KHI/HO/D/MO/PD COMP/E/40583/04/2024"/>
        <filter val="KHI/HO/D/MO/PD COMP/E/40586/04/2024"/>
        <filter val="KHI/HO/D/MO/PD COMP/E/40596/04/2024"/>
        <filter val="KHI/HO/D/MO/PD COMP/E/40611/04/2024"/>
        <filter val="KHI/HO/D/MO/PD COMP/E/40619/04/2024"/>
        <filter val="KHI/HO/D/MO/PD COMP/E/40627/04/2024"/>
        <filter val="KHI/HO/D/MO/PD COMP/E/40635/04/2024"/>
        <filter val="KHI/HO/D/MO/PD COMP/E/40644/04/2024"/>
        <filter val="KHI/HO/D/MO/PD COMP/E/40648/04/2024"/>
        <filter val="KHI/HO/D/MO/PD COMP/E/40649/04/2024"/>
        <filter val="KHI/HO/D/MO/PD COMP/E/40652/04/2024"/>
        <filter val="KHI/HO/D/MO/PD COMP/E/40654/04/2024"/>
        <filter val="KHI/HO/D/MO/PD COMP/E/40663/04/2024"/>
        <filter val="KHI/HO/D/MO/PD COMP/E/40666/04/2024"/>
        <filter val="KHI/HO/D/MO/PD COMP/E/40667/04/2024"/>
        <filter val="KHI/HO/D/MO/PD COMP/E/40679/04/2024"/>
        <filter val="KHI/HO/D/MO/PD COMP/E/40696/04/2024"/>
        <filter val="KHI/HO/D/MO/PD COMP/E/40702/04/2024"/>
        <filter val="KHI/HO/D/MO/PD COMP/E/40740/04/2024"/>
        <filter val="KHI/HO/D/MO/PD COMP/E/40742/04/2024"/>
        <filter val="KHI/HO/D/MO/PD COMP/E/40750/04/2024"/>
        <filter val="KHI/HO/D/MO/PD COMP/E/40763/04/2024"/>
        <filter val="KHI/HO/D/MO/PD COMP/E/40765/04/2024"/>
        <filter val="KHI/HO/D/MO/PD COMP/E/40767/04/2024"/>
        <filter val="KHI/HO/D/MO/PD COMP/E/40778/04/2024"/>
        <filter val="KHI/HO/D/MO/PD COMP/E/40808/04/2024"/>
        <filter val="KHI/HO/D/MO/PD COMP/E/40814/04/2024"/>
        <filter val="KHI/HO/D/MO/PD COMP/E/40816/04/2024"/>
        <filter val="KHI/HO/D/MO/PD COMP/E/40818/04/2024"/>
        <filter val="KHI/HO/D/MO/PD COMP/E/40821/04/2024"/>
        <filter val="KHI/HO/D/MO/PD COMP/E/40822/04/2024"/>
        <filter val="KHI/HO/D/MO/PD COMP/E/40833/04/2024"/>
        <filter val="KHI/HO/D/MO/PD COMP/E/40840/04/2024"/>
        <filter val="KHI/HO/D/MO/PD COMP/E/40842/04/2024"/>
        <filter val="KHI/HO/D/MO/PD COMP/E/40843/04/2024"/>
        <filter val="KHI/HO/D/MO/PD COMP/E/40844/04/2024"/>
        <filter val="KHI/HO/D/MO/PD COMP/E/40846/04/2024"/>
        <filter val="KHI/HO/D/MO/PD COMP/E/40855/04/2024"/>
        <filter val="KHI/HO/D/MO/PD COMP/E/40862/04/2024"/>
        <filter val="KHI/HO/D/MO/PD COMP/E/40870/04/2024"/>
        <filter val="KHI/HO/D/MO/PD COMP/E/40883/04/2024"/>
        <filter val="KHI/HO/D/MO/PD COMP/E/40884/04/2024"/>
        <filter val="KHI/HO/D/MO/PD COMP/E/40888/04/2024"/>
        <filter val="KHI/HO/D/MO/PD COMP/E/40892/04/2024"/>
        <filter val="KHI/HO/D/MO/PD COMP/E/40909/04/2024"/>
        <filter val="KHI/HO/D/MO/PD COMP/E/40911/04/2024"/>
        <filter val="KHI/HO/D/MO/PD COMP/E/40912/04/2024"/>
        <filter val="KHI/HO/D/MO/PD COMP/E/40944/04/2024"/>
        <filter val="KHI/HO/D/MO/PD COMP/E/40948/04/2024"/>
        <filter val="KHI/HO/D/MO/PD COMP/E/40955/04/2024"/>
        <filter val="KHI/HO/D/MO/PD COMP/E/40970/04/2024"/>
        <filter val="KHI/HO/D/MO/PD COMP/E/40976/04/2024"/>
        <filter val="KHI/HO/D/MO/PD COMP/E/40977/04/2024"/>
        <filter val="KHI/HO/D/MO/PD COMP/E/40985/04/2024"/>
        <filter val="KHI/HO/D/MO/PD COMP/E/40986/04/2024"/>
        <filter val="KHI/HO/D/MO/PD COMP/E/40989/04/2024"/>
        <filter val="KHI/HO/D/MO/PD COMP/E/40992/04/2024"/>
        <filter val="KHI/HO/D/MO/PD COMP/E/40995/04/2024"/>
        <filter val="KHI/HO/D/MO/PD COMP/E/41001/04/2024"/>
        <filter val="KHI/HO/D/MO/PD COMP/E/41005/04/2024"/>
        <filter val="KHI/HO/D/MO/PD COMP/E/41011/04/2024"/>
        <filter val="KHI/HO/D/MO/PD COMP/E/41012/04/2024"/>
        <filter val="KHI/HO/D/MO/PD COMP/E/41032/04/2024"/>
        <filter val="KHI/HO/D/MO/PD COMP/E/41037/04/2024"/>
        <filter val="KHI/HO/D/MO/PD COMP/E/41052/04/2024"/>
        <filter val="KHI/HO/D/MO/PD COMP/E/41057/04/2024"/>
        <filter val="KHI/HO/D/MO/PD COMP/E/41060/04/2024"/>
        <filter val="KHI/HO/D/MO/PD COMP/E/41088/04/2024"/>
        <filter val="KHI/HO/D/MO/PD COMP/E/41091/04/2024"/>
        <filter val="KHI/HO/D/MO/PD COMP/E/41093/04/2024"/>
        <filter val="KHI/HO/D/MO/PD COMP/E/41094/04/2024"/>
        <filter val="KHI/HO/D/MO/PD COMP/E/41098/04/2024"/>
        <filter val="KHI/HO/D/MO/PD COMP/E/41102/04/2024"/>
        <filter val="KHI/HO/D/MO/PD COMP/E/41111/04/2024"/>
        <filter val="KHI/HO/D/MO/PD COMP/E/41116/04/2024"/>
        <filter val="KHI/HO/D/MO/PD COMP/E/41121/04/2024"/>
        <filter val="KHI/HO/D/MO/PD COMP/E/41122/04/2024"/>
        <filter val="KHI/HO/D/MO/PD COMP/E/41123/04/2024"/>
        <filter val="KHI/HO/D/MO/PD COMP/E/41126/04/2024"/>
        <filter val="KHI/HO/D/MO/PD COMP/E/41138/04/2024"/>
        <filter val="KHI/HO/D/MO/PD COMP/E/41143/04/2024"/>
        <filter val="KHI/HO/D/MO/PD COMP/E/41144/04/2024"/>
        <filter val="KHI/HO/D/MO/PD COMP/E/41169/04/2024"/>
        <filter val="KHI/HO/D/MO/PD COMP/E/41171/04/2024"/>
        <filter val="KHI/HO/D/MO/PD COMP/E/41174/04/2024"/>
        <filter val="KHI/HO/D/MO/PD COMP/E/41190/04/2024"/>
        <filter val="KHI/HO/D/MO/PD COMP/E/41191/04/2024"/>
        <filter val="KHI/HO/D/MO/PD COMP/E/41192/04/2024"/>
        <filter val="KHI/HO/D/MO/PD COMP/E/41193/04/2024"/>
        <filter val="KHI/HO/D/MO/PD COMP/E/41194/04/2024"/>
        <filter val="KHI/HO/D/MO/PD COMP/E/41196/04/2024"/>
        <filter val="KHI/HO/D/MO/PD COMP/E/41207/04/2024"/>
        <filter val="KHI/HO/D/MO/PD COMP/E/41208/04/2024"/>
        <filter val="KHI/HO/D/MO/PD COMP/E/41209/04/2024"/>
        <filter val="KHI/HO/D/MO/PD COMP/E/41216/04/2024"/>
        <filter val="KHI/HO/D/MO/PD COMP/E/41222/04/2024"/>
        <filter val="KHI/HO/D/MO/PD COMP/E/41224/04/2024"/>
        <filter val="KHI/HO/D/MO/PD COMP/E/41230/05/2024"/>
        <filter val="KHI/HO/D/MO/PD COMP/E/41238/05/2024"/>
        <filter val="KHI/HO/D/MO/PD COMP/E/41267/05/2024"/>
        <filter val="KHI/HO/D/MO/PD COMP/E/41276/05/2024"/>
        <filter val="KHI/HO/D/MO/PD COMP/E/41277/05/2024"/>
        <filter val="KHI/HO/D/MO/PD COMP/E/41278/05/2024"/>
        <filter val="KHI/HO/D/MO/PD COMP/E/41279/05/2024"/>
        <filter val="KHI/HO/D/MO/PD COMP/E/41287/05/2024"/>
        <filter val="KHI/HO/D/MO/PD COMP/E/41443/05/2024"/>
        <filter val="KHI/HO/D/MO/PD COMP/E/41446/05/2024"/>
        <filter val="KHI/HO/D/MO/PD COMP/E/41449/05/2024"/>
        <filter val="KHI/HO/D/MO/PD COMP/E/41450/05/2024"/>
        <filter val="KHI/HO/D/MO/PD COMP/E/41456/05/2024"/>
        <filter val="KHI/HO/D/MO/PD COMP/E/41461/05/2024"/>
        <filter val="KHI/HO/D/MO/PD COMP/E/41471/05/2024"/>
        <filter val="KHI/HO/D/MO/PD COMP/E/41474/05/2024"/>
        <filter val="KHI/HO/D/MO/PD COMP/E/41482/05/2024"/>
        <filter val="KHI/HO/D/MO/PD COMP/E/41483/05/2024"/>
        <filter val="KHI/HO/D/MO/PD COMP/E/41485/05/2024"/>
        <filter val="KHI/HO/D/MO/PD COMP/E/41489/05/2024"/>
        <filter val="KHI/HO/D/MO/PD COMP/E/41493/05/2024"/>
        <filter val="KHI/HO/D/MO/PD COMP/E/41494/05/2024"/>
        <filter val="KHI/HO/D/MO/PD COMP/E/41499/05/2024"/>
        <filter val="KHI/HO/D/MO/PD COMP/E/41500/05/2024"/>
        <filter val="KHI/HO/D/MO/PD COMP/E/41506/05/2024"/>
        <filter val="KHI/HO/D/MO/PD COMP/E/41512/05/2024"/>
        <filter val="KHI/HO/D/MO/PD COMP/E/41522/05/2024"/>
        <filter val="KHI/HO/D/MO/PD COMP/E/41541/05/2024"/>
        <filter val="KHI/HO/D/MO/PD COMP/E/41550/05/2024"/>
        <filter val="KHI/HO/D/MO/PD COMP/E/41551/05/2024"/>
        <filter val="KHI/HO/D/MO/PD COMP/E/41582/05/2024"/>
        <filter val="KHI/HO/D/MO/PD COMP/E/41586/05/2024"/>
        <filter val="KHI/HO/D/MO/PD COMP/E/41588/05/2024"/>
        <filter val="KHI/HO/D/MO/PD COMP/E/41589/05/2024"/>
        <filter val="KHI/HO/D/MO/PD COMP/E/41590/05/2024"/>
        <filter val="KHI/HO/D/MO/PD COMP/E/41593/05/2024"/>
        <filter val="KHI/HO/D/MO/PD COMP/E/41598/05/2024"/>
        <filter val="KHI/HO/D/MO/PD COMP/E/41601/05/2024"/>
        <filter val="KHI/HO/D/MO/PD COMP/E/41605/05/2024"/>
        <filter val="KHI/HO/D/MO/PD COMP/E/41613/05/2024"/>
        <filter val="KHI/HO/D/MO/PD COMP/E/41617/05/2024"/>
        <filter val="KHI/HO/D/MO/PD COMP/E/41631/05/2024"/>
        <filter val="KHI/HO/D/MO/PD COMP/E/41653/05/2024"/>
        <filter val="KHI/HO/D/MO/PD COMP/E/41654/05/2024"/>
        <filter val="KHI/HO/D/MO/PD COMP/E/41656/05/2024"/>
        <filter val="KHI/HO/D/MO/PD COMP/E/41691/05/2024"/>
        <filter val="KHI/HO/D/MO/PD COMP/E/41693/05/2024"/>
        <filter val="KHI/HO/D/MO/PD COMP/E/41714/05/2024"/>
        <filter val="KHI/HO/D/MO/PD COMP/E/41716/05/2024"/>
        <filter val="KHI/HO/D/MO/PD COMP/E/41727/05/2024"/>
        <filter val="KHI/HO/D/MO/PD COMP/E/41735/05/2024"/>
        <filter val="KHI/HO/D/MO/PD COMP/E/41748/05/2024"/>
        <filter val="KHI/HO/D/MO/PD COMP/E/41752/05/2024"/>
        <filter val="KHI/HO/D/MO/PD COMP/E/41754/05/2024"/>
        <filter val="KHI/HO/D/MO/PD COMP/E/41757/05/2024"/>
        <filter val="KHI/HO/D/MO/PD COMP/E/41758/05/2024"/>
        <filter val="KHI/HO/D/MO/PD COMP/E/41759/05/2024"/>
        <filter val="KHI/HO/D/MO/PD COMP/E/41762/05/2024"/>
        <filter val="KHI/HO/D/MO/PD COMP/E/41768/05/2024"/>
        <filter val="KHI/HO/D/MO/PD COMP/E/41769/05/2024"/>
        <filter val="KHI/HO/D/MO/PD COMP/E/41772/05/2024"/>
        <filter val="KHI/HO/D/MO/PD COMP/E/41776/05/2024"/>
        <filter val="KHI/HO/D/MO/PD COMP/E/41805/05/2024"/>
        <filter val="KHI/HO/D/MO/PD COMP/E/41807/05/2024"/>
        <filter val="KHI/HO/D/MO/PD COMP/E/41809/05/2024"/>
        <filter val="KHI/HO/D/MO/PD COMP/E/41810/05/2024"/>
        <filter val="KHI/HO/D/MO/PD COMP/E/41817/05/2024"/>
        <filter val="KHI/HO/D/MO/PD COMP/E/41858/05/2024"/>
        <filter val="KHI/HO/D/MO/PD COMP/E/41865/05/2024"/>
        <filter val="KHI/HO/D/MO/PD COMP/E/41867/05/2024"/>
        <filter val="KHI/HO/D/MO/PD COMP/E/41901/05/2024"/>
        <filter val="KHI/HO/D/MO/PD COMP/E/41902/05/2024"/>
        <filter val="KHI/HO/D/MO/PD COMP/E/41905/05/2024"/>
        <filter val="KHI/HO/D/MO/PD COMP/E/41908/05/2024"/>
        <filter val="KHI/HO/D/MO/PD COMP/E/41911/05/2024"/>
        <filter val="KHI/HO/D/MO/PD COMP/E/41917/05/2024"/>
        <filter val="KHI/HO/D/MO/PD COMP/E/41919/05/2024"/>
        <filter val="KHI/HO/D/MO/PD COMP/E/41932/05/2024"/>
        <filter val="KHI/HO/D/MO/PD COMP/E/41933/05/2024"/>
        <filter val="KHI/HO/D/MO/PD COMP/E/41949/05/2024"/>
        <filter val="KHI/HO/D/MO/PD COMP/E/41954/05/2024"/>
        <filter val="KHI/HO/D/MO/PD COMP/E/41960/05/2024"/>
        <filter val="KHI/HO/D/MO/PD COMP/E/41961/05/2024"/>
        <filter val="KHI/HO/D/MO/PD COMP/E/41965/05/2024"/>
        <filter val="KHI/HO/D/MO/PD COMP/E/41979/05/2024"/>
        <filter val="KHI/HO/D/MO/PD COMP/E/41981/05/2024"/>
        <filter val="KHI/HO/D/MO/PD COMP/E/41989/05/2024"/>
        <filter val="KHI/HO/D/MO/PD COMP/E/41997/05/2024"/>
        <filter val="KHI/HO/D/MO/PD COMP/E/42005/05/2024"/>
        <filter val="KHI/HO/D/MO/PD COMP/E/42008/05/2024"/>
        <filter val="KHI/HO/D/MO/PD COMP/E/42011/05/2024"/>
        <filter val="KHI/HO/D/MO/PD COMP/E/42013/05/2024"/>
        <filter val="KHI/HO/D/MO/PD COMP/E/42014/05/2024"/>
        <filter val="KHI/HO/D/MO/PD COMP/E/42017/05/2024"/>
        <filter val="KHI/HO/D/MO/PD COMP/E/42028/05/2024"/>
        <filter val="KHI/HO/D/MO/PD COMP/E/42029/05/2024"/>
        <filter val="KHI/HO/D/MO/PD COMP/E/42030/05/2024"/>
        <filter val="KHI/HO/D/MO/PD COMP/E/42031/05/2024"/>
        <filter val="KHI/HO/D/MO/PD COMP/E/42032/05/2024"/>
        <filter val="KHI/HO/D/MO/PD COMP/E/42053/05/2024"/>
        <filter val="KHI/HO/D/MO/PD COMP/E/42054/05/2024"/>
        <filter val="KHI/HO/D/MO/PD COMP/E/42055/05/2024"/>
        <filter val="KHI/HO/D/MO/PD COMP/E/42073/05/2024"/>
        <filter val="KHI/HO/D/MO/PD COMP/E/42074/05/2024"/>
        <filter val="KHI/HO/D/MO/PD COMP/E/42075/05/2024"/>
        <filter val="KHI/HO/D/MO/PD COMP/E/42078/05/2024"/>
        <filter val="KHI/HO/D/MO/PD COMP/E/42081/05/2024"/>
        <filter val="KHI/HO/D/MO/PD COMP/E/42086/05/2024"/>
        <filter val="KHI/HO/D/MO/PD COMP/E/42128/05/2024"/>
        <filter val="KHI/HO/D/MO/PD COMP/E/42137/05/2024"/>
        <filter val="KHI/HO/D/MO/PD COMP/E/42138/05/2024"/>
        <filter val="KHI/HO/D/MO/PD COMP/E/42147/05/2024"/>
        <filter val="KHI/HO/D/MO/PD COMP/E/42149/05/2024"/>
        <filter val="KHI/HO/D/MO/PD COMP/E/42150/05/2024"/>
        <filter val="KHI/HO/D/MO/PD COMP/E/42178/06/2024"/>
        <filter val="KHI/HO/D/MO/PD COMP/E/42179/06/2024"/>
        <filter val="KHI/HO/D/MO/PD COMP/E/42184/06/2024"/>
        <filter val="KHI/HO/D/MO/PD COMP/E/42189/06/2024"/>
        <filter val="KHI/HO/D/MO/PD COMP/E/42190/06/2024"/>
        <filter val="KHI/HO/D/MO/PD COMP/E/42200/06/2024"/>
        <filter val="KHI/HO/D/MO/PD COMP/E/42207/06/2024"/>
        <filter val="KHI/HO/D/MO/PD COMP/E/42209/06/2024"/>
        <filter val="KHI/HO/D/MO/PD COMP/E/42211/06/2024"/>
        <filter val="KHI/HO/D/MO/PD COMP/E/42212/06/2024"/>
        <filter val="KHI/HO/D/MO/PD COMP/E/42251/06/2024"/>
        <filter val="KHI/HO/D/MO/PD COMP/E/42270/06/2024"/>
        <filter val="KHI/HO/D/MO/PD COMP/E/42271/06/2024"/>
        <filter val="KHI/HO/D/MO/PD COMP/E/42279/06/2024"/>
        <filter val="KHI/HO/D/MO/PD COMP/E/42292/06/2024"/>
        <filter val="KHI/HO/D/MO/PD COMP/E/42295/06/2024"/>
        <filter val="KHI/HO/D/MO/PD COMP/E/42312/06/2024"/>
        <filter val="KHI/HO/D/MO/PD COMP/E/42318/06/2024"/>
        <filter val="KHI/HO/D/MO/PD COMP/E/42319/06/2024"/>
        <filter val="KHI/HO/D/MO/PD COMP/E/42320/06/2024"/>
        <filter val="KHI/HO/D/MO/PD COMP/E/42324/06/2024"/>
        <filter val="KHI/HO/D/MO/PD COMP/E/42326/06/2024"/>
        <filter val="KHI/HO/D/MO/PD COMP/E/42327/06/2024"/>
        <filter val="KHI/HO/D/MO/PD COMP/E/42330/06/2024"/>
        <filter val="KHI/HO/D/MO/PD COMP/E/42334/06/2024"/>
        <filter val="KHI/HO/D/MO/PD COMP/E/42337/06/2024"/>
        <filter val="KHI/HO/D/MO/PD COMP/E/42346/06/2024"/>
        <filter val="KHI/HO/D/MO/PD COMP/E/42376/06/2024"/>
        <filter val="KHI/HO/D/MO/PD COMP/E/42378/06/2024"/>
        <filter val="KHI/HO/D/MO/PD COMP/E/42416/06/2024"/>
        <filter val="KHI/HO/D/MO/PD COMP/E/42421/06/2024"/>
        <filter val="KHI/HO/D/MO/PD COMP/E/42422/06/2024"/>
        <filter val="KHI/HO/D/MO/PD COMP/E/42428/06/2024"/>
        <filter val="KHI/HO/D/MO/PD COMP/E/42434/06/2024"/>
        <filter val="KHI/HO/D/MO/PD COMP/E/42436/06/2024"/>
        <filter val="KHI/HO/D/MO/PD COMP/E/42439/06/2024"/>
        <filter val="KHI/HO/D/MO/PD COMP/E/42486/06/2024"/>
        <filter val="KHI/HO/D/MO/PD COMP/E/42488/06/2024"/>
        <filter val="KHI/HO/D/MO/PD COMP/E/42490/06/2024"/>
        <filter val="KHI/HO/D/MO/PD COMP/E/42527/06/2024"/>
        <filter val="KHI/HO/D/MO/PD COMP/E/42528/06/2024"/>
        <filter val="KHI/HO/D/MO/PD COMP/E/42529/06/2024"/>
        <filter val="KHI/HO/D/MO/PD COMP/E/42533/06/2024"/>
        <filter val="KHI/HO/D/MO/PD COMP/E/42536/06/2024"/>
        <filter val="KHI/HO/D/MO/PD COMP/E/42540/06/2024"/>
        <filter val="KHI/HO/D/MO/PD COMP/E/42541/06/2024"/>
        <filter val="KHI/HO/D/MO/PD COMP/E/42608/06/2024"/>
        <filter val="KHI/HO/D/MO/PD COMP/E/42619/06/2024"/>
        <filter val="KHI/HO/D/MO/PD COMP/E/42630/06/2024"/>
        <filter val="KHI/HO/D/MO/PD COMP/E/42634/06/2024"/>
        <filter val="KHI/HO/D/MO/PD COMP/E/42646/06/2024"/>
        <filter val="KHI/HO/D/MO/PD COMP/E/42686/06/2024"/>
        <filter val="KHI/HO/D/MO/PD COMP/E/42689/06/2024"/>
        <filter val="KHI/HO/D/MO/PD COMP/E/42691/06/2024"/>
        <filter val="KHI/HO/D/MO/PD COMP/E/42693/06/2024"/>
        <filter val="KHI/HO/D/MO/PD COMP/E/42696/06/2024"/>
        <filter val="KHI/HO/D/MO/PD COMP/E/42697/06/2024"/>
        <filter val="KHI/HO/D/MO/PD COMP/E/42698/06/2024"/>
        <filter val="KHI/HO/D/MO/PD COMP/E/42700/06/2024"/>
        <filter val="KHI/HO/D/MO/PD COMP/E/42706/06/2024"/>
        <filter val="KHI/HO/D/MO/PD COMP/E/42707/06/2024"/>
        <filter val="KHI/HO/D/MO/PD COMP/E/42714/06/2024"/>
        <filter val="KHI/HO/D/MO/PD COMP/E/42723/06/2024"/>
        <filter val="KHI/HO/D/MO/PD COMP/E/42724/06/2024"/>
        <filter val="KHI/HO/D/MO/PD COMP/E/42731/06/2024"/>
        <filter val="KHI/HO/D/MO/PD COMP/E/42734/06/2024"/>
        <filter val="KHI/HO/D/MO/PD COMP/E/42752/06/2024"/>
        <filter val="KHI/HO/D/MO/PD COMP/E/42754/06/2024"/>
        <filter val="KHI/HO/D/MO/PD COMP/E/42755/06/2024"/>
        <filter val="KHI/HO/D/MO/PD COMP/E/42758/06/2024"/>
        <filter val="KHI/HO/D/MO/PD COMP/E/42788/06/2024"/>
        <filter val="KHI/HO/D/MO/PD COMP/E/42790/06/2024"/>
        <filter val="KHI/HO/D/MO/PD COMP/E/42794/06/2024"/>
        <filter val="KHI/HO/D/MO/PD COMP/E/42797/06/2024"/>
        <filter val="KHI/HO/D/MO/PD COMP/E/42799/06/2024"/>
        <filter val="KHI/HO/D/MO/PD COMP/E/42837/06/2024"/>
        <filter val="KHI/HO/D/MO/PD COMP/E/42838/06/2024"/>
        <filter val="KHI/HO/D/MO/PD COMP/E/42840/06/2024"/>
        <filter val="KHI/HO/D/MO/PD COMP/E/42842/06/2024"/>
        <filter val="KHI/HO/D/MO/PD COMP/E/42848/06/2024"/>
        <filter val="KHI/HO/D/MO/PD COMP/E/42851/06/2024"/>
        <filter val="KHI/HO/D/MO/PD COMP/E/42857/06/2024"/>
        <filter val="KHI/HO/D/MO/PD COMP/E/42861/06/2024"/>
        <filter val="KHI/HO/D/MO/PD COMP/E/42896/06/2024"/>
        <filter val="KHI/HO/D/MO/PD COMP/E/42900/06/2024"/>
        <filter val="KHI/HO/D/MO/PD COMP/E/42909/06/2024"/>
        <filter val="KHI/HO/D/MO/PD COMP/E/42913/06/2024"/>
        <filter val="KHI/HO/D/MO/PD COMP/E/42918/06/2024"/>
        <filter val="KHI/HO/D/MO/PD COMP/E/42919/06/2024"/>
        <filter val="KHI/HO/D/MO/PD COMP/E/42923/06/2024"/>
        <filter val="KHI/HO/D/MO/PD COMP/E/42937/06/2024"/>
        <filter val="KHI/HO/D/MO/PD COMP/E/42938/06/2024"/>
        <filter val="KHI/HO/D/MO/PD COMP/E/42942/06/2024"/>
        <filter val="KHI/HO/D/MO/PD COMP/E/42946/06/2024"/>
        <filter val="KHI/HO/D/MO/PD COMP/E/42948/06/2024"/>
        <filter val="KHI/HO/D/MO/PD COMP/E/42964/06/2024"/>
        <filter val="KHI/HO/D/MO/PD COMP/E/42967/06/2024"/>
        <filter val="KHI/HO/D/MO/PD COMP/E/42969/06/2024"/>
        <filter val="KHI/HO/D/MO/PD COMP/E/42972/06/2024"/>
        <filter val="KHI/HO/D/MO/PD COMP/E/42979/06/2024"/>
        <filter val="KHI/HO/D/MO/PD COMP/E/42982/06/2024"/>
        <filter val="KHI/HO/D/MO/PD COMP/E/42983/06/2024"/>
        <filter val="KHI/HO/D/MO/PD COMP/E/43047/06/2024"/>
        <filter val="KHI/HO/D/MO/PD COMP/E/43051/06/2024"/>
        <filter val="KHI/HO/D/MO/PD COMP/E/43052/06/2024"/>
        <filter val="KHI/HO/D/MO/PD COMP/E/43053/06/2024"/>
        <filter val="KHI/HO/D/MO/PD COMP/E/43062/06/2024"/>
        <filter val="KHI/HO/D/MO/PD COMP/E/43064/06/2024"/>
        <filter val="KHI/HO/D/MO/PD COMP/E/43077/07/2024"/>
        <filter val="KHI/HO/D/MO/PD COMP/E/43086/07/2024"/>
        <filter val="KHI/HO/D/MO/PD COMP/E/43089/07/2024"/>
        <filter val="KHI/HO/D/MO/PD COMP/E/43100/07/2024"/>
        <filter val="KHI/HO/D/MO/PD COMP/E/43103/07/2024"/>
        <filter val="KHI/HO/D/MO/PD COMP/E/43107/07/2024"/>
        <filter val="KHI/HO/D/MO/PD COMP/E/43108/07/2024"/>
        <filter val="KHI/HO/D/MO/PD COMP/E/43110/07/2024"/>
        <filter val="KHI/HO/D/MO/PD COMP/E/43112/07/2024"/>
        <filter val="KHI/HO/D/MO/PD COMP/E/43117/07/2024"/>
        <filter val="KHI/HO/D/MO/PD COMP/E/43118/07/2024"/>
        <filter val="KHI/HO/D/MO/PD COMP/E/43120/07/2024"/>
        <filter val="KHI/HO/D/MO/PD COMP/E/43133/07/2024"/>
        <filter val="KHI/HO/D/MO/PD COMP/E/43134/07/2024"/>
        <filter val="KHI/HO/D/MO/PD COMP/E/43146/07/2024"/>
        <filter val="KHI/HO/D/MO/PD COMP/E/43155/07/2024"/>
        <filter val="KHI/HO/D/MO/PD COMP/E/43157/07/2024"/>
        <filter val="KHI/HO/D/MO/PD COMP/E/43158/07/2024"/>
        <filter val="KHI/HO/D/MO/PD COMP/E/43159/07/2024"/>
        <filter val="KHI/HO/D/MO/PD COMP/E/43162/07/2024"/>
        <filter val="KHI/HO/D/MO/PD COMP/E/43220/07/2024"/>
        <filter val="KHI/HO/D/MO/PD COMP/E/43222/07/2024"/>
        <filter val="KHI/HO/D/MO/PD COMP/E/43311/07/2024"/>
        <filter val="KHI/HO/D/MO/PD COMP/E/43317/07/2024"/>
        <filter val="KHI/HO/D/MO/PD COMP/E/43327/07/2024"/>
        <filter val="KHI/HO/D/MO/PD COMP/E/43330/07/2024"/>
        <filter val="KHI/HO/D/MO/PD COMP/E/43331/07/2024"/>
        <filter val="KHI/HO/D/MO/PD COMP/E/43333/07/2024"/>
        <filter val="KHI/HO/D/MO/PD COMP/E/43339/07/2024"/>
        <filter val="KHI/HO/D/MO/PD COMP/E/43350/07/2024"/>
        <filter val="KHI/HO/D/MO/PD COMP/E/43360/07/2024"/>
        <filter val="KHI/HO/D/MO/PD COMP/E/43363/07/2024"/>
        <filter val="KHI/HO/D/MO/PD COMP/E/43364/07/2024"/>
        <filter val="KHI/HO/D/MO/PD COMP/E/43366/07/2024"/>
        <filter val="KHI/HO/D/MO/PD COMP/E/43367/07/2024"/>
        <filter val="KHI/HO/D/MO/PD COMP/E/43370/07/2024"/>
        <filter val="KHI/HO/D/MO/PD COMP/E/43375/07/2024"/>
        <filter val="KHI/HO/D/MO/PD COMP/E/43443/07/2024"/>
        <filter val="KHI/HO/D/MO/PD COMP/E/43445/07/2024"/>
        <filter val="KHI/HO/D/MO/PD COMP/E/43451/07/2024"/>
        <filter val="KHI/HO/D/MO/PD COMP/E/43453/07/2024"/>
        <filter val="KHI/HO/D/MO/PD COMP/E/43456/07/2024"/>
        <filter val="KHI/HO/D/MO/PD COMP/E/43459/07/2024"/>
        <filter val="KHI/HO/D/MO/PD COMP/E/43460/07/2024"/>
        <filter val="KHI/HO/D/MO/PD COMP/E/43461/07/2024"/>
        <filter val="KHI/HO/D/MO/PD COMP/E/43462/07/2024"/>
        <filter val="KHI/HO/D/MO/PD COMP/E/43478/07/2024"/>
        <filter val="KHI/HO/D/MO/PD COMP/E/43528/07/2024"/>
        <filter val="KHI/HO/D/MO/PD COMP/E/43529/07/2024"/>
        <filter val="KHI/HO/D/MO/PD COMP/E/43536/07/2024"/>
        <filter val="KHI/HO/D/MO/PD COMP/E/43563/07/2024"/>
        <filter val="KHI/HO/D/MO/PD COMP/E/43746/07/2024"/>
        <filter val="KHI/HO/D/MO/PD COMP/E/43748/07/2024"/>
        <filter val="KHI/HO/D/MO/PD COMP/E/43749/07/2024"/>
        <filter val="KHI/HO/D/MO/PD COMP/E/43750/07/2024"/>
        <filter val="KHI/HO/D/MO/PD COMP/E/43751/07/2024"/>
        <filter val="KHI/HO/D/MO/PD COMP/E/43754/07/2024"/>
        <filter val="KHI/HO/D/MO/PD COMP/E/43755/07/2024"/>
        <filter val="KHI/HO/D/MO/PD COMP/E/43760/07/2024"/>
        <filter val="KHI/HO/D/MO/PD COMP/E/43763/07/2024"/>
        <filter val="KHI/HO/D/MO/PD COMP/E/43766/07/2024"/>
        <filter val="KHI/HO/D/MO/PD COMP/E/43773/07/2024"/>
        <filter val="KHI/HO/D/MO/PD COMP/E/43777/07/2024"/>
        <filter val="KHI/HO/D/MO/PD COMP/E/43817/07/2024"/>
        <filter val="KHI/HO/D/MO/PD COMP/E/43827/07/2024"/>
        <filter val="KHI/HO/D/MO/PD COMP/E/43828/07/2024"/>
        <filter val="KHI/HO/D/MO/PD COMP/E/43849/07/2024"/>
        <filter val="KHI/HO/D/MO/PD COMP/E/43865/07/2024"/>
        <filter val="KHI/HO/D/MO/PD COMP/E/43867/07/2024"/>
        <filter val="KHI/HO/D/MO/PD COMP/E/43868/07/2024"/>
        <filter val="KHI/HO/D/MO/PD COMP/E/43871/07/2024"/>
        <filter val="KHI/HO/D/MO/PD COMP/E/43876/07/2024"/>
        <filter val="KHI/HO/D/MO/PD COMP/E/43881/07/2024"/>
        <filter val="KHI/HO/D/MO/PD COMP/E/43953/07/2024"/>
        <filter val="KHI/HO/D/MO/PD COMP/E/43961/07/2024"/>
        <filter val="KHI/HO/D/MO/PD COMP/E/43963/07/2024"/>
        <filter val="KHI/HO/D/MO/PD COMP/E/43964/07/2024"/>
        <filter val="KHI/HO/D/MO/PD COMP/E/43967/07/2024"/>
        <filter val="KHI/HO/D/MO/PD COMP/E/43973/07/2024"/>
        <filter val="KHI/HO/D/MO/PD COMP/E/44007/07/2024"/>
        <filter val="KHI/HO/D/MO/PD COMP/E/44010/07/2024"/>
        <filter val="KHI/HO/D/MO/PD COMP/E/44014/07/2024"/>
        <filter val="KHI/HO/D/MO/PD COMP/E/44015/07/2024"/>
        <filter val="KHI/HO/D/MO/PD COMP/E/44016/07/2024"/>
        <filter val="KHI/HO/D/MO/PD COMP/E/44022/07/2024"/>
        <filter val="KHI/HO/D/MO/PD COMP/E/44025/07/2024"/>
        <filter val="KHI/HO/D/MO/PD COMP/E/44027/07/2024"/>
        <filter val="KHI/HO/D/MO/PD COMP/E/44036/07/2024"/>
        <filter val="KHI/HO/D/MO/PD COMP/E/44102/07/2024"/>
        <filter val="KHI/HO/D/MO/PD COMP/E/44109/07/2024"/>
        <filter val="KHI/HO/D/MO/PD COMP/E/44112/07/2024"/>
        <filter val="KHI/HO/D/MO/PD COMP/E/44115/07/2024"/>
        <filter val="KHI/HO/D/MO/PD COMP/E/44121/07/2024"/>
        <filter val="KHI/HO/D/MO/PD COMP/E/44129/07/2024"/>
        <filter val="KHI/HO/D/MO/PD COMP/E/44140/07/2024"/>
        <filter val="KHI/HO/D/MO/PD COMP/E/44152/07/2024"/>
        <filter val="KHI/HO/D/MO/PD COMP/E/44162/07/2024"/>
        <filter val="KHI/HO/D/MO/PD COMP/E/44170/07/2024"/>
        <filter val="KHI/HO/D/MO/PD COMP/E/44171/07/2024"/>
        <filter val="KHI/HO/D/MO/PD COMP/E/44176/07/2024"/>
        <filter val="KHI/HO/D/MO/PD COMP/E/44190/07/2024"/>
        <filter val="KHI/HO/D/MO/PD COMP/E/44210/07/2024"/>
        <filter val="KHI/HO/D/MO/PD COMP/E/44213/07/2024"/>
        <filter val="KHI/HO/D/MO/PD COMP/E/44217/07/2024"/>
        <filter val="KHI/HO/D/MO/PD COMP/E/44223/07/2024"/>
        <filter val="KHI/HO/D/MO/PD COMP/E/44235/07/2024"/>
        <filter val="KHI/HO/D/MO/PD COMP/E/44237/07/2024"/>
        <filter val="KHI/HO/D/MO/PD COMP/E/44239/07/2024"/>
        <filter val="KHI/HO/D/MO/PD COMP/E/44241/07/2024"/>
        <filter val="KHI/HO/D/MO/PD COMP/E/44243/07/2024"/>
        <filter val="KHI/HO/D/MO/PD COMP/E/44244/07/2024"/>
        <filter val="KHI/HO/D/MO/PD COMP/E/44245/07/2024"/>
        <filter val="KHI/HO/D/MO/PD COMP/E/44248/07/2024"/>
        <filter val="KHI/HO/D/MO/PD COMP/E/44262/07/2024"/>
        <filter val="KHI/HO/D/MO/PD COMP/E/44263/07/2024"/>
        <filter val="KHI/HO/D/MO/PD COMP/E/44265/07/2024"/>
        <filter val="KHI/HO/D/MO/PD COMP/E/44266/07/2024"/>
        <filter val="KHI/HO/D/MO/PD COMP/E/44275/07/2024"/>
        <filter val="KHI/HO/D/MO/PD COMP/E/44276/07/2024"/>
        <filter val="KHI/HO/D/MO/PD COMP/E/44279/07/2024"/>
        <filter val="KHI/HO/D/MO/PD COMP/E/44281/07/2024"/>
        <filter val="KHI/HO/D/MO/PD COMP/E/44286/07/2024"/>
        <filter val="KHI/HO/D/MO/PD COMP/E/44295/07/2024"/>
        <filter val="KHI/HO/D/MO/PD COMP/E/44309/07/2024"/>
        <filter val="KHI/HO/D/MO/PD COMP/E/44317/07/2024"/>
        <filter val="KHI/HO/D/MO/PD COMP/E/44320/07/2024"/>
        <filter val="KHI/HO/D/MO/PD COMP/E/44344/08/2024"/>
        <filter val="KHI/HO/D/MO/PD COMP/E/44358/08/2024"/>
        <filter val="KHI/HO/D/MO/PD COMP/E/44361/08/2024"/>
        <filter val="KHI/HO/D/MO/PD COMP/E/44362/08/2024"/>
        <filter val="KHI/HO/D/MO/PD COMP/E/44363/08/2024"/>
        <filter val="KHI/HO/D/MO/PD COMP/E/44380/08/2024"/>
        <filter val="KHI/HO/D/MO/PD COMP/E/44384/08/2024"/>
        <filter val="KHI/HO/D/MO/PD COMP/E/44415/08/2024"/>
        <filter val="KHI/HO/D/MO/PD COMP/E/44416/08/2024"/>
        <filter val="KHI/HO/D/MO/PD COMP/E/44462/08/2024"/>
        <filter val="KHI/HO/D/MO/PD COMP/E/44470/08/2024"/>
        <filter val="KHI/HO/D/MO/PD COMP/E/44471/08/2024"/>
        <filter val="KHI/HO/D/MO/PD COMP/E/44478/08/2024"/>
        <filter val="KHI/HO/D/MO/PD COMP/E/44479/08/2024"/>
        <filter val="KHI/HO/D/MO/PD COMP/E/44483/08/2024"/>
        <filter val="KHI/HO/D/MO/PD COMP/E/44487/08/2024"/>
        <filter val="KHI/HO/D/MO/PD COMP/E/44488/08/2024"/>
        <filter val="KHI/HO/D/MO/PD COMP/E/44494/08/2024"/>
        <filter val="KHI/HO/D/MO/PD COMP/E/44499/08/2024"/>
        <filter val="KHI/HO/D/MO/PD COMP/E/44502/08/2024"/>
        <filter val="KHI/HO/D/MO/PD COMP/E/44511/08/2024"/>
        <filter val="KHI/HO/D/MO/PD COMP/E/44514/08/2024"/>
        <filter val="KHI/HO/D/MO/PD COMP/E/44518/08/2024"/>
        <filter val="KHI/HO/D/MO/PD COMP/E/44526/08/2024"/>
        <filter val="KHI/HO/D/MO/PD COMP/E/44538/08/2024"/>
        <filter val="KHI/HO/D/MO/PD COMP/E/44543/08/2024"/>
        <filter val="KHI/HO/D/MO/PD COMP/E/44544/08/2024"/>
        <filter val="KHI/HO/D/MO/PD COMP/E/44546/08/2024"/>
        <filter val="KHI/HO/D/MO/PD COMP/E/44547/08/2024"/>
        <filter val="KHI/HO/D/MO/PD COMP/E/44548/08/2024"/>
        <filter val="KHI/HO/D/MO/PD COMP/E/44552/08/2024"/>
        <filter val="KHI/HO/D/MO/PD COMP/E/44573/08/2024"/>
        <filter val="KHI/HO/D/MO/PD COMP/E/44575/08/2024"/>
        <filter val="KHI/HO/D/MO/PD COMP/E/44582/08/2024"/>
        <filter val="KHI/HO/D/MO/PD COMP/E/44626/08/2024"/>
        <filter val="KHI/HO/D/MO/PD COMP/E/44627/08/2024"/>
        <filter val="KHI/HO/D/MO/PD COMP/E/44630/08/2024"/>
        <filter val="KHI/HO/D/MO/PD COMP/E/44650/08/2024"/>
        <filter val="KHI/HO/D/MO/PD COMP/E/44651/08/2024"/>
        <filter val="KHI/HO/D/MO/PD COMP/E/44652/08/2024"/>
        <filter val="KHI/HO/D/MO/PD COMP/E/44655/08/2024"/>
        <filter val="KHI/HO/D/MO/PD COMP/E/44656/08/2024"/>
        <filter val="KHI/HO/D/MO/PD COMP/E/44662/08/2024"/>
        <filter val="KHI/HO/D/MO/PD COMP/E/44665/08/2024"/>
        <filter val="KHI/HO/D/MO/PD COMP/E/44668/08/2024"/>
        <filter val="KHI/HO/D/MO/PD COMP/E/44682/08/2024"/>
        <filter val="KHI/HO/D/MO/PD COMP/E/44687/08/2024"/>
        <filter val="KHI/HO/D/MO/PD COMP/E/44700/08/2024"/>
        <filter val="KHI/HO/D/MO/PD COMP/E/44711/08/2024"/>
        <filter val="KHI/HO/D/MO/PD COMP/E/44760/08/2024"/>
        <filter val="KHI/HO/D/MO/PD COMP/E/44765/08/2024"/>
        <filter val="KHI/HO/D/MO/PD COMP/E/44775/08/2024"/>
        <filter val="KHI/HO/D/MO/PD COMP/E/44802/08/2024"/>
        <filter val="KHI/HO/D/MO/PD COMP/E/44804/08/2024"/>
        <filter val="KHI/HO/D/MO/PD COMP/E/44819/08/2024"/>
        <filter val="KHI/HO/D/MO/PD COMP/E/44844/08/2024"/>
        <filter val="KHI/HO/D/MO/PD COMP/E/44845/08/2024"/>
        <filter val="KHI/HO/D/MO/PD COMP/E/44846/08/2024"/>
        <filter val="KHI/HO/D/MO/PD COMP/E/44850/08/2024"/>
        <filter val="KHI/HO/D/MO/PD COMP/E/44861/08/2024"/>
        <filter val="KHI/HO/D/MO/PD COMP/E/44862/08/2024"/>
        <filter val="KHI/HO/D/MO/PD COMP/E/44863/08/2024"/>
        <filter val="KHI/HO/D/MO/PD COMP/E/44871/08/2024"/>
        <filter val="KHI/HO/D/MO/PD COMP/E/44884/08/2024"/>
        <filter val="KHI/HO/D/MO/PD COMP/E/44888/08/2024"/>
        <filter val="KHI/HO/D/MO/PD COMP/E/44897/08/2024"/>
        <filter val="KHI/HO/D/MO/PD COMP/E/44901/08/2024"/>
        <filter val="KHI/HO/D/MO/PD COMP/E/44934/08/2024"/>
        <filter val="KHI/HO/D/MO/PD COMP/E/44938/08/2024"/>
        <filter val="KHI/HO/D/MO/PD COMP/E/44941/08/2024"/>
        <filter val="KHI/HO/D/MO/PD COMP/E/44943/08/2024"/>
        <filter val="KHI/HO/D/MO/PD COMP/E/44952/08/2024"/>
        <filter val="KHI/HO/D/MO/PD COMP/E/44969/08/2024"/>
        <filter val="KHI/HO/D/MO/PD COMP/E/45017/08/2024"/>
        <filter val="KHI/HO/D/MO/PD COMP/E/45198/08/2024"/>
        <filter val="KHI/HO/D/MO/PD COMP/E/45201/08/2024"/>
        <filter val="KHI/HO/D/MO/PD COMP/E/45204/08/2024"/>
        <filter val="KHI/HO/D/MO/PD COMP/E/45206/08/2024"/>
        <filter val="KHI/HO/D/MO/PD COMP/E/45210/08/2024"/>
        <filter val="KHI/HO/D/MO/PD COMP/E/45215/08/2024"/>
        <filter val="KHI/HO/D/MO/PD COMP/E/45252/08/2024"/>
        <filter val="KHI/HO/D/MO/PD COMP/E/45258/08/2024"/>
        <filter val="KHI/HO/D/MO/PD COMP/E/45261/08/2024"/>
        <filter val="KHI/HO/D/MO/PD COMP/E/45264/08/2024"/>
        <filter val="KHI/HO/D/MO/PD COMP/E/45265/08/2024"/>
        <filter val="KHI/HO/D/MO/PD COMP/E/45269/08/2024"/>
        <filter val="KHI/HO/D/MO/PD COMP/E/45274/08/2024"/>
        <filter val="KHI/HO/D/MO/PD COMP/E/45275/08/2024"/>
        <filter val="KHI/HO/D/MO/PD COMP/E/45283/08/2024"/>
        <filter val="KHI/HO/D/MO/PD COMP/E/45292/08/2024"/>
        <filter val="KHI/HO/D/MO/PD COMP/E/45408/08/2024"/>
        <filter val="KHI/HO/D/MO/PD COMP/E/45411/08/2024"/>
        <filter val="KHI/HO/D/MO/PD COMP/E/45412/08/2024"/>
        <filter val="KHI/HO/D/MO/PD COMP/E/45415/08/2024"/>
        <filter val="KHI/HO/D/MO/PD COMP/E/45418/08/2024"/>
        <filter val="KHI/HO/D/MO/PD COMP/E/45424/08/2024"/>
        <filter val="KHI/HO/D/MO/PD COMP/E/45428/08/2024"/>
        <filter val="KHI/HO/D/MO/PD COMP/E/45430/08/2024"/>
        <filter val="KHI/HO/D/MO/PD COMP/E/45432/08/2024"/>
        <filter val="KHI/HO/D/MO/PD COMP/E/45440/08/2024"/>
        <filter val="KHI/HO/D/MO/PD COMP/E/45441/08/2024"/>
        <filter val="KHI/HO/D/MO/PD COMP/E/45444/08/2024"/>
        <filter val="KHI/HO/D/MO/PD COMP/E/45445/08/2024"/>
        <filter val="KHI/HO/D/MO/PD COMP/E/45453/08/2024"/>
        <filter val="KHI/HO/D/MO/PD COMP/E/45459/08/2024"/>
        <filter val="KHI/HO/D/MO/PD COMP/E/45519/09/2024"/>
        <filter val="KHI/HO/D/MO/PD COMP/E/45522/09/2024"/>
        <filter val="KHI/HO/D/MO/PD COMP/E/45528/09/2024"/>
        <filter val="KHI/HO/D/MO/PD COMP/E/45532/09/2024"/>
        <filter val="KHI/HO/D/MO/PD COMP/E/45533/09/2024"/>
        <filter val="KHI/HO/D/MO/PD COMP/E/45536/09/2024"/>
        <filter val="KHI/HO/D/MO/PD COMP/E/45537/09/2024"/>
        <filter val="KHI/HO/D/MO/PD COMP/E/45539/09/2024"/>
        <filter val="KHI/HO/D/MO/PD COMP/E/45591/09/2024"/>
        <filter val="KHI/HO/D/MO/PD COMP/E/45614/09/2024"/>
        <filter val="KHI/HO/D/MO/PD COMP/E/45618/09/2024"/>
        <filter val="KHI/HO/D/MO/PD COMP/E/45620/09/2024"/>
        <filter val="KHI/HO/D/MO/PD COMP/E/45621/09/2024"/>
        <filter val="KHI/HO/D/MO/PD COMP/E/45626/09/2024"/>
        <filter val="KHI/HO/D/MO/PD COMP/E/45627/09/2024"/>
        <filter val="KHI/HO/D/MO/PD COMP/E/45630/09/2024"/>
        <filter val="KHI/HO/D/MO/PD COMP/E/45635/09/2024"/>
        <filter val="KHI/HO/D/MO/PD COMP/E/45695/09/2024"/>
        <filter val="KHI/HO/D/MO/PD COMP/E/45700/09/2024"/>
        <filter val="KHI/HO/D/MO/PD COMP/E/45704/09/2024"/>
        <filter val="KHI/HO/D/MO/PD COMP/E/45705/09/2024"/>
        <filter val="KHI/HO/D/MO/PD COMP/E/45709/09/2024"/>
        <filter val="KHI/HO/D/MO/PD COMP/E/45713/09/2024"/>
        <filter val="KHI/HO/D/MO/PD COMP/E/45714/09/2024"/>
        <filter val="KHI/HO/D/MO/PD COMP/E/45719/09/2024"/>
        <filter val="KHI/HO/D/MO/PD COMP/E/45720/09/2024"/>
        <filter val="KHI/HO/D/MO/PD COMP/E/45725/09/2024"/>
        <filter val="KHI/HO/D/MO/PD COMP/E/45737/09/2024"/>
        <filter val="KHI/HO/D/MO/PD COMP/E/45743/09/2024"/>
        <filter val="KHI/HO/D/MO/PD COMP/E/45753/09/2024"/>
        <filter val="KHI/HO/D/MO/PD COMP/E/45769/09/2024"/>
        <filter val="KHI/HO/D/MO/PD COMP/E/45770/09/2024"/>
        <filter val="KHI/HO/D/MO/PD COMP/E/45773/09/2024"/>
        <filter val="KHI/HO/D/MO/PD COMP/E/45774/09/2024"/>
        <filter val="KHI/HO/D/MO/PD COMP/E/45775/09/2024"/>
        <filter val="KHI/HO/D/MO/PD COMP/E/45779/09/2024"/>
        <filter val="KHI/HO/D/MO/PD COMP/E/45820/09/2024"/>
        <filter val="KHI/HO/D/MO/PD COMP/E/45825/09/2024"/>
        <filter val="KHI/HO/D/MO/PD COMP/E/45827/09/2024"/>
        <filter val="KHI/HO/D/MO/PD COMP/E/45831/09/2024"/>
        <filter val="KHI/HO/D/MO/PD COMP/E/45837/09/2024"/>
        <filter val="KHI/HO/D/MO/PD COMP/E/45841/09/2024"/>
        <filter val="KHI/HO/D/MO/PD COMP/E/45857/09/2024"/>
        <filter val="KHI/HO/D/MO/PD COMP/E/45884/09/2024"/>
        <filter val="KHI/HO/D/MO/PD COMP/E/45885/09/2024"/>
        <filter val="KHI/HO/D/MO/PD COMP/E/45886/09/2024"/>
        <filter val="KHI/HO/D/MO/PD COMP/E/45892/09/2024"/>
        <filter val="KHI/HO/D/MO/PD COMP/E/45895/09/2024"/>
        <filter val="KHI/HO/D/MO/PD COMP/E/45897/09/2024"/>
        <filter val="KHI/HO/D/MO/PD COMP/E/45910/09/2024"/>
        <filter val="KHI/HO/D/MO/PD COMP/E/45915/09/2024"/>
        <filter val="KHI/HO/D/MO/PD COMP/E/45928/09/2024"/>
        <filter val="KHI/HO/D/MO/PD COMP/E/45929/09/2024"/>
        <filter val="KHI/HO/D/MO/PD COMP/E/45931/09/2024"/>
        <filter val="KHI/HO/D/MO/PD COMP/E/45975/09/2024"/>
        <filter val="KHI/HO/D/MO/PD COMP/E/45986/09/2024"/>
        <filter val="KHI/HO/D/MO/PD COMP/E/45989/09/2024"/>
        <filter val="KHI/HO/D/MO/PD COMP/E/45990/09/2024"/>
        <filter val="KHI/HO/D/MO/PD COMP/E/45991/09/2024"/>
        <filter val="KHI/HO/D/MO/PD COMP/E/45992/09/2024"/>
        <filter val="KHI/HO/D/MO/PD COMP/E/45993/09/2024"/>
        <filter val="KHI/HO/D/MO/PD COMP/E/45994/09/2024"/>
        <filter val="KHI/HO/D/MO/PD COMP/E/45999/09/2024"/>
        <filter val="KHI/HO/D/MO/PD COMP/E/46004/09/2024"/>
        <filter val="KHI/HO/D/MO/PD COMP/E/46015/09/2024"/>
        <filter val="KHI/HO/D/MO/PD COMP/E/46016/09/2024"/>
        <filter val="KHI/HO/D/MO/PD COMP/E/46046/09/2024"/>
        <filter val="KHI/HO/D/MO/PD COMP/E/46088/09/2024"/>
        <filter val="KHI/HO/D/MO/PD COMP/E/46089/09/2024"/>
        <filter val="KHI/HO/D/MO/PD COMP/E/46094/09/2024"/>
        <filter val="KHI/HO/D/MO/PD COMP/E/46095/09/2024"/>
        <filter val="KHI/HO/D/MO/PD COMP/E/46106/09/2024"/>
        <filter val="KHI/HO/D/MO/PD COMP/E/46107/09/2024"/>
        <filter val="KHI/HO/D/MO/PD COMP/E/46108/09/2024"/>
        <filter val="KHI/HO/D/MO/PD COMP/E/46117/09/2024"/>
        <filter val="KHI/HO/D/MO/PD COMP/E/46123/09/2024"/>
        <filter val="KHI/HO/D/MO/PD COMP/E/46137/09/2024"/>
        <filter val="KHI/HO/D/MO/PD COMP/E/46178/09/2024"/>
        <filter val="KHI/HO/D/MO/PD COMP/E/46183/09/2024"/>
        <filter val="KHI/HO/D/MO/PD COMP/E/46186/09/2024"/>
        <filter val="KHI/HO/D/MO/PD COMP/E/46193/09/2024"/>
        <filter val="KHI/HO/D/MO/PD COMP/E/46194/09/2024"/>
        <filter val="KHI/HO/D/MO/PD COMP/E/46198/09/2024"/>
        <filter val="KHI/HO/D/MO/PD COMP/E/46202/09/2024"/>
        <filter val="KHI/HO/D/MO/PD COMP/E/46203/09/2024"/>
        <filter val="KHI/HO/D/MO/PD COMP/E/46217/09/2024"/>
        <filter val="KHI/HO/D/MO/PD COMP/E/46235/09/2024"/>
        <filter val="KHI/HO/D/MO/PD COMP/E/46301/09/2024"/>
        <filter val="KHI/HO/D/MO/PD COMP/E/46304/09/2024"/>
        <filter val="KHI/HO/D/MO/PD COMP/E/46307/09/2024"/>
        <filter val="KHI/HO/D/MO/PD COMP/E/46311/09/2024"/>
        <filter val="KHI/HO/D/MO/PD COMP/E/46314/09/2024"/>
        <filter val="KHI/HO/D/MO/PD COMP/E/46315/09/2024"/>
        <filter val="KHI/HO/D/MO/PD COMP/E/46320/09/2024"/>
        <filter val="KHI/HO/D/MO/PD COMP/E/46327/09/2024"/>
        <filter val="KHI/HO/D/MO/PD COMP/E/46348/10/2024"/>
        <filter val="KHI/HO/D/MO/PD COMP/E/46353/10/2024"/>
        <filter val="KHI/HO/D/MO/PD COMP/E/46355/10/2024"/>
        <filter val="KHI/HO/D/MO/PD COMP/E/46357/10/2024"/>
        <filter val="KHI/HO/D/MO/PD COMP/E/46359/10/2024"/>
        <filter val="KHI/HO/D/MO/PD COMP/E/46363/10/2024"/>
        <filter val="KHI/HO/D/MO/PD COMP/E/46365/10/2024"/>
        <filter val="KHI/HO/D/MO/PD COMP/E/46442/10/2024"/>
        <filter val="KHI/HO/D/MO/PD COMP/E/46461/10/2024"/>
        <filter val="KHI/HO/D/MO/PD COMP/E/46480/10/2024"/>
        <filter val="KHI/HO/D/MO/PD COMP/E/46513/10/2024"/>
        <filter val="KHI/HO/D/MO/PD COMP/E/46516/10/2024"/>
        <filter val="KHI/HO/D/MO/PD COMP/E/46518/10/2024"/>
        <filter val="KHI/HO/D/MO/PD COMP/E/46522/10/2024"/>
        <filter val="KHI/HO/D/MO/PD COMP/E/46523/10/2024"/>
        <filter val="KHI/HO/D/MO/PD COMP/E/46524/10/2024"/>
        <filter val="KHI/HO/D/MO/PD COMP/E/46531/10/2024"/>
        <filter val="KHI/HO/D/MO/PD COMP/E/46533/10/2024"/>
        <filter val="KHI/HO/D/MO/PD COMP/E/46537/10/2024"/>
        <filter val="KHI/HO/D/MO/PD COMP/E/46539/10/2024"/>
        <filter val="KHI/HO/D/MO/PD COMP/E/46541/10/2024"/>
        <filter val="KHI/HO/D/MO/PD COMP/E/46543/10/2024"/>
        <filter val="KHI/HO/D/MO/PD COMP/E/46550/10/2024"/>
        <filter val="KHI/HO/D/MO/PD COMP/E/46554/10/2024"/>
        <filter val="KHI/HO/D/MO/PD COMP/E/46560/10/2024"/>
        <filter val="KHI/HO/D/MO/PD COMP/E/46598/10/2024"/>
        <filter val="KHI/HO/D/MO/PD COMP/E/46600/10/2024"/>
        <filter val="KHI/HO/D/MO/PD COMP/E/46602/10/2024"/>
        <filter val="KHI/HO/D/MO/PD COMP/E/46603/10/2024"/>
        <filter val="KHI/HO/D/MO/PD COMP/E/46604/10/2024"/>
        <filter val="KHI/HO/D/MO/PD COMP/E/46605/10/2024"/>
        <filter val="KHI/HO/D/MO/PD COMP/E/46606/10/2024"/>
        <filter val="KHI/HO/D/MO/PD COMP/E/46607/10/2024"/>
        <filter val="KHI/HO/D/MO/PD COMP/E/46670/10/2024"/>
        <filter val="KHI/HO/D/MO/PD COMP/E/46673/10/2024"/>
        <filter val="KHI/HO/D/MO/PD COMP/E/46674/10/2024"/>
        <filter val="KHI/HO/D/MO/PD COMP/E/46676/10/2024"/>
        <filter val="KHI/HO/D/MO/PD COMP/E/46677/10/2024"/>
        <filter val="KHI/HO/D/MO/PD COMP/E/46682/10/2024"/>
        <filter val="KHI/HO/D/MO/PD COMP/E/46684/10/2024"/>
        <filter val="KHI/HO/D/MO/PD COMP/E/46685/10/2024"/>
        <filter val="KHI/HO/D/MO/PD COMP/E/46702/10/2024"/>
        <filter val="KHI/HO/D/MO/PD COMP/E/46712/10/2024"/>
        <filter val="KHI/HO/D/MO/PD COMP/E/46715/10/2024"/>
        <filter val="KHI/HO/D/MO/PD COMP/E/46717/10/2024"/>
        <filter val="KHI/HO/D/MO/PD COMP/E/46718/10/2024"/>
        <filter val="KHI/HO/D/MO/PD COMP/E/46725/10/2024"/>
        <filter val="KHI/HO/D/MO/PD COMP/E/46735/10/2024"/>
        <filter val="KHI/HO/D/MO/PD COMP/E/46742/10/2024"/>
        <filter val="KHI/HO/D/MO/PD COMP/E/46744/10/2024"/>
        <filter val="KHI/HO/D/MO/PD COMP/E/46745/10/2024"/>
        <filter val="KHI/HO/D/MO/PD COMP/E/46746/10/2024"/>
        <filter val="KHI/HO/D/MO/PD COMP/E/46748/10/2024"/>
        <filter val="KHI/HO/D/MO/PD COMP/E/46752/10/2024"/>
        <filter val="KHI/HO/D/MO/PD COMP/E/46753/10/2024"/>
        <filter val="KHI/HO/D/MO/PD COMP/E/46754/10/2024"/>
        <filter val="KHI/HO/D/MO/PD COMP/E/46758/10/2024"/>
        <filter val="KHI/HO/D/MO/PD COMP/E/46767/10/2024"/>
        <filter val="KHI/HO/D/MO/PD COMP/E/46837/10/2024"/>
        <filter val="KHI/HO/D/MO/PD COMP/E/46840/10/2024"/>
        <filter val="KHI/HO/D/MO/PD COMP/E/46847/10/2024"/>
        <filter val="KHI/HO/D/MO/PD COMP/E/47060/10/2024"/>
        <filter val="KHI/HO/D/MO/PD COMP/E/47061/10/2024"/>
        <filter val="KHI/HO/D/MO/PD COMP/E/47064/10/2024"/>
        <filter val="KHI/HO/D/MO/PD COMP/E/47065/10/2024"/>
        <filter val="KHI/HO/D/MO/PD COMP/E/47080/10/2024"/>
        <filter val="KHI/HO/D/MO/PD COMP/E/47087/10/2024"/>
        <filter val="KHI/HO/D/MO/PD COMP/E/47088/10/2024"/>
        <filter val="KHI/HO/D/MO/PD COMP/E/47097/10/2024"/>
        <filter val="KHI/HO/D/MO/PD COMP/E/47113/10/2024"/>
        <filter val="KHI/HO/D/MO/PD COMP/E/47902/10/2024"/>
        <filter val="KHI/HO/D/MO/PD COMP/E/47920/10/2024"/>
        <filter val="KHI/HO/D/MO/PD COMP/E/47927/10/2024"/>
        <filter val="KHI/HO/D/MO/PD COMP/E/47974/10/2024"/>
        <filter val="KHI/HO/D/MO/PD COMP/E/47975/10/2024"/>
        <filter val="KHI/HO/D/MO/PD COMP/E/47982/10/2024"/>
        <filter val="KHI/HO/D/MO/PD COMP/E/47986/10/2024"/>
        <filter val="KHI/HO/D/MO/PD COMP/E/47987/10/2024"/>
        <filter val="KHI/HO/D/MO/PD COMP/E/47994/10/2024"/>
        <filter val="KHI/HO/D/MO/PD COMP/E/47995/10/2024"/>
        <filter val="KHI/HO/D/MO/PD COMP/E/47999/10/2024"/>
        <filter val="KHI/HO/D/MO/PD COMP/E/48002/10/2024"/>
        <filter val="KHI/HO/D/MO/PD COMP/E/48010/10/2024"/>
        <filter val="KHI/HO/D/MO/PD COMP/E/48015/10/2024"/>
        <filter val="KHI/HO/D/MO/PD COMP/E/48023/10/2024"/>
        <filter val="KHI/HO/D/MO/PD COMP/E/48025/10/2024"/>
        <filter val="KHI/HO/D/MO/PD COMP/E/48026/10/2024"/>
        <filter val="KHI/HO/D/MO/PD COMP/E/48034/10/2024"/>
        <filter val="KHI/HO/D/MO/PD COMP/E/48042/10/2024"/>
        <filter val="KHI/HO/D/MO/PD COMP/E/48047/10/2024"/>
        <filter val="KHI/HO/D/MO/PD COMP/E/48095/10/2024"/>
        <filter val="KHI/HO/D/MO/PD COMP/E/48100/10/2024"/>
        <filter val="KHI/HO/D/MO/PD COMP/E/48102/10/2024"/>
        <filter val="KHI/HO/D/MO/PD COMP/E/48107/10/2024"/>
        <filter val="KHI/HO/D/MO/PD COMP/E/48112/10/2024"/>
        <filter val="KHI/HO/D/MO/PD COMP/E/48125/10/2024"/>
        <filter val="KHI/HO/D/MO/PD COMP/E/48153/10/2024"/>
        <filter val="KHI/HO/D/MO/PD COMP/E/48176/10/2024"/>
        <filter val="KHI/HO/D/MO/PD COMP/E/48180/10/2024"/>
        <filter val="KHI/HO/D/MO/PD COMP/E/48181/10/2024"/>
        <filter val="KHI/HO/D/MO/PD COMP/E/48185/10/2024"/>
        <filter val="KHI/HO/D/MO/PD COMP/E/48188/10/2024"/>
        <filter val="KHI/HO/D/MO/PD COMP/E/48221/10/2024"/>
        <filter val="KHI/HO/D/MO/PD COMP/E/48359/10/2024"/>
        <filter val="KHI/HO/D/MO/PD COMP/E/48361/10/2024"/>
        <filter val="KHI/HO/D/MO/PD COMP/E/48363/10/2024"/>
        <filter val="KHI/HO/D/MO/PD COMP/E/48366/10/2024"/>
        <filter val="KHI/HO/D/MO/PD COMP/E/48384/10/2024"/>
        <filter val="KHI/HO/D/MO/PD COMP/E/48386/10/2024"/>
        <filter val="KHI/HO/D/MO/PD COMP/E/48395/10/2024"/>
        <filter val="KHI/HO/D/MO/PD COMP/E/48396/10/2024"/>
        <filter val="KHI/HO/D/MO/PD COMP/E/48401/10/2024"/>
        <filter val="KHI/HO/D/MO/PD COMP/E/48405/10/2024"/>
        <filter val="KHI/HO/D/MO/PD COMP/E/48414/10/2024"/>
        <filter val="KHI/HO/D/MO/PD COMP/E/48416/10/2024"/>
        <filter val="KHI/HO/D/MO/PD COMP/E/48426/10/2024"/>
        <filter val="KHI/HO/D/MO/PD COMP/E/48429/10/2024"/>
        <filter val="KHI/HO/D/MO/PD COMP/E/48479/11/2024"/>
        <filter val="KHI/HO/D/MO/PD COMP/E/48483/11/2024"/>
        <filter val="KHI/HO/D/MO/PD COMP/E/48487/11/2024"/>
        <filter val="KHI/HO/D/MO/PD COMP/E/48490/11/2024"/>
        <filter val="KHI/HO/D/MO/PD COMP/E/48492/11/2024"/>
        <filter val="KHI/HO/D/MO/PD COMP/E/48505/11/2024"/>
        <filter val="KHI/HO/D/MO/PD COMP/E/48511/11/2024"/>
        <filter val="KHI/HO/D/MO/PD COMP/E/48513/11/2024"/>
        <filter val="KHI/HO/D/MO/PD COMP/E/48514/11/2024"/>
        <filter val="KHI/HO/D/MO/PD COMP/E/48521/11/2024"/>
        <filter val="KHI/HO/D/MO/PD COMP/E/48557/11/2024"/>
        <filter val="KHI/HO/D/MO/PD COMP/E/48563/11/2024"/>
        <filter val="KHI/HO/D/MO/PD COMP/E/48572/11/2024"/>
        <filter val="KHI/HO/D/MO/PD COMP/E/48574/11/2024"/>
        <filter val="KHI/HO/D/MO/PD COMP/E/48575/11/2024"/>
        <filter val="KHI/HO/D/MO/PD COMP/E/48579/11/2024"/>
        <filter val="KHI/HO/D/MO/PD COMP/E/48581/11/2024"/>
        <filter val="KHI/HO/D/MO/PD COMP/E/48583/11/2024"/>
        <filter val="KHI/HO/D/MO/PD COMP/E/48591/11/2024"/>
        <filter val="KHI/HO/D/MO/PD COMP/E/48632/11/2024"/>
        <filter val="KHI/HO/D/MO/PD COMP/E/48633/11/2024"/>
        <filter val="KHI/HO/D/MO/PD COMP/E/48634/11/2024"/>
        <filter val="KHI/HO/D/MO/PD COMP/E/48635/11/2024"/>
        <filter val="KHI/HO/D/MO/PD COMP/E/48639/11/2024"/>
        <filter val="KHI/HO/D/MO/PD COMP/E/48641/11/2024"/>
        <filter val="KHI/HO/D/MO/PD COMP/E/48642/11/2024"/>
        <filter val="KHI/HO/D/MO/PD COMP/E/48653/11/2024"/>
        <filter val="KHI/HO/D/MO/PD COMP/E/48659/11/2024"/>
        <filter val="KHI/HO/D/MO/PD COMP/E/48672/11/2024"/>
        <filter val="KHI/HO/D/MO/PD COMP/E/48673/11/2024"/>
        <filter val="KHI/HO/D/MO/PD COMP/E/48674/11/2024"/>
        <filter val="KHI/HO/D/MO/PD COMP/E/48676/11/2024"/>
        <filter val="KHI/HO/D/MO/PD COMP/E/48693/10/2024"/>
        <filter val="KHI/HO/D/MO/PD COMP/E/48694/10/2024"/>
        <filter val="KHI/HO/D/MO/PD COMP/E/48695/10/2024"/>
        <filter val="KHI/HO/D/MO/PD COMP/E/48696/10/2024"/>
        <filter val="KHI/HO/D/MO/PD COMP/E/48697/10/2024"/>
        <filter val="KHI/HO/D/MO/PD COMP/E/48698/10/2024"/>
        <filter val="KHI/HO/D/MO/PD COMP/E/48700/10/2024"/>
        <filter val="KHI/HO/D/MO/PD COMP/E/48701/10/2024"/>
        <filter val="KHI/HO/D/MO/PD COMP/E/48703/10/2024"/>
        <filter val="KHI/HO/D/MO/PD COMP/E/48704/10/2024"/>
        <filter val="KHI/HO/D/MO/PD COMP/E/48706/10/2024"/>
        <filter val="KHI/HO/D/MO/PD COMP/E/48709/10/2024"/>
        <filter val="KHI/HO/D/MO/PD COMP/E/48710/10/2024"/>
        <filter val="KHI/HO/D/MO/PD COMP/E/48714/10/2024"/>
        <filter val="KHI/HO/D/MO/PD COMP/E/48715/10/2024"/>
        <filter val="KHI/HO/D/MO/PD COMP/E/48716/10/2024"/>
        <filter val="KHI/HO/D/MO/PD COMP/E/48720/10/2024"/>
        <filter val="KHI/HO/D/MO/PD COMP/E/48722/10/2024"/>
        <filter val="KHI/HO/D/MO/PD COMP/E/48723/10/2024"/>
        <filter val="KHI/HO/D/MO/PD COMP/E/48724/10/2024"/>
        <filter val="KHI/HO/D/MO/PD COMP/E/48726/10/2024"/>
        <filter val="KHI/HO/D/MO/PD COMP/E/48727/10/2024"/>
        <filter val="KHI/HO/D/MO/PD COMP/E/48729/10/2024"/>
        <filter val="KHI/HO/D/MO/PD COMP/E/48730/10/2024"/>
        <filter val="KHI/HO/D/MO/PD COMP/E/48732/10/2024"/>
        <filter val="KHI/HO/D/MO/PD COMP/E/48733/10/2024"/>
        <filter val="KHI/HO/D/MO/PD COMP/E/48734/10/2024"/>
        <filter val="KHI/HO/D/MO/PD COMP/E/48735/10/2024"/>
        <filter val="KHI/HO/D/MO/PD COMP/E/48737/10/2024"/>
        <filter val="KHI/HO/D/MO/PD COMP/E/48738/10/2024"/>
        <filter val="KHI/HO/D/MO/PD COMP/E/48739/10/2024"/>
        <filter val="KHI/HO/D/MO/PD COMP/E/48740/10/2024"/>
        <filter val="KHI/HO/D/MO/PD COMP/E/48741/10/2024"/>
        <filter val="KHI/HO/D/MO/PD COMP/E/48743/10/2024"/>
        <filter val="KHI/HO/D/MO/PD COMP/E/48744/10/2024"/>
        <filter val="KHI/HO/D/MO/PD COMP/E/48745/10/2024"/>
        <filter val="KHI/HO/D/MO/PD COMP/E/48746/10/2024"/>
        <filter val="KHI/HO/D/MO/PD COMP/E/48747/10/2024"/>
        <filter val="KHI/HO/D/MO/PD COMP/E/48748/10/2024"/>
        <filter val="KHI/HO/D/MO/PD COMP/E/48749/10/2024"/>
        <filter val="KHI/HO/D/MO/PD COMP/E/48750/10/2024"/>
        <filter val="KHI/HO/D/MO/PD COMP/E/48751/10/2024"/>
        <filter val="KHI/HO/D/MO/PD COMP/E/48752/10/2024"/>
        <filter val="KHI/HO/D/MO/PD COMP/E/48753/10/2024"/>
        <filter val="KHI/HO/D/MO/PD COMP/E/48754/10/2024"/>
        <filter val="KHI/HO/D/MO/PD COMP/E/48755/10/2024"/>
        <filter val="KHI/HO/D/MO/PD COMP/E/48756/10/2024"/>
        <filter val="KHI/HO/D/MO/PD COMP/E/48757/10/2024"/>
        <filter val="KHI/HO/D/MO/PD COMP/E/48758/10/2024"/>
        <filter val="KHI/HO/D/MO/PD COMP/E/48759/10/2024"/>
        <filter val="KHI/HO/D/MO/PD COMP/E/48760/10/2024"/>
        <filter val="KHI/HO/D/MO/PD COMP/E/48761/10/2024"/>
        <filter val="KHI/HO/D/MO/PD COMP/E/48762/10/2024"/>
        <filter val="KHI/HO/D/MO/PD COMP/E/48763/10/2024"/>
        <filter val="KHI/HO/D/MO/PD COMP/E/48764/10/2024"/>
        <filter val="KHI/HO/D/MO/PD COMP/E/48766/10/2024"/>
        <filter val="KHI/HO/D/MO/PD COMP/E/48767/10/2024"/>
        <filter val="KHI/HO/D/MO/PD COMP/E/48768/10/2024"/>
        <filter val="KHI/HO/D/MO/PD COMP/E/48769/10/2024"/>
        <filter val="KHI/HO/D/MO/PD COMP/E/48770/10/2024"/>
        <filter val="KHI/HO/D/MO/PD COMP/E/48771/10/2024"/>
        <filter val="KHI/HO/D/MO/PD COMP/E/48772/10/2024"/>
        <filter val="KHI/HO/D/MO/PD COMP/E/48774/10/2024"/>
        <filter val="KHI/HO/D/MO/PD COMP/E/48775/10/2024"/>
        <filter val="KHI/HO/D/MO/PD COMP/E/48776/10/2024"/>
        <filter val="KHI/HO/D/MO/PD COMP/E/48777/10/2024"/>
        <filter val="KHI/HO/D/MO/PD COMP/E/48778/10/2024"/>
        <filter val="KHI/HO/D/MO/PD COMP/E/48779/10/2024"/>
        <filter val="KHI/HO/D/MO/PD COMP/E/48780/10/2024"/>
        <filter val="KHI/HO/D/MO/PD COMP/E/48781/10/2024"/>
        <filter val="KHI/HO/D/MO/PD COMP/E/48782/10/2024"/>
        <filter val="KHI/HO/D/MO/PD COMP/E/48783/10/2024"/>
        <filter val="KHI/HO/D/MO/PD COMP/E/48785/10/2024"/>
        <filter val="KHI/HO/D/MO/PD COMP/E/48786/10/2024"/>
        <filter val="KHI/HO/D/MO/PD COMP/E/48787/10/2024"/>
        <filter val="KHI/HO/D/MO/PD COMP/E/48788/10/2024"/>
        <filter val="KHI/HO/D/MO/PD COMP/E/48790/10/2024"/>
        <filter val="KHI/HO/D/MO/PD COMP/E/48791/10/2024"/>
        <filter val="KHI/HO/D/MO/PD COMP/E/48792/10/2024"/>
        <filter val="KHI/HO/D/MO/PD COMP/E/48793/10/2024"/>
        <filter val="KHI/HO/D/MO/PD COMP/E/48794/10/2024"/>
        <filter val="KHI/HO/D/MO/PD COMP/E/48795/10/2024"/>
        <filter val="KHI/HO/D/MO/PD COMP/E/48796/10/2024"/>
        <filter val="KHI/HO/D/MO/PD COMP/E/48797/10/2024"/>
        <filter val="KHI/HO/D/MO/PD COMP/E/48798/10/2024"/>
        <filter val="KHI/HO/D/MO/PD COMP/E/48799/10/2024"/>
        <filter val="KHI/HO/D/MO/PD COMP/E/48800/10/2024"/>
        <filter val="KHI/HO/D/MO/PD COMP/E/48801/10/2024"/>
        <filter val="KHI/HO/D/MO/PD COMP/E/48802/10/2024"/>
        <filter val="KHI/HO/D/MO/PD COMP/E/48804/10/2024"/>
        <filter val="KHI/HO/D/MO/PD COMP/E/48805/10/2024"/>
        <filter val="KHI/HO/D/MO/PD COMP/E/48806/10/2024"/>
        <filter val="KHI/HO/D/MO/PD COMP/E/48807/10/2024"/>
        <filter val="KHI/HO/D/MO/PD COMP/E/48808/10/2024"/>
        <filter val="KHI/HO/D/MO/PD COMP/E/48809/10/2024"/>
        <filter val="KHI/HO/D/MO/PD COMP/E/48810/10/2024"/>
        <filter val="KHI/HO/D/MO/PD COMP/E/48811/10/2024"/>
        <filter val="KHI/HO/D/MO/PD COMP/E/48812/10/2024"/>
        <filter val="KHI/HO/D/MO/PD COMP/E/48813/10/2024"/>
        <filter val="KHI/HO/D/MO/PD COMP/E/48814/10/2024"/>
        <filter val="KHI/HO/D/MO/PD COMP/E/48815/10/2024"/>
        <filter val="KHI/HO/D/MO/PD COMP/E/48816/10/2024"/>
        <filter val="KHI/HO/D/MO/PD COMP/E/48818/10/2024"/>
        <filter val="KHI/HO/D/MO/PD COMP/E/48819/10/2024"/>
        <filter val="KHI/HO/D/MO/PD COMP/E/48820/10/2024"/>
        <filter val="KHI/HO/D/MO/PD COMP/E/48821/10/2024"/>
        <filter val="KHI/HO/D/MO/PD COMP/E/48822/10/2024"/>
        <filter val="KHI/HO/D/MO/PD COMP/E/48824/10/2024"/>
        <filter val="KHI/HO/D/MO/PD COMP/E/48825/10/2024"/>
        <filter val="KHI/HO/D/MO/PD COMP/E/48826/10/2024"/>
        <filter val="KHI/HO/D/MO/PD COMP/E/48827/10/2024"/>
        <filter val="KHI/HO/D/MO/PD COMP/E/48828/10/2024"/>
        <filter val="KHI/HO/D/MO/PD COMP/E/48830/10/2024"/>
        <filter val="KHI/HO/D/MO/PD COMP/E/48831/10/2024"/>
        <filter val="KHI/HO/D/MO/PD COMP/E/48832/10/2024"/>
        <filter val="KHI/HO/D/MO/PD COMP/E/48833/10/2024"/>
        <filter val="KHI/HO/D/MO/PD COMP/E/48834/10/2024"/>
        <filter val="KHI/HO/D/MO/PD COMP/E/48835/10/2024"/>
        <filter val="KHI/HO/D/MO/PD COMP/E/48836/10/2024"/>
        <filter val="KHI/HO/D/MO/PD COMP/E/48837/10/2024"/>
        <filter val="KHI/HO/D/MO/PD COMP/E/48838/10/2024"/>
        <filter val="KHI/HO/D/MO/PD COMP/E/48857/11/2024"/>
        <filter val="KHI/HO/D/MO/PD COMP/E/48863/11/2024"/>
        <filter val="KHI/HO/D/MO/PD COMP/E/48872/11/2024"/>
        <filter val="KHI/HO/D/MO/PD COMP/E/48876/11/2024"/>
        <filter val="KHI/HO/D/MO/PD COMP/E/48901/11/2024"/>
        <filter val="KHI/HO/D/MO/PD COMP/E/48920/11/2024"/>
        <filter val="KHI/HO/D/MO/PD COMP/E/48924/11/2024"/>
        <filter val="KHI/HO/D/MO/PD COMP/E/48927/11/2024"/>
        <filter val="KHI/HO/D/MO/PD COMP/E/48932/11/2024"/>
        <filter val="KHI/HO/D/MO/PD COMP/E/48941/11/2024"/>
        <filter val="KHI/HO/D/MO/PD COMP/E/48950/11/2024"/>
        <filter val="KHI/HO/D/MO/PD COMP/E/48953/11/2024"/>
        <filter val="KHI/HO/D/MO/PD COMP/E/48963/11/2024"/>
        <filter val="KHI/HO/D/MO/PD COMP/E/48966/11/2024"/>
        <filter val="KHI/HO/D/MO/PD COMP/E/48970/11/2024"/>
        <filter val="KHI/HO/D/MO/PD COMP/E/48971/11/2024"/>
        <filter val="KHI/HO/D/MO/PD COMP/E/48992/11/2024"/>
        <filter val="KHI/HO/D/MO/PD COMP/E/49054/11/2024"/>
        <filter val="KHI/HO/D/MO/PD COMP/E/49058/11/2024"/>
        <filter val="KHI/HO/D/MO/PD COMP/E/49072/11/2024"/>
        <filter val="KHI/HO/D/MO/PD COMP/E/49108/11/2024"/>
        <filter val="KHI/HO/D/MO/PD COMP/E/49112/11/2024"/>
        <filter val="KHI/HO/D/MO/PD COMP/E/49114/11/2024"/>
        <filter val="KHI/HO/D/MO/PD COMP/E/49118/11/2024"/>
        <filter val="KHI/HO/D/MO/PD COMP/E/49120/11/2024"/>
        <filter val="KHI/HO/D/MO/PD COMP/E/49123/11/2024"/>
        <filter val="KHI/HO/D/MO/PD COMP/E/49129/11/2024"/>
        <filter val="KHI/HO/D/MO/PD COMP/E/49144/11/2024"/>
        <filter val="KHI/HO/D/MO/PD COMP/E/49145/11/2024"/>
        <filter val="KHI/HO/D/MO/PD COMP/E/49189/11/2024"/>
        <filter val="KHI/HO/D/MO/PD COMP/E/49222/11/2024"/>
        <filter val="KHI/HO/D/MO/PD COMP/E/49229/11/2024"/>
        <filter val="KHI/HO/D/MO/PD COMP/E/49233/11/2024"/>
        <filter val="KHI/HO/D/MO/PD COMP/E/49249/11/2024"/>
        <filter val="KHI/HO/D/MO/PD COMP/E/49253/11/2024"/>
        <filter val="KHI/HO/D/MO/PD COMP/E/49254/11/2024"/>
        <filter val="KHI/HO/D/MO/PD COMP/E/49286/11/2024"/>
        <filter val="KHI/HO/D/MO/PD COMP/E/49287/11/2024"/>
        <filter val="KHI/HO/D/MO/PD COMP/E/49290/11/2024"/>
        <filter val="KHI/HO/D/MO/PD COMP/E/49332/11/2024"/>
        <filter val="KHI/HO/D/MO/PD COMP/E/49335/11/2024"/>
        <filter val="KHI/HO/D/MO/PD COMP/E/49339/11/2024"/>
        <filter val="KHI/HO/D/MO/PD COMP/E/49352/11/2024"/>
        <filter val="KHI/HO/D/MO/PD COMP/E/49509/11/2024"/>
        <filter val="KHI/HO/D/MO/PD COMP/E/49512/11/2024"/>
        <filter val="KHI/HO/D/MO/PD COMP/E/49521/11/2024"/>
        <filter val="KHI/HO/D/MO/PD COMP/E/49551/11/2024"/>
        <filter val="KHI/HO/D/MO/PD COMP/E/49555/11/2024"/>
        <filter val="KHI/HO/D/MO/PD COMP/E/49569/12/2024"/>
        <filter val="KHI/HO/D/MO/PD COMP/E/49577/12/2024"/>
        <filter val="KHI/HO/D/MO/PD COMP/E/49601/12/2024"/>
        <filter val="KHI/HO/D/MO/PD COMP/E/49607/12/2024"/>
        <filter val="KHI/HO/D/MO/PD COMP/E/49612/12/2024"/>
        <filter val="KHI/HO/D/MO/PD COMP/E/49614/12/2024"/>
        <filter val="KHI/HO/D/MO/PD COMP/E/49619/12/2024"/>
        <filter val="KHI/HO/D/MO/PD COMP/E/49621/12/2024"/>
        <filter val="KHI/HO/D/MO/PD COMP/E/49630/12/2024"/>
        <filter val="KHI/HO/D/MO/PD COMP/E/49703/12/2024"/>
        <filter val="KHI/HO/D/MO/PD COMP/E/49710/12/2024"/>
        <filter val="KHI/HO/D/MO/PD COMP/E/49720/12/2024"/>
        <filter val="KHI/HO/D/MO/PD COMP/E/49723/12/2024"/>
        <filter val="KHI/HO/D/MO/PD COMP/E/49725/12/2024"/>
        <filter val="KHI/HO/D/MO/PD COMP/E/49734/12/2024"/>
        <filter val="KHI/HO/D/MO/PD COMP/E/49776/12/2024"/>
        <filter val="KHI/HO/D/MO/PD COMP/E/49782/12/2024"/>
        <filter val="KHI/HO/D/MO/PD COMP/E/49788/12/2024"/>
        <filter val="KHI/HO/D/MO/PD COMP/E/49815/12/2024"/>
        <filter val="KHI/HO/D/MO/PD COMP/E/49830/12/2024"/>
        <filter val="KHI/HO/D/MO/PD COMP/E/49831/12/2024"/>
        <filter val="KHI/HO/D/MO/PD COMP/E/49835/12/2024"/>
        <filter val="KHI/HO/D/MO/PD COMP/E/49870/12/2024"/>
        <filter val="KHI/HO/D/MO/PD COMP/E/49885/12/2024"/>
        <filter val="KHI/HO/D/MO/PD COMP/E/49886/12/2024"/>
        <filter val="KHI/HO/D/MO/PD COMP/E/49887/12/2024"/>
        <filter val="KHI/HO/D/MO/PD COMP/E/49906/12/2024"/>
        <filter val="KHI/HO/D/MO/PD COMP/E/49910/12/2024"/>
        <filter val="KHI/HO/D/MO/PD COMP/E/49924/12/2024"/>
        <filter val="KHI/HO/D/MO/PD COMP/E/49952/12/2024"/>
        <filter val="KHI/HO/D/MO/PD COMP/E/50071/12/2024"/>
        <filter val="KHI/HO/D/MO/PD COMP/E/50073/12/2024"/>
        <filter val="KHI/HO/D/MO/PD COMP/E/50076/12/2024"/>
        <filter val="KHI/HO/D/MO/PD COMP/E/50084/12/2024"/>
        <filter val="KHI/HO/D/MO/PD COMP/E/50095/12/2024"/>
        <filter val="KHI/HO/D/MO/PD COMP/E/50101/12/2024"/>
        <filter val="KHI/HO/D/MO/PD COMP/E/50151/12/2024"/>
        <filter val="KHI/HO/D/MO/PD COMP/E/50161/12/2024"/>
        <filter val="KHI/HO/D/MO/PD COMP/E/50164/12/2024"/>
        <filter val="KHI/HO/D/MO/PD COMP/E/50210/12/2024"/>
        <filter val="KHI/HO/D/MO/PD COMP/E/50213/12/2024"/>
        <filter val="KHI/HO/D/MO/PD COMP/E/50218/12/2024"/>
        <filter val="KHI/HO/D/MO/PD COMP/E/50249/12/2024"/>
        <filter val="KHI/HO/D/MO/PD COMP/E/50250/12/2024"/>
        <filter val="KHI/HO/D/MO/PD COMP/E/50256/12/2024"/>
        <filter val="KHI/HO/D/MO/PD COMP/E/50273/12/2024"/>
        <filter val="KHI/HO/D/MO/PD COMP/E/50274/12/2024"/>
        <filter val="KHI/HO/D/MO/PD COMP/E/50318/12/2024"/>
        <filter val="KHI/HO/D/MO/PD COMP/E/50320/12/2024"/>
        <filter val="KHI/HO/D/MO/PD COMP/E/50325/12/2024"/>
        <filter val="KHI/HO/D/MO/PD COMP/E/50326/12/2024"/>
        <filter val="KHI/HO/D/MO/PD COMP/E/50338/12/2024"/>
        <filter val="KHI/HO/D/MO/PD COMP/E/50357/12/2024"/>
        <filter val="KHI/HO/D/MO/PD COMP/E/50361/12/2024"/>
        <filter val="KHI/HO/D/MO/PD COMP/E/50362/12/2024"/>
        <filter val="KHI/HO/D/MO/PD COMP/E/50363/12/2024"/>
        <filter val="KHI/HO/D/MO/PD COMP/E/50370/12/2024"/>
        <filter val="KHI/HO/D/MO/PD COMP/E/50386/12/2024"/>
        <filter val="KHI/HO/D/MO/PD COMP/E/50407/12/2024"/>
        <filter val="KHI/HO/D/MO/PD COMP/E/50410/12/2024"/>
        <filter val="KHI/HO/D/MO/PD COMP/E/50411/12/2024"/>
        <filter val="KHI/HO/D/MO/PD COMP/E/50417/12/2024"/>
        <filter val="KHI/HO/D/MO/PD COMP/E/50422/12/2024"/>
        <filter val="KHI/HO/D/MO/PD COMP/E/50443/12/2024"/>
        <filter val="KHI/HO/D/MO/PD COMP/E/50450/12/2024"/>
        <filter val="KHI/HO/D/MO/PD COMP/E/50451/12/2024"/>
        <filter val="KHI/HO/D/MO/PD COMP/E/50452/12/2024"/>
        <filter val="KHI/HO/D/MO/PD COMP/E/50453/12/2024"/>
        <filter val="KHI/HO/D/MO/PD COMP/E/50454/12/2024"/>
        <filter val="KHI/HO/D/MO/PD COMP/E/50455/12/2024"/>
        <filter val="KHI/HO/D/MO/PD COMP/E/50456/12/2024"/>
        <filter val="KHI/HO/D/MO/PD COMP/E/50457/12/2024"/>
        <filter val="KHI/HO/D/MO/PD COMP/E/50458/12/2024"/>
        <filter val="KHI/HO/D/MO/PD COMP/E/50459/12/2024"/>
        <filter val="KHI/HO/D/MO/PD COMP/E/50460/12/2024"/>
        <filter val="KHI/HO/D/MO/PD COMP/E/50461/12/2024"/>
        <filter val="KHI/HO/D/MO/PD COMP/E/50462/12/2024"/>
        <filter val="KHI/HO/D/MO/PD COMP/E/50463/12/2024"/>
        <filter val="KHI/HO/D/MO/PD COMP/E/50464/12/2024"/>
        <filter val="KHI/HO/D/MO/PD COMP/E/50465/12/2024"/>
        <filter val="KHI/HO/D/MO/PD COMP/E/50466/12/2024"/>
        <filter val="KHI/HO/D/MO/PD COMP/E/50467/12/2024"/>
        <filter val="KHI/HO/D/MO/PD COMP/E/50468/12/2024"/>
        <filter val="KHI/HO/D/MO/PD COMP/E/50469/12/2024"/>
        <filter val="KHI/HO/D/MO/PD COMP/E/50470/12/2024"/>
        <filter val="KHI/HO/D/MO/PD COMP/E/50471/12/2024"/>
        <filter val="KHI/HO/D/MO/PD COMP/E/50472/12/2024"/>
        <filter val="KHI/HO/D/MO/PD COMP/E/50473/12/2024"/>
        <filter val="KHI/HO/D/MO/PD COMP/E/50474/12/2024"/>
        <filter val="KHI/HO/D/MO/PD COMP/E/50475/12/2024"/>
        <filter val="KHI/HO/D/MO/PD COMP/E/50476/12/2024"/>
        <filter val="KHI/HO/D/MO/PD COMP/E/50477/12/2024"/>
        <filter val="KHI/HO/D/MO/PD COMP/E/50478/12/2024"/>
        <filter val="KHI/HO/D/MO/PD COMP/E/50479/12/2024"/>
        <filter val="KHI/HO/D/MO/PD COMP/E/50480/12/2024"/>
        <filter val="KHI/HO/D/MO/PD COMP/E/50481/12/2024"/>
        <filter val="KHI/HO/D/MO/PD COMP/E/50482/12/2024"/>
        <filter val="KHI/HO/D/MO/PD COMP/E/50483/12/2024"/>
        <filter val="KHI/HO/D/MO/PD COMP/E/50484/12/2024"/>
        <filter val="KHI/HO/D/MO/PD COMP/E/50485/12/2024"/>
        <filter val="KHI/HO/D/MO/PD COMP/E/50486/12/2024"/>
        <filter val="KHI/HO/D/MO/PD COMP/E/50488/12/2024"/>
        <filter val="KHI/HO/D/MO/PD COMP/E/50489/12/2024"/>
        <filter val="KHI/HO/D/MO/PD COMP/E/50490/12/2024"/>
        <filter val="KHI/HO/D/MO/PD COMP/E/50491/12/2024"/>
        <filter val="KHI/HO/D/MO/PD COMP/E/50492/12/2024"/>
        <filter val="KHI/HO/D/MO/PD COMP/E/50493/12/2024"/>
        <filter val="KHI/HO/D/MO/PD COMP/E/50494/12/2024"/>
        <filter val="KHI/HO/D/MO/PD COMP/E/50495/12/2024"/>
        <filter val="KHI/HO/D/MO/PD COMP/E/50496/12/2024"/>
        <filter val="KHI/HO/D/MO/PD COMP/E/50497/12/2024"/>
        <filter val="KHI/HO/D/MO/PD COMP/E/50498/12/2024"/>
        <filter val="KHI/HO/D/MO/PD COMP/E/50499/12/2024"/>
        <filter val="KHI/HO/D/MO/PD COMP/E/50500/12/2024"/>
        <filter val="KHI/HO/D/MO/PD COMP/E/50501/12/2024"/>
        <filter val="KHI/HO/D/MO/PD COMP/E/50502/12/2024"/>
        <filter val="KHI/HO/D/MO/PD COMP/E/50503/12/2024"/>
        <filter val="KHI/HO/D/MO/PD COMP/E/50504/12/2024"/>
        <filter val="KHI/HO/D/MO/PD COMP/E/50505/12/2024"/>
        <filter val="KHI/HO/D/MO/PD COMP/E/50506/12/2024"/>
        <filter val="KHI/HO/D/MO/PD COMP/E/50507/12/2024"/>
        <filter val="KHI/HO/D/MO/PD COMP/E/50508/12/2024"/>
        <filter val="KHI/HO/D/MO/PD COMP/E/50509/12/2024"/>
        <filter val="KHI/HO/D/MO/PD COMP/E/50510/12/2024"/>
        <filter val="KHI/HO/D/MO/PD COMP/E/50511/12/2024"/>
        <filter val="KHI/HO/D/MO/PD COMP/E/50512/12/2024"/>
        <filter val="KHI/HO/D/MO/PD COMP/E/50513/12/2024"/>
        <filter val="KHI/HO/D/MO/PD COMP/E/50514/12/2024"/>
        <filter val="KHI/HO/D/MO/PD COMP/E/50515/12/2024"/>
        <filter val="KHI/HO/D/MO/PD COMP/E/50516/12/2024"/>
        <filter val="KHI/HO/D/MO/PD COMP/E/50517/12/2024"/>
        <filter val="KHI/HO/D/MO/PD COMP/E/50518/12/2024"/>
        <filter val="KHI/HO/D/MO/PD COMP/E/50519/12/2024"/>
        <filter val="KHI/HO/D/MO/PD COMP/E/50520/12/2024"/>
        <filter val="KHI/HO/D/MO/PD COMP/E/50521/12/2024"/>
        <filter val="KHI/HO/D/MO/PD COMP/E/50522/12/2024"/>
        <filter val="KHI/HO/D/MO/PD COMP/E/50523/12/2024"/>
        <filter val="KHI/HO/D/MO/PD COMP/E/50524/12/2024"/>
        <filter val="KHI/HO/D/MO/PD COMP/E/50525/12/2024"/>
        <filter val="KHI/HO/D/MO/PD COMP/E/50527/12/2024"/>
        <filter val="KHI/HO/D/MO/PD COMP/E/50528/12/2024"/>
        <filter val="KHI/HO/D/MO/PD COMP/E/50529/12/2024"/>
        <filter val="KHI/HO/D/MO/PD COMP/E/50530/12/2024"/>
        <filter val="KHI/HO/D/MO/PD COMP/E/50531/12/2024"/>
        <filter val="KHI/HO/D/MO/PD COMP/E/50532/12/2024"/>
        <filter val="KHI/HO/D/MO/PD COMP/E/50533/12/2024"/>
        <filter val="KHI/HO/D/MO/PD COMP/E/50535/12/2024"/>
        <filter val="KHI/HO/D/MO/PD COMP/E/50536/12/2024"/>
        <filter val="KHI/HO/D/MO/PD COMP/E/50537/12/2024"/>
        <filter val="KHI/HO/D/MO/PD COMP/E/50538/12/2024"/>
        <filter val="KHI/HO/D/MO/PD COMP/E/50539/12/2024"/>
        <filter val="KHI/HO/D/MO/PD COMP/E/50540/12/2024"/>
        <filter val="KHI/HO/D/MO/PD COMP/E/50541/12/2024"/>
        <filter val="KHI/HO/D/MO/PD COMP/E/50542/12/2024"/>
        <filter val="KHI/HO/D/MO/PD COMP/E/50543/12/2024"/>
        <filter val="KHI/HO/D/MO/PD COMP/E/50544/12/2024"/>
        <filter val="KHI/HO/D/MO/PD COMP/E/50546/12/2024"/>
        <filter val="KHI/HO/D/MO/PD COMP/E/50547/12/2024"/>
        <filter val="KHI/HO/D/MO/PD COMP/E/50548/12/2024"/>
        <filter val="KHI/HO/D/MO/PD COMP/E/50550/12/2024"/>
        <filter val="KHI/HO/D/MO/PD COMP/E/50551/12/2024"/>
        <filter val="KHI/HO/D/MO/PD COMP/E/50552/12/2024"/>
        <filter val="KHI/HO/D/MO/PD COMP/E/50554/12/2024"/>
        <filter val="KHI/HO/D/MO/PD COMP/E/50555/12/2024"/>
        <filter val="KHI/HO/D/MO/PD COMP/E/50556/12/2024"/>
        <filter val="KHI/HO/D/MO/PD COMP/E/50557/12/2024"/>
        <filter val="KHI/HO/D/MO/PD COMP/E/50558/12/2024"/>
        <filter val="KHI/HO/D/MO/PD COMP/E/50559/12/2024"/>
        <filter val="KHI/HO/D/MO/PD COMP/E/50560/12/2024"/>
        <filter val="KHI/HO/D/MO/PD COMP/E/50561/12/2024"/>
        <filter val="KHI/HO/D/MO/PD COMP/E/50562/12/2024"/>
        <filter val="KHI/HO/D/MO/PD COMP/E/50564/12/2024"/>
        <filter val="KHI/HO/D/MO/PD COMP/E/50565/12/2024"/>
        <filter val="KHI/HO/D/MO/PD COMP/E/50566/12/2024"/>
        <filter val="KHI/HO/D/MO/PD COMP/E/50567/12/2024"/>
        <filter val="KHI/HO/D/MO/PD COMP/E/50568/12/2024"/>
        <filter val="KHI/HO/D/MO/PD COMP/E/50569/12/2024"/>
        <filter val="KHI/HO/D/MO/PD COMP/E/50570/12/2024"/>
        <filter val="KHI/HO/D/MO/PD COMP/E/50573/12/2024"/>
        <filter val="KHI/HO/D/MO/PD COMP/E/50575/12/2024"/>
        <filter val="KHI/HO/D/MO/PD COMP/E/50577/12/2024"/>
        <filter val="KHI/HO/D/MO/PD COMP/E/50579/12/2024"/>
        <filter val="KHI/HO/D/MO/PD COMP/E/50580/12/2024"/>
        <filter val="KHI/HO/D/MO/PD COMP/E/50581/12/2024"/>
        <filter val="KHI/HO/D/MO/PD COMP/E/50582/12/2024"/>
        <filter val="KHI/HO/D/MO/PD COMP/E/50583/12/2024"/>
        <filter val="KHI/HO/D/MO/PD COMP/E/50584/12/2024"/>
        <filter val="KHI/HO/D/MO/PD COMP/E/50586/12/2024"/>
        <filter val="KHI/HO/D/MO/PD COMP/E/50587/12/2024"/>
        <filter val="KHI/HO/D/MO/PD COMP/E/50589/12/2024"/>
        <filter val="KHI/HO/D/MO/PD COMP/E/50591/12/2024"/>
        <filter val="KHI/HO/D/MO/PD COMP/E/50592/12/2024"/>
        <filter val="KHI/HO/D/MO/PD COMP/E/50616/12/2024"/>
        <filter val="KHI/HO/D/MO/PD COMP/E/50626/12/2024"/>
        <filter val="KHI/HO/D/MO/PD COMP/E/50674/12/2024"/>
        <filter val="KHI/HO/D/MO/PD COMP/E/50696/01/2025"/>
        <filter val="KHI/HO/D/MO/PD COMP/E/50699/01/2025"/>
        <filter val="KHI/HO/D/MO/PD COMP/E/50731/01/2025"/>
        <filter val="KHI/HO/D/MO/PD COMP/E/50819/01/2025"/>
        <filter val="KHI/HO/D/MO/PD COMP/E/50835/01/2025"/>
        <filter val="KHI/HO/D/MO/PD COMP/E/50839/01/2025"/>
        <filter val="KHI/HO/D/MO/PD COMP/E/50853/01/2025"/>
        <filter val="KHI/HO/D/MO/PD COMP/E/51516/01/2025"/>
        <filter val="KHI/HO/D/MO/PD COMP/E/51525/01/2025"/>
        <filter val="KHI/HO/D/MO/PD COMP/E/51554/01/2025"/>
        <filter val="KHI/HO/D/MO/PD COMP/E/51636/01/2025"/>
        <filter val="KHI/HO/D/MO/PD COMP/E/51650/01/2025"/>
        <filter val="KHI/HO/D/MO/PD COMP/E/51668/01/2025"/>
        <filter val="KHI/HO/D/MO/PD COMP/E/51777/01/2025"/>
        <filter val="KHI/HO/D/MO/PD COMP/E/51815/01/2025"/>
        <filter val="KHI/HO/D/MO/PD COMP/E/51857/01/2025"/>
        <filter val="KHI/HO/D/MO/PD COMP/E/51874/01/2025"/>
        <filter val="KHI/HO/D/MO/PD COMP/E/51888/01/2025"/>
        <filter val="KHI/HO/D/MO/PD COMP/E/51897/01/2025"/>
        <filter val="KHI/HO/D/MO/PD COMP/E/51936/01/2025"/>
        <filter val="KHI/HO/D/MO/PD COMP/E/51956/01/2025"/>
        <filter val="KHI/HO/D/MO/PD COMP/E/51974/02/2025"/>
        <filter val="KHI/HO/D/MO/PD COMP/E/51975/02/2025"/>
        <filter val="KHI/HO/D/MO/PD COMP/E/51976/02/2025"/>
        <filter val="KHI/HO/D/MO/PD COMP/E/51977/02/2025"/>
        <filter val="KHI/HO/D/MO/PD COMP/E/51978/02/2025"/>
        <filter val="KHI/HO/D/MO/PD COMP/E/51979/02/2025"/>
        <filter val="KHI/HO/D/MO/PD COMP/E/51980/02/2025"/>
        <filter val="KHI/HO/D/MO/PD COMP/E/51981/02/2025"/>
        <filter val="KHI/HO/D/MO/PD COMP/E/52009/02/2025"/>
        <filter val="KHI/HO/D/MO/PD COMP/E/52012/02/2025"/>
        <filter val="KHI/HO/D/MO/PD COMP/E/52061/02/2025"/>
        <filter val="KHI/HO/D/MO/PD COMP/E/52080/02/2025"/>
        <filter val="KHI/HO/D/MO/PD COMP/E/52081/02/2025"/>
        <filter val="KHI/HO/D/MO/PD COMP/E/52085/02/2025"/>
        <filter val="KHI/HO/D/MO/PD COMP/E/52088/02/2025"/>
        <filter val="KHI/HO/D/MO/PD COMP/E/52246/02/2025"/>
        <filter val="KHI/HO/D/MO/PD COMP/E/52396/02/2025"/>
        <filter val="KHI/HO/D/MO/PD COMP/E/52409/02/2025"/>
        <filter val="KHI/HO/D/MO/PD COMP/E/52564/02/2025"/>
        <filter val="KHI/HO/D/MO/PD COMP/E/52573/02/2025"/>
        <filter val="KHI/HO/D/MO/PD COMP/E/52634/02/2025"/>
        <filter val="KHI/HO/D/MO/PD COMP/E/52646/02/2025"/>
        <filter val="KHI/HO/D/MO/PD COMP/E/52734/02/2025"/>
        <filter val="KHI/HO/D/MO/PD COMP/E/52749/02/2025"/>
        <filter val="KHI/HO/D/MO/PD COMP/E/52764/02/2025"/>
        <filter val="KHI/HO/D/MO/PD COMP/E/52771/02/2025"/>
        <filter val="KHI/HO/D/MO/PD COMP/E/52808/02/2025"/>
        <filter val="KHI/HO/D/MO/PD COMP/E/52848/03/2025"/>
        <filter val="KHI/HO/D/MO/PD COMP/E/52859/03/2025"/>
        <filter val="KHI/HO/D/MO/PD COMP/E/52888/03/2025"/>
        <filter val="KHI/HO/D/MO/PD COMP/E/52889/03/2025"/>
        <filter val="KHI/HO/D/MO/PD COMP/E/53094/03/2025"/>
        <filter val="KHI/HO/D/MO/PD COMP/E/53159/03/2025"/>
        <filter val="KHI/HO/D/MO/PD COMP/E/53501/03/2025"/>
        <filter val="KHI/HO/D/MO/PD COMP/E/53520/03/2025"/>
        <filter val="KHI/HO/D/MO/PD COMP/E/58983/03/2025"/>
        <filter val="KHI/HO/D/MO/PD COMP/E/59007/03/2025"/>
        <filter val="KHI/HO/D/MO/PD COMP/E/59022/03/2025"/>
        <filter val="KHI/HO/D/MO/PD COMP/E/59097/04/2025"/>
        <filter val="KHI/HO/D/MO/PD COMP/E/59099/04/2025"/>
        <filter val="KHI/HO/D/MO/PD COMP/E/59101/04/2025"/>
        <filter val="KHI/HO/D/MO/PD COMP/E/59150/04/2025"/>
        <filter val="KHI/HO/D/MO/PD COMP/E/59169/03/2025"/>
        <filter val="KHI/HO/D/MO/PD COMP/E/59170/03/2025"/>
        <filter val="KHI/HO/D/MO/PD COMP/E/59171/03/2025"/>
        <filter val="KHI/HO/D/MO/PD COMP/E/59173/03/2025"/>
        <filter val="KHI/HO/D/MO/PD COMP/E/59174/03/2025"/>
        <filter val="KHI/HO/D/MO/PD COMP/E/59175/03/2025"/>
        <filter val="KHI/HO/D/MO/PD COMP/E/59176/03/2025"/>
        <filter val="KHI/HO/D/MO/PD COMP/E/59178/03/2025"/>
        <filter val="KHI/HO/D/MO/PD COMP/E/59179/03/2025"/>
        <filter val="KHI/HO/D/MO/PD COMP/E/59180/03/2025"/>
        <filter val="KHI/HO/D/MO/PD COMP/E/59181/03/2025"/>
        <filter val="KHI/HO/D/MO/PD COMP/E/59183/03/2025"/>
        <filter val="KHI/HO/D/MO/PD COMP/E/59184/03/2025"/>
        <filter val="KHI/HO/D/MO/PD COMP/E/59185/03/2025"/>
        <filter val="KHI/HO/D/MO/PD COMP/E/59186/03/2025"/>
        <filter val="KHI/HO/D/MO/PD COMP/E/59189/03/2025"/>
        <filter val="KHI/HO/D/MO/PD COMP/E/59193/03/2025"/>
        <filter val="KHI/HO/D/MO/PD COMP/E/59196/03/2025"/>
        <filter val="KHI/HO/D/MO/PD COMP/E/59197/03/2025"/>
        <filter val="KHI/HO/D/MO/PD COMP/E/59199/03/2025"/>
        <filter val="KHI/HO/D/MO/PD COMP/E/59200/03/2025"/>
        <filter val="KHI/HO/D/MO/PD COMP/E/59201/03/2025"/>
        <filter val="KHI/HO/D/MO/PD COMP/E/59202/03/2025"/>
        <filter val="KHI/HO/D/MO/PD COMP/E/59203/03/2025"/>
        <filter val="KHI/HO/D/MO/PD COMP/E/59205/03/2025"/>
        <filter val="KHI/HO/D/MO/PD COMP/E/59206/03/2025"/>
        <filter val="KHI/HO/D/MO/PD COMP/E/59208/03/2025"/>
        <filter val="KHI/HO/D/MO/PD COMP/E/59209/03/2025"/>
        <filter val="KHI/HO/D/MO/PD COMP/E/59210/03/2025"/>
        <filter val="KHI/HO/D/MO/PD COMP/E/59211/03/2025"/>
        <filter val="KHI/HO/D/MO/PD COMP/E/59212/03/2025"/>
        <filter val="KHI/HO/D/MO/PD COMP/E/59215/03/2025"/>
        <filter val="KHI/HO/D/MO/PD COMP/E/59216/03/2025"/>
        <filter val="KHI/HO/D/MO/PD COMP/E/59218/03/2025"/>
        <filter val="KHI/HO/D/MO/PD COMP/E/59219/03/2025"/>
        <filter val="KHI/HO/D/MO/PD COMP/E/59220/03/2025"/>
        <filter val="KHI/HO/D/MO/PD COMP/E/59221/03/2025"/>
        <filter val="KHI/HO/D/MO/PD COMP/E/59222/03/2025"/>
        <filter val="KHI/HO/D/MO/PD COMP/E/59224/03/2025"/>
        <filter val="KHI/HO/D/MO/PD COMP/E/59225/03/2025"/>
        <filter val="KHI/HO/D/MO/PD COMP/E/59227/03/2025"/>
        <filter val="KHI/HO/D/MO/PD COMP/E/59228/03/2025"/>
        <filter val="KHI/HO/D/MO/PD COMP/E/59231/03/2025"/>
        <filter val="KHI/HO/D/MO/PD COMP/E/59232/03/2025"/>
        <filter val="KHI/HO/D/MO/PD COMP/E/59233/03/2025"/>
        <filter val="KHI/HO/D/MO/PD COMP/E/59234/03/2025"/>
        <filter val="KHI/HO/D/MO/PD COMP/E/59235/03/2025"/>
        <filter val="KHI/HO/D/MO/PD COMP/P/100636/10/2024"/>
        <filter val="KHI/HO/D/MO/PD COMP/P/55880/09/2021"/>
        <filter val="KHI/HO/D/MO/PD COMP/P/56730/11/2021"/>
        <filter val="KHI/HO/D/MO/PD COMP/P/56778/11/2021"/>
        <filter val="KHI/HO/D/MO/PD COMP/P/56936/11/2021"/>
        <filter val="KHI/HO/D/MO/PD COMP/P/58087/01/2022"/>
        <filter val="KHI/HO/D/MO/PD COMP/P/58088/01/2022"/>
        <filter val="KHI/HO/D/MO/PD COMP/P/58180/01/2022"/>
        <filter val="KHI/HO/D/MO/PD COMP/P/58224/01/2022"/>
        <filter val="KHI/HO/D/MO/PD COMP/P/58234/01/2022"/>
        <filter val="KHI/HO/D/MO/PD COMP/P/58677/02/2022"/>
        <filter val="KHI/HO/D/MO/PD COMP/P/58795/02/2022"/>
        <filter val="KHI/HO/D/MO/PD COMP/P/59606/03/2022"/>
        <filter val="KHI/HO/D/MO/PD COMP/P/60210/04/2022"/>
        <filter val="KHI/HO/D/MO/PD COMP/P/60538/05/2022"/>
        <filter val="KHI/HO/D/MO/PD COMP/P/60617/05/2022"/>
        <filter val="KHI/HO/D/MO/PD COMP/P/60632/05/2022"/>
        <filter val="KHI/HO/D/MO/PD COMP/P/61418/06/2022"/>
        <filter val="KHI/HO/D/MO/PD COMP/P/62893/08/2022"/>
        <filter val="KHI/HO/D/MO/PD COMP/P/63305/09/2022"/>
        <filter val="KHI/HO/D/MO/PD COMP/P/63469/09/2022"/>
        <filter val="KHI/HO/D/MO/PD COMP/P/63588/09/2022"/>
        <filter val="KHI/HO/D/MO/PD COMP/P/66017/12/2022"/>
        <filter val="KHI/HO/D/MO/PD COMP/P/66188/12/2022"/>
        <filter val="KHI/HO/D/MO/PD COMP/P/66636/01/2023"/>
        <filter val="KHI/HO/D/MO/PD COMP/P/66820/01/2023"/>
        <filter val="KHI/HO/D/MO/PD COMP/P/66962/01/2023"/>
        <filter val="KHI/HO/D/MO/PD COMP/P/66982/01/2023"/>
        <filter val="KHI/HO/D/MO/PD COMP/P/66983/01/2023"/>
        <filter val="KHI/HO/D/MO/PD COMP/P/66986/01/2023"/>
        <filter val="KHI/HO/D/MO/PD COMP/P/67223/01/2023"/>
        <filter val="KHI/HO/D/MO/PD COMP/P/67402/02/2023"/>
        <filter val="KHI/HO/D/MO/PD COMP/P/67508/02/2023"/>
        <filter val="KHI/HO/D/MO/PD COMP/P/67739/02/2023"/>
        <filter val="KHI/HO/D/MO/PD COMP/P/67752/02/2023"/>
        <filter val="KHI/HO/D/MO/PD COMP/P/67996/02/2023"/>
        <filter val="KHI/HO/D/MO/PD COMP/P/68067/02/2023"/>
        <filter val="KHI/HO/D/MO/PD COMP/P/68293/02/2023"/>
        <filter val="KHI/HO/D/MO/PD COMP/P/68385/02/2023"/>
        <filter val="KHI/HO/D/MO/PD COMP/P/68451/03/2023"/>
        <filter val="KHI/HO/D/MO/PD COMP/P/68479/03/2023"/>
        <filter val="KHI/HO/D/MO/PD COMP/P/68491/03/2023"/>
        <filter val="KHI/HO/D/MO/PD COMP/P/68658/03/2023"/>
        <filter val="KHI/HO/D/MO/PD COMP/P/68786/03/2023"/>
        <filter val="KHI/HO/D/MO/PD COMP/P/68967/03/2023"/>
        <filter val="KHI/HO/D/MO/PD COMP/P/68970/03/2023"/>
        <filter val="KHI/HO/D/MO/PD COMP/P/69150/03/2023"/>
        <filter val="KHI/HO/D/MO/PD COMP/P/69313/03/2023"/>
        <filter val="KHI/HO/D/MO/PD COMP/P/69427/04/2023"/>
        <filter val="KHI/HO/D/MO/PD COMP/P/69487/04/2023"/>
        <filter val="KHI/HO/D/MO/PD COMP/P/69489/04/2023"/>
        <filter val="KHI/HO/D/MO/PD COMP/P/69519/04/2023"/>
        <filter val="KHI/HO/D/MO/PD COMP/P/69562/04/2023"/>
        <filter val="KHI/HO/D/MO/PD COMP/P/69644/04/2023"/>
        <filter val="KHI/HO/D/MO/PD COMP/P/69659/04/2023"/>
        <filter val="KHI/HO/D/MO/PD COMP/P/69812/04/2023"/>
        <filter val="KHI/HO/D/MO/PD COMP/P/69846/04/2023"/>
        <filter val="KHI/HO/D/MO/PD COMP/P/69859/04/2023"/>
        <filter val="KHI/HO/D/MO/PD COMP/P/69889/04/2023"/>
        <filter val="KHI/HO/D/MO/PD COMP/P/70104/04/2023"/>
        <filter val="KHI/HO/D/MO/PD COMP/P/70152/04/2023"/>
        <filter val="KHI/HO/D/MO/PD COMP/P/70377/05/2023"/>
        <filter val="KHI/HO/D/MO/PD COMP/P/70401/05/2023"/>
        <filter val="KHI/HO/D/MO/PD COMP/P/70465/05/2023"/>
        <filter val="KHI/HO/D/MO/PD COMP/P/70759/05/2023"/>
        <filter val="KHI/HO/D/MO/PD COMP/P/70953/05/2023"/>
        <filter val="KHI/HO/D/MO/PD COMP/P/71162/05/2023"/>
        <filter val="KHI/HO/D/MO/PD COMP/P/71217/05/2023"/>
        <filter val="KHI/HO/D/MO/PD COMP/P/71235/05/2023"/>
        <filter val="KHI/HO/D/MO/PD COMP/P/71276/05/2023"/>
        <filter val="KHI/HO/D/MO/PD COMP/P/71397/05/2023"/>
        <filter val="KHI/HO/D/MO/PD COMP/P/71440/05/2023"/>
        <filter val="KHI/HO/D/MO/PD COMP/P/71497/05/2023"/>
        <filter val="KHI/HO/D/MO/PD COMP/P/71526/05/2023"/>
        <filter val="KHI/HO/D/MO/PD COMP/P/71527/05/2023"/>
        <filter val="KHI/HO/D/MO/PD COMP/P/71529/05/2023"/>
        <filter val="KHI/HO/D/MO/PD COMP/P/71550/05/2023"/>
        <filter val="KHI/HO/D/MO/PD COMP/P/71571/06/2023"/>
        <filter val="KHI/HO/D/MO/PD COMP/P/71585/06/2023"/>
        <filter val="KHI/HO/D/MO/PD COMP/P/71611/06/2023"/>
        <filter val="KHI/HO/D/MO/PD COMP/P/71645/06/2023"/>
        <filter val="KHI/HO/D/MO/PD COMP/P/71769/06/2023"/>
        <filter val="KHI/HO/D/MO/PD COMP/P/71775/06/2023"/>
        <filter val="KHI/HO/D/MO/PD COMP/P/71802/06/2023"/>
        <filter val="KHI/HO/D/MO/PD COMP/P/71823/06/2023"/>
        <filter val="KHI/HO/D/MO/PD COMP/P/71830/06/2023"/>
        <filter val="KHI/HO/D/MO/PD COMP/P/71861/06/2023"/>
        <filter val="KHI/HO/D/MO/PD COMP/P/71942/06/2023"/>
        <filter val="KHI/HO/D/MO/PD COMP/P/72034/06/2023"/>
        <filter val="KHI/HO/D/MO/PD COMP/P/72134/06/2023"/>
        <filter val="KHI/HO/D/MO/PD COMP/P/72244/06/2023"/>
        <filter val="KHI/HO/D/MO/PD COMP/P/72254/06/2023"/>
        <filter val="KHI/HO/D/MO/PD COMP/P/72269/06/2023"/>
        <filter val="KHI/HO/D/MO/PD COMP/P/72287/06/2023"/>
        <filter val="KHI/HO/D/MO/PD COMP/P/72340/06/2023"/>
        <filter val="KHI/HO/D/MO/PD COMP/P/72342/06/2023"/>
        <filter val="KHI/HO/D/MO/PD COMP/P/72345/06/2023"/>
        <filter val="KHI/HO/D/MO/PD COMP/P/72357/06/2023"/>
        <filter val="KHI/HO/D/MO/PD COMP/P/72374/06/2023"/>
        <filter val="KHI/HO/D/MO/PD COMP/P/72452/06/2023"/>
        <filter val="KHI/HO/D/MO/PD COMP/P/72453/06/2023"/>
        <filter val="KHI/HO/D/MO/PD COMP/P/72496/06/2023"/>
        <filter val="KHI/HO/D/MO/PD COMP/P/72544/07/2023"/>
        <filter val="KHI/HO/D/MO/PD COMP/P/72630/07/2023"/>
        <filter val="KHI/HO/D/MO/PD COMP/P/72637/07/2023"/>
        <filter val="KHI/HO/D/MO/PD COMP/P/72640/07/2023"/>
        <filter val="KHI/HO/D/MO/PD COMP/P/72869/07/2023"/>
        <filter val="KHI/HO/D/MO/PD COMP/P/73009/07/2023"/>
        <filter val="KHI/HO/D/MO/PD COMP/P/73026/07/2023"/>
        <filter val="KHI/HO/D/MO/PD COMP/P/73091/07/2023"/>
        <filter val="KHI/HO/D/MO/PD COMP/P/73241/07/2023"/>
        <filter val="KHI/HO/D/MO/PD COMP/P/73243/07/2023"/>
        <filter val="KHI/HO/D/MO/PD COMP/P/73293/07/2023"/>
        <filter val="KHI/HO/D/MO/PD COMP/P/73304/07/2023"/>
        <filter val="KHI/HO/D/MO/PD COMP/P/73441/07/2023"/>
        <filter val="KHI/HO/D/MO/PD COMP/P/73442/07/2023"/>
        <filter val="KHI/HO/D/MO/PD COMP/P/73674/08/2023"/>
        <filter val="KHI/HO/D/MO/PD COMP/P/73715/08/2023"/>
        <filter val="KHI/HO/D/MO/PD COMP/P/73717/08/2023"/>
        <filter val="KHI/HO/D/MO/PD COMP/P/73754/08/2023"/>
        <filter val="KHI/HO/D/MO/PD COMP/P/73801/08/2023"/>
        <filter val="KHI/HO/D/MO/PD COMP/P/73868/08/2023"/>
        <filter val="KHI/HO/D/MO/PD COMP/P/73919/08/2023"/>
        <filter val="KHI/HO/D/MO/PD COMP/P/74078/08/2023"/>
        <filter val="KHI/HO/D/MO/PD COMP/P/74086/08/2023"/>
        <filter val="KHI/HO/D/MO/PD COMP/P/74186/08/2023"/>
        <filter val="KHI/HO/D/MO/PD COMP/P/74210/08/2023"/>
        <filter val="KHI/HO/D/MO/PD COMP/P/74216/08/2023"/>
        <filter val="KHI/HO/D/MO/PD COMP/P/74543/08/2023"/>
        <filter val="KHI/HO/D/MO/PD COMP/P/74723/08/2023"/>
        <filter val="KHI/HO/D/MO/PD COMP/P/74810/09/2023"/>
        <filter val="KHI/HO/D/MO/PD COMP/P/74876/09/2023"/>
        <filter val="KHI/HO/D/MO/PD COMP/P/74911/09/2023"/>
        <filter val="KHI/HO/D/MO/PD COMP/P/74978/09/2023"/>
        <filter val="KHI/HO/D/MO/PD COMP/P/75012/09/2023"/>
        <filter val="KHI/HO/D/MO/PD COMP/P/75077/09/2023"/>
        <filter val="KHI/HO/D/MO/PD COMP/P/75107/09/2023"/>
        <filter val="KHI/HO/D/MO/PD COMP/P/75196/09/2023"/>
        <filter val="KHI/HO/D/MO/PD COMP/P/75207/09/2023"/>
        <filter val="KHI/HO/D/MO/PD COMP/P/75280/09/2023"/>
        <filter val="KHI/HO/D/MO/PD COMP/P/75306/09/2023"/>
        <filter val="KHI/HO/D/MO/PD COMP/P/75338/09/2023"/>
        <filter val="KHI/HO/D/MO/PD COMP/P/75398/09/2023"/>
        <filter val="KHI/HO/D/MO/PD COMP/P/75461/09/2023"/>
        <filter val="KHI/HO/D/MO/PD COMP/P/75467/09/2023"/>
        <filter val="KHI/HO/D/MO/PD COMP/P/75481/09/2023"/>
        <filter val="KHI/HO/D/MO/PD COMP/P/75482/09/2023"/>
        <filter val="KHI/HO/D/MO/PD COMP/P/75531/09/2023"/>
        <filter val="KHI/HO/D/MO/PD COMP/P/75557/09/2023"/>
        <filter val="KHI/HO/D/MO/PD COMP/P/75612/09/2023"/>
        <filter val="KHI/HO/D/MO/PD COMP/P/75664/09/2023"/>
        <filter val="KHI/HO/D/MO/PD COMP/P/75686/09/2023"/>
        <filter val="KHI/HO/D/MO/PD COMP/P/75766/09/2023"/>
        <filter val="KHI/HO/D/MO/PD COMP/P/75790/09/2023"/>
        <filter val="KHI/HO/D/MO/PD COMP/P/75904/09/2023"/>
        <filter val="KHI/HO/D/MO/PD COMP/P/75909/09/2023"/>
        <filter val="KHI/HO/D/MO/PD COMP/P/75922/09/2023"/>
        <filter val="KHI/HO/D/MO/PD COMP/P/76064/10/2023"/>
        <filter val="KHI/HO/D/MO/PD COMP/P/76091/10/2023"/>
        <filter val="KHI/HO/D/MO/PD COMP/P/76133/10/2023"/>
        <filter val="KHI/HO/D/MO/PD COMP/P/76175/10/2023"/>
        <filter val="KHI/HO/D/MO/PD COMP/P/76244/10/2023"/>
        <filter val="KHI/HO/D/MO/PD COMP/P/76260/10/2023"/>
        <filter val="KHI/HO/D/MO/PD COMP/P/76359/10/2023"/>
        <filter val="KHI/HO/D/MO/PD COMP/P/76388/10/2023"/>
        <filter val="KHI/HO/D/MO/PD COMP/P/76395/10/2023"/>
        <filter val="KHI/HO/D/MO/PD COMP/P/76396/10/2023"/>
        <filter val="KHI/HO/D/MO/PD COMP/P/76446/10/2023"/>
        <filter val="KHI/HO/D/MO/PD COMP/P/76483/10/2023"/>
        <filter val="KHI/HO/D/MO/PD COMP/P/76598/10/2023"/>
        <filter val="KHI/HO/D/MO/PD COMP/P/76610/10/2023"/>
        <filter val="KHI/HO/D/MO/PD COMP/P/76741/10/2023"/>
        <filter val="KHI/HO/D/MO/PD COMP/P/76761/10/2023"/>
        <filter val="KHI/HO/D/MO/PD COMP/P/76893/10/2023"/>
        <filter val="KHI/HO/D/MO/PD COMP/P/76952/10/2023"/>
        <filter val="KHI/HO/D/MO/PD COMP/P/77162/10/2023"/>
        <filter val="KHI/HO/D/MO/PD COMP/P/77184/10/2023"/>
        <filter val="KHI/HO/D/MO/PD COMP/P/77260/10/2023"/>
        <filter val="KHI/HO/D/MO/PD COMP/P/77290/10/2023"/>
        <filter val="KHI/HO/D/MO/PD COMP/P/77505/11/2023"/>
        <filter val="KHI/HO/D/MO/PD COMP/P/77587/11/2023"/>
        <filter val="KHI/HO/D/MO/PD COMP/P/77710/11/2023"/>
        <filter val="KHI/HO/D/MO/PD COMP/P/77728/11/2023"/>
        <filter val="KHI/HO/D/MO/PD COMP/P/77829/11/2023"/>
        <filter val="KHI/HO/D/MO/PD COMP/P/77838/11/2023"/>
        <filter val="KHI/HO/D/MO/PD COMP/P/78000/11/2023"/>
        <filter val="KHI/HO/D/MO/PD COMP/P/78048/11/2023"/>
        <filter val="KHI/HO/D/MO/PD COMP/P/78105/11/2023"/>
        <filter val="KHI/HO/D/MO/PD COMP/P/78106/11/2023"/>
        <filter val="KHI/HO/D/MO/PD COMP/P/78413/11/2023"/>
        <filter val="KHI/HO/D/MO/PD COMP/P/78617/11/2023"/>
        <filter val="KHI/HO/D/MO/PD COMP/P/78627/11/2023"/>
        <filter val="KHI/HO/D/MO/PD COMP/P/78700/11/2023"/>
        <filter val="KHI/HO/D/MO/PD COMP/P/78711/11/2023"/>
        <filter val="KHI/HO/D/MO/PD COMP/P/78712/11/2023"/>
        <filter val="KHI/HO/D/MO/PD COMP/P/78924/11/2023"/>
        <filter val="KHI/HO/D/MO/PD COMP/P/78965/12/2023"/>
        <filter val="KHI/HO/D/MO/PD COMP/P/79160/12/2023"/>
        <filter val="KHI/HO/D/MO/PD COMP/P/79216/12/2023"/>
        <filter val="KHI/HO/D/MO/PD COMP/P/79264/12/2023"/>
        <filter val="KHI/HO/D/MO/PD COMP/P/79555/12/2023"/>
        <filter val="KHI/HO/D/MO/PD COMP/P/79674/12/2023"/>
        <filter val="KHI/HO/D/MO/PD COMP/P/79778/12/2023"/>
        <filter val="KHI/HO/D/MO/PD COMP/P/79781/12/2023"/>
        <filter val="KHI/HO/D/MO/PD COMP/P/79786/12/2023"/>
        <filter val="KHI/HO/D/MO/PD COMP/P/79789/12/2023"/>
        <filter val="KHI/HO/D/MO/PD COMP/P/79792/12/2023"/>
        <filter val="KHI/HO/D/MO/PD COMP/P/79995/12/2023"/>
        <filter val="KHI/HO/D/MO/PD COMP/P/80038/12/2023"/>
        <filter val="KHI/HO/D/MO/PD COMP/P/80099/12/2023"/>
        <filter val="KHI/HO/D/MO/PD COMP/P/80138/12/2023"/>
        <filter val="KHI/HO/D/MO/PD COMP/P/80196/12/2023"/>
        <filter val="KHI/HO/D/MO/PD COMP/P/80225/12/2023"/>
        <filter val="KHI/HO/D/MO/PD COMP/P/80386/12/2023"/>
        <filter val="KHI/HO/D/MO/PD COMP/P/80398/12/2023"/>
        <filter val="KHI/HO/D/MO/PD COMP/P/80460/12/2023"/>
        <filter val="KHI/HO/D/MO/PD COMP/P/80502/12/2023"/>
        <filter val="KHI/HO/D/MO/PD COMP/P/80571/12/2023"/>
        <filter val="KHI/HO/D/MO/PD COMP/P/80787/01/2024"/>
        <filter val="KHI/HO/D/MO/PD COMP/P/80822/12/2023"/>
        <filter val="KHI/HO/D/MO/PD COMP/P/81037/01/2024"/>
        <filter val="KHI/HO/D/MO/PD COMP/P/81070/01/2024"/>
        <filter val="KHI/HO/D/MO/PD COMP/P/81071/01/2024"/>
        <filter val="KHI/HO/D/MO/PD COMP/P/81079/01/2024"/>
        <filter val="KHI/HO/D/MO/PD COMP/P/81085/01/2024"/>
        <filter val="KHI/HO/D/MO/PD COMP/P/81129/01/2024"/>
        <filter val="KHI/HO/D/MO/PD COMP/P/81140/01/2024"/>
        <filter val="KHI/HO/D/MO/PD COMP/P/81150/01/2024"/>
        <filter val="KHI/HO/D/MO/PD COMP/P/81227/01/2024"/>
        <filter val="KHI/HO/D/MO/PD COMP/P/81234/01/2024"/>
        <filter val="KHI/HO/D/MO/PD COMP/P/81237/01/2024"/>
        <filter val="KHI/HO/D/MO/PD COMP/P/81238/01/2024"/>
        <filter val="KHI/HO/D/MO/PD COMP/P/81250/01/2024"/>
        <filter val="KHI/HO/D/MO/PD COMP/P/81303/01/2024"/>
        <filter val="KHI/HO/D/MO/PD COMP/P/81389/01/2024"/>
        <filter val="KHI/HO/D/MO/PD COMP/P/81509/01/2024"/>
        <filter val="KHI/HO/D/MO/PD COMP/P/81647/01/2024"/>
        <filter val="KHI/HO/D/MO/PD COMP/P/81649/01/2024"/>
        <filter val="KHI/HO/D/MO/PD COMP/P/81651/01/2024"/>
        <filter val="KHI/HO/D/MO/PD COMP/P/81773/01/2024"/>
        <filter val="KHI/HO/D/MO/PD COMP/P/81949/01/2024"/>
        <filter val="KHI/HO/D/MO/PD COMP/P/82032/01/2024"/>
        <filter val="KHI/HO/D/MO/PD COMP/P/82033/01/2024"/>
        <filter val="KHI/HO/D/MO/PD COMP/P/82038/01/2024"/>
        <filter val="KHI/HO/D/MO/PD COMP/P/82039/01/2024"/>
        <filter val="KHI/HO/D/MO/PD COMP/P/82341/01/2024"/>
        <filter val="KHI/HO/D/MO/PD COMP/P/82352/01/2024"/>
        <filter val="KHI/HO/D/MO/PD COMP/P/82595/01/2024"/>
        <filter val="KHI/HO/D/MO/PD COMP/P/82809/01/2024"/>
        <filter val="KHI/HO/D/MO/PD COMP/P/83059/02/2024"/>
        <filter val="KHI/HO/D/MO/PD COMP/P/83084/02/2024"/>
        <filter val="KHI/HO/D/MO/PD COMP/P/83100/02/2024"/>
        <filter val="KHI/HO/D/MO/PD COMP/P/83148/02/2024"/>
        <filter val="KHI/HO/D/MO/PD COMP/P/83149/02/2024"/>
        <filter val="KHI/HO/D/MO/PD COMP/P/83150/02/2024"/>
        <filter val="KHI/HO/D/MO/PD COMP/P/83236/02/2024"/>
        <filter val="KHI/HO/D/MO/PD COMP/P/83363/02/2024"/>
        <filter val="KHI/HO/D/MO/PD COMP/P/83395/02/2024"/>
        <filter val="KHI/HO/D/MO/PD COMP/P/83417/02/2024"/>
        <filter val="KHI/HO/D/MO/PD COMP/P/83798/02/2024"/>
        <filter val="KHI/HO/D/MO/PD COMP/P/83807/02/2024"/>
        <filter val="KHI/HO/D/MO/PD COMP/P/84297/02/2024"/>
        <filter val="KHI/HO/D/MO/PD COMP/P/84310/02/2024"/>
        <filter val="KHI/HO/D/MO/PD COMP/P/84313/02/2024"/>
        <filter val="KHI/HO/D/MO/PD COMP/P/84320/02/2024"/>
        <filter val="KHI/HO/D/MO/PD COMP/P/84332/02/2024"/>
        <filter val="KHI/HO/D/MO/PD COMP/P/84422/02/2024"/>
        <filter val="KHI/HO/D/MO/PD COMP/P/84474/02/2024"/>
        <filter val="KHI/HO/D/MO/PD COMP/P/84536/02/2024"/>
        <filter val="KHI/HO/D/MO/PD COMP/P/84759/02/2024"/>
        <filter val="KHI/HO/D/MO/PD COMP/P/84811/03/2024"/>
        <filter val="KHI/HO/D/MO/PD COMP/P/85404/03/2024"/>
        <filter val="KHI/HO/D/MO/PD COMP/P/85426/03/2024"/>
        <filter val="KHI/HO/D/MO/PD COMP/P/85529/03/2024"/>
        <filter val="KHI/HO/D/MO/PD COMP/P/85659/03/2024"/>
        <filter val="KHI/HO/D/MO/PD COMP/P/85951/03/2024"/>
        <filter val="KHI/HO/D/MO/PD COMP/P/85957/03/2024"/>
        <filter val="KHI/HO/D/MO/PD COMP/P/86001/03/2024"/>
        <filter val="KHI/HO/D/MO/PD COMP/P/86058/03/2024"/>
        <filter val="KHI/HO/D/MO/PD COMP/P/86059/03/2024"/>
        <filter val="KHI/HO/D/MO/PD COMP/P/86224/03/2024"/>
        <filter val="KHI/HO/D/MO/PD COMP/P/86227/03/2024"/>
        <filter val="KHI/HO/D/MO/PD COMP/P/86281/03/2024"/>
        <filter val="KHI/HO/D/MO/PD COMP/P/86282/03/2024"/>
        <filter val="KHI/HO/D/MO/PD COMP/P/86465/04/2024"/>
        <filter val="KHI/HO/D/MO/PD COMP/P/86543/04/2024"/>
        <filter val="KHI/HO/D/MO/PD COMP/P/86712/04/2024"/>
        <filter val="KHI/HO/D/MO/PD COMP/P/86767/04/2024"/>
        <filter val="KHI/HO/D/MO/PD COMP/P/86772/04/2024"/>
        <filter val="KHI/HO/D/MO/PD COMP/P/86784/04/2024"/>
        <filter val="KHI/HO/D/MO/PD COMP/P/86903/04/2024"/>
        <filter val="KHI/HO/D/MO/PD COMP/P/86908/04/2024"/>
        <filter val="KHI/HO/D/MO/PD COMP/P/86988/04/2024"/>
        <filter val="KHI/HO/D/MO/PD COMP/P/86993/04/2024"/>
        <filter val="KHI/HO/D/MO/PD COMP/P/87034/04/2024"/>
        <filter val="KHI/HO/D/MO/PD COMP/P/87177/04/2024"/>
        <filter val="KHI/HO/D/MO/PD COMP/P/87192/04/2024"/>
        <filter val="KHI/HO/D/MO/PD COMP/P/87245/04/2024"/>
        <filter val="KHI/HO/D/MO/PD COMP/P/87329/04/2024"/>
        <filter val="KHI/HO/D/MO/PD COMP/P/87330/04/2024"/>
        <filter val="KHI/HO/D/MO/PD COMP/P/87332/04/2024"/>
        <filter val="KHI/HO/D/MO/PD COMP/P/87374/04/2024"/>
        <filter val="KHI/HO/D/MO/PD COMP/P/87412/04/2024"/>
        <filter val="KHI/HO/D/MO/PD COMP/P/87773/04/2024"/>
        <filter val="KHI/HO/D/MO/PD COMP/P/87795/04/2024"/>
        <filter val="KHI/HO/D/MO/PD COMP/P/87982/04/2024"/>
        <filter val="KHI/HO/D/MO/PD COMP/P/88019/04/2024"/>
        <filter val="KHI/HO/D/MO/PD COMP/P/88022/04/2024"/>
        <filter val="KHI/HO/D/MO/PD COMP/P/88233/05/2024"/>
        <filter val="KHI/HO/D/MO/PD COMP/P/88278/05/2024"/>
        <filter val="KHI/HO/D/MO/PD COMP/P/88493/05/2024"/>
        <filter val="KHI/HO/D/MO/PD COMP/P/88544/05/2024"/>
        <filter val="KHI/HO/D/MO/PD COMP/P/88548/05/2024"/>
        <filter val="KHI/HO/D/MO/PD COMP/P/88809/05/2024"/>
        <filter val="KHI/HO/D/MO/PD COMP/P/88906/05/2024"/>
        <filter val="KHI/HO/D/MO/PD COMP/P/89186/05/2024"/>
        <filter val="KHI/HO/D/MO/PD COMP/P/89642/05/2024"/>
        <filter val="KHI/HO/D/MO/PD COMP/P/89691/05/2024"/>
        <filter val="KHI/HO/D/MO/PD COMP/P/89944/05/2024"/>
        <filter val="KHI/HO/D/MO/PD COMP/P/90023/05/2024"/>
        <filter val="KHI/HO/D/MO/PD COMP/P/90147/06/2024"/>
        <filter val="KHI/HO/D/MO/PD COMP/P/90200/06/2024"/>
        <filter val="KHI/HO/D/MO/PD COMP/P/90239/06/2024"/>
        <filter val="KHI/HO/D/MO/PD COMP/P/90330/06/2024"/>
        <filter val="KHI/HO/D/MO/PD COMP/P/90562/06/2024"/>
        <filter val="KHI/HO/D/MO/PD COMP/P/90588/06/2024"/>
        <filter val="KHI/HO/D/MO/PD COMP/P/90772/06/2024"/>
        <filter val="KHI/HO/D/MO/PD COMP/P/90854/06/2024"/>
        <filter val="KHI/HO/D/MO/PD COMP/P/91005/06/2024"/>
        <filter val="KHI/HO/D/MO/PD COMP/P/91006/06/2024"/>
        <filter val="KHI/HO/D/MO/PD COMP/P/91940/06/2024"/>
        <filter val="KHI/HO/D/MO/PD COMP/P/91959/06/2024"/>
        <filter val="KHI/HO/D/MO/PD COMP/P/92076/07/2024"/>
        <filter val="KHI/HO/D/MO/PD COMP/P/92396/07/2024"/>
        <filter val="KHI/HO/D/MO/PD COMP/P/92900/07/2024"/>
        <filter val="KHI/HO/D/MO/PD COMP/P/92999/07/2024"/>
        <filter val="KHI/HO/D/MO/PD COMP/P/93280/07/2024"/>
        <filter val="KHI/HO/D/MO/PD COMP/P/93592/07/2024"/>
        <filter val="KHI/HO/D/MO/PD COMP/P/94240/07/2024"/>
        <filter val="KHI/HO/D/MO/PD COMP/P/94279/07/2024"/>
        <filter val="KHI/HO/D/MO/PD COMP/P/94343/07/2024"/>
        <filter val="KHI/HO/D/MO/PD COMP/P/96324/08/2024"/>
        <filter val="KHI/HO/D/MO/PD COMP/P/96789/09/2024"/>
        <filter val="KHI/HO/D/MO/PD COMP/P/96816/09/2024"/>
        <filter val="KHI/HO/D/MO/PD COMP/P/97308/09/2024"/>
        <filter val="LHR/LHR/D/MO/PD COMP/E/41195/04/2024"/>
        <filter val="LHR/LHR/D/MO/PD COMP/E/42139/05/2024"/>
        <filter val="LHR/LHR/D/MO/PD COMP/E/43075/07/2024"/>
        <filter val="LHR/LHR/D/MO/PD COMP/E/48742/10/2024"/>
        <filter val="LHR/LHR/D/MO/PD COMP/P/72469/06/2023"/>
      </filters>
    </filterColumn>
    <filterColumn colId="1">
      <filters>
        <filter val="1,000.00"/>
        <filter val="1,013.00"/>
        <filter val="-1,013.00"/>
        <filter val="1,023.00"/>
        <filter val="1,034.00"/>
        <filter val="1,038.00"/>
        <filter val="1,053.00"/>
        <filter val="1,059.00"/>
        <filter val="1,063.00"/>
        <filter val="1,066.00"/>
        <filter val="1,071.00"/>
        <filter val="1,077.00"/>
        <filter val="1,080.00"/>
        <filter val="1,081.00"/>
        <filter val="1,110.00"/>
        <filter val="1,112.00"/>
        <filter val="1,116.00"/>
        <filter val="-1,118.00"/>
        <filter val="1,120.00"/>
        <filter val="1,121.00"/>
        <filter val="1,122.00"/>
        <filter val="1,126.00"/>
        <filter val="1,132.00"/>
        <filter val="1,141.00"/>
        <filter val="1,153.00"/>
        <filter val="1,156.00"/>
        <filter val="1,168.00"/>
        <filter val="1,172.00"/>
        <filter val="-1,172.00"/>
        <filter val="1,173.00"/>
        <filter val="1,179.00"/>
        <filter val="1,180.00"/>
        <filter val="1,184.00"/>
        <filter val="-1,184.00"/>
        <filter val="1,190.00"/>
        <filter val="1,191.00"/>
        <filter val="1,194.00"/>
        <filter val="1,195.00"/>
        <filter val="1,198.00"/>
        <filter val="1,200.00"/>
        <filter val="-1,200.00"/>
        <filter val="1,201.00"/>
        <filter val="1,208.00"/>
        <filter val="1,214.00"/>
        <filter val="1,220.00"/>
        <filter val="1,221.00"/>
        <filter val="1,232.00"/>
        <filter val="1,236.00"/>
        <filter val="-1,236.00"/>
        <filter val="1,243.00"/>
        <filter val="1,249.00"/>
        <filter val="1,250.00"/>
        <filter val="-1,250.00"/>
        <filter val="1,251.00"/>
        <filter val="1,252.00"/>
        <filter val="1,255.00"/>
        <filter val="1,274.00"/>
        <filter val="1,278.00"/>
        <filter val="1,280.00"/>
        <filter val="1,282.00"/>
        <filter val="1,289.00"/>
        <filter val="1,294.00"/>
        <filter val="-1,294.00"/>
        <filter val="1,303.00"/>
        <filter val="1,304.00"/>
        <filter val="1,306.00"/>
        <filter val="1,308.00"/>
        <filter val="1,316.00"/>
        <filter val="1,317.00"/>
        <filter val="1,318.00"/>
        <filter val="1,323.00"/>
        <filter val="-1,323.00"/>
        <filter val="1,332.00"/>
        <filter val="1,336.00"/>
        <filter val="1,337.00"/>
        <filter val="1,340.00"/>
        <filter val="1,341.00"/>
        <filter val="1,350.00"/>
        <filter val="1,358.00"/>
        <filter val="1,379.00"/>
        <filter val="-1,379.00"/>
        <filter val="-1,381.00"/>
        <filter val="1,388.00"/>
        <filter val="1,393.00"/>
        <filter val="1,397.00"/>
        <filter val="-1,397.00"/>
        <filter val="1,399.00"/>
        <filter val="1,414.00"/>
        <filter val="1,415.00"/>
        <filter val="1,423.00"/>
        <filter val="1,425.00"/>
        <filter val="1,431.00"/>
        <filter val="1,432.00"/>
        <filter val="1,438.00"/>
        <filter val="1,445.00"/>
        <filter val="1,448.00"/>
        <filter val="1,450.00"/>
        <filter val="1,451.00"/>
        <filter val="1,454.00"/>
        <filter val="1,456.00"/>
        <filter val="1,459.00"/>
        <filter val="1,465.00"/>
        <filter val="1,467.00"/>
        <filter val="1,469.00"/>
        <filter val="1,471.00"/>
        <filter val="1,482.00"/>
        <filter val="-1,482.00"/>
        <filter val="1,491.00"/>
        <filter val="1,497.00"/>
        <filter val="1,500.00"/>
        <filter val="1,512.00"/>
        <filter val="1,523.00"/>
        <filter val="1,524.00"/>
        <filter val="1,526.00"/>
        <filter val="1,531.00"/>
        <filter val="1,536.00"/>
        <filter val="-1,546.00"/>
        <filter val="1,554.00"/>
        <filter val="-1,554.00"/>
        <filter val="1,559.00"/>
        <filter val="1,561.00"/>
        <filter val="-1,562.00"/>
        <filter val="1,571.00"/>
        <filter val="1,572.00"/>
        <filter val="1,579.00"/>
        <filter val="1,580.00"/>
        <filter val="1,584.00"/>
        <filter val="1,585.00"/>
        <filter val="1,586.00"/>
        <filter val="1,593.00"/>
        <filter val="1,600.00"/>
        <filter val="1,601.00"/>
        <filter val="1,611.00"/>
        <filter val="1,613.00"/>
        <filter val="1,616.00"/>
        <filter val="1,619.00"/>
        <filter val="1,620.00"/>
        <filter val="1,623.00"/>
        <filter val="1,633.00"/>
        <filter val="1,634.00"/>
        <filter val="1,638.00"/>
        <filter val="1,640.00"/>
        <filter val="1,648.00"/>
        <filter val="1,649.00"/>
        <filter val="1,651.00"/>
        <filter val="1,657.00"/>
        <filter val="1,664.00"/>
        <filter val="1,666.00"/>
        <filter val="1,667.00"/>
        <filter val="1,669.00"/>
        <filter val="1,674.00"/>
        <filter val="1,676.00"/>
        <filter val="1,688.00"/>
        <filter val="1,696.00"/>
        <filter val="1,698.00"/>
        <filter val="1,699.00"/>
        <filter val="-1,699.00"/>
        <filter val="1,700.00"/>
        <filter val="1,718.00"/>
        <filter val="1,719.00"/>
        <filter val="1,721.00"/>
        <filter val="-1,732.00"/>
        <filter val="1,747.00"/>
        <filter val="1,750.00"/>
        <filter val="1,752.00"/>
        <filter val="1,753.00"/>
        <filter val="1,756.00"/>
        <filter val="1,772.00"/>
        <filter val="1,778.00"/>
        <filter val="1,779.00"/>
        <filter val="1,786.00"/>
        <filter val="1,789.00"/>
        <filter val="1,791.00"/>
        <filter val="1,794.00"/>
        <filter val="1,795.00"/>
        <filter val="-1,795.00"/>
        <filter val="1,801.00"/>
        <filter val="1,803.00"/>
        <filter val="1,805.00"/>
        <filter val="1,806.00"/>
        <filter val="1,808.00"/>
        <filter val="1,816.00"/>
        <filter val="1,826.00"/>
        <filter val="-1,827.00"/>
        <filter val="1,835.00"/>
        <filter val="1,837.00"/>
        <filter val="-1,837.00"/>
        <filter val="1,840.00"/>
        <filter val="1,841.00"/>
        <filter val="-1,841.00"/>
        <filter val="1,852.00"/>
        <filter val="1,856.00"/>
        <filter val="1,859.00"/>
        <filter val="-1,859.00"/>
        <filter val="1,864.00"/>
        <filter val="1,865.00"/>
        <filter val="1,871.00"/>
        <filter val="1,886.00"/>
        <filter val="1,887.00"/>
        <filter val="1,888.00"/>
        <filter val="-1,897.00"/>
        <filter val="1,899.00"/>
        <filter val="1,900.00"/>
        <filter val="-1,905.00"/>
        <filter val="-1,908.00"/>
        <filter val="1,919.00"/>
        <filter val="1,920.00"/>
        <filter val="1,922.00"/>
        <filter val="1,923.00"/>
        <filter val="-1,937.00"/>
        <filter val="1,939.00"/>
        <filter val="1,954.00"/>
        <filter val="1,955.00"/>
        <filter val="1,964.00"/>
        <filter val="1,965.00"/>
        <filter val="1,972.00"/>
        <filter val="1,975.00"/>
        <filter val="1,982.00"/>
        <filter val="1,984.00"/>
        <filter val="1,985.00"/>
        <filter val="1,987.00"/>
        <filter val="1,988.00"/>
        <filter val="1,994.00"/>
        <filter val="1,997.00"/>
        <filter val="1.00"/>
        <filter val="-10,185.00"/>
        <filter val="-10,220.00"/>
        <filter val="10,375.00"/>
        <filter val="-10,394.00"/>
        <filter val="-10,400.00"/>
        <filter val="-10,433.00"/>
        <filter val="10,491.00"/>
        <filter val="-10,494.00"/>
        <filter val="-10,563.00"/>
        <filter val="10,630.00"/>
        <filter val="-10,717.00"/>
        <filter val="-101,336.00"/>
        <filter val="-104,303.00"/>
        <filter val="-105,929.00"/>
        <filter val="105.00"/>
        <filter val="-106,616.00"/>
        <filter val="106.00"/>
        <filter val="-107,185.00"/>
        <filter val="107.00"/>
        <filter val="-11,055.00"/>
        <filter val="-11,635.00"/>
        <filter val="-11,913.00"/>
        <filter val="111,000.00"/>
        <filter val="-111,267.00"/>
        <filter val="-111,371.00"/>
        <filter val="111,972.00"/>
        <filter val="111.00"/>
        <filter val="-112,465.00"/>
        <filter val="113,000.00"/>
        <filter val="113,919.00"/>
        <filter val="113.00"/>
        <filter val="-114,084.00"/>
        <filter val="-114,999.00"/>
        <filter val="115,000.00"/>
        <filter val="-118,172.00"/>
        <filter val="119.00"/>
        <filter val="-12,284.00"/>
        <filter val="-12,313.00"/>
        <filter val="-121,531.00"/>
        <filter val="123.00"/>
        <filter val="-124,432.00"/>
        <filter val="126.00"/>
        <filter val="-127,803.00"/>
        <filter val="-13,132.00"/>
        <filter val="-13,367.00"/>
        <filter val="13.00"/>
        <filter val="133,000.00"/>
        <filter val="133.00"/>
        <filter val="134,568.00"/>
        <filter val="135,000.00"/>
        <filter val="-135,186.00"/>
        <filter val="-136,865.00"/>
        <filter val="-14,102.00"/>
        <filter val="14,467.00"/>
        <filter val="-14,571.00"/>
        <filter val="14,614.00"/>
        <filter val="-14,628.00"/>
        <filter val="14,942.00"/>
        <filter val="-14,994.00"/>
        <filter val="14.00"/>
        <filter val="-140,616.00"/>
        <filter val="146.00"/>
        <filter val="147.00"/>
        <filter val="15,147.00"/>
        <filter val="-15,262.00"/>
        <filter val="-15,560.00"/>
        <filter val="-15,673.00"/>
        <filter val="-15,820.00"/>
        <filter val="-15,844.00"/>
        <filter val="15.00"/>
        <filter val="-152,341.00"/>
        <filter val="152.00"/>
        <filter val="-153,343.00"/>
        <filter val="155,000.00"/>
        <filter val="-155,000.00"/>
        <filter val="-155,482.00"/>
        <filter val="155.00"/>
        <filter val="-156,605.00"/>
        <filter val="-16,088.00"/>
        <filter val="-16,793.00"/>
        <filter val="-16,936.00"/>
        <filter val="160.00"/>
        <filter val="-162,684.00"/>
        <filter val="163.00"/>
        <filter val="-164,933.00"/>
        <filter val="165.00"/>
        <filter val="-166,206.00"/>
        <filter val="166.00"/>
        <filter val="-166.00"/>
        <filter val="-17,009.00"/>
        <filter val="-17,104.00"/>
        <filter val="17,113.00"/>
        <filter val="17,456.00"/>
        <filter val="-17,457.00"/>
        <filter val="17,837.00"/>
        <filter val="17,878.00"/>
        <filter val="170,819.00"/>
        <filter val="174.00"/>
        <filter val="175,000.00"/>
        <filter val="-176,907.00"/>
        <filter val="-18,187.00"/>
        <filter val="-18,812.00"/>
        <filter val="-18,970.00"/>
        <filter val="180.00"/>
        <filter val="183.00"/>
        <filter val="19,000.00"/>
        <filter val="-19,000.00"/>
        <filter val="-19,036.00"/>
        <filter val="-19,152.00"/>
        <filter val="19,293.00"/>
        <filter val="19,633.00"/>
        <filter val="19.00"/>
        <filter val="195,000.00"/>
        <filter val="-197,846.00"/>
        <filter val="198.00"/>
        <filter val="2,001.00"/>
        <filter val="2,011.00"/>
        <filter val="2,014.00"/>
        <filter val="2,016.00"/>
        <filter val="2,017.00"/>
        <filter val="2,020.00"/>
        <filter val="2,022.00"/>
        <filter val="2,023.00"/>
        <filter val="2,026.00"/>
        <filter val="2,036.00"/>
        <filter val="-2,036.00"/>
        <filter val="2,037.00"/>
        <filter val="-2,037.00"/>
        <filter val="2,040.00"/>
        <filter val="2,047.00"/>
        <filter val="2,049.00"/>
        <filter val="2,061.00"/>
        <filter val="2,066.00"/>
        <filter val="2,073.00"/>
        <filter val="2,083.00"/>
        <filter val="2,084.00"/>
        <filter val="2,085.00"/>
        <filter val="2,092.00"/>
        <filter val="-2,092.00"/>
        <filter val="2,105.00"/>
        <filter val="2,110.00"/>
        <filter val="2,117.00"/>
        <filter val="2,120.00"/>
        <filter val="2,128.00"/>
        <filter val="2,131.00"/>
        <filter val="2,136.00"/>
        <filter val="2,138.00"/>
        <filter val="2,146.00"/>
        <filter val="2,147.00"/>
        <filter val="2,148.00"/>
        <filter val="2,153.00"/>
        <filter val="2,155.00"/>
        <filter val="2,162.00"/>
        <filter val="2,165.00"/>
        <filter val="-2,174.00"/>
        <filter val="2,181.00"/>
        <filter val="2,183.00"/>
        <filter val="-2,203.00"/>
        <filter val="2,209.00"/>
        <filter val="2,231.00"/>
        <filter val="-2,231.00"/>
        <filter val="2,237.00"/>
        <filter val="-2,237.00"/>
        <filter val="2,244.00"/>
        <filter val="2,249.00"/>
        <filter val="-2,249.00"/>
        <filter val="2,251.00"/>
        <filter val="2,254.00"/>
        <filter val="2,257.00"/>
        <filter val="2,262.00"/>
        <filter val="2,271.00"/>
        <filter val="2,279.00"/>
        <filter val="2,291.00"/>
        <filter val="2,315.00"/>
        <filter val="2,318.00"/>
        <filter val="2,326.00"/>
        <filter val="2,328.00"/>
        <filter val="2,329.00"/>
        <filter val="2,330.00"/>
        <filter val="2,342.00"/>
        <filter val="2,343.00"/>
        <filter val="2,345.00"/>
        <filter val="2,349.00"/>
        <filter val="2,356.00"/>
        <filter val="2,359.00"/>
        <filter val="2,360.00"/>
        <filter val="2,361.00"/>
        <filter val="2,366.00"/>
        <filter val="2,371.00"/>
        <filter val="2,372.00"/>
        <filter val="2,375.00"/>
        <filter val="2,414.00"/>
        <filter val="2,422.00"/>
        <filter val="2,433.00"/>
        <filter val="2,438.00"/>
        <filter val="2,439.00"/>
        <filter val="2,442.00"/>
        <filter val="2,450.00"/>
        <filter val="2,453.00"/>
        <filter val="2,485.00"/>
        <filter val="2,486.00"/>
        <filter val="2,493.00"/>
        <filter val="2,499.00"/>
        <filter val="2,524.00"/>
        <filter val="-2,524.00"/>
        <filter val="2,534.00"/>
        <filter val="2,543.00"/>
        <filter val="-2,543.00"/>
        <filter val="2,545.00"/>
        <filter val="2,571.00"/>
        <filter val="2,572.00"/>
        <filter val="2,576.00"/>
        <filter val="2,578.00"/>
        <filter val="-2,579.00"/>
        <filter val="2,580.00"/>
        <filter val="2,582.00"/>
        <filter val="-2,583.00"/>
        <filter val="2,585.00"/>
        <filter val="2,589.00"/>
        <filter val="2,591.00"/>
        <filter val="2,594.00"/>
        <filter val="2,604.00"/>
        <filter val="-2,605.00"/>
        <filter val="2,607.00"/>
        <filter val="2,618.00"/>
        <filter val="2,623.00"/>
        <filter val="2,633.00"/>
        <filter val="2,648.00"/>
        <filter val="2,658.00"/>
        <filter val="2,663.00"/>
        <filter val="2,673.00"/>
        <filter val="2,681.00"/>
        <filter val="2,682.00"/>
        <filter val="2,698.00"/>
        <filter val="2,699.00"/>
        <filter val="2,702.00"/>
        <filter val="2,724.00"/>
        <filter val="2,726.00"/>
        <filter val="2,727.00"/>
        <filter val="2,728.00"/>
        <filter val="2,729.00"/>
        <filter val="2,740.00"/>
        <filter val="2,744.00"/>
        <filter val="2,769.00"/>
        <filter val="2,780.00"/>
        <filter val="2,805.00"/>
        <filter val="2,810.00"/>
        <filter val="2,811.00"/>
        <filter val="2,815.00"/>
        <filter val="2,828.00"/>
        <filter val="-2,829.00"/>
        <filter val="2,835.00"/>
        <filter val="2,836.00"/>
        <filter val="2,838.00"/>
        <filter val="2,839.00"/>
        <filter val="2,857.00"/>
        <filter val="2,861.00"/>
        <filter val="2,881.00"/>
        <filter val="2,889.00"/>
        <filter val="-2,889.00"/>
        <filter val="2,892.00"/>
        <filter val="2,893.00"/>
        <filter val="2,901.00"/>
        <filter val="2,902.00"/>
        <filter val="2,912.00"/>
        <filter val="2,918.00"/>
        <filter val="-2,918.00"/>
        <filter val="2,924.00"/>
        <filter val="2,926.00"/>
        <filter val="2,929.00"/>
        <filter val="2,934.00"/>
        <filter val="2,935.00"/>
        <filter val="2,937.00"/>
        <filter val="2,955.00"/>
        <filter val="2,963.00"/>
        <filter val="2,965.00"/>
        <filter val="2,971.00"/>
        <filter val="2,974.00"/>
        <filter val="2,982.00"/>
        <filter val="2,984.00"/>
        <filter val="-2,985.00"/>
        <filter val="-2,997.00"/>
        <filter val="2.00"/>
        <filter val="-20,278.00"/>
        <filter val="200.00"/>
        <filter val="204.00"/>
        <filter val="206.00"/>
        <filter val="209.00"/>
        <filter val="-21,130.00"/>
        <filter val="-21,794.00"/>
        <filter val="21.00"/>
        <filter val="-213.00"/>
        <filter val="214.00"/>
        <filter val="215,000.00"/>
        <filter val="217.00"/>
        <filter val="-218,220.00"/>
        <filter val="22,186.00"/>
        <filter val="-22,484.00"/>
        <filter val="-22,639.00"/>
        <filter val="-22,654.00"/>
        <filter val="-23,176.00"/>
        <filter val="-23,206.00"/>
        <filter val="23,826.00"/>
        <filter val="-23,826.00"/>
        <filter val="23.00"/>
        <filter val="231.00"/>
        <filter val="232.00"/>
        <filter val="235.00"/>
        <filter val="24,196.00"/>
        <filter val="-24,215.00"/>
        <filter val="-24,577.00"/>
        <filter val="24,633.00"/>
        <filter val="240.00"/>
        <filter val="-25,358.00"/>
        <filter val="-25,591.00"/>
        <filter val="-252,171.00"/>
        <filter val="254.00"/>
        <filter val="256.00"/>
        <filter val="258.00"/>
        <filter val="-26,556.00"/>
        <filter val="261.00"/>
        <filter val="267.00"/>
        <filter val="-27,008.00"/>
        <filter val="-27,604.00"/>
        <filter val="-27,615.00"/>
        <filter val="-27,645.00"/>
        <filter val="-27,896.00"/>
        <filter val="271.00"/>
        <filter val="-28,179.00"/>
        <filter val="28,547.00"/>
        <filter val="28.00"/>
        <filter val="280.00"/>
        <filter val="-280.00"/>
        <filter val="285.00"/>
        <filter val="-29,305.00"/>
        <filter val="-29,344.00"/>
        <filter val="29,533.00"/>
        <filter val="-29,581.00"/>
        <filter val="293.00"/>
        <filter val="294.00"/>
        <filter val="299.00"/>
        <filter val="3,001.00"/>
        <filter val="3,003.00"/>
        <filter val="-3,003.00"/>
        <filter val="3,013.00"/>
        <filter val="3,022.00"/>
        <filter val="-3,024.00"/>
        <filter val="3,035.00"/>
        <filter val="-3,035.00"/>
        <filter val="3,044.00"/>
        <filter val="3,054.00"/>
        <filter val="3,064.00"/>
        <filter val="3,078.00"/>
        <filter val="3,081.00"/>
        <filter val="3,082.00"/>
        <filter val="3,084.00"/>
        <filter val="3,096.00"/>
        <filter val="-3,101.00"/>
        <filter val="3,110.00"/>
        <filter val="3,122.00"/>
        <filter val="3,137.00"/>
        <filter val="3,154.00"/>
        <filter val="3,158.00"/>
        <filter val="3,162.00"/>
        <filter val="3,173.00"/>
        <filter val="-3,176.00"/>
        <filter val="3,180.00"/>
        <filter val="3,192.00"/>
        <filter val="3,198.00"/>
        <filter val="3,201.00"/>
        <filter val="3,224.00"/>
        <filter val="3,225.00"/>
        <filter val="3,226.00"/>
        <filter val="3,228.00"/>
        <filter val="3,229.00"/>
        <filter val="3,232.00"/>
        <filter val="3,238.00"/>
        <filter val="3,241.00"/>
        <filter val="-3,246.00"/>
        <filter val="3,248.00"/>
        <filter val="3,254.00"/>
        <filter val="3,259.00"/>
        <filter val="3,260.00"/>
        <filter val="3,264.00"/>
        <filter val="3,265.00"/>
        <filter val="3,267.00"/>
        <filter val="3,268.00"/>
        <filter val="3,272.00"/>
        <filter val="3,285.00"/>
        <filter val="3,298.00"/>
        <filter val="3,305.00"/>
        <filter val="3,309.00"/>
        <filter val="3,315.00"/>
        <filter val="3,321.00"/>
        <filter val="3,324.00"/>
        <filter val="3,330.00"/>
        <filter val="3,344.00"/>
        <filter val="3,352.00"/>
        <filter val="3,353.00"/>
        <filter val="3,354.00"/>
        <filter val="3,356.00"/>
        <filter val="3,359.00"/>
        <filter val="3,362.00"/>
        <filter val="3,367.00"/>
        <filter val="3,374.00"/>
        <filter val="3,381.00"/>
        <filter val="3,385.00"/>
        <filter val="3,409.00"/>
        <filter val="3,410.00"/>
        <filter val="3,416.00"/>
        <filter val="3,418.00"/>
        <filter val="3,424.00"/>
        <filter val="3,425.00"/>
        <filter val="3,436.00"/>
        <filter val="3,443.00"/>
        <filter val="3,445.00"/>
        <filter val="3,447.00"/>
        <filter val="3,453.00"/>
        <filter val="3,455.00"/>
        <filter val="3,458.00"/>
        <filter val="-3,458.00"/>
        <filter val="-3,464.00"/>
        <filter val="3,466.00"/>
        <filter val="3,467.00"/>
        <filter val="3,473.00"/>
        <filter val="3,496.00"/>
        <filter val="3,502.00"/>
        <filter val="3,503.00"/>
        <filter val="3,505.00"/>
        <filter val="-3,505.00"/>
        <filter val="-3,507.00"/>
        <filter val="3,510.00"/>
        <filter val="3,512.00"/>
        <filter val="3,516.00"/>
        <filter val="3,518.00"/>
        <filter val="3,521.00"/>
        <filter val="-3,522.00"/>
        <filter val="3,528.00"/>
        <filter val="3,529.00"/>
        <filter val="-3,532.00"/>
        <filter val="3,547.00"/>
        <filter val="3,550.00"/>
        <filter val="3,553.00"/>
        <filter val="3,556.00"/>
        <filter val="3,567.00"/>
        <filter val="3,569.00"/>
        <filter val="3,579.00"/>
        <filter val="3,586.00"/>
        <filter val="3,587.00"/>
        <filter val="3,592.00"/>
        <filter val="3,599.00"/>
        <filter val="3,606.00"/>
        <filter val="3,614.00"/>
        <filter val="3,615.00"/>
        <filter val="3,626.00"/>
        <filter val="3,634.00"/>
        <filter val="3,638.00"/>
        <filter val="3,641.00"/>
        <filter val="3,644.00"/>
        <filter val="3,654.00"/>
        <filter val="3,661.00"/>
        <filter val="3,662.00"/>
        <filter val="3,682.00"/>
        <filter val="3,690.00"/>
        <filter val="3,693.00"/>
        <filter val="-3,696.00"/>
        <filter val="3,703.00"/>
        <filter val="3,705.00"/>
        <filter val="3,706.00"/>
        <filter val="3,711.00"/>
        <filter val="-3,711.00"/>
        <filter val="3,713.00"/>
        <filter val="3,718.00"/>
        <filter val="3,720.00"/>
        <filter val="3,729.00"/>
        <filter val="3,730.00"/>
        <filter val="3,735.00"/>
        <filter val="3,736.00"/>
        <filter val="3,737.00"/>
        <filter val="3,739.00"/>
        <filter val="3,748.00"/>
        <filter val="3,750.00"/>
        <filter val="3,770.00"/>
        <filter val="3,790.00"/>
        <filter val="3,792.00"/>
        <filter val="3,793.00"/>
        <filter val="3,795.00"/>
        <filter val="3,800.00"/>
        <filter val="3,802.00"/>
        <filter val="3,813.00"/>
        <filter val="3,814.00"/>
        <filter val="3,823.00"/>
        <filter val="3,824.00"/>
        <filter val="3,826.00"/>
        <filter val="3,827.00"/>
        <filter val="3,832.00"/>
        <filter val="3,834.00"/>
        <filter val="3,843.00"/>
        <filter val="-3,850.00"/>
        <filter val="3,853.00"/>
        <filter val="3,872.00"/>
        <filter val="3,873.00"/>
        <filter val="3,881.00"/>
        <filter val="3,882.00"/>
        <filter val="3,885.00"/>
        <filter val="3,888.00"/>
        <filter val="3,896.00"/>
        <filter val="3,915.00"/>
        <filter val="-3,915.00"/>
        <filter val="-3,920.00"/>
        <filter val="3,924.00"/>
        <filter val="3,929.00"/>
        <filter val="3,931.00"/>
        <filter val="3,935.00"/>
        <filter val="3,937.00"/>
        <filter val="3,950.00"/>
        <filter val="3,953.00"/>
        <filter val="-3,956.00"/>
        <filter val="3,957.00"/>
        <filter val="3,958.00"/>
        <filter val="3,959.00"/>
        <filter val="3,962.00"/>
        <filter val="3,968.00"/>
        <filter val="3,970.00"/>
        <filter val="-3,970.00"/>
        <filter val="3,978.00"/>
        <filter val="3,983.00"/>
        <filter val="3,985.00"/>
        <filter val="3,989.00"/>
        <filter val="3.00"/>
        <filter val="-30,121.00"/>
        <filter val="-30,884.00"/>
        <filter val="30.00"/>
        <filter val="306.00"/>
        <filter val="-31,535.00"/>
        <filter val="315.00"/>
        <filter val="318.00"/>
        <filter val="-32,522.00"/>
        <filter val="-32,953.00"/>
        <filter val="323.00"/>
        <filter val="-33,534.00"/>
        <filter val="-33,686.00"/>
        <filter val="-33,845.00"/>
        <filter val="336.00"/>
        <filter val="338.00"/>
        <filter val="339.00"/>
        <filter val="-34,000.00"/>
        <filter val="-34,508.00"/>
        <filter val="-34,521.00"/>
        <filter val="34,644.00"/>
        <filter val="34.00"/>
        <filter val="343.00"/>
        <filter val="344.00"/>
        <filter val="346.00"/>
        <filter val="349.00"/>
        <filter val="35,000.00"/>
        <filter val="-35,000.00"/>
        <filter val="-35,034.00"/>
        <filter val="356.00"/>
        <filter val="359.00"/>
        <filter val="36,321.00"/>
        <filter val="-36,514.00"/>
        <filter val="361.00"/>
        <filter val="362.00"/>
        <filter val="-37,153.00"/>
        <filter val="370.00"/>
        <filter val="374.00"/>
        <filter val="-38,374.00"/>
        <filter val="-38,509.00"/>
        <filter val="-38,812.00"/>
        <filter val="-385.00"/>
        <filter val="388.00"/>
        <filter val="39,000.00"/>
        <filter val="-39,118.00"/>
        <filter val="-39,349.00"/>
        <filter val="-39,448.00"/>
        <filter val="-39,802.00"/>
        <filter val="39.00"/>
        <filter val="393.00"/>
        <filter val="394.00"/>
        <filter val="397.00"/>
        <filter val="4,003.00"/>
        <filter val="-4,007.00"/>
        <filter val="4,023.00"/>
        <filter val="4,028.00"/>
        <filter val="4,036.00"/>
        <filter val="4,043.00"/>
        <filter val="-4,043.00"/>
        <filter val="4,044.00"/>
        <filter val="4,046.00"/>
        <filter val="4,059.00"/>
        <filter val="4,080.00"/>
        <filter val="4,082.00"/>
        <filter val="4,084.00"/>
        <filter val="4,091.00"/>
        <filter val="4,098.00"/>
        <filter val="4,101.00"/>
        <filter val="4,108.00"/>
        <filter val="4,118.00"/>
        <filter val="4,119.00"/>
        <filter val="4,121.00"/>
        <filter val="4,122.00"/>
        <filter val="4,125.00"/>
        <filter val="4,126.00"/>
        <filter val="4,132.00"/>
        <filter val="4,136.00"/>
        <filter val="4,137.00"/>
        <filter val="4,143.00"/>
        <filter val="-4,148.00"/>
        <filter val="4,157.00"/>
        <filter val="4,159.00"/>
        <filter val="4,178.00"/>
        <filter val="4,180.00"/>
        <filter val="4,184.00"/>
        <filter val="4,187.00"/>
        <filter val="4,189.00"/>
        <filter val="4,194.00"/>
        <filter val="-4,194.00"/>
        <filter val="4,199.00"/>
        <filter val="4,211.00"/>
        <filter val="4,216.00"/>
        <filter val="-4,216.00"/>
        <filter val="4,235.00"/>
        <filter val="4,239.00"/>
        <filter val="4,246.00"/>
        <filter val="4,255.00"/>
        <filter val="-4,257.00"/>
        <filter val="4,269.00"/>
        <filter val="4,271.00"/>
        <filter val="4,276.00"/>
        <filter val="4,278.00"/>
        <filter val="4,288.00"/>
        <filter val="-4,288.00"/>
        <filter val="4,303.00"/>
        <filter val="4,305.00"/>
        <filter val="4,309.00"/>
        <filter val="4,316.00"/>
        <filter val="4,317.00"/>
        <filter val="4,323.00"/>
        <filter val="-4,325.00"/>
        <filter val="4,328.00"/>
        <filter val="4,334.00"/>
        <filter val="4,339.00"/>
        <filter val="4,341.00"/>
        <filter val="4,357.00"/>
        <filter val="4,367.00"/>
        <filter val="4,371.00"/>
        <filter val="4,375.00"/>
        <filter val="4,379.00"/>
        <filter val="4,381.00"/>
        <filter val="4,385.00"/>
        <filter val="4,394.00"/>
        <filter val="4,397.00"/>
        <filter val="4,399.00"/>
        <filter val="4,407.00"/>
        <filter val="4,408.00"/>
        <filter val="4,421.00"/>
        <filter val="4,433.00"/>
        <filter val="4,434.00"/>
        <filter val="4,435.00"/>
        <filter val="4,436.00"/>
        <filter val="4,438.00"/>
        <filter val="4,450.00"/>
        <filter val="4,465.00"/>
        <filter val="4,470.00"/>
        <filter val="4,480.00"/>
        <filter val="4,483.00"/>
        <filter val="4,489.00"/>
        <filter val="-4,500.00"/>
        <filter val="4,502.00"/>
        <filter val="4,505.00"/>
        <filter val="4,509.00"/>
        <filter val="-4,509.00"/>
        <filter val="4,515.00"/>
        <filter val="4,519.00"/>
        <filter val="4,520.00"/>
        <filter val="4,523.00"/>
        <filter val="-4,524.00"/>
        <filter val="4,534.00"/>
        <filter val="4,551.00"/>
        <filter val="4,566.00"/>
        <filter val="4,569.00"/>
        <filter val="4,572.00"/>
        <filter val="4,580.00"/>
        <filter val="4,586.00"/>
        <filter val="4,587.00"/>
        <filter val="4,592.00"/>
        <filter val="4,597.00"/>
        <filter val="4,600.00"/>
        <filter val="4,602.00"/>
        <filter val="4,611.00"/>
        <filter val="4,625.00"/>
        <filter val="4,626.00"/>
        <filter val="4,632.00"/>
        <filter val="4,636.00"/>
        <filter val="4,637.00"/>
        <filter val="4,639.00"/>
        <filter val="4,644.00"/>
        <filter val="4,652.00"/>
        <filter val="4,653.00"/>
        <filter val="4,656.00"/>
        <filter val="4,676.00"/>
        <filter val="4,678.00"/>
        <filter val="4,679.00"/>
        <filter val="4,681.00"/>
        <filter val="4,686.00"/>
        <filter val="4,694.00"/>
        <filter val="4,695.00"/>
        <filter val="4,696.00"/>
        <filter val="4,701.00"/>
        <filter val="4,710.00"/>
        <filter val="4,717.00"/>
        <filter val="4,726.00"/>
        <filter val="4,729.00"/>
        <filter val="4,745.00"/>
        <filter val="4,753.00"/>
        <filter val="-4,753.00"/>
        <filter val="4,754.00"/>
        <filter val="4,758.00"/>
        <filter val="4,769.00"/>
        <filter val="4,779.00"/>
        <filter val="4,797.00"/>
        <filter val="4,804.00"/>
        <filter val="4,813.00"/>
        <filter val="4,838.00"/>
        <filter val="4,850.00"/>
        <filter val="4,852.00"/>
        <filter val="4,860.00"/>
        <filter val="4,861.00"/>
        <filter val="4,864.00"/>
        <filter val="4,882.00"/>
        <filter val="-4,890.00"/>
        <filter val="4,901.00"/>
        <filter val="4,902.00"/>
        <filter val="4,905.00"/>
        <filter val="4,924.00"/>
        <filter val="-4,924.00"/>
        <filter val="4,942.00"/>
        <filter val="4,950.00"/>
        <filter val="4,959.00"/>
        <filter val="4,960.00"/>
        <filter val="4,961.00"/>
        <filter val="4,985.00"/>
        <filter val="4,996.00"/>
        <filter val="-40,118.00"/>
        <filter val="-40,870.00"/>
        <filter val="40.00"/>
        <filter val="400.00"/>
        <filter val="404.00"/>
        <filter val="406.00"/>
        <filter val="408.00"/>
        <filter val="41,000.00"/>
        <filter val="42,185.00"/>
        <filter val="-42,507.00"/>
        <filter val="-42,518.00"/>
        <filter val="-42,521.00"/>
        <filter val="-42,797.00"/>
        <filter val="-42,876.00"/>
        <filter val="422.00"/>
        <filter val="424.00"/>
        <filter val="428.00"/>
        <filter val="429.00"/>
        <filter val="43,000.00"/>
        <filter val="-43,529.00"/>
        <filter val="432.00"/>
        <filter val="433.00"/>
        <filter val="434.00"/>
        <filter val="435.00"/>
        <filter val="438.00"/>
        <filter val="-438.00"/>
        <filter val="-44,517.00"/>
        <filter val="-44,856.00"/>
        <filter val="440.00"/>
        <filter val="441.00"/>
        <filter val="442.00"/>
        <filter val="445,000.00"/>
        <filter val="445.00"/>
        <filter val="447.00"/>
        <filter val="449.00"/>
        <filter val="45,000.00"/>
        <filter val="-45,000.00"/>
        <filter val="450.00"/>
        <filter val="451.00"/>
        <filter val="453.00"/>
        <filter val="454.00"/>
        <filter val="-46,670.00"/>
        <filter val="-46,756.00"/>
        <filter val="-464,257.00"/>
        <filter val="47,000.00"/>
        <filter val="473.00"/>
        <filter val="476.00"/>
        <filter val="478.00"/>
        <filter val="-48,827.00"/>
        <filter val="480.00"/>
        <filter val="-480.00"/>
        <filter val="49,323.00"/>
        <filter val="-49,637.00"/>
        <filter val="-49.00"/>
        <filter val="490.00"/>
        <filter val="492.00"/>
        <filter val="493.00"/>
        <filter val="494.00"/>
        <filter val="-5,000.00"/>
        <filter val="5,002.00"/>
        <filter val="5,022.00"/>
        <filter val="5,042.00"/>
        <filter val="5,043.00"/>
        <filter val="5,065.00"/>
        <filter val="5,106.00"/>
        <filter val="5,109.00"/>
        <filter val="5,112.00"/>
        <filter val="5,125.00"/>
        <filter val="5,127.00"/>
        <filter val="5,132.00"/>
        <filter val="5,135.00"/>
        <filter val="5,142.00"/>
        <filter val="5,168.00"/>
        <filter val="5,169.00"/>
        <filter val="5,180.00"/>
        <filter val="5,192.00"/>
        <filter val="5,202.00"/>
        <filter val="5,215.00"/>
        <filter val="5,220.00"/>
        <filter val="5,224.00"/>
        <filter val="5,240.00"/>
        <filter val="5,256.00"/>
        <filter val="5,279.00"/>
        <filter val="5,288.00"/>
        <filter val="5,290.00"/>
        <filter val="5,302.00"/>
        <filter val="5,325.00"/>
        <filter val="5,328.00"/>
        <filter val="5,330.00"/>
        <filter val="5,372.00"/>
        <filter val="5,373.00"/>
        <filter val="5,386.00"/>
        <filter val="5,390.00"/>
        <filter val="5,394.00"/>
        <filter val="5,397.00"/>
        <filter val="5,400.00"/>
        <filter val="5,402.00"/>
        <filter val="5,433.00"/>
        <filter val="5,435.00"/>
        <filter val="5,436.00"/>
        <filter val="5,443.00"/>
        <filter val="5,445.00"/>
        <filter val="5,468.00"/>
        <filter val="5,493.00"/>
        <filter val="5,494.00"/>
        <filter val="5,503.00"/>
        <filter val="5,508.00"/>
        <filter val="5,536.00"/>
        <filter val="5,556.00"/>
        <filter val="5,574.00"/>
        <filter val="5,585.00"/>
        <filter val="-5,585.00"/>
        <filter val="5,616.00"/>
        <filter val="5,624.00"/>
        <filter val="-5,626.00"/>
        <filter val="5,638.00"/>
        <filter val="5,709.00"/>
        <filter val="5,739.00"/>
        <filter val="5,753.00"/>
        <filter val="5,760.00"/>
        <filter val="5,761.00"/>
        <filter val="5,766.00"/>
        <filter val="5,780.00"/>
        <filter val="5,784.00"/>
        <filter val="5,793.00"/>
        <filter val="5,800.00"/>
        <filter val="5,808.00"/>
        <filter val="5,821.00"/>
        <filter val="-5,841.00"/>
        <filter val="5,858.00"/>
        <filter val="5,872.00"/>
        <filter val="5,887.00"/>
        <filter val="5,915.00"/>
        <filter val="-5,915.00"/>
        <filter val="5,919.00"/>
        <filter val="5,923.00"/>
        <filter val="5,931.00"/>
        <filter val="5,938.00"/>
        <filter val="-5,938.00"/>
        <filter val="5,953.00"/>
        <filter val="5,976.00"/>
        <filter val="5,987.00"/>
        <filter val="5.00"/>
        <filter val="50,801.00"/>
        <filter val="-50.00"/>
        <filter val="501.00"/>
        <filter val="504.00"/>
        <filter val="507.00"/>
        <filter val="51,000.00"/>
        <filter val="-51,270.00"/>
        <filter val="51,855.00"/>
        <filter val="51.00"/>
        <filter val="519.00"/>
        <filter val="-52,028.00"/>
        <filter val="-52,549.00"/>
        <filter val="52.00"/>
        <filter val="-52.00"/>
        <filter val="53,000.00"/>
        <filter val="-53,000.00"/>
        <filter val="53,430.00"/>
        <filter val="-53,665.00"/>
        <filter val="536.00"/>
        <filter val="-536.00"/>
        <filter val="537.00"/>
        <filter val="-54,367.00"/>
        <filter val="-54,401.00"/>
        <filter val="54.00"/>
        <filter val="544.00"/>
        <filter val="55,000.00"/>
        <filter val="-55,000.00"/>
        <filter val="55.00"/>
        <filter val="551.00"/>
        <filter val="-551.00"/>
        <filter val="552.00"/>
        <filter val="554.00"/>
        <filter val="-554.00"/>
        <filter val="557.00"/>
        <filter val="-56,173.00"/>
        <filter val="-56,431.00"/>
        <filter val="-56,498.00"/>
        <filter val="-56,642.00"/>
        <filter val="-56,924.00"/>
        <filter val="563.00"/>
        <filter val="566.00"/>
        <filter val="569.00"/>
        <filter val="57,000.00"/>
        <filter val="-57,028.00"/>
        <filter val="57,441.00"/>
        <filter val="-57,806.00"/>
        <filter val="-57.00"/>
        <filter val="572.00"/>
        <filter val="577.00"/>
        <filter val="58,000.00"/>
        <filter val="58,900.00"/>
        <filter val="58.00"/>
        <filter val="580.00"/>
        <filter val="-580.00"/>
        <filter val="582.00"/>
        <filter val="59,000.00"/>
        <filter val="-59,000.00"/>
        <filter val="-59,191.00"/>
        <filter val="59,225.00"/>
        <filter val="-59,348.00"/>
        <filter val="595.00"/>
        <filter val="6,004.00"/>
        <filter val="6,062.00"/>
        <filter val="6,071.00"/>
        <filter val="6,104.00"/>
        <filter val="6,133.00"/>
        <filter val="6,140.00"/>
        <filter val="-6,161.00"/>
        <filter val="6,165.00"/>
        <filter val="6,193.00"/>
        <filter val="6,243.00"/>
        <filter val="6,254.00"/>
        <filter val="6,257.00"/>
        <filter val="-6,257.00"/>
        <filter val="6,266.00"/>
        <filter val="6,296.00"/>
        <filter val="6,299.00"/>
        <filter val="6,315.00"/>
        <filter val="6,316.00"/>
        <filter val="6,317.00"/>
        <filter val="6,318.00"/>
        <filter val="-6,345.00"/>
        <filter val="6,370.00"/>
        <filter val="6,388.00"/>
        <filter val="6,391.00"/>
        <filter val="6,392.00"/>
        <filter val="6,398.00"/>
        <filter val="-6,448.00"/>
        <filter val="6,452.00"/>
        <filter val="6,471.00"/>
        <filter val="6,499.00"/>
        <filter val="6,516.00"/>
        <filter val="6,534.00"/>
        <filter val="6,579.00"/>
        <filter val="6,600.00"/>
        <filter val="6,641.00"/>
        <filter val="-6,641.00"/>
        <filter val="-6,645.00"/>
        <filter val="-6,671.00"/>
        <filter val="6,712.00"/>
        <filter val="6,731.00"/>
        <filter val="6,749.00"/>
        <filter val="6,760.00"/>
        <filter val="6,777.00"/>
        <filter val="6,784.00"/>
        <filter val="6,812.00"/>
        <filter val="-6,812.00"/>
        <filter val="6,836.00"/>
        <filter val="6,847.00"/>
        <filter val="6,854.00"/>
        <filter val="6,862.00"/>
        <filter val="6,868.00"/>
        <filter val="6,885.00"/>
        <filter val="6,894.00"/>
        <filter val="-6,906.00"/>
        <filter val="6,928.00"/>
        <filter val="6,938.00"/>
        <filter val="6,979.00"/>
        <filter val="6,989.00"/>
        <filter val="6.00"/>
        <filter val="60,000.00"/>
        <filter val="605.00"/>
        <filter val="-606.00"/>
        <filter val="61,000.00"/>
        <filter val="-61,001.00"/>
        <filter val="61,881.00"/>
        <filter val="-61,974.00"/>
        <filter val="614.00"/>
        <filter val="616.00"/>
        <filter val="617.00"/>
        <filter val="-62,506.00"/>
        <filter val="621.00"/>
        <filter val="623.00"/>
        <filter val="629.00"/>
        <filter val="63,000.00"/>
        <filter val="-63,499.00"/>
        <filter val="-63,874.00"/>
        <filter val="633.00"/>
        <filter val="637.00"/>
        <filter val="-64,380.00"/>
        <filter val="644.00"/>
        <filter val="-644.00"/>
        <filter val="65,000.00"/>
        <filter val="-65,000.00"/>
        <filter val="653.00"/>
        <filter val="655.00"/>
        <filter val="-655.00"/>
        <filter val="657.00"/>
        <filter val="-657.00"/>
        <filter val="-66,998.00"/>
        <filter val="661.00"/>
        <filter val="662.00"/>
        <filter val="663.00"/>
        <filter val="-67,026.00"/>
        <filter val="-67,231.00"/>
        <filter val="-67,360.00"/>
        <filter val="68,603.00"/>
        <filter val="68.00"/>
        <filter val="691.00"/>
        <filter val="7,037.00"/>
        <filter val="-7,038.00"/>
        <filter val="7,056.00"/>
        <filter val="-7,063.00"/>
        <filter val="7,072.00"/>
        <filter val="-7,074.00"/>
        <filter val="7,079.00"/>
        <filter val="7,138.00"/>
        <filter val="-7,171.00"/>
        <filter val="7,205.00"/>
        <filter val="7,260.00"/>
        <filter val="7,261.00"/>
        <filter val="-7,265.00"/>
        <filter val="7,280.00"/>
        <filter val="7,299.00"/>
        <filter val="7,304.00"/>
        <filter val="7,325.00"/>
        <filter val="7,360.00"/>
        <filter val="7,374.00"/>
        <filter val="7,452.00"/>
        <filter val="7,487.00"/>
        <filter val="7,490.00"/>
        <filter val="7,601.00"/>
        <filter val="7,657.00"/>
        <filter val="7,695.00"/>
        <filter val="-7,696.00"/>
        <filter val="7,698.00"/>
        <filter val="7,738.00"/>
        <filter val="7,764.00"/>
        <filter val="7,770.00"/>
        <filter val="7,846.00"/>
        <filter val="7,848.00"/>
        <filter val="-7,854.00"/>
        <filter val="7,860.00"/>
        <filter val="-7,916.00"/>
        <filter val="-7,957.00"/>
        <filter val="7,998.00"/>
        <filter val="70,458.00"/>
        <filter val="704.00"/>
        <filter val="706.00"/>
        <filter val="71.00"/>
        <filter val="717.00"/>
        <filter val="718.00"/>
        <filter val="719.00"/>
        <filter val="-72,450.00"/>
        <filter val="-72,997.00"/>
        <filter val="721.00"/>
        <filter val="726.00"/>
        <filter val="727.00"/>
        <filter val="-727.00"/>
        <filter val="735.00"/>
        <filter val="738.00"/>
        <filter val="-74,171.00"/>
        <filter val="-74,476.00"/>
        <filter val="741.00"/>
        <filter val="742.00"/>
        <filter val="744.00"/>
        <filter val="75,000.00"/>
        <filter val="-75,000.00"/>
        <filter val="-75,577.00"/>
        <filter val="752.00"/>
        <filter val="-752.00"/>
        <filter val="753.00"/>
        <filter val="756.00"/>
        <filter val="-76,186.00"/>
        <filter val="-76,494.00"/>
        <filter val="76.00"/>
        <filter val="760.00"/>
        <filter val="762.00"/>
        <filter val="763.00"/>
        <filter val="765.00"/>
        <filter val="766.00"/>
        <filter val="771.00"/>
        <filter val="775.00"/>
        <filter val="779.00"/>
        <filter val="-779.00"/>
        <filter val="-78,200.00"/>
        <filter val="785.00"/>
        <filter val="79,000.00"/>
        <filter val="-79,011.00"/>
        <filter val="79.00"/>
        <filter val="790.00"/>
        <filter val="792.00"/>
        <filter val="795.00"/>
        <filter val="799.00"/>
        <filter val="8,005.00"/>
        <filter val="8,016.00"/>
        <filter val="8,029.00"/>
        <filter val="8,064.00"/>
        <filter val="8,109.00"/>
        <filter val="8,116.00"/>
        <filter val="-8,116.00"/>
        <filter val="8,119.00"/>
        <filter val="8,139.00"/>
        <filter val="-8,271.00"/>
        <filter val="8,315.00"/>
        <filter val="8,331.00"/>
        <filter val="8,341.00"/>
        <filter val="8,418.00"/>
        <filter val="-8,425.00"/>
        <filter val="8,455.00"/>
        <filter val="8,534.00"/>
        <filter val="8,574.00"/>
        <filter val="8,591.00"/>
        <filter val="8,602.00"/>
        <filter val="-8,646.00"/>
        <filter val="8,667.00"/>
        <filter val="-8,690.00"/>
        <filter val="8,727.00"/>
        <filter val="-8,738.00"/>
        <filter val="-8,830.00"/>
        <filter val="8,862.00"/>
        <filter val="8,863.00"/>
        <filter val="8,903.00"/>
        <filter val="-8,926.00"/>
        <filter val="8,927.00"/>
        <filter val="8.00"/>
        <filter val="-80,970.00"/>
        <filter val="802.00"/>
        <filter val="804.00"/>
        <filter val="806.00"/>
        <filter val="-81,869.00"/>
        <filter val="81.00"/>
        <filter val="813.00"/>
        <filter val="818.00"/>
        <filter val="820.00"/>
        <filter val="83.00"/>
        <filter val="830.00"/>
        <filter val="837.00"/>
        <filter val="840.00"/>
        <filter val="841.00"/>
        <filter val="85,000.00"/>
        <filter val="-85,467.00"/>
        <filter val="85,990.00"/>
        <filter val="851.00"/>
        <filter val="853.00"/>
        <filter val="858.00"/>
        <filter val="-86,179.00"/>
        <filter val="863.00"/>
        <filter val="-87,148.00"/>
        <filter val="-87,349.00"/>
        <filter val="-87,493.00"/>
        <filter val="874.00"/>
        <filter val="878.00"/>
        <filter val="-88,043.00"/>
        <filter val="-88,130.00"/>
        <filter val="88.00"/>
        <filter val="886.00"/>
        <filter val="89,000.00"/>
        <filter val="894.00"/>
        <filter val="897.00"/>
        <filter val="-897.00"/>
        <filter val="898.00"/>
        <filter val="-9,155.00"/>
        <filter val="-9,254.00"/>
        <filter val="-9,287.00"/>
        <filter val="-9,650.00"/>
        <filter val="-9,696.00"/>
        <filter val="9,942.00"/>
        <filter val="-9,942.00"/>
        <filter val="90,000.00"/>
        <filter val="-90,001.00"/>
        <filter val="900.00"/>
        <filter val="902.00"/>
        <filter val="903.00"/>
        <filter val="906.00"/>
        <filter val="907.00"/>
        <filter val="909.00"/>
        <filter val="91,000.00"/>
        <filter val="91.00"/>
        <filter val="911.00"/>
        <filter val="-911.00"/>
        <filter val="92,655.00"/>
        <filter val="-920.00"/>
        <filter val="921.00"/>
        <filter val="922.00"/>
        <filter val="925.00"/>
        <filter val="926.00"/>
        <filter val="927.00"/>
        <filter val="928.00"/>
        <filter val="932.00"/>
        <filter val="934.00"/>
        <filter val="939.00"/>
        <filter val="-94,058.00"/>
        <filter val="-94,265.00"/>
        <filter val="94,700.00"/>
        <filter val="-94,926.00"/>
        <filter val="940.00"/>
        <filter val="943.00"/>
        <filter val="947.00"/>
        <filter val="949.00"/>
        <filter val="95,000.00"/>
        <filter val="-95,606.00"/>
        <filter val="-95,732.00"/>
        <filter val="950.00"/>
        <filter val="954.00"/>
        <filter val="958.00"/>
        <filter val="967.00"/>
        <filter val="968.00"/>
        <filter val="969.00"/>
        <filter val="-969.00"/>
        <filter val="971.00"/>
        <filter val="973.00"/>
        <filter val="-98,031.00"/>
        <filter val="980.00"/>
        <filter val="989.00"/>
        <filter val="99.00"/>
        <filter val="992.00"/>
        <filter val="993.00"/>
        <filter val="-993.00"/>
        <filter val="996.00"/>
      </filters>
    </filterColumn>
  </autoFilter>
  <sortState xmlns:xlrd2="http://schemas.microsoft.com/office/spreadsheetml/2017/richdata2" ref="A2:B2085">
    <sortCondition ref="A2:A20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181EA-71F3-46F1-BDCC-8F347582001C}">
  <dimension ref="A1:B1752"/>
  <sheetViews>
    <sheetView topLeftCell="A1734" workbookViewId="0">
      <selection activeCell="B1752" sqref="B1752"/>
    </sheetView>
  </sheetViews>
  <sheetFormatPr defaultRowHeight="15" x14ac:dyDescent="0.25"/>
  <cols>
    <col min="1" max="1" width="37.42578125" bestFit="1" customWidth="1"/>
    <col min="2" max="2" width="11.5703125" style="13" bestFit="1" customWidth="1"/>
  </cols>
  <sheetData>
    <row r="1" spans="1:2" x14ac:dyDescent="0.25">
      <c r="A1" t="s">
        <v>3975</v>
      </c>
      <c r="B1" s="13" t="s">
        <v>3976</v>
      </c>
    </row>
    <row r="2" spans="1:2" x14ac:dyDescent="0.25">
      <c r="A2" s="1" t="s">
        <v>43</v>
      </c>
      <c r="B2" s="16">
        <v>1302</v>
      </c>
    </row>
    <row r="3" spans="1:2" x14ac:dyDescent="0.25">
      <c r="A3" s="1" t="s">
        <v>62</v>
      </c>
      <c r="B3" s="16">
        <v>-1</v>
      </c>
    </row>
    <row r="4" spans="1:2" x14ac:dyDescent="0.25">
      <c r="A4" s="1" t="s">
        <v>71</v>
      </c>
      <c r="B4" s="16">
        <v>-404</v>
      </c>
    </row>
    <row r="5" spans="1:2" x14ac:dyDescent="0.25">
      <c r="A5" s="1" t="s">
        <v>76</v>
      </c>
      <c r="B5" s="16">
        <v>-374</v>
      </c>
    </row>
    <row r="6" spans="1:2" x14ac:dyDescent="0.25">
      <c r="A6" s="1" t="s">
        <v>86</v>
      </c>
      <c r="B6" s="16">
        <v>-1</v>
      </c>
    </row>
    <row r="7" spans="1:2" x14ac:dyDescent="0.25">
      <c r="A7" s="1" t="s">
        <v>88</v>
      </c>
      <c r="B7" s="16">
        <v>-3</v>
      </c>
    </row>
    <row r="8" spans="1:2" x14ac:dyDescent="0.25">
      <c r="A8" s="1" t="s">
        <v>100</v>
      </c>
      <c r="B8" s="16">
        <v>-5</v>
      </c>
    </row>
    <row r="9" spans="1:2" x14ac:dyDescent="0.25">
      <c r="A9" s="1" t="s">
        <v>102</v>
      </c>
      <c r="B9" s="16">
        <v>-8</v>
      </c>
    </row>
    <row r="10" spans="1:2" x14ac:dyDescent="0.25">
      <c r="A10" s="1" t="s">
        <v>108</v>
      </c>
      <c r="B10" s="16">
        <v>-99</v>
      </c>
    </row>
    <row r="11" spans="1:2" x14ac:dyDescent="0.25">
      <c r="A11" s="1" t="s">
        <v>110</v>
      </c>
      <c r="B11" s="16">
        <v>-2</v>
      </c>
    </row>
    <row r="12" spans="1:2" x14ac:dyDescent="0.25">
      <c r="A12" s="1" t="s">
        <v>112</v>
      </c>
      <c r="B12" s="16">
        <v>-370</v>
      </c>
    </row>
    <row r="13" spans="1:2" x14ac:dyDescent="0.25">
      <c r="A13" s="1" t="s">
        <v>122</v>
      </c>
      <c r="B13" s="16">
        <v>-2</v>
      </c>
    </row>
    <row r="14" spans="1:2" x14ac:dyDescent="0.25">
      <c r="A14" s="1" t="s">
        <v>124</v>
      </c>
      <c r="B14" s="16">
        <v>57</v>
      </c>
    </row>
    <row r="15" spans="1:2" x14ac:dyDescent="0.25">
      <c r="A15" s="1" t="s">
        <v>171</v>
      </c>
      <c r="B15" s="16">
        <v>-8</v>
      </c>
    </row>
    <row r="16" spans="1:2" x14ac:dyDescent="0.25">
      <c r="A16" s="1" t="s">
        <v>174</v>
      </c>
      <c r="B16" s="16">
        <v>-1</v>
      </c>
    </row>
    <row r="17" spans="1:2" x14ac:dyDescent="0.25">
      <c r="A17" s="1" t="s">
        <v>185</v>
      </c>
      <c r="B17" s="16">
        <v>-165</v>
      </c>
    </row>
    <row r="18" spans="1:2" x14ac:dyDescent="0.25">
      <c r="A18" s="1" t="s">
        <v>197</v>
      </c>
      <c r="B18" s="16">
        <v>-362</v>
      </c>
    </row>
    <row r="19" spans="1:2" x14ac:dyDescent="0.25">
      <c r="A19" s="1" t="s">
        <v>205</v>
      </c>
      <c r="B19" s="16">
        <v>1</v>
      </c>
    </row>
    <row r="20" spans="1:2" x14ac:dyDescent="0.25">
      <c r="A20" s="1" t="s">
        <v>208</v>
      </c>
      <c r="B20" s="16">
        <v>-537</v>
      </c>
    </row>
    <row r="21" spans="1:2" x14ac:dyDescent="0.25">
      <c r="A21" s="1" t="s">
        <v>242</v>
      </c>
      <c r="B21" s="16">
        <v>-6</v>
      </c>
    </row>
    <row r="22" spans="1:2" x14ac:dyDescent="0.25">
      <c r="A22" s="1" t="s">
        <v>256</v>
      </c>
      <c r="B22" s="16">
        <v>-2</v>
      </c>
    </row>
    <row r="23" spans="1:2" x14ac:dyDescent="0.25">
      <c r="A23" s="1" t="s">
        <v>268</v>
      </c>
      <c r="B23" s="16">
        <v>-1</v>
      </c>
    </row>
    <row r="24" spans="1:2" x14ac:dyDescent="0.25">
      <c r="A24" s="1" t="s">
        <v>349</v>
      </c>
      <c r="B24" s="16">
        <v>-454</v>
      </c>
    </row>
    <row r="25" spans="1:2" x14ac:dyDescent="0.25">
      <c r="A25" s="1" t="s">
        <v>351</v>
      </c>
      <c r="B25" s="16">
        <v>-102</v>
      </c>
    </row>
    <row r="26" spans="1:2" x14ac:dyDescent="0.25">
      <c r="A26" s="1" t="s">
        <v>383</v>
      </c>
      <c r="B26" s="16">
        <v>-557</v>
      </c>
    </row>
    <row r="27" spans="1:2" x14ac:dyDescent="0.25">
      <c r="A27" s="1" t="s">
        <v>622</v>
      </c>
      <c r="B27" s="16">
        <v>-400</v>
      </c>
    </row>
    <row r="28" spans="1:2" x14ac:dyDescent="0.25">
      <c r="A28" s="1" t="s">
        <v>784</v>
      </c>
      <c r="B28" s="16">
        <v>-99</v>
      </c>
    </row>
    <row r="29" spans="1:2" x14ac:dyDescent="0.25">
      <c r="A29" s="1" t="s">
        <v>817</v>
      </c>
      <c r="B29" s="16">
        <v>-2</v>
      </c>
    </row>
    <row r="30" spans="1:2" x14ac:dyDescent="0.25">
      <c r="A30" s="1" t="s">
        <v>871</v>
      </c>
      <c r="B30" s="16">
        <v>-14</v>
      </c>
    </row>
    <row r="31" spans="1:2" x14ac:dyDescent="0.25">
      <c r="A31" s="1" t="s">
        <v>1040</v>
      </c>
      <c r="B31" s="16">
        <v>-2</v>
      </c>
    </row>
    <row r="32" spans="1:2" x14ac:dyDescent="0.25">
      <c r="A32" s="1" t="s">
        <v>1089</v>
      </c>
      <c r="B32" s="16">
        <v>50</v>
      </c>
    </row>
    <row r="33" spans="1:2" x14ac:dyDescent="0.25">
      <c r="A33" s="1" t="s">
        <v>1137</v>
      </c>
      <c r="B33" s="16">
        <v>-428</v>
      </c>
    </row>
    <row r="34" spans="1:2" x14ac:dyDescent="0.25">
      <c r="A34" s="1" t="s">
        <v>1215</v>
      </c>
      <c r="B34" s="16">
        <v>-1</v>
      </c>
    </row>
    <row r="35" spans="1:2" x14ac:dyDescent="0.25">
      <c r="A35" s="1" t="s">
        <v>1243</v>
      </c>
      <c r="B35" s="16">
        <v>-79</v>
      </c>
    </row>
    <row r="36" spans="1:2" x14ac:dyDescent="0.25">
      <c r="A36" s="1" t="s">
        <v>1268</v>
      </c>
      <c r="B36" s="16">
        <v>50</v>
      </c>
    </row>
    <row r="37" spans="1:2" x14ac:dyDescent="0.25">
      <c r="A37" s="1" t="s">
        <v>1312</v>
      </c>
      <c r="B37" s="16">
        <v>-28</v>
      </c>
    </row>
    <row r="38" spans="1:2" x14ac:dyDescent="0.25">
      <c r="A38" s="1" t="s">
        <v>1318</v>
      </c>
      <c r="B38" s="16">
        <v>50</v>
      </c>
    </row>
    <row r="39" spans="1:2" x14ac:dyDescent="0.25">
      <c r="A39" s="1" t="s">
        <v>1441</v>
      </c>
      <c r="B39" s="16">
        <v>50</v>
      </c>
    </row>
    <row r="40" spans="1:2" x14ac:dyDescent="0.25">
      <c r="A40" s="1" t="s">
        <v>1453</v>
      </c>
      <c r="B40" s="16">
        <v>50</v>
      </c>
    </row>
    <row r="41" spans="1:2" x14ac:dyDescent="0.25">
      <c r="A41" s="1" t="s">
        <v>1512</v>
      </c>
      <c r="B41" s="16">
        <v>-51</v>
      </c>
    </row>
    <row r="42" spans="1:2" x14ac:dyDescent="0.25">
      <c r="A42" s="1" t="s">
        <v>1519</v>
      </c>
      <c r="B42" s="16">
        <v>50</v>
      </c>
    </row>
    <row r="43" spans="1:2" x14ac:dyDescent="0.25">
      <c r="A43" s="1" t="s">
        <v>1562</v>
      </c>
      <c r="B43" s="16">
        <v>-1</v>
      </c>
    </row>
    <row r="44" spans="1:2" x14ac:dyDescent="0.25">
      <c r="A44" s="1" t="s">
        <v>1590</v>
      </c>
      <c r="B44" s="16">
        <v>-15</v>
      </c>
    </row>
    <row r="45" spans="1:2" x14ac:dyDescent="0.25">
      <c r="A45" s="1" t="s">
        <v>1606</v>
      </c>
      <c r="B45" s="16">
        <v>50</v>
      </c>
    </row>
    <row r="46" spans="1:2" x14ac:dyDescent="0.25">
      <c r="A46" s="1" t="s">
        <v>1617</v>
      </c>
      <c r="B46" s="16">
        <v>50</v>
      </c>
    </row>
    <row r="47" spans="1:2" x14ac:dyDescent="0.25">
      <c r="A47" s="1" t="s">
        <v>1639</v>
      </c>
      <c r="B47" s="16">
        <v>50</v>
      </c>
    </row>
    <row r="48" spans="1:2" x14ac:dyDescent="0.25">
      <c r="A48" s="1" t="s">
        <v>1662</v>
      </c>
      <c r="B48" s="16">
        <v>50</v>
      </c>
    </row>
    <row r="49" spans="1:2" x14ac:dyDescent="0.25">
      <c r="A49" s="1" t="s">
        <v>1672</v>
      </c>
      <c r="B49" s="16">
        <v>50</v>
      </c>
    </row>
    <row r="50" spans="1:2" x14ac:dyDescent="0.25">
      <c r="A50" s="1" t="s">
        <v>1702</v>
      </c>
      <c r="B50" s="16">
        <v>50</v>
      </c>
    </row>
    <row r="51" spans="1:2" x14ac:dyDescent="0.25">
      <c r="A51" s="1" t="s">
        <v>1707</v>
      </c>
      <c r="B51" s="16">
        <v>50</v>
      </c>
    </row>
    <row r="52" spans="1:2" x14ac:dyDescent="0.25">
      <c r="A52" s="1" t="s">
        <v>1716</v>
      </c>
      <c r="B52" s="16">
        <v>50</v>
      </c>
    </row>
    <row r="53" spans="1:2" x14ac:dyDescent="0.25">
      <c r="A53" s="1" t="s">
        <v>1726</v>
      </c>
      <c r="B53" s="16">
        <v>50</v>
      </c>
    </row>
    <row r="54" spans="1:2" x14ac:dyDescent="0.25">
      <c r="A54" s="1" t="s">
        <v>1749</v>
      </c>
      <c r="B54" s="16">
        <v>50</v>
      </c>
    </row>
    <row r="55" spans="1:2" x14ac:dyDescent="0.25">
      <c r="A55" s="1" t="s">
        <v>1752</v>
      </c>
      <c r="B55" s="16">
        <v>50</v>
      </c>
    </row>
    <row r="56" spans="1:2" x14ac:dyDescent="0.25">
      <c r="A56" s="1" t="s">
        <v>1760</v>
      </c>
      <c r="B56" s="16">
        <v>50</v>
      </c>
    </row>
    <row r="57" spans="1:2" x14ac:dyDescent="0.25">
      <c r="A57" s="1" t="s">
        <v>1797</v>
      </c>
      <c r="B57" s="16">
        <v>78200</v>
      </c>
    </row>
    <row r="58" spans="1:2" x14ac:dyDescent="0.25">
      <c r="A58" s="1" t="s">
        <v>1826</v>
      </c>
      <c r="B58" s="16">
        <v>50</v>
      </c>
    </row>
    <row r="59" spans="1:2" x14ac:dyDescent="0.25">
      <c r="A59" s="1" t="s">
        <v>1836</v>
      </c>
      <c r="B59" s="16">
        <v>50</v>
      </c>
    </row>
    <row r="60" spans="1:2" x14ac:dyDescent="0.25">
      <c r="A60" s="1" t="s">
        <v>1851</v>
      </c>
      <c r="B60" s="16">
        <v>50</v>
      </c>
    </row>
    <row r="61" spans="1:2" x14ac:dyDescent="0.25">
      <c r="A61" s="1" t="s">
        <v>1890</v>
      </c>
      <c r="B61" s="16">
        <v>50</v>
      </c>
    </row>
    <row r="62" spans="1:2" x14ac:dyDescent="0.25">
      <c r="A62" s="1" t="s">
        <v>1898</v>
      </c>
      <c r="B62" s="16">
        <v>50</v>
      </c>
    </row>
    <row r="63" spans="1:2" x14ac:dyDescent="0.25">
      <c r="A63" s="1" t="s">
        <v>1933</v>
      </c>
      <c r="B63" s="16">
        <v>50</v>
      </c>
    </row>
    <row r="64" spans="1:2" x14ac:dyDescent="0.25">
      <c r="A64" s="1" t="s">
        <v>1952</v>
      </c>
      <c r="B64" s="16">
        <v>5000</v>
      </c>
    </row>
    <row r="65" spans="1:2" x14ac:dyDescent="0.25">
      <c r="A65" t="s">
        <v>19</v>
      </c>
      <c r="B65" s="13">
        <v>5169</v>
      </c>
    </row>
    <row r="66" spans="1:2" x14ac:dyDescent="0.25">
      <c r="A66" t="s">
        <v>12</v>
      </c>
      <c r="B66" s="13">
        <v>2231</v>
      </c>
    </row>
    <row r="67" spans="1:2" x14ac:dyDescent="0.25">
      <c r="A67" t="s">
        <v>15</v>
      </c>
      <c r="B67" s="13">
        <v>1964</v>
      </c>
    </row>
    <row r="68" spans="1:2" x14ac:dyDescent="0.25">
      <c r="A68" t="s">
        <v>26</v>
      </c>
      <c r="B68" s="13">
        <v>105</v>
      </c>
    </row>
    <row r="69" spans="1:2" x14ac:dyDescent="0.25">
      <c r="A69" t="s">
        <v>36</v>
      </c>
      <c r="B69" s="13">
        <v>166</v>
      </c>
    </row>
    <row r="70" spans="1:2" x14ac:dyDescent="0.25">
      <c r="A70" t="s">
        <v>27</v>
      </c>
      <c r="B70" s="13">
        <v>1232</v>
      </c>
    </row>
    <row r="71" spans="1:2" x14ac:dyDescent="0.25">
      <c r="A71" t="s">
        <v>28</v>
      </c>
      <c r="B71" s="13">
        <v>1141</v>
      </c>
    </row>
    <row r="72" spans="1:2" x14ac:dyDescent="0.25">
      <c r="A72" t="s">
        <v>77</v>
      </c>
      <c r="B72" s="13">
        <v>374</v>
      </c>
    </row>
    <row r="73" spans="1:2" x14ac:dyDescent="0.25">
      <c r="A73" t="s">
        <v>74</v>
      </c>
      <c r="B73" s="13">
        <v>1699</v>
      </c>
    </row>
    <row r="74" spans="1:2" x14ac:dyDescent="0.25">
      <c r="A74" t="s">
        <v>68</v>
      </c>
      <c r="B74" s="13">
        <v>434</v>
      </c>
    </row>
    <row r="75" spans="1:2" x14ac:dyDescent="0.25">
      <c r="A75" t="s">
        <v>65</v>
      </c>
      <c r="B75" s="13">
        <v>969</v>
      </c>
    </row>
    <row r="76" spans="1:2" x14ac:dyDescent="0.25">
      <c r="A76" t="s">
        <v>72</v>
      </c>
      <c r="B76" s="13">
        <v>404</v>
      </c>
    </row>
    <row r="77" spans="1:2" x14ac:dyDescent="0.25">
      <c r="A77" t="s">
        <v>20</v>
      </c>
      <c r="B77" s="13">
        <v>4118</v>
      </c>
    </row>
    <row r="78" spans="1:2" x14ac:dyDescent="0.25">
      <c r="A78" t="s">
        <v>16</v>
      </c>
      <c r="B78" s="13">
        <v>1282</v>
      </c>
    </row>
    <row r="79" spans="1:2" x14ac:dyDescent="0.25">
      <c r="A79" t="s">
        <v>48</v>
      </c>
      <c r="B79" s="13">
        <v>3970</v>
      </c>
    </row>
    <row r="80" spans="1:2" x14ac:dyDescent="0.25">
      <c r="A80" t="s">
        <v>29</v>
      </c>
      <c r="B80" s="13">
        <v>105</v>
      </c>
    </row>
    <row r="81" spans="1:2" x14ac:dyDescent="0.25">
      <c r="A81" t="s">
        <v>84</v>
      </c>
      <c r="B81" s="13">
        <v>1236</v>
      </c>
    </row>
    <row r="82" spans="1:2" x14ac:dyDescent="0.25">
      <c r="A82" t="s">
        <v>23</v>
      </c>
      <c r="B82" s="13">
        <v>1013</v>
      </c>
    </row>
    <row r="83" spans="1:2" x14ac:dyDescent="0.25">
      <c r="A83" t="s">
        <v>32</v>
      </c>
      <c r="B83" s="13">
        <v>231</v>
      </c>
    </row>
    <row r="84" spans="1:2" x14ac:dyDescent="0.25">
      <c r="A84" t="s">
        <v>39</v>
      </c>
      <c r="B84" s="13">
        <v>2061</v>
      </c>
    </row>
    <row r="85" spans="1:2" x14ac:dyDescent="0.25">
      <c r="A85" t="s">
        <v>44</v>
      </c>
      <c r="B85" s="13">
        <v>1579</v>
      </c>
    </row>
    <row r="86" spans="1:2" x14ac:dyDescent="0.25">
      <c r="A86" t="s">
        <v>40</v>
      </c>
      <c r="B86" s="13">
        <v>344</v>
      </c>
    </row>
    <row r="87" spans="1:2" x14ac:dyDescent="0.25">
      <c r="A87" t="s">
        <v>33</v>
      </c>
      <c r="B87" s="13">
        <v>762</v>
      </c>
    </row>
    <row r="88" spans="1:2" x14ac:dyDescent="0.25">
      <c r="A88" t="s">
        <v>54</v>
      </c>
      <c r="B88" s="13">
        <v>339</v>
      </c>
    </row>
    <row r="89" spans="1:2" x14ac:dyDescent="0.25">
      <c r="A89" t="s">
        <v>55</v>
      </c>
      <c r="B89" s="13">
        <v>204</v>
      </c>
    </row>
    <row r="90" spans="1:2" x14ac:dyDescent="0.25">
      <c r="A90" t="s">
        <v>41</v>
      </c>
      <c r="B90" s="13">
        <v>1059</v>
      </c>
    </row>
    <row r="91" spans="1:2" x14ac:dyDescent="0.25">
      <c r="A91" t="s">
        <v>45</v>
      </c>
      <c r="B91" s="13">
        <v>1619</v>
      </c>
    </row>
    <row r="92" spans="1:2" x14ac:dyDescent="0.25">
      <c r="A92" t="s">
        <v>51</v>
      </c>
      <c r="B92" s="13">
        <v>779</v>
      </c>
    </row>
    <row r="93" spans="1:2" x14ac:dyDescent="0.25">
      <c r="A93" t="s">
        <v>56</v>
      </c>
      <c r="B93" s="13">
        <v>111</v>
      </c>
    </row>
    <row r="94" spans="1:2" x14ac:dyDescent="0.25">
      <c r="A94" t="s">
        <v>57</v>
      </c>
      <c r="B94" s="13">
        <v>339</v>
      </c>
    </row>
    <row r="95" spans="1:2" x14ac:dyDescent="0.25">
      <c r="A95" t="s">
        <v>69</v>
      </c>
      <c r="B95" s="13">
        <v>-385</v>
      </c>
    </row>
    <row r="96" spans="1:2" x14ac:dyDescent="0.25">
      <c r="A96" t="s">
        <v>89</v>
      </c>
      <c r="B96" s="13">
        <v>3</v>
      </c>
    </row>
    <row r="97" spans="1:2" x14ac:dyDescent="0.25">
      <c r="A97" t="s">
        <v>91</v>
      </c>
      <c r="B97" s="13">
        <v>4371</v>
      </c>
    </row>
    <row r="98" spans="1:2" x14ac:dyDescent="0.25">
      <c r="A98" t="s">
        <v>92</v>
      </c>
      <c r="B98" s="13">
        <v>81</v>
      </c>
    </row>
    <row r="99" spans="1:2" x14ac:dyDescent="0.25">
      <c r="A99" t="s">
        <v>60</v>
      </c>
      <c r="B99" s="13">
        <v>536</v>
      </c>
    </row>
    <row r="100" spans="1:2" x14ac:dyDescent="0.25">
      <c r="A100" t="s">
        <v>63</v>
      </c>
      <c r="B100" s="13">
        <v>1</v>
      </c>
    </row>
    <row r="101" spans="1:2" x14ac:dyDescent="0.25">
      <c r="A101" t="s">
        <v>125</v>
      </c>
      <c r="B101" s="13">
        <v>-57</v>
      </c>
    </row>
    <row r="102" spans="1:2" x14ac:dyDescent="0.25">
      <c r="A102" t="s">
        <v>109</v>
      </c>
      <c r="B102" s="13">
        <v>99</v>
      </c>
    </row>
    <row r="103" spans="1:2" x14ac:dyDescent="0.25">
      <c r="A103" t="s">
        <v>206</v>
      </c>
      <c r="B103" s="13">
        <v>90000</v>
      </c>
    </row>
    <row r="104" spans="1:2" x14ac:dyDescent="0.25">
      <c r="A104" t="s">
        <v>177</v>
      </c>
      <c r="B104" s="13">
        <v>1859</v>
      </c>
    </row>
    <row r="105" spans="1:2" x14ac:dyDescent="0.25">
      <c r="A105" t="s">
        <v>178</v>
      </c>
      <c r="B105" s="13">
        <v>-1859</v>
      </c>
    </row>
    <row r="106" spans="1:2" x14ac:dyDescent="0.25">
      <c r="A106" t="s">
        <v>87</v>
      </c>
      <c r="B106" s="13">
        <v>1</v>
      </c>
    </row>
    <row r="107" spans="1:2" x14ac:dyDescent="0.25">
      <c r="A107" t="s">
        <v>218</v>
      </c>
      <c r="B107" s="13">
        <v>3720</v>
      </c>
    </row>
    <row r="108" spans="1:2" x14ac:dyDescent="0.25">
      <c r="A108" t="s">
        <v>257</v>
      </c>
      <c r="B108" s="13">
        <v>2</v>
      </c>
    </row>
    <row r="109" spans="1:2" x14ac:dyDescent="0.25">
      <c r="A109" t="s">
        <v>263</v>
      </c>
      <c r="B109" s="13">
        <v>39000</v>
      </c>
    </row>
    <row r="110" spans="1:2" x14ac:dyDescent="0.25">
      <c r="A110" t="s">
        <v>223</v>
      </c>
      <c r="B110" s="13">
        <v>370</v>
      </c>
    </row>
    <row r="111" spans="1:2" x14ac:dyDescent="0.25">
      <c r="A111" t="s">
        <v>161</v>
      </c>
      <c r="B111" s="13">
        <v>1</v>
      </c>
    </row>
    <row r="112" spans="1:2" x14ac:dyDescent="0.25">
      <c r="A112" t="s">
        <v>175</v>
      </c>
      <c r="B112" s="13">
        <v>1</v>
      </c>
    </row>
    <row r="113" spans="1:2" x14ac:dyDescent="0.25">
      <c r="A113" t="s">
        <v>264</v>
      </c>
      <c r="B113" s="13">
        <v>1997</v>
      </c>
    </row>
    <row r="114" spans="1:2" x14ac:dyDescent="0.25">
      <c r="A114" t="s">
        <v>79</v>
      </c>
      <c r="B114" s="13">
        <v>126</v>
      </c>
    </row>
    <row r="115" spans="1:2" x14ac:dyDescent="0.25">
      <c r="A115" t="s">
        <v>224</v>
      </c>
      <c r="B115" s="13">
        <v>453</v>
      </c>
    </row>
    <row r="116" spans="1:2" x14ac:dyDescent="0.25">
      <c r="A116" t="s">
        <v>93</v>
      </c>
      <c r="B116" s="13">
        <v>54</v>
      </c>
    </row>
    <row r="117" spans="1:2" x14ac:dyDescent="0.25">
      <c r="A117" t="s">
        <v>101</v>
      </c>
      <c r="B117" s="13">
        <v>5</v>
      </c>
    </row>
    <row r="118" spans="1:2" x14ac:dyDescent="0.25">
      <c r="A118" t="s">
        <v>172</v>
      </c>
      <c r="B118" s="13">
        <v>6</v>
      </c>
    </row>
    <row r="119" spans="1:2" x14ac:dyDescent="0.25">
      <c r="A119" t="s">
        <v>315</v>
      </c>
      <c r="B119" s="13">
        <v>2839</v>
      </c>
    </row>
    <row r="120" spans="1:2" x14ac:dyDescent="0.25">
      <c r="A120" t="s">
        <v>386</v>
      </c>
      <c r="B120" s="13">
        <v>1994</v>
      </c>
    </row>
    <row r="121" spans="1:2" x14ac:dyDescent="0.25">
      <c r="A121" t="s">
        <v>400</v>
      </c>
      <c r="B121" s="13">
        <v>1251</v>
      </c>
    </row>
    <row r="122" spans="1:2" x14ac:dyDescent="0.25">
      <c r="A122" t="s">
        <v>265</v>
      </c>
      <c r="B122" s="13">
        <v>2257</v>
      </c>
    </row>
    <row r="123" spans="1:2" x14ac:dyDescent="0.25">
      <c r="A123" t="s">
        <v>80</v>
      </c>
      <c r="B123" s="13">
        <v>240</v>
      </c>
    </row>
    <row r="124" spans="1:2" x14ac:dyDescent="0.25">
      <c r="A124" t="s">
        <v>81</v>
      </c>
      <c r="B124" s="13">
        <v>240</v>
      </c>
    </row>
    <row r="125" spans="1:2" x14ac:dyDescent="0.25">
      <c r="A125" t="s">
        <v>408</v>
      </c>
      <c r="B125" s="13">
        <v>23826</v>
      </c>
    </row>
    <row r="126" spans="1:2" x14ac:dyDescent="0.25">
      <c r="A126" t="s">
        <v>418</v>
      </c>
      <c r="B126" s="13">
        <v>95000</v>
      </c>
    </row>
    <row r="127" spans="1:2" x14ac:dyDescent="0.25">
      <c r="A127" t="s">
        <v>413</v>
      </c>
      <c r="B127" s="13">
        <v>115000</v>
      </c>
    </row>
    <row r="128" spans="1:2" x14ac:dyDescent="0.25">
      <c r="A128" t="s">
        <v>425</v>
      </c>
      <c r="B128" s="13">
        <v>111000</v>
      </c>
    </row>
    <row r="129" spans="1:2" x14ac:dyDescent="0.25">
      <c r="A129" t="s">
        <v>429</v>
      </c>
      <c r="B129" s="13">
        <v>55000</v>
      </c>
    </row>
    <row r="130" spans="1:2" x14ac:dyDescent="0.25">
      <c r="A130" t="s">
        <v>433</v>
      </c>
      <c r="B130" s="13">
        <v>57000</v>
      </c>
    </row>
    <row r="131" spans="1:2" x14ac:dyDescent="0.25">
      <c r="A131" t="s">
        <v>441</v>
      </c>
      <c r="B131" s="13">
        <v>75000</v>
      </c>
    </row>
    <row r="132" spans="1:2" x14ac:dyDescent="0.25">
      <c r="A132" t="s">
        <v>452</v>
      </c>
      <c r="B132" s="13">
        <v>41000</v>
      </c>
    </row>
    <row r="133" spans="1:2" x14ac:dyDescent="0.25">
      <c r="A133" t="s">
        <v>458</v>
      </c>
      <c r="B133" s="13">
        <v>133000</v>
      </c>
    </row>
    <row r="134" spans="1:2" x14ac:dyDescent="0.25">
      <c r="A134" t="s">
        <v>466</v>
      </c>
      <c r="B134" s="13">
        <v>65000</v>
      </c>
    </row>
    <row r="135" spans="1:2" x14ac:dyDescent="0.25">
      <c r="A135" t="s">
        <v>478</v>
      </c>
      <c r="B135" s="13">
        <v>35000</v>
      </c>
    </row>
    <row r="136" spans="1:2" x14ac:dyDescent="0.25">
      <c r="A136" t="s">
        <v>469</v>
      </c>
      <c r="B136" s="13">
        <v>63000</v>
      </c>
    </row>
    <row r="137" spans="1:2" x14ac:dyDescent="0.25">
      <c r="A137" t="s">
        <v>482</v>
      </c>
      <c r="B137" s="13">
        <v>115000</v>
      </c>
    </row>
    <row r="138" spans="1:2" x14ac:dyDescent="0.25">
      <c r="A138" t="s">
        <v>487</v>
      </c>
      <c r="B138" s="13">
        <v>85000</v>
      </c>
    </row>
    <row r="139" spans="1:2" x14ac:dyDescent="0.25">
      <c r="A139" t="s">
        <v>225</v>
      </c>
      <c r="B139" s="13">
        <v>133</v>
      </c>
    </row>
    <row r="140" spans="1:2" x14ac:dyDescent="0.25">
      <c r="A140" t="s">
        <v>316</v>
      </c>
      <c r="B140" s="13">
        <v>2861</v>
      </c>
    </row>
    <row r="141" spans="1:2" x14ac:dyDescent="0.25">
      <c r="A141" t="s">
        <v>94</v>
      </c>
      <c r="B141" s="13">
        <v>744</v>
      </c>
    </row>
    <row r="142" spans="1:2" x14ac:dyDescent="0.25">
      <c r="A142" t="s">
        <v>103</v>
      </c>
      <c r="B142" s="13">
        <v>8</v>
      </c>
    </row>
    <row r="143" spans="1:2" x14ac:dyDescent="0.25">
      <c r="A143" t="s">
        <v>105</v>
      </c>
      <c r="B143" s="13">
        <v>1</v>
      </c>
    </row>
    <row r="144" spans="1:2" x14ac:dyDescent="0.25">
      <c r="A144" t="s">
        <v>387</v>
      </c>
      <c r="B144" s="13">
        <v>2020</v>
      </c>
    </row>
    <row r="145" spans="1:2" x14ac:dyDescent="0.25">
      <c r="A145" t="s">
        <v>401</v>
      </c>
      <c r="B145" s="13">
        <v>2623</v>
      </c>
    </row>
    <row r="146" spans="1:2" x14ac:dyDescent="0.25">
      <c r="A146" t="s">
        <v>153</v>
      </c>
      <c r="B146" s="13">
        <v>3</v>
      </c>
    </row>
    <row r="147" spans="1:2" x14ac:dyDescent="0.25">
      <c r="A147" t="s">
        <v>496</v>
      </c>
      <c r="B147" s="13">
        <v>53000</v>
      </c>
    </row>
    <row r="148" spans="1:2" x14ac:dyDescent="0.25">
      <c r="A148" t="s">
        <v>499</v>
      </c>
      <c r="B148" s="13">
        <v>35000</v>
      </c>
    </row>
    <row r="149" spans="1:2" x14ac:dyDescent="0.25">
      <c r="A149" t="s">
        <v>506</v>
      </c>
      <c r="B149" s="13">
        <v>55000</v>
      </c>
    </row>
    <row r="150" spans="1:2" x14ac:dyDescent="0.25">
      <c r="A150" t="s">
        <v>509</v>
      </c>
      <c r="B150" s="13">
        <v>135000</v>
      </c>
    </row>
    <row r="151" spans="1:2" x14ac:dyDescent="0.25">
      <c r="A151" t="s">
        <v>516</v>
      </c>
      <c r="B151" s="13">
        <v>75000</v>
      </c>
    </row>
    <row r="152" spans="1:2" x14ac:dyDescent="0.25">
      <c r="A152" t="s">
        <v>519</v>
      </c>
      <c r="B152" s="13">
        <v>39000</v>
      </c>
    </row>
    <row r="153" spans="1:2" x14ac:dyDescent="0.25">
      <c r="A153" t="s">
        <v>524</v>
      </c>
      <c r="B153" s="13">
        <v>61000</v>
      </c>
    </row>
    <row r="154" spans="1:2" x14ac:dyDescent="0.25">
      <c r="A154" t="s">
        <v>538</v>
      </c>
      <c r="B154" s="13">
        <v>55000</v>
      </c>
    </row>
    <row r="155" spans="1:2" x14ac:dyDescent="0.25">
      <c r="A155" t="s">
        <v>530</v>
      </c>
      <c r="B155" s="13">
        <v>51000</v>
      </c>
    </row>
    <row r="156" spans="1:2" x14ac:dyDescent="0.25">
      <c r="A156" t="s">
        <v>541</v>
      </c>
      <c r="B156" s="13">
        <v>45000</v>
      </c>
    </row>
    <row r="157" spans="1:2" x14ac:dyDescent="0.25">
      <c r="A157" t="s">
        <v>548</v>
      </c>
      <c r="B157" s="13">
        <v>51000</v>
      </c>
    </row>
    <row r="158" spans="1:2" x14ac:dyDescent="0.25">
      <c r="A158" t="s">
        <v>554</v>
      </c>
      <c r="B158" s="13">
        <v>55000</v>
      </c>
    </row>
    <row r="159" spans="1:2" x14ac:dyDescent="0.25">
      <c r="A159" t="s">
        <v>563</v>
      </c>
      <c r="B159" s="13">
        <v>39000</v>
      </c>
    </row>
    <row r="160" spans="1:2" x14ac:dyDescent="0.25">
      <c r="A160" t="s">
        <v>569</v>
      </c>
      <c r="B160" s="13">
        <v>35000</v>
      </c>
    </row>
    <row r="161" spans="1:2" x14ac:dyDescent="0.25">
      <c r="A161" t="s">
        <v>317</v>
      </c>
      <c r="B161" s="13">
        <v>2769</v>
      </c>
    </row>
    <row r="162" spans="1:2" x14ac:dyDescent="0.25">
      <c r="A162" t="s">
        <v>243</v>
      </c>
      <c r="B162" s="13">
        <v>6</v>
      </c>
    </row>
    <row r="163" spans="1:2" x14ac:dyDescent="0.25">
      <c r="A163" t="s">
        <v>95</v>
      </c>
      <c r="B163" s="13">
        <v>388</v>
      </c>
    </row>
    <row r="164" spans="1:2" x14ac:dyDescent="0.25">
      <c r="A164" t="s">
        <v>388</v>
      </c>
      <c r="B164" s="13">
        <v>1571</v>
      </c>
    </row>
    <row r="165" spans="1:2" x14ac:dyDescent="0.25">
      <c r="A165" t="s">
        <v>402</v>
      </c>
      <c r="B165" s="13">
        <v>617</v>
      </c>
    </row>
    <row r="166" spans="1:2" x14ac:dyDescent="0.25">
      <c r="A166" t="s">
        <v>574</v>
      </c>
      <c r="B166" s="13">
        <v>113000</v>
      </c>
    </row>
    <row r="167" spans="1:2" x14ac:dyDescent="0.25">
      <c r="A167" t="s">
        <v>581</v>
      </c>
      <c r="B167" s="13">
        <v>58900</v>
      </c>
    </row>
    <row r="168" spans="1:2" x14ac:dyDescent="0.25">
      <c r="A168" t="s">
        <v>578</v>
      </c>
      <c r="B168" s="13">
        <v>45000</v>
      </c>
    </row>
    <row r="169" spans="1:2" x14ac:dyDescent="0.25">
      <c r="A169" t="s">
        <v>596</v>
      </c>
      <c r="B169" s="13">
        <v>39000</v>
      </c>
    </row>
    <row r="170" spans="1:2" x14ac:dyDescent="0.25">
      <c r="A170" t="s">
        <v>607</v>
      </c>
      <c r="B170" s="13">
        <v>85990</v>
      </c>
    </row>
    <row r="171" spans="1:2" x14ac:dyDescent="0.25">
      <c r="A171" t="s">
        <v>603</v>
      </c>
      <c r="B171" s="13">
        <v>85000</v>
      </c>
    </row>
    <row r="172" spans="1:2" x14ac:dyDescent="0.25">
      <c r="A172" t="s">
        <v>615</v>
      </c>
      <c r="B172" s="13">
        <v>65000</v>
      </c>
    </row>
    <row r="173" spans="1:2" x14ac:dyDescent="0.25">
      <c r="A173" t="s">
        <v>625</v>
      </c>
      <c r="B173" s="13">
        <v>39000</v>
      </c>
    </row>
    <row r="174" spans="1:2" x14ac:dyDescent="0.25">
      <c r="A174" t="s">
        <v>629</v>
      </c>
      <c r="B174" s="13">
        <v>75000</v>
      </c>
    </row>
    <row r="175" spans="1:2" x14ac:dyDescent="0.25">
      <c r="A175" t="s">
        <v>637</v>
      </c>
      <c r="B175" s="13">
        <v>195000</v>
      </c>
    </row>
    <row r="176" spans="1:2" x14ac:dyDescent="0.25">
      <c r="A176" t="s">
        <v>644</v>
      </c>
      <c r="B176" s="13">
        <v>55000</v>
      </c>
    </row>
    <row r="177" spans="1:2" x14ac:dyDescent="0.25">
      <c r="A177" t="s">
        <v>664</v>
      </c>
      <c r="B177" s="13">
        <v>175000</v>
      </c>
    </row>
    <row r="178" spans="1:2" x14ac:dyDescent="0.25">
      <c r="A178" t="s">
        <v>672</v>
      </c>
      <c r="B178" s="13">
        <v>89000</v>
      </c>
    </row>
    <row r="179" spans="1:2" x14ac:dyDescent="0.25">
      <c r="A179" t="s">
        <v>655</v>
      </c>
      <c r="B179" s="13">
        <v>75000</v>
      </c>
    </row>
    <row r="180" spans="1:2" x14ac:dyDescent="0.25">
      <c r="A180" t="s">
        <v>679</v>
      </c>
      <c r="B180" s="13">
        <v>65000</v>
      </c>
    </row>
    <row r="181" spans="1:2" x14ac:dyDescent="0.25">
      <c r="A181" t="s">
        <v>683</v>
      </c>
      <c r="B181" s="13">
        <v>43000</v>
      </c>
    </row>
    <row r="182" spans="1:2" x14ac:dyDescent="0.25">
      <c r="A182" t="s">
        <v>687</v>
      </c>
      <c r="B182" s="13">
        <v>51000</v>
      </c>
    </row>
    <row r="183" spans="1:2" x14ac:dyDescent="0.25">
      <c r="A183" t="s">
        <v>691</v>
      </c>
      <c r="B183" s="13">
        <v>155000</v>
      </c>
    </row>
    <row r="184" spans="1:2" x14ac:dyDescent="0.25">
      <c r="A184" t="s">
        <v>697</v>
      </c>
      <c r="B184" s="13">
        <v>45000</v>
      </c>
    </row>
    <row r="185" spans="1:2" x14ac:dyDescent="0.25">
      <c r="A185" t="s">
        <v>694</v>
      </c>
      <c r="B185" s="13">
        <v>35000</v>
      </c>
    </row>
    <row r="186" spans="1:2" x14ac:dyDescent="0.25">
      <c r="A186" t="s">
        <v>701</v>
      </c>
      <c r="B186" s="13">
        <v>59000</v>
      </c>
    </row>
    <row r="187" spans="1:2" x14ac:dyDescent="0.25">
      <c r="A187" t="s">
        <v>710</v>
      </c>
      <c r="B187" s="13">
        <v>95000</v>
      </c>
    </row>
    <row r="188" spans="1:2" x14ac:dyDescent="0.25">
      <c r="A188" t="s">
        <v>720</v>
      </c>
      <c r="B188" s="13">
        <v>65000</v>
      </c>
    </row>
    <row r="189" spans="1:2" x14ac:dyDescent="0.25">
      <c r="A189" t="s">
        <v>715</v>
      </c>
      <c r="B189" s="13">
        <v>53000</v>
      </c>
    </row>
    <row r="190" spans="1:2" x14ac:dyDescent="0.25">
      <c r="A190" t="s">
        <v>727</v>
      </c>
      <c r="B190" s="13">
        <v>55000</v>
      </c>
    </row>
    <row r="191" spans="1:2" x14ac:dyDescent="0.25">
      <c r="A191" t="s">
        <v>180</v>
      </c>
      <c r="B191" s="13">
        <v>5938</v>
      </c>
    </row>
    <row r="192" spans="1:2" x14ac:dyDescent="0.25">
      <c r="A192" t="s">
        <v>318</v>
      </c>
      <c r="B192" s="13">
        <v>2372</v>
      </c>
    </row>
    <row r="193" spans="1:2" x14ac:dyDescent="0.25">
      <c r="A193" t="s">
        <v>96</v>
      </c>
      <c r="B193" s="13">
        <v>2663</v>
      </c>
    </row>
    <row r="194" spans="1:2" x14ac:dyDescent="0.25">
      <c r="A194" t="s">
        <v>442</v>
      </c>
      <c r="B194" s="13">
        <v>-1118</v>
      </c>
    </row>
    <row r="195" spans="1:2" x14ac:dyDescent="0.25">
      <c r="A195" t="s">
        <v>389</v>
      </c>
      <c r="B195" s="13">
        <v>1649</v>
      </c>
    </row>
    <row r="196" spans="1:2" x14ac:dyDescent="0.25">
      <c r="A196" t="s">
        <v>403</v>
      </c>
      <c r="B196" s="13">
        <v>614</v>
      </c>
    </row>
    <row r="197" spans="1:2" x14ac:dyDescent="0.25">
      <c r="A197" t="s">
        <v>808</v>
      </c>
      <c r="B197" s="13">
        <v>2345</v>
      </c>
    </row>
    <row r="198" spans="1:2" x14ac:dyDescent="0.25">
      <c r="A198" t="s">
        <v>733</v>
      </c>
      <c r="B198" s="13">
        <v>68603</v>
      </c>
    </row>
    <row r="199" spans="1:2" x14ac:dyDescent="0.25">
      <c r="A199" t="s">
        <v>737</v>
      </c>
      <c r="B199" s="13">
        <v>53430</v>
      </c>
    </row>
    <row r="200" spans="1:2" x14ac:dyDescent="0.25">
      <c r="A200" t="s">
        <v>745</v>
      </c>
      <c r="B200" s="13">
        <v>34644</v>
      </c>
    </row>
    <row r="201" spans="1:2" x14ac:dyDescent="0.25">
      <c r="A201" t="s">
        <v>753</v>
      </c>
      <c r="B201" s="13">
        <v>94700</v>
      </c>
    </row>
    <row r="202" spans="1:2" x14ac:dyDescent="0.25">
      <c r="A202" t="s">
        <v>766</v>
      </c>
      <c r="B202" s="13">
        <v>41000</v>
      </c>
    </row>
    <row r="203" spans="1:2" x14ac:dyDescent="0.25">
      <c r="A203" t="s">
        <v>761</v>
      </c>
      <c r="B203" s="13">
        <v>155000</v>
      </c>
    </row>
    <row r="204" spans="1:2" x14ac:dyDescent="0.25">
      <c r="A204" t="s">
        <v>798</v>
      </c>
      <c r="B204" s="13">
        <v>35000</v>
      </c>
    </row>
    <row r="205" spans="1:2" x14ac:dyDescent="0.25">
      <c r="A205" t="s">
        <v>787</v>
      </c>
      <c r="B205" s="13">
        <v>47000</v>
      </c>
    </row>
    <row r="206" spans="1:2" x14ac:dyDescent="0.25">
      <c r="A206" t="s">
        <v>777</v>
      </c>
      <c r="B206" s="13">
        <v>445000</v>
      </c>
    </row>
    <row r="207" spans="1:2" x14ac:dyDescent="0.25">
      <c r="A207" t="s">
        <v>803</v>
      </c>
      <c r="B207" s="13">
        <v>215000</v>
      </c>
    </row>
    <row r="208" spans="1:2" x14ac:dyDescent="0.25">
      <c r="A208" t="s">
        <v>809</v>
      </c>
      <c r="B208" s="13">
        <v>92655</v>
      </c>
    </row>
    <row r="209" spans="1:2" x14ac:dyDescent="0.25">
      <c r="A209" t="s">
        <v>820</v>
      </c>
      <c r="B209" s="13">
        <v>155000</v>
      </c>
    </row>
    <row r="210" spans="1:2" x14ac:dyDescent="0.25">
      <c r="A210" t="s">
        <v>835</v>
      </c>
      <c r="B210" s="13">
        <v>91000</v>
      </c>
    </row>
    <row r="211" spans="1:2" x14ac:dyDescent="0.25">
      <c r="A211" t="s">
        <v>829</v>
      </c>
      <c r="B211" s="13">
        <v>45000</v>
      </c>
    </row>
    <row r="212" spans="1:2" x14ac:dyDescent="0.25">
      <c r="A212" t="s">
        <v>846</v>
      </c>
      <c r="B212" s="13">
        <v>59000</v>
      </c>
    </row>
    <row r="213" spans="1:2" x14ac:dyDescent="0.25">
      <c r="A213" t="s">
        <v>857</v>
      </c>
      <c r="B213" s="13">
        <v>65000</v>
      </c>
    </row>
    <row r="214" spans="1:2" x14ac:dyDescent="0.25">
      <c r="A214" t="s">
        <v>864</v>
      </c>
      <c r="B214" s="13">
        <v>155000</v>
      </c>
    </row>
    <row r="215" spans="1:2" x14ac:dyDescent="0.25">
      <c r="A215" t="s">
        <v>869</v>
      </c>
      <c r="B215" s="13">
        <v>19000</v>
      </c>
    </row>
    <row r="216" spans="1:2" x14ac:dyDescent="0.25">
      <c r="A216" t="s">
        <v>874</v>
      </c>
      <c r="B216" s="13">
        <v>55000</v>
      </c>
    </row>
    <row r="217" spans="1:2" x14ac:dyDescent="0.25">
      <c r="A217" t="s">
        <v>207</v>
      </c>
      <c r="B217" s="13">
        <v>-90001</v>
      </c>
    </row>
    <row r="218" spans="1:2" x14ac:dyDescent="0.25">
      <c r="A218" t="s">
        <v>236</v>
      </c>
      <c r="B218" s="13">
        <v>119</v>
      </c>
    </row>
    <row r="219" spans="1:2" x14ac:dyDescent="0.25">
      <c r="A219" t="s">
        <v>319</v>
      </c>
      <c r="B219" s="13">
        <v>3953</v>
      </c>
    </row>
    <row r="220" spans="1:2" x14ac:dyDescent="0.25">
      <c r="A220" t="s">
        <v>97</v>
      </c>
      <c r="B220" s="13">
        <v>106</v>
      </c>
    </row>
    <row r="221" spans="1:2" x14ac:dyDescent="0.25">
      <c r="A221" t="s">
        <v>818</v>
      </c>
      <c r="B221" s="13">
        <v>2</v>
      </c>
    </row>
    <row r="222" spans="1:2" x14ac:dyDescent="0.25">
      <c r="A222" t="s">
        <v>830</v>
      </c>
      <c r="B222" s="13">
        <v>180</v>
      </c>
    </row>
    <row r="223" spans="1:2" x14ac:dyDescent="0.25">
      <c r="A223" t="s">
        <v>127</v>
      </c>
      <c r="B223" s="13">
        <v>4509</v>
      </c>
    </row>
    <row r="224" spans="1:2" x14ac:dyDescent="0.25">
      <c r="A224" t="s">
        <v>638</v>
      </c>
      <c r="B224" s="13">
        <v>6</v>
      </c>
    </row>
    <row r="225" spans="1:2" x14ac:dyDescent="0.25">
      <c r="A225" t="s">
        <v>173</v>
      </c>
      <c r="B225" s="13">
        <v>2</v>
      </c>
    </row>
    <row r="226" spans="1:2" x14ac:dyDescent="0.25">
      <c r="A226" t="s">
        <v>211</v>
      </c>
      <c r="B226" s="13">
        <v>1964</v>
      </c>
    </row>
    <row r="227" spans="1:2" x14ac:dyDescent="0.25">
      <c r="A227" t="s">
        <v>479</v>
      </c>
      <c r="B227" s="13">
        <v>34</v>
      </c>
    </row>
    <row r="228" spans="1:2" x14ac:dyDescent="0.25">
      <c r="A228" t="s">
        <v>157</v>
      </c>
      <c r="B228" s="13">
        <v>1531</v>
      </c>
    </row>
    <row r="229" spans="1:2" x14ac:dyDescent="0.25">
      <c r="A229" t="s">
        <v>390</v>
      </c>
      <c r="B229" s="13">
        <v>1500</v>
      </c>
    </row>
    <row r="230" spans="1:2" x14ac:dyDescent="0.25">
      <c r="A230" t="s">
        <v>404</v>
      </c>
      <c r="B230" s="13">
        <v>802</v>
      </c>
    </row>
    <row r="231" spans="1:2" x14ac:dyDescent="0.25">
      <c r="A231" t="s">
        <v>810</v>
      </c>
      <c r="B231" s="13">
        <v>4961</v>
      </c>
    </row>
    <row r="232" spans="1:2" x14ac:dyDescent="0.25">
      <c r="A232" t="s">
        <v>883</v>
      </c>
      <c r="B232" s="13">
        <v>1559</v>
      </c>
    </row>
    <row r="233" spans="1:2" x14ac:dyDescent="0.25">
      <c r="A233" t="s">
        <v>115</v>
      </c>
      <c r="B233" s="13">
        <v>5372</v>
      </c>
    </row>
    <row r="234" spans="1:2" x14ac:dyDescent="0.25">
      <c r="A234" t="s">
        <v>116</v>
      </c>
      <c r="B234" s="13">
        <v>4996</v>
      </c>
    </row>
    <row r="235" spans="1:2" x14ac:dyDescent="0.25">
      <c r="A235" t="s">
        <v>117</v>
      </c>
      <c r="B235" s="13">
        <v>5132</v>
      </c>
    </row>
    <row r="236" spans="1:2" x14ac:dyDescent="0.25">
      <c r="A236" t="s">
        <v>118</v>
      </c>
      <c r="B236" s="13">
        <v>5858</v>
      </c>
    </row>
    <row r="237" spans="1:2" x14ac:dyDescent="0.25">
      <c r="A237" t="s">
        <v>119</v>
      </c>
      <c r="B237" s="13">
        <v>5043</v>
      </c>
    </row>
    <row r="238" spans="1:2" x14ac:dyDescent="0.25">
      <c r="A238" t="s">
        <v>907</v>
      </c>
      <c r="B238" s="13">
        <v>1081</v>
      </c>
    </row>
    <row r="239" spans="1:2" x14ac:dyDescent="0.25">
      <c r="A239" t="s">
        <v>922</v>
      </c>
      <c r="B239" s="13">
        <v>4199</v>
      </c>
    </row>
    <row r="240" spans="1:2" x14ac:dyDescent="0.25">
      <c r="A240" t="s">
        <v>237</v>
      </c>
      <c r="B240" s="13">
        <v>146</v>
      </c>
    </row>
    <row r="241" spans="1:2" x14ac:dyDescent="0.25">
      <c r="A241" t="s">
        <v>320</v>
      </c>
      <c r="B241" s="13">
        <v>3950</v>
      </c>
    </row>
    <row r="242" spans="1:2" x14ac:dyDescent="0.25">
      <c r="A242" t="s">
        <v>963</v>
      </c>
      <c r="B242" s="13">
        <v>775</v>
      </c>
    </row>
    <row r="243" spans="1:2" x14ac:dyDescent="0.25">
      <c r="A243" t="s">
        <v>162</v>
      </c>
      <c r="B243" s="13">
        <v>285</v>
      </c>
    </row>
    <row r="244" spans="1:2" x14ac:dyDescent="0.25">
      <c r="A244" t="s">
        <v>163</v>
      </c>
      <c r="B244" s="13">
        <v>993</v>
      </c>
    </row>
    <row r="245" spans="1:2" x14ac:dyDescent="0.25">
      <c r="A245" t="s">
        <v>128</v>
      </c>
      <c r="B245" s="13">
        <v>4323</v>
      </c>
    </row>
    <row r="246" spans="1:2" x14ac:dyDescent="0.25">
      <c r="A246" t="s">
        <v>949</v>
      </c>
      <c r="B246" s="13">
        <v>432</v>
      </c>
    </row>
    <row r="247" spans="1:2" x14ac:dyDescent="0.25">
      <c r="A247" t="s">
        <v>98</v>
      </c>
      <c r="B247" s="13">
        <v>1778</v>
      </c>
    </row>
    <row r="248" spans="1:2" x14ac:dyDescent="0.25">
      <c r="A248" t="s">
        <v>138</v>
      </c>
      <c r="B248" s="13">
        <v>4276</v>
      </c>
    </row>
    <row r="249" spans="1:2" x14ac:dyDescent="0.25">
      <c r="A249" t="s">
        <v>149</v>
      </c>
      <c r="B249" s="13">
        <v>4696</v>
      </c>
    </row>
    <row r="250" spans="1:2" x14ac:dyDescent="0.25">
      <c r="A250" t="s">
        <v>212</v>
      </c>
      <c r="B250" s="13">
        <v>1886</v>
      </c>
    </row>
    <row r="251" spans="1:2" x14ac:dyDescent="0.25">
      <c r="A251" t="s">
        <v>414</v>
      </c>
      <c r="B251" s="13">
        <v>7695</v>
      </c>
    </row>
    <row r="252" spans="1:2" x14ac:dyDescent="0.25">
      <c r="A252" t="s">
        <v>106</v>
      </c>
      <c r="B252" s="13">
        <v>7037</v>
      </c>
    </row>
    <row r="253" spans="1:2" x14ac:dyDescent="0.25">
      <c r="A253" t="s">
        <v>230</v>
      </c>
      <c r="B253" s="13">
        <v>1379</v>
      </c>
    </row>
    <row r="254" spans="1:2" x14ac:dyDescent="0.25">
      <c r="A254" t="s">
        <v>470</v>
      </c>
      <c r="B254" s="13">
        <v>-5626</v>
      </c>
    </row>
    <row r="255" spans="1:2" x14ac:dyDescent="0.25">
      <c r="A255" t="s">
        <v>977</v>
      </c>
      <c r="B255" s="13">
        <v>804</v>
      </c>
    </row>
    <row r="256" spans="1:2" x14ac:dyDescent="0.25">
      <c r="A256" t="s">
        <v>158</v>
      </c>
      <c r="B256" s="13">
        <v>1454</v>
      </c>
    </row>
    <row r="257" spans="1:2" x14ac:dyDescent="0.25">
      <c r="A257" t="s">
        <v>269</v>
      </c>
      <c r="B257" s="13">
        <v>1</v>
      </c>
    </row>
    <row r="258" spans="1:2" x14ac:dyDescent="0.25">
      <c r="A258" t="s">
        <v>391</v>
      </c>
      <c r="B258" s="13">
        <v>1063</v>
      </c>
    </row>
    <row r="259" spans="1:2" x14ac:dyDescent="0.25">
      <c r="A259" t="s">
        <v>405</v>
      </c>
      <c r="B259" s="13">
        <v>738</v>
      </c>
    </row>
    <row r="260" spans="1:2" x14ac:dyDescent="0.25">
      <c r="A260" t="s">
        <v>811</v>
      </c>
      <c r="B260" s="13">
        <v>4758</v>
      </c>
    </row>
    <row r="261" spans="1:2" x14ac:dyDescent="0.25">
      <c r="A261" t="s">
        <v>154</v>
      </c>
      <c r="B261" s="13">
        <v>10491</v>
      </c>
    </row>
    <row r="262" spans="1:2" x14ac:dyDescent="0.25">
      <c r="A262" t="s">
        <v>1022</v>
      </c>
      <c r="B262" s="13">
        <v>1467</v>
      </c>
    </row>
    <row r="263" spans="1:2" x14ac:dyDescent="0.25">
      <c r="A263" t="s">
        <v>884</v>
      </c>
      <c r="B263" s="13">
        <v>57441</v>
      </c>
    </row>
    <row r="264" spans="1:2" x14ac:dyDescent="0.25">
      <c r="A264" t="s">
        <v>887</v>
      </c>
      <c r="B264" s="13">
        <v>61881</v>
      </c>
    </row>
    <row r="265" spans="1:2" x14ac:dyDescent="0.25">
      <c r="A265" t="s">
        <v>902</v>
      </c>
      <c r="B265" s="13">
        <v>36321</v>
      </c>
    </row>
    <row r="266" spans="1:2" x14ac:dyDescent="0.25">
      <c r="A266" t="s">
        <v>896</v>
      </c>
      <c r="B266" s="13">
        <v>49323</v>
      </c>
    </row>
    <row r="267" spans="1:2" x14ac:dyDescent="0.25">
      <c r="A267" t="s">
        <v>908</v>
      </c>
      <c r="B267" s="13">
        <v>113919</v>
      </c>
    </row>
    <row r="268" spans="1:2" x14ac:dyDescent="0.25">
      <c r="A268" t="s">
        <v>923</v>
      </c>
      <c r="B268" s="13">
        <v>50801</v>
      </c>
    </row>
    <row r="269" spans="1:2" x14ac:dyDescent="0.25">
      <c r="A269" t="s">
        <v>937</v>
      </c>
      <c r="B269" s="13">
        <v>70458</v>
      </c>
    </row>
    <row r="270" spans="1:2" x14ac:dyDescent="0.25">
      <c r="A270" t="s">
        <v>950</v>
      </c>
      <c r="B270" s="13">
        <v>134568</v>
      </c>
    </row>
    <row r="271" spans="1:2" x14ac:dyDescent="0.25">
      <c r="A271" t="s">
        <v>964</v>
      </c>
      <c r="B271" s="13">
        <v>59225</v>
      </c>
    </row>
    <row r="272" spans="1:2" x14ac:dyDescent="0.25">
      <c r="A272" t="s">
        <v>954</v>
      </c>
      <c r="B272" s="13">
        <v>51855</v>
      </c>
    </row>
    <row r="273" spans="1:2" x14ac:dyDescent="0.25">
      <c r="A273" t="s">
        <v>978</v>
      </c>
      <c r="B273" s="13">
        <v>24196</v>
      </c>
    </row>
    <row r="274" spans="1:2" x14ac:dyDescent="0.25">
      <c r="A274" t="s">
        <v>1005</v>
      </c>
      <c r="B274" s="13">
        <v>170819</v>
      </c>
    </row>
    <row r="275" spans="1:2" x14ac:dyDescent="0.25">
      <c r="A275" t="s">
        <v>991</v>
      </c>
      <c r="B275" s="13">
        <v>58000</v>
      </c>
    </row>
    <row r="276" spans="1:2" x14ac:dyDescent="0.25">
      <c r="A276" t="s">
        <v>1023</v>
      </c>
      <c r="B276" s="13">
        <v>29533</v>
      </c>
    </row>
    <row r="277" spans="1:2" x14ac:dyDescent="0.25">
      <c r="A277" t="s">
        <v>1015</v>
      </c>
      <c r="B277" s="13">
        <v>111972</v>
      </c>
    </row>
    <row r="278" spans="1:2" x14ac:dyDescent="0.25">
      <c r="A278" t="s">
        <v>1036</v>
      </c>
      <c r="B278" s="13">
        <v>95000</v>
      </c>
    </row>
    <row r="279" spans="1:2" x14ac:dyDescent="0.25">
      <c r="A279" t="s">
        <v>1047</v>
      </c>
      <c r="B279" s="13">
        <v>55000</v>
      </c>
    </row>
    <row r="280" spans="1:2" x14ac:dyDescent="0.25">
      <c r="A280" t="s">
        <v>1050</v>
      </c>
      <c r="B280" s="13">
        <v>47000</v>
      </c>
    </row>
    <row r="281" spans="1:2" x14ac:dyDescent="0.25">
      <c r="A281" t="s">
        <v>1060</v>
      </c>
      <c r="B281" s="13">
        <v>89000</v>
      </c>
    </row>
    <row r="282" spans="1:2" x14ac:dyDescent="0.25">
      <c r="A282" t="s">
        <v>1074</v>
      </c>
      <c r="B282" s="13">
        <v>115000</v>
      </c>
    </row>
    <row r="283" spans="1:2" x14ac:dyDescent="0.25">
      <c r="A283" t="s">
        <v>1085</v>
      </c>
      <c r="B283" s="13">
        <v>42185</v>
      </c>
    </row>
    <row r="284" spans="1:2" x14ac:dyDescent="0.25">
      <c r="A284" t="s">
        <v>1119</v>
      </c>
      <c r="B284" s="13">
        <v>51000</v>
      </c>
    </row>
    <row r="285" spans="1:2" x14ac:dyDescent="0.25">
      <c r="A285" t="s">
        <v>1125</v>
      </c>
      <c r="B285" s="13">
        <v>85000</v>
      </c>
    </row>
    <row r="286" spans="1:2" x14ac:dyDescent="0.25">
      <c r="A286" t="s">
        <v>1129</v>
      </c>
      <c r="B286" s="13">
        <v>60000</v>
      </c>
    </row>
    <row r="287" spans="1:2" x14ac:dyDescent="0.25">
      <c r="A287" t="s">
        <v>1140</v>
      </c>
      <c r="B287" s="13">
        <v>65000</v>
      </c>
    </row>
    <row r="288" spans="1:2" x14ac:dyDescent="0.25">
      <c r="A288" t="s">
        <v>1153</v>
      </c>
      <c r="B288" s="13">
        <v>45000</v>
      </c>
    </row>
    <row r="289" spans="1:2" x14ac:dyDescent="0.25">
      <c r="A289" t="s">
        <v>1160</v>
      </c>
      <c r="B289" s="13">
        <v>39000</v>
      </c>
    </row>
    <row r="290" spans="1:2" x14ac:dyDescent="0.25">
      <c r="A290" t="s">
        <v>1164</v>
      </c>
      <c r="B290" s="13">
        <v>79000</v>
      </c>
    </row>
    <row r="291" spans="1:2" x14ac:dyDescent="0.25">
      <c r="A291" t="s">
        <v>1190</v>
      </c>
      <c r="B291" s="13">
        <v>45000</v>
      </c>
    </row>
    <row r="292" spans="1:2" x14ac:dyDescent="0.25">
      <c r="A292" t="s">
        <v>1177</v>
      </c>
      <c r="B292" s="13">
        <v>35000</v>
      </c>
    </row>
    <row r="293" spans="1:2" x14ac:dyDescent="0.25">
      <c r="A293" t="s">
        <v>266</v>
      </c>
      <c r="B293" s="13">
        <v>-34000</v>
      </c>
    </row>
    <row r="294" spans="1:2" x14ac:dyDescent="0.25">
      <c r="A294" t="s">
        <v>488</v>
      </c>
      <c r="B294" s="13">
        <v>3374</v>
      </c>
    </row>
    <row r="295" spans="1:2" x14ac:dyDescent="0.25">
      <c r="A295" t="s">
        <v>570</v>
      </c>
      <c r="B295" s="13">
        <v>2422</v>
      </c>
    </row>
    <row r="296" spans="1:2" x14ac:dyDescent="0.25">
      <c r="A296" t="s">
        <v>145</v>
      </c>
      <c r="B296" s="13">
        <v>4942</v>
      </c>
    </row>
    <row r="297" spans="1:2" x14ac:dyDescent="0.25">
      <c r="A297" t="s">
        <v>1037</v>
      </c>
      <c r="B297" s="13">
        <v>719</v>
      </c>
    </row>
    <row r="298" spans="1:2" x14ac:dyDescent="0.25">
      <c r="A298" t="s">
        <v>582</v>
      </c>
      <c r="B298" s="13">
        <v>3615</v>
      </c>
    </row>
    <row r="299" spans="1:2" x14ac:dyDescent="0.25">
      <c r="A299" t="s">
        <v>597</v>
      </c>
      <c r="B299" s="13">
        <v>3443</v>
      </c>
    </row>
    <row r="300" spans="1:2" x14ac:dyDescent="0.25">
      <c r="A300" t="s">
        <v>888</v>
      </c>
      <c r="B300" s="13">
        <v>2356</v>
      </c>
    </row>
    <row r="301" spans="1:2" x14ac:dyDescent="0.25">
      <c r="A301" t="s">
        <v>1041</v>
      </c>
      <c r="B301" s="13">
        <v>2</v>
      </c>
    </row>
    <row r="302" spans="1:2" x14ac:dyDescent="0.25">
      <c r="A302" t="s">
        <v>123</v>
      </c>
      <c r="B302" s="13">
        <v>2</v>
      </c>
    </row>
    <row r="303" spans="1:2" x14ac:dyDescent="0.25">
      <c r="A303" t="s">
        <v>415</v>
      </c>
      <c r="B303" s="13">
        <v>-7696</v>
      </c>
    </row>
    <row r="304" spans="1:2" x14ac:dyDescent="0.25">
      <c r="A304" t="s">
        <v>120</v>
      </c>
      <c r="B304" s="13">
        <v>4483</v>
      </c>
    </row>
    <row r="305" spans="1:2" x14ac:dyDescent="0.25">
      <c r="A305" t="s">
        <v>924</v>
      </c>
      <c r="B305" s="13">
        <v>5445</v>
      </c>
    </row>
    <row r="306" spans="1:2" x14ac:dyDescent="0.25">
      <c r="A306" t="s">
        <v>909</v>
      </c>
      <c r="B306" s="13">
        <v>1676</v>
      </c>
    </row>
    <row r="307" spans="1:2" x14ac:dyDescent="0.25">
      <c r="A307" t="s">
        <v>238</v>
      </c>
      <c r="B307" s="13">
        <v>544</v>
      </c>
    </row>
    <row r="308" spans="1:2" x14ac:dyDescent="0.25">
      <c r="A308" t="s">
        <v>1051</v>
      </c>
      <c r="B308" s="13">
        <v>2571</v>
      </c>
    </row>
    <row r="309" spans="1:2" x14ac:dyDescent="0.25">
      <c r="A309" t="s">
        <v>321</v>
      </c>
      <c r="B309" s="13">
        <v>4636</v>
      </c>
    </row>
    <row r="310" spans="1:2" x14ac:dyDescent="0.25">
      <c r="A310" t="s">
        <v>500</v>
      </c>
      <c r="B310" s="13">
        <v>1899</v>
      </c>
    </row>
    <row r="311" spans="1:2" x14ac:dyDescent="0.25">
      <c r="A311" t="s">
        <v>965</v>
      </c>
      <c r="B311" s="13">
        <v>2047</v>
      </c>
    </row>
    <row r="312" spans="1:2" x14ac:dyDescent="0.25">
      <c r="A312" t="s">
        <v>1061</v>
      </c>
      <c r="B312" s="13">
        <v>4303</v>
      </c>
    </row>
    <row r="313" spans="1:2" x14ac:dyDescent="0.25">
      <c r="A313" t="s">
        <v>164</v>
      </c>
      <c r="B313" s="13">
        <v>1865</v>
      </c>
    </row>
    <row r="314" spans="1:2" x14ac:dyDescent="0.25">
      <c r="A314" t="s">
        <v>645</v>
      </c>
      <c r="B314" s="13">
        <v>2</v>
      </c>
    </row>
    <row r="315" spans="1:2" x14ac:dyDescent="0.25">
      <c r="A315" t="s">
        <v>443</v>
      </c>
      <c r="B315" s="13">
        <v>4626</v>
      </c>
    </row>
    <row r="316" spans="1:2" x14ac:dyDescent="0.25">
      <c r="A316" t="s">
        <v>129</v>
      </c>
      <c r="B316" s="13">
        <v>5739</v>
      </c>
    </row>
    <row r="317" spans="1:2" x14ac:dyDescent="0.25">
      <c r="A317" t="s">
        <v>168</v>
      </c>
      <c r="B317" s="13">
        <v>4850</v>
      </c>
    </row>
    <row r="318" spans="1:2" x14ac:dyDescent="0.25">
      <c r="A318" t="s">
        <v>831</v>
      </c>
      <c r="B318" s="13">
        <v>19</v>
      </c>
    </row>
    <row r="319" spans="1:2" x14ac:dyDescent="0.25">
      <c r="A319" t="s">
        <v>951</v>
      </c>
      <c r="B319" s="13">
        <v>1865</v>
      </c>
    </row>
    <row r="320" spans="1:2" x14ac:dyDescent="0.25">
      <c r="A320" t="s">
        <v>665</v>
      </c>
      <c r="B320" s="13">
        <v>-1908</v>
      </c>
    </row>
    <row r="321" spans="1:2" x14ac:dyDescent="0.25">
      <c r="A321" t="s">
        <v>1161</v>
      </c>
      <c r="B321" s="13">
        <v>3521</v>
      </c>
    </row>
    <row r="322" spans="1:2" x14ac:dyDescent="0.25">
      <c r="A322" t="s">
        <v>150</v>
      </c>
      <c r="B322" s="13">
        <v>3950</v>
      </c>
    </row>
    <row r="323" spans="1:2" x14ac:dyDescent="0.25">
      <c r="A323" t="s">
        <v>992</v>
      </c>
      <c r="B323" s="13">
        <v>1471</v>
      </c>
    </row>
    <row r="324" spans="1:2" x14ac:dyDescent="0.25">
      <c r="A324" t="s">
        <v>993</v>
      </c>
      <c r="B324" s="13">
        <v>2020</v>
      </c>
    </row>
    <row r="325" spans="1:2" x14ac:dyDescent="0.25">
      <c r="A325" t="s">
        <v>231</v>
      </c>
      <c r="B325" s="13">
        <v>492</v>
      </c>
    </row>
    <row r="326" spans="1:2" x14ac:dyDescent="0.25">
      <c r="A326" t="s">
        <v>979</v>
      </c>
      <c r="B326" s="13">
        <v>1423</v>
      </c>
    </row>
    <row r="327" spans="1:2" x14ac:dyDescent="0.25">
      <c r="A327" t="s">
        <v>139</v>
      </c>
      <c r="B327" s="13">
        <v>4586</v>
      </c>
    </row>
    <row r="328" spans="1:2" x14ac:dyDescent="0.25">
      <c r="A328" t="s">
        <v>140</v>
      </c>
      <c r="B328" s="13">
        <v>4679</v>
      </c>
    </row>
    <row r="329" spans="1:2" x14ac:dyDescent="0.25">
      <c r="A329" t="s">
        <v>141</v>
      </c>
      <c r="B329" s="13">
        <v>4381</v>
      </c>
    </row>
    <row r="330" spans="1:2" x14ac:dyDescent="0.25">
      <c r="A330" t="s">
        <v>142</v>
      </c>
      <c r="B330" s="13">
        <v>4717</v>
      </c>
    </row>
    <row r="331" spans="1:2" x14ac:dyDescent="0.25">
      <c r="A331" t="s">
        <v>392</v>
      </c>
      <c r="B331" s="13">
        <v>1700</v>
      </c>
    </row>
    <row r="332" spans="1:2" x14ac:dyDescent="0.25">
      <c r="A332" t="s">
        <v>812</v>
      </c>
      <c r="B332" s="13">
        <v>6392</v>
      </c>
    </row>
    <row r="333" spans="1:2" x14ac:dyDescent="0.25">
      <c r="A333" t="s">
        <v>1165</v>
      </c>
      <c r="B333" s="13">
        <v>6388</v>
      </c>
    </row>
    <row r="334" spans="1:2" x14ac:dyDescent="0.25">
      <c r="A334" t="s">
        <v>1024</v>
      </c>
      <c r="B334" s="13">
        <v>1640</v>
      </c>
    </row>
    <row r="335" spans="1:2" x14ac:dyDescent="0.25">
      <c r="A335" t="s">
        <v>1191</v>
      </c>
      <c r="B335" s="13">
        <v>4602</v>
      </c>
    </row>
    <row r="336" spans="1:2" x14ac:dyDescent="0.25">
      <c r="A336" t="s">
        <v>489</v>
      </c>
      <c r="B336" s="13">
        <v>5402</v>
      </c>
    </row>
    <row r="337" spans="1:2" x14ac:dyDescent="0.25">
      <c r="A337" t="s">
        <v>146</v>
      </c>
      <c r="B337" s="13">
        <v>4754</v>
      </c>
    </row>
    <row r="338" spans="1:2" x14ac:dyDescent="0.25">
      <c r="A338" t="s">
        <v>1038</v>
      </c>
      <c r="B338" s="13">
        <v>13</v>
      </c>
    </row>
    <row r="339" spans="1:2" x14ac:dyDescent="0.25">
      <c r="A339" t="s">
        <v>583</v>
      </c>
      <c r="B339" s="13">
        <v>3693</v>
      </c>
    </row>
    <row r="340" spans="1:2" x14ac:dyDescent="0.25">
      <c r="A340" t="s">
        <v>910</v>
      </c>
      <c r="B340" s="13">
        <v>370</v>
      </c>
    </row>
    <row r="341" spans="1:2" x14ac:dyDescent="0.25">
      <c r="A341" t="s">
        <v>925</v>
      </c>
      <c r="B341" s="13">
        <v>5302</v>
      </c>
    </row>
    <row r="342" spans="1:2" x14ac:dyDescent="0.25">
      <c r="A342" t="s">
        <v>1216</v>
      </c>
      <c r="B342" s="13">
        <v>1063</v>
      </c>
    </row>
    <row r="343" spans="1:2" x14ac:dyDescent="0.25">
      <c r="A343" t="s">
        <v>239</v>
      </c>
      <c r="B343" s="13">
        <v>361</v>
      </c>
    </row>
    <row r="344" spans="1:2" x14ac:dyDescent="0.25">
      <c r="A344" t="s">
        <v>300</v>
      </c>
      <c r="B344" s="13">
        <v>52</v>
      </c>
    </row>
    <row r="345" spans="1:2" x14ac:dyDescent="0.25">
      <c r="A345" t="s">
        <v>1052</v>
      </c>
      <c r="B345" s="13">
        <v>3162</v>
      </c>
    </row>
    <row r="346" spans="1:2" x14ac:dyDescent="0.25">
      <c r="A346" t="s">
        <v>1220</v>
      </c>
      <c r="B346" s="13">
        <v>4551</v>
      </c>
    </row>
    <row r="347" spans="1:2" x14ac:dyDescent="0.25">
      <c r="A347" t="s">
        <v>1233</v>
      </c>
      <c r="B347" s="13">
        <v>735</v>
      </c>
    </row>
    <row r="348" spans="1:2" x14ac:dyDescent="0.25">
      <c r="A348" t="s">
        <v>510</v>
      </c>
      <c r="B348" s="13">
        <v>4592</v>
      </c>
    </row>
    <row r="349" spans="1:2" x14ac:dyDescent="0.25">
      <c r="A349" t="s">
        <v>165</v>
      </c>
      <c r="B349" s="13">
        <v>863</v>
      </c>
    </row>
    <row r="350" spans="1:2" x14ac:dyDescent="0.25">
      <c r="A350" t="s">
        <v>322</v>
      </c>
      <c r="B350" s="13">
        <v>3873</v>
      </c>
    </row>
    <row r="351" spans="1:2" x14ac:dyDescent="0.25">
      <c r="A351" t="s">
        <v>966</v>
      </c>
      <c r="B351" s="13">
        <v>2328</v>
      </c>
    </row>
    <row r="352" spans="1:2" x14ac:dyDescent="0.25">
      <c r="A352" t="s">
        <v>1062</v>
      </c>
      <c r="B352" s="13">
        <v>6062</v>
      </c>
    </row>
    <row r="353" spans="1:2" x14ac:dyDescent="0.25">
      <c r="A353" t="s">
        <v>938</v>
      </c>
      <c r="B353" s="13">
        <v>5585</v>
      </c>
    </row>
    <row r="354" spans="1:2" x14ac:dyDescent="0.25">
      <c r="A354" t="s">
        <v>444</v>
      </c>
      <c r="B354" s="13">
        <v>4534</v>
      </c>
    </row>
    <row r="355" spans="1:2" x14ac:dyDescent="0.25">
      <c r="A355" t="s">
        <v>1319</v>
      </c>
      <c r="B355" s="13">
        <v>478</v>
      </c>
    </row>
    <row r="356" spans="1:2" x14ac:dyDescent="0.25">
      <c r="A356" t="s">
        <v>169</v>
      </c>
      <c r="B356" s="13">
        <v>3888</v>
      </c>
    </row>
    <row r="357" spans="1:2" x14ac:dyDescent="0.25">
      <c r="A357" t="s">
        <v>1331</v>
      </c>
      <c r="B357" s="13">
        <v>293</v>
      </c>
    </row>
    <row r="358" spans="1:2" x14ac:dyDescent="0.25">
      <c r="A358" t="s">
        <v>111</v>
      </c>
      <c r="B358" s="13">
        <v>2</v>
      </c>
    </row>
    <row r="359" spans="1:2" x14ac:dyDescent="0.25">
      <c r="A359" t="s">
        <v>1332</v>
      </c>
      <c r="B359" s="13">
        <v>293</v>
      </c>
    </row>
    <row r="360" spans="1:2" x14ac:dyDescent="0.25">
      <c r="A360" t="s">
        <v>994</v>
      </c>
      <c r="B360" s="13">
        <v>2023</v>
      </c>
    </row>
    <row r="361" spans="1:2" x14ac:dyDescent="0.25">
      <c r="A361" t="s">
        <v>232</v>
      </c>
      <c r="B361" s="13">
        <v>661</v>
      </c>
    </row>
    <row r="362" spans="1:2" x14ac:dyDescent="0.25">
      <c r="A362" t="s">
        <v>1099</v>
      </c>
      <c r="B362" s="13">
        <v>4043</v>
      </c>
    </row>
    <row r="363" spans="1:2" x14ac:dyDescent="0.25">
      <c r="A363" t="s">
        <v>1141</v>
      </c>
      <c r="B363" s="13">
        <v>2633</v>
      </c>
    </row>
    <row r="364" spans="1:2" x14ac:dyDescent="0.25">
      <c r="A364" t="s">
        <v>980</v>
      </c>
      <c r="B364" s="13">
        <v>359</v>
      </c>
    </row>
    <row r="365" spans="1:2" x14ac:dyDescent="0.25">
      <c r="A365" t="s">
        <v>132</v>
      </c>
      <c r="B365" s="13">
        <v>1172</v>
      </c>
    </row>
    <row r="366" spans="1:2" x14ac:dyDescent="0.25">
      <c r="A366" t="s">
        <v>393</v>
      </c>
      <c r="B366" s="13">
        <v>1116</v>
      </c>
    </row>
    <row r="367" spans="1:2" x14ac:dyDescent="0.25">
      <c r="A367" t="s">
        <v>409</v>
      </c>
      <c r="B367" s="13">
        <v>2524</v>
      </c>
    </row>
    <row r="368" spans="1:2" x14ac:dyDescent="0.25">
      <c r="A368" t="s">
        <v>813</v>
      </c>
      <c r="B368" s="13">
        <v>5574</v>
      </c>
    </row>
    <row r="369" spans="1:2" x14ac:dyDescent="0.25">
      <c r="A369" t="s">
        <v>1025</v>
      </c>
      <c r="B369" s="13">
        <v>1491</v>
      </c>
    </row>
    <row r="370" spans="1:2" x14ac:dyDescent="0.25">
      <c r="A370" t="s">
        <v>1166</v>
      </c>
      <c r="B370" s="13">
        <v>8029</v>
      </c>
    </row>
    <row r="371" spans="1:2" x14ac:dyDescent="0.25">
      <c r="A371" t="s">
        <v>1192</v>
      </c>
      <c r="B371" s="13">
        <v>3569</v>
      </c>
    </row>
    <row r="372" spans="1:2" x14ac:dyDescent="0.25">
      <c r="A372" t="s">
        <v>1403</v>
      </c>
      <c r="B372" s="13">
        <v>2591</v>
      </c>
    </row>
    <row r="373" spans="1:2" x14ac:dyDescent="0.25">
      <c r="A373" t="s">
        <v>490</v>
      </c>
      <c r="B373" s="13">
        <v>4587</v>
      </c>
    </row>
    <row r="374" spans="1:2" x14ac:dyDescent="0.25">
      <c r="A374" t="s">
        <v>584</v>
      </c>
      <c r="B374" s="13">
        <v>3409</v>
      </c>
    </row>
    <row r="375" spans="1:2" x14ac:dyDescent="0.25">
      <c r="A375" t="s">
        <v>598</v>
      </c>
      <c r="B375" s="13">
        <v>3228</v>
      </c>
    </row>
    <row r="376" spans="1:2" x14ac:dyDescent="0.25">
      <c r="A376" t="s">
        <v>226</v>
      </c>
      <c r="B376" s="13">
        <v>267</v>
      </c>
    </row>
    <row r="377" spans="1:2" x14ac:dyDescent="0.25">
      <c r="A377" t="s">
        <v>911</v>
      </c>
      <c r="B377" s="13">
        <v>992</v>
      </c>
    </row>
    <row r="378" spans="1:2" x14ac:dyDescent="0.25">
      <c r="A378" t="s">
        <v>926</v>
      </c>
      <c r="B378" s="13">
        <v>3802</v>
      </c>
    </row>
    <row r="379" spans="1:2" x14ac:dyDescent="0.25">
      <c r="A379" t="s">
        <v>1217</v>
      </c>
      <c r="B379" s="13">
        <v>765</v>
      </c>
    </row>
    <row r="380" spans="1:2" x14ac:dyDescent="0.25">
      <c r="A380" t="s">
        <v>240</v>
      </c>
      <c r="B380" s="13">
        <v>209</v>
      </c>
    </row>
    <row r="381" spans="1:2" x14ac:dyDescent="0.25">
      <c r="A381" t="s">
        <v>767</v>
      </c>
      <c r="B381" s="13">
        <v>3814</v>
      </c>
    </row>
    <row r="382" spans="1:2" x14ac:dyDescent="0.25">
      <c r="A382" t="s">
        <v>799</v>
      </c>
      <c r="B382" s="13">
        <v>1445</v>
      </c>
    </row>
    <row r="383" spans="1:2" x14ac:dyDescent="0.25">
      <c r="A383" t="s">
        <v>1053</v>
      </c>
      <c r="B383" s="13">
        <v>2499</v>
      </c>
    </row>
    <row r="384" spans="1:2" x14ac:dyDescent="0.25">
      <c r="A384" t="s">
        <v>1221</v>
      </c>
      <c r="B384" s="13">
        <v>4433</v>
      </c>
    </row>
    <row r="385" spans="1:2" x14ac:dyDescent="0.25">
      <c r="A385" t="s">
        <v>1234</v>
      </c>
      <c r="B385" s="13">
        <v>214</v>
      </c>
    </row>
    <row r="386" spans="1:2" x14ac:dyDescent="0.25">
      <c r="A386" t="s">
        <v>788</v>
      </c>
      <c r="B386" s="13">
        <v>3983</v>
      </c>
    </row>
    <row r="387" spans="1:2" x14ac:dyDescent="0.25">
      <c r="A387" t="s">
        <v>804</v>
      </c>
      <c r="B387" s="13">
        <v>19293</v>
      </c>
    </row>
    <row r="388" spans="1:2" x14ac:dyDescent="0.25">
      <c r="A388" t="s">
        <v>1430</v>
      </c>
      <c r="B388" s="13">
        <v>2485</v>
      </c>
    </row>
    <row r="389" spans="1:2" x14ac:dyDescent="0.25">
      <c r="A389" t="s">
        <v>501</v>
      </c>
      <c r="B389" s="13">
        <v>1623</v>
      </c>
    </row>
    <row r="390" spans="1:2" x14ac:dyDescent="0.25">
      <c r="A390" t="s">
        <v>511</v>
      </c>
      <c r="B390" s="13">
        <v>3324</v>
      </c>
    </row>
    <row r="391" spans="1:2" x14ac:dyDescent="0.25">
      <c r="A391" t="s">
        <v>555</v>
      </c>
      <c r="B391" s="13">
        <v>3937</v>
      </c>
    </row>
    <row r="392" spans="1:2" x14ac:dyDescent="0.25">
      <c r="A392" t="s">
        <v>309</v>
      </c>
      <c r="B392" s="13">
        <v>644</v>
      </c>
    </row>
    <row r="393" spans="1:2" x14ac:dyDescent="0.25">
      <c r="A393" t="s">
        <v>323</v>
      </c>
      <c r="B393" s="13">
        <v>3641</v>
      </c>
    </row>
    <row r="394" spans="1:2" x14ac:dyDescent="0.25">
      <c r="A394" t="s">
        <v>967</v>
      </c>
      <c r="B394" s="13">
        <v>1561</v>
      </c>
    </row>
    <row r="395" spans="1:2" x14ac:dyDescent="0.25">
      <c r="A395" t="s">
        <v>1063</v>
      </c>
      <c r="B395" s="13">
        <v>5325</v>
      </c>
    </row>
    <row r="396" spans="1:2" x14ac:dyDescent="0.25">
      <c r="A396" t="s">
        <v>646</v>
      </c>
      <c r="B396" s="13">
        <v>927</v>
      </c>
    </row>
    <row r="397" spans="1:2" x14ac:dyDescent="0.25">
      <c r="A397" t="s">
        <v>939</v>
      </c>
      <c r="B397" s="13">
        <v>4864</v>
      </c>
    </row>
    <row r="398" spans="1:2" x14ac:dyDescent="0.25">
      <c r="A398" t="s">
        <v>445</v>
      </c>
      <c r="B398" s="13">
        <v>4695</v>
      </c>
    </row>
    <row r="399" spans="1:2" x14ac:dyDescent="0.25">
      <c r="A399" t="s">
        <v>1320</v>
      </c>
      <c r="B399" s="13">
        <v>501</v>
      </c>
    </row>
    <row r="400" spans="1:2" x14ac:dyDescent="0.25">
      <c r="A400" t="s">
        <v>1321</v>
      </c>
      <c r="B400" s="13">
        <v>501</v>
      </c>
    </row>
    <row r="401" spans="1:2" x14ac:dyDescent="0.25">
      <c r="A401" t="s">
        <v>1454</v>
      </c>
      <c r="B401" s="13">
        <v>5821</v>
      </c>
    </row>
    <row r="402" spans="1:2" x14ac:dyDescent="0.25">
      <c r="A402" t="s">
        <v>336</v>
      </c>
      <c r="B402" s="13">
        <v>1524</v>
      </c>
    </row>
    <row r="403" spans="1:2" x14ac:dyDescent="0.25">
      <c r="A403" t="s">
        <v>656</v>
      </c>
      <c r="B403" s="13">
        <v>261</v>
      </c>
    </row>
    <row r="404" spans="1:2" x14ac:dyDescent="0.25">
      <c r="A404" t="s">
        <v>352</v>
      </c>
      <c r="B404" s="13">
        <v>8</v>
      </c>
    </row>
    <row r="405" spans="1:2" x14ac:dyDescent="0.25">
      <c r="A405" t="s">
        <v>1120</v>
      </c>
      <c r="B405" s="13">
        <v>616</v>
      </c>
    </row>
    <row r="406" spans="1:2" x14ac:dyDescent="0.25">
      <c r="A406" t="s">
        <v>434</v>
      </c>
      <c r="B406" s="13">
        <v>1132</v>
      </c>
    </row>
    <row r="407" spans="1:2" x14ac:dyDescent="0.25">
      <c r="A407" t="s">
        <v>995</v>
      </c>
      <c r="B407" s="13">
        <v>1580</v>
      </c>
    </row>
    <row r="408" spans="1:2" x14ac:dyDescent="0.25">
      <c r="A408" t="s">
        <v>1380</v>
      </c>
      <c r="B408" s="13">
        <v>1280</v>
      </c>
    </row>
    <row r="409" spans="1:2" x14ac:dyDescent="0.25">
      <c r="A409" t="s">
        <v>371</v>
      </c>
      <c r="B409" s="13">
        <v>2578</v>
      </c>
    </row>
    <row r="410" spans="1:2" x14ac:dyDescent="0.25">
      <c r="A410" t="s">
        <v>688</v>
      </c>
      <c r="B410" s="13">
        <v>3367</v>
      </c>
    </row>
    <row r="411" spans="1:2" x14ac:dyDescent="0.25">
      <c r="A411" t="s">
        <v>233</v>
      </c>
      <c r="B411" s="13">
        <v>1616</v>
      </c>
    </row>
    <row r="412" spans="1:2" x14ac:dyDescent="0.25">
      <c r="A412" t="s">
        <v>698</v>
      </c>
      <c r="B412" s="13">
        <v>1756</v>
      </c>
    </row>
    <row r="413" spans="1:2" x14ac:dyDescent="0.25">
      <c r="A413" t="s">
        <v>847</v>
      </c>
      <c r="B413" s="13">
        <v>900</v>
      </c>
    </row>
    <row r="414" spans="1:2" x14ac:dyDescent="0.25">
      <c r="A414" t="s">
        <v>1142</v>
      </c>
      <c r="B414" s="13">
        <v>1871</v>
      </c>
    </row>
    <row r="415" spans="1:2" x14ac:dyDescent="0.25">
      <c r="A415" t="s">
        <v>1481</v>
      </c>
      <c r="B415" s="13">
        <v>6847</v>
      </c>
    </row>
    <row r="416" spans="1:2" x14ac:dyDescent="0.25">
      <c r="A416" t="s">
        <v>471</v>
      </c>
      <c r="B416" s="13">
        <v>4639</v>
      </c>
    </row>
    <row r="417" spans="1:2" x14ac:dyDescent="0.25">
      <c r="A417" t="s">
        <v>981</v>
      </c>
      <c r="B417" s="13">
        <v>217</v>
      </c>
    </row>
    <row r="418" spans="1:2" x14ac:dyDescent="0.25">
      <c r="A418" t="s">
        <v>1006</v>
      </c>
      <c r="B418" s="13">
        <v>4960</v>
      </c>
    </row>
    <row r="419" spans="1:2" x14ac:dyDescent="0.25">
      <c r="A419" t="s">
        <v>1486</v>
      </c>
      <c r="B419" s="13">
        <v>1294</v>
      </c>
    </row>
    <row r="420" spans="1:2" x14ac:dyDescent="0.25">
      <c r="A420" t="s">
        <v>252</v>
      </c>
      <c r="B420" s="13">
        <v>1191</v>
      </c>
    </row>
    <row r="421" spans="1:2" x14ac:dyDescent="0.25">
      <c r="A421" t="s">
        <v>459</v>
      </c>
      <c r="B421" s="13">
        <v>4710</v>
      </c>
    </row>
    <row r="422" spans="1:2" x14ac:dyDescent="0.25">
      <c r="A422" t="s">
        <v>1370</v>
      </c>
      <c r="B422" s="13">
        <v>6784</v>
      </c>
    </row>
    <row r="423" spans="1:2" x14ac:dyDescent="0.25">
      <c r="A423" t="s">
        <v>1404</v>
      </c>
      <c r="B423" s="13">
        <v>4132</v>
      </c>
    </row>
    <row r="424" spans="1:2" x14ac:dyDescent="0.25">
      <c r="A424" t="s">
        <v>219</v>
      </c>
      <c r="B424" s="13">
        <v>4502</v>
      </c>
    </row>
    <row r="425" spans="1:2" x14ac:dyDescent="0.25">
      <c r="A425" t="s">
        <v>394</v>
      </c>
      <c r="B425" s="13">
        <v>1572</v>
      </c>
    </row>
    <row r="426" spans="1:2" x14ac:dyDescent="0.25">
      <c r="A426" t="s">
        <v>814</v>
      </c>
      <c r="B426" s="13">
        <v>4397</v>
      </c>
    </row>
    <row r="427" spans="1:2" x14ac:dyDescent="0.25">
      <c r="A427" t="s">
        <v>1167</v>
      </c>
      <c r="B427" s="13">
        <v>7490</v>
      </c>
    </row>
    <row r="428" spans="1:2" x14ac:dyDescent="0.25">
      <c r="A428" t="s">
        <v>135</v>
      </c>
      <c r="B428" s="13">
        <v>657</v>
      </c>
    </row>
    <row r="429" spans="1:2" x14ac:dyDescent="0.25">
      <c r="A429" t="s">
        <v>1026</v>
      </c>
      <c r="B429" s="13">
        <v>1753</v>
      </c>
    </row>
    <row r="430" spans="1:2" x14ac:dyDescent="0.25">
      <c r="A430" t="s">
        <v>1193</v>
      </c>
      <c r="B430" s="13">
        <v>3381</v>
      </c>
    </row>
    <row r="431" spans="1:2" x14ac:dyDescent="0.25">
      <c r="A431" t="s">
        <v>1203</v>
      </c>
      <c r="B431" s="13">
        <v>1200</v>
      </c>
    </row>
    <row r="432" spans="1:2" x14ac:dyDescent="0.25">
      <c r="A432" t="s">
        <v>1526</v>
      </c>
      <c r="B432" s="13">
        <v>374</v>
      </c>
    </row>
    <row r="433" spans="1:2" x14ac:dyDescent="0.25">
      <c r="A433" t="s">
        <v>1534</v>
      </c>
      <c r="B433" s="13">
        <v>3356</v>
      </c>
    </row>
    <row r="434" spans="1:2" x14ac:dyDescent="0.25">
      <c r="A434" t="s">
        <v>1520</v>
      </c>
      <c r="B434" s="13">
        <v>6499</v>
      </c>
    </row>
    <row r="435" spans="1:2" x14ac:dyDescent="0.25">
      <c r="A435" t="s">
        <v>280</v>
      </c>
      <c r="B435" s="13">
        <v>4905</v>
      </c>
    </row>
    <row r="436" spans="1:2" x14ac:dyDescent="0.25">
      <c r="A436" t="s">
        <v>285</v>
      </c>
      <c r="B436" s="13">
        <v>17837</v>
      </c>
    </row>
    <row r="437" spans="1:2" x14ac:dyDescent="0.25">
      <c r="A437" t="s">
        <v>286</v>
      </c>
      <c r="B437" s="13">
        <v>24633</v>
      </c>
    </row>
    <row r="438" spans="1:2" x14ac:dyDescent="0.25">
      <c r="A438" t="s">
        <v>491</v>
      </c>
      <c r="B438" s="13">
        <v>5536</v>
      </c>
    </row>
    <row r="439" spans="1:2" x14ac:dyDescent="0.25">
      <c r="A439" t="s">
        <v>585</v>
      </c>
      <c r="B439" s="13">
        <v>3606</v>
      </c>
    </row>
    <row r="440" spans="1:2" x14ac:dyDescent="0.25">
      <c r="A440" t="s">
        <v>599</v>
      </c>
      <c r="B440" s="13">
        <v>3518</v>
      </c>
    </row>
    <row r="441" spans="1:2" x14ac:dyDescent="0.25">
      <c r="A441" t="s">
        <v>1549</v>
      </c>
      <c r="B441" s="13">
        <v>6071</v>
      </c>
    </row>
    <row r="442" spans="1:2" x14ac:dyDescent="0.25">
      <c r="A442" t="s">
        <v>183</v>
      </c>
      <c r="B442" s="13">
        <v>5915</v>
      </c>
    </row>
    <row r="443" spans="1:2" x14ac:dyDescent="0.25">
      <c r="A443" t="s">
        <v>191</v>
      </c>
      <c r="B443" s="13">
        <v>1482</v>
      </c>
    </row>
    <row r="444" spans="1:2" x14ac:dyDescent="0.25">
      <c r="A444" t="s">
        <v>227</v>
      </c>
      <c r="B444" s="13">
        <v>323</v>
      </c>
    </row>
    <row r="445" spans="1:2" x14ac:dyDescent="0.25">
      <c r="A445" t="s">
        <v>927</v>
      </c>
      <c r="B445" s="13">
        <v>5202</v>
      </c>
    </row>
    <row r="446" spans="1:2" x14ac:dyDescent="0.25">
      <c r="A446" t="s">
        <v>186</v>
      </c>
      <c r="B446" s="13">
        <v>165</v>
      </c>
    </row>
    <row r="447" spans="1:2" x14ac:dyDescent="0.25">
      <c r="A447" t="s">
        <v>188</v>
      </c>
      <c r="B447" s="13">
        <v>2092</v>
      </c>
    </row>
    <row r="448" spans="1:2" x14ac:dyDescent="0.25">
      <c r="A448" t="s">
        <v>912</v>
      </c>
      <c r="B448" s="13">
        <v>898</v>
      </c>
    </row>
    <row r="449" spans="1:2" x14ac:dyDescent="0.25">
      <c r="A449" t="s">
        <v>419</v>
      </c>
      <c r="B449" s="13">
        <v>3330</v>
      </c>
    </row>
    <row r="450" spans="1:2" x14ac:dyDescent="0.25">
      <c r="A450" t="s">
        <v>768</v>
      </c>
      <c r="B450" s="13">
        <v>3929</v>
      </c>
    </row>
    <row r="451" spans="1:2" x14ac:dyDescent="0.25">
      <c r="A451" t="s">
        <v>1054</v>
      </c>
      <c r="B451" s="13">
        <v>2648</v>
      </c>
    </row>
    <row r="452" spans="1:2" x14ac:dyDescent="0.25">
      <c r="A452" t="s">
        <v>1222</v>
      </c>
      <c r="B452" s="13">
        <v>4108</v>
      </c>
    </row>
    <row r="453" spans="1:2" x14ac:dyDescent="0.25">
      <c r="A453" t="s">
        <v>1235</v>
      </c>
      <c r="B453" s="13">
        <v>572</v>
      </c>
    </row>
    <row r="454" spans="1:2" x14ac:dyDescent="0.25">
      <c r="A454" t="s">
        <v>194</v>
      </c>
      <c r="B454" s="13">
        <v>1666</v>
      </c>
    </row>
    <row r="455" spans="1:2" x14ac:dyDescent="0.25">
      <c r="A455" t="s">
        <v>195</v>
      </c>
      <c r="B455" s="13">
        <v>1337</v>
      </c>
    </row>
    <row r="456" spans="1:2" x14ac:dyDescent="0.25">
      <c r="A456" t="s">
        <v>198</v>
      </c>
      <c r="B456" s="13">
        <v>362</v>
      </c>
    </row>
    <row r="457" spans="1:2" x14ac:dyDescent="0.25">
      <c r="A457" t="s">
        <v>200</v>
      </c>
      <c r="B457" s="13">
        <v>897</v>
      </c>
    </row>
    <row r="458" spans="1:2" x14ac:dyDescent="0.25">
      <c r="A458" t="s">
        <v>303</v>
      </c>
      <c r="B458" s="13">
        <v>2889</v>
      </c>
    </row>
    <row r="459" spans="1:2" x14ac:dyDescent="0.25">
      <c r="A459" t="s">
        <v>312</v>
      </c>
      <c r="B459" s="13">
        <v>2237</v>
      </c>
    </row>
    <row r="460" spans="1:2" x14ac:dyDescent="0.25">
      <c r="A460" t="s">
        <v>324</v>
      </c>
      <c r="B460" s="13">
        <v>4101</v>
      </c>
    </row>
    <row r="461" spans="1:2" x14ac:dyDescent="0.25">
      <c r="A461" t="s">
        <v>329</v>
      </c>
      <c r="B461" s="13">
        <v>88</v>
      </c>
    </row>
    <row r="462" spans="1:2" x14ac:dyDescent="0.25">
      <c r="A462" t="s">
        <v>342</v>
      </c>
      <c r="B462" s="13">
        <v>795</v>
      </c>
    </row>
    <row r="463" spans="1:2" x14ac:dyDescent="0.25">
      <c r="A463" t="s">
        <v>502</v>
      </c>
      <c r="B463" s="13">
        <v>2153</v>
      </c>
    </row>
    <row r="464" spans="1:2" x14ac:dyDescent="0.25">
      <c r="A464" t="s">
        <v>512</v>
      </c>
      <c r="B464" s="13">
        <v>5616</v>
      </c>
    </row>
    <row r="465" spans="1:2" x14ac:dyDescent="0.25">
      <c r="A465" t="s">
        <v>556</v>
      </c>
      <c r="B465" s="13">
        <v>4159</v>
      </c>
    </row>
    <row r="466" spans="1:2" x14ac:dyDescent="0.25">
      <c r="A466" t="s">
        <v>789</v>
      </c>
      <c r="B466" s="13">
        <v>3937</v>
      </c>
    </row>
    <row r="467" spans="1:2" x14ac:dyDescent="0.25">
      <c r="A467" t="s">
        <v>805</v>
      </c>
      <c r="B467" s="13">
        <v>17878</v>
      </c>
    </row>
    <row r="468" spans="1:2" x14ac:dyDescent="0.25">
      <c r="A468" t="s">
        <v>968</v>
      </c>
      <c r="B468" s="13">
        <v>2128</v>
      </c>
    </row>
    <row r="469" spans="1:2" x14ac:dyDescent="0.25">
      <c r="A469" t="s">
        <v>1064</v>
      </c>
      <c r="B469" s="13">
        <v>6836</v>
      </c>
    </row>
    <row r="470" spans="1:2" x14ac:dyDescent="0.25">
      <c r="A470" t="s">
        <v>1431</v>
      </c>
      <c r="B470" s="13">
        <v>1600</v>
      </c>
    </row>
    <row r="471" spans="1:2" x14ac:dyDescent="0.25">
      <c r="A471" t="s">
        <v>589</v>
      </c>
      <c r="B471" s="13">
        <v>3362</v>
      </c>
    </row>
    <row r="472" spans="1:2" x14ac:dyDescent="0.25">
      <c r="A472" t="s">
        <v>1289</v>
      </c>
      <c r="B472" s="13">
        <v>1071</v>
      </c>
    </row>
    <row r="473" spans="1:2" x14ac:dyDescent="0.25">
      <c r="A473" t="s">
        <v>203</v>
      </c>
      <c r="B473" s="13">
        <v>3915</v>
      </c>
    </row>
    <row r="474" spans="1:2" x14ac:dyDescent="0.25">
      <c r="A474" t="s">
        <v>337</v>
      </c>
      <c r="B474" s="13">
        <v>989</v>
      </c>
    </row>
    <row r="475" spans="1:2" x14ac:dyDescent="0.25">
      <c r="A475" t="s">
        <v>446</v>
      </c>
      <c r="B475" s="13">
        <v>4600</v>
      </c>
    </row>
    <row r="476" spans="1:2" x14ac:dyDescent="0.25">
      <c r="A476" t="s">
        <v>525</v>
      </c>
      <c r="B476" s="13">
        <v>3</v>
      </c>
    </row>
    <row r="477" spans="1:2" x14ac:dyDescent="0.25">
      <c r="A477" t="s">
        <v>531</v>
      </c>
      <c r="B477" s="13">
        <v>198</v>
      </c>
    </row>
    <row r="478" spans="1:2" x14ac:dyDescent="0.25">
      <c r="A478" t="s">
        <v>630</v>
      </c>
      <c r="B478" s="13">
        <v>3823</v>
      </c>
    </row>
    <row r="479" spans="1:2" x14ac:dyDescent="0.25">
      <c r="A479" t="s">
        <v>647</v>
      </c>
      <c r="B479" s="13">
        <v>1066</v>
      </c>
    </row>
    <row r="480" spans="1:2" x14ac:dyDescent="0.25">
      <c r="A480" t="s">
        <v>821</v>
      </c>
      <c r="B480" s="13">
        <v>580</v>
      </c>
    </row>
    <row r="481" spans="1:2" x14ac:dyDescent="0.25">
      <c r="A481" t="s">
        <v>832</v>
      </c>
      <c r="B481" s="13">
        <v>4438</v>
      </c>
    </row>
    <row r="482" spans="1:2" x14ac:dyDescent="0.25">
      <c r="A482" t="s">
        <v>940</v>
      </c>
      <c r="B482" s="13">
        <v>3082</v>
      </c>
    </row>
    <row r="483" spans="1:2" x14ac:dyDescent="0.25">
      <c r="A483" t="s">
        <v>1075</v>
      </c>
      <c r="B483" s="13">
        <v>8139</v>
      </c>
    </row>
    <row r="484" spans="1:2" x14ac:dyDescent="0.25">
      <c r="A484" t="s">
        <v>1333</v>
      </c>
      <c r="B484" s="13">
        <v>663</v>
      </c>
    </row>
    <row r="485" spans="1:2" x14ac:dyDescent="0.25">
      <c r="A485" t="s">
        <v>1455</v>
      </c>
      <c r="B485" s="13">
        <v>5872</v>
      </c>
    </row>
    <row r="486" spans="1:2" x14ac:dyDescent="0.25">
      <c r="A486" t="s">
        <v>657</v>
      </c>
      <c r="B486" s="13">
        <v>2881</v>
      </c>
    </row>
    <row r="487" spans="1:2" x14ac:dyDescent="0.25">
      <c r="A487" t="s">
        <v>702</v>
      </c>
      <c r="B487" s="13">
        <v>595</v>
      </c>
    </row>
    <row r="488" spans="1:2" x14ac:dyDescent="0.25">
      <c r="A488" t="s">
        <v>800</v>
      </c>
      <c r="B488" s="13">
        <v>-1937</v>
      </c>
    </row>
    <row r="489" spans="1:2" x14ac:dyDescent="0.25">
      <c r="A489" t="s">
        <v>209</v>
      </c>
      <c r="B489" s="13">
        <v>537</v>
      </c>
    </row>
    <row r="490" spans="1:2" x14ac:dyDescent="0.25">
      <c r="A490" t="s">
        <v>248</v>
      </c>
      <c r="B490" s="13">
        <v>949</v>
      </c>
    </row>
    <row r="491" spans="1:2" x14ac:dyDescent="0.25">
      <c r="A491" t="s">
        <v>353</v>
      </c>
      <c r="B491" s="13">
        <v>71</v>
      </c>
    </row>
    <row r="492" spans="1:2" x14ac:dyDescent="0.25">
      <c r="A492" t="s">
        <v>1121</v>
      </c>
      <c r="B492" s="13">
        <v>1332</v>
      </c>
    </row>
    <row r="493" spans="1:2" x14ac:dyDescent="0.25">
      <c r="A493" t="s">
        <v>301</v>
      </c>
      <c r="B493" s="13">
        <v>-52</v>
      </c>
    </row>
    <row r="494" spans="1:2" x14ac:dyDescent="0.25">
      <c r="A494" t="s">
        <v>410</v>
      </c>
      <c r="B494" s="13">
        <v>-2524</v>
      </c>
    </row>
    <row r="495" spans="1:2" x14ac:dyDescent="0.25">
      <c r="A495" t="s">
        <v>503</v>
      </c>
      <c r="B495" s="13">
        <v>-3522</v>
      </c>
    </row>
    <row r="496" spans="1:2" x14ac:dyDescent="0.25">
      <c r="A496" t="s">
        <v>513</v>
      </c>
      <c r="B496" s="13">
        <v>-7916</v>
      </c>
    </row>
    <row r="497" spans="1:2" x14ac:dyDescent="0.25">
      <c r="A497" t="s">
        <v>600</v>
      </c>
      <c r="B497" s="13">
        <v>-6671</v>
      </c>
    </row>
    <row r="498" spans="1:2" x14ac:dyDescent="0.25">
      <c r="A498" t="s">
        <v>586</v>
      </c>
      <c r="B498" s="13">
        <v>-10717</v>
      </c>
    </row>
    <row r="499" spans="1:2" x14ac:dyDescent="0.25">
      <c r="A499" t="s">
        <v>1102</v>
      </c>
      <c r="B499" s="13">
        <v>-17457</v>
      </c>
    </row>
    <row r="500" spans="1:2" x14ac:dyDescent="0.25">
      <c r="A500" t="s">
        <v>130</v>
      </c>
      <c r="B500" s="13">
        <v>-14571</v>
      </c>
    </row>
    <row r="501" spans="1:2" x14ac:dyDescent="0.25">
      <c r="A501" t="s">
        <v>151</v>
      </c>
      <c r="B501" s="13">
        <v>-8646</v>
      </c>
    </row>
    <row r="502" spans="1:2" x14ac:dyDescent="0.25">
      <c r="A502" t="s">
        <v>143</v>
      </c>
      <c r="B502" s="13">
        <v>-22639</v>
      </c>
    </row>
    <row r="503" spans="1:2" x14ac:dyDescent="0.25">
      <c r="A503" t="s">
        <v>159</v>
      </c>
      <c r="B503" s="13">
        <v>-2985</v>
      </c>
    </row>
    <row r="504" spans="1:2" x14ac:dyDescent="0.25">
      <c r="A504" t="s">
        <v>170</v>
      </c>
      <c r="B504" s="13">
        <v>-8738</v>
      </c>
    </row>
    <row r="505" spans="1:2" x14ac:dyDescent="0.25">
      <c r="A505" t="s">
        <v>234</v>
      </c>
      <c r="B505" s="13">
        <v>-4148</v>
      </c>
    </row>
    <row r="506" spans="1:2" x14ac:dyDescent="0.25">
      <c r="A506" t="s">
        <v>356</v>
      </c>
      <c r="B506" s="13">
        <v>4082</v>
      </c>
    </row>
    <row r="507" spans="1:2" x14ac:dyDescent="0.25">
      <c r="A507" t="s">
        <v>1353</v>
      </c>
      <c r="B507" s="13">
        <v>7601</v>
      </c>
    </row>
    <row r="508" spans="1:2" x14ac:dyDescent="0.25">
      <c r="A508" t="s">
        <v>215</v>
      </c>
      <c r="B508" s="13">
        <v>655</v>
      </c>
    </row>
    <row r="509" spans="1:2" x14ac:dyDescent="0.25">
      <c r="A509" t="s">
        <v>435</v>
      </c>
      <c r="B509" s="13">
        <v>2001</v>
      </c>
    </row>
    <row r="510" spans="1:2" x14ac:dyDescent="0.25">
      <c r="A510" t="s">
        <v>996</v>
      </c>
      <c r="B510" s="13">
        <v>1972</v>
      </c>
    </row>
    <row r="511" spans="1:2" x14ac:dyDescent="0.25">
      <c r="A511" t="s">
        <v>1381</v>
      </c>
      <c r="B511" s="13">
        <v>863</v>
      </c>
    </row>
    <row r="512" spans="1:2" x14ac:dyDescent="0.25">
      <c r="A512" t="s">
        <v>372</v>
      </c>
      <c r="B512" s="13">
        <v>2582</v>
      </c>
    </row>
    <row r="513" spans="1:2" x14ac:dyDescent="0.25">
      <c r="A513" t="s">
        <v>836</v>
      </c>
      <c r="B513" s="13">
        <v>3682</v>
      </c>
    </row>
    <row r="514" spans="1:2" x14ac:dyDescent="0.25">
      <c r="A514" t="s">
        <v>837</v>
      </c>
      <c r="B514" s="13">
        <v>4421</v>
      </c>
    </row>
    <row r="515" spans="1:2" x14ac:dyDescent="0.25">
      <c r="A515" t="s">
        <v>350</v>
      </c>
      <c r="B515" s="13">
        <v>454</v>
      </c>
    </row>
    <row r="516" spans="1:2" x14ac:dyDescent="0.25">
      <c r="A516" t="s">
        <v>848</v>
      </c>
      <c r="B516" s="13">
        <v>903</v>
      </c>
    </row>
    <row r="517" spans="1:2" x14ac:dyDescent="0.25">
      <c r="A517" t="s">
        <v>1482</v>
      </c>
      <c r="B517" s="13">
        <v>5493</v>
      </c>
    </row>
    <row r="518" spans="1:2" x14ac:dyDescent="0.25">
      <c r="A518" t="s">
        <v>1143</v>
      </c>
      <c r="B518" s="13">
        <v>1593</v>
      </c>
    </row>
    <row r="519" spans="1:2" x14ac:dyDescent="0.25">
      <c r="A519" t="s">
        <v>1545</v>
      </c>
      <c r="B519" s="13">
        <v>8029</v>
      </c>
    </row>
    <row r="520" spans="1:2" x14ac:dyDescent="0.25">
      <c r="A520" t="s">
        <v>1576</v>
      </c>
      <c r="B520" s="13">
        <v>3882</v>
      </c>
    </row>
    <row r="521" spans="1:2" x14ac:dyDescent="0.25">
      <c r="A521" t="s">
        <v>361</v>
      </c>
      <c r="B521" s="13">
        <v>3054</v>
      </c>
    </row>
    <row r="522" spans="1:2" x14ac:dyDescent="0.25">
      <c r="A522" t="s">
        <v>376</v>
      </c>
      <c r="B522" s="13">
        <v>6391</v>
      </c>
    </row>
    <row r="523" spans="1:2" x14ac:dyDescent="0.25">
      <c r="A523" t="s">
        <v>472</v>
      </c>
      <c r="B523" s="13">
        <v>6004</v>
      </c>
    </row>
    <row r="524" spans="1:2" x14ac:dyDescent="0.25">
      <c r="A524" t="s">
        <v>982</v>
      </c>
      <c r="B524" s="13">
        <v>706</v>
      </c>
    </row>
    <row r="525" spans="1:2" x14ac:dyDescent="0.25">
      <c r="A525" t="s">
        <v>1007</v>
      </c>
      <c r="B525" s="13">
        <v>5800</v>
      </c>
    </row>
    <row r="526" spans="1:2" x14ac:dyDescent="0.25">
      <c r="A526" t="s">
        <v>1392</v>
      </c>
      <c r="B526" s="13">
        <v>2329</v>
      </c>
    </row>
    <row r="527" spans="1:2" x14ac:dyDescent="0.25">
      <c r="A527" t="s">
        <v>1593</v>
      </c>
      <c r="B527" s="13">
        <v>3614</v>
      </c>
    </row>
    <row r="528" spans="1:2" x14ac:dyDescent="0.25">
      <c r="A528" t="s">
        <v>253</v>
      </c>
      <c r="B528" s="13">
        <v>4216</v>
      </c>
    </row>
    <row r="529" spans="1:2" x14ac:dyDescent="0.25">
      <c r="A529" t="s">
        <v>259</v>
      </c>
      <c r="B529" s="13">
        <v>662</v>
      </c>
    </row>
    <row r="530" spans="1:2" x14ac:dyDescent="0.25">
      <c r="A530" t="s">
        <v>460</v>
      </c>
      <c r="B530" s="13">
        <v>3641</v>
      </c>
    </row>
    <row r="531" spans="1:2" x14ac:dyDescent="0.25">
      <c r="A531" t="s">
        <v>1371</v>
      </c>
      <c r="B531" s="13">
        <v>3385</v>
      </c>
    </row>
    <row r="532" spans="1:2" x14ac:dyDescent="0.25">
      <c r="A532" t="s">
        <v>711</v>
      </c>
      <c r="B532" s="13">
        <v>451</v>
      </c>
    </row>
    <row r="533" spans="1:2" x14ac:dyDescent="0.25">
      <c r="A533" t="s">
        <v>872</v>
      </c>
      <c r="B533" s="13">
        <v>14</v>
      </c>
    </row>
    <row r="534" spans="1:2" x14ac:dyDescent="0.25">
      <c r="A534" t="s">
        <v>1405</v>
      </c>
      <c r="B534" s="13">
        <v>3096</v>
      </c>
    </row>
    <row r="535" spans="1:2" x14ac:dyDescent="0.25">
      <c r="A535" t="s">
        <v>220</v>
      </c>
      <c r="B535" s="13">
        <v>4091</v>
      </c>
    </row>
    <row r="536" spans="1:2" x14ac:dyDescent="0.25">
      <c r="A536" t="s">
        <v>274</v>
      </c>
      <c r="B536" s="13">
        <v>2918</v>
      </c>
    </row>
    <row r="537" spans="1:2" x14ac:dyDescent="0.25">
      <c r="A537" t="s">
        <v>395</v>
      </c>
      <c r="B537" s="13">
        <v>2924</v>
      </c>
    </row>
    <row r="538" spans="1:2" x14ac:dyDescent="0.25">
      <c r="A538" t="s">
        <v>815</v>
      </c>
      <c r="B538" s="13">
        <v>449</v>
      </c>
    </row>
    <row r="539" spans="1:2" x14ac:dyDescent="0.25">
      <c r="A539" t="s">
        <v>1168</v>
      </c>
      <c r="B539" s="13">
        <v>8016</v>
      </c>
    </row>
    <row r="540" spans="1:2" x14ac:dyDescent="0.25">
      <c r="A540" t="s">
        <v>1607</v>
      </c>
      <c r="B540" s="13">
        <v>2828</v>
      </c>
    </row>
    <row r="541" spans="1:2" x14ac:dyDescent="0.25">
      <c r="A541" t="s">
        <v>366</v>
      </c>
      <c r="B541" s="13">
        <v>1249</v>
      </c>
    </row>
    <row r="542" spans="1:2" x14ac:dyDescent="0.25">
      <c r="A542" t="s">
        <v>721</v>
      </c>
      <c r="B542" s="13">
        <v>2937</v>
      </c>
    </row>
    <row r="543" spans="1:2" x14ac:dyDescent="0.25">
      <c r="A543" t="s">
        <v>738</v>
      </c>
      <c r="B543" s="13">
        <v>2902</v>
      </c>
    </row>
    <row r="544" spans="1:2" x14ac:dyDescent="0.25">
      <c r="A544" t="s">
        <v>746</v>
      </c>
      <c r="B544" s="13">
        <v>605</v>
      </c>
    </row>
    <row r="545" spans="1:2" x14ac:dyDescent="0.25">
      <c r="A545" t="s">
        <v>875</v>
      </c>
      <c r="B545" s="13">
        <v>4189</v>
      </c>
    </row>
    <row r="546" spans="1:2" x14ac:dyDescent="0.25">
      <c r="A546" t="s">
        <v>1027</v>
      </c>
      <c r="B546" s="13">
        <v>1779</v>
      </c>
    </row>
    <row r="547" spans="1:2" x14ac:dyDescent="0.25">
      <c r="A547" t="s">
        <v>1194</v>
      </c>
      <c r="B547" s="13">
        <v>4059</v>
      </c>
    </row>
    <row r="548" spans="1:2" x14ac:dyDescent="0.25">
      <c r="A548" t="s">
        <v>1527</v>
      </c>
      <c r="B548" s="13">
        <v>338</v>
      </c>
    </row>
    <row r="549" spans="1:2" x14ac:dyDescent="0.25">
      <c r="A549" t="s">
        <v>1535</v>
      </c>
      <c r="B549" s="13">
        <v>3567</v>
      </c>
    </row>
    <row r="550" spans="1:2" x14ac:dyDescent="0.25">
      <c r="A550" t="s">
        <v>1521</v>
      </c>
      <c r="B550" s="13">
        <v>5887</v>
      </c>
    </row>
    <row r="551" spans="1:2" x14ac:dyDescent="0.25">
      <c r="A551" t="s">
        <v>1618</v>
      </c>
      <c r="B551" s="13">
        <v>1358</v>
      </c>
    </row>
    <row r="552" spans="1:2" x14ac:dyDescent="0.25">
      <c r="A552" t="s">
        <v>1640</v>
      </c>
      <c r="B552" s="13">
        <v>2279</v>
      </c>
    </row>
    <row r="553" spans="1:2" x14ac:dyDescent="0.25">
      <c r="A553" t="s">
        <v>271</v>
      </c>
      <c r="B553" s="13">
        <v>2249</v>
      </c>
    </row>
    <row r="554" spans="1:2" x14ac:dyDescent="0.25">
      <c r="A554" t="s">
        <v>277</v>
      </c>
      <c r="B554" s="13">
        <v>4194</v>
      </c>
    </row>
    <row r="555" spans="1:2" x14ac:dyDescent="0.25">
      <c r="A555" t="s">
        <v>281</v>
      </c>
      <c r="B555" s="13">
        <v>5760</v>
      </c>
    </row>
    <row r="556" spans="1:2" x14ac:dyDescent="0.25">
      <c r="A556" t="s">
        <v>287</v>
      </c>
      <c r="B556" s="13">
        <v>28547</v>
      </c>
    </row>
    <row r="557" spans="1:2" x14ac:dyDescent="0.25">
      <c r="A557" t="s">
        <v>291</v>
      </c>
      <c r="B557" s="13">
        <v>3035</v>
      </c>
    </row>
    <row r="558" spans="1:2" x14ac:dyDescent="0.25">
      <c r="A558" t="s">
        <v>492</v>
      </c>
      <c r="B558" s="13">
        <v>2017</v>
      </c>
    </row>
    <row r="559" spans="1:2" x14ac:dyDescent="0.25">
      <c r="A559" t="s">
        <v>1257</v>
      </c>
      <c r="B559" s="13">
        <v>1110</v>
      </c>
    </row>
    <row r="560" spans="1:2" x14ac:dyDescent="0.25">
      <c r="A560" t="s">
        <v>1258</v>
      </c>
      <c r="B560" s="13">
        <v>1651</v>
      </c>
    </row>
    <row r="561" spans="1:2" x14ac:dyDescent="0.25">
      <c r="A561" t="s">
        <v>1259</v>
      </c>
      <c r="B561" s="13">
        <v>68</v>
      </c>
    </row>
    <row r="562" spans="1:2" x14ac:dyDescent="0.25">
      <c r="A562" t="s">
        <v>1550</v>
      </c>
      <c r="B562" s="13">
        <v>6243</v>
      </c>
    </row>
    <row r="563" spans="1:2" x14ac:dyDescent="0.25">
      <c r="A563" t="s">
        <v>1663</v>
      </c>
      <c r="B563" s="13">
        <v>5953</v>
      </c>
    </row>
    <row r="564" spans="1:2" x14ac:dyDescent="0.25">
      <c r="A564" t="s">
        <v>1673</v>
      </c>
      <c r="B564" s="13">
        <v>1195</v>
      </c>
    </row>
    <row r="565" spans="1:2" x14ac:dyDescent="0.25">
      <c r="A565" t="s">
        <v>608</v>
      </c>
      <c r="B565" s="13">
        <v>3238</v>
      </c>
    </row>
    <row r="566" spans="1:2" x14ac:dyDescent="0.25">
      <c r="A566" t="s">
        <v>1252</v>
      </c>
      <c r="B566" s="13">
        <v>1156</v>
      </c>
    </row>
    <row r="567" spans="1:2" x14ac:dyDescent="0.25">
      <c r="A567" t="s">
        <v>903</v>
      </c>
      <c r="B567" s="13">
        <v>1243</v>
      </c>
    </row>
    <row r="568" spans="1:2" x14ac:dyDescent="0.25">
      <c r="A568" t="s">
        <v>1269</v>
      </c>
      <c r="B568" s="13">
        <v>2120</v>
      </c>
    </row>
    <row r="569" spans="1:2" x14ac:dyDescent="0.25">
      <c r="A569" t="s">
        <v>1270</v>
      </c>
      <c r="B569" s="13">
        <v>1806</v>
      </c>
    </row>
    <row r="570" spans="1:2" x14ac:dyDescent="0.25">
      <c r="A570" t="s">
        <v>1271</v>
      </c>
      <c r="B570" s="13">
        <v>2037</v>
      </c>
    </row>
    <row r="571" spans="1:2" x14ac:dyDescent="0.25">
      <c r="A571" t="s">
        <v>1272</v>
      </c>
      <c r="B571" s="13">
        <v>1252</v>
      </c>
    </row>
    <row r="572" spans="1:2" x14ac:dyDescent="0.25">
      <c r="A572" t="s">
        <v>1750</v>
      </c>
      <c r="B572" s="13">
        <v>163</v>
      </c>
    </row>
    <row r="573" spans="1:2" x14ac:dyDescent="0.25">
      <c r="A573" t="s">
        <v>325</v>
      </c>
      <c r="B573" s="13">
        <v>3737</v>
      </c>
    </row>
    <row r="574" spans="1:2" x14ac:dyDescent="0.25">
      <c r="A574" t="s">
        <v>330</v>
      </c>
      <c r="B574" s="13">
        <v>492</v>
      </c>
    </row>
    <row r="575" spans="1:2" x14ac:dyDescent="0.25">
      <c r="A575" t="s">
        <v>343</v>
      </c>
      <c r="B575" s="13">
        <v>943</v>
      </c>
    </row>
    <row r="576" spans="1:2" x14ac:dyDescent="0.25">
      <c r="A576" t="s">
        <v>420</v>
      </c>
      <c r="B576" s="13">
        <v>3425</v>
      </c>
    </row>
    <row r="577" spans="1:2" x14ac:dyDescent="0.25">
      <c r="A577" t="s">
        <v>557</v>
      </c>
      <c r="B577" s="13">
        <v>3362</v>
      </c>
    </row>
    <row r="578" spans="1:2" x14ac:dyDescent="0.25">
      <c r="A578" t="s">
        <v>590</v>
      </c>
      <c r="B578" s="13">
        <v>753</v>
      </c>
    </row>
    <row r="579" spans="1:2" x14ac:dyDescent="0.25">
      <c r="A579" t="s">
        <v>769</v>
      </c>
      <c r="B579" s="13">
        <v>3224</v>
      </c>
    </row>
    <row r="580" spans="1:2" x14ac:dyDescent="0.25">
      <c r="A580" t="s">
        <v>790</v>
      </c>
      <c r="B580" s="13">
        <v>3298</v>
      </c>
    </row>
    <row r="581" spans="1:2" x14ac:dyDescent="0.25">
      <c r="A581" t="s">
        <v>913</v>
      </c>
      <c r="B581" s="13">
        <v>760</v>
      </c>
    </row>
    <row r="582" spans="1:2" x14ac:dyDescent="0.25">
      <c r="A582" t="s">
        <v>928</v>
      </c>
      <c r="B582" s="13">
        <v>4436</v>
      </c>
    </row>
    <row r="583" spans="1:2" x14ac:dyDescent="0.25">
      <c r="A583" t="s">
        <v>969</v>
      </c>
      <c r="B583" s="13">
        <v>2262</v>
      </c>
    </row>
    <row r="584" spans="1:2" x14ac:dyDescent="0.25">
      <c r="A584" t="s">
        <v>1055</v>
      </c>
      <c r="B584" s="13">
        <v>2453</v>
      </c>
    </row>
    <row r="585" spans="1:2" x14ac:dyDescent="0.25">
      <c r="A585" t="s">
        <v>1065</v>
      </c>
      <c r="B585" s="13">
        <v>4678</v>
      </c>
    </row>
    <row r="586" spans="1:2" x14ac:dyDescent="0.25">
      <c r="A586" t="s">
        <v>1090</v>
      </c>
      <c r="B586" s="13">
        <v>2955</v>
      </c>
    </row>
    <row r="587" spans="1:2" x14ac:dyDescent="0.25">
      <c r="A587" t="s">
        <v>1223</v>
      </c>
      <c r="B587" s="13">
        <v>3309</v>
      </c>
    </row>
    <row r="588" spans="1:2" x14ac:dyDescent="0.25">
      <c r="A588" t="s">
        <v>1236</v>
      </c>
      <c r="B588" s="13">
        <v>765</v>
      </c>
    </row>
    <row r="589" spans="1:2" x14ac:dyDescent="0.25">
      <c r="A589" t="s">
        <v>1279</v>
      </c>
      <c r="B589" s="13">
        <v>1964</v>
      </c>
    </row>
    <row r="590" spans="1:2" x14ac:dyDescent="0.25">
      <c r="A590" t="s">
        <v>1290</v>
      </c>
      <c r="B590" s="13">
        <v>1415</v>
      </c>
    </row>
    <row r="591" spans="1:2" x14ac:dyDescent="0.25">
      <c r="A591" t="s">
        <v>1432</v>
      </c>
      <c r="B591" s="13">
        <v>5168</v>
      </c>
    </row>
    <row r="592" spans="1:2" x14ac:dyDescent="0.25">
      <c r="A592" t="s">
        <v>1683</v>
      </c>
      <c r="B592" s="13">
        <v>5976</v>
      </c>
    </row>
    <row r="593" spans="1:2" x14ac:dyDescent="0.25">
      <c r="A593" t="s">
        <v>1703</v>
      </c>
      <c r="B593" s="13">
        <v>799</v>
      </c>
    </row>
    <row r="594" spans="1:2" x14ac:dyDescent="0.25">
      <c r="A594" t="s">
        <v>1708</v>
      </c>
      <c r="B594" s="13">
        <v>954</v>
      </c>
    </row>
    <row r="595" spans="1:2" x14ac:dyDescent="0.25">
      <c r="A595" t="s">
        <v>245</v>
      </c>
      <c r="B595" s="13">
        <v>1184</v>
      </c>
    </row>
    <row r="596" spans="1:2" x14ac:dyDescent="0.25">
      <c r="A596" t="s">
        <v>447</v>
      </c>
      <c r="B596" s="13">
        <v>4632</v>
      </c>
    </row>
    <row r="597" spans="1:2" x14ac:dyDescent="0.25">
      <c r="A597" t="s">
        <v>526</v>
      </c>
      <c r="B597" s="13">
        <v>14</v>
      </c>
    </row>
    <row r="598" spans="1:2" x14ac:dyDescent="0.25">
      <c r="A598" t="s">
        <v>532</v>
      </c>
      <c r="B598" s="13">
        <v>940</v>
      </c>
    </row>
    <row r="599" spans="1:2" x14ac:dyDescent="0.25">
      <c r="A599" t="s">
        <v>616</v>
      </c>
      <c r="B599" s="13">
        <v>2618</v>
      </c>
    </row>
    <row r="600" spans="1:2" x14ac:dyDescent="0.25">
      <c r="A600" t="s">
        <v>648</v>
      </c>
      <c r="B600" s="13">
        <v>1236</v>
      </c>
    </row>
    <row r="601" spans="1:2" x14ac:dyDescent="0.25">
      <c r="A601" t="s">
        <v>822</v>
      </c>
      <c r="B601" s="13">
        <v>1469</v>
      </c>
    </row>
    <row r="602" spans="1:2" x14ac:dyDescent="0.25">
      <c r="A602" t="s">
        <v>941</v>
      </c>
      <c r="B602" s="13">
        <v>2811</v>
      </c>
    </row>
    <row r="603" spans="1:2" x14ac:dyDescent="0.25">
      <c r="A603" t="s">
        <v>1076</v>
      </c>
      <c r="B603" s="13">
        <v>5135</v>
      </c>
    </row>
    <row r="604" spans="1:2" x14ac:dyDescent="0.25">
      <c r="A604" t="s">
        <v>1467</v>
      </c>
      <c r="B604" s="13">
        <v>8574</v>
      </c>
    </row>
    <row r="605" spans="1:2" x14ac:dyDescent="0.25">
      <c r="A605" t="s">
        <v>1717</v>
      </c>
      <c r="B605" s="13">
        <v>4059</v>
      </c>
    </row>
    <row r="606" spans="1:2" x14ac:dyDescent="0.25">
      <c r="A606" t="s">
        <v>338</v>
      </c>
      <c r="B606" s="13">
        <v>1255</v>
      </c>
    </row>
    <row r="607" spans="1:2" x14ac:dyDescent="0.25">
      <c r="A607" t="s">
        <v>1322</v>
      </c>
      <c r="B607" s="13">
        <v>1</v>
      </c>
    </row>
    <row r="608" spans="1:2" x14ac:dyDescent="0.25">
      <c r="A608" t="s">
        <v>1334</v>
      </c>
      <c r="B608" s="13">
        <v>408</v>
      </c>
    </row>
    <row r="609" spans="1:2" x14ac:dyDescent="0.25">
      <c r="A609" t="s">
        <v>1456</v>
      </c>
      <c r="B609" s="13">
        <v>2359</v>
      </c>
    </row>
    <row r="610" spans="1:2" x14ac:dyDescent="0.25">
      <c r="A610" t="s">
        <v>658</v>
      </c>
      <c r="B610" s="13">
        <v>4701</v>
      </c>
    </row>
    <row r="611" spans="1:2" x14ac:dyDescent="0.25">
      <c r="A611" t="s">
        <v>703</v>
      </c>
      <c r="B611" s="13">
        <v>356</v>
      </c>
    </row>
    <row r="612" spans="1:2" x14ac:dyDescent="0.25">
      <c r="A612" t="s">
        <v>249</v>
      </c>
      <c r="B612" s="13">
        <v>432</v>
      </c>
    </row>
    <row r="613" spans="1:2" x14ac:dyDescent="0.25">
      <c r="A613" t="s">
        <v>354</v>
      </c>
      <c r="B613" s="13">
        <v>23</v>
      </c>
    </row>
    <row r="614" spans="1:2" x14ac:dyDescent="0.25">
      <c r="A614" t="s">
        <v>1122</v>
      </c>
      <c r="B614" s="13">
        <v>717</v>
      </c>
    </row>
    <row r="615" spans="1:2" x14ac:dyDescent="0.25">
      <c r="A615" t="s">
        <v>1573</v>
      </c>
      <c r="B615" s="13">
        <v>2036</v>
      </c>
    </row>
    <row r="616" spans="1:2" x14ac:dyDescent="0.25">
      <c r="A616" t="s">
        <v>357</v>
      </c>
      <c r="B616" s="13">
        <v>3238</v>
      </c>
    </row>
    <row r="617" spans="1:2" x14ac:dyDescent="0.25">
      <c r="A617" t="s">
        <v>1354</v>
      </c>
      <c r="B617" s="13">
        <v>4694</v>
      </c>
    </row>
    <row r="618" spans="1:2" x14ac:dyDescent="0.25">
      <c r="A618" t="s">
        <v>1477</v>
      </c>
      <c r="B618" s="13">
        <v>15</v>
      </c>
    </row>
    <row r="619" spans="1:2" x14ac:dyDescent="0.25">
      <c r="A619" t="s">
        <v>1734</v>
      </c>
      <c r="B619" s="13">
        <v>1173</v>
      </c>
    </row>
    <row r="620" spans="1:2" x14ac:dyDescent="0.25">
      <c r="A620" t="s">
        <v>1753</v>
      </c>
      <c r="B620" s="13">
        <v>4276</v>
      </c>
    </row>
    <row r="621" spans="1:2" x14ac:dyDescent="0.25">
      <c r="A621" t="s">
        <v>1761</v>
      </c>
      <c r="B621" s="13">
        <v>932</v>
      </c>
    </row>
    <row r="622" spans="1:2" x14ac:dyDescent="0.25">
      <c r="A622" t="s">
        <v>1771</v>
      </c>
      <c r="B622" s="13">
        <v>4959</v>
      </c>
    </row>
    <row r="623" spans="1:2" x14ac:dyDescent="0.25">
      <c r="A623" t="s">
        <v>436</v>
      </c>
      <c r="B623" s="13">
        <v>1887</v>
      </c>
    </row>
    <row r="624" spans="1:2" x14ac:dyDescent="0.25">
      <c r="A624" t="s">
        <v>542</v>
      </c>
      <c r="B624" s="13">
        <v>2085</v>
      </c>
    </row>
    <row r="625" spans="1:2" x14ac:dyDescent="0.25">
      <c r="A625" t="s">
        <v>997</v>
      </c>
      <c r="B625" s="13">
        <v>3154</v>
      </c>
    </row>
    <row r="626" spans="1:2" x14ac:dyDescent="0.25">
      <c r="A626" t="s">
        <v>1382</v>
      </c>
      <c r="B626" s="13">
        <v>806</v>
      </c>
    </row>
    <row r="627" spans="1:2" x14ac:dyDescent="0.25">
      <c r="A627" t="s">
        <v>373</v>
      </c>
      <c r="B627" s="13">
        <v>3265</v>
      </c>
    </row>
    <row r="628" spans="1:2" x14ac:dyDescent="0.25">
      <c r="A628" t="s">
        <v>453</v>
      </c>
      <c r="B628" s="13">
        <v>494</v>
      </c>
    </row>
    <row r="629" spans="1:2" x14ac:dyDescent="0.25">
      <c r="A629" t="s">
        <v>838</v>
      </c>
      <c r="B629" s="13">
        <v>4339</v>
      </c>
    </row>
    <row r="630" spans="1:2" x14ac:dyDescent="0.25">
      <c r="A630" t="s">
        <v>849</v>
      </c>
      <c r="B630" s="13">
        <v>1826</v>
      </c>
    </row>
    <row r="631" spans="1:2" x14ac:dyDescent="0.25">
      <c r="A631" t="s">
        <v>1130</v>
      </c>
      <c r="B631" s="13">
        <v>840</v>
      </c>
    </row>
    <row r="632" spans="1:2" x14ac:dyDescent="0.25">
      <c r="A632" t="s">
        <v>1144</v>
      </c>
      <c r="B632" s="13">
        <v>2040</v>
      </c>
    </row>
    <row r="633" spans="1:2" x14ac:dyDescent="0.25">
      <c r="A633" t="s">
        <v>1577</v>
      </c>
      <c r="B633" s="13">
        <v>2279</v>
      </c>
    </row>
    <row r="634" spans="1:2" x14ac:dyDescent="0.25">
      <c r="A634" t="s">
        <v>1583</v>
      </c>
      <c r="B634" s="13">
        <v>3359</v>
      </c>
    </row>
    <row r="635" spans="1:2" x14ac:dyDescent="0.25">
      <c r="A635" t="s">
        <v>362</v>
      </c>
      <c r="B635" s="13">
        <v>3832</v>
      </c>
    </row>
    <row r="636" spans="1:2" x14ac:dyDescent="0.25">
      <c r="A636" t="s">
        <v>377</v>
      </c>
      <c r="B636" s="13">
        <v>6452</v>
      </c>
    </row>
    <row r="637" spans="1:2" x14ac:dyDescent="0.25">
      <c r="A637" t="s">
        <v>473</v>
      </c>
      <c r="B637" s="13">
        <v>5923</v>
      </c>
    </row>
    <row r="638" spans="1:2" x14ac:dyDescent="0.25">
      <c r="A638" t="s">
        <v>983</v>
      </c>
      <c r="B638" s="13">
        <v>160</v>
      </c>
    </row>
    <row r="639" spans="1:2" x14ac:dyDescent="0.25">
      <c r="A639" t="s">
        <v>1008</v>
      </c>
      <c r="B639" s="13">
        <v>6760</v>
      </c>
    </row>
    <row r="640" spans="1:2" x14ac:dyDescent="0.25">
      <c r="A640" t="s">
        <v>1393</v>
      </c>
      <c r="B640" s="13">
        <v>926</v>
      </c>
    </row>
    <row r="641" spans="1:2" x14ac:dyDescent="0.25">
      <c r="A641" t="s">
        <v>1594</v>
      </c>
      <c r="B641" s="13">
        <v>3241</v>
      </c>
    </row>
    <row r="642" spans="1:2" x14ac:dyDescent="0.25">
      <c r="A642" t="s">
        <v>254</v>
      </c>
      <c r="B642" s="13">
        <v>1667</v>
      </c>
    </row>
    <row r="643" spans="1:2" x14ac:dyDescent="0.25">
      <c r="A643" t="s">
        <v>260</v>
      </c>
      <c r="B643" s="13">
        <v>258</v>
      </c>
    </row>
    <row r="644" spans="1:2" x14ac:dyDescent="0.25">
      <c r="A644" t="s">
        <v>461</v>
      </c>
      <c r="B644" s="13">
        <v>3736</v>
      </c>
    </row>
    <row r="645" spans="1:2" x14ac:dyDescent="0.25">
      <c r="A645" t="s">
        <v>1372</v>
      </c>
      <c r="B645" s="13">
        <v>2291</v>
      </c>
    </row>
    <row r="646" spans="1:2" x14ac:dyDescent="0.25">
      <c r="A646" t="s">
        <v>1493</v>
      </c>
      <c r="B646" s="13">
        <v>346</v>
      </c>
    </row>
    <row r="647" spans="1:2" x14ac:dyDescent="0.25">
      <c r="A647" t="s">
        <v>1503</v>
      </c>
      <c r="B647" s="13">
        <v>6579</v>
      </c>
    </row>
    <row r="648" spans="1:2" x14ac:dyDescent="0.25">
      <c r="A648" t="s">
        <v>1781</v>
      </c>
      <c r="B648" s="13">
        <v>6928</v>
      </c>
    </row>
    <row r="649" spans="1:2" x14ac:dyDescent="0.25">
      <c r="A649" t="s">
        <v>367</v>
      </c>
      <c r="B649" s="13">
        <v>451</v>
      </c>
    </row>
    <row r="650" spans="1:2" x14ac:dyDescent="0.25">
      <c r="A650" t="s">
        <v>396</v>
      </c>
      <c r="B650" s="13">
        <v>2673</v>
      </c>
    </row>
    <row r="651" spans="1:2" x14ac:dyDescent="0.25">
      <c r="A651" t="s">
        <v>722</v>
      </c>
      <c r="B651" s="13">
        <v>4269</v>
      </c>
    </row>
    <row r="652" spans="1:2" x14ac:dyDescent="0.25">
      <c r="A652" t="s">
        <v>1028</v>
      </c>
      <c r="B652" s="13">
        <v>2342</v>
      </c>
    </row>
    <row r="653" spans="1:2" x14ac:dyDescent="0.25">
      <c r="A653" t="s">
        <v>1169</v>
      </c>
      <c r="B653" s="13">
        <v>7770</v>
      </c>
    </row>
    <row r="654" spans="1:2" x14ac:dyDescent="0.25">
      <c r="A654" t="s">
        <v>1195</v>
      </c>
      <c r="B654" s="13">
        <v>4121</v>
      </c>
    </row>
    <row r="655" spans="1:2" x14ac:dyDescent="0.25">
      <c r="A655" t="s">
        <v>1406</v>
      </c>
      <c r="B655" s="13">
        <v>2805</v>
      </c>
    </row>
    <row r="656" spans="1:2" x14ac:dyDescent="0.25">
      <c r="A656" t="s">
        <v>1489</v>
      </c>
      <c r="B656" s="13">
        <v>2623</v>
      </c>
    </row>
    <row r="657" spans="1:2" x14ac:dyDescent="0.25">
      <c r="A657" t="s">
        <v>1490</v>
      </c>
      <c r="B657" s="13">
        <v>478</v>
      </c>
    </row>
    <row r="658" spans="1:2" x14ac:dyDescent="0.25">
      <c r="A658" t="s">
        <v>1608</v>
      </c>
      <c r="B658" s="13">
        <v>2810</v>
      </c>
    </row>
    <row r="659" spans="1:2" x14ac:dyDescent="0.25">
      <c r="A659" t="s">
        <v>1178</v>
      </c>
      <c r="B659" s="13">
        <v>3813</v>
      </c>
    </row>
    <row r="660" spans="1:2" x14ac:dyDescent="0.25">
      <c r="A660" t="s">
        <v>1179</v>
      </c>
      <c r="B660" s="13">
        <v>3813</v>
      </c>
    </row>
    <row r="661" spans="1:2" x14ac:dyDescent="0.25">
      <c r="A661" t="s">
        <v>1180</v>
      </c>
      <c r="B661" s="13">
        <v>3567</v>
      </c>
    </row>
    <row r="662" spans="1:2" x14ac:dyDescent="0.25">
      <c r="A662" t="s">
        <v>1181</v>
      </c>
      <c r="B662" s="13">
        <v>3813</v>
      </c>
    </row>
    <row r="663" spans="1:2" x14ac:dyDescent="0.25">
      <c r="A663" t="s">
        <v>1182</v>
      </c>
      <c r="B663" s="13">
        <v>3690</v>
      </c>
    </row>
    <row r="664" spans="1:2" x14ac:dyDescent="0.25">
      <c r="A664" t="s">
        <v>739</v>
      </c>
      <c r="B664" s="13">
        <v>1194</v>
      </c>
    </row>
    <row r="665" spans="1:2" x14ac:dyDescent="0.25">
      <c r="A665" t="s">
        <v>747</v>
      </c>
      <c r="B665" s="13">
        <v>1059</v>
      </c>
    </row>
    <row r="666" spans="1:2" x14ac:dyDescent="0.25">
      <c r="A666" t="s">
        <v>876</v>
      </c>
      <c r="B666" s="13">
        <v>5328</v>
      </c>
    </row>
    <row r="667" spans="1:2" x14ac:dyDescent="0.25">
      <c r="A667" t="s">
        <v>1522</v>
      </c>
      <c r="B667" s="13">
        <v>8109</v>
      </c>
    </row>
    <row r="668" spans="1:2" x14ac:dyDescent="0.25">
      <c r="A668" t="s">
        <v>1528</v>
      </c>
      <c r="B668" s="13">
        <v>424</v>
      </c>
    </row>
    <row r="669" spans="1:2" x14ac:dyDescent="0.25">
      <c r="A669" t="s">
        <v>1536</v>
      </c>
      <c r="B669" s="13">
        <v>3587</v>
      </c>
    </row>
    <row r="670" spans="1:2" x14ac:dyDescent="0.25">
      <c r="A670" t="s">
        <v>1619</v>
      </c>
      <c r="B670" s="13">
        <v>4255</v>
      </c>
    </row>
    <row r="671" spans="1:2" x14ac:dyDescent="0.25">
      <c r="A671" t="s">
        <v>1641</v>
      </c>
      <c r="B671" s="13">
        <v>2105</v>
      </c>
    </row>
    <row r="672" spans="1:2" x14ac:dyDescent="0.25">
      <c r="A672" t="s">
        <v>1800</v>
      </c>
      <c r="B672" s="13">
        <v>742</v>
      </c>
    </row>
    <row r="673" spans="1:2" x14ac:dyDescent="0.25">
      <c r="A673" t="s">
        <v>1650</v>
      </c>
      <c r="B673" s="13">
        <v>858</v>
      </c>
    </row>
    <row r="674" spans="1:2" x14ac:dyDescent="0.25">
      <c r="A674" t="s">
        <v>282</v>
      </c>
      <c r="B674" s="13">
        <v>4597</v>
      </c>
    </row>
    <row r="675" spans="1:2" x14ac:dyDescent="0.25">
      <c r="A675" t="s">
        <v>288</v>
      </c>
      <c r="B675" s="13">
        <v>17113</v>
      </c>
    </row>
    <row r="676" spans="1:2" x14ac:dyDescent="0.25">
      <c r="A676" t="s">
        <v>1551</v>
      </c>
      <c r="B676" s="13">
        <v>7205</v>
      </c>
    </row>
    <row r="677" spans="1:2" x14ac:dyDescent="0.25">
      <c r="A677" t="s">
        <v>1664</v>
      </c>
      <c r="B677" s="13">
        <v>6854</v>
      </c>
    </row>
    <row r="678" spans="1:2" x14ac:dyDescent="0.25">
      <c r="A678" t="s">
        <v>1674</v>
      </c>
      <c r="B678" s="13">
        <v>1648</v>
      </c>
    </row>
    <row r="679" spans="1:2" x14ac:dyDescent="0.25">
      <c r="A679" t="s">
        <v>294</v>
      </c>
      <c r="B679" s="13">
        <v>1837</v>
      </c>
    </row>
    <row r="680" spans="1:2" x14ac:dyDescent="0.25">
      <c r="A680" t="s">
        <v>297</v>
      </c>
      <c r="B680" s="13">
        <v>4216</v>
      </c>
    </row>
    <row r="681" spans="1:2" x14ac:dyDescent="0.25">
      <c r="A681" t="s">
        <v>609</v>
      </c>
      <c r="B681" s="13">
        <v>5215</v>
      </c>
    </row>
    <row r="682" spans="1:2" x14ac:dyDescent="0.25">
      <c r="A682" t="s">
        <v>897</v>
      </c>
      <c r="B682" s="13">
        <v>2315</v>
      </c>
    </row>
    <row r="683" spans="1:2" x14ac:dyDescent="0.25">
      <c r="A683" t="s">
        <v>904</v>
      </c>
      <c r="B683" s="13">
        <v>1554</v>
      </c>
    </row>
    <row r="684" spans="1:2" x14ac:dyDescent="0.25">
      <c r="A684" t="s">
        <v>1253</v>
      </c>
      <c r="B684" s="13">
        <v>2271</v>
      </c>
    </row>
    <row r="685" spans="1:2" x14ac:dyDescent="0.25">
      <c r="A685" t="s">
        <v>1444</v>
      </c>
      <c r="B685" s="13">
        <v>280</v>
      </c>
    </row>
    <row r="686" spans="1:2" x14ac:dyDescent="0.25">
      <c r="A686" t="s">
        <v>1657</v>
      </c>
      <c r="B686" s="13">
        <v>2433</v>
      </c>
    </row>
    <row r="687" spans="1:2" x14ac:dyDescent="0.25">
      <c r="A687" t="s">
        <v>1806</v>
      </c>
      <c r="B687" s="13">
        <v>5256</v>
      </c>
    </row>
    <row r="688" spans="1:2" x14ac:dyDescent="0.25">
      <c r="A688" t="s">
        <v>1814</v>
      </c>
      <c r="B688" s="13">
        <v>2084</v>
      </c>
    </row>
    <row r="689" spans="1:2" x14ac:dyDescent="0.25">
      <c r="A689" t="s">
        <v>754</v>
      </c>
      <c r="B689" s="13">
        <v>2929</v>
      </c>
    </row>
    <row r="690" spans="1:2" x14ac:dyDescent="0.25">
      <c r="A690" t="s">
        <v>914</v>
      </c>
      <c r="B690" s="13">
        <v>1456</v>
      </c>
    </row>
    <row r="691" spans="1:2" x14ac:dyDescent="0.25">
      <c r="A691" t="s">
        <v>929</v>
      </c>
      <c r="B691" s="13">
        <v>4745</v>
      </c>
    </row>
    <row r="692" spans="1:2" x14ac:dyDescent="0.25">
      <c r="A692" t="s">
        <v>1275</v>
      </c>
      <c r="B692" s="13">
        <v>1180</v>
      </c>
    </row>
    <row r="693" spans="1:2" x14ac:dyDescent="0.25">
      <c r="A693" t="s">
        <v>1704</v>
      </c>
      <c r="B693" s="13">
        <v>792</v>
      </c>
    </row>
    <row r="694" spans="1:2" x14ac:dyDescent="0.25">
      <c r="A694" t="s">
        <v>1727</v>
      </c>
      <c r="B694" s="13">
        <v>3467</v>
      </c>
    </row>
    <row r="695" spans="1:2" x14ac:dyDescent="0.25">
      <c r="A695" t="s">
        <v>421</v>
      </c>
      <c r="B695" s="13">
        <v>3978</v>
      </c>
    </row>
    <row r="696" spans="1:2" x14ac:dyDescent="0.25">
      <c r="A696" t="s">
        <v>770</v>
      </c>
      <c r="B696" s="13">
        <v>1919</v>
      </c>
    </row>
    <row r="697" spans="1:2" x14ac:dyDescent="0.25">
      <c r="A697" t="s">
        <v>778</v>
      </c>
      <c r="B697" s="13">
        <v>3528</v>
      </c>
    </row>
    <row r="698" spans="1:2" x14ac:dyDescent="0.25">
      <c r="A698" t="s">
        <v>791</v>
      </c>
      <c r="B698" s="13">
        <v>3592</v>
      </c>
    </row>
    <row r="699" spans="1:2" x14ac:dyDescent="0.25">
      <c r="A699" t="s">
        <v>1056</v>
      </c>
      <c r="B699" s="13">
        <v>2349</v>
      </c>
    </row>
    <row r="700" spans="1:2" x14ac:dyDescent="0.25">
      <c r="A700" t="s">
        <v>1091</v>
      </c>
      <c r="B700" s="13">
        <v>2934</v>
      </c>
    </row>
    <row r="701" spans="1:2" x14ac:dyDescent="0.25">
      <c r="A701" t="s">
        <v>1224</v>
      </c>
      <c r="B701" s="13">
        <v>3496</v>
      </c>
    </row>
    <row r="702" spans="1:2" x14ac:dyDescent="0.25">
      <c r="A702" t="s">
        <v>1280</v>
      </c>
      <c r="B702" s="13">
        <v>2572</v>
      </c>
    </row>
    <row r="703" spans="1:2" x14ac:dyDescent="0.25">
      <c r="A703" t="s">
        <v>1304</v>
      </c>
      <c r="B703" s="13">
        <v>5022</v>
      </c>
    </row>
    <row r="704" spans="1:2" x14ac:dyDescent="0.25">
      <c r="A704" t="s">
        <v>1433</v>
      </c>
      <c r="B704" s="13">
        <v>2682</v>
      </c>
    </row>
    <row r="705" spans="1:2" x14ac:dyDescent="0.25">
      <c r="A705" t="s">
        <v>1827</v>
      </c>
      <c r="B705" s="13">
        <v>442</v>
      </c>
    </row>
    <row r="706" spans="1:2" x14ac:dyDescent="0.25">
      <c r="A706" t="s">
        <v>306</v>
      </c>
      <c r="B706" s="13">
        <v>1841</v>
      </c>
    </row>
    <row r="707" spans="1:2" x14ac:dyDescent="0.25">
      <c r="A707" t="s">
        <v>558</v>
      </c>
      <c r="B707" s="13">
        <v>4184</v>
      </c>
    </row>
    <row r="708" spans="1:2" x14ac:dyDescent="0.25">
      <c r="A708" t="s">
        <v>326</v>
      </c>
      <c r="B708" s="13">
        <v>4797</v>
      </c>
    </row>
    <row r="709" spans="1:2" x14ac:dyDescent="0.25">
      <c r="A709" t="s">
        <v>333</v>
      </c>
      <c r="B709" s="13">
        <v>8116</v>
      </c>
    </row>
    <row r="710" spans="1:2" x14ac:dyDescent="0.25">
      <c r="A710" t="s">
        <v>344</v>
      </c>
      <c r="B710" s="13">
        <v>1438</v>
      </c>
    </row>
    <row r="711" spans="1:2" x14ac:dyDescent="0.25">
      <c r="A711" t="s">
        <v>591</v>
      </c>
      <c r="B711" s="13">
        <v>83</v>
      </c>
    </row>
    <row r="712" spans="1:2" x14ac:dyDescent="0.25">
      <c r="A712" t="s">
        <v>970</v>
      </c>
      <c r="B712" s="13">
        <v>3957</v>
      </c>
    </row>
    <row r="713" spans="1:2" x14ac:dyDescent="0.25">
      <c r="A713" t="s">
        <v>1066</v>
      </c>
      <c r="B713" s="13">
        <v>6299</v>
      </c>
    </row>
    <row r="714" spans="1:2" x14ac:dyDescent="0.25">
      <c r="A714" t="s">
        <v>1291</v>
      </c>
      <c r="B714" s="13">
        <v>1214</v>
      </c>
    </row>
    <row r="715" spans="1:2" x14ac:dyDescent="0.25">
      <c r="A715" t="s">
        <v>617</v>
      </c>
      <c r="B715" s="13">
        <v>3473</v>
      </c>
    </row>
    <row r="716" spans="1:2" x14ac:dyDescent="0.25">
      <c r="A716" t="s">
        <v>649</v>
      </c>
      <c r="B716" s="13">
        <v>1431</v>
      </c>
    </row>
    <row r="717" spans="1:2" x14ac:dyDescent="0.25">
      <c r="A717" t="s">
        <v>942</v>
      </c>
      <c r="B717" s="13">
        <v>4375</v>
      </c>
    </row>
    <row r="718" spans="1:2" x14ac:dyDescent="0.25">
      <c r="A718" t="s">
        <v>448</v>
      </c>
      <c r="B718" s="13">
        <v>5142</v>
      </c>
    </row>
    <row r="719" spans="1:2" x14ac:dyDescent="0.25">
      <c r="A719" t="s">
        <v>533</v>
      </c>
      <c r="B719" s="13">
        <v>934</v>
      </c>
    </row>
    <row r="720" spans="1:2" x14ac:dyDescent="0.25">
      <c r="A720" t="s">
        <v>631</v>
      </c>
      <c r="B720" s="13">
        <v>3553</v>
      </c>
    </row>
    <row r="721" spans="1:2" x14ac:dyDescent="0.25">
      <c r="A721" t="s">
        <v>823</v>
      </c>
      <c r="B721" s="13">
        <v>1274</v>
      </c>
    </row>
    <row r="722" spans="1:2" x14ac:dyDescent="0.25">
      <c r="A722" t="s">
        <v>1077</v>
      </c>
      <c r="B722" s="13">
        <v>6731</v>
      </c>
    </row>
    <row r="723" spans="1:2" x14ac:dyDescent="0.25">
      <c r="A723" t="s">
        <v>1468</v>
      </c>
      <c r="B723" s="13">
        <v>8119</v>
      </c>
    </row>
    <row r="724" spans="1:2" x14ac:dyDescent="0.25">
      <c r="A724" t="s">
        <v>1718</v>
      </c>
      <c r="B724" s="13">
        <v>3453</v>
      </c>
    </row>
    <row r="725" spans="1:2" x14ac:dyDescent="0.25">
      <c r="A725" t="s">
        <v>1323</v>
      </c>
      <c r="B725" s="13">
        <v>441</v>
      </c>
    </row>
    <row r="726" spans="1:2" x14ac:dyDescent="0.25">
      <c r="A726" t="s">
        <v>1837</v>
      </c>
      <c r="B726" s="13">
        <v>1512</v>
      </c>
    </row>
    <row r="727" spans="1:2" x14ac:dyDescent="0.25">
      <c r="A727" t="s">
        <v>339</v>
      </c>
      <c r="B727" s="13">
        <v>756</v>
      </c>
    </row>
    <row r="728" spans="1:2" x14ac:dyDescent="0.25">
      <c r="A728" t="s">
        <v>955</v>
      </c>
      <c r="B728" s="13">
        <v>4137</v>
      </c>
    </row>
    <row r="729" spans="1:2" x14ac:dyDescent="0.25">
      <c r="A729" t="s">
        <v>1560</v>
      </c>
      <c r="B729" s="13">
        <v>2543</v>
      </c>
    </row>
    <row r="730" spans="1:2" x14ac:dyDescent="0.25">
      <c r="A730" t="s">
        <v>347</v>
      </c>
      <c r="B730" s="13">
        <v>1554</v>
      </c>
    </row>
    <row r="731" spans="1:2" x14ac:dyDescent="0.25">
      <c r="A731" t="s">
        <v>358</v>
      </c>
      <c r="B731" s="13">
        <v>2330</v>
      </c>
    </row>
    <row r="732" spans="1:2" x14ac:dyDescent="0.25">
      <c r="A732" t="s">
        <v>437</v>
      </c>
      <c r="B732" s="13">
        <v>2371</v>
      </c>
    </row>
    <row r="733" spans="1:2" x14ac:dyDescent="0.25">
      <c r="A733" t="s">
        <v>543</v>
      </c>
      <c r="B733" s="13">
        <v>1835</v>
      </c>
    </row>
    <row r="734" spans="1:2" x14ac:dyDescent="0.25">
      <c r="A734" t="s">
        <v>659</v>
      </c>
      <c r="B734" s="13">
        <v>4804</v>
      </c>
    </row>
    <row r="735" spans="1:2" x14ac:dyDescent="0.25">
      <c r="A735" t="s">
        <v>666</v>
      </c>
      <c r="B735" s="13">
        <v>1038</v>
      </c>
    </row>
    <row r="736" spans="1:2" x14ac:dyDescent="0.25">
      <c r="A736" t="s">
        <v>673</v>
      </c>
      <c r="B736" s="13">
        <v>76</v>
      </c>
    </row>
    <row r="737" spans="1:2" x14ac:dyDescent="0.25">
      <c r="A737" t="s">
        <v>704</v>
      </c>
      <c r="B737" s="13">
        <v>339</v>
      </c>
    </row>
    <row r="738" spans="1:2" x14ac:dyDescent="0.25">
      <c r="A738" t="s">
        <v>839</v>
      </c>
      <c r="B738" s="13">
        <v>4178</v>
      </c>
    </row>
    <row r="739" spans="1:2" x14ac:dyDescent="0.25">
      <c r="A739" t="s">
        <v>858</v>
      </c>
      <c r="B739" s="13">
        <v>3885</v>
      </c>
    </row>
    <row r="740" spans="1:2" x14ac:dyDescent="0.25">
      <c r="A740" t="s">
        <v>998</v>
      </c>
      <c r="B740" s="13">
        <v>2965</v>
      </c>
    </row>
    <row r="741" spans="1:2" x14ac:dyDescent="0.25">
      <c r="A741" t="s">
        <v>1343</v>
      </c>
      <c r="B741" s="13">
        <v>8927</v>
      </c>
    </row>
    <row r="742" spans="1:2" x14ac:dyDescent="0.25">
      <c r="A742" t="s">
        <v>1344</v>
      </c>
      <c r="B742" s="13">
        <v>785</v>
      </c>
    </row>
    <row r="743" spans="1:2" x14ac:dyDescent="0.25">
      <c r="A743" t="s">
        <v>1364</v>
      </c>
      <c r="B743" s="13">
        <v>3458</v>
      </c>
    </row>
    <row r="744" spans="1:2" x14ac:dyDescent="0.25">
      <c r="A744" t="s">
        <v>1383</v>
      </c>
      <c r="B744" s="13">
        <v>623</v>
      </c>
    </row>
    <row r="745" spans="1:2" x14ac:dyDescent="0.25">
      <c r="A745" t="s">
        <v>1735</v>
      </c>
      <c r="B745" s="13">
        <v>2014</v>
      </c>
    </row>
    <row r="746" spans="1:2" x14ac:dyDescent="0.25">
      <c r="A746" t="s">
        <v>1754</v>
      </c>
      <c r="B746" s="13">
        <v>3735</v>
      </c>
    </row>
    <row r="747" spans="1:2" x14ac:dyDescent="0.25">
      <c r="A747" t="s">
        <v>1762</v>
      </c>
      <c r="B747" s="13">
        <v>1721</v>
      </c>
    </row>
    <row r="748" spans="1:2" x14ac:dyDescent="0.25">
      <c r="A748" t="s">
        <v>1772</v>
      </c>
      <c r="B748" s="13">
        <v>7848</v>
      </c>
    </row>
    <row r="749" spans="1:2" x14ac:dyDescent="0.25">
      <c r="A749" t="s">
        <v>454</v>
      </c>
      <c r="B749" s="13">
        <v>878</v>
      </c>
    </row>
    <row r="750" spans="1:2" x14ac:dyDescent="0.25">
      <c r="A750" t="s">
        <v>549</v>
      </c>
      <c r="B750" s="13">
        <v>152</v>
      </c>
    </row>
    <row r="751" spans="1:2" x14ac:dyDescent="0.25">
      <c r="A751" t="s">
        <v>850</v>
      </c>
      <c r="B751" s="13">
        <v>1696</v>
      </c>
    </row>
    <row r="752" spans="1:2" x14ac:dyDescent="0.25">
      <c r="A752" t="s">
        <v>1131</v>
      </c>
      <c r="B752" s="13">
        <v>1306</v>
      </c>
    </row>
    <row r="753" spans="1:2" x14ac:dyDescent="0.25">
      <c r="A753" t="s">
        <v>1145</v>
      </c>
      <c r="B753" s="13">
        <v>1772</v>
      </c>
    </row>
    <row r="754" spans="1:2" x14ac:dyDescent="0.25">
      <c r="A754" t="s">
        <v>363</v>
      </c>
      <c r="B754" s="13">
        <v>3547</v>
      </c>
    </row>
    <row r="755" spans="1:2" x14ac:dyDescent="0.25">
      <c r="A755" t="s">
        <v>378</v>
      </c>
      <c r="B755" s="13">
        <v>6193</v>
      </c>
    </row>
    <row r="756" spans="1:2" x14ac:dyDescent="0.25">
      <c r="A756" t="s">
        <v>381</v>
      </c>
      <c r="B756" s="13">
        <v>1323</v>
      </c>
    </row>
    <row r="757" spans="1:2" x14ac:dyDescent="0.25">
      <c r="A757" t="s">
        <v>474</v>
      </c>
      <c r="B757" s="13">
        <v>5761</v>
      </c>
    </row>
    <row r="758" spans="1:2" x14ac:dyDescent="0.25">
      <c r="A758" t="s">
        <v>984</v>
      </c>
      <c r="B758" s="13">
        <v>254</v>
      </c>
    </row>
    <row r="759" spans="1:2" x14ac:dyDescent="0.25">
      <c r="A759" t="s">
        <v>1009</v>
      </c>
      <c r="B759" s="13">
        <v>4656</v>
      </c>
    </row>
    <row r="760" spans="1:2" x14ac:dyDescent="0.25">
      <c r="A760" t="s">
        <v>1394</v>
      </c>
      <c r="B760" s="13">
        <v>1350</v>
      </c>
    </row>
    <row r="761" spans="1:2" x14ac:dyDescent="0.25">
      <c r="A761" t="s">
        <v>1595</v>
      </c>
      <c r="B761" s="13">
        <v>3881</v>
      </c>
    </row>
    <row r="762" spans="1:2" x14ac:dyDescent="0.25">
      <c r="A762" t="s">
        <v>462</v>
      </c>
      <c r="B762" s="13">
        <v>5468</v>
      </c>
    </row>
    <row r="763" spans="1:2" x14ac:dyDescent="0.25">
      <c r="A763" t="s">
        <v>712</v>
      </c>
      <c r="B763" s="13">
        <v>155</v>
      </c>
    </row>
    <row r="764" spans="1:2" x14ac:dyDescent="0.25">
      <c r="A764" t="s">
        <v>1373</v>
      </c>
      <c r="B764" s="13">
        <v>1080</v>
      </c>
    </row>
    <row r="765" spans="1:2" x14ac:dyDescent="0.25">
      <c r="A765" t="s">
        <v>1407</v>
      </c>
      <c r="B765" s="13">
        <v>1669</v>
      </c>
    </row>
    <row r="766" spans="1:2" x14ac:dyDescent="0.25">
      <c r="A766" t="s">
        <v>1494</v>
      </c>
      <c r="B766" s="13">
        <v>1459</v>
      </c>
    </row>
    <row r="767" spans="1:2" x14ac:dyDescent="0.25">
      <c r="A767" t="s">
        <v>1504</v>
      </c>
      <c r="B767" s="13">
        <v>7601</v>
      </c>
    </row>
    <row r="768" spans="1:2" x14ac:dyDescent="0.25">
      <c r="A768" t="s">
        <v>1782</v>
      </c>
      <c r="B768" s="13">
        <v>6777</v>
      </c>
    </row>
    <row r="769" spans="1:2" x14ac:dyDescent="0.25">
      <c r="A769" t="s">
        <v>384</v>
      </c>
      <c r="B769" s="13">
        <v>557</v>
      </c>
    </row>
    <row r="770" spans="1:2" x14ac:dyDescent="0.25">
      <c r="A770" t="s">
        <v>397</v>
      </c>
      <c r="B770" s="13">
        <v>2702</v>
      </c>
    </row>
    <row r="771" spans="1:2" x14ac:dyDescent="0.25">
      <c r="A771" t="s">
        <v>1170</v>
      </c>
      <c r="B771" s="13">
        <v>7452</v>
      </c>
    </row>
    <row r="772" spans="1:2" x14ac:dyDescent="0.25">
      <c r="A772" t="s">
        <v>1609</v>
      </c>
      <c r="B772" s="13">
        <v>3081</v>
      </c>
    </row>
    <row r="773" spans="1:2" x14ac:dyDescent="0.25">
      <c r="A773" t="s">
        <v>1852</v>
      </c>
      <c r="B773" s="13">
        <v>2810</v>
      </c>
    </row>
    <row r="774" spans="1:2" x14ac:dyDescent="0.25">
      <c r="A774" t="s">
        <v>368</v>
      </c>
      <c r="B774" s="13">
        <v>336</v>
      </c>
    </row>
    <row r="775" spans="1:2" x14ac:dyDescent="0.25">
      <c r="A775" t="s">
        <v>483</v>
      </c>
      <c r="B775" s="13">
        <v>1561</v>
      </c>
    </row>
    <row r="776" spans="1:2" x14ac:dyDescent="0.25">
      <c r="A776" t="s">
        <v>723</v>
      </c>
      <c r="B776" s="13">
        <v>4779</v>
      </c>
    </row>
    <row r="777" spans="1:2" x14ac:dyDescent="0.25">
      <c r="A777" t="s">
        <v>1029</v>
      </c>
      <c r="B777" s="13">
        <v>1805</v>
      </c>
    </row>
    <row r="778" spans="1:2" x14ac:dyDescent="0.25">
      <c r="A778" t="s">
        <v>1196</v>
      </c>
      <c r="B778" s="13">
        <v>3896</v>
      </c>
    </row>
    <row r="779" spans="1:2" x14ac:dyDescent="0.25">
      <c r="A779" t="s">
        <v>1529</v>
      </c>
      <c r="B779" s="13">
        <v>940</v>
      </c>
    </row>
    <row r="780" spans="1:2" x14ac:dyDescent="0.25">
      <c r="A780" t="s">
        <v>1537</v>
      </c>
      <c r="B780" s="13">
        <v>3813</v>
      </c>
    </row>
    <row r="781" spans="1:2" x14ac:dyDescent="0.25">
      <c r="A781" t="s">
        <v>564</v>
      </c>
      <c r="B781" s="13">
        <v>790</v>
      </c>
    </row>
    <row r="782" spans="1:2" x14ac:dyDescent="0.25">
      <c r="A782" t="s">
        <v>740</v>
      </c>
      <c r="B782" s="13">
        <v>1467</v>
      </c>
    </row>
    <row r="783" spans="1:2" x14ac:dyDescent="0.25">
      <c r="A783" t="s">
        <v>748</v>
      </c>
      <c r="B783" s="13">
        <v>1451</v>
      </c>
    </row>
    <row r="784" spans="1:2" x14ac:dyDescent="0.25">
      <c r="A784" t="s">
        <v>877</v>
      </c>
      <c r="B784" s="13">
        <v>5433</v>
      </c>
    </row>
    <row r="785" spans="1:2" x14ac:dyDescent="0.25">
      <c r="A785" t="s">
        <v>1523</v>
      </c>
      <c r="B785" s="13">
        <v>4813</v>
      </c>
    </row>
    <row r="786" spans="1:2" x14ac:dyDescent="0.25">
      <c r="A786" t="s">
        <v>1642</v>
      </c>
      <c r="B786" s="13">
        <v>2148</v>
      </c>
    </row>
    <row r="787" spans="1:2" x14ac:dyDescent="0.25">
      <c r="A787" t="s">
        <v>571</v>
      </c>
      <c r="B787" s="13">
        <v>2026</v>
      </c>
    </row>
    <row r="788" spans="1:2" x14ac:dyDescent="0.25">
      <c r="A788" t="s">
        <v>1043</v>
      </c>
      <c r="B788" s="13">
        <v>-3532</v>
      </c>
    </row>
    <row r="789" spans="1:2" x14ac:dyDescent="0.25">
      <c r="A789" t="s">
        <v>1206</v>
      </c>
      <c r="B789" s="13">
        <v>2805</v>
      </c>
    </row>
    <row r="790" spans="1:2" x14ac:dyDescent="0.25">
      <c r="A790" t="s">
        <v>1552</v>
      </c>
      <c r="B790" s="13">
        <v>6266</v>
      </c>
    </row>
    <row r="791" spans="1:2" x14ac:dyDescent="0.25">
      <c r="A791" t="s">
        <v>1620</v>
      </c>
      <c r="B791" s="13">
        <v>1664</v>
      </c>
    </row>
    <row r="792" spans="1:2" x14ac:dyDescent="0.25">
      <c r="A792" t="s">
        <v>1651</v>
      </c>
      <c r="B792" s="13">
        <v>874</v>
      </c>
    </row>
    <row r="793" spans="1:2" x14ac:dyDescent="0.25">
      <c r="A793" t="s">
        <v>1665</v>
      </c>
      <c r="B793" s="13">
        <v>6370</v>
      </c>
    </row>
    <row r="794" spans="1:2" x14ac:dyDescent="0.25">
      <c r="A794" t="s">
        <v>1675</v>
      </c>
      <c r="B794" s="13">
        <v>1657</v>
      </c>
    </row>
    <row r="795" spans="1:2" x14ac:dyDescent="0.25">
      <c r="A795" t="s">
        <v>1801</v>
      </c>
      <c r="B795" s="13">
        <v>4852</v>
      </c>
    </row>
    <row r="796" spans="1:2" x14ac:dyDescent="0.25">
      <c r="A796" t="s">
        <v>1857</v>
      </c>
      <c r="B796" s="13">
        <v>6140</v>
      </c>
    </row>
    <row r="797" spans="1:2" x14ac:dyDescent="0.25">
      <c r="A797" t="s">
        <v>1865</v>
      </c>
      <c r="B797" s="13">
        <v>2486</v>
      </c>
    </row>
    <row r="798" spans="1:2" x14ac:dyDescent="0.25">
      <c r="A798" t="s">
        <v>1873</v>
      </c>
      <c r="B798" s="13">
        <v>6641</v>
      </c>
    </row>
    <row r="799" spans="1:2" x14ac:dyDescent="0.25">
      <c r="A799" t="s">
        <v>610</v>
      </c>
      <c r="B799" s="13">
        <v>5330</v>
      </c>
    </row>
    <row r="800" spans="1:2" x14ac:dyDescent="0.25">
      <c r="A800" t="s">
        <v>889</v>
      </c>
      <c r="B800" s="13">
        <v>2083</v>
      </c>
    </row>
    <row r="801" spans="1:2" x14ac:dyDescent="0.25">
      <c r="A801" t="s">
        <v>1254</v>
      </c>
      <c r="B801" s="13">
        <v>830</v>
      </c>
    </row>
    <row r="802" spans="1:2" x14ac:dyDescent="0.25">
      <c r="A802" t="s">
        <v>1658</v>
      </c>
      <c r="B802" s="13">
        <v>1984</v>
      </c>
    </row>
    <row r="803" spans="1:2" x14ac:dyDescent="0.25">
      <c r="A803" t="s">
        <v>1807</v>
      </c>
      <c r="B803" s="13">
        <v>4960</v>
      </c>
    </row>
    <row r="804" spans="1:2" x14ac:dyDescent="0.25">
      <c r="A804" t="s">
        <v>1815</v>
      </c>
      <c r="B804" s="13">
        <v>1034</v>
      </c>
    </row>
    <row r="805" spans="1:2" x14ac:dyDescent="0.25">
      <c r="A805" t="s">
        <v>1876</v>
      </c>
      <c r="B805" s="13">
        <v>174</v>
      </c>
    </row>
    <row r="806" spans="1:2" x14ac:dyDescent="0.25">
      <c r="A806" t="s">
        <v>1891</v>
      </c>
      <c r="B806" s="13">
        <v>3824</v>
      </c>
    </row>
    <row r="807" spans="1:2" x14ac:dyDescent="0.25">
      <c r="A807" t="s">
        <v>930</v>
      </c>
      <c r="B807" s="13">
        <v>4637</v>
      </c>
    </row>
    <row r="808" spans="1:2" x14ac:dyDescent="0.25">
      <c r="A808" t="s">
        <v>1416</v>
      </c>
      <c r="B808" s="13">
        <v>4084</v>
      </c>
    </row>
    <row r="809" spans="1:2" x14ac:dyDescent="0.25">
      <c r="A809" t="s">
        <v>755</v>
      </c>
      <c r="B809" s="13">
        <v>3729</v>
      </c>
    </row>
    <row r="810" spans="1:2" x14ac:dyDescent="0.25">
      <c r="A810" t="s">
        <v>915</v>
      </c>
      <c r="B810" s="13">
        <v>440</v>
      </c>
    </row>
    <row r="811" spans="1:2" x14ac:dyDescent="0.25">
      <c r="A811" t="s">
        <v>1447</v>
      </c>
      <c r="B811" s="13">
        <v>1126</v>
      </c>
    </row>
    <row r="812" spans="1:2" x14ac:dyDescent="0.25">
      <c r="A812" t="s">
        <v>1684</v>
      </c>
      <c r="B812" s="13">
        <v>5793</v>
      </c>
    </row>
    <row r="813" spans="1:2" x14ac:dyDescent="0.25">
      <c r="A813" t="s">
        <v>1685</v>
      </c>
      <c r="B813" s="13">
        <v>5240</v>
      </c>
    </row>
    <row r="814" spans="1:2" x14ac:dyDescent="0.25">
      <c r="A814" t="s">
        <v>1705</v>
      </c>
      <c r="B814" s="13">
        <v>91</v>
      </c>
    </row>
    <row r="815" spans="1:2" x14ac:dyDescent="0.25">
      <c r="A815" t="s">
        <v>1899</v>
      </c>
      <c r="B815" s="13">
        <v>763</v>
      </c>
    </row>
    <row r="816" spans="1:2" x14ac:dyDescent="0.25">
      <c r="A816" t="s">
        <v>422</v>
      </c>
      <c r="B816" s="13">
        <v>5638</v>
      </c>
    </row>
    <row r="817" spans="1:2" x14ac:dyDescent="0.25">
      <c r="A817" t="s">
        <v>771</v>
      </c>
      <c r="B817" s="13">
        <v>1808</v>
      </c>
    </row>
    <row r="818" spans="1:2" x14ac:dyDescent="0.25">
      <c r="A818" t="s">
        <v>1057</v>
      </c>
      <c r="B818" s="13">
        <v>1698</v>
      </c>
    </row>
    <row r="819" spans="1:2" x14ac:dyDescent="0.25">
      <c r="A819" t="s">
        <v>1092</v>
      </c>
      <c r="B819" s="13">
        <v>2361</v>
      </c>
    </row>
    <row r="820" spans="1:2" x14ac:dyDescent="0.25">
      <c r="A820" t="s">
        <v>1225</v>
      </c>
      <c r="B820" s="13">
        <v>3748</v>
      </c>
    </row>
    <row r="821" spans="1:2" x14ac:dyDescent="0.25">
      <c r="A821" t="s">
        <v>1237</v>
      </c>
      <c r="B821" s="13">
        <v>958</v>
      </c>
    </row>
    <row r="822" spans="1:2" x14ac:dyDescent="0.25">
      <c r="A822" t="s">
        <v>1281</v>
      </c>
      <c r="B822" s="13">
        <v>1954</v>
      </c>
    </row>
    <row r="823" spans="1:2" x14ac:dyDescent="0.25">
      <c r="A823" t="s">
        <v>1828</v>
      </c>
      <c r="B823" s="13">
        <v>1289</v>
      </c>
    </row>
    <row r="824" spans="1:2" x14ac:dyDescent="0.25">
      <c r="A824" t="s">
        <v>426</v>
      </c>
      <c r="B824" s="13">
        <v>3084</v>
      </c>
    </row>
    <row r="825" spans="1:2" x14ac:dyDescent="0.25">
      <c r="A825" t="s">
        <v>559</v>
      </c>
      <c r="B825" s="13">
        <v>3792</v>
      </c>
    </row>
    <row r="826" spans="1:2" x14ac:dyDescent="0.25">
      <c r="A826" t="s">
        <v>779</v>
      </c>
      <c r="B826" s="13">
        <v>3924</v>
      </c>
    </row>
    <row r="827" spans="1:2" x14ac:dyDescent="0.25">
      <c r="A827" t="s">
        <v>792</v>
      </c>
      <c r="B827" s="13">
        <v>3259</v>
      </c>
    </row>
    <row r="828" spans="1:2" x14ac:dyDescent="0.25">
      <c r="A828" t="s">
        <v>971</v>
      </c>
      <c r="B828" s="13">
        <v>2740</v>
      </c>
    </row>
    <row r="829" spans="1:2" x14ac:dyDescent="0.25">
      <c r="A829" t="s">
        <v>1067</v>
      </c>
      <c r="B829" s="13">
        <v>7487</v>
      </c>
    </row>
    <row r="830" spans="1:2" x14ac:dyDescent="0.25">
      <c r="A830" t="s">
        <v>1305</v>
      </c>
      <c r="B830" s="13">
        <v>4489</v>
      </c>
    </row>
    <row r="831" spans="1:2" x14ac:dyDescent="0.25">
      <c r="A831" t="s">
        <v>1424</v>
      </c>
      <c r="B831" s="13">
        <v>3983</v>
      </c>
    </row>
    <row r="832" spans="1:2" x14ac:dyDescent="0.25">
      <c r="A832" t="s">
        <v>1434</v>
      </c>
      <c r="B832" s="13">
        <v>4838</v>
      </c>
    </row>
    <row r="833" spans="1:2" x14ac:dyDescent="0.25">
      <c r="A833" t="s">
        <v>1832</v>
      </c>
      <c r="B833" s="13">
        <v>2744</v>
      </c>
    </row>
    <row r="834" spans="1:2" x14ac:dyDescent="0.25">
      <c r="A834" t="s">
        <v>520</v>
      </c>
      <c r="B834" s="13">
        <v>1585</v>
      </c>
    </row>
    <row r="835" spans="1:2" x14ac:dyDescent="0.25">
      <c r="A835" t="s">
        <v>592</v>
      </c>
      <c r="B835" s="13">
        <v>123</v>
      </c>
    </row>
    <row r="836" spans="1:2" x14ac:dyDescent="0.25">
      <c r="A836" t="s">
        <v>1292</v>
      </c>
      <c r="B836" s="13">
        <v>775</v>
      </c>
    </row>
    <row r="837" spans="1:2" x14ac:dyDescent="0.25">
      <c r="A837" t="s">
        <v>1459</v>
      </c>
      <c r="B837" s="13">
        <v>3447</v>
      </c>
    </row>
    <row r="838" spans="1:2" x14ac:dyDescent="0.25">
      <c r="A838" t="s">
        <v>430</v>
      </c>
      <c r="B838" s="13">
        <v>1173</v>
      </c>
    </row>
    <row r="839" spans="1:2" x14ac:dyDescent="0.25">
      <c r="A839" t="s">
        <v>449</v>
      </c>
      <c r="B839" s="13">
        <v>4505</v>
      </c>
    </row>
    <row r="840" spans="1:2" x14ac:dyDescent="0.25">
      <c r="A840" t="s">
        <v>527</v>
      </c>
      <c r="B840" s="13">
        <v>2857</v>
      </c>
    </row>
    <row r="841" spans="1:2" x14ac:dyDescent="0.25">
      <c r="A841" t="s">
        <v>534</v>
      </c>
      <c r="B841" s="13">
        <v>422</v>
      </c>
    </row>
    <row r="842" spans="1:2" x14ac:dyDescent="0.25">
      <c r="A842" t="s">
        <v>618</v>
      </c>
      <c r="B842" s="13">
        <v>4652</v>
      </c>
    </row>
    <row r="843" spans="1:2" x14ac:dyDescent="0.25">
      <c r="A843" t="s">
        <v>632</v>
      </c>
      <c r="B843" s="13">
        <v>2963</v>
      </c>
    </row>
    <row r="844" spans="1:2" x14ac:dyDescent="0.25">
      <c r="A844" t="s">
        <v>650</v>
      </c>
      <c r="B844" s="13">
        <v>1393</v>
      </c>
    </row>
    <row r="845" spans="1:2" x14ac:dyDescent="0.25">
      <c r="A845" t="s">
        <v>824</v>
      </c>
      <c r="B845" s="13">
        <v>2580</v>
      </c>
    </row>
    <row r="846" spans="1:2" x14ac:dyDescent="0.25">
      <c r="A846" t="s">
        <v>943</v>
      </c>
      <c r="B846" s="13">
        <v>4180</v>
      </c>
    </row>
    <row r="847" spans="1:2" x14ac:dyDescent="0.25">
      <c r="A847" t="s">
        <v>1078</v>
      </c>
      <c r="B847" s="13">
        <v>6471</v>
      </c>
    </row>
    <row r="848" spans="1:2" x14ac:dyDescent="0.25">
      <c r="A848" t="s">
        <v>1469</v>
      </c>
      <c r="B848" s="13">
        <v>8418</v>
      </c>
    </row>
    <row r="849" spans="1:2" x14ac:dyDescent="0.25">
      <c r="A849" t="s">
        <v>1719</v>
      </c>
      <c r="B849" s="13">
        <v>3013</v>
      </c>
    </row>
    <row r="850" spans="1:2" x14ac:dyDescent="0.25">
      <c r="A850" t="s">
        <v>956</v>
      </c>
      <c r="B850" s="13">
        <v>2318</v>
      </c>
    </row>
    <row r="851" spans="1:2" x14ac:dyDescent="0.25">
      <c r="A851" t="s">
        <v>1324</v>
      </c>
      <c r="B851" s="13">
        <v>2073</v>
      </c>
    </row>
    <row r="852" spans="1:2" x14ac:dyDescent="0.25">
      <c r="A852" t="s">
        <v>1335</v>
      </c>
      <c r="B852" s="13">
        <v>1120</v>
      </c>
    </row>
    <row r="853" spans="1:2" x14ac:dyDescent="0.25">
      <c r="A853" t="s">
        <v>1918</v>
      </c>
      <c r="B853" s="13">
        <v>9942</v>
      </c>
    </row>
    <row r="854" spans="1:2" x14ac:dyDescent="0.25">
      <c r="A854" t="s">
        <v>639</v>
      </c>
      <c r="B854" s="13">
        <v>552</v>
      </c>
    </row>
    <row r="855" spans="1:2" x14ac:dyDescent="0.25">
      <c r="A855" t="s">
        <v>667</v>
      </c>
      <c r="B855" s="13">
        <v>818</v>
      </c>
    </row>
    <row r="856" spans="1:2" x14ac:dyDescent="0.25">
      <c r="A856" t="s">
        <v>674</v>
      </c>
      <c r="B856" s="13">
        <v>2926</v>
      </c>
    </row>
    <row r="857" spans="1:2" x14ac:dyDescent="0.25">
      <c r="A857" t="s">
        <v>705</v>
      </c>
      <c r="B857" s="13">
        <v>1251</v>
      </c>
    </row>
    <row r="858" spans="1:2" x14ac:dyDescent="0.25">
      <c r="A858" t="s">
        <v>859</v>
      </c>
      <c r="B858" s="13">
        <v>2724</v>
      </c>
    </row>
    <row r="859" spans="1:2" x14ac:dyDescent="0.25">
      <c r="A859" t="s">
        <v>1345</v>
      </c>
      <c r="B859" s="13">
        <v>851</v>
      </c>
    </row>
    <row r="860" spans="1:2" x14ac:dyDescent="0.25">
      <c r="A860" t="s">
        <v>438</v>
      </c>
      <c r="B860" s="13">
        <v>2607</v>
      </c>
    </row>
    <row r="861" spans="1:2" x14ac:dyDescent="0.25">
      <c r="A861" t="s">
        <v>1736</v>
      </c>
      <c r="B861" s="13">
        <v>1593</v>
      </c>
    </row>
    <row r="862" spans="1:2" x14ac:dyDescent="0.25">
      <c r="A862" t="s">
        <v>1755</v>
      </c>
      <c r="B862" s="13">
        <v>3706</v>
      </c>
    </row>
    <row r="863" spans="1:2" x14ac:dyDescent="0.25">
      <c r="A863" t="s">
        <v>1763</v>
      </c>
      <c r="B863" s="13">
        <v>2442</v>
      </c>
    </row>
    <row r="864" spans="1:2" x14ac:dyDescent="0.25">
      <c r="A864" t="s">
        <v>1773</v>
      </c>
      <c r="B864" s="13">
        <v>6868</v>
      </c>
    </row>
    <row r="865" spans="1:2" x14ac:dyDescent="0.25">
      <c r="A865" t="s">
        <v>1844</v>
      </c>
      <c r="B865" s="13">
        <v>299</v>
      </c>
    </row>
    <row r="866" spans="1:2" x14ac:dyDescent="0.25">
      <c r="A866" t="s">
        <v>455</v>
      </c>
      <c r="B866" s="13">
        <v>504</v>
      </c>
    </row>
    <row r="867" spans="1:2" x14ac:dyDescent="0.25">
      <c r="A867" t="s">
        <v>475</v>
      </c>
      <c r="B867" s="13">
        <v>5766</v>
      </c>
    </row>
    <row r="868" spans="1:2" x14ac:dyDescent="0.25">
      <c r="A868" t="s">
        <v>544</v>
      </c>
      <c r="B868" s="13">
        <v>1674</v>
      </c>
    </row>
    <row r="869" spans="1:2" x14ac:dyDescent="0.25">
      <c r="A869" t="s">
        <v>840</v>
      </c>
      <c r="B869" s="13">
        <v>4950</v>
      </c>
    </row>
    <row r="870" spans="1:2" x14ac:dyDescent="0.25">
      <c r="A870" t="s">
        <v>851</v>
      </c>
      <c r="B870" s="13">
        <v>1747</v>
      </c>
    </row>
    <row r="871" spans="1:2" x14ac:dyDescent="0.25">
      <c r="A871" t="s">
        <v>999</v>
      </c>
      <c r="B871" s="13">
        <v>3044</v>
      </c>
    </row>
    <row r="872" spans="1:2" x14ac:dyDescent="0.25">
      <c r="A872" t="s">
        <v>1126</v>
      </c>
      <c r="B872" s="13">
        <v>2493</v>
      </c>
    </row>
    <row r="873" spans="1:2" x14ac:dyDescent="0.25">
      <c r="A873" t="s">
        <v>1132</v>
      </c>
      <c r="B873" s="13">
        <v>1536</v>
      </c>
    </row>
    <row r="874" spans="1:2" x14ac:dyDescent="0.25">
      <c r="A874" t="s">
        <v>1384</v>
      </c>
      <c r="B874" s="13">
        <v>909</v>
      </c>
    </row>
    <row r="875" spans="1:2" x14ac:dyDescent="0.25">
      <c r="A875" t="s">
        <v>550</v>
      </c>
      <c r="B875" s="13">
        <v>582</v>
      </c>
    </row>
    <row r="876" spans="1:2" x14ac:dyDescent="0.25">
      <c r="A876" t="s">
        <v>985</v>
      </c>
      <c r="B876" s="13">
        <v>339</v>
      </c>
    </row>
    <row r="877" spans="1:2" x14ac:dyDescent="0.25">
      <c r="A877" t="s">
        <v>1010</v>
      </c>
      <c r="B877" s="13">
        <v>6316</v>
      </c>
    </row>
    <row r="878" spans="1:2" x14ac:dyDescent="0.25">
      <c r="A878" t="s">
        <v>1146</v>
      </c>
      <c r="B878" s="13">
        <v>2438</v>
      </c>
    </row>
    <row r="879" spans="1:2" x14ac:dyDescent="0.25">
      <c r="A879" t="s">
        <v>1395</v>
      </c>
      <c r="B879" s="13">
        <v>2893</v>
      </c>
    </row>
    <row r="880" spans="1:2" x14ac:dyDescent="0.25">
      <c r="A880" t="s">
        <v>1596</v>
      </c>
      <c r="B880" s="13">
        <v>3516</v>
      </c>
    </row>
    <row r="881" spans="1:2" x14ac:dyDescent="0.25">
      <c r="A881" t="s">
        <v>1941</v>
      </c>
      <c r="B881" s="13">
        <v>1053</v>
      </c>
    </row>
    <row r="882" spans="1:2" x14ac:dyDescent="0.25">
      <c r="A882" t="s">
        <v>463</v>
      </c>
      <c r="B882" s="13">
        <v>1786</v>
      </c>
    </row>
    <row r="883" spans="1:2" x14ac:dyDescent="0.25">
      <c r="A883" t="s">
        <v>1374</v>
      </c>
      <c r="B883" s="13">
        <v>1221</v>
      </c>
    </row>
    <row r="884" spans="1:2" x14ac:dyDescent="0.25">
      <c r="A884" t="s">
        <v>1495</v>
      </c>
      <c r="B884" s="13">
        <v>1122</v>
      </c>
    </row>
    <row r="885" spans="1:2" x14ac:dyDescent="0.25">
      <c r="A885" t="s">
        <v>1505</v>
      </c>
      <c r="B885" s="13">
        <v>6836</v>
      </c>
    </row>
    <row r="886" spans="1:2" x14ac:dyDescent="0.25">
      <c r="A886" t="s">
        <v>1783</v>
      </c>
      <c r="B886" s="13">
        <v>5373</v>
      </c>
    </row>
    <row r="887" spans="1:2" x14ac:dyDescent="0.25">
      <c r="A887" t="s">
        <v>575</v>
      </c>
      <c r="B887" s="13">
        <v>22186</v>
      </c>
    </row>
    <row r="888" spans="1:2" x14ac:dyDescent="0.25">
      <c r="A888" t="s">
        <v>1171</v>
      </c>
      <c r="B888" s="13">
        <v>7698</v>
      </c>
    </row>
    <row r="889" spans="1:2" x14ac:dyDescent="0.25">
      <c r="A889" t="s">
        <v>1408</v>
      </c>
      <c r="B889" s="13">
        <v>1920</v>
      </c>
    </row>
    <row r="890" spans="1:2" x14ac:dyDescent="0.25">
      <c r="A890" t="s">
        <v>1610</v>
      </c>
      <c r="B890" s="13">
        <v>2815</v>
      </c>
    </row>
    <row r="891" spans="1:2" x14ac:dyDescent="0.25">
      <c r="A891" t="s">
        <v>1853</v>
      </c>
      <c r="B891" s="13">
        <v>3158</v>
      </c>
    </row>
    <row r="892" spans="1:2" x14ac:dyDescent="0.25">
      <c r="A892" t="s">
        <v>484</v>
      </c>
      <c r="B892" s="13">
        <v>1611</v>
      </c>
    </row>
    <row r="893" spans="1:2" x14ac:dyDescent="0.25">
      <c r="A893" t="s">
        <v>565</v>
      </c>
      <c r="B893" s="13">
        <v>633</v>
      </c>
    </row>
    <row r="894" spans="1:2" x14ac:dyDescent="0.25">
      <c r="A894" t="s">
        <v>724</v>
      </c>
      <c r="B894" s="13">
        <v>3985</v>
      </c>
    </row>
    <row r="895" spans="1:2" x14ac:dyDescent="0.25">
      <c r="A895" t="s">
        <v>728</v>
      </c>
      <c r="B895" s="13">
        <v>2110</v>
      </c>
    </row>
    <row r="896" spans="1:2" x14ac:dyDescent="0.25">
      <c r="A896" t="s">
        <v>741</v>
      </c>
      <c r="B896" s="13">
        <v>691</v>
      </c>
    </row>
    <row r="897" spans="1:2" x14ac:dyDescent="0.25">
      <c r="A897" t="s">
        <v>749</v>
      </c>
      <c r="B897" s="13">
        <v>432</v>
      </c>
    </row>
    <row r="898" spans="1:2" x14ac:dyDescent="0.25">
      <c r="A898" t="s">
        <v>878</v>
      </c>
      <c r="B898" s="13">
        <v>5290</v>
      </c>
    </row>
    <row r="899" spans="1:2" x14ac:dyDescent="0.25">
      <c r="A899" t="s">
        <v>1030</v>
      </c>
      <c r="B899" s="13">
        <v>1864</v>
      </c>
    </row>
    <row r="900" spans="1:2" x14ac:dyDescent="0.25">
      <c r="A900" t="s">
        <v>1183</v>
      </c>
      <c r="B900" s="13">
        <v>235</v>
      </c>
    </row>
    <row r="901" spans="1:2" x14ac:dyDescent="0.25">
      <c r="A901" t="s">
        <v>1184</v>
      </c>
      <c r="B901" s="13">
        <v>663</v>
      </c>
    </row>
    <row r="902" spans="1:2" x14ac:dyDescent="0.25">
      <c r="A902" t="s">
        <v>1197</v>
      </c>
      <c r="B902" s="13">
        <v>3064</v>
      </c>
    </row>
    <row r="903" spans="1:2" x14ac:dyDescent="0.25">
      <c r="A903" t="s">
        <v>1207</v>
      </c>
      <c r="B903" s="13">
        <v>3586</v>
      </c>
    </row>
    <row r="904" spans="1:2" x14ac:dyDescent="0.25">
      <c r="A904" t="s">
        <v>1530</v>
      </c>
      <c r="B904" s="13">
        <v>315</v>
      </c>
    </row>
    <row r="905" spans="1:2" x14ac:dyDescent="0.25">
      <c r="A905" t="s">
        <v>1538</v>
      </c>
      <c r="B905" s="13">
        <v>3634</v>
      </c>
    </row>
    <row r="906" spans="1:2" x14ac:dyDescent="0.25">
      <c r="A906" t="s">
        <v>1621</v>
      </c>
      <c r="B906" s="13">
        <v>3638</v>
      </c>
    </row>
    <row r="907" spans="1:2" x14ac:dyDescent="0.25">
      <c r="A907" t="s">
        <v>1643</v>
      </c>
      <c r="B907" s="13">
        <v>2023</v>
      </c>
    </row>
    <row r="908" spans="1:2" x14ac:dyDescent="0.25">
      <c r="A908" t="s">
        <v>1802</v>
      </c>
      <c r="B908" s="13">
        <v>5390</v>
      </c>
    </row>
    <row r="909" spans="1:2" x14ac:dyDescent="0.25">
      <c r="A909" t="s">
        <v>1934</v>
      </c>
      <c r="B909" s="13">
        <v>577</v>
      </c>
    </row>
    <row r="910" spans="1:2" x14ac:dyDescent="0.25">
      <c r="A910" t="s">
        <v>493</v>
      </c>
      <c r="B910" s="13">
        <v>13</v>
      </c>
    </row>
    <row r="911" spans="1:2" x14ac:dyDescent="0.25">
      <c r="A911" t="s">
        <v>1652</v>
      </c>
      <c r="B911" s="13">
        <v>519</v>
      </c>
    </row>
    <row r="912" spans="1:2" x14ac:dyDescent="0.25">
      <c r="A912" t="s">
        <v>1866</v>
      </c>
      <c r="B912" s="13">
        <v>3800</v>
      </c>
    </row>
    <row r="913" spans="1:2" x14ac:dyDescent="0.25">
      <c r="A913" t="s">
        <v>611</v>
      </c>
      <c r="B913" s="13">
        <v>5168</v>
      </c>
    </row>
    <row r="914" spans="1:2" x14ac:dyDescent="0.25">
      <c r="A914" t="s">
        <v>1553</v>
      </c>
      <c r="B914" s="13">
        <v>5987</v>
      </c>
    </row>
    <row r="915" spans="1:2" x14ac:dyDescent="0.25">
      <c r="A915" t="s">
        <v>1659</v>
      </c>
      <c r="B915" s="13">
        <v>1414</v>
      </c>
    </row>
    <row r="916" spans="1:2" x14ac:dyDescent="0.25">
      <c r="A916" t="s">
        <v>1666</v>
      </c>
      <c r="B916" s="13">
        <v>6749</v>
      </c>
    </row>
    <row r="917" spans="1:2" x14ac:dyDescent="0.25">
      <c r="A917" t="s">
        <v>1676</v>
      </c>
      <c r="B917" s="13">
        <v>1613</v>
      </c>
    </row>
    <row r="918" spans="1:2" x14ac:dyDescent="0.25">
      <c r="A918" t="s">
        <v>1877</v>
      </c>
      <c r="B918" s="13">
        <v>704</v>
      </c>
    </row>
    <row r="919" spans="1:2" x14ac:dyDescent="0.25">
      <c r="A919" t="s">
        <v>1892</v>
      </c>
      <c r="B919" s="13">
        <v>3706</v>
      </c>
    </row>
    <row r="920" spans="1:2" x14ac:dyDescent="0.25">
      <c r="A920" t="s">
        <v>1808</v>
      </c>
      <c r="B920" s="13">
        <v>4523</v>
      </c>
    </row>
    <row r="921" spans="1:2" x14ac:dyDescent="0.25">
      <c r="A921" t="s">
        <v>1816</v>
      </c>
      <c r="B921" s="13">
        <v>1303</v>
      </c>
    </row>
    <row r="922" spans="1:2" x14ac:dyDescent="0.25">
      <c r="A922" t="s">
        <v>756</v>
      </c>
      <c r="B922" s="13">
        <v>4239</v>
      </c>
    </row>
    <row r="923" spans="1:2" x14ac:dyDescent="0.25">
      <c r="A923" t="s">
        <v>762</v>
      </c>
      <c r="B923" s="13">
        <v>2572</v>
      </c>
    </row>
    <row r="924" spans="1:2" x14ac:dyDescent="0.25">
      <c r="A924" t="s">
        <v>772</v>
      </c>
      <c r="B924" s="13">
        <v>967</v>
      </c>
    </row>
    <row r="925" spans="1:2" x14ac:dyDescent="0.25">
      <c r="A925" t="s">
        <v>916</v>
      </c>
      <c r="B925" s="13">
        <v>113</v>
      </c>
    </row>
    <row r="926" spans="1:2" x14ac:dyDescent="0.25">
      <c r="A926" t="s">
        <v>931</v>
      </c>
      <c r="B926" s="13">
        <v>4644</v>
      </c>
    </row>
    <row r="927" spans="1:2" x14ac:dyDescent="0.25">
      <c r="A927" t="s">
        <v>1093</v>
      </c>
      <c r="B927" s="13">
        <v>1801</v>
      </c>
    </row>
    <row r="928" spans="1:2" x14ac:dyDescent="0.25">
      <c r="A928" t="s">
        <v>1226</v>
      </c>
      <c r="B928" s="13">
        <v>3232</v>
      </c>
    </row>
    <row r="929" spans="1:2" x14ac:dyDescent="0.25">
      <c r="A929" t="s">
        <v>1238</v>
      </c>
      <c r="B929" s="13">
        <v>1497</v>
      </c>
    </row>
    <row r="930" spans="1:2" x14ac:dyDescent="0.25">
      <c r="A930" t="s">
        <v>1282</v>
      </c>
      <c r="B930" s="13">
        <v>1620</v>
      </c>
    </row>
    <row r="931" spans="1:2" x14ac:dyDescent="0.25">
      <c r="A931" t="s">
        <v>1417</v>
      </c>
      <c r="B931" s="13">
        <v>3989</v>
      </c>
    </row>
    <row r="932" spans="1:2" x14ac:dyDescent="0.25">
      <c r="A932" t="s">
        <v>1448</v>
      </c>
      <c r="B932" s="13">
        <v>779</v>
      </c>
    </row>
    <row r="933" spans="1:2" x14ac:dyDescent="0.25">
      <c r="A933" t="s">
        <v>1728</v>
      </c>
      <c r="B933" s="13">
        <v>3267</v>
      </c>
    </row>
    <row r="934" spans="1:2" x14ac:dyDescent="0.25">
      <c r="A934" t="s">
        <v>1829</v>
      </c>
      <c r="B934" s="13">
        <v>393</v>
      </c>
    </row>
    <row r="935" spans="1:2" x14ac:dyDescent="0.25">
      <c r="A935" t="s">
        <v>1900</v>
      </c>
      <c r="B935" s="13">
        <v>771</v>
      </c>
    </row>
    <row r="936" spans="1:2" x14ac:dyDescent="0.25">
      <c r="A936" t="s">
        <v>1953</v>
      </c>
      <c r="B936" s="13">
        <v>3226</v>
      </c>
    </row>
    <row r="937" spans="1:2" x14ac:dyDescent="0.25">
      <c r="A937" t="s">
        <v>560</v>
      </c>
      <c r="B937" s="13">
        <v>1752</v>
      </c>
    </row>
    <row r="938" spans="1:2" x14ac:dyDescent="0.25">
      <c r="A938" t="s">
        <v>780</v>
      </c>
      <c r="B938" s="13">
        <v>2589</v>
      </c>
    </row>
    <row r="939" spans="1:2" x14ac:dyDescent="0.25">
      <c r="A939" t="s">
        <v>793</v>
      </c>
      <c r="B939" s="13">
        <v>4003</v>
      </c>
    </row>
    <row r="940" spans="1:2" x14ac:dyDescent="0.25">
      <c r="A940" t="s">
        <v>1306</v>
      </c>
      <c r="B940" s="13">
        <v>4861</v>
      </c>
    </row>
    <row r="941" spans="1:2" x14ac:dyDescent="0.25">
      <c r="A941" t="s">
        <v>1425</v>
      </c>
      <c r="B941" s="13">
        <v>4681</v>
      </c>
    </row>
    <row r="942" spans="1:2" x14ac:dyDescent="0.25">
      <c r="A942" t="s">
        <v>1435</v>
      </c>
      <c r="B942" s="13">
        <v>2147</v>
      </c>
    </row>
    <row r="943" spans="1:2" x14ac:dyDescent="0.25">
      <c r="A943" t="s">
        <v>1688</v>
      </c>
      <c r="B943" s="13">
        <v>40</v>
      </c>
    </row>
    <row r="944" spans="1:2" x14ac:dyDescent="0.25">
      <c r="A944" t="s">
        <v>972</v>
      </c>
      <c r="B944" s="13">
        <v>3192</v>
      </c>
    </row>
    <row r="945" spans="1:2" x14ac:dyDescent="0.25">
      <c r="A945" t="s">
        <v>1068</v>
      </c>
      <c r="B945" s="13">
        <v>7261</v>
      </c>
    </row>
    <row r="946" spans="1:2" x14ac:dyDescent="0.25">
      <c r="A946" t="s">
        <v>1709</v>
      </c>
      <c r="B946" s="13">
        <v>4143</v>
      </c>
    </row>
    <row r="947" spans="1:2" x14ac:dyDescent="0.25">
      <c r="A947" t="s">
        <v>1293</v>
      </c>
      <c r="B947" s="13">
        <v>894</v>
      </c>
    </row>
    <row r="948" spans="1:2" x14ac:dyDescent="0.25">
      <c r="A948" t="s">
        <v>1294</v>
      </c>
      <c r="B948" s="13">
        <v>894</v>
      </c>
    </row>
    <row r="949" spans="1:2" x14ac:dyDescent="0.25">
      <c r="A949" t="s">
        <v>1460</v>
      </c>
      <c r="B949" s="13">
        <v>3556</v>
      </c>
    </row>
    <row r="950" spans="1:2" x14ac:dyDescent="0.25">
      <c r="A950" t="s">
        <v>521</v>
      </c>
      <c r="B950" s="13">
        <v>1922</v>
      </c>
    </row>
    <row r="951" spans="1:2" x14ac:dyDescent="0.25">
      <c r="A951" t="s">
        <v>535</v>
      </c>
      <c r="B951" s="13">
        <v>907</v>
      </c>
    </row>
    <row r="952" spans="1:2" x14ac:dyDescent="0.25">
      <c r="A952" t="s">
        <v>619</v>
      </c>
      <c r="B952" s="13">
        <v>3225</v>
      </c>
    </row>
    <row r="953" spans="1:2" x14ac:dyDescent="0.25">
      <c r="A953" t="s">
        <v>633</v>
      </c>
      <c r="B953" s="13">
        <v>3173</v>
      </c>
    </row>
    <row r="954" spans="1:2" x14ac:dyDescent="0.25">
      <c r="A954" t="s">
        <v>651</v>
      </c>
      <c r="B954" s="13">
        <v>1791</v>
      </c>
    </row>
    <row r="955" spans="1:2" x14ac:dyDescent="0.25">
      <c r="A955" t="s">
        <v>825</v>
      </c>
      <c r="B955" s="13">
        <v>3254</v>
      </c>
    </row>
    <row r="956" spans="1:2" x14ac:dyDescent="0.25">
      <c r="A956" t="s">
        <v>944</v>
      </c>
      <c r="B956" s="13">
        <v>3793</v>
      </c>
    </row>
    <row r="957" spans="1:2" x14ac:dyDescent="0.25">
      <c r="A957" t="s">
        <v>1079</v>
      </c>
      <c r="B957" s="13">
        <v>6979</v>
      </c>
    </row>
    <row r="958" spans="1:2" x14ac:dyDescent="0.25">
      <c r="A958" t="s">
        <v>1470</v>
      </c>
      <c r="B958" s="13">
        <v>8005</v>
      </c>
    </row>
    <row r="959" spans="1:2" x14ac:dyDescent="0.25">
      <c r="A959" t="s">
        <v>1720</v>
      </c>
      <c r="B959" s="13">
        <v>3022</v>
      </c>
    </row>
    <row r="960" spans="1:2" x14ac:dyDescent="0.25">
      <c r="A960" t="s">
        <v>1958</v>
      </c>
      <c r="B960" s="13">
        <v>5709</v>
      </c>
    </row>
    <row r="961" spans="1:2" x14ac:dyDescent="0.25">
      <c r="A961" t="s">
        <v>1325</v>
      </c>
      <c r="B961" s="13">
        <v>5780</v>
      </c>
    </row>
    <row r="962" spans="1:2" x14ac:dyDescent="0.25">
      <c r="A962" t="s">
        <v>640</v>
      </c>
      <c r="B962" s="13">
        <v>840</v>
      </c>
    </row>
    <row r="963" spans="1:2" x14ac:dyDescent="0.25">
      <c r="A963" t="s">
        <v>957</v>
      </c>
      <c r="B963" s="13">
        <v>3418</v>
      </c>
    </row>
    <row r="964" spans="1:2" x14ac:dyDescent="0.25">
      <c r="A964" t="s">
        <v>1336</v>
      </c>
      <c r="B964" s="13">
        <v>939</v>
      </c>
    </row>
    <row r="965" spans="1:2" x14ac:dyDescent="0.25">
      <c r="A965" t="s">
        <v>660</v>
      </c>
      <c r="B965" s="13">
        <v>2681</v>
      </c>
    </row>
    <row r="966" spans="1:2" x14ac:dyDescent="0.25">
      <c r="A966" t="s">
        <v>706</v>
      </c>
      <c r="B966" s="13">
        <v>39</v>
      </c>
    </row>
    <row r="967" spans="1:2" x14ac:dyDescent="0.25">
      <c r="A967" t="s">
        <v>1774</v>
      </c>
      <c r="B967" s="13">
        <v>7138</v>
      </c>
    </row>
    <row r="968" spans="1:2" x14ac:dyDescent="0.25">
      <c r="A968" t="s">
        <v>545</v>
      </c>
      <c r="B968" s="13">
        <v>1955</v>
      </c>
    </row>
    <row r="969" spans="1:2" x14ac:dyDescent="0.25">
      <c r="A969" t="s">
        <v>668</v>
      </c>
      <c r="B969" s="13">
        <v>433</v>
      </c>
    </row>
    <row r="970" spans="1:2" x14ac:dyDescent="0.25">
      <c r="A970" t="s">
        <v>675</v>
      </c>
      <c r="B970" s="13">
        <v>5556</v>
      </c>
    </row>
    <row r="971" spans="1:2" x14ac:dyDescent="0.25">
      <c r="A971" t="s">
        <v>860</v>
      </c>
      <c r="B971" s="13">
        <v>4028</v>
      </c>
    </row>
    <row r="972" spans="1:2" x14ac:dyDescent="0.25">
      <c r="A972" t="s">
        <v>1737</v>
      </c>
      <c r="B972" s="13">
        <v>911</v>
      </c>
    </row>
    <row r="973" spans="1:2" x14ac:dyDescent="0.25">
      <c r="A973" t="s">
        <v>1756</v>
      </c>
      <c r="B973" s="13">
        <v>4271</v>
      </c>
    </row>
    <row r="974" spans="1:2" x14ac:dyDescent="0.25">
      <c r="A974" t="s">
        <v>1764</v>
      </c>
      <c r="B974" s="13">
        <v>2534</v>
      </c>
    </row>
    <row r="975" spans="1:2" x14ac:dyDescent="0.25">
      <c r="A975" t="s">
        <v>1845</v>
      </c>
      <c r="B975" s="13">
        <v>4625</v>
      </c>
    </row>
    <row r="976" spans="1:2" x14ac:dyDescent="0.25">
      <c r="A976" t="s">
        <v>841</v>
      </c>
      <c r="B976" s="13">
        <v>5106</v>
      </c>
    </row>
    <row r="977" spans="1:2" x14ac:dyDescent="0.25">
      <c r="A977" t="s">
        <v>1000</v>
      </c>
      <c r="B977" s="13">
        <v>3264</v>
      </c>
    </row>
    <row r="978" spans="1:2" x14ac:dyDescent="0.25">
      <c r="A978" t="s">
        <v>1355</v>
      </c>
      <c r="B978" s="13">
        <v>837</v>
      </c>
    </row>
    <row r="979" spans="1:2" x14ac:dyDescent="0.25">
      <c r="A979" t="s">
        <v>1385</v>
      </c>
      <c r="B979" s="13">
        <v>1190</v>
      </c>
    </row>
    <row r="980" spans="1:2" x14ac:dyDescent="0.25">
      <c r="A980" t="s">
        <v>551</v>
      </c>
      <c r="B980" s="13">
        <v>294</v>
      </c>
    </row>
    <row r="981" spans="1:2" x14ac:dyDescent="0.25">
      <c r="A981" t="s">
        <v>852</v>
      </c>
      <c r="B981" s="13">
        <v>2146</v>
      </c>
    </row>
    <row r="982" spans="1:2" x14ac:dyDescent="0.25">
      <c r="A982" t="s">
        <v>1133</v>
      </c>
      <c r="B982" s="13">
        <v>971</v>
      </c>
    </row>
    <row r="983" spans="1:2" x14ac:dyDescent="0.25">
      <c r="A983" t="s">
        <v>1147</v>
      </c>
      <c r="B983" s="13">
        <v>3713</v>
      </c>
    </row>
    <row r="984" spans="1:2" x14ac:dyDescent="0.25">
      <c r="A984" t="s">
        <v>1580</v>
      </c>
      <c r="B984" s="13">
        <v>4753</v>
      </c>
    </row>
    <row r="985" spans="1:2" x14ac:dyDescent="0.25">
      <c r="A985" t="s">
        <v>1942</v>
      </c>
      <c r="B985" s="13">
        <v>813</v>
      </c>
    </row>
    <row r="986" spans="1:2" x14ac:dyDescent="0.25">
      <c r="A986" t="s">
        <v>113</v>
      </c>
      <c r="B986" s="13">
        <v>370</v>
      </c>
    </row>
    <row r="987" spans="1:2" x14ac:dyDescent="0.25">
      <c r="A987" t="s">
        <v>716</v>
      </c>
      <c r="B987" s="13">
        <v>718</v>
      </c>
    </row>
    <row r="988" spans="1:2" x14ac:dyDescent="0.25">
      <c r="A988" t="s">
        <v>986</v>
      </c>
      <c r="B988" s="13">
        <v>232</v>
      </c>
    </row>
    <row r="989" spans="1:2" x14ac:dyDescent="0.25">
      <c r="A989" t="s">
        <v>1011</v>
      </c>
      <c r="B989" s="13">
        <v>10375</v>
      </c>
    </row>
    <row r="990" spans="1:2" x14ac:dyDescent="0.25">
      <c r="A990" t="s">
        <v>1154</v>
      </c>
      <c r="B990" s="13">
        <v>741</v>
      </c>
    </row>
    <row r="991" spans="1:2" x14ac:dyDescent="0.25">
      <c r="A991" t="s">
        <v>1396</v>
      </c>
      <c r="B991" s="13">
        <v>2698</v>
      </c>
    </row>
    <row r="992" spans="1:2" x14ac:dyDescent="0.25">
      <c r="A992" t="s">
        <v>1597</v>
      </c>
      <c r="B992" s="13">
        <v>2971</v>
      </c>
    </row>
    <row r="993" spans="1:2" x14ac:dyDescent="0.25">
      <c r="A993" t="s">
        <v>566</v>
      </c>
      <c r="B993" s="13">
        <v>447</v>
      </c>
    </row>
    <row r="994" spans="1:2" x14ac:dyDescent="0.25">
      <c r="A994" t="s">
        <v>734</v>
      </c>
      <c r="B994" s="13">
        <v>4394</v>
      </c>
    </row>
    <row r="995" spans="1:2" x14ac:dyDescent="0.25">
      <c r="A995" t="s">
        <v>865</v>
      </c>
      <c r="B995" s="13">
        <v>1208</v>
      </c>
    </row>
    <row r="996" spans="1:2" x14ac:dyDescent="0.25">
      <c r="A996" t="s">
        <v>1016</v>
      </c>
      <c r="B996" s="13">
        <v>493</v>
      </c>
    </row>
    <row r="997" spans="1:2" x14ac:dyDescent="0.25">
      <c r="A997" t="s">
        <v>1375</v>
      </c>
      <c r="B997" s="13">
        <v>3315</v>
      </c>
    </row>
    <row r="998" spans="1:2" x14ac:dyDescent="0.25">
      <c r="A998" t="s">
        <v>1409</v>
      </c>
      <c r="B998" s="13">
        <v>3285</v>
      </c>
    </row>
    <row r="999" spans="1:2" x14ac:dyDescent="0.25">
      <c r="A999" t="s">
        <v>1496</v>
      </c>
      <c r="B999" s="13">
        <v>1318</v>
      </c>
    </row>
    <row r="1000" spans="1:2" x14ac:dyDescent="0.25">
      <c r="A1000" t="s">
        <v>1506</v>
      </c>
      <c r="B1000" s="13">
        <v>6296</v>
      </c>
    </row>
    <row r="1001" spans="1:2" x14ac:dyDescent="0.25">
      <c r="A1001" t="s">
        <v>1784</v>
      </c>
      <c r="B1001" s="13">
        <v>5127</v>
      </c>
    </row>
    <row r="1002" spans="1:2" x14ac:dyDescent="0.25">
      <c r="A1002" t="s">
        <v>1976</v>
      </c>
      <c r="B1002" s="13">
        <v>3730</v>
      </c>
    </row>
    <row r="1003" spans="1:2" x14ac:dyDescent="0.25">
      <c r="A1003" t="s">
        <v>729</v>
      </c>
      <c r="B1003" s="13">
        <v>1316</v>
      </c>
    </row>
    <row r="1004" spans="1:2" x14ac:dyDescent="0.25">
      <c r="A1004" t="s">
        <v>742</v>
      </c>
      <c r="B1004" s="13">
        <v>1317</v>
      </c>
    </row>
    <row r="1005" spans="1:2" x14ac:dyDescent="0.25">
      <c r="A1005" t="s">
        <v>750</v>
      </c>
      <c r="B1005" s="13">
        <v>318</v>
      </c>
    </row>
    <row r="1006" spans="1:2" x14ac:dyDescent="0.25">
      <c r="A1006" t="s">
        <v>879</v>
      </c>
      <c r="B1006" s="13">
        <v>5436</v>
      </c>
    </row>
    <row r="1007" spans="1:2" x14ac:dyDescent="0.25">
      <c r="A1007" t="s">
        <v>1031</v>
      </c>
      <c r="B1007" s="13">
        <v>1987</v>
      </c>
    </row>
    <row r="1008" spans="1:2" x14ac:dyDescent="0.25">
      <c r="A1008" t="s">
        <v>1086</v>
      </c>
      <c r="B1008" s="13">
        <v>206</v>
      </c>
    </row>
    <row r="1009" spans="1:2" x14ac:dyDescent="0.25">
      <c r="A1009" t="s">
        <v>1172</v>
      </c>
      <c r="B1009" s="13">
        <v>7846</v>
      </c>
    </row>
    <row r="1010" spans="1:2" x14ac:dyDescent="0.25">
      <c r="A1010" t="s">
        <v>1185</v>
      </c>
      <c r="B1010" s="13">
        <v>886</v>
      </c>
    </row>
    <row r="1011" spans="1:2" x14ac:dyDescent="0.25">
      <c r="A1011" t="s">
        <v>1198</v>
      </c>
      <c r="B1011" s="13">
        <v>3122</v>
      </c>
    </row>
    <row r="1012" spans="1:2" x14ac:dyDescent="0.25">
      <c r="A1012" t="s">
        <v>1531</v>
      </c>
      <c r="B1012" s="13">
        <v>214</v>
      </c>
    </row>
    <row r="1013" spans="1:2" x14ac:dyDescent="0.25">
      <c r="A1013" t="s">
        <v>1539</v>
      </c>
      <c r="B1013" s="13">
        <v>3770</v>
      </c>
    </row>
    <row r="1014" spans="1:2" x14ac:dyDescent="0.25">
      <c r="A1014" t="s">
        <v>1611</v>
      </c>
      <c r="B1014" s="13">
        <v>2545</v>
      </c>
    </row>
    <row r="1015" spans="1:2" x14ac:dyDescent="0.25">
      <c r="A1015" t="s">
        <v>1644</v>
      </c>
      <c r="B1015" s="13">
        <v>2181</v>
      </c>
    </row>
    <row r="1016" spans="1:2" x14ac:dyDescent="0.25">
      <c r="A1016" t="s">
        <v>1854</v>
      </c>
      <c r="B1016" s="13">
        <v>1939</v>
      </c>
    </row>
    <row r="1017" spans="1:2" x14ac:dyDescent="0.25">
      <c r="A1017" t="s">
        <v>1935</v>
      </c>
      <c r="B1017" s="13">
        <v>721</v>
      </c>
    </row>
    <row r="1018" spans="1:2" x14ac:dyDescent="0.25">
      <c r="A1018" t="s">
        <v>1044</v>
      </c>
      <c r="B1018" s="13">
        <v>3502</v>
      </c>
    </row>
    <row r="1019" spans="1:2" x14ac:dyDescent="0.25">
      <c r="A1019" t="s">
        <v>1208</v>
      </c>
      <c r="B1019" s="13">
        <v>2439</v>
      </c>
    </row>
    <row r="1020" spans="1:2" x14ac:dyDescent="0.25">
      <c r="A1020" t="s">
        <v>1622</v>
      </c>
      <c r="B1020" s="13">
        <v>4023</v>
      </c>
    </row>
    <row r="1021" spans="1:2" x14ac:dyDescent="0.25">
      <c r="A1021" t="s">
        <v>1653</v>
      </c>
      <c r="B1021" s="13">
        <v>1000</v>
      </c>
    </row>
    <row r="1022" spans="1:2" x14ac:dyDescent="0.25">
      <c r="A1022" t="s">
        <v>1803</v>
      </c>
      <c r="B1022" s="13">
        <v>4860</v>
      </c>
    </row>
    <row r="1023" spans="1:2" x14ac:dyDescent="0.25">
      <c r="A1023" t="s">
        <v>1858</v>
      </c>
      <c r="B1023" s="13">
        <v>3353</v>
      </c>
    </row>
    <row r="1024" spans="1:2" x14ac:dyDescent="0.25">
      <c r="A1024" t="s">
        <v>1859</v>
      </c>
      <c r="B1024" s="13">
        <v>6938</v>
      </c>
    </row>
    <row r="1025" spans="1:2" x14ac:dyDescent="0.25">
      <c r="A1025" t="s">
        <v>1867</v>
      </c>
      <c r="B1025" s="13">
        <v>4676</v>
      </c>
    </row>
    <row r="1026" spans="1:2" x14ac:dyDescent="0.25">
      <c r="A1026" t="s">
        <v>612</v>
      </c>
      <c r="B1026" s="13">
        <v>2244</v>
      </c>
    </row>
    <row r="1027" spans="1:2" x14ac:dyDescent="0.25">
      <c r="A1027" t="s">
        <v>1554</v>
      </c>
      <c r="B1027" s="13">
        <v>6318</v>
      </c>
    </row>
    <row r="1028" spans="1:2" x14ac:dyDescent="0.25">
      <c r="A1028" t="s">
        <v>1660</v>
      </c>
      <c r="B1028" s="13">
        <v>1232</v>
      </c>
    </row>
    <row r="1029" spans="1:2" x14ac:dyDescent="0.25">
      <c r="A1029" t="s">
        <v>1667</v>
      </c>
      <c r="B1029" s="13">
        <v>5784</v>
      </c>
    </row>
    <row r="1030" spans="1:2" x14ac:dyDescent="0.25">
      <c r="A1030" t="s">
        <v>1677</v>
      </c>
      <c r="B1030" s="13">
        <v>1586</v>
      </c>
    </row>
    <row r="1031" spans="1:2" x14ac:dyDescent="0.25">
      <c r="A1031" t="s">
        <v>1809</v>
      </c>
      <c r="B1031" s="13">
        <v>3950</v>
      </c>
    </row>
    <row r="1032" spans="1:2" x14ac:dyDescent="0.25">
      <c r="A1032" t="s">
        <v>1817</v>
      </c>
      <c r="B1032" s="13">
        <v>820</v>
      </c>
    </row>
    <row r="1033" spans="1:2" x14ac:dyDescent="0.25">
      <c r="A1033" t="s">
        <v>1878</v>
      </c>
      <c r="B1033" s="13">
        <v>853</v>
      </c>
    </row>
    <row r="1034" spans="1:2" x14ac:dyDescent="0.25">
      <c r="A1034" t="s">
        <v>1893</v>
      </c>
      <c r="B1034" s="13">
        <v>939</v>
      </c>
    </row>
    <row r="1035" spans="1:2" x14ac:dyDescent="0.25">
      <c r="A1035" t="s">
        <v>757</v>
      </c>
      <c r="B1035" s="13">
        <v>2326</v>
      </c>
    </row>
    <row r="1036" spans="1:2" x14ac:dyDescent="0.25">
      <c r="A1036" t="s">
        <v>773</v>
      </c>
      <c r="B1036" s="13">
        <v>950</v>
      </c>
    </row>
    <row r="1037" spans="1:2" x14ac:dyDescent="0.25">
      <c r="A1037" t="s">
        <v>917</v>
      </c>
      <c r="B1037" s="13">
        <v>1719</v>
      </c>
    </row>
    <row r="1038" spans="1:2" x14ac:dyDescent="0.25">
      <c r="A1038" t="s">
        <v>932</v>
      </c>
      <c r="B1038" s="13">
        <v>4211</v>
      </c>
    </row>
    <row r="1039" spans="1:2" x14ac:dyDescent="0.25">
      <c r="A1039" t="s">
        <v>1094</v>
      </c>
      <c r="B1039" s="13">
        <v>1965</v>
      </c>
    </row>
    <row r="1040" spans="1:2" x14ac:dyDescent="0.25">
      <c r="A1040" t="s">
        <v>1227</v>
      </c>
      <c r="B1040" s="13">
        <v>3654</v>
      </c>
    </row>
    <row r="1041" spans="1:2" x14ac:dyDescent="0.25">
      <c r="A1041" t="s">
        <v>1239</v>
      </c>
      <c r="B1041" s="13">
        <v>55</v>
      </c>
    </row>
    <row r="1042" spans="1:2" x14ac:dyDescent="0.25">
      <c r="A1042" t="s">
        <v>1276</v>
      </c>
      <c r="B1042" s="13">
        <v>1023</v>
      </c>
    </row>
    <row r="1043" spans="1:2" x14ac:dyDescent="0.25">
      <c r="A1043" t="s">
        <v>1283</v>
      </c>
      <c r="B1043" s="13">
        <v>1523</v>
      </c>
    </row>
    <row r="1044" spans="1:2" x14ac:dyDescent="0.25">
      <c r="A1044" t="s">
        <v>1418</v>
      </c>
      <c r="B1044" s="13">
        <v>4136</v>
      </c>
    </row>
    <row r="1045" spans="1:2" x14ac:dyDescent="0.25">
      <c r="A1045" t="s">
        <v>1729</v>
      </c>
      <c r="B1045" s="13">
        <v>3579</v>
      </c>
    </row>
    <row r="1046" spans="1:2" x14ac:dyDescent="0.25">
      <c r="A1046" t="s">
        <v>1901</v>
      </c>
      <c r="B1046" s="13">
        <v>445</v>
      </c>
    </row>
    <row r="1047" spans="1:2" x14ac:dyDescent="0.25">
      <c r="A1047" t="s">
        <v>1954</v>
      </c>
      <c r="B1047" s="13">
        <v>2138</v>
      </c>
    </row>
    <row r="1048" spans="1:2" x14ac:dyDescent="0.25">
      <c r="A1048" t="s">
        <v>781</v>
      </c>
      <c r="B1048" s="13">
        <v>4334</v>
      </c>
    </row>
    <row r="1049" spans="1:2" x14ac:dyDescent="0.25">
      <c r="A1049" t="s">
        <v>794</v>
      </c>
      <c r="B1049" s="13">
        <v>3268</v>
      </c>
    </row>
    <row r="1050" spans="1:2" x14ac:dyDescent="0.25">
      <c r="A1050" t="s">
        <v>1307</v>
      </c>
      <c r="B1050" s="13">
        <v>4726</v>
      </c>
    </row>
    <row r="1051" spans="1:2" x14ac:dyDescent="0.25">
      <c r="A1051" t="s">
        <v>1426</v>
      </c>
      <c r="B1051" s="13">
        <v>5288</v>
      </c>
    </row>
    <row r="1052" spans="1:2" x14ac:dyDescent="0.25">
      <c r="A1052" t="s">
        <v>1436</v>
      </c>
      <c r="B1052" s="13">
        <v>3826</v>
      </c>
    </row>
    <row r="1053" spans="1:2" x14ac:dyDescent="0.25">
      <c r="A1053" t="s">
        <v>1689</v>
      </c>
      <c r="B1053" s="13">
        <v>1350</v>
      </c>
    </row>
    <row r="1054" spans="1:2" x14ac:dyDescent="0.25">
      <c r="A1054" t="s">
        <v>604</v>
      </c>
      <c r="B1054" s="13">
        <v>2349</v>
      </c>
    </row>
    <row r="1055" spans="1:2" x14ac:dyDescent="0.25">
      <c r="A1055" t="s">
        <v>973</v>
      </c>
      <c r="B1055" s="13">
        <v>4125</v>
      </c>
    </row>
    <row r="1056" spans="1:2" x14ac:dyDescent="0.25">
      <c r="A1056" t="s">
        <v>1069</v>
      </c>
      <c r="B1056" s="13">
        <v>6534</v>
      </c>
    </row>
    <row r="1057" spans="1:2" x14ac:dyDescent="0.25">
      <c r="A1057" t="s">
        <v>1295</v>
      </c>
      <c r="B1057" s="13">
        <v>973</v>
      </c>
    </row>
    <row r="1058" spans="1:2" x14ac:dyDescent="0.25">
      <c r="A1058" t="s">
        <v>1461</v>
      </c>
      <c r="B1058" s="13">
        <v>3466</v>
      </c>
    </row>
    <row r="1059" spans="1:2" x14ac:dyDescent="0.25">
      <c r="A1059" t="s">
        <v>1710</v>
      </c>
      <c r="B1059" s="13">
        <v>4902</v>
      </c>
    </row>
    <row r="1060" spans="1:2" x14ac:dyDescent="0.25">
      <c r="A1060" t="s">
        <v>593</v>
      </c>
      <c r="B1060" s="13">
        <v>2585</v>
      </c>
    </row>
    <row r="1061" spans="1:2" x14ac:dyDescent="0.25">
      <c r="A1061" t="s">
        <v>620</v>
      </c>
      <c r="B1061" s="13">
        <v>2901</v>
      </c>
    </row>
    <row r="1062" spans="1:2" x14ac:dyDescent="0.25">
      <c r="A1062" t="s">
        <v>623</v>
      </c>
      <c r="B1062" s="13">
        <v>400</v>
      </c>
    </row>
    <row r="1063" spans="1:2" x14ac:dyDescent="0.25">
      <c r="A1063" t="s">
        <v>652</v>
      </c>
      <c r="B1063" s="13">
        <v>653</v>
      </c>
    </row>
    <row r="1064" spans="1:2" x14ac:dyDescent="0.25">
      <c r="A1064" t="s">
        <v>826</v>
      </c>
      <c r="B1064" s="13">
        <v>2049</v>
      </c>
    </row>
    <row r="1065" spans="1:2" x14ac:dyDescent="0.25">
      <c r="A1065" t="s">
        <v>945</v>
      </c>
      <c r="B1065" s="13">
        <v>1975</v>
      </c>
    </row>
    <row r="1066" spans="1:2" x14ac:dyDescent="0.25">
      <c r="A1066" t="s">
        <v>1080</v>
      </c>
      <c r="B1066" s="13">
        <v>4653</v>
      </c>
    </row>
    <row r="1067" spans="1:2" x14ac:dyDescent="0.25">
      <c r="A1067" t="s">
        <v>1471</v>
      </c>
      <c r="B1067" s="13">
        <v>8667</v>
      </c>
    </row>
    <row r="1068" spans="1:2" x14ac:dyDescent="0.25">
      <c r="A1068" t="s">
        <v>1721</v>
      </c>
      <c r="B1068" s="13">
        <v>2658</v>
      </c>
    </row>
    <row r="1069" spans="1:2" x14ac:dyDescent="0.25">
      <c r="A1069" t="s">
        <v>1959</v>
      </c>
      <c r="B1069" s="13">
        <v>6868</v>
      </c>
    </row>
    <row r="1070" spans="1:2" x14ac:dyDescent="0.25">
      <c r="A1070" t="s">
        <v>1965</v>
      </c>
      <c r="B1070" s="13">
        <v>554</v>
      </c>
    </row>
    <row r="1071" spans="1:2" x14ac:dyDescent="0.25">
      <c r="A1071" t="s">
        <v>634</v>
      </c>
      <c r="B1071" s="13">
        <v>5753</v>
      </c>
    </row>
    <row r="1072" spans="1:2" x14ac:dyDescent="0.25">
      <c r="A1072" t="s">
        <v>626</v>
      </c>
      <c r="B1072" s="13">
        <v>349</v>
      </c>
    </row>
    <row r="1073" spans="1:2" x14ac:dyDescent="0.25">
      <c r="A1073" t="s">
        <v>641</v>
      </c>
      <c r="B1073" s="13">
        <v>1448</v>
      </c>
    </row>
    <row r="1074" spans="1:2" x14ac:dyDescent="0.25">
      <c r="A1074" t="s">
        <v>661</v>
      </c>
      <c r="B1074" s="13">
        <v>3730</v>
      </c>
    </row>
    <row r="1075" spans="1:2" x14ac:dyDescent="0.25">
      <c r="A1075" t="s">
        <v>669</v>
      </c>
      <c r="B1075" s="13">
        <v>1526</v>
      </c>
    </row>
    <row r="1076" spans="1:2" x14ac:dyDescent="0.25">
      <c r="A1076" t="s">
        <v>676</v>
      </c>
      <c r="B1076" s="13">
        <v>473</v>
      </c>
    </row>
    <row r="1077" spans="1:2" x14ac:dyDescent="0.25">
      <c r="A1077" t="s">
        <v>680</v>
      </c>
      <c r="B1077" s="13">
        <v>2360</v>
      </c>
    </row>
    <row r="1078" spans="1:2" x14ac:dyDescent="0.25">
      <c r="A1078" t="s">
        <v>684</v>
      </c>
      <c r="B1078" s="13">
        <v>1856</v>
      </c>
    </row>
    <row r="1079" spans="1:2" x14ac:dyDescent="0.25">
      <c r="A1079" t="s">
        <v>707</v>
      </c>
      <c r="B1079" s="13">
        <v>394</v>
      </c>
    </row>
    <row r="1080" spans="1:2" x14ac:dyDescent="0.25">
      <c r="A1080" t="s">
        <v>861</v>
      </c>
      <c r="B1080" s="13">
        <v>3374</v>
      </c>
    </row>
    <row r="1081" spans="1:2" x14ac:dyDescent="0.25">
      <c r="A1081" t="s">
        <v>958</v>
      </c>
      <c r="B1081" s="13">
        <v>4399</v>
      </c>
    </row>
    <row r="1082" spans="1:2" x14ac:dyDescent="0.25">
      <c r="A1082" t="s">
        <v>1326</v>
      </c>
      <c r="B1082" s="13">
        <v>58</v>
      </c>
    </row>
    <row r="1083" spans="1:2" x14ac:dyDescent="0.25">
      <c r="A1083" t="s">
        <v>1337</v>
      </c>
      <c r="B1083" s="13">
        <v>1112</v>
      </c>
    </row>
    <row r="1084" spans="1:2" x14ac:dyDescent="0.25">
      <c r="A1084" t="s">
        <v>1775</v>
      </c>
      <c r="B1084" s="13">
        <v>7325</v>
      </c>
    </row>
    <row r="1085" spans="1:2" x14ac:dyDescent="0.25">
      <c r="A1085" t="s">
        <v>717</v>
      </c>
      <c r="B1085" s="13">
        <v>2780</v>
      </c>
    </row>
    <row r="1086" spans="1:2" x14ac:dyDescent="0.25">
      <c r="A1086" t="s">
        <v>853</v>
      </c>
      <c r="B1086" s="13">
        <v>4159</v>
      </c>
    </row>
    <row r="1087" spans="1:2" x14ac:dyDescent="0.25">
      <c r="A1087" t="s">
        <v>1001</v>
      </c>
      <c r="B1087" s="13">
        <v>4126</v>
      </c>
    </row>
    <row r="1088" spans="1:2" x14ac:dyDescent="0.25">
      <c r="A1088" t="s">
        <v>1134</v>
      </c>
      <c r="B1088" s="13">
        <v>1399</v>
      </c>
    </row>
    <row r="1089" spans="1:2" x14ac:dyDescent="0.25">
      <c r="A1089" t="s">
        <v>1738</v>
      </c>
      <c r="B1089" s="13">
        <v>1888</v>
      </c>
    </row>
    <row r="1090" spans="1:2" x14ac:dyDescent="0.25">
      <c r="A1090" t="s">
        <v>1757</v>
      </c>
      <c r="B1090" s="13">
        <v>3853</v>
      </c>
    </row>
    <row r="1091" spans="1:2" x14ac:dyDescent="0.25">
      <c r="A1091" t="s">
        <v>1765</v>
      </c>
      <c r="B1091" s="13">
        <v>1985</v>
      </c>
    </row>
    <row r="1092" spans="1:2" x14ac:dyDescent="0.25">
      <c r="A1092" t="s">
        <v>1846</v>
      </c>
      <c r="B1092" s="13">
        <v>4278</v>
      </c>
    </row>
    <row r="1093" spans="1:2" x14ac:dyDescent="0.25">
      <c r="A1093" t="s">
        <v>1949</v>
      </c>
      <c r="B1093" s="13">
        <v>200</v>
      </c>
    </row>
    <row r="1094" spans="1:2" x14ac:dyDescent="0.25">
      <c r="A1094" t="s">
        <v>1563</v>
      </c>
      <c r="B1094" s="13">
        <v>1</v>
      </c>
    </row>
    <row r="1095" spans="1:2" x14ac:dyDescent="0.25">
      <c r="A1095" t="s">
        <v>842</v>
      </c>
      <c r="B1095" s="13">
        <v>5125</v>
      </c>
    </row>
    <row r="1096" spans="1:2" x14ac:dyDescent="0.25">
      <c r="A1096" t="s">
        <v>987</v>
      </c>
      <c r="B1096" s="13">
        <v>507</v>
      </c>
    </row>
    <row r="1097" spans="1:2" x14ac:dyDescent="0.25">
      <c r="A1097" t="s">
        <v>1012</v>
      </c>
      <c r="B1097" s="13">
        <v>8534</v>
      </c>
    </row>
    <row r="1098" spans="1:2" x14ac:dyDescent="0.25">
      <c r="A1098" t="s">
        <v>1148</v>
      </c>
      <c r="B1098" s="13">
        <v>3260</v>
      </c>
    </row>
    <row r="1099" spans="1:2" x14ac:dyDescent="0.25">
      <c r="A1099" t="s">
        <v>1155</v>
      </c>
      <c r="B1099" s="13">
        <v>943</v>
      </c>
    </row>
    <row r="1100" spans="1:2" x14ac:dyDescent="0.25">
      <c r="A1100" t="s">
        <v>1358</v>
      </c>
      <c r="B1100" s="13">
        <v>1789</v>
      </c>
    </row>
    <row r="1101" spans="1:2" x14ac:dyDescent="0.25">
      <c r="A1101" t="s">
        <v>1386</v>
      </c>
      <c r="B1101" s="13">
        <v>1168</v>
      </c>
    </row>
    <row r="1102" spans="1:2" x14ac:dyDescent="0.25">
      <c r="A1102" t="s">
        <v>1397</v>
      </c>
      <c r="B1102" s="13">
        <v>2892</v>
      </c>
    </row>
    <row r="1103" spans="1:2" x14ac:dyDescent="0.25">
      <c r="A1103" t="s">
        <v>1598</v>
      </c>
      <c r="B1103" s="13">
        <v>2912</v>
      </c>
    </row>
    <row r="1104" spans="1:2" x14ac:dyDescent="0.25">
      <c r="A1104" t="s">
        <v>1943</v>
      </c>
      <c r="B1104" s="13">
        <v>928</v>
      </c>
    </row>
    <row r="1105" spans="1:2" x14ac:dyDescent="0.25">
      <c r="A1105" t="s">
        <v>730</v>
      </c>
      <c r="B1105" s="13">
        <v>922</v>
      </c>
    </row>
    <row r="1106" spans="1:2" x14ac:dyDescent="0.25">
      <c r="A1106" t="s">
        <v>866</v>
      </c>
      <c r="B1106" s="13">
        <v>397</v>
      </c>
    </row>
    <row r="1107" spans="1:2" x14ac:dyDescent="0.25">
      <c r="A1107" t="s">
        <v>1376</v>
      </c>
      <c r="B1107" s="13">
        <v>1601</v>
      </c>
    </row>
    <row r="1108" spans="1:2" x14ac:dyDescent="0.25">
      <c r="A1108" t="s">
        <v>1410</v>
      </c>
      <c r="B1108" s="13">
        <v>2984</v>
      </c>
    </row>
    <row r="1109" spans="1:2" x14ac:dyDescent="0.25">
      <c r="A1109" t="s">
        <v>1497</v>
      </c>
      <c r="B1109" s="13">
        <v>996</v>
      </c>
    </row>
    <row r="1110" spans="1:2" x14ac:dyDescent="0.25">
      <c r="A1110" t="s">
        <v>1507</v>
      </c>
      <c r="B1110" s="13">
        <v>7998</v>
      </c>
    </row>
    <row r="1111" spans="1:2" x14ac:dyDescent="0.25">
      <c r="A1111" t="s">
        <v>1785</v>
      </c>
      <c r="B1111" s="13">
        <v>5394</v>
      </c>
    </row>
    <row r="1112" spans="1:2" x14ac:dyDescent="0.25">
      <c r="A1112" t="s">
        <v>1977</v>
      </c>
      <c r="B1112" s="13">
        <v>3935</v>
      </c>
    </row>
    <row r="1113" spans="1:2" x14ac:dyDescent="0.25">
      <c r="A1113" t="s">
        <v>1032</v>
      </c>
      <c r="B1113" s="13">
        <v>1243</v>
      </c>
    </row>
    <row r="1114" spans="1:2" x14ac:dyDescent="0.25">
      <c r="A1114" t="s">
        <v>1114</v>
      </c>
      <c r="B1114" s="13">
        <v>906</v>
      </c>
    </row>
    <row r="1115" spans="1:2" x14ac:dyDescent="0.25">
      <c r="A1115" t="s">
        <v>1173</v>
      </c>
      <c r="B1115" s="13">
        <v>8029</v>
      </c>
    </row>
    <row r="1116" spans="1:2" x14ac:dyDescent="0.25">
      <c r="A1116" t="s">
        <v>1186</v>
      </c>
      <c r="B1116" s="13">
        <v>450</v>
      </c>
    </row>
    <row r="1117" spans="1:2" x14ac:dyDescent="0.25">
      <c r="A1117" t="s">
        <v>1199</v>
      </c>
      <c r="B1117" s="13">
        <v>741</v>
      </c>
    </row>
    <row r="1118" spans="1:2" x14ac:dyDescent="0.25">
      <c r="A1118" t="s">
        <v>1540</v>
      </c>
      <c r="B1118" s="13">
        <v>3813</v>
      </c>
    </row>
    <row r="1119" spans="1:2" x14ac:dyDescent="0.25">
      <c r="A1119" t="s">
        <v>1612</v>
      </c>
      <c r="B1119" s="13">
        <v>3285</v>
      </c>
    </row>
    <row r="1120" spans="1:2" x14ac:dyDescent="0.25">
      <c r="A1120" t="s">
        <v>1087</v>
      </c>
      <c r="B1120" s="13">
        <v>406</v>
      </c>
    </row>
    <row r="1121" spans="1:2" x14ac:dyDescent="0.25">
      <c r="A1121" t="s">
        <v>1218</v>
      </c>
      <c r="B1121" s="13">
        <v>-1827</v>
      </c>
    </row>
    <row r="1122" spans="1:2" x14ac:dyDescent="0.25">
      <c r="A1122" t="s">
        <v>880</v>
      </c>
      <c r="B1122" s="13">
        <v>5503</v>
      </c>
    </row>
    <row r="1123" spans="1:2" x14ac:dyDescent="0.25">
      <c r="A1123" t="s">
        <v>1555</v>
      </c>
      <c r="B1123" s="13">
        <v>5919</v>
      </c>
    </row>
    <row r="1124" spans="1:2" x14ac:dyDescent="0.25">
      <c r="A1124" t="s">
        <v>1623</v>
      </c>
      <c r="B1124" s="13">
        <v>3968</v>
      </c>
    </row>
    <row r="1125" spans="1:2" x14ac:dyDescent="0.25">
      <c r="A1125" t="s">
        <v>1645</v>
      </c>
      <c r="B1125" s="13">
        <v>2155</v>
      </c>
    </row>
    <row r="1126" spans="1:2" x14ac:dyDescent="0.25">
      <c r="A1126" t="s">
        <v>1654</v>
      </c>
      <c r="B1126" s="13">
        <v>256</v>
      </c>
    </row>
    <row r="1127" spans="1:2" x14ac:dyDescent="0.25">
      <c r="A1127" t="s">
        <v>1668</v>
      </c>
      <c r="B1127" s="13">
        <v>4566</v>
      </c>
    </row>
    <row r="1128" spans="1:2" x14ac:dyDescent="0.25">
      <c r="A1128" t="s">
        <v>1678</v>
      </c>
      <c r="B1128" s="13">
        <v>1432</v>
      </c>
    </row>
    <row r="1129" spans="1:2" x14ac:dyDescent="0.25">
      <c r="A1129" t="s">
        <v>1860</v>
      </c>
      <c r="B1129" s="13">
        <v>3662</v>
      </c>
    </row>
    <row r="1130" spans="1:2" x14ac:dyDescent="0.25">
      <c r="A1130" t="s">
        <v>1868</v>
      </c>
      <c r="B1130" s="13">
        <v>4328</v>
      </c>
    </row>
    <row r="1131" spans="1:2" x14ac:dyDescent="0.25">
      <c r="A1131" t="s">
        <v>1879</v>
      </c>
      <c r="B1131" s="13">
        <v>1304</v>
      </c>
    </row>
    <row r="1132" spans="1:2" x14ac:dyDescent="0.25">
      <c r="A1132" t="s">
        <v>1883</v>
      </c>
      <c r="B1132" s="13">
        <v>2251</v>
      </c>
    </row>
    <row r="1133" spans="1:2" x14ac:dyDescent="0.25">
      <c r="A1133" t="s">
        <v>1894</v>
      </c>
      <c r="B1133" s="13">
        <v>4080</v>
      </c>
    </row>
    <row r="1134" spans="1:2" x14ac:dyDescent="0.25">
      <c r="A1134" t="s">
        <v>1936</v>
      </c>
      <c r="B1134" s="13">
        <v>566</v>
      </c>
    </row>
    <row r="1135" spans="1:2" x14ac:dyDescent="0.25">
      <c r="A1135" t="s">
        <v>1981</v>
      </c>
      <c r="B1135" s="13">
        <v>306</v>
      </c>
    </row>
    <row r="1136" spans="1:2" x14ac:dyDescent="0.25">
      <c r="A1136" t="s">
        <v>1988</v>
      </c>
      <c r="B1136" s="13">
        <v>3180</v>
      </c>
    </row>
    <row r="1137" spans="1:2" x14ac:dyDescent="0.25">
      <c r="A1137" t="s">
        <v>1997</v>
      </c>
      <c r="B1137" s="13">
        <v>2974</v>
      </c>
    </row>
    <row r="1138" spans="1:2" x14ac:dyDescent="0.25">
      <c r="A1138" t="s">
        <v>1103</v>
      </c>
      <c r="B1138" s="13">
        <v>17456</v>
      </c>
    </row>
    <row r="1139" spans="1:2" x14ac:dyDescent="0.25">
      <c r="A1139" t="s">
        <v>1104</v>
      </c>
      <c r="B1139" s="13">
        <v>5443</v>
      </c>
    </row>
    <row r="1140" spans="1:2" x14ac:dyDescent="0.25">
      <c r="A1140" t="s">
        <v>758</v>
      </c>
      <c r="B1140" s="13">
        <v>3344</v>
      </c>
    </row>
    <row r="1141" spans="1:2" x14ac:dyDescent="0.25">
      <c r="A1141" t="s">
        <v>1105</v>
      </c>
      <c r="B1141" s="13">
        <v>4520</v>
      </c>
    </row>
    <row r="1142" spans="1:2" x14ac:dyDescent="0.25">
      <c r="A1142" t="s">
        <v>1106</v>
      </c>
      <c r="B1142" s="13">
        <v>7304</v>
      </c>
    </row>
    <row r="1143" spans="1:2" x14ac:dyDescent="0.25">
      <c r="A1143" t="s">
        <v>1107</v>
      </c>
      <c r="B1143" s="13">
        <v>4611</v>
      </c>
    </row>
    <row r="1144" spans="1:2" x14ac:dyDescent="0.25">
      <c r="A1144" t="s">
        <v>1108</v>
      </c>
      <c r="B1144" s="13">
        <v>6165</v>
      </c>
    </row>
    <row r="1145" spans="1:2" x14ac:dyDescent="0.25">
      <c r="A1145" t="s">
        <v>1109</v>
      </c>
      <c r="B1145" s="13">
        <v>10630</v>
      </c>
    </row>
    <row r="1146" spans="1:2" x14ac:dyDescent="0.25">
      <c r="A1146" t="s">
        <v>763</v>
      </c>
      <c r="B1146" s="13">
        <v>5112</v>
      </c>
    </row>
    <row r="1147" spans="1:2" x14ac:dyDescent="0.25">
      <c r="A1147" t="s">
        <v>774</v>
      </c>
      <c r="B1147" s="13">
        <v>1580</v>
      </c>
    </row>
    <row r="1148" spans="1:2" x14ac:dyDescent="0.25">
      <c r="A1148" t="s">
        <v>782</v>
      </c>
      <c r="B1148" s="13">
        <v>4882</v>
      </c>
    </row>
    <row r="1149" spans="1:2" x14ac:dyDescent="0.25">
      <c r="A1149" t="s">
        <v>785</v>
      </c>
      <c r="B1149" s="13">
        <v>99</v>
      </c>
    </row>
    <row r="1150" spans="1:2" x14ac:dyDescent="0.25">
      <c r="A1150" t="s">
        <v>795</v>
      </c>
      <c r="B1150" s="13">
        <v>2136</v>
      </c>
    </row>
    <row r="1151" spans="1:2" x14ac:dyDescent="0.25">
      <c r="A1151" t="s">
        <v>898</v>
      </c>
      <c r="B1151" s="13">
        <v>2165</v>
      </c>
    </row>
    <row r="1152" spans="1:2" x14ac:dyDescent="0.25">
      <c r="A1152" t="s">
        <v>918</v>
      </c>
      <c r="B1152" s="13">
        <v>15</v>
      </c>
    </row>
    <row r="1153" spans="1:2" x14ac:dyDescent="0.25">
      <c r="A1153" t="s">
        <v>933</v>
      </c>
      <c r="B1153" s="13">
        <v>2604</v>
      </c>
    </row>
    <row r="1154" spans="1:2" x14ac:dyDescent="0.25">
      <c r="A1154" t="s">
        <v>1419</v>
      </c>
      <c r="B1154" s="13">
        <v>3843</v>
      </c>
    </row>
    <row r="1155" spans="1:2" x14ac:dyDescent="0.25">
      <c r="A1155" t="s">
        <v>1695</v>
      </c>
      <c r="B1155" s="13">
        <v>4385</v>
      </c>
    </row>
    <row r="1156" spans="1:2" x14ac:dyDescent="0.25">
      <c r="A1156" t="s">
        <v>1730</v>
      </c>
      <c r="B1156" s="13">
        <v>3510</v>
      </c>
    </row>
    <row r="1157" spans="1:2" x14ac:dyDescent="0.25">
      <c r="A1157" t="s">
        <v>1810</v>
      </c>
      <c r="B1157" s="13">
        <v>4407</v>
      </c>
    </row>
    <row r="1158" spans="1:2" x14ac:dyDescent="0.25">
      <c r="A1158" t="s">
        <v>1818</v>
      </c>
      <c r="B1158" s="13">
        <v>1718</v>
      </c>
    </row>
    <row r="1159" spans="1:2" x14ac:dyDescent="0.25">
      <c r="A1159" t="s">
        <v>1902</v>
      </c>
      <c r="B1159" s="13">
        <v>726</v>
      </c>
    </row>
    <row r="1160" spans="1:2" x14ac:dyDescent="0.25">
      <c r="A1160" t="s">
        <v>2004</v>
      </c>
      <c r="B1160" s="13">
        <v>5494</v>
      </c>
    </row>
    <row r="1161" spans="1:2" x14ac:dyDescent="0.25">
      <c r="A1161" t="s">
        <v>1095</v>
      </c>
      <c r="B1161" s="13">
        <v>2066</v>
      </c>
    </row>
    <row r="1162" spans="1:2" x14ac:dyDescent="0.25">
      <c r="A1162" t="s">
        <v>1228</v>
      </c>
      <c r="B1162" s="13">
        <v>2728</v>
      </c>
    </row>
    <row r="1163" spans="1:2" x14ac:dyDescent="0.25">
      <c r="A1163" t="s">
        <v>1240</v>
      </c>
      <c r="B1163" s="13">
        <v>107</v>
      </c>
    </row>
    <row r="1164" spans="1:2" x14ac:dyDescent="0.25">
      <c r="A1164" t="s">
        <v>1246</v>
      </c>
      <c r="B1164" s="13">
        <v>4157</v>
      </c>
    </row>
    <row r="1165" spans="1:2" x14ac:dyDescent="0.25">
      <c r="A1165" t="s">
        <v>1284</v>
      </c>
      <c r="B1165" s="13">
        <v>1341</v>
      </c>
    </row>
    <row r="1166" spans="1:2" x14ac:dyDescent="0.25">
      <c r="A1166" t="s">
        <v>1308</v>
      </c>
      <c r="B1166" s="13">
        <v>4515</v>
      </c>
    </row>
    <row r="1167" spans="1:2" x14ac:dyDescent="0.25">
      <c r="A1167" t="s">
        <v>1427</v>
      </c>
      <c r="B1167" s="13">
        <v>4235</v>
      </c>
    </row>
    <row r="1168" spans="1:2" x14ac:dyDescent="0.25">
      <c r="A1168" t="s">
        <v>1437</v>
      </c>
      <c r="B1168" s="13">
        <v>2835</v>
      </c>
    </row>
    <row r="1169" spans="1:2" x14ac:dyDescent="0.25">
      <c r="A1169" t="s">
        <v>1690</v>
      </c>
      <c r="B1169" s="13">
        <v>1900</v>
      </c>
    </row>
    <row r="1170" spans="1:2" x14ac:dyDescent="0.25">
      <c r="A1170" t="s">
        <v>1955</v>
      </c>
      <c r="B1170" s="13">
        <v>691</v>
      </c>
    </row>
    <row r="1171" spans="1:2" x14ac:dyDescent="0.25">
      <c r="A1171" t="s">
        <v>1296</v>
      </c>
      <c r="B1171" s="13">
        <v>271</v>
      </c>
    </row>
    <row r="1172" spans="1:2" x14ac:dyDescent="0.25">
      <c r="A1172" t="s">
        <v>1462</v>
      </c>
      <c r="B1172" s="13">
        <v>3512</v>
      </c>
    </row>
    <row r="1173" spans="1:2" x14ac:dyDescent="0.25">
      <c r="A1173" t="s">
        <v>2016</v>
      </c>
      <c r="B1173" s="13">
        <v>1939</v>
      </c>
    </row>
    <row r="1174" spans="1:2" x14ac:dyDescent="0.25">
      <c r="A1174" t="s">
        <v>946</v>
      </c>
      <c r="B1174" s="13">
        <v>3180</v>
      </c>
    </row>
    <row r="1175" spans="1:2" x14ac:dyDescent="0.25">
      <c r="A1175" t="s">
        <v>974</v>
      </c>
      <c r="B1175" s="13">
        <v>3703</v>
      </c>
    </row>
    <row r="1176" spans="1:2" x14ac:dyDescent="0.25">
      <c r="A1176" t="s">
        <v>1070</v>
      </c>
      <c r="B1176" s="13">
        <v>5808</v>
      </c>
    </row>
    <row r="1177" spans="1:2" x14ac:dyDescent="0.25">
      <c r="A1177" t="s">
        <v>1081</v>
      </c>
      <c r="B1177" s="13">
        <v>5508</v>
      </c>
    </row>
    <row r="1178" spans="1:2" x14ac:dyDescent="0.25">
      <c r="A1178" t="s">
        <v>1472</v>
      </c>
      <c r="B1178" s="13">
        <v>8903</v>
      </c>
    </row>
    <row r="1179" spans="1:2" x14ac:dyDescent="0.25">
      <c r="A1179" t="s">
        <v>1711</v>
      </c>
      <c r="B1179" s="13">
        <v>5624</v>
      </c>
    </row>
    <row r="1180" spans="1:2" x14ac:dyDescent="0.25">
      <c r="A1180" t="s">
        <v>1722</v>
      </c>
      <c r="B1180" s="13">
        <v>3436</v>
      </c>
    </row>
    <row r="1181" spans="1:2" x14ac:dyDescent="0.25">
      <c r="A1181" t="s">
        <v>1910</v>
      </c>
      <c r="B1181" s="13">
        <v>1388</v>
      </c>
    </row>
    <row r="1182" spans="1:2" x14ac:dyDescent="0.25">
      <c r="A1182" t="s">
        <v>1960</v>
      </c>
      <c r="B1182" s="13">
        <v>6712</v>
      </c>
    </row>
    <row r="1183" spans="1:2" x14ac:dyDescent="0.25">
      <c r="A1183" t="s">
        <v>1327</v>
      </c>
      <c r="B1183" s="13">
        <v>1336</v>
      </c>
    </row>
    <row r="1184" spans="1:2" x14ac:dyDescent="0.25">
      <c r="A1184" t="s">
        <v>959</v>
      </c>
      <c r="B1184" s="13">
        <v>4465</v>
      </c>
    </row>
    <row r="1185" spans="1:2" x14ac:dyDescent="0.25">
      <c r="A1185" t="s">
        <v>1338</v>
      </c>
      <c r="B1185" s="13">
        <v>766</v>
      </c>
    </row>
    <row r="1186" spans="1:2" x14ac:dyDescent="0.25">
      <c r="A1186" t="s">
        <v>843</v>
      </c>
      <c r="B1186" s="13">
        <v>5002</v>
      </c>
    </row>
    <row r="1187" spans="1:2" x14ac:dyDescent="0.25">
      <c r="A1187" t="s">
        <v>854</v>
      </c>
      <c r="B1187" s="13">
        <v>1794</v>
      </c>
    </row>
    <row r="1188" spans="1:2" x14ac:dyDescent="0.25">
      <c r="A1188" t="s">
        <v>1002</v>
      </c>
      <c r="B1188" s="13">
        <v>3529</v>
      </c>
    </row>
    <row r="1189" spans="1:2" x14ac:dyDescent="0.25">
      <c r="A1189" t="s">
        <v>1138</v>
      </c>
      <c r="B1189" s="13">
        <v>428</v>
      </c>
    </row>
    <row r="1190" spans="1:2" x14ac:dyDescent="0.25">
      <c r="A1190" t="s">
        <v>1149</v>
      </c>
      <c r="B1190" s="13">
        <v>5220</v>
      </c>
    </row>
    <row r="1191" spans="1:2" x14ac:dyDescent="0.25">
      <c r="A1191" t="s">
        <v>1348</v>
      </c>
      <c r="B1191" s="13">
        <v>1840</v>
      </c>
    </row>
    <row r="1192" spans="1:2" x14ac:dyDescent="0.25">
      <c r="A1192" t="s">
        <v>1359</v>
      </c>
      <c r="B1192" s="13">
        <v>165</v>
      </c>
    </row>
    <row r="1193" spans="1:2" x14ac:dyDescent="0.25">
      <c r="A1193" t="s">
        <v>1387</v>
      </c>
      <c r="B1193" s="13">
        <v>980</v>
      </c>
    </row>
    <row r="1194" spans="1:2" x14ac:dyDescent="0.25">
      <c r="A1194" t="s">
        <v>1478</v>
      </c>
      <c r="B1194" s="13">
        <v>2022</v>
      </c>
    </row>
    <row r="1195" spans="1:2" x14ac:dyDescent="0.25">
      <c r="A1195" t="s">
        <v>1565</v>
      </c>
      <c r="B1195" s="13">
        <v>8315</v>
      </c>
    </row>
    <row r="1196" spans="1:2" x14ac:dyDescent="0.25">
      <c r="A1196" t="s">
        <v>1584</v>
      </c>
      <c r="B1196" s="13">
        <v>5435</v>
      </c>
    </row>
    <row r="1197" spans="1:2" x14ac:dyDescent="0.25">
      <c r="A1197" t="s">
        <v>1739</v>
      </c>
      <c r="B1197" s="13">
        <v>1803</v>
      </c>
    </row>
    <row r="1198" spans="1:2" x14ac:dyDescent="0.25">
      <c r="A1198" t="s">
        <v>1758</v>
      </c>
      <c r="B1198" s="13">
        <v>4686</v>
      </c>
    </row>
    <row r="1199" spans="1:2" x14ac:dyDescent="0.25">
      <c r="A1199" t="s">
        <v>1766</v>
      </c>
      <c r="B1199" s="13">
        <v>2414</v>
      </c>
    </row>
    <row r="1200" spans="1:2" x14ac:dyDescent="0.25">
      <c r="A1200" t="s">
        <v>1776</v>
      </c>
      <c r="B1200" s="13">
        <v>7299</v>
      </c>
    </row>
    <row r="1201" spans="1:2" x14ac:dyDescent="0.25">
      <c r="A1201" t="s">
        <v>1847</v>
      </c>
      <c r="B1201" s="13">
        <v>4316</v>
      </c>
    </row>
    <row r="1202" spans="1:2" x14ac:dyDescent="0.25">
      <c r="A1202" t="s">
        <v>1944</v>
      </c>
      <c r="B1202" s="13">
        <v>1220</v>
      </c>
    </row>
    <row r="1203" spans="1:2" x14ac:dyDescent="0.25">
      <c r="A1203" t="s">
        <v>988</v>
      </c>
      <c r="B1203" s="13">
        <v>147</v>
      </c>
    </row>
    <row r="1204" spans="1:2" x14ac:dyDescent="0.25">
      <c r="A1204" t="s">
        <v>1135</v>
      </c>
      <c r="B1204" s="13">
        <v>1179</v>
      </c>
    </row>
    <row r="1205" spans="1:2" x14ac:dyDescent="0.25">
      <c r="A1205" t="s">
        <v>1156</v>
      </c>
      <c r="B1205" s="13">
        <v>1340</v>
      </c>
    </row>
    <row r="1206" spans="1:2" x14ac:dyDescent="0.25">
      <c r="A1206" t="s">
        <v>1398</v>
      </c>
      <c r="B1206" s="13">
        <v>2343</v>
      </c>
    </row>
    <row r="1207" spans="1:2" x14ac:dyDescent="0.25">
      <c r="A1207" t="s">
        <v>1599</v>
      </c>
      <c r="B1207" s="13">
        <v>3445</v>
      </c>
    </row>
    <row r="1208" spans="1:2" x14ac:dyDescent="0.25">
      <c r="A1208" t="s">
        <v>1950</v>
      </c>
      <c r="B1208" s="13">
        <v>3305</v>
      </c>
    </row>
    <row r="1209" spans="1:2" x14ac:dyDescent="0.25">
      <c r="A1209" t="s">
        <v>1513</v>
      </c>
      <c r="B1209" s="13">
        <v>51</v>
      </c>
    </row>
    <row r="1210" spans="1:2" x14ac:dyDescent="0.25">
      <c r="A1210" t="s">
        <v>1377</v>
      </c>
      <c r="B1210" s="13">
        <v>2117</v>
      </c>
    </row>
    <row r="1211" spans="1:2" x14ac:dyDescent="0.25">
      <c r="A1211" t="s">
        <v>1498</v>
      </c>
      <c r="B1211" s="13">
        <v>343</v>
      </c>
    </row>
    <row r="1212" spans="1:2" x14ac:dyDescent="0.25">
      <c r="A1212" t="s">
        <v>1508</v>
      </c>
      <c r="B1212" s="13">
        <v>7360</v>
      </c>
    </row>
    <row r="1213" spans="1:2" x14ac:dyDescent="0.25">
      <c r="A1213" t="s">
        <v>1786</v>
      </c>
      <c r="B1213" s="13">
        <v>4246</v>
      </c>
    </row>
    <row r="1214" spans="1:2" x14ac:dyDescent="0.25">
      <c r="A1214" t="s">
        <v>1978</v>
      </c>
      <c r="B1214" s="13">
        <v>2729</v>
      </c>
    </row>
    <row r="1215" spans="1:2" x14ac:dyDescent="0.25">
      <c r="A1215" t="s">
        <v>1411</v>
      </c>
      <c r="B1215" s="13">
        <v>3718</v>
      </c>
    </row>
    <row r="1216" spans="1:2" x14ac:dyDescent="0.25">
      <c r="A1216" t="s">
        <v>1110</v>
      </c>
      <c r="B1216" s="13">
        <v>5224</v>
      </c>
    </row>
    <row r="1217" spans="1:2" x14ac:dyDescent="0.25">
      <c r="A1217" t="s">
        <v>1174</v>
      </c>
      <c r="B1217" s="13">
        <v>7764</v>
      </c>
    </row>
    <row r="1218" spans="1:2" x14ac:dyDescent="0.25">
      <c r="A1218" t="s">
        <v>1187</v>
      </c>
      <c r="B1218" s="13">
        <v>501</v>
      </c>
    </row>
    <row r="1219" spans="1:2" x14ac:dyDescent="0.25">
      <c r="A1219" t="s">
        <v>1613</v>
      </c>
      <c r="B1219" s="13">
        <v>3424</v>
      </c>
    </row>
    <row r="1220" spans="1:2" x14ac:dyDescent="0.25">
      <c r="A1220" t="s">
        <v>1157</v>
      </c>
      <c r="B1220" s="13">
        <v>-3024</v>
      </c>
    </row>
    <row r="1221" spans="1:2" x14ac:dyDescent="0.25">
      <c r="A1221" t="s">
        <v>1479</v>
      </c>
      <c r="B1221" s="13">
        <v>-2037</v>
      </c>
    </row>
    <row r="1222" spans="1:2" x14ac:dyDescent="0.25">
      <c r="A1222" t="s">
        <v>1019</v>
      </c>
      <c r="B1222" s="13">
        <v>3711</v>
      </c>
    </row>
    <row r="1223" spans="1:2" x14ac:dyDescent="0.25">
      <c r="A1223" t="s">
        <v>1033</v>
      </c>
      <c r="B1223" s="13">
        <v>1923</v>
      </c>
    </row>
    <row r="1224" spans="1:2" x14ac:dyDescent="0.25">
      <c r="A1224" t="s">
        <v>1115</v>
      </c>
      <c r="B1224" s="13">
        <v>569</v>
      </c>
    </row>
    <row r="1225" spans="1:2" x14ac:dyDescent="0.25">
      <c r="A1225" t="s">
        <v>1200</v>
      </c>
      <c r="B1225" s="13">
        <v>939</v>
      </c>
    </row>
    <row r="1226" spans="1:2" x14ac:dyDescent="0.25">
      <c r="A1226" t="s">
        <v>1541</v>
      </c>
      <c r="B1226" s="13">
        <v>3661</v>
      </c>
    </row>
    <row r="1227" spans="1:2" x14ac:dyDescent="0.25">
      <c r="A1227" t="s">
        <v>1646</v>
      </c>
      <c r="B1227" s="13">
        <v>2131</v>
      </c>
    </row>
    <row r="1228" spans="1:2" x14ac:dyDescent="0.25">
      <c r="A1228" t="s">
        <v>1937</v>
      </c>
      <c r="B1228" s="13">
        <v>1153</v>
      </c>
    </row>
    <row r="1229" spans="1:2" x14ac:dyDescent="0.25">
      <c r="A1229" t="s">
        <v>1968</v>
      </c>
      <c r="B1229" s="13">
        <v>4569</v>
      </c>
    </row>
    <row r="1230" spans="1:2" x14ac:dyDescent="0.25">
      <c r="A1230" t="s">
        <v>1045</v>
      </c>
      <c r="B1230" s="13">
        <v>30</v>
      </c>
    </row>
    <row r="1231" spans="1:2" x14ac:dyDescent="0.25">
      <c r="A1231" t="s">
        <v>1211</v>
      </c>
      <c r="B1231" s="13">
        <v>183</v>
      </c>
    </row>
    <row r="1232" spans="1:2" x14ac:dyDescent="0.25">
      <c r="A1232" t="s">
        <v>1624</v>
      </c>
      <c r="B1232" s="13">
        <v>2699</v>
      </c>
    </row>
    <row r="1233" spans="1:2" x14ac:dyDescent="0.25">
      <c r="A1233" t="s">
        <v>1861</v>
      </c>
      <c r="B1233" s="13">
        <v>6104</v>
      </c>
    </row>
    <row r="1234" spans="1:2" x14ac:dyDescent="0.25">
      <c r="A1234" t="s">
        <v>1869</v>
      </c>
      <c r="B1234" s="13">
        <v>5192</v>
      </c>
    </row>
    <row r="1235" spans="1:2" x14ac:dyDescent="0.25">
      <c r="A1235" t="s">
        <v>1998</v>
      </c>
      <c r="B1235" s="13">
        <v>3958</v>
      </c>
    </row>
    <row r="1236" spans="1:2" x14ac:dyDescent="0.25">
      <c r="A1236" t="s">
        <v>1556</v>
      </c>
      <c r="B1236" s="13">
        <v>6600</v>
      </c>
    </row>
    <row r="1237" spans="1:2" x14ac:dyDescent="0.25">
      <c r="A1237" t="s">
        <v>1669</v>
      </c>
      <c r="B1237" s="13">
        <v>4357</v>
      </c>
    </row>
    <row r="1238" spans="1:2" x14ac:dyDescent="0.25">
      <c r="A1238" t="s">
        <v>1679</v>
      </c>
      <c r="B1238" s="13">
        <v>1465</v>
      </c>
    </row>
    <row r="1239" spans="1:2" x14ac:dyDescent="0.25">
      <c r="A1239" t="s">
        <v>1989</v>
      </c>
      <c r="B1239" s="13">
        <v>3503</v>
      </c>
    </row>
    <row r="1240" spans="1:2" x14ac:dyDescent="0.25">
      <c r="A1240" t="s">
        <v>1262</v>
      </c>
      <c r="B1240" s="13">
        <v>841</v>
      </c>
    </row>
    <row r="1241" spans="1:2" x14ac:dyDescent="0.25">
      <c r="A1241" t="s">
        <v>1420</v>
      </c>
      <c r="B1241" s="13">
        <v>4044</v>
      </c>
    </row>
    <row r="1242" spans="1:2" x14ac:dyDescent="0.25">
      <c r="A1242" t="s">
        <v>1731</v>
      </c>
      <c r="B1242" s="13">
        <v>1121</v>
      </c>
    </row>
    <row r="1243" spans="1:2" x14ac:dyDescent="0.25">
      <c r="A1243" t="s">
        <v>1811</v>
      </c>
      <c r="B1243" s="13">
        <v>4519</v>
      </c>
    </row>
    <row r="1244" spans="1:2" x14ac:dyDescent="0.25">
      <c r="A1244" t="s">
        <v>1819</v>
      </c>
      <c r="B1244" s="13">
        <v>1559</v>
      </c>
    </row>
    <row r="1245" spans="1:2" x14ac:dyDescent="0.25">
      <c r="A1245" t="s">
        <v>1880</v>
      </c>
      <c r="B1245" s="13">
        <v>921</v>
      </c>
    </row>
    <row r="1246" spans="1:2" x14ac:dyDescent="0.25">
      <c r="A1246" t="s">
        <v>1884</v>
      </c>
      <c r="B1246" s="13">
        <v>1750</v>
      </c>
    </row>
    <row r="1247" spans="1:2" x14ac:dyDescent="0.25">
      <c r="A1247" t="s">
        <v>1895</v>
      </c>
      <c r="B1247" s="13">
        <v>3599</v>
      </c>
    </row>
    <row r="1248" spans="1:2" x14ac:dyDescent="0.25">
      <c r="A1248" t="s">
        <v>2005</v>
      </c>
      <c r="B1248" s="13">
        <v>7079</v>
      </c>
    </row>
    <row r="1249" spans="1:2" x14ac:dyDescent="0.25">
      <c r="A1249" t="s">
        <v>890</v>
      </c>
      <c r="B1249" s="13">
        <v>1718</v>
      </c>
    </row>
    <row r="1250" spans="1:2" x14ac:dyDescent="0.25">
      <c r="A1250" t="s">
        <v>891</v>
      </c>
      <c r="B1250" s="13">
        <v>544</v>
      </c>
    </row>
    <row r="1251" spans="1:2" x14ac:dyDescent="0.25">
      <c r="A1251" t="s">
        <v>892</v>
      </c>
      <c r="B1251" s="13">
        <v>1852</v>
      </c>
    </row>
    <row r="1252" spans="1:2" x14ac:dyDescent="0.25">
      <c r="A1252" t="s">
        <v>893</v>
      </c>
      <c r="B1252" s="13">
        <v>2016</v>
      </c>
    </row>
    <row r="1253" spans="1:2" x14ac:dyDescent="0.25">
      <c r="A1253" t="s">
        <v>899</v>
      </c>
      <c r="B1253" s="13">
        <v>2839</v>
      </c>
    </row>
    <row r="1254" spans="1:2" x14ac:dyDescent="0.25">
      <c r="A1254" t="s">
        <v>919</v>
      </c>
      <c r="B1254" s="13">
        <v>993</v>
      </c>
    </row>
    <row r="1255" spans="1:2" x14ac:dyDescent="0.25">
      <c r="A1255" t="s">
        <v>934</v>
      </c>
      <c r="B1255" s="13">
        <v>1308</v>
      </c>
    </row>
    <row r="1256" spans="1:2" x14ac:dyDescent="0.25">
      <c r="A1256" t="s">
        <v>1696</v>
      </c>
      <c r="B1256" s="13">
        <v>4729</v>
      </c>
    </row>
    <row r="1257" spans="1:2" x14ac:dyDescent="0.25">
      <c r="A1257" t="s">
        <v>1903</v>
      </c>
      <c r="B1257" s="13">
        <v>621</v>
      </c>
    </row>
    <row r="1258" spans="1:2" x14ac:dyDescent="0.25">
      <c r="A1258" t="s">
        <v>1096</v>
      </c>
      <c r="B1258" s="13">
        <v>1688</v>
      </c>
    </row>
    <row r="1259" spans="1:2" x14ac:dyDescent="0.25">
      <c r="A1259" t="s">
        <v>1229</v>
      </c>
      <c r="B1259" s="13">
        <v>2838</v>
      </c>
    </row>
    <row r="1260" spans="1:2" x14ac:dyDescent="0.25">
      <c r="A1260" t="s">
        <v>1247</v>
      </c>
      <c r="B1260" s="13">
        <v>4317</v>
      </c>
    </row>
    <row r="1261" spans="1:2" x14ac:dyDescent="0.25">
      <c r="A1261" t="s">
        <v>1285</v>
      </c>
      <c r="B1261" s="13">
        <v>1425</v>
      </c>
    </row>
    <row r="1262" spans="1:2" x14ac:dyDescent="0.25">
      <c r="A1262" t="s">
        <v>13</v>
      </c>
      <c r="B1262" s="13">
        <v>-2231</v>
      </c>
    </row>
    <row r="1263" spans="1:2" x14ac:dyDescent="0.25">
      <c r="A1263" t="s">
        <v>17</v>
      </c>
      <c r="B1263" s="13">
        <v>-3246</v>
      </c>
    </row>
    <row r="1264" spans="1:2" x14ac:dyDescent="0.25">
      <c r="A1264" t="s">
        <v>21</v>
      </c>
      <c r="B1264" s="13">
        <v>-9287</v>
      </c>
    </row>
    <row r="1265" spans="1:2" x14ac:dyDescent="0.25">
      <c r="A1265" t="s">
        <v>37</v>
      </c>
      <c r="B1265" s="13">
        <v>-166</v>
      </c>
    </row>
    <row r="1266" spans="1:2" x14ac:dyDescent="0.25">
      <c r="A1266" t="s">
        <v>42</v>
      </c>
      <c r="B1266" s="13">
        <v>-3464</v>
      </c>
    </row>
    <row r="1267" spans="1:2" x14ac:dyDescent="0.25">
      <c r="A1267" t="s">
        <v>46</v>
      </c>
      <c r="B1267" s="13">
        <v>-4500</v>
      </c>
    </row>
    <row r="1268" spans="1:2" x14ac:dyDescent="0.25">
      <c r="A1268" t="s">
        <v>49</v>
      </c>
      <c r="B1268" s="13">
        <v>-3970</v>
      </c>
    </row>
    <row r="1269" spans="1:2" x14ac:dyDescent="0.25">
      <c r="A1269" t="s">
        <v>52</v>
      </c>
      <c r="B1269" s="13">
        <v>-779</v>
      </c>
    </row>
    <row r="1270" spans="1:2" x14ac:dyDescent="0.25">
      <c r="A1270" t="s">
        <v>58</v>
      </c>
      <c r="B1270" s="13">
        <v>-993</v>
      </c>
    </row>
    <row r="1271" spans="1:2" x14ac:dyDescent="0.25">
      <c r="A1271" t="s">
        <v>61</v>
      </c>
      <c r="B1271" s="13">
        <v>-536</v>
      </c>
    </row>
    <row r="1272" spans="1:2" x14ac:dyDescent="0.25">
      <c r="A1272" t="s">
        <v>70</v>
      </c>
      <c r="B1272" s="13">
        <v>-49</v>
      </c>
    </row>
    <row r="1273" spans="1:2" x14ac:dyDescent="0.25">
      <c r="A1273" t="s">
        <v>75</v>
      </c>
      <c r="B1273" s="13">
        <v>-1699</v>
      </c>
    </row>
    <row r="1274" spans="1:2" x14ac:dyDescent="0.25">
      <c r="A1274" t="s">
        <v>82</v>
      </c>
      <c r="B1274" s="13">
        <v>-606</v>
      </c>
    </row>
    <row r="1275" spans="1:2" x14ac:dyDescent="0.25">
      <c r="A1275" t="s">
        <v>107</v>
      </c>
      <c r="B1275" s="13">
        <v>-7038</v>
      </c>
    </row>
    <row r="1276" spans="1:2" x14ac:dyDescent="0.25">
      <c r="A1276" t="s">
        <v>155</v>
      </c>
      <c r="B1276" s="13">
        <v>-10494</v>
      </c>
    </row>
    <row r="1277" spans="1:2" x14ac:dyDescent="0.25">
      <c r="A1277" t="s">
        <v>166</v>
      </c>
      <c r="B1277" s="13">
        <v>-4007</v>
      </c>
    </row>
    <row r="1278" spans="1:2" x14ac:dyDescent="0.25">
      <c r="A1278" t="s">
        <v>181</v>
      </c>
      <c r="B1278" s="13">
        <v>-5938</v>
      </c>
    </row>
    <row r="1279" spans="1:2" x14ac:dyDescent="0.25">
      <c r="A1279" t="s">
        <v>189</v>
      </c>
      <c r="B1279" s="13">
        <v>-2092</v>
      </c>
    </row>
    <row r="1280" spans="1:2" x14ac:dyDescent="0.25">
      <c r="A1280" t="s">
        <v>216</v>
      </c>
      <c r="B1280" s="13">
        <v>-655</v>
      </c>
    </row>
    <row r="1281" spans="1:2" x14ac:dyDescent="0.25">
      <c r="A1281" t="s">
        <v>221</v>
      </c>
      <c r="B1281" s="13">
        <v>-12313</v>
      </c>
    </row>
    <row r="1282" spans="1:2" x14ac:dyDescent="0.25">
      <c r="A1282" t="s">
        <v>228</v>
      </c>
      <c r="B1282" s="13">
        <v>-1546</v>
      </c>
    </row>
    <row r="1283" spans="1:2" x14ac:dyDescent="0.25">
      <c r="A1283" t="s">
        <v>241</v>
      </c>
      <c r="B1283" s="13">
        <v>-1379</v>
      </c>
    </row>
    <row r="1284" spans="1:2" x14ac:dyDescent="0.25">
      <c r="A1284" t="s">
        <v>278</v>
      </c>
      <c r="B1284" s="13">
        <v>-4194</v>
      </c>
    </row>
    <row r="1285" spans="1:2" x14ac:dyDescent="0.25">
      <c r="A1285" t="s">
        <v>289</v>
      </c>
      <c r="B1285" s="13">
        <v>-88130</v>
      </c>
    </row>
    <row r="1286" spans="1:2" x14ac:dyDescent="0.25">
      <c r="A1286" t="s">
        <v>304</v>
      </c>
      <c r="B1286" s="13">
        <v>-2889</v>
      </c>
    </row>
    <row r="1287" spans="1:2" x14ac:dyDescent="0.25">
      <c r="A1287" t="s">
        <v>307</v>
      </c>
      <c r="B1287" s="13">
        <v>-1841</v>
      </c>
    </row>
    <row r="1288" spans="1:2" x14ac:dyDescent="0.25">
      <c r="A1288" t="s">
        <v>313</v>
      </c>
      <c r="B1288" s="13">
        <v>-2237</v>
      </c>
    </row>
    <row r="1289" spans="1:2" x14ac:dyDescent="0.25">
      <c r="A1289" t="s">
        <v>327</v>
      </c>
      <c r="B1289" s="13">
        <v>-43529</v>
      </c>
    </row>
    <row r="1290" spans="1:2" x14ac:dyDescent="0.25">
      <c r="A1290" t="s">
        <v>340</v>
      </c>
      <c r="B1290" s="13">
        <v>-4524</v>
      </c>
    </row>
    <row r="1291" spans="1:2" x14ac:dyDescent="0.25">
      <c r="A1291" t="s">
        <v>359</v>
      </c>
      <c r="B1291" s="13">
        <v>-9650</v>
      </c>
    </row>
    <row r="1292" spans="1:2" x14ac:dyDescent="0.25">
      <c r="A1292" t="s">
        <v>379</v>
      </c>
      <c r="B1292" s="13">
        <v>-19036</v>
      </c>
    </row>
    <row r="1293" spans="1:2" x14ac:dyDescent="0.25">
      <c r="A1293" t="s">
        <v>382</v>
      </c>
      <c r="B1293" s="13">
        <v>-1323</v>
      </c>
    </row>
    <row r="1294" spans="1:2" x14ac:dyDescent="0.25">
      <c r="A1294" t="s">
        <v>398</v>
      </c>
      <c r="B1294" s="13">
        <v>-22484</v>
      </c>
    </row>
    <row r="1295" spans="1:2" x14ac:dyDescent="0.25">
      <c r="A1295" t="s">
        <v>406</v>
      </c>
      <c r="B1295" s="13">
        <v>-6645</v>
      </c>
    </row>
    <row r="1296" spans="1:2" x14ac:dyDescent="0.25">
      <c r="A1296" t="s">
        <v>411</v>
      </c>
      <c r="B1296" s="13">
        <v>-23826</v>
      </c>
    </row>
    <row r="1297" spans="1:2" x14ac:dyDescent="0.25">
      <c r="A1297" t="s">
        <v>416</v>
      </c>
      <c r="B1297" s="13">
        <v>-114999</v>
      </c>
    </row>
    <row r="1298" spans="1:2" x14ac:dyDescent="0.25">
      <c r="A1298" t="s">
        <v>423</v>
      </c>
      <c r="B1298" s="13">
        <v>-111371</v>
      </c>
    </row>
    <row r="1299" spans="1:2" x14ac:dyDescent="0.25">
      <c r="A1299" t="s">
        <v>427</v>
      </c>
      <c r="B1299" s="13">
        <v>-114084</v>
      </c>
    </row>
    <row r="1300" spans="1:2" x14ac:dyDescent="0.25">
      <c r="A1300" t="s">
        <v>450</v>
      </c>
      <c r="B1300" s="13">
        <v>-106616</v>
      </c>
    </row>
    <row r="1301" spans="1:2" x14ac:dyDescent="0.25">
      <c r="A1301" t="s">
        <v>467</v>
      </c>
      <c r="B1301" s="13">
        <v>-65000</v>
      </c>
    </row>
    <row r="1302" spans="1:2" x14ac:dyDescent="0.25">
      <c r="A1302" t="s">
        <v>480</v>
      </c>
      <c r="B1302" s="13">
        <v>-35034</v>
      </c>
    </row>
    <row r="1303" spans="1:2" x14ac:dyDescent="0.25">
      <c r="A1303" t="s">
        <v>497</v>
      </c>
      <c r="B1303" s="13">
        <v>-53000</v>
      </c>
    </row>
    <row r="1304" spans="1:2" x14ac:dyDescent="0.25">
      <c r="A1304" t="s">
        <v>504</v>
      </c>
      <c r="B1304" s="13">
        <v>-37153</v>
      </c>
    </row>
    <row r="1305" spans="1:2" x14ac:dyDescent="0.25">
      <c r="A1305" t="s">
        <v>507</v>
      </c>
      <c r="B1305" s="13">
        <v>-55000</v>
      </c>
    </row>
    <row r="1306" spans="1:2" x14ac:dyDescent="0.25">
      <c r="A1306" t="s">
        <v>514</v>
      </c>
      <c r="B1306" s="13">
        <v>-140616</v>
      </c>
    </row>
    <row r="1307" spans="1:2" x14ac:dyDescent="0.25">
      <c r="A1307" t="s">
        <v>517</v>
      </c>
      <c r="B1307" s="13">
        <v>-75000</v>
      </c>
    </row>
    <row r="1308" spans="1:2" x14ac:dyDescent="0.25">
      <c r="A1308" t="s">
        <v>528</v>
      </c>
      <c r="B1308" s="13">
        <v>-63874</v>
      </c>
    </row>
    <row r="1309" spans="1:2" x14ac:dyDescent="0.25">
      <c r="A1309" t="s">
        <v>536</v>
      </c>
      <c r="B1309" s="13">
        <v>-54401</v>
      </c>
    </row>
    <row r="1310" spans="1:2" x14ac:dyDescent="0.25">
      <c r="A1310" t="s">
        <v>539</v>
      </c>
      <c r="B1310" s="13">
        <v>-55000</v>
      </c>
    </row>
    <row r="1311" spans="1:2" x14ac:dyDescent="0.25">
      <c r="A1311" t="s">
        <v>546</v>
      </c>
      <c r="B1311" s="13">
        <v>-52549</v>
      </c>
    </row>
    <row r="1312" spans="1:2" x14ac:dyDescent="0.25">
      <c r="A1312" t="s">
        <v>552</v>
      </c>
      <c r="B1312" s="13">
        <v>-52028</v>
      </c>
    </row>
    <row r="1313" spans="1:2" x14ac:dyDescent="0.25">
      <c r="A1313" t="s">
        <v>561</v>
      </c>
      <c r="B1313" s="13">
        <v>-76186</v>
      </c>
    </row>
    <row r="1314" spans="1:2" x14ac:dyDescent="0.25">
      <c r="A1314" t="s">
        <v>567</v>
      </c>
      <c r="B1314" s="13">
        <v>-40870</v>
      </c>
    </row>
    <row r="1315" spans="1:2" x14ac:dyDescent="0.25">
      <c r="A1315" t="s">
        <v>576</v>
      </c>
      <c r="B1315" s="13">
        <v>-135186</v>
      </c>
    </row>
    <row r="1316" spans="1:2" x14ac:dyDescent="0.25">
      <c r="A1316" t="s">
        <v>579</v>
      </c>
      <c r="B1316" s="13">
        <v>-45000</v>
      </c>
    </row>
    <row r="1317" spans="1:2" x14ac:dyDescent="0.25">
      <c r="A1317" t="s">
        <v>587</v>
      </c>
      <c r="B1317" s="13">
        <v>-62506</v>
      </c>
    </row>
    <row r="1318" spans="1:2" x14ac:dyDescent="0.25">
      <c r="A1318" t="s">
        <v>601</v>
      </c>
      <c r="B1318" s="13">
        <v>-42518</v>
      </c>
    </row>
    <row r="1319" spans="1:2" x14ac:dyDescent="0.25">
      <c r="A1319" t="s">
        <v>605</v>
      </c>
      <c r="B1319" s="13">
        <v>-87349</v>
      </c>
    </row>
    <row r="1320" spans="1:2" x14ac:dyDescent="0.25">
      <c r="A1320" t="s">
        <v>613</v>
      </c>
      <c r="B1320" s="13">
        <v>-107185</v>
      </c>
    </row>
    <row r="1321" spans="1:2" x14ac:dyDescent="0.25">
      <c r="A1321" t="s">
        <v>621</v>
      </c>
      <c r="B1321" s="13">
        <v>-81869</v>
      </c>
    </row>
    <row r="1322" spans="1:2" x14ac:dyDescent="0.25">
      <c r="A1322" t="s">
        <v>627</v>
      </c>
      <c r="B1322" s="13">
        <v>-39349</v>
      </c>
    </row>
    <row r="1323" spans="1:2" x14ac:dyDescent="0.25">
      <c r="A1323" t="s">
        <v>642</v>
      </c>
      <c r="B1323" s="13">
        <v>-197846</v>
      </c>
    </row>
    <row r="1324" spans="1:2" x14ac:dyDescent="0.25">
      <c r="A1324" t="s">
        <v>653</v>
      </c>
      <c r="B1324" s="13">
        <v>-63499</v>
      </c>
    </row>
    <row r="1325" spans="1:2" x14ac:dyDescent="0.25">
      <c r="A1325" t="s">
        <v>662</v>
      </c>
      <c r="B1325" s="13">
        <v>-94058</v>
      </c>
    </row>
    <row r="1326" spans="1:2" x14ac:dyDescent="0.25">
      <c r="A1326" t="s">
        <v>670</v>
      </c>
      <c r="B1326" s="13">
        <v>-176907</v>
      </c>
    </row>
    <row r="1327" spans="1:2" x14ac:dyDescent="0.25">
      <c r="A1327" t="s">
        <v>681</v>
      </c>
      <c r="B1327" s="13">
        <v>-67360</v>
      </c>
    </row>
    <row r="1328" spans="1:2" x14ac:dyDescent="0.25">
      <c r="A1328" t="s">
        <v>689</v>
      </c>
      <c r="B1328" s="13">
        <v>-54367</v>
      </c>
    </row>
    <row r="1329" spans="1:2" x14ac:dyDescent="0.25">
      <c r="A1329" t="s">
        <v>692</v>
      </c>
      <c r="B1329" s="13">
        <v>-155000</v>
      </c>
    </row>
    <row r="1330" spans="1:2" x14ac:dyDescent="0.25">
      <c r="A1330" t="s">
        <v>695</v>
      </c>
      <c r="B1330" s="13">
        <v>-35000</v>
      </c>
    </row>
    <row r="1331" spans="1:2" x14ac:dyDescent="0.25">
      <c r="A1331" t="s">
        <v>699</v>
      </c>
      <c r="B1331" s="13">
        <v>-46756</v>
      </c>
    </row>
    <row r="1332" spans="1:2" x14ac:dyDescent="0.25">
      <c r="A1332" t="s">
        <v>708</v>
      </c>
      <c r="B1332" s="13">
        <v>-61974</v>
      </c>
    </row>
    <row r="1333" spans="1:2" x14ac:dyDescent="0.25">
      <c r="A1333" t="s">
        <v>713</v>
      </c>
      <c r="B1333" s="13">
        <v>-95606</v>
      </c>
    </row>
    <row r="1334" spans="1:2" x14ac:dyDescent="0.25">
      <c r="A1334" t="s">
        <v>718</v>
      </c>
      <c r="B1334" s="13">
        <v>-56498</v>
      </c>
    </row>
    <row r="1335" spans="1:2" x14ac:dyDescent="0.25">
      <c r="A1335" t="s">
        <v>725</v>
      </c>
      <c r="B1335" s="13">
        <v>-80970</v>
      </c>
    </row>
    <row r="1336" spans="1:2" x14ac:dyDescent="0.25">
      <c r="A1336" t="s">
        <v>731</v>
      </c>
      <c r="B1336" s="13">
        <v>-59348</v>
      </c>
    </row>
    <row r="1337" spans="1:2" x14ac:dyDescent="0.25">
      <c r="A1337" t="s">
        <v>735</v>
      </c>
      <c r="B1337" s="13">
        <v>-72997</v>
      </c>
    </row>
    <row r="1338" spans="1:2" x14ac:dyDescent="0.25">
      <c r="A1338" t="s">
        <v>751</v>
      </c>
      <c r="B1338" s="13">
        <v>-38509</v>
      </c>
    </row>
    <row r="1339" spans="1:2" x14ac:dyDescent="0.25">
      <c r="A1339" t="s">
        <v>816</v>
      </c>
      <c r="B1339" s="13">
        <v>-121531</v>
      </c>
    </row>
    <row r="1340" spans="1:2" x14ac:dyDescent="0.25">
      <c r="A1340" t="s">
        <v>1088</v>
      </c>
      <c r="B1340" s="13">
        <v>-42797</v>
      </c>
    </row>
    <row r="1341" spans="1:2" x14ac:dyDescent="0.25">
      <c r="A1341" t="s">
        <v>24</v>
      </c>
      <c r="B1341" s="13">
        <v>-1013</v>
      </c>
    </row>
    <row r="1342" spans="1:2" x14ac:dyDescent="0.25">
      <c r="A1342" t="s">
        <v>66</v>
      </c>
      <c r="B1342" s="13">
        <v>-969</v>
      </c>
    </row>
    <row r="1343" spans="1:2" x14ac:dyDescent="0.25">
      <c r="A1343" t="s">
        <v>292</v>
      </c>
      <c r="B1343" s="13">
        <v>-3035</v>
      </c>
    </row>
    <row r="1344" spans="1:2" x14ac:dyDescent="0.25">
      <c r="A1344" t="s">
        <v>1951</v>
      </c>
      <c r="B1344" s="13">
        <v>-3505</v>
      </c>
    </row>
    <row r="1345" spans="1:2" x14ac:dyDescent="0.25">
      <c r="A1345" t="s">
        <v>1881</v>
      </c>
      <c r="B1345" s="13">
        <v>-3956</v>
      </c>
    </row>
    <row r="1346" spans="1:2" x14ac:dyDescent="0.25">
      <c r="A1346" t="s">
        <v>1175</v>
      </c>
      <c r="B1346" s="13">
        <v>-155482</v>
      </c>
    </row>
    <row r="1347" spans="1:2" x14ac:dyDescent="0.25">
      <c r="A1347" t="s">
        <v>1013</v>
      </c>
      <c r="B1347" s="13">
        <v>-218220</v>
      </c>
    </row>
    <row r="1348" spans="1:2" x14ac:dyDescent="0.25">
      <c r="A1348" t="s">
        <v>764</v>
      </c>
      <c r="B1348" s="13">
        <v>-162684</v>
      </c>
    </row>
    <row r="1349" spans="1:2" x14ac:dyDescent="0.25">
      <c r="A1349" t="s">
        <v>1751</v>
      </c>
      <c r="B1349" s="13">
        <v>-213</v>
      </c>
    </row>
    <row r="1350" spans="1:2" x14ac:dyDescent="0.25">
      <c r="A1350" t="s">
        <v>1874</v>
      </c>
      <c r="B1350" s="13">
        <v>-6641</v>
      </c>
    </row>
    <row r="1351" spans="1:2" x14ac:dyDescent="0.25">
      <c r="A1351" t="s">
        <v>1136</v>
      </c>
      <c r="B1351" s="13">
        <v>-67231</v>
      </c>
    </row>
    <row r="1352" spans="1:2" x14ac:dyDescent="0.25">
      <c r="A1352" t="s">
        <v>905</v>
      </c>
      <c r="B1352" s="13">
        <v>-39118</v>
      </c>
    </row>
    <row r="1353" spans="1:2" x14ac:dyDescent="0.25">
      <c r="A1353" t="s">
        <v>1532</v>
      </c>
      <c r="B1353" s="13">
        <v>-2605</v>
      </c>
    </row>
    <row r="1354" spans="1:2" x14ac:dyDescent="0.25">
      <c r="A1354" t="s">
        <v>1561</v>
      </c>
      <c r="B1354" s="13">
        <v>-2543</v>
      </c>
    </row>
    <row r="1355" spans="1:2" x14ac:dyDescent="0.25">
      <c r="A1355" t="s">
        <v>1787</v>
      </c>
      <c r="B1355" s="13">
        <v>-33845</v>
      </c>
    </row>
    <row r="1356" spans="1:2" x14ac:dyDescent="0.25">
      <c r="A1356" t="s">
        <v>1188</v>
      </c>
      <c r="B1356" s="13">
        <v>-56431</v>
      </c>
    </row>
    <row r="1357" spans="1:2" x14ac:dyDescent="0.25">
      <c r="A1357" t="s">
        <v>1759</v>
      </c>
      <c r="B1357" s="13">
        <v>-24577</v>
      </c>
    </row>
    <row r="1358" spans="1:2" x14ac:dyDescent="0.25">
      <c r="A1358" t="s">
        <v>1812</v>
      </c>
      <c r="B1358" s="13">
        <v>-27615</v>
      </c>
    </row>
    <row r="1359" spans="1:2" x14ac:dyDescent="0.25">
      <c r="A1359" t="s">
        <v>1378</v>
      </c>
      <c r="B1359" s="13">
        <v>-21794</v>
      </c>
    </row>
    <row r="1360" spans="1:2" x14ac:dyDescent="0.25">
      <c r="A1360" t="s">
        <v>1058</v>
      </c>
      <c r="B1360" s="13">
        <v>-64380</v>
      </c>
    </row>
    <row r="1361" spans="1:2" x14ac:dyDescent="0.25">
      <c r="A1361" t="s">
        <v>775</v>
      </c>
      <c r="B1361" s="13">
        <v>-59191</v>
      </c>
    </row>
    <row r="1362" spans="1:2" x14ac:dyDescent="0.25">
      <c r="A1362" t="s">
        <v>1428</v>
      </c>
      <c r="B1362" s="13">
        <v>-18187</v>
      </c>
    </row>
    <row r="1363" spans="1:2" x14ac:dyDescent="0.25">
      <c r="A1363" t="s">
        <v>833</v>
      </c>
      <c r="B1363" s="13">
        <v>-49637</v>
      </c>
    </row>
    <row r="1364" spans="1:2" x14ac:dyDescent="0.25">
      <c r="A1364" t="s">
        <v>1449</v>
      </c>
      <c r="B1364" s="13">
        <v>-1905</v>
      </c>
    </row>
    <row r="1365" spans="1:2" x14ac:dyDescent="0.25">
      <c r="A1365" t="s">
        <v>1838</v>
      </c>
      <c r="B1365" s="13">
        <v>-1562</v>
      </c>
    </row>
    <row r="1366" spans="1:2" x14ac:dyDescent="0.25">
      <c r="A1366" t="s">
        <v>885</v>
      </c>
      <c r="B1366" s="13">
        <v>-59000</v>
      </c>
    </row>
    <row r="1367" spans="1:2" x14ac:dyDescent="0.25">
      <c r="A1367" t="s">
        <v>1830</v>
      </c>
      <c r="B1367" s="13">
        <v>-2174</v>
      </c>
    </row>
    <row r="1368" spans="1:2" x14ac:dyDescent="0.25">
      <c r="A1368" t="s">
        <v>1574</v>
      </c>
      <c r="B1368" s="13">
        <v>-2036</v>
      </c>
    </row>
    <row r="1369" spans="1:2" x14ac:dyDescent="0.25">
      <c r="A1369" t="s">
        <v>1491</v>
      </c>
      <c r="B1369" s="13">
        <v>-3101</v>
      </c>
    </row>
    <row r="1370" spans="1:2" x14ac:dyDescent="0.25">
      <c r="A1370" t="s">
        <v>1123</v>
      </c>
      <c r="B1370" s="13">
        <v>-53665</v>
      </c>
    </row>
    <row r="1371" spans="1:2" x14ac:dyDescent="0.25">
      <c r="A1371" t="s">
        <v>1919</v>
      </c>
      <c r="B1371" s="13">
        <v>-9942</v>
      </c>
    </row>
    <row r="1372" spans="1:2" x14ac:dyDescent="0.25">
      <c r="A1372" t="s">
        <v>1581</v>
      </c>
      <c r="B1372" s="13">
        <v>-4753</v>
      </c>
    </row>
    <row r="1373" spans="1:2" x14ac:dyDescent="0.25">
      <c r="A1373" t="s">
        <v>1100</v>
      </c>
      <c r="B1373" s="13">
        <v>-4043</v>
      </c>
    </row>
    <row r="1374" spans="1:2" x14ac:dyDescent="0.25">
      <c r="A1374" t="s">
        <v>213</v>
      </c>
      <c r="B1374" s="13">
        <v>-3850</v>
      </c>
    </row>
    <row r="1375" spans="1:2" x14ac:dyDescent="0.25">
      <c r="A1375" t="s">
        <v>1979</v>
      </c>
      <c r="B1375" s="13">
        <v>-10394</v>
      </c>
    </row>
    <row r="1376" spans="1:2" x14ac:dyDescent="0.25">
      <c r="A1376" t="s">
        <v>1162</v>
      </c>
      <c r="B1376" s="13">
        <v>-42521</v>
      </c>
    </row>
    <row r="1377" spans="1:2" x14ac:dyDescent="0.25">
      <c r="A1377" t="s">
        <v>522</v>
      </c>
      <c r="B1377" s="13">
        <v>-42507</v>
      </c>
    </row>
    <row r="1378" spans="1:2" x14ac:dyDescent="0.25">
      <c r="A1378" t="s">
        <v>1365</v>
      </c>
      <c r="B1378" s="13">
        <v>-3458</v>
      </c>
    </row>
    <row r="1379" spans="1:2" x14ac:dyDescent="0.25">
      <c r="A1379" t="s">
        <v>275</v>
      </c>
      <c r="B1379" s="13">
        <v>-2918</v>
      </c>
    </row>
    <row r="1380" spans="1:2" x14ac:dyDescent="0.25">
      <c r="A1380" t="s">
        <v>272</v>
      </c>
      <c r="B1380" s="13">
        <v>-2249</v>
      </c>
    </row>
    <row r="1381" spans="1:2" x14ac:dyDescent="0.25">
      <c r="A1381" t="s">
        <v>801</v>
      </c>
      <c r="B1381" s="13">
        <v>-34508</v>
      </c>
    </row>
    <row r="1382" spans="1:2" x14ac:dyDescent="0.25">
      <c r="A1382" t="s">
        <v>870</v>
      </c>
      <c r="B1382" s="13">
        <v>-19000</v>
      </c>
    </row>
    <row r="1383" spans="1:2" x14ac:dyDescent="0.25">
      <c r="A1383" t="s">
        <v>1309</v>
      </c>
      <c r="B1383" s="13">
        <v>4480</v>
      </c>
    </row>
    <row r="1384" spans="1:2" x14ac:dyDescent="0.25">
      <c r="A1384" t="s">
        <v>1438</v>
      </c>
      <c r="B1384" s="13">
        <v>5931</v>
      </c>
    </row>
    <row r="1385" spans="1:2" x14ac:dyDescent="0.25">
      <c r="A1385" t="s">
        <v>1691</v>
      </c>
      <c r="B1385" s="13">
        <v>4309</v>
      </c>
    </row>
    <row r="1386" spans="1:2" x14ac:dyDescent="0.25">
      <c r="A1386" t="s">
        <v>1833</v>
      </c>
      <c r="B1386" s="13">
        <v>4122</v>
      </c>
    </row>
    <row r="1387" spans="1:2" x14ac:dyDescent="0.25">
      <c r="A1387" t="s">
        <v>1071</v>
      </c>
      <c r="B1387" s="13">
        <v>3750</v>
      </c>
    </row>
    <row r="1388" spans="1:2" x14ac:dyDescent="0.25">
      <c r="A1388" t="s">
        <v>1297</v>
      </c>
      <c r="B1388" s="13">
        <v>1077</v>
      </c>
    </row>
    <row r="1389" spans="1:2" x14ac:dyDescent="0.25">
      <c r="A1389" t="s">
        <v>1313</v>
      </c>
      <c r="B1389" s="13">
        <v>28</v>
      </c>
    </row>
    <row r="1390" spans="1:2" x14ac:dyDescent="0.25">
      <c r="A1390" t="s">
        <v>1315</v>
      </c>
      <c r="B1390" s="13">
        <v>1719</v>
      </c>
    </row>
    <row r="1391" spans="1:2" x14ac:dyDescent="0.25">
      <c r="A1391" t="s">
        <v>1463</v>
      </c>
      <c r="B1391" s="13">
        <v>3644</v>
      </c>
    </row>
    <row r="1392" spans="1:2" x14ac:dyDescent="0.25">
      <c r="A1392" t="s">
        <v>1911</v>
      </c>
      <c r="B1392" s="13">
        <v>1450</v>
      </c>
    </row>
    <row r="1393" spans="1:2" x14ac:dyDescent="0.25">
      <c r="A1393" t="s">
        <v>1961</v>
      </c>
      <c r="B1393" s="13">
        <v>6398</v>
      </c>
    </row>
    <row r="1394" spans="1:2" x14ac:dyDescent="0.25">
      <c r="A1394" t="s">
        <v>2017</v>
      </c>
      <c r="B1394" s="13">
        <v>19633</v>
      </c>
    </row>
    <row r="1395" spans="1:2" x14ac:dyDescent="0.25">
      <c r="A1395" t="s">
        <v>1798</v>
      </c>
      <c r="B1395" s="13">
        <v>-78200</v>
      </c>
    </row>
    <row r="1396" spans="1:2" x14ac:dyDescent="0.25">
      <c r="A1396" t="s">
        <v>1082</v>
      </c>
      <c r="B1396" s="13">
        <v>6317</v>
      </c>
    </row>
    <row r="1397" spans="1:2" x14ac:dyDescent="0.25">
      <c r="A1397" t="s">
        <v>1473</v>
      </c>
      <c r="B1397" s="13">
        <v>8602</v>
      </c>
    </row>
    <row r="1398" spans="1:2" x14ac:dyDescent="0.25">
      <c r="A1398" t="s">
        <v>1723</v>
      </c>
      <c r="B1398" s="13">
        <v>4572</v>
      </c>
    </row>
    <row r="1399" spans="1:2" x14ac:dyDescent="0.25">
      <c r="A1399" t="s">
        <v>1328</v>
      </c>
      <c r="B1399" s="13">
        <v>4341</v>
      </c>
    </row>
    <row r="1400" spans="1:2" x14ac:dyDescent="0.25">
      <c r="A1400" t="s">
        <v>1339</v>
      </c>
      <c r="B1400" s="13">
        <v>1201</v>
      </c>
    </row>
    <row r="1401" spans="1:2" x14ac:dyDescent="0.25">
      <c r="A1401" t="s">
        <v>1840</v>
      </c>
      <c r="B1401" s="13">
        <v>3410</v>
      </c>
    </row>
    <row r="1402" spans="1:2" x14ac:dyDescent="0.25">
      <c r="A1402" t="s">
        <v>1927</v>
      </c>
      <c r="B1402" s="13">
        <v>6516</v>
      </c>
    </row>
    <row r="1403" spans="1:2" x14ac:dyDescent="0.25">
      <c r="A1403" t="s">
        <v>1349</v>
      </c>
      <c r="B1403" s="13">
        <v>2984</v>
      </c>
    </row>
    <row r="1404" spans="1:2" x14ac:dyDescent="0.25">
      <c r="A1404" t="s">
        <v>1566</v>
      </c>
      <c r="B1404" s="13">
        <v>8727</v>
      </c>
    </row>
    <row r="1405" spans="1:2" x14ac:dyDescent="0.25">
      <c r="A1405" t="s">
        <v>1591</v>
      </c>
      <c r="B1405" s="13">
        <v>15</v>
      </c>
    </row>
    <row r="1406" spans="1:2" x14ac:dyDescent="0.25">
      <c r="A1406" t="s">
        <v>1740</v>
      </c>
      <c r="B1406" s="13">
        <v>947</v>
      </c>
    </row>
    <row r="1407" spans="1:2" x14ac:dyDescent="0.25">
      <c r="A1407" t="s">
        <v>1767</v>
      </c>
      <c r="B1407" s="13">
        <v>2450</v>
      </c>
    </row>
    <row r="1408" spans="1:2" x14ac:dyDescent="0.25">
      <c r="A1408" t="s">
        <v>1777</v>
      </c>
      <c r="B1408" s="13">
        <v>8331</v>
      </c>
    </row>
    <row r="1409" spans="1:2" x14ac:dyDescent="0.25">
      <c r="A1409" t="s">
        <v>1848</v>
      </c>
      <c r="B1409" s="13">
        <v>4367</v>
      </c>
    </row>
    <row r="1410" spans="1:2" x14ac:dyDescent="0.25">
      <c r="A1410" t="s">
        <v>1360</v>
      </c>
      <c r="B1410" s="13">
        <v>3599</v>
      </c>
    </row>
    <row r="1411" spans="1:2" x14ac:dyDescent="0.25">
      <c r="A1411" t="s">
        <v>1388</v>
      </c>
      <c r="B1411" s="13">
        <v>544</v>
      </c>
    </row>
    <row r="1412" spans="1:2" x14ac:dyDescent="0.25">
      <c r="A1412" t="s">
        <v>960</v>
      </c>
      <c r="B1412" s="13">
        <v>4985</v>
      </c>
    </row>
    <row r="1413" spans="1:2" x14ac:dyDescent="0.25">
      <c r="A1413" t="s">
        <v>1150</v>
      </c>
      <c r="B1413" s="13">
        <v>5386</v>
      </c>
    </row>
    <row r="1414" spans="1:2" x14ac:dyDescent="0.25">
      <c r="A1414" t="s">
        <v>1585</v>
      </c>
      <c r="B1414" s="13">
        <v>4523</v>
      </c>
    </row>
    <row r="1415" spans="1:2" x14ac:dyDescent="0.25">
      <c r="A1415" t="s">
        <v>1945</v>
      </c>
      <c r="B1415" s="13">
        <v>902</v>
      </c>
    </row>
    <row r="1416" spans="1:2" x14ac:dyDescent="0.25">
      <c r="A1416" t="s">
        <v>1399</v>
      </c>
      <c r="B1416" s="13">
        <v>1198</v>
      </c>
    </row>
    <row r="1417" spans="1:2" x14ac:dyDescent="0.25">
      <c r="A1417" t="s">
        <v>1514</v>
      </c>
      <c r="B1417" s="13">
        <v>476</v>
      </c>
    </row>
    <row r="1418" spans="1:2" x14ac:dyDescent="0.25">
      <c r="A1418" t="s">
        <v>1600</v>
      </c>
      <c r="B1418" s="13">
        <v>4216</v>
      </c>
    </row>
    <row r="1419" spans="1:2" x14ac:dyDescent="0.25">
      <c r="A1419" t="s">
        <v>1499</v>
      </c>
      <c r="B1419" s="13">
        <v>435</v>
      </c>
    </row>
    <row r="1420" spans="1:2" x14ac:dyDescent="0.25">
      <c r="A1420" t="s">
        <v>1509</v>
      </c>
      <c r="B1420" s="13">
        <v>7072</v>
      </c>
    </row>
    <row r="1421" spans="1:2" x14ac:dyDescent="0.25">
      <c r="A1421" t="s">
        <v>1792</v>
      </c>
      <c r="B1421" s="13">
        <v>8862</v>
      </c>
    </row>
    <row r="1422" spans="1:2" x14ac:dyDescent="0.25">
      <c r="A1422" t="s">
        <v>1111</v>
      </c>
      <c r="B1422" s="13">
        <v>7374</v>
      </c>
    </row>
    <row r="1423" spans="1:2" x14ac:dyDescent="0.25">
      <c r="A1423" t="s">
        <v>1412</v>
      </c>
      <c r="B1423" s="13">
        <v>3078</v>
      </c>
    </row>
    <row r="1424" spans="1:2" x14ac:dyDescent="0.25">
      <c r="A1424" t="s">
        <v>1614</v>
      </c>
      <c r="B1424" s="13">
        <v>3096</v>
      </c>
    </row>
    <row r="1425" spans="1:2" x14ac:dyDescent="0.25">
      <c r="A1425" t="s">
        <v>4</v>
      </c>
      <c r="B1425" s="13">
        <v>886</v>
      </c>
    </row>
    <row r="1426" spans="1:2" x14ac:dyDescent="0.25">
      <c r="A1426" t="s">
        <v>1116</v>
      </c>
      <c r="B1426" s="13">
        <v>422</v>
      </c>
    </row>
    <row r="1427" spans="1:2" x14ac:dyDescent="0.25">
      <c r="A1427" t="s">
        <v>1542</v>
      </c>
      <c r="B1427" s="13">
        <v>3321</v>
      </c>
    </row>
    <row r="1428" spans="1:2" x14ac:dyDescent="0.25">
      <c r="A1428" t="s">
        <v>1969</v>
      </c>
      <c r="B1428" s="13">
        <v>5435</v>
      </c>
    </row>
    <row r="1429" spans="1:2" x14ac:dyDescent="0.25">
      <c r="A1429" t="s">
        <v>1647</v>
      </c>
      <c r="B1429" s="13">
        <v>1864</v>
      </c>
    </row>
    <row r="1430" spans="1:2" x14ac:dyDescent="0.25">
      <c r="A1430" t="s">
        <v>1938</v>
      </c>
      <c r="B1430" s="13">
        <v>629</v>
      </c>
    </row>
    <row r="1431" spans="1:2" x14ac:dyDescent="0.25">
      <c r="A1431" t="s">
        <v>1625</v>
      </c>
      <c r="B1431" s="13">
        <v>4901</v>
      </c>
    </row>
    <row r="1432" spans="1:2" x14ac:dyDescent="0.25">
      <c r="A1432" t="s">
        <v>1999</v>
      </c>
      <c r="B1432" s="13">
        <v>3827</v>
      </c>
    </row>
    <row r="1433" spans="1:2" x14ac:dyDescent="0.25">
      <c r="A1433" t="s">
        <v>1212</v>
      </c>
      <c r="B1433" s="13">
        <v>1633</v>
      </c>
    </row>
    <row r="1434" spans="1:2" x14ac:dyDescent="0.25">
      <c r="A1434" t="s">
        <v>1557</v>
      </c>
      <c r="B1434" s="13">
        <v>6315</v>
      </c>
    </row>
    <row r="1435" spans="1:2" x14ac:dyDescent="0.25">
      <c r="A1435" t="s">
        <v>1670</v>
      </c>
      <c r="B1435" s="13">
        <v>5987</v>
      </c>
    </row>
    <row r="1436" spans="1:2" x14ac:dyDescent="0.25">
      <c r="A1436" t="s">
        <v>1680</v>
      </c>
      <c r="B1436" s="13">
        <v>1638</v>
      </c>
    </row>
    <row r="1437" spans="1:2" x14ac:dyDescent="0.25">
      <c r="A1437" t="s">
        <v>1862</v>
      </c>
      <c r="B1437" s="13">
        <v>1982</v>
      </c>
    </row>
    <row r="1438" spans="1:2" x14ac:dyDescent="0.25">
      <c r="A1438" t="s">
        <v>1870</v>
      </c>
      <c r="B1438" s="13">
        <v>5109</v>
      </c>
    </row>
    <row r="1439" spans="1:2" x14ac:dyDescent="0.25">
      <c r="A1439" t="s">
        <v>1990</v>
      </c>
      <c r="B1439" s="13">
        <v>3110</v>
      </c>
    </row>
    <row r="1440" spans="1:2" x14ac:dyDescent="0.25">
      <c r="A1440" t="s">
        <v>1263</v>
      </c>
      <c r="B1440" s="13">
        <v>4159</v>
      </c>
    </row>
    <row r="1441" spans="1:2" x14ac:dyDescent="0.25">
      <c r="A1441" t="s">
        <v>1421</v>
      </c>
      <c r="B1441" s="13">
        <v>4119</v>
      </c>
    </row>
    <row r="1442" spans="1:2" x14ac:dyDescent="0.25">
      <c r="A1442" t="s">
        <v>1820</v>
      </c>
      <c r="B1442" s="13">
        <v>637</v>
      </c>
    </row>
    <row r="1443" spans="1:2" x14ac:dyDescent="0.25">
      <c r="A1443" t="s">
        <v>1885</v>
      </c>
      <c r="B1443" s="13">
        <v>2982</v>
      </c>
    </row>
    <row r="1444" spans="1:2" x14ac:dyDescent="0.25">
      <c r="A1444" t="s">
        <v>1896</v>
      </c>
      <c r="B1444" s="13">
        <v>4080</v>
      </c>
    </row>
    <row r="1445" spans="1:2" x14ac:dyDescent="0.25">
      <c r="A1445" t="s">
        <v>2006</v>
      </c>
      <c r="B1445" s="13">
        <v>4580</v>
      </c>
    </row>
    <row r="1446" spans="1:2" x14ac:dyDescent="0.25">
      <c r="A1446" t="s">
        <v>1244</v>
      </c>
      <c r="B1446" s="13">
        <v>79</v>
      </c>
    </row>
    <row r="1447" spans="1:2" x14ac:dyDescent="0.25">
      <c r="A1447" t="s">
        <v>1697</v>
      </c>
      <c r="B1447" s="13">
        <v>3795</v>
      </c>
    </row>
    <row r="1448" spans="1:2" x14ac:dyDescent="0.25">
      <c r="A1448" t="s">
        <v>1904</v>
      </c>
      <c r="B1448" s="13">
        <v>544</v>
      </c>
    </row>
    <row r="1449" spans="1:2" x14ac:dyDescent="0.25">
      <c r="A1449" t="s">
        <v>1230</v>
      </c>
      <c r="B1449" s="13">
        <v>3705</v>
      </c>
    </row>
    <row r="1450" spans="1:2" x14ac:dyDescent="0.25">
      <c r="A1450" t="s">
        <v>1310</v>
      </c>
      <c r="B1450" s="13">
        <v>4860</v>
      </c>
    </row>
    <row r="1451" spans="1:2" x14ac:dyDescent="0.25">
      <c r="A1451" t="s">
        <v>1439</v>
      </c>
      <c r="B1451" s="13">
        <v>6862</v>
      </c>
    </row>
    <row r="1452" spans="1:2" x14ac:dyDescent="0.25">
      <c r="A1452" t="s">
        <v>1692</v>
      </c>
      <c r="B1452" s="13">
        <v>4036</v>
      </c>
    </row>
    <row r="1453" spans="1:2" x14ac:dyDescent="0.25">
      <c r="A1453" t="s">
        <v>1834</v>
      </c>
      <c r="B1453" s="13">
        <v>3354</v>
      </c>
    </row>
    <row r="1454" spans="1:2" x14ac:dyDescent="0.25">
      <c r="A1454" t="s">
        <v>1241</v>
      </c>
      <c r="B1454" s="13">
        <v>21</v>
      </c>
    </row>
    <row r="1455" spans="1:2" x14ac:dyDescent="0.25">
      <c r="A1455" t="s">
        <v>1248</v>
      </c>
      <c r="B1455" s="13">
        <v>4305</v>
      </c>
    </row>
    <row r="1456" spans="1:2" x14ac:dyDescent="0.25">
      <c r="A1456" t="s">
        <v>1286</v>
      </c>
      <c r="B1456" s="13">
        <v>968</v>
      </c>
    </row>
    <row r="1457" spans="1:2" x14ac:dyDescent="0.25">
      <c r="A1457" t="s">
        <v>1298</v>
      </c>
      <c r="B1457" s="13">
        <v>1816</v>
      </c>
    </row>
    <row r="1458" spans="1:2" x14ac:dyDescent="0.25">
      <c r="A1458" t="s">
        <v>1464</v>
      </c>
      <c r="B1458" s="13">
        <v>3505</v>
      </c>
    </row>
    <row r="1459" spans="1:2" x14ac:dyDescent="0.25">
      <c r="A1459" t="s">
        <v>2018</v>
      </c>
      <c r="B1459" s="13">
        <v>14942</v>
      </c>
    </row>
    <row r="1460" spans="1:2" x14ac:dyDescent="0.25">
      <c r="A1460" t="s">
        <v>1912</v>
      </c>
      <c r="B1460" s="13">
        <v>3003</v>
      </c>
    </row>
    <row r="1461" spans="1:2" x14ac:dyDescent="0.25">
      <c r="A1461" t="s">
        <v>1316</v>
      </c>
      <c r="B1461" s="13">
        <v>1278</v>
      </c>
    </row>
    <row r="1462" spans="1:2" x14ac:dyDescent="0.25">
      <c r="A1462" t="s">
        <v>1474</v>
      </c>
      <c r="B1462" s="13">
        <v>7738</v>
      </c>
    </row>
    <row r="1463" spans="1:2" x14ac:dyDescent="0.25">
      <c r="A1463" t="s">
        <v>1724</v>
      </c>
      <c r="B1463" s="13">
        <v>5042</v>
      </c>
    </row>
    <row r="1464" spans="1:2" x14ac:dyDescent="0.25">
      <c r="A1464" t="s">
        <v>1962</v>
      </c>
      <c r="B1464" s="13">
        <v>4434</v>
      </c>
    </row>
    <row r="1465" spans="1:2" x14ac:dyDescent="0.25">
      <c r="A1465" t="s">
        <v>1604</v>
      </c>
      <c r="B1465" s="13">
        <v>480</v>
      </c>
    </row>
    <row r="1466" spans="1:2" x14ac:dyDescent="0.25">
      <c r="A1466" t="s">
        <v>1921</v>
      </c>
      <c r="B1466" s="13">
        <v>1795</v>
      </c>
    </row>
    <row r="1467" spans="1:2" x14ac:dyDescent="0.25">
      <c r="A1467" t="s">
        <v>1340</v>
      </c>
      <c r="B1467" s="13">
        <v>1059</v>
      </c>
    </row>
    <row r="1468" spans="1:2" x14ac:dyDescent="0.25">
      <c r="A1468" t="s">
        <v>1841</v>
      </c>
      <c r="B1468" s="13">
        <v>2935</v>
      </c>
    </row>
    <row r="1469" spans="1:2" x14ac:dyDescent="0.25">
      <c r="A1469" t="s">
        <v>1928</v>
      </c>
      <c r="B1469" s="13">
        <v>5400</v>
      </c>
    </row>
    <row r="1470" spans="1:2" x14ac:dyDescent="0.25">
      <c r="A1470" t="s">
        <v>1350</v>
      </c>
      <c r="B1470" s="13">
        <v>1988</v>
      </c>
    </row>
    <row r="1471" spans="1:2" x14ac:dyDescent="0.25">
      <c r="A1471" t="s">
        <v>1567</v>
      </c>
      <c r="B1471" s="13">
        <v>6885</v>
      </c>
    </row>
    <row r="1472" spans="1:2" x14ac:dyDescent="0.25">
      <c r="A1472" t="s">
        <v>1778</v>
      </c>
      <c r="B1472" s="13">
        <v>7260</v>
      </c>
    </row>
    <row r="1473" spans="1:2" x14ac:dyDescent="0.25">
      <c r="A1473" t="s">
        <v>1741</v>
      </c>
      <c r="B1473" s="13">
        <v>1584</v>
      </c>
    </row>
    <row r="1474" spans="1:2" x14ac:dyDescent="0.25">
      <c r="A1474" t="s">
        <v>1768</v>
      </c>
      <c r="B1474" s="13">
        <v>2576</v>
      </c>
    </row>
    <row r="1475" spans="1:2" x14ac:dyDescent="0.25">
      <c r="A1475" t="s">
        <v>1849</v>
      </c>
      <c r="B1475" s="13">
        <v>4769</v>
      </c>
    </row>
    <row r="1476" spans="1:2" x14ac:dyDescent="0.25">
      <c r="A1476" t="s">
        <v>1361</v>
      </c>
      <c r="B1476" s="13">
        <v>3137</v>
      </c>
    </row>
    <row r="1477" spans="1:2" x14ac:dyDescent="0.25">
      <c r="A1477" t="s">
        <v>1389</v>
      </c>
      <c r="B1477" s="13">
        <v>563</v>
      </c>
    </row>
    <row r="1478" spans="1:2" x14ac:dyDescent="0.25">
      <c r="A1478" t="s">
        <v>1367</v>
      </c>
      <c r="B1478" s="13">
        <v>4288</v>
      </c>
    </row>
    <row r="1479" spans="1:2" x14ac:dyDescent="0.25">
      <c r="A1479" t="s">
        <v>1483</v>
      </c>
      <c r="B1479" s="13">
        <v>6812</v>
      </c>
    </row>
    <row r="1480" spans="1:2" x14ac:dyDescent="0.25">
      <c r="A1480" t="s">
        <v>1546</v>
      </c>
      <c r="B1480" s="13">
        <v>15147</v>
      </c>
    </row>
    <row r="1481" spans="1:2" x14ac:dyDescent="0.25">
      <c r="A1481" t="s">
        <v>1586</v>
      </c>
      <c r="B1481" s="13">
        <v>3416</v>
      </c>
    </row>
    <row r="1482" spans="1:2" x14ac:dyDescent="0.25">
      <c r="A1482" t="s">
        <v>1946</v>
      </c>
      <c r="B1482" s="13">
        <v>925</v>
      </c>
    </row>
    <row r="1483" spans="1:2" x14ac:dyDescent="0.25">
      <c r="A1483" t="s">
        <v>1400</v>
      </c>
      <c r="B1483" s="13">
        <v>2183</v>
      </c>
    </row>
    <row r="1484" spans="1:2" x14ac:dyDescent="0.25">
      <c r="A1484" t="s">
        <v>1515</v>
      </c>
      <c r="B1484" s="13">
        <v>1198</v>
      </c>
    </row>
    <row r="1485" spans="1:2" x14ac:dyDescent="0.25">
      <c r="A1485" t="s">
        <v>1601</v>
      </c>
      <c r="B1485" s="13">
        <v>3739</v>
      </c>
    </row>
    <row r="1486" spans="1:2" x14ac:dyDescent="0.25">
      <c r="A1486" t="s">
        <v>1789</v>
      </c>
      <c r="B1486" s="13">
        <v>551</v>
      </c>
    </row>
    <row r="1487" spans="1:2" x14ac:dyDescent="0.25">
      <c r="A1487" t="s">
        <v>1924</v>
      </c>
      <c r="B1487" s="13">
        <v>4509</v>
      </c>
    </row>
    <row r="1488" spans="1:2" x14ac:dyDescent="0.25">
      <c r="A1488" t="s">
        <v>594</v>
      </c>
      <c r="B1488" s="13">
        <v>-6906</v>
      </c>
    </row>
    <row r="1489" spans="1:2" x14ac:dyDescent="0.25">
      <c r="A1489" t="s">
        <v>1413</v>
      </c>
      <c r="B1489" s="13">
        <v>4408</v>
      </c>
    </row>
    <row r="1490" spans="1:2" x14ac:dyDescent="0.25">
      <c r="A1490" t="s">
        <v>1500</v>
      </c>
      <c r="B1490" s="13">
        <v>429</v>
      </c>
    </row>
    <row r="1491" spans="1:2" x14ac:dyDescent="0.25">
      <c r="A1491" t="s">
        <v>1510</v>
      </c>
      <c r="B1491" s="13">
        <v>8064</v>
      </c>
    </row>
    <row r="1492" spans="1:2" x14ac:dyDescent="0.25">
      <c r="A1492" t="s">
        <v>1793</v>
      </c>
      <c r="B1492" s="13">
        <v>8341</v>
      </c>
    </row>
    <row r="1493" spans="1:2" x14ac:dyDescent="0.25">
      <c r="A1493" t="s">
        <v>5</v>
      </c>
      <c r="B1493" s="13">
        <v>14614</v>
      </c>
    </row>
    <row r="1494" spans="1:2" x14ac:dyDescent="0.25">
      <c r="A1494" t="s">
        <v>1615</v>
      </c>
      <c r="B1494" s="13">
        <v>3962</v>
      </c>
    </row>
    <row r="1495" spans="1:2" x14ac:dyDescent="0.25">
      <c r="A1495" t="s">
        <v>30</v>
      </c>
      <c r="B1495" s="13">
        <v>-2583</v>
      </c>
    </row>
    <row r="1496" spans="1:2" x14ac:dyDescent="0.25">
      <c r="A1496" t="s">
        <v>34</v>
      </c>
      <c r="B1496" s="13">
        <v>-993</v>
      </c>
    </row>
    <row r="1497" spans="1:2" x14ac:dyDescent="0.25">
      <c r="A1497" t="s">
        <v>99</v>
      </c>
      <c r="B1497" s="13">
        <v>-10185</v>
      </c>
    </row>
    <row r="1498" spans="1:2" x14ac:dyDescent="0.25">
      <c r="A1498" t="s">
        <v>121</v>
      </c>
      <c r="B1498" s="13">
        <v>-30884</v>
      </c>
    </row>
    <row r="1499" spans="1:2" x14ac:dyDescent="0.25">
      <c r="A1499" t="s">
        <v>133</v>
      </c>
      <c r="B1499" s="13">
        <v>-1172</v>
      </c>
    </row>
    <row r="1500" spans="1:2" x14ac:dyDescent="0.25">
      <c r="A1500" t="s">
        <v>136</v>
      </c>
      <c r="B1500" s="13">
        <v>-657</v>
      </c>
    </row>
    <row r="1501" spans="1:2" x14ac:dyDescent="0.25">
      <c r="A1501" t="s">
        <v>147</v>
      </c>
      <c r="B1501" s="13">
        <v>-9696</v>
      </c>
    </row>
    <row r="1502" spans="1:2" x14ac:dyDescent="0.25">
      <c r="A1502" t="s">
        <v>184</v>
      </c>
      <c r="B1502" s="13">
        <v>-5915</v>
      </c>
    </row>
    <row r="1503" spans="1:2" x14ac:dyDescent="0.25">
      <c r="A1503" t="s">
        <v>192</v>
      </c>
      <c r="B1503" s="13">
        <v>-1482</v>
      </c>
    </row>
    <row r="1504" spans="1:2" x14ac:dyDescent="0.25">
      <c r="A1504" t="s">
        <v>196</v>
      </c>
      <c r="B1504" s="13">
        <v>-3003</v>
      </c>
    </row>
    <row r="1505" spans="1:2" x14ac:dyDescent="0.25">
      <c r="A1505" t="s">
        <v>204</v>
      </c>
      <c r="B1505" s="13">
        <v>-3915</v>
      </c>
    </row>
    <row r="1506" spans="1:2" x14ac:dyDescent="0.25">
      <c r="A1506" t="s">
        <v>246</v>
      </c>
      <c r="B1506" s="13">
        <v>-1184</v>
      </c>
    </row>
    <row r="1507" spans="1:2" x14ac:dyDescent="0.25">
      <c r="A1507" t="s">
        <v>250</v>
      </c>
      <c r="B1507" s="13">
        <v>-1381</v>
      </c>
    </row>
    <row r="1508" spans="1:2" x14ac:dyDescent="0.25">
      <c r="A1508" t="s">
        <v>261</v>
      </c>
      <c r="B1508" s="13">
        <v>-920</v>
      </c>
    </row>
    <row r="1509" spans="1:2" x14ac:dyDescent="0.25">
      <c r="A1509" t="s">
        <v>267</v>
      </c>
      <c r="B1509" s="13">
        <v>-9254</v>
      </c>
    </row>
    <row r="1510" spans="1:2" x14ac:dyDescent="0.25">
      <c r="A1510" t="s">
        <v>295</v>
      </c>
      <c r="B1510" s="13">
        <v>-1837</v>
      </c>
    </row>
    <row r="1511" spans="1:2" x14ac:dyDescent="0.25">
      <c r="A1511" t="s">
        <v>298</v>
      </c>
      <c r="B1511" s="13">
        <v>-4216</v>
      </c>
    </row>
    <row r="1512" spans="1:2" x14ac:dyDescent="0.25">
      <c r="A1512" t="s">
        <v>310</v>
      </c>
      <c r="B1512" s="13">
        <v>-644</v>
      </c>
    </row>
    <row r="1513" spans="1:2" x14ac:dyDescent="0.25">
      <c r="A1513" t="s">
        <v>331</v>
      </c>
      <c r="B1513" s="13">
        <v>-580</v>
      </c>
    </row>
    <row r="1514" spans="1:2" x14ac:dyDescent="0.25">
      <c r="A1514" t="s">
        <v>345</v>
      </c>
      <c r="B1514" s="13">
        <v>-3176</v>
      </c>
    </row>
    <row r="1515" spans="1:2" x14ac:dyDescent="0.25">
      <c r="A1515" t="s">
        <v>364</v>
      </c>
      <c r="B1515" s="13">
        <v>-10433</v>
      </c>
    </row>
    <row r="1516" spans="1:2" x14ac:dyDescent="0.25">
      <c r="A1516" t="s">
        <v>369</v>
      </c>
      <c r="B1516" s="13">
        <v>-2036</v>
      </c>
    </row>
    <row r="1517" spans="1:2" x14ac:dyDescent="0.25">
      <c r="A1517" t="s">
        <v>374</v>
      </c>
      <c r="B1517" s="13">
        <v>-8425</v>
      </c>
    </row>
    <row r="1518" spans="1:2" x14ac:dyDescent="0.25">
      <c r="A1518" t="s">
        <v>431</v>
      </c>
      <c r="B1518" s="13">
        <v>-56173</v>
      </c>
    </row>
    <row r="1519" spans="1:2" x14ac:dyDescent="0.25">
      <c r="A1519" t="s">
        <v>439</v>
      </c>
      <c r="B1519" s="13">
        <v>-66998</v>
      </c>
    </row>
    <row r="1520" spans="1:2" x14ac:dyDescent="0.25">
      <c r="A1520" t="s">
        <v>456</v>
      </c>
      <c r="B1520" s="13">
        <v>-42876</v>
      </c>
    </row>
    <row r="1521" spans="1:2" x14ac:dyDescent="0.25">
      <c r="A1521" t="s">
        <v>464</v>
      </c>
      <c r="B1521" s="13">
        <v>-152341</v>
      </c>
    </row>
    <row r="1522" spans="1:2" x14ac:dyDescent="0.25">
      <c r="A1522" t="s">
        <v>476</v>
      </c>
      <c r="B1522" s="13">
        <v>-85467</v>
      </c>
    </row>
    <row r="1523" spans="1:2" x14ac:dyDescent="0.25">
      <c r="A1523" t="s">
        <v>485</v>
      </c>
      <c r="B1523" s="13">
        <v>-118172</v>
      </c>
    </row>
    <row r="1524" spans="1:2" x14ac:dyDescent="0.25">
      <c r="A1524" t="s">
        <v>494</v>
      </c>
      <c r="B1524" s="13">
        <v>-105929</v>
      </c>
    </row>
    <row r="1525" spans="1:2" x14ac:dyDescent="0.25">
      <c r="A1525" t="s">
        <v>572</v>
      </c>
      <c r="B1525" s="13">
        <v>-39448</v>
      </c>
    </row>
    <row r="1526" spans="1:2" x14ac:dyDescent="0.25">
      <c r="A1526" t="s">
        <v>635</v>
      </c>
      <c r="B1526" s="13">
        <v>-94265</v>
      </c>
    </row>
    <row r="1527" spans="1:2" x14ac:dyDescent="0.25">
      <c r="A1527" t="s">
        <v>677</v>
      </c>
      <c r="B1527" s="13">
        <v>-98031</v>
      </c>
    </row>
    <row r="1528" spans="1:2" x14ac:dyDescent="0.25">
      <c r="A1528" t="s">
        <v>685</v>
      </c>
      <c r="B1528" s="13">
        <v>-44856</v>
      </c>
    </row>
    <row r="1529" spans="1:2" x14ac:dyDescent="0.25">
      <c r="A1529" t="s">
        <v>743</v>
      </c>
      <c r="B1529" s="13">
        <v>-61001</v>
      </c>
    </row>
    <row r="1530" spans="1:2" x14ac:dyDescent="0.25">
      <c r="A1530" t="s">
        <v>759</v>
      </c>
      <c r="B1530" s="13">
        <v>-111267</v>
      </c>
    </row>
    <row r="1531" spans="1:2" x14ac:dyDescent="0.25">
      <c r="A1531" t="s">
        <v>783</v>
      </c>
      <c r="B1531" s="13">
        <v>-464257</v>
      </c>
    </row>
    <row r="1532" spans="1:2" x14ac:dyDescent="0.25">
      <c r="A1532" t="s">
        <v>796</v>
      </c>
      <c r="B1532" s="13">
        <v>-74476</v>
      </c>
    </row>
    <row r="1533" spans="1:2" x14ac:dyDescent="0.25">
      <c r="A1533" t="s">
        <v>806</v>
      </c>
      <c r="B1533" s="13">
        <v>-252171</v>
      </c>
    </row>
    <row r="1534" spans="1:2" x14ac:dyDescent="0.25">
      <c r="A1534" t="s">
        <v>827</v>
      </c>
      <c r="B1534" s="13">
        <v>-166206</v>
      </c>
    </row>
    <row r="1535" spans="1:2" x14ac:dyDescent="0.25">
      <c r="A1535" t="s">
        <v>844</v>
      </c>
      <c r="B1535" s="13">
        <v>-127803</v>
      </c>
    </row>
    <row r="1536" spans="1:2" x14ac:dyDescent="0.25">
      <c r="A1536" t="s">
        <v>855</v>
      </c>
      <c r="B1536" s="13">
        <v>-74171</v>
      </c>
    </row>
    <row r="1537" spans="1:2" x14ac:dyDescent="0.25">
      <c r="A1537" t="s">
        <v>862</v>
      </c>
      <c r="B1537" s="13">
        <v>-79011</v>
      </c>
    </row>
    <row r="1538" spans="1:2" x14ac:dyDescent="0.25">
      <c r="A1538" t="s">
        <v>867</v>
      </c>
      <c r="B1538" s="13">
        <v>-156605</v>
      </c>
    </row>
    <row r="1539" spans="1:2" x14ac:dyDescent="0.25">
      <c r="A1539" t="s">
        <v>881</v>
      </c>
      <c r="B1539" s="13">
        <v>-86179</v>
      </c>
    </row>
    <row r="1540" spans="1:2" x14ac:dyDescent="0.25">
      <c r="A1540" t="s">
        <v>894</v>
      </c>
      <c r="B1540" s="13">
        <v>-72450</v>
      </c>
    </row>
    <row r="1541" spans="1:2" x14ac:dyDescent="0.25">
      <c r="A1541" t="s">
        <v>900</v>
      </c>
      <c r="B1541" s="13">
        <v>-56642</v>
      </c>
    </row>
    <row r="1542" spans="1:2" x14ac:dyDescent="0.25">
      <c r="A1542" t="s">
        <v>920</v>
      </c>
      <c r="B1542" s="13">
        <v>-124432</v>
      </c>
    </row>
    <row r="1543" spans="1:2" x14ac:dyDescent="0.25">
      <c r="A1543" t="s">
        <v>935</v>
      </c>
      <c r="B1543" s="13">
        <v>-101336</v>
      </c>
    </row>
    <row r="1544" spans="1:2" x14ac:dyDescent="0.25">
      <c r="A1544" t="s">
        <v>947</v>
      </c>
      <c r="B1544" s="13">
        <v>-104303</v>
      </c>
    </row>
    <row r="1545" spans="1:2" x14ac:dyDescent="0.25">
      <c r="A1545" t="s">
        <v>952</v>
      </c>
      <c r="B1545" s="13">
        <v>-136865</v>
      </c>
    </row>
    <row r="1546" spans="1:2" x14ac:dyDescent="0.25">
      <c r="A1546" t="s">
        <v>961</v>
      </c>
      <c r="B1546" s="13">
        <v>-75577</v>
      </c>
    </row>
    <row r="1547" spans="1:2" x14ac:dyDescent="0.25">
      <c r="A1547" t="s">
        <v>975</v>
      </c>
      <c r="B1547" s="13">
        <v>-88043</v>
      </c>
    </row>
    <row r="1548" spans="1:2" x14ac:dyDescent="0.25">
      <c r="A1548" t="s">
        <v>989</v>
      </c>
      <c r="B1548" s="13">
        <v>-29344</v>
      </c>
    </row>
    <row r="1549" spans="1:2" x14ac:dyDescent="0.25">
      <c r="A1549" t="s">
        <v>1003</v>
      </c>
      <c r="B1549" s="13">
        <v>-87148</v>
      </c>
    </row>
    <row r="1550" spans="1:2" x14ac:dyDescent="0.25">
      <c r="A1550" t="s">
        <v>1017</v>
      </c>
      <c r="B1550" s="13">
        <v>-112465</v>
      </c>
    </row>
    <row r="1551" spans="1:2" x14ac:dyDescent="0.25">
      <c r="A1551" t="s">
        <v>1034</v>
      </c>
      <c r="B1551" s="13">
        <v>-48827</v>
      </c>
    </row>
    <row r="1552" spans="1:2" x14ac:dyDescent="0.25">
      <c r="A1552" t="s">
        <v>1039</v>
      </c>
      <c r="B1552" s="13">
        <v>-95732</v>
      </c>
    </row>
    <row r="1553" spans="1:2" x14ac:dyDescent="0.25">
      <c r="A1553" t="s">
        <v>1048</v>
      </c>
      <c r="B1553" s="13">
        <v>-55000</v>
      </c>
    </row>
    <row r="1554" spans="1:2" x14ac:dyDescent="0.25">
      <c r="A1554" t="s">
        <v>1072</v>
      </c>
      <c r="B1554" s="13">
        <v>-153343</v>
      </c>
    </row>
    <row r="1555" spans="1:2" x14ac:dyDescent="0.25">
      <c r="A1555" t="s">
        <v>1083</v>
      </c>
      <c r="B1555" s="13">
        <v>-164933</v>
      </c>
    </row>
    <row r="1556" spans="1:2" x14ac:dyDescent="0.25">
      <c r="A1556" t="s">
        <v>1097</v>
      </c>
      <c r="B1556" s="13">
        <v>-15820</v>
      </c>
    </row>
    <row r="1557" spans="1:2" x14ac:dyDescent="0.25">
      <c r="A1557" t="s">
        <v>1127</v>
      </c>
      <c r="B1557" s="13">
        <v>-87493</v>
      </c>
    </row>
    <row r="1558" spans="1:2" x14ac:dyDescent="0.25">
      <c r="A1558" t="s">
        <v>1151</v>
      </c>
      <c r="B1558" s="13">
        <v>-94926</v>
      </c>
    </row>
    <row r="1559" spans="1:2" x14ac:dyDescent="0.25">
      <c r="A1559" t="s">
        <v>1158</v>
      </c>
      <c r="B1559" s="13">
        <v>-45000</v>
      </c>
    </row>
    <row r="1560" spans="1:2" x14ac:dyDescent="0.25">
      <c r="A1560" t="s">
        <v>1201</v>
      </c>
      <c r="B1560" s="13">
        <v>-76494</v>
      </c>
    </row>
    <row r="1561" spans="1:2" x14ac:dyDescent="0.25">
      <c r="A1561" t="s">
        <v>1204</v>
      </c>
      <c r="B1561" s="13">
        <v>-1200</v>
      </c>
    </row>
    <row r="1562" spans="1:2" x14ac:dyDescent="0.25">
      <c r="A1562" t="s">
        <v>1209</v>
      </c>
      <c r="B1562" s="13">
        <v>-8830</v>
      </c>
    </row>
    <row r="1563" spans="1:2" x14ac:dyDescent="0.25">
      <c r="A1563" t="s">
        <v>1231</v>
      </c>
      <c r="B1563" s="13">
        <v>-39802</v>
      </c>
    </row>
    <row r="1564" spans="1:2" x14ac:dyDescent="0.25">
      <c r="A1564" t="s">
        <v>1242</v>
      </c>
      <c r="B1564" s="13">
        <v>-4924</v>
      </c>
    </row>
    <row r="1565" spans="1:2" x14ac:dyDescent="0.25">
      <c r="A1565" t="s">
        <v>1255</v>
      </c>
      <c r="B1565" s="13">
        <v>-4257</v>
      </c>
    </row>
    <row r="1566" spans="1:2" x14ac:dyDescent="0.25">
      <c r="A1566" t="s">
        <v>1260</v>
      </c>
      <c r="B1566" s="13">
        <v>-2829</v>
      </c>
    </row>
    <row r="1567" spans="1:2" x14ac:dyDescent="0.25">
      <c r="A1567" t="s">
        <v>1273</v>
      </c>
      <c r="B1567" s="13">
        <v>-7265</v>
      </c>
    </row>
    <row r="1568" spans="1:2" x14ac:dyDescent="0.25">
      <c r="A1568" t="s">
        <v>1287</v>
      </c>
      <c r="B1568" s="13">
        <v>-13367</v>
      </c>
    </row>
    <row r="1569" spans="1:2" x14ac:dyDescent="0.25">
      <c r="A1569" t="s">
        <v>1299</v>
      </c>
      <c r="B1569" s="13">
        <v>-10400</v>
      </c>
    </row>
    <row r="1570" spans="1:2" x14ac:dyDescent="0.25">
      <c r="A1570" t="s">
        <v>1311</v>
      </c>
      <c r="B1570" s="13">
        <v>-32953</v>
      </c>
    </row>
    <row r="1571" spans="1:2" x14ac:dyDescent="0.25">
      <c r="A1571" t="s">
        <v>1329</v>
      </c>
      <c r="B1571" s="13">
        <v>-15560</v>
      </c>
    </row>
    <row r="1572" spans="1:2" x14ac:dyDescent="0.25">
      <c r="A1572" t="s">
        <v>1341</v>
      </c>
      <c r="B1572" s="13">
        <v>-7854</v>
      </c>
    </row>
    <row r="1573" spans="1:2" x14ac:dyDescent="0.25">
      <c r="A1573" t="s">
        <v>1356</v>
      </c>
      <c r="B1573" s="13">
        <v>-13132</v>
      </c>
    </row>
    <row r="1574" spans="1:2" x14ac:dyDescent="0.25">
      <c r="A1574" t="s">
        <v>1362</v>
      </c>
      <c r="B1574" s="13">
        <v>-8690</v>
      </c>
    </row>
    <row r="1575" spans="1:2" x14ac:dyDescent="0.25">
      <c r="A1575" t="s">
        <v>1368</v>
      </c>
      <c r="B1575" s="13">
        <v>-4288</v>
      </c>
    </row>
    <row r="1576" spans="1:2" x14ac:dyDescent="0.25">
      <c r="A1576" t="s">
        <v>1390</v>
      </c>
      <c r="B1576" s="13">
        <v>-8926</v>
      </c>
    </row>
    <row r="1577" spans="1:2" x14ac:dyDescent="0.25">
      <c r="A1577" t="s">
        <v>1401</v>
      </c>
      <c r="B1577" s="13">
        <v>-18812</v>
      </c>
    </row>
    <row r="1578" spans="1:2" x14ac:dyDescent="0.25">
      <c r="A1578" t="s">
        <v>1414</v>
      </c>
      <c r="B1578" s="13">
        <v>-33686</v>
      </c>
    </row>
    <row r="1579" spans="1:2" x14ac:dyDescent="0.25">
      <c r="A1579" t="s">
        <v>1422</v>
      </c>
      <c r="B1579" s="13">
        <v>-24215</v>
      </c>
    </row>
    <row r="1580" spans="1:2" x14ac:dyDescent="0.25">
      <c r="A1580" t="s">
        <v>1440</v>
      </c>
      <c r="B1580" s="13">
        <v>-38374</v>
      </c>
    </row>
    <row r="1581" spans="1:2" x14ac:dyDescent="0.25">
      <c r="A1581" t="s">
        <v>1442</v>
      </c>
      <c r="B1581" s="13">
        <v>-50</v>
      </c>
    </row>
    <row r="1582" spans="1:2" x14ac:dyDescent="0.25">
      <c r="A1582" t="s">
        <v>1445</v>
      </c>
      <c r="B1582" s="13">
        <v>-280</v>
      </c>
    </row>
    <row r="1583" spans="1:2" x14ac:dyDescent="0.25">
      <c r="A1583" t="s">
        <v>1457</v>
      </c>
      <c r="B1583" s="13">
        <v>-14102</v>
      </c>
    </row>
    <row r="1584" spans="1:2" x14ac:dyDescent="0.25">
      <c r="A1584" t="s">
        <v>1465</v>
      </c>
      <c r="B1584" s="13">
        <v>-21130</v>
      </c>
    </row>
    <row r="1585" spans="1:2" x14ac:dyDescent="0.25">
      <c r="A1585" t="s">
        <v>1475</v>
      </c>
      <c r="B1585" s="13">
        <v>-67026</v>
      </c>
    </row>
    <row r="1586" spans="1:2" x14ac:dyDescent="0.25">
      <c r="A1586" t="s">
        <v>1484</v>
      </c>
      <c r="B1586" s="13">
        <v>-19152</v>
      </c>
    </row>
    <row r="1587" spans="1:2" x14ac:dyDescent="0.25">
      <c r="A1587" t="s">
        <v>1487</v>
      </c>
      <c r="B1587" s="13">
        <v>-1294</v>
      </c>
    </row>
    <row r="1588" spans="1:2" x14ac:dyDescent="0.25">
      <c r="A1588" t="s">
        <v>1501</v>
      </c>
      <c r="B1588" s="13">
        <v>-6448</v>
      </c>
    </row>
    <row r="1589" spans="1:2" x14ac:dyDescent="0.25">
      <c r="A1589" t="s">
        <v>1511</v>
      </c>
      <c r="B1589" s="13">
        <v>-57806</v>
      </c>
    </row>
    <row r="1590" spans="1:2" x14ac:dyDescent="0.25">
      <c r="A1590" t="s">
        <v>1524</v>
      </c>
      <c r="B1590" s="13">
        <v>-25358</v>
      </c>
    </row>
    <row r="1591" spans="1:2" x14ac:dyDescent="0.25">
      <c r="A1591" t="s">
        <v>1543</v>
      </c>
      <c r="B1591" s="13">
        <v>-32522</v>
      </c>
    </row>
    <row r="1592" spans="1:2" x14ac:dyDescent="0.25">
      <c r="A1592" t="s">
        <v>1547</v>
      </c>
      <c r="B1592" s="13">
        <v>-23176</v>
      </c>
    </row>
    <row r="1593" spans="1:2" x14ac:dyDescent="0.25">
      <c r="A1593" t="s">
        <v>1558</v>
      </c>
      <c r="B1593" s="13">
        <v>-56924</v>
      </c>
    </row>
    <row r="1594" spans="1:2" x14ac:dyDescent="0.25">
      <c r="A1594" t="s">
        <v>1578</v>
      </c>
      <c r="B1594" s="13">
        <v>-6161</v>
      </c>
    </row>
    <row r="1595" spans="1:2" x14ac:dyDescent="0.25">
      <c r="A1595" t="s">
        <v>1602</v>
      </c>
      <c r="B1595" s="13">
        <v>-31535</v>
      </c>
    </row>
    <row r="1596" spans="1:2" x14ac:dyDescent="0.25">
      <c r="A1596" t="s">
        <v>1605</v>
      </c>
      <c r="B1596" s="13">
        <v>-480</v>
      </c>
    </row>
    <row r="1597" spans="1:2" x14ac:dyDescent="0.25">
      <c r="A1597" t="s">
        <v>1616</v>
      </c>
      <c r="B1597" s="13">
        <v>-27896</v>
      </c>
    </row>
    <row r="1598" spans="1:2" x14ac:dyDescent="0.25">
      <c r="A1598" t="s">
        <v>1626</v>
      </c>
      <c r="B1598" s="13">
        <v>-26556</v>
      </c>
    </row>
    <row r="1599" spans="1:2" x14ac:dyDescent="0.25">
      <c r="A1599" t="s">
        <v>1648</v>
      </c>
      <c r="B1599" s="13">
        <v>-16936</v>
      </c>
    </row>
    <row r="1600" spans="1:2" x14ac:dyDescent="0.25">
      <c r="A1600" t="s">
        <v>1655</v>
      </c>
      <c r="B1600" s="13">
        <v>-3507</v>
      </c>
    </row>
    <row r="1601" spans="1:2" x14ac:dyDescent="0.25">
      <c r="A1601" t="s">
        <v>1671</v>
      </c>
      <c r="B1601" s="13">
        <v>-46670</v>
      </c>
    </row>
    <row r="1602" spans="1:2" x14ac:dyDescent="0.25">
      <c r="A1602" t="s">
        <v>1681</v>
      </c>
      <c r="B1602" s="13">
        <v>-12284</v>
      </c>
    </row>
    <row r="1603" spans="1:2" x14ac:dyDescent="0.25">
      <c r="A1603" t="s">
        <v>1693</v>
      </c>
      <c r="B1603" s="13">
        <v>-11635</v>
      </c>
    </row>
    <row r="1604" spans="1:2" x14ac:dyDescent="0.25">
      <c r="A1604" t="s">
        <v>1706</v>
      </c>
      <c r="B1604" s="13">
        <v>-1732</v>
      </c>
    </row>
    <row r="1605" spans="1:2" x14ac:dyDescent="0.25">
      <c r="A1605" t="s">
        <v>1712</v>
      </c>
      <c r="B1605" s="13">
        <v>-15673</v>
      </c>
    </row>
    <row r="1606" spans="1:2" x14ac:dyDescent="0.25">
      <c r="A1606" t="s">
        <v>1725</v>
      </c>
      <c r="B1606" s="13">
        <v>-29305</v>
      </c>
    </row>
    <row r="1607" spans="1:2" x14ac:dyDescent="0.25">
      <c r="A1607" t="s">
        <v>1732</v>
      </c>
      <c r="B1607" s="13">
        <v>-14994</v>
      </c>
    </row>
    <row r="1608" spans="1:2" x14ac:dyDescent="0.25">
      <c r="A1608" t="s">
        <v>1742</v>
      </c>
      <c r="B1608" s="13">
        <v>-11913</v>
      </c>
    </row>
    <row r="1609" spans="1:2" x14ac:dyDescent="0.25">
      <c r="A1609" t="s">
        <v>1769</v>
      </c>
      <c r="B1609" s="13">
        <v>-17104</v>
      </c>
    </row>
    <row r="1610" spans="1:2" x14ac:dyDescent="0.25">
      <c r="A1610" t="s">
        <v>1821</v>
      </c>
      <c r="B1610" s="13">
        <v>-9155</v>
      </c>
    </row>
    <row r="1611" spans="1:2" x14ac:dyDescent="0.25">
      <c r="A1611" t="s">
        <v>1835</v>
      </c>
      <c r="B1611" s="13">
        <v>-10220</v>
      </c>
    </row>
    <row r="1612" spans="1:2" x14ac:dyDescent="0.25">
      <c r="A1612" t="s">
        <v>1842</v>
      </c>
      <c r="B1612" s="13">
        <v>-6345</v>
      </c>
    </row>
    <row r="1613" spans="1:2" x14ac:dyDescent="0.25">
      <c r="A1613" t="s">
        <v>1850</v>
      </c>
      <c r="B1613" s="13">
        <v>-22654</v>
      </c>
    </row>
    <row r="1614" spans="1:2" x14ac:dyDescent="0.25">
      <c r="A1614" t="s">
        <v>1863</v>
      </c>
      <c r="B1614" s="13">
        <v>-28179</v>
      </c>
    </row>
    <row r="1615" spans="1:2" x14ac:dyDescent="0.25">
      <c r="A1615" t="s">
        <v>1871</v>
      </c>
      <c r="B1615" s="13">
        <v>-25591</v>
      </c>
    </row>
    <row r="1616" spans="1:2" x14ac:dyDescent="0.25">
      <c r="A1616" t="s">
        <v>1897</v>
      </c>
      <c r="B1616" s="13">
        <v>-20278</v>
      </c>
    </row>
    <row r="1617" spans="1:2" x14ac:dyDescent="0.25">
      <c r="A1617" t="s">
        <v>1905</v>
      </c>
      <c r="B1617" s="13">
        <v>-3920</v>
      </c>
    </row>
    <row r="1618" spans="1:2" x14ac:dyDescent="0.25">
      <c r="A1618" t="s">
        <v>1925</v>
      </c>
      <c r="B1618" s="13">
        <v>-4509</v>
      </c>
    </row>
    <row r="1619" spans="1:2" x14ac:dyDescent="0.25">
      <c r="A1619" t="s">
        <v>1939</v>
      </c>
      <c r="B1619" s="13">
        <v>-3696</v>
      </c>
    </row>
    <row r="1620" spans="1:2" x14ac:dyDescent="0.25">
      <c r="A1620" t="s">
        <v>1947</v>
      </c>
      <c r="B1620" s="13">
        <v>-5841</v>
      </c>
    </row>
    <row r="1621" spans="1:2" x14ac:dyDescent="0.25">
      <c r="A1621" t="s">
        <v>1963</v>
      </c>
      <c r="B1621" s="13">
        <v>-30121</v>
      </c>
    </row>
    <row r="1622" spans="1:2" x14ac:dyDescent="0.25">
      <c r="A1622" t="s">
        <v>1966</v>
      </c>
      <c r="B1622" s="13">
        <v>-554</v>
      </c>
    </row>
    <row r="1623" spans="1:2" x14ac:dyDescent="0.25">
      <c r="A1623" t="s">
        <v>1744</v>
      </c>
      <c r="B1623" s="13">
        <v>1651</v>
      </c>
    </row>
    <row r="1624" spans="1:2" x14ac:dyDescent="0.25">
      <c r="A1624" t="s">
        <v>1970</v>
      </c>
      <c r="B1624" s="13">
        <v>3959</v>
      </c>
    </row>
    <row r="1625" spans="1:2" x14ac:dyDescent="0.25">
      <c r="A1625" t="s">
        <v>2000</v>
      </c>
      <c r="B1625" s="13">
        <v>3198</v>
      </c>
    </row>
    <row r="1626" spans="1:2" x14ac:dyDescent="0.25">
      <c r="A1626" t="s">
        <v>1886</v>
      </c>
      <c r="B1626" s="13">
        <v>3834</v>
      </c>
    </row>
    <row r="1627" spans="1:2" x14ac:dyDescent="0.25">
      <c r="A1627" t="s">
        <v>1991</v>
      </c>
      <c r="B1627" s="13">
        <v>4379</v>
      </c>
    </row>
    <row r="1628" spans="1:2" x14ac:dyDescent="0.25">
      <c r="A1628" t="s">
        <v>2007</v>
      </c>
      <c r="B1628" s="13">
        <v>3790</v>
      </c>
    </row>
    <row r="1629" spans="1:2" x14ac:dyDescent="0.25">
      <c r="A1629" t="s">
        <v>1266</v>
      </c>
      <c r="B1629" s="13">
        <v>1250</v>
      </c>
    </row>
    <row r="1630" spans="1:2" x14ac:dyDescent="0.25">
      <c r="A1630" t="s">
        <v>1698</v>
      </c>
      <c r="B1630" s="13">
        <v>5065</v>
      </c>
    </row>
    <row r="1631" spans="1:2" x14ac:dyDescent="0.25">
      <c r="A1631" t="s">
        <v>1823</v>
      </c>
      <c r="B1631" s="13">
        <v>3872</v>
      </c>
    </row>
    <row r="1632" spans="1:2" x14ac:dyDescent="0.25">
      <c r="A1632" t="s">
        <v>2013</v>
      </c>
      <c r="B1632" s="13">
        <v>6257</v>
      </c>
    </row>
    <row r="1633" spans="1:2" x14ac:dyDescent="0.25">
      <c r="A1633" t="s">
        <v>1301</v>
      </c>
      <c r="B1633" s="13">
        <v>438</v>
      </c>
    </row>
    <row r="1634" spans="1:2" x14ac:dyDescent="0.25">
      <c r="A1634" t="s">
        <v>1913</v>
      </c>
      <c r="B1634" s="13">
        <v>2366</v>
      </c>
    </row>
    <row r="1635" spans="1:2" x14ac:dyDescent="0.25">
      <c r="A1635" t="s">
        <v>1213</v>
      </c>
      <c r="B1635" s="13">
        <v>763</v>
      </c>
    </row>
    <row r="1636" spans="1:2" x14ac:dyDescent="0.25">
      <c r="A1636" t="s">
        <v>1929</v>
      </c>
      <c r="B1636" s="13">
        <v>6133</v>
      </c>
    </row>
    <row r="1637" spans="1:2" x14ac:dyDescent="0.25">
      <c r="A1637" t="s">
        <v>1790</v>
      </c>
      <c r="B1637" s="13">
        <v>-551</v>
      </c>
    </row>
    <row r="1638" spans="1:2" x14ac:dyDescent="0.25">
      <c r="A1638" t="s">
        <v>1568</v>
      </c>
      <c r="B1638" s="13">
        <v>7280</v>
      </c>
    </row>
    <row r="1639" spans="1:2" x14ac:dyDescent="0.25">
      <c r="A1639" t="s">
        <v>1587</v>
      </c>
      <c r="B1639" s="13">
        <v>3272</v>
      </c>
    </row>
    <row r="1640" spans="1:2" x14ac:dyDescent="0.25">
      <c r="A1640" t="s">
        <v>1516</v>
      </c>
      <c r="B1640" s="13">
        <v>490</v>
      </c>
    </row>
    <row r="1641" spans="1:2" x14ac:dyDescent="0.25">
      <c r="A1641" t="s">
        <v>1794</v>
      </c>
      <c r="B1641" s="13">
        <v>8455</v>
      </c>
    </row>
    <row r="1642" spans="1:2" x14ac:dyDescent="0.25">
      <c r="A1642" t="s">
        <v>1745</v>
      </c>
      <c r="B1642" s="13">
        <v>2249</v>
      </c>
    </row>
    <row r="1643" spans="1:2" x14ac:dyDescent="0.25">
      <c r="A1643" t="s">
        <v>1971</v>
      </c>
      <c r="B1643" s="13">
        <v>4187</v>
      </c>
    </row>
    <row r="1644" spans="1:2" x14ac:dyDescent="0.25">
      <c r="A1644" t="s">
        <v>6</v>
      </c>
      <c r="B1644" s="13">
        <v>7860</v>
      </c>
    </row>
    <row r="1645" spans="1:2" x14ac:dyDescent="0.25">
      <c r="A1645" t="s">
        <v>2001</v>
      </c>
      <c r="B1645" s="13">
        <v>2836</v>
      </c>
    </row>
    <row r="1646" spans="1:2" x14ac:dyDescent="0.25">
      <c r="A1646" t="s">
        <v>1249</v>
      </c>
      <c r="B1646" s="13">
        <v>3309</v>
      </c>
    </row>
    <row r="1647" spans="1:2" x14ac:dyDescent="0.25">
      <c r="A1647" t="s">
        <v>1628</v>
      </c>
      <c r="B1647" s="13">
        <v>3455</v>
      </c>
    </row>
    <row r="1648" spans="1:2" x14ac:dyDescent="0.25">
      <c r="A1648" t="s">
        <v>1629</v>
      </c>
      <c r="B1648" s="13">
        <v>2727</v>
      </c>
    </row>
    <row r="1649" spans="1:2" x14ac:dyDescent="0.25">
      <c r="A1649" t="s">
        <v>1630</v>
      </c>
      <c r="B1649" s="13">
        <v>3248</v>
      </c>
    </row>
    <row r="1650" spans="1:2" x14ac:dyDescent="0.25">
      <c r="A1650" t="s">
        <v>1631</v>
      </c>
      <c r="B1650" s="13">
        <v>3606</v>
      </c>
    </row>
    <row r="1651" spans="1:2" x14ac:dyDescent="0.25">
      <c r="A1651" t="s">
        <v>1632</v>
      </c>
      <c r="B1651" s="13">
        <v>3550</v>
      </c>
    </row>
    <row r="1652" spans="1:2" x14ac:dyDescent="0.25">
      <c r="A1652" t="s">
        <v>1633</v>
      </c>
      <c r="B1652" s="13">
        <v>2594</v>
      </c>
    </row>
    <row r="1653" spans="1:2" x14ac:dyDescent="0.25">
      <c r="A1653" t="s">
        <v>1634</v>
      </c>
      <c r="B1653" s="13">
        <v>1634</v>
      </c>
    </row>
    <row r="1654" spans="1:2" x14ac:dyDescent="0.25">
      <c r="A1654" t="s">
        <v>1635</v>
      </c>
      <c r="B1654" s="13">
        <v>3352</v>
      </c>
    </row>
    <row r="1655" spans="1:2" x14ac:dyDescent="0.25">
      <c r="A1655" t="s">
        <v>1887</v>
      </c>
      <c r="B1655" s="13">
        <v>4924</v>
      </c>
    </row>
    <row r="1656" spans="1:2" x14ac:dyDescent="0.25">
      <c r="A1656" t="s">
        <v>1992</v>
      </c>
      <c r="B1656" s="13">
        <v>4435</v>
      </c>
    </row>
    <row r="1657" spans="1:2" x14ac:dyDescent="0.25">
      <c r="A1657" t="s">
        <v>2008</v>
      </c>
      <c r="B1657" s="13">
        <v>3001</v>
      </c>
    </row>
    <row r="1658" spans="1:2" x14ac:dyDescent="0.25">
      <c r="A1658" t="s">
        <v>1636</v>
      </c>
      <c r="B1658" s="13">
        <v>7657</v>
      </c>
    </row>
    <row r="1659" spans="1:2" x14ac:dyDescent="0.25">
      <c r="A1659" t="s">
        <v>1637</v>
      </c>
      <c r="B1659" s="13">
        <v>6989</v>
      </c>
    </row>
    <row r="1660" spans="1:2" x14ac:dyDescent="0.25">
      <c r="A1660" t="s">
        <v>1699</v>
      </c>
      <c r="B1660" s="13">
        <v>5180</v>
      </c>
    </row>
    <row r="1661" spans="1:2" x14ac:dyDescent="0.25">
      <c r="A1661" t="s">
        <v>1824</v>
      </c>
      <c r="B1661" s="13">
        <v>453</v>
      </c>
    </row>
    <row r="1662" spans="1:2" x14ac:dyDescent="0.25">
      <c r="A1662" t="s">
        <v>1914</v>
      </c>
      <c r="B1662" s="13">
        <v>4046</v>
      </c>
    </row>
    <row r="1663" spans="1:2" x14ac:dyDescent="0.25">
      <c r="A1663" t="s">
        <v>1569</v>
      </c>
      <c r="B1663" s="13">
        <v>6254</v>
      </c>
    </row>
    <row r="1664" spans="1:2" x14ac:dyDescent="0.25">
      <c r="A1664" t="s">
        <v>1930</v>
      </c>
      <c r="B1664" s="13">
        <v>8591</v>
      </c>
    </row>
    <row r="1665" spans="1:2" x14ac:dyDescent="0.25">
      <c r="A1665" t="s">
        <v>1451</v>
      </c>
      <c r="B1665" s="13">
        <v>911</v>
      </c>
    </row>
    <row r="1666" spans="1:2" x14ac:dyDescent="0.25">
      <c r="A1666" t="s">
        <v>1588</v>
      </c>
      <c r="B1666" s="13">
        <v>3201</v>
      </c>
    </row>
    <row r="1667" spans="1:2" x14ac:dyDescent="0.25">
      <c r="A1667" t="s">
        <v>1795</v>
      </c>
      <c r="B1667" s="13">
        <v>8863</v>
      </c>
    </row>
    <row r="1668" spans="1:2" x14ac:dyDescent="0.25">
      <c r="A1668" t="s">
        <v>1452</v>
      </c>
      <c r="B1668" s="13">
        <v>-911</v>
      </c>
    </row>
    <row r="1669" spans="1:2" x14ac:dyDescent="0.25">
      <c r="A1669" t="s">
        <v>1517</v>
      </c>
      <c r="B1669" s="13">
        <v>2726</v>
      </c>
    </row>
    <row r="1670" spans="1:2" x14ac:dyDescent="0.25">
      <c r="A1670" t="s">
        <v>7</v>
      </c>
      <c r="B1670" s="13">
        <v>14467</v>
      </c>
    </row>
    <row r="1671" spans="1:2" x14ac:dyDescent="0.25">
      <c r="A1671" t="s">
        <v>1746</v>
      </c>
      <c r="B1671" s="13">
        <v>2209</v>
      </c>
    </row>
    <row r="1672" spans="1:2" x14ac:dyDescent="0.25">
      <c r="A1672" t="s">
        <v>1972</v>
      </c>
      <c r="B1672" s="13">
        <v>5397</v>
      </c>
    </row>
    <row r="1673" spans="1:2" x14ac:dyDescent="0.25">
      <c r="A1673" t="s">
        <v>1993</v>
      </c>
      <c r="B1673" s="13">
        <v>3931</v>
      </c>
    </row>
    <row r="1674" spans="1:2" x14ac:dyDescent="0.25">
      <c r="A1674" t="s">
        <v>1888</v>
      </c>
      <c r="B1674" s="13">
        <v>3229</v>
      </c>
    </row>
    <row r="1675" spans="1:2" x14ac:dyDescent="0.25">
      <c r="A1675" t="s">
        <v>2009</v>
      </c>
      <c r="B1675" s="13">
        <v>2011</v>
      </c>
    </row>
    <row r="1676" spans="1:2" x14ac:dyDescent="0.25">
      <c r="A1676" t="s">
        <v>1700</v>
      </c>
      <c r="B1676" s="13">
        <v>4450</v>
      </c>
    </row>
    <row r="1677" spans="1:2" x14ac:dyDescent="0.25">
      <c r="A1677" t="s">
        <v>1714</v>
      </c>
      <c r="B1677" s="13">
        <v>727</v>
      </c>
    </row>
    <row r="1678" spans="1:2" x14ac:dyDescent="0.25">
      <c r="A1678" t="s">
        <v>1907</v>
      </c>
      <c r="B1678" s="13">
        <v>752</v>
      </c>
    </row>
    <row r="1679" spans="1:2" x14ac:dyDescent="0.25">
      <c r="A1679" t="s">
        <v>1915</v>
      </c>
      <c r="B1679" s="13">
        <v>2375</v>
      </c>
    </row>
    <row r="1680" spans="1:2" x14ac:dyDescent="0.25">
      <c r="A1680" t="s">
        <v>1570</v>
      </c>
      <c r="B1680" s="13">
        <v>7056</v>
      </c>
    </row>
    <row r="1681" spans="1:2" x14ac:dyDescent="0.25">
      <c r="A1681" t="s">
        <v>1931</v>
      </c>
      <c r="B1681" s="13">
        <v>6894</v>
      </c>
    </row>
    <row r="1682" spans="1:2" x14ac:dyDescent="0.25">
      <c r="A1682" t="s">
        <v>8</v>
      </c>
      <c r="B1682" s="13">
        <v>2291</v>
      </c>
    </row>
    <row r="1683" spans="1:2" x14ac:dyDescent="0.25">
      <c r="A1683" t="s">
        <v>1747</v>
      </c>
      <c r="B1683" s="13">
        <v>2162</v>
      </c>
    </row>
    <row r="1684" spans="1:2" x14ac:dyDescent="0.25">
      <c r="A1684" t="s">
        <v>1973</v>
      </c>
      <c r="B1684" s="13">
        <v>4098</v>
      </c>
    </row>
    <row r="1685" spans="1:2" x14ac:dyDescent="0.25">
      <c r="A1685" t="s">
        <v>1982</v>
      </c>
      <c r="B1685" s="13">
        <v>5279</v>
      </c>
    </row>
    <row r="1686" spans="1:2" x14ac:dyDescent="0.25">
      <c r="A1686" t="s">
        <v>1985</v>
      </c>
      <c r="B1686" s="13">
        <v>1397</v>
      </c>
    </row>
    <row r="1687" spans="1:2" x14ac:dyDescent="0.25">
      <c r="A1687" t="s">
        <v>1994</v>
      </c>
      <c r="B1687" s="13">
        <v>4470</v>
      </c>
    </row>
    <row r="1688" spans="1:2" x14ac:dyDescent="0.25">
      <c r="A1688" t="s">
        <v>2010</v>
      </c>
      <c r="B1688" s="13">
        <v>3626</v>
      </c>
    </row>
    <row r="1689" spans="1:2" x14ac:dyDescent="0.25">
      <c r="A1689" t="s">
        <v>1779</v>
      </c>
      <c r="B1689" s="13">
        <v>-57028</v>
      </c>
    </row>
    <row r="1690" spans="1:2" x14ac:dyDescent="0.25">
      <c r="A1690" t="s">
        <v>1112</v>
      </c>
      <c r="B1690" s="13">
        <v>-51270</v>
      </c>
    </row>
    <row r="1691" spans="1:2" x14ac:dyDescent="0.25">
      <c r="A1691" t="s">
        <v>2019</v>
      </c>
      <c r="B1691" s="13">
        <v>-36514</v>
      </c>
    </row>
    <row r="1692" spans="1:2" x14ac:dyDescent="0.25">
      <c r="A1692" t="s">
        <v>2011</v>
      </c>
      <c r="B1692" s="13">
        <v>-29581</v>
      </c>
    </row>
    <row r="1693" spans="1:2" x14ac:dyDescent="0.25">
      <c r="A1693" t="s">
        <v>1796</v>
      </c>
      <c r="B1693" s="13">
        <v>-34521</v>
      </c>
    </row>
    <row r="1694" spans="1:2" x14ac:dyDescent="0.25">
      <c r="A1694" t="s">
        <v>1686</v>
      </c>
      <c r="B1694" s="13">
        <v>-17009</v>
      </c>
    </row>
    <row r="1695" spans="1:2" x14ac:dyDescent="0.25">
      <c r="A1695" t="s">
        <v>1589</v>
      </c>
      <c r="B1695" s="13">
        <v>-23206</v>
      </c>
    </row>
    <row r="1696" spans="1:2" x14ac:dyDescent="0.25">
      <c r="A1696" t="s">
        <v>1804</v>
      </c>
      <c r="B1696" s="13">
        <v>-15844</v>
      </c>
    </row>
    <row r="1697" spans="1:2" x14ac:dyDescent="0.25">
      <c r="A1697" t="s">
        <v>1995</v>
      </c>
      <c r="B1697" s="13">
        <v>-27008</v>
      </c>
    </row>
    <row r="1698" spans="1:2" x14ac:dyDescent="0.25">
      <c r="A1698" t="s">
        <v>2002</v>
      </c>
      <c r="B1698" s="13">
        <v>-16793</v>
      </c>
    </row>
    <row r="1699" spans="1:2" x14ac:dyDescent="0.25">
      <c r="A1699" t="s">
        <v>1956</v>
      </c>
      <c r="B1699" s="13">
        <v>-11055</v>
      </c>
    </row>
    <row r="1700" spans="1:2" x14ac:dyDescent="0.25">
      <c r="A1700" t="s">
        <v>1889</v>
      </c>
      <c r="B1700" s="13">
        <v>-18970</v>
      </c>
    </row>
    <row r="1701" spans="1:2" x14ac:dyDescent="0.25">
      <c r="A1701" t="s">
        <v>1346</v>
      </c>
      <c r="B1701" s="13">
        <v>-10563</v>
      </c>
    </row>
    <row r="1702" spans="1:2" x14ac:dyDescent="0.25">
      <c r="A1702" t="s">
        <v>1825</v>
      </c>
      <c r="B1702" s="13">
        <v>-4325</v>
      </c>
    </row>
    <row r="1703" spans="1:2" x14ac:dyDescent="0.25">
      <c r="A1703" t="s">
        <v>1020</v>
      </c>
      <c r="B1703" s="13">
        <v>-3711</v>
      </c>
    </row>
    <row r="1704" spans="1:2" x14ac:dyDescent="0.25">
      <c r="A1704" t="s">
        <v>1317</v>
      </c>
      <c r="B1704" s="13">
        <v>-2997</v>
      </c>
    </row>
    <row r="1705" spans="1:2" x14ac:dyDescent="0.25">
      <c r="A1705" t="s">
        <v>1277</v>
      </c>
      <c r="B1705" s="13">
        <v>-2203</v>
      </c>
    </row>
    <row r="1706" spans="1:2" x14ac:dyDescent="0.25">
      <c r="A1706" t="s">
        <v>1983</v>
      </c>
      <c r="B1706" s="13">
        <v>-5585</v>
      </c>
    </row>
    <row r="1707" spans="1:2" x14ac:dyDescent="0.25">
      <c r="A1707" t="s">
        <v>1117</v>
      </c>
      <c r="B1707" s="13">
        <v>-1897</v>
      </c>
    </row>
    <row r="1708" spans="1:2" x14ac:dyDescent="0.25">
      <c r="A1708" t="s">
        <v>1214</v>
      </c>
      <c r="B1708" s="13">
        <v>-2579</v>
      </c>
    </row>
    <row r="1709" spans="1:2" x14ac:dyDescent="0.25">
      <c r="A1709" t="s">
        <v>1922</v>
      </c>
      <c r="B1709" s="13">
        <v>-1795</v>
      </c>
    </row>
    <row r="1710" spans="1:2" x14ac:dyDescent="0.25">
      <c r="A1710" t="s">
        <v>1302</v>
      </c>
      <c r="B1710" s="13">
        <v>-438</v>
      </c>
    </row>
    <row r="1711" spans="1:2" x14ac:dyDescent="0.25">
      <c r="A1711" t="s">
        <v>1518</v>
      </c>
      <c r="B1711" s="13">
        <v>-4890</v>
      </c>
    </row>
    <row r="1712" spans="1:2" x14ac:dyDescent="0.25">
      <c r="A1712" t="s">
        <v>348</v>
      </c>
      <c r="B1712" s="13">
        <v>-1554</v>
      </c>
    </row>
    <row r="1713" spans="1:2" x14ac:dyDescent="0.25">
      <c r="A1713" t="s">
        <v>1267</v>
      </c>
      <c r="B1713" s="13">
        <v>-1250</v>
      </c>
    </row>
    <row r="1714" spans="1:2" x14ac:dyDescent="0.25">
      <c r="A1714" t="s">
        <v>85</v>
      </c>
      <c r="B1714" s="13">
        <v>-1236</v>
      </c>
    </row>
    <row r="1715" spans="1:2" x14ac:dyDescent="0.25">
      <c r="A1715" t="s">
        <v>1932</v>
      </c>
      <c r="B1715" s="13">
        <v>-33534</v>
      </c>
    </row>
    <row r="1716" spans="1:2" x14ac:dyDescent="0.25">
      <c r="A1716" t="s">
        <v>334</v>
      </c>
      <c r="B1716" s="13">
        <v>-8116</v>
      </c>
    </row>
    <row r="1717" spans="1:2" x14ac:dyDescent="0.25">
      <c r="A1717" t="s">
        <v>1855</v>
      </c>
      <c r="B1717" s="13">
        <v>-7957</v>
      </c>
    </row>
    <row r="1718" spans="1:2" x14ac:dyDescent="0.25">
      <c r="A1718" t="s">
        <v>255</v>
      </c>
      <c r="B1718" s="13">
        <v>-7074</v>
      </c>
    </row>
    <row r="1719" spans="1:2" x14ac:dyDescent="0.25">
      <c r="A1719" t="s">
        <v>1661</v>
      </c>
      <c r="B1719" s="13">
        <v>-7063</v>
      </c>
    </row>
    <row r="1720" spans="1:2" x14ac:dyDescent="0.25">
      <c r="A1720" t="s">
        <v>2014</v>
      </c>
      <c r="B1720" s="13">
        <v>-6257</v>
      </c>
    </row>
    <row r="1721" spans="1:2" x14ac:dyDescent="0.25">
      <c r="A1721" t="s">
        <v>1916</v>
      </c>
      <c r="B1721" s="13">
        <v>-14628</v>
      </c>
    </row>
    <row r="1722" spans="1:2" x14ac:dyDescent="0.25">
      <c r="A1722" t="s">
        <v>1264</v>
      </c>
      <c r="B1722" s="13">
        <v>-5000</v>
      </c>
    </row>
    <row r="1723" spans="1:2" x14ac:dyDescent="0.25">
      <c r="A1723" t="s">
        <v>1908</v>
      </c>
      <c r="B1723" s="13">
        <v>-752</v>
      </c>
    </row>
    <row r="1724" spans="1:2" x14ac:dyDescent="0.25">
      <c r="A1724" t="s">
        <v>201</v>
      </c>
      <c r="B1724" s="13">
        <v>-897</v>
      </c>
    </row>
    <row r="1725" spans="1:2" x14ac:dyDescent="0.25">
      <c r="A1725" t="s">
        <v>1638</v>
      </c>
      <c r="B1725" s="13">
        <v>-38812</v>
      </c>
    </row>
    <row r="1726" spans="1:2" x14ac:dyDescent="0.25">
      <c r="A1726" t="s">
        <v>1701</v>
      </c>
      <c r="B1726" s="13">
        <v>-27604</v>
      </c>
    </row>
    <row r="1727" spans="1:2" x14ac:dyDescent="0.25">
      <c r="A1727" t="s">
        <v>1974</v>
      </c>
      <c r="B1727" s="13">
        <v>-27645</v>
      </c>
    </row>
    <row r="1728" spans="1:2" x14ac:dyDescent="0.25">
      <c r="A1728" t="s">
        <v>1715</v>
      </c>
      <c r="B1728" s="13">
        <v>-727</v>
      </c>
    </row>
    <row r="1729" spans="1:2" x14ac:dyDescent="0.25">
      <c r="A1729" t="s">
        <v>1986</v>
      </c>
      <c r="B1729" s="13">
        <v>-1397</v>
      </c>
    </row>
    <row r="1730" spans="1:2" x14ac:dyDescent="0.25">
      <c r="A1730" t="s">
        <v>1748</v>
      </c>
      <c r="B1730" s="13">
        <v>-8271</v>
      </c>
    </row>
    <row r="1731" spans="1:2" x14ac:dyDescent="0.25">
      <c r="A1731" t="s">
        <v>1351</v>
      </c>
      <c r="B1731" s="13">
        <v>-6812</v>
      </c>
    </row>
    <row r="1732" spans="1:2" x14ac:dyDescent="0.25">
      <c r="A1732" t="s">
        <v>283</v>
      </c>
      <c r="B1732" s="13">
        <v>-15262</v>
      </c>
    </row>
    <row r="1733" spans="1:2" x14ac:dyDescent="0.25">
      <c r="A1733" t="s">
        <v>1250</v>
      </c>
      <c r="B1733" s="13">
        <v>-16088</v>
      </c>
    </row>
    <row r="1734" spans="1:2" x14ac:dyDescent="0.25">
      <c r="A1734" t="s">
        <v>1571</v>
      </c>
      <c r="B1734" s="13">
        <v>-44517</v>
      </c>
    </row>
    <row r="1735" spans="1:2" x14ac:dyDescent="0.25">
      <c r="A1735" t="s">
        <v>9</v>
      </c>
      <c r="B1735" s="13">
        <v>-40118</v>
      </c>
    </row>
    <row r="1736" spans="1:2" x14ac:dyDescent="0.25">
      <c r="A1736" t="s">
        <v>2021</v>
      </c>
      <c r="B1736" s="13">
        <v>2328</v>
      </c>
    </row>
    <row r="1737" spans="1:2" x14ac:dyDescent="0.25">
      <c r="A1737" t="s">
        <v>2022</v>
      </c>
      <c r="B1737" s="13">
        <v>2589</v>
      </c>
    </row>
    <row r="1738" spans="1:2" x14ac:dyDescent="0.25">
      <c r="A1738" t="s">
        <v>2023</v>
      </c>
      <c r="B1738" s="13">
        <v>2254</v>
      </c>
    </row>
    <row r="1739" spans="1:2" x14ac:dyDescent="0.25">
      <c r="A1739" t="s">
        <v>2024</v>
      </c>
      <c r="B1739" s="13">
        <v>-7171</v>
      </c>
    </row>
    <row r="1740" spans="1:2" x14ac:dyDescent="0.25">
      <c r="A1740" s="17" t="s">
        <v>3977</v>
      </c>
      <c r="B1740" s="13">
        <v>6000</v>
      </c>
    </row>
    <row r="1741" spans="1:2" x14ac:dyDescent="0.25">
      <c r="A1741" s="17" t="s">
        <v>3978</v>
      </c>
      <c r="B1741" s="13">
        <v>-6000</v>
      </c>
    </row>
    <row r="1742" spans="1:2" x14ac:dyDescent="0.25">
      <c r="A1742" s="17" t="s">
        <v>3979</v>
      </c>
      <c r="B1742" s="13">
        <v>6000</v>
      </c>
    </row>
    <row r="1743" spans="1:2" x14ac:dyDescent="0.25">
      <c r="A1743" s="17" t="s">
        <v>3980</v>
      </c>
      <c r="B1743" s="13">
        <v>-6000</v>
      </c>
    </row>
    <row r="1744" spans="1:2" x14ac:dyDescent="0.25">
      <c r="A1744" s="17" t="s">
        <v>3981</v>
      </c>
      <c r="B1744" s="13">
        <v>12000</v>
      </c>
    </row>
    <row r="1745" spans="1:2" x14ac:dyDescent="0.25">
      <c r="A1745" s="17" t="s">
        <v>3982</v>
      </c>
      <c r="B1745" s="13">
        <v>-12000</v>
      </c>
    </row>
    <row r="1746" spans="1:2" x14ac:dyDescent="0.25">
      <c r="A1746" s="17" t="s">
        <v>3983</v>
      </c>
      <c r="B1746" s="13">
        <v>12000</v>
      </c>
    </row>
    <row r="1747" spans="1:2" x14ac:dyDescent="0.25">
      <c r="A1747" s="17" t="s">
        <v>3984</v>
      </c>
      <c r="B1747" s="13">
        <v>-12000</v>
      </c>
    </row>
    <row r="1748" spans="1:2" x14ac:dyDescent="0.25">
      <c r="A1748" s="17" t="s">
        <v>3985</v>
      </c>
      <c r="B1748" s="13">
        <v>9428</v>
      </c>
    </row>
    <row r="1749" spans="1:2" x14ac:dyDescent="0.25">
      <c r="A1749" s="17" t="s">
        <v>3986</v>
      </c>
      <c r="B1749" s="13">
        <v>-9428</v>
      </c>
    </row>
    <row r="1750" spans="1:2" x14ac:dyDescent="0.25">
      <c r="A1750" s="17" t="s">
        <v>3987</v>
      </c>
      <c r="B1750" s="13">
        <v>8572</v>
      </c>
    </row>
    <row r="1751" spans="1:2" x14ac:dyDescent="0.25">
      <c r="A1751" s="17" t="s">
        <v>3988</v>
      </c>
      <c r="B1751" s="13">
        <v>-8572</v>
      </c>
    </row>
    <row r="1752" spans="1:2" x14ac:dyDescent="0.25">
      <c r="B1752" s="13">
        <f>SUM(B2:B1751)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9F84-5DAB-4647-ADC5-81A37FCA595C}">
  <dimension ref="A1:H1752"/>
  <sheetViews>
    <sheetView tabSelected="1" topLeftCell="G1" workbookViewId="0">
      <selection activeCell="J3" sqref="J3"/>
    </sheetView>
  </sheetViews>
  <sheetFormatPr defaultRowHeight="15" x14ac:dyDescent="0.25"/>
  <cols>
    <col min="1" max="1" width="38.7109375" bestFit="1" customWidth="1"/>
    <col min="2" max="2" width="14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89" customWidth="1"/>
    <col min="7" max="7" width="53.85546875" customWidth="1"/>
    <col min="8" max="8" width="58.85546875" bestFit="1" customWidth="1"/>
  </cols>
  <sheetData>
    <row r="1" spans="1:8" x14ac:dyDescent="0.25">
      <c r="A1" s="19" t="s">
        <v>5909</v>
      </c>
      <c r="B1" t="s">
        <v>5910</v>
      </c>
      <c r="D1" s="20" t="s">
        <v>5911</v>
      </c>
      <c r="E1" s="21" t="s">
        <v>5912</v>
      </c>
    </row>
    <row r="2" spans="1:8" ht="112.5" customHeight="1" x14ac:dyDescent="0.25">
      <c r="A2" s="1" t="s">
        <v>43</v>
      </c>
      <c r="B2" s="1" t="str">
        <f>VLOOKUP(A2,Sheet5!B:C,2,0)</f>
        <v>040000111554</v>
      </c>
      <c r="C2" s="16">
        <v>1302</v>
      </c>
      <c r="D2" s="22">
        <f>ROUND(C2,0)</f>
        <v>1302</v>
      </c>
      <c r="E2" s="21" t="s">
        <v>5912</v>
      </c>
      <c r="F2" s="23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4" t="str">
        <f>"('"&amp;E2&amp;"','"&amp;B2&amp;"','"&amp;D2&amp;"',(select max(to_number(i.premium_rcv_detail_code))+1
from ins_premium_det i),'"&amp;D2&amp;"','"&amp;D2&amp;"','02', '11000003','00','Request by Mr. Omair Ali 30-Apr-2025');"</f>
        <v>('29Apr250042','040000111554','1302',(select max(to_number(i.premium_rcv_detail_code))+1
from ins_premium_det i),'1302','1302','02', '11000003','00','Request by Mr. Omair Ali 30-Apr-2025');</v>
      </c>
      <c r="H2" s="25" t="str">
        <f>F2&amp;G2</f>
        <v>insert into ins_premium_det (premium_rcv_code,assorted_code, rec_amount,premium_rcv_detail_code,remaining_amt, payrec, mode_code,coinsurance_code,class_cd,it_remarks) values('29Apr250042','040000111554','1302',(select max(to_number(i.premium_rcv_detail_code))+1
from ins_premium_det i),'1302','1302','02', '11000003','00','Request by Mr. Omair Ali 30-Apr-2025');</v>
      </c>
    </row>
    <row r="3" spans="1:8" ht="105" x14ac:dyDescent="0.25">
      <c r="A3" s="1" t="s">
        <v>62</v>
      </c>
      <c r="B3" s="1" t="str">
        <f>VLOOKUP(A3,Sheet5!B:C,2,0)</f>
        <v>040000115951</v>
      </c>
      <c r="C3" s="16">
        <v>-1</v>
      </c>
      <c r="D3" s="22">
        <f t="shared" ref="D3:D66" si="1">ROUND(C3,0)</f>
        <v>-1</v>
      </c>
      <c r="E3" s="21" t="s">
        <v>5912</v>
      </c>
      <c r="F3" s="23" t="str">
        <f t="shared" si="0"/>
        <v>insert into ins_premium_det (premium_rcv_code,assorted_code, rec_amount,premium_rcv_detail_code,remaining_amt, payrec, mode_code,coinsurance_code,class_cd,it_remarks) values</v>
      </c>
      <c r="G3" s="24" t="str">
        <f t="shared" ref="G3:G66" si="2">"('"&amp;E3&amp;"','"&amp;B3&amp;"','"&amp;D3&amp;"',(select max(to_number(i.premium_rcv_detail_code))+1
from ins_premium_det i),'"&amp;D3&amp;"','"&amp;D3&amp;"','02', '11000003','00','Request by Mr. Omair Ali 30-Apr-2025');"</f>
        <v>('29Apr250042','040000115951','-1',(select max(to_number(i.premium_rcv_detail_code))+1
from ins_premium_det i),'-1','-1','02', '11000003','00','Request by Mr. Omair Ali 30-Apr-2025');</v>
      </c>
      <c r="H3" s="25" t="str">
        <f t="shared" ref="H3:H66" si="3">F3&amp;G3</f>
        <v>insert into ins_premium_det (premium_rcv_code,assorted_code, rec_amount,premium_rcv_detail_code,remaining_amt, payrec, mode_code,coinsurance_code,class_cd,it_remarks) values('29Apr250042','040000115951','-1',(select max(to_number(i.premium_rcv_detail_code))+1
from ins_premium_det i),'-1','-1','02', '11000003','00','Request by Mr. Omair Ali 30-Apr-2025');</v>
      </c>
    </row>
    <row r="4" spans="1:8" ht="105" x14ac:dyDescent="0.25">
      <c r="A4" s="1" t="s">
        <v>71</v>
      </c>
      <c r="B4" s="1" t="str">
        <f>VLOOKUP(A4,Sheet5!B:C,2,0)</f>
        <v>040000118340</v>
      </c>
      <c r="C4" s="16">
        <v>-404</v>
      </c>
      <c r="D4" s="22">
        <f t="shared" si="1"/>
        <v>-404</v>
      </c>
      <c r="E4" s="21" t="s">
        <v>5912</v>
      </c>
      <c r="F4" s="23" t="str">
        <f t="shared" si="0"/>
        <v>insert into ins_premium_det (premium_rcv_code,assorted_code, rec_amount,premium_rcv_detail_code,remaining_amt, payrec, mode_code,coinsurance_code,class_cd,it_remarks) values</v>
      </c>
      <c r="G4" s="24" t="str">
        <f t="shared" si="2"/>
        <v>('29Apr250042','040000118340','-404',(select max(to_number(i.premium_rcv_detail_code))+1
from ins_premium_det i),'-404','-404','02', '11000003','00','Request by Mr. Omair Ali 30-Apr-2025');</v>
      </c>
      <c r="H4" s="25" t="str">
        <f t="shared" si="3"/>
        <v>insert into ins_premium_det (premium_rcv_code,assorted_code, rec_amount,premium_rcv_detail_code,remaining_amt, payrec, mode_code,coinsurance_code,class_cd,it_remarks) values('29Apr250042','040000118340','-404',(select max(to_number(i.premium_rcv_detail_code))+1
from ins_premium_det i),'-404','-404','02', '11000003','00','Request by Mr. Omair Ali 30-Apr-2025');</v>
      </c>
    </row>
    <row r="5" spans="1:8" ht="105" x14ac:dyDescent="0.25">
      <c r="A5" s="1" t="s">
        <v>76</v>
      </c>
      <c r="B5" s="1" t="str">
        <f>VLOOKUP(A5,Sheet5!B:C,2,0)</f>
        <v>040000125277</v>
      </c>
      <c r="C5" s="16">
        <v>-374</v>
      </c>
      <c r="D5" s="22">
        <f t="shared" si="1"/>
        <v>-374</v>
      </c>
      <c r="E5" s="21" t="s">
        <v>5912</v>
      </c>
      <c r="F5" s="23" t="str">
        <f t="shared" si="0"/>
        <v>insert into ins_premium_det (premium_rcv_code,assorted_code, rec_amount,premium_rcv_detail_code,remaining_amt, payrec, mode_code,coinsurance_code,class_cd,it_remarks) values</v>
      </c>
      <c r="G5" s="24" t="str">
        <f t="shared" si="2"/>
        <v>('29Apr250042','040000125277','-374',(select max(to_number(i.premium_rcv_detail_code))+1
from ins_premium_det i),'-374','-374','02', '11000003','00','Request by Mr. Omair Ali 30-Apr-2025');</v>
      </c>
      <c r="H5" s="25" t="str">
        <f t="shared" si="3"/>
        <v>insert into ins_premium_det (premium_rcv_code,assorted_code, rec_amount,premium_rcv_detail_code,remaining_amt, payrec, mode_code,coinsurance_code,class_cd,it_remarks) values('29Apr250042','040000125277','-374',(select max(to_number(i.premium_rcv_detail_code))+1
from ins_premium_det i),'-374','-374','02', '11000003','00','Request by Mr. Omair Ali 30-Apr-2025');</v>
      </c>
    </row>
    <row r="6" spans="1:8" ht="105" x14ac:dyDescent="0.25">
      <c r="A6" s="1" t="s">
        <v>86</v>
      </c>
      <c r="B6" s="1" t="str">
        <f>VLOOKUP(A6,Sheet5!B:C,2,0)</f>
        <v>040000134619</v>
      </c>
      <c r="C6" s="16">
        <v>-1</v>
      </c>
      <c r="D6" s="22">
        <f t="shared" si="1"/>
        <v>-1</v>
      </c>
      <c r="E6" s="21" t="s">
        <v>5912</v>
      </c>
      <c r="F6" s="23" t="str">
        <f t="shared" si="0"/>
        <v>insert into ins_premium_det (premium_rcv_code,assorted_code, rec_amount,premium_rcv_detail_code,remaining_amt, payrec, mode_code,coinsurance_code,class_cd,it_remarks) values</v>
      </c>
      <c r="G6" s="24" t="str">
        <f t="shared" si="2"/>
        <v>('29Apr250042','040000134619','-1',(select max(to_number(i.premium_rcv_detail_code))+1
from ins_premium_det i),'-1','-1','02', '11000003','00','Request by Mr. Omair Ali 30-Apr-2025');</v>
      </c>
      <c r="H6" s="25" t="str">
        <f t="shared" si="3"/>
        <v>insert into ins_premium_det (premium_rcv_code,assorted_code, rec_amount,premium_rcv_detail_code,remaining_amt, payrec, mode_code,coinsurance_code,class_cd,it_remarks) values('29Apr250042','040000134619','-1',(select max(to_number(i.premium_rcv_detail_code))+1
from ins_premium_det i),'-1','-1','02', '11000003','00','Request by Mr. Omair Ali 30-Apr-2025');</v>
      </c>
    </row>
    <row r="7" spans="1:8" ht="105" x14ac:dyDescent="0.25">
      <c r="A7" s="1" t="s">
        <v>88</v>
      </c>
      <c r="B7" s="1" t="str">
        <f>VLOOKUP(A7,Sheet5!B:C,2,0)</f>
        <v>040000135023</v>
      </c>
      <c r="C7" s="16">
        <v>-3</v>
      </c>
      <c r="D7" s="22">
        <f t="shared" si="1"/>
        <v>-3</v>
      </c>
      <c r="E7" s="21" t="s">
        <v>5912</v>
      </c>
      <c r="F7" s="23" t="str">
        <f t="shared" si="0"/>
        <v>insert into ins_premium_det (premium_rcv_code,assorted_code, rec_amount,premium_rcv_detail_code,remaining_amt, payrec, mode_code,coinsurance_code,class_cd,it_remarks) values</v>
      </c>
      <c r="G7" s="24" t="str">
        <f t="shared" si="2"/>
        <v>('29Apr250042','040000135023','-3',(select max(to_number(i.premium_rcv_detail_code))+1
from ins_premium_det i),'-3','-3','02', '11000003','00','Request by Mr. Omair Ali 30-Apr-2025');</v>
      </c>
      <c r="H7" s="25" t="str">
        <f t="shared" si="3"/>
        <v>insert into ins_premium_det (premium_rcv_code,assorted_code, rec_amount,premium_rcv_detail_code,remaining_amt, payrec, mode_code,coinsurance_code,class_cd,it_remarks) values('29Apr250042','040000135023','-3',(select max(to_number(i.premium_rcv_detail_code))+1
from ins_premium_det i),'-3','-3','02', '11000003','00','Request by Mr. Omair Ali 30-Apr-2025');</v>
      </c>
    </row>
    <row r="8" spans="1:8" ht="105" x14ac:dyDescent="0.25">
      <c r="A8" s="1" t="s">
        <v>100</v>
      </c>
      <c r="B8" s="1" t="str">
        <f>VLOOKUP(A8,Sheet5!B:C,2,0)</f>
        <v>040000136812</v>
      </c>
      <c r="C8" s="16">
        <v>-5</v>
      </c>
      <c r="D8" s="22">
        <f t="shared" si="1"/>
        <v>-5</v>
      </c>
      <c r="E8" s="21" t="s">
        <v>5912</v>
      </c>
      <c r="F8" s="23" t="str">
        <f t="shared" si="0"/>
        <v>insert into ins_premium_det (premium_rcv_code,assorted_code, rec_amount,premium_rcv_detail_code,remaining_amt, payrec, mode_code,coinsurance_code,class_cd,it_remarks) values</v>
      </c>
      <c r="G8" s="24" t="str">
        <f t="shared" si="2"/>
        <v>('29Apr250042','040000136812','-5',(select max(to_number(i.premium_rcv_detail_code))+1
from ins_premium_det i),'-5','-5','02', '11000003','00','Request by Mr. Omair Ali 30-Apr-2025');</v>
      </c>
      <c r="H8" s="25" t="str">
        <f t="shared" si="3"/>
        <v>insert into ins_premium_det (premium_rcv_code,assorted_code, rec_amount,premium_rcv_detail_code,remaining_amt, payrec, mode_code,coinsurance_code,class_cd,it_remarks) values('29Apr250042','040000136812','-5',(select max(to_number(i.premium_rcv_detail_code))+1
from ins_premium_det i),'-5','-5','02', '11000003','00','Request by Mr. Omair Ali 30-Apr-2025');</v>
      </c>
    </row>
    <row r="9" spans="1:8" ht="105" x14ac:dyDescent="0.25">
      <c r="A9" s="1" t="s">
        <v>102</v>
      </c>
      <c r="B9" s="1" t="str">
        <f>VLOOKUP(A9,Sheet5!B:C,2,0)</f>
        <v>040000137224</v>
      </c>
      <c r="C9" s="16">
        <v>-8</v>
      </c>
      <c r="D9" s="22">
        <f t="shared" si="1"/>
        <v>-8</v>
      </c>
      <c r="E9" s="21" t="s">
        <v>5912</v>
      </c>
      <c r="F9" s="23" t="str">
        <f t="shared" si="0"/>
        <v>insert into ins_premium_det (premium_rcv_code,assorted_code, rec_amount,premium_rcv_detail_code,remaining_amt, payrec, mode_code,coinsurance_code,class_cd,it_remarks) values</v>
      </c>
      <c r="G9" s="24" t="str">
        <f t="shared" si="2"/>
        <v>('29Apr250042','040000137224','-8',(select max(to_number(i.premium_rcv_detail_code))+1
from ins_premium_det i),'-8','-8','02', '11000003','00','Request by Mr. Omair Ali 30-Apr-2025');</v>
      </c>
      <c r="H9" s="25" t="str">
        <f t="shared" si="3"/>
        <v>insert into ins_premium_det (premium_rcv_code,assorted_code, rec_amount,premium_rcv_detail_code,remaining_amt, payrec, mode_code,coinsurance_code,class_cd,it_remarks) values('29Apr250042','040000137224','-8',(select max(to_number(i.premium_rcv_detail_code))+1
from ins_premium_det i),'-8','-8','02', '11000003','00','Request by Mr. Omair Ali 30-Apr-2025');</v>
      </c>
    </row>
    <row r="10" spans="1:8" ht="105" x14ac:dyDescent="0.25">
      <c r="A10" s="1" t="s">
        <v>108</v>
      </c>
      <c r="B10" s="1" t="str">
        <f>VLOOKUP(A10,Sheet5!B:C,2,0)</f>
        <v>040000137319</v>
      </c>
      <c r="C10" s="16">
        <v>-99</v>
      </c>
      <c r="D10" s="22">
        <f t="shared" si="1"/>
        <v>-99</v>
      </c>
      <c r="E10" s="21" t="s">
        <v>5912</v>
      </c>
      <c r="F10" s="23" t="str">
        <f t="shared" si="0"/>
        <v>insert into ins_premium_det (premium_rcv_code,assorted_code, rec_amount,premium_rcv_detail_code,remaining_amt, payrec, mode_code,coinsurance_code,class_cd,it_remarks) values</v>
      </c>
      <c r="G10" s="24" t="str">
        <f t="shared" si="2"/>
        <v>('29Apr250042','040000137319','-99',(select max(to_number(i.premium_rcv_detail_code))+1
from ins_premium_det i),'-99','-99','02', '11000003','00','Request by Mr. Omair Ali 30-Apr-2025');</v>
      </c>
      <c r="H10" s="25" t="str">
        <f t="shared" si="3"/>
        <v>insert into ins_premium_det (premium_rcv_code,assorted_code, rec_amount,premium_rcv_detail_code,remaining_amt, payrec, mode_code,coinsurance_code,class_cd,it_remarks) values('29Apr250042','040000137319','-99',(select max(to_number(i.premium_rcv_detail_code))+1
from ins_premium_det i),'-99','-99','02', '11000003','00','Request by Mr. Omair Ali 30-Apr-2025');</v>
      </c>
    </row>
    <row r="11" spans="1:8" ht="105" x14ac:dyDescent="0.25">
      <c r="A11" s="1" t="s">
        <v>110</v>
      </c>
      <c r="B11" s="1" t="str">
        <f>VLOOKUP(A11,Sheet5!B:C,2,0)</f>
        <v>040000137323</v>
      </c>
      <c r="C11" s="16">
        <v>-2</v>
      </c>
      <c r="D11" s="22">
        <f t="shared" si="1"/>
        <v>-2</v>
      </c>
      <c r="E11" s="21" t="s">
        <v>5912</v>
      </c>
      <c r="F11" s="23" t="str">
        <f t="shared" si="0"/>
        <v>insert into ins_premium_det (premium_rcv_code,assorted_code, rec_amount,premium_rcv_detail_code,remaining_amt, payrec, mode_code,coinsurance_code,class_cd,it_remarks) values</v>
      </c>
      <c r="G11" s="24" t="str">
        <f t="shared" si="2"/>
        <v>('29Apr250042','040000137323','-2',(select max(to_number(i.premium_rcv_detail_code))+1
from ins_premium_det i),'-2','-2','02', '11000003','00','Request by Mr. Omair Ali 30-Apr-2025');</v>
      </c>
      <c r="H11" s="25" t="str">
        <f t="shared" si="3"/>
        <v>insert into ins_premium_det (premium_rcv_code,assorted_code, rec_amount,premium_rcv_detail_code,remaining_amt, payrec, mode_code,coinsurance_code,class_cd,it_remarks) values('29Apr250042','040000137323','-2',(select max(to_number(i.premium_rcv_detail_code))+1
from ins_premium_det i),'-2','-2','02', '11000003','00','Request by Mr. Omair Ali 30-Apr-2025');</v>
      </c>
    </row>
    <row r="12" spans="1:8" ht="105" x14ac:dyDescent="0.25">
      <c r="A12" s="1" t="s">
        <v>112</v>
      </c>
      <c r="B12" s="1" t="str">
        <f>VLOOKUP(A12,Sheet5!B:C,2,0)</f>
        <v>040000138322</v>
      </c>
      <c r="C12" s="16">
        <v>-370</v>
      </c>
      <c r="D12" s="22">
        <f t="shared" si="1"/>
        <v>-370</v>
      </c>
      <c r="E12" s="21" t="s">
        <v>5912</v>
      </c>
      <c r="F12" s="23" t="str">
        <f t="shared" si="0"/>
        <v>insert into ins_premium_det (premium_rcv_code,assorted_code, rec_amount,premium_rcv_detail_code,remaining_amt, payrec, mode_code,coinsurance_code,class_cd,it_remarks) values</v>
      </c>
      <c r="G12" s="24" t="str">
        <f t="shared" si="2"/>
        <v>('29Apr250042','040000138322','-370',(select max(to_number(i.premium_rcv_detail_code))+1
from ins_premium_det i),'-370','-370','02', '11000003','00','Request by Mr. Omair Ali 30-Apr-2025');</v>
      </c>
      <c r="H12" s="25" t="str">
        <f t="shared" si="3"/>
        <v>insert into ins_premium_det (premium_rcv_code,assorted_code, rec_amount,premium_rcv_detail_code,remaining_amt, payrec, mode_code,coinsurance_code,class_cd,it_remarks) values('29Apr250042','040000138322','-370',(select max(to_number(i.premium_rcv_detail_code))+1
from ins_premium_det i),'-370','-370','02', '11000003','00','Request by Mr. Omair Ali 30-Apr-2025');</v>
      </c>
    </row>
    <row r="13" spans="1:8" ht="105" x14ac:dyDescent="0.25">
      <c r="A13" s="1" t="s">
        <v>122</v>
      </c>
      <c r="B13" s="1" t="str">
        <f>VLOOKUP(A13,Sheet5!B:C,2,0)</f>
        <v>040000139024</v>
      </c>
      <c r="C13" s="16">
        <v>-2</v>
      </c>
      <c r="D13" s="22">
        <f t="shared" si="1"/>
        <v>-2</v>
      </c>
      <c r="E13" s="21" t="s">
        <v>5912</v>
      </c>
      <c r="F13" s="23" t="str">
        <f t="shared" si="0"/>
        <v>insert into ins_premium_det (premium_rcv_code,assorted_code, rec_amount,premium_rcv_detail_code,remaining_amt, payrec, mode_code,coinsurance_code,class_cd,it_remarks) values</v>
      </c>
      <c r="G13" s="24" t="str">
        <f t="shared" si="2"/>
        <v>('29Apr250042','040000139024','-2',(select max(to_number(i.premium_rcv_detail_code))+1
from ins_premium_det i),'-2','-2','02', '11000003','00','Request by Mr. Omair Ali 30-Apr-2025');</v>
      </c>
      <c r="H13" s="25" t="str">
        <f t="shared" si="3"/>
        <v>insert into ins_premium_det (premium_rcv_code,assorted_code, rec_amount,premium_rcv_detail_code,remaining_amt, payrec, mode_code,coinsurance_code,class_cd,it_remarks) values('29Apr250042','040000139024','-2',(select max(to_number(i.premium_rcv_detail_code))+1
from ins_premium_det i),'-2','-2','02', '11000003','00','Request by Mr. Omair Ali 30-Apr-2025');</v>
      </c>
    </row>
    <row r="14" spans="1:8" ht="105" x14ac:dyDescent="0.25">
      <c r="A14" s="1" t="s">
        <v>124</v>
      </c>
      <c r="B14" s="1" t="str">
        <f>VLOOKUP(A14,Sheet5!B:C,2,0)</f>
        <v>040000139494</v>
      </c>
      <c r="C14" s="16">
        <v>57</v>
      </c>
      <c r="D14" s="22">
        <f t="shared" si="1"/>
        <v>57</v>
      </c>
      <c r="E14" s="21" t="s">
        <v>5912</v>
      </c>
      <c r="F14" s="23" t="str">
        <f t="shared" si="0"/>
        <v>insert into ins_premium_det (premium_rcv_code,assorted_code, rec_amount,premium_rcv_detail_code,remaining_amt, payrec, mode_code,coinsurance_code,class_cd,it_remarks) values</v>
      </c>
      <c r="G14" s="24" t="str">
        <f t="shared" si="2"/>
        <v>('29Apr250042','040000139494','57',(select max(to_number(i.premium_rcv_detail_code))+1
from ins_premium_det i),'57','57','02', '11000003','00','Request by Mr. Omair Ali 30-Apr-2025');</v>
      </c>
      <c r="H14" s="25" t="str">
        <f t="shared" si="3"/>
        <v>insert into ins_premium_det (premium_rcv_code,assorted_code, rec_amount,premium_rcv_detail_code,remaining_amt, payrec, mode_code,coinsurance_code,class_cd,it_remarks) values('29Apr250042','040000139494','57',(select max(to_number(i.premium_rcv_detail_code))+1
from ins_premium_det i),'57','57','02', '11000003','00','Request by Mr. Omair Ali 30-Apr-2025');</v>
      </c>
    </row>
    <row r="15" spans="1:8" ht="105" x14ac:dyDescent="0.25">
      <c r="A15" s="1" t="s">
        <v>171</v>
      </c>
      <c r="B15" s="1" t="str">
        <f>VLOOKUP(A15,Sheet5!B:C,2,0)</f>
        <v>040000141885</v>
      </c>
      <c r="C15" s="16">
        <v>-8</v>
      </c>
      <c r="D15" s="22">
        <f t="shared" si="1"/>
        <v>-8</v>
      </c>
      <c r="E15" s="21" t="s">
        <v>5912</v>
      </c>
      <c r="F15" s="23" t="str">
        <f t="shared" si="0"/>
        <v>insert into ins_premium_det (premium_rcv_code,assorted_code, rec_amount,premium_rcv_detail_code,remaining_amt, payrec, mode_code,coinsurance_code,class_cd,it_remarks) values</v>
      </c>
      <c r="G15" s="24" t="str">
        <f t="shared" si="2"/>
        <v>('29Apr250042','040000141885','-8',(select max(to_number(i.premium_rcv_detail_code))+1
from ins_premium_det i),'-8','-8','02', '11000003','00','Request by Mr. Omair Ali 30-Apr-2025');</v>
      </c>
      <c r="H15" s="25" t="str">
        <f t="shared" si="3"/>
        <v>insert into ins_premium_det (premium_rcv_code,assorted_code, rec_amount,premium_rcv_detail_code,remaining_amt, payrec, mode_code,coinsurance_code,class_cd,it_remarks) values('29Apr250042','040000141885','-8',(select max(to_number(i.premium_rcv_detail_code))+1
from ins_premium_det i),'-8','-8','02', '11000003','00','Request by Mr. Omair Ali 30-Apr-2025');</v>
      </c>
    </row>
    <row r="16" spans="1:8" ht="105" x14ac:dyDescent="0.25">
      <c r="A16" s="1" t="s">
        <v>174</v>
      </c>
      <c r="B16" s="1" t="str">
        <f>VLOOKUP(A16,Sheet5!B:C,2,0)</f>
        <v>040000141894</v>
      </c>
      <c r="C16" s="16">
        <v>-1</v>
      </c>
      <c r="D16" s="22">
        <f t="shared" si="1"/>
        <v>-1</v>
      </c>
      <c r="E16" s="21" t="s">
        <v>5912</v>
      </c>
      <c r="F16" s="23" t="str">
        <f t="shared" si="0"/>
        <v>insert into ins_premium_det (premium_rcv_code,assorted_code, rec_amount,premium_rcv_detail_code,remaining_amt, payrec, mode_code,coinsurance_code,class_cd,it_remarks) values</v>
      </c>
      <c r="G16" s="24" t="str">
        <f t="shared" si="2"/>
        <v>('29Apr250042','040000141894','-1',(select max(to_number(i.premium_rcv_detail_code))+1
from ins_premium_det i),'-1','-1','02', '11000003','00','Request by Mr. Omair Ali 30-Apr-2025');</v>
      </c>
      <c r="H16" s="25" t="str">
        <f t="shared" si="3"/>
        <v>insert into ins_premium_det (premium_rcv_code,assorted_code, rec_amount,premium_rcv_detail_code,remaining_amt, payrec, mode_code,coinsurance_code,class_cd,it_remarks) values('29Apr250042','040000141894','-1',(select max(to_number(i.premium_rcv_detail_code))+1
from ins_premium_det i),'-1','-1','02', '11000003','00','Request by Mr. Omair Ali 30-Apr-2025');</v>
      </c>
    </row>
    <row r="17" spans="1:8" ht="105" x14ac:dyDescent="0.25">
      <c r="A17" s="1" t="s">
        <v>185</v>
      </c>
      <c r="B17" s="1" t="str">
        <f>VLOOKUP(A17,Sheet5!B:C,2,0)</f>
        <v>040000142844</v>
      </c>
      <c r="C17" s="16">
        <v>-165</v>
      </c>
      <c r="D17" s="22">
        <f t="shared" si="1"/>
        <v>-165</v>
      </c>
      <c r="E17" s="21" t="s">
        <v>5912</v>
      </c>
      <c r="F17" s="23" t="str">
        <f t="shared" si="0"/>
        <v>insert into ins_premium_det (premium_rcv_code,assorted_code, rec_amount,premium_rcv_detail_code,remaining_amt, payrec, mode_code,coinsurance_code,class_cd,it_remarks) values</v>
      </c>
      <c r="G17" s="24" t="str">
        <f t="shared" si="2"/>
        <v>('29Apr250042','040000142844','-165',(select max(to_number(i.premium_rcv_detail_code))+1
from ins_premium_det i),'-165','-165','02', '11000003','00','Request by Mr. Omair Ali 30-Apr-2025');</v>
      </c>
      <c r="H17" s="25" t="str">
        <f t="shared" si="3"/>
        <v>insert into ins_premium_det (premium_rcv_code,assorted_code, rec_amount,premium_rcv_detail_code,remaining_amt, payrec, mode_code,coinsurance_code,class_cd,it_remarks) values('29Apr250042','040000142844','-165',(select max(to_number(i.premium_rcv_detail_code))+1
from ins_premium_det i),'-165','-165','02', '11000003','00','Request by Mr. Omair Ali 30-Apr-2025');</v>
      </c>
    </row>
    <row r="18" spans="1:8" ht="105" x14ac:dyDescent="0.25">
      <c r="A18" s="1" t="s">
        <v>197</v>
      </c>
      <c r="B18" s="1" t="str">
        <f>VLOOKUP(A18,Sheet5!B:C,2,0)</f>
        <v>040000143096</v>
      </c>
      <c r="C18" s="16">
        <v>-362</v>
      </c>
      <c r="D18" s="22">
        <f t="shared" si="1"/>
        <v>-362</v>
      </c>
      <c r="E18" s="21" t="s">
        <v>5912</v>
      </c>
      <c r="F18" s="23" t="str">
        <f t="shared" si="0"/>
        <v>insert into ins_premium_det (premium_rcv_code,assorted_code, rec_amount,premium_rcv_detail_code,remaining_amt, payrec, mode_code,coinsurance_code,class_cd,it_remarks) values</v>
      </c>
      <c r="G18" s="24" t="str">
        <f t="shared" si="2"/>
        <v>('29Apr250042','040000143096','-362',(select max(to_number(i.premium_rcv_detail_code))+1
from ins_premium_det i),'-362','-362','02', '11000003','00','Request by Mr. Omair Ali 30-Apr-2025');</v>
      </c>
      <c r="H18" s="25" t="str">
        <f t="shared" si="3"/>
        <v>insert into ins_premium_det (premium_rcv_code,assorted_code, rec_amount,premium_rcv_detail_code,remaining_amt, payrec, mode_code,coinsurance_code,class_cd,it_remarks) values('29Apr250042','040000143096','-362',(select max(to_number(i.premium_rcv_detail_code))+1
from ins_premium_det i),'-362','-362','02', '11000003','00','Request by Mr. Omair Ali 30-Apr-2025');</v>
      </c>
    </row>
    <row r="19" spans="1:8" ht="105" x14ac:dyDescent="0.25">
      <c r="A19" s="1" t="s">
        <v>205</v>
      </c>
      <c r="B19" s="1" t="str">
        <f>VLOOKUP(A19,Sheet5!B:C,2,0)</f>
        <v>040000143391</v>
      </c>
      <c r="C19" s="16">
        <v>1</v>
      </c>
      <c r="D19" s="22">
        <f t="shared" si="1"/>
        <v>1</v>
      </c>
      <c r="E19" s="21" t="s">
        <v>5912</v>
      </c>
      <c r="F19" s="23" t="str">
        <f t="shared" si="0"/>
        <v>insert into ins_premium_det (premium_rcv_code,assorted_code, rec_amount,premium_rcv_detail_code,remaining_amt, payrec, mode_code,coinsurance_code,class_cd,it_remarks) values</v>
      </c>
      <c r="G19" s="24" t="str">
        <f t="shared" si="2"/>
        <v>('29Apr250042','040000143391','1',(select max(to_number(i.premium_rcv_detail_code))+1
from ins_premium_det i),'1','1','02', '11000003','00','Request by Mr. Omair Ali 30-Apr-2025');</v>
      </c>
      <c r="H19" s="25" t="str">
        <f t="shared" si="3"/>
        <v>insert into ins_premium_det (premium_rcv_code,assorted_code, rec_amount,premium_rcv_detail_code,remaining_amt, payrec, mode_code,coinsurance_code,class_cd,it_remarks) values('29Apr250042','040000143391','1',(select max(to_number(i.premium_rcv_detail_code))+1
from ins_premium_det i),'1','1','02', '11000003','00','Request by Mr. Omair Ali 30-Apr-2025');</v>
      </c>
    </row>
    <row r="20" spans="1:8" ht="105" x14ac:dyDescent="0.25">
      <c r="A20" s="1" t="s">
        <v>208</v>
      </c>
      <c r="B20" s="1" t="str">
        <f>VLOOKUP(A20,Sheet5!B:C,2,0)</f>
        <v>040000143411</v>
      </c>
      <c r="C20" s="16">
        <v>-537</v>
      </c>
      <c r="D20" s="22">
        <f t="shared" si="1"/>
        <v>-537</v>
      </c>
      <c r="E20" s="21" t="s">
        <v>5912</v>
      </c>
      <c r="F20" s="23" t="str">
        <f t="shared" si="0"/>
        <v>insert into ins_premium_det (premium_rcv_code,assorted_code, rec_amount,premium_rcv_detail_code,remaining_amt, payrec, mode_code,coinsurance_code,class_cd,it_remarks) values</v>
      </c>
      <c r="G20" s="24" t="str">
        <f t="shared" si="2"/>
        <v>('29Apr250042','040000143411','-537',(select max(to_number(i.premium_rcv_detail_code))+1
from ins_premium_det i),'-537','-537','02', '11000003','00','Request by Mr. Omair Ali 30-Apr-2025');</v>
      </c>
      <c r="H20" s="25" t="str">
        <f t="shared" si="3"/>
        <v>insert into ins_premium_det (premium_rcv_code,assorted_code, rec_amount,premium_rcv_detail_code,remaining_amt, payrec, mode_code,coinsurance_code,class_cd,it_remarks) values('29Apr250042','040000143411','-537',(select max(to_number(i.premium_rcv_detail_code))+1
from ins_premium_det i),'-537','-537','02', '11000003','00','Request by Mr. Omair Ali 30-Apr-2025');</v>
      </c>
    </row>
    <row r="21" spans="1:8" ht="105" x14ac:dyDescent="0.25">
      <c r="A21" s="1" t="s">
        <v>242</v>
      </c>
      <c r="B21" s="1" t="str">
        <f>VLOOKUP(A21,Sheet5!B:C,2,0)</f>
        <v>040000144846</v>
      </c>
      <c r="C21" s="16">
        <v>-6</v>
      </c>
      <c r="D21" s="22">
        <f t="shared" si="1"/>
        <v>-6</v>
      </c>
      <c r="E21" s="21" t="s">
        <v>5912</v>
      </c>
      <c r="F21" s="23" t="str">
        <f t="shared" si="0"/>
        <v>insert into ins_premium_det (premium_rcv_code,assorted_code, rec_amount,premium_rcv_detail_code,remaining_amt, payrec, mode_code,coinsurance_code,class_cd,it_remarks) values</v>
      </c>
      <c r="G21" s="24" t="str">
        <f t="shared" si="2"/>
        <v>('29Apr250042','040000144846','-6',(select max(to_number(i.premium_rcv_detail_code))+1
from ins_premium_det i),'-6','-6','02', '11000003','00','Request by Mr. Omair Ali 30-Apr-2025');</v>
      </c>
      <c r="H21" s="25" t="str">
        <f t="shared" si="3"/>
        <v>insert into ins_premium_det (premium_rcv_code,assorted_code, rec_amount,premium_rcv_detail_code,remaining_amt, payrec, mode_code,coinsurance_code,class_cd,it_remarks) values('29Apr250042','040000144846','-6',(select max(to_number(i.premium_rcv_detail_code))+1
from ins_premium_det i),'-6','-6','02', '11000003','00','Request by Mr. Omair Ali 30-Apr-2025');</v>
      </c>
    </row>
    <row r="22" spans="1:8" ht="105" x14ac:dyDescent="0.25">
      <c r="A22" s="1" t="s">
        <v>256</v>
      </c>
      <c r="B22" s="1" t="str">
        <f>VLOOKUP(A22,Sheet5!B:C,2,0)</f>
        <v>040000145594</v>
      </c>
      <c r="C22" s="16">
        <v>-2</v>
      </c>
      <c r="D22" s="22">
        <f t="shared" si="1"/>
        <v>-2</v>
      </c>
      <c r="E22" s="21" t="s">
        <v>5912</v>
      </c>
      <c r="F22" s="23" t="str">
        <f t="shared" si="0"/>
        <v>insert into ins_premium_det (premium_rcv_code,assorted_code, rec_amount,premium_rcv_detail_code,remaining_amt, payrec, mode_code,coinsurance_code,class_cd,it_remarks) values</v>
      </c>
      <c r="G22" s="24" t="str">
        <f t="shared" si="2"/>
        <v>('29Apr250042','040000145594','-2',(select max(to_number(i.premium_rcv_detail_code))+1
from ins_premium_det i),'-2','-2','02', '11000003','00','Request by Mr. Omair Ali 30-Apr-2025');</v>
      </c>
      <c r="H22" s="25" t="str">
        <f t="shared" si="3"/>
        <v>insert into ins_premium_det (premium_rcv_code,assorted_code, rec_amount,premium_rcv_detail_code,remaining_amt, payrec, mode_code,coinsurance_code,class_cd,it_remarks) values('29Apr250042','040000145594','-2',(select max(to_number(i.premium_rcv_detail_code))+1
from ins_premium_det i),'-2','-2','02', '11000003','00','Request by Mr. Omair Ali 30-Apr-2025');</v>
      </c>
    </row>
    <row r="23" spans="1:8" ht="105" x14ac:dyDescent="0.25">
      <c r="A23" s="1" t="s">
        <v>268</v>
      </c>
      <c r="B23" s="1" t="str">
        <f>VLOOKUP(A23,Sheet5!B:C,2,0)</f>
        <v>040000146037</v>
      </c>
      <c r="C23" s="16">
        <v>-1</v>
      </c>
      <c r="D23" s="22">
        <f t="shared" si="1"/>
        <v>-1</v>
      </c>
      <c r="E23" s="21" t="s">
        <v>5912</v>
      </c>
      <c r="F23" s="23" t="str">
        <f t="shared" si="0"/>
        <v>insert into ins_premium_det (premium_rcv_code,assorted_code, rec_amount,premium_rcv_detail_code,remaining_amt, payrec, mode_code,coinsurance_code,class_cd,it_remarks) values</v>
      </c>
      <c r="G23" s="24" t="str">
        <f t="shared" si="2"/>
        <v>('29Apr250042','040000146037','-1',(select max(to_number(i.premium_rcv_detail_code))+1
from ins_premium_det i),'-1','-1','02', '11000003','00','Request by Mr. Omair Ali 30-Apr-2025');</v>
      </c>
      <c r="H23" s="25" t="str">
        <f t="shared" si="3"/>
        <v>insert into ins_premium_det (premium_rcv_code,assorted_code, rec_amount,premium_rcv_detail_code,remaining_amt, payrec, mode_code,coinsurance_code,class_cd,it_remarks) values('29Apr250042','040000146037','-1',(select max(to_number(i.premium_rcv_detail_code))+1
from ins_premium_det i),'-1','-1','02', '11000003','00','Request by Mr. Omair Ali 30-Apr-2025');</v>
      </c>
    </row>
    <row r="24" spans="1:8" ht="105" x14ac:dyDescent="0.25">
      <c r="A24" s="1" t="s">
        <v>349</v>
      </c>
      <c r="B24" s="1" t="str">
        <f>VLOOKUP(A24,Sheet5!B:C,2,0)</f>
        <v>040000147404</v>
      </c>
      <c r="C24" s="16">
        <v>-454</v>
      </c>
      <c r="D24" s="22">
        <f t="shared" si="1"/>
        <v>-454</v>
      </c>
      <c r="E24" s="21" t="s">
        <v>5912</v>
      </c>
      <c r="F24" s="23" t="str">
        <f t="shared" si="0"/>
        <v>insert into ins_premium_det (premium_rcv_code,assorted_code, rec_amount,premium_rcv_detail_code,remaining_amt, payrec, mode_code,coinsurance_code,class_cd,it_remarks) values</v>
      </c>
      <c r="G24" s="24" t="str">
        <f t="shared" si="2"/>
        <v>('29Apr250042','040000147404','-454',(select max(to_number(i.premium_rcv_detail_code))+1
from ins_premium_det i),'-454','-454','02', '11000003','00','Request by Mr. Omair Ali 30-Apr-2025');</v>
      </c>
      <c r="H24" s="25" t="str">
        <f t="shared" si="3"/>
        <v>insert into ins_premium_det (premium_rcv_code,assorted_code, rec_amount,premium_rcv_detail_code,remaining_amt, payrec, mode_code,coinsurance_code,class_cd,it_remarks) values('29Apr250042','040000147404','-454',(select max(to_number(i.premium_rcv_detail_code))+1
from ins_premium_det i),'-454','-454','02', '11000003','00','Request by Mr. Omair Ali 30-Apr-2025');</v>
      </c>
    </row>
    <row r="25" spans="1:8" ht="105" x14ac:dyDescent="0.25">
      <c r="A25" s="1" t="s">
        <v>351</v>
      </c>
      <c r="B25" s="1" t="str">
        <f>VLOOKUP(A25,Sheet5!B:C,2,0)</f>
        <v>040000147422</v>
      </c>
      <c r="C25" s="16">
        <v>-102</v>
      </c>
      <c r="D25" s="22">
        <f t="shared" si="1"/>
        <v>-102</v>
      </c>
      <c r="E25" s="21" t="s">
        <v>5912</v>
      </c>
      <c r="F25" s="23" t="str">
        <f t="shared" si="0"/>
        <v>insert into ins_premium_det (premium_rcv_code,assorted_code, rec_amount,premium_rcv_detail_code,remaining_amt, payrec, mode_code,coinsurance_code,class_cd,it_remarks) values</v>
      </c>
      <c r="G25" s="24" t="str">
        <f t="shared" si="2"/>
        <v>('29Apr250042','040000147422','-102',(select max(to_number(i.premium_rcv_detail_code))+1
from ins_premium_det i),'-102','-102','02', '11000003','00','Request by Mr. Omair Ali 30-Apr-2025');</v>
      </c>
      <c r="H25" s="25" t="str">
        <f t="shared" si="3"/>
        <v>insert into ins_premium_det (premium_rcv_code,assorted_code, rec_amount,premium_rcv_detail_code,remaining_amt, payrec, mode_code,coinsurance_code,class_cd,it_remarks) values('29Apr250042','040000147422','-102',(select max(to_number(i.premium_rcv_detail_code))+1
from ins_premium_det i),'-102','-102','02', '11000003','00','Request by Mr. Omair Ali 30-Apr-2025');</v>
      </c>
    </row>
    <row r="26" spans="1:8" ht="105" x14ac:dyDescent="0.25">
      <c r="A26" s="1" t="s">
        <v>383</v>
      </c>
      <c r="B26" s="1" t="str">
        <f>VLOOKUP(A26,Sheet5!B:C,2,0)</f>
        <v>040000147871</v>
      </c>
      <c r="C26" s="16">
        <v>-557</v>
      </c>
      <c r="D26" s="22">
        <f t="shared" si="1"/>
        <v>-557</v>
      </c>
      <c r="E26" s="21" t="s">
        <v>5912</v>
      </c>
      <c r="F26" s="23" t="str">
        <f t="shared" si="0"/>
        <v>insert into ins_premium_det (premium_rcv_code,assorted_code, rec_amount,premium_rcv_detail_code,remaining_amt, payrec, mode_code,coinsurance_code,class_cd,it_remarks) values</v>
      </c>
      <c r="G26" s="24" t="str">
        <f t="shared" si="2"/>
        <v>('29Apr250042','040000147871','-557',(select max(to_number(i.premium_rcv_detail_code))+1
from ins_premium_det i),'-557','-557','02', '11000003','00','Request by Mr. Omair Ali 30-Apr-2025');</v>
      </c>
      <c r="H26" s="25" t="str">
        <f t="shared" si="3"/>
        <v>insert into ins_premium_det (premium_rcv_code,assorted_code, rec_amount,premium_rcv_detail_code,remaining_amt, payrec, mode_code,coinsurance_code,class_cd,it_remarks) values('29Apr250042','040000147871','-557',(select max(to_number(i.premium_rcv_detail_code))+1
from ins_premium_det i),'-557','-557','02', '11000003','00','Request by Mr. Omair Ali 30-Apr-2025');</v>
      </c>
    </row>
    <row r="27" spans="1:8" ht="105" x14ac:dyDescent="0.25">
      <c r="A27" s="1" t="s">
        <v>622</v>
      </c>
      <c r="B27" s="1" t="str">
        <f>VLOOKUP(A27,Sheet5!B:C,2,0)</f>
        <v>040000152667</v>
      </c>
      <c r="C27" s="16">
        <v>-400</v>
      </c>
      <c r="D27" s="22">
        <f t="shared" si="1"/>
        <v>-400</v>
      </c>
      <c r="E27" s="21" t="s">
        <v>5912</v>
      </c>
      <c r="F27" s="23" t="str">
        <f t="shared" si="0"/>
        <v>insert into ins_premium_det (premium_rcv_code,assorted_code, rec_amount,premium_rcv_detail_code,remaining_amt, payrec, mode_code,coinsurance_code,class_cd,it_remarks) values</v>
      </c>
      <c r="G27" s="24" t="str">
        <f t="shared" si="2"/>
        <v>('29Apr250042','040000152667','-400',(select max(to_number(i.premium_rcv_detail_code))+1
from ins_premium_det i),'-400','-400','02', '11000003','00','Request by Mr. Omair Ali 30-Apr-2025');</v>
      </c>
      <c r="H27" s="25" t="str">
        <f t="shared" si="3"/>
        <v>insert into ins_premium_det (premium_rcv_code,assorted_code, rec_amount,premium_rcv_detail_code,remaining_amt, payrec, mode_code,coinsurance_code,class_cd,it_remarks) values('29Apr250042','040000152667','-400',(select max(to_number(i.premium_rcv_detail_code))+1
from ins_premium_det i),'-400','-400','02', '11000003','00','Request by Mr. Omair Ali 30-Apr-2025');</v>
      </c>
    </row>
    <row r="28" spans="1:8" ht="105" x14ac:dyDescent="0.25">
      <c r="A28" s="1" t="s">
        <v>784</v>
      </c>
      <c r="B28" s="1" t="str">
        <f>VLOOKUP(A28,Sheet5!B:C,2,0)</f>
        <v>040000154748</v>
      </c>
      <c r="C28" s="16">
        <v>-99</v>
      </c>
      <c r="D28" s="22">
        <f t="shared" si="1"/>
        <v>-99</v>
      </c>
      <c r="E28" s="21" t="s">
        <v>5912</v>
      </c>
      <c r="F28" s="23" t="str">
        <f t="shared" si="0"/>
        <v>insert into ins_premium_det (premium_rcv_code,assorted_code, rec_amount,premium_rcv_detail_code,remaining_amt, payrec, mode_code,coinsurance_code,class_cd,it_remarks) values</v>
      </c>
      <c r="G28" s="24" t="str">
        <f t="shared" si="2"/>
        <v>('29Apr250042','040000154748','-99',(select max(to_number(i.premium_rcv_detail_code))+1
from ins_premium_det i),'-99','-99','02', '11000003','00','Request by Mr. Omair Ali 30-Apr-2025');</v>
      </c>
      <c r="H28" s="25" t="str">
        <f t="shared" si="3"/>
        <v>insert into ins_premium_det (premium_rcv_code,assorted_code, rec_amount,premium_rcv_detail_code,remaining_amt, payrec, mode_code,coinsurance_code,class_cd,it_remarks) values('29Apr250042','040000154748','-99',(select max(to_number(i.premium_rcv_detail_code))+1
from ins_premium_det i),'-99','-99','02', '11000003','00','Request by Mr. Omair Ali 30-Apr-2025');</v>
      </c>
    </row>
    <row r="29" spans="1:8" ht="105" x14ac:dyDescent="0.25">
      <c r="A29" s="1" t="s">
        <v>817</v>
      </c>
      <c r="B29" s="1" t="str">
        <f>VLOOKUP(A29,Sheet5!B:C,2,0)</f>
        <v>040000155111</v>
      </c>
      <c r="C29" s="16">
        <v>-2</v>
      </c>
      <c r="D29" s="22">
        <f t="shared" si="1"/>
        <v>-2</v>
      </c>
      <c r="E29" s="21" t="s">
        <v>5912</v>
      </c>
      <c r="F29" s="23" t="str">
        <f t="shared" si="0"/>
        <v>insert into ins_premium_det (premium_rcv_code,assorted_code, rec_amount,premium_rcv_detail_code,remaining_amt, payrec, mode_code,coinsurance_code,class_cd,it_remarks) values</v>
      </c>
      <c r="G29" s="24" t="str">
        <f t="shared" si="2"/>
        <v>('29Apr250042','040000155111','-2',(select max(to_number(i.premium_rcv_detail_code))+1
from ins_premium_det i),'-2','-2','02', '11000003','00','Request by Mr. Omair Ali 30-Apr-2025');</v>
      </c>
      <c r="H29" s="25" t="str">
        <f t="shared" si="3"/>
        <v>insert into ins_premium_det (premium_rcv_code,assorted_code, rec_amount,premium_rcv_detail_code,remaining_amt, payrec, mode_code,coinsurance_code,class_cd,it_remarks) values('29Apr250042','040000155111','-2',(select max(to_number(i.premium_rcv_detail_code))+1
from ins_premium_det i),'-2','-2','02', '11000003','00','Request by Mr. Omair Ali 30-Apr-2025');</v>
      </c>
    </row>
    <row r="30" spans="1:8" ht="105" x14ac:dyDescent="0.25">
      <c r="A30" s="1" t="s">
        <v>871</v>
      </c>
      <c r="B30" s="1" t="str">
        <f>VLOOKUP(A30,Sheet5!B:C,2,0)</f>
        <v>040000156248</v>
      </c>
      <c r="C30" s="16">
        <v>-14</v>
      </c>
      <c r="D30" s="22">
        <f t="shared" si="1"/>
        <v>-14</v>
      </c>
      <c r="E30" s="21" t="s">
        <v>5912</v>
      </c>
      <c r="F30" s="23" t="str">
        <f t="shared" si="0"/>
        <v>insert into ins_premium_det (premium_rcv_code,assorted_code, rec_amount,premium_rcv_detail_code,remaining_amt, payrec, mode_code,coinsurance_code,class_cd,it_remarks) values</v>
      </c>
      <c r="G30" s="24" t="str">
        <f t="shared" si="2"/>
        <v>('29Apr250042','040000156248','-14',(select max(to_number(i.premium_rcv_detail_code))+1
from ins_premium_det i),'-14','-14','02', '11000003','00','Request by Mr. Omair Ali 30-Apr-2025');</v>
      </c>
      <c r="H30" s="25" t="str">
        <f t="shared" si="3"/>
        <v>insert into ins_premium_det (premium_rcv_code,assorted_code, rec_amount,premium_rcv_detail_code,remaining_amt, payrec, mode_code,coinsurance_code,class_cd,it_remarks) values('29Apr250042','040000156248','-14',(select max(to_number(i.premium_rcv_detail_code))+1
from ins_premium_det i),'-14','-14','02', '11000003','00','Request by Mr. Omair Ali 30-Apr-2025');</v>
      </c>
    </row>
    <row r="31" spans="1:8" ht="105" x14ac:dyDescent="0.25">
      <c r="A31" s="1" t="s">
        <v>1040</v>
      </c>
      <c r="B31" s="1" t="str">
        <f>VLOOKUP(A31,Sheet5!B:C,2,0)</f>
        <v>040000158908</v>
      </c>
      <c r="C31" s="16">
        <v>-2</v>
      </c>
      <c r="D31" s="22">
        <f t="shared" si="1"/>
        <v>-2</v>
      </c>
      <c r="E31" s="21" t="s">
        <v>5912</v>
      </c>
      <c r="F31" s="23" t="str">
        <f t="shared" si="0"/>
        <v>insert into ins_premium_det (premium_rcv_code,assorted_code, rec_amount,premium_rcv_detail_code,remaining_amt, payrec, mode_code,coinsurance_code,class_cd,it_remarks) values</v>
      </c>
      <c r="G31" s="24" t="str">
        <f t="shared" si="2"/>
        <v>('29Apr250042','040000158908','-2',(select max(to_number(i.premium_rcv_detail_code))+1
from ins_premium_det i),'-2','-2','02', '11000003','00','Request by Mr. Omair Ali 30-Apr-2025');</v>
      </c>
      <c r="H31" s="25" t="str">
        <f t="shared" si="3"/>
        <v>insert into ins_premium_det (premium_rcv_code,assorted_code, rec_amount,premium_rcv_detail_code,remaining_amt, payrec, mode_code,coinsurance_code,class_cd,it_remarks) values('29Apr250042','040000158908','-2',(select max(to_number(i.premium_rcv_detail_code))+1
from ins_premium_det i),'-2','-2','02', '11000003','00','Request by Mr. Omair Ali 30-Apr-2025');</v>
      </c>
    </row>
    <row r="32" spans="1:8" ht="105" x14ac:dyDescent="0.25">
      <c r="A32" s="1" t="s">
        <v>1089</v>
      </c>
      <c r="B32" s="1" t="str">
        <f>VLOOKUP(A32,Sheet5!B:C,2,0)</f>
        <v>040000160009</v>
      </c>
      <c r="C32" s="16">
        <v>50</v>
      </c>
      <c r="D32" s="22">
        <f t="shared" si="1"/>
        <v>50</v>
      </c>
      <c r="E32" s="21" t="s">
        <v>5912</v>
      </c>
      <c r="F32" s="23" t="str">
        <f t="shared" si="0"/>
        <v>insert into ins_premium_det (premium_rcv_code,assorted_code, rec_amount,premium_rcv_detail_code,remaining_amt, payrec, mode_code,coinsurance_code,class_cd,it_remarks) values</v>
      </c>
      <c r="G32" s="24" t="str">
        <f t="shared" si="2"/>
        <v>('29Apr250042','040000160009','50',(select max(to_number(i.premium_rcv_detail_code))+1
from ins_premium_det i),'50','50','02', '11000003','00','Request by Mr. Omair Ali 30-Apr-2025');</v>
      </c>
      <c r="H32" s="25" t="str">
        <f t="shared" si="3"/>
        <v>insert into ins_premium_det (premium_rcv_code,assorted_code, rec_amount,premium_rcv_detail_code,remaining_amt, payrec, mode_code,coinsurance_code,class_cd,it_remarks) values('29Apr250042','040000160009','50',(select max(to_number(i.premium_rcv_detail_code))+1
from ins_premium_det i),'50','50','02', '11000003','00','Request by Mr. Omair Ali 30-Apr-2025');</v>
      </c>
    </row>
    <row r="33" spans="1:8" ht="105" x14ac:dyDescent="0.25">
      <c r="A33" s="1" t="s">
        <v>1137</v>
      </c>
      <c r="B33" s="1" t="str">
        <f>VLOOKUP(A33,Sheet5!B:C,2,0)</f>
        <v>040000160581</v>
      </c>
      <c r="C33" s="16">
        <v>-428</v>
      </c>
      <c r="D33" s="22">
        <f t="shared" si="1"/>
        <v>-428</v>
      </c>
      <c r="E33" s="21" t="s">
        <v>5912</v>
      </c>
      <c r="F33" s="23" t="str">
        <f t="shared" si="0"/>
        <v>insert into ins_premium_det (premium_rcv_code,assorted_code, rec_amount,premium_rcv_detail_code,remaining_amt, payrec, mode_code,coinsurance_code,class_cd,it_remarks) values</v>
      </c>
      <c r="G33" s="24" t="str">
        <f t="shared" si="2"/>
        <v>('29Apr250042','040000160581','-428',(select max(to_number(i.premium_rcv_detail_code))+1
from ins_premium_det i),'-428','-428','02', '11000003','00','Request by Mr. Omair Ali 30-Apr-2025');</v>
      </c>
      <c r="H33" s="25" t="str">
        <f t="shared" si="3"/>
        <v>insert into ins_premium_det (premium_rcv_code,assorted_code, rec_amount,premium_rcv_detail_code,remaining_amt, payrec, mode_code,coinsurance_code,class_cd,it_remarks) values('29Apr250042','040000160581','-428',(select max(to_number(i.premium_rcv_detail_code))+1
from ins_premium_det i),'-428','-428','02', '11000003','00','Request by Mr. Omair Ali 30-Apr-2025');</v>
      </c>
    </row>
    <row r="34" spans="1:8" ht="105" x14ac:dyDescent="0.25">
      <c r="A34" s="1" t="s">
        <v>1215</v>
      </c>
      <c r="B34" s="1" t="str">
        <f>VLOOKUP(A34,Sheet5!B:C,2,0)</f>
        <v>040000162053</v>
      </c>
      <c r="C34" s="16">
        <v>-1</v>
      </c>
      <c r="D34" s="22">
        <f t="shared" si="1"/>
        <v>-1</v>
      </c>
      <c r="E34" s="21" t="s">
        <v>5912</v>
      </c>
      <c r="F34" s="23" t="str">
        <f t="shared" si="0"/>
        <v>insert into ins_premium_det (premium_rcv_code,assorted_code, rec_amount,premium_rcv_detail_code,remaining_amt, payrec, mode_code,coinsurance_code,class_cd,it_remarks) values</v>
      </c>
      <c r="G34" s="24" t="str">
        <f t="shared" si="2"/>
        <v>('29Apr250042','040000162053','-1',(select max(to_number(i.premium_rcv_detail_code))+1
from ins_premium_det i),'-1','-1','02', '11000003','00','Request by Mr. Omair Ali 30-Apr-2025');</v>
      </c>
      <c r="H34" s="25" t="str">
        <f t="shared" si="3"/>
        <v>insert into ins_premium_det (premium_rcv_code,assorted_code, rec_amount,premium_rcv_detail_code,remaining_amt, payrec, mode_code,coinsurance_code,class_cd,it_remarks) values('29Apr250042','040000162053','-1',(select max(to_number(i.premium_rcv_detail_code))+1
from ins_premium_det i),'-1','-1','02', '11000003','00','Request by Mr. Omair Ali 30-Apr-2025');</v>
      </c>
    </row>
    <row r="35" spans="1:8" ht="105" x14ac:dyDescent="0.25">
      <c r="A35" s="1" t="s">
        <v>1243</v>
      </c>
      <c r="B35" s="1" t="str">
        <f>VLOOKUP(A35,Sheet5!B:C,2,0)</f>
        <v>040000162100</v>
      </c>
      <c r="C35" s="16">
        <v>-79</v>
      </c>
      <c r="D35" s="22">
        <f t="shared" si="1"/>
        <v>-79</v>
      </c>
      <c r="E35" s="21" t="s">
        <v>5912</v>
      </c>
      <c r="F35" s="23" t="str">
        <f t="shared" si="0"/>
        <v>insert into ins_premium_det (premium_rcv_code,assorted_code, rec_amount,premium_rcv_detail_code,remaining_amt, payrec, mode_code,coinsurance_code,class_cd,it_remarks) values</v>
      </c>
      <c r="G35" s="24" t="str">
        <f t="shared" si="2"/>
        <v>('29Apr250042','040000162100','-79',(select max(to_number(i.premium_rcv_detail_code))+1
from ins_premium_det i),'-79','-79','02', '11000003','00','Request by Mr. Omair Ali 30-Apr-2025');</v>
      </c>
      <c r="H35" s="25" t="str">
        <f t="shared" si="3"/>
        <v>insert into ins_premium_det (premium_rcv_code,assorted_code, rec_amount,premium_rcv_detail_code,remaining_amt, payrec, mode_code,coinsurance_code,class_cd,it_remarks) values('29Apr250042','040000162100','-79',(select max(to_number(i.premium_rcv_detail_code))+1
from ins_premium_det i),'-79','-79','02', '11000003','00','Request by Mr. Omair Ali 30-Apr-2025');</v>
      </c>
    </row>
    <row r="36" spans="1:8" ht="105" x14ac:dyDescent="0.25">
      <c r="A36" s="1" t="s">
        <v>1268</v>
      </c>
      <c r="B36" s="1" t="str">
        <f>VLOOKUP(A36,Sheet5!B:C,2,0)</f>
        <v>040000162319</v>
      </c>
      <c r="C36" s="16">
        <v>50</v>
      </c>
      <c r="D36" s="22">
        <f t="shared" si="1"/>
        <v>50</v>
      </c>
      <c r="E36" s="21" t="s">
        <v>5912</v>
      </c>
      <c r="F36" s="23" t="str">
        <f t="shared" si="0"/>
        <v>insert into ins_premium_det (premium_rcv_code,assorted_code, rec_amount,premium_rcv_detail_code,remaining_amt, payrec, mode_code,coinsurance_code,class_cd,it_remarks) values</v>
      </c>
      <c r="G36" s="24" t="str">
        <f t="shared" si="2"/>
        <v>('29Apr250042','040000162319','50',(select max(to_number(i.premium_rcv_detail_code))+1
from ins_premium_det i),'50','50','02', '11000003','00','Request by Mr. Omair Ali 30-Apr-2025');</v>
      </c>
      <c r="H36" s="25" t="str">
        <f t="shared" si="3"/>
        <v>insert into ins_premium_det (premium_rcv_code,assorted_code, rec_amount,premium_rcv_detail_code,remaining_amt, payrec, mode_code,coinsurance_code,class_cd,it_remarks) values('29Apr250042','040000162319','50',(select max(to_number(i.premium_rcv_detail_code))+1
from ins_premium_det i),'50','50','02', '11000003','00','Request by Mr. Omair Ali 30-Apr-2025');</v>
      </c>
    </row>
    <row r="37" spans="1:8" ht="105" x14ac:dyDescent="0.25">
      <c r="A37" s="1" t="s">
        <v>1312</v>
      </c>
      <c r="B37" s="1" t="str">
        <f>VLOOKUP(A37,Sheet5!B:C,2,0)</f>
        <v>040000162619</v>
      </c>
      <c r="C37" s="16">
        <v>-28</v>
      </c>
      <c r="D37" s="22">
        <f t="shared" si="1"/>
        <v>-28</v>
      </c>
      <c r="E37" s="21" t="s">
        <v>5912</v>
      </c>
      <c r="F37" s="23" t="str">
        <f t="shared" si="0"/>
        <v>insert into ins_premium_det (premium_rcv_code,assorted_code, rec_amount,premium_rcv_detail_code,remaining_amt, payrec, mode_code,coinsurance_code,class_cd,it_remarks) values</v>
      </c>
      <c r="G37" s="24" t="str">
        <f t="shared" si="2"/>
        <v>('29Apr250042','040000162619','-28',(select max(to_number(i.premium_rcv_detail_code))+1
from ins_premium_det i),'-28','-28','02', '11000003','00','Request by Mr. Omair Ali 30-Apr-2025');</v>
      </c>
      <c r="H37" s="25" t="str">
        <f t="shared" si="3"/>
        <v>insert into ins_premium_det (premium_rcv_code,assorted_code, rec_amount,premium_rcv_detail_code,remaining_amt, payrec, mode_code,coinsurance_code,class_cd,it_remarks) values('29Apr250042','040000162619','-28',(select max(to_number(i.premium_rcv_detail_code))+1
from ins_premium_det i),'-28','-28','02', '11000003','00','Request by Mr. Omair Ali 30-Apr-2025');</v>
      </c>
    </row>
    <row r="38" spans="1:8" ht="105" x14ac:dyDescent="0.25">
      <c r="A38" s="1" t="s">
        <v>1318</v>
      </c>
      <c r="B38" s="1" t="str">
        <f>VLOOKUP(A38,Sheet5!B:C,2,0)</f>
        <v>040000162811</v>
      </c>
      <c r="C38" s="16">
        <v>50</v>
      </c>
      <c r="D38" s="22">
        <f t="shared" si="1"/>
        <v>50</v>
      </c>
      <c r="E38" s="21" t="s">
        <v>5912</v>
      </c>
      <c r="F38" s="23" t="str">
        <f t="shared" si="0"/>
        <v>insert into ins_premium_det (premium_rcv_code,assorted_code, rec_amount,premium_rcv_detail_code,remaining_amt, payrec, mode_code,coinsurance_code,class_cd,it_remarks) values</v>
      </c>
      <c r="G38" s="24" t="str">
        <f t="shared" si="2"/>
        <v>('29Apr250042','040000162811','50',(select max(to_number(i.premium_rcv_detail_code))+1
from ins_premium_det i),'50','50','02', '11000003','00','Request by Mr. Omair Ali 30-Apr-2025');</v>
      </c>
      <c r="H38" s="25" t="str">
        <f t="shared" si="3"/>
        <v>insert into ins_premium_det (premium_rcv_code,assorted_code, rec_amount,premium_rcv_detail_code,remaining_amt, payrec, mode_code,coinsurance_code,class_cd,it_remarks) values('29Apr250042','040000162811','50',(select max(to_number(i.premium_rcv_detail_code))+1
from ins_premium_det i),'50','50','02', '11000003','00','Request by Mr. Omair Ali 30-Apr-2025');</v>
      </c>
    </row>
    <row r="39" spans="1:8" ht="105" x14ac:dyDescent="0.25">
      <c r="A39" s="1" t="s">
        <v>1441</v>
      </c>
      <c r="B39" s="1" t="str">
        <f>VLOOKUP(A39,Sheet5!B:C,2,0)</f>
        <v>040000165025</v>
      </c>
      <c r="C39" s="16">
        <v>50</v>
      </c>
      <c r="D39" s="22">
        <f t="shared" si="1"/>
        <v>50</v>
      </c>
      <c r="E39" s="21" t="s">
        <v>5912</v>
      </c>
      <c r="F39" s="23" t="str">
        <f t="shared" si="0"/>
        <v>insert into ins_premium_det (premium_rcv_code,assorted_code, rec_amount,premium_rcv_detail_code,remaining_amt, payrec, mode_code,coinsurance_code,class_cd,it_remarks) values</v>
      </c>
      <c r="G39" s="24" t="str">
        <f t="shared" si="2"/>
        <v>('29Apr250042','040000165025','50',(select max(to_number(i.premium_rcv_detail_code))+1
from ins_premium_det i),'50','50','02', '11000003','00','Request by Mr. Omair Ali 30-Apr-2025');</v>
      </c>
      <c r="H39" s="25" t="str">
        <f t="shared" si="3"/>
        <v>insert into ins_premium_det (premium_rcv_code,assorted_code, rec_amount,premium_rcv_detail_code,remaining_amt, payrec, mode_code,coinsurance_code,class_cd,it_remarks) values('29Apr250042','040000165025','50',(select max(to_number(i.premium_rcv_detail_code))+1
from ins_premium_det i),'50','50','02', '11000003','00','Request by Mr. Omair Ali 30-Apr-2025');</v>
      </c>
    </row>
    <row r="40" spans="1:8" ht="105" x14ac:dyDescent="0.25">
      <c r="A40" s="1" t="s">
        <v>1453</v>
      </c>
      <c r="B40" s="1" t="str">
        <f>VLOOKUP(A40,Sheet5!B:C,2,0)</f>
        <v>040000165348</v>
      </c>
      <c r="C40" s="16">
        <v>50</v>
      </c>
      <c r="D40" s="22">
        <f t="shared" si="1"/>
        <v>50</v>
      </c>
      <c r="E40" s="21" t="s">
        <v>5912</v>
      </c>
      <c r="F40" s="23" t="str">
        <f t="shared" si="0"/>
        <v>insert into ins_premium_det (premium_rcv_code,assorted_code, rec_amount,premium_rcv_detail_code,remaining_amt, payrec, mode_code,coinsurance_code,class_cd,it_remarks) values</v>
      </c>
      <c r="G40" s="24" t="str">
        <f t="shared" si="2"/>
        <v>('29Apr250042','040000165348','50',(select max(to_number(i.premium_rcv_detail_code))+1
from ins_premium_det i),'50','50','02', '11000003','00','Request by Mr. Omair Ali 30-Apr-2025');</v>
      </c>
      <c r="H40" s="25" t="str">
        <f t="shared" si="3"/>
        <v>insert into ins_premium_det (premium_rcv_code,assorted_code, rec_amount,premium_rcv_detail_code,remaining_amt, payrec, mode_code,coinsurance_code,class_cd,it_remarks) values('29Apr250042','040000165348','50',(select max(to_number(i.premium_rcv_detail_code))+1
from ins_premium_det i),'50','50','02', '11000003','00','Request by Mr. Omair Ali 30-Apr-2025');</v>
      </c>
    </row>
    <row r="41" spans="1:8" ht="105" x14ac:dyDescent="0.25">
      <c r="A41" s="1" t="s">
        <v>1512</v>
      </c>
      <c r="B41" s="1" t="str">
        <f>VLOOKUP(A41,Sheet5!B:C,2,0)</f>
        <v>040000166984</v>
      </c>
      <c r="C41" s="16">
        <v>-51</v>
      </c>
      <c r="D41" s="22">
        <f t="shared" si="1"/>
        <v>-51</v>
      </c>
      <c r="E41" s="21" t="s">
        <v>5912</v>
      </c>
      <c r="F41" s="23" t="str">
        <f t="shared" si="0"/>
        <v>insert into ins_premium_det (premium_rcv_code,assorted_code, rec_amount,premium_rcv_detail_code,remaining_amt, payrec, mode_code,coinsurance_code,class_cd,it_remarks) values</v>
      </c>
      <c r="G41" s="24" t="str">
        <f t="shared" si="2"/>
        <v>('29Apr250042','040000166984','-51',(select max(to_number(i.premium_rcv_detail_code))+1
from ins_premium_det i),'-51','-51','02', '11000003','00','Request by Mr. Omair Ali 30-Apr-2025');</v>
      </c>
      <c r="H41" s="25" t="str">
        <f t="shared" si="3"/>
        <v>insert into ins_premium_det (premium_rcv_code,assorted_code, rec_amount,premium_rcv_detail_code,remaining_amt, payrec, mode_code,coinsurance_code,class_cd,it_remarks) values('29Apr250042','040000166984','-51',(select max(to_number(i.premium_rcv_detail_code))+1
from ins_premium_det i),'-51','-51','02', '11000003','00','Request by Mr. Omair Ali 30-Apr-2025');</v>
      </c>
    </row>
    <row r="42" spans="1:8" ht="105" x14ac:dyDescent="0.25">
      <c r="A42" s="1" t="s">
        <v>1519</v>
      </c>
      <c r="B42" s="1" t="str">
        <f>VLOOKUP(A42,Sheet5!B:C,2,0)</f>
        <v>040000167089</v>
      </c>
      <c r="C42" s="16">
        <v>50</v>
      </c>
      <c r="D42" s="22">
        <f t="shared" si="1"/>
        <v>50</v>
      </c>
      <c r="E42" s="21" t="s">
        <v>5912</v>
      </c>
      <c r="F42" s="23" t="str">
        <f t="shared" si="0"/>
        <v>insert into ins_premium_det (premium_rcv_code,assorted_code, rec_amount,premium_rcv_detail_code,remaining_amt, payrec, mode_code,coinsurance_code,class_cd,it_remarks) values</v>
      </c>
      <c r="G42" s="24" t="str">
        <f t="shared" si="2"/>
        <v>('29Apr250042','040000167089','50',(select max(to_number(i.premium_rcv_detail_code))+1
from ins_premium_det i),'50','50','02', '11000003','00','Request by Mr. Omair Ali 30-Apr-2025');</v>
      </c>
      <c r="H42" s="25" t="str">
        <f t="shared" si="3"/>
        <v>insert into ins_premium_det (premium_rcv_code,assorted_code, rec_amount,premium_rcv_detail_code,remaining_amt, payrec, mode_code,coinsurance_code,class_cd,it_remarks) values('29Apr250042','040000167089','50',(select max(to_number(i.premium_rcv_detail_code))+1
from ins_premium_det i),'50','50','02', '11000003','00','Request by Mr. Omair Ali 30-Apr-2025');</v>
      </c>
    </row>
    <row r="43" spans="1:8" ht="105" x14ac:dyDescent="0.25">
      <c r="A43" s="1" t="s">
        <v>1562</v>
      </c>
      <c r="B43" s="1" t="str">
        <f>VLOOKUP(A43,Sheet5!B:C,2,0)</f>
        <v>040000168484</v>
      </c>
      <c r="C43" s="16">
        <v>-1</v>
      </c>
      <c r="D43" s="22">
        <f t="shared" si="1"/>
        <v>-1</v>
      </c>
      <c r="E43" s="21" t="s">
        <v>5912</v>
      </c>
      <c r="F43" s="23" t="str">
        <f t="shared" si="0"/>
        <v>insert into ins_premium_det (premium_rcv_code,assorted_code, rec_amount,premium_rcv_detail_code,remaining_amt, payrec, mode_code,coinsurance_code,class_cd,it_remarks) values</v>
      </c>
      <c r="G43" s="24" t="str">
        <f t="shared" si="2"/>
        <v>('29Apr250042','040000168484','-1',(select max(to_number(i.premium_rcv_detail_code))+1
from ins_premium_det i),'-1','-1','02', '11000003','00','Request by Mr. Omair Ali 30-Apr-2025');</v>
      </c>
      <c r="H43" s="25" t="str">
        <f t="shared" si="3"/>
        <v>insert into ins_premium_det (premium_rcv_code,assorted_code, rec_amount,premium_rcv_detail_code,remaining_amt, payrec, mode_code,coinsurance_code,class_cd,it_remarks) values('29Apr250042','040000168484','-1',(select max(to_number(i.premium_rcv_detail_code))+1
from ins_premium_det i),'-1','-1','02', '11000003','00','Request by Mr. Omair Ali 30-Apr-2025');</v>
      </c>
    </row>
    <row r="44" spans="1:8" ht="105" x14ac:dyDescent="0.25">
      <c r="A44" s="1" t="s">
        <v>1590</v>
      </c>
      <c r="B44" s="1" t="str">
        <f>VLOOKUP(A44,Sheet5!B:C,2,0)</f>
        <v>040000169496</v>
      </c>
      <c r="C44" s="16">
        <v>-15</v>
      </c>
      <c r="D44" s="22">
        <f t="shared" si="1"/>
        <v>-15</v>
      </c>
      <c r="E44" s="21" t="s">
        <v>5912</v>
      </c>
      <c r="F44" s="23" t="str">
        <f t="shared" si="0"/>
        <v>insert into ins_premium_det (premium_rcv_code,assorted_code, rec_amount,premium_rcv_detail_code,remaining_amt, payrec, mode_code,coinsurance_code,class_cd,it_remarks) values</v>
      </c>
      <c r="G44" s="24" t="str">
        <f t="shared" si="2"/>
        <v>('29Apr250042','040000169496','-15',(select max(to_number(i.premium_rcv_detail_code))+1
from ins_premium_det i),'-15','-15','02', '11000003','00','Request by Mr. Omair Ali 30-Apr-2025');</v>
      </c>
      <c r="H44" s="25" t="str">
        <f t="shared" si="3"/>
        <v>insert into ins_premium_det (premium_rcv_code,assorted_code, rec_amount,premium_rcv_detail_code,remaining_amt, payrec, mode_code,coinsurance_code,class_cd,it_remarks) values('29Apr250042','040000169496','-15',(select max(to_number(i.premium_rcv_detail_code))+1
from ins_premium_det i),'-15','-15','02', '11000003','00','Request by Mr. Omair Ali 30-Apr-2025');</v>
      </c>
    </row>
    <row r="45" spans="1:8" ht="105" x14ac:dyDescent="0.25">
      <c r="A45" s="1" t="s">
        <v>1606</v>
      </c>
      <c r="B45" s="1" t="str">
        <f>VLOOKUP(A45,Sheet5!B:C,2,0)</f>
        <v>040000169720</v>
      </c>
      <c r="C45" s="16">
        <v>50</v>
      </c>
      <c r="D45" s="22">
        <f t="shared" si="1"/>
        <v>50</v>
      </c>
      <c r="E45" s="21" t="s">
        <v>5912</v>
      </c>
      <c r="F45" s="23" t="str">
        <f t="shared" si="0"/>
        <v>insert into ins_premium_det (premium_rcv_code,assorted_code, rec_amount,premium_rcv_detail_code,remaining_amt, payrec, mode_code,coinsurance_code,class_cd,it_remarks) values</v>
      </c>
      <c r="G45" s="24" t="str">
        <f t="shared" si="2"/>
        <v>('29Apr250042','040000169720','50',(select max(to_number(i.premium_rcv_detail_code))+1
from ins_premium_det i),'50','50','02', '11000003','00','Request by Mr. Omair Ali 30-Apr-2025');</v>
      </c>
      <c r="H45" s="25" t="str">
        <f t="shared" si="3"/>
        <v>insert into ins_premium_det (premium_rcv_code,assorted_code, rec_amount,premium_rcv_detail_code,remaining_amt, payrec, mode_code,coinsurance_code,class_cd,it_remarks) values('29Apr250042','040000169720','50',(select max(to_number(i.premium_rcv_detail_code))+1
from ins_premium_det i),'50','50','02', '11000003','00','Request by Mr. Omair Ali 30-Apr-2025');</v>
      </c>
    </row>
    <row r="46" spans="1:8" ht="105" x14ac:dyDescent="0.25">
      <c r="A46" s="1" t="s">
        <v>1617</v>
      </c>
      <c r="B46" s="1" t="str">
        <f>VLOOKUP(A46,Sheet5!B:C,2,0)</f>
        <v>040000169778</v>
      </c>
      <c r="C46" s="16">
        <v>50</v>
      </c>
      <c r="D46" s="22">
        <f t="shared" si="1"/>
        <v>50</v>
      </c>
      <c r="E46" s="21" t="s">
        <v>5912</v>
      </c>
      <c r="F46" s="23" t="str">
        <f t="shared" si="0"/>
        <v>insert into ins_premium_det (premium_rcv_code,assorted_code, rec_amount,premium_rcv_detail_code,remaining_amt, payrec, mode_code,coinsurance_code,class_cd,it_remarks) values</v>
      </c>
      <c r="G46" s="24" t="str">
        <f t="shared" si="2"/>
        <v>('29Apr250042','040000169778','50',(select max(to_number(i.premium_rcv_detail_code))+1
from ins_premium_det i),'50','50','02', '11000003','00','Request by Mr. Omair Ali 30-Apr-2025');</v>
      </c>
      <c r="H46" s="25" t="str">
        <f t="shared" si="3"/>
        <v>insert into ins_premium_det (premium_rcv_code,assorted_code, rec_amount,premium_rcv_detail_code,remaining_amt, payrec, mode_code,coinsurance_code,class_cd,it_remarks) values('29Apr250042','040000169778','50',(select max(to_number(i.premium_rcv_detail_code))+1
from ins_premium_det i),'50','50','02', '11000003','00','Request by Mr. Omair Ali 30-Apr-2025');</v>
      </c>
    </row>
    <row r="47" spans="1:8" ht="105" x14ac:dyDescent="0.25">
      <c r="A47" s="1" t="s">
        <v>1639</v>
      </c>
      <c r="B47" s="1" t="str">
        <f>VLOOKUP(A47,Sheet5!B:C,2,0)</f>
        <v>040000170003</v>
      </c>
      <c r="C47" s="16">
        <v>50</v>
      </c>
      <c r="D47" s="22">
        <f t="shared" si="1"/>
        <v>50</v>
      </c>
      <c r="E47" s="21" t="s">
        <v>5912</v>
      </c>
      <c r="F47" s="23" t="str">
        <f t="shared" si="0"/>
        <v>insert into ins_premium_det (premium_rcv_code,assorted_code, rec_amount,premium_rcv_detail_code,remaining_amt, payrec, mode_code,coinsurance_code,class_cd,it_remarks) values</v>
      </c>
      <c r="G47" s="24" t="str">
        <f t="shared" si="2"/>
        <v>('29Apr250042','040000170003','50',(select max(to_number(i.premium_rcv_detail_code))+1
from ins_premium_det i),'50','50','02', '11000003','00','Request by Mr. Omair Ali 30-Apr-2025');</v>
      </c>
      <c r="H47" s="25" t="str">
        <f t="shared" si="3"/>
        <v>insert into ins_premium_det (premium_rcv_code,assorted_code, rec_amount,premium_rcv_detail_code,remaining_amt, payrec, mode_code,coinsurance_code,class_cd,it_remarks) values('29Apr250042','040000170003','50',(select max(to_number(i.premium_rcv_detail_code))+1
from ins_premium_det i),'50','50','02', '11000003','00','Request by Mr. Omair Ali 30-Apr-2025');</v>
      </c>
    </row>
    <row r="48" spans="1:8" ht="105" x14ac:dyDescent="0.25">
      <c r="A48" s="1" t="s">
        <v>1662</v>
      </c>
      <c r="B48" s="1" t="str">
        <f>VLOOKUP(A48,Sheet5!B:C,2,0)</f>
        <v>040000170410</v>
      </c>
      <c r="C48" s="16">
        <v>50</v>
      </c>
      <c r="D48" s="22">
        <f t="shared" si="1"/>
        <v>50</v>
      </c>
      <c r="E48" s="21" t="s">
        <v>5912</v>
      </c>
      <c r="F48" s="23" t="str">
        <f t="shared" si="0"/>
        <v>insert into ins_premium_det (premium_rcv_code,assorted_code, rec_amount,premium_rcv_detail_code,remaining_amt, payrec, mode_code,coinsurance_code,class_cd,it_remarks) values</v>
      </c>
      <c r="G48" s="24" t="str">
        <f t="shared" si="2"/>
        <v>('29Apr250042','040000170410','50',(select max(to_number(i.premium_rcv_detail_code))+1
from ins_premium_det i),'50','50','02', '11000003','00','Request by Mr. Omair Ali 30-Apr-2025');</v>
      </c>
      <c r="H48" s="25" t="str">
        <f t="shared" si="3"/>
        <v>insert into ins_premium_det (premium_rcv_code,assorted_code, rec_amount,premium_rcv_detail_code,remaining_amt, payrec, mode_code,coinsurance_code,class_cd,it_remarks) values('29Apr250042','040000170410','50',(select max(to_number(i.premium_rcv_detail_code))+1
from ins_premium_det i),'50','50','02', '11000003','00','Request by Mr. Omair Ali 30-Apr-2025');</v>
      </c>
    </row>
    <row r="49" spans="1:8" ht="105" x14ac:dyDescent="0.25">
      <c r="A49" s="1" t="s">
        <v>1672</v>
      </c>
      <c r="B49" s="1" t="str">
        <f>VLOOKUP(A49,Sheet5!B:C,2,0)</f>
        <v>040000170415</v>
      </c>
      <c r="C49" s="16">
        <v>50</v>
      </c>
      <c r="D49" s="22">
        <f t="shared" si="1"/>
        <v>50</v>
      </c>
      <c r="E49" s="21" t="s">
        <v>5912</v>
      </c>
      <c r="F49" s="23" t="str">
        <f t="shared" si="0"/>
        <v>insert into ins_premium_det (premium_rcv_code,assorted_code, rec_amount,premium_rcv_detail_code,remaining_amt, payrec, mode_code,coinsurance_code,class_cd,it_remarks) values</v>
      </c>
      <c r="G49" s="24" t="str">
        <f t="shared" si="2"/>
        <v>('29Apr250042','040000170415','50',(select max(to_number(i.premium_rcv_detail_code))+1
from ins_premium_det i),'50','50','02', '11000003','00','Request by Mr. Omair Ali 30-Apr-2025');</v>
      </c>
      <c r="H49" s="25" t="str">
        <f t="shared" si="3"/>
        <v>insert into ins_premium_det (premium_rcv_code,assorted_code, rec_amount,premium_rcv_detail_code,remaining_amt, payrec, mode_code,coinsurance_code,class_cd,it_remarks) values('29Apr250042','040000170415','50',(select max(to_number(i.premium_rcv_detail_code))+1
from ins_premium_det i),'50','50','02', '11000003','00','Request by Mr. Omair Ali 30-Apr-2025');</v>
      </c>
    </row>
    <row r="50" spans="1:8" ht="105" x14ac:dyDescent="0.25">
      <c r="A50" s="1" t="s">
        <v>1702</v>
      </c>
      <c r="B50" s="1" t="str">
        <f>VLOOKUP(A50,Sheet5!B:C,2,0)</f>
        <v>040000170687</v>
      </c>
      <c r="C50" s="16">
        <v>50</v>
      </c>
      <c r="D50" s="22">
        <f t="shared" si="1"/>
        <v>50</v>
      </c>
      <c r="E50" s="21" t="s">
        <v>5912</v>
      </c>
      <c r="F50" s="23" t="str">
        <f t="shared" si="0"/>
        <v>insert into ins_premium_det (premium_rcv_code,assorted_code, rec_amount,premium_rcv_detail_code,remaining_amt, payrec, mode_code,coinsurance_code,class_cd,it_remarks) values</v>
      </c>
      <c r="G50" s="24" t="str">
        <f t="shared" si="2"/>
        <v>('29Apr250042','040000170687','50',(select max(to_number(i.premium_rcv_detail_code))+1
from ins_premium_det i),'50','50','02', '11000003','00','Request by Mr. Omair Ali 30-Apr-2025');</v>
      </c>
      <c r="H50" s="25" t="str">
        <f t="shared" si="3"/>
        <v>insert into ins_premium_det (premium_rcv_code,assorted_code, rec_amount,premium_rcv_detail_code,remaining_amt, payrec, mode_code,coinsurance_code,class_cd,it_remarks) values('29Apr250042','040000170687','50',(select max(to_number(i.premium_rcv_detail_code))+1
from ins_premium_det i),'50','50','02', '11000003','00','Request by Mr. Omair Ali 30-Apr-2025');</v>
      </c>
    </row>
    <row r="51" spans="1:8" ht="105" x14ac:dyDescent="0.25">
      <c r="A51" s="1" t="s">
        <v>1707</v>
      </c>
      <c r="B51" s="1" t="str">
        <f>VLOOKUP(A51,Sheet5!B:C,2,0)</f>
        <v>040000170693</v>
      </c>
      <c r="C51" s="16">
        <v>50</v>
      </c>
      <c r="D51" s="22">
        <f t="shared" si="1"/>
        <v>50</v>
      </c>
      <c r="E51" s="21" t="s">
        <v>5912</v>
      </c>
      <c r="F51" s="23" t="str">
        <f t="shared" si="0"/>
        <v>insert into ins_premium_det (premium_rcv_code,assorted_code, rec_amount,premium_rcv_detail_code,remaining_amt, payrec, mode_code,coinsurance_code,class_cd,it_remarks) values</v>
      </c>
      <c r="G51" s="24" t="str">
        <f t="shared" si="2"/>
        <v>('29Apr250042','040000170693','50',(select max(to_number(i.premium_rcv_detail_code))+1
from ins_premium_det i),'50','50','02', '11000003','00','Request by Mr. Omair Ali 30-Apr-2025');</v>
      </c>
      <c r="H51" s="25" t="str">
        <f t="shared" si="3"/>
        <v>insert into ins_premium_det (premium_rcv_code,assorted_code, rec_amount,premium_rcv_detail_code,remaining_amt, payrec, mode_code,coinsurance_code,class_cd,it_remarks) values('29Apr250042','040000170693','50',(select max(to_number(i.premium_rcv_detail_code))+1
from ins_premium_det i),'50','50','02', '11000003','00','Request by Mr. Omair Ali 30-Apr-2025');</v>
      </c>
    </row>
    <row r="52" spans="1:8" ht="105" x14ac:dyDescent="0.25">
      <c r="A52" s="1" t="s">
        <v>1716</v>
      </c>
      <c r="B52" s="1" t="str">
        <f>VLOOKUP(A52,Sheet5!B:C,2,0)</f>
        <v>040000170938</v>
      </c>
      <c r="C52" s="16">
        <v>50</v>
      </c>
      <c r="D52" s="22">
        <f t="shared" si="1"/>
        <v>50</v>
      </c>
      <c r="E52" s="21" t="s">
        <v>5912</v>
      </c>
      <c r="F52" s="23" t="str">
        <f t="shared" si="0"/>
        <v>insert into ins_premium_det (premium_rcv_code,assorted_code, rec_amount,premium_rcv_detail_code,remaining_amt, payrec, mode_code,coinsurance_code,class_cd,it_remarks) values</v>
      </c>
      <c r="G52" s="24" t="str">
        <f t="shared" si="2"/>
        <v>('29Apr250042','040000170938','50',(select max(to_number(i.premium_rcv_detail_code))+1
from ins_premium_det i),'50','50','02', '11000003','00','Request by Mr. Omair Ali 30-Apr-2025');</v>
      </c>
      <c r="H52" s="25" t="str">
        <f t="shared" si="3"/>
        <v>insert into ins_premium_det (premium_rcv_code,assorted_code, rec_amount,premium_rcv_detail_code,remaining_amt, payrec, mode_code,coinsurance_code,class_cd,it_remarks) values('29Apr250042','040000170938','50',(select max(to_number(i.premium_rcv_detail_code))+1
from ins_premium_det i),'50','50','02', '11000003','00','Request by Mr. Omair Ali 30-Apr-2025');</v>
      </c>
    </row>
    <row r="53" spans="1:8" ht="105" x14ac:dyDescent="0.25">
      <c r="A53" s="1" t="s">
        <v>1726</v>
      </c>
      <c r="B53" s="1" t="str">
        <f>VLOOKUP(A53,Sheet5!B:C,2,0)</f>
        <v>040000170955</v>
      </c>
      <c r="C53" s="16">
        <v>50</v>
      </c>
      <c r="D53" s="22">
        <f t="shared" si="1"/>
        <v>50</v>
      </c>
      <c r="E53" s="21" t="s">
        <v>5912</v>
      </c>
      <c r="F53" s="23" t="str">
        <f t="shared" si="0"/>
        <v>insert into ins_premium_det (premium_rcv_code,assorted_code, rec_amount,premium_rcv_detail_code,remaining_amt, payrec, mode_code,coinsurance_code,class_cd,it_remarks) values</v>
      </c>
      <c r="G53" s="24" t="str">
        <f t="shared" si="2"/>
        <v>('29Apr250042','040000170955','50',(select max(to_number(i.premium_rcv_detail_code))+1
from ins_premium_det i),'50','50','02', '11000003','00','Request by Mr. Omair Ali 30-Apr-2025');</v>
      </c>
      <c r="H53" s="25" t="str">
        <f t="shared" si="3"/>
        <v>insert into ins_premium_det (premium_rcv_code,assorted_code, rec_amount,premium_rcv_detail_code,remaining_amt, payrec, mode_code,coinsurance_code,class_cd,it_remarks) values('29Apr250042','040000170955','50',(select max(to_number(i.premium_rcv_detail_code))+1
from ins_premium_det i),'50','50','02', '11000003','00','Request by Mr. Omair Ali 30-Apr-2025');</v>
      </c>
    </row>
    <row r="54" spans="1:8" ht="105" x14ac:dyDescent="0.25">
      <c r="A54" s="1" t="s">
        <v>1749</v>
      </c>
      <c r="B54" s="1" t="str">
        <f>VLOOKUP(A54,Sheet5!B:C,2,0)</f>
        <v>040000171154</v>
      </c>
      <c r="C54" s="16">
        <v>50</v>
      </c>
      <c r="D54" s="22">
        <f t="shared" si="1"/>
        <v>50</v>
      </c>
      <c r="E54" s="21" t="s">
        <v>5912</v>
      </c>
      <c r="F54" s="23" t="str">
        <f t="shared" si="0"/>
        <v>insert into ins_premium_det (premium_rcv_code,assorted_code, rec_amount,premium_rcv_detail_code,remaining_amt, payrec, mode_code,coinsurance_code,class_cd,it_remarks) values</v>
      </c>
      <c r="G54" s="24" t="str">
        <f t="shared" si="2"/>
        <v>('29Apr250042','040000171154','50',(select max(to_number(i.premium_rcv_detail_code))+1
from ins_premium_det i),'50','50','02', '11000003','00','Request by Mr. Omair Ali 30-Apr-2025');</v>
      </c>
      <c r="H54" s="25" t="str">
        <f t="shared" si="3"/>
        <v>insert into ins_premium_det (premium_rcv_code,assorted_code, rec_amount,premium_rcv_detail_code,remaining_amt, payrec, mode_code,coinsurance_code,class_cd,it_remarks) values('29Apr250042','040000171154','50',(select max(to_number(i.premium_rcv_detail_code))+1
from ins_premium_det i),'50','50','02', '11000003','00','Request by Mr. Omair Ali 30-Apr-2025');</v>
      </c>
    </row>
    <row r="55" spans="1:8" ht="105" x14ac:dyDescent="0.25">
      <c r="A55" s="1" t="s">
        <v>1752</v>
      </c>
      <c r="B55" s="1" t="str">
        <f>VLOOKUP(A55,Sheet5!B:C,2,0)</f>
        <v>040000171156</v>
      </c>
      <c r="C55" s="16">
        <v>50</v>
      </c>
      <c r="D55" s="22">
        <f t="shared" si="1"/>
        <v>50</v>
      </c>
      <c r="E55" s="21" t="s">
        <v>5912</v>
      </c>
      <c r="F55" s="23" t="str">
        <f t="shared" si="0"/>
        <v>insert into ins_premium_det (premium_rcv_code,assorted_code, rec_amount,premium_rcv_detail_code,remaining_amt, payrec, mode_code,coinsurance_code,class_cd,it_remarks) values</v>
      </c>
      <c r="G55" s="24" t="str">
        <f t="shared" si="2"/>
        <v>('29Apr250042','040000171156','50',(select max(to_number(i.premium_rcv_detail_code))+1
from ins_premium_det i),'50','50','02', '11000003','00','Request by Mr. Omair Ali 30-Apr-2025');</v>
      </c>
      <c r="H55" s="25" t="str">
        <f t="shared" si="3"/>
        <v>insert into ins_premium_det (premium_rcv_code,assorted_code, rec_amount,premium_rcv_detail_code,remaining_amt, payrec, mode_code,coinsurance_code,class_cd,it_remarks) values('29Apr250042','040000171156','50',(select max(to_number(i.premium_rcv_detail_code))+1
from ins_premium_det i),'50','50','02', '11000003','00','Request by Mr. Omair Ali 30-Apr-2025');</v>
      </c>
    </row>
    <row r="56" spans="1:8" ht="105" x14ac:dyDescent="0.25">
      <c r="A56" s="1" t="s">
        <v>1760</v>
      </c>
      <c r="B56" s="1" t="str">
        <f>VLOOKUP(A56,Sheet5!B:C,2,0)</f>
        <v>040000171211</v>
      </c>
      <c r="C56" s="16">
        <v>50</v>
      </c>
      <c r="D56" s="22">
        <f t="shared" si="1"/>
        <v>50</v>
      </c>
      <c r="E56" s="21" t="s">
        <v>5912</v>
      </c>
      <c r="F56" s="23" t="str">
        <f t="shared" si="0"/>
        <v>insert into ins_premium_det (premium_rcv_code,assorted_code, rec_amount,premium_rcv_detail_code,remaining_amt, payrec, mode_code,coinsurance_code,class_cd,it_remarks) values</v>
      </c>
      <c r="G56" s="24" t="str">
        <f t="shared" si="2"/>
        <v>('29Apr250042','040000171211','50',(select max(to_number(i.premium_rcv_detail_code))+1
from ins_premium_det i),'50','50','02', '11000003','00','Request by Mr. Omair Ali 30-Apr-2025');</v>
      </c>
      <c r="H56" s="25" t="str">
        <f t="shared" si="3"/>
        <v>insert into ins_premium_det (premium_rcv_code,assorted_code, rec_amount,premium_rcv_detail_code,remaining_amt, payrec, mode_code,coinsurance_code,class_cd,it_remarks) values('29Apr250042','040000171211','50',(select max(to_number(i.premium_rcv_detail_code))+1
from ins_premium_det i),'50','50','02', '11000003','00','Request by Mr. Omair Ali 30-Apr-2025');</v>
      </c>
    </row>
    <row r="57" spans="1:8" ht="105" x14ac:dyDescent="0.25">
      <c r="A57" s="1" t="s">
        <v>1797</v>
      </c>
      <c r="B57" s="1" t="str">
        <f>VLOOKUP(A57,Sheet5!B:C,2,0)</f>
        <v>040000172014</v>
      </c>
      <c r="C57" s="16">
        <v>78200</v>
      </c>
      <c r="D57" s="22">
        <f t="shared" si="1"/>
        <v>78200</v>
      </c>
      <c r="E57" s="21" t="s">
        <v>5912</v>
      </c>
      <c r="F57" s="23" t="str">
        <f t="shared" si="0"/>
        <v>insert into ins_premium_det (premium_rcv_code,assorted_code, rec_amount,premium_rcv_detail_code,remaining_amt, payrec, mode_code,coinsurance_code,class_cd,it_remarks) values</v>
      </c>
      <c r="G57" s="24" t="str">
        <f t="shared" si="2"/>
        <v>('29Apr250042','040000172014','78200',(select max(to_number(i.premium_rcv_detail_code))+1
from ins_premium_det i),'78200','78200','02', '11000003','00','Request by Mr. Omair Ali 30-Apr-2025');</v>
      </c>
      <c r="H57" s="25" t="str">
        <f t="shared" si="3"/>
        <v>insert into ins_premium_det (premium_rcv_code,assorted_code, rec_amount,premium_rcv_detail_code,remaining_amt, payrec, mode_code,coinsurance_code,class_cd,it_remarks) values('29Apr250042','040000172014','78200',(select max(to_number(i.premium_rcv_detail_code))+1
from ins_premium_det i),'78200','78200','02', '11000003','00','Request by Mr. Omair Ali 30-Apr-2025');</v>
      </c>
    </row>
    <row r="58" spans="1:8" ht="105" x14ac:dyDescent="0.25">
      <c r="A58" s="1" t="s">
        <v>1826</v>
      </c>
      <c r="B58" s="1" t="str">
        <f>VLOOKUP(A58,Sheet5!B:C,2,0)</f>
        <v>040000172831</v>
      </c>
      <c r="C58" s="16">
        <v>50</v>
      </c>
      <c r="D58" s="22">
        <f t="shared" si="1"/>
        <v>50</v>
      </c>
      <c r="E58" s="21" t="s">
        <v>5912</v>
      </c>
      <c r="F58" s="23" t="str">
        <f t="shared" si="0"/>
        <v>insert into ins_premium_det (premium_rcv_code,assorted_code, rec_amount,premium_rcv_detail_code,remaining_amt, payrec, mode_code,coinsurance_code,class_cd,it_remarks) values</v>
      </c>
      <c r="G58" s="24" t="str">
        <f t="shared" si="2"/>
        <v>('29Apr250042','040000172831','50',(select max(to_number(i.premium_rcv_detail_code))+1
from ins_premium_det i),'50','50','02', '11000003','00','Request by Mr. Omair Ali 30-Apr-2025');</v>
      </c>
      <c r="H58" s="25" t="str">
        <f t="shared" si="3"/>
        <v>insert into ins_premium_det (premium_rcv_code,assorted_code, rec_amount,premium_rcv_detail_code,remaining_amt, payrec, mode_code,coinsurance_code,class_cd,it_remarks) values('29Apr250042','040000172831','50',(select max(to_number(i.premium_rcv_detail_code))+1
from ins_premium_det i),'50','50','02', '11000003','00','Request by Mr. Omair Ali 30-Apr-2025');</v>
      </c>
    </row>
    <row r="59" spans="1:8" ht="105" x14ac:dyDescent="0.25">
      <c r="A59" s="1" t="s">
        <v>1836</v>
      </c>
      <c r="B59" s="1" t="str">
        <f>VLOOKUP(A59,Sheet5!B:C,2,0)</f>
        <v>040000173186</v>
      </c>
      <c r="C59" s="16">
        <v>50</v>
      </c>
      <c r="D59" s="22">
        <f t="shared" si="1"/>
        <v>50</v>
      </c>
      <c r="E59" s="21" t="s">
        <v>5912</v>
      </c>
      <c r="F59" s="23" t="str">
        <f t="shared" si="0"/>
        <v>insert into ins_premium_det (premium_rcv_code,assorted_code, rec_amount,premium_rcv_detail_code,remaining_amt, payrec, mode_code,coinsurance_code,class_cd,it_remarks) values</v>
      </c>
      <c r="G59" s="24" t="str">
        <f t="shared" si="2"/>
        <v>('29Apr250042','040000173186','50',(select max(to_number(i.premium_rcv_detail_code))+1
from ins_premium_det i),'50','50','02', '11000003','00','Request by Mr. Omair Ali 30-Apr-2025');</v>
      </c>
      <c r="H59" s="25" t="str">
        <f t="shared" si="3"/>
        <v>insert into ins_premium_det (premium_rcv_code,assorted_code, rec_amount,premium_rcv_detail_code,remaining_amt, payrec, mode_code,coinsurance_code,class_cd,it_remarks) values('29Apr250042','040000173186','50',(select max(to_number(i.premium_rcv_detail_code))+1
from ins_premium_det i),'50','50','02', '11000003','00','Request by Mr. Omair Ali 30-Apr-2025');</v>
      </c>
    </row>
    <row r="60" spans="1:8" ht="105" x14ac:dyDescent="0.25">
      <c r="A60" s="1" t="s">
        <v>1851</v>
      </c>
      <c r="B60" s="1" t="str">
        <f>VLOOKUP(A60,Sheet5!B:C,2,0)</f>
        <v>040000174224</v>
      </c>
      <c r="C60" s="16">
        <v>50</v>
      </c>
      <c r="D60" s="22">
        <f t="shared" si="1"/>
        <v>50</v>
      </c>
      <c r="E60" s="21" t="s">
        <v>5912</v>
      </c>
      <c r="F60" s="23" t="str">
        <f t="shared" si="0"/>
        <v>insert into ins_premium_det (premium_rcv_code,assorted_code, rec_amount,premium_rcv_detail_code,remaining_amt, payrec, mode_code,coinsurance_code,class_cd,it_remarks) values</v>
      </c>
      <c r="G60" s="24" t="str">
        <f t="shared" si="2"/>
        <v>('29Apr250042','040000174224','50',(select max(to_number(i.premium_rcv_detail_code))+1
from ins_premium_det i),'50','50','02', '11000003','00','Request by Mr. Omair Ali 30-Apr-2025');</v>
      </c>
      <c r="H60" s="25" t="str">
        <f t="shared" si="3"/>
        <v>insert into ins_premium_det (premium_rcv_code,assorted_code, rec_amount,premium_rcv_detail_code,remaining_amt, payrec, mode_code,coinsurance_code,class_cd,it_remarks) values('29Apr250042','040000174224','50',(select max(to_number(i.premium_rcv_detail_code))+1
from ins_premium_det i),'50','50','02', '11000003','00','Request by Mr. Omair Ali 30-Apr-2025');</v>
      </c>
    </row>
    <row r="61" spans="1:8" ht="105" x14ac:dyDescent="0.25">
      <c r="A61" s="1" t="s">
        <v>1890</v>
      </c>
      <c r="B61" s="1" t="str">
        <f>VLOOKUP(A61,Sheet5!B:C,2,0)</f>
        <v>040000175066</v>
      </c>
      <c r="C61" s="16">
        <v>50</v>
      </c>
      <c r="D61" s="22">
        <f t="shared" si="1"/>
        <v>50</v>
      </c>
      <c r="E61" s="21" t="s">
        <v>5912</v>
      </c>
      <c r="F61" s="23" t="str">
        <f t="shared" si="0"/>
        <v>insert into ins_premium_det (premium_rcv_code,assorted_code, rec_amount,premium_rcv_detail_code,remaining_amt, payrec, mode_code,coinsurance_code,class_cd,it_remarks) values</v>
      </c>
      <c r="G61" s="24" t="str">
        <f t="shared" si="2"/>
        <v>('29Apr250042','040000175066','50',(select max(to_number(i.premium_rcv_detail_code))+1
from ins_premium_det i),'50','50','02', '11000003','00','Request by Mr. Omair Ali 30-Apr-2025');</v>
      </c>
      <c r="H61" s="25" t="str">
        <f t="shared" si="3"/>
        <v>insert into ins_premium_det (premium_rcv_code,assorted_code, rec_amount,premium_rcv_detail_code,remaining_amt, payrec, mode_code,coinsurance_code,class_cd,it_remarks) values('29Apr250042','040000175066','50',(select max(to_number(i.premium_rcv_detail_code))+1
from ins_premium_det i),'50','50','02', '11000003','00','Request by Mr. Omair Ali 30-Apr-2025');</v>
      </c>
    </row>
    <row r="62" spans="1:8" ht="105" x14ac:dyDescent="0.25">
      <c r="A62" s="1" t="s">
        <v>1898</v>
      </c>
      <c r="B62" s="1" t="str">
        <f>VLOOKUP(A62,Sheet5!B:C,2,0)</f>
        <v>040000175191</v>
      </c>
      <c r="C62" s="16">
        <v>50</v>
      </c>
      <c r="D62" s="22">
        <f t="shared" si="1"/>
        <v>50</v>
      </c>
      <c r="E62" s="21" t="s">
        <v>5912</v>
      </c>
      <c r="F62" s="23" t="str">
        <f t="shared" si="0"/>
        <v>insert into ins_premium_det (premium_rcv_code,assorted_code, rec_amount,premium_rcv_detail_code,remaining_amt, payrec, mode_code,coinsurance_code,class_cd,it_remarks) values</v>
      </c>
      <c r="G62" s="24" t="str">
        <f t="shared" si="2"/>
        <v>('29Apr250042','040000175191','50',(select max(to_number(i.premium_rcv_detail_code))+1
from ins_premium_det i),'50','50','02', '11000003','00','Request by Mr. Omair Ali 30-Apr-2025');</v>
      </c>
      <c r="H62" s="25" t="str">
        <f t="shared" si="3"/>
        <v>insert into ins_premium_det (premium_rcv_code,assorted_code, rec_amount,premium_rcv_detail_code,remaining_amt, payrec, mode_code,coinsurance_code,class_cd,it_remarks) values('29Apr250042','040000175191','50',(select max(to_number(i.premium_rcv_detail_code))+1
from ins_premium_det i),'50','50','02', '11000003','00','Request by Mr. Omair Ali 30-Apr-2025');</v>
      </c>
    </row>
    <row r="63" spans="1:8" ht="105" x14ac:dyDescent="0.25">
      <c r="A63" s="1" t="s">
        <v>1933</v>
      </c>
      <c r="B63" s="1" t="str">
        <f>VLOOKUP(A63,Sheet5!B:C,2,0)</f>
        <v>040000177296</v>
      </c>
      <c r="C63" s="16">
        <v>50</v>
      </c>
      <c r="D63" s="22">
        <f t="shared" si="1"/>
        <v>50</v>
      </c>
      <c r="E63" s="21" t="s">
        <v>5912</v>
      </c>
      <c r="F63" s="23" t="str">
        <f t="shared" si="0"/>
        <v>insert into ins_premium_det (premium_rcv_code,assorted_code, rec_amount,premium_rcv_detail_code,remaining_amt, payrec, mode_code,coinsurance_code,class_cd,it_remarks) values</v>
      </c>
      <c r="G63" s="24" t="str">
        <f t="shared" si="2"/>
        <v>('29Apr250042','040000177296','50',(select max(to_number(i.premium_rcv_detail_code))+1
from ins_premium_det i),'50','50','02', '11000003','00','Request by Mr. Omair Ali 30-Apr-2025');</v>
      </c>
      <c r="H63" s="25" t="str">
        <f t="shared" si="3"/>
        <v>insert into ins_premium_det (premium_rcv_code,assorted_code, rec_amount,premium_rcv_detail_code,remaining_amt, payrec, mode_code,coinsurance_code,class_cd,it_remarks) values('29Apr250042','040000177296','50',(select max(to_number(i.premium_rcv_detail_code))+1
from ins_premium_det i),'50','50','02', '11000003','00','Request by Mr. Omair Ali 30-Apr-2025');</v>
      </c>
    </row>
    <row r="64" spans="1:8" ht="105" x14ac:dyDescent="0.25">
      <c r="A64" s="1" t="s">
        <v>1952</v>
      </c>
      <c r="B64" s="1" t="str">
        <f>VLOOKUP(A64,Sheet5!B:C,2,0)</f>
        <v>040000177989</v>
      </c>
      <c r="C64" s="16">
        <v>5000</v>
      </c>
      <c r="D64" s="22">
        <f t="shared" si="1"/>
        <v>5000</v>
      </c>
      <c r="E64" s="21" t="s">
        <v>5912</v>
      </c>
      <c r="F64" s="23" t="str">
        <f t="shared" si="0"/>
        <v>insert into ins_premium_det (premium_rcv_code,assorted_code, rec_amount,premium_rcv_detail_code,remaining_amt, payrec, mode_code,coinsurance_code,class_cd,it_remarks) values</v>
      </c>
      <c r="G64" s="24" t="str">
        <f t="shared" si="2"/>
        <v>('29Apr250042','040000177989','5000',(select max(to_number(i.premium_rcv_detail_code))+1
from ins_premium_det i),'5000','5000','02', '11000003','00','Request by Mr. Omair Ali 30-Apr-2025');</v>
      </c>
      <c r="H64" s="25" t="str">
        <f t="shared" si="3"/>
        <v>insert into ins_premium_det (premium_rcv_code,assorted_code, rec_amount,premium_rcv_detail_code,remaining_amt, payrec, mode_code,coinsurance_code,class_cd,it_remarks) values('29Apr250042','040000177989','5000',(select max(to_number(i.premium_rcv_detail_code))+1
from ins_premium_det i),'5000','5000','02', '11000003','00','Request by Mr. Omair Ali 30-Apr-2025');</v>
      </c>
    </row>
    <row r="65" spans="1:8" ht="105" x14ac:dyDescent="0.25">
      <c r="A65" t="s">
        <v>19</v>
      </c>
      <c r="B65" s="1" t="str">
        <f>VLOOKUP(A65,Sheet5!B:C,2,0)</f>
        <v>050000428128</v>
      </c>
      <c r="C65" s="13">
        <v>5169</v>
      </c>
      <c r="D65" s="22">
        <f t="shared" si="1"/>
        <v>5169</v>
      </c>
      <c r="E65" s="21" t="s">
        <v>5912</v>
      </c>
      <c r="F65" s="23" t="str">
        <f t="shared" si="0"/>
        <v>insert into ins_premium_det (premium_rcv_code,assorted_code, rec_amount,premium_rcv_detail_code,remaining_amt, payrec, mode_code,coinsurance_code,class_cd,it_remarks) values</v>
      </c>
      <c r="G65" s="24" t="str">
        <f t="shared" si="2"/>
        <v>('29Apr250042','050000428128','5169',(select max(to_number(i.premium_rcv_detail_code))+1
from ins_premium_det i),'5169','5169','02', '11000003','00','Request by Mr. Omair Ali 30-Apr-2025');</v>
      </c>
      <c r="H65" s="25" t="str">
        <f t="shared" si="3"/>
        <v>insert into ins_premium_det (premium_rcv_code,assorted_code, rec_amount,premium_rcv_detail_code,remaining_amt, payrec, mode_code,coinsurance_code,class_cd,it_remarks) values('29Apr250042','050000428128','5169',(select max(to_number(i.premium_rcv_detail_code))+1
from ins_premium_det i),'5169','5169','02', '11000003','00','Request by Mr. Omair Ali 30-Apr-2025');</v>
      </c>
    </row>
    <row r="66" spans="1:8" ht="105" x14ac:dyDescent="0.25">
      <c r="A66" t="s">
        <v>12</v>
      </c>
      <c r="B66" s="1" t="str">
        <f>VLOOKUP(A66,Sheet5!B:C,2,0)</f>
        <v>050000430288</v>
      </c>
      <c r="C66" s="13">
        <v>2231</v>
      </c>
      <c r="D66" s="22">
        <f t="shared" si="1"/>
        <v>2231</v>
      </c>
      <c r="E66" s="21" t="s">
        <v>5912</v>
      </c>
      <c r="F66" s="23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4" t="str">
        <f t="shared" si="2"/>
        <v>('29Apr250042','050000430288','2231',(select max(to_number(i.premium_rcv_detail_code))+1
from ins_premium_det i),'2231','2231','02', '11000003','00','Request by Mr. Omair Ali 30-Apr-2025');</v>
      </c>
      <c r="H66" s="25" t="str">
        <f t="shared" si="3"/>
        <v>insert into ins_premium_det (premium_rcv_code,assorted_code, rec_amount,premium_rcv_detail_code,remaining_amt, payrec, mode_code,coinsurance_code,class_cd,it_remarks) values('29Apr250042','050000430288','2231',(select max(to_number(i.premium_rcv_detail_code))+1
from ins_premium_det i),'2231','2231','02', '11000003','00','Request by Mr. Omair Ali 30-Apr-2025');</v>
      </c>
    </row>
    <row r="67" spans="1:8" ht="105" x14ac:dyDescent="0.25">
      <c r="A67" t="s">
        <v>15</v>
      </c>
      <c r="B67" s="1" t="str">
        <f>VLOOKUP(A67,Sheet5!B:C,2,0)</f>
        <v>050000440437</v>
      </c>
      <c r="C67" s="13">
        <v>1964</v>
      </c>
      <c r="D67" s="22">
        <f t="shared" ref="D67:D130" si="5">ROUND(C67,0)</f>
        <v>1964</v>
      </c>
      <c r="E67" s="21" t="s">
        <v>5912</v>
      </c>
      <c r="F67" s="23" t="str">
        <f t="shared" si="4"/>
        <v>insert into ins_premium_det (premium_rcv_code,assorted_code, rec_amount,premium_rcv_detail_code,remaining_amt, payrec, mode_code,coinsurance_code,class_cd,it_remarks) values</v>
      </c>
      <c r="G67" s="24" t="str">
        <f t="shared" ref="G67:G130" si="6">"('"&amp;E67&amp;"','"&amp;B67&amp;"','"&amp;D67&amp;"',(select max(to_number(i.premium_rcv_detail_code))+1
from ins_premium_det i),'"&amp;D67&amp;"','"&amp;D67&amp;"','02', '11000003','00','Request by Mr. Omair Ali 30-Apr-2025');"</f>
        <v>('29Apr250042','050000440437','1964',(select max(to_number(i.premium_rcv_detail_code))+1
from ins_premium_det i),'1964','1964','02', '11000003','00','Request by Mr. Omair Ali 30-Apr-2025');</v>
      </c>
      <c r="H67" s="25" t="str">
        <f t="shared" ref="H67:H130" si="7">F67&amp;G67</f>
        <v>insert into ins_premium_det (premium_rcv_code,assorted_code, rec_amount,premium_rcv_detail_code,remaining_amt, payrec, mode_code,coinsurance_code,class_cd,it_remarks) values('29Apr250042','050000440437','1964',(select max(to_number(i.premium_rcv_detail_code))+1
from ins_premium_det i),'1964','1964','02', '11000003','00','Request by Mr. Omair Ali 30-Apr-2025');</v>
      </c>
    </row>
    <row r="68" spans="1:8" ht="105" x14ac:dyDescent="0.25">
      <c r="A68" t="s">
        <v>26</v>
      </c>
      <c r="B68" s="1" t="str">
        <f>VLOOKUP(A68,Sheet5!B:C,2,0)</f>
        <v>050000443235</v>
      </c>
      <c r="C68" s="13">
        <v>105</v>
      </c>
      <c r="D68" s="22">
        <f t="shared" si="5"/>
        <v>105</v>
      </c>
      <c r="E68" s="21" t="s">
        <v>5912</v>
      </c>
      <c r="F68" s="23" t="str">
        <f t="shared" si="4"/>
        <v>insert into ins_premium_det (premium_rcv_code,assorted_code, rec_amount,premium_rcv_detail_code,remaining_amt, payrec, mode_code,coinsurance_code,class_cd,it_remarks) values</v>
      </c>
      <c r="G68" s="24" t="str">
        <f t="shared" si="6"/>
        <v>('29Apr250042','050000443235','105',(select max(to_number(i.premium_rcv_detail_code))+1
from ins_premium_det i),'105','105','02', '11000003','00','Request by Mr. Omair Ali 30-Apr-2025');</v>
      </c>
      <c r="H68" s="25" t="str">
        <f t="shared" si="7"/>
        <v>insert into ins_premium_det (premium_rcv_code,assorted_code, rec_amount,premium_rcv_detail_code,remaining_amt, payrec, mode_code,coinsurance_code,class_cd,it_remarks) values('29Apr250042','050000443235','105',(select max(to_number(i.premium_rcv_detail_code))+1
from ins_premium_det i),'105','105','02', '11000003','00','Request by Mr. Omair Ali 30-Apr-2025');</v>
      </c>
    </row>
    <row r="69" spans="1:8" ht="105" x14ac:dyDescent="0.25">
      <c r="A69" t="s">
        <v>36</v>
      </c>
      <c r="B69" s="1" t="str">
        <f>VLOOKUP(A69,Sheet5!B:C,2,0)</f>
        <v>050000445441</v>
      </c>
      <c r="C69" s="13">
        <v>166</v>
      </c>
      <c r="D69" s="22">
        <f t="shared" si="5"/>
        <v>166</v>
      </c>
      <c r="E69" s="21" t="s">
        <v>5912</v>
      </c>
      <c r="F69" s="23" t="str">
        <f t="shared" si="4"/>
        <v>insert into ins_premium_det (premium_rcv_code,assorted_code, rec_amount,premium_rcv_detail_code,remaining_amt, payrec, mode_code,coinsurance_code,class_cd,it_remarks) values</v>
      </c>
      <c r="G69" s="24" t="str">
        <f t="shared" si="6"/>
        <v>('29Apr250042','050000445441','166',(select max(to_number(i.premium_rcv_detail_code))+1
from ins_premium_det i),'166','166','02', '11000003','00','Request by Mr. Omair Ali 30-Apr-2025');</v>
      </c>
      <c r="H69" s="25" t="str">
        <f t="shared" si="7"/>
        <v>insert into ins_premium_det (premium_rcv_code,assorted_code, rec_amount,premium_rcv_detail_code,remaining_amt, payrec, mode_code,coinsurance_code,class_cd,it_remarks) values('29Apr250042','050000445441','166',(select max(to_number(i.premium_rcv_detail_code))+1
from ins_premium_det i),'166','166','02', '11000003','00','Request by Mr. Omair Ali 30-Apr-2025');</v>
      </c>
    </row>
    <row r="70" spans="1:8" ht="105" x14ac:dyDescent="0.25">
      <c r="A70" t="s">
        <v>27</v>
      </c>
      <c r="B70" s="1" t="str">
        <f>VLOOKUP(A70,Sheet5!B:C,2,0)</f>
        <v>050000463596</v>
      </c>
      <c r="C70" s="13">
        <v>1232</v>
      </c>
      <c r="D70" s="22">
        <f t="shared" si="5"/>
        <v>1232</v>
      </c>
      <c r="E70" s="21" t="s">
        <v>5912</v>
      </c>
      <c r="F70" s="23" t="str">
        <f t="shared" si="4"/>
        <v>insert into ins_premium_det (premium_rcv_code,assorted_code, rec_amount,premium_rcv_detail_code,remaining_amt, payrec, mode_code,coinsurance_code,class_cd,it_remarks) values</v>
      </c>
      <c r="G70" s="24" t="str">
        <f t="shared" si="6"/>
        <v>('29Apr250042','050000463596','1232',(select max(to_number(i.premium_rcv_detail_code))+1
from ins_premium_det i),'1232','1232','02', '11000003','00','Request by Mr. Omair Ali 30-Apr-2025');</v>
      </c>
      <c r="H70" s="25" t="str">
        <f t="shared" si="7"/>
        <v>insert into ins_premium_det (premium_rcv_code,assorted_code, rec_amount,premium_rcv_detail_code,remaining_amt, payrec, mode_code,coinsurance_code,class_cd,it_remarks) values('29Apr250042','050000463596','1232',(select max(to_number(i.premium_rcv_detail_code))+1
from ins_premium_det i),'1232','1232','02', '11000003','00','Request by Mr. Omair Ali 30-Apr-2025');</v>
      </c>
    </row>
    <row r="71" spans="1:8" ht="105" x14ac:dyDescent="0.25">
      <c r="A71" t="s">
        <v>28</v>
      </c>
      <c r="B71" s="1" t="str">
        <f>VLOOKUP(A71,Sheet5!B:C,2,0)</f>
        <v>050000464064</v>
      </c>
      <c r="C71" s="13">
        <v>1141</v>
      </c>
      <c r="D71" s="22">
        <f t="shared" si="5"/>
        <v>1141</v>
      </c>
      <c r="E71" s="21" t="s">
        <v>5912</v>
      </c>
      <c r="F71" s="23" t="str">
        <f t="shared" si="4"/>
        <v>insert into ins_premium_det (premium_rcv_code,assorted_code, rec_amount,premium_rcv_detail_code,remaining_amt, payrec, mode_code,coinsurance_code,class_cd,it_remarks) values</v>
      </c>
      <c r="G71" s="24" t="str">
        <f t="shared" si="6"/>
        <v>('29Apr250042','050000464064','1141',(select max(to_number(i.premium_rcv_detail_code))+1
from ins_premium_det i),'1141','1141','02', '11000003','00','Request by Mr. Omair Ali 30-Apr-2025');</v>
      </c>
      <c r="H71" s="25" t="str">
        <f t="shared" si="7"/>
        <v>insert into ins_premium_det (premium_rcv_code,assorted_code, rec_amount,premium_rcv_detail_code,remaining_amt, payrec, mode_code,coinsurance_code,class_cd,it_remarks) values('29Apr250042','050000464064','1141',(select max(to_number(i.premium_rcv_detail_code))+1
from ins_premium_det i),'1141','1141','02', '11000003','00','Request by Mr. Omair Ali 30-Apr-2025');</v>
      </c>
    </row>
    <row r="72" spans="1:8" ht="105" x14ac:dyDescent="0.25">
      <c r="A72" t="s">
        <v>77</v>
      </c>
      <c r="B72" s="1" t="str">
        <f>VLOOKUP(A72,Sheet5!B:C,2,0)</f>
        <v>050000512342</v>
      </c>
      <c r="C72" s="13">
        <v>374</v>
      </c>
      <c r="D72" s="22">
        <f t="shared" si="5"/>
        <v>374</v>
      </c>
      <c r="E72" s="21" t="s">
        <v>5912</v>
      </c>
      <c r="F72" s="23" t="str">
        <f t="shared" si="4"/>
        <v>insert into ins_premium_det (premium_rcv_code,assorted_code, rec_amount,premium_rcv_detail_code,remaining_amt, payrec, mode_code,coinsurance_code,class_cd,it_remarks) values</v>
      </c>
      <c r="G72" s="24" t="str">
        <f t="shared" si="6"/>
        <v>('29Apr250042','050000512342','374',(select max(to_number(i.premium_rcv_detail_code))+1
from ins_premium_det i),'374','374','02', '11000003','00','Request by Mr. Omair Ali 30-Apr-2025');</v>
      </c>
      <c r="H72" s="25" t="str">
        <f t="shared" si="7"/>
        <v>insert into ins_premium_det (premium_rcv_code,assorted_code, rec_amount,premium_rcv_detail_code,remaining_amt, payrec, mode_code,coinsurance_code,class_cd,it_remarks) values('29Apr250042','050000512342','374',(select max(to_number(i.premium_rcv_detail_code))+1
from ins_premium_det i),'374','374','02', '11000003','00','Request by Mr. Omair Ali 30-Apr-2025');</v>
      </c>
    </row>
    <row r="73" spans="1:8" ht="105" x14ac:dyDescent="0.25">
      <c r="A73" t="s">
        <v>74</v>
      </c>
      <c r="B73" s="1" t="str">
        <f>VLOOKUP(A73,Sheet5!B:C,2,0)</f>
        <v>050000512343</v>
      </c>
      <c r="C73" s="13">
        <v>1699</v>
      </c>
      <c r="D73" s="22">
        <f t="shared" si="5"/>
        <v>1699</v>
      </c>
      <c r="E73" s="21" t="s">
        <v>5912</v>
      </c>
      <c r="F73" s="23" t="str">
        <f t="shared" si="4"/>
        <v>insert into ins_premium_det (premium_rcv_code,assorted_code, rec_amount,premium_rcv_detail_code,remaining_amt, payrec, mode_code,coinsurance_code,class_cd,it_remarks) values</v>
      </c>
      <c r="G73" s="24" t="str">
        <f t="shared" si="6"/>
        <v>('29Apr250042','050000512343','1699',(select max(to_number(i.premium_rcv_detail_code))+1
from ins_premium_det i),'1699','1699','02', '11000003','00','Request by Mr. Omair Ali 30-Apr-2025');</v>
      </c>
      <c r="H73" s="25" t="str">
        <f t="shared" si="7"/>
        <v>insert into ins_premium_det (premium_rcv_code,assorted_code, rec_amount,premium_rcv_detail_code,remaining_amt, payrec, mode_code,coinsurance_code,class_cd,it_remarks) values('29Apr250042','050000512343','1699',(select max(to_number(i.premium_rcv_detail_code))+1
from ins_premium_det i),'1699','1699','02', '11000003','00','Request by Mr. Omair Ali 30-Apr-2025');</v>
      </c>
    </row>
    <row r="74" spans="1:8" ht="105" x14ac:dyDescent="0.25">
      <c r="A74" t="s">
        <v>68</v>
      </c>
      <c r="B74" s="1" t="str">
        <f>VLOOKUP(A74,Sheet5!B:C,2,0)</f>
        <v>050000512366</v>
      </c>
      <c r="C74" s="13">
        <v>434</v>
      </c>
      <c r="D74" s="22">
        <f t="shared" si="5"/>
        <v>434</v>
      </c>
      <c r="E74" s="21" t="s">
        <v>5912</v>
      </c>
      <c r="F74" s="23" t="str">
        <f t="shared" si="4"/>
        <v>insert into ins_premium_det (premium_rcv_code,assorted_code, rec_amount,premium_rcv_detail_code,remaining_amt, payrec, mode_code,coinsurance_code,class_cd,it_remarks) values</v>
      </c>
      <c r="G74" s="24" t="str">
        <f t="shared" si="6"/>
        <v>('29Apr250042','050000512366','434',(select max(to_number(i.premium_rcv_detail_code))+1
from ins_premium_det i),'434','434','02', '11000003','00','Request by Mr. Omair Ali 30-Apr-2025');</v>
      </c>
      <c r="H74" s="25" t="str">
        <f t="shared" si="7"/>
        <v>insert into ins_premium_det (premium_rcv_code,assorted_code, rec_amount,premium_rcv_detail_code,remaining_amt, payrec, mode_code,coinsurance_code,class_cd,it_remarks) values('29Apr250042','050000512366','434',(select max(to_number(i.premium_rcv_detail_code))+1
from ins_premium_det i),'434','434','02', '11000003','00','Request by Mr. Omair Ali 30-Apr-2025');</v>
      </c>
    </row>
    <row r="75" spans="1:8" ht="105" x14ac:dyDescent="0.25">
      <c r="A75" t="s">
        <v>65</v>
      </c>
      <c r="B75" s="1" t="str">
        <f>VLOOKUP(A75,Sheet5!B:C,2,0)</f>
        <v>050000512371</v>
      </c>
      <c r="C75" s="13">
        <v>969</v>
      </c>
      <c r="D75" s="22">
        <f t="shared" si="5"/>
        <v>969</v>
      </c>
      <c r="E75" s="21" t="s">
        <v>5912</v>
      </c>
      <c r="F75" s="23" t="str">
        <f t="shared" si="4"/>
        <v>insert into ins_premium_det (premium_rcv_code,assorted_code, rec_amount,premium_rcv_detail_code,remaining_amt, payrec, mode_code,coinsurance_code,class_cd,it_remarks) values</v>
      </c>
      <c r="G75" s="24" t="str">
        <f t="shared" si="6"/>
        <v>('29Apr250042','050000512371','969',(select max(to_number(i.premium_rcv_detail_code))+1
from ins_premium_det i),'969','969','02', '11000003','00','Request by Mr. Omair Ali 30-Apr-2025');</v>
      </c>
      <c r="H75" s="25" t="str">
        <f t="shared" si="7"/>
        <v>insert into ins_premium_det (premium_rcv_code,assorted_code, rec_amount,premium_rcv_detail_code,remaining_amt, payrec, mode_code,coinsurance_code,class_cd,it_remarks) values('29Apr250042','050000512371','969',(select max(to_number(i.premium_rcv_detail_code))+1
from ins_premium_det i),'969','969','02', '11000003','00','Request by Mr. Omair Ali 30-Apr-2025');</v>
      </c>
    </row>
    <row r="76" spans="1:8" ht="105" x14ac:dyDescent="0.25">
      <c r="A76" t="s">
        <v>72</v>
      </c>
      <c r="B76" s="1" t="str">
        <f>VLOOKUP(A76,Sheet5!B:C,2,0)</f>
        <v>050000512373</v>
      </c>
      <c r="C76" s="13">
        <v>404</v>
      </c>
      <c r="D76" s="22">
        <f t="shared" si="5"/>
        <v>404</v>
      </c>
      <c r="E76" s="21" t="s">
        <v>5912</v>
      </c>
      <c r="F76" s="23" t="str">
        <f t="shared" si="4"/>
        <v>insert into ins_premium_det (premium_rcv_code,assorted_code, rec_amount,premium_rcv_detail_code,remaining_amt, payrec, mode_code,coinsurance_code,class_cd,it_remarks) values</v>
      </c>
      <c r="G76" s="24" t="str">
        <f t="shared" si="6"/>
        <v>('29Apr250042','050000512373','404',(select max(to_number(i.premium_rcv_detail_code))+1
from ins_premium_det i),'404','404','02', '11000003','00','Request by Mr. Omair Ali 30-Apr-2025');</v>
      </c>
      <c r="H76" s="25" t="str">
        <f t="shared" si="7"/>
        <v>insert into ins_premium_det (premium_rcv_code,assorted_code, rec_amount,premium_rcv_detail_code,remaining_amt, payrec, mode_code,coinsurance_code,class_cd,it_remarks) values('29Apr250042','050000512373','404',(select max(to_number(i.premium_rcv_detail_code))+1
from ins_premium_det i),'404','404','02', '11000003','00','Request by Mr. Omair Ali 30-Apr-2025');</v>
      </c>
    </row>
    <row r="77" spans="1:8" ht="105" x14ac:dyDescent="0.25">
      <c r="A77" t="s">
        <v>20</v>
      </c>
      <c r="B77" s="1" t="str">
        <f>VLOOKUP(A77,Sheet5!B:C,2,0)</f>
        <v>050000512378</v>
      </c>
      <c r="C77" s="13">
        <v>4118</v>
      </c>
      <c r="D77" s="22">
        <f t="shared" si="5"/>
        <v>4118</v>
      </c>
      <c r="E77" s="21" t="s">
        <v>5912</v>
      </c>
      <c r="F77" s="23" t="str">
        <f t="shared" si="4"/>
        <v>insert into ins_premium_det (premium_rcv_code,assorted_code, rec_amount,premium_rcv_detail_code,remaining_amt, payrec, mode_code,coinsurance_code,class_cd,it_remarks) values</v>
      </c>
      <c r="G77" s="24" t="str">
        <f t="shared" si="6"/>
        <v>('29Apr250042','050000512378','4118',(select max(to_number(i.premium_rcv_detail_code))+1
from ins_premium_det i),'4118','4118','02', '11000003','00','Request by Mr. Omair Ali 30-Apr-2025');</v>
      </c>
      <c r="H77" s="25" t="str">
        <f t="shared" si="7"/>
        <v>insert into ins_premium_det (premium_rcv_code,assorted_code, rec_amount,premium_rcv_detail_code,remaining_amt, payrec, mode_code,coinsurance_code,class_cd,it_remarks) values('29Apr250042','050000512378','4118',(select max(to_number(i.premium_rcv_detail_code))+1
from ins_premium_det i),'4118','4118','02', '11000003','00','Request by Mr. Omair Ali 30-Apr-2025');</v>
      </c>
    </row>
    <row r="78" spans="1:8" ht="105" x14ac:dyDescent="0.25">
      <c r="A78" t="s">
        <v>16</v>
      </c>
      <c r="B78" s="1" t="str">
        <f>VLOOKUP(A78,Sheet5!B:C,2,0)</f>
        <v>050000512380</v>
      </c>
      <c r="C78" s="13">
        <v>1282</v>
      </c>
      <c r="D78" s="22">
        <f t="shared" si="5"/>
        <v>1282</v>
      </c>
      <c r="E78" s="21" t="s">
        <v>5912</v>
      </c>
      <c r="F78" s="23" t="str">
        <f t="shared" si="4"/>
        <v>insert into ins_premium_det (premium_rcv_code,assorted_code, rec_amount,premium_rcv_detail_code,remaining_amt, payrec, mode_code,coinsurance_code,class_cd,it_remarks) values</v>
      </c>
      <c r="G78" s="24" t="str">
        <f t="shared" si="6"/>
        <v>('29Apr250042','050000512380','1282',(select max(to_number(i.premium_rcv_detail_code))+1
from ins_premium_det i),'1282','1282','02', '11000003','00','Request by Mr. Omair Ali 30-Apr-2025');</v>
      </c>
      <c r="H78" s="25" t="str">
        <f t="shared" si="7"/>
        <v>insert into ins_premium_det (premium_rcv_code,assorted_code, rec_amount,premium_rcv_detail_code,remaining_amt, payrec, mode_code,coinsurance_code,class_cd,it_remarks) values('29Apr250042','050000512380','1282',(select max(to_number(i.premium_rcv_detail_code))+1
from ins_premium_det i),'1282','1282','02', '11000003','00','Request by Mr. Omair Ali 30-Apr-2025');</v>
      </c>
    </row>
    <row r="79" spans="1:8" ht="105" x14ac:dyDescent="0.25">
      <c r="A79" t="s">
        <v>48</v>
      </c>
      <c r="B79" s="1" t="str">
        <f>VLOOKUP(A79,Sheet5!B:C,2,0)</f>
        <v>050000512382</v>
      </c>
      <c r="C79" s="13">
        <v>3970</v>
      </c>
      <c r="D79" s="22">
        <f t="shared" si="5"/>
        <v>3970</v>
      </c>
      <c r="E79" s="21" t="s">
        <v>5912</v>
      </c>
      <c r="F79" s="23" t="str">
        <f t="shared" si="4"/>
        <v>insert into ins_premium_det (premium_rcv_code,assorted_code, rec_amount,premium_rcv_detail_code,remaining_amt, payrec, mode_code,coinsurance_code,class_cd,it_remarks) values</v>
      </c>
      <c r="G79" s="24" t="str">
        <f t="shared" si="6"/>
        <v>('29Apr250042','050000512382','3970',(select max(to_number(i.premium_rcv_detail_code))+1
from ins_premium_det i),'3970','3970','02', '11000003','00','Request by Mr. Omair Ali 30-Apr-2025');</v>
      </c>
      <c r="H79" s="25" t="str">
        <f t="shared" si="7"/>
        <v>insert into ins_premium_det (premium_rcv_code,assorted_code, rec_amount,premium_rcv_detail_code,remaining_amt, payrec, mode_code,coinsurance_code,class_cd,it_remarks) values('29Apr250042','050000512382','3970',(select max(to_number(i.premium_rcv_detail_code))+1
from ins_premium_det i),'3970','3970','02', '11000003','00','Request by Mr. Omair Ali 30-Apr-2025');</v>
      </c>
    </row>
    <row r="80" spans="1:8" ht="105" x14ac:dyDescent="0.25">
      <c r="A80" t="s">
        <v>29</v>
      </c>
      <c r="B80" s="1" t="str">
        <f>VLOOKUP(A80,Sheet5!B:C,2,0)</f>
        <v>050000512383</v>
      </c>
      <c r="C80" s="13">
        <v>105</v>
      </c>
      <c r="D80" s="22">
        <f t="shared" si="5"/>
        <v>105</v>
      </c>
      <c r="E80" s="21" t="s">
        <v>5912</v>
      </c>
      <c r="F80" s="23" t="str">
        <f t="shared" si="4"/>
        <v>insert into ins_premium_det (premium_rcv_code,assorted_code, rec_amount,premium_rcv_detail_code,remaining_amt, payrec, mode_code,coinsurance_code,class_cd,it_remarks) values</v>
      </c>
      <c r="G80" s="24" t="str">
        <f t="shared" si="6"/>
        <v>('29Apr250042','050000512383','105',(select max(to_number(i.premium_rcv_detail_code))+1
from ins_premium_det i),'105','105','02', '11000003','00','Request by Mr. Omair Ali 30-Apr-2025');</v>
      </c>
      <c r="H80" s="25" t="str">
        <f t="shared" si="7"/>
        <v>insert into ins_premium_det (premium_rcv_code,assorted_code, rec_amount,premium_rcv_detail_code,remaining_amt, payrec, mode_code,coinsurance_code,class_cd,it_remarks) values('29Apr250042','050000512383','105',(select max(to_number(i.premium_rcv_detail_code))+1
from ins_premium_det i),'105','105','02', '11000003','00','Request by Mr. Omair Ali 30-Apr-2025');</v>
      </c>
    </row>
    <row r="81" spans="1:8" ht="105" x14ac:dyDescent="0.25">
      <c r="A81" t="s">
        <v>84</v>
      </c>
      <c r="B81" s="1" t="str">
        <f>VLOOKUP(A81,Sheet5!B:C,2,0)</f>
        <v>050000512385</v>
      </c>
      <c r="C81" s="13">
        <v>1236</v>
      </c>
      <c r="D81" s="22">
        <f t="shared" si="5"/>
        <v>1236</v>
      </c>
      <c r="E81" s="21" t="s">
        <v>5912</v>
      </c>
      <c r="F81" s="23" t="str">
        <f t="shared" si="4"/>
        <v>insert into ins_premium_det (premium_rcv_code,assorted_code, rec_amount,premium_rcv_detail_code,remaining_amt, payrec, mode_code,coinsurance_code,class_cd,it_remarks) values</v>
      </c>
      <c r="G81" s="24" t="str">
        <f t="shared" si="6"/>
        <v>('29Apr250042','050000512385','1236',(select max(to_number(i.premium_rcv_detail_code))+1
from ins_premium_det i),'1236','1236','02', '11000003','00','Request by Mr. Omair Ali 30-Apr-2025');</v>
      </c>
      <c r="H81" s="25" t="str">
        <f t="shared" si="7"/>
        <v>insert into ins_premium_det (premium_rcv_code,assorted_code, rec_amount,premium_rcv_detail_code,remaining_amt, payrec, mode_code,coinsurance_code,class_cd,it_remarks) values('29Apr250042','050000512385','1236',(select max(to_number(i.premium_rcv_detail_code))+1
from ins_premium_det i),'1236','1236','02', '11000003','00','Request by Mr. Omair Ali 30-Apr-2025');</v>
      </c>
    </row>
    <row r="82" spans="1:8" ht="105" x14ac:dyDescent="0.25">
      <c r="A82" t="s">
        <v>23</v>
      </c>
      <c r="B82" s="1" t="str">
        <f>VLOOKUP(A82,Sheet5!B:C,2,0)</f>
        <v>050000521751</v>
      </c>
      <c r="C82" s="13">
        <v>1013</v>
      </c>
      <c r="D82" s="22">
        <f t="shared" si="5"/>
        <v>1013</v>
      </c>
      <c r="E82" s="21" t="s">
        <v>5912</v>
      </c>
      <c r="F82" s="23" t="str">
        <f t="shared" si="4"/>
        <v>insert into ins_premium_det (premium_rcv_code,assorted_code, rec_amount,premium_rcv_detail_code,remaining_amt, payrec, mode_code,coinsurance_code,class_cd,it_remarks) values</v>
      </c>
      <c r="G82" s="24" t="str">
        <f t="shared" si="6"/>
        <v>('29Apr250042','050000521751','1013',(select max(to_number(i.premium_rcv_detail_code))+1
from ins_premium_det i),'1013','1013','02', '11000003','00','Request by Mr. Omair Ali 30-Apr-2025');</v>
      </c>
      <c r="H82" s="25" t="str">
        <f t="shared" si="7"/>
        <v>insert into ins_premium_det (premium_rcv_code,assorted_code, rec_amount,premium_rcv_detail_code,remaining_amt, payrec, mode_code,coinsurance_code,class_cd,it_remarks) values('29Apr250042','050000521751','1013',(select max(to_number(i.premium_rcv_detail_code))+1
from ins_premium_det i),'1013','1013','02', '11000003','00','Request by Mr. Omair Ali 30-Apr-2025');</v>
      </c>
    </row>
    <row r="83" spans="1:8" ht="105" x14ac:dyDescent="0.25">
      <c r="A83" t="s">
        <v>32</v>
      </c>
      <c r="B83" s="1" t="str">
        <f>VLOOKUP(A83,Sheet5!B:C,2,0)</f>
        <v>050000521757</v>
      </c>
      <c r="C83" s="13">
        <v>231</v>
      </c>
      <c r="D83" s="22">
        <f t="shared" si="5"/>
        <v>231</v>
      </c>
      <c r="E83" s="21" t="s">
        <v>5912</v>
      </c>
      <c r="F83" s="23" t="str">
        <f t="shared" si="4"/>
        <v>insert into ins_premium_det (premium_rcv_code,assorted_code, rec_amount,premium_rcv_detail_code,remaining_amt, payrec, mode_code,coinsurance_code,class_cd,it_remarks) values</v>
      </c>
      <c r="G83" s="24" t="str">
        <f t="shared" si="6"/>
        <v>('29Apr250042','050000521757','231',(select max(to_number(i.premium_rcv_detail_code))+1
from ins_premium_det i),'231','231','02', '11000003','00','Request by Mr. Omair Ali 30-Apr-2025');</v>
      </c>
      <c r="H83" s="25" t="str">
        <f t="shared" si="7"/>
        <v>insert into ins_premium_det (premium_rcv_code,assorted_code, rec_amount,premium_rcv_detail_code,remaining_amt, payrec, mode_code,coinsurance_code,class_cd,it_remarks) values('29Apr250042','050000521757','231',(select max(to_number(i.premium_rcv_detail_code))+1
from ins_premium_det i),'231','231','02', '11000003','00','Request by Mr. Omair Ali 30-Apr-2025');</v>
      </c>
    </row>
    <row r="84" spans="1:8" ht="105" x14ac:dyDescent="0.25">
      <c r="A84" t="s">
        <v>39</v>
      </c>
      <c r="B84" s="1" t="str">
        <f>VLOOKUP(A84,Sheet5!B:C,2,0)</f>
        <v>050000521799</v>
      </c>
      <c r="C84" s="13">
        <v>2061</v>
      </c>
      <c r="D84" s="22">
        <f t="shared" si="5"/>
        <v>2061</v>
      </c>
      <c r="E84" s="21" t="s">
        <v>5912</v>
      </c>
      <c r="F84" s="23" t="str">
        <f t="shared" si="4"/>
        <v>insert into ins_premium_det (premium_rcv_code,assorted_code, rec_amount,premium_rcv_detail_code,remaining_amt, payrec, mode_code,coinsurance_code,class_cd,it_remarks) values</v>
      </c>
      <c r="G84" s="24" t="str">
        <f t="shared" si="6"/>
        <v>('29Apr250042','050000521799','2061',(select max(to_number(i.premium_rcv_detail_code))+1
from ins_premium_det i),'2061','2061','02', '11000003','00','Request by Mr. Omair Ali 30-Apr-2025');</v>
      </c>
      <c r="H84" s="25" t="str">
        <f t="shared" si="7"/>
        <v>insert into ins_premium_det (premium_rcv_code,assorted_code, rec_amount,premium_rcv_detail_code,remaining_amt, payrec, mode_code,coinsurance_code,class_cd,it_remarks) values('29Apr250042','050000521799','2061',(select max(to_number(i.premium_rcv_detail_code))+1
from ins_premium_det i),'2061','2061','02', '11000003','00','Request by Mr. Omair Ali 30-Apr-2025');</v>
      </c>
    </row>
    <row r="85" spans="1:8" ht="105" x14ac:dyDescent="0.25">
      <c r="A85" t="s">
        <v>44</v>
      </c>
      <c r="B85" s="1" t="str">
        <f>VLOOKUP(A85,Sheet5!B:C,2,0)</f>
        <v>050000529873</v>
      </c>
      <c r="C85" s="13">
        <v>1579</v>
      </c>
      <c r="D85" s="22">
        <f t="shared" si="5"/>
        <v>1579</v>
      </c>
      <c r="E85" s="21" t="s">
        <v>5912</v>
      </c>
      <c r="F85" s="23" t="str">
        <f t="shared" si="4"/>
        <v>insert into ins_premium_det (premium_rcv_code,assorted_code, rec_amount,premium_rcv_detail_code,remaining_amt, payrec, mode_code,coinsurance_code,class_cd,it_remarks) values</v>
      </c>
      <c r="G85" s="24" t="str">
        <f t="shared" si="6"/>
        <v>('29Apr250042','050000529873','1579',(select max(to_number(i.premium_rcv_detail_code))+1
from ins_premium_det i),'1579','1579','02', '11000003','00','Request by Mr. Omair Ali 30-Apr-2025');</v>
      </c>
      <c r="H85" s="25" t="str">
        <f t="shared" si="7"/>
        <v>insert into ins_premium_det (premium_rcv_code,assorted_code, rec_amount,premium_rcv_detail_code,remaining_amt, payrec, mode_code,coinsurance_code,class_cd,it_remarks) values('29Apr250042','050000529873','1579',(select max(to_number(i.premium_rcv_detail_code))+1
from ins_premium_det i),'1579','1579','02', '11000003','00','Request by Mr. Omair Ali 30-Apr-2025');</v>
      </c>
    </row>
    <row r="86" spans="1:8" ht="105" x14ac:dyDescent="0.25">
      <c r="A86" t="s">
        <v>40</v>
      </c>
      <c r="B86" s="1" t="str">
        <f>VLOOKUP(A86,Sheet5!B:C,2,0)</f>
        <v>050000529874</v>
      </c>
      <c r="C86" s="13">
        <v>344</v>
      </c>
      <c r="D86" s="22">
        <f t="shared" si="5"/>
        <v>344</v>
      </c>
      <c r="E86" s="21" t="s">
        <v>5912</v>
      </c>
      <c r="F86" s="23" t="str">
        <f t="shared" si="4"/>
        <v>insert into ins_premium_det (premium_rcv_code,assorted_code, rec_amount,premium_rcv_detail_code,remaining_amt, payrec, mode_code,coinsurance_code,class_cd,it_remarks) values</v>
      </c>
      <c r="G86" s="24" t="str">
        <f t="shared" si="6"/>
        <v>('29Apr250042','050000529874','344',(select max(to_number(i.premium_rcv_detail_code))+1
from ins_premium_det i),'344','344','02', '11000003','00','Request by Mr. Omair Ali 30-Apr-2025');</v>
      </c>
      <c r="H86" s="25" t="str">
        <f t="shared" si="7"/>
        <v>insert into ins_premium_det (premium_rcv_code,assorted_code, rec_amount,premium_rcv_detail_code,remaining_amt, payrec, mode_code,coinsurance_code,class_cd,it_remarks) values('29Apr250042','050000529874','344',(select max(to_number(i.premium_rcv_detail_code))+1
from ins_premium_det i),'344','344','02', '11000003','00','Request by Mr. Omair Ali 30-Apr-2025');</v>
      </c>
    </row>
    <row r="87" spans="1:8" ht="105" x14ac:dyDescent="0.25">
      <c r="A87" t="s">
        <v>33</v>
      </c>
      <c r="B87" s="1" t="str">
        <f>VLOOKUP(A87,Sheet5!B:C,2,0)</f>
        <v>050000529888</v>
      </c>
      <c r="C87" s="13">
        <v>762</v>
      </c>
      <c r="D87" s="22">
        <f t="shared" si="5"/>
        <v>762</v>
      </c>
      <c r="E87" s="21" t="s">
        <v>5912</v>
      </c>
      <c r="F87" s="23" t="str">
        <f t="shared" si="4"/>
        <v>insert into ins_premium_det (premium_rcv_code,assorted_code, rec_amount,premium_rcv_detail_code,remaining_amt, payrec, mode_code,coinsurance_code,class_cd,it_remarks) values</v>
      </c>
      <c r="G87" s="24" t="str">
        <f t="shared" si="6"/>
        <v>('29Apr250042','050000529888','762',(select max(to_number(i.premium_rcv_detail_code))+1
from ins_premium_det i),'762','762','02', '11000003','00','Request by Mr. Omair Ali 30-Apr-2025');</v>
      </c>
      <c r="H87" s="25" t="str">
        <f t="shared" si="7"/>
        <v>insert into ins_premium_det (premium_rcv_code,assorted_code, rec_amount,premium_rcv_detail_code,remaining_amt, payrec, mode_code,coinsurance_code,class_cd,it_remarks) values('29Apr250042','050000529888','762',(select max(to_number(i.premium_rcv_detail_code))+1
from ins_premium_det i),'762','762','02', '11000003','00','Request by Mr. Omair Ali 30-Apr-2025');</v>
      </c>
    </row>
    <row r="88" spans="1:8" ht="105" x14ac:dyDescent="0.25">
      <c r="A88" t="s">
        <v>54</v>
      </c>
      <c r="B88" s="1" t="str">
        <f>VLOOKUP(A88,Sheet5!B:C,2,0)</f>
        <v>050000529930</v>
      </c>
      <c r="C88" s="13">
        <v>339</v>
      </c>
      <c r="D88" s="22">
        <f t="shared" si="5"/>
        <v>339</v>
      </c>
      <c r="E88" s="21" t="s">
        <v>5912</v>
      </c>
      <c r="F88" s="23" t="str">
        <f t="shared" si="4"/>
        <v>insert into ins_premium_det (premium_rcv_code,assorted_code, rec_amount,premium_rcv_detail_code,remaining_amt, payrec, mode_code,coinsurance_code,class_cd,it_remarks) values</v>
      </c>
      <c r="G88" s="24" t="str">
        <f t="shared" si="6"/>
        <v>('29Apr250042','050000529930','339',(select max(to_number(i.premium_rcv_detail_code))+1
from ins_premium_det i),'339','339','02', '11000003','00','Request by Mr. Omair Ali 30-Apr-2025');</v>
      </c>
      <c r="H88" s="25" t="str">
        <f t="shared" si="7"/>
        <v>insert into ins_premium_det (premium_rcv_code,assorted_code, rec_amount,premium_rcv_detail_code,remaining_amt, payrec, mode_code,coinsurance_code,class_cd,it_remarks) values('29Apr250042','050000529930','339',(select max(to_number(i.premium_rcv_detail_code))+1
from ins_premium_det i),'339','339','02', '11000003','00','Request by Mr. Omair Ali 30-Apr-2025');</v>
      </c>
    </row>
    <row r="89" spans="1:8" ht="105" x14ac:dyDescent="0.25">
      <c r="A89" t="s">
        <v>55</v>
      </c>
      <c r="B89" s="1" t="str">
        <f>VLOOKUP(A89,Sheet5!B:C,2,0)</f>
        <v>050000534339</v>
      </c>
      <c r="C89" s="13">
        <v>204</v>
      </c>
      <c r="D89" s="22">
        <f t="shared" si="5"/>
        <v>204</v>
      </c>
      <c r="E89" s="21" t="s">
        <v>5912</v>
      </c>
      <c r="F89" s="23" t="str">
        <f t="shared" si="4"/>
        <v>insert into ins_premium_det (premium_rcv_code,assorted_code, rec_amount,premium_rcv_detail_code,remaining_amt, payrec, mode_code,coinsurance_code,class_cd,it_remarks) values</v>
      </c>
      <c r="G89" s="24" t="str">
        <f t="shared" si="6"/>
        <v>('29Apr250042','050000534339','204',(select max(to_number(i.premium_rcv_detail_code))+1
from ins_premium_det i),'204','204','02', '11000003','00','Request by Mr. Omair Ali 30-Apr-2025');</v>
      </c>
      <c r="H89" s="25" t="str">
        <f t="shared" si="7"/>
        <v>insert into ins_premium_det (premium_rcv_code,assorted_code, rec_amount,premium_rcv_detail_code,remaining_amt, payrec, mode_code,coinsurance_code,class_cd,it_remarks) values('29Apr250042','050000534339','204',(select max(to_number(i.premium_rcv_detail_code))+1
from ins_premium_det i),'204','204','02', '11000003','00','Request by Mr. Omair Ali 30-Apr-2025');</v>
      </c>
    </row>
    <row r="90" spans="1:8" ht="105" x14ac:dyDescent="0.25">
      <c r="A90" t="s">
        <v>41</v>
      </c>
      <c r="B90" s="1" t="str">
        <f>VLOOKUP(A90,Sheet5!B:C,2,0)</f>
        <v>050000540764</v>
      </c>
      <c r="C90" s="13">
        <v>1059</v>
      </c>
      <c r="D90" s="22">
        <f t="shared" si="5"/>
        <v>1059</v>
      </c>
      <c r="E90" s="21" t="s">
        <v>5912</v>
      </c>
      <c r="F90" s="23" t="str">
        <f t="shared" si="4"/>
        <v>insert into ins_premium_det (premium_rcv_code,assorted_code, rec_amount,premium_rcv_detail_code,remaining_amt, payrec, mode_code,coinsurance_code,class_cd,it_remarks) values</v>
      </c>
      <c r="G90" s="24" t="str">
        <f t="shared" si="6"/>
        <v>('29Apr250042','050000540764','1059',(select max(to_number(i.premium_rcv_detail_code))+1
from ins_premium_det i),'1059','1059','02', '11000003','00','Request by Mr. Omair Ali 30-Apr-2025');</v>
      </c>
      <c r="H90" s="25" t="str">
        <f t="shared" si="7"/>
        <v>insert into ins_premium_det (premium_rcv_code,assorted_code, rec_amount,premium_rcv_detail_code,remaining_amt, payrec, mode_code,coinsurance_code,class_cd,it_remarks) values('29Apr250042','050000540764','1059',(select max(to_number(i.premium_rcv_detail_code))+1
from ins_premium_det i),'1059','1059','02', '11000003','00','Request by Mr. Omair Ali 30-Apr-2025');</v>
      </c>
    </row>
    <row r="91" spans="1:8" ht="105" x14ac:dyDescent="0.25">
      <c r="A91" t="s">
        <v>45</v>
      </c>
      <c r="B91" s="1" t="str">
        <f>VLOOKUP(A91,Sheet5!B:C,2,0)</f>
        <v>050000542341</v>
      </c>
      <c r="C91" s="13">
        <v>1619</v>
      </c>
      <c r="D91" s="22">
        <f t="shared" si="5"/>
        <v>1619</v>
      </c>
      <c r="E91" s="21" t="s">
        <v>5912</v>
      </c>
      <c r="F91" s="23" t="str">
        <f t="shared" si="4"/>
        <v>insert into ins_premium_det (premium_rcv_code,assorted_code, rec_amount,premium_rcv_detail_code,remaining_amt, payrec, mode_code,coinsurance_code,class_cd,it_remarks) values</v>
      </c>
      <c r="G91" s="24" t="str">
        <f t="shared" si="6"/>
        <v>('29Apr250042','050000542341','1619',(select max(to_number(i.premium_rcv_detail_code))+1
from ins_premium_det i),'1619','1619','02', '11000003','00','Request by Mr. Omair Ali 30-Apr-2025');</v>
      </c>
      <c r="H91" s="25" t="str">
        <f t="shared" si="7"/>
        <v>insert into ins_premium_det (premium_rcv_code,assorted_code, rec_amount,premium_rcv_detail_code,remaining_amt, payrec, mode_code,coinsurance_code,class_cd,it_remarks) values('29Apr250042','050000542341','1619',(select max(to_number(i.premium_rcv_detail_code))+1
from ins_premium_det i),'1619','1619','02', '11000003','00','Request by Mr. Omair Ali 30-Apr-2025');</v>
      </c>
    </row>
    <row r="92" spans="1:8" ht="105" x14ac:dyDescent="0.25">
      <c r="A92" t="s">
        <v>51</v>
      </c>
      <c r="B92" s="1" t="str">
        <f>VLOOKUP(A92,Sheet5!B:C,2,0)</f>
        <v>050000543226</v>
      </c>
      <c r="C92" s="13">
        <v>779</v>
      </c>
      <c r="D92" s="22">
        <f t="shared" si="5"/>
        <v>779</v>
      </c>
      <c r="E92" s="21" t="s">
        <v>5912</v>
      </c>
      <c r="F92" s="23" t="str">
        <f t="shared" si="4"/>
        <v>insert into ins_premium_det (premium_rcv_code,assorted_code, rec_amount,premium_rcv_detail_code,remaining_amt, payrec, mode_code,coinsurance_code,class_cd,it_remarks) values</v>
      </c>
      <c r="G92" s="24" t="str">
        <f t="shared" si="6"/>
        <v>('29Apr250042','050000543226','779',(select max(to_number(i.premium_rcv_detail_code))+1
from ins_premium_det i),'779','779','02', '11000003','00','Request by Mr. Omair Ali 30-Apr-2025');</v>
      </c>
      <c r="H92" s="25" t="str">
        <f t="shared" si="7"/>
        <v>insert into ins_premium_det (premium_rcv_code,assorted_code, rec_amount,premium_rcv_detail_code,remaining_amt, payrec, mode_code,coinsurance_code,class_cd,it_remarks) values('29Apr250042','050000543226','779',(select max(to_number(i.premium_rcv_detail_code))+1
from ins_premium_det i),'779','779','02', '11000003','00','Request by Mr. Omair Ali 30-Apr-2025');</v>
      </c>
    </row>
    <row r="93" spans="1:8" ht="105" x14ac:dyDescent="0.25">
      <c r="A93" t="s">
        <v>56</v>
      </c>
      <c r="B93" s="1" t="str">
        <f>VLOOKUP(A93,Sheet5!B:C,2,0)</f>
        <v>050000548195</v>
      </c>
      <c r="C93" s="13">
        <v>111</v>
      </c>
      <c r="D93" s="22">
        <f t="shared" si="5"/>
        <v>111</v>
      </c>
      <c r="E93" s="21" t="s">
        <v>5912</v>
      </c>
      <c r="F93" s="23" t="str">
        <f t="shared" si="4"/>
        <v>insert into ins_premium_det (premium_rcv_code,assorted_code, rec_amount,premium_rcv_detail_code,remaining_amt, payrec, mode_code,coinsurance_code,class_cd,it_remarks) values</v>
      </c>
      <c r="G93" s="24" t="str">
        <f t="shared" si="6"/>
        <v>('29Apr250042','050000548195','111',(select max(to_number(i.premium_rcv_detail_code))+1
from ins_premium_det i),'111','111','02', '11000003','00','Request by Mr. Omair Ali 30-Apr-2025');</v>
      </c>
      <c r="H93" s="25" t="str">
        <f t="shared" si="7"/>
        <v>insert into ins_premium_det (premium_rcv_code,assorted_code, rec_amount,premium_rcv_detail_code,remaining_amt, payrec, mode_code,coinsurance_code,class_cd,it_remarks) values('29Apr250042','050000548195','111',(select max(to_number(i.premium_rcv_detail_code))+1
from ins_premium_det i),'111','111','02', '11000003','00','Request by Mr. Omair Ali 30-Apr-2025');</v>
      </c>
    </row>
    <row r="94" spans="1:8" ht="105" x14ac:dyDescent="0.25">
      <c r="A94" t="s">
        <v>57</v>
      </c>
      <c r="B94" s="1" t="str">
        <f>VLOOKUP(A94,Sheet5!B:C,2,0)</f>
        <v>050000559188</v>
      </c>
      <c r="C94" s="13">
        <v>339</v>
      </c>
      <c r="D94" s="22">
        <f t="shared" si="5"/>
        <v>339</v>
      </c>
      <c r="E94" s="21" t="s">
        <v>5912</v>
      </c>
      <c r="F94" s="23" t="str">
        <f t="shared" si="4"/>
        <v>insert into ins_premium_det (premium_rcv_code,assorted_code, rec_amount,premium_rcv_detail_code,remaining_amt, payrec, mode_code,coinsurance_code,class_cd,it_remarks) values</v>
      </c>
      <c r="G94" s="24" t="str">
        <f t="shared" si="6"/>
        <v>('29Apr250042','050000559188','339',(select max(to_number(i.premium_rcv_detail_code))+1
from ins_premium_det i),'339','339','02', '11000003','00','Request by Mr. Omair Ali 30-Apr-2025');</v>
      </c>
      <c r="H94" s="25" t="str">
        <f t="shared" si="7"/>
        <v>insert into ins_premium_det (premium_rcv_code,assorted_code, rec_amount,premium_rcv_detail_code,remaining_amt, payrec, mode_code,coinsurance_code,class_cd,it_remarks) values('29Apr250042','050000559188','339',(select max(to_number(i.premium_rcv_detail_code))+1
from ins_premium_det i),'339','339','02', '11000003','00','Request by Mr. Omair Ali 30-Apr-2025');</v>
      </c>
    </row>
    <row r="95" spans="1:8" ht="105" x14ac:dyDescent="0.25">
      <c r="A95" t="s">
        <v>69</v>
      </c>
      <c r="B95" s="1" t="str">
        <f>VLOOKUP(A95,Sheet5!B:C,2,0)</f>
        <v>050000563114</v>
      </c>
      <c r="C95" s="13">
        <v>-385</v>
      </c>
      <c r="D95" s="22">
        <f t="shared" si="5"/>
        <v>-385</v>
      </c>
      <c r="E95" s="21" t="s">
        <v>5912</v>
      </c>
      <c r="F95" s="23" t="str">
        <f t="shared" si="4"/>
        <v>insert into ins_premium_det (premium_rcv_code,assorted_code, rec_amount,premium_rcv_detail_code,remaining_amt, payrec, mode_code,coinsurance_code,class_cd,it_remarks) values</v>
      </c>
      <c r="G95" s="24" t="str">
        <f t="shared" si="6"/>
        <v>('29Apr250042','050000563114','-385',(select max(to_number(i.premium_rcv_detail_code))+1
from ins_premium_det i),'-385','-385','02', '11000003','00','Request by Mr. Omair Ali 30-Apr-2025');</v>
      </c>
      <c r="H95" s="25" t="str">
        <f t="shared" si="7"/>
        <v>insert into ins_premium_det (premium_rcv_code,assorted_code, rec_amount,premium_rcv_detail_code,remaining_amt, payrec, mode_code,coinsurance_code,class_cd,it_remarks) values('29Apr250042','050000563114','-385',(select max(to_number(i.premium_rcv_detail_code))+1
from ins_premium_det i),'-385','-385','02', '11000003','00','Request by Mr. Omair Ali 30-Apr-2025');</v>
      </c>
    </row>
    <row r="96" spans="1:8" ht="105" x14ac:dyDescent="0.25">
      <c r="A96" t="s">
        <v>89</v>
      </c>
      <c r="B96" s="1" t="str">
        <f>VLOOKUP(A96,Sheet5!B:C,2,0)</f>
        <v>050000568287</v>
      </c>
      <c r="C96" s="13">
        <v>3</v>
      </c>
      <c r="D96" s="22">
        <f t="shared" si="5"/>
        <v>3</v>
      </c>
      <c r="E96" s="21" t="s">
        <v>5912</v>
      </c>
      <c r="F96" s="23" t="str">
        <f t="shared" si="4"/>
        <v>insert into ins_premium_det (premium_rcv_code,assorted_code, rec_amount,premium_rcv_detail_code,remaining_amt, payrec, mode_code,coinsurance_code,class_cd,it_remarks) values</v>
      </c>
      <c r="G96" s="24" t="str">
        <f t="shared" si="6"/>
        <v>('29Apr250042','050000568287','3',(select max(to_number(i.premium_rcv_detail_code))+1
from ins_premium_det i),'3','3','02', '11000003','00','Request by Mr. Omair Ali 30-Apr-2025');</v>
      </c>
      <c r="H96" s="25" t="str">
        <f t="shared" si="7"/>
        <v>insert into ins_premium_det (premium_rcv_code,assorted_code, rec_amount,premium_rcv_detail_code,remaining_amt, payrec, mode_code,coinsurance_code,class_cd,it_remarks) values('29Apr250042','050000568287','3',(select max(to_number(i.premium_rcv_detail_code))+1
from ins_premium_det i),'3','3','02', '11000003','00','Request by Mr. Omair Ali 30-Apr-2025');</v>
      </c>
    </row>
    <row r="97" spans="1:8" ht="105" x14ac:dyDescent="0.25">
      <c r="A97" t="s">
        <v>91</v>
      </c>
      <c r="B97" s="1" t="str">
        <f>VLOOKUP(A97,Sheet5!B:C,2,0)</f>
        <v>050000570879</v>
      </c>
      <c r="C97" s="13">
        <v>4371</v>
      </c>
      <c r="D97" s="22">
        <f t="shared" si="5"/>
        <v>4371</v>
      </c>
      <c r="E97" s="21" t="s">
        <v>5912</v>
      </c>
      <c r="F97" s="23" t="str">
        <f t="shared" si="4"/>
        <v>insert into ins_premium_det (premium_rcv_code,assorted_code, rec_amount,premium_rcv_detail_code,remaining_amt, payrec, mode_code,coinsurance_code,class_cd,it_remarks) values</v>
      </c>
      <c r="G97" s="24" t="str">
        <f t="shared" si="6"/>
        <v>('29Apr250042','050000570879','4371',(select max(to_number(i.premium_rcv_detail_code))+1
from ins_premium_det i),'4371','4371','02', '11000003','00','Request by Mr. Omair Ali 30-Apr-2025');</v>
      </c>
      <c r="H97" s="25" t="str">
        <f t="shared" si="7"/>
        <v>insert into ins_premium_det (premium_rcv_code,assorted_code, rec_amount,premium_rcv_detail_code,remaining_amt, payrec, mode_code,coinsurance_code,class_cd,it_remarks) values('29Apr250042','050000570879','4371',(select max(to_number(i.premium_rcv_detail_code))+1
from ins_premium_det i),'4371','4371','02', '11000003','00','Request by Mr. Omair Ali 30-Apr-2025');</v>
      </c>
    </row>
    <row r="98" spans="1:8" ht="105" x14ac:dyDescent="0.25">
      <c r="A98" t="s">
        <v>92</v>
      </c>
      <c r="B98" s="1" t="str">
        <f>VLOOKUP(A98,Sheet5!B:C,2,0)</f>
        <v>050000572023</v>
      </c>
      <c r="C98" s="13">
        <v>81</v>
      </c>
      <c r="D98" s="22">
        <f t="shared" si="5"/>
        <v>81</v>
      </c>
      <c r="E98" s="21" t="s">
        <v>5912</v>
      </c>
      <c r="F98" s="23" t="str">
        <f t="shared" si="4"/>
        <v>insert into ins_premium_det (premium_rcv_code,assorted_code, rec_amount,premium_rcv_detail_code,remaining_amt, payrec, mode_code,coinsurance_code,class_cd,it_remarks) values</v>
      </c>
      <c r="G98" s="24" t="str">
        <f t="shared" si="6"/>
        <v>('29Apr250042','050000572023','81',(select max(to_number(i.premium_rcv_detail_code))+1
from ins_premium_det i),'81','81','02', '11000003','00','Request by Mr. Omair Ali 30-Apr-2025');</v>
      </c>
      <c r="H98" s="25" t="str">
        <f t="shared" si="7"/>
        <v>insert into ins_premium_det (premium_rcv_code,assorted_code, rec_amount,premium_rcv_detail_code,remaining_amt, payrec, mode_code,coinsurance_code,class_cd,it_remarks) values('29Apr250042','050000572023','81',(select max(to_number(i.premium_rcv_detail_code))+1
from ins_premium_det i),'81','81','02', '11000003','00','Request by Mr. Omair Ali 30-Apr-2025');</v>
      </c>
    </row>
    <row r="99" spans="1:8" ht="105" x14ac:dyDescent="0.25">
      <c r="A99" t="s">
        <v>60</v>
      </c>
      <c r="B99" s="1" t="str">
        <f>VLOOKUP(A99,Sheet5!B:C,2,0)</f>
        <v>050000574551</v>
      </c>
      <c r="C99" s="13">
        <v>536</v>
      </c>
      <c r="D99" s="22">
        <f t="shared" si="5"/>
        <v>536</v>
      </c>
      <c r="E99" s="21" t="s">
        <v>5912</v>
      </c>
      <c r="F99" s="23" t="str">
        <f t="shared" si="4"/>
        <v>insert into ins_premium_det (premium_rcv_code,assorted_code, rec_amount,premium_rcv_detail_code,remaining_amt, payrec, mode_code,coinsurance_code,class_cd,it_remarks) values</v>
      </c>
      <c r="G99" s="24" t="str">
        <f t="shared" si="6"/>
        <v>('29Apr250042','050000574551','536',(select max(to_number(i.premium_rcv_detail_code))+1
from ins_premium_det i),'536','536','02', '11000003','00','Request by Mr. Omair Ali 30-Apr-2025');</v>
      </c>
      <c r="H99" s="25" t="str">
        <f t="shared" si="7"/>
        <v>insert into ins_premium_det (premium_rcv_code,assorted_code, rec_amount,premium_rcv_detail_code,remaining_amt, payrec, mode_code,coinsurance_code,class_cd,it_remarks) values('29Apr250042','050000574551','536',(select max(to_number(i.premium_rcv_detail_code))+1
from ins_premium_det i),'536','536','02', '11000003','00','Request by Mr. Omair Ali 30-Apr-2025');</v>
      </c>
    </row>
    <row r="100" spans="1:8" ht="105" x14ac:dyDescent="0.25">
      <c r="A100" t="s">
        <v>63</v>
      </c>
      <c r="B100" s="1" t="str">
        <f>VLOOKUP(A100,Sheet5!B:C,2,0)</f>
        <v>050000574602</v>
      </c>
      <c r="C100" s="13">
        <v>1</v>
      </c>
      <c r="D100" s="22">
        <f t="shared" si="5"/>
        <v>1</v>
      </c>
      <c r="E100" s="21" t="s">
        <v>5912</v>
      </c>
      <c r="F100" s="23" t="str">
        <f t="shared" si="4"/>
        <v>insert into ins_premium_det (premium_rcv_code,assorted_code, rec_amount,premium_rcv_detail_code,remaining_amt, payrec, mode_code,coinsurance_code,class_cd,it_remarks) values</v>
      </c>
      <c r="G100" s="24" t="str">
        <f t="shared" si="6"/>
        <v>('29Apr250042','050000574602','1',(select max(to_number(i.premium_rcv_detail_code))+1
from ins_premium_det i),'1','1','02', '11000003','00','Request by Mr. Omair Ali 30-Apr-2025');</v>
      </c>
      <c r="H100" s="25" t="str">
        <f t="shared" si="7"/>
        <v>insert into ins_premium_det (premium_rcv_code,assorted_code, rec_amount,premium_rcv_detail_code,remaining_amt, payrec, mode_code,coinsurance_code,class_cd,it_remarks) values('29Apr250042','050000574602','1',(select max(to_number(i.premium_rcv_detail_code))+1
from ins_premium_det i),'1','1','02', '11000003','00','Request by Mr. Omair Ali 30-Apr-2025');</v>
      </c>
    </row>
    <row r="101" spans="1:8" ht="105" x14ac:dyDescent="0.25">
      <c r="A101" t="s">
        <v>125</v>
      </c>
      <c r="B101" s="1" t="str">
        <f>VLOOKUP(A101,Sheet5!B:C,2,0)</f>
        <v>050000585921</v>
      </c>
      <c r="C101" s="13">
        <v>-57</v>
      </c>
      <c r="D101" s="22">
        <f t="shared" si="5"/>
        <v>-57</v>
      </c>
      <c r="E101" s="21" t="s">
        <v>5912</v>
      </c>
      <c r="F101" s="23" t="str">
        <f t="shared" si="4"/>
        <v>insert into ins_premium_det (premium_rcv_code,assorted_code, rec_amount,premium_rcv_detail_code,remaining_amt, payrec, mode_code,coinsurance_code,class_cd,it_remarks) values</v>
      </c>
      <c r="G101" s="24" t="str">
        <f t="shared" si="6"/>
        <v>('29Apr250042','050000585921','-57',(select max(to_number(i.premium_rcv_detail_code))+1
from ins_premium_det i),'-57','-57','02', '11000003','00','Request by Mr. Omair Ali 30-Apr-2025');</v>
      </c>
      <c r="H101" s="25" t="str">
        <f t="shared" si="7"/>
        <v>insert into ins_premium_det (premium_rcv_code,assorted_code, rec_amount,premium_rcv_detail_code,remaining_amt, payrec, mode_code,coinsurance_code,class_cd,it_remarks) values('29Apr250042','050000585921','-57',(select max(to_number(i.premium_rcv_detail_code))+1
from ins_premium_det i),'-57','-57','02', '11000003','00','Request by Mr. Omair Ali 30-Apr-2025');</v>
      </c>
    </row>
    <row r="102" spans="1:8" ht="105" x14ac:dyDescent="0.25">
      <c r="A102" t="s">
        <v>109</v>
      </c>
      <c r="B102" s="1" t="str">
        <f>VLOOKUP(A102,Sheet5!B:C,2,0)</f>
        <v>050000587447</v>
      </c>
      <c r="C102" s="13">
        <v>99</v>
      </c>
      <c r="D102" s="22">
        <f t="shared" si="5"/>
        <v>99</v>
      </c>
      <c r="E102" s="21" t="s">
        <v>5912</v>
      </c>
      <c r="F102" s="23" t="str">
        <f t="shared" si="4"/>
        <v>insert into ins_premium_det (premium_rcv_code,assorted_code, rec_amount,premium_rcv_detail_code,remaining_amt, payrec, mode_code,coinsurance_code,class_cd,it_remarks) values</v>
      </c>
      <c r="G102" s="24" t="str">
        <f t="shared" si="6"/>
        <v>('29Apr250042','050000587447','99',(select max(to_number(i.premium_rcv_detail_code))+1
from ins_premium_det i),'99','99','02', '11000003','00','Request by Mr. Omair Ali 30-Apr-2025');</v>
      </c>
      <c r="H102" s="25" t="str">
        <f t="shared" si="7"/>
        <v>insert into ins_premium_det (premium_rcv_code,assorted_code, rec_amount,premium_rcv_detail_code,remaining_amt, payrec, mode_code,coinsurance_code,class_cd,it_remarks) values('29Apr250042','050000587447','99',(select max(to_number(i.premium_rcv_detail_code))+1
from ins_premium_det i),'99','99','02', '11000003','00','Request by Mr. Omair Ali 30-Apr-2025');</v>
      </c>
    </row>
    <row r="103" spans="1:8" ht="105" x14ac:dyDescent="0.25">
      <c r="A103" t="s">
        <v>206</v>
      </c>
      <c r="B103" s="1" t="str">
        <f>VLOOKUP(A103,Sheet5!B:C,2,0)</f>
        <v>050000588125</v>
      </c>
      <c r="C103" s="13">
        <v>90000</v>
      </c>
      <c r="D103" s="22">
        <f t="shared" si="5"/>
        <v>90000</v>
      </c>
      <c r="E103" s="21" t="s">
        <v>5912</v>
      </c>
      <c r="F103" s="23" t="str">
        <f t="shared" si="4"/>
        <v>insert into ins_premium_det (premium_rcv_code,assorted_code, rec_amount,premium_rcv_detail_code,remaining_amt, payrec, mode_code,coinsurance_code,class_cd,it_remarks) values</v>
      </c>
      <c r="G103" s="24" t="str">
        <f t="shared" si="6"/>
        <v>('29Apr250042','050000588125','90000',(select max(to_number(i.premium_rcv_detail_code))+1
from ins_premium_det i),'90000','90000','02', '11000003','00','Request by Mr. Omair Ali 30-Apr-2025');</v>
      </c>
      <c r="H103" s="25" t="str">
        <f t="shared" si="7"/>
        <v>insert into ins_premium_det (premium_rcv_code,assorted_code, rec_amount,premium_rcv_detail_code,remaining_amt, payrec, mode_code,coinsurance_code,class_cd,it_remarks) values('29Apr250042','050000588125','90000',(select max(to_number(i.premium_rcv_detail_code))+1
from ins_premium_det i),'90000','90000','02', '11000003','00','Request by Mr. Omair Ali 30-Apr-2025');</v>
      </c>
    </row>
    <row r="104" spans="1:8" ht="105" x14ac:dyDescent="0.25">
      <c r="A104" t="s">
        <v>177</v>
      </c>
      <c r="B104" s="1" t="str">
        <f>VLOOKUP(A104,Sheet5!B:C,2,0)</f>
        <v>050000591926</v>
      </c>
      <c r="C104" s="13">
        <v>1859</v>
      </c>
      <c r="D104" s="22">
        <f t="shared" si="5"/>
        <v>1859</v>
      </c>
      <c r="E104" s="21" t="s">
        <v>5912</v>
      </c>
      <c r="F104" s="23" t="str">
        <f t="shared" si="4"/>
        <v>insert into ins_premium_det (premium_rcv_code,assorted_code, rec_amount,premium_rcv_detail_code,remaining_amt, payrec, mode_code,coinsurance_code,class_cd,it_remarks) values</v>
      </c>
      <c r="G104" s="24" t="str">
        <f t="shared" si="6"/>
        <v>('29Apr250042','050000591926','1859',(select max(to_number(i.premium_rcv_detail_code))+1
from ins_premium_det i),'1859','1859','02', '11000003','00','Request by Mr. Omair Ali 30-Apr-2025');</v>
      </c>
      <c r="H104" s="25" t="str">
        <f t="shared" si="7"/>
        <v>insert into ins_premium_det (premium_rcv_code,assorted_code, rec_amount,premium_rcv_detail_code,remaining_amt, payrec, mode_code,coinsurance_code,class_cd,it_remarks) values('29Apr250042','050000591926','1859',(select max(to_number(i.premium_rcv_detail_code))+1
from ins_premium_det i),'1859','1859','02', '11000003','00','Request by Mr. Omair Ali 30-Apr-2025');</v>
      </c>
    </row>
    <row r="105" spans="1:8" ht="105" x14ac:dyDescent="0.25">
      <c r="A105" t="s">
        <v>178</v>
      </c>
      <c r="B105" s="1" t="str">
        <f>VLOOKUP(A105,Sheet5!B:C,2,0)</f>
        <v>050000595525</v>
      </c>
      <c r="C105" s="13">
        <v>-1859</v>
      </c>
      <c r="D105" s="22">
        <f t="shared" si="5"/>
        <v>-1859</v>
      </c>
      <c r="E105" s="21" t="s">
        <v>5912</v>
      </c>
      <c r="F105" s="23" t="str">
        <f t="shared" si="4"/>
        <v>insert into ins_premium_det (premium_rcv_code,assorted_code, rec_amount,premium_rcv_detail_code,remaining_amt, payrec, mode_code,coinsurance_code,class_cd,it_remarks) values</v>
      </c>
      <c r="G105" s="24" t="str">
        <f t="shared" si="6"/>
        <v>('29Apr250042','050000595525','-1859',(select max(to_number(i.premium_rcv_detail_code))+1
from ins_premium_det i),'-1859','-1859','02', '11000003','00','Request by Mr. Omair Ali 30-Apr-2025');</v>
      </c>
      <c r="H105" s="25" t="str">
        <f t="shared" si="7"/>
        <v>insert into ins_premium_det (premium_rcv_code,assorted_code, rec_amount,premium_rcv_detail_code,remaining_amt, payrec, mode_code,coinsurance_code,class_cd,it_remarks) values('29Apr250042','050000595525','-1859',(select max(to_number(i.premium_rcv_detail_code))+1
from ins_premium_det i),'-1859','-1859','02', '11000003','00','Request by Mr. Omair Ali 30-Apr-2025');</v>
      </c>
    </row>
    <row r="106" spans="1:8" ht="105" x14ac:dyDescent="0.25">
      <c r="A106" t="s">
        <v>87</v>
      </c>
      <c r="B106" s="1" t="str">
        <f>VLOOKUP(A106,Sheet5!B:C,2,0)</f>
        <v>050000598636</v>
      </c>
      <c r="C106" s="13">
        <v>1</v>
      </c>
      <c r="D106" s="22">
        <f t="shared" si="5"/>
        <v>1</v>
      </c>
      <c r="E106" s="21" t="s">
        <v>5912</v>
      </c>
      <c r="F106" s="23" t="str">
        <f t="shared" si="4"/>
        <v>insert into ins_premium_det (premium_rcv_code,assorted_code, rec_amount,premium_rcv_detail_code,remaining_amt, payrec, mode_code,coinsurance_code,class_cd,it_remarks) values</v>
      </c>
      <c r="G106" s="24" t="str">
        <f t="shared" si="6"/>
        <v>('29Apr250042','050000598636','1',(select max(to_number(i.premium_rcv_detail_code))+1
from ins_premium_det i),'1','1','02', '11000003','00','Request by Mr. Omair Ali 30-Apr-2025');</v>
      </c>
      <c r="H106" s="25" t="str">
        <f t="shared" si="7"/>
        <v>insert into ins_premium_det (premium_rcv_code,assorted_code, rec_amount,premium_rcv_detail_code,remaining_amt, payrec, mode_code,coinsurance_code,class_cd,it_remarks) values('29Apr250042','050000598636','1',(select max(to_number(i.premium_rcv_detail_code))+1
from ins_premium_det i),'1','1','02', '11000003','00','Request by Mr. Omair Ali 30-Apr-2025');</v>
      </c>
    </row>
    <row r="107" spans="1:8" ht="105" x14ac:dyDescent="0.25">
      <c r="A107" t="s">
        <v>218</v>
      </c>
      <c r="B107" s="1" t="str">
        <f>VLOOKUP(A107,Sheet5!B:C,2,0)</f>
        <v>050000599405</v>
      </c>
      <c r="C107" s="13">
        <v>3720</v>
      </c>
      <c r="D107" s="22">
        <f t="shared" si="5"/>
        <v>3720</v>
      </c>
      <c r="E107" s="21" t="s">
        <v>5912</v>
      </c>
      <c r="F107" s="23" t="str">
        <f t="shared" si="4"/>
        <v>insert into ins_premium_det (premium_rcv_code,assorted_code, rec_amount,premium_rcv_detail_code,remaining_amt, payrec, mode_code,coinsurance_code,class_cd,it_remarks) values</v>
      </c>
      <c r="G107" s="24" t="str">
        <f t="shared" si="6"/>
        <v>('29Apr250042','050000599405','3720',(select max(to_number(i.premium_rcv_detail_code))+1
from ins_premium_det i),'3720','3720','02', '11000003','00','Request by Mr. Omair Ali 30-Apr-2025');</v>
      </c>
      <c r="H107" s="25" t="str">
        <f t="shared" si="7"/>
        <v>insert into ins_premium_det (premium_rcv_code,assorted_code, rec_amount,premium_rcv_detail_code,remaining_amt, payrec, mode_code,coinsurance_code,class_cd,it_remarks) values('29Apr250042','050000599405','3720',(select max(to_number(i.premium_rcv_detail_code))+1
from ins_premium_det i),'3720','3720','02', '11000003','00','Request by Mr. Omair Ali 30-Apr-2025');</v>
      </c>
    </row>
    <row r="108" spans="1:8" ht="105" x14ac:dyDescent="0.25">
      <c r="A108" t="s">
        <v>257</v>
      </c>
      <c r="B108" s="1" t="str">
        <f>VLOOKUP(A108,Sheet5!B:C,2,0)</f>
        <v>050000600844</v>
      </c>
      <c r="C108" s="13">
        <v>2</v>
      </c>
      <c r="D108" s="22">
        <f t="shared" si="5"/>
        <v>2</v>
      </c>
      <c r="E108" s="21" t="s">
        <v>5912</v>
      </c>
      <c r="F108" s="23" t="str">
        <f t="shared" si="4"/>
        <v>insert into ins_premium_det (premium_rcv_code,assorted_code, rec_amount,premium_rcv_detail_code,remaining_amt, payrec, mode_code,coinsurance_code,class_cd,it_remarks) values</v>
      </c>
      <c r="G108" s="24" t="str">
        <f t="shared" si="6"/>
        <v>('29Apr250042','050000600844','2',(select max(to_number(i.premium_rcv_detail_code))+1
from ins_premium_det i),'2','2','02', '11000003','00','Request by Mr. Omair Ali 30-Apr-2025');</v>
      </c>
      <c r="H108" s="25" t="str">
        <f t="shared" si="7"/>
        <v>insert into ins_premium_det (premium_rcv_code,assorted_code, rec_amount,premium_rcv_detail_code,remaining_amt, payrec, mode_code,coinsurance_code,class_cd,it_remarks) values('29Apr250042','050000600844','2',(select max(to_number(i.premium_rcv_detail_code))+1
from ins_premium_det i),'2','2','02', '11000003','00','Request by Mr. Omair Ali 30-Apr-2025');</v>
      </c>
    </row>
    <row r="109" spans="1:8" ht="105" x14ac:dyDescent="0.25">
      <c r="A109" t="s">
        <v>263</v>
      </c>
      <c r="B109" s="1" t="str">
        <f>VLOOKUP(A109,Sheet5!B:C,2,0)</f>
        <v>050000600849</v>
      </c>
      <c r="C109" s="13">
        <v>39000</v>
      </c>
      <c r="D109" s="22">
        <f t="shared" si="5"/>
        <v>39000</v>
      </c>
      <c r="E109" s="21" t="s">
        <v>5912</v>
      </c>
      <c r="F109" s="23" t="str">
        <f t="shared" si="4"/>
        <v>insert into ins_premium_det (premium_rcv_code,assorted_code, rec_amount,premium_rcv_detail_code,remaining_amt, payrec, mode_code,coinsurance_code,class_cd,it_remarks) values</v>
      </c>
      <c r="G109" s="24" t="str">
        <f t="shared" si="6"/>
        <v>('29Apr250042','050000600849','39000',(select max(to_number(i.premium_rcv_detail_code))+1
from ins_premium_det i),'39000','39000','02', '11000003','00','Request by Mr. Omair Ali 30-Apr-2025');</v>
      </c>
      <c r="H109" s="25" t="str">
        <f t="shared" si="7"/>
        <v>insert into ins_premium_det (premium_rcv_code,assorted_code, rec_amount,premium_rcv_detail_code,remaining_amt, payrec, mode_code,coinsurance_code,class_cd,it_remarks) values('29Apr250042','050000600849','39000',(select max(to_number(i.premium_rcv_detail_code))+1
from ins_premium_det i),'39000','39000','02', '11000003','00','Request by Mr. Omair Ali 30-Apr-2025');</v>
      </c>
    </row>
    <row r="110" spans="1:8" ht="105" x14ac:dyDescent="0.25">
      <c r="A110" t="s">
        <v>223</v>
      </c>
      <c r="B110" s="1" t="str">
        <f>VLOOKUP(A110,Sheet5!B:C,2,0)</f>
        <v>050000607504</v>
      </c>
      <c r="C110" s="13">
        <v>370</v>
      </c>
      <c r="D110" s="22">
        <f t="shared" si="5"/>
        <v>370</v>
      </c>
      <c r="E110" s="21" t="s">
        <v>5912</v>
      </c>
      <c r="F110" s="23" t="str">
        <f t="shared" si="4"/>
        <v>insert into ins_premium_det (premium_rcv_code,assorted_code, rec_amount,premium_rcv_detail_code,remaining_amt, payrec, mode_code,coinsurance_code,class_cd,it_remarks) values</v>
      </c>
      <c r="G110" s="24" t="str">
        <f t="shared" si="6"/>
        <v>('29Apr250042','050000607504','370',(select max(to_number(i.premium_rcv_detail_code))+1
from ins_premium_det i),'370','370','02', '11000003','00','Request by Mr. Omair Ali 30-Apr-2025');</v>
      </c>
      <c r="H110" s="25" t="str">
        <f t="shared" si="7"/>
        <v>insert into ins_premium_det (premium_rcv_code,assorted_code, rec_amount,premium_rcv_detail_code,remaining_amt, payrec, mode_code,coinsurance_code,class_cd,it_remarks) values('29Apr250042','050000607504','370',(select max(to_number(i.premium_rcv_detail_code))+1
from ins_premium_det i),'370','370','02', '11000003','00','Request by Mr. Omair Ali 30-Apr-2025');</v>
      </c>
    </row>
    <row r="111" spans="1:8" ht="105" x14ac:dyDescent="0.25">
      <c r="A111" t="s">
        <v>161</v>
      </c>
      <c r="B111" s="1" t="str">
        <f>VLOOKUP(A111,Sheet5!B:C,2,0)</f>
        <v>050000610030</v>
      </c>
      <c r="C111" s="13">
        <v>1</v>
      </c>
      <c r="D111" s="22">
        <f t="shared" si="5"/>
        <v>1</v>
      </c>
      <c r="E111" s="21" t="s">
        <v>5912</v>
      </c>
      <c r="F111" s="23" t="str">
        <f t="shared" si="4"/>
        <v>insert into ins_premium_det (premium_rcv_code,assorted_code, rec_amount,premium_rcv_detail_code,remaining_amt, payrec, mode_code,coinsurance_code,class_cd,it_remarks) values</v>
      </c>
      <c r="G111" s="24" t="str">
        <f t="shared" si="6"/>
        <v>('29Apr250042','050000610030','1',(select max(to_number(i.premium_rcv_detail_code))+1
from ins_premium_det i),'1','1','02', '11000003','00','Request by Mr. Omair Ali 30-Apr-2025');</v>
      </c>
      <c r="H111" s="25" t="str">
        <f t="shared" si="7"/>
        <v>insert into ins_premium_det (premium_rcv_code,assorted_code, rec_amount,premium_rcv_detail_code,remaining_amt, payrec, mode_code,coinsurance_code,class_cd,it_remarks) values('29Apr250042','050000610030','1',(select max(to_number(i.premium_rcv_detail_code))+1
from ins_premium_det i),'1','1','02', '11000003','00','Request by Mr. Omair Ali 30-Apr-2025');</v>
      </c>
    </row>
    <row r="112" spans="1:8" ht="105" x14ac:dyDescent="0.25">
      <c r="A112" t="s">
        <v>175</v>
      </c>
      <c r="B112" s="1" t="str">
        <f>VLOOKUP(A112,Sheet5!B:C,2,0)</f>
        <v>050000613758</v>
      </c>
      <c r="C112" s="13">
        <v>1</v>
      </c>
      <c r="D112" s="22">
        <f t="shared" si="5"/>
        <v>1</v>
      </c>
      <c r="E112" s="21" t="s">
        <v>5912</v>
      </c>
      <c r="F112" s="23" t="str">
        <f t="shared" si="4"/>
        <v>insert into ins_premium_det (premium_rcv_code,assorted_code, rec_amount,premium_rcv_detail_code,remaining_amt, payrec, mode_code,coinsurance_code,class_cd,it_remarks) values</v>
      </c>
      <c r="G112" s="24" t="str">
        <f t="shared" si="6"/>
        <v>('29Apr250042','050000613758','1',(select max(to_number(i.premium_rcv_detail_code))+1
from ins_premium_det i),'1','1','02', '11000003','00','Request by Mr. Omair Ali 30-Apr-2025');</v>
      </c>
      <c r="H112" s="25" t="str">
        <f t="shared" si="7"/>
        <v>insert into ins_premium_det (premium_rcv_code,assorted_code, rec_amount,premium_rcv_detail_code,remaining_amt, payrec, mode_code,coinsurance_code,class_cd,it_remarks) values('29Apr250042','050000613758','1',(select max(to_number(i.premium_rcv_detail_code))+1
from ins_premium_det i),'1','1','02', '11000003','00','Request by Mr. Omair Ali 30-Apr-2025');</v>
      </c>
    </row>
    <row r="113" spans="1:8" ht="105" x14ac:dyDescent="0.25">
      <c r="A113" t="s">
        <v>264</v>
      </c>
      <c r="B113" s="1" t="str">
        <f>VLOOKUP(A113,Sheet5!B:C,2,0)</f>
        <v>050000619254</v>
      </c>
      <c r="C113" s="13">
        <v>1997</v>
      </c>
      <c r="D113" s="22">
        <f t="shared" si="5"/>
        <v>1997</v>
      </c>
      <c r="E113" s="21" t="s">
        <v>5912</v>
      </c>
      <c r="F113" s="23" t="str">
        <f t="shared" si="4"/>
        <v>insert into ins_premium_det (premium_rcv_code,assorted_code, rec_amount,premium_rcv_detail_code,remaining_amt, payrec, mode_code,coinsurance_code,class_cd,it_remarks) values</v>
      </c>
      <c r="G113" s="24" t="str">
        <f t="shared" si="6"/>
        <v>('29Apr250042','050000619254','1997',(select max(to_number(i.premium_rcv_detail_code))+1
from ins_premium_det i),'1997','1997','02', '11000003','00','Request by Mr. Omair Ali 30-Apr-2025');</v>
      </c>
      <c r="H113" s="25" t="str">
        <f t="shared" si="7"/>
        <v>insert into ins_premium_det (premium_rcv_code,assorted_code, rec_amount,premium_rcv_detail_code,remaining_amt, payrec, mode_code,coinsurance_code,class_cd,it_remarks) values('29Apr250042','050000619254','1997',(select max(to_number(i.premium_rcv_detail_code))+1
from ins_premium_det i),'1997','1997','02', '11000003','00','Request by Mr. Omair Ali 30-Apr-2025');</v>
      </c>
    </row>
    <row r="114" spans="1:8" ht="105" x14ac:dyDescent="0.25">
      <c r="A114" t="s">
        <v>79</v>
      </c>
      <c r="B114" s="1" t="str">
        <f>VLOOKUP(A114,Sheet5!B:C,2,0)</f>
        <v>050000620587</v>
      </c>
      <c r="C114" s="13">
        <v>126</v>
      </c>
      <c r="D114" s="22">
        <f t="shared" si="5"/>
        <v>126</v>
      </c>
      <c r="E114" s="21" t="s">
        <v>5912</v>
      </c>
      <c r="F114" s="23" t="str">
        <f t="shared" si="4"/>
        <v>insert into ins_premium_det (premium_rcv_code,assorted_code, rec_amount,premium_rcv_detail_code,remaining_amt, payrec, mode_code,coinsurance_code,class_cd,it_remarks) values</v>
      </c>
      <c r="G114" s="24" t="str">
        <f t="shared" si="6"/>
        <v>('29Apr250042','050000620587','126',(select max(to_number(i.premium_rcv_detail_code))+1
from ins_premium_det i),'126','126','02', '11000003','00','Request by Mr. Omair Ali 30-Apr-2025');</v>
      </c>
      <c r="H114" s="25" t="str">
        <f t="shared" si="7"/>
        <v>insert into ins_premium_det (premium_rcv_code,assorted_code, rec_amount,premium_rcv_detail_code,remaining_amt, payrec, mode_code,coinsurance_code,class_cd,it_remarks) values('29Apr250042','050000620587','126',(select max(to_number(i.premium_rcv_detail_code))+1
from ins_premium_det i),'126','126','02', '11000003','00','Request by Mr. Omair Ali 30-Apr-2025');</v>
      </c>
    </row>
    <row r="115" spans="1:8" ht="105" x14ac:dyDescent="0.25">
      <c r="A115" t="s">
        <v>224</v>
      </c>
      <c r="B115" s="1" t="str">
        <f>VLOOKUP(A115,Sheet5!B:C,2,0)</f>
        <v>050000620639</v>
      </c>
      <c r="C115" s="13">
        <v>453</v>
      </c>
      <c r="D115" s="22">
        <f t="shared" si="5"/>
        <v>453</v>
      </c>
      <c r="E115" s="21" t="s">
        <v>5912</v>
      </c>
      <c r="F115" s="23" t="str">
        <f t="shared" si="4"/>
        <v>insert into ins_premium_det (premium_rcv_code,assorted_code, rec_amount,premium_rcv_detail_code,remaining_amt, payrec, mode_code,coinsurance_code,class_cd,it_remarks) values</v>
      </c>
      <c r="G115" s="24" t="str">
        <f t="shared" si="6"/>
        <v>('29Apr250042','050000620639','453',(select max(to_number(i.premium_rcv_detail_code))+1
from ins_premium_det i),'453','453','02', '11000003','00','Request by Mr. Omair Ali 30-Apr-2025');</v>
      </c>
      <c r="H115" s="25" t="str">
        <f t="shared" si="7"/>
        <v>insert into ins_premium_det (premium_rcv_code,assorted_code, rec_amount,premium_rcv_detail_code,remaining_amt, payrec, mode_code,coinsurance_code,class_cd,it_remarks) values('29Apr250042','050000620639','453',(select max(to_number(i.premium_rcv_detail_code))+1
from ins_premium_det i),'453','453','02', '11000003','00','Request by Mr. Omair Ali 30-Apr-2025');</v>
      </c>
    </row>
    <row r="116" spans="1:8" ht="105" x14ac:dyDescent="0.25">
      <c r="A116" t="s">
        <v>93</v>
      </c>
      <c r="B116" s="1" t="str">
        <f>VLOOKUP(A116,Sheet5!B:C,2,0)</f>
        <v>050000624196</v>
      </c>
      <c r="C116" s="13">
        <v>54</v>
      </c>
      <c r="D116" s="22">
        <f t="shared" si="5"/>
        <v>54</v>
      </c>
      <c r="E116" s="21" t="s">
        <v>5912</v>
      </c>
      <c r="F116" s="23" t="str">
        <f t="shared" si="4"/>
        <v>insert into ins_premium_det (premium_rcv_code,assorted_code, rec_amount,premium_rcv_detail_code,remaining_amt, payrec, mode_code,coinsurance_code,class_cd,it_remarks) values</v>
      </c>
      <c r="G116" s="24" t="str">
        <f t="shared" si="6"/>
        <v>('29Apr250042','050000624196','54',(select max(to_number(i.premium_rcv_detail_code))+1
from ins_premium_det i),'54','54','02', '11000003','00','Request by Mr. Omair Ali 30-Apr-2025');</v>
      </c>
      <c r="H116" s="25" t="str">
        <f t="shared" si="7"/>
        <v>insert into ins_premium_det (premium_rcv_code,assorted_code, rec_amount,premium_rcv_detail_code,remaining_amt, payrec, mode_code,coinsurance_code,class_cd,it_remarks) values('29Apr250042','050000624196','54',(select max(to_number(i.premium_rcv_detail_code))+1
from ins_premium_det i),'54','54','02', '11000003','00','Request by Mr. Omair Ali 30-Apr-2025');</v>
      </c>
    </row>
    <row r="117" spans="1:8" ht="105" x14ac:dyDescent="0.25">
      <c r="A117" t="s">
        <v>101</v>
      </c>
      <c r="B117" s="1" t="str">
        <f>VLOOKUP(A117,Sheet5!B:C,2,0)</f>
        <v>050000624203</v>
      </c>
      <c r="C117" s="13">
        <v>5</v>
      </c>
      <c r="D117" s="22">
        <f t="shared" si="5"/>
        <v>5</v>
      </c>
      <c r="E117" s="21" t="s">
        <v>5912</v>
      </c>
      <c r="F117" s="23" t="str">
        <f t="shared" si="4"/>
        <v>insert into ins_premium_det (premium_rcv_code,assorted_code, rec_amount,premium_rcv_detail_code,remaining_amt, payrec, mode_code,coinsurance_code,class_cd,it_remarks) values</v>
      </c>
      <c r="G117" s="24" t="str">
        <f t="shared" si="6"/>
        <v>('29Apr250042','050000624203','5',(select max(to_number(i.premium_rcv_detail_code))+1
from ins_premium_det i),'5','5','02', '11000003','00','Request by Mr. Omair Ali 30-Apr-2025');</v>
      </c>
      <c r="H117" s="25" t="str">
        <f t="shared" si="7"/>
        <v>insert into ins_premium_det (premium_rcv_code,assorted_code, rec_amount,premium_rcv_detail_code,remaining_amt, payrec, mode_code,coinsurance_code,class_cd,it_remarks) values('29Apr250042','050000624203','5',(select max(to_number(i.premium_rcv_detail_code))+1
from ins_premium_det i),'5','5','02', '11000003','00','Request by Mr. Omair Ali 30-Apr-2025');</v>
      </c>
    </row>
    <row r="118" spans="1:8" ht="105" x14ac:dyDescent="0.25">
      <c r="A118" t="s">
        <v>172</v>
      </c>
      <c r="B118" s="1" t="str">
        <f>VLOOKUP(A118,Sheet5!B:C,2,0)</f>
        <v>050000624211</v>
      </c>
      <c r="C118" s="13">
        <v>6</v>
      </c>
      <c r="D118" s="22">
        <f t="shared" si="5"/>
        <v>6</v>
      </c>
      <c r="E118" s="21" t="s">
        <v>5912</v>
      </c>
      <c r="F118" s="23" t="str">
        <f t="shared" si="4"/>
        <v>insert into ins_premium_det (premium_rcv_code,assorted_code, rec_amount,premium_rcv_detail_code,remaining_amt, payrec, mode_code,coinsurance_code,class_cd,it_remarks) values</v>
      </c>
      <c r="G118" s="24" t="str">
        <f t="shared" si="6"/>
        <v>('29Apr250042','050000624211','6',(select max(to_number(i.premium_rcv_detail_code))+1
from ins_premium_det i),'6','6','02', '11000003','00','Request by Mr. Omair Ali 30-Apr-2025');</v>
      </c>
      <c r="H118" s="25" t="str">
        <f t="shared" si="7"/>
        <v>insert into ins_premium_det (premium_rcv_code,assorted_code, rec_amount,premium_rcv_detail_code,remaining_amt, payrec, mode_code,coinsurance_code,class_cd,it_remarks) values('29Apr250042','050000624211','6',(select max(to_number(i.premium_rcv_detail_code))+1
from ins_premium_det i),'6','6','02', '11000003','00','Request by Mr. Omair Ali 30-Apr-2025');</v>
      </c>
    </row>
    <row r="119" spans="1:8" ht="105" x14ac:dyDescent="0.25">
      <c r="A119" t="s">
        <v>315</v>
      </c>
      <c r="B119" s="1" t="str">
        <f>VLOOKUP(A119,Sheet5!B:C,2,0)</f>
        <v>050000626436</v>
      </c>
      <c r="C119" s="13">
        <v>2839</v>
      </c>
      <c r="D119" s="22">
        <f t="shared" si="5"/>
        <v>2839</v>
      </c>
      <c r="E119" s="21" t="s">
        <v>5912</v>
      </c>
      <c r="F119" s="23" t="str">
        <f t="shared" si="4"/>
        <v>insert into ins_premium_det (premium_rcv_code,assorted_code, rec_amount,premium_rcv_detail_code,remaining_amt, payrec, mode_code,coinsurance_code,class_cd,it_remarks) values</v>
      </c>
      <c r="G119" s="24" t="str">
        <f t="shared" si="6"/>
        <v>('29Apr250042','050000626436','2839',(select max(to_number(i.premium_rcv_detail_code))+1
from ins_premium_det i),'2839','2839','02', '11000003','00','Request by Mr. Omair Ali 30-Apr-2025');</v>
      </c>
      <c r="H119" s="25" t="str">
        <f t="shared" si="7"/>
        <v>insert into ins_premium_det (premium_rcv_code,assorted_code, rec_amount,premium_rcv_detail_code,remaining_amt, payrec, mode_code,coinsurance_code,class_cd,it_remarks) values('29Apr250042','050000626436','2839',(select max(to_number(i.premium_rcv_detail_code))+1
from ins_premium_det i),'2839','2839','02', '11000003','00','Request by Mr. Omair Ali 30-Apr-2025');</v>
      </c>
    </row>
    <row r="120" spans="1:8" ht="105" x14ac:dyDescent="0.25">
      <c r="A120" t="s">
        <v>386</v>
      </c>
      <c r="B120" s="1" t="str">
        <f>VLOOKUP(A120,Sheet5!B:C,2,0)</f>
        <v>050000626702</v>
      </c>
      <c r="C120" s="13">
        <v>1994</v>
      </c>
      <c r="D120" s="22">
        <f t="shared" si="5"/>
        <v>1994</v>
      </c>
      <c r="E120" s="21" t="s">
        <v>5912</v>
      </c>
      <c r="F120" s="23" t="str">
        <f t="shared" si="4"/>
        <v>insert into ins_premium_det (premium_rcv_code,assorted_code, rec_amount,premium_rcv_detail_code,remaining_amt, payrec, mode_code,coinsurance_code,class_cd,it_remarks) values</v>
      </c>
      <c r="G120" s="24" t="str">
        <f t="shared" si="6"/>
        <v>('29Apr250042','050000626702','1994',(select max(to_number(i.premium_rcv_detail_code))+1
from ins_premium_det i),'1994','1994','02', '11000003','00','Request by Mr. Omair Ali 30-Apr-2025');</v>
      </c>
      <c r="H120" s="25" t="str">
        <f t="shared" si="7"/>
        <v>insert into ins_premium_det (premium_rcv_code,assorted_code, rec_amount,premium_rcv_detail_code,remaining_amt, payrec, mode_code,coinsurance_code,class_cd,it_remarks) values('29Apr250042','050000626702','1994',(select max(to_number(i.premium_rcv_detail_code))+1
from ins_premium_det i),'1994','1994','02', '11000003','00','Request by Mr. Omair Ali 30-Apr-2025');</v>
      </c>
    </row>
    <row r="121" spans="1:8" ht="105" x14ac:dyDescent="0.25">
      <c r="A121" t="s">
        <v>400</v>
      </c>
      <c r="B121" s="1" t="str">
        <f>VLOOKUP(A121,Sheet5!B:C,2,0)</f>
        <v>050000626703</v>
      </c>
      <c r="C121" s="13">
        <v>1251</v>
      </c>
      <c r="D121" s="22">
        <f t="shared" si="5"/>
        <v>1251</v>
      </c>
      <c r="E121" s="21" t="s">
        <v>5912</v>
      </c>
      <c r="F121" s="23" t="str">
        <f t="shared" si="4"/>
        <v>insert into ins_premium_det (premium_rcv_code,assorted_code, rec_amount,premium_rcv_detail_code,remaining_amt, payrec, mode_code,coinsurance_code,class_cd,it_remarks) values</v>
      </c>
      <c r="G121" s="24" t="str">
        <f t="shared" si="6"/>
        <v>('29Apr250042','050000626703','1251',(select max(to_number(i.premium_rcv_detail_code))+1
from ins_premium_det i),'1251','1251','02', '11000003','00','Request by Mr. Omair Ali 30-Apr-2025');</v>
      </c>
      <c r="H121" s="25" t="str">
        <f t="shared" si="7"/>
        <v>insert into ins_premium_det (premium_rcv_code,assorted_code, rec_amount,premium_rcv_detail_code,remaining_amt, payrec, mode_code,coinsurance_code,class_cd,it_remarks) values('29Apr250042','050000626703','1251',(select max(to_number(i.premium_rcv_detail_code))+1
from ins_premium_det i),'1251','1251','02', '11000003','00','Request by Mr. Omair Ali 30-Apr-2025');</v>
      </c>
    </row>
    <row r="122" spans="1:8" ht="105" x14ac:dyDescent="0.25">
      <c r="A122" t="s">
        <v>265</v>
      </c>
      <c r="B122" s="1" t="str">
        <f>VLOOKUP(A122,Sheet5!B:C,2,0)</f>
        <v>050000626969</v>
      </c>
      <c r="C122" s="13">
        <v>2257</v>
      </c>
      <c r="D122" s="22">
        <f t="shared" si="5"/>
        <v>2257</v>
      </c>
      <c r="E122" s="21" t="s">
        <v>5912</v>
      </c>
      <c r="F122" s="23" t="str">
        <f t="shared" si="4"/>
        <v>insert into ins_premium_det (premium_rcv_code,assorted_code, rec_amount,premium_rcv_detail_code,remaining_amt, payrec, mode_code,coinsurance_code,class_cd,it_remarks) values</v>
      </c>
      <c r="G122" s="24" t="str">
        <f t="shared" si="6"/>
        <v>('29Apr250042','050000626969','2257',(select max(to_number(i.premium_rcv_detail_code))+1
from ins_premium_det i),'2257','2257','02', '11000003','00','Request by Mr. Omair Ali 30-Apr-2025');</v>
      </c>
      <c r="H122" s="25" t="str">
        <f t="shared" si="7"/>
        <v>insert into ins_premium_det (premium_rcv_code,assorted_code, rec_amount,premium_rcv_detail_code,remaining_amt, payrec, mode_code,coinsurance_code,class_cd,it_remarks) values('29Apr250042','050000626969','2257',(select max(to_number(i.premium_rcv_detail_code))+1
from ins_premium_det i),'2257','2257','02', '11000003','00','Request by Mr. Omair Ali 30-Apr-2025');</v>
      </c>
    </row>
    <row r="123" spans="1:8" ht="105" x14ac:dyDescent="0.25">
      <c r="A123" t="s">
        <v>80</v>
      </c>
      <c r="B123" s="1" t="str">
        <f>VLOOKUP(A123,Sheet5!B:C,2,0)</f>
        <v>050000627685</v>
      </c>
      <c r="C123" s="13">
        <v>240</v>
      </c>
      <c r="D123" s="22">
        <f t="shared" si="5"/>
        <v>240</v>
      </c>
      <c r="E123" s="21" t="s">
        <v>5912</v>
      </c>
      <c r="F123" s="23" t="str">
        <f t="shared" si="4"/>
        <v>insert into ins_premium_det (premium_rcv_code,assorted_code, rec_amount,premium_rcv_detail_code,remaining_amt, payrec, mode_code,coinsurance_code,class_cd,it_remarks) values</v>
      </c>
      <c r="G123" s="24" t="str">
        <f t="shared" si="6"/>
        <v>('29Apr250042','050000627685','240',(select max(to_number(i.premium_rcv_detail_code))+1
from ins_premium_det i),'240','240','02', '11000003','00','Request by Mr. Omair Ali 30-Apr-2025');</v>
      </c>
      <c r="H123" s="25" t="str">
        <f t="shared" si="7"/>
        <v>insert into ins_premium_det (premium_rcv_code,assorted_code, rec_amount,premium_rcv_detail_code,remaining_amt, payrec, mode_code,coinsurance_code,class_cd,it_remarks) values('29Apr250042','050000627685','240',(select max(to_number(i.premium_rcv_detail_code))+1
from ins_premium_det i),'240','240','02', '11000003','00','Request by Mr. Omair Ali 30-Apr-2025');</v>
      </c>
    </row>
    <row r="124" spans="1:8" ht="105" x14ac:dyDescent="0.25">
      <c r="A124" t="s">
        <v>81</v>
      </c>
      <c r="B124" s="1" t="str">
        <f>VLOOKUP(A124,Sheet5!B:C,2,0)</f>
        <v>050000627687</v>
      </c>
      <c r="C124" s="13">
        <v>240</v>
      </c>
      <c r="D124" s="22">
        <f t="shared" si="5"/>
        <v>240</v>
      </c>
      <c r="E124" s="21" t="s">
        <v>5912</v>
      </c>
      <c r="F124" s="23" t="str">
        <f t="shared" si="4"/>
        <v>insert into ins_premium_det (premium_rcv_code,assorted_code, rec_amount,premium_rcv_detail_code,remaining_amt, payrec, mode_code,coinsurance_code,class_cd,it_remarks) values</v>
      </c>
      <c r="G124" s="24" t="str">
        <f t="shared" si="6"/>
        <v>('29Apr250042','050000627687','240',(select max(to_number(i.premium_rcv_detail_code))+1
from ins_premium_det i),'240','240','02', '11000003','00','Request by Mr. Omair Ali 30-Apr-2025');</v>
      </c>
      <c r="H124" s="25" t="str">
        <f t="shared" si="7"/>
        <v>insert into ins_premium_det (premium_rcv_code,assorted_code, rec_amount,premium_rcv_detail_code,remaining_amt, payrec, mode_code,coinsurance_code,class_cd,it_remarks) values('29Apr250042','050000627687','240',(select max(to_number(i.premium_rcv_detail_code))+1
from ins_premium_det i),'240','240','02', '11000003','00','Request by Mr. Omair Ali 30-Apr-2025');</v>
      </c>
    </row>
    <row r="125" spans="1:8" ht="105" x14ac:dyDescent="0.25">
      <c r="A125" t="s">
        <v>408</v>
      </c>
      <c r="B125" s="1" t="str">
        <f>VLOOKUP(A125,Sheet5!B:C,2,0)</f>
        <v>050000628738</v>
      </c>
      <c r="C125" s="13">
        <v>23826</v>
      </c>
      <c r="D125" s="22">
        <f t="shared" si="5"/>
        <v>23826</v>
      </c>
      <c r="E125" s="21" t="s">
        <v>5912</v>
      </c>
      <c r="F125" s="23" t="str">
        <f t="shared" si="4"/>
        <v>insert into ins_premium_det (premium_rcv_code,assorted_code, rec_amount,premium_rcv_detail_code,remaining_amt, payrec, mode_code,coinsurance_code,class_cd,it_remarks) values</v>
      </c>
      <c r="G125" s="24" t="str">
        <f t="shared" si="6"/>
        <v>('29Apr250042','050000628738','23826',(select max(to_number(i.premium_rcv_detail_code))+1
from ins_premium_det i),'23826','23826','02', '11000003','00','Request by Mr. Omair Ali 30-Apr-2025');</v>
      </c>
      <c r="H125" s="25" t="str">
        <f t="shared" si="7"/>
        <v>insert into ins_premium_det (premium_rcv_code,assorted_code, rec_amount,premium_rcv_detail_code,remaining_amt, payrec, mode_code,coinsurance_code,class_cd,it_remarks) values('29Apr250042','050000628738','23826',(select max(to_number(i.premium_rcv_detail_code))+1
from ins_premium_det i),'23826','23826','02', '11000003','00','Request by Mr. Omair Ali 30-Apr-2025');</v>
      </c>
    </row>
    <row r="126" spans="1:8" ht="105" x14ac:dyDescent="0.25">
      <c r="A126" t="s">
        <v>418</v>
      </c>
      <c r="B126" s="1" t="str">
        <f>VLOOKUP(A126,Sheet5!B:C,2,0)</f>
        <v>050000628740</v>
      </c>
      <c r="C126" s="13">
        <v>95000</v>
      </c>
      <c r="D126" s="22">
        <f t="shared" si="5"/>
        <v>95000</v>
      </c>
      <c r="E126" s="21" t="s">
        <v>5912</v>
      </c>
      <c r="F126" s="23" t="str">
        <f t="shared" si="4"/>
        <v>insert into ins_premium_det (premium_rcv_code,assorted_code, rec_amount,premium_rcv_detail_code,remaining_amt, payrec, mode_code,coinsurance_code,class_cd,it_remarks) values</v>
      </c>
      <c r="G126" s="24" t="str">
        <f t="shared" si="6"/>
        <v>('29Apr250042','050000628740','95000',(select max(to_number(i.premium_rcv_detail_code))+1
from ins_premium_det i),'95000','95000','02', '11000003','00','Request by Mr. Omair Ali 30-Apr-2025');</v>
      </c>
      <c r="H126" s="25" t="str">
        <f t="shared" si="7"/>
        <v>insert into ins_premium_det (premium_rcv_code,assorted_code, rec_amount,premium_rcv_detail_code,remaining_amt, payrec, mode_code,coinsurance_code,class_cd,it_remarks) values('29Apr250042','050000628740','95000',(select max(to_number(i.premium_rcv_detail_code))+1
from ins_premium_det i),'95000','95000','02', '11000003','00','Request by Mr. Omair Ali 30-Apr-2025');</v>
      </c>
    </row>
    <row r="127" spans="1:8" ht="105" x14ac:dyDescent="0.25">
      <c r="A127" t="s">
        <v>413</v>
      </c>
      <c r="B127" s="1" t="str">
        <f>VLOOKUP(A127,Sheet5!B:C,2,0)</f>
        <v>050000628741</v>
      </c>
      <c r="C127" s="13">
        <v>115000</v>
      </c>
      <c r="D127" s="22">
        <f t="shared" si="5"/>
        <v>115000</v>
      </c>
      <c r="E127" s="21" t="s">
        <v>5912</v>
      </c>
      <c r="F127" s="23" t="str">
        <f t="shared" si="4"/>
        <v>insert into ins_premium_det (premium_rcv_code,assorted_code, rec_amount,premium_rcv_detail_code,remaining_amt, payrec, mode_code,coinsurance_code,class_cd,it_remarks) values</v>
      </c>
      <c r="G127" s="24" t="str">
        <f t="shared" si="6"/>
        <v>('29Apr250042','050000628741','115000',(select max(to_number(i.premium_rcv_detail_code))+1
from ins_premium_det i),'115000','115000','02', '11000003','00','Request by Mr. Omair Ali 30-Apr-2025');</v>
      </c>
      <c r="H127" s="25" t="str">
        <f t="shared" si="7"/>
        <v>insert into ins_premium_det (premium_rcv_code,assorted_code, rec_amount,premium_rcv_detail_code,remaining_amt, payrec, mode_code,coinsurance_code,class_cd,it_remarks) values('29Apr250042','050000628741','115000',(select max(to_number(i.premium_rcv_detail_code))+1
from ins_premium_det i),'115000','115000','02', '11000003','00','Request by Mr. Omair Ali 30-Apr-2025');</v>
      </c>
    </row>
    <row r="128" spans="1:8" ht="105" x14ac:dyDescent="0.25">
      <c r="A128" t="s">
        <v>425</v>
      </c>
      <c r="B128" s="1" t="str">
        <f>VLOOKUP(A128,Sheet5!B:C,2,0)</f>
        <v>050000628743</v>
      </c>
      <c r="C128" s="13">
        <v>111000</v>
      </c>
      <c r="D128" s="22">
        <f t="shared" si="5"/>
        <v>111000</v>
      </c>
      <c r="E128" s="21" t="s">
        <v>5912</v>
      </c>
      <c r="F128" s="23" t="str">
        <f t="shared" si="4"/>
        <v>insert into ins_premium_det (premium_rcv_code,assorted_code, rec_amount,premium_rcv_detail_code,remaining_amt, payrec, mode_code,coinsurance_code,class_cd,it_remarks) values</v>
      </c>
      <c r="G128" s="24" t="str">
        <f t="shared" si="6"/>
        <v>('29Apr250042','050000628743','111000',(select max(to_number(i.premium_rcv_detail_code))+1
from ins_premium_det i),'111000','111000','02', '11000003','00','Request by Mr. Omair Ali 30-Apr-2025');</v>
      </c>
      <c r="H128" s="25" t="str">
        <f t="shared" si="7"/>
        <v>insert into ins_premium_det (premium_rcv_code,assorted_code, rec_amount,premium_rcv_detail_code,remaining_amt, payrec, mode_code,coinsurance_code,class_cd,it_remarks) values('29Apr250042','050000628743','111000',(select max(to_number(i.premium_rcv_detail_code))+1
from ins_premium_det i),'111000','111000','02', '11000003','00','Request by Mr. Omair Ali 30-Apr-2025');</v>
      </c>
    </row>
    <row r="129" spans="1:8" ht="105" x14ac:dyDescent="0.25">
      <c r="A129" t="s">
        <v>429</v>
      </c>
      <c r="B129" s="1" t="str">
        <f>VLOOKUP(A129,Sheet5!B:C,2,0)</f>
        <v>050000628747</v>
      </c>
      <c r="C129" s="13">
        <v>55000</v>
      </c>
      <c r="D129" s="22">
        <f t="shared" si="5"/>
        <v>55000</v>
      </c>
      <c r="E129" s="21" t="s">
        <v>5912</v>
      </c>
      <c r="F129" s="23" t="str">
        <f t="shared" si="4"/>
        <v>insert into ins_premium_det (premium_rcv_code,assorted_code, rec_amount,premium_rcv_detail_code,remaining_amt, payrec, mode_code,coinsurance_code,class_cd,it_remarks) values</v>
      </c>
      <c r="G129" s="24" t="str">
        <f t="shared" si="6"/>
        <v>('29Apr250042','050000628747','55000',(select max(to_number(i.premium_rcv_detail_code))+1
from ins_premium_det i),'55000','55000','02', '11000003','00','Request by Mr. Omair Ali 30-Apr-2025');</v>
      </c>
      <c r="H129" s="25" t="str">
        <f t="shared" si="7"/>
        <v>insert into ins_premium_det (premium_rcv_code,assorted_code, rec_amount,premium_rcv_detail_code,remaining_amt, payrec, mode_code,coinsurance_code,class_cd,it_remarks) values('29Apr250042','050000628747','55000',(select max(to_number(i.premium_rcv_detail_code))+1
from ins_premium_det i),'55000','55000','02', '11000003','00','Request by Mr. Omair Ali 30-Apr-2025');</v>
      </c>
    </row>
    <row r="130" spans="1:8" ht="105" x14ac:dyDescent="0.25">
      <c r="A130" t="s">
        <v>433</v>
      </c>
      <c r="B130" s="1" t="str">
        <f>VLOOKUP(A130,Sheet5!B:C,2,0)</f>
        <v>050000628750</v>
      </c>
      <c r="C130" s="13">
        <v>57000</v>
      </c>
      <c r="D130" s="22">
        <f t="shared" si="5"/>
        <v>57000</v>
      </c>
      <c r="E130" s="21" t="s">
        <v>5912</v>
      </c>
      <c r="F130" s="23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4" t="str">
        <f t="shared" si="6"/>
        <v>('29Apr250042','050000628750','57000',(select max(to_number(i.premium_rcv_detail_code))+1
from ins_premium_det i),'57000','57000','02', '11000003','00','Request by Mr. Omair Ali 30-Apr-2025');</v>
      </c>
      <c r="H130" s="25" t="str">
        <f t="shared" si="7"/>
        <v>insert into ins_premium_det (premium_rcv_code,assorted_code, rec_amount,premium_rcv_detail_code,remaining_amt, payrec, mode_code,coinsurance_code,class_cd,it_remarks) values('29Apr250042','050000628750','57000',(select max(to_number(i.premium_rcv_detail_code))+1
from ins_premium_det i),'57000','57000','02', '11000003','00','Request by Mr. Omair Ali 30-Apr-2025');</v>
      </c>
    </row>
    <row r="131" spans="1:8" ht="105" x14ac:dyDescent="0.25">
      <c r="A131" t="s">
        <v>441</v>
      </c>
      <c r="B131" s="1" t="str">
        <f>VLOOKUP(A131,Sheet5!B:C,2,0)</f>
        <v>050000628755</v>
      </c>
      <c r="C131" s="13">
        <v>75000</v>
      </c>
      <c r="D131" s="22">
        <f t="shared" ref="D131:D194" si="9">ROUND(C131,0)</f>
        <v>75000</v>
      </c>
      <c r="E131" s="21" t="s">
        <v>5912</v>
      </c>
      <c r="F131" s="23" t="str">
        <f t="shared" si="8"/>
        <v>insert into ins_premium_det (premium_rcv_code,assorted_code, rec_amount,premium_rcv_detail_code,remaining_amt, payrec, mode_code,coinsurance_code,class_cd,it_remarks) values</v>
      </c>
      <c r="G131" s="24" t="str">
        <f t="shared" ref="G131:G194" si="10">"('"&amp;E131&amp;"','"&amp;B131&amp;"','"&amp;D131&amp;"',(select max(to_number(i.premium_rcv_detail_code))+1
from ins_premium_det i),'"&amp;D131&amp;"','"&amp;D131&amp;"','02', '11000003','00','Request by Mr. Omair Ali 30-Apr-2025');"</f>
        <v>('29Apr250042','050000628755','75000',(select max(to_number(i.premium_rcv_detail_code))+1
from ins_premium_det i),'75000','75000','02', '11000003','00','Request by Mr. Omair Ali 30-Apr-2025');</v>
      </c>
      <c r="H131" s="25" t="str">
        <f t="shared" ref="H131:H194" si="11">F131&amp;G131</f>
        <v>insert into ins_premium_det (premium_rcv_code,assorted_code, rec_amount,premium_rcv_detail_code,remaining_amt, payrec, mode_code,coinsurance_code,class_cd,it_remarks) values('29Apr250042','050000628755','75000',(select max(to_number(i.premium_rcv_detail_code))+1
from ins_premium_det i),'75000','75000','02', '11000003','00','Request by Mr. Omair Ali 30-Apr-2025');</v>
      </c>
    </row>
    <row r="132" spans="1:8" ht="105" x14ac:dyDescent="0.25">
      <c r="A132" t="s">
        <v>452</v>
      </c>
      <c r="B132" s="1" t="str">
        <f>VLOOKUP(A132,Sheet5!B:C,2,0)</f>
        <v>050000628757</v>
      </c>
      <c r="C132" s="13">
        <v>41000</v>
      </c>
      <c r="D132" s="22">
        <f t="shared" si="9"/>
        <v>41000</v>
      </c>
      <c r="E132" s="21" t="s">
        <v>5912</v>
      </c>
      <c r="F132" s="23" t="str">
        <f t="shared" si="8"/>
        <v>insert into ins_premium_det (premium_rcv_code,assorted_code, rec_amount,premium_rcv_detail_code,remaining_amt, payrec, mode_code,coinsurance_code,class_cd,it_remarks) values</v>
      </c>
      <c r="G132" s="24" t="str">
        <f t="shared" si="10"/>
        <v>('29Apr250042','050000628757','41000',(select max(to_number(i.premium_rcv_detail_code))+1
from ins_premium_det i),'41000','41000','02', '11000003','00','Request by Mr. Omair Ali 30-Apr-2025');</v>
      </c>
      <c r="H132" s="25" t="str">
        <f t="shared" si="11"/>
        <v>insert into ins_premium_det (premium_rcv_code,assorted_code, rec_amount,premium_rcv_detail_code,remaining_amt, payrec, mode_code,coinsurance_code,class_cd,it_remarks) values('29Apr250042','050000628757','41000',(select max(to_number(i.premium_rcv_detail_code))+1
from ins_premium_det i),'41000','41000','02', '11000003','00','Request by Mr. Omair Ali 30-Apr-2025');</v>
      </c>
    </row>
    <row r="133" spans="1:8" ht="105" x14ac:dyDescent="0.25">
      <c r="A133" t="s">
        <v>458</v>
      </c>
      <c r="B133" s="1" t="str">
        <f>VLOOKUP(A133,Sheet5!B:C,2,0)</f>
        <v>050000628760</v>
      </c>
      <c r="C133" s="13">
        <v>133000</v>
      </c>
      <c r="D133" s="22">
        <f t="shared" si="9"/>
        <v>133000</v>
      </c>
      <c r="E133" s="21" t="s">
        <v>5912</v>
      </c>
      <c r="F133" s="23" t="str">
        <f t="shared" si="8"/>
        <v>insert into ins_premium_det (premium_rcv_code,assorted_code, rec_amount,premium_rcv_detail_code,remaining_amt, payrec, mode_code,coinsurance_code,class_cd,it_remarks) values</v>
      </c>
      <c r="G133" s="24" t="str">
        <f t="shared" si="10"/>
        <v>('29Apr250042','050000628760','133000',(select max(to_number(i.premium_rcv_detail_code))+1
from ins_premium_det i),'133000','133000','02', '11000003','00','Request by Mr. Omair Ali 30-Apr-2025');</v>
      </c>
      <c r="H133" s="25" t="str">
        <f t="shared" si="11"/>
        <v>insert into ins_premium_det (premium_rcv_code,assorted_code, rec_amount,premium_rcv_detail_code,remaining_amt, payrec, mode_code,coinsurance_code,class_cd,it_remarks) values('29Apr250042','050000628760','133000',(select max(to_number(i.premium_rcv_detail_code))+1
from ins_premium_det i),'133000','133000','02', '11000003','00','Request by Mr. Omair Ali 30-Apr-2025');</v>
      </c>
    </row>
    <row r="134" spans="1:8" ht="105" x14ac:dyDescent="0.25">
      <c r="A134" t="s">
        <v>466</v>
      </c>
      <c r="B134" s="1" t="str">
        <f>VLOOKUP(A134,Sheet5!B:C,2,0)</f>
        <v>050000628761</v>
      </c>
      <c r="C134" s="13">
        <v>65000</v>
      </c>
      <c r="D134" s="22">
        <f t="shared" si="9"/>
        <v>65000</v>
      </c>
      <c r="E134" s="21" t="s">
        <v>5912</v>
      </c>
      <c r="F134" s="23" t="str">
        <f t="shared" si="8"/>
        <v>insert into ins_premium_det (premium_rcv_code,assorted_code, rec_amount,premium_rcv_detail_code,remaining_amt, payrec, mode_code,coinsurance_code,class_cd,it_remarks) values</v>
      </c>
      <c r="G134" s="24" t="str">
        <f t="shared" si="10"/>
        <v>('29Apr250042','050000628761','65000',(select max(to_number(i.premium_rcv_detail_code))+1
from ins_premium_det i),'65000','65000','02', '11000003','00','Request by Mr. Omair Ali 30-Apr-2025');</v>
      </c>
      <c r="H134" s="25" t="str">
        <f t="shared" si="11"/>
        <v>insert into ins_premium_det (premium_rcv_code,assorted_code, rec_amount,premium_rcv_detail_code,remaining_amt, payrec, mode_code,coinsurance_code,class_cd,it_remarks) values('29Apr250042','050000628761','65000',(select max(to_number(i.premium_rcv_detail_code))+1
from ins_premium_det i),'65000','65000','02', '11000003','00','Request by Mr. Omair Ali 30-Apr-2025');</v>
      </c>
    </row>
    <row r="135" spans="1:8" ht="105" x14ac:dyDescent="0.25">
      <c r="A135" t="s">
        <v>478</v>
      </c>
      <c r="B135" s="1" t="str">
        <f>VLOOKUP(A135,Sheet5!B:C,2,0)</f>
        <v>050000628762</v>
      </c>
      <c r="C135" s="13">
        <v>35000</v>
      </c>
      <c r="D135" s="22">
        <f t="shared" si="9"/>
        <v>35000</v>
      </c>
      <c r="E135" s="21" t="s">
        <v>5912</v>
      </c>
      <c r="F135" s="23" t="str">
        <f t="shared" si="8"/>
        <v>insert into ins_premium_det (premium_rcv_code,assorted_code, rec_amount,premium_rcv_detail_code,remaining_amt, payrec, mode_code,coinsurance_code,class_cd,it_remarks) values</v>
      </c>
      <c r="G135" s="24" t="str">
        <f t="shared" si="10"/>
        <v>('29Apr250042','050000628762','35000',(select max(to_number(i.premium_rcv_detail_code))+1
from ins_premium_det i),'35000','35000','02', '11000003','00','Request by Mr. Omair Ali 30-Apr-2025');</v>
      </c>
      <c r="H135" s="25" t="str">
        <f t="shared" si="11"/>
        <v>insert into ins_premium_det (premium_rcv_code,assorted_code, rec_amount,premium_rcv_detail_code,remaining_amt, payrec, mode_code,coinsurance_code,class_cd,it_remarks) values('29Apr250042','050000628762','35000',(select max(to_number(i.premium_rcv_detail_code))+1
from ins_premium_det i),'35000','35000','02', '11000003','00','Request by Mr. Omair Ali 30-Apr-2025');</v>
      </c>
    </row>
    <row r="136" spans="1:8" ht="105" x14ac:dyDescent="0.25">
      <c r="A136" t="s">
        <v>469</v>
      </c>
      <c r="B136" s="1" t="str">
        <f>VLOOKUP(A136,Sheet5!B:C,2,0)</f>
        <v>050000628763</v>
      </c>
      <c r="C136" s="13">
        <v>63000</v>
      </c>
      <c r="D136" s="22">
        <f t="shared" si="9"/>
        <v>63000</v>
      </c>
      <c r="E136" s="21" t="s">
        <v>5912</v>
      </c>
      <c r="F136" s="23" t="str">
        <f t="shared" si="8"/>
        <v>insert into ins_premium_det (premium_rcv_code,assorted_code, rec_amount,premium_rcv_detail_code,remaining_amt, payrec, mode_code,coinsurance_code,class_cd,it_remarks) values</v>
      </c>
      <c r="G136" s="24" t="str">
        <f t="shared" si="10"/>
        <v>('29Apr250042','050000628763','63000',(select max(to_number(i.premium_rcv_detail_code))+1
from ins_premium_det i),'63000','63000','02', '11000003','00','Request by Mr. Omair Ali 30-Apr-2025');</v>
      </c>
      <c r="H136" s="25" t="str">
        <f t="shared" si="11"/>
        <v>insert into ins_premium_det (premium_rcv_code,assorted_code, rec_amount,premium_rcv_detail_code,remaining_amt, payrec, mode_code,coinsurance_code,class_cd,it_remarks) values('29Apr250042','050000628763','63000',(select max(to_number(i.premium_rcv_detail_code))+1
from ins_premium_det i),'63000','63000','02', '11000003','00','Request by Mr. Omair Ali 30-Apr-2025');</v>
      </c>
    </row>
    <row r="137" spans="1:8" ht="105" x14ac:dyDescent="0.25">
      <c r="A137" t="s">
        <v>482</v>
      </c>
      <c r="B137" s="1" t="str">
        <f>VLOOKUP(A137,Sheet5!B:C,2,0)</f>
        <v>050000628765</v>
      </c>
      <c r="C137" s="13">
        <v>115000</v>
      </c>
      <c r="D137" s="22">
        <f t="shared" si="9"/>
        <v>115000</v>
      </c>
      <c r="E137" s="21" t="s">
        <v>5912</v>
      </c>
      <c r="F137" s="23" t="str">
        <f t="shared" si="8"/>
        <v>insert into ins_premium_det (premium_rcv_code,assorted_code, rec_amount,premium_rcv_detail_code,remaining_amt, payrec, mode_code,coinsurance_code,class_cd,it_remarks) values</v>
      </c>
      <c r="G137" s="24" t="str">
        <f t="shared" si="10"/>
        <v>('29Apr250042','050000628765','115000',(select max(to_number(i.premium_rcv_detail_code))+1
from ins_premium_det i),'115000','115000','02', '11000003','00','Request by Mr. Omair Ali 30-Apr-2025');</v>
      </c>
      <c r="H137" s="25" t="str">
        <f t="shared" si="11"/>
        <v>insert into ins_premium_det (premium_rcv_code,assorted_code, rec_amount,premium_rcv_detail_code,remaining_amt, payrec, mode_code,coinsurance_code,class_cd,it_remarks) values('29Apr250042','050000628765','115000',(select max(to_number(i.premium_rcv_detail_code))+1
from ins_premium_det i),'115000','115000','02', '11000003','00','Request by Mr. Omair Ali 30-Apr-2025');</v>
      </c>
    </row>
    <row r="138" spans="1:8" ht="105" x14ac:dyDescent="0.25">
      <c r="A138" t="s">
        <v>487</v>
      </c>
      <c r="B138" s="1" t="str">
        <f>VLOOKUP(A138,Sheet5!B:C,2,0)</f>
        <v>050000628767</v>
      </c>
      <c r="C138" s="13">
        <v>85000</v>
      </c>
      <c r="D138" s="22">
        <f t="shared" si="9"/>
        <v>85000</v>
      </c>
      <c r="E138" s="21" t="s">
        <v>5912</v>
      </c>
      <c r="F138" s="23" t="str">
        <f t="shared" si="8"/>
        <v>insert into ins_premium_det (premium_rcv_code,assorted_code, rec_amount,premium_rcv_detail_code,remaining_amt, payrec, mode_code,coinsurance_code,class_cd,it_remarks) values</v>
      </c>
      <c r="G138" s="24" t="str">
        <f t="shared" si="10"/>
        <v>('29Apr250042','050000628767','85000',(select max(to_number(i.premium_rcv_detail_code))+1
from ins_premium_det i),'85000','85000','02', '11000003','00','Request by Mr. Omair Ali 30-Apr-2025');</v>
      </c>
      <c r="H138" s="25" t="str">
        <f t="shared" si="11"/>
        <v>insert into ins_premium_det (premium_rcv_code,assorted_code, rec_amount,premium_rcv_detail_code,remaining_amt, payrec, mode_code,coinsurance_code,class_cd,it_remarks) values('29Apr250042','050000628767','85000',(select max(to_number(i.premium_rcv_detail_code))+1
from ins_premium_det i),'85000','85000','02', '11000003','00','Request by Mr. Omair Ali 30-Apr-2025');</v>
      </c>
    </row>
    <row r="139" spans="1:8" ht="105" x14ac:dyDescent="0.25">
      <c r="A139" t="s">
        <v>225</v>
      </c>
      <c r="B139" s="1" t="str">
        <f>VLOOKUP(A139,Sheet5!B:C,2,0)</f>
        <v>050000630755</v>
      </c>
      <c r="C139" s="13">
        <v>133</v>
      </c>
      <c r="D139" s="22">
        <f t="shared" si="9"/>
        <v>133</v>
      </c>
      <c r="E139" s="21" t="s">
        <v>5912</v>
      </c>
      <c r="F139" s="23" t="str">
        <f t="shared" si="8"/>
        <v>insert into ins_premium_det (premium_rcv_code,assorted_code, rec_amount,premium_rcv_detail_code,remaining_amt, payrec, mode_code,coinsurance_code,class_cd,it_remarks) values</v>
      </c>
      <c r="G139" s="24" t="str">
        <f t="shared" si="10"/>
        <v>('29Apr250042','050000630755','133',(select max(to_number(i.premium_rcv_detail_code))+1
from ins_premium_det i),'133','133','02', '11000003','00','Request by Mr. Omair Ali 30-Apr-2025');</v>
      </c>
      <c r="H139" s="25" t="str">
        <f t="shared" si="11"/>
        <v>insert into ins_premium_det (premium_rcv_code,assorted_code, rec_amount,premium_rcv_detail_code,remaining_amt, payrec, mode_code,coinsurance_code,class_cd,it_remarks) values('29Apr250042','050000630755','133',(select max(to_number(i.premium_rcv_detail_code))+1
from ins_premium_det i),'133','133','02', '11000003','00','Request by Mr. Omair Ali 30-Apr-2025');</v>
      </c>
    </row>
    <row r="140" spans="1:8" ht="105" x14ac:dyDescent="0.25">
      <c r="A140" t="s">
        <v>316</v>
      </c>
      <c r="B140" s="1" t="str">
        <f>VLOOKUP(A140,Sheet5!B:C,2,0)</f>
        <v>050000632829</v>
      </c>
      <c r="C140" s="13">
        <v>2861</v>
      </c>
      <c r="D140" s="22">
        <f t="shared" si="9"/>
        <v>2861</v>
      </c>
      <c r="E140" s="21" t="s">
        <v>5912</v>
      </c>
      <c r="F140" s="23" t="str">
        <f t="shared" si="8"/>
        <v>insert into ins_premium_det (premium_rcv_code,assorted_code, rec_amount,premium_rcv_detail_code,remaining_amt, payrec, mode_code,coinsurance_code,class_cd,it_remarks) values</v>
      </c>
      <c r="G140" s="24" t="str">
        <f t="shared" si="10"/>
        <v>('29Apr250042','050000632829','2861',(select max(to_number(i.premium_rcv_detail_code))+1
from ins_premium_det i),'2861','2861','02', '11000003','00','Request by Mr. Omair Ali 30-Apr-2025');</v>
      </c>
      <c r="H140" s="25" t="str">
        <f t="shared" si="11"/>
        <v>insert into ins_premium_det (premium_rcv_code,assorted_code, rec_amount,premium_rcv_detail_code,remaining_amt, payrec, mode_code,coinsurance_code,class_cd,it_remarks) values('29Apr250042','050000632829','2861',(select max(to_number(i.premium_rcv_detail_code))+1
from ins_premium_det i),'2861','2861','02', '11000003','00','Request by Mr. Omair Ali 30-Apr-2025');</v>
      </c>
    </row>
    <row r="141" spans="1:8" ht="105" x14ac:dyDescent="0.25">
      <c r="A141" t="s">
        <v>94</v>
      </c>
      <c r="B141" s="1" t="str">
        <f>VLOOKUP(A141,Sheet5!B:C,2,0)</f>
        <v>050000634228</v>
      </c>
      <c r="C141" s="13">
        <v>744</v>
      </c>
      <c r="D141" s="22">
        <f t="shared" si="9"/>
        <v>744</v>
      </c>
      <c r="E141" s="21" t="s">
        <v>5912</v>
      </c>
      <c r="F141" s="23" t="str">
        <f t="shared" si="8"/>
        <v>insert into ins_premium_det (premium_rcv_code,assorted_code, rec_amount,premium_rcv_detail_code,remaining_amt, payrec, mode_code,coinsurance_code,class_cd,it_remarks) values</v>
      </c>
      <c r="G141" s="24" t="str">
        <f t="shared" si="10"/>
        <v>('29Apr250042','050000634228','744',(select max(to_number(i.premium_rcv_detail_code))+1
from ins_premium_det i),'744','744','02', '11000003','00','Request by Mr. Omair Ali 30-Apr-2025');</v>
      </c>
      <c r="H141" s="25" t="str">
        <f t="shared" si="11"/>
        <v>insert into ins_premium_det (premium_rcv_code,assorted_code, rec_amount,premium_rcv_detail_code,remaining_amt, payrec, mode_code,coinsurance_code,class_cd,it_remarks) values('29Apr250042','050000634228','744',(select max(to_number(i.premium_rcv_detail_code))+1
from ins_premium_det i),'744','744','02', '11000003','00','Request by Mr. Omair Ali 30-Apr-2025');</v>
      </c>
    </row>
    <row r="142" spans="1:8" ht="105" x14ac:dyDescent="0.25">
      <c r="A142" t="s">
        <v>103</v>
      </c>
      <c r="B142" s="1" t="str">
        <f>VLOOKUP(A142,Sheet5!B:C,2,0)</f>
        <v>050000636883</v>
      </c>
      <c r="C142" s="13">
        <v>8</v>
      </c>
      <c r="D142" s="22">
        <f t="shared" si="9"/>
        <v>8</v>
      </c>
      <c r="E142" s="21" t="s">
        <v>5912</v>
      </c>
      <c r="F142" s="23" t="str">
        <f t="shared" si="8"/>
        <v>insert into ins_premium_det (premium_rcv_code,assorted_code, rec_amount,premium_rcv_detail_code,remaining_amt, payrec, mode_code,coinsurance_code,class_cd,it_remarks) values</v>
      </c>
      <c r="G142" s="24" t="str">
        <f t="shared" si="10"/>
        <v>('29Apr250042','050000636883','8',(select max(to_number(i.premium_rcv_detail_code))+1
from ins_premium_det i),'8','8','02', '11000003','00','Request by Mr. Omair Ali 30-Apr-2025');</v>
      </c>
      <c r="H142" s="25" t="str">
        <f t="shared" si="11"/>
        <v>insert into ins_premium_det (premium_rcv_code,assorted_code, rec_amount,premium_rcv_detail_code,remaining_amt, payrec, mode_code,coinsurance_code,class_cd,it_remarks) values('29Apr250042','050000636883','8',(select max(to_number(i.premium_rcv_detail_code))+1
from ins_premium_det i),'8','8','02', '11000003','00','Request by Mr. Omair Ali 30-Apr-2025');</v>
      </c>
    </row>
    <row r="143" spans="1:8" ht="105" x14ac:dyDescent="0.25">
      <c r="A143" t="s">
        <v>105</v>
      </c>
      <c r="B143" s="1" t="str">
        <f>VLOOKUP(A143,Sheet5!B:C,2,0)</f>
        <v>050000637350</v>
      </c>
      <c r="C143" s="13">
        <v>1</v>
      </c>
      <c r="D143" s="22">
        <f t="shared" si="9"/>
        <v>1</v>
      </c>
      <c r="E143" s="21" t="s">
        <v>5912</v>
      </c>
      <c r="F143" s="23" t="str">
        <f t="shared" si="8"/>
        <v>insert into ins_premium_det (premium_rcv_code,assorted_code, rec_amount,premium_rcv_detail_code,remaining_amt, payrec, mode_code,coinsurance_code,class_cd,it_remarks) values</v>
      </c>
      <c r="G143" s="24" t="str">
        <f t="shared" si="10"/>
        <v>('29Apr250042','050000637350','1',(select max(to_number(i.premium_rcv_detail_code))+1
from ins_premium_det i),'1','1','02', '11000003','00','Request by Mr. Omair Ali 30-Apr-2025');</v>
      </c>
      <c r="H143" s="25" t="str">
        <f t="shared" si="11"/>
        <v>insert into ins_premium_det (premium_rcv_code,assorted_code, rec_amount,premium_rcv_detail_code,remaining_amt, payrec, mode_code,coinsurance_code,class_cd,it_remarks) values('29Apr250042','050000637350','1',(select max(to_number(i.premium_rcv_detail_code))+1
from ins_premium_det i),'1','1','02', '11000003','00','Request by Mr. Omair Ali 30-Apr-2025');</v>
      </c>
    </row>
    <row r="144" spans="1:8" ht="105" x14ac:dyDescent="0.25">
      <c r="A144" t="s">
        <v>387</v>
      </c>
      <c r="B144" s="1" t="str">
        <f>VLOOKUP(A144,Sheet5!B:C,2,0)</f>
        <v>050000640556</v>
      </c>
      <c r="C144" s="13">
        <v>2020</v>
      </c>
      <c r="D144" s="22">
        <f t="shared" si="9"/>
        <v>2020</v>
      </c>
      <c r="E144" s="21" t="s">
        <v>5912</v>
      </c>
      <c r="F144" s="23" t="str">
        <f t="shared" si="8"/>
        <v>insert into ins_premium_det (premium_rcv_code,assorted_code, rec_amount,premium_rcv_detail_code,remaining_amt, payrec, mode_code,coinsurance_code,class_cd,it_remarks) values</v>
      </c>
      <c r="G144" s="24" t="str">
        <f t="shared" si="10"/>
        <v>('29Apr250042','050000640556','2020',(select max(to_number(i.premium_rcv_detail_code))+1
from ins_premium_det i),'2020','2020','02', '11000003','00','Request by Mr. Omair Ali 30-Apr-2025');</v>
      </c>
      <c r="H144" s="25" t="str">
        <f t="shared" si="11"/>
        <v>insert into ins_premium_det (premium_rcv_code,assorted_code, rec_amount,premium_rcv_detail_code,remaining_amt, payrec, mode_code,coinsurance_code,class_cd,it_remarks) values('29Apr250042','050000640556','2020',(select max(to_number(i.premium_rcv_detail_code))+1
from ins_premium_det i),'2020','2020','02', '11000003','00','Request by Mr. Omair Ali 30-Apr-2025');</v>
      </c>
    </row>
    <row r="145" spans="1:8" ht="105" x14ac:dyDescent="0.25">
      <c r="A145" t="s">
        <v>401</v>
      </c>
      <c r="B145" s="1" t="str">
        <f>VLOOKUP(A145,Sheet5!B:C,2,0)</f>
        <v>050000640557</v>
      </c>
      <c r="C145" s="13">
        <v>2623</v>
      </c>
      <c r="D145" s="22">
        <f t="shared" si="9"/>
        <v>2623</v>
      </c>
      <c r="E145" s="21" t="s">
        <v>5912</v>
      </c>
      <c r="F145" s="23" t="str">
        <f t="shared" si="8"/>
        <v>insert into ins_premium_det (premium_rcv_code,assorted_code, rec_amount,premium_rcv_detail_code,remaining_amt, payrec, mode_code,coinsurance_code,class_cd,it_remarks) values</v>
      </c>
      <c r="G145" s="24" t="str">
        <f t="shared" si="10"/>
        <v>('29Apr250042','050000640557','2623',(select max(to_number(i.premium_rcv_detail_code))+1
from ins_premium_det i),'2623','2623','02', '11000003','00','Request by Mr. Omair Ali 30-Apr-2025');</v>
      </c>
      <c r="H145" s="25" t="str">
        <f t="shared" si="11"/>
        <v>insert into ins_premium_det (premium_rcv_code,assorted_code, rec_amount,premium_rcv_detail_code,remaining_amt, payrec, mode_code,coinsurance_code,class_cd,it_remarks) values('29Apr250042','050000640557','2623',(select max(to_number(i.premium_rcv_detail_code))+1
from ins_premium_det i),'2623','2623','02', '11000003','00','Request by Mr. Omair Ali 30-Apr-2025');</v>
      </c>
    </row>
    <row r="146" spans="1:8" ht="105" x14ac:dyDescent="0.25">
      <c r="A146" t="s">
        <v>153</v>
      </c>
      <c r="B146" s="1" t="str">
        <f>VLOOKUP(A146,Sheet5!B:C,2,0)</f>
        <v>050000641000</v>
      </c>
      <c r="C146" s="13">
        <v>3</v>
      </c>
      <c r="D146" s="22">
        <f t="shared" si="9"/>
        <v>3</v>
      </c>
      <c r="E146" s="21" t="s">
        <v>5912</v>
      </c>
      <c r="F146" s="23" t="str">
        <f t="shared" si="8"/>
        <v>insert into ins_premium_det (premium_rcv_code,assorted_code, rec_amount,premium_rcv_detail_code,remaining_amt, payrec, mode_code,coinsurance_code,class_cd,it_remarks) values</v>
      </c>
      <c r="G146" s="24" t="str">
        <f t="shared" si="10"/>
        <v>('29Apr250042','050000641000','3',(select max(to_number(i.premium_rcv_detail_code))+1
from ins_premium_det i),'3','3','02', '11000003','00','Request by Mr. Omair Ali 30-Apr-2025');</v>
      </c>
      <c r="H146" s="25" t="str">
        <f t="shared" si="11"/>
        <v>insert into ins_premium_det (premium_rcv_code,assorted_code, rec_amount,premium_rcv_detail_code,remaining_amt, payrec, mode_code,coinsurance_code,class_cd,it_remarks) values('29Apr250042','050000641000','3',(select max(to_number(i.premium_rcv_detail_code))+1
from ins_premium_det i),'3','3','02', '11000003','00','Request by Mr. Omair Ali 30-Apr-2025');</v>
      </c>
    </row>
    <row r="147" spans="1:8" ht="105" x14ac:dyDescent="0.25">
      <c r="A147" t="s">
        <v>496</v>
      </c>
      <c r="B147" s="1" t="str">
        <f>VLOOKUP(A147,Sheet5!B:C,2,0)</f>
        <v>050000645703</v>
      </c>
      <c r="C147" s="13">
        <v>53000</v>
      </c>
      <c r="D147" s="22">
        <f t="shared" si="9"/>
        <v>53000</v>
      </c>
      <c r="E147" s="21" t="s">
        <v>5912</v>
      </c>
      <c r="F147" s="23" t="str">
        <f t="shared" si="8"/>
        <v>insert into ins_premium_det (premium_rcv_code,assorted_code, rec_amount,premium_rcv_detail_code,remaining_amt, payrec, mode_code,coinsurance_code,class_cd,it_remarks) values</v>
      </c>
      <c r="G147" s="24" t="str">
        <f t="shared" si="10"/>
        <v>('29Apr250042','050000645703','53000',(select max(to_number(i.premium_rcv_detail_code))+1
from ins_premium_det i),'53000','53000','02', '11000003','00','Request by Mr. Omair Ali 30-Apr-2025');</v>
      </c>
      <c r="H147" s="25" t="str">
        <f t="shared" si="11"/>
        <v>insert into ins_premium_det (premium_rcv_code,assorted_code, rec_amount,premium_rcv_detail_code,remaining_amt, payrec, mode_code,coinsurance_code,class_cd,it_remarks) values('29Apr250042','050000645703','53000',(select max(to_number(i.premium_rcv_detail_code))+1
from ins_premium_det i),'53000','53000','02', '11000003','00','Request by Mr. Omair Ali 30-Apr-2025');</v>
      </c>
    </row>
    <row r="148" spans="1:8" ht="105" x14ac:dyDescent="0.25">
      <c r="A148" t="s">
        <v>499</v>
      </c>
      <c r="B148" s="1" t="str">
        <f>VLOOKUP(A148,Sheet5!B:C,2,0)</f>
        <v>050000645704</v>
      </c>
      <c r="C148" s="13">
        <v>35000</v>
      </c>
      <c r="D148" s="22">
        <f t="shared" si="9"/>
        <v>35000</v>
      </c>
      <c r="E148" s="21" t="s">
        <v>5912</v>
      </c>
      <c r="F148" s="23" t="str">
        <f t="shared" si="8"/>
        <v>insert into ins_premium_det (premium_rcv_code,assorted_code, rec_amount,premium_rcv_detail_code,remaining_amt, payrec, mode_code,coinsurance_code,class_cd,it_remarks) values</v>
      </c>
      <c r="G148" s="24" t="str">
        <f t="shared" si="10"/>
        <v>('29Apr250042','050000645704','35000',(select max(to_number(i.premium_rcv_detail_code))+1
from ins_premium_det i),'35000','35000','02', '11000003','00','Request by Mr. Omair Ali 30-Apr-2025');</v>
      </c>
      <c r="H148" s="25" t="str">
        <f t="shared" si="11"/>
        <v>insert into ins_premium_det (premium_rcv_code,assorted_code, rec_amount,premium_rcv_detail_code,remaining_amt, payrec, mode_code,coinsurance_code,class_cd,it_remarks) values('29Apr250042','050000645704','35000',(select max(to_number(i.premium_rcv_detail_code))+1
from ins_premium_det i),'35000','35000','02', '11000003','00','Request by Mr. Omair Ali 30-Apr-2025');</v>
      </c>
    </row>
    <row r="149" spans="1:8" ht="105" x14ac:dyDescent="0.25">
      <c r="A149" t="s">
        <v>506</v>
      </c>
      <c r="B149" s="1" t="str">
        <f>VLOOKUP(A149,Sheet5!B:C,2,0)</f>
        <v>050000645707</v>
      </c>
      <c r="C149" s="13">
        <v>55000</v>
      </c>
      <c r="D149" s="22">
        <f t="shared" si="9"/>
        <v>55000</v>
      </c>
      <c r="E149" s="21" t="s">
        <v>5912</v>
      </c>
      <c r="F149" s="23" t="str">
        <f t="shared" si="8"/>
        <v>insert into ins_premium_det (premium_rcv_code,assorted_code, rec_amount,premium_rcv_detail_code,remaining_amt, payrec, mode_code,coinsurance_code,class_cd,it_remarks) values</v>
      </c>
      <c r="G149" s="24" t="str">
        <f t="shared" si="10"/>
        <v>('29Apr250042','050000645707','55000',(select max(to_number(i.premium_rcv_detail_code))+1
from ins_premium_det i),'55000','55000','02', '11000003','00','Request by Mr. Omair Ali 30-Apr-2025');</v>
      </c>
      <c r="H149" s="25" t="str">
        <f t="shared" si="11"/>
        <v>insert into ins_premium_det (premium_rcv_code,assorted_code, rec_amount,premium_rcv_detail_code,remaining_amt, payrec, mode_code,coinsurance_code,class_cd,it_remarks) values('29Apr250042','050000645707','55000',(select max(to_number(i.premium_rcv_detail_code))+1
from ins_premium_det i),'55000','55000','02', '11000003','00','Request by Mr. Omair Ali 30-Apr-2025');</v>
      </c>
    </row>
    <row r="150" spans="1:8" ht="105" x14ac:dyDescent="0.25">
      <c r="A150" t="s">
        <v>509</v>
      </c>
      <c r="B150" s="1" t="str">
        <f>VLOOKUP(A150,Sheet5!B:C,2,0)</f>
        <v>050000645708</v>
      </c>
      <c r="C150" s="13">
        <v>135000</v>
      </c>
      <c r="D150" s="22">
        <f t="shared" si="9"/>
        <v>135000</v>
      </c>
      <c r="E150" s="21" t="s">
        <v>5912</v>
      </c>
      <c r="F150" s="23" t="str">
        <f t="shared" si="8"/>
        <v>insert into ins_premium_det (premium_rcv_code,assorted_code, rec_amount,premium_rcv_detail_code,remaining_amt, payrec, mode_code,coinsurance_code,class_cd,it_remarks) values</v>
      </c>
      <c r="G150" s="24" t="str">
        <f t="shared" si="10"/>
        <v>('29Apr250042','050000645708','135000',(select max(to_number(i.premium_rcv_detail_code))+1
from ins_premium_det i),'135000','135000','02', '11000003','00','Request by Mr. Omair Ali 30-Apr-2025');</v>
      </c>
      <c r="H150" s="25" t="str">
        <f t="shared" si="11"/>
        <v>insert into ins_premium_det (premium_rcv_code,assorted_code, rec_amount,premium_rcv_detail_code,remaining_amt, payrec, mode_code,coinsurance_code,class_cd,it_remarks) values('29Apr250042','050000645708','135000',(select max(to_number(i.premium_rcv_detail_code))+1
from ins_premium_det i),'135000','135000','02', '11000003','00','Request by Mr. Omair Ali 30-Apr-2025');</v>
      </c>
    </row>
    <row r="151" spans="1:8" ht="105" x14ac:dyDescent="0.25">
      <c r="A151" t="s">
        <v>516</v>
      </c>
      <c r="B151" s="1" t="str">
        <f>VLOOKUP(A151,Sheet5!B:C,2,0)</f>
        <v>050000645710</v>
      </c>
      <c r="C151" s="13">
        <v>75000</v>
      </c>
      <c r="D151" s="22">
        <f t="shared" si="9"/>
        <v>75000</v>
      </c>
      <c r="E151" s="21" t="s">
        <v>5912</v>
      </c>
      <c r="F151" s="23" t="str">
        <f t="shared" si="8"/>
        <v>insert into ins_premium_det (premium_rcv_code,assorted_code, rec_amount,premium_rcv_detail_code,remaining_amt, payrec, mode_code,coinsurance_code,class_cd,it_remarks) values</v>
      </c>
      <c r="G151" s="24" t="str">
        <f t="shared" si="10"/>
        <v>('29Apr250042','050000645710','75000',(select max(to_number(i.premium_rcv_detail_code))+1
from ins_premium_det i),'75000','75000','02', '11000003','00','Request by Mr. Omair Ali 30-Apr-2025');</v>
      </c>
      <c r="H151" s="25" t="str">
        <f t="shared" si="11"/>
        <v>insert into ins_premium_det (premium_rcv_code,assorted_code, rec_amount,premium_rcv_detail_code,remaining_amt, payrec, mode_code,coinsurance_code,class_cd,it_remarks) values('29Apr250042','050000645710','75000',(select max(to_number(i.premium_rcv_detail_code))+1
from ins_premium_det i),'75000','75000','02', '11000003','00','Request by Mr. Omair Ali 30-Apr-2025');</v>
      </c>
    </row>
    <row r="152" spans="1:8" ht="105" x14ac:dyDescent="0.25">
      <c r="A152" t="s">
        <v>519</v>
      </c>
      <c r="B152" s="1" t="str">
        <f>VLOOKUP(A152,Sheet5!B:C,2,0)</f>
        <v>050000645713</v>
      </c>
      <c r="C152" s="13">
        <v>39000</v>
      </c>
      <c r="D152" s="22">
        <f t="shared" si="9"/>
        <v>39000</v>
      </c>
      <c r="E152" s="21" t="s">
        <v>5912</v>
      </c>
      <c r="F152" s="23" t="str">
        <f t="shared" si="8"/>
        <v>insert into ins_premium_det (premium_rcv_code,assorted_code, rec_amount,premium_rcv_detail_code,remaining_amt, payrec, mode_code,coinsurance_code,class_cd,it_remarks) values</v>
      </c>
      <c r="G152" s="24" t="str">
        <f t="shared" si="10"/>
        <v>('29Apr250042','050000645713','39000',(select max(to_number(i.premium_rcv_detail_code))+1
from ins_premium_det i),'39000','39000','02', '11000003','00','Request by Mr. Omair Ali 30-Apr-2025');</v>
      </c>
      <c r="H152" s="25" t="str">
        <f t="shared" si="11"/>
        <v>insert into ins_premium_det (premium_rcv_code,assorted_code, rec_amount,premium_rcv_detail_code,remaining_amt, payrec, mode_code,coinsurance_code,class_cd,it_remarks) values('29Apr250042','050000645713','39000',(select max(to_number(i.premium_rcv_detail_code))+1
from ins_premium_det i),'39000','39000','02', '11000003','00','Request by Mr. Omair Ali 30-Apr-2025');</v>
      </c>
    </row>
    <row r="153" spans="1:8" ht="105" x14ac:dyDescent="0.25">
      <c r="A153" t="s">
        <v>524</v>
      </c>
      <c r="B153" s="1" t="str">
        <f>VLOOKUP(A153,Sheet5!B:C,2,0)</f>
        <v>050000645714</v>
      </c>
      <c r="C153" s="13">
        <v>61000</v>
      </c>
      <c r="D153" s="22">
        <f t="shared" si="9"/>
        <v>61000</v>
      </c>
      <c r="E153" s="21" t="s">
        <v>5912</v>
      </c>
      <c r="F153" s="23" t="str">
        <f t="shared" si="8"/>
        <v>insert into ins_premium_det (premium_rcv_code,assorted_code, rec_amount,premium_rcv_detail_code,remaining_amt, payrec, mode_code,coinsurance_code,class_cd,it_remarks) values</v>
      </c>
      <c r="G153" s="24" t="str">
        <f t="shared" si="10"/>
        <v>('29Apr250042','050000645714','61000',(select max(to_number(i.premium_rcv_detail_code))+1
from ins_premium_det i),'61000','61000','02', '11000003','00','Request by Mr. Omair Ali 30-Apr-2025');</v>
      </c>
      <c r="H153" s="25" t="str">
        <f t="shared" si="11"/>
        <v>insert into ins_premium_det (premium_rcv_code,assorted_code, rec_amount,premium_rcv_detail_code,remaining_amt, payrec, mode_code,coinsurance_code,class_cd,it_remarks) values('29Apr250042','050000645714','61000',(select max(to_number(i.premium_rcv_detail_code))+1
from ins_premium_det i),'61000','61000','02', '11000003','00','Request by Mr. Omair Ali 30-Apr-2025');</v>
      </c>
    </row>
    <row r="154" spans="1:8" ht="105" x14ac:dyDescent="0.25">
      <c r="A154" t="s">
        <v>538</v>
      </c>
      <c r="B154" s="1" t="str">
        <f>VLOOKUP(A154,Sheet5!B:C,2,0)</f>
        <v>050000645715</v>
      </c>
      <c r="C154" s="13">
        <v>55000</v>
      </c>
      <c r="D154" s="22">
        <f t="shared" si="9"/>
        <v>55000</v>
      </c>
      <c r="E154" s="21" t="s">
        <v>5912</v>
      </c>
      <c r="F154" s="23" t="str">
        <f t="shared" si="8"/>
        <v>insert into ins_premium_det (premium_rcv_code,assorted_code, rec_amount,premium_rcv_detail_code,remaining_amt, payrec, mode_code,coinsurance_code,class_cd,it_remarks) values</v>
      </c>
      <c r="G154" s="24" t="str">
        <f t="shared" si="10"/>
        <v>('29Apr250042','050000645715','55000',(select max(to_number(i.premium_rcv_detail_code))+1
from ins_premium_det i),'55000','55000','02', '11000003','00','Request by Mr. Omair Ali 30-Apr-2025');</v>
      </c>
      <c r="H154" s="25" t="str">
        <f t="shared" si="11"/>
        <v>insert into ins_premium_det (premium_rcv_code,assorted_code, rec_amount,premium_rcv_detail_code,remaining_amt, payrec, mode_code,coinsurance_code,class_cd,it_remarks) values('29Apr250042','050000645715','55000',(select max(to_number(i.premium_rcv_detail_code))+1
from ins_premium_det i),'55000','55000','02', '11000003','00','Request by Mr. Omair Ali 30-Apr-2025');</v>
      </c>
    </row>
    <row r="155" spans="1:8" ht="105" x14ac:dyDescent="0.25">
      <c r="A155" t="s">
        <v>530</v>
      </c>
      <c r="B155" s="1" t="str">
        <f>VLOOKUP(A155,Sheet5!B:C,2,0)</f>
        <v>050000645716</v>
      </c>
      <c r="C155" s="13">
        <v>51000</v>
      </c>
      <c r="D155" s="22">
        <f t="shared" si="9"/>
        <v>51000</v>
      </c>
      <c r="E155" s="21" t="s">
        <v>5912</v>
      </c>
      <c r="F155" s="23" t="str">
        <f t="shared" si="8"/>
        <v>insert into ins_premium_det (premium_rcv_code,assorted_code, rec_amount,premium_rcv_detail_code,remaining_amt, payrec, mode_code,coinsurance_code,class_cd,it_remarks) values</v>
      </c>
      <c r="G155" s="24" t="str">
        <f t="shared" si="10"/>
        <v>('29Apr250042','050000645716','51000',(select max(to_number(i.premium_rcv_detail_code))+1
from ins_premium_det i),'51000','51000','02', '11000003','00','Request by Mr. Omair Ali 30-Apr-2025');</v>
      </c>
      <c r="H155" s="25" t="str">
        <f t="shared" si="11"/>
        <v>insert into ins_premium_det (premium_rcv_code,assorted_code, rec_amount,premium_rcv_detail_code,remaining_amt, payrec, mode_code,coinsurance_code,class_cd,it_remarks) values('29Apr250042','050000645716','51000',(select max(to_number(i.premium_rcv_detail_code))+1
from ins_premium_det i),'51000','51000','02', '11000003','00','Request by Mr. Omair Ali 30-Apr-2025');</v>
      </c>
    </row>
    <row r="156" spans="1:8" ht="105" x14ac:dyDescent="0.25">
      <c r="A156" t="s">
        <v>541</v>
      </c>
      <c r="B156" s="1" t="str">
        <f>VLOOKUP(A156,Sheet5!B:C,2,0)</f>
        <v>050000645718</v>
      </c>
      <c r="C156" s="13">
        <v>45000</v>
      </c>
      <c r="D156" s="22">
        <f t="shared" si="9"/>
        <v>45000</v>
      </c>
      <c r="E156" s="21" t="s">
        <v>5912</v>
      </c>
      <c r="F156" s="23" t="str">
        <f t="shared" si="8"/>
        <v>insert into ins_premium_det (premium_rcv_code,assorted_code, rec_amount,premium_rcv_detail_code,remaining_amt, payrec, mode_code,coinsurance_code,class_cd,it_remarks) values</v>
      </c>
      <c r="G156" s="24" t="str">
        <f t="shared" si="10"/>
        <v>('29Apr250042','050000645718','45000',(select max(to_number(i.premium_rcv_detail_code))+1
from ins_premium_det i),'45000','45000','02', '11000003','00','Request by Mr. Omair Ali 30-Apr-2025');</v>
      </c>
      <c r="H156" s="25" t="str">
        <f t="shared" si="11"/>
        <v>insert into ins_premium_det (premium_rcv_code,assorted_code, rec_amount,premium_rcv_detail_code,remaining_amt, payrec, mode_code,coinsurance_code,class_cd,it_remarks) values('29Apr250042','050000645718','45000',(select max(to_number(i.premium_rcv_detail_code))+1
from ins_premium_det i),'45000','45000','02', '11000003','00','Request by Mr. Omair Ali 30-Apr-2025');</v>
      </c>
    </row>
    <row r="157" spans="1:8" ht="105" x14ac:dyDescent="0.25">
      <c r="A157" t="s">
        <v>548</v>
      </c>
      <c r="B157" s="1" t="str">
        <f>VLOOKUP(A157,Sheet5!B:C,2,0)</f>
        <v>050000645719</v>
      </c>
      <c r="C157" s="13">
        <v>51000</v>
      </c>
      <c r="D157" s="22">
        <f t="shared" si="9"/>
        <v>51000</v>
      </c>
      <c r="E157" s="21" t="s">
        <v>5912</v>
      </c>
      <c r="F157" s="23" t="str">
        <f t="shared" si="8"/>
        <v>insert into ins_premium_det (premium_rcv_code,assorted_code, rec_amount,premium_rcv_detail_code,remaining_amt, payrec, mode_code,coinsurance_code,class_cd,it_remarks) values</v>
      </c>
      <c r="G157" s="24" t="str">
        <f t="shared" si="10"/>
        <v>('29Apr250042','050000645719','51000',(select max(to_number(i.premium_rcv_detail_code))+1
from ins_premium_det i),'51000','51000','02', '11000003','00','Request by Mr. Omair Ali 30-Apr-2025');</v>
      </c>
      <c r="H157" s="25" t="str">
        <f t="shared" si="11"/>
        <v>insert into ins_premium_det (premium_rcv_code,assorted_code, rec_amount,premium_rcv_detail_code,remaining_amt, payrec, mode_code,coinsurance_code,class_cd,it_remarks) values('29Apr250042','050000645719','51000',(select max(to_number(i.premium_rcv_detail_code))+1
from ins_premium_det i),'51000','51000','02', '11000003','00','Request by Mr. Omair Ali 30-Apr-2025');</v>
      </c>
    </row>
    <row r="158" spans="1:8" ht="105" x14ac:dyDescent="0.25">
      <c r="A158" t="s">
        <v>554</v>
      </c>
      <c r="B158" s="1" t="str">
        <f>VLOOKUP(A158,Sheet5!B:C,2,0)</f>
        <v>050000645720</v>
      </c>
      <c r="C158" s="13">
        <v>55000</v>
      </c>
      <c r="D158" s="22">
        <f t="shared" si="9"/>
        <v>55000</v>
      </c>
      <c r="E158" s="21" t="s">
        <v>5912</v>
      </c>
      <c r="F158" s="23" t="str">
        <f t="shared" si="8"/>
        <v>insert into ins_premium_det (premium_rcv_code,assorted_code, rec_amount,premium_rcv_detail_code,remaining_amt, payrec, mode_code,coinsurance_code,class_cd,it_remarks) values</v>
      </c>
      <c r="G158" s="24" t="str">
        <f t="shared" si="10"/>
        <v>('29Apr250042','050000645720','55000',(select max(to_number(i.premium_rcv_detail_code))+1
from ins_premium_det i),'55000','55000','02', '11000003','00','Request by Mr. Omair Ali 30-Apr-2025');</v>
      </c>
      <c r="H158" s="25" t="str">
        <f t="shared" si="11"/>
        <v>insert into ins_premium_det (premium_rcv_code,assorted_code, rec_amount,premium_rcv_detail_code,remaining_amt, payrec, mode_code,coinsurance_code,class_cd,it_remarks) values('29Apr250042','050000645720','55000',(select max(to_number(i.premium_rcv_detail_code))+1
from ins_premium_det i),'55000','55000','02', '11000003','00','Request by Mr. Omair Ali 30-Apr-2025');</v>
      </c>
    </row>
    <row r="159" spans="1:8" ht="105" x14ac:dyDescent="0.25">
      <c r="A159" t="s">
        <v>563</v>
      </c>
      <c r="B159" s="1" t="str">
        <f>VLOOKUP(A159,Sheet5!B:C,2,0)</f>
        <v>050000645724</v>
      </c>
      <c r="C159" s="13">
        <v>39000</v>
      </c>
      <c r="D159" s="22">
        <f t="shared" si="9"/>
        <v>39000</v>
      </c>
      <c r="E159" s="21" t="s">
        <v>5912</v>
      </c>
      <c r="F159" s="23" t="str">
        <f t="shared" si="8"/>
        <v>insert into ins_premium_det (premium_rcv_code,assorted_code, rec_amount,premium_rcv_detail_code,remaining_amt, payrec, mode_code,coinsurance_code,class_cd,it_remarks) values</v>
      </c>
      <c r="G159" s="24" t="str">
        <f t="shared" si="10"/>
        <v>('29Apr250042','050000645724','39000',(select max(to_number(i.premium_rcv_detail_code))+1
from ins_premium_det i),'39000','39000','02', '11000003','00','Request by Mr. Omair Ali 30-Apr-2025');</v>
      </c>
      <c r="H159" s="25" t="str">
        <f t="shared" si="11"/>
        <v>insert into ins_premium_det (premium_rcv_code,assorted_code, rec_amount,premium_rcv_detail_code,remaining_amt, payrec, mode_code,coinsurance_code,class_cd,it_remarks) values('29Apr250042','050000645724','39000',(select max(to_number(i.premium_rcv_detail_code))+1
from ins_premium_det i),'39000','39000','02', '11000003','00','Request by Mr. Omair Ali 30-Apr-2025');</v>
      </c>
    </row>
    <row r="160" spans="1:8" ht="105" x14ac:dyDescent="0.25">
      <c r="A160" t="s">
        <v>569</v>
      </c>
      <c r="B160" s="1" t="str">
        <f>VLOOKUP(A160,Sheet5!B:C,2,0)</f>
        <v>050000645729</v>
      </c>
      <c r="C160" s="13">
        <v>35000</v>
      </c>
      <c r="D160" s="22">
        <f t="shared" si="9"/>
        <v>35000</v>
      </c>
      <c r="E160" s="21" t="s">
        <v>5912</v>
      </c>
      <c r="F160" s="23" t="str">
        <f t="shared" si="8"/>
        <v>insert into ins_premium_det (premium_rcv_code,assorted_code, rec_amount,premium_rcv_detail_code,remaining_amt, payrec, mode_code,coinsurance_code,class_cd,it_remarks) values</v>
      </c>
      <c r="G160" s="24" t="str">
        <f t="shared" si="10"/>
        <v>('29Apr250042','050000645729','35000',(select max(to_number(i.premium_rcv_detail_code))+1
from ins_premium_det i),'35000','35000','02', '11000003','00','Request by Mr. Omair Ali 30-Apr-2025');</v>
      </c>
      <c r="H160" s="25" t="str">
        <f t="shared" si="11"/>
        <v>insert into ins_premium_det (premium_rcv_code,assorted_code, rec_amount,premium_rcv_detail_code,remaining_amt, payrec, mode_code,coinsurance_code,class_cd,it_remarks) values('29Apr250042','050000645729','35000',(select max(to_number(i.premium_rcv_detail_code))+1
from ins_premium_det i),'35000','35000','02', '11000003','00','Request by Mr. Omair Ali 30-Apr-2025');</v>
      </c>
    </row>
    <row r="161" spans="1:8" ht="105" x14ac:dyDescent="0.25">
      <c r="A161" t="s">
        <v>317</v>
      </c>
      <c r="B161" s="1" t="str">
        <f>VLOOKUP(A161,Sheet5!B:C,2,0)</f>
        <v>050000647914</v>
      </c>
      <c r="C161" s="13">
        <v>2769</v>
      </c>
      <c r="D161" s="22">
        <f t="shared" si="9"/>
        <v>2769</v>
      </c>
      <c r="E161" s="21" t="s">
        <v>5912</v>
      </c>
      <c r="F161" s="23" t="str">
        <f t="shared" si="8"/>
        <v>insert into ins_premium_det (premium_rcv_code,assorted_code, rec_amount,premium_rcv_detail_code,remaining_amt, payrec, mode_code,coinsurance_code,class_cd,it_remarks) values</v>
      </c>
      <c r="G161" s="24" t="str">
        <f t="shared" si="10"/>
        <v>('29Apr250042','050000647914','2769',(select max(to_number(i.premium_rcv_detail_code))+1
from ins_premium_det i),'2769','2769','02', '11000003','00','Request by Mr. Omair Ali 30-Apr-2025');</v>
      </c>
      <c r="H161" s="25" t="str">
        <f t="shared" si="11"/>
        <v>insert into ins_premium_det (premium_rcv_code,assorted_code, rec_amount,premium_rcv_detail_code,remaining_amt, payrec, mode_code,coinsurance_code,class_cd,it_remarks) values('29Apr250042','050000647914','2769',(select max(to_number(i.premium_rcv_detail_code))+1
from ins_premium_det i),'2769','2769','02', '11000003','00','Request by Mr. Omair Ali 30-Apr-2025');</v>
      </c>
    </row>
    <row r="162" spans="1:8" ht="105" x14ac:dyDescent="0.25">
      <c r="A162" t="s">
        <v>243</v>
      </c>
      <c r="B162" s="1" t="str">
        <f>VLOOKUP(A162,Sheet5!B:C,2,0)</f>
        <v>050000647939</v>
      </c>
      <c r="C162" s="13">
        <v>6</v>
      </c>
      <c r="D162" s="22">
        <f t="shared" si="9"/>
        <v>6</v>
      </c>
      <c r="E162" s="21" t="s">
        <v>5912</v>
      </c>
      <c r="F162" s="23" t="str">
        <f t="shared" si="8"/>
        <v>insert into ins_premium_det (premium_rcv_code,assorted_code, rec_amount,premium_rcv_detail_code,remaining_amt, payrec, mode_code,coinsurance_code,class_cd,it_remarks) values</v>
      </c>
      <c r="G162" s="24" t="str">
        <f t="shared" si="10"/>
        <v>('29Apr250042','050000647939','6',(select max(to_number(i.premium_rcv_detail_code))+1
from ins_premium_det i),'6','6','02', '11000003','00','Request by Mr. Omair Ali 30-Apr-2025');</v>
      </c>
      <c r="H162" s="25" t="str">
        <f t="shared" si="11"/>
        <v>insert into ins_premium_det (premium_rcv_code,assorted_code, rec_amount,premium_rcv_detail_code,remaining_amt, payrec, mode_code,coinsurance_code,class_cd,it_remarks) values('29Apr250042','050000647939','6',(select max(to_number(i.premium_rcv_detail_code))+1
from ins_premium_det i),'6','6','02', '11000003','00','Request by Mr. Omair Ali 30-Apr-2025');</v>
      </c>
    </row>
    <row r="163" spans="1:8" ht="105" x14ac:dyDescent="0.25">
      <c r="A163" t="s">
        <v>95</v>
      </c>
      <c r="B163" s="1" t="str">
        <f>VLOOKUP(A163,Sheet5!B:C,2,0)</f>
        <v>050000648448</v>
      </c>
      <c r="C163" s="13">
        <v>388</v>
      </c>
      <c r="D163" s="22">
        <f t="shared" si="9"/>
        <v>388</v>
      </c>
      <c r="E163" s="21" t="s">
        <v>5912</v>
      </c>
      <c r="F163" s="23" t="str">
        <f t="shared" si="8"/>
        <v>insert into ins_premium_det (premium_rcv_code,assorted_code, rec_amount,premium_rcv_detail_code,remaining_amt, payrec, mode_code,coinsurance_code,class_cd,it_remarks) values</v>
      </c>
      <c r="G163" s="24" t="str">
        <f t="shared" si="10"/>
        <v>('29Apr250042','050000648448','388',(select max(to_number(i.premium_rcv_detail_code))+1
from ins_premium_det i),'388','388','02', '11000003','00','Request by Mr. Omair Ali 30-Apr-2025');</v>
      </c>
      <c r="H163" s="25" t="str">
        <f t="shared" si="11"/>
        <v>insert into ins_premium_det (premium_rcv_code,assorted_code, rec_amount,premium_rcv_detail_code,remaining_amt, payrec, mode_code,coinsurance_code,class_cd,it_remarks) values('29Apr250042','050000648448','388',(select max(to_number(i.premium_rcv_detail_code))+1
from ins_premium_det i),'388','388','02', '11000003','00','Request by Mr. Omair Ali 30-Apr-2025');</v>
      </c>
    </row>
    <row r="164" spans="1:8" ht="105" x14ac:dyDescent="0.25">
      <c r="A164" t="s">
        <v>388</v>
      </c>
      <c r="B164" s="1" t="str">
        <f>VLOOKUP(A164,Sheet5!B:C,2,0)</f>
        <v>050000652992</v>
      </c>
      <c r="C164" s="13">
        <v>1571</v>
      </c>
      <c r="D164" s="22">
        <f t="shared" si="9"/>
        <v>1571</v>
      </c>
      <c r="E164" s="21" t="s">
        <v>5912</v>
      </c>
      <c r="F164" s="23" t="str">
        <f t="shared" si="8"/>
        <v>insert into ins_premium_det (premium_rcv_code,assorted_code, rec_amount,premium_rcv_detail_code,remaining_amt, payrec, mode_code,coinsurance_code,class_cd,it_remarks) values</v>
      </c>
      <c r="G164" s="24" t="str">
        <f t="shared" si="10"/>
        <v>('29Apr250042','050000652992','1571',(select max(to_number(i.premium_rcv_detail_code))+1
from ins_premium_det i),'1571','1571','02', '11000003','00','Request by Mr. Omair Ali 30-Apr-2025');</v>
      </c>
      <c r="H164" s="25" t="str">
        <f t="shared" si="11"/>
        <v>insert into ins_premium_det (premium_rcv_code,assorted_code, rec_amount,premium_rcv_detail_code,remaining_amt, payrec, mode_code,coinsurance_code,class_cd,it_remarks) values('29Apr250042','050000652992','1571',(select max(to_number(i.premium_rcv_detail_code))+1
from ins_premium_det i),'1571','1571','02', '11000003','00','Request by Mr. Omair Ali 30-Apr-2025');</v>
      </c>
    </row>
    <row r="165" spans="1:8" ht="105" x14ac:dyDescent="0.25">
      <c r="A165" t="s">
        <v>402</v>
      </c>
      <c r="B165" s="1" t="str">
        <f>VLOOKUP(A165,Sheet5!B:C,2,0)</f>
        <v>050000652993</v>
      </c>
      <c r="C165" s="13">
        <v>617</v>
      </c>
      <c r="D165" s="22">
        <f t="shared" si="9"/>
        <v>617</v>
      </c>
      <c r="E165" s="21" t="s">
        <v>5912</v>
      </c>
      <c r="F165" s="23" t="str">
        <f t="shared" si="8"/>
        <v>insert into ins_premium_det (premium_rcv_code,assorted_code, rec_amount,premium_rcv_detail_code,remaining_amt, payrec, mode_code,coinsurance_code,class_cd,it_remarks) values</v>
      </c>
      <c r="G165" s="24" t="str">
        <f t="shared" si="10"/>
        <v>('29Apr250042','050000652993','617',(select max(to_number(i.premium_rcv_detail_code))+1
from ins_premium_det i),'617','617','02', '11000003','00','Request by Mr. Omair Ali 30-Apr-2025');</v>
      </c>
      <c r="H165" s="25" t="str">
        <f t="shared" si="11"/>
        <v>insert into ins_premium_det (premium_rcv_code,assorted_code, rec_amount,premium_rcv_detail_code,remaining_amt, payrec, mode_code,coinsurance_code,class_cd,it_remarks) values('29Apr250042','050000652993','617',(select max(to_number(i.premium_rcv_detail_code))+1
from ins_premium_det i),'617','617','02', '11000003','00','Request by Mr. Omair Ali 30-Apr-2025');</v>
      </c>
    </row>
    <row r="166" spans="1:8" ht="105" x14ac:dyDescent="0.25">
      <c r="A166" t="s">
        <v>574</v>
      </c>
      <c r="B166" s="1" t="str">
        <f>VLOOKUP(A166,Sheet5!B:C,2,0)</f>
        <v>050000653468</v>
      </c>
      <c r="C166" s="13">
        <v>113000</v>
      </c>
      <c r="D166" s="22">
        <f t="shared" si="9"/>
        <v>113000</v>
      </c>
      <c r="E166" s="21" t="s">
        <v>5912</v>
      </c>
      <c r="F166" s="23" t="str">
        <f t="shared" si="8"/>
        <v>insert into ins_premium_det (premium_rcv_code,assorted_code, rec_amount,premium_rcv_detail_code,remaining_amt, payrec, mode_code,coinsurance_code,class_cd,it_remarks) values</v>
      </c>
      <c r="G166" s="24" t="str">
        <f t="shared" si="10"/>
        <v>('29Apr250042','050000653468','113000',(select max(to_number(i.premium_rcv_detail_code))+1
from ins_premium_det i),'113000','113000','02', '11000003','00','Request by Mr. Omair Ali 30-Apr-2025');</v>
      </c>
      <c r="H166" s="25" t="str">
        <f t="shared" si="11"/>
        <v>insert into ins_premium_det (premium_rcv_code,assorted_code, rec_amount,premium_rcv_detail_code,remaining_amt, payrec, mode_code,coinsurance_code,class_cd,it_remarks) values('29Apr250042','050000653468','113000',(select max(to_number(i.premium_rcv_detail_code))+1
from ins_premium_det i),'113000','113000','02', '11000003','00','Request by Mr. Omair Ali 30-Apr-2025');</v>
      </c>
    </row>
    <row r="167" spans="1:8" ht="105" x14ac:dyDescent="0.25">
      <c r="A167" t="s">
        <v>581</v>
      </c>
      <c r="B167" s="1" t="str">
        <f>VLOOKUP(A167,Sheet5!B:C,2,0)</f>
        <v>050000653470</v>
      </c>
      <c r="C167" s="13">
        <v>58900</v>
      </c>
      <c r="D167" s="22">
        <f t="shared" si="9"/>
        <v>58900</v>
      </c>
      <c r="E167" s="21" t="s">
        <v>5912</v>
      </c>
      <c r="F167" s="23" t="str">
        <f t="shared" si="8"/>
        <v>insert into ins_premium_det (premium_rcv_code,assorted_code, rec_amount,premium_rcv_detail_code,remaining_amt, payrec, mode_code,coinsurance_code,class_cd,it_remarks) values</v>
      </c>
      <c r="G167" s="24" t="str">
        <f t="shared" si="10"/>
        <v>('29Apr250042','050000653470','58900',(select max(to_number(i.premium_rcv_detail_code))+1
from ins_premium_det i),'58900','58900','02', '11000003','00','Request by Mr. Omair Ali 30-Apr-2025');</v>
      </c>
      <c r="H167" s="25" t="str">
        <f t="shared" si="11"/>
        <v>insert into ins_premium_det (premium_rcv_code,assorted_code, rec_amount,premium_rcv_detail_code,remaining_amt, payrec, mode_code,coinsurance_code,class_cd,it_remarks) values('29Apr250042','050000653470','58900',(select max(to_number(i.premium_rcv_detail_code))+1
from ins_premium_det i),'58900','58900','02', '11000003','00','Request by Mr. Omair Ali 30-Apr-2025');</v>
      </c>
    </row>
    <row r="168" spans="1:8" ht="105" x14ac:dyDescent="0.25">
      <c r="A168" t="s">
        <v>578</v>
      </c>
      <c r="B168" s="1" t="str">
        <f>VLOOKUP(A168,Sheet5!B:C,2,0)</f>
        <v>050000653472</v>
      </c>
      <c r="C168" s="13">
        <v>45000</v>
      </c>
      <c r="D168" s="22">
        <f t="shared" si="9"/>
        <v>45000</v>
      </c>
      <c r="E168" s="21" t="s">
        <v>5912</v>
      </c>
      <c r="F168" s="23" t="str">
        <f t="shared" si="8"/>
        <v>insert into ins_premium_det (premium_rcv_code,assorted_code, rec_amount,premium_rcv_detail_code,remaining_amt, payrec, mode_code,coinsurance_code,class_cd,it_remarks) values</v>
      </c>
      <c r="G168" s="24" t="str">
        <f t="shared" si="10"/>
        <v>('29Apr250042','050000653472','45000',(select max(to_number(i.premium_rcv_detail_code))+1
from ins_premium_det i),'45000','45000','02', '11000003','00','Request by Mr. Omair Ali 30-Apr-2025');</v>
      </c>
      <c r="H168" s="25" t="str">
        <f t="shared" si="11"/>
        <v>insert into ins_premium_det (premium_rcv_code,assorted_code, rec_amount,premium_rcv_detail_code,remaining_amt, payrec, mode_code,coinsurance_code,class_cd,it_remarks) values('29Apr250042','050000653472','45000',(select max(to_number(i.premium_rcv_detail_code))+1
from ins_premium_det i),'45000','45000','02', '11000003','00','Request by Mr. Omair Ali 30-Apr-2025');</v>
      </c>
    </row>
    <row r="169" spans="1:8" ht="105" x14ac:dyDescent="0.25">
      <c r="A169" t="s">
        <v>596</v>
      </c>
      <c r="B169" s="1" t="str">
        <f>VLOOKUP(A169,Sheet5!B:C,2,0)</f>
        <v>050000653474</v>
      </c>
      <c r="C169" s="13">
        <v>39000</v>
      </c>
      <c r="D169" s="22">
        <f t="shared" si="9"/>
        <v>39000</v>
      </c>
      <c r="E169" s="21" t="s">
        <v>5912</v>
      </c>
      <c r="F169" s="23" t="str">
        <f t="shared" si="8"/>
        <v>insert into ins_premium_det (premium_rcv_code,assorted_code, rec_amount,premium_rcv_detail_code,remaining_amt, payrec, mode_code,coinsurance_code,class_cd,it_remarks) values</v>
      </c>
      <c r="G169" s="24" t="str">
        <f t="shared" si="10"/>
        <v>('29Apr250042','050000653474','39000',(select max(to_number(i.premium_rcv_detail_code))+1
from ins_premium_det i),'39000','39000','02', '11000003','00','Request by Mr. Omair Ali 30-Apr-2025');</v>
      </c>
      <c r="H169" s="25" t="str">
        <f t="shared" si="11"/>
        <v>insert into ins_premium_det (premium_rcv_code,assorted_code, rec_amount,premium_rcv_detail_code,remaining_amt, payrec, mode_code,coinsurance_code,class_cd,it_remarks) values('29Apr250042','050000653474','39000',(select max(to_number(i.premium_rcv_detail_code))+1
from ins_premium_det i),'39000','39000','02', '11000003','00','Request by Mr. Omair Ali 30-Apr-2025');</v>
      </c>
    </row>
    <row r="170" spans="1:8" ht="105" x14ac:dyDescent="0.25">
      <c r="A170" t="s">
        <v>607</v>
      </c>
      <c r="B170" s="1" t="str">
        <f>VLOOKUP(A170,Sheet5!B:C,2,0)</f>
        <v>050000653476</v>
      </c>
      <c r="C170" s="13">
        <v>85990</v>
      </c>
      <c r="D170" s="22">
        <f t="shared" si="9"/>
        <v>85990</v>
      </c>
      <c r="E170" s="21" t="s">
        <v>5912</v>
      </c>
      <c r="F170" s="23" t="str">
        <f t="shared" si="8"/>
        <v>insert into ins_premium_det (premium_rcv_code,assorted_code, rec_amount,premium_rcv_detail_code,remaining_amt, payrec, mode_code,coinsurance_code,class_cd,it_remarks) values</v>
      </c>
      <c r="G170" s="24" t="str">
        <f t="shared" si="10"/>
        <v>('29Apr250042','050000653476','85990',(select max(to_number(i.premium_rcv_detail_code))+1
from ins_premium_det i),'85990','85990','02', '11000003','00','Request by Mr. Omair Ali 30-Apr-2025');</v>
      </c>
      <c r="H170" s="25" t="str">
        <f t="shared" si="11"/>
        <v>insert into ins_premium_det (premium_rcv_code,assorted_code, rec_amount,premium_rcv_detail_code,remaining_amt, payrec, mode_code,coinsurance_code,class_cd,it_remarks) values('29Apr250042','050000653476','85990',(select max(to_number(i.premium_rcv_detail_code))+1
from ins_premium_det i),'85990','85990','02', '11000003','00','Request by Mr. Omair Ali 30-Apr-2025');</v>
      </c>
    </row>
    <row r="171" spans="1:8" ht="105" x14ac:dyDescent="0.25">
      <c r="A171" t="s">
        <v>603</v>
      </c>
      <c r="B171" s="1" t="str">
        <f>VLOOKUP(A171,Sheet5!B:C,2,0)</f>
        <v>050000653477</v>
      </c>
      <c r="C171" s="13">
        <v>85000</v>
      </c>
      <c r="D171" s="22">
        <f t="shared" si="9"/>
        <v>85000</v>
      </c>
      <c r="E171" s="21" t="s">
        <v>5912</v>
      </c>
      <c r="F171" s="23" t="str">
        <f t="shared" si="8"/>
        <v>insert into ins_premium_det (premium_rcv_code,assorted_code, rec_amount,premium_rcv_detail_code,remaining_amt, payrec, mode_code,coinsurance_code,class_cd,it_remarks) values</v>
      </c>
      <c r="G171" s="24" t="str">
        <f t="shared" si="10"/>
        <v>('29Apr250042','050000653477','85000',(select max(to_number(i.premium_rcv_detail_code))+1
from ins_premium_det i),'85000','85000','02', '11000003','00','Request by Mr. Omair Ali 30-Apr-2025');</v>
      </c>
      <c r="H171" s="25" t="str">
        <f t="shared" si="11"/>
        <v>insert into ins_premium_det (premium_rcv_code,assorted_code, rec_amount,premium_rcv_detail_code,remaining_amt, payrec, mode_code,coinsurance_code,class_cd,it_remarks) values('29Apr250042','050000653477','85000',(select max(to_number(i.premium_rcv_detail_code))+1
from ins_premium_det i),'85000','85000','02', '11000003','00','Request by Mr. Omair Ali 30-Apr-2025');</v>
      </c>
    </row>
    <row r="172" spans="1:8" ht="105" x14ac:dyDescent="0.25">
      <c r="A172" t="s">
        <v>615</v>
      </c>
      <c r="B172" s="1" t="str">
        <f>VLOOKUP(A172,Sheet5!B:C,2,0)</f>
        <v>050000653483</v>
      </c>
      <c r="C172" s="13">
        <v>65000</v>
      </c>
      <c r="D172" s="22">
        <f t="shared" si="9"/>
        <v>65000</v>
      </c>
      <c r="E172" s="21" t="s">
        <v>5912</v>
      </c>
      <c r="F172" s="23" t="str">
        <f t="shared" si="8"/>
        <v>insert into ins_premium_det (premium_rcv_code,assorted_code, rec_amount,premium_rcv_detail_code,remaining_amt, payrec, mode_code,coinsurance_code,class_cd,it_remarks) values</v>
      </c>
      <c r="G172" s="24" t="str">
        <f t="shared" si="10"/>
        <v>('29Apr250042','050000653483','65000',(select max(to_number(i.premium_rcv_detail_code))+1
from ins_premium_det i),'65000','65000','02', '11000003','00','Request by Mr. Omair Ali 30-Apr-2025');</v>
      </c>
      <c r="H172" s="25" t="str">
        <f t="shared" si="11"/>
        <v>insert into ins_premium_det (premium_rcv_code,assorted_code, rec_amount,premium_rcv_detail_code,remaining_amt, payrec, mode_code,coinsurance_code,class_cd,it_remarks) values('29Apr250042','050000653483','65000',(select max(to_number(i.premium_rcv_detail_code))+1
from ins_premium_det i),'65000','65000','02', '11000003','00','Request by Mr. Omair Ali 30-Apr-2025');</v>
      </c>
    </row>
    <row r="173" spans="1:8" ht="105" x14ac:dyDescent="0.25">
      <c r="A173" t="s">
        <v>625</v>
      </c>
      <c r="B173" s="1" t="str">
        <f>VLOOKUP(A173,Sheet5!B:C,2,0)</f>
        <v>050000653486</v>
      </c>
      <c r="C173" s="13">
        <v>39000</v>
      </c>
      <c r="D173" s="22">
        <f t="shared" si="9"/>
        <v>39000</v>
      </c>
      <c r="E173" s="21" t="s">
        <v>5912</v>
      </c>
      <c r="F173" s="23" t="str">
        <f t="shared" si="8"/>
        <v>insert into ins_premium_det (premium_rcv_code,assorted_code, rec_amount,premium_rcv_detail_code,remaining_amt, payrec, mode_code,coinsurance_code,class_cd,it_remarks) values</v>
      </c>
      <c r="G173" s="24" t="str">
        <f t="shared" si="10"/>
        <v>('29Apr250042','050000653486','39000',(select max(to_number(i.premium_rcv_detail_code))+1
from ins_premium_det i),'39000','39000','02', '11000003','00','Request by Mr. Omair Ali 30-Apr-2025');</v>
      </c>
      <c r="H173" s="25" t="str">
        <f t="shared" si="11"/>
        <v>insert into ins_premium_det (premium_rcv_code,assorted_code, rec_amount,premium_rcv_detail_code,remaining_amt, payrec, mode_code,coinsurance_code,class_cd,it_remarks) values('29Apr250042','050000653486','39000',(select max(to_number(i.premium_rcv_detail_code))+1
from ins_premium_det i),'39000','39000','02', '11000003','00','Request by Mr. Omair Ali 30-Apr-2025');</v>
      </c>
    </row>
    <row r="174" spans="1:8" ht="105" x14ac:dyDescent="0.25">
      <c r="A174" t="s">
        <v>629</v>
      </c>
      <c r="B174" s="1" t="str">
        <f>VLOOKUP(A174,Sheet5!B:C,2,0)</f>
        <v>050000653488</v>
      </c>
      <c r="C174" s="13">
        <v>75000</v>
      </c>
      <c r="D174" s="22">
        <f t="shared" si="9"/>
        <v>75000</v>
      </c>
      <c r="E174" s="21" t="s">
        <v>5912</v>
      </c>
      <c r="F174" s="23" t="str">
        <f t="shared" si="8"/>
        <v>insert into ins_premium_det (premium_rcv_code,assorted_code, rec_amount,premium_rcv_detail_code,remaining_amt, payrec, mode_code,coinsurance_code,class_cd,it_remarks) values</v>
      </c>
      <c r="G174" s="24" t="str">
        <f t="shared" si="10"/>
        <v>('29Apr250042','050000653488','75000',(select max(to_number(i.premium_rcv_detail_code))+1
from ins_premium_det i),'75000','75000','02', '11000003','00','Request by Mr. Omair Ali 30-Apr-2025');</v>
      </c>
      <c r="H174" s="25" t="str">
        <f t="shared" si="11"/>
        <v>insert into ins_premium_det (premium_rcv_code,assorted_code, rec_amount,premium_rcv_detail_code,remaining_amt, payrec, mode_code,coinsurance_code,class_cd,it_remarks) values('29Apr250042','050000653488','75000',(select max(to_number(i.premium_rcv_detail_code))+1
from ins_premium_det i),'75000','75000','02', '11000003','00','Request by Mr. Omair Ali 30-Apr-2025');</v>
      </c>
    </row>
    <row r="175" spans="1:8" ht="105" x14ac:dyDescent="0.25">
      <c r="A175" t="s">
        <v>637</v>
      </c>
      <c r="B175" s="1" t="str">
        <f>VLOOKUP(A175,Sheet5!B:C,2,0)</f>
        <v>050000653489</v>
      </c>
      <c r="C175" s="13">
        <v>195000</v>
      </c>
      <c r="D175" s="22">
        <f t="shared" si="9"/>
        <v>195000</v>
      </c>
      <c r="E175" s="21" t="s">
        <v>5912</v>
      </c>
      <c r="F175" s="23" t="str">
        <f t="shared" si="8"/>
        <v>insert into ins_premium_det (premium_rcv_code,assorted_code, rec_amount,premium_rcv_detail_code,remaining_amt, payrec, mode_code,coinsurance_code,class_cd,it_remarks) values</v>
      </c>
      <c r="G175" s="24" t="str">
        <f t="shared" si="10"/>
        <v>('29Apr250042','050000653489','195000',(select max(to_number(i.premium_rcv_detail_code))+1
from ins_premium_det i),'195000','195000','02', '11000003','00','Request by Mr. Omair Ali 30-Apr-2025');</v>
      </c>
      <c r="H175" s="25" t="str">
        <f t="shared" si="11"/>
        <v>insert into ins_premium_det (premium_rcv_code,assorted_code, rec_amount,premium_rcv_detail_code,remaining_amt, payrec, mode_code,coinsurance_code,class_cd,it_remarks) values('29Apr250042','050000653489','195000',(select max(to_number(i.premium_rcv_detail_code))+1
from ins_premium_det i),'195000','195000','02', '11000003','00','Request by Mr. Omair Ali 30-Apr-2025');</v>
      </c>
    </row>
    <row r="176" spans="1:8" ht="105" x14ac:dyDescent="0.25">
      <c r="A176" t="s">
        <v>644</v>
      </c>
      <c r="B176" s="1" t="str">
        <f>VLOOKUP(A176,Sheet5!B:C,2,0)</f>
        <v>050000653491</v>
      </c>
      <c r="C176" s="13">
        <v>55000</v>
      </c>
      <c r="D176" s="22">
        <f t="shared" si="9"/>
        <v>55000</v>
      </c>
      <c r="E176" s="21" t="s">
        <v>5912</v>
      </c>
      <c r="F176" s="23" t="str">
        <f t="shared" si="8"/>
        <v>insert into ins_premium_det (premium_rcv_code,assorted_code, rec_amount,premium_rcv_detail_code,remaining_amt, payrec, mode_code,coinsurance_code,class_cd,it_remarks) values</v>
      </c>
      <c r="G176" s="24" t="str">
        <f t="shared" si="10"/>
        <v>('29Apr250042','050000653491','55000',(select max(to_number(i.premium_rcv_detail_code))+1
from ins_premium_det i),'55000','55000','02', '11000003','00','Request by Mr. Omair Ali 30-Apr-2025');</v>
      </c>
      <c r="H176" s="25" t="str">
        <f t="shared" si="11"/>
        <v>insert into ins_premium_det (premium_rcv_code,assorted_code, rec_amount,premium_rcv_detail_code,remaining_amt, payrec, mode_code,coinsurance_code,class_cd,it_remarks) values('29Apr250042','050000653491','55000',(select max(to_number(i.premium_rcv_detail_code))+1
from ins_premium_det i),'55000','55000','02', '11000003','00','Request by Mr. Omair Ali 30-Apr-2025');</v>
      </c>
    </row>
    <row r="177" spans="1:8" ht="105" x14ac:dyDescent="0.25">
      <c r="A177" t="s">
        <v>664</v>
      </c>
      <c r="B177" s="1" t="str">
        <f>VLOOKUP(A177,Sheet5!B:C,2,0)</f>
        <v>050000653495</v>
      </c>
      <c r="C177" s="13">
        <v>175000</v>
      </c>
      <c r="D177" s="22">
        <f t="shared" si="9"/>
        <v>175000</v>
      </c>
      <c r="E177" s="21" t="s">
        <v>5912</v>
      </c>
      <c r="F177" s="23" t="str">
        <f t="shared" si="8"/>
        <v>insert into ins_premium_det (premium_rcv_code,assorted_code, rec_amount,premium_rcv_detail_code,remaining_amt, payrec, mode_code,coinsurance_code,class_cd,it_remarks) values</v>
      </c>
      <c r="G177" s="24" t="str">
        <f t="shared" si="10"/>
        <v>('29Apr250042','050000653495','175000',(select max(to_number(i.premium_rcv_detail_code))+1
from ins_premium_det i),'175000','175000','02', '11000003','00','Request by Mr. Omair Ali 30-Apr-2025');</v>
      </c>
      <c r="H177" s="25" t="str">
        <f t="shared" si="11"/>
        <v>insert into ins_premium_det (premium_rcv_code,assorted_code, rec_amount,premium_rcv_detail_code,remaining_amt, payrec, mode_code,coinsurance_code,class_cd,it_remarks) values('29Apr250042','050000653495','175000',(select max(to_number(i.premium_rcv_detail_code))+1
from ins_premium_det i),'175000','175000','02', '11000003','00','Request by Mr. Omair Ali 30-Apr-2025');</v>
      </c>
    </row>
    <row r="178" spans="1:8" ht="105" x14ac:dyDescent="0.25">
      <c r="A178" t="s">
        <v>672</v>
      </c>
      <c r="B178" s="1" t="str">
        <f>VLOOKUP(A178,Sheet5!B:C,2,0)</f>
        <v>050000653496</v>
      </c>
      <c r="C178" s="13">
        <v>89000</v>
      </c>
      <c r="D178" s="22">
        <f t="shared" si="9"/>
        <v>89000</v>
      </c>
      <c r="E178" s="21" t="s">
        <v>5912</v>
      </c>
      <c r="F178" s="23" t="str">
        <f t="shared" si="8"/>
        <v>insert into ins_premium_det (premium_rcv_code,assorted_code, rec_amount,premium_rcv_detail_code,remaining_amt, payrec, mode_code,coinsurance_code,class_cd,it_remarks) values</v>
      </c>
      <c r="G178" s="24" t="str">
        <f t="shared" si="10"/>
        <v>('29Apr250042','050000653496','89000',(select max(to_number(i.premium_rcv_detail_code))+1
from ins_premium_det i),'89000','89000','02', '11000003','00','Request by Mr. Omair Ali 30-Apr-2025');</v>
      </c>
      <c r="H178" s="25" t="str">
        <f t="shared" si="11"/>
        <v>insert into ins_premium_det (premium_rcv_code,assorted_code, rec_amount,premium_rcv_detail_code,remaining_amt, payrec, mode_code,coinsurance_code,class_cd,it_remarks) values('29Apr250042','050000653496','89000',(select max(to_number(i.premium_rcv_detail_code))+1
from ins_premium_det i),'89000','89000','02', '11000003','00','Request by Mr. Omair Ali 30-Apr-2025');</v>
      </c>
    </row>
    <row r="179" spans="1:8" ht="105" x14ac:dyDescent="0.25">
      <c r="A179" t="s">
        <v>655</v>
      </c>
      <c r="B179" s="1" t="str">
        <f>VLOOKUP(A179,Sheet5!B:C,2,0)</f>
        <v>050000653497</v>
      </c>
      <c r="C179" s="13">
        <v>75000</v>
      </c>
      <c r="D179" s="22">
        <f t="shared" si="9"/>
        <v>75000</v>
      </c>
      <c r="E179" s="21" t="s">
        <v>5912</v>
      </c>
      <c r="F179" s="23" t="str">
        <f t="shared" si="8"/>
        <v>insert into ins_premium_det (premium_rcv_code,assorted_code, rec_amount,premium_rcv_detail_code,remaining_amt, payrec, mode_code,coinsurance_code,class_cd,it_remarks) values</v>
      </c>
      <c r="G179" s="24" t="str">
        <f t="shared" si="10"/>
        <v>('29Apr250042','050000653497','75000',(select max(to_number(i.premium_rcv_detail_code))+1
from ins_premium_det i),'75000','75000','02', '11000003','00','Request by Mr. Omair Ali 30-Apr-2025');</v>
      </c>
      <c r="H179" s="25" t="str">
        <f t="shared" si="11"/>
        <v>insert into ins_premium_det (premium_rcv_code,assorted_code, rec_amount,premium_rcv_detail_code,remaining_amt, payrec, mode_code,coinsurance_code,class_cd,it_remarks) values('29Apr250042','050000653497','75000',(select max(to_number(i.premium_rcv_detail_code))+1
from ins_premium_det i),'75000','75000','02', '11000003','00','Request by Mr. Omair Ali 30-Apr-2025');</v>
      </c>
    </row>
    <row r="180" spans="1:8" ht="105" x14ac:dyDescent="0.25">
      <c r="A180" t="s">
        <v>679</v>
      </c>
      <c r="B180" s="1" t="str">
        <f>VLOOKUP(A180,Sheet5!B:C,2,0)</f>
        <v>050000653498</v>
      </c>
      <c r="C180" s="13">
        <v>65000</v>
      </c>
      <c r="D180" s="22">
        <f t="shared" si="9"/>
        <v>65000</v>
      </c>
      <c r="E180" s="21" t="s">
        <v>5912</v>
      </c>
      <c r="F180" s="23" t="str">
        <f t="shared" si="8"/>
        <v>insert into ins_premium_det (premium_rcv_code,assorted_code, rec_amount,premium_rcv_detail_code,remaining_amt, payrec, mode_code,coinsurance_code,class_cd,it_remarks) values</v>
      </c>
      <c r="G180" s="24" t="str">
        <f t="shared" si="10"/>
        <v>('29Apr250042','050000653498','65000',(select max(to_number(i.premium_rcv_detail_code))+1
from ins_premium_det i),'65000','65000','02', '11000003','00','Request by Mr. Omair Ali 30-Apr-2025');</v>
      </c>
      <c r="H180" s="25" t="str">
        <f t="shared" si="11"/>
        <v>insert into ins_premium_det (premium_rcv_code,assorted_code, rec_amount,premium_rcv_detail_code,remaining_amt, payrec, mode_code,coinsurance_code,class_cd,it_remarks) values('29Apr250042','050000653498','65000',(select max(to_number(i.premium_rcv_detail_code))+1
from ins_premium_det i),'65000','65000','02', '11000003','00','Request by Mr. Omair Ali 30-Apr-2025');</v>
      </c>
    </row>
    <row r="181" spans="1:8" ht="105" x14ac:dyDescent="0.25">
      <c r="A181" t="s">
        <v>683</v>
      </c>
      <c r="B181" s="1" t="str">
        <f>VLOOKUP(A181,Sheet5!B:C,2,0)</f>
        <v>050000653500</v>
      </c>
      <c r="C181" s="13">
        <v>43000</v>
      </c>
      <c r="D181" s="22">
        <f t="shared" si="9"/>
        <v>43000</v>
      </c>
      <c r="E181" s="21" t="s">
        <v>5912</v>
      </c>
      <c r="F181" s="23" t="str">
        <f t="shared" si="8"/>
        <v>insert into ins_premium_det (premium_rcv_code,assorted_code, rec_amount,premium_rcv_detail_code,remaining_amt, payrec, mode_code,coinsurance_code,class_cd,it_remarks) values</v>
      </c>
      <c r="G181" s="24" t="str">
        <f t="shared" si="10"/>
        <v>('29Apr250042','050000653500','43000',(select max(to_number(i.premium_rcv_detail_code))+1
from ins_premium_det i),'43000','43000','02', '11000003','00','Request by Mr. Omair Ali 30-Apr-2025');</v>
      </c>
      <c r="H181" s="25" t="str">
        <f t="shared" si="11"/>
        <v>insert into ins_premium_det (premium_rcv_code,assorted_code, rec_amount,premium_rcv_detail_code,remaining_amt, payrec, mode_code,coinsurance_code,class_cd,it_remarks) values('29Apr250042','050000653500','43000',(select max(to_number(i.premium_rcv_detail_code))+1
from ins_premium_det i),'43000','43000','02', '11000003','00','Request by Mr. Omair Ali 30-Apr-2025');</v>
      </c>
    </row>
    <row r="182" spans="1:8" ht="105" x14ac:dyDescent="0.25">
      <c r="A182" t="s">
        <v>687</v>
      </c>
      <c r="B182" s="1" t="str">
        <f>VLOOKUP(A182,Sheet5!B:C,2,0)</f>
        <v>050000653501</v>
      </c>
      <c r="C182" s="13">
        <v>51000</v>
      </c>
      <c r="D182" s="22">
        <f t="shared" si="9"/>
        <v>51000</v>
      </c>
      <c r="E182" s="21" t="s">
        <v>5912</v>
      </c>
      <c r="F182" s="23" t="str">
        <f t="shared" si="8"/>
        <v>insert into ins_premium_det (premium_rcv_code,assorted_code, rec_amount,premium_rcv_detail_code,remaining_amt, payrec, mode_code,coinsurance_code,class_cd,it_remarks) values</v>
      </c>
      <c r="G182" s="24" t="str">
        <f t="shared" si="10"/>
        <v>('29Apr250042','050000653501','51000',(select max(to_number(i.premium_rcv_detail_code))+1
from ins_premium_det i),'51000','51000','02', '11000003','00','Request by Mr. Omair Ali 30-Apr-2025');</v>
      </c>
      <c r="H182" s="25" t="str">
        <f t="shared" si="11"/>
        <v>insert into ins_premium_det (premium_rcv_code,assorted_code, rec_amount,premium_rcv_detail_code,remaining_amt, payrec, mode_code,coinsurance_code,class_cd,it_remarks) values('29Apr250042','050000653501','51000',(select max(to_number(i.premium_rcv_detail_code))+1
from ins_premium_det i),'51000','51000','02', '11000003','00','Request by Mr. Omair Ali 30-Apr-2025');</v>
      </c>
    </row>
    <row r="183" spans="1:8" ht="105" x14ac:dyDescent="0.25">
      <c r="A183" t="s">
        <v>691</v>
      </c>
      <c r="B183" s="1" t="str">
        <f>VLOOKUP(A183,Sheet5!B:C,2,0)</f>
        <v>050000653502</v>
      </c>
      <c r="C183" s="13">
        <v>155000</v>
      </c>
      <c r="D183" s="22">
        <f t="shared" si="9"/>
        <v>155000</v>
      </c>
      <c r="E183" s="21" t="s">
        <v>5912</v>
      </c>
      <c r="F183" s="23" t="str">
        <f t="shared" si="8"/>
        <v>insert into ins_premium_det (premium_rcv_code,assorted_code, rec_amount,premium_rcv_detail_code,remaining_amt, payrec, mode_code,coinsurance_code,class_cd,it_remarks) values</v>
      </c>
      <c r="G183" s="24" t="str">
        <f t="shared" si="10"/>
        <v>('29Apr250042','050000653502','155000',(select max(to_number(i.premium_rcv_detail_code))+1
from ins_premium_det i),'155000','155000','02', '11000003','00','Request by Mr. Omair Ali 30-Apr-2025');</v>
      </c>
      <c r="H183" s="25" t="str">
        <f t="shared" si="11"/>
        <v>insert into ins_premium_det (premium_rcv_code,assorted_code, rec_amount,premium_rcv_detail_code,remaining_amt, payrec, mode_code,coinsurance_code,class_cd,it_remarks) values('29Apr250042','050000653502','155000',(select max(to_number(i.premium_rcv_detail_code))+1
from ins_premium_det i),'155000','155000','02', '11000003','00','Request by Mr. Omair Ali 30-Apr-2025');</v>
      </c>
    </row>
    <row r="184" spans="1:8" ht="105" x14ac:dyDescent="0.25">
      <c r="A184" t="s">
        <v>697</v>
      </c>
      <c r="B184" s="1" t="str">
        <f>VLOOKUP(A184,Sheet5!B:C,2,0)</f>
        <v>050000653503</v>
      </c>
      <c r="C184" s="13">
        <v>45000</v>
      </c>
      <c r="D184" s="22">
        <f t="shared" si="9"/>
        <v>45000</v>
      </c>
      <c r="E184" s="21" t="s">
        <v>5912</v>
      </c>
      <c r="F184" s="23" t="str">
        <f t="shared" si="8"/>
        <v>insert into ins_premium_det (premium_rcv_code,assorted_code, rec_amount,premium_rcv_detail_code,remaining_amt, payrec, mode_code,coinsurance_code,class_cd,it_remarks) values</v>
      </c>
      <c r="G184" s="24" t="str">
        <f t="shared" si="10"/>
        <v>('29Apr250042','050000653503','45000',(select max(to_number(i.premium_rcv_detail_code))+1
from ins_premium_det i),'45000','45000','02', '11000003','00','Request by Mr. Omair Ali 30-Apr-2025');</v>
      </c>
      <c r="H184" s="25" t="str">
        <f t="shared" si="11"/>
        <v>insert into ins_premium_det (premium_rcv_code,assorted_code, rec_amount,premium_rcv_detail_code,remaining_amt, payrec, mode_code,coinsurance_code,class_cd,it_remarks) values('29Apr250042','050000653503','45000',(select max(to_number(i.premium_rcv_detail_code))+1
from ins_premium_det i),'45000','45000','02', '11000003','00','Request by Mr. Omair Ali 30-Apr-2025');</v>
      </c>
    </row>
    <row r="185" spans="1:8" ht="105" x14ac:dyDescent="0.25">
      <c r="A185" t="s">
        <v>694</v>
      </c>
      <c r="B185" s="1" t="str">
        <f>VLOOKUP(A185,Sheet5!B:C,2,0)</f>
        <v>050000653504</v>
      </c>
      <c r="C185" s="13">
        <v>35000</v>
      </c>
      <c r="D185" s="22">
        <f t="shared" si="9"/>
        <v>35000</v>
      </c>
      <c r="E185" s="21" t="s">
        <v>5912</v>
      </c>
      <c r="F185" s="23" t="str">
        <f t="shared" si="8"/>
        <v>insert into ins_premium_det (premium_rcv_code,assorted_code, rec_amount,premium_rcv_detail_code,remaining_amt, payrec, mode_code,coinsurance_code,class_cd,it_remarks) values</v>
      </c>
      <c r="G185" s="24" t="str">
        <f t="shared" si="10"/>
        <v>('29Apr250042','050000653504','35000',(select max(to_number(i.premium_rcv_detail_code))+1
from ins_premium_det i),'35000','35000','02', '11000003','00','Request by Mr. Omair Ali 30-Apr-2025');</v>
      </c>
      <c r="H185" s="25" t="str">
        <f t="shared" si="11"/>
        <v>insert into ins_premium_det (premium_rcv_code,assorted_code, rec_amount,premium_rcv_detail_code,remaining_amt, payrec, mode_code,coinsurance_code,class_cd,it_remarks) values('29Apr250042','050000653504','35000',(select max(to_number(i.premium_rcv_detail_code))+1
from ins_premium_det i),'35000','35000','02', '11000003','00','Request by Mr. Omair Ali 30-Apr-2025');</v>
      </c>
    </row>
    <row r="186" spans="1:8" ht="105" x14ac:dyDescent="0.25">
      <c r="A186" t="s">
        <v>701</v>
      </c>
      <c r="B186" s="1" t="str">
        <f>VLOOKUP(A186,Sheet5!B:C,2,0)</f>
        <v>050000653505</v>
      </c>
      <c r="C186" s="13">
        <v>59000</v>
      </c>
      <c r="D186" s="22">
        <f t="shared" si="9"/>
        <v>59000</v>
      </c>
      <c r="E186" s="21" t="s">
        <v>5912</v>
      </c>
      <c r="F186" s="23" t="str">
        <f t="shared" si="8"/>
        <v>insert into ins_premium_det (premium_rcv_code,assorted_code, rec_amount,premium_rcv_detail_code,remaining_amt, payrec, mode_code,coinsurance_code,class_cd,it_remarks) values</v>
      </c>
      <c r="G186" s="24" t="str">
        <f t="shared" si="10"/>
        <v>('29Apr250042','050000653505','59000',(select max(to_number(i.premium_rcv_detail_code))+1
from ins_premium_det i),'59000','59000','02', '11000003','00','Request by Mr. Omair Ali 30-Apr-2025');</v>
      </c>
      <c r="H186" s="25" t="str">
        <f t="shared" si="11"/>
        <v>insert into ins_premium_det (premium_rcv_code,assorted_code, rec_amount,premium_rcv_detail_code,remaining_amt, payrec, mode_code,coinsurance_code,class_cd,it_remarks) values('29Apr250042','050000653505','59000',(select max(to_number(i.premium_rcv_detail_code))+1
from ins_premium_det i),'59000','59000','02', '11000003','00','Request by Mr. Omair Ali 30-Apr-2025');</v>
      </c>
    </row>
    <row r="187" spans="1:8" ht="105" x14ac:dyDescent="0.25">
      <c r="A187" t="s">
        <v>710</v>
      </c>
      <c r="B187" s="1" t="str">
        <f>VLOOKUP(A187,Sheet5!B:C,2,0)</f>
        <v>050000653508</v>
      </c>
      <c r="C187" s="13">
        <v>95000</v>
      </c>
      <c r="D187" s="22">
        <f t="shared" si="9"/>
        <v>95000</v>
      </c>
      <c r="E187" s="21" t="s">
        <v>5912</v>
      </c>
      <c r="F187" s="23" t="str">
        <f t="shared" si="8"/>
        <v>insert into ins_premium_det (premium_rcv_code,assorted_code, rec_amount,premium_rcv_detail_code,remaining_amt, payrec, mode_code,coinsurance_code,class_cd,it_remarks) values</v>
      </c>
      <c r="G187" s="24" t="str">
        <f t="shared" si="10"/>
        <v>('29Apr250042','050000653508','95000',(select max(to_number(i.premium_rcv_detail_code))+1
from ins_premium_det i),'95000','95000','02', '11000003','00','Request by Mr. Omair Ali 30-Apr-2025');</v>
      </c>
      <c r="H187" s="25" t="str">
        <f t="shared" si="11"/>
        <v>insert into ins_premium_det (premium_rcv_code,assorted_code, rec_amount,premium_rcv_detail_code,remaining_amt, payrec, mode_code,coinsurance_code,class_cd,it_remarks) values('29Apr250042','050000653508','95000',(select max(to_number(i.premium_rcv_detail_code))+1
from ins_premium_det i),'95000','95000','02', '11000003','00','Request by Mr. Omair Ali 30-Apr-2025');</v>
      </c>
    </row>
    <row r="188" spans="1:8" ht="105" x14ac:dyDescent="0.25">
      <c r="A188" t="s">
        <v>720</v>
      </c>
      <c r="B188" s="1" t="str">
        <f>VLOOKUP(A188,Sheet5!B:C,2,0)</f>
        <v>050000653511</v>
      </c>
      <c r="C188" s="13">
        <v>65000</v>
      </c>
      <c r="D188" s="22">
        <f t="shared" si="9"/>
        <v>65000</v>
      </c>
      <c r="E188" s="21" t="s">
        <v>5912</v>
      </c>
      <c r="F188" s="23" t="str">
        <f t="shared" si="8"/>
        <v>insert into ins_premium_det (premium_rcv_code,assorted_code, rec_amount,premium_rcv_detail_code,remaining_amt, payrec, mode_code,coinsurance_code,class_cd,it_remarks) values</v>
      </c>
      <c r="G188" s="24" t="str">
        <f t="shared" si="10"/>
        <v>('29Apr250042','050000653511','65000',(select max(to_number(i.premium_rcv_detail_code))+1
from ins_premium_det i),'65000','65000','02', '11000003','00','Request by Mr. Omair Ali 30-Apr-2025');</v>
      </c>
      <c r="H188" s="25" t="str">
        <f t="shared" si="11"/>
        <v>insert into ins_premium_det (premium_rcv_code,assorted_code, rec_amount,premium_rcv_detail_code,remaining_amt, payrec, mode_code,coinsurance_code,class_cd,it_remarks) values('29Apr250042','050000653511','65000',(select max(to_number(i.premium_rcv_detail_code))+1
from ins_premium_det i),'65000','65000','02', '11000003','00','Request by Mr. Omair Ali 30-Apr-2025');</v>
      </c>
    </row>
    <row r="189" spans="1:8" ht="105" x14ac:dyDescent="0.25">
      <c r="A189" t="s">
        <v>715</v>
      </c>
      <c r="B189" s="1" t="str">
        <f>VLOOKUP(A189,Sheet5!B:C,2,0)</f>
        <v>050000653513</v>
      </c>
      <c r="C189" s="13">
        <v>53000</v>
      </c>
      <c r="D189" s="22">
        <f t="shared" si="9"/>
        <v>53000</v>
      </c>
      <c r="E189" s="21" t="s">
        <v>5912</v>
      </c>
      <c r="F189" s="23" t="str">
        <f t="shared" si="8"/>
        <v>insert into ins_premium_det (premium_rcv_code,assorted_code, rec_amount,premium_rcv_detail_code,remaining_amt, payrec, mode_code,coinsurance_code,class_cd,it_remarks) values</v>
      </c>
      <c r="G189" s="24" t="str">
        <f t="shared" si="10"/>
        <v>('29Apr250042','050000653513','53000',(select max(to_number(i.premium_rcv_detail_code))+1
from ins_premium_det i),'53000','53000','02', '11000003','00','Request by Mr. Omair Ali 30-Apr-2025');</v>
      </c>
      <c r="H189" s="25" t="str">
        <f t="shared" si="11"/>
        <v>insert into ins_premium_det (premium_rcv_code,assorted_code, rec_amount,premium_rcv_detail_code,remaining_amt, payrec, mode_code,coinsurance_code,class_cd,it_remarks) values('29Apr250042','050000653513','53000',(select max(to_number(i.premium_rcv_detail_code))+1
from ins_premium_det i),'53000','53000','02', '11000003','00','Request by Mr. Omair Ali 30-Apr-2025');</v>
      </c>
    </row>
    <row r="190" spans="1:8" ht="105" x14ac:dyDescent="0.25">
      <c r="A190" t="s">
        <v>727</v>
      </c>
      <c r="B190" s="1" t="str">
        <f>VLOOKUP(A190,Sheet5!B:C,2,0)</f>
        <v>050000653514</v>
      </c>
      <c r="C190" s="13">
        <v>55000</v>
      </c>
      <c r="D190" s="22">
        <f t="shared" si="9"/>
        <v>55000</v>
      </c>
      <c r="E190" s="21" t="s">
        <v>5912</v>
      </c>
      <c r="F190" s="23" t="str">
        <f t="shared" si="8"/>
        <v>insert into ins_premium_det (premium_rcv_code,assorted_code, rec_amount,premium_rcv_detail_code,remaining_amt, payrec, mode_code,coinsurance_code,class_cd,it_remarks) values</v>
      </c>
      <c r="G190" s="24" t="str">
        <f t="shared" si="10"/>
        <v>('29Apr250042','050000653514','55000',(select max(to_number(i.premium_rcv_detail_code))+1
from ins_premium_det i),'55000','55000','02', '11000003','00','Request by Mr. Omair Ali 30-Apr-2025');</v>
      </c>
      <c r="H190" s="25" t="str">
        <f t="shared" si="11"/>
        <v>insert into ins_premium_det (premium_rcv_code,assorted_code, rec_amount,premium_rcv_detail_code,remaining_amt, payrec, mode_code,coinsurance_code,class_cd,it_remarks) values('29Apr250042','050000653514','55000',(select max(to_number(i.premium_rcv_detail_code))+1
from ins_premium_det i),'55000','55000','02', '11000003','00','Request by Mr. Omair Ali 30-Apr-2025');</v>
      </c>
    </row>
    <row r="191" spans="1:8" ht="105" x14ac:dyDescent="0.25">
      <c r="A191" t="s">
        <v>180</v>
      </c>
      <c r="B191" s="1" t="str">
        <f>VLOOKUP(A191,Sheet5!B:C,2,0)</f>
        <v>050000655823</v>
      </c>
      <c r="C191" s="13">
        <v>5938</v>
      </c>
      <c r="D191" s="22">
        <f t="shared" si="9"/>
        <v>5938</v>
      </c>
      <c r="E191" s="21" t="s">
        <v>5912</v>
      </c>
      <c r="F191" s="23" t="str">
        <f t="shared" si="8"/>
        <v>insert into ins_premium_det (premium_rcv_code,assorted_code, rec_amount,premium_rcv_detail_code,remaining_amt, payrec, mode_code,coinsurance_code,class_cd,it_remarks) values</v>
      </c>
      <c r="G191" s="24" t="str">
        <f t="shared" si="10"/>
        <v>('29Apr250042','050000655823','5938',(select max(to_number(i.premium_rcv_detail_code))+1
from ins_premium_det i),'5938','5938','02', '11000003','00','Request by Mr. Omair Ali 30-Apr-2025');</v>
      </c>
      <c r="H191" s="25" t="str">
        <f t="shared" si="11"/>
        <v>insert into ins_premium_det (premium_rcv_code,assorted_code, rec_amount,premium_rcv_detail_code,remaining_amt, payrec, mode_code,coinsurance_code,class_cd,it_remarks) values('29Apr250042','050000655823','5938',(select max(to_number(i.premium_rcv_detail_code))+1
from ins_premium_det i),'5938','5938','02', '11000003','00','Request by Mr. Omair Ali 30-Apr-2025');</v>
      </c>
    </row>
    <row r="192" spans="1:8" ht="105" x14ac:dyDescent="0.25">
      <c r="A192" t="s">
        <v>318</v>
      </c>
      <c r="B192" s="1" t="str">
        <f>VLOOKUP(A192,Sheet5!B:C,2,0)</f>
        <v>050000661397</v>
      </c>
      <c r="C192" s="13">
        <v>2372</v>
      </c>
      <c r="D192" s="22">
        <f t="shared" si="9"/>
        <v>2372</v>
      </c>
      <c r="E192" s="21" t="s">
        <v>5912</v>
      </c>
      <c r="F192" s="23" t="str">
        <f t="shared" si="8"/>
        <v>insert into ins_premium_det (premium_rcv_code,assorted_code, rec_amount,premium_rcv_detail_code,remaining_amt, payrec, mode_code,coinsurance_code,class_cd,it_remarks) values</v>
      </c>
      <c r="G192" s="24" t="str">
        <f t="shared" si="10"/>
        <v>('29Apr250042','050000661397','2372',(select max(to_number(i.premium_rcv_detail_code))+1
from ins_premium_det i),'2372','2372','02', '11000003','00','Request by Mr. Omair Ali 30-Apr-2025');</v>
      </c>
      <c r="H192" s="25" t="str">
        <f t="shared" si="11"/>
        <v>insert into ins_premium_det (premium_rcv_code,assorted_code, rec_amount,premium_rcv_detail_code,remaining_amt, payrec, mode_code,coinsurance_code,class_cd,it_remarks) values('29Apr250042','050000661397','2372',(select max(to_number(i.premium_rcv_detail_code))+1
from ins_premium_det i),'2372','2372','02', '11000003','00','Request by Mr. Omair Ali 30-Apr-2025');</v>
      </c>
    </row>
    <row r="193" spans="1:8" ht="105" x14ac:dyDescent="0.25">
      <c r="A193" t="s">
        <v>96</v>
      </c>
      <c r="B193" s="1" t="str">
        <f>VLOOKUP(A193,Sheet5!B:C,2,0)</f>
        <v>050000664186</v>
      </c>
      <c r="C193" s="13">
        <v>2663</v>
      </c>
      <c r="D193" s="22">
        <f t="shared" si="9"/>
        <v>2663</v>
      </c>
      <c r="E193" s="21" t="s">
        <v>5912</v>
      </c>
      <c r="F193" s="23" t="str">
        <f t="shared" si="8"/>
        <v>insert into ins_premium_det (premium_rcv_code,assorted_code, rec_amount,premium_rcv_detail_code,remaining_amt, payrec, mode_code,coinsurance_code,class_cd,it_remarks) values</v>
      </c>
      <c r="G193" s="24" t="str">
        <f t="shared" si="10"/>
        <v>('29Apr250042','050000664186','2663',(select max(to_number(i.premium_rcv_detail_code))+1
from ins_premium_det i),'2663','2663','02', '11000003','00','Request by Mr. Omair Ali 30-Apr-2025');</v>
      </c>
      <c r="H193" s="25" t="str">
        <f t="shared" si="11"/>
        <v>insert into ins_premium_det (premium_rcv_code,assorted_code, rec_amount,premium_rcv_detail_code,remaining_amt, payrec, mode_code,coinsurance_code,class_cd,it_remarks) values('29Apr250042','050000664186','2663',(select max(to_number(i.premium_rcv_detail_code))+1
from ins_premium_det i),'2663','2663','02', '11000003','00','Request by Mr. Omair Ali 30-Apr-2025');</v>
      </c>
    </row>
    <row r="194" spans="1:8" ht="105" x14ac:dyDescent="0.25">
      <c r="A194" t="s">
        <v>442</v>
      </c>
      <c r="B194" s="1" t="str">
        <f>VLOOKUP(A194,Sheet5!B:C,2,0)</f>
        <v>050000668609</v>
      </c>
      <c r="C194" s="13">
        <v>-1118</v>
      </c>
      <c r="D194" s="22">
        <f t="shared" si="9"/>
        <v>-1118</v>
      </c>
      <c r="E194" s="21" t="s">
        <v>5912</v>
      </c>
      <c r="F194" s="23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24" t="str">
        <f t="shared" si="10"/>
        <v>('29Apr250042','050000668609','-1118',(select max(to_number(i.premium_rcv_detail_code))+1
from ins_premium_det i),'-1118','-1118','02', '11000003','00','Request by Mr. Omair Ali 30-Apr-2025');</v>
      </c>
      <c r="H194" s="25" t="str">
        <f t="shared" si="11"/>
        <v>insert into ins_premium_det (premium_rcv_code,assorted_code, rec_amount,premium_rcv_detail_code,remaining_amt, payrec, mode_code,coinsurance_code,class_cd,it_remarks) values('29Apr250042','050000668609','-1118',(select max(to_number(i.premium_rcv_detail_code))+1
from ins_premium_det i),'-1118','-1118','02', '11000003','00','Request by Mr. Omair Ali 30-Apr-2025');</v>
      </c>
    </row>
    <row r="195" spans="1:8" ht="105" x14ac:dyDescent="0.25">
      <c r="A195" t="s">
        <v>389</v>
      </c>
      <c r="B195" s="1" t="str">
        <f>VLOOKUP(A195,Sheet5!B:C,2,0)</f>
        <v>050000668780</v>
      </c>
      <c r="C195" s="13">
        <v>1649</v>
      </c>
      <c r="D195" s="22">
        <f t="shared" ref="D195:D258" si="13">ROUND(C195,0)</f>
        <v>1649</v>
      </c>
      <c r="E195" s="21" t="s">
        <v>5912</v>
      </c>
      <c r="F195" s="23" t="str">
        <f t="shared" si="12"/>
        <v>insert into ins_premium_det (premium_rcv_code,assorted_code, rec_amount,premium_rcv_detail_code,remaining_amt, payrec, mode_code,coinsurance_code,class_cd,it_remarks) values</v>
      </c>
      <c r="G195" s="24" t="str">
        <f t="shared" ref="G195:G258" si="14">"('"&amp;E195&amp;"','"&amp;B195&amp;"','"&amp;D195&amp;"',(select max(to_number(i.premium_rcv_detail_code))+1
from ins_premium_det i),'"&amp;D195&amp;"','"&amp;D195&amp;"','02', '11000003','00','Request by Mr. Omair Ali 30-Apr-2025');"</f>
        <v>('29Apr250042','050000668780','1649',(select max(to_number(i.premium_rcv_detail_code))+1
from ins_premium_det i),'1649','1649','02', '11000003','00','Request by Mr. Omair Ali 30-Apr-2025');</v>
      </c>
      <c r="H195" s="25" t="str">
        <f t="shared" ref="H195:H258" si="15">F195&amp;G195</f>
        <v>insert into ins_premium_det (premium_rcv_code,assorted_code, rec_amount,premium_rcv_detail_code,remaining_amt, payrec, mode_code,coinsurance_code,class_cd,it_remarks) values('29Apr250042','050000668780','1649',(select max(to_number(i.premium_rcv_detail_code))+1
from ins_premium_det i),'1649','1649','02', '11000003','00','Request by Mr. Omair Ali 30-Apr-2025');</v>
      </c>
    </row>
    <row r="196" spans="1:8" ht="105" x14ac:dyDescent="0.25">
      <c r="A196" t="s">
        <v>403</v>
      </c>
      <c r="B196" s="1" t="str">
        <f>VLOOKUP(A196,Sheet5!B:C,2,0)</f>
        <v>050000668781</v>
      </c>
      <c r="C196" s="13">
        <v>614</v>
      </c>
      <c r="D196" s="22">
        <f t="shared" si="13"/>
        <v>614</v>
      </c>
      <c r="E196" s="21" t="s">
        <v>5912</v>
      </c>
      <c r="F196" s="23" t="str">
        <f t="shared" si="12"/>
        <v>insert into ins_premium_det (premium_rcv_code,assorted_code, rec_amount,premium_rcv_detail_code,remaining_amt, payrec, mode_code,coinsurance_code,class_cd,it_remarks) values</v>
      </c>
      <c r="G196" s="24" t="str">
        <f t="shared" si="14"/>
        <v>('29Apr250042','050000668781','614',(select max(to_number(i.premium_rcv_detail_code))+1
from ins_premium_det i),'614','614','02', '11000003','00','Request by Mr. Omair Ali 30-Apr-2025');</v>
      </c>
      <c r="H196" s="25" t="str">
        <f t="shared" si="15"/>
        <v>insert into ins_premium_det (premium_rcv_code,assorted_code, rec_amount,premium_rcv_detail_code,remaining_amt, payrec, mode_code,coinsurance_code,class_cd,it_remarks) values('29Apr250042','050000668781','614',(select max(to_number(i.premium_rcv_detail_code))+1
from ins_premium_det i),'614','614','02', '11000003','00','Request by Mr. Omair Ali 30-Apr-2025');</v>
      </c>
    </row>
    <row r="197" spans="1:8" ht="105" x14ac:dyDescent="0.25">
      <c r="A197" t="s">
        <v>808</v>
      </c>
      <c r="B197" s="1" t="str">
        <f>VLOOKUP(A197,Sheet5!B:C,2,0)</f>
        <v>050000668782</v>
      </c>
      <c r="C197" s="13">
        <v>2345</v>
      </c>
      <c r="D197" s="22">
        <f t="shared" si="13"/>
        <v>2345</v>
      </c>
      <c r="E197" s="21" t="s">
        <v>5912</v>
      </c>
      <c r="F197" s="23" t="str">
        <f t="shared" si="12"/>
        <v>insert into ins_premium_det (premium_rcv_code,assorted_code, rec_amount,premium_rcv_detail_code,remaining_amt, payrec, mode_code,coinsurance_code,class_cd,it_remarks) values</v>
      </c>
      <c r="G197" s="24" t="str">
        <f t="shared" si="14"/>
        <v>('29Apr250042','050000668782','2345',(select max(to_number(i.premium_rcv_detail_code))+1
from ins_premium_det i),'2345','2345','02', '11000003','00','Request by Mr. Omair Ali 30-Apr-2025');</v>
      </c>
      <c r="H197" s="25" t="str">
        <f t="shared" si="15"/>
        <v>insert into ins_premium_det (premium_rcv_code,assorted_code, rec_amount,premium_rcv_detail_code,remaining_amt, payrec, mode_code,coinsurance_code,class_cd,it_remarks) values('29Apr250042','050000668782','2345',(select max(to_number(i.premium_rcv_detail_code))+1
from ins_premium_det i),'2345','2345','02', '11000003','00','Request by Mr. Omair Ali 30-Apr-2025');</v>
      </c>
    </row>
    <row r="198" spans="1:8" ht="105" x14ac:dyDescent="0.25">
      <c r="A198" t="s">
        <v>733</v>
      </c>
      <c r="B198" s="1" t="str">
        <f>VLOOKUP(A198,Sheet5!B:C,2,0)</f>
        <v>050000675807</v>
      </c>
      <c r="C198" s="13">
        <v>68603</v>
      </c>
      <c r="D198" s="22">
        <f t="shared" si="13"/>
        <v>68603</v>
      </c>
      <c r="E198" s="21" t="s">
        <v>5912</v>
      </c>
      <c r="F198" s="23" t="str">
        <f t="shared" si="12"/>
        <v>insert into ins_premium_det (premium_rcv_code,assorted_code, rec_amount,premium_rcv_detail_code,remaining_amt, payrec, mode_code,coinsurance_code,class_cd,it_remarks) values</v>
      </c>
      <c r="G198" s="24" t="str">
        <f t="shared" si="14"/>
        <v>('29Apr250042','050000675807','68603',(select max(to_number(i.premium_rcv_detail_code))+1
from ins_premium_det i),'68603','68603','02', '11000003','00','Request by Mr. Omair Ali 30-Apr-2025');</v>
      </c>
      <c r="H198" s="25" t="str">
        <f t="shared" si="15"/>
        <v>insert into ins_premium_det (premium_rcv_code,assorted_code, rec_amount,premium_rcv_detail_code,remaining_amt, payrec, mode_code,coinsurance_code,class_cd,it_remarks) values('29Apr250042','050000675807','68603',(select max(to_number(i.premium_rcv_detail_code))+1
from ins_premium_det i),'68603','68603','02', '11000003','00','Request by Mr. Omair Ali 30-Apr-2025');</v>
      </c>
    </row>
    <row r="199" spans="1:8" ht="105" x14ac:dyDescent="0.25">
      <c r="A199" t="s">
        <v>737</v>
      </c>
      <c r="B199" s="1" t="str">
        <f>VLOOKUP(A199,Sheet5!B:C,2,0)</f>
        <v>050000675808</v>
      </c>
      <c r="C199" s="13">
        <v>53430</v>
      </c>
      <c r="D199" s="22">
        <f t="shared" si="13"/>
        <v>53430</v>
      </c>
      <c r="E199" s="21" t="s">
        <v>5912</v>
      </c>
      <c r="F199" s="23" t="str">
        <f t="shared" si="12"/>
        <v>insert into ins_premium_det (premium_rcv_code,assorted_code, rec_amount,premium_rcv_detail_code,remaining_amt, payrec, mode_code,coinsurance_code,class_cd,it_remarks) values</v>
      </c>
      <c r="G199" s="24" t="str">
        <f t="shared" si="14"/>
        <v>('29Apr250042','050000675808','53430',(select max(to_number(i.premium_rcv_detail_code))+1
from ins_premium_det i),'53430','53430','02', '11000003','00','Request by Mr. Omair Ali 30-Apr-2025');</v>
      </c>
      <c r="H199" s="25" t="str">
        <f t="shared" si="15"/>
        <v>insert into ins_premium_det (premium_rcv_code,assorted_code, rec_amount,premium_rcv_detail_code,remaining_amt, payrec, mode_code,coinsurance_code,class_cd,it_remarks) values('29Apr250042','050000675808','53430',(select max(to_number(i.premium_rcv_detail_code))+1
from ins_premium_det i),'53430','53430','02', '11000003','00','Request by Mr. Omair Ali 30-Apr-2025');</v>
      </c>
    </row>
    <row r="200" spans="1:8" ht="105" x14ac:dyDescent="0.25">
      <c r="A200" t="s">
        <v>745</v>
      </c>
      <c r="B200" s="1" t="str">
        <f>VLOOKUP(A200,Sheet5!B:C,2,0)</f>
        <v>050000675809</v>
      </c>
      <c r="C200" s="13">
        <v>34644</v>
      </c>
      <c r="D200" s="22">
        <f t="shared" si="13"/>
        <v>34644</v>
      </c>
      <c r="E200" s="21" t="s">
        <v>5912</v>
      </c>
      <c r="F200" s="23" t="str">
        <f t="shared" si="12"/>
        <v>insert into ins_premium_det (premium_rcv_code,assorted_code, rec_amount,premium_rcv_detail_code,remaining_amt, payrec, mode_code,coinsurance_code,class_cd,it_remarks) values</v>
      </c>
      <c r="G200" s="24" t="str">
        <f t="shared" si="14"/>
        <v>('29Apr250042','050000675809','34644',(select max(to_number(i.premium_rcv_detail_code))+1
from ins_premium_det i),'34644','34644','02', '11000003','00','Request by Mr. Omair Ali 30-Apr-2025');</v>
      </c>
      <c r="H200" s="25" t="str">
        <f t="shared" si="15"/>
        <v>insert into ins_premium_det (premium_rcv_code,assorted_code, rec_amount,premium_rcv_detail_code,remaining_amt, payrec, mode_code,coinsurance_code,class_cd,it_remarks) values('29Apr250042','050000675809','34644',(select max(to_number(i.premium_rcv_detail_code))+1
from ins_premium_det i),'34644','34644','02', '11000003','00','Request by Mr. Omair Ali 30-Apr-2025');</v>
      </c>
    </row>
    <row r="201" spans="1:8" ht="105" x14ac:dyDescent="0.25">
      <c r="A201" t="s">
        <v>753</v>
      </c>
      <c r="B201" s="1" t="str">
        <f>VLOOKUP(A201,Sheet5!B:C,2,0)</f>
        <v>050000675811</v>
      </c>
      <c r="C201" s="13">
        <v>94700</v>
      </c>
      <c r="D201" s="22">
        <f t="shared" si="13"/>
        <v>94700</v>
      </c>
      <c r="E201" s="21" t="s">
        <v>5912</v>
      </c>
      <c r="F201" s="23" t="str">
        <f t="shared" si="12"/>
        <v>insert into ins_premium_det (premium_rcv_code,assorted_code, rec_amount,premium_rcv_detail_code,remaining_amt, payrec, mode_code,coinsurance_code,class_cd,it_remarks) values</v>
      </c>
      <c r="G201" s="24" t="str">
        <f t="shared" si="14"/>
        <v>('29Apr250042','050000675811','94700',(select max(to_number(i.premium_rcv_detail_code))+1
from ins_premium_det i),'94700','94700','02', '11000003','00','Request by Mr. Omair Ali 30-Apr-2025');</v>
      </c>
      <c r="H201" s="25" t="str">
        <f t="shared" si="15"/>
        <v>insert into ins_premium_det (premium_rcv_code,assorted_code, rec_amount,premium_rcv_detail_code,remaining_amt, payrec, mode_code,coinsurance_code,class_cd,it_remarks) values('29Apr250042','050000675811','94700',(select max(to_number(i.premium_rcv_detail_code))+1
from ins_premium_det i),'94700','94700','02', '11000003','00','Request by Mr. Omair Ali 30-Apr-2025');</v>
      </c>
    </row>
    <row r="202" spans="1:8" ht="105" x14ac:dyDescent="0.25">
      <c r="A202" t="s">
        <v>766</v>
      </c>
      <c r="B202" s="1" t="str">
        <f>VLOOKUP(A202,Sheet5!B:C,2,0)</f>
        <v>050000675815</v>
      </c>
      <c r="C202" s="13">
        <v>41000</v>
      </c>
      <c r="D202" s="22">
        <f t="shared" si="13"/>
        <v>41000</v>
      </c>
      <c r="E202" s="21" t="s">
        <v>5912</v>
      </c>
      <c r="F202" s="23" t="str">
        <f t="shared" si="12"/>
        <v>insert into ins_premium_det (premium_rcv_code,assorted_code, rec_amount,premium_rcv_detail_code,remaining_amt, payrec, mode_code,coinsurance_code,class_cd,it_remarks) values</v>
      </c>
      <c r="G202" s="24" t="str">
        <f t="shared" si="14"/>
        <v>('29Apr250042','050000675815','41000',(select max(to_number(i.premium_rcv_detail_code))+1
from ins_premium_det i),'41000','41000','02', '11000003','00','Request by Mr. Omair Ali 30-Apr-2025');</v>
      </c>
      <c r="H202" s="25" t="str">
        <f t="shared" si="15"/>
        <v>insert into ins_premium_det (premium_rcv_code,assorted_code, rec_amount,premium_rcv_detail_code,remaining_amt, payrec, mode_code,coinsurance_code,class_cd,it_remarks) values('29Apr250042','050000675815','41000',(select max(to_number(i.premium_rcv_detail_code))+1
from ins_premium_det i),'41000','41000','02', '11000003','00','Request by Mr. Omair Ali 30-Apr-2025');</v>
      </c>
    </row>
    <row r="203" spans="1:8" ht="105" x14ac:dyDescent="0.25">
      <c r="A203" t="s">
        <v>761</v>
      </c>
      <c r="B203" s="1" t="str">
        <f>VLOOKUP(A203,Sheet5!B:C,2,0)</f>
        <v>050000675818</v>
      </c>
      <c r="C203" s="13">
        <v>155000</v>
      </c>
      <c r="D203" s="22">
        <f t="shared" si="13"/>
        <v>155000</v>
      </c>
      <c r="E203" s="21" t="s">
        <v>5912</v>
      </c>
      <c r="F203" s="23" t="str">
        <f t="shared" si="12"/>
        <v>insert into ins_premium_det (premium_rcv_code,assorted_code, rec_amount,premium_rcv_detail_code,remaining_amt, payrec, mode_code,coinsurance_code,class_cd,it_remarks) values</v>
      </c>
      <c r="G203" s="24" t="str">
        <f t="shared" si="14"/>
        <v>('29Apr250042','050000675818','155000',(select max(to_number(i.premium_rcv_detail_code))+1
from ins_premium_det i),'155000','155000','02', '11000003','00','Request by Mr. Omair Ali 30-Apr-2025');</v>
      </c>
      <c r="H203" s="25" t="str">
        <f t="shared" si="15"/>
        <v>insert into ins_premium_det (premium_rcv_code,assorted_code, rec_amount,premium_rcv_detail_code,remaining_amt, payrec, mode_code,coinsurance_code,class_cd,it_remarks) values('29Apr250042','050000675818','155000',(select max(to_number(i.premium_rcv_detail_code))+1
from ins_premium_det i),'155000','155000','02', '11000003','00','Request by Mr. Omair Ali 30-Apr-2025');</v>
      </c>
    </row>
    <row r="204" spans="1:8" ht="105" x14ac:dyDescent="0.25">
      <c r="A204" t="s">
        <v>798</v>
      </c>
      <c r="B204" s="1" t="str">
        <f>VLOOKUP(A204,Sheet5!B:C,2,0)</f>
        <v>050000675820</v>
      </c>
      <c r="C204" s="13">
        <v>35000</v>
      </c>
      <c r="D204" s="22">
        <f t="shared" si="13"/>
        <v>35000</v>
      </c>
      <c r="E204" s="21" t="s">
        <v>5912</v>
      </c>
      <c r="F204" s="23" t="str">
        <f t="shared" si="12"/>
        <v>insert into ins_premium_det (premium_rcv_code,assorted_code, rec_amount,premium_rcv_detail_code,remaining_amt, payrec, mode_code,coinsurance_code,class_cd,it_remarks) values</v>
      </c>
      <c r="G204" s="24" t="str">
        <f t="shared" si="14"/>
        <v>('29Apr250042','050000675820','35000',(select max(to_number(i.premium_rcv_detail_code))+1
from ins_premium_det i),'35000','35000','02', '11000003','00','Request by Mr. Omair Ali 30-Apr-2025');</v>
      </c>
      <c r="H204" s="25" t="str">
        <f t="shared" si="15"/>
        <v>insert into ins_premium_det (premium_rcv_code,assorted_code, rec_amount,premium_rcv_detail_code,remaining_amt, payrec, mode_code,coinsurance_code,class_cd,it_remarks) values('29Apr250042','050000675820','35000',(select max(to_number(i.premium_rcv_detail_code))+1
from ins_premium_det i),'35000','35000','02', '11000003','00','Request by Mr. Omair Ali 30-Apr-2025');</v>
      </c>
    </row>
    <row r="205" spans="1:8" ht="105" x14ac:dyDescent="0.25">
      <c r="A205" t="s">
        <v>787</v>
      </c>
      <c r="B205" s="1" t="str">
        <f>VLOOKUP(A205,Sheet5!B:C,2,0)</f>
        <v>050000675822</v>
      </c>
      <c r="C205" s="13">
        <v>47000</v>
      </c>
      <c r="D205" s="22">
        <f t="shared" si="13"/>
        <v>47000</v>
      </c>
      <c r="E205" s="21" t="s">
        <v>5912</v>
      </c>
      <c r="F205" s="23" t="str">
        <f t="shared" si="12"/>
        <v>insert into ins_premium_det (premium_rcv_code,assorted_code, rec_amount,premium_rcv_detail_code,remaining_amt, payrec, mode_code,coinsurance_code,class_cd,it_remarks) values</v>
      </c>
      <c r="G205" s="24" t="str">
        <f t="shared" si="14"/>
        <v>('29Apr250042','050000675822','47000',(select max(to_number(i.premium_rcv_detail_code))+1
from ins_premium_det i),'47000','47000','02', '11000003','00','Request by Mr. Omair Ali 30-Apr-2025');</v>
      </c>
      <c r="H205" s="25" t="str">
        <f t="shared" si="15"/>
        <v>insert into ins_premium_det (premium_rcv_code,assorted_code, rec_amount,premium_rcv_detail_code,remaining_amt, payrec, mode_code,coinsurance_code,class_cd,it_remarks) values('29Apr250042','050000675822','47000',(select max(to_number(i.premium_rcv_detail_code))+1
from ins_premium_det i),'47000','47000','02', '11000003','00','Request by Mr. Omair Ali 30-Apr-2025');</v>
      </c>
    </row>
    <row r="206" spans="1:8" ht="105" x14ac:dyDescent="0.25">
      <c r="A206" t="s">
        <v>777</v>
      </c>
      <c r="B206" s="1" t="str">
        <f>VLOOKUP(A206,Sheet5!B:C,2,0)</f>
        <v>050000675825</v>
      </c>
      <c r="C206" s="13">
        <v>445000</v>
      </c>
      <c r="D206" s="22">
        <f t="shared" si="13"/>
        <v>445000</v>
      </c>
      <c r="E206" s="21" t="s">
        <v>5912</v>
      </c>
      <c r="F206" s="23" t="str">
        <f t="shared" si="12"/>
        <v>insert into ins_premium_det (premium_rcv_code,assorted_code, rec_amount,premium_rcv_detail_code,remaining_amt, payrec, mode_code,coinsurance_code,class_cd,it_remarks) values</v>
      </c>
      <c r="G206" s="24" t="str">
        <f t="shared" si="14"/>
        <v>('29Apr250042','050000675825','445000',(select max(to_number(i.premium_rcv_detail_code))+1
from ins_premium_det i),'445000','445000','02', '11000003','00','Request by Mr. Omair Ali 30-Apr-2025');</v>
      </c>
      <c r="H206" s="25" t="str">
        <f t="shared" si="15"/>
        <v>insert into ins_premium_det (premium_rcv_code,assorted_code, rec_amount,premium_rcv_detail_code,remaining_amt, payrec, mode_code,coinsurance_code,class_cd,it_remarks) values('29Apr250042','050000675825','445000',(select max(to_number(i.premium_rcv_detail_code))+1
from ins_premium_det i),'445000','445000','02', '11000003','00','Request by Mr. Omair Ali 30-Apr-2025');</v>
      </c>
    </row>
    <row r="207" spans="1:8" ht="105" x14ac:dyDescent="0.25">
      <c r="A207" t="s">
        <v>803</v>
      </c>
      <c r="B207" s="1" t="str">
        <f>VLOOKUP(A207,Sheet5!B:C,2,0)</f>
        <v>050000675829</v>
      </c>
      <c r="C207" s="13">
        <v>215000</v>
      </c>
      <c r="D207" s="22">
        <f t="shared" si="13"/>
        <v>215000</v>
      </c>
      <c r="E207" s="21" t="s">
        <v>5912</v>
      </c>
      <c r="F207" s="23" t="str">
        <f t="shared" si="12"/>
        <v>insert into ins_premium_det (premium_rcv_code,assorted_code, rec_amount,premium_rcv_detail_code,remaining_amt, payrec, mode_code,coinsurance_code,class_cd,it_remarks) values</v>
      </c>
      <c r="G207" s="24" t="str">
        <f t="shared" si="14"/>
        <v>('29Apr250042','050000675829','215000',(select max(to_number(i.premium_rcv_detail_code))+1
from ins_premium_det i),'215000','215000','02', '11000003','00','Request by Mr. Omair Ali 30-Apr-2025');</v>
      </c>
      <c r="H207" s="25" t="str">
        <f t="shared" si="15"/>
        <v>insert into ins_premium_det (premium_rcv_code,assorted_code, rec_amount,premium_rcv_detail_code,remaining_amt, payrec, mode_code,coinsurance_code,class_cd,it_remarks) values('29Apr250042','050000675829','215000',(select max(to_number(i.premium_rcv_detail_code))+1
from ins_premium_det i),'215000','215000','02', '11000003','00','Request by Mr. Omair Ali 30-Apr-2025');</v>
      </c>
    </row>
    <row r="208" spans="1:8" ht="105" x14ac:dyDescent="0.25">
      <c r="A208" t="s">
        <v>809</v>
      </c>
      <c r="B208" s="1" t="str">
        <f>VLOOKUP(A208,Sheet5!B:C,2,0)</f>
        <v>050000675832</v>
      </c>
      <c r="C208" s="13">
        <v>92655</v>
      </c>
      <c r="D208" s="22">
        <f t="shared" si="13"/>
        <v>92655</v>
      </c>
      <c r="E208" s="21" t="s">
        <v>5912</v>
      </c>
      <c r="F208" s="23" t="str">
        <f t="shared" si="12"/>
        <v>insert into ins_premium_det (premium_rcv_code,assorted_code, rec_amount,premium_rcv_detail_code,remaining_amt, payrec, mode_code,coinsurance_code,class_cd,it_remarks) values</v>
      </c>
      <c r="G208" s="24" t="str">
        <f t="shared" si="14"/>
        <v>('29Apr250042','050000675832','92655',(select max(to_number(i.premium_rcv_detail_code))+1
from ins_premium_det i),'92655','92655','02', '11000003','00','Request by Mr. Omair Ali 30-Apr-2025');</v>
      </c>
      <c r="H208" s="25" t="str">
        <f t="shared" si="15"/>
        <v>insert into ins_premium_det (premium_rcv_code,assorted_code, rec_amount,premium_rcv_detail_code,remaining_amt, payrec, mode_code,coinsurance_code,class_cd,it_remarks) values('29Apr250042','050000675832','92655',(select max(to_number(i.premium_rcv_detail_code))+1
from ins_premium_det i),'92655','92655','02', '11000003','00','Request by Mr. Omair Ali 30-Apr-2025');</v>
      </c>
    </row>
    <row r="209" spans="1:8" ht="105" x14ac:dyDescent="0.25">
      <c r="A209" t="s">
        <v>820</v>
      </c>
      <c r="B209" s="1" t="str">
        <f>VLOOKUP(A209,Sheet5!B:C,2,0)</f>
        <v>050000675838</v>
      </c>
      <c r="C209" s="13">
        <v>155000</v>
      </c>
      <c r="D209" s="22">
        <f t="shared" si="13"/>
        <v>155000</v>
      </c>
      <c r="E209" s="21" t="s">
        <v>5912</v>
      </c>
      <c r="F209" s="23" t="str">
        <f t="shared" si="12"/>
        <v>insert into ins_premium_det (premium_rcv_code,assorted_code, rec_amount,premium_rcv_detail_code,remaining_amt, payrec, mode_code,coinsurance_code,class_cd,it_remarks) values</v>
      </c>
      <c r="G209" s="24" t="str">
        <f t="shared" si="14"/>
        <v>('29Apr250042','050000675838','155000',(select max(to_number(i.premium_rcv_detail_code))+1
from ins_premium_det i),'155000','155000','02', '11000003','00','Request by Mr. Omair Ali 30-Apr-2025');</v>
      </c>
      <c r="H209" s="25" t="str">
        <f t="shared" si="15"/>
        <v>insert into ins_premium_det (premium_rcv_code,assorted_code, rec_amount,premium_rcv_detail_code,remaining_amt, payrec, mode_code,coinsurance_code,class_cd,it_remarks) values('29Apr250042','050000675838','155000',(select max(to_number(i.premium_rcv_detail_code))+1
from ins_premium_det i),'155000','155000','02', '11000003','00','Request by Mr. Omair Ali 30-Apr-2025');</v>
      </c>
    </row>
    <row r="210" spans="1:8" ht="105" x14ac:dyDescent="0.25">
      <c r="A210" t="s">
        <v>835</v>
      </c>
      <c r="B210" s="1" t="str">
        <f>VLOOKUP(A210,Sheet5!B:C,2,0)</f>
        <v>050000675849</v>
      </c>
      <c r="C210" s="13">
        <v>91000</v>
      </c>
      <c r="D210" s="22">
        <f t="shared" si="13"/>
        <v>91000</v>
      </c>
      <c r="E210" s="21" t="s">
        <v>5912</v>
      </c>
      <c r="F210" s="23" t="str">
        <f t="shared" si="12"/>
        <v>insert into ins_premium_det (premium_rcv_code,assorted_code, rec_amount,premium_rcv_detail_code,remaining_amt, payrec, mode_code,coinsurance_code,class_cd,it_remarks) values</v>
      </c>
      <c r="G210" s="24" t="str">
        <f t="shared" si="14"/>
        <v>('29Apr250042','050000675849','91000',(select max(to_number(i.premium_rcv_detail_code))+1
from ins_premium_det i),'91000','91000','02', '11000003','00','Request by Mr. Omair Ali 30-Apr-2025');</v>
      </c>
      <c r="H210" s="25" t="str">
        <f t="shared" si="15"/>
        <v>insert into ins_premium_det (premium_rcv_code,assorted_code, rec_amount,premium_rcv_detail_code,remaining_amt, payrec, mode_code,coinsurance_code,class_cd,it_remarks) values('29Apr250042','050000675849','91000',(select max(to_number(i.premium_rcv_detail_code))+1
from ins_premium_det i),'91000','91000','02', '11000003','00','Request by Mr. Omair Ali 30-Apr-2025');</v>
      </c>
    </row>
    <row r="211" spans="1:8" ht="105" x14ac:dyDescent="0.25">
      <c r="A211" t="s">
        <v>829</v>
      </c>
      <c r="B211" s="1" t="str">
        <f>VLOOKUP(A211,Sheet5!B:C,2,0)</f>
        <v>050000675850</v>
      </c>
      <c r="C211" s="13">
        <v>45000</v>
      </c>
      <c r="D211" s="22">
        <f t="shared" si="13"/>
        <v>45000</v>
      </c>
      <c r="E211" s="21" t="s">
        <v>5912</v>
      </c>
      <c r="F211" s="23" t="str">
        <f t="shared" si="12"/>
        <v>insert into ins_premium_det (premium_rcv_code,assorted_code, rec_amount,premium_rcv_detail_code,remaining_amt, payrec, mode_code,coinsurance_code,class_cd,it_remarks) values</v>
      </c>
      <c r="G211" s="24" t="str">
        <f t="shared" si="14"/>
        <v>('29Apr250042','050000675850','45000',(select max(to_number(i.premium_rcv_detail_code))+1
from ins_premium_det i),'45000','45000','02', '11000003','00','Request by Mr. Omair Ali 30-Apr-2025');</v>
      </c>
      <c r="H211" s="25" t="str">
        <f t="shared" si="15"/>
        <v>insert into ins_premium_det (premium_rcv_code,assorted_code, rec_amount,premium_rcv_detail_code,remaining_amt, payrec, mode_code,coinsurance_code,class_cd,it_remarks) values('29Apr250042','050000675850','45000',(select max(to_number(i.premium_rcv_detail_code))+1
from ins_premium_det i),'45000','45000','02', '11000003','00','Request by Mr. Omair Ali 30-Apr-2025');</v>
      </c>
    </row>
    <row r="212" spans="1:8" ht="105" x14ac:dyDescent="0.25">
      <c r="A212" t="s">
        <v>846</v>
      </c>
      <c r="B212" s="1" t="str">
        <f>VLOOKUP(A212,Sheet5!B:C,2,0)</f>
        <v>050000675854</v>
      </c>
      <c r="C212" s="13">
        <v>59000</v>
      </c>
      <c r="D212" s="22">
        <f t="shared" si="13"/>
        <v>59000</v>
      </c>
      <c r="E212" s="21" t="s">
        <v>5912</v>
      </c>
      <c r="F212" s="23" t="str">
        <f t="shared" si="12"/>
        <v>insert into ins_premium_det (premium_rcv_code,assorted_code, rec_amount,premium_rcv_detail_code,remaining_amt, payrec, mode_code,coinsurance_code,class_cd,it_remarks) values</v>
      </c>
      <c r="G212" s="24" t="str">
        <f t="shared" si="14"/>
        <v>('29Apr250042','050000675854','59000',(select max(to_number(i.premium_rcv_detail_code))+1
from ins_premium_det i),'59000','59000','02', '11000003','00','Request by Mr. Omair Ali 30-Apr-2025');</v>
      </c>
      <c r="H212" s="25" t="str">
        <f t="shared" si="15"/>
        <v>insert into ins_premium_det (premium_rcv_code,assorted_code, rec_amount,premium_rcv_detail_code,remaining_amt, payrec, mode_code,coinsurance_code,class_cd,it_remarks) values('29Apr250042','050000675854','59000',(select max(to_number(i.premium_rcv_detail_code))+1
from ins_premium_det i),'59000','59000','02', '11000003','00','Request by Mr. Omair Ali 30-Apr-2025');</v>
      </c>
    </row>
    <row r="213" spans="1:8" ht="105" x14ac:dyDescent="0.25">
      <c r="A213" t="s">
        <v>857</v>
      </c>
      <c r="B213" s="1" t="str">
        <f>VLOOKUP(A213,Sheet5!B:C,2,0)</f>
        <v>050000675856</v>
      </c>
      <c r="C213" s="13">
        <v>65000</v>
      </c>
      <c r="D213" s="22">
        <f t="shared" si="13"/>
        <v>65000</v>
      </c>
      <c r="E213" s="21" t="s">
        <v>5912</v>
      </c>
      <c r="F213" s="23" t="str">
        <f t="shared" si="12"/>
        <v>insert into ins_premium_det (premium_rcv_code,assorted_code, rec_amount,premium_rcv_detail_code,remaining_amt, payrec, mode_code,coinsurance_code,class_cd,it_remarks) values</v>
      </c>
      <c r="G213" s="24" t="str">
        <f t="shared" si="14"/>
        <v>('29Apr250042','050000675856','65000',(select max(to_number(i.premium_rcv_detail_code))+1
from ins_premium_det i),'65000','65000','02', '11000003','00','Request by Mr. Omair Ali 30-Apr-2025');</v>
      </c>
      <c r="H213" s="25" t="str">
        <f t="shared" si="15"/>
        <v>insert into ins_premium_det (premium_rcv_code,assorted_code, rec_amount,premium_rcv_detail_code,remaining_amt, payrec, mode_code,coinsurance_code,class_cd,it_remarks) values('29Apr250042','050000675856','65000',(select max(to_number(i.premium_rcv_detail_code))+1
from ins_premium_det i),'65000','65000','02', '11000003','00','Request by Mr. Omair Ali 30-Apr-2025');</v>
      </c>
    </row>
    <row r="214" spans="1:8" ht="105" x14ac:dyDescent="0.25">
      <c r="A214" t="s">
        <v>864</v>
      </c>
      <c r="B214" s="1" t="str">
        <f>VLOOKUP(A214,Sheet5!B:C,2,0)</f>
        <v>050000675861</v>
      </c>
      <c r="C214" s="13">
        <v>155000</v>
      </c>
      <c r="D214" s="22">
        <f t="shared" si="13"/>
        <v>155000</v>
      </c>
      <c r="E214" s="21" t="s">
        <v>5912</v>
      </c>
      <c r="F214" s="23" t="str">
        <f t="shared" si="12"/>
        <v>insert into ins_premium_det (premium_rcv_code,assorted_code, rec_amount,premium_rcv_detail_code,remaining_amt, payrec, mode_code,coinsurance_code,class_cd,it_remarks) values</v>
      </c>
      <c r="G214" s="24" t="str">
        <f t="shared" si="14"/>
        <v>('29Apr250042','050000675861','155000',(select max(to_number(i.premium_rcv_detail_code))+1
from ins_premium_det i),'155000','155000','02', '11000003','00','Request by Mr. Omair Ali 30-Apr-2025');</v>
      </c>
      <c r="H214" s="25" t="str">
        <f t="shared" si="15"/>
        <v>insert into ins_premium_det (premium_rcv_code,assorted_code, rec_amount,premium_rcv_detail_code,remaining_amt, payrec, mode_code,coinsurance_code,class_cd,it_remarks) values('29Apr250042','050000675861','155000',(select max(to_number(i.premium_rcv_detail_code))+1
from ins_premium_det i),'155000','155000','02', '11000003','00','Request by Mr. Omair Ali 30-Apr-2025');</v>
      </c>
    </row>
    <row r="215" spans="1:8" ht="105" x14ac:dyDescent="0.25">
      <c r="A215" t="s">
        <v>869</v>
      </c>
      <c r="B215" s="1" t="str">
        <f>VLOOKUP(A215,Sheet5!B:C,2,0)</f>
        <v>050000675862</v>
      </c>
      <c r="C215" s="13">
        <v>19000</v>
      </c>
      <c r="D215" s="22">
        <f t="shared" si="13"/>
        <v>19000</v>
      </c>
      <c r="E215" s="21" t="s">
        <v>5912</v>
      </c>
      <c r="F215" s="23" t="str">
        <f t="shared" si="12"/>
        <v>insert into ins_premium_det (premium_rcv_code,assorted_code, rec_amount,premium_rcv_detail_code,remaining_amt, payrec, mode_code,coinsurance_code,class_cd,it_remarks) values</v>
      </c>
      <c r="G215" s="24" t="str">
        <f t="shared" si="14"/>
        <v>('29Apr250042','050000675862','19000',(select max(to_number(i.premium_rcv_detail_code))+1
from ins_premium_det i),'19000','19000','02', '11000003','00','Request by Mr. Omair Ali 30-Apr-2025');</v>
      </c>
      <c r="H215" s="25" t="str">
        <f t="shared" si="15"/>
        <v>insert into ins_premium_det (premium_rcv_code,assorted_code, rec_amount,premium_rcv_detail_code,remaining_amt, payrec, mode_code,coinsurance_code,class_cd,it_remarks) values('29Apr250042','050000675862','19000',(select max(to_number(i.premium_rcv_detail_code))+1
from ins_premium_det i),'19000','19000','02', '11000003','00','Request by Mr. Omair Ali 30-Apr-2025');</v>
      </c>
    </row>
    <row r="216" spans="1:8" ht="105" x14ac:dyDescent="0.25">
      <c r="A216" t="s">
        <v>874</v>
      </c>
      <c r="B216" s="1" t="str">
        <f>VLOOKUP(A216,Sheet5!B:C,2,0)</f>
        <v>050000675865</v>
      </c>
      <c r="C216" s="13">
        <v>55000</v>
      </c>
      <c r="D216" s="22">
        <f t="shared" si="13"/>
        <v>55000</v>
      </c>
      <c r="E216" s="21" t="s">
        <v>5912</v>
      </c>
      <c r="F216" s="23" t="str">
        <f t="shared" si="12"/>
        <v>insert into ins_premium_det (premium_rcv_code,assorted_code, rec_amount,premium_rcv_detail_code,remaining_amt, payrec, mode_code,coinsurance_code,class_cd,it_remarks) values</v>
      </c>
      <c r="G216" s="24" t="str">
        <f t="shared" si="14"/>
        <v>('29Apr250042','050000675865','55000',(select max(to_number(i.premium_rcv_detail_code))+1
from ins_premium_det i),'55000','55000','02', '11000003','00','Request by Mr. Omair Ali 30-Apr-2025');</v>
      </c>
      <c r="H216" s="25" t="str">
        <f t="shared" si="15"/>
        <v>insert into ins_premium_det (premium_rcv_code,assorted_code, rec_amount,premium_rcv_detail_code,remaining_amt, payrec, mode_code,coinsurance_code,class_cd,it_remarks) values('29Apr250042','050000675865','55000',(select max(to_number(i.premium_rcv_detail_code))+1
from ins_premium_det i),'55000','55000','02', '11000003','00','Request by Mr. Omair Ali 30-Apr-2025');</v>
      </c>
    </row>
    <row r="217" spans="1:8" ht="105" x14ac:dyDescent="0.25">
      <c r="A217" t="s">
        <v>207</v>
      </c>
      <c r="B217" s="1" t="str">
        <f>VLOOKUP(A217,Sheet5!B:C,2,0)</f>
        <v>050000675902</v>
      </c>
      <c r="C217" s="13">
        <v>-90001</v>
      </c>
      <c r="D217" s="22">
        <f t="shared" si="13"/>
        <v>-90001</v>
      </c>
      <c r="E217" s="21" t="s">
        <v>5912</v>
      </c>
      <c r="F217" s="23" t="str">
        <f t="shared" si="12"/>
        <v>insert into ins_premium_det (premium_rcv_code,assorted_code, rec_amount,premium_rcv_detail_code,remaining_amt, payrec, mode_code,coinsurance_code,class_cd,it_remarks) values</v>
      </c>
      <c r="G217" s="24" t="str">
        <f t="shared" si="14"/>
        <v>('29Apr250042','050000675902','-90001',(select max(to_number(i.premium_rcv_detail_code))+1
from ins_premium_det i),'-90001','-90001','02', '11000003','00','Request by Mr. Omair Ali 30-Apr-2025');</v>
      </c>
      <c r="H217" s="25" t="str">
        <f t="shared" si="15"/>
        <v>insert into ins_premium_det (premium_rcv_code,assorted_code, rec_amount,premium_rcv_detail_code,remaining_amt, payrec, mode_code,coinsurance_code,class_cd,it_remarks) values('29Apr250042','050000675902','-90001',(select max(to_number(i.premium_rcv_detail_code))+1
from ins_premium_det i),'-90001','-90001','02', '11000003','00','Request by Mr. Omair Ali 30-Apr-2025');</v>
      </c>
    </row>
    <row r="218" spans="1:8" ht="105" x14ac:dyDescent="0.25">
      <c r="A218" t="s">
        <v>236</v>
      </c>
      <c r="B218" s="1" t="str">
        <f>VLOOKUP(A218,Sheet5!B:C,2,0)</f>
        <v>050000678639</v>
      </c>
      <c r="C218" s="13">
        <v>119</v>
      </c>
      <c r="D218" s="22">
        <f t="shared" si="13"/>
        <v>119</v>
      </c>
      <c r="E218" s="21" t="s">
        <v>5912</v>
      </c>
      <c r="F218" s="23" t="str">
        <f t="shared" si="12"/>
        <v>insert into ins_premium_det (premium_rcv_code,assorted_code, rec_amount,premium_rcv_detail_code,remaining_amt, payrec, mode_code,coinsurance_code,class_cd,it_remarks) values</v>
      </c>
      <c r="G218" s="24" t="str">
        <f t="shared" si="14"/>
        <v>('29Apr250042','050000678639','119',(select max(to_number(i.premium_rcv_detail_code))+1
from ins_premium_det i),'119','119','02', '11000003','00','Request by Mr. Omair Ali 30-Apr-2025');</v>
      </c>
      <c r="H218" s="25" t="str">
        <f t="shared" si="15"/>
        <v>insert into ins_premium_det (premium_rcv_code,assorted_code, rec_amount,premium_rcv_detail_code,remaining_amt, payrec, mode_code,coinsurance_code,class_cd,it_remarks) values('29Apr250042','050000678639','119',(select max(to_number(i.premium_rcv_detail_code))+1
from ins_premium_det i),'119','119','02', '11000003','00','Request by Mr. Omair Ali 30-Apr-2025');</v>
      </c>
    </row>
    <row r="219" spans="1:8" ht="105" x14ac:dyDescent="0.25">
      <c r="A219" t="s">
        <v>319</v>
      </c>
      <c r="B219" s="1" t="str">
        <f>VLOOKUP(A219,Sheet5!B:C,2,0)</f>
        <v>050000678872</v>
      </c>
      <c r="C219" s="13">
        <v>3953</v>
      </c>
      <c r="D219" s="22">
        <f t="shared" si="13"/>
        <v>3953</v>
      </c>
      <c r="E219" s="21" t="s">
        <v>5912</v>
      </c>
      <c r="F219" s="23" t="str">
        <f t="shared" si="12"/>
        <v>insert into ins_premium_det (premium_rcv_code,assorted_code, rec_amount,premium_rcv_detail_code,remaining_amt, payrec, mode_code,coinsurance_code,class_cd,it_remarks) values</v>
      </c>
      <c r="G219" s="24" t="str">
        <f t="shared" si="14"/>
        <v>('29Apr250042','050000678872','3953',(select max(to_number(i.premium_rcv_detail_code))+1
from ins_premium_det i),'3953','3953','02', '11000003','00','Request by Mr. Omair Ali 30-Apr-2025');</v>
      </c>
      <c r="H219" s="25" t="str">
        <f t="shared" si="15"/>
        <v>insert into ins_premium_det (premium_rcv_code,assorted_code, rec_amount,premium_rcv_detail_code,remaining_amt, payrec, mode_code,coinsurance_code,class_cd,it_remarks) values('29Apr250042','050000678872','3953',(select max(to_number(i.premium_rcv_detail_code))+1
from ins_premium_det i),'3953','3953','02', '11000003','00','Request by Mr. Omair Ali 30-Apr-2025');</v>
      </c>
    </row>
    <row r="220" spans="1:8" ht="105" x14ac:dyDescent="0.25">
      <c r="A220" t="s">
        <v>97</v>
      </c>
      <c r="B220" s="1" t="str">
        <f>VLOOKUP(A220,Sheet5!B:C,2,0)</f>
        <v>050000679019</v>
      </c>
      <c r="C220" s="13">
        <v>106</v>
      </c>
      <c r="D220" s="22">
        <f t="shared" si="13"/>
        <v>106</v>
      </c>
      <c r="E220" s="21" t="s">
        <v>5912</v>
      </c>
      <c r="F220" s="23" t="str">
        <f t="shared" si="12"/>
        <v>insert into ins_premium_det (premium_rcv_code,assorted_code, rec_amount,premium_rcv_detail_code,remaining_amt, payrec, mode_code,coinsurance_code,class_cd,it_remarks) values</v>
      </c>
      <c r="G220" s="24" t="str">
        <f t="shared" si="14"/>
        <v>('29Apr250042','050000679019','106',(select max(to_number(i.premium_rcv_detail_code))+1
from ins_premium_det i),'106','106','02', '11000003','00','Request by Mr. Omair Ali 30-Apr-2025');</v>
      </c>
      <c r="H220" s="25" t="str">
        <f t="shared" si="15"/>
        <v>insert into ins_premium_det (premium_rcv_code,assorted_code, rec_amount,premium_rcv_detail_code,remaining_amt, payrec, mode_code,coinsurance_code,class_cd,it_remarks) values('29Apr250042','050000679019','106',(select max(to_number(i.premium_rcv_detail_code))+1
from ins_premium_det i),'106','106','02', '11000003','00','Request by Mr. Omair Ali 30-Apr-2025');</v>
      </c>
    </row>
    <row r="221" spans="1:8" ht="105" x14ac:dyDescent="0.25">
      <c r="A221" t="s">
        <v>818</v>
      </c>
      <c r="B221" s="1" t="str">
        <f>VLOOKUP(A221,Sheet5!B:C,2,0)</f>
        <v>050000679056</v>
      </c>
      <c r="C221" s="13">
        <v>2</v>
      </c>
      <c r="D221" s="22">
        <f t="shared" si="13"/>
        <v>2</v>
      </c>
      <c r="E221" s="21" t="s">
        <v>5912</v>
      </c>
      <c r="F221" s="23" t="str">
        <f t="shared" si="12"/>
        <v>insert into ins_premium_det (premium_rcv_code,assorted_code, rec_amount,premium_rcv_detail_code,remaining_amt, payrec, mode_code,coinsurance_code,class_cd,it_remarks) values</v>
      </c>
      <c r="G221" s="24" t="str">
        <f t="shared" si="14"/>
        <v>('29Apr250042','050000679056','2',(select max(to_number(i.premium_rcv_detail_code))+1
from ins_premium_det i),'2','2','02', '11000003','00','Request by Mr. Omair Ali 30-Apr-2025');</v>
      </c>
      <c r="H221" s="25" t="str">
        <f t="shared" si="15"/>
        <v>insert into ins_premium_det (premium_rcv_code,assorted_code, rec_amount,premium_rcv_detail_code,remaining_amt, payrec, mode_code,coinsurance_code,class_cd,it_remarks) values('29Apr250042','050000679056','2',(select max(to_number(i.premium_rcv_detail_code))+1
from ins_premium_det i),'2','2','02', '11000003','00','Request by Mr. Omair Ali 30-Apr-2025');</v>
      </c>
    </row>
    <row r="222" spans="1:8" ht="105" x14ac:dyDescent="0.25">
      <c r="A222" t="s">
        <v>830</v>
      </c>
      <c r="B222" s="1" t="str">
        <f>VLOOKUP(A222,Sheet5!B:C,2,0)</f>
        <v>050000679061</v>
      </c>
      <c r="C222" s="13">
        <v>180</v>
      </c>
      <c r="D222" s="22">
        <f t="shared" si="13"/>
        <v>180</v>
      </c>
      <c r="E222" s="21" t="s">
        <v>5912</v>
      </c>
      <c r="F222" s="23" t="str">
        <f t="shared" si="12"/>
        <v>insert into ins_premium_det (premium_rcv_code,assorted_code, rec_amount,premium_rcv_detail_code,remaining_amt, payrec, mode_code,coinsurance_code,class_cd,it_remarks) values</v>
      </c>
      <c r="G222" s="24" t="str">
        <f t="shared" si="14"/>
        <v>('29Apr250042','050000679061','180',(select max(to_number(i.premium_rcv_detail_code))+1
from ins_premium_det i),'180','180','02', '11000003','00','Request by Mr. Omair Ali 30-Apr-2025');</v>
      </c>
      <c r="H222" s="25" t="str">
        <f t="shared" si="15"/>
        <v>insert into ins_premium_det (premium_rcv_code,assorted_code, rec_amount,premium_rcv_detail_code,remaining_amt, payrec, mode_code,coinsurance_code,class_cd,it_remarks) values('29Apr250042','050000679061','180',(select max(to_number(i.premium_rcv_detail_code))+1
from ins_premium_det i),'180','180','02', '11000003','00','Request by Mr. Omair Ali 30-Apr-2025');</v>
      </c>
    </row>
    <row r="223" spans="1:8" ht="105" x14ac:dyDescent="0.25">
      <c r="A223" t="s">
        <v>127</v>
      </c>
      <c r="B223" s="1" t="str">
        <f>VLOOKUP(A223,Sheet5!B:C,2,0)</f>
        <v>050000679187</v>
      </c>
      <c r="C223" s="13">
        <v>4509</v>
      </c>
      <c r="D223" s="22">
        <f t="shared" si="13"/>
        <v>4509</v>
      </c>
      <c r="E223" s="21" t="s">
        <v>5912</v>
      </c>
      <c r="F223" s="23" t="str">
        <f t="shared" si="12"/>
        <v>insert into ins_premium_det (premium_rcv_code,assorted_code, rec_amount,premium_rcv_detail_code,remaining_amt, payrec, mode_code,coinsurance_code,class_cd,it_remarks) values</v>
      </c>
      <c r="G223" s="24" t="str">
        <f t="shared" si="14"/>
        <v>('29Apr250042','050000679187','4509',(select max(to_number(i.premium_rcv_detail_code))+1
from ins_premium_det i),'4509','4509','02', '11000003','00','Request by Mr. Omair Ali 30-Apr-2025');</v>
      </c>
      <c r="H223" s="25" t="str">
        <f t="shared" si="15"/>
        <v>insert into ins_premium_det (premium_rcv_code,assorted_code, rec_amount,premium_rcv_detail_code,remaining_amt, payrec, mode_code,coinsurance_code,class_cd,it_remarks) values('29Apr250042','050000679187','4509',(select max(to_number(i.premium_rcv_detail_code))+1
from ins_premium_det i),'4509','4509','02', '11000003','00','Request by Mr. Omair Ali 30-Apr-2025');</v>
      </c>
    </row>
    <row r="224" spans="1:8" ht="105" x14ac:dyDescent="0.25">
      <c r="A224" t="s">
        <v>638</v>
      </c>
      <c r="B224" s="1" t="str">
        <f>VLOOKUP(A224,Sheet5!B:C,2,0)</f>
        <v>050000679220</v>
      </c>
      <c r="C224" s="13">
        <v>6</v>
      </c>
      <c r="D224" s="22">
        <f t="shared" si="13"/>
        <v>6</v>
      </c>
      <c r="E224" s="21" t="s">
        <v>5912</v>
      </c>
      <c r="F224" s="23" t="str">
        <f t="shared" si="12"/>
        <v>insert into ins_premium_det (premium_rcv_code,assorted_code, rec_amount,premium_rcv_detail_code,remaining_amt, payrec, mode_code,coinsurance_code,class_cd,it_remarks) values</v>
      </c>
      <c r="G224" s="24" t="str">
        <f t="shared" si="14"/>
        <v>('29Apr250042','050000679220','6',(select max(to_number(i.premium_rcv_detail_code))+1
from ins_premium_det i),'6','6','02', '11000003','00','Request by Mr. Omair Ali 30-Apr-2025');</v>
      </c>
      <c r="H224" s="25" t="str">
        <f t="shared" si="15"/>
        <v>insert into ins_premium_det (premium_rcv_code,assorted_code, rec_amount,premium_rcv_detail_code,remaining_amt, payrec, mode_code,coinsurance_code,class_cd,it_remarks) values('29Apr250042','050000679220','6',(select max(to_number(i.premium_rcv_detail_code))+1
from ins_premium_det i),'6','6','02', '11000003','00','Request by Mr. Omair Ali 30-Apr-2025');</v>
      </c>
    </row>
    <row r="225" spans="1:8" ht="105" x14ac:dyDescent="0.25">
      <c r="A225" t="s">
        <v>173</v>
      </c>
      <c r="B225" s="1" t="str">
        <f>VLOOKUP(A225,Sheet5!B:C,2,0)</f>
        <v>050000680266</v>
      </c>
      <c r="C225" s="13">
        <v>2</v>
      </c>
      <c r="D225" s="22">
        <f t="shared" si="13"/>
        <v>2</v>
      </c>
      <c r="E225" s="21" t="s">
        <v>5912</v>
      </c>
      <c r="F225" s="23" t="str">
        <f t="shared" si="12"/>
        <v>insert into ins_premium_det (premium_rcv_code,assorted_code, rec_amount,premium_rcv_detail_code,remaining_amt, payrec, mode_code,coinsurance_code,class_cd,it_remarks) values</v>
      </c>
      <c r="G225" s="24" t="str">
        <f t="shared" si="14"/>
        <v>('29Apr250042','050000680266','2',(select max(to_number(i.premium_rcv_detail_code))+1
from ins_premium_det i),'2','2','02', '11000003','00','Request by Mr. Omair Ali 30-Apr-2025');</v>
      </c>
      <c r="H225" s="25" t="str">
        <f t="shared" si="15"/>
        <v>insert into ins_premium_det (premium_rcv_code,assorted_code, rec_amount,premium_rcv_detail_code,remaining_amt, payrec, mode_code,coinsurance_code,class_cd,it_remarks) values('29Apr250042','050000680266','2',(select max(to_number(i.premium_rcv_detail_code))+1
from ins_premium_det i),'2','2','02', '11000003','00','Request by Mr. Omair Ali 30-Apr-2025');</v>
      </c>
    </row>
    <row r="226" spans="1:8" ht="105" x14ac:dyDescent="0.25">
      <c r="A226" t="s">
        <v>211</v>
      </c>
      <c r="B226" s="1" t="str">
        <f>VLOOKUP(A226,Sheet5!B:C,2,0)</f>
        <v>050000680272</v>
      </c>
      <c r="C226" s="13">
        <v>1964</v>
      </c>
      <c r="D226" s="22">
        <f t="shared" si="13"/>
        <v>1964</v>
      </c>
      <c r="E226" s="21" t="s">
        <v>5912</v>
      </c>
      <c r="F226" s="23" t="str">
        <f t="shared" si="12"/>
        <v>insert into ins_premium_det (premium_rcv_code,assorted_code, rec_amount,premium_rcv_detail_code,remaining_amt, payrec, mode_code,coinsurance_code,class_cd,it_remarks) values</v>
      </c>
      <c r="G226" s="24" t="str">
        <f t="shared" si="14"/>
        <v>('29Apr250042','050000680272','1964',(select max(to_number(i.premium_rcv_detail_code))+1
from ins_premium_det i),'1964','1964','02', '11000003','00','Request by Mr. Omair Ali 30-Apr-2025');</v>
      </c>
      <c r="H226" s="25" t="str">
        <f t="shared" si="15"/>
        <v>insert into ins_premium_det (premium_rcv_code,assorted_code, rec_amount,premium_rcv_detail_code,remaining_amt, payrec, mode_code,coinsurance_code,class_cd,it_remarks) values('29Apr250042','050000680272','1964',(select max(to_number(i.premium_rcv_detail_code))+1
from ins_premium_det i),'1964','1964','02', '11000003','00','Request by Mr. Omair Ali 30-Apr-2025');</v>
      </c>
    </row>
    <row r="227" spans="1:8" ht="105" x14ac:dyDescent="0.25">
      <c r="A227" t="s">
        <v>479</v>
      </c>
      <c r="B227" s="1" t="str">
        <f>VLOOKUP(A227,Sheet5!B:C,2,0)</f>
        <v>050000680685</v>
      </c>
      <c r="C227" s="13">
        <v>34</v>
      </c>
      <c r="D227" s="22">
        <f t="shared" si="13"/>
        <v>34</v>
      </c>
      <c r="E227" s="21" t="s">
        <v>5912</v>
      </c>
      <c r="F227" s="23" t="str">
        <f t="shared" si="12"/>
        <v>insert into ins_premium_det (premium_rcv_code,assorted_code, rec_amount,premium_rcv_detail_code,remaining_amt, payrec, mode_code,coinsurance_code,class_cd,it_remarks) values</v>
      </c>
      <c r="G227" s="24" t="str">
        <f t="shared" si="14"/>
        <v>('29Apr250042','050000680685','34',(select max(to_number(i.premium_rcv_detail_code))+1
from ins_premium_det i),'34','34','02', '11000003','00','Request by Mr. Omair Ali 30-Apr-2025');</v>
      </c>
      <c r="H227" s="25" t="str">
        <f t="shared" si="15"/>
        <v>insert into ins_premium_det (premium_rcv_code,assorted_code, rec_amount,premium_rcv_detail_code,remaining_amt, payrec, mode_code,coinsurance_code,class_cd,it_remarks) values('29Apr250042','050000680685','34',(select max(to_number(i.premium_rcv_detail_code))+1
from ins_premium_det i),'34','34','02', '11000003','00','Request by Mr. Omair Ali 30-Apr-2025');</v>
      </c>
    </row>
    <row r="228" spans="1:8" ht="105" x14ac:dyDescent="0.25">
      <c r="A228" t="s">
        <v>157</v>
      </c>
      <c r="B228" s="1" t="str">
        <f>VLOOKUP(A228,Sheet5!B:C,2,0)</f>
        <v>050000681461</v>
      </c>
      <c r="C228" s="13">
        <v>1531</v>
      </c>
      <c r="D228" s="22">
        <f t="shared" si="13"/>
        <v>1531</v>
      </c>
      <c r="E228" s="21" t="s">
        <v>5912</v>
      </c>
      <c r="F228" s="23" t="str">
        <f t="shared" si="12"/>
        <v>insert into ins_premium_det (premium_rcv_code,assorted_code, rec_amount,premium_rcv_detail_code,remaining_amt, payrec, mode_code,coinsurance_code,class_cd,it_remarks) values</v>
      </c>
      <c r="G228" s="24" t="str">
        <f t="shared" si="14"/>
        <v>('29Apr250042','050000681461','1531',(select max(to_number(i.premium_rcv_detail_code))+1
from ins_premium_det i),'1531','1531','02', '11000003','00','Request by Mr. Omair Ali 30-Apr-2025');</v>
      </c>
      <c r="H228" s="25" t="str">
        <f t="shared" si="15"/>
        <v>insert into ins_premium_det (premium_rcv_code,assorted_code, rec_amount,premium_rcv_detail_code,remaining_amt, payrec, mode_code,coinsurance_code,class_cd,it_remarks) values('29Apr250042','050000681461','1531',(select max(to_number(i.premium_rcv_detail_code))+1
from ins_premium_det i),'1531','1531','02', '11000003','00','Request by Mr. Omair Ali 30-Apr-2025');</v>
      </c>
    </row>
    <row r="229" spans="1:8" ht="105" x14ac:dyDescent="0.25">
      <c r="A229" t="s">
        <v>390</v>
      </c>
      <c r="B229" s="1" t="str">
        <f>VLOOKUP(A229,Sheet5!B:C,2,0)</f>
        <v>050000681643</v>
      </c>
      <c r="C229" s="13">
        <v>1500</v>
      </c>
      <c r="D229" s="22">
        <f t="shared" si="13"/>
        <v>1500</v>
      </c>
      <c r="E229" s="21" t="s">
        <v>5912</v>
      </c>
      <c r="F229" s="23" t="str">
        <f t="shared" si="12"/>
        <v>insert into ins_premium_det (premium_rcv_code,assorted_code, rec_amount,premium_rcv_detail_code,remaining_amt, payrec, mode_code,coinsurance_code,class_cd,it_remarks) values</v>
      </c>
      <c r="G229" s="24" t="str">
        <f t="shared" si="14"/>
        <v>('29Apr250042','050000681643','1500',(select max(to_number(i.premium_rcv_detail_code))+1
from ins_premium_det i),'1500','1500','02', '11000003','00','Request by Mr. Omair Ali 30-Apr-2025');</v>
      </c>
      <c r="H229" s="25" t="str">
        <f t="shared" si="15"/>
        <v>insert into ins_premium_det (premium_rcv_code,assorted_code, rec_amount,premium_rcv_detail_code,remaining_amt, payrec, mode_code,coinsurance_code,class_cd,it_remarks) values('29Apr250042','050000681643','1500',(select max(to_number(i.premium_rcv_detail_code))+1
from ins_premium_det i),'1500','1500','02', '11000003','00','Request by Mr. Omair Ali 30-Apr-2025');</v>
      </c>
    </row>
    <row r="230" spans="1:8" ht="105" x14ac:dyDescent="0.25">
      <c r="A230" t="s">
        <v>404</v>
      </c>
      <c r="B230" s="1" t="str">
        <f>VLOOKUP(A230,Sheet5!B:C,2,0)</f>
        <v>050000681645</v>
      </c>
      <c r="C230" s="13">
        <v>802</v>
      </c>
      <c r="D230" s="22">
        <f t="shared" si="13"/>
        <v>802</v>
      </c>
      <c r="E230" s="21" t="s">
        <v>5912</v>
      </c>
      <c r="F230" s="23" t="str">
        <f t="shared" si="12"/>
        <v>insert into ins_premium_det (premium_rcv_code,assorted_code, rec_amount,premium_rcv_detail_code,remaining_amt, payrec, mode_code,coinsurance_code,class_cd,it_remarks) values</v>
      </c>
      <c r="G230" s="24" t="str">
        <f t="shared" si="14"/>
        <v>('29Apr250042','050000681645','802',(select max(to_number(i.premium_rcv_detail_code))+1
from ins_premium_det i),'802','802','02', '11000003','00','Request by Mr. Omair Ali 30-Apr-2025');</v>
      </c>
      <c r="H230" s="25" t="str">
        <f t="shared" si="15"/>
        <v>insert into ins_premium_det (premium_rcv_code,assorted_code, rec_amount,premium_rcv_detail_code,remaining_amt, payrec, mode_code,coinsurance_code,class_cd,it_remarks) values('29Apr250042','050000681645','802',(select max(to_number(i.premium_rcv_detail_code))+1
from ins_premium_det i),'802','802','02', '11000003','00','Request by Mr. Omair Ali 30-Apr-2025');</v>
      </c>
    </row>
    <row r="231" spans="1:8" ht="105" x14ac:dyDescent="0.25">
      <c r="A231" t="s">
        <v>810</v>
      </c>
      <c r="B231" s="1" t="str">
        <f>VLOOKUP(A231,Sheet5!B:C,2,0)</f>
        <v>050000681651</v>
      </c>
      <c r="C231" s="13">
        <v>4961</v>
      </c>
      <c r="D231" s="22">
        <f t="shared" si="13"/>
        <v>4961</v>
      </c>
      <c r="E231" s="21" t="s">
        <v>5912</v>
      </c>
      <c r="F231" s="23" t="str">
        <f t="shared" si="12"/>
        <v>insert into ins_premium_det (premium_rcv_code,assorted_code, rec_amount,premium_rcv_detail_code,remaining_amt, payrec, mode_code,coinsurance_code,class_cd,it_remarks) values</v>
      </c>
      <c r="G231" s="24" t="str">
        <f t="shared" si="14"/>
        <v>('29Apr250042','050000681651','4961',(select max(to_number(i.premium_rcv_detail_code))+1
from ins_premium_det i),'4961','4961','02', '11000003','00','Request by Mr. Omair Ali 30-Apr-2025');</v>
      </c>
      <c r="H231" s="25" t="str">
        <f t="shared" si="15"/>
        <v>insert into ins_premium_det (premium_rcv_code,assorted_code, rec_amount,premium_rcv_detail_code,remaining_amt, payrec, mode_code,coinsurance_code,class_cd,it_remarks) values('29Apr250042','050000681651','4961',(select max(to_number(i.premium_rcv_detail_code))+1
from ins_premium_det i),'4961','4961','02', '11000003','00','Request by Mr. Omair Ali 30-Apr-2025');</v>
      </c>
    </row>
    <row r="232" spans="1:8" ht="105" x14ac:dyDescent="0.25">
      <c r="A232" t="s">
        <v>883</v>
      </c>
      <c r="B232" s="1" t="str">
        <f>VLOOKUP(A232,Sheet5!B:C,2,0)</f>
        <v>050000682443</v>
      </c>
      <c r="C232" s="13">
        <v>1559</v>
      </c>
      <c r="D232" s="22">
        <f t="shared" si="13"/>
        <v>1559</v>
      </c>
      <c r="E232" s="21" t="s">
        <v>5912</v>
      </c>
      <c r="F232" s="23" t="str">
        <f t="shared" si="12"/>
        <v>insert into ins_premium_det (premium_rcv_code,assorted_code, rec_amount,premium_rcv_detail_code,remaining_amt, payrec, mode_code,coinsurance_code,class_cd,it_remarks) values</v>
      </c>
      <c r="G232" s="24" t="str">
        <f t="shared" si="14"/>
        <v>('29Apr250042','050000682443','1559',(select max(to_number(i.premium_rcv_detail_code))+1
from ins_premium_det i),'1559','1559','02', '11000003','00','Request by Mr. Omair Ali 30-Apr-2025');</v>
      </c>
      <c r="H232" s="25" t="str">
        <f t="shared" si="15"/>
        <v>insert into ins_premium_det (premium_rcv_code,assorted_code, rec_amount,premium_rcv_detail_code,remaining_amt, payrec, mode_code,coinsurance_code,class_cd,it_remarks) values('29Apr250042','050000682443','1559',(select max(to_number(i.premium_rcv_detail_code))+1
from ins_premium_det i),'1559','1559','02', '11000003','00','Request by Mr. Omair Ali 30-Apr-2025');</v>
      </c>
    </row>
    <row r="233" spans="1:8" ht="105" x14ac:dyDescent="0.25">
      <c r="A233" t="s">
        <v>115</v>
      </c>
      <c r="B233" s="1" t="str">
        <f>VLOOKUP(A233,Sheet5!B:C,2,0)</f>
        <v>050000685723</v>
      </c>
      <c r="C233" s="13">
        <v>5372</v>
      </c>
      <c r="D233" s="22">
        <f t="shared" si="13"/>
        <v>5372</v>
      </c>
      <c r="E233" s="21" t="s">
        <v>5912</v>
      </c>
      <c r="F233" s="23" t="str">
        <f t="shared" si="12"/>
        <v>insert into ins_premium_det (premium_rcv_code,assorted_code, rec_amount,premium_rcv_detail_code,remaining_amt, payrec, mode_code,coinsurance_code,class_cd,it_remarks) values</v>
      </c>
      <c r="G233" s="24" t="str">
        <f t="shared" si="14"/>
        <v>('29Apr250042','050000685723','5372',(select max(to_number(i.premium_rcv_detail_code))+1
from ins_premium_det i),'5372','5372','02', '11000003','00','Request by Mr. Omair Ali 30-Apr-2025');</v>
      </c>
      <c r="H233" s="25" t="str">
        <f t="shared" si="15"/>
        <v>insert into ins_premium_det (premium_rcv_code,assorted_code, rec_amount,premium_rcv_detail_code,remaining_amt, payrec, mode_code,coinsurance_code,class_cd,it_remarks) values('29Apr250042','050000685723','5372',(select max(to_number(i.premium_rcv_detail_code))+1
from ins_premium_det i),'5372','5372','02', '11000003','00','Request by Mr. Omair Ali 30-Apr-2025');</v>
      </c>
    </row>
    <row r="234" spans="1:8" ht="105" x14ac:dyDescent="0.25">
      <c r="A234" t="s">
        <v>116</v>
      </c>
      <c r="B234" s="1" t="str">
        <f>VLOOKUP(A234,Sheet5!B:C,2,0)</f>
        <v>050000685724</v>
      </c>
      <c r="C234" s="13">
        <v>4996</v>
      </c>
      <c r="D234" s="22">
        <f t="shared" si="13"/>
        <v>4996</v>
      </c>
      <c r="E234" s="21" t="s">
        <v>5912</v>
      </c>
      <c r="F234" s="23" t="str">
        <f t="shared" si="12"/>
        <v>insert into ins_premium_det (premium_rcv_code,assorted_code, rec_amount,premium_rcv_detail_code,remaining_amt, payrec, mode_code,coinsurance_code,class_cd,it_remarks) values</v>
      </c>
      <c r="G234" s="24" t="str">
        <f t="shared" si="14"/>
        <v>('29Apr250042','050000685724','4996',(select max(to_number(i.premium_rcv_detail_code))+1
from ins_premium_det i),'4996','4996','02', '11000003','00','Request by Mr. Omair Ali 30-Apr-2025');</v>
      </c>
      <c r="H234" s="25" t="str">
        <f t="shared" si="15"/>
        <v>insert into ins_premium_det (premium_rcv_code,assorted_code, rec_amount,premium_rcv_detail_code,remaining_amt, payrec, mode_code,coinsurance_code,class_cd,it_remarks) values('29Apr250042','050000685724','4996',(select max(to_number(i.premium_rcv_detail_code))+1
from ins_premium_det i),'4996','4996','02', '11000003','00','Request by Mr. Omair Ali 30-Apr-2025');</v>
      </c>
    </row>
    <row r="235" spans="1:8" ht="105" x14ac:dyDescent="0.25">
      <c r="A235" t="s">
        <v>117</v>
      </c>
      <c r="B235" s="1" t="str">
        <f>VLOOKUP(A235,Sheet5!B:C,2,0)</f>
        <v>050000685725</v>
      </c>
      <c r="C235" s="13">
        <v>5132</v>
      </c>
      <c r="D235" s="22">
        <f t="shared" si="13"/>
        <v>5132</v>
      </c>
      <c r="E235" s="21" t="s">
        <v>5912</v>
      </c>
      <c r="F235" s="23" t="str">
        <f t="shared" si="12"/>
        <v>insert into ins_premium_det (premium_rcv_code,assorted_code, rec_amount,premium_rcv_detail_code,remaining_amt, payrec, mode_code,coinsurance_code,class_cd,it_remarks) values</v>
      </c>
      <c r="G235" s="24" t="str">
        <f t="shared" si="14"/>
        <v>('29Apr250042','050000685725','5132',(select max(to_number(i.premium_rcv_detail_code))+1
from ins_premium_det i),'5132','5132','02', '11000003','00','Request by Mr. Omair Ali 30-Apr-2025');</v>
      </c>
      <c r="H235" s="25" t="str">
        <f t="shared" si="15"/>
        <v>insert into ins_premium_det (premium_rcv_code,assorted_code, rec_amount,premium_rcv_detail_code,remaining_amt, payrec, mode_code,coinsurance_code,class_cd,it_remarks) values('29Apr250042','050000685725','5132',(select max(to_number(i.premium_rcv_detail_code))+1
from ins_premium_det i),'5132','5132','02', '11000003','00','Request by Mr. Omair Ali 30-Apr-2025');</v>
      </c>
    </row>
    <row r="236" spans="1:8" ht="105" x14ac:dyDescent="0.25">
      <c r="A236" t="s">
        <v>118</v>
      </c>
      <c r="B236" s="1" t="str">
        <f>VLOOKUP(A236,Sheet5!B:C,2,0)</f>
        <v>050000685726</v>
      </c>
      <c r="C236" s="13">
        <v>5858</v>
      </c>
      <c r="D236" s="22">
        <f t="shared" si="13"/>
        <v>5858</v>
      </c>
      <c r="E236" s="21" t="s">
        <v>5912</v>
      </c>
      <c r="F236" s="23" t="str">
        <f t="shared" si="12"/>
        <v>insert into ins_premium_det (premium_rcv_code,assorted_code, rec_amount,premium_rcv_detail_code,remaining_amt, payrec, mode_code,coinsurance_code,class_cd,it_remarks) values</v>
      </c>
      <c r="G236" s="24" t="str">
        <f t="shared" si="14"/>
        <v>('29Apr250042','050000685726','5858',(select max(to_number(i.premium_rcv_detail_code))+1
from ins_premium_det i),'5858','5858','02', '11000003','00','Request by Mr. Omair Ali 30-Apr-2025');</v>
      </c>
      <c r="H236" s="25" t="str">
        <f t="shared" si="15"/>
        <v>insert into ins_premium_det (premium_rcv_code,assorted_code, rec_amount,premium_rcv_detail_code,remaining_amt, payrec, mode_code,coinsurance_code,class_cd,it_remarks) values('29Apr250042','050000685726','5858',(select max(to_number(i.premium_rcv_detail_code))+1
from ins_premium_det i),'5858','5858','02', '11000003','00','Request by Mr. Omair Ali 30-Apr-2025');</v>
      </c>
    </row>
    <row r="237" spans="1:8" ht="105" x14ac:dyDescent="0.25">
      <c r="A237" t="s">
        <v>119</v>
      </c>
      <c r="B237" s="1" t="str">
        <f>VLOOKUP(A237,Sheet5!B:C,2,0)</f>
        <v>050000685727</v>
      </c>
      <c r="C237" s="13">
        <v>5043</v>
      </c>
      <c r="D237" s="22">
        <f t="shared" si="13"/>
        <v>5043</v>
      </c>
      <c r="E237" s="21" t="s">
        <v>5912</v>
      </c>
      <c r="F237" s="23" t="str">
        <f t="shared" si="12"/>
        <v>insert into ins_premium_det (premium_rcv_code,assorted_code, rec_amount,premium_rcv_detail_code,remaining_amt, payrec, mode_code,coinsurance_code,class_cd,it_remarks) values</v>
      </c>
      <c r="G237" s="24" t="str">
        <f t="shared" si="14"/>
        <v>('29Apr250042','050000685727','5043',(select max(to_number(i.premium_rcv_detail_code))+1
from ins_premium_det i),'5043','5043','02', '11000003','00','Request by Mr. Omair Ali 30-Apr-2025');</v>
      </c>
      <c r="H237" s="25" t="str">
        <f t="shared" si="15"/>
        <v>insert into ins_premium_det (premium_rcv_code,assorted_code, rec_amount,premium_rcv_detail_code,remaining_amt, payrec, mode_code,coinsurance_code,class_cd,it_remarks) values('29Apr250042','050000685727','5043',(select max(to_number(i.premium_rcv_detail_code))+1
from ins_premium_det i),'5043','5043','02', '11000003','00','Request by Mr. Omair Ali 30-Apr-2025');</v>
      </c>
    </row>
    <row r="238" spans="1:8" ht="105" x14ac:dyDescent="0.25">
      <c r="A238" t="s">
        <v>907</v>
      </c>
      <c r="B238" s="1" t="str">
        <f>VLOOKUP(A238,Sheet5!B:C,2,0)</f>
        <v>050000685754</v>
      </c>
      <c r="C238" s="13">
        <v>1081</v>
      </c>
      <c r="D238" s="22">
        <f t="shared" si="13"/>
        <v>1081</v>
      </c>
      <c r="E238" s="21" t="s">
        <v>5912</v>
      </c>
      <c r="F238" s="23" t="str">
        <f t="shared" si="12"/>
        <v>insert into ins_premium_det (premium_rcv_code,assorted_code, rec_amount,premium_rcv_detail_code,remaining_amt, payrec, mode_code,coinsurance_code,class_cd,it_remarks) values</v>
      </c>
      <c r="G238" s="24" t="str">
        <f t="shared" si="14"/>
        <v>('29Apr250042','050000685754','1081',(select max(to_number(i.premium_rcv_detail_code))+1
from ins_premium_det i),'1081','1081','02', '11000003','00','Request by Mr. Omair Ali 30-Apr-2025');</v>
      </c>
      <c r="H238" s="25" t="str">
        <f t="shared" si="15"/>
        <v>insert into ins_premium_det (premium_rcv_code,assorted_code, rec_amount,premium_rcv_detail_code,remaining_amt, payrec, mode_code,coinsurance_code,class_cd,it_remarks) values('29Apr250042','050000685754','1081',(select max(to_number(i.premium_rcv_detail_code))+1
from ins_premium_det i),'1081','1081','02', '11000003','00','Request by Mr. Omair Ali 30-Apr-2025');</v>
      </c>
    </row>
    <row r="239" spans="1:8" ht="105" x14ac:dyDescent="0.25">
      <c r="A239" t="s">
        <v>922</v>
      </c>
      <c r="B239" s="1" t="str">
        <f>VLOOKUP(A239,Sheet5!B:C,2,0)</f>
        <v>050000687376</v>
      </c>
      <c r="C239" s="13">
        <v>4199</v>
      </c>
      <c r="D239" s="22">
        <f t="shared" si="13"/>
        <v>4199</v>
      </c>
      <c r="E239" s="21" t="s">
        <v>5912</v>
      </c>
      <c r="F239" s="23" t="str">
        <f t="shared" si="12"/>
        <v>insert into ins_premium_det (premium_rcv_code,assorted_code, rec_amount,premium_rcv_detail_code,remaining_amt, payrec, mode_code,coinsurance_code,class_cd,it_remarks) values</v>
      </c>
      <c r="G239" s="24" t="str">
        <f t="shared" si="14"/>
        <v>('29Apr250042','050000687376','4199',(select max(to_number(i.premium_rcv_detail_code))+1
from ins_premium_det i),'4199','4199','02', '11000003','00','Request by Mr. Omair Ali 30-Apr-2025');</v>
      </c>
      <c r="H239" s="25" t="str">
        <f t="shared" si="15"/>
        <v>insert into ins_premium_det (premium_rcv_code,assorted_code, rec_amount,premium_rcv_detail_code,remaining_amt, payrec, mode_code,coinsurance_code,class_cd,it_remarks) values('29Apr250042','050000687376','4199',(select max(to_number(i.premium_rcv_detail_code))+1
from ins_premium_det i),'4199','4199','02', '11000003','00','Request by Mr. Omair Ali 30-Apr-2025');</v>
      </c>
    </row>
    <row r="240" spans="1:8" ht="105" x14ac:dyDescent="0.25">
      <c r="A240" t="s">
        <v>237</v>
      </c>
      <c r="B240" s="1" t="str">
        <f>VLOOKUP(A240,Sheet5!B:C,2,0)</f>
        <v>050000688151</v>
      </c>
      <c r="C240" s="13">
        <v>146</v>
      </c>
      <c r="D240" s="22">
        <f t="shared" si="13"/>
        <v>146</v>
      </c>
      <c r="E240" s="21" t="s">
        <v>5912</v>
      </c>
      <c r="F240" s="23" t="str">
        <f t="shared" si="12"/>
        <v>insert into ins_premium_det (premium_rcv_code,assorted_code, rec_amount,premium_rcv_detail_code,remaining_amt, payrec, mode_code,coinsurance_code,class_cd,it_remarks) values</v>
      </c>
      <c r="G240" s="24" t="str">
        <f t="shared" si="14"/>
        <v>('29Apr250042','050000688151','146',(select max(to_number(i.premium_rcv_detail_code))+1
from ins_premium_det i),'146','146','02', '11000003','00','Request by Mr. Omair Ali 30-Apr-2025');</v>
      </c>
      <c r="H240" s="25" t="str">
        <f t="shared" si="15"/>
        <v>insert into ins_premium_det (premium_rcv_code,assorted_code, rec_amount,premium_rcv_detail_code,remaining_amt, payrec, mode_code,coinsurance_code,class_cd,it_remarks) values('29Apr250042','050000688151','146',(select max(to_number(i.premium_rcv_detail_code))+1
from ins_premium_det i),'146','146','02', '11000003','00','Request by Mr. Omair Ali 30-Apr-2025');</v>
      </c>
    </row>
    <row r="241" spans="1:8" ht="105" x14ac:dyDescent="0.25">
      <c r="A241" t="s">
        <v>320</v>
      </c>
      <c r="B241" s="1" t="str">
        <f>VLOOKUP(A241,Sheet5!B:C,2,0)</f>
        <v>050000688157</v>
      </c>
      <c r="C241" s="13">
        <v>3950</v>
      </c>
      <c r="D241" s="22">
        <f t="shared" si="13"/>
        <v>3950</v>
      </c>
      <c r="E241" s="21" t="s">
        <v>5912</v>
      </c>
      <c r="F241" s="23" t="str">
        <f t="shared" si="12"/>
        <v>insert into ins_premium_det (premium_rcv_code,assorted_code, rec_amount,premium_rcv_detail_code,remaining_amt, payrec, mode_code,coinsurance_code,class_cd,it_remarks) values</v>
      </c>
      <c r="G241" s="24" t="str">
        <f t="shared" si="14"/>
        <v>('29Apr250042','050000688157','3950',(select max(to_number(i.premium_rcv_detail_code))+1
from ins_premium_det i),'3950','3950','02', '11000003','00','Request by Mr. Omair Ali 30-Apr-2025');</v>
      </c>
      <c r="H241" s="25" t="str">
        <f t="shared" si="15"/>
        <v>insert into ins_premium_det (premium_rcv_code,assorted_code, rec_amount,premium_rcv_detail_code,remaining_amt, payrec, mode_code,coinsurance_code,class_cd,it_remarks) values('29Apr250042','050000688157','3950',(select max(to_number(i.premium_rcv_detail_code))+1
from ins_premium_det i),'3950','3950','02', '11000003','00','Request by Mr. Omair Ali 30-Apr-2025');</v>
      </c>
    </row>
    <row r="242" spans="1:8" ht="105" x14ac:dyDescent="0.25">
      <c r="A242" t="s">
        <v>963</v>
      </c>
      <c r="B242" s="1" t="str">
        <f>VLOOKUP(A242,Sheet5!B:C,2,0)</f>
        <v>050000688163</v>
      </c>
      <c r="C242" s="13">
        <v>775</v>
      </c>
      <c r="D242" s="22">
        <f t="shared" si="13"/>
        <v>775</v>
      </c>
      <c r="E242" s="21" t="s">
        <v>5912</v>
      </c>
      <c r="F242" s="23" t="str">
        <f t="shared" si="12"/>
        <v>insert into ins_premium_det (premium_rcv_code,assorted_code, rec_amount,premium_rcv_detail_code,remaining_amt, payrec, mode_code,coinsurance_code,class_cd,it_remarks) values</v>
      </c>
      <c r="G242" s="24" t="str">
        <f t="shared" si="14"/>
        <v>('29Apr250042','050000688163','775',(select max(to_number(i.premium_rcv_detail_code))+1
from ins_premium_det i),'775','775','02', '11000003','00','Request by Mr. Omair Ali 30-Apr-2025');</v>
      </c>
      <c r="H242" s="25" t="str">
        <f t="shared" si="15"/>
        <v>insert into ins_premium_det (premium_rcv_code,assorted_code, rec_amount,premium_rcv_detail_code,remaining_amt, payrec, mode_code,coinsurance_code,class_cd,it_remarks) values('29Apr250042','050000688163','775',(select max(to_number(i.premium_rcv_detail_code))+1
from ins_premium_det i),'775','775','02', '11000003','00','Request by Mr. Omair Ali 30-Apr-2025');</v>
      </c>
    </row>
    <row r="243" spans="1:8" ht="105" x14ac:dyDescent="0.25">
      <c r="A243" t="s">
        <v>162</v>
      </c>
      <c r="B243" s="1" t="str">
        <f>VLOOKUP(A243,Sheet5!B:C,2,0)</f>
        <v>050000688350</v>
      </c>
      <c r="C243" s="13">
        <v>285</v>
      </c>
      <c r="D243" s="22">
        <f t="shared" si="13"/>
        <v>285</v>
      </c>
      <c r="E243" s="21" t="s">
        <v>5912</v>
      </c>
      <c r="F243" s="23" t="str">
        <f t="shared" si="12"/>
        <v>insert into ins_premium_det (premium_rcv_code,assorted_code, rec_amount,premium_rcv_detail_code,remaining_amt, payrec, mode_code,coinsurance_code,class_cd,it_remarks) values</v>
      </c>
      <c r="G243" s="24" t="str">
        <f t="shared" si="14"/>
        <v>('29Apr250042','050000688350','285',(select max(to_number(i.premium_rcv_detail_code))+1
from ins_premium_det i),'285','285','02', '11000003','00','Request by Mr. Omair Ali 30-Apr-2025');</v>
      </c>
      <c r="H243" s="25" t="str">
        <f t="shared" si="15"/>
        <v>insert into ins_premium_det (premium_rcv_code,assorted_code, rec_amount,premium_rcv_detail_code,remaining_amt, payrec, mode_code,coinsurance_code,class_cd,it_remarks) values('29Apr250042','050000688350','285',(select max(to_number(i.premium_rcv_detail_code))+1
from ins_premium_det i),'285','285','02', '11000003','00','Request by Mr. Omair Ali 30-Apr-2025');</v>
      </c>
    </row>
    <row r="244" spans="1:8" ht="105" x14ac:dyDescent="0.25">
      <c r="A244" t="s">
        <v>163</v>
      </c>
      <c r="B244" s="1" t="str">
        <f>VLOOKUP(A244,Sheet5!B:C,2,0)</f>
        <v>050000688351</v>
      </c>
      <c r="C244" s="13">
        <v>993</v>
      </c>
      <c r="D244" s="22">
        <f t="shared" si="13"/>
        <v>993</v>
      </c>
      <c r="E244" s="21" t="s">
        <v>5912</v>
      </c>
      <c r="F244" s="23" t="str">
        <f t="shared" si="12"/>
        <v>insert into ins_premium_det (premium_rcv_code,assorted_code, rec_amount,premium_rcv_detail_code,remaining_amt, payrec, mode_code,coinsurance_code,class_cd,it_remarks) values</v>
      </c>
      <c r="G244" s="24" t="str">
        <f t="shared" si="14"/>
        <v>('29Apr250042','050000688351','993',(select max(to_number(i.premium_rcv_detail_code))+1
from ins_premium_det i),'993','993','02', '11000003','00','Request by Mr. Omair Ali 30-Apr-2025');</v>
      </c>
      <c r="H244" s="25" t="str">
        <f t="shared" si="15"/>
        <v>insert into ins_premium_det (premium_rcv_code,assorted_code, rec_amount,premium_rcv_detail_code,remaining_amt, payrec, mode_code,coinsurance_code,class_cd,it_remarks) values('29Apr250042','050000688351','993',(select max(to_number(i.premium_rcv_detail_code))+1
from ins_premium_det i),'993','993','02', '11000003','00','Request by Mr. Omair Ali 30-Apr-2025');</v>
      </c>
    </row>
    <row r="245" spans="1:8" ht="105" x14ac:dyDescent="0.25">
      <c r="A245" t="s">
        <v>128</v>
      </c>
      <c r="B245" s="1" t="str">
        <f>VLOOKUP(A245,Sheet5!B:C,2,0)</f>
        <v>050000689249</v>
      </c>
      <c r="C245" s="13">
        <v>4323</v>
      </c>
      <c r="D245" s="22">
        <f t="shared" si="13"/>
        <v>4323</v>
      </c>
      <c r="E245" s="21" t="s">
        <v>5912</v>
      </c>
      <c r="F245" s="23" t="str">
        <f t="shared" si="12"/>
        <v>insert into ins_premium_det (premium_rcv_code,assorted_code, rec_amount,premium_rcv_detail_code,remaining_amt, payrec, mode_code,coinsurance_code,class_cd,it_remarks) values</v>
      </c>
      <c r="G245" s="24" t="str">
        <f t="shared" si="14"/>
        <v>('29Apr250042','050000689249','4323',(select max(to_number(i.premium_rcv_detail_code))+1
from ins_premium_det i),'4323','4323','02', '11000003','00','Request by Mr. Omair Ali 30-Apr-2025');</v>
      </c>
      <c r="H245" s="25" t="str">
        <f t="shared" si="15"/>
        <v>insert into ins_premium_det (premium_rcv_code,assorted_code, rec_amount,premium_rcv_detail_code,remaining_amt, payrec, mode_code,coinsurance_code,class_cd,it_remarks) values('29Apr250042','050000689249','4323',(select max(to_number(i.premium_rcv_detail_code))+1
from ins_premium_det i),'4323','4323','02', '11000003','00','Request by Mr. Omair Ali 30-Apr-2025');</v>
      </c>
    </row>
    <row r="246" spans="1:8" ht="105" x14ac:dyDescent="0.25">
      <c r="A246" t="s">
        <v>949</v>
      </c>
      <c r="B246" s="1" t="str">
        <f>VLOOKUP(A246,Sheet5!B:C,2,0)</f>
        <v>050000689279</v>
      </c>
      <c r="C246" s="13">
        <v>432</v>
      </c>
      <c r="D246" s="22">
        <f t="shared" si="13"/>
        <v>432</v>
      </c>
      <c r="E246" s="21" t="s">
        <v>5912</v>
      </c>
      <c r="F246" s="23" t="str">
        <f t="shared" si="12"/>
        <v>insert into ins_premium_det (premium_rcv_code,assorted_code, rec_amount,premium_rcv_detail_code,remaining_amt, payrec, mode_code,coinsurance_code,class_cd,it_remarks) values</v>
      </c>
      <c r="G246" s="24" t="str">
        <f t="shared" si="14"/>
        <v>('29Apr250042','050000689279','432',(select max(to_number(i.premium_rcv_detail_code))+1
from ins_premium_det i),'432','432','02', '11000003','00','Request by Mr. Omair Ali 30-Apr-2025');</v>
      </c>
      <c r="H246" s="25" t="str">
        <f t="shared" si="15"/>
        <v>insert into ins_premium_det (premium_rcv_code,assorted_code, rec_amount,premium_rcv_detail_code,remaining_amt, payrec, mode_code,coinsurance_code,class_cd,it_remarks) values('29Apr250042','050000689279','432',(select max(to_number(i.premium_rcv_detail_code))+1
from ins_premium_det i),'432','432','02', '11000003','00','Request by Mr. Omair Ali 30-Apr-2025');</v>
      </c>
    </row>
    <row r="247" spans="1:8" ht="105" x14ac:dyDescent="0.25">
      <c r="A247" t="s">
        <v>98</v>
      </c>
      <c r="B247" s="1" t="str">
        <f>VLOOKUP(A247,Sheet5!B:C,2,0)</f>
        <v>050000689285</v>
      </c>
      <c r="C247" s="13">
        <v>1778</v>
      </c>
      <c r="D247" s="22">
        <f t="shared" si="13"/>
        <v>1778</v>
      </c>
      <c r="E247" s="21" t="s">
        <v>5912</v>
      </c>
      <c r="F247" s="23" t="str">
        <f t="shared" si="12"/>
        <v>insert into ins_premium_det (premium_rcv_code,assorted_code, rec_amount,premium_rcv_detail_code,remaining_amt, payrec, mode_code,coinsurance_code,class_cd,it_remarks) values</v>
      </c>
      <c r="G247" s="24" t="str">
        <f t="shared" si="14"/>
        <v>('29Apr250042','050000689285','1778',(select max(to_number(i.premium_rcv_detail_code))+1
from ins_premium_det i),'1778','1778','02', '11000003','00','Request by Mr. Omair Ali 30-Apr-2025');</v>
      </c>
      <c r="H247" s="25" t="str">
        <f t="shared" si="15"/>
        <v>insert into ins_premium_det (premium_rcv_code,assorted_code, rec_amount,premium_rcv_detail_code,remaining_amt, payrec, mode_code,coinsurance_code,class_cd,it_remarks) values('29Apr250042','050000689285','1778',(select max(to_number(i.premium_rcv_detail_code))+1
from ins_premium_det i),'1778','1778','02', '11000003','00','Request by Mr. Omair Ali 30-Apr-2025');</v>
      </c>
    </row>
    <row r="248" spans="1:8" ht="105" x14ac:dyDescent="0.25">
      <c r="A248" t="s">
        <v>138</v>
      </c>
      <c r="B248" s="1" t="str">
        <f>VLOOKUP(A248,Sheet5!B:C,2,0)</f>
        <v>050000691114</v>
      </c>
      <c r="C248" s="13">
        <v>4276</v>
      </c>
      <c r="D248" s="22">
        <f t="shared" si="13"/>
        <v>4276</v>
      </c>
      <c r="E248" s="21" t="s">
        <v>5912</v>
      </c>
      <c r="F248" s="23" t="str">
        <f t="shared" si="12"/>
        <v>insert into ins_premium_det (premium_rcv_code,assorted_code, rec_amount,premium_rcv_detail_code,remaining_amt, payrec, mode_code,coinsurance_code,class_cd,it_remarks) values</v>
      </c>
      <c r="G248" s="24" t="str">
        <f t="shared" si="14"/>
        <v>('29Apr250042','050000691114','4276',(select max(to_number(i.premium_rcv_detail_code))+1
from ins_premium_det i),'4276','4276','02', '11000003','00','Request by Mr. Omair Ali 30-Apr-2025');</v>
      </c>
      <c r="H248" s="25" t="str">
        <f t="shared" si="15"/>
        <v>insert into ins_premium_det (premium_rcv_code,assorted_code, rec_amount,premium_rcv_detail_code,remaining_amt, payrec, mode_code,coinsurance_code,class_cd,it_remarks) values('29Apr250042','050000691114','4276',(select max(to_number(i.premium_rcv_detail_code))+1
from ins_premium_det i),'4276','4276','02', '11000003','00','Request by Mr. Omair Ali 30-Apr-2025');</v>
      </c>
    </row>
    <row r="249" spans="1:8" ht="105" x14ac:dyDescent="0.25">
      <c r="A249" t="s">
        <v>149</v>
      </c>
      <c r="B249" s="1" t="str">
        <f>VLOOKUP(A249,Sheet5!B:C,2,0)</f>
        <v>050000691266</v>
      </c>
      <c r="C249" s="13">
        <v>4696</v>
      </c>
      <c r="D249" s="22">
        <f t="shared" si="13"/>
        <v>4696</v>
      </c>
      <c r="E249" s="21" t="s">
        <v>5912</v>
      </c>
      <c r="F249" s="23" t="str">
        <f t="shared" si="12"/>
        <v>insert into ins_premium_det (premium_rcv_code,assorted_code, rec_amount,premium_rcv_detail_code,remaining_amt, payrec, mode_code,coinsurance_code,class_cd,it_remarks) values</v>
      </c>
      <c r="G249" s="24" t="str">
        <f t="shared" si="14"/>
        <v>('29Apr250042','050000691266','4696',(select max(to_number(i.premium_rcv_detail_code))+1
from ins_premium_det i),'4696','4696','02', '11000003','00','Request by Mr. Omair Ali 30-Apr-2025');</v>
      </c>
      <c r="H249" s="25" t="str">
        <f t="shared" si="15"/>
        <v>insert into ins_premium_det (premium_rcv_code,assorted_code, rec_amount,premium_rcv_detail_code,remaining_amt, payrec, mode_code,coinsurance_code,class_cd,it_remarks) values('29Apr250042','050000691266','4696',(select max(to_number(i.premium_rcv_detail_code))+1
from ins_premium_det i),'4696','4696','02', '11000003','00','Request by Mr. Omair Ali 30-Apr-2025');</v>
      </c>
    </row>
    <row r="250" spans="1:8" ht="105" x14ac:dyDescent="0.25">
      <c r="A250" t="s">
        <v>212</v>
      </c>
      <c r="B250" s="1" t="str">
        <f>VLOOKUP(A250,Sheet5!B:C,2,0)</f>
        <v>050000691275</v>
      </c>
      <c r="C250" s="13">
        <v>1886</v>
      </c>
      <c r="D250" s="22">
        <f t="shared" si="13"/>
        <v>1886</v>
      </c>
      <c r="E250" s="21" t="s">
        <v>5912</v>
      </c>
      <c r="F250" s="23" t="str">
        <f t="shared" si="12"/>
        <v>insert into ins_premium_det (premium_rcv_code,assorted_code, rec_amount,premium_rcv_detail_code,remaining_amt, payrec, mode_code,coinsurance_code,class_cd,it_remarks) values</v>
      </c>
      <c r="G250" s="24" t="str">
        <f t="shared" si="14"/>
        <v>('29Apr250042','050000691275','1886',(select max(to_number(i.premium_rcv_detail_code))+1
from ins_premium_det i),'1886','1886','02', '11000003','00','Request by Mr. Omair Ali 30-Apr-2025');</v>
      </c>
      <c r="H250" s="25" t="str">
        <f t="shared" si="15"/>
        <v>insert into ins_premium_det (premium_rcv_code,assorted_code, rec_amount,premium_rcv_detail_code,remaining_amt, payrec, mode_code,coinsurance_code,class_cd,it_remarks) values('29Apr250042','050000691275','1886',(select max(to_number(i.premium_rcv_detail_code))+1
from ins_premium_det i),'1886','1886','02', '11000003','00','Request by Mr. Omair Ali 30-Apr-2025');</v>
      </c>
    </row>
    <row r="251" spans="1:8" ht="105" x14ac:dyDescent="0.25">
      <c r="A251" t="s">
        <v>414</v>
      </c>
      <c r="B251" s="1" t="str">
        <f>VLOOKUP(A251,Sheet5!B:C,2,0)</f>
        <v>050000691337</v>
      </c>
      <c r="C251" s="13">
        <v>7695</v>
      </c>
      <c r="D251" s="22">
        <f t="shared" si="13"/>
        <v>7695</v>
      </c>
      <c r="E251" s="21" t="s">
        <v>5912</v>
      </c>
      <c r="F251" s="23" t="str">
        <f t="shared" si="12"/>
        <v>insert into ins_premium_det (premium_rcv_code,assorted_code, rec_amount,premium_rcv_detail_code,remaining_amt, payrec, mode_code,coinsurance_code,class_cd,it_remarks) values</v>
      </c>
      <c r="G251" s="24" t="str">
        <f t="shared" si="14"/>
        <v>('29Apr250042','050000691337','7695',(select max(to_number(i.premium_rcv_detail_code))+1
from ins_premium_det i),'7695','7695','02', '11000003','00','Request by Mr. Omair Ali 30-Apr-2025');</v>
      </c>
      <c r="H251" s="25" t="str">
        <f t="shared" si="15"/>
        <v>insert into ins_premium_det (premium_rcv_code,assorted_code, rec_amount,premium_rcv_detail_code,remaining_amt, payrec, mode_code,coinsurance_code,class_cd,it_remarks) values('29Apr250042','050000691337','7695',(select max(to_number(i.premium_rcv_detail_code))+1
from ins_premium_det i),'7695','7695','02', '11000003','00','Request by Mr. Omair Ali 30-Apr-2025');</v>
      </c>
    </row>
    <row r="252" spans="1:8" ht="105" x14ac:dyDescent="0.25">
      <c r="A252" t="s">
        <v>106</v>
      </c>
      <c r="B252" s="1" t="str">
        <f>VLOOKUP(A252,Sheet5!B:C,2,0)</f>
        <v>050000691555</v>
      </c>
      <c r="C252" s="13">
        <v>7037</v>
      </c>
      <c r="D252" s="22">
        <f t="shared" si="13"/>
        <v>7037</v>
      </c>
      <c r="E252" s="21" t="s">
        <v>5912</v>
      </c>
      <c r="F252" s="23" t="str">
        <f t="shared" si="12"/>
        <v>insert into ins_premium_det (premium_rcv_code,assorted_code, rec_amount,premium_rcv_detail_code,remaining_amt, payrec, mode_code,coinsurance_code,class_cd,it_remarks) values</v>
      </c>
      <c r="G252" s="24" t="str">
        <f t="shared" si="14"/>
        <v>('29Apr250042','050000691555','7037',(select max(to_number(i.premium_rcv_detail_code))+1
from ins_premium_det i),'7037','7037','02', '11000003','00','Request by Mr. Omair Ali 30-Apr-2025');</v>
      </c>
      <c r="H252" s="25" t="str">
        <f t="shared" si="15"/>
        <v>insert into ins_premium_det (premium_rcv_code,assorted_code, rec_amount,premium_rcv_detail_code,remaining_amt, payrec, mode_code,coinsurance_code,class_cd,it_remarks) values('29Apr250042','050000691555','7037',(select max(to_number(i.premium_rcv_detail_code))+1
from ins_premium_det i),'7037','7037','02', '11000003','00','Request by Mr. Omair Ali 30-Apr-2025');</v>
      </c>
    </row>
    <row r="253" spans="1:8" ht="105" x14ac:dyDescent="0.25">
      <c r="A253" t="s">
        <v>230</v>
      </c>
      <c r="B253" s="1" t="str">
        <f>VLOOKUP(A253,Sheet5!B:C,2,0)</f>
        <v>050000691560</v>
      </c>
      <c r="C253" s="13">
        <v>1379</v>
      </c>
      <c r="D253" s="22">
        <f t="shared" si="13"/>
        <v>1379</v>
      </c>
      <c r="E253" s="21" t="s">
        <v>5912</v>
      </c>
      <c r="F253" s="23" t="str">
        <f t="shared" si="12"/>
        <v>insert into ins_premium_det (premium_rcv_code,assorted_code, rec_amount,premium_rcv_detail_code,remaining_amt, payrec, mode_code,coinsurance_code,class_cd,it_remarks) values</v>
      </c>
      <c r="G253" s="24" t="str">
        <f t="shared" si="14"/>
        <v>('29Apr250042','050000691560','1379',(select max(to_number(i.premium_rcv_detail_code))+1
from ins_premium_det i),'1379','1379','02', '11000003','00','Request by Mr. Omair Ali 30-Apr-2025');</v>
      </c>
      <c r="H253" s="25" t="str">
        <f t="shared" si="15"/>
        <v>insert into ins_premium_det (premium_rcv_code,assorted_code, rec_amount,premium_rcv_detail_code,remaining_amt, payrec, mode_code,coinsurance_code,class_cd,it_remarks) values('29Apr250042','050000691560','1379',(select max(to_number(i.premium_rcv_detail_code))+1
from ins_premium_det i),'1379','1379','02', '11000003','00','Request by Mr. Omair Ali 30-Apr-2025');</v>
      </c>
    </row>
    <row r="254" spans="1:8" ht="105" x14ac:dyDescent="0.25">
      <c r="A254" t="s">
        <v>470</v>
      </c>
      <c r="B254" s="1" t="str">
        <f>VLOOKUP(A254,Sheet5!B:C,2,0)</f>
        <v>050000691708</v>
      </c>
      <c r="C254" s="13">
        <v>-5626</v>
      </c>
      <c r="D254" s="22">
        <f t="shared" si="13"/>
        <v>-5626</v>
      </c>
      <c r="E254" s="21" t="s">
        <v>5912</v>
      </c>
      <c r="F254" s="23" t="str">
        <f t="shared" si="12"/>
        <v>insert into ins_premium_det (premium_rcv_code,assorted_code, rec_amount,premium_rcv_detail_code,remaining_amt, payrec, mode_code,coinsurance_code,class_cd,it_remarks) values</v>
      </c>
      <c r="G254" s="24" t="str">
        <f t="shared" si="14"/>
        <v>('29Apr250042','050000691708','-5626',(select max(to_number(i.premium_rcv_detail_code))+1
from ins_premium_det i),'-5626','-5626','02', '11000003','00','Request by Mr. Omair Ali 30-Apr-2025');</v>
      </c>
      <c r="H254" s="25" t="str">
        <f t="shared" si="15"/>
        <v>insert into ins_premium_det (premium_rcv_code,assorted_code, rec_amount,premium_rcv_detail_code,remaining_amt, payrec, mode_code,coinsurance_code,class_cd,it_remarks) values('29Apr250042','050000691708','-5626',(select max(to_number(i.premium_rcv_detail_code))+1
from ins_premium_det i),'-5626','-5626','02', '11000003','00','Request by Mr. Omair Ali 30-Apr-2025');</v>
      </c>
    </row>
    <row r="255" spans="1:8" ht="105" x14ac:dyDescent="0.25">
      <c r="A255" t="s">
        <v>977</v>
      </c>
      <c r="B255" s="1" t="str">
        <f>VLOOKUP(A255,Sheet5!B:C,2,0)</f>
        <v>050000691959</v>
      </c>
      <c r="C255" s="13">
        <v>804</v>
      </c>
      <c r="D255" s="22">
        <f t="shared" si="13"/>
        <v>804</v>
      </c>
      <c r="E255" s="21" t="s">
        <v>5912</v>
      </c>
      <c r="F255" s="23" t="str">
        <f t="shared" si="12"/>
        <v>insert into ins_premium_det (premium_rcv_code,assorted_code, rec_amount,premium_rcv_detail_code,remaining_amt, payrec, mode_code,coinsurance_code,class_cd,it_remarks) values</v>
      </c>
      <c r="G255" s="24" t="str">
        <f t="shared" si="14"/>
        <v>('29Apr250042','050000691959','804',(select max(to_number(i.premium_rcv_detail_code))+1
from ins_premium_det i),'804','804','02', '11000003','00','Request by Mr. Omair Ali 30-Apr-2025');</v>
      </c>
      <c r="H255" s="25" t="str">
        <f t="shared" si="15"/>
        <v>insert into ins_premium_det (premium_rcv_code,assorted_code, rec_amount,premium_rcv_detail_code,remaining_amt, payrec, mode_code,coinsurance_code,class_cd,it_remarks) values('29Apr250042','050000691959','804',(select max(to_number(i.premium_rcv_detail_code))+1
from ins_premium_det i),'804','804','02', '11000003','00','Request by Mr. Omair Ali 30-Apr-2025');</v>
      </c>
    </row>
    <row r="256" spans="1:8" ht="105" x14ac:dyDescent="0.25">
      <c r="A256" t="s">
        <v>158</v>
      </c>
      <c r="B256" s="1" t="str">
        <f>VLOOKUP(A256,Sheet5!B:C,2,0)</f>
        <v>050000692219</v>
      </c>
      <c r="C256" s="13">
        <v>1454</v>
      </c>
      <c r="D256" s="22">
        <f t="shared" si="13"/>
        <v>1454</v>
      </c>
      <c r="E256" s="21" t="s">
        <v>5912</v>
      </c>
      <c r="F256" s="23" t="str">
        <f t="shared" si="12"/>
        <v>insert into ins_premium_det (premium_rcv_code,assorted_code, rec_amount,premium_rcv_detail_code,remaining_amt, payrec, mode_code,coinsurance_code,class_cd,it_remarks) values</v>
      </c>
      <c r="G256" s="24" t="str">
        <f t="shared" si="14"/>
        <v>('29Apr250042','050000692219','1454',(select max(to_number(i.premium_rcv_detail_code))+1
from ins_premium_det i),'1454','1454','02', '11000003','00','Request by Mr. Omair Ali 30-Apr-2025');</v>
      </c>
      <c r="H256" s="25" t="str">
        <f t="shared" si="15"/>
        <v>insert into ins_premium_det (premium_rcv_code,assorted_code, rec_amount,premium_rcv_detail_code,remaining_amt, payrec, mode_code,coinsurance_code,class_cd,it_remarks) values('29Apr250042','050000692219','1454',(select max(to_number(i.premium_rcv_detail_code))+1
from ins_premium_det i),'1454','1454','02', '11000003','00','Request by Mr. Omair Ali 30-Apr-2025');</v>
      </c>
    </row>
    <row r="257" spans="1:8" ht="105" x14ac:dyDescent="0.25">
      <c r="A257" t="s">
        <v>269</v>
      </c>
      <c r="B257" s="1" t="str">
        <f>VLOOKUP(A257,Sheet5!B:C,2,0)</f>
        <v>050000692222</v>
      </c>
      <c r="C257" s="13">
        <v>1</v>
      </c>
      <c r="D257" s="22">
        <f t="shared" si="13"/>
        <v>1</v>
      </c>
      <c r="E257" s="21" t="s">
        <v>5912</v>
      </c>
      <c r="F257" s="23" t="str">
        <f t="shared" si="12"/>
        <v>insert into ins_premium_det (premium_rcv_code,assorted_code, rec_amount,premium_rcv_detail_code,remaining_amt, payrec, mode_code,coinsurance_code,class_cd,it_remarks) values</v>
      </c>
      <c r="G257" s="24" t="str">
        <f t="shared" si="14"/>
        <v>('29Apr250042','050000692222','1',(select max(to_number(i.premium_rcv_detail_code))+1
from ins_premium_det i),'1','1','02', '11000003','00','Request by Mr. Omair Ali 30-Apr-2025');</v>
      </c>
      <c r="H257" s="25" t="str">
        <f t="shared" si="15"/>
        <v>insert into ins_premium_det (premium_rcv_code,assorted_code, rec_amount,premium_rcv_detail_code,remaining_amt, payrec, mode_code,coinsurance_code,class_cd,it_remarks) values('29Apr250042','050000692222','1',(select max(to_number(i.premium_rcv_detail_code))+1
from ins_premium_det i),'1','1','02', '11000003','00','Request by Mr. Omair Ali 30-Apr-2025');</v>
      </c>
    </row>
    <row r="258" spans="1:8" ht="105" x14ac:dyDescent="0.25">
      <c r="A258" t="s">
        <v>391</v>
      </c>
      <c r="B258" s="1" t="str">
        <f>VLOOKUP(A258,Sheet5!B:C,2,0)</f>
        <v>050000692227</v>
      </c>
      <c r="C258" s="13">
        <v>1063</v>
      </c>
      <c r="D258" s="22">
        <f t="shared" si="13"/>
        <v>1063</v>
      </c>
      <c r="E258" s="21" t="s">
        <v>5912</v>
      </c>
      <c r="F258" s="23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24" t="str">
        <f t="shared" si="14"/>
        <v>('29Apr250042','050000692227','1063',(select max(to_number(i.premium_rcv_detail_code))+1
from ins_premium_det i),'1063','1063','02', '11000003','00','Request by Mr. Omair Ali 30-Apr-2025');</v>
      </c>
      <c r="H258" s="25" t="str">
        <f t="shared" si="15"/>
        <v>insert into ins_premium_det (premium_rcv_code,assorted_code, rec_amount,premium_rcv_detail_code,remaining_amt, payrec, mode_code,coinsurance_code,class_cd,it_remarks) values('29Apr250042','050000692227','1063',(select max(to_number(i.premium_rcv_detail_code))+1
from ins_premium_det i),'1063','1063','02', '11000003','00','Request by Mr. Omair Ali 30-Apr-2025');</v>
      </c>
    </row>
    <row r="259" spans="1:8" ht="105" x14ac:dyDescent="0.25">
      <c r="A259" t="s">
        <v>405</v>
      </c>
      <c r="B259" s="1" t="str">
        <f>VLOOKUP(A259,Sheet5!B:C,2,0)</f>
        <v>050000692228</v>
      </c>
      <c r="C259" s="13">
        <v>738</v>
      </c>
      <c r="D259" s="22">
        <f t="shared" ref="D259:D322" si="17">ROUND(C259,0)</f>
        <v>738</v>
      </c>
      <c r="E259" s="21" t="s">
        <v>5912</v>
      </c>
      <c r="F259" s="23" t="str">
        <f t="shared" si="16"/>
        <v>insert into ins_premium_det (premium_rcv_code,assorted_code, rec_amount,premium_rcv_detail_code,remaining_amt, payrec, mode_code,coinsurance_code,class_cd,it_remarks) values</v>
      </c>
      <c r="G259" s="24" t="str">
        <f t="shared" ref="G259:G322" si="18">"('"&amp;E259&amp;"','"&amp;B259&amp;"','"&amp;D259&amp;"',(select max(to_number(i.premium_rcv_detail_code))+1
from ins_premium_det i),'"&amp;D259&amp;"','"&amp;D259&amp;"','02', '11000003','00','Request by Mr. Omair Ali 30-Apr-2025');"</f>
        <v>('29Apr250042','050000692228','738',(select max(to_number(i.premium_rcv_detail_code))+1
from ins_premium_det i),'738','738','02', '11000003','00','Request by Mr. Omair Ali 30-Apr-2025');</v>
      </c>
      <c r="H259" s="25" t="str">
        <f t="shared" ref="H259:H322" si="19">F259&amp;G259</f>
        <v>insert into ins_premium_det (premium_rcv_code,assorted_code, rec_amount,premium_rcv_detail_code,remaining_amt, payrec, mode_code,coinsurance_code,class_cd,it_remarks) values('29Apr250042','050000692228','738',(select max(to_number(i.premium_rcv_detail_code))+1
from ins_premium_det i),'738','738','02', '11000003','00','Request by Mr. Omair Ali 30-Apr-2025');</v>
      </c>
    </row>
    <row r="260" spans="1:8" ht="105" x14ac:dyDescent="0.25">
      <c r="A260" t="s">
        <v>811</v>
      </c>
      <c r="B260" s="1" t="str">
        <f>VLOOKUP(A260,Sheet5!B:C,2,0)</f>
        <v>050000692238</v>
      </c>
      <c r="C260" s="13">
        <v>4758</v>
      </c>
      <c r="D260" s="22">
        <f t="shared" si="17"/>
        <v>4758</v>
      </c>
      <c r="E260" s="21" t="s">
        <v>5912</v>
      </c>
      <c r="F260" s="23" t="str">
        <f t="shared" si="16"/>
        <v>insert into ins_premium_det (premium_rcv_code,assorted_code, rec_amount,premium_rcv_detail_code,remaining_amt, payrec, mode_code,coinsurance_code,class_cd,it_remarks) values</v>
      </c>
      <c r="G260" s="24" t="str">
        <f t="shared" si="18"/>
        <v>('29Apr250042','050000692238','4758',(select max(to_number(i.premium_rcv_detail_code))+1
from ins_premium_det i),'4758','4758','02', '11000003','00','Request by Mr. Omair Ali 30-Apr-2025');</v>
      </c>
      <c r="H260" s="25" t="str">
        <f t="shared" si="19"/>
        <v>insert into ins_premium_det (premium_rcv_code,assorted_code, rec_amount,premium_rcv_detail_code,remaining_amt, payrec, mode_code,coinsurance_code,class_cd,it_remarks) values('29Apr250042','050000692238','4758',(select max(to_number(i.premium_rcv_detail_code))+1
from ins_premium_det i),'4758','4758','02', '11000003','00','Request by Mr. Omair Ali 30-Apr-2025');</v>
      </c>
    </row>
    <row r="261" spans="1:8" ht="105" x14ac:dyDescent="0.25">
      <c r="A261" t="s">
        <v>154</v>
      </c>
      <c r="B261" s="1" t="str">
        <f>VLOOKUP(A261,Sheet5!B:C,2,0)</f>
        <v>050000692263</v>
      </c>
      <c r="C261" s="13">
        <v>10491</v>
      </c>
      <c r="D261" s="22">
        <f t="shared" si="17"/>
        <v>10491</v>
      </c>
      <c r="E261" s="21" t="s">
        <v>5912</v>
      </c>
      <c r="F261" s="23" t="str">
        <f t="shared" si="16"/>
        <v>insert into ins_premium_det (premium_rcv_code,assorted_code, rec_amount,premium_rcv_detail_code,remaining_amt, payrec, mode_code,coinsurance_code,class_cd,it_remarks) values</v>
      </c>
      <c r="G261" s="24" t="str">
        <f t="shared" si="18"/>
        <v>('29Apr250042','050000692263','10491',(select max(to_number(i.premium_rcv_detail_code))+1
from ins_premium_det i),'10491','10491','02', '11000003','00','Request by Mr. Omair Ali 30-Apr-2025');</v>
      </c>
      <c r="H261" s="25" t="str">
        <f t="shared" si="19"/>
        <v>insert into ins_premium_det (premium_rcv_code,assorted_code, rec_amount,premium_rcv_detail_code,remaining_amt, payrec, mode_code,coinsurance_code,class_cd,it_remarks) values('29Apr250042','050000692263','10491',(select max(to_number(i.premium_rcv_detail_code))+1
from ins_premium_det i),'10491','10491','02', '11000003','00','Request by Mr. Omair Ali 30-Apr-2025');</v>
      </c>
    </row>
    <row r="262" spans="1:8" ht="105" x14ac:dyDescent="0.25">
      <c r="A262" t="s">
        <v>1022</v>
      </c>
      <c r="B262" s="1" t="str">
        <f>VLOOKUP(A262,Sheet5!B:C,2,0)</f>
        <v>050000692276</v>
      </c>
      <c r="C262" s="13">
        <v>1467</v>
      </c>
      <c r="D262" s="22">
        <f t="shared" si="17"/>
        <v>1467</v>
      </c>
      <c r="E262" s="21" t="s">
        <v>5912</v>
      </c>
      <c r="F262" s="23" t="str">
        <f t="shared" si="16"/>
        <v>insert into ins_premium_det (premium_rcv_code,assorted_code, rec_amount,premium_rcv_detail_code,remaining_amt, payrec, mode_code,coinsurance_code,class_cd,it_remarks) values</v>
      </c>
      <c r="G262" s="24" t="str">
        <f t="shared" si="18"/>
        <v>('29Apr250042','050000692276','1467',(select max(to_number(i.premium_rcv_detail_code))+1
from ins_premium_det i),'1467','1467','02', '11000003','00','Request by Mr. Omair Ali 30-Apr-2025');</v>
      </c>
      <c r="H262" s="25" t="str">
        <f t="shared" si="19"/>
        <v>insert into ins_premium_det (premium_rcv_code,assorted_code, rec_amount,premium_rcv_detail_code,remaining_amt, payrec, mode_code,coinsurance_code,class_cd,it_remarks) values('29Apr250042','050000692276','1467',(select max(to_number(i.premium_rcv_detail_code))+1
from ins_premium_det i),'1467','1467','02', '11000003','00','Request by Mr. Omair Ali 30-Apr-2025');</v>
      </c>
    </row>
    <row r="263" spans="1:8" ht="105" x14ac:dyDescent="0.25">
      <c r="A263" t="s">
        <v>884</v>
      </c>
      <c r="B263" s="1" t="str">
        <f>VLOOKUP(A263,Sheet5!B:C,2,0)</f>
        <v>050000692371</v>
      </c>
      <c r="C263" s="13">
        <v>57441</v>
      </c>
      <c r="D263" s="22">
        <f t="shared" si="17"/>
        <v>57441</v>
      </c>
      <c r="E263" s="21" t="s">
        <v>5912</v>
      </c>
      <c r="F263" s="23" t="str">
        <f t="shared" si="16"/>
        <v>insert into ins_premium_det (premium_rcv_code,assorted_code, rec_amount,premium_rcv_detail_code,remaining_amt, payrec, mode_code,coinsurance_code,class_cd,it_remarks) values</v>
      </c>
      <c r="G263" s="24" t="str">
        <f t="shared" si="18"/>
        <v>('29Apr250042','050000692371','57441',(select max(to_number(i.premium_rcv_detail_code))+1
from ins_premium_det i),'57441','57441','02', '11000003','00','Request by Mr. Omair Ali 30-Apr-2025');</v>
      </c>
      <c r="H263" s="25" t="str">
        <f t="shared" si="19"/>
        <v>insert into ins_premium_det (premium_rcv_code,assorted_code, rec_amount,premium_rcv_detail_code,remaining_amt, payrec, mode_code,coinsurance_code,class_cd,it_remarks) values('29Apr250042','050000692371','57441',(select max(to_number(i.premium_rcv_detail_code))+1
from ins_premium_det i),'57441','57441','02', '11000003','00','Request by Mr. Omair Ali 30-Apr-2025');</v>
      </c>
    </row>
    <row r="264" spans="1:8" ht="105" x14ac:dyDescent="0.25">
      <c r="A264" t="s">
        <v>887</v>
      </c>
      <c r="B264" s="1" t="str">
        <f>VLOOKUP(A264,Sheet5!B:C,2,0)</f>
        <v>050000692373</v>
      </c>
      <c r="C264" s="13">
        <v>61881</v>
      </c>
      <c r="D264" s="22">
        <f t="shared" si="17"/>
        <v>61881</v>
      </c>
      <c r="E264" s="21" t="s">
        <v>5912</v>
      </c>
      <c r="F264" s="23" t="str">
        <f t="shared" si="16"/>
        <v>insert into ins_premium_det (premium_rcv_code,assorted_code, rec_amount,premium_rcv_detail_code,remaining_amt, payrec, mode_code,coinsurance_code,class_cd,it_remarks) values</v>
      </c>
      <c r="G264" s="24" t="str">
        <f t="shared" si="18"/>
        <v>('29Apr250042','050000692373','61881',(select max(to_number(i.premium_rcv_detail_code))+1
from ins_premium_det i),'61881','61881','02', '11000003','00','Request by Mr. Omair Ali 30-Apr-2025');</v>
      </c>
      <c r="H264" s="25" t="str">
        <f t="shared" si="19"/>
        <v>insert into ins_premium_det (premium_rcv_code,assorted_code, rec_amount,premium_rcv_detail_code,remaining_amt, payrec, mode_code,coinsurance_code,class_cd,it_remarks) values('29Apr250042','050000692373','61881',(select max(to_number(i.premium_rcv_detail_code))+1
from ins_premium_det i),'61881','61881','02', '11000003','00','Request by Mr. Omair Ali 30-Apr-2025');</v>
      </c>
    </row>
    <row r="265" spans="1:8" ht="105" x14ac:dyDescent="0.25">
      <c r="A265" t="s">
        <v>902</v>
      </c>
      <c r="B265" s="1" t="str">
        <f>VLOOKUP(A265,Sheet5!B:C,2,0)</f>
        <v>050000692377</v>
      </c>
      <c r="C265" s="13">
        <v>36321</v>
      </c>
      <c r="D265" s="22">
        <f t="shared" si="17"/>
        <v>36321</v>
      </c>
      <c r="E265" s="21" t="s">
        <v>5912</v>
      </c>
      <c r="F265" s="23" t="str">
        <f t="shared" si="16"/>
        <v>insert into ins_premium_det (premium_rcv_code,assorted_code, rec_amount,premium_rcv_detail_code,remaining_amt, payrec, mode_code,coinsurance_code,class_cd,it_remarks) values</v>
      </c>
      <c r="G265" s="24" t="str">
        <f t="shared" si="18"/>
        <v>('29Apr250042','050000692377','36321',(select max(to_number(i.premium_rcv_detail_code))+1
from ins_premium_det i),'36321','36321','02', '11000003','00','Request by Mr. Omair Ali 30-Apr-2025');</v>
      </c>
      <c r="H265" s="25" t="str">
        <f t="shared" si="19"/>
        <v>insert into ins_premium_det (premium_rcv_code,assorted_code, rec_amount,premium_rcv_detail_code,remaining_amt, payrec, mode_code,coinsurance_code,class_cd,it_remarks) values('29Apr250042','050000692377','36321',(select max(to_number(i.premium_rcv_detail_code))+1
from ins_premium_det i),'36321','36321','02', '11000003','00','Request by Mr. Omair Ali 30-Apr-2025');</v>
      </c>
    </row>
    <row r="266" spans="1:8" ht="105" x14ac:dyDescent="0.25">
      <c r="A266" t="s">
        <v>896</v>
      </c>
      <c r="B266" s="1" t="str">
        <f>VLOOKUP(A266,Sheet5!B:C,2,0)</f>
        <v>050000692380</v>
      </c>
      <c r="C266" s="13">
        <v>49323</v>
      </c>
      <c r="D266" s="22">
        <f t="shared" si="17"/>
        <v>49323</v>
      </c>
      <c r="E266" s="21" t="s">
        <v>5912</v>
      </c>
      <c r="F266" s="23" t="str">
        <f t="shared" si="16"/>
        <v>insert into ins_premium_det (premium_rcv_code,assorted_code, rec_amount,premium_rcv_detail_code,remaining_amt, payrec, mode_code,coinsurance_code,class_cd,it_remarks) values</v>
      </c>
      <c r="G266" s="24" t="str">
        <f t="shared" si="18"/>
        <v>('29Apr250042','050000692380','49323',(select max(to_number(i.premium_rcv_detail_code))+1
from ins_premium_det i),'49323','49323','02', '11000003','00','Request by Mr. Omair Ali 30-Apr-2025');</v>
      </c>
      <c r="H266" s="25" t="str">
        <f t="shared" si="19"/>
        <v>insert into ins_premium_det (premium_rcv_code,assorted_code, rec_amount,premium_rcv_detail_code,remaining_amt, payrec, mode_code,coinsurance_code,class_cd,it_remarks) values('29Apr250042','050000692380','49323',(select max(to_number(i.premium_rcv_detail_code))+1
from ins_premium_det i),'49323','49323','02', '11000003','00','Request by Mr. Omair Ali 30-Apr-2025');</v>
      </c>
    </row>
    <row r="267" spans="1:8" ht="105" x14ac:dyDescent="0.25">
      <c r="A267" t="s">
        <v>908</v>
      </c>
      <c r="B267" s="1" t="str">
        <f>VLOOKUP(A267,Sheet5!B:C,2,0)</f>
        <v>050000692382</v>
      </c>
      <c r="C267" s="13">
        <v>113919</v>
      </c>
      <c r="D267" s="22">
        <f t="shared" si="17"/>
        <v>113919</v>
      </c>
      <c r="E267" s="21" t="s">
        <v>5912</v>
      </c>
      <c r="F267" s="23" t="str">
        <f t="shared" si="16"/>
        <v>insert into ins_premium_det (premium_rcv_code,assorted_code, rec_amount,premium_rcv_detail_code,remaining_amt, payrec, mode_code,coinsurance_code,class_cd,it_remarks) values</v>
      </c>
      <c r="G267" s="24" t="str">
        <f t="shared" si="18"/>
        <v>('29Apr250042','050000692382','113919',(select max(to_number(i.premium_rcv_detail_code))+1
from ins_premium_det i),'113919','113919','02', '11000003','00','Request by Mr. Omair Ali 30-Apr-2025');</v>
      </c>
      <c r="H267" s="25" t="str">
        <f t="shared" si="19"/>
        <v>insert into ins_premium_det (premium_rcv_code,assorted_code, rec_amount,premium_rcv_detail_code,remaining_amt, payrec, mode_code,coinsurance_code,class_cd,it_remarks) values('29Apr250042','050000692382','113919',(select max(to_number(i.premium_rcv_detail_code))+1
from ins_premium_det i),'113919','113919','02', '11000003','00','Request by Mr. Omair Ali 30-Apr-2025');</v>
      </c>
    </row>
    <row r="268" spans="1:8" ht="105" x14ac:dyDescent="0.25">
      <c r="A268" t="s">
        <v>923</v>
      </c>
      <c r="B268" s="1" t="str">
        <f>VLOOKUP(A268,Sheet5!B:C,2,0)</f>
        <v>050000692383</v>
      </c>
      <c r="C268" s="13">
        <v>50801</v>
      </c>
      <c r="D268" s="22">
        <f t="shared" si="17"/>
        <v>50801</v>
      </c>
      <c r="E268" s="21" t="s">
        <v>5912</v>
      </c>
      <c r="F268" s="23" t="str">
        <f t="shared" si="16"/>
        <v>insert into ins_premium_det (premium_rcv_code,assorted_code, rec_amount,premium_rcv_detail_code,remaining_amt, payrec, mode_code,coinsurance_code,class_cd,it_remarks) values</v>
      </c>
      <c r="G268" s="24" t="str">
        <f t="shared" si="18"/>
        <v>('29Apr250042','050000692383','50801',(select max(to_number(i.premium_rcv_detail_code))+1
from ins_premium_det i),'50801','50801','02', '11000003','00','Request by Mr. Omair Ali 30-Apr-2025');</v>
      </c>
      <c r="H268" s="25" t="str">
        <f t="shared" si="19"/>
        <v>insert into ins_premium_det (premium_rcv_code,assorted_code, rec_amount,premium_rcv_detail_code,remaining_amt, payrec, mode_code,coinsurance_code,class_cd,it_remarks) values('29Apr250042','050000692383','50801',(select max(to_number(i.premium_rcv_detail_code))+1
from ins_premium_det i),'50801','50801','02', '11000003','00','Request by Mr. Omair Ali 30-Apr-2025');</v>
      </c>
    </row>
    <row r="269" spans="1:8" ht="105" x14ac:dyDescent="0.25">
      <c r="A269" t="s">
        <v>937</v>
      </c>
      <c r="B269" s="1" t="str">
        <f>VLOOKUP(A269,Sheet5!B:C,2,0)</f>
        <v>050000692386</v>
      </c>
      <c r="C269" s="13">
        <v>70458</v>
      </c>
      <c r="D269" s="22">
        <f t="shared" si="17"/>
        <v>70458</v>
      </c>
      <c r="E269" s="21" t="s">
        <v>5912</v>
      </c>
      <c r="F269" s="23" t="str">
        <f t="shared" si="16"/>
        <v>insert into ins_premium_det (premium_rcv_code,assorted_code, rec_amount,premium_rcv_detail_code,remaining_amt, payrec, mode_code,coinsurance_code,class_cd,it_remarks) values</v>
      </c>
      <c r="G269" s="24" t="str">
        <f t="shared" si="18"/>
        <v>('29Apr250042','050000692386','70458',(select max(to_number(i.premium_rcv_detail_code))+1
from ins_premium_det i),'70458','70458','02', '11000003','00','Request by Mr. Omair Ali 30-Apr-2025');</v>
      </c>
      <c r="H269" s="25" t="str">
        <f t="shared" si="19"/>
        <v>insert into ins_premium_det (premium_rcv_code,assorted_code, rec_amount,premium_rcv_detail_code,remaining_amt, payrec, mode_code,coinsurance_code,class_cd,it_remarks) values('29Apr250042','050000692386','70458',(select max(to_number(i.premium_rcv_detail_code))+1
from ins_premium_det i),'70458','70458','02', '11000003','00','Request by Mr. Omair Ali 30-Apr-2025');</v>
      </c>
    </row>
    <row r="270" spans="1:8" ht="105" x14ac:dyDescent="0.25">
      <c r="A270" t="s">
        <v>950</v>
      </c>
      <c r="B270" s="1" t="str">
        <f>VLOOKUP(A270,Sheet5!B:C,2,0)</f>
        <v>050000692389</v>
      </c>
      <c r="C270" s="13">
        <v>134568</v>
      </c>
      <c r="D270" s="22">
        <f t="shared" si="17"/>
        <v>134568</v>
      </c>
      <c r="E270" s="21" t="s">
        <v>5912</v>
      </c>
      <c r="F270" s="23" t="str">
        <f t="shared" si="16"/>
        <v>insert into ins_premium_det (premium_rcv_code,assorted_code, rec_amount,premium_rcv_detail_code,remaining_amt, payrec, mode_code,coinsurance_code,class_cd,it_remarks) values</v>
      </c>
      <c r="G270" s="24" t="str">
        <f t="shared" si="18"/>
        <v>('29Apr250042','050000692389','134568',(select max(to_number(i.premium_rcv_detail_code))+1
from ins_premium_det i),'134568','134568','02', '11000003','00','Request by Mr. Omair Ali 30-Apr-2025');</v>
      </c>
      <c r="H270" s="25" t="str">
        <f t="shared" si="19"/>
        <v>insert into ins_premium_det (premium_rcv_code,assorted_code, rec_amount,premium_rcv_detail_code,remaining_amt, payrec, mode_code,coinsurance_code,class_cd,it_remarks) values('29Apr250042','050000692389','134568',(select max(to_number(i.premium_rcv_detail_code))+1
from ins_premium_det i),'134568','134568','02', '11000003','00','Request by Mr. Omair Ali 30-Apr-2025');</v>
      </c>
    </row>
    <row r="271" spans="1:8" ht="105" x14ac:dyDescent="0.25">
      <c r="A271" t="s">
        <v>964</v>
      </c>
      <c r="B271" s="1" t="str">
        <f>VLOOKUP(A271,Sheet5!B:C,2,0)</f>
        <v>050000692391</v>
      </c>
      <c r="C271" s="13">
        <v>59225</v>
      </c>
      <c r="D271" s="22">
        <f t="shared" si="17"/>
        <v>59225</v>
      </c>
      <c r="E271" s="21" t="s">
        <v>5912</v>
      </c>
      <c r="F271" s="23" t="str">
        <f t="shared" si="16"/>
        <v>insert into ins_premium_det (premium_rcv_code,assorted_code, rec_amount,premium_rcv_detail_code,remaining_amt, payrec, mode_code,coinsurance_code,class_cd,it_remarks) values</v>
      </c>
      <c r="G271" s="24" t="str">
        <f t="shared" si="18"/>
        <v>('29Apr250042','050000692391','59225',(select max(to_number(i.premium_rcv_detail_code))+1
from ins_premium_det i),'59225','59225','02', '11000003','00','Request by Mr. Omair Ali 30-Apr-2025');</v>
      </c>
      <c r="H271" s="25" t="str">
        <f t="shared" si="19"/>
        <v>insert into ins_premium_det (premium_rcv_code,assorted_code, rec_amount,premium_rcv_detail_code,remaining_amt, payrec, mode_code,coinsurance_code,class_cd,it_remarks) values('29Apr250042','050000692391','59225',(select max(to_number(i.premium_rcv_detail_code))+1
from ins_premium_det i),'59225','59225','02', '11000003','00','Request by Mr. Omair Ali 30-Apr-2025');</v>
      </c>
    </row>
    <row r="272" spans="1:8" ht="105" x14ac:dyDescent="0.25">
      <c r="A272" t="s">
        <v>954</v>
      </c>
      <c r="B272" s="1" t="str">
        <f>VLOOKUP(A272,Sheet5!B:C,2,0)</f>
        <v>050000692393</v>
      </c>
      <c r="C272" s="13">
        <v>51855</v>
      </c>
      <c r="D272" s="22">
        <f t="shared" si="17"/>
        <v>51855</v>
      </c>
      <c r="E272" s="21" t="s">
        <v>5912</v>
      </c>
      <c r="F272" s="23" t="str">
        <f t="shared" si="16"/>
        <v>insert into ins_premium_det (premium_rcv_code,assorted_code, rec_amount,premium_rcv_detail_code,remaining_amt, payrec, mode_code,coinsurance_code,class_cd,it_remarks) values</v>
      </c>
      <c r="G272" s="24" t="str">
        <f t="shared" si="18"/>
        <v>('29Apr250042','050000692393','51855',(select max(to_number(i.premium_rcv_detail_code))+1
from ins_premium_det i),'51855','51855','02', '11000003','00','Request by Mr. Omair Ali 30-Apr-2025');</v>
      </c>
      <c r="H272" s="25" t="str">
        <f t="shared" si="19"/>
        <v>insert into ins_premium_det (premium_rcv_code,assorted_code, rec_amount,premium_rcv_detail_code,remaining_amt, payrec, mode_code,coinsurance_code,class_cd,it_remarks) values('29Apr250042','050000692393','51855',(select max(to_number(i.premium_rcv_detail_code))+1
from ins_premium_det i),'51855','51855','02', '11000003','00','Request by Mr. Omair Ali 30-Apr-2025');</v>
      </c>
    </row>
    <row r="273" spans="1:8" ht="105" x14ac:dyDescent="0.25">
      <c r="A273" t="s">
        <v>978</v>
      </c>
      <c r="B273" s="1" t="str">
        <f>VLOOKUP(A273,Sheet5!B:C,2,0)</f>
        <v>050000692405</v>
      </c>
      <c r="C273" s="13">
        <v>24196</v>
      </c>
      <c r="D273" s="22">
        <f t="shared" si="17"/>
        <v>24196</v>
      </c>
      <c r="E273" s="21" t="s">
        <v>5912</v>
      </c>
      <c r="F273" s="23" t="str">
        <f t="shared" si="16"/>
        <v>insert into ins_premium_det (premium_rcv_code,assorted_code, rec_amount,premium_rcv_detail_code,remaining_amt, payrec, mode_code,coinsurance_code,class_cd,it_remarks) values</v>
      </c>
      <c r="G273" s="24" t="str">
        <f t="shared" si="18"/>
        <v>('29Apr250042','050000692405','24196',(select max(to_number(i.premium_rcv_detail_code))+1
from ins_premium_det i),'24196','24196','02', '11000003','00','Request by Mr. Omair Ali 30-Apr-2025');</v>
      </c>
      <c r="H273" s="25" t="str">
        <f t="shared" si="19"/>
        <v>insert into ins_premium_det (premium_rcv_code,assorted_code, rec_amount,premium_rcv_detail_code,remaining_amt, payrec, mode_code,coinsurance_code,class_cd,it_remarks) values('29Apr250042','050000692405','24196',(select max(to_number(i.premium_rcv_detail_code))+1
from ins_premium_det i),'24196','24196','02', '11000003','00','Request by Mr. Omair Ali 30-Apr-2025');</v>
      </c>
    </row>
    <row r="274" spans="1:8" ht="105" x14ac:dyDescent="0.25">
      <c r="A274" t="s">
        <v>1005</v>
      </c>
      <c r="B274" s="1" t="str">
        <f>VLOOKUP(A274,Sheet5!B:C,2,0)</f>
        <v>050000692408</v>
      </c>
      <c r="C274" s="13">
        <v>170819</v>
      </c>
      <c r="D274" s="22">
        <f t="shared" si="17"/>
        <v>170819</v>
      </c>
      <c r="E274" s="21" t="s">
        <v>5912</v>
      </c>
      <c r="F274" s="23" t="str">
        <f t="shared" si="16"/>
        <v>insert into ins_premium_det (premium_rcv_code,assorted_code, rec_amount,premium_rcv_detail_code,remaining_amt, payrec, mode_code,coinsurance_code,class_cd,it_remarks) values</v>
      </c>
      <c r="G274" s="24" t="str">
        <f t="shared" si="18"/>
        <v>('29Apr250042','050000692408','170819',(select max(to_number(i.premium_rcv_detail_code))+1
from ins_premium_det i),'170819','170819','02', '11000003','00','Request by Mr. Omair Ali 30-Apr-2025');</v>
      </c>
      <c r="H274" s="25" t="str">
        <f t="shared" si="19"/>
        <v>insert into ins_premium_det (premium_rcv_code,assorted_code, rec_amount,premium_rcv_detail_code,remaining_amt, payrec, mode_code,coinsurance_code,class_cd,it_remarks) values('29Apr250042','050000692408','170819',(select max(to_number(i.premium_rcv_detail_code))+1
from ins_premium_det i),'170819','170819','02', '11000003','00','Request by Mr. Omair Ali 30-Apr-2025');</v>
      </c>
    </row>
    <row r="275" spans="1:8" ht="105" x14ac:dyDescent="0.25">
      <c r="A275" t="s">
        <v>991</v>
      </c>
      <c r="B275" s="1" t="str">
        <f>VLOOKUP(A275,Sheet5!B:C,2,0)</f>
        <v>050000692409</v>
      </c>
      <c r="C275" s="13">
        <v>58000</v>
      </c>
      <c r="D275" s="22">
        <f t="shared" si="17"/>
        <v>58000</v>
      </c>
      <c r="E275" s="21" t="s">
        <v>5912</v>
      </c>
      <c r="F275" s="23" t="str">
        <f t="shared" si="16"/>
        <v>insert into ins_premium_det (premium_rcv_code,assorted_code, rec_amount,premium_rcv_detail_code,remaining_amt, payrec, mode_code,coinsurance_code,class_cd,it_remarks) values</v>
      </c>
      <c r="G275" s="24" t="str">
        <f t="shared" si="18"/>
        <v>('29Apr250042','050000692409','58000',(select max(to_number(i.premium_rcv_detail_code))+1
from ins_premium_det i),'58000','58000','02', '11000003','00','Request by Mr. Omair Ali 30-Apr-2025');</v>
      </c>
      <c r="H275" s="25" t="str">
        <f t="shared" si="19"/>
        <v>insert into ins_premium_det (premium_rcv_code,assorted_code, rec_amount,premium_rcv_detail_code,remaining_amt, payrec, mode_code,coinsurance_code,class_cd,it_remarks) values('29Apr250042','050000692409','58000',(select max(to_number(i.premium_rcv_detail_code))+1
from ins_premium_det i),'58000','58000','02', '11000003','00','Request by Mr. Omair Ali 30-Apr-2025');</v>
      </c>
    </row>
    <row r="276" spans="1:8" ht="105" x14ac:dyDescent="0.25">
      <c r="A276" t="s">
        <v>1023</v>
      </c>
      <c r="B276" s="1" t="str">
        <f>VLOOKUP(A276,Sheet5!B:C,2,0)</f>
        <v>050000692410</v>
      </c>
      <c r="C276" s="13">
        <v>29533</v>
      </c>
      <c r="D276" s="22">
        <f t="shared" si="17"/>
        <v>29533</v>
      </c>
      <c r="E276" s="21" t="s">
        <v>5912</v>
      </c>
      <c r="F276" s="23" t="str">
        <f t="shared" si="16"/>
        <v>insert into ins_premium_det (premium_rcv_code,assorted_code, rec_amount,premium_rcv_detail_code,remaining_amt, payrec, mode_code,coinsurance_code,class_cd,it_remarks) values</v>
      </c>
      <c r="G276" s="24" t="str">
        <f t="shared" si="18"/>
        <v>('29Apr250042','050000692410','29533',(select max(to_number(i.premium_rcv_detail_code))+1
from ins_premium_det i),'29533','29533','02', '11000003','00','Request by Mr. Omair Ali 30-Apr-2025');</v>
      </c>
      <c r="H276" s="25" t="str">
        <f t="shared" si="19"/>
        <v>insert into ins_premium_det (premium_rcv_code,assorted_code, rec_amount,premium_rcv_detail_code,remaining_amt, payrec, mode_code,coinsurance_code,class_cd,it_remarks) values('29Apr250042','050000692410','29533',(select max(to_number(i.premium_rcv_detail_code))+1
from ins_premium_det i),'29533','29533','02', '11000003','00','Request by Mr. Omair Ali 30-Apr-2025');</v>
      </c>
    </row>
    <row r="277" spans="1:8" ht="105" x14ac:dyDescent="0.25">
      <c r="A277" t="s">
        <v>1015</v>
      </c>
      <c r="B277" s="1" t="str">
        <f>VLOOKUP(A277,Sheet5!B:C,2,0)</f>
        <v>050000692411</v>
      </c>
      <c r="C277" s="13">
        <v>111972</v>
      </c>
      <c r="D277" s="22">
        <f t="shared" si="17"/>
        <v>111972</v>
      </c>
      <c r="E277" s="21" t="s">
        <v>5912</v>
      </c>
      <c r="F277" s="23" t="str">
        <f t="shared" si="16"/>
        <v>insert into ins_premium_det (premium_rcv_code,assorted_code, rec_amount,premium_rcv_detail_code,remaining_amt, payrec, mode_code,coinsurance_code,class_cd,it_remarks) values</v>
      </c>
      <c r="G277" s="24" t="str">
        <f t="shared" si="18"/>
        <v>('29Apr250042','050000692411','111972',(select max(to_number(i.premium_rcv_detail_code))+1
from ins_premium_det i),'111972','111972','02', '11000003','00','Request by Mr. Omair Ali 30-Apr-2025');</v>
      </c>
      <c r="H277" s="25" t="str">
        <f t="shared" si="19"/>
        <v>insert into ins_premium_det (premium_rcv_code,assorted_code, rec_amount,premium_rcv_detail_code,remaining_amt, payrec, mode_code,coinsurance_code,class_cd,it_remarks) values('29Apr250042','050000692411','111972',(select max(to_number(i.premium_rcv_detail_code))+1
from ins_premium_det i),'111972','111972','02', '11000003','00','Request by Mr. Omair Ali 30-Apr-2025');</v>
      </c>
    </row>
    <row r="278" spans="1:8" ht="105" x14ac:dyDescent="0.25">
      <c r="A278" t="s">
        <v>1036</v>
      </c>
      <c r="B278" s="1" t="str">
        <f>VLOOKUP(A278,Sheet5!B:C,2,0)</f>
        <v>050000692414</v>
      </c>
      <c r="C278" s="13">
        <v>95000</v>
      </c>
      <c r="D278" s="22">
        <f t="shared" si="17"/>
        <v>95000</v>
      </c>
      <c r="E278" s="21" t="s">
        <v>5912</v>
      </c>
      <c r="F278" s="23" t="str">
        <f t="shared" si="16"/>
        <v>insert into ins_premium_det (premium_rcv_code,assorted_code, rec_amount,premium_rcv_detail_code,remaining_amt, payrec, mode_code,coinsurance_code,class_cd,it_remarks) values</v>
      </c>
      <c r="G278" s="24" t="str">
        <f t="shared" si="18"/>
        <v>('29Apr250042','050000692414','95000',(select max(to_number(i.premium_rcv_detail_code))+1
from ins_premium_det i),'95000','95000','02', '11000003','00','Request by Mr. Omair Ali 30-Apr-2025');</v>
      </c>
      <c r="H278" s="25" t="str">
        <f t="shared" si="19"/>
        <v>insert into ins_premium_det (premium_rcv_code,assorted_code, rec_amount,premium_rcv_detail_code,remaining_amt, payrec, mode_code,coinsurance_code,class_cd,it_remarks) values('29Apr250042','050000692414','95000',(select max(to_number(i.premium_rcv_detail_code))+1
from ins_premium_det i),'95000','95000','02', '11000003','00','Request by Mr. Omair Ali 30-Apr-2025');</v>
      </c>
    </row>
    <row r="279" spans="1:8" ht="105" x14ac:dyDescent="0.25">
      <c r="A279" t="s">
        <v>1047</v>
      </c>
      <c r="B279" s="1" t="str">
        <f>VLOOKUP(A279,Sheet5!B:C,2,0)</f>
        <v>050000692428</v>
      </c>
      <c r="C279" s="13">
        <v>55000</v>
      </c>
      <c r="D279" s="22">
        <f t="shared" si="17"/>
        <v>55000</v>
      </c>
      <c r="E279" s="21" t="s">
        <v>5912</v>
      </c>
      <c r="F279" s="23" t="str">
        <f t="shared" si="16"/>
        <v>insert into ins_premium_det (premium_rcv_code,assorted_code, rec_amount,premium_rcv_detail_code,remaining_amt, payrec, mode_code,coinsurance_code,class_cd,it_remarks) values</v>
      </c>
      <c r="G279" s="24" t="str">
        <f t="shared" si="18"/>
        <v>('29Apr250042','050000692428','55000',(select max(to_number(i.premium_rcv_detail_code))+1
from ins_premium_det i),'55000','55000','02', '11000003','00','Request by Mr. Omair Ali 30-Apr-2025');</v>
      </c>
      <c r="H279" s="25" t="str">
        <f t="shared" si="19"/>
        <v>insert into ins_premium_det (premium_rcv_code,assorted_code, rec_amount,premium_rcv_detail_code,remaining_amt, payrec, mode_code,coinsurance_code,class_cd,it_remarks) values('29Apr250042','050000692428','55000',(select max(to_number(i.premium_rcv_detail_code))+1
from ins_premium_det i),'55000','55000','02', '11000003','00','Request by Mr. Omair Ali 30-Apr-2025');</v>
      </c>
    </row>
    <row r="280" spans="1:8" ht="105" x14ac:dyDescent="0.25">
      <c r="A280" t="s">
        <v>1050</v>
      </c>
      <c r="B280" s="1" t="str">
        <f>VLOOKUP(A280,Sheet5!B:C,2,0)</f>
        <v>050000692429</v>
      </c>
      <c r="C280" s="13">
        <v>47000</v>
      </c>
      <c r="D280" s="22">
        <f t="shared" si="17"/>
        <v>47000</v>
      </c>
      <c r="E280" s="21" t="s">
        <v>5912</v>
      </c>
      <c r="F280" s="23" t="str">
        <f t="shared" si="16"/>
        <v>insert into ins_premium_det (premium_rcv_code,assorted_code, rec_amount,premium_rcv_detail_code,remaining_amt, payrec, mode_code,coinsurance_code,class_cd,it_remarks) values</v>
      </c>
      <c r="G280" s="24" t="str">
        <f t="shared" si="18"/>
        <v>('29Apr250042','050000692429','47000',(select max(to_number(i.premium_rcv_detail_code))+1
from ins_premium_det i),'47000','47000','02', '11000003','00','Request by Mr. Omair Ali 30-Apr-2025');</v>
      </c>
      <c r="H280" s="25" t="str">
        <f t="shared" si="19"/>
        <v>insert into ins_premium_det (premium_rcv_code,assorted_code, rec_amount,premium_rcv_detail_code,remaining_amt, payrec, mode_code,coinsurance_code,class_cd,it_remarks) values('29Apr250042','050000692429','47000',(select max(to_number(i.premium_rcv_detail_code))+1
from ins_premium_det i),'47000','47000','02', '11000003','00','Request by Mr. Omair Ali 30-Apr-2025');</v>
      </c>
    </row>
    <row r="281" spans="1:8" ht="105" x14ac:dyDescent="0.25">
      <c r="A281" t="s">
        <v>1060</v>
      </c>
      <c r="B281" s="1" t="str">
        <f>VLOOKUP(A281,Sheet5!B:C,2,0)</f>
        <v>050000692437</v>
      </c>
      <c r="C281" s="13">
        <v>89000</v>
      </c>
      <c r="D281" s="22">
        <f t="shared" si="17"/>
        <v>89000</v>
      </c>
      <c r="E281" s="21" t="s">
        <v>5912</v>
      </c>
      <c r="F281" s="23" t="str">
        <f t="shared" si="16"/>
        <v>insert into ins_premium_det (premium_rcv_code,assorted_code, rec_amount,premium_rcv_detail_code,remaining_amt, payrec, mode_code,coinsurance_code,class_cd,it_remarks) values</v>
      </c>
      <c r="G281" s="24" t="str">
        <f t="shared" si="18"/>
        <v>('29Apr250042','050000692437','89000',(select max(to_number(i.premium_rcv_detail_code))+1
from ins_premium_det i),'89000','89000','02', '11000003','00','Request by Mr. Omair Ali 30-Apr-2025');</v>
      </c>
      <c r="H281" s="25" t="str">
        <f t="shared" si="19"/>
        <v>insert into ins_premium_det (premium_rcv_code,assorted_code, rec_amount,premium_rcv_detail_code,remaining_amt, payrec, mode_code,coinsurance_code,class_cd,it_remarks) values('29Apr250042','050000692437','89000',(select max(to_number(i.premium_rcv_detail_code))+1
from ins_premium_det i),'89000','89000','02', '11000003','00','Request by Mr. Omair Ali 30-Apr-2025');</v>
      </c>
    </row>
    <row r="282" spans="1:8" ht="105" x14ac:dyDescent="0.25">
      <c r="A282" t="s">
        <v>1074</v>
      </c>
      <c r="B282" s="1" t="str">
        <f>VLOOKUP(A282,Sheet5!B:C,2,0)</f>
        <v>050000692438</v>
      </c>
      <c r="C282" s="13">
        <v>115000</v>
      </c>
      <c r="D282" s="22">
        <f t="shared" si="17"/>
        <v>115000</v>
      </c>
      <c r="E282" s="21" t="s">
        <v>5912</v>
      </c>
      <c r="F282" s="23" t="str">
        <f t="shared" si="16"/>
        <v>insert into ins_premium_det (premium_rcv_code,assorted_code, rec_amount,premium_rcv_detail_code,remaining_amt, payrec, mode_code,coinsurance_code,class_cd,it_remarks) values</v>
      </c>
      <c r="G282" s="24" t="str">
        <f t="shared" si="18"/>
        <v>('29Apr250042','050000692438','115000',(select max(to_number(i.premium_rcv_detail_code))+1
from ins_premium_det i),'115000','115000','02', '11000003','00','Request by Mr. Omair Ali 30-Apr-2025');</v>
      </c>
      <c r="H282" s="25" t="str">
        <f t="shared" si="19"/>
        <v>insert into ins_premium_det (premium_rcv_code,assorted_code, rec_amount,premium_rcv_detail_code,remaining_amt, payrec, mode_code,coinsurance_code,class_cd,it_remarks) values('29Apr250042','050000692438','115000',(select max(to_number(i.premium_rcv_detail_code))+1
from ins_premium_det i),'115000','115000','02', '11000003','00','Request by Mr. Omair Ali 30-Apr-2025');</v>
      </c>
    </row>
    <row r="283" spans="1:8" ht="105" x14ac:dyDescent="0.25">
      <c r="A283" t="s">
        <v>1085</v>
      </c>
      <c r="B283" s="1" t="str">
        <f>VLOOKUP(A283,Sheet5!B:C,2,0)</f>
        <v>050000692440</v>
      </c>
      <c r="C283" s="13">
        <v>42185</v>
      </c>
      <c r="D283" s="22">
        <f t="shared" si="17"/>
        <v>42185</v>
      </c>
      <c r="E283" s="21" t="s">
        <v>5912</v>
      </c>
      <c r="F283" s="23" t="str">
        <f t="shared" si="16"/>
        <v>insert into ins_premium_det (premium_rcv_code,assorted_code, rec_amount,premium_rcv_detail_code,remaining_amt, payrec, mode_code,coinsurance_code,class_cd,it_remarks) values</v>
      </c>
      <c r="G283" s="24" t="str">
        <f t="shared" si="18"/>
        <v>('29Apr250042','050000692440','42185',(select max(to_number(i.premium_rcv_detail_code))+1
from ins_premium_det i),'42185','42185','02', '11000003','00','Request by Mr. Omair Ali 30-Apr-2025');</v>
      </c>
      <c r="H283" s="25" t="str">
        <f t="shared" si="19"/>
        <v>insert into ins_premium_det (premium_rcv_code,assorted_code, rec_amount,premium_rcv_detail_code,remaining_amt, payrec, mode_code,coinsurance_code,class_cd,it_remarks) values('29Apr250042','050000692440','42185',(select max(to_number(i.premium_rcv_detail_code))+1
from ins_premium_det i),'42185','42185','02', '11000003','00','Request by Mr. Omair Ali 30-Apr-2025');</v>
      </c>
    </row>
    <row r="284" spans="1:8" ht="105" x14ac:dyDescent="0.25">
      <c r="A284" t="s">
        <v>1119</v>
      </c>
      <c r="B284" s="1" t="str">
        <f>VLOOKUP(A284,Sheet5!B:C,2,0)</f>
        <v>050000692448</v>
      </c>
      <c r="C284" s="13">
        <v>51000</v>
      </c>
      <c r="D284" s="22">
        <f t="shared" si="17"/>
        <v>51000</v>
      </c>
      <c r="E284" s="21" t="s">
        <v>5912</v>
      </c>
      <c r="F284" s="23" t="str">
        <f t="shared" si="16"/>
        <v>insert into ins_premium_det (premium_rcv_code,assorted_code, rec_amount,premium_rcv_detail_code,remaining_amt, payrec, mode_code,coinsurance_code,class_cd,it_remarks) values</v>
      </c>
      <c r="G284" s="24" t="str">
        <f t="shared" si="18"/>
        <v>('29Apr250042','050000692448','51000',(select max(to_number(i.premium_rcv_detail_code))+1
from ins_premium_det i),'51000','51000','02', '11000003','00','Request by Mr. Omair Ali 30-Apr-2025');</v>
      </c>
      <c r="H284" s="25" t="str">
        <f t="shared" si="19"/>
        <v>insert into ins_premium_det (premium_rcv_code,assorted_code, rec_amount,premium_rcv_detail_code,remaining_amt, payrec, mode_code,coinsurance_code,class_cd,it_remarks) values('29Apr250042','050000692448','51000',(select max(to_number(i.premium_rcv_detail_code))+1
from ins_premium_det i),'51000','51000','02', '11000003','00','Request by Mr. Omair Ali 30-Apr-2025');</v>
      </c>
    </row>
    <row r="285" spans="1:8" ht="105" x14ac:dyDescent="0.25">
      <c r="A285" t="s">
        <v>1125</v>
      </c>
      <c r="B285" s="1" t="str">
        <f>VLOOKUP(A285,Sheet5!B:C,2,0)</f>
        <v>050000692451</v>
      </c>
      <c r="C285" s="13">
        <v>85000</v>
      </c>
      <c r="D285" s="22">
        <f t="shared" si="17"/>
        <v>85000</v>
      </c>
      <c r="E285" s="21" t="s">
        <v>5912</v>
      </c>
      <c r="F285" s="23" t="str">
        <f t="shared" si="16"/>
        <v>insert into ins_premium_det (premium_rcv_code,assorted_code, rec_amount,premium_rcv_detail_code,remaining_amt, payrec, mode_code,coinsurance_code,class_cd,it_remarks) values</v>
      </c>
      <c r="G285" s="24" t="str">
        <f t="shared" si="18"/>
        <v>('29Apr250042','050000692451','85000',(select max(to_number(i.premium_rcv_detail_code))+1
from ins_premium_det i),'85000','85000','02', '11000003','00','Request by Mr. Omair Ali 30-Apr-2025');</v>
      </c>
      <c r="H285" s="25" t="str">
        <f t="shared" si="19"/>
        <v>insert into ins_premium_det (premium_rcv_code,assorted_code, rec_amount,premium_rcv_detail_code,remaining_amt, payrec, mode_code,coinsurance_code,class_cd,it_remarks) values('29Apr250042','050000692451','85000',(select max(to_number(i.premium_rcv_detail_code))+1
from ins_premium_det i),'85000','85000','02', '11000003','00','Request by Mr. Omair Ali 30-Apr-2025');</v>
      </c>
    </row>
    <row r="286" spans="1:8" ht="105" x14ac:dyDescent="0.25">
      <c r="A286" t="s">
        <v>1129</v>
      </c>
      <c r="B286" s="1" t="str">
        <f>VLOOKUP(A286,Sheet5!B:C,2,0)</f>
        <v>050000692452</v>
      </c>
      <c r="C286" s="13">
        <v>60000</v>
      </c>
      <c r="D286" s="22">
        <f t="shared" si="17"/>
        <v>60000</v>
      </c>
      <c r="E286" s="21" t="s">
        <v>5912</v>
      </c>
      <c r="F286" s="23" t="str">
        <f t="shared" si="16"/>
        <v>insert into ins_premium_det (premium_rcv_code,assorted_code, rec_amount,premium_rcv_detail_code,remaining_amt, payrec, mode_code,coinsurance_code,class_cd,it_remarks) values</v>
      </c>
      <c r="G286" s="24" t="str">
        <f t="shared" si="18"/>
        <v>('29Apr250042','050000692452','60000',(select max(to_number(i.premium_rcv_detail_code))+1
from ins_premium_det i),'60000','60000','02', '11000003','00','Request by Mr. Omair Ali 30-Apr-2025');</v>
      </c>
      <c r="H286" s="25" t="str">
        <f t="shared" si="19"/>
        <v>insert into ins_premium_det (premium_rcv_code,assorted_code, rec_amount,premium_rcv_detail_code,remaining_amt, payrec, mode_code,coinsurance_code,class_cd,it_remarks) values('29Apr250042','050000692452','60000',(select max(to_number(i.premium_rcv_detail_code))+1
from ins_premium_det i),'60000','60000','02', '11000003','00','Request by Mr. Omair Ali 30-Apr-2025');</v>
      </c>
    </row>
    <row r="287" spans="1:8" ht="105" x14ac:dyDescent="0.25">
      <c r="A287" t="s">
        <v>1140</v>
      </c>
      <c r="B287" s="1" t="str">
        <f>VLOOKUP(A287,Sheet5!B:C,2,0)</f>
        <v>050000692454</v>
      </c>
      <c r="C287" s="13">
        <v>65000</v>
      </c>
      <c r="D287" s="22">
        <f t="shared" si="17"/>
        <v>65000</v>
      </c>
      <c r="E287" s="21" t="s">
        <v>5912</v>
      </c>
      <c r="F287" s="23" t="str">
        <f t="shared" si="16"/>
        <v>insert into ins_premium_det (premium_rcv_code,assorted_code, rec_amount,premium_rcv_detail_code,remaining_amt, payrec, mode_code,coinsurance_code,class_cd,it_remarks) values</v>
      </c>
      <c r="G287" s="24" t="str">
        <f t="shared" si="18"/>
        <v>('29Apr250042','050000692454','65000',(select max(to_number(i.premium_rcv_detail_code))+1
from ins_premium_det i),'65000','65000','02', '11000003','00','Request by Mr. Omair Ali 30-Apr-2025');</v>
      </c>
      <c r="H287" s="25" t="str">
        <f t="shared" si="19"/>
        <v>insert into ins_premium_det (premium_rcv_code,assorted_code, rec_amount,premium_rcv_detail_code,remaining_amt, payrec, mode_code,coinsurance_code,class_cd,it_remarks) values('29Apr250042','050000692454','65000',(select max(to_number(i.premium_rcv_detail_code))+1
from ins_premium_det i),'65000','65000','02', '11000003','00','Request by Mr. Omair Ali 30-Apr-2025');</v>
      </c>
    </row>
    <row r="288" spans="1:8" ht="105" x14ac:dyDescent="0.25">
      <c r="A288" t="s">
        <v>1153</v>
      </c>
      <c r="B288" s="1" t="str">
        <f>VLOOKUP(A288,Sheet5!B:C,2,0)</f>
        <v>050000692455</v>
      </c>
      <c r="C288" s="13">
        <v>45000</v>
      </c>
      <c r="D288" s="22">
        <f t="shared" si="17"/>
        <v>45000</v>
      </c>
      <c r="E288" s="21" t="s">
        <v>5912</v>
      </c>
      <c r="F288" s="23" t="str">
        <f t="shared" si="16"/>
        <v>insert into ins_premium_det (premium_rcv_code,assorted_code, rec_amount,premium_rcv_detail_code,remaining_amt, payrec, mode_code,coinsurance_code,class_cd,it_remarks) values</v>
      </c>
      <c r="G288" s="24" t="str">
        <f t="shared" si="18"/>
        <v>('29Apr250042','050000692455','45000',(select max(to_number(i.premium_rcv_detail_code))+1
from ins_premium_det i),'45000','45000','02', '11000003','00','Request by Mr. Omair Ali 30-Apr-2025');</v>
      </c>
      <c r="H288" s="25" t="str">
        <f t="shared" si="19"/>
        <v>insert into ins_premium_det (premium_rcv_code,assorted_code, rec_amount,premium_rcv_detail_code,remaining_amt, payrec, mode_code,coinsurance_code,class_cd,it_remarks) values('29Apr250042','050000692455','45000',(select max(to_number(i.premium_rcv_detail_code))+1
from ins_premium_det i),'45000','45000','02', '11000003','00','Request by Mr. Omair Ali 30-Apr-2025');</v>
      </c>
    </row>
    <row r="289" spans="1:8" ht="105" x14ac:dyDescent="0.25">
      <c r="A289" t="s">
        <v>1160</v>
      </c>
      <c r="B289" s="1" t="str">
        <f>VLOOKUP(A289,Sheet5!B:C,2,0)</f>
        <v>050000692459</v>
      </c>
      <c r="C289" s="13">
        <v>39000</v>
      </c>
      <c r="D289" s="22">
        <f t="shared" si="17"/>
        <v>39000</v>
      </c>
      <c r="E289" s="21" t="s">
        <v>5912</v>
      </c>
      <c r="F289" s="23" t="str">
        <f t="shared" si="16"/>
        <v>insert into ins_premium_det (premium_rcv_code,assorted_code, rec_amount,premium_rcv_detail_code,remaining_amt, payrec, mode_code,coinsurance_code,class_cd,it_remarks) values</v>
      </c>
      <c r="G289" s="24" t="str">
        <f t="shared" si="18"/>
        <v>('29Apr250042','050000692459','39000',(select max(to_number(i.premium_rcv_detail_code))+1
from ins_premium_det i),'39000','39000','02', '11000003','00','Request by Mr. Omair Ali 30-Apr-2025');</v>
      </c>
      <c r="H289" s="25" t="str">
        <f t="shared" si="19"/>
        <v>insert into ins_premium_det (premium_rcv_code,assorted_code, rec_amount,premium_rcv_detail_code,remaining_amt, payrec, mode_code,coinsurance_code,class_cd,it_remarks) values('29Apr250042','050000692459','39000',(select max(to_number(i.premium_rcv_detail_code))+1
from ins_premium_det i),'39000','39000','02', '11000003','00','Request by Mr. Omair Ali 30-Apr-2025');</v>
      </c>
    </row>
    <row r="290" spans="1:8" ht="105" x14ac:dyDescent="0.25">
      <c r="A290" t="s">
        <v>1164</v>
      </c>
      <c r="B290" s="1" t="str">
        <f>VLOOKUP(A290,Sheet5!B:C,2,0)</f>
        <v>050000692460</v>
      </c>
      <c r="C290" s="13">
        <v>79000</v>
      </c>
      <c r="D290" s="22">
        <f t="shared" si="17"/>
        <v>79000</v>
      </c>
      <c r="E290" s="21" t="s">
        <v>5912</v>
      </c>
      <c r="F290" s="23" t="str">
        <f t="shared" si="16"/>
        <v>insert into ins_premium_det (premium_rcv_code,assorted_code, rec_amount,premium_rcv_detail_code,remaining_amt, payrec, mode_code,coinsurance_code,class_cd,it_remarks) values</v>
      </c>
      <c r="G290" s="24" t="str">
        <f t="shared" si="18"/>
        <v>('29Apr250042','050000692460','79000',(select max(to_number(i.premium_rcv_detail_code))+1
from ins_premium_det i),'79000','79000','02', '11000003','00','Request by Mr. Omair Ali 30-Apr-2025');</v>
      </c>
      <c r="H290" s="25" t="str">
        <f t="shared" si="19"/>
        <v>insert into ins_premium_det (premium_rcv_code,assorted_code, rec_amount,premium_rcv_detail_code,remaining_amt, payrec, mode_code,coinsurance_code,class_cd,it_remarks) values('29Apr250042','050000692460','79000',(select max(to_number(i.premium_rcv_detail_code))+1
from ins_premium_det i),'79000','79000','02', '11000003','00','Request by Mr. Omair Ali 30-Apr-2025');</v>
      </c>
    </row>
    <row r="291" spans="1:8" ht="105" x14ac:dyDescent="0.25">
      <c r="A291" t="s">
        <v>1190</v>
      </c>
      <c r="B291" s="1" t="str">
        <f>VLOOKUP(A291,Sheet5!B:C,2,0)</f>
        <v>050000692465</v>
      </c>
      <c r="C291" s="13">
        <v>45000</v>
      </c>
      <c r="D291" s="22">
        <f t="shared" si="17"/>
        <v>45000</v>
      </c>
      <c r="E291" s="21" t="s">
        <v>5912</v>
      </c>
      <c r="F291" s="23" t="str">
        <f t="shared" si="16"/>
        <v>insert into ins_premium_det (premium_rcv_code,assorted_code, rec_amount,premium_rcv_detail_code,remaining_amt, payrec, mode_code,coinsurance_code,class_cd,it_remarks) values</v>
      </c>
      <c r="G291" s="24" t="str">
        <f t="shared" si="18"/>
        <v>('29Apr250042','050000692465','45000',(select max(to_number(i.premium_rcv_detail_code))+1
from ins_premium_det i),'45000','45000','02', '11000003','00','Request by Mr. Omair Ali 30-Apr-2025');</v>
      </c>
      <c r="H291" s="25" t="str">
        <f t="shared" si="19"/>
        <v>insert into ins_premium_det (premium_rcv_code,assorted_code, rec_amount,premium_rcv_detail_code,remaining_amt, payrec, mode_code,coinsurance_code,class_cd,it_remarks) values('29Apr250042','050000692465','45000',(select max(to_number(i.premium_rcv_detail_code))+1
from ins_premium_det i),'45000','45000','02', '11000003','00','Request by Mr. Omair Ali 30-Apr-2025');</v>
      </c>
    </row>
    <row r="292" spans="1:8" ht="105" x14ac:dyDescent="0.25">
      <c r="A292" t="s">
        <v>1177</v>
      </c>
      <c r="B292" s="1" t="str">
        <f>VLOOKUP(A292,Sheet5!B:C,2,0)</f>
        <v>050000692466</v>
      </c>
      <c r="C292" s="13">
        <v>35000</v>
      </c>
      <c r="D292" s="22">
        <f t="shared" si="17"/>
        <v>35000</v>
      </c>
      <c r="E292" s="21" t="s">
        <v>5912</v>
      </c>
      <c r="F292" s="23" t="str">
        <f t="shared" si="16"/>
        <v>insert into ins_premium_det (premium_rcv_code,assorted_code, rec_amount,premium_rcv_detail_code,remaining_amt, payrec, mode_code,coinsurance_code,class_cd,it_remarks) values</v>
      </c>
      <c r="G292" s="24" t="str">
        <f t="shared" si="18"/>
        <v>('29Apr250042','050000692466','35000',(select max(to_number(i.premium_rcv_detail_code))+1
from ins_premium_det i),'35000','35000','02', '11000003','00','Request by Mr. Omair Ali 30-Apr-2025');</v>
      </c>
      <c r="H292" s="25" t="str">
        <f t="shared" si="19"/>
        <v>insert into ins_premium_det (premium_rcv_code,assorted_code, rec_amount,premium_rcv_detail_code,remaining_amt, payrec, mode_code,coinsurance_code,class_cd,it_remarks) values('29Apr250042','050000692466','35000',(select max(to_number(i.premium_rcv_detail_code))+1
from ins_premium_det i),'35000','35000','02', '11000003','00','Request by Mr. Omair Ali 30-Apr-2025');</v>
      </c>
    </row>
    <row r="293" spans="1:8" ht="105" x14ac:dyDescent="0.25">
      <c r="A293" t="s">
        <v>266</v>
      </c>
      <c r="B293" s="1" t="str">
        <f>VLOOKUP(A293,Sheet5!B:C,2,0)</f>
        <v>050000692501</v>
      </c>
      <c r="C293" s="13">
        <v>-34000</v>
      </c>
      <c r="D293" s="22">
        <f t="shared" si="17"/>
        <v>-34000</v>
      </c>
      <c r="E293" s="21" t="s">
        <v>5912</v>
      </c>
      <c r="F293" s="23" t="str">
        <f t="shared" si="16"/>
        <v>insert into ins_premium_det (premium_rcv_code,assorted_code, rec_amount,premium_rcv_detail_code,remaining_amt, payrec, mode_code,coinsurance_code,class_cd,it_remarks) values</v>
      </c>
      <c r="G293" s="24" t="str">
        <f t="shared" si="18"/>
        <v>('29Apr250042','050000692501','-34000',(select max(to_number(i.premium_rcv_detail_code))+1
from ins_premium_det i),'-34000','-34000','02', '11000003','00','Request by Mr. Omair Ali 30-Apr-2025');</v>
      </c>
      <c r="H293" s="25" t="str">
        <f t="shared" si="19"/>
        <v>insert into ins_premium_det (premium_rcv_code,assorted_code, rec_amount,premium_rcv_detail_code,remaining_amt, payrec, mode_code,coinsurance_code,class_cd,it_remarks) values('29Apr250042','050000692501','-34000',(select max(to_number(i.premium_rcv_detail_code))+1
from ins_premium_det i),'-34000','-34000','02', '11000003','00','Request by Mr. Omair Ali 30-Apr-2025');</v>
      </c>
    </row>
    <row r="294" spans="1:8" ht="105" x14ac:dyDescent="0.25">
      <c r="A294" t="s">
        <v>488</v>
      </c>
      <c r="B294" s="1" t="str">
        <f>VLOOKUP(A294,Sheet5!B:C,2,0)</f>
        <v>050000693148</v>
      </c>
      <c r="C294" s="13">
        <v>3374</v>
      </c>
      <c r="D294" s="22">
        <f t="shared" si="17"/>
        <v>3374</v>
      </c>
      <c r="E294" s="21" t="s">
        <v>5912</v>
      </c>
      <c r="F294" s="23" t="str">
        <f t="shared" si="16"/>
        <v>insert into ins_premium_det (premium_rcv_code,assorted_code, rec_amount,premium_rcv_detail_code,remaining_amt, payrec, mode_code,coinsurance_code,class_cd,it_remarks) values</v>
      </c>
      <c r="G294" s="24" t="str">
        <f t="shared" si="18"/>
        <v>('29Apr250042','050000693148','3374',(select max(to_number(i.premium_rcv_detail_code))+1
from ins_premium_det i),'3374','3374','02', '11000003','00','Request by Mr. Omair Ali 30-Apr-2025');</v>
      </c>
      <c r="H294" s="25" t="str">
        <f t="shared" si="19"/>
        <v>insert into ins_premium_det (premium_rcv_code,assorted_code, rec_amount,premium_rcv_detail_code,remaining_amt, payrec, mode_code,coinsurance_code,class_cd,it_remarks) values('29Apr250042','050000693148','3374',(select max(to_number(i.premium_rcv_detail_code))+1
from ins_premium_det i),'3374','3374','02', '11000003','00','Request by Mr. Omair Ali 30-Apr-2025');</v>
      </c>
    </row>
    <row r="295" spans="1:8" ht="105" x14ac:dyDescent="0.25">
      <c r="A295" t="s">
        <v>570</v>
      </c>
      <c r="B295" s="1" t="str">
        <f>VLOOKUP(A295,Sheet5!B:C,2,0)</f>
        <v>050000693149</v>
      </c>
      <c r="C295" s="13">
        <v>2422</v>
      </c>
      <c r="D295" s="22">
        <f t="shared" si="17"/>
        <v>2422</v>
      </c>
      <c r="E295" s="21" t="s">
        <v>5912</v>
      </c>
      <c r="F295" s="23" t="str">
        <f t="shared" si="16"/>
        <v>insert into ins_premium_det (premium_rcv_code,assorted_code, rec_amount,premium_rcv_detail_code,remaining_amt, payrec, mode_code,coinsurance_code,class_cd,it_remarks) values</v>
      </c>
      <c r="G295" s="24" t="str">
        <f t="shared" si="18"/>
        <v>('29Apr250042','050000693149','2422',(select max(to_number(i.premium_rcv_detail_code))+1
from ins_premium_det i),'2422','2422','02', '11000003','00','Request by Mr. Omair Ali 30-Apr-2025');</v>
      </c>
      <c r="H295" s="25" t="str">
        <f t="shared" si="19"/>
        <v>insert into ins_premium_det (premium_rcv_code,assorted_code, rec_amount,premium_rcv_detail_code,remaining_amt, payrec, mode_code,coinsurance_code,class_cd,it_remarks) values('29Apr250042','050000693149','2422',(select max(to_number(i.premium_rcv_detail_code))+1
from ins_premium_det i),'2422','2422','02', '11000003','00','Request by Mr. Omair Ali 30-Apr-2025');</v>
      </c>
    </row>
    <row r="296" spans="1:8" ht="105" x14ac:dyDescent="0.25">
      <c r="A296" t="s">
        <v>145</v>
      </c>
      <c r="B296" s="1" t="str">
        <f>VLOOKUP(A296,Sheet5!B:C,2,0)</f>
        <v>050000693979</v>
      </c>
      <c r="C296" s="13">
        <v>4942</v>
      </c>
      <c r="D296" s="22">
        <f t="shared" si="17"/>
        <v>4942</v>
      </c>
      <c r="E296" s="21" t="s">
        <v>5912</v>
      </c>
      <c r="F296" s="23" t="str">
        <f t="shared" si="16"/>
        <v>insert into ins_premium_det (premium_rcv_code,assorted_code, rec_amount,premium_rcv_detail_code,remaining_amt, payrec, mode_code,coinsurance_code,class_cd,it_remarks) values</v>
      </c>
      <c r="G296" s="24" t="str">
        <f t="shared" si="18"/>
        <v>('29Apr250042','050000693979','4942',(select max(to_number(i.premium_rcv_detail_code))+1
from ins_premium_det i),'4942','4942','02', '11000003','00','Request by Mr. Omair Ali 30-Apr-2025');</v>
      </c>
      <c r="H296" s="25" t="str">
        <f t="shared" si="19"/>
        <v>insert into ins_premium_det (premium_rcv_code,assorted_code, rec_amount,premium_rcv_detail_code,remaining_amt, payrec, mode_code,coinsurance_code,class_cd,it_remarks) values('29Apr250042','050000693979','4942',(select max(to_number(i.premium_rcv_detail_code))+1
from ins_premium_det i),'4942','4942','02', '11000003','00','Request by Mr. Omair Ali 30-Apr-2025');</v>
      </c>
    </row>
    <row r="297" spans="1:8" ht="105" x14ac:dyDescent="0.25">
      <c r="A297" t="s">
        <v>1037</v>
      </c>
      <c r="B297" s="1" t="str">
        <f>VLOOKUP(A297,Sheet5!B:C,2,0)</f>
        <v>050000693996</v>
      </c>
      <c r="C297" s="13">
        <v>719</v>
      </c>
      <c r="D297" s="22">
        <f t="shared" si="17"/>
        <v>719</v>
      </c>
      <c r="E297" s="21" t="s">
        <v>5912</v>
      </c>
      <c r="F297" s="23" t="str">
        <f t="shared" si="16"/>
        <v>insert into ins_premium_det (premium_rcv_code,assorted_code, rec_amount,premium_rcv_detail_code,remaining_amt, payrec, mode_code,coinsurance_code,class_cd,it_remarks) values</v>
      </c>
      <c r="G297" s="24" t="str">
        <f t="shared" si="18"/>
        <v>('29Apr250042','050000693996','719',(select max(to_number(i.premium_rcv_detail_code))+1
from ins_premium_det i),'719','719','02', '11000003','00','Request by Mr. Omair Ali 30-Apr-2025');</v>
      </c>
      <c r="H297" s="25" t="str">
        <f t="shared" si="19"/>
        <v>insert into ins_premium_det (premium_rcv_code,assorted_code, rec_amount,premium_rcv_detail_code,remaining_amt, payrec, mode_code,coinsurance_code,class_cd,it_remarks) values('29Apr250042','050000693996','719',(select max(to_number(i.premium_rcv_detail_code))+1
from ins_premium_det i),'719','719','02', '11000003','00','Request by Mr. Omair Ali 30-Apr-2025');</v>
      </c>
    </row>
    <row r="298" spans="1:8" ht="105" x14ac:dyDescent="0.25">
      <c r="A298" t="s">
        <v>582</v>
      </c>
      <c r="B298" s="1" t="str">
        <f>VLOOKUP(A298,Sheet5!B:C,2,0)</f>
        <v>050000694405</v>
      </c>
      <c r="C298" s="13">
        <v>3615</v>
      </c>
      <c r="D298" s="22">
        <f t="shared" si="17"/>
        <v>3615</v>
      </c>
      <c r="E298" s="21" t="s">
        <v>5912</v>
      </c>
      <c r="F298" s="23" t="str">
        <f t="shared" si="16"/>
        <v>insert into ins_premium_det (premium_rcv_code,assorted_code, rec_amount,premium_rcv_detail_code,remaining_amt, payrec, mode_code,coinsurance_code,class_cd,it_remarks) values</v>
      </c>
      <c r="G298" s="24" t="str">
        <f t="shared" si="18"/>
        <v>('29Apr250042','050000694405','3615',(select max(to_number(i.premium_rcv_detail_code))+1
from ins_premium_det i),'3615','3615','02', '11000003','00','Request by Mr. Omair Ali 30-Apr-2025');</v>
      </c>
      <c r="H298" s="25" t="str">
        <f t="shared" si="19"/>
        <v>insert into ins_premium_det (premium_rcv_code,assorted_code, rec_amount,premium_rcv_detail_code,remaining_amt, payrec, mode_code,coinsurance_code,class_cd,it_remarks) values('29Apr250042','050000694405','3615',(select max(to_number(i.premium_rcv_detail_code))+1
from ins_premium_det i),'3615','3615','02', '11000003','00','Request by Mr. Omair Ali 30-Apr-2025');</v>
      </c>
    </row>
    <row r="299" spans="1:8" ht="105" x14ac:dyDescent="0.25">
      <c r="A299" t="s">
        <v>597</v>
      </c>
      <c r="B299" s="1" t="str">
        <f>VLOOKUP(A299,Sheet5!B:C,2,0)</f>
        <v>050000694406</v>
      </c>
      <c r="C299" s="13">
        <v>3443</v>
      </c>
      <c r="D299" s="22">
        <f t="shared" si="17"/>
        <v>3443</v>
      </c>
      <c r="E299" s="21" t="s">
        <v>5912</v>
      </c>
      <c r="F299" s="23" t="str">
        <f t="shared" si="16"/>
        <v>insert into ins_premium_det (premium_rcv_code,assorted_code, rec_amount,premium_rcv_detail_code,remaining_amt, payrec, mode_code,coinsurance_code,class_cd,it_remarks) values</v>
      </c>
      <c r="G299" s="24" t="str">
        <f t="shared" si="18"/>
        <v>('29Apr250042','050000694406','3443',(select max(to_number(i.premium_rcv_detail_code))+1
from ins_premium_det i),'3443','3443','02', '11000003','00','Request by Mr. Omair Ali 30-Apr-2025');</v>
      </c>
      <c r="H299" s="25" t="str">
        <f t="shared" si="19"/>
        <v>insert into ins_premium_det (premium_rcv_code,assorted_code, rec_amount,premium_rcv_detail_code,remaining_amt, payrec, mode_code,coinsurance_code,class_cd,it_remarks) values('29Apr250042','050000694406','3443',(select max(to_number(i.premium_rcv_detail_code))+1
from ins_premium_det i),'3443','3443','02', '11000003','00','Request by Mr. Omair Ali 30-Apr-2025');</v>
      </c>
    </row>
    <row r="300" spans="1:8" ht="105" x14ac:dyDescent="0.25">
      <c r="A300" t="s">
        <v>888</v>
      </c>
      <c r="B300" s="1" t="str">
        <f>VLOOKUP(A300,Sheet5!B:C,2,0)</f>
        <v>050000694408</v>
      </c>
      <c r="C300" s="13">
        <v>2356</v>
      </c>
      <c r="D300" s="22">
        <f t="shared" si="17"/>
        <v>2356</v>
      </c>
      <c r="E300" s="21" t="s">
        <v>5912</v>
      </c>
      <c r="F300" s="23" t="str">
        <f t="shared" si="16"/>
        <v>insert into ins_premium_det (premium_rcv_code,assorted_code, rec_amount,premium_rcv_detail_code,remaining_amt, payrec, mode_code,coinsurance_code,class_cd,it_remarks) values</v>
      </c>
      <c r="G300" s="24" t="str">
        <f t="shared" si="18"/>
        <v>('29Apr250042','050000694408','2356',(select max(to_number(i.premium_rcv_detail_code))+1
from ins_premium_det i),'2356','2356','02', '11000003','00','Request by Mr. Omair Ali 30-Apr-2025');</v>
      </c>
      <c r="H300" s="25" t="str">
        <f t="shared" si="19"/>
        <v>insert into ins_premium_det (premium_rcv_code,assorted_code, rec_amount,premium_rcv_detail_code,remaining_amt, payrec, mode_code,coinsurance_code,class_cd,it_remarks) values('29Apr250042','050000694408','2356',(select max(to_number(i.premium_rcv_detail_code))+1
from ins_premium_det i),'2356','2356','02', '11000003','00','Request by Mr. Omair Ali 30-Apr-2025');</v>
      </c>
    </row>
    <row r="301" spans="1:8" ht="105" x14ac:dyDescent="0.25">
      <c r="A301" t="s">
        <v>1041</v>
      </c>
      <c r="B301" s="1" t="str">
        <f>VLOOKUP(A301,Sheet5!B:C,2,0)</f>
        <v>050000694411</v>
      </c>
      <c r="C301" s="13">
        <v>2</v>
      </c>
      <c r="D301" s="22">
        <f t="shared" si="17"/>
        <v>2</v>
      </c>
      <c r="E301" s="21" t="s">
        <v>5912</v>
      </c>
      <c r="F301" s="23" t="str">
        <f t="shared" si="16"/>
        <v>insert into ins_premium_det (premium_rcv_code,assorted_code, rec_amount,premium_rcv_detail_code,remaining_amt, payrec, mode_code,coinsurance_code,class_cd,it_remarks) values</v>
      </c>
      <c r="G301" s="24" t="str">
        <f t="shared" si="18"/>
        <v>('29Apr250042','050000694411','2',(select max(to_number(i.premium_rcv_detail_code))+1
from ins_premium_det i),'2','2','02', '11000003','00','Request by Mr. Omair Ali 30-Apr-2025');</v>
      </c>
      <c r="H301" s="25" t="str">
        <f t="shared" si="19"/>
        <v>insert into ins_premium_det (premium_rcv_code,assorted_code, rec_amount,premium_rcv_detail_code,remaining_amt, payrec, mode_code,coinsurance_code,class_cd,it_remarks) values('29Apr250042','050000694411','2',(select max(to_number(i.premium_rcv_detail_code))+1
from ins_premium_det i),'2','2','02', '11000003','00','Request by Mr. Omair Ali 30-Apr-2025');</v>
      </c>
    </row>
    <row r="302" spans="1:8" ht="105" x14ac:dyDescent="0.25">
      <c r="A302" t="s">
        <v>123</v>
      </c>
      <c r="B302" s="1" t="str">
        <f>VLOOKUP(A302,Sheet5!B:C,2,0)</f>
        <v>050000694423</v>
      </c>
      <c r="C302" s="13">
        <v>2</v>
      </c>
      <c r="D302" s="22">
        <f t="shared" si="17"/>
        <v>2</v>
      </c>
      <c r="E302" s="21" t="s">
        <v>5912</v>
      </c>
      <c r="F302" s="23" t="str">
        <f t="shared" si="16"/>
        <v>insert into ins_premium_det (premium_rcv_code,assorted_code, rec_amount,premium_rcv_detail_code,remaining_amt, payrec, mode_code,coinsurance_code,class_cd,it_remarks) values</v>
      </c>
      <c r="G302" s="24" t="str">
        <f t="shared" si="18"/>
        <v>('29Apr250042','050000694423','2',(select max(to_number(i.premium_rcv_detail_code))+1
from ins_premium_det i),'2','2','02', '11000003','00','Request by Mr. Omair Ali 30-Apr-2025');</v>
      </c>
      <c r="H302" s="25" t="str">
        <f t="shared" si="19"/>
        <v>insert into ins_premium_det (premium_rcv_code,assorted_code, rec_amount,premium_rcv_detail_code,remaining_amt, payrec, mode_code,coinsurance_code,class_cd,it_remarks) values('29Apr250042','050000694423','2',(select max(to_number(i.premium_rcv_detail_code))+1
from ins_premium_det i),'2','2','02', '11000003','00','Request by Mr. Omair Ali 30-Apr-2025');</v>
      </c>
    </row>
    <row r="303" spans="1:8" ht="105" x14ac:dyDescent="0.25">
      <c r="A303" t="s">
        <v>415</v>
      </c>
      <c r="B303" s="1" t="str">
        <f>VLOOKUP(A303,Sheet5!B:C,2,0)</f>
        <v>050000694724</v>
      </c>
      <c r="C303" s="13">
        <v>-7696</v>
      </c>
      <c r="D303" s="22">
        <f t="shared" si="17"/>
        <v>-7696</v>
      </c>
      <c r="E303" s="21" t="s">
        <v>5912</v>
      </c>
      <c r="F303" s="23" t="str">
        <f t="shared" si="16"/>
        <v>insert into ins_premium_det (premium_rcv_code,assorted_code, rec_amount,premium_rcv_detail_code,remaining_amt, payrec, mode_code,coinsurance_code,class_cd,it_remarks) values</v>
      </c>
      <c r="G303" s="24" t="str">
        <f t="shared" si="18"/>
        <v>('29Apr250042','050000694724','-7696',(select max(to_number(i.premium_rcv_detail_code))+1
from ins_premium_det i),'-7696','-7696','02', '11000003','00','Request by Mr. Omair Ali 30-Apr-2025');</v>
      </c>
      <c r="H303" s="25" t="str">
        <f t="shared" si="19"/>
        <v>insert into ins_premium_det (premium_rcv_code,assorted_code, rec_amount,premium_rcv_detail_code,remaining_amt, payrec, mode_code,coinsurance_code,class_cd,it_remarks) values('29Apr250042','050000694724','-7696',(select max(to_number(i.premium_rcv_detail_code))+1
from ins_premium_det i),'-7696','-7696','02', '11000003','00','Request by Mr. Omair Ali 30-Apr-2025');</v>
      </c>
    </row>
    <row r="304" spans="1:8" ht="105" x14ac:dyDescent="0.25">
      <c r="A304" t="s">
        <v>120</v>
      </c>
      <c r="B304" s="1" t="str">
        <f>VLOOKUP(A304,Sheet5!B:C,2,0)</f>
        <v>050000695291</v>
      </c>
      <c r="C304" s="13">
        <v>4483</v>
      </c>
      <c r="D304" s="22">
        <f t="shared" si="17"/>
        <v>4483</v>
      </c>
      <c r="E304" s="21" t="s">
        <v>5912</v>
      </c>
      <c r="F304" s="23" t="str">
        <f t="shared" si="16"/>
        <v>insert into ins_premium_det (premium_rcv_code,assorted_code, rec_amount,premium_rcv_detail_code,remaining_amt, payrec, mode_code,coinsurance_code,class_cd,it_remarks) values</v>
      </c>
      <c r="G304" s="24" t="str">
        <f t="shared" si="18"/>
        <v>('29Apr250042','050000695291','4483',(select max(to_number(i.premium_rcv_detail_code))+1
from ins_premium_det i),'4483','4483','02', '11000003','00','Request by Mr. Omair Ali 30-Apr-2025');</v>
      </c>
      <c r="H304" s="25" t="str">
        <f t="shared" si="19"/>
        <v>insert into ins_premium_det (premium_rcv_code,assorted_code, rec_amount,premium_rcv_detail_code,remaining_amt, payrec, mode_code,coinsurance_code,class_cd,it_remarks) values('29Apr250042','050000695291','4483',(select max(to_number(i.premium_rcv_detail_code))+1
from ins_premium_det i),'4483','4483','02', '11000003','00','Request by Mr. Omair Ali 30-Apr-2025');</v>
      </c>
    </row>
    <row r="305" spans="1:8" ht="105" x14ac:dyDescent="0.25">
      <c r="A305" t="s">
        <v>924</v>
      </c>
      <c r="B305" s="1" t="str">
        <f>VLOOKUP(A305,Sheet5!B:C,2,0)</f>
        <v>050000696408</v>
      </c>
      <c r="C305" s="13">
        <v>5445</v>
      </c>
      <c r="D305" s="22">
        <f t="shared" si="17"/>
        <v>5445</v>
      </c>
      <c r="E305" s="21" t="s">
        <v>5912</v>
      </c>
      <c r="F305" s="23" t="str">
        <f t="shared" si="16"/>
        <v>insert into ins_premium_det (premium_rcv_code,assorted_code, rec_amount,premium_rcv_detail_code,remaining_amt, payrec, mode_code,coinsurance_code,class_cd,it_remarks) values</v>
      </c>
      <c r="G305" s="24" t="str">
        <f t="shared" si="18"/>
        <v>('29Apr250042','050000696408','5445',(select max(to_number(i.premium_rcv_detail_code))+1
from ins_premium_det i),'5445','5445','02', '11000003','00','Request by Mr. Omair Ali 30-Apr-2025');</v>
      </c>
      <c r="H305" s="25" t="str">
        <f t="shared" si="19"/>
        <v>insert into ins_premium_det (premium_rcv_code,assorted_code, rec_amount,premium_rcv_detail_code,remaining_amt, payrec, mode_code,coinsurance_code,class_cd,it_remarks) values('29Apr250042','050000696408','5445',(select max(to_number(i.premium_rcv_detail_code))+1
from ins_premium_det i),'5445','5445','02', '11000003','00','Request by Mr. Omair Ali 30-Apr-2025');</v>
      </c>
    </row>
    <row r="306" spans="1:8" ht="105" x14ac:dyDescent="0.25">
      <c r="A306" t="s">
        <v>909</v>
      </c>
      <c r="B306" s="1" t="str">
        <f>VLOOKUP(A306,Sheet5!B:C,2,0)</f>
        <v>050000697204</v>
      </c>
      <c r="C306" s="13">
        <v>1676</v>
      </c>
      <c r="D306" s="22">
        <f t="shared" si="17"/>
        <v>1676</v>
      </c>
      <c r="E306" s="21" t="s">
        <v>5912</v>
      </c>
      <c r="F306" s="23" t="str">
        <f t="shared" si="16"/>
        <v>insert into ins_premium_det (premium_rcv_code,assorted_code, rec_amount,premium_rcv_detail_code,remaining_amt, payrec, mode_code,coinsurance_code,class_cd,it_remarks) values</v>
      </c>
      <c r="G306" s="24" t="str">
        <f t="shared" si="18"/>
        <v>('29Apr250042','050000697204','1676',(select max(to_number(i.premium_rcv_detail_code))+1
from ins_premium_det i),'1676','1676','02', '11000003','00','Request by Mr. Omair Ali 30-Apr-2025');</v>
      </c>
      <c r="H306" s="25" t="str">
        <f t="shared" si="19"/>
        <v>insert into ins_premium_det (premium_rcv_code,assorted_code, rec_amount,premium_rcv_detail_code,remaining_amt, payrec, mode_code,coinsurance_code,class_cd,it_remarks) values('29Apr250042','050000697204','1676',(select max(to_number(i.premium_rcv_detail_code))+1
from ins_premium_det i),'1676','1676','02', '11000003','00','Request by Mr. Omair Ali 30-Apr-2025');</v>
      </c>
    </row>
    <row r="307" spans="1:8" ht="105" x14ac:dyDescent="0.25">
      <c r="A307" t="s">
        <v>238</v>
      </c>
      <c r="B307" s="1" t="str">
        <f>VLOOKUP(A307,Sheet5!B:C,2,0)</f>
        <v>050000697786</v>
      </c>
      <c r="C307" s="13">
        <v>544</v>
      </c>
      <c r="D307" s="22">
        <f t="shared" si="17"/>
        <v>544</v>
      </c>
      <c r="E307" s="21" t="s">
        <v>5912</v>
      </c>
      <c r="F307" s="23" t="str">
        <f t="shared" si="16"/>
        <v>insert into ins_premium_det (premium_rcv_code,assorted_code, rec_amount,premium_rcv_detail_code,remaining_amt, payrec, mode_code,coinsurance_code,class_cd,it_remarks) values</v>
      </c>
      <c r="G307" s="24" t="str">
        <f t="shared" si="18"/>
        <v>('29Apr250042','050000697786','544',(select max(to_number(i.premium_rcv_detail_code))+1
from ins_premium_det i),'544','544','02', '11000003','00','Request by Mr. Omair Ali 30-Apr-2025');</v>
      </c>
      <c r="H307" s="25" t="str">
        <f t="shared" si="19"/>
        <v>insert into ins_premium_det (premium_rcv_code,assorted_code, rec_amount,premium_rcv_detail_code,remaining_amt, payrec, mode_code,coinsurance_code,class_cd,it_remarks) values('29Apr250042','050000697786','544',(select max(to_number(i.premium_rcv_detail_code))+1
from ins_premium_det i),'544','544','02', '11000003','00','Request by Mr. Omair Ali 30-Apr-2025');</v>
      </c>
    </row>
    <row r="308" spans="1:8" ht="105" x14ac:dyDescent="0.25">
      <c r="A308" t="s">
        <v>1051</v>
      </c>
      <c r="B308" s="1" t="str">
        <f>VLOOKUP(A308,Sheet5!B:C,2,0)</f>
        <v>050000697801</v>
      </c>
      <c r="C308" s="13">
        <v>2571</v>
      </c>
      <c r="D308" s="22">
        <f t="shared" si="17"/>
        <v>2571</v>
      </c>
      <c r="E308" s="21" t="s">
        <v>5912</v>
      </c>
      <c r="F308" s="23" t="str">
        <f t="shared" si="16"/>
        <v>insert into ins_premium_det (premium_rcv_code,assorted_code, rec_amount,premium_rcv_detail_code,remaining_amt, payrec, mode_code,coinsurance_code,class_cd,it_remarks) values</v>
      </c>
      <c r="G308" s="24" t="str">
        <f t="shared" si="18"/>
        <v>('29Apr250042','050000697801','2571',(select max(to_number(i.premium_rcv_detail_code))+1
from ins_premium_det i),'2571','2571','02', '11000003','00','Request by Mr. Omair Ali 30-Apr-2025');</v>
      </c>
      <c r="H308" s="25" t="str">
        <f t="shared" si="19"/>
        <v>insert into ins_premium_det (premium_rcv_code,assorted_code, rec_amount,premium_rcv_detail_code,remaining_amt, payrec, mode_code,coinsurance_code,class_cd,it_remarks) values('29Apr250042','050000697801','2571',(select max(to_number(i.premium_rcv_detail_code))+1
from ins_premium_det i),'2571','2571','02', '11000003','00','Request by Mr. Omair Ali 30-Apr-2025');</v>
      </c>
    </row>
    <row r="309" spans="1:8" ht="105" x14ac:dyDescent="0.25">
      <c r="A309" t="s">
        <v>321</v>
      </c>
      <c r="B309" s="1" t="str">
        <f>VLOOKUP(A309,Sheet5!B:C,2,0)</f>
        <v>050000698155</v>
      </c>
      <c r="C309" s="13">
        <v>4636</v>
      </c>
      <c r="D309" s="22">
        <f t="shared" si="17"/>
        <v>4636</v>
      </c>
      <c r="E309" s="21" t="s">
        <v>5912</v>
      </c>
      <c r="F309" s="23" t="str">
        <f t="shared" si="16"/>
        <v>insert into ins_premium_det (premium_rcv_code,assorted_code, rec_amount,premium_rcv_detail_code,remaining_amt, payrec, mode_code,coinsurance_code,class_cd,it_remarks) values</v>
      </c>
      <c r="G309" s="24" t="str">
        <f t="shared" si="18"/>
        <v>('29Apr250042','050000698155','4636',(select max(to_number(i.premium_rcv_detail_code))+1
from ins_premium_det i),'4636','4636','02', '11000003','00','Request by Mr. Omair Ali 30-Apr-2025');</v>
      </c>
      <c r="H309" s="25" t="str">
        <f t="shared" si="19"/>
        <v>insert into ins_premium_det (premium_rcv_code,assorted_code, rec_amount,premium_rcv_detail_code,remaining_amt, payrec, mode_code,coinsurance_code,class_cd,it_remarks) values('29Apr250042','050000698155','4636',(select max(to_number(i.premium_rcv_detail_code))+1
from ins_premium_det i),'4636','4636','02', '11000003','00','Request by Mr. Omair Ali 30-Apr-2025');</v>
      </c>
    </row>
    <row r="310" spans="1:8" ht="105" x14ac:dyDescent="0.25">
      <c r="A310" t="s">
        <v>500</v>
      </c>
      <c r="B310" s="1" t="str">
        <f>VLOOKUP(A310,Sheet5!B:C,2,0)</f>
        <v>050000698164</v>
      </c>
      <c r="C310" s="13">
        <v>1899</v>
      </c>
      <c r="D310" s="22">
        <f t="shared" si="17"/>
        <v>1899</v>
      </c>
      <c r="E310" s="21" t="s">
        <v>5912</v>
      </c>
      <c r="F310" s="23" t="str">
        <f t="shared" si="16"/>
        <v>insert into ins_premium_det (premium_rcv_code,assorted_code, rec_amount,premium_rcv_detail_code,remaining_amt, payrec, mode_code,coinsurance_code,class_cd,it_remarks) values</v>
      </c>
      <c r="G310" s="24" t="str">
        <f t="shared" si="18"/>
        <v>('29Apr250042','050000698164','1899',(select max(to_number(i.premium_rcv_detail_code))+1
from ins_premium_det i),'1899','1899','02', '11000003','00','Request by Mr. Omair Ali 30-Apr-2025');</v>
      </c>
      <c r="H310" s="25" t="str">
        <f t="shared" si="19"/>
        <v>insert into ins_premium_det (premium_rcv_code,assorted_code, rec_amount,premium_rcv_detail_code,remaining_amt, payrec, mode_code,coinsurance_code,class_cd,it_remarks) values('29Apr250042','050000698164','1899',(select max(to_number(i.premium_rcv_detail_code))+1
from ins_premium_det i),'1899','1899','02', '11000003','00','Request by Mr. Omair Ali 30-Apr-2025');</v>
      </c>
    </row>
    <row r="311" spans="1:8" ht="105" x14ac:dyDescent="0.25">
      <c r="A311" t="s">
        <v>965</v>
      </c>
      <c r="B311" s="1" t="str">
        <f>VLOOKUP(A311,Sheet5!B:C,2,0)</f>
        <v>050000698185</v>
      </c>
      <c r="C311" s="13">
        <v>2047</v>
      </c>
      <c r="D311" s="22">
        <f t="shared" si="17"/>
        <v>2047</v>
      </c>
      <c r="E311" s="21" t="s">
        <v>5912</v>
      </c>
      <c r="F311" s="23" t="str">
        <f t="shared" si="16"/>
        <v>insert into ins_premium_det (premium_rcv_code,assorted_code, rec_amount,premium_rcv_detail_code,remaining_amt, payrec, mode_code,coinsurance_code,class_cd,it_remarks) values</v>
      </c>
      <c r="G311" s="24" t="str">
        <f t="shared" si="18"/>
        <v>('29Apr250042','050000698185','2047',(select max(to_number(i.premium_rcv_detail_code))+1
from ins_premium_det i),'2047','2047','02', '11000003','00','Request by Mr. Omair Ali 30-Apr-2025');</v>
      </c>
      <c r="H311" s="25" t="str">
        <f t="shared" si="19"/>
        <v>insert into ins_premium_det (premium_rcv_code,assorted_code, rec_amount,premium_rcv_detail_code,remaining_amt, payrec, mode_code,coinsurance_code,class_cd,it_remarks) values('29Apr250042','050000698185','2047',(select max(to_number(i.premium_rcv_detail_code))+1
from ins_premium_det i),'2047','2047','02', '11000003','00','Request by Mr. Omair Ali 30-Apr-2025');</v>
      </c>
    </row>
    <row r="312" spans="1:8" ht="105" x14ac:dyDescent="0.25">
      <c r="A312" t="s">
        <v>1061</v>
      </c>
      <c r="B312" s="1" t="str">
        <f>VLOOKUP(A312,Sheet5!B:C,2,0)</f>
        <v>050000698188</v>
      </c>
      <c r="C312" s="13">
        <v>4303</v>
      </c>
      <c r="D312" s="22">
        <f t="shared" si="17"/>
        <v>4303</v>
      </c>
      <c r="E312" s="21" t="s">
        <v>5912</v>
      </c>
      <c r="F312" s="23" t="str">
        <f t="shared" si="16"/>
        <v>insert into ins_premium_det (premium_rcv_code,assorted_code, rec_amount,premium_rcv_detail_code,remaining_amt, payrec, mode_code,coinsurance_code,class_cd,it_remarks) values</v>
      </c>
      <c r="G312" s="24" t="str">
        <f t="shared" si="18"/>
        <v>('29Apr250042','050000698188','4303',(select max(to_number(i.premium_rcv_detail_code))+1
from ins_premium_det i),'4303','4303','02', '11000003','00','Request by Mr. Omair Ali 30-Apr-2025');</v>
      </c>
      <c r="H312" s="25" t="str">
        <f t="shared" si="19"/>
        <v>insert into ins_premium_det (premium_rcv_code,assorted_code, rec_amount,premium_rcv_detail_code,remaining_amt, payrec, mode_code,coinsurance_code,class_cd,it_remarks) values('29Apr250042','050000698188','4303',(select max(to_number(i.premium_rcv_detail_code))+1
from ins_premium_det i),'4303','4303','02', '11000003','00','Request by Mr. Omair Ali 30-Apr-2025');</v>
      </c>
    </row>
    <row r="313" spans="1:8" ht="105" x14ac:dyDescent="0.25">
      <c r="A313" t="s">
        <v>164</v>
      </c>
      <c r="B313" s="1" t="str">
        <f>VLOOKUP(A313,Sheet5!B:C,2,0)</f>
        <v>050000699253</v>
      </c>
      <c r="C313" s="13">
        <v>1865</v>
      </c>
      <c r="D313" s="22">
        <f t="shared" si="17"/>
        <v>1865</v>
      </c>
      <c r="E313" s="21" t="s">
        <v>5912</v>
      </c>
      <c r="F313" s="23" t="str">
        <f t="shared" si="16"/>
        <v>insert into ins_premium_det (premium_rcv_code,assorted_code, rec_amount,premium_rcv_detail_code,remaining_amt, payrec, mode_code,coinsurance_code,class_cd,it_remarks) values</v>
      </c>
      <c r="G313" s="24" t="str">
        <f t="shared" si="18"/>
        <v>('29Apr250042','050000699253','1865',(select max(to_number(i.premium_rcv_detail_code))+1
from ins_premium_det i),'1865','1865','02', '11000003','00','Request by Mr. Omair Ali 30-Apr-2025');</v>
      </c>
      <c r="H313" s="25" t="str">
        <f t="shared" si="19"/>
        <v>insert into ins_premium_det (premium_rcv_code,assorted_code, rec_amount,premium_rcv_detail_code,remaining_amt, payrec, mode_code,coinsurance_code,class_cd,it_remarks) values('29Apr250042','050000699253','1865',(select max(to_number(i.premium_rcv_detail_code))+1
from ins_premium_det i),'1865','1865','02', '11000003','00','Request by Mr. Omair Ali 30-Apr-2025');</v>
      </c>
    </row>
    <row r="314" spans="1:8" ht="105" x14ac:dyDescent="0.25">
      <c r="A314" t="s">
        <v>645</v>
      </c>
      <c r="B314" s="1" t="str">
        <f>VLOOKUP(A314,Sheet5!B:C,2,0)</f>
        <v>050000699347</v>
      </c>
      <c r="C314" s="13">
        <v>2</v>
      </c>
      <c r="D314" s="22">
        <f t="shared" si="17"/>
        <v>2</v>
      </c>
      <c r="E314" s="21" t="s">
        <v>5912</v>
      </c>
      <c r="F314" s="23" t="str">
        <f t="shared" si="16"/>
        <v>insert into ins_premium_det (premium_rcv_code,assorted_code, rec_amount,premium_rcv_detail_code,remaining_amt, payrec, mode_code,coinsurance_code,class_cd,it_remarks) values</v>
      </c>
      <c r="G314" s="24" t="str">
        <f t="shared" si="18"/>
        <v>('29Apr250042','050000699347','2',(select max(to_number(i.premium_rcv_detail_code))+1
from ins_premium_det i),'2','2','02', '11000003','00','Request by Mr. Omair Ali 30-Apr-2025');</v>
      </c>
      <c r="H314" s="25" t="str">
        <f t="shared" si="19"/>
        <v>insert into ins_premium_det (premium_rcv_code,assorted_code, rec_amount,premium_rcv_detail_code,remaining_amt, payrec, mode_code,coinsurance_code,class_cd,it_remarks) values('29Apr250042','050000699347','2',(select max(to_number(i.premium_rcv_detail_code))+1
from ins_premium_det i),'2','2','02', '11000003','00','Request by Mr. Omair Ali 30-Apr-2025');</v>
      </c>
    </row>
    <row r="315" spans="1:8" ht="105" x14ac:dyDescent="0.25">
      <c r="A315" t="s">
        <v>443</v>
      </c>
      <c r="B315" s="1" t="str">
        <f>VLOOKUP(A315,Sheet5!B:C,2,0)</f>
        <v>050000700660</v>
      </c>
      <c r="C315" s="13">
        <v>4626</v>
      </c>
      <c r="D315" s="22">
        <f t="shared" si="17"/>
        <v>4626</v>
      </c>
      <c r="E315" s="21" t="s">
        <v>5912</v>
      </c>
      <c r="F315" s="23" t="str">
        <f t="shared" si="16"/>
        <v>insert into ins_premium_det (premium_rcv_code,assorted_code, rec_amount,premium_rcv_detail_code,remaining_amt, payrec, mode_code,coinsurance_code,class_cd,it_remarks) values</v>
      </c>
      <c r="G315" s="24" t="str">
        <f t="shared" si="18"/>
        <v>('29Apr250042','050000700660','4626',(select max(to_number(i.premium_rcv_detail_code))+1
from ins_premium_det i),'4626','4626','02', '11000003','00','Request by Mr. Omair Ali 30-Apr-2025');</v>
      </c>
      <c r="H315" s="25" t="str">
        <f t="shared" si="19"/>
        <v>insert into ins_premium_det (premium_rcv_code,assorted_code, rec_amount,premium_rcv_detail_code,remaining_amt, payrec, mode_code,coinsurance_code,class_cd,it_remarks) values('29Apr250042','050000700660','4626',(select max(to_number(i.premium_rcv_detail_code))+1
from ins_premium_det i),'4626','4626','02', '11000003','00','Request by Mr. Omair Ali 30-Apr-2025');</v>
      </c>
    </row>
    <row r="316" spans="1:8" ht="105" x14ac:dyDescent="0.25">
      <c r="A316" t="s">
        <v>129</v>
      </c>
      <c r="B316" s="1" t="str">
        <f>VLOOKUP(A316,Sheet5!B:C,2,0)</f>
        <v>050000700827</v>
      </c>
      <c r="C316" s="13">
        <v>5739</v>
      </c>
      <c r="D316" s="22">
        <f t="shared" si="17"/>
        <v>5739</v>
      </c>
      <c r="E316" s="21" t="s">
        <v>5912</v>
      </c>
      <c r="F316" s="23" t="str">
        <f t="shared" si="16"/>
        <v>insert into ins_premium_det (premium_rcv_code,assorted_code, rec_amount,premium_rcv_detail_code,remaining_amt, payrec, mode_code,coinsurance_code,class_cd,it_remarks) values</v>
      </c>
      <c r="G316" s="24" t="str">
        <f t="shared" si="18"/>
        <v>('29Apr250042','050000700827','5739',(select max(to_number(i.premium_rcv_detail_code))+1
from ins_premium_det i),'5739','5739','02', '11000003','00','Request by Mr. Omair Ali 30-Apr-2025');</v>
      </c>
      <c r="H316" s="25" t="str">
        <f t="shared" si="19"/>
        <v>insert into ins_premium_det (premium_rcv_code,assorted_code, rec_amount,premium_rcv_detail_code,remaining_amt, payrec, mode_code,coinsurance_code,class_cd,it_remarks) values('29Apr250042','050000700827','5739',(select max(to_number(i.premium_rcv_detail_code))+1
from ins_premium_det i),'5739','5739','02', '11000003','00','Request by Mr. Omair Ali 30-Apr-2025');</v>
      </c>
    </row>
    <row r="317" spans="1:8" ht="105" x14ac:dyDescent="0.25">
      <c r="A317" t="s">
        <v>168</v>
      </c>
      <c r="B317" s="1" t="str">
        <f>VLOOKUP(A317,Sheet5!B:C,2,0)</f>
        <v>050000700835</v>
      </c>
      <c r="C317" s="13">
        <v>4850</v>
      </c>
      <c r="D317" s="22">
        <f t="shared" si="17"/>
        <v>4850</v>
      </c>
      <c r="E317" s="21" t="s">
        <v>5912</v>
      </c>
      <c r="F317" s="23" t="str">
        <f t="shared" si="16"/>
        <v>insert into ins_premium_det (premium_rcv_code,assorted_code, rec_amount,premium_rcv_detail_code,remaining_amt, payrec, mode_code,coinsurance_code,class_cd,it_remarks) values</v>
      </c>
      <c r="G317" s="24" t="str">
        <f t="shared" si="18"/>
        <v>('29Apr250042','050000700835','4850',(select max(to_number(i.premium_rcv_detail_code))+1
from ins_premium_det i),'4850','4850','02', '11000003','00','Request by Mr. Omair Ali 30-Apr-2025');</v>
      </c>
      <c r="H317" s="25" t="str">
        <f t="shared" si="19"/>
        <v>insert into ins_premium_det (premium_rcv_code,assorted_code, rec_amount,premium_rcv_detail_code,remaining_amt, payrec, mode_code,coinsurance_code,class_cd,it_remarks) values('29Apr250042','050000700835','4850',(select max(to_number(i.premium_rcv_detail_code))+1
from ins_premium_det i),'4850','4850','02', '11000003','00','Request by Mr. Omair Ali 30-Apr-2025');</v>
      </c>
    </row>
    <row r="318" spans="1:8" ht="105" x14ac:dyDescent="0.25">
      <c r="A318" t="s">
        <v>831</v>
      </c>
      <c r="B318" s="1" t="str">
        <f>VLOOKUP(A318,Sheet5!B:C,2,0)</f>
        <v>050000700869</v>
      </c>
      <c r="C318" s="13">
        <v>19</v>
      </c>
      <c r="D318" s="22">
        <f t="shared" si="17"/>
        <v>19</v>
      </c>
      <c r="E318" s="21" t="s">
        <v>5912</v>
      </c>
      <c r="F318" s="23" t="str">
        <f t="shared" si="16"/>
        <v>insert into ins_premium_det (premium_rcv_code,assorted_code, rec_amount,premium_rcv_detail_code,remaining_amt, payrec, mode_code,coinsurance_code,class_cd,it_remarks) values</v>
      </c>
      <c r="G318" s="24" t="str">
        <f t="shared" si="18"/>
        <v>('29Apr250042','050000700869','19',(select max(to_number(i.premium_rcv_detail_code))+1
from ins_premium_det i),'19','19','02', '11000003','00','Request by Mr. Omair Ali 30-Apr-2025');</v>
      </c>
      <c r="H318" s="25" t="str">
        <f t="shared" si="19"/>
        <v>insert into ins_premium_det (premium_rcv_code,assorted_code, rec_amount,premium_rcv_detail_code,remaining_amt, payrec, mode_code,coinsurance_code,class_cd,it_remarks) values('29Apr250042','050000700869','19',(select max(to_number(i.premium_rcv_detail_code))+1
from ins_premium_det i),'19','19','02', '11000003','00','Request by Mr. Omair Ali 30-Apr-2025');</v>
      </c>
    </row>
    <row r="319" spans="1:8" ht="105" x14ac:dyDescent="0.25">
      <c r="A319" t="s">
        <v>951</v>
      </c>
      <c r="B319" s="1" t="str">
        <f>VLOOKUP(A319,Sheet5!B:C,2,0)</f>
        <v>050000700871</v>
      </c>
      <c r="C319" s="13">
        <v>1865</v>
      </c>
      <c r="D319" s="22">
        <f t="shared" si="17"/>
        <v>1865</v>
      </c>
      <c r="E319" s="21" t="s">
        <v>5912</v>
      </c>
      <c r="F319" s="23" t="str">
        <f t="shared" si="16"/>
        <v>insert into ins_premium_det (premium_rcv_code,assorted_code, rec_amount,premium_rcv_detail_code,remaining_amt, payrec, mode_code,coinsurance_code,class_cd,it_remarks) values</v>
      </c>
      <c r="G319" s="24" t="str">
        <f t="shared" si="18"/>
        <v>('29Apr250042','050000700871','1865',(select max(to_number(i.premium_rcv_detail_code))+1
from ins_premium_det i),'1865','1865','02', '11000003','00','Request by Mr. Omair Ali 30-Apr-2025');</v>
      </c>
      <c r="H319" s="25" t="str">
        <f t="shared" si="19"/>
        <v>insert into ins_premium_det (premium_rcv_code,assorted_code, rec_amount,premium_rcv_detail_code,remaining_amt, payrec, mode_code,coinsurance_code,class_cd,it_remarks) values('29Apr250042','050000700871','1865',(select max(to_number(i.premium_rcv_detail_code))+1
from ins_premium_det i),'1865','1865','02', '11000003','00','Request by Mr. Omair Ali 30-Apr-2025');</v>
      </c>
    </row>
    <row r="320" spans="1:8" ht="105" x14ac:dyDescent="0.25">
      <c r="A320" t="s">
        <v>665</v>
      </c>
      <c r="B320" s="1" t="str">
        <f>VLOOKUP(A320,Sheet5!B:C,2,0)</f>
        <v>050000701014</v>
      </c>
      <c r="C320" s="13">
        <v>-1908</v>
      </c>
      <c r="D320" s="22">
        <f t="shared" si="17"/>
        <v>-1908</v>
      </c>
      <c r="E320" s="21" t="s">
        <v>5912</v>
      </c>
      <c r="F320" s="23" t="str">
        <f t="shared" si="16"/>
        <v>insert into ins_premium_det (premium_rcv_code,assorted_code, rec_amount,premium_rcv_detail_code,remaining_amt, payrec, mode_code,coinsurance_code,class_cd,it_remarks) values</v>
      </c>
      <c r="G320" s="24" t="str">
        <f t="shared" si="18"/>
        <v>('29Apr250042','050000701014','-1908',(select max(to_number(i.premium_rcv_detail_code))+1
from ins_premium_det i),'-1908','-1908','02', '11000003','00','Request by Mr. Omair Ali 30-Apr-2025');</v>
      </c>
      <c r="H320" s="25" t="str">
        <f t="shared" si="19"/>
        <v>insert into ins_premium_det (premium_rcv_code,assorted_code, rec_amount,premium_rcv_detail_code,remaining_amt, payrec, mode_code,coinsurance_code,class_cd,it_remarks) values('29Apr250042','050000701014','-1908',(select max(to_number(i.premium_rcv_detail_code))+1
from ins_premium_det i),'-1908','-1908','02', '11000003','00','Request by Mr. Omair Ali 30-Apr-2025');</v>
      </c>
    </row>
    <row r="321" spans="1:8" ht="105" x14ac:dyDescent="0.25">
      <c r="A321" t="s">
        <v>1161</v>
      </c>
      <c r="B321" s="1" t="str">
        <f>VLOOKUP(A321,Sheet5!B:C,2,0)</f>
        <v>050000701025</v>
      </c>
      <c r="C321" s="13">
        <v>3521</v>
      </c>
      <c r="D321" s="22">
        <f t="shared" si="17"/>
        <v>3521</v>
      </c>
      <c r="E321" s="21" t="s">
        <v>5912</v>
      </c>
      <c r="F321" s="23" t="str">
        <f t="shared" si="16"/>
        <v>insert into ins_premium_det (premium_rcv_code,assorted_code, rec_amount,premium_rcv_detail_code,remaining_amt, payrec, mode_code,coinsurance_code,class_cd,it_remarks) values</v>
      </c>
      <c r="G321" s="24" t="str">
        <f t="shared" si="18"/>
        <v>('29Apr250042','050000701025','3521',(select max(to_number(i.premium_rcv_detail_code))+1
from ins_premium_det i),'3521','3521','02', '11000003','00','Request by Mr. Omair Ali 30-Apr-2025');</v>
      </c>
      <c r="H321" s="25" t="str">
        <f t="shared" si="19"/>
        <v>insert into ins_premium_det (premium_rcv_code,assorted_code, rec_amount,premium_rcv_detail_code,remaining_amt, payrec, mode_code,coinsurance_code,class_cd,it_remarks) values('29Apr250042','050000701025','3521',(select max(to_number(i.premium_rcv_detail_code))+1
from ins_premium_det i),'3521','3521','02', '11000003','00','Request by Mr. Omair Ali 30-Apr-2025');</v>
      </c>
    </row>
    <row r="322" spans="1:8" ht="105" x14ac:dyDescent="0.25">
      <c r="A322" t="s">
        <v>150</v>
      </c>
      <c r="B322" s="1" t="str">
        <f>VLOOKUP(A322,Sheet5!B:C,2,0)</f>
        <v>050000701939</v>
      </c>
      <c r="C322" s="13">
        <v>3950</v>
      </c>
      <c r="D322" s="22">
        <f t="shared" si="17"/>
        <v>3950</v>
      </c>
      <c r="E322" s="21" t="s">
        <v>5912</v>
      </c>
      <c r="F322" s="23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24" t="str">
        <f t="shared" si="18"/>
        <v>('29Apr250042','050000701939','3950',(select max(to_number(i.premium_rcv_detail_code))+1
from ins_premium_det i),'3950','3950','02', '11000003','00','Request by Mr. Omair Ali 30-Apr-2025');</v>
      </c>
      <c r="H322" s="25" t="str">
        <f t="shared" si="19"/>
        <v>insert into ins_premium_det (premium_rcv_code,assorted_code, rec_amount,premium_rcv_detail_code,remaining_amt, payrec, mode_code,coinsurance_code,class_cd,it_remarks) values('29Apr250042','050000701939','3950',(select max(to_number(i.premium_rcv_detail_code))+1
from ins_premium_det i),'3950','3950','02', '11000003','00','Request by Mr. Omair Ali 30-Apr-2025');</v>
      </c>
    </row>
    <row r="323" spans="1:8" ht="105" x14ac:dyDescent="0.25">
      <c r="A323" t="s">
        <v>992</v>
      </c>
      <c r="B323" s="1" t="str">
        <f>VLOOKUP(A323,Sheet5!B:C,2,0)</f>
        <v>050000702054</v>
      </c>
      <c r="C323" s="13">
        <v>1471</v>
      </c>
      <c r="D323" s="22">
        <f t="shared" ref="D323:D386" si="21">ROUND(C323,0)</f>
        <v>1471</v>
      </c>
      <c r="E323" s="21" t="s">
        <v>5912</v>
      </c>
      <c r="F323" s="23" t="str">
        <f t="shared" si="20"/>
        <v>insert into ins_premium_det (premium_rcv_code,assorted_code, rec_amount,premium_rcv_detail_code,remaining_amt, payrec, mode_code,coinsurance_code,class_cd,it_remarks) values</v>
      </c>
      <c r="G323" s="24" t="str">
        <f t="shared" ref="G323:G386" si="22">"('"&amp;E323&amp;"','"&amp;B323&amp;"','"&amp;D323&amp;"',(select max(to_number(i.premium_rcv_detail_code))+1
from ins_premium_det i),'"&amp;D323&amp;"','"&amp;D323&amp;"','02', '11000003','00','Request by Mr. Omair Ali 30-Apr-2025');"</f>
        <v>('29Apr250042','050000702054','1471',(select max(to_number(i.premium_rcv_detail_code))+1
from ins_premium_det i),'1471','1471','02', '11000003','00','Request by Mr. Omair Ali 30-Apr-2025');</v>
      </c>
      <c r="H323" s="25" t="str">
        <f t="shared" ref="H323:H386" si="23">F323&amp;G323</f>
        <v>insert into ins_premium_det (premium_rcv_code,assorted_code, rec_amount,premium_rcv_detail_code,remaining_amt, payrec, mode_code,coinsurance_code,class_cd,it_remarks) values('29Apr250042','050000702054','1471',(select max(to_number(i.premium_rcv_detail_code))+1
from ins_premium_det i),'1471','1471','02', '11000003','00','Request by Mr. Omair Ali 30-Apr-2025');</v>
      </c>
    </row>
    <row r="324" spans="1:8" ht="105" x14ac:dyDescent="0.25">
      <c r="A324" t="s">
        <v>993</v>
      </c>
      <c r="B324" s="1" t="str">
        <f>VLOOKUP(A324,Sheet5!B:C,2,0)</f>
        <v>050000702055</v>
      </c>
      <c r="C324" s="13">
        <v>2020</v>
      </c>
      <c r="D324" s="22">
        <f t="shared" si="21"/>
        <v>2020</v>
      </c>
      <c r="E324" s="21" t="s">
        <v>5912</v>
      </c>
      <c r="F324" s="23" t="str">
        <f t="shared" si="20"/>
        <v>insert into ins_premium_det (premium_rcv_code,assorted_code, rec_amount,premium_rcv_detail_code,remaining_amt, payrec, mode_code,coinsurance_code,class_cd,it_remarks) values</v>
      </c>
      <c r="G324" s="24" t="str">
        <f t="shared" si="22"/>
        <v>('29Apr250042','050000702055','2020',(select max(to_number(i.premium_rcv_detail_code))+1
from ins_premium_det i),'2020','2020','02', '11000003','00','Request by Mr. Omair Ali 30-Apr-2025');</v>
      </c>
      <c r="H324" s="25" t="str">
        <f t="shared" si="23"/>
        <v>insert into ins_premium_det (premium_rcv_code,assorted_code, rec_amount,premium_rcv_detail_code,remaining_amt, payrec, mode_code,coinsurance_code,class_cd,it_remarks) values('29Apr250042','050000702055','2020',(select max(to_number(i.premium_rcv_detail_code))+1
from ins_premium_det i),'2020','2020','02', '11000003','00','Request by Mr. Omair Ali 30-Apr-2025');</v>
      </c>
    </row>
    <row r="325" spans="1:8" ht="105" x14ac:dyDescent="0.25">
      <c r="A325" t="s">
        <v>231</v>
      </c>
      <c r="B325" s="1" t="str">
        <f>VLOOKUP(A325,Sheet5!B:C,2,0)</f>
        <v>050000703784</v>
      </c>
      <c r="C325" s="13">
        <v>492</v>
      </c>
      <c r="D325" s="22">
        <f t="shared" si="21"/>
        <v>492</v>
      </c>
      <c r="E325" s="21" t="s">
        <v>5912</v>
      </c>
      <c r="F325" s="23" t="str">
        <f t="shared" si="20"/>
        <v>insert into ins_premium_det (premium_rcv_code,assorted_code, rec_amount,premium_rcv_detail_code,remaining_amt, payrec, mode_code,coinsurance_code,class_cd,it_remarks) values</v>
      </c>
      <c r="G325" s="24" t="str">
        <f t="shared" si="22"/>
        <v>('29Apr250042','050000703784','492',(select max(to_number(i.premium_rcv_detail_code))+1
from ins_premium_det i),'492','492','02', '11000003','00','Request by Mr. Omair Ali 30-Apr-2025');</v>
      </c>
      <c r="H325" s="25" t="str">
        <f t="shared" si="23"/>
        <v>insert into ins_premium_det (premium_rcv_code,assorted_code, rec_amount,premium_rcv_detail_code,remaining_amt, payrec, mode_code,coinsurance_code,class_cd,it_remarks) values('29Apr250042','050000703784','492',(select max(to_number(i.premium_rcv_detail_code))+1
from ins_premium_det i),'492','492','02', '11000003','00','Request by Mr. Omair Ali 30-Apr-2025');</v>
      </c>
    </row>
    <row r="326" spans="1:8" ht="105" x14ac:dyDescent="0.25">
      <c r="A326" t="s">
        <v>979</v>
      </c>
      <c r="B326" s="1" t="str">
        <f>VLOOKUP(A326,Sheet5!B:C,2,0)</f>
        <v>050000704286</v>
      </c>
      <c r="C326" s="13">
        <v>1423</v>
      </c>
      <c r="D326" s="22">
        <f t="shared" si="21"/>
        <v>1423</v>
      </c>
      <c r="E326" s="21" t="s">
        <v>5912</v>
      </c>
      <c r="F326" s="23" t="str">
        <f t="shared" si="20"/>
        <v>insert into ins_premium_det (premium_rcv_code,assorted_code, rec_amount,premium_rcv_detail_code,remaining_amt, payrec, mode_code,coinsurance_code,class_cd,it_remarks) values</v>
      </c>
      <c r="G326" s="24" t="str">
        <f t="shared" si="22"/>
        <v>('29Apr250042','050000704286','1423',(select max(to_number(i.premium_rcv_detail_code))+1
from ins_premium_det i),'1423','1423','02', '11000003','00','Request by Mr. Omair Ali 30-Apr-2025');</v>
      </c>
      <c r="H326" s="25" t="str">
        <f t="shared" si="23"/>
        <v>insert into ins_premium_det (premium_rcv_code,assorted_code, rec_amount,premium_rcv_detail_code,remaining_amt, payrec, mode_code,coinsurance_code,class_cd,it_remarks) values('29Apr250042','050000704286','1423',(select max(to_number(i.premium_rcv_detail_code))+1
from ins_premium_det i),'1423','1423','02', '11000003','00','Request by Mr. Omair Ali 30-Apr-2025');</v>
      </c>
    </row>
    <row r="327" spans="1:8" ht="105" x14ac:dyDescent="0.25">
      <c r="A327" t="s">
        <v>139</v>
      </c>
      <c r="B327" s="1" t="str">
        <f>VLOOKUP(A327,Sheet5!B:C,2,0)</f>
        <v>050000704930</v>
      </c>
      <c r="C327" s="13">
        <v>4586</v>
      </c>
      <c r="D327" s="22">
        <f t="shared" si="21"/>
        <v>4586</v>
      </c>
      <c r="E327" s="21" t="s">
        <v>5912</v>
      </c>
      <c r="F327" s="23" t="str">
        <f t="shared" si="20"/>
        <v>insert into ins_premium_det (premium_rcv_code,assorted_code, rec_amount,premium_rcv_detail_code,remaining_amt, payrec, mode_code,coinsurance_code,class_cd,it_remarks) values</v>
      </c>
      <c r="G327" s="24" t="str">
        <f t="shared" si="22"/>
        <v>('29Apr250042','050000704930','4586',(select max(to_number(i.premium_rcv_detail_code))+1
from ins_premium_det i),'4586','4586','02', '11000003','00','Request by Mr. Omair Ali 30-Apr-2025');</v>
      </c>
      <c r="H327" s="25" t="str">
        <f t="shared" si="23"/>
        <v>insert into ins_premium_det (premium_rcv_code,assorted_code, rec_amount,premium_rcv_detail_code,remaining_amt, payrec, mode_code,coinsurance_code,class_cd,it_remarks) values('29Apr250042','050000704930','4586',(select max(to_number(i.premium_rcv_detail_code))+1
from ins_premium_det i),'4586','4586','02', '11000003','00','Request by Mr. Omair Ali 30-Apr-2025');</v>
      </c>
    </row>
    <row r="328" spans="1:8" ht="105" x14ac:dyDescent="0.25">
      <c r="A328" t="s">
        <v>140</v>
      </c>
      <c r="B328" s="1" t="str">
        <f>VLOOKUP(A328,Sheet5!B:C,2,0)</f>
        <v>050000704931</v>
      </c>
      <c r="C328" s="13">
        <v>4679</v>
      </c>
      <c r="D328" s="22">
        <f t="shared" si="21"/>
        <v>4679</v>
      </c>
      <c r="E328" s="21" t="s">
        <v>5912</v>
      </c>
      <c r="F328" s="23" t="str">
        <f t="shared" si="20"/>
        <v>insert into ins_premium_det (premium_rcv_code,assorted_code, rec_amount,premium_rcv_detail_code,remaining_amt, payrec, mode_code,coinsurance_code,class_cd,it_remarks) values</v>
      </c>
      <c r="G328" s="24" t="str">
        <f t="shared" si="22"/>
        <v>('29Apr250042','050000704931','4679',(select max(to_number(i.premium_rcv_detail_code))+1
from ins_premium_det i),'4679','4679','02', '11000003','00','Request by Mr. Omair Ali 30-Apr-2025');</v>
      </c>
      <c r="H328" s="25" t="str">
        <f t="shared" si="23"/>
        <v>insert into ins_premium_det (premium_rcv_code,assorted_code, rec_amount,premium_rcv_detail_code,remaining_amt, payrec, mode_code,coinsurance_code,class_cd,it_remarks) values('29Apr250042','050000704931','4679',(select max(to_number(i.premium_rcv_detail_code))+1
from ins_premium_det i),'4679','4679','02', '11000003','00','Request by Mr. Omair Ali 30-Apr-2025');</v>
      </c>
    </row>
    <row r="329" spans="1:8" ht="105" x14ac:dyDescent="0.25">
      <c r="A329" t="s">
        <v>141</v>
      </c>
      <c r="B329" s="1" t="str">
        <f>VLOOKUP(A329,Sheet5!B:C,2,0)</f>
        <v>050000704934</v>
      </c>
      <c r="C329" s="13">
        <v>4381</v>
      </c>
      <c r="D329" s="22">
        <f t="shared" si="21"/>
        <v>4381</v>
      </c>
      <c r="E329" s="21" t="s">
        <v>5912</v>
      </c>
      <c r="F329" s="23" t="str">
        <f t="shared" si="20"/>
        <v>insert into ins_premium_det (premium_rcv_code,assorted_code, rec_amount,premium_rcv_detail_code,remaining_amt, payrec, mode_code,coinsurance_code,class_cd,it_remarks) values</v>
      </c>
      <c r="G329" s="24" t="str">
        <f t="shared" si="22"/>
        <v>('29Apr250042','050000704934','4381',(select max(to_number(i.premium_rcv_detail_code))+1
from ins_premium_det i),'4381','4381','02', '11000003','00','Request by Mr. Omair Ali 30-Apr-2025');</v>
      </c>
      <c r="H329" s="25" t="str">
        <f t="shared" si="23"/>
        <v>insert into ins_premium_det (premium_rcv_code,assorted_code, rec_amount,premium_rcv_detail_code,remaining_amt, payrec, mode_code,coinsurance_code,class_cd,it_remarks) values('29Apr250042','050000704934','4381',(select max(to_number(i.premium_rcv_detail_code))+1
from ins_premium_det i),'4381','4381','02', '11000003','00','Request by Mr. Omair Ali 30-Apr-2025');</v>
      </c>
    </row>
    <row r="330" spans="1:8" ht="105" x14ac:dyDescent="0.25">
      <c r="A330" t="s">
        <v>142</v>
      </c>
      <c r="B330" s="1" t="str">
        <f>VLOOKUP(A330,Sheet5!B:C,2,0)</f>
        <v>050000704935</v>
      </c>
      <c r="C330" s="13">
        <v>4717</v>
      </c>
      <c r="D330" s="22">
        <f t="shared" si="21"/>
        <v>4717</v>
      </c>
      <c r="E330" s="21" t="s">
        <v>5912</v>
      </c>
      <c r="F330" s="23" t="str">
        <f t="shared" si="20"/>
        <v>insert into ins_premium_det (premium_rcv_code,assorted_code, rec_amount,premium_rcv_detail_code,remaining_amt, payrec, mode_code,coinsurance_code,class_cd,it_remarks) values</v>
      </c>
      <c r="G330" s="24" t="str">
        <f t="shared" si="22"/>
        <v>('29Apr250042','050000704935','4717',(select max(to_number(i.premium_rcv_detail_code))+1
from ins_premium_det i),'4717','4717','02', '11000003','00','Request by Mr. Omair Ali 30-Apr-2025');</v>
      </c>
      <c r="H330" s="25" t="str">
        <f t="shared" si="23"/>
        <v>insert into ins_premium_det (premium_rcv_code,assorted_code, rec_amount,premium_rcv_detail_code,remaining_amt, payrec, mode_code,coinsurance_code,class_cd,it_remarks) values('29Apr250042','050000704935','4717',(select max(to_number(i.premium_rcv_detail_code))+1
from ins_premium_det i),'4717','4717','02', '11000003','00','Request by Mr. Omair Ali 30-Apr-2025');</v>
      </c>
    </row>
    <row r="331" spans="1:8" ht="105" x14ac:dyDescent="0.25">
      <c r="A331" t="s">
        <v>392</v>
      </c>
      <c r="B331" s="1" t="str">
        <f>VLOOKUP(A331,Sheet5!B:C,2,0)</f>
        <v>050000705601</v>
      </c>
      <c r="C331" s="13">
        <v>1700</v>
      </c>
      <c r="D331" s="22">
        <f t="shared" si="21"/>
        <v>1700</v>
      </c>
      <c r="E331" s="21" t="s">
        <v>5912</v>
      </c>
      <c r="F331" s="23" t="str">
        <f t="shared" si="20"/>
        <v>insert into ins_premium_det (premium_rcv_code,assorted_code, rec_amount,premium_rcv_detail_code,remaining_amt, payrec, mode_code,coinsurance_code,class_cd,it_remarks) values</v>
      </c>
      <c r="G331" s="24" t="str">
        <f t="shared" si="22"/>
        <v>('29Apr250042','050000705601','1700',(select max(to_number(i.premium_rcv_detail_code))+1
from ins_premium_det i),'1700','1700','02', '11000003','00','Request by Mr. Omair Ali 30-Apr-2025');</v>
      </c>
      <c r="H331" s="25" t="str">
        <f t="shared" si="23"/>
        <v>insert into ins_premium_det (premium_rcv_code,assorted_code, rec_amount,premium_rcv_detail_code,remaining_amt, payrec, mode_code,coinsurance_code,class_cd,it_remarks) values('29Apr250042','050000705601','1700',(select max(to_number(i.premium_rcv_detail_code))+1
from ins_premium_det i),'1700','1700','02', '11000003','00','Request by Mr. Omair Ali 30-Apr-2025');</v>
      </c>
    </row>
    <row r="332" spans="1:8" ht="105" x14ac:dyDescent="0.25">
      <c r="A332" t="s">
        <v>812</v>
      </c>
      <c r="B332" s="1" t="str">
        <f>VLOOKUP(A332,Sheet5!B:C,2,0)</f>
        <v>050000705602</v>
      </c>
      <c r="C332" s="13">
        <v>6392</v>
      </c>
      <c r="D332" s="22">
        <f t="shared" si="21"/>
        <v>6392</v>
      </c>
      <c r="E332" s="21" t="s">
        <v>5912</v>
      </c>
      <c r="F332" s="23" t="str">
        <f t="shared" si="20"/>
        <v>insert into ins_premium_det (premium_rcv_code,assorted_code, rec_amount,premium_rcv_detail_code,remaining_amt, payrec, mode_code,coinsurance_code,class_cd,it_remarks) values</v>
      </c>
      <c r="G332" s="24" t="str">
        <f t="shared" si="22"/>
        <v>('29Apr250042','050000705602','6392',(select max(to_number(i.premium_rcv_detail_code))+1
from ins_premium_det i),'6392','6392','02', '11000003','00','Request by Mr. Omair Ali 30-Apr-2025');</v>
      </c>
      <c r="H332" s="25" t="str">
        <f t="shared" si="23"/>
        <v>insert into ins_premium_det (premium_rcv_code,assorted_code, rec_amount,premium_rcv_detail_code,remaining_amt, payrec, mode_code,coinsurance_code,class_cd,it_remarks) values('29Apr250042','050000705602','6392',(select max(to_number(i.premium_rcv_detail_code))+1
from ins_premium_det i),'6392','6392','02', '11000003','00','Request by Mr. Omair Ali 30-Apr-2025');</v>
      </c>
    </row>
    <row r="333" spans="1:8" ht="105" x14ac:dyDescent="0.25">
      <c r="A333" t="s">
        <v>1165</v>
      </c>
      <c r="B333" s="1" t="str">
        <f>VLOOKUP(A333,Sheet5!B:C,2,0)</f>
        <v>050000705608</v>
      </c>
      <c r="C333" s="13">
        <v>6388</v>
      </c>
      <c r="D333" s="22">
        <f t="shared" si="21"/>
        <v>6388</v>
      </c>
      <c r="E333" s="21" t="s">
        <v>5912</v>
      </c>
      <c r="F333" s="23" t="str">
        <f t="shared" si="20"/>
        <v>insert into ins_premium_det (premium_rcv_code,assorted_code, rec_amount,premium_rcv_detail_code,remaining_amt, payrec, mode_code,coinsurance_code,class_cd,it_remarks) values</v>
      </c>
      <c r="G333" s="24" t="str">
        <f t="shared" si="22"/>
        <v>('29Apr250042','050000705608','6388',(select max(to_number(i.premium_rcv_detail_code))+1
from ins_premium_det i),'6388','6388','02', '11000003','00','Request by Mr. Omair Ali 30-Apr-2025');</v>
      </c>
      <c r="H333" s="25" t="str">
        <f t="shared" si="23"/>
        <v>insert into ins_premium_det (premium_rcv_code,assorted_code, rec_amount,premium_rcv_detail_code,remaining_amt, payrec, mode_code,coinsurance_code,class_cd,it_remarks) values('29Apr250042','050000705608','6388',(select max(to_number(i.premium_rcv_detail_code))+1
from ins_premium_det i),'6388','6388','02', '11000003','00','Request by Mr. Omair Ali 30-Apr-2025');</v>
      </c>
    </row>
    <row r="334" spans="1:8" ht="105" x14ac:dyDescent="0.25">
      <c r="A334" t="s">
        <v>1024</v>
      </c>
      <c r="B334" s="1" t="str">
        <f>VLOOKUP(A334,Sheet5!B:C,2,0)</f>
        <v>050000705625</v>
      </c>
      <c r="C334" s="13">
        <v>1640</v>
      </c>
      <c r="D334" s="22">
        <f t="shared" si="21"/>
        <v>1640</v>
      </c>
      <c r="E334" s="21" t="s">
        <v>5912</v>
      </c>
      <c r="F334" s="23" t="str">
        <f t="shared" si="20"/>
        <v>insert into ins_premium_det (premium_rcv_code,assorted_code, rec_amount,premium_rcv_detail_code,remaining_amt, payrec, mode_code,coinsurance_code,class_cd,it_remarks) values</v>
      </c>
      <c r="G334" s="24" t="str">
        <f t="shared" si="22"/>
        <v>('29Apr250042','050000705625','1640',(select max(to_number(i.premium_rcv_detail_code))+1
from ins_premium_det i),'1640','1640','02', '11000003','00','Request by Mr. Omair Ali 30-Apr-2025');</v>
      </c>
      <c r="H334" s="25" t="str">
        <f t="shared" si="23"/>
        <v>insert into ins_premium_det (premium_rcv_code,assorted_code, rec_amount,premium_rcv_detail_code,remaining_amt, payrec, mode_code,coinsurance_code,class_cd,it_remarks) values('29Apr250042','050000705625','1640',(select max(to_number(i.premium_rcv_detail_code))+1
from ins_premium_det i),'1640','1640','02', '11000003','00','Request by Mr. Omair Ali 30-Apr-2025');</v>
      </c>
    </row>
    <row r="335" spans="1:8" ht="105" x14ac:dyDescent="0.25">
      <c r="A335" t="s">
        <v>1191</v>
      </c>
      <c r="B335" s="1" t="str">
        <f>VLOOKUP(A335,Sheet5!B:C,2,0)</f>
        <v>050000705633</v>
      </c>
      <c r="C335" s="13">
        <v>4602</v>
      </c>
      <c r="D335" s="22">
        <f t="shared" si="21"/>
        <v>4602</v>
      </c>
      <c r="E335" s="21" t="s">
        <v>5912</v>
      </c>
      <c r="F335" s="23" t="str">
        <f t="shared" si="20"/>
        <v>insert into ins_premium_det (premium_rcv_code,assorted_code, rec_amount,premium_rcv_detail_code,remaining_amt, payrec, mode_code,coinsurance_code,class_cd,it_remarks) values</v>
      </c>
      <c r="G335" s="24" t="str">
        <f t="shared" si="22"/>
        <v>('29Apr250042','050000705633','4602',(select max(to_number(i.premium_rcv_detail_code))+1
from ins_premium_det i),'4602','4602','02', '11000003','00','Request by Mr. Omair Ali 30-Apr-2025');</v>
      </c>
      <c r="H335" s="25" t="str">
        <f t="shared" si="23"/>
        <v>insert into ins_premium_det (premium_rcv_code,assorted_code, rec_amount,premium_rcv_detail_code,remaining_amt, payrec, mode_code,coinsurance_code,class_cd,it_remarks) values('29Apr250042','050000705633','4602',(select max(to_number(i.premium_rcv_detail_code))+1
from ins_premium_det i),'4602','4602','02', '11000003','00','Request by Mr. Omair Ali 30-Apr-2025');</v>
      </c>
    </row>
    <row r="336" spans="1:8" ht="105" x14ac:dyDescent="0.25">
      <c r="A336" t="s">
        <v>489</v>
      </c>
      <c r="B336" s="1" t="str">
        <f>VLOOKUP(A336,Sheet5!B:C,2,0)</f>
        <v>050000707033</v>
      </c>
      <c r="C336" s="13">
        <v>5402</v>
      </c>
      <c r="D336" s="22">
        <f t="shared" si="21"/>
        <v>5402</v>
      </c>
      <c r="E336" s="21" t="s">
        <v>5912</v>
      </c>
      <c r="F336" s="23" t="str">
        <f t="shared" si="20"/>
        <v>insert into ins_premium_det (premium_rcv_code,assorted_code, rec_amount,premium_rcv_detail_code,remaining_amt, payrec, mode_code,coinsurance_code,class_cd,it_remarks) values</v>
      </c>
      <c r="G336" s="24" t="str">
        <f t="shared" si="22"/>
        <v>('29Apr250042','050000707033','5402',(select max(to_number(i.premium_rcv_detail_code))+1
from ins_premium_det i),'5402','5402','02', '11000003','00','Request by Mr. Omair Ali 30-Apr-2025');</v>
      </c>
      <c r="H336" s="25" t="str">
        <f t="shared" si="23"/>
        <v>insert into ins_premium_det (premium_rcv_code,assorted_code, rec_amount,premium_rcv_detail_code,remaining_amt, payrec, mode_code,coinsurance_code,class_cd,it_remarks) values('29Apr250042','050000707033','5402',(select max(to_number(i.premium_rcv_detail_code))+1
from ins_premium_det i),'5402','5402','02', '11000003','00','Request by Mr. Omair Ali 30-Apr-2025');</v>
      </c>
    </row>
    <row r="337" spans="1:8" ht="105" x14ac:dyDescent="0.25">
      <c r="A337" t="s">
        <v>146</v>
      </c>
      <c r="B337" s="1" t="str">
        <f>VLOOKUP(A337,Sheet5!B:C,2,0)</f>
        <v>050000707707</v>
      </c>
      <c r="C337" s="13">
        <v>4754</v>
      </c>
      <c r="D337" s="22">
        <f t="shared" si="21"/>
        <v>4754</v>
      </c>
      <c r="E337" s="21" t="s">
        <v>5912</v>
      </c>
      <c r="F337" s="23" t="str">
        <f t="shared" si="20"/>
        <v>insert into ins_premium_det (premium_rcv_code,assorted_code, rec_amount,premium_rcv_detail_code,remaining_amt, payrec, mode_code,coinsurance_code,class_cd,it_remarks) values</v>
      </c>
      <c r="G337" s="24" t="str">
        <f t="shared" si="22"/>
        <v>('29Apr250042','050000707707','4754',(select max(to_number(i.premium_rcv_detail_code))+1
from ins_premium_det i),'4754','4754','02', '11000003','00','Request by Mr. Omair Ali 30-Apr-2025');</v>
      </c>
      <c r="H337" s="25" t="str">
        <f t="shared" si="23"/>
        <v>insert into ins_premium_det (premium_rcv_code,assorted_code, rec_amount,premium_rcv_detail_code,remaining_amt, payrec, mode_code,coinsurance_code,class_cd,it_remarks) values('29Apr250042','050000707707','4754',(select max(to_number(i.premium_rcv_detail_code))+1
from ins_premium_det i),'4754','4754','02', '11000003','00','Request by Mr. Omair Ali 30-Apr-2025');</v>
      </c>
    </row>
    <row r="338" spans="1:8" ht="105" x14ac:dyDescent="0.25">
      <c r="A338" t="s">
        <v>1038</v>
      </c>
      <c r="B338" s="1" t="str">
        <f>VLOOKUP(A338,Sheet5!B:C,2,0)</f>
        <v>050000707721</v>
      </c>
      <c r="C338" s="13">
        <v>13</v>
      </c>
      <c r="D338" s="22">
        <f t="shared" si="21"/>
        <v>13</v>
      </c>
      <c r="E338" s="21" t="s">
        <v>5912</v>
      </c>
      <c r="F338" s="23" t="str">
        <f t="shared" si="20"/>
        <v>insert into ins_premium_det (premium_rcv_code,assorted_code, rec_amount,premium_rcv_detail_code,remaining_amt, payrec, mode_code,coinsurance_code,class_cd,it_remarks) values</v>
      </c>
      <c r="G338" s="24" t="str">
        <f t="shared" si="22"/>
        <v>('29Apr250042','050000707721','13',(select max(to_number(i.premium_rcv_detail_code))+1
from ins_premium_det i),'13','13','02', '11000003','00','Request by Mr. Omair Ali 30-Apr-2025');</v>
      </c>
      <c r="H338" s="25" t="str">
        <f t="shared" si="23"/>
        <v>insert into ins_premium_det (premium_rcv_code,assorted_code, rec_amount,premium_rcv_detail_code,remaining_amt, payrec, mode_code,coinsurance_code,class_cd,it_remarks) values('29Apr250042','050000707721','13',(select max(to_number(i.premium_rcv_detail_code))+1
from ins_premium_det i),'13','13','02', '11000003','00','Request by Mr. Omair Ali 30-Apr-2025');</v>
      </c>
    </row>
    <row r="339" spans="1:8" ht="105" x14ac:dyDescent="0.25">
      <c r="A339" t="s">
        <v>583</v>
      </c>
      <c r="B339" s="1" t="str">
        <f>VLOOKUP(A339,Sheet5!B:C,2,0)</f>
        <v>050000708916</v>
      </c>
      <c r="C339" s="13">
        <v>3693</v>
      </c>
      <c r="D339" s="22">
        <f t="shared" si="21"/>
        <v>3693</v>
      </c>
      <c r="E339" s="21" t="s">
        <v>5912</v>
      </c>
      <c r="F339" s="23" t="str">
        <f t="shared" si="20"/>
        <v>insert into ins_premium_det (premium_rcv_code,assorted_code, rec_amount,premium_rcv_detail_code,remaining_amt, payrec, mode_code,coinsurance_code,class_cd,it_remarks) values</v>
      </c>
      <c r="G339" s="24" t="str">
        <f t="shared" si="22"/>
        <v>('29Apr250042','050000708916','3693',(select max(to_number(i.premium_rcv_detail_code))+1
from ins_premium_det i),'3693','3693','02', '11000003','00','Request by Mr. Omair Ali 30-Apr-2025');</v>
      </c>
      <c r="H339" s="25" t="str">
        <f t="shared" si="23"/>
        <v>insert into ins_premium_det (premium_rcv_code,assorted_code, rec_amount,premium_rcv_detail_code,remaining_amt, payrec, mode_code,coinsurance_code,class_cd,it_remarks) values('29Apr250042','050000708916','3693',(select max(to_number(i.premium_rcv_detail_code))+1
from ins_premium_det i),'3693','3693','02', '11000003','00','Request by Mr. Omair Ali 30-Apr-2025');</v>
      </c>
    </row>
    <row r="340" spans="1:8" ht="105" x14ac:dyDescent="0.25">
      <c r="A340" t="s">
        <v>910</v>
      </c>
      <c r="B340" s="1" t="str">
        <f>VLOOKUP(A340,Sheet5!B:C,2,0)</f>
        <v>050000709817</v>
      </c>
      <c r="C340" s="13">
        <v>370</v>
      </c>
      <c r="D340" s="22">
        <f t="shared" si="21"/>
        <v>370</v>
      </c>
      <c r="E340" s="21" t="s">
        <v>5912</v>
      </c>
      <c r="F340" s="23" t="str">
        <f t="shared" si="20"/>
        <v>insert into ins_premium_det (premium_rcv_code,assorted_code, rec_amount,premium_rcv_detail_code,remaining_amt, payrec, mode_code,coinsurance_code,class_cd,it_remarks) values</v>
      </c>
      <c r="G340" s="24" t="str">
        <f t="shared" si="22"/>
        <v>('29Apr250042','050000709817','370',(select max(to_number(i.premium_rcv_detail_code))+1
from ins_premium_det i),'370','370','02', '11000003','00','Request by Mr. Omair Ali 30-Apr-2025');</v>
      </c>
      <c r="H340" s="25" t="str">
        <f t="shared" si="23"/>
        <v>insert into ins_premium_det (premium_rcv_code,assorted_code, rec_amount,premium_rcv_detail_code,remaining_amt, payrec, mode_code,coinsurance_code,class_cd,it_remarks) values('29Apr250042','050000709817','370',(select max(to_number(i.premium_rcv_detail_code))+1
from ins_premium_det i),'370','370','02', '11000003','00','Request by Mr. Omair Ali 30-Apr-2025');</v>
      </c>
    </row>
    <row r="341" spans="1:8" ht="105" x14ac:dyDescent="0.25">
      <c r="A341" t="s">
        <v>925</v>
      </c>
      <c r="B341" s="1" t="str">
        <f>VLOOKUP(A341,Sheet5!B:C,2,0)</f>
        <v>050000709818</v>
      </c>
      <c r="C341" s="13">
        <v>5302</v>
      </c>
      <c r="D341" s="22">
        <f t="shared" si="21"/>
        <v>5302</v>
      </c>
      <c r="E341" s="21" t="s">
        <v>5912</v>
      </c>
      <c r="F341" s="23" t="str">
        <f t="shared" si="20"/>
        <v>insert into ins_premium_det (premium_rcv_code,assorted_code, rec_amount,premium_rcv_detail_code,remaining_amt, payrec, mode_code,coinsurance_code,class_cd,it_remarks) values</v>
      </c>
      <c r="G341" s="24" t="str">
        <f t="shared" si="22"/>
        <v>('29Apr250042','050000709818','5302',(select max(to_number(i.premium_rcv_detail_code))+1
from ins_premium_det i),'5302','5302','02', '11000003','00','Request by Mr. Omair Ali 30-Apr-2025');</v>
      </c>
      <c r="H341" s="25" t="str">
        <f t="shared" si="23"/>
        <v>insert into ins_premium_det (premium_rcv_code,assorted_code, rec_amount,premium_rcv_detail_code,remaining_amt, payrec, mode_code,coinsurance_code,class_cd,it_remarks) values('29Apr250042','050000709818','5302',(select max(to_number(i.premium_rcv_detail_code))+1
from ins_premium_det i),'5302','5302','02', '11000003','00','Request by Mr. Omair Ali 30-Apr-2025');</v>
      </c>
    </row>
    <row r="342" spans="1:8" ht="105" x14ac:dyDescent="0.25">
      <c r="A342" t="s">
        <v>1216</v>
      </c>
      <c r="B342" s="1" t="str">
        <f>VLOOKUP(A342,Sheet5!B:C,2,0)</f>
        <v>050000709824</v>
      </c>
      <c r="C342" s="13">
        <v>1063</v>
      </c>
      <c r="D342" s="22">
        <f t="shared" si="21"/>
        <v>1063</v>
      </c>
      <c r="E342" s="21" t="s">
        <v>5912</v>
      </c>
      <c r="F342" s="23" t="str">
        <f t="shared" si="20"/>
        <v>insert into ins_premium_det (premium_rcv_code,assorted_code, rec_amount,premium_rcv_detail_code,remaining_amt, payrec, mode_code,coinsurance_code,class_cd,it_remarks) values</v>
      </c>
      <c r="G342" s="24" t="str">
        <f t="shared" si="22"/>
        <v>('29Apr250042','050000709824','1063',(select max(to_number(i.premium_rcv_detail_code))+1
from ins_premium_det i),'1063','1063','02', '11000003','00','Request by Mr. Omair Ali 30-Apr-2025');</v>
      </c>
      <c r="H342" s="25" t="str">
        <f t="shared" si="23"/>
        <v>insert into ins_premium_det (premium_rcv_code,assorted_code, rec_amount,premium_rcv_detail_code,remaining_amt, payrec, mode_code,coinsurance_code,class_cd,it_remarks) values('29Apr250042','050000709824','1063',(select max(to_number(i.premium_rcv_detail_code))+1
from ins_premium_det i),'1063','1063','02', '11000003','00','Request by Mr. Omair Ali 30-Apr-2025');</v>
      </c>
    </row>
    <row r="343" spans="1:8" ht="105" x14ac:dyDescent="0.25">
      <c r="A343" t="s">
        <v>239</v>
      </c>
      <c r="B343" s="1" t="str">
        <f>VLOOKUP(A343,Sheet5!B:C,2,0)</f>
        <v>050000710182</v>
      </c>
      <c r="C343" s="13">
        <v>361</v>
      </c>
      <c r="D343" s="22">
        <f t="shared" si="21"/>
        <v>361</v>
      </c>
      <c r="E343" s="21" t="s">
        <v>5912</v>
      </c>
      <c r="F343" s="23" t="str">
        <f t="shared" si="20"/>
        <v>insert into ins_premium_det (premium_rcv_code,assorted_code, rec_amount,premium_rcv_detail_code,remaining_amt, payrec, mode_code,coinsurance_code,class_cd,it_remarks) values</v>
      </c>
      <c r="G343" s="24" t="str">
        <f t="shared" si="22"/>
        <v>('29Apr250042','050000710182','361',(select max(to_number(i.premium_rcv_detail_code))+1
from ins_premium_det i),'361','361','02', '11000003','00','Request by Mr. Omair Ali 30-Apr-2025');</v>
      </c>
      <c r="H343" s="25" t="str">
        <f t="shared" si="23"/>
        <v>insert into ins_premium_det (premium_rcv_code,assorted_code, rec_amount,premium_rcv_detail_code,remaining_amt, payrec, mode_code,coinsurance_code,class_cd,it_remarks) values('29Apr250042','050000710182','361',(select max(to_number(i.premium_rcv_detail_code))+1
from ins_premium_det i),'361','361','02', '11000003','00','Request by Mr. Omair Ali 30-Apr-2025');</v>
      </c>
    </row>
    <row r="344" spans="1:8" ht="105" x14ac:dyDescent="0.25">
      <c r="A344" t="s">
        <v>300</v>
      </c>
      <c r="B344" s="1" t="str">
        <f>VLOOKUP(A344,Sheet5!B:C,2,0)</f>
        <v>050000710184</v>
      </c>
      <c r="C344" s="13">
        <v>52</v>
      </c>
      <c r="D344" s="22">
        <f t="shared" si="21"/>
        <v>52</v>
      </c>
      <c r="E344" s="21" t="s">
        <v>5912</v>
      </c>
      <c r="F344" s="23" t="str">
        <f t="shared" si="20"/>
        <v>insert into ins_premium_det (premium_rcv_code,assorted_code, rec_amount,premium_rcv_detail_code,remaining_amt, payrec, mode_code,coinsurance_code,class_cd,it_remarks) values</v>
      </c>
      <c r="G344" s="24" t="str">
        <f t="shared" si="22"/>
        <v>('29Apr250042','050000710184','52',(select max(to_number(i.premium_rcv_detail_code))+1
from ins_premium_det i),'52','52','02', '11000003','00','Request by Mr. Omair Ali 30-Apr-2025');</v>
      </c>
      <c r="H344" s="25" t="str">
        <f t="shared" si="23"/>
        <v>insert into ins_premium_det (premium_rcv_code,assorted_code, rec_amount,premium_rcv_detail_code,remaining_amt, payrec, mode_code,coinsurance_code,class_cd,it_remarks) values('29Apr250042','050000710184','52',(select max(to_number(i.premium_rcv_detail_code))+1
from ins_premium_det i),'52','52','02', '11000003','00','Request by Mr. Omair Ali 30-Apr-2025');</v>
      </c>
    </row>
    <row r="345" spans="1:8" ht="105" x14ac:dyDescent="0.25">
      <c r="A345" t="s">
        <v>1052</v>
      </c>
      <c r="B345" s="1" t="str">
        <f>VLOOKUP(A345,Sheet5!B:C,2,0)</f>
        <v>050000710208</v>
      </c>
      <c r="C345" s="13">
        <v>3162</v>
      </c>
      <c r="D345" s="22">
        <f t="shared" si="21"/>
        <v>3162</v>
      </c>
      <c r="E345" s="21" t="s">
        <v>5912</v>
      </c>
      <c r="F345" s="23" t="str">
        <f t="shared" si="20"/>
        <v>insert into ins_premium_det (premium_rcv_code,assorted_code, rec_amount,premium_rcv_detail_code,remaining_amt, payrec, mode_code,coinsurance_code,class_cd,it_remarks) values</v>
      </c>
      <c r="G345" s="24" t="str">
        <f t="shared" si="22"/>
        <v>('29Apr250042','050000710208','3162',(select max(to_number(i.premium_rcv_detail_code))+1
from ins_premium_det i),'3162','3162','02', '11000003','00','Request by Mr. Omair Ali 30-Apr-2025');</v>
      </c>
      <c r="H345" s="25" t="str">
        <f t="shared" si="23"/>
        <v>insert into ins_premium_det (premium_rcv_code,assorted_code, rec_amount,premium_rcv_detail_code,remaining_amt, payrec, mode_code,coinsurance_code,class_cd,it_remarks) values('29Apr250042','050000710208','3162',(select max(to_number(i.premium_rcv_detail_code))+1
from ins_premium_det i),'3162','3162','02', '11000003','00','Request by Mr. Omair Ali 30-Apr-2025');</v>
      </c>
    </row>
    <row r="346" spans="1:8" ht="105" x14ac:dyDescent="0.25">
      <c r="A346" t="s">
        <v>1220</v>
      </c>
      <c r="B346" s="1" t="str">
        <f>VLOOKUP(A346,Sheet5!B:C,2,0)</f>
        <v>050000710211</v>
      </c>
      <c r="C346" s="13">
        <v>4551</v>
      </c>
      <c r="D346" s="22">
        <f t="shared" si="21"/>
        <v>4551</v>
      </c>
      <c r="E346" s="21" t="s">
        <v>5912</v>
      </c>
      <c r="F346" s="23" t="str">
        <f t="shared" si="20"/>
        <v>insert into ins_premium_det (premium_rcv_code,assorted_code, rec_amount,premium_rcv_detail_code,remaining_amt, payrec, mode_code,coinsurance_code,class_cd,it_remarks) values</v>
      </c>
      <c r="G346" s="24" t="str">
        <f t="shared" si="22"/>
        <v>('29Apr250042','050000710211','4551',(select max(to_number(i.premium_rcv_detail_code))+1
from ins_premium_det i),'4551','4551','02', '11000003','00','Request by Mr. Omair Ali 30-Apr-2025');</v>
      </c>
      <c r="H346" s="25" t="str">
        <f t="shared" si="23"/>
        <v>insert into ins_premium_det (premium_rcv_code,assorted_code, rec_amount,premium_rcv_detail_code,remaining_amt, payrec, mode_code,coinsurance_code,class_cd,it_remarks) values('29Apr250042','050000710211','4551',(select max(to_number(i.premium_rcv_detail_code))+1
from ins_premium_det i),'4551','4551','02', '11000003','00','Request by Mr. Omair Ali 30-Apr-2025');</v>
      </c>
    </row>
    <row r="347" spans="1:8" ht="105" x14ac:dyDescent="0.25">
      <c r="A347" t="s">
        <v>1233</v>
      </c>
      <c r="B347" s="1" t="str">
        <f>VLOOKUP(A347,Sheet5!B:C,2,0)</f>
        <v>050000710212</v>
      </c>
      <c r="C347" s="13">
        <v>735</v>
      </c>
      <c r="D347" s="22">
        <f t="shared" si="21"/>
        <v>735</v>
      </c>
      <c r="E347" s="21" t="s">
        <v>5912</v>
      </c>
      <c r="F347" s="23" t="str">
        <f t="shared" si="20"/>
        <v>insert into ins_premium_det (premium_rcv_code,assorted_code, rec_amount,premium_rcv_detail_code,remaining_amt, payrec, mode_code,coinsurance_code,class_cd,it_remarks) values</v>
      </c>
      <c r="G347" s="24" t="str">
        <f t="shared" si="22"/>
        <v>('29Apr250042','050000710212','735',(select max(to_number(i.premium_rcv_detail_code))+1
from ins_premium_det i),'735','735','02', '11000003','00','Request by Mr. Omair Ali 30-Apr-2025');</v>
      </c>
      <c r="H347" s="25" t="str">
        <f t="shared" si="23"/>
        <v>insert into ins_premium_det (premium_rcv_code,assorted_code, rec_amount,premium_rcv_detail_code,remaining_amt, payrec, mode_code,coinsurance_code,class_cd,it_remarks) values('29Apr250042','050000710212','735',(select max(to_number(i.premium_rcv_detail_code))+1
from ins_premium_det i),'735','735','02', '11000003','00','Request by Mr. Omair Ali 30-Apr-2025');</v>
      </c>
    </row>
    <row r="348" spans="1:8" ht="105" x14ac:dyDescent="0.25">
      <c r="A348" t="s">
        <v>510</v>
      </c>
      <c r="B348" s="1" t="str">
        <f>VLOOKUP(A348,Sheet5!B:C,2,0)</f>
        <v>050000710343</v>
      </c>
      <c r="C348" s="13">
        <v>4592</v>
      </c>
      <c r="D348" s="22">
        <f t="shared" si="21"/>
        <v>4592</v>
      </c>
      <c r="E348" s="21" t="s">
        <v>5912</v>
      </c>
      <c r="F348" s="23" t="str">
        <f t="shared" si="20"/>
        <v>insert into ins_premium_det (premium_rcv_code,assorted_code, rec_amount,premium_rcv_detail_code,remaining_amt, payrec, mode_code,coinsurance_code,class_cd,it_remarks) values</v>
      </c>
      <c r="G348" s="24" t="str">
        <f t="shared" si="22"/>
        <v>('29Apr250042','050000710343','4592',(select max(to_number(i.premium_rcv_detail_code))+1
from ins_premium_det i),'4592','4592','02', '11000003','00','Request by Mr. Omair Ali 30-Apr-2025');</v>
      </c>
      <c r="H348" s="25" t="str">
        <f t="shared" si="23"/>
        <v>insert into ins_premium_det (premium_rcv_code,assorted_code, rec_amount,premium_rcv_detail_code,remaining_amt, payrec, mode_code,coinsurance_code,class_cd,it_remarks) values('29Apr250042','050000710343','4592',(select max(to_number(i.premium_rcv_detail_code))+1
from ins_premium_det i),'4592','4592','02', '11000003','00','Request by Mr. Omair Ali 30-Apr-2025');</v>
      </c>
    </row>
    <row r="349" spans="1:8" ht="105" x14ac:dyDescent="0.25">
      <c r="A349" t="s">
        <v>165</v>
      </c>
      <c r="B349" s="1" t="str">
        <f>VLOOKUP(A349,Sheet5!B:C,2,0)</f>
        <v>050000711404</v>
      </c>
      <c r="C349" s="13">
        <v>863</v>
      </c>
      <c r="D349" s="22">
        <f t="shared" si="21"/>
        <v>863</v>
      </c>
      <c r="E349" s="21" t="s">
        <v>5912</v>
      </c>
      <c r="F349" s="23" t="str">
        <f t="shared" si="20"/>
        <v>insert into ins_premium_det (premium_rcv_code,assorted_code, rec_amount,premium_rcv_detail_code,remaining_amt, payrec, mode_code,coinsurance_code,class_cd,it_remarks) values</v>
      </c>
      <c r="G349" s="24" t="str">
        <f t="shared" si="22"/>
        <v>('29Apr250042','050000711404','863',(select max(to_number(i.premium_rcv_detail_code))+1
from ins_premium_det i),'863','863','02', '11000003','00','Request by Mr. Omair Ali 30-Apr-2025');</v>
      </c>
      <c r="H349" s="25" t="str">
        <f t="shared" si="23"/>
        <v>insert into ins_premium_det (premium_rcv_code,assorted_code, rec_amount,premium_rcv_detail_code,remaining_amt, payrec, mode_code,coinsurance_code,class_cd,it_remarks) values('29Apr250042','050000711404','863',(select max(to_number(i.premium_rcv_detail_code))+1
from ins_premium_det i),'863','863','02', '11000003','00','Request by Mr. Omair Ali 30-Apr-2025');</v>
      </c>
    </row>
    <row r="350" spans="1:8" ht="105" x14ac:dyDescent="0.25">
      <c r="A350" t="s">
        <v>322</v>
      </c>
      <c r="B350" s="1" t="str">
        <f>VLOOKUP(A350,Sheet5!B:C,2,0)</f>
        <v>050000711412</v>
      </c>
      <c r="C350" s="13">
        <v>3873</v>
      </c>
      <c r="D350" s="22">
        <f t="shared" si="21"/>
        <v>3873</v>
      </c>
      <c r="E350" s="21" t="s">
        <v>5912</v>
      </c>
      <c r="F350" s="23" t="str">
        <f t="shared" si="20"/>
        <v>insert into ins_premium_det (premium_rcv_code,assorted_code, rec_amount,premium_rcv_detail_code,remaining_amt, payrec, mode_code,coinsurance_code,class_cd,it_remarks) values</v>
      </c>
      <c r="G350" s="24" t="str">
        <f t="shared" si="22"/>
        <v>('29Apr250042','050000711412','3873',(select max(to_number(i.premium_rcv_detail_code))+1
from ins_premium_det i),'3873','3873','02', '11000003','00','Request by Mr. Omair Ali 30-Apr-2025');</v>
      </c>
      <c r="H350" s="25" t="str">
        <f t="shared" si="23"/>
        <v>insert into ins_premium_det (premium_rcv_code,assorted_code, rec_amount,premium_rcv_detail_code,remaining_amt, payrec, mode_code,coinsurance_code,class_cd,it_remarks) values('29Apr250042','050000711412','3873',(select max(to_number(i.premium_rcv_detail_code))+1
from ins_premium_det i),'3873','3873','02', '11000003','00','Request by Mr. Omair Ali 30-Apr-2025');</v>
      </c>
    </row>
    <row r="351" spans="1:8" ht="105" x14ac:dyDescent="0.25">
      <c r="A351" t="s">
        <v>966</v>
      </c>
      <c r="B351" s="1" t="str">
        <f>VLOOKUP(A351,Sheet5!B:C,2,0)</f>
        <v>050000711426</v>
      </c>
      <c r="C351" s="13">
        <v>2328</v>
      </c>
      <c r="D351" s="22">
        <f t="shared" si="21"/>
        <v>2328</v>
      </c>
      <c r="E351" s="21" t="s">
        <v>5912</v>
      </c>
      <c r="F351" s="23" t="str">
        <f t="shared" si="20"/>
        <v>insert into ins_premium_det (premium_rcv_code,assorted_code, rec_amount,premium_rcv_detail_code,remaining_amt, payrec, mode_code,coinsurance_code,class_cd,it_remarks) values</v>
      </c>
      <c r="G351" s="24" t="str">
        <f t="shared" si="22"/>
        <v>('29Apr250042','050000711426','2328',(select max(to_number(i.premium_rcv_detail_code))+1
from ins_premium_det i),'2328','2328','02', '11000003','00','Request by Mr. Omair Ali 30-Apr-2025');</v>
      </c>
      <c r="H351" s="25" t="str">
        <f t="shared" si="23"/>
        <v>insert into ins_premium_det (premium_rcv_code,assorted_code, rec_amount,premium_rcv_detail_code,remaining_amt, payrec, mode_code,coinsurance_code,class_cd,it_remarks) values('29Apr250042','050000711426','2328',(select max(to_number(i.premium_rcv_detail_code))+1
from ins_premium_det i),'2328','2328','02', '11000003','00','Request by Mr. Omair Ali 30-Apr-2025');</v>
      </c>
    </row>
    <row r="352" spans="1:8" ht="105" x14ac:dyDescent="0.25">
      <c r="A352" t="s">
        <v>1062</v>
      </c>
      <c r="B352" s="1" t="str">
        <f>VLOOKUP(A352,Sheet5!B:C,2,0)</f>
        <v>050000711429</v>
      </c>
      <c r="C352" s="13">
        <v>6062</v>
      </c>
      <c r="D352" s="22">
        <f t="shared" si="21"/>
        <v>6062</v>
      </c>
      <c r="E352" s="21" t="s">
        <v>5912</v>
      </c>
      <c r="F352" s="23" t="str">
        <f t="shared" si="20"/>
        <v>insert into ins_premium_det (premium_rcv_code,assorted_code, rec_amount,premium_rcv_detail_code,remaining_amt, payrec, mode_code,coinsurance_code,class_cd,it_remarks) values</v>
      </c>
      <c r="G352" s="24" t="str">
        <f t="shared" si="22"/>
        <v>('29Apr250042','050000711429','6062',(select max(to_number(i.premium_rcv_detail_code))+1
from ins_premium_det i),'6062','6062','02', '11000003','00','Request by Mr. Omair Ali 30-Apr-2025');</v>
      </c>
      <c r="H352" s="25" t="str">
        <f t="shared" si="23"/>
        <v>insert into ins_premium_det (premium_rcv_code,assorted_code, rec_amount,premium_rcv_detail_code,remaining_amt, payrec, mode_code,coinsurance_code,class_cd,it_remarks) values('29Apr250042','050000711429','6062',(select max(to_number(i.premium_rcv_detail_code))+1
from ins_premium_det i),'6062','6062','02', '11000003','00','Request by Mr. Omair Ali 30-Apr-2025');</v>
      </c>
    </row>
    <row r="353" spans="1:8" ht="105" x14ac:dyDescent="0.25">
      <c r="A353" t="s">
        <v>938</v>
      </c>
      <c r="B353" s="1" t="str">
        <f>VLOOKUP(A353,Sheet5!B:C,2,0)</f>
        <v>050000711707</v>
      </c>
      <c r="C353" s="13">
        <v>5585</v>
      </c>
      <c r="D353" s="22">
        <f t="shared" si="21"/>
        <v>5585</v>
      </c>
      <c r="E353" s="21" t="s">
        <v>5912</v>
      </c>
      <c r="F353" s="23" t="str">
        <f t="shared" si="20"/>
        <v>insert into ins_premium_det (premium_rcv_code,assorted_code, rec_amount,premium_rcv_detail_code,remaining_amt, payrec, mode_code,coinsurance_code,class_cd,it_remarks) values</v>
      </c>
      <c r="G353" s="24" t="str">
        <f t="shared" si="22"/>
        <v>('29Apr250042','050000711707','5585',(select max(to_number(i.premium_rcv_detail_code))+1
from ins_premium_det i),'5585','5585','02', '11000003','00','Request by Mr. Omair Ali 30-Apr-2025');</v>
      </c>
      <c r="H353" s="25" t="str">
        <f t="shared" si="23"/>
        <v>insert into ins_premium_det (premium_rcv_code,assorted_code, rec_amount,premium_rcv_detail_code,remaining_amt, payrec, mode_code,coinsurance_code,class_cd,it_remarks) values('29Apr250042','050000711707','5585',(select max(to_number(i.premium_rcv_detail_code))+1
from ins_premium_det i),'5585','5585','02', '11000003','00','Request by Mr. Omair Ali 30-Apr-2025');</v>
      </c>
    </row>
    <row r="354" spans="1:8" ht="105" x14ac:dyDescent="0.25">
      <c r="A354" t="s">
        <v>444</v>
      </c>
      <c r="B354" s="1" t="str">
        <f>VLOOKUP(A354,Sheet5!B:C,2,0)</f>
        <v>050000712472</v>
      </c>
      <c r="C354" s="13">
        <v>4534</v>
      </c>
      <c r="D354" s="22">
        <f t="shared" si="21"/>
        <v>4534</v>
      </c>
      <c r="E354" s="21" t="s">
        <v>5912</v>
      </c>
      <c r="F354" s="23" t="str">
        <f t="shared" si="20"/>
        <v>insert into ins_premium_det (premium_rcv_code,assorted_code, rec_amount,premium_rcv_detail_code,remaining_amt, payrec, mode_code,coinsurance_code,class_cd,it_remarks) values</v>
      </c>
      <c r="G354" s="24" t="str">
        <f t="shared" si="22"/>
        <v>('29Apr250042','050000712472','4534',(select max(to_number(i.premium_rcv_detail_code))+1
from ins_premium_det i),'4534','4534','02', '11000003','00','Request by Mr. Omair Ali 30-Apr-2025');</v>
      </c>
      <c r="H354" s="25" t="str">
        <f t="shared" si="23"/>
        <v>insert into ins_premium_det (premium_rcv_code,assorted_code, rec_amount,premium_rcv_detail_code,remaining_amt, payrec, mode_code,coinsurance_code,class_cd,it_remarks) values('29Apr250042','050000712472','4534',(select max(to_number(i.premium_rcv_detail_code))+1
from ins_premium_det i),'4534','4534','02', '11000003','00','Request by Mr. Omair Ali 30-Apr-2025');</v>
      </c>
    </row>
    <row r="355" spans="1:8" ht="105" x14ac:dyDescent="0.25">
      <c r="A355" t="s">
        <v>1319</v>
      </c>
      <c r="B355" s="1" t="str">
        <f>VLOOKUP(A355,Sheet5!B:C,2,0)</f>
        <v>050000712486</v>
      </c>
      <c r="C355" s="13">
        <v>478</v>
      </c>
      <c r="D355" s="22">
        <f t="shared" si="21"/>
        <v>478</v>
      </c>
      <c r="E355" s="21" t="s">
        <v>5912</v>
      </c>
      <c r="F355" s="23" t="str">
        <f t="shared" si="20"/>
        <v>insert into ins_premium_det (premium_rcv_code,assorted_code, rec_amount,premium_rcv_detail_code,remaining_amt, payrec, mode_code,coinsurance_code,class_cd,it_remarks) values</v>
      </c>
      <c r="G355" s="24" t="str">
        <f t="shared" si="22"/>
        <v>('29Apr250042','050000712486','478',(select max(to_number(i.premium_rcv_detail_code))+1
from ins_premium_det i),'478','478','02', '11000003','00','Request by Mr. Omair Ali 30-Apr-2025');</v>
      </c>
      <c r="H355" s="25" t="str">
        <f t="shared" si="23"/>
        <v>insert into ins_premium_det (premium_rcv_code,assorted_code, rec_amount,premium_rcv_detail_code,remaining_amt, payrec, mode_code,coinsurance_code,class_cd,it_remarks) values('29Apr250042','050000712486','478',(select max(to_number(i.premium_rcv_detail_code))+1
from ins_premium_det i),'478','478','02', '11000003','00','Request by Mr. Omair Ali 30-Apr-2025');</v>
      </c>
    </row>
    <row r="356" spans="1:8" ht="105" x14ac:dyDescent="0.25">
      <c r="A356" t="s">
        <v>169</v>
      </c>
      <c r="B356" s="1" t="str">
        <f>VLOOKUP(A356,Sheet5!B:C,2,0)</f>
        <v>050000713412</v>
      </c>
      <c r="C356" s="13">
        <v>3888</v>
      </c>
      <c r="D356" s="22">
        <f t="shared" si="21"/>
        <v>3888</v>
      </c>
      <c r="E356" s="21" t="s">
        <v>5912</v>
      </c>
      <c r="F356" s="23" t="str">
        <f t="shared" si="20"/>
        <v>insert into ins_premium_det (premium_rcv_code,assorted_code, rec_amount,premium_rcv_detail_code,remaining_amt, payrec, mode_code,coinsurance_code,class_cd,it_remarks) values</v>
      </c>
      <c r="G356" s="24" t="str">
        <f t="shared" si="22"/>
        <v>('29Apr250042','050000713412','3888',(select max(to_number(i.premium_rcv_detail_code))+1
from ins_premium_det i),'3888','3888','02', '11000003','00','Request by Mr. Omair Ali 30-Apr-2025');</v>
      </c>
      <c r="H356" s="25" t="str">
        <f t="shared" si="23"/>
        <v>insert into ins_premium_det (premium_rcv_code,assorted_code, rec_amount,premium_rcv_detail_code,remaining_amt, payrec, mode_code,coinsurance_code,class_cd,it_remarks) values('29Apr250042','050000713412','3888',(select max(to_number(i.premium_rcv_detail_code))+1
from ins_premium_det i),'3888','3888','02', '11000003','00','Request by Mr. Omair Ali 30-Apr-2025');</v>
      </c>
    </row>
    <row r="357" spans="1:8" ht="105" x14ac:dyDescent="0.25">
      <c r="A357" t="s">
        <v>1331</v>
      </c>
      <c r="B357" s="1" t="str">
        <f>VLOOKUP(A357,Sheet5!B:C,2,0)</f>
        <v>050000713876</v>
      </c>
      <c r="C357" s="13">
        <v>293</v>
      </c>
      <c r="D357" s="22">
        <f t="shared" si="21"/>
        <v>293</v>
      </c>
      <c r="E357" s="21" t="s">
        <v>5912</v>
      </c>
      <c r="F357" s="23" t="str">
        <f t="shared" si="20"/>
        <v>insert into ins_premium_det (premium_rcv_code,assorted_code, rec_amount,premium_rcv_detail_code,remaining_amt, payrec, mode_code,coinsurance_code,class_cd,it_remarks) values</v>
      </c>
      <c r="G357" s="24" t="str">
        <f t="shared" si="22"/>
        <v>('29Apr250042','050000713876','293',(select max(to_number(i.premium_rcv_detail_code))+1
from ins_premium_det i),'293','293','02', '11000003','00','Request by Mr. Omair Ali 30-Apr-2025');</v>
      </c>
      <c r="H357" s="25" t="str">
        <f t="shared" si="23"/>
        <v>insert into ins_premium_det (premium_rcv_code,assorted_code, rec_amount,premium_rcv_detail_code,remaining_amt, payrec, mode_code,coinsurance_code,class_cd,it_remarks) values('29Apr250042','050000713876','293',(select max(to_number(i.premium_rcv_detail_code))+1
from ins_premium_det i),'293','293','02', '11000003','00','Request by Mr. Omair Ali 30-Apr-2025');</v>
      </c>
    </row>
    <row r="358" spans="1:8" ht="105" x14ac:dyDescent="0.25">
      <c r="A358" t="s">
        <v>111</v>
      </c>
      <c r="B358" s="1" t="str">
        <f>VLOOKUP(A358,Sheet5!B:C,2,0)</f>
        <v>050000714403</v>
      </c>
      <c r="C358" s="13">
        <v>2</v>
      </c>
      <c r="D358" s="22">
        <f t="shared" si="21"/>
        <v>2</v>
      </c>
      <c r="E358" s="21" t="s">
        <v>5912</v>
      </c>
      <c r="F358" s="23" t="str">
        <f t="shared" si="20"/>
        <v>insert into ins_premium_det (premium_rcv_code,assorted_code, rec_amount,premium_rcv_detail_code,remaining_amt, payrec, mode_code,coinsurance_code,class_cd,it_remarks) values</v>
      </c>
      <c r="G358" s="24" t="str">
        <f t="shared" si="22"/>
        <v>('29Apr250042','050000714403','2',(select max(to_number(i.premium_rcv_detail_code))+1
from ins_premium_det i),'2','2','02', '11000003','00','Request by Mr. Omair Ali 30-Apr-2025');</v>
      </c>
      <c r="H358" s="25" t="str">
        <f t="shared" si="23"/>
        <v>insert into ins_premium_det (premium_rcv_code,assorted_code, rec_amount,premium_rcv_detail_code,remaining_amt, payrec, mode_code,coinsurance_code,class_cd,it_remarks) values('29Apr250042','050000714403','2',(select max(to_number(i.premium_rcv_detail_code))+1
from ins_premium_det i),'2','2','02', '11000003','00','Request by Mr. Omair Ali 30-Apr-2025');</v>
      </c>
    </row>
    <row r="359" spans="1:8" ht="105" x14ac:dyDescent="0.25">
      <c r="A359" t="s">
        <v>1332</v>
      </c>
      <c r="B359" s="1" t="str">
        <f>VLOOKUP(A359,Sheet5!B:C,2,0)</f>
        <v>050000714405</v>
      </c>
      <c r="C359" s="13">
        <v>293</v>
      </c>
      <c r="D359" s="22">
        <f t="shared" si="21"/>
        <v>293</v>
      </c>
      <c r="E359" s="21" t="s">
        <v>5912</v>
      </c>
      <c r="F359" s="23" t="str">
        <f t="shared" si="20"/>
        <v>insert into ins_premium_det (premium_rcv_code,assorted_code, rec_amount,premium_rcv_detail_code,remaining_amt, payrec, mode_code,coinsurance_code,class_cd,it_remarks) values</v>
      </c>
      <c r="G359" s="24" t="str">
        <f t="shared" si="22"/>
        <v>('29Apr250042','050000714405','293',(select max(to_number(i.premium_rcv_detail_code))+1
from ins_premium_det i),'293','293','02', '11000003','00','Request by Mr. Omair Ali 30-Apr-2025');</v>
      </c>
      <c r="H359" s="25" t="str">
        <f t="shared" si="23"/>
        <v>insert into ins_premium_det (premium_rcv_code,assorted_code, rec_amount,premium_rcv_detail_code,remaining_amt, payrec, mode_code,coinsurance_code,class_cd,it_remarks) values('29Apr250042','050000714405','293',(select max(to_number(i.premium_rcv_detail_code))+1
from ins_premium_det i),'293','293','02', '11000003','00','Request by Mr. Omair Ali 30-Apr-2025');</v>
      </c>
    </row>
    <row r="360" spans="1:8" ht="105" x14ac:dyDescent="0.25">
      <c r="A360" t="s">
        <v>994</v>
      </c>
      <c r="B360" s="1" t="str">
        <f>VLOOKUP(A360,Sheet5!B:C,2,0)</f>
        <v>050000717491</v>
      </c>
      <c r="C360" s="13">
        <v>2023</v>
      </c>
      <c r="D360" s="22">
        <f t="shared" si="21"/>
        <v>2023</v>
      </c>
      <c r="E360" s="21" t="s">
        <v>5912</v>
      </c>
      <c r="F360" s="23" t="str">
        <f t="shared" si="20"/>
        <v>insert into ins_premium_det (premium_rcv_code,assorted_code, rec_amount,premium_rcv_detail_code,remaining_amt, payrec, mode_code,coinsurance_code,class_cd,it_remarks) values</v>
      </c>
      <c r="G360" s="24" t="str">
        <f t="shared" si="22"/>
        <v>('29Apr250042','050000717491','2023',(select max(to_number(i.premium_rcv_detail_code))+1
from ins_premium_det i),'2023','2023','02', '11000003','00','Request by Mr. Omair Ali 30-Apr-2025');</v>
      </c>
      <c r="H360" s="25" t="str">
        <f t="shared" si="23"/>
        <v>insert into ins_premium_det (premium_rcv_code,assorted_code, rec_amount,premium_rcv_detail_code,remaining_amt, payrec, mode_code,coinsurance_code,class_cd,it_remarks) values('29Apr250042','050000717491','2023',(select max(to_number(i.premium_rcv_detail_code))+1
from ins_premium_det i),'2023','2023','02', '11000003','00','Request by Mr. Omair Ali 30-Apr-2025');</v>
      </c>
    </row>
    <row r="361" spans="1:8" ht="105" x14ac:dyDescent="0.25">
      <c r="A361" t="s">
        <v>232</v>
      </c>
      <c r="B361" s="1" t="str">
        <f>VLOOKUP(A361,Sheet5!B:C,2,0)</f>
        <v>050000718004</v>
      </c>
      <c r="C361" s="13">
        <v>661</v>
      </c>
      <c r="D361" s="22">
        <f t="shared" si="21"/>
        <v>661</v>
      </c>
      <c r="E361" s="21" t="s">
        <v>5912</v>
      </c>
      <c r="F361" s="23" t="str">
        <f t="shared" si="20"/>
        <v>insert into ins_premium_det (premium_rcv_code,assorted_code, rec_amount,premium_rcv_detail_code,remaining_amt, payrec, mode_code,coinsurance_code,class_cd,it_remarks) values</v>
      </c>
      <c r="G361" s="24" t="str">
        <f t="shared" si="22"/>
        <v>('29Apr250042','050000718004','661',(select max(to_number(i.premium_rcv_detail_code))+1
from ins_premium_det i),'661','661','02', '11000003','00','Request by Mr. Omair Ali 30-Apr-2025');</v>
      </c>
      <c r="H361" s="25" t="str">
        <f t="shared" si="23"/>
        <v>insert into ins_premium_det (premium_rcv_code,assorted_code, rec_amount,premium_rcv_detail_code,remaining_amt, payrec, mode_code,coinsurance_code,class_cd,it_remarks) values('29Apr250042','050000718004','661',(select max(to_number(i.premium_rcv_detail_code))+1
from ins_premium_det i),'661','661','02', '11000003','00','Request by Mr. Omair Ali 30-Apr-2025');</v>
      </c>
    </row>
    <row r="362" spans="1:8" ht="105" x14ac:dyDescent="0.25">
      <c r="A362" t="s">
        <v>1099</v>
      </c>
      <c r="B362" s="1" t="str">
        <f>VLOOKUP(A362,Sheet5!B:C,2,0)</f>
        <v>050000718118</v>
      </c>
      <c r="C362" s="13">
        <v>4043</v>
      </c>
      <c r="D362" s="22">
        <f t="shared" si="21"/>
        <v>4043</v>
      </c>
      <c r="E362" s="21" t="s">
        <v>5912</v>
      </c>
      <c r="F362" s="23" t="str">
        <f t="shared" si="20"/>
        <v>insert into ins_premium_det (premium_rcv_code,assorted_code, rec_amount,premium_rcv_detail_code,remaining_amt, payrec, mode_code,coinsurance_code,class_cd,it_remarks) values</v>
      </c>
      <c r="G362" s="24" t="str">
        <f t="shared" si="22"/>
        <v>('29Apr250042','050000718118','4043',(select max(to_number(i.premium_rcv_detail_code))+1
from ins_premium_det i),'4043','4043','02', '11000003','00','Request by Mr. Omair Ali 30-Apr-2025');</v>
      </c>
      <c r="H362" s="25" t="str">
        <f t="shared" si="23"/>
        <v>insert into ins_premium_det (premium_rcv_code,assorted_code, rec_amount,premium_rcv_detail_code,remaining_amt, payrec, mode_code,coinsurance_code,class_cd,it_remarks) values('29Apr250042','050000718118','4043',(select max(to_number(i.premium_rcv_detail_code))+1
from ins_premium_det i),'4043','4043','02', '11000003','00','Request by Mr. Omair Ali 30-Apr-2025');</v>
      </c>
    </row>
    <row r="363" spans="1:8" ht="105" x14ac:dyDescent="0.25">
      <c r="A363" t="s">
        <v>1141</v>
      </c>
      <c r="B363" s="1" t="str">
        <f>VLOOKUP(A363,Sheet5!B:C,2,0)</f>
        <v>050000718119</v>
      </c>
      <c r="C363" s="13">
        <v>2633</v>
      </c>
      <c r="D363" s="22">
        <f t="shared" si="21"/>
        <v>2633</v>
      </c>
      <c r="E363" s="21" t="s">
        <v>5912</v>
      </c>
      <c r="F363" s="23" t="str">
        <f t="shared" si="20"/>
        <v>insert into ins_premium_det (premium_rcv_code,assorted_code, rec_amount,premium_rcv_detail_code,remaining_amt, payrec, mode_code,coinsurance_code,class_cd,it_remarks) values</v>
      </c>
      <c r="G363" s="24" t="str">
        <f t="shared" si="22"/>
        <v>('29Apr250042','050000718119','2633',(select max(to_number(i.premium_rcv_detail_code))+1
from ins_premium_det i),'2633','2633','02', '11000003','00','Request by Mr. Omair Ali 30-Apr-2025');</v>
      </c>
      <c r="H363" s="25" t="str">
        <f t="shared" si="23"/>
        <v>insert into ins_premium_det (premium_rcv_code,assorted_code, rec_amount,premium_rcv_detail_code,remaining_amt, payrec, mode_code,coinsurance_code,class_cd,it_remarks) values('29Apr250042','050000718119','2633',(select max(to_number(i.premium_rcv_detail_code))+1
from ins_premium_det i),'2633','2633','02', '11000003','00','Request by Mr. Omair Ali 30-Apr-2025');</v>
      </c>
    </row>
    <row r="364" spans="1:8" ht="105" x14ac:dyDescent="0.25">
      <c r="A364" t="s">
        <v>980</v>
      </c>
      <c r="B364" s="1" t="str">
        <f>VLOOKUP(A364,Sheet5!B:C,2,0)</f>
        <v>050000718205</v>
      </c>
      <c r="C364" s="13">
        <v>359</v>
      </c>
      <c r="D364" s="22">
        <f t="shared" si="21"/>
        <v>359</v>
      </c>
      <c r="E364" s="21" t="s">
        <v>5912</v>
      </c>
      <c r="F364" s="23" t="str">
        <f t="shared" si="20"/>
        <v>insert into ins_premium_det (premium_rcv_code,assorted_code, rec_amount,premium_rcv_detail_code,remaining_amt, payrec, mode_code,coinsurance_code,class_cd,it_remarks) values</v>
      </c>
      <c r="G364" s="24" t="str">
        <f t="shared" si="22"/>
        <v>('29Apr250042','050000718205','359',(select max(to_number(i.premium_rcv_detail_code))+1
from ins_premium_det i),'359','359','02', '11000003','00','Request by Mr. Omair Ali 30-Apr-2025');</v>
      </c>
      <c r="H364" s="25" t="str">
        <f t="shared" si="23"/>
        <v>insert into ins_premium_det (premium_rcv_code,assorted_code, rec_amount,premium_rcv_detail_code,remaining_amt, payrec, mode_code,coinsurance_code,class_cd,it_remarks) values('29Apr250042','050000718205','359',(select max(to_number(i.premium_rcv_detail_code))+1
from ins_premium_det i),'359','359','02', '11000003','00','Request by Mr. Omair Ali 30-Apr-2025');</v>
      </c>
    </row>
    <row r="365" spans="1:8" ht="105" x14ac:dyDescent="0.25">
      <c r="A365" t="s">
        <v>132</v>
      </c>
      <c r="B365" s="1" t="str">
        <f>VLOOKUP(A365,Sheet5!B:C,2,0)</f>
        <v>050000718394</v>
      </c>
      <c r="C365" s="13">
        <v>1172</v>
      </c>
      <c r="D365" s="22">
        <f t="shared" si="21"/>
        <v>1172</v>
      </c>
      <c r="E365" s="21" t="s">
        <v>5912</v>
      </c>
      <c r="F365" s="23" t="str">
        <f t="shared" si="20"/>
        <v>insert into ins_premium_det (premium_rcv_code,assorted_code, rec_amount,premium_rcv_detail_code,remaining_amt, payrec, mode_code,coinsurance_code,class_cd,it_remarks) values</v>
      </c>
      <c r="G365" s="24" t="str">
        <f t="shared" si="22"/>
        <v>('29Apr250042','050000718394','1172',(select max(to_number(i.premium_rcv_detail_code))+1
from ins_premium_det i),'1172','1172','02', '11000003','00','Request by Mr. Omair Ali 30-Apr-2025');</v>
      </c>
      <c r="H365" s="25" t="str">
        <f t="shared" si="23"/>
        <v>insert into ins_premium_det (premium_rcv_code,assorted_code, rec_amount,premium_rcv_detail_code,remaining_amt, payrec, mode_code,coinsurance_code,class_cd,it_remarks) values('29Apr250042','050000718394','1172',(select max(to_number(i.premium_rcv_detail_code))+1
from ins_premium_det i),'1172','1172','02', '11000003','00','Request by Mr. Omair Ali 30-Apr-2025');</v>
      </c>
    </row>
    <row r="366" spans="1:8" ht="105" x14ac:dyDescent="0.25">
      <c r="A366" t="s">
        <v>393</v>
      </c>
      <c r="B366" s="1" t="str">
        <f>VLOOKUP(A366,Sheet5!B:C,2,0)</f>
        <v>050000718431</v>
      </c>
      <c r="C366" s="13">
        <v>1116</v>
      </c>
      <c r="D366" s="22">
        <f t="shared" si="21"/>
        <v>1116</v>
      </c>
      <c r="E366" s="21" t="s">
        <v>5912</v>
      </c>
      <c r="F366" s="23" t="str">
        <f t="shared" si="20"/>
        <v>insert into ins_premium_det (premium_rcv_code,assorted_code, rec_amount,premium_rcv_detail_code,remaining_amt, payrec, mode_code,coinsurance_code,class_cd,it_remarks) values</v>
      </c>
      <c r="G366" s="24" t="str">
        <f t="shared" si="22"/>
        <v>('29Apr250042','050000718431','1116',(select max(to_number(i.premium_rcv_detail_code))+1
from ins_premium_det i),'1116','1116','02', '11000003','00','Request by Mr. Omair Ali 30-Apr-2025');</v>
      </c>
      <c r="H366" s="25" t="str">
        <f t="shared" si="23"/>
        <v>insert into ins_premium_det (premium_rcv_code,assorted_code, rec_amount,premium_rcv_detail_code,remaining_amt, payrec, mode_code,coinsurance_code,class_cd,it_remarks) values('29Apr250042','050000718431','1116',(select max(to_number(i.premium_rcv_detail_code))+1
from ins_premium_det i),'1116','1116','02', '11000003','00','Request by Mr. Omair Ali 30-Apr-2025');</v>
      </c>
    </row>
    <row r="367" spans="1:8" ht="105" x14ac:dyDescent="0.25">
      <c r="A367" t="s">
        <v>409</v>
      </c>
      <c r="B367" s="1" t="str">
        <f>VLOOKUP(A367,Sheet5!B:C,2,0)</f>
        <v>050000718433</v>
      </c>
      <c r="C367" s="13">
        <v>2524</v>
      </c>
      <c r="D367" s="22">
        <f t="shared" si="21"/>
        <v>2524</v>
      </c>
      <c r="E367" s="21" t="s">
        <v>5912</v>
      </c>
      <c r="F367" s="23" t="str">
        <f t="shared" si="20"/>
        <v>insert into ins_premium_det (premium_rcv_code,assorted_code, rec_amount,premium_rcv_detail_code,remaining_amt, payrec, mode_code,coinsurance_code,class_cd,it_remarks) values</v>
      </c>
      <c r="G367" s="24" t="str">
        <f t="shared" si="22"/>
        <v>('29Apr250042','050000718433','2524',(select max(to_number(i.premium_rcv_detail_code))+1
from ins_premium_det i),'2524','2524','02', '11000003','00','Request by Mr. Omair Ali 30-Apr-2025');</v>
      </c>
      <c r="H367" s="25" t="str">
        <f t="shared" si="23"/>
        <v>insert into ins_premium_det (premium_rcv_code,assorted_code, rec_amount,premium_rcv_detail_code,remaining_amt, payrec, mode_code,coinsurance_code,class_cd,it_remarks) values('29Apr250042','050000718433','2524',(select max(to_number(i.premium_rcv_detail_code))+1
from ins_premium_det i),'2524','2524','02', '11000003','00','Request by Mr. Omair Ali 30-Apr-2025');</v>
      </c>
    </row>
    <row r="368" spans="1:8" ht="105" x14ac:dyDescent="0.25">
      <c r="A368" t="s">
        <v>813</v>
      </c>
      <c r="B368" s="1" t="str">
        <f>VLOOKUP(A368,Sheet5!B:C,2,0)</f>
        <v>050000718442</v>
      </c>
      <c r="C368" s="13">
        <v>5574</v>
      </c>
      <c r="D368" s="22">
        <f t="shared" si="21"/>
        <v>5574</v>
      </c>
      <c r="E368" s="21" t="s">
        <v>5912</v>
      </c>
      <c r="F368" s="23" t="str">
        <f t="shared" si="20"/>
        <v>insert into ins_premium_det (premium_rcv_code,assorted_code, rec_amount,premium_rcv_detail_code,remaining_amt, payrec, mode_code,coinsurance_code,class_cd,it_remarks) values</v>
      </c>
      <c r="G368" s="24" t="str">
        <f t="shared" si="22"/>
        <v>('29Apr250042','050000718442','5574',(select max(to_number(i.premium_rcv_detail_code))+1
from ins_premium_det i),'5574','5574','02', '11000003','00','Request by Mr. Omair Ali 30-Apr-2025');</v>
      </c>
      <c r="H368" s="25" t="str">
        <f t="shared" si="23"/>
        <v>insert into ins_premium_det (premium_rcv_code,assorted_code, rec_amount,premium_rcv_detail_code,remaining_amt, payrec, mode_code,coinsurance_code,class_cd,it_remarks) values('29Apr250042','050000718442','5574',(select max(to_number(i.premium_rcv_detail_code))+1
from ins_premium_det i),'5574','5574','02', '11000003','00','Request by Mr. Omair Ali 30-Apr-2025');</v>
      </c>
    </row>
    <row r="369" spans="1:8" ht="105" x14ac:dyDescent="0.25">
      <c r="A369" t="s">
        <v>1025</v>
      </c>
      <c r="B369" s="1" t="str">
        <f>VLOOKUP(A369,Sheet5!B:C,2,0)</f>
        <v>050000718449</v>
      </c>
      <c r="C369" s="13">
        <v>1491</v>
      </c>
      <c r="D369" s="22">
        <f t="shared" si="21"/>
        <v>1491</v>
      </c>
      <c r="E369" s="21" t="s">
        <v>5912</v>
      </c>
      <c r="F369" s="23" t="str">
        <f t="shared" si="20"/>
        <v>insert into ins_premium_det (premium_rcv_code,assorted_code, rec_amount,premium_rcv_detail_code,remaining_amt, payrec, mode_code,coinsurance_code,class_cd,it_remarks) values</v>
      </c>
      <c r="G369" s="24" t="str">
        <f t="shared" si="22"/>
        <v>('29Apr250042','050000718449','1491',(select max(to_number(i.premium_rcv_detail_code))+1
from ins_premium_det i),'1491','1491','02', '11000003','00','Request by Mr. Omair Ali 30-Apr-2025');</v>
      </c>
      <c r="H369" s="25" t="str">
        <f t="shared" si="23"/>
        <v>insert into ins_premium_det (premium_rcv_code,assorted_code, rec_amount,premium_rcv_detail_code,remaining_amt, payrec, mode_code,coinsurance_code,class_cd,it_remarks) values('29Apr250042','050000718449','1491',(select max(to_number(i.premium_rcv_detail_code))+1
from ins_premium_det i),'1491','1491','02', '11000003','00','Request by Mr. Omair Ali 30-Apr-2025');</v>
      </c>
    </row>
    <row r="370" spans="1:8" ht="105" x14ac:dyDescent="0.25">
      <c r="A370" t="s">
        <v>1166</v>
      </c>
      <c r="B370" s="1" t="str">
        <f>VLOOKUP(A370,Sheet5!B:C,2,0)</f>
        <v>050000718458</v>
      </c>
      <c r="C370" s="13">
        <v>8029</v>
      </c>
      <c r="D370" s="22">
        <f t="shared" si="21"/>
        <v>8029</v>
      </c>
      <c r="E370" s="21" t="s">
        <v>5912</v>
      </c>
      <c r="F370" s="23" t="str">
        <f t="shared" si="20"/>
        <v>insert into ins_premium_det (premium_rcv_code,assorted_code, rec_amount,premium_rcv_detail_code,remaining_amt, payrec, mode_code,coinsurance_code,class_cd,it_remarks) values</v>
      </c>
      <c r="G370" s="24" t="str">
        <f t="shared" si="22"/>
        <v>('29Apr250042','050000718458','8029',(select max(to_number(i.premium_rcv_detail_code))+1
from ins_premium_det i),'8029','8029','02', '11000003','00','Request by Mr. Omair Ali 30-Apr-2025');</v>
      </c>
      <c r="H370" s="25" t="str">
        <f t="shared" si="23"/>
        <v>insert into ins_premium_det (premium_rcv_code,assorted_code, rec_amount,premium_rcv_detail_code,remaining_amt, payrec, mode_code,coinsurance_code,class_cd,it_remarks) values('29Apr250042','050000718458','8029',(select max(to_number(i.premium_rcv_detail_code))+1
from ins_premium_det i),'8029','8029','02', '11000003','00','Request by Mr. Omair Ali 30-Apr-2025');</v>
      </c>
    </row>
    <row r="371" spans="1:8" ht="105" x14ac:dyDescent="0.25">
      <c r="A371" t="s">
        <v>1192</v>
      </c>
      <c r="B371" s="1" t="str">
        <f>VLOOKUP(A371,Sheet5!B:C,2,0)</f>
        <v>050000718461</v>
      </c>
      <c r="C371" s="13">
        <v>3569</v>
      </c>
      <c r="D371" s="22">
        <f t="shared" si="21"/>
        <v>3569</v>
      </c>
      <c r="E371" s="21" t="s">
        <v>5912</v>
      </c>
      <c r="F371" s="23" t="str">
        <f t="shared" si="20"/>
        <v>insert into ins_premium_det (premium_rcv_code,assorted_code, rec_amount,premium_rcv_detail_code,remaining_amt, payrec, mode_code,coinsurance_code,class_cd,it_remarks) values</v>
      </c>
      <c r="G371" s="24" t="str">
        <f t="shared" si="22"/>
        <v>('29Apr250042','050000718461','3569',(select max(to_number(i.premium_rcv_detail_code))+1
from ins_premium_det i),'3569','3569','02', '11000003','00','Request by Mr. Omair Ali 30-Apr-2025');</v>
      </c>
      <c r="H371" s="25" t="str">
        <f t="shared" si="23"/>
        <v>insert into ins_premium_det (premium_rcv_code,assorted_code, rec_amount,premium_rcv_detail_code,remaining_amt, payrec, mode_code,coinsurance_code,class_cd,it_remarks) values('29Apr250042','050000718461','3569',(select max(to_number(i.premium_rcv_detail_code))+1
from ins_premium_det i),'3569','3569','02', '11000003','00','Request by Mr. Omair Ali 30-Apr-2025');</v>
      </c>
    </row>
    <row r="372" spans="1:8" ht="105" x14ac:dyDescent="0.25">
      <c r="A372" t="s">
        <v>1403</v>
      </c>
      <c r="B372" s="1" t="str">
        <f>VLOOKUP(A372,Sheet5!B:C,2,0)</f>
        <v>050000718469</v>
      </c>
      <c r="C372" s="13">
        <v>2591</v>
      </c>
      <c r="D372" s="22">
        <f t="shared" si="21"/>
        <v>2591</v>
      </c>
      <c r="E372" s="21" t="s">
        <v>5912</v>
      </c>
      <c r="F372" s="23" t="str">
        <f t="shared" si="20"/>
        <v>insert into ins_premium_det (premium_rcv_code,assorted_code, rec_amount,premium_rcv_detail_code,remaining_amt, payrec, mode_code,coinsurance_code,class_cd,it_remarks) values</v>
      </c>
      <c r="G372" s="24" t="str">
        <f t="shared" si="22"/>
        <v>('29Apr250042','050000718469','2591',(select max(to_number(i.premium_rcv_detail_code))+1
from ins_premium_det i),'2591','2591','02', '11000003','00','Request by Mr. Omair Ali 30-Apr-2025');</v>
      </c>
      <c r="H372" s="25" t="str">
        <f t="shared" si="23"/>
        <v>insert into ins_premium_det (premium_rcv_code,assorted_code, rec_amount,premium_rcv_detail_code,remaining_amt, payrec, mode_code,coinsurance_code,class_cd,it_remarks) values('29Apr250042','050000718469','2591',(select max(to_number(i.premium_rcv_detail_code))+1
from ins_premium_det i),'2591','2591','02', '11000003','00','Request by Mr. Omair Ali 30-Apr-2025');</v>
      </c>
    </row>
    <row r="373" spans="1:8" ht="105" x14ac:dyDescent="0.25">
      <c r="A373" t="s">
        <v>490</v>
      </c>
      <c r="B373" s="1" t="str">
        <f>VLOOKUP(A373,Sheet5!B:C,2,0)</f>
        <v>050000719844</v>
      </c>
      <c r="C373" s="13">
        <v>4587</v>
      </c>
      <c r="D373" s="22">
        <f t="shared" si="21"/>
        <v>4587</v>
      </c>
      <c r="E373" s="21" t="s">
        <v>5912</v>
      </c>
      <c r="F373" s="23" t="str">
        <f t="shared" si="20"/>
        <v>insert into ins_premium_det (premium_rcv_code,assorted_code, rec_amount,premium_rcv_detail_code,remaining_amt, payrec, mode_code,coinsurance_code,class_cd,it_remarks) values</v>
      </c>
      <c r="G373" s="24" t="str">
        <f t="shared" si="22"/>
        <v>('29Apr250042','050000719844','4587',(select max(to_number(i.premium_rcv_detail_code))+1
from ins_premium_det i),'4587','4587','02', '11000003','00','Request by Mr. Omair Ali 30-Apr-2025');</v>
      </c>
      <c r="H373" s="25" t="str">
        <f t="shared" si="23"/>
        <v>insert into ins_premium_det (premium_rcv_code,assorted_code, rec_amount,premium_rcv_detail_code,remaining_amt, payrec, mode_code,coinsurance_code,class_cd,it_remarks) values('29Apr250042','050000719844','4587',(select max(to_number(i.premium_rcv_detail_code))+1
from ins_premium_det i),'4587','4587','02', '11000003','00','Request by Mr. Omair Ali 30-Apr-2025');</v>
      </c>
    </row>
    <row r="374" spans="1:8" ht="105" x14ac:dyDescent="0.25">
      <c r="A374" t="s">
        <v>584</v>
      </c>
      <c r="B374" s="1" t="str">
        <f>VLOOKUP(A374,Sheet5!B:C,2,0)</f>
        <v>050000719848</v>
      </c>
      <c r="C374" s="13">
        <v>3409</v>
      </c>
      <c r="D374" s="22">
        <f t="shared" si="21"/>
        <v>3409</v>
      </c>
      <c r="E374" s="21" t="s">
        <v>5912</v>
      </c>
      <c r="F374" s="23" t="str">
        <f t="shared" si="20"/>
        <v>insert into ins_premium_det (premium_rcv_code,assorted_code, rec_amount,premium_rcv_detail_code,remaining_amt, payrec, mode_code,coinsurance_code,class_cd,it_remarks) values</v>
      </c>
      <c r="G374" s="24" t="str">
        <f t="shared" si="22"/>
        <v>('29Apr250042','050000719848','3409',(select max(to_number(i.premium_rcv_detail_code))+1
from ins_premium_det i),'3409','3409','02', '11000003','00','Request by Mr. Omair Ali 30-Apr-2025');</v>
      </c>
      <c r="H374" s="25" t="str">
        <f t="shared" si="23"/>
        <v>insert into ins_premium_det (premium_rcv_code,assorted_code, rec_amount,premium_rcv_detail_code,remaining_amt, payrec, mode_code,coinsurance_code,class_cd,it_remarks) values('29Apr250042','050000719848','3409',(select max(to_number(i.premium_rcv_detail_code))+1
from ins_premium_det i),'3409','3409','02', '11000003','00','Request by Mr. Omair Ali 30-Apr-2025');</v>
      </c>
    </row>
    <row r="375" spans="1:8" ht="105" x14ac:dyDescent="0.25">
      <c r="A375" t="s">
        <v>598</v>
      </c>
      <c r="B375" s="1" t="str">
        <f>VLOOKUP(A375,Sheet5!B:C,2,0)</f>
        <v>050000719849</v>
      </c>
      <c r="C375" s="13">
        <v>3228</v>
      </c>
      <c r="D375" s="22">
        <f t="shared" si="21"/>
        <v>3228</v>
      </c>
      <c r="E375" s="21" t="s">
        <v>5912</v>
      </c>
      <c r="F375" s="23" t="str">
        <f t="shared" si="20"/>
        <v>insert into ins_premium_det (premium_rcv_code,assorted_code, rec_amount,premium_rcv_detail_code,remaining_amt, payrec, mode_code,coinsurance_code,class_cd,it_remarks) values</v>
      </c>
      <c r="G375" s="24" t="str">
        <f t="shared" si="22"/>
        <v>('29Apr250042','050000719849','3228',(select max(to_number(i.premium_rcv_detail_code))+1
from ins_premium_det i),'3228','3228','02', '11000003','00','Request by Mr. Omair Ali 30-Apr-2025');</v>
      </c>
      <c r="H375" s="25" t="str">
        <f t="shared" si="23"/>
        <v>insert into ins_premium_det (premium_rcv_code,assorted_code, rec_amount,premium_rcv_detail_code,remaining_amt, payrec, mode_code,coinsurance_code,class_cd,it_remarks) values('29Apr250042','050000719849','3228',(select max(to_number(i.premium_rcv_detail_code))+1
from ins_premium_det i),'3228','3228','02', '11000003','00','Request by Mr. Omair Ali 30-Apr-2025');</v>
      </c>
    </row>
    <row r="376" spans="1:8" ht="105" x14ac:dyDescent="0.25">
      <c r="A376" t="s">
        <v>226</v>
      </c>
      <c r="B376" s="1" t="str">
        <f>VLOOKUP(A376,Sheet5!B:C,2,0)</f>
        <v>050000721452</v>
      </c>
      <c r="C376" s="13">
        <v>267</v>
      </c>
      <c r="D376" s="22">
        <f t="shared" si="21"/>
        <v>267</v>
      </c>
      <c r="E376" s="21" t="s">
        <v>5912</v>
      </c>
      <c r="F376" s="23" t="str">
        <f t="shared" si="20"/>
        <v>insert into ins_premium_det (premium_rcv_code,assorted_code, rec_amount,premium_rcv_detail_code,remaining_amt, payrec, mode_code,coinsurance_code,class_cd,it_remarks) values</v>
      </c>
      <c r="G376" s="24" t="str">
        <f t="shared" si="22"/>
        <v>('29Apr250042','050000721452','267',(select max(to_number(i.premium_rcv_detail_code))+1
from ins_premium_det i),'267','267','02', '11000003','00','Request by Mr. Omair Ali 30-Apr-2025');</v>
      </c>
      <c r="H376" s="25" t="str">
        <f t="shared" si="23"/>
        <v>insert into ins_premium_det (premium_rcv_code,assorted_code, rec_amount,premium_rcv_detail_code,remaining_amt, payrec, mode_code,coinsurance_code,class_cd,it_remarks) values('29Apr250042','050000721452','267',(select max(to_number(i.premium_rcv_detail_code))+1
from ins_premium_det i),'267','267','02', '11000003','00','Request by Mr. Omair Ali 30-Apr-2025');</v>
      </c>
    </row>
    <row r="377" spans="1:8" ht="105" x14ac:dyDescent="0.25">
      <c r="A377" t="s">
        <v>911</v>
      </c>
      <c r="B377" s="1" t="str">
        <f>VLOOKUP(A377,Sheet5!B:C,2,0)</f>
        <v>050000721470</v>
      </c>
      <c r="C377" s="13">
        <v>992</v>
      </c>
      <c r="D377" s="22">
        <f t="shared" si="21"/>
        <v>992</v>
      </c>
      <c r="E377" s="21" t="s">
        <v>5912</v>
      </c>
      <c r="F377" s="23" t="str">
        <f t="shared" si="20"/>
        <v>insert into ins_premium_det (premium_rcv_code,assorted_code, rec_amount,premium_rcv_detail_code,remaining_amt, payrec, mode_code,coinsurance_code,class_cd,it_remarks) values</v>
      </c>
      <c r="G377" s="24" t="str">
        <f t="shared" si="22"/>
        <v>('29Apr250042','050000721470','992',(select max(to_number(i.premium_rcv_detail_code))+1
from ins_premium_det i),'992','992','02', '11000003','00','Request by Mr. Omair Ali 30-Apr-2025');</v>
      </c>
      <c r="H377" s="25" t="str">
        <f t="shared" si="23"/>
        <v>insert into ins_premium_det (premium_rcv_code,assorted_code, rec_amount,premium_rcv_detail_code,remaining_amt, payrec, mode_code,coinsurance_code,class_cd,it_remarks) values('29Apr250042','050000721470','992',(select max(to_number(i.premium_rcv_detail_code))+1
from ins_premium_det i),'992','992','02', '11000003','00','Request by Mr. Omair Ali 30-Apr-2025');</v>
      </c>
    </row>
    <row r="378" spans="1:8" ht="105" x14ac:dyDescent="0.25">
      <c r="A378" t="s">
        <v>926</v>
      </c>
      <c r="B378" s="1" t="str">
        <f>VLOOKUP(A378,Sheet5!B:C,2,0)</f>
        <v>050000721471</v>
      </c>
      <c r="C378" s="13">
        <v>3802</v>
      </c>
      <c r="D378" s="22">
        <f t="shared" si="21"/>
        <v>3802</v>
      </c>
      <c r="E378" s="21" t="s">
        <v>5912</v>
      </c>
      <c r="F378" s="23" t="str">
        <f t="shared" si="20"/>
        <v>insert into ins_premium_det (premium_rcv_code,assorted_code, rec_amount,premium_rcv_detail_code,remaining_amt, payrec, mode_code,coinsurance_code,class_cd,it_remarks) values</v>
      </c>
      <c r="G378" s="24" t="str">
        <f t="shared" si="22"/>
        <v>('29Apr250042','050000721471','3802',(select max(to_number(i.premium_rcv_detail_code))+1
from ins_premium_det i),'3802','3802','02', '11000003','00','Request by Mr. Omair Ali 30-Apr-2025');</v>
      </c>
      <c r="H378" s="25" t="str">
        <f t="shared" si="23"/>
        <v>insert into ins_premium_det (premium_rcv_code,assorted_code, rec_amount,premium_rcv_detail_code,remaining_amt, payrec, mode_code,coinsurance_code,class_cd,it_remarks) values('29Apr250042','050000721471','3802',(select max(to_number(i.premium_rcv_detail_code))+1
from ins_premium_det i),'3802','3802','02', '11000003','00','Request by Mr. Omair Ali 30-Apr-2025');</v>
      </c>
    </row>
    <row r="379" spans="1:8" ht="105" x14ac:dyDescent="0.25">
      <c r="A379" t="s">
        <v>1217</v>
      </c>
      <c r="B379" s="1" t="str">
        <f>VLOOKUP(A379,Sheet5!B:C,2,0)</f>
        <v>050000721493</v>
      </c>
      <c r="C379" s="13">
        <v>765</v>
      </c>
      <c r="D379" s="22">
        <f t="shared" si="21"/>
        <v>765</v>
      </c>
      <c r="E379" s="21" t="s">
        <v>5912</v>
      </c>
      <c r="F379" s="23" t="str">
        <f t="shared" si="20"/>
        <v>insert into ins_premium_det (premium_rcv_code,assorted_code, rec_amount,premium_rcv_detail_code,remaining_amt, payrec, mode_code,coinsurance_code,class_cd,it_remarks) values</v>
      </c>
      <c r="G379" s="24" t="str">
        <f t="shared" si="22"/>
        <v>('29Apr250042','050000721493','765',(select max(to_number(i.premium_rcv_detail_code))+1
from ins_premium_det i),'765','765','02', '11000003','00','Request by Mr. Omair Ali 30-Apr-2025');</v>
      </c>
      <c r="H379" s="25" t="str">
        <f t="shared" si="23"/>
        <v>insert into ins_premium_det (premium_rcv_code,assorted_code, rec_amount,premium_rcv_detail_code,remaining_amt, payrec, mode_code,coinsurance_code,class_cd,it_remarks) values('29Apr250042','050000721493','765',(select max(to_number(i.premium_rcv_detail_code))+1
from ins_premium_det i),'765','765','02', '11000003','00','Request by Mr. Omair Ali 30-Apr-2025');</v>
      </c>
    </row>
    <row r="380" spans="1:8" ht="105" x14ac:dyDescent="0.25">
      <c r="A380" t="s">
        <v>240</v>
      </c>
      <c r="B380" s="1" t="str">
        <f>VLOOKUP(A380,Sheet5!B:C,2,0)</f>
        <v>050000722048</v>
      </c>
      <c r="C380" s="13">
        <v>209</v>
      </c>
      <c r="D380" s="22">
        <f t="shared" si="21"/>
        <v>209</v>
      </c>
      <c r="E380" s="21" t="s">
        <v>5912</v>
      </c>
      <c r="F380" s="23" t="str">
        <f t="shared" si="20"/>
        <v>insert into ins_premium_det (premium_rcv_code,assorted_code, rec_amount,premium_rcv_detail_code,remaining_amt, payrec, mode_code,coinsurance_code,class_cd,it_remarks) values</v>
      </c>
      <c r="G380" s="24" t="str">
        <f t="shared" si="22"/>
        <v>('29Apr250042','050000722048','209',(select max(to_number(i.premium_rcv_detail_code))+1
from ins_premium_det i),'209','209','02', '11000003','00','Request by Mr. Omair Ali 30-Apr-2025');</v>
      </c>
      <c r="H380" s="25" t="str">
        <f t="shared" si="23"/>
        <v>insert into ins_premium_det (premium_rcv_code,assorted_code, rec_amount,premium_rcv_detail_code,remaining_amt, payrec, mode_code,coinsurance_code,class_cd,it_remarks) values('29Apr250042','050000722048','209',(select max(to_number(i.premium_rcv_detail_code))+1
from ins_premium_det i),'209','209','02', '11000003','00','Request by Mr. Omair Ali 30-Apr-2025');</v>
      </c>
    </row>
    <row r="381" spans="1:8" ht="105" x14ac:dyDescent="0.25">
      <c r="A381" t="s">
        <v>767</v>
      </c>
      <c r="B381" s="1" t="str">
        <f>VLOOKUP(A381,Sheet5!B:C,2,0)</f>
        <v>050000722055</v>
      </c>
      <c r="C381" s="13">
        <v>3814</v>
      </c>
      <c r="D381" s="22">
        <f t="shared" si="21"/>
        <v>3814</v>
      </c>
      <c r="E381" s="21" t="s">
        <v>5912</v>
      </c>
      <c r="F381" s="23" t="str">
        <f t="shared" si="20"/>
        <v>insert into ins_premium_det (premium_rcv_code,assorted_code, rec_amount,premium_rcv_detail_code,remaining_amt, payrec, mode_code,coinsurance_code,class_cd,it_remarks) values</v>
      </c>
      <c r="G381" s="24" t="str">
        <f t="shared" si="22"/>
        <v>('29Apr250042','050000722055','3814',(select max(to_number(i.premium_rcv_detail_code))+1
from ins_premium_det i),'3814','3814','02', '11000003','00','Request by Mr. Omair Ali 30-Apr-2025');</v>
      </c>
      <c r="H381" s="25" t="str">
        <f t="shared" si="23"/>
        <v>insert into ins_premium_det (premium_rcv_code,assorted_code, rec_amount,premium_rcv_detail_code,remaining_amt, payrec, mode_code,coinsurance_code,class_cd,it_remarks) values('29Apr250042','050000722055','3814',(select max(to_number(i.premium_rcv_detail_code))+1
from ins_premium_det i),'3814','3814','02', '11000003','00','Request by Mr. Omair Ali 30-Apr-2025');</v>
      </c>
    </row>
    <row r="382" spans="1:8" ht="105" x14ac:dyDescent="0.25">
      <c r="A382" t="s">
        <v>799</v>
      </c>
      <c r="B382" s="1" t="str">
        <f>VLOOKUP(A382,Sheet5!B:C,2,0)</f>
        <v>050000722057</v>
      </c>
      <c r="C382" s="13">
        <v>1445</v>
      </c>
      <c r="D382" s="22">
        <f t="shared" si="21"/>
        <v>1445</v>
      </c>
      <c r="E382" s="21" t="s">
        <v>5912</v>
      </c>
      <c r="F382" s="23" t="str">
        <f t="shared" si="20"/>
        <v>insert into ins_premium_det (premium_rcv_code,assorted_code, rec_amount,premium_rcv_detail_code,remaining_amt, payrec, mode_code,coinsurance_code,class_cd,it_remarks) values</v>
      </c>
      <c r="G382" s="24" t="str">
        <f t="shared" si="22"/>
        <v>('29Apr250042','050000722057','1445',(select max(to_number(i.premium_rcv_detail_code))+1
from ins_premium_det i),'1445','1445','02', '11000003','00','Request by Mr. Omair Ali 30-Apr-2025');</v>
      </c>
      <c r="H382" s="25" t="str">
        <f t="shared" si="23"/>
        <v>insert into ins_premium_det (premium_rcv_code,assorted_code, rec_amount,premium_rcv_detail_code,remaining_amt, payrec, mode_code,coinsurance_code,class_cd,it_remarks) values('29Apr250042','050000722057','1445',(select max(to_number(i.premium_rcv_detail_code))+1
from ins_premium_det i),'1445','1445','02', '11000003','00','Request by Mr. Omair Ali 30-Apr-2025');</v>
      </c>
    </row>
    <row r="383" spans="1:8" ht="105" x14ac:dyDescent="0.25">
      <c r="A383" t="s">
        <v>1053</v>
      </c>
      <c r="B383" s="1" t="str">
        <f>VLOOKUP(A383,Sheet5!B:C,2,0)</f>
        <v>050000722060</v>
      </c>
      <c r="C383" s="13">
        <v>2499</v>
      </c>
      <c r="D383" s="22">
        <f t="shared" si="21"/>
        <v>2499</v>
      </c>
      <c r="E383" s="21" t="s">
        <v>5912</v>
      </c>
      <c r="F383" s="23" t="str">
        <f t="shared" si="20"/>
        <v>insert into ins_premium_det (premium_rcv_code,assorted_code, rec_amount,premium_rcv_detail_code,remaining_amt, payrec, mode_code,coinsurance_code,class_cd,it_remarks) values</v>
      </c>
      <c r="G383" s="24" t="str">
        <f t="shared" si="22"/>
        <v>('29Apr250042','050000722060','2499',(select max(to_number(i.premium_rcv_detail_code))+1
from ins_premium_det i),'2499','2499','02', '11000003','00','Request by Mr. Omair Ali 30-Apr-2025');</v>
      </c>
      <c r="H383" s="25" t="str">
        <f t="shared" si="23"/>
        <v>insert into ins_premium_det (premium_rcv_code,assorted_code, rec_amount,premium_rcv_detail_code,remaining_amt, payrec, mode_code,coinsurance_code,class_cd,it_remarks) values('29Apr250042','050000722060','2499',(select max(to_number(i.premium_rcv_detail_code))+1
from ins_premium_det i),'2499','2499','02', '11000003','00','Request by Mr. Omair Ali 30-Apr-2025');</v>
      </c>
    </row>
    <row r="384" spans="1:8" ht="105" x14ac:dyDescent="0.25">
      <c r="A384" t="s">
        <v>1221</v>
      </c>
      <c r="B384" s="1" t="str">
        <f>VLOOKUP(A384,Sheet5!B:C,2,0)</f>
        <v>050000722063</v>
      </c>
      <c r="C384" s="13">
        <v>4433</v>
      </c>
      <c r="D384" s="22">
        <f t="shared" si="21"/>
        <v>4433</v>
      </c>
      <c r="E384" s="21" t="s">
        <v>5912</v>
      </c>
      <c r="F384" s="23" t="str">
        <f t="shared" si="20"/>
        <v>insert into ins_premium_det (premium_rcv_code,assorted_code, rec_amount,premium_rcv_detail_code,remaining_amt, payrec, mode_code,coinsurance_code,class_cd,it_remarks) values</v>
      </c>
      <c r="G384" s="24" t="str">
        <f t="shared" si="22"/>
        <v>('29Apr250042','050000722063','4433',(select max(to_number(i.premium_rcv_detail_code))+1
from ins_premium_det i),'4433','4433','02', '11000003','00','Request by Mr. Omair Ali 30-Apr-2025');</v>
      </c>
      <c r="H384" s="25" t="str">
        <f t="shared" si="23"/>
        <v>insert into ins_premium_det (premium_rcv_code,assorted_code, rec_amount,premium_rcv_detail_code,remaining_amt, payrec, mode_code,coinsurance_code,class_cd,it_remarks) values('29Apr250042','050000722063','4433',(select max(to_number(i.premium_rcv_detail_code))+1
from ins_premium_det i),'4433','4433','02', '11000003','00','Request by Mr. Omair Ali 30-Apr-2025');</v>
      </c>
    </row>
    <row r="385" spans="1:8" ht="105" x14ac:dyDescent="0.25">
      <c r="A385" t="s">
        <v>1234</v>
      </c>
      <c r="B385" s="1" t="str">
        <f>VLOOKUP(A385,Sheet5!B:C,2,0)</f>
        <v>050000722064</v>
      </c>
      <c r="C385" s="13">
        <v>214</v>
      </c>
      <c r="D385" s="22">
        <f t="shared" si="21"/>
        <v>214</v>
      </c>
      <c r="E385" s="21" t="s">
        <v>5912</v>
      </c>
      <c r="F385" s="23" t="str">
        <f t="shared" si="20"/>
        <v>insert into ins_premium_det (premium_rcv_code,assorted_code, rec_amount,premium_rcv_detail_code,remaining_amt, payrec, mode_code,coinsurance_code,class_cd,it_remarks) values</v>
      </c>
      <c r="G385" s="24" t="str">
        <f t="shared" si="22"/>
        <v>('29Apr250042','050000722064','214',(select max(to_number(i.premium_rcv_detail_code))+1
from ins_premium_det i),'214','214','02', '11000003','00','Request by Mr. Omair Ali 30-Apr-2025');</v>
      </c>
      <c r="H385" s="25" t="str">
        <f t="shared" si="23"/>
        <v>insert into ins_premium_det (premium_rcv_code,assorted_code, rec_amount,premium_rcv_detail_code,remaining_amt, payrec, mode_code,coinsurance_code,class_cd,it_remarks) values('29Apr250042','050000722064','214',(select max(to_number(i.premium_rcv_detail_code))+1
from ins_premium_det i),'214','214','02', '11000003','00','Request by Mr. Omair Ali 30-Apr-2025');</v>
      </c>
    </row>
    <row r="386" spans="1:8" ht="105" x14ac:dyDescent="0.25">
      <c r="A386" t="s">
        <v>788</v>
      </c>
      <c r="B386" s="1" t="str">
        <f>VLOOKUP(A386,Sheet5!B:C,2,0)</f>
        <v>050000723980</v>
      </c>
      <c r="C386" s="13">
        <v>3983</v>
      </c>
      <c r="D386" s="22">
        <f t="shared" si="21"/>
        <v>3983</v>
      </c>
      <c r="E386" s="21" t="s">
        <v>5912</v>
      </c>
      <c r="F386" s="23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24" t="str">
        <f t="shared" si="22"/>
        <v>('29Apr250042','050000723980','3983',(select max(to_number(i.premium_rcv_detail_code))+1
from ins_premium_det i),'3983','3983','02', '11000003','00','Request by Mr. Omair Ali 30-Apr-2025');</v>
      </c>
      <c r="H386" s="25" t="str">
        <f t="shared" si="23"/>
        <v>insert into ins_premium_det (premium_rcv_code,assorted_code, rec_amount,premium_rcv_detail_code,remaining_amt, payrec, mode_code,coinsurance_code,class_cd,it_remarks) values('29Apr250042','050000723980','3983',(select max(to_number(i.premium_rcv_detail_code))+1
from ins_premium_det i),'3983','3983','02', '11000003','00','Request by Mr. Omair Ali 30-Apr-2025');</v>
      </c>
    </row>
    <row r="387" spans="1:8" ht="105" x14ac:dyDescent="0.25">
      <c r="A387" t="s">
        <v>804</v>
      </c>
      <c r="B387" s="1" t="str">
        <f>VLOOKUP(A387,Sheet5!B:C,2,0)</f>
        <v>050000723981</v>
      </c>
      <c r="C387" s="13">
        <v>19293</v>
      </c>
      <c r="D387" s="22">
        <f t="shared" ref="D387:D450" si="25">ROUND(C387,0)</f>
        <v>19293</v>
      </c>
      <c r="E387" s="21" t="s">
        <v>5912</v>
      </c>
      <c r="F387" s="23" t="str">
        <f t="shared" si="24"/>
        <v>insert into ins_premium_det (premium_rcv_code,assorted_code, rec_amount,premium_rcv_detail_code,remaining_amt, payrec, mode_code,coinsurance_code,class_cd,it_remarks) values</v>
      </c>
      <c r="G387" s="24" t="str">
        <f t="shared" ref="G387:G450" si="26">"('"&amp;E387&amp;"','"&amp;B387&amp;"','"&amp;D387&amp;"',(select max(to_number(i.premium_rcv_detail_code))+1
from ins_premium_det i),'"&amp;D387&amp;"','"&amp;D387&amp;"','02', '11000003','00','Request by Mr. Omair Ali 30-Apr-2025');"</f>
        <v>('29Apr250042','050000723981','19293',(select max(to_number(i.premium_rcv_detail_code))+1
from ins_premium_det i),'19293','19293','02', '11000003','00','Request by Mr. Omair Ali 30-Apr-2025');</v>
      </c>
      <c r="H387" s="25" t="str">
        <f t="shared" ref="H387:H450" si="27">F387&amp;G387</f>
        <v>insert into ins_premium_det (premium_rcv_code,assorted_code, rec_amount,premium_rcv_detail_code,remaining_amt, payrec, mode_code,coinsurance_code,class_cd,it_remarks) values('29Apr250042','050000723981','19293',(select max(to_number(i.premium_rcv_detail_code))+1
from ins_premium_det i),'19293','19293','02', '11000003','00','Request by Mr. Omair Ali 30-Apr-2025');</v>
      </c>
    </row>
    <row r="388" spans="1:8" ht="105" x14ac:dyDescent="0.25">
      <c r="A388" t="s">
        <v>1430</v>
      </c>
      <c r="B388" s="1" t="str">
        <f>VLOOKUP(A388,Sheet5!B:C,2,0)</f>
        <v>050000723984</v>
      </c>
      <c r="C388" s="13">
        <v>2485</v>
      </c>
      <c r="D388" s="22">
        <f t="shared" si="25"/>
        <v>2485</v>
      </c>
      <c r="E388" s="21" t="s">
        <v>5912</v>
      </c>
      <c r="F388" s="23" t="str">
        <f t="shared" si="24"/>
        <v>insert into ins_premium_det (premium_rcv_code,assorted_code, rec_amount,premium_rcv_detail_code,remaining_amt, payrec, mode_code,coinsurance_code,class_cd,it_remarks) values</v>
      </c>
      <c r="G388" s="24" t="str">
        <f t="shared" si="26"/>
        <v>('29Apr250042','050000723984','2485',(select max(to_number(i.premium_rcv_detail_code))+1
from ins_premium_det i),'2485','2485','02', '11000003','00','Request by Mr. Omair Ali 30-Apr-2025');</v>
      </c>
      <c r="H388" s="25" t="str">
        <f t="shared" si="27"/>
        <v>insert into ins_premium_det (premium_rcv_code,assorted_code, rec_amount,premium_rcv_detail_code,remaining_amt, payrec, mode_code,coinsurance_code,class_cd,it_remarks) values('29Apr250042','050000723984','2485',(select max(to_number(i.premium_rcv_detail_code))+1
from ins_premium_det i),'2485','2485','02', '11000003','00','Request by Mr. Omair Ali 30-Apr-2025');</v>
      </c>
    </row>
    <row r="389" spans="1:8" ht="105" x14ac:dyDescent="0.25">
      <c r="A389" t="s">
        <v>501</v>
      </c>
      <c r="B389" s="1" t="str">
        <f>VLOOKUP(A389,Sheet5!B:C,2,0)</f>
        <v>050000724546</v>
      </c>
      <c r="C389" s="13">
        <v>1623</v>
      </c>
      <c r="D389" s="22">
        <f t="shared" si="25"/>
        <v>1623</v>
      </c>
      <c r="E389" s="21" t="s">
        <v>5912</v>
      </c>
      <c r="F389" s="23" t="str">
        <f t="shared" si="24"/>
        <v>insert into ins_premium_det (premium_rcv_code,assorted_code, rec_amount,premium_rcv_detail_code,remaining_amt, payrec, mode_code,coinsurance_code,class_cd,it_remarks) values</v>
      </c>
      <c r="G389" s="24" t="str">
        <f t="shared" si="26"/>
        <v>('29Apr250042','050000724546','1623',(select max(to_number(i.premium_rcv_detail_code))+1
from ins_premium_det i),'1623','1623','02', '11000003','00','Request by Mr. Omair Ali 30-Apr-2025');</v>
      </c>
      <c r="H389" s="25" t="str">
        <f t="shared" si="27"/>
        <v>insert into ins_premium_det (premium_rcv_code,assorted_code, rec_amount,premium_rcv_detail_code,remaining_amt, payrec, mode_code,coinsurance_code,class_cd,it_remarks) values('29Apr250042','050000724546','1623',(select max(to_number(i.premium_rcv_detail_code))+1
from ins_premium_det i),'1623','1623','02', '11000003','00','Request by Mr. Omair Ali 30-Apr-2025');</v>
      </c>
    </row>
    <row r="390" spans="1:8" ht="105" x14ac:dyDescent="0.25">
      <c r="A390" t="s">
        <v>511</v>
      </c>
      <c r="B390" s="1" t="str">
        <f>VLOOKUP(A390,Sheet5!B:C,2,0)</f>
        <v>050000724547</v>
      </c>
      <c r="C390" s="13">
        <v>3324</v>
      </c>
      <c r="D390" s="22">
        <f t="shared" si="25"/>
        <v>3324</v>
      </c>
      <c r="E390" s="21" t="s">
        <v>5912</v>
      </c>
      <c r="F390" s="23" t="str">
        <f t="shared" si="24"/>
        <v>insert into ins_premium_det (premium_rcv_code,assorted_code, rec_amount,premium_rcv_detail_code,remaining_amt, payrec, mode_code,coinsurance_code,class_cd,it_remarks) values</v>
      </c>
      <c r="G390" s="24" t="str">
        <f t="shared" si="26"/>
        <v>('29Apr250042','050000724547','3324',(select max(to_number(i.premium_rcv_detail_code))+1
from ins_premium_det i),'3324','3324','02', '11000003','00','Request by Mr. Omair Ali 30-Apr-2025');</v>
      </c>
      <c r="H390" s="25" t="str">
        <f t="shared" si="27"/>
        <v>insert into ins_premium_det (premium_rcv_code,assorted_code, rec_amount,premium_rcv_detail_code,remaining_amt, payrec, mode_code,coinsurance_code,class_cd,it_remarks) values('29Apr250042','050000724547','3324',(select max(to_number(i.premium_rcv_detail_code))+1
from ins_premium_det i),'3324','3324','02', '11000003','00','Request by Mr. Omair Ali 30-Apr-2025');</v>
      </c>
    </row>
    <row r="391" spans="1:8" ht="105" x14ac:dyDescent="0.25">
      <c r="A391" t="s">
        <v>555</v>
      </c>
      <c r="B391" s="1" t="str">
        <f>VLOOKUP(A391,Sheet5!B:C,2,0)</f>
        <v>050000724548</v>
      </c>
      <c r="C391" s="13">
        <v>3937</v>
      </c>
      <c r="D391" s="22">
        <f t="shared" si="25"/>
        <v>3937</v>
      </c>
      <c r="E391" s="21" t="s">
        <v>5912</v>
      </c>
      <c r="F391" s="23" t="str">
        <f t="shared" si="24"/>
        <v>insert into ins_premium_det (premium_rcv_code,assorted_code, rec_amount,premium_rcv_detail_code,remaining_amt, payrec, mode_code,coinsurance_code,class_cd,it_remarks) values</v>
      </c>
      <c r="G391" s="24" t="str">
        <f t="shared" si="26"/>
        <v>('29Apr250042','050000724548','3937',(select max(to_number(i.premium_rcv_detail_code))+1
from ins_premium_det i),'3937','3937','02', '11000003','00','Request by Mr. Omair Ali 30-Apr-2025');</v>
      </c>
      <c r="H391" s="25" t="str">
        <f t="shared" si="27"/>
        <v>insert into ins_premium_det (premium_rcv_code,assorted_code, rec_amount,premium_rcv_detail_code,remaining_amt, payrec, mode_code,coinsurance_code,class_cd,it_remarks) values('29Apr250042','050000724548','3937',(select max(to_number(i.premium_rcv_detail_code))+1
from ins_premium_det i),'3937','3937','02', '11000003','00','Request by Mr. Omair Ali 30-Apr-2025');</v>
      </c>
    </row>
    <row r="392" spans="1:8" ht="105" x14ac:dyDescent="0.25">
      <c r="A392" t="s">
        <v>309</v>
      </c>
      <c r="B392" s="1" t="str">
        <f>VLOOKUP(A392,Sheet5!B:C,2,0)</f>
        <v>050000724650</v>
      </c>
      <c r="C392" s="13">
        <v>644</v>
      </c>
      <c r="D392" s="22">
        <f t="shared" si="25"/>
        <v>644</v>
      </c>
      <c r="E392" s="21" t="s">
        <v>5912</v>
      </c>
      <c r="F392" s="23" t="str">
        <f t="shared" si="24"/>
        <v>insert into ins_premium_det (premium_rcv_code,assorted_code, rec_amount,premium_rcv_detail_code,remaining_amt, payrec, mode_code,coinsurance_code,class_cd,it_remarks) values</v>
      </c>
      <c r="G392" s="24" t="str">
        <f t="shared" si="26"/>
        <v>('29Apr250042','050000724650','644',(select max(to_number(i.premium_rcv_detail_code))+1
from ins_premium_det i),'644','644','02', '11000003','00','Request by Mr. Omair Ali 30-Apr-2025');</v>
      </c>
      <c r="H392" s="25" t="str">
        <f t="shared" si="27"/>
        <v>insert into ins_premium_det (premium_rcv_code,assorted_code, rec_amount,premium_rcv_detail_code,remaining_amt, payrec, mode_code,coinsurance_code,class_cd,it_remarks) values('29Apr250042','050000724650','644',(select max(to_number(i.premium_rcv_detail_code))+1
from ins_premium_det i),'644','644','02', '11000003','00','Request by Mr. Omair Ali 30-Apr-2025');</v>
      </c>
    </row>
    <row r="393" spans="1:8" ht="105" x14ac:dyDescent="0.25">
      <c r="A393" t="s">
        <v>323</v>
      </c>
      <c r="B393" s="1" t="str">
        <f>VLOOKUP(A393,Sheet5!B:C,2,0)</f>
        <v>050000724653</v>
      </c>
      <c r="C393" s="13">
        <v>3641</v>
      </c>
      <c r="D393" s="22">
        <f t="shared" si="25"/>
        <v>3641</v>
      </c>
      <c r="E393" s="21" t="s">
        <v>5912</v>
      </c>
      <c r="F393" s="23" t="str">
        <f t="shared" si="24"/>
        <v>insert into ins_premium_det (premium_rcv_code,assorted_code, rec_amount,premium_rcv_detail_code,remaining_amt, payrec, mode_code,coinsurance_code,class_cd,it_remarks) values</v>
      </c>
      <c r="G393" s="24" t="str">
        <f t="shared" si="26"/>
        <v>('29Apr250042','050000724653','3641',(select max(to_number(i.premium_rcv_detail_code))+1
from ins_premium_det i),'3641','3641','02', '11000003','00','Request by Mr. Omair Ali 30-Apr-2025');</v>
      </c>
      <c r="H393" s="25" t="str">
        <f t="shared" si="27"/>
        <v>insert into ins_premium_det (premium_rcv_code,assorted_code, rec_amount,premium_rcv_detail_code,remaining_amt, payrec, mode_code,coinsurance_code,class_cd,it_remarks) values('29Apr250042','050000724653','3641',(select max(to_number(i.premium_rcv_detail_code))+1
from ins_premium_det i),'3641','3641','02', '11000003','00','Request by Mr. Omair Ali 30-Apr-2025');</v>
      </c>
    </row>
    <row r="394" spans="1:8" ht="105" x14ac:dyDescent="0.25">
      <c r="A394" t="s">
        <v>967</v>
      </c>
      <c r="B394" s="1" t="str">
        <f>VLOOKUP(A394,Sheet5!B:C,2,0)</f>
        <v>050000724658</v>
      </c>
      <c r="C394" s="13">
        <v>1561</v>
      </c>
      <c r="D394" s="22">
        <f t="shared" si="25"/>
        <v>1561</v>
      </c>
      <c r="E394" s="21" t="s">
        <v>5912</v>
      </c>
      <c r="F394" s="23" t="str">
        <f t="shared" si="24"/>
        <v>insert into ins_premium_det (premium_rcv_code,assorted_code, rec_amount,premium_rcv_detail_code,remaining_amt, payrec, mode_code,coinsurance_code,class_cd,it_remarks) values</v>
      </c>
      <c r="G394" s="24" t="str">
        <f t="shared" si="26"/>
        <v>('29Apr250042','050000724658','1561',(select max(to_number(i.premium_rcv_detail_code))+1
from ins_premium_det i),'1561','1561','02', '11000003','00','Request by Mr. Omair Ali 30-Apr-2025');</v>
      </c>
      <c r="H394" s="25" t="str">
        <f t="shared" si="27"/>
        <v>insert into ins_premium_det (premium_rcv_code,assorted_code, rec_amount,premium_rcv_detail_code,remaining_amt, payrec, mode_code,coinsurance_code,class_cd,it_remarks) values('29Apr250042','050000724658','1561',(select max(to_number(i.premium_rcv_detail_code))+1
from ins_premium_det i),'1561','1561','02', '11000003','00','Request by Mr. Omair Ali 30-Apr-2025');</v>
      </c>
    </row>
    <row r="395" spans="1:8" ht="105" x14ac:dyDescent="0.25">
      <c r="A395" t="s">
        <v>1063</v>
      </c>
      <c r="B395" s="1" t="str">
        <f>VLOOKUP(A395,Sheet5!B:C,2,0)</f>
        <v>050000724660</v>
      </c>
      <c r="C395" s="13">
        <v>5325</v>
      </c>
      <c r="D395" s="22">
        <f t="shared" si="25"/>
        <v>5325</v>
      </c>
      <c r="E395" s="21" t="s">
        <v>5912</v>
      </c>
      <c r="F395" s="23" t="str">
        <f t="shared" si="24"/>
        <v>insert into ins_premium_det (premium_rcv_code,assorted_code, rec_amount,premium_rcv_detail_code,remaining_amt, payrec, mode_code,coinsurance_code,class_cd,it_remarks) values</v>
      </c>
      <c r="G395" s="24" t="str">
        <f t="shared" si="26"/>
        <v>('29Apr250042','050000724660','5325',(select max(to_number(i.premium_rcv_detail_code))+1
from ins_premium_det i),'5325','5325','02', '11000003','00','Request by Mr. Omair Ali 30-Apr-2025');</v>
      </c>
      <c r="H395" s="25" t="str">
        <f t="shared" si="27"/>
        <v>insert into ins_premium_det (premium_rcv_code,assorted_code, rec_amount,premium_rcv_detail_code,remaining_amt, payrec, mode_code,coinsurance_code,class_cd,it_remarks) values('29Apr250042','050000724660','5325',(select max(to_number(i.premium_rcv_detail_code))+1
from ins_premium_det i),'5325','5325','02', '11000003','00','Request by Mr. Omair Ali 30-Apr-2025');</v>
      </c>
    </row>
    <row r="396" spans="1:8" ht="105" x14ac:dyDescent="0.25">
      <c r="A396" t="s">
        <v>646</v>
      </c>
      <c r="B396" s="1" t="str">
        <f>VLOOKUP(A396,Sheet5!B:C,2,0)</f>
        <v>050000724939</v>
      </c>
      <c r="C396" s="13">
        <v>927</v>
      </c>
      <c r="D396" s="22">
        <f t="shared" si="25"/>
        <v>927</v>
      </c>
      <c r="E396" s="21" t="s">
        <v>5912</v>
      </c>
      <c r="F396" s="23" t="str">
        <f t="shared" si="24"/>
        <v>insert into ins_premium_det (premium_rcv_code,assorted_code, rec_amount,premium_rcv_detail_code,remaining_amt, payrec, mode_code,coinsurance_code,class_cd,it_remarks) values</v>
      </c>
      <c r="G396" s="24" t="str">
        <f t="shared" si="26"/>
        <v>('29Apr250042','050000724939','927',(select max(to_number(i.premium_rcv_detail_code))+1
from ins_premium_det i),'927','927','02', '11000003','00','Request by Mr. Omair Ali 30-Apr-2025');</v>
      </c>
      <c r="H396" s="25" t="str">
        <f t="shared" si="27"/>
        <v>insert into ins_premium_det (premium_rcv_code,assorted_code, rec_amount,premium_rcv_detail_code,remaining_amt, payrec, mode_code,coinsurance_code,class_cd,it_remarks) values('29Apr250042','050000724939','927',(select max(to_number(i.premium_rcv_detail_code))+1
from ins_premium_det i),'927','927','02', '11000003','00','Request by Mr. Omair Ali 30-Apr-2025');</v>
      </c>
    </row>
    <row r="397" spans="1:8" ht="105" x14ac:dyDescent="0.25">
      <c r="A397" t="s">
        <v>939</v>
      </c>
      <c r="B397" s="1" t="str">
        <f>VLOOKUP(A397,Sheet5!B:C,2,0)</f>
        <v>050000724945</v>
      </c>
      <c r="C397" s="13">
        <v>4864</v>
      </c>
      <c r="D397" s="22">
        <f t="shared" si="25"/>
        <v>4864</v>
      </c>
      <c r="E397" s="21" t="s">
        <v>5912</v>
      </c>
      <c r="F397" s="23" t="str">
        <f t="shared" si="24"/>
        <v>insert into ins_premium_det (premium_rcv_code,assorted_code, rec_amount,premium_rcv_detail_code,remaining_amt, payrec, mode_code,coinsurance_code,class_cd,it_remarks) values</v>
      </c>
      <c r="G397" s="24" t="str">
        <f t="shared" si="26"/>
        <v>('29Apr250042','050000724945','4864',(select max(to_number(i.premium_rcv_detail_code))+1
from ins_premium_det i),'4864','4864','02', '11000003','00','Request by Mr. Omair Ali 30-Apr-2025');</v>
      </c>
      <c r="H397" s="25" t="str">
        <f t="shared" si="27"/>
        <v>insert into ins_premium_det (premium_rcv_code,assorted_code, rec_amount,premium_rcv_detail_code,remaining_amt, payrec, mode_code,coinsurance_code,class_cd,it_remarks) values('29Apr250042','050000724945','4864',(select max(to_number(i.premium_rcv_detail_code))+1
from ins_premium_det i),'4864','4864','02', '11000003','00','Request by Mr. Omair Ali 30-Apr-2025');</v>
      </c>
    </row>
    <row r="398" spans="1:8" ht="105" x14ac:dyDescent="0.25">
      <c r="A398" t="s">
        <v>445</v>
      </c>
      <c r="B398" s="1" t="str">
        <f>VLOOKUP(A398,Sheet5!B:C,2,0)</f>
        <v>050000725064</v>
      </c>
      <c r="C398" s="13">
        <v>4695</v>
      </c>
      <c r="D398" s="22">
        <f t="shared" si="25"/>
        <v>4695</v>
      </c>
      <c r="E398" s="21" t="s">
        <v>5912</v>
      </c>
      <c r="F398" s="23" t="str">
        <f t="shared" si="24"/>
        <v>insert into ins_premium_det (premium_rcv_code,assorted_code, rec_amount,premium_rcv_detail_code,remaining_amt, payrec, mode_code,coinsurance_code,class_cd,it_remarks) values</v>
      </c>
      <c r="G398" s="24" t="str">
        <f t="shared" si="26"/>
        <v>('29Apr250042','050000725064','4695',(select max(to_number(i.premium_rcv_detail_code))+1
from ins_premium_det i),'4695','4695','02', '11000003','00','Request by Mr. Omair Ali 30-Apr-2025');</v>
      </c>
      <c r="H398" s="25" t="str">
        <f t="shared" si="27"/>
        <v>insert into ins_premium_det (premium_rcv_code,assorted_code, rec_amount,premium_rcv_detail_code,remaining_amt, payrec, mode_code,coinsurance_code,class_cd,it_remarks) values('29Apr250042','050000725064','4695',(select max(to_number(i.premium_rcv_detail_code))+1
from ins_premium_det i),'4695','4695','02', '11000003','00','Request by Mr. Omair Ali 30-Apr-2025');</v>
      </c>
    </row>
    <row r="399" spans="1:8" ht="105" x14ac:dyDescent="0.25">
      <c r="A399" t="s">
        <v>1320</v>
      </c>
      <c r="B399" s="1" t="str">
        <f>VLOOKUP(A399,Sheet5!B:C,2,0)</f>
        <v>050000726211</v>
      </c>
      <c r="C399" s="13">
        <v>501</v>
      </c>
      <c r="D399" s="22">
        <f t="shared" si="25"/>
        <v>501</v>
      </c>
      <c r="E399" s="21" t="s">
        <v>5912</v>
      </c>
      <c r="F399" s="23" t="str">
        <f t="shared" si="24"/>
        <v>insert into ins_premium_det (premium_rcv_code,assorted_code, rec_amount,premium_rcv_detail_code,remaining_amt, payrec, mode_code,coinsurance_code,class_cd,it_remarks) values</v>
      </c>
      <c r="G399" s="24" t="str">
        <f t="shared" si="26"/>
        <v>('29Apr250042','050000726211','501',(select max(to_number(i.premium_rcv_detail_code))+1
from ins_premium_det i),'501','501','02', '11000003','00','Request by Mr. Omair Ali 30-Apr-2025');</v>
      </c>
      <c r="H399" s="25" t="str">
        <f t="shared" si="27"/>
        <v>insert into ins_premium_det (premium_rcv_code,assorted_code, rec_amount,premium_rcv_detail_code,remaining_amt, payrec, mode_code,coinsurance_code,class_cd,it_remarks) values('29Apr250042','050000726211','501',(select max(to_number(i.premium_rcv_detail_code))+1
from ins_premium_det i),'501','501','02', '11000003','00','Request by Mr. Omair Ali 30-Apr-2025');</v>
      </c>
    </row>
    <row r="400" spans="1:8" ht="105" x14ac:dyDescent="0.25">
      <c r="A400" t="s">
        <v>1321</v>
      </c>
      <c r="B400" s="1" t="str">
        <f>VLOOKUP(A400,Sheet5!B:C,2,0)</f>
        <v>050000726221</v>
      </c>
      <c r="C400" s="13">
        <v>501</v>
      </c>
      <c r="D400" s="22">
        <f t="shared" si="25"/>
        <v>501</v>
      </c>
      <c r="E400" s="21" t="s">
        <v>5912</v>
      </c>
      <c r="F400" s="23" t="str">
        <f t="shared" si="24"/>
        <v>insert into ins_premium_det (premium_rcv_code,assorted_code, rec_amount,premium_rcv_detail_code,remaining_amt, payrec, mode_code,coinsurance_code,class_cd,it_remarks) values</v>
      </c>
      <c r="G400" s="24" t="str">
        <f t="shared" si="26"/>
        <v>('29Apr250042','050000726221','501',(select max(to_number(i.premium_rcv_detail_code))+1
from ins_premium_det i),'501','501','02', '11000003','00','Request by Mr. Omair Ali 30-Apr-2025');</v>
      </c>
      <c r="H400" s="25" t="str">
        <f t="shared" si="27"/>
        <v>insert into ins_premium_det (premium_rcv_code,assorted_code, rec_amount,premium_rcv_detail_code,remaining_amt, payrec, mode_code,coinsurance_code,class_cd,it_remarks) values('29Apr250042','050000726221','501',(select max(to_number(i.premium_rcv_detail_code))+1
from ins_premium_det i),'501','501','02', '11000003','00','Request by Mr. Omair Ali 30-Apr-2025');</v>
      </c>
    </row>
    <row r="401" spans="1:8" ht="105" x14ac:dyDescent="0.25">
      <c r="A401" t="s">
        <v>1454</v>
      </c>
      <c r="B401" s="1" t="str">
        <f>VLOOKUP(A401,Sheet5!B:C,2,0)</f>
        <v>050000726222</v>
      </c>
      <c r="C401" s="13">
        <v>5821</v>
      </c>
      <c r="D401" s="22">
        <f t="shared" si="25"/>
        <v>5821</v>
      </c>
      <c r="E401" s="21" t="s">
        <v>5912</v>
      </c>
      <c r="F401" s="23" t="str">
        <f t="shared" si="24"/>
        <v>insert into ins_premium_det (premium_rcv_code,assorted_code, rec_amount,premium_rcv_detail_code,remaining_amt, payrec, mode_code,coinsurance_code,class_cd,it_remarks) values</v>
      </c>
      <c r="G401" s="24" t="str">
        <f t="shared" si="26"/>
        <v>('29Apr250042','050000726222','5821',(select max(to_number(i.premium_rcv_detail_code))+1
from ins_premium_det i),'5821','5821','02', '11000003','00','Request by Mr. Omair Ali 30-Apr-2025');</v>
      </c>
      <c r="H401" s="25" t="str">
        <f t="shared" si="27"/>
        <v>insert into ins_premium_det (premium_rcv_code,assorted_code, rec_amount,premium_rcv_detail_code,remaining_amt, payrec, mode_code,coinsurance_code,class_cd,it_remarks) values('29Apr250042','050000726222','5821',(select max(to_number(i.premium_rcv_detail_code))+1
from ins_premium_det i),'5821','5821','02', '11000003','00','Request by Mr. Omair Ali 30-Apr-2025');</v>
      </c>
    </row>
    <row r="402" spans="1:8" ht="105" x14ac:dyDescent="0.25">
      <c r="A402" t="s">
        <v>336</v>
      </c>
      <c r="B402" s="1" t="str">
        <f>VLOOKUP(A402,Sheet5!B:C,2,0)</f>
        <v>050000726622</v>
      </c>
      <c r="C402" s="13">
        <v>1524</v>
      </c>
      <c r="D402" s="22">
        <f t="shared" si="25"/>
        <v>1524</v>
      </c>
      <c r="E402" s="21" t="s">
        <v>5912</v>
      </c>
      <c r="F402" s="23" t="str">
        <f t="shared" si="24"/>
        <v>insert into ins_premium_det (premium_rcv_code,assorted_code, rec_amount,premium_rcv_detail_code,remaining_amt, payrec, mode_code,coinsurance_code,class_cd,it_remarks) values</v>
      </c>
      <c r="G402" s="24" t="str">
        <f t="shared" si="26"/>
        <v>('29Apr250042','050000726622','1524',(select max(to_number(i.premium_rcv_detail_code))+1
from ins_premium_det i),'1524','1524','02', '11000003','00','Request by Mr. Omair Ali 30-Apr-2025');</v>
      </c>
      <c r="H402" s="25" t="str">
        <f t="shared" si="27"/>
        <v>insert into ins_premium_det (premium_rcv_code,assorted_code, rec_amount,premium_rcv_detail_code,remaining_amt, payrec, mode_code,coinsurance_code,class_cd,it_remarks) values('29Apr250042','050000726622','1524',(select max(to_number(i.premium_rcv_detail_code))+1
from ins_premium_det i),'1524','1524','02', '11000003','00','Request by Mr. Omair Ali 30-Apr-2025');</v>
      </c>
    </row>
    <row r="403" spans="1:8" ht="105" x14ac:dyDescent="0.25">
      <c r="A403" t="s">
        <v>656</v>
      </c>
      <c r="B403" s="1" t="str">
        <f>VLOOKUP(A403,Sheet5!B:C,2,0)</f>
        <v>050000726664</v>
      </c>
      <c r="C403" s="13">
        <v>261</v>
      </c>
      <c r="D403" s="22">
        <f t="shared" si="25"/>
        <v>261</v>
      </c>
      <c r="E403" s="21" t="s">
        <v>5912</v>
      </c>
      <c r="F403" s="23" t="str">
        <f t="shared" si="24"/>
        <v>insert into ins_premium_det (premium_rcv_code,assorted_code, rec_amount,premium_rcv_detail_code,remaining_amt, payrec, mode_code,coinsurance_code,class_cd,it_remarks) values</v>
      </c>
      <c r="G403" s="24" t="str">
        <f t="shared" si="26"/>
        <v>('29Apr250042','050000726664','261',(select max(to_number(i.premium_rcv_detail_code))+1
from ins_premium_det i),'261','261','02', '11000003','00','Request by Mr. Omair Ali 30-Apr-2025');</v>
      </c>
      <c r="H403" s="25" t="str">
        <f t="shared" si="27"/>
        <v>insert into ins_premium_det (premium_rcv_code,assorted_code, rec_amount,premium_rcv_detail_code,remaining_amt, payrec, mode_code,coinsurance_code,class_cd,it_remarks) values('29Apr250042','050000726664','261',(select max(to_number(i.premium_rcv_detail_code))+1
from ins_premium_det i),'261','261','02', '11000003','00','Request by Mr. Omair Ali 30-Apr-2025');</v>
      </c>
    </row>
    <row r="404" spans="1:8" ht="105" x14ac:dyDescent="0.25">
      <c r="A404" t="s">
        <v>352</v>
      </c>
      <c r="B404" s="1" t="str">
        <f>VLOOKUP(A404,Sheet5!B:C,2,0)</f>
        <v>050000726682</v>
      </c>
      <c r="C404" s="13">
        <v>8</v>
      </c>
      <c r="D404" s="22">
        <f t="shared" si="25"/>
        <v>8</v>
      </c>
      <c r="E404" s="21" t="s">
        <v>5912</v>
      </c>
      <c r="F404" s="23" t="str">
        <f t="shared" si="24"/>
        <v>insert into ins_premium_det (premium_rcv_code,assorted_code, rec_amount,premium_rcv_detail_code,remaining_amt, payrec, mode_code,coinsurance_code,class_cd,it_remarks) values</v>
      </c>
      <c r="G404" s="24" t="str">
        <f t="shared" si="26"/>
        <v>('29Apr250042','050000726682','8',(select max(to_number(i.premium_rcv_detail_code))+1
from ins_premium_det i),'8','8','02', '11000003','00','Request by Mr. Omair Ali 30-Apr-2025');</v>
      </c>
      <c r="H404" s="25" t="str">
        <f t="shared" si="27"/>
        <v>insert into ins_premium_det (premium_rcv_code,assorted_code, rec_amount,premium_rcv_detail_code,remaining_amt, payrec, mode_code,coinsurance_code,class_cd,it_remarks) values('29Apr250042','050000726682','8',(select max(to_number(i.premium_rcv_detail_code))+1
from ins_premium_det i),'8','8','02', '11000003','00','Request by Mr. Omair Ali 30-Apr-2025');</v>
      </c>
    </row>
    <row r="405" spans="1:8" ht="105" x14ac:dyDescent="0.25">
      <c r="A405" t="s">
        <v>1120</v>
      </c>
      <c r="B405" s="1" t="str">
        <f>VLOOKUP(A405,Sheet5!B:C,2,0)</f>
        <v>050000726696</v>
      </c>
      <c r="C405" s="13">
        <v>616</v>
      </c>
      <c r="D405" s="22">
        <f t="shared" si="25"/>
        <v>616</v>
      </c>
      <c r="E405" s="21" t="s">
        <v>5912</v>
      </c>
      <c r="F405" s="23" t="str">
        <f t="shared" si="24"/>
        <v>insert into ins_premium_det (premium_rcv_code,assorted_code, rec_amount,premium_rcv_detail_code,remaining_amt, payrec, mode_code,coinsurance_code,class_cd,it_remarks) values</v>
      </c>
      <c r="G405" s="24" t="str">
        <f t="shared" si="26"/>
        <v>('29Apr250042','050000726696','616',(select max(to_number(i.premium_rcv_detail_code))+1
from ins_premium_det i),'616','616','02', '11000003','00','Request by Mr. Omair Ali 30-Apr-2025');</v>
      </c>
      <c r="H405" s="25" t="str">
        <f t="shared" si="27"/>
        <v>insert into ins_premium_det (premium_rcv_code,assorted_code, rec_amount,premium_rcv_detail_code,remaining_amt, payrec, mode_code,coinsurance_code,class_cd,it_remarks) values('29Apr250042','050000726696','616',(select max(to_number(i.premium_rcv_detail_code))+1
from ins_premium_det i),'616','616','02', '11000003','00','Request by Mr. Omair Ali 30-Apr-2025');</v>
      </c>
    </row>
    <row r="406" spans="1:8" ht="105" x14ac:dyDescent="0.25">
      <c r="A406" t="s">
        <v>434</v>
      </c>
      <c r="B406" s="1" t="str">
        <f>VLOOKUP(A406,Sheet5!B:C,2,0)</f>
        <v>050000726936</v>
      </c>
      <c r="C406" s="13">
        <v>1132</v>
      </c>
      <c r="D406" s="22">
        <f t="shared" si="25"/>
        <v>1132</v>
      </c>
      <c r="E406" s="21" t="s">
        <v>5912</v>
      </c>
      <c r="F406" s="23" t="str">
        <f t="shared" si="24"/>
        <v>insert into ins_premium_det (premium_rcv_code,assorted_code, rec_amount,premium_rcv_detail_code,remaining_amt, payrec, mode_code,coinsurance_code,class_cd,it_remarks) values</v>
      </c>
      <c r="G406" s="24" t="str">
        <f t="shared" si="26"/>
        <v>('29Apr250042','050000726936','1132',(select max(to_number(i.premium_rcv_detail_code))+1
from ins_premium_det i),'1132','1132','02', '11000003','00','Request by Mr. Omair Ali 30-Apr-2025');</v>
      </c>
      <c r="H406" s="25" t="str">
        <f t="shared" si="27"/>
        <v>insert into ins_premium_det (premium_rcv_code,assorted_code, rec_amount,premium_rcv_detail_code,remaining_amt, payrec, mode_code,coinsurance_code,class_cd,it_remarks) values('29Apr250042','050000726936','1132',(select max(to_number(i.premium_rcv_detail_code))+1
from ins_premium_det i),'1132','1132','02', '11000003','00','Request by Mr. Omair Ali 30-Apr-2025');</v>
      </c>
    </row>
    <row r="407" spans="1:8" ht="105" x14ac:dyDescent="0.25">
      <c r="A407" t="s">
        <v>995</v>
      </c>
      <c r="B407" s="1" t="str">
        <f>VLOOKUP(A407,Sheet5!B:C,2,0)</f>
        <v>050000726940</v>
      </c>
      <c r="C407" s="13">
        <v>1580</v>
      </c>
      <c r="D407" s="22">
        <f t="shared" si="25"/>
        <v>1580</v>
      </c>
      <c r="E407" s="21" t="s">
        <v>5912</v>
      </c>
      <c r="F407" s="23" t="str">
        <f t="shared" si="24"/>
        <v>insert into ins_premium_det (premium_rcv_code,assorted_code, rec_amount,premium_rcv_detail_code,remaining_amt, payrec, mode_code,coinsurance_code,class_cd,it_remarks) values</v>
      </c>
      <c r="G407" s="24" t="str">
        <f t="shared" si="26"/>
        <v>('29Apr250042','050000726940','1580',(select max(to_number(i.premium_rcv_detail_code))+1
from ins_premium_det i),'1580','1580','02', '11000003','00','Request by Mr. Omair Ali 30-Apr-2025');</v>
      </c>
      <c r="H407" s="25" t="str">
        <f t="shared" si="27"/>
        <v>insert into ins_premium_det (premium_rcv_code,assorted_code, rec_amount,premium_rcv_detail_code,remaining_amt, payrec, mode_code,coinsurance_code,class_cd,it_remarks) values('29Apr250042','050000726940','1580',(select max(to_number(i.premium_rcv_detail_code))+1
from ins_premium_det i),'1580','1580','02', '11000003','00','Request by Mr. Omair Ali 30-Apr-2025');</v>
      </c>
    </row>
    <row r="408" spans="1:8" ht="105" x14ac:dyDescent="0.25">
      <c r="A408" t="s">
        <v>1380</v>
      </c>
      <c r="B408" s="1" t="str">
        <f>VLOOKUP(A408,Sheet5!B:C,2,0)</f>
        <v>050000726944</v>
      </c>
      <c r="C408" s="13">
        <v>1280</v>
      </c>
      <c r="D408" s="22">
        <f t="shared" si="25"/>
        <v>1280</v>
      </c>
      <c r="E408" s="21" t="s">
        <v>5912</v>
      </c>
      <c r="F408" s="23" t="str">
        <f t="shared" si="24"/>
        <v>insert into ins_premium_det (premium_rcv_code,assorted_code, rec_amount,premium_rcv_detail_code,remaining_amt, payrec, mode_code,coinsurance_code,class_cd,it_remarks) values</v>
      </c>
      <c r="G408" s="24" t="str">
        <f t="shared" si="26"/>
        <v>('29Apr250042','050000726944','1280',(select max(to_number(i.premium_rcv_detail_code))+1
from ins_premium_det i),'1280','1280','02', '11000003','00','Request by Mr. Omair Ali 30-Apr-2025');</v>
      </c>
      <c r="H408" s="25" t="str">
        <f t="shared" si="27"/>
        <v>insert into ins_premium_det (premium_rcv_code,assorted_code, rec_amount,premium_rcv_detail_code,remaining_amt, payrec, mode_code,coinsurance_code,class_cd,it_remarks) values('29Apr250042','050000726944','1280',(select max(to_number(i.premium_rcv_detail_code))+1
from ins_premium_det i),'1280','1280','02', '11000003','00','Request by Mr. Omair Ali 30-Apr-2025');</v>
      </c>
    </row>
    <row r="409" spans="1:8" ht="105" x14ac:dyDescent="0.25">
      <c r="A409" t="s">
        <v>371</v>
      </c>
      <c r="B409" s="1" t="str">
        <f>VLOOKUP(A409,Sheet5!B:C,2,0)</f>
        <v>050000727067</v>
      </c>
      <c r="C409" s="13">
        <v>2578</v>
      </c>
      <c r="D409" s="22">
        <f t="shared" si="25"/>
        <v>2578</v>
      </c>
      <c r="E409" s="21" t="s">
        <v>5912</v>
      </c>
      <c r="F409" s="23" t="str">
        <f t="shared" si="24"/>
        <v>insert into ins_premium_det (premium_rcv_code,assorted_code, rec_amount,premium_rcv_detail_code,remaining_amt, payrec, mode_code,coinsurance_code,class_cd,it_remarks) values</v>
      </c>
      <c r="G409" s="24" t="str">
        <f t="shared" si="26"/>
        <v>('29Apr250042','050000727067','2578',(select max(to_number(i.premium_rcv_detail_code))+1
from ins_premium_det i),'2578','2578','02', '11000003','00','Request by Mr. Omair Ali 30-Apr-2025');</v>
      </c>
      <c r="H409" s="25" t="str">
        <f t="shared" si="27"/>
        <v>insert into ins_premium_det (premium_rcv_code,assorted_code, rec_amount,premium_rcv_detail_code,remaining_amt, payrec, mode_code,coinsurance_code,class_cd,it_remarks) values('29Apr250042','050000727067','2578',(select max(to_number(i.premium_rcv_detail_code))+1
from ins_premium_det i),'2578','2578','02', '11000003','00','Request by Mr. Omair Ali 30-Apr-2025');</v>
      </c>
    </row>
    <row r="410" spans="1:8" ht="105" x14ac:dyDescent="0.25">
      <c r="A410" t="s">
        <v>688</v>
      </c>
      <c r="B410" s="1" t="str">
        <f>VLOOKUP(A410,Sheet5!B:C,2,0)</f>
        <v>050000727069</v>
      </c>
      <c r="C410" s="13">
        <v>3367</v>
      </c>
      <c r="D410" s="22">
        <f t="shared" si="25"/>
        <v>3367</v>
      </c>
      <c r="E410" s="21" t="s">
        <v>5912</v>
      </c>
      <c r="F410" s="23" t="str">
        <f t="shared" si="24"/>
        <v>insert into ins_premium_det (premium_rcv_code,assorted_code, rec_amount,premium_rcv_detail_code,remaining_amt, payrec, mode_code,coinsurance_code,class_cd,it_remarks) values</v>
      </c>
      <c r="G410" s="24" t="str">
        <f t="shared" si="26"/>
        <v>('29Apr250042','050000727069','3367',(select max(to_number(i.premium_rcv_detail_code))+1
from ins_premium_det i),'3367','3367','02', '11000003','00','Request by Mr. Omair Ali 30-Apr-2025');</v>
      </c>
      <c r="H410" s="25" t="str">
        <f t="shared" si="27"/>
        <v>insert into ins_premium_det (premium_rcv_code,assorted_code, rec_amount,premium_rcv_detail_code,remaining_amt, payrec, mode_code,coinsurance_code,class_cd,it_remarks) values('29Apr250042','050000727069','3367',(select max(to_number(i.premium_rcv_detail_code))+1
from ins_premium_det i),'3367','3367','02', '11000003','00','Request by Mr. Omair Ali 30-Apr-2025');</v>
      </c>
    </row>
    <row r="411" spans="1:8" ht="105" x14ac:dyDescent="0.25">
      <c r="A411" t="s">
        <v>233</v>
      </c>
      <c r="B411" s="1" t="str">
        <f>VLOOKUP(A411,Sheet5!B:C,2,0)</f>
        <v>050000727997</v>
      </c>
      <c r="C411" s="13">
        <v>1616</v>
      </c>
      <c r="D411" s="22">
        <f t="shared" si="25"/>
        <v>1616</v>
      </c>
      <c r="E411" s="21" t="s">
        <v>5912</v>
      </c>
      <c r="F411" s="23" t="str">
        <f t="shared" si="24"/>
        <v>insert into ins_premium_det (premium_rcv_code,assorted_code, rec_amount,premium_rcv_detail_code,remaining_amt, payrec, mode_code,coinsurance_code,class_cd,it_remarks) values</v>
      </c>
      <c r="G411" s="24" t="str">
        <f t="shared" si="26"/>
        <v>('29Apr250042','050000727997','1616',(select max(to_number(i.premium_rcv_detail_code))+1
from ins_premium_det i),'1616','1616','02', '11000003','00','Request by Mr. Omair Ali 30-Apr-2025');</v>
      </c>
      <c r="H411" s="25" t="str">
        <f t="shared" si="27"/>
        <v>insert into ins_premium_det (premium_rcv_code,assorted_code, rec_amount,premium_rcv_detail_code,remaining_amt, payrec, mode_code,coinsurance_code,class_cd,it_remarks) values('29Apr250042','050000727997','1616',(select max(to_number(i.premium_rcv_detail_code))+1
from ins_premium_det i),'1616','1616','02', '11000003','00','Request by Mr. Omair Ali 30-Apr-2025');</v>
      </c>
    </row>
    <row r="412" spans="1:8" ht="105" x14ac:dyDescent="0.25">
      <c r="A412" t="s">
        <v>698</v>
      </c>
      <c r="B412" s="1" t="str">
        <f>VLOOKUP(A412,Sheet5!B:C,2,0)</f>
        <v>050000728016</v>
      </c>
      <c r="C412" s="13">
        <v>1756</v>
      </c>
      <c r="D412" s="22">
        <f t="shared" si="25"/>
        <v>1756</v>
      </c>
      <c r="E412" s="21" t="s">
        <v>5912</v>
      </c>
      <c r="F412" s="23" t="str">
        <f t="shared" si="24"/>
        <v>insert into ins_premium_det (premium_rcv_code,assorted_code, rec_amount,premium_rcv_detail_code,remaining_amt, payrec, mode_code,coinsurance_code,class_cd,it_remarks) values</v>
      </c>
      <c r="G412" s="24" t="str">
        <f t="shared" si="26"/>
        <v>('29Apr250042','050000728016','1756',(select max(to_number(i.premium_rcv_detail_code))+1
from ins_premium_det i),'1756','1756','02', '11000003','00','Request by Mr. Omair Ali 30-Apr-2025');</v>
      </c>
      <c r="H412" s="25" t="str">
        <f t="shared" si="27"/>
        <v>insert into ins_premium_det (premium_rcv_code,assorted_code, rec_amount,premium_rcv_detail_code,remaining_amt, payrec, mode_code,coinsurance_code,class_cd,it_remarks) values('29Apr250042','050000728016','1756',(select max(to_number(i.premium_rcv_detail_code))+1
from ins_premium_det i),'1756','1756','02', '11000003','00','Request by Mr. Omair Ali 30-Apr-2025');</v>
      </c>
    </row>
    <row r="413" spans="1:8" ht="105" x14ac:dyDescent="0.25">
      <c r="A413" t="s">
        <v>847</v>
      </c>
      <c r="B413" s="1" t="str">
        <f>VLOOKUP(A413,Sheet5!B:C,2,0)</f>
        <v>050000728018</v>
      </c>
      <c r="C413" s="13">
        <v>900</v>
      </c>
      <c r="D413" s="22">
        <f t="shared" si="25"/>
        <v>900</v>
      </c>
      <c r="E413" s="21" t="s">
        <v>5912</v>
      </c>
      <c r="F413" s="23" t="str">
        <f t="shared" si="24"/>
        <v>insert into ins_premium_det (premium_rcv_code,assorted_code, rec_amount,premium_rcv_detail_code,remaining_amt, payrec, mode_code,coinsurance_code,class_cd,it_remarks) values</v>
      </c>
      <c r="G413" s="24" t="str">
        <f t="shared" si="26"/>
        <v>('29Apr250042','050000728018','900',(select max(to_number(i.premium_rcv_detail_code))+1
from ins_premium_det i),'900','900','02', '11000003','00','Request by Mr. Omair Ali 30-Apr-2025');</v>
      </c>
      <c r="H413" s="25" t="str">
        <f t="shared" si="27"/>
        <v>insert into ins_premium_det (premium_rcv_code,assorted_code, rec_amount,premium_rcv_detail_code,remaining_amt, payrec, mode_code,coinsurance_code,class_cd,it_remarks) values('29Apr250042','050000728018','900',(select max(to_number(i.premium_rcv_detail_code))+1
from ins_premium_det i),'900','900','02', '11000003','00','Request by Mr. Omair Ali 30-Apr-2025');</v>
      </c>
    </row>
    <row r="414" spans="1:8" ht="105" x14ac:dyDescent="0.25">
      <c r="A414" t="s">
        <v>1142</v>
      </c>
      <c r="B414" s="1" t="str">
        <f>VLOOKUP(A414,Sheet5!B:C,2,0)</f>
        <v>050000728024</v>
      </c>
      <c r="C414" s="13">
        <v>1871</v>
      </c>
      <c r="D414" s="22">
        <f t="shared" si="25"/>
        <v>1871</v>
      </c>
      <c r="E414" s="21" t="s">
        <v>5912</v>
      </c>
      <c r="F414" s="23" t="str">
        <f t="shared" si="24"/>
        <v>insert into ins_premium_det (premium_rcv_code,assorted_code, rec_amount,premium_rcv_detail_code,remaining_amt, payrec, mode_code,coinsurance_code,class_cd,it_remarks) values</v>
      </c>
      <c r="G414" s="24" t="str">
        <f t="shared" si="26"/>
        <v>('29Apr250042','050000728024','1871',(select max(to_number(i.premium_rcv_detail_code))+1
from ins_premium_det i),'1871','1871','02', '11000003','00','Request by Mr. Omair Ali 30-Apr-2025');</v>
      </c>
      <c r="H414" s="25" t="str">
        <f t="shared" si="27"/>
        <v>insert into ins_premium_det (premium_rcv_code,assorted_code, rec_amount,premium_rcv_detail_code,remaining_amt, payrec, mode_code,coinsurance_code,class_cd,it_remarks) values('29Apr250042','050000728024','1871',(select max(to_number(i.premium_rcv_detail_code))+1
from ins_premium_det i),'1871','1871','02', '11000003','00','Request by Mr. Omair Ali 30-Apr-2025');</v>
      </c>
    </row>
    <row r="415" spans="1:8" ht="105" x14ac:dyDescent="0.25">
      <c r="A415" t="s">
        <v>1481</v>
      </c>
      <c r="B415" s="1" t="str">
        <f>VLOOKUP(A415,Sheet5!B:C,2,0)</f>
        <v>050000728028</v>
      </c>
      <c r="C415" s="13">
        <v>6847</v>
      </c>
      <c r="D415" s="22">
        <f t="shared" si="25"/>
        <v>6847</v>
      </c>
      <c r="E415" s="21" t="s">
        <v>5912</v>
      </c>
      <c r="F415" s="23" t="str">
        <f t="shared" si="24"/>
        <v>insert into ins_premium_det (premium_rcv_code,assorted_code, rec_amount,premium_rcv_detail_code,remaining_amt, payrec, mode_code,coinsurance_code,class_cd,it_remarks) values</v>
      </c>
      <c r="G415" s="24" t="str">
        <f t="shared" si="26"/>
        <v>('29Apr250042','050000728028','6847',(select max(to_number(i.premium_rcv_detail_code))+1
from ins_premium_det i),'6847','6847','02', '11000003','00','Request by Mr. Omair Ali 30-Apr-2025');</v>
      </c>
      <c r="H415" s="25" t="str">
        <f t="shared" si="27"/>
        <v>insert into ins_premium_det (premium_rcv_code,assorted_code, rec_amount,premium_rcv_detail_code,remaining_amt, payrec, mode_code,coinsurance_code,class_cd,it_remarks) values('29Apr250042','050000728028','6847',(select max(to_number(i.premium_rcv_detail_code))+1
from ins_premium_det i),'6847','6847','02', '11000003','00','Request by Mr. Omair Ali 30-Apr-2025');</v>
      </c>
    </row>
    <row r="416" spans="1:8" ht="105" x14ac:dyDescent="0.25">
      <c r="A416" t="s">
        <v>471</v>
      </c>
      <c r="B416" s="1" t="str">
        <f>VLOOKUP(A416,Sheet5!B:C,2,0)</f>
        <v>050000728139</v>
      </c>
      <c r="C416" s="13">
        <v>4639</v>
      </c>
      <c r="D416" s="22">
        <f t="shared" si="25"/>
        <v>4639</v>
      </c>
      <c r="E416" s="21" t="s">
        <v>5912</v>
      </c>
      <c r="F416" s="23" t="str">
        <f t="shared" si="24"/>
        <v>insert into ins_premium_det (premium_rcv_code,assorted_code, rec_amount,premium_rcv_detail_code,remaining_amt, payrec, mode_code,coinsurance_code,class_cd,it_remarks) values</v>
      </c>
      <c r="G416" s="24" t="str">
        <f t="shared" si="26"/>
        <v>('29Apr250042','050000728139','4639',(select max(to_number(i.premium_rcv_detail_code))+1
from ins_premium_det i),'4639','4639','02', '11000003','00','Request by Mr. Omair Ali 30-Apr-2025');</v>
      </c>
      <c r="H416" s="25" t="str">
        <f t="shared" si="27"/>
        <v>insert into ins_premium_det (premium_rcv_code,assorted_code, rec_amount,premium_rcv_detail_code,remaining_amt, payrec, mode_code,coinsurance_code,class_cd,it_remarks) values('29Apr250042','050000728139','4639',(select max(to_number(i.premium_rcv_detail_code))+1
from ins_premium_det i),'4639','4639','02', '11000003','00','Request by Mr. Omair Ali 30-Apr-2025');</v>
      </c>
    </row>
    <row r="417" spans="1:8" ht="105" x14ac:dyDescent="0.25">
      <c r="A417" t="s">
        <v>981</v>
      </c>
      <c r="B417" s="1" t="str">
        <f>VLOOKUP(A417,Sheet5!B:C,2,0)</f>
        <v>050000728142</v>
      </c>
      <c r="C417" s="13">
        <v>217</v>
      </c>
      <c r="D417" s="22">
        <f t="shared" si="25"/>
        <v>217</v>
      </c>
      <c r="E417" s="21" t="s">
        <v>5912</v>
      </c>
      <c r="F417" s="23" t="str">
        <f t="shared" si="24"/>
        <v>insert into ins_premium_det (premium_rcv_code,assorted_code, rec_amount,premium_rcv_detail_code,remaining_amt, payrec, mode_code,coinsurance_code,class_cd,it_remarks) values</v>
      </c>
      <c r="G417" s="24" t="str">
        <f t="shared" si="26"/>
        <v>('29Apr250042','050000728142','217',(select max(to_number(i.premium_rcv_detail_code))+1
from ins_premium_det i),'217','217','02', '11000003','00','Request by Mr. Omair Ali 30-Apr-2025');</v>
      </c>
      <c r="H417" s="25" t="str">
        <f t="shared" si="27"/>
        <v>insert into ins_premium_det (premium_rcv_code,assorted_code, rec_amount,premium_rcv_detail_code,remaining_amt, payrec, mode_code,coinsurance_code,class_cd,it_remarks) values('29Apr250042','050000728142','217',(select max(to_number(i.premium_rcv_detail_code))+1
from ins_premium_det i),'217','217','02', '11000003','00','Request by Mr. Omair Ali 30-Apr-2025');</v>
      </c>
    </row>
    <row r="418" spans="1:8" ht="105" x14ac:dyDescent="0.25">
      <c r="A418" t="s">
        <v>1006</v>
      </c>
      <c r="B418" s="1" t="str">
        <f>VLOOKUP(A418,Sheet5!B:C,2,0)</f>
        <v>050000728145</v>
      </c>
      <c r="C418" s="13">
        <v>4960</v>
      </c>
      <c r="D418" s="22">
        <f t="shared" si="25"/>
        <v>4960</v>
      </c>
      <c r="E418" s="21" t="s">
        <v>5912</v>
      </c>
      <c r="F418" s="23" t="str">
        <f t="shared" si="24"/>
        <v>insert into ins_premium_det (premium_rcv_code,assorted_code, rec_amount,premium_rcv_detail_code,remaining_amt, payrec, mode_code,coinsurance_code,class_cd,it_remarks) values</v>
      </c>
      <c r="G418" s="24" t="str">
        <f t="shared" si="26"/>
        <v>('29Apr250042','050000728145','4960',(select max(to_number(i.premium_rcv_detail_code))+1
from ins_premium_det i),'4960','4960','02', '11000003','00','Request by Mr. Omair Ali 30-Apr-2025');</v>
      </c>
      <c r="H418" s="25" t="str">
        <f t="shared" si="27"/>
        <v>insert into ins_premium_det (premium_rcv_code,assorted_code, rec_amount,premium_rcv_detail_code,remaining_amt, payrec, mode_code,coinsurance_code,class_cd,it_remarks) values('29Apr250042','050000728145','4960',(select max(to_number(i.premium_rcv_detail_code))+1
from ins_premium_det i),'4960','4960','02', '11000003','00','Request by Mr. Omair Ali 30-Apr-2025');</v>
      </c>
    </row>
    <row r="419" spans="1:8" ht="105" x14ac:dyDescent="0.25">
      <c r="A419" t="s">
        <v>1486</v>
      </c>
      <c r="B419" s="1" t="str">
        <f>VLOOKUP(A419,Sheet5!B:C,2,0)</f>
        <v>050000728153</v>
      </c>
      <c r="C419" s="13">
        <v>1294</v>
      </c>
      <c r="D419" s="22">
        <f t="shared" si="25"/>
        <v>1294</v>
      </c>
      <c r="E419" s="21" t="s">
        <v>5912</v>
      </c>
      <c r="F419" s="23" t="str">
        <f t="shared" si="24"/>
        <v>insert into ins_premium_det (premium_rcv_code,assorted_code, rec_amount,premium_rcv_detail_code,remaining_amt, payrec, mode_code,coinsurance_code,class_cd,it_remarks) values</v>
      </c>
      <c r="G419" s="24" t="str">
        <f t="shared" si="26"/>
        <v>('29Apr250042','050000728153','1294',(select max(to_number(i.premium_rcv_detail_code))+1
from ins_premium_det i),'1294','1294','02', '11000003','00','Request by Mr. Omair Ali 30-Apr-2025');</v>
      </c>
      <c r="H419" s="25" t="str">
        <f t="shared" si="27"/>
        <v>insert into ins_premium_det (premium_rcv_code,assorted_code, rec_amount,premium_rcv_detail_code,remaining_amt, payrec, mode_code,coinsurance_code,class_cd,it_remarks) values('29Apr250042','050000728153','1294',(select max(to_number(i.premium_rcv_detail_code))+1
from ins_premium_det i),'1294','1294','02', '11000003','00','Request by Mr. Omair Ali 30-Apr-2025');</v>
      </c>
    </row>
    <row r="420" spans="1:8" ht="105" x14ac:dyDescent="0.25">
      <c r="A420" t="s">
        <v>252</v>
      </c>
      <c r="B420" s="1" t="str">
        <f>VLOOKUP(A420,Sheet5!B:C,2,0)</f>
        <v>050000728172</v>
      </c>
      <c r="C420" s="13">
        <v>1191</v>
      </c>
      <c r="D420" s="22">
        <f t="shared" si="25"/>
        <v>1191</v>
      </c>
      <c r="E420" s="21" t="s">
        <v>5912</v>
      </c>
      <c r="F420" s="23" t="str">
        <f t="shared" si="24"/>
        <v>insert into ins_premium_det (premium_rcv_code,assorted_code, rec_amount,premium_rcv_detail_code,remaining_amt, payrec, mode_code,coinsurance_code,class_cd,it_remarks) values</v>
      </c>
      <c r="G420" s="24" t="str">
        <f t="shared" si="26"/>
        <v>('29Apr250042','050000728172','1191',(select max(to_number(i.premium_rcv_detail_code))+1
from ins_premium_det i),'1191','1191','02', '11000003','00','Request by Mr. Omair Ali 30-Apr-2025');</v>
      </c>
      <c r="H420" s="25" t="str">
        <f t="shared" si="27"/>
        <v>insert into ins_premium_det (premium_rcv_code,assorted_code, rec_amount,premium_rcv_detail_code,remaining_amt, payrec, mode_code,coinsurance_code,class_cd,it_remarks) values('29Apr250042','050000728172','1191',(select max(to_number(i.premium_rcv_detail_code))+1
from ins_premium_det i),'1191','1191','02', '11000003','00','Request by Mr. Omair Ali 30-Apr-2025');</v>
      </c>
    </row>
    <row r="421" spans="1:8" ht="105" x14ac:dyDescent="0.25">
      <c r="A421" t="s">
        <v>459</v>
      </c>
      <c r="B421" s="1" t="str">
        <f>VLOOKUP(A421,Sheet5!B:C,2,0)</f>
        <v>050000728209</v>
      </c>
      <c r="C421" s="13">
        <v>4710</v>
      </c>
      <c r="D421" s="22">
        <f t="shared" si="25"/>
        <v>4710</v>
      </c>
      <c r="E421" s="21" t="s">
        <v>5912</v>
      </c>
      <c r="F421" s="23" t="str">
        <f t="shared" si="24"/>
        <v>insert into ins_premium_det (premium_rcv_code,assorted_code, rec_amount,premium_rcv_detail_code,remaining_amt, payrec, mode_code,coinsurance_code,class_cd,it_remarks) values</v>
      </c>
      <c r="G421" s="24" t="str">
        <f t="shared" si="26"/>
        <v>('29Apr250042','050000728209','4710',(select max(to_number(i.premium_rcv_detail_code))+1
from ins_premium_det i),'4710','4710','02', '11000003','00','Request by Mr. Omair Ali 30-Apr-2025');</v>
      </c>
      <c r="H421" s="25" t="str">
        <f t="shared" si="27"/>
        <v>insert into ins_premium_det (premium_rcv_code,assorted_code, rec_amount,premium_rcv_detail_code,remaining_amt, payrec, mode_code,coinsurance_code,class_cd,it_remarks) values('29Apr250042','050000728209','4710',(select max(to_number(i.premium_rcv_detail_code))+1
from ins_premium_det i),'4710','4710','02', '11000003','00','Request by Mr. Omair Ali 30-Apr-2025');</v>
      </c>
    </row>
    <row r="422" spans="1:8" ht="105" x14ac:dyDescent="0.25">
      <c r="A422" t="s">
        <v>1370</v>
      </c>
      <c r="B422" s="1" t="str">
        <f>VLOOKUP(A422,Sheet5!B:C,2,0)</f>
        <v>050000728214</v>
      </c>
      <c r="C422" s="13">
        <v>6784</v>
      </c>
      <c r="D422" s="22">
        <f t="shared" si="25"/>
        <v>6784</v>
      </c>
      <c r="E422" s="21" t="s">
        <v>5912</v>
      </c>
      <c r="F422" s="23" t="str">
        <f t="shared" si="24"/>
        <v>insert into ins_premium_det (premium_rcv_code,assorted_code, rec_amount,premium_rcv_detail_code,remaining_amt, payrec, mode_code,coinsurance_code,class_cd,it_remarks) values</v>
      </c>
      <c r="G422" s="24" t="str">
        <f t="shared" si="26"/>
        <v>('29Apr250042','050000728214','6784',(select max(to_number(i.premium_rcv_detail_code))+1
from ins_premium_det i),'6784','6784','02', '11000003','00','Request by Mr. Omair Ali 30-Apr-2025');</v>
      </c>
      <c r="H422" s="25" t="str">
        <f t="shared" si="27"/>
        <v>insert into ins_premium_det (premium_rcv_code,assorted_code, rec_amount,premium_rcv_detail_code,remaining_amt, payrec, mode_code,coinsurance_code,class_cd,it_remarks) values('29Apr250042','050000728214','6784',(select max(to_number(i.premium_rcv_detail_code))+1
from ins_premium_det i),'6784','6784','02', '11000003','00','Request by Mr. Omair Ali 30-Apr-2025');</v>
      </c>
    </row>
    <row r="423" spans="1:8" ht="105" x14ac:dyDescent="0.25">
      <c r="A423" t="s">
        <v>1404</v>
      </c>
      <c r="B423" s="1" t="str">
        <f>VLOOKUP(A423,Sheet5!B:C,2,0)</f>
        <v>050000728641</v>
      </c>
      <c r="C423" s="13">
        <v>4132</v>
      </c>
      <c r="D423" s="22">
        <f t="shared" si="25"/>
        <v>4132</v>
      </c>
      <c r="E423" s="21" t="s">
        <v>5912</v>
      </c>
      <c r="F423" s="23" t="str">
        <f t="shared" si="24"/>
        <v>insert into ins_premium_det (premium_rcv_code,assorted_code, rec_amount,premium_rcv_detail_code,remaining_amt, payrec, mode_code,coinsurance_code,class_cd,it_remarks) values</v>
      </c>
      <c r="G423" s="24" t="str">
        <f t="shared" si="26"/>
        <v>('29Apr250042','050000728641','4132',(select max(to_number(i.premium_rcv_detail_code))+1
from ins_premium_det i),'4132','4132','02', '11000003','00','Request by Mr. Omair Ali 30-Apr-2025');</v>
      </c>
      <c r="H423" s="25" t="str">
        <f t="shared" si="27"/>
        <v>insert into ins_premium_det (premium_rcv_code,assorted_code, rec_amount,premium_rcv_detail_code,remaining_amt, payrec, mode_code,coinsurance_code,class_cd,it_remarks) values('29Apr250042','050000728641','4132',(select max(to_number(i.premium_rcv_detail_code))+1
from ins_premium_det i),'4132','4132','02', '11000003','00','Request by Mr. Omair Ali 30-Apr-2025');</v>
      </c>
    </row>
    <row r="424" spans="1:8" ht="105" x14ac:dyDescent="0.25">
      <c r="A424" t="s">
        <v>219</v>
      </c>
      <c r="B424" s="1" t="str">
        <f>VLOOKUP(A424,Sheet5!B:C,2,0)</f>
        <v>050000728849</v>
      </c>
      <c r="C424" s="13">
        <v>4502</v>
      </c>
      <c r="D424" s="22">
        <f t="shared" si="25"/>
        <v>4502</v>
      </c>
      <c r="E424" s="21" t="s">
        <v>5912</v>
      </c>
      <c r="F424" s="23" t="str">
        <f t="shared" si="24"/>
        <v>insert into ins_premium_det (premium_rcv_code,assorted_code, rec_amount,premium_rcv_detail_code,remaining_amt, payrec, mode_code,coinsurance_code,class_cd,it_remarks) values</v>
      </c>
      <c r="G424" s="24" t="str">
        <f t="shared" si="26"/>
        <v>('29Apr250042','050000728849','4502',(select max(to_number(i.premium_rcv_detail_code))+1
from ins_premium_det i),'4502','4502','02', '11000003','00','Request by Mr. Omair Ali 30-Apr-2025');</v>
      </c>
      <c r="H424" s="25" t="str">
        <f t="shared" si="27"/>
        <v>insert into ins_premium_det (premium_rcv_code,assorted_code, rec_amount,premium_rcv_detail_code,remaining_amt, payrec, mode_code,coinsurance_code,class_cd,it_remarks) values('29Apr250042','050000728849','4502',(select max(to_number(i.premium_rcv_detail_code))+1
from ins_premium_det i),'4502','4502','02', '11000003','00','Request by Mr. Omair Ali 30-Apr-2025');</v>
      </c>
    </row>
    <row r="425" spans="1:8" ht="105" x14ac:dyDescent="0.25">
      <c r="A425" t="s">
        <v>394</v>
      </c>
      <c r="B425" s="1" t="str">
        <f>VLOOKUP(A425,Sheet5!B:C,2,0)</f>
        <v>050000728853</v>
      </c>
      <c r="C425" s="13">
        <v>1572</v>
      </c>
      <c r="D425" s="22">
        <f t="shared" si="25"/>
        <v>1572</v>
      </c>
      <c r="E425" s="21" t="s">
        <v>5912</v>
      </c>
      <c r="F425" s="23" t="str">
        <f t="shared" si="24"/>
        <v>insert into ins_premium_det (premium_rcv_code,assorted_code, rec_amount,premium_rcv_detail_code,remaining_amt, payrec, mode_code,coinsurance_code,class_cd,it_remarks) values</v>
      </c>
      <c r="G425" s="24" t="str">
        <f t="shared" si="26"/>
        <v>('29Apr250042','050000728853','1572',(select max(to_number(i.premium_rcv_detail_code))+1
from ins_premium_det i),'1572','1572','02', '11000003','00','Request by Mr. Omair Ali 30-Apr-2025');</v>
      </c>
      <c r="H425" s="25" t="str">
        <f t="shared" si="27"/>
        <v>insert into ins_premium_det (premium_rcv_code,assorted_code, rec_amount,premium_rcv_detail_code,remaining_amt, payrec, mode_code,coinsurance_code,class_cd,it_remarks) values('29Apr250042','050000728853','1572',(select max(to_number(i.premium_rcv_detail_code))+1
from ins_premium_det i),'1572','1572','02', '11000003','00','Request by Mr. Omair Ali 30-Apr-2025');</v>
      </c>
    </row>
    <row r="426" spans="1:8" ht="105" x14ac:dyDescent="0.25">
      <c r="A426" t="s">
        <v>814</v>
      </c>
      <c r="B426" s="1" t="str">
        <f>VLOOKUP(A426,Sheet5!B:C,2,0)</f>
        <v>050000728854</v>
      </c>
      <c r="C426" s="13">
        <v>4397</v>
      </c>
      <c r="D426" s="22">
        <f t="shared" si="25"/>
        <v>4397</v>
      </c>
      <c r="E426" s="21" t="s">
        <v>5912</v>
      </c>
      <c r="F426" s="23" t="str">
        <f t="shared" si="24"/>
        <v>insert into ins_premium_det (premium_rcv_code,assorted_code, rec_amount,premium_rcv_detail_code,remaining_amt, payrec, mode_code,coinsurance_code,class_cd,it_remarks) values</v>
      </c>
      <c r="G426" s="24" t="str">
        <f t="shared" si="26"/>
        <v>('29Apr250042','050000728854','4397',(select max(to_number(i.premium_rcv_detail_code))+1
from ins_premium_det i),'4397','4397','02', '11000003','00','Request by Mr. Omair Ali 30-Apr-2025');</v>
      </c>
      <c r="H426" s="25" t="str">
        <f t="shared" si="27"/>
        <v>insert into ins_premium_det (premium_rcv_code,assorted_code, rec_amount,premium_rcv_detail_code,remaining_amt, payrec, mode_code,coinsurance_code,class_cd,it_remarks) values('29Apr250042','050000728854','4397',(select max(to_number(i.premium_rcv_detail_code))+1
from ins_premium_det i),'4397','4397','02', '11000003','00','Request by Mr. Omair Ali 30-Apr-2025');</v>
      </c>
    </row>
    <row r="427" spans="1:8" ht="105" x14ac:dyDescent="0.25">
      <c r="A427" t="s">
        <v>1167</v>
      </c>
      <c r="B427" s="1" t="str">
        <f>VLOOKUP(A427,Sheet5!B:C,2,0)</f>
        <v>050000728859</v>
      </c>
      <c r="C427" s="13">
        <v>7490</v>
      </c>
      <c r="D427" s="22">
        <f t="shared" si="25"/>
        <v>7490</v>
      </c>
      <c r="E427" s="21" t="s">
        <v>5912</v>
      </c>
      <c r="F427" s="23" t="str">
        <f t="shared" si="24"/>
        <v>insert into ins_premium_det (premium_rcv_code,assorted_code, rec_amount,premium_rcv_detail_code,remaining_amt, payrec, mode_code,coinsurance_code,class_cd,it_remarks) values</v>
      </c>
      <c r="G427" s="24" t="str">
        <f t="shared" si="26"/>
        <v>('29Apr250042','050000728859','7490',(select max(to_number(i.premium_rcv_detail_code))+1
from ins_premium_det i),'7490','7490','02', '11000003','00','Request by Mr. Omair Ali 30-Apr-2025');</v>
      </c>
      <c r="H427" s="25" t="str">
        <f t="shared" si="27"/>
        <v>insert into ins_premium_det (premium_rcv_code,assorted_code, rec_amount,premium_rcv_detail_code,remaining_amt, payrec, mode_code,coinsurance_code,class_cd,it_remarks) values('29Apr250042','050000728859','7490',(select max(to_number(i.premium_rcv_detail_code))+1
from ins_premium_det i),'7490','7490','02', '11000003','00','Request by Mr. Omair Ali 30-Apr-2025');</v>
      </c>
    </row>
    <row r="428" spans="1:8" ht="105" x14ac:dyDescent="0.25">
      <c r="A428" t="s">
        <v>135</v>
      </c>
      <c r="B428" s="1" t="str">
        <f>VLOOKUP(A428,Sheet5!B:C,2,0)</f>
        <v>050000729074</v>
      </c>
      <c r="C428" s="13">
        <v>657</v>
      </c>
      <c r="D428" s="22">
        <f t="shared" si="25"/>
        <v>657</v>
      </c>
      <c r="E428" s="21" t="s">
        <v>5912</v>
      </c>
      <c r="F428" s="23" t="str">
        <f t="shared" si="24"/>
        <v>insert into ins_premium_det (premium_rcv_code,assorted_code, rec_amount,premium_rcv_detail_code,remaining_amt, payrec, mode_code,coinsurance_code,class_cd,it_remarks) values</v>
      </c>
      <c r="G428" s="24" t="str">
        <f t="shared" si="26"/>
        <v>('29Apr250042','050000729074','657',(select max(to_number(i.premium_rcv_detail_code))+1
from ins_premium_det i),'657','657','02', '11000003','00','Request by Mr. Omair Ali 30-Apr-2025');</v>
      </c>
      <c r="H428" s="25" t="str">
        <f t="shared" si="27"/>
        <v>insert into ins_premium_det (premium_rcv_code,assorted_code, rec_amount,premium_rcv_detail_code,remaining_amt, payrec, mode_code,coinsurance_code,class_cd,it_remarks) values('29Apr250042','050000729074','657',(select max(to_number(i.premium_rcv_detail_code))+1
from ins_premium_det i),'657','657','02', '11000003','00','Request by Mr. Omair Ali 30-Apr-2025');</v>
      </c>
    </row>
    <row r="429" spans="1:8" ht="105" x14ac:dyDescent="0.25">
      <c r="A429" t="s">
        <v>1026</v>
      </c>
      <c r="B429" s="1" t="str">
        <f>VLOOKUP(A429,Sheet5!B:C,2,0)</f>
        <v>050000729094</v>
      </c>
      <c r="C429" s="13">
        <v>1753</v>
      </c>
      <c r="D429" s="22">
        <f t="shared" si="25"/>
        <v>1753</v>
      </c>
      <c r="E429" s="21" t="s">
        <v>5912</v>
      </c>
      <c r="F429" s="23" t="str">
        <f t="shared" si="24"/>
        <v>insert into ins_premium_det (premium_rcv_code,assorted_code, rec_amount,premium_rcv_detail_code,remaining_amt, payrec, mode_code,coinsurance_code,class_cd,it_remarks) values</v>
      </c>
      <c r="G429" s="24" t="str">
        <f t="shared" si="26"/>
        <v>('29Apr250042','050000729094','1753',(select max(to_number(i.premium_rcv_detail_code))+1
from ins_premium_det i),'1753','1753','02', '11000003','00','Request by Mr. Omair Ali 30-Apr-2025');</v>
      </c>
      <c r="H429" s="25" t="str">
        <f t="shared" si="27"/>
        <v>insert into ins_premium_det (premium_rcv_code,assorted_code, rec_amount,premium_rcv_detail_code,remaining_amt, payrec, mode_code,coinsurance_code,class_cd,it_remarks) values('29Apr250042','050000729094','1753',(select max(to_number(i.premium_rcv_detail_code))+1
from ins_premium_det i),'1753','1753','02', '11000003','00','Request by Mr. Omair Ali 30-Apr-2025');</v>
      </c>
    </row>
    <row r="430" spans="1:8" ht="105" x14ac:dyDescent="0.25">
      <c r="A430" t="s">
        <v>1193</v>
      </c>
      <c r="B430" s="1" t="str">
        <f>VLOOKUP(A430,Sheet5!B:C,2,0)</f>
        <v>050000729101</v>
      </c>
      <c r="C430" s="13">
        <v>3381</v>
      </c>
      <c r="D430" s="22">
        <f t="shared" si="25"/>
        <v>3381</v>
      </c>
      <c r="E430" s="21" t="s">
        <v>5912</v>
      </c>
      <c r="F430" s="23" t="str">
        <f t="shared" si="24"/>
        <v>insert into ins_premium_det (premium_rcv_code,assorted_code, rec_amount,premium_rcv_detail_code,remaining_amt, payrec, mode_code,coinsurance_code,class_cd,it_remarks) values</v>
      </c>
      <c r="G430" s="24" t="str">
        <f t="shared" si="26"/>
        <v>('29Apr250042','050000729101','3381',(select max(to_number(i.premium_rcv_detail_code))+1
from ins_premium_det i),'3381','3381','02', '11000003','00','Request by Mr. Omair Ali 30-Apr-2025');</v>
      </c>
      <c r="H430" s="25" t="str">
        <f t="shared" si="27"/>
        <v>insert into ins_premium_det (premium_rcv_code,assorted_code, rec_amount,premium_rcv_detail_code,remaining_amt, payrec, mode_code,coinsurance_code,class_cd,it_remarks) values('29Apr250042','050000729101','3381',(select max(to_number(i.premium_rcv_detail_code))+1
from ins_premium_det i),'3381','3381','02', '11000003','00','Request by Mr. Omair Ali 30-Apr-2025');</v>
      </c>
    </row>
    <row r="431" spans="1:8" ht="105" x14ac:dyDescent="0.25">
      <c r="A431" t="s">
        <v>1203</v>
      </c>
      <c r="B431" s="1" t="str">
        <f>VLOOKUP(A431,Sheet5!B:C,2,0)</f>
        <v>050000729102</v>
      </c>
      <c r="C431" s="13">
        <v>1200</v>
      </c>
      <c r="D431" s="22">
        <f t="shared" si="25"/>
        <v>1200</v>
      </c>
      <c r="E431" s="21" t="s">
        <v>5912</v>
      </c>
      <c r="F431" s="23" t="str">
        <f t="shared" si="24"/>
        <v>insert into ins_premium_det (premium_rcv_code,assorted_code, rec_amount,premium_rcv_detail_code,remaining_amt, payrec, mode_code,coinsurance_code,class_cd,it_remarks) values</v>
      </c>
      <c r="G431" s="24" t="str">
        <f t="shared" si="26"/>
        <v>('29Apr250042','050000729102','1200',(select max(to_number(i.premium_rcv_detail_code))+1
from ins_premium_det i),'1200','1200','02', '11000003','00','Request by Mr. Omair Ali 30-Apr-2025');</v>
      </c>
      <c r="H431" s="25" t="str">
        <f t="shared" si="27"/>
        <v>insert into ins_premium_det (premium_rcv_code,assorted_code, rec_amount,premium_rcv_detail_code,remaining_amt, payrec, mode_code,coinsurance_code,class_cd,it_remarks) values('29Apr250042','050000729102','1200',(select max(to_number(i.premium_rcv_detail_code))+1
from ins_premium_det i),'1200','1200','02', '11000003','00','Request by Mr. Omair Ali 30-Apr-2025');</v>
      </c>
    </row>
    <row r="432" spans="1:8" ht="105" x14ac:dyDescent="0.25">
      <c r="A432" t="s">
        <v>1526</v>
      </c>
      <c r="B432" s="1" t="str">
        <f>VLOOKUP(A432,Sheet5!B:C,2,0)</f>
        <v>050000729105</v>
      </c>
      <c r="C432" s="13">
        <v>374</v>
      </c>
      <c r="D432" s="22">
        <f t="shared" si="25"/>
        <v>374</v>
      </c>
      <c r="E432" s="21" t="s">
        <v>5912</v>
      </c>
      <c r="F432" s="23" t="str">
        <f t="shared" si="24"/>
        <v>insert into ins_premium_det (premium_rcv_code,assorted_code, rec_amount,premium_rcv_detail_code,remaining_amt, payrec, mode_code,coinsurance_code,class_cd,it_remarks) values</v>
      </c>
      <c r="G432" s="24" t="str">
        <f t="shared" si="26"/>
        <v>('29Apr250042','050000729105','374',(select max(to_number(i.premium_rcv_detail_code))+1
from ins_premium_det i),'374','374','02', '11000003','00','Request by Mr. Omair Ali 30-Apr-2025');</v>
      </c>
      <c r="H432" s="25" t="str">
        <f t="shared" si="27"/>
        <v>insert into ins_premium_det (premium_rcv_code,assorted_code, rec_amount,premium_rcv_detail_code,remaining_amt, payrec, mode_code,coinsurance_code,class_cd,it_remarks) values('29Apr250042','050000729105','374',(select max(to_number(i.premium_rcv_detail_code))+1
from ins_premium_det i),'374','374','02', '11000003','00','Request by Mr. Omair Ali 30-Apr-2025');</v>
      </c>
    </row>
    <row r="433" spans="1:8" ht="105" x14ac:dyDescent="0.25">
      <c r="A433" t="s">
        <v>1534</v>
      </c>
      <c r="B433" s="1" t="str">
        <f>VLOOKUP(A433,Sheet5!B:C,2,0)</f>
        <v>050000729106</v>
      </c>
      <c r="C433" s="13">
        <v>3356</v>
      </c>
      <c r="D433" s="22">
        <f t="shared" si="25"/>
        <v>3356</v>
      </c>
      <c r="E433" s="21" t="s">
        <v>5912</v>
      </c>
      <c r="F433" s="23" t="str">
        <f t="shared" si="24"/>
        <v>insert into ins_premium_det (premium_rcv_code,assorted_code, rec_amount,premium_rcv_detail_code,remaining_amt, payrec, mode_code,coinsurance_code,class_cd,it_remarks) values</v>
      </c>
      <c r="G433" s="24" t="str">
        <f t="shared" si="26"/>
        <v>('29Apr250042','050000729106','3356',(select max(to_number(i.premium_rcv_detail_code))+1
from ins_premium_det i),'3356','3356','02', '11000003','00','Request by Mr. Omair Ali 30-Apr-2025');</v>
      </c>
      <c r="H433" s="25" t="str">
        <f t="shared" si="27"/>
        <v>insert into ins_premium_det (premium_rcv_code,assorted_code, rec_amount,premium_rcv_detail_code,remaining_amt, payrec, mode_code,coinsurance_code,class_cd,it_remarks) values('29Apr250042','050000729106','3356',(select max(to_number(i.premium_rcv_detail_code))+1
from ins_premium_det i),'3356','3356','02', '11000003','00','Request by Mr. Omair Ali 30-Apr-2025');</v>
      </c>
    </row>
    <row r="434" spans="1:8" ht="105" x14ac:dyDescent="0.25">
      <c r="A434" t="s">
        <v>1520</v>
      </c>
      <c r="B434" s="1" t="str">
        <f>VLOOKUP(A434,Sheet5!B:C,2,0)</f>
        <v>050000729208</v>
      </c>
      <c r="C434" s="13">
        <v>6499</v>
      </c>
      <c r="D434" s="22">
        <f t="shared" si="25"/>
        <v>6499</v>
      </c>
      <c r="E434" s="21" t="s">
        <v>5912</v>
      </c>
      <c r="F434" s="23" t="str">
        <f t="shared" si="24"/>
        <v>insert into ins_premium_det (premium_rcv_code,assorted_code, rec_amount,premium_rcv_detail_code,remaining_amt, payrec, mode_code,coinsurance_code,class_cd,it_remarks) values</v>
      </c>
      <c r="G434" s="24" t="str">
        <f t="shared" si="26"/>
        <v>('29Apr250042','050000729208','6499',(select max(to_number(i.premium_rcv_detail_code))+1
from ins_premium_det i),'6499','6499','02', '11000003','00','Request by Mr. Omair Ali 30-Apr-2025');</v>
      </c>
      <c r="H434" s="25" t="str">
        <f t="shared" si="27"/>
        <v>insert into ins_premium_det (premium_rcv_code,assorted_code, rec_amount,premium_rcv_detail_code,remaining_amt, payrec, mode_code,coinsurance_code,class_cd,it_remarks) values('29Apr250042','050000729208','6499',(select max(to_number(i.premium_rcv_detail_code))+1
from ins_premium_det i),'6499','6499','02', '11000003','00','Request by Mr. Omair Ali 30-Apr-2025');</v>
      </c>
    </row>
    <row r="435" spans="1:8" ht="105" x14ac:dyDescent="0.25">
      <c r="A435" t="s">
        <v>280</v>
      </c>
      <c r="B435" s="1" t="str">
        <f>VLOOKUP(A435,Sheet5!B:C,2,0)</f>
        <v>050000729381</v>
      </c>
      <c r="C435" s="13">
        <v>4905</v>
      </c>
      <c r="D435" s="22">
        <f t="shared" si="25"/>
        <v>4905</v>
      </c>
      <c r="E435" s="21" t="s">
        <v>5912</v>
      </c>
      <c r="F435" s="23" t="str">
        <f t="shared" si="24"/>
        <v>insert into ins_premium_det (premium_rcv_code,assorted_code, rec_amount,premium_rcv_detail_code,remaining_amt, payrec, mode_code,coinsurance_code,class_cd,it_remarks) values</v>
      </c>
      <c r="G435" s="24" t="str">
        <f t="shared" si="26"/>
        <v>('29Apr250042','050000729381','4905',(select max(to_number(i.premium_rcv_detail_code))+1
from ins_premium_det i),'4905','4905','02', '11000003','00','Request by Mr. Omair Ali 30-Apr-2025');</v>
      </c>
      <c r="H435" s="25" t="str">
        <f t="shared" si="27"/>
        <v>insert into ins_premium_det (premium_rcv_code,assorted_code, rec_amount,premium_rcv_detail_code,remaining_amt, payrec, mode_code,coinsurance_code,class_cd,it_remarks) values('29Apr250042','050000729381','4905',(select max(to_number(i.premium_rcv_detail_code))+1
from ins_premium_det i),'4905','4905','02', '11000003','00','Request by Mr. Omair Ali 30-Apr-2025');</v>
      </c>
    </row>
    <row r="436" spans="1:8" ht="105" x14ac:dyDescent="0.25">
      <c r="A436" t="s">
        <v>285</v>
      </c>
      <c r="B436" s="1" t="str">
        <f>VLOOKUP(A436,Sheet5!B:C,2,0)</f>
        <v>050000729382</v>
      </c>
      <c r="C436" s="13">
        <v>17837</v>
      </c>
      <c r="D436" s="22">
        <f t="shared" si="25"/>
        <v>17837</v>
      </c>
      <c r="E436" s="21" t="s">
        <v>5912</v>
      </c>
      <c r="F436" s="23" t="str">
        <f t="shared" si="24"/>
        <v>insert into ins_premium_det (premium_rcv_code,assorted_code, rec_amount,premium_rcv_detail_code,remaining_amt, payrec, mode_code,coinsurance_code,class_cd,it_remarks) values</v>
      </c>
      <c r="G436" s="24" t="str">
        <f t="shared" si="26"/>
        <v>('29Apr250042','050000729382','17837',(select max(to_number(i.premium_rcv_detail_code))+1
from ins_premium_det i),'17837','17837','02', '11000003','00','Request by Mr. Omair Ali 30-Apr-2025');</v>
      </c>
      <c r="H436" s="25" t="str">
        <f t="shared" si="27"/>
        <v>insert into ins_premium_det (premium_rcv_code,assorted_code, rec_amount,premium_rcv_detail_code,remaining_amt, payrec, mode_code,coinsurance_code,class_cd,it_remarks) values('29Apr250042','050000729382','17837',(select max(to_number(i.premium_rcv_detail_code))+1
from ins_premium_det i),'17837','17837','02', '11000003','00','Request by Mr. Omair Ali 30-Apr-2025');</v>
      </c>
    </row>
    <row r="437" spans="1:8" ht="105" x14ac:dyDescent="0.25">
      <c r="A437" t="s">
        <v>286</v>
      </c>
      <c r="B437" s="1" t="str">
        <f>VLOOKUP(A437,Sheet5!B:C,2,0)</f>
        <v>050000729383</v>
      </c>
      <c r="C437" s="13">
        <v>24633</v>
      </c>
      <c r="D437" s="22">
        <f t="shared" si="25"/>
        <v>24633</v>
      </c>
      <c r="E437" s="21" t="s">
        <v>5912</v>
      </c>
      <c r="F437" s="23" t="str">
        <f t="shared" si="24"/>
        <v>insert into ins_premium_det (premium_rcv_code,assorted_code, rec_amount,premium_rcv_detail_code,remaining_amt, payrec, mode_code,coinsurance_code,class_cd,it_remarks) values</v>
      </c>
      <c r="G437" s="24" t="str">
        <f t="shared" si="26"/>
        <v>('29Apr250042','050000729383','24633',(select max(to_number(i.premium_rcv_detail_code))+1
from ins_premium_det i),'24633','24633','02', '11000003','00','Request by Mr. Omair Ali 30-Apr-2025');</v>
      </c>
      <c r="H437" s="25" t="str">
        <f t="shared" si="27"/>
        <v>insert into ins_premium_det (premium_rcv_code,assorted_code, rec_amount,premium_rcv_detail_code,remaining_amt, payrec, mode_code,coinsurance_code,class_cd,it_remarks) values('29Apr250042','050000729383','24633',(select max(to_number(i.premium_rcv_detail_code))+1
from ins_premium_det i),'24633','24633','02', '11000003','00','Request by Mr. Omair Ali 30-Apr-2025');</v>
      </c>
    </row>
    <row r="438" spans="1:8" ht="105" x14ac:dyDescent="0.25">
      <c r="A438" t="s">
        <v>491</v>
      </c>
      <c r="B438" s="1" t="str">
        <f>VLOOKUP(A438,Sheet5!B:C,2,0)</f>
        <v>050000729389</v>
      </c>
      <c r="C438" s="13">
        <v>5536</v>
      </c>
      <c r="D438" s="22">
        <f t="shared" si="25"/>
        <v>5536</v>
      </c>
      <c r="E438" s="21" t="s">
        <v>5912</v>
      </c>
      <c r="F438" s="23" t="str">
        <f t="shared" si="24"/>
        <v>insert into ins_premium_det (premium_rcv_code,assorted_code, rec_amount,premium_rcv_detail_code,remaining_amt, payrec, mode_code,coinsurance_code,class_cd,it_remarks) values</v>
      </c>
      <c r="G438" s="24" t="str">
        <f t="shared" si="26"/>
        <v>('29Apr250042','050000729389','5536',(select max(to_number(i.premium_rcv_detail_code))+1
from ins_premium_det i),'5536','5536','02', '11000003','00','Request by Mr. Omair Ali 30-Apr-2025');</v>
      </c>
      <c r="H438" s="25" t="str">
        <f t="shared" si="27"/>
        <v>insert into ins_premium_det (premium_rcv_code,assorted_code, rec_amount,premium_rcv_detail_code,remaining_amt, payrec, mode_code,coinsurance_code,class_cd,it_remarks) values('29Apr250042','050000729389','5536',(select max(to_number(i.premium_rcv_detail_code))+1
from ins_premium_det i),'5536','5536','02', '11000003','00','Request by Mr. Omair Ali 30-Apr-2025');</v>
      </c>
    </row>
    <row r="439" spans="1:8" ht="105" x14ac:dyDescent="0.25">
      <c r="A439" t="s">
        <v>585</v>
      </c>
      <c r="B439" s="1" t="str">
        <f>VLOOKUP(A439,Sheet5!B:C,2,0)</f>
        <v>050000729394</v>
      </c>
      <c r="C439" s="13">
        <v>3606</v>
      </c>
      <c r="D439" s="22">
        <f t="shared" si="25"/>
        <v>3606</v>
      </c>
      <c r="E439" s="21" t="s">
        <v>5912</v>
      </c>
      <c r="F439" s="23" t="str">
        <f t="shared" si="24"/>
        <v>insert into ins_premium_det (premium_rcv_code,assorted_code, rec_amount,premium_rcv_detail_code,remaining_amt, payrec, mode_code,coinsurance_code,class_cd,it_remarks) values</v>
      </c>
      <c r="G439" s="24" t="str">
        <f t="shared" si="26"/>
        <v>('29Apr250042','050000729394','3606',(select max(to_number(i.premium_rcv_detail_code))+1
from ins_premium_det i),'3606','3606','02', '11000003','00','Request by Mr. Omair Ali 30-Apr-2025');</v>
      </c>
      <c r="H439" s="25" t="str">
        <f t="shared" si="27"/>
        <v>insert into ins_premium_det (premium_rcv_code,assorted_code, rec_amount,premium_rcv_detail_code,remaining_amt, payrec, mode_code,coinsurance_code,class_cd,it_remarks) values('29Apr250042','050000729394','3606',(select max(to_number(i.premium_rcv_detail_code))+1
from ins_premium_det i),'3606','3606','02', '11000003','00','Request by Mr. Omair Ali 30-Apr-2025');</v>
      </c>
    </row>
    <row r="440" spans="1:8" ht="105" x14ac:dyDescent="0.25">
      <c r="A440" t="s">
        <v>599</v>
      </c>
      <c r="B440" s="1" t="str">
        <f>VLOOKUP(A440,Sheet5!B:C,2,0)</f>
        <v>050000729395</v>
      </c>
      <c r="C440" s="13">
        <v>3518</v>
      </c>
      <c r="D440" s="22">
        <f t="shared" si="25"/>
        <v>3518</v>
      </c>
      <c r="E440" s="21" t="s">
        <v>5912</v>
      </c>
      <c r="F440" s="23" t="str">
        <f t="shared" si="24"/>
        <v>insert into ins_premium_det (premium_rcv_code,assorted_code, rec_amount,premium_rcv_detail_code,remaining_amt, payrec, mode_code,coinsurance_code,class_cd,it_remarks) values</v>
      </c>
      <c r="G440" s="24" t="str">
        <f t="shared" si="26"/>
        <v>('29Apr250042','050000729395','3518',(select max(to_number(i.premium_rcv_detail_code))+1
from ins_premium_det i),'3518','3518','02', '11000003','00','Request by Mr. Omair Ali 30-Apr-2025');</v>
      </c>
      <c r="H440" s="25" t="str">
        <f t="shared" si="27"/>
        <v>insert into ins_premium_det (premium_rcv_code,assorted_code, rec_amount,premium_rcv_detail_code,remaining_amt, payrec, mode_code,coinsurance_code,class_cd,it_remarks) values('29Apr250042','050000729395','3518',(select max(to_number(i.premium_rcv_detail_code))+1
from ins_premium_det i),'3518','3518','02', '11000003','00','Request by Mr. Omair Ali 30-Apr-2025');</v>
      </c>
    </row>
    <row r="441" spans="1:8" ht="105" x14ac:dyDescent="0.25">
      <c r="A441" t="s">
        <v>1549</v>
      </c>
      <c r="B441" s="1" t="str">
        <f>VLOOKUP(A441,Sheet5!B:C,2,0)</f>
        <v>050000729422</v>
      </c>
      <c r="C441" s="13">
        <v>6071</v>
      </c>
      <c r="D441" s="22">
        <f t="shared" si="25"/>
        <v>6071</v>
      </c>
      <c r="E441" s="21" t="s">
        <v>5912</v>
      </c>
      <c r="F441" s="23" t="str">
        <f t="shared" si="24"/>
        <v>insert into ins_premium_det (premium_rcv_code,assorted_code, rec_amount,premium_rcv_detail_code,remaining_amt, payrec, mode_code,coinsurance_code,class_cd,it_remarks) values</v>
      </c>
      <c r="G441" s="24" t="str">
        <f t="shared" si="26"/>
        <v>('29Apr250042','050000729422','6071',(select max(to_number(i.premium_rcv_detail_code))+1
from ins_premium_det i),'6071','6071','02', '11000003','00','Request by Mr. Omair Ali 30-Apr-2025');</v>
      </c>
      <c r="H441" s="25" t="str">
        <f t="shared" si="27"/>
        <v>insert into ins_premium_det (premium_rcv_code,assorted_code, rec_amount,premium_rcv_detail_code,remaining_amt, payrec, mode_code,coinsurance_code,class_cd,it_remarks) values('29Apr250042','050000729422','6071',(select max(to_number(i.premium_rcv_detail_code))+1
from ins_premium_det i),'6071','6071','02', '11000003','00','Request by Mr. Omair Ali 30-Apr-2025');</v>
      </c>
    </row>
    <row r="442" spans="1:8" ht="105" x14ac:dyDescent="0.25">
      <c r="A442" t="s">
        <v>183</v>
      </c>
      <c r="B442" s="1" t="str">
        <f>VLOOKUP(A442,Sheet5!B:C,2,0)</f>
        <v>050000729688</v>
      </c>
      <c r="C442" s="13">
        <v>5915</v>
      </c>
      <c r="D442" s="22">
        <f t="shared" si="25"/>
        <v>5915</v>
      </c>
      <c r="E442" s="21" t="s">
        <v>5912</v>
      </c>
      <c r="F442" s="23" t="str">
        <f t="shared" si="24"/>
        <v>insert into ins_premium_det (premium_rcv_code,assorted_code, rec_amount,premium_rcv_detail_code,remaining_amt, payrec, mode_code,coinsurance_code,class_cd,it_remarks) values</v>
      </c>
      <c r="G442" s="24" t="str">
        <f t="shared" si="26"/>
        <v>('29Apr250042','050000729688','5915',(select max(to_number(i.premium_rcv_detail_code))+1
from ins_premium_det i),'5915','5915','02', '11000003','00','Request by Mr. Omair Ali 30-Apr-2025');</v>
      </c>
      <c r="H442" s="25" t="str">
        <f t="shared" si="27"/>
        <v>insert into ins_premium_det (premium_rcv_code,assorted_code, rec_amount,premium_rcv_detail_code,remaining_amt, payrec, mode_code,coinsurance_code,class_cd,it_remarks) values('29Apr250042','050000729688','5915',(select max(to_number(i.premium_rcv_detail_code))+1
from ins_premium_det i),'5915','5915','02', '11000003','00','Request by Mr. Omair Ali 30-Apr-2025');</v>
      </c>
    </row>
    <row r="443" spans="1:8" ht="105" x14ac:dyDescent="0.25">
      <c r="A443" t="s">
        <v>191</v>
      </c>
      <c r="B443" s="1" t="str">
        <f>VLOOKUP(A443,Sheet5!B:C,2,0)</f>
        <v>050000729689</v>
      </c>
      <c r="C443" s="13">
        <v>1482</v>
      </c>
      <c r="D443" s="22">
        <f t="shared" si="25"/>
        <v>1482</v>
      </c>
      <c r="E443" s="21" t="s">
        <v>5912</v>
      </c>
      <c r="F443" s="23" t="str">
        <f t="shared" si="24"/>
        <v>insert into ins_premium_det (premium_rcv_code,assorted_code, rec_amount,premium_rcv_detail_code,remaining_amt, payrec, mode_code,coinsurance_code,class_cd,it_remarks) values</v>
      </c>
      <c r="G443" s="24" t="str">
        <f t="shared" si="26"/>
        <v>('29Apr250042','050000729689','1482',(select max(to_number(i.premium_rcv_detail_code))+1
from ins_premium_det i),'1482','1482','02', '11000003','00','Request by Mr. Omair Ali 30-Apr-2025');</v>
      </c>
      <c r="H443" s="25" t="str">
        <f t="shared" si="27"/>
        <v>insert into ins_premium_det (premium_rcv_code,assorted_code, rec_amount,premium_rcv_detail_code,remaining_amt, payrec, mode_code,coinsurance_code,class_cd,it_remarks) values('29Apr250042','050000729689','1482',(select max(to_number(i.premium_rcv_detail_code))+1
from ins_premium_det i),'1482','1482','02', '11000003','00','Request by Mr. Omair Ali 30-Apr-2025');</v>
      </c>
    </row>
    <row r="444" spans="1:8" ht="105" x14ac:dyDescent="0.25">
      <c r="A444" t="s">
        <v>227</v>
      </c>
      <c r="B444" s="1" t="str">
        <f>VLOOKUP(A444,Sheet5!B:C,2,0)</f>
        <v>050000730192</v>
      </c>
      <c r="C444" s="13">
        <v>323</v>
      </c>
      <c r="D444" s="22">
        <f t="shared" si="25"/>
        <v>323</v>
      </c>
      <c r="E444" s="21" t="s">
        <v>5912</v>
      </c>
      <c r="F444" s="23" t="str">
        <f t="shared" si="24"/>
        <v>insert into ins_premium_det (premium_rcv_code,assorted_code, rec_amount,premium_rcv_detail_code,remaining_amt, payrec, mode_code,coinsurance_code,class_cd,it_remarks) values</v>
      </c>
      <c r="G444" s="24" t="str">
        <f t="shared" si="26"/>
        <v>('29Apr250042','050000730192','323',(select max(to_number(i.premium_rcv_detail_code))+1
from ins_premium_det i),'323','323','02', '11000003','00','Request by Mr. Omair Ali 30-Apr-2025');</v>
      </c>
      <c r="H444" s="25" t="str">
        <f t="shared" si="27"/>
        <v>insert into ins_premium_det (premium_rcv_code,assorted_code, rec_amount,premium_rcv_detail_code,remaining_amt, payrec, mode_code,coinsurance_code,class_cd,it_remarks) values('29Apr250042','050000730192','323',(select max(to_number(i.premium_rcv_detail_code))+1
from ins_premium_det i),'323','323','02', '11000003','00','Request by Mr. Omair Ali 30-Apr-2025');</v>
      </c>
    </row>
    <row r="445" spans="1:8" ht="105" x14ac:dyDescent="0.25">
      <c r="A445" t="s">
        <v>927</v>
      </c>
      <c r="B445" s="1" t="str">
        <f>VLOOKUP(A445,Sheet5!B:C,2,0)</f>
        <v>050000730195</v>
      </c>
      <c r="C445" s="13">
        <v>5202</v>
      </c>
      <c r="D445" s="22">
        <f t="shared" si="25"/>
        <v>5202</v>
      </c>
      <c r="E445" s="21" t="s">
        <v>5912</v>
      </c>
      <c r="F445" s="23" t="str">
        <f t="shared" si="24"/>
        <v>insert into ins_premium_det (premium_rcv_code,assorted_code, rec_amount,premium_rcv_detail_code,remaining_amt, payrec, mode_code,coinsurance_code,class_cd,it_remarks) values</v>
      </c>
      <c r="G445" s="24" t="str">
        <f t="shared" si="26"/>
        <v>('29Apr250042','050000730195','5202',(select max(to_number(i.premium_rcv_detail_code))+1
from ins_premium_det i),'5202','5202','02', '11000003','00','Request by Mr. Omair Ali 30-Apr-2025');</v>
      </c>
      <c r="H445" s="25" t="str">
        <f t="shared" si="27"/>
        <v>insert into ins_premium_det (premium_rcv_code,assorted_code, rec_amount,premium_rcv_detail_code,remaining_amt, payrec, mode_code,coinsurance_code,class_cd,it_remarks) values('29Apr250042','050000730195','5202',(select max(to_number(i.premium_rcv_detail_code))+1
from ins_premium_det i),'5202','5202','02', '11000003','00','Request by Mr. Omair Ali 30-Apr-2025');</v>
      </c>
    </row>
    <row r="446" spans="1:8" ht="105" x14ac:dyDescent="0.25">
      <c r="A446" t="s">
        <v>186</v>
      </c>
      <c r="B446" s="1" t="str">
        <f>VLOOKUP(A446,Sheet5!B:C,2,0)</f>
        <v>050000732119</v>
      </c>
      <c r="C446" s="13">
        <v>165</v>
      </c>
      <c r="D446" s="22">
        <f t="shared" si="25"/>
        <v>165</v>
      </c>
      <c r="E446" s="21" t="s">
        <v>5912</v>
      </c>
      <c r="F446" s="23" t="str">
        <f t="shared" si="24"/>
        <v>insert into ins_premium_det (premium_rcv_code,assorted_code, rec_amount,premium_rcv_detail_code,remaining_amt, payrec, mode_code,coinsurance_code,class_cd,it_remarks) values</v>
      </c>
      <c r="G446" s="24" t="str">
        <f t="shared" si="26"/>
        <v>('29Apr250042','050000732119','165',(select max(to_number(i.premium_rcv_detail_code))+1
from ins_premium_det i),'165','165','02', '11000003','00','Request by Mr. Omair Ali 30-Apr-2025');</v>
      </c>
      <c r="H446" s="25" t="str">
        <f t="shared" si="27"/>
        <v>insert into ins_premium_det (premium_rcv_code,assorted_code, rec_amount,premium_rcv_detail_code,remaining_amt, payrec, mode_code,coinsurance_code,class_cd,it_remarks) values('29Apr250042','050000732119','165',(select max(to_number(i.premium_rcv_detail_code))+1
from ins_premium_det i),'165','165','02', '11000003','00','Request by Mr. Omair Ali 30-Apr-2025');</v>
      </c>
    </row>
    <row r="447" spans="1:8" ht="105" x14ac:dyDescent="0.25">
      <c r="A447" t="s">
        <v>188</v>
      </c>
      <c r="B447" s="1" t="str">
        <f>VLOOKUP(A447,Sheet5!B:C,2,0)</f>
        <v>050000732120</v>
      </c>
      <c r="C447" s="13">
        <v>2092</v>
      </c>
      <c r="D447" s="22">
        <f t="shared" si="25"/>
        <v>2092</v>
      </c>
      <c r="E447" s="21" t="s">
        <v>5912</v>
      </c>
      <c r="F447" s="23" t="str">
        <f t="shared" si="24"/>
        <v>insert into ins_premium_det (premium_rcv_code,assorted_code, rec_amount,premium_rcv_detail_code,remaining_amt, payrec, mode_code,coinsurance_code,class_cd,it_remarks) values</v>
      </c>
      <c r="G447" s="24" t="str">
        <f t="shared" si="26"/>
        <v>('29Apr250042','050000732120','2092',(select max(to_number(i.premium_rcv_detail_code))+1
from ins_premium_det i),'2092','2092','02', '11000003','00','Request by Mr. Omair Ali 30-Apr-2025');</v>
      </c>
      <c r="H447" s="25" t="str">
        <f t="shared" si="27"/>
        <v>insert into ins_premium_det (premium_rcv_code,assorted_code, rec_amount,premium_rcv_detail_code,remaining_amt, payrec, mode_code,coinsurance_code,class_cd,it_remarks) values('29Apr250042','050000732120','2092',(select max(to_number(i.premium_rcv_detail_code))+1
from ins_premium_det i),'2092','2092','02', '11000003','00','Request by Mr. Omair Ali 30-Apr-2025');</v>
      </c>
    </row>
    <row r="448" spans="1:8" ht="105" x14ac:dyDescent="0.25">
      <c r="A448" t="s">
        <v>912</v>
      </c>
      <c r="B448" s="1" t="str">
        <f>VLOOKUP(A448,Sheet5!B:C,2,0)</f>
        <v>050000732129</v>
      </c>
      <c r="C448" s="13">
        <v>898</v>
      </c>
      <c r="D448" s="22">
        <f t="shared" si="25"/>
        <v>898</v>
      </c>
      <c r="E448" s="21" t="s">
        <v>5912</v>
      </c>
      <c r="F448" s="23" t="str">
        <f t="shared" si="24"/>
        <v>insert into ins_premium_det (premium_rcv_code,assorted_code, rec_amount,premium_rcv_detail_code,remaining_amt, payrec, mode_code,coinsurance_code,class_cd,it_remarks) values</v>
      </c>
      <c r="G448" s="24" t="str">
        <f t="shared" si="26"/>
        <v>('29Apr250042','050000732129','898',(select max(to_number(i.premium_rcv_detail_code))+1
from ins_premium_det i),'898','898','02', '11000003','00','Request by Mr. Omair Ali 30-Apr-2025');</v>
      </c>
      <c r="H448" s="25" t="str">
        <f t="shared" si="27"/>
        <v>insert into ins_premium_det (premium_rcv_code,assorted_code, rec_amount,premium_rcv_detail_code,remaining_amt, payrec, mode_code,coinsurance_code,class_cd,it_remarks) values('29Apr250042','050000732129','898',(select max(to_number(i.premium_rcv_detail_code))+1
from ins_premium_det i),'898','898','02', '11000003','00','Request by Mr. Omair Ali 30-Apr-2025');</v>
      </c>
    </row>
    <row r="449" spans="1:8" ht="105" x14ac:dyDescent="0.25">
      <c r="A449" t="s">
        <v>419</v>
      </c>
      <c r="B449" s="1" t="str">
        <f>VLOOKUP(A449,Sheet5!B:C,2,0)</f>
        <v>050000733521</v>
      </c>
      <c r="C449" s="13">
        <v>3330</v>
      </c>
      <c r="D449" s="22">
        <f t="shared" si="25"/>
        <v>3330</v>
      </c>
      <c r="E449" s="21" t="s">
        <v>5912</v>
      </c>
      <c r="F449" s="23" t="str">
        <f t="shared" si="24"/>
        <v>insert into ins_premium_det (premium_rcv_code,assorted_code, rec_amount,premium_rcv_detail_code,remaining_amt, payrec, mode_code,coinsurance_code,class_cd,it_remarks) values</v>
      </c>
      <c r="G449" s="24" t="str">
        <f t="shared" si="26"/>
        <v>('29Apr250042','050000733521','3330',(select max(to_number(i.premium_rcv_detail_code))+1
from ins_premium_det i),'3330','3330','02', '11000003','00','Request by Mr. Omair Ali 30-Apr-2025');</v>
      </c>
      <c r="H449" s="25" t="str">
        <f t="shared" si="27"/>
        <v>insert into ins_premium_det (premium_rcv_code,assorted_code, rec_amount,premium_rcv_detail_code,remaining_amt, payrec, mode_code,coinsurance_code,class_cd,it_remarks) values('29Apr250042','050000733521','3330',(select max(to_number(i.premium_rcv_detail_code))+1
from ins_premium_det i),'3330','3330','02', '11000003','00','Request by Mr. Omair Ali 30-Apr-2025');</v>
      </c>
    </row>
    <row r="450" spans="1:8" ht="105" x14ac:dyDescent="0.25">
      <c r="A450" t="s">
        <v>768</v>
      </c>
      <c r="B450" s="1" t="str">
        <f>VLOOKUP(A450,Sheet5!B:C,2,0)</f>
        <v>050000733525</v>
      </c>
      <c r="C450" s="13">
        <v>3929</v>
      </c>
      <c r="D450" s="22">
        <f t="shared" si="25"/>
        <v>3929</v>
      </c>
      <c r="E450" s="21" t="s">
        <v>5912</v>
      </c>
      <c r="F450" s="23" t="str">
        <f t="shared" ref="F450:F513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24" t="str">
        <f t="shared" si="26"/>
        <v>('29Apr250042','050000733525','3929',(select max(to_number(i.premium_rcv_detail_code))+1
from ins_premium_det i),'3929','3929','02', '11000003','00','Request by Mr. Omair Ali 30-Apr-2025');</v>
      </c>
      <c r="H450" s="25" t="str">
        <f t="shared" si="27"/>
        <v>insert into ins_premium_det (premium_rcv_code,assorted_code, rec_amount,premium_rcv_detail_code,remaining_amt, payrec, mode_code,coinsurance_code,class_cd,it_remarks) values('29Apr250042','050000733525','3929',(select max(to_number(i.premium_rcv_detail_code))+1
from ins_premium_det i),'3929','3929','02', '11000003','00','Request by Mr. Omair Ali 30-Apr-2025');</v>
      </c>
    </row>
    <row r="451" spans="1:8" ht="105" x14ac:dyDescent="0.25">
      <c r="A451" t="s">
        <v>1054</v>
      </c>
      <c r="B451" s="1" t="str">
        <f>VLOOKUP(A451,Sheet5!B:C,2,0)</f>
        <v>050000733529</v>
      </c>
      <c r="C451" s="13">
        <v>2648</v>
      </c>
      <c r="D451" s="22">
        <f t="shared" ref="D451:D514" si="29">ROUND(C451,0)</f>
        <v>2648</v>
      </c>
      <c r="E451" s="21" t="s">
        <v>5912</v>
      </c>
      <c r="F451" s="23" t="str">
        <f t="shared" si="28"/>
        <v>insert into ins_premium_det (premium_rcv_code,assorted_code, rec_amount,premium_rcv_detail_code,remaining_amt, payrec, mode_code,coinsurance_code,class_cd,it_remarks) values</v>
      </c>
      <c r="G451" s="24" t="str">
        <f t="shared" ref="G451:G514" si="30">"('"&amp;E451&amp;"','"&amp;B451&amp;"','"&amp;D451&amp;"',(select max(to_number(i.premium_rcv_detail_code))+1
from ins_premium_det i),'"&amp;D451&amp;"','"&amp;D451&amp;"','02', '11000003','00','Request by Mr. Omair Ali 30-Apr-2025');"</f>
        <v>('29Apr250042','050000733529','2648',(select max(to_number(i.premium_rcv_detail_code))+1
from ins_premium_det i),'2648','2648','02', '11000003','00','Request by Mr. Omair Ali 30-Apr-2025');</v>
      </c>
      <c r="H451" s="25" t="str">
        <f t="shared" ref="H451:H514" si="31">F451&amp;G451</f>
        <v>insert into ins_premium_det (premium_rcv_code,assorted_code, rec_amount,premium_rcv_detail_code,remaining_amt, payrec, mode_code,coinsurance_code,class_cd,it_remarks) values('29Apr250042','050000733529','2648',(select max(to_number(i.premium_rcv_detail_code))+1
from ins_premium_det i),'2648','2648','02', '11000003','00','Request by Mr. Omair Ali 30-Apr-2025');</v>
      </c>
    </row>
    <row r="452" spans="1:8" ht="105" x14ac:dyDescent="0.25">
      <c r="A452" t="s">
        <v>1222</v>
      </c>
      <c r="B452" s="1" t="str">
        <f>VLOOKUP(A452,Sheet5!B:C,2,0)</f>
        <v>050000733532</v>
      </c>
      <c r="C452" s="13">
        <v>4108</v>
      </c>
      <c r="D452" s="22">
        <f t="shared" si="29"/>
        <v>4108</v>
      </c>
      <c r="E452" s="21" t="s">
        <v>5912</v>
      </c>
      <c r="F452" s="23" t="str">
        <f t="shared" si="28"/>
        <v>insert into ins_premium_det (premium_rcv_code,assorted_code, rec_amount,premium_rcv_detail_code,remaining_amt, payrec, mode_code,coinsurance_code,class_cd,it_remarks) values</v>
      </c>
      <c r="G452" s="24" t="str">
        <f t="shared" si="30"/>
        <v>('29Apr250042','050000733532','4108',(select max(to_number(i.premium_rcv_detail_code))+1
from ins_premium_det i),'4108','4108','02', '11000003','00','Request by Mr. Omair Ali 30-Apr-2025');</v>
      </c>
      <c r="H452" s="25" t="str">
        <f t="shared" si="31"/>
        <v>insert into ins_premium_det (premium_rcv_code,assorted_code, rec_amount,premium_rcv_detail_code,remaining_amt, payrec, mode_code,coinsurance_code,class_cd,it_remarks) values('29Apr250042','050000733532','4108',(select max(to_number(i.premium_rcv_detail_code))+1
from ins_premium_det i),'4108','4108','02', '11000003','00','Request by Mr. Omair Ali 30-Apr-2025');</v>
      </c>
    </row>
    <row r="453" spans="1:8" ht="105" x14ac:dyDescent="0.25">
      <c r="A453" t="s">
        <v>1235</v>
      </c>
      <c r="B453" s="1" t="str">
        <f>VLOOKUP(A453,Sheet5!B:C,2,0)</f>
        <v>050000733533</v>
      </c>
      <c r="C453" s="13">
        <v>572</v>
      </c>
      <c r="D453" s="22">
        <f t="shared" si="29"/>
        <v>572</v>
      </c>
      <c r="E453" s="21" t="s">
        <v>5912</v>
      </c>
      <c r="F453" s="23" t="str">
        <f t="shared" si="28"/>
        <v>insert into ins_premium_det (premium_rcv_code,assorted_code, rec_amount,premium_rcv_detail_code,remaining_amt, payrec, mode_code,coinsurance_code,class_cd,it_remarks) values</v>
      </c>
      <c r="G453" s="24" t="str">
        <f t="shared" si="30"/>
        <v>('29Apr250042','050000733533','572',(select max(to_number(i.premium_rcv_detail_code))+1
from ins_premium_det i),'572','572','02', '11000003','00','Request by Mr. Omair Ali 30-Apr-2025');</v>
      </c>
      <c r="H453" s="25" t="str">
        <f t="shared" si="31"/>
        <v>insert into ins_premium_det (premium_rcv_code,assorted_code, rec_amount,premium_rcv_detail_code,remaining_amt, payrec, mode_code,coinsurance_code,class_cd,it_remarks) values('29Apr250042','050000733533','572',(select max(to_number(i.premium_rcv_detail_code))+1
from ins_premium_det i),'572','572','02', '11000003','00','Request by Mr. Omair Ali 30-Apr-2025');</v>
      </c>
    </row>
    <row r="454" spans="1:8" ht="105" x14ac:dyDescent="0.25">
      <c r="A454" t="s">
        <v>194</v>
      </c>
      <c r="B454" s="1" t="str">
        <f>VLOOKUP(A454,Sheet5!B:C,2,0)</f>
        <v>050000734020</v>
      </c>
      <c r="C454" s="13">
        <v>1666</v>
      </c>
      <c r="D454" s="22">
        <f t="shared" si="29"/>
        <v>1666</v>
      </c>
      <c r="E454" s="21" t="s">
        <v>5912</v>
      </c>
      <c r="F454" s="23" t="str">
        <f t="shared" si="28"/>
        <v>insert into ins_premium_det (premium_rcv_code,assorted_code, rec_amount,premium_rcv_detail_code,remaining_amt, payrec, mode_code,coinsurance_code,class_cd,it_remarks) values</v>
      </c>
      <c r="G454" s="24" t="str">
        <f t="shared" si="30"/>
        <v>('29Apr250042','050000734020','1666',(select max(to_number(i.premium_rcv_detail_code))+1
from ins_premium_det i),'1666','1666','02', '11000003','00','Request by Mr. Omair Ali 30-Apr-2025');</v>
      </c>
      <c r="H454" s="25" t="str">
        <f t="shared" si="31"/>
        <v>insert into ins_premium_det (premium_rcv_code,assorted_code, rec_amount,premium_rcv_detail_code,remaining_amt, payrec, mode_code,coinsurance_code,class_cd,it_remarks) values('29Apr250042','050000734020','1666',(select max(to_number(i.premium_rcv_detail_code))+1
from ins_premium_det i),'1666','1666','02', '11000003','00','Request by Mr. Omair Ali 30-Apr-2025');</v>
      </c>
    </row>
    <row r="455" spans="1:8" ht="105" x14ac:dyDescent="0.25">
      <c r="A455" t="s">
        <v>195</v>
      </c>
      <c r="B455" s="1" t="str">
        <f>VLOOKUP(A455,Sheet5!B:C,2,0)</f>
        <v>050000734021</v>
      </c>
      <c r="C455" s="13">
        <v>1337</v>
      </c>
      <c r="D455" s="22">
        <f t="shared" si="29"/>
        <v>1337</v>
      </c>
      <c r="E455" s="21" t="s">
        <v>5912</v>
      </c>
      <c r="F455" s="23" t="str">
        <f t="shared" si="28"/>
        <v>insert into ins_premium_det (premium_rcv_code,assorted_code, rec_amount,premium_rcv_detail_code,remaining_amt, payrec, mode_code,coinsurance_code,class_cd,it_remarks) values</v>
      </c>
      <c r="G455" s="24" t="str">
        <f t="shared" si="30"/>
        <v>('29Apr250042','050000734021','1337',(select max(to_number(i.premium_rcv_detail_code))+1
from ins_premium_det i),'1337','1337','02', '11000003','00','Request by Mr. Omair Ali 30-Apr-2025');</v>
      </c>
      <c r="H455" s="25" t="str">
        <f t="shared" si="31"/>
        <v>insert into ins_premium_det (premium_rcv_code,assorted_code, rec_amount,premium_rcv_detail_code,remaining_amt, payrec, mode_code,coinsurance_code,class_cd,it_remarks) values('29Apr250042','050000734021','1337',(select max(to_number(i.premium_rcv_detail_code))+1
from ins_premium_det i),'1337','1337','02', '11000003','00','Request by Mr. Omair Ali 30-Apr-2025');</v>
      </c>
    </row>
    <row r="456" spans="1:8" ht="105" x14ac:dyDescent="0.25">
      <c r="A456" t="s">
        <v>198</v>
      </c>
      <c r="B456" s="1" t="str">
        <f>VLOOKUP(A456,Sheet5!B:C,2,0)</f>
        <v>050000734023</v>
      </c>
      <c r="C456" s="13">
        <v>362</v>
      </c>
      <c r="D456" s="22">
        <f t="shared" si="29"/>
        <v>362</v>
      </c>
      <c r="E456" s="21" t="s">
        <v>5912</v>
      </c>
      <c r="F456" s="23" t="str">
        <f t="shared" si="28"/>
        <v>insert into ins_premium_det (premium_rcv_code,assorted_code, rec_amount,premium_rcv_detail_code,remaining_amt, payrec, mode_code,coinsurance_code,class_cd,it_remarks) values</v>
      </c>
      <c r="G456" s="24" t="str">
        <f t="shared" si="30"/>
        <v>('29Apr250042','050000734023','362',(select max(to_number(i.premium_rcv_detail_code))+1
from ins_premium_det i),'362','362','02', '11000003','00','Request by Mr. Omair Ali 30-Apr-2025');</v>
      </c>
      <c r="H456" s="25" t="str">
        <f t="shared" si="31"/>
        <v>insert into ins_premium_det (premium_rcv_code,assorted_code, rec_amount,premium_rcv_detail_code,remaining_amt, payrec, mode_code,coinsurance_code,class_cd,it_remarks) values('29Apr250042','050000734023','362',(select max(to_number(i.premium_rcv_detail_code))+1
from ins_premium_det i),'362','362','02', '11000003','00','Request by Mr. Omair Ali 30-Apr-2025');</v>
      </c>
    </row>
    <row r="457" spans="1:8" ht="105" x14ac:dyDescent="0.25">
      <c r="A457" t="s">
        <v>200</v>
      </c>
      <c r="B457" s="1" t="str">
        <f>VLOOKUP(A457,Sheet5!B:C,2,0)</f>
        <v>050000734024</v>
      </c>
      <c r="C457" s="13">
        <v>897</v>
      </c>
      <c r="D457" s="22">
        <f t="shared" si="29"/>
        <v>897</v>
      </c>
      <c r="E457" s="21" t="s">
        <v>5912</v>
      </c>
      <c r="F457" s="23" t="str">
        <f t="shared" si="28"/>
        <v>insert into ins_premium_det (premium_rcv_code,assorted_code, rec_amount,premium_rcv_detail_code,remaining_amt, payrec, mode_code,coinsurance_code,class_cd,it_remarks) values</v>
      </c>
      <c r="G457" s="24" t="str">
        <f t="shared" si="30"/>
        <v>('29Apr250042','050000734024','897',(select max(to_number(i.premium_rcv_detail_code))+1
from ins_premium_det i),'897','897','02', '11000003','00','Request by Mr. Omair Ali 30-Apr-2025');</v>
      </c>
      <c r="H457" s="25" t="str">
        <f t="shared" si="31"/>
        <v>insert into ins_premium_det (premium_rcv_code,assorted_code, rec_amount,premium_rcv_detail_code,remaining_amt, payrec, mode_code,coinsurance_code,class_cd,it_remarks) values('29Apr250042','050000734024','897',(select max(to_number(i.premium_rcv_detail_code))+1
from ins_premium_det i),'897','897','02', '11000003','00','Request by Mr. Omair Ali 30-Apr-2025');</v>
      </c>
    </row>
    <row r="458" spans="1:8" ht="105" x14ac:dyDescent="0.25">
      <c r="A458" t="s">
        <v>303</v>
      </c>
      <c r="B458" s="1" t="str">
        <f>VLOOKUP(A458,Sheet5!B:C,2,0)</f>
        <v>050000734029</v>
      </c>
      <c r="C458" s="13">
        <v>2889</v>
      </c>
      <c r="D458" s="22">
        <f t="shared" si="29"/>
        <v>2889</v>
      </c>
      <c r="E458" s="21" t="s">
        <v>5912</v>
      </c>
      <c r="F458" s="23" t="str">
        <f t="shared" si="28"/>
        <v>insert into ins_premium_det (premium_rcv_code,assorted_code, rec_amount,premium_rcv_detail_code,remaining_amt, payrec, mode_code,coinsurance_code,class_cd,it_remarks) values</v>
      </c>
      <c r="G458" s="24" t="str">
        <f t="shared" si="30"/>
        <v>('29Apr250042','050000734029','2889',(select max(to_number(i.premium_rcv_detail_code))+1
from ins_premium_det i),'2889','2889','02', '11000003','00','Request by Mr. Omair Ali 30-Apr-2025');</v>
      </c>
      <c r="H458" s="25" t="str">
        <f t="shared" si="31"/>
        <v>insert into ins_premium_det (premium_rcv_code,assorted_code, rec_amount,premium_rcv_detail_code,remaining_amt, payrec, mode_code,coinsurance_code,class_cd,it_remarks) values('29Apr250042','050000734029','2889',(select max(to_number(i.premium_rcv_detail_code))+1
from ins_premium_det i),'2889','2889','02', '11000003','00','Request by Mr. Omair Ali 30-Apr-2025');</v>
      </c>
    </row>
    <row r="459" spans="1:8" ht="105" x14ac:dyDescent="0.25">
      <c r="A459" t="s">
        <v>312</v>
      </c>
      <c r="B459" s="1" t="str">
        <f>VLOOKUP(A459,Sheet5!B:C,2,0)</f>
        <v>050000734034</v>
      </c>
      <c r="C459" s="13">
        <v>2237</v>
      </c>
      <c r="D459" s="22">
        <f t="shared" si="29"/>
        <v>2237</v>
      </c>
      <c r="E459" s="21" t="s">
        <v>5912</v>
      </c>
      <c r="F459" s="23" t="str">
        <f t="shared" si="28"/>
        <v>insert into ins_premium_det (premium_rcv_code,assorted_code, rec_amount,premium_rcv_detail_code,remaining_amt, payrec, mode_code,coinsurance_code,class_cd,it_remarks) values</v>
      </c>
      <c r="G459" s="24" t="str">
        <f t="shared" si="30"/>
        <v>('29Apr250042','050000734034','2237',(select max(to_number(i.premium_rcv_detail_code))+1
from ins_premium_det i),'2237','2237','02', '11000003','00','Request by Mr. Omair Ali 30-Apr-2025');</v>
      </c>
      <c r="H459" s="25" t="str">
        <f t="shared" si="31"/>
        <v>insert into ins_premium_det (premium_rcv_code,assorted_code, rec_amount,premium_rcv_detail_code,remaining_amt, payrec, mode_code,coinsurance_code,class_cd,it_remarks) values('29Apr250042','050000734034','2237',(select max(to_number(i.premium_rcv_detail_code))+1
from ins_premium_det i),'2237','2237','02', '11000003','00','Request by Mr. Omair Ali 30-Apr-2025');</v>
      </c>
    </row>
    <row r="460" spans="1:8" ht="105" x14ac:dyDescent="0.25">
      <c r="A460" t="s">
        <v>324</v>
      </c>
      <c r="B460" s="1" t="str">
        <f>VLOOKUP(A460,Sheet5!B:C,2,0)</f>
        <v>050000734035</v>
      </c>
      <c r="C460" s="13">
        <v>4101</v>
      </c>
      <c r="D460" s="22">
        <f t="shared" si="29"/>
        <v>4101</v>
      </c>
      <c r="E460" s="21" t="s">
        <v>5912</v>
      </c>
      <c r="F460" s="23" t="str">
        <f t="shared" si="28"/>
        <v>insert into ins_premium_det (premium_rcv_code,assorted_code, rec_amount,premium_rcv_detail_code,remaining_amt, payrec, mode_code,coinsurance_code,class_cd,it_remarks) values</v>
      </c>
      <c r="G460" s="24" t="str">
        <f t="shared" si="30"/>
        <v>('29Apr250042','050000734035','4101',(select max(to_number(i.premium_rcv_detail_code))+1
from ins_premium_det i),'4101','4101','02', '11000003','00','Request by Mr. Omair Ali 30-Apr-2025');</v>
      </c>
      <c r="H460" s="25" t="str">
        <f t="shared" si="31"/>
        <v>insert into ins_premium_det (premium_rcv_code,assorted_code, rec_amount,premium_rcv_detail_code,remaining_amt, payrec, mode_code,coinsurance_code,class_cd,it_remarks) values('29Apr250042','050000734035','4101',(select max(to_number(i.premium_rcv_detail_code))+1
from ins_premium_det i),'4101','4101','02', '11000003','00','Request by Mr. Omair Ali 30-Apr-2025');</v>
      </c>
    </row>
    <row r="461" spans="1:8" ht="105" x14ac:dyDescent="0.25">
      <c r="A461" t="s">
        <v>329</v>
      </c>
      <c r="B461" s="1" t="str">
        <f>VLOOKUP(A461,Sheet5!B:C,2,0)</f>
        <v>050000734037</v>
      </c>
      <c r="C461" s="13">
        <v>88</v>
      </c>
      <c r="D461" s="22">
        <f t="shared" si="29"/>
        <v>88</v>
      </c>
      <c r="E461" s="21" t="s">
        <v>5912</v>
      </c>
      <c r="F461" s="23" t="str">
        <f t="shared" si="28"/>
        <v>insert into ins_premium_det (premium_rcv_code,assorted_code, rec_amount,premium_rcv_detail_code,remaining_amt, payrec, mode_code,coinsurance_code,class_cd,it_remarks) values</v>
      </c>
      <c r="G461" s="24" t="str">
        <f t="shared" si="30"/>
        <v>('29Apr250042','050000734037','88',(select max(to_number(i.premium_rcv_detail_code))+1
from ins_premium_det i),'88','88','02', '11000003','00','Request by Mr. Omair Ali 30-Apr-2025');</v>
      </c>
      <c r="H461" s="25" t="str">
        <f t="shared" si="31"/>
        <v>insert into ins_premium_det (premium_rcv_code,assorted_code, rec_amount,premium_rcv_detail_code,remaining_amt, payrec, mode_code,coinsurance_code,class_cd,it_remarks) values('29Apr250042','050000734037','88',(select max(to_number(i.premium_rcv_detail_code))+1
from ins_premium_det i),'88','88','02', '11000003','00','Request by Mr. Omair Ali 30-Apr-2025');</v>
      </c>
    </row>
    <row r="462" spans="1:8" ht="105" x14ac:dyDescent="0.25">
      <c r="A462" t="s">
        <v>342</v>
      </c>
      <c r="B462" s="1" t="str">
        <f>VLOOKUP(A462,Sheet5!B:C,2,0)</f>
        <v>050000734038</v>
      </c>
      <c r="C462" s="13">
        <v>795</v>
      </c>
      <c r="D462" s="22">
        <f t="shared" si="29"/>
        <v>795</v>
      </c>
      <c r="E462" s="21" t="s">
        <v>5912</v>
      </c>
      <c r="F462" s="23" t="str">
        <f t="shared" si="28"/>
        <v>insert into ins_premium_det (premium_rcv_code,assorted_code, rec_amount,premium_rcv_detail_code,remaining_amt, payrec, mode_code,coinsurance_code,class_cd,it_remarks) values</v>
      </c>
      <c r="G462" s="24" t="str">
        <f t="shared" si="30"/>
        <v>('29Apr250042','050000734038','795',(select max(to_number(i.premium_rcv_detail_code))+1
from ins_premium_det i),'795','795','02', '11000003','00','Request by Mr. Omair Ali 30-Apr-2025');</v>
      </c>
      <c r="H462" s="25" t="str">
        <f t="shared" si="31"/>
        <v>insert into ins_premium_det (premium_rcv_code,assorted_code, rec_amount,premium_rcv_detail_code,remaining_amt, payrec, mode_code,coinsurance_code,class_cd,it_remarks) values('29Apr250042','050000734038','795',(select max(to_number(i.premium_rcv_detail_code))+1
from ins_premium_det i),'795','795','02', '11000003','00','Request by Mr. Omair Ali 30-Apr-2025');</v>
      </c>
    </row>
    <row r="463" spans="1:8" ht="105" x14ac:dyDescent="0.25">
      <c r="A463" t="s">
        <v>502</v>
      </c>
      <c r="B463" s="1" t="str">
        <f>VLOOKUP(A463,Sheet5!B:C,2,0)</f>
        <v>050000734041</v>
      </c>
      <c r="C463" s="13">
        <v>2153</v>
      </c>
      <c r="D463" s="22">
        <f t="shared" si="29"/>
        <v>2153</v>
      </c>
      <c r="E463" s="21" t="s">
        <v>5912</v>
      </c>
      <c r="F463" s="23" t="str">
        <f t="shared" si="28"/>
        <v>insert into ins_premium_det (premium_rcv_code,assorted_code, rec_amount,premium_rcv_detail_code,remaining_amt, payrec, mode_code,coinsurance_code,class_cd,it_remarks) values</v>
      </c>
      <c r="G463" s="24" t="str">
        <f t="shared" si="30"/>
        <v>('29Apr250042','050000734041','2153',(select max(to_number(i.premium_rcv_detail_code))+1
from ins_premium_det i),'2153','2153','02', '11000003','00','Request by Mr. Omair Ali 30-Apr-2025');</v>
      </c>
      <c r="H463" s="25" t="str">
        <f t="shared" si="31"/>
        <v>insert into ins_premium_det (premium_rcv_code,assorted_code, rec_amount,premium_rcv_detail_code,remaining_amt, payrec, mode_code,coinsurance_code,class_cd,it_remarks) values('29Apr250042','050000734041','2153',(select max(to_number(i.premium_rcv_detail_code))+1
from ins_premium_det i),'2153','2153','02', '11000003','00','Request by Mr. Omair Ali 30-Apr-2025');</v>
      </c>
    </row>
    <row r="464" spans="1:8" ht="105" x14ac:dyDescent="0.25">
      <c r="A464" t="s">
        <v>512</v>
      </c>
      <c r="B464" s="1" t="str">
        <f>VLOOKUP(A464,Sheet5!B:C,2,0)</f>
        <v>050000734042</v>
      </c>
      <c r="C464" s="13">
        <v>5616</v>
      </c>
      <c r="D464" s="22">
        <f t="shared" si="29"/>
        <v>5616</v>
      </c>
      <c r="E464" s="21" t="s">
        <v>5912</v>
      </c>
      <c r="F464" s="23" t="str">
        <f t="shared" si="28"/>
        <v>insert into ins_premium_det (premium_rcv_code,assorted_code, rec_amount,premium_rcv_detail_code,remaining_amt, payrec, mode_code,coinsurance_code,class_cd,it_remarks) values</v>
      </c>
      <c r="G464" s="24" t="str">
        <f t="shared" si="30"/>
        <v>('29Apr250042','050000734042','5616',(select max(to_number(i.premium_rcv_detail_code))+1
from ins_premium_det i),'5616','5616','02', '11000003','00','Request by Mr. Omair Ali 30-Apr-2025');</v>
      </c>
      <c r="H464" s="25" t="str">
        <f t="shared" si="31"/>
        <v>insert into ins_premium_det (premium_rcv_code,assorted_code, rec_amount,premium_rcv_detail_code,remaining_amt, payrec, mode_code,coinsurance_code,class_cd,it_remarks) values('29Apr250042','050000734042','5616',(select max(to_number(i.premium_rcv_detail_code))+1
from ins_premium_det i),'5616','5616','02', '11000003','00','Request by Mr. Omair Ali 30-Apr-2025');</v>
      </c>
    </row>
    <row r="465" spans="1:8" ht="105" x14ac:dyDescent="0.25">
      <c r="A465" t="s">
        <v>556</v>
      </c>
      <c r="B465" s="1" t="str">
        <f>VLOOKUP(A465,Sheet5!B:C,2,0)</f>
        <v>050000734043</v>
      </c>
      <c r="C465" s="13">
        <v>4159</v>
      </c>
      <c r="D465" s="22">
        <f t="shared" si="29"/>
        <v>4159</v>
      </c>
      <c r="E465" s="21" t="s">
        <v>5912</v>
      </c>
      <c r="F465" s="23" t="str">
        <f t="shared" si="28"/>
        <v>insert into ins_premium_det (premium_rcv_code,assorted_code, rec_amount,premium_rcv_detail_code,remaining_amt, payrec, mode_code,coinsurance_code,class_cd,it_remarks) values</v>
      </c>
      <c r="G465" s="24" t="str">
        <f t="shared" si="30"/>
        <v>('29Apr250042','050000734043','4159',(select max(to_number(i.premium_rcv_detail_code))+1
from ins_premium_det i),'4159','4159','02', '11000003','00','Request by Mr. Omair Ali 30-Apr-2025');</v>
      </c>
      <c r="H465" s="25" t="str">
        <f t="shared" si="31"/>
        <v>insert into ins_premium_det (premium_rcv_code,assorted_code, rec_amount,premium_rcv_detail_code,remaining_amt, payrec, mode_code,coinsurance_code,class_cd,it_remarks) values('29Apr250042','050000734043','4159',(select max(to_number(i.premium_rcv_detail_code))+1
from ins_premium_det i),'4159','4159','02', '11000003','00','Request by Mr. Omair Ali 30-Apr-2025');</v>
      </c>
    </row>
    <row r="466" spans="1:8" ht="105" x14ac:dyDescent="0.25">
      <c r="A466" t="s">
        <v>789</v>
      </c>
      <c r="B466" s="1" t="str">
        <f>VLOOKUP(A466,Sheet5!B:C,2,0)</f>
        <v>050000734052</v>
      </c>
      <c r="C466" s="13">
        <v>3937</v>
      </c>
      <c r="D466" s="22">
        <f t="shared" si="29"/>
        <v>3937</v>
      </c>
      <c r="E466" s="21" t="s">
        <v>5912</v>
      </c>
      <c r="F466" s="23" t="str">
        <f t="shared" si="28"/>
        <v>insert into ins_premium_det (premium_rcv_code,assorted_code, rec_amount,premium_rcv_detail_code,remaining_amt, payrec, mode_code,coinsurance_code,class_cd,it_remarks) values</v>
      </c>
      <c r="G466" s="24" t="str">
        <f t="shared" si="30"/>
        <v>('29Apr250042','050000734052','3937',(select max(to_number(i.premium_rcv_detail_code))+1
from ins_premium_det i),'3937','3937','02', '11000003','00','Request by Mr. Omair Ali 30-Apr-2025');</v>
      </c>
      <c r="H466" s="25" t="str">
        <f t="shared" si="31"/>
        <v>insert into ins_premium_det (premium_rcv_code,assorted_code, rec_amount,premium_rcv_detail_code,remaining_amt, payrec, mode_code,coinsurance_code,class_cd,it_remarks) values('29Apr250042','050000734052','3937',(select max(to_number(i.premium_rcv_detail_code))+1
from ins_premium_det i),'3937','3937','02', '11000003','00','Request by Mr. Omair Ali 30-Apr-2025');</v>
      </c>
    </row>
    <row r="467" spans="1:8" ht="105" x14ac:dyDescent="0.25">
      <c r="A467" t="s">
        <v>805</v>
      </c>
      <c r="B467" s="1" t="str">
        <f>VLOOKUP(A467,Sheet5!B:C,2,0)</f>
        <v>050000734053</v>
      </c>
      <c r="C467" s="13">
        <v>17878</v>
      </c>
      <c r="D467" s="22">
        <f t="shared" si="29"/>
        <v>17878</v>
      </c>
      <c r="E467" s="21" t="s">
        <v>5912</v>
      </c>
      <c r="F467" s="23" t="str">
        <f t="shared" si="28"/>
        <v>insert into ins_premium_det (premium_rcv_code,assorted_code, rec_amount,premium_rcv_detail_code,remaining_amt, payrec, mode_code,coinsurance_code,class_cd,it_remarks) values</v>
      </c>
      <c r="G467" s="24" t="str">
        <f t="shared" si="30"/>
        <v>('29Apr250042','050000734053','17878',(select max(to_number(i.premium_rcv_detail_code))+1
from ins_premium_det i),'17878','17878','02', '11000003','00','Request by Mr. Omair Ali 30-Apr-2025');</v>
      </c>
      <c r="H467" s="25" t="str">
        <f t="shared" si="31"/>
        <v>insert into ins_premium_det (premium_rcv_code,assorted_code, rec_amount,premium_rcv_detail_code,remaining_amt, payrec, mode_code,coinsurance_code,class_cd,it_remarks) values('29Apr250042','050000734053','17878',(select max(to_number(i.premium_rcv_detail_code))+1
from ins_premium_det i),'17878','17878','02', '11000003','00','Request by Mr. Omair Ali 30-Apr-2025');</v>
      </c>
    </row>
    <row r="468" spans="1:8" ht="105" x14ac:dyDescent="0.25">
      <c r="A468" t="s">
        <v>968</v>
      </c>
      <c r="B468" s="1" t="str">
        <f>VLOOKUP(A468,Sheet5!B:C,2,0)</f>
        <v>050000734058</v>
      </c>
      <c r="C468" s="13">
        <v>2128</v>
      </c>
      <c r="D468" s="22">
        <f t="shared" si="29"/>
        <v>2128</v>
      </c>
      <c r="E468" s="21" t="s">
        <v>5912</v>
      </c>
      <c r="F468" s="23" t="str">
        <f t="shared" si="28"/>
        <v>insert into ins_premium_det (premium_rcv_code,assorted_code, rec_amount,premium_rcv_detail_code,remaining_amt, payrec, mode_code,coinsurance_code,class_cd,it_remarks) values</v>
      </c>
      <c r="G468" s="24" t="str">
        <f t="shared" si="30"/>
        <v>('29Apr250042','050000734058','2128',(select max(to_number(i.premium_rcv_detail_code))+1
from ins_premium_det i),'2128','2128','02', '11000003','00','Request by Mr. Omair Ali 30-Apr-2025');</v>
      </c>
      <c r="H468" s="25" t="str">
        <f t="shared" si="31"/>
        <v>insert into ins_premium_det (premium_rcv_code,assorted_code, rec_amount,premium_rcv_detail_code,remaining_amt, payrec, mode_code,coinsurance_code,class_cd,it_remarks) values('29Apr250042','050000734058','2128',(select max(to_number(i.premium_rcv_detail_code))+1
from ins_premium_det i),'2128','2128','02', '11000003','00','Request by Mr. Omair Ali 30-Apr-2025');</v>
      </c>
    </row>
    <row r="469" spans="1:8" ht="105" x14ac:dyDescent="0.25">
      <c r="A469" t="s">
        <v>1064</v>
      </c>
      <c r="B469" s="1" t="str">
        <f>VLOOKUP(A469,Sheet5!B:C,2,0)</f>
        <v>050000734061</v>
      </c>
      <c r="C469" s="13">
        <v>6836</v>
      </c>
      <c r="D469" s="22">
        <f t="shared" si="29"/>
        <v>6836</v>
      </c>
      <c r="E469" s="21" t="s">
        <v>5912</v>
      </c>
      <c r="F469" s="23" t="str">
        <f t="shared" si="28"/>
        <v>insert into ins_premium_det (premium_rcv_code,assorted_code, rec_amount,premium_rcv_detail_code,remaining_amt, payrec, mode_code,coinsurance_code,class_cd,it_remarks) values</v>
      </c>
      <c r="G469" s="24" t="str">
        <f t="shared" si="30"/>
        <v>('29Apr250042','050000734061','6836',(select max(to_number(i.premium_rcv_detail_code))+1
from ins_premium_det i),'6836','6836','02', '11000003','00','Request by Mr. Omair Ali 30-Apr-2025');</v>
      </c>
      <c r="H469" s="25" t="str">
        <f t="shared" si="31"/>
        <v>insert into ins_premium_det (premium_rcv_code,assorted_code, rec_amount,premium_rcv_detail_code,remaining_amt, payrec, mode_code,coinsurance_code,class_cd,it_remarks) values('29Apr250042','050000734061','6836',(select max(to_number(i.premium_rcv_detail_code))+1
from ins_premium_det i),'6836','6836','02', '11000003','00','Request by Mr. Omair Ali 30-Apr-2025');</v>
      </c>
    </row>
    <row r="470" spans="1:8" ht="105" x14ac:dyDescent="0.25">
      <c r="A470" t="s">
        <v>1431</v>
      </c>
      <c r="B470" s="1" t="str">
        <f>VLOOKUP(A470,Sheet5!B:C,2,0)</f>
        <v>050000734135</v>
      </c>
      <c r="C470" s="13">
        <v>1600</v>
      </c>
      <c r="D470" s="22">
        <f t="shared" si="29"/>
        <v>1600</v>
      </c>
      <c r="E470" s="21" t="s">
        <v>5912</v>
      </c>
      <c r="F470" s="23" t="str">
        <f t="shared" si="28"/>
        <v>insert into ins_premium_det (premium_rcv_code,assorted_code, rec_amount,premium_rcv_detail_code,remaining_amt, payrec, mode_code,coinsurance_code,class_cd,it_remarks) values</v>
      </c>
      <c r="G470" s="24" t="str">
        <f t="shared" si="30"/>
        <v>('29Apr250042','050000734135','1600',(select max(to_number(i.premium_rcv_detail_code))+1
from ins_premium_det i),'1600','1600','02', '11000003','00','Request by Mr. Omair Ali 30-Apr-2025');</v>
      </c>
      <c r="H470" s="25" t="str">
        <f t="shared" si="31"/>
        <v>insert into ins_premium_det (premium_rcv_code,assorted_code, rec_amount,premium_rcv_detail_code,remaining_amt, payrec, mode_code,coinsurance_code,class_cd,it_remarks) values('29Apr250042','050000734135','1600',(select max(to_number(i.premium_rcv_detail_code))+1
from ins_premium_det i),'1600','1600','02', '11000003','00','Request by Mr. Omair Ali 30-Apr-2025');</v>
      </c>
    </row>
    <row r="471" spans="1:8" ht="105" x14ac:dyDescent="0.25">
      <c r="A471" t="s">
        <v>589</v>
      </c>
      <c r="B471" s="1" t="str">
        <f>VLOOKUP(A471,Sheet5!B:C,2,0)</f>
        <v>050000734169</v>
      </c>
      <c r="C471" s="13">
        <v>3362</v>
      </c>
      <c r="D471" s="22">
        <f t="shared" si="29"/>
        <v>3362</v>
      </c>
      <c r="E471" s="21" t="s">
        <v>5912</v>
      </c>
      <c r="F471" s="23" t="str">
        <f t="shared" si="28"/>
        <v>insert into ins_premium_det (premium_rcv_code,assorted_code, rec_amount,premium_rcv_detail_code,remaining_amt, payrec, mode_code,coinsurance_code,class_cd,it_remarks) values</v>
      </c>
      <c r="G471" s="24" t="str">
        <f t="shared" si="30"/>
        <v>('29Apr250042','050000734169','3362',(select max(to_number(i.premium_rcv_detail_code))+1
from ins_premium_det i),'3362','3362','02', '11000003','00','Request by Mr. Omair Ali 30-Apr-2025');</v>
      </c>
      <c r="H471" s="25" t="str">
        <f t="shared" si="31"/>
        <v>insert into ins_premium_det (premium_rcv_code,assorted_code, rec_amount,premium_rcv_detail_code,remaining_amt, payrec, mode_code,coinsurance_code,class_cd,it_remarks) values('29Apr250042','050000734169','3362',(select max(to_number(i.premium_rcv_detail_code))+1
from ins_premium_det i),'3362','3362','02', '11000003','00','Request by Mr. Omair Ali 30-Apr-2025');</v>
      </c>
    </row>
    <row r="472" spans="1:8" ht="105" x14ac:dyDescent="0.25">
      <c r="A472" t="s">
        <v>1289</v>
      </c>
      <c r="B472" s="1" t="str">
        <f>VLOOKUP(A472,Sheet5!B:C,2,0)</f>
        <v>050000734177</v>
      </c>
      <c r="C472" s="13">
        <v>1071</v>
      </c>
      <c r="D472" s="22">
        <f t="shared" si="29"/>
        <v>1071</v>
      </c>
      <c r="E472" s="21" t="s">
        <v>5912</v>
      </c>
      <c r="F472" s="23" t="str">
        <f t="shared" si="28"/>
        <v>insert into ins_premium_det (premium_rcv_code,assorted_code, rec_amount,premium_rcv_detail_code,remaining_amt, payrec, mode_code,coinsurance_code,class_cd,it_remarks) values</v>
      </c>
      <c r="G472" s="24" t="str">
        <f t="shared" si="30"/>
        <v>('29Apr250042','050000734177','1071',(select max(to_number(i.premium_rcv_detail_code))+1
from ins_premium_det i),'1071','1071','02', '11000003','00','Request by Mr. Omair Ali 30-Apr-2025');</v>
      </c>
      <c r="H472" s="25" t="str">
        <f t="shared" si="31"/>
        <v>insert into ins_premium_det (premium_rcv_code,assorted_code, rec_amount,premium_rcv_detail_code,remaining_amt, payrec, mode_code,coinsurance_code,class_cd,it_remarks) values('29Apr250042','050000734177','1071',(select max(to_number(i.premium_rcv_detail_code))+1
from ins_premium_det i),'1071','1071','02', '11000003','00','Request by Mr. Omair Ali 30-Apr-2025');</v>
      </c>
    </row>
    <row r="473" spans="1:8" ht="105" x14ac:dyDescent="0.25">
      <c r="A473" t="s">
        <v>203</v>
      </c>
      <c r="B473" s="1" t="str">
        <f>VLOOKUP(A473,Sheet5!B:C,2,0)</f>
        <v>050000734186</v>
      </c>
      <c r="C473" s="13">
        <v>3915</v>
      </c>
      <c r="D473" s="22">
        <f t="shared" si="29"/>
        <v>3915</v>
      </c>
      <c r="E473" s="21" t="s">
        <v>5912</v>
      </c>
      <c r="F473" s="23" t="str">
        <f t="shared" si="28"/>
        <v>insert into ins_premium_det (premium_rcv_code,assorted_code, rec_amount,premium_rcv_detail_code,remaining_amt, payrec, mode_code,coinsurance_code,class_cd,it_remarks) values</v>
      </c>
      <c r="G473" s="24" t="str">
        <f t="shared" si="30"/>
        <v>('29Apr250042','050000734186','3915',(select max(to_number(i.premium_rcv_detail_code))+1
from ins_premium_det i),'3915','3915','02', '11000003','00','Request by Mr. Omair Ali 30-Apr-2025');</v>
      </c>
      <c r="H473" s="25" t="str">
        <f t="shared" si="31"/>
        <v>insert into ins_premium_det (premium_rcv_code,assorted_code, rec_amount,premium_rcv_detail_code,remaining_amt, payrec, mode_code,coinsurance_code,class_cd,it_remarks) values('29Apr250042','050000734186','3915',(select max(to_number(i.premium_rcv_detail_code))+1
from ins_premium_det i),'3915','3915','02', '11000003','00','Request by Mr. Omair Ali 30-Apr-2025');</v>
      </c>
    </row>
    <row r="474" spans="1:8" ht="105" x14ac:dyDescent="0.25">
      <c r="A474" t="s">
        <v>337</v>
      </c>
      <c r="B474" s="1" t="str">
        <f>VLOOKUP(A474,Sheet5!B:C,2,0)</f>
        <v>050000734194</v>
      </c>
      <c r="C474" s="13">
        <v>989</v>
      </c>
      <c r="D474" s="22">
        <f t="shared" si="29"/>
        <v>989</v>
      </c>
      <c r="E474" s="21" t="s">
        <v>5912</v>
      </c>
      <c r="F474" s="23" t="str">
        <f t="shared" si="28"/>
        <v>insert into ins_premium_det (premium_rcv_code,assorted_code, rec_amount,premium_rcv_detail_code,remaining_amt, payrec, mode_code,coinsurance_code,class_cd,it_remarks) values</v>
      </c>
      <c r="G474" s="24" t="str">
        <f t="shared" si="30"/>
        <v>('29Apr250042','050000734194','989',(select max(to_number(i.premium_rcv_detail_code))+1
from ins_premium_det i),'989','989','02', '11000003','00','Request by Mr. Omair Ali 30-Apr-2025');</v>
      </c>
      <c r="H474" s="25" t="str">
        <f t="shared" si="31"/>
        <v>insert into ins_premium_det (premium_rcv_code,assorted_code, rec_amount,premium_rcv_detail_code,remaining_amt, payrec, mode_code,coinsurance_code,class_cd,it_remarks) values('29Apr250042','050000734194','989',(select max(to_number(i.premium_rcv_detail_code))+1
from ins_premium_det i),'989','989','02', '11000003','00','Request by Mr. Omair Ali 30-Apr-2025');</v>
      </c>
    </row>
    <row r="475" spans="1:8" ht="105" x14ac:dyDescent="0.25">
      <c r="A475" t="s">
        <v>446</v>
      </c>
      <c r="B475" s="1" t="str">
        <f>VLOOKUP(A475,Sheet5!B:C,2,0)</f>
        <v>050000734203</v>
      </c>
      <c r="C475" s="13">
        <v>4600</v>
      </c>
      <c r="D475" s="22">
        <f t="shared" si="29"/>
        <v>4600</v>
      </c>
      <c r="E475" s="21" t="s">
        <v>5912</v>
      </c>
      <c r="F475" s="23" t="str">
        <f t="shared" si="28"/>
        <v>insert into ins_premium_det (premium_rcv_code,assorted_code, rec_amount,premium_rcv_detail_code,remaining_amt, payrec, mode_code,coinsurance_code,class_cd,it_remarks) values</v>
      </c>
      <c r="G475" s="24" t="str">
        <f t="shared" si="30"/>
        <v>('29Apr250042','050000734203','4600',(select max(to_number(i.premium_rcv_detail_code))+1
from ins_premium_det i),'4600','4600','02', '11000003','00','Request by Mr. Omair Ali 30-Apr-2025');</v>
      </c>
      <c r="H475" s="25" t="str">
        <f t="shared" si="31"/>
        <v>insert into ins_premium_det (premium_rcv_code,assorted_code, rec_amount,premium_rcv_detail_code,remaining_amt, payrec, mode_code,coinsurance_code,class_cd,it_remarks) values('29Apr250042','050000734203','4600',(select max(to_number(i.premium_rcv_detail_code))+1
from ins_premium_det i),'4600','4600','02', '11000003','00','Request by Mr. Omair Ali 30-Apr-2025');</v>
      </c>
    </row>
    <row r="476" spans="1:8" ht="105" x14ac:dyDescent="0.25">
      <c r="A476" t="s">
        <v>525</v>
      </c>
      <c r="B476" s="1" t="str">
        <f>VLOOKUP(A476,Sheet5!B:C,2,0)</f>
        <v>050000734207</v>
      </c>
      <c r="C476" s="13">
        <v>3</v>
      </c>
      <c r="D476" s="22">
        <f t="shared" si="29"/>
        <v>3</v>
      </c>
      <c r="E476" s="21" t="s">
        <v>5912</v>
      </c>
      <c r="F476" s="23" t="str">
        <f t="shared" si="28"/>
        <v>insert into ins_premium_det (premium_rcv_code,assorted_code, rec_amount,premium_rcv_detail_code,remaining_amt, payrec, mode_code,coinsurance_code,class_cd,it_remarks) values</v>
      </c>
      <c r="G476" s="24" t="str">
        <f t="shared" si="30"/>
        <v>('29Apr250042','050000734207','3',(select max(to_number(i.premium_rcv_detail_code))+1
from ins_premium_det i),'3','3','02', '11000003','00','Request by Mr. Omair Ali 30-Apr-2025');</v>
      </c>
      <c r="H476" s="25" t="str">
        <f t="shared" si="31"/>
        <v>insert into ins_premium_det (premium_rcv_code,assorted_code, rec_amount,premium_rcv_detail_code,remaining_amt, payrec, mode_code,coinsurance_code,class_cd,it_remarks) values('29Apr250042','050000734207','3',(select max(to_number(i.premium_rcv_detail_code))+1
from ins_premium_det i),'3','3','02', '11000003','00','Request by Mr. Omair Ali 30-Apr-2025');</v>
      </c>
    </row>
    <row r="477" spans="1:8" ht="105" x14ac:dyDescent="0.25">
      <c r="A477" t="s">
        <v>531</v>
      </c>
      <c r="B477" s="1" t="str">
        <f>VLOOKUP(A477,Sheet5!B:C,2,0)</f>
        <v>050000734208</v>
      </c>
      <c r="C477" s="13">
        <v>198</v>
      </c>
      <c r="D477" s="22">
        <f t="shared" si="29"/>
        <v>198</v>
      </c>
      <c r="E477" s="21" t="s">
        <v>5912</v>
      </c>
      <c r="F477" s="23" t="str">
        <f t="shared" si="28"/>
        <v>insert into ins_premium_det (premium_rcv_code,assorted_code, rec_amount,premium_rcv_detail_code,remaining_amt, payrec, mode_code,coinsurance_code,class_cd,it_remarks) values</v>
      </c>
      <c r="G477" s="24" t="str">
        <f t="shared" si="30"/>
        <v>('29Apr250042','050000734208','198',(select max(to_number(i.premium_rcv_detail_code))+1
from ins_premium_det i),'198','198','02', '11000003','00','Request by Mr. Omair Ali 30-Apr-2025');</v>
      </c>
      <c r="H477" s="25" t="str">
        <f t="shared" si="31"/>
        <v>insert into ins_premium_det (premium_rcv_code,assorted_code, rec_amount,premium_rcv_detail_code,remaining_amt, payrec, mode_code,coinsurance_code,class_cd,it_remarks) values('29Apr250042','050000734208','198',(select max(to_number(i.premium_rcv_detail_code))+1
from ins_premium_det i),'198','198','02', '11000003','00','Request by Mr. Omair Ali 30-Apr-2025');</v>
      </c>
    </row>
    <row r="478" spans="1:8" ht="105" x14ac:dyDescent="0.25">
      <c r="A478" t="s">
        <v>630</v>
      </c>
      <c r="B478" s="1" t="str">
        <f>VLOOKUP(A478,Sheet5!B:C,2,0)</f>
        <v>050000734211</v>
      </c>
      <c r="C478" s="13">
        <v>3823</v>
      </c>
      <c r="D478" s="22">
        <f t="shared" si="29"/>
        <v>3823</v>
      </c>
      <c r="E478" s="21" t="s">
        <v>5912</v>
      </c>
      <c r="F478" s="23" t="str">
        <f t="shared" si="28"/>
        <v>insert into ins_premium_det (premium_rcv_code,assorted_code, rec_amount,premium_rcv_detail_code,remaining_amt, payrec, mode_code,coinsurance_code,class_cd,it_remarks) values</v>
      </c>
      <c r="G478" s="24" t="str">
        <f t="shared" si="30"/>
        <v>('29Apr250042','050000734211','3823',(select max(to_number(i.premium_rcv_detail_code))+1
from ins_premium_det i),'3823','3823','02', '11000003','00','Request by Mr. Omair Ali 30-Apr-2025');</v>
      </c>
      <c r="H478" s="25" t="str">
        <f t="shared" si="31"/>
        <v>insert into ins_premium_det (premium_rcv_code,assorted_code, rec_amount,premium_rcv_detail_code,remaining_amt, payrec, mode_code,coinsurance_code,class_cd,it_remarks) values('29Apr250042','050000734211','3823',(select max(to_number(i.premium_rcv_detail_code))+1
from ins_premium_det i),'3823','3823','02', '11000003','00','Request by Mr. Omair Ali 30-Apr-2025');</v>
      </c>
    </row>
    <row r="479" spans="1:8" ht="105" x14ac:dyDescent="0.25">
      <c r="A479" t="s">
        <v>647</v>
      </c>
      <c r="B479" s="1" t="str">
        <f>VLOOKUP(A479,Sheet5!B:C,2,0)</f>
        <v>050000734213</v>
      </c>
      <c r="C479" s="13">
        <v>1066</v>
      </c>
      <c r="D479" s="22">
        <f t="shared" si="29"/>
        <v>1066</v>
      </c>
      <c r="E479" s="21" t="s">
        <v>5912</v>
      </c>
      <c r="F479" s="23" t="str">
        <f t="shared" si="28"/>
        <v>insert into ins_premium_det (premium_rcv_code,assorted_code, rec_amount,premium_rcv_detail_code,remaining_amt, payrec, mode_code,coinsurance_code,class_cd,it_remarks) values</v>
      </c>
      <c r="G479" s="24" t="str">
        <f t="shared" si="30"/>
        <v>('29Apr250042','050000734213','1066',(select max(to_number(i.premium_rcv_detail_code))+1
from ins_premium_det i),'1066','1066','02', '11000003','00','Request by Mr. Omair Ali 30-Apr-2025');</v>
      </c>
      <c r="H479" s="25" t="str">
        <f t="shared" si="31"/>
        <v>insert into ins_premium_det (premium_rcv_code,assorted_code, rec_amount,premium_rcv_detail_code,remaining_amt, payrec, mode_code,coinsurance_code,class_cd,it_remarks) values('29Apr250042','050000734213','1066',(select max(to_number(i.premium_rcv_detail_code))+1
from ins_premium_det i),'1066','1066','02', '11000003','00','Request by Mr. Omair Ali 30-Apr-2025');</v>
      </c>
    </row>
    <row r="480" spans="1:8" ht="105" x14ac:dyDescent="0.25">
      <c r="A480" t="s">
        <v>821</v>
      </c>
      <c r="B480" s="1" t="str">
        <f>VLOOKUP(A480,Sheet5!B:C,2,0)</f>
        <v>050000734222</v>
      </c>
      <c r="C480" s="13">
        <v>580</v>
      </c>
      <c r="D480" s="22">
        <f t="shared" si="29"/>
        <v>580</v>
      </c>
      <c r="E480" s="21" t="s">
        <v>5912</v>
      </c>
      <c r="F480" s="23" t="str">
        <f t="shared" si="28"/>
        <v>insert into ins_premium_det (premium_rcv_code,assorted_code, rec_amount,premium_rcv_detail_code,remaining_amt, payrec, mode_code,coinsurance_code,class_cd,it_remarks) values</v>
      </c>
      <c r="G480" s="24" t="str">
        <f t="shared" si="30"/>
        <v>('29Apr250042','050000734222','580',(select max(to_number(i.premium_rcv_detail_code))+1
from ins_premium_det i),'580','580','02', '11000003','00','Request by Mr. Omair Ali 30-Apr-2025');</v>
      </c>
      <c r="H480" s="25" t="str">
        <f t="shared" si="31"/>
        <v>insert into ins_premium_det (premium_rcv_code,assorted_code, rec_amount,premium_rcv_detail_code,remaining_amt, payrec, mode_code,coinsurance_code,class_cd,it_remarks) values('29Apr250042','050000734222','580',(select max(to_number(i.premium_rcv_detail_code))+1
from ins_premium_det i),'580','580','02', '11000003','00','Request by Mr. Omair Ali 30-Apr-2025');</v>
      </c>
    </row>
    <row r="481" spans="1:8" ht="105" x14ac:dyDescent="0.25">
      <c r="A481" t="s">
        <v>832</v>
      </c>
      <c r="B481" s="1" t="str">
        <f>VLOOKUP(A481,Sheet5!B:C,2,0)</f>
        <v>050000734225</v>
      </c>
      <c r="C481" s="13">
        <v>4438</v>
      </c>
      <c r="D481" s="22">
        <f t="shared" si="29"/>
        <v>4438</v>
      </c>
      <c r="E481" s="21" t="s">
        <v>5912</v>
      </c>
      <c r="F481" s="23" t="str">
        <f t="shared" si="28"/>
        <v>insert into ins_premium_det (premium_rcv_code,assorted_code, rec_amount,premium_rcv_detail_code,remaining_amt, payrec, mode_code,coinsurance_code,class_cd,it_remarks) values</v>
      </c>
      <c r="G481" s="24" t="str">
        <f t="shared" si="30"/>
        <v>('29Apr250042','050000734225','4438',(select max(to_number(i.premium_rcv_detail_code))+1
from ins_premium_det i),'4438','4438','02', '11000003','00','Request by Mr. Omair Ali 30-Apr-2025');</v>
      </c>
      <c r="H481" s="25" t="str">
        <f t="shared" si="31"/>
        <v>insert into ins_premium_det (premium_rcv_code,assorted_code, rec_amount,premium_rcv_detail_code,remaining_amt, payrec, mode_code,coinsurance_code,class_cd,it_remarks) values('29Apr250042','050000734225','4438',(select max(to_number(i.premium_rcv_detail_code))+1
from ins_premium_det i),'4438','4438','02', '11000003','00','Request by Mr. Omair Ali 30-Apr-2025');</v>
      </c>
    </row>
    <row r="482" spans="1:8" ht="105" x14ac:dyDescent="0.25">
      <c r="A482" t="s">
        <v>940</v>
      </c>
      <c r="B482" s="1" t="str">
        <f>VLOOKUP(A482,Sheet5!B:C,2,0)</f>
        <v>050000734226</v>
      </c>
      <c r="C482" s="13">
        <v>3082</v>
      </c>
      <c r="D482" s="22">
        <f t="shared" si="29"/>
        <v>3082</v>
      </c>
      <c r="E482" s="21" t="s">
        <v>5912</v>
      </c>
      <c r="F482" s="23" t="str">
        <f t="shared" si="28"/>
        <v>insert into ins_premium_det (premium_rcv_code,assorted_code, rec_amount,premium_rcv_detail_code,remaining_amt, payrec, mode_code,coinsurance_code,class_cd,it_remarks) values</v>
      </c>
      <c r="G482" s="24" t="str">
        <f t="shared" si="30"/>
        <v>('29Apr250042','050000734226','3082',(select max(to_number(i.premium_rcv_detail_code))+1
from ins_premium_det i),'3082','3082','02', '11000003','00','Request by Mr. Omair Ali 30-Apr-2025');</v>
      </c>
      <c r="H482" s="25" t="str">
        <f t="shared" si="31"/>
        <v>insert into ins_premium_det (premium_rcv_code,assorted_code, rec_amount,premium_rcv_detail_code,remaining_amt, payrec, mode_code,coinsurance_code,class_cd,it_remarks) values('29Apr250042','050000734226','3082',(select max(to_number(i.premium_rcv_detail_code))+1
from ins_premium_det i),'3082','3082','02', '11000003','00','Request by Mr. Omair Ali 30-Apr-2025');</v>
      </c>
    </row>
    <row r="483" spans="1:8" ht="105" x14ac:dyDescent="0.25">
      <c r="A483" t="s">
        <v>1075</v>
      </c>
      <c r="B483" s="1" t="str">
        <f>VLOOKUP(A483,Sheet5!B:C,2,0)</f>
        <v>050000734238</v>
      </c>
      <c r="C483" s="13">
        <v>8139</v>
      </c>
      <c r="D483" s="22">
        <f t="shared" si="29"/>
        <v>8139</v>
      </c>
      <c r="E483" s="21" t="s">
        <v>5912</v>
      </c>
      <c r="F483" s="23" t="str">
        <f t="shared" si="28"/>
        <v>insert into ins_premium_det (premium_rcv_code,assorted_code, rec_amount,premium_rcv_detail_code,remaining_amt, payrec, mode_code,coinsurance_code,class_cd,it_remarks) values</v>
      </c>
      <c r="G483" s="24" t="str">
        <f t="shared" si="30"/>
        <v>('29Apr250042','050000734238','8139',(select max(to_number(i.premium_rcv_detail_code))+1
from ins_premium_det i),'8139','8139','02', '11000003','00','Request by Mr. Omair Ali 30-Apr-2025');</v>
      </c>
      <c r="H483" s="25" t="str">
        <f t="shared" si="31"/>
        <v>insert into ins_premium_det (premium_rcv_code,assorted_code, rec_amount,premium_rcv_detail_code,remaining_amt, payrec, mode_code,coinsurance_code,class_cd,it_remarks) values('29Apr250042','050000734238','8139',(select max(to_number(i.premium_rcv_detail_code))+1
from ins_premium_det i),'8139','8139','02', '11000003','00','Request by Mr. Omair Ali 30-Apr-2025');</v>
      </c>
    </row>
    <row r="484" spans="1:8" ht="105" x14ac:dyDescent="0.25">
      <c r="A484" t="s">
        <v>1333</v>
      </c>
      <c r="B484" s="1" t="str">
        <f>VLOOKUP(A484,Sheet5!B:C,2,0)</f>
        <v>050000734255</v>
      </c>
      <c r="C484" s="13">
        <v>663</v>
      </c>
      <c r="D484" s="22">
        <f t="shared" si="29"/>
        <v>663</v>
      </c>
      <c r="E484" s="21" t="s">
        <v>5912</v>
      </c>
      <c r="F484" s="23" t="str">
        <f t="shared" si="28"/>
        <v>insert into ins_premium_det (premium_rcv_code,assorted_code, rec_amount,premium_rcv_detail_code,remaining_amt, payrec, mode_code,coinsurance_code,class_cd,it_remarks) values</v>
      </c>
      <c r="G484" s="24" t="str">
        <f t="shared" si="30"/>
        <v>('29Apr250042','050000734255','663',(select max(to_number(i.premium_rcv_detail_code))+1
from ins_premium_det i),'663','663','02', '11000003','00','Request by Mr. Omair Ali 30-Apr-2025');</v>
      </c>
      <c r="H484" s="25" t="str">
        <f t="shared" si="31"/>
        <v>insert into ins_premium_det (premium_rcv_code,assorted_code, rec_amount,premium_rcv_detail_code,remaining_amt, payrec, mode_code,coinsurance_code,class_cd,it_remarks) values('29Apr250042','050000734255','663',(select max(to_number(i.premium_rcv_detail_code))+1
from ins_premium_det i),'663','663','02', '11000003','00','Request by Mr. Omair Ali 30-Apr-2025');</v>
      </c>
    </row>
    <row r="485" spans="1:8" ht="105" x14ac:dyDescent="0.25">
      <c r="A485" t="s">
        <v>1455</v>
      </c>
      <c r="B485" s="1" t="str">
        <f>VLOOKUP(A485,Sheet5!B:C,2,0)</f>
        <v>050000734261</v>
      </c>
      <c r="C485" s="13">
        <v>5872</v>
      </c>
      <c r="D485" s="22">
        <f t="shared" si="29"/>
        <v>5872</v>
      </c>
      <c r="E485" s="21" t="s">
        <v>5912</v>
      </c>
      <c r="F485" s="23" t="str">
        <f t="shared" si="28"/>
        <v>insert into ins_premium_det (premium_rcv_code,assorted_code, rec_amount,premium_rcv_detail_code,remaining_amt, payrec, mode_code,coinsurance_code,class_cd,it_remarks) values</v>
      </c>
      <c r="G485" s="24" t="str">
        <f t="shared" si="30"/>
        <v>('29Apr250042','050000734261','5872',(select max(to_number(i.premium_rcv_detail_code))+1
from ins_premium_det i),'5872','5872','02', '11000003','00','Request by Mr. Omair Ali 30-Apr-2025');</v>
      </c>
      <c r="H485" s="25" t="str">
        <f t="shared" si="31"/>
        <v>insert into ins_premium_det (premium_rcv_code,assorted_code, rec_amount,premium_rcv_detail_code,remaining_amt, payrec, mode_code,coinsurance_code,class_cd,it_remarks) values('29Apr250042','050000734261','5872',(select max(to_number(i.premium_rcv_detail_code))+1
from ins_premium_det i),'5872','5872','02', '11000003','00','Request by Mr. Omair Ali 30-Apr-2025');</v>
      </c>
    </row>
    <row r="486" spans="1:8" ht="105" x14ac:dyDescent="0.25">
      <c r="A486" t="s">
        <v>657</v>
      </c>
      <c r="B486" s="1" t="str">
        <f>VLOOKUP(A486,Sheet5!B:C,2,0)</f>
        <v>050000735368</v>
      </c>
      <c r="C486" s="13">
        <v>2881</v>
      </c>
      <c r="D486" s="22">
        <f t="shared" si="29"/>
        <v>2881</v>
      </c>
      <c r="E486" s="21" t="s">
        <v>5912</v>
      </c>
      <c r="F486" s="23" t="str">
        <f t="shared" si="28"/>
        <v>insert into ins_premium_det (premium_rcv_code,assorted_code, rec_amount,premium_rcv_detail_code,remaining_amt, payrec, mode_code,coinsurance_code,class_cd,it_remarks) values</v>
      </c>
      <c r="G486" s="24" t="str">
        <f t="shared" si="30"/>
        <v>('29Apr250042','050000735368','2881',(select max(to_number(i.premium_rcv_detail_code))+1
from ins_premium_det i),'2881','2881','02', '11000003','00','Request by Mr. Omair Ali 30-Apr-2025');</v>
      </c>
      <c r="H486" s="25" t="str">
        <f t="shared" si="31"/>
        <v>insert into ins_premium_det (premium_rcv_code,assorted_code, rec_amount,premium_rcv_detail_code,remaining_amt, payrec, mode_code,coinsurance_code,class_cd,it_remarks) values('29Apr250042','050000735368','2881',(select max(to_number(i.premium_rcv_detail_code))+1
from ins_premium_det i),'2881','2881','02', '11000003','00','Request by Mr. Omair Ali 30-Apr-2025');</v>
      </c>
    </row>
    <row r="487" spans="1:8" ht="105" x14ac:dyDescent="0.25">
      <c r="A487" t="s">
        <v>702</v>
      </c>
      <c r="B487" s="1" t="str">
        <f>VLOOKUP(A487,Sheet5!B:C,2,0)</f>
        <v>050000735370</v>
      </c>
      <c r="C487" s="13">
        <v>595</v>
      </c>
      <c r="D487" s="22">
        <f t="shared" si="29"/>
        <v>595</v>
      </c>
      <c r="E487" s="21" t="s">
        <v>5912</v>
      </c>
      <c r="F487" s="23" t="str">
        <f t="shared" si="28"/>
        <v>insert into ins_premium_det (premium_rcv_code,assorted_code, rec_amount,premium_rcv_detail_code,remaining_amt, payrec, mode_code,coinsurance_code,class_cd,it_remarks) values</v>
      </c>
      <c r="G487" s="24" t="str">
        <f t="shared" si="30"/>
        <v>('29Apr250042','050000735370','595',(select max(to_number(i.premium_rcv_detail_code))+1
from ins_premium_det i),'595','595','02', '11000003','00','Request by Mr. Omair Ali 30-Apr-2025');</v>
      </c>
      <c r="H487" s="25" t="str">
        <f t="shared" si="31"/>
        <v>insert into ins_premium_det (premium_rcv_code,assorted_code, rec_amount,premium_rcv_detail_code,remaining_amt, payrec, mode_code,coinsurance_code,class_cd,it_remarks) values('29Apr250042','050000735370','595',(select max(to_number(i.premium_rcv_detail_code))+1
from ins_premium_det i),'595','595','02', '11000003','00','Request by Mr. Omair Ali 30-Apr-2025');</v>
      </c>
    </row>
    <row r="488" spans="1:8" ht="105" x14ac:dyDescent="0.25">
      <c r="A488" t="s">
        <v>800</v>
      </c>
      <c r="B488" s="1" t="str">
        <f>VLOOKUP(A488,Sheet5!B:C,2,0)</f>
        <v>050000735382</v>
      </c>
      <c r="C488" s="13">
        <v>-1937</v>
      </c>
      <c r="D488" s="22">
        <f t="shared" si="29"/>
        <v>-1937</v>
      </c>
      <c r="E488" s="21" t="s">
        <v>5912</v>
      </c>
      <c r="F488" s="23" t="str">
        <f t="shared" si="28"/>
        <v>insert into ins_premium_det (premium_rcv_code,assorted_code, rec_amount,premium_rcv_detail_code,remaining_amt, payrec, mode_code,coinsurance_code,class_cd,it_remarks) values</v>
      </c>
      <c r="G488" s="24" t="str">
        <f t="shared" si="30"/>
        <v>('29Apr250042','050000735382','-1937',(select max(to_number(i.premium_rcv_detail_code))+1
from ins_premium_det i),'-1937','-1937','02', '11000003','00','Request by Mr. Omair Ali 30-Apr-2025');</v>
      </c>
      <c r="H488" s="25" t="str">
        <f t="shared" si="31"/>
        <v>insert into ins_premium_det (premium_rcv_code,assorted_code, rec_amount,premium_rcv_detail_code,remaining_amt, payrec, mode_code,coinsurance_code,class_cd,it_remarks) values('29Apr250042','050000735382','-1937',(select max(to_number(i.premium_rcv_detail_code))+1
from ins_premium_det i),'-1937','-1937','02', '11000003','00','Request by Mr. Omair Ali 30-Apr-2025');</v>
      </c>
    </row>
    <row r="489" spans="1:8" ht="105" x14ac:dyDescent="0.25">
      <c r="A489" t="s">
        <v>209</v>
      </c>
      <c r="B489" s="1" t="str">
        <f>VLOOKUP(A489,Sheet5!B:C,2,0)</f>
        <v>050000735418</v>
      </c>
      <c r="C489" s="13">
        <v>537</v>
      </c>
      <c r="D489" s="22">
        <f t="shared" si="29"/>
        <v>537</v>
      </c>
      <c r="E489" s="21" t="s">
        <v>5912</v>
      </c>
      <c r="F489" s="23" t="str">
        <f t="shared" si="28"/>
        <v>insert into ins_premium_det (premium_rcv_code,assorted_code, rec_amount,premium_rcv_detail_code,remaining_amt, payrec, mode_code,coinsurance_code,class_cd,it_remarks) values</v>
      </c>
      <c r="G489" s="24" t="str">
        <f t="shared" si="30"/>
        <v>('29Apr250042','050000735418','537',(select max(to_number(i.premium_rcv_detail_code))+1
from ins_premium_det i),'537','537','02', '11000003','00','Request by Mr. Omair Ali 30-Apr-2025');</v>
      </c>
      <c r="H489" s="25" t="str">
        <f t="shared" si="31"/>
        <v>insert into ins_premium_det (premium_rcv_code,assorted_code, rec_amount,premium_rcv_detail_code,remaining_amt, payrec, mode_code,coinsurance_code,class_cd,it_remarks) values('29Apr250042','050000735418','537',(select max(to_number(i.premium_rcv_detail_code))+1
from ins_premium_det i),'537','537','02', '11000003','00','Request by Mr. Omair Ali 30-Apr-2025');</v>
      </c>
    </row>
    <row r="490" spans="1:8" ht="105" x14ac:dyDescent="0.25">
      <c r="A490" t="s">
        <v>248</v>
      </c>
      <c r="B490" s="1" t="str">
        <f>VLOOKUP(A490,Sheet5!B:C,2,0)</f>
        <v>050000735420</v>
      </c>
      <c r="C490" s="13">
        <v>949</v>
      </c>
      <c r="D490" s="22">
        <f t="shared" si="29"/>
        <v>949</v>
      </c>
      <c r="E490" s="21" t="s">
        <v>5912</v>
      </c>
      <c r="F490" s="23" t="str">
        <f t="shared" si="28"/>
        <v>insert into ins_premium_det (premium_rcv_code,assorted_code, rec_amount,premium_rcv_detail_code,remaining_amt, payrec, mode_code,coinsurance_code,class_cd,it_remarks) values</v>
      </c>
      <c r="G490" s="24" t="str">
        <f t="shared" si="30"/>
        <v>('29Apr250042','050000735420','949',(select max(to_number(i.premium_rcv_detail_code))+1
from ins_premium_det i),'949','949','02', '11000003','00','Request by Mr. Omair Ali 30-Apr-2025');</v>
      </c>
      <c r="H490" s="25" t="str">
        <f t="shared" si="31"/>
        <v>insert into ins_premium_det (premium_rcv_code,assorted_code, rec_amount,premium_rcv_detail_code,remaining_amt, payrec, mode_code,coinsurance_code,class_cd,it_remarks) values('29Apr250042','050000735420','949',(select max(to_number(i.premium_rcv_detail_code))+1
from ins_premium_det i),'949','949','02', '11000003','00','Request by Mr. Omair Ali 30-Apr-2025');</v>
      </c>
    </row>
    <row r="491" spans="1:8" ht="105" x14ac:dyDescent="0.25">
      <c r="A491" t="s">
        <v>353</v>
      </c>
      <c r="B491" s="1" t="str">
        <f>VLOOKUP(A491,Sheet5!B:C,2,0)</f>
        <v>050000735422</v>
      </c>
      <c r="C491" s="13">
        <v>71</v>
      </c>
      <c r="D491" s="22">
        <f t="shared" si="29"/>
        <v>71</v>
      </c>
      <c r="E491" s="21" t="s">
        <v>5912</v>
      </c>
      <c r="F491" s="23" t="str">
        <f t="shared" si="28"/>
        <v>insert into ins_premium_det (premium_rcv_code,assorted_code, rec_amount,premium_rcv_detail_code,remaining_amt, payrec, mode_code,coinsurance_code,class_cd,it_remarks) values</v>
      </c>
      <c r="G491" s="24" t="str">
        <f t="shared" si="30"/>
        <v>('29Apr250042','050000735422','71',(select max(to_number(i.premium_rcv_detail_code))+1
from ins_premium_det i),'71','71','02', '11000003','00','Request by Mr. Omair Ali 30-Apr-2025');</v>
      </c>
      <c r="H491" s="25" t="str">
        <f t="shared" si="31"/>
        <v>insert into ins_premium_det (premium_rcv_code,assorted_code, rec_amount,premium_rcv_detail_code,remaining_amt, payrec, mode_code,coinsurance_code,class_cd,it_remarks) values('29Apr250042','050000735422','71',(select max(to_number(i.premium_rcv_detail_code))+1
from ins_premium_det i),'71','71','02', '11000003','00','Request by Mr. Omair Ali 30-Apr-2025');</v>
      </c>
    </row>
    <row r="492" spans="1:8" ht="105" x14ac:dyDescent="0.25">
      <c r="A492" t="s">
        <v>1121</v>
      </c>
      <c r="B492" s="1" t="str">
        <f>VLOOKUP(A492,Sheet5!B:C,2,0)</f>
        <v>050000735433</v>
      </c>
      <c r="C492" s="13">
        <v>1332</v>
      </c>
      <c r="D492" s="22">
        <f t="shared" si="29"/>
        <v>1332</v>
      </c>
      <c r="E492" s="21" t="s">
        <v>5912</v>
      </c>
      <c r="F492" s="23" t="str">
        <f t="shared" si="28"/>
        <v>insert into ins_premium_det (premium_rcv_code,assorted_code, rec_amount,premium_rcv_detail_code,remaining_amt, payrec, mode_code,coinsurance_code,class_cd,it_remarks) values</v>
      </c>
      <c r="G492" s="24" t="str">
        <f t="shared" si="30"/>
        <v>('29Apr250042','050000735433','1332',(select max(to_number(i.premium_rcv_detail_code))+1
from ins_premium_det i),'1332','1332','02', '11000003','00','Request by Mr. Omair Ali 30-Apr-2025');</v>
      </c>
      <c r="H492" s="25" t="str">
        <f t="shared" si="31"/>
        <v>insert into ins_premium_det (premium_rcv_code,assorted_code, rec_amount,premium_rcv_detail_code,remaining_amt, payrec, mode_code,coinsurance_code,class_cd,it_remarks) values('29Apr250042','050000735433','1332',(select max(to_number(i.premium_rcv_detail_code))+1
from ins_premium_det i),'1332','1332','02', '11000003','00','Request by Mr. Omair Ali 30-Apr-2025');</v>
      </c>
    </row>
    <row r="493" spans="1:8" ht="105" x14ac:dyDescent="0.25">
      <c r="A493" t="s">
        <v>301</v>
      </c>
      <c r="B493" s="1" t="str">
        <f>VLOOKUP(A493,Sheet5!B:C,2,0)</f>
        <v>050000737092</v>
      </c>
      <c r="C493" s="13">
        <v>-52</v>
      </c>
      <c r="D493" s="22">
        <f t="shared" si="29"/>
        <v>-52</v>
      </c>
      <c r="E493" s="21" t="s">
        <v>5912</v>
      </c>
      <c r="F493" s="23" t="str">
        <f t="shared" si="28"/>
        <v>insert into ins_premium_det (premium_rcv_code,assorted_code, rec_amount,premium_rcv_detail_code,remaining_amt, payrec, mode_code,coinsurance_code,class_cd,it_remarks) values</v>
      </c>
      <c r="G493" s="24" t="str">
        <f t="shared" si="30"/>
        <v>('29Apr250042','050000737092','-52',(select max(to_number(i.premium_rcv_detail_code))+1
from ins_premium_det i),'-52','-52','02', '11000003','00','Request by Mr. Omair Ali 30-Apr-2025');</v>
      </c>
      <c r="H493" s="25" t="str">
        <f t="shared" si="31"/>
        <v>insert into ins_premium_det (premium_rcv_code,assorted_code, rec_amount,premium_rcv_detail_code,remaining_amt, payrec, mode_code,coinsurance_code,class_cd,it_remarks) values('29Apr250042','050000737092','-52',(select max(to_number(i.premium_rcv_detail_code))+1
from ins_premium_det i),'-52','-52','02', '11000003','00','Request by Mr. Omair Ali 30-Apr-2025');</v>
      </c>
    </row>
    <row r="494" spans="1:8" ht="105" x14ac:dyDescent="0.25">
      <c r="A494" t="s">
        <v>410</v>
      </c>
      <c r="B494" s="1" t="str">
        <f>VLOOKUP(A494,Sheet5!B:C,2,0)</f>
        <v>050000737098</v>
      </c>
      <c r="C494" s="13">
        <v>-2524</v>
      </c>
      <c r="D494" s="22">
        <f t="shared" si="29"/>
        <v>-2524</v>
      </c>
      <c r="E494" s="21" t="s">
        <v>5912</v>
      </c>
      <c r="F494" s="23" t="str">
        <f t="shared" si="28"/>
        <v>insert into ins_premium_det (premium_rcv_code,assorted_code, rec_amount,premium_rcv_detail_code,remaining_amt, payrec, mode_code,coinsurance_code,class_cd,it_remarks) values</v>
      </c>
      <c r="G494" s="24" t="str">
        <f t="shared" si="30"/>
        <v>('29Apr250042','050000737098','-2524',(select max(to_number(i.premium_rcv_detail_code))+1
from ins_premium_det i),'-2524','-2524','02', '11000003','00','Request by Mr. Omair Ali 30-Apr-2025');</v>
      </c>
      <c r="H494" s="25" t="str">
        <f t="shared" si="31"/>
        <v>insert into ins_premium_det (premium_rcv_code,assorted_code, rec_amount,premium_rcv_detail_code,remaining_amt, payrec, mode_code,coinsurance_code,class_cd,it_remarks) values('29Apr250042','050000737098','-2524',(select max(to_number(i.premium_rcv_detail_code))+1
from ins_premium_det i),'-2524','-2524','02', '11000003','00','Request by Mr. Omair Ali 30-Apr-2025');</v>
      </c>
    </row>
    <row r="495" spans="1:8" ht="105" x14ac:dyDescent="0.25">
      <c r="A495" t="s">
        <v>503</v>
      </c>
      <c r="B495" s="1" t="str">
        <f>VLOOKUP(A495,Sheet5!B:C,2,0)</f>
        <v>050000737100</v>
      </c>
      <c r="C495" s="13">
        <v>-3522</v>
      </c>
      <c r="D495" s="22">
        <f t="shared" si="29"/>
        <v>-3522</v>
      </c>
      <c r="E495" s="21" t="s">
        <v>5912</v>
      </c>
      <c r="F495" s="23" t="str">
        <f t="shared" si="28"/>
        <v>insert into ins_premium_det (premium_rcv_code,assorted_code, rec_amount,premium_rcv_detail_code,remaining_amt, payrec, mode_code,coinsurance_code,class_cd,it_remarks) values</v>
      </c>
      <c r="G495" s="24" t="str">
        <f t="shared" si="30"/>
        <v>('29Apr250042','050000737100','-3522',(select max(to_number(i.premium_rcv_detail_code))+1
from ins_premium_det i),'-3522','-3522','02', '11000003','00','Request by Mr. Omair Ali 30-Apr-2025');</v>
      </c>
      <c r="H495" s="25" t="str">
        <f t="shared" si="31"/>
        <v>insert into ins_premium_det (premium_rcv_code,assorted_code, rec_amount,premium_rcv_detail_code,remaining_amt, payrec, mode_code,coinsurance_code,class_cd,it_remarks) values('29Apr250042','050000737100','-3522',(select max(to_number(i.premium_rcv_detail_code))+1
from ins_premium_det i),'-3522','-3522','02', '11000003','00','Request by Mr. Omair Ali 30-Apr-2025');</v>
      </c>
    </row>
    <row r="496" spans="1:8" ht="105" x14ac:dyDescent="0.25">
      <c r="A496" t="s">
        <v>513</v>
      </c>
      <c r="B496" s="1" t="str">
        <f>VLOOKUP(A496,Sheet5!B:C,2,0)</f>
        <v>050000737102</v>
      </c>
      <c r="C496" s="13">
        <v>-7916</v>
      </c>
      <c r="D496" s="22">
        <f t="shared" si="29"/>
        <v>-7916</v>
      </c>
      <c r="E496" s="21" t="s">
        <v>5912</v>
      </c>
      <c r="F496" s="23" t="str">
        <f t="shared" si="28"/>
        <v>insert into ins_premium_det (premium_rcv_code,assorted_code, rec_amount,premium_rcv_detail_code,remaining_amt, payrec, mode_code,coinsurance_code,class_cd,it_remarks) values</v>
      </c>
      <c r="G496" s="24" t="str">
        <f t="shared" si="30"/>
        <v>('29Apr250042','050000737102','-7916',(select max(to_number(i.premium_rcv_detail_code))+1
from ins_premium_det i),'-7916','-7916','02', '11000003','00','Request by Mr. Omair Ali 30-Apr-2025');</v>
      </c>
      <c r="H496" s="25" t="str">
        <f t="shared" si="31"/>
        <v>insert into ins_premium_det (premium_rcv_code,assorted_code, rec_amount,premium_rcv_detail_code,remaining_amt, payrec, mode_code,coinsurance_code,class_cd,it_remarks) values('29Apr250042','050000737102','-7916',(select max(to_number(i.premium_rcv_detail_code))+1
from ins_premium_det i),'-7916','-7916','02', '11000003','00','Request by Mr. Omair Ali 30-Apr-2025');</v>
      </c>
    </row>
    <row r="497" spans="1:8" ht="105" x14ac:dyDescent="0.25">
      <c r="A497" t="s">
        <v>600</v>
      </c>
      <c r="B497" s="1" t="str">
        <f>VLOOKUP(A497,Sheet5!B:C,2,0)</f>
        <v>050000737105</v>
      </c>
      <c r="C497" s="13">
        <v>-6671</v>
      </c>
      <c r="D497" s="22">
        <f t="shared" si="29"/>
        <v>-6671</v>
      </c>
      <c r="E497" s="21" t="s">
        <v>5912</v>
      </c>
      <c r="F497" s="23" t="str">
        <f t="shared" si="28"/>
        <v>insert into ins_premium_det (premium_rcv_code,assorted_code, rec_amount,premium_rcv_detail_code,remaining_amt, payrec, mode_code,coinsurance_code,class_cd,it_remarks) values</v>
      </c>
      <c r="G497" s="24" t="str">
        <f t="shared" si="30"/>
        <v>('29Apr250042','050000737105','-6671',(select max(to_number(i.premium_rcv_detail_code))+1
from ins_premium_det i),'-6671','-6671','02', '11000003','00','Request by Mr. Omair Ali 30-Apr-2025');</v>
      </c>
      <c r="H497" s="25" t="str">
        <f t="shared" si="31"/>
        <v>insert into ins_premium_det (premium_rcv_code,assorted_code, rec_amount,premium_rcv_detail_code,remaining_amt, payrec, mode_code,coinsurance_code,class_cd,it_remarks) values('29Apr250042','050000737105','-6671',(select max(to_number(i.premium_rcv_detail_code))+1
from ins_premium_det i),'-6671','-6671','02', '11000003','00','Request by Mr. Omair Ali 30-Apr-2025');</v>
      </c>
    </row>
    <row r="498" spans="1:8" ht="105" x14ac:dyDescent="0.25">
      <c r="A498" t="s">
        <v>586</v>
      </c>
      <c r="B498" s="1" t="str">
        <f>VLOOKUP(A498,Sheet5!B:C,2,0)</f>
        <v>050000737106</v>
      </c>
      <c r="C498" s="13">
        <v>-10717</v>
      </c>
      <c r="D498" s="22">
        <f t="shared" si="29"/>
        <v>-10717</v>
      </c>
      <c r="E498" s="21" t="s">
        <v>5912</v>
      </c>
      <c r="F498" s="23" t="str">
        <f t="shared" si="28"/>
        <v>insert into ins_premium_det (premium_rcv_code,assorted_code, rec_amount,premium_rcv_detail_code,remaining_amt, payrec, mode_code,coinsurance_code,class_cd,it_remarks) values</v>
      </c>
      <c r="G498" s="24" t="str">
        <f t="shared" si="30"/>
        <v>('29Apr250042','050000737106','-10717',(select max(to_number(i.premium_rcv_detail_code))+1
from ins_premium_det i),'-10717','-10717','02', '11000003','00','Request by Mr. Omair Ali 30-Apr-2025');</v>
      </c>
      <c r="H498" s="25" t="str">
        <f t="shared" si="31"/>
        <v>insert into ins_premium_det (premium_rcv_code,assorted_code, rec_amount,premium_rcv_detail_code,remaining_amt, payrec, mode_code,coinsurance_code,class_cd,it_remarks) values('29Apr250042','050000737106','-10717',(select max(to_number(i.premium_rcv_detail_code))+1
from ins_premium_det i),'-10717','-10717','02', '11000003','00','Request by Mr. Omair Ali 30-Apr-2025');</v>
      </c>
    </row>
    <row r="499" spans="1:8" ht="105" x14ac:dyDescent="0.25">
      <c r="A499" t="s">
        <v>1102</v>
      </c>
      <c r="B499" s="1" t="str">
        <f>VLOOKUP(A499,Sheet5!B:C,2,0)</f>
        <v>050000737117</v>
      </c>
      <c r="C499" s="13">
        <v>-17457</v>
      </c>
      <c r="D499" s="22">
        <f t="shared" si="29"/>
        <v>-17457</v>
      </c>
      <c r="E499" s="21" t="s">
        <v>5912</v>
      </c>
      <c r="F499" s="23" t="str">
        <f t="shared" si="28"/>
        <v>insert into ins_premium_det (premium_rcv_code,assorted_code, rec_amount,premium_rcv_detail_code,remaining_amt, payrec, mode_code,coinsurance_code,class_cd,it_remarks) values</v>
      </c>
      <c r="G499" s="24" t="str">
        <f t="shared" si="30"/>
        <v>('29Apr250042','050000737117','-17457',(select max(to_number(i.premium_rcv_detail_code))+1
from ins_premium_det i),'-17457','-17457','02', '11000003','00','Request by Mr. Omair Ali 30-Apr-2025');</v>
      </c>
      <c r="H499" s="25" t="str">
        <f t="shared" si="31"/>
        <v>insert into ins_premium_det (premium_rcv_code,assorted_code, rec_amount,premium_rcv_detail_code,remaining_amt, payrec, mode_code,coinsurance_code,class_cd,it_remarks) values('29Apr250042','050000737117','-17457',(select max(to_number(i.premium_rcv_detail_code))+1
from ins_premium_det i),'-17457','-17457','02', '11000003','00','Request by Mr. Omair Ali 30-Apr-2025');</v>
      </c>
    </row>
    <row r="500" spans="1:8" ht="105" x14ac:dyDescent="0.25">
      <c r="A500" t="s">
        <v>130</v>
      </c>
      <c r="B500" s="1" t="str">
        <f>VLOOKUP(A500,Sheet5!B:C,2,0)</f>
        <v>050000737124</v>
      </c>
      <c r="C500" s="13">
        <v>-14571</v>
      </c>
      <c r="D500" s="22">
        <f t="shared" si="29"/>
        <v>-14571</v>
      </c>
      <c r="E500" s="21" t="s">
        <v>5912</v>
      </c>
      <c r="F500" s="23" t="str">
        <f t="shared" si="28"/>
        <v>insert into ins_premium_det (premium_rcv_code,assorted_code, rec_amount,premium_rcv_detail_code,remaining_amt, payrec, mode_code,coinsurance_code,class_cd,it_remarks) values</v>
      </c>
      <c r="G500" s="24" t="str">
        <f t="shared" si="30"/>
        <v>('29Apr250042','050000737124','-14571',(select max(to_number(i.premium_rcv_detail_code))+1
from ins_premium_det i),'-14571','-14571','02', '11000003','00','Request by Mr. Omair Ali 30-Apr-2025');</v>
      </c>
      <c r="H500" s="25" t="str">
        <f t="shared" si="31"/>
        <v>insert into ins_premium_det (premium_rcv_code,assorted_code, rec_amount,premium_rcv_detail_code,remaining_amt, payrec, mode_code,coinsurance_code,class_cd,it_remarks) values('29Apr250042','050000737124','-14571',(select max(to_number(i.premium_rcv_detail_code))+1
from ins_premium_det i),'-14571','-14571','02', '11000003','00','Request by Mr. Omair Ali 30-Apr-2025');</v>
      </c>
    </row>
    <row r="501" spans="1:8" ht="105" x14ac:dyDescent="0.25">
      <c r="A501" t="s">
        <v>151</v>
      </c>
      <c r="B501" s="1" t="str">
        <f>VLOOKUP(A501,Sheet5!B:C,2,0)</f>
        <v>050000737126</v>
      </c>
      <c r="C501" s="13">
        <v>-8646</v>
      </c>
      <c r="D501" s="22">
        <f t="shared" si="29"/>
        <v>-8646</v>
      </c>
      <c r="E501" s="21" t="s">
        <v>5912</v>
      </c>
      <c r="F501" s="23" t="str">
        <f t="shared" si="28"/>
        <v>insert into ins_premium_det (premium_rcv_code,assorted_code, rec_amount,premium_rcv_detail_code,remaining_amt, payrec, mode_code,coinsurance_code,class_cd,it_remarks) values</v>
      </c>
      <c r="G501" s="24" t="str">
        <f t="shared" si="30"/>
        <v>('29Apr250042','050000737126','-8646',(select max(to_number(i.premium_rcv_detail_code))+1
from ins_premium_det i),'-8646','-8646','02', '11000003','00','Request by Mr. Omair Ali 30-Apr-2025');</v>
      </c>
      <c r="H501" s="25" t="str">
        <f t="shared" si="31"/>
        <v>insert into ins_premium_det (premium_rcv_code,assorted_code, rec_amount,premium_rcv_detail_code,remaining_amt, payrec, mode_code,coinsurance_code,class_cd,it_remarks) values('29Apr250042','050000737126','-8646',(select max(to_number(i.premium_rcv_detail_code))+1
from ins_premium_det i),'-8646','-8646','02', '11000003','00','Request by Mr. Omair Ali 30-Apr-2025');</v>
      </c>
    </row>
    <row r="502" spans="1:8" ht="105" x14ac:dyDescent="0.25">
      <c r="A502" t="s">
        <v>143</v>
      </c>
      <c r="B502" s="1" t="str">
        <f>VLOOKUP(A502,Sheet5!B:C,2,0)</f>
        <v>050000737127</v>
      </c>
      <c r="C502" s="13">
        <v>-22639</v>
      </c>
      <c r="D502" s="22">
        <f t="shared" si="29"/>
        <v>-22639</v>
      </c>
      <c r="E502" s="21" t="s">
        <v>5912</v>
      </c>
      <c r="F502" s="23" t="str">
        <f t="shared" si="28"/>
        <v>insert into ins_premium_det (premium_rcv_code,assorted_code, rec_amount,premium_rcv_detail_code,remaining_amt, payrec, mode_code,coinsurance_code,class_cd,it_remarks) values</v>
      </c>
      <c r="G502" s="24" t="str">
        <f t="shared" si="30"/>
        <v>('29Apr250042','050000737127','-22639',(select max(to_number(i.premium_rcv_detail_code))+1
from ins_premium_det i),'-22639','-22639','02', '11000003','00','Request by Mr. Omair Ali 30-Apr-2025');</v>
      </c>
      <c r="H502" s="25" t="str">
        <f t="shared" si="31"/>
        <v>insert into ins_premium_det (premium_rcv_code,assorted_code, rec_amount,premium_rcv_detail_code,remaining_amt, payrec, mode_code,coinsurance_code,class_cd,it_remarks) values('29Apr250042','050000737127','-22639',(select max(to_number(i.premium_rcv_detail_code))+1
from ins_premium_det i),'-22639','-22639','02', '11000003','00','Request by Mr. Omair Ali 30-Apr-2025');</v>
      </c>
    </row>
    <row r="503" spans="1:8" ht="105" x14ac:dyDescent="0.25">
      <c r="A503" t="s">
        <v>159</v>
      </c>
      <c r="B503" s="1" t="str">
        <f>VLOOKUP(A503,Sheet5!B:C,2,0)</f>
        <v>050000737128</v>
      </c>
      <c r="C503" s="13">
        <v>-2985</v>
      </c>
      <c r="D503" s="22">
        <f t="shared" si="29"/>
        <v>-2985</v>
      </c>
      <c r="E503" s="21" t="s">
        <v>5912</v>
      </c>
      <c r="F503" s="23" t="str">
        <f t="shared" si="28"/>
        <v>insert into ins_premium_det (premium_rcv_code,assorted_code, rec_amount,premium_rcv_detail_code,remaining_amt, payrec, mode_code,coinsurance_code,class_cd,it_remarks) values</v>
      </c>
      <c r="G503" s="24" t="str">
        <f t="shared" si="30"/>
        <v>('29Apr250042','050000737128','-2985',(select max(to_number(i.premium_rcv_detail_code))+1
from ins_premium_det i),'-2985','-2985','02', '11000003','00','Request by Mr. Omair Ali 30-Apr-2025');</v>
      </c>
      <c r="H503" s="25" t="str">
        <f t="shared" si="31"/>
        <v>insert into ins_premium_det (premium_rcv_code,assorted_code, rec_amount,premium_rcv_detail_code,remaining_amt, payrec, mode_code,coinsurance_code,class_cd,it_remarks) values('29Apr250042','050000737128','-2985',(select max(to_number(i.premium_rcv_detail_code))+1
from ins_premium_det i),'-2985','-2985','02', '11000003','00','Request by Mr. Omair Ali 30-Apr-2025');</v>
      </c>
    </row>
    <row r="504" spans="1:8" ht="105" x14ac:dyDescent="0.25">
      <c r="A504" t="s">
        <v>170</v>
      </c>
      <c r="B504" s="1" t="str">
        <f>VLOOKUP(A504,Sheet5!B:C,2,0)</f>
        <v>050000737130</v>
      </c>
      <c r="C504" s="13">
        <v>-8738</v>
      </c>
      <c r="D504" s="22">
        <f t="shared" si="29"/>
        <v>-8738</v>
      </c>
      <c r="E504" s="21" t="s">
        <v>5912</v>
      </c>
      <c r="F504" s="23" t="str">
        <f t="shared" si="28"/>
        <v>insert into ins_premium_det (premium_rcv_code,assorted_code, rec_amount,premium_rcv_detail_code,remaining_amt, payrec, mode_code,coinsurance_code,class_cd,it_remarks) values</v>
      </c>
      <c r="G504" s="24" t="str">
        <f t="shared" si="30"/>
        <v>('29Apr250042','050000737130','-8738',(select max(to_number(i.premium_rcv_detail_code))+1
from ins_premium_det i),'-8738','-8738','02', '11000003','00','Request by Mr. Omair Ali 30-Apr-2025');</v>
      </c>
      <c r="H504" s="25" t="str">
        <f t="shared" si="31"/>
        <v>insert into ins_premium_det (premium_rcv_code,assorted_code, rec_amount,premium_rcv_detail_code,remaining_amt, payrec, mode_code,coinsurance_code,class_cd,it_remarks) values('29Apr250042','050000737130','-8738',(select max(to_number(i.premium_rcv_detail_code))+1
from ins_premium_det i),'-8738','-8738','02', '11000003','00','Request by Mr. Omair Ali 30-Apr-2025');</v>
      </c>
    </row>
    <row r="505" spans="1:8" ht="105" x14ac:dyDescent="0.25">
      <c r="A505" t="s">
        <v>234</v>
      </c>
      <c r="B505" s="1" t="str">
        <f>VLOOKUP(A505,Sheet5!B:C,2,0)</f>
        <v>050000737139</v>
      </c>
      <c r="C505" s="13">
        <v>-4148</v>
      </c>
      <c r="D505" s="22">
        <f t="shared" si="29"/>
        <v>-4148</v>
      </c>
      <c r="E505" s="21" t="s">
        <v>5912</v>
      </c>
      <c r="F505" s="23" t="str">
        <f t="shared" si="28"/>
        <v>insert into ins_premium_det (premium_rcv_code,assorted_code, rec_amount,premium_rcv_detail_code,remaining_amt, payrec, mode_code,coinsurance_code,class_cd,it_remarks) values</v>
      </c>
      <c r="G505" s="24" t="str">
        <f t="shared" si="30"/>
        <v>('29Apr250042','050000737139','-4148',(select max(to_number(i.premium_rcv_detail_code))+1
from ins_premium_det i),'-4148','-4148','02', '11000003','00','Request by Mr. Omair Ali 30-Apr-2025');</v>
      </c>
      <c r="H505" s="25" t="str">
        <f t="shared" si="31"/>
        <v>insert into ins_premium_det (premium_rcv_code,assorted_code, rec_amount,premium_rcv_detail_code,remaining_amt, payrec, mode_code,coinsurance_code,class_cd,it_remarks) values('29Apr250042','050000737139','-4148',(select max(to_number(i.premium_rcv_detail_code))+1
from ins_premium_det i),'-4148','-4148','02', '11000003','00','Request by Mr. Omair Ali 30-Apr-2025');</v>
      </c>
    </row>
    <row r="506" spans="1:8" ht="105" x14ac:dyDescent="0.25">
      <c r="A506" t="s">
        <v>356</v>
      </c>
      <c r="B506" s="1" t="str">
        <f>VLOOKUP(A506,Sheet5!B:C,2,0)</f>
        <v>050000737147</v>
      </c>
      <c r="C506" s="13">
        <v>4082</v>
      </c>
      <c r="D506" s="22">
        <f t="shared" si="29"/>
        <v>4082</v>
      </c>
      <c r="E506" s="21" t="s">
        <v>5912</v>
      </c>
      <c r="F506" s="23" t="str">
        <f t="shared" si="28"/>
        <v>insert into ins_premium_det (premium_rcv_code,assorted_code, rec_amount,premium_rcv_detail_code,remaining_amt, payrec, mode_code,coinsurance_code,class_cd,it_remarks) values</v>
      </c>
      <c r="G506" s="24" t="str">
        <f t="shared" si="30"/>
        <v>('29Apr250042','050000737147','4082',(select max(to_number(i.premium_rcv_detail_code))+1
from ins_premium_det i),'4082','4082','02', '11000003','00','Request by Mr. Omair Ali 30-Apr-2025');</v>
      </c>
      <c r="H506" s="25" t="str">
        <f t="shared" si="31"/>
        <v>insert into ins_premium_det (premium_rcv_code,assorted_code, rec_amount,premium_rcv_detail_code,remaining_amt, payrec, mode_code,coinsurance_code,class_cd,it_remarks) values('29Apr250042','050000737147','4082',(select max(to_number(i.premium_rcv_detail_code))+1
from ins_premium_det i),'4082','4082','02', '11000003','00','Request by Mr. Omair Ali 30-Apr-2025');</v>
      </c>
    </row>
    <row r="507" spans="1:8" ht="105" x14ac:dyDescent="0.25">
      <c r="A507" t="s">
        <v>1353</v>
      </c>
      <c r="B507" s="1" t="str">
        <f>VLOOKUP(A507,Sheet5!B:C,2,0)</f>
        <v>050000737156</v>
      </c>
      <c r="C507" s="13">
        <v>7601</v>
      </c>
      <c r="D507" s="22">
        <f t="shared" si="29"/>
        <v>7601</v>
      </c>
      <c r="E507" s="21" t="s">
        <v>5912</v>
      </c>
      <c r="F507" s="23" t="str">
        <f t="shared" si="28"/>
        <v>insert into ins_premium_det (premium_rcv_code,assorted_code, rec_amount,premium_rcv_detail_code,remaining_amt, payrec, mode_code,coinsurance_code,class_cd,it_remarks) values</v>
      </c>
      <c r="G507" s="24" t="str">
        <f t="shared" si="30"/>
        <v>('29Apr250042','050000737156','7601',(select max(to_number(i.premium_rcv_detail_code))+1
from ins_premium_det i),'7601','7601','02', '11000003','00','Request by Mr. Omair Ali 30-Apr-2025');</v>
      </c>
      <c r="H507" s="25" t="str">
        <f t="shared" si="31"/>
        <v>insert into ins_premium_det (premium_rcv_code,assorted_code, rec_amount,premium_rcv_detail_code,remaining_amt, payrec, mode_code,coinsurance_code,class_cd,it_remarks) values('29Apr250042','050000737156','7601',(select max(to_number(i.premium_rcv_detail_code))+1
from ins_premium_det i),'7601','7601','02', '11000003','00','Request by Mr. Omair Ali 30-Apr-2025');</v>
      </c>
    </row>
    <row r="508" spans="1:8" ht="105" x14ac:dyDescent="0.25">
      <c r="A508" t="s">
        <v>215</v>
      </c>
      <c r="B508" s="1" t="str">
        <f>VLOOKUP(A508,Sheet5!B:C,2,0)</f>
        <v>050000737703</v>
      </c>
      <c r="C508" s="13">
        <v>655</v>
      </c>
      <c r="D508" s="22">
        <f t="shared" si="29"/>
        <v>655</v>
      </c>
      <c r="E508" s="21" t="s">
        <v>5912</v>
      </c>
      <c r="F508" s="23" t="str">
        <f t="shared" si="28"/>
        <v>insert into ins_premium_det (premium_rcv_code,assorted_code, rec_amount,premium_rcv_detail_code,remaining_amt, payrec, mode_code,coinsurance_code,class_cd,it_remarks) values</v>
      </c>
      <c r="G508" s="24" t="str">
        <f t="shared" si="30"/>
        <v>('29Apr250042','050000737703','655',(select max(to_number(i.premium_rcv_detail_code))+1
from ins_premium_det i),'655','655','02', '11000003','00','Request by Mr. Omair Ali 30-Apr-2025');</v>
      </c>
      <c r="H508" s="25" t="str">
        <f t="shared" si="31"/>
        <v>insert into ins_premium_det (premium_rcv_code,assorted_code, rec_amount,premium_rcv_detail_code,remaining_amt, payrec, mode_code,coinsurance_code,class_cd,it_remarks) values('29Apr250042','050000737703','655',(select max(to_number(i.premium_rcv_detail_code))+1
from ins_premium_det i),'655','655','02', '11000003','00','Request by Mr. Omair Ali 30-Apr-2025');</v>
      </c>
    </row>
    <row r="509" spans="1:8" ht="105" x14ac:dyDescent="0.25">
      <c r="A509" t="s">
        <v>435</v>
      </c>
      <c r="B509" s="1" t="str">
        <f>VLOOKUP(A509,Sheet5!B:C,2,0)</f>
        <v>050000737704</v>
      </c>
      <c r="C509" s="13">
        <v>2001</v>
      </c>
      <c r="D509" s="22">
        <f t="shared" si="29"/>
        <v>2001</v>
      </c>
      <c r="E509" s="21" t="s">
        <v>5912</v>
      </c>
      <c r="F509" s="23" t="str">
        <f t="shared" si="28"/>
        <v>insert into ins_premium_det (premium_rcv_code,assorted_code, rec_amount,premium_rcv_detail_code,remaining_amt, payrec, mode_code,coinsurance_code,class_cd,it_remarks) values</v>
      </c>
      <c r="G509" s="24" t="str">
        <f t="shared" si="30"/>
        <v>('29Apr250042','050000737704','2001',(select max(to_number(i.premium_rcv_detail_code))+1
from ins_premium_det i),'2001','2001','02', '11000003','00','Request by Mr. Omair Ali 30-Apr-2025');</v>
      </c>
      <c r="H509" s="25" t="str">
        <f t="shared" si="31"/>
        <v>insert into ins_premium_det (premium_rcv_code,assorted_code, rec_amount,premium_rcv_detail_code,remaining_amt, payrec, mode_code,coinsurance_code,class_cd,it_remarks) values('29Apr250042','050000737704','2001',(select max(to_number(i.premium_rcv_detail_code))+1
from ins_premium_det i),'2001','2001','02', '11000003','00','Request by Mr. Omair Ali 30-Apr-2025');</v>
      </c>
    </row>
    <row r="510" spans="1:8" ht="105" x14ac:dyDescent="0.25">
      <c r="A510" t="s">
        <v>996</v>
      </c>
      <c r="B510" s="1" t="str">
        <f>VLOOKUP(A510,Sheet5!B:C,2,0)</f>
        <v>050000737708</v>
      </c>
      <c r="C510" s="13">
        <v>1972</v>
      </c>
      <c r="D510" s="22">
        <f t="shared" si="29"/>
        <v>1972</v>
      </c>
      <c r="E510" s="21" t="s">
        <v>5912</v>
      </c>
      <c r="F510" s="23" t="str">
        <f t="shared" si="28"/>
        <v>insert into ins_premium_det (premium_rcv_code,assorted_code, rec_amount,premium_rcv_detail_code,remaining_amt, payrec, mode_code,coinsurance_code,class_cd,it_remarks) values</v>
      </c>
      <c r="G510" s="24" t="str">
        <f t="shared" si="30"/>
        <v>('29Apr250042','050000737708','1972',(select max(to_number(i.premium_rcv_detail_code))+1
from ins_premium_det i),'1972','1972','02', '11000003','00','Request by Mr. Omair Ali 30-Apr-2025');</v>
      </c>
      <c r="H510" s="25" t="str">
        <f t="shared" si="31"/>
        <v>insert into ins_premium_det (premium_rcv_code,assorted_code, rec_amount,premium_rcv_detail_code,remaining_amt, payrec, mode_code,coinsurance_code,class_cd,it_remarks) values('29Apr250042','050000737708','1972',(select max(to_number(i.premium_rcv_detail_code))+1
from ins_premium_det i),'1972','1972','02', '11000003','00','Request by Mr. Omair Ali 30-Apr-2025');</v>
      </c>
    </row>
    <row r="511" spans="1:8" ht="105" x14ac:dyDescent="0.25">
      <c r="A511" t="s">
        <v>1381</v>
      </c>
      <c r="B511" s="1" t="str">
        <f>VLOOKUP(A511,Sheet5!B:C,2,0)</f>
        <v>050000737712</v>
      </c>
      <c r="C511" s="13">
        <v>863</v>
      </c>
      <c r="D511" s="22">
        <f t="shared" si="29"/>
        <v>863</v>
      </c>
      <c r="E511" s="21" t="s">
        <v>5912</v>
      </c>
      <c r="F511" s="23" t="str">
        <f t="shared" si="28"/>
        <v>insert into ins_premium_det (premium_rcv_code,assorted_code, rec_amount,premium_rcv_detail_code,remaining_amt, payrec, mode_code,coinsurance_code,class_cd,it_remarks) values</v>
      </c>
      <c r="G511" s="24" t="str">
        <f t="shared" si="30"/>
        <v>('29Apr250042','050000737712','863',(select max(to_number(i.premium_rcv_detail_code))+1
from ins_premium_det i),'863','863','02', '11000003','00','Request by Mr. Omair Ali 30-Apr-2025');</v>
      </c>
      <c r="H511" s="25" t="str">
        <f t="shared" si="31"/>
        <v>insert into ins_premium_det (premium_rcv_code,assorted_code, rec_amount,premium_rcv_detail_code,remaining_amt, payrec, mode_code,coinsurance_code,class_cd,it_remarks) values('29Apr250042','050000737712','863',(select max(to_number(i.premium_rcv_detail_code))+1
from ins_premium_det i),'863','863','02', '11000003','00','Request by Mr. Omair Ali 30-Apr-2025');</v>
      </c>
    </row>
    <row r="512" spans="1:8" ht="105" x14ac:dyDescent="0.25">
      <c r="A512" t="s">
        <v>372</v>
      </c>
      <c r="B512" s="1" t="str">
        <f>VLOOKUP(A512,Sheet5!B:C,2,0)</f>
        <v>050000738283</v>
      </c>
      <c r="C512" s="13">
        <v>2582</v>
      </c>
      <c r="D512" s="22">
        <f t="shared" si="29"/>
        <v>2582</v>
      </c>
      <c r="E512" s="21" t="s">
        <v>5912</v>
      </c>
      <c r="F512" s="23" t="str">
        <f t="shared" si="28"/>
        <v>insert into ins_premium_det (premium_rcv_code,assorted_code, rec_amount,premium_rcv_detail_code,remaining_amt, payrec, mode_code,coinsurance_code,class_cd,it_remarks) values</v>
      </c>
      <c r="G512" s="24" t="str">
        <f t="shared" si="30"/>
        <v>('29Apr250042','050000738283','2582',(select max(to_number(i.premium_rcv_detail_code))+1
from ins_premium_det i),'2582','2582','02', '11000003','00','Request by Mr. Omair Ali 30-Apr-2025');</v>
      </c>
      <c r="H512" s="25" t="str">
        <f t="shared" si="31"/>
        <v>insert into ins_premium_det (premium_rcv_code,assorted_code, rec_amount,premium_rcv_detail_code,remaining_amt, payrec, mode_code,coinsurance_code,class_cd,it_remarks) values('29Apr250042','050000738283','2582',(select max(to_number(i.premium_rcv_detail_code))+1
from ins_premium_det i),'2582','2582','02', '11000003','00','Request by Mr. Omair Ali 30-Apr-2025');</v>
      </c>
    </row>
    <row r="513" spans="1:8" ht="105" x14ac:dyDescent="0.25">
      <c r="A513" t="s">
        <v>836</v>
      </c>
      <c r="B513" s="1" t="str">
        <f>VLOOKUP(A513,Sheet5!B:C,2,0)</f>
        <v>050000738285</v>
      </c>
      <c r="C513" s="13">
        <v>3682</v>
      </c>
      <c r="D513" s="22">
        <f t="shared" si="29"/>
        <v>3682</v>
      </c>
      <c r="E513" s="21" t="s">
        <v>5912</v>
      </c>
      <c r="F513" s="23" t="str">
        <f t="shared" si="28"/>
        <v>insert into ins_premium_det (premium_rcv_code,assorted_code, rec_amount,premium_rcv_detail_code,remaining_amt, payrec, mode_code,coinsurance_code,class_cd,it_remarks) values</v>
      </c>
      <c r="G513" s="24" t="str">
        <f t="shared" si="30"/>
        <v>('29Apr250042','050000738285','3682',(select max(to_number(i.premium_rcv_detail_code))+1
from ins_premium_det i),'3682','3682','02', '11000003','00','Request by Mr. Omair Ali 30-Apr-2025');</v>
      </c>
      <c r="H513" s="25" t="str">
        <f t="shared" si="31"/>
        <v>insert into ins_premium_det (premium_rcv_code,assorted_code, rec_amount,premium_rcv_detail_code,remaining_amt, payrec, mode_code,coinsurance_code,class_cd,it_remarks) values('29Apr250042','050000738285','3682',(select max(to_number(i.premium_rcv_detail_code))+1
from ins_premium_det i),'3682','3682','02', '11000003','00','Request by Mr. Omair Ali 30-Apr-2025');</v>
      </c>
    </row>
    <row r="514" spans="1:8" ht="105" x14ac:dyDescent="0.25">
      <c r="A514" t="s">
        <v>837</v>
      </c>
      <c r="B514" s="1" t="str">
        <f>VLOOKUP(A514,Sheet5!B:C,2,0)</f>
        <v>050000738286</v>
      </c>
      <c r="C514" s="13">
        <v>4421</v>
      </c>
      <c r="D514" s="22">
        <f t="shared" si="29"/>
        <v>4421</v>
      </c>
      <c r="E514" s="21" t="s">
        <v>5912</v>
      </c>
      <c r="F514" s="23" t="str">
        <f t="shared" ref="F514:F577" si="3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14" s="24" t="str">
        <f t="shared" si="30"/>
        <v>('29Apr250042','050000738286','4421',(select max(to_number(i.premium_rcv_detail_code))+1
from ins_premium_det i),'4421','4421','02', '11000003','00','Request by Mr. Omair Ali 30-Apr-2025');</v>
      </c>
      <c r="H514" s="25" t="str">
        <f t="shared" si="31"/>
        <v>insert into ins_premium_det (premium_rcv_code,assorted_code, rec_amount,premium_rcv_detail_code,remaining_amt, payrec, mode_code,coinsurance_code,class_cd,it_remarks) values('29Apr250042','050000738286','4421',(select max(to_number(i.premium_rcv_detail_code))+1
from ins_premium_det i),'4421','4421','02', '11000003','00','Request by Mr. Omair Ali 30-Apr-2025');</v>
      </c>
    </row>
    <row r="515" spans="1:8" ht="105" x14ac:dyDescent="0.25">
      <c r="A515" t="s">
        <v>350</v>
      </c>
      <c r="B515" s="1" t="str">
        <f>VLOOKUP(A515,Sheet5!B:C,2,0)</f>
        <v>050000738356</v>
      </c>
      <c r="C515" s="13">
        <v>454</v>
      </c>
      <c r="D515" s="22">
        <f t="shared" ref="D515:D578" si="33">ROUND(C515,0)</f>
        <v>454</v>
      </c>
      <c r="E515" s="21" t="s">
        <v>5912</v>
      </c>
      <c r="F515" s="23" t="str">
        <f t="shared" si="32"/>
        <v>insert into ins_premium_det (premium_rcv_code,assorted_code, rec_amount,premium_rcv_detail_code,remaining_amt, payrec, mode_code,coinsurance_code,class_cd,it_remarks) values</v>
      </c>
      <c r="G515" s="24" t="str">
        <f t="shared" ref="G515:G578" si="34">"('"&amp;E515&amp;"','"&amp;B515&amp;"','"&amp;D515&amp;"',(select max(to_number(i.premium_rcv_detail_code))+1
from ins_premium_det i),'"&amp;D515&amp;"','"&amp;D515&amp;"','02', '11000003','00','Request by Mr. Omair Ali 30-Apr-2025');"</f>
        <v>('29Apr250042','050000738356','454',(select max(to_number(i.premium_rcv_detail_code))+1
from ins_premium_det i),'454','454','02', '11000003','00','Request by Mr. Omair Ali 30-Apr-2025');</v>
      </c>
      <c r="H515" s="25" t="str">
        <f t="shared" ref="H515:H578" si="35">F515&amp;G515</f>
        <v>insert into ins_premium_det (premium_rcv_code,assorted_code, rec_amount,premium_rcv_detail_code,remaining_amt, payrec, mode_code,coinsurance_code,class_cd,it_remarks) values('29Apr250042','050000738356','454',(select max(to_number(i.premium_rcv_detail_code))+1
from ins_premium_det i),'454','454','02', '11000003','00','Request by Mr. Omair Ali 30-Apr-2025');</v>
      </c>
    </row>
    <row r="516" spans="1:8" ht="105" x14ac:dyDescent="0.25">
      <c r="A516" t="s">
        <v>848</v>
      </c>
      <c r="B516" s="1" t="str">
        <f>VLOOKUP(A516,Sheet5!B:C,2,0)</f>
        <v>050000738360</v>
      </c>
      <c r="C516" s="13">
        <v>903</v>
      </c>
      <c r="D516" s="22">
        <f t="shared" si="33"/>
        <v>903</v>
      </c>
      <c r="E516" s="21" t="s">
        <v>5912</v>
      </c>
      <c r="F516" s="23" t="str">
        <f t="shared" si="32"/>
        <v>insert into ins_premium_det (premium_rcv_code,assorted_code, rec_amount,premium_rcv_detail_code,remaining_amt, payrec, mode_code,coinsurance_code,class_cd,it_remarks) values</v>
      </c>
      <c r="G516" s="24" t="str">
        <f t="shared" si="34"/>
        <v>('29Apr250042','050000738360','903',(select max(to_number(i.premium_rcv_detail_code))+1
from ins_premium_det i),'903','903','02', '11000003','00','Request by Mr. Omair Ali 30-Apr-2025');</v>
      </c>
      <c r="H516" s="25" t="str">
        <f t="shared" si="35"/>
        <v>insert into ins_premium_det (premium_rcv_code,assorted_code, rec_amount,premium_rcv_detail_code,remaining_amt, payrec, mode_code,coinsurance_code,class_cd,it_remarks) values('29Apr250042','050000738360','903',(select max(to_number(i.premium_rcv_detail_code))+1
from ins_premium_det i),'903','903','02', '11000003','00','Request by Mr. Omair Ali 30-Apr-2025');</v>
      </c>
    </row>
    <row r="517" spans="1:8" ht="105" x14ac:dyDescent="0.25">
      <c r="A517" t="s">
        <v>1482</v>
      </c>
      <c r="B517" s="1" t="str">
        <f>VLOOKUP(A517,Sheet5!B:C,2,0)</f>
        <v>050000738367</v>
      </c>
      <c r="C517" s="13">
        <v>5493</v>
      </c>
      <c r="D517" s="22">
        <f t="shared" si="33"/>
        <v>5493</v>
      </c>
      <c r="E517" s="21" t="s">
        <v>5912</v>
      </c>
      <c r="F517" s="23" t="str">
        <f t="shared" si="32"/>
        <v>insert into ins_premium_det (premium_rcv_code,assorted_code, rec_amount,premium_rcv_detail_code,remaining_amt, payrec, mode_code,coinsurance_code,class_cd,it_remarks) values</v>
      </c>
      <c r="G517" s="24" t="str">
        <f t="shared" si="34"/>
        <v>('29Apr250042','050000738367','5493',(select max(to_number(i.premium_rcv_detail_code))+1
from ins_premium_det i),'5493','5493','02', '11000003','00','Request by Mr. Omair Ali 30-Apr-2025');</v>
      </c>
      <c r="H517" s="25" t="str">
        <f t="shared" si="35"/>
        <v>insert into ins_premium_det (premium_rcv_code,assorted_code, rec_amount,premium_rcv_detail_code,remaining_amt, payrec, mode_code,coinsurance_code,class_cd,it_remarks) values('29Apr250042','050000738367','5493',(select max(to_number(i.premium_rcv_detail_code))+1
from ins_premium_det i),'5493','5493','02', '11000003','00','Request by Mr. Omair Ali 30-Apr-2025');</v>
      </c>
    </row>
    <row r="518" spans="1:8" ht="105" x14ac:dyDescent="0.25">
      <c r="A518" t="s">
        <v>1143</v>
      </c>
      <c r="B518" s="1" t="str">
        <f>VLOOKUP(A518,Sheet5!B:C,2,0)</f>
        <v>050000738405</v>
      </c>
      <c r="C518" s="13">
        <v>1593</v>
      </c>
      <c r="D518" s="22">
        <f t="shared" si="33"/>
        <v>1593</v>
      </c>
      <c r="E518" s="21" t="s">
        <v>5912</v>
      </c>
      <c r="F518" s="23" t="str">
        <f t="shared" si="32"/>
        <v>insert into ins_premium_det (premium_rcv_code,assorted_code, rec_amount,premium_rcv_detail_code,remaining_amt, payrec, mode_code,coinsurance_code,class_cd,it_remarks) values</v>
      </c>
      <c r="G518" s="24" t="str">
        <f t="shared" si="34"/>
        <v>('29Apr250042','050000738405','1593',(select max(to_number(i.premium_rcv_detail_code))+1
from ins_premium_det i),'1593','1593','02', '11000003','00','Request by Mr. Omair Ali 30-Apr-2025');</v>
      </c>
      <c r="H518" s="25" t="str">
        <f t="shared" si="35"/>
        <v>insert into ins_premium_det (premium_rcv_code,assorted_code, rec_amount,premium_rcv_detail_code,remaining_amt, payrec, mode_code,coinsurance_code,class_cd,it_remarks) values('29Apr250042','050000738405','1593',(select max(to_number(i.premium_rcv_detail_code))+1
from ins_premium_det i),'1593','1593','02', '11000003','00','Request by Mr. Omair Ali 30-Apr-2025');</v>
      </c>
    </row>
    <row r="519" spans="1:8" ht="105" x14ac:dyDescent="0.25">
      <c r="A519" t="s">
        <v>1545</v>
      </c>
      <c r="B519" s="1" t="str">
        <f>VLOOKUP(A519,Sheet5!B:C,2,0)</f>
        <v>050000738411</v>
      </c>
      <c r="C519" s="13">
        <v>8029</v>
      </c>
      <c r="D519" s="22">
        <f t="shared" si="33"/>
        <v>8029</v>
      </c>
      <c r="E519" s="21" t="s">
        <v>5912</v>
      </c>
      <c r="F519" s="23" t="str">
        <f t="shared" si="32"/>
        <v>insert into ins_premium_det (premium_rcv_code,assorted_code, rec_amount,premium_rcv_detail_code,remaining_amt, payrec, mode_code,coinsurance_code,class_cd,it_remarks) values</v>
      </c>
      <c r="G519" s="24" t="str">
        <f t="shared" si="34"/>
        <v>('29Apr250042','050000738411','8029',(select max(to_number(i.premium_rcv_detail_code))+1
from ins_premium_det i),'8029','8029','02', '11000003','00','Request by Mr. Omair Ali 30-Apr-2025');</v>
      </c>
      <c r="H519" s="25" t="str">
        <f t="shared" si="35"/>
        <v>insert into ins_premium_det (premium_rcv_code,assorted_code, rec_amount,premium_rcv_detail_code,remaining_amt, payrec, mode_code,coinsurance_code,class_cd,it_remarks) values('29Apr250042','050000738411','8029',(select max(to_number(i.premium_rcv_detail_code))+1
from ins_premium_det i),'8029','8029','02', '11000003','00','Request by Mr. Omair Ali 30-Apr-2025');</v>
      </c>
    </row>
    <row r="520" spans="1:8" ht="105" x14ac:dyDescent="0.25">
      <c r="A520" t="s">
        <v>1576</v>
      </c>
      <c r="B520" s="1" t="str">
        <f>VLOOKUP(A520,Sheet5!B:C,2,0)</f>
        <v>050000738412</v>
      </c>
      <c r="C520" s="13">
        <v>3882</v>
      </c>
      <c r="D520" s="22">
        <f t="shared" si="33"/>
        <v>3882</v>
      </c>
      <c r="E520" s="21" t="s">
        <v>5912</v>
      </c>
      <c r="F520" s="23" t="str">
        <f t="shared" si="32"/>
        <v>insert into ins_premium_det (premium_rcv_code,assorted_code, rec_amount,premium_rcv_detail_code,remaining_amt, payrec, mode_code,coinsurance_code,class_cd,it_remarks) values</v>
      </c>
      <c r="G520" s="24" t="str">
        <f t="shared" si="34"/>
        <v>('29Apr250042','050000738412','3882',(select max(to_number(i.premium_rcv_detail_code))+1
from ins_premium_det i),'3882','3882','02', '11000003','00','Request by Mr. Omair Ali 30-Apr-2025');</v>
      </c>
      <c r="H520" s="25" t="str">
        <f t="shared" si="35"/>
        <v>insert into ins_premium_det (premium_rcv_code,assorted_code, rec_amount,premium_rcv_detail_code,remaining_amt, payrec, mode_code,coinsurance_code,class_cd,it_remarks) values('29Apr250042','050000738412','3882',(select max(to_number(i.premium_rcv_detail_code))+1
from ins_premium_det i),'3882','3882','02', '11000003','00','Request by Mr. Omair Ali 30-Apr-2025');</v>
      </c>
    </row>
    <row r="521" spans="1:8" ht="105" x14ac:dyDescent="0.25">
      <c r="A521" t="s">
        <v>361</v>
      </c>
      <c r="B521" s="1" t="str">
        <f>VLOOKUP(A521,Sheet5!B:C,2,0)</f>
        <v>050000738447</v>
      </c>
      <c r="C521" s="13">
        <v>3054</v>
      </c>
      <c r="D521" s="22">
        <f t="shared" si="33"/>
        <v>3054</v>
      </c>
      <c r="E521" s="21" t="s">
        <v>5912</v>
      </c>
      <c r="F521" s="23" t="str">
        <f t="shared" si="32"/>
        <v>insert into ins_premium_det (premium_rcv_code,assorted_code, rec_amount,premium_rcv_detail_code,remaining_amt, payrec, mode_code,coinsurance_code,class_cd,it_remarks) values</v>
      </c>
      <c r="G521" s="24" t="str">
        <f t="shared" si="34"/>
        <v>('29Apr250042','050000738447','3054',(select max(to_number(i.premium_rcv_detail_code))+1
from ins_premium_det i),'3054','3054','02', '11000003','00','Request by Mr. Omair Ali 30-Apr-2025');</v>
      </c>
      <c r="H521" s="25" t="str">
        <f t="shared" si="35"/>
        <v>insert into ins_premium_det (premium_rcv_code,assorted_code, rec_amount,premium_rcv_detail_code,remaining_amt, payrec, mode_code,coinsurance_code,class_cd,it_remarks) values('29Apr250042','050000738447','3054',(select max(to_number(i.premium_rcv_detail_code))+1
from ins_premium_det i),'3054','3054','02', '11000003','00','Request by Mr. Omair Ali 30-Apr-2025');</v>
      </c>
    </row>
    <row r="522" spans="1:8" ht="105" x14ac:dyDescent="0.25">
      <c r="A522" t="s">
        <v>376</v>
      </c>
      <c r="B522" s="1" t="str">
        <f>VLOOKUP(A522,Sheet5!B:C,2,0)</f>
        <v>050000738448</v>
      </c>
      <c r="C522" s="13">
        <v>6391</v>
      </c>
      <c r="D522" s="22">
        <f t="shared" si="33"/>
        <v>6391</v>
      </c>
      <c r="E522" s="21" t="s">
        <v>5912</v>
      </c>
      <c r="F522" s="23" t="str">
        <f t="shared" si="32"/>
        <v>insert into ins_premium_det (premium_rcv_code,assorted_code, rec_amount,premium_rcv_detail_code,remaining_amt, payrec, mode_code,coinsurance_code,class_cd,it_remarks) values</v>
      </c>
      <c r="G522" s="24" t="str">
        <f t="shared" si="34"/>
        <v>('29Apr250042','050000738448','6391',(select max(to_number(i.premium_rcv_detail_code))+1
from ins_premium_det i),'6391','6391','02', '11000003','00','Request by Mr. Omair Ali 30-Apr-2025');</v>
      </c>
      <c r="H522" s="25" t="str">
        <f t="shared" si="35"/>
        <v>insert into ins_premium_det (premium_rcv_code,assorted_code, rec_amount,premium_rcv_detail_code,remaining_amt, payrec, mode_code,coinsurance_code,class_cd,it_remarks) values('29Apr250042','050000738448','6391',(select max(to_number(i.premium_rcv_detail_code))+1
from ins_premium_det i),'6391','6391','02', '11000003','00','Request by Mr. Omair Ali 30-Apr-2025');</v>
      </c>
    </row>
    <row r="523" spans="1:8" ht="105" x14ac:dyDescent="0.25">
      <c r="A523" t="s">
        <v>472</v>
      </c>
      <c r="B523" s="1" t="str">
        <f>VLOOKUP(A523,Sheet5!B:C,2,0)</f>
        <v>050000738451</v>
      </c>
      <c r="C523" s="13">
        <v>6004</v>
      </c>
      <c r="D523" s="22">
        <f t="shared" si="33"/>
        <v>6004</v>
      </c>
      <c r="E523" s="21" t="s">
        <v>5912</v>
      </c>
      <c r="F523" s="23" t="str">
        <f t="shared" si="32"/>
        <v>insert into ins_premium_det (premium_rcv_code,assorted_code, rec_amount,premium_rcv_detail_code,remaining_amt, payrec, mode_code,coinsurance_code,class_cd,it_remarks) values</v>
      </c>
      <c r="G523" s="24" t="str">
        <f t="shared" si="34"/>
        <v>('29Apr250042','050000738451','6004',(select max(to_number(i.premium_rcv_detail_code))+1
from ins_premium_det i),'6004','6004','02', '11000003','00','Request by Mr. Omair Ali 30-Apr-2025');</v>
      </c>
      <c r="H523" s="25" t="str">
        <f t="shared" si="35"/>
        <v>insert into ins_premium_det (premium_rcv_code,assorted_code, rec_amount,premium_rcv_detail_code,remaining_amt, payrec, mode_code,coinsurance_code,class_cd,it_remarks) values('29Apr250042','050000738451','6004',(select max(to_number(i.premium_rcv_detail_code))+1
from ins_premium_det i),'6004','6004','02', '11000003','00','Request by Mr. Omair Ali 30-Apr-2025');</v>
      </c>
    </row>
    <row r="524" spans="1:8" ht="105" x14ac:dyDescent="0.25">
      <c r="A524" t="s">
        <v>982</v>
      </c>
      <c r="B524" s="1" t="str">
        <f>VLOOKUP(A524,Sheet5!B:C,2,0)</f>
        <v>050000738454</v>
      </c>
      <c r="C524" s="13">
        <v>706</v>
      </c>
      <c r="D524" s="22">
        <f t="shared" si="33"/>
        <v>706</v>
      </c>
      <c r="E524" s="21" t="s">
        <v>5912</v>
      </c>
      <c r="F524" s="23" t="str">
        <f t="shared" si="32"/>
        <v>insert into ins_premium_det (premium_rcv_code,assorted_code, rec_amount,premium_rcv_detail_code,remaining_amt, payrec, mode_code,coinsurance_code,class_cd,it_remarks) values</v>
      </c>
      <c r="G524" s="24" t="str">
        <f t="shared" si="34"/>
        <v>('29Apr250042','050000738454','706',(select max(to_number(i.premium_rcv_detail_code))+1
from ins_premium_det i),'706','706','02', '11000003','00','Request by Mr. Omair Ali 30-Apr-2025');</v>
      </c>
      <c r="H524" s="25" t="str">
        <f t="shared" si="35"/>
        <v>insert into ins_premium_det (premium_rcv_code,assorted_code, rec_amount,premium_rcv_detail_code,remaining_amt, payrec, mode_code,coinsurance_code,class_cd,it_remarks) values('29Apr250042','050000738454','706',(select max(to_number(i.premium_rcv_detail_code))+1
from ins_premium_det i),'706','706','02', '11000003','00','Request by Mr. Omair Ali 30-Apr-2025');</v>
      </c>
    </row>
    <row r="525" spans="1:8" ht="105" x14ac:dyDescent="0.25">
      <c r="A525" t="s">
        <v>1007</v>
      </c>
      <c r="B525" s="1" t="str">
        <f>VLOOKUP(A525,Sheet5!B:C,2,0)</f>
        <v>050000738457</v>
      </c>
      <c r="C525" s="13">
        <v>5800</v>
      </c>
      <c r="D525" s="22">
        <f t="shared" si="33"/>
        <v>5800</v>
      </c>
      <c r="E525" s="21" t="s">
        <v>5912</v>
      </c>
      <c r="F525" s="23" t="str">
        <f t="shared" si="32"/>
        <v>insert into ins_premium_det (premium_rcv_code,assorted_code, rec_amount,premium_rcv_detail_code,remaining_amt, payrec, mode_code,coinsurance_code,class_cd,it_remarks) values</v>
      </c>
      <c r="G525" s="24" t="str">
        <f t="shared" si="34"/>
        <v>('29Apr250042','050000738457','5800',(select max(to_number(i.premium_rcv_detail_code))+1
from ins_premium_det i),'5800','5800','02', '11000003','00','Request by Mr. Omair Ali 30-Apr-2025');</v>
      </c>
      <c r="H525" s="25" t="str">
        <f t="shared" si="35"/>
        <v>insert into ins_premium_det (premium_rcv_code,assorted_code, rec_amount,premium_rcv_detail_code,remaining_amt, payrec, mode_code,coinsurance_code,class_cd,it_remarks) values('29Apr250042','050000738457','5800',(select max(to_number(i.premium_rcv_detail_code))+1
from ins_premium_det i),'5800','5800','02', '11000003','00','Request by Mr. Omair Ali 30-Apr-2025');</v>
      </c>
    </row>
    <row r="526" spans="1:8" ht="105" x14ac:dyDescent="0.25">
      <c r="A526" t="s">
        <v>1392</v>
      </c>
      <c r="B526" s="1" t="str">
        <f>VLOOKUP(A526,Sheet5!B:C,2,0)</f>
        <v>050000738463</v>
      </c>
      <c r="C526" s="13">
        <v>2329</v>
      </c>
      <c r="D526" s="22">
        <f t="shared" si="33"/>
        <v>2329</v>
      </c>
      <c r="E526" s="21" t="s">
        <v>5912</v>
      </c>
      <c r="F526" s="23" t="str">
        <f t="shared" si="32"/>
        <v>insert into ins_premium_det (premium_rcv_code,assorted_code, rec_amount,premium_rcv_detail_code,remaining_amt, payrec, mode_code,coinsurance_code,class_cd,it_remarks) values</v>
      </c>
      <c r="G526" s="24" t="str">
        <f t="shared" si="34"/>
        <v>('29Apr250042','050000738463','2329',(select max(to_number(i.premium_rcv_detail_code))+1
from ins_premium_det i),'2329','2329','02', '11000003','00','Request by Mr. Omair Ali 30-Apr-2025');</v>
      </c>
      <c r="H526" s="25" t="str">
        <f t="shared" si="35"/>
        <v>insert into ins_premium_det (premium_rcv_code,assorted_code, rec_amount,premium_rcv_detail_code,remaining_amt, payrec, mode_code,coinsurance_code,class_cd,it_remarks) values('29Apr250042','050000738463','2329',(select max(to_number(i.premium_rcv_detail_code))+1
from ins_premium_det i),'2329','2329','02', '11000003','00','Request by Mr. Omair Ali 30-Apr-2025');</v>
      </c>
    </row>
    <row r="527" spans="1:8" ht="105" x14ac:dyDescent="0.25">
      <c r="A527" t="s">
        <v>1593</v>
      </c>
      <c r="B527" s="1" t="str">
        <f>VLOOKUP(A527,Sheet5!B:C,2,0)</f>
        <v>050000738467</v>
      </c>
      <c r="C527" s="13">
        <v>3614</v>
      </c>
      <c r="D527" s="22">
        <f t="shared" si="33"/>
        <v>3614</v>
      </c>
      <c r="E527" s="21" t="s">
        <v>5912</v>
      </c>
      <c r="F527" s="23" t="str">
        <f t="shared" si="32"/>
        <v>insert into ins_premium_det (premium_rcv_code,assorted_code, rec_amount,premium_rcv_detail_code,remaining_amt, payrec, mode_code,coinsurance_code,class_cd,it_remarks) values</v>
      </c>
      <c r="G527" s="24" t="str">
        <f t="shared" si="34"/>
        <v>('29Apr250042','050000738467','3614',(select max(to_number(i.premium_rcv_detail_code))+1
from ins_premium_det i),'3614','3614','02', '11000003','00','Request by Mr. Omair Ali 30-Apr-2025');</v>
      </c>
      <c r="H527" s="25" t="str">
        <f t="shared" si="35"/>
        <v>insert into ins_premium_det (premium_rcv_code,assorted_code, rec_amount,premium_rcv_detail_code,remaining_amt, payrec, mode_code,coinsurance_code,class_cd,it_remarks) values('29Apr250042','050000738467','3614',(select max(to_number(i.premium_rcv_detail_code))+1
from ins_premium_det i),'3614','3614','02', '11000003','00','Request by Mr. Omair Ali 30-Apr-2025');</v>
      </c>
    </row>
    <row r="528" spans="1:8" ht="105" x14ac:dyDescent="0.25">
      <c r="A528" t="s">
        <v>253</v>
      </c>
      <c r="B528" s="1" t="str">
        <f>VLOOKUP(A528,Sheet5!B:C,2,0)</f>
        <v>050000738805</v>
      </c>
      <c r="C528" s="13">
        <v>4216</v>
      </c>
      <c r="D528" s="22">
        <f t="shared" si="33"/>
        <v>4216</v>
      </c>
      <c r="E528" s="21" t="s">
        <v>5912</v>
      </c>
      <c r="F528" s="23" t="str">
        <f t="shared" si="32"/>
        <v>insert into ins_premium_det (premium_rcv_code,assorted_code, rec_amount,premium_rcv_detail_code,remaining_amt, payrec, mode_code,coinsurance_code,class_cd,it_remarks) values</v>
      </c>
      <c r="G528" s="24" t="str">
        <f t="shared" si="34"/>
        <v>('29Apr250042','050000738805','4216',(select max(to_number(i.premium_rcv_detail_code))+1
from ins_premium_det i),'4216','4216','02', '11000003','00','Request by Mr. Omair Ali 30-Apr-2025');</v>
      </c>
      <c r="H528" s="25" t="str">
        <f t="shared" si="35"/>
        <v>insert into ins_premium_det (premium_rcv_code,assorted_code, rec_amount,premium_rcv_detail_code,remaining_amt, payrec, mode_code,coinsurance_code,class_cd,it_remarks) values('29Apr250042','050000738805','4216',(select max(to_number(i.premium_rcv_detail_code))+1
from ins_premium_det i),'4216','4216','02', '11000003','00','Request by Mr. Omair Ali 30-Apr-2025');</v>
      </c>
    </row>
    <row r="529" spans="1:8" ht="105" x14ac:dyDescent="0.25">
      <c r="A529" t="s">
        <v>259</v>
      </c>
      <c r="B529" s="1" t="str">
        <f>VLOOKUP(A529,Sheet5!B:C,2,0)</f>
        <v>050000738806</v>
      </c>
      <c r="C529" s="13">
        <v>662</v>
      </c>
      <c r="D529" s="22">
        <f t="shared" si="33"/>
        <v>662</v>
      </c>
      <c r="E529" s="21" t="s">
        <v>5912</v>
      </c>
      <c r="F529" s="23" t="str">
        <f t="shared" si="32"/>
        <v>insert into ins_premium_det (premium_rcv_code,assorted_code, rec_amount,premium_rcv_detail_code,remaining_amt, payrec, mode_code,coinsurance_code,class_cd,it_remarks) values</v>
      </c>
      <c r="G529" s="24" t="str">
        <f t="shared" si="34"/>
        <v>('29Apr250042','050000738806','662',(select max(to_number(i.premium_rcv_detail_code))+1
from ins_premium_det i),'662','662','02', '11000003','00','Request by Mr. Omair Ali 30-Apr-2025');</v>
      </c>
      <c r="H529" s="25" t="str">
        <f t="shared" si="35"/>
        <v>insert into ins_premium_det (premium_rcv_code,assorted_code, rec_amount,premium_rcv_detail_code,remaining_amt, payrec, mode_code,coinsurance_code,class_cd,it_remarks) values('29Apr250042','050000738806','662',(select max(to_number(i.premium_rcv_detail_code))+1
from ins_premium_det i),'662','662','02', '11000003','00','Request by Mr. Omair Ali 30-Apr-2025');</v>
      </c>
    </row>
    <row r="530" spans="1:8" ht="105" x14ac:dyDescent="0.25">
      <c r="A530" t="s">
        <v>460</v>
      </c>
      <c r="B530" s="1" t="str">
        <f>VLOOKUP(A530,Sheet5!B:C,2,0)</f>
        <v>050000739217</v>
      </c>
      <c r="C530" s="13">
        <v>3641</v>
      </c>
      <c r="D530" s="22">
        <f t="shared" si="33"/>
        <v>3641</v>
      </c>
      <c r="E530" s="21" t="s">
        <v>5912</v>
      </c>
      <c r="F530" s="23" t="str">
        <f t="shared" si="32"/>
        <v>insert into ins_premium_det (premium_rcv_code,assorted_code, rec_amount,premium_rcv_detail_code,remaining_amt, payrec, mode_code,coinsurance_code,class_cd,it_remarks) values</v>
      </c>
      <c r="G530" s="24" t="str">
        <f t="shared" si="34"/>
        <v>('29Apr250042','050000739217','3641',(select max(to_number(i.premium_rcv_detail_code))+1
from ins_premium_det i),'3641','3641','02', '11000003','00','Request by Mr. Omair Ali 30-Apr-2025');</v>
      </c>
      <c r="H530" s="25" t="str">
        <f t="shared" si="35"/>
        <v>insert into ins_premium_det (premium_rcv_code,assorted_code, rec_amount,premium_rcv_detail_code,remaining_amt, payrec, mode_code,coinsurance_code,class_cd,it_remarks) values('29Apr250042','050000739217','3641',(select max(to_number(i.premium_rcv_detail_code))+1
from ins_premium_det i),'3641','3641','02', '11000003','00','Request by Mr. Omair Ali 30-Apr-2025');</v>
      </c>
    </row>
    <row r="531" spans="1:8" ht="105" x14ac:dyDescent="0.25">
      <c r="A531" t="s">
        <v>1371</v>
      </c>
      <c r="B531" s="1" t="str">
        <f>VLOOKUP(A531,Sheet5!B:C,2,0)</f>
        <v>050000739222</v>
      </c>
      <c r="C531" s="13">
        <v>3385</v>
      </c>
      <c r="D531" s="22">
        <f t="shared" si="33"/>
        <v>3385</v>
      </c>
      <c r="E531" s="21" t="s">
        <v>5912</v>
      </c>
      <c r="F531" s="23" t="str">
        <f t="shared" si="32"/>
        <v>insert into ins_premium_det (premium_rcv_code,assorted_code, rec_amount,premium_rcv_detail_code,remaining_amt, payrec, mode_code,coinsurance_code,class_cd,it_remarks) values</v>
      </c>
      <c r="G531" s="24" t="str">
        <f t="shared" si="34"/>
        <v>('29Apr250042','050000739222','3385',(select max(to_number(i.premium_rcv_detail_code))+1
from ins_premium_det i),'3385','3385','02', '11000003','00','Request by Mr. Omair Ali 30-Apr-2025');</v>
      </c>
      <c r="H531" s="25" t="str">
        <f t="shared" si="35"/>
        <v>insert into ins_premium_det (premium_rcv_code,assorted_code, rec_amount,premium_rcv_detail_code,remaining_amt, payrec, mode_code,coinsurance_code,class_cd,it_remarks) values('29Apr250042','050000739222','3385',(select max(to_number(i.premium_rcv_detail_code))+1
from ins_premium_det i),'3385','3385','02', '11000003','00','Request by Mr. Omair Ali 30-Apr-2025');</v>
      </c>
    </row>
    <row r="532" spans="1:8" ht="105" x14ac:dyDescent="0.25">
      <c r="A532" t="s">
        <v>711</v>
      </c>
      <c r="B532" s="1" t="str">
        <f>VLOOKUP(A532,Sheet5!B:C,2,0)</f>
        <v>050000739287</v>
      </c>
      <c r="C532" s="13">
        <v>451</v>
      </c>
      <c r="D532" s="22">
        <f t="shared" si="33"/>
        <v>451</v>
      </c>
      <c r="E532" s="21" t="s">
        <v>5912</v>
      </c>
      <c r="F532" s="23" t="str">
        <f t="shared" si="32"/>
        <v>insert into ins_premium_det (premium_rcv_code,assorted_code, rec_amount,premium_rcv_detail_code,remaining_amt, payrec, mode_code,coinsurance_code,class_cd,it_remarks) values</v>
      </c>
      <c r="G532" s="24" t="str">
        <f t="shared" si="34"/>
        <v>('29Apr250042','050000739287','451',(select max(to_number(i.premium_rcv_detail_code))+1
from ins_premium_det i),'451','451','02', '11000003','00','Request by Mr. Omair Ali 30-Apr-2025');</v>
      </c>
      <c r="H532" s="25" t="str">
        <f t="shared" si="35"/>
        <v>insert into ins_premium_det (premium_rcv_code,assorted_code, rec_amount,premium_rcv_detail_code,remaining_amt, payrec, mode_code,coinsurance_code,class_cd,it_remarks) values('29Apr250042','050000739287','451',(select max(to_number(i.premium_rcv_detail_code))+1
from ins_premium_det i),'451','451','02', '11000003','00','Request by Mr. Omair Ali 30-Apr-2025');</v>
      </c>
    </row>
    <row r="533" spans="1:8" ht="105" x14ac:dyDescent="0.25">
      <c r="A533" t="s">
        <v>872</v>
      </c>
      <c r="B533" s="1" t="str">
        <f>VLOOKUP(A533,Sheet5!B:C,2,0)</f>
        <v>050000739292</v>
      </c>
      <c r="C533" s="13">
        <v>14</v>
      </c>
      <c r="D533" s="22">
        <f t="shared" si="33"/>
        <v>14</v>
      </c>
      <c r="E533" s="21" t="s">
        <v>5912</v>
      </c>
      <c r="F533" s="23" t="str">
        <f t="shared" si="32"/>
        <v>insert into ins_premium_det (premium_rcv_code,assorted_code, rec_amount,premium_rcv_detail_code,remaining_amt, payrec, mode_code,coinsurance_code,class_cd,it_remarks) values</v>
      </c>
      <c r="G533" s="24" t="str">
        <f t="shared" si="34"/>
        <v>('29Apr250042','050000739292','14',(select max(to_number(i.premium_rcv_detail_code))+1
from ins_premium_det i),'14','14','02', '11000003','00','Request by Mr. Omair Ali 30-Apr-2025');</v>
      </c>
      <c r="H533" s="25" t="str">
        <f t="shared" si="35"/>
        <v>insert into ins_premium_det (premium_rcv_code,assorted_code, rec_amount,premium_rcv_detail_code,remaining_amt, payrec, mode_code,coinsurance_code,class_cd,it_remarks) values('29Apr250042','050000739292','14',(select max(to_number(i.premium_rcv_detail_code))+1
from ins_premium_det i),'14','14','02', '11000003','00','Request by Mr. Omair Ali 30-Apr-2025');</v>
      </c>
    </row>
    <row r="534" spans="1:8" ht="105" x14ac:dyDescent="0.25">
      <c r="A534" t="s">
        <v>1405</v>
      </c>
      <c r="B534" s="1" t="str">
        <f>VLOOKUP(A534,Sheet5!B:C,2,0)</f>
        <v>050000739295</v>
      </c>
      <c r="C534" s="13">
        <v>3096</v>
      </c>
      <c r="D534" s="22">
        <f t="shared" si="33"/>
        <v>3096</v>
      </c>
      <c r="E534" s="21" t="s">
        <v>5912</v>
      </c>
      <c r="F534" s="23" t="str">
        <f t="shared" si="32"/>
        <v>insert into ins_premium_det (premium_rcv_code,assorted_code, rec_amount,premium_rcv_detail_code,remaining_amt, payrec, mode_code,coinsurance_code,class_cd,it_remarks) values</v>
      </c>
      <c r="G534" s="24" t="str">
        <f t="shared" si="34"/>
        <v>('29Apr250042','050000739295','3096',(select max(to_number(i.premium_rcv_detail_code))+1
from ins_premium_det i),'3096','3096','02', '11000003','00','Request by Mr. Omair Ali 30-Apr-2025');</v>
      </c>
      <c r="H534" s="25" t="str">
        <f t="shared" si="35"/>
        <v>insert into ins_premium_det (premium_rcv_code,assorted_code, rec_amount,premium_rcv_detail_code,remaining_amt, payrec, mode_code,coinsurance_code,class_cd,it_remarks) values('29Apr250042','050000739295','3096',(select max(to_number(i.premium_rcv_detail_code))+1
from ins_premium_det i),'3096','3096','02', '11000003','00','Request by Mr. Omair Ali 30-Apr-2025');</v>
      </c>
    </row>
    <row r="535" spans="1:8" ht="105" x14ac:dyDescent="0.25">
      <c r="A535" t="s">
        <v>220</v>
      </c>
      <c r="B535" s="1" t="str">
        <f>VLOOKUP(A535,Sheet5!B:C,2,0)</f>
        <v>050000739352</v>
      </c>
      <c r="C535" s="13">
        <v>4091</v>
      </c>
      <c r="D535" s="22">
        <f t="shared" si="33"/>
        <v>4091</v>
      </c>
      <c r="E535" s="21" t="s">
        <v>5912</v>
      </c>
      <c r="F535" s="23" t="str">
        <f t="shared" si="32"/>
        <v>insert into ins_premium_det (premium_rcv_code,assorted_code, rec_amount,premium_rcv_detail_code,remaining_amt, payrec, mode_code,coinsurance_code,class_cd,it_remarks) values</v>
      </c>
      <c r="G535" s="24" t="str">
        <f t="shared" si="34"/>
        <v>('29Apr250042','050000739352','4091',(select max(to_number(i.premium_rcv_detail_code))+1
from ins_premium_det i),'4091','4091','02', '11000003','00','Request by Mr. Omair Ali 30-Apr-2025');</v>
      </c>
      <c r="H535" s="25" t="str">
        <f t="shared" si="35"/>
        <v>insert into ins_premium_det (premium_rcv_code,assorted_code, rec_amount,premium_rcv_detail_code,remaining_amt, payrec, mode_code,coinsurance_code,class_cd,it_remarks) values('29Apr250042','050000739352','4091',(select max(to_number(i.premium_rcv_detail_code))+1
from ins_premium_det i),'4091','4091','02', '11000003','00','Request by Mr. Omair Ali 30-Apr-2025');</v>
      </c>
    </row>
    <row r="536" spans="1:8" ht="105" x14ac:dyDescent="0.25">
      <c r="A536" t="s">
        <v>274</v>
      </c>
      <c r="B536" s="1" t="str">
        <f>VLOOKUP(A536,Sheet5!B:C,2,0)</f>
        <v>050000739355</v>
      </c>
      <c r="C536" s="13">
        <v>2918</v>
      </c>
      <c r="D536" s="22">
        <f t="shared" si="33"/>
        <v>2918</v>
      </c>
      <c r="E536" s="21" t="s">
        <v>5912</v>
      </c>
      <c r="F536" s="23" t="str">
        <f t="shared" si="32"/>
        <v>insert into ins_premium_det (premium_rcv_code,assorted_code, rec_amount,premium_rcv_detail_code,remaining_amt, payrec, mode_code,coinsurance_code,class_cd,it_remarks) values</v>
      </c>
      <c r="G536" s="24" t="str">
        <f t="shared" si="34"/>
        <v>('29Apr250042','050000739355','2918',(select max(to_number(i.premium_rcv_detail_code))+1
from ins_premium_det i),'2918','2918','02', '11000003','00','Request by Mr. Omair Ali 30-Apr-2025');</v>
      </c>
      <c r="H536" s="25" t="str">
        <f t="shared" si="35"/>
        <v>insert into ins_premium_det (premium_rcv_code,assorted_code, rec_amount,premium_rcv_detail_code,remaining_amt, payrec, mode_code,coinsurance_code,class_cd,it_remarks) values('29Apr250042','050000739355','2918',(select max(to_number(i.premium_rcv_detail_code))+1
from ins_premium_det i),'2918','2918','02', '11000003','00','Request by Mr. Omair Ali 30-Apr-2025');</v>
      </c>
    </row>
    <row r="537" spans="1:8" ht="105" x14ac:dyDescent="0.25">
      <c r="A537" t="s">
        <v>395</v>
      </c>
      <c r="B537" s="1" t="str">
        <f>VLOOKUP(A537,Sheet5!B:C,2,0)</f>
        <v>050000739357</v>
      </c>
      <c r="C537" s="13">
        <v>2924</v>
      </c>
      <c r="D537" s="22">
        <f t="shared" si="33"/>
        <v>2924</v>
      </c>
      <c r="E537" s="21" t="s">
        <v>5912</v>
      </c>
      <c r="F537" s="23" t="str">
        <f t="shared" si="32"/>
        <v>insert into ins_premium_det (premium_rcv_code,assorted_code, rec_amount,premium_rcv_detail_code,remaining_amt, payrec, mode_code,coinsurance_code,class_cd,it_remarks) values</v>
      </c>
      <c r="G537" s="24" t="str">
        <f t="shared" si="34"/>
        <v>('29Apr250042','050000739357','2924',(select max(to_number(i.premium_rcv_detail_code))+1
from ins_premium_det i),'2924','2924','02', '11000003','00','Request by Mr. Omair Ali 30-Apr-2025');</v>
      </c>
      <c r="H537" s="25" t="str">
        <f t="shared" si="35"/>
        <v>insert into ins_premium_det (premium_rcv_code,assorted_code, rec_amount,premium_rcv_detail_code,remaining_amt, payrec, mode_code,coinsurance_code,class_cd,it_remarks) values('29Apr250042','050000739357','2924',(select max(to_number(i.premium_rcv_detail_code))+1
from ins_premium_det i),'2924','2924','02', '11000003','00','Request by Mr. Omair Ali 30-Apr-2025');</v>
      </c>
    </row>
    <row r="538" spans="1:8" ht="105" x14ac:dyDescent="0.25">
      <c r="A538" t="s">
        <v>815</v>
      </c>
      <c r="B538" s="1" t="str">
        <f>VLOOKUP(A538,Sheet5!B:C,2,0)</f>
        <v>050000739358</v>
      </c>
      <c r="C538" s="13">
        <v>449</v>
      </c>
      <c r="D538" s="22">
        <f t="shared" si="33"/>
        <v>449</v>
      </c>
      <c r="E538" s="21" t="s">
        <v>5912</v>
      </c>
      <c r="F538" s="23" t="str">
        <f t="shared" si="32"/>
        <v>insert into ins_premium_det (premium_rcv_code,assorted_code, rec_amount,premium_rcv_detail_code,remaining_amt, payrec, mode_code,coinsurance_code,class_cd,it_remarks) values</v>
      </c>
      <c r="G538" s="24" t="str">
        <f t="shared" si="34"/>
        <v>('29Apr250042','050000739358','449',(select max(to_number(i.premium_rcv_detail_code))+1
from ins_premium_det i),'449','449','02', '11000003','00','Request by Mr. Omair Ali 30-Apr-2025');</v>
      </c>
      <c r="H538" s="25" t="str">
        <f t="shared" si="35"/>
        <v>insert into ins_premium_det (premium_rcv_code,assorted_code, rec_amount,premium_rcv_detail_code,remaining_amt, payrec, mode_code,coinsurance_code,class_cd,it_remarks) values('29Apr250042','050000739358','449',(select max(to_number(i.premium_rcv_detail_code))+1
from ins_premium_det i),'449','449','02', '11000003','00','Request by Mr. Omair Ali 30-Apr-2025');</v>
      </c>
    </row>
    <row r="539" spans="1:8" ht="105" x14ac:dyDescent="0.25">
      <c r="A539" t="s">
        <v>1168</v>
      </c>
      <c r="B539" s="1" t="str">
        <f>VLOOKUP(A539,Sheet5!B:C,2,0)</f>
        <v>050000739362</v>
      </c>
      <c r="C539" s="13">
        <v>8016</v>
      </c>
      <c r="D539" s="22">
        <f t="shared" si="33"/>
        <v>8016</v>
      </c>
      <c r="E539" s="21" t="s">
        <v>5912</v>
      </c>
      <c r="F539" s="23" t="str">
        <f t="shared" si="32"/>
        <v>insert into ins_premium_det (premium_rcv_code,assorted_code, rec_amount,premium_rcv_detail_code,remaining_amt, payrec, mode_code,coinsurance_code,class_cd,it_remarks) values</v>
      </c>
      <c r="G539" s="24" t="str">
        <f t="shared" si="34"/>
        <v>('29Apr250042','050000739362','8016',(select max(to_number(i.premium_rcv_detail_code))+1
from ins_premium_det i),'8016','8016','02', '11000003','00','Request by Mr. Omair Ali 30-Apr-2025');</v>
      </c>
      <c r="H539" s="25" t="str">
        <f t="shared" si="35"/>
        <v>insert into ins_premium_det (premium_rcv_code,assorted_code, rec_amount,premium_rcv_detail_code,remaining_amt, payrec, mode_code,coinsurance_code,class_cd,it_remarks) values('29Apr250042','050000739362','8016',(select max(to_number(i.premium_rcv_detail_code))+1
from ins_premium_det i),'8016','8016','02', '11000003','00','Request by Mr. Omair Ali 30-Apr-2025');</v>
      </c>
    </row>
    <row r="540" spans="1:8" ht="105" x14ac:dyDescent="0.25">
      <c r="A540" t="s">
        <v>1607</v>
      </c>
      <c r="B540" s="1" t="str">
        <f>VLOOKUP(A540,Sheet5!B:C,2,0)</f>
        <v>050000739366</v>
      </c>
      <c r="C540" s="13">
        <v>2828</v>
      </c>
      <c r="D540" s="22">
        <f t="shared" si="33"/>
        <v>2828</v>
      </c>
      <c r="E540" s="21" t="s">
        <v>5912</v>
      </c>
      <c r="F540" s="23" t="str">
        <f t="shared" si="32"/>
        <v>insert into ins_premium_det (premium_rcv_code,assorted_code, rec_amount,premium_rcv_detail_code,remaining_amt, payrec, mode_code,coinsurance_code,class_cd,it_remarks) values</v>
      </c>
      <c r="G540" s="24" t="str">
        <f t="shared" si="34"/>
        <v>('29Apr250042','050000739366','2828',(select max(to_number(i.premium_rcv_detail_code))+1
from ins_premium_det i),'2828','2828','02', '11000003','00','Request by Mr. Omair Ali 30-Apr-2025');</v>
      </c>
      <c r="H540" s="25" t="str">
        <f t="shared" si="35"/>
        <v>insert into ins_premium_det (premium_rcv_code,assorted_code, rec_amount,premium_rcv_detail_code,remaining_amt, payrec, mode_code,coinsurance_code,class_cd,it_remarks) values('29Apr250042','050000739366','2828',(select max(to_number(i.premium_rcv_detail_code))+1
from ins_premium_det i),'2828','2828','02', '11000003','00','Request by Mr. Omair Ali 30-Apr-2025');</v>
      </c>
    </row>
    <row r="541" spans="1:8" ht="105" x14ac:dyDescent="0.25">
      <c r="A541" t="s">
        <v>366</v>
      </c>
      <c r="B541" s="1" t="str">
        <f>VLOOKUP(A541,Sheet5!B:C,2,0)</f>
        <v>050000739471</v>
      </c>
      <c r="C541" s="13">
        <v>1249</v>
      </c>
      <c r="D541" s="22">
        <f t="shared" si="33"/>
        <v>1249</v>
      </c>
      <c r="E541" s="21" t="s">
        <v>5912</v>
      </c>
      <c r="F541" s="23" t="str">
        <f t="shared" si="32"/>
        <v>insert into ins_premium_det (premium_rcv_code,assorted_code, rec_amount,premium_rcv_detail_code,remaining_amt, payrec, mode_code,coinsurance_code,class_cd,it_remarks) values</v>
      </c>
      <c r="G541" s="24" t="str">
        <f t="shared" si="34"/>
        <v>('29Apr250042','050000739471','1249',(select max(to_number(i.premium_rcv_detail_code))+1
from ins_premium_det i),'1249','1249','02', '11000003','00','Request by Mr. Omair Ali 30-Apr-2025');</v>
      </c>
      <c r="H541" s="25" t="str">
        <f t="shared" si="35"/>
        <v>insert into ins_premium_det (premium_rcv_code,assorted_code, rec_amount,premium_rcv_detail_code,remaining_amt, payrec, mode_code,coinsurance_code,class_cd,it_remarks) values('29Apr250042','050000739471','1249',(select max(to_number(i.premium_rcv_detail_code))+1
from ins_premium_det i),'1249','1249','02', '11000003','00','Request by Mr. Omair Ali 30-Apr-2025');</v>
      </c>
    </row>
    <row r="542" spans="1:8" ht="105" x14ac:dyDescent="0.25">
      <c r="A542" t="s">
        <v>721</v>
      </c>
      <c r="B542" s="1" t="str">
        <f>VLOOKUP(A542,Sheet5!B:C,2,0)</f>
        <v>050000739476</v>
      </c>
      <c r="C542" s="13">
        <v>2937</v>
      </c>
      <c r="D542" s="22">
        <f t="shared" si="33"/>
        <v>2937</v>
      </c>
      <c r="E542" s="21" t="s">
        <v>5912</v>
      </c>
      <c r="F542" s="23" t="str">
        <f t="shared" si="32"/>
        <v>insert into ins_premium_det (premium_rcv_code,assorted_code, rec_amount,premium_rcv_detail_code,remaining_amt, payrec, mode_code,coinsurance_code,class_cd,it_remarks) values</v>
      </c>
      <c r="G542" s="24" t="str">
        <f t="shared" si="34"/>
        <v>('29Apr250042','050000739476','2937',(select max(to_number(i.premium_rcv_detail_code))+1
from ins_premium_det i),'2937','2937','02', '11000003','00','Request by Mr. Omair Ali 30-Apr-2025');</v>
      </c>
      <c r="H542" s="25" t="str">
        <f t="shared" si="35"/>
        <v>insert into ins_premium_det (premium_rcv_code,assorted_code, rec_amount,premium_rcv_detail_code,remaining_amt, payrec, mode_code,coinsurance_code,class_cd,it_remarks) values('29Apr250042','050000739476','2937',(select max(to_number(i.premium_rcv_detail_code))+1
from ins_premium_det i),'2937','2937','02', '11000003','00','Request by Mr. Omair Ali 30-Apr-2025');</v>
      </c>
    </row>
    <row r="543" spans="1:8" ht="105" x14ac:dyDescent="0.25">
      <c r="A543" t="s">
        <v>738</v>
      </c>
      <c r="B543" s="1" t="str">
        <f>VLOOKUP(A543,Sheet5!B:C,2,0)</f>
        <v>050000739481</v>
      </c>
      <c r="C543" s="13">
        <v>2902</v>
      </c>
      <c r="D543" s="22">
        <f t="shared" si="33"/>
        <v>2902</v>
      </c>
      <c r="E543" s="21" t="s">
        <v>5912</v>
      </c>
      <c r="F543" s="23" t="str">
        <f t="shared" si="32"/>
        <v>insert into ins_premium_det (premium_rcv_code,assorted_code, rec_amount,premium_rcv_detail_code,remaining_amt, payrec, mode_code,coinsurance_code,class_cd,it_remarks) values</v>
      </c>
      <c r="G543" s="24" t="str">
        <f t="shared" si="34"/>
        <v>('29Apr250042','050000739481','2902',(select max(to_number(i.premium_rcv_detail_code))+1
from ins_premium_det i),'2902','2902','02', '11000003','00','Request by Mr. Omair Ali 30-Apr-2025');</v>
      </c>
      <c r="H543" s="25" t="str">
        <f t="shared" si="35"/>
        <v>insert into ins_premium_det (premium_rcv_code,assorted_code, rec_amount,premium_rcv_detail_code,remaining_amt, payrec, mode_code,coinsurance_code,class_cd,it_remarks) values('29Apr250042','050000739481','2902',(select max(to_number(i.premium_rcv_detail_code))+1
from ins_premium_det i),'2902','2902','02', '11000003','00','Request by Mr. Omair Ali 30-Apr-2025');</v>
      </c>
    </row>
    <row r="544" spans="1:8" ht="105" x14ac:dyDescent="0.25">
      <c r="A544" t="s">
        <v>746</v>
      </c>
      <c r="B544" s="1" t="str">
        <f>VLOOKUP(A544,Sheet5!B:C,2,0)</f>
        <v>050000739482</v>
      </c>
      <c r="C544" s="13">
        <v>605</v>
      </c>
      <c r="D544" s="22">
        <f t="shared" si="33"/>
        <v>605</v>
      </c>
      <c r="E544" s="21" t="s">
        <v>5912</v>
      </c>
      <c r="F544" s="23" t="str">
        <f t="shared" si="32"/>
        <v>insert into ins_premium_det (premium_rcv_code,assorted_code, rec_amount,premium_rcv_detail_code,remaining_amt, payrec, mode_code,coinsurance_code,class_cd,it_remarks) values</v>
      </c>
      <c r="G544" s="24" t="str">
        <f t="shared" si="34"/>
        <v>('29Apr250042','050000739482','605',(select max(to_number(i.premium_rcv_detail_code))+1
from ins_premium_det i),'605','605','02', '11000003','00','Request by Mr. Omair Ali 30-Apr-2025');</v>
      </c>
      <c r="H544" s="25" t="str">
        <f t="shared" si="35"/>
        <v>insert into ins_premium_det (premium_rcv_code,assorted_code, rec_amount,premium_rcv_detail_code,remaining_amt, payrec, mode_code,coinsurance_code,class_cd,it_remarks) values('29Apr250042','050000739482','605',(select max(to_number(i.premium_rcv_detail_code))+1
from ins_premium_det i),'605','605','02', '11000003','00','Request by Mr. Omair Ali 30-Apr-2025');</v>
      </c>
    </row>
    <row r="545" spans="1:8" ht="105" x14ac:dyDescent="0.25">
      <c r="A545" t="s">
        <v>875</v>
      </c>
      <c r="B545" s="1" t="str">
        <f>VLOOKUP(A545,Sheet5!B:C,2,0)</f>
        <v>050000739483</v>
      </c>
      <c r="C545" s="13">
        <v>4189</v>
      </c>
      <c r="D545" s="22">
        <f t="shared" si="33"/>
        <v>4189</v>
      </c>
      <c r="E545" s="21" t="s">
        <v>5912</v>
      </c>
      <c r="F545" s="23" t="str">
        <f t="shared" si="32"/>
        <v>insert into ins_premium_det (premium_rcv_code,assorted_code, rec_amount,premium_rcv_detail_code,remaining_amt, payrec, mode_code,coinsurance_code,class_cd,it_remarks) values</v>
      </c>
      <c r="G545" s="24" t="str">
        <f t="shared" si="34"/>
        <v>('29Apr250042','050000739483','4189',(select max(to_number(i.premium_rcv_detail_code))+1
from ins_premium_det i),'4189','4189','02', '11000003','00','Request by Mr. Omair Ali 30-Apr-2025');</v>
      </c>
      <c r="H545" s="25" t="str">
        <f t="shared" si="35"/>
        <v>insert into ins_premium_det (premium_rcv_code,assorted_code, rec_amount,premium_rcv_detail_code,remaining_amt, payrec, mode_code,coinsurance_code,class_cd,it_remarks) values('29Apr250042','050000739483','4189',(select max(to_number(i.premium_rcv_detail_code))+1
from ins_premium_det i),'4189','4189','02', '11000003','00','Request by Mr. Omair Ali 30-Apr-2025');</v>
      </c>
    </row>
    <row r="546" spans="1:8" ht="105" x14ac:dyDescent="0.25">
      <c r="A546" t="s">
        <v>1027</v>
      </c>
      <c r="B546" s="1" t="str">
        <f>VLOOKUP(A546,Sheet5!B:C,2,0)</f>
        <v>050000739486</v>
      </c>
      <c r="C546" s="13">
        <v>1779</v>
      </c>
      <c r="D546" s="22">
        <f t="shared" si="33"/>
        <v>1779</v>
      </c>
      <c r="E546" s="21" t="s">
        <v>5912</v>
      </c>
      <c r="F546" s="23" t="str">
        <f t="shared" si="32"/>
        <v>insert into ins_premium_det (premium_rcv_code,assorted_code, rec_amount,premium_rcv_detail_code,remaining_amt, payrec, mode_code,coinsurance_code,class_cd,it_remarks) values</v>
      </c>
      <c r="G546" s="24" t="str">
        <f t="shared" si="34"/>
        <v>('29Apr250042','050000739486','1779',(select max(to_number(i.premium_rcv_detail_code))+1
from ins_premium_det i),'1779','1779','02', '11000003','00','Request by Mr. Omair Ali 30-Apr-2025');</v>
      </c>
      <c r="H546" s="25" t="str">
        <f t="shared" si="35"/>
        <v>insert into ins_premium_det (premium_rcv_code,assorted_code, rec_amount,premium_rcv_detail_code,remaining_amt, payrec, mode_code,coinsurance_code,class_cd,it_remarks) values('29Apr250042','050000739486','1779',(select max(to_number(i.premium_rcv_detail_code))+1
from ins_premium_det i),'1779','1779','02', '11000003','00','Request by Mr. Omair Ali 30-Apr-2025');</v>
      </c>
    </row>
    <row r="547" spans="1:8" ht="105" x14ac:dyDescent="0.25">
      <c r="A547" t="s">
        <v>1194</v>
      </c>
      <c r="B547" s="1" t="str">
        <f>VLOOKUP(A547,Sheet5!B:C,2,0)</f>
        <v>050000739498</v>
      </c>
      <c r="C547" s="13">
        <v>4059</v>
      </c>
      <c r="D547" s="22">
        <f t="shared" si="33"/>
        <v>4059</v>
      </c>
      <c r="E547" s="21" t="s">
        <v>5912</v>
      </c>
      <c r="F547" s="23" t="str">
        <f t="shared" si="32"/>
        <v>insert into ins_premium_det (premium_rcv_code,assorted_code, rec_amount,premium_rcv_detail_code,remaining_amt, payrec, mode_code,coinsurance_code,class_cd,it_remarks) values</v>
      </c>
      <c r="G547" s="24" t="str">
        <f t="shared" si="34"/>
        <v>('29Apr250042','050000739498','4059',(select max(to_number(i.premium_rcv_detail_code))+1
from ins_premium_det i),'4059','4059','02', '11000003','00','Request by Mr. Omair Ali 30-Apr-2025');</v>
      </c>
      <c r="H547" s="25" t="str">
        <f t="shared" si="35"/>
        <v>insert into ins_premium_det (premium_rcv_code,assorted_code, rec_amount,premium_rcv_detail_code,remaining_amt, payrec, mode_code,coinsurance_code,class_cd,it_remarks) values('29Apr250042','050000739498','4059',(select max(to_number(i.premium_rcv_detail_code))+1
from ins_premium_det i),'4059','4059','02', '11000003','00','Request by Mr. Omair Ali 30-Apr-2025');</v>
      </c>
    </row>
    <row r="548" spans="1:8" ht="105" x14ac:dyDescent="0.25">
      <c r="A548" t="s">
        <v>1527</v>
      </c>
      <c r="B548" s="1" t="str">
        <f>VLOOKUP(A548,Sheet5!B:C,2,0)</f>
        <v>050000739503</v>
      </c>
      <c r="C548" s="13">
        <v>338</v>
      </c>
      <c r="D548" s="22">
        <f t="shared" si="33"/>
        <v>338</v>
      </c>
      <c r="E548" s="21" t="s">
        <v>5912</v>
      </c>
      <c r="F548" s="23" t="str">
        <f t="shared" si="32"/>
        <v>insert into ins_premium_det (premium_rcv_code,assorted_code, rec_amount,premium_rcv_detail_code,remaining_amt, payrec, mode_code,coinsurance_code,class_cd,it_remarks) values</v>
      </c>
      <c r="G548" s="24" t="str">
        <f t="shared" si="34"/>
        <v>('29Apr250042','050000739503','338',(select max(to_number(i.premium_rcv_detail_code))+1
from ins_premium_det i),'338','338','02', '11000003','00','Request by Mr. Omair Ali 30-Apr-2025');</v>
      </c>
      <c r="H548" s="25" t="str">
        <f t="shared" si="35"/>
        <v>insert into ins_premium_det (premium_rcv_code,assorted_code, rec_amount,premium_rcv_detail_code,remaining_amt, payrec, mode_code,coinsurance_code,class_cd,it_remarks) values('29Apr250042','050000739503','338',(select max(to_number(i.premium_rcv_detail_code))+1
from ins_premium_det i),'338','338','02', '11000003','00','Request by Mr. Omair Ali 30-Apr-2025');</v>
      </c>
    </row>
    <row r="549" spans="1:8" ht="105" x14ac:dyDescent="0.25">
      <c r="A549" t="s">
        <v>1535</v>
      </c>
      <c r="B549" s="1" t="str">
        <f>VLOOKUP(A549,Sheet5!B:C,2,0)</f>
        <v>050000739504</v>
      </c>
      <c r="C549" s="13">
        <v>3567</v>
      </c>
      <c r="D549" s="22">
        <f t="shared" si="33"/>
        <v>3567</v>
      </c>
      <c r="E549" s="21" t="s">
        <v>5912</v>
      </c>
      <c r="F549" s="23" t="str">
        <f t="shared" si="32"/>
        <v>insert into ins_premium_det (premium_rcv_code,assorted_code, rec_amount,premium_rcv_detail_code,remaining_amt, payrec, mode_code,coinsurance_code,class_cd,it_remarks) values</v>
      </c>
      <c r="G549" s="24" t="str">
        <f t="shared" si="34"/>
        <v>('29Apr250042','050000739504','3567',(select max(to_number(i.premium_rcv_detail_code))+1
from ins_premium_det i),'3567','3567','02', '11000003','00','Request by Mr. Omair Ali 30-Apr-2025');</v>
      </c>
      <c r="H549" s="25" t="str">
        <f t="shared" si="35"/>
        <v>insert into ins_premium_det (premium_rcv_code,assorted_code, rec_amount,premium_rcv_detail_code,remaining_amt, payrec, mode_code,coinsurance_code,class_cd,it_remarks) values('29Apr250042','050000739504','3567',(select max(to_number(i.premium_rcv_detail_code))+1
from ins_premium_det i),'3567','3567','02', '11000003','00','Request by Mr. Omair Ali 30-Apr-2025');</v>
      </c>
    </row>
    <row r="550" spans="1:8" ht="105" x14ac:dyDescent="0.25">
      <c r="A550" t="s">
        <v>1521</v>
      </c>
      <c r="B550" s="1" t="str">
        <f>VLOOKUP(A550,Sheet5!B:C,2,0)</f>
        <v>050000739727</v>
      </c>
      <c r="C550" s="13">
        <v>5887</v>
      </c>
      <c r="D550" s="22">
        <f t="shared" si="33"/>
        <v>5887</v>
      </c>
      <c r="E550" s="21" t="s">
        <v>5912</v>
      </c>
      <c r="F550" s="23" t="str">
        <f t="shared" si="32"/>
        <v>insert into ins_premium_det (premium_rcv_code,assorted_code, rec_amount,premium_rcv_detail_code,remaining_amt, payrec, mode_code,coinsurance_code,class_cd,it_remarks) values</v>
      </c>
      <c r="G550" s="24" t="str">
        <f t="shared" si="34"/>
        <v>('29Apr250042','050000739727','5887',(select max(to_number(i.premium_rcv_detail_code))+1
from ins_premium_det i),'5887','5887','02', '11000003','00','Request by Mr. Omair Ali 30-Apr-2025');</v>
      </c>
      <c r="H550" s="25" t="str">
        <f t="shared" si="35"/>
        <v>insert into ins_premium_det (premium_rcv_code,assorted_code, rec_amount,premium_rcv_detail_code,remaining_amt, payrec, mode_code,coinsurance_code,class_cd,it_remarks) values('29Apr250042','050000739727','5887',(select max(to_number(i.premium_rcv_detail_code))+1
from ins_premium_det i),'5887','5887','02', '11000003','00','Request by Mr. Omair Ali 30-Apr-2025');</v>
      </c>
    </row>
    <row r="551" spans="1:8" ht="105" x14ac:dyDescent="0.25">
      <c r="A551" t="s">
        <v>1618</v>
      </c>
      <c r="B551" s="1" t="str">
        <f>VLOOKUP(A551,Sheet5!B:C,2,0)</f>
        <v>050000739729</v>
      </c>
      <c r="C551" s="13">
        <v>1358</v>
      </c>
      <c r="D551" s="22">
        <f t="shared" si="33"/>
        <v>1358</v>
      </c>
      <c r="E551" s="21" t="s">
        <v>5912</v>
      </c>
      <c r="F551" s="23" t="str">
        <f t="shared" si="32"/>
        <v>insert into ins_premium_det (premium_rcv_code,assorted_code, rec_amount,premium_rcv_detail_code,remaining_amt, payrec, mode_code,coinsurance_code,class_cd,it_remarks) values</v>
      </c>
      <c r="G551" s="24" t="str">
        <f t="shared" si="34"/>
        <v>('29Apr250042','050000739729','1358',(select max(to_number(i.premium_rcv_detail_code))+1
from ins_premium_det i),'1358','1358','02', '11000003','00','Request by Mr. Omair Ali 30-Apr-2025');</v>
      </c>
      <c r="H551" s="25" t="str">
        <f t="shared" si="35"/>
        <v>insert into ins_premium_det (premium_rcv_code,assorted_code, rec_amount,premium_rcv_detail_code,remaining_amt, payrec, mode_code,coinsurance_code,class_cd,it_remarks) values('29Apr250042','050000739729','1358',(select max(to_number(i.premium_rcv_detail_code))+1
from ins_premium_det i),'1358','1358','02', '11000003','00','Request by Mr. Omair Ali 30-Apr-2025');</v>
      </c>
    </row>
    <row r="552" spans="1:8" ht="105" x14ac:dyDescent="0.25">
      <c r="A552" t="s">
        <v>1640</v>
      </c>
      <c r="B552" s="1" t="str">
        <f>VLOOKUP(A552,Sheet5!B:C,2,0)</f>
        <v>050000739732</v>
      </c>
      <c r="C552" s="13">
        <v>2279</v>
      </c>
      <c r="D552" s="22">
        <f t="shared" si="33"/>
        <v>2279</v>
      </c>
      <c r="E552" s="21" t="s">
        <v>5912</v>
      </c>
      <c r="F552" s="23" t="str">
        <f t="shared" si="32"/>
        <v>insert into ins_premium_det (premium_rcv_code,assorted_code, rec_amount,premium_rcv_detail_code,remaining_amt, payrec, mode_code,coinsurance_code,class_cd,it_remarks) values</v>
      </c>
      <c r="G552" s="24" t="str">
        <f t="shared" si="34"/>
        <v>('29Apr250042','050000739732','2279',(select max(to_number(i.premium_rcv_detail_code))+1
from ins_premium_det i),'2279','2279','02', '11000003','00','Request by Mr. Omair Ali 30-Apr-2025');</v>
      </c>
      <c r="H552" s="25" t="str">
        <f t="shared" si="35"/>
        <v>insert into ins_premium_det (premium_rcv_code,assorted_code, rec_amount,premium_rcv_detail_code,remaining_amt, payrec, mode_code,coinsurance_code,class_cd,it_remarks) values('29Apr250042','050000739732','2279',(select max(to_number(i.premium_rcv_detail_code))+1
from ins_premium_det i),'2279','2279','02', '11000003','00','Request by Mr. Omair Ali 30-Apr-2025');</v>
      </c>
    </row>
    <row r="553" spans="1:8" ht="105" x14ac:dyDescent="0.25">
      <c r="A553" t="s">
        <v>271</v>
      </c>
      <c r="B553" s="1" t="str">
        <f>VLOOKUP(A553,Sheet5!B:C,2,0)</f>
        <v>050000740485</v>
      </c>
      <c r="C553" s="13">
        <v>2249</v>
      </c>
      <c r="D553" s="22">
        <f t="shared" si="33"/>
        <v>2249</v>
      </c>
      <c r="E553" s="21" t="s">
        <v>5912</v>
      </c>
      <c r="F553" s="23" t="str">
        <f t="shared" si="32"/>
        <v>insert into ins_premium_det (premium_rcv_code,assorted_code, rec_amount,premium_rcv_detail_code,remaining_amt, payrec, mode_code,coinsurance_code,class_cd,it_remarks) values</v>
      </c>
      <c r="G553" s="24" t="str">
        <f t="shared" si="34"/>
        <v>('29Apr250042','050000740485','2249',(select max(to_number(i.premium_rcv_detail_code))+1
from ins_premium_det i),'2249','2249','02', '11000003','00','Request by Mr. Omair Ali 30-Apr-2025');</v>
      </c>
      <c r="H553" s="25" t="str">
        <f t="shared" si="35"/>
        <v>insert into ins_premium_det (premium_rcv_code,assorted_code, rec_amount,premium_rcv_detail_code,remaining_amt, payrec, mode_code,coinsurance_code,class_cd,it_remarks) values('29Apr250042','050000740485','2249',(select max(to_number(i.premium_rcv_detail_code))+1
from ins_premium_det i),'2249','2249','02', '11000003','00','Request by Mr. Omair Ali 30-Apr-2025');</v>
      </c>
    </row>
    <row r="554" spans="1:8" ht="105" x14ac:dyDescent="0.25">
      <c r="A554" t="s">
        <v>277</v>
      </c>
      <c r="B554" s="1" t="str">
        <f>VLOOKUP(A554,Sheet5!B:C,2,0)</f>
        <v>050000740486</v>
      </c>
      <c r="C554" s="13">
        <v>4194</v>
      </c>
      <c r="D554" s="22">
        <f t="shared" si="33"/>
        <v>4194</v>
      </c>
      <c r="E554" s="21" t="s">
        <v>5912</v>
      </c>
      <c r="F554" s="23" t="str">
        <f t="shared" si="32"/>
        <v>insert into ins_premium_det (premium_rcv_code,assorted_code, rec_amount,premium_rcv_detail_code,remaining_amt, payrec, mode_code,coinsurance_code,class_cd,it_remarks) values</v>
      </c>
      <c r="G554" s="24" t="str">
        <f t="shared" si="34"/>
        <v>('29Apr250042','050000740486','4194',(select max(to_number(i.premium_rcv_detail_code))+1
from ins_premium_det i),'4194','4194','02', '11000003','00','Request by Mr. Omair Ali 30-Apr-2025');</v>
      </c>
      <c r="H554" s="25" t="str">
        <f t="shared" si="35"/>
        <v>insert into ins_premium_det (premium_rcv_code,assorted_code, rec_amount,premium_rcv_detail_code,remaining_amt, payrec, mode_code,coinsurance_code,class_cd,it_remarks) values('29Apr250042','050000740486','4194',(select max(to_number(i.premium_rcv_detail_code))+1
from ins_premium_det i),'4194','4194','02', '11000003','00','Request by Mr. Omair Ali 30-Apr-2025');</v>
      </c>
    </row>
    <row r="555" spans="1:8" ht="105" x14ac:dyDescent="0.25">
      <c r="A555" t="s">
        <v>281</v>
      </c>
      <c r="B555" s="1" t="str">
        <f>VLOOKUP(A555,Sheet5!B:C,2,0)</f>
        <v>050000740487</v>
      </c>
      <c r="C555" s="13">
        <v>5760</v>
      </c>
      <c r="D555" s="22">
        <f t="shared" si="33"/>
        <v>5760</v>
      </c>
      <c r="E555" s="21" t="s">
        <v>5912</v>
      </c>
      <c r="F555" s="23" t="str">
        <f t="shared" si="32"/>
        <v>insert into ins_premium_det (premium_rcv_code,assorted_code, rec_amount,premium_rcv_detail_code,remaining_amt, payrec, mode_code,coinsurance_code,class_cd,it_remarks) values</v>
      </c>
      <c r="G555" s="24" t="str">
        <f t="shared" si="34"/>
        <v>('29Apr250042','050000740487','5760',(select max(to_number(i.premium_rcv_detail_code))+1
from ins_premium_det i),'5760','5760','02', '11000003','00','Request by Mr. Omair Ali 30-Apr-2025');</v>
      </c>
      <c r="H555" s="25" t="str">
        <f t="shared" si="35"/>
        <v>insert into ins_premium_det (premium_rcv_code,assorted_code, rec_amount,premium_rcv_detail_code,remaining_amt, payrec, mode_code,coinsurance_code,class_cd,it_remarks) values('29Apr250042','050000740487','5760',(select max(to_number(i.premium_rcv_detail_code))+1
from ins_premium_det i),'5760','5760','02', '11000003','00','Request by Mr. Omair Ali 30-Apr-2025');</v>
      </c>
    </row>
    <row r="556" spans="1:8" ht="105" x14ac:dyDescent="0.25">
      <c r="A556" t="s">
        <v>287</v>
      </c>
      <c r="B556" s="1" t="str">
        <f>VLOOKUP(A556,Sheet5!B:C,2,0)</f>
        <v>050000740488</v>
      </c>
      <c r="C556" s="13">
        <v>28547</v>
      </c>
      <c r="D556" s="22">
        <f t="shared" si="33"/>
        <v>28547</v>
      </c>
      <c r="E556" s="21" t="s">
        <v>5912</v>
      </c>
      <c r="F556" s="23" t="str">
        <f t="shared" si="32"/>
        <v>insert into ins_premium_det (premium_rcv_code,assorted_code, rec_amount,premium_rcv_detail_code,remaining_amt, payrec, mode_code,coinsurance_code,class_cd,it_remarks) values</v>
      </c>
      <c r="G556" s="24" t="str">
        <f t="shared" si="34"/>
        <v>('29Apr250042','050000740488','28547',(select max(to_number(i.premium_rcv_detail_code))+1
from ins_premium_det i),'28547','28547','02', '11000003','00','Request by Mr. Omair Ali 30-Apr-2025');</v>
      </c>
      <c r="H556" s="25" t="str">
        <f t="shared" si="35"/>
        <v>insert into ins_premium_det (premium_rcv_code,assorted_code, rec_amount,premium_rcv_detail_code,remaining_amt, payrec, mode_code,coinsurance_code,class_cd,it_remarks) values('29Apr250042','050000740488','28547',(select max(to_number(i.premium_rcv_detail_code))+1
from ins_premium_det i),'28547','28547','02', '11000003','00','Request by Mr. Omair Ali 30-Apr-2025');</v>
      </c>
    </row>
    <row r="557" spans="1:8" ht="105" x14ac:dyDescent="0.25">
      <c r="A557" t="s">
        <v>291</v>
      </c>
      <c r="B557" s="1" t="str">
        <f>VLOOKUP(A557,Sheet5!B:C,2,0)</f>
        <v>050000740489</v>
      </c>
      <c r="C557" s="13">
        <v>3035</v>
      </c>
      <c r="D557" s="22">
        <f t="shared" si="33"/>
        <v>3035</v>
      </c>
      <c r="E557" s="21" t="s">
        <v>5912</v>
      </c>
      <c r="F557" s="23" t="str">
        <f t="shared" si="32"/>
        <v>insert into ins_premium_det (premium_rcv_code,assorted_code, rec_amount,premium_rcv_detail_code,remaining_amt, payrec, mode_code,coinsurance_code,class_cd,it_remarks) values</v>
      </c>
      <c r="G557" s="24" t="str">
        <f t="shared" si="34"/>
        <v>('29Apr250042','050000740489','3035',(select max(to_number(i.premium_rcv_detail_code))+1
from ins_premium_det i),'3035','3035','02', '11000003','00','Request by Mr. Omair Ali 30-Apr-2025');</v>
      </c>
      <c r="H557" s="25" t="str">
        <f t="shared" si="35"/>
        <v>insert into ins_premium_det (premium_rcv_code,assorted_code, rec_amount,premium_rcv_detail_code,remaining_amt, payrec, mode_code,coinsurance_code,class_cd,it_remarks) values('29Apr250042','050000740489','3035',(select max(to_number(i.premium_rcv_detail_code))+1
from ins_premium_det i),'3035','3035','02', '11000003','00','Request by Mr. Omair Ali 30-Apr-2025');</v>
      </c>
    </row>
    <row r="558" spans="1:8" ht="105" x14ac:dyDescent="0.25">
      <c r="A558" t="s">
        <v>492</v>
      </c>
      <c r="B558" s="1" t="str">
        <f>VLOOKUP(A558,Sheet5!B:C,2,0)</f>
        <v>050000740491</v>
      </c>
      <c r="C558" s="13">
        <v>2017</v>
      </c>
      <c r="D558" s="22">
        <f t="shared" si="33"/>
        <v>2017</v>
      </c>
      <c r="E558" s="21" t="s">
        <v>5912</v>
      </c>
      <c r="F558" s="23" t="str">
        <f t="shared" si="32"/>
        <v>insert into ins_premium_det (premium_rcv_code,assorted_code, rec_amount,premium_rcv_detail_code,remaining_amt, payrec, mode_code,coinsurance_code,class_cd,it_remarks) values</v>
      </c>
      <c r="G558" s="24" t="str">
        <f t="shared" si="34"/>
        <v>('29Apr250042','050000740491','2017',(select max(to_number(i.premium_rcv_detail_code))+1
from ins_premium_det i),'2017','2017','02', '11000003','00','Request by Mr. Omair Ali 30-Apr-2025');</v>
      </c>
      <c r="H558" s="25" t="str">
        <f t="shared" si="35"/>
        <v>insert into ins_premium_det (premium_rcv_code,assorted_code, rec_amount,premium_rcv_detail_code,remaining_amt, payrec, mode_code,coinsurance_code,class_cd,it_remarks) values('29Apr250042','050000740491','2017',(select max(to_number(i.premium_rcv_detail_code))+1
from ins_premium_det i),'2017','2017','02', '11000003','00','Request by Mr. Omair Ali 30-Apr-2025');</v>
      </c>
    </row>
    <row r="559" spans="1:8" ht="105" x14ac:dyDescent="0.25">
      <c r="A559" t="s">
        <v>1257</v>
      </c>
      <c r="B559" s="1" t="str">
        <f>VLOOKUP(A559,Sheet5!B:C,2,0)</f>
        <v>050000740502</v>
      </c>
      <c r="C559" s="13">
        <v>1110</v>
      </c>
      <c r="D559" s="22">
        <f t="shared" si="33"/>
        <v>1110</v>
      </c>
      <c r="E559" s="21" t="s">
        <v>5912</v>
      </c>
      <c r="F559" s="23" t="str">
        <f t="shared" si="32"/>
        <v>insert into ins_premium_det (premium_rcv_code,assorted_code, rec_amount,premium_rcv_detail_code,remaining_amt, payrec, mode_code,coinsurance_code,class_cd,it_remarks) values</v>
      </c>
      <c r="G559" s="24" t="str">
        <f t="shared" si="34"/>
        <v>('29Apr250042','050000740502','1110',(select max(to_number(i.premium_rcv_detail_code))+1
from ins_premium_det i),'1110','1110','02', '11000003','00','Request by Mr. Omair Ali 30-Apr-2025');</v>
      </c>
      <c r="H559" s="25" t="str">
        <f t="shared" si="35"/>
        <v>insert into ins_premium_det (premium_rcv_code,assorted_code, rec_amount,premium_rcv_detail_code,remaining_amt, payrec, mode_code,coinsurance_code,class_cd,it_remarks) values('29Apr250042','050000740502','1110',(select max(to_number(i.premium_rcv_detail_code))+1
from ins_premium_det i),'1110','1110','02', '11000003','00','Request by Mr. Omair Ali 30-Apr-2025');</v>
      </c>
    </row>
    <row r="560" spans="1:8" ht="105" x14ac:dyDescent="0.25">
      <c r="A560" t="s">
        <v>1258</v>
      </c>
      <c r="B560" s="1" t="str">
        <f>VLOOKUP(A560,Sheet5!B:C,2,0)</f>
        <v>050000740503</v>
      </c>
      <c r="C560" s="13">
        <v>1651</v>
      </c>
      <c r="D560" s="22">
        <f t="shared" si="33"/>
        <v>1651</v>
      </c>
      <c r="E560" s="21" t="s">
        <v>5912</v>
      </c>
      <c r="F560" s="23" t="str">
        <f t="shared" si="32"/>
        <v>insert into ins_premium_det (premium_rcv_code,assorted_code, rec_amount,premium_rcv_detail_code,remaining_amt, payrec, mode_code,coinsurance_code,class_cd,it_remarks) values</v>
      </c>
      <c r="G560" s="24" t="str">
        <f t="shared" si="34"/>
        <v>('29Apr250042','050000740503','1651',(select max(to_number(i.premium_rcv_detail_code))+1
from ins_premium_det i),'1651','1651','02', '11000003','00','Request by Mr. Omair Ali 30-Apr-2025');</v>
      </c>
      <c r="H560" s="25" t="str">
        <f t="shared" si="35"/>
        <v>insert into ins_premium_det (premium_rcv_code,assorted_code, rec_amount,premium_rcv_detail_code,remaining_amt, payrec, mode_code,coinsurance_code,class_cd,it_remarks) values('29Apr250042','050000740503','1651',(select max(to_number(i.premium_rcv_detail_code))+1
from ins_premium_det i),'1651','1651','02', '11000003','00','Request by Mr. Omair Ali 30-Apr-2025');</v>
      </c>
    </row>
    <row r="561" spans="1:8" ht="105" x14ac:dyDescent="0.25">
      <c r="A561" t="s">
        <v>1259</v>
      </c>
      <c r="B561" s="1" t="str">
        <f>VLOOKUP(A561,Sheet5!B:C,2,0)</f>
        <v>050000740504</v>
      </c>
      <c r="C561" s="13">
        <v>68</v>
      </c>
      <c r="D561" s="22">
        <f t="shared" si="33"/>
        <v>68</v>
      </c>
      <c r="E561" s="21" t="s">
        <v>5912</v>
      </c>
      <c r="F561" s="23" t="str">
        <f t="shared" si="32"/>
        <v>insert into ins_premium_det (premium_rcv_code,assorted_code, rec_amount,premium_rcv_detail_code,remaining_amt, payrec, mode_code,coinsurance_code,class_cd,it_remarks) values</v>
      </c>
      <c r="G561" s="24" t="str">
        <f t="shared" si="34"/>
        <v>('29Apr250042','050000740504','68',(select max(to_number(i.premium_rcv_detail_code))+1
from ins_premium_det i),'68','68','02', '11000003','00','Request by Mr. Omair Ali 30-Apr-2025');</v>
      </c>
      <c r="H561" s="25" t="str">
        <f t="shared" si="35"/>
        <v>insert into ins_premium_det (premium_rcv_code,assorted_code, rec_amount,premium_rcv_detail_code,remaining_amt, payrec, mode_code,coinsurance_code,class_cd,it_remarks) values('29Apr250042','050000740504','68',(select max(to_number(i.premium_rcv_detail_code))+1
from ins_premium_det i),'68','68','02', '11000003','00','Request by Mr. Omair Ali 30-Apr-2025');</v>
      </c>
    </row>
    <row r="562" spans="1:8" ht="105" x14ac:dyDescent="0.25">
      <c r="A562" t="s">
        <v>1550</v>
      </c>
      <c r="B562" s="1" t="str">
        <f>VLOOKUP(A562,Sheet5!B:C,2,0)</f>
        <v>050000740511</v>
      </c>
      <c r="C562" s="13">
        <v>6243</v>
      </c>
      <c r="D562" s="22">
        <f t="shared" si="33"/>
        <v>6243</v>
      </c>
      <c r="E562" s="21" t="s">
        <v>5912</v>
      </c>
      <c r="F562" s="23" t="str">
        <f t="shared" si="32"/>
        <v>insert into ins_premium_det (premium_rcv_code,assorted_code, rec_amount,premium_rcv_detail_code,remaining_amt, payrec, mode_code,coinsurance_code,class_cd,it_remarks) values</v>
      </c>
      <c r="G562" s="24" t="str">
        <f t="shared" si="34"/>
        <v>('29Apr250042','050000740511','6243',(select max(to_number(i.premium_rcv_detail_code))+1
from ins_premium_det i),'6243','6243','02', '11000003','00','Request by Mr. Omair Ali 30-Apr-2025');</v>
      </c>
      <c r="H562" s="25" t="str">
        <f t="shared" si="35"/>
        <v>insert into ins_premium_det (premium_rcv_code,assorted_code, rec_amount,premium_rcv_detail_code,remaining_amt, payrec, mode_code,coinsurance_code,class_cd,it_remarks) values('29Apr250042','050000740511','6243',(select max(to_number(i.premium_rcv_detail_code))+1
from ins_premium_det i),'6243','6243','02', '11000003','00','Request by Mr. Omair Ali 30-Apr-2025');</v>
      </c>
    </row>
    <row r="563" spans="1:8" ht="105" x14ac:dyDescent="0.25">
      <c r="A563" t="s">
        <v>1663</v>
      </c>
      <c r="B563" s="1" t="str">
        <f>VLOOKUP(A563,Sheet5!B:C,2,0)</f>
        <v>050000740517</v>
      </c>
      <c r="C563" s="13">
        <v>5953</v>
      </c>
      <c r="D563" s="22">
        <f t="shared" si="33"/>
        <v>5953</v>
      </c>
      <c r="E563" s="21" t="s">
        <v>5912</v>
      </c>
      <c r="F563" s="23" t="str">
        <f t="shared" si="32"/>
        <v>insert into ins_premium_det (premium_rcv_code,assorted_code, rec_amount,premium_rcv_detail_code,remaining_amt, payrec, mode_code,coinsurance_code,class_cd,it_remarks) values</v>
      </c>
      <c r="G563" s="24" t="str">
        <f t="shared" si="34"/>
        <v>('29Apr250042','050000740517','5953',(select max(to_number(i.premium_rcv_detail_code))+1
from ins_premium_det i),'5953','5953','02', '11000003','00','Request by Mr. Omair Ali 30-Apr-2025');</v>
      </c>
      <c r="H563" s="25" t="str">
        <f t="shared" si="35"/>
        <v>insert into ins_premium_det (premium_rcv_code,assorted_code, rec_amount,premium_rcv_detail_code,remaining_amt, payrec, mode_code,coinsurance_code,class_cd,it_remarks) values('29Apr250042','050000740517','5953',(select max(to_number(i.premium_rcv_detail_code))+1
from ins_premium_det i),'5953','5953','02', '11000003','00','Request by Mr. Omair Ali 30-Apr-2025');</v>
      </c>
    </row>
    <row r="564" spans="1:8" ht="105" x14ac:dyDescent="0.25">
      <c r="A564" t="s">
        <v>1673</v>
      </c>
      <c r="B564" s="1" t="str">
        <f>VLOOKUP(A564,Sheet5!B:C,2,0)</f>
        <v>050000740519</v>
      </c>
      <c r="C564" s="13">
        <v>1195</v>
      </c>
      <c r="D564" s="22">
        <f t="shared" si="33"/>
        <v>1195</v>
      </c>
      <c r="E564" s="21" t="s">
        <v>5912</v>
      </c>
      <c r="F564" s="23" t="str">
        <f t="shared" si="32"/>
        <v>insert into ins_premium_det (premium_rcv_code,assorted_code, rec_amount,premium_rcv_detail_code,remaining_amt, payrec, mode_code,coinsurance_code,class_cd,it_remarks) values</v>
      </c>
      <c r="G564" s="24" t="str">
        <f t="shared" si="34"/>
        <v>('29Apr250042','050000740519','1195',(select max(to_number(i.premium_rcv_detail_code))+1
from ins_premium_det i),'1195','1195','02', '11000003','00','Request by Mr. Omair Ali 30-Apr-2025');</v>
      </c>
      <c r="H564" s="25" t="str">
        <f t="shared" si="35"/>
        <v>insert into ins_premium_det (premium_rcv_code,assorted_code, rec_amount,premium_rcv_detail_code,remaining_amt, payrec, mode_code,coinsurance_code,class_cd,it_remarks) values('29Apr250042','050000740519','1195',(select max(to_number(i.premium_rcv_detail_code))+1
from ins_premium_det i),'1195','1195','02', '11000003','00','Request by Mr. Omair Ali 30-Apr-2025');</v>
      </c>
    </row>
    <row r="565" spans="1:8" ht="105" x14ac:dyDescent="0.25">
      <c r="A565" t="s">
        <v>608</v>
      </c>
      <c r="B565" s="1" t="str">
        <f>VLOOKUP(A565,Sheet5!B:C,2,0)</f>
        <v>050000740544</v>
      </c>
      <c r="C565" s="13">
        <v>3238</v>
      </c>
      <c r="D565" s="22">
        <f t="shared" si="33"/>
        <v>3238</v>
      </c>
      <c r="E565" s="21" t="s">
        <v>5912</v>
      </c>
      <c r="F565" s="23" t="str">
        <f t="shared" si="32"/>
        <v>insert into ins_premium_det (premium_rcv_code,assorted_code, rec_amount,premium_rcv_detail_code,remaining_amt, payrec, mode_code,coinsurance_code,class_cd,it_remarks) values</v>
      </c>
      <c r="G565" s="24" t="str">
        <f t="shared" si="34"/>
        <v>('29Apr250042','050000740544','3238',(select max(to_number(i.premium_rcv_detail_code))+1
from ins_premium_det i),'3238','3238','02', '11000003','00','Request by Mr. Omair Ali 30-Apr-2025');</v>
      </c>
      <c r="H565" s="25" t="str">
        <f t="shared" si="35"/>
        <v>insert into ins_premium_det (premium_rcv_code,assorted_code, rec_amount,premium_rcv_detail_code,remaining_amt, payrec, mode_code,coinsurance_code,class_cd,it_remarks) values('29Apr250042','050000740544','3238',(select max(to_number(i.premium_rcv_detail_code))+1
from ins_premium_det i),'3238','3238','02', '11000003','00','Request by Mr. Omair Ali 30-Apr-2025');</v>
      </c>
    </row>
    <row r="566" spans="1:8" ht="105" x14ac:dyDescent="0.25">
      <c r="A566" t="s">
        <v>1252</v>
      </c>
      <c r="B566" s="1" t="str">
        <f>VLOOKUP(A566,Sheet5!B:C,2,0)</f>
        <v>050000740552</v>
      </c>
      <c r="C566" s="13">
        <v>1156</v>
      </c>
      <c r="D566" s="22">
        <f t="shared" si="33"/>
        <v>1156</v>
      </c>
      <c r="E566" s="21" t="s">
        <v>5912</v>
      </c>
      <c r="F566" s="23" t="str">
        <f t="shared" si="32"/>
        <v>insert into ins_premium_det (premium_rcv_code,assorted_code, rec_amount,premium_rcv_detail_code,remaining_amt, payrec, mode_code,coinsurance_code,class_cd,it_remarks) values</v>
      </c>
      <c r="G566" s="24" t="str">
        <f t="shared" si="34"/>
        <v>('29Apr250042','050000740552','1156',(select max(to_number(i.premium_rcv_detail_code))+1
from ins_premium_det i),'1156','1156','02', '11000003','00','Request by Mr. Omair Ali 30-Apr-2025');</v>
      </c>
      <c r="H566" s="25" t="str">
        <f t="shared" si="35"/>
        <v>insert into ins_premium_det (premium_rcv_code,assorted_code, rec_amount,premium_rcv_detail_code,remaining_amt, payrec, mode_code,coinsurance_code,class_cd,it_remarks) values('29Apr250042','050000740552','1156',(select max(to_number(i.premium_rcv_detail_code))+1
from ins_premium_det i),'1156','1156','02', '11000003','00','Request by Mr. Omair Ali 30-Apr-2025');</v>
      </c>
    </row>
    <row r="567" spans="1:8" ht="105" x14ac:dyDescent="0.25">
      <c r="A567" t="s">
        <v>903</v>
      </c>
      <c r="B567" s="1" t="str">
        <f>VLOOKUP(A567,Sheet5!B:C,2,0)</f>
        <v>050000740665</v>
      </c>
      <c r="C567" s="13">
        <v>1243</v>
      </c>
      <c r="D567" s="22">
        <f t="shared" si="33"/>
        <v>1243</v>
      </c>
      <c r="E567" s="21" t="s">
        <v>5912</v>
      </c>
      <c r="F567" s="23" t="str">
        <f t="shared" si="32"/>
        <v>insert into ins_premium_det (premium_rcv_code,assorted_code, rec_amount,premium_rcv_detail_code,remaining_amt, payrec, mode_code,coinsurance_code,class_cd,it_remarks) values</v>
      </c>
      <c r="G567" s="24" t="str">
        <f t="shared" si="34"/>
        <v>('29Apr250042','050000740665','1243',(select max(to_number(i.premium_rcv_detail_code))+1
from ins_premium_det i),'1243','1243','02', '11000003','00','Request by Mr. Omair Ali 30-Apr-2025');</v>
      </c>
      <c r="H567" s="25" t="str">
        <f t="shared" si="35"/>
        <v>insert into ins_premium_det (premium_rcv_code,assorted_code, rec_amount,premium_rcv_detail_code,remaining_amt, payrec, mode_code,coinsurance_code,class_cd,it_remarks) values('29Apr250042','050000740665','1243',(select max(to_number(i.premium_rcv_detail_code))+1
from ins_premium_det i),'1243','1243','02', '11000003','00','Request by Mr. Omair Ali 30-Apr-2025');</v>
      </c>
    </row>
    <row r="568" spans="1:8" ht="105" x14ac:dyDescent="0.25">
      <c r="A568" t="s">
        <v>1269</v>
      </c>
      <c r="B568" s="1" t="str">
        <f>VLOOKUP(A568,Sheet5!B:C,2,0)</f>
        <v>050000740674</v>
      </c>
      <c r="C568" s="13">
        <v>2120</v>
      </c>
      <c r="D568" s="22">
        <f t="shared" si="33"/>
        <v>2120</v>
      </c>
      <c r="E568" s="21" t="s">
        <v>5912</v>
      </c>
      <c r="F568" s="23" t="str">
        <f t="shared" si="32"/>
        <v>insert into ins_premium_det (premium_rcv_code,assorted_code, rec_amount,premium_rcv_detail_code,remaining_amt, payrec, mode_code,coinsurance_code,class_cd,it_remarks) values</v>
      </c>
      <c r="G568" s="24" t="str">
        <f t="shared" si="34"/>
        <v>('29Apr250042','050000740674','2120',(select max(to_number(i.premium_rcv_detail_code))+1
from ins_premium_det i),'2120','2120','02', '11000003','00','Request by Mr. Omair Ali 30-Apr-2025');</v>
      </c>
      <c r="H568" s="25" t="str">
        <f t="shared" si="35"/>
        <v>insert into ins_premium_det (premium_rcv_code,assorted_code, rec_amount,premium_rcv_detail_code,remaining_amt, payrec, mode_code,coinsurance_code,class_cd,it_remarks) values('29Apr250042','050000740674','2120',(select max(to_number(i.premium_rcv_detail_code))+1
from ins_premium_det i),'2120','2120','02', '11000003','00','Request by Mr. Omair Ali 30-Apr-2025');</v>
      </c>
    </row>
    <row r="569" spans="1:8" ht="105" x14ac:dyDescent="0.25">
      <c r="A569" t="s">
        <v>1270</v>
      </c>
      <c r="B569" s="1" t="str">
        <f>VLOOKUP(A569,Sheet5!B:C,2,0)</f>
        <v>050000740675</v>
      </c>
      <c r="C569" s="13">
        <v>1806</v>
      </c>
      <c r="D569" s="22">
        <f t="shared" si="33"/>
        <v>1806</v>
      </c>
      <c r="E569" s="21" t="s">
        <v>5912</v>
      </c>
      <c r="F569" s="23" t="str">
        <f t="shared" si="32"/>
        <v>insert into ins_premium_det (premium_rcv_code,assorted_code, rec_amount,premium_rcv_detail_code,remaining_amt, payrec, mode_code,coinsurance_code,class_cd,it_remarks) values</v>
      </c>
      <c r="G569" s="24" t="str">
        <f t="shared" si="34"/>
        <v>('29Apr250042','050000740675','1806',(select max(to_number(i.premium_rcv_detail_code))+1
from ins_premium_det i),'1806','1806','02', '11000003','00','Request by Mr. Omair Ali 30-Apr-2025');</v>
      </c>
      <c r="H569" s="25" t="str">
        <f t="shared" si="35"/>
        <v>insert into ins_premium_det (premium_rcv_code,assorted_code, rec_amount,premium_rcv_detail_code,remaining_amt, payrec, mode_code,coinsurance_code,class_cd,it_remarks) values('29Apr250042','050000740675','1806',(select max(to_number(i.premium_rcv_detail_code))+1
from ins_premium_det i),'1806','1806','02', '11000003','00','Request by Mr. Omair Ali 30-Apr-2025');</v>
      </c>
    </row>
    <row r="570" spans="1:8" ht="105" x14ac:dyDescent="0.25">
      <c r="A570" t="s">
        <v>1271</v>
      </c>
      <c r="B570" s="1" t="str">
        <f>VLOOKUP(A570,Sheet5!B:C,2,0)</f>
        <v>050000740676</v>
      </c>
      <c r="C570" s="13">
        <v>2037</v>
      </c>
      <c r="D570" s="22">
        <f t="shared" si="33"/>
        <v>2037</v>
      </c>
      <c r="E570" s="21" t="s">
        <v>5912</v>
      </c>
      <c r="F570" s="23" t="str">
        <f t="shared" si="32"/>
        <v>insert into ins_premium_det (premium_rcv_code,assorted_code, rec_amount,premium_rcv_detail_code,remaining_amt, payrec, mode_code,coinsurance_code,class_cd,it_remarks) values</v>
      </c>
      <c r="G570" s="24" t="str">
        <f t="shared" si="34"/>
        <v>('29Apr250042','050000740676','2037',(select max(to_number(i.premium_rcv_detail_code))+1
from ins_premium_det i),'2037','2037','02', '11000003','00','Request by Mr. Omair Ali 30-Apr-2025');</v>
      </c>
      <c r="H570" s="25" t="str">
        <f t="shared" si="35"/>
        <v>insert into ins_premium_det (premium_rcv_code,assorted_code, rec_amount,premium_rcv_detail_code,remaining_amt, payrec, mode_code,coinsurance_code,class_cd,it_remarks) values('29Apr250042','050000740676','2037',(select max(to_number(i.premium_rcv_detail_code))+1
from ins_premium_det i),'2037','2037','02', '11000003','00','Request by Mr. Omair Ali 30-Apr-2025');</v>
      </c>
    </row>
    <row r="571" spans="1:8" ht="105" x14ac:dyDescent="0.25">
      <c r="A571" t="s">
        <v>1272</v>
      </c>
      <c r="B571" s="1" t="str">
        <f>VLOOKUP(A571,Sheet5!B:C,2,0)</f>
        <v>050000740677</v>
      </c>
      <c r="C571" s="13">
        <v>1252</v>
      </c>
      <c r="D571" s="22">
        <f t="shared" si="33"/>
        <v>1252</v>
      </c>
      <c r="E571" s="21" t="s">
        <v>5912</v>
      </c>
      <c r="F571" s="23" t="str">
        <f t="shared" si="32"/>
        <v>insert into ins_premium_det (premium_rcv_code,assorted_code, rec_amount,premium_rcv_detail_code,remaining_amt, payrec, mode_code,coinsurance_code,class_cd,it_remarks) values</v>
      </c>
      <c r="G571" s="24" t="str">
        <f t="shared" si="34"/>
        <v>('29Apr250042','050000740677','1252',(select max(to_number(i.premium_rcv_detail_code))+1
from ins_premium_det i),'1252','1252','02', '11000003','00','Request by Mr. Omair Ali 30-Apr-2025');</v>
      </c>
      <c r="H571" s="25" t="str">
        <f t="shared" si="35"/>
        <v>insert into ins_premium_det (premium_rcv_code,assorted_code, rec_amount,premium_rcv_detail_code,remaining_amt, payrec, mode_code,coinsurance_code,class_cd,it_remarks) values('29Apr250042','050000740677','1252',(select max(to_number(i.premium_rcv_detail_code))+1
from ins_premium_det i),'1252','1252','02', '11000003','00','Request by Mr. Omair Ali 30-Apr-2025');</v>
      </c>
    </row>
    <row r="572" spans="1:8" ht="105" x14ac:dyDescent="0.25">
      <c r="A572" t="s">
        <v>1750</v>
      </c>
      <c r="B572" s="1" t="str">
        <f>VLOOKUP(A572,Sheet5!B:C,2,0)</f>
        <v>050000740685</v>
      </c>
      <c r="C572" s="13">
        <v>163</v>
      </c>
      <c r="D572" s="22">
        <f t="shared" si="33"/>
        <v>163</v>
      </c>
      <c r="E572" s="21" t="s">
        <v>5912</v>
      </c>
      <c r="F572" s="23" t="str">
        <f t="shared" si="32"/>
        <v>insert into ins_premium_det (premium_rcv_code,assorted_code, rec_amount,premium_rcv_detail_code,remaining_amt, payrec, mode_code,coinsurance_code,class_cd,it_remarks) values</v>
      </c>
      <c r="G572" s="24" t="str">
        <f t="shared" si="34"/>
        <v>('29Apr250042','050000740685','163',(select max(to_number(i.premium_rcv_detail_code))+1
from ins_premium_det i),'163','163','02', '11000003','00','Request by Mr. Omair Ali 30-Apr-2025');</v>
      </c>
      <c r="H572" s="25" t="str">
        <f t="shared" si="35"/>
        <v>insert into ins_premium_det (premium_rcv_code,assorted_code, rec_amount,premium_rcv_detail_code,remaining_amt, payrec, mode_code,coinsurance_code,class_cd,it_remarks) values('29Apr250042','050000740685','163',(select max(to_number(i.premium_rcv_detail_code))+1
from ins_premium_det i),'163','163','02', '11000003','00','Request by Mr. Omair Ali 30-Apr-2025');</v>
      </c>
    </row>
    <row r="573" spans="1:8" ht="105" x14ac:dyDescent="0.25">
      <c r="A573" t="s">
        <v>325</v>
      </c>
      <c r="B573" s="1" t="str">
        <f>VLOOKUP(A573,Sheet5!B:C,2,0)</f>
        <v>050000745909</v>
      </c>
      <c r="C573" s="13">
        <v>3737</v>
      </c>
      <c r="D573" s="22">
        <f t="shared" si="33"/>
        <v>3737</v>
      </c>
      <c r="E573" s="21" t="s">
        <v>5912</v>
      </c>
      <c r="F573" s="23" t="str">
        <f t="shared" si="32"/>
        <v>insert into ins_premium_det (premium_rcv_code,assorted_code, rec_amount,premium_rcv_detail_code,remaining_amt, payrec, mode_code,coinsurance_code,class_cd,it_remarks) values</v>
      </c>
      <c r="G573" s="24" t="str">
        <f t="shared" si="34"/>
        <v>('29Apr250042','050000745909','3737',(select max(to_number(i.premium_rcv_detail_code))+1
from ins_premium_det i),'3737','3737','02', '11000003','00','Request by Mr. Omair Ali 30-Apr-2025');</v>
      </c>
      <c r="H573" s="25" t="str">
        <f t="shared" si="35"/>
        <v>insert into ins_premium_det (premium_rcv_code,assorted_code, rec_amount,premium_rcv_detail_code,remaining_amt, payrec, mode_code,coinsurance_code,class_cd,it_remarks) values('29Apr250042','050000745909','3737',(select max(to_number(i.premium_rcv_detail_code))+1
from ins_premium_det i),'3737','3737','02', '11000003','00','Request by Mr. Omair Ali 30-Apr-2025');</v>
      </c>
    </row>
    <row r="574" spans="1:8" ht="105" x14ac:dyDescent="0.25">
      <c r="A574" t="s">
        <v>330</v>
      </c>
      <c r="B574" s="1" t="str">
        <f>VLOOKUP(A574,Sheet5!B:C,2,0)</f>
        <v>050000745912</v>
      </c>
      <c r="C574" s="13">
        <v>492</v>
      </c>
      <c r="D574" s="22">
        <f t="shared" si="33"/>
        <v>492</v>
      </c>
      <c r="E574" s="21" t="s">
        <v>5912</v>
      </c>
      <c r="F574" s="23" t="str">
        <f t="shared" si="32"/>
        <v>insert into ins_premium_det (premium_rcv_code,assorted_code, rec_amount,premium_rcv_detail_code,remaining_amt, payrec, mode_code,coinsurance_code,class_cd,it_remarks) values</v>
      </c>
      <c r="G574" s="24" t="str">
        <f t="shared" si="34"/>
        <v>('29Apr250042','050000745912','492',(select max(to_number(i.premium_rcv_detail_code))+1
from ins_premium_det i),'492','492','02', '11000003','00','Request by Mr. Omair Ali 30-Apr-2025');</v>
      </c>
      <c r="H574" s="25" t="str">
        <f t="shared" si="35"/>
        <v>insert into ins_premium_det (premium_rcv_code,assorted_code, rec_amount,premium_rcv_detail_code,remaining_amt, payrec, mode_code,coinsurance_code,class_cd,it_remarks) values('29Apr250042','050000745912','492',(select max(to_number(i.premium_rcv_detail_code))+1
from ins_premium_det i),'492','492','02', '11000003','00','Request by Mr. Omair Ali 30-Apr-2025');</v>
      </c>
    </row>
    <row r="575" spans="1:8" ht="105" x14ac:dyDescent="0.25">
      <c r="A575" t="s">
        <v>343</v>
      </c>
      <c r="B575" s="1" t="str">
        <f>VLOOKUP(A575,Sheet5!B:C,2,0)</f>
        <v>050000745915</v>
      </c>
      <c r="C575" s="13">
        <v>943</v>
      </c>
      <c r="D575" s="22">
        <f t="shared" si="33"/>
        <v>943</v>
      </c>
      <c r="E575" s="21" t="s">
        <v>5912</v>
      </c>
      <c r="F575" s="23" t="str">
        <f t="shared" si="32"/>
        <v>insert into ins_premium_det (premium_rcv_code,assorted_code, rec_amount,premium_rcv_detail_code,remaining_amt, payrec, mode_code,coinsurance_code,class_cd,it_remarks) values</v>
      </c>
      <c r="G575" s="24" t="str">
        <f t="shared" si="34"/>
        <v>('29Apr250042','050000745915','943',(select max(to_number(i.premium_rcv_detail_code))+1
from ins_premium_det i),'943','943','02', '11000003','00','Request by Mr. Omair Ali 30-Apr-2025');</v>
      </c>
      <c r="H575" s="25" t="str">
        <f t="shared" si="35"/>
        <v>insert into ins_premium_det (premium_rcv_code,assorted_code, rec_amount,premium_rcv_detail_code,remaining_amt, payrec, mode_code,coinsurance_code,class_cd,it_remarks) values('29Apr250042','050000745915','943',(select max(to_number(i.premium_rcv_detail_code))+1
from ins_premium_det i),'943','943','02', '11000003','00','Request by Mr. Omair Ali 30-Apr-2025');</v>
      </c>
    </row>
    <row r="576" spans="1:8" ht="105" x14ac:dyDescent="0.25">
      <c r="A576" t="s">
        <v>420</v>
      </c>
      <c r="B576" s="1" t="str">
        <f>VLOOKUP(A576,Sheet5!B:C,2,0)</f>
        <v>050000745916</v>
      </c>
      <c r="C576" s="13">
        <v>3425</v>
      </c>
      <c r="D576" s="22">
        <f t="shared" si="33"/>
        <v>3425</v>
      </c>
      <c r="E576" s="21" t="s">
        <v>5912</v>
      </c>
      <c r="F576" s="23" t="str">
        <f t="shared" si="32"/>
        <v>insert into ins_premium_det (premium_rcv_code,assorted_code, rec_amount,premium_rcv_detail_code,remaining_amt, payrec, mode_code,coinsurance_code,class_cd,it_remarks) values</v>
      </c>
      <c r="G576" s="24" t="str">
        <f t="shared" si="34"/>
        <v>('29Apr250042','050000745916','3425',(select max(to_number(i.premium_rcv_detail_code))+1
from ins_premium_det i),'3425','3425','02', '11000003','00','Request by Mr. Omair Ali 30-Apr-2025');</v>
      </c>
      <c r="H576" s="25" t="str">
        <f t="shared" si="35"/>
        <v>insert into ins_premium_det (premium_rcv_code,assorted_code, rec_amount,premium_rcv_detail_code,remaining_amt, payrec, mode_code,coinsurance_code,class_cd,it_remarks) values('29Apr250042','050000745916','3425',(select max(to_number(i.premium_rcv_detail_code))+1
from ins_premium_det i),'3425','3425','02', '11000003','00','Request by Mr. Omair Ali 30-Apr-2025');</v>
      </c>
    </row>
    <row r="577" spans="1:8" ht="105" x14ac:dyDescent="0.25">
      <c r="A577" t="s">
        <v>557</v>
      </c>
      <c r="B577" s="1" t="str">
        <f>VLOOKUP(A577,Sheet5!B:C,2,0)</f>
        <v>050000745922</v>
      </c>
      <c r="C577" s="13">
        <v>3362</v>
      </c>
      <c r="D577" s="22">
        <f t="shared" si="33"/>
        <v>3362</v>
      </c>
      <c r="E577" s="21" t="s">
        <v>5912</v>
      </c>
      <c r="F577" s="23" t="str">
        <f t="shared" si="32"/>
        <v>insert into ins_premium_det (premium_rcv_code,assorted_code, rec_amount,premium_rcv_detail_code,remaining_amt, payrec, mode_code,coinsurance_code,class_cd,it_remarks) values</v>
      </c>
      <c r="G577" s="24" t="str">
        <f t="shared" si="34"/>
        <v>('29Apr250042','050000745922','3362',(select max(to_number(i.premium_rcv_detail_code))+1
from ins_premium_det i),'3362','3362','02', '11000003','00','Request by Mr. Omair Ali 30-Apr-2025');</v>
      </c>
      <c r="H577" s="25" t="str">
        <f t="shared" si="35"/>
        <v>insert into ins_premium_det (premium_rcv_code,assorted_code, rec_amount,premium_rcv_detail_code,remaining_amt, payrec, mode_code,coinsurance_code,class_cd,it_remarks) values('29Apr250042','050000745922','3362',(select max(to_number(i.premium_rcv_detail_code))+1
from ins_premium_det i),'3362','3362','02', '11000003','00','Request by Mr. Omair Ali 30-Apr-2025');</v>
      </c>
    </row>
    <row r="578" spans="1:8" ht="105" x14ac:dyDescent="0.25">
      <c r="A578" t="s">
        <v>590</v>
      </c>
      <c r="B578" s="1" t="str">
        <f>VLOOKUP(A578,Sheet5!B:C,2,0)</f>
        <v>050000745927</v>
      </c>
      <c r="C578" s="13">
        <v>753</v>
      </c>
      <c r="D578" s="22">
        <f t="shared" si="33"/>
        <v>753</v>
      </c>
      <c r="E578" s="21" t="s">
        <v>5912</v>
      </c>
      <c r="F578" s="23" t="str">
        <f t="shared" ref="F578:F641" si="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78" s="24" t="str">
        <f t="shared" si="34"/>
        <v>('29Apr250042','050000745927','753',(select max(to_number(i.premium_rcv_detail_code))+1
from ins_premium_det i),'753','753','02', '11000003','00','Request by Mr. Omair Ali 30-Apr-2025');</v>
      </c>
      <c r="H578" s="25" t="str">
        <f t="shared" si="35"/>
        <v>insert into ins_premium_det (premium_rcv_code,assorted_code, rec_amount,premium_rcv_detail_code,remaining_amt, payrec, mode_code,coinsurance_code,class_cd,it_remarks) values('29Apr250042','050000745927','753',(select max(to_number(i.premium_rcv_detail_code))+1
from ins_premium_det i),'753','753','02', '11000003','00','Request by Mr. Omair Ali 30-Apr-2025');</v>
      </c>
    </row>
    <row r="579" spans="1:8" ht="105" x14ac:dyDescent="0.25">
      <c r="A579" t="s">
        <v>769</v>
      </c>
      <c r="B579" s="1" t="str">
        <f>VLOOKUP(A579,Sheet5!B:C,2,0)</f>
        <v>050000745937</v>
      </c>
      <c r="C579" s="13">
        <v>3224</v>
      </c>
      <c r="D579" s="22">
        <f t="shared" ref="D579:D642" si="37">ROUND(C579,0)</f>
        <v>3224</v>
      </c>
      <c r="E579" s="21" t="s">
        <v>5912</v>
      </c>
      <c r="F579" s="23" t="str">
        <f t="shared" si="36"/>
        <v>insert into ins_premium_det (premium_rcv_code,assorted_code, rec_amount,premium_rcv_detail_code,remaining_amt, payrec, mode_code,coinsurance_code,class_cd,it_remarks) values</v>
      </c>
      <c r="G579" s="24" t="str">
        <f t="shared" ref="G579:G642" si="38">"('"&amp;E579&amp;"','"&amp;B579&amp;"','"&amp;D579&amp;"',(select max(to_number(i.premium_rcv_detail_code))+1
from ins_premium_det i),'"&amp;D579&amp;"','"&amp;D579&amp;"','02', '11000003','00','Request by Mr. Omair Ali 30-Apr-2025');"</f>
        <v>('29Apr250042','050000745937','3224',(select max(to_number(i.premium_rcv_detail_code))+1
from ins_premium_det i),'3224','3224','02', '11000003','00','Request by Mr. Omair Ali 30-Apr-2025');</v>
      </c>
      <c r="H579" s="25" t="str">
        <f t="shared" ref="H579:H642" si="39">F579&amp;G579</f>
        <v>insert into ins_premium_det (premium_rcv_code,assorted_code, rec_amount,premium_rcv_detail_code,remaining_amt, payrec, mode_code,coinsurance_code,class_cd,it_remarks) values('29Apr250042','050000745937','3224',(select max(to_number(i.premium_rcv_detail_code))+1
from ins_premium_det i),'3224','3224','02', '11000003','00','Request by Mr. Omair Ali 30-Apr-2025');</v>
      </c>
    </row>
    <row r="580" spans="1:8" ht="105" x14ac:dyDescent="0.25">
      <c r="A580" t="s">
        <v>790</v>
      </c>
      <c r="B580" s="1" t="str">
        <f>VLOOKUP(A580,Sheet5!B:C,2,0)</f>
        <v>050000745940</v>
      </c>
      <c r="C580" s="13">
        <v>3298</v>
      </c>
      <c r="D580" s="22">
        <f t="shared" si="37"/>
        <v>3298</v>
      </c>
      <c r="E580" s="21" t="s">
        <v>5912</v>
      </c>
      <c r="F580" s="23" t="str">
        <f t="shared" si="36"/>
        <v>insert into ins_premium_det (premium_rcv_code,assorted_code, rec_amount,premium_rcv_detail_code,remaining_amt, payrec, mode_code,coinsurance_code,class_cd,it_remarks) values</v>
      </c>
      <c r="G580" s="24" t="str">
        <f t="shared" si="38"/>
        <v>('29Apr250042','050000745940','3298',(select max(to_number(i.premium_rcv_detail_code))+1
from ins_premium_det i),'3298','3298','02', '11000003','00','Request by Mr. Omair Ali 30-Apr-2025');</v>
      </c>
      <c r="H580" s="25" t="str">
        <f t="shared" si="39"/>
        <v>insert into ins_premium_det (premium_rcv_code,assorted_code, rec_amount,premium_rcv_detail_code,remaining_amt, payrec, mode_code,coinsurance_code,class_cd,it_remarks) values('29Apr250042','050000745940','3298',(select max(to_number(i.premium_rcv_detail_code))+1
from ins_premium_det i),'3298','3298','02', '11000003','00','Request by Mr. Omair Ali 30-Apr-2025');</v>
      </c>
    </row>
    <row r="581" spans="1:8" ht="105" x14ac:dyDescent="0.25">
      <c r="A581" t="s">
        <v>913</v>
      </c>
      <c r="B581" s="1" t="str">
        <f>VLOOKUP(A581,Sheet5!B:C,2,0)</f>
        <v>050000745949</v>
      </c>
      <c r="C581" s="13">
        <v>760</v>
      </c>
      <c r="D581" s="22">
        <f t="shared" si="37"/>
        <v>760</v>
      </c>
      <c r="E581" s="21" t="s">
        <v>5912</v>
      </c>
      <c r="F581" s="23" t="str">
        <f t="shared" si="36"/>
        <v>insert into ins_premium_det (premium_rcv_code,assorted_code, rec_amount,premium_rcv_detail_code,remaining_amt, payrec, mode_code,coinsurance_code,class_cd,it_remarks) values</v>
      </c>
      <c r="G581" s="24" t="str">
        <f t="shared" si="38"/>
        <v>('29Apr250042','050000745949','760',(select max(to_number(i.premium_rcv_detail_code))+1
from ins_premium_det i),'760','760','02', '11000003','00','Request by Mr. Omair Ali 30-Apr-2025');</v>
      </c>
      <c r="H581" s="25" t="str">
        <f t="shared" si="39"/>
        <v>insert into ins_premium_det (premium_rcv_code,assorted_code, rec_amount,premium_rcv_detail_code,remaining_amt, payrec, mode_code,coinsurance_code,class_cd,it_remarks) values('29Apr250042','050000745949','760',(select max(to_number(i.premium_rcv_detail_code))+1
from ins_premium_det i),'760','760','02', '11000003','00','Request by Mr. Omair Ali 30-Apr-2025');</v>
      </c>
    </row>
    <row r="582" spans="1:8" ht="105" x14ac:dyDescent="0.25">
      <c r="A582" t="s">
        <v>928</v>
      </c>
      <c r="B582" s="1" t="str">
        <f>VLOOKUP(A582,Sheet5!B:C,2,0)</f>
        <v>050000745951</v>
      </c>
      <c r="C582" s="13">
        <v>4436</v>
      </c>
      <c r="D582" s="22">
        <f t="shared" si="37"/>
        <v>4436</v>
      </c>
      <c r="E582" s="21" t="s">
        <v>5912</v>
      </c>
      <c r="F582" s="23" t="str">
        <f t="shared" si="36"/>
        <v>insert into ins_premium_det (premium_rcv_code,assorted_code, rec_amount,premium_rcv_detail_code,remaining_amt, payrec, mode_code,coinsurance_code,class_cd,it_remarks) values</v>
      </c>
      <c r="G582" s="24" t="str">
        <f t="shared" si="38"/>
        <v>('29Apr250042','050000745951','4436',(select max(to_number(i.premium_rcv_detail_code))+1
from ins_premium_det i),'4436','4436','02', '11000003','00','Request by Mr. Omair Ali 30-Apr-2025');</v>
      </c>
      <c r="H582" s="25" t="str">
        <f t="shared" si="39"/>
        <v>insert into ins_premium_det (premium_rcv_code,assorted_code, rec_amount,premium_rcv_detail_code,remaining_amt, payrec, mode_code,coinsurance_code,class_cd,it_remarks) values('29Apr250042','050000745951','4436',(select max(to_number(i.premium_rcv_detail_code))+1
from ins_premium_det i),'4436','4436','02', '11000003','00','Request by Mr. Omair Ali 30-Apr-2025');</v>
      </c>
    </row>
    <row r="583" spans="1:8" ht="105" x14ac:dyDescent="0.25">
      <c r="A583" t="s">
        <v>969</v>
      </c>
      <c r="B583" s="1" t="str">
        <f>VLOOKUP(A583,Sheet5!B:C,2,0)</f>
        <v>050000745953</v>
      </c>
      <c r="C583" s="13">
        <v>2262</v>
      </c>
      <c r="D583" s="22">
        <f t="shared" si="37"/>
        <v>2262</v>
      </c>
      <c r="E583" s="21" t="s">
        <v>5912</v>
      </c>
      <c r="F583" s="23" t="str">
        <f t="shared" si="36"/>
        <v>insert into ins_premium_det (premium_rcv_code,assorted_code, rec_amount,premium_rcv_detail_code,remaining_amt, payrec, mode_code,coinsurance_code,class_cd,it_remarks) values</v>
      </c>
      <c r="G583" s="24" t="str">
        <f t="shared" si="38"/>
        <v>('29Apr250042','050000745953','2262',(select max(to_number(i.premium_rcv_detail_code))+1
from ins_premium_det i),'2262','2262','02', '11000003','00','Request by Mr. Omair Ali 30-Apr-2025');</v>
      </c>
      <c r="H583" s="25" t="str">
        <f t="shared" si="39"/>
        <v>insert into ins_premium_det (premium_rcv_code,assorted_code, rec_amount,premium_rcv_detail_code,remaining_amt, payrec, mode_code,coinsurance_code,class_cd,it_remarks) values('29Apr250042','050000745953','2262',(select max(to_number(i.premium_rcv_detail_code))+1
from ins_premium_det i),'2262','2262','02', '11000003','00','Request by Mr. Omair Ali 30-Apr-2025');</v>
      </c>
    </row>
    <row r="584" spans="1:8" ht="105" x14ac:dyDescent="0.25">
      <c r="A584" t="s">
        <v>1055</v>
      </c>
      <c r="B584" s="1" t="str">
        <f>VLOOKUP(A584,Sheet5!B:C,2,0)</f>
        <v>050000745957</v>
      </c>
      <c r="C584" s="13">
        <v>2453</v>
      </c>
      <c r="D584" s="22">
        <f t="shared" si="37"/>
        <v>2453</v>
      </c>
      <c r="E584" s="21" t="s">
        <v>5912</v>
      </c>
      <c r="F584" s="23" t="str">
        <f t="shared" si="36"/>
        <v>insert into ins_premium_det (premium_rcv_code,assorted_code, rec_amount,premium_rcv_detail_code,remaining_amt, payrec, mode_code,coinsurance_code,class_cd,it_remarks) values</v>
      </c>
      <c r="G584" s="24" t="str">
        <f t="shared" si="38"/>
        <v>('29Apr250042','050000745957','2453',(select max(to_number(i.premium_rcv_detail_code))+1
from ins_premium_det i),'2453','2453','02', '11000003','00','Request by Mr. Omair Ali 30-Apr-2025');</v>
      </c>
      <c r="H584" s="25" t="str">
        <f t="shared" si="39"/>
        <v>insert into ins_premium_det (premium_rcv_code,assorted_code, rec_amount,premium_rcv_detail_code,remaining_amt, payrec, mode_code,coinsurance_code,class_cd,it_remarks) values('29Apr250042','050000745957','2453',(select max(to_number(i.premium_rcv_detail_code))+1
from ins_premium_det i),'2453','2453','02', '11000003','00','Request by Mr. Omair Ali 30-Apr-2025');</v>
      </c>
    </row>
    <row r="585" spans="1:8" ht="105" x14ac:dyDescent="0.25">
      <c r="A585" t="s">
        <v>1065</v>
      </c>
      <c r="B585" s="1" t="str">
        <f>VLOOKUP(A585,Sheet5!B:C,2,0)</f>
        <v>050000745961</v>
      </c>
      <c r="C585" s="13">
        <v>4678</v>
      </c>
      <c r="D585" s="22">
        <f t="shared" si="37"/>
        <v>4678</v>
      </c>
      <c r="E585" s="21" t="s">
        <v>5912</v>
      </c>
      <c r="F585" s="23" t="str">
        <f t="shared" si="36"/>
        <v>insert into ins_premium_det (premium_rcv_code,assorted_code, rec_amount,premium_rcv_detail_code,remaining_amt, payrec, mode_code,coinsurance_code,class_cd,it_remarks) values</v>
      </c>
      <c r="G585" s="24" t="str">
        <f t="shared" si="38"/>
        <v>('29Apr250042','050000745961','4678',(select max(to_number(i.premium_rcv_detail_code))+1
from ins_premium_det i),'4678','4678','02', '11000003','00','Request by Mr. Omair Ali 30-Apr-2025');</v>
      </c>
      <c r="H585" s="25" t="str">
        <f t="shared" si="39"/>
        <v>insert into ins_premium_det (premium_rcv_code,assorted_code, rec_amount,premium_rcv_detail_code,remaining_amt, payrec, mode_code,coinsurance_code,class_cd,it_remarks) values('29Apr250042','050000745961','4678',(select max(to_number(i.premium_rcv_detail_code))+1
from ins_premium_det i),'4678','4678','02', '11000003','00','Request by Mr. Omair Ali 30-Apr-2025');</v>
      </c>
    </row>
    <row r="586" spans="1:8" ht="105" x14ac:dyDescent="0.25">
      <c r="A586" t="s">
        <v>1090</v>
      </c>
      <c r="B586" s="1" t="str">
        <f>VLOOKUP(A586,Sheet5!B:C,2,0)</f>
        <v>050000745962</v>
      </c>
      <c r="C586" s="13">
        <v>2955</v>
      </c>
      <c r="D586" s="22">
        <f t="shared" si="37"/>
        <v>2955</v>
      </c>
      <c r="E586" s="21" t="s">
        <v>5912</v>
      </c>
      <c r="F586" s="23" t="str">
        <f t="shared" si="36"/>
        <v>insert into ins_premium_det (premium_rcv_code,assorted_code, rec_amount,premium_rcv_detail_code,remaining_amt, payrec, mode_code,coinsurance_code,class_cd,it_remarks) values</v>
      </c>
      <c r="G586" s="24" t="str">
        <f t="shared" si="38"/>
        <v>('29Apr250042','050000745962','2955',(select max(to_number(i.premium_rcv_detail_code))+1
from ins_premium_det i),'2955','2955','02', '11000003','00','Request by Mr. Omair Ali 30-Apr-2025');</v>
      </c>
      <c r="H586" s="25" t="str">
        <f t="shared" si="39"/>
        <v>insert into ins_premium_det (premium_rcv_code,assorted_code, rec_amount,premium_rcv_detail_code,remaining_amt, payrec, mode_code,coinsurance_code,class_cd,it_remarks) values('29Apr250042','050000745962','2955',(select max(to_number(i.premium_rcv_detail_code))+1
from ins_premium_det i),'2955','2955','02', '11000003','00','Request by Mr. Omair Ali 30-Apr-2025');</v>
      </c>
    </row>
    <row r="587" spans="1:8" ht="105" x14ac:dyDescent="0.25">
      <c r="A587" t="s">
        <v>1223</v>
      </c>
      <c r="B587" s="1" t="str">
        <f>VLOOKUP(A587,Sheet5!B:C,2,0)</f>
        <v>050000745967</v>
      </c>
      <c r="C587" s="13">
        <v>3309</v>
      </c>
      <c r="D587" s="22">
        <f t="shared" si="37"/>
        <v>3309</v>
      </c>
      <c r="E587" s="21" t="s">
        <v>5912</v>
      </c>
      <c r="F587" s="23" t="str">
        <f t="shared" si="36"/>
        <v>insert into ins_premium_det (premium_rcv_code,assorted_code, rec_amount,premium_rcv_detail_code,remaining_amt, payrec, mode_code,coinsurance_code,class_cd,it_remarks) values</v>
      </c>
      <c r="G587" s="24" t="str">
        <f t="shared" si="38"/>
        <v>('29Apr250042','050000745967','3309',(select max(to_number(i.premium_rcv_detail_code))+1
from ins_premium_det i),'3309','3309','02', '11000003','00','Request by Mr. Omair Ali 30-Apr-2025');</v>
      </c>
      <c r="H587" s="25" t="str">
        <f t="shared" si="39"/>
        <v>insert into ins_premium_det (premium_rcv_code,assorted_code, rec_amount,premium_rcv_detail_code,remaining_amt, payrec, mode_code,coinsurance_code,class_cd,it_remarks) values('29Apr250042','050000745967','3309',(select max(to_number(i.premium_rcv_detail_code))+1
from ins_premium_det i),'3309','3309','02', '11000003','00','Request by Mr. Omair Ali 30-Apr-2025');</v>
      </c>
    </row>
    <row r="588" spans="1:8" ht="105" x14ac:dyDescent="0.25">
      <c r="A588" t="s">
        <v>1236</v>
      </c>
      <c r="B588" s="1" t="str">
        <f>VLOOKUP(A588,Sheet5!B:C,2,0)</f>
        <v>050000745968</v>
      </c>
      <c r="C588" s="13">
        <v>765</v>
      </c>
      <c r="D588" s="22">
        <f t="shared" si="37"/>
        <v>765</v>
      </c>
      <c r="E588" s="21" t="s">
        <v>5912</v>
      </c>
      <c r="F588" s="23" t="str">
        <f t="shared" si="36"/>
        <v>insert into ins_premium_det (premium_rcv_code,assorted_code, rec_amount,premium_rcv_detail_code,remaining_amt, payrec, mode_code,coinsurance_code,class_cd,it_remarks) values</v>
      </c>
      <c r="G588" s="24" t="str">
        <f t="shared" si="38"/>
        <v>('29Apr250042','050000745968','765',(select max(to_number(i.premium_rcv_detail_code))+1
from ins_premium_det i),'765','765','02', '11000003','00','Request by Mr. Omair Ali 30-Apr-2025');</v>
      </c>
      <c r="H588" s="25" t="str">
        <f t="shared" si="39"/>
        <v>insert into ins_premium_det (premium_rcv_code,assorted_code, rec_amount,premium_rcv_detail_code,remaining_amt, payrec, mode_code,coinsurance_code,class_cd,it_remarks) values('29Apr250042','050000745968','765',(select max(to_number(i.premium_rcv_detail_code))+1
from ins_premium_det i),'765','765','02', '11000003','00','Request by Mr. Omair Ali 30-Apr-2025');</v>
      </c>
    </row>
    <row r="589" spans="1:8" ht="105" x14ac:dyDescent="0.25">
      <c r="A589" t="s">
        <v>1279</v>
      </c>
      <c r="B589" s="1" t="str">
        <f>VLOOKUP(A589,Sheet5!B:C,2,0)</f>
        <v>050000745974</v>
      </c>
      <c r="C589" s="13">
        <v>1964</v>
      </c>
      <c r="D589" s="22">
        <f t="shared" si="37"/>
        <v>1964</v>
      </c>
      <c r="E589" s="21" t="s">
        <v>5912</v>
      </c>
      <c r="F589" s="23" t="str">
        <f t="shared" si="36"/>
        <v>insert into ins_premium_det (premium_rcv_code,assorted_code, rec_amount,premium_rcv_detail_code,remaining_amt, payrec, mode_code,coinsurance_code,class_cd,it_remarks) values</v>
      </c>
      <c r="G589" s="24" t="str">
        <f t="shared" si="38"/>
        <v>('29Apr250042','050000745974','1964',(select max(to_number(i.premium_rcv_detail_code))+1
from ins_premium_det i),'1964','1964','02', '11000003','00','Request by Mr. Omair Ali 30-Apr-2025');</v>
      </c>
      <c r="H589" s="25" t="str">
        <f t="shared" si="39"/>
        <v>insert into ins_premium_det (premium_rcv_code,assorted_code, rec_amount,premium_rcv_detail_code,remaining_amt, payrec, mode_code,coinsurance_code,class_cd,it_remarks) values('29Apr250042','050000745974','1964',(select max(to_number(i.premium_rcv_detail_code))+1
from ins_premium_det i),'1964','1964','02', '11000003','00','Request by Mr. Omair Ali 30-Apr-2025');</v>
      </c>
    </row>
    <row r="590" spans="1:8" ht="105" x14ac:dyDescent="0.25">
      <c r="A590" t="s">
        <v>1290</v>
      </c>
      <c r="B590" s="1" t="str">
        <f>VLOOKUP(A590,Sheet5!B:C,2,0)</f>
        <v>050000745980</v>
      </c>
      <c r="C590" s="13">
        <v>1415</v>
      </c>
      <c r="D590" s="22">
        <f t="shared" si="37"/>
        <v>1415</v>
      </c>
      <c r="E590" s="21" t="s">
        <v>5912</v>
      </c>
      <c r="F590" s="23" t="str">
        <f t="shared" si="36"/>
        <v>insert into ins_premium_det (premium_rcv_code,assorted_code, rec_amount,premium_rcv_detail_code,remaining_amt, payrec, mode_code,coinsurance_code,class_cd,it_remarks) values</v>
      </c>
      <c r="G590" s="24" t="str">
        <f t="shared" si="38"/>
        <v>('29Apr250042','050000745980','1415',(select max(to_number(i.premium_rcv_detail_code))+1
from ins_premium_det i),'1415','1415','02', '11000003','00','Request by Mr. Omair Ali 30-Apr-2025');</v>
      </c>
      <c r="H590" s="25" t="str">
        <f t="shared" si="39"/>
        <v>insert into ins_premium_det (premium_rcv_code,assorted_code, rec_amount,premium_rcv_detail_code,remaining_amt, payrec, mode_code,coinsurance_code,class_cd,it_remarks) values('29Apr250042','050000745980','1415',(select max(to_number(i.premium_rcv_detail_code))+1
from ins_premium_det i),'1415','1415','02', '11000003','00','Request by Mr. Omair Ali 30-Apr-2025');</v>
      </c>
    </row>
    <row r="591" spans="1:8" ht="105" x14ac:dyDescent="0.25">
      <c r="A591" t="s">
        <v>1432</v>
      </c>
      <c r="B591" s="1" t="str">
        <f>VLOOKUP(A591,Sheet5!B:C,2,0)</f>
        <v>050000745990</v>
      </c>
      <c r="C591" s="13">
        <v>5168</v>
      </c>
      <c r="D591" s="22">
        <f t="shared" si="37"/>
        <v>5168</v>
      </c>
      <c r="E591" s="21" t="s">
        <v>5912</v>
      </c>
      <c r="F591" s="23" t="str">
        <f t="shared" si="36"/>
        <v>insert into ins_premium_det (premium_rcv_code,assorted_code, rec_amount,premium_rcv_detail_code,remaining_amt, payrec, mode_code,coinsurance_code,class_cd,it_remarks) values</v>
      </c>
      <c r="G591" s="24" t="str">
        <f t="shared" si="38"/>
        <v>('29Apr250042','050000745990','5168',(select max(to_number(i.premium_rcv_detail_code))+1
from ins_premium_det i),'5168','5168','02', '11000003','00','Request by Mr. Omair Ali 30-Apr-2025');</v>
      </c>
      <c r="H591" s="25" t="str">
        <f t="shared" si="39"/>
        <v>insert into ins_premium_det (premium_rcv_code,assorted_code, rec_amount,premium_rcv_detail_code,remaining_amt, payrec, mode_code,coinsurance_code,class_cd,it_remarks) values('29Apr250042','050000745990','5168',(select max(to_number(i.premium_rcv_detail_code))+1
from ins_premium_det i),'5168','5168','02', '11000003','00','Request by Mr. Omair Ali 30-Apr-2025');</v>
      </c>
    </row>
    <row r="592" spans="1:8" ht="105" x14ac:dyDescent="0.25">
      <c r="A592" t="s">
        <v>1683</v>
      </c>
      <c r="B592" s="1" t="str">
        <f>VLOOKUP(A592,Sheet5!B:C,2,0)</f>
        <v>050000746009</v>
      </c>
      <c r="C592" s="13">
        <v>5976</v>
      </c>
      <c r="D592" s="22">
        <f t="shared" si="37"/>
        <v>5976</v>
      </c>
      <c r="E592" s="21" t="s">
        <v>5912</v>
      </c>
      <c r="F592" s="23" t="str">
        <f t="shared" si="36"/>
        <v>insert into ins_premium_det (premium_rcv_code,assorted_code, rec_amount,premium_rcv_detail_code,remaining_amt, payrec, mode_code,coinsurance_code,class_cd,it_remarks) values</v>
      </c>
      <c r="G592" s="24" t="str">
        <f t="shared" si="38"/>
        <v>('29Apr250042','050000746009','5976',(select max(to_number(i.premium_rcv_detail_code))+1
from ins_premium_det i),'5976','5976','02', '11000003','00','Request by Mr. Omair Ali 30-Apr-2025');</v>
      </c>
      <c r="H592" s="25" t="str">
        <f t="shared" si="39"/>
        <v>insert into ins_premium_det (premium_rcv_code,assorted_code, rec_amount,premium_rcv_detail_code,remaining_amt, payrec, mode_code,coinsurance_code,class_cd,it_remarks) values('29Apr250042','050000746009','5976',(select max(to_number(i.premium_rcv_detail_code))+1
from ins_premium_det i),'5976','5976','02', '11000003','00','Request by Mr. Omair Ali 30-Apr-2025');</v>
      </c>
    </row>
    <row r="593" spans="1:8" ht="105" x14ac:dyDescent="0.25">
      <c r="A593" t="s">
        <v>1703</v>
      </c>
      <c r="B593" s="1" t="str">
        <f>VLOOKUP(A593,Sheet5!B:C,2,0)</f>
        <v>050000746022</v>
      </c>
      <c r="C593" s="13">
        <v>799</v>
      </c>
      <c r="D593" s="22">
        <f t="shared" si="37"/>
        <v>799</v>
      </c>
      <c r="E593" s="21" t="s">
        <v>5912</v>
      </c>
      <c r="F593" s="23" t="str">
        <f t="shared" si="36"/>
        <v>insert into ins_premium_det (premium_rcv_code,assorted_code, rec_amount,premium_rcv_detail_code,remaining_amt, payrec, mode_code,coinsurance_code,class_cd,it_remarks) values</v>
      </c>
      <c r="G593" s="24" t="str">
        <f t="shared" si="38"/>
        <v>('29Apr250042','050000746022','799',(select max(to_number(i.premium_rcv_detail_code))+1
from ins_premium_det i),'799','799','02', '11000003','00','Request by Mr. Omair Ali 30-Apr-2025');</v>
      </c>
      <c r="H593" s="25" t="str">
        <f t="shared" si="39"/>
        <v>insert into ins_premium_det (premium_rcv_code,assorted_code, rec_amount,premium_rcv_detail_code,remaining_amt, payrec, mode_code,coinsurance_code,class_cd,it_remarks) values('29Apr250042','050000746022','799',(select max(to_number(i.premium_rcv_detail_code))+1
from ins_premium_det i),'799','799','02', '11000003','00','Request by Mr. Omair Ali 30-Apr-2025');</v>
      </c>
    </row>
    <row r="594" spans="1:8" ht="105" x14ac:dyDescent="0.25">
      <c r="A594" t="s">
        <v>1708</v>
      </c>
      <c r="B594" s="1" t="str">
        <f>VLOOKUP(A594,Sheet5!B:C,2,0)</f>
        <v>050000746023</v>
      </c>
      <c r="C594" s="13">
        <v>954</v>
      </c>
      <c r="D594" s="22">
        <f t="shared" si="37"/>
        <v>954</v>
      </c>
      <c r="E594" s="21" t="s">
        <v>5912</v>
      </c>
      <c r="F594" s="23" t="str">
        <f t="shared" si="36"/>
        <v>insert into ins_premium_det (premium_rcv_code,assorted_code, rec_amount,premium_rcv_detail_code,remaining_amt, payrec, mode_code,coinsurance_code,class_cd,it_remarks) values</v>
      </c>
      <c r="G594" s="24" t="str">
        <f t="shared" si="38"/>
        <v>('29Apr250042','050000746023','954',(select max(to_number(i.premium_rcv_detail_code))+1
from ins_premium_det i),'954','954','02', '11000003','00','Request by Mr. Omair Ali 30-Apr-2025');</v>
      </c>
      <c r="H594" s="25" t="str">
        <f t="shared" si="39"/>
        <v>insert into ins_premium_det (premium_rcv_code,assorted_code, rec_amount,premium_rcv_detail_code,remaining_amt, payrec, mode_code,coinsurance_code,class_cd,it_remarks) values('29Apr250042','050000746023','954',(select max(to_number(i.premium_rcv_detail_code))+1
from ins_premium_det i),'954','954','02', '11000003','00','Request by Mr. Omair Ali 30-Apr-2025');</v>
      </c>
    </row>
    <row r="595" spans="1:8" ht="105" x14ac:dyDescent="0.25">
      <c r="A595" t="s">
        <v>245</v>
      </c>
      <c r="B595" s="1" t="str">
        <f>VLOOKUP(A595,Sheet5!B:C,2,0)</f>
        <v>050000746598</v>
      </c>
      <c r="C595" s="13">
        <v>1184</v>
      </c>
      <c r="D595" s="22">
        <f t="shared" si="37"/>
        <v>1184</v>
      </c>
      <c r="E595" s="21" t="s">
        <v>5912</v>
      </c>
      <c r="F595" s="23" t="str">
        <f t="shared" si="36"/>
        <v>insert into ins_premium_det (premium_rcv_code,assorted_code, rec_amount,premium_rcv_detail_code,remaining_amt, payrec, mode_code,coinsurance_code,class_cd,it_remarks) values</v>
      </c>
      <c r="G595" s="24" t="str">
        <f t="shared" si="38"/>
        <v>('29Apr250042','050000746598','1184',(select max(to_number(i.premium_rcv_detail_code))+1
from ins_premium_det i),'1184','1184','02', '11000003','00','Request by Mr. Omair Ali 30-Apr-2025');</v>
      </c>
      <c r="H595" s="25" t="str">
        <f t="shared" si="39"/>
        <v>insert into ins_premium_det (premium_rcv_code,assorted_code, rec_amount,premium_rcv_detail_code,remaining_amt, payrec, mode_code,coinsurance_code,class_cd,it_remarks) values('29Apr250042','050000746598','1184',(select max(to_number(i.premium_rcv_detail_code))+1
from ins_premium_det i),'1184','1184','02', '11000003','00','Request by Mr. Omair Ali 30-Apr-2025');</v>
      </c>
    </row>
    <row r="596" spans="1:8" ht="105" x14ac:dyDescent="0.25">
      <c r="A596" t="s">
        <v>447</v>
      </c>
      <c r="B596" s="1" t="str">
        <f>VLOOKUP(A596,Sheet5!B:C,2,0)</f>
        <v>050000746602</v>
      </c>
      <c r="C596" s="13">
        <v>4632</v>
      </c>
      <c r="D596" s="22">
        <f t="shared" si="37"/>
        <v>4632</v>
      </c>
      <c r="E596" s="21" t="s">
        <v>5912</v>
      </c>
      <c r="F596" s="23" t="str">
        <f t="shared" si="36"/>
        <v>insert into ins_premium_det (premium_rcv_code,assorted_code, rec_amount,premium_rcv_detail_code,remaining_amt, payrec, mode_code,coinsurance_code,class_cd,it_remarks) values</v>
      </c>
      <c r="G596" s="24" t="str">
        <f t="shared" si="38"/>
        <v>('29Apr250042','050000746602','4632',(select max(to_number(i.premium_rcv_detail_code))+1
from ins_premium_det i),'4632','4632','02', '11000003','00','Request by Mr. Omair Ali 30-Apr-2025');</v>
      </c>
      <c r="H596" s="25" t="str">
        <f t="shared" si="39"/>
        <v>insert into ins_premium_det (premium_rcv_code,assorted_code, rec_amount,premium_rcv_detail_code,remaining_amt, payrec, mode_code,coinsurance_code,class_cd,it_remarks) values('29Apr250042','050000746602','4632',(select max(to_number(i.premium_rcv_detail_code))+1
from ins_premium_det i),'4632','4632','02', '11000003','00','Request by Mr. Omair Ali 30-Apr-2025');</v>
      </c>
    </row>
    <row r="597" spans="1:8" ht="105" x14ac:dyDescent="0.25">
      <c r="A597" t="s">
        <v>526</v>
      </c>
      <c r="B597" s="1" t="str">
        <f>VLOOKUP(A597,Sheet5!B:C,2,0)</f>
        <v>050000746604</v>
      </c>
      <c r="C597" s="13">
        <v>14</v>
      </c>
      <c r="D597" s="22">
        <f t="shared" si="37"/>
        <v>14</v>
      </c>
      <c r="E597" s="21" t="s">
        <v>5912</v>
      </c>
      <c r="F597" s="23" t="str">
        <f t="shared" si="36"/>
        <v>insert into ins_premium_det (premium_rcv_code,assorted_code, rec_amount,premium_rcv_detail_code,remaining_amt, payrec, mode_code,coinsurance_code,class_cd,it_remarks) values</v>
      </c>
      <c r="G597" s="24" t="str">
        <f t="shared" si="38"/>
        <v>('29Apr250042','050000746604','14',(select max(to_number(i.premium_rcv_detail_code))+1
from ins_premium_det i),'14','14','02', '11000003','00','Request by Mr. Omair Ali 30-Apr-2025');</v>
      </c>
      <c r="H597" s="25" t="str">
        <f t="shared" si="39"/>
        <v>insert into ins_premium_det (premium_rcv_code,assorted_code, rec_amount,premium_rcv_detail_code,remaining_amt, payrec, mode_code,coinsurance_code,class_cd,it_remarks) values('29Apr250042','050000746604','14',(select max(to_number(i.premium_rcv_detail_code))+1
from ins_premium_det i),'14','14','02', '11000003','00','Request by Mr. Omair Ali 30-Apr-2025');</v>
      </c>
    </row>
    <row r="598" spans="1:8" ht="105" x14ac:dyDescent="0.25">
      <c r="A598" t="s">
        <v>532</v>
      </c>
      <c r="B598" s="1" t="str">
        <f>VLOOKUP(A598,Sheet5!B:C,2,0)</f>
        <v>050000746605</v>
      </c>
      <c r="C598" s="13">
        <v>940</v>
      </c>
      <c r="D598" s="22">
        <f t="shared" si="37"/>
        <v>940</v>
      </c>
      <c r="E598" s="21" t="s">
        <v>5912</v>
      </c>
      <c r="F598" s="23" t="str">
        <f t="shared" si="36"/>
        <v>insert into ins_premium_det (premium_rcv_code,assorted_code, rec_amount,premium_rcv_detail_code,remaining_amt, payrec, mode_code,coinsurance_code,class_cd,it_remarks) values</v>
      </c>
      <c r="G598" s="24" t="str">
        <f t="shared" si="38"/>
        <v>('29Apr250042','050000746605','940',(select max(to_number(i.premium_rcv_detail_code))+1
from ins_premium_det i),'940','940','02', '11000003','00','Request by Mr. Omair Ali 30-Apr-2025');</v>
      </c>
      <c r="H598" s="25" t="str">
        <f t="shared" si="39"/>
        <v>insert into ins_premium_det (premium_rcv_code,assorted_code, rec_amount,premium_rcv_detail_code,remaining_amt, payrec, mode_code,coinsurance_code,class_cd,it_remarks) values('29Apr250042','050000746605','940',(select max(to_number(i.premium_rcv_detail_code))+1
from ins_premium_det i),'940','940','02', '11000003','00','Request by Mr. Omair Ali 30-Apr-2025');</v>
      </c>
    </row>
    <row r="599" spans="1:8" ht="105" x14ac:dyDescent="0.25">
      <c r="A599" t="s">
        <v>616</v>
      </c>
      <c r="B599" s="1" t="str">
        <f>VLOOKUP(A599,Sheet5!B:C,2,0)</f>
        <v>050000746606</v>
      </c>
      <c r="C599" s="13">
        <v>2618</v>
      </c>
      <c r="D599" s="22">
        <f t="shared" si="37"/>
        <v>2618</v>
      </c>
      <c r="E599" s="21" t="s">
        <v>5912</v>
      </c>
      <c r="F599" s="23" t="str">
        <f t="shared" si="36"/>
        <v>insert into ins_premium_det (premium_rcv_code,assorted_code, rec_amount,premium_rcv_detail_code,remaining_amt, payrec, mode_code,coinsurance_code,class_cd,it_remarks) values</v>
      </c>
      <c r="G599" s="24" t="str">
        <f t="shared" si="38"/>
        <v>('29Apr250042','050000746606','2618',(select max(to_number(i.premium_rcv_detail_code))+1
from ins_premium_det i),'2618','2618','02', '11000003','00','Request by Mr. Omair Ali 30-Apr-2025');</v>
      </c>
      <c r="H599" s="25" t="str">
        <f t="shared" si="39"/>
        <v>insert into ins_premium_det (premium_rcv_code,assorted_code, rec_amount,premium_rcv_detail_code,remaining_amt, payrec, mode_code,coinsurance_code,class_cd,it_remarks) values('29Apr250042','050000746606','2618',(select max(to_number(i.premium_rcv_detail_code))+1
from ins_premium_det i),'2618','2618','02', '11000003','00','Request by Mr. Omair Ali 30-Apr-2025');</v>
      </c>
    </row>
    <row r="600" spans="1:8" ht="105" x14ac:dyDescent="0.25">
      <c r="A600" t="s">
        <v>648</v>
      </c>
      <c r="B600" s="1" t="str">
        <f>VLOOKUP(A600,Sheet5!B:C,2,0)</f>
        <v>050000746609</v>
      </c>
      <c r="C600" s="13">
        <v>1236</v>
      </c>
      <c r="D600" s="22">
        <f t="shared" si="37"/>
        <v>1236</v>
      </c>
      <c r="E600" s="21" t="s">
        <v>5912</v>
      </c>
      <c r="F600" s="23" t="str">
        <f t="shared" si="36"/>
        <v>insert into ins_premium_det (premium_rcv_code,assorted_code, rec_amount,premium_rcv_detail_code,remaining_amt, payrec, mode_code,coinsurance_code,class_cd,it_remarks) values</v>
      </c>
      <c r="G600" s="24" t="str">
        <f t="shared" si="38"/>
        <v>('29Apr250042','050000746609','1236',(select max(to_number(i.premium_rcv_detail_code))+1
from ins_premium_det i),'1236','1236','02', '11000003','00','Request by Mr. Omair Ali 30-Apr-2025');</v>
      </c>
      <c r="H600" s="25" t="str">
        <f t="shared" si="39"/>
        <v>insert into ins_premium_det (premium_rcv_code,assorted_code, rec_amount,premium_rcv_detail_code,remaining_amt, payrec, mode_code,coinsurance_code,class_cd,it_remarks) values('29Apr250042','050000746609','1236',(select max(to_number(i.premium_rcv_detail_code))+1
from ins_premium_det i),'1236','1236','02', '11000003','00','Request by Mr. Omair Ali 30-Apr-2025');</v>
      </c>
    </row>
    <row r="601" spans="1:8" ht="105" x14ac:dyDescent="0.25">
      <c r="A601" t="s">
        <v>822</v>
      </c>
      <c r="B601" s="1" t="str">
        <f>VLOOKUP(A601,Sheet5!B:C,2,0)</f>
        <v>050000746614</v>
      </c>
      <c r="C601" s="13">
        <v>1469</v>
      </c>
      <c r="D601" s="22">
        <f t="shared" si="37"/>
        <v>1469</v>
      </c>
      <c r="E601" s="21" t="s">
        <v>5912</v>
      </c>
      <c r="F601" s="23" t="str">
        <f t="shared" si="36"/>
        <v>insert into ins_premium_det (premium_rcv_code,assorted_code, rec_amount,premium_rcv_detail_code,remaining_amt, payrec, mode_code,coinsurance_code,class_cd,it_remarks) values</v>
      </c>
      <c r="G601" s="24" t="str">
        <f t="shared" si="38"/>
        <v>('29Apr250042','050000746614','1469',(select max(to_number(i.premium_rcv_detail_code))+1
from ins_premium_det i),'1469','1469','02', '11000003','00','Request by Mr. Omair Ali 30-Apr-2025');</v>
      </c>
      <c r="H601" s="25" t="str">
        <f t="shared" si="39"/>
        <v>insert into ins_premium_det (premium_rcv_code,assorted_code, rec_amount,premium_rcv_detail_code,remaining_amt, payrec, mode_code,coinsurance_code,class_cd,it_remarks) values('29Apr250042','050000746614','1469',(select max(to_number(i.premium_rcv_detail_code))+1
from ins_premium_det i),'1469','1469','02', '11000003','00','Request by Mr. Omair Ali 30-Apr-2025');</v>
      </c>
    </row>
    <row r="602" spans="1:8" ht="105" x14ac:dyDescent="0.25">
      <c r="A602" t="s">
        <v>941</v>
      </c>
      <c r="B602" s="1" t="str">
        <f>VLOOKUP(A602,Sheet5!B:C,2,0)</f>
        <v>050000746617</v>
      </c>
      <c r="C602" s="13">
        <v>2811</v>
      </c>
      <c r="D602" s="22">
        <f t="shared" si="37"/>
        <v>2811</v>
      </c>
      <c r="E602" s="21" t="s">
        <v>5912</v>
      </c>
      <c r="F602" s="23" t="str">
        <f t="shared" si="36"/>
        <v>insert into ins_premium_det (premium_rcv_code,assorted_code, rec_amount,premium_rcv_detail_code,remaining_amt, payrec, mode_code,coinsurance_code,class_cd,it_remarks) values</v>
      </c>
      <c r="G602" s="24" t="str">
        <f t="shared" si="38"/>
        <v>('29Apr250042','050000746617','2811',(select max(to_number(i.premium_rcv_detail_code))+1
from ins_premium_det i),'2811','2811','02', '11000003','00','Request by Mr. Omair Ali 30-Apr-2025');</v>
      </c>
      <c r="H602" s="25" t="str">
        <f t="shared" si="39"/>
        <v>insert into ins_premium_det (premium_rcv_code,assorted_code, rec_amount,premium_rcv_detail_code,remaining_amt, payrec, mode_code,coinsurance_code,class_cd,it_remarks) values('29Apr250042','050000746617','2811',(select max(to_number(i.premium_rcv_detail_code))+1
from ins_premium_det i),'2811','2811','02', '11000003','00','Request by Mr. Omair Ali 30-Apr-2025');</v>
      </c>
    </row>
    <row r="603" spans="1:8" ht="105" x14ac:dyDescent="0.25">
      <c r="A603" t="s">
        <v>1076</v>
      </c>
      <c r="B603" s="1" t="str">
        <f>VLOOKUP(A603,Sheet5!B:C,2,0)</f>
        <v>050000746621</v>
      </c>
      <c r="C603" s="13">
        <v>5135</v>
      </c>
      <c r="D603" s="22">
        <f t="shared" si="37"/>
        <v>5135</v>
      </c>
      <c r="E603" s="21" t="s">
        <v>5912</v>
      </c>
      <c r="F603" s="23" t="str">
        <f t="shared" si="36"/>
        <v>insert into ins_premium_det (premium_rcv_code,assorted_code, rec_amount,premium_rcv_detail_code,remaining_amt, payrec, mode_code,coinsurance_code,class_cd,it_remarks) values</v>
      </c>
      <c r="G603" s="24" t="str">
        <f t="shared" si="38"/>
        <v>('29Apr250042','050000746621','5135',(select max(to_number(i.premium_rcv_detail_code))+1
from ins_premium_det i),'5135','5135','02', '11000003','00','Request by Mr. Omair Ali 30-Apr-2025');</v>
      </c>
      <c r="H603" s="25" t="str">
        <f t="shared" si="39"/>
        <v>insert into ins_premium_det (premium_rcv_code,assorted_code, rec_amount,premium_rcv_detail_code,remaining_amt, payrec, mode_code,coinsurance_code,class_cd,it_remarks) values('29Apr250042','050000746621','5135',(select max(to_number(i.premium_rcv_detail_code))+1
from ins_premium_det i),'5135','5135','02', '11000003','00','Request by Mr. Omair Ali 30-Apr-2025');</v>
      </c>
    </row>
    <row r="604" spans="1:8" ht="105" x14ac:dyDescent="0.25">
      <c r="A604" t="s">
        <v>1467</v>
      </c>
      <c r="B604" s="1" t="str">
        <f>VLOOKUP(A604,Sheet5!B:C,2,0)</f>
        <v>050000746629</v>
      </c>
      <c r="C604" s="13">
        <v>8574</v>
      </c>
      <c r="D604" s="22">
        <f t="shared" si="37"/>
        <v>8574</v>
      </c>
      <c r="E604" s="21" t="s">
        <v>5912</v>
      </c>
      <c r="F604" s="23" t="str">
        <f t="shared" si="36"/>
        <v>insert into ins_premium_det (premium_rcv_code,assorted_code, rec_amount,premium_rcv_detail_code,remaining_amt, payrec, mode_code,coinsurance_code,class_cd,it_remarks) values</v>
      </c>
      <c r="G604" s="24" t="str">
        <f t="shared" si="38"/>
        <v>('29Apr250042','050000746629','8574',(select max(to_number(i.premium_rcv_detail_code))+1
from ins_premium_det i),'8574','8574','02', '11000003','00','Request by Mr. Omair Ali 30-Apr-2025');</v>
      </c>
      <c r="H604" s="25" t="str">
        <f t="shared" si="39"/>
        <v>insert into ins_premium_det (premium_rcv_code,assorted_code, rec_amount,premium_rcv_detail_code,remaining_amt, payrec, mode_code,coinsurance_code,class_cd,it_remarks) values('29Apr250042','050000746629','8574',(select max(to_number(i.premium_rcv_detail_code))+1
from ins_premium_det i),'8574','8574','02', '11000003','00','Request by Mr. Omair Ali 30-Apr-2025');</v>
      </c>
    </row>
    <row r="605" spans="1:8" ht="105" x14ac:dyDescent="0.25">
      <c r="A605" t="s">
        <v>1717</v>
      </c>
      <c r="B605" s="1" t="str">
        <f>VLOOKUP(A605,Sheet5!B:C,2,0)</f>
        <v>050000746633</v>
      </c>
      <c r="C605" s="13">
        <v>4059</v>
      </c>
      <c r="D605" s="22">
        <f t="shared" si="37"/>
        <v>4059</v>
      </c>
      <c r="E605" s="21" t="s">
        <v>5912</v>
      </c>
      <c r="F605" s="23" t="str">
        <f t="shared" si="36"/>
        <v>insert into ins_premium_det (premium_rcv_code,assorted_code, rec_amount,premium_rcv_detail_code,remaining_amt, payrec, mode_code,coinsurance_code,class_cd,it_remarks) values</v>
      </c>
      <c r="G605" s="24" t="str">
        <f t="shared" si="38"/>
        <v>('29Apr250042','050000746633','4059',(select max(to_number(i.premium_rcv_detail_code))+1
from ins_premium_det i),'4059','4059','02', '11000003','00','Request by Mr. Omair Ali 30-Apr-2025');</v>
      </c>
      <c r="H605" s="25" t="str">
        <f t="shared" si="39"/>
        <v>insert into ins_premium_det (premium_rcv_code,assorted_code, rec_amount,premium_rcv_detail_code,remaining_amt, payrec, mode_code,coinsurance_code,class_cd,it_remarks) values('29Apr250042','050000746633','4059',(select max(to_number(i.premium_rcv_detail_code))+1
from ins_premium_det i),'4059','4059','02', '11000003','00','Request by Mr. Omair Ali 30-Apr-2025');</v>
      </c>
    </row>
    <row r="606" spans="1:8" ht="105" x14ac:dyDescent="0.25">
      <c r="A606" t="s">
        <v>338</v>
      </c>
      <c r="B606" s="1" t="str">
        <f>VLOOKUP(A606,Sheet5!B:C,2,0)</f>
        <v>050000747198</v>
      </c>
      <c r="C606" s="13">
        <v>1255</v>
      </c>
      <c r="D606" s="22">
        <f t="shared" si="37"/>
        <v>1255</v>
      </c>
      <c r="E606" s="21" t="s">
        <v>5912</v>
      </c>
      <c r="F606" s="23" t="str">
        <f t="shared" si="36"/>
        <v>insert into ins_premium_det (premium_rcv_code,assorted_code, rec_amount,premium_rcv_detail_code,remaining_amt, payrec, mode_code,coinsurance_code,class_cd,it_remarks) values</v>
      </c>
      <c r="G606" s="24" t="str">
        <f t="shared" si="38"/>
        <v>('29Apr250042','050000747198','1255',(select max(to_number(i.premium_rcv_detail_code))+1
from ins_premium_det i),'1255','1255','02', '11000003','00','Request by Mr. Omair Ali 30-Apr-2025');</v>
      </c>
      <c r="H606" s="25" t="str">
        <f t="shared" si="39"/>
        <v>insert into ins_premium_det (premium_rcv_code,assorted_code, rec_amount,premium_rcv_detail_code,remaining_amt, payrec, mode_code,coinsurance_code,class_cd,it_remarks) values('29Apr250042','050000747198','1255',(select max(to_number(i.premium_rcv_detail_code))+1
from ins_premium_det i),'1255','1255','02', '11000003','00','Request by Mr. Omair Ali 30-Apr-2025');</v>
      </c>
    </row>
    <row r="607" spans="1:8" ht="105" x14ac:dyDescent="0.25">
      <c r="A607" t="s">
        <v>1322</v>
      </c>
      <c r="B607" s="1" t="str">
        <f>VLOOKUP(A607,Sheet5!B:C,2,0)</f>
        <v>050000747220</v>
      </c>
      <c r="C607" s="13">
        <v>1</v>
      </c>
      <c r="D607" s="22">
        <f t="shared" si="37"/>
        <v>1</v>
      </c>
      <c r="E607" s="21" t="s">
        <v>5912</v>
      </c>
      <c r="F607" s="23" t="str">
        <f t="shared" si="36"/>
        <v>insert into ins_premium_det (premium_rcv_code,assorted_code, rec_amount,premium_rcv_detail_code,remaining_amt, payrec, mode_code,coinsurance_code,class_cd,it_remarks) values</v>
      </c>
      <c r="G607" s="24" t="str">
        <f t="shared" si="38"/>
        <v>('29Apr250042','050000747220','1',(select max(to_number(i.premium_rcv_detail_code))+1
from ins_premium_det i),'1','1','02', '11000003','00','Request by Mr. Omair Ali 30-Apr-2025');</v>
      </c>
      <c r="H607" s="25" t="str">
        <f t="shared" si="39"/>
        <v>insert into ins_premium_det (premium_rcv_code,assorted_code, rec_amount,premium_rcv_detail_code,remaining_amt, payrec, mode_code,coinsurance_code,class_cd,it_remarks) values('29Apr250042','050000747220','1',(select max(to_number(i.premium_rcv_detail_code))+1
from ins_premium_det i),'1','1','02', '11000003','00','Request by Mr. Omair Ali 30-Apr-2025');</v>
      </c>
    </row>
    <row r="608" spans="1:8" ht="105" x14ac:dyDescent="0.25">
      <c r="A608" t="s">
        <v>1334</v>
      </c>
      <c r="B608" s="1" t="str">
        <f>VLOOKUP(A608,Sheet5!B:C,2,0)</f>
        <v>050000747221</v>
      </c>
      <c r="C608" s="13">
        <v>408</v>
      </c>
      <c r="D608" s="22">
        <f t="shared" si="37"/>
        <v>408</v>
      </c>
      <c r="E608" s="21" t="s">
        <v>5912</v>
      </c>
      <c r="F608" s="23" t="str">
        <f t="shared" si="36"/>
        <v>insert into ins_premium_det (premium_rcv_code,assorted_code, rec_amount,premium_rcv_detail_code,remaining_amt, payrec, mode_code,coinsurance_code,class_cd,it_remarks) values</v>
      </c>
      <c r="G608" s="24" t="str">
        <f t="shared" si="38"/>
        <v>('29Apr250042','050000747221','408',(select max(to_number(i.premium_rcv_detail_code))+1
from ins_premium_det i),'408','408','02', '11000003','00','Request by Mr. Omair Ali 30-Apr-2025');</v>
      </c>
      <c r="H608" s="25" t="str">
        <f t="shared" si="39"/>
        <v>insert into ins_premium_det (premium_rcv_code,assorted_code, rec_amount,premium_rcv_detail_code,remaining_amt, payrec, mode_code,coinsurance_code,class_cd,it_remarks) values('29Apr250042','050000747221','408',(select max(to_number(i.premium_rcv_detail_code))+1
from ins_premium_det i),'408','408','02', '11000003','00','Request by Mr. Omair Ali 30-Apr-2025');</v>
      </c>
    </row>
    <row r="609" spans="1:8" ht="105" x14ac:dyDescent="0.25">
      <c r="A609" t="s">
        <v>1456</v>
      </c>
      <c r="B609" s="1" t="str">
        <f>VLOOKUP(A609,Sheet5!B:C,2,0)</f>
        <v>050000747223</v>
      </c>
      <c r="C609" s="13">
        <v>2359</v>
      </c>
      <c r="D609" s="22">
        <f t="shared" si="37"/>
        <v>2359</v>
      </c>
      <c r="E609" s="21" t="s">
        <v>5912</v>
      </c>
      <c r="F609" s="23" t="str">
        <f t="shared" si="36"/>
        <v>insert into ins_premium_det (premium_rcv_code,assorted_code, rec_amount,premium_rcv_detail_code,remaining_amt, payrec, mode_code,coinsurance_code,class_cd,it_remarks) values</v>
      </c>
      <c r="G609" s="24" t="str">
        <f t="shared" si="38"/>
        <v>('29Apr250042','050000747223','2359',(select max(to_number(i.premium_rcv_detail_code))+1
from ins_premium_det i),'2359','2359','02', '11000003','00','Request by Mr. Omair Ali 30-Apr-2025');</v>
      </c>
      <c r="H609" s="25" t="str">
        <f t="shared" si="39"/>
        <v>insert into ins_premium_det (premium_rcv_code,assorted_code, rec_amount,premium_rcv_detail_code,remaining_amt, payrec, mode_code,coinsurance_code,class_cd,it_remarks) values('29Apr250042','050000747223','2359',(select max(to_number(i.premium_rcv_detail_code))+1
from ins_premium_det i),'2359','2359','02', '11000003','00','Request by Mr. Omair Ali 30-Apr-2025');</v>
      </c>
    </row>
    <row r="610" spans="1:8" ht="105" x14ac:dyDescent="0.25">
      <c r="A610" t="s">
        <v>658</v>
      </c>
      <c r="B610" s="1" t="str">
        <f>VLOOKUP(A610,Sheet5!B:C,2,0)</f>
        <v>050000747294</v>
      </c>
      <c r="C610" s="13">
        <v>4701</v>
      </c>
      <c r="D610" s="22">
        <f t="shared" si="37"/>
        <v>4701</v>
      </c>
      <c r="E610" s="21" t="s">
        <v>5912</v>
      </c>
      <c r="F610" s="23" t="str">
        <f t="shared" si="36"/>
        <v>insert into ins_premium_det (premium_rcv_code,assorted_code, rec_amount,premium_rcv_detail_code,remaining_amt, payrec, mode_code,coinsurance_code,class_cd,it_remarks) values</v>
      </c>
      <c r="G610" s="24" t="str">
        <f t="shared" si="38"/>
        <v>('29Apr250042','050000747294','4701',(select max(to_number(i.premium_rcv_detail_code))+1
from ins_premium_det i),'4701','4701','02', '11000003','00','Request by Mr. Omair Ali 30-Apr-2025');</v>
      </c>
      <c r="H610" s="25" t="str">
        <f t="shared" si="39"/>
        <v>insert into ins_premium_det (premium_rcv_code,assorted_code, rec_amount,premium_rcv_detail_code,remaining_amt, payrec, mode_code,coinsurance_code,class_cd,it_remarks) values('29Apr250042','050000747294','4701',(select max(to_number(i.premium_rcv_detail_code))+1
from ins_premium_det i),'4701','4701','02', '11000003','00','Request by Mr. Omair Ali 30-Apr-2025');</v>
      </c>
    </row>
    <row r="611" spans="1:8" ht="105" x14ac:dyDescent="0.25">
      <c r="A611" t="s">
        <v>703</v>
      </c>
      <c r="B611" s="1" t="str">
        <f>VLOOKUP(A611,Sheet5!B:C,2,0)</f>
        <v>050000747296</v>
      </c>
      <c r="C611" s="13">
        <v>356</v>
      </c>
      <c r="D611" s="22">
        <f t="shared" si="37"/>
        <v>356</v>
      </c>
      <c r="E611" s="21" t="s">
        <v>5912</v>
      </c>
      <c r="F611" s="23" t="str">
        <f t="shared" si="36"/>
        <v>insert into ins_premium_det (premium_rcv_code,assorted_code, rec_amount,premium_rcv_detail_code,remaining_amt, payrec, mode_code,coinsurance_code,class_cd,it_remarks) values</v>
      </c>
      <c r="G611" s="24" t="str">
        <f t="shared" si="38"/>
        <v>('29Apr250042','050000747296','356',(select max(to_number(i.premium_rcv_detail_code))+1
from ins_premium_det i),'356','356','02', '11000003','00','Request by Mr. Omair Ali 30-Apr-2025');</v>
      </c>
      <c r="H611" s="25" t="str">
        <f t="shared" si="39"/>
        <v>insert into ins_premium_det (premium_rcv_code,assorted_code, rec_amount,premium_rcv_detail_code,remaining_amt, payrec, mode_code,coinsurance_code,class_cd,it_remarks) values('29Apr250042','050000747296','356',(select max(to_number(i.premium_rcv_detail_code))+1
from ins_premium_det i),'356','356','02', '11000003','00','Request by Mr. Omair Ali 30-Apr-2025');</v>
      </c>
    </row>
    <row r="612" spans="1:8" ht="105" x14ac:dyDescent="0.25">
      <c r="A612" t="s">
        <v>249</v>
      </c>
      <c r="B612" s="1" t="str">
        <f>VLOOKUP(A612,Sheet5!B:C,2,0)</f>
        <v>050000747341</v>
      </c>
      <c r="C612" s="13">
        <v>432</v>
      </c>
      <c r="D612" s="22">
        <f t="shared" si="37"/>
        <v>432</v>
      </c>
      <c r="E612" s="21" t="s">
        <v>5912</v>
      </c>
      <c r="F612" s="23" t="str">
        <f t="shared" si="36"/>
        <v>insert into ins_premium_det (premium_rcv_code,assorted_code, rec_amount,premium_rcv_detail_code,remaining_amt, payrec, mode_code,coinsurance_code,class_cd,it_remarks) values</v>
      </c>
      <c r="G612" s="24" t="str">
        <f t="shared" si="38"/>
        <v>('29Apr250042','050000747341','432',(select max(to_number(i.premium_rcv_detail_code))+1
from ins_premium_det i),'432','432','02', '11000003','00','Request by Mr. Omair Ali 30-Apr-2025');</v>
      </c>
      <c r="H612" s="25" t="str">
        <f t="shared" si="39"/>
        <v>insert into ins_premium_det (premium_rcv_code,assorted_code, rec_amount,premium_rcv_detail_code,remaining_amt, payrec, mode_code,coinsurance_code,class_cd,it_remarks) values('29Apr250042','050000747341','432',(select max(to_number(i.premium_rcv_detail_code))+1
from ins_premium_det i),'432','432','02', '11000003','00','Request by Mr. Omair Ali 30-Apr-2025');</v>
      </c>
    </row>
    <row r="613" spans="1:8" ht="105" x14ac:dyDescent="0.25">
      <c r="A613" t="s">
        <v>354</v>
      </c>
      <c r="B613" s="1" t="str">
        <f>VLOOKUP(A613,Sheet5!B:C,2,0)</f>
        <v>050000747343</v>
      </c>
      <c r="C613" s="13">
        <v>23</v>
      </c>
      <c r="D613" s="22">
        <f t="shared" si="37"/>
        <v>23</v>
      </c>
      <c r="E613" s="21" t="s">
        <v>5912</v>
      </c>
      <c r="F613" s="23" t="str">
        <f t="shared" si="36"/>
        <v>insert into ins_premium_det (premium_rcv_code,assorted_code, rec_amount,premium_rcv_detail_code,remaining_amt, payrec, mode_code,coinsurance_code,class_cd,it_remarks) values</v>
      </c>
      <c r="G613" s="24" t="str">
        <f t="shared" si="38"/>
        <v>('29Apr250042','050000747343','23',(select max(to_number(i.premium_rcv_detail_code))+1
from ins_premium_det i),'23','23','02', '11000003','00','Request by Mr. Omair Ali 30-Apr-2025');</v>
      </c>
      <c r="H613" s="25" t="str">
        <f t="shared" si="39"/>
        <v>insert into ins_premium_det (premium_rcv_code,assorted_code, rec_amount,premium_rcv_detail_code,remaining_amt, payrec, mode_code,coinsurance_code,class_cd,it_remarks) values('29Apr250042','050000747343','23',(select max(to_number(i.premium_rcv_detail_code))+1
from ins_premium_det i),'23','23','02', '11000003','00','Request by Mr. Omair Ali 30-Apr-2025');</v>
      </c>
    </row>
    <row r="614" spans="1:8" ht="105" x14ac:dyDescent="0.25">
      <c r="A614" t="s">
        <v>1122</v>
      </c>
      <c r="B614" s="1" t="str">
        <f>VLOOKUP(A614,Sheet5!B:C,2,0)</f>
        <v>050000747354</v>
      </c>
      <c r="C614" s="13">
        <v>717</v>
      </c>
      <c r="D614" s="22">
        <f t="shared" si="37"/>
        <v>717</v>
      </c>
      <c r="E614" s="21" t="s">
        <v>5912</v>
      </c>
      <c r="F614" s="23" t="str">
        <f t="shared" si="36"/>
        <v>insert into ins_premium_det (premium_rcv_code,assorted_code, rec_amount,premium_rcv_detail_code,remaining_amt, payrec, mode_code,coinsurance_code,class_cd,it_remarks) values</v>
      </c>
      <c r="G614" s="24" t="str">
        <f t="shared" si="38"/>
        <v>('29Apr250042','050000747354','717',(select max(to_number(i.premium_rcv_detail_code))+1
from ins_premium_det i),'717','717','02', '11000003','00','Request by Mr. Omair Ali 30-Apr-2025');</v>
      </c>
      <c r="H614" s="25" t="str">
        <f t="shared" si="39"/>
        <v>insert into ins_premium_det (premium_rcv_code,assorted_code, rec_amount,premium_rcv_detail_code,remaining_amt, payrec, mode_code,coinsurance_code,class_cd,it_remarks) values('29Apr250042','050000747354','717',(select max(to_number(i.premium_rcv_detail_code))+1
from ins_premium_det i),'717','717','02', '11000003','00','Request by Mr. Omair Ali 30-Apr-2025');</v>
      </c>
    </row>
    <row r="615" spans="1:8" ht="105" x14ac:dyDescent="0.25">
      <c r="A615" t="s">
        <v>1573</v>
      </c>
      <c r="B615" s="1" t="str">
        <f>VLOOKUP(A615,Sheet5!B:C,2,0)</f>
        <v>050000747362</v>
      </c>
      <c r="C615" s="13">
        <v>2036</v>
      </c>
      <c r="D615" s="22">
        <f t="shared" si="37"/>
        <v>2036</v>
      </c>
      <c r="E615" s="21" t="s">
        <v>5912</v>
      </c>
      <c r="F615" s="23" t="str">
        <f t="shared" si="36"/>
        <v>insert into ins_premium_det (premium_rcv_code,assorted_code, rec_amount,premium_rcv_detail_code,remaining_amt, payrec, mode_code,coinsurance_code,class_cd,it_remarks) values</v>
      </c>
      <c r="G615" s="24" t="str">
        <f t="shared" si="38"/>
        <v>('29Apr250042','050000747362','2036',(select max(to_number(i.premium_rcv_detail_code))+1
from ins_premium_det i),'2036','2036','02', '11000003','00','Request by Mr. Omair Ali 30-Apr-2025');</v>
      </c>
      <c r="H615" s="25" t="str">
        <f t="shared" si="39"/>
        <v>insert into ins_premium_det (premium_rcv_code,assorted_code, rec_amount,premium_rcv_detail_code,remaining_amt, payrec, mode_code,coinsurance_code,class_cd,it_remarks) values('29Apr250042','050000747362','2036',(select max(to_number(i.premium_rcv_detail_code))+1
from ins_premium_det i),'2036','2036','02', '11000003','00','Request by Mr. Omair Ali 30-Apr-2025');</v>
      </c>
    </row>
    <row r="616" spans="1:8" ht="105" x14ac:dyDescent="0.25">
      <c r="A616" t="s">
        <v>357</v>
      </c>
      <c r="B616" s="1" t="str">
        <f>VLOOKUP(A616,Sheet5!B:C,2,0)</f>
        <v>050000748207</v>
      </c>
      <c r="C616" s="13">
        <v>3238</v>
      </c>
      <c r="D616" s="22">
        <f t="shared" si="37"/>
        <v>3238</v>
      </c>
      <c r="E616" s="21" t="s">
        <v>5912</v>
      </c>
      <c r="F616" s="23" t="str">
        <f t="shared" si="36"/>
        <v>insert into ins_premium_det (premium_rcv_code,assorted_code, rec_amount,premium_rcv_detail_code,remaining_amt, payrec, mode_code,coinsurance_code,class_cd,it_remarks) values</v>
      </c>
      <c r="G616" s="24" t="str">
        <f t="shared" si="38"/>
        <v>('29Apr250042','050000748207','3238',(select max(to_number(i.premium_rcv_detail_code))+1
from ins_premium_det i),'3238','3238','02', '11000003','00','Request by Mr. Omair Ali 30-Apr-2025');</v>
      </c>
      <c r="H616" s="25" t="str">
        <f t="shared" si="39"/>
        <v>insert into ins_premium_det (premium_rcv_code,assorted_code, rec_amount,premium_rcv_detail_code,remaining_amt, payrec, mode_code,coinsurance_code,class_cd,it_remarks) values('29Apr250042','050000748207','3238',(select max(to_number(i.premium_rcv_detail_code))+1
from ins_premium_det i),'3238','3238','02', '11000003','00','Request by Mr. Omair Ali 30-Apr-2025');</v>
      </c>
    </row>
    <row r="617" spans="1:8" ht="105" x14ac:dyDescent="0.25">
      <c r="A617" t="s">
        <v>1354</v>
      </c>
      <c r="B617" s="1" t="str">
        <f>VLOOKUP(A617,Sheet5!B:C,2,0)</f>
        <v>050000748211</v>
      </c>
      <c r="C617" s="13">
        <v>4694</v>
      </c>
      <c r="D617" s="22">
        <f t="shared" si="37"/>
        <v>4694</v>
      </c>
      <c r="E617" s="21" t="s">
        <v>5912</v>
      </c>
      <c r="F617" s="23" t="str">
        <f t="shared" si="36"/>
        <v>insert into ins_premium_det (premium_rcv_code,assorted_code, rec_amount,premium_rcv_detail_code,remaining_amt, payrec, mode_code,coinsurance_code,class_cd,it_remarks) values</v>
      </c>
      <c r="G617" s="24" t="str">
        <f t="shared" si="38"/>
        <v>('29Apr250042','050000748211','4694',(select max(to_number(i.premium_rcv_detail_code))+1
from ins_premium_det i),'4694','4694','02', '11000003','00','Request by Mr. Omair Ali 30-Apr-2025');</v>
      </c>
      <c r="H617" s="25" t="str">
        <f t="shared" si="39"/>
        <v>insert into ins_premium_det (premium_rcv_code,assorted_code, rec_amount,premium_rcv_detail_code,remaining_amt, payrec, mode_code,coinsurance_code,class_cd,it_remarks) values('29Apr250042','050000748211','4694',(select max(to_number(i.premium_rcv_detail_code))+1
from ins_premium_det i),'4694','4694','02', '11000003','00','Request by Mr. Omair Ali 30-Apr-2025');</v>
      </c>
    </row>
    <row r="618" spans="1:8" ht="105" x14ac:dyDescent="0.25">
      <c r="A618" t="s">
        <v>1477</v>
      </c>
      <c r="B618" s="1" t="str">
        <f>VLOOKUP(A618,Sheet5!B:C,2,0)</f>
        <v>050000748213</v>
      </c>
      <c r="C618" s="13">
        <v>15</v>
      </c>
      <c r="D618" s="22">
        <f t="shared" si="37"/>
        <v>15</v>
      </c>
      <c r="E618" s="21" t="s">
        <v>5912</v>
      </c>
      <c r="F618" s="23" t="str">
        <f t="shared" si="36"/>
        <v>insert into ins_premium_det (premium_rcv_code,assorted_code, rec_amount,premium_rcv_detail_code,remaining_amt, payrec, mode_code,coinsurance_code,class_cd,it_remarks) values</v>
      </c>
      <c r="G618" s="24" t="str">
        <f t="shared" si="38"/>
        <v>('29Apr250042','050000748213','15',(select max(to_number(i.premium_rcv_detail_code))+1
from ins_premium_det i),'15','15','02', '11000003','00','Request by Mr. Omair Ali 30-Apr-2025');</v>
      </c>
      <c r="H618" s="25" t="str">
        <f t="shared" si="39"/>
        <v>insert into ins_premium_det (premium_rcv_code,assorted_code, rec_amount,premium_rcv_detail_code,remaining_amt, payrec, mode_code,coinsurance_code,class_cd,it_remarks) values('29Apr250042','050000748213','15',(select max(to_number(i.premium_rcv_detail_code))+1
from ins_premium_det i),'15','15','02', '11000003','00','Request by Mr. Omair Ali 30-Apr-2025');</v>
      </c>
    </row>
    <row r="619" spans="1:8" ht="105" x14ac:dyDescent="0.25">
      <c r="A619" t="s">
        <v>1734</v>
      </c>
      <c r="B619" s="1" t="str">
        <f>VLOOKUP(A619,Sheet5!B:C,2,0)</f>
        <v>050000748216</v>
      </c>
      <c r="C619" s="13">
        <v>1173</v>
      </c>
      <c r="D619" s="22">
        <f t="shared" si="37"/>
        <v>1173</v>
      </c>
      <c r="E619" s="21" t="s">
        <v>5912</v>
      </c>
      <c r="F619" s="23" t="str">
        <f t="shared" si="36"/>
        <v>insert into ins_premium_det (premium_rcv_code,assorted_code, rec_amount,premium_rcv_detail_code,remaining_amt, payrec, mode_code,coinsurance_code,class_cd,it_remarks) values</v>
      </c>
      <c r="G619" s="24" t="str">
        <f t="shared" si="38"/>
        <v>('29Apr250042','050000748216','1173',(select max(to_number(i.premium_rcv_detail_code))+1
from ins_premium_det i),'1173','1173','02', '11000003','00','Request by Mr. Omair Ali 30-Apr-2025');</v>
      </c>
      <c r="H619" s="25" t="str">
        <f t="shared" si="39"/>
        <v>insert into ins_premium_det (premium_rcv_code,assorted_code, rec_amount,premium_rcv_detail_code,remaining_amt, payrec, mode_code,coinsurance_code,class_cd,it_remarks) values('29Apr250042','050000748216','1173',(select max(to_number(i.premium_rcv_detail_code))+1
from ins_premium_det i),'1173','1173','02', '11000003','00','Request by Mr. Omair Ali 30-Apr-2025');</v>
      </c>
    </row>
    <row r="620" spans="1:8" ht="105" x14ac:dyDescent="0.25">
      <c r="A620" t="s">
        <v>1753</v>
      </c>
      <c r="B620" s="1" t="str">
        <f>VLOOKUP(A620,Sheet5!B:C,2,0)</f>
        <v>050000748217</v>
      </c>
      <c r="C620" s="13">
        <v>4276</v>
      </c>
      <c r="D620" s="22">
        <f t="shared" si="37"/>
        <v>4276</v>
      </c>
      <c r="E620" s="21" t="s">
        <v>5912</v>
      </c>
      <c r="F620" s="23" t="str">
        <f t="shared" si="36"/>
        <v>insert into ins_premium_det (premium_rcv_code,assorted_code, rec_amount,premium_rcv_detail_code,remaining_amt, payrec, mode_code,coinsurance_code,class_cd,it_remarks) values</v>
      </c>
      <c r="G620" s="24" t="str">
        <f t="shared" si="38"/>
        <v>('29Apr250042','050000748217','4276',(select max(to_number(i.premium_rcv_detail_code))+1
from ins_premium_det i),'4276','4276','02', '11000003','00','Request by Mr. Omair Ali 30-Apr-2025');</v>
      </c>
      <c r="H620" s="25" t="str">
        <f t="shared" si="39"/>
        <v>insert into ins_premium_det (premium_rcv_code,assorted_code, rec_amount,premium_rcv_detail_code,remaining_amt, payrec, mode_code,coinsurance_code,class_cd,it_remarks) values('29Apr250042','050000748217','4276',(select max(to_number(i.premium_rcv_detail_code))+1
from ins_premium_det i),'4276','4276','02', '11000003','00','Request by Mr. Omair Ali 30-Apr-2025');</v>
      </c>
    </row>
    <row r="621" spans="1:8" ht="105" x14ac:dyDescent="0.25">
      <c r="A621" t="s">
        <v>1761</v>
      </c>
      <c r="B621" s="1" t="str">
        <f>VLOOKUP(A621,Sheet5!B:C,2,0)</f>
        <v>050000748218</v>
      </c>
      <c r="C621" s="13">
        <v>932</v>
      </c>
      <c r="D621" s="22">
        <f t="shared" si="37"/>
        <v>932</v>
      </c>
      <c r="E621" s="21" t="s">
        <v>5912</v>
      </c>
      <c r="F621" s="23" t="str">
        <f t="shared" si="36"/>
        <v>insert into ins_premium_det (premium_rcv_code,assorted_code, rec_amount,premium_rcv_detail_code,remaining_amt, payrec, mode_code,coinsurance_code,class_cd,it_remarks) values</v>
      </c>
      <c r="G621" s="24" t="str">
        <f t="shared" si="38"/>
        <v>('29Apr250042','050000748218','932',(select max(to_number(i.premium_rcv_detail_code))+1
from ins_premium_det i),'932','932','02', '11000003','00','Request by Mr. Omair Ali 30-Apr-2025');</v>
      </c>
      <c r="H621" s="25" t="str">
        <f t="shared" si="39"/>
        <v>insert into ins_premium_det (premium_rcv_code,assorted_code, rec_amount,premium_rcv_detail_code,remaining_amt, payrec, mode_code,coinsurance_code,class_cd,it_remarks) values('29Apr250042','050000748218','932',(select max(to_number(i.premium_rcv_detail_code))+1
from ins_premium_det i),'932','932','02', '11000003','00','Request by Mr. Omair Ali 30-Apr-2025');</v>
      </c>
    </row>
    <row r="622" spans="1:8" ht="105" x14ac:dyDescent="0.25">
      <c r="A622" t="s">
        <v>1771</v>
      </c>
      <c r="B622" s="1" t="str">
        <f>VLOOKUP(A622,Sheet5!B:C,2,0)</f>
        <v>050000748221</v>
      </c>
      <c r="C622" s="13">
        <v>4959</v>
      </c>
      <c r="D622" s="22">
        <f t="shared" si="37"/>
        <v>4959</v>
      </c>
      <c r="E622" s="21" t="s">
        <v>5912</v>
      </c>
      <c r="F622" s="23" t="str">
        <f t="shared" si="36"/>
        <v>insert into ins_premium_det (premium_rcv_code,assorted_code, rec_amount,premium_rcv_detail_code,remaining_amt, payrec, mode_code,coinsurance_code,class_cd,it_remarks) values</v>
      </c>
      <c r="G622" s="24" t="str">
        <f t="shared" si="38"/>
        <v>('29Apr250042','050000748221','4959',(select max(to_number(i.premium_rcv_detail_code))+1
from ins_premium_det i),'4959','4959','02', '11000003','00','Request by Mr. Omair Ali 30-Apr-2025');</v>
      </c>
      <c r="H622" s="25" t="str">
        <f t="shared" si="39"/>
        <v>insert into ins_premium_det (premium_rcv_code,assorted_code, rec_amount,premium_rcv_detail_code,remaining_amt, payrec, mode_code,coinsurance_code,class_cd,it_remarks) values('29Apr250042','050000748221','4959',(select max(to_number(i.premium_rcv_detail_code))+1
from ins_premium_det i),'4959','4959','02', '11000003','00','Request by Mr. Omair Ali 30-Apr-2025');</v>
      </c>
    </row>
    <row r="623" spans="1:8" ht="105" x14ac:dyDescent="0.25">
      <c r="A623" t="s">
        <v>436</v>
      </c>
      <c r="B623" s="1" t="str">
        <f>VLOOKUP(A623,Sheet5!B:C,2,0)</f>
        <v>050000748229</v>
      </c>
      <c r="C623" s="13">
        <v>1887</v>
      </c>
      <c r="D623" s="22">
        <f t="shared" si="37"/>
        <v>1887</v>
      </c>
      <c r="E623" s="21" t="s">
        <v>5912</v>
      </c>
      <c r="F623" s="23" t="str">
        <f t="shared" si="36"/>
        <v>insert into ins_premium_det (premium_rcv_code,assorted_code, rec_amount,premium_rcv_detail_code,remaining_amt, payrec, mode_code,coinsurance_code,class_cd,it_remarks) values</v>
      </c>
      <c r="G623" s="24" t="str">
        <f t="shared" si="38"/>
        <v>('29Apr250042','050000748229','1887',(select max(to_number(i.premium_rcv_detail_code))+1
from ins_premium_det i),'1887','1887','02', '11000003','00','Request by Mr. Omair Ali 30-Apr-2025');</v>
      </c>
      <c r="H623" s="25" t="str">
        <f t="shared" si="39"/>
        <v>insert into ins_premium_det (premium_rcv_code,assorted_code, rec_amount,premium_rcv_detail_code,remaining_amt, payrec, mode_code,coinsurance_code,class_cd,it_remarks) values('29Apr250042','050000748229','1887',(select max(to_number(i.premium_rcv_detail_code))+1
from ins_premium_det i),'1887','1887','02', '11000003','00','Request by Mr. Omair Ali 30-Apr-2025');</v>
      </c>
    </row>
    <row r="624" spans="1:8" ht="105" x14ac:dyDescent="0.25">
      <c r="A624" t="s">
        <v>542</v>
      </c>
      <c r="B624" s="1" t="str">
        <f>VLOOKUP(A624,Sheet5!B:C,2,0)</f>
        <v>050000748230</v>
      </c>
      <c r="C624" s="13">
        <v>2085</v>
      </c>
      <c r="D624" s="22">
        <f t="shared" si="37"/>
        <v>2085</v>
      </c>
      <c r="E624" s="21" t="s">
        <v>5912</v>
      </c>
      <c r="F624" s="23" t="str">
        <f t="shared" si="36"/>
        <v>insert into ins_premium_det (premium_rcv_code,assorted_code, rec_amount,premium_rcv_detail_code,remaining_amt, payrec, mode_code,coinsurance_code,class_cd,it_remarks) values</v>
      </c>
      <c r="G624" s="24" t="str">
        <f t="shared" si="38"/>
        <v>('29Apr250042','050000748230','2085',(select max(to_number(i.premium_rcv_detail_code))+1
from ins_premium_det i),'2085','2085','02', '11000003','00','Request by Mr. Omair Ali 30-Apr-2025');</v>
      </c>
      <c r="H624" s="25" t="str">
        <f t="shared" si="39"/>
        <v>insert into ins_premium_det (premium_rcv_code,assorted_code, rec_amount,premium_rcv_detail_code,remaining_amt, payrec, mode_code,coinsurance_code,class_cd,it_remarks) values('29Apr250042','050000748230','2085',(select max(to_number(i.premium_rcv_detail_code))+1
from ins_premium_det i),'2085','2085','02', '11000003','00','Request by Mr. Omair Ali 30-Apr-2025');</v>
      </c>
    </row>
    <row r="625" spans="1:8" ht="105" x14ac:dyDescent="0.25">
      <c r="A625" t="s">
        <v>997</v>
      </c>
      <c r="B625" s="1" t="str">
        <f>VLOOKUP(A625,Sheet5!B:C,2,0)</f>
        <v>050000748233</v>
      </c>
      <c r="C625" s="13">
        <v>3154</v>
      </c>
      <c r="D625" s="22">
        <f t="shared" si="37"/>
        <v>3154</v>
      </c>
      <c r="E625" s="21" t="s">
        <v>5912</v>
      </c>
      <c r="F625" s="23" t="str">
        <f t="shared" si="36"/>
        <v>insert into ins_premium_det (premium_rcv_code,assorted_code, rec_amount,premium_rcv_detail_code,remaining_amt, payrec, mode_code,coinsurance_code,class_cd,it_remarks) values</v>
      </c>
      <c r="G625" s="24" t="str">
        <f t="shared" si="38"/>
        <v>('29Apr250042','050000748233','3154',(select max(to_number(i.premium_rcv_detail_code))+1
from ins_premium_det i),'3154','3154','02', '11000003','00','Request by Mr. Omair Ali 30-Apr-2025');</v>
      </c>
      <c r="H625" s="25" t="str">
        <f t="shared" si="39"/>
        <v>insert into ins_premium_det (premium_rcv_code,assorted_code, rec_amount,premium_rcv_detail_code,remaining_amt, payrec, mode_code,coinsurance_code,class_cd,it_remarks) values('29Apr250042','050000748233','3154',(select max(to_number(i.premium_rcv_detail_code))+1
from ins_premium_det i),'3154','3154','02', '11000003','00','Request by Mr. Omair Ali 30-Apr-2025');</v>
      </c>
    </row>
    <row r="626" spans="1:8" ht="105" x14ac:dyDescent="0.25">
      <c r="A626" t="s">
        <v>1382</v>
      </c>
      <c r="B626" s="1" t="str">
        <f>VLOOKUP(A626,Sheet5!B:C,2,0)</f>
        <v>050000748237</v>
      </c>
      <c r="C626" s="13">
        <v>806</v>
      </c>
      <c r="D626" s="22">
        <f t="shared" si="37"/>
        <v>806</v>
      </c>
      <c r="E626" s="21" t="s">
        <v>5912</v>
      </c>
      <c r="F626" s="23" t="str">
        <f t="shared" si="36"/>
        <v>insert into ins_premium_det (premium_rcv_code,assorted_code, rec_amount,premium_rcv_detail_code,remaining_amt, payrec, mode_code,coinsurance_code,class_cd,it_remarks) values</v>
      </c>
      <c r="G626" s="24" t="str">
        <f t="shared" si="38"/>
        <v>('29Apr250042','050000748237','806',(select max(to_number(i.premium_rcv_detail_code))+1
from ins_premium_det i),'806','806','02', '11000003','00','Request by Mr. Omair Ali 30-Apr-2025');</v>
      </c>
      <c r="H626" s="25" t="str">
        <f t="shared" si="39"/>
        <v>insert into ins_premium_det (premium_rcv_code,assorted_code, rec_amount,premium_rcv_detail_code,remaining_amt, payrec, mode_code,coinsurance_code,class_cd,it_remarks) values('29Apr250042','050000748237','806',(select max(to_number(i.premium_rcv_detail_code))+1
from ins_premium_det i),'806','806','02', '11000003','00','Request by Mr. Omair Ali 30-Apr-2025');</v>
      </c>
    </row>
    <row r="627" spans="1:8" ht="105" x14ac:dyDescent="0.25">
      <c r="A627" t="s">
        <v>373</v>
      </c>
      <c r="B627" s="1" t="str">
        <f>VLOOKUP(A627,Sheet5!B:C,2,0)</f>
        <v>050000748757</v>
      </c>
      <c r="C627" s="13">
        <v>3265</v>
      </c>
      <c r="D627" s="22">
        <f t="shared" si="37"/>
        <v>3265</v>
      </c>
      <c r="E627" s="21" t="s">
        <v>5912</v>
      </c>
      <c r="F627" s="23" t="str">
        <f t="shared" si="36"/>
        <v>insert into ins_premium_det (premium_rcv_code,assorted_code, rec_amount,premium_rcv_detail_code,remaining_amt, payrec, mode_code,coinsurance_code,class_cd,it_remarks) values</v>
      </c>
      <c r="G627" s="24" t="str">
        <f t="shared" si="38"/>
        <v>('29Apr250042','050000748757','3265',(select max(to_number(i.premium_rcv_detail_code))+1
from ins_premium_det i),'3265','3265','02', '11000003','00','Request by Mr. Omair Ali 30-Apr-2025');</v>
      </c>
      <c r="H627" s="25" t="str">
        <f t="shared" si="39"/>
        <v>insert into ins_premium_det (premium_rcv_code,assorted_code, rec_amount,premium_rcv_detail_code,remaining_amt, payrec, mode_code,coinsurance_code,class_cd,it_remarks) values('29Apr250042','050000748757','3265',(select max(to_number(i.premium_rcv_detail_code))+1
from ins_premium_det i),'3265','3265','02', '11000003','00','Request by Mr. Omair Ali 30-Apr-2025');</v>
      </c>
    </row>
    <row r="628" spans="1:8" ht="105" x14ac:dyDescent="0.25">
      <c r="A628" t="s">
        <v>453</v>
      </c>
      <c r="B628" s="1" t="str">
        <f>VLOOKUP(A628,Sheet5!B:C,2,0)</f>
        <v>050000748759</v>
      </c>
      <c r="C628" s="13">
        <v>494</v>
      </c>
      <c r="D628" s="22">
        <f t="shared" si="37"/>
        <v>494</v>
      </c>
      <c r="E628" s="21" t="s">
        <v>5912</v>
      </c>
      <c r="F628" s="23" t="str">
        <f t="shared" si="36"/>
        <v>insert into ins_premium_det (premium_rcv_code,assorted_code, rec_amount,premium_rcv_detail_code,remaining_amt, payrec, mode_code,coinsurance_code,class_cd,it_remarks) values</v>
      </c>
      <c r="G628" s="24" t="str">
        <f t="shared" si="38"/>
        <v>('29Apr250042','050000748759','494',(select max(to_number(i.premium_rcv_detail_code))+1
from ins_premium_det i),'494','494','02', '11000003','00','Request by Mr. Omair Ali 30-Apr-2025');</v>
      </c>
      <c r="H628" s="25" t="str">
        <f t="shared" si="39"/>
        <v>insert into ins_premium_det (premium_rcv_code,assorted_code, rec_amount,premium_rcv_detail_code,remaining_amt, payrec, mode_code,coinsurance_code,class_cd,it_remarks) values('29Apr250042','050000748759','494',(select max(to_number(i.premium_rcv_detail_code))+1
from ins_premium_det i),'494','494','02', '11000003','00','Request by Mr. Omair Ali 30-Apr-2025');</v>
      </c>
    </row>
    <row r="629" spans="1:8" ht="105" x14ac:dyDescent="0.25">
      <c r="A629" t="s">
        <v>838</v>
      </c>
      <c r="B629" s="1" t="str">
        <f>VLOOKUP(A629,Sheet5!B:C,2,0)</f>
        <v>050000748761</v>
      </c>
      <c r="C629" s="13">
        <v>4339</v>
      </c>
      <c r="D629" s="22">
        <f t="shared" si="37"/>
        <v>4339</v>
      </c>
      <c r="E629" s="21" t="s">
        <v>5912</v>
      </c>
      <c r="F629" s="23" t="str">
        <f t="shared" si="36"/>
        <v>insert into ins_premium_det (premium_rcv_code,assorted_code, rec_amount,premium_rcv_detail_code,remaining_amt, payrec, mode_code,coinsurance_code,class_cd,it_remarks) values</v>
      </c>
      <c r="G629" s="24" t="str">
        <f t="shared" si="38"/>
        <v>('29Apr250042','050000748761','4339',(select max(to_number(i.premium_rcv_detail_code))+1
from ins_premium_det i),'4339','4339','02', '11000003','00','Request by Mr. Omair Ali 30-Apr-2025');</v>
      </c>
      <c r="H629" s="25" t="str">
        <f t="shared" si="39"/>
        <v>insert into ins_premium_det (premium_rcv_code,assorted_code, rec_amount,premium_rcv_detail_code,remaining_amt, payrec, mode_code,coinsurance_code,class_cd,it_remarks) values('29Apr250042','050000748761','4339',(select max(to_number(i.premium_rcv_detail_code))+1
from ins_premium_det i),'4339','4339','02', '11000003','00','Request by Mr. Omair Ali 30-Apr-2025');</v>
      </c>
    </row>
    <row r="630" spans="1:8" ht="105" x14ac:dyDescent="0.25">
      <c r="A630" t="s">
        <v>849</v>
      </c>
      <c r="B630" s="1" t="str">
        <f>VLOOKUP(A630,Sheet5!B:C,2,0)</f>
        <v>050000748762</v>
      </c>
      <c r="C630" s="13">
        <v>1826</v>
      </c>
      <c r="D630" s="22">
        <f t="shared" si="37"/>
        <v>1826</v>
      </c>
      <c r="E630" s="21" t="s">
        <v>5912</v>
      </c>
      <c r="F630" s="23" t="str">
        <f t="shared" si="36"/>
        <v>insert into ins_premium_det (premium_rcv_code,assorted_code, rec_amount,premium_rcv_detail_code,remaining_amt, payrec, mode_code,coinsurance_code,class_cd,it_remarks) values</v>
      </c>
      <c r="G630" s="24" t="str">
        <f t="shared" si="38"/>
        <v>('29Apr250042','050000748762','1826',(select max(to_number(i.premium_rcv_detail_code))+1
from ins_premium_det i),'1826','1826','02', '11000003','00','Request by Mr. Omair Ali 30-Apr-2025');</v>
      </c>
      <c r="H630" s="25" t="str">
        <f t="shared" si="39"/>
        <v>insert into ins_premium_det (premium_rcv_code,assorted_code, rec_amount,premium_rcv_detail_code,remaining_amt, payrec, mode_code,coinsurance_code,class_cd,it_remarks) values('29Apr250042','050000748762','1826',(select max(to_number(i.premium_rcv_detail_code))+1
from ins_premium_det i),'1826','1826','02', '11000003','00','Request by Mr. Omair Ali 30-Apr-2025');</v>
      </c>
    </row>
    <row r="631" spans="1:8" ht="105" x14ac:dyDescent="0.25">
      <c r="A631" t="s">
        <v>1130</v>
      </c>
      <c r="B631" s="1" t="str">
        <f>VLOOKUP(A631,Sheet5!B:C,2,0)</f>
        <v>050000748769</v>
      </c>
      <c r="C631" s="13">
        <v>840</v>
      </c>
      <c r="D631" s="22">
        <f t="shared" si="37"/>
        <v>840</v>
      </c>
      <c r="E631" s="21" t="s">
        <v>5912</v>
      </c>
      <c r="F631" s="23" t="str">
        <f t="shared" si="36"/>
        <v>insert into ins_premium_det (premium_rcv_code,assorted_code, rec_amount,premium_rcv_detail_code,remaining_amt, payrec, mode_code,coinsurance_code,class_cd,it_remarks) values</v>
      </c>
      <c r="G631" s="24" t="str">
        <f t="shared" si="38"/>
        <v>('29Apr250042','050000748769','840',(select max(to_number(i.premium_rcv_detail_code))+1
from ins_premium_det i),'840','840','02', '11000003','00','Request by Mr. Omair Ali 30-Apr-2025');</v>
      </c>
      <c r="H631" s="25" t="str">
        <f t="shared" si="39"/>
        <v>insert into ins_premium_det (premium_rcv_code,assorted_code, rec_amount,premium_rcv_detail_code,remaining_amt, payrec, mode_code,coinsurance_code,class_cd,it_remarks) values('29Apr250042','050000748769','840',(select max(to_number(i.premium_rcv_detail_code))+1
from ins_premium_det i),'840','840','02', '11000003','00','Request by Mr. Omair Ali 30-Apr-2025');</v>
      </c>
    </row>
    <row r="632" spans="1:8" ht="105" x14ac:dyDescent="0.25">
      <c r="A632" t="s">
        <v>1144</v>
      </c>
      <c r="B632" s="1" t="str">
        <f>VLOOKUP(A632,Sheet5!B:C,2,0)</f>
        <v>050000748838</v>
      </c>
      <c r="C632" s="13">
        <v>2040</v>
      </c>
      <c r="D632" s="22">
        <f t="shared" si="37"/>
        <v>2040</v>
      </c>
      <c r="E632" s="21" t="s">
        <v>5912</v>
      </c>
      <c r="F632" s="23" t="str">
        <f t="shared" si="36"/>
        <v>insert into ins_premium_det (premium_rcv_code,assorted_code, rec_amount,premium_rcv_detail_code,remaining_amt, payrec, mode_code,coinsurance_code,class_cd,it_remarks) values</v>
      </c>
      <c r="G632" s="24" t="str">
        <f t="shared" si="38"/>
        <v>('29Apr250042','050000748838','2040',(select max(to_number(i.premium_rcv_detail_code))+1
from ins_premium_det i),'2040','2040','02', '11000003','00','Request by Mr. Omair Ali 30-Apr-2025');</v>
      </c>
      <c r="H632" s="25" t="str">
        <f t="shared" si="39"/>
        <v>insert into ins_premium_det (premium_rcv_code,assorted_code, rec_amount,premium_rcv_detail_code,remaining_amt, payrec, mode_code,coinsurance_code,class_cd,it_remarks) values('29Apr250042','050000748838','2040',(select max(to_number(i.premium_rcv_detail_code))+1
from ins_premium_det i),'2040','2040','02', '11000003','00','Request by Mr. Omair Ali 30-Apr-2025');</v>
      </c>
    </row>
    <row r="633" spans="1:8" ht="105" x14ac:dyDescent="0.25">
      <c r="A633" t="s">
        <v>1577</v>
      </c>
      <c r="B633" s="1" t="str">
        <f>VLOOKUP(A633,Sheet5!B:C,2,0)</f>
        <v>050000748845</v>
      </c>
      <c r="C633" s="13">
        <v>2279</v>
      </c>
      <c r="D633" s="22">
        <f t="shared" si="37"/>
        <v>2279</v>
      </c>
      <c r="E633" s="21" t="s">
        <v>5912</v>
      </c>
      <c r="F633" s="23" t="str">
        <f t="shared" si="36"/>
        <v>insert into ins_premium_det (premium_rcv_code,assorted_code, rec_amount,premium_rcv_detail_code,remaining_amt, payrec, mode_code,coinsurance_code,class_cd,it_remarks) values</v>
      </c>
      <c r="G633" s="24" t="str">
        <f t="shared" si="38"/>
        <v>('29Apr250042','050000748845','2279',(select max(to_number(i.premium_rcv_detail_code))+1
from ins_premium_det i),'2279','2279','02', '11000003','00','Request by Mr. Omair Ali 30-Apr-2025');</v>
      </c>
      <c r="H633" s="25" t="str">
        <f t="shared" si="39"/>
        <v>insert into ins_premium_det (premium_rcv_code,assorted_code, rec_amount,premium_rcv_detail_code,remaining_amt, payrec, mode_code,coinsurance_code,class_cd,it_remarks) values('29Apr250042','050000748845','2279',(select max(to_number(i.premium_rcv_detail_code))+1
from ins_premium_det i),'2279','2279','02', '11000003','00','Request by Mr. Omair Ali 30-Apr-2025');</v>
      </c>
    </row>
    <row r="634" spans="1:8" ht="105" x14ac:dyDescent="0.25">
      <c r="A634" t="s">
        <v>1583</v>
      </c>
      <c r="B634" s="1" t="str">
        <f>VLOOKUP(A634,Sheet5!B:C,2,0)</f>
        <v>050000748847</v>
      </c>
      <c r="C634" s="13">
        <v>3359</v>
      </c>
      <c r="D634" s="22">
        <f t="shared" si="37"/>
        <v>3359</v>
      </c>
      <c r="E634" s="21" t="s">
        <v>5912</v>
      </c>
      <c r="F634" s="23" t="str">
        <f t="shared" si="36"/>
        <v>insert into ins_premium_det (premium_rcv_code,assorted_code, rec_amount,premium_rcv_detail_code,remaining_amt, payrec, mode_code,coinsurance_code,class_cd,it_remarks) values</v>
      </c>
      <c r="G634" s="24" t="str">
        <f t="shared" si="38"/>
        <v>('29Apr250042','050000748847','3359',(select max(to_number(i.premium_rcv_detail_code))+1
from ins_premium_det i),'3359','3359','02', '11000003','00','Request by Mr. Omair Ali 30-Apr-2025');</v>
      </c>
      <c r="H634" s="25" t="str">
        <f t="shared" si="39"/>
        <v>insert into ins_premium_det (premium_rcv_code,assorted_code, rec_amount,premium_rcv_detail_code,remaining_amt, payrec, mode_code,coinsurance_code,class_cd,it_remarks) values('29Apr250042','050000748847','3359',(select max(to_number(i.premium_rcv_detail_code))+1
from ins_premium_det i),'3359','3359','02', '11000003','00','Request by Mr. Omair Ali 30-Apr-2025');</v>
      </c>
    </row>
    <row r="635" spans="1:8" ht="105" x14ac:dyDescent="0.25">
      <c r="A635" t="s">
        <v>362</v>
      </c>
      <c r="B635" s="1" t="str">
        <f>VLOOKUP(A635,Sheet5!B:C,2,0)</f>
        <v>050000750194</v>
      </c>
      <c r="C635" s="13">
        <v>3832</v>
      </c>
      <c r="D635" s="22">
        <f t="shared" si="37"/>
        <v>3832</v>
      </c>
      <c r="E635" s="21" t="s">
        <v>5912</v>
      </c>
      <c r="F635" s="23" t="str">
        <f t="shared" si="36"/>
        <v>insert into ins_premium_det (premium_rcv_code,assorted_code, rec_amount,premium_rcv_detail_code,remaining_amt, payrec, mode_code,coinsurance_code,class_cd,it_remarks) values</v>
      </c>
      <c r="G635" s="24" t="str">
        <f t="shared" si="38"/>
        <v>('29Apr250042','050000750194','3832',(select max(to_number(i.premium_rcv_detail_code))+1
from ins_premium_det i),'3832','3832','02', '11000003','00','Request by Mr. Omair Ali 30-Apr-2025');</v>
      </c>
      <c r="H635" s="25" t="str">
        <f t="shared" si="39"/>
        <v>insert into ins_premium_det (premium_rcv_code,assorted_code, rec_amount,premium_rcv_detail_code,remaining_amt, payrec, mode_code,coinsurance_code,class_cd,it_remarks) values('29Apr250042','050000750194','3832',(select max(to_number(i.premium_rcv_detail_code))+1
from ins_premium_det i),'3832','3832','02', '11000003','00','Request by Mr. Omair Ali 30-Apr-2025');</v>
      </c>
    </row>
    <row r="636" spans="1:8" ht="105" x14ac:dyDescent="0.25">
      <c r="A636" t="s">
        <v>377</v>
      </c>
      <c r="B636" s="1" t="str">
        <f>VLOOKUP(A636,Sheet5!B:C,2,0)</f>
        <v>050000750195</v>
      </c>
      <c r="C636" s="13">
        <v>6452</v>
      </c>
      <c r="D636" s="22">
        <f t="shared" si="37"/>
        <v>6452</v>
      </c>
      <c r="E636" s="21" t="s">
        <v>5912</v>
      </c>
      <c r="F636" s="23" t="str">
        <f t="shared" si="36"/>
        <v>insert into ins_premium_det (premium_rcv_code,assorted_code, rec_amount,premium_rcv_detail_code,remaining_amt, payrec, mode_code,coinsurance_code,class_cd,it_remarks) values</v>
      </c>
      <c r="G636" s="24" t="str">
        <f t="shared" si="38"/>
        <v>('29Apr250042','050000750195','6452',(select max(to_number(i.premium_rcv_detail_code))+1
from ins_premium_det i),'6452','6452','02', '11000003','00','Request by Mr. Omair Ali 30-Apr-2025');</v>
      </c>
      <c r="H636" s="25" t="str">
        <f t="shared" si="39"/>
        <v>insert into ins_premium_det (premium_rcv_code,assorted_code, rec_amount,premium_rcv_detail_code,remaining_amt, payrec, mode_code,coinsurance_code,class_cd,it_remarks) values('29Apr250042','050000750195','6452',(select max(to_number(i.premium_rcv_detail_code))+1
from ins_premium_det i),'6452','6452','02', '11000003','00','Request by Mr. Omair Ali 30-Apr-2025');</v>
      </c>
    </row>
    <row r="637" spans="1:8" ht="105" x14ac:dyDescent="0.25">
      <c r="A637" t="s">
        <v>473</v>
      </c>
      <c r="B637" s="1" t="str">
        <f>VLOOKUP(A637,Sheet5!B:C,2,0)</f>
        <v>050000750198</v>
      </c>
      <c r="C637" s="13">
        <v>5923</v>
      </c>
      <c r="D637" s="22">
        <f t="shared" si="37"/>
        <v>5923</v>
      </c>
      <c r="E637" s="21" t="s">
        <v>5912</v>
      </c>
      <c r="F637" s="23" t="str">
        <f t="shared" si="36"/>
        <v>insert into ins_premium_det (premium_rcv_code,assorted_code, rec_amount,premium_rcv_detail_code,remaining_amt, payrec, mode_code,coinsurance_code,class_cd,it_remarks) values</v>
      </c>
      <c r="G637" s="24" t="str">
        <f t="shared" si="38"/>
        <v>('29Apr250042','050000750198','5923',(select max(to_number(i.premium_rcv_detail_code))+1
from ins_premium_det i),'5923','5923','02', '11000003','00','Request by Mr. Omair Ali 30-Apr-2025');</v>
      </c>
      <c r="H637" s="25" t="str">
        <f t="shared" si="39"/>
        <v>insert into ins_premium_det (premium_rcv_code,assorted_code, rec_amount,premium_rcv_detail_code,remaining_amt, payrec, mode_code,coinsurance_code,class_cd,it_remarks) values('29Apr250042','050000750198','5923',(select max(to_number(i.premium_rcv_detail_code))+1
from ins_premium_det i),'5923','5923','02', '11000003','00','Request by Mr. Omair Ali 30-Apr-2025');</v>
      </c>
    </row>
    <row r="638" spans="1:8" ht="105" x14ac:dyDescent="0.25">
      <c r="A638" t="s">
        <v>983</v>
      </c>
      <c r="B638" s="1" t="str">
        <f>VLOOKUP(A638,Sheet5!B:C,2,0)</f>
        <v>050000750201</v>
      </c>
      <c r="C638" s="13">
        <v>160</v>
      </c>
      <c r="D638" s="22">
        <f t="shared" si="37"/>
        <v>160</v>
      </c>
      <c r="E638" s="21" t="s">
        <v>5912</v>
      </c>
      <c r="F638" s="23" t="str">
        <f t="shared" si="36"/>
        <v>insert into ins_premium_det (premium_rcv_code,assorted_code, rec_amount,premium_rcv_detail_code,remaining_amt, payrec, mode_code,coinsurance_code,class_cd,it_remarks) values</v>
      </c>
      <c r="G638" s="24" t="str">
        <f t="shared" si="38"/>
        <v>('29Apr250042','050000750201','160',(select max(to_number(i.premium_rcv_detail_code))+1
from ins_premium_det i),'160','160','02', '11000003','00','Request by Mr. Omair Ali 30-Apr-2025');</v>
      </c>
      <c r="H638" s="25" t="str">
        <f t="shared" si="39"/>
        <v>insert into ins_premium_det (premium_rcv_code,assorted_code, rec_amount,premium_rcv_detail_code,remaining_amt, payrec, mode_code,coinsurance_code,class_cd,it_remarks) values('29Apr250042','050000750201','160',(select max(to_number(i.premium_rcv_detail_code))+1
from ins_premium_det i),'160','160','02', '11000003','00','Request by Mr. Omair Ali 30-Apr-2025');</v>
      </c>
    </row>
    <row r="639" spans="1:8" ht="105" x14ac:dyDescent="0.25">
      <c r="A639" t="s">
        <v>1008</v>
      </c>
      <c r="B639" s="1" t="str">
        <f>VLOOKUP(A639,Sheet5!B:C,2,0)</f>
        <v>050000750204</v>
      </c>
      <c r="C639" s="13">
        <v>6760</v>
      </c>
      <c r="D639" s="22">
        <f t="shared" si="37"/>
        <v>6760</v>
      </c>
      <c r="E639" s="21" t="s">
        <v>5912</v>
      </c>
      <c r="F639" s="23" t="str">
        <f t="shared" si="36"/>
        <v>insert into ins_premium_det (premium_rcv_code,assorted_code, rec_amount,premium_rcv_detail_code,remaining_amt, payrec, mode_code,coinsurance_code,class_cd,it_remarks) values</v>
      </c>
      <c r="G639" s="24" t="str">
        <f t="shared" si="38"/>
        <v>('29Apr250042','050000750204','6760',(select max(to_number(i.premium_rcv_detail_code))+1
from ins_premium_det i),'6760','6760','02', '11000003','00','Request by Mr. Omair Ali 30-Apr-2025');</v>
      </c>
      <c r="H639" s="25" t="str">
        <f t="shared" si="39"/>
        <v>insert into ins_premium_det (premium_rcv_code,assorted_code, rec_amount,premium_rcv_detail_code,remaining_amt, payrec, mode_code,coinsurance_code,class_cd,it_remarks) values('29Apr250042','050000750204','6760',(select max(to_number(i.premium_rcv_detail_code))+1
from ins_premium_det i),'6760','6760','02', '11000003','00','Request by Mr. Omair Ali 30-Apr-2025');</v>
      </c>
    </row>
    <row r="640" spans="1:8" ht="105" x14ac:dyDescent="0.25">
      <c r="A640" t="s">
        <v>1393</v>
      </c>
      <c r="B640" s="1" t="str">
        <f>VLOOKUP(A640,Sheet5!B:C,2,0)</f>
        <v>050000750210</v>
      </c>
      <c r="C640" s="13">
        <v>926</v>
      </c>
      <c r="D640" s="22">
        <f t="shared" si="37"/>
        <v>926</v>
      </c>
      <c r="E640" s="21" t="s">
        <v>5912</v>
      </c>
      <c r="F640" s="23" t="str">
        <f t="shared" si="36"/>
        <v>insert into ins_premium_det (premium_rcv_code,assorted_code, rec_amount,premium_rcv_detail_code,remaining_amt, payrec, mode_code,coinsurance_code,class_cd,it_remarks) values</v>
      </c>
      <c r="G640" s="24" t="str">
        <f t="shared" si="38"/>
        <v>('29Apr250042','050000750210','926',(select max(to_number(i.premium_rcv_detail_code))+1
from ins_premium_det i),'926','926','02', '11000003','00','Request by Mr. Omair Ali 30-Apr-2025');</v>
      </c>
      <c r="H640" s="25" t="str">
        <f t="shared" si="39"/>
        <v>insert into ins_premium_det (premium_rcv_code,assorted_code, rec_amount,premium_rcv_detail_code,remaining_amt, payrec, mode_code,coinsurance_code,class_cd,it_remarks) values('29Apr250042','050000750210','926',(select max(to_number(i.premium_rcv_detail_code))+1
from ins_premium_det i),'926','926','02', '11000003','00','Request by Mr. Omair Ali 30-Apr-2025');</v>
      </c>
    </row>
    <row r="641" spans="1:8" ht="105" x14ac:dyDescent="0.25">
      <c r="A641" t="s">
        <v>1594</v>
      </c>
      <c r="B641" s="1" t="str">
        <f>VLOOKUP(A641,Sheet5!B:C,2,0)</f>
        <v>050000750212</v>
      </c>
      <c r="C641" s="13">
        <v>3241</v>
      </c>
      <c r="D641" s="22">
        <f t="shared" si="37"/>
        <v>3241</v>
      </c>
      <c r="E641" s="21" t="s">
        <v>5912</v>
      </c>
      <c r="F641" s="23" t="str">
        <f t="shared" si="36"/>
        <v>insert into ins_premium_det (premium_rcv_code,assorted_code, rec_amount,premium_rcv_detail_code,remaining_amt, payrec, mode_code,coinsurance_code,class_cd,it_remarks) values</v>
      </c>
      <c r="G641" s="24" t="str">
        <f t="shared" si="38"/>
        <v>('29Apr250042','050000750212','3241',(select max(to_number(i.premium_rcv_detail_code))+1
from ins_premium_det i),'3241','3241','02', '11000003','00','Request by Mr. Omair Ali 30-Apr-2025');</v>
      </c>
      <c r="H641" s="25" t="str">
        <f t="shared" si="39"/>
        <v>insert into ins_premium_det (premium_rcv_code,assorted_code, rec_amount,premium_rcv_detail_code,remaining_amt, payrec, mode_code,coinsurance_code,class_cd,it_remarks) values('29Apr250042','050000750212','3241',(select max(to_number(i.premium_rcv_detail_code))+1
from ins_premium_det i),'3241','3241','02', '11000003','00','Request by Mr. Omair Ali 30-Apr-2025');</v>
      </c>
    </row>
    <row r="642" spans="1:8" ht="105" x14ac:dyDescent="0.25">
      <c r="A642" t="s">
        <v>254</v>
      </c>
      <c r="B642" s="1" t="str">
        <f>VLOOKUP(A642,Sheet5!B:C,2,0)</f>
        <v>050000750251</v>
      </c>
      <c r="C642" s="13">
        <v>1667</v>
      </c>
      <c r="D642" s="22">
        <f t="shared" si="37"/>
        <v>1667</v>
      </c>
      <c r="E642" s="21" t="s">
        <v>5912</v>
      </c>
      <c r="F642" s="23" t="str">
        <f t="shared" ref="F642:F705" si="4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42" s="24" t="str">
        <f t="shared" si="38"/>
        <v>('29Apr250042','050000750251','1667',(select max(to_number(i.premium_rcv_detail_code))+1
from ins_premium_det i),'1667','1667','02', '11000003','00','Request by Mr. Omair Ali 30-Apr-2025');</v>
      </c>
      <c r="H642" s="25" t="str">
        <f t="shared" si="39"/>
        <v>insert into ins_premium_det (premium_rcv_code,assorted_code, rec_amount,premium_rcv_detail_code,remaining_amt, payrec, mode_code,coinsurance_code,class_cd,it_remarks) values('29Apr250042','050000750251','1667',(select max(to_number(i.premium_rcv_detail_code))+1
from ins_premium_det i),'1667','1667','02', '11000003','00','Request by Mr. Omair Ali 30-Apr-2025');</v>
      </c>
    </row>
    <row r="643" spans="1:8" ht="105" x14ac:dyDescent="0.25">
      <c r="A643" t="s">
        <v>260</v>
      </c>
      <c r="B643" s="1" t="str">
        <f>VLOOKUP(A643,Sheet5!B:C,2,0)</f>
        <v>050000750252</v>
      </c>
      <c r="C643" s="13">
        <v>258</v>
      </c>
      <c r="D643" s="22">
        <f t="shared" ref="D643:D706" si="41">ROUND(C643,0)</f>
        <v>258</v>
      </c>
      <c r="E643" s="21" t="s">
        <v>5912</v>
      </c>
      <c r="F643" s="23" t="str">
        <f t="shared" si="40"/>
        <v>insert into ins_premium_det (premium_rcv_code,assorted_code, rec_amount,premium_rcv_detail_code,remaining_amt, payrec, mode_code,coinsurance_code,class_cd,it_remarks) values</v>
      </c>
      <c r="G643" s="24" t="str">
        <f t="shared" ref="G643:G706" si="42">"('"&amp;E643&amp;"','"&amp;B643&amp;"','"&amp;D643&amp;"',(select max(to_number(i.premium_rcv_detail_code))+1
from ins_premium_det i),'"&amp;D643&amp;"','"&amp;D643&amp;"','02', '11000003','00','Request by Mr. Omair Ali 30-Apr-2025');"</f>
        <v>('29Apr250042','050000750252','258',(select max(to_number(i.premium_rcv_detail_code))+1
from ins_premium_det i),'258','258','02', '11000003','00','Request by Mr. Omair Ali 30-Apr-2025');</v>
      </c>
      <c r="H643" s="25" t="str">
        <f t="shared" ref="H643:H706" si="43">F643&amp;G643</f>
        <v>insert into ins_premium_det (premium_rcv_code,assorted_code, rec_amount,premium_rcv_detail_code,remaining_amt, payrec, mode_code,coinsurance_code,class_cd,it_remarks) values('29Apr250042','050000750252','258',(select max(to_number(i.premium_rcv_detail_code))+1
from ins_premium_det i),'258','258','02', '11000003','00','Request by Mr. Omair Ali 30-Apr-2025');</v>
      </c>
    </row>
    <row r="644" spans="1:8" ht="105" x14ac:dyDescent="0.25">
      <c r="A644" t="s">
        <v>461</v>
      </c>
      <c r="B644" s="1" t="str">
        <f>VLOOKUP(A644,Sheet5!B:C,2,0)</f>
        <v>050000750296</v>
      </c>
      <c r="C644" s="13">
        <v>3736</v>
      </c>
      <c r="D644" s="22">
        <f t="shared" si="41"/>
        <v>3736</v>
      </c>
      <c r="E644" s="21" t="s">
        <v>5912</v>
      </c>
      <c r="F644" s="23" t="str">
        <f t="shared" si="40"/>
        <v>insert into ins_premium_det (premium_rcv_code,assorted_code, rec_amount,premium_rcv_detail_code,remaining_amt, payrec, mode_code,coinsurance_code,class_cd,it_remarks) values</v>
      </c>
      <c r="G644" s="24" t="str">
        <f t="shared" si="42"/>
        <v>('29Apr250042','050000750296','3736',(select max(to_number(i.premium_rcv_detail_code))+1
from ins_premium_det i),'3736','3736','02', '11000003','00','Request by Mr. Omair Ali 30-Apr-2025');</v>
      </c>
      <c r="H644" s="25" t="str">
        <f t="shared" si="43"/>
        <v>insert into ins_premium_det (premium_rcv_code,assorted_code, rec_amount,premium_rcv_detail_code,remaining_amt, payrec, mode_code,coinsurance_code,class_cd,it_remarks) values('29Apr250042','050000750296','3736',(select max(to_number(i.premium_rcv_detail_code))+1
from ins_premium_det i),'3736','3736','02', '11000003','00','Request by Mr. Omair Ali 30-Apr-2025');</v>
      </c>
    </row>
    <row r="645" spans="1:8" ht="105" x14ac:dyDescent="0.25">
      <c r="A645" t="s">
        <v>1372</v>
      </c>
      <c r="B645" s="1" t="str">
        <f>VLOOKUP(A645,Sheet5!B:C,2,0)</f>
        <v>050000750301</v>
      </c>
      <c r="C645" s="13">
        <v>2291</v>
      </c>
      <c r="D645" s="22">
        <f t="shared" si="41"/>
        <v>2291</v>
      </c>
      <c r="E645" s="21" t="s">
        <v>5912</v>
      </c>
      <c r="F645" s="23" t="str">
        <f t="shared" si="40"/>
        <v>insert into ins_premium_det (premium_rcv_code,assorted_code, rec_amount,premium_rcv_detail_code,remaining_amt, payrec, mode_code,coinsurance_code,class_cd,it_remarks) values</v>
      </c>
      <c r="G645" s="24" t="str">
        <f t="shared" si="42"/>
        <v>('29Apr250042','050000750301','2291',(select max(to_number(i.premium_rcv_detail_code))+1
from ins_premium_det i),'2291','2291','02', '11000003','00','Request by Mr. Omair Ali 30-Apr-2025');</v>
      </c>
      <c r="H645" s="25" t="str">
        <f t="shared" si="43"/>
        <v>insert into ins_premium_det (premium_rcv_code,assorted_code, rec_amount,premium_rcv_detail_code,remaining_amt, payrec, mode_code,coinsurance_code,class_cd,it_remarks) values('29Apr250042','050000750301','2291',(select max(to_number(i.premium_rcv_detail_code))+1
from ins_premium_det i),'2291','2291','02', '11000003','00','Request by Mr. Omair Ali 30-Apr-2025');</v>
      </c>
    </row>
    <row r="646" spans="1:8" ht="105" x14ac:dyDescent="0.25">
      <c r="A646" t="s">
        <v>1493</v>
      </c>
      <c r="B646" s="1" t="str">
        <f>VLOOKUP(A646,Sheet5!B:C,2,0)</f>
        <v>050000750307</v>
      </c>
      <c r="C646" s="13">
        <v>346</v>
      </c>
      <c r="D646" s="22">
        <f t="shared" si="41"/>
        <v>346</v>
      </c>
      <c r="E646" s="21" t="s">
        <v>5912</v>
      </c>
      <c r="F646" s="23" t="str">
        <f t="shared" si="40"/>
        <v>insert into ins_premium_det (premium_rcv_code,assorted_code, rec_amount,premium_rcv_detail_code,remaining_amt, payrec, mode_code,coinsurance_code,class_cd,it_remarks) values</v>
      </c>
      <c r="G646" s="24" t="str">
        <f t="shared" si="42"/>
        <v>('29Apr250042','050000750307','346',(select max(to_number(i.premium_rcv_detail_code))+1
from ins_premium_det i),'346','346','02', '11000003','00','Request by Mr. Omair Ali 30-Apr-2025');</v>
      </c>
      <c r="H646" s="25" t="str">
        <f t="shared" si="43"/>
        <v>insert into ins_premium_det (premium_rcv_code,assorted_code, rec_amount,premium_rcv_detail_code,remaining_amt, payrec, mode_code,coinsurance_code,class_cd,it_remarks) values('29Apr250042','050000750307','346',(select max(to_number(i.premium_rcv_detail_code))+1
from ins_premium_det i),'346','346','02', '11000003','00','Request by Mr. Omair Ali 30-Apr-2025');</v>
      </c>
    </row>
    <row r="647" spans="1:8" ht="105" x14ac:dyDescent="0.25">
      <c r="A647" t="s">
        <v>1503</v>
      </c>
      <c r="B647" s="1" t="str">
        <f>VLOOKUP(A647,Sheet5!B:C,2,0)</f>
        <v>050000750308</v>
      </c>
      <c r="C647" s="13">
        <v>6579</v>
      </c>
      <c r="D647" s="22">
        <f t="shared" si="41"/>
        <v>6579</v>
      </c>
      <c r="E647" s="21" t="s">
        <v>5912</v>
      </c>
      <c r="F647" s="23" t="str">
        <f t="shared" si="40"/>
        <v>insert into ins_premium_det (premium_rcv_code,assorted_code, rec_amount,premium_rcv_detail_code,remaining_amt, payrec, mode_code,coinsurance_code,class_cd,it_remarks) values</v>
      </c>
      <c r="G647" s="24" t="str">
        <f t="shared" si="42"/>
        <v>('29Apr250042','050000750308','6579',(select max(to_number(i.premium_rcv_detail_code))+1
from ins_premium_det i),'6579','6579','02', '11000003','00','Request by Mr. Omair Ali 30-Apr-2025');</v>
      </c>
      <c r="H647" s="25" t="str">
        <f t="shared" si="43"/>
        <v>insert into ins_premium_det (premium_rcv_code,assorted_code, rec_amount,premium_rcv_detail_code,remaining_amt, payrec, mode_code,coinsurance_code,class_cd,it_remarks) values('29Apr250042','050000750308','6579',(select max(to_number(i.premium_rcv_detail_code))+1
from ins_premium_det i),'6579','6579','02', '11000003','00','Request by Mr. Omair Ali 30-Apr-2025');</v>
      </c>
    </row>
    <row r="648" spans="1:8" ht="105" x14ac:dyDescent="0.25">
      <c r="A648" t="s">
        <v>1781</v>
      </c>
      <c r="B648" s="1" t="str">
        <f>VLOOKUP(A648,Sheet5!B:C,2,0)</f>
        <v>050000750312</v>
      </c>
      <c r="C648" s="13">
        <v>6928</v>
      </c>
      <c r="D648" s="22">
        <f t="shared" si="41"/>
        <v>6928</v>
      </c>
      <c r="E648" s="21" t="s">
        <v>5912</v>
      </c>
      <c r="F648" s="23" t="str">
        <f t="shared" si="40"/>
        <v>insert into ins_premium_det (premium_rcv_code,assorted_code, rec_amount,premium_rcv_detail_code,remaining_amt, payrec, mode_code,coinsurance_code,class_cd,it_remarks) values</v>
      </c>
      <c r="G648" s="24" t="str">
        <f t="shared" si="42"/>
        <v>('29Apr250042','050000750312','6928',(select max(to_number(i.premium_rcv_detail_code))+1
from ins_premium_det i),'6928','6928','02', '11000003','00','Request by Mr. Omair Ali 30-Apr-2025');</v>
      </c>
      <c r="H648" s="25" t="str">
        <f t="shared" si="43"/>
        <v>insert into ins_premium_det (premium_rcv_code,assorted_code, rec_amount,premium_rcv_detail_code,remaining_amt, payrec, mode_code,coinsurance_code,class_cd,it_remarks) values('29Apr250042','050000750312','6928',(select max(to_number(i.premium_rcv_detail_code))+1
from ins_premium_det i),'6928','6928','02', '11000003','00','Request by Mr. Omair Ali 30-Apr-2025');</v>
      </c>
    </row>
    <row r="649" spans="1:8" ht="105" x14ac:dyDescent="0.25">
      <c r="A649" t="s">
        <v>367</v>
      </c>
      <c r="B649" s="1" t="str">
        <f>VLOOKUP(A649,Sheet5!B:C,2,0)</f>
        <v>050000751004</v>
      </c>
      <c r="C649" s="13">
        <v>451</v>
      </c>
      <c r="D649" s="22">
        <f t="shared" si="41"/>
        <v>451</v>
      </c>
      <c r="E649" s="21" t="s">
        <v>5912</v>
      </c>
      <c r="F649" s="23" t="str">
        <f t="shared" si="40"/>
        <v>insert into ins_premium_det (premium_rcv_code,assorted_code, rec_amount,premium_rcv_detail_code,remaining_amt, payrec, mode_code,coinsurance_code,class_cd,it_remarks) values</v>
      </c>
      <c r="G649" s="24" t="str">
        <f t="shared" si="42"/>
        <v>('29Apr250042','050000751004','451',(select max(to_number(i.premium_rcv_detail_code))+1
from ins_premium_det i),'451','451','02', '11000003','00','Request by Mr. Omair Ali 30-Apr-2025');</v>
      </c>
      <c r="H649" s="25" t="str">
        <f t="shared" si="43"/>
        <v>insert into ins_premium_det (premium_rcv_code,assorted_code, rec_amount,premium_rcv_detail_code,remaining_amt, payrec, mode_code,coinsurance_code,class_cd,it_remarks) values('29Apr250042','050000751004','451',(select max(to_number(i.premium_rcv_detail_code))+1
from ins_premium_det i),'451','451','02', '11000003','00','Request by Mr. Omair Ali 30-Apr-2025');</v>
      </c>
    </row>
    <row r="650" spans="1:8" ht="105" x14ac:dyDescent="0.25">
      <c r="A650" t="s">
        <v>396</v>
      </c>
      <c r="B650" s="1" t="str">
        <f>VLOOKUP(A650,Sheet5!B:C,2,0)</f>
        <v>050000751006</v>
      </c>
      <c r="C650" s="13">
        <v>2673</v>
      </c>
      <c r="D650" s="22">
        <f t="shared" si="41"/>
        <v>2673</v>
      </c>
      <c r="E650" s="21" t="s">
        <v>5912</v>
      </c>
      <c r="F650" s="23" t="str">
        <f t="shared" si="40"/>
        <v>insert into ins_premium_det (premium_rcv_code,assorted_code, rec_amount,premium_rcv_detail_code,remaining_amt, payrec, mode_code,coinsurance_code,class_cd,it_remarks) values</v>
      </c>
      <c r="G650" s="24" t="str">
        <f t="shared" si="42"/>
        <v>('29Apr250042','050000751006','2673',(select max(to_number(i.premium_rcv_detail_code))+1
from ins_premium_det i),'2673','2673','02', '11000003','00','Request by Mr. Omair Ali 30-Apr-2025');</v>
      </c>
      <c r="H650" s="25" t="str">
        <f t="shared" si="43"/>
        <v>insert into ins_premium_det (premium_rcv_code,assorted_code, rec_amount,premium_rcv_detail_code,remaining_amt, payrec, mode_code,coinsurance_code,class_cd,it_remarks) values('29Apr250042','050000751006','2673',(select max(to_number(i.premium_rcv_detail_code))+1
from ins_premium_det i),'2673','2673','02', '11000003','00','Request by Mr. Omair Ali 30-Apr-2025');</v>
      </c>
    </row>
    <row r="651" spans="1:8" ht="105" x14ac:dyDescent="0.25">
      <c r="A651" t="s">
        <v>722</v>
      </c>
      <c r="B651" s="1" t="str">
        <f>VLOOKUP(A651,Sheet5!B:C,2,0)</f>
        <v>050000751014</v>
      </c>
      <c r="C651" s="13">
        <v>4269</v>
      </c>
      <c r="D651" s="22">
        <f t="shared" si="41"/>
        <v>4269</v>
      </c>
      <c r="E651" s="21" t="s">
        <v>5912</v>
      </c>
      <c r="F651" s="23" t="str">
        <f t="shared" si="40"/>
        <v>insert into ins_premium_det (premium_rcv_code,assorted_code, rec_amount,premium_rcv_detail_code,remaining_amt, payrec, mode_code,coinsurance_code,class_cd,it_remarks) values</v>
      </c>
      <c r="G651" s="24" t="str">
        <f t="shared" si="42"/>
        <v>('29Apr250042','050000751014','4269',(select max(to_number(i.premium_rcv_detail_code))+1
from ins_premium_det i),'4269','4269','02', '11000003','00','Request by Mr. Omair Ali 30-Apr-2025');</v>
      </c>
      <c r="H651" s="25" t="str">
        <f t="shared" si="43"/>
        <v>insert into ins_premium_det (premium_rcv_code,assorted_code, rec_amount,premium_rcv_detail_code,remaining_amt, payrec, mode_code,coinsurance_code,class_cd,it_remarks) values('29Apr250042','050000751014','4269',(select max(to_number(i.premium_rcv_detail_code))+1
from ins_premium_det i),'4269','4269','02', '11000003','00','Request by Mr. Omair Ali 30-Apr-2025');</v>
      </c>
    </row>
    <row r="652" spans="1:8" ht="105" x14ac:dyDescent="0.25">
      <c r="A652" t="s">
        <v>1028</v>
      </c>
      <c r="B652" s="1" t="str">
        <f>VLOOKUP(A652,Sheet5!B:C,2,0)</f>
        <v>050000751022</v>
      </c>
      <c r="C652" s="13">
        <v>2342</v>
      </c>
      <c r="D652" s="22">
        <f t="shared" si="41"/>
        <v>2342</v>
      </c>
      <c r="E652" s="21" t="s">
        <v>5912</v>
      </c>
      <c r="F652" s="23" t="str">
        <f t="shared" si="40"/>
        <v>insert into ins_premium_det (premium_rcv_code,assorted_code, rec_amount,premium_rcv_detail_code,remaining_amt, payrec, mode_code,coinsurance_code,class_cd,it_remarks) values</v>
      </c>
      <c r="G652" s="24" t="str">
        <f t="shared" si="42"/>
        <v>('29Apr250042','050000751022','2342',(select max(to_number(i.premium_rcv_detail_code))+1
from ins_premium_det i),'2342','2342','02', '11000003','00','Request by Mr. Omair Ali 30-Apr-2025');</v>
      </c>
      <c r="H652" s="25" t="str">
        <f t="shared" si="43"/>
        <v>insert into ins_premium_det (premium_rcv_code,assorted_code, rec_amount,premium_rcv_detail_code,remaining_amt, payrec, mode_code,coinsurance_code,class_cd,it_remarks) values('29Apr250042','050000751022','2342',(select max(to_number(i.premium_rcv_detail_code))+1
from ins_premium_det i),'2342','2342','02', '11000003','00','Request by Mr. Omair Ali 30-Apr-2025');</v>
      </c>
    </row>
    <row r="653" spans="1:8" ht="105" x14ac:dyDescent="0.25">
      <c r="A653" t="s">
        <v>1169</v>
      </c>
      <c r="B653" s="1" t="str">
        <f>VLOOKUP(A653,Sheet5!B:C,2,0)</f>
        <v>050000751030</v>
      </c>
      <c r="C653" s="13">
        <v>7770</v>
      </c>
      <c r="D653" s="22">
        <f t="shared" si="41"/>
        <v>7770</v>
      </c>
      <c r="E653" s="21" t="s">
        <v>5912</v>
      </c>
      <c r="F653" s="23" t="str">
        <f t="shared" si="40"/>
        <v>insert into ins_premium_det (premium_rcv_code,assorted_code, rec_amount,premium_rcv_detail_code,remaining_amt, payrec, mode_code,coinsurance_code,class_cd,it_remarks) values</v>
      </c>
      <c r="G653" s="24" t="str">
        <f t="shared" si="42"/>
        <v>('29Apr250042','050000751030','7770',(select max(to_number(i.premium_rcv_detail_code))+1
from ins_premium_det i),'7770','7770','02', '11000003','00','Request by Mr. Omair Ali 30-Apr-2025');</v>
      </c>
      <c r="H653" s="25" t="str">
        <f t="shared" si="43"/>
        <v>insert into ins_premium_det (premium_rcv_code,assorted_code, rec_amount,premium_rcv_detail_code,remaining_amt, payrec, mode_code,coinsurance_code,class_cd,it_remarks) values('29Apr250042','050000751030','7770',(select max(to_number(i.premium_rcv_detail_code))+1
from ins_premium_det i),'7770','7770','02', '11000003','00','Request by Mr. Omair Ali 30-Apr-2025');</v>
      </c>
    </row>
    <row r="654" spans="1:8" ht="105" x14ac:dyDescent="0.25">
      <c r="A654" t="s">
        <v>1195</v>
      </c>
      <c r="B654" s="1" t="str">
        <f>VLOOKUP(A654,Sheet5!B:C,2,0)</f>
        <v>050000751033</v>
      </c>
      <c r="C654" s="13">
        <v>4121</v>
      </c>
      <c r="D654" s="22">
        <f t="shared" si="41"/>
        <v>4121</v>
      </c>
      <c r="E654" s="21" t="s">
        <v>5912</v>
      </c>
      <c r="F654" s="23" t="str">
        <f t="shared" si="40"/>
        <v>insert into ins_premium_det (premium_rcv_code,assorted_code, rec_amount,premium_rcv_detail_code,remaining_amt, payrec, mode_code,coinsurance_code,class_cd,it_remarks) values</v>
      </c>
      <c r="G654" s="24" t="str">
        <f t="shared" si="42"/>
        <v>('29Apr250042','050000751033','4121',(select max(to_number(i.premium_rcv_detail_code))+1
from ins_premium_det i),'4121','4121','02', '11000003','00','Request by Mr. Omair Ali 30-Apr-2025');</v>
      </c>
      <c r="H654" s="25" t="str">
        <f t="shared" si="43"/>
        <v>insert into ins_premium_det (premium_rcv_code,assorted_code, rec_amount,premium_rcv_detail_code,remaining_amt, payrec, mode_code,coinsurance_code,class_cd,it_remarks) values('29Apr250042','050000751033','4121',(select max(to_number(i.premium_rcv_detail_code))+1
from ins_premium_det i),'4121','4121','02', '11000003','00','Request by Mr. Omair Ali 30-Apr-2025');</v>
      </c>
    </row>
    <row r="655" spans="1:8" ht="105" x14ac:dyDescent="0.25">
      <c r="A655" t="s">
        <v>1406</v>
      </c>
      <c r="B655" s="1" t="str">
        <f>VLOOKUP(A655,Sheet5!B:C,2,0)</f>
        <v>050000751036</v>
      </c>
      <c r="C655" s="13">
        <v>2805</v>
      </c>
      <c r="D655" s="22">
        <f t="shared" si="41"/>
        <v>2805</v>
      </c>
      <c r="E655" s="21" t="s">
        <v>5912</v>
      </c>
      <c r="F655" s="23" t="str">
        <f t="shared" si="40"/>
        <v>insert into ins_premium_det (premium_rcv_code,assorted_code, rec_amount,premium_rcv_detail_code,remaining_amt, payrec, mode_code,coinsurance_code,class_cd,it_remarks) values</v>
      </c>
      <c r="G655" s="24" t="str">
        <f t="shared" si="42"/>
        <v>('29Apr250042','050000751036','2805',(select max(to_number(i.premium_rcv_detail_code))+1
from ins_premium_det i),'2805','2805','02', '11000003','00','Request by Mr. Omair Ali 30-Apr-2025');</v>
      </c>
      <c r="H655" s="25" t="str">
        <f t="shared" si="43"/>
        <v>insert into ins_premium_det (premium_rcv_code,assorted_code, rec_amount,premium_rcv_detail_code,remaining_amt, payrec, mode_code,coinsurance_code,class_cd,it_remarks) values('29Apr250042','050000751036','2805',(select max(to_number(i.premium_rcv_detail_code))+1
from ins_premium_det i),'2805','2805','02', '11000003','00','Request by Mr. Omair Ali 30-Apr-2025');</v>
      </c>
    </row>
    <row r="656" spans="1:8" ht="105" x14ac:dyDescent="0.25">
      <c r="A656" t="s">
        <v>1489</v>
      </c>
      <c r="B656" s="1" t="str">
        <f>VLOOKUP(A656,Sheet5!B:C,2,0)</f>
        <v>050000751038</v>
      </c>
      <c r="C656" s="13">
        <v>2623</v>
      </c>
      <c r="D656" s="22">
        <f t="shared" si="41"/>
        <v>2623</v>
      </c>
      <c r="E656" s="21" t="s">
        <v>5912</v>
      </c>
      <c r="F656" s="23" t="str">
        <f t="shared" si="40"/>
        <v>insert into ins_premium_det (premium_rcv_code,assorted_code, rec_amount,premium_rcv_detail_code,remaining_amt, payrec, mode_code,coinsurance_code,class_cd,it_remarks) values</v>
      </c>
      <c r="G656" s="24" t="str">
        <f t="shared" si="42"/>
        <v>('29Apr250042','050000751038','2623',(select max(to_number(i.premium_rcv_detail_code))+1
from ins_premium_det i),'2623','2623','02', '11000003','00','Request by Mr. Omair Ali 30-Apr-2025');</v>
      </c>
      <c r="H656" s="25" t="str">
        <f t="shared" si="43"/>
        <v>insert into ins_premium_det (premium_rcv_code,assorted_code, rec_amount,premium_rcv_detail_code,remaining_amt, payrec, mode_code,coinsurance_code,class_cd,it_remarks) values('29Apr250042','050000751038','2623',(select max(to_number(i.premium_rcv_detail_code))+1
from ins_premium_det i),'2623','2623','02', '11000003','00','Request by Mr. Omair Ali 30-Apr-2025');</v>
      </c>
    </row>
    <row r="657" spans="1:8" ht="105" x14ac:dyDescent="0.25">
      <c r="A657" t="s">
        <v>1490</v>
      </c>
      <c r="B657" s="1" t="str">
        <f>VLOOKUP(A657,Sheet5!B:C,2,0)</f>
        <v>050000751039</v>
      </c>
      <c r="C657" s="13">
        <v>478</v>
      </c>
      <c r="D657" s="22">
        <f t="shared" si="41"/>
        <v>478</v>
      </c>
      <c r="E657" s="21" t="s">
        <v>5912</v>
      </c>
      <c r="F657" s="23" t="str">
        <f t="shared" si="40"/>
        <v>insert into ins_premium_det (premium_rcv_code,assorted_code, rec_amount,premium_rcv_detail_code,remaining_amt, payrec, mode_code,coinsurance_code,class_cd,it_remarks) values</v>
      </c>
      <c r="G657" s="24" t="str">
        <f t="shared" si="42"/>
        <v>('29Apr250042','050000751039','478',(select max(to_number(i.premium_rcv_detail_code))+1
from ins_premium_det i),'478','478','02', '11000003','00','Request by Mr. Omair Ali 30-Apr-2025');</v>
      </c>
      <c r="H657" s="25" t="str">
        <f t="shared" si="43"/>
        <v>insert into ins_premium_det (premium_rcv_code,assorted_code, rec_amount,premium_rcv_detail_code,remaining_amt, payrec, mode_code,coinsurance_code,class_cd,it_remarks) values('29Apr250042','050000751039','478',(select max(to_number(i.premium_rcv_detail_code))+1
from ins_premium_det i),'478','478','02', '11000003','00','Request by Mr. Omair Ali 30-Apr-2025');</v>
      </c>
    </row>
    <row r="658" spans="1:8" ht="105" x14ac:dyDescent="0.25">
      <c r="A658" t="s">
        <v>1608</v>
      </c>
      <c r="B658" s="1" t="str">
        <f>VLOOKUP(A658,Sheet5!B:C,2,0)</f>
        <v>050000751042</v>
      </c>
      <c r="C658" s="13">
        <v>2810</v>
      </c>
      <c r="D658" s="22">
        <f t="shared" si="41"/>
        <v>2810</v>
      </c>
      <c r="E658" s="21" t="s">
        <v>5912</v>
      </c>
      <c r="F658" s="23" t="str">
        <f t="shared" si="40"/>
        <v>insert into ins_premium_det (premium_rcv_code,assorted_code, rec_amount,premium_rcv_detail_code,remaining_amt, payrec, mode_code,coinsurance_code,class_cd,it_remarks) values</v>
      </c>
      <c r="G658" s="24" t="str">
        <f t="shared" si="42"/>
        <v>('29Apr250042','050000751042','2810',(select max(to_number(i.premium_rcv_detail_code))+1
from ins_premium_det i),'2810','2810','02', '11000003','00','Request by Mr. Omair Ali 30-Apr-2025');</v>
      </c>
      <c r="H658" s="25" t="str">
        <f t="shared" si="43"/>
        <v>insert into ins_premium_det (premium_rcv_code,assorted_code, rec_amount,premium_rcv_detail_code,remaining_amt, payrec, mode_code,coinsurance_code,class_cd,it_remarks) values('29Apr250042','050000751042','2810',(select max(to_number(i.premium_rcv_detail_code))+1
from ins_premium_det i),'2810','2810','02', '11000003','00','Request by Mr. Omair Ali 30-Apr-2025');</v>
      </c>
    </row>
    <row r="659" spans="1:8" ht="105" x14ac:dyDescent="0.25">
      <c r="A659" t="s">
        <v>1178</v>
      </c>
      <c r="B659" s="1" t="str">
        <f>VLOOKUP(A659,Sheet5!B:C,2,0)</f>
        <v>050000751055</v>
      </c>
      <c r="C659" s="13">
        <v>3813</v>
      </c>
      <c r="D659" s="22">
        <f t="shared" si="41"/>
        <v>3813</v>
      </c>
      <c r="E659" s="21" t="s">
        <v>5912</v>
      </c>
      <c r="F659" s="23" t="str">
        <f t="shared" si="40"/>
        <v>insert into ins_premium_det (premium_rcv_code,assorted_code, rec_amount,premium_rcv_detail_code,remaining_amt, payrec, mode_code,coinsurance_code,class_cd,it_remarks) values</v>
      </c>
      <c r="G659" s="24" t="str">
        <f t="shared" si="42"/>
        <v>('29Apr250042','050000751055','3813',(select max(to_number(i.premium_rcv_detail_code))+1
from ins_premium_det i),'3813','3813','02', '11000003','00','Request by Mr. Omair Ali 30-Apr-2025');</v>
      </c>
      <c r="H659" s="25" t="str">
        <f t="shared" si="43"/>
        <v>insert into ins_premium_det (premium_rcv_code,assorted_code, rec_amount,premium_rcv_detail_code,remaining_amt, payrec, mode_code,coinsurance_code,class_cd,it_remarks) values('29Apr250042','050000751055','3813',(select max(to_number(i.premium_rcv_detail_code))+1
from ins_premium_det i),'3813','3813','02', '11000003','00','Request by Mr. Omair Ali 30-Apr-2025');</v>
      </c>
    </row>
    <row r="660" spans="1:8" ht="105" x14ac:dyDescent="0.25">
      <c r="A660" t="s">
        <v>1179</v>
      </c>
      <c r="B660" s="1" t="str">
        <f>VLOOKUP(A660,Sheet5!B:C,2,0)</f>
        <v>050000751056</v>
      </c>
      <c r="C660" s="13">
        <v>3813</v>
      </c>
      <c r="D660" s="22">
        <f t="shared" si="41"/>
        <v>3813</v>
      </c>
      <c r="E660" s="21" t="s">
        <v>5912</v>
      </c>
      <c r="F660" s="23" t="str">
        <f t="shared" si="40"/>
        <v>insert into ins_premium_det (premium_rcv_code,assorted_code, rec_amount,premium_rcv_detail_code,remaining_amt, payrec, mode_code,coinsurance_code,class_cd,it_remarks) values</v>
      </c>
      <c r="G660" s="24" t="str">
        <f t="shared" si="42"/>
        <v>('29Apr250042','050000751056','3813',(select max(to_number(i.premium_rcv_detail_code))+1
from ins_premium_det i),'3813','3813','02', '11000003','00','Request by Mr. Omair Ali 30-Apr-2025');</v>
      </c>
      <c r="H660" s="25" t="str">
        <f t="shared" si="43"/>
        <v>insert into ins_premium_det (premium_rcv_code,assorted_code, rec_amount,premium_rcv_detail_code,remaining_amt, payrec, mode_code,coinsurance_code,class_cd,it_remarks) values('29Apr250042','050000751056','3813',(select max(to_number(i.premium_rcv_detail_code))+1
from ins_premium_det i),'3813','3813','02', '11000003','00','Request by Mr. Omair Ali 30-Apr-2025');</v>
      </c>
    </row>
    <row r="661" spans="1:8" ht="105" x14ac:dyDescent="0.25">
      <c r="A661" t="s">
        <v>1180</v>
      </c>
      <c r="B661" s="1" t="str">
        <f>VLOOKUP(A661,Sheet5!B:C,2,0)</f>
        <v>050000751057</v>
      </c>
      <c r="C661" s="13">
        <v>3567</v>
      </c>
      <c r="D661" s="22">
        <f t="shared" si="41"/>
        <v>3567</v>
      </c>
      <c r="E661" s="21" t="s">
        <v>5912</v>
      </c>
      <c r="F661" s="23" t="str">
        <f t="shared" si="40"/>
        <v>insert into ins_premium_det (premium_rcv_code,assorted_code, rec_amount,premium_rcv_detail_code,remaining_amt, payrec, mode_code,coinsurance_code,class_cd,it_remarks) values</v>
      </c>
      <c r="G661" s="24" t="str">
        <f t="shared" si="42"/>
        <v>('29Apr250042','050000751057','3567',(select max(to_number(i.premium_rcv_detail_code))+1
from ins_premium_det i),'3567','3567','02', '11000003','00','Request by Mr. Omair Ali 30-Apr-2025');</v>
      </c>
      <c r="H661" s="25" t="str">
        <f t="shared" si="43"/>
        <v>insert into ins_premium_det (premium_rcv_code,assorted_code, rec_amount,premium_rcv_detail_code,remaining_amt, payrec, mode_code,coinsurance_code,class_cd,it_remarks) values('29Apr250042','050000751057','3567',(select max(to_number(i.premium_rcv_detail_code))+1
from ins_premium_det i),'3567','3567','02', '11000003','00','Request by Mr. Omair Ali 30-Apr-2025');</v>
      </c>
    </row>
    <row r="662" spans="1:8" ht="105" x14ac:dyDescent="0.25">
      <c r="A662" t="s">
        <v>1181</v>
      </c>
      <c r="B662" s="1" t="str">
        <f>VLOOKUP(A662,Sheet5!B:C,2,0)</f>
        <v>050000751058</v>
      </c>
      <c r="C662" s="13">
        <v>3813</v>
      </c>
      <c r="D662" s="22">
        <f t="shared" si="41"/>
        <v>3813</v>
      </c>
      <c r="E662" s="21" t="s">
        <v>5912</v>
      </c>
      <c r="F662" s="23" t="str">
        <f t="shared" si="40"/>
        <v>insert into ins_premium_det (premium_rcv_code,assorted_code, rec_amount,premium_rcv_detail_code,remaining_amt, payrec, mode_code,coinsurance_code,class_cd,it_remarks) values</v>
      </c>
      <c r="G662" s="24" t="str">
        <f t="shared" si="42"/>
        <v>('29Apr250042','050000751058','3813',(select max(to_number(i.premium_rcv_detail_code))+1
from ins_premium_det i),'3813','3813','02', '11000003','00','Request by Mr. Omair Ali 30-Apr-2025');</v>
      </c>
      <c r="H662" s="25" t="str">
        <f t="shared" si="43"/>
        <v>insert into ins_premium_det (premium_rcv_code,assorted_code, rec_amount,premium_rcv_detail_code,remaining_amt, payrec, mode_code,coinsurance_code,class_cd,it_remarks) values('29Apr250042','050000751058','3813',(select max(to_number(i.premium_rcv_detail_code))+1
from ins_premium_det i),'3813','3813','02', '11000003','00','Request by Mr. Omair Ali 30-Apr-2025');</v>
      </c>
    </row>
    <row r="663" spans="1:8" ht="105" x14ac:dyDescent="0.25">
      <c r="A663" t="s">
        <v>1182</v>
      </c>
      <c r="B663" s="1" t="str">
        <f>VLOOKUP(A663,Sheet5!B:C,2,0)</f>
        <v>050000751059</v>
      </c>
      <c r="C663" s="13">
        <v>3690</v>
      </c>
      <c r="D663" s="22">
        <f t="shared" si="41"/>
        <v>3690</v>
      </c>
      <c r="E663" s="21" t="s">
        <v>5912</v>
      </c>
      <c r="F663" s="23" t="str">
        <f t="shared" si="40"/>
        <v>insert into ins_premium_det (premium_rcv_code,assorted_code, rec_amount,premium_rcv_detail_code,remaining_amt, payrec, mode_code,coinsurance_code,class_cd,it_remarks) values</v>
      </c>
      <c r="G663" s="24" t="str">
        <f t="shared" si="42"/>
        <v>('29Apr250042','050000751059','3690',(select max(to_number(i.premium_rcv_detail_code))+1
from ins_premium_det i),'3690','3690','02', '11000003','00','Request by Mr. Omair Ali 30-Apr-2025');</v>
      </c>
      <c r="H663" s="25" t="str">
        <f t="shared" si="43"/>
        <v>insert into ins_premium_det (premium_rcv_code,assorted_code, rec_amount,premium_rcv_detail_code,remaining_amt, payrec, mode_code,coinsurance_code,class_cd,it_remarks) values('29Apr250042','050000751059','3690',(select max(to_number(i.premium_rcv_detail_code))+1
from ins_premium_det i),'3690','3690','02', '11000003','00','Request by Mr. Omair Ali 30-Apr-2025');</v>
      </c>
    </row>
    <row r="664" spans="1:8" ht="105" x14ac:dyDescent="0.25">
      <c r="A664" t="s">
        <v>739</v>
      </c>
      <c r="B664" s="1" t="str">
        <f>VLOOKUP(A664,Sheet5!B:C,2,0)</f>
        <v>050000751108</v>
      </c>
      <c r="C664" s="13">
        <v>1194</v>
      </c>
      <c r="D664" s="22">
        <f t="shared" si="41"/>
        <v>1194</v>
      </c>
      <c r="E664" s="21" t="s">
        <v>5912</v>
      </c>
      <c r="F664" s="23" t="str">
        <f t="shared" si="40"/>
        <v>insert into ins_premium_det (premium_rcv_code,assorted_code, rec_amount,premium_rcv_detail_code,remaining_amt, payrec, mode_code,coinsurance_code,class_cd,it_remarks) values</v>
      </c>
      <c r="G664" s="24" t="str">
        <f t="shared" si="42"/>
        <v>('29Apr250042','050000751108','1194',(select max(to_number(i.premium_rcv_detail_code))+1
from ins_premium_det i),'1194','1194','02', '11000003','00','Request by Mr. Omair Ali 30-Apr-2025');</v>
      </c>
      <c r="H664" s="25" t="str">
        <f t="shared" si="43"/>
        <v>insert into ins_premium_det (premium_rcv_code,assorted_code, rec_amount,premium_rcv_detail_code,remaining_amt, payrec, mode_code,coinsurance_code,class_cd,it_remarks) values('29Apr250042','050000751108','1194',(select max(to_number(i.premium_rcv_detail_code))+1
from ins_premium_det i),'1194','1194','02', '11000003','00','Request by Mr. Omair Ali 30-Apr-2025');</v>
      </c>
    </row>
    <row r="665" spans="1:8" ht="105" x14ac:dyDescent="0.25">
      <c r="A665" t="s">
        <v>747</v>
      </c>
      <c r="B665" s="1" t="str">
        <f>VLOOKUP(A665,Sheet5!B:C,2,0)</f>
        <v>050000751109</v>
      </c>
      <c r="C665" s="13">
        <v>1059</v>
      </c>
      <c r="D665" s="22">
        <f t="shared" si="41"/>
        <v>1059</v>
      </c>
      <c r="E665" s="21" t="s">
        <v>5912</v>
      </c>
      <c r="F665" s="23" t="str">
        <f t="shared" si="40"/>
        <v>insert into ins_premium_det (premium_rcv_code,assorted_code, rec_amount,premium_rcv_detail_code,remaining_amt, payrec, mode_code,coinsurance_code,class_cd,it_remarks) values</v>
      </c>
      <c r="G665" s="24" t="str">
        <f t="shared" si="42"/>
        <v>('29Apr250042','050000751109','1059',(select max(to_number(i.premium_rcv_detail_code))+1
from ins_premium_det i),'1059','1059','02', '11000003','00','Request by Mr. Omair Ali 30-Apr-2025');</v>
      </c>
      <c r="H665" s="25" t="str">
        <f t="shared" si="43"/>
        <v>insert into ins_premium_det (premium_rcv_code,assorted_code, rec_amount,premium_rcv_detail_code,remaining_amt, payrec, mode_code,coinsurance_code,class_cd,it_remarks) values('29Apr250042','050000751109','1059',(select max(to_number(i.premium_rcv_detail_code))+1
from ins_premium_det i),'1059','1059','02', '11000003','00','Request by Mr. Omair Ali 30-Apr-2025');</v>
      </c>
    </row>
    <row r="666" spans="1:8" ht="105" x14ac:dyDescent="0.25">
      <c r="A666" t="s">
        <v>876</v>
      </c>
      <c r="B666" s="1" t="str">
        <f>VLOOKUP(A666,Sheet5!B:C,2,0)</f>
        <v>050000751110</v>
      </c>
      <c r="C666" s="13">
        <v>5328</v>
      </c>
      <c r="D666" s="22">
        <f t="shared" si="41"/>
        <v>5328</v>
      </c>
      <c r="E666" s="21" t="s">
        <v>5912</v>
      </c>
      <c r="F666" s="23" t="str">
        <f t="shared" si="40"/>
        <v>insert into ins_premium_det (premium_rcv_code,assorted_code, rec_amount,premium_rcv_detail_code,remaining_amt, payrec, mode_code,coinsurance_code,class_cd,it_remarks) values</v>
      </c>
      <c r="G666" s="24" t="str">
        <f t="shared" si="42"/>
        <v>('29Apr250042','050000751110','5328',(select max(to_number(i.premium_rcv_detail_code))+1
from ins_premium_det i),'5328','5328','02', '11000003','00','Request by Mr. Omair Ali 30-Apr-2025');</v>
      </c>
      <c r="H666" s="25" t="str">
        <f t="shared" si="43"/>
        <v>insert into ins_premium_det (premium_rcv_code,assorted_code, rec_amount,premium_rcv_detail_code,remaining_amt, payrec, mode_code,coinsurance_code,class_cd,it_remarks) values('29Apr250042','050000751110','5328',(select max(to_number(i.premium_rcv_detail_code))+1
from ins_premium_det i),'5328','5328','02', '11000003','00','Request by Mr. Omair Ali 30-Apr-2025');</v>
      </c>
    </row>
    <row r="667" spans="1:8" ht="105" x14ac:dyDescent="0.25">
      <c r="A667" t="s">
        <v>1522</v>
      </c>
      <c r="B667" s="1" t="str">
        <f>VLOOKUP(A667,Sheet5!B:C,2,0)</f>
        <v>050000751128</v>
      </c>
      <c r="C667" s="13">
        <v>8109</v>
      </c>
      <c r="D667" s="22">
        <f t="shared" si="41"/>
        <v>8109</v>
      </c>
      <c r="E667" s="21" t="s">
        <v>5912</v>
      </c>
      <c r="F667" s="23" t="str">
        <f t="shared" si="40"/>
        <v>insert into ins_premium_det (premium_rcv_code,assorted_code, rec_amount,premium_rcv_detail_code,remaining_amt, payrec, mode_code,coinsurance_code,class_cd,it_remarks) values</v>
      </c>
      <c r="G667" s="24" t="str">
        <f t="shared" si="42"/>
        <v>('29Apr250042','050000751128','8109',(select max(to_number(i.premium_rcv_detail_code))+1
from ins_premium_det i),'8109','8109','02', '11000003','00','Request by Mr. Omair Ali 30-Apr-2025');</v>
      </c>
      <c r="H667" s="25" t="str">
        <f t="shared" si="43"/>
        <v>insert into ins_premium_det (premium_rcv_code,assorted_code, rec_amount,premium_rcv_detail_code,remaining_amt, payrec, mode_code,coinsurance_code,class_cd,it_remarks) values('29Apr250042','050000751128','8109',(select max(to_number(i.premium_rcv_detail_code))+1
from ins_premium_det i),'8109','8109','02', '11000003','00','Request by Mr. Omair Ali 30-Apr-2025');</v>
      </c>
    </row>
    <row r="668" spans="1:8" ht="105" x14ac:dyDescent="0.25">
      <c r="A668" t="s">
        <v>1528</v>
      </c>
      <c r="B668" s="1" t="str">
        <f>VLOOKUP(A668,Sheet5!B:C,2,0)</f>
        <v>050000751129</v>
      </c>
      <c r="C668" s="13">
        <v>424</v>
      </c>
      <c r="D668" s="22">
        <f t="shared" si="41"/>
        <v>424</v>
      </c>
      <c r="E668" s="21" t="s">
        <v>5912</v>
      </c>
      <c r="F668" s="23" t="str">
        <f t="shared" si="40"/>
        <v>insert into ins_premium_det (premium_rcv_code,assorted_code, rec_amount,premium_rcv_detail_code,remaining_amt, payrec, mode_code,coinsurance_code,class_cd,it_remarks) values</v>
      </c>
      <c r="G668" s="24" t="str">
        <f t="shared" si="42"/>
        <v>('29Apr250042','050000751129','424',(select max(to_number(i.premium_rcv_detail_code))+1
from ins_premium_det i),'424','424','02', '11000003','00','Request by Mr. Omair Ali 30-Apr-2025');</v>
      </c>
      <c r="H668" s="25" t="str">
        <f t="shared" si="43"/>
        <v>insert into ins_premium_det (premium_rcv_code,assorted_code, rec_amount,premium_rcv_detail_code,remaining_amt, payrec, mode_code,coinsurance_code,class_cd,it_remarks) values('29Apr250042','050000751129','424',(select max(to_number(i.premium_rcv_detail_code))+1
from ins_premium_det i),'424','424','02', '11000003','00','Request by Mr. Omair Ali 30-Apr-2025');</v>
      </c>
    </row>
    <row r="669" spans="1:8" ht="105" x14ac:dyDescent="0.25">
      <c r="A669" t="s">
        <v>1536</v>
      </c>
      <c r="B669" s="1" t="str">
        <f>VLOOKUP(A669,Sheet5!B:C,2,0)</f>
        <v>050000751130</v>
      </c>
      <c r="C669" s="13">
        <v>3587</v>
      </c>
      <c r="D669" s="22">
        <f t="shared" si="41"/>
        <v>3587</v>
      </c>
      <c r="E669" s="21" t="s">
        <v>5912</v>
      </c>
      <c r="F669" s="23" t="str">
        <f t="shared" si="40"/>
        <v>insert into ins_premium_det (premium_rcv_code,assorted_code, rec_amount,premium_rcv_detail_code,remaining_amt, payrec, mode_code,coinsurance_code,class_cd,it_remarks) values</v>
      </c>
      <c r="G669" s="24" t="str">
        <f t="shared" si="42"/>
        <v>('29Apr250042','050000751130','3587',(select max(to_number(i.premium_rcv_detail_code))+1
from ins_premium_det i),'3587','3587','02', '11000003','00','Request by Mr. Omair Ali 30-Apr-2025');</v>
      </c>
      <c r="H669" s="25" t="str">
        <f t="shared" si="43"/>
        <v>insert into ins_premium_det (premium_rcv_code,assorted_code, rec_amount,premium_rcv_detail_code,remaining_amt, payrec, mode_code,coinsurance_code,class_cd,it_remarks) values('29Apr250042','050000751130','3587',(select max(to_number(i.premium_rcv_detail_code))+1
from ins_premium_det i),'3587','3587','02', '11000003','00','Request by Mr. Omair Ali 30-Apr-2025');</v>
      </c>
    </row>
    <row r="670" spans="1:8" ht="105" x14ac:dyDescent="0.25">
      <c r="A670" t="s">
        <v>1619</v>
      </c>
      <c r="B670" s="1" t="str">
        <f>VLOOKUP(A670,Sheet5!B:C,2,0)</f>
        <v>050000751133</v>
      </c>
      <c r="C670" s="13">
        <v>4255</v>
      </c>
      <c r="D670" s="22">
        <f t="shared" si="41"/>
        <v>4255</v>
      </c>
      <c r="E670" s="21" t="s">
        <v>5912</v>
      </c>
      <c r="F670" s="23" t="str">
        <f t="shared" si="40"/>
        <v>insert into ins_premium_det (premium_rcv_code,assorted_code, rec_amount,premium_rcv_detail_code,remaining_amt, payrec, mode_code,coinsurance_code,class_cd,it_remarks) values</v>
      </c>
      <c r="G670" s="24" t="str">
        <f t="shared" si="42"/>
        <v>('29Apr250042','050000751133','4255',(select max(to_number(i.premium_rcv_detail_code))+1
from ins_premium_det i),'4255','4255','02', '11000003','00','Request by Mr. Omair Ali 30-Apr-2025');</v>
      </c>
      <c r="H670" s="25" t="str">
        <f t="shared" si="43"/>
        <v>insert into ins_premium_det (premium_rcv_code,assorted_code, rec_amount,premium_rcv_detail_code,remaining_amt, payrec, mode_code,coinsurance_code,class_cd,it_remarks) values('29Apr250042','050000751133','4255',(select max(to_number(i.premium_rcv_detail_code))+1
from ins_premium_det i),'4255','4255','02', '11000003','00','Request by Mr. Omair Ali 30-Apr-2025');</v>
      </c>
    </row>
    <row r="671" spans="1:8" ht="105" x14ac:dyDescent="0.25">
      <c r="A671" t="s">
        <v>1641</v>
      </c>
      <c r="B671" s="1" t="str">
        <f>VLOOKUP(A671,Sheet5!B:C,2,0)</f>
        <v>050000751136</v>
      </c>
      <c r="C671" s="13">
        <v>2105</v>
      </c>
      <c r="D671" s="22">
        <f t="shared" si="41"/>
        <v>2105</v>
      </c>
      <c r="E671" s="21" t="s">
        <v>5912</v>
      </c>
      <c r="F671" s="23" t="str">
        <f t="shared" si="40"/>
        <v>insert into ins_premium_det (premium_rcv_code,assorted_code, rec_amount,premium_rcv_detail_code,remaining_amt, payrec, mode_code,coinsurance_code,class_cd,it_remarks) values</v>
      </c>
      <c r="G671" s="24" t="str">
        <f t="shared" si="42"/>
        <v>('29Apr250042','050000751136','2105',(select max(to_number(i.premium_rcv_detail_code))+1
from ins_premium_det i),'2105','2105','02', '11000003','00','Request by Mr. Omair Ali 30-Apr-2025');</v>
      </c>
      <c r="H671" s="25" t="str">
        <f t="shared" si="43"/>
        <v>insert into ins_premium_det (premium_rcv_code,assorted_code, rec_amount,premium_rcv_detail_code,remaining_amt, payrec, mode_code,coinsurance_code,class_cd,it_remarks) values('29Apr250042','050000751136','2105',(select max(to_number(i.premium_rcv_detail_code))+1
from ins_premium_det i),'2105','2105','02', '11000003','00','Request by Mr. Omair Ali 30-Apr-2025');</v>
      </c>
    </row>
    <row r="672" spans="1:8" ht="105" x14ac:dyDescent="0.25">
      <c r="A672" t="s">
        <v>1800</v>
      </c>
      <c r="B672" s="1" t="str">
        <f>VLOOKUP(A672,Sheet5!B:C,2,0)</f>
        <v>050000751141</v>
      </c>
      <c r="C672" s="13">
        <v>742</v>
      </c>
      <c r="D672" s="22">
        <f t="shared" si="41"/>
        <v>742</v>
      </c>
      <c r="E672" s="21" t="s">
        <v>5912</v>
      </c>
      <c r="F672" s="23" t="str">
        <f t="shared" si="40"/>
        <v>insert into ins_premium_det (premium_rcv_code,assorted_code, rec_amount,premium_rcv_detail_code,remaining_amt, payrec, mode_code,coinsurance_code,class_cd,it_remarks) values</v>
      </c>
      <c r="G672" s="24" t="str">
        <f t="shared" si="42"/>
        <v>('29Apr250042','050000751141','742',(select max(to_number(i.premium_rcv_detail_code))+1
from ins_premium_det i),'742','742','02', '11000003','00','Request by Mr. Omair Ali 30-Apr-2025');</v>
      </c>
      <c r="H672" s="25" t="str">
        <f t="shared" si="43"/>
        <v>insert into ins_premium_det (premium_rcv_code,assorted_code, rec_amount,premium_rcv_detail_code,remaining_amt, payrec, mode_code,coinsurance_code,class_cd,it_remarks) values('29Apr250042','050000751141','742',(select max(to_number(i.premium_rcv_detail_code))+1
from ins_premium_det i),'742','742','02', '11000003','00','Request by Mr. Omair Ali 30-Apr-2025');</v>
      </c>
    </row>
    <row r="673" spans="1:8" ht="105" x14ac:dyDescent="0.25">
      <c r="A673" t="s">
        <v>1650</v>
      </c>
      <c r="B673" s="1" t="str">
        <f>VLOOKUP(A673,Sheet5!B:C,2,0)</f>
        <v>050000751799</v>
      </c>
      <c r="C673" s="13">
        <v>858</v>
      </c>
      <c r="D673" s="22">
        <f t="shared" si="41"/>
        <v>858</v>
      </c>
      <c r="E673" s="21" t="s">
        <v>5912</v>
      </c>
      <c r="F673" s="23" t="str">
        <f t="shared" si="40"/>
        <v>insert into ins_premium_det (premium_rcv_code,assorted_code, rec_amount,premium_rcv_detail_code,remaining_amt, payrec, mode_code,coinsurance_code,class_cd,it_remarks) values</v>
      </c>
      <c r="G673" s="24" t="str">
        <f t="shared" si="42"/>
        <v>('29Apr250042','050000751799','858',(select max(to_number(i.premium_rcv_detail_code))+1
from ins_premium_det i),'858','858','02', '11000003','00','Request by Mr. Omair Ali 30-Apr-2025');</v>
      </c>
      <c r="H673" s="25" t="str">
        <f t="shared" si="43"/>
        <v>insert into ins_premium_det (premium_rcv_code,assorted_code, rec_amount,premium_rcv_detail_code,remaining_amt, payrec, mode_code,coinsurance_code,class_cd,it_remarks) values('29Apr250042','050000751799','858',(select max(to_number(i.premium_rcv_detail_code))+1
from ins_premium_det i),'858','858','02', '11000003','00','Request by Mr. Omair Ali 30-Apr-2025');</v>
      </c>
    </row>
    <row r="674" spans="1:8" ht="105" x14ac:dyDescent="0.25">
      <c r="A674" t="s">
        <v>282</v>
      </c>
      <c r="B674" s="1" t="str">
        <f>VLOOKUP(A674,Sheet5!B:C,2,0)</f>
        <v>050000751856</v>
      </c>
      <c r="C674" s="13">
        <v>4597</v>
      </c>
      <c r="D674" s="22">
        <f t="shared" si="41"/>
        <v>4597</v>
      </c>
      <c r="E674" s="21" t="s">
        <v>5912</v>
      </c>
      <c r="F674" s="23" t="str">
        <f t="shared" si="40"/>
        <v>insert into ins_premium_det (premium_rcv_code,assorted_code, rec_amount,premium_rcv_detail_code,remaining_amt, payrec, mode_code,coinsurance_code,class_cd,it_remarks) values</v>
      </c>
      <c r="G674" s="24" t="str">
        <f t="shared" si="42"/>
        <v>('29Apr250042','050000751856','4597',(select max(to_number(i.premium_rcv_detail_code))+1
from ins_premium_det i),'4597','4597','02', '11000003','00','Request by Mr. Omair Ali 30-Apr-2025');</v>
      </c>
      <c r="H674" s="25" t="str">
        <f t="shared" si="43"/>
        <v>insert into ins_premium_det (premium_rcv_code,assorted_code, rec_amount,premium_rcv_detail_code,remaining_amt, payrec, mode_code,coinsurance_code,class_cd,it_remarks) values('29Apr250042','050000751856','4597',(select max(to_number(i.premium_rcv_detail_code))+1
from ins_premium_det i),'4597','4597','02', '11000003','00','Request by Mr. Omair Ali 30-Apr-2025');</v>
      </c>
    </row>
    <row r="675" spans="1:8" ht="105" x14ac:dyDescent="0.25">
      <c r="A675" t="s">
        <v>288</v>
      </c>
      <c r="B675" s="1" t="str">
        <f>VLOOKUP(A675,Sheet5!B:C,2,0)</f>
        <v>050000751857</v>
      </c>
      <c r="C675" s="13">
        <v>17113</v>
      </c>
      <c r="D675" s="22">
        <f t="shared" si="41"/>
        <v>17113</v>
      </c>
      <c r="E675" s="21" t="s">
        <v>5912</v>
      </c>
      <c r="F675" s="23" t="str">
        <f t="shared" si="40"/>
        <v>insert into ins_premium_det (premium_rcv_code,assorted_code, rec_amount,premium_rcv_detail_code,remaining_amt, payrec, mode_code,coinsurance_code,class_cd,it_remarks) values</v>
      </c>
      <c r="G675" s="24" t="str">
        <f t="shared" si="42"/>
        <v>('29Apr250042','050000751857','17113',(select max(to_number(i.premium_rcv_detail_code))+1
from ins_premium_det i),'17113','17113','02', '11000003','00','Request by Mr. Omair Ali 30-Apr-2025');</v>
      </c>
      <c r="H675" s="25" t="str">
        <f t="shared" si="43"/>
        <v>insert into ins_premium_det (premium_rcv_code,assorted_code, rec_amount,premium_rcv_detail_code,remaining_amt, payrec, mode_code,coinsurance_code,class_cd,it_remarks) values('29Apr250042','050000751857','17113',(select max(to_number(i.premium_rcv_detail_code))+1
from ins_premium_det i),'17113','17113','02', '11000003','00','Request by Mr. Omair Ali 30-Apr-2025');</v>
      </c>
    </row>
    <row r="676" spans="1:8" ht="105" x14ac:dyDescent="0.25">
      <c r="A676" t="s">
        <v>1551</v>
      </c>
      <c r="B676" s="1" t="str">
        <f>VLOOKUP(A676,Sheet5!B:C,2,0)</f>
        <v>050000751866</v>
      </c>
      <c r="C676" s="13">
        <v>7205</v>
      </c>
      <c r="D676" s="22">
        <f t="shared" si="41"/>
        <v>7205</v>
      </c>
      <c r="E676" s="21" t="s">
        <v>5912</v>
      </c>
      <c r="F676" s="23" t="str">
        <f t="shared" si="40"/>
        <v>insert into ins_premium_det (premium_rcv_code,assorted_code, rec_amount,premium_rcv_detail_code,remaining_amt, payrec, mode_code,coinsurance_code,class_cd,it_remarks) values</v>
      </c>
      <c r="G676" s="24" t="str">
        <f t="shared" si="42"/>
        <v>('29Apr250042','050000751866','7205',(select max(to_number(i.premium_rcv_detail_code))+1
from ins_premium_det i),'7205','7205','02', '11000003','00','Request by Mr. Omair Ali 30-Apr-2025');</v>
      </c>
      <c r="H676" s="25" t="str">
        <f t="shared" si="43"/>
        <v>insert into ins_premium_det (premium_rcv_code,assorted_code, rec_amount,premium_rcv_detail_code,remaining_amt, payrec, mode_code,coinsurance_code,class_cd,it_remarks) values('29Apr250042','050000751866','7205',(select max(to_number(i.premium_rcv_detail_code))+1
from ins_premium_det i),'7205','7205','02', '11000003','00','Request by Mr. Omair Ali 30-Apr-2025');</v>
      </c>
    </row>
    <row r="677" spans="1:8" ht="105" x14ac:dyDescent="0.25">
      <c r="A677" t="s">
        <v>1664</v>
      </c>
      <c r="B677" s="1" t="str">
        <f>VLOOKUP(A677,Sheet5!B:C,2,0)</f>
        <v>050000751868</v>
      </c>
      <c r="C677" s="13">
        <v>6854</v>
      </c>
      <c r="D677" s="22">
        <f t="shared" si="41"/>
        <v>6854</v>
      </c>
      <c r="E677" s="21" t="s">
        <v>5912</v>
      </c>
      <c r="F677" s="23" t="str">
        <f t="shared" si="40"/>
        <v>insert into ins_premium_det (premium_rcv_code,assorted_code, rec_amount,premium_rcv_detail_code,remaining_amt, payrec, mode_code,coinsurance_code,class_cd,it_remarks) values</v>
      </c>
      <c r="G677" s="24" t="str">
        <f t="shared" si="42"/>
        <v>('29Apr250042','050000751868','6854',(select max(to_number(i.premium_rcv_detail_code))+1
from ins_premium_det i),'6854','6854','02', '11000003','00','Request by Mr. Omair Ali 30-Apr-2025');</v>
      </c>
      <c r="H677" s="25" t="str">
        <f t="shared" si="43"/>
        <v>insert into ins_premium_det (premium_rcv_code,assorted_code, rec_amount,premium_rcv_detail_code,remaining_amt, payrec, mode_code,coinsurance_code,class_cd,it_remarks) values('29Apr250042','050000751868','6854',(select max(to_number(i.premium_rcv_detail_code))+1
from ins_premium_det i),'6854','6854','02', '11000003','00','Request by Mr. Omair Ali 30-Apr-2025');</v>
      </c>
    </row>
    <row r="678" spans="1:8" ht="105" x14ac:dyDescent="0.25">
      <c r="A678" t="s">
        <v>1674</v>
      </c>
      <c r="B678" s="1" t="str">
        <f>VLOOKUP(A678,Sheet5!B:C,2,0)</f>
        <v>050000751869</v>
      </c>
      <c r="C678" s="13">
        <v>1648</v>
      </c>
      <c r="D678" s="22">
        <f t="shared" si="41"/>
        <v>1648</v>
      </c>
      <c r="E678" s="21" t="s">
        <v>5912</v>
      </c>
      <c r="F678" s="23" t="str">
        <f t="shared" si="40"/>
        <v>insert into ins_premium_det (premium_rcv_code,assorted_code, rec_amount,premium_rcv_detail_code,remaining_amt, payrec, mode_code,coinsurance_code,class_cd,it_remarks) values</v>
      </c>
      <c r="G678" s="24" t="str">
        <f t="shared" si="42"/>
        <v>('29Apr250042','050000751869','1648',(select max(to_number(i.premium_rcv_detail_code))+1
from ins_premium_det i),'1648','1648','02', '11000003','00','Request by Mr. Omair Ali 30-Apr-2025');</v>
      </c>
      <c r="H678" s="25" t="str">
        <f t="shared" si="43"/>
        <v>insert into ins_premium_det (premium_rcv_code,assorted_code, rec_amount,premium_rcv_detail_code,remaining_amt, payrec, mode_code,coinsurance_code,class_cd,it_remarks) values('29Apr250042','050000751869','1648',(select max(to_number(i.premium_rcv_detail_code))+1
from ins_premium_det i),'1648','1648','02', '11000003','00','Request by Mr. Omair Ali 30-Apr-2025');</v>
      </c>
    </row>
    <row r="679" spans="1:8" ht="105" x14ac:dyDescent="0.25">
      <c r="A679" t="s">
        <v>294</v>
      </c>
      <c r="B679" s="1" t="str">
        <f>VLOOKUP(A679,Sheet5!B:C,2,0)</f>
        <v>050000754487</v>
      </c>
      <c r="C679" s="13">
        <v>1837</v>
      </c>
      <c r="D679" s="22">
        <f t="shared" si="41"/>
        <v>1837</v>
      </c>
      <c r="E679" s="21" t="s">
        <v>5912</v>
      </c>
      <c r="F679" s="23" t="str">
        <f t="shared" si="40"/>
        <v>insert into ins_premium_det (premium_rcv_code,assorted_code, rec_amount,premium_rcv_detail_code,remaining_amt, payrec, mode_code,coinsurance_code,class_cd,it_remarks) values</v>
      </c>
      <c r="G679" s="24" t="str">
        <f t="shared" si="42"/>
        <v>('29Apr250042','050000754487','1837',(select max(to_number(i.premium_rcv_detail_code))+1
from ins_premium_det i),'1837','1837','02', '11000003','00','Request by Mr. Omair Ali 30-Apr-2025');</v>
      </c>
      <c r="H679" s="25" t="str">
        <f t="shared" si="43"/>
        <v>insert into ins_premium_det (premium_rcv_code,assorted_code, rec_amount,premium_rcv_detail_code,remaining_amt, payrec, mode_code,coinsurance_code,class_cd,it_remarks) values('29Apr250042','050000754487','1837',(select max(to_number(i.premium_rcv_detail_code))+1
from ins_premium_det i),'1837','1837','02', '11000003','00','Request by Mr. Omair Ali 30-Apr-2025');</v>
      </c>
    </row>
    <row r="680" spans="1:8" ht="105" x14ac:dyDescent="0.25">
      <c r="A680" t="s">
        <v>297</v>
      </c>
      <c r="B680" s="1" t="str">
        <f>VLOOKUP(A680,Sheet5!B:C,2,0)</f>
        <v>050000754488</v>
      </c>
      <c r="C680" s="13">
        <v>4216</v>
      </c>
      <c r="D680" s="22">
        <f t="shared" si="41"/>
        <v>4216</v>
      </c>
      <c r="E680" s="21" t="s">
        <v>5912</v>
      </c>
      <c r="F680" s="23" t="str">
        <f t="shared" si="40"/>
        <v>insert into ins_premium_det (premium_rcv_code,assorted_code, rec_amount,premium_rcv_detail_code,remaining_amt, payrec, mode_code,coinsurance_code,class_cd,it_remarks) values</v>
      </c>
      <c r="G680" s="24" t="str">
        <f t="shared" si="42"/>
        <v>('29Apr250042','050000754488','4216',(select max(to_number(i.premium_rcv_detail_code))+1
from ins_premium_det i),'4216','4216','02', '11000003','00','Request by Mr. Omair Ali 30-Apr-2025');</v>
      </c>
      <c r="H680" s="25" t="str">
        <f t="shared" si="43"/>
        <v>insert into ins_premium_det (premium_rcv_code,assorted_code, rec_amount,premium_rcv_detail_code,remaining_amt, payrec, mode_code,coinsurance_code,class_cd,it_remarks) values('29Apr250042','050000754488','4216',(select max(to_number(i.premium_rcv_detail_code))+1
from ins_premium_det i),'4216','4216','02', '11000003','00','Request by Mr. Omair Ali 30-Apr-2025');</v>
      </c>
    </row>
    <row r="681" spans="1:8" ht="105" x14ac:dyDescent="0.25">
      <c r="A681" t="s">
        <v>609</v>
      </c>
      <c r="B681" s="1" t="str">
        <f>VLOOKUP(A681,Sheet5!B:C,2,0)</f>
        <v>050000754493</v>
      </c>
      <c r="C681" s="13">
        <v>5215</v>
      </c>
      <c r="D681" s="22">
        <f t="shared" si="41"/>
        <v>5215</v>
      </c>
      <c r="E681" s="21" t="s">
        <v>5912</v>
      </c>
      <c r="F681" s="23" t="str">
        <f t="shared" si="40"/>
        <v>insert into ins_premium_det (premium_rcv_code,assorted_code, rec_amount,premium_rcv_detail_code,remaining_amt, payrec, mode_code,coinsurance_code,class_cd,it_remarks) values</v>
      </c>
      <c r="G681" s="24" t="str">
        <f t="shared" si="42"/>
        <v>('29Apr250042','050000754493','5215',(select max(to_number(i.premium_rcv_detail_code))+1
from ins_premium_det i),'5215','5215','02', '11000003','00','Request by Mr. Omair Ali 30-Apr-2025');</v>
      </c>
      <c r="H681" s="25" t="str">
        <f t="shared" si="43"/>
        <v>insert into ins_premium_det (premium_rcv_code,assorted_code, rec_amount,premium_rcv_detail_code,remaining_amt, payrec, mode_code,coinsurance_code,class_cd,it_remarks) values('29Apr250042','050000754493','5215',(select max(to_number(i.premium_rcv_detail_code))+1
from ins_premium_det i),'5215','5215','02', '11000003','00','Request by Mr. Omair Ali 30-Apr-2025');</v>
      </c>
    </row>
    <row r="682" spans="1:8" ht="105" x14ac:dyDescent="0.25">
      <c r="A682" t="s">
        <v>897</v>
      </c>
      <c r="B682" s="1" t="str">
        <f>VLOOKUP(A682,Sheet5!B:C,2,0)</f>
        <v>050000754498</v>
      </c>
      <c r="C682" s="13">
        <v>2315</v>
      </c>
      <c r="D682" s="22">
        <f t="shared" si="41"/>
        <v>2315</v>
      </c>
      <c r="E682" s="21" t="s">
        <v>5912</v>
      </c>
      <c r="F682" s="23" t="str">
        <f t="shared" si="40"/>
        <v>insert into ins_premium_det (premium_rcv_code,assorted_code, rec_amount,premium_rcv_detail_code,remaining_amt, payrec, mode_code,coinsurance_code,class_cd,it_remarks) values</v>
      </c>
      <c r="G682" s="24" t="str">
        <f t="shared" si="42"/>
        <v>('29Apr250042','050000754498','2315',(select max(to_number(i.premium_rcv_detail_code))+1
from ins_premium_det i),'2315','2315','02', '11000003','00','Request by Mr. Omair Ali 30-Apr-2025');</v>
      </c>
      <c r="H682" s="25" t="str">
        <f t="shared" si="43"/>
        <v>insert into ins_premium_det (premium_rcv_code,assorted_code, rec_amount,premium_rcv_detail_code,remaining_amt, payrec, mode_code,coinsurance_code,class_cd,it_remarks) values('29Apr250042','050000754498','2315',(select max(to_number(i.premium_rcv_detail_code))+1
from ins_premium_det i),'2315','2315','02', '11000003','00','Request by Mr. Omair Ali 30-Apr-2025');</v>
      </c>
    </row>
    <row r="683" spans="1:8" ht="105" x14ac:dyDescent="0.25">
      <c r="A683" t="s">
        <v>904</v>
      </c>
      <c r="B683" s="1" t="str">
        <f>VLOOKUP(A683,Sheet5!B:C,2,0)</f>
        <v>050000754499</v>
      </c>
      <c r="C683" s="13">
        <v>1554</v>
      </c>
      <c r="D683" s="22">
        <f t="shared" si="41"/>
        <v>1554</v>
      </c>
      <c r="E683" s="21" t="s">
        <v>5912</v>
      </c>
      <c r="F683" s="23" t="str">
        <f t="shared" si="40"/>
        <v>insert into ins_premium_det (premium_rcv_code,assorted_code, rec_amount,premium_rcv_detail_code,remaining_amt, payrec, mode_code,coinsurance_code,class_cd,it_remarks) values</v>
      </c>
      <c r="G683" s="24" t="str">
        <f t="shared" si="42"/>
        <v>('29Apr250042','050000754499','1554',(select max(to_number(i.premium_rcv_detail_code))+1
from ins_premium_det i),'1554','1554','02', '11000003','00','Request by Mr. Omair Ali 30-Apr-2025');</v>
      </c>
      <c r="H683" s="25" t="str">
        <f t="shared" si="43"/>
        <v>insert into ins_premium_det (premium_rcv_code,assorted_code, rec_amount,premium_rcv_detail_code,remaining_amt, payrec, mode_code,coinsurance_code,class_cd,it_remarks) values('29Apr250042','050000754499','1554',(select max(to_number(i.premium_rcv_detail_code))+1
from ins_premium_det i),'1554','1554','02', '11000003','00','Request by Mr. Omair Ali 30-Apr-2025');</v>
      </c>
    </row>
    <row r="684" spans="1:8" ht="105" x14ac:dyDescent="0.25">
      <c r="A684" t="s">
        <v>1253</v>
      </c>
      <c r="B684" s="1" t="str">
        <f>VLOOKUP(A684,Sheet5!B:C,2,0)</f>
        <v>050000754509</v>
      </c>
      <c r="C684" s="13">
        <v>2271</v>
      </c>
      <c r="D684" s="22">
        <f t="shared" si="41"/>
        <v>2271</v>
      </c>
      <c r="E684" s="21" t="s">
        <v>5912</v>
      </c>
      <c r="F684" s="23" t="str">
        <f t="shared" si="40"/>
        <v>insert into ins_premium_det (premium_rcv_code,assorted_code, rec_amount,premium_rcv_detail_code,remaining_amt, payrec, mode_code,coinsurance_code,class_cd,it_remarks) values</v>
      </c>
      <c r="G684" s="24" t="str">
        <f t="shared" si="42"/>
        <v>('29Apr250042','050000754509','2271',(select max(to_number(i.premium_rcv_detail_code))+1
from ins_premium_det i),'2271','2271','02', '11000003','00','Request by Mr. Omair Ali 30-Apr-2025');</v>
      </c>
      <c r="H684" s="25" t="str">
        <f t="shared" si="43"/>
        <v>insert into ins_premium_det (premium_rcv_code,assorted_code, rec_amount,premium_rcv_detail_code,remaining_amt, payrec, mode_code,coinsurance_code,class_cd,it_remarks) values('29Apr250042','050000754509','2271',(select max(to_number(i.premium_rcv_detail_code))+1
from ins_premium_det i),'2271','2271','02', '11000003','00','Request by Mr. Omair Ali 30-Apr-2025');</v>
      </c>
    </row>
    <row r="685" spans="1:8" ht="105" x14ac:dyDescent="0.25">
      <c r="A685" t="s">
        <v>1444</v>
      </c>
      <c r="B685" s="1" t="str">
        <f>VLOOKUP(A685,Sheet5!B:C,2,0)</f>
        <v>050000754516</v>
      </c>
      <c r="C685" s="13">
        <v>280</v>
      </c>
      <c r="D685" s="22">
        <f t="shared" si="41"/>
        <v>280</v>
      </c>
      <c r="E685" s="21" t="s">
        <v>5912</v>
      </c>
      <c r="F685" s="23" t="str">
        <f t="shared" si="40"/>
        <v>insert into ins_premium_det (premium_rcv_code,assorted_code, rec_amount,premium_rcv_detail_code,remaining_amt, payrec, mode_code,coinsurance_code,class_cd,it_remarks) values</v>
      </c>
      <c r="G685" s="24" t="str">
        <f t="shared" si="42"/>
        <v>('29Apr250042','050000754516','280',(select max(to_number(i.premium_rcv_detail_code))+1
from ins_premium_det i),'280','280','02', '11000003','00','Request by Mr. Omair Ali 30-Apr-2025');</v>
      </c>
      <c r="H685" s="25" t="str">
        <f t="shared" si="43"/>
        <v>insert into ins_premium_det (premium_rcv_code,assorted_code, rec_amount,premium_rcv_detail_code,remaining_amt, payrec, mode_code,coinsurance_code,class_cd,it_remarks) values('29Apr250042','050000754516','280',(select max(to_number(i.premium_rcv_detail_code))+1
from ins_premium_det i),'280','280','02', '11000003','00','Request by Mr. Omair Ali 30-Apr-2025');</v>
      </c>
    </row>
    <row r="686" spans="1:8" ht="105" x14ac:dyDescent="0.25">
      <c r="A686" t="s">
        <v>1657</v>
      </c>
      <c r="B686" s="1" t="str">
        <f>VLOOKUP(A686,Sheet5!B:C,2,0)</f>
        <v>050000754518</v>
      </c>
      <c r="C686" s="13">
        <v>2433</v>
      </c>
      <c r="D686" s="22">
        <f t="shared" si="41"/>
        <v>2433</v>
      </c>
      <c r="E686" s="21" t="s">
        <v>5912</v>
      </c>
      <c r="F686" s="23" t="str">
        <f t="shared" si="40"/>
        <v>insert into ins_premium_det (premium_rcv_code,assorted_code, rec_amount,premium_rcv_detail_code,remaining_amt, payrec, mode_code,coinsurance_code,class_cd,it_remarks) values</v>
      </c>
      <c r="G686" s="24" t="str">
        <f t="shared" si="42"/>
        <v>('29Apr250042','050000754518','2433',(select max(to_number(i.premium_rcv_detail_code))+1
from ins_premium_det i),'2433','2433','02', '11000003','00','Request by Mr. Omair Ali 30-Apr-2025');</v>
      </c>
      <c r="H686" s="25" t="str">
        <f t="shared" si="43"/>
        <v>insert into ins_premium_det (premium_rcv_code,assorted_code, rec_amount,premium_rcv_detail_code,remaining_amt, payrec, mode_code,coinsurance_code,class_cd,it_remarks) values('29Apr250042','050000754518','2433',(select max(to_number(i.premium_rcv_detail_code))+1
from ins_premium_det i),'2433','2433','02', '11000003','00','Request by Mr. Omair Ali 30-Apr-2025');</v>
      </c>
    </row>
    <row r="687" spans="1:8" ht="105" x14ac:dyDescent="0.25">
      <c r="A687" t="s">
        <v>1806</v>
      </c>
      <c r="B687" s="1" t="str">
        <f>VLOOKUP(A687,Sheet5!B:C,2,0)</f>
        <v>050000754520</v>
      </c>
      <c r="C687" s="13">
        <v>5256</v>
      </c>
      <c r="D687" s="22">
        <f t="shared" si="41"/>
        <v>5256</v>
      </c>
      <c r="E687" s="21" t="s">
        <v>5912</v>
      </c>
      <c r="F687" s="23" t="str">
        <f t="shared" si="40"/>
        <v>insert into ins_premium_det (premium_rcv_code,assorted_code, rec_amount,premium_rcv_detail_code,remaining_amt, payrec, mode_code,coinsurance_code,class_cd,it_remarks) values</v>
      </c>
      <c r="G687" s="24" t="str">
        <f t="shared" si="42"/>
        <v>('29Apr250042','050000754520','5256',(select max(to_number(i.premium_rcv_detail_code))+1
from ins_premium_det i),'5256','5256','02', '11000003','00','Request by Mr. Omair Ali 30-Apr-2025');</v>
      </c>
      <c r="H687" s="25" t="str">
        <f t="shared" si="43"/>
        <v>insert into ins_premium_det (premium_rcv_code,assorted_code, rec_amount,premium_rcv_detail_code,remaining_amt, payrec, mode_code,coinsurance_code,class_cd,it_remarks) values('29Apr250042','050000754520','5256',(select max(to_number(i.premium_rcv_detail_code))+1
from ins_premium_det i),'5256','5256','02', '11000003','00','Request by Mr. Omair Ali 30-Apr-2025');</v>
      </c>
    </row>
    <row r="688" spans="1:8" ht="105" x14ac:dyDescent="0.25">
      <c r="A688" t="s">
        <v>1814</v>
      </c>
      <c r="B688" s="1" t="str">
        <f>VLOOKUP(A688,Sheet5!B:C,2,0)</f>
        <v>050000754521</v>
      </c>
      <c r="C688" s="13">
        <v>2084</v>
      </c>
      <c r="D688" s="22">
        <f t="shared" si="41"/>
        <v>2084</v>
      </c>
      <c r="E688" s="21" t="s">
        <v>5912</v>
      </c>
      <c r="F688" s="23" t="str">
        <f t="shared" si="40"/>
        <v>insert into ins_premium_det (premium_rcv_code,assorted_code, rec_amount,premium_rcv_detail_code,remaining_amt, payrec, mode_code,coinsurance_code,class_cd,it_remarks) values</v>
      </c>
      <c r="G688" s="24" t="str">
        <f t="shared" si="42"/>
        <v>('29Apr250042','050000754521','2084',(select max(to_number(i.premium_rcv_detail_code))+1
from ins_premium_det i),'2084','2084','02', '11000003','00','Request by Mr. Omair Ali 30-Apr-2025');</v>
      </c>
      <c r="H688" s="25" t="str">
        <f t="shared" si="43"/>
        <v>insert into ins_premium_det (premium_rcv_code,assorted_code, rec_amount,premium_rcv_detail_code,remaining_amt, payrec, mode_code,coinsurance_code,class_cd,it_remarks) values('29Apr250042','050000754521','2084',(select max(to_number(i.premium_rcv_detail_code))+1
from ins_premium_det i),'2084','2084','02', '11000003','00','Request by Mr. Omair Ali 30-Apr-2025');</v>
      </c>
    </row>
    <row r="689" spans="1:8" ht="105" x14ac:dyDescent="0.25">
      <c r="A689" t="s">
        <v>754</v>
      </c>
      <c r="B689" s="1" t="str">
        <f>VLOOKUP(A689,Sheet5!B:C,2,0)</f>
        <v>050000755859</v>
      </c>
      <c r="C689" s="13">
        <v>2929</v>
      </c>
      <c r="D689" s="22">
        <f t="shared" si="41"/>
        <v>2929</v>
      </c>
      <c r="E689" s="21" t="s">
        <v>5912</v>
      </c>
      <c r="F689" s="23" t="str">
        <f t="shared" si="40"/>
        <v>insert into ins_premium_det (premium_rcv_code,assorted_code, rec_amount,premium_rcv_detail_code,remaining_amt, payrec, mode_code,coinsurance_code,class_cd,it_remarks) values</v>
      </c>
      <c r="G689" s="24" t="str">
        <f t="shared" si="42"/>
        <v>('29Apr250042','050000755859','2929',(select max(to_number(i.premium_rcv_detail_code))+1
from ins_premium_det i),'2929','2929','02', '11000003','00','Request by Mr. Omair Ali 30-Apr-2025');</v>
      </c>
      <c r="H689" s="25" t="str">
        <f t="shared" si="43"/>
        <v>insert into ins_premium_det (premium_rcv_code,assorted_code, rec_amount,premium_rcv_detail_code,remaining_amt, payrec, mode_code,coinsurance_code,class_cd,it_remarks) values('29Apr250042','050000755859','2929',(select max(to_number(i.premium_rcv_detail_code))+1
from ins_premium_det i),'2929','2929','02', '11000003','00','Request by Mr. Omair Ali 30-Apr-2025');</v>
      </c>
    </row>
    <row r="690" spans="1:8" ht="105" x14ac:dyDescent="0.25">
      <c r="A690" t="s">
        <v>914</v>
      </c>
      <c r="B690" s="1" t="str">
        <f>VLOOKUP(A690,Sheet5!B:C,2,0)</f>
        <v>050000756508</v>
      </c>
      <c r="C690" s="13">
        <v>1456</v>
      </c>
      <c r="D690" s="22">
        <f t="shared" si="41"/>
        <v>1456</v>
      </c>
      <c r="E690" s="21" t="s">
        <v>5912</v>
      </c>
      <c r="F690" s="23" t="str">
        <f t="shared" si="40"/>
        <v>insert into ins_premium_det (premium_rcv_code,assorted_code, rec_amount,premium_rcv_detail_code,remaining_amt, payrec, mode_code,coinsurance_code,class_cd,it_remarks) values</v>
      </c>
      <c r="G690" s="24" t="str">
        <f t="shared" si="42"/>
        <v>('29Apr250042','050000756508','1456',(select max(to_number(i.premium_rcv_detail_code))+1
from ins_premium_det i),'1456','1456','02', '11000003','00','Request by Mr. Omair Ali 30-Apr-2025');</v>
      </c>
      <c r="H690" s="25" t="str">
        <f t="shared" si="43"/>
        <v>insert into ins_premium_det (premium_rcv_code,assorted_code, rec_amount,premium_rcv_detail_code,remaining_amt, payrec, mode_code,coinsurance_code,class_cd,it_remarks) values('29Apr250042','050000756508','1456',(select max(to_number(i.premium_rcv_detail_code))+1
from ins_premium_det i),'1456','1456','02', '11000003','00','Request by Mr. Omair Ali 30-Apr-2025');</v>
      </c>
    </row>
    <row r="691" spans="1:8" ht="105" x14ac:dyDescent="0.25">
      <c r="A691" t="s">
        <v>929</v>
      </c>
      <c r="B691" s="1" t="str">
        <f>VLOOKUP(A691,Sheet5!B:C,2,0)</f>
        <v>050000756509</v>
      </c>
      <c r="C691" s="13">
        <v>4745</v>
      </c>
      <c r="D691" s="22">
        <f t="shared" si="41"/>
        <v>4745</v>
      </c>
      <c r="E691" s="21" t="s">
        <v>5912</v>
      </c>
      <c r="F691" s="23" t="str">
        <f t="shared" si="40"/>
        <v>insert into ins_premium_det (premium_rcv_code,assorted_code, rec_amount,premium_rcv_detail_code,remaining_amt, payrec, mode_code,coinsurance_code,class_cd,it_remarks) values</v>
      </c>
      <c r="G691" s="24" t="str">
        <f t="shared" si="42"/>
        <v>('29Apr250042','050000756509','4745',(select max(to_number(i.premium_rcv_detail_code))+1
from ins_premium_det i),'4745','4745','02', '11000003','00','Request by Mr. Omair Ali 30-Apr-2025');</v>
      </c>
      <c r="H691" s="25" t="str">
        <f t="shared" si="43"/>
        <v>insert into ins_premium_det (premium_rcv_code,assorted_code, rec_amount,premium_rcv_detail_code,remaining_amt, payrec, mode_code,coinsurance_code,class_cd,it_remarks) values('29Apr250042','050000756509','4745',(select max(to_number(i.premium_rcv_detail_code))+1
from ins_premium_det i),'4745','4745','02', '11000003','00','Request by Mr. Omair Ali 30-Apr-2025');</v>
      </c>
    </row>
    <row r="692" spans="1:8" ht="105" x14ac:dyDescent="0.25">
      <c r="A692" t="s">
        <v>1275</v>
      </c>
      <c r="B692" s="1" t="str">
        <f>VLOOKUP(A692,Sheet5!B:C,2,0)</f>
        <v>050000756517</v>
      </c>
      <c r="C692" s="13">
        <v>1180</v>
      </c>
      <c r="D692" s="22">
        <f t="shared" si="41"/>
        <v>1180</v>
      </c>
      <c r="E692" s="21" t="s">
        <v>5912</v>
      </c>
      <c r="F692" s="23" t="str">
        <f t="shared" si="40"/>
        <v>insert into ins_premium_det (premium_rcv_code,assorted_code, rec_amount,premium_rcv_detail_code,remaining_amt, payrec, mode_code,coinsurance_code,class_cd,it_remarks) values</v>
      </c>
      <c r="G692" s="24" t="str">
        <f t="shared" si="42"/>
        <v>('29Apr250042','050000756517','1180',(select max(to_number(i.premium_rcv_detail_code))+1
from ins_premium_det i),'1180','1180','02', '11000003','00','Request by Mr. Omair Ali 30-Apr-2025');</v>
      </c>
      <c r="H692" s="25" t="str">
        <f t="shared" si="43"/>
        <v>insert into ins_premium_det (premium_rcv_code,assorted_code, rec_amount,premium_rcv_detail_code,remaining_amt, payrec, mode_code,coinsurance_code,class_cd,it_remarks) values('29Apr250042','050000756517','1180',(select max(to_number(i.premium_rcv_detail_code))+1
from ins_premium_det i),'1180','1180','02', '11000003','00','Request by Mr. Omair Ali 30-Apr-2025');</v>
      </c>
    </row>
    <row r="693" spans="1:8" ht="105" x14ac:dyDescent="0.25">
      <c r="A693" t="s">
        <v>1704</v>
      </c>
      <c r="B693" s="1" t="str">
        <f>VLOOKUP(A693,Sheet5!B:C,2,0)</f>
        <v>050000756533</v>
      </c>
      <c r="C693" s="13">
        <v>792</v>
      </c>
      <c r="D693" s="22">
        <f t="shared" si="41"/>
        <v>792</v>
      </c>
      <c r="E693" s="21" t="s">
        <v>5912</v>
      </c>
      <c r="F693" s="23" t="str">
        <f t="shared" si="40"/>
        <v>insert into ins_premium_det (premium_rcv_code,assorted_code, rec_amount,premium_rcv_detail_code,remaining_amt, payrec, mode_code,coinsurance_code,class_cd,it_remarks) values</v>
      </c>
      <c r="G693" s="24" t="str">
        <f t="shared" si="42"/>
        <v>('29Apr250042','050000756533','792',(select max(to_number(i.premium_rcv_detail_code))+1
from ins_premium_det i),'792','792','02', '11000003','00','Request by Mr. Omair Ali 30-Apr-2025');</v>
      </c>
      <c r="H693" s="25" t="str">
        <f t="shared" si="43"/>
        <v>insert into ins_premium_det (premium_rcv_code,assorted_code, rec_amount,premium_rcv_detail_code,remaining_amt, payrec, mode_code,coinsurance_code,class_cd,it_remarks) values('29Apr250042','050000756533','792',(select max(to_number(i.premium_rcv_detail_code))+1
from ins_premium_det i),'792','792','02', '11000003','00','Request by Mr. Omair Ali 30-Apr-2025');</v>
      </c>
    </row>
    <row r="694" spans="1:8" ht="105" x14ac:dyDescent="0.25">
      <c r="A694" t="s">
        <v>1727</v>
      </c>
      <c r="B694" s="1" t="str">
        <f>VLOOKUP(A694,Sheet5!B:C,2,0)</f>
        <v>050000756536</v>
      </c>
      <c r="C694" s="13">
        <v>3467</v>
      </c>
      <c r="D694" s="22">
        <f t="shared" si="41"/>
        <v>3467</v>
      </c>
      <c r="E694" s="21" t="s">
        <v>5912</v>
      </c>
      <c r="F694" s="23" t="str">
        <f t="shared" si="40"/>
        <v>insert into ins_premium_det (premium_rcv_code,assorted_code, rec_amount,premium_rcv_detail_code,remaining_amt, payrec, mode_code,coinsurance_code,class_cd,it_remarks) values</v>
      </c>
      <c r="G694" s="24" t="str">
        <f t="shared" si="42"/>
        <v>('29Apr250042','050000756536','3467',(select max(to_number(i.premium_rcv_detail_code))+1
from ins_premium_det i),'3467','3467','02', '11000003','00','Request by Mr. Omair Ali 30-Apr-2025');</v>
      </c>
      <c r="H694" s="25" t="str">
        <f t="shared" si="43"/>
        <v>insert into ins_premium_det (premium_rcv_code,assorted_code, rec_amount,premium_rcv_detail_code,remaining_amt, payrec, mode_code,coinsurance_code,class_cd,it_remarks) values('29Apr250042','050000756536','3467',(select max(to_number(i.premium_rcv_detail_code))+1
from ins_premium_det i),'3467','3467','02', '11000003','00','Request by Mr. Omair Ali 30-Apr-2025');</v>
      </c>
    </row>
    <row r="695" spans="1:8" ht="105" x14ac:dyDescent="0.25">
      <c r="A695" t="s">
        <v>421</v>
      </c>
      <c r="B695" s="1" t="str">
        <f>VLOOKUP(A695,Sheet5!B:C,2,0)</f>
        <v>050000756576</v>
      </c>
      <c r="C695" s="13">
        <v>3978</v>
      </c>
      <c r="D695" s="22">
        <f t="shared" si="41"/>
        <v>3978</v>
      </c>
      <c r="E695" s="21" t="s">
        <v>5912</v>
      </c>
      <c r="F695" s="23" t="str">
        <f t="shared" si="40"/>
        <v>insert into ins_premium_det (premium_rcv_code,assorted_code, rec_amount,premium_rcv_detail_code,remaining_amt, payrec, mode_code,coinsurance_code,class_cd,it_remarks) values</v>
      </c>
      <c r="G695" s="24" t="str">
        <f t="shared" si="42"/>
        <v>('29Apr250042','050000756576','3978',(select max(to_number(i.premium_rcv_detail_code))+1
from ins_premium_det i),'3978','3978','02', '11000003','00','Request by Mr. Omair Ali 30-Apr-2025');</v>
      </c>
      <c r="H695" s="25" t="str">
        <f t="shared" si="43"/>
        <v>insert into ins_premium_det (premium_rcv_code,assorted_code, rec_amount,premium_rcv_detail_code,remaining_amt, payrec, mode_code,coinsurance_code,class_cd,it_remarks) values('29Apr250042','050000756576','3978',(select max(to_number(i.premium_rcv_detail_code))+1
from ins_premium_det i),'3978','3978','02', '11000003','00','Request by Mr. Omair Ali 30-Apr-2025');</v>
      </c>
    </row>
    <row r="696" spans="1:8" ht="105" x14ac:dyDescent="0.25">
      <c r="A696" t="s">
        <v>770</v>
      </c>
      <c r="B696" s="1" t="str">
        <f>VLOOKUP(A696,Sheet5!B:C,2,0)</f>
        <v>050000756582</v>
      </c>
      <c r="C696" s="13">
        <v>1919</v>
      </c>
      <c r="D696" s="22">
        <f t="shared" si="41"/>
        <v>1919</v>
      </c>
      <c r="E696" s="21" t="s">
        <v>5912</v>
      </c>
      <c r="F696" s="23" t="str">
        <f t="shared" si="40"/>
        <v>insert into ins_premium_det (premium_rcv_code,assorted_code, rec_amount,premium_rcv_detail_code,remaining_amt, payrec, mode_code,coinsurance_code,class_cd,it_remarks) values</v>
      </c>
      <c r="G696" s="24" t="str">
        <f t="shared" si="42"/>
        <v>('29Apr250042','050000756582','1919',(select max(to_number(i.premium_rcv_detail_code))+1
from ins_premium_det i),'1919','1919','02', '11000003','00','Request by Mr. Omair Ali 30-Apr-2025');</v>
      </c>
      <c r="H696" s="25" t="str">
        <f t="shared" si="43"/>
        <v>insert into ins_premium_det (premium_rcv_code,assorted_code, rec_amount,premium_rcv_detail_code,remaining_amt, payrec, mode_code,coinsurance_code,class_cd,it_remarks) values('29Apr250042','050000756582','1919',(select max(to_number(i.premium_rcv_detail_code))+1
from ins_premium_det i),'1919','1919','02', '11000003','00','Request by Mr. Omair Ali 30-Apr-2025');</v>
      </c>
    </row>
    <row r="697" spans="1:8" ht="105" x14ac:dyDescent="0.25">
      <c r="A697" t="s">
        <v>778</v>
      </c>
      <c r="B697" s="1" t="str">
        <f>VLOOKUP(A697,Sheet5!B:C,2,0)</f>
        <v>050000756583</v>
      </c>
      <c r="C697" s="13">
        <v>3528</v>
      </c>
      <c r="D697" s="22">
        <f t="shared" si="41"/>
        <v>3528</v>
      </c>
      <c r="E697" s="21" t="s">
        <v>5912</v>
      </c>
      <c r="F697" s="23" t="str">
        <f t="shared" si="40"/>
        <v>insert into ins_premium_det (premium_rcv_code,assorted_code, rec_amount,premium_rcv_detail_code,remaining_amt, payrec, mode_code,coinsurance_code,class_cd,it_remarks) values</v>
      </c>
      <c r="G697" s="24" t="str">
        <f t="shared" si="42"/>
        <v>('29Apr250042','050000756583','3528',(select max(to_number(i.premium_rcv_detail_code))+1
from ins_premium_det i),'3528','3528','02', '11000003','00','Request by Mr. Omair Ali 30-Apr-2025');</v>
      </c>
      <c r="H697" s="25" t="str">
        <f t="shared" si="43"/>
        <v>insert into ins_premium_det (premium_rcv_code,assorted_code, rec_amount,premium_rcv_detail_code,remaining_amt, payrec, mode_code,coinsurance_code,class_cd,it_remarks) values('29Apr250042','050000756583','3528',(select max(to_number(i.premium_rcv_detail_code))+1
from ins_premium_det i),'3528','3528','02', '11000003','00','Request by Mr. Omair Ali 30-Apr-2025');</v>
      </c>
    </row>
    <row r="698" spans="1:8" ht="105" x14ac:dyDescent="0.25">
      <c r="A698" t="s">
        <v>791</v>
      </c>
      <c r="B698" s="1" t="str">
        <f>VLOOKUP(A698,Sheet5!B:C,2,0)</f>
        <v>050000756584</v>
      </c>
      <c r="C698" s="13">
        <v>3592</v>
      </c>
      <c r="D698" s="22">
        <f t="shared" si="41"/>
        <v>3592</v>
      </c>
      <c r="E698" s="21" t="s">
        <v>5912</v>
      </c>
      <c r="F698" s="23" t="str">
        <f t="shared" si="40"/>
        <v>insert into ins_premium_det (premium_rcv_code,assorted_code, rec_amount,premium_rcv_detail_code,remaining_amt, payrec, mode_code,coinsurance_code,class_cd,it_remarks) values</v>
      </c>
      <c r="G698" s="24" t="str">
        <f t="shared" si="42"/>
        <v>('29Apr250042','050000756584','3592',(select max(to_number(i.premium_rcv_detail_code))+1
from ins_premium_det i),'3592','3592','02', '11000003','00','Request by Mr. Omair Ali 30-Apr-2025');</v>
      </c>
      <c r="H698" s="25" t="str">
        <f t="shared" si="43"/>
        <v>insert into ins_premium_det (premium_rcv_code,assorted_code, rec_amount,premium_rcv_detail_code,remaining_amt, payrec, mode_code,coinsurance_code,class_cd,it_remarks) values('29Apr250042','050000756584','3592',(select max(to_number(i.premium_rcv_detail_code))+1
from ins_premium_det i),'3592','3592','02', '11000003','00','Request by Mr. Omair Ali 30-Apr-2025');</v>
      </c>
    </row>
    <row r="699" spans="1:8" ht="105" x14ac:dyDescent="0.25">
      <c r="A699" t="s">
        <v>1056</v>
      </c>
      <c r="B699" s="1" t="str">
        <f>VLOOKUP(A699,Sheet5!B:C,2,0)</f>
        <v>050000756588</v>
      </c>
      <c r="C699" s="13">
        <v>2349</v>
      </c>
      <c r="D699" s="22">
        <f t="shared" si="41"/>
        <v>2349</v>
      </c>
      <c r="E699" s="21" t="s">
        <v>5912</v>
      </c>
      <c r="F699" s="23" t="str">
        <f t="shared" si="40"/>
        <v>insert into ins_premium_det (premium_rcv_code,assorted_code, rec_amount,premium_rcv_detail_code,remaining_amt, payrec, mode_code,coinsurance_code,class_cd,it_remarks) values</v>
      </c>
      <c r="G699" s="24" t="str">
        <f t="shared" si="42"/>
        <v>('29Apr250042','050000756588','2349',(select max(to_number(i.premium_rcv_detail_code))+1
from ins_premium_det i),'2349','2349','02', '11000003','00','Request by Mr. Omair Ali 30-Apr-2025');</v>
      </c>
      <c r="H699" s="25" t="str">
        <f t="shared" si="43"/>
        <v>insert into ins_premium_det (premium_rcv_code,assorted_code, rec_amount,premium_rcv_detail_code,remaining_amt, payrec, mode_code,coinsurance_code,class_cd,it_remarks) values('29Apr250042','050000756588','2349',(select max(to_number(i.premium_rcv_detail_code))+1
from ins_premium_det i),'2349','2349','02', '11000003','00','Request by Mr. Omair Ali 30-Apr-2025');</v>
      </c>
    </row>
    <row r="700" spans="1:8" ht="105" x14ac:dyDescent="0.25">
      <c r="A700" t="s">
        <v>1091</v>
      </c>
      <c r="B700" s="1" t="str">
        <f>VLOOKUP(A700,Sheet5!B:C,2,0)</f>
        <v>050000756590</v>
      </c>
      <c r="C700" s="13">
        <v>2934</v>
      </c>
      <c r="D700" s="22">
        <f t="shared" si="41"/>
        <v>2934</v>
      </c>
      <c r="E700" s="21" t="s">
        <v>5912</v>
      </c>
      <c r="F700" s="23" t="str">
        <f t="shared" si="40"/>
        <v>insert into ins_premium_det (premium_rcv_code,assorted_code, rec_amount,premium_rcv_detail_code,remaining_amt, payrec, mode_code,coinsurance_code,class_cd,it_remarks) values</v>
      </c>
      <c r="G700" s="24" t="str">
        <f t="shared" si="42"/>
        <v>('29Apr250042','050000756590','2934',(select max(to_number(i.premium_rcv_detail_code))+1
from ins_premium_det i),'2934','2934','02', '11000003','00','Request by Mr. Omair Ali 30-Apr-2025');</v>
      </c>
      <c r="H700" s="25" t="str">
        <f t="shared" si="43"/>
        <v>insert into ins_premium_det (premium_rcv_code,assorted_code, rec_amount,premium_rcv_detail_code,remaining_amt, payrec, mode_code,coinsurance_code,class_cd,it_remarks) values('29Apr250042','050000756590','2934',(select max(to_number(i.premium_rcv_detail_code))+1
from ins_premium_det i),'2934','2934','02', '11000003','00','Request by Mr. Omair Ali 30-Apr-2025');</v>
      </c>
    </row>
    <row r="701" spans="1:8" ht="105" x14ac:dyDescent="0.25">
      <c r="A701" t="s">
        <v>1224</v>
      </c>
      <c r="B701" s="1" t="str">
        <f>VLOOKUP(A701,Sheet5!B:C,2,0)</f>
        <v>050000756591</v>
      </c>
      <c r="C701" s="13">
        <v>3496</v>
      </c>
      <c r="D701" s="22">
        <f t="shared" si="41"/>
        <v>3496</v>
      </c>
      <c r="E701" s="21" t="s">
        <v>5912</v>
      </c>
      <c r="F701" s="23" t="str">
        <f t="shared" si="40"/>
        <v>insert into ins_premium_det (premium_rcv_code,assorted_code, rec_amount,premium_rcv_detail_code,remaining_amt, payrec, mode_code,coinsurance_code,class_cd,it_remarks) values</v>
      </c>
      <c r="G701" s="24" t="str">
        <f t="shared" si="42"/>
        <v>('29Apr250042','050000756591','3496',(select max(to_number(i.premium_rcv_detail_code))+1
from ins_premium_det i),'3496','3496','02', '11000003','00','Request by Mr. Omair Ali 30-Apr-2025');</v>
      </c>
      <c r="H701" s="25" t="str">
        <f t="shared" si="43"/>
        <v>insert into ins_premium_det (premium_rcv_code,assorted_code, rec_amount,premium_rcv_detail_code,remaining_amt, payrec, mode_code,coinsurance_code,class_cd,it_remarks) values('29Apr250042','050000756591','3496',(select max(to_number(i.premium_rcv_detail_code))+1
from ins_premium_det i),'3496','3496','02', '11000003','00','Request by Mr. Omair Ali 30-Apr-2025');</v>
      </c>
    </row>
    <row r="702" spans="1:8" ht="105" x14ac:dyDescent="0.25">
      <c r="A702" t="s">
        <v>1280</v>
      </c>
      <c r="B702" s="1" t="str">
        <f>VLOOKUP(A702,Sheet5!B:C,2,0)</f>
        <v>050000756594</v>
      </c>
      <c r="C702" s="13">
        <v>2572</v>
      </c>
      <c r="D702" s="22">
        <f t="shared" si="41"/>
        <v>2572</v>
      </c>
      <c r="E702" s="21" t="s">
        <v>5912</v>
      </c>
      <c r="F702" s="23" t="str">
        <f t="shared" si="40"/>
        <v>insert into ins_premium_det (premium_rcv_code,assorted_code, rec_amount,premium_rcv_detail_code,remaining_amt, payrec, mode_code,coinsurance_code,class_cd,it_remarks) values</v>
      </c>
      <c r="G702" s="24" t="str">
        <f t="shared" si="42"/>
        <v>('29Apr250042','050000756594','2572',(select max(to_number(i.premium_rcv_detail_code))+1
from ins_premium_det i),'2572','2572','02', '11000003','00','Request by Mr. Omair Ali 30-Apr-2025');</v>
      </c>
      <c r="H702" s="25" t="str">
        <f t="shared" si="43"/>
        <v>insert into ins_premium_det (premium_rcv_code,assorted_code, rec_amount,premium_rcv_detail_code,remaining_amt, payrec, mode_code,coinsurance_code,class_cd,it_remarks) values('29Apr250042','050000756594','2572',(select max(to_number(i.premium_rcv_detail_code))+1
from ins_premium_det i),'2572','2572','02', '11000003','00','Request by Mr. Omair Ali 30-Apr-2025');</v>
      </c>
    </row>
    <row r="703" spans="1:8" ht="105" x14ac:dyDescent="0.25">
      <c r="A703" t="s">
        <v>1304</v>
      </c>
      <c r="B703" s="1" t="str">
        <f>VLOOKUP(A703,Sheet5!B:C,2,0)</f>
        <v>050000756598</v>
      </c>
      <c r="C703" s="13">
        <v>5022</v>
      </c>
      <c r="D703" s="22">
        <f t="shared" si="41"/>
        <v>5022</v>
      </c>
      <c r="E703" s="21" t="s">
        <v>5912</v>
      </c>
      <c r="F703" s="23" t="str">
        <f t="shared" si="40"/>
        <v>insert into ins_premium_det (premium_rcv_code,assorted_code, rec_amount,premium_rcv_detail_code,remaining_amt, payrec, mode_code,coinsurance_code,class_cd,it_remarks) values</v>
      </c>
      <c r="G703" s="24" t="str">
        <f t="shared" si="42"/>
        <v>('29Apr250042','050000756598','5022',(select max(to_number(i.premium_rcv_detail_code))+1
from ins_premium_det i),'5022','5022','02', '11000003','00','Request by Mr. Omair Ali 30-Apr-2025');</v>
      </c>
      <c r="H703" s="25" t="str">
        <f t="shared" si="43"/>
        <v>insert into ins_premium_det (premium_rcv_code,assorted_code, rec_amount,premium_rcv_detail_code,remaining_amt, payrec, mode_code,coinsurance_code,class_cd,it_remarks) values('29Apr250042','050000756598','5022',(select max(to_number(i.premium_rcv_detail_code))+1
from ins_premium_det i),'5022','5022','02', '11000003','00','Request by Mr. Omair Ali 30-Apr-2025');</v>
      </c>
    </row>
    <row r="704" spans="1:8" ht="105" x14ac:dyDescent="0.25">
      <c r="A704" t="s">
        <v>1433</v>
      </c>
      <c r="B704" s="1" t="str">
        <f>VLOOKUP(A704,Sheet5!B:C,2,0)</f>
        <v>050000756601</v>
      </c>
      <c r="C704" s="13">
        <v>2682</v>
      </c>
      <c r="D704" s="22">
        <f t="shared" si="41"/>
        <v>2682</v>
      </c>
      <c r="E704" s="21" t="s">
        <v>5912</v>
      </c>
      <c r="F704" s="23" t="str">
        <f t="shared" si="40"/>
        <v>insert into ins_premium_det (premium_rcv_code,assorted_code, rec_amount,premium_rcv_detail_code,remaining_amt, payrec, mode_code,coinsurance_code,class_cd,it_remarks) values</v>
      </c>
      <c r="G704" s="24" t="str">
        <f t="shared" si="42"/>
        <v>('29Apr250042','050000756601','2682',(select max(to_number(i.premium_rcv_detail_code))+1
from ins_premium_det i),'2682','2682','02', '11000003','00','Request by Mr. Omair Ali 30-Apr-2025');</v>
      </c>
      <c r="H704" s="25" t="str">
        <f t="shared" si="43"/>
        <v>insert into ins_premium_det (premium_rcv_code,assorted_code, rec_amount,premium_rcv_detail_code,remaining_amt, payrec, mode_code,coinsurance_code,class_cd,it_remarks) values('29Apr250042','050000756601','2682',(select max(to_number(i.premium_rcv_detail_code))+1
from ins_premium_det i),'2682','2682','02', '11000003','00','Request by Mr. Omair Ali 30-Apr-2025');</v>
      </c>
    </row>
    <row r="705" spans="1:8" ht="105" x14ac:dyDescent="0.25">
      <c r="A705" t="s">
        <v>1827</v>
      </c>
      <c r="B705" s="1" t="str">
        <f>VLOOKUP(A705,Sheet5!B:C,2,0)</f>
        <v>050000756610</v>
      </c>
      <c r="C705" s="13">
        <v>442</v>
      </c>
      <c r="D705" s="22">
        <f t="shared" si="41"/>
        <v>442</v>
      </c>
      <c r="E705" s="21" t="s">
        <v>5912</v>
      </c>
      <c r="F705" s="23" t="str">
        <f t="shared" si="40"/>
        <v>insert into ins_premium_det (premium_rcv_code,assorted_code, rec_amount,premium_rcv_detail_code,remaining_amt, payrec, mode_code,coinsurance_code,class_cd,it_remarks) values</v>
      </c>
      <c r="G705" s="24" t="str">
        <f t="shared" si="42"/>
        <v>('29Apr250042','050000756610','442',(select max(to_number(i.premium_rcv_detail_code))+1
from ins_premium_det i),'442','442','02', '11000003','00','Request by Mr. Omair Ali 30-Apr-2025');</v>
      </c>
      <c r="H705" s="25" t="str">
        <f t="shared" si="43"/>
        <v>insert into ins_premium_det (premium_rcv_code,assorted_code, rec_amount,premium_rcv_detail_code,remaining_amt, payrec, mode_code,coinsurance_code,class_cd,it_remarks) values('29Apr250042','050000756610','442',(select max(to_number(i.premium_rcv_detail_code))+1
from ins_premium_det i),'442','442','02', '11000003','00','Request by Mr. Omair Ali 30-Apr-2025');</v>
      </c>
    </row>
    <row r="706" spans="1:8" ht="105" x14ac:dyDescent="0.25">
      <c r="A706" t="s">
        <v>306</v>
      </c>
      <c r="B706" s="1" t="str">
        <f>VLOOKUP(A706,Sheet5!B:C,2,0)</f>
        <v>050000756699</v>
      </c>
      <c r="C706" s="13">
        <v>1841</v>
      </c>
      <c r="D706" s="22">
        <f t="shared" si="41"/>
        <v>1841</v>
      </c>
      <c r="E706" s="21" t="s">
        <v>5912</v>
      </c>
      <c r="F706" s="23" t="str">
        <f t="shared" ref="F706:F769" si="4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06" s="24" t="str">
        <f t="shared" si="42"/>
        <v>('29Apr250042','050000756699','1841',(select max(to_number(i.premium_rcv_detail_code))+1
from ins_premium_det i),'1841','1841','02', '11000003','00','Request by Mr. Omair Ali 30-Apr-2025');</v>
      </c>
      <c r="H706" s="25" t="str">
        <f t="shared" si="43"/>
        <v>insert into ins_premium_det (premium_rcv_code,assorted_code, rec_amount,premium_rcv_detail_code,remaining_amt, payrec, mode_code,coinsurance_code,class_cd,it_remarks) values('29Apr250042','050000756699','1841',(select max(to_number(i.premium_rcv_detail_code))+1
from ins_premium_det i),'1841','1841','02', '11000003','00','Request by Mr. Omair Ali 30-Apr-2025');</v>
      </c>
    </row>
    <row r="707" spans="1:8" ht="105" x14ac:dyDescent="0.25">
      <c r="A707" t="s">
        <v>558</v>
      </c>
      <c r="B707" s="1" t="str">
        <f>VLOOKUP(A707,Sheet5!B:C,2,0)</f>
        <v>050000756701</v>
      </c>
      <c r="C707" s="13">
        <v>4184</v>
      </c>
      <c r="D707" s="22">
        <f t="shared" ref="D707:D770" si="45">ROUND(C707,0)</f>
        <v>4184</v>
      </c>
      <c r="E707" s="21" t="s">
        <v>5912</v>
      </c>
      <c r="F707" s="23" t="str">
        <f t="shared" si="44"/>
        <v>insert into ins_premium_det (premium_rcv_code,assorted_code, rec_amount,premium_rcv_detail_code,remaining_amt, payrec, mode_code,coinsurance_code,class_cd,it_remarks) values</v>
      </c>
      <c r="G707" s="24" t="str">
        <f t="shared" ref="G707:G770" si="46">"('"&amp;E707&amp;"','"&amp;B707&amp;"','"&amp;D707&amp;"',(select max(to_number(i.premium_rcv_detail_code))+1
from ins_premium_det i),'"&amp;D707&amp;"','"&amp;D707&amp;"','02', '11000003','00','Request by Mr. Omair Ali 30-Apr-2025');"</f>
        <v>('29Apr250042','050000756701','4184',(select max(to_number(i.premium_rcv_detail_code))+1
from ins_premium_det i),'4184','4184','02', '11000003','00','Request by Mr. Omair Ali 30-Apr-2025');</v>
      </c>
      <c r="H707" s="25" t="str">
        <f t="shared" ref="H707:H770" si="47">F707&amp;G707</f>
        <v>insert into ins_premium_det (premium_rcv_code,assorted_code, rec_amount,premium_rcv_detail_code,remaining_amt, payrec, mode_code,coinsurance_code,class_cd,it_remarks) values('29Apr250042','050000756701','4184',(select max(to_number(i.premium_rcv_detail_code))+1
from ins_premium_det i),'4184','4184','02', '11000003','00','Request by Mr. Omair Ali 30-Apr-2025');</v>
      </c>
    </row>
    <row r="708" spans="1:8" ht="105" x14ac:dyDescent="0.25">
      <c r="A708" t="s">
        <v>326</v>
      </c>
      <c r="B708" s="1" t="str">
        <f>VLOOKUP(A708,Sheet5!B:C,2,0)</f>
        <v>050000758010</v>
      </c>
      <c r="C708" s="13">
        <v>4797</v>
      </c>
      <c r="D708" s="22">
        <f t="shared" si="45"/>
        <v>4797</v>
      </c>
      <c r="E708" s="21" t="s">
        <v>5912</v>
      </c>
      <c r="F708" s="23" t="str">
        <f t="shared" si="44"/>
        <v>insert into ins_premium_det (premium_rcv_code,assorted_code, rec_amount,premium_rcv_detail_code,remaining_amt, payrec, mode_code,coinsurance_code,class_cd,it_remarks) values</v>
      </c>
      <c r="G708" s="24" t="str">
        <f t="shared" si="46"/>
        <v>('29Apr250042','050000758010','4797',(select max(to_number(i.premium_rcv_detail_code))+1
from ins_premium_det i),'4797','4797','02', '11000003','00','Request by Mr. Omair Ali 30-Apr-2025');</v>
      </c>
      <c r="H708" s="25" t="str">
        <f t="shared" si="47"/>
        <v>insert into ins_premium_det (premium_rcv_code,assorted_code, rec_amount,premium_rcv_detail_code,remaining_amt, payrec, mode_code,coinsurance_code,class_cd,it_remarks) values('29Apr250042','050000758010','4797',(select max(to_number(i.premium_rcv_detail_code))+1
from ins_premium_det i),'4797','4797','02', '11000003','00','Request by Mr. Omair Ali 30-Apr-2025');</v>
      </c>
    </row>
    <row r="709" spans="1:8" ht="105" x14ac:dyDescent="0.25">
      <c r="A709" t="s">
        <v>333</v>
      </c>
      <c r="B709" s="1" t="str">
        <f>VLOOKUP(A709,Sheet5!B:C,2,0)</f>
        <v>050000758015</v>
      </c>
      <c r="C709" s="13">
        <v>8116</v>
      </c>
      <c r="D709" s="22">
        <f t="shared" si="45"/>
        <v>8116</v>
      </c>
      <c r="E709" s="21" t="s">
        <v>5912</v>
      </c>
      <c r="F709" s="23" t="str">
        <f t="shared" si="44"/>
        <v>insert into ins_premium_det (premium_rcv_code,assorted_code, rec_amount,premium_rcv_detail_code,remaining_amt, payrec, mode_code,coinsurance_code,class_cd,it_remarks) values</v>
      </c>
      <c r="G709" s="24" t="str">
        <f t="shared" si="46"/>
        <v>('29Apr250042','050000758015','8116',(select max(to_number(i.premium_rcv_detail_code))+1
from ins_premium_det i),'8116','8116','02', '11000003','00','Request by Mr. Omair Ali 30-Apr-2025');</v>
      </c>
      <c r="H709" s="25" t="str">
        <f t="shared" si="47"/>
        <v>insert into ins_premium_det (premium_rcv_code,assorted_code, rec_amount,premium_rcv_detail_code,remaining_amt, payrec, mode_code,coinsurance_code,class_cd,it_remarks) values('29Apr250042','050000758015','8116',(select max(to_number(i.premium_rcv_detail_code))+1
from ins_premium_det i),'8116','8116','02', '11000003','00','Request by Mr. Omair Ali 30-Apr-2025');</v>
      </c>
    </row>
    <row r="710" spans="1:8" ht="105" x14ac:dyDescent="0.25">
      <c r="A710" t="s">
        <v>344</v>
      </c>
      <c r="B710" s="1" t="str">
        <f>VLOOKUP(A710,Sheet5!B:C,2,0)</f>
        <v>050000758016</v>
      </c>
      <c r="C710" s="13">
        <v>1438</v>
      </c>
      <c r="D710" s="22">
        <f t="shared" si="45"/>
        <v>1438</v>
      </c>
      <c r="E710" s="21" t="s">
        <v>5912</v>
      </c>
      <c r="F710" s="23" t="str">
        <f t="shared" si="44"/>
        <v>insert into ins_premium_det (premium_rcv_code,assorted_code, rec_amount,premium_rcv_detail_code,remaining_amt, payrec, mode_code,coinsurance_code,class_cd,it_remarks) values</v>
      </c>
      <c r="G710" s="24" t="str">
        <f t="shared" si="46"/>
        <v>('29Apr250042','050000758016','1438',(select max(to_number(i.premium_rcv_detail_code))+1
from ins_premium_det i),'1438','1438','02', '11000003','00','Request by Mr. Omair Ali 30-Apr-2025');</v>
      </c>
      <c r="H710" s="25" t="str">
        <f t="shared" si="47"/>
        <v>insert into ins_premium_det (premium_rcv_code,assorted_code, rec_amount,premium_rcv_detail_code,remaining_amt, payrec, mode_code,coinsurance_code,class_cd,it_remarks) values('29Apr250042','050000758016','1438',(select max(to_number(i.premium_rcv_detail_code))+1
from ins_premium_det i),'1438','1438','02', '11000003','00','Request by Mr. Omair Ali 30-Apr-2025');</v>
      </c>
    </row>
    <row r="711" spans="1:8" ht="105" x14ac:dyDescent="0.25">
      <c r="A711" t="s">
        <v>591</v>
      </c>
      <c r="B711" s="1" t="str">
        <f>VLOOKUP(A711,Sheet5!B:C,2,0)</f>
        <v>050000758022</v>
      </c>
      <c r="C711" s="13">
        <v>83</v>
      </c>
      <c r="D711" s="22">
        <f t="shared" si="45"/>
        <v>83</v>
      </c>
      <c r="E711" s="21" t="s">
        <v>5912</v>
      </c>
      <c r="F711" s="23" t="str">
        <f t="shared" si="44"/>
        <v>insert into ins_premium_det (premium_rcv_code,assorted_code, rec_amount,premium_rcv_detail_code,remaining_amt, payrec, mode_code,coinsurance_code,class_cd,it_remarks) values</v>
      </c>
      <c r="G711" s="24" t="str">
        <f t="shared" si="46"/>
        <v>('29Apr250042','050000758022','83',(select max(to_number(i.premium_rcv_detail_code))+1
from ins_premium_det i),'83','83','02', '11000003','00','Request by Mr. Omair Ali 30-Apr-2025');</v>
      </c>
      <c r="H711" s="25" t="str">
        <f t="shared" si="47"/>
        <v>insert into ins_premium_det (premium_rcv_code,assorted_code, rec_amount,premium_rcv_detail_code,remaining_amt, payrec, mode_code,coinsurance_code,class_cd,it_remarks) values('29Apr250042','050000758022','83',(select max(to_number(i.premium_rcv_detail_code))+1
from ins_premium_det i),'83','83','02', '11000003','00','Request by Mr. Omair Ali 30-Apr-2025');</v>
      </c>
    </row>
    <row r="712" spans="1:8" ht="105" x14ac:dyDescent="0.25">
      <c r="A712" t="s">
        <v>970</v>
      </c>
      <c r="B712" s="1" t="str">
        <f>VLOOKUP(A712,Sheet5!B:C,2,0)</f>
        <v>050000758028</v>
      </c>
      <c r="C712" s="13">
        <v>3957</v>
      </c>
      <c r="D712" s="22">
        <f t="shared" si="45"/>
        <v>3957</v>
      </c>
      <c r="E712" s="21" t="s">
        <v>5912</v>
      </c>
      <c r="F712" s="23" t="str">
        <f t="shared" si="44"/>
        <v>insert into ins_premium_det (premium_rcv_code,assorted_code, rec_amount,premium_rcv_detail_code,remaining_amt, payrec, mode_code,coinsurance_code,class_cd,it_remarks) values</v>
      </c>
      <c r="G712" s="24" t="str">
        <f t="shared" si="46"/>
        <v>('29Apr250042','050000758028','3957',(select max(to_number(i.premium_rcv_detail_code))+1
from ins_premium_det i),'3957','3957','02', '11000003','00','Request by Mr. Omair Ali 30-Apr-2025');</v>
      </c>
      <c r="H712" s="25" t="str">
        <f t="shared" si="47"/>
        <v>insert into ins_premium_det (premium_rcv_code,assorted_code, rec_amount,premium_rcv_detail_code,remaining_amt, payrec, mode_code,coinsurance_code,class_cd,it_remarks) values('29Apr250042','050000758028','3957',(select max(to_number(i.premium_rcv_detail_code))+1
from ins_premium_det i),'3957','3957','02', '11000003','00','Request by Mr. Omair Ali 30-Apr-2025');</v>
      </c>
    </row>
    <row r="713" spans="1:8" ht="105" x14ac:dyDescent="0.25">
      <c r="A713" t="s">
        <v>1066</v>
      </c>
      <c r="B713" s="1" t="str">
        <f>VLOOKUP(A713,Sheet5!B:C,2,0)</f>
        <v>050000758030</v>
      </c>
      <c r="C713" s="13">
        <v>6299</v>
      </c>
      <c r="D713" s="22">
        <f t="shared" si="45"/>
        <v>6299</v>
      </c>
      <c r="E713" s="21" t="s">
        <v>5912</v>
      </c>
      <c r="F713" s="23" t="str">
        <f t="shared" si="44"/>
        <v>insert into ins_premium_det (premium_rcv_code,assorted_code, rec_amount,premium_rcv_detail_code,remaining_amt, payrec, mode_code,coinsurance_code,class_cd,it_remarks) values</v>
      </c>
      <c r="G713" s="24" t="str">
        <f t="shared" si="46"/>
        <v>('29Apr250042','050000758030','6299',(select max(to_number(i.premium_rcv_detail_code))+1
from ins_premium_det i),'6299','6299','02', '11000003','00','Request by Mr. Omair Ali 30-Apr-2025');</v>
      </c>
      <c r="H713" s="25" t="str">
        <f t="shared" si="47"/>
        <v>insert into ins_premium_det (premium_rcv_code,assorted_code, rec_amount,premium_rcv_detail_code,remaining_amt, payrec, mode_code,coinsurance_code,class_cd,it_remarks) values('29Apr250042','050000758030','6299',(select max(to_number(i.premium_rcv_detail_code))+1
from ins_premium_det i),'6299','6299','02', '11000003','00','Request by Mr. Omair Ali 30-Apr-2025');</v>
      </c>
    </row>
    <row r="714" spans="1:8" ht="105" x14ac:dyDescent="0.25">
      <c r="A714" t="s">
        <v>1291</v>
      </c>
      <c r="B714" s="1" t="str">
        <f>VLOOKUP(A714,Sheet5!B:C,2,0)</f>
        <v>050000758033</v>
      </c>
      <c r="C714" s="13">
        <v>1214</v>
      </c>
      <c r="D714" s="22">
        <f t="shared" si="45"/>
        <v>1214</v>
      </c>
      <c r="E714" s="21" t="s">
        <v>5912</v>
      </c>
      <c r="F714" s="23" t="str">
        <f t="shared" si="44"/>
        <v>insert into ins_premium_det (premium_rcv_code,assorted_code, rec_amount,premium_rcv_detail_code,remaining_amt, payrec, mode_code,coinsurance_code,class_cd,it_remarks) values</v>
      </c>
      <c r="G714" s="24" t="str">
        <f t="shared" si="46"/>
        <v>('29Apr250042','050000758033','1214',(select max(to_number(i.premium_rcv_detail_code))+1
from ins_premium_det i),'1214','1214','02', '11000003','00','Request by Mr. Omair Ali 30-Apr-2025');</v>
      </c>
      <c r="H714" s="25" t="str">
        <f t="shared" si="47"/>
        <v>insert into ins_premium_det (premium_rcv_code,assorted_code, rec_amount,premium_rcv_detail_code,remaining_amt, payrec, mode_code,coinsurance_code,class_cd,it_remarks) values('29Apr250042','050000758033','1214',(select max(to_number(i.premium_rcv_detail_code))+1
from ins_premium_det i),'1214','1214','02', '11000003','00','Request by Mr. Omair Ali 30-Apr-2025');</v>
      </c>
    </row>
    <row r="715" spans="1:8" ht="105" x14ac:dyDescent="0.25">
      <c r="A715" t="s">
        <v>617</v>
      </c>
      <c r="B715" s="1" t="str">
        <f>VLOOKUP(A715,Sheet5!B:C,2,0)</f>
        <v>050000758899</v>
      </c>
      <c r="C715" s="13">
        <v>3473</v>
      </c>
      <c r="D715" s="22">
        <f t="shared" si="45"/>
        <v>3473</v>
      </c>
      <c r="E715" s="21" t="s">
        <v>5912</v>
      </c>
      <c r="F715" s="23" t="str">
        <f t="shared" si="44"/>
        <v>insert into ins_premium_det (premium_rcv_code,assorted_code, rec_amount,premium_rcv_detail_code,remaining_amt, payrec, mode_code,coinsurance_code,class_cd,it_remarks) values</v>
      </c>
      <c r="G715" s="24" t="str">
        <f t="shared" si="46"/>
        <v>('29Apr250042','050000758899','3473',(select max(to_number(i.premium_rcv_detail_code))+1
from ins_premium_det i),'3473','3473','02', '11000003','00','Request by Mr. Omair Ali 30-Apr-2025');</v>
      </c>
      <c r="H715" s="25" t="str">
        <f t="shared" si="47"/>
        <v>insert into ins_premium_det (premium_rcv_code,assorted_code, rec_amount,premium_rcv_detail_code,remaining_amt, payrec, mode_code,coinsurance_code,class_cd,it_remarks) values('29Apr250042','050000758899','3473',(select max(to_number(i.premium_rcv_detail_code))+1
from ins_premium_det i),'3473','3473','02', '11000003','00','Request by Mr. Omair Ali 30-Apr-2025');</v>
      </c>
    </row>
    <row r="716" spans="1:8" ht="105" x14ac:dyDescent="0.25">
      <c r="A716" t="s">
        <v>649</v>
      </c>
      <c r="B716" s="1" t="str">
        <f>VLOOKUP(A716,Sheet5!B:C,2,0)</f>
        <v>050000758901</v>
      </c>
      <c r="C716" s="13">
        <v>1431</v>
      </c>
      <c r="D716" s="22">
        <f t="shared" si="45"/>
        <v>1431</v>
      </c>
      <c r="E716" s="21" t="s">
        <v>5912</v>
      </c>
      <c r="F716" s="23" t="str">
        <f t="shared" si="44"/>
        <v>insert into ins_premium_det (premium_rcv_code,assorted_code, rec_amount,premium_rcv_detail_code,remaining_amt, payrec, mode_code,coinsurance_code,class_cd,it_remarks) values</v>
      </c>
      <c r="G716" s="24" t="str">
        <f t="shared" si="46"/>
        <v>('29Apr250042','050000758901','1431',(select max(to_number(i.premium_rcv_detail_code))+1
from ins_premium_det i),'1431','1431','02', '11000003','00','Request by Mr. Omair Ali 30-Apr-2025');</v>
      </c>
      <c r="H716" s="25" t="str">
        <f t="shared" si="47"/>
        <v>insert into ins_premium_det (premium_rcv_code,assorted_code, rec_amount,premium_rcv_detail_code,remaining_amt, payrec, mode_code,coinsurance_code,class_cd,it_remarks) values('29Apr250042','050000758901','1431',(select max(to_number(i.premium_rcv_detail_code))+1
from ins_premium_det i),'1431','1431','02', '11000003','00','Request by Mr. Omair Ali 30-Apr-2025');</v>
      </c>
    </row>
    <row r="717" spans="1:8" ht="105" x14ac:dyDescent="0.25">
      <c r="A717" t="s">
        <v>942</v>
      </c>
      <c r="B717" s="1" t="str">
        <f>VLOOKUP(A717,Sheet5!B:C,2,0)</f>
        <v>050000758903</v>
      </c>
      <c r="C717" s="13">
        <v>4375</v>
      </c>
      <c r="D717" s="22">
        <f t="shared" si="45"/>
        <v>4375</v>
      </c>
      <c r="E717" s="21" t="s">
        <v>5912</v>
      </c>
      <c r="F717" s="23" t="str">
        <f t="shared" si="44"/>
        <v>insert into ins_premium_det (premium_rcv_code,assorted_code, rec_amount,premium_rcv_detail_code,remaining_amt, payrec, mode_code,coinsurance_code,class_cd,it_remarks) values</v>
      </c>
      <c r="G717" s="24" t="str">
        <f t="shared" si="46"/>
        <v>('29Apr250042','050000758903','4375',(select max(to_number(i.premium_rcv_detail_code))+1
from ins_premium_det i),'4375','4375','02', '11000003','00','Request by Mr. Omair Ali 30-Apr-2025');</v>
      </c>
      <c r="H717" s="25" t="str">
        <f t="shared" si="47"/>
        <v>insert into ins_premium_det (premium_rcv_code,assorted_code, rec_amount,premium_rcv_detail_code,remaining_amt, payrec, mode_code,coinsurance_code,class_cd,it_remarks) values('29Apr250042','050000758903','4375',(select max(to_number(i.premium_rcv_detail_code))+1
from ins_premium_det i),'4375','4375','02', '11000003','00','Request by Mr. Omair Ali 30-Apr-2025');</v>
      </c>
    </row>
    <row r="718" spans="1:8" ht="105" x14ac:dyDescent="0.25">
      <c r="A718" t="s">
        <v>448</v>
      </c>
      <c r="B718" s="1" t="str">
        <f>VLOOKUP(A718,Sheet5!B:C,2,0)</f>
        <v>050000758968</v>
      </c>
      <c r="C718" s="13">
        <v>5142</v>
      </c>
      <c r="D718" s="22">
        <f t="shared" si="45"/>
        <v>5142</v>
      </c>
      <c r="E718" s="21" t="s">
        <v>5912</v>
      </c>
      <c r="F718" s="23" t="str">
        <f t="shared" si="44"/>
        <v>insert into ins_premium_det (premium_rcv_code,assorted_code, rec_amount,premium_rcv_detail_code,remaining_amt, payrec, mode_code,coinsurance_code,class_cd,it_remarks) values</v>
      </c>
      <c r="G718" s="24" t="str">
        <f t="shared" si="46"/>
        <v>('29Apr250042','050000758968','5142',(select max(to_number(i.premium_rcv_detail_code))+1
from ins_premium_det i),'5142','5142','02', '11000003','00','Request by Mr. Omair Ali 30-Apr-2025');</v>
      </c>
      <c r="H718" s="25" t="str">
        <f t="shared" si="47"/>
        <v>insert into ins_premium_det (premium_rcv_code,assorted_code, rec_amount,premium_rcv_detail_code,remaining_amt, payrec, mode_code,coinsurance_code,class_cd,it_remarks) values('29Apr250042','050000758968','5142',(select max(to_number(i.premium_rcv_detail_code))+1
from ins_premium_det i),'5142','5142','02', '11000003','00','Request by Mr. Omair Ali 30-Apr-2025');</v>
      </c>
    </row>
    <row r="719" spans="1:8" ht="105" x14ac:dyDescent="0.25">
      <c r="A719" t="s">
        <v>533</v>
      </c>
      <c r="B719" s="1" t="str">
        <f>VLOOKUP(A719,Sheet5!B:C,2,0)</f>
        <v>050000758969</v>
      </c>
      <c r="C719" s="13">
        <v>934</v>
      </c>
      <c r="D719" s="22">
        <f t="shared" si="45"/>
        <v>934</v>
      </c>
      <c r="E719" s="21" t="s">
        <v>5912</v>
      </c>
      <c r="F719" s="23" t="str">
        <f t="shared" si="44"/>
        <v>insert into ins_premium_det (premium_rcv_code,assorted_code, rec_amount,premium_rcv_detail_code,remaining_amt, payrec, mode_code,coinsurance_code,class_cd,it_remarks) values</v>
      </c>
      <c r="G719" s="24" t="str">
        <f t="shared" si="46"/>
        <v>('29Apr250042','050000758969','934',(select max(to_number(i.premium_rcv_detail_code))+1
from ins_premium_det i),'934','934','02', '11000003','00','Request by Mr. Omair Ali 30-Apr-2025');</v>
      </c>
      <c r="H719" s="25" t="str">
        <f t="shared" si="47"/>
        <v>insert into ins_premium_det (premium_rcv_code,assorted_code, rec_amount,premium_rcv_detail_code,remaining_amt, payrec, mode_code,coinsurance_code,class_cd,it_remarks) values('29Apr250042','050000758969','934',(select max(to_number(i.premium_rcv_detail_code))+1
from ins_premium_det i),'934','934','02', '11000003','00','Request by Mr. Omair Ali 30-Apr-2025');</v>
      </c>
    </row>
    <row r="720" spans="1:8" ht="105" x14ac:dyDescent="0.25">
      <c r="A720" t="s">
        <v>631</v>
      </c>
      <c r="B720" s="1" t="str">
        <f>VLOOKUP(A720,Sheet5!B:C,2,0)</f>
        <v>050000758970</v>
      </c>
      <c r="C720" s="13">
        <v>3553</v>
      </c>
      <c r="D720" s="22">
        <f t="shared" si="45"/>
        <v>3553</v>
      </c>
      <c r="E720" s="21" t="s">
        <v>5912</v>
      </c>
      <c r="F720" s="23" t="str">
        <f t="shared" si="44"/>
        <v>insert into ins_premium_det (premium_rcv_code,assorted_code, rec_amount,premium_rcv_detail_code,remaining_amt, payrec, mode_code,coinsurance_code,class_cd,it_remarks) values</v>
      </c>
      <c r="G720" s="24" t="str">
        <f t="shared" si="46"/>
        <v>('29Apr250042','050000758970','3553',(select max(to_number(i.premium_rcv_detail_code))+1
from ins_premium_det i),'3553','3553','02', '11000003','00','Request by Mr. Omair Ali 30-Apr-2025');</v>
      </c>
      <c r="H720" s="25" t="str">
        <f t="shared" si="47"/>
        <v>insert into ins_premium_det (premium_rcv_code,assorted_code, rec_amount,premium_rcv_detail_code,remaining_amt, payrec, mode_code,coinsurance_code,class_cd,it_remarks) values('29Apr250042','050000758970','3553',(select max(to_number(i.premium_rcv_detail_code))+1
from ins_premium_det i),'3553','3553','02', '11000003','00','Request by Mr. Omair Ali 30-Apr-2025');</v>
      </c>
    </row>
    <row r="721" spans="1:8" ht="105" x14ac:dyDescent="0.25">
      <c r="A721" t="s">
        <v>823</v>
      </c>
      <c r="B721" s="1" t="str">
        <f>VLOOKUP(A721,Sheet5!B:C,2,0)</f>
        <v>050000758974</v>
      </c>
      <c r="C721" s="13">
        <v>1274</v>
      </c>
      <c r="D721" s="22">
        <f t="shared" si="45"/>
        <v>1274</v>
      </c>
      <c r="E721" s="21" t="s">
        <v>5912</v>
      </c>
      <c r="F721" s="23" t="str">
        <f t="shared" si="44"/>
        <v>insert into ins_premium_det (premium_rcv_code,assorted_code, rec_amount,premium_rcv_detail_code,remaining_amt, payrec, mode_code,coinsurance_code,class_cd,it_remarks) values</v>
      </c>
      <c r="G721" s="24" t="str">
        <f t="shared" si="46"/>
        <v>('29Apr250042','050000758974','1274',(select max(to_number(i.premium_rcv_detail_code))+1
from ins_premium_det i),'1274','1274','02', '11000003','00','Request by Mr. Omair Ali 30-Apr-2025');</v>
      </c>
      <c r="H721" s="25" t="str">
        <f t="shared" si="47"/>
        <v>insert into ins_premium_det (premium_rcv_code,assorted_code, rec_amount,premium_rcv_detail_code,remaining_amt, payrec, mode_code,coinsurance_code,class_cd,it_remarks) values('29Apr250042','050000758974','1274',(select max(to_number(i.premium_rcv_detail_code))+1
from ins_premium_det i),'1274','1274','02', '11000003','00','Request by Mr. Omair Ali 30-Apr-2025');</v>
      </c>
    </row>
    <row r="722" spans="1:8" ht="105" x14ac:dyDescent="0.25">
      <c r="A722" t="s">
        <v>1077</v>
      </c>
      <c r="B722" s="1" t="str">
        <f>VLOOKUP(A722,Sheet5!B:C,2,0)</f>
        <v>050000758977</v>
      </c>
      <c r="C722" s="13">
        <v>6731</v>
      </c>
      <c r="D722" s="22">
        <f t="shared" si="45"/>
        <v>6731</v>
      </c>
      <c r="E722" s="21" t="s">
        <v>5912</v>
      </c>
      <c r="F722" s="23" t="str">
        <f t="shared" si="44"/>
        <v>insert into ins_premium_det (premium_rcv_code,assorted_code, rec_amount,premium_rcv_detail_code,remaining_amt, payrec, mode_code,coinsurance_code,class_cd,it_remarks) values</v>
      </c>
      <c r="G722" s="24" t="str">
        <f t="shared" si="46"/>
        <v>('29Apr250042','050000758977','6731',(select max(to_number(i.premium_rcv_detail_code))+1
from ins_premium_det i),'6731','6731','02', '11000003','00','Request by Mr. Omair Ali 30-Apr-2025');</v>
      </c>
      <c r="H722" s="25" t="str">
        <f t="shared" si="47"/>
        <v>insert into ins_premium_det (premium_rcv_code,assorted_code, rec_amount,premium_rcv_detail_code,remaining_amt, payrec, mode_code,coinsurance_code,class_cd,it_remarks) values('29Apr250042','050000758977','6731',(select max(to_number(i.premium_rcv_detail_code))+1
from ins_premium_det i),'6731','6731','02', '11000003','00','Request by Mr. Omair Ali 30-Apr-2025');</v>
      </c>
    </row>
    <row r="723" spans="1:8" ht="105" x14ac:dyDescent="0.25">
      <c r="A723" t="s">
        <v>1468</v>
      </c>
      <c r="B723" s="1" t="str">
        <f>VLOOKUP(A723,Sheet5!B:C,2,0)</f>
        <v>050000758981</v>
      </c>
      <c r="C723" s="13">
        <v>8119</v>
      </c>
      <c r="D723" s="22">
        <f t="shared" si="45"/>
        <v>8119</v>
      </c>
      <c r="E723" s="21" t="s">
        <v>5912</v>
      </c>
      <c r="F723" s="23" t="str">
        <f t="shared" si="44"/>
        <v>insert into ins_premium_det (premium_rcv_code,assorted_code, rec_amount,premium_rcv_detail_code,remaining_amt, payrec, mode_code,coinsurance_code,class_cd,it_remarks) values</v>
      </c>
      <c r="G723" s="24" t="str">
        <f t="shared" si="46"/>
        <v>('29Apr250042','050000758981','8119',(select max(to_number(i.premium_rcv_detail_code))+1
from ins_premium_det i),'8119','8119','02', '11000003','00','Request by Mr. Omair Ali 30-Apr-2025');</v>
      </c>
      <c r="H723" s="25" t="str">
        <f t="shared" si="47"/>
        <v>insert into ins_premium_det (premium_rcv_code,assorted_code, rec_amount,premium_rcv_detail_code,remaining_amt, payrec, mode_code,coinsurance_code,class_cd,it_remarks) values('29Apr250042','050000758981','8119',(select max(to_number(i.premium_rcv_detail_code))+1
from ins_premium_det i),'8119','8119','02', '11000003','00','Request by Mr. Omair Ali 30-Apr-2025');</v>
      </c>
    </row>
    <row r="724" spans="1:8" ht="105" x14ac:dyDescent="0.25">
      <c r="A724" t="s">
        <v>1718</v>
      </c>
      <c r="B724" s="1" t="str">
        <f>VLOOKUP(A724,Sheet5!B:C,2,0)</f>
        <v>050000758982</v>
      </c>
      <c r="C724" s="13">
        <v>3453</v>
      </c>
      <c r="D724" s="22">
        <f t="shared" si="45"/>
        <v>3453</v>
      </c>
      <c r="E724" s="21" t="s">
        <v>5912</v>
      </c>
      <c r="F724" s="23" t="str">
        <f t="shared" si="44"/>
        <v>insert into ins_premium_det (premium_rcv_code,assorted_code, rec_amount,premium_rcv_detail_code,remaining_amt, payrec, mode_code,coinsurance_code,class_cd,it_remarks) values</v>
      </c>
      <c r="G724" s="24" t="str">
        <f t="shared" si="46"/>
        <v>('29Apr250042','050000758982','3453',(select max(to_number(i.premium_rcv_detail_code))+1
from ins_premium_det i),'3453','3453','02', '11000003','00','Request by Mr. Omair Ali 30-Apr-2025');</v>
      </c>
      <c r="H724" s="25" t="str">
        <f t="shared" si="47"/>
        <v>insert into ins_premium_det (premium_rcv_code,assorted_code, rec_amount,premium_rcv_detail_code,remaining_amt, payrec, mode_code,coinsurance_code,class_cd,it_remarks) values('29Apr250042','050000758982','3453',(select max(to_number(i.premium_rcv_detail_code))+1
from ins_premium_det i),'3453','3453','02', '11000003','00','Request by Mr. Omair Ali 30-Apr-2025');</v>
      </c>
    </row>
    <row r="725" spans="1:8" ht="105" x14ac:dyDescent="0.25">
      <c r="A725" t="s">
        <v>1323</v>
      </c>
      <c r="B725" s="1" t="str">
        <f>VLOOKUP(A725,Sheet5!B:C,2,0)</f>
        <v>050000759554</v>
      </c>
      <c r="C725" s="13">
        <v>441</v>
      </c>
      <c r="D725" s="22">
        <f t="shared" si="45"/>
        <v>441</v>
      </c>
      <c r="E725" s="21" t="s">
        <v>5912</v>
      </c>
      <c r="F725" s="23" t="str">
        <f t="shared" si="44"/>
        <v>insert into ins_premium_det (premium_rcv_code,assorted_code, rec_amount,premium_rcv_detail_code,remaining_amt, payrec, mode_code,coinsurance_code,class_cd,it_remarks) values</v>
      </c>
      <c r="G725" s="24" t="str">
        <f t="shared" si="46"/>
        <v>('29Apr250042','050000759554','441',(select max(to_number(i.premium_rcv_detail_code))+1
from ins_premium_det i),'441','441','02', '11000003','00','Request by Mr. Omair Ali 30-Apr-2025');</v>
      </c>
      <c r="H725" s="25" t="str">
        <f t="shared" si="47"/>
        <v>insert into ins_premium_det (premium_rcv_code,assorted_code, rec_amount,premium_rcv_detail_code,remaining_amt, payrec, mode_code,coinsurance_code,class_cd,it_remarks) values('29Apr250042','050000759554','441',(select max(to_number(i.premium_rcv_detail_code))+1
from ins_premium_det i),'441','441','02', '11000003','00','Request by Mr. Omair Ali 30-Apr-2025');</v>
      </c>
    </row>
    <row r="726" spans="1:8" ht="105" x14ac:dyDescent="0.25">
      <c r="A726" t="s">
        <v>1837</v>
      </c>
      <c r="B726" s="1" t="str">
        <f>VLOOKUP(A726,Sheet5!B:C,2,0)</f>
        <v>050000759565</v>
      </c>
      <c r="C726" s="13">
        <v>1512</v>
      </c>
      <c r="D726" s="22">
        <f t="shared" si="45"/>
        <v>1512</v>
      </c>
      <c r="E726" s="21" t="s">
        <v>5912</v>
      </c>
      <c r="F726" s="23" t="str">
        <f t="shared" si="44"/>
        <v>insert into ins_premium_det (premium_rcv_code,assorted_code, rec_amount,premium_rcv_detail_code,remaining_amt, payrec, mode_code,coinsurance_code,class_cd,it_remarks) values</v>
      </c>
      <c r="G726" s="24" t="str">
        <f t="shared" si="46"/>
        <v>('29Apr250042','050000759565','1512',(select max(to_number(i.premium_rcv_detail_code))+1
from ins_premium_det i),'1512','1512','02', '11000003','00','Request by Mr. Omair Ali 30-Apr-2025');</v>
      </c>
      <c r="H726" s="25" t="str">
        <f t="shared" si="47"/>
        <v>insert into ins_premium_det (premium_rcv_code,assorted_code, rec_amount,premium_rcv_detail_code,remaining_amt, payrec, mode_code,coinsurance_code,class_cd,it_remarks) values('29Apr250042','050000759565','1512',(select max(to_number(i.premium_rcv_detail_code))+1
from ins_premium_det i),'1512','1512','02', '11000003','00','Request by Mr. Omair Ali 30-Apr-2025');</v>
      </c>
    </row>
    <row r="727" spans="1:8" ht="105" x14ac:dyDescent="0.25">
      <c r="A727" t="s">
        <v>339</v>
      </c>
      <c r="B727" s="1" t="str">
        <f>VLOOKUP(A727,Sheet5!B:C,2,0)</f>
        <v>050000759689</v>
      </c>
      <c r="C727" s="13">
        <v>756</v>
      </c>
      <c r="D727" s="22">
        <f t="shared" si="45"/>
        <v>756</v>
      </c>
      <c r="E727" s="21" t="s">
        <v>5912</v>
      </c>
      <c r="F727" s="23" t="str">
        <f t="shared" si="44"/>
        <v>insert into ins_premium_det (premium_rcv_code,assorted_code, rec_amount,premium_rcv_detail_code,remaining_amt, payrec, mode_code,coinsurance_code,class_cd,it_remarks) values</v>
      </c>
      <c r="G727" s="24" t="str">
        <f t="shared" si="46"/>
        <v>('29Apr250042','050000759689','756',(select max(to_number(i.premium_rcv_detail_code))+1
from ins_premium_det i),'756','756','02', '11000003','00','Request by Mr. Omair Ali 30-Apr-2025');</v>
      </c>
      <c r="H727" s="25" t="str">
        <f t="shared" si="47"/>
        <v>insert into ins_premium_det (premium_rcv_code,assorted_code, rec_amount,premium_rcv_detail_code,remaining_amt, payrec, mode_code,coinsurance_code,class_cd,it_remarks) values('29Apr250042','050000759689','756',(select max(to_number(i.premium_rcv_detail_code))+1
from ins_premium_det i),'756','756','02', '11000003','00','Request by Mr. Omair Ali 30-Apr-2025');</v>
      </c>
    </row>
    <row r="728" spans="1:8" ht="105" x14ac:dyDescent="0.25">
      <c r="A728" t="s">
        <v>955</v>
      </c>
      <c r="B728" s="1" t="str">
        <f>VLOOKUP(A728,Sheet5!B:C,2,0)</f>
        <v>050000759693</v>
      </c>
      <c r="C728" s="13">
        <v>4137</v>
      </c>
      <c r="D728" s="22">
        <f t="shared" si="45"/>
        <v>4137</v>
      </c>
      <c r="E728" s="21" t="s">
        <v>5912</v>
      </c>
      <c r="F728" s="23" t="str">
        <f t="shared" si="44"/>
        <v>insert into ins_premium_det (premium_rcv_code,assorted_code, rec_amount,premium_rcv_detail_code,remaining_amt, payrec, mode_code,coinsurance_code,class_cd,it_remarks) values</v>
      </c>
      <c r="G728" s="24" t="str">
        <f t="shared" si="46"/>
        <v>('29Apr250042','050000759693','4137',(select max(to_number(i.premium_rcv_detail_code))+1
from ins_premium_det i),'4137','4137','02', '11000003','00','Request by Mr. Omair Ali 30-Apr-2025');</v>
      </c>
      <c r="H728" s="25" t="str">
        <f t="shared" si="47"/>
        <v>insert into ins_premium_det (premium_rcv_code,assorted_code, rec_amount,premium_rcv_detail_code,remaining_amt, payrec, mode_code,coinsurance_code,class_cd,it_remarks) values('29Apr250042','050000759693','4137',(select max(to_number(i.premium_rcv_detail_code))+1
from ins_premium_det i),'4137','4137','02', '11000003','00','Request by Mr. Omair Ali 30-Apr-2025');</v>
      </c>
    </row>
    <row r="729" spans="1:8" ht="105" x14ac:dyDescent="0.25">
      <c r="A729" t="s">
        <v>1560</v>
      </c>
      <c r="B729" s="1" t="str">
        <f>VLOOKUP(A729,Sheet5!B:C,2,0)</f>
        <v>050000759705</v>
      </c>
      <c r="C729" s="13">
        <v>2543</v>
      </c>
      <c r="D729" s="22">
        <f t="shared" si="45"/>
        <v>2543</v>
      </c>
      <c r="E729" s="21" t="s">
        <v>5912</v>
      </c>
      <c r="F729" s="23" t="str">
        <f t="shared" si="44"/>
        <v>insert into ins_premium_det (premium_rcv_code,assorted_code, rec_amount,premium_rcv_detail_code,remaining_amt, payrec, mode_code,coinsurance_code,class_cd,it_remarks) values</v>
      </c>
      <c r="G729" s="24" t="str">
        <f t="shared" si="46"/>
        <v>('29Apr250042','050000759705','2543',(select max(to_number(i.premium_rcv_detail_code))+1
from ins_premium_det i),'2543','2543','02', '11000003','00','Request by Mr. Omair Ali 30-Apr-2025');</v>
      </c>
      <c r="H729" s="25" t="str">
        <f t="shared" si="47"/>
        <v>insert into ins_premium_det (premium_rcv_code,assorted_code, rec_amount,premium_rcv_detail_code,remaining_amt, payrec, mode_code,coinsurance_code,class_cd,it_remarks) values('29Apr250042','050000759705','2543',(select max(to_number(i.premium_rcv_detail_code))+1
from ins_premium_det i),'2543','2543','02', '11000003','00','Request by Mr. Omair Ali 30-Apr-2025');</v>
      </c>
    </row>
    <row r="730" spans="1:8" ht="105" x14ac:dyDescent="0.25">
      <c r="A730" t="s">
        <v>347</v>
      </c>
      <c r="B730" s="1" t="str">
        <f>VLOOKUP(A730,Sheet5!B:C,2,0)</f>
        <v>050000759792</v>
      </c>
      <c r="C730" s="13">
        <v>1554</v>
      </c>
      <c r="D730" s="22">
        <f t="shared" si="45"/>
        <v>1554</v>
      </c>
      <c r="E730" s="21" t="s">
        <v>5912</v>
      </c>
      <c r="F730" s="23" t="str">
        <f t="shared" si="44"/>
        <v>insert into ins_premium_det (premium_rcv_code,assorted_code, rec_amount,premium_rcv_detail_code,remaining_amt, payrec, mode_code,coinsurance_code,class_cd,it_remarks) values</v>
      </c>
      <c r="G730" s="24" t="str">
        <f t="shared" si="46"/>
        <v>('29Apr250042','050000759792','1554',(select max(to_number(i.premium_rcv_detail_code))+1
from ins_premium_det i),'1554','1554','02', '11000003','00','Request by Mr. Omair Ali 30-Apr-2025');</v>
      </c>
      <c r="H730" s="25" t="str">
        <f t="shared" si="47"/>
        <v>insert into ins_premium_det (premium_rcv_code,assorted_code, rec_amount,premium_rcv_detail_code,remaining_amt, payrec, mode_code,coinsurance_code,class_cd,it_remarks) values('29Apr250042','050000759792','1554',(select max(to_number(i.premium_rcv_detail_code))+1
from ins_premium_det i),'1554','1554','02', '11000003','00','Request by Mr. Omair Ali 30-Apr-2025');</v>
      </c>
    </row>
    <row r="731" spans="1:8" ht="105" x14ac:dyDescent="0.25">
      <c r="A731" t="s">
        <v>358</v>
      </c>
      <c r="B731" s="1" t="str">
        <f>VLOOKUP(A731,Sheet5!B:C,2,0)</f>
        <v>050000759795</v>
      </c>
      <c r="C731" s="13">
        <v>2330</v>
      </c>
      <c r="D731" s="22">
        <f t="shared" si="45"/>
        <v>2330</v>
      </c>
      <c r="E731" s="21" t="s">
        <v>5912</v>
      </c>
      <c r="F731" s="23" t="str">
        <f t="shared" si="44"/>
        <v>insert into ins_premium_det (premium_rcv_code,assorted_code, rec_amount,premium_rcv_detail_code,remaining_amt, payrec, mode_code,coinsurance_code,class_cd,it_remarks) values</v>
      </c>
      <c r="G731" s="24" t="str">
        <f t="shared" si="46"/>
        <v>('29Apr250042','050000759795','2330',(select max(to_number(i.premium_rcv_detail_code))+1
from ins_premium_det i),'2330','2330','02', '11000003','00','Request by Mr. Omair Ali 30-Apr-2025');</v>
      </c>
      <c r="H731" s="25" t="str">
        <f t="shared" si="47"/>
        <v>insert into ins_premium_det (premium_rcv_code,assorted_code, rec_amount,premium_rcv_detail_code,remaining_amt, payrec, mode_code,coinsurance_code,class_cd,it_remarks) values('29Apr250042','050000759795','2330',(select max(to_number(i.premium_rcv_detail_code))+1
from ins_premium_det i),'2330','2330','02', '11000003','00','Request by Mr. Omair Ali 30-Apr-2025');</v>
      </c>
    </row>
    <row r="732" spans="1:8" ht="105" x14ac:dyDescent="0.25">
      <c r="A732" t="s">
        <v>437</v>
      </c>
      <c r="B732" s="1" t="str">
        <f>VLOOKUP(A732,Sheet5!B:C,2,0)</f>
        <v>050000759797</v>
      </c>
      <c r="C732" s="13">
        <v>2371</v>
      </c>
      <c r="D732" s="22">
        <f t="shared" si="45"/>
        <v>2371</v>
      </c>
      <c r="E732" s="21" t="s">
        <v>5912</v>
      </c>
      <c r="F732" s="23" t="str">
        <f t="shared" si="44"/>
        <v>insert into ins_premium_det (premium_rcv_code,assorted_code, rec_amount,premium_rcv_detail_code,remaining_amt, payrec, mode_code,coinsurance_code,class_cd,it_remarks) values</v>
      </c>
      <c r="G732" s="24" t="str">
        <f t="shared" si="46"/>
        <v>('29Apr250042','050000759797','2371',(select max(to_number(i.premium_rcv_detail_code))+1
from ins_premium_det i),'2371','2371','02', '11000003','00','Request by Mr. Omair Ali 30-Apr-2025');</v>
      </c>
      <c r="H732" s="25" t="str">
        <f t="shared" si="47"/>
        <v>insert into ins_premium_det (premium_rcv_code,assorted_code, rec_amount,premium_rcv_detail_code,remaining_amt, payrec, mode_code,coinsurance_code,class_cd,it_remarks) values('29Apr250042','050000759797','2371',(select max(to_number(i.premium_rcv_detail_code))+1
from ins_premium_det i),'2371','2371','02', '11000003','00','Request by Mr. Omair Ali 30-Apr-2025');</v>
      </c>
    </row>
    <row r="733" spans="1:8" ht="105" x14ac:dyDescent="0.25">
      <c r="A733" t="s">
        <v>543</v>
      </c>
      <c r="B733" s="1" t="str">
        <f>VLOOKUP(A733,Sheet5!B:C,2,0)</f>
        <v>050000759799</v>
      </c>
      <c r="C733" s="13">
        <v>1835</v>
      </c>
      <c r="D733" s="22">
        <f t="shared" si="45"/>
        <v>1835</v>
      </c>
      <c r="E733" s="21" t="s">
        <v>5912</v>
      </c>
      <c r="F733" s="23" t="str">
        <f t="shared" si="44"/>
        <v>insert into ins_premium_det (premium_rcv_code,assorted_code, rec_amount,premium_rcv_detail_code,remaining_amt, payrec, mode_code,coinsurance_code,class_cd,it_remarks) values</v>
      </c>
      <c r="G733" s="24" t="str">
        <f t="shared" si="46"/>
        <v>('29Apr250042','050000759799','1835',(select max(to_number(i.premium_rcv_detail_code))+1
from ins_premium_det i),'1835','1835','02', '11000003','00','Request by Mr. Omair Ali 30-Apr-2025');</v>
      </c>
      <c r="H733" s="25" t="str">
        <f t="shared" si="47"/>
        <v>insert into ins_premium_det (premium_rcv_code,assorted_code, rec_amount,premium_rcv_detail_code,remaining_amt, payrec, mode_code,coinsurance_code,class_cd,it_remarks) values('29Apr250042','050000759799','1835',(select max(to_number(i.premium_rcv_detail_code))+1
from ins_premium_det i),'1835','1835','02', '11000003','00','Request by Mr. Omair Ali 30-Apr-2025');</v>
      </c>
    </row>
    <row r="734" spans="1:8" ht="105" x14ac:dyDescent="0.25">
      <c r="A734" t="s">
        <v>659</v>
      </c>
      <c r="B734" s="1" t="str">
        <f>VLOOKUP(A734,Sheet5!B:C,2,0)</f>
        <v>050000759802</v>
      </c>
      <c r="C734" s="13">
        <v>4804</v>
      </c>
      <c r="D734" s="22">
        <f t="shared" si="45"/>
        <v>4804</v>
      </c>
      <c r="E734" s="21" t="s">
        <v>5912</v>
      </c>
      <c r="F734" s="23" t="str">
        <f t="shared" si="44"/>
        <v>insert into ins_premium_det (premium_rcv_code,assorted_code, rec_amount,premium_rcv_detail_code,remaining_amt, payrec, mode_code,coinsurance_code,class_cd,it_remarks) values</v>
      </c>
      <c r="G734" s="24" t="str">
        <f t="shared" si="46"/>
        <v>('29Apr250042','050000759802','4804',(select max(to_number(i.premium_rcv_detail_code))+1
from ins_premium_det i),'4804','4804','02', '11000003','00','Request by Mr. Omair Ali 30-Apr-2025');</v>
      </c>
      <c r="H734" s="25" t="str">
        <f t="shared" si="47"/>
        <v>insert into ins_premium_det (premium_rcv_code,assorted_code, rec_amount,premium_rcv_detail_code,remaining_amt, payrec, mode_code,coinsurance_code,class_cd,it_remarks) values('29Apr250042','050000759802','4804',(select max(to_number(i.premium_rcv_detail_code))+1
from ins_premium_det i),'4804','4804','02', '11000003','00','Request by Mr. Omair Ali 30-Apr-2025');</v>
      </c>
    </row>
    <row r="735" spans="1:8" ht="105" x14ac:dyDescent="0.25">
      <c r="A735" t="s">
        <v>666</v>
      </c>
      <c r="B735" s="1" t="str">
        <f>VLOOKUP(A735,Sheet5!B:C,2,0)</f>
        <v>050000759803</v>
      </c>
      <c r="C735" s="13">
        <v>1038</v>
      </c>
      <c r="D735" s="22">
        <f t="shared" si="45"/>
        <v>1038</v>
      </c>
      <c r="E735" s="21" t="s">
        <v>5912</v>
      </c>
      <c r="F735" s="23" t="str">
        <f t="shared" si="44"/>
        <v>insert into ins_premium_det (premium_rcv_code,assorted_code, rec_amount,premium_rcv_detail_code,remaining_amt, payrec, mode_code,coinsurance_code,class_cd,it_remarks) values</v>
      </c>
      <c r="G735" s="24" t="str">
        <f t="shared" si="46"/>
        <v>('29Apr250042','050000759803','1038',(select max(to_number(i.premium_rcv_detail_code))+1
from ins_premium_det i),'1038','1038','02', '11000003','00','Request by Mr. Omair Ali 30-Apr-2025');</v>
      </c>
      <c r="H735" s="25" t="str">
        <f t="shared" si="47"/>
        <v>insert into ins_premium_det (premium_rcv_code,assorted_code, rec_amount,premium_rcv_detail_code,remaining_amt, payrec, mode_code,coinsurance_code,class_cd,it_remarks) values('29Apr250042','050000759803','1038',(select max(to_number(i.premium_rcv_detail_code))+1
from ins_premium_det i),'1038','1038','02', '11000003','00','Request by Mr. Omair Ali 30-Apr-2025');</v>
      </c>
    </row>
    <row r="736" spans="1:8" ht="105" x14ac:dyDescent="0.25">
      <c r="A736" t="s">
        <v>673</v>
      </c>
      <c r="B736" s="1" t="str">
        <f>VLOOKUP(A736,Sheet5!B:C,2,0)</f>
        <v>050000759804</v>
      </c>
      <c r="C736" s="13">
        <v>76</v>
      </c>
      <c r="D736" s="22">
        <f t="shared" si="45"/>
        <v>76</v>
      </c>
      <c r="E736" s="21" t="s">
        <v>5912</v>
      </c>
      <c r="F736" s="23" t="str">
        <f t="shared" si="44"/>
        <v>insert into ins_premium_det (premium_rcv_code,assorted_code, rec_amount,premium_rcv_detail_code,remaining_amt, payrec, mode_code,coinsurance_code,class_cd,it_remarks) values</v>
      </c>
      <c r="G736" s="24" t="str">
        <f t="shared" si="46"/>
        <v>('29Apr250042','050000759804','76',(select max(to_number(i.premium_rcv_detail_code))+1
from ins_premium_det i),'76','76','02', '11000003','00','Request by Mr. Omair Ali 30-Apr-2025');</v>
      </c>
      <c r="H736" s="25" t="str">
        <f t="shared" si="47"/>
        <v>insert into ins_premium_det (premium_rcv_code,assorted_code, rec_amount,premium_rcv_detail_code,remaining_amt, payrec, mode_code,coinsurance_code,class_cd,it_remarks) values('29Apr250042','050000759804','76',(select max(to_number(i.premium_rcv_detail_code))+1
from ins_premium_det i),'76','76','02', '11000003','00','Request by Mr. Omair Ali 30-Apr-2025');</v>
      </c>
    </row>
    <row r="737" spans="1:8" ht="105" x14ac:dyDescent="0.25">
      <c r="A737" t="s">
        <v>704</v>
      </c>
      <c r="B737" s="1" t="str">
        <f>VLOOKUP(A737,Sheet5!B:C,2,0)</f>
        <v>050000759806</v>
      </c>
      <c r="C737" s="13">
        <v>339</v>
      </c>
      <c r="D737" s="22">
        <f t="shared" si="45"/>
        <v>339</v>
      </c>
      <c r="E737" s="21" t="s">
        <v>5912</v>
      </c>
      <c r="F737" s="23" t="str">
        <f t="shared" si="44"/>
        <v>insert into ins_premium_det (premium_rcv_code,assorted_code, rec_amount,premium_rcv_detail_code,remaining_amt, payrec, mode_code,coinsurance_code,class_cd,it_remarks) values</v>
      </c>
      <c r="G737" s="24" t="str">
        <f t="shared" si="46"/>
        <v>('29Apr250042','050000759806','339',(select max(to_number(i.premium_rcv_detail_code))+1
from ins_premium_det i),'339','339','02', '11000003','00','Request by Mr. Omair Ali 30-Apr-2025');</v>
      </c>
      <c r="H737" s="25" t="str">
        <f t="shared" si="47"/>
        <v>insert into ins_premium_det (premium_rcv_code,assorted_code, rec_amount,premium_rcv_detail_code,remaining_amt, payrec, mode_code,coinsurance_code,class_cd,it_remarks) values('29Apr250042','050000759806','339',(select max(to_number(i.premium_rcv_detail_code))+1
from ins_premium_det i),'339','339','02', '11000003','00','Request by Mr. Omair Ali 30-Apr-2025');</v>
      </c>
    </row>
    <row r="738" spans="1:8" ht="105" x14ac:dyDescent="0.25">
      <c r="A738" t="s">
        <v>839</v>
      </c>
      <c r="B738" s="1" t="str">
        <f>VLOOKUP(A738,Sheet5!B:C,2,0)</f>
        <v>050000759812</v>
      </c>
      <c r="C738" s="13">
        <v>4178</v>
      </c>
      <c r="D738" s="22">
        <f t="shared" si="45"/>
        <v>4178</v>
      </c>
      <c r="E738" s="21" t="s">
        <v>5912</v>
      </c>
      <c r="F738" s="23" t="str">
        <f t="shared" si="44"/>
        <v>insert into ins_premium_det (premium_rcv_code,assorted_code, rec_amount,premium_rcv_detail_code,remaining_amt, payrec, mode_code,coinsurance_code,class_cd,it_remarks) values</v>
      </c>
      <c r="G738" s="24" t="str">
        <f t="shared" si="46"/>
        <v>('29Apr250042','050000759812','4178',(select max(to_number(i.premium_rcv_detail_code))+1
from ins_premium_det i),'4178','4178','02', '11000003','00','Request by Mr. Omair Ali 30-Apr-2025');</v>
      </c>
      <c r="H738" s="25" t="str">
        <f t="shared" si="47"/>
        <v>insert into ins_premium_det (premium_rcv_code,assorted_code, rec_amount,premium_rcv_detail_code,remaining_amt, payrec, mode_code,coinsurance_code,class_cd,it_remarks) values('29Apr250042','050000759812','4178',(select max(to_number(i.premium_rcv_detail_code))+1
from ins_premium_det i),'4178','4178','02', '11000003','00','Request by Mr. Omair Ali 30-Apr-2025');</v>
      </c>
    </row>
    <row r="739" spans="1:8" ht="105" x14ac:dyDescent="0.25">
      <c r="A739" t="s">
        <v>858</v>
      </c>
      <c r="B739" s="1" t="str">
        <f>VLOOKUP(A739,Sheet5!B:C,2,0)</f>
        <v>050000759813</v>
      </c>
      <c r="C739" s="13">
        <v>3885</v>
      </c>
      <c r="D739" s="22">
        <f t="shared" si="45"/>
        <v>3885</v>
      </c>
      <c r="E739" s="21" t="s">
        <v>5912</v>
      </c>
      <c r="F739" s="23" t="str">
        <f t="shared" si="44"/>
        <v>insert into ins_premium_det (premium_rcv_code,assorted_code, rec_amount,premium_rcv_detail_code,remaining_amt, payrec, mode_code,coinsurance_code,class_cd,it_remarks) values</v>
      </c>
      <c r="G739" s="24" t="str">
        <f t="shared" si="46"/>
        <v>('29Apr250042','050000759813','3885',(select max(to_number(i.premium_rcv_detail_code))+1
from ins_premium_det i),'3885','3885','02', '11000003','00','Request by Mr. Omair Ali 30-Apr-2025');</v>
      </c>
      <c r="H739" s="25" t="str">
        <f t="shared" si="47"/>
        <v>insert into ins_premium_det (premium_rcv_code,assorted_code, rec_amount,premium_rcv_detail_code,remaining_amt, payrec, mode_code,coinsurance_code,class_cd,it_remarks) values('29Apr250042','050000759813','3885',(select max(to_number(i.premium_rcv_detail_code))+1
from ins_premium_det i),'3885','3885','02', '11000003','00','Request by Mr. Omair Ali 30-Apr-2025');</v>
      </c>
    </row>
    <row r="740" spans="1:8" ht="105" x14ac:dyDescent="0.25">
      <c r="A740" t="s">
        <v>998</v>
      </c>
      <c r="B740" s="1" t="str">
        <f>VLOOKUP(A740,Sheet5!B:C,2,0)</f>
        <v>050000759820</v>
      </c>
      <c r="C740" s="13">
        <v>2965</v>
      </c>
      <c r="D740" s="22">
        <f t="shared" si="45"/>
        <v>2965</v>
      </c>
      <c r="E740" s="21" t="s">
        <v>5912</v>
      </c>
      <c r="F740" s="23" t="str">
        <f t="shared" si="44"/>
        <v>insert into ins_premium_det (premium_rcv_code,assorted_code, rec_amount,premium_rcv_detail_code,remaining_amt, payrec, mode_code,coinsurance_code,class_cd,it_remarks) values</v>
      </c>
      <c r="G740" s="24" t="str">
        <f t="shared" si="46"/>
        <v>('29Apr250042','050000759820','2965',(select max(to_number(i.premium_rcv_detail_code))+1
from ins_premium_det i),'2965','2965','02', '11000003','00','Request by Mr. Omair Ali 30-Apr-2025');</v>
      </c>
      <c r="H740" s="25" t="str">
        <f t="shared" si="47"/>
        <v>insert into ins_premium_det (premium_rcv_code,assorted_code, rec_amount,premium_rcv_detail_code,remaining_amt, payrec, mode_code,coinsurance_code,class_cd,it_remarks) values('29Apr250042','050000759820','2965',(select max(to_number(i.premium_rcv_detail_code))+1
from ins_premium_det i),'2965','2965','02', '11000003','00','Request by Mr. Omair Ali 30-Apr-2025');</v>
      </c>
    </row>
    <row r="741" spans="1:8" ht="105" x14ac:dyDescent="0.25">
      <c r="A741" t="s">
        <v>1343</v>
      </c>
      <c r="B741" s="1" t="str">
        <f>VLOOKUP(A741,Sheet5!B:C,2,0)</f>
        <v>050000759829</v>
      </c>
      <c r="C741" s="13">
        <v>8927</v>
      </c>
      <c r="D741" s="22">
        <f t="shared" si="45"/>
        <v>8927</v>
      </c>
      <c r="E741" s="21" t="s">
        <v>5912</v>
      </c>
      <c r="F741" s="23" t="str">
        <f t="shared" si="44"/>
        <v>insert into ins_premium_det (premium_rcv_code,assorted_code, rec_amount,premium_rcv_detail_code,remaining_amt, payrec, mode_code,coinsurance_code,class_cd,it_remarks) values</v>
      </c>
      <c r="G741" s="24" t="str">
        <f t="shared" si="46"/>
        <v>('29Apr250042','050000759829','8927',(select max(to_number(i.premium_rcv_detail_code))+1
from ins_premium_det i),'8927','8927','02', '11000003','00','Request by Mr. Omair Ali 30-Apr-2025');</v>
      </c>
      <c r="H741" s="25" t="str">
        <f t="shared" si="47"/>
        <v>insert into ins_premium_det (premium_rcv_code,assorted_code, rec_amount,premium_rcv_detail_code,remaining_amt, payrec, mode_code,coinsurance_code,class_cd,it_remarks) values('29Apr250042','050000759829','8927',(select max(to_number(i.premium_rcv_detail_code))+1
from ins_premium_det i),'8927','8927','02', '11000003','00','Request by Mr. Omair Ali 30-Apr-2025');</v>
      </c>
    </row>
    <row r="742" spans="1:8" ht="105" x14ac:dyDescent="0.25">
      <c r="A742" t="s">
        <v>1344</v>
      </c>
      <c r="B742" s="1" t="str">
        <f>VLOOKUP(A742,Sheet5!B:C,2,0)</f>
        <v>050000759830</v>
      </c>
      <c r="C742" s="13">
        <v>785</v>
      </c>
      <c r="D742" s="22">
        <f t="shared" si="45"/>
        <v>785</v>
      </c>
      <c r="E742" s="21" t="s">
        <v>5912</v>
      </c>
      <c r="F742" s="23" t="str">
        <f t="shared" si="44"/>
        <v>insert into ins_premium_det (premium_rcv_code,assorted_code, rec_amount,premium_rcv_detail_code,remaining_amt, payrec, mode_code,coinsurance_code,class_cd,it_remarks) values</v>
      </c>
      <c r="G742" s="24" t="str">
        <f t="shared" si="46"/>
        <v>('29Apr250042','050000759830','785',(select max(to_number(i.premium_rcv_detail_code))+1
from ins_premium_det i),'785','785','02', '11000003','00','Request by Mr. Omair Ali 30-Apr-2025');</v>
      </c>
      <c r="H742" s="25" t="str">
        <f t="shared" si="47"/>
        <v>insert into ins_premium_det (premium_rcv_code,assorted_code, rec_amount,premium_rcv_detail_code,remaining_amt, payrec, mode_code,coinsurance_code,class_cd,it_remarks) values('29Apr250042','050000759830','785',(select max(to_number(i.premium_rcv_detail_code))+1
from ins_premium_det i),'785','785','02', '11000003','00','Request by Mr. Omair Ali 30-Apr-2025');</v>
      </c>
    </row>
    <row r="743" spans="1:8" ht="105" x14ac:dyDescent="0.25">
      <c r="A743" t="s">
        <v>1364</v>
      </c>
      <c r="B743" s="1" t="str">
        <f>VLOOKUP(A743,Sheet5!B:C,2,0)</f>
        <v>050000759837</v>
      </c>
      <c r="C743" s="13">
        <v>3458</v>
      </c>
      <c r="D743" s="22">
        <f t="shared" si="45"/>
        <v>3458</v>
      </c>
      <c r="E743" s="21" t="s">
        <v>5912</v>
      </c>
      <c r="F743" s="23" t="str">
        <f t="shared" si="44"/>
        <v>insert into ins_premium_det (premium_rcv_code,assorted_code, rec_amount,premium_rcv_detail_code,remaining_amt, payrec, mode_code,coinsurance_code,class_cd,it_remarks) values</v>
      </c>
      <c r="G743" s="24" t="str">
        <f t="shared" si="46"/>
        <v>('29Apr250042','050000759837','3458',(select max(to_number(i.premium_rcv_detail_code))+1
from ins_premium_det i),'3458','3458','02', '11000003','00','Request by Mr. Omair Ali 30-Apr-2025');</v>
      </c>
      <c r="H743" s="25" t="str">
        <f t="shared" si="47"/>
        <v>insert into ins_premium_det (premium_rcv_code,assorted_code, rec_amount,premium_rcv_detail_code,remaining_amt, payrec, mode_code,coinsurance_code,class_cd,it_remarks) values('29Apr250042','050000759837','3458',(select max(to_number(i.premium_rcv_detail_code))+1
from ins_premium_det i),'3458','3458','02', '11000003','00','Request by Mr. Omair Ali 30-Apr-2025');</v>
      </c>
    </row>
    <row r="744" spans="1:8" ht="105" x14ac:dyDescent="0.25">
      <c r="A744" t="s">
        <v>1383</v>
      </c>
      <c r="B744" s="1" t="str">
        <f>VLOOKUP(A744,Sheet5!B:C,2,0)</f>
        <v>050000759840</v>
      </c>
      <c r="C744" s="13">
        <v>623</v>
      </c>
      <c r="D744" s="22">
        <f t="shared" si="45"/>
        <v>623</v>
      </c>
      <c r="E744" s="21" t="s">
        <v>5912</v>
      </c>
      <c r="F744" s="23" t="str">
        <f t="shared" si="44"/>
        <v>insert into ins_premium_det (premium_rcv_code,assorted_code, rec_amount,premium_rcv_detail_code,remaining_amt, payrec, mode_code,coinsurance_code,class_cd,it_remarks) values</v>
      </c>
      <c r="G744" s="24" t="str">
        <f t="shared" si="46"/>
        <v>('29Apr250042','050000759840','623',(select max(to_number(i.premium_rcv_detail_code))+1
from ins_premium_det i),'623','623','02', '11000003','00','Request by Mr. Omair Ali 30-Apr-2025');</v>
      </c>
      <c r="H744" s="25" t="str">
        <f t="shared" si="47"/>
        <v>insert into ins_premium_det (premium_rcv_code,assorted_code, rec_amount,premium_rcv_detail_code,remaining_amt, payrec, mode_code,coinsurance_code,class_cd,it_remarks) values('29Apr250042','050000759840','623',(select max(to_number(i.premium_rcv_detail_code))+1
from ins_premium_det i),'623','623','02', '11000003','00','Request by Mr. Omair Ali 30-Apr-2025');</v>
      </c>
    </row>
    <row r="745" spans="1:8" ht="105" x14ac:dyDescent="0.25">
      <c r="A745" t="s">
        <v>1735</v>
      </c>
      <c r="B745" s="1" t="str">
        <f>VLOOKUP(A745,Sheet5!B:C,2,0)</f>
        <v>050000759858</v>
      </c>
      <c r="C745" s="13">
        <v>2014</v>
      </c>
      <c r="D745" s="22">
        <f t="shared" si="45"/>
        <v>2014</v>
      </c>
      <c r="E745" s="21" t="s">
        <v>5912</v>
      </c>
      <c r="F745" s="23" t="str">
        <f t="shared" si="44"/>
        <v>insert into ins_premium_det (premium_rcv_code,assorted_code, rec_amount,premium_rcv_detail_code,remaining_amt, payrec, mode_code,coinsurance_code,class_cd,it_remarks) values</v>
      </c>
      <c r="G745" s="24" t="str">
        <f t="shared" si="46"/>
        <v>('29Apr250042','050000759858','2014',(select max(to_number(i.premium_rcv_detail_code))+1
from ins_premium_det i),'2014','2014','02', '11000003','00','Request by Mr. Omair Ali 30-Apr-2025');</v>
      </c>
      <c r="H745" s="25" t="str">
        <f t="shared" si="47"/>
        <v>insert into ins_premium_det (premium_rcv_code,assorted_code, rec_amount,premium_rcv_detail_code,remaining_amt, payrec, mode_code,coinsurance_code,class_cd,it_remarks) values('29Apr250042','050000759858','2014',(select max(to_number(i.premium_rcv_detail_code))+1
from ins_premium_det i),'2014','2014','02', '11000003','00','Request by Mr. Omair Ali 30-Apr-2025');</v>
      </c>
    </row>
    <row r="746" spans="1:8" ht="105" x14ac:dyDescent="0.25">
      <c r="A746" t="s">
        <v>1754</v>
      </c>
      <c r="B746" s="1" t="str">
        <f>VLOOKUP(A746,Sheet5!B:C,2,0)</f>
        <v>050000759860</v>
      </c>
      <c r="C746" s="13">
        <v>3735</v>
      </c>
      <c r="D746" s="22">
        <f t="shared" si="45"/>
        <v>3735</v>
      </c>
      <c r="E746" s="21" t="s">
        <v>5912</v>
      </c>
      <c r="F746" s="23" t="str">
        <f t="shared" si="44"/>
        <v>insert into ins_premium_det (premium_rcv_code,assorted_code, rec_amount,premium_rcv_detail_code,remaining_amt, payrec, mode_code,coinsurance_code,class_cd,it_remarks) values</v>
      </c>
      <c r="G746" s="24" t="str">
        <f t="shared" si="46"/>
        <v>('29Apr250042','050000759860','3735',(select max(to_number(i.premium_rcv_detail_code))+1
from ins_premium_det i),'3735','3735','02', '11000003','00','Request by Mr. Omair Ali 30-Apr-2025');</v>
      </c>
      <c r="H746" s="25" t="str">
        <f t="shared" si="47"/>
        <v>insert into ins_premium_det (premium_rcv_code,assorted_code, rec_amount,premium_rcv_detail_code,remaining_amt, payrec, mode_code,coinsurance_code,class_cd,it_remarks) values('29Apr250042','050000759860','3735',(select max(to_number(i.premium_rcv_detail_code))+1
from ins_premium_det i),'3735','3735','02', '11000003','00','Request by Mr. Omair Ali 30-Apr-2025');</v>
      </c>
    </row>
    <row r="747" spans="1:8" ht="105" x14ac:dyDescent="0.25">
      <c r="A747" t="s">
        <v>1762</v>
      </c>
      <c r="B747" s="1" t="str">
        <f>VLOOKUP(A747,Sheet5!B:C,2,0)</f>
        <v>050000759861</v>
      </c>
      <c r="C747" s="13">
        <v>1721</v>
      </c>
      <c r="D747" s="22">
        <f t="shared" si="45"/>
        <v>1721</v>
      </c>
      <c r="E747" s="21" t="s">
        <v>5912</v>
      </c>
      <c r="F747" s="23" t="str">
        <f t="shared" si="44"/>
        <v>insert into ins_premium_det (premium_rcv_code,assorted_code, rec_amount,premium_rcv_detail_code,remaining_amt, payrec, mode_code,coinsurance_code,class_cd,it_remarks) values</v>
      </c>
      <c r="G747" s="24" t="str">
        <f t="shared" si="46"/>
        <v>('29Apr250042','050000759861','1721',(select max(to_number(i.premium_rcv_detail_code))+1
from ins_premium_det i),'1721','1721','02', '11000003','00','Request by Mr. Omair Ali 30-Apr-2025');</v>
      </c>
      <c r="H747" s="25" t="str">
        <f t="shared" si="47"/>
        <v>insert into ins_premium_det (premium_rcv_code,assorted_code, rec_amount,premium_rcv_detail_code,remaining_amt, payrec, mode_code,coinsurance_code,class_cd,it_remarks) values('29Apr250042','050000759861','1721',(select max(to_number(i.premium_rcv_detail_code))+1
from ins_premium_det i),'1721','1721','02', '11000003','00','Request by Mr. Omair Ali 30-Apr-2025');</v>
      </c>
    </row>
    <row r="748" spans="1:8" ht="105" x14ac:dyDescent="0.25">
      <c r="A748" t="s">
        <v>1772</v>
      </c>
      <c r="B748" s="1" t="str">
        <f>VLOOKUP(A748,Sheet5!B:C,2,0)</f>
        <v>050000759864</v>
      </c>
      <c r="C748" s="13">
        <v>7848</v>
      </c>
      <c r="D748" s="22">
        <f t="shared" si="45"/>
        <v>7848</v>
      </c>
      <c r="E748" s="21" t="s">
        <v>5912</v>
      </c>
      <c r="F748" s="23" t="str">
        <f t="shared" si="44"/>
        <v>insert into ins_premium_det (premium_rcv_code,assorted_code, rec_amount,premium_rcv_detail_code,remaining_amt, payrec, mode_code,coinsurance_code,class_cd,it_remarks) values</v>
      </c>
      <c r="G748" s="24" t="str">
        <f t="shared" si="46"/>
        <v>('29Apr250042','050000759864','7848',(select max(to_number(i.premium_rcv_detail_code))+1
from ins_premium_det i),'7848','7848','02', '11000003','00','Request by Mr. Omair Ali 30-Apr-2025');</v>
      </c>
      <c r="H748" s="25" t="str">
        <f t="shared" si="47"/>
        <v>insert into ins_premium_det (premium_rcv_code,assorted_code, rec_amount,premium_rcv_detail_code,remaining_amt, payrec, mode_code,coinsurance_code,class_cd,it_remarks) values('29Apr250042','050000759864','7848',(select max(to_number(i.premium_rcv_detail_code))+1
from ins_premium_det i),'7848','7848','02', '11000003','00','Request by Mr. Omair Ali 30-Apr-2025');</v>
      </c>
    </row>
    <row r="749" spans="1:8" ht="105" x14ac:dyDescent="0.25">
      <c r="A749" t="s">
        <v>454</v>
      </c>
      <c r="B749" s="1" t="str">
        <f>VLOOKUP(A749,Sheet5!B:C,2,0)</f>
        <v>050000759946</v>
      </c>
      <c r="C749" s="13">
        <v>878</v>
      </c>
      <c r="D749" s="22">
        <f t="shared" si="45"/>
        <v>878</v>
      </c>
      <c r="E749" s="21" t="s">
        <v>5912</v>
      </c>
      <c r="F749" s="23" t="str">
        <f t="shared" si="44"/>
        <v>insert into ins_premium_det (premium_rcv_code,assorted_code, rec_amount,premium_rcv_detail_code,remaining_amt, payrec, mode_code,coinsurance_code,class_cd,it_remarks) values</v>
      </c>
      <c r="G749" s="24" t="str">
        <f t="shared" si="46"/>
        <v>('29Apr250042','050000759946','878',(select max(to_number(i.premium_rcv_detail_code))+1
from ins_premium_det i),'878','878','02', '11000003','00','Request by Mr. Omair Ali 30-Apr-2025');</v>
      </c>
      <c r="H749" s="25" t="str">
        <f t="shared" si="47"/>
        <v>insert into ins_premium_det (premium_rcv_code,assorted_code, rec_amount,premium_rcv_detail_code,remaining_amt, payrec, mode_code,coinsurance_code,class_cd,it_remarks) values('29Apr250042','050000759946','878',(select max(to_number(i.premium_rcv_detail_code))+1
from ins_premium_det i),'878','878','02', '11000003','00','Request by Mr. Omair Ali 30-Apr-2025');</v>
      </c>
    </row>
    <row r="750" spans="1:8" ht="105" x14ac:dyDescent="0.25">
      <c r="A750" t="s">
        <v>549</v>
      </c>
      <c r="B750" s="1" t="str">
        <f>VLOOKUP(A750,Sheet5!B:C,2,0)</f>
        <v>050000759948</v>
      </c>
      <c r="C750" s="13">
        <v>152</v>
      </c>
      <c r="D750" s="22">
        <f t="shared" si="45"/>
        <v>152</v>
      </c>
      <c r="E750" s="21" t="s">
        <v>5912</v>
      </c>
      <c r="F750" s="23" t="str">
        <f t="shared" si="44"/>
        <v>insert into ins_premium_det (premium_rcv_code,assorted_code, rec_amount,premium_rcv_detail_code,remaining_amt, payrec, mode_code,coinsurance_code,class_cd,it_remarks) values</v>
      </c>
      <c r="G750" s="24" t="str">
        <f t="shared" si="46"/>
        <v>('29Apr250042','050000759948','152',(select max(to_number(i.premium_rcv_detail_code))+1
from ins_premium_det i),'152','152','02', '11000003','00','Request by Mr. Omair Ali 30-Apr-2025');</v>
      </c>
      <c r="H750" s="25" t="str">
        <f t="shared" si="47"/>
        <v>insert into ins_premium_det (premium_rcv_code,assorted_code, rec_amount,premium_rcv_detail_code,remaining_amt, payrec, mode_code,coinsurance_code,class_cd,it_remarks) values('29Apr250042','050000759948','152',(select max(to_number(i.premium_rcv_detail_code))+1
from ins_premium_det i),'152','152','02', '11000003','00','Request by Mr. Omair Ali 30-Apr-2025');</v>
      </c>
    </row>
    <row r="751" spans="1:8" ht="105" x14ac:dyDescent="0.25">
      <c r="A751" t="s">
        <v>850</v>
      </c>
      <c r="B751" s="1" t="str">
        <f>VLOOKUP(A751,Sheet5!B:C,2,0)</f>
        <v>050000759952</v>
      </c>
      <c r="C751" s="13">
        <v>1696</v>
      </c>
      <c r="D751" s="22">
        <f t="shared" si="45"/>
        <v>1696</v>
      </c>
      <c r="E751" s="21" t="s">
        <v>5912</v>
      </c>
      <c r="F751" s="23" t="str">
        <f t="shared" si="44"/>
        <v>insert into ins_premium_det (premium_rcv_code,assorted_code, rec_amount,premium_rcv_detail_code,remaining_amt, payrec, mode_code,coinsurance_code,class_cd,it_remarks) values</v>
      </c>
      <c r="G751" s="24" t="str">
        <f t="shared" si="46"/>
        <v>('29Apr250042','050000759952','1696',(select max(to_number(i.premium_rcv_detail_code))+1
from ins_premium_det i),'1696','1696','02', '11000003','00','Request by Mr. Omair Ali 30-Apr-2025');</v>
      </c>
      <c r="H751" s="25" t="str">
        <f t="shared" si="47"/>
        <v>insert into ins_premium_det (premium_rcv_code,assorted_code, rec_amount,premium_rcv_detail_code,remaining_amt, payrec, mode_code,coinsurance_code,class_cd,it_remarks) values('29Apr250042','050000759952','1696',(select max(to_number(i.premium_rcv_detail_code))+1
from ins_premium_det i),'1696','1696','02', '11000003','00','Request by Mr. Omair Ali 30-Apr-2025');</v>
      </c>
    </row>
    <row r="752" spans="1:8" ht="105" x14ac:dyDescent="0.25">
      <c r="A752" t="s">
        <v>1131</v>
      </c>
      <c r="B752" s="1" t="str">
        <f>VLOOKUP(A752,Sheet5!B:C,2,0)</f>
        <v>050000759955</v>
      </c>
      <c r="C752" s="13">
        <v>1306</v>
      </c>
      <c r="D752" s="22">
        <f t="shared" si="45"/>
        <v>1306</v>
      </c>
      <c r="E752" s="21" t="s">
        <v>5912</v>
      </c>
      <c r="F752" s="23" t="str">
        <f t="shared" si="44"/>
        <v>insert into ins_premium_det (premium_rcv_code,assorted_code, rec_amount,premium_rcv_detail_code,remaining_amt, payrec, mode_code,coinsurance_code,class_cd,it_remarks) values</v>
      </c>
      <c r="G752" s="24" t="str">
        <f t="shared" si="46"/>
        <v>('29Apr250042','050000759955','1306',(select max(to_number(i.premium_rcv_detail_code))+1
from ins_premium_det i),'1306','1306','02', '11000003','00','Request by Mr. Omair Ali 30-Apr-2025');</v>
      </c>
      <c r="H752" s="25" t="str">
        <f t="shared" si="47"/>
        <v>insert into ins_premium_det (premium_rcv_code,assorted_code, rec_amount,premium_rcv_detail_code,remaining_amt, payrec, mode_code,coinsurance_code,class_cd,it_remarks) values('29Apr250042','050000759955','1306',(select max(to_number(i.premium_rcv_detail_code))+1
from ins_premium_det i),'1306','1306','02', '11000003','00','Request by Mr. Omair Ali 30-Apr-2025');</v>
      </c>
    </row>
    <row r="753" spans="1:8" ht="105" x14ac:dyDescent="0.25">
      <c r="A753" t="s">
        <v>1145</v>
      </c>
      <c r="B753" s="1" t="str">
        <f>VLOOKUP(A753,Sheet5!B:C,2,0)</f>
        <v>050000759957</v>
      </c>
      <c r="C753" s="13">
        <v>1772</v>
      </c>
      <c r="D753" s="22">
        <f t="shared" si="45"/>
        <v>1772</v>
      </c>
      <c r="E753" s="21" t="s">
        <v>5912</v>
      </c>
      <c r="F753" s="23" t="str">
        <f t="shared" si="44"/>
        <v>insert into ins_premium_det (premium_rcv_code,assorted_code, rec_amount,premium_rcv_detail_code,remaining_amt, payrec, mode_code,coinsurance_code,class_cd,it_remarks) values</v>
      </c>
      <c r="G753" s="24" t="str">
        <f t="shared" si="46"/>
        <v>('29Apr250042','050000759957','1772',(select max(to_number(i.premium_rcv_detail_code))+1
from ins_premium_det i),'1772','1772','02', '11000003','00','Request by Mr. Omair Ali 30-Apr-2025');</v>
      </c>
      <c r="H753" s="25" t="str">
        <f t="shared" si="47"/>
        <v>insert into ins_premium_det (premium_rcv_code,assorted_code, rec_amount,premium_rcv_detail_code,remaining_amt, payrec, mode_code,coinsurance_code,class_cd,it_remarks) values('29Apr250042','050000759957','1772',(select max(to_number(i.premium_rcv_detail_code))+1
from ins_premium_det i),'1772','1772','02', '11000003','00','Request by Mr. Omair Ali 30-Apr-2025');</v>
      </c>
    </row>
    <row r="754" spans="1:8" ht="105" x14ac:dyDescent="0.25">
      <c r="A754" t="s">
        <v>363</v>
      </c>
      <c r="B754" s="1" t="str">
        <f>VLOOKUP(A754,Sheet5!B:C,2,0)</f>
        <v>050000760032</v>
      </c>
      <c r="C754" s="13">
        <v>3547</v>
      </c>
      <c r="D754" s="22">
        <f t="shared" si="45"/>
        <v>3547</v>
      </c>
      <c r="E754" s="21" t="s">
        <v>5912</v>
      </c>
      <c r="F754" s="23" t="str">
        <f t="shared" si="44"/>
        <v>insert into ins_premium_det (premium_rcv_code,assorted_code, rec_amount,premium_rcv_detail_code,remaining_amt, payrec, mode_code,coinsurance_code,class_cd,it_remarks) values</v>
      </c>
      <c r="G754" s="24" t="str">
        <f t="shared" si="46"/>
        <v>('29Apr250042','050000760032','3547',(select max(to_number(i.premium_rcv_detail_code))+1
from ins_premium_det i),'3547','3547','02', '11000003','00','Request by Mr. Omair Ali 30-Apr-2025');</v>
      </c>
      <c r="H754" s="25" t="str">
        <f t="shared" si="47"/>
        <v>insert into ins_premium_det (premium_rcv_code,assorted_code, rec_amount,premium_rcv_detail_code,remaining_amt, payrec, mode_code,coinsurance_code,class_cd,it_remarks) values('29Apr250042','050000760032','3547',(select max(to_number(i.premium_rcv_detail_code))+1
from ins_premium_det i),'3547','3547','02', '11000003','00','Request by Mr. Omair Ali 30-Apr-2025');</v>
      </c>
    </row>
    <row r="755" spans="1:8" ht="105" x14ac:dyDescent="0.25">
      <c r="A755" t="s">
        <v>378</v>
      </c>
      <c r="B755" s="1" t="str">
        <f>VLOOKUP(A755,Sheet5!B:C,2,0)</f>
        <v>050000760033</v>
      </c>
      <c r="C755" s="13">
        <v>6193</v>
      </c>
      <c r="D755" s="22">
        <f t="shared" si="45"/>
        <v>6193</v>
      </c>
      <c r="E755" s="21" t="s">
        <v>5912</v>
      </c>
      <c r="F755" s="23" t="str">
        <f t="shared" si="44"/>
        <v>insert into ins_premium_det (premium_rcv_code,assorted_code, rec_amount,premium_rcv_detail_code,remaining_amt, payrec, mode_code,coinsurance_code,class_cd,it_remarks) values</v>
      </c>
      <c r="G755" s="24" t="str">
        <f t="shared" si="46"/>
        <v>('29Apr250042','050000760033','6193',(select max(to_number(i.premium_rcv_detail_code))+1
from ins_premium_det i),'6193','6193','02', '11000003','00','Request by Mr. Omair Ali 30-Apr-2025');</v>
      </c>
      <c r="H755" s="25" t="str">
        <f t="shared" si="47"/>
        <v>insert into ins_premium_det (premium_rcv_code,assorted_code, rec_amount,premium_rcv_detail_code,remaining_amt, payrec, mode_code,coinsurance_code,class_cd,it_remarks) values('29Apr250042','050000760033','6193',(select max(to_number(i.premium_rcv_detail_code))+1
from ins_premium_det i),'6193','6193','02', '11000003','00','Request by Mr. Omair Ali 30-Apr-2025');</v>
      </c>
    </row>
    <row r="756" spans="1:8" ht="105" x14ac:dyDescent="0.25">
      <c r="A756" t="s">
        <v>381</v>
      </c>
      <c r="B756" s="1" t="str">
        <f>VLOOKUP(A756,Sheet5!B:C,2,0)</f>
        <v>050000760035</v>
      </c>
      <c r="C756" s="13">
        <v>1323</v>
      </c>
      <c r="D756" s="22">
        <f t="shared" si="45"/>
        <v>1323</v>
      </c>
      <c r="E756" s="21" t="s">
        <v>5912</v>
      </c>
      <c r="F756" s="23" t="str">
        <f t="shared" si="44"/>
        <v>insert into ins_premium_det (premium_rcv_code,assorted_code, rec_amount,premium_rcv_detail_code,remaining_amt, payrec, mode_code,coinsurance_code,class_cd,it_remarks) values</v>
      </c>
      <c r="G756" s="24" t="str">
        <f t="shared" si="46"/>
        <v>('29Apr250042','050000760035','1323',(select max(to_number(i.premium_rcv_detail_code))+1
from ins_premium_det i),'1323','1323','02', '11000003','00','Request by Mr. Omair Ali 30-Apr-2025');</v>
      </c>
      <c r="H756" s="25" t="str">
        <f t="shared" si="47"/>
        <v>insert into ins_premium_det (premium_rcv_code,assorted_code, rec_amount,premium_rcv_detail_code,remaining_amt, payrec, mode_code,coinsurance_code,class_cd,it_remarks) values('29Apr250042','050000760035','1323',(select max(to_number(i.premium_rcv_detail_code))+1
from ins_premium_det i),'1323','1323','02', '11000003','00','Request by Mr. Omair Ali 30-Apr-2025');</v>
      </c>
    </row>
    <row r="757" spans="1:8" ht="105" x14ac:dyDescent="0.25">
      <c r="A757" t="s">
        <v>474</v>
      </c>
      <c r="B757" s="1" t="str">
        <f>VLOOKUP(A757,Sheet5!B:C,2,0)</f>
        <v>050000760037</v>
      </c>
      <c r="C757" s="13">
        <v>5761</v>
      </c>
      <c r="D757" s="22">
        <f t="shared" si="45"/>
        <v>5761</v>
      </c>
      <c r="E757" s="21" t="s">
        <v>5912</v>
      </c>
      <c r="F757" s="23" t="str">
        <f t="shared" si="44"/>
        <v>insert into ins_premium_det (premium_rcv_code,assorted_code, rec_amount,premium_rcv_detail_code,remaining_amt, payrec, mode_code,coinsurance_code,class_cd,it_remarks) values</v>
      </c>
      <c r="G757" s="24" t="str">
        <f t="shared" si="46"/>
        <v>('29Apr250042','050000760037','5761',(select max(to_number(i.premium_rcv_detail_code))+1
from ins_premium_det i),'5761','5761','02', '11000003','00','Request by Mr. Omair Ali 30-Apr-2025');</v>
      </c>
      <c r="H757" s="25" t="str">
        <f t="shared" si="47"/>
        <v>insert into ins_premium_det (premium_rcv_code,assorted_code, rec_amount,premium_rcv_detail_code,remaining_amt, payrec, mode_code,coinsurance_code,class_cd,it_remarks) values('29Apr250042','050000760037','5761',(select max(to_number(i.premium_rcv_detail_code))+1
from ins_premium_det i),'5761','5761','02', '11000003','00','Request by Mr. Omair Ali 30-Apr-2025');</v>
      </c>
    </row>
    <row r="758" spans="1:8" ht="105" x14ac:dyDescent="0.25">
      <c r="A758" t="s">
        <v>984</v>
      </c>
      <c r="B758" s="1" t="str">
        <f>VLOOKUP(A758,Sheet5!B:C,2,0)</f>
        <v>050000760043</v>
      </c>
      <c r="C758" s="13">
        <v>254</v>
      </c>
      <c r="D758" s="22">
        <f t="shared" si="45"/>
        <v>254</v>
      </c>
      <c r="E758" s="21" t="s">
        <v>5912</v>
      </c>
      <c r="F758" s="23" t="str">
        <f t="shared" si="44"/>
        <v>insert into ins_premium_det (premium_rcv_code,assorted_code, rec_amount,premium_rcv_detail_code,remaining_amt, payrec, mode_code,coinsurance_code,class_cd,it_remarks) values</v>
      </c>
      <c r="G758" s="24" t="str">
        <f t="shared" si="46"/>
        <v>('29Apr250042','050000760043','254',(select max(to_number(i.premium_rcv_detail_code))+1
from ins_premium_det i),'254','254','02', '11000003','00','Request by Mr. Omair Ali 30-Apr-2025');</v>
      </c>
      <c r="H758" s="25" t="str">
        <f t="shared" si="47"/>
        <v>insert into ins_premium_det (premium_rcv_code,assorted_code, rec_amount,premium_rcv_detail_code,remaining_amt, payrec, mode_code,coinsurance_code,class_cd,it_remarks) values('29Apr250042','050000760043','254',(select max(to_number(i.premium_rcv_detail_code))+1
from ins_premium_det i),'254','254','02', '11000003','00','Request by Mr. Omair Ali 30-Apr-2025');</v>
      </c>
    </row>
    <row r="759" spans="1:8" ht="105" x14ac:dyDescent="0.25">
      <c r="A759" t="s">
        <v>1009</v>
      </c>
      <c r="B759" s="1" t="str">
        <f>VLOOKUP(A759,Sheet5!B:C,2,0)</f>
        <v>050000760046</v>
      </c>
      <c r="C759" s="13">
        <v>4656</v>
      </c>
      <c r="D759" s="22">
        <f t="shared" si="45"/>
        <v>4656</v>
      </c>
      <c r="E759" s="21" t="s">
        <v>5912</v>
      </c>
      <c r="F759" s="23" t="str">
        <f t="shared" si="44"/>
        <v>insert into ins_premium_det (premium_rcv_code,assorted_code, rec_amount,premium_rcv_detail_code,remaining_amt, payrec, mode_code,coinsurance_code,class_cd,it_remarks) values</v>
      </c>
      <c r="G759" s="24" t="str">
        <f t="shared" si="46"/>
        <v>('29Apr250042','050000760046','4656',(select max(to_number(i.premium_rcv_detail_code))+1
from ins_premium_det i),'4656','4656','02', '11000003','00','Request by Mr. Omair Ali 30-Apr-2025');</v>
      </c>
      <c r="H759" s="25" t="str">
        <f t="shared" si="47"/>
        <v>insert into ins_premium_det (premium_rcv_code,assorted_code, rec_amount,premium_rcv_detail_code,remaining_amt, payrec, mode_code,coinsurance_code,class_cd,it_remarks) values('29Apr250042','050000760046','4656',(select max(to_number(i.premium_rcv_detail_code))+1
from ins_premium_det i),'4656','4656','02', '11000003','00','Request by Mr. Omair Ali 30-Apr-2025');</v>
      </c>
    </row>
    <row r="760" spans="1:8" ht="105" x14ac:dyDescent="0.25">
      <c r="A760" t="s">
        <v>1394</v>
      </c>
      <c r="B760" s="1" t="str">
        <f>VLOOKUP(A760,Sheet5!B:C,2,0)</f>
        <v>050000760052</v>
      </c>
      <c r="C760" s="13">
        <v>1350</v>
      </c>
      <c r="D760" s="22">
        <f t="shared" si="45"/>
        <v>1350</v>
      </c>
      <c r="E760" s="21" t="s">
        <v>5912</v>
      </c>
      <c r="F760" s="23" t="str">
        <f t="shared" si="44"/>
        <v>insert into ins_premium_det (premium_rcv_code,assorted_code, rec_amount,premium_rcv_detail_code,remaining_amt, payrec, mode_code,coinsurance_code,class_cd,it_remarks) values</v>
      </c>
      <c r="G760" s="24" t="str">
        <f t="shared" si="46"/>
        <v>('29Apr250042','050000760052','1350',(select max(to_number(i.premium_rcv_detail_code))+1
from ins_premium_det i),'1350','1350','02', '11000003','00','Request by Mr. Omair Ali 30-Apr-2025');</v>
      </c>
      <c r="H760" s="25" t="str">
        <f t="shared" si="47"/>
        <v>insert into ins_premium_det (premium_rcv_code,assorted_code, rec_amount,premium_rcv_detail_code,remaining_amt, payrec, mode_code,coinsurance_code,class_cd,it_remarks) values('29Apr250042','050000760052','1350',(select max(to_number(i.premium_rcv_detail_code))+1
from ins_premium_det i),'1350','1350','02', '11000003','00','Request by Mr. Omair Ali 30-Apr-2025');</v>
      </c>
    </row>
    <row r="761" spans="1:8" ht="105" x14ac:dyDescent="0.25">
      <c r="A761" t="s">
        <v>1595</v>
      </c>
      <c r="B761" s="1" t="str">
        <f>VLOOKUP(A761,Sheet5!B:C,2,0)</f>
        <v>050000760056</v>
      </c>
      <c r="C761" s="13">
        <v>3881</v>
      </c>
      <c r="D761" s="22">
        <f t="shared" si="45"/>
        <v>3881</v>
      </c>
      <c r="E761" s="21" t="s">
        <v>5912</v>
      </c>
      <c r="F761" s="23" t="str">
        <f t="shared" si="44"/>
        <v>insert into ins_premium_det (premium_rcv_code,assorted_code, rec_amount,premium_rcv_detail_code,remaining_amt, payrec, mode_code,coinsurance_code,class_cd,it_remarks) values</v>
      </c>
      <c r="G761" s="24" t="str">
        <f t="shared" si="46"/>
        <v>('29Apr250042','050000760056','3881',(select max(to_number(i.premium_rcv_detail_code))+1
from ins_premium_det i),'3881','3881','02', '11000003','00','Request by Mr. Omair Ali 30-Apr-2025');</v>
      </c>
      <c r="H761" s="25" t="str">
        <f t="shared" si="47"/>
        <v>insert into ins_premium_det (premium_rcv_code,assorted_code, rec_amount,premium_rcv_detail_code,remaining_amt, payrec, mode_code,coinsurance_code,class_cd,it_remarks) values('29Apr250042','050000760056','3881',(select max(to_number(i.premium_rcv_detail_code))+1
from ins_premium_det i),'3881','3881','02', '11000003','00','Request by Mr. Omair Ali 30-Apr-2025');</v>
      </c>
    </row>
    <row r="762" spans="1:8" ht="105" x14ac:dyDescent="0.25">
      <c r="A762" t="s">
        <v>462</v>
      </c>
      <c r="B762" s="1" t="str">
        <f>VLOOKUP(A762,Sheet5!B:C,2,0)</f>
        <v>050000760481</v>
      </c>
      <c r="C762" s="13">
        <v>5468</v>
      </c>
      <c r="D762" s="22">
        <f t="shared" si="45"/>
        <v>5468</v>
      </c>
      <c r="E762" s="21" t="s">
        <v>5912</v>
      </c>
      <c r="F762" s="23" t="str">
        <f t="shared" si="44"/>
        <v>insert into ins_premium_det (premium_rcv_code,assorted_code, rec_amount,premium_rcv_detail_code,remaining_amt, payrec, mode_code,coinsurance_code,class_cd,it_remarks) values</v>
      </c>
      <c r="G762" s="24" t="str">
        <f t="shared" si="46"/>
        <v>('29Apr250042','050000760481','5468',(select max(to_number(i.premium_rcv_detail_code))+1
from ins_premium_det i),'5468','5468','02', '11000003','00','Request by Mr. Omair Ali 30-Apr-2025');</v>
      </c>
      <c r="H762" s="25" t="str">
        <f t="shared" si="47"/>
        <v>insert into ins_premium_det (premium_rcv_code,assorted_code, rec_amount,premium_rcv_detail_code,remaining_amt, payrec, mode_code,coinsurance_code,class_cd,it_remarks) values('29Apr250042','050000760481','5468',(select max(to_number(i.premium_rcv_detail_code))+1
from ins_premium_det i),'5468','5468','02', '11000003','00','Request by Mr. Omair Ali 30-Apr-2025');</v>
      </c>
    </row>
    <row r="763" spans="1:8" ht="105" x14ac:dyDescent="0.25">
      <c r="A763" t="s">
        <v>712</v>
      </c>
      <c r="B763" s="1" t="str">
        <f>VLOOKUP(A763,Sheet5!B:C,2,0)</f>
        <v>050000760485</v>
      </c>
      <c r="C763" s="13">
        <v>155</v>
      </c>
      <c r="D763" s="22">
        <f t="shared" si="45"/>
        <v>155</v>
      </c>
      <c r="E763" s="21" t="s">
        <v>5912</v>
      </c>
      <c r="F763" s="23" t="str">
        <f t="shared" si="44"/>
        <v>insert into ins_premium_det (premium_rcv_code,assorted_code, rec_amount,premium_rcv_detail_code,remaining_amt, payrec, mode_code,coinsurance_code,class_cd,it_remarks) values</v>
      </c>
      <c r="G763" s="24" t="str">
        <f t="shared" si="46"/>
        <v>('29Apr250042','050000760485','155',(select max(to_number(i.premium_rcv_detail_code))+1
from ins_premium_det i),'155','155','02', '11000003','00','Request by Mr. Omair Ali 30-Apr-2025');</v>
      </c>
      <c r="H763" s="25" t="str">
        <f t="shared" si="47"/>
        <v>insert into ins_premium_det (premium_rcv_code,assorted_code, rec_amount,premium_rcv_detail_code,remaining_amt, payrec, mode_code,coinsurance_code,class_cd,it_remarks) values('29Apr250042','050000760485','155',(select max(to_number(i.premium_rcv_detail_code))+1
from ins_premium_det i),'155','155','02', '11000003','00','Request by Mr. Omair Ali 30-Apr-2025');</v>
      </c>
    </row>
    <row r="764" spans="1:8" ht="105" x14ac:dyDescent="0.25">
      <c r="A764" t="s">
        <v>1373</v>
      </c>
      <c r="B764" s="1" t="str">
        <f>VLOOKUP(A764,Sheet5!B:C,2,0)</f>
        <v>050000760494</v>
      </c>
      <c r="C764" s="13">
        <v>1080</v>
      </c>
      <c r="D764" s="22">
        <f t="shared" si="45"/>
        <v>1080</v>
      </c>
      <c r="E764" s="21" t="s">
        <v>5912</v>
      </c>
      <c r="F764" s="23" t="str">
        <f t="shared" si="44"/>
        <v>insert into ins_premium_det (premium_rcv_code,assorted_code, rec_amount,premium_rcv_detail_code,remaining_amt, payrec, mode_code,coinsurance_code,class_cd,it_remarks) values</v>
      </c>
      <c r="G764" s="24" t="str">
        <f t="shared" si="46"/>
        <v>('29Apr250042','050000760494','1080',(select max(to_number(i.premium_rcv_detail_code))+1
from ins_premium_det i),'1080','1080','02', '11000003','00','Request by Mr. Omair Ali 30-Apr-2025');</v>
      </c>
      <c r="H764" s="25" t="str">
        <f t="shared" si="47"/>
        <v>insert into ins_premium_det (premium_rcv_code,assorted_code, rec_amount,premium_rcv_detail_code,remaining_amt, payrec, mode_code,coinsurance_code,class_cd,it_remarks) values('29Apr250042','050000760494','1080',(select max(to_number(i.premium_rcv_detail_code))+1
from ins_premium_det i),'1080','1080','02', '11000003','00','Request by Mr. Omair Ali 30-Apr-2025');</v>
      </c>
    </row>
    <row r="765" spans="1:8" ht="105" x14ac:dyDescent="0.25">
      <c r="A765" t="s">
        <v>1407</v>
      </c>
      <c r="B765" s="1" t="str">
        <f>VLOOKUP(A765,Sheet5!B:C,2,0)</f>
        <v>050000760498</v>
      </c>
      <c r="C765" s="13">
        <v>1669</v>
      </c>
      <c r="D765" s="22">
        <f t="shared" si="45"/>
        <v>1669</v>
      </c>
      <c r="E765" s="21" t="s">
        <v>5912</v>
      </c>
      <c r="F765" s="23" t="str">
        <f t="shared" si="44"/>
        <v>insert into ins_premium_det (premium_rcv_code,assorted_code, rec_amount,premium_rcv_detail_code,remaining_amt, payrec, mode_code,coinsurance_code,class_cd,it_remarks) values</v>
      </c>
      <c r="G765" s="24" t="str">
        <f t="shared" si="46"/>
        <v>('29Apr250042','050000760498','1669',(select max(to_number(i.premium_rcv_detail_code))+1
from ins_premium_det i),'1669','1669','02', '11000003','00','Request by Mr. Omair Ali 30-Apr-2025');</v>
      </c>
      <c r="H765" s="25" t="str">
        <f t="shared" si="47"/>
        <v>insert into ins_premium_det (premium_rcv_code,assorted_code, rec_amount,premium_rcv_detail_code,remaining_amt, payrec, mode_code,coinsurance_code,class_cd,it_remarks) values('29Apr250042','050000760498','1669',(select max(to_number(i.premium_rcv_detail_code))+1
from ins_premium_det i),'1669','1669','02', '11000003','00','Request by Mr. Omair Ali 30-Apr-2025');</v>
      </c>
    </row>
    <row r="766" spans="1:8" ht="105" x14ac:dyDescent="0.25">
      <c r="A766" t="s">
        <v>1494</v>
      </c>
      <c r="B766" s="1" t="str">
        <f>VLOOKUP(A766,Sheet5!B:C,2,0)</f>
        <v>050000760503</v>
      </c>
      <c r="C766" s="13">
        <v>1459</v>
      </c>
      <c r="D766" s="22">
        <f t="shared" si="45"/>
        <v>1459</v>
      </c>
      <c r="E766" s="21" t="s">
        <v>5912</v>
      </c>
      <c r="F766" s="23" t="str">
        <f t="shared" si="44"/>
        <v>insert into ins_premium_det (premium_rcv_code,assorted_code, rec_amount,premium_rcv_detail_code,remaining_amt, payrec, mode_code,coinsurance_code,class_cd,it_remarks) values</v>
      </c>
      <c r="G766" s="24" t="str">
        <f t="shared" si="46"/>
        <v>('29Apr250042','050000760503','1459',(select max(to_number(i.premium_rcv_detail_code))+1
from ins_premium_det i),'1459','1459','02', '11000003','00','Request by Mr. Omair Ali 30-Apr-2025');</v>
      </c>
      <c r="H766" s="25" t="str">
        <f t="shared" si="47"/>
        <v>insert into ins_premium_det (premium_rcv_code,assorted_code, rec_amount,premium_rcv_detail_code,remaining_amt, payrec, mode_code,coinsurance_code,class_cd,it_remarks) values('29Apr250042','050000760503','1459',(select max(to_number(i.premium_rcv_detail_code))+1
from ins_premium_det i),'1459','1459','02', '11000003','00','Request by Mr. Omair Ali 30-Apr-2025');</v>
      </c>
    </row>
    <row r="767" spans="1:8" ht="105" x14ac:dyDescent="0.25">
      <c r="A767" t="s">
        <v>1504</v>
      </c>
      <c r="B767" s="1" t="str">
        <f>VLOOKUP(A767,Sheet5!B:C,2,0)</f>
        <v>050000760504</v>
      </c>
      <c r="C767" s="13">
        <v>7601</v>
      </c>
      <c r="D767" s="22">
        <f t="shared" si="45"/>
        <v>7601</v>
      </c>
      <c r="E767" s="21" t="s">
        <v>5912</v>
      </c>
      <c r="F767" s="23" t="str">
        <f t="shared" si="44"/>
        <v>insert into ins_premium_det (premium_rcv_code,assorted_code, rec_amount,premium_rcv_detail_code,remaining_amt, payrec, mode_code,coinsurance_code,class_cd,it_remarks) values</v>
      </c>
      <c r="G767" s="24" t="str">
        <f t="shared" si="46"/>
        <v>('29Apr250042','050000760504','7601',(select max(to_number(i.premium_rcv_detail_code))+1
from ins_premium_det i),'7601','7601','02', '11000003','00','Request by Mr. Omair Ali 30-Apr-2025');</v>
      </c>
      <c r="H767" s="25" t="str">
        <f t="shared" si="47"/>
        <v>insert into ins_premium_det (premium_rcv_code,assorted_code, rec_amount,premium_rcv_detail_code,remaining_amt, payrec, mode_code,coinsurance_code,class_cd,it_remarks) values('29Apr250042','050000760504','7601',(select max(to_number(i.premium_rcv_detail_code))+1
from ins_premium_det i),'7601','7601','02', '11000003','00','Request by Mr. Omair Ali 30-Apr-2025');</v>
      </c>
    </row>
    <row r="768" spans="1:8" ht="105" x14ac:dyDescent="0.25">
      <c r="A768" t="s">
        <v>1782</v>
      </c>
      <c r="B768" s="1" t="str">
        <f>VLOOKUP(A768,Sheet5!B:C,2,0)</f>
        <v>050000760508</v>
      </c>
      <c r="C768" s="13">
        <v>6777</v>
      </c>
      <c r="D768" s="22">
        <f t="shared" si="45"/>
        <v>6777</v>
      </c>
      <c r="E768" s="21" t="s">
        <v>5912</v>
      </c>
      <c r="F768" s="23" t="str">
        <f t="shared" si="44"/>
        <v>insert into ins_premium_det (premium_rcv_code,assorted_code, rec_amount,premium_rcv_detail_code,remaining_amt, payrec, mode_code,coinsurance_code,class_cd,it_remarks) values</v>
      </c>
      <c r="G768" s="24" t="str">
        <f t="shared" si="46"/>
        <v>('29Apr250042','050000760508','6777',(select max(to_number(i.premium_rcv_detail_code))+1
from ins_premium_det i),'6777','6777','02', '11000003','00','Request by Mr. Omair Ali 30-Apr-2025');</v>
      </c>
      <c r="H768" s="25" t="str">
        <f t="shared" si="47"/>
        <v>insert into ins_premium_det (premium_rcv_code,assorted_code, rec_amount,premium_rcv_detail_code,remaining_amt, payrec, mode_code,coinsurance_code,class_cd,it_remarks) values('29Apr250042','050000760508','6777',(select max(to_number(i.premium_rcv_detail_code))+1
from ins_premium_det i),'6777','6777','02', '11000003','00','Request by Mr. Omair Ali 30-Apr-2025');</v>
      </c>
    </row>
    <row r="769" spans="1:8" ht="105" x14ac:dyDescent="0.25">
      <c r="A769" t="s">
        <v>384</v>
      </c>
      <c r="B769" s="1" t="str">
        <f>VLOOKUP(A769,Sheet5!B:C,2,0)</f>
        <v>050000760560</v>
      </c>
      <c r="C769" s="13">
        <v>557</v>
      </c>
      <c r="D769" s="22">
        <f t="shared" si="45"/>
        <v>557</v>
      </c>
      <c r="E769" s="21" t="s">
        <v>5912</v>
      </c>
      <c r="F769" s="23" t="str">
        <f t="shared" si="44"/>
        <v>insert into ins_premium_det (premium_rcv_code,assorted_code, rec_amount,premium_rcv_detail_code,remaining_amt, payrec, mode_code,coinsurance_code,class_cd,it_remarks) values</v>
      </c>
      <c r="G769" s="24" t="str">
        <f t="shared" si="46"/>
        <v>('29Apr250042','050000760560','557',(select max(to_number(i.premium_rcv_detail_code))+1
from ins_premium_det i),'557','557','02', '11000003','00','Request by Mr. Omair Ali 30-Apr-2025');</v>
      </c>
      <c r="H769" s="25" t="str">
        <f t="shared" si="47"/>
        <v>insert into ins_premium_det (premium_rcv_code,assorted_code, rec_amount,premium_rcv_detail_code,remaining_amt, payrec, mode_code,coinsurance_code,class_cd,it_remarks) values('29Apr250042','050000760560','557',(select max(to_number(i.premium_rcv_detail_code))+1
from ins_premium_det i),'557','557','02', '11000003','00','Request by Mr. Omair Ali 30-Apr-2025');</v>
      </c>
    </row>
    <row r="770" spans="1:8" ht="105" x14ac:dyDescent="0.25">
      <c r="A770" t="s">
        <v>397</v>
      </c>
      <c r="B770" s="1" t="str">
        <f>VLOOKUP(A770,Sheet5!B:C,2,0)</f>
        <v>050000760561</v>
      </c>
      <c r="C770" s="13">
        <v>2702</v>
      </c>
      <c r="D770" s="22">
        <f t="shared" si="45"/>
        <v>2702</v>
      </c>
      <c r="E770" s="21" t="s">
        <v>5912</v>
      </c>
      <c r="F770" s="23" t="str">
        <f t="shared" ref="F770:F833" si="4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770" s="24" t="str">
        <f t="shared" si="46"/>
        <v>('29Apr250042','050000760561','2702',(select max(to_number(i.premium_rcv_detail_code))+1
from ins_premium_det i),'2702','2702','02', '11000003','00','Request by Mr. Omair Ali 30-Apr-2025');</v>
      </c>
      <c r="H770" s="25" t="str">
        <f t="shared" si="47"/>
        <v>insert into ins_premium_det (premium_rcv_code,assorted_code, rec_amount,premium_rcv_detail_code,remaining_amt, payrec, mode_code,coinsurance_code,class_cd,it_remarks) values('29Apr250042','050000760561','2702',(select max(to_number(i.premium_rcv_detail_code))+1
from ins_premium_det i),'2702','2702','02', '11000003','00','Request by Mr. Omair Ali 30-Apr-2025');</v>
      </c>
    </row>
    <row r="771" spans="1:8" ht="105" x14ac:dyDescent="0.25">
      <c r="A771" t="s">
        <v>1170</v>
      </c>
      <c r="B771" s="1" t="str">
        <f>VLOOKUP(A771,Sheet5!B:C,2,0)</f>
        <v>050000760565</v>
      </c>
      <c r="C771" s="13">
        <v>7452</v>
      </c>
      <c r="D771" s="22">
        <f t="shared" ref="D771:D834" si="49">ROUND(C771,0)</f>
        <v>7452</v>
      </c>
      <c r="E771" s="21" t="s">
        <v>5912</v>
      </c>
      <c r="F771" s="23" t="str">
        <f t="shared" si="48"/>
        <v>insert into ins_premium_det (premium_rcv_code,assorted_code, rec_amount,premium_rcv_detail_code,remaining_amt, payrec, mode_code,coinsurance_code,class_cd,it_remarks) values</v>
      </c>
      <c r="G771" s="24" t="str">
        <f t="shared" ref="G771:G834" si="50">"('"&amp;E771&amp;"','"&amp;B771&amp;"','"&amp;D771&amp;"',(select max(to_number(i.premium_rcv_detail_code))+1
from ins_premium_det i),'"&amp;D771&amp;"','"&amp;D771&amp;"','02', '11000003','00','Request by Mr. Omair Ali 30-Apr-2025');"</f>
        <v>('29Apr250042','050000760565','7452',(select max(to_number(i.premium_rcv_detail_code))+1
from ins_premium_det i),'7452','7452','02', '11000003','00','Request by Mr. Omair Ali 30-Apr-2025');</v>
      </c>
      <c r="H771" s="25" t="str">
        <f t="shared" ref="H771:H834" si="51">F771&amp;G771</f>
        <v>insert into ins_premium_det (premium_rcv_code,assorted_code, rec_amount,premium_rcv_detail_code,remaining_amt, payrec, mode_code,coinsurance_code,class_cd,it_remarks) values('29Apr250042','050000760565','7452',(select max(to_number(i.premium_rcv_detail_code))+1
from ins_premium_det i),'7452','7452','02', '11000003','00','Request by Mr. Omair Ali 30-Apr-2025');</v>
      </c>
    </row>
    <row r="772" spans="1:8" ht="105" x14ac:dyDescent="0.25">
      <c r="A772" t="s">
        <v>1609</v>
      </c>
      <c r="B772" s="1" t="str">
        <f>VLOOKUP(A772,Sheet5!B:C,2,0)</f>
        <v>050000760569</v>
      </c>
      <c r="C772" s="13">
        <v>3081</v>
      </c>
      <c r="D772" s="22">
        <f t="shared" si="49"/>
        <v>3081</v>
      </c>
      <c r="E772" s="21" t="s">
        <v>5912</v>
      </c>
      <c r="F772" s="23" t="str">
        <f t="shared" si="48"/>
        <v>insert into ins_premium_det (premium_rcv_code,assorted_code, rec_amount,premium_rcv_detail_code,remaining_amt, payrec, mode_code,coinsurance_code,class_cd,it_remarks) values</v>
      </c>
      <c r="G772" s="24" t="str">
        <f t="shared" si="50"/>
        <v>('29Apr250042','050000760569','3081',(select max(to_number(i.premium_rcv_detail_code))+1
from ins_premium_det i),'3081','3081','02', '11000003','00','Request by Mr. Omair Ali 30-Apr-2025');</v>
      </c>
      <c r="H772" s="25" t="str">
        <f t="shared" si="51"/>
        <v>insert into ins_premium_det (premium_rcv_code,assorted_code, rec_amount,premium_rcv_detail_code,remaining_amt, payrec, mode_code,coinsurance_code,class_cd,it_remarks) values('29Apr250042','050000760569','3081',(select max(to_number(i.premium_rcv_detail_code))+1
from ins_premium_det i),'3081','3081','02', '11000003','00','Request by Mr. Omair Ali 30-Apr-2025');</v>
      </c>
    </row>
    <row r="773" spans="1:8" ht="105" x14ac:dyDescent="0.25">
      <c r="A773" t="s">
        <v>1852</v>
      </c>
      <c r="B773" s="1" t="str">
        <f>VLOOKUP(A773,Sheet5!B:C,2,0)</f>
        <v>050000760571</v>
      </c>
      <c r="C773" s="13">
        <v>2810</v>
      </c>
      <c r="D773" s="22">
        <f t="shared" si="49"/>
        <v>2810</v>
      </c>
      <c r="E773" s="21" t="s">
        <v>5912</v>
      </c>
      <c r="F773" s="23" t="str">
        <f t="shared" si="48"/>
        <v>insert into ins_premium_det (premium_rcv_code,assorted_code, rec_amount,premium_rcv_detail_code,remaining_amt, payrec, mode_code,coinsurance_code,class_cd,it_remarks) values</v>
      </c>
      <c r="G773" s="24" t="str">
        <f t="shared" si="50"/>
        <v>('29Apr250042','050000760571','2810',(select max(to_number(i.premium_rcv_detail_code))+1
from ins_premium_det i),'2810','2810','02', '11000003','00','Request by Mr. Omair Ali 30-Apr-2025');</v>
      </c>
      <c r="H773" s="25" t="str">
        <f t="shared" si="51"/>
        <v>insert into ins_premium_det (premium_rcv_code,assorted_code, rec_amount,premium_rcv_detail_code,remaining_amt, payrec, mode_code,coinsurance_code,class_cd,it_remarks) values('29Apr250042','050000760571','2810',(select max(to_number(i.premium_rcv_detail_code))+1
from ins_premium_det i),'2810','2810','02', '11000003','00','Request by Mr. Omair Ali 30-Apr-2025');</v>
      </c>
    </row>
    <row r="774" spans="1:8" ht="105" x14ac:dyDescent="0.25">
      <c r="A774" t="s">
        <v>368</v>
      </c>
      <c r="B774" s="1" t="str">
        <f>VLOOKUP(A774,Sheet5!B:C,2,0)</f>
        <v>050000760679</v>
      </c>
      <c r="C774" s="13">
        <v>336</v>
      </c>
      <c r="D774" s="22">
        <f t="shared" si="49"/>
        <v>336</v>
      </c>
      <c r="E774" s="21" t="s">
        <v>5912</v>
      </c>
      <c r="F774" s="23" t="str">
        <f t="shared" si="48"/>
        <v>insert into ins_premium_det (premium_rcv_code,assorted_code, rec_amount,premium_rcv_detail_code,remaining_amt, payrec, mode_code,coinsurance_code,class_cd,it_remarks) values</v>
      </c>
      <c r="G774" s="24" t="str">
        <f t="shared" si="50"/>
        <v>('29Apr250042','050000760679','336',(select max(to_number(i.premium_rcv_detail_code))+1
from ins_premium_det i),'336','336','02', '11000003','00','Request by Mr. Omair Ali 30-Apr-2025');</v>
      </c>
      <c r="H774" s="25" t="str">
        <f t="shared" si="51"/>
        <v>insert into ins_premium_det (premium_rcv_code,assorted_code, rec_amount,premium_rcv_detail_code,remaining_amt, payrec, mode_code,coinsurance_code,class_cd,it_remarks) values('29Apr250042','050000760679','336',(select max(to_number(i.premium_rcv_detail_code))+1
from ins_premium_det i),'336','336','02', '11000003','00','Request by Mr. Omair Ali 30-Apr-2025');</v>
      </c>
    </row>
    <row r="775" spans="1:8" ht="105" x14ac:dyDescent="0.25">
      <c r="A775" t="s">
        <v>483</v>
      </c>
      <c r="B775" s="1" t="str">
        <f>VLOOKUP(A775,Sheet5!B:C,2,0)</f>
        <v>050000760682</v>
      </c>
      <c r="C775" s="13">
        <v>1561</v>
      </c>
      <c r="D775" s="22">
        <f t="shared" si="49"/>
        <v>1561</v>
      </c>
      <c r="E775" s="21" t="s">
        <v>5912</v>
      </c>
      <c r="F775" s="23" t="str">
        <f t="shared" si="48"/>
        <v>insert into ins_premium_det (premium_rcv_code,assorted_code, rec_amount,premium_rcv_detail_code,remaining_amt, payrec, mode_code,coinsurance_code,class_cd,it_remarks) values</v>
      </c>
      <c r="G775" s="24" t="str">
        <f t="shared" si="50"/>
        <v>('29Apr250042','050000760682','1561',(select max(to_number(i.premium_rcv_detail_code))+1
from ins_premium_det i),'1561','1561','02', '11000003','00','Request by Mr. Omair Ali 30-Apr-2025');</v>
      </c>
      <c r="H775" s="25" t="str">
        <f t="shared" si="51"/>
        <v>insert into ins_premium_det (premium_rcv_code,assorted_code, rec_amount,premium_rcv_detail_code,remaining_amt, payrec, mode_code,coinsurance_code,class_cd,it_remarks) values('29Apr250042','050000760682','1561',(select max(to_number(i.premium_rcv_detail_code))+1
from ins_premium_det i),'1561','1561','02', '11000003','00','Request by Mr. Omair Ali 30-Apr-2025');</v>
      </c>
    </row>
    <row r="776" spans="1:8" ht="105" x14ac:dyDescent="0.25">
      <c r="A776" t="s">
        <v>723</v>
      </c>
      <c r="B776" s="1" t="str">
        <f>VLOOKUP(A776,Sheet5!B:C,2,0)</f>
        <v>050000760684</v>
      </c>
      <c r="C776" s="13">
        <v>4779</v>
      </c>
      <c r="D776" s="22">
        <f t="shared" si="49"/>
        <v>4779</v>
      </c>
      <c r="E776" s="21" t="s">
        <v>5912</v>
      </c>
      <c r="F776" s="23" t="str">
        <f t="shared" si="48"/>
        <v>insert into ins_premium_det (premium_rcv_code,assorted_code, rec_amount,premium_rcv_detail_code,remaining_amt, payrec, mode_code,coinsurance_code,class_cd,it_remarks) values</v>
      </c>
      <c r="G776" s="24" t="str">
        <f t="shared" si="50"/>
        <v>('29Apr250042','050000760684','4779',(select max(to_number(i.premium_rcv_detail_code))+1
from ins_premium_det i),'4779','4779','02', '11000003','00','Request by Mr. Omair Ali 30-Apr-2025');</v>
      </c>
      <c r="H776" s="25" t="str">
        <f t="shared" si="51"/>
        <v>insert into ins_premium_det (premium_rcv_code,assorted_code, rec_amount,premium_rcv_detail_code,remaining_amt, payrec, mode_code,coinsurance_code,class_cd,it_remarks) values('29Apr250042','050000760684','4779',(select max(to_number(i.premium_rcv_detail_code))+1
from ins_premium_det i),'4779','4779','02', '11000003','00','Request by Mr. Omair Ali 30-Apr-2025');</v>
      </c>
    </row>
    <row r="777" spans="1:8" ht="105" x14ac:dyDescent="0.25">
      <c r="A777" t="s">
        <v>1029</v>
      </c>
      <c r="B777" s="1" t="str">
        <f>VLOOKUP(A777,Sheet5!B:C,2,0)</f>
        <v>050000760687</v>
      </c>
      <c r="C777" s="13">
        <v>1805</v>
      </c>
      <c r="D777" s="22">
        <f t="shared" si="49"/>
        <v>1805</v>
      </c>
      <c r="E777" s="21" t="s">
        <v>5912</v>
      </c>
      <c r="F777" s="23" t="str">
        <f t="shared" si="48"/>
        <v>insert into ins_premium_det (premium_rcv_code,assorted_code, rec_amount,premium_rcv_detail_code,remaining_amt, payrec, mode_code,coinsurance_code,class_cd,it_remarks) values</v>
      </c>
      <c r="G777" s="24" t="str">
        <f t="shared" si="50"/>
        <v>('29Apr250042','050000760687','1805',(select max(to_number(i.premium_rcv_detail_code))+1
from ins_premium_det i),'1805','1805','02', '11000003','00','Request by Mr. Omair Ali 30-Apr-2025');</v>
      </c>
      <c r="H777" s="25" t="str">
        <f t="shared" si="51"/>
        <v>insert into ins_premium_det (premium_rcv_code,assorted_code, rec_amount,premium_rcv_detail_code,remaining_amt, payrec, mode_code,coinsurance_code,class_cd,it_remarks) values('29Apr250042','050000760687','1805',(select max(to_number(i.premium_rcv_detail_code))+1
from ins_premium_det i),'1805','1805','02', '11000003','00','Request by Mr. Omair Ali 30-Apr-2025');</v>
      </c>
    </row>
    <row r="778" spans="1:8" ht="105" x14ac:dyDescent="0.25">
      <c r="A778" t="s">
        <v>1196</v>
      </c>
      <c r="B778" s="1" t="str">
        <f>VLOOKUP(A778,Sheet5!B:C,2,0)</f>
        <v>050000760694</v>
      </c>
      <c r="C778" s="13">
        <v>3896</v>
      </c>
      <c r="D778" s="22">
        <f t="shared" si="49"/>
        <v>3896</v>
      </c>
      <c r="E778" s="21" t="s">
        <v>5912</v>
      </c>
      <c r="F778" s="23" t="str">
        <f t="shared" si="48"/>
        <v>insert into ins_premium_det (premium_rcv_code,assorted_code, rec_amount,premium_rcv_detail_code,remaining_amt, payrec, mode_code,coinsurance_code,class_cd,it_remarks) values</v>
      </c>
      <c r="G778" s="24" t="str">
        <f t="shared" si="50"/>
        <v>('29Apr250042','050000760694','3896',(select max(to_number(i.premium_rcv_detail_code))+1
from ins_premium_det i),'3896','3896','02', '11000003','00','Request by Mr. Omair Ali 30-Apr-2025');</v>
      </c>
      <c r="H778" s="25" t="str">
        <f t="shared" si="51"/>
        <v>insert into ins_premium_det (premium_rcv_code,assorted_code, rec_amount,premium_rcv_detail_code,remaining_amt, payrec, mode_code,coinsurance_code,class_cd,it_remarks) values('29Apr250042','050000760694','3896',(select max(to_number(i.premium_rcv_detail_code))+1
from ins_premium_det i),'3896','3896','02', '11000003','00','Request by Mr. Omair Ali 30-Apr-2025');</v>
      </c>
    </row>
    <row r="779" spans="1:8" ht="105" x14ac:dyDescent="0.25">
      <c r="A779" t="s">
        <v>1529</v>
      </c>
      <c r="B779" s="1" t="str">
        <f>VLOOKUP(A779,Sheet5!B:C,2,0)</f>
        <v>050000760697</v>
      </c>
      <c r="C779" s="13">
        <v>940</v>
      </c>
      <c r="D779" s="22">
        <f t="shared" si="49"/>
        <v>940</v>
      </c>
      <c r="E779" s="21" t="s">
        <v>5912</v>
      </c>
      <c r="F779" s="23" t="str">
        <f t="shared" si="48"/>
        <v>insert into ins_premium_det (premium_rcv_code,assorted_code, rec_amount,premium_rcv_detail_code,remaining_amt, payrec, mode_code,coinsurance_code,class_cd,it_remarks) values</v>
      </c>
      <c r="G779" s="24" t="str">
        <f t="shared" si="50"/>
        <v>('29Apr250042','050000760697','940',(select max(to_number(i.premium_rcv_detail_code))+1
from ins_premium_det i),'940','940','02', '11000003','00','Request by Mr. Omair Ali 30-Apr-2025');</v>
      </c>
      <c r="H779" s="25" t="str">
        <f t="shared" si="51"/>
        <v>insert into ins_premium_det (premium_rcv_code,assorted_code, rec_amount,premium_rcv_detail_code,remaining_amt, payrec, mode_code,coinsurance_code,class_cd,it_remarks) values('29Apr250042','050000760697','940',(select max(to_number(i.premium_rcv_detail_code))+1
from ins_premium_det i),'940','940','02', '11000003','00','Request by Mr. Omair Ali 30-Apr-2025');</v>
      </c>
    </row>
    <row r="780" spans="1:8" ht="105" x14ac:dyDescent="0.25">
      <c r="A780" t="s">
        <v>1537</v>
      </c>
      <c r="B780" s="1" t="str">
        <f>VLOOKUP(A780,Sheet5!B:C,2,0)</f>
        <v>050000760698</v>
      </c>
      <c r="C780" s="13">
        <v>3813</v>
      </c>
      <c r="D780" s="22">
        <f t="shared" si="49"/>
        <v>3813</v>
      </c>
      <c r="E780" s="21" t="s">
        <v>5912</v>
      </c>
      <c r="F780" s="23" t="str">
        <f t="shared" si="48"/>
        <v>insert into ins_premium_det (premium_rcv_code,assorted_code, rec_amount,premium_rcv_detail_code,remaining_amt, payrec, mode_code,coinsurance_code,class_cd,it_remarks) values</v>
      </c>
      <c r="G780" s="24" t="str">
        <f t="shared" si="50"/>
        <v>('29Apr250042','050000760698','3813',(select max(to_number(i.premium_rcv_detail_code))+1
from ins_premium_det i),'3813','3813','02', '11000003','00','Request by Mr. Omair Ali 30-Apr-2025');</v>
      </c>
      <c r="H780" s="25" t="str">
        <f t="shared" si="51"/>
        <v>insert into ins_premium_det (premium_rcv_code,assorted_code, rec_amount,premium_rcv_detail_code,remaining_amt, payrec, mode_code,coinsurance_code,class_cd,it_remarks) values('29Apr250042','050000760698','3813',(select max(to_number(i.premium_rcv_detail_code))+1
from ins_premium_det i),'3813','3813','02', '11000003','00','Request by Mr. Omair Ali 30-Apr-2025');</v>
      </c>
    </row>
    <row r="781" spans="1:8" ht="105" x14ac:dyDescent="0.25">
      <c r="A781" t="s">
        <v>564</v>
      </c>
      <c r="B781" s="1" t="str">
        <f>VLOOKUP(A781,Sheet5!B:C,2,0)</f>
        <v>050000761024</v>
      </c>
      <c r="C781" s="13">
        <v>790</v>
      </c>
      <c r="D781" s="22">
        <f t="shared" si="49"/>
        <v>790</v>
      </c>
      <c r="E781" s="21" t="s">
        <v>5912</v>
      </c>
      <c r="F781" s="23" t="str">
        <f t="shared" si="48"/>
        <v>insert into ins_premium_det (premium_rcv_code,assorted_code, rec_amount,premium_rcv_detail_code,remaining_amt, payrec, mode_code,coinsurance_code,class_cd,it_remarks) values</v>
      </c>
      <c r="G781" s="24" t="str">
        <f t="shared" si="50"/>
        <v>('29Apr250042','050000761024','790',(select max(to_number(i.premium_rcv_detail_code))+1
from ins_premium_det i),'790','790','02', '11000003','00','Request by Mr. Omair Ali 30-Apr-2025');</v>
      </c>
      <c r="H781" s="25" t="str">
        <f t="shared" si="51"/>
        <v>insert into ins_premium_det (premium_rcv_code,assorted_code, rec_amount,premium_rcv_detail_code,remaining_amt, payrec, mode_code,coinsurance_code,class_cd,it_remarks) values('29Apr250042','050000761024','790',(select max(to_number(i.premium_rcv_detail_code))+1
from ins_premium_det i),'790','790','02', '11000003','00','Request by Mr. Omair Ali 30-Apr-2025');</v>
      </c>
    </row>
    <row r="782" spans="1:8" ht="105" x14ac:dyDescent="0.25">
      <c r="A782" t="s">
        <v>740</v>
      </c>
      <c r="B782" s="1" t="str">
        <f>VLOOKUP(A782,Sheet5!B:C,2,0)</f>
        <v>050000761028</v>
      </c>
      <c r="C782" s="13">
        <v>1467</v>
      </c>
      <c r="D782" s="22">
        <f t="shared" si="49"/>
        <v>1467</v>
      </c>
      <c r="E782" s="21" t="s">
        <v>5912</v>
      </c>
      <c r="F782" s="23" t="str">
        <f t="shared" si="48"/>
        <v>insert into ins_premium_det (premium_rcv_code,assorted_code, rec_amount,premium_rcv_detail_code,remaining_amt, payrec, mode_code,coinsurance_code,class_cd,it_remarks) values</v>
      </c>
      <c r="G782" s="24" t="str">
        <f t="shared" si="50"/>
        <v>('29Apr250042','050000761028','1467',(select max(to_number(i.premium_rcv_detail_code))+1
from ins_premium_det i),'1467','1467','02', '11000003','00','Request by Mr. Omair Ali 30-Apr-2025');</v>
      </c>
      <c r="H782" s="25" t="str">
        <f t="shared" si="51"/>
        <v>insert into ins_premium_det (premium_rcv_code,assorted_code, rec_amount,premium_rcv_detail_code,remaining_amt, payrec, mode_code,coinsurance_code,class_cd,it_remarks) values('29Apr250042','050000761028','1467',(select max(to_number(i.premium_rcv_detail_code))+1
from ins_premium_det i),'1467','1467','02', '11000003','00','Request by Mr. Omair Ali 30-Apr-2025');</v>
      </c>
    </row>
    <row r="783" spans="1:8" ht="105" x14ac:dyDescent="0.25">
      <c r="A783" t="s">
        <v>748</v>
      </c>
      <c r="B783" s="1" t="str">
        <f>VLOOKUP(A783,Sheet5!B:C,2,0)</f>
        <v>050000761029</v>
      </c>
      <c r="C783" s="13">
        <v>1451</v>
      </c>
      <c r="D783" s="22">
        <f t="shared" si="49"/>
        <v>1451</v>
      </c>
      <c r="E783" s="21" t="s">
        <v>5912</v>
      </c>
      <c r="F783" s="23" t="str">
        <f t="shared" si="48"/>
        <v>insert into ins_premium_det (premium_rcv_code,assorted_code, rec_amount,premium_rcv_detail_code,remaining_amt, payrec, mode_code,coinsurance_code,class_cd,it_remarks) values</v>
      </c>
      <c r="G783" s="24" t="str">
        <f t="shared" si="50"/>
        <v>('29Apr250042','050000761029','1451',(select max(to_number(i.premium_rcv_detail_code))+1
from ins_premium_det i),'1451','1451','02', '11000003','00','Request by Mr. Omair Ali 30-Apr-2025');</v>
      </c>
      <c r="H783" s="25" t="str">
        <f t="shared" si="51"/>
        <v>insert into ins_premium_det (premium_rcv_code,assorted_code, rec_amount,premium_rcv_detail_code,remaining_amt, payrec, mode_code,coinsurance_code,class_cd,it_remarks) values('29Apr250042','050000761029','1451',(select max(to_number(i.premium_rcv_detail_code))+1
from ins_premium_det i),'1451','1451','02', '11000003','00','Request by Mr. Omair Ali 30-Apr-2025');</v>
      </c>
    </row>
    <row r="784" spans="1:8" ht="105" x14ac:dyDescent="0.25">
      <c r="A784" t="s">
        <v>877</v>
      </c>
      <c r="B784" s="1" t="str">
        <f>VLOOKUP(A784,Sheet5!B:C,2,0)</f>
        <v>050000761030</v>
      </c>
      <c r="C784" s="13">
        <v>5433</v>
      </c>
      <c r="D784" s="22">
        <f t="shared" si="49"/>
        <v>5433</v>
      </c>
      <c r="E784" s="21" t="s">
        <v>5912</v>
      </c>
      <c r="F784" s="23" t="str">
        <f t="shared" si="48"/>
        <v>insert into ins_premium_det (premium_rcv_code,assorted_code, rec_amount,premium_rcv_detail_code,remaining_amt, payrec, mode_code,coinsurance_code,class_cd,it_remarks) values</v>
      </c>
      <c r="G784" s="24" t="str">
        <f t="shared" si="50"/>
        <v>('29Apr250042','050000761030','5433',(select max(to_number(i.premium_rcv_detail_code))+1
from ins_premium_det i),'5433','5433','02', '11000003','00','Request by Mr. Omair Ali 30-Apr-2025');</v>
      </c>
      <c r="H784" s="25" t="str">
        <f t="shared" si="51"/>
        <v>insert into ins_premium_det (premium_rcv_code,assorted_code, rec_amount,premium_rcv_detail_code,remaining_amt, payrec, mode_code,coinsurance_code,class_cd,it_remarks) values('29Apr250042','050000761030','5433',(select max(to_number(i.premium_rcv_detail_code))+1
from ins_premium_det i),'5433','5433','02', '11000003','00','Request by Mr. Omair Ali 30-Apr-2025');</v>
      </c>
    </row>
    <row r="785" spans="1:8" ht="105" x14ac:dyDescent="0.25">
      <c r="A785" t="s">
        <v>1523</v>
      </c>
      <c r="B785" s="1" t="str">
        <f>VLOOKUP(A785,Sheet5!B:C,2,0)</f>
        <v>050000761039</v>
      </c>
      <c r="C785" s="13">
        <v>4813</v>
      </c>
      <c r="D785" s="22">
        <f t="shared" si="49"/>
        <v>4813</v>
      </c>
      <c r="E785" s="21" t="s">
        <v>5912</v>
      </c>
      <c r="F785" s="23" t="str">
        <f t="shared" si="48"/>
        <v>insert into ins_premium_det (premium_rcv_code,assorted_code, rec_amount,premium_rcv_detail_code,remaining_amt, payrec, mode_code,coinsurance_code,class_cd,it_remarks) values</v>
      </c>
      <c r="G785" s="24" t="str">
        <f t="shared" si="50"/>
        <v>('29Apr250042','050000761039','4813',(select max(to_number(i.premium_rcv_detail_code))+1
from ins_premium_det i),'4813','4813','02', '11000003','00','Request by Mr. Omair Ali 30-Apr-2025');</v>
      </c>
      <c r="H785" s="25" t="str">
        <f t="shared" si="51"/>
        <v>insert into ins_premium_det (premium_rcv_code,assorted_code, rec_amount,premium_rcv_detail_code,remaining_amt, payrec, mode_code,coinsurance_code,class_cd,it_remarks) values('29Apr250042','050000761039','4813',(select max(to_number(i.premium_rcv_detail_code))+1
from ins_premium_det i),'4813','4813','02', '11000003','00','Request by Mr. Omair Ali 30-Apr-2025');</v>
      </c>
    </row>
    <row r="786" spans="1:8" ht="105" x14ac:dyDescent="0.25">
      <c r="A786" t="s">
        <v>1642</v>
      </c>
      <c r="B786" s="1" t="str">
        <f>VLOOKUP(A786,Sheet5!B:C,2,0)</f>
        <v>050000761041</v>
      </c>
      <c r="C786" s="13">
        <v>2148</v>
      </c>
      <c r="D786" s="22">
        <f t="shared" si="49"/>
        <v>2148</v>
      </c>
      <c r="E786" s="21" t="s">
        <v>5912</v>
      </c>
      <c r="F786" s="23" t="str">
        <f t="shared" si="48"/>
        <v>insert into ins_premium_det (premium_rcv_code,assorted_code, rec_amount,premium_rcv_detail_code,remaining_amt, payrec, mode_code,coinsurance_code,class_cd,it_remarks) values</v>
      </c>
      <c r="G786" s="24" t="str">
        <f t="shared" si="50"/>
        <v>('29Apr250042','050000761041','2148',(select max(to_number(i.premium_rcv_detail_code))+1
from ins_premium_det i),'2148','2148','02', '11000003','00','Request by Mr. Omair Ali 30-Apr-2025');</v>
      </c>
      <c r="H786" s="25" t="str">
        <f t="shared" si="51"/>
        <v>insert into ins_premium_det (premium_rcv_code,assorted_code, rec_amount,premium_rcv_detail_code,remaining_amt, payrec, mode_code,coinsurance_code,class_cd,it_remarks) values('29Apr250042','050000761041','2148',(select max(to_number(i.premium_rcv_detail_code))+1
from ins_premium_det i),'2148','2148','02', '11000003','00','Request by Mr. Omair Ali 30-Apr-2025');</v>
      </c>
    </row>
    <row r="787" spans="1:8" ht="105" x14ac:dyDescent="0.25">
      <c r="A787" t="s">
        <v>571</v>
      </c>
      <c r="B787" s="1" t="str">
        <f>VLOOKUP(A787,Sheet5!B:C,2,0)</f>
        <v>050000761098</v>
      </c>
      <c r="C787" s="13">
        <v>2026</v>
      </c>
      <c r="D787" s="22">
        <f t="shared" si="49"/>
        <v>2026</v>
      </c>
      <c r="E787" s="21" t="s">
        <v>5912</v>
      </c>
      <c r="F787" s="23" t="str">
        <f t="shared" si="48"/>
        <v>insert into ins_premium_det (premium_rcv_code,assorted_code, rec_amount,premium_rcv_detail_code,remaining_amt, payrec, mode_code,coinsurance_code,class_cd,it_remarks) values</v>
      </c>
      <c r="G787" s="24" t="str">
        <f t="shared" si="50"/>
        <v>('29Apr250042','050000761098','2026',(select max(to_number(i.premium_rcv_detail_code))+1
from ins_premium_det i),'2026','2026','02', '11000003','00','Request by Mr. Omair Ali 30-Apr-2025');</v>
      </c>
      <c r="H787" s="25" t="str">
        <f t="shared" si="51"/>
        <v>insert into ins_premium_det (premium_rcv_code,assorted_code, rec_amount,premium_rcv_detail_code,remaining_amt, payrec, mode_code,coinsurance_code,class_cd,it_remarks) values('29Apr250042','050000761098','2026',(select max(to_number(i.premium_rcv_detail_code))+1
from ins_premium_det i),'2026','2026','02', '11000003','00','Request by Mr. Omair Ali 30-Apr-2025');</v>
      </c>
    </row>
    <row r="788" spans="1:8" ht="105" x14ac:dyDescent="0.25">
      <c r="A788" t="s">
        <v>1043</v>
      </c>
      <c r="B788" s="1" t="str">
        <f>VLOOKUP(A788,Sheet5!B:C,2,0)</f>
        <v>050000761107</v>
      </c>
      <c r="C788" s="13">
        <v>-3532</v>
      </c>
      <c r="D788" s="22">
        <f t="shared" si="49"/>
        <v>-3532</v>
      </c>
      <c r="E788" s="21" t="s">
        <v>5912</v>
      </c>
      <c r="F788" s="23" t="str">
        <f t="shared" si="48"/>
        <v>insert into ins_premium_det (premium_rcv_code,assorted_code, rec_amount,premium_rcv_detail_code,remaining_amt, payrec, mode_code,coinsurance_code,class_cd,it_remarks) values</v>
      </c>
      <c r="G788" s="24" t="str">
        <f t="shared" si="50"/>
        <v>('29Apr250042','050000761107','-3532',(select max(to_number(i.premium_rcv_detail_code))+1
from ins_premium_det i),'-3532','-3532','02', '11000003','00','Request by Mr. Omair Ali 30-Apr-2025');</v>
      </c>
      <c r="H788" s="25" t="str">
        <f t="shared" si="51"/>
        <v>insert into ins_premium_det (premium_rcv_code,assorted_code, rec_amount,premium_rcv_detail_code,remaining_amt, payrec, mode_code,coinsurance_code,class_cd,it_remarks) values('29Apr250042','050000761107','-3532',(select max(to_number(i.premium_rcv_detail_code))+1
from ins_premium_det i),'-3532','-3532','02', '11000003','00','Request by Mr. Omair Ali 30-Apr-2025');</v>
      </c>
    </row>
    <row r="789" spans="1:8" ht="105" x14ac:dyDescent="0.25">
      <c r="A789" t="s">
        <v>1206</v>
      </c>
      <c r="B789" s="1" t="str">
        <f>VLOOKUP(A789,Sheet5!B:C,2,0)</f>
        <v>050000761110</v>
      </c>
      <c r="C789" s="13">
        <v>2805</v>
      </c>
      <c r="D789" s="22">
        <f t="shared" si="49"/>
        <v>2805</v>
      </c>
      <c r="E789" s="21" t="s">
        <v>5912</v>
      </c>
      <c r="F789" s="23" t="str">
        <f t="shared" si="48"/>
        <v>insert into ins_premium_det (premium_rcv_code,assorted_code, rec_amount,premium_rcv_detail_code,remaining_amt, payrec, mode_code,coinsurance_code,class_cd,it_remarks) values</v>
      </c>
      <c r="G789" s="24" t="str">
        <f t="shared" si="50"/>
        <v>('29Apr250042','050000761110','2805',(select max(to_number(i.premium_rcv_detail_code))+1
from ins_premium_det i),'2805','2805','02', '11000003','00','Request by Mr. Omair Ali 30-Apr-2025');</v>
      </c>
      <c r="H789" s="25" t="str">
        <f t="shared" si="51"/>
        <v>insert into ins_premium_det (premium_rcv_code,assorted_code, rec_amount,premium_rcv_detail_code,remaining_amt, payrec, mode_code,coinsurance_code,class_cd,it_remarks) values('29Apr250042','050000761110','2805',(select max(to_number(i.premium_rcv_detail_code))+1
from ins_premium_det i),'2805','2805','02', '11000003','00','Request by Mr. Omair Ali 30-Apr-2025');</v>
      </c>
    </row>
    <row r="790" spans="1:8" ht="105" x14ac:dyDescent="0.25">
      <c r="A790" t="s">
        <v>1552</v>
      </c>
      <c r="B790" s="1" t="str">
        <f>VLOOKUP(A790,Sheet5!B:C,2,0)</f>
        <v>050000761121</v>
      </c>
      <c r="C790" s="13">
        <v>6266</v>
      </c>
      <c r="D790" s="22">
        <f t="shared" si="49"/>
        <v>6266</v>
      </c>
      <c r="E790" s="21" t="s">
        <v>5912</v>
      </c>
      <c r="F790" s="23" t="str">
        <f t="shared" si="48"/>
        <v>insert into ins_premium_det (premium_rcv_code,assorted_code, rec_amount,premium_rcv_detail_code,remaining_amt, payrec, mode_code,coinsurance_code,class_cd,it_remarks) values</v>
      </c>
      <c r="G790" s="24" t="str">
        <f t="shared" si="50"/>
        <v>('29Apr250042','050000761121','6266',(select max(to_number(i.premium_rcv_detail_code))+1
from ins_premium_det i),'6266','6266','02', '11000003','00','Request by Mr. Omair Ali 30-Apr-2025');</v>
      </c>
      <c r="H790" s="25" t="str">
        <f t="shared" si="51"/>
        <v>insert into ins_premium_det (premium_rcv_code,assorted_code, rec_amount,premium_rcv_detail_code,remaining_amt, payrec, mode_code,coinsurance_code,class_cd,it_remarks) values('29Apr250042','050000761121','6266',(select max(to_number(i.premium_rcv_detail_code))+1
from ins_premium_det i),'6266','6266','02', '11000003','00','Request by Mr. Omair Ali 30-Apr-2025');</v>
      </c>
    </row>
    <row r="791" spans="1:8" ht="105" x14ac:dyDescent="0.25">
      <c r="A791" t="s">
        <v>1620</v>
      </c>
      <c r="B791" s="1" t="str">
        <f>VLOOKUP(A791,Sheet5!B:C,2,0)</f>
        <v>050000761124</v>
      </c>
      <c r="C791" s="13">
        <v>1664</v>
      </c>
      <c r="D791" s="22">
        <f t="shared" si="49"/>
        <v>1664</v>
      </c>
      <c r="E791" s="21" t="s">
        <v>5912</v>
      </c>
      <c r="F791" s="23" t="str">
        <f t="shared" si="48"/>
        <v>insert into ins_premium_det (premium_rcv_code,assorted_code, rec_amount,premium_rcv_detail_code,remaining_amt, payrec, mode_code,coinsurance_code,class_cd,it_remarks) values</v>
      </c>
      <c r="G791" s="24" t="str">
        <f t="shared" si="50"/>
        <v>('29Apr250042','050000761124','1664',(select max(to_number(i.premium_rcv_detail_code))+1
from ins_premium_det i),'1664','1664','02', '11000003','00','Request by Mr. Omair Ali 30-Apr-2025');</v>
      </c>
      <c r="H791" s="25" t="str">
        <f t="shared" si="51"/>
        <v>insert into ins_premium_det (premium_rcv_code,assorted_code, rec_amount,premium_rcv_detail_code,remaining_amt, payrec, mode_code,coinsurance_code,class_cd,it_remarks) values('29Apr250042','050000761124','1664',(select max(to_number(i.premium_rcv_detail_code))+1
from ins_premium_det i),'1664','1664','02', '11000003','00','Request by Mr. Omair Ali 30-Apr-2025');</v>
      </c>
    </row>
    <row r="792" spans="1:8" ht="105" x14ac:dyDescent="0.25">
      <c r="A792" t="s">
        <v>1651</v>
      </c>
      <c r="B792" s="1" t="str">
        <f>VLOOKUP(A792,Sheet5!B:C,2,0)</f>
        <v>050000761128</v>
      </c>
      <c r="C792" s="13">
        <v>874</v>
      </c>
      <c r="D792" s="22">
        <f t="shared" si="49"/>
        <v>874</v>
      </c>
      <c r="E792" s="21" t="s">
        <v>5912</v>
      </c>
      <c r="F792" s="23" t="str">
        <f t="shared" si="48"/>
        <v>insert into ins_premium_det (premium_rcv_code,assorted_code, rec_amount,premium_rcv_detail_code,remaining_amt, payrec, mode_code,coinsurance_code,class_cd,it_remarks) values</v>
      </c>
      <c r="G792" s="24" t="str">
        <f t="shared" si="50"/>
        <v>('29Apr250042','050000761128','874',(select max(to_number(i.premium_rcv_detail_code))+1
from ins_premium_det i),'874','874','02', '11000003','00','Request by Mr. Omair Ali 30-Apr-2025');</v>
      </c>
      <c r="H792" s="25" t="str">
        <f t="shared" si="51"/>
        <v>insert into ins_premium_det (premium_rcv_code,assorted_code, rec_amount,premium_rcv_detail_code,remaining_amt, payrec, mode_code,coinsurance_code,class_cd,it_remarks) values('29Apr250042','050000761128','874',(select max(to_number(i.premium_rcv_detail_code))+1
from ins_premium_det i),'874','874','02', '11000003','00','Request by Mr. Omair Ali 30-Apr-2025');</v>
      </c>
    </row>
    <row r="793" spans="1:8" ht="105" x14ac:dyDescent="0.25">
      <c r="A793" t="s">
        <v>1665</v>
      </c>
      <c r="B793" s="1" t="str">
        <f>VLOOKUP(A793,Sheet5!B:C,2,0)</f>
        <v>050000761129</v>
      </c>
      <c r="C793" s="13">
        <v>6370</v>
      </c>
      <c r="D793" s="22">
        <f t="shared" si="49"/>
        <v>6370</v>
      </c>
      <c r="E793" s="21" t="s">
        <v>5912</v>
      </c>
      <c r="F793" s="23" t="str">
        <f t="shared" si="48"/>
        <v>insert into ins_premium_det (premium_rcv_code,assorted_code, rec_amount,premium_rcv_detail_code,remaining_amt, payrec, mode_code,coinsurance_code,class_cd,it_remarks) values</v>
      </c>
      <c r="G793" s="24" t="str">
        <f t="shared" si="50"/>
        <v>('29Apr250042','050000761129','6370',(select max(to_number(i.premium_rcv_detail_code))+1
from ins_premium_det i),'6370','6370','02', '11000003','00','Request by Mr. Omair Ali 30-Apr-2025');</v>
      </c>
      <c r="H793" s="25" t="str">
        <f t="shared" si="51"/>
        <v>insert into ins_premium_det (premium_rcv_code,assorted_code, rec_amount,premium_rcv_detail_code,remaining_amt, payrec, mode_code,coinsurance_code,class_cd,it_remarks) values('29Apr250042','050000761129','6370',(select max(to_number(i.premium_rcv_detail_code))+1
from ins_premium_det i),'6370','6370','02', '11000003','00','Request by Mr. Omair Ali 30-Apr-2025');</v>
      </c>
    </row>
    <row r="794" spans="1:8" ht="105" x14ac:dyDescent="0.25">
      <c r="A794" t="s">
        <v>1675</v>
      </c>
      <c r="B794" s="1" t="str">
        <f>VLOOKUP(A794,Sheet5!B:C,2,0)</f>
        <v>050000761131</v>
      </c>
      <c r="C794" s="13">
        <v>1657</v>
      </c>
      <c r="D794" s="22">
        <f t="shared" si="49"/>
        <v>1657</v>
      </c>
      <c r="E794" s="21" t="s">
        <v>5912</v>
      </c>
      <c r="F794" s="23" t="str">
        <f t="shared" si="48"/>
        <v>insert into ins_premium_det (premium_rcv_code,assorted_code, rec_amount,premium_rcv_detail_code,remaining_amt, payrec, mode_code,coinsurance_code,class_cd,it_remarks) values</v>
      </c>
      <c r="G794" s="24" t="str">
        <f t="shared" si="50"/>
        <v>('29Apr250042','050000761131','1657',(select max(to_number(i.premium_rcv_detail_code))+1
from ins_premium_det i),'1657','1657','02', '11000003','00','Request by Mr. Omair Ali 30-Apr-2025');</v>
      </c>
      <c r="H794" s="25" t="str">
        <f t="shared" si="51"/>
        <v>insert into ins_premium_det (premium_rcv_code,assorted_code, rec_amount,premium_rcv_detail_code,remaining_amt, payrec, mode_code,coinsurance_code,class_cd,it_remarks) values('29Apr250042','050000761131','1657',(select max(to_number(i.premium_rcv_detail_code))+1
from ins_premium_det i),'1657','1657','02', '11000003','00','Request by Mr. Omair Ali 30-Apr-2025');</v>
      </c>
    </row>
    <row r="795" spans="1:8" ht="105" x14ac:dyDescent="0.25">
      <c r="A795" t="s">
        <v>1801</v>
      </c>
      <c r="B795" s="1" t="str">
        <f>VLOOKUP(A795,Sheet5!B:C,2,0)</f>
        <v>050000761133</v>
      </c>
      <c r="C795" s="13">
        <v>4852</v>
      </c>
      <c r="D795" s="22">
        <f t="shared" si="49"/>
        <v>4852</v>
      </c>
      <c r="E795" s="21" t="s">
        <v>5912</v>
      </c>
      <c r="F795" s="23" t="str">
        <f t="shared" si="48"/>
        <v>insert into ins_premium_det (premium_rcv_code,assorted_code, rec_amount,premium_rcv_detail_code,remaining_amt, payrec, mode_code,coinsurance_code,class_cd,it_remarks) values</v>
      </c>
      <c r="G795" s="24" t="str">
        <f t="shared" si="50"/>
        <v>('29Apr250042','050000761133','4852',(select max(to_number(i.premium_rcv_detail_code))+1
from ins_premium_det i),'4852','4852','02', '11000003','00','Request by Mr. Omair Ali 30-Apr-2025');</v>
      </c>
      <c r="H795" s="25" t="str">
        <f t="shared" si="51"/>
        <v>insert into ins_premium_det (premium_rcv_code,assorted_code, rec_amount,premium_rcv_detail_code,remaining_amt, payrec, mode_code,coinsurance_code,class_cd,it_remarks) values('29Apr250042','050000761133','4852',(select max(to_number(i.premium_rcv_detail_code))+1
from ins_premium_det i),'4852','4852','02', '11000003','00','Request by Mr. Omair Ali 30-Apr-2025');</v>
      </c>
    </row>
    <row r="796" spans="1:8" ht="105" x14ac:dyDescent="0.25">
      <c r="A796" t="s">
        <v>1857</v>
      </c>
      <c r="B796" s="1" t="str">
        <f>VLOOKUP(A796,Sheet5!B:C,2,0)</f>
        <v>050000761142</v>
      </c>
      <c r="C796" s="13">
        <v>6140</v>
      </c>
      <c r="D796" s="22">
        <f t="shared" si="49"/>
        <v>6140</v>
      </c>
      <c r="E796" s="21" t="s">
        <v>5912</v>
      </c>
      <c r="F796" s="23" t="str">
        <f t="shared" si="48"/>
        <v>insert into ins_premium_det (premium_rcv_code,assorted_code, rec_amount,premium_rcv_detail_code,remaining_amt, payrec, mode_code,coinsurance_code,class_cd,it_remarks) values</v>
      </c>
      <c r="G796" s="24" t="str">
        <f t="shared" si="50"/>
        <v>('29Apr250042','050000761142','6140',(select max(to_number(i.premium_rcv_detail_code))+1
from ins_premium_det i),'6140','6140','02', '11000003','00','Request by Mr. Omair Ali 30-Apr-2025');</v>
      </c>
      <c r="H796" s="25" t="str">
        <f t="shared" si="51"/>
        <v>insert into ins_premium_det (premium_rcv_code,assorted_code, rec_amount,premium_rcv_detail_code,remaining_amt, payrec, mode_code,coinsurance_code,class_cd,it_remarks) values('29Apr250042','050000761142','6140',(select max(to_number(i.premium_rcv_detail_code))+1
from ins_premium_det i),'6140','6140','02', '11000003','00','Request by Mr. Omair Ali 30-Apr-2025');</v>
      </c>
    </row>
    <row r="797" spans="1:8" ht="105" x14ac:dyDescent="0.25">
      <c r="A797" t="s">
        <v>1865</v>
      </c>
      <c r="B797" s="1" t="str">
        <f>VLOOKUP(A797,Sheet5!B:C,2,0)</f>
        <v>050000761143</v>
      </c>
      <c r="C797" s="13">
        <v>2486</v>
      </c>
      <c r="D797" s="22">
        <f t="shared" si="49"/>
        <v>2486</v>
      </c>
      <c r="E797" s="21" t="s">
        <v>5912</v>
      </c>
      <c r="F797" s="23" t="str">
        <f t="shared" si="48"/>
        <v>insert into ins_premium_det (premium_rcv_code,assorted_code, rec_amount,premium_rcv_detail_code,remaining_amt, payrec, mode_code,coinsurance_code,class_cd,it_remarks) values</v>
      </c>
      <c r="G797" s="24" t="str">
        <f t="shared" si="50"/>
        <v>('29Apr250042','050000761143','2486',(select max(to_number(i.premium_rcv_detail_code))+1
from ins_premium_det i),'2486','2486','02', '11000003','00','Request by Mr. Omair Ali 30-Apr-2025');</v>
      </c>
      <c r="H797" s="25" t="str">
        <f t="shared" si="51"/>
        <v>insert into ins_premium_det (premium_rcv_code,assorted_code, rec_amount,premium_rcv_detail_code,remaining_amt, payrec, mode_code,coinsurance_code,class_cd,it_remarks) values('29Apr250042','050000761143','2486',(select max(to_number(i.premium_rcv_detail_code))+1
from ins_premium_det i),'2486','2486','02', '11000003','00','Request by Mr. Omair Ali 30-Apr-2025');</v>
      </c>
    </row>
    <row r="798" spans="1:8" ht="105" x14ac:dyDescent="0.25">
      <c r="A798" t="s">
        <v>1873</v>
      </c>
      <c r="B798" s="1" t="str">
        <f>VLOOKUP(A798,Sheet5!B:C,2,0)</f>
        <v>050000761145</v>
      </c>
      <c r="C798" s="13">
        <v>6641</v>
      </c>
      <c r="D798" s="22">
        <f t="shared" si="49"/>
        <v>6641</v>
      </c>
      <c r="E798" s="21" t="s">
        <v>5912</v>
      </c>
      <c r="F798" s="23" t="str">
        <f t="shared" si="48"/>
        <v>insert into ins_premium_det (premium_rcv_code,assorted_code, rec_amount,premium_rcv_detail_code,remaining_amt, payrec, mode_code,coinsurance_code,class_cd,it_remarks) values</v>
      </c>
      <c r="G798" s="24" t="str">
        <f t="shared" si="50"/>
        <v>('29Apr250042','050000761145','6641',(select max(to_number(i.premium_rcv_detail_code))+1
from ins_premium_det i),'6641','6641','02', '11000003','00','Request by Mr. Omair Ali 30-Apr-2025');</v>
      </c>
      <c r="H798" s="25" t="str">
        <f t="shared" si="51"/>
        <v>insert into ins_premium_det (premium_rcv_code,assorted_code, rec_amount,premium_rcv_detail_code,remaining_amt, payrec, mode_code,coinsurance_code,class_cd,it_remarks) values('29Apr250042','050000761145','6641',(select max(to_number(i.premium_rcv_detail_code))+1
from ins_premium_det i),'6641','6641','02', '11000003','00','Request by Mr. Omair Ali 30-Apr-2025');</v>
      </c>
    </row>
    <row r="799" spans="1:8" ht="105" x14ac:dyDescent="0.25">
      <c r="A799" t="s">
        <v>610</v>
      </c>
      <c r="B799" s="1" t="str">
        <f>VLOOKUP(A799,Sheet5!B:C,2,0)</f>
        <v>050000761184</v>
      </c>
      <c r="C799" s="13">
        <v>5330</v>
      </c>
      <c r="D799" s="22">
        <f t="shared" si="49"/>
        <v>5330</v>
      </c>
      <c r="E799" s="21" t="s">
        <v>5912</v>
      </c>
      <c r="F799" s="23" t="str">
        <f t="shared" si="48"/>
        <v>insert into ins_premium_det (premium_rcv_code,assorted_code, rec_amount,premium_rcv_detail_code,remaining_amt, payrec, mode_code,coinsurance_code,class_cd,it_remarks) values</v>
      </c>
      <c r="G799" s="24" t="str">
        <f t="shared" si="50"/>
        <v>('29Apr250042','050000761184','5330',(select max(to_number(i.premium_rcv_detail_code))+1
from ins_premium_det i),'5330','5330','02', '11000003','00','Request by Mr. Omair Ali 30-Apr-2025');</v>
      </c>
      <c r="H799" s="25" t="str">
        <f t="shared" si="51"/>
        <v>insert into ins_premium_det (premium_rcv_code,assorted_code, rec_amount,premium_rcv_detail_code,remaining_amt, payrec, mode_code,coinsurance_code,class_cd,it_remarks) values('29Apr250042','050000761184','5330',(select max(to_number(i.premium_rcv_detail_code))+1
from ins_premium_det i),'5330','5330','02', '11000003','00','Request by Mr. Omair Ali 30-Apr-2025');</v>
      </c>
    </row>
    <row r="800" spans="1:8" ht="105" x14ac:dyDescent="0.25">
      <c r="A800" t="s">
        <v>889</v>
      </c>
      <c r="B800" s="1" t="str">
        <f>VLOOKUP(A800,Sheet5!B:C,2,0)</f>
        <v>050000761185</v>
      </c>
      <c r="C800" s="13">
        <v>2083</v>
      </c>
      <c r="D800" s="22">
        <f t="shared" si="49"/>
        <v>2083</v>
      </c>
      <c r="E800" s="21" t="s">
        <v>5912</v>
      </c>
      <c r="F800" s="23" t="str">
        <f t="shared" si="48"/>
        <v>insert into ins_premium_det (premium_rcv_code,assorted_code, rec_amount,premium_rcv_detail_code,remaining_amt, payrec, mode_code,coinsurance_code,class_cd,it_remarks) values</v>
      </c>
      <c r="G800" s="24" t="str">
        <f t="shared" si="50"/>
        <v>('29Apr250042','050000761185','2083',(select max(to_number(i.premium_rcv_detail_code))+1
from ins_premium_det i),'2083','2083','02', '11000003','00','Request by Mr. Omair Ali 30-Apr-2025');</v>
      </c>
      <c r="H800" s="25" t="str">
        <f t="shared" si="51"/>
        <v>insert into ins_premium_det (premium_rcv_code,assorted_code, rec_amount,premium_rcv_detail_code,remaining_amt, payrec, mode_code,coinsurance_code,class_cd,it_remarks) values('29Apr250042','050000761185','2083',(select max(to_number(i.premium_rcv_detail_code))+1
from ins_premium_det i),'2083','2083','02', '11000003','00','Request by Mr. Omair Ali 30-Apr-2025');</v>
      </c>
    </row>
    <row r="801" spans="1:8" ht="105" x14ac:dyDescent="0.25">
      <c r="A801" t="s">
        <v>1254</v>
      </c>
      <c r="B801" s="1" t="str">
        <f>VLOOKUP(A801,Sheet5!B:C,2,0)</f>
        <v>050000761197</v>
      </c>
      <c r="C801" s="13">
        <v>830</v>
      </c>
      <c r="D801" s="22">
        <f t="shared" si="49"/>
        <v>830</v>
      </c>
      <c r="E801" s="21" t="s">
        <v>5912</v>
      </c>
      <c r="F801" s="23" t="str">
        <f t="shared" si="48"/>
        <v>insert into ins_premium_det (premium_rcv_code,assorted_code, rec_amount,premium_rcv_detail_code,remaining_amt, payrec, mode_code,coinsurance_code,class_cd,it_remarks) values</v>
      </c>
      <c r="G801" s="24" t="str">
        <f t="shared" si="50"/>
        <v>('29Apr250042','050000761197','830',(select max(to_number(i.premium_rcv_detail_code))+1
from ins_premium_det i),'830','830','02', '11000003','00','Request by Mr. Omair Ali 30-Apr-2025');</v>
      </c>
      <c r="H801" s="25" t="str">
        <f t="shared" si="51"/>
        <v>insert into ins_premium_det (premium_rcv_code,assorted_code, rec_amount,premium_rcv_detail_code,remaining_amt, payrec, mode_code,coinsurance_code,class_cd,it_remarks) values('29Apr250042','050000761197','830',(select max(to_number(i.premium_rcv_detail_code))+1
from ins_premium_det i),'830','830','02', '11000003','00','Request by Mr. Omair Ali 30-Apr-2025');</v>
      </c>
    </row>
    <row r="802" spans="1:8" ht="105" x14ac:dyDescent="0.25">
      <c r="A802" t="s">
        <v>1658</v>
      </c>
      <c r="B802" s="1" t="str">
        <f>VLOOKUP(A802,Sheet5!B:C,2,0)</f>
        <v>050000761206</v>
      </c>
      <c r="C802" s="13">
        <v>1984</v>
      </c>
      <c r="D802" s="22">
        <f t="shared" si="49"/>
        <v>1984</v>
      </c>
      <c r="E802" s="21" t="s">
        <v>5912</v>
      </c>
      <c r="F802" s="23" t="str">
        <f t="shared" si="48"/>
        <v>insert into ins_premium_det (premium_rcv_code,assorted_code, rec_amount,premium_rcv_detail_code,remaining_amt, payrec, mode_code,coinsurance_code,class_cd,it_remarks) values</v>
      </c>
      <c r="G802" s="24" t="str">
        <f t="shared" si="50"/>
        <v>('29Apr250042','050000761206','1984',(select max(to_number(i.premium_rcv_detail_code))+1
from ins_premium_det i),'1984','1984','02', '11000003','00','Request by Mr. Omair Ali 30-Apr-2025');</v>
      </c>
      <c r="H802" s="25" t="str">
        <f t="shared" si="51"/>
        <v>insert into ins_premium_det (premium_rcv_code,assorted_code, rec_amount,premium_rcv_detail_code,remaining_amt, payrec, mode_code,coinsurance_code,class_cd,it_remarks) values('29Apr250042','050000761206','1984',(select max(to_number(i.premium_rcv_detail_code))+1
from ins_premium_det i),'1984','1984','02', '11000003','00','Request by Mr. Omair Ali 30-Apr-2025');</v>
      </c>
    </row>
    <row r="803" spans="1:8" ht="105" x14ac:dyDescent="0.25">
      <c r="A803" t="s">
        <v>1807</v>
      </c>
      <c r="B803" s="1" t="str">
        <f>VLOOKUP(A803,Sheet5!B:C,2,0)</f>
        <v>050000761208</v>
      </c>
      <c r="C803" s="13">
        <v>4960</v>
      </c>
      <c r="D803" s="22">
        <f t="shared" si="49"/>
        <v>4960</v>
      </c>
      <c r="E803" s="21" t="s">
        <v>5912</v>
      </c>
      <c r="F803" s="23" t="str">
        <f t="shared" si="48"/>
        <v>insert into ins_premium_det (premium_rcv_code,assorted_code, rec_amount,premium_rcv_detail_code,remaining_amt, payrec, mode_code,coinsurance_code,class_cd,it_remarks) values</v>
      </c>
      <c r="G803" s="24" t="str">
        <f t="shared" si="50"/>
        <v>('29Apr250042','050000761208','4960',(select max(to_number(i.premium_rcv_detail_code))+1
from ins_premium_det i),'4960','4960','02', '11000003','00','Request by Mr. Omair Ali 30-Apr-2025');</v>
      </c>
      <c r="H803" s="25" t="str">
        <f t="shared" si="51"/>
        <v>insert into ins_premium_det (premium_rcv_code,assorted_code, rec_amount,premium_rcv_detail_code,remaining_amt, payrec, mode_code,coinsurance_code,class_cd,it_remarks) values('29Apr250042','050000761208','4960',(select max(to_number(i.premium_rcv_detail_code))+1
from ins_premium_det i),'4960','4960','02', '11000003','00','Request by Mr. Omair Ali 30-Apr-2025');</v>
      </c>
    </row>
    <row r="804" spans="1:8" ht="105" x14ac:dyDescent="0.25">
      <c r="A804" t="s">
        <v>1815</v>
      </c>
      <c r="B804" s="1" t="str">
        <f>VLOOKUP(A804,Sheet5!B:C,2,0)</f>
        <v>050000761209</v>
      </c>
      <c r="C804" s="13">
        <v>1034</v>
      </c>
      <c r="D804" s="22">
        <f t="shared" si="49"/>
        <v>1034</v>
      </c>
      <c r="E804" s="21" t="s">
        <v>5912</v>
      </c>
      <c r="F804" s="23" t="str">
        <f t="shared" si="48"/>
        <v>insert into ins_premium_det (premium_rcv_code,assorted_code, rec_amount,premium_rcv_detail_code,remaining_amt, payrec, mode_code,coinsurance_code,class_cd,it_remarks) values</v>
      </c>
      <c r="G804" s="24" t="str">
        <f t="shared" si="50"/>
        <v>('29Apr250042','050000761209','1034',(select max(to_number(i.premium_rcv_detail_code))+1
from ins_premium_det i),'1034','1034','02', '11000003','00','Request by Mr. Omair Ali 30-Apr-2025');</v>
      </c>
      <c r="H804" s="25" t="str">
        <f t="shared" si="51"/>
        <v>insert into ins_premium_det (premium_rcv_code,assorted_code, rec_amount,premium_rcv_detail_code,remaining_amt, payrec, mode_code,coinsurance_code,class_cd,it_remarks) values('29Apr250042','050000761209','1034',(select max(to_number(i.premium_rcv_detail_code))+1
from ins_premium_det i),'1034','1034','02', '11000003','00','Request by Mr. Omair Ali 30-Apr-2025');</v>
      </c>
    </row>
    <row r="805" spans="1:8" ht="105" x14ac:dyDescent="0.25">
      <c r="A805" t="s">
        <v>1876</v>
      </c>
      <c r="B805" s="1" t="str">
        <f>VLOOKUP(A805,Sheet5!B:C,2,0)</f>
        <v>050000761210</v>
      </c>
      <c r="C805" s="13">
        <v>174</v>
      </c>
      <c r="D805" s="22">
        <f t="shared" si="49"/>
        <v>174</v>
      </c>
      <c r="E805" s="21" t="s">
        <v>5912</v>
      </c>
      <c r="F805" s="23" t="str">
        <f t="shared" si="48"/>
        <v>insert into ins_premium_det (premium_rcv_code,assorted_code, rec_amount,premium_rcv_detail_code,remaining_amt, payrec, mode_code,coinsurance_code,class_cd,it_remarks) values</v>
      </c>
      <c r="G805" s="24" t="str">
        <f t="shared" si="50"/>
        <v>('29Apr250042','050000761210','174',(select max(to_number(i.premium_rcv_detail_code))+1
from ins_premium_det i),'174','174','02', '11000003','00','Request by Mr. Omair Ali 30-Apr-2025');</v>
      </c>
      <c r="H805" s="25" t="str">
        <f t="shared" si="51"/>
        <v>insert into ins_premium_det (premium_rcv_code,assorted_code, rec_amount,premium_rcv_detail_code,remaining_amt, payrec, mode_code,coinsurance_code,class_cd,it_remarks) values('29Apr250042','050000761210','174',(select max(to_number(i.premium_rcv_detail_code))+1
from ins_premium_det i),'174','174','02', '11000003','00','Request by Mr. Omair Ali 30-Apr-2025');</v>
      </c>
    </row>
    <row r="806" spans="1:8" ht="105" x14ac:dyDescent="0.25">
      <c r="A806" t="s">
        <v>1891</v>
      </c>
      <c r="B806" s="1" t="str">
        <f>VLOOKUP(A806,Sheet5!B:C,2,0)</f>
        <v>050000761213</v>
      </c>
      <c r="C806" s="13">
        <v>3824</v>
      </c>
      <c r="D806" s="22">
        <f t="shared" si="49"/>
        <v>3824</v>
      </c>
      <c r="E806" s="21" t="s">
        <v>5912</v>
      </c>
      <c r="F806" s="23" t="str">
        <f t="shared" si="48"/>
        <v>insert into ins_premium_det (premium_rcv_code,assorted_code, rec_amount,premium_rcv_detail_code,remaining_amt, payrec, mode_code,coinsurance_code,class_cd,it_remarks) values</v>
      </c>
      <c r="G806" s="24" t="str">
        <f t="shared" si="50"/>
        <v>('29Apr250042','050000761213','3824',(select max(to_number(i.premium_rcv_detail_code))+1
from ins_premium_det i),'3824','3824','02', '11000003','00','Request by Mr. Omair Ali 30-Apr-2025');</v>
      </c>
      <c r="H806" s="25" t="str">
        <f t="shared" si="51"/>
        <v>insert into ins_premium_det (premium_rcv_code,assorted_code, rec_amount,premium_rcv_detail_code,remaining_amt, payrec, mode_code,coinsurance_code,class_cd,it_remarks) values('29Apr250042','050000761213','3824',(select max(to_number(i.premium_rcv_detail_code))+1
from ins_premium_det i),'3824','3824','02', '11000003','00','Request by Mr. Omair Ali 30-Apr-2025');</v>
      </c>
    </row>
    <row r="807" spans="1:8" ht="105" x14ac:dyDescent="0.25">
      <c r="A807" t="s">
        <v>930</v>
      </c>
      <c r="B807" s="1" t="str">
        <f>VLOOKUP(A807,Sheet5!B:C,2,0)</f>
        <v>050000761553</v>
      </c>
      <c r="C807" s="13">
        <v>4637</v>
      </c>
      <c r="D807" s="22">
        <f t="shared" si="49"/>
        <v>4637</v>
      </c>
      <c r="E807" s="21" t="s">
        <v>5912</v>
      </c>
      <c r="F807" s="23" t="str">
        <f t="shared" si="48"/>
        <v>insert into ins_premium_det (premium_rcv_code,assorted_code, rec_amount,premium_rcv_detail_code,remaining_amt, payrec, mode_code,coinsurance_code,class_cd,it_remarks) values</v>
      </c>
      <c r="G807" s="24" t="str">
        <f t="shared" si="50"/>
        <v>('29Apr250042','050000761553','4637',(select max(to_number(i.premium_rcv_detail_code))+1
from ins_premium_det i),'4637','4637','02', '11000003','00','Request by Mr. Omair Ali 30-Apr-2025');</v>
      </c>
      <c r="H807" s="25" t="str">
        <f t="shared" si="51"/>
        <v>insert into ins_premium_det (premium_rcv_code,assorted_code, rec_amount,premium_rcv_detail_code,remaining_amt, payrec, mode_code,coinsurance_code,class_cd,it_remarks) values('29Apr250042','050000761553','4637',(select max(to_number(i.premium_rcv_detail_code))+1
from ins_premium_det i),'4637','4637','02', '11000003','00','Request by Mr. Omair Ali 30-Apr-2025');</v>
      </c>
    </row>
    <row r="808" spans="1:8" ht="105" x14ac:dyDescent="0.25">
      <c r="A808" t="s">
        <v>1416</v>
      </c>
      <c r="B808" s="1" t="str">
        <f>VLOOKUP(A808,Sheet5!B:C,2,0)</f>
        <v>050000761555</v>
      </c>
      <c r="C808" s="13">
        <v>4084</v>
      </c>
      <c r="D808" s="22">
        <f t="shared" si="49"/>
        <v>4084</v>
      </c>
      <c r="E808" s="21" t="s">
        <v>5912</v>
      </c>
      <c r="F808" s="23" t="str">
        <f t="shared" si="48"/>
        <v>insert into ins_premium_det (premium_rcv_code,assorted_code, rec_amount,premium_rcv_detail_code,remaining_amt, payrec, mode_code,coinsurance_code,class_cd,it_remarks) values</v>
      </c>
      <c r="G808" s="24" t="str">
        <f t="shared" si="50"/>
        <v>('29Apr250042','050000761555','4084',(select max(to_number(i.premium_rcv_detail_code))+1
from ins_premium_det i),'4084','4084','02', '11000003','00','Request by Mr. Omair Ali 30-Apr-2025');</v>
      </c>
      <c r="H808" s="25" t="str">
        <f t="shared" si="51"/>
        <v>insert into ins_premium_det (premium_rcv_code,assorted_code, rec_amount,premium_rcv_detail_code,remaining_amt, payrec, mode_code,coinsurance_code,class_cd,it_remarks) values('29Apr250042','050000761555','4084',(select max(to_number(i.premium_rcv_detail_code))+1
from ins_premium_det i),'4084','4084','02', '11000003','00','Request by Mr. Omair Ali 30-Apr-2025');</v>
      </c>
    </row>
    <row r="809" spans="1:8" ht="105" x14ac:dyDescent="0.25">
      <c r="A809" t="s">
        <v>755</v>
      </c>
      <c r="B809" s="1" t="str">
        <f>VLOOKUP(A809,Sheet5!B:C,2,0)</f>
        <v>050000761951</v>
      </c>
      <c r="C809" s="13">
        <v>3729</v>
      </c>
      <c r="D809" s="22">
        <f t="shared" si="49"/>
        <v>3729</v>
      </c>
      <c r="E809" s="21" t="s">
        <v>5912</v>
      </c>
      <c r="F809" s="23" t="str">
        <f t="shared" si="48"/>
        <v>insert into ins_premium_det (premium_rcv_code,assorted_code, rec_amount,premium_rcv_detail_code,remaining_amt, payrec, mode_code,coinsurance_code,class_cd,it_remarks) values</v>
      </c>
      <c r="G809" s="24" t="str">
        <f t="shared" si="50"/>
        <v>('29Apr250042','050000761951','3729',(select max(to_number(i.premium_rcv_detail_code))+1
from ins_premium_det i),'3729','3729','02', '11000003','00','Request by Mr. Omair Ali 30-Apr-2025');</v>
      </c>
      <c r="H809" s="25" t="str">
        <f t="shared" si="51"/>
        <v>insert into ins_premium_det (premium_rcv_code,assorted_code, rec_amount,premium_rcv_detail_code,remaining_amt, payrec, mode_code,coinsurance_code,class_cd,it_remarks) values('29Apr250042','050000761951','3729',(select max(to_number(i.premium_rcv_detail_code))+1
from ins_premium_det i),'3729','3729','02', '11000003','00','Request by Mr. Omair Ali 30-Apr-2025');</v>
      </c>
    </row>
    <row r="810" spans="1:8" ht="105" x14ac:dyDescent="0.25">
      <c r="A810" t="s">
        <v>915</v>
      </c>
      <c r="B810" s="1" t="str">
        <f>VLOOKUP(A810,Sheet5!B:C,2,0)</f>
        <v>050000761957</v>
      </c>
      <c r="C810" s="13">
        <v>440</v>
      </c>
      <c r="D810" s="22">
        <f t="shared" si="49"/>
        <v>440</v>
      </c>
      <c r="E810" s="21" t="s">
        <v>5912</v>
      </c>
      <c r="F810" s="23" t="str">
        <f t="shared" si="48"/>
        <v>insert into ins_premium_det (premium_rcv_code,assorted_code, rec_amount,premium_rcv_detail_code,remaining_amt, payrec, mode_code,coinsurance_code,class_cd,it_remarks) values</v>
      </c>
      <c r="G810" s="24" t="str">
        <f t="shared" si="50"/>
        <v>('29Apr250042','050000761957','440',(select max(to_number(i.premium_rcv_detail_code))+1
from ins_premium_det i),'440','440','02', '11000003','00','Request by Mr. Omair Ali 30-Apr-2025');</v>
      </c>
      <c r="H810" s="25" t="str">
        <f t="shared" si="51"/>
        <v>insert into ins_premium_det (premium_rcv_code,assorted_code, rec_amount,premium_rcv_detail_code,remaining_amt, payrec, mode_code,coinsurance_code,class_cd,it_remarks) values('29Apr250042','050000761957','440',(select max(to_number(i.premium_rcv_detail_code))+1
from ins_premium_det i),'440','440','02', '11000003','00','Request by Mr. Omair Ali 30-Apr-2025');</v>
      </c>
    </row>
    <row r="811" spans="1:8" ht="105" x14ac:dyDescent="0.25">
      <c r="A811" t="s">
        <v>1447</v>
      </c>
      <c r="B811" s="1" t="str">
        <f>VLOOKUP(A811,Sheet5!B:C,2,0)</f>
        <v>050000761967</v>
      </c>
      <c r="C811" s="13">
        <v>1126</v>
      </c>
      <c r="D811" s="22">
        <f t="shared" si="49"/>
        <v>1126</v>
      </c>
      <c r="E811" s="21" t="s">
        <v>5912</v>
      </c>
      <c r="F811" s="23" t="str">
        <f t="shared" si="48"/>
        <v>insert into ins_premium_det (premium_rcv_code,assorted_code, rec_amount,premium_rcv_detail_code,remaining_amt, payrec, mode_code,coinsurance_code,class_cd,it_remarks) values</v>
      </c>
      <c r="G811" s="24" t="str">
        <f t="shared" si="50"/>
        <v>('29Apr250042','050000761967','1126',(select max(to_number(i.premium_rcv_detail_code))+1
from ins_premium_det i),'1126','1126','02', '11000003','00','Request by Mr. Omair Ali 30-Apr-2025');</v>
      </c>
      <c r="H811" s="25" t="str">
        <f t="shared" si="51"/>
        <v>insert into ins_premium_det (premium_rcv_code,assorted_code, rec_amount,premium_rcv_detail_code,remaining_amt, payrec, mode_code,coinsurance_code,class_cd,it_remarks) values('29Apr250042','050000761967','1126',(select max(to_number(i.premium_rcv_detail_code))+1
from ins_premium_det i),'1126','1126','02', '11000003','00','Request by Mr. Omair Ali 30-Apr-2025');</v>
      </c>
    </row>
    <row r="812" spans="1:8" ht="105" x14ac:dyDescent="0.25">
      <c r="A812" t="s">
        <v>1684</v>
      </c>
      <c r="B812" s="1" t="str">
        <f>VLOOKUP(A812,Sheet5!B:C,2,0)</f>
        <v>050000761970</v>
      </c>
      <c r="C812" s="13">
        <v>5793</v>
      </c>
      <c r="D812" s="22">
        <f t="shared" si="49"/>
        <v>5793</v>
      </c>
      <c r="E812" s="21" t="s">
        <v>5912</v>
      </c>
      <c r="F812" s="23" t="str">
        <f t="shared" si="48"/>
        <v>insert into ins_premium_det (premium_rcv_code,assorted_code, rec_amount,premium_rcv_detail_code,remaining_amt, payrec, mode_code,coinsurance_code,class_cd,it_remarks) values</v>
      </c>
      <c r="G812" s="24" t="str">
        <f t="shared" si="50"/>
        <v>('29Apr250042','050000761970','5793',(select max(to_number(i.premium_rcv_detail_code))+1
from ins_premium_det i),'5793','5793','02', '11000003','00','Request by Mr. Omair Ali 30-Apr-2025');</v>
      </c>
      <c r="H812" s="25" t="str">
        <f t="shared" si="51"/>
        <v>insert into ins_premium_det (premium_rcv_code,assorted_code, rec_amount,premium_rcv_detail_code,remaining_amt, payrec, mode_code,coinsurance_code,class_cd,it_remarks) values('29Apr250042','050000761970','5793',(select max(to_number(i.premium_rcv_detail_code))+1
from ins_premium_det i),'5793','5793','02', '11000003','00','Request by Mr. Omair Ali 30-Apr-2025');</v>
      </c>
    </row>
    <row r="813" spans="1:8" ht="105" x14ac:dyDescent="0.25">
      <c r="A813" t="s">
        <v>1685</v>
      </c>
      <c r="B813" s="1" t="str">
        <f>VLOOKUP(A813,Sheet5!B:C,2,0)</f>
        <v>050000761971</v>
      </c>
      <c r="C813" s="13">
        <v>5240</v>
      </c>
      <c r="D813" s="22">
        <f t="shared" si="49"/>
        <v>5240</v>
      </c>
      <c r="E813" s="21" t="s">
        <v>5912</v>
      </c>
      <c r="F813" s="23" t="str">
        <f t="shared" si="48"/>
        <v>insert into ins_premium_det (premium_rcv_code,assorted_code, rec_amount,premium_rcv_detail_code,remaining_amt, payrec, mode_code,coinsurance_code,class_cd,it_remarks) values</v>
      </c>
      <c r="G813" s="24" t="str">
        <f t="shared" si="50"/>
        <v>('29Apr250042','050000761971','5240',(select max(to_number(i.premium_rcv_detail_code))+1
from ins_premium_det i),'5240','5240','02', '11000003','00','Request by Mr. Omair Ali 30-Apr-2025');</v>
      </c>
      <c r="H813" s="25" t="str">
        <f t="shared" si="51"/>
        <v>insert into ins_premium_det (premium_rcv_code,assorted_code, rec_amount,premium_rcv_detail_code,remaining_amt, payrec, mode_code,coinsurance_code,class_cd,it_remarks) values('29Apr250042','050000761971','5240',(select max(to_number(i.premium_rcv_detail_code))+1
from ins_premium_det i),'5240','5240','02', '11000003','00','Request by Mr. Omair Ali 30-Apr-2025');</v>
      </c>
    </row>
    <row r="814" spans="1:8" ht="105" x14ac:dyDescent="0.25">
      <c r="A814" t="s">
        <v>1705</v>
      </c>
      <c r="B814" s="1" t="str">
        <f>VLOOKUP(A814,Sheet5!B:C,2,0)</f>
        <v>050000761973</v>
      </c>
      <c r="C814" s="13">
        <v>91</v>
      </c>
      <c r="D814" s="22">
        <f t="shared" si="49"/>
        <v>91</v>
      </c>
      <c r="E814" s="21" t="s">
        <v>5912</v>
      </c>
      <c r="F814" s="23" t="str">
        <f t="shared" si="48"/>
        <v>insert into ins_premium_det (premium_rcv_code,assorted_code, rec_amount,premium_rcv_detail_code,remaining_amt, payrec, mode_code,coinsurance_code,class_cd,it_remarks) values</v>
      </c>
      <c r="G814" s="24" t="str">
        <f t="shared" si="50"/>
        <v>('29Apr250042','050000761973','91',(select max(to_number(i.premium_rcv_detail_code))+1
from ins_premium_det i),'91','91','02', '11000003','00','Request by Mr. Omair Ali 30-Apr-2025');</v>
      </c>
      <c r="H814" s="25" t="str">
        <f t="shared" si="51"/>
        <v>insert into ins_premium_det (premium_rcv_code,assorted_code, rec_amount,premium_rcv_detail_code,remaining_amt, payrec, mode_code,coinsurance_code,class_cd,it_remarks) values('29Apr250042','050000761973','91',(select max(to_number(i.premium_rcv_detail_code))+1
from ins_premium_det i),'91','91','02', '11000003','00','Request by Mr. Omair Ali 30-Apr-2025');</v>
      </c>
    </row>
    <row r="815" spans="1:8" ht="105" x14ac:dyDescent="0.25">
      <c r="A815" t="s">
        <v>1899</v>
      </c>
      <c r="B815" s="1" t="str">
        <f>VLOOKUP(A815,Sheet5!B:C,2,0)</f>
        <v>050000761979</v>
      </c>
      <c r="C815" s="13">
        <v>763</v>
      </c>
      <c r="D815" s="22">
        <f t="shared" si="49"/>
        <v>763</v>
      </c>
      <c r="E815" s="21" t="s">
        <v>5912</v>
      </c>
      <c r="F815" s="23" t="str">
        <f t="shared" si="48"/>
        <v>insert into ins_premium_det (premium_rcv_code,assorted_code, rec_amount,premium_rcv_detail_code,remaining_amt, payrec, mode_code,coinsurance_code,class_cd,it_remarks) values</v>
      </c>
      <c r="G815" s="24" t="str">
        <f t="shared" si="50"/>
        <v>('29Apr250042','050000761979','763',(select max(to_number(i.premium_rcv_detail_code))+1
from ins_premium_det i),'763','763','02', '11000003','00','Request by Mr. Omair Ali 30-Apr-2025');</v>
      </c>
      <c r="H815" s="25" t="str">
        <f t="shared" si="51"/>
        <v>insert into ins_premium_det (premium_rcv_code,assorted_code, rec_amount,premium_rcv_detail_code,remaining_amt, payrec, mode_code,coinsurance_code,class_cd,it_remarks) values('29Apr250042','050000761979','763',(select max(to_number(i.premium_rcv_detail_code))+1
from ins_premium_det i),'763','763','02', '11000003','00','Request by Mr. Omair Ali 30-Apr-2025');</v>
      </c>
    </row>
    <row r="816" spans="1:8" ht="105" x14ac:dyDescent="0.25">
      <c r="A816" t="s">
        <v>422</v>
      </c>
      <c r="B816" s="1" t="str">
        <f>VLOOKUP(A816,Sheet5!B:C,2,0)</f>
        <v>050000762021</v>
      </c>
      <c r="C816" s="13">
        <v>5638</v>
      </c>
      <c r="D816" s="22">
        <f t="shared" si="49"/>
        <v>5638</v>
      </c>
      <c r="E816" s="21" t="s">
        <v>5912</v>
      </c>
      <c r="F816" s="23" t="str">
        <f t="shared" si="48"/>
        <v>insert into ins_premium_det (premium_rcv_code,assorted_code, rec_amount,premium_rcv_detail_code,remaining_amt, payrec, mode_code,coinsurance_code,class_cd,it_remarks) values</v>
      </c>
      <c r="G816" s="24" t="str">
        <f t="shared" si="50"/>
        <v>('29Apr250042','050000762021','5638',(select max(to_number(i.premium_rcv_detail_code))+1
from ins_premium_det i),'5638','5638','02', '11000003','00','Request by Mr. Omair Ali 30-Apr-2025');</v>
      </c>
      <c r="H816" s="25" t="str">
        <f t="shared" si="51"/>
        <v>insert into ins_premium_det (premium_rcv_code,assorted_code, rec_amount,premium_rcv_detail_code,remaining_amt, payrec, mode_code,coinsurance_code,class_cd,it_remarks) values('29Apr250042','050000762021','5638',(select max(to_number(i.premium_rcv_detail_code))+1
from ins_premium_det i),'5638','5638','02', '11000003','00','Request by Mr. Omair Ali 30-Apr-2025');</v>
      </c>
    </row>
    <row r="817" spans="1:8" ht="105" x14ac:dyDescent="0.25">
      <c r="A817" t="s">
        <v>771</v>
      </c>
      <c r="B817" s="1" t="str">
        <f>VLOOKUP(A817,Sheet5!B:C,2,0)</f>
        <v>050000762031</v>
      </c>
      <c r="C817" s="13">
        <v>1808</v>
      </c>
      <c r="D817" s="22">
        <f t="shared" si="49"/>
        <v>1808</v>
      </c>
      <c r="E817" s="21" t="s">
        <v>5912</v>
      </c>
      <c r="F817" s="23" t="str">
        <f t="shared" si="48"/>
        <v>insert into ins_premium_det (premium_rcv_code,assorted_code, rec_amount,premium_rcv_detail_code,remaining_amt, payrec, mode_code,coinsurance_code,class_cd,it_remarks) values</v>
      </c>
      <c r="G817" s="24" t="str">
        <f t="shared" si="50"/>
        <v>('29Apr250042','050000762031','1808',(select max(to_number(i.premium_rcv_detail_code))+1
from ins_premium_det i),'1808','1808','02', '11000003','00','Request by Mr. Omair Ali 30-Apr-2025');</v>
      </c>
      <c r="H817" s="25" t="str">
        <f t="shared" si="51"/>
        <v>insert into ins_premium_det (premium_rcv_code,assorted_code, rec_amount,premium_rcv_detail_code,remaining_amt, payrec, mode_code,coinsurance_code,class_cd,it_remarks) values('29Apr250042','050000762031','1808',(select max(to_number(i.premium_rcv_detail_code))+1
from ins_premium_det i),'1808','1808','02', '11000003','00','Request by Mr. Omair Ali 30-Apr-2025');</v>
      </c>
    </row>
    <row r="818" spans="1:8" ht="105" x14ac:dyDescent="0.25">
      <c r="A818" t="s">
        <v>1057</v>
      </c>
      <c r="B818" s="1" t="str">
        <f>VLOOKUP(A818,Sheet5!B:C,2,0)</f>
        <v>050000762034</v>
      </c>
      <c r="C818" s="13">
        <v>1698</v>
      </c>
      <c r="D818" s="22">
        <f t="shared" si="49"/>
        <v>1698</v>
      </c>
      <c r="E818" s="21" t="s">
        <v>5912</v>
      </c>
      <c r="F818" s="23" t="str">
        <f t="shared" si="48"/>
        <v>insert into ins_premium_det (premium_rcv_code,assorted_code, rec_amount,premium_rcv_detail_code,remaining_amt, payrec, mode_code,coinsurance_code,class_cd,it_remarks) values</v>
      </c>
      <c r="G818" s="24" t="str">
        <f t="shared" si="50"/>
        <v>('29Apr250042','050000762034','1698',(select max(to_number(i.premium_rcv_detail_code))+1
from ins_premium_det i),'1698','1698','02', '11000003','00','Request by Mr. Omair Ali 30-Apr-2025');</v>
      </c>
      <c r="H818" s="25" t="str">
        <f t="shared" si="51"/>
        <v>insert into ins_premium_det (premium_rcv_code,assorted_code, rec_amount,premium_rcv_detail_code,remaining_amt, payrec, mode_code,coinsurance_code,class_cd,it_remarks) values('29Apr250042','050000762034','1698',(select max(to_number(i.premium_rcv_detail_code))+1
from ins_premium_det i),'1698','1698','02', '11000003','00','Request by Mr. Omair Ali 30-Apr-2025');</v>
      </c>
    </row>
    <row r="819" spans="1:8" ht="105" x14ac:dyDescent="0.25">
      <c r="A819" t="s">
        <v>1092</v>
      </c>
      <c r="B819" s="1" t="str">
        <f>VLOOKUP(A819,Sheet5!B:C,2,0)</f>
        <v>050000762035</v>
      </c>
      <c r="C819" s="13">
        <v>2361</v>
      </c>
      <c r="D819" s="22">
        <f t="shared" si="49"/>
        <v>2361</v>
      </c>
      <c r="E819" s="21" t="s">
        <v>5912</v>
      </c>
      <c r="F819" s="23" t="str">
        <f t="shared" si="48"/>
        <v>insert into ins_premium_det (premium_rcv_code,assorted_code, rec_amount,premium_rcv_detail_code,remaining_amt, payrec, mode_code,coinsurance_code,class_cd,it_remarks) values</v>
      </c>
      <c r="G819" s="24" t="str">
        <f t="shared" si="50"/>
        <v>('29Apr250042','050000762035','2361',(select max(to_number(i.premium_rcv_detail_code))+1
from ins_premium_det i),'2361','2361','02', '11000003','00','Request by Mr. Omair Ali 30-Apr-2025');</v>
      </c>
      <c r="H819" s="25" t="str">
        <f t="shared" si="51"/>
        <v>insert into ins_premium_det (premium_rcv_code,assorted_code, rec_amount,premium_rcv_detail_code,remaining_amt, payrec, mode_code,coinsurance_code,class_cd,it_remarks) values('29Apr250042','050000762035','2361',(select max(to_number(i.premium_rcv_detail_code))+1
from ins_premium_det i),'2361','2361','02', '11000003','00','Request by Mr. Omair Ali 30-Apr-2025');</v>
      </c>
    </row>
    <row r="820" spans="1:8" ht="105" x14ac:dyDescent="0.25">
      <c r="A820" t="s">
        <v>1225</v>
      </c>
      <c r="B820" s="1" t="str">
        <f>VLOOKUP(A820,Sheet5!B:C,2,0)</f>
        <v>050000762037</v>
      </c>
      <c r="C820" s="13">
        <v>3748</v>
      </c>
      <c r="D820" s="22">
        <f t="shared" si="49"/>
        <v>3748</v>
      </c>
      <c r="E820" s="21" t="s">
        <v>5912</v>
      </c>
      <c r="F820" s="23" t="str">
        <f t="shared" si="48"/>
        <v>insert into ins_premium_det (premium_rcv_code,assorted_code, rec_amount,premium_rcv_detail_code,remaining_amt, payrec, mode_code,coinsurance_code,class_cd,it_remarks) values</v>
      </c>
      <c r="G820" s="24" t="str">
        <f t="shared" si="50"/>
        <v>('29Apr250042','050000762037','3748',(select max(to_number(i.premium_rcv_detail_code))+1
from ins_premium_det i),'3748','3748','02', '11000003','00','Request by Mr. Omair Ali 30-Apr-2025');</v>
      </c>
      <c r="H820" s="25" t="str">
        <f t="shared" si="51"/>
        <v>insert into ins_premium_det (premium_rcv_code,assorted_code, rec_amount,premium_rcv_detail_code,remaining_amt, payrec, mode_code,coinsurance_code,class_cd,it_remarks) values('29Apr250042','050000762037','3748',(select max(to_number(i.premium_rcv_detail_code))+1
from ins_premium_det i),'3748','3748','02', '11000003','00','Request by Mr. Omair Ali 30-Apr-2025');</v>
      </c>
    </row>
    <row r="821" spans="1:8" ht="105" x14ac:dyDescent="0.25">
      <c r="A821" t="s">
        <v>1237</v>
      </c>
      <c r="B821" s="1" t="str">
        <f>VLOOKUP(A821,Sheet5!B:C,2,0)</f>
        <v>050000762038</v>
      </c>
      <c r="C821" s="13">
        <v>958</v>
      </c>
      <c r="D821" s="22">
        <f t="shared" si="49"/>
        <v>958</v>
      </c>
      <c r="E821" s="21" t="s">
        <v>5912</v>
      </c>
      <c r="F821" s="23" t="str">
        <f t="shared" si="48"/>
        <v>insert into ins_premium_det (premium_rcv_code,assorted_code, rec_amount,premium_rcv_detail_code,remaining_amt, payrec, mode_code,coinsurance_code,class_cd,it_remarks) values</v>
      </c>
      <c r="G821" s="24" t="str">
        <f t="shared" si="50"/>
        <v>('29Apr250042','050000762038','958',(select max(to_number(i.premium_rcv_detail_code))+1
from ins_premium_det i),'958','958','02', '11000003','00','Request by Mr. Omair Ali 30-Apr-2025');</v>
      </c>
      <c r="H821" s="25" t="str">
        <f t="shared" si="51"/>
        <v>insert into ins_premium_det (premium_rcv_code,assorted_code, rec_amount,premium_rcv_detail_code,remaining_amt, payrec, mode_code,coinsurance_code,class_cd,it_remarks) values('29Apr250042','050000762038','958',(select max(to_number(i.premium_rcv_detail_code))+1
from ins_premium_det i),'958','958','02', '11000003','00','Request by Mr. Omair Ali 30-Apr-2025');</v>
      </c>
    </row>
    <row r="822" spans="1:8" ht="105" x14ac:dyDescent="0.25">
      <c r="A822" t="s">
        <v>1281</v>
      </c>
      <c r="B822" s="1" t="str">
        <f>VLOOKUP(A822,Sheet5!B:C,2,0)</f>
        <v>050000762041</v>
      </c>
      <c r="C822" s="13">
        <v>1954</v>
      </c>
      <c r="D822" s="22">
        <f t="shared" si="49"/>
        <v>1954</v>
      </c>
      <c r="E822" s="21" t="s">
        <v>5912</v>
      </c>
      <c r="F822" s="23" t="str">
        <f t="shared" si="48"/>
        <v>insert into ins_premium_det (premium_rcv_code,assorted_code, rec_amount,premium_rcv_detail_code,remaining_amt, payrec, mode_code,coinsurance_code,class_cd,it_remarks) values</v>
      </c>
      <c r="G822" s="24" t="str">
        <f t="shared" si="50"/>
        <v>('29Apr250042','050000762041','1954',(select max(to_number(i.premium_rcv_detail_code))+1
from ins_premium_det i),'1954','1954','02', '11000003','00','Request by Mr. Omair Ali 30-Apr-2025');</v>
      </c>
      <c r="H822" s="25" t="str">
        <f t="shared" si="51"/>
        <v>insert into ins_premium_det (premium_rcv_code,assorted_code, rec_amount,premium_rcv_detail_code,remaining_amt, payrec, mode_code,coinsurance_code,class_cd,it_remarks) values('29Apr250042','050000762041','1954',(select max(to_number(i.premium_rcv_detail_code))+1
from ins_premium_det i),'1954','1954','02', '11000003','00','Request by Mr. Omair Ali 30-Apr-2025');</v>
      </c>
    </row>
    <row r="823" spans="1:8" ht="105" x14ac:dyDescent="0.25">
      <c r="A823" t="s">
        <v>1828</v>
      </c>
      <c r="B823" s="1" t="str">
        <f>VLOOKUP(A823,Sheet5!B:C,2,0)</f>
        <v>050000762046</v>
      </c>
      <c r="C823" s="13">
        <v>1289</v>
      </c>
      <c r="D823" s="22">
        <f t="shared" si="49"/>
        <v>1289</v>
      </c>
      <c r="E823" s="21" t="s">
        <v>5912</v>
      </c>
      <c r="F823" s="23" t="str">
        <f t="shared" si="48"/>
        <v>insert into ins_premium_det (premium_rcv_code,assorted_code, rec_amount,premium_rcv_detail_code,remaining_amt, payrec, mode_code,coinsurance_code,class_cd,it_remarks) values</v>
      </c>
      <c r="G823" s="24" t="str">
        <f t="shared" si="50"/>
        <v>('29Apr250042','050000762046','1289',(select max(to_number(i.premium_rcv_detail_code))+1
from ins_premium_det i),'1289','1289','02', '11000003','00','Request by Mr. Omair Ali 30-Apr-2025');</v>
      </c>
      <c r="H823" s="25" t="str">
        <f t="shared" si="51"/>
        <v>insert into ins_premium_det (premium_rcv_code,assorted_code, rec_amount,premium_rcv_detail_code,remaining_amt, payrec, mode_code,coinsurance_code,class_cd,it_remarks) values('29Apr250042','050000762046','1289',(select max(to_number(i.premium_rcv_detail_code))+1
from ins_premium_det i),'1289','1289','02', '11000003','00','Request by Mr. Omair Ali 30-Apr-2025');</v>
      </c>
    </row>
    <row r="824" spans="1:8" ht="105" x14ac:dyDescent="0.25">
      <c r="A824" t="s">
        <v>426</v>
      </c>
      <c r="B824" s="1" t="str">
        <f>VLOOKUP(A824,Sheet5!B:C,2,0)</f>
        <v>050000765982</v>
      </c>
      <c r="C824" s="13">
        <v>3084</v>
      </c>
      <c r="D824" s="22">
        <f t="shared" si="49"/>
        <v>3084</v>
      </c>
      <c r="E824" s="21" t="s">
        <v>5912</v>
      </c>
      <c r="F824" s="23" t="str">
        <f t="shared" si="48"/>
        <v>insert into ins_premium_det (premium_rcv_code,assorted_code, rec_amount,premium_rcv_detail_code,remaining_amt, payrec, mode_code,coinsurance_code,class_cd,it_remarks) values</v>
      </c>
      <c r="G824" s="24" t="str">
        <f t="shared" si="50"/>
        <v>('29Apr250042','050000765982','3084',(select max(to_number(i.premium_rcv_detail_code))+1
from ins_premium_det i),'3084','3084','02', '11000003','00','Request by Mr. Omair Ali 30-Apr-2025');</v>
      </c>
      <c r="H824" s="25" t="str">
        <f t="shared" si="51"/>
        <v>insert into ins_premium_det (premium_rcv_code,assorted_code, rec_amount,premium_rcv_detail_code,remaining_amt, payrec, mode_code,coinsurance_code,class_cd,it_remarks) values('29Apr250042','050000765982','3084',(select max(to_number(i.premium_rcv_detail_code))+1
from ins_premium_det i),'3084','3084','02', '11000003','00','Request by Mr. Omair Ali 30-Apr-2025');</v>
      </c>
    </row>
    <row r="825" spans="1:8" ht="105" x14ac:dyDescent="0.25">
      <c r="A825" t="s">
        <v>559</v>
      </c>
      <c r="B825" s="1" t="str">
        <f>VLOOKUP(A825,Sheet5!B:C,2,0)</f>
        <v>050000765984</v>
      </c>
      <c r="C825" s="13">
        <v>3792</v>
      </c>
      <c r="D825" s="22">
        <f t="shared" si="49"/>
        <v>3792</v>
      </c>
      <c r="E825" s="21" t="s">
        <v>5912</v>
      </c>
      <c r="F825" s="23" t="str">
        <f t="shared" si="48"/>
        <v>insert into ins_premium_det (premium_rcv_code,assorted_code, rec_amount,premium_rcv_detail_code,remaining_amt, payrec, mode_code,coinsurance_code,class_cd,it_remarks) values</v>
      </c>
      <c r="G825" s="24" t="str">
        <f t="shared" si="50"/>
        <v>('29Apr250042','050000765984','3792',(select max(to_number(i.premium_rcv_detail_code))+1
from ins_premium_det i),'3792','3792','02', '11000003','00','Request by Mr. Omair Ali 30-Apr-2025');</v>
      </c>
      <c r="H825" s="25" t="str">
        <f t="shared" si="51"/>
        <v>insert into ins_premium_det (premium_rcv_code,assorted_code, rec_amount,premium_rcv_detail_code,remaining_amt, payrec, mode_code,coinsurance_code,class_cd,it_remarks) values('29Apr250042','050000765984','3792',(select max(to_number(i.premium_rcv_detail_code))+1
from ins_premium_det i),'3792','3792','02', '11000003','00','Request by Mr. Omair Ali 30-Apr-2025');</v>
      </c>
    </row>
    <row r="826" spans="1:8" ht="105" x14ac:dyDescent="0.25">
      <c r="A826" t="s">
        <v>779</v>
      </c>
      <c r="B826" s="1" t="str">
        <f>VLOOKUP(A826,Sheet5!B:C,2,0)</f>
        <v>050000765990</v>
      </c>
      <c r="C826" s="13">
        <v>3924</v>
      </c>
      <c r="D826" s="22">
        <f t="shared" si="49"/>
        <v>3924</v>
      </c>
      <c r="E826" s="21" t="s">
        <v>5912</v>
      </c>
      <c r="F826" s="23" t="str">
        <f t="shared" si="48"/>
        <v>insert into ins_premium_det (premium_rcv_code,assorted_code, rec_amount,premium_rcv_detail_code,remaining_amt, payrec, mode_code,coinsurance_code,class_cd,it_remarks) values</v>
      </c>
      <c r="G826" s="24" t="str">
        <f t="shared" si="50"/>
        <v>('29Apr250042','050000765990','3924',(select max(to_number(i.premium_rcv_detail_code))+1
from ins_premium_det i),'3924','3924','02', '11000003','00','Request by Mr. Omair Ali 30-Apr-2025');</v>
      </c>
      <c r="H826" s="25" t="str">
        <f t="shared" si="51"/>
        <v>insert into ins_premium_det (premium_rcv_code,assorted_code, rec_amount,premium_rcv_detail_code,remaining_amt, payrec, mode_code,coinsurance_code,class_cd,it_remarks) values('29Apr250042','050000765990','3924',(select max(to_number(i.premium_rcv_detail_code))+1
from ins_premium_det i),'3924','3924','02', '11000003','00','Request by Mr. Omair Ali 30-Apr-2025');</v>
      </c>
    </row>
    <row r="827" spans="1:8" ht="105" x14ac:dyDescent="0.25">
      <c r="A827" t="s">
        <v>792</v>
      </c>
      <c r="B827" s="1" t="str">
        <f>VLOOKUP(A827,Sheet5!B:C,2,0)</f>
        <v>050000765992</v>
      </c>
      <c r="C827" s="13">
        <v>3259</v>
      </c>
      <c r="D827" s="22">
        <f t="shared" si="49"/>
        <v>3259</v>
      </c>
      <c r="E827" s="21" t="s">
        <v>5912</v>
      </c>
      <c r="F827" s="23" t="str">
        <f t="shared" si="48"/>
        <v>insert into ins_premium_det (premium_rcv_code,assorted_code, rec_amount,premium_rcv_detail_code,remaining_amt, payrec, mode_code,coinsurance_code,class_cd,it_remarks) values</v>
      </c>
      <c r="G827" s="24" t="str">
        <f t="shared" si="50"/>
        <v>('29Apr250042','050000765992','3259',(select max(to_number(i.premium_rcv_detail_code))+1
from ins_premium_det i),'3259','3259','02', '11000003','00','Request by Mr. Omair Ali 30-Apr-2025');</v>
      </c>
      <c r="H827" s="25" t="str">
        <f t="shared" si="51"/>
        <v>insert into ins_premium_det (premium_rcv_code,assorted_code, rec_amount,premium_rcv_detail_code,remaining_amt, payrec, mode_code,coinsurance_code,class_cd,it_remarks) values('29Apr250042','050000765992','3259',(select max(to_number(i.premium_rcv_detail_code))+1
from ins_premium_det i),'3259','3259','02', '11000003','00','Request by Mr. Omair Ali 30-Apr-2025');</v>
      </c>
    </row>
    <row r="828" spans="1:8" ht="105" x14ac:dyDescent="0.25">
      <c r="A828" t="s">
        <v>971</v>
      </c>
      <c r="B828" s="1" t="str">
        <f>VLOOKUP(A828,Sheet5!B:C,2,0)</f>
        <v>050000765995</v>
      </c>
      <c r="C828" s="13">
        <v>2740</v>
      </c>
      <c r="D828" s="22">
        <f t="shared" si="49"/>
        <v>2740</v>
      </c>
      <c r="E828" s="21" t="s">
        <v>5912</v>
      </c>
      <c r="F828" s="23" t="str">
        <f t="shared" si="48"/>
        <v>insert into ins_premium_det (premium_rcv_code,assorted_code, rec_amount,premium_rcv_detail_code,remaining_amt, payrec, mode_code,coinsurance_code,class_cd,it_remarks) values</v>
      </c>
      <c r="G828" s="24" t="str">
        <f t="shared" si="50"/>
        <v>('29Apr250042','050000765995','2740',(select max(to_number(i.premium_rcv_detail_code))+1
from ins_premium_det i),'2740','2740','02', '11000003','00','Request by Mr. Omair Ali 30-Apr-2025');</v>
      </c>
      <c r="H828" s="25" t="str">
        <f t="shared" si="51"/>
        <v>insert into ins_premium_det (premium_rcv_code,assorted_code, rec_amount,premium_rcv_detail_code,remaining_amt, payrec, mode_code,coinsurance_code,class_cd,it_remarks) values('29Apr250042','050000765995','2740',(select max(to_number(i.premium_rcv_detail_code))+1
from ins_premium_det i),'2740','2740','02', '11000003','00','Request by Mr. Omair Ali 30-Apr-2025');</v>
      </c>
    </row>
    <row r="829" spans="1:8" ht="105" x14ac:dyDescent="0.25">
      <c r="A829" t="s">
        <v>1067</v>
      </c>
      <c r="B829" s="1" t="str">
        <f>VLOOKUP(A829,Sheet5!B:C,2,0)</f>
        <v>050000765998</v>
      </c>
      <c r="C829" s="13">
        <v>7487</v>
      </c>
      <c r="D829" s="22">
        <f t="shared" si="49"/>
        <v>7487</v>
      </c>
      <c r="E829" s="21" t="s">
        <v>5912</v>
      </c>
      <c r="F829" s="23" t="str">
        <f t="shared" si="48"/>
        <v>insert into ins_premium_det (premium_rcv_code,assorted_code, rec_amount,premium_rcv_detail_code,remaining_amt, payrec, mode_code,coinsurance_code,class_cd,it_remarks) values</v>
      </c>
      <c r="G829" s="24" t="str">
        <f t="shared" si="50"/>
        <v>('29Apr250042','050000765998','7487',(select max(to_number(i.premium_rcv_detail_code))+1
from ins_premium_det i),'7487','7487','02', '11000003','00','Request by Mr. Omair Ali 30-Apr-2025');</v>
      </c>
      <c r="H829" s="25" t="str">
        <f t="shared" si="51"/>
        <v>insert into ins_premium_det (premium_rcv_code,assorted_code, rec_amount,premium_rcv_detail_code,remaining_amt, payrec, mode_code,coinsurance_code,class_cd,it_remarks) values('29Apr250042','050000765998','7487',(select max(to_number(i.premium_rcv_detail_code))+1
from ins_premium_det i),'7487','7487','02', '11000003','00','Request by Mr. Omair Ali 30-Apr-2025');</v>
      </c>
    </row>
    <row r="830" spans="1:8" ht="105" x14ac:dyDescent="0.25">
      <c r="A830" t="s">
        <v>1305</v>
      </c>
      <c r="B830" s="1" t="str">
        <f>VLOOKUP(A830,Sheet5!B:C,2,0)</f>
        <v>050000765999</v>
      </c>
      <c r="C830" s="13">
        <v>4489</v>
      </c>
      <c r="D830" s="22">
        <f t="shared" si="49"/>
        <v>4489</v>
      </c>
      <c r="E830" s="21" t="s">
        <v>5912</v>
      </c>
      <c r="F830" s="23" t="str">
        <f t="shared" si="48"/>
        <v>insert into ins_premium_det (premium_rcv_code,assorted_code, rec_amount,premium_rcv_detail_code,remaining_amt, payrec, mode_code,coinsurance_code,class_cd,it_remarks) values</v>
      </c>
      <c r="G830" s="24" t="str">
        <f t="shared" si="50"/>
        <v>('29Apr250042','050000765999','4489',(select max(to_number(i.premium_rcv_detail_code))+1
from ins_premium_det i),'4489','4489','02', '11000003','00','Request by Mr. Omair Ali 30-Apr-2025');</v>
      </c>
      <c r="H830" s="25" t="str">
        <f t="shared" si="51"/>
        <v>insert into ins_premium_det (premium_rcv_code,assorted_code, rec_amount,premium_rcv_detail_code,remaining_amt, payrec, mode_code,coinsurance_code,class_cd,it_remarks) values('29Apr250042','050000765999','4489',(select max(to_number(i.premium_rcv_detail_code))+1
from ins_premium_det i),'4489','4489','02', '11000003','00','Request by Mr. Omair Ali 30-Apr-2025');</v>
      </c>
    </row>
    <row r="831" spans="1:8" ht="105" x14ac:dyDescent="0.25">
      <c r="A831" t="s">
        <v>1424</v>
      </c>
      <c r="B831" s="1" t="str">
        <f>VLOOKUP(A831,Sheet5!B:C,2,0)</f>
        <v>050000766000</v>
      </c>
      <c r="C831" s="13">
        <v>3983</v>
      </c>
      <c r="D831" s="22">
        <f t="shared" si="49"/>
        <v>3983</v>
      </c>
      <c r="E831" s="21" t="s">
        <v>5912</v>
      </c>
      <c r="F831" s="23" t="str">
        <f t="shared" si="48"/>
        <v>insert into ins_premium_det (premium_rcv_code,assorted_code, rec_amount,premium_rcv_detail_code,remaining_amt, payrec, mode_code,coinsurance_code,class_cd,it_remarks) values</v>
      </c>
      <c r="G831" s="24" t="str">
        <f t="shared" si="50"/>
        <v>('29Apr250042','050000766000','3983',(select max(to_number(i.premium_rcv_detail_code))+1
from ins_premium_det i),'3983','3983','02', '11000003','00','Request by Mr. Omair Ali 30-Apr-2025');</v>
      </c>
      <c r="H831" s="25" t="str">
        <f t="shared" si="51"/>
        <v>insert into ins_premium_det (premium_rcv_code,assorted_code, rec_amount,premium_rcv_detail_code,remaining_amt, payrec, mode_code,coinsurance_code,class_cd,it_remarks) values('29Apr250042','050000766000','3983',(select max(to_number(i.premium_rcv_detail_code))+1
from ins_premium_det i),'3983','3983','02', '11000003','00','Request by Mr. Omair Ali 30-Apr-2025');</v>
      </c>
    </row>
    <row r="832" spans="1:8" ht="105" x14ac:dyDescent="0.25">
      <c r="A832" t="s">
        <v>1434</v>
      </c>
      <c r="B832" s="1" t="str">
        <f>VLOOKUP(A832,Sheet5!B:C,2,0)</f>
        <v>050000766001</v>
      </c>
      <c r="C832" s="13">
        <v>4838</v>
      </c>
      <c r="D832" s="22">
        <f t="shared" si="49"/>
        <v>4838</v>
      </c>
      <c r="E832" s="21" t="s">
        <v>5912</v>
      </c>
      <c r="F832" s="23" t="str">
        <f t="shared" si="48"/>
        <v>insert into ins_premium_det (premium_rcv_code,assorted_code, rec_amount,premium_rcv_detail_code,remaining_amt, payrec, mode_code,coinsurance_code,class_cd,it_remarks) values</v>
      </c>
      <c r="G832" s="24" t="str">
        <f t="shared" si="50"/>
        <v>('29Apr250042','050000766001','4838',(select max(to_number(i.premium_rcv_detail_code))+1
from ins_premium_det i),'4838','4838','02', '11000003','00','Request by Mr. Omair Ali 30-Apr-2025');</v>
      </c>
      <c r="H832" s="25" t="str">
        <f t="shared" si="51"/>
        <v>insert into ins_premium_det (premium_rcv_code,assorted_code, rec_amount,premium_rcv_detail_code,remaining_amt, payrec, mode_code,coinsurance_code,class_cd,it_remarks) values('29Apr250042','050000766001','4838',(select max(to_number(i.premium_rcv_detail_code))+1
from ins_premium_det i),'4838','4838','02', '11000003','00','Request by Mr. Omair Ali 30-Apr-2025');</v>
      </c>
    </row>
    <row r="833" spans="1:8" ht="105" x14ac:dyDescent="0.25">
      <c r="A833" t="s">
        <v>1832</v>
      </c>
      <c r="B833" s="1" t="str">
        <f>VLOOKUP(A833,Sheet5!B:C,2,0)</f>
        <v>050000766017</v>
      </c>
      <c r="C833" s="13">
        <v>2744</v>
      </c>
      <c r="D833" s="22">
        <f t="shared" si="49"/>
        <v>2744</v>
      </c>
      <c r="E833" s="21" t="s">
        <v>5912</v>
      </c>
      <c r="F833" s="23" t="str">
        <f t="shared" si="48"/>
        <v>insert into ins_premium_det (premium_rcv_code,assorted_code, rec_amount,premium_rcv_detail_code,remaining_amt, payrec, mode_code,coinsurance_code,class_cd,it_remarks) values</v>
      </c>
      <c r="G833" s="24" t="str">
        <f t="shared" si="50"/>
        <v>('29Apr250042','050000766017','2744',(select max(to_number(i.premium_rcv_detail_code))+1
from ins_premium_det i),'2744','2744','02', '11000003','00','Request by Mr. Omair Ali 30-Apr-2025');</v>
      </c>
      <c r="H833" s="25" t="str">
        <f t="shared" si="51"/>
        <v>insert into ins_premium_det (premium_rcv_code,assorted_code, rec_amount,premium_rcv_detail_code,remaining_amt, payrec, mode_code,coinsurance_code,class_cd,it_remarks) values('29Apr250042','050000766017','2744',(select max(to_number(i.premium_rcv_detail_code))+1
from ins_premium_det i),'2744','2744','02', '11000003','00','Request by Mr. Omair Ali 30-Apr-2025');</v>
      </c>
    </row>
    <row r="834" spans="1:8" ht="105" x14ac:dyDescent="0.25">
      <c r="A834" t="s">
        <v>520</v>
      </c>
      <c r="B834" s="1" t="str">
        <f>VLOOKUP(A834,Sheet5!B:C,2,0)</f>
        <v>050000766656</v>
      </c>
      <c r="C834" s="13">
        <v>1585</v>
      </c>
      <c r="D834" s="22">
        <f t="shared" si="49"/>
        <v>1585</v>
      </c>
      <c r="E834" s="21" t="s">
        <v>5912</v>
      </c>
      <c r="F834" s="23" t="str">
        <f t="shared" ref="F834:F897" si="5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34" s="24" t="str">
        <f t="shared" si="50"/>
        <v>('29Apr250042','050000766656','1585',(select max(to_number(i.premium_rcv_detail_code))+1
from ins_premium_det i),'1585','1585','02', '11000003','00','Request by Mr. Omair Ali 30-Apr-2025');</v>
      </c>
      <c r="H834" s="25" t="str">
        <f t="shared" si="51"/>
        <v>insert into ins_premium_det (premium_rcv_code,assorted_code, rec_amount,premium_rcv_detail_code,remaining_amt, payrec, mode_code,coinsurance_code,class_cd,it_remarks) values('29Apr250042','050000766656','1585',(select max(to_number(i.premium_rcv_detail_code))+1
from ins_premium_det i),'1585','1585','02', '11000003','00','Request by Mr. Omair Ali 30-Apr-2025');</v>
      </c>
    </row>
    <row r="835" spans="1:8" ht="105" x14ac:dyDescent="0.25">
      <c r="A835" t="s">
        <v>592</v>
      </c>
      <c r="B835" s="1" t="str">
        <f>VLOOKUP(A835,Sheet5!B:C,2,0)</f>
        <v>050000766657</v>
      </c>
      <c r="C835" s="13">
        <v>123</v>
      </c>
      <c r="D835" s="22">
        <f t="shared" ref="D835:D898" si="53">ROUND(C835,0)</f>
        <v>123</v>
      </c>
      <c r="E835" s="21" t="s">
        <v>5912</v>
      </c>
      <c r="F835" s="23" t="str">
        <f t="shared" si="52"/>
        <v>insert into ins_premium_det (premium_rcv_code,assorted_code, rec_amount,premium_rcv_detail_code,remaining_amt, payrec, mode_code,coinsurance_code,class_cd,it_remarks) values</v>
      </c>
      <c r="G835" s="24" t="str">
        <f t="shared" ref="G835:G898" si="54">"('"&amp;E835&amp;"','"&amp;B835&amp;"','"&amp;D835&amp;"',(select max(to_number(i.premium_rcv_detail_code))+1
from ins_premium_det i),'"&amp;D835&amp;"','"&amp;D835&amp;"','02', '11000003','00','Request by Mr. Omair Ali 30-Apr-2025');"</f>
        <v>('29Apr250042','050000766657','123',(select max(to_number(i.premium_rcv_detail_code))+1
from ins_premium_det i),'123','123','02', '11000003','00','Request by Mr. Omair Ali 30-Apr-2025');</v>
      </c>
      <c r="H835" s="25" t="str">
        <f t="shared" ref="H835:H898" si="55">F835&amp;G835</f>
        <v>insert into ins_premium_det (premium_rcv_code,assorted_code, rec_amount,premium_rcv_detail_code,remaining_amt, payrec, mode_code,coinsurance_code,class_cd,it_remarks) values('29Apr250042','050000766657','123',(select max(to_number(i.premium_rcv_detail_code))+1
from ins_premium_det i),'123','123','02', '11000003','00','Request by Mr. Omair Ali 30-Apr-2025');</v>
      </c>
    </row>
    <row r="836" spans="1:8" ht="105" x14ac:dyDescent="0.25">
      <c r="A836" t="s">
        <v>1292</v>
      </c>
      <c r="B836" s="1" t="str">
        <f>VLOOKUP(A836,Sheet5!B:C,2,0)</f>
        <v>050000766664</v>
      </c>
      <c r="C836" s="13">
        <v>775</v>
      </c>
      <c r="D836" s="22">
        <f t="shared" si="53"/>
        <v>775</v>
      </c>
      <c r="E836" s="21" t="s">
        <v>5912</v>
      </c>
      <c r="F836" s="23" t="str">
        <f t="shared" si="52"/>
        <v>insert into ins_premium_det (premium_rcv_code,assorted_code, rec_amount,premium_rcv_detail_code,remaining_amt, payrec, mode_code,coinsurance_code,class_cd,it_remarks) values</v>
      </c>
      <c r="G836" s="24" t="str">
        <f t="shared" si="54"/>
        <v>('29Apr250042','050000766664','775',(select max(to_number(i.premium_rcv_detail_code))+1
from ins_premium_det i),'775','775','02', '11000003','00','Request by Mr. Omair Ali 30-Apr-2025');</v>
      </c>
      <c r="H836" s="25" t="str">
        <f t="shared" si="55"/>
        <v>insert into ins_premium_det (premium_rcv_code,assorted_code, rec_amount,premium_rcv_detail_code,remaining_amt, payrec, mode_code,coinsurance_code,class_cd,it_remarks) values('29Apr250042','050000766664','775',(select max(to_number(i.premium_rcv_detail_code))+1
from ins_premium_det i),'775','775','02', '11000003','00','Request by Mr. Omair Ali 30-Apr-2025');</v>
      </c>
    </row>
    <row r="837" spans="1:8" ht="105" x14ac:dyDescent="0.25">
      <c r="A837" t="s">
        <v>1459</v>
      </c>
      <c r="B837" s="1" t="str">
        <f>VLOOKUP(A837,Sheet5!B:C,2,0)</f>
        <v>050000766844</v>
      </c>
      <c r="C837" s="13">
        <v>3447</v>
      </c>
      <c r="D837" s="22">
        <f t="shared" si="53"/>
        <v>3447</v>
      </c>
      <c r="E837" s="21" t="s">
        <v>5912</v>
      </c>
      <c r="F837" s="23" t="str">
        <f t="shared" si="52"/>
        <v>insert into ins_premium_det (premium_rcv_code,assorted_code, rec_amount,premium_rcv_detail_code,remaining_amt, payrec, mode_code,coinsurance_code,class_cd,it_remarks) values</v>
      </c>
      <c r="G837" s="24" t="str">
        <f t="shared" si="54"/>
        <v>('29Apr250042','050000766844','3447',(select max(to_number(i.premium_rcv_detail_code))+1
from ins_premium_det i),'3447','3447','02', '11000003','00','Request by Mr. Omair Ali 30-Apr-2025');</v>
      </c>
      <c r="H837" s="25" t="str">
        <f t="shared" si="55"/>
        <v>insert into ins_premium_det (premium_rcv_code,assorted_code, rec_amount,premium_rcv_detail_code,remaining_amt, payrec, mode_code,coinsurance_code,class_cd,it_remarks) values('29Apr250042','050000766844','3447',(select max(to_number(i.premium_rcv_detail_code))+1
from ins_premium_det i),'3447','3447','02', '11000003','00','Request by Mr. Omair Ali 30-Apr-2025');</v>
      </c>
    </row>
    <row r="838" spans="1:8" ht="105" x14ac:dyDescent="0.25">
      <c r="A838" t="s">
        <v>430</v>
      </c>
      <c r="B838" s="1" t="str">
        <f>VLOOKUP(A838,Sheet5!B:C,2,0)</f>
        <v>050000767574</v>
      </c>
      <c r="C838" s="13">
        <v>1173</v>
      </c>
      <c r="D838" s="22">
        <f t="shared" si="53"/>
        <v>1173</v>
      </c>
      <c r="E838" s="21" t="s">
        <v>5912</v>
      </c>
      <c r="F838" s="23" t="str">
        <f t="shared" si="52"/>
        <v>insert into ins_premium_det (premium_rcv_code,assorted_code, rec_amount,premium_rcv_detail_code,remaining_amt, payrec, mode_code,coinsurance_code,class_cd,it_remarks) values</v>
      </c>
      <c r="G838" s="24" t="str">
        <f t="shared" si="54"/>
        <v>('29Apr250042','050000767574','1173',(select max(to_number(i.premium_rcv_detail_code))+1
from ins_premium_det i),'1173','1173','02', '11000003','00','Request by Mr. Omair Ali 30-Apr-2025');</v>
      </c>
      <c r="H838" s="25" t="str">
        <f t="shared" si="55"/>
        <v>insert into ins_premium_det (premium_rcv_code,assorted_code, rec_amount,premium_rcv_detail_code,remaining_amt, payrec, mode_code,coinsurance_code,class_cd,it_remarks) values('29Apr250042','050000767574','1173',(select max(to_number(i.premium_rcv_detail_code))+1
from ins_premium_det i),'1173','1173','02', '11000003','00','Request by Mr. Omair Ali 30-Apr-2025');</v>
      </c>
    </row>
    <row r="839" spans="1:8" ht="105" x14ac:dyDescent="0.25">
      <c r="A839" t="s">
        <v>449</v>
      </c>
      <c r="B839" s="1" t="str">
        <f>VLOOKUP(A839,Sheet5!B:C,2,0)</f>
        <v>050000767576</v>
      </c>
      <c r="C839" s="13">
        <v>4505</v>
      </c>
      <c r="D839" s="22">
        <f t="shared" si="53"/>
        <v>4505</v>
      </c>
      <c r="E839" s="21" t="s">
        <v>5912</v>
      </c>
      <c r="F839" s="23" t="str">
        <f t="shared" si="52"/>
        <v>insert into ins_premium_det (premium_rcv_code,assorted_code, rec_amount,premium_rcv_detail_code,remaining_amt, payrec, mode_code,coinsurance_code,class_cd,it_remarks) values</v>
      </c>
      <c r="G839" s="24" t="str">
        <f t="shared" si="54"/>
        <v>('29Apr250042','050000767576','4505',(select max(to_number(i.premium_rcv_detail_code))+1
from ins_premium_det i),'4505','4505','02', '11000003','00','Request by Mr. Omair Ali 30-Apr-2025');</v>
      </c>
      <c r="H839" s="25" t="str">
        <f t="shared" si="55"/>
        <v>insert into ins_premium_det (premium_rcv_code,assorted_code, rec_amount,premium_rcv_detail_code,remaining_amt, payrec, mode_code,coinsurance_code,class_cd,it_remarks) values('29Apr250042','050000767576','4505',(select max(to_number(i.premium_rcv_detail_code))+1
from ins_premium_det i),'4505','4505','02', '11000003','00','Request by Mr. Omair Ali 30-Apr-2025');</v>
      </c>
    </row>
    <row r="840" spans="1:8" ht="105" x14ac:dyDescent="0.25">
      <c r="A840" t="s">
        <v>527</v>
      </c>
      <c r="B840" s="1" t="str">
        <f>VLOOKUP(A840,Sheet5!B:C,2,0)</f>
        <v>050000767580</v>
      </c>
      <c r="C840" s="13">
        <v>2857</v>
      </c>
      <c r="D840" s="22">
        <f t="shared" si="53"/>
        <v>2857</v>
      </c>
      <c r="E840" s="21" t="s">
        <v>5912</v>
      </c>
      <c r="F840" s="23" t="str">
        <f t="shared" si="52"/>
        <v>insert into ins_premium_det (premium_rcv_code,assorted_code, rec_amount,premium_rcv_detail_code,remaining_amt, payrec, mode_code,coinsurance_code,class_cd,it_remarks) values</v>
      </c>
      <c r="G840" s="24" t="str">
        <f t="shared" si="54"/>
        <v>('29Apr250042','050000767580','2857',(select max(to_number(i.premium_rcv_detail_code))+1
from ins_premium_det i),'2857','2857','02', '11000003','00','Request by Mr. Omair Ali 30-Apr-2025');</v>
      </c>
      <c r="H840" s="25" t="str">
        <f t="shared" si="55"/>
        <v>insert into ins_premium_det (premium_rcv_code,assorted_code, rec_amount,premium_rcv_detail_code,remaining_amt, payrec, mode_code,coinsurance_code,class_cd,it_remarks) values('29Apr250042','050000767580','2857',(select max(to_number(i.premium_rcv_detail_code))+1
from ins_premium_det i),'2857','2857','02', '11000003','00','Request by Mr. Omair Ali 30-Apr-2025');</v>
      </c>
    </row>
    <row r="841" spans="1:8" ht="105" x14ac:dyDescent="0.25">
      <c r="A841" t="s">
        <v>534</v>
      </c>
      <c r="B841" s="1" t="str">
        <f>VLOOKUP(A841,Sheet5!B:C,2,0)</f>
        <v>050000767582</v>
      </c>
      <c r="C841" s="13">
        <v>422</v>
      </c>
      <c r="D841" s="22">
        <f t="shared" si="53"/>
        <v>422</v>
      </c>
      <c r="E841" s="21" t="s">
        <v>5912</v>
      </c>
      <c r="F841" s="23" t="str">
        <f t="shared" si="52"/>
        <v>insert into ins_premium_det (premium_rcv_code,assorted_code, rec_amount,premium_rcv_detail_code,remaining_amt, payrec, mode_code,coinsurance_code,class_cd,it_remarks) values</v>
      </c>
      <c r="G841" s="24" t="str">
        <f t="shared" si="54"/>
        <v>('29Apr250042','050000767582','422',(select max(to_number(i.premium_rcv_detail_code))+1
from ins_premium_det i),'422','422','02', '11000003','00','Request by Mr. Omair Ali 30-Apr-2025');</v>
      </c>
      <c r="H841" s="25" t="str">
        <f t="shared" si="55"/>
        <v>insert into ins_premium_det (premium_rcv_code,assorted_code, rec_amount,premium_rcv_detail_code,remaining_amt, payrec, mode_code,coinsurance_code,class_cd,it_remarks) values('29Apr250042','050000767582','422',(select max(to_number(i.premium_rcv_detail_code))+1
from ins_premium_det i),'422','422','02', '11000003','00','Request by Mr. Omair Ali 30-Apr-2025');</v>
      </c>
    </row>
    <row r="842" spans="1:8" ht="105" x14ac:dyDescent="0.25">
      <c r="A842" t="s">
        <v>618</v>
      </c>
      <c r="B842" s="1" t="str">
        <f>VLOOKUP(A842,Sheet5!B:C,2,0)</f>
        <v>050000767583</v>
      </c>
      <c r="C842" s="13">
        <v>4652</v>
      </c>
      <c r="D842" s="22">
        <f t="shared" si="53"/>
        <v>4652</v>
      </c>
      <c r="E842" s="21" t="s">
        <v>5912</v>
      </c>
      <c r="F842" s="23" t="str">
        <f t="shared" si="52"/>
        <v>insert into ins_premium_det (premium_rcv_code,assorted_code, rec_amount,premium_rcv_detail_code,remaining_amt, payrec, mode_code,coinsurance_code,class_cd,it_remarks) values</v>
      </c>
      <c r="G842" s="24" t="str">
        <f t="shared" si="54"/>
        <v>('29Apr250042','050000767583','4652',(select max(to_number(i.premium_rcv_detail_code))+1
from ins_premium_det i),'4652','4652','02', '11000003','00','Request by Mr. Omair Ali 30-Apr-2025');</v>
      </c>
      <c r="H842" s="25" t="str">
        <f t="shared" si="55"/>
        <v>insert into ins_premium_det (premium_rcv_code,assorted_code, rec_amount,premium_rcv_detail_code,remaining_amt, payrec, mode_code,coinsurance_code,class_cd,it_remarks) values('29Apr250042','050000767583','4652',(select max(to_number(i.premium_rcv_detail_code))+1
from ins_premium_det i),'4652','4652','02', '11000003','00','Request by Mr. Omair Ali 30-Apr-2025');</v>
      </c>
    </row>
    <row r="843" spans="1:8" ht="105" x14ac:dyDescent="0.25">
      <c r="A843" t="s">
        <v>632</v>
      </c>
      <c r="B843" s="1" t="str">
        <f>VLOOKUP(A843,Sheet5!B:C,2,0)</f>
        <v>050000767586</v>
      </c>
      <c r="C843" s="13">
        <v>2963</v>
      </c>
      <c r="D843" s="22">
        <f t="shared" si="53"/>
        <v>2963</v>
      </c>
      <c r="E843" s="21" t="s">
        <v>5912</v>
      </c>
      <c r="F843" s="23" t="str">
        <f t="shared" si="52"/>
        <v>insert into ins_premium_det (premium_rcv_code,assorted_code, rec_amount,premium_rcv_detail_code,remaining_amt, payrec, mode_code,coinsurance_code,class_cd,it_remarks) values</v>
      </c>
      <c r="G843" s="24" t="str">
        <f t="shared" si="54"/>
        <v>('29Apr250042','050000767586','2963',(select max(to_number(i.premium_rcv_detail_code))+1
from ins_premium_det i),'2963','2963','02', '11000003','00','Request by Mr. Omair Ali 30-Apr-2025');</v>
      </c>
      <c r="H843" s="25" t="str">
        <f t="shared" si="55"/>
        <v>insert into ins_premium_det (premium_rcv_code,assorted_code, rec_amount,premium_rcv_detail_code,remaining_amt, payrec, mode_code,coinsurance_code,class_cd,it_remarks) values('29Apr250042','050000767586','2963',(select max(to_number(i.premium_rcv_detail_code))+1
from ins_premium_det i),'2963','2963','02', '11000003','00','Request by Mr. Omair Ali 30-Apr-2025');</v>
      </c>
    </row>
    <row r="844" spans="1:8" ht="105" x14ac:dyDescent="0.25">
      <c r="A844" t="s">
        <v>650</v>
      </c>
      <c r="B844" s="1" t="str">
        <f>VLOOKUP(A844,Sheet5!B:C,2,0)</f>
        <v>050000767587</v>
      </c>
      <c r="C844" s="13">
        <v>1393</v>
      </c>
      <c r="D844" s="22">
        <f t="shared" si="53"/>
        <v>1393</v>
      </c>
      <c r="E844" s="21" t="s">
        <v>5912</v>
      </c>
      <c r="F844" s="23" t="str">
        <f t="shared" si="52"/>
        <v>insert into ins_premium_det (premium_rcv_code,assorted_code, rec_amount,premium_rcv_detail_code,remaining_amt, payrec, mode_code,coinsurance_code,class_cd,it_remarks) values</v>
      </c>
      <c r="G844" s="24" t="str">
        <f t="shared" si="54"/>
        <v>('29Apr250042','050000767587','1393',(select max(to_number(i.premium_rcv_detail_code))+1
from ins_premium_det i),'1393','1393','02', '11000003','00','Request by Mr. Omair Ali 30-Apr-2025');</v>
      </c>
      <c r="H844" s="25" t="str">
        <f t="shared" si="55"/>
        <v>insert into ins_premium_det (premium_rcv_code,assorted_code, rec_amount,premium_rcv_detail_code,remaining_amt, payrec, mode_code,coinsurance_code,class_cd,it_remarks) values('29Apr250042','050000767587','1393',(select max(to_number(i.premium_rcv_detail_code))+1
from ins_premium_det i),'1393','1393','02', '11000003','00','Request by Mr. Omair Ali 30-Apr-2025');</v>
      </c>
    </row>
    <row r="845" spans="1:8" ht="105" x14ac:dyDescent="0.25">
      <c r="A845" t="s">
        <v>824</v>
      </c>
      <c r="B845" s="1" t="str">
        <f>VLOOKUP(A845,Sheet5!B:C,2,0)</f>
        <v>050000767592</v>
      </c>
      <c r="C845" s="13">
        <v>2580</v>
      </c>
      <c r="D845" s="22">
        <f t="shared" si="53"/>
        <v>2580</v>
      </c>
      <c r="E845" s="21" t="s">
        <v>5912</v>
      </c>
      <c r="F845" s="23" t="str">
        <f t="shared" si="52"/>
        <v>insert into ins_premium_det (premium_rcv_code,assorted_code, rec_amount,premium_rcv_detail_code,remaining_amt, payrec, mode_code,coinsurance_code,class_cd,it_remarks) values</v>
      </c>
      <c r="G845" s="24" t="str">
        <f t="shared" si="54"/>
        <v>('29Apr250042','050000767592','2580',(select max(to_number(i.premium_rcv_detail_code))+1
from ins_premium_det i),'2580','2580','02', '11000003','00','Request by Mr. Omair Ali 30-Apr-2025');</v>
      </c>
      <c r="H845" s="25" t="str">
        <f t="shared" si="55"/>
        <v>insert into ins_premium_det (premium_rcv_code,assorted_code, rec_amount,premium_rcv_detail_code,remaining_amt, payrec, mode_code,coinsurance_code,class_cd,it_remarks) values('29Apr250042','050000767592','2580',(select max(to_number(i.premium_rcv_detail_code))+1
from ins_premium_det i),'2580','2580','02', '11000003','00','Request by Mr. Omair Ali 30-Apr-2025');</v>
      </c>
    </row>
    <row r="846" spans="1:8" ht="105" x14ac:dyDescent="0.25">
      <c r="A846" t="s">
        <v>943</v>
      </c>
      <c r="B846" s="1" t="str">
        <f>VLOOKUP(A846,Sheet5!B:C,2,0)</f>
        <v>050000767595</v>
      </c>
      <c r="C846" s="13">
        <v>4180</v>
      </c>
      <c r="D846" s="22">
        <f t="shared" si="53"/>
        <v>4180</v>
      </c>
      <c r="E846" s="21" t="s">
        <v>5912</v>
      </c>
      <c r="F846" s="23" t="str">
        <f t="shared" si="52"/>
        <v>insert into ins_premium_det (premium_rcv_code,assorted_code, rec_amount,premium_rcv_detail_code,remaining_amt, payrec, mode_code,coinsurance_code,class_cd,it_remarks) values</v>
      </c>
      <c r="G846" s="24" t="str">
        <f t="shared" si="54"/>
        <v>('29Apr250042','050000767595','4180',(select max(to_number(i.premium_rcv_detail_code))+1
from ins_premium_det i),'4180','4180','02', '11000003','00','Request by Mr. Omair Ali 30-Apr-2025');</v>
      </c>
      <c r="H846" s="25" t="str">
        <f t="shared" si="55"/>
        <v>insert into ins_premium_det (premium_rcv_code,assorted_code, rec_amount,premium_rcv_detail_code,remaining_amt, payrec, mode_code,coinsurance_code,class_cd,it_remarks) values('29Apr250042','050000767595','4180',(select max(to_number(i.premium_rcv_detail_code))+1
from ins_premium_det i),'4180','4180','02', '11000003','00','Request by Mr. Omair Ali 30-Apr-2025');</v>
      </c>
    </row>
    <row r="847" spans="1:8" ht="105" x14ac:dyDescent="0.25">
      <c r="A847" t="s">
        <v>1078</v>
      </c>
      <c r="B847" s="1" t="str">
        <f>VLOOKUP(A847,Sheet5!B:C,2,0)</f>
        <v>050000767598</v>
      </c>
      <c r="C847" s="13">
        <v>6471</v>
      </c>
      <c r="D847" s="22">
        <f t="shared" si="53"/>
        <v>6471</v>
      </c>
      <c r="E847" s="21" t="s">
        <v>5912</v>
      </c>
      <c r="F847" s="23" t="str">
        <f t="shared" si="52"/>
        <v>insert into ins_premium_det (premium_rcv_code,assorted_code, rec_amount,premium_rcv_detail_code,remaining_amt, payrec, mode_code,coinsurance_code,class_cd,it_remarks) values</v>
      </c>
      <c r="G847" s="24" t="str">
        <f t="shared" si="54"/>
        <v>('29Apr250042','050000767598','6471',(select max(to_number(i.premium_rcv_detail_code))+1
from ins_premium_det i),'6471','6471','02', '11000003','00','Request by Mr. Omair Ali 30-Apr-2025');</v>
      </c>
      <c r="H847" s="25" t="str">
        <f t="shared" si="55"/>
        <v>insert into ins_premium_det (premium_rcv_code,assorted_code, rec_amount,premium_rcv_detail_code,remaining_amt, payrec, mode_code,coinsurance_code,class_cd,it_remarks) values('29Apr250042','050000767598','6471',(select max(to_number(i.premium_rcv_detail_code))+1
from ins_premium_det i),'6471','6471','02', '11000003','00','Request by Mr. Omair Ali 30-Apr-2025');</v>
      </c>
    </row>
    <row r="848" spans="1:8" ht="105" x14ac:dyDescent="0.25">
      <c r="A848" t="s">
        <v>1469</v>
      </c>
      <c r="B848" s="1" t="str">
        <f>VLOOKUP(A848,Sheet5!B:C,2,0)</f>
        <v>050000767605</v>
      </c>
      <c r="C848" s="13">
        <v>8418</v>
      </c>
      <c r="D848" s="22">
        <f t="shared" si="53"/>
        <v>8418</v>
      </c>
      <c r="E848" s="21" t="s">
        <v>5912</v>
      </c>
      <c r="F848" s="23" t="str">
        <f t="shared" si="52"/>
        <v>insert into ins_premium_det (premium_rcv_code,assorted_code, rec_amount,premium_rcv_detail_code,remaining_amt, payrec, mode_code,coinsurance_code,class_cd,it_remarks) values</v>
      </c>
      <c r="G848" s="24" t="str">
        <f t="shared" si="54"/>
        <v>('29Apr250042','050000767605','8418',(select max(to_number(i.premium_rcv_detail_code))+1
from ins_premium_det i),'8418','8418','02', '11000003','00','Request by Mr. Omair Ali 30-Apr-2025');</v>
      </c>
      <c r="H848" s="25" t="str">
        <f t="shared" si="55"/>
        <v>insert into ins_premium_det (premium_rcv_code,assorted_code, rec_amount,premium_rcv_detail_code,remaining_amt, payrec, mode_code,coinsurance_code,class_cd,it_remarks) values('29Apr250042','050000767605','8418',(select max(to_number(i.premium_rcv_detail_code))+1
from ins_premium_det i),'8418','8418','02', '11000003','00','Request by Mr. Omair Ali 30-Apr-2025');</v>
      </c>
    </row>
    <row r="849" spans="1:8" ht="105" x14ac:dyDescent="0.25">
      <c r="A849" t="s">
        <v>1719</v>
      </c>
      <c r="B849" s="1" t="str">
        <f>VLOOKUP(A849,Sheet5!B:C,2,0)</f>
        <v>050000767609</v>
      </c>
      <c r="C849" s="13">
        <v>3013</v>
      </c>
      <c r="D849" s="22">
        <f t="shared" si="53"/>
        <v>3013</v>
      </c>
      <c r="E849" s="21" t="s">
        <v>5912</v>
      </c>
      <c r="F849" s="23" t="str">
        <f t="shared" si="52"/>
        <v>insert into ins_premium_det (premium_rcv_code,assorted_code, rec_amount,premium_rcv_detail_code,remaining_amt, payrec, mode_code,coinsurance_code,class_cd,it_remarks) values</v>
      </c>
      <c r="G849" s="24" t="str">
        <f t="shared" si="54"/>
        <v>('29Apr250042','050000767609','3013',(select max(to_number(i.premium_rcv_detail_code))+1
from ins_premium_det i),'3013','3013','02', '11000003','00','Request by Mr. Omair Ali 30-Apr-2025');</v>
      </c>
      <c r="H849" s="25" t="str">
        <f t="shared" si="55"/>
        <v>insert into ins_premium_det (premium_rcv_code,assorted_code, rec_amount,premium_rcv_detail_code,remaining_amt, payrec, mode_code,coinsurance_code,class_cd,it_remarks) values('29Apr250042','050000767609','3013',(select max(to_number(i.premium_rcv_detail_code))+1
from ins_premium_det i),'3013','3013','02', '11000003','00','Request by Mr. Omair Ali 30-Apr-2025');</v>
      </c>
    </row>
    <row r="850" spans="1:8" ht="105" x14ac:dyDescent="0.25">
      <c r="A850" t="s">
        <v>956</v>
      </c>
      <c r="B850" s="1" t="str">
        <f>VLOOKUP(A850,Sheet5!B:C,2,0)</f>
        <v>050000769012</v>
      </c>
      <c r="C850" s="13">
        <v>2318</v>
      </c>
      <c r="D850" s="22">
        <f t="shared" si="53"/>
        <v>2318</v>
      </c>
      <c r="E850" s="21" t="s">
        <v>5912</v>
      </c>
      <c r="F850" s="23" t="str">
        <f t="shared" si="52"/>
        <v>insert into ins_premium_det (premium_rcv_code,assorted_code, rec_amount,premium_rcv_detail_code,remaining_amt, payrec, mode_code,coinsurance_code,class_cd,it_remarks) values</v>
      </c>
      <c r="G850" s="24" t="str">
        <f t="shared" si="54"/>
        <v>('29Apr250042','050000769012','2318',(select max(to_number(i.premium_rcv_detail_code))+1
from ins_premium_det i),'2318','2318','02', '11000003','00','Request by Mr. Omair Ali 30-Apr-2025');</v>
      </c>
      <c r="H850" s="25" t="str">
        <f t="shared" si="55"/>
        <v>insert into ins_premium_det (premium_rcv_code,assorted_code, rec_amount,premium_rcv_detail_code,remaining_amt, payrec, mode_code,coinsurance_code,class_cd,it_remarks) values('29Apr250042','050000769012','2318',(select max(to_number(i.premium_rcv_detail_code))+1
from ins_premium_det i),'2318','2318','02', '11000003','00','Request by Mr. Omair Ali 30-Apr-2025');</v>
      </c>
    </row>
    <row r="851" spans="1:8" ht="105" x14ac:dyDescent="0.25">
      <c r="A851" t="s">
        <v>1324</v>
      </c>
      <c r="B851" s="1" t="str">
        <f>VLOOKUP(A851,Sheet5!B:C,2,0)</f>
        <v>050000769022</v>
      </c>
      <c r="C851" s="13">
        <v>2073</v>
      </c>
      <c r="D851" s="22">
        <f t="shared" si="53"/>
        <v>2073</v>
      </c>
      <c r="E851" s="21" t="s">
        <v>5912</v>
      </c>
      <c r="F851" s="23" t="str">
        <f t="shared" si="52"/>
        <v>insert into ins_premium_det (premium_rcv_code,assorted_code, rec_amount,premium_rcv_detail_code,remaining_amt, payrec, mode_code,coinsurance_code,class_cd,it_remarks) values</v>
      </c>
      <c r="G851" s="24" t="str">
        <f t="shared" si="54"/>
        <v>('29Apr250042','050000769022','2073',(select max(to_number(i.premium_rcv_detail_code))+1
from ins_premium_det i),'2073','2073','02', '11000003','00','Request by Mr. Omair Ali 30-Apr-2025');</v>
      </c>
      <c r="H851" s="25" t="str">
        <f t="shared" si="55"/>
        <v>insert into ins_premium_det (premium_rcv_code,assorted_code, rec_amount,premium_rcv_detail_code,remaining_amt, payrec, mode_code,coinsurance_code,class_cd,it_remarks) values('29Apr250042','050000769022','2073',(select max(to_number(i.premium_rcv_detail_code))+1
from ins_premium_det i),'2073','2073','02', '11000003','00','Request by Mr. Omair Ali 30-Apr-2025');</v>
      </c>
    </row>
    <row r="852" spans="1:8" ht="105" x14ac:dyDescent="0.25">
      <c r="A852" t="s">
        <v>1335</v>
      </c>
      <c r="B852" s="1" t="str">
        <f>VLOOKUP(A852,Sheet5!B:C,2,0)</f>
        <v>050000769023</v>
      </c>
      <c r="C852" s="13">
        <v>1120</v>
      </c>
      <c r="D852" s="22">
        <f t="shared" si="53"/>
        <v>1120</v>
      </c>
      <c r="E852" s="21" t="s">
        <v>5912</v>
      </c>
      <c r="F852" s="23" t="str">
        <f t="shared" si="52"/>
        <v>insert into ins_premium_det (premium_rcv_code,assorted_code, rec_amount,premium_rcv_detail_code,remaining_amt, payrec, mode_code,coinsurance_code,class_cd,it_remarks) values</v>
      </c>
      <c r="G852" s="24" t="str">
        <f t="shared" si="54"/>
        <v>('29Apr250042','050000769023','1120',(select max(to_number(i.premium_rcv_detail_code))+1
from ins_premium_det i),'1120','1120','02', '11000003','00','Request by Mr. Omair Ali 30-Apr-2025');</v>
      </c>
      <c r="H852" s="25" t="str">
        <f t="shared" si="55"/>
        <v>insert into ins_premium_det (premium_rcv_code,assorted_code, rec_amount,premium_rcv_detail_code,remaining_amt, payrec, mode_code,coinsurance_code,class_cd,it_remarks) values('29Apr250042','050000769023','1120',(select max(to_number(i.premium_rcv_detail_code))+1
from ins_premium_det i),'1120','1120','02', '11000003','00','Request by Mr. Omair Ali 30-Apr-2025');</v>
      </c>
    </row>
    <row r="853" spans="1:8" ht="105" x14ac:dyDescent="0.25">
      <c r="A853" t="s">
        <v>1918</v>
      </c>
      <c r="B853" s="1" t="str">
        <f>VLOOKUP(A853,Sheet5!B:C,2,0)</f>
        <v>050000769044</v>
      </c>
      <c r="C853" s="13">
        <v>9942</v>
      </c>
      <c r="D853" s="22">
        <f t="shared" si="53"/>
        <v>9942</v>
      </c>
      <c r="E853" s="21" t="s">
        <v>5912</v>
      </c>
      <c r="F853" s="23" t="str">
        <f t="shared" si="52"/>
        <v>insert into ins_premium_det (premium_rcv_code,assorted_code, rec_amount,premium_rcv_detail_code,remaining_amt, payrec, mode_code,coinsurance_code,class_cd,it_remarks) values</v>
      </c>
      <c r="G853" s="24" t="str">
        <f t="shared" si="54"/>
        <v>('29Apr250042','050000769044','9942',(select max(to_number(i.premium_rcv_detail_code))+1
from ins_premium_det i),'9942','9942','02', '11000003','00','Request by Mr. Omair Ali 30-Apr-2025');</v>
      </c>
      <c r="H853" s="25" t="str">
        <f t="shared" si="55"/>
        <v>insert into ins_premium_det (premium_rcv_code,assorted_code, rec_amount,premium_rcv_detail_code,remaining_amt, payrec, mode_code,coinsurance_code,class_cd,it_remarks) values('29Apr250042','050000769044','9942',(select max(to_number(i.premium_rcv_detail_code))+1
from ins_premium_det i),'9942','9942','02', '11000003','00','Request by Mr. Omair Ali 30-Apr-2025');</v>
      </c>
    </row>
    <row r="854" spans="1:8" ht="105" x14ac:dyDescent="0.25">
      <c r="A854" t="s">
        <v>639</v>
      </c>
      <c r="B854" s="1" t="str">
        <f>VLOOKUP(A854,Sheet5!B:C,2,0)</f>
        <v>050000769350</v>
      </c>
      <c r="C854" s="13">
        <v>552</v>
      </c>
      <c r="D854" s="22">
        <f t="shared" si="53"/>
        <v>552</v>
      </c>
      <c r="E854" s="21" t="s">
        <v>5912</v>
      </c>
      <c r="F854" s="23" t="str">
        <f t="shared" si="52"/>
        <v>insert into ins_premium_det (premium_rcv_code,assorted_code, rec_amount,premium_rcv_detail_code,remaining_amt, payrec, mode_code,coinsurance_code,class_cd,it_remarks) values</v>
      </c>
      <c r="G854" s="24" t="str">
        <f t="shared" si="54"/>
        <v>('29Apr250042','050000769350','552',(select max(to_number(i.premium_rcv_detail_code))+1
from ins_premium_det i),'552','552','02', '11000003','00','Request by Mr. Omair Ali 30-Apr-2025');</v>
      </c>
      <c r="H854" s="25" t="str">
        <f t="shared" si="55"/>
        <v>insert into ins_premium_det (premium_rcv_code,assorted_code, rec_amount,premium_rcv_detail_code,remaining_amt, payrec, mode_code,coinsurance_code,class_cd,it_remarks) values('29Apr250042','050000769350','552',(select max(to_number(i.premium_rcv_detail_code))+1
from ins_premium_det i),'552','552','02', '11000003','00','Request by Mr. Omair Ali 30-Apr-2025');</v>
      </c>
    </row>
    <row r="855" spans="1:8" ht="105" x14ac:dyDescent="0.25">
      <c r="A855" t="s">
        <v>667</v>
      </c>
      <c r="B855" s="1" t="str">
        <f>VLOOKUP(A855,Sheet5!B:C,2,0)</f>
        <v>050000769353</v>
      </c>
      <c r="C855" s="13">
        <v>818</v>
      </c>
      <c r="D855" s="22">
        <f t="shared" si="53"/>
        <v>818</v>
      </c>
      <c r="E855" s="21" t="s">
        <v>5912</v>
      </c>
      <c r="F855" s="23" t="str">
        <f t="shared" si="52"/>
        <v>insert into ins_premium_det (premium_rcv_code,assorted_code, rec_amount,premium_rcv_detail_code,remaining_amt, payrec, mode_code,coinsurance_code,class_cd,it_remarks) values</v>
      </c>
      <c r="G855" s="24" t="str">
        <f t="shared" si="54"/>
        <v>('29Apr250042','050000769353','818',(select max(to_number(i.premium_rcv_detail_code))+1
from ins_premium_det i),'818','818','02', '11000003','00','Request by Mr. Omair Ali 30-Apr-2025');</v>
      </c>
      <c r="H855" s="25" t="str">
        <f t="shared" si="55"/>
        <v>insert into ins_premium_det (premium_rcv_code,assorted_code, rec_amount,premium_rcv_detail_code,remaining_amt, payrec, mode_code,coinsurance_code,class_cd,it_remarks) values('29Apr250042','050000769353','818',(select max(to_number(i.premium_rcv_detail_code))+1
from ins_premium_det i),'818','818','02', '11000003','00','Request by Mr. Omair Ali 30-Apr-2025');</v>
      </c>
    </row>
    <row r="856" spans="1:8" ht="105" x14ac:dyDescent="0.25">
      <c r="A856" t="s">
        <v>674</v>
      </c>
      <c r="B856" s="1" t="str">
        <f>VLOOKUP(A856,Sheet5!B:C,2,0)</f>
        <v>050000769354</v>
      </c>
      <c r="C856" s="13">
        <v>2926</v>
      </c>
      <c r="D856" s="22">
        <f t="shared" si="53"/>
        <v>2926</v>
      </c>
      <c r="E856" s="21" t="s">
        <v>5912</v>
      </c>
      <c r="F856" s="23" t="str">
        <f t="shared" si="52"/>
        <v>insert into ins_premium_det (premium_rcv_code,assorted_code, rec_amount,premium_rcv_detail_code,remaining_amt, payrec, mode_code,coinsurance_code,class_cd,it_remarks) values</v>
      </c>
      <c r="G856" s="24" t="str">
        <f t="shared" si="54"/>
        <v>('29Apr250042','050000769354','2926',(select max(to_number(i.premium_rcv_detail_code))+1
from ins_premium_det i),'2926','2926','02', '11000003','00','Request by Mr. Omair Ali 30-Apr-2025');</v>
      </c>
      <c r="H856" s="25" t="str">
        <f t="shared" si="55"/>
        <v>insert into ins_premium_det (premium_rcv_code,assorted_code, rec_amount,premium_rcv_detail_code,remaining_amt, payrec, mode_code,coinsurance_code,class_cd,it_remarks) values('29Apr250042','050000769354','2926',(select max(to_number(i.premium_rcv_detail_code))+1
from ins_premium_det i),'2926','2926','02', '11000003','00','Request by Mr. Omair Ali 30-Apr-2025');</v>
      </c>
    </row>
    <row r="857" spans="1:8" ht="105" x14ac:dyDescent="0.25">
      <c r="A857" t="s">
        <v>705</v>
      </c>
      <c r="B857" s="1" t="str">
        <f>VLOOKUP(A857,Sheet5!B:C,2,0)</f>
        <v>050000769357</v>
      </c>
      <c r="C857" s="13">
        <v>1251</v>
      </c>
      <c r="D857" s="22">
        <f t="shared" si="53"/>
        <v>1251</v>
      </c>
      <c r="E857" s="21" t="s">
        <v>5912</v>
      </c>
      <c r="F857" s="23" t="str">
        <f t="shared" si="52"/>
        <v>insert into ins_premium_det (premium_rcv_code,assorted_code, rec_amount,premium_rcv_detail_code,remaining_amt, payrec, mode_code,coinsurance_code,class_cd,it_remarks) values</v>
      </c>
      <c r="G857" s="24" t="str">
        <f t="shared" si="54"/>
        <v>('29Apr250042','050000769357','1251',(select max(to_number(i.premium_rcv_detail_code))+1
from ins_premium_det i),'1251','1251','02', '11000003','00','Request by Mr. Omair Ali 30-Apr-2025');</v>
      </c>
      <c r="H857" s="25" t="str">
        <f t="shared" si="55"/>
        <v>insert into ins_premium_det (premium_rcv_code,assorted_code, rec_amount,premium_rcv_detail_code,remaining_amt, payrec, mode_code,coinsurance_code,class_cd,it_remarks) values('29Apr250042','050000769357','1251',(select max(to_number(i.premium_rcv_detail_code))+1
from ins_premium_det i),'1251','1251','02', '11000003','00','Request by Mr. Omair Ali 30-Apr-2025');</v>
      </c>
    </row>
    <row r="858" spans="1:8" ht="105" x14ac:dyDescent="0.25">
      <c r="A858" t="s">
        <v>859</v>
      </c>
      <c r="B858" s="1" t="str">
        <f>VLOOKUP(A858,Sheet5!B:C,2,0)</f>
        <v>050000769362</v>
      </c>
      <c r="C858" s="13">
        <v>2724</v>
      </c>
      <c r="D858" s="22">
        <f t="shared" si="53"/>
        <v>2724</v>
      </c>
      <c r="E858" s="21" t="s">
        <v>5912</v>
      </c>
      <c r="F858" s="23" t="str">
        <f t="shared" si="52"/>
        <v>insert into ins_premium_det (premium_rcv_code,assorted_code, rec_amount,premium_rcv_detail_code,remaining_amt, payrec, mode_code,coinsurance_code,class_cd,it_remarks) values</v>
      </c>
      <c r="G858" s="24" t="str">
        <f t="shared" si="54"/>
        <v>('29Apr250042','050000769362','2724',(select max(to_number(i.premium_rcv_detail_code))+1
from ins_premium_det i),'2724','2724','02', '11000003','00','Request by Mr. Omair Ali 30-Apr-2025');</v>
      </c>
      <c r="H858" s="25" t="str">
        <f t="shared" si="55"/>
        <v>insert into ins_premium_det (premium_rcv_code,assorted_code, rec_amount,premium_rcv_detail_code,remaining_amt, payrec, mode_code,coinsurance_code,class_cd,it_remarks) values('29Apr250042','050000769362','2724',(select max(to_number(i.premium_rcv_detail_code))+1
from ins_premium_det i),'2724','2724','02', '11000003','00','Request by Mr. Omair Ali 30-Apr-2025');</v>
      </c>
    </row>
    <row r="859" spans="1:8" ht="105" x14ac:dyDescent="0.25">
      <c r="A859" t="s">
        <v>1345</v>
      </c>
      <c r="B859" s="1" t="str">
        <f>VLOOKUP(A859,Sheet5!B:C,2,0)</f>
        <v>050000769367</v>
      </c>
      <c r="C859" s="13">
        <v>851</v>
      </c>
      <c r="D859" s="22">
        <f t="shared" si="53"/>
        <v>851</v>
      </c>
      <c r="E859" s="21" t="s">
        <v>5912</v>
      </c>
      <c r="F859" s="23" t="str">
        <f t="shared" si="52"/>
        <v>insert into ins_premium_det (premium_rcv_code,assorted_code, rec_amount,premium_rcv_detail_code,remaining_amt, payrec, mode_code,coinsurance_code,class_cd,it_remarks) values</v>
      </c>
      <c r="G859" s="24" t="str">
        <f t="shared" si="54"/>
        <v>('29Apr250042','050000769367','851',(select max(to_number(i.premium_rcv_detail_code))+1
from ins_premium_det i),'851','851','02', '11000003','00','Request by Mr. Omair Ali 30-Apr-2025');</v>
      </c>
      <c r="H859" s="25" t="str">
        <f t="shared" si="55"/>
        <v>insert into ins_premium_det (premium_rcv_code,assorted_code, rec_amount,premium_rcv_detail_code,remaining_amt, payrec, mode_code,coinsurance_code,class_cd,it_remarks) values('29Apr250042','050000769367','851',(select max(to_number(i.premium_rcv_detail_code))+1
from ins_premium_det i),'851','851','02', '11000003','00','Request by Mr. Omair Ali 30-Apr-2025');</v>
      </c>
    </row>
    <row r="860" spans="1:8" ht="105" x14ac:dyDescent="0.25">
      <c r="A860" t="s">
        <v>438</v>
      </c>
      <c r="B860" s="1" t="str">
        <f>VLOOKUP(A860,Sheet5!B:C,2,0)</f>
        <v>050000769569</v>
      </c>
      <c r="C860" s="13">
        <v>2607</v>
      </c>
      <c r="D860" s="22">
        <f t="shared" si="53"/>
        <v>2607</v>
      </c>
      <c r="E860" s="21" t="s">
        <v>5912</v>
      </c>
      <c r="F860" s="23" t="str">
        <f t="shared" si="52"/>
        <v>insert into ins_premium_det (premium_rcv_code,assorted_code, rec_amount,premium_rcv_detail_code,remaining_amt, payrec, mode_code,coinsurance_code,class_cd,it_remarks) values</v>
      </c>
      <c r="G860" s="24" t="str">
        <f t="shared" si="54"/>
        <v>('29Apr250042','050000769569','2607',(select max(to_number(i.premium_rcv_detail_code))+1
from ins_premium_det i),'2607','2607','02', '11000003','00','Request by Mr. Omair Ali 30-Apr-2025');</v>
      </c>
      <c r="H860" s="25" t="str">
        <f t="shared" si="55"/>
        <v>insert into ins_premium_det (premium_rcv_code,assorted_code, rec_amount,premium_rcv_detail_code,remaining_amt, payrec, mode_code,coinsurance_code,class_cd,it_remarks) values('29Apr250042','050000769569','2607',(select max(to_number(i.premium_rcv_detail_code))+1
from ins_premium_det i),'2607','2607','02', '11000003','00','Request by Mr. Omair Ali 30-Apr-2025');</v>
      </c>
    </row>
    <row r="861" spans="1:8" ht="105" x14ac:dyDescent="0.25">
      <c r="A861" t="s">
        <v>1736</v>
      </c>
      <c r="B861" s="1" t="str">
        <f>VLOOKUP(A861,Sheet5!B:C,2,0)</f>
        <v>050000769577</v>
      </c>
      <c r="C861" s="13">
        <v>1593</v>
      </c>
      <c r="D861" s="22">
        <f t="shared" si="53"/>
        <v>1593</v>
      </c>
      <c r="E861" s="21" t="s">
        <v>5912</v>
      </c>
      <c r="F861" s="23" t="str">
        <f t="shared" si="52"/>
        <v>insert into ins_premium_det (premium_rcv_code,assorted_code, rec_amount,premium_rcv_detail_code,remaining_amt, payrec, mode_code,coinsurance_code,class_cd,it_remarks) values</v>
      </c>
      <c r="G861" s="24" t="str">
        <f t="shared" si="54"/>
        <v>('29Apr250042','050000769577','1593',(select max(to_number(i.premium_rcv_detail_code))+1
from ins_premium_det i),'1593','1593','02', '11000003','00','Request by Mr. Omair Ali 30-Apr-2025');</v>
      </c>
      <c r="H861" s="25" t="str">
        <f t="shared" si="55"/>
        <v>insert into ins_premium_det (premium_rcv_code,assorted_code, rec_amount,premium_rcv_detail_code,remaining_amt, payrec, mode_code,coinsurance_code,class_cd,it_remarks) values('29Apr250042','050000769577','1593',(select max(to_number(i.premium_rcv_detail_code))+1
from ins_premium_det i),'1593','1593','02', '11000003','00','Request by Mr. Omair Ali 30-Apr-2025');</v>
      </c>
    </row>
    <row r="862" spans="1:8" ht="105" x14ac:dyDescent="0.25">
      <c r="A862" t="s">
        <v>1755</v>
      </c>
      <c r="B862" s="1" t="str">
        <f>VLOOKUP(A862,Sheet5!B:C,2,0)</f>
        <v>050000769579</v>
      </c>
      <c r="C862" s="13">
        <v>3706</v>
      </c>
      <c r="D862" s="22">
        <f t="shared" si="53"/>
        <v>3706</v>
      </c>
      <c r="E862" s="21" t="s">
        <v>5912</v>
      </c>
      <c r="F862" s="23" t="str">
        <f t="shared" si="52"/>
        <v>insert into ins_premium_det (premium_rcv_code,assorted_code, rec_amount,premium_rcv_detail_code,remaining_amt, payrec, mode_code,coinsurance_code,class_cd,it_remarks) values</v>
      </c>
      <c r="G862" s="24" t="str">
        <f t="shared" si="54"/>
        <v>('29Apr250042','050000769579','3706',(select max(to_number(i.premium_rcv_detail_code))+1
from ins_premium_det i),'3706','3706','02', '11000003','00','Request by Mr. Omair Ali 30-Apr-2025');</v>
      </c>
      <c r="H862" s="25" t="str">
        <f t="shared" si="55"/>
        <v>insert into ins_premium_det (premium_rcv_code,assorted_code, rec_amount,premium_rcv_detail_code,remaining_amt, payrec, mode_code,coinsurance_code,class_cd,it_remarks) values('29Apr250042','050000769579','3706',(select max(to_number(i.premium_rcv_detail_code))+1
from ins_premium_det i),'3706','3706','02', '11000003','00','Request by Mr. Omair Ali 30-Apr-2025');</v>
      </c>
    </row>
    <row r="863" spans="1:8" ht="105" x14ac:dyDescent="0.25">
      <c r="A863" t="s">
        <v>1763</v>
      </c>
      <c r="B863" s="1" t="str">
        <f>VLOOKUP(A863,Sheet5!B:C,2,0)</f>
        <v>050000769580</v>
      </c>
      <c r="C863" s="13">
        <v>2442</v>
      </c>
      <c r="D863" s="22">
        <f t="shared" si="53"/>
        <v>2442</v>
      </c>
      <c r="E863" s="21" t="s">
        <v>5912</v>
      </c>
      <c r="F863" s="23" t="str">
        <f t="shared" si="52"/>
        <v>insert into ins_premium_det (premium_rcv_code,assorted_code, rec_amount,premium_rcv_detail_code,remaining_amt, payrec, mode_code,coinsurance_code,class_cd,it_remarks) values</v>
      </c>
      <c r="G863" s="24" t="str">
        <f t="shared" si="54"/>
        <v>('29Apr250042','050000769580','2442',(select max(to_number(i.premium_rcv_detail_code))+1
from ins_premium_det i),'2442','2442','02', '11000003','00','Request by Mr. Omair Ali 30-Apr-2025');</v>
      </c>
      <c r="H863" s="25" t="str">
        <f t="shared" si="55"/>
        <v>insert into ins_premium_det (premium_rcv_code,assorted_code, rec_amount,premium_rcv_detail_code,remaining_amt, payrec, mode_code,coinsurance_code,class_cd,it_remarks) values('29Apr250042','050000769580','2442',(select max(to_number(i.premium_rcv_detail_code))+1
from ins_premium_det i),'2442','2442','02', '11000003','00','Request by Mr. Omair Ali 30-Apr-2025');</v>
      </c>
    </row>
    <row r="864" spans="1:8" ht="105" x14ac:dyDescent="0.25">
      <c r="A864" t="s">
        <v>1773</v>
      </c>
      <c r="B864" s="1" t="str">
        <f>VLOOKUP(A864,Sheet5!B:C,2,0)</f>
        <v>050000769583</v>
      </c>
      <c r="C864" s="13">
        <v>6868</v>
      </c>
      <c r="D864" s="22">
        <f t="shared" si="53"/>
        <v>6868</v>
      </c>
      <c r="E864" s="21" t="s">
        <v>5912</v>
      </c>
      <c r="F864" s="23" t="str">
        <f t="shared" si="52"/>
        <v>insert into ins_premium_det (premium_rcv_code,assorted_code, rec_amount,premium_rcv_detail_code,remaining_amt, payrec, mode_code,coinsurance_code,class_cd,it_remarks) values</v>
      </c>
      <c r="G864" s="24" t="str">
        <f t="shared" si="54"/>
        <v>('29Apr250042','050000769583','6868',(select max(to_number(i.premium_rcv_detail_code))+1
from ins_premium_det i),'6868','6868','02', '11000003','00','Request by Mr. Omair Ali 30-Apr-2025');</v>
      </c>
      <c r="H864" s="25" t="str">
        <f t="shared" si="55"/>
        <v>insert into ins_premium_det (premium_rcv_code,assorted_code, rec_amount,premium_rcv_detail_code,remaining_amt, payrec, mode_code,coinsurance_code,class_cd,it_remarks) values('29Apr250042','050000769583','6868',(select max(to_number(i.premium_rcv_detail_code))+1
from ins_premium_det i),'6868','6868','02', '11000003','00','Request by Mr. Omair Ali 30-Apr-2025');</v>
      </c>
    </row>
    <row r="865" spans="1:8" ht="105" x14ac:dyDescent="0.25">
      <c r="A865" t="s">
        <v>1844</v>
      </c>
      <c r="B865" s="1" t="str">
        <f>VLOOKUP(A865,Sheet5!B:C,2,0)</f>
        <v>050000769589</v>
      </c>
      <c r="C865" s="13">
        <v>299</v>
      </c>
      <c r="D865" s="22">
        <f t="shared" si="53"/>
        <v>299</v>
      </c>
      <c r="E865" s="21" t="s">
        <v>5912</v>
      </c>
      <c r="F865" s="23" t="str">
        <f t="shared" si="52"/>
        <v>insert into ins_premium_det (premium_rcv_code,assorted_code, rec_amount,premium_rcv_detail_code,remaining_amt, payrec, mode_code,coinsurance_code,class_cd,it_remarks) values</v>
      </c>
      <c r="G865" s="24" t="str">
        <f t="shared" si="54"/>
        <v>('29Apr250042','050000769589','299',(select max(to_number(i.premium_rcv_detail_code))+1
from ins_premium_det i),'299','299','02', '11000003','00','Request by Mr. Omair Ali 30-Apr-2025');</v>
      </c>
      <c r="H865" s="25" t="str">
        <f t="shared" si="55"/>
        <v>insert into ins_premium_det (premium_rcv_code,assorted_code, rec_amount,premium_rcv_detail_code,remaining_amt, payrec, mode_code,coinsurance_code,class_cd,it_remarks) values('29Apr250042','050000769589','299',(select max(to_number(i.premium_rcv_detail_code))+1
from ins_premium_det i),'299','299','02', '11000003','00','Request by Mr. Omair Ali 30-Apr-2025');</v>
      </c>
    </row>
    <row r="866" spans="1:8" ht="105" x14ac:dyDescent="0.25">
      <c r="A866" t="s">
        <v>455</v>
      </c>
      <c r="B866" s="1" t="str">
        <f>VLOOKUP(A866,Sheet5!B:C,2,0)</f>
        <v>050000770294</v>
      </c>
      <c r="C866" s="13">
        <v>504</v>
      </c>
      <c r="D866" s="22">
        <f t="shared" si="53"/>
        <v>504</v>
      </c>
      <c r="E866" s="21" t="s">
        <v>5912</v>
      </c>
      <c r="F866" s="23" t="str">
        <f t="shared" si="52"/>
        <v>insert into ins_premium_det (premium_rcv_code,assorted_code, rec_amount,premium_rcv_detail_code,remaining_amt, payrec, mode_code,coinsurance_code,class_cd,it_remarks) values</v>
      </c>
      <c r="G866" s="24" t="str">
        <f t="shared" si="54"/>
        <v>('29Apr250042','050000770294','504',(select max(to_number(i.premium_rcv_detail_code))+1
from ins_premium_det i),'504','504','02', '11000003','00','Request by Mr. Omair Ali 30-Apr-2025');</v>
      </c>
      <c r="H866" s="25" t="str">
        <f t="shared" si="55"/>
        <v>insert into ins_premium_det (premium_rcv_code,assorted_code, rec_amount,premium_rcv_detail_code,remaining_amt, payrec, mode_code,coinsurance_code,class_cd,it_remarks) values('29Apr250042','050000770294','504',(select max(to_number(i.premium_rcv_detail_code))+1
from ins_premium_det i),'504','504','02', '11000003','00','Request by Mr. Omair Ali 30-Apr-2025');</v>
      </c>
    </row>
    <row r="867" spans="1:8" ht="105" x14ac:dyDescent="0.25">
      <c r="A867" t="s">
        <v>475</v>
      </c>
      <c r="B867" s="1" t="str">
        <f>VLOOKUP(A867,Sheet5!B:C,2,0)</f>
        <v>050000770297</v>
      </c>
      <c r="C867" s="13">
        <v>5766</v>
      </c>
      <c r="D867" s="22">
        <f t="shared" si="53"/>
        <v>5766</v>
      </c>
      <c r="E867" s="21" t="s">
        <v>5912</v>
      </c>
      <c r="F867" s="23" t="str">
        <f t="shared" si="52"/>
        <v>insert into ins_premium_det (premium_rcv_code,assorted_code, rec_amount,premium_rcv_detail_code,remaining_amt, payrec, mode_code,coinsurance_code,class_cd,it_remarks) values</v>
      </c>
      <c r="G867" s="24" t="str">
        <f t="shared" si="54"/>
        <v>('29Apr250042','050000770297','5766',(select max(to_number(i.premium_rcv_detail_code))+1
from ins_premium_det i),'5766','5766','02', '11000003','00','Request by Mr. Omair Ali 30-Apr-2025');</v>
      </c>
      <c r="H867" s="25" t="str">
        <f t="shared" si="55"/>
        <v>insert into ins_premium_det (premium_rcv_code,assorted_code, rec_amount,premium_rcv_detail_code,remaining_amt, payrec, mode_code,coinsurance_code,class_cd,it_remarks) values('29Apr250042','050000770297','5766',(select max(to_number(i.premium_rcv_detail_code))+1
from ins_premium_det i),'5766','5766','02', '11000003','00','Request by Mr. Omair Ali 30-Apr-2025');</v>
      </c>
    </row>
    <row r="868" spans="1:8" ht="105" x14ac:dyDescent="0.25">
      <c r="A868" t="s">
        <v>544</v>
      </c>
      <c r="B868" s="1" t="str">
        <f>VLOOKUP(A868,Sheet5!B:C,2,0)</f>
        <v>050000770301</v>
      </c>
      <c r="C868" s="13">
        <v>1674</v>
      </c>
      <c r="D868" s="22">
        <f t="shared" si="53"/>
        <v>1674</v>
      </c>
      <c r="E868" s="21" t="s">
        <v>5912</v>
      </c>
      <c r="F868" s="23" t="str">
        <f t="shared" si="52"/>
        <v>insert into ins_premium_det (premium_rcv_code,assorted_code, rec_amount,premium_rcv_detail_code,remaining_amt, payrec, mode_code,coinsurance_code,class_cd,it_remarks) values</v>
      </c>
      <c r="G868" s="24" t="str">
        <f t="shared" si="54"/>
        <v>('29Apr250042','050000770301','1674',(select max(to_number(i.premium_rcv_detail_code))+1
from ins_premium_det i),'1674','1674','02', '11000003','00','Request by Mr. Omair Ali 30-Apr-2025');</v>
      </c>
      <c r="H868" s="25" t="str">
        <f t="shared" si="55"/>
        <v>insert into ins_premium_det (premium_rcv_code,assorted_code, rec_amount,premium_rcv_detail_code,remaining_amt, payrec, mode_code,coinsurance_code,class_cd,it_remarks) values('29Apr250042','050000770301','1674',(select max(to_number(i.premium_rcv_detail_code))+1
from ins_premium_det i),'1674','1674','02', '11000003','00','Request by Mr. Omair Ali 30-Apr-2025');</v>
      </c>
    </row>
    <row r="869" spans="1:8" ht="105" x14ac:dyDescent="0.25">
      <c r="A869" t="s">
        <v>840</v>
      </c>
      <c r="B869" s="1" t="str">
        <f>VLOOKUP(A869,Sheet5!B:C,2,0)</f>
        <v>050000770302</v>
      </c>
      <c r="C869" s="13">
        <v>4950</v>
      </c>
      <c r="D869" s="22">
        <f t="shared" si="53"/>
        <v>4950</v>
      </c>
      <c r="E869" s="21" t="s">
        <v>5912</v>
      </c>
      <c r="F869" s="23" t="str">
        <f t="shared" si="52"/>
        <v>insert into ins_premium_det (premium_rcv_code,assorted_code, rec_amount,premium_rcv_detail_code,remaining_amt, payrec, mode_code,coinsurance_code,class_cd,it_remarks) values</v>
      </c>
      <c r="G869" s="24" t="str">
        <f t="shared" si="54"/>
        <v>('29Apr250042','050000770302','4950',(select max(to_number(i.premium_rcv_detail_code))+1
from ins_premium_det i),'4950','4950','02', '11000003','00','Request by Mr. Omair Ali 30-Apr-2025');</v>
      </c>
      <c r="H869" s="25" t="str">
        <f t="shared" si="55"/>
        <v>insert into ins_premium_det (premium_rcv_code,assorted_code, rec_amount,premium_rcv_detail_code,remaining_amt, payrec, mode_code,coinsurance_code,class_cd,it_remarks) values('29Apr250042','050000770302','4950',(select max(to_number(i.premium_rcv_detail_code))+1
from ins_premium_det i),'4950','4950','02', '11000003','00','Request by Mr. Omair Ali 30-Apr-2025');</v>
      </c>
    </row>
    <row r="870" spans="1:8" ht="105" x14ac:dyDescent="0.25">
      <c r="A870" t="s">
        <v>851</v>
      </c>
      <c r="B870" s="1" t="str">
        <f>VLOOKUP(A870,Sheet5!B:C,2,0)</f>
        <v>050000770303</v>
      </c>
      <c r="C870" s="13">
        <v>1747</v>
      </c>
      <c r="D870" s="22">
        <f t="shared" si="53"/>
        <v>1747</v>
      </c>
      <c r="E870" s="21" t="s">
        <v>5912</v>
      </c>
      <c r="F870" s="23" t="str">
        <f t="shared" si="52"/>
        <v>insert into ins_premium_det (premium_rcv_code,assorted_code, rec_amount,premium_rcv_detail_code,remaining_amt, payrec, mode_code,coinsurance_code,class_cd,it_remarks) values</v>
      </c>
      <c r="G870" s="24" t="str">
        <f t="shared" si="54"/>
        <v>('29Apr250042','050000770303','1747',(select max(to_number(i.premium_rcv_detail_code))+1
from ins_premium_det i),'1747','1747','02', '11000003','00','Request by Mr. Omair Ali 30-Apr-2025');</v>
      </c>
      <c r="H870" s="25" t="str">
        <f t="shared" si="55"/>
        <v>insert into ins_premium_det (premium_rcv_code,assorted_code, rec_amount,premium_rcv_detail_code,remaining_amt, payrec, mode_code,coinsurance_code,class_cd,it_remarks) values('29Apr250042','050000770303','1747',(select max(to_number(i.premium_rcv_detail_code))+1
from ins_premium_det i),'1747','1747','02', '11000003','00','Request by Mr. Omair Ali 30-Apr-2025');</v>
      </c>
    </row>
    <row r="871" spans="1:8" ht="105" x14ac:dyDescent="0.25">
      <c r="A871" t="s">
        <v>999</v>
      </c>
      <c r="B871" s="1" t="str">
        <f>VLOOKUP(A871,Sheet5!B:C,2,0)</f>
        <v>050000770309</v>
      </c>
      <c r="C871" s="13">
        <v>3044</v>
      </c>
      <c r="D871" s="22">
        <f t="shared" si="53"/>
        <v>3044</v>
      </c>
      <c r="E871" s="21" t="s">
        <v>5912</v>
      </c>
      <c r="F871" s="23" t="str">
        <f t="shared" si="52"/>
        <v>insert into ins_premium_det (premium_rcv_code,assorted_code, rec_amount,premium_rcv_detail_code,remaining_amt, payrec, mode_code,coinsurance_code,class_cd,it_remarks) values</v>
      </c>
      <c r="G871" s="24" t="str">
        <f t="shared" si="54"/>
        <v>('29Apr250042','050000770309','3044',(select max(to_number(i.premium_rcv_detail_code))+1
from ins_premium_det i),'3044','3044','02', '11000003','00','Request by Mr. Omair Ali 30-Apr-2025');</v>
      </c>
      <c r="H871" s="25" t="str">
        <f t="shared" si="55"/>
        <v>insert into ins_premium_det (premium_rcv_code,assorted_code, rec_amount,premium_rcv_detail_code,remaining_amt, payrec, mode_code,coinsurance_code,class_cd,it_remarks) values('29Apr250042','050000770309','3044',(select max(to_number(i.premium_rcv_detail_code))+1
from ins_premium_det i),'3044','3044','02', '11000003','00','Request by Mr. Omair Ali 30-Apr-2025');</v>
      </c>
    </row>
    <row r="872" spans="1:8" ht="105" x14ac:dyDescent="0.25">
      <c r="A872" t="s">
        <v>1126</v>
      </c>
      <c r="B872" s="1" t="str">
        <f>VLOOKUP(A872,Sheet5!B:C,2,0)</f>
        <v>050000770313</v>
      </c>
      <c r="C872" s="13">
        <v>2493</v>
      </c>
      <c r="D872" s="22">
        <f t="shared" si="53"/>
        <v>2493</v>
      </c>
      <c r="E872" s="21" t="s">
        <v>5912</v>
      </c>
      <c r="F872" s="23" t="str">
        <f t="shared" si="52"/>
        <v>insert into ins_premium_det (premium_rcv_code,assorted_code, rec_amount,premium_rcv_detail_code,remaining_amt, payrec, mode_code,coinsurance_code,class_cd,it_remarks) values</v>
      </c>
      <c r="G872" s="24" t="str">
        <f t="shared" si="54"/>
        <v>('29Apr250042','050000770313','2493',(select max(to_number(i.premium_rcv_detail_code))+1
from ins_premium_det i),'2493','2493','02', '11000003','00','Request by Mr. Omair Ali 30-Apr-2025');</v>
      </c>
      <c r="H872" s="25" t="str">
        <f t="shared" si="55"/>
        <v>insert into ins_premium_det (premium_rcv_code,assorted_code, rec_amount,premium_rcv_detail_code,remaining_amt, payrec, mode_code,coinsurance_code,class_cd,it_remarks) values('29Apr250042','050000770313','2493',(select max(to_number(i.premium_rcv_detail_code))+1
from ins_premium_det i),'2493','2493','02', '11000003','00','Request by Mr. Omair Ali 30-Apr-2025');</v>
      </c>
    </row>
    <row r="873" spans="1:8" ht="105" x14ac:dyDescent="0.25">
      <c r="A873" t="s">
        <v>1132</v>
      </c>
      <c r="B873" s="1" t="str">
        <f>VLOOKUP(A873,Sheet5!B:C,2,0)</f>
        <v>050000770315</v>
      </c>
      <c r="C873" s="13">
        <v>1536</v>
      </c>
      <c r="D873" s="22">
        <f t="shared" si="53"/>
        <v>1536</v>
      </c>
      <c r="E873" s="21" t="s">
        <v>5912</v>
      </c>
      <c r="F873" s="23" t="str">
        <f t="shared" si="52"/>
        <v>insert into ins_premium_det (premium_rcv_code,assorted_code, rec_amount,premium_rcv_detail_code,remaining_amt, payrec, mode_code,coinsurance_code,class_cd,it_remarks) values</v>
      </c>
      <c r="G873" s="24" t="str">
        <f t="shared" si="54"/>
        <v>('29Apr250042','050000770315','1536',(select max(to_number(i.premium_rcv_detail_code))+1
from ins_premium_det i),'1536','1536','02', '11000003','00','Request by Mr. Omair Ali 30-Apr-2025');</v>
      </c>
      <c r="H873" s="25" t="str">
        <f t="shared" si="55"/>
        <v>insert into ins_premium_det (premium_rcv_code,assorted_code, rec_amount,premium_rcv_detail_code,remaining_amt, payrec, mode_code,coinsurance_code,class_cd,it_remarks) values('29Apr250042','050000770315','1536',(select max(to_number(i.premium_rcv_detail_code))+1
from ins_premium_det i),'1536','1536','02', '11000003','00','Request by Mr. Omair Ali 30-Apr-2025');</v>
      </c>
    </row>
    <row r="874" spans="1:8" ht="105" x14ac:dyDescent="0.25">
      <c r="A874" t="s">
        <v>1384</v>
      </c>
      <c r="B874" s="1" t="str">
        <f>VLOOKUP(A874,Sheet5!B:C,2,0)</f>
        <v>050000770324</v>
      </c>
      <c r="C874" s="13">
        <v>909</v>
      </c>
      <c r="D874" s="22">
        <f t="shared" si="53"/>
        <v>909</v>
      </c>
      <c r="E874" s="21" t="s">
        <v>5912</v>
      </c>
      <c r="F874" s="23" t="str">
        <f t="shared" si="52"/>
        <v>insert into ins_premium_det (premium_rcv_code,assorted_code, rec_amount,premium_rcv_detail_code,remaining_amt, payrec, mode_code,coinsurance_code,class_cd,it_remarks) values</v>
      </c>
      <c r="G874" s="24" t="str">
        <f t="shared" si="54"/>
        <v>('29Apr250042','050000770324','909',(select max(to_number(i.premium_rcv_detail_code))+1
from ins_premium_det i),'909','909','02', '11000003','00','Request by Mr. Omair Ali 30-Apr-2025');</v>
      </c>
      <c r="H874" s="25" t="str">
        <f t="shared" si="55"/>
        <v>insert into ins_premium_det (premium_rcv_code,assorted_code, rec_amount,premium_rcv_detail_code,remaining_amt, payrec, mode_code,coinsurance_code,class_cd,it_remarks) values('29Apr250042','050000770324','909',(select max(to_number(i.premium_rcv_detail_code))+1
from ins_premium_det i),'909','909','02', '11000003','00','Request by Mr. Omair Ali 30-Apr-2025');</v>
      </c>
    </row>
    <row r="875" spans="1:8" ht="105" x14ac:dyDescent="0.25">
      <c r="A875" t="s">
        <v>550</v>
      </c>
      <c r="B875" s="1" t="str">
        <f>VLOOKUP(A875,Sheet5!B:C,2,0)</f>
        <v>050000770512</v>
      </c>
      <c r="C875" s="13">
        <v>582</v>
      </c>
      <c r="D875" s="22">
        <f t="shared" si="53"/>
        <v>582</v>
      </c>
      <c r="E875" s="21" t="s">
        <v>5912</v>
      </c>
      <c r="F875" s="23" t="str">
        <f t="shared" si="52"/>
        <v>insert into ins_premium_det (premium_rcv_code,assorted_code, rec_amount,premium_rcv_detail_code,remaining_amt, payrec, mode_code,coinsurance_code,class_cd,it_remarks) values</v>
      </c>
      <c r="G875" s="24" t="str">
        <f t="shared" si="54"/>
        <v>('29Apr250042','050000770512','582',(select max(to_number(i.premium_rcv_detail_code))+1
from ins_premium_det i),'582','582','02', '11000003','00','Request by Mr. Omair Ali 30-Apr-2025');</v>
      </c>
      <c r="H875" s="25" t="str">
        <f t="shared" si="55"/>
        <v>insert into ins_premium_det (premium_rcv_code,assorted_code, rec_amount,premium_rcv_detail_code,remaining_amt, payrec, mode_code,coinsurance_code,class_cd,it_remarks) values('29Apr250042','050000770512','582',(select max(to_number(i.premium_rcv_detail_code))+1
from ins_premium_det i),'582','582','02', '11000003','00','Request by Mr. Omair Ali 30-Apr-2025');</v>
      </c>
    </row>
    <row r="876" spans="1:8" ht="105" x14ac:dyDescent="0.25">
      <c r="A876" t="s">
        <v>985</v>
      </c>
      <c r="B876" s="1" t="str">
        <f>VLOOKUP(A876,Sheet5!B:C,2,0)</f>
        <v>050000770524</v>
      </c>
      <c r="C876" s="13">
        <v>339</v>
      </c>
      <c r="D876" s="22">
        <f t="shared" si="53"/>
        <v>339</v>
      </c>
      <c r="E876" s="21" t="s">
        <v>5912</v>
      </c>
      <c r="F876" s="23" t="str">
        <f t="shared" si="52"/>
        <v>insert into ins_premium_det (premium_rcv_code,assorted_code, rec_amount,premium_rcv_detail_code,remaining_amt, payrec, mode_code,coinsurance_code,class_cd,it_remarks) values</v>
      </c>
      <c r="G876" s="24" t="str">
        <f t="shared" si="54"/>
        <v>('29Apr250042','050000770524','339',(select max(to_number(i.premium_rcv_detail_code))+1
from ins_premium_det i),'339','339','02', '11000003','00','Request by Mr. Omair Ali 30-Apr-2025');</v>
      </c>
      <c r="H876" s="25" t="str">
        <f t="shared" si="55"/>
        <v>insert into ins_premium_det (premium_rcv_code,assorted_code, rec_amount,premium_rcv_detail_code,remaining_amt, payrec, mode_code,coinsurance_code,class_cd,it_remarks) values('29Apr250042','050000770524','339',(select max(to_number(i.premium_rcv_detail_code))+1
from ins_premium_det i),'339','339','02', '11000003','00','Request by Mr. Omair Ali 30-Apr-2025');</v>
      </c>
    </row>
    <row r="877" spans="1:8" ht="105" x14ac:dyDescent="0.25">
      <c r="A877" t="s">
        <v>1010</v>
      </c>
      <c r="B877" s="1" t="str">
        <f>VLOOKUP(A877,Sheet5!B:C,2,0)</f>
        <v>050000770527</v>
      </c>
      <c r="C877" s="13">
        <v>6316</v>
      </c>
      <c r="D877" s="22">
        <f t="shared" si="53"/>
        <v>6316</v>
      </c>
      <c r="E877" s="21" t="s">
        <v>5912</v>
      </c>
      <c r="F877" s="23" t="str">
        <f t="shared" si="52"/>
        <v>insert into ins_premium_det (premium_rcv_code,assorted_code, rec_amount,premium_rcv_detail_code,remaining_amt, payrec, mode_code,coinsurance_code,class_cd,it_remarks) values</v>
      </c>
      <c r="G877" s="24" t="str">
        <f t="shared" si="54"/>
        <v>('29Apr250042','050000770527','6316',(select max(to_number(i.premium_rcv_detail_code))+1
from ins_premium_det i),'6316','6316','02', '11000003','00','Request by Mr. Omair Ali 30-Apr-2025');</v>
      </c>
      <c r="H877" s="25" t="str">
        <f t="shared" si="55"/>
        <v>insert into ins_premium_det (premium_rcv_code,assorted_code, rec_amount,premium_rcv_detail_code,remaining_amt, payrec, mode_code,coinsurance_code,class_cd,it_remarks) values('29Apr250042','050000770527','6316',(select max(to_number(i.premium_rcv_detail_code))+1
from ins_premium_det i),'6316','6316','02', '11000003','00','Request by Mr. Omair Ali 30-Apr-2025');</v>
      </c>
    </row>
    <row r="878" spans="1:8" ht="105" x14ac:dyDescent="0.25">
      <c r="A878" t="s">
        <v>1146</v>
      </c>
      <c r="B878" s="1" t="str">
        <f>VLOOKUP(A878,Sheet5!B:C,2,0)</f>
        <v>050000770530</v>
      </c>
      <c r="C878" s="13">
        <v>2438</v>
      </c>
      <c r="D878" s="22">
        <f t="shared" si="53"/>
        <v>2438</v>
      </c>
      <c r="E878" s="21" t="s">
        <v>5912</v>
      </c>
      <c r="F878" s="23" t="str">
        <f t="shared" si="52"/>
        <v>insert into ins_premium_det (premium_rcv_code,assorted_code, rec_amount,premium_rcv_detail_code,remaining_amt, payrec, mode_code,coinsurance_code,class_cd,it_remarks) values</v>
      </c>
      <c r="G878" s="24" t="str">
        <f t="shared" si="54"/>
        <v>('29Apr250042','050000770530','2438',(select max(to_number(i.premium_rcv_detail_code))+1
from ins_premium_det i),'2438','2438','02', '11000003','00','Request by Mr. Omair Ali 30-Apr-2025');</v>
      </c>
      <c r="H878" s="25" t="str">
        <f t="shared" si="55"/>
        <v>insert into ins_premium_det (premium_rcv_code,assorted_code, rec_amount,premium_rcv_detail_code,remaining_amt, payrec, mode_code,coinsurance_code,class_cd,it_remarks) values('29Apr250042','050000770530','2438',(select max(to_number(i.premium_rcv_detail_code))+1
from ins_premium_det i),'2438','2438','02', '11000003','00','Request by Mr. Omair Ali 30-Apr-2025');</v>
      </c>
    </row>
    <row r="879" spans="1:8" ht="105" x14ac:dyDescent="0.25">
      <c r="A879" t="s">
        <v>1395</v>
      </c>
      <c r="B879" s="1" t="str">
        <f>VLOOKUP(A879,Sheet5!B:C,2,0)</f>
        <v>050000770539</v>
      </c>
      <c r="C879" s="13">
        <v>2893</v>
      </c>
      <c r="D879" s="22">
        <f t="shared" si="53"/>
        <v>2893</v>
      </c>
      <c r="E879" s="21" t="s">
        <v>5912</v>
      </c>
      <c r="F879" s="23" t="str">
        <f t="shared" si="52"/>
        <v>insert into ins_premium_det (premium_rcv_code,assorted_code, rec_amount,premium_rcv_detail_code,remaining_amt, payrec, mode_code,coinsurance_code,class_cd,it_remarks) values</v>
      </c>
      <c r="G879" s="24" t="str">
        <f t="shared" si="54"/>
        <v>('29Apr250042','050000770539','2893',(select max(to_number(i.premium_rcv_detail_code))+1
from ins_premium_det i),'2893','2893','02', '11000003','00','Request by Mr. Omair Ali 30-Apr-2025');</v>
      </c>
      <c r="H879" s="25" t="str">
        <f t="shared" si="55"/>
        <v>insert into ins_premium_det (premium_rcv_code,assorted_code, rec_amount,premium_rcv_detail_code,remaining_amt, payrec, mode_code,coinsurance_code,class_cd,it_remarks) values('29Apr250042','050000770539','2893',(select max(to_number(i.premium_rcv_detail_code))+1
from ins_premium_det i),'2893','2893','02', '11000003','00','Request by Mr. Omair Ali 30-Apr-2025');</v>
      </c>
    </row>
    <row r="880" spans="1:8" ht="105" x14ac:dyDescent="0.25">
      <c r="A880" t="s">
        <v>1596</v>
      </c>
      <c r="B880" s="1" t="str">
        <f>VLOOKUP(A880,Sheet5!B:C,2,0)</f>
        <v>050000770547</v>
      </c>
      <c r="C880" s="13">
        <v>3516</v>
      </c>
      <c r="D880" s="22">
        <f t="shared" si="53"/>
        <v>3516</v>
      </c>
      <c r="E880" s="21" t="s">
        <v>5912</v>
      </c>
      <c r="F880" s="23" t="str">
        <f t="shared" si="52"/>
        <v>insert into ins_premium_det (premium_rcv_code,assorted_code, rec_amount,premium_rcv_detail_code,remaining_amt, payrec, mode_code,coinsurance_code,class_cd,it_remarks) values</v>
      </c>
      <c r="G880" s="24" t="str">
        <f t="shared" si="54"/>
        <v>('29Apr250042','050000770547','3516',(select max(to_number(i.premium_rcv_detail_code))+1
from ins_premium_det i),'3516','3516','02', '11000003','00','Request by Mr. Omair Ali 30-Apr-2025');</v>
      </c>
      <c r="H880" s="25" t="str">
        <f t="shared" si="55"/>
        <v>insert into ins_premium_det (premium_rcv_code,assorted_code, rec_amount,premium_rcv_detail_code,remaining_amt, payrec, mode_code,coinsurance_code,class_cd,it_remarks) values('29Apr250042','050000770547','3516',(select max(to_number(i.premium_rcv_detail_code))+1
from ins_premium_det i),'3516','3516','02', '11000003','00','Request by Mr. Omair Ali 30-Apr-2025');</v>
      </c>
    </row>
    <row r="881" spans="1:8" ht="105" x14ac:dyDescent="0.25">
      <c r="A881" t="s">
        <v>1941</v>
      </c>
      <c r="B881" s="1" t="str">
        <f>VLOOKUP(A881,Sheet5!B:C,2,0)</f>
        <v>050000770558</v>
      </c>
      <c r="C881" s="13">
        <v>1053</v>
      </c>
      <c r="D881" s="22">
        <f t="shared" si="53"/>
        <v>1053</v>
      </c>
      <c r="E881" s="21" t="s">
        <v>5912</v>
      </c>
      <c r="F881" s="23" t="str">
        <f t="shared" si="52"/>
        <v>insert into ins_premium_det (premium_rcv_code,assorted_code, rec_amount,premium_rcv_detail_code,remaining_amt, payrec, mode_code,coinsurance_code,class_cd,it_remarks) values</v>
      </c>
      <c r="G881" s="24" t="str">
        <f t="shared" si="54"/>
        <v>('29Apr250042','050000770558','1053',(select max(to_number(i.premium_rcv_detail_code))+1
from ins_premium_det i),'1053','1053','02', '11000003','00','Request by Mr. Omair Ali 30-Apr-2025');</v>
      </c>
      <c r="H881" s="25" t="str">
        <f t="shared" si="55"/>
        <v>insert into ins_premium_det (premium_rcv_code,assorted_code, rec_amount,premium_rcv_detail_code,remaining_amt, payrec, mode_code,coinsurance_code,class_cd,it_remarks) values('29Apr250042','050000770558','1053',(select max(to_number(i.premium_rcv_detail_code))+1
from ins_premium_det i),'1053','1053','02', '11000003','00','Request by Mr. Omair Ali 30-Apr-2025');</v>
      </c>
    </row>
    <row r="882" spans="1:8" ht="105" x14ac:dyDescent="0.25">
      <c r="A882" t="s">
        <v>463</v>
      </c>
      <c r="B882" s="1" t="str">
        <f>VLOOKUP(A882,Sheet5!B:C,2,0)</f>
        <v>050000770605</v>
      </c>
      <c r="C882" s="13">
        <v>1786</v>
      </c>
      <c r="D882" s="22">
        <f t="shared" si="53"/>
        <v>1786</v>
      </c>
      <c r="E882" s="21" t="s">
        <v>5912</v>
      </c>
      <c r="F882" s="23" t="str">
        <f t="shared" si="52"/>
        <v>insert into ins_premium_det (premium_rcv_code,assorted_code, rec_amount,premium_rcv_detail_code,remaining_amt, payrec, mode_code,coinsurance_code,class_cd,it_remarks) values</v>
      </c>
      <c r="G882" s="24" t="str">
        <f t="shared" si="54"/>
        <v>('29Apr250042','050000770605','1786',(select max(to_number(i.premium_rcv_detail_code))+1
from ins_premium_det i),'1786','1786','02', '11000003','00','Request by Mr. Omair Ali 30-Apr-2025');</v>
      </c>
      <c r="H882" s="25" t="str">
        <f t="shared" si="55"/>
        <v>insert into ins_premium_det (premium_rcv_code,assorted_code, rec_amount,premium_rcv_detail_code,remaining_amt, payrec, mode_code,coinsurance_code,class_cd,it_remarks) values('29Apr250042','050000770605','1786',(select max(to_number(i.premium_rcv_detail_code))+1
from ins_premium_det i),'1786','1786','02', '11000003','00','Request by Mr. Omair Ali 30-Apr-2025');</v>
      </c>
    </row>
    <row r="883" spans="1:8" ht="105" x14ac:dyDescent="0.25">
      <c r="A883" t="s">
        <v>1374</v>
      </c>
      <c r="B883" s="1" t="str">
        <f>VLOOKUP(A883,Sheet5!B:C,2,0)</f>
        <v>050000770618</v>
      </c>
      <c r="C883" s="13">
        <v>1221</v>
      </c>
      <c r="D883" s="22">
        <f t="shared" si="53"/>
        <v>1221</v>
      </c>
      <c r="E883" s="21" t="s">
        <v>5912</v>
      </c>
      <c r="F883" s="23" t="str">
        <f t="shared" si="52"/>
        <v>insert into ins_premium_det (premium_rcv_code,assorted_code, rec_amount,premium_rcv_detail_code,remaining_amt, payrec, mode_code,coinsurance_code,class_cd,it_remarks) values</v>
      </c>
      <c r="G883" s="24" t="str">
        <f t="shared" si="54"/>
        <v>('29Apr250042','050000770618','1221',(select max(to_number(i.premium_rcv_detail_code))+1
from ins_premium_det i),'1221','1221','02', '11000003','00','Request by Mr. Omair Ali 30-Apr-2025');</v>
      </c>
      <c r="H883" s="25" t="str">
        <f t="shared" si="55"/>
        <v>insert into ins_premium_det (premium_rcv_code,assorted_code, rec_amount,premium_rcv_detail_code,remaining_amt, payrec, mode_code,coinsurance_code,class_cd,it_remarks) values('29Apr250042','050000770618','1221',(select max(to_number(i.premium_rcv_detail_code))+1
from ins_premium_det i),'1221','1221','02', '11000003','00','Request by Mr. Omair Ali 30-Apr-2025');</v>
      </c>
    </row>
    <row r="884" spans="1:8" ht="105" x14ac:dyDescent="0.25">
      <c r="A884" t="s">
        <v>1495</v>
      </c>
      <c r="B884" s="1" t="str">
        <f>VLOOKUP(A884,Sheet5!B:C,2,0)</f>
        <v>050000770626</v>
      </c>
      <c r="C884" s="13">
        <v>1122</v>
      </c>
      <c r="D884" s="22">
        <f t="shared" si="53"/>
        <v>1122</v>
      </c>
      <c r="E884" s="21" t="s">
        <v>5912</v>
      </c>
      <c r="F884" s="23" t="str">
        <f t="shared" si="52"/>
        <v>insert into ins_premium_det (premium_rcv_code,assorted_code, rec_amount,premium_rcv_detail_code,remaining_amt, payrec, mode_code,coinsurance_code,class_cd,it_remarks) values</v>
      </c>
      <c r="G884" s="24" t="str">
        <f t="shared" si="54"/>
        <v>('29Apr250042','050000770626','1122',(select max(to_number(i.premium_rcv_detail_code))+1
from ins_premium_det i),'1122','1122','02', '11000003','00','Request by Mr. Omair Ali 30-Apr-2025');</v>
      </c>
      <c r="H884" s="25" t="str">
        <f t="shared" si="55"/>
        <v>insert into ins_premium_det (premium_rcv_code,assorted_code, rec_amount,premium_rcv_detail_code,remaining_amt, payrec, mode_code,coinsurance_code,class_cd,it_remarks) values('29Apr250042','050000770626','1122',(select max(to_number(i.premium_rcv_detail_code))+1
from ins_premium_det i),'1122','1122','02', '11000003','00','Request by Mr. Omair Ali 30-Apr-2025');</v>
      </c>
    </row>
    <row r="885" spans="1:8" ht="105" x14ac:dyDescent="0.25">
      <c r="A885" t="s">
        <v>1505</v>
      </c>
      <c r="B885" s="1" t="str">
        <f>VLOOKUP(A885,Sheet5!B:C,2,0)</f>
        <v>050000770627</v>
      </c>
      <c r="C885" s="13">
        <v>6836</v>
      </c>
      <c r="D885" s="22">
        <f t="shared" si="53"/>
        <v>6836</v>
      </c>
      <c r="E885" s="21" t="s">
        <v>5912</v>
      </c>
      <c r="F885" s="23" t="str">
        <f t="shared" si="52"/>
        <v>insert into ins_premium_det (premium_rcv_code,assorted_code, rec_amount,premium_rcv_detail_code,remaining_amt, payrec, mode_code,coinsurance_code,class_cd,it_remarks) values</v>
      </c>
      <c r="G885" s="24" t="str">
        <f t="shared" si="54"/>
        <v>('29Apr250042','050000770627','6836',(select max(to_number(i.premium_rcv_detail_code))+1
from ins_premium_det i),'6836','6836','02', '11000003','00','Request by Mr. Omair Ali 30-Apr-2025');</v>
      </c>
      <c r="H885" s="25" t="str">
        <f t="shared" si="55"/>
        <v>insert into ins_premium_det (premium_rcv_code,assorted_code, rec_amount,premium_rcv_detail_code,remaining_amt, payrec, mode_code,coinsurance_code,class_cd,it_remarks) values('29Apr250042','050000770627','6836',(select max(to_number(i.premium_rcv_detail_code))+1
from ins_premium_det i),'6836','6836','02', '11000003','00','Request by Mr. Omair Ali 30-Apr-2025');</v>
      </c>
    </row>
    <row r="886" spans="1:8" ht="105" x14ac:dyDescent="0.25">
      <c r="A886" t="s">
        <v>1783</v>
      </c>
      <c r="B886" s="1" t="str">
        <f>VLOOKUP(A886,Sheet5!B:C,2,0)</f>
        <v>050000770632</v>
      </c>
      <c r="C886" s="13">
        <v>5373</v>
      </c>
      <c r="D886" s="22">
        <f t="shared" si="53"/>
        <v>5373</v>
      </c>
      <c r="E886" s="21" t="s">
        <v>5912</v>
      </c>
      <c r="F886" s="23" t="str">
        <f t="shared" si="52"/>
        <v>insert into ins_premium_det (premium_rcv_code,assorted_code, rec_amount,premium_rcv_detail_code,remaining_amt, payrec, mode_code,coinsurance_code,class_cd,it_remarks) values</v>
      </c>
      <c r="G886" s="24" t="str">
        <f t="shared" si="54"/>
        <v>('29Apr250042','050000770632','5373',(select max(to_number(i.premium_rcv_detail_code))+1
from ins_premium_det i),'5373','5373','02', '11000003','00','Request by Mr. Omair Ali 30-Apr-2025');</v>
      </c>
      <c r="H886" s="25" t="str">
        <f t="shared" si="55"/>
        <v>insert into ins_premium_det (premium_rcv_code,assorted_code, rec_amount,premium_rcv_detail_code,remaining_amt, payrec, mode_code,coinsurance_code,class_cd,it_remarks) values('29Apr250042','050000770632','5373',(select max(to_number(i.premium_rcv_detail_code))+1
from ins_premium_det i),'5373','5373','02', '11000003','00','Request by Mr. Omair Ali 30-Apr-2025');</v>
      </c>
    </row>
    <row r="887" spans="1:8" ht="105" x14ac:dyDescent="0.25">
      <c r="A887" t="s">
        <v>575</v>
      </c>
      <c r="B887" s="1" t="str">
        <f>VLOOKUP(A887,Sheet5!B:C,2,0)</f>
        <v>050000770658</v>
      </c>
      <c r="C887" s="13">
        <v>22186</v>
      </c>
      <c r="D887" s="22">
        <f t="shared" si="53"/>
        <v>22186</v>
      </c>
      <c r="E887" s="21" t="s">
        <v>5912</v>
      </c>
      <c r="F887" s="23" t="str">
        <f t="shared" si="52"/>
        <v>insert into ins_premium_det (premium_rcv_code,assorted_code, rec_amount,premium_rcv_detail_code,remaining_amt, payrec, mode_code,coinsurance_code,class_cd,it_remarks) values</v>
      </c>
      <c r="G887" s="24" t="str">
        <f t="shared" si="54"/>
        <v>('29Apr250042','050000770658','22186',(select max(to_number(i.premium_rcv_detail_code))+1
from ins_premium_det i),'22186','22186','02', '11000003','00','Request by Mr. Omair Ali 30-Apr-2025');</v>
      </c>
      <c r="H887" s="25" t="str">
        <f t="shared" si="55"/>
        <v>insert into ins_premium_det (premium_rcv_code,assorted_code, rec_amount,premium_rcv_detail_code,remaining_amt, payrec, mode_code,coinsurance_code,class_cd,it_remarks) values('29Apr250042','050000770658','22186',(select max(to_number(i.premium_rcv_detail_code))+1
from ins_premium_det i),'22186','22186','02', '11000003','00','Request by Mr. Omair Ali 30-Apr-2025');</v>
      </c>
    </row>
    <row r="888" spans="1:8" ht="105" x14ac:dyDescent="0.25">
      <c r="A888" t="s">
        <v>1171</v>
      </c>
      <c r="B888" s="1" t="str">
        <f>VLOOKUP(A888,Sheet5!B:C,2,0)</f>
        <v>050000770691</v>
      </c>
      <c r="C888" s="13">
        <v>7698</v>
      </c>
      <c r="D888" s="22">
        <f t="shared" si="53"/>
        <v>7698</v>
      </c>
      <c r="E888" s="21" t="s">
        <v>5912</v>
      </c>
      <c r="F888" s="23" t="str">
        <f t="shared" si="52"/>
        <v>insert into ins_premium_det (premium_rcv_code,assorted_code, rec_amount,premium_rcv_detail_code,remaining_amt, payrec, mode_code,coinsurance_code,class_cd,it_remarks) values</v>
      </c>
      <c r="G888" s="24" t="str">
        <f t="shared" si="54"/>
        <v>('29Apr250042','050000770691','7698',(select max(to_number(i.premium_rcv_detail_code))+1
from ins_premium_det i),'7698','7698','02', '11000003','00','Request by Mr. Omair Ali 30-Apr-2025');</v>
      </c>
      <c r="H888" s="25" t="str">
        <f t="shared" si="55"/>
        <v>insert into ins_premium_det (premium_rcv_code,assorted_code, rec_amount,premium_rcv_detail_code,remaining_amt, payrec, mode_code,coinsurance_code,class_cd,it_remarks) values('29Apr250042','050000770691','7698',(select max(to_number(i.premium_rcv_detail_code))+1
from ins_premium_det i),'7698','7698','02', '11000003','00','Request by Mr. Omair Ali 30-Apr-2025');</v>
      </c>
    </row>
    <row r="889" spans="1:8" ht="105" x14ac:dyDescent="0.25">
      <c r="A889" t="s">
        <v>1408</v>
      </c>
      <c r="B889" s="1" t="str">
        <f>VLOOKUP(A889,Sheet5!B:C,2,0)</f>
        <v>050000770694</v>
      </c>
      <c r="C889" s="13">
        <v>1920</v>
      </c>
      <c r="D889" s="22">
        <f t="shared" si="53"/>
        <v>1920</v>
      </c>
      <c r="E889" s="21" t="s">
        <v>5912</v>
      </c>
      <c r="F889" s="23" t="str">
        <f t="shared" si="52"/>
        <v>insert into ins_premium_det (premium_rcv_code,assorted_code, rec_amount,premium_rcv_detail_code,remaining_amt, payrec, mode_code,coinsurance_code,class_cd,it_remarks) values</v>
      </c>
      <c r="G889" s="24" t="str">
        <f t="shared" si="54"/>
        <v>('29Apr250042','050000770694','1920',(select max(to_number(i.premium_rcv_detail_code))+1
from ins_premium_det i),'1920','1920','02', '11000003','00','Request by Mr. Omair Ali 30-Apr-2025');</v>
      </c>
      <c r="H889" s="25" t="str">
        <f t="shared" si="55"/>
        <v>insert into ins_premium_det (premium_rcv_code,assorted_code, rec_amount,premium_rcv_detail_code,remaining_amt, payrec, mode_code,coinsurance_code,class_cd,it_remarks) values('29Apr250042','050000770694','1920',(select max(to_number(i.premium_rcv_detail_code))+1
from ins_premium_det i),'1920','1920','02', '11000003','00','Request by Mr. Omair Ali 30-Apr-2025');</v>
      </c>
    </row>
    <row r="890" spans="1:8" ht="105" x14ac:dyDescent="0.25">
      <c r="A890" t="s">
        <v>1610</v>
      </c>
      <c r="B890" s="1" t="str">
        <f>VLOOKUP(A890,Sheet5!B:C,2,0)</f>
        <v>050000770698</v>
      </c>
      <c r="C890" s="13">
        <v>2815</v>
      </c>
      <c r="D890" s="22">
        <f t="shared" si="53"/>
        <v>2815</v>
      </c>
      <c r="E890" s="21" t="s">
        <v>5912</v>
      </c>
      <c r="F890" s="23" t="str">
        <f t="shared" si="52"/>
        <v>insert into ins_premium_det (premium_rcv_code,assorted_code, rec_amount,premium_rcv_detail_code,remaining_amt, payrec, mode_code,coinsurance_code,class_cd,it_remarks) values</v>
      </c>
      <c r="G890" s="24" t="str">
        <f t="shared" si="54"/>
        <v>('29Apr250042','050000770698','2815',(select max(to_number(i.premium_rcv_detail_code))+1
from ins_premium_det i),'2815','2815','02', '11000003','00','Request by Mr. Omair Ali 30-Apr-2025');</v>
      </c>
      <c r="H890" s="25" t="str">
        <f t="shared" si="55"/>
        <v>insert into ins_premium_det (premium_rcv_code,assorted_code, rec_amount,premium_rcv_detail_code,remaining_amt, payrec, mode_code,coinsurance_code,class_cd,it_remarks) values('29Apr250042','050000770698','2815',(select max(to_number(i.premium_rcv_detail_code))+1
from ins_premium_det i),'2815','2815','02', '11000003','00','Request by Mr. Omair Ali 30-Apr-2025');</v>
      </c>
    </row>
    <row r="891" spans="1:8" ht="105" x14ac:dyDescent="0.25">
      <c r="A891" t="s">
        <v>1853</v>
      </c>
      <c r="B891" s="1" t="str">
        <f>VLOOKUP(A891,Sheet5!B:C,2,0)</f>
        <v>050000770705</v>
      </c>
      <c r="C891" s="13">
        <v>3158</v>
      </c>
      <c r="D891" s="22">
        <f t="shared" si="53"/>
        <v>3158</v>
      </c>
      <c r="E891" s="21" t="s">
        <v>5912</v>
      </c>
      <c r="F891" s="23" t="str">
        <f t="shared" si="52"/>
        <v>insert into ins_premium_det (premium_rcv_code,assorted_code, rec_amount,premium_rcv_detail_code,remaining_amt, payrec, mode_code,coinsurance_code,class_cd,it_remarks) values</v>
      </c>
      <c r="G891" s="24" t="str">
        <f t="shared" si="54"/>
        <v>('29Apr250042','050000770705','3158',(select max(to_number(i.premium_rcv_detail_code))+1
from ins_premium_det i),'3158','3158','02', '11000003','00','Request by Mr. Omair Ali 30-Apr-2025');</v>
      </c>
      <c r="H891" s="25" t="str">
        <f t="shared" si="55"/>
        <v>insert into ins_premium_det (premium_rcv_code,assorted_code, rec_amount,premium_rcv_detail_code,remaining_amt, payrec, mode_code,coinsurance_code,class_cd,it_remarks) values('29Apr250042','050000770705','3158',(select max(to_number(i.premium_rcv_detail_code))+1
from ins_premium_det i),'3158','3158','02', '11000003','00','Request by Mr. Omair Ali 30-Apr-2025');</v>
      </c>
    </row>
    <row r="892" spans="1:8" ht="105" x14ac:dyDescent="0.25">
      <c r="A892" t="s">
        <v>484</v>
      </c>
      <c r="B892" s="1" t="str">
        <f>VLOOKUP(A892,Sheet5!B:C,2,0)</f>
        <v>050000770748</v>
      </c>
      <c r="C892" s="13">
        <v>1611</v>
      </c>
      <c r="D892" s="22">
        <f t="shared" si="53"/>
        <v>1611</v>
      </c>
      <c r="E892" s="21" t="s">
        <v>5912</v>
      </c>
      <c r="F892" s="23" t="str">
        <f t="shared" si="52"/>
        <v>insert into ins_premium_det (premium_rcv_code,assorted_code, rec_amount,premium_rcv_detail_code,remaining_amt, payrec, mode_code,coinsurance_code,class_cd,it_remarks) values</v>
      </c>
      <c r="G892" s="24" t="str">
        <f t="shared" si="54"/>
        <v>('29Apr250042','050000770748','1611',(select max(to_number(i.premium_rcv_detail_code))+1
from ins_premium_det i),'1611','1611','02', '11000003','00','Request by Mr. Omair Ali 30-Apr-2025');</v>
      </c>
      <c r="H892" s="25" t="str">
        <f t="shared" si="55"/>
        <v>insert into ins_premium_det (premium_rcv_code,assorted_code, rec_amount,premium_rcv_detail_code,remaining_amt, payrec, mode_code,coinsurance_code,class_cd,it_remarks) values('29Apr250042','050000770748','1611',(select max(to_number(i.premium_rcv_detail_code))+1
from ins_premium_det i),'1611','1611','02', '11000003','00','Request by Mr. Omair Ali 30-Apr-2025');</v>
      </c>
    </row>
    <row r="893" spans="1:8" ht="105" x14ac:dyDescent="0.25">
      <c r="A893" t="s">
        <v>565</v>
      </c>
      <c r="B893" s="1" t="str">
        <f>VLOOKUP(A893,Sheet5!B:C,2,0)</f>
        <v>050000770753</v>
      </c>
      <c r="C893" s="13">
        <v>633</v>
      </c>
      <c r="D893" s="22">
        <f t="shared" si="53"/>
        <v>633</v>
      </c>
      <c r="E893" s="21" t="s">
        <v>5912</v>
      </c>
      <c r="F893" s="23" t="str">
        <f t="shared" si="52"/>
        <v>insert into ins_premium_det (premium_rcv_code,assorted_code, rec_amount,premium_rcv_detail_code,remaining_amt, payrec, mode_code,coinsurance_code,class_cd,it_remarks) values</v>
      </c>
      <c r="G893" s="24" t="str">
        <f t="shared" si="54"/>
        <v>('29Apr250042','050000770753','633',(select max(to_number(i.premium_rcv_detail_code))+1
from ins_premium_det i),'633','633','02', '11000003','00','Request by Mr. Omair Ali 30-Apr-2025');</v>
      </c>
      <c r="H893" s="25" t="str">
        <f t="shared" si="55"/>
        <v>insert into ins_premium_det (premium_rcv_code,assorted_code, rec_amount,premium_rcv_detail_code,remaining_amt, payrec, mode_code,coinsurance_code,class_cd,it_remarks) values('29Apr250042','050000770753','633',(select max(to_number(i.premium_rcv_detail_code))+1
from ins_premium_det i),'633','633','02', '11000003','00','Request by Mr. Omair Ali 30-Apr-2025');</v>
      </c>
    </row>
    <row r="894" spans="1:8" ht="105" x14ac:dyDescent="0.25">
      <c r="A894" t="s">
        <v>724</v>
      </c>
      <c r="B894" s="1" t="str">
        <f>VLOOKUP(A894,Sheet5!B:C,2,0)</f>
        <v>050000770755</v>
      </c>
      <c r="C894" s="13">
        <v>3985</v>
      </c>
      <c r="D894" s="22">
        <f t="shared" si="53"/>
        <v>3985</v>
      </c>
      <c r="E894" s="21" t="s">
        <v>5912</v>
      </c>
      <c r="F894" s="23" t="str">
        <f t="shared" si="52"/>
        <v>insert into ins_premium_det (premium_rcv_code,assorted_code, rec_amount,premium_rcv_detail_code,remaining_amt, payrec, mode_code,coinsurance_code,class_cd,it_remarks) values</v>
      </c>
      <c r="G894" s="24" t="str">
        <f t="shared" si="54"/>
        <v>('29Apr250042','050000770755','3985',(select max(to_number(i.premium_rcv_detail_code))+1
from ins_premium_det i),'3985','3985','02', '11000003','00','Request by Mr. Omair Ali 30-Apr-2025');</v>
      </c>
      <c r="H894" s="25" t="str">
        <f t="shared" si="55"/>
        <v>insert into ins_premium_det (premium_rcv_code,assorted_code, rec_amount,premium_rcv_detail_code,remaining_amt, payrec, mode_code,coinsurance_code,class_cd,it_remarks) values('29Apr250042','050000770755','3985',(select max(to_number(i.premium_rcv_detail_code))+1
from ins_premium_det i),'3985','3985','02', '11000003','00','Request by Mr. Omair Ali 30-Apr-2025');</v>
      </c>
    </row>
    <row r="895" spans="1:8" ht="105" x14ac:dyDescent="0.25">
      <c r="A895" t="s">
        <v>728</v>
      </c>
      <c r="B895" s="1" t="str">
        <f>VLOOKUP(A895,Sheet5!B:C,2,0)</f>
        <v>050000770757</v>
      </c>
      <c r="C895" s="13">
        <v>2110</v>
      </c>
      <c r="D895" s="22">
        <f t="shared" si="53"/>
        <v>2110</v>
      </c>
      <c r="E895" s="21" t="s">
        <v>5912</v>
      </c>
      <c r="F895" s="23" t="str">
        <f t="shared" si="52"/>
        <v>insert into ins_premium_det (premium_rcv_code,assorted_code, rec_amount,premium_rcv_detail_code,remaining_amt, payrec, mode_code,coinsurance_code,class_cd,it_remarks) values</v>
      </c>
      <c r="G895" s="24" t="str">
        <f t="shared" si="54"/>
        <v>('29Apr250042','050000770757','2110',(select max(to_number(i.premium_rcv_detail_code))+1
from ins_premium_det i),'2110','2110','02', '11000003','00','Request by Mr. Omair Ali 30-Apr-2025');</v>
      </c>
      <c r="H895" s="25" t="str">
        <f t="shared" si="55"/>
        <v>insert into ins_premium_det (premium_rcv_code,assorted_code, rec_amount,premium_rcv_detail_code,remaining_amt, payrec, mode_code,coinsurance_code,class_cd,it_remarks) values('29Apr250042','050000770757','2110',(select max(to_number(i.premium_rcv_detail_code))+1
from ins_premium_det i),'2110','2110','02', '11000003','00','Request by Mr. Omair Ali 30-Apr-2025');</v>
      </c>
    </row>
    <row r="896" spans="1:8" ht="105" x14ac:dyDescent="0.25">
      <c r="A896" t="s">
        <v>741</v>
      </c>
      <c r="B896" s="1" t="str">
        <f>VLOOKUP(A896,Sheet5!B:C,2,0)</f>
        <v>050000770759</v>
      </c>
      <c r="C896" s="13">
        <v>691</v>
      </c>
      <c r="D896" s="22">
        <f t="shared" si="53"/>
        <v>691</v>
      </c>
      <c r="E896" s="21" t="s">
        <v>5912</v>
      </c>
      <c r="F896" s="23" t="str">
        <f t="shared" si="52"/>
        <v>insert into ins_premium_det (premium_rcv_code,assorted_code, rec_amount,premium_rcv_detail_code,remaining_amt, payrec, mode_code,coinsurance_code,class_cd,it_remarks) values</v>
      </c>
      <c r="G896" s="24" t="str">
        <f t="shared" si="54"/>
        <v>('29Apr250042','050000770759','691',(select max(to_number(i.premium_rcv_detail_code))+1
from ins_premium_det i),'691','691','02', '11000003','00','Request by Mr. Omair Ali 30-Apr-2025');</v>
      </c>
      <c r="H896" s="25" t="str">
        <f t="shared" si="55"/>
        <v>insert into ins_premium_det (premium_rcv_code,assorted_code, rec_amount,premium_rcv_detail_code,remaining_amt, payrec, mode_code,coinsurance_code,class_cd,it_remarks) values('29Apr250042','050000770759','691',(select max(to_number(i.premium_rcv_detail_code))+1
from ins_premium_det i),'691','691','02', '11000003','00','Request by Mr. Omair Ali 30-Apr-2025');</v>
      </c>
    </row>
    <row r="897" spans="1:8" ht="105" x14ac:dyDescent="0.25">
      <c r="A897" t="s">
        <v>749</v>
      </c>
      <c r="B897" s="1" t="str">
        <f>VLOOKUP(A897,Sheet5!B:C,2,0)</f>
        <v>050000770760</v>
      </c>
      <c r="C897" s="13">
        <v>432</v>
      </c>
      <c r="D897" s="22">
        <f t="shared" si="53"/>
        <v>432</v>
      </c>
      <c r="E897" s="21" t="s">
        <v>5912</v>
      </c>
      <c r="F897" s="23" t="str">
        <f t="shared" si="52"/>
        <v>insert into ins_premium_det (premium_rcv_code,assorted_code, rec_amount,premium_rcv_detail_code,remaining_amt, payrec, mode_code,coinsurance_code,class_cd,it_remarks) values</v>
      </c>
      <c r="G897" s="24" t="str">
        <f t="shared" si="54"/>
        <v>('29Apr250042','050000770760','432',(select max(to_number(i.premium_rcv_detail_code))+1
from ins_premium_det i),'432','432','02', '11000003','00','Request by Mr. Omair Ali 30-Apr-2025');</v>
      </c>
      <c r="H897" s="25" t="str">
        <f t="shared" si="55"/>
        <v>insert into ins_premium_det (premium_rcv_code,assorted_code, rec_amount,premium_rcv_detail_code,remaining_amt, payrec, mode_code,coinsurance_code,class_cd,it_remarks) values('29Apr250042','050000770760','432',(select max(to_number(i.premium_rcv_detail_code))+1
from ins_premium_det i),'432','432','02', '11000003','00','Request by Mr. Omair Ali 30-Apr-2025');</v>
      </c>
    </row>
    <row r="898" spans="1:8" ht="105" x14ac:dyDescent="0.25">
      <c r="A898" t="s">
        <v>878</v>
      </c>
      <c r="B898" s="1" t="str">
        <f>VLOOKUP(A898,Sheet5!B:C,2,0)</f>
        <v>050000770761</v>
      </c>
      <c r="C898" s="13">
        <v>5290</v>
      </c>
      <c r="D898" s="22">
        <f t="shared" si="53"/>
        <v>5290</v>
      </c>
      <c r="E898" s="21" t="s">
        <v>5912</v>
      </c>
      <c r="F898" s="23" t="str">
        <f t="shared" ref="F898:F961" si="5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898" s="24" t="str">
        <f t="shared" si="54"/>
        <v>('29Apr250042','050000770761','5290',(select max(to_number(i.premium_rcv_detail_code))+1
from ins_premium_det i),'5290','5290','02', '11000003','00','Request by Mr. Omair Ali 30-Apr-2025');</v>
      </c>
      <c r="H898" s="25" t="str">
        <f t="shared" si="55"/>
        <v>insert into ins_premium_det (premium_rcv_code,assorted_code, rec_amount,premium_rcv_detail_code,remaining_amt, payrec, mode_code,coinsurance_code,class_cd,it_remarks) values('29Apr250042','050000770761','5290',(select max(to_number(i.premium_rcv_detail_code))+1
from ins_premium_det i),'5290','5290','02', '11000003','00','Request by Mr. Omair Ali 30-Apr-2025');</v>
      </c>
    </row>
    <row r="899" spans="1:8" ht="105" x14ac:dyDescent="0.25">
      <c r="A899" t="s">
        <v>1030</v>
      </c>
      <c r="B899" s="1" t="str">
        <f>VLOOKUP(A899,Sheet5!B:C,2,0)</f>
        <v>050000770765</v>
      </c>
      <c r="C899" s="13">
        <v>1864</v>
      </c>
      <c r="D899" s="22">
        <f t="shared" ref="D899:D962" si="57">ROUND(C899,0)</f>
        <v>1864</v>
      </c>
      <c r="E899" s="21" t="s">
        <v>5912</v>
      </c>
      <c r="F899" s="23" t="str">
        <f t="shared" si="56"/>
        <v>insert into ins_premium_det (premium_rcv_code,assorted_code, rec_amount,premium_rcv_detail_code,remaining_amt, payrec, mode_code,coinsurance_code,class_cd,it_remarks) values</v>
      </c>
      <c r="G899" s="24" t="str">
        <f t="shared" ref="G899:G962" si="58">"('"&amp;E899&amp;"','"&amp;B899&amp;"','"&amp;D899&amp;"',(select max(to_number(i.premium_rcv_detail_code))+1
from ins_premium_det i),'"&amp;D899&amp;"','"&amp;D899&amp;"','02', '11000003','00','Request by Mr. Omair Ali 30-Apr-2025');"</f>
        <v>('29Apr250042','050000770765','1864',(select max(to_number(i.premium_rcv_detail_code))+1
from ins_premium_det i),'1864','1864','02', '11000003','00','Request by Mr. Omair Ali 30-Apr-2025');</v>
      </c>
      <c r="H899" s="25" t="str">
        <f t="shared" ref="H899:H962" si="59">F899&amp;G899</f>
        <v>insert into ins_premium_det (premium_rcv_code,assorted_code, rec_amount,premium_rcv_detail_code,remaining_amt, payrec, mode_code,coinsurance_code,class_cd,it_remarks) values('29Apr250042','050000770765','1864',(select max(to_number(i.premium_rcv_detail_code))+1
from ins_premium_det i),'1864','1864','02', '11000003','00','Request by Mr. Omair Ali 30-Apr-2025');</v>
      </c>
    </row>
    <row r="900" spans="1:8" ht="105" x14ac:dyDescent="0.25">
      <c r="A900" t="s">
        <v>1183</v>
      </c>
      <c r="B900" s="1" t="str">
        <f>VLOOKUP(A900,Sheet5!B:C,2,0)</f>
        <v>050000770779</v>
      </c>
      <c r="C900" s="13">
        <v>235</v>
      </c>
      <c r="D900" s="22">
        <f t="shared" si="57"/>
        <v>235</v>
      </c>
      <c r="E900" s="21" t="s">
        <v>5912</v>
      </c>
      <c r="F900" s="23" t="str">
        <f t="shared" si="56"/>
        <v>insert into ins_premium_det (premium_rcv_code,assorted_code, rec_amount,premium_rcv_detail_code,remaining_amt, payrec, mode_code,coinsurance_code,class_cd,it_remarks) values</v>
      </c>
      <c r="G900" s="24" t="str">
        <f t="shared" si="58"/>
        <v>('29Apr250042','050000770779','235',(select max(to_number(i.premium_rcv_detail_code))+1
from ins_premium_det i),'235','235','02', '11000003','00','Request by Mr. Omair Ali 30-Apr-2025');</v>
      </c>
      <c r="H900" s="25" t="str">
        <f t="shared" si="59"/>
        <v>insert into ins_premium_det (premium_rcv_code,assorted_code, rec_amount,premium_rcv_detail_code,remaining_amt, payrec, mode_code,coinsurance_code,class_cd,it_remarks) values('29Apr250042','050000770779','235',(select max(to_number(i.premium_rcv_detail_code))+1
from ins_premium_det i),'235','235','02', '11000003','00','Request by Mr. Omair Ali 30-Apr-2025');</v>
      </c>
    </row>
    <row r="901" spans="1:8" ht="105" x14ac:dyDescent="0.25">
      <c r="A901" t="s">
        <v>1184</v>
      </c>
      <c r="B901" s="1" t="str">
        <f>VLOOKUP(A901,Sheet5!B:C,2,0)</f>
        <v>050000770780</v>
      </c>
      <c r="C901" s="13">
        <v>663</v>
      </c>
      <c r="D901" s="22">
        <f t="shared" si="57"/>
        <v>663</v>
      </c>
      <c r="E901" s="21" t="s">
        <v>5912</v>
      </c>
      <c r="F901" s="23" t="str">
        <f t="shared" si="56"/>
        <v>insert into ins_premium_det (premium_rcv_code,assorted_code, rec_amount,premium_rcv_detail_code,remaining_amt, payrec, mode_code,coinsurance_code,class_cd,it_remarks) values</v>
      </c>
      <c r="G901" s="24" t="str">
        <f t="shared" si="58"/>
        <v>('29Apr250042','050000770780','663',(select max(to_number(i.premium_rcv_detail_code))+1
from ins_premium_det i),'663','663','02', '11000003','00','Request by Mr. Omair Ali 30-Apr-2025');</v>
      </c>
      <c r="H901" s="25" t="str">
        <f t="shared" si="59"/>
        <v>insert into ins_premium_det (premium_rcv_code,assorted_code, rec_amount,premium_rcv_detail_code,remaining_amt, payrec, mode_code,coinsurance_code,class_cd,it_remarks) values('29Apr250042','050000770780','663',(select max(to_number(i.premium_rcv_detail_code))+1
from ins_premium_det i),'663','663','02', '11000003','00','Request by Mr. Omair Ali 30-Apr-2025');</v>
      </c>
    </row>
    <row r="902" spans="1:8" ht="105" x14ac:dyDescent="0.25">
      <c r="A902" t="s">
        <v>1197</v>
      </c>
      <c r="B902" s="1" t="str">
        <f>VLOOKUP(A902,Sheet5!B:C,2,0)</f>
        <v>050000770782</v>
      </c>
      <c r="C902" s="13">
        <v>3064</v>
      </c>
      <c r="D902" s="22">
        <f t="shared" si="57"/>
        <v>3064</v>
      </c>
      <c r="E902" s="21" t="s">
        <v>5912</v>
      </c>
      <c r="F902" s="23" t="str">
        <f t="shared" si="56"/>
        <v>insert into ins_premium_det (premium_rcv_code,assorted_code, rec_amount,premium_rcv_detail_code,remaining_amt, payrec, mode_code,coinsurance_code,class_cd,it_remarks) values</v>
      </c>
      <c r="G902" s="24" t="str">
        <f t="shared" si="58"/>
        <v>('29Apr250042','050000770782','3064',(select max(to_number(i.premium_rcv_detail_code))+1
from ins_premium_det i),'3064','3064','02', '11000003','00','Request by Mr. Omair Ali 30-Apr-2025');</v>
      </c>
      <c r="H902" s="25" t="str">
        <f t="shared" si="59"/>
        <v>insert into ins_premium_det (premium_rcv_code,assorted_code, rec_amount,premium_rcv_detail_code,remaining_amt, payrec, mode_code,coinsurance_code,class_cd,it_remarks) values('29Apr250042','050000770782','3064',(select max(to_number(i.premium_rcv_detail_code))+1
from ins_premium_det i),'3064','3064','02', '11000003','00','Request by Mr. Omair Ali 30-Apr-2025');</v>
      </c>
    </row>
    <row r="903" spans="1:8" ht="105" x14ac:dyDescent="0.25">
      <c r="A903" t="s">
        <v>1207</v>
      </c>
      <c r="B903" s="1" t="str">
        <f>VLOOKUP(A903,Sheet5!B:C,2,0)</f>
        <v>050000770783</v>
      </c>
      <c r="C903" s="13">
        <v>3586</v>
      </c>
      <c r="D903" s="22">
        <f t="shared" si="57"/>
        <v>3586</v>
      </c>
      <c r="E903" s="21" t="s">
        <v>5912</v>
      </c>
      <c r="F903" s="23" t="str">
        <f t="shared" si="56"/>
        <v>insert into ins_premium_det (premium_rcv_code,assorted_code, rec_amount,premium_rcv_detail_code,remaining_amt, payrec, mode_code,coinsurance_code,class_cd,it_remarks) values</v>
      </c>
      <c r="G903" s="24" t="str">
        <f t="shared" si="58"/>
        <v>('29Apr250042','050000770783','3586',(select max(to_number(i.premium_rcv_detail_code))+1
from ins_premium_det i),'3586','3586','02', '11000003','00','Request by Mr. Omair Ali 30-Apr-2025');</v>
      </c>
      <c r="H903" s="25" t="str">
        <f t="shared" si="59"/>
        <v>insert into ins_premium_det (premium_rcv_code,assorted_code, rec_amount,premium_rcv_detail_code,remaining_amt, payrec, mode_code,coinsurance_code,class_cd,it_remarks) values('29Apr250042','050000770783','3586',(select max(to_number(i.premium_rcv_detail_code))+1
from ins_premium_det i),'3586','3586','02', '11000003','00','Request by Mr. Omair Ali 30-Apr-2025');</v>
      </c>
    </row>
    <row r="904" spans="1:8" ht="105" x14ac:dyDescent="0.25">
      <c r="A904" t="s">
        <v>1530</v>
      </c>
      <c r="B904" s="1" t="str">
        <f>VLOOKUP(A904,Sheet5!B:C,2,0)</f>
        <v>050000770792</v>
      </c>
      <c r="C904" s="13">
        <v>315</v>
      </c>
      <c r="D904" s="22">
        <f t="shared" si="57"/>
        <v>315</v>
      </c>
      <c r="E904" s="21" t="s">
        <v>5912</v>
      </c>
      <c r="F904" s="23" t="str">
        <f t="shared" si="56"/>
        <v>insert into ins_premium_det (premium_rcv_code,assorted_code, rec_amount,premium_rcv_detail_code,remaining_amt, payrec, mode_code,coinsurance_code,class_cd,it_remarks) values</v>
      </c>
      <c r="G904" s="24" t="str">
        <f t="shared" si="58"/>
        <v>('29Apr250042','050000770792','315',(select max(to_number(i.premium_rcv_detail_code))+1
from ins_premium_det i),'315','315','02', '11000003','00','Request by Mr. Omair Ali 30-Apr-2025');</v>
      </c>
      <c r="H904" s="25" t="str">
        <f t="shared" si="59"/>
        <v>insert into ins_premium_det (premium_rcv_code,assorted_code, rec_amount,premium_rcv_detail_code,remaining_amt, payrec, mode_code,coinsurance_code,class_cd,it_remarks) values('29Apr250042','050000770792','315',(select max(to_number(i.premium_rcv_detail_code))+1
from ins_premium_det i),'315','315','02', '11000003','00','Request by Mr. Omair Ali 30-Apr-2025');</v>
      </c>
    </row>
    <row r="905" spans="1:8" ht="105" x14ac:dyDescent="0.25">
      <c r="A905" t="s">
        <v>1538</v>
      </c>
      <c r="B905" s="1" t="str">
        <f>VLOOKUP(A905,Sheet5!B:C,2,0)</f>
        <v>050000770793</v>
      </c>
      <c r="C905" s="13">
        <v>3634</v>
      </c>
      <c r="D905" s="22">
        <f t="shared" si="57"/>
        <v>3634</v>
      </c>
      <c r="E905" s="21" t="s">
        <v>5912</v>
      </c>
      <c r="F905" s="23" t="str">
        <f t="shared" si="56"/>
        <v>insert into ins_premium_det (premium_rcv_code,assorted_code, rec_amount,premium_rcv_detail_code,remaining_amt, payrec, mode_code,coinsurance_code,class_cd,it_remarks) values</v>
      </c>
      <c r="G905" s="24" t="str">
        <f t="shared" si="58"/>
        <v>('29Apr250042','050000770793','3634',(select max(to_number(i.premium_rcv_detail_code))+1
from ins_premium_det i),'3634','3634','02', '11000003','00','Request by Mr. Omair Ali 30-Apr-2025');</v>
      </c>
      <c r="H905" s="25" t="str">
        <f t="shared" si="59"/>
        <v>insert into ins_premium_det (premium_rcv_code,assorted_code, rec_amount,premium_rcv_detail_code,remaining_amt, payrec, mode_code,coinsurance_code,class_cd,it_remarks) values('29Apr250042','050000770793','3634',(select max(to_number(i.premium_rcv_detail_code))+1
from ins_premium_det i),'3634','3634','02', '11000003','00','Request by Mr. Omair Ali 30-Apr-2025');</v>
      </c>
    </row>
    <row r="906" spans="1:8" ht="105" x14ac:dyDescent="0.25">
      <c r="A906" t="s">
        <v>1621</v>
      </c>
      <c r="B906" s="1" t="str">
        <f>VLOOKUP(A906,Sheet5!B:C,2,0)</f>
        <v>050000770796</v>
      </c>
      <c r="C906" s="13">
        <v>3638</v>
      </c>
      <c r="D906" s="22">
        <f t="shared" si="57"/>
        <v>3638</v>
      </c>
      <c r="E906" s="21" t="s">
        <v>5912</v>
      </c>
      <c r="F906" s="23" t="str">
        <f t="shared" si="56"/>
        <v>insert into ins_premium_det (premium_rcv_code,assorted_code, rec_amount,premium_rcv_detail_code,remaining_amt, payrec, mode_code,coinsurance_code,class_cd,it_remarks) values</v>
      </c>
      <c r="G906" s="24" t="str">
        <f t="shared" si="58"/>
        <v>('29Apr250042','050000770796','3638',(select max(to_number(i.premium_rcv_detail_code))+1
from ins_premium_det i),'3638','3638','02', '11000003','00','Request by Mr. Omair Ali 30-Apr-2025');</v>
      </c>
      <c r="H906" s="25" t="str">
        <f t="shared" si="59"/>
        <v>insert into ins_premium_det (premium_rcv_code,assorted_code, rec_amount,premium_rcv_detail_code,remaining_amt, payrec, mode_code,coinsurance_code,class_cd,it_remarks) values('29Apr250042','050000770796','3638',(select max(to_number(i.premium_rcv_detail_code))+1
from ins_premium_det i),'3638','3638','02', '11000003','00','Request by Mr. Omair Ali 30-Apr-2025');</v>
      </c>
    </row>
    <row r="907" spans="1:8" ht="105" x14ac:dyDescent="0.25">
      <c r="A907" t="s">
        <v>1643</v>
      </c>
      <c r="B907" s="1" t="str">
        <f>VLOOKUP(A907,Sheet5!B:C,2,0)</f>
        <v>050000770798</v>
      </c>
      <c r="C907" s="13">
        <v>2023</v>
      </c>
      <c r="D907" s="22">
        <f t="shared" si="57"/>
        <v>2023</v>
      </c>
      <c r="E907" s="21" t="s">
        <v>5912</v>
      </c>
      <c r="F907" s="23" t="str">
        <f t="shared" si="56"/>
        <v>insert into ins_premium_det (premium_rcv_code,assorted_code, rec_amount,premium_rcv_detail_code,remaining_amt, payrec, mode_code,coinsurance_code,class_cd,it_remarks) values</v>
      </c>
      <c r="G907" s="24" t="str">
        <f t="shared" si="58"/>
        <v>('29Apr250042','050000770798','2023',(select max(to_number(i.premium_rcv_detail_code))+1
from ins_premium_det i),'2023','2023','02', '11000003','00','Request by Mr. Omair Ali 30-Apr-2025');</v>
      </c>
      <c r="H907" s="25" t="str">
        <f t="shared" si="59"/>
        <v>insert into ins_premium_det (premium_rcv_code,assorted_code, rec_amount,premium_rcv_detail_code,remaining_amt, payrec, mode_code,coinsurance_code,class_cd,it_remarks) values('29Apr250042','050000770798','2023',(select max(to_number(i.premium_rcv_detail_code))+1
from ins_premium_det i),'2023','2023','02', '11000003','00','Request by Mr. Omair Ali 30-Apr-2025');</v>
      </c>
    </row>
    <row r="908" spans="1:8" ht="105" x14ac:dyDescent="0.25">
      <c r="A908" t="s">
        <v>1802</v>
      </c>
      <c r="B908" s="1" t="str">
        <f>VLOOKUP(A908,Sheet5!B:C,2,0)</f>
        <v>050000770803</v>
      </c>
      <c r="C908" s="13">
        <v>5390</v>
      </c>
      <c r="D908" s="22">
        <f t="shared" si="57"/>
        <v>5390</v>
      </c>
      <c r="E908" s="21" t="s">
        <v>5912</v>
      </c>
      <c r="F908" s="23" t="str">
        <f t="shared" si="56"/>
        <v>insert into ins_premium_det (premium_rcv_code,assorted_code, rec_amount,premium_rcv_detail_code,remaining_amt, payrec, mode_code,coinsurance_code,class_cd,it_remarks) values</v>
      </c>
      <c r="G908" s="24" t="str">
        <f t="shared" si="58"/>
        <v>('29Apr250042','050000770803','5390',(select max(to_number(i.premium_rcv_detail_code))+1
from ins_premium_det i),'5390','5390','02', '11000003','00','Request by Mr. Omair Ali 30-Apr-2025');</v>
      </c>
      <c r="H908" s="25" t="str">
        <f t="shared" si="59"/>
        <v>insert into ins_premium_det (premium_rcv_code,assorted_code, rec_amount,premium_rcv_detail_code,remaining_amt, payrec, mode_code,coinsurance_code,class_cd,it_remarks) values('29Apr250042','050000770803','5390',(select max(to_number(i.premium_rcv_detail_code))+1
from ins_premium_det i),'5390','5390','02', '11000003','00','Request by Mr. Omair Ali 30-Apr-2025');</v>
      </c>
    </row>
    <row r="909" spans="1:8" ht="105" x14ac:dyDescent="0.25">
      <c r="A909" t="s">
        <v>1934</v>
      </c>
      <c r="B909" s="1" t="str">
        <f>VLOOKUP(A909,Sheet5!B:C,2,0)</f>
        <v>050000770812</v>
      </c>
      <c r="C909" s="13">
        <v>577</v>
      </c>
      <c r="D909" s="22">
        <f t="shared" si="57"/>
        <v>577</v>
      </c>
      <c r="E909" s="21" t="s">
        <v>5912</v>
      </c>
      <c r="F909" s="23" t="str">
        <f t="shared" si="56"/>
        <v>insert into ins_premium_det (premium_rcv_code,assorted_code, rec_amount,premium_rcv_detail_code,remaining_amt, payrec, mode_code,coinsurance_code,class_cd,it_remarks) values</v>
      </c>
      <c r="G909" s="24" t="str">
        <f t="shared" si="58"/>
        <v>('29Apr250042','050000770812','577',(select max(to_number(i.premium_rcv_detail_code))+1
from ins_premium_det i),'577','577','02', '11000003','00','Request by Mr. Omair Ali 30-Apr-2025');</v>
      </c>
      <c r="H909" s="25" t="str">
        <f t="shared" si="59"/>
        <v>insert into ins_premium_det (premium_rcv_code,assorted_code, rec_amount,premium_rcv_detail_code,remaining_amt, payrec, mode_code,coinsurance_code,class_cd,it_remarks) values('29Apr250042','050000770812','577',(select max(to_number(i.premium_rcv_detail_code))+1
from ins_premium_det i),'577','577','02', '11000003','00','Request by Mr. Omair Ali 30-Apr-2025');</v>
      </c>
    </row>
    <row r="910" spans="1:8" ht="105" x14ac:dyDescent="0.25">
      <c r="A910" t="s">
        <v>493</v>
      </c>
      <c r="B910" s="1" t="str">
        <f>VLOOKUP(A910,Sheet5!B:C,2,0)</f>
        <v>050000771112</v>
      </c>
      <c r="C910" s="13">
        <v>13</v>
      </c>
      <c r="D910" s="22">
        <f t="shared" si="57"/>
        <v>13</v>
      </c>
      <c r="E910" s="21" t="s">
        <v>5912</v>
      </c>
      <c r="F910" s="23" t="str">
        <f t="shared" si="56"/>
        <v>insert into ins_premium_det (premium_rcv_code,assorted_code, rec_amount,premium_rcv_detail_code,remaining_amt, payrec, mode_code,coinsurance_code,class_cd,it_remarks) values</v>
      </c>
      <c r="G910" s="24" t="str">
        <f t="shared" si="58"/>
        <v>('29Apr250042','050000771112','13',(select max(to_number(i.premium_rcv_detail_code))+1
from ins_premium_det i),'13','13','02', '11000003','00','Request by Mr. Omair Ali 30-Apr-2025');</v>
      </c>
      <c r="H910" s="25" t="str">
        <f t="shared" si="59"/>
        <v>insert into ins_premium_det (premium_rcv_code,assorted_code, rec_amount,premium_rcv_detail_code,remaining_amt, payrec, mode_code,coinsurance_code,class_cd,it_remarks) values('29Apr250042','050000771112','13',(select max(to_number(i.premium_rcv_detail_code))+1
from ins_premium_det i),'13','13','02', '11000003','00','Request by Mr. Omair Ali 30-Apr-2025');</v>
      </c>
    </row>
    <row r="911" spans="1:8" ht="105" x14ac:dyDescent="0.25">
      <c r="A911" t="s">
        <v>1652</v>
      </c>
      <c r="B911" s="1" t="str">
        <f>VLOOKUP(A911,Sheet5!B:C,2,0)</f>
        <v>050000771120</v>
      </c>
      <c r="C911" s="13">
        <v>519</v>
      </c>
      <c r="D911" s="22">
        <f t="shared" si="57"/>
        <v>519</v>
      </c>
      <c r="E911" s="21" t="s">
        <v>5912</v>
      </c>
      <c r="F911" s="23" t="str">
        <f t="shared" si="56"/>
        <v>insert into ins_premium_det (premium_rcv_code,assorted_code, rec_amount,premium_rcv_detail_code,remaining_amt, payrec, mode_code,coinsurance_code,class_cd,it_remarks) values</v>
      </c>
      <c r="G911" s="24" t="str">
        <f t="shared" si="58"/>
        <v>('29Apr250042','050000771120','519',(select max(to_number(i.premium_rcv_detail_code))+1
from ins_premium_det i),'519','519','02', '11000003','00','Request by Mr. Omair Ali 30-Apr-2025');</v>
      </c>
      <c r="H911" s="25" t="str">
        <f t="shared" si="59"/>
        <v>insert into ins_premium_det (premium_rcv_code,assorted_code, rec_amount,premium_rcv_detail_code,remaining_amt, payrec, mode_code,coinsurance_code,class_cd,it_remarks) values('29Apr250042','050000771120','519',(select max(to_number(i.premium_rcv_detail_code))+1
from ins_premium_det i),'519','519','02', '11000003','00','Request by Mr. Omair Ali 30-Apr-2025');</v>
      </c>
    </row>
    <row r="912" spans="1:8" ht="105" x14ac:dyDescent="0.25">
      <c r="A912" t="s">
        <v>1866</v>
      </c>
      <c r="B912" s="1" t="str">
        <f>VLOOKUP(A912,Sheet5!B:C,2,0)</f>
        <v>050000771123</v>
      </c>
      <c r="C912" s="13">
        <v>3800</v>
      </c>
      <c r="D912" s="22">
        <f t="shared" si="57"/>
        <v>3800</v>
      </c>
      <c r="E912" s="21" t="s">
        <v>5912</v>
      </c>
      <c r="F912" s="23" t="str">
        <f t="shared" si="56"/>
        <v>insert into ins_premium_det (premium_rcv_code,assorted_code, rec_amount,premium_rcv_detail_code,remaining_amt, payrec, mode_code,coinsurance_code,class_cd,it_remarks) values</v>
      </c>
      <c r="G912" s="24" t="str">
        <f t="shared" si="58"/>
        <v>('29Apr250042','050000771123','3800',(select max(to_number(i.premium_rcv_detail_code))+1
from ins_premium_det i),'3800','3800','02', '11000003','00','Request by Mr. Omair Ali 30-Apr-2025');</v>
      </c>
      <c r="H912" s="25" t="str">
        <f t="shared" si="59"/>
        <v>insert into ins_premium_det (premium_rcv_code,assorted_code, rec_amount,premium_rcv_detail_code,remaining_amt, payrec, mode_code,coinsurance_code,class_cd,it_remarks) values('29Apr250042','050000771123','3800',(select max(to_number(i.premium_rcv_detail_code))+1
from ins_premium_det i),'3800','3800','02', '11000003','00','Request by Mr. Omair Ali 30-Apr-2025');</v>
      </c>
    </row>
    <row r="913" spans="1:8" ht="105" x14ac:dyDescent="0.25">
      <c r="A913" t="s">
        <v>611</v>
      </c>
      <c r="B913" s="1" t="str">
        <f>VLOOKUP(A913,Sheet5!B:C,2,0)</f>
        <v>050000772127</v>
      </c>
      <c r="C913" s="13">
        <v>5168</v>
      </c>
      <c r="D913" s="22">
        <f t="shared" si="57"/>
        <v>5168</v>
      </c>
      <c r="E913" s="21" t="s">
        <v>5912</v>
      </c>
      <c r="F913" s="23" t="str">
        <f t="shared" si="56"/>
        <v>insert into ins_premium_det (premium_rcv_code,assorted_code, rec_amount,premium_rcv_detail_code,remaining_amt, payrec, mode_code,coinsurance_code,class_cd,it_remarks) values</v>
      </c>
      <c r="G913" s="24" t="str">
        <f t="shared" si="58"/>
        <v>('29Apr250042','050000772127','5168',(select max(to_number(i.premium_rcv_detail_code))+1
from ins_premium_det i),'5168','5168','02', '11000003','00','Request by Mr. Omair Ali 30-Apr-2025');</v>
      </c>
      <c r="H913" s="25" t="str">
        <f t="shared" si="59"/>
        <v>insert into ins_premium_det (premium_rcv_code,assorted_code, rec_amount,premium_rcv_detail_code,remaining_amt, payrec, mode_code,coinsurance_code,class_cd,it_remarks) values('29Apr250042','050000772127','5168',(select max(to_number(i.premium_rcv_detail_code))+1
from ins_premium_det i),'5168','5168','02', '11000003','00','Request by Mr. Omair Ali 30-Apr-2025');</v>
      </c>
    </row>
    <row r="914" spans="1:8" ht="105" x14ac:dyDescent="0.25">
      <c r="A914" t="s">
        <v>1553</v>
      </c>
      <c r="B914" s="1" t="str">
        <f>VLOOKUP(A914,Sheet5!B:C,2,0)</f>
        <v>050000772142</v>
      </c>
      <c r="C914" s="13">
        <v>5987</v>
      </c>
      <c r="D914" s="22">
        <f t="shared" si="57"/>
        <v>5987</v>
      </c>
      <c r="E914" s="21" t="s">
        <v>5912</v>
      </c>
      <c r="F914" s="23" t="str">
        <f t="shared" si="56"/>
        <v>insert into ins_premium_det (premium_rcv_code,assorted_code, rec_amount,premium_rcv_detail_code,remaining_amt, payrec, mode_code,coinsurance_code,class_cd,it_remarks) values</v>
      </c>
      <c r="G914" s="24" t="str">
        <f t="shared" si="58"/>
        <v>('29Apr250042','050000772142','5987',(select max(to_number(i.premium_rcv_detail_code))+1
from ins_premium_det i),'5987','5987','02', '11000003','00','Request by Mr. Omair Ali 30-Apr-2025');</v>
      </c>
      <c r="H914" s="25" t="str">
        <f t="shared" si="59"/>
        <v>insert into ins_premium_det (premium_rcv_code,assorted_code, rec_amount,premium_rcv_detail_code,remaining_amt, payrec, mode_code,coinsurance_code,class_cd,it_remarks) values('29Apr250042','050000772142','5987',(select max(to_number(i.premium_rcv_detail_code))+1
from ins_premium_det i),'5987','5987','02', '11000003','00','Request by Mr. Omair Ali 30-Apr-2025');</v>
      </c>
    </row>
    <row r="915" spans="1:8" ht="105" x14ac:dyDescent="0.25">
      <c r="A915" t="s">
        <v>1659</v>
      </c>
      <c r="B915" s="1" t="str">
        <f>VLOOKUP(A915,Sheet5!B:C,2,0)</f>
        <v>050000772145</v>
      </c>
      <c r="C915" s="13">
        <v>1414</v>
      </c>
      <c r="D915" s="22">
        <f t="shared" si="57"/>
        <v>1414</v>
      </c>
      <c r="E915" s="21" t="s">
        <v>5912</v>
      </c>
      <c r="F915" s="23" t="str">
        <f t="shared" si="56"/>
        <v>insert into ins_premium_det (premium_rcv_code,assorted_code, rec_amount,premium_rcv_detail_code,remaining_amt, payrec, mode_code,coinsurance_code,class_cd,it_remarks) values</v>
      </c>
      <c r="G915" s="24" t="str">
        <f t="shared" si="58"/>
        <v>('29Apr250042','050000772145','1414',(select max(to_number(i.premium_rcv_detail_code))+1
from ins_premium_det i),'1414','1414','02', '11000003','00','Request by Mr. Omair Ali 30-Apr-2025');</v>
      </c>
      <c r="H915" s="25" t="str">
        <f t="shared" si="59"/>
        <v>insert into ins_premium_det (premium_rcv_code,assorted_code, rec_amount,premium_rcv_detail_code,remaining_amt, payrec, mode_code,coinsurance_code,class_cd,it_remarks) values('29Apr250042','050000772145','1414',(select max(to_number(i.premium_rcv_detail_code))+1
from ins_premium_det i),'1414','1414','02', '11000003','00','Request by Mr. Omair Ali 30-Apr-2025');</v>
      </c>
    </row>
    <row r="916" spans="1:8" ht="105" x14ac:dyDescent="0.25">
      <c r="A916" t="s">
        <v>1666</v>
      </c>
      <c r="B916" s="1" t="str">
        <f>VLOOKUP(A916,Sheet5!B:C,2,0)</f>
        <v>050000772146</v>
      </c>
      <c r="C916" s="13">
        <v>6749</v>
      </c>
      <c r="D916" s="22">
        <f t="shared" si="57"/>
        <v>6749</v>
      </c>
      <c r="E916" s="21" t="s">
        <v>5912</v>
      </c>
      <c r="F916" s="23" t="str">
        <f t="shared" si="56"/>
        <v>insert into ins_premium_det (premium_rcv_code,assorted_code, rec_amount,premium_rcv_detail_code,remaining_amt, payrec, mode_code,coinsurance_code,class_cd,it_remarks) values</v>
      </c>
      <c r="G916" s="24" t="str">
        <f t="shared" si="58"/>
        <v>('29Apr250042','050000772146','6749',(select max(to_number(i.premium_rcv_detail_code))+1
from ins_premium_det i),'6749','6749','02', '11000003','00','Request by Mr. Omair Ali 30-Apr-2025');</v>
      </c>
      <c r="H916" s="25" t="str">
        <f t="shared" si="59"/>
        <v>insert into ins_premium_det (premium_rcv_code,assorted_code, rec_amount,premium_rcv_detail_code,remaining_amt, payrec, mode_code,coinsurance_code,class_cd,it_remarks) values('29Apr250042','050000772146','6749',(select max(to_number(i.premium_rcv_detail_code))+1
from ins_premium_det i),'6749','6749','02', '11000003','00','Request by Mr. Omair Ali 30-Apr-2025');</v>
      </c>
    </row>
    <row r="917" spans="1:8" ht="105" x14ac:dyDescent="0.25">
      <c r="A917" t="s">
        <v>1676</v>
      </c>
      <c r="B917" s="1" t="str">
        <f>VLOOKUP(A917,Sheet5!B:C,2,0)</f>
        <v>050000772147</v>
      </c>
      <c r="C917" s="13">
        <v>1613</v>
      </c>
      <c r="D917" s="22">
        <f t="shared" si="57"/>
        <v>1613</v>
      </c>
      <c r="E917" s="21" t="s">
        <v>5912</v>
      </c>
      <c r="F917" s="23" t="str">
        <f t="shared" si="56"/>
        <v>insert into ins_premium_det (premium_rcv_code,assorted_code, rec_amount,premium_rcv_detail_code,remaining_amt, payrec, mode_code,coinsurance_code,class_cd,it_remarks) values</v>
      </c>
      <c r="G917" s="24" t="str">
        <f t="shared" si="58"/>
        <v>('29Apr250042','050000772147','1613',(select max(to_number(i.premium_rcv_detail_code))+1
from ins_premium_det i),'1613','1613','02', '11000003','00','Request by Mr. Omair Ali 30-Apr-2025');</v>
      </c>
      <c r="H917" s="25" t="str">
        <f t="shared" si="59"/>
        <v>insert into ins_premium_det (premium_rcv_code,assorted_code, rec_amount,premium_rcv_detail_code,remaining_amt, payrec, mode_code,coinsurance_code,class_cd,it_remarks) values('29Apr250042','050000772147','1613',(select max(to_number(i.premium_rcv_detail_code))+1
from ins_premium_det i),'1613','1613','02', '11000003','00','Request by Mr. Omair Ali 30-Apr-2025');</v>
      </c>
    </row>
    <row r="918" spans="1:8" ht="105" x14ac:dyDescent="0.25">
      <c r="A918" t="s">
        <v>1877</v>
      </c>
      <c r="B918" s="1" t="str">
        <f>VLOOKUP(A918,Sheet5!B:C,2,0)</f>
        <v>050000772509</v>
      </c>
      <c r="C918" s="13">
        <v>704</v>
      </c>
      <c r="D918" s="22">
        <f t="shared" si="57"/>
        <v>704</v>
      </c>
      <c r="E918" s="21" t="s">
        <v>5912</v>
      </c>
      <c r="F918" s="23" t="str">
        <f t="shared" si="56"/>
        <v>insert into ins_premium_det (premium_rcv_code,assorted_code, rec_amount,premium_rcv_detail_code,remaining_amt, payrec, mode_code,coinsurance_code,class_cd,it_remarks) values</v>
      </c>
      <c r="G918" s="24" t="str">
        <f t="shared" si="58"/>
        <v>('29Apr250042','050000772509','704',(select max(to_number(i.premium_rcv_detail_code))+1
from ins_premium_det i),'704','704','02', '11000003','00','Request by Mr. Omair Ali 30-Apr-2025');</v>
      </c>
      <c r="H918" s="25" t="str">
        <f t="shared" si="59"/>
        <v>insert into ins_premium_det (premium_rcv_code,assorted_code, rec_amount,premium_rcv_detail_code,remaining_amt, payrec, mode_code,coinsurance_code,class_cd,it_remarks) values('29Apr250042','050000772509','704',(select max(to_number(i.premium_rcv_detail_code))+1
from ins_premium_det i),'704','704','02', '11000003','00','Request by Mr. Omair Ali 30-Apr-2025');</v>
      </c>
    </row>
    <row r="919" spans="1:8" ht="105" x14ac:dyDescent="0.25">
      <c r="A919" t="s">
        <v>1892</v>
      </c>
      <c r="B919" s="1" t="str">
        <f>VLOOKUP(A919,Sheet5!B:C,2,0)</f>
        <v>050000772513</v>
      </c>
      <c r="C919" s="13">
        <v>3706</v>
      </c>
      <c r="D919" s="22">
        <f t="shared" si="57"/>
        <v>3706</v>
      </c>
      <c r="E919" s="21" t="s">
        <v>5912</v>
      </c>
      <c r="F919" s="23" t="str">
        <f t="shared" si="56"/>
        <v>insert into ins_premium_det (premium_rcv_code,assorted_code, rec_amount,premium_rcv_detail_code,remaining_amt, payrec, mode_code,coinsurance_code,class_cd,it_remarks) values</v>
      </c>
      <c r="G919" s="24" t="str">
        <f t="shared" si="58"/>
        <v>('29Apr250042','050000772513','3706',(select max(to_number(i.premium_rcv_detail_code))+1
from ins_premium_det i),'3706','3706','02', '11000003','00','Request by Mr. Omair Ali 30-Apr-2025');</v>
      </c>
      <c r="H919" s="25" t="str">
        <f t="shared" si="59"/>
        <v>insert into ins_premium_det (premium_rcv_code,assorted_code, rec_amount,premium_rcv_detail_code,remaining_amt, payrec, mode_code,coinsurance_code,class_cd,it_remarks) values('29Apr250042','050000772513','3706',(select max(to_number(i.premium_rcv_detail_code))+1
from ins_premium_det i),'3706','3706','02', '11000003','00','Request by Mr. Omair Ali 30-Apr-2025');</v>
      </c>
    </row>
    <row r="920" spans="1:8" ht="105" x14ac:dyDescent="0.25">
      <c r="A920" t="s">
        <v>1808</v>
      </c>
      <c r="B920" s="1" t="str">
        <f>VLOOKUP(A920,Sheet5!B:C,2,0)</f>
        <v>050000773591</v>
      </c>
      <c r="C920" s="13">
        <v>4523</v>
      </c>
      <c r="D920" s="22">
        <f t="shared" si="57"/>
        <v>4523</v>
      </c>
      <c r="E920" s="21" t="s">
        <v>5912</v>
      </c>
      <c r="F920" s="23" t="str">
        <f t="shared" si="56"/>
        <v>insert into ins_premium_det (premium_rcv_code,assorted_code, rec_amount,premium_rcv_detail_code,remaining_amt, payrec, mode_code,coinsurance_code,class_cd,it_remarks) values</v>
      </c>
      <c r="G920" s="24" t="str">
        <f t="shared" si="58"/>
        <v>('29Apr250042','050000773591','4523',(select max(to_number(i.premium_rcv_detail_code))+1
from ins_premium_det i),'4523','4523','02', '11000003','00','Request by Mr. Omair Ali 30-Apr-2025');</v>
      </c>
      <c r="H920" s="25" t="str">
        <f t="shared" si="59"/>
        <v>insert into ins_premium_det (premium_rcv_code,assorted_code, rec_amount,premium_rcv_detail_code,remaining_amt, payrec, mode_code,coinsurance_code,class_cd,it_remarks) values('29Apr250042','050000773591','4523',(select max(to_number(i.premium_rcv_detail_code))+1
from ins_premium_det i),'4523','4523','02', '11000003','00','Request by Mr. Omair Ali 30-Apr-2025');</v>
      </c>
    </row>
    <row r="921" spans="1:8" ht="105" x14ac:dyDescent="0.25">
      <c r="A921" t="s">
        <v>1816</v>
      </c>
      <c r="B921" s="1" t="str">
        <f>VLOOKUP(A921,Sheet5!B:C,2,0)</f>
        <v>050000773592</v>
      </c>
      <c r="C921" s="13">
        <v>1303</v>
      </c>
      <c r="D921" s="22">
        <f t="shared" si="57"/>
        <v>1303</v>
      </c>
      <c r="E921" s="21" t="s">
        <v>5912</v>
      </c>
      <c r="F921" s="23" t="str">
        <f t="shared" si="56"/>
        <v>insert into ins_premium_det (premium_rcv_code,assorted_code, rec_amount,premium_rcv_detail_code,remaining_amt, payrec, mode_code,coinsurance_code,class_cd,it_remarks) values</v>
      </c>
      <c r="G921" s="24" t="str">
        <f t="shared" si="58"/>
        <v>('29Apr250042','050000773592','1303',(select max(to_number(i.premium_rcv_detail_code))+1
from ins_premium_det i),'1303','1303','02', '11000003','00','Request by Mr. Omair Ali 30-Apr-2025');</v>
      </c>
      <c r="H921" s="25" t="str">
        <f t="shared" si="59"/>
        <v>insert into ins_premium_det (premium_rcv_code,assorted_code, rec_amount,premium_rcv_detail_code,remaining_amt, payrec, mode_code,coinsurance_code,class_cd,it_remarks) values('29Apr250042','050000773592','1303',(select max(to_number(i.premium_rcv_detail_code))+1
from ins_premium_det i),'1303','1303','02', '11000003','00','Request by Mr. Omair Ali 30-Apr-2025');</v>
      </c>
    </row>
    <row r="922" spans="1:8" ht="105" x14ac:dyDescent="0.25">
      <c r="A922" t="s">
        <v>756</v>
      </c>
      <c r="B922" s="1" t="str">
        <f>VLOOKUP(A922,Sheet5!B:C,2,0)</f>
        <v>050000775548</v>
      </c>
      <c r="C922" s="13">
        <v>4239</v>
      </c>
      <c r="D922" s="22">
        <f t="shared" si="57"/>
        <v>4239</v>
      </c>
      <c r="E922" s="21" t="s">
        <v>5912</v>
      </c>
      <c r="F922" s="23" t="str">
        <f t="shared" si="56"/>
        <v>insert into ins_premium_det (premium_rcv_code,assorted_code, rec_amount,premium_rcv_detail_code,remaining_amt, payrec, mode_code,coinsurance_code,class_cd,it_remarks) values</v>
      </c>
      <c r="G922" s="24" t="str">
        <f t="shared" si="58"/>
        <v>('29Apr250042','050000775548','4239',(select max(to_number(i.premium_rcv_detail_code))+1
from ins_premium_det i),'4239','4239','02', '11000003','00','Request by Mr. Omair Ali 30-Apr-2025');</v>
      </c>
      <c r="H922" s="25" t="str">
        <f t="shared" si="59"/>
        <v>insert into ins_premium_det (premium_rcv_code,assorted_code, rec_amount,premium_rcv_detail_code,remaining_amt, payrec, mode_code,coinsurance_code,class_cd,it_remarks) values('29Apr250042','050000775548','4239',(select max(to_number(i.premium_rcv_detail_code))+1
from ins_premium_det i),'4239','4239','02', '11000003','00','Request by Mr. Omair Ali 30-Apr-2025');</v>
      </c>
    </row>
    <row r="923" spans="1:8" ht="105" x14ac:dyDescent="0.25">
      <c r="A923" t="s">
        <v>762</v>
      </c>
      <c r="B923" s="1" t="str">
        <f>VLOOKUP(A923,Sheet5!B:C,2,0)</f>
        <v>050000775566</v>
      </c>
      <c r="C923" s="13">
        <v>2572</v>
      </c>
      <c r="D923" s="22">
        <f t="shared" si="57"/>
        <v>2572</v>
      </c>
      <c r="E923" s="21" t="s">
        <v>5912</v>
      </c>
      <c r="F923" s="23" t="str">
        <f t="shared" si="56"/>
        <v>insert into ins_premium_det (premium_rcv_code,assorted_code, rec_amount,premium_rcv_detail_code,remaining_amt, payrec, mode_code,coinsurance_code,class_cd,it_remarks) values</v>
      </c>
      <c r="G923" s="24" t="str">
        <f t="shared" si="58"/>
        <v>('29Apr250042','050000775566','2572',(select max(to_number(i.premium_rcv_detail_code))+1
from ins_premium_det i),'2572','2572','02', '11000003','00','Request by Mr. Omair Ali 30-Apr-2025');</v>
      </c>
      <c r="H923" s="25" t="str">
        <f t="shared" si="59"/>
        <v>insert into ins_premium_det (premium_rcv_code,assorted_code, rec_amount,premium_rcv_detail_code,remaining_amt, payrec, mode_code,coinsurance_code,class_cd,it_remarks) values('29Apr250042','050000775566','2572',(select max(to_number(i.premium_rcv_detail_code))+1
from ins_premium_det i),'2572','2572','02', '11000003','00','Request by Mr. Omair Ali 30-Apr-2025');</v>
      </c>
    </row>
    <row r="924" spans="1:8" ht="105" x14ac:dyDescent="0.25">
      <c r="A924" t="s">
        <v>772</v>
      </c>
      <c r="B924" s="1" t="str">
        <f>VLOOKUP(A924,Sheet5!B:C,2,0)</f>
        <v>050000775567</v>
      </c>
      <c r="C924" s="13">
        <v>967</v>
      </c>
      <c r="D924" s="22">
        <f t="shared" si="57"/>
        <v>967</v>
      </c>
      <c r="E924" s="21" t="s">
        <v>5912</v>
      </c>
      <c r="F924" s="23" t="str">
        <f t="shared" si="56"/>
        <v>insert into ins_premium_det (premium_rcv_code,assorted_code, rec_amount,premium_rcv_detail_code,remaining_amt, payrec, mode_code,coinsurance_code,class_cd,it_remarks) values</v>
      </c>
      <c r="G924" s="24" t="str">
        <f t="shared" si="58"/>
        <v>('29Apr250042','050000775567','967',(select max(to_number(i.premium_rcv_detail_code))+1
from ins_premium_det i),'967','967','02', '11000003','00','Request by Mr. Omair Ali 30-Apr-2025');</v>
      </c>
      <c r="H924" s="25" t="str">
        <f t="shared" si="59"/>
        <v>insert into ins_premium_det (premium_rcv_code,assorted_code, rec_amount,premium_rcv_detail_code,remaining_amt, payrec, mode_code,coinsurance_code,class_cd,it_remarks) values('29Apr250042','050000775567','967',(select max(to_number(i.premium_rcv_detail_code))+1
from ins_premium_det i),'967','967','02', '11000003','00','Request by Mr. Omair Ali 30-Apr-2025');</v>
      </c>
    </row>
    <row r="925" spans="1:8" ht="105" x14ac:dyDescent="0.25">
      <c r="A925" t="s">
        <v>916</v>
      </c>
      <c r="B925" s="1" t="str">
        <f>VLOOKUP(A925,Sheet5!B:C,2,0)</f>
        <v>050000775575</v>
      </c>
      <c r="C925" s="13">
        <v>113</v>
      </c>
      <c r="D925" s="22">
        <f t="shared" si="57"/>
        <v>113</v>
      </c>
      <c r="E925" s="21" t="s">
        <v>5912</v>
      </c>
      <c r="F925" s="23" t="str">
        <f t="shared" si="56"/>
        <v>insert into ins_premium_det (premium_rcv_code,assorted_code, rec_amount,premium_rcv_detail_code,remaining_amt, payrec, mode_code,coinsurance_code,class_cd,it_remarks) values</v>
      </c>
      <c r="G925" s="24" t="str">
        <f t="shared" si="58"/>
        <v>('29Apr250042','050000775575','113',(select max(to_number(i.premium_rcv_detail_code))+1
from ins_premium_det i),'113','113','02', '11000003','00','Request by Mr. Omair Ali 30-Apr-2025');</v>
      </c>
      <c r="H925" s="25" t="str">
        <f t="shared" si="59"/>
        <v>insert into ins_premium_det (premium_rcv_code,assorted_code, rec_amount,premium_rcv_detail_code,remaining_amt, payrec, mode_code,coinsurance_code,class_cd,it_remarks) values('29Apr250042','050000775575','113',(select max(to_number(i.premium_rcv_detail_code))+1
from ins_premium_det i),'113','113','02', '11000003','00','Request by Mr. Omair Ali 30-Apr-2025');</v>
      </c>
    </row>
    <row r="926" spans="1:8" ht="105" x14ac:dyDescent="0.25">
      <c r="A926" t="s">
        <v>931</v>
      </c>
      <c r="B926" s="1" t="str">
        <f>VLOOKUP(A926,Sheet5!B:C,2,0)</f>
        <v>050000775576</v>
      </c>
      <c r="C926" s="13">
        <v>4644</v>
      </c>
      <c r="D926" s="22">
        <f t="shared" si="57"/>
        <v>4644</v>
      </c>
      <c r="E926" s="21" t="s">
        <v>5912</v>
      </c>
      <c r="F926" s="23" t="str">
        <f t="shared" si="56"/>
        <v>insert into ins_premium_det (premium_rcv_code,assorted_code, rec_amount,premium_rcv_detail_code,remaining_amt, payrec, mode_code,coinsurance_code,class_cd,it_remarks) values</v>
      </c>
      <c r="G926" s="24" t="str">
        <f t="shared" si="58"/>
        <v>('29Apr250042','050000775576','4644',(select max(to_number(i.premium_rcv_detail_code))+1
from ins_premium_det i),'4644','4644','02', '11000003','00','Request by Mr. Omair Ali 30-Apr-2025');</v>
      </c>
      <c r="H926" s="25" t="str">
        <f t="shared" si="59"/>
        <v>insert into ins_premium_det (premium_rcv_code,assorted_code, rec_amount,premium_rcv_detail_code,remaining_amt, payrec, mode_code,coinsurance_code,class_cd,it_remarks) values('29Apr250042','050000775576','4644',(select max(to_number(i.premium_rcv_detail_code))+1
from ins_premium_det i),'4644','4644','02', '11000003','00','Request by Mr. Omair Ali 30-Apr-2025');</v>
      </c>
    </row>
    <row r="927" spans="1:8" ht="105" x14ac:dyDescent="0.25">
      <c r="A927" t="s">
        <v>1093</v>
      </c>
      <c r="B927" s="1" t="str">
        <f>VLOOKUP(A927,Sheet5!B:C,2,0)</f>
        <v>050000775581</v>
      </c>
      <c r="C927" s="13">
        <v>1801</v>
      </c>
      <c r="D927" s="22">
        <f t="shared" si="57"/>
        <v>1801</v>
      </c>
      <c r="E927" s="21" t="s">
        <v>5912</v>
      </c>
      <c r="F927" s="23" t="str">
        <f t="shared" si="56"/>
        <v>insert into ins_premium_det (premium_rcv_code,assorted_code, rec_amount,premium_rcv_detail_code,remaining_amt, payrec, mode_code,coinsurance_code,class_cd,it_remarks) values</v>
      </c>
      <c r="G927" s="24" t="str">
        <f t="shared" si="58"/>
        <v>('29Apr250042','050000775581','1801',(select max(to_number(i.premium_rcv_detail_code))+1
from ins_premium_det i),'1801','1801','02', '11000003','00','Request by Mr. Omair Ali 30-Apr-2025');</v>
      </c>
      <c r="H927" s="25" t="str">
        <f t="shared" si="59"/>
        <v>insert into ins_premium_det (premium_rcv_code,assorted_code, rec_amount,premium_rcv_detail_code,remaining_amt, payrec, mode_code,coinsurance_code,class_cd,it_remarks) values('29Apr250042','050000775581','1801',(select max(to_number(i.premium_rcv_detail_code))+1
from ins_premium_det i),'1801','1801','02', '11000003','00','Request by Mr. Omair Ali 30-Apr-2025');</v>
      </c>
    </row>
    <row r="928" spans="1:8" ht="105" x14ac:dyDescent="0.25">
      <c r="A928" t="s">
        <v>1226</v>
      </c>
      <c r="B928" s="1" t="str">
        <f>VLOOKUP(A928,Sheet5!B:C,2,0)</f>
        <v>050000775585</v>
      </c>
      <c r="C928" s="13">
        <v>3232</v>
      </c>
      <c r="D928" s="22">
        <f t="shared" si="57"/>
        <v>3232</v>
      </c>
      <c r="E928" s="21" t="s">
        <v>5912</v>
      </c>
      <c r="F928" s="23" t="str">
        <f t="shared" si="56"/>
        <v>insert into ins_premium_det (premium_rcv_code,assorted_code, rec_amount,premium_rcv_detail_code,remaining_amt, payrec, mode_code,coinsurance_code,class_cd,it_remarks) values</v>
      </c>
      <c r="G928" s="24" t="str">
        <f t="shared" si="58"/>
        <v>('29Apr250042','050000775585','3232',(select max(to_number(i.premium_rcv_detail_code))+1
from ins_premium_det i),'3232','3232','02', '11000003','00','Request by Mr. Omair Ali 30-Apr-2025');</v>
      </c>
      <c r="H928" s="25" t="str">
        <f t="shared" si="59"/>
        <v>insert into ins_premium_det (premium_rcv_code,assorted_code, rec_amount,premium_rcv_detail_code,remaining_amt, payrec, mode_code,coinsurance_code,class_cd,it_remarks) values('29Apr250042','050000775585','3232',(select max(to_number(i.premium_rcv_detail_code))+1
from ins_premium_det i),'3232','3232','02', '11000003','00','Request by Mr. Omair Ali 30-Apr-2025');</v>
      </c>
    </row>
    <row r="929" spans="1:8" ht="105" x14ac:dyDescent="0.25">
      <c r="A929" t="s">
        <v>1238</v>
      </c>
      <c r="B929" s="1" t="str">
        <f>VLOOKUP(A929,Sheet5!B:C,2,0)</f>
        <v>050000775586</v>
      </c>
      <c r="C929" s="13">
        <v>1497</v>
      </c>
      <c r="D929" s="22">
        <f t="shared" si="57"/>
        <v>1497</v>
      </c>
      <c r="E929" s="21" t="s">
        <v>5912</v>
      </c>
      <c r="F929" s="23" t="str">
        <f t="shared" si="56"/>
        <v>insert into ins_premium_det (premium_rcv_code,assorted_code, rec_amount,premium_rcv_detail_code,remaining_amt, payrec, mode_code,coinsurance_code,class_cd,it_remarks) values</v>
      </c>
      <c r="G929" s="24" t="str">
        <f t="shared" si="58"/>
        <v>('29Apr250042','050000775586','1497',(select max(to_number(i.premium_rcv_detail_code))+1
from ins_premium_det i),'1497','1497','02', '11000003','00','Request by Mr. Omair Ali 30-Apr-2025');</v>
      </c>
      <c r="H929" s="25" t="str">
        <f t="shared" si="59"/>
        <v>insert into ins_premium_det (premium_rcv_code,assorted_code, rec_amount,premium_rcv_detail_code,remaining_amt, payrec, mode_code,coinsurance_code,class_cd,it_remarks) values('29Apr250042','050000775586','1497',(select max(to_number(i.premium_rcv_detail_code))+1
from ins_premium_det i),'1497','1497','02', '11000003','00','Request by Mr. Omair Ali 30-Apr-2025');</v>
      </c>
    </row>
    <row r="930" spans="1:8" ht="105" x14ac:dyDescent="0.25">
      <c r="A930" t="s">
        <v>1282</v>
      </c>
      <c r="B930" s="1" t="str">
        <f>VLOOKUP(A930,Sheet5!B:C,2,0)</f>
        <v>050000775592</v>
      </c>
      <c r="C930" s="13">
        <v>1620</v>
      </c>
      <c r="D930" s="22">
        <f t="shared" si="57"/>
        <v>1620</v>
      </c>
      <c r="E930" s="21" t="s">
        <v>5912</v>
      </c>
      <c r="F930" s="23" t="str">
        <f t="shared" si="56"/>
        <v>insert into ins_premium_det (premium_rcv_code,assorted_code, rec_amount,premium_rcv_detail_code,remaining_amt, payrec, mode_code,coinsurance_code,class_cd,it_remarks) values</v>
      </c>
      <c r="G930" s="24" t="str">
        <f t="shared" si="58"/>
        <v>('29Apr250042','050000775592','1620',(select max(to_number(i.premium_rcv_detail_code))+1
from ins_premium_det i),'1620','1620','02', '11000003','00','Request by Mr. Omair Ali 30-Apr-2025');</v>
      </c>
      <c r="H930" s="25" t="str">
        <f t="shared" si="59"/>
        <v>insert into ins_premium_det (premium_rcv_code,assorted_code, rec_amount,premium_rcv_detail_code,remaining_amt, payrec, mode_code,coinsurance_code,class_cd,it_remarks) values('29Apr250042','050000775592','1620',(select max(to_number(i.premium_rcv_detail_code))+1
from ins_premium_det i),'1620','1620','02', '11000003','00','Request by Mr. Omair Ali 30-Apr-2025');</v>
      </c>
    </row>
    <row r="931" spans="1:8" ht="105" x14ac:dyDescent="0.25">
      <c r="A931" t="s">
        <v>1417</v>
      </c>
      <c r="B931" s="1" t="str">
        <f>VLOOKUP(A931,Sheet5!B:C,2,0)</f>
        <v>050000775597</v>
      </c>
      <c r="C931" s="13">
        <v>3989</v>
      </c>
      <c r="D931" s="22">
        <f t="shared" si="57"/>
        <v>3989</v>
      </c>
      <c r="E931" s="21" t="s">
        <v>5912</v>
      </c>
      <c r="F931" s="23" t="str">
        <f t="shared" si="56"/>
        <v>insert into ins_premium_det (premium_rcv_code,assorted_code, rec_amount,premium_rcv_detail_code,remaining_amt, payrec, mode_code,coinsurance_code,class_cd,it_remarks) values</v>
      </c>
      <c r="G931" s="24" t="str">
        <f t="shared" si="58"/>
        <v>('29Apr250042','050000775597','3989',(select max(to_number(i.premium_rcv_detail_code))+1
from ins_premium_det i),'3989','3989','02', '11000003','00','Request by Mr. Omair Ali 30-Apr-2025');</v>
      </c>
      <c r="H931" s="25" t="str">
        <f t="shared" si="59"/>
        <v>insert into ins_premium_det (premium_rcv_code,assorted_code, rec_amount,premium_rcv_detail_code,remaining_amt, payrec, mode_code,coinsurance_code,class_cd,it_remarks) values('29Apr250042','050000775597','3989',(select max(to_number(i.premium_rcv_detail_code))+1
from ins_premium_det i),'3989','3989','02', '11000003','00','Request by Mr. Omair Ali 30-Apr-2025');</v>
      </c>
    </row>
    <row r="932" spans="1:8" ht="105" x14ac:dyDescent="0.25">
      <c r="A932" t="s">
        <v>1448</v>
      </c>
      <c r="B932" s="1" t="str">
        <f>VLOOKUP(A932,Sheet5!B:C,2,0)</f>
        <v>050000775600</v>
      </c>
      <c r="C932" s="13">
        <v>779</v>
      </c>
      <c r="D932" s="22">
        <f t="shared" si="57"/>
        <v>779</v>
      </c>
      <c r="E932" s="21" t="s">
        <v>5912</v>
      </c>
      <c r="F932" s="23" t="str">
        <f t="shared" si="56"/>
        <v>insert into ins_premium_det (premium_rcv_code,assorted_code, rec_amount,premium_rcv_detail_code,remaining_amt, payrec, mode_code,coinsurance_code,class_cd,it_remarks) values</v>
      </c>
      <c r="G932" s="24" t="str">
        <f t="shared" si="58"/>
        <v>('29Apr250042','050000775600','779',(select max(to_number(i.premium_rcv_detail_code))+1
from ins_premium_det i),'779','779','02', '11000003','00','Request by Mr. Omair Ali 30-Apr-2025');</v>
      </c>
      <c r="H932" s="25" t="str">
        <f t="shared" si="59"/>
        <v>insert into ins_premium_det (premium_rcv_code,assorted_code, rec_amount,premium_rcv_detail_code,remaining_amt, payrec, mode_code,coinsurance_code,class_cd,it_remarks) values('29Apr250042','050000775600','779',(select max(to_number(i.premium_rcv_detail_code))+1
from ins_premium_det i),'779','779','02', '11000003','00','Request by Mr. Omair Ali 30-Apr-2025');</v>
      </c>
    </row>
    <row r="933" spans="1:8" ht="105" x14ac:dyDescent="0.25">
      <c r="A933" t="s">
        <v>1728</v>
      </c>
      <c r="B933" s="1" t="str">
        <f>VLOOKUP(A933,Sheet5!B:C,2,0)</f>
        <v>050000775609</v>
      </c>
      <c r="C933" s="13">
        <v>3267</v>
      </c>
      <c r="D933" s="22">
        <f t="shared" si="57"/>
        <v>3267</v>
      </c>
      <c r="E933" s="21" t="s">
        <v>5912</v>
      </c>
      <c r="F933" s="23" t="str">
        <f t="shared" si="56"/>
        <v>insert into ins_premium_det (premium_rcv_code,assorted_code, rec_amount,premium_rcv_detail_code,remaining_amt, payrec, mode_code,coinsurance_code,class_cd,it_remarks) values</v>
      </c>
      <c r="G933" s="24" t="str">
        <f t="shared" si="58"/>
        <v>('29Apr250042','050000775609','3267',(select max(to_number(i.premium_rcv_detail_code))+1
from ins_premium_det i),'3267','3267','02', '11000003','00','Request by Mr. Omair Ali 30-Apr-2025');</v>
      </c>
      <c r="H933" s="25" t="str">
        <f t="shared" si="59"/>
        <v>insert into ins_premium_det (premium_rcv_code,assorted_code, rec_amount,premium_rcv_detail_code,remaining_amt, payrec, mode_code,coinsurance_code,class_cd,it_remarks) values('29Apr250042','050000775609','3267',(select max(to_number(i.premium_rcv_detail_code))+1
from ins_premium_det i),'3267','3267','02', '11000003','00','Request by Mr. Omair Ali 30-Apr-2025');</v>
      </c>
    </row>
    <row r="934" spans="1:8" ht="105" x14ac:dyDescent="0.25">
      <c r="A934" t="s">
        <v>1829</v>
      </c>
      <c r="B934" s="1" t="str">
        <f>VLOOKUP(A934,Sheet5!B:C,2,0)</f>
        <v>050000775612</v>
      </c>
      <c r="C934" s="13">
        <v>393</v>
      </c>
      <c r="D934" s="22">
        <f t="shared" si="57"/>
        <v>393</v>
      </c>
      <c r="E934" s="21" t="s">
        <v>5912</v>
      </c>
      <c r="F934" s="23" t="str">
        <f t="shared" si="56"/>
        <v>insert into ins_premium_det (premium_rcv_code,assorted_code, rec_amount,premium_rcv_detail_code,remaining_amt, payrec, mode_code,coinsurance_code,class_cd,it_remarks) values</v>
      </c>
      <c r="G934" s="24" t="str">
        <f t="shared" si="58"/>
        <v>('29Apr250042','050000775612','393',(select max(to_number(i.premium_rcv_detail_code))+1
from ins_premium_det i),'393','393','02', '11000003','00','Request by Mr. Omair Ali 30-Apr-2025');</v>
      </c>
      <c r="H934" s="25" t="str">
        <f t="shared" si="59"/>
        <v>insert into ins_premium_det (premium_rcv_code,assorted_code, rec_amount,premium_rcv_detail_code,remaining_amt, payrec, mode_code,coinsurance_code,class_cd,it_remarks) values('29Apr250042','050000775612','393',(select max(to_number(i.premium_rcv_detail_code))+1
from ins_premium_det i),'393','393','02', '11000003','00','Request by Mr. Omair Ali 30-Apr-2025');</v>
      </c>
    </row>
    <row r="935" spans="1:8" ht="105" x14ac:dyDescent="0.25">
      <c r="A935" t="s">
        <v>1900</v>
      </c>
      <c r="B935" s="1" t="str">
        <f>VLOOKUP(A935,Sheet5!B:C,2,0)</f>
        <v>050000775616</v>
      </c>
      <c r="C935" s="13">
        <v>771</v>
      </c>
      <c r="D935" s="22">
        <f t="shared" si="57"/>
        <v>771</v>
      </c>
      <c r="E935" s="21" t="s">
        <v>5912</v>
      </c>
      <c r="F935" s="23" t="str">
        <f t="shared" si="56"/>
        <v>insert into ins_premium_det (premium_rcv_code,assorted_code, rec_amount,premium_rcv_detail_code,remaining_amt, payrec, mode_code,coinsurance_code,class_cd,it_remarks) values</v>
      </c>
      <c r="G935" s="24" t="str">
        <f t="shared" si="58"/>
        <v>('29Apr250042','050000775616','771',(select max(to_number(i.premium_rcv_detail_code))+1
from ins_premium_det i),'771','771','02', '11000003','00','Request by Mr. Omair Ali 30-Apr-2025');</v>
      </c>
      <c r="H935" s="25" t="str">
        <f t="shared" si="59"/>
        <v>insert into ins_premium_det (premium_rcv_code,assorted_code, rec_amount,premium_rcv_detail_code,remaining_amt, payrec, mode_code,coinsurance_code,class_cd,it_remarks) values('29Apr250042','050000775616','771',(select max(to_number(i.premium_rcv_detail_code))+1
from ins_premium_det i),'771','771','02', '11000003','00','Request by Mr. Omair Ali 30-Apr-2025');</v>
      </c>
    </row>
    <row r="936" spans="1:8" ht="105" x14ac:dyDescent="0.25">
      <c r="A936" t="s">
        <v>1953</v>
      </c>
      <c r="B936" s="1" t="str">
        <f>VLOOKUP(A936,Sheet5!B:C,2,0)</f>
        <v>050000775624</v>
      </c>
      <c r="C936" s="13">
        <v>3226</v>
      </c>
      <c r="D936" s="22">
        <f t="shared" si="57"/>
        <v>3226</v>
      </c>
      <c r="E936" s="21" t="s">
        <v>5912</v>
      </c>
      <c r="F936" s="23" t="str">
        <f t="shared" si="56"/>
        <v>insert into ins_premium_det (premium_rcv_code,assorted_code, rec_amount,premium_rcv_detail_code,remaining_amt, payrec, mode_code,coinsurance_code,class_cd,it_remarks) values</v>
      </c>
      <c r="G936" s="24" t="str">
        <f t="shared" si="58"/>
        <v>('29Apr250042','050000775624','3226',(select max(to_number(i.premium_rcv_detail_code))+1
from ins_premium_det i),'3226','3226','02', '11000003','00','Request by Mr. Omair Ali 30-Apr-2025');</v>
      </c>
      <c r="H936" s="25" t="str">
        <f t="shared" si="59"/>
        <v>insert into ins_premium_det (premium_rcv_code,assorted_code, rec_amount,premium_rcv_detail_code,remaining_amt, payrec, mode_code,coinsurance_code,class_cd,it_remarks) values('29Apr250042','050000775624','3226',(select max(to_number(i.premium_rcv_detail_code))+1
from ins_premium_det i),'3226','3226','02', '11000003','00','Request by Mr. Omair Ali 30-Apr-2025');</v>
      </c>
    </row>
    <row r="937" spans="1:8" ht="105" x14ac:dyDescent="0.25">
      <c r="A937" t="s">
        <v>560</v>
      </c>
      <c r="B937" s="1" t="str">
        <f>VLOOKUP(A937,Sheet5!B:C,2,0)</f>
        <v>050000776462</v>
      </c>
      <c r="C937" s="13">
        <v>1752</v>
      </c>
      <c r="D937" s="22">
        <f t="shared" si="57"/>
        <v>1752</v>
      </c>
      <c r="E937" s="21" t="s">
        <v>5912</v>
      </c>
      <c r="F937" s="23" t="str">
        <f t="shared" si="56"/>
        <v>insert into ins_premium_det (premium_rcv_code,assorted_code, rec_amount,premium_rcv_detail_code,remaining_amt, payrec, mode_code,coinsurance_code,class_cd,it_remarks) values</v>
      </c>
      <c r="G937" s="24" t="str">
        <f t="shared" si="58"/>
        <v>('29Apr250042','050000776462','1752',(select max(to_number(i.premium_rcv_detail_code))+1
from ins_premium_det i),'1752','1752','02', '11000003','00','Request by Mr. Omair Ali 30-Apr-2025');</v>
      </c>
      <c r="H937" s="25" t="str">
        <f t="shared" si="59"/>
        <v>insert into ins_premium_det (premium_rcv_code,assorted_code, rec_amount,premium_rcv_detail_code,remaining_amt, payrec, mode_code,coinsurance_code,class_cd,it_remarks) values('29Apr250042','050000776462','1752',(select max(to_number(i.premium_rcv_detail_code))+1
from ins_premium_det i),'1752','1752','02', '11000003','00','Request by Mr. Omair Ali 30-Apr-2025');</v>
      </c>
    </row>
    <row r="938" spans="1:8" ht="105" x14ac:dyDescent="0.25">
      <c r="A938" t="s">
        <v>780</v>
      </c>
      <c r="B938" s="1" t="str">
        <f>VLOOKUP(A938,Sheet5!B:C,2,0)</f>
        <v>050000776468</v>
      </c>
      <c r="C938" s="13">
        <v>2589</v>
      </c>
      <c r="D938" s="22">
        <f t="shared" si="57"/>
        <v>2589</v>
      </c>
      <c r="E938" s="21" t="s">
        <v>5912</v>
      </c>
      <c r="F938" s="23" t="str">
        <f t="shared" si="56"/>
        <v>insert into ins_premium_det (premium_rcv_code,assorted_code, rec_amount,premium_rcv_detail_code,remaining_amt, payrec, mode_code,coinsurance_code,class_cd,it_remarks) values</v>
      </c>
      <c r="G938" s="24" t="str">
        <f t="shared" si="58"/>
        <v>('29Apr250042','050000776468','2589',(select max(to_number(i.premium_rcv_detail_code))+1
from ins_premium_det i),'2589','2589','02', '11000003','00','Request by Mr. Omair Ali 30-Apr-2025');</v>
      </c>
      <c r="H938" s="25" t="str">
        <f t="shared" si="59"/>
        <v>insert into ins_premium_det (premium_rcv_code,assorted_code, rec_amount,premium_rcv_detail_code,remaining_amt, payrec, mode_code,coinsurance_code,class_cd,it_remarks) values('29Apr250042','050000776468','2589',(select max(to_number(i.premium_rcv_detail_code))+1
from ins_premium_det i),'2589','2589','02', '11000003','00','Request by Mr. Omair Ali 30-Apr-2025');</v>
      </c>
    </row>
    <row r="939" spans="1:8" ht="105" x14ac:dyDescent="0.25">
      <c r="A939" t="s">
        <v>793</v>
      </c>
      <c r="B939" s="1" t="str">
        <f>VLOOKUP(A939,Sheet5!B:C,2,0)</f>
        <v>050000776469</v>
      </c>
      <c r="C939" s="13">
        <v>4003</v>
      </c>
      <c r="D939" s="22">
        <f t="shared" si="57"/>
        <v>4003</v>
      </c>
      <c r="E939" s="21" t="s">
        <v>5912</v>
      </c>
      <c r="F939" s="23" t="str">
        <f t="shared" si="56"/>
        <v>insert into ins_premium_det (premium_rcv_code,assorted_code, rec_amount,premium_rcv_detail_code,remaining_amt, payrec, mode_code,coinsurance_code,class_cd,it_remarks) values</v>
      </c>
      <c r="G939" s="24" t="str">
        <f t="shared" si="58"/>
        <v>('29Apr250042','050000776469','4003',(select max(to_number(i.premium_rcv_detail_code))+1
from ins_premium_det i),'4003','4003','02', '11000003','00','Request by Mr. Omair Ali 30-Apr-2025');</v>
      </c>
      <c r="H939" s="25" t="str">
        <f t="shared" si="59"/>
        <v>insert into ins_premium_det (premium_rcv_code,assorted_code, rec_amount,premium_rcv_detail_code,remaining_amt, payrec, mode_code,coinsurance_code,class_cd,it_remarks) values('29Apr250042','050000776469','4003',(select max(to_number(i.premium_rcv_detail_code))+1
from ins_premium_det i),'4003','4003','02', '11000003','00','Request by Mr. Omair Ali 30-Apr-2025');</v>
      </c>
    </row>
    <row r="940" spans="1:8" ht="105" x14ac:dyDescent="0.25">
      <c r="A940" t="s">
        <v>1306</v>
      </c>
      <c r="B940" s="1" t="str">
        <f>VLOOKUP(A940,Sheet5!B:C,2,0)</f>
        <v>050000776471</v>
      </c>
      <c r="C940" s="13">
        <v>4861</v>
      </c>
      <c r="D940" s="22">
        <f t="shared" si="57"/>
        <v>4861</v>
      </c>
      <c r="E940" s="21" t="s">
        <v>5912</v>
      </c>
      <c r="F940" s="23" t="str">
        <f t="shared" si="56"/>
        <v>insert into ins_premium_det (premium_rcv_code,assorted_code, rec_amount,premium_rcv_detail_code,remaining_amt, payrec, mode_code,coinsurance_code,class_cd,it_remarks) values</v>
      </c>
      <c r="G940" s="24" t="str">
        <f t="shared" si="58"/>
        <v>('29Apr250042','050000776471','4861',(select max(to_number(i.premium_rcv_detail_code))+1
from ins_premium_det i),'4861','4861','02', '11000003','00','Request by Mr. Omair Ali 30-Apr-2025');</v>
      </c>
      <c r="H940" s="25" t="str">
        <f t="shared" si="59"/>
        <v>insert into ins_premium_det (premium_rcv_code,assorted_code, rec_amount,premium_rcv_detail_code,remaining_amt, payrec, mode_code,coinsurance_code,class_cd,it_remarks) values('29Apr250042','050000776471','4861',(select max(to_number(i.premium_rcv_detail_code))+1
from ins_premium_det i),'4861','4861','02', '11000003','00','Request by Mr. Omair Ali 30-Apr-2025');</v>
      </c>
    </row>
    <row r="941" spans="1:8" ht="105" x14ac:dyDescent="0.25">
      <c r="A941" t="s">
        <v>1425</v>
      </c>
      <c r="B941" s="1" t="str">
        <f>VLOOKUP(A941,Sheet5!B:C,2,0)</f>
        <v>050000776472</v>
      </c>
      <c r="C941" s="13">
        <v>4681</v>
      </c>
      <c r="D941" s="22">
        <f t="shared" si="57"/>
        <v>4681</v>
      </c>
      <c r="E941" s="21" t="s">
        <v>5912</v>
      </c>
      <c r="F941" s="23" t="str">
        <f t="shared" si="56"/>
        <v>insert into ins_premium_det (premium_rcv_code,assorted_code, rec_amount,premium_rcv_detail_code,remaining_amt, payrec, mode_code,coinsurance_code,class_cd,it_remarks) values</v>
      </c>
      <c r="G941" s="24" t="str">
        <f t="shared" si="58"/>
        <v>('29Apr250042','050000776472','4681',(select max(to_number(i.premium_rcv_detail_code))+1
from ins_premium_det i),'4681','4681','02', '11000003','00','Request by Mr. Omair Ali 30-Apr-2025');</v>
      </c>
      <c r="H941" s="25" t="str">
        <f t="shared" si="59"/>
        <v>insert into ins_premium_det (premium_rcv_code,assorted_code, rec_amount,premium_rcv_detail_code,remaining_amt, payrec, mode_code,coinsurance_code,class_cd,it_remarks) values('29Apr250042','050000776472','4681',(select max(to_number(i.premium_rcv_detail_code))+1
from ins_premium_det i),'4681','4681','02', '11000003','00','Request by Mr. Omair Ali 30-Apr-2025');</v>
      </c>
    </row>
    <row r="942" spans="1:8" ht="105" x14ac:dyDescent="0.25">
      <c r="A942" t="s">
        <v>1435</v>
      </c>
      <c r="B942" s="1" t="str">
        <f>VLOOKUP(A942,Sheet5!B:C,2,0)</f>
        <v>050000776473</v>
      </c>
      <c r="C942" s="13">
        <v>2147</v>
      </c>
      <c r="D942" s="22">
        <f t="shared" si="57"/>
        <v>2147</v>
      </c>
      <c r="E942" s="21" t="s">
        <v>5912</v>
      </c>
      <c r="F942" s="23" t="str">
        <f t="shared" si="56"/>
        <v>insert into ins_premium_det (premium_rcv_code,assorted_code, rec_amount,premium_rcv_detail_code,remaining_amt, payrec, mode_code,coinsurance_code,class_cd,it_remarks) values</v>
      </c>
      <c r="G942" s="24" t="str">
        <f t="shared" si="58"/>
        <v>('29Apr250042','050000776473','2147',(select max(to_number(i.premium_rcv_detail_code))+1
from ins_premium_det i),'2147','2147','02', '11000003','00','Request by Mr. Omair Ali 30-Apr-2025');</v>
      </c>
      <c r="H942" s="25" t="str">
        <f t="shared" si="59"/>
        <v>insert into ins_premium_det (premium_rcv_code,assorted_code, rec_amount,premium_rcv_detail_code,remaining_amt, payrec, mode_code,coinsurance_code,class_cd,it_remarks) values('29Apr250042','050000776473','2147',(select max(to_number(i.premium_rcv_detail_code))+1
from ins_premium_det i),'2147','2147','02', '11000003','00','Request by Mr. Omair Ali 30-Apr-2025');</v>
      </c>
    </row>
    <row r="943" spans="1:8" ht="105" x14ac:dyDescent="0.25">
      <c r="A943" t="s">
        <v>1688</v>
      </c>
      <c r="B943" s="1" t="str">
        <f>VLOOKUP(A943,Sheet5!B:C,2,0)</f>
        <v>050000776477</v>
      </c>
      <c r="C943" s="13">
        <v>40</v>
      </c>
      <c r="D943" s="22">
        <f t="shared" si="57"/>
        <v>40</v>
      </c>
      <c r="E943" s="21" t="s">
        <v>5912</v>
      </c>
      <c r="F943" s="23" t="str">
        <f t="shared" si="56"/>
        <v>insert into ins_premium_det (premium_rcv_code,assorted_code, rec_amount,premium_rcv_detail_code,remaining_amt, payrec, mode_code,coinsurance_code,class_cd,it_remarks) values</v>
      </c>
      <c r="G943" s="24" t="str">
        <f t="shared" si="58"/>
        <v>('29Apr250042','050000776477','40',(select max(to_number(i.premium_rcv_detail_code))+1
from ins_premium_det i),'40','40','02', '11000003','00','Request by Mr. Omair Ali 30-Apr-2025');</v>
      </c>
      <c r="H943" s="25" t="str">
        <f t="shared" si="59"/>
        <v>insert into ins_premium_det (premium_rcv_code,assorted_code, rec_amount,premium_rcv_detail_code,remaining_amt, payrec, mode_code,coinsurance_code,class_cd,it_remarks) values('29Apr250042','050000776477','40',(select max(to_number(i.premium_rcv_detail_code))+1
from ins_premium_det i),'40','40','02', '11000003','00','Request by Mr. Omair Ali 30-Apr-2025');</v>
      </c>
    </row>
    <row r="944" spans="1:8" ht="105" x14ac:dyDescent="0.25">
      <c r="A944" t="s">
        <v>972</v>
      </c>
      <c r="B944" s="1" t="str">
        <f>VLOOKUP(A944,Sheet5!B:C,2,0)</f>
        <v>050000776910</v>
      </c>
      <c r="C944" s="13">
        <v>3192</v>
      </c>
      <c r="D944" s="22">
        <f t="shared" si="57"/>
        <v>3192</v>
      </c>
      <c r="E944" s="21" t="s">
        <v>5912</v>
      </c>
      <c r="F944" s="23" t="str">
        <f t="shared" si="56"/>
        <v>insert into ins_premium_det (premium_rcv_code,assorted_code, rec_amount,premium_rcv_detail_code,remaining_amt, payrec, mode_code,coinsurance_code,class_cd,it_remarks) values</v>
      </c>
      <c r="G944" s="24" t="str">
        <f t="shared" si="58"/>
        <v>('29Apr250042','050000776910','3192',(select max(to_number(i.premium_rcv_detail_code))+1
from ins_premium_det i),'3192','3192','02', '11000003','00','Request by Mr. Omair Ali 30-Apr-2025');</v>
      </c>
      <c r="H944" s="25" t="str">
        <f t="shared" si="59"/>
        <v>insert into ins_premium_det (premium_rcv_code,assorted_code, rec_amount,premium_rcv_detail_code,remaining_amt, payrec, mode_code,coinsurance_code,class_cd,it_remarks) values('29Apr250042','050000776910','3192',(select max(to_number(i.premium_rcv_detail_code))+1
from ins_premium_det i),'3192','3192','02', '11000003','00','Request by Mr. Omair Ali 30-Apr-2025');</v>
      </c>
    </row>
    <row r="945" spans="1:8" ht="105" x14ac:dyDescent="0.25">
      <c r="A945" t="s">
        <v>1068</v>
      </c>
      <c r="B945" s="1" t="str">
        <f>VLOOKUP(A945,Sheet5!B:C,2,0)</f>
        <v>050000776912</v>
      </c>
      <c r="C945" s="13">
        <v>7261</v>
      </c>
      <c r="D945" s="22">
        <f t="shared" si="57"/>
        <v>7261</v>
      </c>
      <c r="E945" s="21" t="s">
        <v>5912</v>
      </c>
      <c r="F945" s="23" t="str">
        <f t="shared" si="56"/>
        <v>insert into ins_premium_det (premium_rcv_code,assorted_code, rec_amount,premium_rcv_detail_code,remaining_amt, payrec, mode_code,coinsurance_code,class_cd,it_remarks) values</v>
      </c>
      <c r="G945" s="24" t="str">
        <f t="shared" si="58"/>
        <v>('29Apr250042','050000776912','7261',(select max(to_number(i.premium_rcv_detail_code))+1
from ins_premium_det i),'7261','7261','02', '11000003','00','Request by Mr. Omair Ali 30-Apr-2025');</v>
      </c>
      <c r="H945" s="25" t="str">
        <f t="shared" si="59"/>
        <v>insert into ins_premium_det (premium_rcv_code,assorted_code, rec_amount,premium_rcv_detail_code,remaining_amt, payrec, mode_code,coinsurance_code,class_cd,it_remarks) values('29Apr250042','050000776912','7261',(select max(to_number(i.premium_rcv_detail_code))+1
from ins_premium_det i),'7261','7261','02', '11000003','00','Request by Mr. Omair Ali 30-Apr-2025');</v>
      </c>
    </row>
    <row r="946" spans="1:8" ht="105" x14ac:dyDescent="0.25">
      <c r="A946" t="s">
        <v>1709</v>
      </c>
      <c r="B946" s="1" t="str">
        <f>VLOOKUP(A946,Sheet5!B:C,2,0)</f>
        <v>050000776919</v>
      </c>
      <c r="C946" s="13">
        <v>4143</v>
      </c>
      <c r="D946" s="22">
        <f t="shared" si="57"/>
        <v>4143</v>
      </c>
      <c r="E946" s="21" t="s">
        <v>5912</v>
      </c>
      <c r="F946" s="23" t="str">
        <f t="shared" si="56"/>
        <v>insert into ins_premium_det (premium_rcv_code,assorted_code, rec_amount,premium_rcv_detail_code,remaining_amt, payrec, mode_code,coinsurance_code,class_cd,it_remarks) values</v>
      </c>
      <c r="G946" s="24" t="str">
        <f t="shared" si="58"/>
        <v>('29Apr250042','050000776919','4143',(select max(to_number(i.premium_rcv_detail_code))+1
from ins_premium_det i),'4143','4143','02', '11000003','00','Request by Mr. Omair Ali 30-Apr-2025');</v>
      </c>
      <c r="H946" s="25" t="str">
        <f t="shared" si="59"/>
        <v>insert into ins_premium_det (premium_rcv_code,assorted_code, rec_amount,premium_rcv_detail_code,remaining_amt, payrec, mode_code,coinsurance_code,class_cd,it_remarks) values('29Apr250042','050000776919','4143',(select max(to_number(i.premium_rcv_detail_code))+1
from ins_premium_det i),'4143','4143','02', '11000003','00','Request by Mr. Omair Ali 30-Apr-2025');</v>
      </c>
    </row>
    <row r="947" spans="1:8" ht="105" x14ac:dyDescent="0.25">
      <c r="A947" t="s">
        <v>1293</v>
      </c>
      <c r="B947" s="1" t="str">
        <f>VLOOKUP(A947,Sheet5!B:C,2,0)</f>
        <v>050000777711</v>
      </c>
      <c r="C947" s="13">
        <v>894</v>
      </c>
      <c r="D947" s="22">
        <f t="shared" si="57"/>
        <v>894</v>
      </c>
      <c r="E947" s="21" t="s">
        <v>5912</v>
      </c>
      <c r="F947" s="23" t="str">
        <f t="shared" si="56"/>
        <v>insert into ins_premium_det (premium_rcv_code,assorted_code, rec_amount,premium_rcv_detail_code,remaining_amt, payrec, mode_code,coinsurance_code,class_cd,it_remarks) values</v>
      </c>
      <c r="G947" s="24" t="str">
        <f t="shared" si="58"/>
        <v>('29Apr250042','050000777711','894',(select max(to_number(i.premium_rcv_detail_code))+1
from ins_premium_det i),'894','894','02', '11000003','00','Request by Mr. Omair Ali 30-Apr-2025');</v>
      </c>
      <c r="H947" s="25" t="str">
        <f t="shared" si="59"/>
        <v>insert into ins_premium_det (premium_rcv_code,assorted_code, rec_amount,premium_rcv_detail_code,remaining_amt, payrec, mode_code,coinsurance_code,class_cd,it_remarks) values('29Apr250042','050000777711','894',(select max(to_number(i.premium_rcv_detail_code))+1
from ins_premium_det i),'894','894','02', '11000003','00','Request by Mr. Omair Ali 30-Apr-2025');</v>
      </c>
    </row>
    <row r="948" spans="1:8" ht="105" x14ac:dyDescent="0.25">
      <c r="A948" t="s">
        <v>1294</v>
      </c>
      <c r="B948" s="1" t="str">
        <f>VLOOKUP(A948,Sheet5!B:C,2,0)</f>
        <v>050000777712</v>
      </c>
      <c r="C948" s="13">
        <v>894</v>
      </c>
      <c r="D948" s="22">
        <f t="shared" si="57"/>
        <v>894</v>
      </c>
      <c r="E948" s="21" t="s">
        <v>5912</v>
      </c>
      <c r="F948" s="23" t="str">
        <f t="shared" si="56"/>
        <v>insert into ins_premium_det (premium_rcv_code,assorted_code, rec_amount,premium_rcv_detail_code,remaining_amt, payrec, mode_code,coinsurance_code,class_cd,it_remarks) values</v>
      </c>
      <c r="G948" s="24" t="str">
        <f t="shared" si="58"/>
        <v>('29Apr250042','050000777712','894',(select max(to_number(i.premium_rcv_detail_code))+1
from ins_premium_det i),'894','894','02', '11000003','00','Request by Mr. Omair Ali 30-Apr-2025');</v>
      </c>
      <c r="H948" s="25" t="str">
        <f t="shared" si="59"/>
        <v>insert into ins_premium_det (premium_rcv_code,assorted_code, rec_amount,premium_rcv_detail_code,remaining_amt, payrec, mode_code,coinsurance_code,class_cd,it_remarks) values('29Apr250042','050000777712','894',(select max(to_number(i.premium_rcv_detail_code))+1
from ins_premium_det i),'894','894','02', '11000003','00','Request by Mr. Omair Ali 30-Apr-2025');</v>
      </c>
    </row>
    <row r="949" spans="1:8" ht="105" x14ac:dyDescent="0.25">
      <c r="A949" t="s">
        <v>1460</v>
      </c>
      <c r="B949" s="1" t="str">
        <f>VLOOKUP(A949,Sheet5!B:C,2,0)</f>
        <v>050000777715</v>
      </c>
      <c r="C949" s="13">
        <v>3556</v>
      </c>
      <c r="D949" s="22">
        <f t="shared" si="57"/>
        <v>3556</v>
      </c>
      <c r="E949" s="21" t="s">
        <v>5912</v>
      </c>
      <c r="F949" s="23" t="str">
        <f t="shared" si="56"/>
        <v>insert into ins_premium_det (premium_rcv_code,assorted_code, rec_amount,premium_rcv_detail_code,remaining_amt, payrec, mode_code,coinsurance_code,class_cd,it_remarks) values</v>
      </c>
      <c r="G949" s="24" t="str">
        <f t="shared" si="58"/>
        <v>('29Apr250042','050000777715','3556',(select max(to_number(i.premium_rcv_detail_code))+1
from ins_premium_det i),'3556','3556','02', '11000003','00','Request by Mr. Omair Ali 30-Apr-2025');</v>
      </c>
      <c r="H949" s="25" t="str">
        <f t="shared" si="59"/>
        <v>insert into ins_premium_det (premium_rcv_code,assorted_code, rec_amount,premium_rcv_detail_code,remaining_amt, payrec, mode_code,coinsurance_code,class_cd,it_remarks) values('29Apr250042','050000777715','3556',(select max(to_number(i.premium_rcv_detail_code))+1
from ins_premium_det i),'3556','3556','02', '11000003','00','Request by Mr. Omair Ali 30-Apr-2025');</v>
      </c>
    </row>
    <row r="950" spans="1:8" ht="105" x14ac:dyDescent="0.25">
      <c r="A950" t="s">
        <v>521</v>
      </c>
      <c r="B950" s="1" t="str">
        <f>VLOOKUP(A950,Sheet5!B:C,2,0)</f>
        <v>050000777841</v>
      </c>
      <c r="C950" s="13">
        <v>1922</v>
      </c>
      <c r="D950" s="22">
        <f t="shared" si="57"/>
        <v>1922</v>
      </c>
      <c r="E950" s="21" t="s">
        <v>5912</v>
      </c>
      <c r="F950" s="23" t="str">
        <f t="shared" si="56"/>
        <v>insert into ins_premium_det (premium_rcv_code,assorted_code, rec_amount,premium_rcv_detail_code,remaining_amt, payrec, mode_code,coinsurance_code,class_cd,it_remarks) values</v>
      </c>
      <c r="G950" s="24" t="str">
        <f t="shared" si="58"/>
        <v>('29Apr250042','050000777841','1922',(select max(to_number(i.premium_rcv_detail_code))+1
from ins_premium_det i),'1922','1922','02', '11000003','00','Request by Mr. Omair Ali 30-Apr-2025');</v>
      </c>
      <c r="H950" s="25" t="str">
        <f t="shared" si="59"/>
        <v>insert into ins_premium_det (premium_rcv_code,assorted_code, rec_amount,premium_rcv_detail_code,remaining_amt, payrec, mode_code,coinsurance_code,class_cd,it_remarks) values('29Apr250042','050000777841','1922',(select max(to_number(i.premium_rcv_detail_code))+1
from ins_premium_det i),'1922','1922','02', '11000003','00','Request by Mr. Omair Ali 30-Apr-2025');</v>
      </c>
    </row>
    <row r="951" spans="1:8" ht="105" x14ac:dyDescent="0.25">
      <c r="A951" t="s">
        <v>535</v>
      </c>
      <c r="B951" s="1" t="str">
        <f>VLOOKUP(A951,Sheet5!B:C,2,0)</f>
        <v>050000777844</v>
      </c>
      <c r="C951" s="13">
        <v>907</v>
      </c>
      <c r="D951" s="22">
        <f t="shared" si="57"/>
        <v>907</v>
      </c>
      <c r="E951" s="21" t="s">
        <v>5912</v>
      </c>
      <c r="F951" s="23" t="str">
        <f t="shared" si="56"/>
        <v>insert into ins_premium_det (premium_rcv_code,assorted_code, rec_amount,premium_rcv_detail_code,remaining_amt, payrec, mode_code,coinsurance_code,class_cd,it_remarks) values</v>
      </c>
      <c r="G951" s="24" t="str">
        <f t="shared" si="58"/>
        <v>('29Apr250042','050000777844','907',(select max(to_number(i.premium_rcv_detail_code))+1
from ins_premium_det i),'907','907','02', '11000003','00','Request by Mr. Omair Ali 30-Apr-2025');</v>
      </c>
      <c r="H951" s="25" t="str">
        <f t="shared" si="59"/>
        <v>insert into ins_premium_det (premium_rcv_code,assorted_code, rec_amount,premium_rcv_detail_code,remaining_amt, payrec, mode_code,coinsurance_code,class_cd,it_remarks) values('29Apr250042','050000777844','907',(select max(to_number(i.premium_rcv_detail_code))+1
from ins_premium_det i),'907','907','02', '11000003','00','Request by Mr. Omair Ali 30-Apr-2025');</v>
      </c>
    </row>
    <row r="952" spans="1:8" ht="105" x14ac:dyDescent="0.25">
      <c r="A952" t="s">
        <v>619</v>
      </c>
      <c r="B952" s="1" t="str">
        <f>VLOOKUP(A952,Sheet5!B:C,2,0)</f>
        <v>050000777845</v>
      </c>
      <c r="C952" s="13">
        <v>3225</v>
      </c>
      <c r="D952" s="22">
        <f t="shared" si="57"/>
        <v>3225</v>
      </c>
      <c r="E952" s="21" t="s">
        <v>5912</v>
      </c>
      <c r="F952" s="23" t="str">
        <f t="shared" si="56"/>
        <v>insert into ins_premium_det (premium_rcv_code,assorted_code, rec_amount,premium_rcv_detail_code,remaining_amt, payrec, mode_code,coinsurance_code,class_cd,it_remarks) values</v>
      </c>
      <c r="G952" s="24" t="str">
        <f t="shared" si="58"/>
        <v>('29Apr250042','050000777845','3225',(select max(to_number(i.premium_rcv_detail_code))+1
from ins_premium_det i),'3225','3225','02', '11000003','00','Request by Mr. Omair Ali 30-Apr-2025');</v>
      </c>
      <c r="H952" s="25" t="str">
        <f t="shared" si="59"/>
        <v>insert into ins_premium_det (premium_rcv_code,assorted_code, rec_amount,premium_rcv_detail_code,remaining_amt, payrec, mode_code,coinsurance_code,class_cd,it_remarks) values('29Apr250042','050000777845','3225',(select max(to_number(i.premium_rcv_detail_code))+1
from ins_premium_det i),'3225','3225','02', '11000003','00','Request by Mr. Omair Ali 30-Apr-2025');</v>
      </c>
    </row>
    <row r="953" spans="1:8" ht="105" x14ac:dyDescent="0.25">
      <c r="A953" t="s">
        <v>633</v>
      </c>
      <c r="B953" s="1" t="str">
        <f>VLOOKUP(A953,Sheet5!B:C,2,0)</f>
        <v>050000777848</v>
      </c>
      <c r="C953" s="13">
        <v>3173</v>
      </c>
      <c r="D953" s="22">
        <f t="shared" si="57"/>
        <v>3173</v>
      </c>
      <c r="E953" s="21" t="s">
        <v>5912</v>
      </c>
      <c r="F953" s="23" t="str">
        <f t="shared" si="56"/>
        <v>insert into ins_premium_det (premium_rcv_code,assorted_code, rec_amount,premium_rcv_detail_code,remaining_amt, payrec, mode_code,coinsurance_code,class_cd,it_remarks) values</v>
      </c>
      <c r="G953" s="24" t="str">
        <f t="shared" si="58"/>
        <v>('29Apr250042','050000777848','3173',(select max(to_number(i.premium_rcv_detail_code))+1
from ins_premium_det i),'3173','3173','02', '11000003','00','Request by Mr. Omair Ali 30-Apr-2025');</v>
      </c>
      <c r="H953" s="25" t="str">
        <f t="shared" si="59"/>
        <v>insert into ins_premium_det (premium_rcv_code,assorted_code, rec_amount,premium_rcv_detail_code,remaining_amt, payrec, mode_code,coinsurance_code,class_cd,it_remarks) values('29Apr250042','050000777848','3173',(select max(to_number(i.premium_rcv_detail_code))+1
from ins_premium_det i),'3173','3173','02', '11000003','00','Request by Mr. Omair Ali 30-Apr-2025');</v>
      </c>
    </row>
    <row r="954" spans="1:8" ht="105" x14ac:dyDescent="0.25">
      <c r="A954" t="s">
        <v>651</v>
      </c>
      <c r="B954" s="1" t="str">
        <f>VLOOKUP(A954,Sheet5!B:C,2,0)</f>
        <v>050000777849</v>
      </c>
      <c r="C954" s="13">
        <v>1791</v>
      </c>
      <c r="D954" s="22">
        <f t="shared" si="57"/>
        <v>1791</v>
      </c>
      <c r="E954" s="21" t="s">
        <v>5912</v>
      </c>
      <c r="F954" s="23" t="str">
        <f t="shared" si="56"/>
        <v>insert into ins_premium_det (premium_rcv_code,assorted_code, rec_amount,premium_rcv_detail_code,remaining_amt, payrec, mode_code,coinsurance_code,class_cd,it_remarks) values</v>
      </c>
      <c r="G954" s="24" t="str">
        <f t="shared" si="58"/>
        <v>('29Apr250042','050000777849','1791',(select max(to_number(i.premium_rcv_detail_code))+1
from ins_premium_det i),'1791','1791','02', '11000003','00','Request by Mr. Omair Ali 30-Apr-2025');</v>
      </c>
      <c r="H954" s="25" t="str">
        <f t="shared" si="59"/>
        <v>insert into ins_premium_det (premium_rcv_code,assorted_code, rec_amount,premium_rcv_detail_code,remaining_amt, payrec, mode_code,coinsurance_code,class_cd,it_remarks) values('29Apr250042','050000777849','1791',(select max(to_number(i.premium_rcv_detail_code))+1
from ins_premium_det i),'1791','1791','02', '11000003','00','Request by Mr. Omair Ali 30-Apr-2025');</v>
      </c>
    </row>
    <row r="955" spans="1:8" ht="105" x14ac:dyDescent="0.25">
      <c r="A955" t="s">
        <v>825</v>
      </c>
      <c r="B955" s="1" t="str">
        <f>VLOOKUP(A955,Sheet5!B:C,2,0)</f>
        <v>050000777855</v>
      </c>
      <c r="C955" s="13">
        <v>3254</v>
      </c>
      <c r="D955" s="22">
        <f t="shared" si="57"/>
        <v>3254</v>
      </c>
      <c r="E955" s="21" t="s">
        <v>5912</v>
      </c>
      <c r="F955" s="23" t="str">
        <f t="shared" si="56"/>
        <v>insert into ins_premium_det (premium_rcv_code,assorted_code, rec_amount,premium_rcv_detail_code,remaining_amt, payrec, mode_code,coinsurance_code,class_cd,it_remarks) values</v>
      </c>
      <c r="G955" s="24" t="str">
        <f t="shared" si="58"/>
        <v>('29Apr250042','050000777855','3254',(select max(to_number(i.premium_rcv_detail_code))+1
from ins_premium_det i),'3254','3254','02', '11000003','00','Request by Mr. Omair Ali 30-Apr-2025');</v>
      </c>
      <c r="H955" s="25" t="str">
        <f t="shared" si="59"/>
        <v>insert into ins_premium_det (premium_rcv_code,assorted_code, rec_amount,premium_rcv_detail_code,remaining_amt, payrec, mode_code,coinsurance_code,class_cd,it_remarks) values('29Apr250042','050000777855','3254',(select max(to_number(i.premium_rcv_detail_code))+1
from ins_premium_det i),'3254','3254','02', '11000003','00','Request by Mr. Omair Ali 30-Apr-2025');</v>
      </c>
    </row>
    <row r="956" spans="1:8" ht="105" x14ac:dyDescent="0.25">
      <c r="A956" t="s">
        <v>944</v>
      </c>
      <c r="B956" s="1" t="str">
        <f>VLOOKUP(A956,Sheet5!B:C,2,0)</f>
        <v>050000777858</v>
      </c>
      <c r="C956" s="13">
        <v>3793</v>
      </c>
      <c r="D956" s="22">
        <f t="shared" si="57"/>
        <v>3793</v>
      </c>
      <c r="E956" s="21" t="s">
        <v>5912</v>
      </c>
      <c r="F956" s="23" t="str">
        <f t="shared" si="56"/>
        <v>insert into ins_premium_det (premium_rcv_code,assorted_code, rec_amount,premium_rcv_detail_code,remaining_amt, payrec, mode_code,coinsurance_code,class_cd,it_remarks) values</v>
      </c>
      <c r="G956" s="24" t="str">
        <f t="shared" si="58"/>
        <v>('29Apr250042','050000777858','3793',(select max(to_number(i.premium_rcv_detail_code))+1
from ins_premium_det i),'3793','3793','02', '11000003','00','Request by Mr. Omair Ali 30-Apr-2025');</v>
      </c>
      <c r="H956" s="25" t="str">
        <f t="shared" si="59"/>
        <v>insert into ins_premium_det (premium_rcv_code,assorted_code, rec_amount,premium_rcv_detail_code,remaining_amt, payrec, mode_code,coinsurance_code,class_cd,it_remarks) values('29Apr250042','050000777858','3793',(select max(to_number(i.premium_rcv_detail_code))+1
from ins_premium_det i),'3793','3793','02', '11000003','00','Request by Mr. Omair Ali 30-Apr-2025');</v>
      </c>
    </row>
    <row r="957" spans="1:8" ht="105" x14ac:dyDescent="0.25">
      <c r="A957" t="s">
        <v>1079</v>
      </c>
      <c r="B957" s="1" t="str">
        <f>VLOOKUP(A957,Sheet5!B:C,2,0)</f>
        <v>050000777861</v>
      </c>
      <c r="C957" s="13">
        <v>6979</v>
      </c>
      <c r="D957" s="22">
        <f t="shared" si="57"/>
        <v>6979</v>
      </c>
      <c r="E957" s="21" t="s">
        <v>5912</v>
      </c>
      <c r="F957" s="23" t="str">
        <f t="shared" si="56"/>
        <v>insert into ins_premium_det (premium_rcv_code,assorted_code, rec_amount,premium_rcv_detail_code,remaining_amt, payrec, mode_code,coinsurance_code,class_cd,it_remarks) values</v>
      </c>
      <c r="G957" s="24" t="str">
        <f t="shared" si="58"/>
        <v>('29Apr250042','050000777861','6979',(select max(to_number(i.premium_rcv_detail_code))+1
from ins_premium_det i),'6979','6979','02', '11000003','00','Request by Mr. Omair Ali 30-Apr-2025');</v>
      </c>
      <c r="H957" s="25" t="str">
        <f t="shared" si="59"/>
        <v>insert into ins_premium_det (premium_rcv_code,assorted_code, rec_amount,premium_rcv_detail_code,remaining_amt, payrec, mode_code,coinsurance_code,class_cd,it_remarks) values('29Apr250042','050000777861','6979',(select max(to_number(i.premium_rcv_detail_code))+1
from ins_premium_det i),'6979','6979','02', '11000003','00','Request by Mr. Omair Ali 30-Apr-2025');</v>
      </c>
    </row>
    <row r="958" spans="1:8" ht="105" x14ac:dyDescent="0.25">
      <c r="A958" t="s">
        <v>1470</v>
      </c>
      <c r="B958" s="1" t="str">
        <f>VLOOKUP(A958,Sheet5!B:C,2,0)</f>
        <v>050000777875</v>
      </c>
      <c r="C958" s="13">
        <v>8005</v>
      </c>
      <c r="D958" s="22">
        <f t="shared" si="57"/>
        <v>8005</v>
      </c>
      <c r="E958" s="21" t="s">
        <v>5912</v>
      </c>
      <c r="F958" s="23" t="str">
        <f t="shared" si="56"/>
        <v>insert into ins_premium_det (premium_rcv_code,assorted_code, rec_amount,premium_rcv_detail_code,remaining_amt, payrec, mode_code,coinsurance_code,class_cd,it_remarks) values</v>
      </c>
      <c r="G958" s="24" t="str">
        <f t="shared" si="58"/>
        <v>('29Apr250042','050000777875','8005',(select max(to_number(i.premium_rcv_detail_code))+1
from ins_premium_det i),'8005','8005','02', '11000003','00','Request by Mr. Omair Ali 30-Apr-2025');</v>
      </c>
      <c r="H958" s="25" t="str">
        <f t="shared" si="59"/>
        <v>insert into ins_premium_det (premium_rcv_code,assorted_code, rec_amount,premium_rcv_detail_code,remaining_amt, payrec, mode_code,coinsurance_code,class_cd,it_remarks) values('29Apr250042','050000777875','8005',(select max(to_number(i.premium_rcv_detail_code))+1
from ins_premium_det i),'8005','8005','02', '11000003','00','Request by Mr. Omair Ali 30-Apr-2025');</v>
      </c>
    </row>
    <row r="959" spans="1:8" ht="105" x14ac:dyDescent="0.25">
      <c r="A959" t="s">
        <v>1720</v>
      </c>
      <c r="B959" s="1" t="str">
        <f>VLOOKUP(A959,Sheet5!B:C,2,0)</f>
        <v>050000777880</v>
      </c>
      <c r="C959" s="13">
        <v>3022</v>
      </c>
      <c r="D959" s="22">
        <f t="shared" si="57"/>
        <v>3022</v>
      </c>
      <c r="E959" s="21" t="s">
        <v>5912</v>
      </c>
      <c r="F959" s="23" t="str">
        <f t="shared" si="56"/>
        <v>insert into ins_premium_det (premium_rcv_code,assorted_code, rec_amount,premium_rcv_detail_code,remaining_amt, payrec, mode_code,coinsurance_code,class_cd,it_remarks) values</v>
      </c>
      <c r="G959" s="24" t="str">
        <f t="shared" si="58"/>
        <v>('29Apr250042','050000777880','3022',(select max(to_number(i.premium_rcv_detail_code))+1
from ins_premium_det i),'3022','3022','02', '11000003','00','Request by Mr. Omair Ali 30-Apr-2025');</v>
      </c>
      <c r="H959" s="25" t="str">
        <f t="shared" si="59"/>
        <v>insert into ins_premium_det (premium_rcv_code,assorted_code, rec_amount,premium_rcv_detail_code,remaining_amt, payrec, mode_code,coinsurance_code,class_cd,it_remarks) values('29Apr250042','050000777880','3022',(select max(to_number(i.premium_rcv_detail_code))+1
from ins_premium_det i),'3022','3022','02', '11000003','00','Request by Mr. Omair Ali 30-Apr-2025');</v>
      </c>
    </row>
    <row r="960" spans="1:8" ht="105" x14ac:dyDescent="0.25">
      <c r="A960" t="s">
        <v>1958</v>
      </c>
      <c r="B960" s="1" t="str">
        <f>VLOOKUP(A960,Sheet5!B:C,2,0)</f>
        <v>050000777893</v>
      </c>
      <c r="C960" s="13">
        <v>5709</v>
      </c>
      <c r="D960" s="22">
        <f t="shared" si="57"/>
        <v>5709</v>
      </c>
      <c r="E960" s="21" t="s">
        <v>5912</v>
      </c>
      <c r="F960" s="23" t="str">
        <f t="shared" si="56"/>
        <v>insert into ins_premium_det (premium_rcv_code,assorted_code, rec_amount,premium_rcv_detail_code,remaining_amt, payrec, mode_code,coinsurance_code,class_cd,it_remarks) values</v>
      </c>
      <c r="G960" s="24" t="str">
        <f t="shared" si="58"/>
        <v>('29Apr250042','050000777893','5709',(select max(to_number(i.premium_rcv_detail_code))+1
from ins_premium_det i),'5709','5709','02', '11000003','00','Request by Mr. Omair Ali 30-Apr-2025');</v>
      </c>
      <c r="H960" s="25" t="str">
        <f t="shared" si="59"/>
        <v>insert into ins_premium_det (premium_rcv_code,assorted_code, rec_amount,premium_rcv_detail_code,remaining_amt, payrec, mode_code,coinsurance_code,class_cd,it_remarks) values('29Apr250042','050000777893','5709',(select max(to_number(i.premium_rcv_detail_code))+1
from ins_premium_det i),'5709','5709','02', '11000003','00','Request by Mr. Omair Ali 30-Apr-2025');</v>
      </c>
    </row>
    <row r="961" spans="1:8" ht="105" x14ac:dyDescent="0.25">
      <c r="A961" t="s">
        <v>1325</v>
      </c>
      <c r="B961" s="1" t="str">
        <f>VLOOKUP(A961,Sheet5!B:C,2,0)</f>
        <v>050000777918</v>
      </c>
      <c r="C961" s="13">
        <v>5780</v>
      </c>
      <c r="D961" s="22">
        <f t="shared" si="57"/>
        <v>5780</v>
      </c>
      <c r="E961" s="21" t="s">
        <v>5912</v>
      </c>
      <c r="F961" s="23" t="str">
        <f t="shared" si="56"/>
        <v>insert into ins_premium_det (premium_rcv_code,assorted_code, rec_amount,premium_rcv_detail_code,remaining_amt, payrec, mode_code,coinsurance_code,class_cd,it_remarks) values</v>
      </c>
      <c r="G961" s="24" t="str">
        <f t="shared" si="58"/>
        <v>('29Apr250042','050000777918','5780',(select max(to_number(i.premium_rcv_detail_code))+1
from ins_premium_det i),'5780','5780','02', '11000003','00','Request by Mr. Omair Ali 30-Apr-2025');</v>
      </c>
      <c r="H961" s="25" t="str">
        <f t="shared" si="59"/>
        <v>insert into ins_premium_det (premium_rcv_code,assorted_code, rec_amount,premium_rcv_detail_code,remaining_amt, payrec, mode_code,coinsurance_code,class_cd,it_remarks) values('29Apr250042','050000777918','5780',(select max(to_number(i.premium_rcv_detail_code))+1
from ins_premium_det i),'5780','5780','02', '11000003','00','Request by Mr. Omair Ali 30-Apr-2025');</v>
      </c>
    </row>
    <row r="962" spans="1:8" ht="105" x14ac:dyDescent="0.25">
      <c r="A962" t="s">
        <v>640</v>
      </c>
      <c r="B962" s="1" t="str">
        <f>VLOOKUP(A962,Sheet5!B:C,2,0)</f>
        <v>050000778140</v>
      </c>
      <c r="C962" s="13">
        <v>840</v>
      </c>
      <c r="D962" s="22">
        <f t="shared" si="57"/>
        <v>840</v>
      </c>
      <c r="E962" s="21" t="s">
        <v>5912</v>
      </c>
      <c r="F962" s="23" t="str">
        <f t="shared" ref="F962:F1025" si="6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962" s="24" t="str">
        <f t="shared" si="58"/>
        <v>('29Apr250042','050000778140','840',(select max(to_number(i.premium_rcv_detail_code))+1
from ins_premium_det i),'840','840','02', '11000003','00','Request by Mr. Omair Ali 30-Apr-2025');</v>
      </c>
      <c r="H962" s="25" t="str">
        <f t="shared" si="59"/>
        <v>insert into ins_premium_det (premium_rcv_code,assorted_code, rec_amount,premium_rcv_detail_code,remaining_amt, payrec, mode_code,coinsurance_code,class_cd,it_remarks) values('29Apr250042','050000778140','840',(select max(to_number(i.premium_rcv_detail_code))+1
from ins_premium_det i),'840','840','02', '11000003','00','Request by Mr. Omair Ali 30-Apr-2025');</v>
      </c>
    </row>
    <row r="963" spans="1:8" ht="105" x14ac:dyDescent="0.25">
      <c r="A963" t="s">
        <v>957</v>
      </c>
      <c r="B963" s="1" t="str">
        <f>VLOOKUP(A963,Sheet5!B:C,2,0)</f>
        <v>050000778148</v>
      </c>
      <c r="C963" s="13">
        <v>3418</v>
      </c>
      <c r="D963" s="22">
        <f t="shared" ref="D963:D1026" si="61">ROUND(C963,0)</f>
        <v>3418</v>
      </c>
      <c r="E963" s="21" t="s">
        <v>5912</v>
      </c>
      <c r="F963" s="23" t="str">
        <f t="shared" si="60"/>
        <v>insert into ins_premium_det (premium_rcv_code,assorted_code, rec_amount,premium_rcv_detail_code,remaining_amt, payrec, mode_code,coinsurance_code,class_cd,it_remarks) values</v>
      </c>
      <c r="G963" s="24" t="str">
        <f t="shared" ref="G963:G1026" si="62">"('"&amp;E963&amp;"','"&amp;B963&amp;"','"&amp;D963&amp;"',(select max(to_number(i.premium_rcv_detail_code))+1
from ins_premium_det i),'"&amp;D963&amp;"','"&amp;D963&amp;"','02', '11000003','00','Request by Mr. Omair Ali 30-Apr-2025');"</f>
        <v>('29Apr250042','050000778148','3418',(select max(to_number(i.premium_rcv_detail_code))+1
from ins_premium_det i),'3418','3418','02', '11000003','00','Request by Mr. Omair Ali 30-Apr-2025');</v>
      </c>
      <c r="H963" s="25" t="str">
        <f t="shared" ref="H963:H1026" si="63">F963&amp;G963</f>
        <v>insert into ins_premium_det (premium_rcv_code,assorted_code, rec_amount,premium_rcv_detail_code,remaining_amt, payrec, mode_code,coinsurance_code,class_cd,it_remarks) values('29Apr250042','050000778148','3418',(select max(to_number(i.premium_rcv_detail_code))+1
from ins_premium_det i),'3418','3418','02', '11000003','00','Request by Mr. Omair Ali 30-Apr-2025');</v>
      </c>
    </row>
    <row r="964" spans="1:8" ht="105" x14ac:dyDescent="0.25">
      <c r="A964" t="s">
        <v>1336</v>
      </c>
      <c r="B964" s="1" t="str">
        <f>VLOOKUP(A964,Sheet5!B:C,2,0)</f>
        <v>050000778163</v>
      </c>
      <c r="C964" s="13">
        <v>939</v>
      </c>
      <c r="D964" s="22">
        <f t="shared" si="61"/>
        <v>939</v>
      </c>
      <c r="E964" s="21" t="s">
        <v>5912</v>
      </c>
      <c r="F964" s="23" t="str">
        <f t="shared" si="60"/>
        <v>insert into ins_premium_det (premium_rcv_code,assorted_code, rec_amount,premium_rcv_detail_code,remaining_amt, payrec, mode_code,coinsurance_code,class_cd,it_remarks) values</v>
      </c>
      <c r="G964" s="24" t="str">
        <f t="shared" si="62"/>
        <v>('29Apr250042','050000778163','939',(select max(to_number(i.premium_rcv_detail_code))+1
from ins_premium_det i),'939','939','02', '11000003','00','Request by Mr. Omair Ali 30-Apr-2025');</v>
      </c>
      <c r="H964" s="25" t="str">
        <f t="shared" si="63"/>
        <v>insert into ins_premium_det (premium_rcv_code,assorted_code, rec_amount,premium_rcv_detail_code,remaining_amt, payrec, mode_code,coinsurance_code,class_cd,it_remarks) values('29Apr250042','050000778163','939',(select max(to_number(i.premium_rcv_detail_code))+1
from ins_premium_det i),'939','939','02', '11000003','00','Request by Mr. Omair Ali 30-Apr-2025');</v>
      </c>
    </row>
    <row r="965" spans="1:8" ht="105" x14ac:dyDescent="0.25">
      <c r="A965" t="s">
        <v>660</v>
      </c>
      <c r="B965" s="1" t="str">
        <f>VLOOKUP(A965,Sheet5!B:C,2,0)</f>
        <v>050000778750</v>
      </c>
      <c r="C965" s="13">
        <v>2681</v>
      </c>
      <c r="D965" s="22">
        <f t="shared" si="61"/>
        <v>2681</v>
      </c>
      <c r="E965" s="21" t="s">
        <v>5912</v>
      </c>
      <c r="F965" s="23" t="str">
        <f t="shared" si="60"/>
        <v>insert into ins_premium_det (premium_rcv_code,assorted_code, rec_amount,premium_rcv_detail_code,remaining_amt, payrec, mode_code,coinsurance_code,class_cd,it_remarks) values</v>
      </c>
      <c r="G965" s="24" t="str">
        <f t="shared" si="62"/>
        <v>('29Apr250042','050000778750','2681',(select max(to_number(i.premium_rcv_detail_code))+1
from ins_premium_det i),'2681','2681','02', '11000003','00','Request by Mr. Omair Ali 30-Apr-2025');</v>
      </c>
      <c r="H965" s="25" t="str">
        <f t="shared" si="63"/>
        <v>insert into ins_premium_det (premium_rcv_code,assorted_code, rec_amount,premium_rcv_detail_code,remaining_amt, payrec, mode_code,coinsurance_code,class_cd,it_remarks) values('29Apr250042','050000778750','2681',(select max(to_number(i.premium_rcv_detail_code))+1
from ins_premium_det i),'2681','2681','02', '11000003','00','Request by Mr. Omair Ali 30-Apr-2025');</v>
      </c>
    </row>
    <row r="966" spans="1:8" ht="105" x14ac:dyDescent="0.25">
      <c r="A966" t="s">
        <v>706</v>
      </c>
      <c r="B966" s="1" t="str">
        <f>VLOOKUP(A966,Sheet5!B:C,2,0)</f>
        <v>050000778754</v>
      </c>
      <c r="C966" s="13">
        <v>39</v>
      </c>
      <c r="D966" s="22">
        <f t="shared" si="61"/>
        <v>39</v>
      </c>
      <c r="E966" s="21" t="s">
        <v>5912</v>
      </c>
      <c r="F966" s="23" t="str">
        <f t="shared" si="60"/>
        <v>insert into ins_premium_det (premium_rcv_code,assorted_code, rec_amount,premium_rcv_detail_code,remaining_amt, payrec, mode_code,coinsurance_code,class_cd,it_remarks) values</v>
      </c>
      <c r="G966" s="24" t="str">
        <f t="shared" si="62"/>
        <v>('29Apr250042','050000778754','39',(select max(to_number(i.premium_rcv_detail_code))+1
from ins_premium_det i),'39','39','02', '11000003','00','Request by Mr. Omair Ali 30-Apr-2025');</v>
      </c>
      <c r="H966" s="25" t="str">
        <f t="shared" si="63"/>
        <v>insert into ins_premium_det (premium_rcv_code,assorted_code, rec_amount,premium_rcv_detail_code,remaining_amt, payrec, mode_code,coinsurance_code,class_cd,it_remarks) values('29Apr250042','050000778754','39',(select max(to_number(i.premium_rcv_detail_code))+1
from ins_premium_det i),'39','39','02', '11000003','00','Request by Mr. Omair Ali 30-Apr-2025');</v>
      </c>
    </row>
    <row r="967" spans="1:8" ht="105" x14ac:dyDescent="0.25">
      <c r="A967" t="s">
        <v>1774</v>
      </c>
      <c r="B967" s="1" t="str">
        <f>VLOOKUP(A967,Sheet5!B:C,2,0)</f>
        <v>050000778769</v>
      </c>
      <c r="C967" s="13">
        <v>7138</v>
      </c>
      <c r="D967" s="22">
        <f t="shared" si="61"/>
        <v>7138</v>
      </c>
      <c r="E967" s="21" t="s">
        <v>5912</v>
      </c>
      <c r="F967" s="23" t="str">
        <f t="shared" si="60"/>
        <v>insert into ins_premium_det (premium_rcv_code,assorted_code, rec_amount,premium_rcv_detail_code,remaining_amt, payrec, mode_code,coinsurance_code,class_cd,it_remarks) values</v>
      </c>
      <c r="G967" s="24" t="str">
        <f t="shared" si="62"/>
        <v>('29Apr250042','050000778769','7138',(select max(to_number(i.premium_rcv_detail_code))+1
from ins_premium_det i),'7138','7138','02', '11000003','00','Request by Mr. Omair Ali 30-Apr-2025');</v>
      </c>
      <c r="H967" s="25" t="str">
        <f t="shared" si="63"/>
        <v>insert into ins_premium_det (premium_rcv_code,assorted_code, rec_amount,premium_rcv_detail_code,remaining_amt, payrec, mode_code,coinsurance_code,class_cd,it_remarks) values('29Apr250042','050000778769','7138',(select max(to_number(i.premium_rcv_detail_code))+1
from ins_premium_det i),'7138','7138','02', '11000003','00','Request by Mr. Omair Ali 30-Apr-2025');</v>
      </c>
    </row>
    <row r="968" spans="1:8" ht="105" x14ac:dyDescent="0.25">
      <c r="A968" t="s">
        <v>545</v>
      </c>
      <c r="B968" s="1" t="str">
        <f>VLOOKUP(A968,Sheet5!B:C,2,0)</f>
        <v>050000779037</v>
      </c>
      <c r="C968" s="13">
        <v>1955</v>
      </c>
      <c r="D968" s="22">
        <f t="shared" si="61"/>
        <v>1955</v>
      </c>
      <c r="E968" s="21" t="s">
        <v>5912</v>
      </c>
      <c r="F968" s="23" t="str">
        <f t="shared" si="60"/>
        <v>insert into ins_premium_det (premium_rcv_code,assorted_code, rec_amount,premium_rcv_detail_code,remaining_amt, payrec, mode_code,coinsurance_code,class_cd,it_remarks) values</v>
      </c>
      <c r="G968" s="24" t="str">
        <f t="shared" si="62"/>
        <v>('29Apr250042','050000779037','1955',(select max(to_number(i.premium_rcv_detail_code))+1
from ins_premium_det i),'1955','1955','02', '11000003','00','Request by Mr. Omair Ali 30-Apr-2025');</v>
      </c>
      <c r="H968" s="25" t="str">
        <f t="shared" si="63"/>
        <v>insert into ins_premium_det (premium_rcv_code,assorted_code, rec_amount,premium_rcv_detail_code,remaining_amt, payrec, mode_code,coinsurance_code,class_cd,it_remarks) values('29Apr250042','050000779037','1955',(select max(to_number(i.premium_rcv_detail_code))+1
from ins_premium_det i),'1955','1955','02', '11000003','00','Request by Mr. Omair Ali 30-Apr-2025');</v>
      </c>
    </row>
    <row r="969" spans="1:8" ht="105" x14ac:dyDescent="0.25">
      <c r="A969" t="s">
        <v>668</v>
      </c>
      <c r="B969" s="1" t="str">
        <f>VLOOKUP(A969,Sheet5!B:C,2,0)</f>
        <v>050000779040</v>
      </c>
      <c r="C969" s="13">
        <v>433</v>
      </c>
      <c r="D969" s="22">
        <f t="shared" si="61"/>
        <v>433</v>
      </c>
      <c r="E969" s="21" t="s">
        <v>5912</v>
      </c>
      <c r="F969" s="23" t="str">
        <f t="shared" si="60"/>
        <v>insert into ins_premium_det (premium_rcv_code,assorted_code, rec_amount,premium_rcv_detail_code,remaining_amt, payrec, mode_code,coinsurance_code,class_cd,it_remarks) values</v>
      </c>
      <c r="G969" s="24" t="str">
        <f t="shared" si="62"/>
        <v>('29Apr250042','050000779040','433',(select max(to_number(i.premium_rcv_detail_code))+1
from ins_premium_det i),'433','433','02', '11000003','00','Request by Mr. Omair Ali 30-Apr-2025');</v>
      </c>
      <c r="H969" s="25" t="str">
        <f t="shared" si="63"/>
        <v>insert into ins_premium_det (premium_rcv_code,assorted_code, rec_amount,premium_rcv_detail_code,remaining_amt, payrec, mode_code,coinsurance_code,class_cd,it_remarks) values('29Apr250042','050000779040','433',(select max(to_number(i.premium_rcv_detail_code))+1
from ins_premium_det i),'433','433','02', '11000003','00','Request by Mr. Omair Ali 30-Apr-2025');</v>
      </c>
    </row>
    <row r="970" spans="1:8" ht="105" x14ac:dyDescent="0.25">
      <c r="A970" t="s">
        <v>675</v>
      </c>
      <c r="B970" s="1" t="str">
        <f>VLOOKUP(A970,Sheet5!B:C,2,0)</f>
        <v>050000779043</v>
      </c>
      <c r="C970" s="13">
        <v>5556</v>
      </c>
      <c r="D970" s="22">
        <f t="shared" si="61"/>
        <v>5556</v>
      </c>
      <c r="E970" s="21" t="s">
        <v>5912</v>
      </c>
      <c r="F970" s="23" t="str">
        <f t="shared" si="60"/>
        <v>insert into ins_premium_det (premium_rcv_code,assorted_code, rec_amount,premium_rcv_detail_code,remaining_amt, payrec, mode_code,coinsurance_code,class_cd,it_remarks) values</v>
      </c>
      <c r="G970" s="24" t="str">
        <f t="shared" si="62"/>
        <v>('29Apr250042','050000779043','5556',(select max(to_number(i.premium_rcv_detail_code))+1
from ins_premium_det i),'5556','5556','02', '11000003','00','Request by Mr. Omair Ali 30-Apr-2025');</v>
      </c>
      <c r="H970" s="25" t="str">
        <f t="shared" si="63"/>
        <v>insert into ins_premium_det (premium_rcv_code,assorted_code, rec_amount,premium_rcv_detail_code,remaining_amt, payrec, mode_code,coinsurance_code,class_cd,it_remarks) values('29Apr250042','050000779043','5556',(select max(to_number(i.premium_rcv_detail_code))+1
from ins_premium_det i),'5556','5556','02', '11000003','00','Request by Mr. Omair Ali 30-Apr-2025');</v>
      </c>
    </row>
    <row r="971" spans="1:8" ht="105" x14ac:dyDescent="0.25">
      <c r="A971" t="s">
        <v>860</v>
      </c>
      <c r="B971" s="1" t="str">
        <f>VLOOKUP(A971,Sheet5!B:C,2,0)</f>
        <v>050000779052</v>
      </c>
      <c r="C971" s="13">
        <v>4028</v>
      </c>
      <c r="D971" s="22">
        <f t="shared" si="61"/>
        <v>4028</v>
      </c>
      <c r="E971" s="21" t="s">
        <v>5912</v>
      </c>
      <c r="F971" s="23" t="str">
        <f t="shared" si="60"/>
        <v>insert into ins_premium_det (premium_rcv_code,assorted_code, rec_amount,premium_rcv_detail_code,remaining_amt, payrec, mode_code,coinsurance_code,class_cd,it_remarks) values</v>
      </c>
      <c r="G971" s="24" t="str">
        <f t="shared" si="62"/>
        <v>('29Apr250042','050000779052','4028',(select max(to_number(i.premium_rcv_detail_code))+1
from ins_premium_det i),'4028','4028','02', '11000003','00','Request by Mr. Omair Ali 30-Apr-2025');</v>
      </c>
      <c r="H971" s="25" t="str">
        <f t="shared" si="63"/>
        <v>insert into ins_premium_det (premium_rcv_code,assorted_code, rec_amount,premium_rcv_detail_code,remaining_amt, payrec, mode_code,coinsurance_code,class_cd,it_remarks) values('29Apr250042','050000779052','4028',(select max(to_number(i.premium_rcv_detail_code))+1
from ins_premium_det i),'4028','4028','02', '11000003','00','Request by Mr. Omair Ali 30-Apr-2025');</v>
      </c>
    </row>
    <row r="972" spans="1:8" ht="105" x14ac:dyDescent="0.25">
      <c r="A972" t="s">
        <v>1737</v>
      </c>
      <c r="B972" s="1" t="str">
        <f>VLOOKUP(A972,Sheet5!B:C,2,0)</f>
        <v>050000779063</v>
      </c>
      <c r="C972" s="13">
        <v>911</v>
      </c>
      <c r="D972" s="22">
        <f t="shared" si="61"/>
        <v>911</v>
      </c>
      <c r="E972" s="21" t="s">
        <v>5912</v>
      </c>
      <c r="F972" s="23" t="str">
        <f t="shared" si="60"/>
        <v>insert into ins_premium_det (premium_rcv_code,assorted_code, rec_amount,premium_rcv_detail_code,remaining_amt, payrec, mode_code,coinsurance_code,class_cd,it_remarks) values</v>
      </c>
      <c r="G972" s="24" t="str">
        <f t="shared" si="62"/>
        <v>('29Apr250042','050000779063','911',(select max(to_number(i.premium_rcv_detail_code))+1
from ins_premium_det i),'911','911','02', '11000003','00','Request by Mr. Omair Ali 30-Apr-2025');</v>
      </c>
      <c r="H972" s="25" t="str">
        <f t="shared" si="63"/>
        <v>insert into ins_premium_det (premium_rcv_code,assorted_code, rec_amount,premium_rcv_detail_code,remaining_amt, payrec, mode_code,coinsurance_code,class_cd,it_remarks) values('29Apr250042','050000779063','911',(select max(to_number(i.premium_rcv_detail_code))+1
from ins_premium_det i),'911','911','02', '11000003','00','Request by Mr. Omair Ali 30-Apr-2025');</v>
      </c>
    </row>
    <row r="973" spans="1:8" ht="105" x14ac:dyDescent="0.25">
      <c r="A973" t="s">
        <v>1756</v>
      </c>
      <c r="B973" s="1" t="str">
        <f>VLOOKUP(A973,Sheet5!B:C,2,0)</f>
        <v>050000779064</v>
      </c>
      <c r="C973" s="13">
        <v>4271</v>
      </c>
      <c r="D973" s="22">
        <f t="shared" si="61"/>
        <v>4271</v>
      </c>
      <c r="E973" s="21" t="s">
        <v>5912</v>
      </c>
      <c r="F973" s="23" t="str">
        <f t="shared" si="60"/>
        <v>insert into ins_premium_det (premium_rcv_code,assorted_code, rec_amount,premium_rcv_detail_code,remaining_amt, payrec, mode_code,coinsurance_code,class_cd,it_remarks) values</v>
      </c>
      <c r="G973" s="24" t="str">
        <f t="shared" si="62"/>
        <v>('29Apr250042','050000779064','4271',(select max(to_number(i.premium_rcv_detail_code))+1
from ins_premium_det i),'4271','4271','02', '11000003','00','Request by Mr. Omair Ali 30-Apr-2025');</v>
      </c>
      <c r="H973" s="25" t="str">
        <f t="shared" si="63"/>
        <v>insert into ins_premium_det (premium_rcv_code,assorted_code, rec_amount,premium_rcv_detail_code,remaining_amt, payrec, mode_code,coinsurance_code,class_cd,it_remarks) values('29Apr250042','050000779064','4271',(select max(to_number(i.premium_rcv_detail_code))+1
from ins_premium_det i),'4271','4271','02', '11000003','00','Request by Mr. Omair Ali 30-Apr-2025');</v>
      </c>
    </row>
    <row r="974" spans="1:8" ht="105" x14ac:dyDescent="0.25">
      <c r="A974" t="s">
        <v>1764</v>
      </c>
      <c r="B974" s="1" t="str">
        <f>VLOOKUP(A974,Sheet5!B:C,2,0)</f>
        <v>050000779065</v>
      </c>
      <c r="C974" s="13">
        <v>2534</v>
      </c>
      <c r="D974" s="22">
        <f t="shared" si="61"/>
        <v>2534</v>
      </c>
      <c r="E974" s="21" t="s">
        <v>5912</v>
      </c>
      <c r="F974" s="23" t="str">
        <f t="shared" si="60"/>
        <v>insert into ins_premium_det (premium_rcv_code,assorted_code, rec_amount,premium_rcv_detail_code,remaining_amt, payrec, mode_code,coinsurance_code,class_cd,it_remarks) values</v>
      </c>
      <c r="G974" s="24" t="str">
        <f t="shared" si="62"/>
        <v>('29Apr250042','050000779065','2534',(select max(to_number(i.premium_rcv_detail_code))+1
from ins_premium_det i),'2534','2534','02', '11000003','00','Request by Mr. Omair Ali 30-Apr-2025');</v>
      </c>
      <c r="H974" s="25" t="str">
        <f t="shared" si="63"/>
        <v>insert into ins_premium_det (premium_rcv_code,assorted_code, rec_amount,premium_rcv_detail_code,remaining_amt, payrec, mode_code,coinsurance_code,class_cd,it_remarks) values('29Apr250042','050000779065','2534',(select max(to_number(i.premium_rcv_detail_code))+1
from ins_premium_det i),'2534','2534','02', '11000003','00','Request by Mr. Omair Ali 30-Apr-2025');</v>
      </c>
    </row>
    <row r="975" spans="1:8" ht="105" x14ac:dyDescent="0.25">
      <c r="A975" t="s">
        <v>1845</v>
      </c>
      <c r="B975" s="1" t="str">
        <f>VLOOKUP(A975,Sheet5!B:C,2,0)</f>
        <v>050000779074</v>
      </c>
      <c r="C975" s="13">
        <v>4625</v>
      </c>
      <c r="D975" s="22">
        <f t="shared" si="61"/>
        <v>4625</v>
      </c>
      <c r="E975" s="21" t="s">
        <v>5912</v>
      </c>
      <c r="F975" s="23" t="str">
        <f t="shared" si="60"/>
        <v>insert into ins_premium_det (premium_rcv_code,assorted_code, rec_amount,premium_rcv_detail_code,remaining_amt, payrec, mode_code,coinsurance_code,class_cd,it_remarks) values</v>
      </c>
      <c r="G975" s="24" t="str">
        <f t="shared" si="62"/>
        <v>('29Apr250042','050000779074','4625',(select max(to_number(i.premium_rcv_detail_code))+1
from ins_premium_det i),'4625','4625','02', '11000003','00','Request by Mr. Omair Ali 30-Apr-2025');</v>
      </c>
      <c r="H975" s="25" t="str">
        <f t="shared" si="63"/>
        <v>insert into ins_premium_det (premium_rcv_code,assorted_code, rec_amount,premium_rcv_detail_code,remaining_amt, payrec, mode_code,coinsurance_code,class_cd,it_remarks) values('29Apr250042','050000779074','4625',(select max(to_number(i.premium_rcv_detail_code))+1
from ins_premium_det i),'4625','4625','02', '11000003','00','Request by Mr. Omair Ali 30-Apr-2025');</v>
      </c>
    </row>
    <row r="976" spans="1:8" ht="105" x14ac:dyDescent="0.25">
      <c r="A976" t="s">
        <v>841</v>
      </c>
      <c r="B976" s="1" t="str">
        <f>VLOOKUP(A976,Sheet5!B:C,2,0)</f>
        <v>050000779184</v>
      </c>
      <c r="C976" s="13">
        <v>5106</v>
      </c>
      <c r="D976" s="22">
        <f t="shared" si="61"/>
        <v>5106</v>
      </c>
      <c r="E976" s="21" t="s">
        <v>5912</v>
      </c>
      <c r="F976" s="23" t="str">
        <f t="shared" si="60"/>
        <v>insert into ins_premium_det (premium_rcv_code,assorted_code, rec_amount,premium_rcv_detail_code,remaining_amt, payrec, mode_code,coinsurance_code,class_cd,it_remarks) values</v>
      </c>
      <c r="G976" s="24" t="str">
        <f t="shared" si="62"/>
        <v>('29Apr250042','050000779184','5106',(select max(to_number(i.premium_rcv_detail_code))+1
from ins_premium_det i),'5106','5106','02', '11000003','00','Request by Mr. Omair Ali 30-Apr-2025');</v>
      </c>
      <c r="H976" s="25" t="str">
        <f t="shared" si="63"/>
        <v>insert into ins_premium_det (premium_rcv_code,assorted_code, rec_amount,premium_rcv_detail_code,remaining_amt, payrec, mode_code,coinsurance_code,class_cd,it_remarks) values('29Apr250042','050000779184','5106',(select max(to_number(i.premium_rcv_detail_code))+1
from ins_premium_det i),'5106','5106','02', '11000003','00','Request by Mr. Omair Ali 30-Apr-2025');</v>
      </c>
    </row>
    <row r="977" spans="1:8" ht="105" x14ac:dyDescent="0.25">
      <c r="A977" t="s">
        <v>1000</v>
      </c>
      <c r="B977" s="1" t="str">
        <f>VLOOKUP(A977,Sheet5!B:C,2,0)</f>
        <v>050000779188</v>
      </c>
      <c r="C977" s="13">
        <v>3264</v>
      </c>
      <c r="D977" s="22">
        <f t="shared" si="61"/>
        <v>3264</v>
      </c>
      <c r="E977" s="21" t="s">
        <v>5912</v>
      </c>
      <c r="F977" s="23" t="str">
        <f t="shared" si="60"/>
        <v>insert into ins_premium_det (premium_rcv_code,assorted_code, rec_amount,premium_rcv_detail_code,remaining_amt, payrec, mode_code,coinsurance_code,class_cd,it_remarks) values</v>
      </c>
      <c r="G977" s="24" t="str">
        <f t="shared" si="62"/>
        <v>('29Apr250042','050000779188','3264',(select max(to_number(i.premium_rcv_detail_code))+1
from ins_premium_det i),'3264','3264','02', '11000003','00','Request by Mr. Omair Ali 30-Apr-2025');</v>
      </c>
      <c r="H977" s="25" t="str">
        <f t="shared" si="63"/>
        <v>insert into ins_premium_det (premium_rcv_code,assorted_code, rec_amount,premium_rcv_detail_code,remaining_amt, payrec, mode_code,coinsurance_code,class_cd,it_remarks) values('29Apr250042','050000779188','3264',(select max(to_number(i.premium_rcv_detail_code))+1
from ins_premium_det i),'3264','3264','02', '11000003','00','Request by Mr. Omair Ali 30-Apr-2025');</v>
      </c>
    </row>
    <row r="978" spans="1:8" ht="105" x14ac:dyDescent="0.25">
      <c r="A978" t="s">
        <v>1355</v>
      </c>
      <c r="B978" s="1" t="str">
        <f>VLOOKUP(A978,Sheet5!B:C,2,0)</f>
        <v>050000779219</v>
      </c>
      <c r="C978" s="13">
        <v>837</v>
      </c>
      <c r="D978" s="22">
        <f t="shared" si="61"/>
        <v>837</v>
      </c>
      <c r="E978" s="21" t="s">
        <v>5912</v>
      </c>
      <c r="F978" s="23" t="str">
        <f t="shared" si="60"/>
        <v>insert into ins_premium_det (premium_rcv_code,assorted_code, rec_amount,premium_rcv_detail_code,remaining_amt, payrec, mode_code,coinsurance_code,class_cd,it_remarks) values</v>
      </c>
      <c r="G978" s="24" t="str">
        <f t="shared" si="62"/>
        <v>('29Apr250042','050000779219','837',(select max(to_number(i.premium_rcv_detail_code))+1
from ins_premium_det i),'837','837','02', '11000003','00','Request by Mr. Omair Ali 30-Apr-2025');</v>
      </c>
      <c r="H978" s="25" t="str">
        <f t="shared" si="63"/>
        <v>insert into ins_premium_det (premium_rcv_code,assorted_code, rec_amount,premium_rcv_detail_code,remaining_amt, payrec, mode_code,coinsurance_code,class_cd,it_remarks) values('29Apr250042','050000779219','837',(select max(to_number(i.premium_rcv_detail_code))+1
from ins_premium_det i),'837','837','02', '11000003','00','Request by Mr. Omair Ali 30-Apr-2025');</v>
      </c>
    </row>
    <row r="979" spans="1:8" ht="105" x14ac:dyDescent="0.25">
      <c r="A979" t="s">
        <v>1385</v>
      </c>
      <c r="B979" s="1" t="str">
        <f>VLOOKUP(A979,Sheet5!B:C,2,0)</f>
        <v>050000779223</v>
      </c>
      <c r="C979" s="13">
        <v>1190</v>
      </c>
      <c r="D979" s="22">
        <f t="shared" si="61"/>
        <v>1190</v>
      </c>
      <c r="E979" s="21" t="s">
        <v>5912</v>
      </c>
      <c r="F979" s="23" t="str">
        <f t="shared" si="60"/>
        <v>insert into ins_premium_det (premium_rcv_code,assorted_code, rec_amount,premium_rcv_detail_code,remaining_amt, payrec, mode_code,coinsurance_code,class_cd,it_remarks) values</v>
      </c>
      <c r="G979" s="24" t="str">
        <f t="shared" si="62"/>
        <v>('29Apr250042','050000779223','1190',(select max(to_number(i.premium_rcv_detail_code))+1
from ins_premium_det i),'1190','1190','02', '11000003','00','Request by Mr. Omair Ali 30-Apr-2025');</v>
      </c>
      <c r="H979" s="25" t="str">
        <f t="shared" si="63"/>
        <v>insert into ins_premium_det (premium_rcv_code,assorted_code, rec_amount,premium_rcv_detail_code,remaining_amt, payrec, mode_code,coinsurance_code,class_cd,it_remarks) values('29Apr250042','050000779223','1190',(select max(to_number(i.premium_rcv_detail_code))+1
from ins_premium_det i),'1190','1190','02', '11000003','00','Request by Mr. Omair Ali 30-Apr-2025');</v>
      </c>
    </row>
    <row r="980" spans="1:8" ht="105" x14ac:dyDescent="0.25">
      <c r="A980" t="s">
        <v>551</v>
      </c>
      <c r="B980" s="1" t="str">
        <f>VLOOKUP(A980,Sheet5!B:C,2,0)</f>
        <v>050000779521</v>
      </c>
      <c r="C980" s="13">
        <v>294</v>
      </c>
      <c r="D980" s="22">
        <f t="shared" si="61"/>
        <v>294</v>
      </c>
      <c r="E980" s="21" t="s">
        <v>5912</v>
      </c>
      <c r="F980" s="23" t="str">
        <f t="shared" si="60"/>
        <v>insert into ins_premium_det (premium_rcv_code,assorted_code, rec_amount,premium_rcv_detail_code,remaining_amt, payrec, mode_code,coinsurance_code,class_cd,it_remarks) values</v>
      </c>
      <c r="G980" s="24" t="str">
        <f t="shared" si="62"/>
        <v>('29Apr250042','050000779521','294',(select max(to_number(i.premium_rcv_detail_code))+1
from ins_premium_det i),'294','294','02', '11000003','00','Request by Mr. Omair Ali 30-Apr-2025');</v>
      </c>
      <c r="H980" s="25" t="str">
        <f t="shared" si="63"/>
        <v>insert into ins_premium_det (premium_rcv_code,assorted_code, rec_amount,premium_rcv_detail_code,remaining_amt, payrec, mode_code,coinsurance_code,class_cd,it_remarks) values('29Apr250042','050000779521','294',(select max(to_number(i.premium_rcv_detail_code))+1
from ins_premium_det i),'294','294','02', '11000003','00','Request by Mr. Omair Ali 30-Apr-2025');</v>
      </c>
    </row>
    <row r="981" spans="1:8" ht="105" x14ac:dyDescent="0.25">
      <c r="A981" t="s">
        <v>852</v>
      </c>
      <c r="B981" s="1" t="str">
        <f>VLOOKUP(A981,Sheet5!B:C,2,0)</f>
        <v>050000779526</v>
      </c>
      <c r="C981" s="13">
        <v>2146</v>
      </c>
      <c r="D981" s="22">
        <f t="shared" si="61"/>
        <v>2146</v>
      </c>
      <c r="E981" s="21" t="s">
        <v>5912</v>
      </c>
      <c r="F981" s="23" t="str">
        <f t="shared" si="60"/>
        <v>insert into ins_premium_det (premium_rcv_code,assorted_code, rec_amount,premium_rcv_detail_code,remaining_amt, payrec, mode_code,coinsurance_code,class_cd,it_remarks) values</v>
      </c>
      <c r="G981" s="24" t="str">
        <f t="shared" si="62"/>
        <v>('29Apr250042','050000779526','2146',(select max(to_number(i.premium_rcv_detail_code))+1
from ins_premium_det i),'2146','2146','02', '11000003','00','Request by Mr. Omair Ali 30-Apr-2025');</v>
      </c>
      <c r="H981" s="25" t="str">
        <f t="shared" si="63"/>
        <v>insert into ins_premium_det (premium_rcv_code,assorted_code, rec_amount,premium_rcv_detail_code,remaining_amt, payrec, mode_code,coinsurance_code,class_cd,it_remarks) values('29Apr250042','050000779526','2146',(select max(to_number(i.premium_rcv_detail_code))+1
from ins_premium_det i),'2146','2146','02', '11000003','00','Request by Mr. Omair Ali 30-Apr-2025');</v>
      </c>
    </row>
    <row r="982" spans="1:8" ht="105" x14ac:dyDescent="0.25">
      <c r="A982" t="s">
        <v>1133</v>
      </c>
      <c r="B982" s="1" t="str">
        <f>VLOOKUP(A982,Sheet5!B:C,2,0)</f>
        <v>050000779529</v>
      </c>
      <c r="C982" s="13">
        <v>971</v>
      </c>
      <c r="D982" s="22">
        <f t="shared" si="61"/>
        <v>971</v>
      </c>
      <c r="E982" s="21" t="s">
        <v>5912</v>
      </c>
      <c r="F982" s="23" t="str">
        <f t="shared" si="60"/>
        <v>insert into ins_premium_det (premium_rcv_code,assorted_code, rec_amount,premium_rcv_detail_code,remaining_amt, payrec, mode_code,coinsurance_code,class_cd,it_remarks) values</v>
      </c>
      <c r="G982" s="24" t="str">
        <f t="shared" si="62"/>
        <v>('29Apr250042','050000779529','971',(select max(to_number(i.premium_rcv_detail_code))+1
from ins_premium_det i),'971','971','02', '11000003','00','Request by Mr. Omair Ali 30-Apr-2025');</v>
      </c>
      <c r="H982" s="25" t="str">
        <f t="shared" si="63"/>
        <v>insert into ins_premium_det (premium_rcv_code,assorted_code, rec_amount,premium_rcv_detail_code,remaining_amt, payrec, mode_code,coinsurance_code,class_cd,it_remarks) values('29Apr250042','050000779529','971',(select max(to_number(i.premium_rcv_detail_code))+1
from ins_premium_det i),'971','971','02', '11000003','00','Request by Mr. Omair Ali 30-Apr-2025');</v>
      </c>
    </row>
    <row r="983" spans="1:8" ht="105" x14ac:dyDescent="0.25">
      <c r="A983" t="s">
        <v>1147</v>
      </c>
      <c r="B983" s="1" t="str">
        <f>VLOOKUP(A983,Sheet5!B:C,2,0)</f>
        <v>050000779531</v>
      </c>
      <c r="C983" s="13">
        <v>3713</v>
      </c>
      <c r="D983" s="22">
        <f t="shared" si="61"/>
        <v>3713</v>
      </c>
      <c r="E983" s="21" t="s">
        <v>5912</v>
      </c>
      <c r="F983" s="23" t="str">
        <f t="shared" si="60"/>
        <v>insert into ins_premium_det (premium_rcv_code,assorted_code, rec_amount,premium_rcv_detail_code,remaining_amt, payrec, mode_code,coinsurance_code,class_cd,it_remarks) values</v>
      </c>
      <c r="G983" s="24" t="str">
        <f t="shared" si="62"/>
        <v>('29Apr250042','050000779531','3713',(select max(to_number(i.premium_rcv_detail_code))+1
from ins_premium_det i),'3713','3713','02', '11000003','00','Request by Mr. Omair Ali 30-Apr-2025');</v>
      </c>
      <c r="H983" s="25" t="str">
        <f t="shared" si="63"/>
        <v>insert into ins_premium_det (premium_rcv_code,assorted_code, rec_amount,premium_rcv_detail_code,remaining_amt, payrec, mode_code,coinsurance_code,class_cd,it_remarks) values('29Apr250042','050000779531','3713',(select max(to_number(i.premium_rcv_detail_code))+1
from ins_premium_det i),'3713','3713','02', '11000003','00','Request by Mr. Omair Ali 30-Apr-2025');</v>
      </c>
    </row>
    <row r="984" spans="1:8" ht="105" x14ac:dyDescent="0.25">
      <c r="A984" t="s">
        <v>1580</v>
      </c>
      <c r="B984" s="1" t="str">
        <f>VLOOKUP(A984,Sheet5!B:C,2,0)</f>
        <v>050000779540</v>
      </c>
      <c r="C984" s="13">
        <v>4753</v>
      </c>
      <c r="D984" s="22">
        <f t="shared" si="61"/>
        <v>4753</v>
      </c>
      <c r="E984" s="21" t="s">
        <v>5912</v>
      </c>
      <c r="F984" s="23" t="str">
        <f t="shared" si="60"/>
        <v>insert into ins_premium_det (premium_rcv_code,assorted_code, rec_amount,premium_rcv_detail_code,remaining_amt, payrec, mode_code,coinsurance_code,class_cd,it_remarks) values</v>
      </c>
      <c r="G984" s="24" t="str">
        <f t="shared" si="62"/>
        <v>('29Apr250042','050000779540','4753',(select max(to_number(i.premium_rcv_detail_code))+1
from ins_premium_det i),'4753','4753','02', '11000003','00','Request by Mr. Omair Ali 30-Apr-2025');</v>
      </c>
      <c r="H984" s="25" t="str">
        <f t="shared" si="63"/>
        <v>insert into ins_premium_det (premium_rcv_code,assorted_code, rec_amount,premium_rcv_detail_code,remaining_amt, payrec, mode_code,coinsurance_code,class_cd,it_remarks) values('29Apr250042','050000779540','4753',(select max(to_number(i.premium_rcv_detail_code))+1
from ins_premium_det i),'4753','4753','02', '11000003','00','Request by Mr. Omair Ali 30-Apr-2025');</v>
      </c>
    </row>
    <row r="985" spans="1:8" ht="105" x14ac:dyDescent="0.25">
      <c r="A985" t="s">
        <v>1942</v>
      </c>
      <c r="B985" s="1" t="str">
        <f>VLOOKUP(A985,Sheet5!B:C,2,0)</f>
        <v>050000779568</v>
      </c>
      <c r="C985" s="13">
        <v>813</v>
      </c>
      <c r="D985" s="22">
        <f t="shared" si="61"/>
        <v>813</v>
      </c>
      <c r="E985" s="21" t="s">
        <v>5912</v>
      </c>
      <c r="F985" s="23" t="str">
        <f t="shared" si="60"/>
        <v>insert into ins_premium_det (premium_rcv_code,assorted_code, rec_amount,premium_rcv_detail_code,remaining_amt, payrec, mode_code,coinsurance_code,class_cd,it_remarks) values</v>
      </c>
      <c r="G985" s="24" t="str">
        <f t="shared" si="62"/>
        <v>('29Apr250042','050000779568','813',(select max(to_number(i.premium_rcv_detail_code))+1
from ins_premium_det i),'813','813','02', '11000003','00','Request by Mr. Omair Ali 30-Apr-2025');</v>
      </c>
      <c r="H985" s="25" t="str">
        <f t="shared" si="63"/>
        <v>insert into ins_premium_det (premium_rcv_code,assorted_code, rec_amount,premium_rcv_detail_code,remaining_amt, payrec, mode_code,coinsurance_code,class_cd,it_remarks) values('29Apr250042','050000779568','813',(select max(to_number(i.premium_rcv_detail_code))+1
from ins_premium_det i),'813','813','02', '11000003','00','Request by Mr. Omair Ali 30-Apr-2025');</v>
      </c>
    </row>
    <row r="986" spans="1:8" ht="105" x14ac:dyDescent="0.25">
      <c r="A986" t="s">
        <v>113</v>
      </c>
      <c r="B986" s="1" t="str">
        <f>VLOOKUP(A986,Sheet5!B:C,2,0)</f>
        <v>050000780459</v>
      </c>
      <c r="C986" s="13">
        <v>370</v>
      </c>
      <c r="D986" s="22">
        <f t="shared" si="61"/>
        <v>370</v>
      </c>
      <c r="E986" s="21" t="s">
        <v>5912</v>
      </c>
      <c r="F986" s="23" t="str">
        <f t="shared" si="60"/>
        <v>insert into ins_premium_det (premium_rcv_code,assorted_code, rec_amount,premium_rcv_detail_code,remaining_amt, payrec, mode_code,coinsurance_code,class_cd,it_remarks) values</v>
      </c>
      <c r="G986" s="24" t="str">
        <f t="shared" si="62"/>
        <v>('29Apr250042','050000780459','370',(select max(to_number(i.premium_rcv_detail_code))+1
from ins_premium_det i),'370','370','02', '11000003','00','Request by Mr. Omair Ali 30-Apr-2025');</v>
      </c>
      <c r="H986" s="25" t="str">
        <f t="shared" si="63"/>
        <v>insert into ins_premium_det (premium_rcv_code,assorted_code, rec_amount,premium_rcv_detail_code,remaining_amt, payrec, mode_code,coinsurance_code,class_cd,it_remarks) values('29Apr250042','050000780459','370',(select max(to_number(i.premium_rcv_detail_code))+1
from ins_premium_det i),'370','370','02', '11000003','00','Request by Mr. Omair Ali 30-Apr-2025');</v>
      </c>
    </row>
    <row r="987" spans="1:8" ht="105" x14ac:dyDescent="0.25">
      <c r="A987" t="s">
        <v>716</v>
      </c>
      <c r="B987" s="1" t="str">
        <f>VLOOKUP(A987,Sheet5!B:C,2,0)</f>
        <v>050000781421</v>
      </c>
      <c r="C987" s="13">
        <v>718</v>
      </c>
      <c r="D987" s="22">
        <f t="shared" si="61"/>
        <v>718</v>
      </c>
      <c r="E987" s="21" t="s">
        <v>5912</v>
      </c>
      <c r="F987" s="23" t="str">
        <f t="shared" si="60"/>
        <v>insert into ins_premium_det (premium_rcv_code,assorted_code, rec_amount,premium_rcv_detail_code,remaining_amt, payrec, mode_code,coinsurance_code,class_cd,it_remarks) values</v>
      </c>
      <c r="G987" s="24" t="str">
        <f t="shared" si="62"/>
        <v>('29Apr250042','050000781421','718',(select max(to_number(i.premium_rcv_detail_code))+1
from ins_premium_det i),'718','718','02', '11000003','00','Request by Mr. Omair Ali 30-Apr-2025');</v>
      </c>
      <c r="H987" s="25" t="str">
        <f t="shared" si="63"/>
        <v>insert into ins_premium_det (premium_rcv_code,assorted_code, rec_amount,premium_rcv_detail_code,remaining_amt, payrec, mode_code,coinsurance_code,class_cd,it_remarks) values('29Apr250042','050000781421','718',(select max(to_number(i.premium_rcv_detail_code))+1
from ins_premium_det i),'718','718','02', '11000003','00','Request by Mr. Omair Ali 30-Apr-2025');</v>
      </c>
    </row>
    <row r="988" spans="1:8" ht="105" x14ac:dyDescent="0.25">
      <c r="A988" t="s">
        <v>986</v>
      </c>
      <c r="B988" s="1" t="str">
        <f>VLOOKUP(A988,Sheet5!B:C,2,0)</f>
        <v>050000781424</v>
      </c>
      <c r="C988" s="13">
        <v>232</v>
      </c>
      <c r="D988" s="22">
        <f t="shared" si="61"/>
        <v>232</v>
      </c>
      <c r="E988" s="21" t="s">
        <v>5912</v>
      </c>
      <c r="F988" s="23" t="str">
        <f t="shared" si="60"/>
        <v>insert into ins_premium_det (premium_rcv_code,assorted_code, rec_amount,premium_rcv_detail_code,remaining_amt, payrec, mode_code,coinsurance_code,class_cd,it_remarks) values</v>
      </c>
      <c r="G988" s="24" t="str">
        <f t="shared" si="62"/>
        <v>('29Apr250042','050000781424','232',(select max(to_number(i.premium_rcv_detail_code))+1
from ins_premium_det i),'232','232','02', '11000003','00','Request by Mr. Omair Ali 30-Apr-2025');</v>
      </c>
      <c r="H988" s="25" t="str">
        <f t="shared" si="63"/>
        <v>insert into ins_premium_det (premium_rcv_code,assorted_code, rec_amount,premium_rcv_detail_code,remaining_amt, payrec, mode_code,coinsurance_code,class_cd,it_remarks) values('29Apr250042','050000781424','232',(select max(to_number(i.premium_rcv_detail_code))+1
from ins_premium_det i),'232','232','02', '11000003','00','Request by Mr. Omair Ali 30-Apr-2025');</v>
      </c>
    </row>
    <row r="989" spans="1:8" ht="105" x14ac:dyDescent="0.25">
      <c r="A989" t="s">
        <v>1011</v>
      </c>
      <c r="B989" s="1" t="str">
        <f>VLOOKUP(A989,Sheet5!B:C,2,0)</f>
        <v>050000781427</v>
      </c>
      <c r="C989" s="13">
        <v>10375</v>
      </c>
      <c r="D989" s="22">
        <f t="shared" si="61"/>
        <v>10375</v>
      </c>
      <c r="E989" s="21" t="s">
        <v>5912</v>
      </c>
      <c r="F989" s="23" t="str">
        <f t="shared" si="60"/>
        <v>insert into ins_premium_det (premium_rcv_code,assorted_code, rec_amount,premium_rcv_detail_code,remaining_amt, payrec, mode_code,coinsurance_code,class_cd,it_remarks) values</v>
      </c>
      <c r="G989" s="24" t="str">
        <f t="shared" si="62"/>
        <v>('29Apr250042','050000781427','10375',(select max(to_number(i.premium_rcv_detail_code))+1
from ins_premium_det i),'10375','10375','02', '11000003','00','Request by Mr. Omair Ali 30-Apr-2025');</v>
      </c>
      <c r="H989" s="25" t="str">
        <f t="shared" si="63"/>
        <v>insert into ins_premium_det (premium_rcv_code,assorted_code, rec_amount,premium_rcv_detail_code,remaining_amt, payrec, mode_code,coinsurance_code,class_cd,it_remarks) values('29Apr250042','050000781427','10375',(select max(to_number(i.premium_rcv_detail_code))+1
from ins_premium_det i),'10375','10375','02', '11000003','00','Request by Mr. Omair Ali 30-Apr-2025');</v>
      </c>
    </row>
    <row r="990" spans="1:8" ht="105" x14ac:dyDescent="0.25">
      <c r="A990" t="s">
        <v>1154</v>
      </c>
      <c r="B990" s="1" t="str">
        <f>VLOOKUP(A990,Sheet5!B:C,2,0)</f>
        <v>050000781429</v>
      </c>
      <c r="C990" s="13">
        <v>741</v>
      </c>
      <c r="D990" s="22">
        <f t="shared" si="61"/>
        <v>741</v>
      </c>
      <c r="E990" s="21" t="s">
        <v>5912</v>
      </c>
      <c r="F990" s="23" t="str">
        <f t="shared" si="60"/>
        <v>insert into ins_premium_det (premium_rcv_code,assorted_code, rec_amount,premium_rcv_detail_code,remaining_amt, payrec, mode_code,coinsurance_code,class_cd,it_remarks) values</v>
      </c>
      <c r="G990" s="24" t="str">
        <f t="shared" si="62"/>
        <v>('29Apr250042','050000781429','741',(select max(to_number(i.premium_rcv_detail_code))+1
from ins_premium_det i),'741','741','02', '11000003','00','Request by Mr. Omair Ali 30-Apr-2025');</v>
      </c>
      <c r="H990" s="25" t="str">
        <f t="shared" si="63"/>
        <v>insert into ins_premium_det (premium_rcv_code,assorted_code, rec_amount,premium_rcv_detail_code,remaining_amt, payrec, mode_code,coinsurance_code,class_cd,it_remarks) values('29Apr250042','050000781429','741',(select max(to_number(i.premium_rcv_detail_code))+1
from ins_premium_det i),'741','741','02', '11000003','00','Request by Mr. Omair Ali 30-Apr-2025');</v>
      </c>
    </row>
    <row r="991" spans="1:8" ht="105" x14ac:dyDescent="0.25">
      <c r="A991" t="s">
        <v>1396</v>
      </c>
      <c r="B991" s="1" t="str">
        <f>VLOOKUP(A991,Sheet5!B:C,2,0)</f>
        <v>050000781433</v>
      </c>
      <c r="C991" s="13">
        <v>2698</v>
      </c>
      <c r="D991" s="22">
        <f t="shared" si="61"/>
        <v>2698</v>
      </c>
      <c r="E991" s="21" t="s">
        <v>5912</v>
      </c>
      <c r="F991" s="23" t="str">
        <f t="shared" si="60"/>
        <v>insert into ins_premium_det (premium_rcv_code,assorted_code, rec_amount,premium_rcv_detail_code,remaining_amt, payrec, mode_code,coinsurance_code,class_cd,it_remarks) values</v>
      </c>
      <c r="G991" s="24" t="str">
        <f t="shared" si="62"/>
        <v>('29Apr250042','050000781433','2698',(select max(to_number(i.premium_rcv_detail_code))+1
from ins_premium_det i),'2698','2698','02', '11000003','00','Request by Mr. Omair Ali 30-Apr-2025');</v>
      </c>
      <c r="H991" s="25" t="str">
        <f t="shared" si="63"/>
        <v>insert into ins_premium_det (premium_rcv_code,assorted_code, rec_amount,premium_rcv_detail_code,remaining_amt, payrec, mode_code,coinsurance_code,class_cd,it_remarks) values('29Apr250042','050000781433','2698',(select max(to_number(i.premium_rcv_detail_code))+1
from ins_premium_det i),'2698','2698','02', '11000003','00','Request by Mr. Omair Ali 30-Apr-2025');</v>
      </c>
    </row>
    <row r="992" spans="1:8" ht="105" x14ac:dyDescent="0.25">
      <c r="A992" t="s">
        <v>1597</v>
      </c>
      <c r="B992" s="1" t="str">
        <f>VLOOKUP(A992,Sheet5!B:C,2,0)</f>
        <v>050000781438</v>
      </c>
      <c r="C992" s="13">
        <v>2971</v>
      </c>
      <c r="D992" s="22">
        <f t="shared" si="61"/>
        <v>2971</v>
      </c>
      <c r="E992" s="21" t="s">
        <v>5912</v>
      </c>
      <c r="F992" s="23" t="str">
        <f t="shared" si="60"/>
        <v>insert into ins_premium_det (premium_rcv_code,assorted_code, rec_amount,premium_rcv_detail_code,remaining_amt, payrec, mode_code,coinsurance_code,class_cd,it_remarks) values</v>
      </c>
      <c r="G992" s="24" t="str">
        <f t="shared" si="62"/>
        <v>('29Apr250042','050000781438','2971',(select max(to_number(i.premium_rcv_detail_code))+1
from ins_premium_det i),'2971','2971','02', '11000003','00','Request by Mr. Omair Ali 30-Apr-2025');</v>
      </c>
      <c r="H992" s="25" t="str">
        <f t="shared" si="63"/>
        <v>insert into ins_premium_det (premium_rcv_code,assorted_code, rec_amount,premium_rcv_detail_code,remaining_amt, payrec, mode_code,coinsurance_code,class_cd,it_remarks) values('29Apr250042','050000781438','2971',(select max(to_number(i.premium_rcv_detail_code))+1
from ins_premium_det i),'2971','2971','02', '11000003','00','Request by Mr. Omair Ali 30-Apr-2025');</v>
      </c>
    </row>
    <row r="993" spans="1:8" ht="105" x14ac:dyDescent="0.25">
      <c r="A993" t="s">
        <v>566</v>
      </c>
      <c r="B993" s="1" t="str">
        <f>VLOOKUP(A993,Sheet5!B:C,2,0)</f>
        <v>050000781828</v>
      </c>
      <c r="C993" s="13">
        <v>447</v>
      </c>
      <c r="D993" s="22">
        <f t="shared" si="61"/>
        <v>447</v>
      </c>
      <c r="E993" s="21" t="s">
        <v>5912</v>
      </c>
      <c r="F993" s="23" t="str">
        <f t="shared" si="60"/>
        <v>insert into ins_premium_det (premium_rcv_code,assorted_code, rec_amount,premium_rcv_detail_code,remaining_amt, payrec, mode_code,coinsurance_code,class_cd,it_remarks) values</v>
      </c>
      <c r="G993" s="24" t="str">
        <f t="shared" si="62"/>
        <v>('29Apr250042','050000781828','447',(select max(to_number(i.premium_rcv_detail_code))+1
from ins_premium_det i),'447','447','02', '11000003','00','Request by Mr. Omair Ali 30-Apr-2025');</v>
      </c>
      <c r="H993" s="25" t="str">
        <f t="shared" si="63"/>
        <v>insert into ins_premium_det (premium_rcv_code,assorted_code, rec_amount,premium_rcv_detail_code,remaining_amt, payrec, mode_code,coinsurance_code,class_cd,it_remarks) values('29Apr250042','050000781828','447',(select max(to_number(i.premium_rcv_detail_code))+1
from ins_premium_det i),'447','447','02', '11000003','00','Request by Mr. Omair Ali 30-Apr-2025');</v>
      </c>
    </row>
    <row r="994" spans="1:8" ht="105" x14ac:dyDescent="0.25">
      <c r="A994" t="s">
        <v>734</v>
      </c>
      <c r="B994" s="1" t="str">
        <f>VLOOKUP(A994,Sheet5!B:C,2,0)</f>
        <v>050000781841</v>
      </c>
      <c r="C994" s="13">
        <v>4394</v>
      </c>
      <c r="D994" s="22">
        <f t="shared" si="61"/>
        <v>4394</v>
      </c>
      <c r="E994" s="21" t="s">
        <v>5912</v>
      </c>
      <c r="F994" s="23" t="str">
        <f t="shared" si="60"/>
        <v>insert into ins_premium_det (premium_rcv_code,assorted_code, rec_amount,premium_rcv_detail_code,remaining_amt, payrec, mode_code,coinsurance_code,class_cd,it_remarks) values</v>
      </c>
      <c r="G994" s="24" t="str">
        <f t="shared" si="62"/>
        <v>('29Apr250042','050000781841','4394',(select max(to_number(i.premium_rcv_detail_code))+1
from ins_premium_det i),'4394','4394','02', '11000003','00','Request by Mr. Omair Ali 30-Apr-2025');</v>
      </c>
      <c r="H994" s="25" t="str">
        <f t="shared" si="63"/>
        <v>insert into ins_premium_det (premium_rcv_code,assorted_code, rec_amount,premium_rcv_detail_code,remaining_amt, payrec, mode_code,coinsurance_code,class_cd,it_remarks) values('29Apr250042','050000781841','4394',(select max(to_number(i.premium_rcv_detail_code))+1
from ins_premium_det i),'4394','4394','02', '11000003','00','Request by Mr. Omair Ali 30-Apr-2025');</v>
      </c>
    </row>
    <row r="995" spans="1:8" ht="105" x14ac:dyDescent="0.25">
      <c r="A995" t="s">
        <v>865</v>
      </c>
      <c r="B995" s="1" t="str">
        <f>VLOOKUP(A995,Sheet5!B:C,2,0)</f>
        <v>050000781845</v>
      </c>
      <c r="C995" s="13">
        <v>1208</v>
      </c>
      <c r="D995" s="22">
        <f t="shared" si="61"/>
        <v>1208</v>
      </c>
      <c r="E995" s="21" t="s">
        <v>5912</v>
      </c>
      <c r="F995" s="23" t="str">
        <f t="shared" si="60"/>
        <v>insert into ins_premium_det (premium_rcv_code,assorted_code, rec_amount,premium_rcv_detail_code,remaining_amt, payrec, mode_code,coinsurance_code,class_cd,it_remarks) values</v>
      </c>
      <c r="G995" s="24" t="str">
        <f t="shared" si="62"/>
        <v>('29Apr250042','050000781845','1208',(select max(to_number(i.premium_rcv_detail_code))+1
from ins_premium_det i),'1208','1208','02', '11000003','00','Request by Mr. Omair Ali 30-Apr-2025');</v>
      </c>
      <c r="H995" s="25" t="str">
        <f t="shared" si="63"/>
        <v>insert into ins_premium_det (premium_rcv_code,assorted_code, rec_amount,premium_rcv_detail_code,remaining_amt, payrec, mode_code,coinsurance_code,class_cd,it_remarks) values('29Apr250042','050000781845','1208',(select max(to_number(i.premium_rcv_detail_code))+1
from ins_premium_det i),'1208','1208','02', '11000003','00','Request by Mr. Omair Ali 30-Apr-2025');</v>
      </c>
    </row>
    <row r="996" spans="1:8" ht="105" x14ac:dyDescent="0.25">
      <c r="A996" t="s">
        <v>1016</v>
      </c>
      <c r="B996" s="1" t="str">
        <f>VLOOKUP(A996,Sheet5!B:C,2,0)</f>
        <v>050000781848</v>
      </c>
      <c r="C996" s="13">
        <v>493</v>
      </c>
      <c r="D996" s="22">
        <f t="shared" si="61"/>
        <v>493</v>
      </c>
      <c r="E996" s="21" t="s">
        <v>5912</v>
      </c>
      <c r="F996" s="23" t="str">
        <f t="shared" si="60"/>
        <v>insert into ins_premium_det (premium_rcv_code,assorted_code, rec_amount,premium_rcv_detail_code,remaining_amt, payrec, mode_code,coinsurance_code,class_cd,it_remarks) values</v>
      </c>
      <c r="G996" s="24" t="str">
        <f t="shared" si="62"/>
        <v>('29Apr250042','050000781848','493',(select max(to_number(i.premium_rcv_detail_code))+1
from ins_premium_det i),'493','493','02', '11000003','00','Request by Mr. Omair Ali 30-Apr-2025');</v>
      </c>
      <c r="H996" s="25" t="str">
        <f t="shared" si="63"/>
        <v>insert into ins_premium_det (premium_rcv_code,assorted_code, rec_amount,premium_rcv_detail_code,remaining_amt, payrec, mode_code,coinsurance_code,class_cd,it_remarks) values('29Apr250042','050000781848','493',(select max(to_number(i.premium_rcv_detail_code))+1
from ins_premium_det i),'493','493','02', '11000003','00','Request by Mr. Omair Ali 30-Apr-2025');</v>
      </c>
    </row>
    <row r="997" spans="1:8" ht="105" x14ac:dyDescent="0.25">
      <c r="A997" t="s">
        <v>1375</v>
      </c>
      <c r="B997" s="1" t="str">
        <f>VLOOKUP(A997,Sheet5!B:C,2,0)</f>
        <v>050000781849</v>
      </c>
      <c r="C997" s="13">
        <v>3315</v>
      </c>
      <c r="D997" s="22">
        <f t="shared" si="61"/>
        <v>3315</v>
      </c>
      <c r="E997" s="21" t="s">
        <v>5912</v>
      </c>
      <c r="F997" s="23" t="str">
        <f t="shared" si="60"/>
        <v>insert into ins_premium_det (premium_rcv_code,assorted_code, rec_amount,premium_rcv_detail_code,remaining_amt, payrec, mode_code,coinsurance_code,class_cd,it_remarks) values</v>
      </c>
      <c r="G997" s="24" t="str">
        <f t="shared" si="62"/>
        <v>('29Apr250042','050000781849','3315',(select max(to_number(i.premium_rcv_detail_code))+1
from ins_premium_det i),'3315','3315','02', '11000003','00','Request by Mr. Omair Ali 30-Apr-2025');</v>
      </c>
      <c r="H997" s="25" t="str">
        <f t="shared" si="63"/>
        <v>insert into ins_premium_det (premium_rcv_code,assorted_code, rec_amount,premium_rcv_detail_code,remaining_amt, payrec, mode_code,coinsurance_code,class_cd,it_remarks) values('29Apr250042','050000781849','3315',(select max(to_number(i.premium_rcv_detail_code))+1
from ins_premium_det i),'3315','3315','02', '11000003','00','Request by Mr. Omair Ali 30-Apr-2025');</v>
      </c>
    </row>
    <row r="998" spans="1:8" ht="105" x14ac:dyDescent="0.25">
      <c r="A998" t="s">
        <v>1409</v>
      </c>
      <c r="B998" s="1" t="str">
        <f>VLOOKUP(A998,Sheet5!B:C,2,0)</f>
        <v>050000781853</v>
      </c>
      <c r="C998" s="13">
        <v>3285</v>
      </c>
      <c r="D998" s="22">
        <f t="shared" si="61"/>
        <v>3285</v>
      </c>
      <c r="E998" s="21" t="s">
        <v>5912</v>
      </c>
      <c r="F998" s="23" t="str">
        <f t="shared" si="60"/>
        <v>insert into ins_premium_det (premium_rcv_code,assorted_code, rec_amount,premium_rcv_detail_code,remaining_amt, payrec, mode_code,coinsurance_code,class_cd,it_remarks) values</v>
      </c>
      <c r="G998" s="24" t="str">
        <f t="shared" si="62"/>
        <v>('29Apr250042','050000781853','3285',(select max(to_number(i.premium_rcv_detail_code))+1
from ins_premium_det i),'3285','3285','02', '11000003','00','Request by Mr. Omair Ali 30-Apr-2025');</v>
      </c>
      <c r="H998" s="25" t="str">
        <f t="shared" si="63"/>
        <v>insert into ins_premium_det (premium_rcv_code,assorted_code, rec_amount,premium_rcv_detail_code,remaining_amt, payrec, mode_code,coinsurance_code,class_cd,it_remarks) values('29Apr250042','050000781853','3285',(select max(to_number(i.premium_rcv_detail_code))+1
from ins_premium_det i),'3285','3285','02', '11000003','00','Request by Mr. Omair Ali 30-Apr-2025');</v>
      </c>
    </row>
    <row r="999" spans="1:8" ht="105" x14ac:dyDescent="0.25">
      <c r="A999" t="s">
        <v>1496</v>
      </c>
      <c r="B999" s="1" t="str">
        <f>VLOOKUP(A999,Sheet5!B:C,2,0)</f>
        <v>050000781858</v>
      </c>
      <c r="C999" s="13">
        <v>1318</v>
      </c>
      <c r="D999" s="22">
        <f t="shared" si="61"/>
        <v>1318</v>
      </c>
      <c r="E999" s="21" t="s">
        <v>5912</v>
      </c>
      <c r="F999" s="23" t="str">
        <f t="shared" si="60"/>
        <v>insert into ins_premium_det (premium_rcv_code,assorted_code, rec_amount,premium_rcv_detail_code,remaining_amt, payrec, mode_code,coinsurance_code,class_cd,it_remarks) values</v>
      </c>
      <c r="G999" s="24" t="str">
        <f t="shared" si="62"/>
        <v>('29Apr250042','050000781858','1318',(select max(to_number(i.premium_rcv_detail_code))+1
from ins_premium_det i),'1318','1318','02', '11000003','00','Request by Mr. Omair Ali 30-Apr-2025');</v>
      </c>
      <c r="H999" s="25" t="str">
        <f t="shared" si="63"/>
        <v>insert into ins_premium_det (premium_rcv_code,assorted_code, rec_amount,premium_rcv_detail_code,remaining_amt, payrec, mode_code,coinsurance_code,class_cd,it_remarks) values('29Apr250042','050000781858','1318',(select max(to_number(i.premium_rcv_detail_code))+1
from ins_premium_det i),'1318','1318','02', '11000003','00','Request by Mr. Omair Ali 30-Apr-2025');</v>
      </c>
    </row>
    <row r="1000" spans="1:8" ht="105" x14ac:dyDescent="0.25">
      <c r="A1000" t="s">
        <v>1506</v>
      </c>
      <c r="B1000" s="1" t="str">
        <f>VLOOKUP(A1000,Sheet5!B:C,2,0)</f>
        <v>050000781859</v>
      </c>
      <c r="C1000" s="13">
        <v>6296</v>
      </c>
      <c r="D1000" s="22">
        <f t="shared" si="61"/>
        <v>6296</v>
      </c>
      <c r="E1000" s="21" t="s">
        <v>5912</v>
      </c>
      <c r="F1000" s="23" t="str">
        <f t="shared" si="60"/>
        <v>insert into ins_premium_det (premium_rcv_code,assorted_code, rec_amount,premium_rcv_detail_code,remaining_amt, payrec, mode_code,coinsurance_code,class_cd,it_remarks) values</v>
      </c>
      <c r="G1000" s="24" t="str">
        <f t="shared" si="62"/>
        <v>('29Apr250042','050000781859','6296',(select max(to_number(i.premium_rcv_detail_code))+1
from ins_premium_det i),'6296','6296','02', '11000003','00','Request by Mr. Omair Ali 30-Apr-2025');</v>
      </c>
      <c r="H1000" s="25" t="str">
        <f t="shared" si="63"/>
        <v>insert into ins_premium_det (premium_rcv_code,assorted_code, rec_amount,premium_rcv_detail_code,remaining_amt, payrec, mode_code,coinsurance_code,class_cd,it_remarks) values('29Apr250042','050000781859','6296',(select max(to_number(i.premium_rcv_detail_code))+1
from ins_premium_det i),'6296','6296','02', '11000003','00','Request by Mr. Omair Ali 30-Apr-2025');</v>
      </c>
    </row>
    <row r="1001" spans="1:8" ht="105" x14ac:dyDescent="0.25">
      <c r="A1001" t="s">
        <v>1784</v>
      </c>
      <c r="B1001" s="1" t="str">
        <f>VLOOKUP(A1001,Sheet5!B:C,2,0)</f>
        <v>050000781929</v>
      </c>
      <c r="C1001" s="13">
        <v>5127</v>
      </c>
      <c r="D1001" s="22">
        <f t="shared" si="61"/>
        <v>5127</v>
      </c>
      <c r="E1001" s="21" t="s">
        <v>5912</v>
      </c>
      <c r="F1001" s="23" t="str">
        <f t="shared" si="60"/>
        <v>insert into ins_premium_det (premium_rcv_code,assorted_code, rec_amount,premium_rcv_detail_code,remaining_amt, payrec, mode_code,coinsurance_code,class_cd,it_remarks) values</v>
      </c>
      <c r="G1001" s="24" t="str">
        <f t="shared" si="62"/>
        <v>('29Apr250042','050000781929','5127',(select max(to_number(i.premium_rcv_detail_code))+1
from ins_premium_det i),'5127','5127','02', '11000003','00','Request by Mr. Omair Ali 30-Apr-2025');</v>
      </c>
      <c r="H1001" s="25" t="str">
        <f t="shared" si="63"/>
        <v>insert into ins_premium_det (premium_rcv_code,assorted_code, rec_amount,premium_rcv_detail_code,remaining_amt, payrec, mode_code,coinsurance_code,class_cd,it_remarks) values('29Apr250042','050000781929','5127',(select max(to_number(i.premium_rcv_detail_code))+1
from ins_premium_det i),'5127','5127','02', '11000003','00','Request by Mr. Omair Ali 30-Apr-2025');</v>
      </c>
    </row>
    <row r="1002" spans="1:8" ht="105" x14ac:dyDescent="0.25">
      <c r="A1002" t="s">
        <v>1976</v>
      </c>
      <c r="B1002" s="1" t="str">
        <f>VLOOKUP(A1002,Sheet5!B:C,2,0)</f>
        <v>050000781940</v>
      </c>
      <c r="C1002" s="13">
        <v>3730</v>
      </c>
      <c r="D1002" s="22">
        <f t="shared" si="61"/>
        <v>3730</v>
      </c>
      <c r="E1002" s="21" t="s">
        <v>5912</v>
      </c>
      <c r="F1002" s="23" t="str">
        <f t="shared" si="60"/>
        <v>insert into ins_premium_det (premium_rcv_code,assorted_code, rec_amount,premium_rcv_detail_code,remaining_amt, payrec, mode_code,coinsurance_code,class_cd,it_remarks) values</v>
      </c>
      <c r="G1002" s="24" t="str">
        <f t="shared" si="62"/>
        <v>('29Apr250042','050000781940','3730',(select max(to_number(i.premium_rcv_detail_code))+1
from ins_premium_det i),'3730','3730','02', '11000003','00','Request by Mr. Omair Ali 30-Apr-2025');</v>
      </c>
      <c r="H1002" s="25" t="str">
        <f t="shared" si="63"/>
        <v>insert into ins_premium_det (premium_rcv_code,assorted_code, rec_amount,premium_rcv_detail_code,remaining_amt, payrec, mode_code,coinsurance_code,class_cd,it_remarks) values('29Apr250042','050000781940','3730',(select max(to_number(i.premium_rcv_detail_code))+1
from ins_premium_det i),'3730','3730','02', '11000003','00','Request by Mr. Omair Ali 30-Apr-2025');</v>
      </c>
    </row>
    <row r="1003" spans="1:8" ht="105" x14ac:dyDescent="0.25">
      <c r="A1003" t="s">
        <v>729</v>
      </c>
      <c r="B1003" s="1" t="str">
        <f>VLOOKUP(A1003,Sheet5!B:C,2,0)</f>
        <v>050000782708</v>
      </c>
      <c r="C1003" s="13">
        <v>1316</v>
      </c>
      <c r="D1003" s="22">
        <f t="shared" si="61"/>
        <v>1316</v>
      </c>
      <c r="E1003" s="21" t="s">
        <v>5912</v>
      </c>
      <c r="F1003" s="23" t="str">
        <f t="shared" si="60"/>
        <v>insert into ins_premium_det (premium_rcv_code,assorted_code, rec_amount,premium_rcv_detail_code,remaining_amt, payrec, mode_code,coinsurance_code,class_cd,it_remarks) values</v>
      </c>
      <c r="G1003" s="24" t="str">
        <f t="shared" si="62"/>
        <v>('29Apr250042','050000782708','1316',(select max(to_number(i.premium_rcv_detail_code))+1
from ins_premium_det i),'1316','1316','02', '11000003','00','Request by Mr. Omair Ali 30-Apr-2025');</v>
      </c>
      <c r="H1003" s="25" t="str">
        <f t="shared" si="63"/>
        <v>insert into ins_premium_det (premium_rcv_code,assorted_code, rec_amount,premium_rcv_detail_code,remaining_amt, payrec, mode_code,coinsurance_code,class_cd,it_remarks) values('29Apr250042','050000782708','1316',(select max(to_number(i.premium_rcv_detail_code))+1
from ins_premium_det i),'1316','1316','02', '11000003','00','Request by Mr. Omair Ali 30-Apr-2025');</v>
      </c>
    </row>
    <row r="1004" spans="1:8" ht="105" x14ac:dyDescent="0.25">
      <c r="A1004" t="s">
        <v>742</v>
      </c>
      <c r="B1004" s="1" t="str">
        <f>VLOOKUP(A1004,Sheet5!B:C,2,0)</f>
        <v>050000782715</v>
      </c>
      <c r="C1004" s="13">
        <v>1317</v>
      </c>
      <c r="D1004" s="22">
        <f t="shared" si="61"/>
        <v>1317</v>
      </c>
      <c r="E1004" s="21" t="s">
        <v>5912</v>
      </c>
      <c r="F1004" s="23" t="str">
        <f t="shared" si="60"/>
        <v>insert into ins_premium_det (premium_rcv_code,assorted_code, rec_amount,premium_rcv_detail_code,remaining_amt, payrec, mode_code,coinsurance_code,class_cd,it_remarks) values</v>
      </c>
      <c r="G1004" s="24" t="str">
        <f t="shared" si="62"/>
        <v>('29Apr250042','050000782715','1317',(select max(to_number(i.premium_rcv_detail_code))+1
from ins_premium_det i),'1317','1317','02', '11000003','00','Request by Mr. Omair Ali 30-Apr-2025');</v>
      </c>
      <c r="H1004" s="25" t="str">
        <f t="shared" si="63"/>
        <v>insert into ins_premium_det (premium_rcv_code,assorted_code, rec_amount,premium_rcv_detail_code,remaining_amt, payrec, mode_code,coinsurance_code,class_cd,it_remarks) values('29Apr250042','050000782715','1317',(select max(to_number(i.premium_rcv_detail_code))+1
from ins_premium_det i),'1317','1317','02', '11000003','00','Request by Mr. Omair Ali 30-Apr-2025');</v>
      </c>
    </row>
    <row r="1005" spans="1:8" ht="105" x14ac:dyDescent="0.25">
      <c r="A1005" t="s">
        <v>750</v>
      </c>
      <c r="B1005" s="1" t="str">
        <f>VLOOKUP(A1005,Sheet5!B:C,2,0)</f>
        <v>050000782717</v>
      </c>
      <c r="C1005" s="13">
        <v>318</v>
      </c>
      <c r="D1005" s="22">
        <f t="shared" si="61"/>
        <v>318</v>
      </c>
      <c r="E1005" s="21" t="s">
        <v>5912</v>
      </c>
      <c r="F1005" s="23" t="str">
        <f t="shared" si="60"/>
        <v>insert into ins_premium_det (premium_rcv_code,assorted_code, rec_amount,premium_rcv_detail_code,remaining_amt, payrec, mode_code,coinsurance_code,class_cd,it_remarks) values</v>
      </c>
      <c r="G1005" s="24" t="str">
        <f t="shared" si="62"/>
        <v>('29Apr250042','050000782717','318',(select max(to_number(i.premium_rcv_detail_code))+1
from ins_premium_det i),'318','318','02', '11000003','00','Request by Mr. Omair Ali 30-Apr-2025');</v>
      </c>
      <c r="H1005" s="25" t="str">
        <f t="shared" si="63"/>
        <v>insert into ins_premium_det (premium_rcv_code,assorted_code, rec_amount,premium_rcv_detail_code,remaining_amt, payrec, mode_code,coinsurance_code,class_cd,it_remarks) values('29Apr250042','050000782717','318',(select max(to_number(i.premium_rcv_detail_code))+1
from ins_premium_det i),'318','318','02', '11000003','00','Request by Mr. Omair Ali 30-Apr-2025');</v>
      </c>
    </row>
    <row r="1006" spans="1:8" ht="105" x14ac:dyDescent="0.25">
      <c r="A1006" t="s">
        <v>879</v>
      </c>
      <c r="B1006" s="1" t="str">
        <f>VLOOKUP(A1006,Sheet5!B:C,2,0)</f>
        <v>050000782720</v>
      </c>
      <c r="C1006" s="13">
        <v>5436</v>
      </c>
      <c r="D1006" s="22">
        <f t="shared" si="61"/>
        <v>5436</v>
      </c>
      <c r="E1006" s="21" t="s">
        <v>5912</v>
      </c>
      <c r="F1006" s="23" t="str">
        <f t="shared" si="60"/>
        <v>insert into ins_premium_det (premium_rcv_code,assorted_code, rec_amount,premium_rcv_detail_code,remaining_amt, payrec, mode_code,coinsurance_code,class_cd,it_remarks) values</v>
      </c>
      <c r="G1006" s="24" t="str">
        <f t="shared" si="62"/>
        <v>('29Apr250042','050000782720','5436',(select max(to_number(i.premium_rcv_detail_code))+1
from ins_premium_det i),'5436','5436','02', '11000003','00','Request by Mr. Omair Ali 30-Apr-2025');</v>
      </c>
      <c r="H1006" s="25" t="str">
        <f t="shared" si="63"/>
        <v>insert into ins_premium_det (premium_rcv_code,assorted_code, rec_amount,premium_rcv_detail_code,remaining_amt, payrec, mode_code,coinsurance_code,class_cd,it_remarks) values('29Apr250042','050000782720','5436',(select max(to_number(i.premium_rcv_detail_code))+1
from ins_premium_det i),'5436','5436','02', '11000003','00','Request by Mr. Omair Ali 30-Apr-2025');</v>
      </c>
    </row>
    <row r="1007" spans="1:8" ht="105" x14ac:dyDescent="0.25">
      <c r="A1007" t="s">
        <v>1031</v>
      </c>
      <c r="B1007" s="1" t="str">
        <f>VLOOKUP(A1007,Sheet5!B:C,2,0)</f>
        <v>050000782723</v>
      </c>
      <c r="C1007" s="13">
        <v>1987</v>
      </c>
      <c r="D1007" s="22">
        <f t="shared" si="61"/>
        <v>1987</v>
      </c>
      <c r="E1007" s="21" t="s">
        <v>5912</v>
      </c>
      <c r="F1007" s="23" t="str">
        <f t="shared" si="60"/>
        <v>insert into ins_premium_det (premium_rcv_code,assorted_code, rec_amount,premium_rcv_detail_code,remaining_amt, payrec, mode_code,coinsurance_code,class_cd,it_remarks) values</v>
      </c>
      <c r="G1007" s="24" t="str">
        <f t="shared" si="62"/>
        <v>('29Apr250042','050000782723','1987',(select max(to_number(i.premium_rcv_detail_code))+1
from ins_premium_det i),'1987','1987','02', '11000003','00','Request by Mr. Omair Ali 30-Apr-2025');</v>
      </c>
      <c r="H1007" s="25" t="str">
        <f t="shared" si="63"/>
        <v>insert into ins_premium_det (premium_rcv_code,assorted_code, rec_amount,premium_rcv_detail_code,remaining_amt, payrec, mode_code,coinsurance_code,class_cd,it_remarks) values('29Apr250042','050000782723','1987',(select max(to_number(i.premium_rcv_detail_code))+1
from ins_premium_det i),'1987','1987','02', '11000003','00','Request by Mr. Omair Ali 30-Apr-2025');</v>
      </c>
    </row>
    <row r="1008" spans="1:8" ht="105" x14ac:dyDescent="0.25">
      <c r="A1008" t="s">
        <v>1086</v>
      </c>
      <c r="B1008" s="1" t="str">
        <f>VLOOKUP(A1008,Sheet5!B:C,2,0)</f>
        <v>050000782730</v>
      </c>
      <c r="C1008" s="13">
        <v>206</v>
      </c>
      <c r="D1008" s="22">
        <f t="shared" si="61"/>
        <v>206</v>
      </c>
      <c r="E1008" s="21" t="s">
        <v>5912</v>
      </c>
      <c r="F1008" s="23" t="str">
        <f t="shared" si="60"/>
        <v>insert into ins_premium_det (premium_rcv_code,assorted_code, rec_amount,premium_rcv_detail_code,remaining_amt, payrec, mode_code,coinsurance_code,class_cd,it_remarks) values</v>
      </c>
      <c r="G1008" s="24" t="str">
        <f t="shared" si="62"/>
        <v>('29Apr250042','050000782730','206',(select max(to_number(i.premium_rcv_detail_code))+1
from ins_premium_det i),'206','206','02', '11000003','00','Request by Mr. Omair Ali 30-Apr-2025');</v>
      </c>
      <c r="H1008" s="25" t="str">
        <f t="shared" si="63"/>
        <v>insert into ins_premium_det (premium_rcv_code,assorted_code, rec_amount,premium_rcv_detail_code,remaining_amt, payrec, mode_code,coinsurance_code,class_cd,it_remarks) values('29Apr250042','050000782730','206',(select max(to_number(i.premium_rcv_detail_code))+1
from ins_premium_det i),'206','206','02', '11000003','00','Request by Mr. Omair Ali 30-Apr-2025');</v>
      </c>
    </row>
    <row r="1009" spans="1:8" ht="105" x14ac:dyDescent="0.25">
      <c r="A1009" t="s">
        <v>1172</v>
      </c>
      <c r="B1009" s="1" t="str">
        <f>VLOOKUP(A1009,Sheet5!B:C,2,0)</f>
        <v>050000782734</v>
      </c>
      <c r="C1009" s="13">
        <v>7846</v>
      </c>
      <c r="D1009" s="22">
        <f t="shared" si="61"/>
        <v>7846</v>
      </c>
      <c r="E1009" s="21" t="s">
        <v>5912</v>
      </c>
      <c r="F1009" s="23" t="str">
        <f t="shared" si="60"/>
        <v>insert into ins_premium_det (premium_rcv_code,assorted_code, rec_amount,premium_rcv_detail_code,remaining_amt, payrec, mode_code,coinsurance_code,class_cd,it_remarks) values</v>
      </c>
      <c r="G1009" s="24" t="str">
        <f t="shared" si="62"/>
        <v>('29Apr250042','050000782734','7846',(select max(to_number(i.premium_rcv_detail_code))+1
from ins_premium_det i),'7846','7846','02', '11000003','00','Request by Mr. Omair Ali 30-Apr-2025');</v>
      </c>
      <c r="H1009" s="25" t="str">
        <f t="shared" si="63"/>
        <v>insert into ins_premium_det (premium_rcv_code,assorted_code, rec_amount,premium_rcv_detail_code,remaining_amt, payrec, mode_code,coinsurance_code,class_cd,it_remarks) values('29Apr250042','050000782734','7846',(select max(to_number(i.premium_rcv_detail_code))+1
from ins_premium_det i),'7846','7846','02', '11000003','00','Request by Mr. Omair Ali 30-Apr-2025');</v>
      </c>
    </row>
    <row r="1010" spans="1:8" ht="105" x14ac:dyDescent="0.25">
      <c r="A1010" t="s">
        <v>1185</v>
      </c>
      <c r="B1010" s="1" t="str">
        <f>VLOOKUP(A1010,Sheet5!B:C,2,0)</f>
        <v>050000782736</v>
      </c>
      <c r="C1010" s="13">
        <v>886</v>
      </c>
      <c r="D1010" s="22">
        <f t="shared" si="61"/>
        <v>886</v>
      </c>
      <c r="E1010" s="21" t="s">
        <v>5912</v>
      </c>
      <c r="F1010" s="23" t="str">
        <f t="shared" si="60"/>
        <v>insert into ins_premium_det (premium_rcv_code,assorted_code, rec_amount,premium_rcv_detail_code,remaining_amt, payrec, mode_code,coinsurance_code,class_cd,it_remarks) values</v>
      </c>
      <c r="G1010" s="24" t="str">
        <f t="shared" si="62"/>
        <v>('29Apr250042','050000782736','886',(select max(to_number(i.premium_rcv_detail_code))+1
from ins_premium_det i),'886','886','02', '11000003','00','Request by Mr. Omair Ali 30-Apr-2025');</v>
      </c>
      <c r="H1010" s="25" t="str">
        <f t="shared" si="63"/>
        <v>insert into ins_premium_det (premium_rcv_code,assorted_code, rec_amount,premium_rcv_detail_code,remaining_amt, payrec, mode_code,coinsurance_code,class_cd,it_remarks) values('29Apr250042','050000782736','886',(select max(to_number(i.premium_rcv_detail_code))+1
from ins_premium_det i),'886','886','02', '11000003','00','Request by Mr. Omair Ali 30-Apr-2025');</v>
      </c>
    </row>
    <row r="1011" spans="1:8" ht="105" x14ac:dyDescent="0.25">
      <c r="A1011" t="s">
        <v>1198</v>
      </c>
      <c r="B1011" s="1" t="str">
        <f>VLOOKUP(A1011,Sheet5!B:C,2,0)</f>
        <v>050000782738</v>
      </c>
      <c r="C1011" s="13">
        <v>3122</v>
      </c>
      <c r="D1011" s="22">
        <f t="shared" si="61"/>
        <v>3122</v>
      </c>
      <c r="E1011" s="21" t="s">
        <v>5912</v>
      </c>
      <c r="F1011" s="23" t="str">
        <f t="shared" si="60"/>
        <v>insert into ins_premium_det (premium_rcv_code,assorted_code, rec_amount,premium_rcv_detail_code,remaining_amt, payrec, mode_code,coinsurance_code,class_cd,it_remarks) values</v>
      </c>
      <c r="G1011" s="24" t="str">
        <f t="shared" si="62"/>
        <v>('29Apr250042','050000782738','3122',(select max(to_number(i.premium_rcv_detail_code))+1
from ins_premium_det i),'3122','3122','02', '11000003','00','Request by Mr. Omair Ali 30-Apr-2025');</v>
      </c>
      <c r="H1011" s="25" t="str">
        <f t="shared" si="63"/>
        <v>insert into ins_premium_det (premium_rcv_code,assorted_code, rec_amount,premium_rcv_detail_code,remaining_amt, payrec, mode_code,coinsurance_code,class_cd,it_remarks) values('29Apr250042','050000782738','3122',(select max(to_number(i.premium_rcv_detail_code))+1
from ins_premium_det i),'3122','3122','02', '11000003','00','Request by Mr. Omair Ali 30-Apr-2025');</v>
      </c>
    </row>
    <row r="1012" spans="1:8" ht="105" x14ac:dyDescent="0.25">
      <c r="A1012" t="s">
        <v>1531</v>
      </c>
      <c r="B1012" s="1" t="str">
        <f>VLOOKUP(A1012,Sheet5!B:C,2,0)</f>
        <v>050000782747</v>
      </c>
      <c r="C1012" s="13">
        <v>214</v>
      </c>
      <c r="D1012" s="22">
        <f t="shared" si="61"/>
        <v>214</v>
      </c>
      <c r="E1012" s="21" t="s">
        <v>5912</v>
      </c>
      <c r="F1012" s="23" t="str">
        <f t="shared" si="60"/>
        <v>insert into ins_premium_det (premium_rcv_code,assorted_code, rec_amount,premium_rcv_detail_code,remaining_amt, payrec, mode_code,coinsurance_code,class_cd,it_remarks) values</v>
      </c>
      <c r="G1012" s="24" t="str">
        <f t="shared" si="62"/>
        <v>('29Apr250042','050000782747','214',(select max(to_number(i.premium_rcv_detail_code))+1
from ins_premium_det i),'214','214','02', '11000003','00','Request by Mr. Omair Ali 30-Apr-2025');</v>
      </c>
      <c r="H1012" s="25" t="str">
        <f t="shared" si="63"/>
        <v>insert into ins_premium_det (premium_rcv_code,assorted_code, rec_amount,premium_rcv_detail_code,remaining_amt, payrec, mode_code,coinsurance_code,class_cd,it_remarks) values('29Apr250042','050000782747','214',(select max(to_number(i.premium_rcv_detail_code))+1
from ins_premium_det i),'214','214','02', '11000003','00','Request by Mr. Omair Ali 30-Apr-2025');</v>
      </c>
    </row>
    <row r="1013" spans="1:8" ht="105" x14ac:dyDescent="0.25">
      <c r="A1013" t="s">
        <v>1539</v>
      </c>
      <c r="B1013" s="1" t="str">
        <f>VLOOKUP(A1013,Sheet5!B:C,2,0)</f>
        <v>050000782748</v>
      </c>
      <c r="C1013" s="13">
        <v>3770</v>
      </c>
      <c r="D1013" s="22">
        <f t="shared" si="61"/>
        <v>3770</v>
      </c>
      <c r="E1013" s="21" t="s">
        <v>5912</v>
      </c>
      <c r="F1013" s="23" t="str">
        <f t="shared" si="60"/>
        <v>insert into ins_premium_det (premium_rcv_code,assorted_code, rec_amount,premium_rcv_detail_code,remaining_amt, payrec, mode_code,coinsurance_code,class_cd,it_remarks) values</v>
      </c>
      <c r="G1013" s="24" t="str">
        <f t="shared" si="62"/>
        <v>('29Apr250042','050000782748','3770',(select max(to_number(i.premium_rcv_detail_code))+1
from ins_premium_det i),'3770','3770','02', '11000003','00','Request by Mr. Omair Ali 30-Apr-2025');</v>
      </c>
      <c r="H1013" s="25" t="str">
        <f t="shared" si="63"/>
        <v>insert into ins_premium_det (premium_rcv_code,assorted_code, rec_amount,premium_rcv_detail_code,remaining_amt, payrec, mode_code,coinsurance_code,class_cd,it_remarks) values('29Apr250042','050000782748','3770',(select max(to_number(i.premium_rcv_detail_code))+1
from ins_premium_det i),'3770','3770','02', '11000003','00','Request by Mr. Omair Ali 30-Apr-2025');</v>
      </c>
    </row>
    <row r="1014" spans="1:8" ht="105" x14ac:dyDescent="0.25">
      <c r="A1014" t="s">
        <v>1611</v>
      </c>
      <c r="B1014" s="1" t="str">
        <f>VLOOKUP(A1014,Sheet5!B:C,2,0)</f>
        <v>050000782751</v>
      </c>
      <c r="C1014" s="13">
        <v>2545</v>
      </c>
      <c r="D1014" s="22">
        <f t="shared" si="61"/>
        <v>2545</v>
      </c>
      <c r="E1014" s="21" t="s">
        <v>5912</v>
      </c>
      <c r="F1014" s="23" t="str">
        <f t="shared" si="60"/>
        <v>insert into ins_premium_det (premium_rcv_code,assorted_code, rec_amount,premium_rcv_detail_code,remaining_amt, payrec, mode_code,coinsurance_code,class_cd,it_remarks) values</v>
      </c>
      <c r="G1014" s="24" t="str">
        <f t="shared" si="62"/>
        <v>('29Apr250042','050000782751','2545',(select max(to_number(i.premium_rcv_detail_code))+1
from ins_premium_det i),'2545','2545','02', '11000003','00','Request by Mr. Omair Ali 30-Apr-2025');</v>
      </c>
      <c r="H1014" s="25" t="str">
        <f t="shared" si="63"/>
        <v>insert into ins_premium_det (premium_rcv_code,assorted_code, rec_amount,premium_rcv_detail_code,remaining_amt, payrec, mode_code,coinsurance_code,class_cd,it_remarks) values('29Apr250042','050000782751','2545',(select max(to_number(i.premium_rcv_detail_code))+1
from ins_premium_det i),'2545','2545','02', '11000003','00','Request by Mr. Omair Ali 30-Apr-2025');</v>
      </c>
    </row>
    <row r="1015" spans="1:8" ht="105" x14ac:dyDescent="0.25">
      <c r="A1015" t="s">
        <v>1644</v>
      </c>
      <c r="B1015" s="1" t="str">
        <f>VLOOKUP(A1015,Sheet5!B:C,2,0)</f>
        <v>050000782752</v>
      </c>
      <c r="C1015" s="13">
        <v>2181</v>
      </c>
      <c r="D1015" s="22">
        <f t="shared" si="61"/>
        <v>2181</v>
      </c>
      <c r="E1015" s="21" t="s">
        <v>5912</v>
      </c>
      <c r="F1015" s="23" t="str">
        <f t="shared" si="60"/>
        <v>insert into ins_premium_det (premium_rcv_code,assorted_code, rec_amount,premium_rcv_detail_code,remaining_amt, payrec, mode_code,coinsurance_code,class_cd,it_remarks) values</v>
      </c>
      <c r="G1015" s="24" t="str">
        <f t="shared" si="62"/>
        <v>('29Apr250042','050000782752','2181',(select max(to_number(i.premium_rcv_detail_code))+1
from ins_premium_det i),'2181','2181','02', '11000003','00','Request by Mr. Omair Ali 30-Apr-2025');</v>
      </c>
      <c r="H1015" s="25" t="str">
        <f t="shared" si="63"/>
        <v>insert into ins_premium_det (premium_rcv_code,assorted_code, rec_amount,premium_rcv_detail_code,remaining_amt, payrec, mode_code,coinsurance_code,class_cd,it_remarks) values('29Apr250042','050000782752','2181',(select max(to_number(i.premium_rcv_detail_code))+1
from ins_premium_det i),'2181','2181','02', '11000003','00','Request by Mr. Omair Ali 30-Apr-2025');</v>
      </c>
    </row>
    <row r="1016" spans="1:8" ht="105" x14ac:dyDescent="0.25">
      <c r="A1016" t="s">
        <v>1854</v>
      </c>
      <c r="B1016" s="1" t="str">
        <f>VLOOKUP(A1016,Sheet5!B:C,2,0)</f>
        <v>050000782760</v>
      </c>
      <c r="C1016" s="13">
        <v>1939</v>
      </c>
      <c r="D1016" s="22">
        <f t="shared" si="61"/>
        <v>1939</v>
      </c>
      <c r="E1016" s="21" t="s">
        <v>5912</v>
      </c>
      <c r="F1016" s="23" t="str">
        <f t="shared" si="60"/>
        <v>insert into ins_premium_det (premium_rcv_code,assorted_code, rec_amount,premium_rcv_detail_code,remaining_amt, payrec, mode_code,coinsurance_code,class_cd,it_remarks) values</v>
      </c>
      <c r="G1016" s="24" t="str">
        <f t="shared" si="62"/>
        <v>('29Apr250042','050000782760','1939',(select max(to_number(i.premium_rcv_detail_code))+1
from ins_premium_det i),'1939','1939','02', '11000003','00','Request by Mr. Omair Ali 30-Apr-2025');</v>
      </c>
      <c r="H1016" s="25" t="str">
        <f t="shared" si="63"/>
        <v>insert into ins_premium_det (premium_rcv_code,assorted_code, rec_amount,premium_rcv_detail_code,remaining_amt, payrec, mode_code,coinsurance_code,class_cd,it_remarks) values('29Apr250042','050000782760','1939',(select max(to_number(i.premium_rcv_detail_code))+1
from ins_premium_det i),'1939','1939','02', '11000003','00','Request by Mr. Omair Ali 30-Apr-2025');</v>
      </c>
    </row>
    <row r="1017" spans="1:8" ht="105" x14ac:dyDescent="0.25">
      <c r="A1017" t="s">
        <v>1935</v>
      </c>
      <c r="B1017" s="1" t="str">
        <f>VLOOKUP(A1017,Sheet5!B:C,2,0)</f>
        <v>050000782766</v>
      </c>
      <c r="C1017" s="13">
        <v>721</v>
      </c>
      <c r="D1017" s="22">
        <f t="shared" si="61"/>
        <v>721</v>
      </c>
      <c r="E1017" s="21" t="s">
        <v>5912</v>
      </c>
      <c r="F1017" s="23" t="str">
        <f t="shared" si="60"/>
        <v>insert into ins_premium_det (premium_rcv_code,assorted_code, rec_amount,premium_rcv_detail_code,remaining_amt, payrec, mode_code,coinsurance_code,class_cd,it_remarks) values</v>
      </c>
      <c r="G1017" s="24" t="str">
        <f t="shared" si="62"/>
        <v>('29Apr250042','050000782766','721',(select max(to_number(i.premium_rcv_detail_code))+1
from ins_premium_det i),'721','721','02', '11000003','00','Request by Mr. Omair Ali 30-Apr-2025');</v>
      </c>
      <c r="H1017" s="25" t="str">
        <f t="shared" si="63"/>
        <v>insert into ins_premium_det (premium_rcv_code,assorted_code, rec_amount,premium_rcv_detail_code,remaining_amt, payrec, mode_code,coinsurance_code,class_cd,it_remarks) values('29Apr250042','050000782766','721',(select max(to_number(i.premium_rcv_detail_code))+1
from ins_premium_det i),'721','721','02', '11000003','00','Request by Mr. Omair Ali 30-Apr-2025');</v>
      </c>
    </row>
    <row r="1018" spans="1:8" ht="105" x14ac:dyDescent="0.25">
      <c r="A1018" t="s">
        <v>1044</v>
      </c>
      <c r="B1018" s="1" t="str">
        <f>VLOOKUP(A1018,Sheet5!B:C,2,0)</f>
        <v>050000786130</v>
      </c>
      <c r="C1018" s="13">
        <v>3502</v>
      </c>
      <c r="D1018" s="22">
        <f t="shared" si="61"/>
        <v>3502</v>
      </c>
      <c r="E1018" s="21" t="s">
        <v>5912</v>
      </c>
      <c r="F1018" s="23" t="str">
        <f t="shared" si="60"/>
        <v>insert into ins_premium_det (premium_rcv_code,assorted_code, rec_amount,premium_rcv_detail_code,remaining_amt, payrec, mode_code,coinsurance_code,class_cd,it_remarks) values</v>
      </c>
      <c r="G1018" s="24" t="str">
        <f t="shared" si="62"/>
        <v>('29Apr250042','050000786130','3502',(select max(to_number(i.premium_rcv_detail_code))+1
from ins_premium_det i),'3502','3502','02', '11000003','00','Request by Mr. Omair Ali 30-Apr-2025');</v>
      </c>
      <c r="H1018" s="25" t="str">
        <f t="shared" si="63"/>
        <v>insert into ins_premium_det (premium_rcv_code,assorted_code, rec_amount,premium_rcv_detail_code,remaining_amt, payrec, mode_code,coinsurance_code,class_cd,it_remarks) values('29Apr250042','050000786130','3502',(select max(to_number(i.premium_rcv_detail_code))+1
from ins_premium_det i),'3502','3502','02', '11000003','00','Request by Mr. Omair Ali 30-Apr-2025');</v>
      </c>
    </row>
    <row r="1019" spans="1:8" ht="105" x14ac:dyDescent="0.25">
      <c r="A1019" t="s">
        <v>1208</v>
      </c>
      <c r="B1019" s="1" t="str">
        <f>VLOOKUP(A1019,Sheet5!B:C,2,0)</f>
        <v>050000786133</v>
      </c>
      <c r="C1019" s="13">
        <v>2439</v>
      </c>
      <c r="D1019" s="22">
        <f t="shared" si="61"/>
        <v>2439</v>
      </c>
      <c r="E1019" s="21" t="s">
        <v>5912</v>
      </c>
      <c r="F1019" s="23" t="str">
        <f t="shared" si="60"/>
        <v>insert into ins_premium_det (premium_rcv_code,assorted_code, rec_amount,premium_rcv_detail_code,remaining_amt, payrec, mode_code,coinsurance_code,class_cd,it_remarks) values</v>
      </c>
      <c r="G1019" s="24" t="str">
        <f t="shared" si="62"/>
        <v>('29Apr250042','050000786133','2439',(select max(to_number(i.premium_rcv_detail_code))+1
from ins_premium_det i),'2439','2439','02', '11000003','00','Request by Mr. Omair Ali 30-Apr-2025');</v>
      </c>
      <c r="H1019" s="25" t="str">
        <f t="shared" si="63"/>
        <v>insert into ins_premium_det (premium_rcv_code,assorted_code, rec_amount,premium_rcv_detail_code,remaining_amt, payrec, mode_code,coinsurance_code,class_cd,it_remarks) values('29Apr250042','050000786133','2439',(select max(to_number(i.premium_rcv_detail_code))+1
from ins_premium_det i),'2439','2439','02', '11000003','00','Request by Mr. Omair Ali 30-Apr-2025');</v>
      </c>
    </row>
    <row r="1020" spans="1:8" ht="105" x14ac:dyDescent="0.25">
      <c r="A1020" t="s">
        <v>1622</v>
      </c>
      <c r="B1020" s="1" t="str">
        <f>VLOOKUP(A1020,Sheet5!B:C,2,0)</f>
        <v>050000786139</v>
      </c>
      <c r="C1020" s="13">
        <v>4023</v>
      </c>
      <c r="D1020" s="22">
        <f t="shared" si="61"/>
        <v>4023</v>
      </c>
      <c r="E1020" s="21" t="s">
        <v>5912</v>
      </c>
      <c r="F1020" s="23" t="str">
        <f t="shared" si="60"/>
        <v>insert into ins_premium_det (premium_rcv_code,assorted_code, rec_amount,premium_rcv_detail_code,remaining_amt, payrec, mode_code,coinsurance_code,class_cd,it_remarks) values</v>
      </c>
      <c r="G1020" s="24" t="str">
        <f t="shared" si="62"/>
        <v>('29Apr250042','050000786139','4023',(select max(to_number(i.premium_rcv_detail_code))+1
from ins_premium_det i),'4023','4023','02', '11000003','00','Request by Mr. Omair Ali 30-Apr-2025');</v>
      </c>
      <c r="H1020" s="25" t="str">
        <f t="shared" si="63"/>
        <v>insert into ins_premium_det (premium_rcv_code,assorted_code, rec_amount,premium_rcv_detail_code,remaining_amt, payrec, mode_code,coinsurance_code,class_cd,it_remarks) values('29Apr250042','050000786139','4023',(select max(to_number(i.premium_rcv_detail_code))+1
from ins_premium_det i),'4023','4023','02', '11000003','00','Request by Mr. Omair Ali 30-Apr-2025');</v>
      </c>
    </row>
    <row r="1021" spans="1:8" ht="105" x14ac:dyDescent="0.25">
      <c r="A1021" t="s">
        <v>1653</v>
      </c>
      <c r="B1021" s="1" t="str">
        <f>VLOOKUP(A1021,Sheet5!B:C,2,0)</f>
        <v>050000786143</v>
      </c>
      <c r="C1021" s="13">
        <v>1000</v>
      </c>
      <c r="D1021" s="22">
        <f t="shared" si="61"/>
        <v>1000</v>
      </c>
      <c r="E1021" s="21" t="s">
        <v>5912</v>
      </c>
      <c r="F1021" s="23" t="str">
        <f t="shared" si="60"/>
        <v>insert into ins_premium_det (premium_rcv_code,assorted_code, rec_amount,premium_rcv_detail_code,remaining_amt, payrec, mode_code,coinsurance_code,class_cd,it_remarks) values</v>
      </c>
      <c r="G1021" s="24" t="str">
        <f t="shared" si="62"/>
        <v>('29Apr250042','050000786143','1000',(select max(to_number(i.premium_rcv_detail_code))+1
from ins_premium_det i),'1000','1000','02', '11000003','00','Request by Mr. Omair Ali 30-Apr-2025');</v>
      </c>
      <c r="H1021" s="25" t="str">
        <f t="shared" si="63"/>
        <v>insert into ins_premium_det (premium_rcv_code,assorted_code, rec_amount,premium_rcv_detail_code,remaining_amt, payrec, mode_code,coinsurance_code,class_cd,it_remarks) values('29Apr250042','050000786143','1000',(select max(to_number(i.premium_rcv_detail_code))+1
from ins_premium_det i),'1000','1000','02', '11000003','00','Request by Mr. Omair Ali 30-Apr-2025');</v>
      </c>
    </row>
    <row r="1022" spans="1:8" ht="105" x14ac:dyDescent="0.25">
      <c r="A1022" t="s">
        <v>1803</v>
      </c>
      <c r="B1022" s="1" t="str">
        <f>VLOOKUP(A1022,Sheet5!B:C,2,0)</f>
        <v>050000786144</v>
      </c>
      <c r="C1022" s="13">
        <v>4860</v>
      </c>
      <c r="D1022" s="22">
        <f t="shared" si="61"/>
        <v>4860</v>
      </c>
      <c r="E1022" s="21" t="s">
        <v>5912</v>
      </c>
      <c r="F1022" s="23" t="str">
        <f t="shared" si="60"/>
        <v>insert into ins_premium_det (premium_rcv_code,assorted_code, rec_amount,premium_rcv_detail_code,remaining_amt, payrec, mode_code,coinsurance_code,class_cd,it_remarks) values</v>
      </c>
      <c r="G1022" s="24" t="str">
        <f t="shared" si="62"/>
        <v>('29Apr250042','050000786144','4860',(select max(to_number(i.premium_rcv_detail_code))+1
from ins_premium_det i),'4860','4860','02', '11000003','00','Request by Mr. Omair Ali 30-Apr-2025');</v>
      </c>
      <c r="H1022" s="25" t="str">
        <f t="shared" si="63"/>
        <v>insert into ins_premium_det (premium_rcv_code,assorted_code, rec_amount,premium_rcv_detail_code,remaining_amt, payrec, mode_code,coinsurance_code,class_cd,it_remarks) values('29Apr250042','050000786144','4860',(select max(to_number(i.premium_rcv_detail_code))+1
from ins_premium_det i),'4860','4860','02', '11000003','00','Request by Mr. Omair Ali 30-Apr-2025');</v>
      </c>
    </row>
    <row r="1023" spans="1:8" ht="105" x14ac:dyDescent="0.25">
      <c r="A1023" t="s">
        <v>1858</v>
      </c>
      <c r="B1023" s="1" t="str">
        <f>VLOOKUP(A1023,Sheet5!B:C,2,0)</f>
        <v>050000786147</v>
      </c>
      <c r="C1023" s="13">
        <v>3353</v>
      </c>
      <c r="D1023" s="22">
        <f t="shared" si="61"/>
        <v>3353</v>
      </c>
      <c r="E1023" s="21" t="s">
        <v>5912</v>
      </c>
      <c r="F1023" s="23" t="str">
        <f t="shared" si="60"/>
        <v>insert into ins_premium_det (premium_rcv_code,assorted_code, rec_amount,premium_rcv_detail_code,remaining_amt, payrec, mode_code,coinsurance_code,class_cd,it_remarks) values</v>
      </c>
      <c r="G1023" s="24" t="str">
        <f t="shared" si="62"/>
        <v>('29Apr250042','050000786147','3353',(select max(to_number(i.premium_rcv_detail_code))+1
from ins_premium_det i),'3353','3353','02', '11000003','00','Request by Mr. Omair Ali 30-Apr-2025');</v>
      </c>
      <c r="H1023" s="25" t="str">
        <f t="shared" si="63"/>
        <v>insert into ins_premium_det (premium_rcv_code,assorted_code, rec_amount,premium_rcv_detail_code,remaining_amt, payrec, mode_code,coinsurance_code,class_cd,it_remarks) values('29Apr250042','050000786147','3353',(select max(to_number(i.premium_rcv_detail_code))+1
from ins_premium_det i),'3353','3353','02', '11000003','00','Request by Mr. Omair Ali 30-Apr-2025');</v>
      </c>
    </row>
    <row r="1024" spans="1:8" ht="105" x14ac:dyDescent="0.25">
      <c r="A1024" t="s">
        <v>1859</v>
      </c>
      <c r="B1024" s="1" t="str">
        <f>VLOOKUP(A1024,Sheet5!B:C,2,0)</f>
        <v>050000786148</v>
      </c>
      <c r="C1024" s="13">
        <v>6938</v>
      </c>
      <c r="D1024" s="22">
        <f t="shared" si="61"/>
        <v>6938</v>
      </c>
      <c r="E1024" s="21" t="s">
        <v>5912</v>
      </c>
      <c r="F1024" s="23" t="str">
        <f t="shared" si="60"/>
        <v>insert into ins_premium_det (premium_rcv_code,assorted_code, rec_amount,premium_rcv_detail_code,remaining_amt, payrec, mode_code,coinsurance_code,class_cd,it_remarks) values</v>
      </c>
      <c r="G1024" s="24" t="str">
        <f t="shared" si="62"/>
        <v>('29Apr250042','050000786148','6938',(select max(to_number(i.premium_rcv_detail_code))+1
from ins_premium_det i),'6938','6938','02', '11000003','00','Request by Mr. Omair Ali 30-Apr-2025');</v>
      </c>
      <c r="H1024" s="25" t="str">
        <f t="shared" si="63"/>
        <v>insert into ins_premium_det (premium_rcv_code,assorted_code, rec_amount,premium_rcv_detail_code,remaining_amt, payrec, mode_code,coinsurance_code,class_cd,it_remarks) values('29Apr250042','050000786148','6938',(select max(to_number(i.premium_rcv_detail_code))+1
from ins_premium_det i),'6938','6938','02', '11000003','00','Request by Mr. Omair Ali 30-Apr-2025');</v>
      </c>
    </row>
    <row r="1025" spans="1:8" ht="105" x14ac:dyDescent="0.25">
      <c r="A1025" t="s">
        <v>1867</v>
      </c>
      <c r="B1025" s="1" t="str">
        <f>VLOOKUP(A1025,Sheet5!B:C,2,0)</f>
        <v>050000786150</v>
      </c>
      <c r="C1025" s="13">
        <v>4676</v>
      </c>
      <c r="D1025" s="22">
        <f t="shared" si="61"/>
        <v>4676</v>
      </c>
      <c r="E1025" s="21" t="s">
        <v>5912</v>
      </c>
      <c r="F1025" s="23" t="str">
        <f t="shared" si="60"/>
        <v>insert into ins_premium_det (premium_rcv_code,assorted_code, rec_amount,premium_rcv_detail_code,remaining_amt, payrec, mode_code,coinsurance_code,class_cd,it_remarks) values</v>
      </c>
      <c r="G1025" s="24" t="str">
        <f t="shared" si="62"/>
        <v>('29Apr250042','050000786150','4676',(select max(to_number(i.premium_rcv_detail_code))+1
from ins_premium_det i),'4676','4676','02', '11000003','00','Request by Mr. Omair Ali 30-Apr-2025');</v>
      </c>
      <c r="H1025" s="25" t="str">
        <f t="shared" si="63"/>
        <v>insert into ins_premium_det (premium_rcv_code,assorted_code, rec_amount,premium_rcv_detail_code,remaining_amt, payrec, mode_code,coinsurance_code,class_cd,it_remarks) values('29Apr250042','050000786150','4676',(select max(to_number(i.premium_rcv_detail_code))+1
from ins_premium_det i),'4676','4676','02', '11000003','00','Request by Mr. Omair Ali 30-Apr-2025');</v>
      </c>
    </row>
    <row r="1026" spans="1:8" ht="105" x14ac:dyDescent="0.25">
      <c r="A1026" t="s">
        <v>612</v>
      </c>
      <c r="B1026" s="1" t="str">
        <f>VLOOKUP(A1026,Sheet5!B:C,2,0)</f>
        <v>050000786380</v>
      </c>
      <c r="C1026" s="13">
        <v>2244</v>
      </c>
      <c r="D1026" s="22">
        <f t="shared" si="61"/>
        <v>2244</v>
      </c>
      <c r="E1026" s="21" t="s">
        <v>5912</v>
      </c>
      <c r="F1026" s="23" t="str">
        <f t="shared" ref="F1026:F1089" si="6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026" s="24" t="str">
        <f t="shared" si="62"/>
        <v>('29Apr250042','050000786380','2244',(select max(to_number(i.premium_rcv_detail_code))+1
from ins_premium_det i),'2244','2244','02', '11000003','00','Request by Mr. Omair Ali 30-Apr-2025');</v>
      </c>
      <c r="H1026" s="25" t="str">
        <f t="shared" si="63"/>
        <v>insert into ins_premium_det (premium_rcv_code,assorted_code, rec_amount,premium_rcv_detail_code,remaining_amt, payrec, mode_code,coinsurance_code,class_cd,it_remarks) values('29Apr250042','050000786380','2244',(select max(to_number(i.premium_rcv_detail_code))+1
from ins_premium_det i),'2244','2244','02', '11000003','00','Request by Mr. Omair Ali 30-Apr-2025');</v>
      </c>
    </row>
    <row r="1027" spans="1:8" ht="105" x14ac:dyDescent="0.25">
      <c r="A1027" t="s">
        <v>1554</v>
      </c>
      <c r="B1027" s="1" t="str">
        <f>VLOOKUP(A1027,Sheet5!B:C,2,0)</f>
        <v>050000786403</v>
      </c>
      <c r="C1027" s="13">
        <v>6318</v>
      </c>
      <c r="D1027" s="22">
        <f t="shared" ref="D1027:D1090" si="65">ROUND(C1027,0)</f>
        <v>6318</v>
      </c>
      <c r="E1027" s="21" t="s">
        <v>5912</v>
      </c>
      <c r="F1027" s="23" t="str">
        <f t="shared" si="64"/>
        <v>insert into ins_premium_det (premium_rcv_code,assorted_code, rec_amount,premium_rcv_detail_code,remaining_amt, payrec, mode_code,coinsurance_code,class_cd,it_remarks) values</v>
      </c>
      <c r="G1027" s="24" t="str">
        <f t="shared" ref="G1027:G1090" si="66">"('"&amp;E1027&amp;"','"&amp;B1027&amp;"','"&amp;D1027&amp;"',(select max(to_number(i.premium_rcv_detail_code))+1
from ins_premium_det i),'"&amp;D1027&amp;"','"&amp;D1027&amp;"','02', '11000003','00','Request by Mr. Omair Ali 30-Apr-2025');"</f>
        <v>('29Apr250042','050000786403','6318',(select max(to_number(i.premium_rcv_detail_code))+1
from ins_premium_det i),'6318','6318','02', '11000003','00','Request by Mr. Omair Ali 30-Apr-2025');</v>
      </c>
      <c r="H1027" s="25" t="str">
        <f t="shared" ref="H1027:H1090" si="67">F1027&amp;G1027</f>
        <v>insert into ins_premium_det (premium_rcv_code,assorted_code, rec_amount,premium_rcv_detail_code,remaining_amt, payrec, mode_code,coinsurance_code,class_cd,it_remarks) values('29Apr250042','050000786403','6318',(select max(to_number(i.premium_rcv_detail_code))+1
from ins_premium_det i),'6318','6318','02', '11000003','00','Request by Mr. Omair Ali 30-Apr-2025');</v>
      </c>
    </row>
    <row r="1028" spans="1:8" ht="105" x14ac:dyDescent="0.25">
      <c r="A1028" t="s">
        <v>1660</v>
      </c>
      <c r="B1028" s="1" t="str">
        <f>VLOOKUP(A1028,Sheet5!B:C,2,0)</f>
        <v>050000786407</v>
      </c>
      <c r="C1028" s="13">
        <v>1232</v>
      </c>
      <c r="D1028" s="22">
        <f t="shared" si="65"/>
        <v>1232</v>
      </c>
      <c r="E1028" s="21" t="s">
        <v>5912</v>
      </c>
      <c r="F1028" s="23" t="str">
        <f t="shared" si="64"/>
        <v>insert into ins_premium_det (premium_rcv_code,assorted_code, rec_amount,premium_rcv_detail_code,remaining_amt, payrec, mode_code,coinsurance_code,class_cd,it_remarks) values</v>
      </c>
      <c r="G1028" s="24" t="str">
        <f t="shared" si="66"/>
        <v>('29Apr250042','050000786407','1232',(select max(to_number(i.premium_rcv_detail_code))+1
from ins_premium_det i),'1232','1232','02', '11000003','00','Request by Mr. Omair Ali 30-Apr-2025');</v>
      </c>
      <c r="H1028" s="25" t="str">
        <f t="shared" si="67"/>
        <v>insert into ins_premium_det (premium_rcv_code,assorted_code, rec_amount,premium_rcv_detail_code,remaining_amt, payrec, mode_code,coinsurance_code,class_cd,it_remarks) values('29Apr250042','050000786407','1232',(select max(to_number(i.premium_rcv_detail_code))+1
from ins_premium_det i),'1232','1232','02', '11000003','00','Request by Mr. Omair Ali 30-Apr-2025');</v>
      </c>
    </row>
    <row r="1029" spans="1:8" ht="105" x14ac:dyDescent="0.25">
      <c r="A1029" t="s">
        <v>1667</v>
      </c>
      <c r="B1029" s="1" t="str">
        <f>VLOOKUP(A1029,Sheet5!B:C,2,0)</f>
        <v>050000786409</v>
      </c>
      <c r="C1029" s="13">
        <v>5784</v>
      </c>
      <c r="D1029" s="22">
        <f t="shared" si="65"/>
        <v>5784</v>
      </c>
      <c r="E1029" s="21" t="s">
        <v>5912</v>
      </c>
      <c r="F1029" s="23" t="str">
        <f t="shared" si="64"/>
        <v>insert into ins_premium_det (premium_rcv_code,assorted_code, rec_amount,premium_rcv_detail_code,remaining_amt, payrec, mode_code,coinsurance_code,class_cd,it_remarks) values</v>
      </c>
      <c r="G1029" s="24" t="str">
        <f t="shared" si="66"/>
        <v>('29Apr250042','050000786409','5784',(select max(to_number(i.premium_rcv_detail_code))+1
from ins_premium_det i),'5784','5784','02', '11000003','00','Request by Mr. Omair Ali 30-Apr-2025');</v>
      </c>
      <c r="H1029" s="25" t="str">
        <f t="shared" si="67"/>
        <v>insert into ins_premium_det (premium_rcv_code,assorted_code, rec_amount,premium_rcv_detail_code,remaining_amt, payrec, mode_code,coinsurance_code,class_cd,it_remarks) values('29Apr250042','050000786409','5784',(select max(to_number(i.premium_rcv_detail_code))+1
from ins_premium_det i),'5784','5784','02', '11000003','00','Request by Mr. Omair Ali 30-Apr-2025');</v>
      </c>
    </row>
    <row r="1030" spans="1:8" ht="105" x14ac:dyDescent="0.25">
      <c r="A1030" t="s">
        <v>1677</v>
      </c>
      <c r="B1030" s="1" t="str">
        <f>VLOOKUP(A1030,Sheet5!B:C,2,0)</f>
        <v>050000786410</v>
      </c>
      <c r="C1030" s="13">
        <v>1586</v>
      </c>
      <c r="D1030" s="22">
        <f t="shared" si="65"/>
        <v>1586</v>
      </c>
      <c r="E1030" s="21" t="s">
        <v>5912</v>
      </c>
      <c r="F1030" s="23" t="str">
        <f t="shared" si="64"/>
        <v>insert into ins_premium_det (premium_rcv_code,assorted_code, rec_amount,premium_rcv_detail_code,remaining_amt, payrec, mode_code,coinsurance_code,class_cd,it_remarks) values</v>
      </c>
      <c r="G1030" s="24" t="str">
        <f t="shared" si="66"/>
        <v>('29Apr250042','050000786410','1586',(select max(to_number(i.premium_rcv_detail_code))+1
from ins_premium_det i),'1586','1586','02', '11000003','00','Request by Mr. Omair Ali 30-Apr-2025');</v>
      </c>
      <c r="H1030" s="25" t="str">
        <f t="shared" si="67"/>
        <v>insert into ins_premium_det (premium_rcv_code,assorted_code, rec_amount,premium_rcv_detail_code,remaining_amt, payrec, mode_code,coinsurance_code,class_cd,it_remarks) values('29Apr250042','050000786410','1586',(select max(to_number(i.premium_rcv_detail_code))+1
from ins_premium_det i),'1586','1586','02', '11000003','00','Request by Mr. Omair Ali 30-Apr-2025');</v>
      </c>
    </row>
    <row r="1031" spans="1:8" ht="105" x14ac:dyDescent="0.25">
      <c r="A1031" t="s">
        <v>1809</v>
      </c>
      <c r="B1031" s="1" t="str">
        <f>VLOOKUP(A1031,Sheet5!B:C,2,0)</f>
        <v>050000786415</v>
      </c>
      <c r="C1031" s="13">
        <v>3950</v>
      </c>
      <c r="D1031" s="22">
        <f t="shared" si="65"/>
        <v>3950</v>
      </c>
      <c r="E1031" s="21" t="s">
        <v>5912</v>
      </c>
      <c r="F1031" s="23" t="str">
        <f t="shared" si="64"/>
        <v>insert into ins_premium_det (premium_rcv_code,assorted_code, rec_amount,premium_rcv_detail_code,remaining_amt, payrec, mode_code,coinsurance_code,class_cd,it_remarks) values</v>
      </c>
      <c r="G1031" s="24" t="str">
        <f t="shared" si="66"/>
        <v>('29Apr250042','050000786415','3950',(select max(to_number(i.premium_rcv_detail_code))+1
from ins_premium_det i),'3950','3950','02', '11000003','00','Request by Mr. Omair Ali 30-Apr-2025');</v>
      </c>
      <c r="H1031" s="25" t="str">
        <f t="shared" si="67"/>
        <v>insert into ins_premium_det (premium_rcv_code,assorted_code, rec_amount,premium_rcv_detail_code,remaining_amt, payrec, mode_code,coinsurance_code,class_cd,it_remarks) values('29Apr250042','050000786415','3950',(select max(to_number(i.premium_rcv_detail_code))+1
from ins_premium_det i),'3950','3950','02', '11000003','00','Request by Mr. Omair Ali 30-Apr-2025');</v>
      </c>
    </row>
    <row r="1032" spans="1:8" ht="105" x14ac:dyDescent="0.25">
      <c r="A1032" t="s">
        <v>1817</v>
      </c>
      <c r="B1032" s="1" t="str">
        <f>VLOOKUP(A1032,Sheet5!B:C,2,0)</f>
        <v>050000786416</v>
      </c>
      <c r="C1032" s="13">
        <v>820</v>
      </c>
      <c r="D1032" s="22">
        <f t="shared" si="65"/>
        <v>820</v>
      </c>
      <c r="E1032" s="21" t="s">
        <v>5912</v>
      </c>
      <c r="F1032" s="23" t="str">
        <f t="shared" si="64"/>
        <v>insert into ins_premium_det (premium_rcv_code,assorted_code, rec_amount,premium_rcv_detail_code,remaining_amt, payrec, mode_code,coinsurance_code,class_cd,it_remarks) values</v>
      </c>
      <c r="G1032" s="24" t="str">
        <f t="shared" si="66"/>
        <v>('29Apr250042','050000786416','820',(select max(to_number(i.premium_rcv_detail_code))+1
from ins_premium_det i),'820','820','02', '11000003','00','Request by Mr. Omair Ali 30-Apr-2025');</v>
      </c>
      <c r="H1032" s="25" t="str">
        <f t="shared" si="67"/>
        <v>insert into ins_premium_det (premium_rcv_code,assorted_code, rec_amount,premium_rcv_detail_code,remaining_amt, payrec, mode_code,coinsurance_code,class_cd,it_remarks) values('29Apr250042','050000786416','820',(select max(to_number(i.premium_rcv_detail_code))+1
from ins_premium_det i),'820','820','02', '11000003','00','Request by Mr. Omair Ali 30-Apr-2025');</v>
      </c>
    </row>
    <row r="1033" spans="1:8" ht="105" x14ac:dyDescent="0.25">
      <c r="A1033" t="s">
        <v>1878</v>
      </c>
      <c r="B1033" s="1" t="str">
        <f>VLOOKUP(A1033,Sheet5!B:C,2,0)</f>
        <v>050000786419</v>
      </c>
      <c r="C1033" s="13">
        <v>853</v>
      </c>
      <c r="D1033" s="22">
        <f t="shared" si="65"/>
        <v>853</v>
      </c>
      <c r="E1033" s="21" t="s">
        <v>5912</v>
      </c>
      <c r="F1033" s="23" t="str">
        <f t="shared" si="64"/>
        <v>insert into ins_premium_det (premium_rcv_code,assorted_code, rec_amount,premium_rcv_detail_code,remaining_amt, payrec, mode_code,coinsurance_code,class_cd,it_remarks) values</v>
      </c>
      <c r="G1033" s="24" t="str">
        <f t="shared" si="66"/>
        <v>('29Apr250042','050000786419','853',(select max(to_number(i.premium_rcv_detail_code))+1
from ins_premium_det i),'853','853','02', '11000003','00','Request by Mr. Omair Ali 30-Apr-2025');</v>
      </c>
      <c r="H1033" s="25" t="str">
        <f t="shared" si="67"/>
        <v>insert into ins_premium_det (premium_rcv_code,assorted_code, rec_amount,premium_rcv_detail_code,remaining_amt, payrec, mode_code,coinsurance_code,class_cd,it_remarks) values('29Apr250042','050000786419','853',(select max(to_number(i.premium_rcv_detail_code))+1
from ins_premium_det i),'853','853','02', '11000003','00','Request by Mr. Omair Ali 30-Apr-2025');</v>
      </c>
    </row>
    <row r="1034" spans="1:8" ht="105" x14ac:dyDescent="0.25">
      <c r="A1034" t="s">
        <v>1893</v>
      </c>
      <c r="B1034" s="1" t="str">
        <f>VLOOKUP(A1034,Sheet5!B:C,2,0)</f>
        <v>050000786424</v>
      </c>
      <c r="C1034" s="13">
        <v>939</v>
      </c>
      <c r="D1034" s="22">
        <f t="shared" si="65"/>
        <v>939</v>
      </c>
      <c r="E1034" s="21" t="s">
        <v>5912</v>
      </c>
      <c r="F1034" s="23" t="str">
        <f t="shared" si="64"/>
        <v>insert into ins_premium_det (premium_rcv_code,assorted_code, rec_amount,premium_rcv_detail_code,remaining_amt, payrec, mode_code,coinsurance_code,class_cd,it_remarks) values</v>
      </c>
      <c r="G1034" s="24" t="str">
        <f t="shared" si="66"/>
        <v>('29Apr250042','050000786424','939',(select max(to_number(i.premium_rcv_detail_code))+1
from ins_premium_det i),'939','939','02', '11000003','00','Request by Mr. Omair Ali 30-Apr-2025');</v>
      </c>
      <c r="H1034" s="25" t="str">
        <f t="shared" si="67"/>
        <v>insert into ins_premium_det (premium_rcv_code,assorted_code, rec_amount,premium_rcv_detail_code,remaining_amt, payrec, mode_code,coinsurance_code,class_cd,it_remarks) values('29Apr250042','050000786424','939',(select max(to_number(i.premium_rcv_detail_code))+1
from ins_premium_det i),'939','939','02', '11000003','00','Request by Mr. Omair Ali 30-Apr-2025');</v>
      </c>
    </row>
    <row r="1035" spans="1:8" ht="105" x14ac:dyDescent="0.25">
      <c r="A1035" t="s">
        <v>757</v>
      </c>
      <c r="B1035" s="1" t="str">
        <f>VLOOKUP(A1035,Sheet5!B:C,2,0)</f>
        <v>050000786718</v>
      </c>
      <c r="C1035" s="13">
        <v>2326</v>
      </c>
      <c r="D1035" s="22">
        <f t="shared" si="65"/>
        <v>2326</v>
      </c>
      <c r="E1035" s="21" t="s">
        <v>5912</v>
      </c>
      <c r="F1035" s="23" t="str">
        <f t="shared" si="64"/>
        <v>insert into ins_premium_det (premium_rcv_code,assorted_code, rec_amount,premium_rcv_detail_code,remaining_amt, payrec, mode_code,coinsurance_code,class_cd,it_remarks) values</v>
      </c>
      <c r="G1035" s="24" t="str">
        <f t="shared" si="66"/>
        <v>('29Apr250042','050000786718','2326',(select max(to_number(i.premium_rcv_detail_code))+1
from ins_premium_det i),'2326','2326','02', '11000003','00','Request by Mr. Omair Ali 30-Apr-2025');</v>
      </c>
      <c r="H1035" s="25" t="str">
        <f t="shared" si="67"/>
        <v>insert into ins_premium_det (premium_rcv_code,assorted_code, rec_amount,premium_rcv_detail_code,remaining_amt, payrec, mode_code,coinsurance_code,class_cd,it_remarks) values('29Apr250042','050000786718','2326',(select max(to_number(i.premium_rcv_detail_code))+1
from ins_premium_det i),'2326','2326','02', '11000003','00','Request by Mr. Omair Ali 30-Apr-2025');</v>
      </c>
    </row>
    <row r="1036" spans="1:8" ht="105" x14ac:dyDescent="0.25">
      <c r="A1036" t="s">
        <v>773</v>
      </c>
      <c r="B1036" s="1" t="str">
        <f>VLOOKUP(A1036,Sheet5!B:C,2,0)</f>
        <v>050000786723</v>
      </c>
      <c r="C1036" s="13">
        <v>950</v>
      </c>
      <c r="D1036" s="22">
        <f t="shared" si="65"/>
        <v>950</v>
      </c>
      <c r="E1036" s="21" t="s">
        <v>5912</v>
      </c>
      <c r="F1036" s="23" t="str">
        <f t="shared" si="64"/>
        <v>insert into ins_premium_det (premium_rcv_code,assorted_code, rec_amount,premium_rcv_detail_code,remaining_amt, payrec, mode_code,coinsurance_code,class_cd,it_remarks) values</v>
      </c>
      <c r="G1036" s="24" t="str">
        <f t="shared" si="66"/>
        <v>('29Apr250042','050000786723','950',(select max(to_number(i.premium_rcv_detail_code))+1
from ins_premium_det i),'950','950','02', '11000003','00','Request by Mr. Omair Ali 30-Apr-2025');</v>
      </c>
      <c r="H1036" s="25" t="str">
        <f t="shared" si="67"/>
        <v>insert into ins_premium_det (premium_rcv_code,assorted_code, rec_amount,premium_rcv_detail_code,remaining_amt, payrec, mode_code,coinsurance_code,class_cd,it_remarks) values('29Apr250042','050000786723','950',(select max(to_number(i.premium_rcv_detail_code))+1
from ins_premium_det i),'950','950','02', '11000003','00','Request by Mr. Omair Ali 30-Apr-2025');</v>
      </c>
    </row>
    <row r="1037" spans="1:8" ht="105" x14ac:dyDescent="0.25">
      <c r="A1037" t="s">
        <v>917</v>
      </c>
      <c r="B1037" s="1" t="str">
        <f>VLOOKUP(A1037,Sheet5!B:C,2,0)</f>
        <v>050000786727</v>
      </c>
      <c r="C1037" s="13">
        <v>1719</v>
      </c>
      <c r="D1037" s="22">
        <f t="shared" si="65"/>
        <v>1719</v>
      </c>
      <c r="E1037" s="21" t="s">
        <v>5912</v>
      </c>
      <c r="F1037" s="23" t="str">
        <f t="shared" si="64"/>
        <v>insert into ins_premium_det (premium_rcv_code,assorted_code, rec_amount,premium_rcv_detail_code,remaining_amt, payrec, mode_code,coinsurance_code,class_cd,it_remarks) values</v>
      </c>
      <c r="G1037" s="24" t="str">
        <f t="shared" si="66"/>
        <v>('29Apr250042','050000786727','1719',(select max(to_number(i.premium_rcv_detail_code))+1
from ins_premium_det i),'1719','1719','02', '11000003','00','Request by Mr. Omair Ali 30-Apr-2025');</v>
      </c>
      <c r="H1037" s="25" t="str">
        <f t="shared" si="67"/>
        <v>insert into ins_premium_det (premium_rcv_code,assorted_code, rec_amount,premium_rcv_detail_code,remaining_amt, payrec, mode_code,coinsurance_code,class_cd,it_remarks) values('29Apr250042','050000786727','1719',(select max(to_number(i.premium_rcv_detail_code))+1
from ins_premium_det i),'1719','1719','02', '11000003','00','Request by Mr. Omair Ali 30-Apr-2025');</v>
      </c>
    </row>
    <row r="1038" spans="1:8" ht="105" x14ac:dyDescent="0.25">
      <c r="A1038" t="s">
        <v>932</v>
      </c>
      <c r="B1038" s="1" t="str">
        <f>VLOOKUP(A1038,Sheet5!B:C,2,0)</f>
        <v>050000786728</v>
      </c>
      <c r="C1038" s="13">
        <v>4211</v>
      </c>
      <c r="D1038" s="22">
        <f t="shared" si="65"/>
        <v>4211</v>
      </c>
      <c r="E1038" s="21" t="s">
        <v>5912</v>
      </c>
      <c r="F1038" s="23" t="str">
        <f t="shared" si="64"/>
        <v>insert into ins_premium_det (premium_rcv_code,assorted_code, rec_amount,premium_rcv_detail_code,remaining_amt, payrec, mode_code,coinsurance_code,class_cd,it_remarks) values</v>
      </c>
      <c r="G1038" s="24" t="str">
        <f t="shared" si="66"/>
        <v>('29Apr250042','050000786728','4211',(select max(to_number(i.premium_rcv_detail_code))+1
from ins_premium_det i),'4211','4211','02', '11000003','00','Request by Mr. Omair Ali 30-Apr-2025');</v>
      </c>
      <c r="H1038" s="25" t="str">
        <f t="shared" si="67"/>
        <v>insert into ins_premium_det (premium_rcv_code,assorted_code, rec_amount,premium_rcv_detail_code,remaining_amt, payrec, mode_code,coinsurance_code,class_cd,it_remarks) values('29Apr250042','050000786728','4211',(select max(to_number(i.premium_rcv_detail_code))+1
from ins_premium_det i),'4211','4211','02', '11000003','00','Request by Mr. Omair Ali 30-Apr-2025');</v>
      </c>
    </row>
    <row r="1039" spans="1:8" ht="105" x14ac:dyDescent="0.25">
      <c r="A1039" t="s">
        <v>1094</v>
      </c>
      <c r="B1039" s="1" t="str">
        <f>VLOOKUP(A1039,Sheet5!B:C,2,0)</f>
        <v>050000786732</v>
      </c>
      <c r="C1039" s="13">
        <v>1965</v>
      </c>
      <c r="D1039" s="22">
        <f t="shared" si="65"/>
        <v>1965</v>
      </c>
      <c r="E1039" s="21" t="s">
        <v>5912</v>
      </c>
      <c r="F1039" s="23" t="str">
        <f t="shared" si="64"/>
        <v>insert into ins_premium_det (premium_rcv_code,assorted_code, rec_amount,premium_rcv_detail_code,remaining_amt, payrec, mode_code,coinsurance_code,class_cd,it_remarks) values</v>
      </c>
      <c r="G1039" s="24" t="str">
        <f t="shared" si="66"/>
        <v>('29Apr250042','050000786732','1965',(select max(to_number(i.premium_rcv_detail_code))+1
from ins_premium_det i),'1965','1965','02', '11000003','00','Request by Mr. Omair Ali 30-Apr-2025');</v>
      </c>
      <c r="H1039" s="25" t="str">
        <f t="shared" si="67"/>
        <v>insert into ins_premium_det (premium_rcv_code,assorted_code, rec_amount,premium_rcv_detail_code,remaining_amt, payrec, mode_code,coinsurance_code,class_cd,it_remarks) values('29Apr250042','050000786732','1965',(select max(to_number(i.premium_rcv_detail_code))+1
from ins_premium_det i),'1965','1965','02', '11000003','00','Request by Mr. Omair Ali 30-Apr-2025');</v>
      </c>
    </row>
    <row r="1040" spans="1:8" ht="105" x14ac:dyDescent="0.25">
      <c r="A1040" t="s">
        <v>1227</v>
      </c>
      <c r="B1040" s="1" t="str">
        <f>VLOOKUP(A1040,Sheet5!B:C,2,0)</f>
        <v>050000786736</v>
      </c>
      <c r="C1040" s="13">
        <v>3654</v>
      </c>
      <c r="D1040" s="22">
        <f t="shared" si="65"/>
        <v>3654</v>
      </c>
      <c r="E1040" s="21" t="s">
        <v>5912</v>
      </c>
      <c r="F1040" s="23" t="str">
        <f t="shared" si="64"/>
        <v>insert into ins_premium_det (premium_rcv_code,assorted_code, rec_amount,premium_rcv_detail_code,remaining_amt, payrec, mode_code,coinsurance_code,class_cd,it_remarks) values</v>
      </c>
      <c r="G1040" s="24" t="str">
        <f t="shared" si="66"/>
        <v>('29Apr250042','050000786736','3654',(select max(to_number(i.premium_rcv_detail_code))+1
from ins_premium_det i),'3654','3654','02', '11000003','00','Request by Mr. Omair Ali 30-Apr-2025');</v>
      </c>
      <c r="H1040" s="25" t="str">
        <f t="shared" si="67"/>
        <v>insert into ins_premium_det (premium_rcv_code,assorted_code, rec_amount,premium_rcv_detail_code,remaining_amt, payrec, mode_code,coinsurance_code,class_cd,it_remarks) values('29Apr250042','050000786736','3654',(select max(to_number(i.premium_rcv_detail_code))+1
from ins_premium_det i),'3654','3654','02', '11000003','00','Request by Mr. Omair Ali 30-Apr-2025');</v>
      </c>
    </row>
    <row r="1041" spans="1:8" ht="105" x14ac:dyDescent="0.25">
      <c r="A1041" t="s">
        <v>1239</v>
      </c>
      <c r="B1041" s="1" t="str">
        <f>VLOOKUP(A1041,Sheet5!B:C,2,0)</f>
        <v>050000786737</v>
      </c>
      <c r="C1041" s="13">
        <v>55</v>
      </c>
      <c r="D1041" s="22">
        <f t="shared" si="65"/>
        <v>55</v>
      </c>
      <c r="E1041" s="21" t="s">
        <v>5912</v>
      </c>
      <c r="F1041" s="23" t="str">
        <f t="shared" si="64"/>
        <v>insert into ins_premium_det (premium_rcv_code,assorted_code, rec_amount,premium_rcv_detail_code,remaining_amt, payrec, mode_code,coinsurance_code,class_cd,it_remarks) values</v>
      </c>
      <c r="G1041" s="24" t="str">
        <f t="shared" si="66"/>
        <v>('29Apr250042','050000786737','55',(select max(to_number(i.premium_rcv_detail_code))+1
from ins_premium_det i),'55','55','02', '11000003','00','Request by Mr. Omair Ali 30-Apr-2025');</v>
      </c>
      <c r="H1041" s="25" t="str">
        <f t="shared" si="67"/>
        <v>insert into ins_premium_det (premium_rcv_code,assorted_code, rec_amount,premium_rcv_detail_code,remaining_amt, payrec, mode_code,coinsurance_code,class_cd,it_remarks) values('29Apr250042','050000786737','55',(select max(to_number(i.premium_rcv_detail_code))+1
from ins_premium_det i),'55','55','02', '11000003','00','Request by Mr. Omair Ali 30-Apr-2025');</v>
      </c>
    </row>
    <row r="1042" spans="1:8" ht="105" x14ac:dyDescent="0.25">
      <c r="A1042" t="s">
        <v>1276</v>
      </c>
      <c r="B1042" s="1" t="str">
        <f>VLOOKUP(A1042,Sheet5!B:C,2,0)</f>
        <v>050000786742</v>
      </c>
      <c r="C1042" s="13">
        <v>1023</v>
      </c>
      <c r="D1042" s="22">
        <f t="shared" si="65"/>
        <v>1023</v>
      </c>
      <c r="E1042" s="21" t="s">
        <v>5912</v>
      </c>
      <c r="F1042" s="23" t="str">
        <f t="shared" si="64"/>
        <v>insert into ins_premium_det (premium_rcv_code,assorted_code, rec_amount,premium_rcv_detail_code,remaining_amt, payrec, mode_code,coinsurance_code,class_cd,it_remarks) values</v>
      </c>
      <c r="G1042" s="24" t="str">
        <f t="shared" si="66"/>
        <v>('29Apr250042','050000786742','1023',(select max(to_number(i.premium_rcv_detail_code))+1
from ins_premium_det i),'1023','1023','02', '11000003','00','Request by Mr. Omair Ali 30-Apr-2025');</v>
      </c>
      <c r="H1042" s="25" t="str">
        <f t="shared" si="67"/>
        <v>insert into ins_premium_det (premium_rcv_code,assorted_code, rec_amount,premium_rcv_detail_code,remaining_amt, payrec, mode_code,coinsurance_code,class_cd,it_remarks) values('29Apr250042','050000786742','1023',(select max(to_number(i.premium_rcv_detail_code))+1
from ins_premium_det i),'1023','1023','02', '11000003','00','Request by Mr. Omair Ali 30-Apr-2025');</v>
      </c>
    </row>
    <row r="1043" spans="1:8" ht="105" x14ac:dyDescent="0.25">
      <c r="A1043" t="s">
        <v>1283</v>
      </c>
      <c r="B1043" s="1" t="str">
        <f>VLOOKUP(A1043,Sheet5!B:C,2,0)</f>
        <v>050000786743</v>
      </c>
      <c r="C1043" s="13">
        <v>1523</v>
      </c>
      <c r="D1043" s="22">
        <f t="shared" si="65"/>
        <v>1523</v>
      </c>
      <c r="E1043" s="21" t="s">
        <v>5912</v>
      </c>
      <c r="F1043" s="23" t="str">
        <f t="shared" si="64"/>
        <v>insert into ins_premium_det (premium_rcv_code,assorted_code, rec_amount,premium_rcv_detail_code,remaining_amt, payrec, mode_code,coinsurance_code,class_cd,it_remarks) values</v>
      </c>
      <c r="G1043" s="24" t="str">
        <f t="shared" si="66"/>
        <v>('29Apr250042','050000786743','1523',(select max(to_number(i.premium_rcv_detail_code))+1
from ins_premium_det i),'1523','1523','02', '11000003','00','Request by Mr. Omair Ali 30-Apr-2025');</v>
      </c>
      <c r="H1043" s="25" t="str">
        <f t="shared" si="67"/>
        <v>insert into ins_premium_det (premium_rcv_code,assorted_code, rec_amount,premium_rcv_detail_code,remaining_amt, payrec, mode_code,coinsurance_code,class_cd,it_remarks) values('29Apr250042','050000786743','1523',(select max(to_number(i.premium_rcv_detail_code))+1
from ins_premium_det i),'1523','1523','02', '11000003','00','Request by Mr. Omair Ali 30-Apr-2025');</v>
      </c>
    </row>
    <row r="1044" spans="1:8" ht="105" x14ac:dyDescent="0.25">
      <c r="A1044" t="s">
        <v>1418</v>
      </c>
      <c r="B1044" s="1" t="str">
        <f>VLOOKUP(A1044,Sheet5!B:C,2,0)</f>
        <v>050000786748</v>
      </c>
      <c r="C1044" s="13">
        <v>4136</v>
      </c>
      <c r="D1044" s="22">
        <f t="shared" si="65"/>
        <v>4136</v>
      </c>
      <c r="E1044" s="21" t="s">
        <v>5912</v>
      </c>
      <c r="F1044" s="23" t="str">
        <f t="shared" si="64"/>
        <v>insert into ins_premium_det (premium_rcv_code,assorted_code, rec_amount,premium_rcv_detail_code,remaining_amt, payrec, mode_code,coinsurance_code,class_cd,it_remarks) values</v>
      </c>
      <c r="G1044" s="24" t="str">
        <f t="shared" si="66"/>
        <v>('29Apr250042','050000786748','4136',(select max(to_number(i.premium_rcv_detail_code))+1
from ins_premium_det i),'4136','4136','02', '11000003','00','Request by Mr. Omair Ali 30-Apr-2025');</v>
      </c>
      <c r="H1044" s="25" t="str">
        <f t="shared" si="67"/>
        <v>insert into ins_premium_det (premium_rcv_code,assorted_code, rec_amount,premium_rcv_detail_code,remaining_amt, payrec, mode_code,coinsurance_code,class_cd,it_remarks) values('29Apr250042','050000786748','4136',(select max(to_number(i.premium_rcv_detail_code))+1
from ins_premium_det i),'4136','4136','02', '11000003','00','Request by Mr. Omair Ali 30-Apr-2025');</v>
      </c>
    </row>
    <row r="1045" spans="1:8" ht="105" x14ac:dyDescent="0.25">
      <c r="A1045" t="s">
        <v>1729</v>
      </c>
      <c r="B1045" s="1" t="str">
        <f>VLOOKUP(A1045,Sheet5!B:C,2,0)</f>
        <v>050000786761</v>
      </c>
      <c r="C1045" s="13">
        <v>3579</v>
      </c>
      <c r="D1045" s="22">
        <f t="shared" si="65"/>
        <v>3579</v>
      </c>
      <c r="E1045" s="21" t="s">
        <v>5912</v>
      </c>
      <c r="F1045" s="23" t="str">
        <f t="shared" si="64"/>
        <v>insert into ins_premium_det (premium_rcv_code,assorted_code, rec_amount,premium_rcv_detail_code,remaining_amt, payrec, mode_code,coinsurance_code,class_cd,it_remarks) values</v>
      </c>
      <c r="G1045" s="24" t="str">
        <f t="shared" si="66"/>
        <v>('29Apr250042','050000786761','3579',(select max(to_number(i.premium_rcv_detail_code))+1
from ins_premium_det i),'3579','3579','02', '11000003','00','Request by Mr. Omair Ali 30-Apr-2025');</v>
      </c>
      <c r="H1045" s="25" t="str">
        <f t="shared" si="67"/>
        <v>insert into ins_premium_det (premium_rcv_code,assorted_code, rec_amount,premium_rcv_detail_code,remaining_amt, payrec, mode_code,coinsurance_code,class_cd,it_remarks) values('29Apr250042','050000786761','3579',(select max(to_number(i.premium_rcv_detail_code))+1
from ins_premium_det i),'3579','3579','02', '11000003','00','Request by Mr. Omair Ali 30-Apr-2025');</v>
      </c>
    </row>
    <row r="1046" spans="1:8" ht="105" x14ac:dyDescent="0.25">
      <c r="A1046" t="s">
        <v>1901</v>
      </c>
      <c r="B1046" s="1" t="str">
        <f>VLOOKUP(A1046,Sheet5!B:C,2,0)</f>
        <v>050000786767</v>
      </c>
      <c r="C1046" s="13">
        <v>445</v>
      </c>
      <c r="D1046" s="22">
        <f t="shared" si="65"/>
        <v>445</v>
      </c>
      <c r="E1046" s="21" t="s">
        <v>5912</v>
      </c>
      <c r="F1046" s="23" t="str">
        <f t="shared" si="64"/>
        <v>insert into ins_premium_det (premium_rcv_code,assorted_code, rec_amount,premium_rcv_detail_code,remaining_amt, payrec, mode_code,coinsurance_code,class_cd,it_remarks) values</v>
      </c>
      <c r="G1046" s="24" t="str">
        <f t="shared" si="66"/>
        <v>('29Apr250042','050000786767','445',(select max(to_number(i.premium_rcv_detail_code))+1
from ins_premium_det i),'445','445','02', '11000003','00','Request by Mr. Omair Ali 30-Apr-2025');</v>
      </c>
      <c r="H1046" s="25" t="str">
        <f t="shared" si="67"/>
        <v>insert into ins_premium_det (premium_rcv_code,assorted_code, rec_amount,premium_rcv_detail_code,remaining_amt, payrec, mode_code,coinsurance_code,class_cd,it_remarks) values('29Apr250042','050000786767','445',(select max(to_number(i.premium_rcv_detail_code))+1
from ins_premium_det i),'445','445','02', '11000003','00','Request by Mr. Omair Ali 30-Apr-2025');</v>
      </c>
    </row>
    <row r="1047" spans="1:8" ht="105" x14ac:dyDescent="0.25">
      <c r="A1047" t="s">
        <v>1954</v>
      </c>
      <c r="B1047" s="1" t="str">
        <f>VLOOKUP(A1047,Sheet5!B:C,2,0)</f>
        <v>050000786777</v>
      </c>
      <c r="C1047" s="13">
        <v>2138</v>
      </c>
      <c r="D1047" s="22">
        <f t="shared" si="65"/>
        <v>2138</v>
      </c>
      <c r="E1047" s="21" t="s">
        <v>5912</v>
      </c>
      <c r="F1047" s="23" t="str">
        <f t="shared" si="64"/>
        <v>insert into ins_premium_det (premium_rcv_code,assorted_code, rec_amount,premium_rcv_detail_code,remaining_amt, payrec, mode_code,coinsurance_code,class_cd,it_remarks) values</v>
      </c>
      <c r="G1047" s="24" t="str">
        <f t="shared" si="66"/>
        <v>('29Apr250042','050000786777','2138',(select max(to_number(i.premium_rcv_detail_code))+1
from ins_premium_det i),'2138','2138','02', '11000003','00','Request by Mr. Omair Ali 30-Apr-2025');</v>
      </c>
      <c r="H1047" s="25" t="str">
        <f t="shared" si="67"/>
        <v>insert into ins_premium_det (premium_rcv_code,assorted_code, rec_amount,premium_rcv_detail_code,remaining_amt, payrec, mode_code,coinsurance_code,class_cd,it_remarks) values('29Apr250042','050000786777','2138',(select max(to_number(i.premium_rcv_detail_code))+1
from ins_premium_det i),'2138','2138','02', '11000003','00','Request by Mr. Omair Ali 30-Apr-2025');</v>
      </c>
    </row>
    <row r="1048" spans="1:8" ht="105" x14ac:dyDescent="0.25">
      <c r="A1048" t="s">
        <v>781</v>
      </c>
      <c r="B1048" s="1" t="str">
        <f>VLOOKUP(A1048,Sheet5!B:C,2,0)</f>
        <v>050000787273</v>
      </c>
      <c r="C1048" s="13">
        <v>4334</v>
      </c>
      <c r="D1048" s="22">
        <f t="shared" si="65"/>
        <v>4334</v>
      </c>
      <c r="E1048" s="21" t="s">
        <v>5912</v>
      </c>
      <c r="F1048" s="23" t="str">
        <f t="shared" si="64"/>
        <v>insert into ins_premium_det (premium_rcv_code,assorted_code, rec_amount,premium_rcv_detail_code,remaining_amt, payrec, mode_code,coinsurance_code,class_cd,it_remarks) values</v>
      </c>
      <c r="G1048" s="24" t="str">
        <f t="shared" si="66"/>
        <v>('29Apr250042','050000787273','4334',(select max(to_number(i.premium_rcv_detail_code))+1
from ins_premium_det i),'4334','4334','02', '11000003','00','Request by Mr. Omair Ali 30-Apr-2025');</v>
      </c>
      <c r="H1048" s="25" t="str">
        <f t="shared" si="67"/>
        <v>insert into ins_premium_det (premium_rcv_code,assorted_code, rec_amount,premium_rcv_detail_code,remaining_amt, payrec, mode_code,coinsurance_code,class_cd,it_remarks) values('29Apr250042','050000787273','4334',(select max(to_number(i.premium_rcv_detail_code))+1
from ins_premium_det i),'4334','4334','02', '11000003','00','Request by Mr. Omair Ali 30-Apr-2025');</v>
      </c>
    </row>
    <row r="1049" spans="1:8" ht="105" x14ac:dyDescent="0.25">
      <c r="A1049" t="s">
        <v>794</v>
      </c>
      <c r="B1049" s="1" t="str">
        <f>VLOOKUP(A1049,Sheet5!B:C,2,0)</f>
        <v>050000787274</v>
      </c>
      <c r="C1049" s="13">
        <v>3268</v>
      </c>
      <c r="D1049" s="22">
        <f t="shared" si="65"/>
        <v>3268</v>
      </c>
      <c r="E1049" s="21" t="s">
        <v>5912</v>
      </c>
      <c r="F1049" s="23" t="str">
        <f t="shared" si="64"/>
        <v>insert into ins_premium_det (premium_rcv_code,assorted_code, rec_amount,premium_rcv_detail_code,remaining_amt, payrec, mode_code,coinsurance_code,class_cd,it_remarks) values</v>
      </c>
      <c r="G1049" s="24" t="str">
        <f t="shared" si="66"/>
        <v>('29Apr250042','050000787274','3268',(select max(to_number(i.premium_rcv_detail_code))+1
from ins_premium_det i),'3268','3268','02', '11000003','00','Request by Mr. Omair Ali 30-Apr-2025');</v>
      </c>
      <c r="H1049" s="25" t="str">
        <f t="shared" si="67"/>
        <v>insert into ins_premium_det (premium_rcv_code,assorted_code, rec_amount,premium_rcv_detail_code,remaining_amt, payrec, mode_code,coinsurance_code,class_cd,it_remarks) values('29Apr250042','050000787274','3268',(select max(to_number(i.premium_rcv_detail_code))+1
from ins_premium_det i),'3268','3268','02', '11000003','00','Request by Mr. Omair Ali 30-Apr-2025');</v>
      </c>
    </row>
    <row r="1050" spans="1:8" ht="105" x14ac:dyDescent="0.25">
      <c r="A1050" t="s">
        <v>1307</v>
      </c>
      <c r="B1050" s="1" t="str">
        <f>VLOOKUP(A1050,Sheet5!B:C,2,0)</f>
        <v>050000787277</v>
      </c>
      <c r="C1050" s="13">
        <v>4726</v>
      </c>
      <c r="D1050" s="22">
        <f t="shared" si="65"/>
        <v>4726</v>
      </c>
      <c r="E1050" s="21" t="s">
        <v>5912</v>
      </c>
      <c r="F1050" s="23" t="str">
        <f t="shared" si="64"/>
        <v>insert into ins_premium_det (premium_rcv_code,assorted_code, rec_amount,premium_rcv_detail_code,remaining_amt, payrec, mode_code,coinsurance_code,class_cd,it_remarks) values</v>
      </c>
      <c r="G1050" s="24" t="str">
        <f t="shared" si="66"/>
        <v>('29Apr250042','050000787277','4726',(select max(to_number(i.premium_rcv_detail_code))+1
from ins_premium_det i),'4726','4726','02', '11000003','00','Request by Mr. Omair Ali 30-Apr-2025');</v>
      </c>
      <c r="H1050" s="25" t="str">
        <f t="shared" si="67"/>
        <v>insert into ins_premium_det (premium_rcv_code,assorted_code, rec_amount,premium_rcv_detail_code,remaining_amt, payrec, mode_code,coinsurance_code,class_cd,it_remarks) values('29Apr250042','050000787277','4726',(select max(to_number(i.premium_rcv_detail_code))+1
from ins_premium_det i),'4726','4726','02', '11000003','00','Request by Mr. Omair Ali 30-Apr-2025');</v>
      </c>
    </row>
    <row r="1051" spans="1:8" ht="105" x14ac:dyDescent="0.25">
      <c r="A1051" t="s">
        <v>1426</v>
      </c>
      <c r="B1051" s="1" t="str">
        <f>VLOOKUP(A1051,Sheet5!B:C,2,0)</f>
        <v>050000787278</v>
      </c>
      <c r="C1051" s="13">
        <v>5288</v>
      </c>
      <c r="D1051" s="22">
        <f t="shared" si="65"/>
        <v>5288</v>
      </c>
      <c r="E1051" s="21" t="s">
        <v>5912</v>
      </c>
      <c r="F1051" s="23" t="str">
        <f t="shared" si="64"/>
        <v>insert into ins_premium_det (premium_rcv_code,assorted_code, rec_amount,premium_rcv_detail_code,remaining_amt, payrec, mode_code,coinsurance_code,class_cd,it_remarks) values</v>
      </c>
      <c r="G1051" s="24" t="str">
        <f t="shared" si="66"/>
        <v>('29Apr250042','050000787278','5288',(select max(to_number(i.premium_rcv_detail_code))+1
from ins_premium_det i),'5288','5288','02', '11000003','00','Request by Mr. Omair Ali 30-Apr-2025');</v>
      </c>
      <c r="H1051" s="25" t="str">
        <f t="shared" si="67"/>
        <v>insert into ins_premium_det (premium_rcv_code,assorted_code, rec_amount,premium_rcv_detail_code,remaining_amt, payrec, mode_code,coinsurance_code,class_cd,it_remarks) values('29Apr250042','050000787278','5288',(select max(to_number(i.premium_rcv_detail_code))+1
from ins_premium_det i),'5288','5288','02', '11000003','00','Request by Mr. Omair Ali 30-Apr-2025');</v>
      </c>
    </row>
    <row r="1052" spans="1:8" ht="105" x14ac:dyDescent="0.25">
      <c r="A1052" t="s">
        <v>1436</v>
      </c>
      <c r="B1052" s="1" t="str">
        <f>VLOOKUP(A1052,Sheet5!B:C,2,0)</f>
        <v>050000787279</v>
      </c>
      <c r="C1052" s="13">
        <v>3826</v>
      </c>
      <c r="D1052" s="22">
        <f t="shared" si="65"/>
        <v>3826</v>
      </c>
      <c r="E1052" s="21" t="s">
        <v>5912</v>
      </c>
      <c r="F1052" s="23" t="str">
        <f t="shared" si="64"/>
        <v>insert into ins_premium_det (premium_rcv_code,assorted_code, rec_amount,premium_rcv_detail_code,remaining_amt, payrec, mode_code,coinsurance_code,class_cd,it_remarks) values</v>
      </c>
      <c r="G1052" s="24" t="str">
        <f t="shared" si="66"/>
        <v>('29Apr250042','050000787279','3826',(select max(to_number(i.premium_rcv_detail_code))+1
from ins_premium_det i),'3826','3826','02', '11000003','00','Request by Mr. Omair Ali 30-Apr-2025');</v>
      </c>
      <c r="H1052" s="25" t="str">
        <f t="shared" si="67"/>
        <v>insert into ins_premium_det (premium_rcv_code,assorted_code, rec_amount,premium_rcv_detail_code,remaining_amt, payrec, mode_code,coinsurance_code,class_cd,it_remarks) values('29Apr250042','050000787279','3826',(select max(to_number(i.premium_rcv_detail_code))+1
from ins_premium_det i),'3826','3826','02', '11000003','00','Request by Mr. Omair Ali 30-Apr-2025');</v>
      </c>
    </row>
    <row r="1053" spans="1:8" ht="105" x14ac:dyDescent="0.25">
      <c r="A1053" t="s">
        <v>1689</v>
      </c>
      <c r="B1053" s="1" t="str">
        <f>VLOOKUP(A1053,Sheet5!B:C,2,0)</f>
        <v>050000787283</v>
      </c>
      <c r="C1053" s="13">
        <v>1350</v>
      </c>
      <c r="D1053" s="22">
        <f t="shared" si="65"/>
        <v>1350</v>
      </c>
      <c r="E1053" s="21" t="s">
        <v>5912</v>
      </c>
      <c r="F1053" s="23" t="str">
        <f t="shared" si="64"/>
        <v>insert into ins_premium_det (premium_rcv_code,assorted_code, rec_amount,premium_rcv_detail_code,remaining_amt, payrec, mode_code,coinsurance_code,class_cd,it_remarks) values</v>
      </c>
      <c r="G1053" s="24" t="str">
        <f t="shared" si="66"/>
        <v>('29Apr250042','050000787283','1350',(select max(to_number(i.premium_rcv_detail_code))+1
from ins_premium_det i),'1350','1350','02', '11000003','00','Request by Mr. Omair Ali 30-Apr-2025');</v>
      </c>
      <c r="H1053" s="25" t="str">
        <f t="shared" si="67"/>
        <v>insert into ins_premium_det (premium_rcv_code,assorted_code, rec_amount,premium_rcv_detail_code,remaining_amt, payrec, mode_code,coinsurance_code,class_cd,it_remarks) values('29Apr250042','050000787283','1350',(select max(to_number(i.premium_rcv_detail_code))+1
from ins_premium_det i),'1350','1350','02', '11000003','00','Request by Mr. Omair Ali 30-Apr-2025');</v>
      </c>
    </row>
    <row r="1054" spans="1:8" ht="105" x14ac:dyDescent="0.25">
      <c r="A1054" t="s">
        <v>604</v>
      </c>
      <c r="B1054" s="1" t="str">
        <f>VLOOKUP(A1054,Sheet5!B:C,2,0)</f>
        <v>050000788794</v>
      </c>
      <c r="C1054" s="13">
        <v>2349</v>
      </c>
      <c r="D1054" s="22">
        <f t="shared" si="65"/>
        <v>2349</v>
      </c>
      <c r="E1054" s="21" t="s">
        <v>5912</v>
      </c>
      <c r="F1054" s="23" t="str">
        <f t="shared" si="64"/>
        <v>insert into ins_premium_det (premium_rcv_code,assorted_code, rec_amount,premium_rcv_detail_code,remaining_amt, payrec, mode_code,coinsurance_code,class_cd,it_remarks) values</v>
      </c>
      <c r="G1054" s="24" t="str">
        <f t="shared" si="66"/>
        <v>('29Apr250042','050000788794','2349',(select max(to_number(i.premium_rcv_detail_code))+1
from ins_premium_det i),'2349','2349','02', '11000003','00','Request by Mr. Omair Ali 30-Apr-2025');</v>
      </c>
      <c r="H1054" s="25" t="str">
        <f t="shared" si="67"/>
        <v>insert into ins_premium_det (premium_rcv_code,assorted_code, rec_amount,premium_rcv_detail_code,remaining_amt, payrec, mode_code,coinsurance_code,class_cd,it_remarks) values('29Apr250042','050000788794','2349',(select max(to_number(i.premium_rcv_detail_code))+1
from ins_premium_det i),'2349','2349','02', '11000003','00','Request by Mr. Omair Ali 30-Apr-2025');</v>
      </c>
    </row>
    <row r="1055" spans="1:8" ht="105" x14ac:dyDescent="0.25">
      <c r="A1055" t="s">
        <v>973</v>
      </c>
      <c r="B1055" s="1" t="str">
        <f>VLOOKUP(A1055,Sheet5!B:C,2,0)</f>
        <v>050000788799</v>
      </c>
      <c r="C1055" s="13">
        <v>4125</v>
      </c>
      <c r="D1055" s="22">
        <f t="shared" si="65"/>
        <v>4125</v>
      </c>
      <c r="E1055" s="21" t="s">
        <v>5912</v>
      </c>
      <c r="F1055" s="23" t="str">
        <f t="shared" si="64"/>
        <v>insert into ins_premium_det (premium_rcv_code,assorted_code, rec_amount,premium_rcv_detail_code,remaining_amt, payrec, mode_code,coinsurance_code,class_cd,it_remarks) values</v>
      </c>
      <c r="G1055" s="24" t="str">
        <f t="shared" si="66"/>
        <v>('29Apr250042','050000788799','4125',(select max(to_number(i.premium_rcv_detail_code))+1
from ins_premium_det i),'4125','4125','02', '11000003','00','Request by Mr. Omair Ali 30-Apr-2025');</v>
      </c>
      <c r="H1055" s="25" t="str">
        <f t="shared" si="67"/>
        <v>insert into ins_premium_det (premium_rcv_code,assorted_code, rec_amount,premium_rcv_detail_code,remaining_amt, payrec, mode_code,coinsurance_code,class_cd,it_remarks) values('29Apr250042','050000788799','4125',(select max(to_number(i.premium_rcv_detail_code))+1
from ins_premium_det i),'4125','4125','02', '11000003','00','Request by Mr. Omair Ali 30-Apr-2025');</v>
      </c>
    </row>
    <row r="1056" spans="1:8" ht="105" x14ac:dyDescent="0.25">
      <c r="A1056" t="s">
        <v>1069</v>
      </c>
      <c r="B1056" s="1" t="str">
        <f>VLOOKUP(A1056,Sheet5!B:C,2,0)</f>
        <v>050000788801</v>
      </c>
      <c r="C1056" s="13">
        <v>6534</v>
      </c>
      <c r="D1056" s="22">
        <f t="shared" si="65"/>
        <v>6534</v>
      </c>
      <c r="E1056" s="21" t="s">
        <v>5912</v>
      </c>
      <c r="F1056" s="23" t="str">
        <f t="shared" si="64"/>
        <v>insert into ins_premium_det (premium_rcv_code,assorted_code, rec_amount,premium_rcv_detail_code,remaining_amt, payrec, mode_code,coinsurance_code,class_cd,it_remarks) values</v>
      </c>
      <c r="G1056" s="24" t="str">
        <f t="shared" si="66"/>
        <v>('29Apr250042','050000788801','6534',(select max(to_number(i.premium_rcv_detail_code))+1
from ins_premium_det i),'6534','6534','02', '11000003','00','Request by Mr. Omair Ali 30-Apr-2025');</v>
      </c>
      <c r="H1056" s="25" t="str">
        <f t="shared" si="67"/>
        <v>insert into ins_premium_det (premium_rcv_code,assorted_code, rec_amount,premium_rcv_detail_code,remaining_amt, payrec, mode_code,coinsurance_code,class_cd,it_remarks) values('29Apr250042','050000788801','6534',(select max(to_number(i.premium_rcv_detail_code))+1
from ins_premium_det i),'6534','6534','02', '11000003','00','Request by Mr. Omair Ali 30-Apr-2025');</v>
      </c>
    </row>
    <row r="1057" spans="1:8" ht="105" x14ac:dyDescent="0.25">
      <c r="A1057" t="s">
        <v>1295</v>
      </c>
      <c r="B1057" s="1" t="str">
        <f>VLOOKUP(A1057,Sheet5!B:C,2,0)</f>
        <v>050000788805</v>
      </c>
      <c r="C1057" s="13">
        <v>973</v>
      </c>
      <c r="D1057" s="22">
        <f t="shared" si="65"/>
        <v>973</v>
      </c>
      <c r="E1057" s="21" t="s">
        <v>5912</v>
      </c>
      <c r="F1057" s="23" t="str">
        <f t="shared" si="64"/>
        <v>insert into ins_premium_det (premium_rcv_code,assorted_code, rec_amount,premium_rcv_detail_code,remaining_amt, payrec, mode_code,coinsurance_code,class_cd,it_remarks) values</v>
      </c>
      <c r="G1057" s="24" t="str">
        <f t="shared" si="66"/>
        <v>('29Apr250042','050000788805','973',(select max(to_number(i.premium_rcv_detail_code))+1
from ins_premium_det i),'973','973','02', '11000003','00','Request by Mr. Omair Ali 30-Apr-2025');</v>
      </c>
      <c r="H1057" s="25" t="str">
        <f t="shared" si="67"/>
        <v>insert into ins_premium_det (premium_rcv_code,assorted_code, rec_amount,premium_rcv_detail_code,remaining_amt, payrec, mode_code,coinsurance_code,class_cd,it_remarks) values('29Apr250042','050000788805','973',(select max(to_number(i.premium_rcv_detail_code))+1
from ins_premium_det i),'973','973','02', '11000003','00','Request by Mr. Omair Ali 30-Apr-2025');</v>
      </c>
    </row>
    <row r="1058" spans="1:8" ht="105" x14ac:dyDescent="0.25">
      <c r="A1058" t="s">
        <v>1461</v>
      </c>
      <c r="B1058" s="1" t="str">
        <f>VLOOKUP(A1058,Sheet5!B:C,2,0)</f>
        <v>050000788811</v>
      </c>
      <c r="C1058" s="13">
        <v>3466</v>
      </c>
      <c r="D1058" s="22">
        <f t="shared" si="65"/>
        <v>3466</v>
      </c>
      <c r="E1058" s="21" t="s">
        <v>5912</v>
      </c>
      <c r="F1058" s="23" t="str">
        <f t="shared" si="64"/>
        <v>insert into ins_premium_det (premium_rcv_code,assorted_code, rec_amount,premium_rcv_detail_code,remaining_amt, payrec, mode_code,coinsurance_code,class_cd,it_remarks) values</v>
      </c>
      <c r="G1058" s="24" t="str">
        <f t="shared" si="66"/>
        <v>('29Apr250042','050000788811','3466',(select max(to_number(i.premium_rcv_detail_code))+1
from ins_premium_det i),'3466','3466','02', '11000003','00','Request by Mr. Omair Ali 30-Apr-2025');</v>
      </c>
      <c r="H1058" s="25" t="str">
        <f t="shared" si="67"/>
        <v>insert into ins_premium_det (premium_rcv_code,assorted_code, rec_amount,premium_rcv_detail_code,remaining_amt, payrec, mode_code,coinsurance_code,class_cd,it_remarks) values('29Apr250042','050000788811','3466',(select max(to_number(i.premium_rcv_detail_code))+1
from ins_premium_det i),'3466','3466','02', '11000003','00','Request by Mr. Omair Ali 30-Apr-2025');</v>
      </c>
    </row>
    <row r="1059" spans="1:8" ht="105" x14ac:dyDescent="0.25">
      <c r="A1059" t="s">
        <v>1710</v>
      </c>
      <c r="B1059" s="1" t="str">
        <f>VLOOKUP(A1059,Sheet5!B:C,2,0)</f>
        <v>050000788815</v>
      </c>
      <c r="C1059" s="13">
        <v>4902</v>
      </c>
      <c r="D1059" s="22">
        <f t="shared" si="65"/>
        <v>4902</v>
      </c>
      <c r="E1059" s="21" t="s">
        <v>5912</v>
      </c>
      <c r="F1059" s="23" t="str">
        <f t="shared" si="64"/>
        <v>insert into ins_premium_det (premium_rcv_code,assorted_code, rec_amount,premium_rcv_detail_code,remaining_amt, payrec, mode_code,coinsurance_code,class_cd,it_remarks) values</v>
      </c>
      <c r="G1059" s="24" t="str">
        <f t="shared" si="66"/>
        <v>('29Apr250042','050000788815','4902',(select max(to_number(i.premium_rcv_detail_code))+1
from ins_premium_det i),'4902','4902','02', '11000003','00','Request by Mr. Omair Ali 30-Apr-2025');</v>
      </c>
      <c r="H1059" s="25" t="str">
        <f t="shared" si="67"/>
        <v>insert into ins_premium_det (premium_rcv_code,assorted_code, rec_amount,premium_rcv_detail_code,remaining_amt, payrec, mode_code,coinsurance_code,class_cd,it_remarks) values('29Apr250042','050000788815','4902',(select max(to_number(i.premium_rcv_detail_code))+1
from ins_premium_det i),'4902','4902','02', '11000003','00','Request by Mr. Omair Ali 30-Apr-2025');</v>
      </c>
    </row>
    <row r="1060" spans="1:8" ht="105" x14ac:dyDescent="0.25">
      <c r="A1060" t="s">
        <v>593</v>
      </c>
      <c r="B1060" s="1" t="str">
        <f>VLOOKUP(A1060,Sheet5!B:C,2,0)</f>
        <v>050000788832</v>
      </c>
      <c r="C1060" s="13">
        <v>2585</v>
      </c>
      <c r="D1060" s="22">
        <f t="shared" si="65"/>
        <v>2585</v>
      </c>
      <c r="E1060" s="21" t="s">
        <v>5912</v>
      </c>
      <c r="F1060" s="23" t="str">
        <f t="shared" si="64"/>
        <v>insert into ins_premium_det (premium_rcv_code,assorted_code, rec_amount,premium_rcv_detail_code,remaining_amt, payrec, mode_code,coinsurance_code,class_cd,it_remarks) values</v>
      </c>
      <c r="G1060" s="24" t="str">
        <f t="shared" si="66"/>
        <v>('29Apr250042','050000788832','2585',(select max(to_number(i.premium_rcv_detail_code))+1
from ins_premium_det i),'2585','2585','02', '11000003','00','Request by Mr. Omair Ali 30-Apr-2025');</v>
      </c>
      <c r="H1060" s="25" t="str">
        <f t="shared" si="67"/>
        <v>insert into ins_premium_det (premium_rcv_code,assorted_code, rec_amount,premium_rcv_detail_code,remaining_amt, payrec, mode_code,coinsurance_code,class_cd,it_remarks) values('29Apr250042','050000788832','2585',(select max(to_number(i.premium_rcv_detail_code))+1
from ins_premium_det i),'2585','2585','02', '11000003','00','Request by Mr. Omair Ali 30-Apr-2025');</v>
      </c>
    </row>
    <row r="1061" spans="1:8" ht="105" x14ac:dyDescent="0.25">
      <c r="A1061" t="s">
        <v>620</v>
      </c>
      <c r="B1061" s="1" t="str">
        <f>VLOOKUP(A1061,Sheet5!B:C,2,0)</f>
        <v>050000789529</v>
      </c>
      <c r="C1061" s="13">
        <v>2901</v>
      </c>
      <c r="D1061" s="22">
        <f t="shared" si="65"/>
        <v>2901</v>
      </c>
      <c r="E1061" s="21" t="s">
        <v>5912</v>
      </c>
      <c r="F1061" s="23" t="str">
        <f t="shared" si="64"/>
        <v>insert into ins_premium_det (premium_rcv_code,assorted_code, rec_amount,premium_rcv_detail_code,remaining_amt, payrec, mode_code,coinsurance_code,class_cd,it_remarks) values</v>
      </c>
      <c r="G1061" s="24" t="str">
        <f t="shared" si="66"/>
        <v>('29Apr250042','050000789529','2901',(select max(to_number(i.premium_rcv_detail_code))+1
from ins_premium_det i),'2901','2901','02', '11000003','00','Request by Mr. Omair Ali 30-Apr-2025');</v>
      </c>
      <c r="H1061" s="25" t="str">
        <f t="shared" si="67"/>
        <v>insert into ins_premium_det (premium_rcv_code,assorted_code, rec_amount,premium_rcv_detail_code,remaining_amt, payrec, mode_code,coinsurance_code,class_cd,it_remarks) values('29Apr250042','050000789529','2901',(select max(to_number(i.premium_rcv_detail_code))+1
from ins_premium_det i),'2901','2901','02', '11000003','00','Request by Mr. Omair Ali 30-Apr-2025');</v>
      </c>
    </row>
    <row r="1062" spans="1:8" ht="105" x14ac:dyDescent="0.25">
      <c r="A1062" t="s">
        <v>623</v>
      </c>
      <c r="B1062" s="1" t="str">
        <f>VLOOKUP(A1062,Sheet5!B:C,2,0)</f>
        <v>050000789531</v>
      </c>
      <c r="C1062" s="13">
        <v>400</v>
      </c>
      <c r="D1062" s="22">
        <f t="shared" si="65"/>
        <v>400</v>
      </c>
      <c r="E1062" s="21" t="s">
        <v>5912</v>
      </c>
      <c r="F1062" s="23" t="str">
        <f t="shared" si="64"/>
        <v>insert into ins_premium_det (premium_rcv_code,assorted_code, rec_amount,premium_rcv_detail_code,remaining_amt, payrec, mode_code,coinsurance_code,class_cd,it_remarks) values</v>
      </c>
      <c r="G1062" s="24" t="str">
        <f t="shared" si="66"/>
        <v>('29Apr250042','050000789531','400',(select max(to_number(i.premium_rcv_detail_code))+1
from ins_premium_det i),'400','400','02', '11000003','00','Request by Mr. Omair Ali 30-Apr-2025');</v>
      </c>
      <c r="H1062" s="25" t="str">
        <f t="shared" si="67"/>
        <v>insert into ins_premium_det (premium_rcv_code,assorted_code, rec_amount,premium_rcv_detail_code,remaining_amt, payrec, mode_code,coinsurance_code,class_cd,it_remarks) values('29Apr250042','050000789531','400',(select max(to_number(i.premium_rcv_detail_code))+1
from ins_premium_det i),'400','400','02', '11000003','00','Request by Mr. Omair Ali 30-Apr-2025');</v>
      </c>
    </row>
    <row r="1063" spans="1:8" ht="105" x14ac:dyDescent="0.25">
      <c r="A1063" t="s">
        <v>652</v>
      </c>
      <c r="B1063" s="1" t="str">
        <f>VLOOKUP(A1063,Sheet5!B:C,2,0)</f>
        <v>050000789533</v>
      </c>
      <c r="C1063" s="13">
        <v>653</v>
      </c>
      <c r="D1063" s="22">
        <f t="shared" si="65"/>
        <v>653</v>
      </c>
      <c r="E1063" s="21" t="s">
        <v>5912</v>
      </c>
      <c r="F1063" s="23" t="str">
        <f t="shared" si="64"/>
        <v>insert into ins_premium_det (premium_rcv_code,assorted_code, rec_amount,premium_rcv_detail_code,remaining_amt, payrec, mode_code,coinsurance_code,class_cd,it_remarks) values</v>
      </c>
      <c r="G1063" s="24" t="str">
        <f t="shared" si="66"/>
        <v>('29Apr250042','050000789533','653',(select max(to_number(i.premium_rcv_detail_code))+1
from ins_premium_det i),'653','653','02', '11000003','00','Request by Mr. Omair Ali 30-Apr-2025');</v>
      </c>
      <c r="H1063" s="25" t="str">
        <f t="shared" si="67"/>
        <v>insert into ins_premium_det (premium_rcv_code,assorted_code, rec_amount,premium_rcv_detail_code,remaining_amt, payrec, mode_code,coinsurance_code,class_cd,it_remarks) values('29Apr250042','050000789533','653',(select max(to_number(i.premium_rcv_detail_code))+1
from ins_premium_det i),'653','653','02', '11000003','00','Request by Mr. Omair Ali 30-Apr-2025');</v>
      </c>
    </row>
    <row r="1064" spans="1:8" ht="105" x14ac:dyDescent="0.25">
      <c r="A1064" t="s">
        <v>826</v>
      </c>
      <c r="B1064" s="1" t="str">
        <f>VLOOKUP(A1064,Sheet5!B:C,2,0)</f>
        <v>050000789539</v>
      </c>
      <c r="C1064" s="13">
        <v>2049</v>
      </c>
      <c r="D1064" s="22">
        <f t="shared" si="65"/>
        <v>2049</v>
      </c>
      <c r="E1064" s="21" t="s">
        <v>5912</v>
      </c>
      <c r="F1064" s="23" t="str">
        <f t="shared" si="64"/>
        <v>insert into ins_premium_det (premium_rcv_code,assorted_code, rec_amount,premium_rcv_detail_code,remaining_amt, payrec, mode_code,coinsurance_code,class_cd,it_remarks) values</v>
      </c>
      <c r="G1064" s="24" t="str">
        <f t="shared" si="66"/>
        <v>('29Apr250042','050000789539','2049',(select max(to_number(i.premium_rcv_detail_code))+1
from ins_premium_det i),'2049','2049','02', '11000003','00','Request by Mr. Omair Ali 30-Apr-2025');</v>
      </c>
      <c r="H1064" s="25" t="str">
        <f t="shared" si="67"/>
        <v>insert into ins_premium_det (premium_rcv_code,assorted_code, rec_amount,premium_rcv_detail_code,remaining_amt, payrec, mode_code,coinsurance_code,class_cd,it_remarks) values('29Apr250042','050000789539','2049',(select max(to_number(i.premium_rcv_detail_code))+1
from ins_premium_det i),'2049','2049','02', '11000003','00','Request by Mr. Omair Ali 30-Apr-2025');</v>
      </c>
    </row>
    <row r="1065" spans="1:8" ht="105" x14ac:dyDescent="0.25">
      <c r="A1065" t="s">
        <v>945</v>
      </c>
      <c r="B1065" s="1" t="str">
        <f>VLOOKUP(A1065,Sheet5!B:C,2,0)</f>
        <v>050000789542</v>
      </c>
      <c r="C1065" s="13">
        <v>1975</v>
      </c>
      <c r="D1065" s="22">
        <f t="shared" si="65"/>
        <v>1975</v>
      </c>
      <c r="E1065" s="21" t="s">
        <v>5912</v>
      </c>
      <c r="F1065" s="23" t="str">
        <f t="shared" si="64"/>
        <v>insert into ins_premium_det (premium_rcv_code,assorted_code, rec_amount,premium_rcv_detail_code,remaining_amt, payrec, mode_code,coinsurance_code,class_cd,it_remarks) values</v>
      </c>
      <c r="G1065" s="24" t="str">
        <f t="shared" si="66"/>
        <v>('29Apr250042','050000789542','1975',(select max(to_number(i.premium_rcv_detail_code))+1
from ins_premium_det i),'1975','1975','02', '11000003','00','Request by Mr. Omair Ali 30-Apr-2025');</v>
      </c>
      <c r="H1065" s="25" t="str">
        <f t="shared" si="67"/>
        <v>insert into ins_premium_det (premium_rcv_code,assorted_code, rec_amount,premium_rcv_detail_code,remaining_amt, payrec, mode_code,coinsurance_code,class_cd,it_remarks) values('29Apr250042','050000789542','1975',(select max(to_number(i.premium_rcv_detail_code))+1
from ins_premium_det i),'1975','1975','02', '11000003','00','Request by Mr. Omair Ali 30-Apr-2025');</v>
      </c>
    </row>
    <row r="1066" spans="1:8" ht="105" x14ac:dyDescent="0.25">
      <c r="A1066" t="s">
        <v>1080</v>
      </c>
      <c r="B1066" s="1" t="str">
        <f>VLOOKUP(A1066,Sheet5!B:C,2,0)</f>
        <v>050000789544</v>
      </c>
      <c r="C1066" s="13">
        <v>4653</v>
      </c>
      <c r="D1066" s="22">
        <f t="shared" si="65"/>
        <v>4653</v>
      </c>
      <c r="E1066" s="21" t="s">
        <v>5912</v>
      </c>
      <c r="F1066" s="23" t="str">
        <f t="shared" si="64"/>
        <v>insert into ins_premium_det (premium_rcv_code,assorted_code, rec_amount,premium_rcv_detail_code,remaining_amt, payrec, mode_code,coinsurance_code,class_cd,it_remarks) values</v>
      </c>
      <c r="G1066" s="24" t="str">
        <f t="shared" si="66"/>
        <v>('29Apr250042','050000789544','4653',(select max(to_number(i.premium_rcv_detail_code))+1
from ins_premium_det i),'4653','4653','02', '11000003','00','Request by Mr. Omair Ali 30-Apr-2025');</v>
      </c>
      <c r="H1066" s="25" t="str">
        <f t="shared" si="67"/>
        <v>insert into ins_premium_det (premium_rcv_code,assorted_code, rec_amount,premium_rcv_detail_code,remaining_amt, payrec, mode_code,coinsurance_code,class_cd,it_remarks) values('29Apr250042','050000789544','4653',(select max(to_number(i.premium_rcv_detail_code))+1
from ins_premium_det i),'4653','4653','02', '11000003','00','Request by Mr. Omair Ali 30-Apr-2025');</v>
      </c>
    </row>
    <row r="1067" spans="1:8" ht="105" x14ac:dyDescent="0.25">
      <c r="A1067" t="s">
        <v>1471</v>
      </c>
      <c r="B1067" s="1" t="str">
        <f>VLOOKUP(A1067,Sheet5!B:C,2,0)</f>
        <v>050000789557</v>
      </c>
      <c r="C1067" s="13">
        <v>8667</v>
      </c>
      <c r="D1067" s="22">
        <f t="shared" si="65"/>
        <v>8667</v>
      </c>
      <c r="E1067" s="21" t="s">
        <v>5912</v>
      </c>
      <c r="F1067" s="23" t="str">
        <f t="shared" si="64"/>
        <v>insert into ins_premium_det (premium_rcv_code,assorted_code, rec_amount,premium_rcv_detail_code,remaining_amt, payrec, mode_code,coinsurance_code,class_cd,it_remarks) values</v>
      </c>
      <c r="G1067" s="24" t="str">
        <f t="shared" si="66"/>
        <v>('29Apr250042','050000789557','8667',(select max(to_number(i.premium_rcv_detail_code))+1
from ins_premium_det i),'8667','8667','02', '11000003','00','Request by Mr. Omair Ali 30-Apr-2025');</v>
      </c>
      <c r="H1067" s="25" t="str">
        <f t="shared" si="67"/>
        <v>insert into ins_premium_det (premium_rcv_code,assorted_code, rec_amount,premium_rcv_detail_code,remaining_amt, payrec, mode_code,coinsurance_code,class_cd,it_remarks) values('29Apr250042','050000789557','8667',(select max(to_number(i.premium_rcv_detail_code))+1
from ins_premium_det i),'8667','8667','02', '11000003','00','Request by Mr. Omair Ali 30-Apr-2025');</v>
      </c>
    </row>
    <row r="1068" spans="1:8" ht="105" x14ac:dyDescent="0.25">
      <c r="A1068" t="s">
        <v>1721</v>
      </c>
      <c r="B1068" s="1" t="str">
        <f>VLOOKUP(A1068,Sheet5!B:C,2,0)</f>
        <v>050000789562</v>
      </c>
      <c r="C1068" s="13">
        <v>2658</v>
      </c>
      <c r="D1068" s="22">
        <f t="shared" si="65"/>
        <v>2658</v>
      </c>
      <c r="E1068" s="21" t="s">
        <v>5912</v>
      </c>
      <c r="F1068" s="23" t="str">
        <f t="shared" si="64"/>
        <v>insert into ins_premium_det (premium_rcv_code,assorted_code, rec_amount,premium_rcv_detail_code,remaining_amt, payrec, mode_code,coinsurance_code,class_cd,it_remarks) values</v>
      </c>
      <c r="G1068" s="24" t="str">
        <f t="shared" si="66"/>
        <v>('29Apr250042','050000789562','2658',(select max(to_number(i.premium_rcv_detail_code))+1
from ins_premium_det i),'2658','2658','02', '11000003','00','Request by Mr. Omair Ali 30-Apr-2025');</v>
      </c>
      <c r="H1068" s="25" t="str">
        <f t="shared" si="67"/>
        <v>insert into ins_premium_det (premium_rcv_code,assorted_code, rec_amount,premium_rcv_detail_code,remaining_amt, payrec, mode_code,coinsurance_code,class_cd,it_remarks) values('29Apr250042','050000789562','2658',(select max(to_number(i.premium_rcv_detail_code))+1
from ins_premium_det i),'2658','2658','02', '11000003','00','Request by Mr. Omair Ali 30-Apr-2025');</v>
      </c>
    </row>
    <row r="1069" spans="1:8" ht="105" x14ac:dyDescent="0.25">
      <c r="A1069" t="s">
        <v>1959</v>
      </c>
      <c r="B1069" s="1" t="str">
        <f>VLOOKUP(A1069,Sheet5!B:C,2,0)</f>
        <v>050000789576</v>
      </c>
      <c r="C1069" s="13">
        <v>6868</v>
      </c>
      <c r="D1069" s="22">
        <f t="shared" si="65"/>
        <v>6868</v>
      </c>
      <c r="E1069" s="21" t="s">
        <v>5912</v>
      </c>
      <c r="F1069" s="23" t="str">
        <f t="shared" si="64"/>
        <v>insert into ins_premium_det (premium_rcv_code,assorted_code, rec_amount,premium_rcv_detail_code,remaining_amt, payrec, mode_code,coinsurance_code,class_cd,it_remarks) values</v>
      </c>
      <c r="G1069" s="24" t="str">
        <f t="shared" si="66"/>
        <v>('29Apr250042','050000789576','6868',(select max(to_number(i.premium_rcv_detail_code))+1
from ins_premium_det i),'6868','6868','02', '11000003','00','Request by Mr. Omair Ali 30-Apr-2025');</v>
      </c>
      <c r="H1069" s="25" t="str">
        <f t="shared" si="67"/>
        <v>insert into ins_premium_det (premium_rcv_code,assorted_code, rec_amount,premium_rcv_detail_code,remaining_amt, payrec, mode_code,coinsurance_code,class_cd,it_remarks) values('29Apr250042','050000789576','6868',(select max(to_number(i.premium_rcv_detail_code))+1
from ins_premium_det i),'6868','6868','02', '11000003','00','Request by Mr. Omair Ali 30-Apr-2025');</v>
      </c>
    </row>
    <row r="1070" spans="1:8" ht="105" x14ac:dyDescent="0.25">
      <c r="A1070" t="s">
        <v>1965</v>
      </c>
      <c r="B1070" s="1" t="str">
        <f>VLOOKUP(A1070,Sheet5!B:C,2,0)</f>
        <v>050000789577</v>
      </c>
      <c r="C1070" s="13">
        <v>554</v>
      </c>
      <c r="D1070" s="22">
        <f t="shared" si="65"/>
        <v>554</v>
      </c>
      <c r="E1070" s="21" t="s">
        <v>5912</v>
      </c>
      <c r="F1070" s="23" t="str">
        <f t="shared" si="64"/>
        <v>insert into ins_premium_det (premium_rcv_code,assorted_code, rec_amount,premium_rcv_detail_code,remaining_amt, payrec, mode_code,coinsurance_code,class_cd,it_remarks) values</v>
      </c>
      <c r="G1070" s="24" t="str">
        <f t="shared" si="66"/>
        <v>('29Apr250042','050000789577','554',(select max(to_number(i.premium_rcv_detail_code))+1
from ins_premium_det i),'554','554','02', '11000003','00','Request by Mr. Omair Ali 30-Apr-2025');</v>
      </c>
      <c r="H1070" s="25" t="str">
        <f t="shared" si="67"/>
        <v>insert into ins_premium_det (premium_rcv_code,assorted_code, rec_amount,premium_rcv_detail_code,remaining_amt, payrec, mode_code,coinsurance_code,class_cd,it_remarks) values('29Apr250042','050000789577','554',(select max(to_number(i.premium_rcv_detail_code))+1
from ins_premium_det i),'554','554','02', '11000003','00','Request by Mr. Omair Ali 30-Apr-2025');</v>
      </c>
    </row>
    <row r="1071" spans="1:8" ht="105" x14ac:dyDescent="0.25">
      <c r="A1071" t="s">
        <v>634</v>
      </c>
      <c r="B1071" s="1" t="str">
        <f>VLOOKUP(A1071,Sheet5!B:C,2,0)</f>
        <v>050000789580</v>
      </c>
      <c r="C1071" s="13">
        <v>5753</v>
      </c>
      <c r="D1071" s="22">
        <f t="shared" si="65"/>
        <v>5753</v>
      </c>
      <c r="E1071" s="21" t="s">
        <v>5912</v>
      </c>
      <c r="F1071" s="23" t="str">
        <f t="shared" si="64"/>
        <v>insert into ins_premium_det (premium_rcv_code,assorted_code, rec_amount,premium_rcv_detail_code,remaining_amt, payrec, mode_code,coinsurance_code,class_cd,it_remarks) values</v>
      </c>
      <c r="G1071" s="24" t="str">
        <f t="shared" si="66"/>
        <v>('29Apr250042','050000789580','5753',(select max(to_number(i.premium_rcv_detail_code))+1
from ins_premium_det i),'5753','5753','02', '11000003','00','Request by Mr. Omair Ali 30-Apr-2025');</v>
      </c>
      <c r="H1071" s="25" t="str">
        <f t="shared" si="67"/>
        <v>insert into ins_premium_det (premium_rcv_code,assorted_code, rec_amount,premium_rcv_detail_code,remaining_amt, payrec, mode_code,coinsurance_code,class_cd,it_remarks) values('29Apr250042','050000789580','5753',(select max(to_number(i.premium_rcv_detail_code))+1
from ins_premium_det i),'5753','5753','02', '11000003','00','Request by Mr. Omair Ali 30-Apr-2025');</v>
      </c>
    </row>
    <row r="1072" spans="1:8" ht="105" x14ac:dyDescent="0.25">
      <c r="A1072" t="s">
        <v>626</v>
      </c>
      <c r="B1072" s="1" t="str">
        <f>VLOOKUP(A1072,Sheet5!B:C,2,0)</f>
        <v>050000790730</v>
      </c>
      <c r="C1072" s="13">
        <v>349</v>
      </c>
      <c r="D1072" s="22">
        <f t="shared" si="65"/>
        <v>349</v>
      </c>
      <c r="E1072" s="21" t="s">
        <v>5912</v>
      </c>
      <c r="F1072" s="23" t="str">
        <f t="shared" si="64"/>
        <v>insert into ins_premium_det (premium_rcv_code,assorted_code, rec_amount,premium_rcv_detail_code,remaining_amt, payrec, mode_code,coinsurance_code,class_cd,it_remarks) values</v>
      </c>
      <c r="G1072" s="24" t="str">
        <f t="shared" si="66"/>
        <v>('29Apr250042','050000790730','349',(select max(to_number(i.premium_rcv_detail_code))+1
from ins_premium_det i),'349','349','02', '11000003','00','Request by Mr. Omair Ali 30-Apr-2025');</v>
      </c>
      <c r="H1072" s="25" t="str">
        <f t="shared" si="67"/>
        <v>insert into ins_premium_det (premium_rcv_code,assorted_code, rec_amount,premium_rcv_detail_code,remaining_amt, payrec, mode_code,coinsurance_code,class_cd,it_remarks) values('29Apr250042','050000790730','349',(select max(to_number(i.premium_rcv_detail_code))+1
from ins_premium_det i),'349','349','02', '11000003','00','Request by Mr. Omair Ali 30-Apr-2025');</v>
      </c>
    </row>
    <row r="1073" spans="1:8" ht="105" x14ac:dyDescent="0.25">
      <c r="A1073" t="s">
        <v>641</v>
      </c>
      <c r="B1073" s="1" t="str">
        <f>VLOOKUP(A1073,Sheet5!B:C,2,0)</f>
        <v>050000791156</v>
      </c>
      <c r="C1073" s="13">
        <v>1448</v>
      </c>
      <c r="D1073" s="22">
        <f t="shared" si="65"/>
        <v>1448</v>
      </c>
      <c r="E1073" s="21" t="s">
        <v>5912</v>
      </c>
      <c r="F1073" s="23" t="str">
        <f t="shared" si="64"/>
        <v>insert into ins_premium_det (premium_rcv_code,assorted_code, rec_amount,premium_rcv_detail_code,remaining_amt, payrec, mode_code,coinsurance_code,class_cd,it_remarks) values</v>
      </c>
      <c r="G1073" s="24" t="str">
        <f t="shared" si="66"/>
        <v>('29Apr250042','050000791156','1448',(select max(to_number(i.premium_rcv_detail_code))+1
from ins_premium_det i),'1448','1448','02', '11000003','00','Request by Mr. Omair Ali 30-Apr-2025');</v>
      </c>
      <c r="H1073" s="25" t="str">
        <f t="shared" si="67"/>
        <v>insert into ins_premium_det (premium_rcv_code,assorted_code, rec_amount,premium_rcv_detail_code,remaining_amt, payrec, mode_code,coinsurance_code,class_cd,it_remarks) values('29Apr250042','050000791156','1448',(select max(to_number(i.premium_rcv_detail_code))+1
from ins_premium_det i),'1448','1448','02', '11000003','00','Request by Mr. Omair Ali 30-Apr-2025');</v>
      </c>
    </row>
    <row r="1074" spans="1:8" ht="105" x14ac:dyDescent="0.25">
      <c r="A1074" t="s">
        <v>661</v>
      </c>
      <c r="B1074" s="1" t="str">
        <f>VLOOKUP(A1074,Sheet5!B:C,2,0)</f>
        <v>050000791163</v>
      </c>
      <c r="C1074" s="13">
        <v>3730</v>
      </c>
      <c r="D1074" s="22">
        <f t="shared" si="65"/>
        <v>3730</v>
      </c>
      <c r="E1074" s="21" t="s">
        <v>5912</v>
      </c>
      <c r="F1074" s="23" t="str">
        <f t="shared" si="64"/>
        <v>insert into ins_premium_det (premium_rcv_code,assorted_code, rec_amount,premium_rcv_detail_code,remaining_amt, payrec, mode_code,coinsurance_code,class_cd,it_remarks) values</v>
      </c>
      <c r="G1074" s="24" t="str">
        <f t="shared" si="66"/>
        <v>('29Apr250042','050000791163','3730',(select max(to_number(i.premium_rcv_detail_code))+1
from ins_premium_det i),'3730','3730','02', '11000003','00','Request by Mr. Omair Ali 30-Apr-2025');</v>
      </c>
      <c r="H1074" s="25" t="str">
        <f t="shared" si="67"/>
        <v>insert into ins_premium_det (premium_rcv_code,assorted_code, rec_amount,premium_rcv_detail_code,remaining_amt, payrec, mode_code,coinsurance_code,class_cd,it_remarks) values('29Apr250042','050000791163','3730',(select max(to_number(i.premium_rcv_detail_code))+1
from ins_premium_det i),'3730','3730','02', '11000003','00','Request by Mr. Omair Ali 30-Apr-2025');</v>
      </c>
    </row>
    <row r="1075" spans="1:8" ht="105" x14ac:dyDescent="0.25">
      <c r="A1075" t="s">
        <v>669</v>
      </c>
      <c r="B1075" s="1" t="str">
        <f>VLOOKUP(A1075,Sheet5!B:C,2,0)</f>
        <v>050000791166</v>
      </c>
      <c r="C1075" s="13">
        <v>1526</v>
      </c>
      <c r="D1075" s="22">
        <f t="shared" si="65"/>
        <v>1526</v>
      </c>
      <c r="E1075" s="21" t="s">
        <v>5912</v>
      </c>
      <c r="F1075" s="23" t="str">
        <f t="shared" si="64"/>
        <v>insert into ins_premium_det (premium_rcv_code,assorted_code, rec_amount,premium_rcv_detail_code,remaining_amt, payrec, mode_code,coinsurance_code,class_cd,it_remarks) values</v>
      </c>
      <c r="G1075" s="24" t="str">
        <f t="shared" si="66"/>
        <v>('29Apr250042','050000791166','1526',(select max(to_number(i.premium_rcv_detail_code))+1
from ins_premium_det i),'1526','1526','02', '11000003','00','Request by Mr. Omair Ali 30-Apr-2025');</v>
      </c>
      <c r="H1075" s="25" t="str">
        <f t="shared" si="67"/>
        <v>insert into ins_premium_det (premium_rcv_code,assorted_code, rec_amount,premium_rcv_detail_code,remaining_amt, payrec, mode_code,coinsurance_code,class_cd,it_remarks) values('29Apr250042','050000791166','1526',(select max(to_number(i.premium_rcv_detail_code))+1
from ins_premium_det i),'1526','1526','02', '11000003','00','Request by Mr. Omair Ali 30-Apr-2025');</v>
      </c>
    </row>
    <row r="1076" spans="1:8" ht="105" x14ac:dyDescent="0.25">
      <c r="A1076" t="s">
        <v>676</v>
      </c>
      <c r="B1076" s="1" t="str">
        <f>VLOOKUP(A1076,Sheet5!B:C,2,0)</f>
        <v>050000791168</v>
      </c>
      <c r="C1076" s="13">
        <v>473</v>
      </c>
      <c r="D1076" s="22">
        <f t="shared" si="65"/>
        <v>473</v>
      </c>
      <c r="E1076" s="21" t="s">
        <v>5912</v>
      </c>
      <c r="F1076" s="23" t="str">
        <f t="shared" si="64"/>
        <v>insert into ins_premium_det (premium_rcv_code,assorted_code, rec_amount,premium_rcv_detail_code,remaining_amt, payrec, mode_code,coinsurance_code,class_cd,it_remarks) values</v>
      </c>
      <c r="G1076" s="24" t="str">
        <f t="shared" si="66"/>
        <v>('29Apr250042','050000791168','473',(select max(to_number(i.premium_rcv_detail_code))+1
from ins_premium_det i),'473','473','02', '11000003','00','Request by Mr. Omair Ali 30-Apr-2025');</v>
      </c>
      <c r="H1076" s="25" t="str">
        <f t="shared" si="67"/>
        <v>insert into ins_premium_det (premium_rcv_code,assorted_code, rec_amount,premium_rcv_detail_code,remaining_amt, payrec, mode_code,coinsurance_code,class_cd,it_remarks) values('29Apr250042','050000791168','473',(select max(to_number(i.premium_rcv_detail_code))+1
from ins_premium_det i),'473','473','02', '11000003','00','Request by Mr. Omair Ali 30-Apr-2025');</v>
      </c>
    </row>
    <row r="1077" spans="1:8" ht="105" x14ac:dyDescent="0.25">
      <c r="A1077" t="s">
        <v>680</v>
      </c>
      <c r="B1077" s="1" t="str">
        <f>VLOOKUP(A1077,Sheet5!B:C,2,0)</f>
        <v>050000791170</v>
      </c>
      <c r="C1077" s="13">
        <v>2360</v>
      </c>
      <c r="D1077" s="22">
        <f t="shared" si="65"/>
        <v>2360</v>
      </c>
      <c r="E1077" s="21" t="s">
        <v>5912</v>
      </c>
      <c r="F1077" s="23" t="str">
        <f t="shared" si="64"/>
        <v>insert into ins_premium_det (premium_rcv_code,assorted_code, rec_amount,premium_rcv_detail_code,remaining_amt, payrec, mode_code,coinsurance_code,class_cd,it_remarks) values</v>
      </c>
      <c r="G1077" s="24" t="str">
        <f t="shared" si="66"/>
        <v>('29Apr250042','050000791170','2360',(select max(to_number(i.premium_rcv_detail_code))+1
from ins_premium_det i),'2360','2360','02', '11000003','00','Request by Mr. Omair Ali 30-Apr-2025');</v>
      </c>
      <c r="H1077" s="25" t="str">
        <f t="shared" si="67"/>
        <v>insert into ins_premium_det (premium_rcv_code,assorted_code, rec_amount,premium_rcv_detail_code,remaining_amt, payrec, mode_code,coinsurance_code,class_cd,it_remarks) values('29Apr250042','050000791170','2360',(select max(to_number(i.premium_rcv_detail_code))+1
from ins_premium_det i),'2360','2360','02', '11000003','00','Request by Mr. Omair Ali 30-Apr-2025');</v>
      </c>
    </row>
    <row r="1078" spans="1:8" ht="105" x14ac:dyDescent="0.25">
      <c r="A1078" t="s">
        <v>684</v>
      </c>
      <c r="B1078" s="1" t="str">
        <f>VLOOKUP(A1078,Sheet5!B:C,2,0)</f>
        <v>050000791172</v>
      </c>
      <c r="C1078" s="13">
        <v>1856</v>
      </c>
      <c r="D1078" s="22">
        <f t="shared" si="65"/>
        <v>1856</v>
      </c>
      <c r="E1078" s="21" t="s">
        <v>5912</v>
      </c>
      <c r="F1078" s="23" t="str">
        <f t="shared" si="64"/>
        <v>insert into ins_premium_det (premium_rcv_code,assorted_code, rec_amount,premium_rcv_detail_code,remaining_amt, payrec, mode_code,coinsurance_code,class_cd,it_remarks) values</v>
      </c>
      <c r="G1078" s="24" t="str">
        <f t="shared" si="66"/>
        <v>('29Apr250042','050000791172','1856',(select max(to_number(i.premium_rcv_detail_code))+1
from ins_premium_det i),'1856','1856','02', '11000003','00','Request by Mr. Omair Ali 30-Apr-2025');</v>
      </c>
      <c r="H1078" s="25" t="str">
        <f t="shared" si="67"/>
        <v>insert into ins_premium_det (premium_rcv_code,assorted_code, rec_amount,premium_rcv_detail_code,remaining_amt, payrec, mode_code,coinsurance_code,class_cd,it_remarks) values('29Apr250042','050000791172','1856',(select max(to_number(i.premium_rcv_detail_code))+1
from ins_premium_det i),'1856','1856','02', '11000003','00','Request by Mr. Omair Ali 30-Apr-2025');</v>
      </c>
    </row>
    <row r="1079" spans="1:8" ht="105" x14ac:dyDescent="0.25">
      <c r="A1079" t="s">
        <v>707</v>
      </c>
      <c r="B1079" s="1" t="str">
        <f>VLOOKUP(A1079,Sheet5!B:C,2,0)</f>
        <v>050000791174</v>
      </c>
      <c r="C1079" s="13">
        <v>394</v>
      </c>
      <c r="D1079" s="22">
        <f t="shared" si="65"/>
        <v>394</v>
      </c>
      <c r="E1079" s="21" t="s">
        <v>5912</v>
      </c>
      <c r="F1079" s="23" t="str">
        <f t="shared" si="64"/>
        <v>insert into ins_premium_det (premium_rcv_code,assorted_code, rec_amount,premium_rcv_detail_code,remaining_amt, payrec, mode_code,coinsurance_code,class_cd,it_remarks) values</v>
      </c>
      <c r="G1079" s="24" t="str">
        <f t="shared" si="66"/>
        <v>('29Apr250042','050000791174','394',(select max(to_number(i.premium_rcv_detail_code))+1
from ins_premium_det i),'394','394','02', '11000003','00','Request by Mr. Omair Ali 30-Apr-2025');</v>
      </c>
      <c r="H1079" s="25" t="str">
        <f t="shared" si="67"/>
        <v>insert into ins_premium_det (premium_rcv_code,assorted_code, rec_amount,premium_rcv_detail_code,remaining_amt, payrec, mode_code,coinsurance_code,class_cd,it_remarks) values('29Apr250042','050000791174','394',(select max(to_number(i.premium_rcv_detail_code))+1
from ins_premium_det i),'394','394','02', '11000003','00','Request by Mr. Omair Ali 30-Apr-2025');</v>
      </c>
    </row>
    <row r="1080" spans="1:8" ht="105" x14ac:dyDescent="0.25">
      <c r="A1080" t="s">
        <v>861</v>
      </c>
      <c r="B1080" s="1" t="str">
        <f>VLOOKUP(A1080,Sheet5!B:C,2,0)</f>
        <v>050000791185</v>
      </c>
      <c r="C1080" s="13">
        <v>3374</v>
      </c>
      <c r="D1080" s="22">
        <f t="shared" si="65"/>
        <v>3374</v>
      </c>
      <c r="E1080" s="21" t="s">
        <v>5912</v>
      </c>
      <c r="F1080" s="23" t="str">
        <f t="shared" si="64"/>
        <v>insert into ins_premium_det (premium_rcv_code,assorted_code, rec_amount,premium_rcv_detail_code,remaining_amt, payrec, mode_code,coinsurance_code,class_cd,it_remarks) values</v>
      </c>
      <c r="G1080" s="24" t="str">
        <f t="shared" si="66"/>
        <v>('29Apr250042','050000791185','3374',(select max(to_number(i.premium_rcv_detail_code))+1
from ins_premium_det i),'3374','3374','02', '11000003','00','Request by Mr. Omair Ali 30-Apr-2025');</v>
      </c>
      <c r="H1080" s="25" t="str">
        <f t="shared" si="67"/>
        <v>insert into ins_premium_det (premium_rcv_code,assorted_code, rec_amount,premium_rcv_detail_code,remaining_amt, payrec, mode_code,coinsurance_code,class_cd,it_remarks) values('29Apr250042','050000791185','3374',(select max(to_number(i.premium_rcv_detail_code))+1
from ins_premium_det i),'3374','3374','02', '11000003','00','Request by Mr. Omair Ali 30-Apr-2025');</v>
      </c>
    </row>
    <row r="1081" spans="1:8" ht="105" x14ac:dyDescent="0.25">
      <c r="A1081" t="s">
        <v>958</v>
      </c>
      <c r="B1081" s="1" t="str">
        <f>VLOOKUP(A1081,Sheet5!B:C,2,0)</f>
        <v>050000791190</v>
      </c>
      <c r="C1081" s="13">
        <v>4399</v>
      </c>
      <c r="D1081" s="22">
        <f t="shared" si="65"/>
        <v>4399</v>
      </c>
      <c r="E1081" s="21" t="s">
        <v>5912</v>
      </c>
      <c r="F1081" s="23" t="str">
        <f t="shared" si="64"/>
        <v>insert into ins_premium_det (premium_rcv_code,assorted_code, rec_amount,premium_rcv_detail_code,remaining_amt, payrec, mode_code,coinsurance_code,class_cd,it_remarks) values</v>
      </c>
      <c r="G1081" s="24" t="str">
        <f t="shared" si="66"/>
        <v>('29Apr250042','050000791190','4399',(select max(to_number(i.premium_rcv_detail_code))+1
from ins_premium_det i),'4399','4399','02', '11000003','00','Request by Mr. Omair Ali 30-Apr-2025');</v>
      </c>
      <c r="H1081" s="25" t="str">
        <f t="shared" si="67"/>
        <v>insert into ins_premium_det (premium_rcv_code,assorted_code, rec_amount,premium_rcv_detail_code,remaining_amt, payrec, mode_code,coinsurance_code,class_cd,it_remarks) values('29Apr250042','050000791190','4399',(select max(to_number(i.premium_rcv_detail_code))+1
from ins_premium_det i),'4399','4399','02', '11000003','00','Request by Mr. Omair Ali 30-Apr-2025');</v>
      </c>
    </row>
    <row r="1082" spans="1:8" ht="105" x14ac:dyDescent="0.25">
      <c r="A1082" t="s">
        <v>1326</v>
      </c>
      <c r="B1082" s="1" t="str">
        <f>VLOOKUP(A1082,Sheet5!B:C,2,0)</f>
        <v>050000791201</v>
      </c>
      <c r="C1082" s="13">
        <v>58</v>
      </c>
      <c r="D1082" s="22">
        <f t="shared" si="65"/>
        <v>58</v>
      </c>
      <c r="E1082" s="21" t="s">
        <v>5912</v>
      </c>
      <c r="F1082" s="23" t="str">
        <f t="shared" si="64"/>
        <v>insert into ins_premium_det (premium_rcv_code,assorted_code, rec_amount,premium_rcv_detail_code,remaining_amt, payrec, mode_code,coinsurance_code,class_cd,it_remarks) values</v>
      </c>
      <c r="G1082" s="24" t="str">
        <f t="shared" si="66"/>
        <v>('29Apr250042','050000791201','58',(select max(to_number(i.premium_rcv_detail_code))+1
from ins_premium_det i),'58','58','02', '11000003','00','Request by Mr. Omair Ali 30-Apr-2025');</v>
      </c>
      <c r="H1082" s="25" t="str">
        <f t="shared" si="67"/>
        <v>insert into ins_premium_det (premium_rcv_code,assorted_code, rec_amount,premium_rcv_detail_code,remaining_amt, payrec, mode_code,coinsurance_code,class_cd,it_remarks) values('29Apr250042','050000791201','58',(select max(to_number(i.premium_rcv_detail_code))+1
from ins_premium_det i),'58','58','02', '11000003','00','Request by Mr. Omair Ali 30-Apr-2025');</v>
      </c>
    </row>
    <row r="1083" spans="1:8" ht="105" x14ac:dyDescent="0.25">
      <c r="A1083" t="s">
        <v>1337</v>
      </c>
      <c r="B1083" s="1" t="str">
        <f>VLOOKUP(A1083,Sheet5!B:C,2,0)</f>
        <v>050000791202</v>
      </c>
      <c r="C1083" s="13">
        <v>1112</v>
      </c>
      <c r="D1083" s="22">
        <f t="shared" si="65"/>
        <v>1112</v>
      </c>
      <c r="E1083" s="21" t="s">
        <v>5912</v>
      </c>
      <c r="F1083" s="23" t="str">
        <f t="shared" si="64"/>
        <v>insert into ins_premium_det (premium_rcv_code,assorted_code, rec_amount,premium_rcv_detail_code,remaining_amt, payrec, mode_code,coinsurance_code,class_cd,it_remarks) values</v>
      </c>
      <c r="G1083" s="24" t="str">
        <f t="shared" si="66"/>
        <v>('29Apr250042','050000791202','1112',(select max(to_number(i.premium_rcv_detail_code))+1
from ins_premium_det i),'1112','1112','02', '11000003','00','Request by Mr. Omair Ali 30-Apr-2025');</v>
      </c>
      <c r="H1083" s="25" t="str">
        <f t="shared" si="67"/>
        <v>insert into ins_premium_det (premium_rcv_code,assorted_code, rec_amount,premium_rcv_detail_code,remaining_amt, payrec, mode_code,coinsurance_code,class_cd,it_remarks) values('29Apr250042','050000791202','1112',(select max(to_number(i.premium_rcv_detail_code))+1
from ins_premium_det i),'1112','1112','02', '11000003','00','Request by Mr. Omair Ali 30-Apr-2025');</v>
      </c>
    </row>
    <row r="1084" spans="1:8" ht="105" x14ac:dyDescent="0.25">
      <c r="A1084" t="s">
        <v>1775</v>
      </c>
      <c r="B1084" s="1" t="str">
        <f>VLOOKUP(A1084,Sheet5!B:C,2,0)</f>
        <v>050000791233</v>
      </c>
      <c r="C1084" s="13">
        <v>7325</v>
      </c>
      <c r="D1084" s="22">
        <f t="shared" si="65"/>
        <v>7325</v>
      </c>
      <c r="E1084" s="21" t="s">
        <v>5912</v>
      </c>
      <c r="F1084" s="23" t="str">
        <f t="shared" si="64"/>
        <v>insert into ins_premium_det (premium_rcv_code,assorted_code, rec_amount,premium_rcv_detail_code,remaining_amt, payrec, mode_code,coinsurance_code,class_cd,it_remarks) values</v>
      </c>
      <c r="G1084" s="24" t="str">
        <f t="shared" si="66"/>
        <v>('29Apr250042','050000791233','7325',(select max(to_number(i.premium_rcv_detail_code))+1
from ins_premium_det i),'7325','7325','02', '11000003','00','Request by Mr. Omair Ali 30-Apr-2025');</v>
      </c>
      <c r="H1084" s="25" t="str">
        <f t="shared" si="67"/>
        <v>insert into ins_premium_det (premium_rcv_code,assorted_code, rec_amount,premium_rcv_detail_code,remaining_amt, payrec, mode_code,coinsurance_code,class_cd,it_remarks) values('29Apr250042','050000791233','7325',(select max(to_number(i.premium_rcv_detail_code))+1
from ins_premium_det i),'7325','7325','02', '11000003','00','Request by Mr. Omair Ali 30-Apr-2025');</v>
      </c>
    </row>
    <row r="1085" spans="1:8" ht="105" x14ac:dyDescent="0.25">
      <c r="A1085" t="s">
        <v>717</v>
      </c>
      <c r="B1085" s="1" t="str">
        <f>VLOOKUP(A1085,Sheet5!B:C,2,0)</f>
        <v>050000791675</v>
      </c>
      <c r="C1085" s="13">
        <v>2780</v>
      </c>
      <c r="D1085" s="22">
        <f t="shared" si="65"/>
        <v>2780</v>
      </c>
      <c r="E1085" s="21" t="s">
        <v>5912</v>
      </c>
      <c r="F1085" s="23" t="str">
        <f t="shared" si="64"/>
        <v>insert into ins_premium_det (premium_rcv_code,assorted_code, rec_amount,premium_rcv_detail_code,remaining_amt, payrec, mode_code,coinsurance_code,class_cd,it_remarks) values</v>
      </c>
      <c r="G1085" s="24" t="str">
        <f t="shared" si="66"/>
        <v>('29Apr250042','050000791675','2780',(select max(to_number(i.premium_rcv_detail_code))+1
from ins_premium_det i),'2780','2780','02', '11000003','00','Request by Mr. Omair Ali 30-Apr-2025');</v>
      </c>
      <c r="H1085" s="25" t="str">
        <f t="shared" si="67"/>
        <v>insert into ins_premium_det (premium_rcv_code,assorted_code, rec_amount,premium_rcv_detail_code,remaining_amt, payrec, mode_code,coinsurance_code,class_cd,it_remarks) values('29Apr250042','050000791675','2780',(select max(to_number(i.premium_rcv_detail_code))+1
from ins_premium_det i),'2780','2780','02', '11000003','00','Request by Mr. Omair Ali 30-Apr-2025');</v>
      </c>
    </row>
    <row r="1086" spans="1:8" ht="105" x14ac:dyDescent="0.25">
      <c r="A1086" t="s">
        <v>853</v>
      </c>
      <c r="B1086" s="1" t="str">
        <f>VLOOKUP(A1086,Sheet5!B:C,2,0)</f>
        <v>050000791677</v>
      </c>
      <c r="C1086" s="13">
        <v>4159</v>
      </c>
      <c r="D1086" s="22">
        <f t="shared" si="65"/>
        <v>4159</v>
      </c>
      <c r="E1086" s="21" t="s">
        <v>5912</v>
      </c>
      <c r="F1086" s="23" t="str">
        <f t="shared" si="64"/>
        <v>insert into ins_premium_det (premium_rcv_code,assorted_code, rec_amount,premium_rcv_detail_code,remaining_amt, payrec, mode_code,coinsurance_code,class_cd,it_remarks) values</v>
      </c>
      <c r="G1086" s="24" t="str">
        <f t="shared" si="66"/>
        <v>('29Apr250042','050000791677','4159',(select max(to_number(i.premium_rcv_detail_code))+1
from ins_premium_det i),'4159','4159','02', '11000003','00','Request by Mr. Omair Ali 30-Apr-2025');</v>
      </c>
      <c r="H1086" s="25" t="str">
        <f t="shared" si="67"/>
        <v>insert into ins_premium_det (premium_rcv_code,assorted_code, rec_amount,premium_rcv_detail_code,remaining_amt, payrec, mode_code,coinsurance_code,class_cd,it_remarks) values('29Apr250042','050000791677','4159',(select max(to_number(i.premium_rcv_detail_code))+1
from ins_premium_det i),'4159','4159','02', '11000003','00','Request by Mr. Omair Ali 30-Apr-2025');</v>
      </c>
    </row>
    <row r="1087" spans="1:8" ht="105" x14ac:dyDescent="0.25">
      <c r="A1087" t="s">
        <v>1001</v>
      </c>
      <c r="B1087" s="1" t="str">
        <f>VLOOKUP(A1087,Sheet5!B:C,2,0)</f>
        <v>050000791683</v>
      </c>
      <c r="C1087" s="13">
        <v>4126</v>
      </c>
      <c r="D1087" s="22">
        <f t="shared" si="65"/>
        <v>4126</v>
      </c>
      <c r="E1087" s="21" t="s">
        <v>5912</v>
      </c>
      <c r="F1087" s="23" t="str">
        <f t="shared" si="64"/>
        <v>insert into ins_premium_det (premium_rcv_code,assorted_code, rec_amount,premium_rcv_detail_code,remaining_amt, payrec, mode_code,coinsurance_code,class_cd,it_remarks) values</v>
      </c>
      <c r="G1087" s="24" t="str">
        <f t="shared" si="66"/>
        <v>('29Apr250042','050000791683','4126',(select max(to_number(i.premium_rcv_detail_code))+1
from ins_premium_det i),'4126','4126','02', '11000003','00','Request by Mr. Omair Ali 30-Apr-2025');</v>
      </c>
      <c r="H1087" s="25" t="str">
        <f t="shared" si="67"/>
        <v>insert into ins_premium_det (premium_rcv_code,assorted_code, rec_amount,premium_rcv_detail_code,remaining_amt, payrec, mode_code,coinsurance_code,class_cd,it_remarks) values('29Apr250042','050000791683','4126',(select max(to_number(i.premium_rcv_detail_code))+1
from ins_premium_det i),'4126','4126','02', '11000003','00','Request by Mr. Omair Ali 30-Apr-2025');</v>
      </c>
    </row>
    <row r="1088" spans="1:8" ht="105" x14ac:dyDescent="0.25">
      <c r="A1088" t="s">
        <v>1134</v>
      </c>
      <c r="B1088" s="1" t="str">
        <f>VLOOKUP(A1088,Sheet5!B:C,2,0)</f>
        <v>050000791684</v>
      </c>
      <c r="C1088" s="13">
        <v>1399</v>
      </c>
      <c r="D1088" s="22">
        <f t="shared" si="65"/>
        <v>1399</v>
      </c>
      <c r="E1088" s="21" t="s">
        <v>5912</v>
      </c>
      <c r="F1088" s="23" t="str">
        <f t="shared" si="64"/>
        <v>insert into ins_premium_det (premium_rcv_code,assorted_code, rec_amount,premium_rcv_detail_code,remaining_amt, payrec, mode_code,coinsurance_code,class_cd,it_remarks) values</v>
      </c>
      <c r="G1088" s="24" t="str">
        <f t="shared" si="66"/>
        <v>('29Apr250042','050000791684','1399',(select max(to_number(i.premium_rcv_detail_code))+1
from ins_premium_det i),'1399','1399','02', '11000003','00','Request by Mr. Omair Ali 30-Apr-2025');</v>
      </c>
      <c r="H1088" s="25" t="str">
        <f t="shared" si="67"/>
        <v>insert into ins_premium_det (premium_rcv_code,assorted_code, rec_amount,premium_rcv_detail_code,remaining_amt, payrec, mode_code,coinsurance_code,class_cd,it_remarks) values('29Apr250042','050000791684','1399',(select max(to_number(i.premium_rcv_detail_code))+1
from ins_premium_det i),'1399','1399','02', '11000003','00','Request by Mr. Omair Ali 30-Apr-2025');</v>
      </c>
    </row>
    <row r="1089" spans="1:8" ht="105" x14ac:dyDescent="0.25">
      <c r="A1089" t="s">
        <v>1738</v>
      </c>
      <c r="B1089" s="1" t="str">
        <f>VLOOKUP(A1089,Sheet5!B:C,2,0)</f>
        <v>050000791695</v>
      </c>
      <c r="C1089" s="13">
        <v>1888</v>
      </c>
      <c r="D1089" s="22">
        <f t="shared" si="65"/>
        <v>1888</v>
      </c>
      <c r="E1089" s="21" t="s">
        <v>5912</v>
      </c>
      <c r="F1089" s="23" t="str">
        <f t="shared" si="64"/>
        <v>insert into ins_premium_det (premium_rcv_code,assorted_code, rec_amount,premium_rcv_detail_code,remaining_amt, payrec, mode_code,coinsurance_code,class_cd,it_remarks) values</v>
      </c>
      <c r="G1089" s="24" t="str">
        <f t="shared" si="66"/>
        <v>('29Apr250042','050000791695','1888',(select max(to_number(i.premium_rcv_detail_code))+1
from ins_premium_det i),'1888','1888','02', '11000003','00','Request by Mr. Omair Ali 30-Apr-2025');</v>
      </c>
      <c r="H1089" s="25" t="str">
        <f t="shared" si="67"/>
        <v>insert into ins_premium_det (premium_rcv_code,assorted_code, rec_amount,premium_rcv_detail_code,remaining_amt, payrec, mode_code,coinsurance_code,class_cd,it_remarks) values('29Apr250042','050000791695','1888',(select max(to_number(i.premium_rcv_detail_code))+1
from ins_premium_det i),'1888','1888','02', '11000003','00','Request by Mr. Omair Ali 30-Apr-2025');</v>
      </c>
    </row>
    <row r="1090" spans="1:8" ht="105" x14ac:dyDescent="0.25">
      <c r="A1090" t="s">
        <v>1757</v>
      </c>
      <c r="B1090" s="1" t="str">
        <f>VLOOKUP(A1090,Sheet5!B:C,2,0)</f>
        <v>050000791696</v>
      </c>
      <c r="C1090" s="13">
        <v>3853</v>
      </c>
      <c r="D1090" s="22">
        <f t="shared" si="65"/>
        <v>3853</v>
      </c>
      <c r="E1090" s="21" t="s">
        <v>5912</v>
      </c>
      <c r="F1090" s="23" t="str">
        <f t="shared" ref="F1090:F1153" si="6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090" s="24" t="str">
        <f t="shared" si="66"/>
        <v>('29Apr250042','050000791696','3853',(select max(to_number(i.premium_rcv_detail_code))+1
from ins_premium_det i),'3853','3853','02', '11000003','00','Request by Mr. Omair Ali 30-Apr-2025');</v>
      </c>
      <c r="H1090" s="25" t="str">
        <f t="shared" si="67"/>
        <v>insert into ins_premium_det (premium_rcv_code,assorted_code, rec_amount,premium_rcv_detail_code,remaining_amt, payrec, mode_code,coinsurance_code,class_cd,it_remarks) values('29Apr250042','050000791696','3853',(select max(to_number(i.premium_rcv_detail_code))+1
from ins_premium_det i),'3853','3853','02', '11000003','00','Request by Mr. Omair Ali 30-Apr-2025');</v>
      </c>
    </row>
    <row r="1091" spans="1:8" ht="105" x14ac:dyDescent="0.25">
      <c r="A1091" t="s">
        <v>1765</v>
      </c>
      <c r="B1091" s="1" t="str">
        <f>VLOOKUP(A1091,Sheet5!B:C,2,0)</f>
        <v>050000791697</v>
      </c>
      <c r="C1091" s="13">
        <v>1985</v>
      </c>
      <c r="D1091" s="22">
        <f t="shared" ref="D1091:D1154" si="69">ROUND(C1091,0)</f>
        <v>1985</v>
      </c>
      <c r="E1091" s="21" t="s">
        <v>5912</v>
      </c>
      <c r="F1091" s="23" t="str">
        <f t="shared" si="68"/>
        <v>insert into ins_premium_det (premium_rcv_code,assorted_code, rec_amount,premium_rcv_detail_code,remaining_amt, payrec, mode_code,coinsurance_code,class_cd,it_remarks) values</v>
      </c>
      <c r="G1091" s="24" t="str">
        <f t="shared" ref="G1091:G1154" si="70">"('"&amp;E1091&amp;"','"&amp;B1091&amp;"','"&amp;D1091&amp;"',(select max(to_number(i.premium_rcv_detail_code))+1
from ins_premium_det i),'"&amp;D1091&amp;"','"&amp;D1091&amp;"','02', '11000003','00','Request by Mr. Omair Ali 30-Apr-2025');"</f>
        <v>('29Apr250042','050000791697','1985',(select max(to_number(i.premium_rcv_detail_code))+1
from ins_premium_det i),'1985','1985','02', '11000003','00','Request by Mr. Omair Ali 30-Apr-2025');</v>
      </c>
      <c r="H1091" s="25" t="str">
        <f t="shared" ref="H1091:H1154" si="71">F1091&amp;G1091</f>
        <v>insert into ins_premium_det (premium_rcv_code,assorted_code, rec_amount,premium_rcv_detail_code,remaining_amt, payrec, mode_code,coinsurance_code,class_cd,it_remarks) values('29Apr250042','050000791697','1985',(select max(to_number(i.premium_rcv_detail_code))+1
from ins_premium_det i),'1985','1985','02', '11000003','00','Request by Mr. Omair Ali 30-Apr-2025');</v>
      </c>
    </row>
    <row r="1092" spans="1:8" ht="105" x14ac:dyDescent="0.25">
      <c r="A1092" t="s">
        <v>1846</v>
      </c>
      <c r="B1092" s="1" t="str">
        <f>VLOOKUP(A1092,Sheet5!B:C,2,0)</f>
        <v>050000791706</v>
      </c>
      <c r="C1092" s="13">
        <v>4278</v>
      </c>
      <c r="D1092" s="22">
        <f t="shared" si="69"/>
        <v>4278</v>
      </c>
      <c r="E1092" s="21" t="s">
        <v>5912</v>
      </c>
      <c r="F1092" s="23" t="str">
        <f t="shared" si="68"/>
        <v>insert into ins_premium_det (premium_rcv_code,assorted_code, rec_amount,premium_rcv_detail_code,remaining_amt, payrec, mode_code,coinsurance_code,class_cd,it_remarks) values</v>
      </c>
      <c r="G1092" s="24" t="str">
        <f t="shared" si="70"/>
        <v>('29Apr250042','050000791706','4278',(select max(to_number(i.premium_rcv_detail_code))+1
from ins_premium_det i),'4278','4278','02', '11000003','00','Request by Mr. Omair Ali 30-Apr-2025');</v>
      </c>
      <c r="H1092" s="25" t="str">
        <f t="shared" si="71"/>
        <v>insert into ins_premium_det (premium_rcv_code,assorted_code, rec_amount,premium_rcv_detail_code,remaining_amt, payrec, mode_code,coinsurance_code,class_cd,it_remarks) values('29Apr250042','050000791706','4278',(select max(to_number(i.premium_rcv_detail_code))+1
from ins_premium_det i),'4278','4278','02', '11000003','00','Request by Mr. Omair Ali 30-Apr-2025');</v>
      </c>
    </row>
    <row r="1093" spans="1:8" ht="105" x14ac:dyDescent="0.25">
      <c r="A1093" t="s">
        <v>1949</v>
      </c>
      <c r="B1093" s="1" t="str">
        <f>VLOOKUP(A1093,Sheet5!B:C,2,0)</f>
        <v>050000791712</v>
      </c>
      <c r="C1093" s="13">
        <v>200</v>
      </c>
      <c r="D1093" s="22">
        <f t="shared" si="69"/>
        <v>200</v>
      </c>
      <c r="E1093" s="21" t="s">
        <v>5912</v>
      </c>
      <c r="F1093" s="23" t="str">
        <f t="shared" si="68"/>
        <v>insert into ins_premium_det (premium_rcv_code,assorted_code, rec_amount,premium_rcv_detail_code,remaining_amt, payrec, mode_code,coinsurance_code,class_cd,it_remarks) values</v>
      </c>
      <c r="G1093" s="24" t="str">
        <f t="shared" si="70"/>
        <v>('29Apr250042','050000791712','200',(select max(to_number(i.premium_rcv_detail_code))+1
from ins_premium_det i),'200','200','02', '11000003','00','Request by Mr. Omair Ali 30-Apr-2025');</v>
      </c>
      <c r="H1093" s="25" t="str">
        <f t="shared" si="71"/>
        <v>insert into ins_premium_det (premium_rcv_code,assorted_code, rec_amount,premium_rcv_detail_code,remaining_amt, payrec, mode_code,coinsurance_code,class_cd,it_remarks) values('29Apr250042','050000791712','200',(select max(to_number(i.premium_rcv_detail_code))+1
from ins_premium_det i),'200','200','02', '11000003','00','Request by Mr. Omair Ali 30-Apr-2025');</v>
      </c>
    </row>
    <row r="1094" spans="1:8" ht="105" x14ac:dyDescent="0.25">
      <c r="A1094" t="s">
        <v>1563</v>
      </c>
      <c r="B1094" s="1" t="str">
        <f>VLOOKUP(A1094,Sheet5!B:C,2,0)</f>
        <v>050000791749</v>
      </c>
      <c r="C1094" s="13">
        <v>1</v>
      </c>
      <c r="D1094" s="22">
        <f t="shared" si="69"/>
        <v>1</v>
      </c>
      <c r="E1094" s="21" t="s">
        <v>5912</v>
      </c>
      <c r="F1094" s="23" t="str">
        <f t="shared" si="68"/>
        <v>insert into ins_premium_det (premium_rcv_code,assorted_code, rec_amount,premium_rcv_detail_code,remaining_amt, payrec, mode_code,coinsurance_code,class_cd,it_remarks) values</v>
      </c>
      <c r="G1094" s="24" t="str">
        <f t="shared" si="70"/>
        <v>('29Apr250042','050000791749','1',(select max(to_number(i.premium_rcv_detail_code))+1
from ins_premium_det i),'1','1','02', '11000003','00','Request by Mr. Omair Ali 30-Apr-2025');</v>
      </c>
      <c r="H1094" s="25" t="str">
        <f t="shared" si="71"/>
        <v>insert into ins_premium_det (premium_rcv_code,assorted_code, rec_amount,premium_rcv_detail_code,remaining_amt, payrec, mode_code,coinsurance_code,class_cd,it_remarks) values('29Apr250042','050000791749','1',(select max(to_number(i.premium_rcv_detail_code))+1
from ins_premium_det i),'1','1','02', '11000003','00','Request by Mr. Omair Ali 30-Apr-2025');</v>
      </c>
    </row>
    <row r="1095" spans="1:8" ht="105" x14ac:dyDescent="0.25">
      <c r="A1095" t="s">
        <v>842</v>
      </c>
      <c r="B1095" s="1" t="str">
        <f>VLOOKUP(A1095,Sheet5!B:C,2,0)</f>
        <v>050000791907</v>
      </c>
      <c r="C1095" s="13">
        <v>5125</v>
      </c>
      <c r="D1095" s="22">
        <f t="shared" si="69"/>
        <v>5125</v>
      </c>
      <c r="E1095" s="21" t="s">
        <v>5912</v>
      </c>
      <c r="F1095" s="23" t="str">
        <f t="shared" si="68"/>
        <v>insert into ins_premium_det (premium_rcv_code,assorted_code, rec_amount,premium_rcv_detail_code,remaining_amt, payrec, mode_code,coinsurance_code,class_cd,it_remarks) values</v>
      </c>
      <c r="G1095" s="24" t="str">
        <f t="shared" si="70"/>
        <v>('29Apr250042','050000791907','5125',(select max(to_number(i.premium_rcv_detail_code))+1
from ins_premium_det i),'5125','5125','02', '11000003','00','Request by Mr. Omair Ali 30-Apr-2025');</v>
      </c>
      <c r="H1095" s="25" t="str">
        <f t="shared" si="71"/>
        <v>insert into ins_premium_det (premium_rcv_code,assorted_code, rec_amount,premium_rcv_detail_code,remaining_amt, payrec, mode_code,coinsurance_code,class_cd,it_remarks) values('29Apr250042','050000791907','5125',(select max(to_number(i.premium_rcv_detail_code))+1
from ins_premium_det i),'5125','5125','02', '11000003','00','Request by Mr. Omair Ali 30-Apr-2025');</v>
      </c>
    </row>
    <row r="1096" spans="1:8" ht="105" x14ac:dyDescent="0.25">
      <c r="A1096" t="s">
        <v>987</v>
      </c>
      <c r="B1096" s="1" t="str">
        <f>VLOOKUP(A1096,Sheet5!B:C,2,0)</f>
        <v>050000791913</v>
      </c>
      <c r="C1096" s="13">
        <v>507</v>
      </c>
      <c r="D1096" s="22">
        <f t="shared" si="69"/>
        <v>507</v>
      </c>
      <c r="E1096" s="21" t="s">
        <v>5912</v>
      </c>
      <c r="F1096" s="23" t="str">
        <f t="shared" si="68"/>
        <v>insert into ins_premium_det (premium_rcv_code,assorted_code, rec_amount,premium_rcv_detail_code,remaining_amt, payrec, mode_code,coinsurance_code,class_cd,it_remarks) values</v>
      </c>
      <c r="G1096" s="24" t="str">
        <f t="shared" si="70"/>
        <v>('29Apr250042','050000791913','507',(select max(to_number(i.premium_rcv_detail_code))+1
from ins_premium_det i),'507','507','02', '11000003','00','Request by Mr. Omair Ali 30-Apr-2025');</v>
      </c>
      <c r="H1096" s="25" t="str">
        <f t="shared" si="71"/>
        <v>insert into ins_premium_det (premium_rcv_code,assorted_code, rec_amount,premium_rcv_detail_code,remaining_amt, payrec, mode_code,coinsurance_code,class_cd,it_remarks) values('29Apr250042','050000791913','507',(select max(to_number(i.premium_rcv_detail_code))+1
from ins_premium_det i),'507','507','02', '11000003','00','Request by Mr. Omair Ali 30-Apr-2025');</v>
      </c>
    </row>
    <row r="1097" spans="1:8" ht="105" x14ac:dyDescent="0.25">
      <c r="A1097" t="s">
        <v>1012</v>
      </c>
      <c r="B1097" s="1" t="str">
        <f>VLOOKUP(A1097,Sheet5!B:C,2,0)</f>
        <v>050000791916</v>
      </c>
      <c r="C1097" s="13">
        <v>8534</v>
      </c>
      <c r="D1097" s="22">
        <f t="shared" si="69"/>
        <v>8534</v>
      </c>
      <c r="E1097" s="21" t="s">
        <v>5912</v>
      </c>
      <c r="F1097" s="23" t="str">
        <f t="shared" si="68"/>
        <v>insert into ins_premium_det (premium_rcv_code,assorted_code, rec_amount,premium_rcv_detail_code,remaining_amt, payrec, mode_code,coinsurance_code,class_cd,it_remarks) values</v>
      </c>
      <c r="G1097" s="24" t="str">
        <f t="shared" si="70"/>
        <v>('29Apr250042','050000791916','8534',(select max(to_number(i.premium_rcv_detail_code))+1
from ins_premium_det i),'8534','8534','02', '11000003','00','Request by Mr. Omair Ali 30-Apr-2025');</v>
      </c>
      <c r="H1097" s="25" t="str">
        <f t="shared" si="71"/>
        <v>insert into ins_premium_det (premium_rcv_code,assorted_code, rec_amount,premium_rcv_detail_code,remaining_amt, payrec, mode_code,coinsurance_code,class_cd,it_remarks) values('29Apr250042','050000791916','8534',(select max(to_number(i.premium_rcv_detail_code))+1
from ins_premium_det i),'8534','8534','02', '11000003','00','Request by Mr. Omair Ali 30-Apr-2025');</v>
      </c>
    </row>
    <row r="1098" spans="1:8" ht="105" x14ac:dyDescent="0.25">
      <c r="A1098" t="s">
        <v>1148</v>
      </c>
      <c r="B1098" s="1" t="str">
        <f>VLOOKUP(A1098,Sheet5!B:C,2,0)</f>
        <v>050000791923</v>
      </c>
      <c r="C1098" s="13">
        <v>3260</v>
      </c>
      <c r="D1098" s="22">
        <f t="shared" si="69"/>
        <v>3260</v>
      </c>
      <c r="E1098" s="21" t="s">
        <v>5912</v>
      </c>
      <c r="F1098" s="23" t="str">
        <f t="shared" si="68"/>
        <v>insert into ins_premium_det (premium_rcv_code,assorted_code, rec_amount,premium_rcv_detail_code,remaining_amt, payrec, mode_code,coinsurance_code,class_cd,it_remarks) values</v>
      </c>
      <c r="G1098" s="24" t="str">
        <f t="shared" si="70"/>
        <v>('29Apr250042','050000791923','3260',(select max(to_number(i.premium_rcv_detail_code))+1
from ins_premium_det i),'3260','3260','02', '11000003','00','Request by Mr. Omair Ali 30-Apr-2025');</v>
      </c>
      <c r="H1098" s="25" t="str">
        <f t="shared" si="71"/>
        <v>insert into ins_premium_det (premium_rcv_code,assorted_code, rec_amount,premium_rcv_detail_code,remaining_amt, payrec, mode_code,coinsurance_code,class_cd,it_remarks) values('29Apr250042','050000791923','3260',(select max(to_number(i.premium_rcv_detail_code))+1
from ins_premium_det i),'3260','3260','02', '11000003','00','Request by Mr. Omair Ali 30-Apr-2025');</v>
      </c>
    </row>
    <row r="1099" spans="1:8" ht="105" x14ac:dyDescent="0.25">
      <c r="A1099" t="s">
        <v>1155</v>
      </c>
      <c r="B1099" s="1" t="str">
        <f>VLOOKUP(A1099,Sheet5!B:C,2,0)</f>
        <v>050000791924</v>
      </c>
      <c r="C1099" s="13">
        <v>943</v>
      </c>
      <c r="D1099" s="22">
        <f t="shared" si="69"/>
        <v>943</v>
      </c>
      <c r="E1099" s="21" t="s">
        <v>5912</v>
      </c>
      <c r="F1099" s="23" t="str">
        <f t="shared" si="68"/>
        <v>insert into ins_premium_det (premium_rcv_code,assorted_code, rec_amount,premium_rcv_detail_code,remaining_amt, payrec, mode_code,coinsurance_code,class_cd,it_remarks) values</v>
      </c>
      <c r="G1099" s="24" t="str">
        <f t="shared" si="70"/>
        <v>('29Apr250042','050000791924','943',(select max(to_number(i.premium_rcv_detail_code))+1
from ins_premium_det i),'943','943','02', '11000003','00','Request by Mr. Omair Ali 30-Apr-2025');</v>
      </c>
      <c r="H1099" s="25" t="str">
        <f t="shared" si="71"/>
        <v>insert into ins_premium_det (premium_rcv_code,assorted_code, rec_amount,premium_rcv_detail_code,remaining_amt, payrec, mode_code,coinsurance_code,class_cd,it_remarks) values('29Apr250042','050000791924','943',(select max(to_number(i.premium_rcv_detail_code))+1
from ins_premium_det i),'943','943','02', '11000003','00','Request by Mr. Omair Ali 30-Apr-2025');</v>
      </c>
    </row>
    <row r="1100" spans="1:8" ht="105" x14ac:dyDescent="0.25">
      <c r="A1100" t="s">
        <v>1358</v>
      </c>
      <c r="B1100" s="1" t="str">
        <f>VLOOKUP(A1100,Sheet5!B:C,2,0)</f>
        <v>050000791928</v>
      </c>
      <c r="C1100" s="13">
        <v>1789</v>
      </c>
      <c r="D1100" s="22">
        <f t="shared" si="69"/>
        <v>1789</v>
      </c>
      <c r="E1100" s="21" t="s">
        <v>5912</v>
      </c>
      <c r="F1100" s="23" t="str">
        <f t="shared" si="68"/>
        <v>insert into ins_premium_det (premium_rcv_code,assorted_code, rec_amount,premium_rcv_detail_code,remaining_amt, payrec, mode_code,coinsurance_code,class_cd,it_remarks) values</v>
      </c>
      <c r="G1100" s="24" t="str">
        <f t="shared" si="70"/>
        <v>('29Apr250042','050000791928','1789',(select max(to_number(i.premium_rcv_detail_code))+1
from ins_premium_det i),'1789','1789','02', '11000003','00','Request by Mr. Omair Ali 30-Apr-2025');</v>
      </c>
      <c r="H1100" s="25" t="str">
        <f t="shared" si="71"/>
        <v>insert into ins_premium_det (premium_rcv_code,assorted_code, rec_amount,premium_rcv_detail_code,remaining_amt, payrec, mode_code,coinsurance_code,class_cd,it_remarks) values('29Apr250042','050000791928','1789',(select max(to_number(i.premium_rcv_detail_code))+1
from ins_premium_det i),'1789','1789','02', '11000003','00','Request by Mr. Omair Ali 30-Apr-2025');</v>
      </c>
    </row>
    <row r="1101" spans="1:8" ht="105" x14ac:dyDescent="0.25">
      <c r="A1101" t="s">
        <v>1386</v>
      </c>
      <c r="B1101" s="1" t="str">
        <f>VLOOKUP(A1101,Sheet5!B:C,2,0)</f>
        <v>050000791932</v>
      </c>
      <c r="C1101" s="13">
        <v>1168</v>
      </c>
      <c r="D1101" s="22">
        <f t="shared" si="69"/>
        <v>1168</v>
      </c>
      <c r="E1101" s="21" t="s">
        <v>5912</v>
      </c>
      <c r="F1101" s="23" t="str">
        <f t="shared" si="68"/>
        <v>insert into ins_premium_det (premium_rcv_code,assorted_code, rec_amount,premium_rcv_detail_code,remaining_amt, payrec, mode_code,coinsurance_code,class_cd,it_remarks) values</v>
      </c>
      <c r="G1101" s="24" t="str">
        <f t="shared" si="70"/>
        <v>('29Apr250042','050000791932','1168',(select max(to_number(i.premium_rcv_detail_code))+1
from ins_premium_det i),'1168','1168','02', '11000003','00','Request by Mr. Omair Ali 30-Apr-2025');</v>
      </c>
      <c r="H1101" s="25" t="str">
        <f t="shared" si="71"/>
        <v>insert into ins_premium_det (premium_rcv_code,assorted_code, rec_amount,premium_rcv_detail_code,remaining_amt, payrec, mode_code,coinsurance_code,class_cd,it_remarks) values('29Apr250042','050000791932','1168',(select max(to_number(i.premium_rcv_detail_code))+1
from ins_premium_det i),'1168','1168','02', '11000003','00','Request by Mr. Omair Ali 30-Apr-2025');</v>
      </c>
    </row>
    <row r="1102" spans="1:8" ht="105" x14ac:dyDescent="0.25">
      <c r="A1102" t="s">
        <v>1397</v>
      </c>
      <c r="B1102" s="1" t="str">
        <f>VLOOKUP(A1102,Sheet5!B:C,2,0)</f>
        <v>050000791933</v>
      </c>
      <c r="C1102" s="13">
        <v>2892</v>
      </c>
      <c r="D1102" s="22">
        <f t="shared" si="69"/>
        <v>2892</v>
      </c>
      <c r="E1102" s="21" t="s">
        <v>5912</v>
      </c>
      <c r="F1102" s="23" t="str">
        <f t="shared" si="68"/>
        <v>insert into ins_premium_det (premium_rcv_code,assorted_code, rec_amount,premium_rcv_detail_code,remaining_amt, payrec, mode_code,coinsurance_code,class_cd,it_remarks) values</v>
      </c>
      <c r="G1102" s="24" t="str">
        <f t="shared" si="70"/>
        <v>('29Apr250042','050000791933','2892',(select max(to_number(i.premium_rcv_detail_code))+1
from ins_premium_det i),'2892','2892','02', '11000003','00','Request by Mr. Omair Ali 30-Apr-2025');</v>
      </c>
      <c r="H1102" s="25" t="str">
        <f t="shared" si="71"/>
        <v>insert into ins_premium_det (premium_rcv_code,assorted_code, rec_amount,premium_rcv_detail_code,remaining_amt, payrec, mode_code,coinsurance_code,class_cd,it_remarks) values('29Apr250042','050000791933','2892',(select max(to_number(i.premium_rcv_detail_code))+1
from ins_premium_det i),'2892','2892','02', '11000003','00','Request by Mr. Omair Ali 30-Apr-2025');</v>
      </c>
    </row>
    <row r="1103" spans="1:8" ht="105" x14ac:dyDescent="0.25">
      <c r="A1103" t="s">
        <v>1598</v>
      </c>
      <c r="B1103" s="1" t="str">
        <f>VLOOKUP(A1103,Sheet5!B:C,2,0)</f>
        <v>050000791947</v>
      </c>
      <c r="C1103" s="13">
        <v>2912</v>
      </c>
      <c r="D1103" s="22">
        <f t="shared" si="69"/>
        <v>2912</v>
      </c>
      <c r="E1103" s="21" t="s">
        <v>5912</v>
      </c>
      <c r="F1103" s="23" t="str">
        <f t="shared" si="68"/>
        <v>insert into ins_premium_det (premium_rcv_code,assorted_code, rec_amount,premium_rcv_detail_code,remaining_amt, payrec, mode_code,coinsurance_code,class_cd,it_remarks) values</v>
      </c>
      <c r="G1103" s="24" t="str">
        <f t="shared" si="70"/>
        <v>('29Apr250042','050000791947','2912',(select max(to_number(i.premium_rcv_detail_code))+1
from ins_premium_det i),'2912','2912','02', '11000003','00','Request by Mr. Omair Ali 30-Apr-2025');</v>
      </c>
      <c r="H1103" s="25" t="str">
        <f t="shared" si="71"/>
        <v>insert into ins_premium_det (premium_rcv_code,assorted_code, rec_amount,premium_rcv_detail_code,remaining_amt, payrec, mode_code,coinsurance_code,class_cd,it_remarks) values('29Apr250042','050000791947','2912',(select max(to_number(i.premium_rcv_detail_code))+1
from ins_premium_det i),'2912','2912','02', '11000003','00','Request by Mr. Omair Ali 30-Apr-2025');</v>
      </c>
    </row>
    <row r="1104" spans="1:8" ht="105" x14ac:dyDescent="0.25">
      <c r="A1104" t="s">
        <v>1943</v>
      </c>
      <c r="B1104" s="1" t="str">
        <f>VLOOKUP(A1104,Sheet5!B:C,2,0)</f>
        <v>050000791965</v>
      </c>
      <c r="C1104" s="13">
        <v>928</v>
      </c>
      <c r="D1104" s="22">
        <f t="shared" si="69"/>
        <v>928</v>
      </c>
      <c r="E1104" s="21" t="s">
        <v>5912</v>
      </c>
      <c r="F1104" s="23" t="str">
        <f t="shared" si="68"/>
        <v>insert into ins_premium_det (premium_rcv_code,assorted_code, rec_amount,premium_rcv_detail_code,remaining_amt, payrec, mode_code,coinsurance_code,class_cd,it_remarks) values</v>
      </c>
      <c r="G1104" s="24" t="str">
        <f t="shared" si="70"/>
        <v>('29Apr250042','050000791965','928',(select max(to_number(i.premium_rcv_detail_code))+1
from ins_premium_det i),'928','928','02', '11000003','00','Request by Mr. Omair Ali 30-Apr-2025');</v>
      </c>
      <c r="H1104" s="25" t="str">
        <f t="shared" si="71"/>
        <v>insert into ins_premium_det (premium_rcv_code,assorted_code, rec_amount,premium_rcv_detail_code,remaining_amt, payrec, mode_code,coinsurance_code,class_cd,it_remarks) values('29Apr250042','050000791965','928',(select max(to_number(i.premium_rcv_detail_code))+1
from ins_premium_det i),'928','928','02', '11000003','00','Request by Mr. Omair Ali 30-Apr-2025');</v>
      </c>
    </row>
    <row r="1105" spans="1:8" ht="105" x14ac:dyDescent="0.25">
      <c r="A1105" t="s">
        <v>730</v>
      </c>
      <c r="B1105" s="1" t="str">
        <f>VLOOKUP(A1105,Sheet5!B:C,2,0)</f>
        <v>050000793121</v>
      </c>
      <c r="C1105" s="13">
        <v>922</v>
      </c>
      <c r="D1105" s="22">
        <f t="shared" si="69"/>
        <v>922</v>
      </c>
      <c r="E1105" s="21" t="s">
        <v>5912</v>
      </c>
      <c r="F1105" s="23" t="str">
        <f t="shared" si="68"/>
        <v>insert into ins_premium_det (premium_rcv_code,assorted_code, rec_amount,premium_rcv_detail_code,remaining_amt, payrec, mode_code,coinsurance_code,class_cd,it_remarks) values</v>
      </c>
      <c r="G1105" s="24" t="str">
        <f t="shared" si="70"/>
        <v>('29Apr250042','050000793121','922',(select max(to_number(i.premium_rcv_detail_code))+1
from ins_premium_det i),'922','922','02', '11000003','00','Request by Mr. Omair Ali 30-Apr-2025');</v>
      </c>
      <c r="H1105" s="25" t="str">
        <f t="shared" si="71"/>
        <v>insert into ins_premium_det (premium_rcv_code,assorted_code, rec_amount,premium_rcv_detail_code,remaining_amt, payrec, mode_code,coinsurance_code,class_cd,it_remarks) values('29Apr250042','050000793121','922',(select max(to_number(i.premium_rcv_detail_code))+1
from ins_premium_det i),'922','922','02', '11000003','00','Request by Mr. Omair Ali 30-Apr-2025');</v>
      </c>
    </row>
    <row r="1106" spans="1:8" ht="105" x14ac:dyDescent="0.25">
      <c r="A1106" t="s">
        <v>866</v>
      </c>
      <c r="B1106" s="1" t="str">
        <f>VLOOKUP(A1106,Sheet5!B:C,2,0)</f>
        <v>050000793130</v>
      </c>
      <c r="C1106" s="13">
        <v>397</v>
      </c>
      <c r="D1106" s="22">
        <f t="shared" si="69"/>
        <v>397</v>
      </c>
      <c r="E1106" s="21" t="s">
        <v>5912</v>
      </c>
      <c r="F1106" s="23" t="str">
        <f t="shared" si="68"/>
        <v>insert into ins_premium_det (premium_rcv_code,assorted_code, rec_amount,premium_rcv_detail_code,remaining_amt, payrec, mode_code,coinsurance_code,class_cd,it_remarks) values</v>
      </c>
      <c r="G1106" s="24" t="str">
        <f t="shared" si="70"/>
        <v>('29Apr250042','050000793130','397',(select max(to_number(i.premium_rcv_detail_code))+1
from ins_premium_det i),'397','397','02', '11000003','00','Request by Mr. Omair Ali 30-Apr-2025');</v>
      </c>
      <c r="H1106" s="25" t="str">
        <f t="shared" si="71"/>
        <v>insert into ins_premium_det (premium_rcv_code,assorted_code, rec_amount,premium_rcv_detail_code,remaining_amt, payrec, mode_code,coinsurance_code,class_cd,it_remarks) values('29Apr250042','050000793130','397',(select max(to_number(i.premium_rcv_detail_code))+1
from ins_premium_det i),'397','397','02', '11000003','00','Request by Mr. Omair Ali 30-Apr-2025');</v>
      </c>
    </row>
    <row r="1107" spans="1:8" ht="105" x14ac:dyDescent="0.25">
      <c r="A1107" t="s">
        <v>1376</v>
      </c>
      <c r="B1107" s="1" t="str">
        <f>VLOOKUP(A1107,Sheet5!B:C,2,0)</f>
        <v>050000793134</v>
      </c>
      <c r="C1107" s="13">
        <v>1601</v>
      </c>
      <c r="D1107" s="22">
        <f t="shared" si="69"/>
        <v>1601</v>
      </c>
      <c r="E1107" s="21" t="s">
        <v>5912</v>
      </c>
      <c r="F1107" s="23" t="str">
        <f t="shared" si="68"/>
        <v>insert into ins_premium_det (premium_rcv_code,assorted_code, rec_amount,premium_rcv_detail_code,remaining_amt, payrec, mode_code,coinsurance_code,class_cd,it_remarks) values</v>
      </c>
      <c r="G1107" s="24" t="str">
        <f t="shared" si="70"/>
        <v>('29Apr250042','050000793134','1601',(select max(to_number(i.premium_rcv_detail_code))+1
from ins_premium_det i),'1601','1601','02', '11000003','00','Request by Mr. Omair Ali 30-Apr-2025');</v>
      </c>
      <c r="H1107" s="25" t="str">
        <f t="shared" si="71"/>
        <v>insert into ins_premium_det (premium_rcv_code,assorted_code, rec_amount,premium_rcv_detail_code,remaining_amt, payrec, mode_code,coinsurance_code,class_cd,it_remarks) values('29Apr250042','050000793134','1601',(select max(to_number(i.premium_rcv_detail_code))+1
from ins_premium_det i),'1601','1601','02', '11000003','00','Request by Mr. Omair Ali 30-Apr-2025');</v>
      </c>
    </row>
    <row r="1108" spans="1:8" ht="105" x14ac:dyDescent="0.25">
      <c r="A1108" t="s">
        <v>1410</v>
      </c>
      <c r="B1108" s="1" t="str">
        <f>VLOOKUP(A1108,Sheet5!B:C,2,0)</f>
        <v>050000793138</v>
      </c>
      <c r="C1108" s="13">
        <v>2984</v>
      </c>
      <c r="D1108" s="22">
        <f t="shared" si="69"/>
        <v>2984</v>
      </c>
      <c r="E1108" s="21" t="s">
        <v>5912</v>
      </c>
      <c r="F1108" s="23" t="str">
        <f t="shared" si="68"/>
        <v>insert into ins_premium_det (premium_rcv_code,assorted_code, rec_amount,premium_rcv_detail_code,remaining_amt, payrec, mode_code,coinsurance_code,class_cd,it_remarks) values</v>
      </c>
      <c r="G1108" s="24" t="str">
        <f t="shared" si="70"/>
        <v>('29Apr250042','050000793138','2984',(select max(to_number(i.premium_rcv_detail_code))+1
from ins_premium_det i),'2984','2984','02', '11000003','00','Request by Mr. Omair Ali 30-Apr-2025');</v>
      </c>
      <c r="H1108" s="25" t="str">
        <f t="shared" si="71"/>
        <v>insert into ins_premium_det (premium_rcv_code,assorted_code, rec_amount,premium_rcv_detail_code,remaining_amt, payrec, mode_code,coinsurance_code,class_cd,it_remarks) values('29Apr250042','050000793138','2984',(select max(to_number(i.premium_rcv_detail_code))+1
from ins_premium_det i),'2984','2984','02', '11000003','00','Request by Mr. Omair Ali 30-Apr-2025');</v>
      </c>
    </row>
    <row r="1109" spans="1:8" ht="105" x14ac:dyDescent="0.25">
      <c r="A1109" t="s">
        <v>1497</v>
      </c>
      <c r="B1109" s="1" t="str">
        <f>VLOOKUP(A1109,Sheet5!B:C,2,0)</f>
        <v>050000793141</v>
      </c>
      <c r="C1109" s="13">
        <v>996</v>
      </c>
      <c r="D1109" s="22">
        <f t="shared" si="69"/>
        <v>996</v>
      </c>
      <c r="E1109" s="21" t="s">
        <v>5912</v>
      </c>
      <c r="F1109" s="23" t="str">
        <f t="shared" si="68"/>
        <v>insert into ins_premium_det (premium_rcv_code,assorted_code, rec_amount,premium_rcv_detail_code,remaining_amt, payrec, mode_code,coinsurance_code,class_cd,it_remarks) values</v>
      </c>
      <c r="G1109" s="24" t="str">
        <f t="shared" si="70"/>
        <v>('29Apr250042','050000793141','996',(select max(to_number(i.premium_rcv_detail_code))+1
from ins_premium_det i),'996','996','02', '11000003','00','Request by Mr. Omair Ali 30-Apr-2025');</v>
      </c>
      <c r="H1109" s="25" t="str">
        <f t="shared" si="71"/>
        <v>insert into ins_premium_det (premium_rcv_code,assorted_code, rec_amount,premium_rcv_detail_code,remaining_amt, payrec, mode_code,coinsurance_code,class_cd,it_remarks) values('29Apr250042','050000793141','996',(select max(to_number(i.premium_rcv_detail_code))+1
from ins_premium_det i),'996','996','02', '11000003','00','Request by Mr. Omair Ali 30-Apr-2025');</v>
      </c>
    </row>
    <row r="1110" spans="1:8" ht="105" x14ac:dyDescent="0.25">
      <c r="A1110" t="s">
        <v>1507</v>
      </c>
      <c r="B1110" s="1" t="str">
        <f>VLOOKUP(A1110,Sheet5!B:C,2,0)</f>
        <v>050000793142</v>
      </c>
      <c r="C1110" s="13">
        <v>7998</v>
      </c>
      <c r="D1110" s="22">
        <f t="shared" si="69"/>
        <v>7998</v>
      </c>
      <c r="E1110" s="21" t="s">
        <v>5912</v>
      </c>
      <c r="F1110" s="23" t="str">
        <f t="shared" si="68"/>
        <v>insert into ins_premium_det (premium_rcv_code,assorted_code, rec_amount,premium_rcv_detail_code,remaining_amt, payrec, mode_code,coinsurance_code,class_cd,it_remarks) values</v>
      </c>
      <c r="G1110" s="24" t="str">
        <f t="shared" si="70"/>
        <v>('29Apr250042','050000793142','7998',(select max(to_number(i.premium_rcv_detail_code))+1
from ins_premium_det i),'7998','7998','02', '11000003','00','Request by Mr. Omair Ali 30-Apr-2025');</v>
      </c>
      <c r="H1110" s="25" t="str">
        <f t="shared" si="71"/>
        <v>insert into ins_premium_det (premium_rcv_code,assorted_code, rec_amount,premium_rcv_detail_code,remaining_amt, payrec, mode_code,coinsurance_code,class_cd,it_remarks) values('29Apr250042','050000793142','7998',(select max(to_number(i.premium_rcv_detail_code))+1
from ins_premium_det i),'7998','7998','02', '11000003','00','Request by Mr. Omair Ali 30-Apr-2025');</v>
      </c>
    </row>
    <row r="1111" spans="1:8" ht="105" x14ac:dyDescent="0.25">
      <c r="A1111" t="s">
        <v>1785</v>
      </c>
      <c r="B1111" s="1" t="str">
        <f>VLOOKUP(A1111,Sheet5!B:C,2,0)</f>
        <v>050000793147</v>
      </c>
      <c r="C1111" s="13">
        <v>5394</v>
      </c>
      <c r="D1111" s="22">
        <f t="shared" si="69"/>
        <v>5394</v>
      </c>
      <c r="E1111" s="21" t="s">
        <v>5912</v>
      </c>
      <c r="F1111" s="23" t="str">
        <f t="shared" si="68"/>
        <v>insert into ins_premium_det (premium_rcv_code,assorted_code, rec_amount,premium_rcv_detail_code,remaining_amt, payrec, mode_code,coinsurance_code,class_cd,it_remarks) values</v>
      </c>
      <c r="G1111" s="24" t="str">
        <f t="shared" si="70"/>
        <v>('29Apr250042','050000793147','5394',(select max(to_number(i.premium_rcv_detail_code))+1
from ins_premium_det i),'5394','5394','02', '11000003','00','Request by Mr. Omair Ali 30-Apr-2025');</v>
      </c>
      <c r="H1111" s="25" t="str">
        <f t="shared" si="71"/>
        <v>insert into ins_premium_det (premium_rcv_code,assorted_code, rec_amount,premium_rcv_detail_code,remaining_amt, payrec, mode_code,coinsurance_code,class_cd,it_remarks) values('29Apr250042','050000793147','5394',(select max(to_number(i.premium_rcv_detail_code))+1
from ins_premium_det i),'5394','5394','02', '11000003','00','Request by Mr. Omair Ali 30-Apr-2025');</v>
      </c>
    </row>
    <row r="1112" spans="1:8" ht="105" x14ac:dyDescent="0.25">
      <c r="A1112" t="s">
        <v>1977</v>
      </c>
      <c r="B1112" s="1" t="str">
        <f>VLOOKUP(A1112,Sheet5!B:C,2,0)</f>
        <v>050000793154</v>
      </c>
      <c r="C1112" s="13">
        <v>3935</v>
      </c>
      <c r="D1112" s="22">
        <f t="shared" si="69"/>
        <v>3935</v>
      </c>
      <c r="E1112" s="21" t="s">
        <v>5912</v>
      </c>
      <c r="F1112" s="23" t="str">
        <f t="shared" si="68"/>
        <v>insert into ins_premium_det (premium_rcv_code,assorted_code, rec_amount,premium_rcv_detail_code,remaining_amt, payrec, mode_code,coinsurance_code,class_cd,it_remarks) values</v>
      </c>
      <c r="G1112" s="24" t="str">
        <f t="shared" si="70"/>
        <v>('29Apr250042','050000793154','3935',(select max(to_number(i.premium_rcv_detail_code))+1
from ins_premium_det i),'3935','3935','02', '11000003','00','Request by Mr. Omair Ali 30-Apr-2025');</v>
      </c>
      <c r="H1112" s="25" t="str">
        <f t="shared" si="71"/>
        <v>insert into ins_premium_det (premium_rcv_code,assorted_code, rec_amount,premium_rcv_detail_code,remaining_amt, payrec, mode_code,coinsurance_code,class_cd,it_remarks) values('29Apr250042','050000793154','3935',(select max(to_number(i.premium_rcv_detail_code))+1
from ins_premium_det i),'3935','3935','02', '11000003','00','Request by Mr. Omair Ali 30-Apr-2025');</v>
      </c>
    </row>
    <row r="1113" spans="1:8" ht="105" x14ac:dyDescent="0.25">
      <c r="A1113" t="s">
        <v>1032</v>
      </c>
      <c r="B1113" s="1" t="str">
        <f>VLOOKUP(A1113,Sheet5!B:C,2,0)</f>
        <v>050000795357</v>
      </c>
      <c r="C1113" s="13">
        <v>1243</v>
      </c>
      <c r="D1113" s="22">
        <f t="shared" si="69"/>
        <v>1243</v>
      </c>
      <c r="E1113" s="21" t="s">
        <v>5912</v>
      </c>
      <c r="F1113" s="23" t="str">
        <f t="shared" si="68"/>
        <v>insert into ins_premium_det (premium_rcv_code,assorted_code, rec_amount,premium_rcv_detail_code,remaining_amt, payrec, mode_code,coinsurance_code,class_cd,it_remarks) values</v>
      </c>
      <c r="G1113" s="24" t="str">
        <f t="shared" si="70"/>
        <v>('29Apr250042','050000795357','1243',(select max(to_number(i.premium_rcv_detail_code))+1
from ins_premium_det i),'1243','1243','02', '11000003','00','Request by Mr. Omair Ali 30-Apr-2025');</v>
      </c>
      <c r="H1113" s="25" t="str">
        <f t="shared" si="71"/>
        <v>insert into ins_premium_det (premium_rcv_code,assorted_code, rec_amount,premium_rcv_detail_code,remaining_amt, payrec, mode_code,coinsurance_code,class_cd,it_remarks) values('29Apr250042','050000795357','1243',(select max(to_number(i.premium_rcv_detail_code))+1
from ins_premium_det i),'1243','1243','02', '11000003','00','Request by Mr. Omair Ali 30-Apr-2025');</v>
      </c>
    </row>
    <row r="1114" spans="1:8" ht="105" x14ac:dyDescent="0.25">
      <c r="A1114" t="s">
        <v>1114</v>
      </c>
      <c r="B1114" s="1" t="str">
        <f>VLOOKUP(A1114,Sheet5!B:C,2,0)</f>
        <v>050000795362</v>
      </c>
      <c r="C1114" s="13">
        <v>906</v>
      </c>
      <c r="D1114" s="22">
        <f t="shared" si="69"/>
        <v>906</v>
      </c>
      <c r="E1114" s="21" t="s">
        <v>5912</v>
      </c>
      <c r="F1114" s="23" t="str">
        <f t="shared" si="68"/>
        <v>insert into ins_premium_det (premium_rcv_code,assorted_code, rec_amount,premium_rcv_detail_code,remaining_amt, payrec, mode_code,coinsurance_code,class_cd,it_remarks) values</v>
      </c>
      <c r="G1114" s="24" t="str">
        <f t="shared" si="70"/>
        <v>('29Apr250042','050000795362','906',(select max(to_number(i.premium_rcv_detail_code))+1
from ins_premium_det i),'906','906','02', '11000003','00','Request by Mr. Omair Ali 30-Apr-2025');</v>
      </c>
      <c r="H1114" s="25" t="str">
        <f t="shared" si="71"/>
        <v>insert into ins_premium_det (premium_rcv_code,assorted_code, rec_amount,premium_rcv_detail_code,remaining_amt, payrec, mode_code,coinsurance_code,class_cd,it_remarks) values('29Apr250042','050000795362','906',(select max(to_number(i.premium_rcv_detail_code))+1
from ins_premium_det i),'906','906','02', '11000003','00','Request by Mr. Omair Ali 30-Apr-2025');</v>
      </c>
    </row>
    <row r="1115" spans="1:8" ht="105" x14ac:dyDescent="0.25">
      <c r="A1115" t="s">
        <v>1173</v>
      </c>
      <c r="B1115" s="1" t="str">
        <f>VLOOKUP(A1115,Sheet5!B:C,2,0)</f>
        <v>050000795364</v>
      </c>
      <c r="C1115" s="13">
        <v>8029</v>
      </c>
      <c r="D1115" s="22">
        <f t="shared" si="69"/>
        <v>8029</v>
      </c>
      <c r="E1115" s="21" t="s">
        <v>5912</v>
      </c>
      <c r="F1115" s="23" t="str">
        <f t="shared" si="68"/>
        <v>insert into ins_premium_det (premium_rcv_code,assorted_code, rec_amount,premium_rcv_detail_code,remaining_amt, payrec, mode_code,coinsurance_code,class_cd,it_remarks) values</v>
      </c>
      <c r="G1115" s="24" t="str">
        <f t="shared" si="70"/>
        <v>('29Apr250042','050000795364','8029',(select max(to_number(i.premium_rcv_detail_code))+1
from ins_premium_det i),'8029','8029','02', '11000003','00','Request by Mr. Omair Ali 30-Apr-2025');</v>
      </c>
      <c r="H1115" s="25" t="str">
        <f t="shared" si="71"/>
        <v>insert into ins_premium_det (premium_rcv_code,assorted_code, rec_amount,premium_rcv_detail_code,remaining_amt, payrec, mode_code,coinsurance_code,class_cd,it_remarks) values('29Apr250042','050000795364','8029',(select max(to_number(i.premium_rcv_detail_code))+1
from ins_premium_det i),'8029','8029','02', '11000003','00','Request by Mr. Omair Ali 30-Apr-2025');</v>
      </c>
    </row>
    <row r="1116" spans="1:8" ht="105" x14ac:dyDescent="0.25">
      <c r="A1116" t="s">
        <v>1186</v>
      </c>
      <c r="B1116" s="1" t="str">
        <f>VLOOKUP(A1116,Sheet5!B:C,2,0)</f>
        <v>050000795366</v>
      </c>
      <c r="C1116" s="13">
        <v>450</v>
      </c>
      <c r="D1116" s="22">
        <f t="shared" si="69"/>
        <v>450</v>
      </c>
      <c r="E1116" s="21" t="s">
        <v>5912</v>
      </c>
      <c r="F1116" s="23" t="str">
        <f t="shared" si="68"/>
        <v>insert into ins_premium_det (premium_rcv_code,assorted_code, rec_amount,premium_rcv_detail_code,remaining_amt, payrec, mode_code,coinsurance_code,class_cd,it_remarks) values</v>
      </c>
      <c r="G1116" s="24" t="str">
        <f t="shared" si="70"/>
        <v>('29Apr250042','050000795366','450',(select max(to_number(i.premium_rcv_detail_code))+1
from ins_premium_det i),'450','450','02', '11000003','00','Request by Mr. Omair Ali 30-Apr-2025');</v>
      </c>
      <c r="H1116" s="25" t="str">
        <f t="shared" si="71"/>
        <v>insert into ins_premium_det (premium_rcv_code,assorted_code, rec_amount,premium_rcv_detail_code,remaining_amt, payrec, mode_code,coinsurance_code,class_cd,it_remarks) values('29Apr250042','050000795366','450',(select max(to_number(i.premium_rcv_detail_code))+1
from ins_premium_det i),'450','450','02', '11000003','00','Request by Mr. Omair Ali 30-Apr-2025');</v>
      </c>
    </row>
    <row r="1117" spans="1:8" ht="105" x14ac:dyDescent="0.25">
      <c r="A1117" t="s">
        <v>1199</v>
      </c>
      <c r="B1117" s="1" t="str">
        <f>VLOOKUP(A1117,Sheet5!B:C,2,0)</f>
        <v>050000795368</v>
      </c>
      <c r="C1117" s="13">
        <v>741</v>
      </c>
      <c r="D1117" s="22">
        <f t="shared" si="69"/>
        <v>741</v>
      </c>
      <c r="E1117" s="21" t="s">
        <v>5912</v>
      </c>
      <c r="F1117" s="23" t="str">
        <f t="shared" si="68"/>
        <v>insert into ins_premium_det (premium_rcv_code,assorted_code, rec_amount,premium_rcv_detail_code,remaining_amt, payrec, mode_code,coinsurance_code,class_cd,it_remarks) values</v>
      </c>
      <c r="G1117" s="24" t="str">
        <f t="shared" si="70"/>
        <v>('29Apr250042','050000795368','741',(select max(to_number(i.premium_rcv_detail_code))+1
from ins_premium_det i),'741','741','02', '11000003','00','Request by Mr. Omair Ali 30-Apr-2025');</v>
      </c>
      <c r="H1117" s="25" t="str">
        <f t="shared" si="71"/>
        <v>insert into ins_premium_det (premium_rcv_code,assorted_code, rec_amount,premium_rcv_detail_code,remaining_amt, payrec, mode_code,coinsurance_code,class_cd,it_remarks) values('29Apr250042','050000795368','741',(select max(to_number(i.premium_rcv_detail_code))+1
from ins_premium_det i),'741','741','02', '11000003','00','Request by Mr. Omair Ali 30-Apr-2025');</v>
      </c>
    </row>
    <row r="1118" spans="1:8" ht="105" x14ac:dyDescent="0.25">
      <c r="A1118" t="s">
        <v>1540</v>
      </c>
      <c r="B1118" s="1" t="str">
        <f>VLOOKUP(A1118,Sheet5!B:C,2,0)</f>
        <v>050000795372</v>
      </c>
      <c r="C1118" s="13">
        <v>3813</v>
      </c>
      <c r="D1118" s="22">
        <f t="shared" si="69"/>
        <v>3813</v>
      </c>
      <c r="E1118" s="21" t="s">
        <v>5912</v>
      </c>
      <c r="F1118" s="23" t="str">
        <f t="shared" si="68"/>
        <v>insert into ins_premium_det (premium_rcv_code,assorted_code, rec_amount,premium_rcv_detail_code,remaining_amt, payrec, mode_code,coinsurance_code,class_cd,it_remarks) values</v>
      </c>
      <c r="G1118" s="24" t="str">
        <f t="shared" si="70"/>
        <v>('29Apr250042','050000795372','3813',(select max(to_number(i.premium_rcv_detail_code))+1
from ins_premium_det i),'3813','3813','02', '11000003','00','Request by Mr. Omair Ali 30-Apr-2025');</v>
      </c>
      <c r="H1118" s="25" t="str">
        <f t="shared" si="71"/>
        <v>insert into ins_premium_det (premium_rcv_code,assorted_code, rec_amount,premium_rcv_detail_code,remaining_amt, payrec, mode_code,coinsurance_code,class_cd,it_remarks) values('29Apr250042','050000795372','3813',(select max(to_number(i.premium_rcv_detail_code))+1
from ins_premium_det i),'3813','3813','02', '11000003','00','Request by Mr. Omair Ali 30-Apr-2025');</v>
      </c>
    </row>
    <row r="1119" spans="1:8" ht="105" x14ac:dyDescent="0.25">
      <c r="A1119" t="s">
        <v>1612</v>
      </c>
      <c r="B1119" s="1" t="str">
        <f>VLOOKUP(A1119,Sheet5!B:C,2,0)</f>
        <v>050000795374</v>
      </c>
      <c r="C1119" s="13">
        <v>3285</v>
      </c>
      <c r="D1119" s="22">
        <f t="shared" si="69"/>
        <v>3285</v>
      </c>
      <c r="E1119" s="21" t="s">
        <v>5912</v>
      </c>
      <c r="F1119" s="23" t="str">
        <f t="shared" si="68"/>
        <v>insert into ins_premium_det (premium_rcv_code,assorted_code, rec_amount,premium_rcv_detail_code,remaining_amt, payrec, mode_code,coinsurance_code,class_cd,it_remarks) values</v>
      </c>
      <c r="G1119" s="24" t="str">
        <f t="shared" si="70"/>
        <v>('29Apr250042','050000795374','3285',(select max(to_number(i.premium_rcv_detail_code))+1
from ins_premium_det i),'3285','3285','02', '11000003','00','Request by Mr. Omair Ali 30-Apr-2025');</v>
      </c>
      <c r="H1119" s="25" t="str">
        <f t="shared" si="71"/>
        <v>insert into ins_premium_det (premium_rcv_code,assorted_code, rec_amount,premium_rcv_detail_code,remaining_amt, payrec, mode_code,coinsurance_code,class_cd,it_remarks) values('29Apr250042','050000795374','3285',(select max(to_number(i.premium_rcv_detail_code))+1
from ins_premium_det i),'3285','3285','02', '11000003','00','Request by Mr. Omair Ali 30-Apr-2025');</v>
      </c>
    </row>
    <row r="1120" spans="1:8" ht="105" x14ac:dyDescent="0.25">
      <c r="A1120" t="s">
        <v>1087</v>
      </c>
      <c r="B1120" s="1" t="str">
        <f>VLOOKUP(A1120,Sheet5!B:C,2,0)</f>
        <v>050000798048</v>
      </c>
      <c r="C1120" s="13">
        <v>406</v>
      </c>
      <c r="D1120" s="22">
        <f t="shared" si="69"/>
        <v>406</v>
      </c>
      <c r="E1120" s="21" t="s">
        <v>5912</v>
      </c>
      <c r="F1120" s="23" t="str">
        <f t="shared" si="68"/>
        <v>insert into ins_premium_det (premium_rcv_code,assorted_code, rec_amount,premium_rcv_detail_code,remaining_amt, payrec, mode_code,coinsurance_code,class_cd,it_remarks) values</v>
      </c>
      <c r="G1120" s="24" t="str">
        <f t="shared" si="70"/>
        <v>('29Apr250042','050000798048','406',(select max(to_number(i.premium_rcv_detail_code))+1
from ins_premium_det i),'406','406','02', '11000003','00','Request by Mr. Omair Ali 30-Apr-2025');</v>
      </c>
      <c r="H1120" s="25" t="str">
        <f t="shared" si="71"/>
        <v>insert into ins_premium_det (premium_rcv_code,assorted_code, rec_amount,premium_rcv_detail_code,remaining_amt, payrec, mode_code,coinsurance_code,class_cd,it_remarks) values('29Apr250042','050000798048','406',(select max(to_number(i.premium_rcv_detail_code))+1
from ins_premium_det i),'406','406','02', '11000003','00','Request by Mr. Omair Ali 30-Apr-2025');</v>
      </c>
    </row>
    <row r="1121" spans="1:8" ht="105" x14ac:dyDescent="0.25">
      <c r="A1121" t="s">
        <v>1218</v>
      </c>
      <c r="B1121" s="1" t="str">
        <f>VLOOKUP(A1121,Sheet5!B:C,2,0)</f>
        <v>050000798163</v>
      </c>
      <c r="C1121" s="13">
        <v>-1827</v>
      </c>
      <c r="D1121" s="22">
        <f t="shared" si="69"/>
        <v>-1827</v>
      </c>
      <c r="E1121" s="21" t="s">
        <v>5912</v>
      </c>
      <c r="F1121" s="23" t="str">
        <f t="shared" si="68"/>
        <v>insert into ins_premium_det (premium_rcv_code,assorted_code, rec_amount,premium_rcv_detail_code,remaining_amt, payrec, mode_code,coinsurance_code,class_cd,it_remarks) values</v>
      </c>
      <c r="G1121" s="24" t="str">
        <f t="shared" si="70"/>
        <v>('29Apr250042','050000798163','-1827',(select max(to_number(i.premium_rcv_detail_code))+1
from ins_premium_det i),'-1827','-1827','02', '11000003','00','Request by Mr. Omair Ali 30-Apr-2025');</v>
      </c>
      <c r="H1121" s="25" t="str">
        <f t="shared" si="71"/>
        <v>insert into ins_premium_det (premium_rcv_code,assorted_code, rec_amount,premium_rcv_detail_code,remaining_amt, payrec, mode_code,coinsurance_code,class_cd,it_remarks) values('29Apr250042','050000798163','-1827',(select max(to_number(i.premium_rcv_detail_code))+1
from ins_premium_det i),'-1827','-1827','02', '11000003','00','Request by Mr. Omair Ali 30-Apr-2025');</v>
      </c>
    </row>
    <row r="1122" spans="1:8" ht="105" x14ac:dyDescent="0.25">
      <c r="A1122" t="s">
        <v>880</v>
      </c>
      <c r="B1122" s="1" t="str">
        <f>VLOOKUP(A1122,Sheet5!B:C,2,0)</f>
        <v>050000798194</v>
      </c>
      <c r="C1122" s="13">
        <v>5503</v>
      </c>
      <c r="D1122" s="22">
        <f t="shared" si="69"/>
        <v>5503</v>
      </c>
      <c r="E1122" s="21" t="s">
        <v>5912</v>
      </c>
      <c r="F1122" s="23" t="str">
        <f t="shared" si="68"/>
        <v>insert into ins_premium_det (premium_rcv_code,assorted_code, rec_amount,premium_rcv_detail_code,remaining_amt, payrec, mode_code,coinsurance_code,class_cd,it_remarks) values</v>
      </c>
      <c r="G1122" s="24" t="str">
        <f t="shared" si="70"/>
        <v>('29Apr250042','050000798194','5503',(select max(to_number(i.premium_rcv_detail_code))+1
from ins_premium_det i),'5503','5503','02', '11000003','00','Request by Mr. Omair Ali 30-Apr-2025');</v>
      </c>
      <c r="H1122" s="25" t="str">
        <f t="shared" si="71"/>
        <v>insert into ins_premium_det (premium_rcv_code,assorted_code, rec_amount,premium_rcv_detail_code,remaining_amt, payrec, mode_code,coinsurance_code,class_cd,it_remarks) values('29Apr250042','050000798194','5503',(select max(to_number(i.premium_rcv_detail_code))+1
from ins_premium_det i),'5503','5503','02', '11000003','00','Request by Mr. Omair Ali 30-Apr-2025');</v>
      </c>
    </row>
    <row r="1123" spans="1:8" ht="105" x14ac:dyDescent="0.25">
      <c r="A1123" t="s">
        <v>1555</v>
      </c>
      <c r="B1123" s="1" t="str">
        <f>VLOOKUP(A1123,Sheet5!B:C,2,0)</f>
        <v>050000798230</v>
      </c>
      <c r="C1123" s="13">
        <v>5919</v>
      </c>
      <c r="D1123" s="22">
        <f t="shared" si="69"/>
        <v>5919</v>
      </c>
      <c r="E1123" s="21" t="s">
        <v>5912</v>
      </c>
      <c r="F1123" s="23" t="str">
        <f t="shared" si="68"/>
        <v>insert into ins_premium_det (premium_rcv_code,assorted_code, rec_amount,premium_rcv_detail_code,remaining_amt, payrec, mode_code,coinsurance_code,class_cd,it_remarks) values</v>
      </c>
      <c r="G1123" s="24" t="str">
        <f t="shared" si="70"/>
        <v>('29Apr250042','050000798230','5919',(select max(to_number(i.premium_rcv_detail_code))+1
from ins_premium_det i),'5919','5919','02', '11000003','00','Request by Mr. Omair Ali 30-Apr-2025');</v>
      </c>
      <c r="H1123" s="25" t="str">
        <f t="shared" si="71"/>
        <v>insert into ins_premium_det (premium_rcv_code,assorted_code, rec_amount,premium_rcv_detail_code,remaining_amt, payrec, mode_code,coinsurance_code,class_cd,it_remarks) values('29Apr250042','050000798230','5919',(select max(to_number(i.premium_rcv_detail_code))+1
from ins_premium_det i),'5919','5919','02', '11000003','00','Request by Mr. Omair Ali 30-Apr-2025');</v>
      </c>
    </row>
    <row r="1124" spans="1:8" ht="105" x14ac:dyDescent="0.25">
      <c r="A1124" t="s">
        <v>1623</v>
      </c>
      <c r="B1124" s="1" t="str">
        <f>VLOOKUP(A1124,Sheet5!B:C,2,0)</f>
        <v>050000798233</v>
      </c>
      <c r="C1124" s="13">
        <v>3968</v>
      </c>
      <c r="D1124" s="22">
        <f t="shared" si="69"/>
        <v>3968</v>
      </c>
      <c r="E1124" s="21" t="s">
        <v>5912</v>
      </c>
      <c r="F1124" s="23" t="str">
        <f t="shared" si="68"/>
        <v>insert into ins_premium_det (premium_rcv_code,assorted_code, rec_amount,premium_rcv_detail_code,remaining_amt, payrec, mode_code,coinsurance_code,class_cd,it_remarks) values</v>
      </c>
      <c r="G1124" s="24" t="str">
        <f t="shared" si="70"/>
        <v>('29Apr250042','050000798233','3968',(select max(to_number(i.premium_rcv_detail_code))+1
from ins_premium_det i),'3968','3968','02', '11000003','00','Request by Mr. Omair Ali 30-Apr-2025');</v>
      </c>
      <c r="H1124" s="25" t="str">
        <f t="shared" si="71"/>
        <v>insert into ins_premium_det (premium_rcv_code,assorted_code, rec_amount,premium_rcv_detail_code,remaining_amt, payrec, mode_code,coinsurance_code,class_cd,it_remarks) values('29Apr250042','050000798233','3968',(select max(to_number(i.premium_rcv_detail_code))+1
from ins_premium_det i),'3968','3968','02', '11000003','00','Request by Mr. Omair Ali 30-Apr-2025');</v>
      </c>
    </row>
    <row r="1125" spans="1:8" ht="105" x14ac:dyDescent="0.25">
      <c r="A1125" t="s">
        <v>1645</v>
      </c>
      <c r="B1125" s="1" t="str">
        <f>VLOOKUP(A1125,Sheet5!B:C,2,0)</f>
        <v>050000798235</v>
      </c>
      <c r="C1125" s="13">
        <v>2155</v>
      </c>
      <c r="D1125" s="22">
        <f t="shared" si="69"/>
        <v>2155</v>
      </c>
      <c r="E1125" s="21" t="s">
        <v>5912</v>
      </c>
      <c r="F1125" s="23" t="str">
        <f t="shared" si="68"/>
        <v>insert into ins_premium_det (premium_rcv_code,assorted_code, rec_amount,premium_rcv_detail_code,remaining_amt, payrec, mode_code,coinsurance_code,class_cd,it_remarks) values</v>
      </c>
      <c r="G1125" s="24" t="str">
        <f t="shared" si="70"/>
        <v>('29Apr250042','050000798235','2155',(select max(to_number(i.premium_rcv_detail_code))+1
from ins_premium_det i),'2155','2155','02', '11000003','00','Request by Mr. Omair Ali 30-Apr-2025');</v>
      </c>
      <c r="H1125" s="25" t="str">
        <f t="shared" si="71"/>
        <v>insert into ins_premium_det (premium_rcv_code,assorted_code, rec_amount,premium_rcv_detail_code,remaining_amt, payrec, mode_code,coinsurance_code,class_cd,it_remarks) values('29Apr250042','050000798235','2155',(select max(to_number(i.premium_rcv_detail_code))+1
from ins_premium_det i),'2155','2155','02', '11000003','00','Request by Mr. Omair Ali 30-Apr-2025');</v>
      </c>
    </row>
    <row r="1126" spans="1:8" ht="105" x14ac:dyDescent="0.25">
      <c r="A1126" t="s">
        <v>1654</v>
      </c>
      <c r="B1126" s="1" t="str">
        <f>VLOOKUP(A1126,Sheet5!B:C,2,0)</f>
        <v>050000798239</v>
      </c>
      <c r="C1126" s="13">
        <v>256</v>
      </c>
      <c r="D1126" s="22">
        <f t="shared" si="69"/>
        <v>256</v>
      </c>
      <c r="E1126" s="21" t="s">
        <v>5912</v>
      </c>
      <c r="F1126" s="23" t="str">
        <f t="shared" si="68"/>
        <v>insert into ins_premium_det (premium_rcv_code,assorted_code, rec_amount,premium_rcv_detail_code,remaining_amt, payrec, mode_code,coinsurance_code,class_cd,it_remarks) values</v>
      </c>
      <c r="G1126" s="24" t="str">
        <f t="shared" si="70"/>
        <v>('29Apr250042','050000798239','256',(select max(to_number(i.premium_rcv_detail_code))+1
from ins_premium_det i),'256','256','02', '11000003','00','Request by Mr. Omair Ali 30-Apr-2025');</v>
      </c>
      <c r="H1126" s="25" t="str">
        <f t="shared" si="71"/>
        <v>insert into ins_premium_det (premium_rcv_code,assorted_code, rec_amount,premium_rcv_detail_code,remaining_amt, payrec, mode_code,coinsurance_code,class_cd,it_remarks) values('29Apr250042','050000798239','256',(select max(to_number(i.premium_rcv_detail_code))+1
from ins_premium_det i),'256','256','02', '11000003','00','Request by Mr. Omair Ali 30-Apr-2025');</v>
      </c>
    </row>
    <row r="1127" spans="1:8" ht="105" x14ac:dyDescent="0.25">
      <c r="A1127" t="s">
        <v>1668</v>
      </c>
      <c r="B1127" s="1" t="str">
        <f>VLOOKUP(A1127,Sheet5!B:C,2,0)</f>
        <v>050000798240</v>
      </c>
      <c r="C1127" s="13">
        <v>4566</v>
      </c>
      <c r="D1127" s="22">
        <f t="shared" si="69"/>
        <v>4566</v>
      </c>
      <c r="E1127" s="21" t="s">
        <v>5912</v>
      </c>
      <c r="F1127" s="23" t="str">
        <f t="shared" si="68"/>
        <v>insert into ins_premium_det (premium_rcv_code,assorted_code, rec_amount,premium_rcv_detail_code,remaining_amt, payrec, mode_code,coinsurance_code,class_cd,it_remarks) values</v>
      </c>
      <c r="G1127" s="24" t="str">
        <f t="shared" si="70"/>
        <v>('29Apr250042','050000798240','4566',(select max(to_number(i.premium_rcv_detail_code))+1
from ins_premium_det i),'4566','4566','02', '11000003','00','Request by Mr. Omair Ali 30-Apr-2025');</v>
      </c>
      <c r="H1127" s="25" t="str">
        <f t="shared" si="71"/>
        <v>insert into ins_premium_det (premium_rcv_code,assorted_code, rec_amount,premium_rcv_detail_code,remaining_amt, payrec, mode_code,coinsurance_code,class_cd,it_remarks) values('29Apr250042','050000798240','4566',(select max(to_number(i.premium_rcv_detail_code))+1
from ins_premium_det i),'4566','4566','02', '11000003','00','Request by Mr. Omair Ali 30-Apr-2025');</v>
      </c>
    </row>
    <row r="1128" spans="1:8" ht="105" x14ac:dyDescent="0.25">
      <c r="A1128" t="s">
        <v>1678</v>
      </c>
      <c r="B1128" s="1" t="str">
        <f>VLOOKUP(A1128,Sheet5!B:C,2,0)</f>
        <v>050000798241</v>
      </c>
      <c r="C1128" s="13">
        <v>1432</v>
      </c>
      <c r="D1128" s="22">
        <f t="shared" si="69"/>
        <v>1432</v>
      </c>
      <c r="E1128" s="21" t="s">
        <v>5912</v>
      </c>
      <c r="F1128" s="23" t="str">
        <f t="shared" si="68"/>
        <v>insert into ins_premium_det (premium_rcv_code,assorted_code, rec_amount,premium_rcv_detail_code,remaining_amt, payrec, mode_code,coinsurance_code,class_cd,it_remarks) values</v>
      </c>
      <c r="G1128" s="24" t="str">
        <f t="shared" si="70"/>
        <v>('29Apr250042','050000798241','1432',(select max(to_number(i.premium_rcv_detail_code))+1
from ins_premium_det i),'1432','1432','02', '11000003','00','Request by Mr. Omair Ali 30-Apr-2025');</v>
      </c>
      <c r="H1128" s="25" t="str">
        <f t="shared" si="71"/>
        <v>insert into ins_premium_det (premium_rcv_code,assorted_code, rec_amount,premium_rcv_detail_code,remaining_amt, payrec, mode_code,coinsurance_code,class_cd,it_remarks) values('29Apr250042','050000798241','1432',(select max(to_number(i.premium_rcv_detail_code))+1
from ins_premium_det i),'1432','1432','02', '11000003','00','Request by Mr. Omair Ali 30-Apr-2025');</v>
      </c>
    </row>
    <row r="1129" spans="1:8" ht="105" x14ac:dyDescent="0.25">
      <c r="A1129" t="s">
        <v>1860</v>
      </c>
      <c r="B1129" s="1" t="str">
        <f>VLOOKUP(A1129,Sheet5!B:C,2,0)</f>
        <v>050000798248</v>
      </c>
      <c r="C1129" s="13">
        <v>3662</v>
      </c>
      <c r="D1129" s="22">
        <f t="shared" si="69"/>
        <v>3662</v>
      </c>
      <c r="E1129" s="21" t="s">
        <v>5912</v>
      </c>
      <c r="F1129" s="23" t="str">
        <f t="shared" si="68"/>
        <v>insert into ins_premium_det (premium_rcv_code,assorted_code, rec_amount,premium_rcv_detail_code,remaining_amt, payrec, mode_code,coinsurance_code,class_cd,it_remarks) values</v>
      </c>
      <c r="G1129" s="24" t="str">
        <f t="shared" si="70"/>
        <v>('29Apr250042','050000798248','3662',(select max(to_number(i.premium_rcv_detail_code))+1
from ins_premium_det i),'3662','3662','02', '11000003','00','Request by Mr. Omair Ali 30-Apr-2025');</v>
      </c>
      <c r="H1129" s="25" t="str">
        <f t="shared" si="71"/>
        <v>insert into ins_premium_det (premium_rcv_code,assorted_code, rec_amount,premium_rcv_detail_code,remaining_amt, payrec, mode_code,coinsurance_code,class_cd,it_remarks) values('29Apr250042','050000798248','3662',(select max(to_number(i.premium_rcv_detail_code))+1
from ins_premium_det i),'3662','3662','02', '11000003','00','Request by Mr. Omair Ali 30-Apr-2025');</v>
      </c>
    </row>
    <row r="1130" spans="1:8" ht="105" x14ac:dyDescent="0.25">
      <c r="A1130" t="s">
        <v>1868</v>
      </c>
      <c r="B1130" s="1" t="str">
        <f>VLOOKUP(A1130,Sheet5!B:C,2,0)</f>
        <v>050000798250</v>
      </c>
      <c r="C1130" s="13">
        <v>4328</v>
      </c>
      <c r="D1130" s="22">
        <f t="shared" si="69"/>
        <v>4328</v>
      </c>
      <c r="E1130" s="21" t="s">
        <v>5912</v>
      </c>
      <c r="F1130" s="23" t="str">
        <f t="shared" si="68"/>
        <v>insert into ins_premium_det (premium_rcv_code,assorted_code, rec_amount,premium_rcv_detail_code,remaining_amt, payrec, mode_code,coinsurance_code,class_cd,it_remarks) values</v>
      </c>
      <c r="G1130" s="24" t="str">
        <f t="shared" si="70"/>
        <v>('29Apr250042','050000798250','4328',(select max(to_number(i.premium_rcv_detail_code))+1
from ins_premium_det i),'4328','4328','02', '11000003','00','Request by Mr. Omair Ali 30-Apr-2025');</v>
      </c>
      <c r="H1130" s="25" t="str">
        <f t="shared" si="71"/>
        <v>insert into ins_premium_det (premium_rcv_code,assorted_code, rec_amount,premium_rcv_detail_code,remaining_amt, payrec, mode_code,coinsurance_code,class_cd,it_remarks) values('29Apr250042','050000798250','4328',(select max(to_number(i.premium_rcv_detail_code))+1
from ins_premium_det i),'4328','4328','02', '11000003','00','Request by Mr. Omair Ali 30-Apr-2025');</v>
      </c>
    </row>
    <row r="1131" spans="1:8" ht="105" x14ac:dyDescent="0.25">
      <c r="A1131" t="s">
        <v>1879</v>
      </c>
      <c r="B1131" s="1" t="str">
        <f>VLOOKUP(A1131,Sheet5!B:C,2,0)</f>
        <v>050000798254</v>
      </c>
      <c r="C1131" s="13">
        <v>1304</v>
      </c>
      <c r="D1131" s="22">
        <f t="shared" si="69"/>
        <v>1304</v>
      </c>
      <c r="E1131" s="21" t="s">
        <v>5912</v>
      </c>
      <c r="F1131" s="23" t="str">
        <f t="shared" si="68"/>
        <v>insert into ins_premium_det (premium_rcv_code,assorted_code, rec_amount,premium_rcv_detail_code,remaining_amt, payrec, mode_code,coinsurance_code,class_cd,it_remarks) values</v>
      </c>
      <c r="G1131" s="24" t="str">
        <f t="shared" si="70"/>
        <v>('29Apr250042','050000798254','1304',(select max(to_number(i.premium_rcv_detail_code))+1
from ins_premium_det i),'1304','1304','02', '11000003','00','Request by Mr. Omair Ali 30-Apr-2025');</v>
      </c>
      <c r="H1131" s="25" t="str">
        <f t="shared" si="71"/>
        <v>insert into ins_premium_det (premium_rcv_code,assorted_code, rec_amount,premium_rcv_detail_code,remaining_amt, payrec, mode_code,coinsurance_code,class_cd,it_remarks) values('29Apr250042','050000798254','1304',(select max(to_number(i.premium_rcv_detail_code))+1
from ins_premium_det i),'1304','1304','02', '11000003','00','Request by Mr. Omair Ali 30-Apr-2025');</v>
      </c>
    </row>
    <row r="1132" spans="1:8" ht="105" x14ac:dyDescent="0.25">
      <c r="A1132" t="s">
        <v>1883</v>
      </c>
      <c r="B1132" s="1" t="str">
        <f>VLOOKUP(A1132,Sheet5!B:C,2,0)</f>
        <v>050000798256</v>
      </c>
      <c r="C1132" s="13">
        <v>2251</v>
      </c>
      <c r="D1132" s="22">
        <f t="shared" si="69"/>
        <v>2251</v>
      </c>
      <c r="E1132" s="21" t="s">
        <v>5912</v>
      </c>
      <c r="F1132" s="23" t="str">
        <f t="shared" si="68"/>
        <v>insert into ins_premium_det (premium_rcv_code,assorted_code, rec_amount,premium_rcv_detail_code,remaining_amt, payrec, mode_code,coinsurance_code,class_cd,it_remarks) values</v>
      </c>
      <c r="G1132" s="24" t="str">
        <f t="shared" si="70"/>
        <v>('29Apr250042','050000798256','2251',(select max(to_number(i.premium_rcv_detail_code))+1
from ins_premium_det i),'2251','2251','02', '11000003','00','Request by Mr. Omair Ali 30-Apr-2025');</v>
      </c>
      <c r="H1132" s="25" t="str">
        <f t="shared" si="71"/>
        <v>insert into ins_premium_det (premium_rcv_code,assorted_code, rec_amount,premium_rcv_detail_code,remaining_amt, payrec, mode_code,coinsurance_code,class_cd,it_remarks) values('29Apr250042','050000798256','2251',(select max(to_number(i.premium_rcv_detail_code))+1
from ins_premium_det i),'2251','2251','02', '11000003','00','Request by Mr. Omair Ali 30-Apr-2025');</v>
      </c>
    </row>
    <row r="1133" spans="1:8" ht="105" x14ac:dyDescent="0.25">
      <c r="A1133" t="s">
        <v>1894</v>
      </c>
      <c r="B1133" s="1" t="str">
        <f>VLOOKUP(A1133,Sheet5!B:C,2,0)</f>
        <v>050000798258</v>
      </c>
      <c r="C1133" s="13">
        <v>4080</v>
      </c>
      <c r="D1133" s="22">
        <f t="shared" si="69"/>
        <v>4080</v>
      </c>
      <c r="E1133" s="21" t="s">
        <v>5912</v>
      </c>
      <c r="F1133" s="23" t="str">
        <f t="shared" si="68"/>
        <v>insert into ins_premium_det (premium_rcv_code,assorted_code, rec_amount,premium_rcv_detail_code,remaining_amt, payrec, mode_code,coinsurance_code,class_cd,it_remarks) values</v>
      </c>
      <c r="G1133" s="24" t="str">
        <f t="shared" si="70"/>
        <v>('29Apr250042','050000798258','4080',(select max(to_number(i.premium_rcv_detail_code))+1
from ins_premium_det i),'4080','4080','02', '11000003','00','Request by Mr. Omair Ali 30-Apr-2025');</v>
      </c>
      <c r="H1133" s="25" t="str">
        <f t="shared" si="71"/>
        <v>insert into ins_premium_det (premium_rcv_code,assorted_code, rec_amount,premium_rcv_detail_code,remaining_amt, payrec, mode_code,coinsurance_code,class_cd,it_remarks) values('29Apr250042','050000798258','4080',(select max(to_number(i.premium_rcv_detail_code))+1
from ins_premium_det i),'4080','4080','02', '11000003','00','Request by Mr. Omair Ali 30-Apr-2025');</v>
      </c>
    </row>
    <row r="1134" spans="1:8" ht="105" x14ac:dyDescent="0.25">
      <c r="A1134" t="s">
        <v>1936</v>
      </c>
      <c r="B1134" s="1" t="str">
        <f>VLOOKUP(A1134,Sheet5!B:C,2,0)</f>
        <v>050000798260</v>
      </c>
      <c r="C1134" s="13">
        <v>566</v>
      </c>
      <c r="D1134" s="22">
        <f t="shared" si="69"/>
        <v>566</v>
      </c>
      <c r="E1134" s="21" t="s">
        <v>5912</v>
      </c>
      <c r="F1134" s="23" t="str">
        <f t="shared" si="68"/>
        <v>insert into ins_premium_det (premium_rcv_code,assorted_code, rec_amount,premium_rcv_detail_code,remaining_amt, payrec, mode_code,coinsurance_code,class_cd,it_remarks) values</v>
      </c>
      <c r="G1134" s="24" t="str">
        <f t="shared" si="70"/>
        <v>('29Apr250042','050000798260','566',(select max(to_number(i.premium_rcv_detail_code))+1
from ins_premium_det i),'566','566','02', '11000003','00','Request by Mr. Omair Ali 30-Apr-2025');</v>
      </c>
      <c r="H1134" s="25" t="str">
        <f t="shared" si="71"/>
        <v>insert into ins_premium_det (premium_rcv_code,assorted_code, rec_amount,premium_rcv_detail_code,remaining_amt, payrec, mode_code,coinsurance_code,class_cd,it_remarks) values('29Apr250042','050000798260','566',(select max(to_number(i.premium_rcv_detail_code))+1
from ins_premium_det i),'566','566','02', '11000003','00','Request by Mr. Omair Ali 30-Apr-2025');</v>
      </c>
    </row>
    <row r="1135" spans="1:8" ht="105" x14ac:dyDescent="0.25">
      <c r="A1135" t="s">
        <v>1981</v>
      </c>
      <c r="B1135" s="1" t="str">
        <f>VLOOKUP(A1135,Sheet5!B:C,2,0)</f>
        <v>050000798267</v>
      </c>
      <c r="C1135" s="13">
        <v>306</v>
      </c>
      <c r="D1135" s="22">
        <f t="shared" si="69"/>
        <v>306</v>
      </c>
      <c r="E1135" s="21" t="s">
        <v>5912</v>
      </c>
      <c r="F1135" s="23" t="str">
        <f t="shared" si="68"/>
        <v>insert into ins_premium_det (premium_rcv_code,assorted_code, rec_amount,premium_rcv_detail_code,remaining_amt, payrec, mode_code,coinsurance_code,class_cd,it_remarks) values</v>
      </c>
      <c r="G1135" s="24" t="str">
        <f t="shared" si="70"/>
        <v>('29Apr250042','050000798267','306',(select max(to_number(i.premium_rcv_detail_code))+1
from ins_premium_det i),'306','306','02', '11000003','00','Request by Mr. Omair Ali 30-Apr-2025');</v>
      </c>
      <c r="H1135" s="25" t="str">
        <f t="shared" si="71"/>
        <v>insert into ins_premium_det (premium_rcv_code,assorted_code, rec_amount,premium_rcv_detail_code,remaining_amt, payrec, mode_code,coinsurance_code,class_cd,it_remarks) values('29Apr250042','050000798267','306',(select max(to_number(i.premium_rcv_detail_code))+1
from ins_premium_det i),'306','306','02', '11000003','00','Request by Mr. Omair Ali 30-Apr-2025');</v>
      </c>
    </row>
    <row r="1136" spans="1:8" ht="105" x14ac:dyDescent="0.25">
      <c r="A1136" t="s">
        <v>1988</v>
      </c>
      <c r="B1136" s="1" t="str">
        <f>VLOOKUP(A1136,Sheet5!B:C,2,0)</f>
        <v>050000798271</v>
      </c>
      <c r="C1136" s="13">
        <v>3180</v>
      </c>
      <c r="D1136" s="22">
        <f t="shared" si="69"/>
        <v>3180</v>
      </c>
      <c r="E1136" s="21" t="s">
        <v>5912</v>
      </c>
      <c r="F1136" s="23" t="str">
        <f t="shared" si="68"/>
        <v>insert into ins_premium_det (premium_rcv_code,assorted_code, rec_amount,premium_rcv_detail_code,remaining_amt, payrec, mode_code,coinsurance_code,class_cd,it_remarks) values</v>
      </c>
      <c r="G1136" s="24" t="str">
        <f t="shared" si="70"/>
        <v>('29Apr250042','050000798271','3180',(select max(to_number(i.premium_rcv_detail_code))+1
from ins_premium_det i),'3180','3180','02', '11000003','00','Request by Mr. Omair Ali 30-Apr-2025');</v>
      </c>
      <c r="H1136" s="25" t="str">
        <f t="shared" si="71"/>
        <v>insert into ins_premium_det (premium_rcv_code,assorted_code, rec_amount,premium_rcv_detail_code,remaining_amt, payrec, mode_code,coinsurance_code,class_cd,it_remarks) values('29Apr250042','050000798271','3180',(select max(to_number(i.premium_rcv_detail_code))+1
from ins_premium_det i),'3180','3180','02', '11000003','00','Request by Mr. Omair Ali 30-Apr-2025');</v>
      </c>
    </row>
    <row r="1137" spans="1:8" ht="105" x14ac:dyDescent="0.25">
      <c r="A1137" t="s">
        <v>1997</v>
      </c>
      <c r="B1137" s="1" t="str">
        <f>VLOOKUP(A1137,Sheet5!B:C,2,0)</f>
        <v>050000798277</v>
      </c>
      <c r="C1137" s="13">
        <v>2974</v>
      </c>
      <c r="D1137" s="22">
        <f t="shared" si="69"/>
        <v>2974</v>
      </c>
      <c r="E1137" s="21" t="s">
        <v>5912</v>
      </c>
      <c r="F1137" s="23" t="str">
        <f t="shared" si="68"/>
        <v>insert into ins_premium_det (premium_rcv_code,assorted_code, rec_amount,premium_rcv_detail_code,remaining_amt, payrec, mode_code,coinsurance_code,class_cd,it_remarks) values</v>
      </c>
      <c r="G1137" s="24" t="str">
        <f t="shared" si="70"/>
        <v>('29Apr250042','050000798277','2974',(select max(to_number(i.premium_rcv_detail_code))+1
from ins_premium_det i),'2974','2974','02', '11000003','00','Request by Mr. Omair Ali 30-Apr-2025');</v>
      </c>
      <c r="H1137" s="25" t="str">
        <f t="shared" si="71"/>
        <v>insert into ins_premium_det (premium_rcv_code,assorted_code, rec_amount,premium_rcv_detail_code,remaining_amt, payrec, mode_code,coinsurance_code,class_cd,it_remarks) values('29Apr250042','050000798277','2974',(select max(to_number(i.premium_rcv_detail_code))+1
from ins_premium_det i),'2974','2974','02', '11000003','00','Request by Mr. Omair Ali 30-Apr-2025');</v>
      </c>
    </row>
    <row r="1138" spans="1:8" ht="105" x14ac:dyDescent="0.25">
      <c r="A1138" t="s">
        <v>1103</v>
      </c>
      <c r="B1138" s="1" t="str">
        <f>VLOOKUP(A1138,Sheet5!B:C,2,0)</f>
        <v>050000798627</v>
      </c>
      <c r="C1138" s="13">
        <v>17456</v>
      </c>
      <c r="D1138" s="22">
        <f t="shared" si="69"/>
        <v>17456</v>
      </c>
      <c r="E1138" s="21" t="s">
        <v>5912</v>
      </c>
      <c r="F1138" s="23" t="str">
        <f t="shared" si="68"/>
        <v>insert into ins_premium_det (premium_rcv_code,assorted_code, rec_amount,premium_rcv_detail_code,remaining_amt, payrec, mode_code,coinsurance_code,class_cd,it_remarks) values</v>
      </c>
      <c r="G1138" s="24" t="str">
        <f t="shared" si="70"/>
        <v>('29Apr250042','050000798627','17456',(select max(to_number(i.premium_rcv_detail_code))+1
from ins_premium_det i),'17456','17456','02', '11000003','00','Request by Mr. Omair Ali 30-Apr-2025');</v>
      </c>
      <c r="H1138" s="25" t="str">
        <f t="shared" si="71"/>
        <v>insert into ins_premium_det (premium_rcv_code,assorted_code, rec_amount,premium_rcv_detail_code,remaining_amt, payrec, mode_code,coinsurance_code,class_cd,it_remarks) values('29Apr250042','050000798627','17456',(select max(to_number(i.premium_rcv_detail_code))+1
from ins_premium_det i),'17456','17456','02', '11000003','00','Request by Mr. Omair Ali 30-Apr-2025');</v>
      </c>
    </row>
    <row r="1139" spans="1:8" ht="105" x14ac:dyDescent="0.25">
      <c r="A1139" t="s">
        <v>1104</v>
      </c>
      <c r="B1139" s="1" t="str">
        <f>VLOOKUP(A1139,Sheet5!B:C,2,0)</f>
        <v>050000798635</v>
      </c>
      <c r="C1139" s="13">
        <v>5443</v>
      </c>
      <c r="D1139" s="22">
        <f t="shared" si="69"/>
        <v>5443</v>
      </c>
      <c r="E1139" s="21" t="s">
        <v>5912</v>
      </c>
      <c r="F1139" s="23" t="str">
        <f t="shared" si="68"/>
        <v>insert into ins_premium_det (premium_rcv_code,assorted_code, rec_amount,premium_rcv_detail_code,remaining_amt, payrec, mode_code,coinsurance_code,class_cd,it_remarks) values</v>
      </c>
      <c r="G1139" s="24" t="str">
        <f t="shared" si="70"/>
        <v>('29Apr250042','050000798635','5443',(select max(to_number(i.premium_rcv_detail_code))+1
from ins_premium_det i),'5443','5443','02', '11000003','00','Request by Mr. Omair Ali 30-Apr-2025');</v>
      </c>
      <c r="H1139" s="25" t="str">
        <f t="shared" si="71"/>
        <v>insert into ins_premium_det (premium_rcv_code,assorted_code, rec_amount,premium_rcv_detail_code,remaining_amt, payrec, mode_code,coinsurance_code,class_cd,it_remarks) values('29Apr250042','050000798635','5443',(select max(to_number(i.premium_rcv_detail_code))+1
from ins_premium_det i),'5443','5443','02', '11000003','00','Request by Mr. Omair Ali 30-Apr-2025');</v>
      </c>
    </row>
    <row r="1140" spans="1:8" ht="105" x14ac:dyDescent="0.25">
      <c r="A1140" t="s">
        <v>758</v>
      </c>
      <c r="B1140" s="1" t="str">
        <f>VLOOKUP(A1140,Sheet5!B:C,2,0)</f>
        <v>050000798903</v>
      </c>
      <c r="C1140" s="13">
        <v>3344</v>
      </c>
      <c r="D1140" s="22">
        <f t="shared" si="69"/>
        <v>3344</v>
      </c>
      <c r="E1140" s="21" t="s">
        <v>5912</v>
      </c>
      <c r="F1140" s="23" t="str">
        <f t="shared" si="68"/>
        <v>insert into ins_premium_det (premium_rcv_code,assorted_code, rec_amount,premium_rcv_detail_code,remaining_amt, payrec, mode_code,coinsurance_code,class_cd,it_remarks) values</v>
      </c>
      <c r="G1140" s="24" t="str">
        <f t="shared" si="70"/>
        <v>('29Apr250042','050000798903','3344',(select max(to_number(i.premium_rcv_detail_code))+1
from ins_premium_det i),'3344','3344','02', '11000003','00','Request by Mr. Omair Ali 30-Apr-2025');</v>
      </c>
      <c r="H1140" s="25" t="str">
        <f t="shared" si="71"/>
        <v>insert into ins_premium_det (premium_rcv_code,assorted_code, rec_amount,premium_rcv_detail_code,remaining_amt, payrec, mode_code,coinsurance_code,class_cd,it_remarks) values('29Apr250042','050000798903','3344',(select max(to_number(i.premium_rcv_detail_code))+1
from ins_premium_det i),'3344','3344','02', '11000003','00','Request by Mr. Omair Ali 30-Apr-2025');</v>
      </c>
    </row>
    <row r="1141" spans="1:8" ht="105" x14ac:dyDescent="0.25">
      <c r="A1141" t="s">
        <v>1105</v>
      </c>
      <c r="B1141" s="1" t="str">
        <f>VLOOKUP(A1141,Sheet5!B:C,2,0)</f>
        <v>050000798904</v>
      </c>
      <c r="C1141" s="13">
        <v>4520</v>
      </c>
      <c r="D1141" s="22">
        <f t="shared" si="69"/>
        <v>4520</v>
      </c>
      <c r="E1141" s="21" t="s">
        <v>5912</v>
      </c>
      <c r="F1141" s="23" t="str">
        <f t="shared" si="68"/>
        <v>insert into ins_premium_det (premium_rcv_code,assorted_code, rec_amount,premium_rcv_detail_code,remaining_amt, payrec, mode_code,coinsurance_code,class_cd,it_remarks) values</v>
      </c>
      <c r="G1141" s="24" t="str">
        <f t="shared" si="70"/>
        <v>('29Apr250042','050000798904','4520',(select max(to_number(i.premium_rcv_detail_code))+1
from ins_premium_det i),'4520','4520','02', '11000003','00','Request by Mr. Omair Ali 30-Apr-2025');</v>
      </c>
      <c r="H1141" s="25" t="str">
        <f t="shared" si="71"/>
        <v>insert into ins_premium_det (premium_rcv_code,assorted_code, rec_amount,premium_rcv_detail_code,remaining_amt, payrec, mode_code,coinsurance_code,class_cd,it_remarks) values('29Apr250042','050000798904','4520',(select max(to_number(i.premium_rcv_detail_code))+1
from ins_premium_det i),'4520','4520','02', '11000003','00','Request by Mr. Omair Ali 30-Apr-2025');</v>
      </c>
    </row>
    <row r="1142" spans="1:8" ht="105" x14ac:dyDescent="0.25">
      <c r="A1142" t="s">
        <v>1106</v>
      </c>
      <c r="B1142" s="1" t="str">
        <f>VLOOKUP(A1142,Sheet5!B:C,2,0)</f>
        <v>050000798905</v>
      </c>
      <c r="C1142" s="13">
        <v>7304</v>
      </c>
      <c r="D1142" s="22">
        <f t="shared" si="69"/>
        <v>7304</v>
      </c>
      <c r="E1142" s="21" t="s">
        <v>5912</v>
      </c>
      <c r="F1142" s="23" t="str">
        <f t="shared" si="68"/>
        <v>insert into ins_premium_det (premium_rcv_code,assorted_code, rec_amount,premium_rcv_detail_code,remaining_amt, payrec, mode_code,coinsurance_code,class_cd,it_remarks) values</v>
      </c>
      <c r="G1142" s="24" t="str">
        <f t="shared" si="70"/>
        <v>('29Apr250042','050000798905','7304',(select max(to_number(i.premium_rcv_detail_code))+1
from ins_premium_det i),'7304','7304','02', '11000003','00','Request by Mr. Omair Ali 30-Apr-2025');</v>
      </c>
      <c r="H1142" s="25" t="str">
        <f t="shared" si="71"/>
        <v>insert into ins_premium_det (premium_rcv_code,assorted_code, rec_amount,premium_rcv_detail_code,remaining_amt, payrec, mode_code,coinsurance_code,class_cd,it_remarks) values('29Apr250042','050000798905','7304',(select max(to_number(i.premium_rcv_detail_code))+1
from ins_premium_det i),'7304','7304','02', '11000003','00','Request by Mr. Omair Ali 30-Apr-2025');</v>
      </c>
    </row>
    <row r="1143" spans="1:8" ht="105" x14ac:dyDescent="0.25">
      <c r="A1143" t="s">
        <v>1107</v>
      </c>
      <c r="B1143" s="1" t="str">
        <f>VLOOKUP(A1143,Sheet5!B:C,2,0)</f>
        <v>050000798906</v>
      </c>
      <c r="C1143" s="13">
        <v>4611</v>
      </c>
      <c r="D1143" s="22">
        <f t="shared" si="69"/>
        <v>4611</v>
      </c>
      <c r="E1143" s="21" t="s">
        <v>5912</v>
      </c>
      <c r="F1143" s="23" t="str">
        <f t="shared" si="68"/>
        <v>insert into ins_premium_det (premium_rcv_code,assorted_code, rec_amount,premium_rcv_detail_code,remaining_amt, payrec, mode_code,coinsurance_code,class_cd,it_remarks) values</v>
      </c>
      <c r="G1143" s="24" t="str">
        <f t="shared" si="70"/>
        <v>('29Apr250042','050000798906','4611',(select max(to_number(i.premium_rcv_detail_code))+1
from ins_premium_det i),'4611','4611','02', '11000003','00','Request by Mr. Omair Ali 30-Apr-2025');</v>
      </c>
      <c r="H1143" s="25" t="str">
        <f t="shared" si="71"/>
        <v>insert into ins_premium_det (premium_rcv_code,assorted_code, rec_amount,premium_rcv_detail_code,remaining_amt, payrec, mode_code,coinsurance_code,class_cd,it_remarks) values('29Apr250042','050000798906','4611',(select max(to_number(i.premium_rcv_detail_code))+1
from ins_premium_det i),'4611','4611','02', '11000003','00','Request by Mr. Omair Ali 30-Apr-2025');</v>
      </c>
    </row>
    <row r="1144" spans="1:8" ht="105" x14ac:dyDescent="0.25">
      <c r="A1144" t="s">
        <v>1108</v>
      </c>
      <c r="B1144" s="1" t="str">
        <f>VLOOKUP(A1144,Sheet5!B:C,2,0)</f>
        <v>050000798907</v>
      </c>
      <c r="C1144" s="13">
        <v>6165</v>
      </c>
      <c r="D1144" s="22">
        <f t="shared" si="69"/>
        <v>6165</v>
      </c>
      <c r="E1144" s="21" t="s">
        <v>5912</v>
      </c>
      <c r="F1144" s="23" t="str">
        <f t="shared" si="68"/>
        <v>insert into ins_premium_det (premium_rcv_code,assorted_code, rec_amount,premium_rcv_detail_code,remaining_amt, payrec, mode_code,coinsurance_code,class_cd,it_remarks) values</v>
      </c>
      <c r="G1144" s="24" t="str">
        <f t="shared" si="70"/>
        <v>('29Apr250042','050000798907','6165',(select max(to_number(i.premium_rcv_detail_code))+1
from ins_premium_det i),'6165','6165','02', '11000003','00','Request by Mr. Omair Ali 30-Apr-2025');</v>
      </c>
      <c r="H1144" s="25" t="str">
        <f t="shared" si="71"/>
        <v>insert into ins_premium_det (premium_rcv_code,assorted_code, rec_amount,premium_rcv_detail_code,remaining_amt, payrec, mode_code,coinsurance_code,class_cd,it_remarks) values('29Apr250042','050000798907','6165',(select max(to_number(i.premium_rcv_detail_code))+1
from ins_premium_det i),'6165','6165','02', '11000003','00','Request by Mr. Omair Ali 30-Apr-2025');</v>
      </c>
    </row>
    <row r="1145" spans="1:8" ht="105" x14ac:dyDescent="0.25">
      <c r="A1145" t="s">
        <v>1109</v>
      </c>
      <c r="B1145" s="1" t="str">
        <f>VLOOKUP(A1145,Sheet5!B:C,2,0)</f>
        <v>050000798908</v>
      </c>
      <c r="C1145" s="13">
        <v>10630</v>
      </c>
      <c r="D1145" s="22">
        <f t="shared" si="69"/>
        <v>10630</v>
      </c>
      <c r="E1145" s="21" t="s">
        <v>5912</v>
      </c>
      <c r="F1145" s="23" t="str">
        <f t="shared" si="68"/>
        <v>insert into ins_premium_det (premium_rcv_code,assorted_code, rec_amount,premium_rcv_detail_code,remaining_amt, payrec, mode_code,coinsurance_code,class_cd,it_remarks) values</v>
      </c>
      <c r="G1145" s="24" t="str">
        <f t="shared" si="70"/>
        <v>('29Apr250042','050000798908','10630',(select max(to_number(i.premium_rcv_detail_code))+1
from ins_premium_det i),'10630','10630','02', '11000003','00','Request by Mr. Omair Ali 30-Apr-2025');</v>
      </c>
      <c r="H1145" s="25" t="str">
        <f t="shared" si="71"/>
        <v>insert into ins_premium_det (premium_rcv_code,assorted_code, rec_amount,premium_rcv_detail_code,remaining_amt, payrec, mode_code,coinsurance_code,class_cd,it_remarks) values('29Apr250042','050000798908','10630',(select max(to_number(i.premium_rcv_detail_code))+1
from ins_premium_det i),'10630','10630','02', '11000003','00','Request by Mr. Omair Ali 30-Apr-2025');</v>
      </c>
    </row>
    <row r="1146" spans="1:8" ht="105" x14ac:dyDescent="0.25">
      <c r="A1146" t="s">
        <v>763</v>
      </c>
      <c r="B1146" s="1" t="str">
        <f>VLOOKUP(A1146,Sheet5!B:C,2,0)</f>
        <v>050000799687</v>
      </c>
      <c r="C1146" s="13">
        <v>5112</v>
      </c>
      <c r="D1146" s="22">
        <f t="shared" si="69"/>
        <v>5112</v>
      </c>
      <c r="E1146" s="21" t="s">
        <v>5912</v>
      </c>
      <c r="F1146" s="23" t="str">
        <f t="shared" si="68"/>
        <v>insert into ins_premium_det (premium_rcv_code,assorted_code, rec_amount,premium_rcv_detail_code,remaining_amt, payrec, mode_code,coinsurance_code,class_cd,it_remarks) values</v>
      </c>
      <c r="G1146" s="24" t="str">
        <f t="shared" si="70"/>
        <v>('29Apr250042','050000799687','5112',(select max(to_number(i.premium_rcv_detail_code))+1
from ins_premium_det i),'5112','5112','02', '11000003','00','Request by Mr. Omair Ali 30-Apr-2025');</v>
      </c>
      <c r="H1146" s="25" t="str">
        <f t="shared" si="71"/>
        <v>insert into ins_premium_det (premium_rcv_code,assorted_code, rec_amount,premium_rcv_detail_code,remaining_amt, payrec, mode_code,coinsurance_code,class_cd,it_remarks) values('29Apr250042','050000799687','5112',(select max(to_number(i.premium_rcv_detail_code))+1
from ins_premium_det i),'5112','5112','02', '11000003','00','Request by Mr. Omair Ali 30-Apr-2025');</v>
      </c>
    </row>
    <row r="1147" spans="1:8" ht="105" x14ac:dyDescent="0.25">
      <c r="A1147" t="s">
        <v>774</v>
      </c>
      <c r="B1147" s="1" t="str">
        <f>VLOOKUP(A1147,Sheet5!B:C,2,0)</f>
        <v>050000799702</v>
      </c>
      <c r="C1147" s="13">
        <v>1580</v>
      </c>
      <c r="D1147" s="22">
        <f t="shared" si="69"/>
        <v>1580</v>
      </c>
      <c r="E1147" s="21" t="s">
        <v>5912</v>
      </c>
      <c r="F1147" s="23" t="str">
        <f t="shared" si="68"/>
        <v>insert into ins_premium_det (premium_rcv_code,assorted_code, rec_amount,premium_rcv_detail_code,remaining_amt, payrec, mode_code,coinsurance_code,class_cd,it_remarks) values</v>
      </c>
      <c r="G1147" s="24" t="str">
        <f t="shared" si="70"/>
        <v>('29Apr250042','050000799702','1580',(select max(to_number(i.premium_rcv_detail_code))+1
from ins_premium_det i),'1580','1580','02', '11000003','00','Request by Mr. Omair Ali 30-Apr-2025');</v>
      </c>
      <c r="H1147" s="25" t="str">
        <f t="shared" si="71"/>
        <v>insert into ins_premium_det (premium_rcv_code,assorted_code, rec_amount,premium_rcv_detail_code,remaining_amt, payrec, mode_code,coinsurance_code,class_cd,it_remarks) values('29Apr250042','050000799702','1580',(select max(to_number(i.premium_rcv_detail_code))+1
from ins_premium_det i),'1580','1580','02', '11000003','00','Request by Mr. Omair Ali 30-Apr-2025');</v>
      </c>
    </row>
    <row r="1148" spans="1:8" ht="105" x14ac:dyDescent="0.25">
      <c r="A1148" t="s">
        <v>782</v>
      </c>
      <c r="B1148" s="1" t="str">
        <f>VLOOKUP(A1148,Sheet5!B:C,2,0)</f>
        <v>050000799703</v>
      </c>
      <c r="C1148" s="13">
        <v>4882</v>
      </c>
      <c r="D1148" s="22">
        <f t="shared" si="69"/>
        <v>4882</v>
      </c>
      <c r="E1148" s="21" t="s">
        <v>5912</v>
      </c>
      <c r="F1148" s="23" t="str">
        <f t="shared" si="68"/>
        <v>insert into ins_premium_det (premium_rcv_code,assorted_code, rec_amount,premium_rcv_detail_code,remaining_amt, payrec, mode_code,coinsurance_code,class_cd,it_remarks) values</v>
      </c>
      <c r="G1148" s="24" t="str">
        <f t="shared" si="70"/>
        <v>('29Apr250042','050000799703','4882',(select max(to_number(i.premium_rcv_detail_code))+1
from ins_premium_det i),'4882','4882','02', '11000003','00','Request by Mr. Omair Ali 30-Apr-2025');</v>
      </c>
      <c r="H1148" s="25" t="str">
        <f t="shared" si="71"/>
        <v>insert into ins_premium_det (premium_rcv_code,assorted_code, rec_amount,premium_rcv_detail_code,remaining_amt, payrec, mode_code,coinsurance_code,class_cd,it_remarks) values('29Apr250042','050000799703','4882',(select max(to_number(i.premium_rcv_detail_code))+1
from ins_premium_det i),'4882','4882','02', '11000003','00','Request by Mr. Omair Ali 30-Apr-2025');</v>
      </c>
    </row>
    <row r="1149" spans="1:8" ht="105" x14ac:dyDescent="0.25">
      <c r="A1149" t="s">
        <v>785</v>
      </c>
      <c r="B1149" s="1" t="str">
        <f>VLOOKUP(A1149,Sheet5!B:C,2,0)</f>
        <v>050000799705</v>
      </c>
      <c r="C1149" s="13">
        <v>99</v>
      </c>
      <c r="D1149" s="22">
        <f t="shared" si="69"/>
        <v>99</v>
      </c>
      <c r="E1149" s="21" t="s">
        <v>5912</v>
      </c>
      <c r="F1149" s="23" t="str">
        <f t="shared" si="68"/>
        <v>insert into ins_premium_det (premium_rcv_code,assorted_code, rec_amount,premium_rcv_detail_code,remaining_amt, payrec, mode_code,coinsurance_code,class_cd,it_remarks) values</v>
      </c>
      <c r="G1149" s="24" t="str">
        <f t="shared" si="70"/>
        <v>('29Apr250042','050000799705','99',(select max(to_number(i.premium_rcv_detail_code))+1
from ins_premium_det i),'99','99','02', '11000003','00','Request by Mr. Omair Ali 30-Apr-2025');</v>
      </c>
      <c r="H1149" s="25" t="str">
        <f t="shared" si="71"/>
        <v>insert into ins_premium_det (premium_rcv_code,assorted_code, rec_amount,premium_rcv_detail_code,remaining_amt, payrec, mode_code,coinsurance_code,class_cd,it_remarks) values('29Apr250042','050000799705','99',(select max(to_number(i.premium_rcv_detail_code))+1
from ins_premium_det i),'99','99','02', '11000003','00','Request by Mr. Omair Ali 30-Apr-2025');</v>
      </c>
    </row>
    <row r="1150" spans="1:8" ht="105" x14ac:dyDescent="0.25">
      <c r="A1150" t="s">
        <v>795</v>
      </c>
      <c r="B1150" s="1" t="str">
        <f>VLOOKUP(A1150,Sheet5!B:C,2,0)</f>
        <v>050000799706</v>
      </c>
      <c r="C1150" s="13">
        <v>2136</v>
      </c>
      <c r="D1150" s="22">
        <f t="shared" si="69"/>
        <v>2136</v>
      </c>
      <c r="E1150" s="21" t="s">
        <v>5912</v>
      </c>
      <c r="F1150" s="23" t="str">
        <f t="shared" si="68"/>
        <v>insert into ins_premium_det (premium_rcv_code,assorted_code, rec_amount,premium_rcv_detail_code,remaining_amt, payrec, mode_code,coinsurance_code,class_cd,it_remarks) values</v>
      </c>
      <c r="G1150" s="24" t="str">
        <f t="shared" si="70"/>
        <v>('29Apr250042','050000799706','2136',(select max(to_number(i.premium_rcv_detail_code))+1
from ins_premium_det i),'2136','2136','02', '11000003','00','Request by Mr. Omair Ali 30-Apr-2025');</v>
      </c>
      <c r="H1150" s="25" t="str">
        <f t="shared" si="71"/>
        <v>insert into ins_premium_det (premium_rcv_code,assorted_code, rec_amount,premium_rcv_detail_code,remaining_amt, payrec, mode_code,coinsurance_code,class_cd,it_remarks) values('29Apr250042','050000799706','2136',(select max(to_number(i.premium_rcv_detail_code))+1
from ins_premium_det i),'2136','2136','02', '11000003','00','Request by Mr. Omair Ali 30-Apr-2025');</v>
      </c>
    </row>
    <row r="1151" spans="1:8" ht="105" x14ac:dyDescent="0.25">
      <c r="A1151" t="s">
        <v>898</v>
      </c>
      <c r="B1151" s="1" t="str">
        <f>VLOOKUP(A1151,Sheet5!B:C,2,0)</f>
        <v>050000799711</v>
      </c>
      <c r="C1151" s="13">
        <v>2165</v>
      </c>
      <c r="D1151" s="22">
        <f t="shared" si="69"/>
        <v>2165</v>
      </c>
      <c r="E1151" s="21" t="s">
        <v>5912</v>
      </c>
      <c r="F1151" s="23" t="str">
        <f t="shared" si="68"/>
        <v>insert into ins_premium_det (premium_rcv_code,assorted_code, rec_amount,premium_rcv_detail_code,remaining_amt, payrec, mode_code,coinsurance_code,class_cd,it_remarks) values</v>
      </c>
      <c r="G1151" s="24" t="str">
        <f t="shared" si="70"/>
        <v>('29Apr250042','050000799711','2165',(select max(to_number(i.premium_rcv_detail_code))+1
from ins_premium_det i),'2165','2165','02', '11000003','00','Request by Mr. Omair Ali 30-Apr-2025');</v>
      </c>
      <c r="H1151" s="25" t="str">
        <f t="shared" si="71"/>
        <v>insert into ins_premium_det (premium_rcv_code,assorted_code, rec_amount,premium_rcv_detail_code,remaining_amt, payrec, mode_code,coinsurance_code,class_cd,it_remarks) values('29Apr250042','050000799711','2165',(select max(to_number(i.premium_rcv_detail_code))+1
from ins_premium_det i),'2165','2165','02', '11000003','00','Request by Mr. Omair Ali 30-Apr-2025');</v>
      </c>
    </row>
    <row r="1152" spans="1:8" ht="105" x14ac:dyDescent="0.25">
      <c r="A1152" t="s">
        <v>918</v>
      </c>
      <c r="B1152" s="1" t="str">
        <f>VLOOKUP(A1152,Sheet5!B:C,2,0)</f>
        <v>050000799713</v>
      </c>
      <c r="C1152" s="13">
        <v>15</v>
      </c>
      <c r="D1152" s="22">
        <f t="shared" si="69"/>
        <v>15</v>
      </c>
      <c r="E1152" s="21" t="s">
        <v>5912</v>
      </c>
      <c r="F1152" s="23" t="str">
        <f t="shared" si="68"/>
        <v>insert into ins_premium_det (premium_rcv_code,assorted_code, rec_amount,premium_rcv_detail_code,remaining_amt, payrec, mode_code,coinsurance_code,class_cd,it_remarks) values</v>
      </c>
      <c r="G1152" s="24" t="str">
        <f t="shared" si="70"/>
        <v>('29Apr250042','050000799713','15',(select max(to_number(i.premium_rcv_detail_code))+1
from ins_premium_det i),'15','15','02', '11000003','00','Request by Mr. Omair Ali 30-Apr-2025');</v>
      </c>
      <c r="H1152" s="25" t="str">
        <f t="shared" si="71"/>
        <v>insert into ins_premium_det (premium_rcv_code,assorted_code, rec_amount,premium_rcv_detail_code,remaining_amt, payrec, mode_code,coinsurance_code,class_cd,it_remarks) values('29Apr250042','050000799713','15',(select max(to_number(i.premium_rcv_detail_code))+1
from ins_premium_det i),'15','15','02', '11000003','00','Request by Mr. Omair Ali 30-Apr-2025');</v>
      </c>
    </row>
    <row r="1153" spans="1:8" ht="105" x14ac:dyDescent="0.25">
      <c r="A1153" t="s">
        <v>933</v>
      </c>
      <c r="B1153" s="1" t="str">
        <f>VLOOKUP(A1153,Sheet5!B:C,2,0)</f>
        <v>050000799714</v>
      </c>
      <c r="C1153" s="13">
        <v>2604</v>
      </c>
      <c r="D1153" s="22">
        <f t="shared" si="69"/>
        <v>2604</v>
      </c>
      <c r="E1153" s="21" t="s">
        <v>5912</v>
      </c>
      <c r="F1153" s="23" t="str">
        <f t="shared" si="68"/>
        <v>insert into ins_premium_det (premium_rcv_code,assorted_code, rec_amount,premium_rcv_detail_code,remaining_amt, payrec, mode_code,coinsurance_code,class_cd,it_remarks) values</v>
      </c>
      <c r="G1153" s="24" t="str">
        <f t="shared" si="70"/>
        <v>('29Apr250042','050000799714','2604',(select max(to_number(i.premium_rcv_detail_code))+1
from ins_premium_det i),'2604','2604','02', '11000003','00','Request by Mr. Omair Ali 30-Apr-2025');</v>
      </c>
      <c r="H1153" s="25" t="str">
        <f t="shared" si="71"/>
        <v>insert into ins_premium_det (premium_rcv_code,assorted_code, rec_amount,premium_rcv_detail_code,remaining_amt, payrec, mode_code,coinsurance_code,class_cd,it_remarks) values('29Apr250042','050000799714','2604',(select max(to_number(i.premium_rcv_detail_code))+1
from ins_premium_det i),'2604','2604','02', '11000003','00','Request by Mr. Omair Ali 30-Apr-2025');</v>
      </c>
    </row>
    <row r="1154" spans="1:8" ht="105" x14ac:dyDescent="0.25">
      <c r="A1154" t="s">
        <v>1419</v>
      </c>
      <c r="B1154" s="1" t="str">
        <f>VLOOKUP(A1154,Sheet5!B:C,2,0)</f>
        <v>050000799731</v>
      </c>
      <c r="C1154" s="13">
        <v>3843</v>
      </c>
      <c r="D1154" s="22">
        <f t="shared" si="69"/>
        <v>3843</v>
      </c>
      <c r="E1154" s="21" t="s">
        <v>5912</v>
      </c>
      <c r="F1154" s="23" t="str">
        <f t="shared" ref="F1154:F1217" si="7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154" s="24" t="str">
        <f t="shared" si="70"/>
        <v>('29Apr250042','050000799731','3843',(select max(to_number(i.premium_rcv_detail_code))+1
from ins_premium_det i),'3843','3843','02', '11000003','00','Request by Mr. Omair Ali 30-Apr-2025');</v>
      </c>
      <c r="H1154" s="25" t="str">
        <f t="shared" si="71"/>
        <v>insert into ins_premium_det (premium_rcv_code,assorted_code, rec_amount,premium_rcv_detail_code,remaining_amt, payrec, mode_code,coinsurance_code,class_cd,it_remarks) values('29Apr250042','050000799731','3843',(select max(to_number(i.premium_rcv_detail_code))+1
from ins_premium_det i),'3843','3843','02', '11000003','00','Request by Mr. Omair Ali 30-Apr-2025');</v>
      </c>
    </row>
    <row r="1155" spans="1:8" ht="105" x14ac:dyDescent="0.25">
      <c r="A1155" t="s">
        <v>1695</v>
      </c>
      <c r="B1155" s="1" t="str">
        <f>VLOOKUP(A1155,Sheet5!B:C,2,0)</f>
        <v>050000799741</v>
      </c>
      <c r="C1155" s="13">
        <v>4385</v>
      </c>
      <c r="D1155" s="22">
        <f t="shared" ref="D1155:D1218" si="73">ROUND(C1155,0)</f>
        <v>4385</v>
      </c>
      <c r="E1155" s="21" t="s">
        <v>5912</v>
      </c>
      <c r="F1155" s="23" t="str">
        <f t="shared" si="72"/>
        <v>insert into ins_premium_det (premium_rcv_code,assorted_code, rec_amount,premium_rcv_detail_code,remaining_amt, payrec, mode_code,coinsurance_code,class_cd,it_remarks) values</v>
      </c>
      <c r="G1155" s="24" t="str">
        <f t="shared" ref="G1155:G1218" si="74">"('"&amp;E1155&amp;"','"&amp;B1155&amp;"','"&amp;D1155&amp;"',(select max(to_number(i.premium_rcv_detail_code))+1
from ins_premium_det i),'"&amp;D1155&amp;"','"&amp;D1155&amp;"','02', '11000003','00','Request by Mr. Omair Ali 30-Apr-2025');"</f>
        <v>('29Apr250042','050000799741','4385',(select max(to_number(i.premium_rcv_detail_code))+1
from ins_premium_det i),'4385','4385','02', '11000003','00','Request by Mr. Omair Ali 30-Apr-2025');</v>
      </c>
      <c r="H1155" s="25" t="str">
        <f t="shared" ref="H1155:H1218" si="75">F1155&amp;G1155</f>
        <v>insert into ins_premium_det (premium_rcv_code,assorted_code, rec_amount,premium_rcv_detail_code,remaining_amt, payrec, mode_code,coinsurance_code,class_cd,it_remarks) values('29Apr250042','050000799741','4385',(select max(to_number(i.premium_rcv_detail_code))+1
from ins_premium_det i),'4385','4385','02', '11000003','00','Request by Mr. Omair Ali 30-Apr-2025');</v>
      </c>
    </row>
    <row r="1156" spans="1:8" ht="105" x14ac:dyDescent="0.25">
      <c r="A1156" t="s">
        <v>1730</v>
      </c>
      <c r="B1156" s="1" t="str">
        <f>VLOOKUP(A1156,Sheet5!B:C,2,0)</f>
        <v>050000799744</v>
      </c>
      <c r="C1156" s="13">
        <v>3510</v>
      </c>
      <c r="D1156" s="22">
        <f t="shared" si="73"/>
        <v>3510</v>
      </c>
      <c r="E1156" s="21" t="s">
        <v>5912</v>
      </c>
      <c r="F1156" s="23" t="str">
        <f t="shared" si="72"/>
        <v>insert into ins_premium_det (premium_rcv_code,assorted_code, rec_amount,premium_rcv_detail_code,remaining_amt, payrec, mode_code,coinsurance_code,class_cd,it_remarks) values</v>
      </c>
      <c r="G1156" s="24" t="str">
        <f t="shared" si="74"/>
        <v>('29Apr250042','050000799744','3510',(select max(to_number(i.premium_rcv_detail_code))+1
from ins_premium_det i),'3510','3510','02', '11000003','00','Request by Mr. Omair Ali 30-Apr-2025');</v>
      </c>
      <c r="H1156" s="25" t="str">
        <f t="shared" si="75"/>
        <v>insert into ins_premium_det (premium_rcv_code,assorted_code, rec_amount,premium_rcv_detail_code,remaining_amt, payrec, mode_code,coinsurance_code,class_cd,it_remarks) values('29Apr250042','050000799744','3510',(select max(to_number(i.premium_rcv_detail_code))+1
from ins_premium_det i),'3510','3510','02', '11000003','00','Request by Mr. Omair Ali 30-Apr-2025');</v>
      </c>
    </row>
    <row r="1157" spans="1:8" ht="105" x14ac:dyDescent="0.25">
      <c r="A1157" t="s">
        <v>1810</v>
      </c>
      <c r="B1157" s="1" t="str">
        <f>VLOOKUP(A1157,Sheet5!B:C,2,0)</f>
        <v>050000799746</v>
      </c>
      <c r="C1157" s="13">
        <v>4407</v>
      </c>
      <c r="D1157" s="22">
        <f t="shared" si="73"/>
        <v>4407</v>
      </c>
      <c r="E1157" s="21" t="s">
        <v>5912</v>
      </c>
      <c r="F1157" s="23" t="str">
        <f t="shared" si="72"/>
        <v>insert into ins_premium_det (premium_rcv_code,assorted_code, rec_amount,premium_rcv_detail_code,remaining_amt, payrec, mode_code,coinsurance_code,class_cd,it_remarks) values</v>
      </c>
      <c r="G1157" s="24" t="str">
        <f t="shared" si="74"/>
        <v>('29Apr250042','050000799746','4407',(select max(to_number(i.premium_rcv_detail_code))+1
from ins_premium_det i),'4407','4407','02', '11000003','00','Request by Mr. Omair Ali 30-Apr-2025');</v>
      </c>
      <c r="H1157" s="25" t="str">
        <f t="shared" si="75"/>
        <v>insert into ins_premium_det (premium_rcv_code,assorted_code, rec_amount,premium_rcv_detail_code,remaining_amt, payrec, mode_code,coinsurance_code,class_cd,it_remarks) values('29Apr250042','050000799746','4407',(select max(to_number(i.premium_rcv_detail_code))+1
from ins_premium_det i),'4407','4407','02', '11000003','00','Request by Mr. Omair Ali 30-Apr-2025');</v>
      </c>
    </row>
    <row r="1158" spans="1:8" ht="105" x14ac:dyDescent="0.25">
      <c r="A1158" t="s">
        <v>1818</v>
      </c>
      <c r="B1158" s="1" t="str">
        <f>VLOOKUP(A1158,Sheet5!B:C,2,0)</f>
        <v>050000799747</v>
      </c>
      <c r="C1158" s="13">
        <v>1718</v>
      </c>
      <c r="D1158" s="22">
        <f t="shared" si="73"/>
        <v>1718</v>
      </c>
      <c r="E1158" s="21" t="s">
        <v>5912</v>
      </c>
      <c r="F1158" s="23" t="str">
        <f t="shared" si="72"/>
        <v>insert into ins_premium_det (premium_rcv_code,assorted_code, rec_amount,premium_rcv_detail_code,remaining_amt, payrec, mode_code,coinsurance_code,class_cd,it_remarks) values</v>
      </c>
      <c r="G1158" s="24" t="str">
        <f t="shared" si="74"/>
        <v>('29Apr250042','050000799747','1718',(select max(to_number(i.premium_rcv_detail_code))+1
from ins_premium_det i),'1718','1718','02', '11000003','00','Request by Mr. Omair Ali 30-Apr-2025');</v>
      </c>
      <c r="H1158" s="25" t="str">
        <f t="shared" si="75"/>
        <v>insert into ins_premium_det (premium_rcv_code,assorted_code, rec_amount,premium_rcv_detail_code,remaining_amt, payrec, mode_code,coinsurance_code,class_cd,it_remarks) values('29Apr250042','050000799747','1718',(select max(to_number(i.premium_rcv_detail_code))+1
from ins_premium_det i),'1718','1718','02', '11000003','00','Request by Mr. Omair Ali 30-Apr-2025');</v>
      </c>
    </row>
    <row r="1159" spans="1:8" ht="105" x14ac:dyDescent="0.25">
      <c r="A1159" t="s">
        <v>1902</v>
      </c>
      <c r="B1159" s="1" t="str">
        <f>VLOOKUP(A1159,Sheet5!B:C,2,0)</f>
        <v>050000799754</v>
      </c>
      <c r="C1159" s="13">
        <v>726</v>
      </c>
      <c r="D1159" s="22">
        <f t="shared" si="73"/>
        <v>726</v>
      </c>
      <c r="E1159" s="21" t="s">
        <v>5912</v>
      </c>
      <c r="F1159" s="23" t="str">
        <f t="shared" si="72"/>
        <v>insert into ins_premium_det (premium_rcv_code,assorted_code, rec_amount,premium_rcv_detail_code,remaining_amt, payrec, mode_code,coinsurance_code,class_cd,it_remarks) values</v>
      </c>
      <c r="G1159" s="24" t="str">
        <f t="shared" si="74"/>
        <v>('29Apr250042','050000799754','726',(select max(to_number(i.premium_rcv_detail_code))+1
from ins_premium_det i),'726','726','02', '11000003','00','Request by Mr. Omair Ali 30-Apr-2025');</v>
      </c>
      <c r="H1159" s="25" t="str">
        <f t="shared" si="75"/>
        <v>insert into ins_premium_det (premium_rcv_code,assorted_code, rec_amount,premium_rcv_detail_code,remaining_amt, payrec, mode_code,coinsurance_code,class_cd,it_remarks) values('29Apr250042','050000799754','726',(select max(to_number(i.premium_rcv_detail_code))+1
from ins_premium_det i),'726','726','02', '11000003','00','Request by Mr. Omair Ali 30-Apr-2025');</v>
      </c>
    </row>
    <row r="1160" spans="1:8" ht="105" x14ac:dyDescent="0.25">
      <c r="A1160" t="s">
        <v>2004</v>
      </c>
      <c r="B1160" s="1" t="str">
        <f>VLOOKUP(A1160,Sheet5!B:C,2,0)</f>
        <v>050000799764</v>
      </c>
      <c r="C1160" s="13">
        <v>5494</v>
      </c>
      <c r="D1160" s="22">
        <f t="shared" si="73"/>
        <v>5494</v>
      </c>
      <c r="E1160" s="21" t="s">
        <v>5912</v>
      </c>
      <c r="F1160" s="23" t="str">
        <f t="shared" si="72"/>
        <v>insert into ins_premium_det (premium_rcv_code,assorted_code, rec_amount,premium_rcv_detail_code,remaining_amt, payrec, mode_code,coinsurance_code,class_cd,it_remarks) values</v>
      </c>
      <c r="G1160" s="24" t="str">
        <f t="shared" si="74"/>
        <v>('29Apr250042','050000799764','5494',(select max(to_number(i.premium_rcv_detail_code))+1
from ins_premium_det i),'5494','5494','02', '11000003','00','Request by Mr. Omair Ali 30-Apr-2025');</v>
      </c>
      <c r="H1160" s="25" t="str">
        <f t="shared" si="75"/>
        <v>insert into ins_premium_det (premium_rcv_code,assorted_code, rec_amount,premium_rcv_detail_code,remaining_amt, payrec, mode_code,coinsurance_code,class_cd,it_remarks) values('29Apr250042','050000799764','5494',(select max(to_number(i.premium_rcv_detail_code))+1
from ins_premium_det i),'5494','5494','02', '11000003','00','Request by Mr. Omair Ali 30-Apr-2025');</v>
      </c>
    </row>
    <row r="1161" spans="1:8" ht="105" x14ac:dyDescent="0.25">
      <c r="A1161" t="s">
        <v>1095</v>
      </c>
      <c r="B1161" s="1" t="str">
        <f>VLOOKUP(A1161,Sheet5!B:C,2,0)</f>
        <v>050000799971</v>
      </c>
      <c r="C1161" s="13">
        <v>2066</v>
      </c>
      <c r="D1161" s="22">
        <f t="shared" si="73"/>
        <v>2066</v>
      </c>
      <c r="E1161" s="21" t="s">
        <v>5912</v>
      </c>
      <c r="F1161" s="23" t="str">
        <f t="shared" si="72"/>
        <v>insert into ins_premium_det (premium_rcv_code,assorted_code, rec_amount,premium_rcv_detail_code,remaining_amt, payrec, mode_code,coinsurance_code,class_cd,it_remarks) values</v>
      </c>
      <c r="G1161" s="24" t="str">
        <f t="shared" si="74"/>
        <v>('29Apr250042','050000799971','2066',(select max(to_number(i.premium_rcv_detail_code))+1
from ins_premium_det i),'2066','2066','02', '11000003','00','Request by Mr. Omair Ali 30-Apr-2025');</v>
      </c>
      <c r="H1161" s="25" t="str">
        <f t="shared" si="75"/>
        <v>insert into ins_premium_det (premium_rcv_code,assorted_code, rec_amount,premium_rcv_detail_code,remaining_amt, payrec, mode_code,coinsurance_code,class_cd,it_remarks) values('29Apr250042','050000799971','2066',(select max(to_number(i.premium_rcv_detail_code))+1
from ins_premium_det i),'2066','2066','02', '11000003','00','Request by Mr. Omair Ali 30-Apr-2025');</v>
      </c>
    </row>
    <row r="1162" spans="1:8" ht="105" x14ac:dyDescent="0.25">
      <c r="A1162" t="s">
        <v>1228</v>
      </c>
      <c r="B1162" s="1" t="str">
        <f>VLOOKUP(A1162,Sheet5!B:C,2,0)</f>
        <v>050000799973</v>
      </c>
      <c r="C1162" s="13">
        <v>2728</v>
      </c>
      <c r="D1162" s="22">
        <f t="shared" si="73"/>
        <v>2728</v>
      </c>
      <c r="E1162" s="21" t="s">
        <v>5912</v>
      </c>
      <c r="F1162" s="23" t="str">
        <f t="shared" si="72"/>
        <v>insert into ins_premium_det (premium_rcv_code,assorted_code, rec_amount,premium_rcv_detail_code,remaining_amt, payrec, mode_code,coinsurance_code,class_cd,it_remarks) values</v>
      </c>
      <c r="G1162" s="24" t="str">
        <f t="shared" si="74"/>
        <v>('29Apr250042','050000799973','2728',(select max(to_number(i.premium_rcv_detail_code))+1
from ins_premium_det i),'2728','2728','02', '11000003','00','Request by Mr. Omair Ali 30-Apr-2025');</v>
      </c>
      <c r="H1162" s="25" t="str">
        <f t="shared" si="75"/>
        <v>insert into ins_premium_det (premium_rcv_code,assorted_code, rec_amount,premium_rcv_detail_code,remaining_amt, payrec, mode_code,coinsurance_code,class_cd,it_remarks) values('29Apr250042','050000799973','2728',(select max(to_number(i.premium_rcv_detail_code))+1
from ins_premium_det i),'2728','2728','02', '11000003','00','Request by Mr. Omair Ali 30-Apr-2025');</v>
      </c>
    </row>
    <row r="1163" spans="1:8" ht="105" x14ac:dyDescent="0.25">
      <c r="A1163" t="s">
        <v>1240</v>
      </c>
      <c r="B1163" s="1" t="str">
        <f>VLOOKUP(A1163,Sheet5!B:C,2,0)</f>
        <v>050000799974</v>
      </c>
      <c r="C1163" s="13">
        <v>107</v>
      </c>
      <c r="D1163" s="22">
        <f t="shared" si="73"/>
        <v>107</v>
      </c>
      <c r="E1163" s="21" t="s">
        <v>5912</v>
      </c>
      <c r="F1163" s="23" t="str">
        <f t="shared" si="72"/>
        <v>insert into ins_premium_det (premium_rcv_code,assorted_code, rec_amount,premium_rcv_detail_code,remaining_amt, payrec, mode_code,coinsurance_code,class_cd,it_remarks) values</v>
      </c>
      <c r="G1163" s="24" t="str">
        <f t="shared" si="74"/>
        <v>('29Apr250042','050000799974','107',(select max(to_number(i.premium_rcv_detail_code))+1
from ins_premium_det i),'107','107','02', '11000003','00','Request by Mr. Omair Ali 30-Apr-2025');</v>
      </c>
      <c r="H1163" s="25" t="str">
        <f t="shared" si="75"/>
        <v>insert into ins_premium_det (premium_rcv_code,assorted_code, rec_amount,premium_rcv_detail_code,remaining_amt, payrec, mode_code,coinsurance_code,class_cd,it_remarks) values('29Apr250042','050000799974','107',(select max(to_number(i.premium_rcv_detail_code))+1
from ins_premium_det i),'107','107','02', '11000003','00','Request by Mr. Omair Ali 30-Apr-2025');</v>
      </c>
    </row>
    <row r="1164" spans="1:8" ht="105" x14ac:dyDescent="0.25">
      <c r="A1164" t="s">
        <v>1246</v>
      </c>
      <c r="B1164" s="1" t="str">
        <f>VLOOKUP(A1164,Sheet5!B:C,2,0)</f>
        <v>050000799975</v>
      </c>
      <c r="C1164" s="13">
        <v>4157</v>
      </c>
      <c r="D1164" s="22">
        <f t="shared" si="73"/>
        <v>4157</v>
      </c>
      <c r="E1164" s="21" t="s">
        <v>5912</v>
      </c>
      <c r="F1164" s="23" t="str">
        <f t="shared" si="72"/>
        <v>insert into ins_premium_det (premium_rcv_code,assorted_code, rec_amount,premium_rcv_detail_code,remaining_amt, payrec, mode_code,coinsurance_code,class_cd,it_remarks) values</v>
      </c>
      <c r="G1164" s="24" t="str">
        <f t="shared" si="74"/>
        <v>('29Apr250042','050000799975','4157',(select max(to_number(i.premium_rcv_detail_code))+1
from ins_premium_det i),'4157','4157','02', '11000003','00','Request by Mr. Omair Ali 30-Apr-2025');</v>
      </c>
      <c r="H1164" s="25" t="str">
        <f t="shared" si="75"/>
        <v>insert into ins_premium_det (premium_rcv_code,assorted_code, rec_amount,premium_rcv_detail_code,remaining_amt, payrec, mode_code,coinsurance_code,class_cd,it_remarks) values('29Apr250042','050000799975','4157',(select max(to_number(i.premium_rcv_detail_code))+1
from ins_premium_det i),'4157','4157','02', '11000003','00','Request by Mr. Omair Ali 30-Apr-2025');</v>
      </c>
    </row>
    <row r="1165" spans="1:8" ht="105" x14ac:dyDescent="0.25">
      <c r="A1165" t="s">
        <v>1284</v>
      </c>
      <c r="B1165" s="1" t="str">
        <f>VLOOKUP(A1165,Sheet5!B:C,2,0)</f>
        <v>050000799977</v>
      </c>
      <c r="C1165" s="13">
        <v>1341</v>
      </c>
      <c r="D1165" s="22">
        <f t="shared" si="73"/>
        <v>1341</v>
      </c>
      <c r="E1165" s="21" t="s">
        <v>5912</v>
      </c>
      <c r="F1165" s="23" t="str">
        <f t="shared" si="72"/>
        <v>insert into ins_premium_det (premium_rcv_code,assorted_code, rec_amount,premium_rcv_detail_code,remaining_amt, payrec, mode_code,coinsurance_code,class_cd,it_remarks) values</v>
      </c>
      <c r="G1165" s="24" t="str">
        <f t="shared" si="74"/>
        <v>('29Apr250042','050000799977','1341',(select max(to_number(i.premium_rcv_detail_code))+1
from ins_premium_det i),'1341','1341','02', '11000003','00','Request by Mr. Omair Ali 30-Apr-2025');</v>
      </c>
      <c r="H1165" s="25" t="str">
        <f t="shared" si="75"/>
        <v>insert into ins_premium_det (premium_rcv_code,assorted_code, rec_amount,premium_rcv_detail_code,remaining_amt, payrec, mode_code,coinsurance_code,class_cd,it_remarks) values('29Apr250042','050000799977','1341',(select max(to_number(i.premium_rcv_detail_code))+1
from ins_premium_det i),'1341','1341','02', '11000003','00','Request by Mr. Omair Ali 30-Apr-2025');</v>
      </c>
    </row>
    <row r="1166" spans="1:8" ht="105" x14ac:dyDescent="0.25">
      <c r="A1166" t="s">
        <v>1308</v>
      </c>
      <c r="B1166" s="1" t="str">
        <f>VLOOKUP(A1166,Sheet5!B:C,2,0)</f>
        <v>050000799981</v>
      </c>
      <c r="C1166" s="13">
        <v>4515</v>
      </c>
      <c r="D1166" s="22">
        <f t="shared" si="73"/>
        <v>4515</v>
      </c>
      <c r="E1166" s="21" t="s">
        <v>5912</v>
      </c>
      <c r="F1166" s="23" t="str">
        <f t="shared" si="72"/>
        <v>insert into ins_premium_det (premium_rcv_code,assorted_code, rec_amount,premium_rcv_detail_code,remaining_amt, payrec, mode_code,coinsurance_code,class_cd,it_remarks) values</v>
      </c>
      <c r="G1166" s="24" t="str">
        <f t="shared" si="74"/>
        <v>('29Apr250042','050000799981','4515',(select max(to_number(i.premium_rcv_detail_code))+1
from ins_premium_det i),'4515','4515','02', '11000003','00','Request by Mr. Omair Ali 30-Apr-2025');</v>
      </c>
      <c r="H1166" s="25" t="str">
        <f t="shared" si="75"/>
        <v>insert into ins_premium_det (premium_rcv_code,assorted_code, rec_amount,premium_rcv_detail_code,remaining_amt, payrec, mode_code,coinsurance_code,class_cd,it_remarks) values('29Apr250042','050000799981','4515',(select max(to_number(i.premium_rcv_detail_code))+1
from ins_premium_det i),'4515','4515','02', '11000003','00','Request by Mr. Omair Ali 30-Apr-2025');</v>
      </c>
    </row>
    <row r="1167" spans="1:8" ht="105" x14ac:dyDescent="0.25">
      <c r="A1167" t="s">
        <v>1427</v>
      </c>
      <c r="B1167" s="1" t="str">
        <f>VLOOKUP(A1167,Sheet5!B:C,2,0)</f>
        <v>050000799982</v>
      </c>
      <c r="C1167" s="13">
        <v>4235</v>
      </c>
      <c r="D1167" s="22">
        <f t="shared" si="73"/>
        <v>4235</v>
      </c>
      <c r="E1167" s="21" t="s">
        <v>5912</v>
      </c>
      <c r="F1167" s="23" t="str">
        <f t="shared" si="72"/>
        <v>insert into ins_premium_det (premium_rcv_code,assorted_code, rec_amount,premium_rcv_detail_code,remaining_amt, payrec, mode_code,coinsurance_code,class_cd,it_remarks) values</v>
      </c>
      <c r="G1167" s="24" t="str">
        <f t="shared" si="74"/>
        <v>('29Apr250042','050000799982','4235',(select max(to_number(i.premium_rcv_detail_code))+1
from ins_premium_det i),'4235','4235','02', '11000003','00','Request by Mr. Omair Ali 30-Apr-2025');</v>
      </c>
      <c r="H1167" s="25" t="str">
        <f t="shared" si="75"/>
        <v>insert into ins_premium_det (premium_rcv_code,assorted_code, rec_amount,premium_rcv_detail_code,remaining_amt, payrec, mode_code,coinsurance_code,class_cd,it_remarks) values('29Apr250042','050000799982','4235',(select max(to_number(i.premium_rcv_detail_code))+1
from ins_premium_det i),'4235','4235','02', '11000003','00','Request by Mr. Omair Ali 30-Apr-2025');</v>
      </c>
    </row>
    <row r="1168" spans="1:8" ht="105" x14ac:dyDescent="0.25">
      <c r="A1168" t="s">
        <v>1437</v>
      </c>
      <c r="B1168" s="1" t="str">
        <f>VLOOKUP(A1168,Sheet5!B:C,2,0)</f>
        <v>050000799983</v>
      </c>
      <c r="C1168" s="13">
        <v>2835</v>
      </c>
      <c r="D1168" s="22">
        <f t="shared" si="73"/>
        <v>2835</v>
      </c>
      <c r="E1168" s="21" t="s">
        <v>5912</v>
      </c>
      <c r="F1168" s="23" t="str">
        <f t="shared" si="72"/>
        <v>insert into ins_premium_det (premium_rcv_code,assorted_code, rec_amount,premium_rcv_detail_code,remaining_amt, payrec, mode_code,coinsurance_code,class_cd,it_remarks) values</v>
      </c>
      <c r="G1168" s="24" t="str">
        <f t="shared" si="74"/>
        <v>('29Apr250042','050000799983','2835',(select max(to_number(i.premium_rcv_detail_code))+1
from ins_premium_det i),'2835','2835','02', '11000003','00','Request by Mr. Omair Ali 30-Apr-2025');</v>
      </c>
      <c r="H1168" s="25" t="str">
        <f t="shared" si="75"/>
        <v>insert into ins_premium_det (premium_rcv_code,assorted_code, rec_amount,premium_rcv_detail_code,remaining_amt, payrec, mode_code,coinsurance_code,class_cd,it_remarks) values('29Apr250042','050000799983','2835',(select max(to_number(i.premium_rcv_detail_code))+1
from ins_premium_det i),'2835','2835','02', '11000003','00','Request by Mr. Omair Ali 30-Apr-2025');</v>
      </c>
    </row>
    <row r="1169" spans="1:8" ht="105" x14ac:dyDescent="0.25">
      <c r="A1169" t="s">
        <v>1690</v>
      </c>
      <c r="B1169" s="1" t="str">
        <f>VLOOKUP(A1169,Sheet5!B:C,2,0)</f>
        <v>050000799987</v>
      </c>
      <c r="C1169" s="13">
        <v>1900</v>
      </c>
      <c r="D1169" s="22">
        <f t="shared" si="73"/>
        <v>1900</v>
      </c>
      <c r="E1169" s="21" t="s">
        <v>5912</v>
      </c>
      <c r="F1169" s="23" t="str">
        <f t="shared" si="72"/>
        <v>insert into ins_premium_det (premium_rcv_code,assorted_code, rec_amount,premium_rcv_detail_code,remaining_amt, payrec, mode_code,coinsurance_code,class_cd,it_remarks) values</v>
      </c>
      <c r="G1169" s="24" t="str">
        <f t="shared" si="74"/>
        <v>('29Apr250042','050000799987','1900',(select max(to_number(i.premium_rcv_detail_code))+1
from ins_premium_det i),'1900','1900','02', '11000003','00','Request by Mr. Omair Ali 30-Apr-2025');</v>
      </c>
      <c r="H1169" s="25" t="str">
        <f t="shared" si="75"/>
        <v>insert into ins_premium_det (premium_rcv_code,assorted_code, rec_amount,premium_rcv_detail_code,remaining_amt, payrec, mode_code,coinsurance_code,class_cd,it_remarks) values('29Apr250042','050000799987','1900',(select max(to_number(i.premium_rcv_detail_code))+1
from ins_premium_det i),'1900','1900','02', '11000003','00','Request by Mr. Omair Ali 30-Apr-2025');</v>
      </c>
    </row>
    <row r="1170" spans="1:8" ht="105" x14ac:dyDescent="0.25">
      <c r="A1170" t="s">
        <v>1955</v>
      </c>
      <c r="B1170" s="1" t="str">
        <f>VLOOKUP(A1170,Sheet5!B:C,2,0)</f>
        <v>050000799996</v>
      </c>
      <c r="C1170" s="13">
        <v>691</v>
      </c>
      <c r="D1170" s="22">
        <f t="shared" si="73"/>
        <v>691</v>
      </c>
      <c r="E1170" s="21" t="s">
        <v>5912</v>
      </c>
      <c r="F1170" s="23" t="str">
        <f t="shared" si="72"/>
        <v>insert into ins_premium_det (premium_rcv_code,assorted_code, rec_amount,premium_rcv_detail_code,remaining_amt, payrec, mode_code,coinsurance_code,class_cd,it_remarks) values</v>
      </c>
      <c r="G1170" s="24" t="str">
        <f t="shared" si="74"/>
        <v>('29Apr250042','050000799996','691',(select max(to_number(i.premium_rcv_detail_code))+1
from ins_premium_det i),'691','691','02', '11000003','00','Request by Mr. Omair Ali 30-Apr-2025');</v>
      </c>
      <c r="H1170" s="25" t="str">
        <f t="shared" si="75"/>
        <v>insert into ins_premium_det (premium_rcv_code,assorted_code, rec_amount,premium_rcv_detail_code,remaining_amt, payrec, mode_code,coinsurance_code,class_cd,it_remarks) values('29Apr250042','050000799996','691',(select max(to_number(i.premium_rcv_detail_code))+1
from ins_premium_det i),'691','691','02', '11000003','00','Request by Mr. Omair Ali 30-Apr-2025');</v>
      </c>
    </row>
    <row r="1171" spans="1:8" ht="105" x14ac:dyDescent="0.25">
      <c r="A1171" t="s">
        <v>1296</v>
      </c>
      <c r="B1171" s="1" t="str">
        <f>VLOOKUP(A1171,Sheet5!B:C,2,0)</f>
        <v>050000800080</v>
      </c>
      <c r="C1171" s="13">
        <v>271</v>
      </c>
      <c r="D1171" s="22">
        <f t="shared" si="73"/>
        <v>271</v>
      </c>
      <c r="E1171" s="21" t="s">
        <v>5912</v>
      </c>
      <c r="F1171" s="23" t="str">
        <f t="shared" si="72"/>
        <v>insert into ins_premium_det (premium_rcv_code,assorted_code, rec_amount,premium_rcv_detail_code,remaining_amt, payrec, mode_code,coinsurance_code,class_cd,it_remarks) values</v>
      </c>
      <c r="G1171" s="24" t="str">
        <f t="shared" si="74"/>
        <v>('29Apr250042','050000800080','271',(select max(to_number(i.premium_rcv_detail_code))+1
from ins_premium_det i),'271','271','02', '11000003','00','Request by Mr. Omair Ali 30-Apr-2025');</v>
      </c>
      <c r="H1171" s="25" t="str">
        <f t="shared" si="75"/>
        <v>insert into ins_premium_det (premium_rcv_code,assorted_code, rec_amount,premium_rcv_detail_code,remaining_amt, payrec, mode_code,coinsurance_code,class_cd,it_remarks) values('29Apr250042','050000800080','271',(select max(to_number(i.premium_rcv_detail_code))+1
from ins_premium_det i),'271','271','02', '11000003','00','Request by Mr. Omair Ali 30-Apr-2025');</v>
      </c>
    </row>
    <row r="1172" spans="1:8" ht="105" x14ac:dyDescent="0.25">
      <c r="A1172" t="s">
        <v>1462</v>
      </c>
      <c r="B1172" s="1" t="str">
        <f>VLOOKUP(A1172,Sheet5!B:C,2,0)</f>
        <v>050000800083</v>
      </c>
      <c r="C1172" s="13">
        <v>3512</v>
      </c>
      <c r="D1172" s="22">
        <f t="shared" si="73"/>
        <v>3512</v>
      </c>
      <c r="E1172" s="21" t="s">
        <v>5912</v>
      </c>
      <c r="F1172" s="23" t="str">
        <f t="shared" si="72"/>
        <v>insert into ins_premium_det (premium_rcv_code,assorted_code, rec_amount,premium_rcv_detail_code,remaining_amt, payrec, mode_code,coinsurance_code,class_cd,it_remarks) values</v>
      </c>
      <c r="G1172" s="24" t="str">
        <f t="shared" si="74"/>
        <v>('29Apr250042','050000800083','3512',(select max(to_number(i.premium_rcv_detail_code))+1
from ins_premium_det i),'3512','3512','02', '11000003','00','Request by Mr. Omair Ali 30-Apr-2025');</v>
      </c>
      <c r="H1172" s="25" t="str">
        <f t="shared" si="75"/>
        <v>insert into ins_premium_det (premium_rcv_code,assorted_code, rec_amount,premium_rcv_detail_code,remaining_amt, payrec, mode_code,coinsurance_code,class_cd,it_remarks) values('29Apr250042','050000800083','3512',(select max(to_number(i.premium_rcv_detail_code))+1
from ins_premium_det i),'3512','3512','02', '11000003','00','Request by Mr. Omair Ali 30-Apr-2025');</v>
      </c>
    </row>
    <row r="1173" spans="1:8" ht="105" x14ac:dyDescent="0.25">
      <c r="A1173" t="s">
        <v>2016</v>
      </c>
      <c r="B1173" s="1" t="str">
        <f>VLOOKUP(A1173,Sheet5!B:C,2,0)</f>
        <v>050000800090</v>
      </c>
      <c r="C1173" s="13">
        <v>1939</v>
      </c>
      <c r="D1173" s="22">
        <f t="shared" si="73"/>
        <v>1939</v>
      </c>
      <c r="E1173" s="21" t="s">
        <v>5912</v>
      </c>
      <c r="F1173" s="23" t="str">
        <f t="shared" si="72"/>
        <v>insert into ins_premium_det (premium_rcv_code,assorted_code, rec_amount,premium_rcv_detail_code,remaining_amt, payrec, mode_code,coinsurance_code,class_cd,it_remarks) values</v>
      </c>
      <c r="G1173" s="24" t="str">
        <f t="shared" si="74"/>
        <v>('29Apr250042','050000800090','1939',(select max(to_number(i.premium_rcv_detail_code))+1
from ins_premium_det i),'1939','1939','02', '11000003','00','Request by Mr. Omair Ali 30-Apr-2025');</v>
      </c>
      <c r="H1173" s="25" t="str">
        <f t="shared" si="75"/>
        <v>insert into ins_premium_det (premium_rcv_code,assorted_code, rec_amount,premium_rcv_detail_code,remaining_amt, payrec, mode_code,coinsurance_code,class_cd,it_remarks) values('29Apr250042','050000800090','1939',(select max(to_number(i.premium_rcv_detail_code))+1
from ins_premium_det i),'1939','1939','02', '11000003','00','Request by Mr. Omair Ali 30-Apr-2025');</v>
      </c>
    </row>
    <row r="1174" spans="1:8" ht="105" x14ac:dyDescent="0.25">
      <c r="A1174" t="s">
        <v>946</v>
      </c>
      <c r="B1174" s="1" t="str">
        <f>VLOOKUP(A1174,Sheet5!B:C,2,0)</f>
        <v>050000800660</v>
      </c>
      <c r="C1174" s="13">
        <v>3180</v>
      </c>
      <c r="D1174" s="22">
        <f t="shared" si="73"/>
        <v>3180</v>
      </c>
      <c r="E1174" s="21" t="s">
        <v>5912</v>
      </c>
      <c r="F1174" s="23" t="str">
        <f t="shared" si="72"/>
        <v>insert into ins_premium_det (premium_rcv_code,assorted_code, rec_amount,premium_rcv_detail_code,remaining_amt, payrec, mode_code,coinsurance_code,class_cd,it_remarks) values</v>
      </c>
      <c r="G1174" s="24" t="str">
        <f t="shared" si="74"/>
        <v>('29Apr250042','050000800660','3180',(select max(to_number(i.premium_rcv_detail_code))+1
from ins_premium_det i),'3180','3180','02', '11000003','00','Request by Mr. Omair Ali 30-Apr-2025');</v>
      </c>
      <c r="H1174" s="25" t="str">
        <f t="shared" si="75"/>
        <v>insert into ins_premium_det (premium_rcv_code,assorted_code, rec_amount,premium_rcv_detail_code,remaining_amt, payrec, mode_code,coinsurance_code,class_cd,it_remarks) values('29Apr250042','050000800660','3180',(select max(to_number(i.premium_rcv_detail_code))+1
from ins_premium_det i),'3180','3180','02', '11000003','00','Request by Mr. Omair Ali 30-Apr-2025');</v>
      </c>
    </row>
    <row r="1175" spans="1:8" ht="105" x14ac:dyDescent="0.25">
      <c r="A1175" t="s">
        <v>974</v>
      </c>
      <c r="B1175" s="1" t="str">
        <f>VLOOKUP(A1175,Sheet5!B:C,2,0)</f>
        <v>050000800661</v>
      </c>
      <c r="C1175" s="13">
        <v>3703</v>
      </c>
      <c r="D1175" s="22">
        <f t="shared" si="73"/>
        <v>3703</v>
      </c>
      <c r="E1175" s="21" t="s">
        <v>5912</v>
      </c>
      <c r="F1175" s="23" t="str">
        <f t="shared" si="72"/>
        <v>insert into ins_premium_det (premium_rcv_code,assorted_code, rec_amount,premium_rcv_detail_code,remaining_amt, payrec, mode_code,coinsurance_code,class_cd,it_remarks) values</v>
      </c>
      <c r="G1175" s="24" t="str">
        <f t="shared" si="74"/>
        <v>('29Apr250042','050000800661','3703',(select max(to_number(i.premium_rcv_detail_code))+1
from ins_premium_det i),'3703','3703','02', '11000003','00','Request by Mr. Omair Ali 30-Apr-2025');</v>
      </c>
      <c r="H1175" s="25" t="str">
        <f t="shared" si="75"/>
        <v>insert into ins_premium_det (premium_rcv_code,assorted_code, rec_amount,premium_rcv_detail_code,remaining_amt, payrec, mode_code,coinsurance_code,class_cd,it_remarks) values('29Apr250042','050000800661','3703',(select max(to_number(i.premium_rcv_detail_code))+1
from ins_premium_det i),'3703','3703','02', '11000003','00','Request by Mr. Omair Ali 30-Apr-2025');</v>
      </c>
    </row>
    <row r="1176" spans="1:8" ht="105" x14ac:dyDescent="0.25">
      <c r="A1176" t="s">
        <v>1070</v>
      </c>
      <c r="B1176" s="1" t="str">
        <f>VLOOKUP(A1176,Sheet5!B:C,2,0)</f>
        <v>050000800665</v>
      </c>
      <c r="C1176" s="13">
        <v>5808</v>
      </c>
      <c r="D1176" s="22">
        <f t="shared" si="73"/>
        <v>5808</v>
      </c>
      <c r="E1176" s="21" t="s">
        <v>5912</v>
      </c>
      <c r="F1176" s="23" t="str">
        <f t="shared" si="72"/>
        <v>insert into ins_premium_det (premium_rcv_code,assorted_code, rec_amount,premium_rcv_detail_code,remaining_amt, payrec, mode_code,coinsurance_code,class_cd,it_remarks) values</v>
      </c>
      <c r="G1176" s="24" t="str">
        <f t="shared" si="74"/>
        <v>('29Apr250042','050000800665','5808',(select max(to_number(i.premium_rcv_detail_code))+1
from ins_premium_det i),'5808','5808','02', '11000003','00','Request by Mr. Omair Ali 30-Apr-2025');</v>
      </c>
      <c r="H1176" s="25" t="str">
        <f t="shared" si="75"/>
        <v>insert into ins_premium_det (premium_rcv_code,assorted_code, rec_amount,premium_rcv_detail_code,remaining_amt, payrec, mode_code,coinsurance_code,class_cd,it_remarks) values('29Apr250042','050000800665','5808',(select max(to_number(i.premium_rcv_detail_code))+1
from ins_premium_det i),'5808','5808','02', '11000003','00','Request by Mr. Omair Ali 30-Apr-2025');</v>
      </c>
    </row>
    <row r="1177" spans="1:8" ht="105" x14ac:dyDescent="0.25">
      <c r="A1177" t="s">
        <v>1081</v>
      </c>
      <c r="B1177" s="1" t="str">
        <f>VLOOKUP(A1177,Sheet5!B:C,2,0)</f>
        <v>050000800666</v>
      </c>
      <c r="C1177" s="13">
        <v>5508</v>
      </c>
      <c r="D1177" s="22">
        <f t="shared" si="73"/>
        <v>5508</v>
      </c>
      <c r="E1177" s="21" t="s">
        <v>5912</v>
      </c>
      <c r="F1177" s="23" t="str">
        <f t="shared" si="72"/>
        <v>insert into ins_premium_det (premium_rcv_code,assorted_code, rec_amount,premium_rcv_detail_code,remaining_amt, payrec, mode_code,coinsurance_code,class_cd,it_remarks) values</v>
      </c>
      <c r="G1177" s="24" t="str">
        <f t="shared" si="74"/>
        <v>('29Apr250042','050000800666','5508',(select max(to_number(i.premium_rcv_detail_code))+1
from ins_premium_det i),'5508','5508','02', '11000003','00','Request by Mr. Omair Ali 30-Apr-2025');</v>
      </c>
      <c r="H1177" s="25" t="str">
        <f t="shared" si="75"/>
        <v>insert into ins_premium_det (premium_rcv_code,assorted_code, rec_amount,premium_rcv_detail_code,remaining_amt, payrec, mode_code,coinsurance_code,class_cd,it_remarks) values('29Apr250042','050000800666','5508',(select max(to_number(i.premium_rcv_detail_code))+1
from ins_premium_det i),'5508','5508','02', '11000003','00','Request by Mr. Omair Ali 30-Apr-2025');</v>
      </c>
    </row>
    <row r="1178" spans="1:8" ht="105" x14ac:dyDescent="0.25">
      <c r="A1178" t="s">
        <v>1472</v>
      </c>
      <c r="B1178" s="1" t="str">
        <f>VLOOKUP(A1178,Sheet5!B:C,2,0)</f>
        <v>050000800681</v>
      </c>
      <c r="C1178" s="13">
        <v>8903</v>
      </c>
      <c r="D1178" s="22">
        <f t="shared" si="73"/>
        <v>8903</v>
      </c>
      <c r="E1178" s="21" t="s">
        <v>5912</v>
      </c>
      <c r="F1178" s="23" t="str">
        <f t="shared" si="72"/>
        <v>insert into ins_premium_det (premium_rcv_code,assorted_code, rec_amount,premium_rcv_detail_code,remaining_amt, payrec, mode_code,coinsurance_code,class_cd,it_remarks) values</v>
      </c>
      <c r="G1178" s="24" t="str">
        <f t="shared" si="74"/>
        <v>('29Apr250042','050000800681','8903',(select max(to_number(i.premium_rcv_detail_code))+1
from ins_premium_det i),'8903','8903','02', '11000003','00','Request by Mr. Omair Ali 30-Apr-2025');</v>
      </c>
      <c r="H1178" s="25" t="str">
        <f t="shared" si="75"/>
        <v>insert into ins_premium_det (premium_rcv_code,assorted_code, rec_amount,premium_rcv_detail_code,remaining_amt, payrec, mode_code,coinsurance_code,class_cd,it_remarks) values('29Apr250042','050000800681','8903',(select max(to_number(i.premium_rcv_detail_code))+1
from ins_premium_det i),'8903','8903','02', '11000003','00','Request by Mr. Omair Ali 30-Apr-2025');</v>
      </c>
    </row>
    <row r="1179" spans="1:8" ht="105" x14ac:dyDescent="0.25">
      <c r="A1179" t="s">
        <v>1711</v>
      </c>
      <c r="B1179" s="1" t="str">
        <f>VLOOKUP(A1179,Sheet5!B:C,2,0)</f>
        <v>050000800688</v>
      </c>
      <c r="C1179" s="13">
        <v>5624</v>
      </c>
      <c r="D1179" s="22">
        <f t="shared" si="73"/>
        <v>5624</v>
      </c>
      <c r="E1179" s="21" t="s">
        <v>5912</v>
      </c>
      <c r="F1179" s="23" t="str">
        <f t="shared" si="72"/>
        <v>insert into ins_premium_det (premium_rcv_code,assorted_code, rec_amount,premium_rcv_detail_code,remaining_amt, payrec, mode_code,coinsurance_code,class_cd,it_remarks) values</v>
      </c>
      <c r="G1179" s="24" t="str">
        <f t="shared" si="74"/>
        <v>('29Apr250042','050000800688','5624',(select max(to_number(i.premium_rcv_detail_code))+1
from ins_premium_det i),'5624','5624','02', '11000003','00','Request by Mr. Omair Ali 30-Apr-2025');</v>
      </c>
      <c r="H1179" s="25" t="str">
        <f t="shared" si="75"/>
        <v>insert into ins_premium_det (premium_rcv_code,assorted_code, rec_amount,premium_rcv_detail_code,remaining_amt, payrec, mode_code,coinsurance_code,class_cd,it_remarks) values('29Apr250042','050000800688','5624',(select max(to_number(i.premium_rcv_detail_code))+1
from ins_premium_det i),'5624','5624','02', '11000003','00','Request by Mr. Omair Ali 30-Apr-2025');</v>
      </c>
    </row>
    <row r="1180" spans="1:8" ht="105" x14ac:dyDescent="0.25">
      <c r="A1180" t="s">
        <v>1722</v>
      </c>
      <c r="B1180" s="1" t="str">
        <f>VLOOKUP(A1180,Sheet5!B:C,2,0)</f>
        <v>050000800689</v>
      </c>
      <c r="C1180" s="13">
        <v>3436</v>
      </c>
      <c r="D1180" s="22">
        <f t="shared" si="73"/>
        <v>3436</v>
      </c>
      <c r="E1180" s="21" t="s">
        <v>5912</v>
      </c>
      <c r="F1180" s="23" t="str">
        <f t="shared" si="72"/>
        <v>insert into ins_premium_det (premium_rcv_code,assorted_code, rec_amount,premium_rcv_detail_code,remaining_amt, payrec, mode_code,coinsurance_code,class_cd,it_remarks) values</v>
      </c>
      <c r="G1180" s="24" t="str">
        <f t="shared" si="74"/>
        <v>('29Apr250042','050000800689','3436',(select max(to_number(i.premium_rcv_detail_code))+1
from ins_premium_det i),'3436','3436','02', '11000003','00','Request by Mr. Omair Ali 30-Apr-2025');</v>
      </c>
      <c r="H1180" s="25" t="str">
        <f t="shared" si="75"/>
        <v>insert into ins_premium_det (premium_rcv_code,assorted_code, rec_amount,premium_rcv_detail_code,remaining_amt, payrec, mode_code,coinsurance_code,class_cd,it_remarks) values('29Apr250042','050000800689','3436',(select max(to_number(i.premium_rcv_detail_code))+1
from ins_premium_det i),'3436','3436','02', '11000003','00','Request by Mr. Omair Ali 30-Apr-2025');</v>
      </c>
    </row>
    <row r="1181" spans="1:8" ht="105" x14ac:dyDescent="0.25">
      <c r="A1181" t="s">
        <v>1910</v>
      </c>
      <c r="B1181" s="1" t="str">
        <f>VLOOKUP(A1181,Sheet5!B:C,2,0)</f>
        <v>050000800698</v>
      </c>
      <c r="C1181" s="13">
        <v>1388</v>
      </c>
      <c r="D1181" s="22">
        <f t="shared" si="73"/>
        <v>1388</v>
      </c>
      <c r="E1181" s="21" t="s">
        <v>5912</v>
      </c>
      <c r="F1181" s="23" t="str">
        <f t="shared" si="72"/>
        <v>insert into ins_premium_det (premium_rcv_code,assorted_code, rec_amount,premium_rcv_detail_code,remaining_amt, payrec, mode_code,coinsurance_code,class_cd,it_remarks) values</v>
      </c>
      <c r="G1181" s="24" t="str">
        <f t="shared" si="74"/>
        <v>('29Apr250042','050000800698','1388',(select max(to_number(i.premium_rcv_detail_code))+1
from ins_premium_det i),'1388','1388','02', '11000003','00','Request by Mr. Omair Ali 30-Apr-2025');</v>
      </c>
      <c r="H1181" s="25" t="str">
        <f t="shared" si="75"/>
        <v>insert into ins_premium_det (premium_rcv_code,assorted_code, rec_amount,premium_rcv_detail_code,remaining_amt, payrec, mode_code,coinsurance_code,class_cd,it_remarks) values('29Apr250042','050000800698','1388',(select max(to_number(i.premium_rcv_detail_code))+1
from ins_premium_det i),'1388','1388','02', '11000003','00','Request by Mr. Omair Ali 30-Apr-2025');</v>
      </c>
    </row>
    <row r="1182" spans="1:8" ht="105" x14ac:dyDescent="0.25">
      <c r="A1182" t="s">
        <v>1960</v>
      </c>
      <c r="B1182" s="1" t="str">
        <f>VLOOKUP(A1182,Sheet5!B:C,2,0)</f>
        <v>050000800714</v>
      </c>
      <c r="C1182" s="13">
        <v>6712</v>
      </c>
      <c r="D1182" s="22">
        <f t="shared" si="73"/>
        <v>6712</v>
      </c>
      <c r="E1182" s="21" t="s">
        <v>5912</v>
      </c>
      <c r="F1182" s="23" t="str">
        <f t="shared" si="72"/>
        <v>insert into ins_premium_det (premium_rcv_code,assorted_code, rec_amount,premium_rcv_detail_code,remaining_amt, payrec, mode_code,coinsurance_code,class_cd,it_remarks) values</v>
      </c>
      <c r="G1182" s="24" t="str">
        <f t="shared" si="74"/>
        <v>('29Apr250042','050000800714','6712',(select max(to_number(i.premium_rcv_detail_code))+1
from ins_premium_det i),'6712','6712','02', '11000003','00','Request by Mr. Omair Ali 30-Apr-2025');</v>
      </c>
      <c r="H1182" s="25" t="str">
        <f t="shared" si="75"/>
        <v>insert into ins_premium_det (premium_rcv_code,assorted_code, rec_amount,premium_rcv_detail_code,remaining_amt, payrec, mode_code,coinsurance_code,class_cd,it_remarks) values('29Apr250042','050000800714','6712',(select max(to_number(i.premium_rcv_detail_code))+1
from ins_premium_det i),'6712','6712','02', '11000003','00','Request by Mr. Omair Ali 30-Apr-2025');</v>
      </c>
    </row>
    <row r="1183" spans="1:8" ht="105" x14ac:dyDescent="0.25">
      <c r="A1183" t="s">
        <v>1327</v>
      </c>
      <c r="B1183" s="1" t="str">
        <f>VLOOKUP(A1183,Sheet5!B:C,2,0)</f>
        <v>050000811546</v>
      </c>
      <c r="C1183" s="13">
        <v>1336</v>
      </c>
      <c r="D1183" s="22">
        <f t="shared" si="73"/>
        <v>1336</v>
      </c>
      <c r="E1183" s="21" t="s">
        <v>5912</v>
      </c>
      <c r="F1183" s="23" t="str">
        <f t="shared" si="72"/>
        <v>insert into ins_premium_det (premium_rcv_code,assorted_code, rec_amount,premium_rcv_detail_code,remaining_amt, payrec, mode_code,coinsurance_code,class_cd,it_remarks) values</v>
      </c>
      <c r="G1183" s="24" t="str">
        <f t="shared" si="74"/>
        <v>('29Apr250042','050000811546','1336',(select max(to_number(i.premium_rcv_detail_code))+1
from ins_premium_det i),'1336','1336','02', '11000003','00','Request by Mr. Omair Ali 30-Apr-2025');</v>
      </c>
      <c r="H1183" s="25" t="str">
        <f t="shared" si="75"/>
        <v>insert into ins_premium_det (premium_rcv_code,assorted_code, rec_amount,premium_rcv_detail_code,remaining_amt, payrec, mode_code,coinsurance_code,class_cd,it_remarks) values('29Apr250042','050000811546','1336',(select max(to_number(i.premium_rcv_detail_code))+1
from ins_premium_det i),'1336','1336','02', '11000003','00','Request by Mr. Omair Ali 30-Apr-2025');</v>
      </c>
    </row>
    <row r="1184" spans="1:8" ht="105" x14ac:dyDescent="0.25">
      <c r="A1184" t="s">
        <v>959</v>
      </c>
      <c r="B1184" s="1" t="str">
        <f>VLOOKUP(A1184,Sheet5!B:C,2,0)</f>
        <v>050000812176</v>
      </c>
      <c r="C1184" s="13">
        <v>4465</v>
      </c>
      <c r="D1184" s="22">
        <f t="shared" si="73"/>
        <v>4465</v>
      </c>
      <c r="E1184" s="21" t="s">
        <v>5912</v>
      </c>
      <c r="F1184" s="23" t="str">
        <f t="shared" si="72"/>
        <v>insert into ins_premium_det (premium_rcv_code,assorted_code, rec_amount,premium_rcv_detail_code,remaining_amt, payrec, mode_code,coinsurance_code,class_cd,it_remarks) values</v>
      </c>
      <c r="G1184" s="24" t="str">
        <f t="shared" si="74"/>
        <v>('29Apr250042','050000812176','4465',(select max(to_number(i.premium_rcv_detail_code))+1
from ins_premium_det i),'4465','4465','02', '11000003','00','Request by Mr. Omair Ali 30-Apr-2025');</v>
      </c>
      <c r="H1184" s="25" t="str">
        <f t="shared" si="75"/>
        <v>insert into ins_premium_det (premium_rcv_code,assorted_code, rec_amount,premium_rcv_detail_code,remaining_amt, payrec, mode_code,coinsurance_code,class_cd,it_remarks) values('29Apr250042','050000812176','4465',(select max(to_number(i.premium_rcv_detail_code))+1
from ins_premium_det i),'4465','4465','02', '11000003','00','Request by Mr. Omair Ali 30-Apr-2025');</v>
      </c>
    </row>
    <row r="1185" spans="1:8" ht="105" x14ac:dyDescent="0.25">
      <c r="A1185" t="s">
        <v>1338</v>
      </c>
      <c r="B1185" s="1" t="str">
        <f>VLOOKUP(A1185,Sheet5!B:C,2,0)</f>
        <v>050000812183</v>
      </c>
      <c r="C1185" s="13">
        <v>766</v>
      </c>
      <c r="D1185" s="22">
        <f t="shared" si="73"/>
        <v>766</v>
      </c>
      <c r="E1185" s="21" t="s">
        <v>5912</v>
      </c>
      <c r="F1185" s="23" t="str">
        <f t="shared" si="72"/>
        <v>insert into ins_premium_det (premium_rcv_code,assorted_code, rec_amount,premium_rcv_detail_code,remaining_amt, payrec, mode_code,coinsurance_code,class_cd,it_remarks) values</v>
      </c>
      <c r="G1185" s="24" t="str">
        <f t="shared" si="74"/>
        <v>('29Apr250042','050000812183','766',(select max(to_number(i.premium_rcv_detail_code))+1
from ins_premium_det i),'766','766','02', '11000003','00','Request by Mr. Omair Ali 30-Apr-2025');</v>
      </c>
      <c r="H1185" s="25" t="str">
        <f t="shared" si="75"/>
        <v>insert into ins_premium_det (premium_rcv_code,assorted_code, rec_amount,premium_rcv_detail_code,remaining_amt, payrec, mode_code,coinsurance_code,class_cd,it_remarks) values('29Apr250042','050000812183','766',(select max(to_number(i.premium_rcv_detail_code))+1
from ins_premium_det i),'766','766','02', '11000003','00','Request by Mr. Omair Ali 30-Apr-2025');</v>
      </c>
    </row>
    <row r="1186" spans="1:8" ht="105" x14ac:dyDescent="0.25">
      <c r="A1186" t="s">
        <v>843</v>
      </c>
      <c r="B1186" s="1" t="str">
        <f>VLOOKUP(A1186,Sheet5!B:C,2,0)</f>
        <v>050000813597</v>
      </c>
      <c r="C1186" s="13">
        <v>5002</v>
      </c>
      <c r="D1186" s="22">
        <f t="shared" si="73"/>
        <v>5002</v>
      </c>
      <c r="E1186" s="21" t="s">
        <v>5912</v>
      </c>
      <c r="F1186" s="23" t="str">
        <f t="shared" si="72"/>
        <v>insert into ins_premium_det (premium_rcv_code,assorted_code, rec_amount,premium_rcv_detail_code,remaining_amt, payrec, mode_code,coinsurance_code,class_cd,it_remarks) values</v>
      </c>
      <c r="G1186" s="24" t="str">
        <f t="shared" si="74"/>
        <v>('29Apr250042','050000813597','5002',(select max(to_number(i.premium_rcv_detail_code))+1
from ins_premium_det i),'5002','5002','02', '11000003','00','Request by Mr. Omair Ali 30-Apr-2025');</v>
      </c>
      <c r="H1186" s="25" t="str">
        <f t="shared" si="75"/>
        <v>insert into ins_premium_det (premium_rcv_code,assorted_code, rec_amount,premium_rcv_detail_code,remaining_amt, payrec, mode_code,coinsurance_code,class_cd,it_remarks) values('29Apr250042','050000813597','5002',(select max(to_number(i.premium_rcv_detail_code))+1
from ins_premium_det i),'5002','5002','02', '11000003','00','Request by Mr. Omair Ali 30-Apr-2025');</v>
      </c>
    </row>
    <row r="1187" spans="1:8" ht="105" x14ac:dyDescent="0.25">
      <c r="A1187" t="s">
        <v>854</v>
      </c>
      <c r="B1187" s="1" t="str">
        <f>VLOOKUP(A1187,Sheet5!B:C,2,0)</f>
        <v>050000813598</v>
      </c>
      <c r="C1187" s="13">
        <v>1794</v>
      </c>
      <c r="D1187" s="22">
        <f t="shared" si="73"/>
        <v>1794</v>
      </c>
      <c r="E1187" s="21" t="s">
        <v>5912</v>
      </c>
      <c r="F1187" s="23" t="str">
        <f t="shared" si="72"/>
        <v>insert into ins_premium_det (premium_rcv_code,assorted_code, rec_amount,premium_rcv_detail_code,remaining_amt, payrec, mode_code,coinsurance_code,class_cd,it_remarks) values</v>
      </c>
      <c r="G1187" s="24" t="str">
        <f t="shared" si="74"/>
        <v>('29Apr250042','050000813598','1794',(select max(to_number(i.premium_rcv_detail_code))+1
from ins_premium_det i),'1794','1794','02', '11000003','00','Request by Mr. Omair Ali 30-Apr-2025');</v>
      </c>
      <c r="H1187" s="25" t="str">
        <f t="shared" si="75"/>
        <v>insert into ins_premium_det (premium_rcv_code,assorted_code, rec_amount,premium_rcv_detail_code,remaining_amt, payrec, mode_code,coinsurance_code,class_cd,it_remarks) values('29Apr250042','050000813598','1794',(select max(to_number(i.premium_rcv_detail_code))+1
from ins_premium_det i),'1794','1794','02', '11000003','00','Request by Mr. Omair Ali 30-Apr-2025');</v>
      </c>
    </row>
    <row r="1188" spans="1:8" ht="105" x14ac:dyDescent="0.25">
      <c r="A1188" t="s">
        <v>1002</v>
      </c>
      <c r="B1188" s="1" t="str">
        <f>VLOOKUP(A1188,Sheet5!B:C,2,0)</f>
        <v>050000813605</v>
      </c>
      <c r="C1188" s="13">
        <v>3529</v>
      </c>
      <c r="D1188" s="22">
        <f t="shared" si="73"/>
        <v>3529</v>
      </c>
      <c r="E1188" s="21" t="s">
        <v>5912</v>
      </c>
      <c r="F1188" s="23" t="str">
        <f t="shared" si="72"/>
        <v>insert into ins_premium_det (premium_rcv_code,assorted_code, rec_amount,premium_rcv_detail_code,remaining_amt, payrec, mode_code,coinsurance_code,class_cd,it_remarks) values</v>
      </c>
      <c r="G1188" s="24" t="str">
        <f t="shared" si="74"/>
        <v>('29Apr250042','050000813605','3529',(select max(to_number(i.premium_rcv_detail_code))+1
from ins_premium_det i),'3529','3529','02', '11000003','00','Request by Mr. Omair Ali 30-Apr-2025');</v>
      </c>
      <c r="H1188" s="25" t="str">
        <f t="shared" si="75"/>
        <v>insert into ins_premium_det (premium_rcv_code,assorted_code, rec_amount,premium_rcv_detail_code,remaining_amt, payrec, mode_code,coinsurance_code,class_cd,it_remarks) values('29Apr250042','050000813605','3529',(select max(to_number(i.premium_rcv_detail_code))+1
from ins_premium_det i),'3529','3529','02', '11000003','00','Request by Mr. Omair Ali 30-Apr-2025');</v>
      </c>
    </row>
    <row r="1189" spans="1:8" ht="105" x14ac:dyDescent="0.25">
      <c r="A1189" t="s">
        <v>1138</v>
      </c>
      <c r="B1189" s="1" t="str">
        <f>VLOOKUP(A1189,Sheet5!B:C,2,0)</f>
        <v>050000813609</v>
      </c>
      <c r="C1189" s="13">
        <v>428</v>
      </c>
      <c r="D1189" s="22">
        <f t="shared" si="73"/>
        <v>428</v>
      </c>
      <c r="E1189" s="21" t="s">
        <v>5912</v>
      </c>
      <c r="F1189" s="23" t="str">
        <f t="shared" si="72"/>
        <v>insert into ins_premium_det (premium_rcv_code,assorted_code, rec_amount,premium_rcv_detail_code,remaining_amt, payrec, mode_code,coinsurance_code,class_cd,it_remarks) values</v>
      </c>
      <c r="G1189" s="24" t="str">
        <f t="shared" si="74"/>
        <v>('29Apr250042','050000813609','428',(select max(to_number(i.premium_rcv_detail_code))+1
from ins_premium_det i),'428','428','02', '11000003','00','Request by Mr. Omair Ali 30-Apr-2025');</v>
      </c>
      <c r="H1189" s="25" t="str">
        <f t="shared" si="75"/>
        <v>insert into ins_premium_det (premium_rcv_code,assorted_code, rec_amount,premium_rcv_detail_code,remaining_amt, payrec, mode_code,coinsurance_code,class_cd,it_remarks) values('29Apr250042','050000813609','428',(select max(to_number(i.premium_rcv_detail_code))+1
from ins_premium_det i),'428','428','02', '11000003','00','Request by Mr. Omair Ali 30-Apr-2025');</v>
      </c>
    </row>
    <row r="1190" spans="1:8" ht="105" x14ac:dyDescent="0.25">
      <c r="A1190" t="s">
        <v>1149</v>
      </c>
      <c r="B1190" s="1" t="str">
        <f>VLOOKUP(A1190,Sheet5!B:C,2,0)</f>
        <v>050000813610</v>
      </c>
      <c r="C1190" s="13">
        <v>5220</v>
      </c>
      <c r="D1190" s="22">
        <f t="shared" si="73"/>
        <v>5220</v>
      </c>
      <c r="E1190" s="21" t="s">
        <v>5912</v>
      </c>
      <c r="F1190" s="23" t="str">
        <f t="shared" si="72"/>
        <v>insert into ins_premium_det (premium_rcv_code,assorted_code, rec_amount,premium_rcv_detail_code,remaining_amt, payrec, mode_code,coinsurance_code,class_cd,it_remarks) values</v>
      </c>
      <c r="G1190" s="24" t="str">
        <f t="shared" si="74"/>
        <v>('29Apr250042','050000813610','5220',(select max(to_number(i.premium_rcv_detail_code))+1
from ins_premium_det i),'5220','5220','02', '11000003','00','Request by Mr. Omair Ali 30-Apr-2025');</v>
      </c>
      <c r="H1190" s="25" t="str">
        <f t="shared" si="75"/>
        <v>insert into ins_premium_det (premium_rcv_code,assorted_code, rec_amount,premium_rcv_detail_code,remaining_amt, payrec, mode_code,coinsurance_code,class_cd,it_remarks) values('29Apr250042','050000813610','5220',(select max(to_number(i.premium_rcv_detail_code))+1
from ins_premium_det i),'5220','5220','02', '11000003','00','Request by Mr. Omair Ali 30-Apr-2025');</v>
      </c>
    </row>
    <row r="1191" spans="1:8" ht="105" x14ac:dyDescent="0.25">
      <c r="A1191" t="s">
        <v>1348</v>
      </c>
      <c r="B1191" s="1" t="str">
        <f>VLOOKUP(A1191,Sheet5!B:C,2,0)</f>
        <v>050000813617</v>
      </c>
      <c r="C1191" s="13">
        <v>1840</v>
      </c>
      <c r="D1191" s="22">
        <f t="shared" si="73"/>
        <v>1840</v>
      </c>
      <c r="E1191" s="21" t="s">
        <v>5912</v>
      </c>
      <c r="F1191" s="23" t="str">
        <f t="shared" si="72"/>
        <v>insert into ins_premium_det (premium_rcv_code,assorted_code, rec_amount,premium_rcv_detail_code,remaining_amt, payrec, mode_code,coinsurance_code,class_cd,it_remarks) values</v>
      </c>
      <c r="G1191" s="24" t="str">
        <f t="shared" si="74"/>
        <v>('29Apr250042','050000813617','1840',(select max(to_number(i.premium_rcv_detail_code))+1
from ins_premium_det i),'1840','1840','02', '11000003','00','Request by Mr. Omair Ali 30-Apr-2025');</v>
      </c>
      <c r="H1191" s="25" t="str">
        <f t="shared" si="75"/>
        <v>insert into ins_premium_det (premium_rcv_code,assorted_code, rec_amount,premium_rcv_detail_code,remaining_amt, payrec, mode_code,coinsurance_code,class_cd,it_remarks) values('29Apr250042','050000813617','1840',(select max(to_number(i.premium_rcv_detail_code))+1
from ins_premium_det i),'1840','1840','02', '11000003','00','Request by Mr. Omair Ali 30-Apr-2025');</v>
      </c>
    </row>
    <row r="1192" spans="1:8" ht="105" x14ac:dyDescent="0.25">
      <c r="A1192" t="s">
        <v>1359</v>
      </c>
      <c r="B1192" s="1" t="str">
        <f>VLOOKUP(A1192,Sheet5!B:C,2,0)</f>
        <v>050000813618</v>
      </c>
      <c r="C1192" s="13">
        <v>165</v>
      </c>
      <c r="D1192" s="22">
        <f t="shared" si="73"/>
        <v>165</v>
      </c>
      <c r="E1192" s="21" t="s">
        <v>5912</v>
      </c>
      <c r="F1192" s="23" t="str">
        <f t="shared" si="72"/>
        <v>insert into ins_premium_det (premium_rcv_code,assorted_code, rec_amount,premium_rcv_detail_code,remaining_amt, payrec, mode_code,coinsurance_code,class_cd,it_remarks) values</v>
      </c>
      <c r="G1192" s="24" t="str">
        <f t="shared" si="74"/>
        <v>('29Apr250042','050000813618','165',(select max(to_number(i.premium_rcv_detail_code))+1
from ins_premium_det i),'165','165','02', '11000003','00','Request by Mr. Omair Ali 30-Apr-2025');</v>
      </c>
      <c r="H1192" s="25" t="str">
        <f t="shared" si="75"/>
        <v>insert into ins_premium_det (premium_rcv_code,assorted_code, rec_amount,premium_rcv_detail_code,remaining_amt, payrec, mode_code,coinsurance_code,class_cd,it_remarks) values('29Apr250042','050000813618','165',(select max(to_number(i.premium_rcv_detail_code))+1
from ins_premium_det i),'165','165','02', '11000003','00','Request by Mr. Omair Ali 30-Apr-2025');</v>
      </c>
    </row>
    <row r="1193" spans="1:8" ht="105" x14ac:dyDescent="0.25">
      <c r="A1193" t="s">
        <v>1387</v>
      </c>
      <c r="B1193" s="1" t="str">
        <f>VLOOKUP(A1193,Sheet5!B:C,2,0)</f>
        <v>050000813622</v>
      </c>
      <c r="C1193" s="13">
        <v>980</v>
      </c>
      <c r="D1193" s="22">
        <f t="shared" si="73"/>
        <v>980</v>
      </c>
      <c r="E1193" s="21" t="s">
        <v>5912</v>
      </c>
      <c r="F1193" s="23" t="str">
        <f t="shared" si="72"/>
        <v>insert into ins_premium_det (premium_rcv_code,assorted_code, rec_amount,premium_rcv_detail_code,remaining_amt, payrec, mode_code,coinsurance_code,class_cd,it_remarks) values</v>
      </c>
      <c r="G1193" s="24" t="str">
        <f t="shared" si="74"/>
        <v>('29Apr250042','050000813622','980',(select max(to_number(i.premium_rcv_detail_code))+1
from ins_premium_det i),'980','980','02', '11000003','00','Request by Mr. Omair Ali 30-Apr-2025');</v>
      </c>
      <c r="H1193" s="25" t="str">
        <f t="shared" si="75"/>
        <v>insert into ins_premium_det (premium_rcv_code,assorted_code, rec_amount,premium_rcv_detail_code,remaining_amt, payrec, mode_code,coinsurance_code,class_cd,it_remarks) values('29Apr250042','050000813622','980',(select max(to_number(i.premium_rcv_detail_code))+1
from ins_premium_det i),'980','980','02', '11000003','00','Request by Mr. Omair Ali 30-Apr-2025');</v>
      </c>
    </row>
    <row r="1194" spans="1:8" ht="105" x14ac:dyDescent="0.25">
      <c r="A1194" t="s">
        <v>1478</v>
      </c>
      <c r="B1194" s="1" t="str">
        <f>VLOOKUP(A1194,Sheet5!B:C,2,0)</f>
        <v>050000813625</v>
      </c>
      <c r="C1194" s="13">
        <v>2022</v>
      </c>
      <c r="D1194" s="22">
        <f t="shared" si="73"/>
        <v>2022</v>
      </c>
      <c r="E1194" s="21" t="s">
        <v>5912</v>
      </c>
      <c r="F1194" s="23" t="str">
        <f t="shared" si="72"/>
        <v>insert into ins_premium_det (premium_rcv_code,assorted_code, rec_amount,premium_rcv_detail_code,remaining_amt, payrec, mode_code,coinsurance_code,class_cd,it_remarks) values</v>
      </c>
      <c r="G1194" s="24" t="str">
        <f t="shared" si="74"/>
        <v>('29Apr250042','050000813625','2022',(select max(to_number(i.premium_rcv_detail_code))+1
from ins_premium_det i),'2022','2022','02', '11000003','00','Request by Mr. Omair Ali 30-Apr-2025');</v>
      </c>
      <c r="H1194" s="25" t="str">
        <f t="shared" si="75"/>
        <v>insert into ins_premium_det (premium_rcv_code,assorted_code, rec_amount,premium_rcv_detail_code,remaining_amt, payrec, mode_code,coinsurance_code,class_cd,it_remarks) values('29Apr250042','050000813625','2022',(select max(to_number(i.premium_rcv_detail_code))+1
from ins_premium_det i),'2022','2022','02', '11000003','00','Request by Mr. Omair Ali 30-Apr-2025');</v>
      </c>
    </row>
    <row r="1195" spans="1:8" ht="105" x14ac:dyDescent="0.25">
      <c r="A1195" t="s">
        <v>1565</v>
      </c>
      <c r="B1195" s="1" t="str">
        <f>VLOOKUP(A1195,Sheet5!B:C,2,0)</f>
        <v>050000813633</v>
      </c>
      <c r="C1195" s="13">
        <v>8315</v>
      </c>
      <c r="D1195" s="22">
        <f t="shared" si="73"/>
        <v>8315</v>
      </c>
      <c r="E1195" s="21" t="s">
        <v>5912</v>
      </c>
      <c r="F1195" s="23" t="str">
        <f t="shared" si="72"/>
        <v>insert into ins_premium_det (premium_rcv_code,assorted_code, rec_amount,premium_rcv_detail_code,remaining_amt, payrec, mode_code,coinsurance_code,class_cd,it_remarks) values</v>
      </c>
      <c r="G1195" s="24" t="str">
        <f t="shared" si="74"/>
        <v>('29Apr250042','050000813633','8315',(select max(to_number(i.premium_rcv_detail_code))+1
from ins_premium_det i),'8315','8315','02', '11000003','00','Request by Mr. Omair Ali 30-Apr-2025');</v>
      </c>
      <c r="H1195" s="25" t="str">
        <f t="shared" si="75"/>
        <v>insert into ins_premium_det (premium_rcv_code,assorted_code, rec_amount,premium_rcv_detail_code,remaining_amt, payrec, mode_code,coinsurance_code,class_cd,it_remarks) values('29Apr250042','050000813633','8315',(select max(to_number(i.premium_rcv_detail_code))+1
from ins_premium_det i),'8315','8315','02', '11000003','00','Request by Mr. Omair Ali 30-Apr-2025');</v>
      </c>
    </row>
    <row r="1196" spans="1:8" ht="105" x14ac:dyDescent="0.25">
      <c r="A1196" t="s">
        <v>1584</v>
      </c>
      <c r="B1196" s="1" t="str">
        <f>VLOOKUP(A1196,Sheet5!B:C,2,0)</f>
        <v>050000813638</v>
      </c>
      <c r="C1196" s="13">
        <v>5435</v>
      </c>
      <c r="D1196" s="22">
        <f t="shared" si="73"/>
        <v>5435</v>
      </c>
      <c r="E1196" s="21" t="s">
        <v>5912</v>
      </c>
      <c r="F1196" s="23" t="str">
        <f t="shared" si="72"/>
        <v>insert into ins_premium_det (premium_rcv_code,assorted_code, rec_amount,premium_rcv_detail_code,remaining_amt, payrec, mode_code,coinsurance_code,class_cd,it_remarks) values</v>
      </c>
      <c r="G1196" s="24" t="str">
        <f t="shared" si="74"/>
        <v>('29Apr250042','050000813638','5435',(select max(to_number(i.premium_rcv_detail_code))+1
from ins_premium_det i),'5435','5435','02', '11000003','00','Request by Mr. Omair Ali 30-Apr-2025');</v>
      </c>
      <c r="H1196" s="25" t="str">
        <f t="shared" si="75"/>
        <v>insert into ins_premium_det (premium_rcv_code,assorted_code, rec_amount,premium_rcv_detail_code,remaining_amt, payrec, mode_code,coinsurance_code,class_cd,it_remarks) values('29Apr250042','050000813638','5435',(select max(to_number(i.premium_rcv_detail_code))+1
from ins_premium_det i),'5435','5435','02', '11000003','00','Request by Mr. Omair Ali 30-Apr-2025');</v>
      </c>
    </row>
    <row r="1197" spans="1:8" ht="105" x14ac:dyDescent="0.25">
      <c r="A1197" t="s">
        <v>1739</v>
      </c>
      <c r="B1197" s="1" t="str">
        <f>VLOOKUP(A1197,Sheet5!B:C,2,0)</f>
        <v>050000813646</v>
      </c>
      <c r="C1197" s="13">
        <v>1803</v>
      </c>
      <c r="D1197" s="22">
        <f t="shared" si="73"/>
        <v>1803</v>
      </c>
      <c r="E1197" s="21" t="s">
        <v>5912</v>
      </c>
      <c r="F1197" s="23" t="str">
        <f t="shared" si="72"/>
        <v>insert into ins_premium_det (premium_rcv_code,assorted_code, rec_amount,premium_rcv_detail_code,remaining_amt, payrec, mode_code,coinsurance_code,class_cd,it_remarks) values</v>
      </c>
      <c r="G1197" s="24" t="str">
        <f t="shared" si="74"/>
        <v>('29Apr250042','050000813646','1803',(select max(to_number(i.premium_rcv_detail_code))+1
from ins_premium_det i),'1803','1803','02', '11000003','00','Request by Mr. Omair Ali 30-Apr-2025');</v>
      </c>
      <c r="H1197" s="25" t="str">
        <f t="shared" si="75"/>
        <v>insert into ins_premium_det (premium_rcv_code,assorted_code, rec_amount,premium_rcv_detail_code,remaining_amt, payrec, mode_code,coinsurance_code,class_cd,it_remarks) values('29Apr250042','050000813646','1803',(select max(to_number(i.premium_rcv_detail_code))+1
from ins_premium_det i),'1803','1803','02', '11000003','00','Request by Mr. Omair Ali 30-Apr-2025');</v>
      </c>
    </row>
    <row r="1198" spans="1:8" ht="105" x14ac:dyDescent="0.25">
      <c r="A1198" t="s">
        <v>1758</v>
      </c>
      <c r="B1198" s="1" t="str">
        <f>VLOOKUP(A1198,Sheet5!B:C,2,0)</f>
        <v>050000813648</v>
      </c>
      <c r="C1198" s="13">
        <v>4686</v>
      </c>
      <c r="D1198" s="22">
        <f t="shared" si="73"/>
        <v>4686</v>
      </c>
      <c r="E1198" s="21" t="s">
        <v>5912</v>
      </c>
      <c r="F1198" s="23" t="str">
        <f t="shared" si="72"/>
        <v>insert into ins_premium_det (premium_rcv_code,assorted_code, rec_amount,premium_rcv_detail_code,remaining_amt, payrec, mode_code,coinsurance_code,class_cd,it_remarks) values</v>
      </c>
      <c r="G1198" s="24" t="str">
        <f t="shared" si="74"/>
        <v>('29Apr250042','050000813648','4686',(select max(to_number(i.premium_rcv_detail_code))+1
from ins_premium_det i),'4686','4686','02', '11000003','00','Request by Mr. Omair Ali 30-Apr-2025');</v>
      </c>
      <c r="H1198" s="25" t="str">
        <f t="shared" si="75"/>
        <v>insert into ins_premium_det (premium_rcv_code,assorted_code, rec_amount,premium_rcv_detail_code,remaining_amt, payrec, mode_code,coinsurance_code,class_cd,it_remarks) values('29Apr250042','050000813648','4686',(select max(to_number(i.premium_rcv_detail_code))+1
from ins_premium_det i),'4686','4686','02', '11000003','00','Request by Mr. Omair Ali 30-Apr-2025');</v>
      </c>
    </row>
    <row r="1199" spans="1:8" ht="105" x14ac:dyDescent="0.25">
      <c r="A1199" t="s">
        <v>1766</v>
      </c>
      <c r="B1199" s="1" t="str">
        <f>VLOOKUP(A1199,Sheet5!B:C,2,0)</f>
        <v>050000813649</v>
      </c>
      <c r="C1199" s="13">
        <v>2414</v>
      </c>
      <c r="D1199" s="22">
        <f t="shared" si="73"/>
        <v>2414</v>
      </c>
      <c r="E1199" s="21" t="s">
        <v>5912</v>
      </c>
      <c r="F1199" s="23" t="str">
        <f t="shared" si="72"/>
        <v>insert into ins_premium_det (premium_rcv_code,assorted_code, rec_amount,premium_rcv_detail_code,remaining_amt, payrec, mode_code,coinsurance_code,class_cd,it_remarks) values</v>
      </c>
      <c r="G1199" s="24" t="str">
        <f t="shared" si="74"/>
        <v>('29Apr250042','050000813649','2414',(select max(to_number(i.premium_rcv_detail_code))+1
from ins_premium_det i),'2414','2414','02', '11000003','00','Request by Mr. Omair Ali 30-Apr-2025');</v>
      </c>
      <c r="H1199" s="25" t="str">
        <f t="shared" si="75"/>
        <v>insert into ins_premium_det (premium_rcv_code,assorted_code, rec_amount,premium_rcv_detail_code,remaining_amt, payrec, mode_code,coinsurance_code,class_cd,it_remarks) values('29Apr250042','050000813649','2414',(select max(to_number(i.premium_rcv_detail_code))+1
from ins_premium_det i),'2414','2414','02', '11000003','00','Request by Mr. Omair Ali 30-Apr-2025');</v>
      </c>
    </row>
    <row r="1200" spans="1:8" ht="105" x14ac:dyDescent="0.25">
      <c r="A1200" t="s">
        <v>1776</v>
      </c>
      <c r="B1200" s="1" t="str">
        <f>VLOOKUP(A1200,Sheet5!B:C,2,0)</f>
        <v>050000813657</v>
      </c>
      <c r="C1200" s="13">
        <v>7299</v>
      </c>
      <c r="D1200" s="22">
        <f t="shared" si="73"/>
        <v>7299</v>
      </c>
      <c r="E1200" s="21" t="s">
        <v>5912</v>
      </c>
      <c r="F1200" s="23" t="str">
        <f t="shared" si="72"/>
        <v>insert into ins_premium_det (premium_rcv_code,assorted_code, rec_amount,premium_rcv_detail_code,remaining_amt, payrec, mode_code,coinsurance_code,class_cd,it_remarks) values</v>
      </c>
      <c r="G1200" s="24" t="str">
        <f t="shared" si="74"/>
        <v>('29Apr250042','050000813657','7299',(select max(to_number(i.premium_rcv_detail_code))+1
from ins_premium_det i),'7299','7299','02', '11000003','00','Request by Mr. Omair Ali 30-Apr-2025');</v>
      </c>
      <c r="H1200" s="25" t="str">
        <f t="shared" si="75"/>
        <v>insert into ins_premium_det (premium_rcv_code,assorted_code, rec_amount,premium_rcv_detail_code,remaining_amt, payrec, mode_code,coinsurance_code,class_cd,it_remarks) values('29Apr250042','050000813657','7299',(select max(to_number(i.premium_rcv_detail_code))+1
from ins_premium_det i),'7299','7299','02', '11000003','00','Request by Mr. Omair Ali 30-Apr-2025');</v>
      </c>
    </row>
    <row r="1201" spans="1:8" ht="105" x14ac:dyDescent="0.25">
      <c r="A1201" t="s">
        <v>1847</v>
      </c>
      <c r="B1201" s="1" t="str">
        <f>VLOOKUP(A1201,Sheet5!B:C,2,0)</f>
        <v>050000813665</v>
      </c>
      <c r="C1201" s="13">
        <v>4316</v>
      </c>
      <c r="D1201" s="22">
        <f t="shared" si="73"/>
        <v>4316</v>
      </c>
      <c r="E1201" s="21" t="s">
        <v>5912</v>
      </c>
      <c r="F1201" s="23" t="str">
        <f t="shared" si="72"/>
        <v>insert into ins_premium_det (premium_rcv_code,assorted_code, rec_amount,premium_rcv_detail_code,remaining_amt, payrec, mode_code,coinsurance_code,class_cd,it_remarks) values</v>
      </c>
      <c r="G1201" s="24" t="str">
        <f t="shared" si="74"/>
        <v>('29Apr250042','050000813665','4316',(select max(to_number(i.premium_rcv_detail_code))+1
from ins_premium_det i),'4316','4316','02', '11000003','00','Request by Mr. Omair Ali 30-Apr-2025');</v>
      </c>
      <c r="H1201" s="25" t="str">
        <f t="shared" si="75"/>
        <v>insert into ins_premium_det (premium_rcv_code,assorted_code, rec_amount,premium_rcv_detail_code,remaining_amt, payrec, mode_code,coinsurance_code,class_cd,it_remarks) values('29Apr250042','050000813665','4316',(select max(to_number(i.premium_rcv_detail_code))+1
from ins_premium_det i),'4316','4316','02', '11000003','00','Request by Mr. Omair Ali 30-Apr-2025');</v>
      </c>
    </row>
    <row r="1202" spans="1:8" ht="105" x14ac:dyDescent="0.25">
      <c r="A1202" t="s">
        <v>1944</v>
      </c>
      <c r="B1202" s="1" t="str">
        <f>VLOOKUP(A1202,Sheet5!B:C,2,0)</f>
        <v>050000813670</v>
      </c>
      <c r="C1202" s="13">
        <v>1220</v>
      </c>
      <c r="D1202" s="22">
        <f t="shared" si="73"/>
        <v>1220</v>
      </c>
      <c r="E1202" s="21" t="s">
        <v>5912</v>
      </c>
      <c r="F1202" s="23" t="str">
        <f t="shared" si="72"/>
        <v>insert into ins_premium_det (premium_rcv_code,assorted_code, rec_amount,premium_rcv_detail_code,remaining_amt, payrec, mode_code,coinsurance_code,class_cd,it_remarks) values</v>
      </c>
      <c r="G1202" s="24" t="str">
        <f t="shared" si="74"/>
        <v>('29Apr250042','050000813670','1220',(select max(to_number(i.premium_rcv_detail_code))+1
from ins_premium_det i),'1220','1220','02', '11000003','00','Request by Mr. Omair Ali 30-Apr-2025');</v>
      </c>
      <c r="H1202" s="25" t="str">
        <f t="shared" si="75"/>
        <v>insert into ins_premium_det (premium_rcv_code,assorted_code, rec_amount,premium_rcv_detail_code,remaining_amt, payrec, mode_code,coinsurance_code,class_cd,it_remarks) values('29Apr250042','050000813670','1220',(select max(to_number(i.premium_rcv_detail_code))+1
from ins_premium_det i),'1220','1220','02', '11000003','00','Request by Mr. Omair Ali 30-Apr-2025');</v>
      </c>
    </row>
    <row r="1203" spans="1:8" ht="105" x14ac:dyDescent="0.25">
      <c r="A1203" t="s">
        <v>988</v>
      </c>
      <c r="B1203" s="1" t="str">
        <f>VLOOKUP(A1203,Sheet5!B:C,2,0)</f>
        <v>050000814403</v>
      </c>
      <c r="C1203" s="13">
        <v>147</v>
      </c>
      <c r="D1203" s="22">
        <f t="shared" si="73"/>
        <v>147</v>
      </c>
      <c r="E1203" s="21" t="s">
        <v>5912</v>
      </c>
      <c r="F1203" s="23" t="str">
        <f t="shared" si="72"/>
        <v>insert into ins_premium_det (premium_rcv_code,assorted_code, rec_amount,premium_rcv_detail_code,remaining_amt, payrec, mode_code,coinsurance_code,class_cd,it_remarks) values</v>
      </c>
      <c r="G1203" s="24" t="str">
        <f t="shared" si="74"/>
        <v>('29Apr250042','050000814403','147',(select max(to_number(i.premium_rcv_detail_code))+1
from ins_premium_det i),'147','147','02', '11000003','00','Request by Mr. Omair Ali 30-Apr-2025');</v>
      </c>
      <c r="H1203" s="25" t="str">
        <f t="shared" si="75"/>
        <v>insert into ins_premium_det (premium_rcv_code,assorted_code, rec_amount,premium_rcv_detail_code,remaining_amt, payrec, mode_code,coinsurance_code,class_cd,it_remarks) values('29Apr250042','050000814403','147',(select max(to_number(i.premium_rcv_detail_code))+1
from ins_premium_det i),'147','147','02', '11000003','00','Request by Mr. Omair Ali 30-Apr-2025');</v>
      </c>
    </row>
    <row r="1204" spans="1:8" ht="105" x14ac:dyDescent="0.25">
      <c r="A1204" t="s">
        <v>1135</v>
      </c>
      <c r="B1204" s="1" t="str">
        <f>VLOOKUP(A1204,Sheet5!B:C,2,0)</f>
        <v>050000814408</v>
      </c>
      <c r="C1204" s="13">
        <v>1179</v>
      </c>
      <c r="D1204" s="22">
        <f t="shared" si="73"/>
        <v>1179</v>
      </c>
      <c r="E1204" s="21" t="s">
        <v>5912</v>
      </c>
      <c r="F1204" s="23" t="str">
        <f t="shared" si="72"/>
        <v>insert into ins_premium_det (premium_rcv_code,assorted_code, rec_amount,premium_rcv_detail_code,remaining_amt, payrec, mode_code,coinsurance_code,class_cd,it_remarks) values</v>
      </c>
      <c r="G1204" s="24" t="str">
        <f t="shared" si="74"/>
        <v>('29Apr250042','050000814408','1179',(select max(to_number(i.premium_rcv_detail_code))+1
from ins_premium_det i),'1179','1179','02', '11000003','00','Request by Mr. Omair Ali 30-Apr-2025');</v>
      </c>
      <c r="H1204" s="25" t="str">
        <f t="shared" si="75"/>
        <v>insert into ins_premium_det (premium_rcv_code,assorted_code, rec_amount,premium_rcv_detail_code,remaining_amt, payrec, mode_code,coinsurance_code,class_cd,it_remarks) values('29Apr250042','050000814408','1179',(select max(to_number(i.premium_rcv_detail_code))+1
from ins_premium_det i),'1179','1179','02', '11000003','00','Request by Mr. Omair Ali 30-Apr-2025');</v>
      </c>
    </row>
    <row r="1205" spans="1:8" ht="105" x14ac:dyDescent="0.25">
      <c r="A1205" t="s">
        <v>1156</v>
      </c>
      <c r="B1205" s="1" t="str">
        <f>VLOOKUP(A1205,Sheet5!B:C,2,0)</f>
        <v>050000814410</v>
      </c>
      <c r="C1205" s="13">
        <v>1340</v>
      </c>
      <c r="D1205" s="22">
        <f t="shared" si="73"/>
        <v>1340</v>
      </c>
      <c r="E1205" s="21" t="s">
        <v>5912</v>
      </c>
      <c r="F1205" s="23" t="str">
        <f t="shared" si="72"/>
        <v>insert into ins_premium_det (premium_rcv_code,assorted_code, rec_amount,premium_rcv_detail_code,remaining_amt, payrec, mode_code,coinsurance_code,class_cd,it_remarks) values</v>
      </c>
      <c r="G1205" s="24" t="str">
        <f t="shared" si="74"/>
        <v>('29Apr250042','050000814410','1340',(select max(to_number(i.premium_rcv_detail_code))+1
from ins_premium_det i),'1340','1340','02', '11000003','00','Request by Mr. Omair Ali 30-Apr-2025');</v>
      </c>
      <c r="H1205" s="25" t="str">
        <f t="shared" si="75"/>
        <v>insert into ins_premium_det (premium_rcv_code,assorted_code, rec_amount,premium_rcv_detail_code,remaining_amt, payrec, mode_code,coinsurance_code,class_cd,it_remarks) values('29Apr250042','050000814410','1340',(select max(to_number(i.premium_rcv_detail_code))+1
from ins_premium_det i),'1340','1340','02', '11000003','00','Request by Mr. Omair Ali 30-Apr-2025');</v>
      </c>
    </row>
    <row r="1206" spans="1:8" ht="105" x14ac:dyDescent="0.25">
      <c r="A1206" t="s">
        <v>1398</v>
      </c>
      <c r="B1206" s="1" t="str">
        <f>VLOOKUP(A1206,Sheet5!B:C,2,0)</f>
        <v>050000814415</v>
      </c>
      <c r="C1206" s="13">
        <v>2343</v>
      </c>
      <c r="D1206" s="22">
        <f t="shared" si="73"/>
        <v>2343</v>
      </c>
      <c r="E1206" s="21" t="s">
        <v>5912</v>
      </c>
      <c r="F1206" s="23" t="str">
        <f t="shared" si="72"/>
        <v>insert into ins_premium_det (premium_rcv_code,assorted_code, rec_amount,premium_rcv_detail_code,remaining_amt, payrec, mode_code,coinsurance_code,class_cd,it_remarks) values</v>
      </c>
      <c r="G1206" s="24" t="str">
        <f t="shared" si="74"/>
        <v>('29Apr250042','050000814415','2343',(select max(to_number(i.premium_rcv_detail_code))+1
from ins_premium_det i),'2343','2343','02', '11000003','00','Request by Mr. Omair Ali 30-Apr-2025');</v>
      </c>
      <c r="H1206" s="25" t="str">
        <f t="shared" si="75"/>
        <v>insert into ins_premium_det (premium_rcv_code,assorted_code, rec_amount,premium_rcv_detail_code,remaining_amt, payrec, mode_code,coinsurance_code,class_cd,it_remarks) values('29Apr250042','050000814415','2343',(select max(to_number(i.premium_rcv_detail_code))+1
from ins_premium_det i),'2343','2343','02', '11000003','00','Request by Mr. Omair Ali 30-Apr-2025');</v>
      </c>
    </row>
    <row r="1207" spans="1:8" ht="105" x14ac:dyDescent="0.25">
      <c r="A1207" t="s">
        <v>1599</v>
      </c>
      <c r="B1207" s="1" t="str">
        <f>VLOOKUP(A1207,Sheet5!B:C,2,0)</f>
        <v>050000814420</v>
      </c>
      <c r="C1207" s="13">
        <v>3445</v>
      </c>
      <c r="D1207" s="22">
        <f t="shared" si="73"/>
        <v>3445</v>
      </c>
      <c r="E1207" s="21" t="s">
        <v>5912</v>
      </c>
      <c r="F1207" s="23" t="str">
        <f t="shared" si="72"/>
        <v>insert into ins_premium_det (premium_rcv_code,assorted_code, rec_amount,premium_rcv_detail_code,remaining_amt, payrec, mode_code,coinsurance_code,class_cd,it_remarks) values</v>
      </c>
      <c r="G1207" s="24" t="str">
        <f t="shared" si="74"/>
        <v>('29Apr250042','050000814420','3445',(select max(to_number(i.premium_rcv_detail_code))+1
from ins_premium_det i),'3445','3445','02', '11000003','00','Request by Mr. Omair Ali 30-Apr-2025');</v>
      </c>
      <c r="H1207" s="25" t="str">
        <f t="shared" si="75"/>
        <v>insert into ins_premium_det (premium_rcv_code,assorted_code, rec_amount,premium_rcv_detail_code,remaining_amt, payrec, mode_code,coinsurance_code,class_cd,it_remarks) values('29Apr250042','050000814420','3445',(select max(to_number(i.premium_rcv_detail_code))+1
from ins_premium_det i),'3445','3445','02', '11000003','00','Request by Mr. Omair Ali 30-Apr-2025');</v>
      </c>
    </row>
    <row r="1208" spans="1:8" ht="105" x14ac:dyDescent="0.25">
      <c r="A1208" t="s">
        <v>1950</v>
      </c>
      <c r="B1208" s="1" t="str">
        <f>VLOOKUP(A1208,Sheet5!B:C,2,0)</f>
        <v>050000814433</v>
      </c>
      <c r="C1208" s="13">
        <v>3305</v>
      </c>
      <c r="D1208" s="22">
        <f t="shared" si="73"/>
        <v>3305</v>
      </c>
      <c r="E1208" s="21" t="s">
        <v>5912</v>
      </c>
      <c r="F1208" s="23" t="str">
        <f t="shared" si="72"/>
        <v>insert into ins_premium_det (premium_rcv_code,assorted_code, rec_amount,premium_rcv_detail_code,remaining_amt, payrec, mode_code,coinsurance_code,class_cd,it_remarks) values</v>
      </c>
      <c r="G1208" s="24" t="str">
        <f t="shared" si="74"/>
        <v>('29Apr250042','050000814433','3305',(select max(to_number(i.premium_rcv_detail_code))+1
from ins_premium_det i),'3305','3305','02', '11000003','00','Request by Mr. Omair Ali 30-Apr-2025');</v>
      </c>
      <c r="H1208" s="25" t="str">
        <f t="shared" si="75"/>
        <v>insert into ins_premium_det (premium_rcv_code,assorted_code, rec_amount,premium_rcv_detail_code,remaining_amt, payrec, mode_code,coinsurance_code,class_cd,it_remarks) values('29Apr250042','050000814433','3305',(select max(to_number(i.premium_rcv_detail_code))+1
from ins_premium_det i),'3305','3305','02', '11000003','00','Request by Mr. Omair Ali 30-Apr-2025');</v>
      </c>
    </row>
    <row r="1209" spans="1:8" ht="105" x14ac:dyDescent="0.25">
      <c r="A1209" t="s">
        <v>1513</v>
      </c>
      <c r="B1209" s="1" t="str">
        <f>VLOOKUP(A1209,Sheet5!B:C,2,0)</f>
        <v>050000815234</v>
      </c>
      <c r="C1209" s="13">
        <v>51</v>
      </c>
      <c r="D1209" s="22">
        <f t="shared" si="73"/>
        <v>51</v>
      </c>
      <c r="E1209" s="21" t="s">
        <v>5912</v>
      </c>
      <c r="F1209" s="23" t="str">
        <f t="shared" si="72"/>
        <v>insert into ins_premium_det (premium_rcv_code,assorted_code, rec_amount,premium_rcv_detail_code,remaining_amt, payrec, mode_code,coinsurance_code,class_cd,it_remarks) values</v>
      </c>
      <c r="G1209" s="24" t="str">
        <f t="shared" si="74"/>
        <v>('29Apr250042','050000815234','51',(select max(to_number(i.premium_rcv_detail_code))+1
from ins_premium_det i),'51','51','02', '11000003','00','Request by Mr. Omair Ali 30-Apr-2025');</v>
      </c>
      <c r="H1209" s="25" t="str">
        <f t="shared" si="75"/>
        <v>insert into ins_premium_det (premium_rcv_code,assorted_code, rec_amount,premium_rcv_detail_code,remaining_amt, payrec, mode_code,coinsurance_code,class_cd,it_remarks) values('29Apr250042','050000815234','51',(select max(to_number(i.premium_rcv_detail_code))+1
from ins_premium_det i),'51','51','02', '11000003','00','Request by Mr. Omair Ali 30-Apr-2025');</v>
      </c>
    </row>
    <row r="1210" spans="1:8" ht="105" x14ac:dyDescent="0.25">
      <c r="A1210" t="s">
        <v>1377</v>
      </c>
      <c r="B1210" s="1" t="str">
        <f>VLOOKUP(A1210,Sheet5!B:C,2,0)</f>
        <v>050000815553</v>
      </c>
      <c r="C1210" s="13">
        <v>2117</v>
      </c>
      <c r="D1210" s="22">
        <f t="shared" si="73"/>
        <v>2117</v>
      </c>
      <c r="E1210" s="21" t="s">
        <v>5912</v>
      </c>
      <c r="F1210" s="23" t="str">
        <f t="shared" si="72"/>
        <v>insert into ins_premium_det (premium_rcv_code,assorted_code, rec_amount,premium_rcv_detail_code,remaining_amt, payrec, mode_code,coinsurance_code,class_cd,it_remarks) values</v>
      </c>
      <c r="G1210" s="24" t="str">
        <f t="shared" si="74"/>
        <v>('29Apr250042','050000815553','2117',(select max(to_number(i.premium_rcv_detail_code))+1
from ins_premium_det i),'2117','2117','02', '11000003','00','Request by Mr. Omair Ali 30-Apr-2025');</v>
      </c>
      <c r="H1210" s="25" t="str">
        <f t="shared" si="75"/>
        <v>insert into ins_premium_det (premium_rcv_code,assorted_code, rec_amount,premium_rcv_detail_code,remaining_amt, payrec, mode_code,coinsurance_code,class_cd,it_remarks) values('29Apr250042','050000815553','2117',(select max(to_number(i.premium_rcv_detail_code))+1
from ins_premium_det i),'2117','2117','02', '11000003','00','Request by Mr. Omair Ali 30-Apr-2025');</v>
      </c>
    </row>
    <row r="1211" spans="1:8" ht="105" x14ac:dyDescent="0.25">
      <c r="A1211" t="s">
        <v>1498</v>
      </c>
      <c r="B1211" s="1" t="str">
        <f>VLOOKUP(A1211,Sheet5!B:C,2,0)</f>
        <v>050000815557</v>
      </c>
      <c r="C1211" s="13">
        <v>343</v>
      </c>
      <c r="D1211" s="22">
        <f t="shared" si="73"/>
        <v>343</v>
      </c>
      <c r="E1211" s="21" t="s">
        <v>5912</v>
      </c>
      <c r="F1211" s="23" t="str">
        <f t="shared" si="72"/>
        <v>insert into ins_premium_det (premium_rcv_code,assorted_code, rec_amount,premium_rcv_detail_code,remaining_amt, payrec, mode_code,coinsurance_code,class_cd,it_remarks) values</v>
      </c>
      <c r="G1211" s="24" t="str">
        <f t="shared" si="74"/>
        <v>('29Apr250042','050000815557','343',(select max(to_number(i.premium_rcv_detail_code))+1
from ins_premium_det i),'343','343','02', '11000003','00','Request by Mr. Omair Ali 30-Apr-2025');</v>
      </c>
      <c r="H1211" s="25" t="str">
        <f t="shared" si="75"/>
        <v>insert into ins_premium_det (premium_rcv_code,assorted_code, rec_amount,premium_rcv_detail_code,remaining_amt, payrec, mode_code,coinsurance_code,class_cd,it_remarks) values('29Apr250042','050000815557','343',(select max(to_number(i.premium_rcv_detail_code))+1
from ins_premium_det i),'343','343','02', '11000003','00','Request by Mr. Omair Ali 30-Apr-2025');</v>
      </c>
    </row>
    <row r="1212" spans="1:8" ht="105" x14ac:dyDescent="0.25">
      <c r="A1212" t="s">
        <v>1508</v>
      </c>
      <c r="B1212" s="1" t="str">
        <f>VLOOKUP(A1212,Sheet5!B:C,2,0)</f>
        <v>050000815558</v>
      </c>
      <c r="C1212" s="13">
        <v>7360</v>
      </c>
      <c r="D1212" s="22">
        <f t="shared" si="73"/>
        <v>7360</v>
      </c>
      <c r="E1212" s="21" t="s">
        <v>5912</v>
      </c>
      <c r="F1212" s="23" t="str">
        <f t="shared" si="72"/>
        <v>insert into ins_premium_det (premium_rcv_code,assorted_code, rec_amount,premium_rcv_detail_code,remaining_amt, payrec, mode_code,coinsurance_code,class_cd,it_remarks) values</v>
      </c>
      <c r="G1212" s="24" t="str">
        <f t="shared" si="74"/>
        <v>('29Apr250042','050000815558','7360',(select max(to_number(i.premium_rcv_detail_code))+1
from ins_premium_det i),'7360','7360','02', '11000003','00','Request by Mr. Omair Ali 30-Apr-2025');</v>
      </c>
      <c r="H1212" s="25" t="str">
        <f t="shared" si="75"/>
        <v>insert into ins_premium_det (premium_rcv_code,assorted_code, rec_amount,premium_rcv_detail_code,remaining_amt, payrec, mode_code,coinsurance_code,class_cd,it_remarks) values('29Apr250042','050000815558','7360',(select max(to_number(i.premium_rcv_detail_code))+1
from ins_premium_det i),'7360','7360','02', '11000003','00','Request by Mr. Omair Ali 30-Apr-2025');</v>
      </c>
    </row>
    <row r="1213" spans="1:8" ht="105" x14ac:dyDescent="0.25">
      <c r="A1213" t="s">
        <v>1786</v>
      </c>
      <c r="B1213" s="1" t="str">
        <f>VLOOKUP(A1213,Sheet5!B:C,2,0)</f>
        <v>050000815562</v>
      </c>
      <c r="C1213" s="13">
        <v>4246</v>
      </c>
      <c r="D1213" s="22">
        <f t="shared" si="73"/>
        <v>4246</v>
      </c>
      <c r="E1213" s="21" t="s">
        <v>5912</v>
      </c>
      <c r="F1213" s="23" t="str">
        <f t="shared" si="72"/>
        <v>insert into ins_premium_det (premium_rcv_code,assorted_code, rec_amount,premium_rcv_detail_code,remaining_amt, payrec, mode_code,coinsurance_code,class_cd,it_remarks) values</v>
      </c>
      <c r="G1213" s="24" t="str">
        <f t="shared" si="74"/>
        <v>('29Apr250042','050000815562','4246',(select max(to_number(i.premium_rcv_detail_code))+1
from ins_premium_det i),'4246','4246','02', '11000003','00','Request by Mr. Omair Ali 30-Apr-2025');</v>
      </c>
      <c r="H1213" s="25" t="str">
        <f t="shared" si="75"/>
        <v>insert into ins_premium_det (premium_rcv_code,assorted_code, rec_amount,premium_rcv_detail_code,remaining_amt, payrec, mode_code,coinsurance_code,class_cd,it_remarks) values('29Apr250042','050000815562','4246',(select max(to_number(i.premium_rcv_detail_code))+1
from ins_premium_det i),'4246','4246','02', '11000003','00','Request by Mr. Omair Ali 30-Apr-2025');</v>
      </c>
    </row>
    <row r="1214" spans="1:8" ht="105" x14ac:dyDescent="0.25">
      <c r="A1214" t="s">
        <v>1978</v>
      </c>
      <c r="B1214" s="1" t="str">
        <f>VLOOKUP(A1214,Sheet5!B:C,2,0)</f>
        <v>050000815565</v>
      </c>
      <c r="C1214" s="13">
        <v>2729</v>
      </c>
      <c r="D1214" s="22">
        <f t="shared" si="73"/>
        <v>2729</v>
      </c>
      <c r="E1214" s="21" t="s">
        <v>5912</v>
      </c>
      <c r="F1214" s="23" t="str">
        <f t="shared" si="72"/>
        <v>insert into ins_premium_det (premium_rcv_code,assorted_code, rec_amount,premium_rcv_detail_code,remaining_amt, payrec, mode_code,coinsurance_code,class_cd,it_remarks) values</v>
      </c>
      <c r="G1214" s="24" t="str">
        <f t="shared" si="74"/>
        <v>('29Apr250042','050000815565','2729',(select max(to_number(i.premium_rcv_detail_code))+1
from ins_premium_det i),'2729','2729','02', '11000003','00','Request by Mr. Omair Ali 30-Apr-2025');</v>
      </c>
      <c r="H1214" s="25" t="str">
        <f t="shared" si="75"/>
        <v>insert into ins_premium_det (premium_rcv_code,assorted_code, rec_amount,premium_rcv_detail_code,remaining_amt, payrec, mode_code,coinsurance_code,class_cd,it_remarks) values('29Apr250042','050000815565','2729',(select max(to_number(i.premium_rcv_detail_code))+1
from ins_premium_det i),'2729','2729','02', '11000003','00','Request by Mr. Omair Ali 30-Apr-2025');</v>
      </c>
    </row>
    <row r="1215" spans="1:8" ht="105" x14ac:dyDescent="0.25">
      <c r="A1215" t="s">
        <v>1411</v>
      </c>
      <c r="B1215" s="1" t="str">
        <f>VLOOKUP(A1215,Sheet5!B:C,2,0)</f>
        <v>050000815598</v>
      </c>
      <c r="C1215" s="13">
        <v>3718</v>
      </c>
      <c r="D1215" s="22">
        <f t="shared" si="73"/>
        <v>3718</v>
      </c>
      <c r="E1215" s="21" t="s">
        <v>5912</v>
      </c>
      <c r="F1215" s="23" t="str">
        <f t="shared" si="72"/>
        <v>insert into ins_premium_det (premium_rcv_code,assorted_code, rec_amount,premium_rcv_detail_code,remaining_amt, payrec, mode_code,coinsurance_code,class_cd,it_remarks) values</v>
      </c>
      <c r="G1215" s="24" t="str">
        <f t="shared" si="74"/>
        <v>('29Apr250042','050000815598','3718',(select max(to_number(i.premium_rcv_detail_code))+1
from ins_premium_det i),'3718','3718','02', '11000003','00','Request by Mr. Omair Ali 30-Apr-2025');</v>
      </c>
      <c r="H1215" s="25" t="str">
        <f t="shared" si="75"/>
        <v>insert into ins_premium_det (premium_rcv_code,assorted_code, rec_amount,premium_rcv_detail_code,remaining_amt, payrec, mode_code,coinsurance_code,class_cd,it_remarks) values('29Apr250042','050000815598','3718',(select max(to_number(i.premium_rcv_detail_code))+1
from ins_premium_det i),'3718','3718','02', '11000003','00','Request by Mr. Omair Ali 30-Apr-2025');</v>
      </c>
    </row>
    <row r="1216" spans="1:8" ht="105" x14ac:dyDescent="0.25">
      <c r="A1216" t="s">
        <v>1110</v>
      </c>
      <c r="B1216" s="1" t="str">
        <f>VLOOKUP(A1216,Sheet5!B:C,2,0)</f>
        <v>050000815859</v>
      </c>
      <c r="C1216" s="13">
        <v>5224</v>
      </c>
      <c r="D1216" s="22">
        <f t="shared" si="73"/>
        <v>5224</v>
      </c>
      <c r="E1216" s="21" t="s">
        <v>5912</v>
      </c>
      <c r="F1216" s="23" t="str">
        <f t="shared" si="72"/>
        <v>insert into ins_premium_det (premium_rcv_code,assorted_code, rec_amount,premium_rcv_detail_code,remaining_amt, payrec, mode_code,coinsurance_code,class_cd,it_remarks) values</v>
      </c>
      <c r="G1216" s="24" t="str">
        <f t="shared" si="74"/>
        <v>('29Apr250042','050000815859','5224',(select max(to_number(i.premium_rcv_detail_code))+1
from ins_premium_det i),'5224','5224','02', '11000003','00','Request by Mr. Omair Ali 30-Apr-2025');</v>
      </c>
      <c r="H1216" s="25" t="str">
        <f t="shared" si="75"/>
        <v>insert into ins_premium_det (premium_rcv_code,assorted_code, rec_amount,premium_rcv_detail_code,remaining_amt, payrec, mode_code,coinsurance_code,class_cd,it_remarks) values('29Apr250042','050000815859','5224',(select max(to_number(i.premium_rcv_detail_code))+1
from ins_premium_det i),'5224','5224','02', '11000003','00','Request by Mr. Omair Ali 30-Apr-2025');</v>
      </c>
    </row>
    <row r="1217" spans="1:8" ht="105" x14ac:dyDescent="0.25">
      <c r="A1217" t="s">
        <v>1174</v>
      </c>
      <c r="B1217" s="1" t="str">
        <f>VLOOKUP(A1217,Sheet5!B:C,2,0)</f>
        <v>050000815861</v>
      </c>
      <c r="C1217" s="13">
        <v>7764</v>
      </c>
      <c r="D1217" s="22">
        <f t="shared" si="73"/>
        <v>7764</v>
      </c>
      <c r="E1217" s="21" t="s">
        <v>5912</v>
      </c>
      <c r="F1217" s="23" t="str">
        <f t="shared" si="72"/>
        <v>insert into ins_premium_det (premium_rcv_code,assorted_code, rec_amount,premium_rcv_detail_code,remaining_amt, payrec, mode_code,coinsurance_code,class_cd,it_remarks) values</v>
      </c>
      <c r="G1217" s="24" t="str">
        <f t="shared" si="74"/>
        <v>('29Apr250042','050000815861','7764',(select max(to_number(i.premium_rcv_detail_code))+1
from ins_premium_det i),'7764','7764','02', '11000003','00','Request by Mr. Omair Ali 30-Apr-2025');</v>
      </c>
      <c r="H1217" s="25" t="str">
        <f t="shared" si="75"/>
        <v>insert into ins_premium_det (premium_rcv_code,assorted_code, rec_amount,premium_rcv_detail_code,remaining_amt, payrec, mode_code,coinsurance_code,class_cd,it_remarks) values('29Apr250042','050000815861','7764',(select max(to_number(i.premium_rcv_detail_code))+1
from ins_premium_det i),'7764','7764','02', '11000003','00','Request by Mr. Omair Ali 30-Apr-2025');</v>
      </c>
    </row>
    <row r="1218" spans="1:8" ht="105" x14ac:dyDescent="0.25">
      <c r="A1218" t="s">
        <v>1187</v>
      </c>
      <c r="B1218" s="1" t="str">
        <f>VLOOKUP(A1218,Sheet5!B:C,2,0)</f>
        <v>050000815863</v>
      </c>
      <c r="C1218" s="13">
        <v>501</v>
      </c>
      <c r="D1218" s="22">
        <f t="shared" si="73"/>
        <v>501</v>
      </c>
      <c r="E1218" s="21" t="s">
        <v>5912</v>
      </c>
      <c r="F1218" s="23" t="str">
        <f t="shared" ref="F1218:F1281" si="7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218" s="24" t="str">
        <f t="shared" si="74"/>
        <v>('29Apr250042','050000815863','501',(select max(to_number(i.premium_rcv_detail_code))+1
from ins_premium_det i),'501','501','02', '11000003','00','Request by Mr. Omair Ali 30-Apr-2025');</v>
      </c>
      <c r="H1218" s="25" t="str">
        <f t="shared" si="75"/>
        <v>insert into ins_premium_det (premium_rcv_code,assorted_code, rec_amount,premium_rcv_detail_code,remaining_amt, payrec, mode_code,coinsurance_code,class_cd,it_remarks) values('29Apr250042','050000815863','501',(select max(to_number(i.premium_rcv_detail_code))+1
from ins_premium_det i),'501','501','02', '11000003','00','Request by Mr. Omair Ali 30-Apr-2025');</v>
      </c>
    </row>
    <row r="1219" spans="1:8" ht="105" x14ac:dyDescent="0.25">
      <c r="A1219" t="s">
        <v>1613</v>
      </c>
      <c r="B1219" s="1" t="str">
        <f>VLOOKUP(A1219,Sheet5!B:C,2,0)</f>
        <v>050000815866</v>
      </c>
      <c r="C1219" s="13">
        <v>3424</v>
      </c>
      <c r="D1219" s="22">
        <f t="shared" ref="D1219:D1282" si="77">ROUND(C1219,0)</f>
        <v>3424</v>
      </c>
      <c r="E1219" s="21" t="s">
        <v>5912</v>
      </c>
      <c r="F1219" s="23" t="str">
        <f t="shared" si="76"/>
        <v>insert into ins_premium_det (premium_rcv_code,assorted_code, rec_amount,premium_rcv_detail_code,remaining_amt, payrec, mode_code,coinsurance_code,class_cd,it_remarks) values</v>
      </c>
      <c r="G1219" s="24" t="str">
        <f t="shared" ref="G1219:G1282" si="78">"('"&amp;E1219&amp;"','"&amp;B1219&amp;"','"&amp;D1219&amp;"',(select max(to_number(i.premium_rcv_detail_code))+1
from ins_premium_det i),'"&amp;D1219&amp;"','"&amp;D1219&amp;"','02', '11000003','00','Request by Mr. Omair Ali 30-Apr-2025');"</f>
        <v>('29Apr250042','050000815866','3424',(select max(to_number(i.premium_rcv_detail_code))+1
from ins_premium_det i),'3424','3424','02', '11000003','00','Request by Mr. Omair Ali 30-Apr-2025');</v>
      </c>
      <c r="H1219" s="25" t="str">
        <f t="shared" ref="H1219:H1282" si="79">F1219&amp;G1219</f>
        <v>insert into ins_premium_det (premium_rcv_code,assorted_code, rec_amount,premium_rcv_detail_code,remaining_amt, payrec, mode_code,coinsurance_code,class_cd,it_remarks) values('29Apr250042','050000815866','3424',(select max(to_number(i.premium_rcv_detail_code))+1
from ins_premium_det i),'3424','3424','02', '11000003','00','Request by Mr. Omair Ali 30-Apr-2025');</v>
      </c>
    </row>
    <row r="1220" spans="1:8" ht="105" x14ac:dyDescent="0.25">
      <c r="A1220" t="s">
        <v>1157</v>
      </c>
      <c r="B1220" s="1" t="str">
        <f>VLOOKUP(A1220,Sheet5!B:C,2,0)</f>
        <v>050000816051</v>
      </c>
      <c r="C1220" s="13">
        <v>-3024</v>
      </c>
      <c r="D1220" s="22">
        <f t="shared" si="77"/>
        <v>-3024</v>
      </c>
      <c r="E1220" s="21" t="s">
        <v>5912</v>
      </c>
      <c r="F1220" s="23" t="str">
        <f t="shared" si="76"/>
        <v>insert into ins_premium_det (premium_rcv_code,assorted_code, rec_amount,premium_rcv_detail_code,remaining_amt, payrec, mode_code,coinsurance_code,class_cd,it_remarks) values</v>
      </c>
      <c r="G1220" s="24" t="str">
        <f t="shared" si="78"/>
        <v>('29Apr250042','050000816051','-3024',(select max(to_number(i.premium_rcv_detail_code))+1
from ins_premium_det i),'-3024','-3024','02', '11000003','00','Request by Mr. Omair Ali 30-Apr-2025');</v>
      </c>
      <c r="H1220" s="25" t="str">
        <f t="shared" si="79"/>
        <v>insert into ins_premium_det (premium_rcv_code,assorted_code, rec_amount,premium_rcv_detail_code,remaining_amt, payrec, mode_code,coinsurance_code,class_cd,it_remarks) values('29Apr250042','050000816051','-3024',(select max(to_number(i.premium_rcv_detail_code))+1
from ins_premium_det i),'-3024','-3024','02', '11000003','00','Request by Mr. Omair Ali 30-Apr-2025');</v>
      </c>
    </row>
    <row r="1221" spans="1:8" ht="105" x14ac:dyDescent="0.25">
      <c r="A1221" t="s">
        <v>1479</v>
      </c>
      <c r="B1221" s="1" t="str">
        <f>VLOOKUP(A1221,Sheet5!B:C,2,0)</f>
        <v>050000816055</v>
      </c>
      <c r="C1221" s="13">
        <v>-2037</v>
      </c>
      <c r="D1221" s="22">
        <f t="shared" si="77"/>
        <v>-2037</v>
      </c>
      <c r="E1221" s="21" t="s">
        <v>5912</v>
      </c>
      <c r="F1221" s="23" t="str">
        <f t="shared" si="76"/>
        <v>insert into ins_premium_det (premium_rcv_code,assorted_code, rec_amount,premium_rcv_detail_code,remaining_amt, payrec, mode_code,coinsurance_code,class_cd,it_remarks) values</v>
      </c>
      <c r="G1221" s="24" t="str">
        <f t="shared" si="78"/>
        <v>('29Apr250042','050000816055','-2037',(select max(to_number(i.premium_rcv_detail_code))+1
from ins_premium_det i),'-2037','-2037','02', '11000003','00','Request by Mr. Omair Ali 30-Apr-2025');</v>
      </c>
      <c r="H1221" s="25" t="str">
        <f t="shared" si="79"/>
        <v>insert into ins_premium_det (premium_rcv_code,assorted_code, rec_amount,premium_rcv_detail_code,remaining_amt, payrec, mode_code,coinsurance_code,class_cd,it_remarks) values('29Apr250042','050000816055','-2037',(select max(to_number(i.premium_rcv_detail_code))+1
from ins_premium_det i),'-2037','-2037','02', '11000003','00','Request by Mr. Omair Ali 30-Apr-2025');</v>
      </c>
    </row>
    <row r="1222" spans="1:8" ht="105" x14ac:dyDescent="0.25">
      <c r="A1222" t="s">
        <v>1019</v>
      </c>
      <c r="B1222" s="1" t="str">
        <f>VLOOKUP(A1222,Sheet5!B:C,2,0)</f>
        <v>050000816238</v>
      </c>
      <c r="C1222" s="13">
        <v>3711</v>
      </c>
      <c r="D1222" s="22">
        <f t="shared" si="77"/>
        <v>3711</v>
      </c>
      <c r="E1222" s="21" t="s">
        <v>5912</v>
      </c>
      <c r="F1222" s="23" t="str">
        <f t="shared" si="76"/>
        <v>insert into ins_premium_det (premium_rcv_code,assorted_code, rec_amount,premium_rcv_detail_code,remaining_amt, payrec, mode_code,coinsurance_code,class_cd,it_remarks) values</v>
      </c>
      <c r="G1222" s="24" t="str">
        <f t="shared" si="78"/>
        <v>('29Apr250042','050000816238','3711',(select max(to_number(i.premium_rcv_detail_code))+1
from ins_premium_det i),'3711','3711','02', '11000003','00','Request by Mr. Omair Ali 30-Apr-2025');</v>
      </c>
      <c r="H1222" s="25" t="str">
        <f t="shared" si="79"/>
        <v>insert into ins_premium_det (premium_rcv_code,assorted_code, rec_amount,premium_rcv_detail_code,remaining_amt, payrec, mode_code,coinsurance_code,class_cd,it_remarks) values('29Apr250042','050000816238','3711',(select max(to_number(i.premium_rcv_detail_code))+1
from ins_premium_det i),'3711','3711','02', '11000003','00','Request by Mr. Omair Ali 30-Apr-2025');</v>
      </c>
    </row>
    <row r="1223" spans="1:8" ht="105" x14ac:dyDescent="0.25">
      <c r="A1223" t="s">
        <v>1033</v>
      </c>
      <c r="B1223" s="1" t="str">
        <f>VLOOKUP(A1223,Sheet5!B:C,2,0)</f>
        <v>050000816239</v>
      </c>
      <c r="C1223" s="13">
        <v>1923</v>
      </c>
      <c r="D1223" s="22">
        <f t="shared" si="77"/>
        <v>1923</v>
      </c>
      <c r="E1223" s="21" t="s">
        <v>5912</v>
      </c>
      <c r="F1223" s="23" t="str">
        <f t="shared" si="76"/>
        <v>insert into ins_premium_det (premium_rcv_code,assorted_code, rec_amount,premium_rcv_detail_code,remaining_amt, payrec, mode_code,coinsurance_code,class_cd,it_remarks) values</v>
      </c>
      <c r="G1223" s="24" t="str">
        <f t="shared" si="78"/>
        <v>('29Apr250042','050000816239','1923',(select max(to_number(i.premium_rcv_detail_code))+1
from ins_premium_det i),'1923','1923','02', '11000003','00','Request by Mr. Omair Ali 30-Apr-2025');</v>
      </c>
      <c r="H1223" s="25" t="str">
        <f t="shared" si="79"/>
        <v>insert into ins_premium_det (premium_rcv_code,assorted_code, rec_amount,premium_rcv_detail_code,remaining_amt, payrec, mode_code,coinsurance_code,class_cd,it_remarks) values('29Apr250042','050000816239','1923',(select max(to_number(i.premium_rcv_detail_code))+1
from ins_premium_det i),'1923','1923','02', '11000003','00','Request by Mr. Omair Ali 30-Apr-2025');</v>
      </c>
    </row>
    <row r="1224" spans="1:8" ht="105" x14ac:dyDescent="0.25">
      <c r="A1224" t="s">
        <v>1115</v>
      </c>
      <c r="B1224" s="1" t="str">
        <f>VLOOKUP(A1224,Sheet5!B:C,2,0)</f>
        <v>050000816244</v>
      </c>
      <c r="C1224" s="13">
        <v>569</v>
      </c>
      <c r="D1224" s="22">
        <f t="shared" si="77"/>
        <v>569</v>
      </c>
      <c r="E1224" s="21" t="s">
        <v>5912</v>
      </c>
      <c r="F1224" s="23" t="str">
        <f t="shared" si="76"/>
        <v>insert into ins_premium_det (premium_rcv_code,assorted_code, rec_amount,premium_rcv_detail_code,remaining_amt, payrec, mode_code,coinsurance_code,class_cd,it_remarks) values</v>
      </c>
      <c r="G1224" s="24" t="str">
        <f t="shared" si="78"/>
        <v>('29Apr250042','050000816244','569',(select max(to_number(i.premium_rcv_detail_code))+1
from ins_premium_det i),'569','569','02', '11000003','00','Request by Mr. Omair Ali 30-Apr-2025');</v>
      </c>
      <c r="H1224" s="25" t="str">
        <f t="shared" si="79"/>
        <v>insert into ins_premium_det (premium_rcv_code,assorted_code, rec_amount,premium_rcv_detail_code,remaining_amt, payrec, mode_code,coinsurance_code,class_cd,it_remarks) values('29Apr250042','050000816244','569',(select max(to_number(i.premium_rcv_detail_code))+1
from ins_premium_det i),'569','569','02', '11000003','00','Request by Mr. Omair Ali 30-Apr-2025');</v>
      </c>
    </row>
    <row r="1225" spans="1:8" ht="105" x14ac:dyDescent="0.25">
      <c r="A1225" t="s">
        <v>1200</v>
      </c>
      <c r="B1225" s="1" t="str">
        <f>VLOOKUP(A1225,Sheet5!B:C,2,0)</f>
        <v>050000816248</v>
      </c>
      <c r="C1225" s="13">
        <v>939</v>
      </c>
      <c r="D1225" s="22">
        <f t="shared" si="77"/>
        <v>939</v>
      </c>
      <c r="E1225" s="21" t="s">
        <v>5912</v>
      </c>
      <c r="F1225" s="23" t="str">
        <f t="shared" si="76"/>
        <v>insert into ins_premium_det (premium_rcv_code,assorted_code, rec_amount,premium_rcv_detail_code,remaining_amt, payrec, mode_code,coinsurance_code,class_cd,it_remarks) values</v>
      </c>
      <c r="G1225" s="24" t="str">
        <f t="shared" si="78"/>
        <v>('29Apr250042','050000816248','939',(select max(to_number(i.premium_rcv_detail_code))+1
from ins_premium_det i),'939','939','02', '11000003','00','Request by Mr. Omair Ali 30-Apr-2025');</v>
      </c>
      <c r="H1225" s="25" t="str">
        <f t="shared" si="79"/>
        <v>insert into ins_premium_det (premium_rcv_code,assorted_code, rec_amount,premium_rcv_detail_code,remaining_amt, payrec, mode_code,coinsurance_code,class_cd,it_remarks) values('29Apr250042','050000816248','939',(select max(to_number(i.premium_rcv_detail_code))+1
from ins_premium_det i),'939','939','02', '11000003','00','Request by Mr. Omair Ali 30-Apr-2025');</v>
      </c>
    </row>
    <row r="1226" spans="1:8" ht="105" x14ac:dyDescent="0.25">
      <c r="A1226" t="s">
        <v>1541</v>
      </c>
      <c r="B1226" s="1" t="str">
        <f>VLOOKUP(A1226,Sheet5!B:C,2,0)</f>
        <v>050000816257</v>
      </c>
      <c r="C1226" s="13">
        <v>3661</v>
      </c>
      <c r="D1226" s="22">
        <f t="shared" si="77"/>
        <v>3661</v>
      </c>
      <c r="E1226" s="21" t="s">
        <v>5912</v>
      </c>
      <c r="F1226" s="23" t="str">
        <f t="shared" si="76"/>
        <v>insert into ins_premium_det (premium_rcv_code,assorted_code, rec_amount,premium_rcv_detail_code,remaining_amt, payrec, mode_code,coinsurance_code,class_cd,it_remarks) values</v>
      </c>
      <c r="G1226" s="24" t="str">
        <f t="shared" si="78"/>
        <v>('29Apr250042','050000816257','3661',(select max(to_number(i.premium_rcv_detail_code))+1
from ins_premium_det i),'3661','3661','02', '11000003','00','Request by Mr. Omair Ali 30-Apr-2025');</v>
      </c>
      <c r="H1226" s="25" t="str">
        <f t="shared" si="79"/>
        <v>insert into ins_premium_det (premium_rcv_code,assorted_code, rec_amount,premium_rcv_detail_code,remaining_amt, payrec, mode_code,coinsurance_code,class_cd,it_remarks) values('29Apr250042','050000816257','3661',(select max(to_number(i.premium_rcv_detail_code))+1
from ins_premium_det i),'3661','3661','02', '11000003','00','Request by Mr. Omair Ali 30-Apr-2025');</v>
      </c>
    </row>
    <row r="1227" spans="1:8" ht="105" x14ac:dyDescent="0.25">
      <c r="A1227" t="s">
        <v>1646</v>
      </c>
      <c r="B1227" s="1" t="str">
        <f>VLOOKUP(A1227,Sheet5!B:C,2,0)</f>
        <v>050000816259</v>
      </c>
      <c r="C1227" s="13">
        <v>2131</v>
      </c>
      <c r="D1227" s="22">
        <f t="shared" si="77"/>
        <v>2131</v>
      </c>
      <c r="E1227" s="21" t="s">
        <v>5912</v>
      </c>
      <c r="F1227" s="23" t="str">
        <f t="shared" si="76"/>
        <v>insert into ins_premium_det (premium_rcv_code,assorted_code, rec_amount,premium_rcv_detail_code,remaining_amt, payrec, mode_code,coinsurance_code,class_cd,it_remarks) values</v>
      </c>
      <c r="G1227" s="24" t="str">
        <f t="shared" si="78"/>
        <v>('29Apr250042','050000816259','2131',(select max(to_number(i.premium_rcv_detail_code))+1
from ins_premium_det i),'2131','2131','02', '11000003','00','Request by Mr. Omair Ali 30-Apr-2025');</v>
      </c>
      <c r="H1227" s="25" t="str">
        <f t="shared" si="79"/>
        <v>insert into ins_premium_det (premium_rcv_code,assorted_code, rec_amount,premium_rcv_detail_code,remaining_amt, payrec, mode_code,coinsurance_code,class_cd,it_remarks) values('29Apr250042','050000816259','2131',(select max(to_number(i.premium_rcv_detail_code))+1
from ins_premium_det i),'2131','2131','02', '11000003','00','Request by Mr. Omair Ali 30-Apr-2025');</v>
      </c>
    </row>
    <row r="1228" spans="1:8" ht="105" x14ac:dyDescent="0.25">
      <c r="A1228" t="s">
        <v>1937</v>
      </c>
      <c r="B1228" s="1" t="str">
        <f>VLOOKUP(A1228,Sheet5!B:C,2,0)</f>
        <v>050000816269</v>
      </c>
      <c r="C1228" s="13">
        <v>1153</v>
      </c>
      <c r="D1228" s="22">
        <f t="shared" si="77"/>
        <v>1153</v>
      </c>
      <c r="E1228" s="21" t="s">
        <v>5912</v>
      </c>
      <c r="F1228" s="23" t="str">
        <f t="shared" si="76"/>
        <v>insert into ins_premium_det (premium_rcv_code,assorted_code, rec_amount,premium_rcv_detail_code,remaining_amt, payrec, mode_code,coinsurance_code,class_cd,it_remarks) values</v>
      </c>
      <c r="G1228" s="24" t="str">
        <f t="shared" si="78"/>
        <v>('29Apr250042','050000816269','1153',(select max(to_number(i.premium_rcv_detail_code))+1
from ins_premium_det i),'1153','1153','02', '11000003','00','Request by Mr. Omair Ali 30-Apr-2025');</v>
      </c>
      <c r="H1228" s="25" t="str">
        <f t="shared" si="79"/>
        <v>insert into ins_premium_det (premium_rcv_code,assorted_code, rec_amount,premium_rcv_detail_code,remaining_amt, payrec, mode_code,coinsurance_code,class_cd,it_remarks) values('29Apr250042','050000816269','1153',(select max(to_number(i.premium_rcv_detail_code))+1
from ins_premium_det i),'1153','1153','02', '11000003','00','Request by Mr. Omair Ali 30-Apr-2025');</v>
      </c>
    </row>
    <row r="1229" spans="1:8" ht="105" x14ac:dyDescent="0.25">
      <c r="A1229" t="s">
        <v>1968</v>
      </c>
      <c r="B1229" s="1" t="str">
        <f>VLOOKUP(A1229,Sheet5!B:C,2,0)</f>
        <v>050000816272</v>
      </c>
      <c r="C1229" s="13">
        <v>4569</v>
      </c>
      <c r="D1229" s="22">
        <f t="shared" si="77"/>
        <v>4569</v>
      </c>
      <c r="E1229" s="21" t="s">
        <v>5912</v>
      </c>
      <c r="F1229" s="23" t="str">
        <f t="shared" si="76"/>
        <v>insert into ins_premium_det (premium_rcv_code,assorted_code, rec_amount,premium_rcv_detail_code,remaining_amt, payrec, mode_code,coinsurance_code,class_cd,it_remarks) values</v>
      </c>
      <c r="G1229" s="24" t="str">
        <f t="shared" si="78"/>
        <v>('29Apr250042','050000816272','4569',(select max(to_number(i.premium_rcv_detail_code))+1
from ins_premium_det i),'4569','4569','02', '11000003','00','Request by Mr. Omair Ali 30-Apr-2025');</v>
      </c>
      <c r="H1229" s="25" t="str">
        <f t="shared" si="79"/>
        <v>insert into ins_premium_det (premium_rcv_code,assorted_code, rec_amount,premium_rcv_detail_code,remaining_amt, payrec, mode_code,coinsurance_code,class_cd,it_remarks) values('29Apr250042','050000816272','4569',(select max(to_number(i.premium_rcv_detail_code))+1
from ins_premium_det i),'4569','4569','02', '11000003','00','Request by Mr. Omair Ali 30-Apr-2025');</v>
      </c>
    </row>
    <row r="1230" spans="1:8" ht="105" x14ac:dyDescent="0.25">
      <c r="A1230" t="s">
        <v>1045</v>
      </c>
      <c r="B1230" s="1" t="str">
        <f>VLOOKUP(A1230,Sheet5!B:C,2,0)</f>
        <v>050000817557</v>
      </c>
      <c r="C1230" s="13">
        <v>30</v>
      </c>
      <c r="D1230" s="22">
        <f t="shared" si="77"/>
        <v>30</v>
      </c>
      <c r="E1230" s="21" t="s">
        <v>5912</v>
      </c>
      <c r="F1230" s="23" t="str">
        <f t="shared" si="76"/>
        <v>insert into ins_premium_det (premium_rcv_code,assorted_code, rec_amount,premium_rcv_detail_code,remaining_amt, payrec, mode_code,coinsurance_code,class_cd,it_remarks) values</v>
      </c>
      <c r="G1230" s="24" t="str">
        <f t="shared" si="78"/>
        <v>('29Apr250042','050000817557','30',(select max(to_number(i.premium_rcv_detail_code))+1
from ins_premium_det i),'30','30','02', '11000003','00','Request by Mr. Omair Ali 30-Apr-2025');</v>
      </c>
      <c r="H1230" s="25" t="str">
        <f t="shared" si="79"/>
        <v>insert into ins_premium_det (premium_rcv_code,assorted_code, rec_amount,premium_rcv_detail_code,remaining_amt, payrec, mode_code,coinsurance_code,class_cd,it_remarks) values('29Apr250042','050000817557','30',(select max(to_number(i.premium_rcv_detail_code))+1
from ins_premium_det i),'30','30','02', '11000003','00','Request by Mr. Omair Ali 30-Apr-2025');</v>
      </c>
    </row>
    <row r="1231" spans="1:8" ht="105" x14ac:dyDescent="0.25">
      <c r="A1231" t="s">
        <v>1211</v>
      </c>
      <c r="B1231" s="1" t="str">
        <f>VLOOKUP(A1231,Sheet5!B:C,2,0)</f>
        <v>050000817561</v>
      </c>
      <c r="C1231" s="13">
        <v>183</v>
      </c>
      <c r="D1231" s="22">
        <f t="shared" si="77"/>
        <v>183</v>
      </c>
      <c r="E1231" s="21" t="s">
        <v>5912</v>
      </c>
      <c r="F1231" s="23" t="str">
        <f t="shared" si="76"/>
        <v>insert into ins_premium_det (premium_rcv_code,assorted_code, rec_amount,premium_rcv_detail_code,remaining_amt, payrec, mode_code,coinsurance_code,class_cd,it_remarks) values</v>
      </c>
      <c r="G1231" s="24" t="str">
        <f t="shared" si="78"/>
        <v>('29Apr250042','050000817561','183',(select max(to_number(i.premium_rcv_detail_code))+1
from ins_premium_det i),'183','183','02', '11000003','00','Request by Mr. Omair Ali 30-Apr-2025');</v>
      </c>
      <c r="H1231" s="25" t="str">
        <f t="shared" si="79"/>
        <v>insert into ins_premium_det (premium_rcv_code,assorted_code, rec_amount,premium_rcv_detail_code,remaining_amt, payrec, mode_code,coinsurance_code,class_cd,it_remarks) values('29Apr250042','050000817561','183',(select max(to_number(i.premium_rcv_detail_code))+1
from ins_premium_det i),'183','183','02', '11000003','00','Request by Mr. Omair Ali 30-Apr-2025');</v>
      </c>
    </row>
    <row r="1232" spans="1:8" ht="105" x14ac:dyDescent="0.25">
      <c r="A1232" t="s">
        <v>1624</v>
      </c>
      <c r="B1232" s="1" t="str">
        <f>VLOOKUP(A1232,Sheet5!B:C,2,0)</f>
        <v>050000817565</v>
      </c>
      <c r="C1232" s="13">
        <v>2699</v>
      </c>
      <c r="D1232" s="22">
        <f t="shared" si="77"/>
        <v>2699</v>
      </c>
      <c r="E1232" s="21" t="s">
        <v>5912</v>
      </c>
      <c r="F1232" s="23" t="str">
        <f t="shared" si="76"/>
        <v>insert into ins_premium_det (premium_rcv_code,assorted_code, rec_amount,premium_rcv_detail_code,remaining_amt, payrec, mode_code,coinsurance_code,class_cd,it_remarks) values</v>
      </c>
      <c r="G1232" s="24" t="str">
        <f t="shared" si="78"/>
        <v>('29Apr250042','050000817565','2699',(select max(to_number(i.premium_rcv_detail_code))+1
from ins_premium_det i),'2699','2699','02', '11000003','00','Request by Mr. Omair Ali 30-Apr-2025');</v>
      </c>
      <c r="H1232" s="25" t="str">
        <f t="shared" si="79"/>
        <v>insert into ins_premium_det (premium_rcv_code,assorted_code, rec_amount,premium_rcv_detail_code,remaining_amt, payrec, mode_code,coinsurance_code,class_cd,it_remarks) values('29Apr250042','050000817565','2699',(select max(to_number(i.premium_rcv_detail_code))+1
from ins_premium_det i),'2699','2699','02', '11000003','00','Request by Mr. Omair Ali 30-Apr-2025');</v>
      </c>
    </row>
    <row r="1233" spans="1:8" ht="105" x14ac:dyDescent="0.25">
      <c r="A1233" t="s">
        <v>1861</v>
      </c>
      <c r="B1233" s="1" t="str">
        <f>VLOOKUP(A1233,Sheet5!B:C,2,0)</f>
        <v>050000817568</v>
      </c>
      <c r="C1233" s="13">
        <v>6104</v>
      </c>
      <c r="D1233" s="22">
        <f t="shared" si="77"/>
        <v>6104</v>
      </c>
      <c r="E1233" s="21" t="s">
        <v>5912</v>
      </c>
      <c r="F1233" s="23" t="str">
        <f t="shared" si="76"/>
        <v>insert into ins_premium_det (premium_rcv_code,assorted_code, rec_amount,premium_rcv_detail_code,remaining_amt, payrec, mode_code,coinsurance_code,class_cd,it_remarks) values</v>
      </c>
      <c r="G1233" s="24" t="str">
        <f t="shared" si="78"/>
        <v>('29Apr250042','050000817568','6104',(select max(to_number(i.premium_rcv_detail_code))+1
from ins_premium_det i),'6104','6104','02', '11000003','00','Request by Mr. Omair Ali 30-Apr-2025');</v>
      </c>
      <c r="H1233" s="25" t="str">
        <f t="shared" si="79"/>
        <v>insert into ins_premium_det (premium_rcv_code,assorted_code, rec_amount,premium_rcv_detail_code,remaining_amt, payrec, mode_code,coinsurance_code,class_cd,it_remarks) values('29Apr250042','050000817568','6104',(select max(to_number(i.premium_rcv_detail_code))+1
from ins_premium_det i),'6104','6104','02', '11000003','00','Request by Mr. Omair Ali 30-Apr-2025');</v>
      </c>
    </row>
    <row r="1234" spans="1:8" ht="105" x14ac:dyDescent="0.25">
      <c r="A1234" t="s">
        <v>1869</v>
      </c>
      <c r="B1234" s="1" t="str">
        <f>VLOOKUP(A1234,Sheet5!B:C,2,0)</f>
        <v>050000817570</v>
      </c>
      <c r="C1234" s="13">
        <v>5192</v>
      </c>
      <c r="D1234" s="22">
        <f t="shared" si="77"/>
        <v>5192</v>
      </c>
      <c r="E1234" s="21" t="s">
        <v>5912</v>
      </c>
      <c r="F1234" s="23" t="str">
        <f t="shared" si="76"/>
        <v>insert into ins_premium_det (premium_rcv_code,assorted_code, rec_amount,premium_rcv_detail_code,remaining_amt, payrec, mode_code,coinsurance_code,class_cd,it_remarks) values</v>
      </c>
      <c r="G1234" s="24" t="str">
        <f t="shared" si="78"/>
        <v>('29Apr250042','050000817570','5192',(select max(to_number(i.premium_rcv_detail_code))+1
from ins_premium_det i),'5192','5192','02', '11000003','00','Request by Mr. Omair Ali 30-Apr-2025');</v>
      </c>
      <c r="H1234" s="25" t="str">
        <f t="shared" si="79"/>
        <v>insert into ins_premium_det (premium_rcv_code,assorted_code, rec_amount,premium_rcv_detail_code,remaining_amt, payrec, mode_code,coinsurance_code,class_cd,it_remarks) values('29Apr250042','050000817570','5192',(select max(to_number(i.premium_rcv_detail_code))+1
from ins_premium_det i),'5192','5192','02', '11000003','00','Request by Mr. Omair Ali 30-Apr-2025');</v>
      </c>
    </row>
    <row r="1235" spans="1:8" ht="105" x14ac:dyDescent="0.25">
      <c r="A1235" t="s">
        <v>1998</v>
      </c>
      <c r="B1235" s="1" t="str">
        <f>VLOOKUP(A1235,Sheet5!B:C,2,0)</f>
        <v>050000817583</v>
      </c>
      <c r="C1235" s="13">
        <v>3958</v>
      </c>
      <c r="D1235" s="22">
        <f t="shared" si="77"/>
        <v>3958</v>
      </c>
      <c r="E1235" s="21" t="s">
        <v>5912</v>
      </c>
      <c r="F1235" s="23" t="str">
        <f t="shared" si="76"/>
        <v>insert into ins_premium_det (premium_rcv_code,assorted_code, rec_amount,premium_rcv_detail_code,remaining_amt, payrec, mode_code,coinsurance_code,class_cd,it_remarks) values</v>
      </c>
      <c r="G1235" s="24" t="str">
        <f t="shared" si="78"/>
        <v>('29Apr250042','050000817583','3958',(select max(to_number(i.premium_rcv_detail_code))+1
from ins_premium_det i),'3958','3958','02', '11000003','00','Request by Mr. Omair Ali 30-Apr-2025');</v>
      </c>
      <c r="H1235" s="25" t="str">
        <f t="shared" si="79"/>
        <v>insert into ins_premium_det (premium_rcv_code,assorted_code, rec_amount,premium_rcv_detail_code,remaining_amt, payrec, mode_code,coinsurance_code,class_cd,it_remarks) values('29Apr250042','050000817583','3958',(select max(to_number(i.premium_rcv_detail_code))+1
from ins_premium_det i),'3958','3958','02', '11000003','00','Request by Mr. Omair Ali 30-Apr-2025');</v>
      </c>
    </row>
    <row r="1236" spans="1:8" ht="105" x14ac:dyDescent="0.25">
      <c r="A1236" t="s">
        <v>1556</v>
      </c>
      <c r="B1236" s="1" t="str">
        <f>VLOOKUP(A1236,Sheet5!B:C,2,0)</f>
        <v>050000817590</v>
      </c>
      <c r="C1236" s="13">
        <v>6600</v>
      </c>
      <c r="D1236" s="22">
        <f t="shared" si="77"/>
        <v>6600</v>
      </c>
      <c r="E1236" s="21" t="s">
        <v>5912</v>
      </c>
      <c r="F1236" s="23" t="str">
        <f t="shared" si="76"/>
        <v>insert into ins_premium_det (premium_rcv_code,assorted_code, rec_amount,premium_rcv_detail_code,remaining_amt, payrec, mode_code,coinsurance_code,class_cd,it_remarks) values</v>
      </c>
      <c r="G1236" s="24" t="str">
        <f t="shared" si="78"/>
        <v>('29Apr250042','050000817590','6600',(select max(to_number(i.premium_rcv_detail_code))+1
from ins_premium_det i),'6600','6600','02', '11000003','00','Request by Mr. Omair Ali 30-Apr-2025');</v>
      </c>
      <c r="H1236" s="25" t="str">
        <f t="shared" si="79"/>
        <v>insert into ins_premium_det (premium_rcv_code,assorted_code, rec_amount,premium_rcv_detail_code,remaining_amt, payrec, mode_code,coinsurance_code,class_cd,it_remarks) values('29Apr250042','050000817590','6600',(select max(to_number(i.premium_rcv_detail_code))+1
from ins_premium_det i),'6600','6600','02', '11000003','00','Request by Mr. Omair Ali 30-Apr-2025');</v>
      </c>
    </row>
    <row r="1237" spans="1:8" ht="105" x14ac:dyDescent="0.25">
      <c r="A1237" t="s">
        <v>1669</v>
      </c>
      <c r="B1237" s="1" t="str">
        <f>VLOOKUP(A1237,Sheet5!B:C,2,0)</f>
        <v>050000817592</v>
      </c>
      <c r="C1237" s="13">
        <v>4357</v>
      </c>
      <c r="D1237" s="22">
        <f t="shared" si="77"/>
        <v>4357</v>
      </c>
      <c r="E1237" s="21" t="s">
        <v>5912</v>
      </c>
      <c r="F1237" s="23" t="str">
        <f t="shared" si="76"/>
        <v>insert into ins_premium_det (premium_rcv_code,assorted_code, rec_amount,premium_rcv_detail_code,remaining_amt, payrec, mode_code,coinsurance_code,class_cd,it_remarks) values</v>
      </c>
      <c r="G1237" s="24" t="str">
        <f t="shared" si="78"/>
        <v>('29Apr250042','050000817592','4357',(select max(to_number(i.premium_rcv_detail_code))+1
from ins_premium_det i),'4357','4357','02', '11000003','00','Request by Mr. Omair Ali 30-Apr-2025');</v>
      </c>
      <c r="H1237" s="25" t="str">
        <f t="shared" si="79"/>
        <v>insert into ins_premium_det (premium_rcv_code,assorted_code, rec_amount,premium_rcv_detail_code,remaining_amt, payrec, mode_code,coinsurance_code,class_cd,it_remarks) values('29Apr250042','050000817592','4357',(select max(to_number(i.premium_rcv_detail_code))+1
from ins_premium_det i),'4357','4357','02', '11000003','00','Request by Mr. Omair Ali 30-Apr-2025');</v>
      </c>
    </row>
    <row r="1238" spans="1:8" ht="105" x14ac:dyDescent="0.25">
      <c r="A1238" t="s">
        <v>1679</v>
      </c>
      <c r="B1238" s="1" t="str">
        <f>VLOOKUP(A1238,Sheet5!B:C,2,0)</f>
        <v>050000817593</v>
      </c>
      <c r="C1238" s="13">
        <v>1465</v>
      </c>
      <c r="D1238" s="22">
        <f t="shared" si="77"/>
        <v>1465</v>
      </c>
      <c r="E1238" s="21" t="s">
        <v>5912</v>
      </c>
      <c r="F1238" s="23" t="str">
        <f t="shared" si="76"/>
        <v>insert into ins_premium_det (premium_rcv_code,assorted_code, rec_amount,premium_rcv_detail_code,remaining_amt, payrec, mode_code,coinsurance_code,class_cd,it_remarks) values</v>
      </c>
      <c r="G1238" s="24" t="str">
        <f t="shared" si="78"/>
        <v>('29Apr250042','050000817593','1465',(select max(to_number(i.premium_rcv_detail_code))+1
from ins_premium_det i),'1465','1465','02', '11000003','00','Request by Mr. Omair Ali 30-Apr-2025');</v>
      </c>
      <c r="H1238" s="25" t="str">
        <f t="shared" si="79"/>
        <v>insert into ins_premium_det (premium_rcv_code,assorted_code, rec_amount,premium_rcv_detail_code,remaining_amt, payrec, mode_code,coinsurance_code,class_cd,it_remarks) values('29Apr250042','050000817593','1465',(select max(to_number(i.premium_rcv_detail_code))+1
from ins_premium_det i),'1465','1465','02', '11000003','00','Request by Mr. Omair Ali 30-Apr-2025');</v>
      </c>
    </row>
    <row r="1239" spans="1:8" ht="105" x14ac:dyDescent="0.25">
      <c r="A1239" t="s">
        <v>1989</v>
      </c>
      <c r="B1239" s="1" t="str">
        <f>VLOOKUP(A1239,Sheet5!B:C,2,0)</f>
        <v>050000817600</v>
      </c>
      <c r="C1239" s="13">
        <v>3503</v>
      </c>
      <c r="D1239" s="22">
        <f t="shared" si="77"/>
        <v>3503</v>
      </c>
      <c r="E1239" s="21" t="s">
        <v>5912</v>
      </c>
      <c r="F1239" s="23" t="str">
        <f t="shared" si="76"/>
        <v>insert into ins_premium_det (premium_rcv_code,assorted_code, rec_amount,premium_rcv_detail_code,remaining_amt, payrec, mode_code,coinsurance_code,class_cd,it_remarks) values</v>
      </c>
      <c r="G1239" s="24" t="str">
        <f t="shared" si="78"/>
        <v>('29Apr250042','050000817600','3503',(select max(to_number(i.premium_rcv_detail_code))+1
from ins_premium_det i),'3503','3503','02', '11000003','00','Request by Mr. Omair Ali 30-Apr-2025');</v>
      </c>
      <c r="H1239" s="25" t="str">
        <f t="shared" si="79"/>
        <v>insert into ins_premium_det (premium_rcv_code,assorted_code, rec_amount,premium_rcv_detail_code,remaining_amt, payrec, mode_code,coinsurance_code,class_cd,it_remarks) values('29Apr250042','050000817600','3503',(select max(to_number(i.premium_rcv_detail_code))+1
from ins_premium_det i),'3503','3503','02', '11000003','00','Request by Mr. Omair Ali 30-Apr-2025');</v>
      </c>
    </row>
    <row r="1240" spans="1:8" ht="105" x14ac:dyDescent="0.25">
      <c r="A1240" t="s">
        <v>1262</v>
      </c>
      <c r="B1240" s="1" t="str">
        <f>VLOOKUP(A1240,Sheet5!B:C,2,0)</f>
        <v>050000818165</v>
      </c>
      <c r="C1240" s="13">
        <v>841</v>
      </c>
      <c r="D1240" s="22">
        <f t="shared" si="77"/>
        <v>841</v>
      </c>
      <c r="E1240" s="21" t="s">
        <v>5912</v>
      </c>
      <c r="F1240" s="23" t="str">
        <f t="shared" si="76"/>
        <v>insert into ins_premium_det (premium_rcv_code,assorted_code, rec_amount,premium_rcv_detail_code,remaining_amt, payrec, mode_code,coinsurance_code,class_cd,it_remarks) values</v>
      </c>
      <c r="G1240" s="24" t="str">
        <f t="shared" si="78"/>
        <v>('29Apr250042','050000818165','841',(select max(to_number(i.premium_rcv_detail_code))+1
from ins_premium_det i),'841','841','02', '11000003','00','Request by Mr. Omair Ali 30-Apr-2025');</v>
      </c>
      <c r="H1240" s="25" t="str">
        <f t="shared" si="79"/>
        <v>insert into ins_premium_det (premium_rcv_code,assorted_code, rec_amount,premium_rcv_detail_code,remaining_amt, payrec, mode_code,coinsurance_code,class_cd,it_remarks) values('29Apr250042','050000818165','841',(select max(to_number(i.premium_rcv_detail_code))+1
from ins_premium_det i),'841','841','02', '11000003','00','Request by Mr. Omair Ali 30-Apr-2025');</v>
      </c>
    </row>
    <row r="1241" spans="1:8" ht="105" x14ac:dyDescent="0.25">
      <c r="A1241" t="s">
        <v>1420</v>
      </c>
      <c r="B1241" s="1" t="str">
        <f>VLOOKUP(A1241,Sheet5!B:C,2,0)</f>
        <v>050000818171</v>
      </c>
      <c r="C1241" s="13">
        <v>4044</v>
      </c>
      <c r="D1241" s="22">
        <f t="shared" si="77"/>
        <v>4044</v>
      </c>
      <c r="E1241" s="21" t="s">
        <v>5912</v>
      </c>
      <c r="F1241" s="23" t="str">
        <f t="shared" si="76"/>
        <v>insert into ins_premium_det (premium_rcv_code,assorted_code, rec_amount,premium_rcv_detail_code,remaining_amt, payrec, mode_code,coinsurance_code,class_cd,it_remarks) values</v>
      </c>
      <c r="G1241" s="24" t="str">
        <f t="shared" si="78"/>
        <v>('29Apr250042','050000818171','4044',(select max(to_number(i.premium_rcv_detail_code))+1
from ins_premium_det i),'4044','4044','02', '11000003','00','Request by Mr. Omair Ali 30-Apr-2025');</v>
      </c>
      <c r="H1241" s="25" t="str">
        <f t="shared" si="79"/>
        <v>insert into ins_premium_det (premium_rcv_code,assorted_code, rec_amount,premium_rcv_detail_code,remaining_amt, payrec, mode_code,coinsurance_code,class_cd,it_remarks) values('29Apr250042','050000818171','4044',(select max(to_number(i.premium_rcv_detail_code))+1
from ins_premium_det i),'4044','4044','02', '11000003','00','Request by Mr. Omair Ali 30-Apr-2025');</v>
      </c>
    </row>
    <row r="1242" spans="1:8" ht="105" x14ac:dyDescent="0.25">
      <c r="A1242" t="s">
        <v>1731</v>
      </c>
      <c r="B1242" s="1" t="str">
        <f>VLOOKUP(A1242,Sheet5!B:C,2,0)</f>
        <v>050000818180</v>
      </c>
      <c r="C1242" s="13">
        <v>1121</v>
      </c>
      <c r="D1242" s="22">
        <f t="shared" si="77"/>
        <v>1121</v>
      </c>
      <c r="E1242" s="21" t="s">
        <v>5912</v>
      </c>
      <c r="F1242" s="23" t="str">
        <f t="shared" si="76"/>
        <v>insert into ins_premium_det (premium_rcv_code,assorted_code, rec_amount,premium_rcv_detail_code,remaining_amt, payrec, mode_code,coinsurance_code,class_cd,it_remarks) values</v>
      </c>
      <c r="G1242" s="24" t="str">
        <f t="shared" si="78"/>
        <v>('29Apr250042','050000818180','1121',(select max(to_number(i.premium_rcv_detail_code))+1
from ins_premium_det i),'1121','1121','02', '11000003','00','Request by Mr. Omair Ali 30-Apr-2025');</v>
      </c>
      <c r="H1242" s="25" t="str">
        <f t="shared" si="79"/>
        <v>insert into ins_premium_det (premium_rcv_code,assorted_code, rec_amount,premium_rcv_detail_code,remaining_amt, payrec, mode_code,coinsurance_code,class_cd,it_remarks) values('29Apr250042','050000818180','1121',(select max(to_number(i.premium_rcv_detail_code))+1
from ins_premium_det i),'1121','1121','02', '11000003','00','Request by Mr. Omair Ali 30-Apr-2025');</v>
      </c>
    </row>
    <row r="1243" spans="1:8" ht="105" x14ac:dyDescent="0.25">
      <c r="A1243" t="s">
        <v>1811</v>
      </c>
      <c r="B1243" s="1" t="str">
        <f>VLOOKUP(A1243,Sheet5!B:C,2,0)</f>
        <v>050000818182</v>
      </c>
      <c r="C1243" s="13">
        <v>4519</v>
      </c>
      <c r="D1243" s="22">
        <f t="shared" si="77"/>
        <v>4519</v>
      </c>
      <c r="E1243" s="21" t="s">
        <v>5912</v>
      </c>
      <c r="F1243" s="23" t="str">
        <f t="shared" si="76"/>
        <v>insert into ins_premium_det (premium_rcv_code,assorted_code, rec_amount,premium_rcv_detail_code,remaining_amt, payrec, mode_code,coinsurance_code,class_cd,it_remarks) values</v>
      </c>
      <c r="G1243" s="24" t="str">
        <f t="shared" si="78"/>
        <v>('29Apr250042','050000818182','4519',(select max(to_number(i.premium_rcv_detail_code))+1
from ins_premium_det i),'4519','4519','02', '11000003','00','Request by Mr. Omair Ali 30-Apr-2025');</v>
      </c>
      <c r="H1243" s="25" t="str">
        <f t="shared" si="79"/>
        <v>insert into ins_premium_det (premium_rcv_code,assorted_code, rec_amount,premium_rcv_detail_code,remaining_amt, payrec, mode_code,coinsurance_code,class_cd,it_remarks) values('29Apr250042','050000818182','4519',(select max(to_number(i.premium_rcv_detail_code))+1
from ins_premium_det i),'4519','4519','02', '11000003','00','Request by Mr. Omair Ali 30-Apr-2025');</v>
      </c>
    </row>
    <row r="1244" spans="1:8" ht="105" x14ac:dyDescent="0.25">
      <c r="A1244" t="s">
        <v>1819</v>
      </c>
      <c r="B1244" s="1" t="str">
        <f>VLOOKUP(A1244,Sheet5!B:C,2,0)</f>
        <v>050000818183</v>
      </c>
      <c r="C1244" s="13">
        <v>1559</v>
      </c>
      <c r="D1244" s="22">
        <f t="shared" si="77"/>
        <v>1559</v>
      </c>
      <c r="E1244" s="21" t="s">
        <v>5912</v>
      </c>
      <c r="F1244" s="23" t="str">
        <f t="shared" si="76"/>
        <v>insert into ins_premium_det (premium_rcv_code,assorted_code, rec_amount,premium_rcv_detail_code,remaining_amt, payrec, mode_code,coinsurance_code,class_cd,it_remarks) values</v>
      </c>
      <c r="G1244" s="24" t="str">
        <f t="shared" si="78"/>
        <v>('29Apr250042','050000818183','1559',(select max(to_number(i.premium_rcv_detail_code))+1
from ins_premium_det i),'1559','1559','02', '11000003','00','Request by Mr. Omair Ali 30-Apr-2025');</v>
      </c>
      <c r="H1244" s="25" t="str">
        <f t="shared" si="79"/>
        <v>insert into ins_premium_det (premium_rcv_code,assorted_code, rec_amount,premium_rcv_detail_code,remaining_amt, payrec, mode_code,coinsurance_code,class_cd,it_remarks) values('29Apr250042','050000818183','1559',(select max(to_number(i.premium_rcv_detail_code))+1
from ins_premium_det i),'1559','1559','02', '11000003','00','Request by Mr. Omair Ali 30-Apr-2025');</v>
      </c>
    </row>
    <row r="1245" spans="1:8" ht="105" x14ac:dyDescent="0.25">
      <c r="A1245" t="s">
        <v>1880</v>
      </c>
      <c r="B1245" s="1" t="str">
        <f>VLOOKUP(A1245,Sheet5!B:C,2,0)</f>
        <v>050000818187</v>
      </c>
      <c r="C1245" s="13">
        <v>921</v>
      </c>
      <c r="D1245" s="22">
        <f t="shared" si="77"/>
        <v>921</v>
      </c>
      <c r="E1245" s="21" t="s">
        <v>5912</v>
      </c>
      <c r="F1245" s="23" t="str">
        <f t="shared" si="76"/>
        <v>insert into ins_premium_det (premium_rcv_code,assorted_code, rec_amount,premium_rcv_detail_code,remaining_amt, payrec, mode_code,coinsurance_code,class_cd,it_remarks) values</v>
      </c>
      <c r="G1245" s="24" t="str">
        <f t="shared" si="78"/>
        <v>('29Apr250042','050000818187','921',(select max(to_number(i.premium_rcv_detail_code))+1
from ins_premium_det i),'921','921','02', '11000003','00','Request by Mr. Omair Ali 30-Apr-2025');</v>
      </c>
      <c r="H1245" s="25" t="str">
        <f t="shared" si="79"/>
        <v>insert into ins_premium_det (premium_rcv_code,assorted_code, rec_amount,premium_rcv_detail_code,remaining_amt, payrec, mode_code,coinsurance_code,class_cd,it_remarks) values('29Apr250042','050000818187','921',(select max(to_number(i.premium_rcv_detail_code))+1
from ins_premium_det i),'921','921','02', '11000003','00','Request by Mr. Omair Ali 30-Apr-2025');</v>
      </c>
    </row>
    <row r="1246" spans="1:8" ht="105" x14ac:dyDescent="0.25">
      <c r="A1246" t="s">
        <v>1884</v>
      </c>
      <c r="B1246" s="1" t="str">
        <f>VLOOKUP(A1246,Sheet5!B:C,2,0)</f>
        <v>050000818189</v>
      </c>
      <c r="C1246" s="13">
        <v>1750</v>
      </c>
      <c r="D1246" s="22">
        <f t="shared" si="77"/>
        <v>1750</v>
      </c>
      <c r="E1246" s="21" t="s">
        <v>5912</v>
      </c>
      <c r="F1246" s="23" t="str">
        <f t="shared" si="76"/>
        <v>insert into ins_premium_det (premium_rcv_code,assorted_code, rec_amount,premium_rcv_detail_code,remaining_amt, payrec, mode_code,coinsurance_code,class_cd,it_remarks) values</v>
      </c>
      <c r="G1246" s="24" t="str">
        <f t="shared" si="78"/>
        <v>('29Apr250042','050000818189','1750',(select max(to_number(i.premium_rcv_detail_code))+1
from ins_premium_det i),'1750','1750','02', '11000003','00','Request by Mr. Omair Ali 30-Apr-2025');</v>
      </c>
      <c r="H1246" s="25" t="str">
        <f t="shared" si="79"/>
        <v>insert into ins_premium_det (premium_rcv_code,assorted_code, rec_amount,premium_rcv_detail_code,remaining_amt, payrec, mode_code,coinsurance_code,class_cd,it_remarks) values('29Apr250042','050000818189','1750',(select max(to_number(i.premium_rcv_detail_code))+1
from ins_premium_det i),'1750','1750','02', '11000003','00','Request by Mr. Omair Ali 30-Apr-2025');</v>
      </c>
    </row>
    <row r="1247" spans="1:8" ht="105" x14ac:dyDescent="0.25">
      <c r="A1247" t="s">
        <v>1895</v>
      </c>
      <c r="B1247" s="1" t="str">
        <f>VLOOKUP(A1247,Sheet5!B:C,2,0)</f>
        <v>050000818191</v>
      </c>
      <c r="C1247" s="13">
        <v>3599</v>
      </c>
      <c r="D1247" s="22">
        <f t="shared" si="77"/>
        <v>3599</v>
      </c>
      <c r="E1247" s="21" t="s">
        <v>5912</v>
      </c>
      <c r="F1247" s="23" t="str">
        <f t="shared" si="76"/>
        <v>insert into ins_premium_det (premium_rcv_code,assorted_code, rec_amount,premium_rcv_detail_code,remaining_amt, payrec, mode_code,coinsurance_code,class_cd,it_remarks) values</v>
      </c>
      <c r="G1247" s="24" t="str">
        <f t="shared" si="78"/>
        <v>('29Apr250042','050000818191','3599',(select max(to_number(i.premium_rcv_detail_code))+1
from ins_premium_det i),'3599','3599','02', '11000003','00','Request by Mr. Omair Ali 30-Apr-2025');</v>
      </c>
      <c r="H1247" s="25" t="str">
        <f t="shared" si="79"/>
        <v>insert into ins_premium_det (premium_rcv_code,assorted_code, rec_amount,premium_rcv_detail_code,remaining_amt, payrec, mode_code,coinsurance_code,class_cd,it_remarks) values('29Apr250042','050000818191','3599',(select max(to_number(i.premium_rcv_detail_code))+1
from ins_premium_det i),'3599','3599','02', '11000003','00','Request by Mr. Omair Ali 30-Apr-2025');</v>
      </c>
    </row>
    <row r="1248" spans="1:8" ht="105" x14ac:dyDescent="0.25">
      <c r="A1248" t="s">
        <v>2005</v>
      </c>
      <c r="B1248" s="1" t="str">
        <f>VLOOKUP(A1248,Sheet5!B:C,2,0)</f>
        <v>050000818199</v>
      </c>
      <c r="C1248" s="13">
        <v>7079</v>
      </c>
      <c r="D1248" s="22">
        <f t="shared" si="77"/>
        <v>7079</v>
      </c>
      <c r="E1248" s="21" t="s">
        <v>5912</v>
      </c>
      <c r="F1248" s="23" t="str">
        <f t="shared" si="76"/>
        <v>insert into ins_premium_det (premium_rcv_code,assorted_code, rec_amount,premium_rcv_detail_code,remaining_amt, payrec, mode_code,coinsurance_code,class_cd,it_remarks) values</v>
      </c>
      <c r="G1248" s="24" t="str">
        <f t="shared" si="78"/>
        <v>('29Apr250042','050000818199','7079',(select max(to_number(i.premium_rcv_detail_code))+1
from ins_premium_det i),'7079','7079','02', '11000003','00','Request by Mr. Omair Ali 30-Apr-2025');</v>
      </c>
      <c r="H1248" s="25" t="str">
        <f t="shared" si="79"/>
        <v>insert into ins_premium_det (premium_rcv_code,assorted_code, rec_amount,premium_rcv_detail_code,remaining_amt, payrec, mode_code,coinsurance_code,class_cd,it_remarks) values('29Apr250042','050000818199','7079',(select max(to_number(i.premium_rcv_detail_code))+1
from ins_premium_det i),'7079','7079','02', '11000003','00','Request by Mr. Omair Ali 30-Apr-2025');</v>
      </c>
    </row>
    <row r="1249" spans="1:8" ht="105" x14ac:dyDescent="0.25">
      <c r="A1249" t="s">
        <v>890</v>
      </c>
      <c r="B1249" s="1" t="str">
        <f>VLOOKUP(A1249,Sheet5!B:C,2,0)</f>
        <v>050000821171</v>
      </c>
      <c r="C1249" s="13">
        <v>1718</v>
      </c>
      <c r="D1249" s="22">
        <f t="shared" si="77"/>
        <v>1718</v>
      </c>
      <c r="E1249" s="21" t="s">
        <v>5912</v>
      </c>
      <c r="F1249" s="23" t="str">
        <f t="shared" si="76"/>
        <v>insert into ins_premium_det (premium_rcv_code,assorted_code, rec_amount,premium_rcv_detail_code,remaining_amt, payrec, mode_code,coinsurance_code,class_cd,it_remarks) values</v>
      </c>
      <c r="G1249" s="24" t="str">
        <f t="shared" si="78"/>
        <v>('29Apr250042','050000821171','1718',(select max(to_number(i.premium_rcv_detail_code))+1
from ins_premium_det i),'1718','1718','02', '11000003','00','Request by Mr. Omair Ali 30-Apr-2025');</v>
      </c>
      <c r="H1249" s="25" t="str">
        <f t="shared" si="79"/>
        <v>insert into ins_premium_det (premium_rcv_code,assorted_code, rec_amount,premium_rcv_detail_code,remaining_amt, payrec, mode_code,coinsurance_code,class_cd,it_remarks) values('29Apr250042','050000821171','1718',(select max(to_number(i.premium_rcv_detail_code))+1
from ins_premium_det i),'1718','1718','02', '11000003','00','Request by Mr. Omair Ali 30-Apr-2025');</v>
      </c>
    </row>
    <row r="1250" spans="1:8" ht="105" x14ac:dyDescent="0.25">
      <c r="A1250" t="s">
        <v>891</v>
      </c>
      <c r="B1250" s="1" t="str">
        <f>VLOOKUP(A1250,Sheet5!B:C,2,0)</f>
        <v>050000821172</v>
      </c>
      <c r="C1250" s="13">
        <v>544</v>
      </c>
      <c r="D1250" s="22">
        <f t="shared" si="77"/>
        <v>544</v>
      </c>
      <c r="E1250" s="21" t="s">
        <v>5912</v>
      </c>
      <c r="F1250" s="23" t="str">
        <f t="shared" si="76"/>
        <v>insert into ins_premium_det (premium_rcv_code,assorted_code, rec_amount,premium_rcv_detail_code,remaining_amt, payrec, mode_code,coinsurance_code,class_cd,it_remarks) values</v>
      </c>
      <c r="G1250" s="24" t="str">
        <f t="shared" si="78"/>
        <v>('29Apr250042','050000821172','544',(select max(to_number(i.premium_rcv_detail_code))+1
from ins_premium_det i),'544','544','02', '11000003','00','Request by Mr. Omair Ali 30-Apr-2025');</v>
      </c>
      <c r="H1250" s="25" t="str">
        <f t="shared" si="79"/>
        <v>insert into ins_premium_det (premium_rcv_code,assorted_code, rec_amount,premium_rcv_detail_code,remaining_amt, payrec, mode_code,coinsurance_code,class_cd,it_remarks) values('29Apr250042','050000821172','544',(select max(to_number(i.premium_rcv_detail_code))+1
from ins_premium_det i),'544','544','02', '11000003','00','Request by Mr. Omair Ali 30-Apr-2025');</v>
      </c>
    </row>
    <row r="1251" spans="1:8" ht="105" x14ac:dyDescent="0.25">
      <c r="A1251" t="s">
        <v>892</v>
      </c>
      <c r="B1251" s="1" t="str">
        <f>VLOOKUP(A1251,Sheet5!B:C,2,0)</f>
        <v>050000821173</v>
      </c>
      <c r="C1251" s="13">
        <v>1852</v>
      </c>
      <c r="D1251" s="22">
        <f t="shared" si="77"/>
        <v>1852</v>
      </c>
      <c r="E1251" s="21" t="s">
        <v>5912</v>
      </c>
      <c r="F1251" s="23" t="str">
        <f t="shared" si="76"/>
        <v>insert into ins_premium_det (premium_rcv_code,assorted_code, rec_amount,premium_rcv_detail_code,remaining_amt, payrec, mode_code,coinsurance_code,class_cd,it_remarks) values</v>
      </c>
      <c r="G1251" s="24" t="str">
        <f t="shared" si="78"/>
        <v>('29Apr250042','050000821173','1852',(select max(to_number(i.premium_rcv_detail_code))+1
from ins_premium_det i),'1852','1852','02', '11000003','00','Request by Mr. Omair Ali 30-Apr-2025');</v>
      </c>
      <c r="H1251" s="25" t="str">
        <f t="shared" si="79"/>
        <v>insert into ins_premium_det (premium_rcv_code,assorted_code, rec_amount,premium_rcv_detail_code,remaining_amt, payrec, mode_code,coinsurance_code,class_cd,it_remarks) values('29Apr250042','050000821173','1852',(select max(to_number(i.premium_rcv_detail_code))+1
from ins_premium_det i),'1852','1852','02', '11000003','00','Request by Mr. Omair Ali 30-Apr-2025');</v>
      </c>
    </row>
    <row r="1252" spans="1:8" ht="105" x14ac:dyDescent="0.25">
      <c r="A1252" t="s">
        <v>893</v>
      </c>
      <c r="B1252" s="1" t="str">
        <f>VLOOKUP(A1252,Sheet5!B:C,2,0)</f>
        <v>050000821174</v>
      </c>
      <c r="C1252" s="13">
        <v>2016</v>
      </c>
      <c r="D1252" s="22">
        <f t="shared" si="77"/>
        <v>2016</v>
      </c>
      <c r="E1252" s="21" t="s">
        <v>5912</v>
      </c>
      <c r="F1252" s="23" t="str">
        <f t="shared" si="76"/>
        <v>insert into ins_premium_det (premium_rcv_code,assorted_code, rec_amount,premium_rcv_detail_code,remaining_amt, payrec, mode_code,coinsurance_code,class_cd,it_remarks) values</v>
      </c>
      <c r="G1252" s="24" t="str">
        <f t="shared" si="78"/>
        <v>('29Apr250042','050000821174','2016',(select max(to_number(i.premium_rcv_detail_code))+1
from ins_premium_det i),'2016','2016','02', '11000003','00','Request by Mr. Omair Ali 30-Apr-2025');</v>
      </c>
      <c r="H1252" s="25" t="str">
        <f t="shared" si="79"/>
        <v>insert into ins_premium_det (premium_rcv_code,assorted_code, rec_amount,premium_rcv_detail_code,remaining_amt, payrec, mode_code,coinsurance_code,class_cd,it_remarks) values('29Apr250042','050000821174','2016',(select max(to_number(i.premium_rcv_detail_code))+1
from ins_premium_det i),'2016','2016','02', '11000003','00','Request by Mr. Omair Ali 30-Apr-2025');</v>
      </c>
    </row>
    <row r="1253" spans="1:8" ht="105" x14ac:dyDescent="0.25">
      <c r="A1253" t="s">
        <v>899</v>
      </c>
      <c r="B1253" s="1" t="str">
        <f>VLOOKUP(A1253,Sheet5!B:C,2,0)</f>
        <v>050000821178</v>
      </c>
      <c r="C1253" s="13">
        <v>2839</v>
      </c>
      <c r="D1253" s="22">
        <f t="shared" si="77"/>
        <v>2839</v>
      </c>
      <c r="E1253" s="21" t="s">
        <v>5912</v>
      </c>
      <c r="F1253" s="23" t="str">
        <f t="shared" si="76"/>
        <v>insert into ins_premium_det (premium_rcv_code,assorted_code, rec_amount,premium_rcv_detail_code,remaining_amt, payrec, mode_code,coinsurance_code,class_cd,it_remarks) values</v>
      </c>
      <c r="G1253" s="24" t="str">
        <f t="shared" si="78"/>
        <v>('29Apr250042','050000821178','2839',(select max(to_number(i.premium_rcv_detail_code))+1
from ins_premium_det i),'2839','2839','02', '11000003','00','Request by Mr. Omair Ali 30-Apr-2025');</v>
      </c>
      <c r="H1253" s="25" t="str">
        <f t="shared" si="79"/>
        <v>insert into ins_premium_det (premium_rcv_code,assorted_code, rec_amount,premium_rcv_detail_code,remaining_amt, payrec, mode_code,coinsurance_code,class_cd,it_remarks) values('29Apr250042','050000821178','2839',(select max(to_number(i.premium_rcv_detail_code))+1
from ins_premium_det i),'2839','2839','02', '11000003','00','Request by Mr. Omair Ali 30-Apr-2025');</v>
      </c>
    </row>
    <row r="1254" spans="1:8" ht="105" x14ac:dyDescent="0.25">
      <c r="A1254" t="s">
        <v>919</v>
      </c>
      <c r="B1254" s="1" t="str">
        <f>VLOOKUP(A1254,Sheet5!B:C,2,0)</f>
        <v>050000821180</v>
      </c>
      <c r="C1254" s="13">
        <v>993</v>
      </c>
      <c r="D1254" s="22">
        <f t="shared" si="77"/>
        <v>993</v>
      </c>
      <c r="E1254" s="21" t="s">
        <v>5912</v>
      </c>
      <c r="F1254" s="23" t="str">
        <f t="shared" si="76"/>
        <v>insert into ins_premium_det (premium_rcv_code,assorted_code, rec_amount,premium_rcv_detail_code,remaining_amt, payrec, mode_code,coinsurance_code,class_cd,it_remarks) values</v>
      </c>
      <c r="G1254" s="24" t="str">
        <f t="shared" si="78"/>
        <v>('29Apr250042','050000821180','993',(select max(to_number(i.premium_rcv_detail_code))+1
from ins_premium_det i),'993','993','02', '11000003','00','Request by Mr. Omair Ali 30-Apr-2025');</v>
      </c>
      <c r="H1254" s="25" t="str">
        <f t="shared" si="79"/>
        <v>insert into ins_premium_det (premium_rcv_code,assorted_code, rec_amount,premium_rcv_detail_code,remaining_amt, payrec, mode_code,coinsurance_code,class_cd,it_remarks) values('29Apr250042','050000821180','993',(select max(to_number(i.premium_rcv_detail_code))+1
from ins_premium_det i),'993','993','02', '11000003','00','Request by Mr. Omair Ali 30-Apr-2025');</v>
      </c>
    </row>
    <row r="1255" spans="1:8" ht="105" x14ac:dyDescent="0.25">
      <c r="A1255" t="s">
        <v>934</v>
      </c>
      <c r="B1255" s="1" t="str">
        <f>VLOOKUP(A1255,Sheet5!B:C,2,0)</f>
        <v>050000821181</v>
      </c>
      <c r="C1255" s="13">
        <v>1308</v>
      </c>
      <c r="D1255" s="22">
        <f t="shared" si="77"/>
        <v>1308</v>
      </c>
      <c r="E1255" s="21" t="s">
        <v>5912</v>
      </c>
      <c r="F1255" s="23" t="str">
        <f t="shared" si="76"/>
        <v>insert into ins_premium_det (premium_rcv_code,assorted_code, rec_amount,premium_rcv_detail_code,remaining_amt, payrec, mode_code,coinsurance_code,class_cd,it_remarks) values</v>
      </c>
      <c r="G1255" s="24" t="str">
        <f t="shared" si="78"/>
        <v>('29Apr250042','050000821181','1308',(select max(to_number(i.premium_rcv_detail_code))+1
from ins_premium_det i),'1308','1308','02', '11000003','00','Request by Mr. Omair Ali 30-Apr-2025');</v>
      </c>
      <c r="H1255" s="25" t="str">
        <f t="shared" si="79"/>
        <v>insert into ins_premium_det (premium_rcv_code,assorted_code, rec_amount,premium_rcv_detail_code,remaining_amt, payrec, mode_code,coinsurance_code,class_cd,it_remarks) values('29Apr250042','050000821181','1308',(select max(to_number(i.premium_rcv_detail_code))+1
from ins_premium_det i),'1308','1308','02', '11000003','00','Request by Mr. Omair Ali 30-Apr-2025');</v>
      </c>
    </row>
    <row r="1256" spans="1:8" ht="105" x14ac:dyDescent="0.25">
      <c r="A1256" t="s">
        <v>1696</v>
      </c>
      <c r="B1256" s="1" t="str">
        <f>VLOOKUP(A1256,Sheet5!B:C,2,0)</f>
        <v>050000821192</v>
      </c>
      <c r="C1256" s="13">
        <v>4729</v>
      </c>
      <c r="D1256" s="22">
        <f t="shared" si="77"/>
        <v>4729</v>
      </c>
      <c r="E1256" s="21" t="s">
        <v>5912</v>
      </c>
      <c r="F1256" s="23" t="str">
        <f t="shared" si="76"/>
        <v>insert into ins_premium_det (premium_rcv_code,assorted_code, rec_amount,premium_rcv_detail_code,remaining_amt, payrec, mode_code,coinsurance_code,class_cd,it_remarks) values</v>
      </c>
      <c r="G1256" s="24" t="str">
        <f t="shared" si="78"/>
        <v>('29Apr250042','050000821192','4729',(select max(to_number(i.premium_rcv_detail_code))+1
from ins_premium_det i),'4729','4729','02', '11000003','00','Request by Mr. Omair Ali 30-Apr-2025');</v>
      </c>
      <c r="H1256" s="25" t="str">
        <f t="shared" si="79"/>
        <v>insert into ins_premium_det (premium_rcv_code,assorted_code, rec_amount,premium_rcv_detail_code,remaining_amt, payrec, mode_code,coinsurance_code,class_cd,it_remarks) values('29Apr250042','050000821192','4729',(select max(to_number(i.premium_rcv_detail_code))+1
from ins_premium_det i),'4729','4729','02', '11000003','00','Request by Mr. Omair Ali 30-Apr-2025');</v>
      </c>
    </row>
    <row r="1257" spans="1:8" ht="105" x14ac:dyDescent="0.25">
      <c r="A1257" t="s">
        <v>1903</v>
      </c>
      <c r="B1257" s="1" t="str">
        <f>VLOOKUP(A1257,Sheet5!B:C,2,0)</f>
        <v>050000821198</v>
      </c>
      <c r="C1257" s="13">
        <v>621</v>
      </c>
      <c r="D1257" s="22">
        <f t="shared" si="77"/>
        <v>621</v>
      </c>
      <c r="E1257" s="21" t="s">
        <v>5912</v>
      </c>
      <c r="F1257" s="23" t="str">
        <f t="shared" si="76"/>
        <v>insert into ins_premium_det (premium_rcv_code,assorted_code, rec_amount,premium_rcv_detail_code,remaining_amt, payrec, mode_code,coinsurance_code,class_cd,it_remarks) values</v>
      </c>
      <c r="G1257" s="24" t="str">
        <f t="shared" si="78"/>
        <v>('29Apr250042','050000821198','621',(select max(to_number(i.premium_rcv_detail_code))+1
from ins_premium_det i),'621','621','02', '11000003','00','Request by Mr. Omair Ali 30-Apr-2025');</v>
      </c>
      <c r="H1257" s="25" t="str">
        <f t="shared" si="79"/>
        <v>insert into ins_premium_det (premium_rcv_code,assorted_code, rec_amount,premium_rcv_detail_code,remaining_amt, payrec, mode_code,coinsurance_code,class_cd,it_remarks) values('29Apr250042','050000821198','621',(select max(to_number(i.premium_rcv_detail_code))+1
from ins_premium_det i),'621','621','02', '11000003','00','Request by Mr. Omair Ali 30-Apr-2025');</v>
      </c>
    </row>
    <row r="1258" spans="1:8" ht="105" x14ac:dyDescent="0.25">
      <c r="A1258" t="s">
        <v>1096</v>
      </c>
      <c r="B1258" s="1" t="str">
        <f>VLOOKUP(A1258,Sheet5!B:C,2,0)</f>
        <v>050000821953</v>
      </c>
      <c r="C1258" s="13">
        <v>1688</v>
      </c>
      <c r="D1258" s="22">
        <f t="shared" si="77"/>
        <v>1688</v>
      </c>
      <c r="E1258" s="21" t="s">
        <v>5912</v>
      </c>
      <c r="F1258" s="23" t="str">
        <f t="shared" si="76"/>
        <v>insert into ins_premium_det (premium_rcv_code,assorted_code, rec_amount,premium_rcv_detail_code,remaining_amt, payrec, mode_code,coinsurance_code,class_cd,it_remarks) values</v>
      </c>
      <c r="G1258" s="24" t="str">
        <f t="shared" si="78"/>
        <v>('29Apr250042','050000821953','1688',(select max(to_number(i.premium_rcv_detail_code))+1
from ins_premium_det i),'1688','1688','02', '11000003','00','Request by Mr. Omair Ali 30-Apr-2025');</v>
      </c>
      <c r="H1258" s="25" t="str">
        <f t="shared" si="79"/>
        <v>insert into ins_premium_det (premium_rcv_code,assorted_code, rec_amount,premium_rcv_detail_code,remaining_amt, payrec, mode_code,coinsurance_code,class_cd,it_remarks) values('29Apr250042','050000821953','1688',(select max(to_number(i.premium_rcv_detail_code))+1
from ins_premium_det i),'1688','1688','02', '11000003','00','Request by Mr. Omair Ali 30-Apr-2025');</v>
      </c>
    </row>
    <row r="1259" spans="1:8" ht="105" x14ac:dyDescent="0.25">
      <c r="A1259" t="s">
        <v>1229</v>
      </c>
      <c r="B1259" s="1" t="str">
        <f>VLOOKUP(A1259,Sheet5!B:C,2,0)</f>
        <v>050000821954</v>
      </c>
      <c r="C1259" s="13">
        <v>2838</v>
      </c>
      <c r="D1259" s="22">
        <f t="shared" si="77"/>
        <v>2838</v>
      </c>
      <c r="E1259" s="21" t="s">
        <v>5912</v>
      </c>
      <c r="F1259" s="23" t="str">
        <f t="shared" si="76"/>
        <v>insert into ins_premium_det (premium_rcv_code,assorted_code, rec_amount,premium_rcv_detail_code,remaining_amt, payrec, mode_code,coinsurance_code,class_cd,it_remarks) values</v>
      </c>
      <c r="G1259" s="24" t="str">
        <f t="shared" si="78"/>
        <v>('29Apr250042','050000821954','2838',(select max(to_number(i.premium_rcv_detail_code))+1
from ins_premium_det i),'2838','2838','02', '11000003','00','Request by Mr. Omair Ali 30-Apr-2025');</v>
      </c>
      <c r="H1259" s="25" t="str">
        <f t="shared" si="79"/>
        <v>insert into ins_premium_det (premium_rcv_code,assorted_code, rec_amount,premium_rcv_detail_code,remaining_amt, payrec, mode_code,coinsurance_code,class_cd,it_remarks) values('29Apr250042','050000821954','2838',(select max(to_number(i.premium_rcv_detail_code))+1
from ins_premium_det i),'2838','2838','02', '11000003','00','Request by Mr. Omair Ali 30-Apr-2025');</v>
      </c>
    </row>
    <row r="1260" spans="1:8" ht="105" x14ac:dyDescent="0.25">
      <c r="A1260" t="s">
        <v>1247</v>
      </c>
      <c r="B1260" s="1" t="str">
        <f>VLOOKUP(A1260,Sheet5!B:C,2,0)</f>
        <v>050000821955</v>
      </c>
      <c r="C1260" s="13">
        <v>4317</v>
      </c>
      <c r="D1260" s="22">
        <f t="shared" si="77"/>
        <v>4317</v>
      </c>
      <c r="E1260" s="21" t="s">
        <v>5912</v>
      </c>
      <c r="F1260" s="23" t="str">
        <f t="shared" si="76"/>
        <v>insert into ins_premium_det (premium_rcv_code,assorted_code, rec_amount,premium_rcv_detail_code,remaining_amt, payrec, mode_code,coinsurance_code,class_cd,it_remarks) values</v>
      </c>
      <c r="G1260" s="24" t="str">
        <f t="shared" si="78"/>
        <v>('29Apr250042','050000821955','4317',(select max(to_number(i.premium_rcv_detail_code))+1
from ins_premium_det i),'4317','4317','02', '11000003','00','Request by Mr. Omair Ali 30-Apr-2025');</v>
      </c>
      <c r="H1260" s="25" t="str">
        <f t="shared" si="79"/>
        <v>insert into ins_premium_det (premium_rcv_code,assorted_code, rec_amount,premium_rcv_detail_code,remaining_amt, payrec, mode_code,coinsurance_code,class_cd,it_remarks) values('29Apr250042','050000821955','4317',(select max(to_number(i.premium_rcv_detail_code))+1
from ins_premium_det i),'4317','4317','02', '11000003','00','Request by Mr. Omair Ali 30-Apr-2025');</v>
      </c>
    </row>
    <row r="1261" spans="1:8" ht="105" x14ac:dyDescent="0.25">
      <c r="A1261" t="s">
        <v>1285</v>
      </c>
      <c r="B1261" s="1" t="str">
        <f>VLOOKUP(A1261,Sheet5!B:C,2,0)</f>
        <v>050000821957</v>
      </c>
      <c r="C1261" s="13">
        <v>1425</v>
      </c>
      <c r="D1261" s="22">
        <f t="shared" si="77"/>
        <v>1425</v>
      </c>
      <c r="E1261" s="21" t="s">
        <v>5912</v>
      </c>
      <c r="F1261" s="23" t="str">
        <f t="shared" si="76"/>
        <v>insert into ins_premium_det (premium_rcv_code,assorted_code, rec_amount,premium_rcv_detail_code,remaining_amt, payrec, mode_code,coinsurance_code,class_cd,it_remarks) values</v>
      </c>
      <c r="G1261" s="24" t="str">
        <f t="shared" si="78"/>
        <v>('29Apr250042','050000821957','1425',(select max(to_number(i.premium_rcv_detail_code))+1
from ins_premium_det i),'1425','1425','02', '11000003','00','Request by Mr. Omair Ali 30-Apr-2025');</v>
      </c>
      <c r="H1261" s="25" t="str">
        <f t="shared" si="79"/>
        <v>insert into ins_premium_det (premium_rcv_code,assorted_code, rec_amount,premium_rcv_detail_code,remaining_amt, payrec, mode_code,coinsurance_code,class_cd,it_remarks) values('29Apr250042','050000821957','1425',(select max(to_number(i.premium_rcv_detail_code))+1
from ins_premium_det i),'1425','1425','02', '11000003','00','Request by Mr. Omair Ali 30-Apr-2025');</v>
      </c>
    </row>
    <row r="1262" spans="1:8" ht="105" x14ac:dyDescent="0.25">
      <c r="A1262" t="s">
        <v>13</v>
      </c>
      <c r="B1262" s="1" t="str">
        <f>VLOOKUP(A1262,Sheet5!B:C,2,0)</f>
        <v>050000822395</v>
      </c>
      <c r="C1262" s="13">
        <v>-2231</v>
      </c>
      <c r="D1262" s="22">
        <f t="shared" si="77"/>
        <v>-2231</v>
      </c>
      <c r="E1262" s="21" t="s">
        <v>5912</v>
      </c>
      <c r="F1262" s="23" t="str">
        <f t="shared" si="76"/>
        <v>insert into ins_premium_det (premium_rcv_code,assorted_code, rec_amount,premium_rcv_detail_code,remaining_amt, payrec, mode_code,coinsurance_code,class_cd,it_remarks) values</v>
      </c>
      <c r="G1262" s="24" t="str">
        <f t="shared" si="78"/>
        <v>('29Apr250042','050000822395','-2231',(select max(to_number(i.premium_rcv_detail_code))+1
from ins_premium_det i),'-2231','-2231','02', '11000003','00','Request by Mr. Omair Ali 30-Apr-2025');</v>
      </c>
      <c r="H1262" s="25" t="str">
        <f t="shared" si="79"/>
        <v>insert into ins_premium_det (premium_rcv_code,assorted_code, rec_amount,premium_rcv_detail_code,remaining_amt, payrec, mode_code,coinsurance_code,class_cd,it_remarks) values('29Apr250042','050000822395','-2231',(select max(to_number(i.premium_rcv_detail_code))+1
from ins_premium_det i),'-2231','-2231','02', '11000003','00','Request by Mr. Omair Ali 30-Apr-2025');</v>
      </c>
    </row>
    <row r="1263" spans="1:8" ht="105" x14ac:dyDescent="0.25">
      <c r="A1263" t="s">
        <v>17</v>
      </c>
      <c r="B1263" s="1" t="str">
        <f>VLOOKUP(A1263,Sheet5!B:C,2,0)</f>
        <v>050000822396</v>
      </c>
      <c r="C1263" s="13">
        <v>-3246</v>
      </c>
      <c r="D1263" s="22">
        <f t="shared" si="77"/>
        <v>-3246</v>
      </c>
      <c r="E1263" s="21" t="s">
        <v>5912</v>
      </c>
      <c r="F1263" s="23" t="str">
        <f t="shared" si="76"/>
        <v>insert into ins_premium_det (premium_rcv_code,assorted_code, rec_amount,premium_rcv_detail_code,remaining_amt, payrec, mode_code,coinsurance_code,class_cd,it_remarks) values</v>
      </c>
      <c r="G1263" s="24" t="str">
        <f t="shared" si="78"/>
        <v>('29Apr250042','050000822396','-3246',(select max(to_number(i.premium_rcv_detail_code))+1
from ins_premium_det i),'-3246','-3246','02', '11000003','00','Request by Mr. Omair Ali 30-Apr-2025');</v>
      </c>
      <c r="H1263" s="25" t="str">
        <f t="shared" si="79"/>
        <v>insert into ins_premium_det (premium_rcv_code,assorted_code, rec_amount,premium_rcv_detail_code,remaining_amt, payrec, mode_code,coinsurance_code,class_cd,it_remarks) values('29Apr250042','050000822396','-3246',(select max(to_number(i.premium_rcv_detail_code))+1
from ins_premium_det i),'-3246','-3246','02', '11000003','00','Request by Mr. Omair Ali 30-Apr-2025');</v>
      </c>
    </row>
    <row r="1264" spans="1:8" ht="105" x14ac:dyDescent="0.25">
      <c r="A1264" t="s">
        <v>21</v>
      </c>
      <c r="B1264" s="1" t="str">
        <f>VLOOKUP(A1264,Sheet5!B:C,2,0)</f>
        <v>050000822397</v>
      </c>
      <c r="C1264" s="13">
        <v>-9287</v>
      </c>
      <c r="D1264" s="22">
        <f t="shared" si="77"/>
        <v>-9287</v>
      </c>
      <c r="E1264" s="21" t="s">
        <v>5912</v>
      </c>
      <c r="F1264" s="23" t="str">
        <f t="shared" si="76"/>
        <v>insert into ins_premium_det (premium_rcv_code,assorted_code, rec_amount,premium_rcv_detail_code,remaining_amt, payrec, mode_code,coinsurance_code,class_cd,it_remarks) values</v>
      </c>
      <c r="G1264" s="24" t="str">
        <f t="shared" si="78"/>
        <v>('29Apr250042','050000822397','-9287',(select max(to_number(i.premium_rcv_detail_code))+1
from ins_premium_det i),'-9287','-9287','02', '11000003','00','Request by Mr. Omair Ali 30-Apr-2025');</v>
      </c>
      <c r="H1264" s="25" t="str">
        <f t="shared" si="79"/>
        <v>insert into ins_premium_det (premium_rcv_code,assorted_code, rec_amount,premium_rcv_detail_code,remaining_amt, payrec, mode_code,coinsurance_code,class_cd,it_remarks) values('29Apr250042','050000822397','-9287',(select max(to_number(i.premium_rcv_detail_code))+1
from ins_premium_det i),'-9287','-9287','02', '11000003','00','Request by Mr. Omair Ali 30-Apr-2025');</v>
      </c>
    </row>
    <row r="1265" spans="1:8" ht="105" x14ac:dyDescent="0.25">
      <c r="A1265" t="s">
        <v>37</v>
      </c>
      <c r="B1265" s="1" t="str">
        <f>VLOOKUP(A1265,Sheet5!B:C,2,0)</f>
        <v>050000822398</v>
      </c>
      <c r="C1265" s="13">
        <v>-166</v>
      </c>
      <c r="D1265" s="22">
        <f t="shared" si="77"/>
        <v>-166</v>
      </c>
      <c r="E1265" s="21" t="s">
        <v>5912</v>
      </c>
      <c r="F1265" s="23" t="str">
        <f t="shared" si="76"/>
        <v>insert into ins_premium_det (premium_rcv_code,assorted_code, rec_amount,premium_rcv_detail_code,remaining_amt, payrec, mode_code,coinsurance_code,class_cd,it_remarks) values</v>
      </c>
      <c r="G1265" s="24" t="str">
        <f t="shared" si="78"/>
        <v>('29Apr250042','050000822398','-166',(select max(to_number(i.premium_rcv_detail_code))+1
from ins_premium_det i),'-166','-166','02', '11000003','00','Request by Mr. Omair Ali 30-Apr-2025');</v>
      </c>
      <c r="H1265" s="25" t="str">
        <f t="shared" si="79"/>
        <v>insert into ins_premium_det (premium_rcv_code,assorted_code, rec_amount,premium_rcv_detail_code,remaining_amt, payrec, mode_code,coinsurance_code,class_cd,it_remarks) values('29Apr250042','050000822398','-166',(select max(to_number(i.premium_rcv_detail_code))+1
from ins_premium_det i),'-166','-166','02', '11000003','00','Request by Mr. Omair Ali 30-Apr-2025');</v>
      </c>
    </row>
    <row r="1266" spans="1:8" ht="105" x14ac:dyDescent="0.25">
      <c r="A1266" t="s">
        <v>42</v>
      </c>
      <c r="B1266" s="1" t="str">
        <f>VLOOKUP(A1266,Sheet5!B:C,2,0)</f>
        <v>050000822399</v>
      </c>
      <c r="C1266" s="13">
        <v>-3464</v>
      </c>
      <c r="D1266" s="22">
        <f t="shared" si="77"/>
        <v>-3464</v>
      </c>
      <c r="E1266" s="21" t="s">
        <v>5912</v>
      </c>
      <c r="F1266" s="23" t="str">
        <f t="shared" si="76"/>
        <v>insert into ins_premium_det (premium_rcv_code,assorted_code, rec_amount,premium_rcv_detail_code,remaining_amt, payrec, mode_code,coinsurance_code,class_cd,it_remarks) values</v>
      </c>
      <c r="G1266" s="24" t="str">
        <f t="shared" si="78"/>
        <v>('29Apr250042','050000822399','-3464',(select max(to_number(i.premium_rcv_detail_code))+1
from ins_premium_det i),'-3464','-3464','02', '11000003','00','Request by Mr. Omair Ali 30-Apr-2025');</v>
      </c>
      <c r="H1266" s="25" t="str">
        <f t="shared" si="79"/>
        <v>insert into ins_premium_det (premium_rcv_code,assorted_code, rec_amount,premium_rcv_detail_code,remaining_amt, payrec, mode_code,coinsurance_code,class_cd,it_remarks) values('29Apr250042','050000822399','-3464',(select max(to_number(i.premium_rcv_detail_code))+1
from ins_premium_det i),'-3464','-3464','02', '11000003','00','Request by Mr. Omair Ali 30-Apr-2025');</v>
      </c>
    </row>
    <row r="1267" spans="1:8" ht="105" x14ac:dyDescent="0.25">
      <c r="A1267" t="s">
        <v>46</v>
      </c>
      <c r="B1267" s="1" t="str">
        <f>VLOOKUP(A1267,Sheet5!B:C,2,0)</f>
        <v>050000822400</v>
      </c>
      <c r="C1267" s="13">
        <v>-4500</v>
      </c>
      <c r="D1267" s="22">
        <f t="shared" si="77"/>
        <v>-4500</v>
      </c>
      <c r="E1267" s="21" t="s">
        <v>5912</v>
      </c>
      <c r="F1267" s="23" t="str">
        <f t="shared" si="76"/>
        <v>insert into ins_premium_det (premium_rcv_code,assorted_code, rec_amount,premium_rcv_detail_code,remaining_amt, payrec, mode_code,coinsurance_code,class_cd,it_remarks) values</v>
      </c>
      <c r="G1267" s="24" t="str">
        <f t="shared" si="78"/>
        <v>('29Apr250042','050000822400','-4500',(select max(to_number(i.premium_rcv_detail_code))+1
from ins_premium_det i),'-4500','-4500','02', '11000003','00','Request by Mr. Omair Ali 30-Apr-2025');</v>
      </c>
      <c r="H1267" s="25" t="str">
        <f t="shared" si="79"/>
        <v>insert into ins_premium_det (premium_rcv_code,assorted_code, rec_amount,premium_rcv_detail_code,remaining_amt, payrec, mode_code,coinsurance_code,class_cd,it_remarks) values('29Apr250042','050000822400','-4500',(select max(to_number(i.premium_rcv_detail_code))+1
from ins_premium_det i),'-4500','-4500','02', '11000003','00','Request by Mr. Omair Ali 30-Apr-2025');</v>
      </c>
    </row>
    <row r="1268" spans="1:8" ht="105" x14ac:dyDescent="0.25">
      <c r="A1268" t="s">
        <v>49</v>
      </c>
      <c r="B1268" s="1" t="str">
        <f>VLOOKUP(A1268,Sheet5!B:C,2,0)</f>
        <v>050000822402</v>
      </c>
      <c r="C1268" s="13">
        <v>-3970</v>
      </c>
      <c r="D1268" s="22">
        <f t="shared" si="77"/>
        <v>-3970</v>
      </c>
      <c r="E1268" s="21" t="s">
        <v>5912</v>
      </c>
      <c r="F1268" s="23" t="str">
        <f t="shared" si="76"/>
        <v>insert into ins_premium_det (premium_rcv_code,assorted_code, rec_amount,premium_rcv_detail_code,remaining_amt, payrec, mode_code,coinsurance_code,class_cd,it_remarks) values</v>
      </c>
      <c r="G1268" s="24" t="str">
        <f t="shared" si="78"/>
        <v>('29Apr250042','050000822402','-3970',(select max(to_number(i.premium_rcv_detail_code))+1
from ins_premium_det i),'-3970','-3970','02', '11000003','00','Request by Mr. Omair Ali 30-Apr-2025');</v>
      </c>
      <c r="H1268" s="25" t="str">
        <f t="shared" si="79"/>
        <v>insert into ins_premium_det (premium_rcv_code,assorted_code, rec_amount,premium_rcv_detail_code,remaining_amt, payrec, mode_code,coinsurance_code,class_cd,it_remarks) values('29Apr250042','050000822402','-3970',(select max(to_number(i.premium_rcv_detail_code))+1
from ins_premium_det i),'-3970','-3970','02', '11000003','00','Request by Mr. Omair Ali 30-Apr-2025');</v>
      </c>
    </row>
    <row r="1269" spans="1:8" ht="105" x14ac:dyDescent="0.25">
      <c r="A1269" t="s">
        <v>52</v>
      </c>
      <c r="B1269" s="1" t="str">
        <f>VLOOKUP(A1269,Sheet5!B:C,2,0)</f>
        <v>050000822403</v>
      </c>
      <c r="C1269" s="13">
        <v>-779</v>
      </c>
      <c r="D1269" s="22">
        <f t="shared" si="77"/>
        <v>-779</v>
      </c>
      <c r="E1269" s="21" t="s">
        <v>5912</v>
      </c>
      <c r="F1269" s="23" t="str">
        <f t="shared" si="76"/>
        <v>insert into ins_premium_det (premium_rcv_code,assorted_code, rec_amount,premium_rcv_detail_code,remaining_amt, payrec, mode_code,coinsurance_code,class_cd,it_remarks) values</v>
      </c>
      <c r="G1269" s="24" t="str">
        <f t="shared" si="78"/>
        <v>('29Apr250042','050000822403','-779',(select max(to_number(i.premium_rcv_detail_code))+1
from ins_premium_det i),'-779','-779','02', '11000003','00','Request by Mr. Omair Ali 30-Apr-2025');</v>
      </c>
      <c r="H1269" s="25" t="str">
        <f t="shared" si="79"/>
        <v>insert into ins_premium_det (premium_rcv_code,assorted_code, rec_amount,premium_rcv_detail_code,remaining_amt, payrec, mode_code,coinsurance_code,class_cd,it_remarks) values('29Apr250042','050000822403','-779',(select max(to_number(i.premium_rcv_detail_code))+1
from ins_premium_det i),'-779','-779','02', '11000003','00','Request by Mr. Omair Ali 30-Apr-2025');</v>
      </c>
    </row>
    <row r="1270" spans="1:8" ht="105" x14ac:dyDescent="0.25">
      <c r="A1270" t="s">
        <v>58</v>
      </c>
      <c r="B1270" s="1" t="str">
        <f>VLOOKUP(A1270,Sheet5!B:C,2,0)</f>
        <v>050000822405</v>
      </c>
      <c r="C1270" s="13">
        <v>-993</v>
      </c>
      <c r="D1270" s="22">
        <f t="shared" si="77"/>
        <v>-993</v>
      </c>
      <c r="E1270" s="21" t="s">
        <v>5912</v>
      </c>
      <c r="F1270" s="23" t="str">
        <f t="shared" si="76"/>
        <v>insert into ins_premium_det (premium_rcv_code,assorted_code, rec_amount,premium_rcv_detail_code,remaining_amt, payrec, mode_code,coinsurance_code,class_cd,it_remarks) values</v>
      </c>
      <c r="G1270" s="24" t="str">
        <f t="shared" si="78"/>
        <v>('29Apr250042','050000822405','-993',(select max(to_number(i.premium_rcv_detail_code))+1
from ins_premium_det i),'-993','-993','02', '11000003','00','Request by Mr. Omair Ali 30-Apr-2025');</v>
      </c>
      <c r="H1270" s="25" t="str">
        <f t="shared" si="79"/>
        <v>insert into ins_premium_det (premium_rcv_code,assorted_code, rec_amount,premium_rcv_detail_code,remaining_amt, payrec, mode_code,coinsurance_code,class_cd,it_remarks) values('29Apr250042','050000822405','-993',(select max(to_number(i.premium_rcv_detail_code))+1
from ins_premium_det i),'-993','-993','02', '11000003','00','Request by Mr. Omair Ali 30-Apr-2025');</v>
      </c>
    </row>
    <row r="1271" spans="1:8" ht="105" x14ac:dyDescent="0.25">
      <c r="A1271" t="s">
        <v>61</v>
      </c>
      <c r="B1271" s="1" t="str">
        <f>VLOOKUP(A1271,Sheet5!B:C,2,0)</f>
        <v>050000822406</v>
      </c>
      <c r="C1271" s="13">
        <v>-536</v>
      </c>
      <c r="D1271" s="22">
        <f t="shared" si="77"/>
        <v>-536</v>
      </c>
      <c r="E1271" s="21" t="s">
        <v>5912</v>
      </c>
      <c r="F1271" s="23" t="str">
        <f t="shared" si="76"/>
        <v>insert into ins_premium_det (premium_rcv_code,assorted_code, rec_amount,premium_rcv_detail_code,remaining_amt, payrec, mode_code,coinsurance_code,class_cd,it_remarks) values</v>
      </c>
      <c r="G1271" s="24" t="str">
        <f t="shared" si="78"/>
        <v>('29Apr250042','050000822406','-536',(select max(to_number(i.premium_rcv_detail_code))+1
from ins_premium_det i),'-536','-536','02', '11000003','00','Request by Mr. Omair Ali 30-Apr-2025');</v>
      </c>
      <c r="H1271" s="25" t="str">
        <f t="shared" si="79"/>
        <v>insert into ins_premium_det (premium_rcv_code,assorted_code, rec_amount,premium_rcv_detail_code,remaining_amt, payrec, mode_code,coinsurance_code,class_cd,it_remarks) values('29Apr250042','050000822406','-536',(select max(to_number(i.premium_rcv_detail_code))+1
from ins_premium_det i),'-536','-536','02', '11000003','00','Request by Mr. Omair Ali 30-Apr-2025');</v>
      </c>
    </row>
    <row r="1272" spans="1:8" ht="105" x14ac:dyDescent="0.25">
      <c r="A1272" t="s">
        <v>70</v>
      </c>
      <c r="B1272" s="1" t="str">
        <f>VLOOKUP(A1272,Sheet5!B:C,2,0)</f>
        <v>050000822408</v>
      </c>
      <c r="C1272" s="13">
        <v>-49</v>
      </c>
      <c r="D1272" s="22">
        <f t="shared" si="77"/>
        <v>-49</v>
      </c>
      <c r="E1272" s="21" t="s">
        <v>5912</v>
      </c>
      <c r="F1272" s="23" t="str">
        <f t="shared" si="76"/>
        <v>insert into ins_premium_det (premium_rcv_code,assorted_code, rec_amount,premium_rcv_detail_code,remaining_amt, payrec, mode_code,coinsurance_code,class_cd,it_remarks) values</v>
      </c>
      <c r="G1272" s="24" t="str">
        <f t="shared" si="78"/>
        <v>('29Apr250042','050000822408','-49',(select max(to_number(i.premium_rcv_detail_code))+1
from ins_premium_det i),'-49','-49','02', '11000003','00','Request by Mr. Omair Ali 30-Apr-2025');</v>
      </c>
      <c r="H1272" s="25" t="str">
        <f t="shared" si="79"/>
        <v>insert into ins_premium_det (premium_rcv_code,assorted_code, rec_amount,premium_rcv_detail_code,remaining_amt, payrec, mode_code,coinsurance_code,class_cd,it_remarks) values('29Apr250042','050000822408','-49',(select max(to_number(i.premium_rcv_detail_code))+1
from ins_premium_det i),'-49','-49','02', '11000003','00','Request by Mr. Omair Ali 30-Apr-2025');</v>
      </c>
    </row>
    <row r="1273" spans="1:8" ht="105" x14ac:dyDescent="0.25">
      <c r="A1273" t="s">
        <v>75</v>
      </c>
      <c r="B1273" s="1" t="str">
        <f>VLOOKUP(A1273,Sheet5!B:C,2,0)</f>
        <v>050000822411</v>
      </c>
      <c r="C1273" s="13">
        <v>-1699</v>
      </c>
      <c r="D1273" s="22">
        <f t="shared" si="77"/>
        <v>-1699</v>
      </c>
      <c r="E1273" s="21" t="s">
        <v>5912</v>
      </c>
      <c r="F1273" s="23" t="str">
        <f t="shared" si="76"/>
        <v>insert into ins_premium_det (premium_rcv_code,assorted_code, rec_amount,premium_rcv_detail_code,remaining_amt, payrec, mode_code,coinsurance_code,class_cd,it_remarks) values</v>
      </c>
      <c r="G1273" s="24" t="str">
        <f t="shared" si="78"/>
        <v>('29Apr250042','050000822411','-1699',(select max(to_number(i.premium_rcv_detail_code))+1
from ins_premium_det i),'-1699','-1699','02', '11000003','00','Request by Mr. Omair Ali 30-Apr-2025');</v>
      </c>
      <c r="H1273" s="25" t="str">
        <f t="shared" si="79"/>
        <v>insert into ins_premium_det (premium_rcv_code,assorted_code, rec_amount,premium_rcv_detail_code,remaining_amt, payrec, mode_code,coinsurance_code,class_cd,it_remarks) values('29Apr250042','050000822411','-1699',(select max(to_number(i.premium_rcv_detail_code))+1
from ins_premium_det i),'-1699','-1699','02', '11000003','00','Request by Mr. Omair Ali 30-Apr-2025');</v>
      </c>
    </row>
    <row r="1274" spans="1:8" ht="105" x14ac:dyDescent="0.25">
      <c r="A1274" t="s">
        <v>82</v>
      </c>
      <c r="B1274" s="1" t="str">
        <f>VLOOKUP(A1274,Sheet5!B:C,2,0)</f>
        <v>050000822412</v>
      </c>
      <c r="C1274" s="13">
        <v>-606</v>
      </c>
      <c r="D1274" s="22">
        <f t="shared" si="77"/>
        <v>-606</v>
      </c>
      <c r="E1274" s="21" t="s">
        <v>5912</v>
      </c>
      <c r="F1274" s="23" t="str">
        <f t="shared" si="76"/>
        <v>insert into ins_premium_det (premium_rcv_code,assorted_code, rec_amount,premium_rcv_detail_code,remaining_amt, payrec, mode_code,coinsurance_code,class_cd,it_remarks) values</v>
      </c>
      <c r="G1274" s="24" t="str">
        <f t="shared" si="78"/>
        <v>('29Apr250042','050000822412','-606',(select max(to_number(i.premium_rcv_detail_code))+1
from ins_premium_det i),'-606','-606','02', '11000003','00','Request by Mr. Omair Ali 30-Apr-2025');</v>
      </c>
      <c r="H1274" s="25" t="str">
        <f t="shared" si="79"/>
        <v>insert into ins_premium_det (premium_rcv_code,assorted_code, rec_amount,premium_rcv_detail_code,remaining_amt, payrec, mode_code,coinsurance_code,class_cd,it_remarks) values('29Apr250042','050000822412','-606',(select max(to_number(i.premium_rcv_detail_code))+1
from ins_premium_det i),'-606','-606','02', '11000003','00','Request by Mr. Omair Ali 30-Apr-2025');</v>
      </c>
    </row>
    <row r="1275" spans="1:8" ht="105" x14ac:dyDescent="0.25">
      <c r="A1275" t="s">
        <v>107</v>
      </c>
      <c r="B1275" s="1" t="str">
        <f>VLOOKUP(A1275,Sheet5!B:C,2,0)</f>
        <v>050000822416</v>
      </c>
      <c r="C1275" s="13">
        <v>-7038</v>
      </c>
      <c r="D1275" s="22">
        <f t="shared" si="77"/>
        <v>-7038</v>
      </c>
      <c r="E1275" s="21" t="s">
        <v>5912</v>
      </c>
      <c r="F1275" s="23" t="str">
        <f t="shared" si="76"/>
        <v>insert into ins_premium_det (premium_rcv_code,assorted_code, rec_amount,premium_rcv_detail_code,remaining_amt, payrec, mode_code,coinsurance_code,class_cd,it_remarks) values</v>
      </c>
      <c r="G1275" s="24" t="str">
        <f t="shared" si="78"/>
        <v>('29Apr250042','050000822416','-7038',(select max(to_number(i.premium_rcv_detail_code))+1
from ins_premium_det i),'-7038','-7038','02', '11000003','00','Request by Mr. Omair Ali 30-Apr-2025');</v>
      </c>
      <c r="H1275" s="25" t="str">
        <f t="shared" si="79"/>
        <v>insert into ins_premium_det (premium_rcv_code,assorted_code, rec_amount,premium_rcv_detail_code,remaining_amt, payrec, mode_code,coinsurance_code,class_cd,it_remarks) values('29Apr250042','050000822416','-7038',(select max(to_number(i.premium_rcv_detail_code))+1
from ins_premium_det i),'-7038','-7038','02', '11000003','00','Request by Mr. Omair Ali 30-Apr-2025');</v>
      </c>
    </row>
    <row r="1276" spans="1:8" ht="105" x14ac:dyDescent="0.25">
      <c r="A1276" t="s">
        <v>155</v>
      </c>
      <c r="B1276" s="1" t="str">
        <f>VLOOKUP(A1276,Sheet5!B:C,2,0)</f>
        <v>050000822417</v>
      </c>
      <c r="C1276" s="13">
        <v>-10494</v>
      </c>
      <c r="D1276" s="22">
        <f t="shared" si="77"/>
        <v>-10494</v>
      </c>
      <c r="E1276" s="21" t="s">
        <v>5912</v>
      </c>
      <c r="F1276" s="23" t="str">
        <f t="shared" si="76"/>
        <v>insert into ins_premium_det (premium_rcv_code,assorted_code, rec_amount,premium_rcv_detail_code,remaining_amt, payrec, mode_code,coinsurance_code,class_cd,it_remarks) values</v>
      </c>
      <c r="G1276" s="24" t="str">
        <f t="shared" si="78"/>
        <v>('29Apr250042','050000822417','-10494',(select max(to_number(i.premium_rcv_detail_code))+1
from ins_premium_det i),'-10494','-10494','02', '11000003','00','Request by Mr. Omair Ali 30-Apr-2025');</v>
      </c>
      <c r="H1276" s="25" t="str">
        <f t="shared" si="79"/>
        <v>insert into ins_premium_det (premium_rcv_code,assorted_code, rec_amount,premium_rcv_detail_code,remaining_amt, payrec, mode_code,coinsurance_code,class_cd,it_remarks) values('29Apr250042','050000822417','-10494',(select max(to_number(i.premium_rcv_detail_code))+1
from ins_premium_det i),'-10494','-10494','02', '11000003','00','Request by Mr. Omair Ali 30-Apr-2025');</v>
      </c>
    </row>
    <row r="1277" spans="1:8" ht="105" x14ac:dyDescent="0.25">
      <c r="A1277" t="s">
        <v>166</v>
      </c>
      <c r="B1277" s="1" t="str">
        <f>VLOOKUP(A1277,Sheet5!B:C,2,0)</f>
        <v>050000822418</v>
      </c>
      <c r="C1277" s="13">
        <v>-4007</v>
      </c>
      <c r="D1277" s="22">
        <f t="shared" si="77"/>
        <v>-4007</v>
      </c>
      <c r="E1277" s="21" t="s">
        <v>5912</v>
      </c>
      <c r="F1277" s="23" t="str">
        <f t="shared" si="76"/>
        <v>insert into ins_premium_det (premium_rcv_code,assorted_code, rec_amount,premium_rcv_detail_code,remaining_amt, payrec, mode_code,coinsurance_code,class_cd,it_remarks) values</v>
      </c>
      <c r="G1277" s="24" t="str">
        <f t="shared" si="78"/>
        <v>('29Apr250042','050000822418','-4007',(select max(to_number(i.premium_rcv_detail_code))+1
from ins_premium_det i),'-4007','-4007','02', '11000003','00','Request by Mr. Omair Ali 30-Apr-2025');</v>
      </c>
      <c r="H1277" s="25" t="str">
        <f t="shared" si="79"/>
        <v>insert into ins_premium_det (premium_rcv_code,assorted_code, rec_amount,premium_rcv_detail_code,remaining_amt, payrec, mode_code,coinsurance_code,class_cd,it_remarks) values('29Apr250042','050000822418','-4007',(select max(to_number(i.premium_rcv_detail_code))+1
from ins_premium_det i),'-4007','-4007','02', '11000003','00','Request by Mr. Omair Ali 30-Apr-2025');</v>
      </c>
    </row>
    <row r="1278" spans="1:8" ht="105" x14ac:dyDescent="0.25">
      <c r="A1278" t="s">
        <v>181</v>
      </c>
      <c r="B1278" s="1" t="str">
        <f>VLOOKUP(A1278,Sheet5!B:C,2,0)</f>
        <v>050000822422</v>
      </c>
      <c r="C1278" s="13">
        <v>-5938</v>
      </c>
      <c r="D1278" s="22">
        <f t="shared" si="77"/>
        <v>-5938</v>
      </c>
      <c r="E1278" s="21" t="s">
        <v>5912</v>
      </c>
      <c r="F1278" s="23" t="str">
        <f t="shared" si="76"/>
        <v>insert into ins_premium_det (premium_rcv_code,assorted_code, rec_amount,premium_rcv_detail_code,remaining_amt, payrec, mode_code,coinsurance_code,class_cd,it_remarks) values</v>
      </c>
      <c r="G1278" s="24" t="str">
        <f t="shared" si="78"/>
        <v>('29Apr250042','050000822422','-5938',(select max(to_number(i.premium_rcv_detail_code))+1
from ins_premium_det i),'-5938','-5938','02', '11000003','00','Request by Mr. Omair Ali 30-Apr-2025');</v>
      </c>
      <c r="H1278" s="25" t="str">
        <f t="shared" si="79"/>
        <v>insert into ins_premium_det (premium_rcv_code,assorted_code, rec_amount,premium_rcv_detail_code,remaining_amt, payrec, mode_code,coinsurance_code,class_cd,it_remarks) values('29Apr250042','050000822422','-5938',(select max(to_number(i.premium_rcv_detail_code))+1
from ins_premium_det i),'-5938','-5938','02', '11000003','00','Request by Mr. Omair Ali 30-Apr-2025');</v>
      </c>
    </row>
    <row r="1279" spans="1:8" ht="105" x14ac:dyDescent="0.25">
      <c r="A1279" t="s">
        <v>189</v>
      </c>
      <c r="B1279" s="1" t="str">
        <f>VLOOKUP(A1279,Sheet5!B:C,2,0)</f>
        <v>050000822424</v>
      </c>
      <c r="C1279" s="13">
        <v>-2092</v>
      </c>
      <c r="D1279" s="22">
        <f t="shared" si="77"/>
        <v>-2092</v>
      </c>
      <c r="E1279" s="21" t="s">
        <v>5912</v>
      </c>
      <c r="F1279" s="23" t="str">
        <f t="shared" si="76"/>
        <v>insert into ins_premium_det (premium_rcv_code,assorted_code, rec_amount,premium_rcv_detail_code,remaining_amt, payrec, mode_code,coinsurance_code,class_cd,it_remarks) values</v>
      </c>
      <c r="G1279" s="24" t="str">
        <f t="shared" si="78"/>
        <v>('29Apr250042','050000822424','-2092',(select max(to_number(i.premium_rcv_detail_code))+1
from ins_premium_det i),'-2092','-2092','02', '11000003','00','Request by Mr. Omair Ali 30-Apr-2025');</v>
      </c>
      <c r="H1279" s="25" t="str">
        <f t="shared" si="79"/>
        <v>insert into ins_premium_det (premium_rcv_code,assorted_code, rec_amount,premium_rcv_detail_code,remaining_amt, payrec, mode_code,coinsurance_code,class_cd,it_remarks) values('29Apr250042','050000822424','-2092',(select max(to_number(i.premium_rcv_detail_code))+1
from ins_premium_det i),'-2092','-2092','02', '11000003','00','Request by Mr. Omair Ali 30-Apr-2025');</v>
      </c>
    </row>
    <row r="1280" spans="1:8" ht="105" x14ac:dyDescent="0.25">
      <c r="A1280" t="s">
        <v>216</v>
      </c>
      <c r="B1280" s="1" t="str">
        <f>VLOOKUP(A1280,Sheet5!B:C,2,0)</f>
        <v>050000822425</v>
      </c>
      <c r="C1280" s="13">
        <v>-655</v>
      </c>
      <c r="D1280" s="22">
        <f t="shared" si="77"/>
        <v>-655</v>
      </c>
      <c r="E1280" s="21" t="s">
        <v>5912</v>
      </c>
      <c r="F1280" s="23" t="str">
        <f t="shared" si="76"/>
        <v>insert into ins_premium_det (premium_rcv_code,assorted_code, rec_amount,premium_rcv_detail_code,remaining_amt, payrec, mode_code,coinsurance_code,class_cd,it_remarks) values</v>
      </c>
      <c r="G1280" s="24" t="str">
        <f t="shared" si="78"/>
        <v>('29Apr250042','050000822425','-655',(select max(to_number(i.premium_rcv_detail_code))+1
from ins_premium_det i),'-655','-655','02', '11000003','00','Request by Mr. Omair Ali 30-Apr-2025');</v>
      </c>
      <c r="H1280" s="25" t="str">
        <f t="shared" si="79"/>
        <v>insert into ins_premium_det (premium_rcv_code,assorted_code, rec_amount,premium_rcv_detail_code,remaining_amt, payrec, mode_code,coinsurance_code,class_cd,it_remarks) values('29Apr250042','050000822425','-655',(select max(to_number(i.premium_rcv_detail_code))+1
from ins_premium_det i),'-655','-655','02', '11000003','00','Request by Mr. Omair Ali 30-Apr-2025');</v>
      </c>
    </row>
    <row r="1281" spans="1:8" ht="105" x14ac:dyDescent="0.25">
      <c r="A1281" t="s">
        <v>221</v>
      </c>
      <c r="B1281" s="1" t="str">
        <f>VLOOKUP(A1281,Sheet5!B:C,2,0)</f>
        <v>050000822426</v>
      </c>
      <c r="C1281" s="13">
        <v>-12313</v>
      </c>
      <c r="D1281" s="22">
        <f t="shared" si="77"/>
        <v>-12313</v>
      </c>
      <c r="E1281" s="21" t="s">
        <v>5912</v>
      </c>
      <c r="F1281" s="23" t="str">
        <f t="shared" si="76"/>
        <v>insert into ins_premium_det (premium_rcv_code,assorted_code, rec_amount,premium_rcv_detail_code,remaining_amt, payrec, mode_code,coinsurance_code,class_cd,it_remarks) values</v>
      </c>
      <c r="G1281" s="24" t="str">
        <f t="shared" si="78"/>
        <v>('29Apr250042','050000822426','-12313',(select max(to_number(i.premium_rcv_detail_code))+1
from ins_premium_det i),'-12313','-12313','02', '11000003','00','Request by Mr. Omair Ali 30-Apr-2025');</v>
      </c>
      <c r="H1281" s="25" t="str">
        <f t="shared" si="79"/>
        <v>insert into ins_premium_det (premium_rcv_code,assorted_code, rec_amount,premium_rcv_detail_code,remaining_amt, payrec, mode_code,coinsurance_code,class_cd,it_remarks) values('29Apr250042','050000822426','-12313',(select max(to_number(i.premium_rcv_detail_code))+1
from ins_premium_det i),'-12313','-12313','02', '11000003','00','Request by Mr. Omair Ali 30-Apr-2025');</v>
      </c>
    </row>
    <row r="1282" spans="1:8" ht="105" x14ac:dyDescent="0.25">
      <c r="A1282" t="s">
        <v>228</v>
      </c>
      <c r="B1282" s="1" t="str">
        <f>VLOOKUP(A1282,Sheet5!B:C,2,0)</f>
        <v>050000822428</v>
      </c>
      <c r="C1282" s="13">
        <v>-1546</v>
      </c>
      <c r="D1282" s="22">
        <f t="shared" si="77"/>
        <v>-1546</v>
      </c>
      <c r="E1282" s="21" t="s">
        <v>5912</v>
      </c>
      <c r="F1282" s="23" t="str">
        <f t="shared" ref="F1282:F1345" si="8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282" s="24" t="str">
        <f t="shared" si="78"/>
        <v>('29Apr250042','050000822428','-1546',(select max(to_number(i.premium_rcv_detail_code))+1
from ins_premium_det i),'-1546','-1546','02', '11000003','00','Request by Mr. Omair Ali 30-Apr-2025');</v>
      </c>
      <c r="H1282" s="25" t="str">
        <f t="shared" si="79"/>
        <v>insert into ins_premium_det (premium_rcv_code,assorted_code, rec_amount,premium_rcv_detail_code,remaining_amt, payrec, mode_code,coinsurance_code,class_cd,it_remarks) values('29Apr250042','050000822428','-1546',(select max(to_number(i.premium_rcv_detail_code))+1
from ins_premium_det i),'-1546','-1546','02', '11000003','00','Request by Mr. Omair Ali 30-Apr-2025');</v>
      </c>
    </row>
    <row r="1283" spans="1:8" ht="105" x14ac:dyDescent="0.25">
      <c r="A1283" t="s">
        <v>241</v>
      </c>
      <c r="B1283" s="1" t="str">
        <f>VLOOKUP(A1283,Sheet5!B:C,2,0)</f>
        <v>050000822429</v>
      </c>
      <c r="C1283" s="13">
        <v>-1379</v>
      </c>
      <c r="D1283" s="22">
        <f t="shared" ref="D1283:D1346" si="81">ROUND(C1283,0)</f>
        <v>-1379</v>
      </c>
      <c r="E1283" s="21" t="s">
        <v>5912</v>
      </c>
      <c r="F1283" s="23" t="str">
        <f t="shared" si="80"/>
        <v>insert into ins_premium_det (premium_rcv_code,assorted_code, rec_amount,premium_rcv_detail_code,remaining_amt, payrec, mode_code,coinsurance_code,class_cd,it_remarks) values</v>
      </c>
      <c r="G1283" s="24" t="str">
        <f t="shared" ref="G1283:G1346" si="82">"('"&amp;E1283&amp;"','"&amp;B1283&amp;"','"&amp;D1283&amp;"',(select max(to_number(i.premium_rcv_detail_code))+1
from ins_premium_det i),'"&amp;D1283&amp;"','"&amp;D1283&amp;"','02', '11000003','00','Request by Mr. Omair Ali 30-Apr-2025');"</f>
        <v>('29Apr250042','050000822429','-1379',(select max(to_number(i.premium_rcv_detail_code))+1
from ins_premium_det i),'-1379','-1379','02', '11000003','00','Request by Mr. Omair Ali 30-Apr-2025');</v>
      </c>
      <c r="H1283" s="25" t="str">
        <f t="shared" ref="H1283:H1346" si="83">F1283&amp;G1283</f>
        <v>insert into ins_premium_det (premium_rcv_code,assorted_code, rec_amount,premium_rcv_detail_code,remaining_amt, payrec, mode_code,coinsurance_code,class_cd,it_remarks) values('29Apr250042','050000822429','-1379',(select max(to_number(i.premium_rcv_detail_code))+1
from ins_premium_det i),'-1379','-1379','02', '11000003','00','Request by Mr. Omair Ali 30-Apr-2025');</v>
      </c>
    </row>
    <row r="1284" spans="1:8" ht="105" x14ac:dyDescent="0.25">
      <c r="A1284" t="s">
        <v>278</v>
      </c>
      <c r="B1284" s="1" t="str">
        <f>VLOOKUP(A1284,Sheet5!B:C,2,0)</f>
        <v>050000822431</v>
      </c>
      <c r="C1284" s="13">
        <v>-4194</v>
      </c>
      <c r="D1284" s="22">
        <f t="shared" si="81"/>
        <v>-4194</v>
      </c>
      <c r="E1284" s="21" t="s">
        <v>5912</v>
      </c>
      <c r="F1284" s="23" t="str">
        <f t="shared" si="80"/>
        <v>insert into ins_premium_det (premium_rcv_code,assorted_code, rec_amount,premium_rcv_detail_code,remaining_amt, payrec, mode_code,coinsurance_code,class_cd,it_remarks) values</v>
      </c>
      <c r="G1284" s="24" t="str">
        <f t="shared" si="82"/>
        <v>('29Apr250042','050000822431','-4194',(select max(to_number(i.premium_rcv_detail_code))+1
from ins_premium_det i),'-4194','-4194','02', '11000003','00','Request by Mr. Omair Ali 30-Apr-2025');</v>
      </c>
      <c r="H1284" s="25" t="str">
        <f t="shared" si="83"/>
        <v>insert into ins_premium_det (premium_rcv_code,assorted_code, rec_amount,premium_rcv_detail_code,remaining_amt, payrec, mode_code,coinsurance_code,class_cd,it_remarks) values('29Apr250042','050000822431','-4194',(select max(to_number(i.premium_rcv_detail_code))+1
from ins_premium_det i),'-4194','-4194','02', '11000003','00','Request by Mr. Omair Ali 30-Apr-2025');</v>
      </c>
    </row>
    <row r="1285" spans="1:8" ht="105" x14ac:dyDescent="0.25">
      <c r="A1285" t="s">
        <v>289</v>
      </c>
      <c r="B1285" s="1" t="str">
        <f>VLOOKUP(A1285,Sheet5!B:C,2,0)</f>
        <v>050000822432</v>
      </c>
      <c r="C1285" s="13">
        <v>-88130</v>
      </c>
      <c r="D1285" s="22">
        <f t="shared" si="81"/>
        <v>-88130</v>
      </c>
      <c r="E1285" s="21" t="s">
        <v>5912</v>
      </c>
      <c r="F1285" s="23" t="str">
        <f t="shared" si="80"/>
        <v>insert into ins_premium_det (premium_rcv_code,assorted_code, rec_amount,premium_rcv_detail_code,remaining_amt, payrec, mode_code,coinsurance_code,class_cd,it_remarks) values</v>
      </c>
      <c r="G1285" s="24" t="str">
        <f t="shared" si="82"/>
        <v>('29Apr250042','050000822432','-88130',(select max(to_number(i.premium_rcv_detail_code))+1
from ins_premium_det i),'-88130','-88130','02', '11000003','00','Request by Mr. Omair Ali 30-Apr-2025');</v>
      </c>
      <c r="H1285" s="25" t="str">
        <f t="shared" si="83"/>
        <v>insert into ins_premium_det (premium_rcv_code,assorted_code, rec_amount,premium_rcv_detail_code,remaining_amt, payrec, mode_code,coinsurance_code,class_cd,it_remarks) values('29Apr250042','050000822432','-88130',(select max(to_number(i.premium_rcv_detail_code))+1
from ins_premium_det i),'-88130','-88130','02', '11000003','00','Request by Mr. Omair Ali 30-Apr-2025');</v>
      </c>
    </row>
    <row r="1286" spans="1:8" ht="105" x14ac:dyDescent="0.25">
      <c r="A1286" t="s">
        <v>304</v>
      </c>
      <c r="B1286" s="1" t="str">
        <f>VLOOKUP(A1286,Sheet5!B:C,2,0)</f>
        <v>050000822434</v>
      </c>
      <c r="C1286" s="13">
        <v>-2889</v>
      </c>
      <c r="D1286" s="22">
        <f t="shared" si="81"/>
        <v>-2889</v>
      </c>
      <c r="E1286" s="21" t="s">
        <v>5912</v>
      </c>
      <c r="F1286" s="23" t="str">
        <f t="shared" si="80"/>
        <v>insert into ins_premium_det (premium_rcv_code,assorted_code, rec_amount,premium_rcv_detail_code,remaining_amt, payrec, mode_code,coinsurance_code,class_cd,it_remarks) values</v>
      </c>
      <c r="G1286" s="24" t="str">
        <f t="shared" si="82"/>
        <v>('29Apr250042','050000822434','-2889',(select max(to_number(i.premium_rcv_detail_code))+1
from ins_premium_det i),'-2889','-2889','02', '11000003','00','Request by Mr. Omair Ali 30-Apr-2025');</v>
      </c>
      <c r="H1286" s="25" t="str">
        <f t="shared" si="83"/>
        <v>insert into ins_premium_det (premium_rcv_code,assorted_code, rec_amount,premium_rcv_detail_code,remaining_amt, payrec, mode_code,coinsurance_code,class_cd,it_remarks) values('29Apr250042','050000822434','-2889',(select max(to_number(i.premium_rcv_detail_code))+1
from ins_premium_det i),'-2889','-2889','02', '11000003','00','Request by Mr. Omair Ali 30-Apr-2025');</v>
      </c>
    </row>
    <row r="1287" spans="1:8" ht="105" x14ac:dyDescent="0.25">
      <c r="A1287" t="s">
        <v>307</v>
      </c>
      <c r="B1287" s="1" t="str">
        <f>VLOOKUP(A1287,Sheet5!B:C,2,0)</f>
        <v>050000822435</v>
      </c>
      <c r="C1287" s="13">
        <v>-1841</v>
      </c>
      <c r="D1287" s="22">
        <f t="shared" si="81"/>
        <v>-1841</v>
      </c>
      <c r="E1287" s="21" t="s">
        <v>5912</v>
      </c>
      <c r="F1287" s="23" t="str">
        <f t="shared" si="80"/>
        <v>insert into ins_premium_det (premium_rcv_code,assorted_code, rec_amount,premium_rcv_detail_code,remaining_amt, payrec, mode_code,coinsurance_code,class_cd,it_remarks) values</v>
      </c>
      <c r="G1287" s="24" t="str">
        <f t="shared" si="82"/>
        <v>('29Apr250042','050000822435','-1841',(select max(to_number(i.premium_rcv_detail_code))+1
from ins_premium_det i),'-1841','-1841','02', '11000003','00','Request by Mr. Omair Ali 30-Apr-2025');</v>
      </c>
      <c r="H1287" s="25" t="str">
        <f t="shared" si="83"/>
        <v>insert into ins_premium_det (premium_rcv_code,assorted_code, rec_amount,premium_rcv_detail_code,remaining_amt, payrec, mode_code,coinsurance_code,class_cd,it_remarks) values('29Apr250042','050000822435','-1841',(select max(to_number(i.premium_rcv_detail_code))+1
from ins_premium_det i),'-1841','-1841','02', '11000003','00','Request by Mr. Omair Ali 30-Apr-2025');</v>
      </c>
    </row>
    <row r="1288" spans="1:8" ht="105" x14ac:dyDescent="0.25">
      <c r="A1288" t="s">
        <v>313</v>
      </c>
      <c r="B1288" s="1" t="str">
        <f>VLOOKUP(A1288,Sheet5!B:C,2,0)</f>
        <v>050000822436</v>
      </c>
      <c r="C1288" s="13">
        <v>-2237</v>
      </c>
      <c r="D1288" s="22">
        <f t="shared" si="81"/>
        <v>-2237</v>
      </c>
      <c r="E1288" s="21" t="s">
        <v>5912</v>
      </c>
      <c r="F1288" s="23" t="str">
        <f t="shared" si="80"/>
        <v>insert into ins_premium_det (premium_rcv_code,assorted_code, rec_amount,premium_rcv_detail_code,remaining_amt, payrec, mode_code,coinsurance_code,class_cd,it_remarks) values</v>
      </c>
      <c r="G1288" s="24" t="str">
        <f t="shared" si="82"/>
        <v>('29Apr250042','050000822436','-2237',(select max(to_number(i.premium_rcv_detail_code))+1
from ins_premium_det i),'-2237','-2237','02', '11000003','00','Request by Mr. Omair Ali 30-Apr-2025');</v>
      </c>
      <c r="H1288" s="25" t="str">
        <f t="shared" si="83"/>
        <v>insert into ins_premium_det (premium_rcv_code,assorted_code, rec_amount,premium_rcv_detail_code,remaining_amt, payrec, mode_code,coinsurance_code,class_cd,it_remarks) values('29Apr250042','050000822436','-2237',(select max(to_number(i.premium_rcv_detail_code))+1
from ins_premium_det i),'-2237','-2237','02', '11000003','00','Request by Mr. Omair Ali 30-Apr-2025');</v>
      </c>
    </row>
    <row r="1289" spans="1:8" ht="105" x14ac:dyDescent="0.25">
      <c r="A1289" t="s">
        <v>327</v>
      </c>
      <c r="B1289" s="1" t="str">
        <f>VLOOKUP(A1289,Sheet5!B:C,2,0)</f>
        <v>050000822437</v>
      </c>
      <c r="C1289" s="13">
        <v>-43529</v>
      </c>
      <c r="D1289" s="22">
        <f t="shared" si="81"/>
        <v>-43529</v>
      </c>
      <c r="E1289" s="21" t="s">
        <v>5912</v>
      </c>
      <c r="F1289" s="23" t="str">
        <f t="shared" si="80"/>
        <v>insert into ins_premium_det (premium_rcv_code,assorted_code, rec_amount,premium_rcv_detail_code,remaining_amt, payrec, mode_code,coinsurance_code,class_cd,it_remarks) values</v>
      </c>
      <c r="G1289" s="24" t="str">
        <f t="shared" si="82"/>
        <v>('29Apr250042','050000822437','-43529',(select max(to_number(i.premium_rcv_detail_code))+1
from ins_premium_det i),'-43529','-43529','02', '11000003','00','Request by Mr. Omair Ali 30-Apr-2025');</v>
      </c>
      <c r="H1289" s="25" t="str">
        <f t="shared" si="83"/>
        <v>insert into ins_premium_det (premium_rcv_code,assorted_code, rec_amount,premium_rcv_detail_code,remaining_amt, payrec, mode_code,coinsurance_code,class_cd,it_remarks) values('29Apr250042','050000822437','-43529',(select max(to_number(i.premium_rcv_detail_code))+1
from ins_premium_det i),'-43529','-43529','02', '11000003','00','Request by Mr. Omair Ali 30-Apr-2025');</v>
      </c>
    </row>
    <row r="1290" spans="1:8" ht="105" x14ac:dyDescent="0.25">
      <c r="A1290" t="s">
        <v>340</v>
      </c>
      <c r="B1290" s="1" t="str">
        <f>VLOOKUP(A1290,Sheet5!B:C,2,0)</f>
        <v>050000822439</v>
      </c>
      <c r="C1290" s="13">
        <v>-4524</v>
      </c>
      <c r="D1290" s="22">
        <f t="shared" si="81"/>
        <v>-4524</v>
      </c>
      <c r="E1290" s="21" t="s">
        <v>5912</v>
      </c>
      <c r="F1290" s="23" t="str">
        <f t="shared" si="80"/>
        <v>insert into ins_premium_det (premium_rcv_code,assorted_code, rec_amount,premium_rcv_detail_code,remaining_amt, payrec, mode_code,coinsurance_code,class_cd,it_remarks) values</v>
      </c>
      <c r="G1290" s="24" t="str">
        <f t="shared" si="82"/>
        <v>('29Apr250042','050000822439','-4524',(select max(to_number(i.premium_rcv_detail_code))+1
from ins_premium_det i),'-4524','-4524','02', '11000003','00','Request by Mr. Omair Ali 30-Apr-2025');</v>
      </c>
      <c r="H1290" s="25" t="str">
        <f t="shared" si="83"/>
        <v>insert into ins_premium_det (premium_rcv_code,assorted_code, rec_amount,premium_rcv_detail_code,remaining_amt, payrec, mode_code,coinsurance_code,class_cd,it_remarks) values('29Apr250042','050000822439','-4524',(select max(to_number(i.premium_rcv_detail_code))+1
from ins_premium_det i),'-4524','-4524','02', '11000003','00','Request by Mr. Omair Ali 30-Apr-2025');</v>
      </c>
    </row>
    <row r="1291" spans="1:8" ht="105" x14ac:dyDescent="0.25">
      <c r="A1291" t="s">
        <v>359</v>
      </c>
      <c r="B1291" s="1" t="str">
        <f>VLOOKUP(A1291,Sheet5!B:C,2,0)</f>
        <v>050000822440</v>
      </c>
      <c r="C1291" s="13">
        <v>-9650</v>
      </c>
      <c r="D1291" s="22">
        <f t="shared" si="81"/>
        <v>-9650</v>
      </c>
      <c r="E1291" s="21" t="s">
        <v>5912</v>
      </c>
      <c r="F1291" s="23" t="str">
        <f t="shared" si="80"/>
        <v>insert into ins_premium_det (premium_rcv_code,assorted_code, rec_amount,premium_rcv_detail_code,remaining_amt, payrec, mode_code,coinsurance_code,class_cd,it_remarks) values</v>
      </c>
      <c r="G1291" s="24" t="str">
        <f t="shared" si="82"/>
        <v>('29Apr250042','050000822440','-9650',(select max(to_number(i.premium_rcv_detail_code))+1
from ins_premium_det i),'-9650','-9650','02', '11000003','00','Request by Mr. Omair Ali 30-Apr-2025');</v>
      </c>
      <c r="H1291" s="25" t="str">
        <f t="shared" si="83"/>
        <v>insert into ins_premium_det (premium_rcv_code,assorted_code, rec_amount,premium_rcv_detail_code,remaining_amt, payrec, mode_code,coinsurance_code,class_cd,it_remarks) values('29Apr250042','050000822440','-9650',(select max(to_number(i.premium_rcv_detail_code))+1
from ins_premium_det i),'-9650','-9650','02', '11000003','00','Request by Mr. Omair Ali 30-Apr-2025');</v>
      </c>
    </row>
    <row r="1292" spans="1:8" ht="105" x14ac:dyDescent="0.25">
      <c r="A1292" t="s">
        <v>379</v>
      </c>
      <c r="B1292" s="1" t="str">
        <f>VLOOKUP(A1292,Sheet5!B:C,2,0)</f>
        <v>050000822441</v>
      </c>
      <c r="C1292" s="13">
        <v>-19036</v>
      </c>
      <c r="D1292" s="22">
        <f t="shared" si="81"/>
        <v>-19036</v>
      </c>
      <c r="E1292" s="21" t="s">
        <v>5912</v>
      </c>
      <c r="F1292" s="23" t="str">
        <f t="shared" si="80"/>
        <v>insert into ins_premium_det (premium_rcv_code,assorted_code, rec_amount,premium_rcv_detail_code,remaining_amt, payrec, mode_code,coinsurance_code,class_cd,it_remarks) values</v>
      </c>
      <c r="G1292" s="24" t="str">
        <f t="shared" si="82"/>
        <v>('29Apr250042','050000822441','-19036',(select max(to_number(i.premium_rcv_detail_code))+1
from ins_premium_det i),'-19036','-19036','02', '11000003','00','Request by Mr. Omair Ali 30-Apr-2025');</v>
      </c>
      <c r="H1292" s="25" t="str">
        <f t="shared" si="83"/>
        <v>insert into ins_premium_det (premium_rcv_code,assorted_code, rec_amount,premium_rcv_detail_code,remaining_amt, payrec, mode_code,coinsurance_code,class_cd,it_remarks) values('29Apr250042','050000822441','-19036',(select max(to_number(i.premium_rcv_detail_code))+1
from ins_premium_det i),'-19036','-19036','02', '11000003','00','Request by Mr. Omair Ali 30-Apr-2025');</v>
      </c>
    </row>
    <row r="1293" spans="1:8" ht="105" x14ac:dyDescent="0.25">
      <c r="A1293" t="s">
        <v>382</v>
      </c>
      <c r="B1293" s="1" t="str">
        <f>VLOOKUP(A1293,Sheet5!B:C,2,0)</f>
        <v>050000822442</v>
      </c>
      <c r="C1293" s="13">
        <v>-1323</v>
      </c>
      <c r="D1293" s="22">
        <f t="shared" si="81"/>
        <v>-1323</v>
      </c>
      <c r="E1293" s="21" t="s">
        <v>5912</v>
      </c>
      <c r="F1293" s="23" t="str">
        <f t="shared" si="80"/>
        <v>insert into ins_premium_det (premium_rcv_code,assorted_code, rec_amount,premium_rcv_detail_code,remaining_amt, payrec, mode_code,coinsurance_code,class_cd,it_remarks) values</v>
      </c>
      <c r="G1293" s="24" t="str">
        <f t="shared" si="82"/>
        <v>('29Apr250042','050000822442','-1323',(select max(to_number(i.premium_rcv_detail_code))+1
from ins_premium_det i),'-1323','-1323','02', '11000003','00','Request by Mr. Omair Ali 30-Apr-2025');</v>
      </c>
      <c r="H1293" s="25" t="str">
        <f t="shared" si="83"/>
        <v>insert into ins_premium_det (premium_rcv_code,assorted_code, rec_amount,premium_rcv_detail_code,remaining_amt, payrec, mode_code,coinsurance_code,class_cd,it_remarks) values('29Apr250042','050000822442','-1323',(select max(to_number(i.premium_rcv_detail_code))+1
from ins_premium_det i),'-1323','-1323','02', '11000003','00','Request by Mr. Omair Ali 30-Apr-2025');</v>
      </c>
    </row>
    <row r="1294" spans="1:8" ht="105" x14ac:dyDescent="0.25">
      <c r="A1294" t="s">
        <v>398</v>
      </c>
      <c r="B1294" s="1" t="str">
        <f>VLOOKUP(A1294,Sheet5!B:C,2,0)</f>
        <v>050000822443</v>
      </c>
      <c r="C1294" s="13">
        <v>-22484</v>
      </c>
      <c r="D1294" s="22">
        <f t="shared" si="81"/>
        <v>-22484</v>
      </c>
      <c r="E1294" s="21" t="s">
        <v>5912</v>
      </c>
      <c r="F1294" s="23" t="str">
        <f t="shared" si="80"/>
        <v>insert into ins_premium_det (premium_rcv_code,assorted_code, rec_amount,premium_rcv_detail_code,remaining_amt, payrec, mode_code,coinsurance_code,class_cd,it_remarks) values</v>
      </c>
      <c r="G1294" s="24" t="str">
        <f t="shared" si="82"/>
        <v>('29Apr250042','050000822443','-22484',(select max(to_number(i.premium_rcv_detail_code))+1
from ins_premium_det i),'-22484','-22484','02', '11000003','00','Request by Mr. Omair Ali 30-Apr-2025');</v>
      </c>
      <c r="H1294" s="25" t="str">
        <f t="shared" si="83"/>
        <v>insert into ins_premium_det (premium_rcv_code,assorted_code, rec_amount,premium_rcv_detail_code,remaining_amt, payrec, mode_code,coinsurance_code,class_cd,it_remarks) values('29Apr250042','050000822443','-22484',(select max(to_number(i.premium_rcv_detail_code))+1
from ins_premium_det i),'-22484','-22484','02', '11000003','00','Request by Mr. Omair Ali 30-Apr-2025');</v>
      </c>
    </row>
    <row r="1295" spans="1:8" ht="105" x14ac:dyDescent="0.25">
      <c r="A1295" t="s">
        <v>406</v>
      </c>
      <c r="B1295" s="1" t="str">
        <f>VLOOKUP(A1295,Sheet5!B:C,2,0)</f>
        <v>050000822445</v>
      </c>
      <c r="C1295" s="13">
        <v>-6645</v>
      </c>
      <c r="D1295" s="22">
        <f t="shared" si="81"/>
        <v>-6645</v>
      </c>
      <c r="E1295" s="21" t="s">
        <v>5912</v>
      </c>
      <c r="F1295" s="23" t="str">
        <f t="shared" si="80"/>
        <v>insert into ins_premium_det (premium_rcv_code,assorted_code, rec_amount,premium_rcv_detail_code,remaining_amt, payrec, mode_code,coinsurance_code,class_cd,it_remarks) values</v>
      </c>
      <c r="G1295" s="24" t="str">
        <f t="shared" si="82"/>
        <v>('29Apr250042','050000822445','-6645',(select max(to_number(i.premium_rcv_detail_code))+1
from ins_premium_det i),'-6645','-6645','02', '11000003','00','Request by Mr. Omair Ali 30-Apr-2025');</v>
      </c>
      <c r="H1295" s="25" t="str">
        <f t="shared" si="83"/>
        <v>insert into ins_premium_det (premium_rcv_code,assorted_code, rec_amount,premium_rcv_detail_code,remaining_amt, payrec, mode_code,coinsurance_code,class_cd,it_remarks) values('29Apr250042','050000822445','-6645',(select max(to_number(i.premium_rcv_detail_code))+1
from ins_premium_det i),'-6645','-6645','02', '11000003','00','Request by Mr. Omair Ali 30-Apr-2025');</v>
      </c>
    </row>
    <row r="1296" spans="1:8" ht="105" x14ac:dyDescent="0.25">
      <c r="A1296" t="s">
        <v>411</v>
      </c>
      <c r="B1296" s="1" t="str">
        <f>VLOOKUP(A1296,Sheet5!B:C,2,0)</f>
        <v>050000822446</v>
      </c>
      <c r="C1296" s="13">
        <v>-23826</v>
      </c>
      <c r="D1296" s="22">
        <f t="shared" si="81"/>
        <v>-23826</v>
      </c>
      <c r="E1296" s="21" t="s">
        <v>5912</v>
      </c>
      <c r="F1296" s="23" t="str">
        <f t="shared" si="80"/>
        <v>insert into ins_premium_det (premium_rcv_code,assorted_code, rec_amount,premium_rcv_detail_code,remaining_amt, payrec, mode_code,coinsurance_code,class_cd,it_remarks) values</v>
      </c>
      <c r="G1296" s="24" t="str">
        <f t="shared" si="82"/>
        <v>('29Apr250042','050000822446','-23826',(select max(to_number(i.premium_rcv_detail_code))+1
from ins_premium_det i),'-23826','-23826','02', '11000003','00','Request by Mr. Omair Ali 30-Apr-2025');</v>
      </c>
      <c r="H1296" s="25" t="str">
        <f t="shared" si="83"/>
        <v>insert into ins_premium_det (premium_rcv_code,assorted_code, rec_amount,premium_rcv_detail_code,remaining_amt, payrec, mode_code,coinsurance_code,class_cd,it_remarks) values('29Apr250042','050000822446','-23826',(select max(to_number(i.premium_rcv_detail_code))+1
from ins_premium_det i),'-23826','-23826','02', '11000003','00','Request by Mr. Omair Ali 30-Apr-2025');</v>
      </c>
    </row>
    <row r="1297" spans="1:8" ht="105" x14ac:dyDescent="0.25">
      <c r="A1297" t="s">
        <v>416</v>
      </c>
      <c r="B1297" s="1" t="str">
        <f>VLOOKUP(A1297,Sheet5!B:C,2,0)</f>
        <v>050000822447</v>
      </c>
      <c r="C1297" s="13">
        <v>-114999</v>
      </c>
      <c r="D1297" s="22">
        <f t="shared" si="81"/>
        <v>-114999</v>
      </c>
      <c r="E1297" s="21" t="s">
        <v>5912</v>
      </c>
      <c r="F1297" s="23" t="str">
        <f t="shared" si="80"/>
        <v>insert into ins_premium_det (premium_rcv_code,assorted_code, rec_amount,premium_rcv_detail_code,remaining_amt, payrec, mode_code,coinsurance_code,class_cd,it_remarks) values</v>
      </c>
      <c r="G1297" s="24" t="str">
        <f t="shared" si="82"/>
        <v>('29Apr250042','050000822447','-114999',(select max(to_number(i.premium_rcv_detail_code))+1
from ins_premium_det i),'-114999','-114999','02', '11000003','00','Request by Mr. Omair Ali 30-Apr-2025');</v>
      </c>
      <c r="H1297" s="25" t="str">
        <f t="shared" si="83"/>
        <v>insert into ins_premium_det (premium_rcv_code,assorted_code, rec_amount,premium_rcv_detail_code,remaining_amt, payrec, mode_code,coinsurance_code,class_cd,it_remarks) values('29Apr250042','050000822447','-114999',(select max(to_number(i.premium_rcv_detail_code))+1
from ins_premium_det i),'-114999','-114999','02', '11000003','00','Request by Mr. Omair Ali 30-Apr-2025');</v>
      </c>
    </row>
    <row r="1298" spans="1:8" ht="105" x14ac:dyDescent="0.25">
      <c r="A1298" t="s">
        <v>423</v>
      </c>
      <c r="B1298" s="1" t="str">
        <f>VLOOKUP(A1298,Sheet5!B:C,2,0)</f>
        <v>050000822448</v>
      </c>
      <c r="C1298" s="13">
        <v>-111371</v>
      </c>
      <c r="D1298" s="22">
        <f t="shared" si="81"/>
        <v>-111371</v>
      </c>
      <c r="E1298" s="21" t="s">
        <v>5912</v>
      </c>
      <c r="F1298" s="23" t="str">
        <f t="shared" si="80"/>
        <v>insert into ins_premium_det (premium_rcv_code,assorted_code, rec_amount,premium_rcv_detail_code,remaining_amt, payrec, mode_code,coinsurance_code,class_cd,it_remarks) values</v>
      </c>
      <c r="G1298" s="24" t="str">
        <f t="shared" si="82"/>
        <v>('29Apr250042','050000822448','-111371',(select max(to_number(i.premium_rcv_detail_code))+1
from ins_premium_det i),'-111371','-111371','02', '11000003','00','Request by Mr. Omair Ali 30-Apr-2025');</v>
      </c>
      <c r="H1298" s="25" t="str">
        <f t="shared" si="83"/>
        <v>insert into ins_premium_det (premium_rcv_code,assorted_code, rec_amount,premium_rcv_detail_code,remaining_amt, payrec, mode_code,coinsurance_code,class_cd,it_remarks) values('29Apr250042','050000822448','-111371',(select max(to_number(i.premium_rcv_detail_code))+1
from ins_premium_det i),'-111371','-111371','02', '11000003','00','Request by Mr. Omair Ali 30-Apr-2025');</v>
      </c>
    </row>
    <row r="1299" spans="1:8" ht="105" x14ac:dyDescent="0.25">
      <c r="A1299" t="s">
        <v>427</v>
      </c>
      <c r="B1299" s="1" t="str">
        <f>VLOOKUP(A1299,Sheet5!B:C,2,0)</f>
        <v>050000822449</v>
      </c>
      <c r="C1299" s="13">
        <v>-114084</v>
      </c>
      <c r="D1299" s="22">
        <f t="shared" si="81"/>
        <v>-114084</v>
      </c>
      <c r="E1299" s="21" t="s">
        <v>5912</v>
      </c>
      <c r="F1299" s="23" t="str">
        <f t="shared" si="80"/>
        <v>insert into ins_premium_det (premium_rcv_code,assorted_code, rec_amount,premium_rcv_detail_code,remaining_amt, payrec, mode_code,coinsurance_code,class_cd,it_remarks) values</v>
      </c>
      <c r="G1299" s="24" t="str">
        <f t="shared" si="82"/>
        <v>('29Apr250042','050000822449','-114084',(select max(to_number(i.premium_rcv_detail_code))+1
from ins_premium_det i),'-114084','-114084','02', '11000003','00','Request by Mr. Omair Ali 30-Apr-2025');</v>
      </c>
      <c r="H1299" s="25" t="str">
        <f t="shared" si="83"/>
        <v>insert into ins_premium_det (premium_rcv_code,assorted_code, rec_amount,premium_rcv_detail_code,remaining_amt, payrec, mode_code,coinsurance_code,class_cd,it_remarks) values('29Apr250042','050000822449','-114084',(select max(to_number(i.premium_rcv_detail_code))+1
from ins_premium_det i),'-114084','-114084','02', '11000003','00','Request by Mr. Omair Ali 30-Apr-2025');</v>
      </c>
    </row>
    <row r="1300" spans="1:8" ht="105" x14ac:dyDescent="0.25">
      <c r="A1300" t="s">
        <v>450</v>
      </c>
      <c r="B1300" s="1" t="str">
        <f>VLOOKUP(A1300,Sheet5!B:C,2,0)</f>
        <v>050000822450</v>
      </c>
      <c r="C1300" s="13">
        <v>-106616</v>
      </c>
      <c r="D1300" s="22">
        <f t="shared" si="81"/>
        <v>-106616</v>
      </c>
      <c r="E1300" s="21" t="s">
        <v>5912</v>
      </c>
      <c r="F1300" s="23" t="str">
        <f t="shared" si="80"/>
        <v>insert into ins_premium_det (premium_rcv_code,assorted_code, rec_amount,premium_rcv_detail_code,remaining_amt, payrec, mode_code,coinsurance_code,class_cd,it_remarks) values</v>
      </c>
      <c r="G1300" s="24" t="str">
        <f t="shared" si="82"/>
        <v>('29Apr250042','050000822450','-106616',(select max(to_number(i.premium_rcv_detail_code))+1
from ins_premium_det i),'-106616','-106616','02', '11000003','00','Request by Mr. Omair Ali 30-Apr-2025');</v>
      </c>
      <c r="H1300" s="25" t="str">
        <f t="shared" si="83"/>
        <v>insert into ins_premium_det (premium_rcv_code,assorted_code, rec_amount,premium_rcv_detail_code,remaining_amt, payrec, mode_code,coinsurance_code,class_cd,it_remarks) values('29Apr250042','050000822450','-106616',(select max(to_number(i.premium_rcv_detail_code))+1
from ins_premium_det i),'-106616','-106616','02', '11000003','00','Request by Mr. Omair Ali 30-Apr-2025');</v>
      </c>
    </row>
    <row r="1301" spans="1:8" ht="105" x14ac:dyDescent="0.25">
      <c r="A1301" t="s">
        <v>467</v>
      </c>
      <c r="B1301" s="1" t="str">
        <f>VLOOKUP(A1301,Sheet5!B:C,2,0)</f>
        <v>050000822451</v>
      </c>
      <c r="C1301" s="13">
        <v>-65000</v>
      </c>
      <c r="D1301" s="22">
        <f t="shared" si="81"/>
        <v>-65000</v>
      </c>
      <c r="E1301" s="21" t="s">
        <v>5912</v>
      </c>
      <c r="F1301" s="23" t="str">
        <f t="shared" si="80"/>
        <v>insert into ins_premium_det (premium_rcv_code,assorted_code, rec_amount,premium_rcv_detail_code,remaining_amt, payrec, mode_code,coinsurance_code,class_cd,it_remarks) values</v>
      </c>
      <c r="G1301" s="24" t="str">
        <f t="shared" si="82"/>
        <v>('29Apr250042','050000822451','-65000',(select max(to_number(i.premium_rcv_detail_code))+1
from ins_premium_det i),'-65000','-65000','02', '11000003','00','Request by Mr. Omair Ali 30-Apr-2025');</v>
      </c>
      <c r="H1301" s="25" t="str">
        <f t="shared" si="83"/>
        <v>insert into ins_premium_det (premium_rcv_code,assorted_code, rec_amount,premium_rcv_detail_code,remaining_amt, payrec, mode_code,coinsurance_code,class_cd,it_remarks) values('29Apr250042','050000822451','-65000',(select max(to_number(i.premium_rcv_detail_code))+1
from ins_premium_det i),'-65000','-65000','02', '11000003','00','Request by Mr. Omair Ali 30-Apr-2025');</v>
      </c>
    </row>
    <row r="1302" spans="1:8" ht="105" x14ac:dyDescent="0.25">
      <c r="A1302" t="s">
        <v>480</v>
      </c>
      <c r="B1302" s="1" t="str">
        <f>VLOOKUP(A1302,Sheet5!B:C,2,0)</f>
        <v>050000822452</v>
      </c>
      <c r="C1302" s="13">
        <v>-35034</v>
      </c>
      <c r="D1302" s="22">
        <f t="shared" si="81"/>
        <v>-35034</v>
      </c>
      <c r="E1302" s="21" t="s">
        <v>5912</v>
      </c>
      <c r="F1302" s="23" t="str">
        <f t="shared" si="80"/>
        <v>insert into ins_premium_det (premium_rcv_code,assorted_code, rec_amount,premium_rcv_detail_code,remaining_amt, payrec, mode_code,coinsurance_code,class_cd,it_remarks) values</v>
      </c>
      <c r="G1302" s="24" t="str">
        <f t="shared" si="82"/>
        <v>('29Apr250042','050000822452','-35034',(select max(to_number(i.premium_rcv_detail_code))+1
from ins_premium_det i),'-35034','-35034','02', '11000003','00','Request by Mr. Omair Ali 30-Apr-2025');</v>
      </c>
      <c r="H1302" s="25" t="str">
        <f t="shared" si="83"/>
        <v>insert into ins_premium_det (premium_rcv_code,assorted_code, rec_amount,premium_rcv_detail_code,remaining_amt, payrec, mode_code,coinsurance_code,class_cd,it_remarks) values('29Apr250042','050000822452','-35034',(select max(to_number(i.premium_rcv_detail_code))+1
from ins_premium_det i),'-35034','-35034','02', '11000003','00','Request by Mr. Omair Ali 30-Apr-2025');</v>
      </c>
    </row>
    <row r="1303" spans="1:8" ht="105" x14ac:dyDescent="0.25">
      <c r="A1303" t="s">
        <v>497</v>
      </c>
      <c r="B1303" s="1" t="str">
        <f>VLOOKUP(A1303,Sheet5!B:C,2,0)</f>
        <v>050000822453</v>
      </c>
      <c r="C1303" s="13">
        <v>-53000</v>
      </c>
      <c r="D1303" s="22">
        <f t="shared" si="81"/>
        <v>-53000</v>
      </c>
      <c r="E1303" s="21" t="s">
        <v>5912</v>
      </c>
      <c r="F1303" s="23" t="str">
        <f t="shared" si="80"/>
        <v>insert into ins_premium_det (premium_rcv_code,assorted_code, rec_amount,premium_rcv_detail_code,remaining_amt, payrec, mode_code,coinsurance_code,class_cd,it_remarks) values</v>
      </c>
      <c r="G1303" s="24" t="str">
        <f t="shared" si="82"/>
        <v>('29Apr250042','050000822453','-53000',(select max(to_number(i.premium_rcv_detail_code))+1
from ins_premium_det i),'-53000','-53000','02', '11000003','00','Request by Mr. Omair Ali 30-Apr-2025');</v>
      </c>
      <c r="H1303" s="25" t="str">
        <f t="shared" si="83"/>
        <v>insert into ins_premium_det (premium_rcv_code,assorted_code, rec_amount,premium_rcv_detail_code,remaining_amt, payrec, mode_code,coinsurance_code,class_cd,it_remarks) values('29Apr250042','050000822453','-53000',(select max(to_number(i.premium_rcv_detail_code))+1
from ins_premium_det i),'-53000','-53000','02', '11000003','00','Request by Mr. Omair Ali 30-Apr-2025');</v>
      </c>
    </row>
    <row r="1304" spans="1:8" ht="105" x14ac:dyDescent="0.25">
      <c r="A1304" t="s">
        <v>504</v>
      </c>
      <c r="B1304" s="1" t="str">
        <f>VLOOKUP(A1304,Sheet5!B:C,2,0)</f>
        <v>050000822454</v>
      </c>
      <c r="C1304" s="13">
        <v>-37153</v>
      </c>
      <c r="D1304" s="22">
        <f t="shared" si="81"/>
        <v>-37153</v>
      </c>
      <c r="E1304" s="21" t="s">
        <v>5912</v>
      </c>
      <c r="F1304" s="23" t="str">
        <f t="shared" si="80"/>
        <v>insert into ins_premium_det (premium_rcv_code,assorted_code, rec_amount,premium_rcv_detail_code,remaining_amt, payrec, mode_code,coinsurance_code,class_cd,it_remarks) values</v>
      </c>
      <c r="G1304" s="24" t="str">
        <f t="shared" si="82"/>
        <v>('29Apr250042','050000822454','-37153',(select max(to_number(i.premium_rcv_detail_code))+1
from ins_premium_det i),'-37153','-37153','02', '11000003','00','Request by Mr. Omair Ali 30-Apr-2025');</v>
      </c>
      <c r="H1304" s="25" t="str">
        <f t="shared" si="83"/>
        <v>insert into ins_premium_det (premium_rcv_code,assorted_code, rec_amount,premium_rcv_detail_code,remaining_amt, payrec, mode_code,coinsurance_code,class_cd,it_remarks) values('29Apr250042','050000822454','-37153',(select max(to_number(i.premium_rcv_detail_code))+1
from ins_premium_det i),'-37153','-37153','02', '11000003','00','Request by Mr. Omair Ali 30-Apr-2025');</v>
      </c>
    </row>
    <row r="1305" spans="1:8" ht="105" x14ac:dyDescent="0.25">
      <c r="A1305" t="s">
        <v>507</v>
      </c>
      <c r="B1305" s="1" t="str">
        <f>VLOOKUP(A1305,Sheet5!B:C,2,0)</f>
        <v>050000822455</v>
      </c>
      <c r="C1305" s="13">
        <v>-55000</v>
      </c>
      <c r="D1305" s="22">
        <f t="shared" si="81"/>
        <v>-55000</v>
      </c>
      <c r="E1305" s="21" t="s">
        <v>5912</v>
      </c>
      <c r="F1305" s="23" t="str">
        <f t="shared" si="80"/>
        <v>insert into ins_premium_det (premium_rcv_code,assorted_code, rec_amount,premium_rcv_detail_code,remaining_amt, payrec, mode_code,coinsurance_code,class_cd,it_remarks) values</v>
      </c>
      <c r="G1305" s="24" t="str">
        <f t="shared" si="82"/>
        <v>('29Apr250042','050000822455','-55000',(select max(to_number(i.premium_rcv_detail_code))+1
from ins_premium_det i),'-55000','-55000','02', '11000003','00','Request by Mr. Omair Ali 30-Apr-2025');</v>
      </c>
      <c r="H1305" s="25" t="str">
        <f t="shared" si="83"/>
        <v>insert into ins_premium_det (premium_rcv_code,assorted_code, rec_amount,premium_rcv_detail_code,remaining_amt, payrec, mode_code,coinsurance_code,class_cd,it_remarks) values('29Apr250042','050000822455','-55000',(select max(to_number(i.premium_rcv_detail_code))+1
from ins_premium_det i),'-55000','-55000','02', '11000003','00','Request by Mr. Omair Ali 30-Apr-2025');</v>
      </c>
    </row>
    <row r="1306" spans="1:8" ht="105" x14ac:dyDescent="0.25">
      <c r="A1306" t="s">
        <v>514</v>
      </c>
      <c r="B1306" s="1" t="str">
        <f>VLOOKUP(A1306,Sheet5!B:C,2,0)</f>
        <v>050000822456</v>
      </c>
      <c r="C1306" s="13">
        <v>-140616</v>
      </c>
      <c r="D1306" s="22">
        <f t="shared" si="81"/>
        <v>-140616</v>
      </c>
      <c r="E1306" s="21" t="s">
        <v>5912</v>
      </c>
      <c r="F1306" s="23" t="str">
        <f t="shared" si="80"/>
        <v>insert into ins_premium_det (premium_rcv_code,assorted_code, rec_amount,premium_rcv_detail_code,remaining_amt, payrec, mode_code,coinsurance_code,class_cd,it_remarks) values</v>
      </c>
      <c r="G1306" s="24" t="str">
        <f t="shared" si="82"/>
        <v>('29Apr250042','050000822456','-140616',(select max(to_number(i.premium_rcv_detail_code))+1
from ins_premium_det i),'-140616','-140616','02', '11000003','00','Request by Mr. Omair Ali 30-Apr-2025');</v>
      </c>
      <c r="H1306" s="25" t="str">
        <f t="shared" si="83"/>
        <v>insert into ins_premium_det (premium_rcv_code,assorted_code, rec_amount,premium_rcv_detail_code,remaining_amt, payrec, mode_code,coinsurance_code,class_cd,it_remarks) values('29Apr250042','050000822456','-140616',(select max(to_number(i.premium_rcv_detail_code))+1
from ins_premium_det i),'-140616','-140616','02', '11000003','00','Request by Mr. Omair Ali 30-Apr-2025');</v>
      </c>
    </row>
    <row r="1307" spans="1:8" ht="105" x14ac:dyDescent="0.25">
      <c r="A1307" t="s">
        <v>517</v>
      </c>
      <c r="B1307" s="1" t="str">
        <f>VLOOKUP(A1307,Sheet5!B:C,2,0)</f>
        <v>050000822457</v>
      </c>
      <c r="C1307" s="13">
        <v>-75000</v>
      </c>
      <c r="D1307" s="22">
        <f t="shared" si="81"/>
        <v>-75000</v>
      </c>
      <c r="E1307" s="21" t="s">
        <v>5912</v>
      </c>
      <c r="F1307" s="23" t="str">
        <f t="shared" si="80"/>
        <v>insert into ins_premium_det (premium_rcv_code,assorted_code, rec_amount,premium_rcv_detail_code,remaining_amt, payrec, mode_code,coinsurance_code,class_cd,it_remarks) values</v>
      </c>
      <c r="G1307" s="24" t="str">
        <f t="shared" si="82"/>
        <v>('29Apr250042','050000822457','-75000',(select max(to_number(i.premium_rcv_detail_code))+1
from ins_premium_det i),'-75000','-75000','02', '11000003','00','Request by Mr. Omair Ali 30-Apr-2025');</v>
      </c>
      <c r="H1307" s="25" t="str">
        <f t="shared" si="83"/>
        <v>insert into ins_premium_det (premium_rcv_code,assorted_code, rec_amount,premium_rcv_detail_code,remaining_amt, payrec, mode_code,coinsurance_code,class_cd,it_remarks) values('29Apr250042','050000822457','-75000',(select max(to_number(i.premium_rcv_detail_code))+1
from ins_premium_det i),'-75000','-75000','02', '11000003','00','Request by Mr. Omair Ali 30-Apr-2025');</v>
      </c>
    </row>
    <row r="1308" spans="1:8" ht="105" x14ac:dyDescent="0.25">
      <c r="A1308" t="s">
        <v>528</v>
      </c>
      <c r="B1308" s="1" t="str">
        <f>VLOOKUP(A1308,Sheet5!B:C,2,0)</f>
        <v>050000822458</v>
      </c>
      <c r="C1308" s="13">
        <v>-63874</v>
      </c>
      <c r="D1308" s="22">
        <f t="shared" si="81"/>
        <v>-63874</v>
      </c>
      <c r="E1308" s="21" t="s">
        <v>5912</v>
      </c>
      <c r="F1308" s="23" t="str">
        <f t="shared" si="80"/>
        <v>insert into ins_premium_det (premium_rcv_code,assorted_code, rec_amount,premium_rcv_detail_code,remaining_amt, payrec, mode_code,coinsurance_code,class_cd,it_remarks) values</v>
      </c>
      <c r="G1308" s="24" t="str">
        <f t="shared" si="82"/>
        <v>('29Apr250042','050000822458','-63874',(select max(to_number(i.premium_rcv_detail_code))+1
from ins_premium_det i),'-63874','-63874','02', '11000003','00','Request by Mr. Omair Ali 30-Apr-2025');</v>
      </c>
      <c r="H1308" s="25" t="str">
        <f t="shared" si="83"/>
        <v>insert into ins_premium_det (premium_rcv_code,assorted_code, rec_amount,premium_rcv_detail_code,remaining_amt, payrec, mode_code,coinsurance_code,class_cd,it_remarks) values('29Apr250042','050000822458','-63874',(select max(to_number(i.premium_rcv_detail_code))+1
from ins_premium_det i),'-63874','-63874','02', '11000003','00','Request by Mr. Omair Ali 30-Apr-2025');</v>
      </c>
    </row>
    <row r="1309" spans="1:8" ht="105" x14ac:dyDescent="0.25">
      <c r="A1309" t="s">
        <v>536</v>
      </c>
      <c r="B1309" s="1" t="str">
        <f>VLOOKUP(A1309,Sheet5!B:C,2,0)</f>
        <v>050000822459</v>
      </c>
      <c r="C1309" s="13">
        <v>-54401</v>
      </c>
      <c r="D1309" s="22">
        <f t="shared" si="81"/>
        <v>-54401</v>
      </c>
      <c r="E1309" s="21" t="s">
        <v>5912</v>
      </c>
      <c r="F1309" s="23" t="str">
        <f t="shared" si="80"/>
        <v>insert into ins_premium_det (premium_rcv_code,assorted_code, rec_amount,premium_rcv_detail_code,remaining_amt, payrec, mode_code,coinsurance_code,class_cd,it_remarks) values</v>
      </c>
      <c r="G1309" s="24" t="str">
        <f t="shared" si="82"/>
        <v>('29Apr250042','050000822459','-54401',(select max(to_number(i.premium_rcv_detail_code))+1
from ins_premium_det i),'-54401','-54401','02', '11000003','00','Request by Mr. Omair Ali 30-Apr-2025');</v>
      </c>
      <c r="H1309" s="25" t="str">
        <f t="shared" si="83"/>
        <v>insert into ins_premium_det (premium_rcv_code,assorted_code, rec_amount,premium_rcv_detail_code,remaining_amt, payrec, mode_code,coinsurance_code,class_cd,it_remarks) values('29Apr250042','050000822459','-54401',(select max(to_number(i.premium_rcv_detail_code))+1
from ins_premium_det i),'-54401','-54401','02', '11000003','00','Request by Mr. Omair Ali 30-Apr-2025');</v>
      </c>
    </row>
    <row r="1310" spans="1:8" ht="105" x14ac:dyDescent="0.25">
      <c r="A1310" t="s">
        <v>539</v>
      </c>
      <c r="B1310" s="1" t="str">
        <f>VLOOKUP(A1310,Sheet5!B:C,2,0)</f>
        <v>050000822460</v>
      </c>
      <c r="C1310" s="13">
        <v>-55000</v>
      </c>
      <c r="D1310" s="22">
        <f t="shared" si="81"/>
        <v>-55000</v>
      </c>
      <c r="E1310" s="21" t="s">
        <v>5912</v>
      </c>
      <c r="F1310" s="23" t="str">
        <f t="shared" si="80"/>
        <v>insert into ins_premium_det (premium_rcv_code,assorted_code, rec_amount,premium_rcv_detail_code,remaining_amt, payrec, mode_code,coinsurance_code,class_cd,it_remarks) values</v>
      </c>
      <c r="G1310" s="24" t="str">
        <f t="shared" si="82"/>
        <v>('29Apr250042','050000822460','-55000',(select max(to_number(i.premium_rcv_detail_code))+1
from ins_premium_det i),'-55000','-55000','02', '11000003','00','Request by Mr. Omair Ali 30-Apr-2025');</v>
      </c>
      <c r="H1310" s="25" t="str">
        <f t="shared" si="83"/>
        <v>insert into ins_premium_det (premium_rcv_code,assorted_code, rec_amount,premium_rcv_detail_code,remaining_amt, payrec, mode_code,coinsurance_code,class_cd,it_remarks) values('29Apr250042','050000822460','-55000',(select max(to_number(i.premium_rcv_detail_code))+1
from ins_premium_det i),'-55000','-55000','02', '11000003','00','Request by Mr. Omair Ali 30-Apr-2025');</v>
      </c>
    </row>
    <row r="1311" spans="1:8" ht="105" x14ac:dyDescent="0.25">
      <c r="A1311" t="s">
        <v>546</v>
      </c>
      <c r="B1311" s="1" t="str">
        <f>VLOOKUP(A1311,Sheet5!B:C,2,0)</f>
        <v>050000822461</v>
      </c>
      <c r="C1311" s="13">
        <v>-52549</v>
      </c>
      <c r="D1311" s="22">
        <f t="shared" si="81"/>
        <v>-52549</v>
      </c>
      <c r="E1311" s="21" t="s">
        <v>5912</v>
      </c>
      <c r="F1311" s="23" t="str">
        <f t="shared" si="80"/>
        <v>insert into ins_premium_det (premium_rcv_code,assorted_code, rec_amount,premium_rcv_detail_code,remaining_amt, payrec, mode_code,coinsurance_code,class_cd,it_remarks) values</v>
      </c>
      <c r="G1311" s="24" t="str">
        <f t="shared" si="82"/>
        <v>('29Apr250042','050000822461','-52549',(select max(to_number(i.premium_rcv_detail_code))+1
from ins_premium_det i),'-52549','-52549','02', '11000003','00','Request by Mr. Omair Ali 30-Apr-2025');</v>
      </c>
      <c r="H1311" s="25" t="str">
        <f t="shared" si="83"/>
        <v>insert into ins_premium_det (premium_rcv_code,assorted_code, rec_amount,premium_rcv_detail_code,remaining_amt, payrec, mode_code,coinsurance_code,class_cd,it_remarks) values('29Apr250042','050000822461','-52549',(select max(to_number(i.premium_rcv_detail_code))+1
from ins_premium_det i),'-52549','-52549','02', '11000003','00','Request by Mr. Omair Ali 30-Apr-2025');</v>
      </c>
    </row>
    <row r="1312" spans="1:8" ht="105" x14ac:dyDescent="0.25">
      <c r="A1312" t="s">
        <v>552</v>
      </c>
      <c r="B1312" s="1" t="str">
        <f>VLOOKUP(A1312,Sheet5!B:C,2,0)</f>
        <v>050000822462</v>
      </c>
      <c r="C1312" s="13">
        <v>-52028</v>
      </c>
      <c r="D1312" s="22">
        <f t="shared" si="81"/>
        <v>-52028</v>
      </c>
      <c r="E1312" s="21" t="s">
        <v>5912</v>
      </c>
      <c r="F1312" s="23" t="str">
        <f t="shared" si="80"/>
        <v>insert into ins_premium_det (premium_rcv_code,assorted_code, rec_amount,premium_rcv_detail_code,remaining_amt, payrec, mode_code,coinsurance_code,class_cd,it_remarks) values</v>
      </c>
      <c r="G1312" s="24" t="str">
        <f t="shared" si="82"/>
        <v>('29Apr250042','050000822462','-52028',(select max(to_number(i.premium_rcv_detail_code))+1
from ins_premium_det i),'-52028','-52028','02', '11000003','00','Request by Mr. Omair Ali 30-Apr-2025');</v>
      </c>
      <c r="H1312" s="25" t="str">
        <f t="shared" si="83"/>
        <v>insert into ins_premium_det (premium_rcv_code,assorted_code, rec_amount,premium_rcv_detail_code,remaining_amt, payrec, mode_code,coinsurance_code,class_cd,it_remarks) values('29Apr250042','050000822462','-52028',(select max(to_number(i.premium_rcv_detail_code))+1
from ins_premium_det i),'-52028','-52028','02', '11000003','00','Request by Mr. Omair Ali 30-Apr-2025');</v>
      </c>
    </row>
    <row r="1313" spans="1:8" ht="105" x14ac:dyDescent="0.25">
      <c r="A1313" t="s">
        <v>561</v>
      </c>
      <c r="B1313" s="1" t="str">
        <f>VLOOKUP(A1313,Sheet5!B:C,2,0)</f>
        <v>050000822463</v>
      </c>
      <c r="C1313" s="13">
        <v>-76186</v>
      </c>
      <c r="D1313" s="22">
        <f t="shared" si="81"/>
        <v>-76186</v>
      </c>
      <c r="E1313" s="21" t="s">
        <v>5912</v>
      </c>
      <c r="F1313" s="23" t="str">
        <f t="shared" si="80"/>
        <v>insert into ins_premium_det (premium_rcv_code,assorted_code, rec_amount,premium_rcv_detail_code,remaining_amt, payrec, mode_code,coinsurance_code,class_cd,it_remarks) values</v>
      </c>
      <c r="G1313" s="24" t="str">
        <f t="shared" si="82"/>
        <v>('29Apr250042','050000822463','-76186',(select max(to_number(i.premium_rcv_detail_code))+1
from ins_premium_det i),'-76186','-76186','02', '11000003','00','Request by Mr. Omair Ali 30-Apr-2025');</v>
      </c>
      <c r="H1313" s="25" t="str">
        <f t="shared" si="83"/>
        <v>insert into ins_premium_det (premium_rcv_code,assorted_code, rec_amount,premium_rcv_detail_code,remaining_amt, payrec, mode_code,coinsurance_code,class_cd,it_remarks) values('29Apr250042','050000822463','-76186',(select max(to_number(i.premium_rcv_detail_code))+1
from ins_premium_det i),'-76186','-76186','02', '11000003','00','Request by Mr. Omair Ali 30-Apr-2025');</v>
      </c>
    </row>
    <row r="1314" spans="1:8" ht="105" x14ac:dyDescent="0.25">
      <c r="A1314" t="s">
        <v>567</v>
      </c>
      <c r="B1314" s="1" t="str">
        <f>VLOOKUP(A1314,Sheet5!B:C,2,0)</f>
        <v>050000822464</v>
      </c>
      <c r="C1314" s="13">
        <v>-40870</v>
      </c>
      <c r="D1314" s="22">
        <f t="shared" si="81"/>
        <v>-40870</v>
      </c>
      <c r="E1314" s="21" t="s">
        <v>5912</v>
      </c>
      <c r="F1314" s="23" t="str">
        <f t="shared" si="80"/>
        <v>insert into ins_premium_det (premium_rcv_code,assorted_code, rec_amount,premium_rcv_detail_code,remaining_amt, payrec, mode_code,coinsurance_code,class_cd,it_remarks) values</v>
      </c>
      <c r="G1314" s="24" t="str">
        <f t="shared" si="82"/>
        <v>('29Apr250042','050000822464','-40870',(select max(to_number(i.premium_rcv_detail_code))+1
from ins_premium_det i),'-40870','-40870','02', '11000003','00','Request by Mr. Omair Ali 30-Apr-2025');</v>
      </c>
      <c r="H1314" s="25" t="str">
        <f t="shared" si="83"/>
        <v>insert into ins_premium_det (premium_rcv_code,assorted_code, rec_amount,premium_rcv_detail_code,remaining_amt, payrec, mode_code,coinsurance_code,class_cd,it_remarks) values('29Apr250042','050000822464','-40870',(select max(to_number(i.premium_rcv_detail_code))+1
from ins_premium_det i),'-40870','-40870','02', '11000003','00','Request by Mr. Omair Ali 30-Apr-2025');</v>
      </c>
    </row>
    <row r="1315" spans="1:8" ht="105" x14ac:dyDescent="0.25">
      <c r="A1315" t="s">
        <v>576</v>
      </c>
      <c r="B1315" s="1" t="str">
        <f>VLOOKUP(A1315,Sheet5!B:C,2,0)</f>
        <v>050000822465</v>
      </c>
      <c r="C1315" s="13">
        <v>-135186</v>
      </c>
      <c r="D1315" s="22">
        <f t="shared" si="81"/>
        <v>-135186</v>
      </c>
      <c r="E1315" s="21" t="s">
        <v>5912</v>
      </c>
      <c r="F1315" s="23" t="str">
        <f t="shared" si="80"/>
        <v>insert into ins_premium_det (premium_rcv_code,assorted_code, rec_amount,premium_rcv_detail_code,remaining_amt, payrec, mode_code,coinsurance_code,class_cd,it_remarks) values</v>
      </c>
      <c r="G1315" s="24" t="str">
        <f t="shared" si="82"/>
        <v>('29Apr250042','050000822465','-135186',(select max(to_number(i.premium_rcv_detail_code))+1
from ins_premium_det i),'-135186','-135186','02', '11000003','00','Request by Mr. Omair Ali 30-Apr-2025');</v>
      </c>
      <c r="H1315" s="25" t="str">
        <f t="shared" si="83"/>
        <v>insert into ins_premium_det (premium_rcv_code,assorted_code, rec_amount,premium_rcv_detail_code,remaining_amt, payrec, mode_code,coinsurance_code,class_cd,it_remarks) values('29Apr250042','050000822465','-135186',(select max(to_number(i.premium_rcv_detail_code))+1
from ins_premium_det i),'-135186','-135186','02', '11000003','00','Request by Mr. Omair Ali 30-Apr-2025');</v>
      </c>
    </row>
    <row r="1316" spans="1:8" ht="105" x14ac:dyDescent="0.25">
      <c r="A1316" t="s">
        <v>579</v>
      </c>
      <c r="B1316" s="1" t="str">
        <f>VLOOKUP(A1316,Sheet5!B:C,2,0)</f>
        <v>050000822466</v>
      </c>
      <c r="C1316" s="13">
        <v>-45000</v>
      </c>
      <c r="D1316" s="22">
        <f t="shared" si="81"/>
        <v>-45000</v>
      </c>
      <c r="E1316" s="21" t="s">
        <v>5912</v>
      </c>
      <c r="F1316" s="23" t="str">
        <f t="shared" si="80"/>
        <v>insert into ins_premium_det (premium_rcv_code,assorted_code, rec_amount,premium_rcv_detail_code,remaining_amt, payrec, mode_code,coinsurance_code,class_cd,it_remarks) values</v>
      </c>
      <c r="G1316" s="24" t="str">
        <f t="shared" si="82"/>
        <v>('29Apr250042','050000822466','-45000',(select max(to_number(i.premium_rcv_detail_code))+1
from ins_premium_det i),'-45000','-45000','02', '11000003','00','Request by Mr. Omair Ali 30-Apr-2025');</v>
      </c>
      <c r="H1316" s="25" t="str">
        <f t="shared" si="83"/>
        <v>insert into ins_premium_det (premium_rcv_code,assorted_code, rec_amount,premium_rcv_detail_code,remaining_amt, payrec, mode_code,coinsurance_code,class_cd,it_remarks) values('29Apr250042','050000822466','-45000',(select max(to_number(i.premium_rcv_detail_code))+1
from ins_premium_det i),'-45000','-45000','02', '11000003','00','Request by Mr. Omair Ali 30-Apr-2025');</v>
      </c>
    </row>
    <row r="1317" spans="1:8" ht="105" x14ac:dyDescent="0.25">
      <c r="A1317" t="s">
        <v>587</v>
      </c>
      <c r="B1317" s="1" t="str">
        <f>VLOOKUP(A1317,Sheet5!B:C,2,0)</f>
        <v>050000822468</v>
      </c>
      <c r="C1317" s="13">
        <v>-62506</v>
      </c>
      <c r="D1317" s="22">
        <f t="shared" si="81"/>
        <v>-62506</v>
      </c>
      <c r="E1317" s="21" t="s">
        <v>5912</v>
      </c>
      <c r="F1317" s="23" t="str">
        <f t="shared" si="80"/>
        <v>insert into ins_premium_det (premium_rcv_code,assorted_code, rec_amount,premium_rcv_detail_code,remaining_amt, payrec, mode_code,coinsurance_code,class_cd,it_remarks) values</v>
      </c>
      <c r="G1317" s="24" t="str">
        <f t="shared" si="82"/>
        <v>('29Apr250042','050000822468','-62506',(select max(to_number(i.premium_rcv_detail_code))+1
from ins_premium_det i),'-62506','-62506','02', '11000003','00','Request by Mr. Omair Ali 30-Apr-2025');</v>
      </c>
      <c r="H1317" s="25" t="str">
        <f t="shared" si="83"/>
        <v>insert into ins_premium_det (premium_rcv_code,assorted_code, rec_amount,premium_rcv_detail_code,remaining_amt, payrec, mode_code,coinsurance_code,class_cd,it_remarks) values('29Apr250042','050000822468','-62506',(select max(to_number(i.premium_rcv_detail_code))+1
from ins_premium_det i),'-62506','-62506','02', '11000003','00','Request by Mr. Omair Ali 30-Apr-2025');</v>
      </c>
    </row>
    <row r="1318" spans="1:8" ht="105" x14ac:dyDescent="0.25">
      <c r="A1318" t="s">
        <v>601</v>
      </c>
      <c r="B1318" s="1" t="str">
        <f>VLOOKUP(A1318,Sheet5!B:C,2,0)</f>
        <v>050000822469</v>
      </c>
      <c r="C1318" s="13">
        <v>-42518</v>
      </c>
      <c r="D1318" s="22">
        <f t="shared" si="81"/>
        <v>-42518</v>
      </c>
      <c r="E1318" s="21" t="s">
        <v>5912</v>
      </c>
      <c r="F1318" s="23" t="str">
        <f t="shared" si="80"/>
        <v>insert into ins_premium_det (premium_rcv_code,assorted_code, rec_amount,premium_rcv_detail_code,remaining_amt, payrec, mode_code,coinsurance_code,class_cd,it_remarks) values</v>
      </c>
      <c r="G1318" s="24" t="str">
        <f t="shared" si="82"/>
        <v>('29Apr250042','050000822469','-42518',(select max(to_number(i.premium_rcv_detail_code))+1
from ins_premium_det i),'-42518','-42518','02', '11000003','00','Request by Mr. Omair Ali 30-Apr-2025');</v>
      </c>
      <c r="H1318" s="25" t="str">
        <f t="shared" si="83"/>
        <v>insert into ins_premium_det (premium_rcv_code,assorted_code, rec_amount,premium_rcv_detail_code,remaining_amt, payrec, mode_code,coinsurance_code,class_cd,it_remarks) values('29Apr250042','050000822469','-42518',(select max(to_number(i.premium_rcv_detail_code))+1
from ins_premium_det i),'-42518','-42518','02', '11000003','00','Request by Mr. Omair Ali 30-Apr-2025');</v>
      </c>
    </row>
    <row r="1319" spans="1:8" ht="105" x14ac:dyDescent="0.25">
      <c r="A1319" t="s">
        <v>605</v>
      </c>
      <c r="B1319" s="1" t="str">
        <f>VLOOKUP(A1319,Sheet5!B:C,2,0)</f>
        <v>050000822470</v>
      </c>
      <c r="C1319" s="13">
        <v>-87349</v>
      </c>
      <c r="D1319" s="22">
        <f t="shared" si="81"/>
        <v>-87349</v>
      </c>
      <c r="E1319" s="21" t="s">
        <v>5912</v>
      </c>
      <c r="F1319" s="23" t="str">
        <f t="shared" si="80"/>
        <v>insert into ins_premium_det (premium_rcv_code,assorted_code, rec_amount,premium_rcv_detail_code,remaining_amt, payrec, mode_code,coinsurance_code,class_cd,it_remarks) values</v>
      </c>
      <c r="G1319" s="24" t="str">
        <f t="shared" si="82"/>
        <v>('29Apr250042','050000822470','-87349',(select max(to_number(i.premium_rcv_detail_code))+1
from ins_premium_det i),'-87349','-87349','02', '11000003','00','Request by Mr. Omair Ali 30-Apr-2025');</v>
      </c>
      <c r="H1319" s="25" t="str">
        <f t="shared" si="83"/>
        <v>insert into ins_premium_det (premium_rcv_code,assorted_code, rec_amount,premium_rcv_detail_code,remaining_amt, payrec, mode_code,coinsurance_code,class_cd,it_remarks) values('29Apr250042','050000822470','-87349',(select max(to_number(i.premium_rcv_detail_code))+1
from ins_premium_det i),'-87349','-87349','02', '11000003','00','Request by Mr. Omair Ali 30-Apr-2025');</v>
      </c>
    </row>
    <row r="1320" spans="1:8" ht="105" x14ac:dyDescent="0.25">
      <c r="A1320" t="s">
        <v>613</v>
      </c>
      <c r="B1320" s="1" t="str">
        <f>VLOOKUP(A1320,Sheet5!B:C,2,0)</f>
        <v>050000822471</v>
      </c>
      <c r="C1320" s="13">
        <v>-107185</v>
      </c>
      <c r="D1320" s="22">
        <f t="shared" si="81"/>
        <v>-107185</v>
      </c>
      <c r="E1320" s="21" t="s">
        <v>5912</v>
      </c>
      <c r="F1320" s="23" t="str">
        <f t="shared" si="80"/>
        <v>insert into ins_premium_det (premium_rcv_code,assorted_code, rec_amount,premium_rcv_detail_code,remaining_amt, payrec, mode_code,coinsurance_code,class_cd,it_remarks) values</v>
      </c>
      <c r="G1320" s="24" t="str">
        <f t="shared" si="82"/>
        <v>('29Apr250042','050000822471','-107185',(select max(to_number(i.premium_rcv_detail_code))+1
from ins_premium_det i),'-107185','-107185','02', '11000003','00','Request by Mr. Omair Ali 30-Apr-2025');</v>
      </c>
      <c r="H1320" s="25" t="str">
        <f t="shared" si="83"/>
        <v>insert into ins_premium_det (premium_rcv_code,assorted_code, rec_amount,premium_rcv_detail_code,remaining_amt, payrec, mode_code,coinsurance_code,class_cd,it_remarks) values('29Apr250042','050000822471','-107185',(select max(to_number(i.premium_rcv_detail_code))+1
from ins_premium_det i),'-107185','-107185','02', '11000003','00','Request by Mr. Omair Ali 30-Apr-2025');</v>
      </c>
    </row>
    <row r="1321" spans="1:8" ht="105" x14ac:dyDescent="0.25">
      <c r="A1321" t="s">
        <v>621</v>
      </c>
      <c r="B1321" s="1" t="str">
        <f>VLOOKUP(A1321,Sheet5!B:C,2,0)</f>
        <v>050000822472</v>
      </c>
      <c r="C1321" s="13">
        <v>-81869</v>
      </c>
      <c r="D1321" s="22">
        <f t="shared" si="81"/>
        <v>-81869</v>
      </c>
      <c r="E1321" s="21" t="s">
        <v>5912</v>
      </c>
      <c r="F1321" s="23" t="str">
        <f t="shared" si="80"/>
        <v>insert into ins_premium_det (premium_rcv_code,assorted_code, rec_amount,premium_rcv_detail_code,remaining_amt, payrec, mode_code,coinsurance_code,class_cd,it_remarks) values</v>
      </c>
      <c r="G1321" s="24" t="str">
        <f t="shared" si="82"/>
        <v>('29Apr250042','050000822472','-81869',(select max(to_number(i.premium_rcv_detail_code))+1
from ins_premium_det i),'-81869','-81869','02', '11000003','00','Request by Mr. Omair Ali 30-Apr-2025');</v>
      </c>
      <c r="H1321" s="25" t="str">
        <f t="shared" si="83"/>
        <v>insert into ins_premium_det (premium_rcv_code,assorted_code, rec_amount,premium_rcv_detail_code,remaining_amt, payrec, mode_code,coinsurance_code,class_cd,it_remarks) values('29Apr250042','050000822472','-81869',(select max(to_number(i.premium_rcv_detail_code))+1
from ins_premium_det i),'-81869','-81869','02', '11000003','00','Request by Mr. Omair Ali 30-Apr-2025');</v>
      </c>
    </row>
    <row r="1322" spans="1:8" ht="105" x14ac:dyDescent="0.25">
      <c r="A1322" t="s">
        <v>627</v>
      </c>
      <c r="B1322" s="1" t="str">
        <f>VLOOKUP(A1322,Sheet5!B:C,2,0)</f>
        <v>050000822473</v>
      </c>
      <c r="C1322" s="13">
        <v>-39349</v>
      </c>
      <c r="D1322" s="22">
        <f t="shared" si="81"/>
        <v>-39349</v>
      </c>
      <c r="E1322" s="21" t="s">
        <v>5912</v>
      </c>
      <c r="F1322" s="23" t="str">
        <f t="shared" si="80"/>
        <v>insert into ins_premium_det (premium_rcv_code,assorted_code, rec_amount,premium_rcv_detail_code,remaining_amt, payrec, mode_code,coinsurance_code,class_cd,it_remarks) values</v>
      </c>
      <c r="G1322" s="24" t="str">
        <f t="shared" si="82"/>
        <v>('29Apr250042','050000822473','-39349',(select max(to_number(i.premium_rcv_detail_code))+1
from ins_premium_det i),'-39349','-39349','02', '11000003','00','Request by Mr. Omair Ali 30-Apr-2025');</v>
      </c>
      <c r="H1322" s="25" t="str">
        <f t="shared" si="83"/>
        <v>insert into ins_premium_det (premium_rcv_code,assorted_code, rec_amount,premium_rcv_detail_code,remaining_amt, payrec, mode_code,coinsurance_code,class_cd,it_remarks) values('29Apr250042','050000822473','-39349',(select max(to_number(i.premium_rcv_detail_code))+1
from ins_premium_det i),'-39349','-39349','02', '11000003','00','Request by Mr. Omair Ali 30-Apr-2025');</v>
      </c>
    </row>
    <row r="1323" spans="1:8" ht="105" x14ac:dyDescent="0.25">
      <c r="A1323" t="s">
        <v>642</v>
      </c>
      <c r="B1323" s="1" t="str">
        <f>VLOOKUP(A1323,Sheet5!B:C,2,0)</f>
        <v>050000822474</v>
      </c>
      <c r="C1323" s="13">
        <v>-197846</v>
      </c>
      <c r="D1323" s="22">
        <f t="shared" si="81"/>
        <v>-197846</v>
      </c>
      <c r="E1323" s="21" t="s">
        <v>5912</v>
      </c>
      <c r="F1323" s="23" t="str">
        <f t="shared" si="80"/>
        <v>insert into ins_premium_det (premium_rcv_code,assorted_code, rec_amount,premium_rcv_detail_code,remaining_amt, payrec, mode_code,coinsurance_code,class_cd,it_remarks) values</v>
      </c>
      <c r="G1323" s="24" t="str">
        <f t="shared" si="82"/>
        <v>('29Apr250042','050000822474','-197846',(select max(to_number(i.premium_rcv_detail_code))+1
from ins_premium_det i),'-197846','-197846','02', '11000003','00','Request by Mr. Omair Ali 30-Apr-2025');</v>
      </c>
      <c r="H1323" s="25" t="str">
        <f t="shared" si="83"/>
        <v>insert into ins_premium_det (premium_rcv_code,assorted_code, rec_amount,premium_rcv_detail_code,remaining_amt, payrec, mode_code,coinsurance_code,class_cd,it_remarks) values('29Apr250042','050000822474','-197846',(select max(to_number(i.premium_rcv_detail_code))+1
from ins_premium_det i),'-197846','-197846','02', '11000003','00','Request by Mr. Omair Ali 30-Apr-2025');</v>
      </c>
    </row>
    <row r="1324" spans="1:8" ht="105" x14ac:dyDescent="0.25">
      <c r="A1324" t="s">
        <v>653</v>
      </c>
      <c r="B1324" s="1" t="str">
        <f>VLOOKUP(A1324,Sheet5!B:C,2,0)</f>
        <v>050000822476</v>
      </c>
      <c r="C1324" s="13">
        <v>-63499</v>
      </c>
      <c r="D1324" s="22">
        <f t="shared" si="81"/>
        <v>-63499</v>
      </c>
      <c r="E1324" s="21" t="s">
        <v>5912</v>
      </c>
      <c r="F1324" s="23" t="str">
        <f t="shared" si="80"/>
        <v>insert into ins_premium_det (premium_rcv_code,assorted_code, rec_amount,premium_rcv_detail_code,remaining_amt, payrec, mode_code,coinsurance_code,class_cd,it_remarks) values</v>
      </c>
      <c r="G1324" s="24" t="str">
        <f t="shared" si="82"/>
        <v>('29Apr250042','050000822476','-63499',(select max(to_number(i.premium_rcv_detail_code))+1
from ins_premium_det i),'-63499','-63499','02', '11000003','00','Request by Mr. Omair Ali 30-Apr-2025');</v>
      </c>
      <c r="H1324" s="25" t="str">
        <f t="shared" si="83"/>
        <v>insert into ins_premium_det (premium_rcv_code,assorted_code, rec_amount,premium_rcv_detail_code,remaining_amt, payrec, mode_code,coinsurance_code,class_cd,it_remarks) values('29Apr250042','050000822476','-63499',(select max(to_number(i.premium_rcv_detail_code))+1
from ins_premium_det i),'-63499','-63499','02', '11000003','00','Request by Mr. Omair Ali 30-Apr-2025');</v>
      </c>
    </row>
    <row r="1325" spans="1:8" ht="105" x14ac:dyDescent="0.25">
      <c r="A1325" t="s">
        <v>662</v>
      </c>
      <c r="B1325" s="1" t="str">
        <f>VLOOKUP(A1325,Sheet5!B:C,2,0)</f>
        <v>050000822477</v>
      </c>
      <c r="C1325" s="13">
        <v>-94058</v>
      </c>
      <c r="D1325" s="22">
        <f t="shared" si="81"/>
        <v>-94058</v>
      </c>
      <c r="E1325" s="21" t="s">
        <v>5912</v>
      </c>
      <c r="F1325" s="23" t="str">
        <f t="shared" si="80"/>
        <v>insert into ins_premium_det (premium_rcv_code,assorted_code, rec_amount,premium_rcv_detail_code,remaining_amt, payrec, mode_code,coinsurance_code,class_cd,it_remarks) values</v>
      </c>
      <c r="G1325" s="24" t="str">
        <f t="shared" si="82"/>
        <v>('29Apr250042','050000822477','-94058',(select max(to_number(i.premium_rcv_detail_code))+1
from ins_premium_det i),'-94058','-94058','02', '11000003','00','Request by Mr. Omair Ali 30-Apr-2025');</v>
      </c>
      <c r="H1325" s="25" t="str">
        <f t="shared" si="83"/>
        <v>insert into ins_premium_det (premium_rcv_code,assorted_code, rec_amount,premium_rcv_detail_code,remaining_amt, payrec, mode_code,coinsurance_code,class_cd,it_remarks) values('29Apr250042','050000822477','-94058',(select max(to_number(i.premium_rcv_detail_code))+1
from ins_premium_det i),'-94058','-94058','02', '11000003','00','Request by Mr. Omair Ali 30-Apr-2025');</v>
      </c>
    </row>
    <row r="1326" spans="1:8" ht="105" x14ac:dyDescent="0.25">
      <c r="A1326" t="s">
        <v>670</v>
      </c>
      <c r="B1326" s="1" t="str">
        <f>VLOOKUP(A1326,Sheet5!B:C,2,0)</f>
        <v>050000822478</v>
      </c>
      <c r="C1326" s="13">
        <v>-176907</v>
      </c>
      <c r="D1326" s="22">
        <f t="shared" si="81"/>
        <v>-176907</v>
      </c>
      <c r="E1326" s="21" t="s">
        <v>5912</v>
      </c>
      <c r="F1326" s="23" t="str">
        <f t="shared" si="80"/>
        <v>insert into ins_premium_det (premium_rcv_code,assorted_code, rec_amount,premium_rcv_detail_code,remaining_amt, payrec, mode_code,coinsurance_code,class_cd,it_remarks) values</v>
      </c>
      <c r="G1326" s="24" t="str">
        <f t="shared" si="82"/>
        <v>('29Apr250042','050000822478','-176907',(select max(to_number(i.premium_rcv_detail_code))+1
from ins_premium_det i),'-176907','-176907','02', '11000003','00','Request by Mr. Omair Ali 30-Apr-2025');</v>
      </c>
      <c r="H1326" s="25" t="str">
        <f t="shared" si="83"/>
        <v>insert into ins_premium_det (premium_rcv_code,assorted_code, rec_amount,premium_rcv_detail_code,remaining_amt, payrec, mode_code,coinsurance_code,class_cd,it_remarks) values('29Apr250042','050000822478','-176907',(select max(to_number(i.premium_rcv_detail_code))+1
from ins_premium_det i),'-176907','-176907','02', '11000003','00','Request by Mr. Omair Ali 30-Apr-2025');</v>
      </c>
    </row>
    <row r="1327" spans="1:8" ht="105" x14ac:dyDescent="0.25">
      <c r="A1327" t="s">
        <v>681</v>
      </c>
      <c r="B1327" s="1" t="str">
        <f>VLOOKUP(A1327,Sheet5!B:C,2,0)</f>
        <v>050000822479</v>
      </c>
      <c r="C1327" s="13">
        <v>-67360</v>
      </c>
      <c r="D1327" s="22">
        <f t="shared" si="81"/>
        <v>-67360</v>
      </c>
      <c r="E1327" s="21" t="s">
        <v>5912</v>
      </c>
      <c r="F1327" s="23" t="str">
        <f t="shared" si="80"/>
        <v>insert into ins_premium_det (premium_rcv_code,assorted_code, rec_amount,premium_rcv_detail_code,remaining_amt, payrec, mode_code,coinsurance_code,class_cd,it_remarks) values</v>
      </c>
      <c r="G1327" s="24" t="str">
        <f t="shared" si="82"/>
        <v>('29Apr250042','050000822479','-67360',(select max(to_number(i.premium_rcv_detail_code))+1
from ins_premium_det i),'-67360','-67360','02', '11000003','00','Request by Mr. Omair Ali 30-Apr-2025');</v>
      </c>
      <c r="H1327" s="25" t="str">
        <f t="shared" si="83"/>
        <v>insert into ins_premium_det (premium_rcv_code,assorted_code, rec_amount,premium_rcv_detail_code,remaining_amt, payrec, mode_code,coinsurance_code,class_cd,it_remarks) values('29Apr250042','050000822479','-67360',(select max(to_number(i.premium_rcv_detail_code))+1
from ins_premium_det i),'-67360','-67360','02', '11000003','00','Request by Mr. Omair Ali 30-Apr-2025');</v>
      </c>
    </row>
    <row r="1328" spans="1:8" ht="105" x14ac:dyDescent="0.25">
      <c r="A1328" t="s">
        <v>689</v>
      </c>
      <c r="B1328" s="1" t="str">
        <f>VLOOKUP(A1328,Sheet5!B:C,2,0)</f>
        <v>050000822480</v>
      </c>
      <c r="C1328" s="13">
        <v>-54367</v>
      </c>
      <c r="D1328" s="22">
        <f t="shared" si="81"/>
        <v>-54367</v>
      </c>
      <c r="E1328" s="21" t="s">
        <v>5912</v>
      </c>
      <c r="F1328" s="23" t="str">
        <f t="shared" si="80"/>
        <v>insert into ins_premium_det (premium_rcv_code,assorted_code, rec_amount,premium_rcv_detail_code,remaining_amt, payrec, mode_code,coinsurance_code,class_cd,it_remarks) values</v>
      </c>
      <c r="G1328" s="24" t="str">
        <f t="shared" si="82"/>
        <v>('29Apr250042','050000822480','-54367',(select max(to_number(i.premium_rcv_detail_code))+1
from ins_premium_det i),'-54367','-54367','02', '11000003','00','Request by Mr. Omair Ali 30-Apr-2025');</v>
      </c>
      <c r="H1328" s="25" t="str">
        <f t="shared" si="83"/>
        <v>insert into ins_premium_det (premium_rcv_code,assorted_code, rec_amount,premium_rcv_detail_code,remaining_amt, payrec, mode_code,coinsurance_code,class_cd,it_remarks) values('29Apr250042','050000822480','-54367',(select max(to_number(i.premium_rcv_detail_code))+1
from ins_premium_det i),'-54367','-54367','02', '11000003','00','Request by Mr. Omair Ali 30-Apr-2025');</v>
      </c>
    </row>
    <row r="1329" spans="1:8" ht="105" x14ac:dyDescent="0.25">
      <c r="A1329" t="s">
        <v>692</v>
      </c>
      <c r="B1329" s="1" t="str">
        <f>VLOOKUP(A1329,Sheet5!B:C,2,0)</f>
        <v>050000822481</v>
      </c>
      <c r="C1329" s="13">
        <v>-155000</v>
      </c>
      <c r="D1329" s="22">
        <f t="shared" si="81"/>
        <v>-155000</v>
      </c>
      <c r="E1329" s="21" t="s">
        <v>5912</v>
      </c>
      <c r="F1329" s="23" t="str">
        <f t="shared" si="80"/>
        <v>insert into ins_premium_det (premium_rcv_code,assorted_code, rec_amount,premium_rcv_detail_code,remaining_amt, payrec, mode_code,coinsurance_code,class_cd,it_remarks) values</v>
      </c>
      <c r="G1329" s="24" t="str">
        <f t="shared" si="82"/>
        <v>('29Apr250042','050000822481','-155000',(select max(to_number(i.premium_rcv_detail_code))+1
from ins_premium_det i),'-155000','-155000','02', '11000003','00','Request by Mr. Omair Ali 30-Apr-2025');</v>
      </c>
      <c r="H1329" s="25" t="str">
        <f t="shared" si="83"/>
        <v>insert into ins_premium_det (premium_rcv_code,assorted_code, rec_amount,premium_rcv_detail_code,remaining_amt, payrec, mode_code,coinsurance_code,class_cd,it_remarks) values('29Apr250042','050000822481','-155000',(select max(to_number(i.premium_rcv_detail_code))+1
from ins_premium_det i),'-155000','-155000','02', '11000003','00','Request by Mr. Omair Ali 30-Apr-2025');</v>
      </c>
    </row>
    <row r="1330" spans="1:8" ht="105" x14ac:dyDescent="0.25">
      <c r="A1330" t="s">
        <v>695</v>
      </c>
      <c r="B1330" s="1" t="str">
        <f>VLOOKUP(A1330,Sheet5!B:C,2,0)</f>
        <v>050000822482</v>
      </c>
      <c r="C1330" s="13">
        <v>-35000</v>
      </c>
      <c r="D1330" s="22">
        <f t="shared" si="81"/>
        <v>-35000</v>
      </c>
      <c r="E1330" s="21" t="s">
        <v>5912</v>
      </c>
      <c r="F1330" s="23" t="str">
        <f t="shared" si="80"/>
        <v>insert into ins_premium_det (premium_rcv_code,assorted_code, rec_amount,premium_rcv_detail_code,remaining_amt, payrec, mode_code,coinsurance_code,class_cd,it_remarks) values</v>
      </c>
      <c r="G1330" s="24" t="str">
        <f t="shared" si="82"/>
        <v>('29Apr250042','050000822482','-35000',(select max(to_number(i.premium_rcv_detail_code))+1
from ins_premium_det i),'-35000','-35000','02', '11000003','00','Request by Mr. Omair Ali 30-Apr-2025');</v>
      </c>
      <c r="H1330" s="25" t="str">
        <f t="shared" si="83"/>
        <v>insert into ins_premium_det (premium_rcv_code,assorted_code, rec_amount,premium_rcv_detail_code,remaining_amt, payrec, mode_code,coinsurance_code,class_cd,it_remarks) values('29Apr250042','050000822482','-35000',(select max(to_number(i.premium_rcv_detail_code))+1
from ins_premium_det i),'-35000','-35000','02', '11000003','00','Request by Mr. Omair Ali 30-Apr-2025');</v>
      </c>
    </row>
    <row r="1331" spans="1:8" ht="105" x14ac:dyDescent="0.25">
      <c r="A1331" t="s">
        <v>699</v>
      </c>
      <c r="B1331" s="1" t="str">
        <f>VLOOKUP(A1331,Sheet5!B:C,2,0)</f>
        <v>050000822483</v>
      </c>
      <c r="C1331" s="13">
        <v>-46756</v>
      </c>
      <c r="D1331" s="22">
        <f t="shared" si="81"/>
        <v>-46756</v>
      </c>
      <c r="E1331" s="21" t="s">
        <v>5912</v>
      </c>
      <c r="F1331" s="23" t="str">
        <f t="shared" si="80"/>
        <v>insert into ins_premium_det (premium_rcv_code,assorted_code, rec_amount,premium_rcv_detail_code,remaining_amt, payrec, mode_code,coinsurance_code,class_cd,it_remarks) values</v>
      </c>
      <c r="G1331" s="24" t="str">
        <f t="shared" si="82"/>
        <v>('29Apr250042','050000822483','-46756',(select max(to_number(i.premium_rcv_detail_code))+1
from ins_premium_det i),'-46756','-46756','02', '11000003','00','Request by Mr. Omair Ali 30-Apr-2025');</v>
      </c>
      <c r="H1331" s="25" t="str">
        <f t="shared" si="83"/>
        <v>insert into ins_premium_det (premium_rcv_code,assorted_code, rec_amount,premium_rcv_detail_code,remaining_amt, payrec, mode_code,coinsurance_code,class_cd,it_remarks) values('29Apr250042','050000822483','-46756',(select max(to_number(i.premium_rcv_detail_code))+1
from ins_premium_det i),'-46756','-46756','02', '11000003','00','Request by Mr. Omair Ali 30-Apr-2025');</v>
      </c>
    </row>
    <row r="1332" spans="1:8" ht="105" x14ac:dyDescent="0.25">
      <c r="A1332" t="s">
        <v>708</v>
      </c>
      <c r="B1332" s="1" t="str">
        <f>VLOOKUP(A1332,Sheet5!B:C,2,0)</f>
        <v>050000822484</v>
      </c>
      <c r="C1332" s="13">
        <v>-61974</v>
      </c>
      <c r="D1332" s="22">
        <f t="shared" si="81"/>
        <v>-61974</v>
      </c>
      <c r="E1332" s="21" t="s">
        <v>5912</v>
      </c>
      <c r="F1332" s="23" t="str">
        <f t="shared" si="80"/>
        <v>insert into ins_premium_det (premium_rcv_code,assorted_code, rec_amount,premium_rcv_detail_code,remaining_amt, payrec, mode_code,coinsurance_code,class_cd,it_remarks) values</v>
      </c>
      <c r="G1332" s="24" t="str">
        <f t="shared" si="82"/>
        <v>('29Apr250042','050000822484','-61974',(select max(to_number(i.premium_rcv_detail_code))+1
from ins_premium_det i),'-61974','-61974','02', '11000003','00','Request by Mr. Omair Ali 30-Apr-2025');</v>
      </c>
      <c r="H1332" s="25" t="str">
        <f t="shared" si="83"/>
        <v>insert into ins_premium_det (premium_rcv_code,assorted_code, rec_amount,premium_rcv_detail_code,remaining_amt, payrec, mode_code,coinsurance_code,class_cd,it_remarks) values('29Apr250042','050000822484','-61974',(select max(to_number(i.premium_rcv_detail_code))+1
from ins_premium_det i),'-61974','-61974','02', '11000003','00','Request by Mr. Omair Ali 30-Apr-2025');</v>
      </c>
    </row>
    <row r="1333" spans="1:8" ht="105" x14ac:dyDescent="0.25">
      <c r="A1333" t="s">
        <v>713</v>
      </c>
      <c r="B1333" s="1" t="str">
        <f>VLOOKUP(A1333,Sheet5!B:C,2,0)</f>
        <v>050000822485</v>
      </c>
      <c r="C1333" s="13">
        <v>-95606</v>
      </c>
      <c r="D1333" s="22">
        <f t="shared" si="81"/>
        <v>-95606</v>
      </c>
      <c r="E1333" s="21" t="s">
        <v>5912</v>
      </c>
      <c r="F1333" s="23" t="str">
        <f t="shared" si="80"/>
        <v>insert into ins_premium_det (premium_rcv_code,assorted_code, rec_amount,premium_rcv_detail_code,remaining_amt, payrec, mode_code,coinsurance_code,class_cd,it_remarks) values</v>
      </c>
      <c r="G1333" s="24" t="str">
        <f t="shared" si="82"/>
        <v>('29Apr250042','050000822485','-95606',(select max(to_number(i.premium_rcv_detail_code))+1
from ins_premium_det i),'-95606','-95606','02', '11000003','00','Request by Mr. Omair Ali 30-Apr-2025');</v>
      </c>
      <c r="H1333" s="25" t="str">
        <f t="shared" si="83"/>
        <v>insert into ins_premium_det (premium_rcv_code,assorted_code, rec_amount,premium_rcv_detail_code,remaining_amt, payrec, mode_code,coinsurance_code,class_cd,it_remarks) values('29Apr250042','050000822485','-95606',(select max(to_number(i.premium_rcv_detail_code))+1
from ins_premium_det i),'-95606','-95606','02', '11000003','00','Request by Mr. Omair Ali 30-Apr-2025');</v>
      </c>
    </row>
    <row r="1334" spans="1:8" ht="105" x14ac:dyDescent="0.25">
      <c r="A1334" t="s">
        <v>718</v>
      </c>
      <c r="B1334" s="1" t="str">
        <f>VLOOKUP(A1334,Sheet5!B:C,2,0)</f>
        <v>050000822487</v>
      </c>
      <c r="C1334" s="13">
        <v>-56498</v>
      </c>
      <c r="D1334" s="22">
        <f t="shared" si="81"/>
        <v>-56498</v>
      </c>
      <c r="E1334" s="21" t="s">
        <v>5912</v>
      </c>
      <c r="F1334" s="23" t="str">
        <f t="shared" si="80"/>
        <v>insert into ins_premium_det (premium_rcv_code,assorted_code, rec_amount,premium_rcv_detail_code,remaining_amt, payrec, mode_code,coinsurance_code,class_cd,it_remarks) values</v>
      </c>
      <c r="G1334" s="24" t="str">
        <f t="shared" si="82"/>
        <v>('29Apr250042','050000822487','-56498',(select max(to_number(i.premium_rcv_detail_code))+1
from ins_premium_det i),'-56498','-56498','02', '11000003','00','Request by Mr. Omair Ali 30-Apr-2025');</v>
      </c>
      <c r="H1334" s="25" t="str">
        <f t="shared" si="83"/>
        <v>insert into ins_premium_det (premium_rcv_code,assorted_code, rec_amount,premium_rcv_detail_code,remaining_amt, payrec, mode_code,coinsurance_code,class_cd,it_remarks) values('29Apr250042','050000822487','-56498',(select max(to_number(i.premium_rcv_detail_code))+1
from ins_premium_det i),'-56498','-56498','02', '11000003','00','Request by Mr. Omair Ali 30-Apr-2025');</v>
      </c>
    </row>
    <row r="1335" spans="1:8" ht="105" x14ac:dyDescent="0.25">
      <c r="A1335" t="s">
        <v>725</v>
      </c>
      <c r="B1335" s="1" t="str">
        <f>VLOOKUP(A1335,Sheet5!B:C,2,0)</f>
        <v>050000822488</v>
      </c>
      <c r="C1335" s="13">
        <v>-80970</v>
      </c>
      <c r="D1335" s="22">
        <f t="shared" si="81"/>
        <v>-80970</v>
      </c>
      <c r="E1335" s="21" t="s">
        <v>5912</v>
      </c>
      <c r="F1335" s="23" t="str">
        <f t="shared" si="80"/>
        <v>insert into ins_premium_det (premium_rcv_code,assorted_code, rec_amount,premium_rcv_detail_code,remaining_amt, payrec, mode_code,coinsurance_code,class_cd,it_remarks) values</v>
      </c>
      <c r="G1335" s="24" t="str">
        <f t="shared" si="82"/>
        <v>('29Apr250042','050000822488','-80970',(select max(to_number(i.premium_rcv_detail_code))+1
from ins_premium_det i),'-80970','-80970','02', '11000003','00','Request by Mr. Omair Ali 30-Apr-2025');</v>
      </c>
      <c r="H1335" s="25" t="str">
        <f t="shared" si="83"/>
        <v>insert into ins_premium_det (premium_rcv_code,assorted_code, rec_amount,premium_rcv_detail_code,remaining_amt, payrec, mode_code,coinsurance_code,class_cd,it_remarks) values('29Apr250042','050000822488','-80970',(select max(to_number(i.premium_rcv_detail_code))+1
from ins_premium_det i),'-80970','-80970','02', '11000003','00','Request by Mr. Omair Ali 30-Apr-2025');</v>
      </c>
    </row>
    <row r="1336" spans="1:8" ht="105" x14ac:dyDescent="0.25">
      <c r="A1336" t="s">
        <v>731</v>
      </c>
      <c r="B1336" s="1" t="str">
        <f>VLOOKUP(A1336,Sheet5!B:C,2,0)</f>
        <v>050000822489</v>
      </c>
      <c r="C1336" s="13">
        <v>-59348</v>
      </c>
      <c r="D1336" s="22">
        <f t="shared" si="81"/>
        <v>-59348</v>
      </c>
      <c r="E1336" s="21" t="s">
        <v>5912</v>
      </c>
      <c r="F1336" s="23" t="str">
        <f t="shared" si="80"/>
        <v>insert into ins_premium_det (premium_rcv_code,assorted_code, rec_amount,premium_rcv_detail_code,remaining_amt, payrec, mode_code,coinsurance_code,class_cd,it_remarks) values</v>
      </c>
      <c r="G1336" s="24" t="str">
        <f t="shared" si="82"/>
        <v>('29Apr250042','050000822489','-59348',(select max(to_number(i.premium_rcv_detail_code))+1
from ins_premium_det i),'-59348','-59348','02', '11000003','00','Request by Mr. Omair Ali 30-Apr-2025');</v>
      </c>
      <c r="H1336" s="25" t="str">
        <f t="shared" si="83"/>
        <v>insert into ins_premium_det (premium_rcv_code,assorted_code, rec_amount,premium_rcv_detail_code,remaining_amt, payrec, mode_code,coinsurance_code,class_cd,it_remarks) values('29Apr250042','050000822489','-59348',(select max(to_number(i.premium_rcv_detail_code))+1
from ins_premium_det i),'-59348','-59348','02', '11000003','00','Request by Mr. Omair Ali 30-Apr-2025');</v>
      </c>
    </row>
    <row r="1337" spans="1:8" ht="105" x14ac:dyDescent="0.25">
      <c r="A1337" t="s">
        <v>735</v>
      </c>
      <c r="B1337" s="1" t="str">
        <f>VLOOKUP(A1337,Sheet5!B:C,2,0)</f>
        <v>050000822490</v>
      </c>
      <c r="C1337" s="13">
        <v>-72997</v>
      </c>
      <c r="D1337" s="22">
        <f t="shared" si="81"/>
        <v>-72997</v>
      </c>
      <c r="E1337" s="21" t="s">
        <v>5912</v>
      </c>
      <c r="F1337" s="23" t="str">
        <f t="shared" si="80"/>
        <v>insert into ins_premium_det (premium_rcv_code,assorted_code, rec_amount,premium_rcv_detail_code,remaining_amt, payrec, mode_code,coinsurance_code,class_cd,it_remarks) values</v>
      </c>
      <c r="G1337" s="24" t="str">
        <f t="shared" si="82"/>
        <v>('29Apr250042','050000822490','-72997',(select max(to_number(i.premium_rcv_detail_code))+1
from ins_premium_det i),'-72997','-72997','02', '11000003','00','Request by Mr. Omair Ali 30-Apr-2025');</v>
      </c>
      <c r="H1337" s="25" t="str">
        <f t="shared" si="83"/>
        <v>insert into ins_premium_det (premium_rcv_code,assorted_code, rec_amount,premium_rcv_detail_code,remaining_amt, payrec, mode_code,coinsurance_code,class_cd,it_remarks) values('29Apr250042','050000822490','-72997',(select max(to_number(i.premium_rcv_detail_code))+1
from ins_premium_det i),'-72997','-72997','02', '11000003','00','Request by Mr. Omair Ali 30-Apr-2025');</v>
      </c>
    </row>
    <row r="1338" spans="1:8" ht="105" x14ac:dyDescent="0.25">
      <c r="A1338" t="s">
        <v>751</v>
      </c>
      <c r="B1338" s="1" t="str">
        <f>VLOOKUP(A1338,Sheet5!B:C,2,0)</f>
        <v>050000822492</v>
      </c>
      <c r="C1338" s="13">
        <v>-38509</v>
      </c>
      <c r="D1338" s="22">
        <f t="shared" si="81"/>
        <v>-38509</v>
      </c>
      <c r="E1338" s="21" t="s">
        <v>5912</v>
      </c>
      <c r="F1338" s="23" t="str">
        <f t="shared" si="80"/>
        <v>insert into ins_premium_det (premium_rcv_code,assorted_code, rec_amount,premium_rcv_detail_code,remaining_amt, payrec, mode_code,coinsurance_code,class_cd,it_remarks) values</v>
      </c>
      <c r="G1338" s="24" t="str">
        <f t="shared" si="82"/>
        <v>('29Apr250042','050000822492','-38509',(select max(to_number(i.premium_rcv_detail_code))+1
from ins_premium_det i),'-38509','-38509','02', '11000003','00','Request by Mr. Omair Ali 30-Apr-2025');</v>
      </c>
      <c r="H1338" s="25" t="str">
        <f t="shared" si="83"/>
        <v>insert into ins_premium_det (premium_rcv_code,assorted_code, rec_amount,premium_rcv_detail_code,remaining_amt, payrec, mode_code,coinsurance_code,class_cd,it_remarks) values('29Apr250042','050000822492','-38509',(select max(to_number(i.premium_rcv_detail_code))+1
from ins_premium_det i),'-38509','-38509','02', '11000003','00','Request by Mr. Omair Ali 30-Apr-2025');</v>
      </c>
    </row>
    <row r="1339" spans="1:8" ht="105" x14ac:dyDescent="0.25">
      <c r="A1339" t="s">
        <v>816</v>
      </c>
      <c r="B1339" s="1" t="str">
        <f>VLOOKUP(A1339,Sheet5!B:C,2,0)</f>
        <v>050000822493</v>
      </c>
      <c r="C1339" s="13">
        <v>-121531</v>
      </c>
      <c r="D1339" s="22">
        <f t="shared" si="81"/>
        <v>-121531</v>
      </c>
      <c r="E1339" s="21" t="s">
        <v>5912</v>
      </c>
      <c r="F1339" s="23" t="str">
        <f t="shared" si="80"/>
        <v>insert into ins_premium_det (premium_rcv_code,assorted_code, rec_amount,premium_rcv_detail_code,remaining_amt, payrec, mode_code,coinsurance_code,class_cd,it_remarks) values</v>
      </c>
      <c r="G1339" s="24" t="str">
        <f t="shared" si="82"/>
        <v>('29Apr250042','050000822493','-121531',(select max(to_number(i.premium_rcv_detail_code))+1
from ins_premium_det i),'-121531','-121531','02', '11000003','00','Request by Mr. Omair Ali 30-Apr-2025');</v>
      </c>
      <c r="H1339" s="25" t="str">
        <f t="shared" si="83"/>
        <v>insert into ins_premium_det (premium_rcv_code,assorted_code, rec_amount,premium_rcv_detail_code,remaining_amt, payrec, mode_code,coinsurance_code,class_cd,it_remarks) values('29Apr250042','050000822493','-121531',(select max(to_number(i.premium_rcv_detail_code))+1
from ins_premium_det i),'-121531','-121531','02', '11000003','00','Request by Mr. Omair Ali 30-Apr-2025');</v>
      </c>
    </row>
    <row r="1340" spans="1:8" ht="105" x14ac:dyDescent="0.25">
      <c r="A1340" t="s">
        <v>1088</v>
      </c>
      <c r="B1340" s="1" t="str">
        <f>VLOOKUP(A1340,Sheet5!B:C,2,0)</f>
        <v>050000822494</v>
      </c>
      <c r="C1340" s="13">
        <v>-42797</v>
      </c>
      <c r="D1340" s="22">
        <f t="shared" si="81"/>
        <v>-42797</v>
      </c>
      <c r="E1340" s="21" t="s">
        <v>5912</v>
      </c>
      <c r="F1340" s="23" t="str">
        <f t="shared" si="80"/>
        <v>insert into ins_premium_det (premium_rcv_code,assorted_code, rec_amount,premium_rcv_detail_code,remaining_amt, payrec, mode_code,coinsurance_code,class_cd,it_remarks) values</v>
      </c>
      <c r="G1340" s="24" t="str">
        <f t="shared" si="82"/>
        <v>('29Apr250042','050000822494','-42797',(select max(to_number(i.premium_rcv_detail_code))+1
from ins_premium_det i),'-42797','-42797','02', '11000003','00','Request by Mr. Omair Ali 30-Apr-2025');</v>
      </c>
      <c r="H1340" s="25" t="str">
        <f t="shared" si="83"/>
        <v>insert into ins_premium_det (premium_rcv_code,assorted_code, rec_amount,premium_rcv_detail_code,remaining_amt, payrec, mode_code,coinsurance_code,class_cd,it_remarks) values('29Apr250042','050000822494','-42797',(select max(to_number(i.premium_rcv_detail_code))+1
from ins_premium_det i),'-42797','-42797','02', '11000003','00','Request by Mr. Omair Ali 30-Apr-2025');</v>
      </c>
    </row>
    <row r="1341" spans="1:8" ht="105" x14ac:dyDescent="0.25">
      <c r="A1341" t="s">
        <v>24</v>
      </c>
      <c r="B1341" s="1" t="str">
        <f>VLOOKUP(A1341,Sheet5!B:C,2,0)</f>
        <v>050000822495</v>
      </c>
      <c r="C1341" s="13">
        <v>-1013</v>
      </c>
      <c r="D1341" s="22">
        <f t="shared" si="81"/>
        <v>-1013</v>
      </c>
      <c r="E1341" s="21" t="s">
        <v>5912</v>
      </c>
      <c r="F1341" s="23" t="str">
        <f t="shared" si="80"/>
        <v>insert into ins_premium_det (premium_rcv_code,assorted_code, rec_amount,premium_rcv_detail_code,remaining_amt, payrec, mode_code,coinsurance_code,class_cd,it_remarks) values</v>
      </c>
      <c r="G1341" s="24" t="str">
        <f t="shared" si="82"/>
        <v>('29Apr250042','050000822495','-1013',(select max(to_number(i.premium_rcv_detail_code))+1
from ins_premium_det i),'-1013','-1013','02', '11000003','00','Request by Mr. Omair Ali 30-Apr-2025');</v>
      </c>
      <c r="H1341" s="25" t="str">
        <f t="shared" si="83"/>
        <v>insert into ins_premium_det (premium_rcv_code,assorted_code, rec_amount,premium_rcv_detail_code,remaining_amt, payrec, mode_code,coinsurance_code,class_cd,it_remarks) values('29Apr250042','050000822495','-1013',(select max(to_number(i.premium_rcv_detail_code))+1
from ins_premium_det i),'-1013','-1013','02', '11000003','00','Request by Mr. Omair Ali 30-Apr-2025');</v>
      </c>
    </row>
    <row r="1342" spans="1:8" ht="105" x14ac:dyDescent="0.25">
      <c r="A1342" t="s">
        <v>66</v>
      </c>
      <c r="B1342" s="1" t="str">
        <f>VLOOKUP(A1342,Sheet5!B:C,2,0)</f>
        <v>050000822496</v>
      </c>
      <c r="C1342" s="13">
        <v>-969</v>
      </c>
      <c r="D1342" s="22">
        <f t="shared" si="81"/>
        <v>-969</v>
      </c>
      <c r="E1342" s="21" t="s">
        <v>5912</v>
      </c>
      <c r="F1342" s="23" t="str">
        <f t="shared" si="80"/>
        <v>insert into ins_premium_det (premium_rcv_code,assorted_code, rec_amount,premium_rcv_detail_code,remaining_amt, payrec, mode_code,coinsurance_code,class_cd,it_remarks) values</v>
      </c>
      <c r="G1342" s="24" t="str">
        <f t="shared" si="82"/>
        <v>('29Apr250042','050000822496','-969',(select max(to_number(i.premium_rcv_detail_code))+1
from ins_premium_det i),'-969','-969','02', '11000003','00','Request by Mr. Omair Ali 30-Apr-2025');</v>
      </c>
      <c r="H1342" s="25" t="str">
        <f t="shared" si="83"/>
        <v>insert into ins_premium_det (premium_rcv_code,assorted_code, rec_amount,premium_rcv_detail_code,remaining_amt, payrec, mode_code,coinsurance_code,class_cd,it_remarks) values('29Apr250042','050000822496','-969',(select max(to_number(i.premium_rcv_detail_code))+1
from ins_premium_det i),'-969','-969','02', '11000003','00','Request by Mr. Omair Ali 30-Apr-2025');</v>
      </c>
    </row>
    <row r="1343" spans="1:8" ht="105" x14ac:dyDescent="0.25">
      <c r="A1343" t="s">
        <v>292</v>
      </c>
      <c r="B1343" s="1" t="str">
        <f>VLOOKUP(A1343,Sheet5!B:C,2,0)</f>
        <v>050000822497</v>
      </c>
      <c r="C1343" s="13">
        <v>-3035</v>
      </c>
      <c r="D1343" s="22">
        <f t="shared" si="81"/>
        <v>-3035</v>
      </c>
      <c r="E1343" s="21" t="s">
        <v>5912</v>
      </c>
      <c r="F1343" s="23" t="str">
        <f t="shared" si="80"/>
        <v>insert into ins_premium_det (premium_rcv_code,assorted_code, rec_amount,premium_rcv_detail_code,remaining_amt, payrec, mode_code,coinsurance_code,class_cd,it_remarks) values</v>
      </c>
      <c r="G1343" s="24" t="str">
        <f t="shared" si="82"/>
        <v>('29Apr250042','050000822497','-3035',(select max(to_number(i.premium_rcv_detail_code))+1
from ins_premium_det i),'-3035','-3035','02', '11000003','00','Request by Mr. Omair Ali 30-Apr-2025');</v>
      </c>
      <c r="H1343" s="25" t="str">
        <f t="shared" si="83"/>
        <v>insert into ins_premium_det (premium_rcv_code,assorted_code, rec_amount,premium_rcv_detail_code,remaining_amt, payrec, mode_code,coinsurance_code,class_cd,it_remarks) values('29Apr250042','050000822497','-3035',(select max(to_number(i.premium_rcv_detail_code))+1
from ins_premium_det i),'-3035','-3035','02', '11000003','00','Request by Mr. Omair Ali 30-Apr-2025');</v>
      </c>
    </row>
    <row r="1344" spans="1:8" ht="105" x14ac:dyDescent="0.25">
      <c r="A1344" t="s">
        <v>1951</v>
      </c>
      <c r="B1344" s="1" t="str">
        <f>VLOOKUP(A1344,Sheet5!B:C,2,0)</f>
        <v>050000822498</v>
      </c>
      <c r="C1344" s="13">
        <v>-3505</v>
      </c>
      <c r="D1344" s="22">
        <f t="shared" si="81"/>
        <v>-3505</v>
      </c>
      <c r="E1344" s="21" t="s">
        <v>5912</v>
      </c>
      <c r="F1344" s="23" t="str">
        <f t="shared" si="80"/>
        <v>insert into ins_premium_det (premium_rcv_code,assorted_code, rec_amount,premium_rcv_detail_code,remaining_amt, payrec, mode_code,coinsurance_code,class_cd,it_remarks) values</v>
      </c>
      <c r="G1344" s="24" t="str">
        <f t="shared" si="82"/>
        <v>('29Apr250042','050000822498','-3505',(select max(to_number(i.premium_rcv_detail_code))+1
from ins_premium_det i),'-3505','-3505','02', '11000003','00','Request by Mr. Omair Ali 30-Apr-2025');</v>
      </c>
      <c r="H1344" s="25" t="str">
        <f t="shared" si="83"/>
        <v>insert into ins_premium_det (premium_rcv_code,assorted_code, rec_amount,premium_rcv_detail_code,remaining_amt, payrec, mode_code,coinsurance_code,class_cd,it_remarks) values('29Apr250042','050000822498','-3505',(select max(to_number(i.premium_rcv_detail_code))+1
from ins_premium_det i),'-3505','-3505','02', '11000003','00','Request by Mr. Omair Ali 30-Apr-2025');</v>
      </c>
    </row>
    <row r="1345" spans="1:8" ht="105" x14ac:dyDescent="0.25">
      <c r="A1345" t="s">
        <v>1881</v>
      </c>
      <c r="B1345" s="1" t="str">
        <f>VLOOKUP(A1345,Sheet5!B:C,2,0)</f>
        <v>050000822499</v>
      </c>
      <c r="C1345" s="13">
        <v>-3956</v>
      </c>
      <c r="D1345" s="22">
        <f t="shared" si="81"/>
        <v>-3956</v>
      </c>
      <c r="E1345" s="21" t="s">
        <v>5912</v>
      </c>
      <c r="F1345" s="23" t="str">
        <f t="shared" si="80"/>
        <v>insert into ins_premium_det (premium_rcv_code,assorted_code, rec_amount,premium_rcv_detail_code,remaining_amt, payrec, mode_code,coinsurance_code,class_cd,it_remarks) values</v>
      </c>
      <c r="G1345" s="24" t="str">
        <f t="shared" si="82"/>
        <v>('29Apr250042','050000822499','-3956',(select max(to_number(i.premium_rcv_detail_code))+1
from ins_premium_det i),'-3956','-3956','02', '11000003','00','Request by Mr. Omair Ali 30-Apr-2025');</v>
      </c>
      <c r="H1345" s="25" t="str">
        <f t="shared" si="83"/>
        <v>insert into ins_premium_det (premium_rcv_code,assorted_code, rec_amount,premium_rcv_detail_code,remaining_amt, payrec, mode_code,coinsurance_code,class_cd,it_remarks) values('29Apr250042','050000822499','-3956',(select max(to_number(i.premium_rcv_detail_code))+1
from ins_premium_det i),'-3956','-3956','02', '11000003','00','Request by Mr. Omair Ali 30-Apr-2025');</v>
      </c>
    </row>
    <row r="1346" spans="1:8" ht="105" x14ac:dyDescent="0.25">
      <c r="A1346" t="s">
        <v>1175</v>
      </c>
      <c r="B1346" s="1" t="str">
        <f>VLOOKUP(A1346,Sheet5!B:C,2,0)</f>
        <v>050000822500</v>
      </c>
      <c r="C1346" s="13">
        <v>-155482</v>
      </c>
      <c r="D1346" s="22">
        <f t="shared" si="81"/>
        <v>-155482</v>
      </c>
      <c r="E1346" s="21" t="s">
        <v>5912</v>
      </c>
      <c r="F1346" s="23" t="str">
        <f t="shared" ref="F1346:F1409" si="8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46" s="24" t="str">
        <f t="shared" si="82"/>
        <v>('29Apr250042','050000822500','-155482',(select max(to_number(i.premium_rcv_detail_code))+1
from ins_premium_det i),'-155482','-155482','02', '11000003','00','Request by Mr. Omair Ali 30-Apr-2025');</v>
      </c>
      <c r="H1346" s="25" t="str">
        <f t="shared" si="83"/>
        <v>insert into ins_premium_det (premium_rcv_code,assorted_code, rec_amount,premium_rcv_detail_code,remaining_amt, payrec, mode_code,coinsurance_code,class_cd,it_remarks) values('29Apr250042','050000822500','-155482',(select max(to_number(i.premium_rcv_detail_code))+1
from ins_premium_det i),'-155482','-155482','02', '11000003','00','Request by Mr. Omair Ali 30-Apr-2025');</v>
      </c>
    </row>
    <row r="1347" spans="1:8" ht="105" x14ac:dyDescent="0.25">
      <c r="A1347" t="s">
        <v>1013</v>
      </c>
      <c r="B1347" s="1" t="str">
        <f>VLOOKUP(A1347,Sheet5!B:C,2,0)</f>
        <v>050000822501</v>
      </c>
      <c r="C1347" s="13">
        <v>-218220</v>
      </c>
      <c r="D1347" s="22">
        <f t="shared" ref="D1347:D1410" si="85">ROUND(C1347,0)</f>
        <v>-218220</v>
      </c>
      <c r="E1347" s="21" t="s">
        <v>5912</v>
      </c>
      <c r="F1347" s="23" t="str">
        <f t="shared" si="84"/>
        <v>insert into ins_premium_det (premium_rcv_code,assorted_code, rec_amount,premium_rcv_detail_code,remaining_amt, payrec, mode_code,coinsurance_code,class_cd,it_remarks) values</v>
      </c>
      <c r="G1347" s="24" t="str">
        <f t="shared" ref="G1347:G1410" si="86">"('"&amp;E1347&amp;"','"&amp;B1347&amp;"','"&amp;D1347&amp;"',(select max(to_number(i.premium_rcv_detail_code))+1
from ins_premium_det i),'"&amp;D1347&amp;"','"&amp;D1347&amp;"','02', '11000003','00','Request by Mr. Omair Ali 30-Apr-2025');"</f>
        <v>('29Apr250042','050000822501','-218220',(select max(to_number(i.premium_rcv_detail_code))+1
from ins_premium_det i),'-218220','-218220','02', '11000003','00','Request by Mr. Omair Ali 30-Apr-2025');</v>
      </c>
      <c r="H1347" s="25" t="str">
        <f t="shared" ref="H1347:H1410" si="87">F1347&amp;G1347</f>
        <v>insert into ins_premium_det (premium_rcv_code,assorted_code, rec_amount,premium_rcv_detail_code,remaining_amt, payrec, mode_code,coinsurance_code,class_cd,it_remarks) values('29Apr250042','050000822501','-218220',(select max(to_number(i.premium_rcv_detail_code))+1
from ins_premium_det i),'-218220','-218220','02', '11000003','00','Request by Mr. Omair Ali 30-Apr-2025');</v>
      </c>
    </row>
    <row r="1348" spans="1:8" ht="105" x14ac:dyDescent="0.25">
      <c r="A1348" t="s">
        <v>764</v>
      </c>
      <c r="B1348" s="1" t="str">
        <f>VLOOKUP(A1348,Sheet5!B:C,2,0)</f>
        <v>050000822502</v>
      </c>
      <c r="C1348" s="13">
        <v>-162684</v>
      </c>
      <c r="D1348" s="22">
        <f t="shared" si="85"/>
        <v>-162684</v>
      </c>
      <c r="E1348" s="21" t="s">
        <v>5912</v>
      </c>
      <c r="F1348" s="23" t="str">
        <f t="shared" si="84"/>
        <v>insert into ins_premium_det (premium_rcv_code,assorted_code, rec_amount,premium_rcv_detail_code,remaining_amt, payrec, mode_code,coinsurance_code,class_cd,it_remarks) values</v>
      </c>
      <c r="G1348" s="24" t="str">
        <f t="shared" si="86"/>
        <v>('29Apr250042','050000822502','-162684',(select max(to_number(i.premium_rcv_detail_code))+1
from ins_premium_det i),'-162684','-162684','02', '11000003','00','Request by Mr. Omair Ali 30-Apr-2025');</v>
      </c>
      <c r="H1348" s="25" t="str">
        <f t="shared" si="87"/>
        <v>insert into ins_premium_det (premium_rcv_code,assorted_code, rec_amount,premium_rcv_detail_code,remaining_amt, payrec, mode_code,coinsurance_code,class_cd,it_remarks) values('29Apr250042','050000822502','-162684',(select max(to_number(i.premium_rcv_detail_code))+1
from ins_premium_det i),'-162684','-162684','02', '11000003','00','Request by Mr. Omair Ali 30-Apr-2025');</v>
      </c>
    </row>
    <row r="1349" spans="1:8" ht="105" x14ac:dyDescent="0.25">
      <c r="A1349" t="s">
        <v>1751</v>
      </c>
      <c r="B1349" s="1" t="str">
        <f>VLOOKUP(A1349,Sheet5!B:C,2,0)</f>
        <v>050000822503</v>
      </c>
      <c r="C1349" s="13">
        <v>-213</v>
      </c>
      <c r="D1349" s="22">
        <f t="shared" si="85"/>
        <v>-213</v>
      </c>
      <c r="E1349" s="21" t="s">
        <v>5912</v>
      </c>
      <c r="F1349" s="23" t="str">
        <f t="shared" si="84"/>
        <v>insert into ins_premium_det (premium_rcv_code,assorted_code, rec_amount,premium_rcv_detail_code,remaining_amt, payrec, mode_code,coinsurance_code,class_cd,it_remarks) values</v>
      </c>
      <c r="G1349" s="24" t="str">
        <f t="shared" si="86"/>
        <v>('29Apr250042','050000822503','-213',(select max(to_number(i.premium_rcv_detail_code))+1
from ins_premium_det i),'-213','-213','02', '11000003','00','Request by Mr. Omair Ali 30-Apr-2025');</v>
      </c>
      <c r="H1349" s="25" t="str">
        <f t="shared" si="87"/>
        <v>insert into ins_premium_det (premium_rcv_code,assorted_code, rec_amount,premium_rcv_detail_code,remaining_amt, payrec, mode_code,coinsurance_code,class_cd,it_remarks) values('29Apr250042','050000822503','-213',(select max(to_number(i.premium_rcv_detail_code))+1
from ins_premium_det i),'-213','-213','02', '11000003','00','Request by Mr. Omair Ali 30-Apr-2025');</v>
      </c>
    </row>
    <row r="1350" spans="1:8" ht="105" x14ac:dyDescent="0.25">
      <c r="A1350" t="s">
        <v>1874</v>
      </c>
      <c r="B1350" s="1" t="str">
        <f>VLOOKUP(A1350,Sheet5!B:C,2,0)</f>
        <v>050000822504</v>
      </c>
      <c r="C1350" s="13">
        <v>-6641</v>
      </c>
      <c r="D1350" s="22">
        <f t="shared" si="85"/>
        <v>-6641</v>
      </c>
      <c r="E1350" s="21" t="s">
        <v>5912</v>
      </c>
      <c r="F1350" s="23" t="str">
        <f t="shared" si="84"/>
        <v>insert into ins_premium_det (premium_rcv_code,assorted_code, rec_amount,premium_rcv_detail_code,remaining_amt, payrec, mode_code,coinsurance_code,class_cd,it_remarks) values</v>
      </c>
      <c r="G1350" s="24" t="str">
        <f t="shared" si="86"/>
        <v>('29Apr250042','050000822504','-6641',(select max(to_number(i.premium_rcv_detail_code))+1
from ins_premium_det i),'-6641','-6641','02', '11000003','00','Request by Mr. Omair Ali 30-Apr-2025');</v>
      </c>
      <c r="H1350" s="25" t="str">
        <f t="shared" si="87"/>
        <v>insert into ins_premium_det (premium_rcv_code,assorted_code, rec_amount,premium_rcv_detail_code,remaining_amt, payrec, mode_code,coinsurance_code,class_cd,it_remarks) values('29Apr250042','050000822504','-6641',(select max(to_number(i.premium_rcv_detail_code))+1
from ins_premium_det i),'-6641','-6641','02', '11000003','00','Request by Mr. Omair Ali 30-Apr-2025');</v>
      </c>
    </row>
    <row r="1351" spans="1:8" ht="105" x14ac:dyDescent="0.25">
      <c r="A1351" t="s">
        <v>1136</v>
      </c>
      <c r="B1351" s="1" t="str">
        <f>VLOOKUP(A1351,Sheet5!B:C,2,0)</f>
        <v>050000822506</v>
      </c>
      <c r="C1351" s="13">
        <v>-67231</v>
      </c>
      <c r="D1351" s="22">
        <f t="shared" si="85"/>
        <v>-67231</v>
      </c>
      <c r="E1351" s="21" t="s">
        <v>5912</v>
      </c>
      <c r="F1351" s="23" t="str">
        <f t="shared" si="84"/>
        <v>insert into ins_premium_det (premium_rcv_code,assorted_code, rec_amount,premium_rcv_detail_code,remaining_amt, payrec, mode_code,coinsurance_code,class_cd,it_remarks) values</v>
      </c>
      <c r="G1351" s="24" t="str">
        <f t="shared" si="86"/>
        <v>('29Apr250042','050000822506','-67231',(select max(to_number(i.premium_rcv_detail_code))+1
from ins_premium_det i),'-67231','-67231','02', '11000003','00','Request by Mr. Omair Ali 30-Apr-2025');</v>
      </c>
      <c r="H1351" s="25" t="str">
        <f t="shared" si="87"/>
        <v>insert into ins_premium_det (premium_rcv_code,assorted_code, rec_amount,premium_rcv_detail_code,remaining_amt, payrec, mode_code,coinsurance_code,class_cd,it_remarks) values('29Apr250042','050000822506','-67231',(select max(to_number(i.premium_rcv_detail_code))+1
from ins_premium_det i),'-67231','-67231','02', '11000003','00','Request by Mr. Omair Ali 30-Apr-2025');</v>
      </c>
    </row>
    <row r="1352" spans="1:8" ht="105" x14ac:dyDescent="0.25">
      <c r="A1352" t="s">
        <v>905</v>
      </c>
      <c r="B1352" s="1" t="str">
        <f>VLOOKUP(A1352,Sheet5!B:C,2,0)</f>
        <v>050000822507</v>
      </c>
      <c r="C1352" s="13">
        <v>-39118</v>
      </c>
      <c r="D1352" s="22">
        <f t="shared" si="85"/>
        <v>-39118</v>
      </c>
      <c r="E1352" s="21" t="s">
        <v>5912</v>
      </c>
      <c r="F1352" s="23" t="str">
        <f t="shared" si="84"/>
        <v>insert into ins_premium_det (premium_rcv_code,assorted_code, rec_amount,premium_rcv_detail_code,remaining_amt, payrec, mode_code,coinsurance_code,class_cd,it_remarks) values</v>
      </c>
      <c r="G1352" s="24" t="str">
        <f t="shared" si="86"/>
        <v>('29Apr250042','050000822507','-39118',(select max(to_number(i.premium_rcv_detail_code))+1
from ins_premium_det i),'-39118','-39118','02', '11000003','00','Request by Mr. Omair Ali 30-Apr-2025');</v>
      </c>
      <c r="H1352" s="25" t="str">
        <f t="shared" si="87"/>
        <v>insert into ins_premium_det (premium_rcv_code,assorted_code, rec_amount,premium_rcv_detail_code,remaining_amt, payrec, mode_code,coinsurance_code,class_cd,it_remarks) values('29Apr250042','050000822507','-39118',(select max(to_number(i.premium_rcv_detail_code))+1
from ins_premium_det i),'-39118','-39118','02', '11000003','00','Request by Mr. Omair Ali 30-Apr-2025');</v>
      </c>
    </row>
    <row r="1353" spans="1:8" ht="105" x14ac:dyDescent="0.25">
      <c r="A1353" t="s">
        <v>1532</v>
      </c>
      <c r="B1353" s="1" t="str">
        <f>VLOOKUP(A1353,Sheet5!B:C,2,0)</f>
        <v>050000822508</v>
      </c>
      <c r="C1353" s="13">
        <v>-2605</v>
      </c>
      <c r="D1353" s="22">
        <f t="shared" si="85"/>
        <v>-2605</v>
      </c>
      <c r="E1353" s="21" t="s">
        <v>5912</v>
      </c>
      <c r="F1353" s="23" t="str">
        <f t="shared" si="84"/>
        <v>insert into ins_premium_det (premium_rcv_code,assorted_code, rec_amount,premium_rcv_detail_code,remaining_amt, payrec, mode_code,coinsurance_code,class_cd,it_remarks) values</v>
      </c>
      <c r="G1353" s="24" t="str">
        <f t="shared" si="86"/>
        <v>('29Apr250042','050000822508','-2605',(select max(to_number(i.premium_rcv_detail_code))+1
from ins_premium_det i),'-2605','-2605','02', '11000003','00','Request by Mr. Omair Ali 30-Apr-2025');</v>
      </c>
      <c r="H1353" s="25" t="str">
        <f t="shared" si="87"/>
        <v>insert into ins_premium_det (premium_rcv_code,assorted_code, rec_amount,premium_rcv_detail_code,remaining_amt, payrec, mode_code,coinsurance_code,class_cd,it_remarks) values('29Apr250042','050000822508','-2605',(select max(to_number(i.premium_rcv_detail_code))+1
from ins_premium_det i),'-2605','-2605','02', '11000003','00','Request by Mr. Omair Ali 30-Apr-2025');</v>
      </c>
    </row>
    <row r="1354" spans="1:8" ht="105" x14ac:dyDescent="0.25">
      <c r="A1354" t="s">
        <v>1561</v>
      </c>
      <c r="B1354" s="1" t="str">
        <f>VLOOKUP(A1354,Sheet5!B:C,2,0)</f>
        <v>050000822509</v>
      </c>
      <c r="C1354" s="13">
        <v>-2543</v>
      </c>
      <c r="D1354" s="22">
        <f t="shared" si="85"/>
        <v>-2543</v>
      </c>
      <c r="E1354" s="21" t="s">
        <v>5912</v>
      </c>
      <c r="F1354" s="23" t="str">
        <f t="shared" si="84"/>
        <v>insert into ins_premium_det (premium_rcv_code,assorted_code, rec_amount,premium_rcv_detail_code,remaining_amt, payrec, mode_code,coinsurance_code,class_cd,it_remarks) values</v>
      </c>
      <c r="G1354" s="24" t="str">
        <f t="shared" si="86"/>
        <v>('29Apr250042','050000822509','-2543',(select max(to_number(i.premium_rcv_detail_code))+1
from ins_premium_det i),'-2543','-2543','02', '11000003','00','Request by Mr. Omair Ali 30-Apr-2025');</v>
      </c>
      <c r="H1354" s="25" t="str">
        <f t="shared" si="87"/>
        <v>insert into ins_premium_det (premium_rcv_code,assorted_code, rec_amount,premium_rcv_detail_code,remaining_amt, payrec, mode_code,coinsurance_code,class_cd,it_remarks) values('29Apr250042','050000822509','-2543',(select max(to_number(i.premium_rcv_detail_code))+1
from ins_premium_det i),'-2543','-2543','02', '11000003','00','Request by Mr. Omair Ali 30-Apr-2025');</v>
      </c>
    </row>
    <row r="1355" spans="1:8" ht="105" x14ac:dyDescent="0.25">
      <c r="A1355" t="s">
        <v>1787</v>
      </c>
      <c r="B1355" s="1" t="str">
        <f>VLOOKUP(A1355,Sheet5!B:C,2,0)</f>
        <v>050000822510</v>
      </c>
      <c r="C1355" s="13">
        <v>-33845</v>
      </c>
      <c r="D1355" s="22">
        <f t="shared" si="85"/>
        <v>-33845</v>
      </c>
      <c r="E1355" s="21" t="s">
        <v>5912</v>
      </c>
      <c r="F1355" s="23" t="str">
        <f t="shared" si="84"/>
        <v>insert into ins_premium_det (premium_rcv_code,assorted_code, rec_amount,premium_rcv_detail_code,remaining_amt, payrec, mode_code,coinsurance_code,class_cd,it_remarks) values</v>
      </c>
      <c r="G1355" s="24" t="str">
        <f t="shared" si="86"/>
        <v>('29Apr250042','050000822510','-33845',(select max(to_number(i.premium_rcv_detail_code))+1
from ins_premium_det i),'-33845','-33845','02', '11000003','00','Request by Mr. Omair Ali 30-Apr-2025');</v>
      </c>
      <c r="H1355" s="25" t="str">
        <f t="shared" si="87"/>
        <v>insert into ins_premium_det (premium_rcv_code,assorted_code, rec_amount,premium_rcv_detail_code,remaining_amt, payrec, mode_code,coinsurance_code,class_cd,it_remarks) values('29Apr250042','050000822510','-33845',(select max(to_number(i.premium_rcv_detail_code))+1
from ins_premium_det i),'-33845','-33845','02', '11000003','00','Request by Mr. Omair Ali 30-Apr-2025');</v>
      </c>
    </row>
    <row r="1356" spans="1:8" ht="105" x14ac:dyDescent="0.25">
      <c r="A1356" t="s">
        <v>1188</v>
      </c>
      <c r="B1356" s="1" t="str">
        <f>VLOOKUP(A1356,Sheet5!B:C,2,0)</f>
        <v>050000822511</v>
      </c>
      <c r="C1356" s="13">
        <v>-56431</v>
      </c>
      <c r="D1356" s="22">
        <f t="shared" si="85"/>
        <v>-56431</v>
      </c>
      <c r="E1356" s="21" t="s">
        <v>5912</v>
      </c>
      <c r="F1356" s="23" t="str">
        <f t="shared" si="84"/>
        <v>insert into ins_premium_det (premium_rcv_code,assorted_code, rec_amount,premium_rcv_detail_code,remaining_amt, payrec, mode_code,coinsurance_code,class_cd,it_remarks) values</v>
      </c>
      <c r="G1356" s="24" t="str">
        <f t="shared" si="86"/>
        <v>('29Apr250042','050000822511','-56431',(select max(to_number(i.premium_rcv_detail_code))+1
from ins_premium_det i),'-56431','-56431','02', '11000003','00','Request by Mr. Omair Ali 30-Apr-2025');</v>
      </c>
      <c r="H1356" s="25" t="str">
        <f t="shared" si="87"/>
        <v>insert into ins_premium_det (premium_rcv_code,assorted_code, rec_amount,premium_rcv_detail_code,remaining_amt, payrec, mode_code,coinsurance_code,class_cd,it_remarks) values('29Apr250042','050000822511','-56431',(select max(to_number(i.premium_rcv_detail_code))+1
from ins_premium_det i),'-56431','-56431','02', '11000003','00','Request by Mr. Omair Ali 30-Apr-2025');</v>
      </c>
    </row>
    <row r="1357" spans="1:8" ht="105" x14ac:dyDescent="0.25">
      <c r="A1357" t="s">
        <v>1759</v>
      </c>
      <c r="B1357" s="1" t="str">
        <f>VLOOKUP(A1357,Sheet5!B:C,2,0)</f>
        <v>050000822512</v>
      </c>
      <c r="C1357" s="13">
        <v>-24577</v>
      </c>
      <c r="D1357" s="22">
        <f t="shared" si="85"/>
        <v>-24577</v>
      </c>
      <c r="E1357" s="21" t="s">
        <v>5912</v>
      </c>
      <c r="F1357" s="23" t="str">
        <f t="shared" si="84"/>
        <v>insert into ins_premium_det (premium_rcv_code,assorted_code, rec_amount,premium_rcv_detail_code,remaining_amt, payrec, mode_code,coinsurance_code,class_cd,it_remarks) values</v>
      </c>
      <c r="G1357" s="24" t="str">
        <f t="shared" si="86"/>
        <v>('29Apr250042','050000822512','-24577',(select max(to_number(i.premium_rcv_detail_code))+1
from ins_premium_det i),'-24577','-24577','02', '11000003','00','Request by Mr. Omair Ali 30-Apr-2025');</v>
      </c>
      <c r="H1357" s="25" t="str">
        <f t="shared" si="87"/>
        <v>insert into ins_premium_det (premium_rcv_code,assorted_code, rec_amount,premium_rcv_detail_code,remaining_amt, payrec, mode_code,coinsurance_code,class_cd,it_remarks) values('29Apr250042','050000822512','-24577',(select max(to_number(i.premium_rcv_detail_code))+1
from ins_premium_det i),'-24577','-24577','02', '11000003','00','Request by Mr. Omair Ali 30-Apr-2025');</v>
      </c>
    </row>
    <row r="1358" spans="1:8" ht="105" x14ac:dyDescent="0.25">
      <c r="A1358" t="s">
        <v>1812</v>
      </c>
      <c r="B1358" s="1" t="str">
        <f>VLOOKUP(A1358,Sheet5!B:C,2,0)</f>
        <v>050000822513</v>
      </c>
      <c r="C1358" s="13">
        <v>-27615</v>
      </c>
      <c r="D1358" s="22">
        <f t="shared" si="85"/>
        <v>-27615</v>
      </c>
      <c r="E1358" s="21" t="s">
        <v>5912</v>
      </c>
      <c r="F1358" s="23" t="str">
        <f t="shared" si="84"/>
        <v>insert into ins_premium_det (premium_rcv_code,assorted_code, rec_amount,premium_rcv_detail_code,remaining_amt, payrec, mode_code,coinsurance_code,class_cd,it_remarks) values</v>
      </c>
      <c r="G1358" s="24" t="str">
        <f t="shared" si="86"/>
        <v>('29Apr250042','050000822513','-27615',(select max(to_number(i.premium_rcv_detail_code))+1
from ins_premium_det i),'-27615','-27615','02', '11000003','00','Request by Mr. Omair Ali 30-Apr-2025');</v>
      </c>
      <c r="H1358" s="25" t="str">
        <f t="shared" si="87"/>
        <v>insert into ins_premium_det (premium_rcv_code,assorted_code, rec_amount,premium_rcv_detail_code,remaining_amt, payrec, mode_code,coinsurance_code,class_cd,it_remarks) values('29Apr250042','050000822513','-27615',(select max(to_number(i.premium_rcv_detail_code))+1
from ins_premium_det i),'-27615','-27615','02', '11000003','00','Request by Mr. Omair Ali 30-Apr-2025');</v>
      </c>
    </row>
    <row r="1359" spans="1:8" ht="105" x14ac:dyDescent="0.25">
      <c r="A1359" t="s">
        <v>1378</v>
      </c>
      <c r="B1359" s="1" t="str">
        <f>VLOOKUP(A1359,Sheet5!B:C,2,0)</f>
        <v>050000822514</v>
      </c>
      <c r="C1359" s="13">
        <v>-21794</v>
      </c>
      <c r="D1359" s="22">
        <f t="shared" si="85"/>
        <v>-21794</v>
      </c>
      <c r="E1359" s="21" t="s">
        <v>5912</v>
      </c>
      <c r="F1359" s="23" t="str">
        <f t="shared" si="84"/>
        <v>insert into ins_premium_det (premium_rcv_code,assorted_code, rec_amount,premium_rcv_detail_code,remaining_amt, payrec, mode_code,coinsurance_code,class_cd,it_remarks) values</v>
      </c>
      <c r="G1359" s="24" t="str">
        <f t="shared" si="86"/>
        <v>('29Apr250042','050000822514','-21794',(select max(to_number(i.premium_rcv_detail_code))+1
from ins_premium_det i),'-21794','-21794','02', '11000003','00','Request by Mr. Omair Ali 30-Apr-2025');</v>
      </c>
      <c r="H1359" s="25" t="str">
        <f t="shared" si="87"/>
        <v>insert into ins_premium_det (premium_rcv_code,assorted_code, rec_amount,premium_rcv_detail_code,remaining_amt, payrec, mode_code,coinsurance_code,class_cd,it_remarks) values('29Apr250042','050000822514','-21794',(select max(to_number(i.premium_rcv_detail_code))+1
from ins_premium_det i),'-21794','-21794','02', '11000003','00','Request by Mr. Omair Ali 30-Apr-2025');</v>
      </c>
    </row>
    <row r="1360" spans="1:8" ht="105" x14ac:dyDescent="0.25">
      <c r="A1360" t="s">
        <v>1058</v>
      </c>
      <c r="B1360" s="1" t="str">
        <f>VLOOKUP(A1360,Sheet5!B:C,2,0)</f>
        <v>050000822515</v>
      </c>
      <c r="C1360" s="13">
        <v>-64380</v>
      </c>
      <c r="D1360" s="22">
        <f t="shared" si="85"/>
        <v>-64380</v>
      </c>
      <c r="E1360" s="21" t="s">
        <v>5912</v>
      </c>
      <c r="F1360" s="23" t="str">
        <f t="shared" si="84"/>
        <v>insert into ins_premium_det (premium_rcv_code,assorted_code, rec_amount,premium_rcv_detail_code,remaining_amt, payrec, mode_code,coinsurance_code,class_cd,it_remarks) values</v>
      </c>
      <c r="G1360" s="24" t="str">
        <f t="shared" si="86"/>
        <v>('29Apr250042','050000822515','-64380',(select max(to_number(i.premium_rcv_detail_code))+1
from ins_premium_det i),'-64380','-64380','02', '11000003','00','Request by Mr. Omair Ali 30-Apr-2025');</v>
      </c>
      <c r="H1360" s="25" t="str">
        <f t="shared" si="87"/>
        <v>insert into ins_premium_det (premium_rcv_code,assorted_code, rec_amount,premium_rcv_detail_code,remaining_amt, payrec, mode_code,coinsurance_code,class_cd,it_remarks) values('29Apr250042','050000822515','-64380',(select max(to_number(i.premium_rcv_detail_code))+1
from ins_premium_det i),'-64380','-64380','02', '11000003','00','Request by Mr. Omair Ali 30-Apr-2025');</v>
      </c>
    </row>
    <row r="1361" spans="1:8" ht="105" x14ac:dyDescent="0.25">
      <c r="A1361" t="s">
        <v>775</v>
      </c>
      <c r="B1361" s="1" t="str">
        <f>VLOOKUP(A1361,Sheet5!B:C,2,0)</f>
        <v>050000822516</v>
      </c>
      <c r="C1361" s="13">
        <v>-59191</v>
      </c>
      <c r="D1361" s="22">
        <f t="shared" si="85"/>
        <v>-59191</v>
      </c>
      <c r="E1361" s="21" t="s">
        <v>5912</v>
      </c>
      <c r="F1361" s="23" t="str">
        <f t="shared" si="84"/>
        <v>insert into ins_premium_det (premium_rcv_code,assorted_code, rec_amount,premium_rcv_detail_code,remaining_amt, payrec, mode_code,coinsurance_code,class_cd,it_remarks) values</v>
      </c>
      <c r="G1361" s="24" t="str">
        <f t="shared" si="86"/>
        <v>('29Apr250042','050000822516','-59191',(select max(to_number(i.premium_rcv_detail_code))+1
from ins_premium_det i),'-59191','-59191','02', '11000003','00','Request by Mr. Omair Ali 30-Apr-2025');</v>
      </c>
      <c r="H1361" s="25" t="str">
        <f t="shared" si="87"/>
        <v>insert into ins_premium_det (premium_rcv_code,assorted_code, rec_amount,premium_rcv_detail_code,remaining_amt, payrec, mode_code,coinsurance_code,class_cd,it_remarks) values('29Apr250042','050000822516','-59191',(select max(to_number(i.premium_rcv_detail_code))+1
from ins_premium_det i),'-59191','-59191','02', '11000003','00','Request by Mr. Omair Ali 30-Apr-2025');</v>
      </c>
    </row>
    <row r="1362" spans="1:8" ht="105" x14ac:dyDescent="0.25">
      <c r="A1362" t="s">
        <v>1428</v>
      </c>
      <c r="B1362" s="1" t="str">
        <f>VLOOKUP(A1362,Sheet5!B:C,2,0)</f>
        <v>050000822517</v>
      </c>
      <c r="C1362" s="13">
        <v>-18187</v>
      </c>
      <c r="D1362" s="22">
        <f t="shared" si="85"/>
        <v>-18187</v>
      </c>
      <c r="E1362" s="21" t="s">
        <v>5912</v>
      </c>
      <c r="F1362" s="23" t="str">
        <f t="shared" si="84"/>
        <v>insert into ins_premium_det (premium_rcv_code,assorted_code, rec_amount,premium_rcv_detail_code,remaining_amt, payrec, mode_code,coinsurance_code,class_cd,it_remarks) values</v>
      </c>
      <c r="G1362" s="24" t="str">
        <f t="shared" si="86"/>
        <v>('29Apr250042','050000822517','-18187',(select max(to_number(i.premium_rcv_detail_code))+1
from ins_premium_det i),'-18187','-18187','02', '11000003','00','Request by Mr. Omair Ali 30-Apr-2025');</v>
      </c>
      <c r="H1362" s="25" t="str">
        <f t="shared" si="87"/>
        <v>insert into ins_premium_det (premium_rcv_code,assorted_code, rec_amount,premium_rcv_detail_code,remaining_amt, payrec, mode_code,coinsurance_code,class_cd,it_remarks) values('29Apr250042','050000822517','-18187',(select max(to_number(i.premium_rcv_detail_code))+1
from ins_premium_det i),'-18187','-18187','02', '11000003','00','Request by Mr. Omair Ali 30-Apr-2025');</v>
      </c>
    </row>
    <row r="1363" spans="1:8" ht="105" x14ac:dyDescent="0.25">
      <c r="A1363" t="s">
        <v>833</v>
      </c>
      <c r="B1363" s="1" t="str">
        <f>VLOOKUP(A1363,Sheet5!B:C,2,0)</f>
        <v>050000822518</v>
      </c>
      <c r="C1363" s="13">
        <v>-49637</v>
      </c>
      <c r="D1363" s="22">
        <f t="shared" si="85"/>
        <v>-49637</v>
      </c>
      <c r="E1363" s="21" t="s">
        <v>5912</v>
      </c>
      <c r="F1363" s="23" t="str">
        <f t="shared" si="84"/>
        <v>insert into ins_premium_det (premium_rcv_code,assorted_code, rec_amount,premium_rcv_detail_code,remaining_amt, payrec, mode_code,coinsurance_code,class_cd,it_remarks) values</v>
      </c>
      <c r="G1363" s="24" t="str">
        <f t="shared" si="86"/>
        <v>('29Apr250042','050000822518','-49637',(select max(to_number(i.premium_rcv_detail_code))+1
from ins_premium_det i),'-49637','-49637','02', '11000003','00','Request by Mr. Omair Ali 30-Apr-2025');</v>
      </c>
      <c r="H1363" s="25" t="str">
        <f t="shared" si="87"/>
        <v>insert into ins_premium_det (premium_rcv_code,assorted_code, rec_amount,premium_rcv_detail_code,remaining_amt, payrec, mode_code,coinsurance_code,class_cd,it_remarks) values('29Apr250042','050000822518','-49637',(select max(to_number(i.premium_rcv_detail_code))+1
from ins_premium_det i),'-49637','-49637','02', '11000003','00','Request by Mr. Omair Ali 30-Apr-2025');</v>
      </c>
    </row>
    <row r="1364" spans="1:8" ht="105" x14ac:dyDescent="0.25">
      <c r="A1364" t="s">
        <v>1449</v>
      </c>
      <c r="B1364" s="1" t="str">
        <f>VLOOKUP(A1364,Sheet5!B:C,2,0)</f>
        <v>050000822520</v>
      </c>
      <c r="C1364" s="13">
        <v>-1905</v>
      </c>
      <c r="D1364" s="22">
        <f t="shared" si="85"/>
        <v>-1905</v>
      </c>
      <c r="E1364" s="21" t="s">
        <v>5912</v>
      </c>
      <c r="F1364" s="23" t="str">
        <f t="shared" si="84"/>
        <v>insert into ins_premium_det (premium_rcv_code,assorted_code, rec_amount,premium_rcv_detail_code,remaining_amt, payrec, mode_code,coinsurance_code,class_cd,it_remarks) values</v>
      </c>
      <c r="G1364" s="24" t="str">
        <f t="shared" si="86"/>
        <v>('29Apr250042','050000822520','-1905',(select max(to_number(i.premium_rcv_detail_code))+1
from ins_premium_det i),'-1905','-1905','02', '11000003','00','Request by Mr. Omair Ali 30-Apr-2025');</v>
      </c>
      <c r="H1364" s="25" t="str">
        <f t="shared" si="87"/>
        <v>insert into ins_premium_det (premium_rcv_code,assorted_code, rec_amount,premium_rcv_detail_code,remaining_amt, payrec, mode_code,coinsurance_code,class_cd,it_remarks) values('29Apr250042','050000822520','-1905',(select max(to_number(i.premium_rcv_detail_code))+1
from ins_premium_det i),'-1905','-1905','02', '11000003','00','Request by Mr. Omair Ali 30-Apr-2025');</v>
      </c>
    </row>
    <row r="1365" spans="1:8" ht="105" x14ac:dyDescent="0.25">
      <c r="A1365" t="s">
        <v>1838</v>
      </c>
      <c r="B1365" s="1" t="str">
        <f>VLOOKUP(A1365,Sheet5!B:C,2,0)</f>
        <v>050000822521</v>
      </c>
      <c r="C1365" s="13">
        <v>-1562</v>
      </c>
      <c r="D1365" s="22">
        <f t="shared" si="85"/>
        <v>-1562</v>
      </c>
      <c r="E1365" s="21" t="s">
        <v>5912</v>
      </c>
      <c r="F1365" s="23" t="str">
        <f t="shared" si="84"/>
        <v>insert into ins_premium_det (premium_rcv_code,assorted_code, rec_amount,premium_rcv_detail_code,remaining_amt, payrec, mode_code,coinsurance_code,class_cd,it_remarks) values</v>
      </c>
      <c r="G1365" s="24" t="str">
        <f t="shared" si="86"/>
        <v>('29Apr250042','050000822521','-1562',(select max(to_number(i.premium_rcv_detail_code))+1
from ins_premium_det i),'-1562','-1562','02', '11000003','00','Request by Mr. Omair Ali 30-Apr-2025');</v>
      </c>
      <c r="H1365" s="25" t="str">
        <f t="shared" si="87"/>
        <v>insert into ins_premium_det (premium_rcv_code,assorted_code, rec_amount,premium_rcv_detail_code,remaining_amt, payrec, mode_code,coinsurance_code,class_cd,it_remarks) values('29Apr250042','050000822521','-1562',(select max(to_number(i.premium_rcv_detail_code))+1
from ins_premium_det i),'-1562','-1562','02', '11000003','00','Request by Mr. Omair Ali 30-Apr-2025');</v>
      </c>
    </row>
    <row r="1366" spans="1:8" ht="105" x14ac:dyDescent="0.25">
      <c r="A1366" t="s">
        <v>885</v>
      </c>
      <c r="B1366" s="1" t="str">
        <f>VLOOKUP(A1366,Sheet5!B:C,2,0)</f>
        <v>050000822522</v>
      </c>
      <c r="C1366" s="13">
        <v>-59000</v>
      </c>
      <c r="D1366" s="22">
        <f t="shared" si="85"/>
        <v>-59000</v>
      </c>
      <c r="E1366" s="21" t="s">
        <v>5912</v>
      </c>
      <c r="F1366" s="23" t="str">
        <f t="shared" si="84"/>
        <v>insert into ins_premium_det (premium_rcv_code,assorted_code, rec_amount,premium_rcv_detail_code,remaining_amt, payrec, mode_code,coinsurance_code,class_cd,it_remarks) values</v>
      </c>
      <c r="G1366" s="24" t="str">
        <f t="shared" si="86"/>
        <v>('29Apr250042','050000822522','-59000',(select max(to_number(i.premium_rcv_detail_code))+1
from ins_premium_det i),'-59000','-59000','02', '11000003','00','Request by Mr. Omair Ali 30-Apr-2025');</v>
      </c>
      <c r="H1366" s="25" t="str">
        <f t="shared" si="87"/>
        <v>insert into ins_premium_det (premium_rcv_code,assorted_code, rec_amount,premium_rcv_detail_code,remaining_amt, payrec, mode_code,coinsurance_code,class_cd,it_remarks) values('29Apr250042','050000822522','-59000',(select max(to_number(i.premium_rcv_detail_code))+1
from ins_premium_det i),'-59000','-59000','02', '11000003','00','Request by Mr. Omair Ali 30-Apr-2025');</v>
      </c>
    </row>
    <row r="1367" spans="1:8" ht="105" x14ac:dyDescent="0.25">
      <c r="A1367" t="s">
        <v>1830</v>
      </c>
      <c r="B1367" s="1" t="str">
        <f>VLOOKUP(A1367,Sheet5!B:C,2,0)</f>
        <v>050000822523</v>
      </c>
      <c r="C1367" s="13">
        <v>-2174</v>
      </c>
      <c r="D1367" s="22">
        <f t="shared" si="85"/>
        <v>-2174</v>
      </c>
      <c r="E1367" s="21" t="s">
        <v>5912</v>
      </c>
      <c r="F1367" s="23" t="str">
        <f t="shared" si="84"/>
        <v>insert into ins_premium_det (premium_rcv_code,assorted_code, rec_amount,premium_rcv_detail_code,remaining_amt, payrec, mode_code,coinsurance_code,class_cd,it_remarks) values</v>
      </c>
      <c r="G1367" s="24" t="str">
        <f t="shared" si="86"/>
        <v>('29Apr250042','050000822523','-2174',(select max(to_number(i.premium_rcv_detail_code))+1
from ins_premium_det i),'-2174','-2174','02', '11000003','00','Request by Mr. Omair Ali 30-Apr-2025');</v>
      </c>
      <c r="H1367" s="25" t="str">
        <f t="shared" si="87"/>
        <v>insert into ins_premium_det (premium_rcv_code,assorted_code, rec_amount,premium_rcv_detail_code,remaining_amt, payrec, mode_code,coinsurance_code,class_cd,it_remarks) values('29Apr250042','050000822523','-2174',(select max(to_number(i.premium_rcv_detail_code))+1
from ins_premium_det i),'-2174','-2174','02', '11000003','00','Request by Mr. Omair Ali 30-Apr-2025');</v>
      </c>
    </row>
    <row r="1368" spans="1:8" ht="105" x14ac:dyDescent="0.25">
      <c r="A1368" t="s">
        <v>1574</v>
      </c>
      <c r="B1368" s="1" t="str">
        <f>VLOOKUP(A1368,Sheet5!B:C,2,0)</f>
        <v>050000822524</v>
      </c>
      <c r="C1368" s="13">
        <v>-2036</v>
      </c>
      <c r="D1368" s="22">
        <f t="shared" si="85"/>
        <v>-2036</v>
      </c>
      <c r="E1368" s="21" t="s">
        <v>5912</v>
      </c>
      <c r="F1368" s="23" t="str">
        <f t="shared" si="84"/>
        <v>insert into ins_premium_det (premium_rcv_code,assorted_code, rec_amount,premium_rcv_detail_code,remaining_amt, payrec, mode_code,coinsurance_code,class_cd,it_remarks) values</v>
      </c>
      <c r="G1368" s="24" t="str">
        <f t="shared" si="86"/>
        <v>('29Apr250042','050000822524','-2036',(select max(to_number(i.premium_rcv_detail_code))+1
from ins_premium_det i),'-2036','-2036','02', '11000003','00','Request by Mr. Omair Ali 30-Apr-2025');</v>
      </c>
      <c r="H1368" s="25" t="str">
        <f t="shared" si="87"/>
        <v>insert into ins_premium_det (premium_rcv_code,assorted_code, rec_amount,premium_rcv_detail_code,remaining_amt, payrec, mode_code,coinsurance_code,class_cd,it_remarks) values('29Apr250042','050000822524','-2036',(select max(to_number(i.premium_rcv_detail_code))+1
from ins_premium_det i),'-2036','-2036','02', '11000003','00','Request by Mr. Omair Ali 30-Apr-2025');</v>
      </c>
    </row>
    <row r="1369" spans="1:8" ht="105" x14ac:dyDescent="0.25">
      <c r="A1369" t="s">
        <v>1491</v>
      </c>
      <c r="B1369" s="1" t="str">
        <f>VLOOKUP(A1369,Sheet5!B:C,2,0)</f>
        <v>050000822526</v>
      </c>
      <c r="C1369" s="13">
        <v>-3101</v>
      </c>
      <c r="D1369" s="22">
        <f t="shared" si="85"/>
        <v>-3101</v>
      </c>
      <c r="E1369" s="21" t="s">
        <v>5912</v>
      </c>
      <c r="F1369" s="23" t="str">
        <f t="shared" si="84"/>
        <v>insert into ins_premium_det (premium_rcv_code,assorted_code, rec_amount,premium_rcv_detail_code,remaining_amt, payrec, mode_code,coinsurance_code,class_cd,it_remarks) values</v>
      </c>
      <c r="G1369" s="24" t="str">
        <f t="shared" si="86"/>
        <v>('29Apr250042','050000822526','-3101',(select max(to_number(i.premium_rcv_detail_code))+1
from ins_premium_det i),'-3101','-3101','02', '11000003','00','Request by Mr. Omair Ali 30-Apr-2025');</v>
      </c>
      <c r="H1369" s="25" t="str">
        <f t="shared" si="87"/>
        <v>insert into ins_premium_det (premium_rcv_code,assorted_code, rec_amount,premium_rcv_detail_code,remaining_amt, payrec, mode_code,coinsurance_code,class_cd,it_remarks) values('29Apr250042','050000822526','-3101',(select max(to_number(i.premium_rcv_detail_code))+1
from ins_premium_det i),'-3101','-3101','02', '11000003','00','Request by Mr. Omair Ali 30-Apr-2025');</v>
      </c>
    </row>
    <row r="1370" spans="1:8" ht="105" x14ac:dyDescent="0.25">
      <c r="A1370" t="s">
        <v>1123</v>
      </c>
      <c r="B1370" s="1" t="str">
        <f>VLOOKUP(A1370,Sheet5!B:C,2,0)</f>
        <v>050000822527</v>
      </c>
      <c r="C1370" s="13">
        <v>-53665</v>
      </c>
      <c r="D1370" s="22">
        <f t="shared" si="85"/>
        <v>-53665</v>
      </c>
      <c r="E1370" s="21" t="s">
        <v>5912</v>
      </c>
      <c r="F1370" s="23" t="str">
        <f t="shared" si="84"/>
        <v>insert into ins_premium_det (premium_rcv_code,assorted_code, rec_amount,premium_rcv_detail_code,remaining_amt, payrec, mode_code,coinsurance_code,class_cd,it_remarks) values</v>
      </c>
      <c r="G1370" s="24" t="str">
        <f t="shared" si="86"/>
        <v>('29Apr250042','050000822527','-53665',(select max(to_number(i.premium_rcv_detail_code))+1
from ins_premium_det i),'-53665','-53665','02', '11000003','00','Request by Mr. Omair Ali 30-Apr-2025');</v>
      </c>
      <c r="H1370" s="25" t="str">
        <f t="shared" si="87"/>
        <v>insert into ins_premium_det (premium_rcv_code,assorted_code, rec_amount,premium_rcv_detail_code,remaining_amt, payrec, mode_code,coinsurance_code,class_cd,it_remarks) values('29Apr250042','050000822527','-53665',(select max(to_number(i.premium_rcv_detail_code))+1
from ins_premium_det i),'-53665','-53665','02', '11000003','00','Request by Mr. Omair Ali 30-Apr-2025');</v>
      </c>
    </row>
    <row r="1371" spans="1:8" ht="105" x14ac:dyDescent="0.25">
      <c r="A1371" t="s">
        <v>1919</v>
      </c>
      <c r="B1371" s="1" t="str">
        <f>VLOOKUP(A1371,Sheet5!B:C,2,0)</f>
        <v>050000822528</v>
      </c>
      <c r="C1371" s="13">
        <v>-9942</v>
      </c>
      <c r="D1371" s="22">
        <f t="shared" si="85"/>
        <v>-9942</v>
      </c>
      <c r="E1371" s="21" t="s">
        <v>5912</v>
      </c>
      <c r="F1371" s="23" t="str">
        <f t="shared" si="84"/>
        <v>insert into ins_premium_det (premium_rcv_code,assorted_code, rec_amount,premium_rcv_detail_code,remaining_amt, payrec, mode_code,coinsurance_code,class_cd,it_remarks) values</v>
      </c>
      <c r="G1371" s="24" t="str">
        <f t="shared" si="86"/>
        <v>('29Apr250042','050000822528','-9942',(select max(to_number(i.premium_rcv_detail_code))+1
from ins_premium_det i),'-9942','-9942','02', '11000003','00','Request by Mr. Omair Ali 30-Apr-2025');</v>
      </c>
      <c r="H1371" s="25" t="str">
        <f t="shared" si="87"/>
        <v>insert into ins_premium_det (premium_rcv_code,assorted_code, rec_amount,premium_rcv_detail_code,remaining_amt, payrec, mode_code,coinsurance_code,class_cd,it_remarks) values('29Apr250042','050000822528','-9942',(select max(to_number(i.premium_rcv_detail_code))+1
from ins_premium_det i),'-9942','-9942','02', '11000003','00','Request by Mr. Omair Ali 30-Apr-2025');</v>
      </c>
    </row>
    <row r="1372" spans="1:8" ht="105" x14ac:dyDescent="0.25">
      <c r="A1372" t="s">
        <v>1581</v>
      </c>
      <c r="B1372" s="1" t="str">
        <f>VLOOKUP(A1372,Sheet5!B:C,2,0)</f>
        <v>050000822529</v>
      </c>
      <c r="C1372" s="13">
        <v>-4753</v>
      </c>
      <c r="D1372" s="22">
        <f t="shared" si="85"/>
        <v>-4753</v>
      </c>
      <c r="E1372" s="21" t="s">
        <v>5912</v>
      </c>
      <c r="F1372" s="23" t="str">
        <f t="shared" si="84"/>
        <v>insert into ins_premium_det (premium_rcv_code,assorted_code, rec_amount,premium_rcv_detail_code,remaining_amt, payrec, mode_code,coinsurance_code,class_cd,it_remarks) values</v>
      </c>
      <c r="G1372" s="24" t="str">
        <f t="shared" si="86"/>
        <v>('29Apr250042','050000822529','-4753',(select max(to_number(i.premium_rcv_detail_code))+1
from ins_premium_det i),'-4753','-4753','02', '11000003','00','Request by Mr. Omair Ali 30-Apr-2025');</v>
      </c>
      <c r="H1372" s="25" t="str">
        <f t="shared" si="87"/>
        <v>insert into ins_premium_det (premium_rcv_code,assorted_code, rec_amount,premium_rcv_detail_code,remaining_amt, payrec, mode_code,coinsurance_code,class_cd,it_remarks) values('29Apr250042','050000822529','-4753',(select max(to_number(i.premium_rcv_detail_code))+1
from ins_premium_det i),'-4753','-4753','02', '11000003','00','Request by Mr. Omair Ali 30-Apr-2025');</v>
      </c>
    </row>
    <row r="1373" spans="1:8" ht="105" x14ac:dyDescent="0.25">
      <c r="A1373" t="s">
        <v>1100</v>
      </c>
      <c r="B1373" s="1" t="str">
        <f>VLOOKUP(A1373,Sheet5!B:C,2,0)</f>
        <v>050000822530</v>
      </c>
      <c r="C1373" s="13">
        <v>-4043</v>
      </c>
      <c r="D1373" s="22">
        <f t="shared" si="85"/>
        <v>-4043</v>
      </c>
      <c r="E1373" s="21" t="s">
        <v>5912</v>
      </c>
      <c r="F1373" s="23" t="str">
        <f t="shared" si="84"/>
        <v>insert into ins_premium_det (premium_rcv_code,assorted_code, rec_amount,premium_rcv_detail_code,remaining_amt, payrec, mode_code,coinsurance_code,class_cd,it_remarks) values</v>
      </c>
      <c r="G1373" s="24" t="str">
        <f t="shared" si="86"/>
        <v>('29Apr250042','050000822530','-4043',(select max(to_number(i.premium_rcv_detail_code))+1
from ins_premium_det i),'-4043','-4043','02', '11000003','00','Request by Mr. Omair Ali 30-Apr-2025');</v>
      </c>
      <c r="H1373" s="25" t="str">
        <f t="shared" si="87"/>
        <v>insert into ins_premium_det (premium_rcv_code,assorted_code, rec_amount,premium_rcv_detail_code,remaining_amt, payrec, mode_code,coinsurance_code,class_cd,it_remarks) values('29Apr250042','050000822530','-4043',(select max(to_number(i.premium_rcv_detail_code))+1
from ins_premium_det i),'-4043','-4043','02', '11000003','00','Request by Mr. Omair Ali 30-Apr-2025');</v>
      </c>
    </row>
    <row r="1374" spans="1:8" ht="105" x14ac:dyDescent="0.25">
      <c r="A1374" t="s">
        <v>213</v>
      </c>
      <c r="B1374" s="1" t="str">
        <f>VLOOKUP(A1374,Sheet5!B:C,2,0)</f>
        <v>050000822532</v>
      </c>
      <c r="C1374" s="13">
        <v>-3850</v>
      </c>
      <c r="D1374" s="22">
        <f t="shared" si="85"/>
        <v>-3850</v>
      </c>
      <c r="E1374" s="21" t="s">
        <v>5912</v>
      </c>
      <c r="F1374" s="23" t="str">
        <f t="shared" si="84"/>
        <v>insert into ins_premium_det (premium_rcv_code,assorted_code, rec_amount,premium_rcv_detail_code,remaining_amt, payrec, mode_code,coinsurance_code,class_cd,it_remarks) values</v>
      </c>
      <c r="G1374" s="24" t="str">
        <f t="shared" si="86"/>
        <v>('29Apr250042','050000822532','-3850',(select max(to_number(i.premium_rcv_detail_code))+1
from ins_premium_det i),'-3850','-3850','02', '11000003','00','Request by Mr. Omair Ali 30-Apr-2025');</v>
      </c>
      <c r="H1374" s="25" t="str">
        <f t="shared" si="87"/>
        <v>insert into ins_premium_det (premium_rcv_code,assorted_code, rec_amount,premium_rcv_detail_code,remaining_amt, payrec, mode_code,coinsurance_code,class_cd,it_remarks) values('29Apr250042','050000822532','-3850',(select max(to_number(i.premium_rcv_detail_code))+1
from ins_premium_det i),'-3850','-3850','02', '11000003','00','Request by Mr. Omair Ali 30-Apr-2025');</v>
      </c>
    </row>
    <row r="1375" spans="1:8" ht="105" x14ac:dyDescent="0.25">
      <c r="A1375" t="s">
        <v>1979</v>
      </c>
      <c r="B1375" s="1" t="str">
        <f>VLOOKUP(A1375,Sheet5!B:C,2,0)</f>
        <v>050000822533</v>
      </c>
      <c r="C1375" s="13">
        <v>-10394</v>
      </c>
      <c r="D1375" s="22">
        <f t="shared" si="85"/>
        <v>-10394</v>
      </c>
      <c r="E1375" s="21" t="s">
        <v>5912</v>
      </c>
      <c r="F1375" s="23" t="str">
        <f t="shared" si="84"/>
        <v>insert into ins_premium_det (premium_rcv_code,assorted_code, rec_amount,premium_rcv_detail_code,remaining_amt, payrec, mode_code,coinsurance_code,class_cd,it_remarks) values</v>
      </c>
      <c r="G1375" s="24" t="str">
        <f t="shared" si="86"/>
        <v>('29Apr250042','050000822533','-10394',(select max(to_number(i.premium_rcv_detail_code))+1
from ins_premium_det i),'-10394','-10394','02', '11000003','00','Request by Mr. Omair Ali 30-Apr-2025');</v>
      </c>
      <c r="H1375" s="25" t="str">
        <f t="shared" si="87"/>
        <v>insert into ins_premium_det (premium_rcv_code,assorted_code, rec_amount,premium_rcv_detail_code,remaining_amt, payrec, mode_code,coinsurance_code,class_cd,it_remarks) values('29Apr250042','050000822533','-10394',(select max(to_number(i.premium_rcv_detail_code))+1
from ins_premium_det i),'-10394','-10394','02', '11000003','00','Request by Mr. Omair Ali 30-Apr-2025');</v>
      </c>
    </row>
    <row r="1376" spans="1:8" ht="105" x14ac:dyDescent="0.25">
      <c r="A1376" t="s">
        <v>1162</v>
      </c>
      <c r="B1376" s="1" t="str">
        <f>VLOOKUP(A1376,Sheet5!B:C,2,0)</f>
        <v>050000822534</v>
      </c>
      <c r="C1376" s="13">
        <v>-42521</v>
      </c>
      <c r="D1376" s="22">
        <f t="shared" si="85"/>
        <v>-42521</v>
      </c>
      <c r="E1376" s="21" t="s">
        <v>5912</v>
      </c>
      <c r="F1376" s="23" t="str">
        <f t="shared" si="84"/>
        <v>insert into ins_premium_det (premium_rcv_code,assorted_code, rec_amount,premium_rcv_detail_code,remaining_amt, payrec, mode_code,coinsurance_code,class_cd,it_remarks) values</v>
      </c>
      <c r="G1376" s="24" t="str">
        <f t="shared" si="86"/>
        <v>('29Apr250042','050000822534','-42521',(select max(to_number(i.premium_rcv_detail_code))+1
from ins_premium_det i),'-42521','-42521','02', '11000003','00','Request by Mr. Omair Ali 30-Apr-2025');</v>
      </c>
      <c r="H1376" s="25" t="str">
        <f t="shared" si="87"/>
        <v>insert into ins_premium_det (premium_rcv_code,assorted_code, rec_amount,premium_rcv_detail_code,remaining_amt, payrec, mode_code,coinsurance_code,class_cd,it_remarks) values('29Apr250042','050000822534','-42521',(select max(to_number(i.premium_rcv_detail_code))+1
from ins_premium_det i),'-42521','-42521','02', '11000003','00','Request by Mr. Omair Ali 30-Apr-2025');</v>
      </c>
    </row>
    <row r="1377" spans="1:8" ht="105" x14ac:dyDescent="0.25">
      <c r="A1377" t="s">
        <v>522</v>
      </c>
      <c r="B1377" s="1" t="str">
        <f>VLOOKUP(A1377,Sheet5!B:C,2,0)</f>
        <v>050000822535</v>
      </c>
      <c r="C1377" s="13">
        <v>-42507</v>
      </c>
      <c r="D1377" s="22">
        <f t="shared" si="85"/>
        <v>-42507</v>
      </c>
      <c r="E1377" s="21" t="s">
        <v>5912</v>
      </c>
      <c r="F1377" s="23" t="str">
        <f t="shared" si="84"/>
        <v>insert into ins_premium_det (premium_rcv_code,assorted_code, rec_amount,premium_rcv_detail_code,remaining_amt, payrec, mode_code,coinsurance_code,class_cd,it_remarks) values</v>
      </c>
      <c r="G1377" s="24" t="str">
        <f t="shared" si="86"/>
        <v>('29Apr250042','050000822535','-42507',(select max(to_number(i.premium_rcv_detail_code))+1
from ins_premium_det i),'-42507','-42507','02', '11000003','00','Request by Mr. Omair Ali 30-Apr-2025');</v>
      </c>
      <c r="H1377" s="25" t="str">
        <f t="shared" si="87"/>
        <v>insert into ins_premium_det (premium_rcv_code,assorted_code, rec_amount,premium_rcv_detail_code,remaining_amt, payrec, mode_code,coinsurance_code,class_cd,it_remarks) values('29Apr250042','050000822535','-42507',(select max(to_number(i.premium_rcv_detail_code))+1
from ins_premium_det i),'-42507','-42507','02', '11000003','00','Request by Mr. Omair Ali 30-Apr-2025');</v>
      </c>
    </row>
    <row r="1378" spans="1:8" ht="105" x14ac:dyDescent="0.25">
      <c r="A1378" t="s">
        <v>1365</v>
      </c>
      <c r="B1378" s="1" t="str">
        <f>VLOOKUP(A1378,Sheet5!B:C,2,0)</f>
        <v>050000822536</v>
      </c>
      <c r="C1378" s="13">
        <v>-3458</v>
      </c>
      <c r="D1378" s="22">
        <f t="shared" si="85"/>
        <v>-3458</v>
      </c>
      <c r="E1378" s="21" t="s">
        <v>5912</v>
      </c>
      <c r="F1378" s="23" t="str">
        <f t="shared" si="84"/>
        <v>insert into ins_premium_det (premium_rcv_code,assorted_code, rec_amount,premium_rcv_detail_code,remaining_amt, payrec, mode_code,coinsurance_code,class_cd,it_remarks) values</v>
      </c>
      <c r="G1378" s="24" t="str">
        <f t="shared" si="86"/>
        <v>('29Apr250042','050000822536','-3458',(select max(to_number(i.premium_rcv_detail_code))+1
from ins_premium_det i),'-3458','-3458','02', '11000003','00','Request by Mr. Omair Ali 30-Apr-2025');</v>
      </c>
      <c r="H1378" s="25" t="str">
        <f t="shared" si="87"/>
        <v>insert into ins_premium_det (premium_rcv_code,assorted_code, rec_amount,premium_rcv_detail_code,remaining_amt, payrec, mode_code,coinsurance_code,class_cd,it_remarks) values('29Apr250042','050000822536','-3458',(select max(to_number(i.premium_rcv_detail_code))+1
from ins_premium_det i),'-3458','-3458','02', '11000003','00','Request by Mr. Omair Ali 30-Apr-2025');</v>
      </c>
    </row>
    <row r="1379" spans="1:8" ht="105" x14ac:dyDescent="0.25">
      <c r="A1379" t="s">
        <v>275</v>
      </c>
      <c r="B1379" s="1" t="str">
        <f>VLOOKUP(A1379,Sheet5!B:C,2,0)</f>
        <v>050000822537</v>
      </c>
      <c r="C1379" s="13">
        <v>-2918</v>
      </c>
      <c r="D1379" s="22">
        <f t="shared" si="85"/>
        <v>-2918</v>
      </c>
      <c r="E1379" s="21" t="s">
        <v>5912</v>
      </c>
      <c r="F1379" s="23" t="str">
        <f t="shared" si="84"/>
        <v>insert into ins_premium_det (premium_rcv_code,assorted_code, rec_amount,premium_rcv_detail_code,remaining_amt, payrec, mode_code,coinsurance_code,class_cd,it_remarks) values</v>
      </c>
      <c r="G1379" s="24" t="str">
        <f t="shared" si="86"/>
        <v>('29Apr250042','050000822537','-2918',(select max(to_number(i.premium_rcv_detail_code))+1
from ins_premium_det i),'-2918','-2918','02', '11000003','00','Request by Mr. Omair Ali 30-Apr-2025');</v>
      </c>
      <c r="H1379" s="25" t="str">
        <f t="shared" si="87"/>
        <v>insert into ins_premium_det (premium_rcv_code,assorted_code, rec_amount,premium_rcv_detail_code,remaining_amt, payrec, mode_code,coinsurance_code,class_cd,it_remarks) values('29Apr250042','050000822537','-2918',(select max(to_number(i.premium_rcv_detail_code))+1
from ins_premium_det i),'-2918','-2918','02', '11000003','00','Request by Mr. Omair Ali 30-Apr-2025');</v>
      </c>
    </row>
    <row r="1380" spans="1:8" ht="105" x14ac:dyDescent="0.25">
      <c r="A1380" t="s">
        <v>272</v>
      </c>
      <c r="B1380" s="1" t="str">
        <f>VLOOKUP(A1380,Sheet5!B:C,2,0)</f>
        <v>050000822538</v>
      </c>
      <c r="C1380" s="13">
        <v>-2249</v>
      </c>
      <c r="D1380" s="22">
        <f t="shared" si="85"/>
        <v>-2249</v>
      </c>
      <c r="E1380" s="21" t="s">
        <v>5912</v>
      </c>
      <c r="F1380" s="23" t="str">
        <f t="shared" si="84"/>
        <v>insert into ins_premium_det (premium_rcv_code,assorted_code, rec_amount,premium_rcv_detail_code,remaining_amt, payrec, mode_code,coinsurance_code,class_cd,it_remarks) values</v>
      </c>
      <c r="G1380" s="24" t="str">
        <f t="shared" si="86"/>
        <v>('29Apr250042','050000822538','-2249',(select max(to_number(i.premium_rcv_detail_code))+1
from ins_premium_det i),'-2249','-2249','02', '11000003','00','Request by Mr. Omair Ali 30-Apr-2025');</v>
      </c>
      <c r="H1380" s="25" t="str">
        <f t="shared" si="87"/>
        <v>insert into ins_premium_det (premium_rcv_code,assorted_code, rec_amount,premium_rcv_detail_code,remaining_amt, payrec, mode_code,coinsurance_code,class_cd,it_remarks) values('29Apr250042','050000822538','-2249',(select max(to_number(i.premium_rcv_detail_code))+1
from ins_premium_det i),'-2249','-2249','02', '11000003','00','Request by Mr. Omair Ali 30-Apr-2025');</v>
      </c>
    </row>
    <row r="1381" spans="1:8" ht="105" x14ac:dyDescent="0.25">
      <c r="A1381" t="s">
        <v>801</v>
      </c>
      <c r="B1381" s="1" t="str">
        <f>VLOOKUP(A1381,Sheet5!B:C,2,0)</f>
        <v>050000822539</v>
      </c>
      <c r="C1381" s="13">
        <v>-34508</v>
      </c>
      <c r="D1381" s="22">
        <f t="shared" si="85"/>
        <v>-34508</v>
      </c>
      <c r="E1381" s="21" t="s">
        <v>5912</v>
      </c>
      <c r="F1381" s="23" t="str">
        <f t="shared" si="84"/>
        <v>insert into ins_premium_det (premium_rcv_code,assorted_code, rec_amount,premium_rcv_detail_code,remaining_amt, payrec, mode_code,coinsurance_code,class_cd,it_remarks) values</v>
      </c>
      <c r="G1381" s="24" t="str">
        <f t="shared" si="86"/>
        <v>('29Apr250042','050000822539','-34508',(select max(to_number(i.premium_rcv_detail_code))+1
from ins_premium_det i),'-34508','-34508','02', '11000003','00','Request by Mr. Omair Ali 30-Apr-2025');</v>
      </c>
      <c r="H1381" s="25" t="str">
        <f t="shared" si="87"/>
        <v>insert into ins_premium_det (premium_rcv_code,assorted_code, rec_amount,premium_rcv_detail_code,remaining_amt, payrec, mode_code,coinsurance_code,class_cd,it_remarks) values('29Apr250042','050000822539','-34508',(select max(to_number(i.premium_rcv_detail_code))+1
from ins_premium_det i),'-34508','-34508','02', '11000003','00','Request by Mr. Omair Ali 30-Apr-2025');</v>
      </c>
    </row>
    <row r="1382" spans="1:8" ht="105" x14ac:dyDescent="0.25">
      <c r="A1382" t="s">
        <v>870</v>
      </c>
      <c r="B1382" s="1" t="str">
        <f>VLOOKUP(A1382,Sheet5!B:C,2,0)</f>
        <v>050000822540</v>
      </c>
      <c r="C1382" s="13">
        <v>-19000</v>
      </c>
      <c r="D1382" s="22">
        <f t="shared" si="85"/>
        <v>-19000</v>
      </c>
      <c r="E1382" s="21" t="s">
        <v>5912</v>
      </c>
      <c r="F1382" s="23" t="str">
        <f t="shared" si="84"/>
        <v>insert into ins_premium_det (premium_rcv_code,assorted_code, rec_amount,premium_rcv_detail_code,remaining_amt, payrec, mode_code,coinsurance_code,class_cd,it_remarks) values</v>
      </c>
      <c r="G1382" s="24" t="str">
        <f t="shared" si="86"/>
        <v>('29Apr250042','050000822540','-19000',(select max(to_number(i.premium_rcv_detail_code))+1
from ins_premium_det i),'-19000','-19000','02', '11000003','00','Request by Mr. Omair Ali 30-Apr-2025');</v>
      </c>
      <c r="H1382" s="25" t="str">
        <f t="shared" si="87"/>
        <v>insert into ins_premium_det (premium_rcv_code,assorted_code, rec_amount,premium_rcv_detail_code,remaining_amt, payrec, mode_code,coinsurance_code,class_cd,it_remarks) values('29Apr250042','050000822540','-19000',(select max(to_number(i.premium_rcv_detail_code))+1
from ins_premium_det i),'-19000','-19000','02', '11000003','00','Request by Mr. Omair Ali 30-Apr-2025');</v>
      </c>
    </row>
    <row r="1383" spans="1:8" ht="105" x14ac:dyDescent="0.25">
      <c r="A1383" t="s">
        <v>1309</v>
      </c>
      <c r="B1383" s="1" t="str">
        <f>VLOOKUP(A1383,Sheet5!B:C,2,0)</f>
        <v>050000822913</v>
      </c>
      <c r="C1383" s="13">
        <v>4480</v>
      </c>
      <c r="D1383" s="22">
        <f t="shared" si="85"/>
        <v>4480</v>
      </c>
      <c r="E1383" s="21" t="s">
        <v>5912</v>
      </c>
      <c r="F1383" s="23" t="str">
        <f t="shared" si="84"/>
        <v>insert into ins_premium_det (premium_rcv_code,assorted_code, rec_amount,premium_rcv_detail_code,remaining_amt, payrec, mode_code,coinsurance_code,class_cd,it_remarks) values</v>
      </c>
      <c r="G1383" s="24" t="str">
        <f t="shared" si="86"/>
        <v>('29Apr250042','050000822913','4480',(select max(to_number(i.premium_rcv_detail_code))+1
from ins_premium_det i),'4480','4480','02', '11000003','00','Request by Mr. Omair Ali 30-Apr-2025');</v>
      </c>
      <c r="H1383" s="25" t="str">
        <f t="shared" si="87"/>
        <v>insert into ins_premium_det (premium_rcv_code,assorted_code, rec_amount,premium_rcv_detail_code,remaining_amt, payrec, mode_code,coinsurance_code,class_cd,it_remarks) values('29Apr250042','050000822913','4480',(select max(to_number(i.premium_rcv_detail_code))+1
from ins_premium_det i),'4480','4480','02', '11000003','00','Request by Mr. Omair Ali 30-Apr-2025');</v>
      </c>
    </row>
    <row r="1384" spans="1:8" ht="105" x14ac:dyDescent="0.25">
      <c r="A1384" t="s">
        <v>1438</v>
      </c>
      <c r="B1384" s="1" t="str">
        <f>VLOOKUP(A1384,Sheet5!B:C,2,0)</f>
        <v>050000822919</v>
      </c>
      <c r="C1384" s="13">
        <v>5931</v>
      </c>
      <c r="D1384" s="22">
        <f t="shared" si="85"/>
        <v>5931</v>
      </c>
      <c r="E1384" s="21" t="s">
        <v>5912</v>
      </c>
      <c r="F1384" s="23" t="str">
        <f t="shared" si="84"/>
        <v>insert into ins_premium_det (premium_rcv_code,assorted_code, rec_amount,premium_rcv_detail_code,remaining_amt, payrec, mode_code,coinsurance_code,class_cd,it_remarks) values</v>
      </c>
      <c r="G1384" s="24" t="str">
        <f t="shared" si="86"/>
        <v>('29Apr250042','050000822919','5931',(select max(to_number(i.premium_rcv_detail_code))+1
from ins_premium_det i),'5931','5931','02', '11000003','00','Request by Mr. Omair Ali 30-Apr-2025');</v>
      </c>
      <c r="H1384" s="25" t="str">
        <f t="shared" si="87"/>
        <v>insert into ins_premium_det (premium_rcv_code,assorted_code, rec_amount,premium_rcv_detail_code,remaining_amt, payrec, mode_code,coinsurance_code,class_cd,it_remarks) values('29Apr250042','050000822919','5931',(select max(to_number(i.premium_rcv_detail_code))+1
from ins_premium_det i),'5931','5931','02', '11000003','00','Request by Mr. Omair Ali 30-Apr-2025');</v>
      </c>
    </row>
    <row r="1385" spans="1:8" ht="105" x14ac:dyDescent="0.25">
      <c r="A1385" t="s">
        <v>1691</v>
      </c>
      <c r="B1385" s="1" t="str">
        <f>VLOOKUP(A1385,Sheet5!B:C,2,0)</f>
        <v>050000822928</v>
      </c>
      <c r="C1385" s="13">
        <v>4309</v>
      </c>
      <c r="D1385" s="22">
        <f t="shared" si="85"/>
        <v>4309</v>
      </c>
      <c r="E1385" s="21" t="s">
        <v>5912</v>
      </c>
      <c r="F1385" s="23" t="str">
        <f t="shared" si="84"/>
        <v>insert into ins_premium_det (premium_rcv_code,assorted_code, rec_amount,premium_rcv_detail_code,remaining_amt, payrec, mode_code,coinsurance_code,class_cd,it_remarks) values</v>
      </c>
      <c r="G1385" s="24" t="str">
        <f t="shared" si="86"/>
        <v>('29Apr250042','050000822928','4309',(select max(to_number(i.premium_rcv_detail_code))+1
from ins_premium_det i),'4309','4309','02', '11000003','00','Request by Mr. Omair Ali 30-Apr-2025');</v>
      </c>
      <c r="H1385" s="25" t="str">
        <f t="shared" si="87"/>
        <v>insert into ins_premium_det (premium_rcv_code,assorted_code, rec_amount,premium_rcv_detail_code,remaining_amt, payrec, mode_code,coinsurance_code,class_cd,it_remarks) values('29Apr250042','050000822928','4309',(select max(to_number(i.premium_rcv_detail_code))+1
from ins_premium_det i),'4309','4309','02', '11000003','00','Request by Mr. Omair Ali 30-Apr-2025');</v>
      </c>
    </row>
    <row r="1386" spans="1:8" ht="105" x14ac:dyDescent="0.25">
      <c r="A1386" t="s">
        <v>1833</v>
      </c>
      <c r="B1386" s="1" t="str">
        <f>VLOOKUP(A1386,Sheet5!B:C,2,0)</f>
        <v>050000822932</v>
      </c>
      <c r="C1386" s="13">
        <v>4122</v>
      </c>
      <c r="D1386" s="22">
        <f t="shared" si="85"/>
        <v>4122</v>
      </c>
      <c r="E1386" s="21" t="s">
        <v>5912</v>
      </c>
      <c r="F1386" s="23" t="str">
        <f t="shared" si="84"/>
        <v>insert into ins_premium_det (premium_rcv_code,assorted_code, rec_amount,premium_rcv_detail_code,remaining_amt, payrec, mode_code,coinsurance_code,class_cd,it_remarks) values</v>
      </c>
      <c r="G1386" s="24" t="str">
        <f t="shared" si="86"/>
        <v>('29Apr250042','050000822932','4122',(select max(to_number(i.premium_rcv_detail_code))+1
from ins_premium_det i),'4122','4122','02', '11000003','00','Request by Mr. Omair Ali 30-Apr-2025');</v>
      </c>
      <c r="H1386" s="25" t="str">
        <f t="shared" si="87"/>
        <v>insert into ins_premium_det (premium_rcv_code,assorted_code, rec_amount,premium_rcv_detail_code,remaining_amt, payrec, mode_code,coinsurance_code,class_cd,it_remarks) values('29Apr250042','050000822932','4122',(select max(to_number(i.premium_rcv_detail_code))+1
from ins_premium_det i),'4122','4122','02', '11000003','00','Request by Mr. Omair Ali 30-Apr-2025');</v>
      </c>
    </row>
    <row r="1387" spans="1:8" ht="105" x14ac:dyDescent="0.25">
      <c r="A1387" t="s">
        <v>1071</v>
      </c>
      <c r="B1387" s="1" t="str">
        <f>VLOOKUP(A1387,Sheet5!B:C,2,0)</f>
        <v>050000823040</v>
      </c>
      <c r="C1387" s="13">
        <v>3750</v>
      </c>
      <c r="D1387" s="22">
        <f t="shared" si="85"/>
        <v>3750</v>
      </c>
      <c r="E1387" s="21" t="s">
        <v>5912</v>
      </c>
      <c r="F1387" s="23" t="str">
        <f t="shared" si="84"/>
        <v>insert into ins_premium_det (premium_rcv_code,assorted_code, rec_amount,premium_rcv_detail_code,remaining_amt, payrec, mode_code,coinsurance_code,class_cd,it_remarks) values</v>
      </c>
      <c r="G1387" s="24" t="str">
        <f t="shared" si="86"/>
        <v>('29Apr250042','050000823040','3750',(select max(to_number(i.premium_rcv_detail_code))+1
from ins_premium_det i),'3750','3750','02', '11000003','00','Request by Mr. Omair Ali 30-Apr-2025');</v>
      </c>
      <c r="H1387" s="25" t="str">
        <f t="shared" si="87"/>
        <v>insert into ins_premium_det (premium_rcv_code,assorted_code, rec_amount,premium_rcv_detail_code,remaining_amt, payrec, mode_code,coinsurance_code,class_cd,it_remarks) values('29Apr250042','050000823040','3750',(select max(to_number(i.premium_rcv_detail_code))+1
from ins_premium_det i),'3750','3750','02', '11000003','00','Request by Mr. Omair Ali 30-Apr-2025');</v>
      </c>
    </row>
    <row r="1388" spans="1:8" ht="105" x14ac:dyDescent="0.25">
      <c r="A1388" t="s">
        <v>1297</v>
      </c>
      <c r="B1388" s="1" t="str">
        <f>VLOOKUP(A1388,Sheet5!B:C,2,0)</f>
        <v>050000823104</v>
      </c>
      <c r="C1388" s="13">
        <v>1077</v>
      </c>
      <c r="D1388" s="22">
        <f t="shared" si="85"/>
        <v>1077</v>
      </c>
      <c r="E1388" s="21" t="s">
        <v>5912</v>
      </c>
      <c r="F1388" s="23" t="str">
        <f t="shared" si="84"/>
        <v>insert into ins_premium_det (premium_rcv_code,assorted_code, rec_amount,premium_rcv_detail_code,remaining_amt, payrec, mode_code,coinsurance_code,class_cd,it_remarks) values</v>
      </c>
      <c r="G1388" s="24" t="str">
        <f t="shared" si="86"/>
        <v>('29Apr250042','050000823104','1077',(select max(to_number(i.premium_rcv_detail_code))+1
from ins_premium_det i),'1077','1077','02', '11000003','00','Request by Mr. Omair Ali 30-Apr-2025');</v>
      </c>
      <c r="H1388" s="25" t="str">
        <f t="shared" si="87"/>
        <v>insert into ins_premium_det (premium_rcv_code,assorted_code, rec_amount,premium_rcv_detail_code,remaining_amt, payrec, mode_code,coinsurance_code,class_cd,it_remarks) values('29Apr250042','050000823104','1077',(select max(to_number(i.premium_rcv_detail_code))+1
from ins_premium_det i),'1077','1077','02', '11000003','00','Request by Mr. Omair Ali 30-Apr-2025');</v>
      </c>
    </row>
    <row r="1389" spans="1:8" ht="105" x14ac:dyDescent="0.25">
      <c r="A1389" t="s">
        <v>1313</v>
      </c>
      <c r="B1389" s="1" t="str">
        <f>VLOOKUP(A1389,Sheet5!B:C,2,0)</f>
        <v>050000823108</v>
      </c>
      <c r="C1389" s="13">
        <v>28</v>
      </c>
      <c r="D1389" s="22">
        <f t="shared" si="85"/>
        <v>28</v>
      </c>
      <c r="E1389" s="21" t="s">
        <v>5912</v>
      </c>
      <c r="F1389" s="23" t="str">
        <f t="shared" si="84"/>
        <v>insert into ins_premium_det (premium_rcv_code,assorted_code, rec_amount,premium_rcv_detail_code,remaining_amt, payrec, mode_code,coinsurance_code,class_cd,it_remarks) values</v>
      </c>
      <c r="G1389" s="24" t="str">
        <f t="shared" si="86"/>
        <v>('29Apr250042','050000823108','28',(select max(to_number(i.premium_rcv_detail_code))+1
from ins_premium_det i),'28','28','02', '11000003','00','Request by Mr. Omair Ali 30-Apr-2025');</v>
      </c>
      <c r="H1389" s="25" t="str">
        <f t="shared" si="87"/>
        <v>insert into ins_premium_det (premium_rcv_code,assorted_code, rec_amount,premium_rcv_detail_code,remaining_amt, payrec, mode_code,coinsurance_code,class_cd,it_remarks) values('29Apr250042','050000823108','28',(select max(to_number(i.premium_rcv_detail_code))+1
from ins_premium_det i),'28','28','02', '11000003','00','Request by Mr. Omair Ali 30-Apr-2025');</v>
      </c>
    </row>
    <row r="1390" spans="1:8" ht="105" x14ac:dyDescent="0.25">
      <c r="A1390" t="s">
        <v>1315</v>
      </c>
      <c r="B1390" s="1" t="str">
        <f>VLOOKUP(A1390,Sheet5!B:C,2,0)</f>
        <v>050000823111</v>
      </c>
      <c r="C1390" s="13">
        <v>1719</v>
      </c>
      <c r="D1390" s="22">
        <f t="shared" si="85"/>
        <v>1719</v>
      </c>
      <c r="E1390" s="21" t="s">
        <v>5912</v>
      </c>
      <c r="F1390" s="23" t="str">
        <f t="shared" si="84"/>
        <v>insert into ins_premium_det (premium_rcv_code,assorted_code, rec_amount,premium_rcv_detail_code,remaining_amt, payrec, mode_code,coinsurance_code,class_cd,it_remarks) values</v>
      </c>
      <c r="G1390" s="24" t="str">
        <f t="shared" si="86"/>
        <v>('29Apr250042','050000823111','1719',(select max(to_number(i.premium_rcv_detail_code))+1
from ins_premium_det i),'1719','1719','02', '11000003','00','Request by Mr. Omair Ali 30-Apr-2025');</v>
      </c>
      <c r="H1390" s="25" t="str">
        <f t="shared" si="87"/>
        <v>insert into ins_premium_det (premium_rcv_code,assorted_code, rec_amount,premium_rcv_detail_code,remaining_amt, payrec, mode_code,coinsurance_code,class_cd,it_remarks) values('29Apr250042','050000823111','1719',(select max(to_number(i.premium_rcv_detail_code))+1
from ins_premium_det i),'1719','1719','02', '11000003','00','Request by Mr. Omair Ali 30-Apr-2025');</v>
      </c>
    </row>
    <row r="1391" spans="1:8" ht="105" x14ac:dyDescent="0.25">
      <c r="A1391" t="s">
        <v>1463</v>
      </c>
      <c r="B1391" s="1" t="str">
        <f>VLOOKUP(A1391,Sheet5!B:C,2,0)</f>
        <v>050000823116</v>
      </c>
      <c r="C1391" s="13">
        <v>3644</v>
      </c>
      <c r="D1391" s="22">
        <f t="shared" si="85"/>
        <v>3644</v>
      </c>
      <c r="E1391" s="21" t="s">
        <v>5912</v>
      </c>
      <c r="F1391" s="23" t="str">
        <f t="shared" si="84"/>
        <v>insert into ins_premium_det (premium_rcv_code,assorted_code, rec_amount,premium_rcv_detail_code,remaining_amt, payrec, mode_code,coinsurance_code,class_cd,it_remarks) values</v>
      </c>
      <c r="G1391" s="24" t="str">
        <f t="shared" si="86"/>
        <v>('29Apr250042','050000823116','3644',(select max(to_number(i.premium_rcv_detail_code))+1
from ins_premium_det i),'3644','3644','02', '11000003','00','Request by Mr. Omair Ali 30-Apr-2025');</v>
      </c>
      <c r="H1391" s="25" t="str">
        <f t="shared" si="87"/>
        <v>insert into ins_premium_det (premium_rcv_code,assorted_code, rec_amount,premium_rcv_detail_code,remaining_amt, payrec, mode_code,coinsurance_code,class_cd,it_remarks) values('29Apr250042','050000823116','3644',(select max(to_number(i.premium_rcv_detail_code))+1
from ins_premium_det i),'3644','3644','02', '11000003','00','Request by Mr. Omair Ali 30-Apr-2025');</v>
      </c>
    </row>
    <row r="1392" spans="1:8" ht="105" x14ac:dyDescent="0.25">
      <c r="A1392" t="s">
        <v>1911</v>
      </c>
      <c r="B1392" s="1" t="str">
        <f>VLOOKUP(A1392,Sheet5!B:C,2,0)</f>
        <v>050000823125</v>
      </c>
      <c r="C1392" s="13">
        <v>1450</v>
      </c>
      <c r="D1392" s="22">
        <f t="shared" si="85"/>
        <v>1450</v>
      </c>
      <c r="E1392" s="21" t="s">
        <v>5912</v>
      </c>
      <c r="F1392" s="23" t="str">
        <f t="shared" si="84"/>
        <v>insert into ins_premium_det (premium_rcv_code,assorted_code, rec_amount,premium_rcv_detail_code,remaining_amt, payrec, mode_code,coinsurance_code,class_cd,it_remarks) values</v>
      </c>
      <c r="G1392" s="24" t="str">
        <f t="shared" si="86"/>
        <v>('29Apr250042','050000823125','1450',(select max(to_number(i.premium_rcv_detail_code))+1
from ins_premium_det i),'1450','1450','02', '11000003','00','Request by Mr. Omair Ali 30-Apr-2025');</v>
      </c>
      <c r="H1392" s="25" t="str">
        <f t="shared" si="87"/>
        <v>insert into ins_premium_det (premium_rcv_code,assorted_code, rec_amount,premium_rcv_detail_code,remaining_amt, payrec, mode_code,coinsurance_code,class_cd,it_remarks) values('29Apr250042','050000823125','1450',(select max(to_number(i.premium_rcv_detail_code))+1
from ins_premium_det i),'1450','1450','02', '11000003','00','Request by Mr. Omair Ali 30-Apr-2025');</v>
      </c>
    </row>
    <row r="1393" spans="1:8" ht="105" x14ac:dyDescent="0.25">
      <c r="A1393" t="s">
        <v>1961</v>
      </c>
      <c r="B1393" s="1" t="str">
        <f>VLOOKUP(A1393,Sheet5!B:C,2,0)</f>
        <v>050000823134</v>
      </c>
      <c r="C1393" s="13">
        <v>6398</v>
      </c>
      <c r="D1393" s="22">
        <f t="shared" si="85"/>
        <v>6398</v>
      </c>
      <c r="E1393" s="21" t="s">
        <v>5912</v>
      </c>
      <c r="F1393" s="23" t="str">
        <f t="shared" si="84"/>
        <v>insert into ins_premium_det (premium_rcv_code,assorted_code, rec_amount,premium_rcv_detail_code,remaining_amt, payrec, mode_code,coinsurance_code,class_cd,it_remarks) values</v>
      </c>
      <c r="G1393" s="24" t="str">
        <f t="shared" si="86"/>
        <v>('29Apr250042','050000823134','6398',(select max(to_number(i.premium_rcv_detail_code))+1
from ins_premium_det i),'6398','6398','02', '11000003','00','Request by Mr. Omair Ali 30-Apr-2025');</v>
      </c>
      <c r="H1393" s="25" t="str">
        <f t="shared" si="87"/>
        <v>insert into ins_premium_det (premium_rcv_code,assorted_code, rec_amount,premium_rcv_detail_code,remaining_amt, payrec, mode_code,coinsurance_code,class_cd,it_remarks) values('29Apr250042','050000823134','6398',(select max(to_number(i.premium_rcv_detail_code))+1
from ins_premium_det i),'6398','6398','02', '11000003','00','Request by Mr. Omair Ali 30-Apr-2025');</v>
      </c>
    </row>
    <row r="1394" spans="1:8" ht="105" x14ac:dyDescent="0.25">
      <c r="A1394" t="s">
        <v>2017</v>
      </c>
      <c r="B1394" s="1" t="str">
        <f>VLOOKUP(A1394,Sheet5!B:C,2,0)</f>
        <v>050000823137</v>
      </c>
      <c r="C1394" s="13">
        <v>19633</v>
      </c>
      <c r="D1394" s="22">
        <f t="shared" si="85"/>
        <v>19633</v>
      </c>
      <c r="E1394" s="21" t="s">
        <v>5912</v>
      </c>
      <c r="F1394" s="23" t="str">
        <f t="shared" si="84"/>
        <v>insert into ins_premium_det (premium_rcv_code,assorted_code, rec_amount,premium_rcv_detail_code,remaining_amt, payrec, mode_code,coinsurance_code,class_cd,it_remarks) values</v>
      </c>
      <c r="G1394" s="24" t="str">
        <f t="shared" si="86"/>
        <v>('29Apr250042','050000823137','19633',(select max(to_number(i.premium_rcv_detail_code))+1
from ins_premium_det i),'19633','19633','02', '11000003','00','Request by Mr. Omair Ali 30-Apr-2025');</v>
      </c>
      <c r="H1394" s="25" t="str">
        <f t="shared" si="87"/>
        <v>insert into ins_premium_det (premium_rcv_code,assorted_code, rec_amount,premium_rcv_detail_code,remaining_amt, payrec, mode_code,coinsurance_code,class_cd,it_remarks) values('29Apr250042','050000823137','19633',(select max(to_number(i.premium_rcv_detail_code))+1
from ins_premium_det i),'19633','19633','02', '11000003','00','Request by Mr. Omair Ali 30-Apr-2025');</v>
      </c>
    </row>
    <row r="1395" spans="1:8" ht="105" x14ac:dyDescent="0.25">
      <c r="A1395" t="s">
        <v>1798</v>
      </c>
      <c r="B1395" s="1" t="str">
        <f>VLOOKUP(A1395,Sheet5!B:C,2,0)</f>
        <v>050000823193</v>
      </c>
      <c r="C1395" s="13">
        <v>-78200</v>
      </c>
      <c r="D1395" s="22">
        <f t="shared" si="85"/>
        <v>-78200</v>
      </c>
      <c r="E1395" s="21" t="s">
        <v>5912</v>
      </c>
      <c r="F1395" s="23" t="str">
        <f t="shared" si="84"/>
        <v>insert into ins_premium_det (premium_rcv_code,assorted_code, rec_amount,premium_rcv_detail_code,remaining_amt, payrec, mode_code,coinsurance_code,class_cd,it_remarks) values</v>
      </c>
      <c r="G1395" s="24" t="str">
        <f t="shared" si="86"/>
        <v>('29Apr250042','050000823193','-78200',(select max(to_number(i.premium_rcv_detail_code))+1
from ins_premium_det i),'-78200','-78200','02', '11000003','00','Request by Mr. Omair Ali 30-Apr-2025');</v>
      </c>
      <c r="H1395" s="25" t="str">
        <f t="shared" si="87"/>
        <v>insert into ins_premium_det (premium_rcv_code,assorted_code, rec_amount,premium_rcv_detail_code,remaining_amt, payrec, mode_code,coinsurance_code,class_cd,it_remarks) values('29Apr250042','050000823193','-78200',(select max(to_number(i.premium_rcv_detail_code))+1
from ins_premium_det i),'-78200','-78200','02', '11000003','00','Request by Mr. Omair Ali 30-Apr-2025');</v>
      </c>
    </row>
    <row r="1396" spans="1:8" ht="105" x14ac:dyDescent="0.25">
      <c r="A1396" t="s">
        <v>1082</v>
      </c>
      <c r="B1396" s="1" t="str">
        <f>VLOOKUP(A1396,Sheet5!B:C,2,0)</f>
        <v>050000823319</v>
      </c>
      <c r="C1396" s="13">
        <v>6317</v>
      </c>
      <c r="D1396" s="22">
        <f t="shared" si="85"/>
        <v>6317</v>
      </c>
      <c r="E1396" s="21" t="s">
        <v>5912</v>
      </c>
      <c r="F1396" s="23" t="str">
        <f t="shared" si="84"/>
        <v>insert into ins_premium_det (premium_rcv_code,assorted_code, rec_amount,premium_rcv_detail_code,remaining_amt, payrec, mode_code,coinsurance_code,class_cd,it_remarks) values</v>
      </c>
      <c r="G1396" s="24" t="str">
        <f t="shared" si="86"/>
        <v>('29Apr250042','050000823319','6317',(select max(to_number(i.premium_rcv_detail_code))+1
from ins_premium_det i),'6317','6317','02', '11000003','00','Request by Mr. Omair Ali 30-Apr-2025');</v>
      </c>
      <c r="H1396" s="25" t="str">
        <f t="shared" si="87"/>
        <v>insert into ins_premium_det (premium_rcv_code,assorted_code, rec_amount,premium_rcv_detail_code,remaining_amt, payrec, mode_code,coinsurance_code,class_cd,it_remarks) values('29Apr250042','050000823319','6317',(select max(to_number(i.premium_rcv_detail_code))+1
from ins_premium_det i),'6317','6317','02', '11000003','00','Request by Mr. Omair Ali 30-Apr-2025');</v>
      </c>
    </row>
    <row r="1397" spans="1:8" ht="105" x14ac:dyDescent="0.25">
      <c r="A1397" t="s">
        <v>1473</v>
      </c>
      <c r="B1397" s="1" t="str">
        <f>VLOOKUP(A1397,Sheet5!B:C,2,0)</f>
        <v>050000823323</v>
      </c>
      <c r="C1397" s="13">
        <v>8602</v>
      </c>
      <c r="D1397" s="22">
        <f t="shared" si="85"/>
        <v>8602</v>
      </c>
      <c r="E1397" s="21" t="s">
        <v>5912</v>
      </c>
      <c r="F1397" s="23" t="str">
        <f t="shared" si="84"/>
        <v>insert into ins_premium_det (premium_rcv_code,assorted_code, rec_amount,premium_rcv_detail_code,remaining_amt, payrec, mode_code,coinsurance_code,class_cd,it_remarks) values</v>
      </c>
      <c r="G1397" s="24" t="str">
        <f t="shared" si="86"/>
        <v>('29Apr250042','050000823323','8602',(select max(to_number(i.premium_rcv_detail_code))+1
from ins_premium_det i),'8602','8602','02', '11000003','00','Request by Mr. Omair Ali 30-Apr-2025');</v>
      </c>
      <c r="H1397" s="25" t="str">
        <f t="shared" si="87"/>
        <v>insert into ins_premium_det (premium_rcv_code,assorted_code, rec_amount,premium_rcv_detail_code,remaining_amt, payrec, mode_code,coinsurance_code,class_cd,it_remarks) values('29Apr250042','050000823323','8602',(select max(to_number(i.premium_rcv_detail_code))+1
from ins_premium_det i),'8602','8602','02', '11000003','00','Request by Mr. Omair Ali 30-Apr-2025');</v>
      </c>
    </row>
    <row r="1398" spans="1:8" ht="105" x14ac:dyDescent="0.25">
      <c r="A1398" t="s">
        <v>1723</v>
      </c>
      <c r="B1398" s="1" t="str">
        <f>VLOOKUP(A1398,Sheet5!B:C,2,0)</f>
        <v>050000823324</v>
      </c>
      <c r="C1398" s="13">
        <v>4572</v>
      </c>
      <c r="D1398" s="22">
        <f t="shared" si="85"/>
        <v>4572</v>
      </c>
      <c r="E1398" s="21" t="s">
        <v>5912</v>
      </c>
      <c r="F1398" s="23" t="str">
        <f t="shared" si="84"/>
        <v>insert into ins_premium_det (premium_rcv_code,assorted_code, rec_amount,premium_rcv_detail_code,remaining_amt, payrec, mode_code,coinsurance_code,class_cd,it_remarks) values</v>
      </c>
      <c r="G1398" s="24" t="str">
        <f t="shared" si="86"/>
        <v>('29Apr250042','050000823324','4572',(select max(to_number(i.premium_rcv_detail_code))+1
from ins_premium_det i),'4572','4572','02', '11000003','00','Request by Mr. Omair Ali 30-Apr-2025');</v>
      </c>
      <c r="H1398" s="25" t="str">
        <f t="shared" si="87"/>
        <v>insert into ins_premium_det (premium_rcv_code,assorted_code, rec_amount,premium_rcv_detail_code,remaining_amt, payrec, mode_code,coinsurance_code,class_cd,it_remarks) values('29Apr250042','050000823324','4572',(select max(to_number(i.premium_rcv_detail_code))+1
from ins_premium_det i),'4572','4572','02', '11000003','00','Request by Mr. Omair Ali 30-Apr-2025');</v>
      </c>
    </row>
    <row r="1399" spans="1:8" ht="105" x14ac:dyDescent="0.25">
      <c r="A1399" t="s">
        <v>1328</v>
      </c>
      <c r="B1399" s="1" t="str">
        <f>VLOOKUP(A1399,Sheet5!B:C,2,0)</f>
        <v>050000824033</v>
      </c>
      <c r="C1399" s="13">
        <v>4341</v>
      </c>
      <c r="D1399" s="22">
        <f t="shared" si="85"/>
        <v>4341</v>
      </c>
      <c r="E1399" s="21" t="s">
        <v>5912</v>
      </c>
      <c r="F1399" s="23" t="str">
        <f t="shared" si="84"/>
        <v>insert into ins_premium_det (premium_rcv_code,assorted_code, rec_amount,premium_rcv_detail_code,remaining_amt, payrec, mode_code,coinsurance_code,class_cd,it_remarks) values</v>
      </c>
      <c r="G1399" s="24" t="str">
        <f t="shared" si="86"/>
        <v>('29Apr250042','050000824033','4341',(select max(to_number(i.premium_rcv_detail_code))+1
from ins_premium_det i),'4341','4341','02', '11000003','00','Request by Mr. Omair Ali 30-Apr-2025');</v>
      </c>
      <c r="H1399" s="25" t="str">
        <f t="shared" si="87"/>
        <v>insert into ins_premium_det (premium_rcv_code,assorted_code, rec_amount,premium_rcv_detail_code,remaining_amt, payrec, mode_code,coinsurance_code,class_cd,it_remarks) values('29Apr250042','050000824033','4341',(select max(to_number(i.premium_rcv_detail_code))+1
from ins_premium_det i),'4341','4341','02', '11000003','00','Request by Mr. Omair Ali 30-Apr-2025');</v>
      </c>
    </row>
    <row r="1400" spans="1:8" ht="105" x14ac:dyDescent="0.25">
      <c r="A1400" t="s">
        <v>1339</v>
      </c>
      <c r="B1400" s="1" t="str">
        <f>VLOOKUP(A1400,Sheet5!B:C,2,0)</f>
        <v>050000824349</v>
      </c>
      <c r="C1400" s="13">
        <v>1201</v>
      </c>
      <c r="D1400" s="22">
        <f t="shared" si="85"/>
        <v>1201</v>
      </c>
      <c r="E1400" s="21" t="s">
        <v>5912</v>
      </c>
      <c r="F1400" s="23" t="str">
        <f t="shared" si="84"/>
        <v>insert into ins_premium_det (premium_rcv_code,assorted_code, rec_amount,premium_rcv_detail_code,remaining_amt, payrec, mode_code,coinsurance_code,class_cd,it_remarks) values</v>
      </c>
      <c r="G1400" s="24" t="str">
        <f t="shared" si="86"/>
        <v>('29Apr250042','050000824349','1201',(select max(to_number(i.premium_rcv_detail_code))+1
from ins_premium_det i),'1201','1201','02', '11000003','00','Request by Mr. Omair Ali 30-Apr-2025');</v>
      </c>
      <c r="H1400" s="25" t="str">
        <f t="shared" si="87"/>
        <v>insert into ins_premium_det (premium_rcv_code,assorted_code, rec_amount,premium_rcv_detail_code,remaining_amt, payrec, mode_code,coinsurance_code,class_cd,it_remarks) values('29Apr250042','050000824349','1201',(select max(to_number(i.premium_rcv_detail_code))+1
from ins_premium_det i),'1201','1201','02', '11000003','00','Request by Mr. Omair Ali 30-Apr-2025');</v>
      </c>
    </row>
    <row r="1401" spans="1:8" ht="105" x14ac:dyDescent="0.25">
      <c r="A1401" t="s">
        <v>1840</v>
      </c>
      <c r="B1401" s="1" t="str">
        <f>VLOOKUP(A1401,Sheet5!B:C,2,0)</f>
        <v>050000824353</v>
      </c>
      <c r="C1401" s="13">
        <v>3410</v>
      </c>
      <c r="D1401" s="22">
        <f t="shared" si="85"/>
        <v>3410</v>
      </c>
      <c r="E1401" s="21" t="s">
        <v>5912</v>
      </c>
      <c r="F1401" s="23" t="str">
        <f t="shared" si="84"/>
        <v>insert into ins_premium_det (premium_rcv_code,assorted_code, rec_amount,premium_rcv_detail_code,remaining_amt, payrec, mode_code,coinsurance_code,class_cd,it_remarks) values</v>
      </c>
      <c r="G1401" s="24" t="str">
        <f t="shared" si="86"/>
        <v>('29Apr250042','050000824353','3410',(select max(to_number(i.premium_rcv_detail_code))+1
from ins_premium_det i),'3410','3410','02', '11000003','00','Request by Mr. Omair Ali 30-Apr-2025');</v>
      </c>
      <c r="H1401" s="25" t="str">
        <f t="shared" si="87"/>
        <v>insert into ins_premium_det (premium_rcv_code,assorted_code, rec_amount,premium_rcv_detail_code,remaining_amt, payrec, mode_code,coinsurance_code,class_cd,it_remarks) values('29Apr250042','050000824353','3410',(select max(to_number(i.premium_rcv_detail_code))+1
from ins_premium_det i),'3410','3410','02', '11000003','00','Request by Mr. Omair Ali 30-Apr-2025');</v>
      </c>
    </row>
    <row r="1402" spans="1:8" ht="105" x14ac:dyDescent="0.25">
      <c r="A1402" t="s">
        <v>1927</v>
      </c>
      <c r="B1402" s="1" t="str">
        <f>VLOOKUP(A1402,Sheet5!B:C,2,0)</f>
        <v>050000824367</v>
      </c>
      <c r="C1402" s="13">
        <v>6516</v>
      </c>
      <c r="D1402" s="22">
        <f t="shared" si="85"/>
        <v>6516</v>
      </c>
      <c r="E1402" s="21" t="s">
        <v>5912</v>
      </c>
      <c r="F1402" s="23" t="str">
        <f t="shared" si="84"/>
        <v>insert into ins_premium_det (premium_rcv_code,assorted_code, rec_amount,premium_rcv_detail_code,remaining_amt, payrec, mode_code,coinsurance_code,class_cd,it_remarks) values</v>
      </c>
      <c r="G1402" s="24" t="str">
        <f t="shared" si="86"/>
        <v>('29Apr250042','050000824367','6516',(select max(to_number(i.premium_rcv_detail_code))+1
from ins_premium_det i),'6516','6516','02', '11000003','00','Request by Mr. Omair Ali 30-Apr-2025');</v>
      </c>
      <c r="H1402" s="25" t="str">
        <f t="shared" si="87"/>
        <v>insert into ins_premium_det (premium_rcv_code,assorted_code, rec_amount,premium_rcv_detail_code,remaining_amt, payrec, mode_code,coinsurance_code,class_cd,it_remarks) values('29Apr250042','050000824367','6516',(select max(to_number(i.premium_rcv_detail_code))+1
from ins_premium_det i),'6516','6516','02', '11000003','00','Request by Mr. Omair Ali 30-Apr-2025');</v>
      </c>
    </row>
    <row r="1403" spans="1:8" ht="105" x14ac:dyDescent="0.25">
      <c r="A1403" t="s">
        <v>1349</v>
      </c>
      <c r="B1403" s="1" t="str">
        <f>VLOOKUP(A1403,Sheet5!B:C,2,0)</f>
        <v>050000824562</v>
      </c>
      <c r="C1403" s="13">
        <v>2984</v>
      </c>
      <c r="D1403" s="22">
        <f t="shared" si="85"/>
        <v>2984</v>
      </c>
      <c r="E1403" s="21" t="s">
        <v>5912</v>
      </c>
      <c r="F1403" s="23" t="str">
        <f t="shared" si="84"/>
        <v>insert into ins_premium_det (premium_rcv_code,assorted_code, rec_amount,premium_rcv_detail_code,remaining_amt, payrec, mode_code,coinsurance_code,class_cd,it_remarks) values</v>
      </c>
      <c r="G1403" s="24" t="str">
        <f t="shared" si="86"/>
        <v>('29Apr250042','050000824562','2984',(select max(to_number(i.premium_rcv_detail_code))+1
from ins_premium_det i),'2984','2984','02', '11000003','00','Request by Mr. Omair Ali 30-Apr-2025');</v>
      </c>
      <c r="H1403" s="25" t="str">
        <f t="shared" si="87"/>
        <v>insert into ins_premium_det (premium_rcv_code,assorted_code, rec_amount,premium_rcv_detail_code,remaining_amt, payrec, mode_code,coinsurance_code,class_cd,it_remarks) values('29Apr250042','050000824562','2984',(select max(to_number(i.premium_rcv_detail_code))+1
from ins_premium_det i),'2984','2984','02', '11000003','00','Request by Mr. Omair Ali 30-Apr-2025');</v>
      </c>
    </row>
    <row r="1404" spans="1:8" ht="105" x14ac:dyDescent="0.25">
      <c r="A1404" t="s">
        <v>1566</v>
      </c>
      <c r="B1404" s="1" t="str">
        <f>VLOOKUP(A1404,Sheet5!B:C,2,0)</f>
        <v>050000824566</v>
      </c>
      <c r="C1404" s="13">
        <v>8727</v>
      </c>
      <c r="D1404" s="22">
        <f t="shared" si="85"/>
        <v>8727</v>
      </c>
      <c r="E1404" s="21" t="s">
        <v>5912</v>
      </c>
      <c r="F1404" s="23" t="str">
        <f t="shared" si="84"/>
        <v>insert into ins_premium_det (premium_rcv_code,assorted_code, rec_amount,premium_rcv_detail_code,remaining_amt, payrec, mode_code,coinsurance_code,class_cd,it_remarks) values</v>
      </c>
      <c r="G1404" s="24" t="str">
        <f t="shared" si="86"/>
        <v>('29Apr250042','050000824566','8727',(select max(to_number(i.premium_rcv_detail_code))+1
from ins_premium_det i),'8727','8727','02', '11000003','00','Request by Mr. Omair Ali 30-Apr-2025');</v>
      </c>
      <c r="H1404" s="25" t="str">
        <f t="shared" si="87"/>
        <v>insert into ins_premium_det (premium_rcv_code,assorted_code, rec_amount,premium_rcv_detail_code,remaining_amt, payrec, mode_code,coinsurance_code,class_cd,it_remarks) values('29Apr250042','050000824566','8727',(select max(to_number(i.premium_rcv_detail_code))+1
from ins_premium_det i),'8727','8727','02', '11000003','00','Request by Mr. Omair Ali 30-Apr-2025');</v>
      </c>
    </row>
    <row r="1405" spans="1:8" ht="105" x14ac:dyDescent="0.25">
      <c r="A1405" t="s">
        <v>1591</v>
      </c>
      <c r="B1405" s="1" t="str">
        <f>VLOOKUP(A1405,Sheet5!B:C,2,0)</f>
        <v>050000824568</v>
      </c>
      <c r="C1405" s="13">
        <v>15</v>
      </c>
      <c r="D1405" s="22">
        <f t="shared" si="85"/>
        <v>15</v>
      </c>
      <c r="E1405" s="21" t="s">
        <v>5912</v>
      </c>
      <c r="F1405" s="23" t="str">
        <f t="shared" si="84"/>
        <v>insert into ins_premium_det (premium_rcv_code,assorted_code, rec_amount,premium_rcv_detail_code,remaining_amt, payrec, mode_code,coinsurance_code,class_cd,it_remarks) values</v>
      </c>
      <c r="G1405" s="24" t="str">
        <f t="shared" si="86"/>
        <v>('29Apr250042','050000824568','15',(select max(to_number(i.premium_rcv_detail_code))+1
from ins_premium_det i),'15','15','02', '11000003','00','Request by Mr. Omair Ali 30-Apr-2025');</v>
      </c>
      <c r="H1405" s="25" t="str">
        <f t="shared" si="87"/>
        <v>insert into ins_premium_det (premium_rcv_code,assorted_code, rec_amount,premium_rcv_detail_code,remaining_amt, payrec, mode_code,coinsurance_code,class_cd,it_remarks) values('29Apr250042','050000824568','15',(select max(to_number(i.premium_rcv_detail_code))+1
from ins_premium_det i),'15','15','02', '11000003','00','Request by Mr. Omair Ali 30-Apr-2025');</v>
      </c>
    </row>
    <row r="1406" spans="1:8" ht="105" x14ac:dyDescent="0.25">
      <c r="A1406" t="s">
        <v>1740</v>
      </c>
      <c r="B1406" s="1" t="str">
        <f>VLOOKUP(A1406,Sheet5!B:C,2,0)</f>
        <v>050000824572</v>
      </c>
      <c r="C1406" s="13">
        <v>947</v>
      </c>
      <c r="D1406" s="22">
        <f t="shared" si="85"/>
        <v>947</v>
      </c>
      <c r="E1406" s="21" t="s">
        <v>5912</v>
      </c>
      <c r="F1406" s="23" t="str">
        <f t="shared" si="84"/>
        <v>insert into ins_premium_det (premium_rcv_code,assorted_code, rec_amount,premium_rcv_detail_code,remaining_amt, payrec, mode_code,coinsurance_code,class_cd,it_remarks) values</v>
      </c>
      <c r="G1406" s="24" t="str">
        <f t="shared" si="86"/>
        <v>('29Apr250042','050000824572','947',(select max(to_number(i.premium_rcv_detail_code))+1
from ins_premium_det i),'947','947','02', '11000003','00','Request by Mr. Omair Ali 30-Apr-2025');</v>
      </c>
      <c r="H1406" s="25" t="str">
        <f t="shared" si="87"/>
        <v>insert into ins_premium_det (premium_rcv_code,assorted_code, rec_amount,premium_rcv_detail_code,remaining_amt, payrec, mode_code,coinsurance_code,class_cd,it_remarks) values('29Apr250042','050000824572','947',(select max(to_number(i.premium_rcv_detail_code))+1
from ins_premium_det i),'947','947','02', '11000003','00','Request by Mr. Omair Ali 30-Apr-2025');</v>
      </c>
    </row>
    <row r="1407" spans="1:8" ht="105" x14ac:dyDescent="0.25">
      <c r="A1407" t="s">
        <v>1767</v>
      </c>
      <c r="B1407" s="1" t="str">
        <f>VLOOKUP(A1407,Sheet5!B:C,2,0)</f>
        <v>050000824574</v>
      </c>
      <c r="C1407" s="13">
        <v>2450</v>
      </c>
      <c r="D1407" s="22">
        <f t="shared" si="85"/>
        <v>2450</v>
      </c>
      <c r="E1407" s="21" t="s">
        <v>5912</v>
      </c>
      <c r="F1407" s="23" t="str">
        <f t="shared" si="84"/>
        <v>insert into ins_premium_det (premium_rcv_code,assorted_code, rec_amount,premium_rcv_detail_code,remaining_amt, payrec, mode_code,coinsurance_code,class_cd,it_remarks) values</v>
      </c>
      <c r="G1407" s="24" t="str">
        <f t="shared" si="86"/>
        <v>('29Apr250042','050000824574','2450',(select max(to_number(i.premium_rcv_detail_code))+1
from ins_premium_det i),'2450','2450','02', '11000003','00','Request by Mr. Omair Ali 30-Apr-2025');</v>
      </c>
      <c r="H1407" s="25" t="str">
        <f t="shared" si="87"/>
        <v>insert into ins_premium_det (premium_rcv_code,assorted_code, rec_amount,premium_rcv_detail_code,remaining_amt, payrec, mode_code,coinsurance_code,class_cd,it_remarks) values('29Apr250042','050000824574','2450',(select max(to_number(i.premium_rcv_detail_code))+1
from ins_premium_det i),'2450','2450','02', '11000003','00','Request by Mr. Omair Ali 30-Apr-2025');</v>
      </c>
    </row>
    <row r="1408" spans="1:8" ht="105" x14ac:dyDescent="0.25">
      <c r="A1408" t="s">
        <v>1777</v>
      </c>
      <c r="B1408" s="1" t="str">
        <f>VLOOKUP(A1408,Sheet5!B:C,2,0)</f>
        <v>050000824577</v>
      </c>
      <c r="C1408" s="13">
        <v>8331</v>
      </c>
      <c r="D1408" s="22">
        <f t="shared" si="85"/>
        <v>8331</v>
      </c>
      <c r="E1408" s="21" t="s">
        <v>5912</v>
      </c>
      <c r="F1408" s="23" t="str">
        <f t="shared" si="84"/>
        <v>insert into ins_premium_det (premium_rcv_code,assorted_code, rec_amount,premium_rcv_detail_code,remaining_amt, payrec, mode_code,coinsurance_code,class_cd,it_remarks) values</v>
      </c>
      <c r="G1408" s="24" t="str">
        <f t="shared" si="86"/>
        <v>('29Apr250042','050000824577','8331',(select max(to_number(i.premium_rcv_detail_code))+1
from ins_premium_det i),'8331','8331','02', '11000003','00','Request by Mr. Omair Ali 30-Apr-2025');</v>
      </c>
      <c r="H1408" s="25" t="str">
        <f t="shared" si="87"/>
        <v>insert into ins_premium_det (premium_rcv_code,assorted_code, rec_amount,premium_rcv_detail_code,remaining_amt, payrec, mode_code,coinsurance_code,class_cd,it_remarks) values('29Apr250042','050000824577','8331',(select max(to_number(i.premium_rcv_detail_code))+1
from ins_premium_det i),'8331','8331','02', '11000003','00','Request by Mr. Omair Ali 30-Apr-2025');</v>
      </c>
    </row>
    <row r="1409" spans="1:8" ht="105" x14ac:dyDescent="0.25">
      <c r="A1409" t="s">
        <v>1848</v>
      </c>
      <c r="B1409" s="1" t="str">
        <f>VLOOKUP(A1409,Sheet5!B:C,2,0)</f>
        <v>050000824583</v>
      </c>
      <c r="C1409" s="13">
        <v>4367</v>
      </c>
      <c r="D1409" s="22">
        <f t="shared" si="85"/>
        <v>4367</v>
      </c>
      <c r="E1409" s="21" t="s">
        <v>5912</v>
      </c>
      <c r="F1409" s="23" t="str">
        <f t="shared" si="84"/>
        <v>insert into ins_premium_det (premium_rcv_code,assorted_code, rec_amount,premium_rcv_detail_code,remaining_amt, payrec, mode_code,coinsurance_code,class_cd,it_remarks) values</v>
      </c>
      <c r="G1409" s="24" t="str">
        <f t="shared" si="86"/>
        <v>('29Apr250042','050000824583','4367',(select max(to_number(i.premium_rcv_detail_code))+1
from ins_premium_det i),'4367','4367','02', '11000003','00','Request by Mr. Omair Ali 30-Apr-2025');</v>
      </c>
      <c r="H1409" s="25" t="str">
        <f t="shared" si="87"/>
        <v>insert into ins_premium_det (premium_rcv_code,assorted_code, rec_amount,premium_rcv_detail_code,remaining_amt, payrec, mode_code,coinsurance_code,class_cd,it_remarks) values('29Apr250042','050000824583','4367',(select max(to_number(i.premium_rcv_detail_code))+1
from ins_premium_det i),'4367','4367','02', '11000003','00','Request by Mr. Omair Ali 30-Apr-2025');</v>
      </c>
    </row>
    <row r="1410" spans="1:8" ht="105" x14ac:dyDescent="0.25">
      <c r="A1410" t="s">
        <v>1360</v>
      </c>
      <c r="B1410" s="1" t="str">
        <f>VLOOKUP(A1410,Sheet5!B:C,2,0)</f>
        <v>050000824676</v>
      </c>
      <c r="C1410" s="13">
        <v>3599</v>
      </c>
      <c r="D1410" s="22">
        <f t="shared" si="85"/>
        <v>3599</v>
      </c>
      <c r="E1410" s="21" t="s">
        <v>5912</v>
      </c>
      <c r="F1410" s="23" t="str">
        <f t="shared" ref="F1410:F1473" si="8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410" s="24" t="str">
        <f t="shared" si="86"/>
        <v>('29Apr250042','050000824676','3599',(select max(to_number(i.premium_rcv_detail_code))+1
from ins_premium_det i),'3599','3599','02', '11000003','00','Request by Mr. Omair Ali 30-Apr-2025');</v>
      </c>
      <c r="H1410" s="25" t="str">
        <f t="shared" si="87"/>
        <v>insert into ins_premium_det (premium_rcv_code,assorted_code, rec_amount,premium_rcv_detail_code,remaining_amt, payrec, mode_code,coinsurance_code,class_cd,it_remarks) values('29Apr250042','050000824676','3599',(select max(to_number(i.premium_rcv_detail_code))+1
from ins_premium_det i),'3599','3599','02', '11000003','00','Request by Mr. Omair Ali 30-Apr-2025');</v>
      </c>
    </row>
    <row r="1411" spans="1:8" ht="105" x14ac:dyDescent="0.25">
      <c r="A1411" t="s">
        <v>1388</v>
      </c>
      <c r="B1411" s="1" t="str">
        <f>VLOOKUP(A1411,Sheet5!B:C,2,0)</f>
        <v>050000824677</v>
      </c>
      <c r="C1411" s="13">
        <v>544</v>
      </c>
      <c r="D1411" s="22">
        <f t="shared" ref="D1411:D1474" si="89">ROUND(C1411,0)</f>
        <v>544</v>
      </c>
      <c r="E1411" s="21" t="s">
        <v>5912</v>
      </c>
      <c r="F1411" s="23" t="str">
        <f t="shared" si="88"/>
        <v>insert into ins_premium_det (premium_rcv_code,assorted_code, rec_amount,premium_rcv_detail_code,remaining_amt, payrec, mode_code,coinsurance_code,class_cd,it_remarks) values</v>
      </c>
      <c r="G1411" s="24" t="str">
        <f t="shared" ref="G1411:G1474" si="90">"('"&amp;E1411&amp;"','"&amp;B1411&amp;"','"&amp;D1411&amp;"',(select max(to_number(i.premium_rcv_detail_code))+1
from ins_premium_det i),'"&amp;D1411&amp;"','"&amp;D1411&amp;"','02', '11000003','00','Request by Mr. Omair Ali 30-Apr-2025');"</f>
        <v>('29Apr250042','050000824677','544',(select max(to_number(i.premium_rcv_detail_code))+1
from ins_premium_det i),'544','544','02', '11000003','00','Request by Mr. Omair Ali 30-Apr-2025');</v>
      </c>
      <c r="H1411" s="25" t="str">
        <f t="shared" ref="H1411:H1474" si="91">F1411&amp;G1411</f>
        <v>insert into ins_premium_det (premium_rcv_code,assorted_code, rec_amount,premium_rcv_detail_code,remaining_amt, payrec, mode_code,coinsurance_code,class_cd,it_remarks) values('29Apr250042','050000824677','544',(select max(to_number(i.premium_rcv_detail_code))+1
from ins_premium_det i),'544','544','02', '11000003','00','Request by Mr. Omair Ali 30-Apr-2025');</v>
      </c>
    </row>
    <row r="1412" spans="1:8" ht="105" x14ac:dyDescent="0.25">
      <c r="A1412" t="s">
        <v>960</v>
      </c>
      <c r="B1412" s="1" t="str">
        <f>VLOOKUP(A1412,Sheet5!B:C,2,0)</f>
        <v>050000824787</v>
      </c>
      <c r="C1412" s="13">
        <v>4985</v>
      </c>
      <c r="D1412" s="22">
        <f t="shared" si="89"/>
        <v>4985</v>
      </c>
      <c r="E1412" s="21" t="s">
        <v>5912</v>
      </c>
      <c r="F1412" s="23" t="str">
        <f t="shared" si="88"/>
        <v>insert into ins_premium_det (premium_rcv_code,assorted_code, rec_amount,premium_rcv_detail_code,remaining_amt, payrec, mode_code,coinsurance_code,class_cd,it_remarks) values</v>
      </c>
      <c r="G1412" s="24" t="str">
        <f t="shared" si="90"/>
        <v>('29Apr250042','050000824787','4985',(select max(to_number(i.premium_rcv_detail_code))+1
from ins_premium_det i),'4985','4985','02', '11000003','00','Request by Mr. Omair Ali 30-Apr-2025');</v>
      </c>
      <c r="H1412" s="25" t="str">
        <f t="shared" si="91"/>
        <v>insert into ins_premium_det (premium_rcv_code,assorted_code, rec_amount,premium_rcv_detail_code,remaining_amt, payrec, mode_code,coinsurance_code,class_cd,it_remarks) values('29Apr250042','050000824787','4985',(select max(to_number(i.premium_rcv_detail_code))+1
from ins_premium_det i),'4985','4985','02', '11000003','00','Request by Mr. Omair Ali 30-Apr-2025');</v>
      </c>
    </row>
    <row r="1413" spans="1:8" ht="105" x14ac:dyDescent="0.25">
      <c r="A1413" t="s">
        <v>1150</v>
      </c>
      <c r="B1413" s="1" t="str">
        <f>VLOOKUP(A1413,Sheet5!B:C,2,0)</f>
        <v>050000824909</v>
      </c>
      <c r="C1413" s="13">
        <v>5386</v>
      </c>
      <c r="D1413" s="22">
        <f t="shared" si="89"/>
        <v>5386</v>
      </c>
      <c r="E1413" s="21" t="s">
        <v>5912</v>
      </c>
      <c r="F1413" s="23" t="str">
        <f t="shared" si="88"/>
        <v>insert into ins_premium_det (premium_rcv_code,assorted_code, rec_amount,premium_rcv_detail_code,remaining_amt, payrec, mode_code,coinsurance_code,class_cd,it_remarks) values</v>
      </c>
      <c r="G1413" s="24" t="str">
        <f t="shared" si="90"/>
        <v>('29Apr250042','050000824909','5386',(select max(to_number(i.premium_rcv_detail_code))+1
from ins_premium_det i),'5386','5386','02', '11000003','00','Request by Mr. Omair Ali 30-Apr-2025');</v>
      </c>
      <c r="H1413" s="25" t="str">
        <f t="shared" si="91"/>
        <v>insert into ins_premium_det (premium_rcv_code,assorted_code, rec_amount,premium_rcv_detail_code,remaining_amt, payrec, mode_code,coinsurance_code,class_cd,it_remarks) values('29Apr250042','050000824909','5386',(select max(to_number(i.premium_rcv_detail_code))+1
from ins_premium_det i),'5386','5386','02', '11000003','00','Request by Mr. Omair Ali 30-Apr-2025');</v>
      </c>
    </row>
    <row r="1414" spans="1:8" ht="105" x14ac:dyDescent="0.25">
      <c r="A1414" t="s">
        <v>1585</v>
      </c>
      <c r="B1414" s="1" t="str">
        <f>VLOOKUP(A1414,Sheet5!B:C,2,0)</f>
        <v>050000824916</v>
      </c>
      <c r="C1414" s="13">
        <v>4523</v>
      </c>
      <c r="D1414" s="22">
        <f t="shared" si="89"/>
        <v>4523</v>
      </c>
      <c r="E1414" s="21" t="s">
        <v>5912</v>
      </c>
      <c r="F1414" s="23" t="str">
        <f t="shared" si="88"/>
        <v>insert into ins_premium_det (premium_rcv_code,assorted_code, rec_amount,premium_rcv_detail_code,remaining_amt, payrec, mode_code,coinsurance_code,class_cd,it_remarks) values</v>
      </c>
      <c r="G1414" s="24" t="str">
        <f t="shared" si="90"/>
        <v>('29Apr250042','050000824916','4523',(select max(to_number(i.premium_rcv_detail_code))+1
from ins_premium_det i),'4523','4523','02', '11000003','00','Request by Mr. Omair Ali 30-Apr-2025');</v>
      </c>
      <c r="H1414" s="25" t="str">
        <f t="shared" si="91"/>
        <v>insert into ins_premium_det (premium_rcv_code,assorted_code, rec_amount,premium_rcv_detail_code,remaining_amt, payrec, mode_code,coinsurance_code,class_cd,it_remarks) values('29Apr250042','050000824916','4523',(select max(to_number(i.premium_rcv_detail_code))+1
from ins_premium_det i),'4523','4523','02', '11000003','00','Request by Mr. Omair Ali 30-Apr-2025');</v>
      </c>
    </row>
    <row r="1415" spans="1:8" ht="105" x14ac:dyDescent="0.25">
      <c r="A1415" t="s">
        <v>1945</v>
      </c>
      <c r="B1415" s="1" t="str">
        <f>VLOOKUP(A1415,Sheet5!B:C,2,0)</f>
        <v>050000824920</v>
      </c>
      <c r="C1415" s="13">
        <v>902</v>
      </c>
      <c r="D1415" s="22">
        <f t="shared" si="89"/>
        <v>902</v>
      </c>
      <c r="E1415" s="21" t="s">
        <v>5912</v>
      </c>
      <c r="F1415" s="23" t="str">
        <f t="shared" si="88"/>
        <v>insert into ins_premium_det (premium_rcv_code,assorted_code, rec_amount,premium_rcv_detail_code,remaining_amt, payrec, mode_code,coinsurance_code,class_cd,it_remarks) values</v>
      </c>
      <c r="G1415" s="24" t="str">
        <f t="shared" si="90"/>
        <v>('29Apr250042','050000824920','902',(select max(to_number(i.premium_rcv_detail_code))+1
from ins_premium_det i),'902','902','02', '11000003','00','Request by Mr. Omair Ali 30-Apr-2025');</v>
      </c>
      <c r="H1415" s="25" t="str">
        <f t="shared" si="91"/>
        <v>insert into ins_premium_det (premium_rcv_code,assorted_code, rec_amount,premium_rcv_detail_code,remaining_amt, payrec, mode_code,coinsurance_code,class_cd,it_remarks) values('29Apr250042','050000824920','902',(select max(to_number(i.premium_rcv_detail_code))+1
from ins_premium_det i),'902','902','02', '11000003','00','Request by Mr. Omair Ali 30-Apr-2025');</v>
      </c>
    </row>
    <row r="1416" spans="1:8" ht="105" x14ac:dyDescent="0.25">
      <c r="A1416" t="s">
        <v>1399</v>
      </c>
      <c r="B1416" s="1" t="str">
        <f>VLOOKUP(A1416,Sheet5!B:C,2,0)</f>
        <v>050000825001</v>
      </c>
      <c r="C1416" s="13">
        <v>1198</v>
      </c>
      <c r="D1416" s="22">
        <f t="shared" si="89"/>
        <v>1198</v>
      </c>
      <c r="E1416" s="21" t="s">
        <v>5912</v>
      </c>
      <c r="F1416" s="23" t="str">
        <f t="shared" si="88"/>
        <v>insert into ins_premium_det (premium_rcv_code,assorted_code, rec_amount,premium_rcv_detail_code,remaining_amt, payrec, mode_code,coinsurance_code,class_cd,it_remarks) values</v>
      </c>
      <c r="G1416" s="24" t="str">
        <f t="shared" si="90"/>
        <v>('29Apr250042','050000825001','1198',(select max(to_number(i.premium_rcv_detail_code))+1
from ins_premium_det i),'1198','1198','02', '11000003','00','Request by Mr. Omair Ali 30-Apr-2025');</v>
      </c>
      <c r="H1416" s="25" t="str">
        <f t="shared" si="91"/>
        <v>insert into ins_premium_det (premium_rcv_code,assorted_code, rec_amount,premium_rcv_detail_code,remaining_amt, payrec, mode_code,coinsurance_code,class_cd,it_remarks) values('29Apr250042','050000825001','1198',(select max(to_number(i.premium_rcv_detail_code))+1
from ins_premium_det i),'1198','1198','02', '11000003','00','Request by Mr. Omair Ali 30-Apr-2025');</v>
      </c>
    </row>
    <row r="1417" spans="1:8" ht="105" x14ac:dyDescent="0.25">
      <c r="A1417" t="s">
        <v>1514</v>
      </c>
      <c r="B1417" s="1" t="str">
        <f>VLOOKUP(A1417,Sheet5!B:C,2,0)</f>
        <v>050000825005</v>
      </c>
      <c r="C1417" s="13">
        <v>476</v>
      </c>
      <c r="D1417" s="22">
        <f t="shared" si="89"/>
        <v>476</v>
      </c>
      <c r="E1417" s="21" t="s">
        <v>5912</v>
      </c>
      <c r="F1417" s="23" t="str">
        <f t="shared" si="88"/>
        <v>insert into ins_premium_det (premium_rcv_code,assorted_code, rec_amount,premium_rcv_detail_code,remaining_amt, payrec, mode_code,coinsurance_code,class_cd,it_remarks) values</v>
      </c>
      <c r="G1417" s="24" t="str">
        <f t="shared" si="90"/>
        <v>('29Apr250042','050000825005','476',(select max(to_number(i.premium_rcv_detail_code))+1
from ins_premium_det i),'476','476','02', '11000003','00','Request by Mr. Omair Ali 30-Apr-2025');</v>
      </c>
      <c r="H1417" s="25" t="str">
        <f t="shared" si="91"/>
        <v>insert into ins_premium_det (premium_rcv_code,assorted_code, rec_amount,premium_rcv_detail_code,remaining_amt, payrec, mode_code,coinsurance_code,class_cd,it_remarks) values('29Apr250042','050000825005','476',(select max(to_number(i.premium_rcv_detail_code))+1
from ins_premium_det i),'476','476','02', '11000003','00','Request by Mr. Omair Ali 30-Apr-2025');</v>
      </c>
    </row>
    <row r="1418" spans="1:8" ht="105" x14ac:dyDescent="0.25">
      <c r="A1418" t="s">
        <v>1600</v>
      </c>
      <c r="B1418" s="1" t="str">
        <f>VLOOKUP(A1418,Sheet5!B:C,2,0)</f>
        <v>050000825006</v>
      </c>
      <c r="C1418" s="13">
        <v>4216</v>
      </c>
      <c r="D1418" s="22">
        <f t="shared" si="89"/>
        <v>4216</v>
      </c>
      <c r="E1418" s="21" t="s">
        <v>5912</v>
      </c>
      <c r="F1418" s="23" t="str">
        <f t="shared" si="88"/>
        <v>insert into ins_premium_det (premium_rcv_code,assorted_code, rec_amount,premium_rcv_detail_code,remaining_amt, payrec, mode_code,coinsurance_code,class_cd,it_remarks) values</v>
      </c>
      <c r="G1418" s="24" t="str">
        <f t="shared" si="90"/>
        <v>('29Apr250042','050000825006','4216',(select max(to_number(i.premium_rcv_detail_code))+1
from ins_premium_det i),'4216','4216','02', '11000003','00','Request by Mr. Omair Ali 30-Apr-2025');</v>
      </c>
      <c r="H1418" s="25" t="str">
        <f t="shared" si="91"/>
        <v>insert into ins_premium_det (premium_rcv_code,assorted_code, rec_amount,premium_rcv_detail_code,remaining_amt, payrec, mode_code,coinsurance_code,class_cd,it_remarks) values('29Apr250042','050000825006','4216',(select max(to_number(i.premium_rcv_detail_code))+1
from ins_premium_det i),'4216','4216','02', '11000003','00','Request by Mr. Omair Ali 30-Apr-2025');</v>
      </c>
    </row>
    <row r="1419" spans="1:8" ht="105" x14ac:dyDescent="0.25">
      <c r="A1419" t="s">
        <v>1499</v>
      </c>
      <c r="B1419" s="1" t="str">
        <f>VLOOKUP(A1419,Sheet5!B:C,2,0)</f>
        <v>050000825174</v>
      </c>
      <c r="C1419" s="13">
        <v>435</v>
      </c>
      <c r="D1419" s="22">
        <f t="shared" si="89"/>
        <v>435</v>
      </c>
      <c r="E1419" s="21" t="s">
        <v>5912</v>
      </c>
      <c r="F1419" s="23" t="str">
        <f t="shared" si="88"/>
        <v>insert into ins_premium_det (premium_rcv_code,assorted_code, rec_amount,premium_rcv_detail_code,remaining_amt, payrec, mode_code,coinsurance_code,class_cd,it_remarks) values</v>
      </c>
      <c r="G1419" s="24" t="str">
        <f t="shared" si="90"/>
        <v>('29Apr250042','050000825174','435',(select max(to_number(i.premium_rcv_detail_code))+1
from ins_premium_det i),'435','435','02', '11000003','00','Request by Mr. Omair Ali 30-Apr-2025');</v>
      </c>
      <c r="H1419" s="25" t="str">
        <f t="shared" si="91"/>
        <v>insert into ins_premium_det (premium_rcv_code,assorted_code, rec_amount,premium_rcv_detail_code,remaining_amt, payrec, mode_code,coinsurance_code,class_cd,it_remarks) values('29Apr250042','050000825174','435',(select max(to_number(i.premium_rcv_detail_code))+1
from ins_premium_det i),'435','435','02', '11000003','00','Request by Mr. Omair Ali 30-Apr-2025');</v>
      </c>
    </row>
    <row r="1420" spans="1:8" ht="105" x14ac:dyDescent="0.25">
      <c r="A1420" t="s">
        <v>1509</v>
      </c>
      <c r="B1420" s="1" t="str">
        <f>VLOOKUP(A1420,Sheet5!B:C,2,0)</f>
        <v>050000825175</v>
      </c>
      <c r="C1420" s="13">
        <v>7072</v>
      </c>
      <c r="D1420" s="22">
        <f t="shared" si="89"/>
        <v>7072</v>
      </c>
      <c r="E1420" s="21" t="s">
        <v>5912</v>
      </c>
      <c r="F1420" s="23" t="str">
        <f t="shared" si="88"/>
        <v>insert into ins_premium_det (premium_rcv_code,assorted_code, rec_amount,premium_rcv_detail_code,remaining_amt, payrec, mode_code,coinsurance_code,class_cd,it_remarks) values</v>
      </c>
      <c r="G1420" s="24" t="str">
        <f t="shared" si="90"/>
        <v>('29Apr250042','050000825175','7072',(select max(to_number(i.premium_rcv_detail_code))+1
from ins_premium_det i),'7072','7072','02', '11000003','00','Request by Mr. Omair Ali 30-Apr-2025');</v>
      </c>
      <c r="H1420" s="25" t="str">
        <f t="shared" si="91"/>
        <v>insert into ins_premium_det (premium_rcv_code,assorted_code, rec_amount,premium_rcv_detail_code,remaining_amt, payrec, mode_code,coinsurance_code,class_cd,it_remarks) values('29Apr250042','050000825175','7072',(select max(to_number(i.premium_rcv_detail_code))+1
from ins_premium_det i),'7072','7072','02', '11000003','00','Request by Mr. Omair Ali 30-Apr-2025');</v>
      </c>
    </row>
    <row r="1421" spans="1:8" ht="105" x14ac:dyDescent="0.25">
      <c r="A1421" t="s">
        <v>1792</v>
      </c>
      <c r="B1421" s="1" t="str">
        <f>VLOOKUP(A1421,Sheet5!B:C,2,0)</f>
        <v>050000825178</v>
      </c>
      <c r="C1421" s="13">
        <v>8862</v>
      </c>
      <c r="D1421" s="22">
        <f t="shared" si="89"/>
        <v>8862</v>
      </c>
      <c r="E1421" s="21" t="s">
        <v>5912</v>
      </c>
      <c r="F1421" s="23" t="str">
        <f t="shared" si="88"/>
        <v>insert into ins_premium_det (premium_rcv_code,assorted_code, rec_amount,premium_rcv_detail_code,remaining_amt, payrec, mode_code,coinsurance_code,class_cd,it_remarks) values</v>
      </c>
      <c r="G1421" s="24" t="str">
        <f t="shared" si="90"/>
        <v>('29Apr250042','050000825178','8862',(select max(to_number(i.premium_rcv_detail_code))+1
from ins_premium_det i),'8862','8862','02', '11000003','00','Request by Mr. Omair Ali 30-Apr-2025');</v>
      </c>
      <c r="H1421" s="25" t="str">
        <f t="shared" si="91"/>
        <v>insert into ins_premium_det (premium_rcv_code,assorted_code, rec_amount,premium_rcv_detail_code,remaining_amt, payrec, mode_code,coinsurance_code,class_cd,it_remarks) values('29Apr250042','050000825178','8862',(select max(to_number(i.premium_rcv_detail_code))+1
from ins_premium_det i),'8862','8862','02', '11000003','00','Request by Mr. Omair Ali 30-Apr-2025');</v>
      </c>
    </row>
    <row r="1422" spans="1:8" ht="105" x14ac:dyDescent="0.25">
      <c r="A1422" t="s">
        <v>1111</v>
      </c>
      <c r="B1422" s="1" t="str">
        <f>VLOOKUP(A1422,Sheet5!B:C,2,0)</f>
        <v>050000825723</v>
      </c>
      <c r="C1422" s="13">
        <v>7374</v>
      </c>
      <c r="D1422" s="22">
        <f t="shared" si="89"/>
        <v>7374</v>
      </c>
      <c r="E1422" s="21" t="s">
        <v>5912</v>
      </c>
      <c r="F1422" s="23" t="str">
        <f t="shared" si="88"/>
        <v>insert into ins_premium_det (premium_rcv_code,assorted_code, rec_amount,premium_rcv_detail_code,remaining_amt, payrec, mode_code,coinsurance_code,class_cd,it_remarks) values</v>
      </c>
      <c r="G1422" s="24" t="str">
        <f t="shared" si="90"/>
        <v>('29Apr250042','050000825723','7374',(select max(to_number(i.premium_rcv_detail_code))+1
from ins_premium_det i),'7374','7374','02', '11000003','00','Request by Mr. Omair Ali 30-Apr-2025');</v>
      </c>
      <c r="H1422" s="25" t="str">
        <f t="shared" si="91"/>
        <v>insert into ins_premium_det (premium_rcv_code,assorted_code, rec_amount,premium_rcv_detail_code,remaining_amt, payrec, mode_code,coinsurance_code,class_cd,it_remarks) values('29Apr250042','050000825723','7374',(select max(to_number(i.premium_rcv_detail_code))+1
from ins_premium_det i),'7374','7374','02', '11000003','00','Request by Mr. Omair Ali 30-Apr-2025');</v>
      </c>
    </row>
    <row r="1423" spans="1:8" ht="105" x14ac:dyDescent="0.25">
      <c r="A1423" t="s">
        <v>1412</v>
      </c>
      <c r="B1423" s="1" t="str">
        <f>VLOOKUP(A1423,Sheet5!B:C,2,0)</f>
        <v>050000825726</v>
      </c>
      <c r="C1423" s="13">
        <v>3078</v>
      </c>
      <c r="D1423" s="22">
        <f t="shared" si="89"/>
        <v>3078</v>
      </c>
      <c r="E1423" s="21" t="s">
        <v>5912</v>
      </c>
      <c r="F1423" s="23" t="str">
        <f t="shared" si="88"/>
        <v>insert into ins_premium_det (premium_rcv_code,assorted_code, rec_amount,premium_rcv_detail_code,remaining_amt, payrec, mode_code,coinsurance_code,class_cd,it_remarks) values</v>
      </c>
      <c r="G1423" s="24" t="str">
        <f t="shared" si="90"/>
        <v>('29Apr250042','050000825726','3078',(select max(to_number(i.premium_rcv_detail_code))+1
from ins_premium_det i),'3078','3078','02', '11000003','00','Request by Mr. Omair Ali 30-Apr-2025');</v>
      </c>
      <c r="H1423" s="25" t="str">
        <f t="shared" si="91"/>
        <v>insert into ins_premium_det (premium_rcv_code,assorted_code, rec_amount,premium_rcv_detail_code,remaining_amt, payrec, mode_code,coinsurance_code,class_cd,it_remarks) values('29Apr250042','050000825726','3078',(select max(to_number(i.premium_rcv_detail_code))+1
from ins_premium_det i),'3078','3078','02', '11000003','00','Request by Mr. Omair Ali 30-Apr-2025');</v>
      </c>
    </row>
    <row r="1424" spans="1:8" ht="105" x14ac:dyDescent="0.25">
      <c r="A1424" t="s">
        <v>1614</v>
      </c>
      <c r="B1424" s="1" t="str">
        <f>VLOOKUP(A1424,Sheet5!B:C,2,0)</f>
        <v>050000825730</v>
      </c>
      <c r="C1424" s="13">
        <v>3096</v>
      </c>
      <c r="D1424" s="22">
        <f t="shared" si="89"/>
        <v>3096</v>
      </c>
      <c r="E1424" s="21" t="s">
        <v>5912</v>
      </c>
      <c r="F1424" s="23" t="str">
        <f t="shared" si="88"/>
        <v>insert into ins_premium_det (premium_rcv_code,assorted_code, rec_amount,premium_rcv_detail_code,remaining_amt, payrec, mode_code,coinsurance_code,class_cd,it_remarks) values</v>
      </c>
      <c r="G1424" s="24" t="str">
        <f t="shared" si="90"/>
        <v>('29Apr250042','050000825730','3096',(select max(to_number(i.premium_rcv_detail_code))+1
from ins_premium_det i),'3096','3096','02', '11000003','00','Request by Mr. Omair Ali 30-Apr-2025');</v>
      </c>
      <c r="H1424" s="25" t="str">
        <f t="shared" si="91"/>
        <v>insert into ins_premium_det (premium_rcv_code,assorted_code, rec_amount,premium_rcv_detail_code,remaining_amt, payrec, mode_code,coinsurance_code,class_cd,it_remarks) values('29Apr250042','050000825730','3096',(select max(to_number(i.premium_rcv_detail_code))+1
from ins_premium_det i),'3096','3096','02', '11000003','00','Request by Mr. Omair Ali 30-Apr-2025');</v>
      </c>
    </row>
    <row r="1425" spans="1:8" ht="105" x14ac:dyDescent="0.25">
      <c r="A1425" t="s">
        <v>4</v>
      </c>
      <c r="B1425" s="1" t="str">
        <f>VLOOKUP(A1425,Sheet5!B:C,2,0)</f>
        <v>050000825743</v>
      </c>
      <c r="C1425" s="13">
        <v>886</v>
      </c>
      <c r="D1425" s="22">
        <f t="shared" si="89"/>
        <v>886</v>
      </c>
      <c r="E1425" s="21" t="s">
        <v>5912</v>
      </c>
      <c r="F1425" s="23" t="str">
        <f t="shared" si="88"/>
        <v>insert into ins_premium_det (premium_rcv_code,assorted_code, rec_amount,premium_rcv_detail_code,remaining_amt, payrec, mode_code,coinsurance_code,class_cd,it_remarks) values</v>
      </c>
      <c r="G1425" s="24" t="str">
        <f t="shared" si="90"/>
        <v>('29Apr250042','050000825743','886',(select max(to_number(i.premium_rcv_detail_code))+1
from ins_premium_det i),'886','886','02', '11000003','00','Request by Mr. Omair Ali 30-Apr-2025');</v>
      </c>
      <c r="H1425" s="25" t="str">
        <f t="shared" si="91"/>
        <v>insert into ins_premium_det (premium_rcv_code,assorted_code, rec_amount,premium_rcv_detail_code,remaining_amt, payrec, mode_code,coinsurance_code,class_cd,it_remarks) values('29Apr250042','050000825743','886',(select max(to_number(i.premium_rcv_detail_code))+1
from ins_premium_det i),'886','886','02', '11000003','00','Request by Mr. Omair Ali 30-Apr-2025');</v>
      </c>
    </row>
    <row r="1426" spans="1:8" ht="105" x14ac:dyDescent="0.25">
      <c r="A1426" t="s">
        <v>1116</v>
      </c>
      <c r="B1426" s="1" t="str">
        <f>VLOOKUP(A1426,Sheet5!B:C,2,0)</f>
        <v>050000826116</v>
      </c>
      <c r="C1426" s="13">
        <v>422</v>
      </c>
      <c r="D1426" s="22">
        <f t="shared" si="89"/>
        <v>422</v>
      </c>
      <c r="E1426" s="21" t="s">
        <v>5912</v>
      </c>
      <c r="F1426" s="23" t="str">
        <f t="shared" si="88"/>
        <v>insert into ins_premium_det (premium_rcv_code,assorted_code, rec_amount,premium_rcv_detail_code,remaining_amt, payrec, mode_code,coinsurance_code,class_cd,it_remarks) values</v>
      </c>
      <c r="G1426" s="24" t="str">
        <f t="shared" si="90"/>
        <v>('29Apr250042','050000826116','422',(select max(to_number(i.premium_rcv_detail_code))+1
from ins_premium_det i),'422','422','02', '11000003','00','Request by Mr. Omair Ali 30-Apr-2025');</v>
      </c>
      <c r="H1426" s="25" t="str">
        <f t="shared" si="91"/>
        <v>insert into ins_premium_det (premium_rcv_code,assorted_code, rec_amount,premium_rcv_detail_code,remaining_amt, payrec, mode_code,coinsurance_code,class_cd,it_remarks) values('29Apr250042','050000826116','422',(select max(to_number(i.premium_rcv_detail_code))+1
from ins_premium_det i),'422','422','02', '11000003','00','Request by Mr. Omair Ali 30-Apr-2025');</v>
      </c>
    </row>
    <row r="1427" spans="1:8" ht="105" x14ac:dyDescent="0.25">
      <c r="A1427" t="s">
        <v>1542</v>
      </c>
      <c r="B1427" s="1" t="str">
        <f>VLOOKUP(A1427,Sheet5!B:C,2,0)</f>
        <v>050000826119</v>
      </c>
      <c r="C1427" s="13">
        <v>3321</v>
      </c>
      <c r="D1427" s="22">
        <f t="shared" si="89"/>
        <v>3321</v>
      </c>
      <c r="E1427" s="21" t="s">
        <v>5912</v>
      </c>
      <c r="F1427" s="23" t="str">
        <f t="shared" si="88"/>
        <v>insert into ins_premium_det (premium_rcv_code,assorted_code, rec_amount,premium_rcv_detail_code,remaining_amt, payrec, mode_code,coinsurance_code,class_cd,it_remarks) values</v>
      </c>
      <c r="G1427" s="24" t="str">
        <f t="shared" si="90"/>
        <v>('29Apr250042','050000826119','3321',(select max(to_number(i.premium_rcv_detail_code))+1
from ins_premium_det i),'3321','3321','02', '11000003','00','Request by Mr. Omair Ali 30-Apr-2025');</v>
      </c>
      <c r="H1427" s="25" t="str">
        <f t="shared" si="91"/>
        <v>insert into ins_premium_det (premium_rcv_code,assorted_code, rec_amount,premium_rcv_detail_code,remaining_amt, payrec, mode_code,coinsurance_code,class_cd,it_remarks) values('29Apr250042','050000826119','3321',(select max(to_number(i.premium_rcv_detail_code))+1
from ins_premium_det i),'3321','3321','02', '11000003','00','Request by Mr. Omair Ali 30-Apr-2025');</v>
      </c>
    </row>
    <row r="1428" spans="1:8" ht="105" x14ac:dyDescent="0.25">
      <c r="A1428" t="s">
        <v>1969</v>
      </c>
      <c r="B1428" s="1" t="str">
        <f>VLOOKUP(A1428,Sheet5!B:C,2,0)</f>
        <v>050000826128</v>
      </c>
      <c r="C1428" s="13">
        <v>5435</v>
      </c>
      <c r="D1428" s="22">
        <f t="shared" si="89"/>
        <v>5435</v>
      </c>
      <c r="E1428" s="21" t="s">
        <v>5912</v>
      </c>
      <c r="F1428" s="23" t="str">
        <f t="shared" si="88"/>
        <v>insert into ins_premium_det (premium_rcv_code,assorted_code, rec_amount,premium_rcv_detail_code,remaining_amt, payrec, mode_code,coinsurance_code,class_cd,it_remarks) values</v>
      </c>
      <c r="G1428" s="24" t="str">
        <f t="shared" si="90"/>
        <v>('29Apr250042','050000826128','5435',(select max(to_number(i.premium_rcv_detail_code))+1
from ins_premium_det i),'5435','5435','02', '11000003','00','Request by Mr. Omair Ali 30-Apr-2025');</v>
      </c>
      <c r="H1428" s="25" t="str">
        <f t="shared" si="91"/>
        <v>insert into ins_premium_det (premium_rcv_code,assorted_code, rec_amount,premium_rcv_detail_code,remaining_amt, payrec, mode_code,coinsurance_code,class_cd,it_remarks) values('29Apr250042','050000826128','5435',(select max(to_number(i.premium_rcv_detail_code))+1
from ins_premium_det i),'5435','5435','02', '11000003','00','Request by Mr. Omair Ali 30-Apr-2025');</v>
      </c>
    </row>
    <row r="1429" spans="1:8" ht="105" x14ac:dyDescent="0.25">
      <c r="A1429" t="s">
        <v>1647</v>
      </c>
      <c r="B1429" s="1" t="str">
        <f>VLOOKUP(A1429,Sheet5!B:C,2,0)</f>
        <v>050000826708</v>
      </c>
      <c r="C1429" s="13">
        <v>1864</v>
      </c>
      <c r="D1429" s="22">
        <f t="shared" si="89"/>
        <v>1864</v>
      </c>
      <c r="E1429" s="21" t="s">
        <v>5912</v>
      </c>
      <c r="F1429" s="23" t="str">
        <f t="shared" si="88"/>
        <v>insert into ins_premium_det (premium_rcv_code,assorted_code, rec_amount,premium_rcv_detail_code,remaining_amt, payrec, mode_code,coinsurance_code,class_cd,it_remarks) values</v>
      </c>
      <c r="G1429" s="24" t="str">
        <f t="shared" si="90"/>
        <v>('29Apr250042','050000826708','1864',(select max(to_number(i.premium_rcv_detail_code))+1
from ins_premium_det i),'1864','1864','02', '11000003','00','Request by Mr. Omair Ali 30-Apr-2025');</v>
      </c>
      <c r="H1429" s="25" t="str">
        <f t="shared" si="91"/>
        <v>insert into ins_premium_det (premium_rcv_code,assorted_code, rec_amount,premium_rcv_detail_code,remaining_amt, payrec, mode_code,coinsurance_code,class_cd,it_remarks) values('29Apr250042','050000826708','1864',(select max(to_number(i.premium_rcv_detail_code))+1
from ins_premium_det i),'1864','1864','02', '11000003','00','Request by Mr. Omair Ali 30-Apr-2025');</v>
      </c>
    </row>
    <row r="1430" spans="1:8" ht="105" x14ac:dyDescent="0.25">
      <c r="A1430" t="s">
        <v>1938</v>
      </c>
      <c r="B1430" s="1" t="str">
        <f>VLOOKUP(A1430,Sheet5!B:C,2,0)</f>
        <v>050000826712</v>
      </c>
      <c r="C1430" s="13">
        <v>629</v>
      </c>
      <c r="D1430" s="22">
        <f t="shared" si="89"/>
        <v>629</v>
      </c>
      <c r="E1430" s="21" t="s">
        <v>5912</v>
      </c>
      <c r="F1430" s="23" t="str">
        <f t="shared" si="88"/>
        <v>insert into ins_premium_det (premium_rcv_code,assorted_code, rec_amount,premium_rcv_detail_code,remaining_amt, payrec, mode_code,coinsurance_code,class_cd,it_remarks) values</v>
      </c>
      <c r="G1430" s="24" t="str">
        <f t="shared" si="90"/>
        <v>('29Apr250042','050000826712','629',(select max(to_number(i.premium_rcv_detail_code))+1
from ins_premium_det i),'629','629','02', '11000003','00','Request by Mr. Omair Ali 30-Apr-2025');</v>
      </c>
      <c r="H1430" s="25" t="str">
        <f t="shared" si="91"/>
        <v>insert into ins_premium_det (premium_rcv_code,assorted_code, rec_amount,premium_rcv_detail_code,remaining_amt, payrec, mode_code,coinsurance_code,class_cd,it_remarks) values('29Apr250042','050000826712','629',(select max(to_number(i.premium_rcv_detail_code))+1
from ins_premium_det i),'629','629','02', '11000003','00','Request by Mr. Omair Ali 30-Apr-2025');</v>
      </c>
    </row>
    <row r="1431" spans="1:8" ht="105" x14ac:dyDescent="0.25">
      <c r="A1431" t="s">
        <v>1625</v>
      </c>
      <c r="B1431" s="1" t="str">
        <f>VLOOKUP(A1431,Sheet5!B:C,2,0)</f>
        <v>050000826726</v>
      </c>
      <c r="C1431" s="13">
        <v>4901</v>
      </c>
      <c r="D1431" s="22">
        <f t="shared" si="89"/>
        <v>4901</v>
      </c>
      <c r="E1431" s="21" t="s">
        <v>5912</v>
      </c>
      <c r="F1431" s="23" t="str">
        <f t="shared" si="88"/>
        <v>insert into ins_premium_det (premium_rcv_code,assorted_code, rec_amount,premium_rcv_detail_code,remaining_amt, payrec, mode_code,coinsurance_code,class_cd,it_remarks) values</v>
      </c>
      <c r="G1431" s="24" t="str">
        <f t="shared" si="90"/>
        <v>('29Apr250042','050000826726','4901',(select max(to_number(i.premium_rcv_detail_code))+1
from ins_premium_det i),'4901','4901','02', '11000003','00','Request by Mr. Omair Ali 30-Apr-2025');</v>
      </c>
      <c r="H1431" s="25" t="str">
        <f t="shared" si="91"/>
        <v>insert into ins_premium_det (premium_rcv_code,assorted_code, rec_amount,premium_rcv_detail_code,remaining_amt, payrec, mode_code,coinsurance_code,class_cd,it_remarks) values('29Apr250042','050000826726','4901',(select max(to_number(i.premium_rcv_detail_code))+1
from ins_premium_det i),'4901','4901','02', '11000003','00','Request by Mr. Omair Ali 30-Apr-2025');</v>
      </c>
    </row>
    <row r="1432" spans="1:8" ht="105" x14ac:dyDescent="0.25">
      <c r="A1432" t="s">
        <v>1999</v>
      </c>
      <c r="B1432" s="1" t="str">
        <f>VLOOKUP(A1432,Sheet5!B:C,2,0)</f>
        <v>050000826735</v>
      </c>
      <c r="C1432" s="13">
        <v>3827</v>
      </c>
      <c r="D1432" s="22">
        <f t="shared" si="89"/>
        <v>3827</v>
      </c>
      <c r="E1432" s="21" t="s">
        <v>5912</v>
      </c>
      <c r="F1432" s="23" t="str">
        <f t="shared" si="88"/>
        <v>insert into ins_premium_det (premium_rcv_code,assorted_code, rec_amount,premium_rcv_detail_code,remaining_amt, payrec, mode_code,coinsurance_code,class_cd,it_remarks) values</v>
      </c>
      <c r="G1432" s="24" t="str">
        <f t="shared" si="90"/>
        <v>('29Apr250042','050000826735','3827',(select max(to_number(i.premium_rcv_detail_code))+1
from ins_premium_det i),'3827','3827','02', '11000003','00','Request by Mr. Omair Ali 30-Apr-2025');</v>
      </c>
      <c r="H1432" s="25" t="str">
        <f t="shared" si="91"/>
        <v>insert into ins_premium_det (premium_rcv_code,assorted_code, rec_amount,premium_rcv_detail_code,remaining_amt, payrec, mode_code,coinsurance_code,class_cd,it_remarks) values('29Apr250042','050000826735','3827',(select max(to_number(i.premium_rcv_detail_code))+1
from ins_premium_det i),'3827','3827','02', '11000003','00','Request by Mr. Omair Ali 30-Apr-2025');</v>
      </c>
    </row>
    <row r="1433" spans="1:8" ht="105" x14ac:dyDescent="0.25">
      <c r="A1433" t="s">
        <v>1212</v>
      </c>
      <c r="B1433" s="1" t="str">
        <f>VLOOKUP(A1433,Sheet5!B:C,2,0)</f>
        <v>050000827149</v>
      </c>
      <c r="C1433" s="13">
        <v>1633</v>
      </c>
      <c r="D1433" s="22">
        <f t="shared" si="89"/>
        <v>1633</v>
      </c>
      <c r="E1433" s="21" t="s">
        <v>5912</v>
      </c>
      <c r="F1433" s="23" t="str">
        <f t="shared" si="88"/>
        <v>insert into ins_premium_det (premium_rcv_code,assorted_code, rec_amount,premium_rcv_detail_code,remaining_amt, payrec, mode_code,coinsurance_code,class_cd,it_remarks) values</v>
      </c>
      <c r="G1433" s="24" t="str">
        <f t="shared" si="90"/>
        <v>('29Apr250042','050000827149','1633',(select max(to_number(i.premium_rcv_detail_code))+1
from ins_premium_det i),'1633','1633','02', '11000003','00','Request by Mr. Omair Ali 30-Apr-2025');</v>
      </c>
      <c r="H1433" s="25" t="str">
        <f t="shared" si="91"/>
        <v>insert into ins_premium_det (premium_rcv_code,assorted_code, rec_amount,premium_rcv_detail_code,remaining_amt, payrec, mode_code,coinsurance_code,class_cd,it_remarks) values('29Apr250042','050000827149','1633',(select max(to_number(i.premium_rcv_detail_code))+1
from ins_premium_det i),'1633','1633','02', '11000003','00','Request by Mr. Omair Ali 30-Apr-2025');</v>
      </c>
    </row>
    <row r="1434" spans="1:8" ht="105" x14ac:dyDescent="0.25">
      <c r="A1434" t="s">
        <v>1557</v>
      </c>
      <c r="B1434" s="1" t="str">
        <f>VLOOKUP(A1434,Sheet5!B:C,2,0)</f>
        <v>050000827155</v>
      </c>
      <c r="C1434" s="13">
        <v>6315</v>
      </c>
      <c r="D1434" s="22">
        <f t="shared" si="89"/>
        <v>6315</v>
      </c>
      <c r="E1434" s="21" t="s">
        <v>5912</v>
      </c>
      <c r="F1434" s="23" t="str">
        <f t="shared" si="88"/>
        <v>insert into ins_premium_det (premium_rcv_code,assorted_code, rec_amount,premium_rcv_detail_code,remaining_amt, payrec, mode_code,coinsurance_code,class_cd,it_remarks) values</v>
      </c>
      <c r="G1434" s="24" t="str">
        <f t="shared" si="90"/>
        <v>('29Apr250042','050000827155','6315',(select max(to_number(i.premium_rcv_detail_code))+1
from ins_premium_det i),'6315','6315','02', '11000003','00','Request by Mr. Omair Ali 30-Apr-2025');</v>
      </c>
      <c r="H1434" s="25" t="str">
        <f t="shared" si="91"/>
        <v>insert into ins_premium_det (premium_rcv_code,assorted_code, rec_amount,premium_rcv_detail_code,remaining_amt, payrec, mode_code,coinsurance_code,class_cd,it_remarks) values('29Apr250042','050000827155','6315',(select max(to_number(i.premium_rcv_detail_code))+1
from ins_premium_det i),'6315','6315','02', '11000003','00','Request by Mr. Omair Ali 30-Apr-2025');</v>
      </c>
    </row>
    <row r="1435" spans="1:8" ht="105" x14ac:dyDescent="0.25">
      <c r="A1435" t="s">
        <v>1670</v>
      </c>
      <c r="B1435" s="1" t="str">
        <f>VLOOKUP(A1435,Sheet5!B:C,2,0)</f>
        <v>050000827160</v>
      </c>
      <c r="C1435" s="13">
        <v>5987</v>
      </c>
      <c r="D1435" s="22">
        <f t="shared" si="89"/>
        <v>5987</v>
      </c>
      <c r="E1435" s="21" t="s">
        <v>5912</v>
      </c>
      <c r="F1435" s="23" t="str">
        <f t="shared" si="88"/>
        <v>insert into ins_premium_det (premium_rcv_code,assorted_code, rec_amount,premium_rcv_detail_code,remaining_amt, payrec, mode_code,coinsurance_code,class_cd,it_remarks) values</v>
      </c>
      <c r="G1435" s="24" t="str">
        <f t="shared" si="90"/>
        <v>('29Apr250042','050000827160','5987',(select max(to_number(i.premium_rcv_detail_code))+1
from ins_premium_det i),'5987','5987','02', '11000003','00','Request by Mr. Omair Ali 30-Apr-2025');</v>
      </c>
      <c r="H1435" s="25" t="str">
        <f t="shared" si="91"/>
        <v>insert into ins_premium_det (premium_rcv_code,assorted_code, rec_amount,premium_rcv_detail_code,remaining_amt, payrec, mode_code,coinsurance_code,class_cd,it_remarks) values('29Apr250042','050000827160','5987',(select max(to_number(i.premium_rcv_detail_code))+1
from ins_premium_det i),'5987','5987','02', '11000003','00','Request by Mr. Omair Ali 30-Apr-2025');</v>
      </c>
    </row>
    <row r="1436" spans="1:8" ht="105" x14ac:dyDescent="0.25">
      <c r="A1436" t="s">
        <v>1680</v>
      </c>
      <c r="B1436" s="1" t="str">
        <f>VLOOKUP(A1436,Sheet5!B:C,2,0)</f>
        <v>050000827162</v>
      </c>
      <c r="C1436" s="13">
        <v>1638</v>
      </c>
      <c r="D1436" s="22">
        <f t="shared" si="89"/>
        <v>1638</v>
      </c>
      <c r="E1436" s="21" t="s">
        <v>5912</v>
      </c>
      <c r="F1436" s="23" t="str">
        <f t="shared" si="88"/>
        <v>insert into ins_premium_det (premium_rcv_code,assorted_code, rec_amount,premium_rcv_detail_code,remaining_amt, payrec, mode_code,coinsurance_code,class_cd,it_remarks) values</v>
      </c>
      <c r="G1436" s="24" t="str">
        <f t="shared" si="90"/>
        <v>('29Apr250042','050000827162','1638',(select max(to_number(i.premium_rcv_detail_code))+1
from ins_premium_det i),'1638','1638','02', '11000003','00','Request by Mr. Omair Ali 30-Apr-2025');</v>
      </c>
      <c r="H1436" s="25" t="str">
        <f t="shared" si="91"/>
        <v>insert into ins_premium_det (premium_rcv_code,assorted_code, rec_amount,premium_rcv_detail_code,remaining_amt, payrec, mode_code,coinsurance_code,class_cd,it_remarks) values('29Apr250042','050000827162','1638',(select max(to_number(i.premium_rcv_detail_code))+1
from ins_premium_det i),'1638','1638','02', '11000003','00','Request by Mr. Omair Ali 30-Apr-2025');</v>
      </c>
    </row>
    <row r="1437" spans="1:8" ht="105" x14ac:dyDescent="0.25">
      <c r="A1437" t="s">
        <v>1862</v>
      </c>
      <c r="B1437" s="1" t="str">
        <f>VLOOKUP(A1437,Sheet5!B:C,2,0)</f>
        <v>050000827167</v>
      </c>
      <c r="C1437" s="13">
        <v>1982</v>
      </c>
      <c r="D1437" s="22">
        <f t="shared" si="89"/>
        <v>1982</v>
      </c>
      <c r="E1437" s="21" t="s">
        <v>5912</v>
      </c>
      <c r="F1437" s="23" t="str">
        <f t="shared" si="88"/>
        <v>insert into ins_premium_det (premium_rcv_code,assorted_code, rec_amount,premium_rcv_detail_code,remaining_amt, payrec, mode_code,coinsurance_code,class_cd,it_remarks) values</v>
      </c>
      <c r="G1437" s="24" t="str">
        <f t="shared" si="90"/>
        <v>('29Apr250042','050000827167','1982',(select max(to_number(i.premium_rcv_detail_code))+1
from ins_premium_det i),'1982','1982','02', '11000003','00','Request by Mr. Omair Ali 30-Apr-2025');</v>
      </c>
      <c r="H1437" s="25" t="str">
        <f t="shared" si="91"/>
        <v>insert into ins_premium_det (premium_rcv_code,assorted_code, rec_amount,premium_rcv_detail_code,remaining_amt, payrec, mode_code,coinsurance_code,class_cd,it_remarks) values('29Apr250042','050000827167','1982',(select max(to_number(i.premium_rcv_detail_code))+1
from ins_premium_det i),'1982','1982','02', '11000003','00','Request by Mr. Omair Ali 30-Apr-2025');</v>
      </c>
    </row>
    <row r="1438" spans="1:8" ht="105" x14ac:dyDescent="0.25">
      <c r="A1438" t="s">
        <v>1870</v>
      </c>
      <c r="B1438" s="1" t="str">
        <f>VLOOKUP(A1438,Sheet5!B:C,2,0)</f>
        <v>050000827169</v>
      </c>
      <c r="C1438" s="13">
        <v>5109</v>
      </c>
      <c r="D1438" s="22">
        <f t="shared" si="89"/>
        <v>5109</v>
      </c>
      <c r="E1438" s="21" t="s">
        <v>5912</v>
      </c>
      <c r="F1438" s="23" t="str">
        <f t="shared" si="88"/>
        <v>insert into ins_premium_det (premium_rcv_code,assorted_code, rec_amount,premium_rcv_detail_code,remaining_amt, payrec, mode_code,coinsurance_code,class_cd,it_remarks) values</v>
      </c>
      <c r="G1438" s="24" t="str">
        <f t="shared" si="90"/>
        <v>('29Apr250042','050000827169','5109',(select max(to_number(i.premium_rcv_detail_code))+1
from ins_premium_det i),'5109','5109','02', '11000003','00','Request by Mr. Omair Ali 30-Apr-2025');</v>
      </c>
      <c r="H1438" s="25" t="str">
        <f t="shared" si="91"/>
        <v>insert into ins_premium_det (premium_rcv_code,assorted_code, rec_amount,premium_rcv_detail_code,remaining_amt, payrec, mode_code,coinsurance_code,class_cd,it_remarks) values('29Apr250042','050000827169','5109',(select max(to_number(i.premium_rcv_detail_code))+1
from ins_premium_det i),'5109','5109','02', '11000003','00','Request by Mr. Omair Ali 30-Apr-2025');</v>
      </c>
    </row>
    <row r="1439" spans="1:8" ht="105" x14ac:dyDescent="0.25">
      <c r="A1439" t="s">
        <v>1990</v>
      </c>
      <c r="B1439" s="1" t="str">
        <f>VLOOKUP(A1439,Sheet5!B:C,2,0)</f>
        <v>050000827178</v>
      </c>
      <c r="C1439" s="13">
        <v>3110</v>
      </c>
      <c r="D1439" s="22">
        <f t="shared" si="89"/>
        <v>3110</v>
      </c>
      <c r="E1439" s="21" t="s">
        <v>5912</v>
      </c>
      <c r="F1439" s="23" t="str">
        <f t="shared" si="88"/>
        <v>insert into ins_premium_det (premium_rcv_code,assorted_code, rec_amount,premium_rcv_detail_code,remaining_amt, payrec, mode_code,coinsurance_code,class_cd,it_remarks) values</v>
      </c>
      <c r="G1439" s="24" t="str">
        <f t="shared" si="90"/>
        <v>('29Apr250042','050000827178','3110',(select max(to_number(i.premium_rcv_detail_code))+1
from ins_premium_det i),'3110','3110','02', '11000003','00','Request by Mr. Omair Ali 30-Apr-2025');</v>
      </c>
      <c r="H1439" s="25" t="str">
        <f t="shared" si="91"/>
        <v>insert into ins_premium_det (premium_rcv_code,assorted_code, rec_amount,premium_rcv_detail_code,remaining_amt, payrec, mode_code,coinsurance_code,class_cd,it_remarks) values('29Apr250042','050000827178','3110',(select max(to_number(i.premium_rcv_detail_code))+1
from ins_premium_det i),'3110','3110','02', '11000003','00','Request by Mr. Omair Ali 30-Apr-2025');</v>
      </c>
    </row>
    <row r="1440" spans="1:8" ht="105" x14ac:dyDescent="0.25">
      <c r="A1440" t="s">
        <v>1263</v>
      </c>
      <c r="B1440" s="1" t="str">
        <f>VLOOKUP(A1440,Sheet5!B:C,2,0)</f>
        <v>050000830737</v>
      </c>
      <c r="C1440" s="13">
        <v>4159</v>
      </c>
      <c r="D1440" s="22">
        <f t="shared" si="89"/>
        <v>4159</v>
      </c>
      <c r="E1440" s="21" t="s">
        <v>5912</v>
      </c>
      <c r="F1440" s="23" t="str">
        <f t="shared" si="88"/>
        <v>insert into ins_premium_det (premium_rcv_code,assorted_code, rec_amount,premium_rcv_detail_code,remaining_amt, payrec, mode_code,coinsurance_code,class_cd,it_remarks) values</v>
      </c>
      <c r="G1440" s="24" t="str">
        <f t="shared" si="90"/>
        <v>('29Apr250042','050000830737','4159',(select max(to_number(i.premium_rcv_detail_code))+1
from ins_premium_det i),'4159','4159','02', '11000003','00','Request by Mr. Omair Ali 30-Apr-2025');</v>
      </c>
      <c r="H1440" s="25" t="str">
        <f t="shared" si="91"/>
        <v>insert into ins_premium_det (premium_rcv_code,assorted_code, rec_amount,premium_rcv_detail_code,remaining_amt, payrec, mode_code,coinsurance_code,class_cd,it_remarks) values('29Apr250042','050000830737','4159',(select max(to_number(i.premium_rcv_detail_code))+1
from ins_premium_det i),'4159','4159','02', '11000003','00','Request by Mr. Omair Ali 30-Apr-2025');</v>
      </c>
    </row>
    <row r="1441" spans="1:8" ht="105" x14ac:dyDescent="0.25">
      <c r="A1441" t="s">
        <v>1421</v>
      </c>
      <c r="B1441" s="1" t="str">
        <f>VLOOKUP(A1441,Sheet5!B:C,2,0)</f>
        <v>050000830744</v>
      </c>
      <c r="C1441" s="13">
        <v>4119</v>
      </c>
      <c r="D1441" s="22">
        <f t="shared" si="89"/>
        <v>4119</v>
      </c>
      <c r="E1441" s="21" t="s">
        <v>5912</v>
      </c>
      <c r="F1441" s="23" t="str">
        <f t="shared" si="88"/>
        <v>insert into ins_premium_det (premium_rcv_code,assorted_code, rec_amount,premium_rcv_detail_code,remaining_amt, payrec, mode_code,coinsurance_code,class_cd,it_remarks) values</v>
      </c>
      <c r="G1441" s="24" t="str">
        <f t="shared" si="90"/>
        <v>('29Apr250042','050000830744','4119',(select max(to_number(i.premium_rcv_detail_code))+1
from ins_premium_det i),'4119','4119','02', '11000003','00','Request by Mr. Omair Ali 30-Apr-2025');</v>
      </c>
      <c r="H1441" s="25" t="str">
        <f t="shared" si="91"/>
        <v>insert into ins_premium_det (premium_rcv_code,assorted_code, rec_amount,premium_rcv_detail_code,remaining_amt, payrec, mode_code,coinsurance_code,class_cd,it_remarks) values('29Apr250042','050000830744','4119',(select max(to_number(i.premium_rcv_detail_code))+1
from ins_premium_det i),'4119','4119','02', '11000003','00','Request by Mr. Omair Ali 30-Apr-2025');</v>
      </c>
    </row>
    <row r="1442" spans="1:8" ht="105" x14ac:dyDescent="0.25">
      <c r="A1442" t="s">
        <v>1820</v>
      </c>
      <c r="B1442" s="1" t="str">
        <f>VLOOKUP(A1442,Sheet5!B:C,2,0)</f>
        <v>050000830754</v>
      </c>
      <c r="C1442" s="13">
        <v>637</v>
      </c>
      <c r="D1442" s="22">
        <f t="shared" si="89"/>
        <v>637</v>
      </c>
      <c r="E1442" s="21" t="s">
        <v>5912</v>
      </c>
      <c r="F1442" s="23" t="str">
        <f t="shared" si="88"/>
        <v>insert into ins_premium_det (premium_rcv_code,assorted_code, rec_amount,premium_rcv_detail_code,remaining_amt, payrec, mode_code,coinsurance_code,class_cd,it_remarks) values</v>
      </c>
      <c r="G1442" s="24" t="str">
        <f t="shared" si="90"/>
        <v>('29Apr250042','050000830754','637',(select max(to_number(i.premium_rcv_detail_code))+1
from ins_premium_det i),'637','637','02', '11000003','00','Request by Mr. Omair Ali 30-Apr-2025');</v>
      </c>
      <c r="H1442" s="25" t="str">
        <f t="shared" si="91"/>
        <v>insert into ins_premium_det (premium_rcv_code,assorted_code, rec_amount,premium_rcv_detail_code,remaining_amt, payrec, mode_code,coinsurance_code,class_cd,it_remarks) values('29Apr250042','050000830754','637',(select max(to_number(i.premium_rcv_detail_code))+1
from ins_premium_det i),'637','637','02', '11000003','00','Request by Mr. Omair Ali 30-Apr-2025');</v>
      </c>
    </row>
    <row r="1443" spans="1:8" ht="105" x14ac:dyDescent="0.25">
      <c r="A1443" t="s">
        <v>1885</v>
      </c>
      <c r="B1443" s="1" t="str">
        <f>VLOOKUP(A1443,Sheet5!B:C,2,0)</f>
        <v>050000830757</v>
      </c>
      <c r="C1443" s="13">
        <v>2982</v>
      </c>
      <c r="D1443" s="22">
        <f t="shared" si="89"/>
        <v>2982</v>
      </c>
      <c r="E1443" s="21" t="s">
        <v>5912</v>
      </c>
      <c r="F1443" s="23" t="str">
        <f t="shared" si="88"/>
        <v>insert into ins_premium_det (premium_rcv_code,assorted_code, rec_amount,premium_rcv_detail_code,remaining_amt, payrec, mode_code,coinsurance_code,class_cd,it_remarks) values</v>
      </c>
      <c r="G1443" s="24" t="str">
        <f t="shared" si="90"/>
        <v>('29Apr250042','050000830757','2982',(select max(to_number(i.premium_rcv_detail_code))+1
from ins_premium_det i),'2982','2982','02', '11000003','00','Request by Mr. Omair Ali 30-Apr-2025');</v>
      </c>
      <c r="H1443" s="25" t="str">
        <f t="shared" si="91"/>
        <v>insert into ins_premium_det (premium_rcv_code,assorted_code, rec_amount,premium_rcv_detail_code,remaining_amt, payrec, mode_code,coinsurance_code,class_cd,it_remarks) values('29Apr250042','050000830757','2982',(select max(to_number(i.premium_rcv_detail_code))+1
from ins_premium_det i),'2982','2982','02', '11000003','00','Request by Mr. Omair Ali 30-Apr-2025');</v>
      </c>
    </row>
    <row r="1444" spans="1:8" ht="105" x14ac:dyDescent="0.25">
      <c r="A1444" t="s">
        <v>1896</v>
      </c>
      <c r="B1444" s="1" t="str">
        <f>VLOOKUP(A1444,Sheet5!B:C,2,0)</f>
        <v>050000830759</v>
      </c>
      <c r="C1444" s="13">
        <v>4080</v>
      </c>
      <c r="D1444" s="22">
        <f t="shared" si="89"/>
        <v>4080</v>
      </c>
      <c r="E1444" s="21" t="s">
        <v>5912</v>
      </c>
      <c r="F1444" s="23" t="str">
        <f t="shared" si="88"/>
        <v>insert into ins_premium_det (premium_rcv_code,assorted_code, rec_amount,premium_rcv_detail_code,remaining_amt, payrec, mode_code,coinsurance_code,class_cd,it_remarks) values</v>
      </c>
      <c r="G1444" s="24" t="str">
        <f t="shared" si="90"/>
        <v>('29Apr250042','050000830759','4080',(select max(to_number(i.premium_rcv_detail_code))+1
from ins_premium_det i),'4080','4080','02', '11000003','00','Request by Mr. Omair Ali 30-Apr-2025');</v>
      </c>
      <c r="H1444" s="25" t="str">
        <f t="shared" si="91"/>
        <v>insert into ins_premium_det (premium_rcv_code,assorted_code, rec_amount,premium_rcv_detail_code,remaining_amt, payrec, mode_code,coinsurance_code,class_cd,it_remarks) values('29Apr250042','050000830759','4080',(select max(to_number(i.premium_rcv_detail_code))+1
from ins_premium_det i),'4080','4080','02', '11000003','00','Request by Mr. Omair Ali 30-Apr-2025');</v>
      </c>
    </row>
    <row r="1445" spans="1:8" ht="105" x14ac:dyDescent="0.25">
      <c r="A1445" t="s">
        <v>2006</v>
      </c>
      <c r="B1445" s="1" t="str">
        <f>VLOOKUP(A1445,Sheet5!B:C,2,0)</f>
        <v>050000830768</v>
      </c>
      <c r="C1445" s="13">
        <v>4580</v>
      </c>
      <c r="D1445" s="22">
        <f t="shared" si="89"/>
        <v>4580</v>
      </c>
      <c r="E1445" s="21" t="s">
        <v>5912</v>
      </c>
      <c r="F1445" s="23" t="str">
        <f t="shared" si="88"/>
        <v>insert into ins_premium_det (premium_rcv_code,assorted_code, rec_amount,premium_rcv_detail_code,remaining_amt, payrec, mode_code,coinsurance_code,class_cd,it_remarks) values</v>
      </c>
      <c r="G1445" s="24" t="str">
        <f t="shared" si="90"/>
        <v>('29Apr250042','050000830768','4580',(select max(to_number(i.premium_rcv_detail_code))+1
from ins_premium_det i),'4580','4580','02', '11000003','00','Request by Mr. Omair Ali 30-Apr-2025');</v>
      </c>
      <c r="H1445" s="25" t="str">
        <f t="shared" si="91"/>
        <v>insert into ins_premium_det (premium_rcv_code,assorted_code, rec_amount,premium_rcv_detail_code,remaining_amt, payrec, mode_code,coinsurance_code,class_cd,it_remarks) values('29Apr250042','050000830768','4580',(select max(to_number(i.premium_rcv_detail_code))+1
from ins_premium_det i),'4580','4580','02', '11000003','00','Request by Mr. Omair Ali 30-Apr-2025');</v>
      </c>
    </row>
    <row r="1446" spans="1:8" ht="105" x14ac:dyDescent="0.25">
      <c r="A1446" t="s">
        <v>1244</v>
      </c>
      <c r="B1446" s="1" t="str">
        <f>VLOOKUP(A1446,Sheet5!B:C,2,0)</f>
        <v>050000831277</v>
      </c>
      <c r="C1446" s="13">
        <v>79</v>
      </c>
      <c r="D1446" s="22">
        <f t="shared" si="89"/>
        <v>79</v>
      </c>
      <c r="E1446" s="21" t="s">
        <v>5912</v>
      </c>
      <c r="F1446" s="23" t="str">
        <f t="shared" si="88"/>
        <v>insert into ins_premium_det (premium_rcv_code,assorted_code, rec_amount,premium_rcv_detail_code,remaining_amt, payrec, mode_code,coinsurance_code,class_cd,it_remarks) values</v>
      </c>
      <c r="G1446" s="24" t="str">
        <f t="shared" si="90"/>
        <v>('29Apr250042','050000831277','79',(select max(to_number(i.premium_rcv_detail_code))+1
from ins_premium_det i),'79','79','02', '11000003','00','Request by Mr. Omair Ali 30-Apr-2025');</v>
      </c>
      <c r="H1446" s="25" t="str">
        <f t="shared" si="91"/>
        <v>insert into ins_premium_det (premium_rcv_code,assorted_code, rec_amount,premium_rcv_detail_code,remaining_amt, payrec, mode_code,coinsurance_code,class_cd,it_remarks) values('29Apr250042','050000831277','79',(select max(to_number(i.premium_rcv_detail_code))+1
from ins_premium_det i),'79','79','02', '11000003','00','Request by Mr. Omair Ali 30-Apr-2025');</v>
      </c>
    </row>
    <row r="1447" spans="1:8" ht="105" x14ac:dyDescent="0.25">
      <c r="A1447" t="s">
        <v>1697</v>
      </c>
      <c r="B1447" s="1" t="str">
        <f>VLOOKUP(A1447,Sheet5!B:C,2,0)</f>
        <v>050000831283</v>
      </c>
      <c r="C1447" s="13">
        <v>3795</v>
      </c>
      <c r="D1447" s="22">
        <f t="shared" si="89"/>
        <v>3795</v>
      </c>
      <c r="E1447" s="21" t="s">
        <v>5912</v>
      </c>
      <c r="F1447" s="23" t="str">
        <f t="shared" si="88"/>
        <v>insert into ins_premium_det (premium_rcv_code,assorted_code, rec_amount,premium_rcv_detail_code,remaining_amt, payrec, mode_code,coinsurance_code,class_cd,it_remarks) values</v>
      </c>
      <c r="G1447" s="24" t="str">
        <f t="shared" si="90"/>
        <v>('29Apr250042','050000831283','3795',(select max(to_number(i.premium_rcv_detail_code))+1
from ins_premium_det i),'3795','3795','02', '11000003','00','Request by Mr. Omair Ali 30-Apr-2025');</v>
      </c>
      <c r="H1447" s="25" t="str">
        <f t="shared" si="91"/>
        <v>insert into ins_premium_det (premium_rcv_code,assorted_code, rec_amount,premium_rcv_detail_code,remaining_amt, payrec, mode_code,coinsurance_code,class_cd,it_remarks) values('29Apr250042','050000831283','3795',(select max(to_number(i.premium_rcv_detail_code))+1
from ins_premium_det i),'3795','3795','02', '11000003','00','Request by Mr. Omair Ali 30-Apr-2025');</v>
      </c>
    </row>
    <row r="1448" spans="1:8" ht="105" x14ac:dyDescent="0.25">
      <c r="A1448" t="s">
        <v>1904</v>
      </c>
      <c r="B1448" s="1" t="str">
        <f>VLOOKUP(A1448,Sheet5!B:C,2,0)</f>
        <v>050000831289</v>
      </c>
      <c r="C1448" s="13">
        <v>544</v>
      </c>
      <c r="D1448" s="22">
        <f t="shared" si="89"/>
        <v>544</v>
      </c>
      <c r="E1448" s="21" t="s">
        <v>5912</v>
      </c>
      <c r="F1448" s="23" t="str">
        <f t="shared" si="88"/>
        <v>insert into ins_premium_det (premium_rcv_code,assorted_code, rec_amount,premium_rcv_detail_code,remaining_amt, payrec, mode_code,coinsurance_code,class_cd,it_remarks) values</v>
      </c>
      <c r="G1448" s="24" t="str">
        <f t="shared" si="90"/>
        <v>('29Apr250042','050000831289','544',(select max(to_number(i.premium_rcv_detail_code))+1
from ins_premium_det i),'544','544','02', '11000003','00','Request by Mr. Omair Ali 30-Apr-2025');</v>
      </c>
      <c r="H1448" s="25" t="str">
        <f t="shared" si="91"/>
        <v>insert into ins_premium_det (premium_rcv_code,assorted_code, rec_amount,premium_rcv_detail_code,remaining_amt, payrec, mode_code,coinsurance_code,class_cd,it_remarks) values('29Apr250042','050000831289','544',(select max(to_number(i.premium_rcv_detail_code))+1
from ins_premium_det i),'544','544','02', '11000003','00','Request by Mr. Omair Ali 30-Apr-2025');</v>
      </c>
    </row>
    <row r="1449" spans="1:8" ht="105" x14ac:dyDescent="0.25">
      <c r="A1449" t="s">
        <v>1230</v>
      </c>
      <c r="B1449" s="1" t="str">
        <f>VLOOKUP(A1449,Sheet5!B:C,2,0)</f>
        <v>050000831683</v>
      </c>
      <c r="C1449" s="13">
        <v>3705</v>
      </c>
      <c r="D1449" s="22">
        <f t="shared" si="89"/>
        <v>3705</v>
      </c>
      <c r="E1449" s="21" t="s">
        <v>5912</v>
      </c>
      <c r="F1449" s="23" t="str">
        <f t="shared" si="88"/>
        <v>insert into ins_premium_det (premium_rcv_code,assorted_code, rec_amount,premium_rcv_detail_code,remaining_amt, payrec, mode_code,coinsurance_code,class_cd,it_remarks) values</v>
      </c>
      <c r="G1449" s="24" t="str">
        <f t="shared" si="90"/>
        <v>('29Apr250042','050000831683','3705',(select max(to_number(i.premium_rcv_detail_code))+1
from ins_premium_det i),'3705','3705','02', '11000003','00','Request by Mr. Omair Ali 30-Apr-2025');</v>
      </c>
      <c r="H1449" s="25" t="str">
        <f t="shared" si="91"/>
        <v>insert into ins_premium_det (premium_rcv_code,assorted_code, rec_amount,premium_rcv_detail_code,remaining_amt, payrec, mode_code,coinsurance_code,class_cd,it_remarks) values('29Apr250042','050000831683','3705',(select max(to_number(i.premium_rcv_detail_code))+1
from ins_premium_det i),'3705','3705','02', '11000003','00','Request by Mr. Omair Ali 30-Apr-2025');</v>
      </c>
    </row>
    <row r="1450" spans="1:8" ht="105" x14ac:dyDescent="0.25">
      <c r="A1450" t="s">
        <v>1310</v>
      </c>
      <c r="B1450" s="1" t="str">
        <f>VLOOKUP(A1450,Sheet5!B:C,2,0)</f>
        <v>050000831869</v>
      </c>
      <c r="C1450" s="13">
        <v>4860</v>
      </c>
      <c r="D1450" s="22">
        <f t="shared" si="89"/>
        <v>4860</v>
      </c>
      <c r="E1450" s="21" t="s">
        <v>5912</v>
      </c>
      <c r="F1450" s="23" t="str">
        <f t="shared" si="88"/>
        <v>insert into ins_premium_det (premium_rcv_code,assorted_code, rec_amount,premium_rcv_detail_code,remaining_amt, payrec, mode_code,coinsurance_code,class_cd,it_remarks) values</v>
      </c>
      <c r="G1450" s="24" t="str">
        <f t="shared" si="90"/>
        <v>('29Apr250042','050000831869','4860',(select max(to_number(i.premium_rcv_detail_code))+1
from ins_premium_det i),'4860','4860','02', '11000003','00','Request by Mr. Omair Ali 30-Apr-2025');</v>
      </c>
      <c r="H1450" s="25" t="str">
        <f t="shared" si="91"/>
        <v>insert into ins_premium_det (premium_rcv_code,assorted_code, rec_amount,premium_rcv_detail_code,remaining_amt, payrec, mode_code,coinsurance_code,class_cd,it_remarks) values('29Apr250042','050000831869','4860',(select max(to_number(i.premium_rcv_detail_code))+1
from ins_premium_det i),'4860','4860','02', '11000003','00','Request by Mr. Omair Ali 30-Apr-2025');</v>
      </c>
    </row>
    <row r="1451" spans="1:8" ht="105" x14ac:dyDescent="0.25">
      <c r="A1451" t="s">
        <v>1439</v>
      </c>
      <c r="B1451" s="1" t="str">
        <f>VLOOKUP(A1451,Sheet5!B:C,2,0)</f>
        <v>050000831870</v>
      </c>
      <c r="C1451" s="13">
        <v>6862</v>
      </c>
      <c r="D1451" s="22">
        <f t="shared" si="89"/>
        <v>6862</v>
      </c>
      <c r="E1451" s="21" t="s">
        <v>5912</v>
      </c>
      <c r="F1451" s="23" t="str">
        <f t="shared" si="88"/>
        <v>insert into ins_premium_det (premium_rcv_code,assorted_code, rec_amount,premium_rcv_detail_code,remaining_amt, payrec, mode_code,coinsurance_code,class_cd,it_remarks) values</v>
      </c>
      <c r="G1451" s="24" t="str">
        <f t="shared" si="90"/>
        <v>('29Apr250042','050000831870','6862',(select max(to_number(i.premium_rcv_detail_code))+1
from ins_premium_det i),'6862','6862','02', '11000003','00','Request by Mr. Omair Ali 30-Apr-2025');</v>
      </c>
      <c r="H1451" s="25" t="str">
        <f t="shared" si="91"/>
        <v>insert into ins_premium_det (premium_rcv_code,assorted_code, rec_amount,premium_rcv_detail_code,remaining_amt, payrec, mode_code,coinsurance_code,class_cd,it_remarks) values('29Apr250042','050000831870','6862',(select max(to_number(i.premium_rcv_detail_code))+1
from ins_premium_det i),'6862','6862','02', '11000003','00','Request by Mr. Omair Ali 30-Apr-2025');</v>
      </c>
    </row>
    <row r="1452" spans="1:8" ht="105" x14ac:dyDescent="0.25">
      <c r="A1452" t="s">
        <v>1692</v>
      </c>
      <c r="B1452" s="1" t="str">
        <f>VLOOKUP(A1452,Sheet5!B:C,2,0)</f>
        <v>050000831874</v>
      </c>
      <c r="C1452" s="13">
        <v>4036</v>
      </c>
      <c r="D1452" s="22">
        <f t="shared" si="89"/>
        <v>4036</v>
      </c>
      <c r="E1452" s="21" t="s">
        <v>5912</v>
      </c>
      <c r="F1452" s="23" t="str">
        <f t="shared" si="88"/>
        <v>insert into ins_premium_det (premium_rcv_code,assorted_code, rec_amount,premium_rcv_detail_code,remaining_amt, payrec, mode_code,coinsurance_code,class_cd,it_remarks) values</v>
      </c>
      <c r="G1452" s="24" t="str">
        <f t="shared" si="90"/>
        <v>('29Apr250042','050000831874','4036',(select max(to_number(i.premium_rcv_detail_code))+1
from ins_premium_det i),'4036','4036','02', '11000003','00','Request by Mr. Omair Ali 30-Apr-2025');</v>
      </c>
      <c r="H1452" s="25" t="str">
        <f t="shared" si="91"/>
        <v>insert into ins_premium_det (premium_rcv_code,assorted_code, rec_amount,premium_rcv_detail_code,remaining_amt, payrec, mode_code,coinsurance_code,class_cd,it_remarks) values('29Apr250042','050000831874','4036',(select max(to_number(i.premium_rcv_detail_code))+1
from ins_premium_det i),'4036','4036','02', '11000003','00','Request by Mr. Omair Ali 30-Apr-2025');</v>
      </c>
    </row>
    <row r="1453" spans="1:8" ht="105" x14ac:dyDescent="0.25">
      <c r="A1453" t="s">
        <v>1834</v>
      </c>
      <c r="B1453" s="1" t="str">
        <f>VLOOKUP(A1453,Sheet5!B:C,2,0)</f>
        <v>050000832697</v>
      </c>
      <c r="C1453" s="13">
        <v>3354</v>
      </c>
      <c r="D1453" s="22">
        <f t="shared" si="89"/>
        <v>3354</v>
      </c>
      <c r="E1453" s="21" t="s">
        <v>5912</v>
      </c>
      <c r="F1453" s="23" t="str">
        <f t="shared" si="88"/>
        <v>insert into ins_premium_det (premium_rcv_code,assorted_code, rec_amount,premium_rcv_detail_code,remaining_amt, payrec, mode_code,coinsurance_code,class_cd,it_remarks) values</v>
      </c>
      <c r="G1453" s="24" t="str">
        <f t="shared" si="90"/>
        <v>('29Apr250042','050000832697','3354',(select max(to_number(i.premium_rcv_detail_code))+1
from ins_premium_det i),'3354','3354','02', '11000003','00','Request by Mr. Omair Ali 30-Apr-2025');</v>
      </c>
      <c r="H1453" s="25" t="str">
        <f t="shared" si="91"/>
        <v>insert into ins_premium_det (premium_rcv_code,assorted_code, rec_amount,premium_rcv_detail_code,remaining_amt, payrec, mode_code,coinsurance_code,class_cd,it_remarks) values('29Apr250042','050000832697','3354',(select max(to_number(i.premium_rcv_detail_code))+1
from ins_premium_det i),'3354','3354','02', '11000003','00','Request by Mr. Omair Ali 30-Apr-2025');</v>
      </c>
    </row>
    <row r="1454" spans="1:8" ht="105" x14ac:dyDescent="0.25">
      <c r="A1454" t="s">
        <v>1241</v>
      </c>
      <c r="B1454" s="1" t="str">
        <f>VLOOKUP(A1454,Sheet5!B:C,2,0)</f>
        <v>050000832994</v>
      </c>
      <c r="C1454" s="13">
        <v>21</v>
      </c>
      <c r="D1454" s="22">
        <f t="shared" si="89"/>
        <v>21</v>
      </c>
      <c r="E1454" s="21" t="s">
        <v>5912</v>
      </c>
      <c r="F1454" s="23" t="str">
        <f t="shared" si="88"/>
        <v>insert into ins_premium_det (premium_rcv_code,assorted_code, rec_amount,premium_rcv_detail_code,remaining_amt, payrec, mode_code,coinsurance_code,class_cd,it_remarks) values</v>
      </c>
      <c r="G1454" s="24" t="str">
        <f t="shared" si="90"/>
        <v>('29Apr250042','050000832994','21',(select max(to_number(i.premium_rcv_detail_code))+1
from ins_premium_det i),'21','21','02', '11000003','00','Request by Mr. Omair Ali 30-Apr-2025');</v>
      </c>
      <c r="H1454" s="25" t="str">
        <f t="shared" si="91"/>
        <v>insert into ins_premium_det (premium_rcv_code,assorted_code, rec_amount,premium_rcv_detail_code,remaining_amt, payrec, mode_code,coinsurance_code,class_cd,it_remarks) values('29Apr250042','050000832994','21',(select max(to_number(i.premium_rcv_detail_code))+1
from ins_premium_det i),'21','21','02', '11000003','00','Request by Mr. Omair Ali 30-Apr-2025');</v>
      </c>
    </row>
    <row r="1455" spans="1:8" ht="105" x14ac:dyDescent="0.25">
      <c r="A1455" t="s">
        <v>1248</v>
      </c>
      <c r="B1455" s="1" t="str">
        <f>VLOOKUP(A1455,Sheet5!B:C,2,0)</f>
        <v>050000832995</v>
      </c>
      <c r="C1455" s="13">
        <v>4305</v>
      </c>
      <c r="D1455" s="22">
        <f t="shared" si="89"/>
        <v>4305</v>
      </c>
      <c r="E1455" s="21" t="s">
        <v>5912</v>
      </c>
      <c r="F1455" s="23" t="str">
        <f t="shared" si="88"/>
        <v>insert into ins_premium_det (premium_rcv_code,assorted_code, rec_amount,premium_rcv_detail_code,remaining_amt, payrec, mode_code,coinsurance_code,class_cd,it_remarks) values</v>
      </c>
      <c r="G1455" s="24" t="str">
        <f t="shared" si="90"/>
        <v>('29Apr250042','050000832995','4305',(select max(to_number(i.premium_rcv_detail_code))+1
from ins_premium_det i),'4305','4305','02', '11000003','00','Request by Mr. Omair Ali 30-Apr-2025');</v>
      </c>
      <c r="H1455" s="25" t="str">
        <f t="shared" si="91"/>
        <v>insert into ins_premium_det (premium_rcv_code,assorted_code, rec_amount,premium_rcv_detail_code,remaining_amt, payrec, mode_code,coinsurance_code,class_cd,it_remarks) values('29Apr250042','050000832995','4305',(select max(to_number(i.premium_rcv_detail_code))+1
from ins_premium_det i),'4305','4305','02', '11000003','00','Request by Mr. Omair Ali 30-Apr-2025');</v>
      </c>
    </row>
    <row r="1456" spans="1:8" ht="105" x14ac:dyDescent="0.25">
      <c r="A1456" t="s">
        <v>1286</v>
      </c>
      <c r="B1456" s="1" t="str">
        <f>VLOOKUP(A1456,Sheet5!B:C,2,0)</f>
        <v>050000832996</v>
      </c>
      <c r="C1456" s="13">
        <v>968</v>
      </c>
      <c r="D1456" s="22">
        <f t="shared" si="89"/>
        <v>968</v>
      </c>
      <c r="E1456" s="21" t="s">
        <v>5912</v>
      </c>
      <c r="F1456" s="23" t="str">
        <f t="shared" si="88"/>
        <v>insert into ins_premium_det (premium_rcv_code,assorted_code, rec_amount,premium_rcv_detail_code,remaining_amt, payrec, mode_code,coinsurance_code,class_cd,it_remarks) values</v>
      </c>
      <c r="G1456" s="24" t="str">
        <f t="shared" si="90"/>
        <v>('29Apr250042','050000832996','968',(select max(to_number(i.premium_rcv_detail_code))+1
from ins_premium_det i),'968','968','02', '11000003','00','Request by Mr. Omair Ali 30-Apr-2025');</v>
      </c>
      <c r="H1456" s="25" t="str">
        <f t="shared" si="91"/>
        <v>insert into ins_premium_det (premium_rcv_code,assorted_code, rec_amount,premium_rcv_detail_code,remaining_amt, payrec, mode_code,coinsurance_code,class_cd,it_remarks) values('29Apr250042','050000832996','968',(select max(to_number(i.premium_rcv_detail_code))+1
from ins_premium_det i),'968','968','02', '11000003','00','Request by Mr. Omair Ali 30-Apr-2025');</v>
      </c>
    </row>
    <row r="1457" spans="1:8" ht="105" x14ac:dyDescent="0.25">
      <c r="A1457" t="s">
        <v>1298</v>
      </c>
      <c r="B1457" s="1" t="str">
        <f>VLOOKUP(A1457,Sheet5!B:C,2,0)</f>
        <v>050000833072</v>
      </c>
      <c r="C1457" s="13">
        <v>1816</v>
      </c>
      <c r="D1457" s="22">
        <f t="shared" si="89"/>
        <v>1816</v>
      </c>
      <c r="E1457" s="21" t="s">
        <v>5912</v>
      </c>
      <c r="F1457" s="23" t="str">
        <f t="shared" si="88"/>
        <v>insert into ins_premium_det (premium_rcv_code,assorted_code, rec_amount,premium_rcv_detail_code,remaining_amt, payrec, mode_code,coinsurance_code,class_cd,it_remarks) values</v>
      </c>
      <c r="G1457" s="24" t="str">
        <f t="shared" si="90"/>
        <v>('29Apr250042','050000833072','1816',(select max(to_number(i.premium_rcv_detail_code))+1
from ins_premium_det i),'1816','1816','02', '11000003','00','Request by Mr. Omair Ali 30-Apr-2025');</v>
      </c>
      <c r="H1457" s="25" t="str">
        <f t="shared" si="91"/>
        <v>insert into ins_premium_det (premium_rcv_code,assorted_code, rec_amount,premium_rcv_detail_code,remaining_amt, payrec, mode_code,coinsurance_code,class_cd,it_remarks) values('29Apr250042','050000833072','1816',(select max(to_number(i.premium_rcv_detail_code))+1
from ins_premium_det i),'1816','1816','02', '11000003','00','Request by Mr. Omair Ali 30-Apr-2025');</v>
      </c>
    </row>
    <row r="1458" spans="1:8" ht="105" x14ac:dyDescent="0.25">
      <c r="A1458" t="s">
        <v>1464</v>
      </c>
      <c r="B1458" s="1" t="str">
        <f>VLOOKUP(A1458,Sheet5!B:C,2,0)</f>
        <v>050000833076</v>
      </c>
      <c r="C1458" s="13">
        <v>3505</v>
      </c>
      <c r="D1458" s="22">
        <f t="shared" si="89"/>
        <v>3505</v>
      </c>
      <c r="E1458" s="21" t="s">
        <v>5912</v>
      </c>
      <c r="F1458" s="23" t="str">
        <f t="shared" si="88"/>
        <v>insert into ins_premium_det (premium_rcv_code,assorted_code, rec_amount,premium_rcv_detail_code,remaining_amt, payrec, mode_code,coinsurance_code,class_cd,it_remarks) values</v>
      </c>
      <c r="G1458" s="24" t="str">
        <f t="shared" si="90"/>
        <v>('29Apr250042','050000833076','3505',(select max(to_number(i.premium_rcv_detail_code))+1
from ins_premium_det i),'3505','3505','02', '11000003','00','Request by Mr. Omair Ali 30-Apr-2025');</v>
      </c>
      <c r="H1458" s="25" t="str">
        <f t="shared" si="91"/>
        <v>insert into ins_premium_det (premium_rcv_code,assorted_code, rec_amount,premium_rcv_detail_code,remaining_amt, payrec, mode_code,coinsurance_code,class_cd,it_remarks) values('29Apr250042','050000833076','3505',(select max(to_number(i.premium_rcv_detail_code))+1
from ins_premium_det i),'3505','3505','02', '11000003','00','Request by Mr. Omair Ali 30-Apr-2025');</v>
      </c>
    </row>
    <row r="1459" spans="1:8" ht="105" x14ac:dyDescent="0.25">
      <c r="A1459" t="s">
        <v>2018</v>
      </c>
      <c r="B1459" s="1" t="str">
        <f>VLOOKUP(A1459,Sheet5!B:C,2,0)</f>
        <v>050000833090</v>
      </c>
      <c r="C1459" s="13">
        <v>14942</v>
      </c>
      <c r="D1459" s="22">
        <f t="shared" si="89"/>
        <v>14942</v>
      </c>
      <c r="E1459" s="21" t="s">
        <v>5912</v>
      </c>
      <c r="F1459" s="23" t="str">
        <f t="shared" si="88"/>
        <v>insert into ins_premium_det (premium_rcv_code,assorted_code, rec_amount,premium_rcv_detail_code,remaining_amt, payrec, mode_code,coinsurance_code,class_cd,it_remarks) values</v>
      </c>
      <c r="G1459" s="24" t="str">
        <f t="shared" si="90"/>
        <v>('29Apr250042','050000833090','14942',(select max(to_number(i.premium_rcv_detail_code))+1
from ins_premium_det i),'14942','14942','02', '11000003','00','Request by Mr. Omair Ali 30-Apr-2025');</v>
      </c>
      <c r="H1459" s="25" t="str">
        <f t="shared" si="91"/>
        <v>insert into ins_premium_det (premium_rcv_code,assorted_code, rec_amount,premium_rcv_detail_code,remaining_amt, payrec, mode_code,coinsurance_code,class_cd,it_remarks) values('29Apr250042','050000833090','14942',(select max(to_number(i.premium_rcv_detail_code))+1
from ins_premium_det i),'14942','14942','02', '11000003','00','Request by Mr. Omair Ali 30-Apr-2025');</v>
      </c>
    </row>
    <row r="1460" spans="1:8" ht="105" x14ac:dyDescent="0.25">
      <c r="A1460" t="s">
        <v>1912</v>
      </c>
      <c r="B1460" s="1" t="str">
        <f>VLOOKUP(A1460,Sheet5!B:C,2,0)</f>
        <v>050000833763</v>
      </c>
      <c r="C1460" s="13">
        <v>3003</v>
      </c>
      <c r="D1460" s="22">
        <f t="shared" si="89"/>
        <v>3003</v>
      </c>
      <c r="E1460" s="21" t="s">
        <v>5912</v>
      </c>
      <c r="F1460" s="23" t="str">
        <f t="shared" si="88"/>
        <v>insert into ins_premium_det (premium_rcv_code,assorted_code, rec_amount,premium_rcv_detail_code,remaining_amt, payrec, mode_code,coinsurance_code,class_cd,it_remarks) values</v>
      </c>
      <c r="G1460" s="24" t="str">
        <f t="shared" si="90"/>
        <v>('29Apr250042','050000833763','3003',(select max(to_number(i.premium_rcv_detail_code))+1
from ins_premium_det i),'3003','3003','02', '11000003','00','Request by Mr. Omair Ali 30-Apr-2025');</v>
      </c>
      <c r="H1460" s="25" t="str">
        <f t="shared" si="91"/>
        <v>insert into ins_premium_det (premium_rcv_code,assorted_code, rec_amount,premium_rcv_detail_code,remaining_amt, payrec, mode_code,coinsurance_code,class_cd,it_remarks) values('29Apr250042','050000833763','3003',(select max(to_number(i.premium_rcv_detail_code))+1
from ins_premium_det i),'3003','3003','02', '11000003','00','Request by Mr. Omair Ali 30-Apr-2025');</v>
      </c>
    </row>
    <row r="1461" spans="1:8" ht="105" x14ac:dyDescent="0.25">
      <c r="A1461" t="s">
        <v>1316</v>
      </c>
      <c r="B1461" s="1" t="str">
        <f>VLOOKUP(A1461,Sheet5!B:C,2,0)</f>
        <v>050000834745</v>
      </c>
      <c r="C1461" s="13">
        <v>1278</v>
      </c>
      <c r="D1461" s="22">
        <f t="shared" si="89"/>
        <v>1278</v>
      </c>
      <c r="E1461" s="21" t="s">
        <v>5912</v>
      </c>
      <c r="F1461" s="23" t="str">
        <f t="shared" si="88"/>
        <v>insert into ins_premium_det (premium_rcv_code,assorted_code, rec_amount,premium_rcv_detail_code,remaining_amt, payrec, mode_code,coinsurance_code,class_cd,it_remarks) values</v>
      </c>
      <c r="G1461" s="24" t="str">
        <f t="shared" si="90"/>
        <v>('29Apr250042','050000834745','1278',(select max(to_number(i.premium_rcv_detail_code))+1
from ins_premium_det i),'1278','1278','02', '11000003','00','Request by Mr. Omair Ali 30-Apr-2025');</v>
      </c>
      <c r="H1461" s="25" t="str">
        <f t="shared" si="91"/>
        <v>insert into ins_premium_det (premium_rcv_code,assorted_code, rec_amount,premium_rcv_detail_code,remaining_amt, payrec, mode_code,coinsurance_code,class_cd,it_remarks) values('29Apr250042','050000834745','1278',(select max(to_number(i.premium_rcv_detail_code))+1
from ins_premium_det i),'1278','1278','02', '11000003','00','Request by Mr. Omair Ali 30-Apr-2025');</v>
      </c>
    </row>
    <row r="1462" spans="1:8" ht="105" x14ac:dyDescent="0.25">
      <c r="A1462" t="s">
        <v>1474</v>
      </c>
      <c r="B1462" s="1" t="str">
        <f>VLOOKUP(A1462,Sheet5!B:C,2,0)</f>
        <v>050000834747</v>
      </c>
      <c r="C1462" s="13">
        <v>7738</v>
      </c>
      <c r="D1462" s="22">
        <f t="shared" si="89"/>
        <v>7738</v>
      </c>
      <c r="E1462" s="21" t="s">
        <v>5912</v>
      </c>
      <c r="F1462" s="23" t="str">
        <f t="shared" si="88"/>
        <v>insert into ins_premium_det (premium_rcv_code,assorted_code, rec_amount,premium_rcv_detail_code,remaining_amt, payrec, mode_code,coinsurance_code,class_cd,it_remarks) values</v>
      </c>
      <c r="G1462" s="24" t="str">
        <f t="shared" si="90"/>
        <v>('29Apr250042','050000834747','7738',(select max(to_number(i.premium_rcv_detail_code))+1
from ins_premium_det i),'7738','7738','02', '11000003','00','Request by Mr. Omair Ali 30-Apr-2025');</v>
      </c>
      <c r="H1462" s="25" t="str">
        <f t="shared" si="91"/>
        <v>insert into ins_premium_det (premium_rcv_code,assorted_code, rec_amount,premium_rcv_detail_code,remaining_amt, payrec, mode_code,coinsurance_code,class_cd,it_remarks) values('29Apr250042','050000834747','7738',(select max(to_number(i.premium_rcv_detail_code))+1
from ins_premium_det i),'7738','7738','02', '11000003','00','Request by Mr. Omair Ali 30-Apr-2025');</v>
      </c>
    </row>
    <row r="1463" spans="1:8" ht="105" x14ac:dyDescent="0.25">
      <c r="A1463" t="s">
        <v>1724</v>
      </c>
      <c r="B1463" s="1" t="str">
        <f>VLOOKUP(A1463,Sheet5!B:C,2,0)</f>
        <v>050000834750</v>
      </c>
      <c r="C1463" s="13">
        <v>5042</v>
      </c>
      <c r="D1463" s="22">
        <f t="shared" si="89"/>
        <v>5042</v>
      </c>
      <c r="E1463" s="21" t="s">
        <v>5912</v>
      </c>
      <c r="F1463" s="23" t="str">
        <f t="shared" si="88"/>
        <v>insert into ins_premium_det (premium_rcv_code,assorted_code, rec_amount,premium_rcv_detail_code,remaining_amt, payrec, mode_code,coinsurance_code,class_cd,it_remarks) values</v>
      </c>
      <c r="G1463" s="24" t="str">
        <f t="shared" si="90"/>
        <v>('29Apr250042','050000834750','5042',(select max(to_number(i.premium_rcv_detail_code))+1
from ins_premium_det i),'5042','5042','02', '11000003','00','Request by Mr. Omair Ali 30-Apr-2025');</v>
      </c>
      <c r="H1463" s="25" t="str">
        <f t="shared" si="91"/>
        <v>insert into ins_premium_det (premium_rcv_code,assorted_code, rec_amount,premium_rcv_detail_code,remaining_amt, payrec, mode_code,coinsurance_code,class_cd,it_remarks) values('29Apr250042','050000834750','5042',(select max(to_number(i.premium_rcv_detail_code))+1
from ins_premium_det i),'5042','5042','02', '11000003','00','Request by Mr. Omair Ali 30-Apr-2025');</v>
      </c>
    </row>
    <row r="1464" spans="1:8" ht="105" x14ac:dyDescent="0.25">
      <c r="A1464" t="s">
        <v>1962</v>
      </c>
      <c r="B1464" s="1" t="str">
        <f>VLOOKUP(A1464,Sheet5!B:C,2,0)</f>
        <v>050000834758</v>
      </c>
      <c r="C1464" s="13">
        <v>4434</v>
      </c>
      <c r="D1464" s="22">
        <f t="shared" si="89"/>
        <v>4434</v>
      </c>
      <c r="E1464" s="21" t="s">
        <v>5912</v>
      </c>
      <c r="F1464" s="23" t="str">
        <f t="shared" si="88"/>
        <v>insert into ins_premium_det (premium_rcv_code,assorted_code, rec_amount,premium_rcv_detail_code,remaining_amt, payrec, mode_code,coinsurance_code,class_cd,it_remarks) values</v>
      </c>
      <c r="G1464" s="24" t="str">
        <f t="shared" si="90"/>
        <v>('29Apr250042','050000834758','4434',(select max(to_number(i.premium_rcv_detail_code))+1
from ins_premium_det i),'4434','4434','02', '11000003','00','Request by Mr. Omair Ali 30-Apr-2025');</v>
      </c>
      <c r="H1464" s="25" t="str">
        <f t="shared" si="91"/>
        <v>insert into ins_premium_det (premium_rcv_code,assorted_code, rec_amount,premium_rcv_detail_code,remaining_amt, payrec, mode_code,coinsurance_code,class_cd,it_remarks) values('29Apr250042','050000834758','4434',(select max(to_number(i.premium_rcv_detail_code))+1
from ins_premium_det i),'4434','4434','02', '11000003','00','Request by Mr. Omair Ali 30-Apr-2025');</v>
      </c>
    </row>
    <row r="1465" spans="1:8" ht="105" x14ac:dyDescent="0.25">
      <c r="A1465" t="s">
        <v>1604</v>
      </c>
      <c r="B1465" s="1" t="str">
        <f>VLOOKUP(A1465,Sheet5!B:C,2,0)</f>
        <v>050000834769</v>
      </c>
      <c r="C1465" s="13">
        <v>480</v>
      </c>
      <c r="D1465" s="22">
        <f t="shared" si="89"/>
        <v>480</v>
      </c>
      <c r="E1465" s="21" t="s">
        <v>5912</v>
      </c>
      <c r="F1465" s="23" t="str">
        <f t="shared" si="88"/>
        <v>insert into ins_premium_det (premium_rcv_code,assorted_code, rec_amount,premium_rcv_detail_code,remaining_amt, payrec, mode_code,coinsurance_code,class_cd,it_remarks) values</v>
      </c>
      <c r="G1465" s="24" t="str">
        <f t="shared" si="90"/>
        <v>('29Apr250042','050000834769','480',(select max(to_number(i.premium_rcv_detail_code))+1
from ins_premium_det i),'480','480','02', '11000003','00','Request by Mr. Omair Ali 30-Apr-2025');</v>
      </c>
      <c r="H1465" s="25" t="str">
        <f t="shared" si="91"/>
        <v>insert into ins_premium_det (premium_rcv_code,assorted_code, rec_amount,premium_rcv_detail_code,remaining_amt, payrec, mode_code,coinsurance_code,class_cd,it_remarks) values('29Apr250042','050000834769','480',(select max(to_number(i.premium_rcv_detail_code))+1
from ins_premium_det i),'480','480','02', '11000003','00','Request by Mr. Omair Ali 30-Apr-2025');</v>
      </c>
    </row>
    <row r="1466" spans="1:8" ht="105" x14ac:dyDescent="0.25">
      <c r="A1466" t="s">
        <v>1921</v>
      </c>
      <c r="B1466" s="1" t="str">
        <f>VLOOKUP(A1466,Sheet5!B:C,2,0)</f>
        <v>050000834775</v>
      </c>
      <c r="C1466" s="13">
        <v>1795</v>
      </c>
      <c r="D1466" s="22">
        <f t="shared" si="89"/>
        <v>1795</v>
      </c>
      <c r="E1466" s="21" t="s">
        <v>5912</v>
      </c>
      <c r="F1466" s="23" t="str">
        <f t="shared" si="88"/>
        <v>insert into ins_premium_det (premium_rcv_code,assorted_code, rec_amount,premium_rcv_detail_code,remaining_amt, payrec, mode_code,coinsurance_code,class_cd,it_remarks) values</v>
      </c>
      <c r="G1466" s="24" t="str">
        <f t="shared" si="90"/>
        <v>('29Apr250042','050000834775','1795',(select max(to_number(i.premium_rcv_detail_code))+1
from ins_premium_det i),'1795','1795','02', '11000003','00','Request by Mr. Omair Ali 30-Apr-2025');</v>
      </c>
      <c r="H1466" s="25" t="str">
        <f t="shared" si="91"/>
        <v>insert into ins_premium_det (premium_rcv_code,assorted_code, rec_amount,premium_rcv_detail_code,remaining_amt, payrec, mode_code,coinsurance_code,class_cd,it_remarks) values('29Apr250042','050000834775','1795',(select max(to_number(i.premium_rcv_detail_code))+1
from ins_premium_det i),'1795','1795','02', '11000003','00','Request by Mr. Omair Ali 30-Apr-2025');</v>
      </c>
    </row>
    <row r="1467" spans="1:8" ht="105" x14ac:dyDescent="0.25">
      <c r="A1467" t="s">
        <v>1340</v>
      </c>
      <c r="B1467" s="1" t="str">
        <f>VLOOKUP(A1467,Sheet5!B:C,2,0)</f>
        <v>050000835202</v>
      </c>
      <c r="C1467" s="13">
        <v>1059</v>
      </c>
      <c r="D1467" s="22">
        <f t="shared" si="89"/>
        <v>1059</v>
      </c>
      <c r="E1467" s="21" t="s">
        <v>5912</v>
      </c>
      <c r="F1467" s="23" t="str">
        <f t="shared" si="88"/>
        <v>insert into ins_premium_det (premium_rcv_code,assorted_code, rec_amount,premium_rcv_detail_code,remaining_amt, payrec, mode_code,coinsurance_code,class_cd,it_remarks) values</v>
      </c>
      <c r="G1467" s="24" t="str">
        <f t="shared" si="90"/>
        <v>('29Apr250042','050000835202','1059',(select max(to_number(i.premium_rcv_detail_code))+1
from ins_premium_det i),'1059','1059','02', '11000003','00','Request by Mr. Omair Ali 30-Apr-2025');</v>
      </c>
      <c r="H1467" s="25" t="str">
        <f t="shared" si="91"/>
        <v>insert into ins_premium_det (premium_rcv_code,assorted_code, rec_amount,premium_rcv_detail_code,remaining_amt, payrec, mode_code,coinsurance_code,class_cd,it_remarks) values('29Apr250042','050000835202','1059',(select max(to_number(i.premium_rcv_detail_code))+1
from ins_premium_det i),'1059','1059','02', '11000003','00','Request by Mr. Omair Ali 30-Apr-2025');</v>
      </c>
    </row>
    <row r="1468" spans="1:8" ht="105" x14ac:dyDescent="0.25">
      <c r="A1468" t="s">
        <v>1841</v>
      </c>
      <c r="B1468" s="1" t="str">
        <f>VLOOKUP(A1468,Sheet5!B:C,2,0)</f>
        <v>050000835212</v>
      </c>
      <c r="C1468" s="13">
        <v>2935</v>
      </c>
      <c r="D1468" s="22">
        <f t="shared" si="89"/>
        <v>2935</v>
      </c>
      <c r="E1468" s="21" t="s">
        <v>5912</v>
      </c>
      <c r="F1468" s="23" t="str">
        <f t="shared" si="88"/>
        <v>insert into ins_premium_det (premium_rcv_code,assorted_code, rec_amount,premium_rcv_detail_code,remaining_amt, payrec, mode_code,coinsurance_code,class_cd,it_remarks) values</v>
      </c>
      <c r="G1468" s="24" t="str">
        <f t="shared" si="90"/>
        <v>('29Apr250042','050000835212','2935',(select max(to_number(i.premium_rcv_detail_code))+1
from ins_premium_det i),'2935','2935','02', '11000003','00','Request by Mr. Omair Ali 30-Apr-2025');</v>
      </c>
      <c r="H1468" s="25" t="str">
        <f t="shared" si="91"/>
        <v>insert into ins_premium_det (premium_rcv_code,assorted_code, rec_amount,premium_rcv_detail_code,remaining_amt, payrec, mode_code,coinsurance_code,class_cd,it_remarks) values('29Apr250042','050000835212','2935',(select max(to_number(i.premium_rcv_detail_code))+1
from ins_premium_det i),'2935','2935','02', '11000003','00','Request by Mr. Omair Ali 30-Apr-2025');</v>
      </c>
    </row>
    <row r="1469" spans="1:8" ht="105" x14ac:dyDescent="0.25">
      <c r="A1469" t="s">
        <v>1928</v>
      </c>
      <c r="B1469" s="1" t="str">
        <f>VLOOKUP(A1469,Sheet5!B:C,2,0)</f>
        <v>050000835215</v>
      </c>
      <c r="C1469" s="13">
        <v>5400</v>
      </c>
      <c r="D1469" s="22">
        <f t="shared" si="89"/>
        <v>5400</v>
      </c>
      <c r="E1469" s="21" t="s">
        <v>5912</v>
      </c>
      <c r="F1469" s="23" t="str">
        <f t="shared" si="88"/>
        <v>insert into ins_premium_det (premium_rcv_code,assorted_code, rec_amount,premium_rcv_detail_code,remaining_amt, payrec, mode_code,coinsurance_code,class_cd,it_remarks) values</v>
      </c>
      <c r="G1469" s="24" t="str">
        <f t="shared" si="90"/>
        <v>('29Apr250042','050000835215','5400',(select max(to_number(i.premium_rcv_detail_code))+1
from ins_premium_det i),'5400','5400','02', '11000003','00','Request by Mr. Omair Ali 30-Apr-2025');</v>
      </c>
      <c r="H1469" s="25" t="str">
        <f t="shared" si="91"/>
        <v>insert into ins_premium_det (premium_rcv_code,assorted_code, rec_amount,premium_rcv_detail_code,remaining_amt, payrec, mode_code,coinsurance_code,class_cd,it_remarks) values('29Apr250042','050000835215','5400',(select max(to_number(i.premium_rcv_detail_code))+1
from ins_premium_det i),'5400','5400','02', '11000003','00','Request by Mr. Omair Ali 30-Apr-2025');</v>
      </c>
    </row>
    <row r="1470" spans="1:8" ht="105" x14ac:dyDescent="0.25">
      <c r="A1470" t="s">
        <v>1350</v>
      </c>
      <c r="B1470" s="1" t="str">
        <f>VLOOKUP(A1470,Sheet5!B:C,2,0)</f>
        <v>050000835391</v>
      </c>
      <c r="C1470" s="13">
        <v>1988</v>
      </c>
      <c r="D1470" s="22">
        <f t="shared" si="89"/>
        <v>1988</v>
      </c>
      <c r="E1470" s="21" t="s">
        <v>5912</v>
      </c>
      <c r="F1470" s="23" t="str">
        <f t="shared" si="88"/>
        <v>insert into ins_premium_det (premium_rcv_code,assorted_code, rec_amount,premium_rcv_detail_code,remaining_amt, payrec, mode_code,coinsurance_code,class_cd,it_remarks) values</v>
      </c>
      <c r="G1470" s="24" t="str">
        <f t="shared" si="90"/>
        <v>('29Apr250042','050000835391','1988',(select max(to_number(i.premium_rcv_detail_code))+1
from ins_premium_det i),'1988','1988','02', '11000003','00','Request by Mr. Omair Ali 30-Apr-2025');</v>
      </c>
      <c r="H1470" s="25" t="str">
        <f t="shared" si="91"/>
        <v>insert into ins_premium_det (premium_rcv_code,assorted_code, rec_amount,premium_rcv_detail_code,remaining_amt, payrec, mode_code,coinsurance_code,class_cd,it_remarks) values('29Apr250042','050000835391','1988',(select max(to_number(i.premium_rcv_detail_code))+1
from ins_premium_det i),'1988','1988','02', '11000003','00','Request by Mr. Omair Ali 30-Apr-2025');</v>
      </c>
    </row>
    <row r="1471" spans="1:8" ht="105" x14ac:dyDescent="0.25">
      <c r="A1471" t="s">
        <v>1567</v>
      </c>
      <c r="B1471" s="1" t="str">
        <f>VLOOKUP(A1471,Sheet5!B:C,2,0)</f>
        <v>050000835394</v>
      </c>
      <c r="C1471" s="13">
        <v>6885</v>
      </c>
      <c r="D1471" s="22">
        <f t="shared" si="89"/>
        <v>6885</v>
      </c>
      <c r="E1471" s="21" t="s">
        <v>5912</v>
      </c>
      <c r="F1471" s="23" t="str">
        <f t="shared" si="88"/>
        <v>insert into ins_premium_det (premium_rcv_code,assorted_code, rec_amount,premium_rcv_detail_code,remaining_amt, payrec, mode_code,coinsurance_code,class_cd,it_remarks) values</v>
      </c>
      <c r="G1471" s="24" t="str">
        <f t="shared" si="90"/>
        <v>('29Apr250042','050000835394','6885',(select max(to_number(i.premium_rcv_detail_code))+1
from ins_premium_det i),'6885','6885','02', '11000003','00','Request by Mr. Omair Ali 30-Apr-2025');</v>
      </c>
      <c r="H1471" s="25" t="str">
        <f t="shared" si="91"/>
        <v>insert into ins_premium_det (premium_rcv_code,assorted_code, rec_amount,premium_rcv_detail_code,remaining_amt, payrec, mode_code,coinsurance_code,class_cd,it_remarks) values('29Apr250042','050000835394','6885',(select max(to_number(i.premium_rcv_detail_code))+1
from ins_premium_det i),'6885','6885','02', '11000003','00','Request by Mr. Omair Ali 30-Apr-2025');</v>
      </c>
    </row>
    <row r="1472" spans="1:8" ht="105" x14ac:dyDescent="0.25">
      <c r="A1472" t="s">
        <v>1778</v>
      </c>
      <c r="B1472" s="1" t="str">
        <f>VLOOKUP(A1472,Sheet5!B:C,2,0)</f>
        <v>050000835399</v>
      </c>
      <c r="C1472" s="13">
        <v>7260</v>
      </c>
      <c r="D1472" s="22">
        <f t="shared" si="89"/>
        <v>7260</v>
      </c>
      <c r="E1472" s="21" t="s">
        <v>5912</v>
      </c>
      <c r="F1472" s="23" t="str">
        <f t="shared" si="88"/>
        <v>insert into ins_premium_det (premium_rcv_code,assorted_code, rec_amount,premium_rcv_detail_code,remaining_amt, payrec, mode_code,coinsurance_code,class_cd,it_remarks) values</v>
      </c>
      <c r="G1472" s="24" t="str">
        <f t="shared" si="90"/>
        <v>('29Apr250042','050000835399','7260',(select max(to_number(i.premium_rcv_detail_code))+1
from ins_premium_det i),'7260','7260','02', '11000003','00','Request by Mr. Omair Ali 30-Apr-2025');</v>
      </c>
      <c r="H1472" s="25" t="str">
        <f t="shared" si="91"/>
        <v>insert into ins_premium_det (premium_rcv_code,assorted_code, rec_amount,premium_rcv_detail_code,remaining_amt, payrec, mode_code,coinsurance_code,class_cd,it_remarks) values('29Apr250042','050000835399','7260',(select max(to_number(i.premium_rcv_detail_code))+1
from ins_premium_det i),'7260','7260','02', '11000003','00','Request by Mr. Omair Ali 30-Apr-2025');</v>
      </c>
    </row>
    <row r="1473" spans="1:8" ht="105" x14ac:dyDescent="0.25">
      <c r="A1473" t="s">
        <v>1741</v>
      </c>
      <c r="B1473" s="1" t="str">
        <f>VLOOKUP(A1473,Sheet5!B:C,2,0)</f>
        <v>050000835460</v>
      </c>
      <c r="C1473" s="13">
        <v>1584</v>
      </c>
      <c r="D1473" s="22">
        <f t="shared" si="89"/>
        <v>1584</v>
      </c>
      <c r="E1473" s="21" t="s">
        <v>5912</v>
      </c>
      <c r="F1473" s="23" t="str">
        <f t="shared" si="88"/>
        <v>insert into ins_premium_det (premium_rcv_code,assorted_code, rec_amount,premium_rcv_detail_code,remaining_amt, payrec, mode_code,coinsurance_code,class_cd,it_remarks) values</v>
      </c>
      <c r="G1473" s="24" t="str">
        <f t="shared" si="90"/>
        <v>('29Apr250042','050000835460','1584',(select max(to_number(i.premium_rcv_detail_code))+1
from ins_premium_det i),'1584','1584','02', '11000003','00','Request by Mr. Omair Ali 30-Apr-2025');</v>
      </c>
      <c r="H1473" s="25" t="str">
        <f t="shared" si="91"/>
        <v>insert into ins_premium_det (premium_rcv_code,assorted_code, rec_amount,premium_rcv_detail_code,remaining_amt, payrec, mode_code,coinsurance_code,class_cd,it_remarks) values('29Apr250042','050000835460','1584',(select max(to_number(i.premium_rcv_detail_code))+1
from ins_premium_det i),'1584','1584','02', '11000003','00','Request by Mr. Omair Ali 30-Apr-2025');</v>
      </c>
    </row>
    <row r="1474" spans="1:8" ht="105" x14ac:dyDescent="0.25">
      <c r="A1474" t="s">
        <v>1768</v>
      </c>
      <c r="B1474" s="1" t="str">
        <f>VLOOKUP(A1474,Sheet5!B:C,2,0)</f>
        <v>050000835461</v>
      </c>
      <c r="C1474" s="13">
        <v>2576</v>
      </c>
      <c r="D1474" s="22">
        <f t="shared" si="89"/>
        <v>2576</v>
      </c>
      <c r="E1474" s="21" t="s">
        <v>5912</v>
      </c>
      <c r="F1474" s="23" t="str">
        <f t="shared" ref="F1474:F1537" si="9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474" s="24" t="str">
        <f t="shared" si="90"/>
        <v>('29Apr250042','050000835461','2576',(select max(to_number(i.premium_rcv_detail_code))+1
from ins_premium_det i),'2576','2576','02', '11000003','00','Request by Mr. Omair Ali 30-Apr-2025');</v>
      </c>
      <c r="H1474" s="25" t="str">
        <f t="shared" si="91"/>
        <v>insert into ins_premium_det (premium_rcv_code,assorted_code, rec_amount,premium_rcv_detail_code,remaining_amt, payrec, mode_code,coinsurance_code,class_cd,it_remarks) values('29Apr250042','050000835461','2576',(select max(to_number(i.premium_rcv_detail_code))+1
from ins_premium_det i),'2576','2576','02', '11000003','00','Request by Mr. Omair Ali 30-Apr-2025');</v>
      </c>
    </row>
    <row r="1475" spans="1:8" ht="105" x14ac:dyDescent="0.25">
      <c r="A1475" t="s">
        <v>1849</v>
      </c>
      <c r="B1475" s="1" t="str">
        <f>VLOOKUP(A1475,Sheet5!B:C,2,0)</f>
        <v>050000835467</v>
      </c>
      <c r="C1475" s="13">
        <v>4769</v>
      </c>
      <c r="D1475" s="22">
        <f t="shared" ref="D1475:D1538" si="93">ROUND(C1475,0)</f>
        <v>4769</v>
      </c>
      <c r="E1475" s="21" t="s">
        <v>5912</v>
      </c>
      <c r="F1475" s="23" t="str">
        <f t="shared" si="92"/>
        <v>insert into ins_premium_det (premium_rcv_code,assorted_code, rec_amount,premium_rcv_detail_code,remaining_amt, payrec, mode_code,coinsurance_code,class_cd,it_remarks) values</v>
      </c>
      <c r="G1475" s="24" t="str">
        <f t="shared" ref="G1475:G1538" si="94">"('"&amp;E1475&amp;"','"&amp;B1475&amp;"','"&amp;D1475&amp;"',(select max(to_number(i.premium_rcv_detail_code))+1
from ins_premium_det i),'"&amp;D1475&amp;"','"&amp;D1475&amp;"','02', '11000003','00','Request by Mr. Omair Ali 30-Apr-2025');"</f>
        <v>('29Apr250042','050000835467','4769',(select max(to_number(i.premium_rcv_detail_code))+1
from ins_premium_det i),'4769','4769','02', '11000003','00','Request by Mr. Omair Ali 30-Apr-2025');</v>
      </c>
      <c r="H1475" s="25" t="str">
        <f t="shared" ref="H1475:H1538" si="95">F1475&amp;G1475</f>
        <v>insert into ins_premium_det (premium_rcv_code,assorted_code, rec_amount,premium_rcv_detail_code,remaining_amt, payrec, mode_code,coinsurance_code,class_cd,it_remarks) values('29Apr250042','050000835467','4769',(select max(to_number(i.premium_rcv_detail_code))+1
from ins_premium_det i),'4769','4769','02', '11000003','00','Request by Mr. Omair Ali 30-Apr-2025');</v>
      </c>
    </row>
    <row r="1476" spans="1:8" ht="105" x14ac:dyDescent="0.25">
      <c r="A1476" t="s">
        <v>1361</v>
      </c>
      <c r="B1476" s="1" t="str">
        <f>VLOOKUP(A1476,Sheet5!B:C,2,0)</f>
        <v>050000835805</v>
      </c>
      <c r="C1476" s="13">
        <v>3137</v>
      </c>
      <c r="D1476" s="22">
        <f t="shared" si="93"/>
        <v>3137</v>
      </c>
      <c r="E1476" s="21" t="s">
        <v>5912</v>
      </c>
      <c r="F1476" s="23" t="str">
        <f t="shared" si="92"/>
        <v>insert into ins_premium_det (premium_rcv_code,assorted_code, rec_amount,premium_rcv_detail_code,remaining_amt, payrec, mode_code,coinsurance_code,class_cd,it_remarks) values</v>
      </c>
      <c r="G1476" s="24" t="str">
        <f t="shared" si="94"/>
        <v>('29Apr250042','050000835805','3137',(select max(to_number(i.premium_rcv_detail_code))+1
from ins_premium_det i),'3137','3137','02', '11000003','00','Request by Mr. Omair Ali 30-Apr-2025');</v>
      </c>
      <c r="H1476" s="25" t="str">
        <f t="shared" si="95"/>
        <v>insert into ins_premium_det (premium_rcv_code,assorted_code, rec_amount,premium_rcv_detail_code,remaining_amt, payrec, mode_code,coinsurance_code,class_cd,it_remarks) values('29Apr250042','050000835805','3137',(select max(to_number(i.premium_rcv_detail_code))+1
from ins_premium_det i),'3137','3137','02', '11000003','00','Request by Mr. Omair Ali 30-Apr-2025');</v>
      </c>
    </row>
    <row r="1477" spans="1:8" ht="105" x14ac:dyDescent="0.25">
      <c r="A1477" t="s">
        <v>1389</v>
      </c>
      <c r="B1477" s="1" t="str">
        <f>VLOOKUP(A1477,Sheet5!B:C,2,0)</f>
        <v>050000835806</v>
      </c>
      <c r="C1477" s="13">
        <v>563</v>
      </c>
      <c r="D1477" s="22">
        <f t="shared" si="93"/>
        <v>563</v>
      </c>
      <c r="E1477" s="21" t="s">
        <v>5912</v>
      </c>
      <c r="F1477" s="23" t="str">
        <f t="shared" si="92"/>
        <v>insert into ins_premium_det (premium_rcv_code,assorted_code, rec_amount,premium_rcv_detail_code,remaining_amt, payrec, mode_code,coinsurance_code,class_cd,it_remarks) values</v>
      </c>
      <c r="G1477" s="24" t="str">
        <f t="shared" si="94"/>
        <v>('29Apr250042','050000835806','563',(select max(to_number(i.premium_rcv_detail_code))+1
from ins_premium_det i),'563','563','02', '11000003','00','Request by Mr. Omair Ali 30-Apr-2025');</v>
      </c>
      <c r="H1477" s="25" t="str">
        <f t="shared" si="95"/>
        <v>insert into ins_premium_det (premium_rcv_code,assorted_code, rec_amount,premium_rcv_detail_code,remaining_amt, payrec, mode_code,coinsurance_code,class_cd,it_remarks) values('29Apr250042','050000835806','563',(select max(to_number(i.premium_rcv_detail_code))+1
from ins_premium_det i),'563','563','02', '11000003','00','Request by Mr. Omair Ali 30-Apr-2025');</v>
      </c>
    </row>
    <row r="1478" spans="1:8" ht="105" x14ac:dyDescent="0.25">
      <c r="A1478" t="s">
        <v>1367</v>
      </c>
      <c r="B1478" s="1" t="str">
        <f>VLOOKUP(A1478,Sheet5!B:C,2,0)</f>
        <v>050000836062</v>
      </c>
      <c r="C1478" s="13">
        <v>4288</v>
      </c>
      <c r="D1478" s="22">
        <f t="shared" si="93"/>
        <v>4288</v>
      </c>
      <c r="E1478" s="21" t="s">
        <v>5912</v>
      </c>
      <c r="F1478" s="23" t="str">
        <f t="shared" si="92"/>
        <v>insert into ins_premium_det (premium_rcv_code,assorted_code, rec_amount,premium_rcv_detail_code,remaining_amt, payrec, mode_code,coinsurance_code,class_cd,it_remarks) values</v>
      </c>
      <c r="G1478" s="24" t="str">
        <f t="shared" si="94"/>
        <v>('29Apr250042','050000836062','4288',(select max(to_number(i.premium_rcv_detail_code))+1
from ins_premium_det i),'4288','4288','02', '11000003','00','Request by Mr. Omair Ali 30-Apr-2025');</v>
      </c>
      <c r="H1478" s="25" t="str">
        <f t="shared" si="95"/>
        <v>insert into ins_premium_det (premium_rcv_code,assorted_code, rec_amount,premium_rcv_detail_code,remaining_amt, payrec, mode_code,coinsurance_code,class_cd,it_remarks) values('29Apr250042','050000836062','4288',(select max(to_number(i.premium_rcv_detail_code))+1
from ins_premium_det i),'4288','4288','02', '11000003','00','Request by Mr. Omair Ali 30-Apr-2025');</v>
      </c>
    </row>
    <row r="1479" spans="1:8" ht="105" x14ac:dyDescent="0.25">
      <c r="A1479" t="s">
        <v>1483</v>
      </c>
      <c r="B1479" s="1" t="str">
        <f>VLOOKUP(A1479,Sheet5!B:C,2,0)</f>
        <v>050000836064</v>
      </c>
      <c r="C1479" s="13">
        <v>6812</v>
      </c>
      <c r="D1479" s="22">
        <f t="shared" si="93"/>
        <v>6812</v>
      </c>
      <c r="E1479" s="21" t="s">
        <v>5912</v>
      </c>
      <c r="F1479" s="23" t="str">
        <f t="shared" si="92"/>
        <v>insert into ins_premium_det (premium_rcv_code,assorted_code, rec_amount,premium_rcv_detail_code,remaining_amt, payrec, mode_code,coinsurance_code,class_cd,it_remarks) values</v>
      </c>
      <c r="G1479" s="24" t="str">
        <f t="shared" si="94"/>
        <v>('29Apr250042','050000836064','6812',(select max(to_number(i.premium_rcv_detail_code))+1
from ins_premium_det i),'6812','6812','02', '11000003','00','Request by Mr. Omair Ali 30-Apr-2025');</v>
      </c>
      <c r="H1479" s="25" t="str">
        <f t="shared" si="95"/>
        <v>insert into ins_premium_det (premium_rcv_code,assorted_code, rec_amount,premium_rcv_detail_code,remaining_amt, payrec, mode_code,coinsurance_code,class_cd,it_remarks) values('29Apr250042','050000836064','6812',(select max(to_number(i.premium_rcv_detail_code))+1
from ins_premium_det i),'6812','6812','02', '11000003','00','Request by Mr. Omair Ali 30-Apr-2025');</v>
      </c>
    </row>
    <row r="1480" spans="1:8" ht="105" x14ac:dyDescent="0.25">
      <c r="A1480" t="s">
        <v>1546</v>
      </c>
      <c r="B1480" s="1" t="str">
        <f>VLOOKUP(A1480,Sheet5!B:C,2,0)</f>
        <v>050000836069</v>
      </c>
      <c r="C1480" s="13">
        <v>15147</v>
      </c>
      <c r="D1480" s="22">
        <f t="shared" si="93"/>
        <v>15147</v>
      </c>
      <c r="E1480" s="21" t="s">
        <v>5912</v>
      </c>
      <c r="F1480" s="23" t="str">
        <f t="shared" si="92"/>
        <v>insert into ins_premium_det (premium_rcv_code,assorted_code, rec_amount,premium_rcv_detail_code,remaining_amt, payrec, mode_code,coinsurance_code,class_cd,it_remarks) values</v>
      </c>
      <c r="G1480" s="24" t="str">
        <f t="shared" si="94"/>
        <v>('29Apr250042','050000836069','15147',(select max(to_number(i.premium_rcv_detail_code))+1
from ins_premium_det i),'15147','15147','02', '11000003','00','Request by Mr. Omair Ali 30-Apr-2025');</v>
      </c>
      <c r="H1480" s="25" t="str">
        <f t="shared" si="95"/>
        <v>insert into ins_premium_det (premium_rcv_code,assorted_code, rec_amount,premium_rcv_detail_code,remaining_amt, payrec, mode_code,coinsurance_code,class_cd,it_remarks) values('29Apr250042','050000836069','15147',(select max(to_number(i.premium_rcv_detail_code))+1
from ins_premium_det i),'15147','15147','02', '11000003','00','Request by Mr. Omair Ali 30-Apr-2025');</v>
      </c>
    </row>
    <row r="1481" spans="1:8" ht="105" x14ac:dyDescent="0.25">
      <c r="A1481" t="s">
        <v>1586</v>
      </c>
      <c r="B1481" s="1" t="str">
        <f>VLOOKUP(A1481,Sheet5!B:C,2,0)</f>
        <v>050000836070</v>
      </c>
      <c r="C1481" s="13">
        <v>3416</v>
      </c>
      <c r="D1481" s="22">
        <f t="shared" si="93"/>
        <v>3416</v>
      </c>
      <c r="E1481" s="21" t="s">
        <v>5912</v>
      </c>
      <c r="F1481" s="23" t="str">
        <f t="shared" si="92"/>
        <v>insert into ins_premium_det (premium_rcv_code,assorted_code, rec_amount,premium_rcv_detail_code,remaining_amt, payrec, mode_code,coinsurance_code,class_cd,it_remarks) values</v>
      </c>
      <c r="G1481" s="24" t="str">
        <f t="shared" si="94"/>
        <v>('29Apr250042','050000836070','3416',(select max(to_number(i.premium_rcv_detail_code))+1
from ins_premium_det i),'3416','3416','02', '11000003','00','Request by Mr. Omair Ali 30-Apr-2025');</v>
      </c>
      <c r="H1481" s="25" t="str">
        <f t="shared" si="95"/>
        <v>insert into ins_premium_det (premium_rcv_code,assorted_code, rec_amount,premium_rcv_detail_code,remaining_amt, payrec, mode_code,coinsurance_code,class_cd,it_remarks) values('29Apr250042','050000836070','3416',(select max(to_number(i.premium_rcv_detail_code))+1
from ins_premium_det i),'3416','3416','02', '11000003','00','Request by Mr. Omair Ali 30-Apr-2025');</v>
      </c>
    </row>
    <row r="1482" spans="1:8" ht="105" x14ac:dyDescent="0.25">
      <c r="A1482" t="s">
        <v>1946</v>
      </c>
      <c r="B1482" s="1" t="str">
        <f>VLOOKUP(A1482,Sheet5!B:C,2,0)</f>
        <v>050000836082</v>
      </c>
      <c r="C1482" s="13">
        <v>925</v>
      </c>
      <c r="D1482" s="22">
        <f t="shared" si="93"/>
        <v>925</v>
      </c>
      <c r="E1482" s="21" t="s">
        <v>5912</v>
      </c>
      <c r="F1482" s="23" t="str">
        <f t="shared" si="92"/>
        <v>insert into ins_premium_det (premium_rcv_code,assorted_code, rec_amount,premium_rcv_detail_code,remaining_amt, payrec, mode_code,coinsurance_code,class_cd,it_remarks) values</v>
      </c>
      <c r="G1482" s="24" t="str">
        <f t="shared" si="94"/>
        <v>('29Apr250042','050000836082','925',(select max(to_number(i.premium_rcv_detail_code))+1
from ins_premium_det i),'925','925','02', '11000003','00','Request by Mr. Omair Ali 30-Apr-2025');</v>
      </c>
      <c r="H1482" s="25" t="str">
        <f t="shared" si="95"/>
        <v>insert into ins_premium_det (premium_rcv_code,assorted_code, rec_amount,premium_rcv_detail_code,remaining_amt, payrec, mode_code,coinsurance_code,class_cd,it_remarks) values('29Apr250042','050000836082','925',(select max(to_number(i.premium_rcv_detail_code))+1
from ins_premium_det i),'925','925','02', '11000003','00','Request by Mr. Omair Ali 30-Apr-2025');</v>
      </c>
    </row>
    <row r="1483" spans="1:8" ht="105" x14ac:dyDescent="0.25">
      <c r="A1483" t="s">
        <v>1400</v>
      </c>
      <c r="B1483" s="1" t="str">
        <f>VLOOKUP(A1483,Sheet5!B:C,2,0)</f>
        <v>050000836153</v>
      </c>
      <c r="C1483" s="13">
        <v>2183</v>
      </c>
      <c r="D1483" s="22">
        <f t="shared" si="93"/>
        <v>2183</v>
      </c>
      <c r="E1483" s="21" t="s">
        <v>5912</v>
      </c>
      <c r="F1483" s="23" t="str">
        <f t="shared" si="92"/>
        <v>insert into ins_premium_det (premium_rcv_code,assorted_code, rec_amount,premium_rcv_detail_code,remaining_amt, payrec, mode_code,coinsurance_code,class_cd,it_remarks) values</v>
      </c>
      <c r="G1483" s="24" t="str">
        <f t="shared" si="94"/>
        <v>('29Apr250042','050000836153','2183',(select max(to_number(i.premium_rcv_detail_code))+1
from ins_premium_det i),'2183','2183','02', '11000003','00','Request by Mr. Omair Ali 30-Apr-2025');</v>
      </c>
      <c r="H1483" s="25" t="str">
        <f t="shared" si="95"/>
        <v>insert into ins_premium_det (premium_rcv_code,assorted_code, rec_amount,premium_rcv_detail_code,remaining_amt, payrec, mode_code,coinsurance_code,class_cd,it_remarks) values('29Apr250042','050000836153','2183',(select max(to_number(i.premium_rcv_detail_code))+1
from ins_premium_det i),'2183','2183','02', '11000003','00','Request by Mr. Omair Ali 30-Apr-2025');</v>
      </c>
    </row>
    <row r="1484" spans="1:8" ht="105" x14ac:dyDescent="0.25">
      <c r="A1484" t="s">
        <v>1515</v>
      </c>
      <c r="B1484" s="1" t="str">
        <f>VLOOKUP(A1484,Sheet5!B:C,2,0)</f>
        <v>050000836157</v>
      </c>
      <c r="C1484" s="13">
        <v>1198</v>
      </c>
      <c r="D1484" s="22">
        <f t="shared" si="93"/>
        <v>1198</v>
      </c>
      <c r="E1484" s="21" t="s">
        <v>5912</v>
      </c>
      <c r="F1484" s="23" t="str">
        <f t="shared" si="92"/>
        <v>insert into ins_premium_det (premium_rcv_code,assorted_code, rec_amount,premium_rcv_detail_code,remaining_amt, payrec, mode_code,coinsurance_code,class_cd,it_remarks) values</v>
      </c>
      <c r="G1484" s="24" t="str">
        <f t="shared" si="94"/>
        <v>('29Apr250042','050000836157','1198',(select max(to_number(i.premium_rcv_detail_code))+1
from ins_premium_det i),'1198','1198','02', '11000003','00','Request by Mr. Omair Ali 30-Apr-2025');</v>
      </c>
      <c r="H1484" s="25" t="str">
        <f t="shared" si="95"/>
        <v>insert into ins_premium_det (premium_rcv_code,assorted_code, rec_amount,premium_rcv_detail_code,remaining_amt, payrec, mode_code,coinsurance_code,class_cd,it_remarks) values('29Apr250042','050000836157','1198',(select max(to_number(i.premium_rcv_detail_code))+1
from ins_premium_det i),'1198','1198','02', '11000003','00','Request by Mr. Omair Ali 30-Apr-2025');</v>
      </c>
    </row>
    <row r="1485" spans="1:8" ht="105" x14ac:dyDescent="0.25">
      <c r="A1485" t="s">
        <v>1601</v>
      </c>
      <c r="B1485" s="1" t="str">
        <f>VLOOKUP(A1485,Sheet5!B:C,2,0)</f>
        <v>050000836158</v>
      </c>
      <c r="C1485" s="13">
        <v>3739</v>
      </c>
      <c r="D1485" s="22">
        <f t="shared" si="93"/>
        <v>3739</v>
      </c>
      <c r="E1485" s="21" t="s">
        <v>5912</v>
      </c>
      <c r="F1485" s="23" t="str">
        <f t="shared" si="92"/>
        <v>insert into ins_premium_det (premium_rcv_code,assorted_code, rec_amount,premium_rcv_detail_code,remaining_amt, payrec, mode_code,coinsurance_code,class_cd,it_remarks) values</v>
      </c>
      <c r="G1485" s="24" t="str">
        <f t="shared" si="94"/>
        <v>('29Apr250042','050000836158','3739',(select max(to_number(i.premium_rcv_detail_code))+1
from ins_premium_det i),'3739','3739','02', '11000003','00','Request by Mr. Omair Ali 30-Apr-2025');</v>
      </c>
      <c r="H1485" s="25" t="str">
        <f t="shared" si="95"/>
        <v>insert into ins_premium_det (premium_rcv_code,assorted_code, rec_amount,premium_rcv_detail_code,remaining_amt, payrec, mode_code,coinsurance_code,class_cd,it_remarks) values('29Apr250042','050000836158','3739',(select max(to_number(i.premium_rcv_detail_code))+1
from ins_premium_det i),'3739','3739','02', '11000003','00','Request by Mr. Omair Ali 30-Apr-2025');</v>
      </c>
    </row>
    <row r="1486" spans="1:8" ht="105" x14ac:dyDescent="0.25">
      <c r="A1486" t="s">
        <v>1789</v>
      </c>
      <c r="B1486" s="1" t="str">
        <f>VLOOKUP(A1486,Sheet5!B:C,2,0)</f>
        <v>050000836159</v>
      </c>
      <c r="C1486" s="13">
        <v>551</v>
      </c>
      <c r="D1486" s="22">
        <f t="shared" si="93"/>
        <v>551</v>
      </c>
      <c r="E1486" s="21" t="s">
        <v>5912</v>
      </c>
      <c r="F1486" s="23" t="str">
        <f t="shared" si="92"/>
        <v>insert into ins_premium_det (premium_rcv_code,assorted_code, rec_amount,premium_rcv_detail_code,remaining_amt, payrec, mode_code,coinsurance_code,class_cd,it_remarks) values</v>
      </c>
      <c r="G1486" s="24" t="str">
        <f t="shared" si="94"/>
        <v>('29Apr250042','050000836159','551',(select max(to_number(i.premium_rcv_detail_code))+1
from ins_premium_det i),'551','551','02', '11000003','00','Request by Mr. Omair Ali 30-Apr-2025');</v>
      </c>
      <c r="H1486" s="25" t="str">
        <f t="shared" si="95"/>
        <v>insert into ins_premium_det (premium_rcv_code,assorted_code, rec_amount,premium_rcv_detail_code,remaining_amt, payrec, mode_code,coinsurance_code,class_cd,it_remarks) values('29Apr250042','050000836159','551',(select max(to_number(i.premium_rcv_detail_code))+1
from ins_premium_det i),'551','551','02', '11000003','00','Request by Mr. Omair Ali 30-Apr-2025');</v>
      </c>
    </row>
    <row r="1487" spans="1:8" ht="105" x14ac:dyDescent="0.25">
      <c r="A1487" t="s">
        <v>1924</v>
      </c>
      <c r="B1487" s="1" t="str">
        <f>VLOOKUP(A1487,Sheet5!B:C,2,0)</f>
        <v>050000836166</v>
      </c>
      <c r="C1487" s="13">
        <v>4509</v>
      </c>
      <c r="D1487" s="22">
        <f t="shared" si="93"/>
        <v>4509</v>
      </c>
      <c r="E1487" s="21" t="s">
        <v>5912</v>
      </c>
      <c r="F1487" s="23" t="str">
        <f t="shared" si="92"/>
        <v>insert into ins_premium_det (premium_rcv_code,assorted_code, rec_amount,premium_rcv_detail_code,remaining_amt, payrec, mode_code,coinsurance_code,class_cd,it_remarks) values</v>
      </c>
      <c r="G1487" s="24" t="str">
        <f t="shared" si="94"/>
        <v>('29Apr250042','050000836166','4509',(select max(to_number(i.premium_rcv_detail_code))+1
from ins_premium_det i),'4509','4509','02', '11000003','00','Request by Mr. Omair Ali 30-Apr-2025');</v>
      </c>
      <c r="H1487" s="25" t="str">
        <f t="shared" si="95"/>
        <v>insert into ins_premium_det (premium_rcv_code,assorted_code, rec_amount,premium_rcv_detail_code,remaining_amt, payrec, mode_code,coinsurance_code,class_cd,it_remarks) values('29Apr250042','050000836166','4509',(select max(to_number(i.premium_rcv_detail_code))+1
from ins_premium_det i),'4509','4509','02', '11000003','00','Request by Mr. Omair Ali 30-Apr-2025');</v>
      </c>
    </row>
    <row r="1488" spans="1:8" ht="105" x14ac:dyDescent="0.25">
      <c r="A1488" t="s">
        <v>594</v>
      </c>
      <c r="B1488" s="1" t="str">
        <f>VLOOKUP(A1488,Sheet5!B:C,2,0)</f>
        <v>050000836466</v>
      </c>
      <c r="C1488" s="13">
        <v>-6906</v>
      </c>
      <c r="D1488" s="22">
        <f t="shared" si="93"/>
        <v>-6906</v>
      </c>
      <c r="E1488" s="21" t="s">
        <v>5912</v>
      </c>
      <c r="F1488" s="23" t="str">
        <f t="shared" si="92"/>
        <v>insert into ins_premium_det (premium_rcv_code,assorted_code, rec_amount,premium_rcv_detail_code,remaining_amt, payrec, mode_code,coinsurance_code,class_cd,it_remarks) values</v>
      </c>
      <c r="G1488" s="24" t="str">
        <f t="shared" si="94"/>
        <v>('29Apr250042','050000836466','-6906',(select max(to_number(i.premium_rcv_detail_code))+1
from ins_premium_det i),'-6906','-6906','02', '11000003','00','Request by Mr. Omair Ali 30-Apr-2025');</v>
      </c>
      <c r="H1488" s="25" t="str">
        <f t="shared" si="95"/>
        <v>insert into ins_premium_det (premium_rcv_code,assorted_code, rec_amount,premium_rcv_detail_code,remaining_amt, payrec, mode_code,coinsurance_code,class_cd,it_remarks) values('29Apr250042','050000836466','-6906',(select max(to_number(i.premium_rcv_detail_code))+1
from ins_premium_det i),'-6906','-6906','02', '11000003','00','Request by Mr. Omair Ali 30-Apr-2025');</v>
      </c>
    </row>
    <row r="1489" spans="1:8" ht="105" x14ac:dyDescent="0.25">
      <c r="A1489" t="s">
        <v>1413</v>
      </c>
      <c r="B1489" s="1" t="str">
        <f>VLOOKUP(A1489,Sheet5!B:C,2,0)</f>
        <v>050000836620</v>
      </c>
      <c r="C1489" s="13">
        <v>4408</v>
      </c>
      <c r="D1489" s="22">
        <f t="shared" si="93"/>
        <v>4408</v>
      </c>
      <c r="E1489" s="21" t="s">
        <v>5912</v>
      </c>
      <c r="F1489" s="23" t="str">
        <f t="shared" si="92"/>
        <v>insert into ins_premium_det (premium_rcv_code,assorted_code, rec_amount,premium_rcv_detail_code,remaining_amt, payrec, mode_code,coinsurance_code,class_cd,it_remarks) values</v>
      </c>
      <c r="G1489" s="24" t="str">
        <f t="shared" si="94"/>
        <v>('29Apr250042','050000836620','4408',(select max(to_number(i.premium_rcv_detail_code))+1
from ins_premium_det i),'4408','4408','02', '11000003','00','Request by Mr. Omair Ali 30-Apr-2025');</v>
      </c>
      <c r="H1489" s="25" t="str">
        <f t="shared" si="95"/>
        <v>insert into ins_premium_det (premium_rcv_code,assorted_code, rec_amount,premium_rcv_detail_code,remaining_amt, payrec, mode_code,coinsurance_code,class_cd,it_remarks) values('29Apr250042','050000836620','4408',(select max(to_number(i.premium_rcv_detail_code))+1
from ins_premium_det i),'4408','4408','02', '11000003','00','Request by Mr. Omair Ali 30-Apr-2025');</v>
      </c>
    </row>
    <row r="1490" spans="1:8" ht="105" x14ac:dyDescent="0.25">
      <c r="A1490" t="s">
        <v>1500</v>
      </c>
      <c r="B1490" s="1" t="str">
        <f>VLOOKUP(A1490,Sheet5!B:C,2,0)</f>
        <v>050000836623</v>
      </c>
      <c r="C1490" s="13">
        <v>429</v>
      </c>
      <c r="D1490" s="22">
        <f t="shared" si="93"/>
        <v>429</v>
      </c>
      <c r="E1490" s="21" t="s">
        <v>5912</v>
      </c>
      <c r="F1490" s="23" t="str">
        <f t="shared" si="92"/>
        <v>insert into ins_premium_det (premium_rcv_code,assorted_code, rec_amount,premium_rcv_detail_code,remaining_amt, payrec, mode_code,coinsurance_code,class_cd,it_remarks) values</v>
      </c>
      <c r="G1490" s="24" t="str">
        <f t="shared" si="94"/>
        <v>('29Apr250042','050000836623','429',(select max(to_number(i.premium_rcv_detail_code))+1
from ins_premium_det i),'429','429','02', '11000003','00','Request by Mr. Omair Ali 30-Apr-2025');</v>
      </c>
      <c r="H1490" s="25" t="str">
        <f t="shared" si="95"/>
        <v>insert into ins_premium_det (premium_rcv_code,assorted_code, rec_amount,premium_rcv_detail_code,remaining_amt, payrec, mode_code,coinsurance_code,class_cd,it_remarks) values('29Apr250042','050000836623','429',(select max(to_number(i.premium_rcv_detail_code))+1
from ins_premium_det i),'429','429','02', '11000003','00','Request by Mr. Omair Ali 30-Apr-2025');</v>
      </c>
    </row>
    <row r="1491" spans="1:8" ht="105" x14ac:dyDescent="0.25">
      <c r="A1491" t="s">
        <v>1510</v>
      </c>
      <c r="B1491" s="1" t="str">
        <f>VLOOKUP(A1491,Sheet5!B:C,2,0)</f>
        <v>050000836624</v>
      </c>
      <c r="C1491" s="13">
        <v>8064</v>
      </c>
      <c r="D1491" s="22">
        <f t="shared" si="93"/>
        <v>8064</v>
      </c>
      <c r="E1491" s="21" t="s">
        <v>5912</v>
      </c>
      <c r="F1491" s="23" t="str">
        <f t="shared" si="92"/>
        <v>insert into ins_premium_det (premium_rcv_code,assorted_code, rec_amount,premium_rcv_detail_code,remaining_amt, payrec, mode_code,coinsurance_code,class_cd,it_remarks) values</v>
      </c>
      <c r="G1491" s="24" t="str">
        <f t="shared" si="94"/>
        <v>('29Apr250042','050000836624','8064',(select max(to_number(i.premium_rcv_detail_code))+1
from ins_premium_det i),'8064','8064','02', '11000003','00','Request by Mr. Omair Ali 30-Apr-2025');</v>
      </c>
      <c r="H1491" s="25" t="str">
        <f t="shared" si="95"/>
        <v>insert into ins_premium_det (premium_rcv_code,assorted_code, rec_amount,premium_rcv_detail_code,remaining_amt, payrec, mode_code,coinsurance_code,class_cd,it_remarks) values('29Apr250042','050000836624','8064',(select max(to_number(i.premium_rcv_detail_code))+1
from ins_premium_det i),'8064','8064','02', '11000003','00','Request by Mr. Omair Ali 30-Apr-2025');</v>
      </c>
    </row>
    <row r="1492" spans="1:8" ht="105" x14ac:dyDescent="0.25">
      <c r="A1492" t="s">
        <v>1793</v>
      </c>
      <c r="B1492" s="1" t="str">
        <f>VLOOKUP(A1492,Sheet5!B:C,2,0)</f>
        <v>050000836630</v>
      </c>
      <c r="C1492" s="13">
        <v>8341</v>
      </c>
      <c r="D1492" s="22">
        <f t="shared" si="93"/>
        <v>8341</v>
      </c>
      <c r="E1492" s="21" t="s">
        <v>5912</v>
      </c>
      <c r="F1492" s="23" t="str">
        <f t="shared" si="92"/>
        <v>insert into ins_premium_det (premium_rcv_code,assorted_code, rec_amount,premium_rcv_detail_code,remaining_amt, payrec, mode_code,coinsurance_code,class_cd,it_remarks) values</v>
      </c>
      <c r="G1492" s="24" t="str">
        <f t="shared" si="94"/>
        <v>('29Apr250042','050000836630','8341',(select max(to_number(i.premium_rcv_detail_code))+1
from ins_premium_det i),'8341','8341','02', '11000003','00','Request by Mr. Omair Ali 30-Apr-2025');</v>
      </c>
      <c r="H1492" s="25" t="str">
        <f t="shared" si="95"/>
        <v>insert into ins_premium_det (premium_rcv_code,assorted_code, rec_amount,premium_rcv_detail_code,remaining_amt, payrec, mode_code,coinsurance_code,class_cd,it_remarks) values('29Apr250042','050000836630','8341',(select max(to_number(i.premium_rcv_detail_code))+1
from ins_premium_det i),'8341','8341','02', '11000003','00','Request by Mr. Omair Ali 30-Apr-2025');</v>
      </c>
    </row>
    <row r="1493" spans="1:8" ht="105" x14ac:dyDescent="0.25">
      <c r="A1493" t="s">
        <v>5</v>
      </c>
      <c r="B1493" s="1" t="str">
        <f>VLOOKUP(A1493,Sheet5!B:C,2,0)</f>
        <v>050000836635</v>
      </c>
      <c r="C1493" s="13">
        <v>14614</v>
      </c>
      <c r="D1493" s="22">
        <f t="shared" si="93"/>
        <v>14614</v>
      </c>
      <c r="E1493" s="21" t="s">
        <v>5912</v>
      </c>
      <c r="F1493" s="23" t="str">
        <f t="shared" si="92"/>
        <v>insert into ins_premium_det (premium_rcv_code,assorted_code, rec_amount,premium_rcv_detail_code,remaining_amt, payrec, mode_code,coinsurance_code,class_cd,it_remarks) values</v>
      </c>
      <c r="G1493" s="24" t="str">
        <f t="shared" si="94"/>
        <v>('29Apr250042','050000836635','14614',(select max(to_number(i.premium_rcv_detail_code))+1
from ins_premium_det i),'14614','14614','02', '11000003','00','Request by Mr. Omair Ali 30-Apr-2025');</v>
      </c>
      <c r="H1493" s="25" t="str">
        <f t="shared" si="95"/>
        <v>insert into ins_premium_det (premium_rcv_code,assorted_code, rec_amount,premium_rcv_detail_code,remaining_amt, payrec, mode_code,coinsurance_code,class_cd,it_remarks) values('29Apr250042','050000836635','14614',(select max(to_number(i.premium_rcv_detail_code))+1
from ins_premium_det i),'14614','14614','02', '11000003','00','Request by Mr. Omair Ali 30-Apr-2025');</v>
      </c>
    </row>
    <row r="1494" spans="1:8" ht="105" x14ac:dyDescent="0.25">
      <c r="A1494" t="s">
        <v>1615</v>
      </c>
      <c r="B1494" s="1" t="str">
        <f>VLOOKUP(A1494,Sheet5!B:C,2,0)</f>
        <v>050000836690</v>
      </c>
      <c r="C1494" s="13">
        <v>3962</v>
      </c>
      <c r="D1494" s="22">
        <f t="shared" si="93"/>
        <v>3962</v>
      </c>
      <c r="E1494" s="21" t="s">
        <v>5912</v>
      </c>
      <c r="F1494" s="23" t="str">
        <f t="shared" si="92"/>
        <v>insert into ins_premium_det (premium_rcv_code,assorted_code, rec_amount,premium_rcv_detail_code,remaining_amt, payrec, mode_code,coinsurance_code,class_cd,it_remarks) values</v>
      </c>
      <c r="G1494" s="24" t="str">
        <f t="shared" si="94"/>
        <v>('29Apr250042','050000836690','3962',(select max(to_number(i.premium_rcv_detail_code))+1
from ins_premium_det i),'3962','3962','02', '11000003','00','Request by Mr. Omair Ali 30-Apr-2025');</v>
      </c>
      <c r="H1494" s="25" t="str">
        <f t="shared" si="95"/>
        <v>insert into ins_premium_det (premium_rcv_code,assorted_code, rec_amount,premium_rcv_detail_code,remaining_amt, payrec, mode_code,coinsurance_code,class_cd,it_remarks) values('29Apr250042','050000836690','3962',(select max(to_number(i.premium_rcv_detail_code))+1
from ins_premium_det i),'3962','3962','02', '11000003','00','Request by Mr. Omair Ali 30-Apr-2025');</v>
      </c>
    </row>
    <row r="1495" spans="1:8" ht="105" x14ac:dyDescent="0.25">
      <c r="A1495" t="s">
        <v>30</v>
      </c>
      <c r="B1495" s="1" t="str">
        <f>VLOOKUP(A1495,Sheet5!B:C,2,0)</f>
        <v>050000836704</v>
      </c>
      <c r="C1495" s="13">
        <v>-2583</v>
      </c>
      <c r="D1495" s="22">
        <f t="shared" si="93"/>
        <v>-2583</v>
      </c>
      <c r="E1495" s="21" t="s">
        <v>5912</v>
      </c>
      <c r="F1495" s="23" t="str">
        <f t="shared" si="92"/>
        <v>insert into ins_premium_det (premium_rcv_code,assorted_code, rec_amount,premium_rcv_detail_code,remaining_amt, payrec, mode_code,coinsurance_code,class_cd,it_remarks) values</v>
      </c>
      <c r="G1495" s="24" t="str">
        <f t="shared" si="94"/>
        <v>('29Apr250042','050000836704','-2583',(select max(to_number(i.premium_rcv_detail_code))+1
from ins_premium_det i),'-2583','-2583','02', '11000003','00','Request by Mr. Omair Ali 30-Apr-2025');</v>
      </c>
      <c r="H1495" s="25" t="str">
        <f t="shared" si="95"/>
        <v>insert into ins_premium_det (premium_rcv_code,assorted_code, rec_amount,premium_rcv_detail_code,remaining_amt, payrec, mode_code,coinsurance_code,class_cd,it_remarks) values('29Apr250042','050000836704','-2583',(select max(to_number(i.premium_rcv_detail_code))+1
from ins_premium_det i),'-2583','-2583','02', '11000003','00','Request by Mr. Omair Ali 30-Apr-2025');</v>
      </c>
    </row>
    <row r="1496" spans="1:8" ht="105" x14ac:dyDescent="0.25">
      <c r="A1496" t="s">
        <v>34</v>
      </c>
      <c r="B1496" s="1" t="str">
        <f>VLOOKUP(A1496,Sheet5!B:C,2,0)</f>
        <v>050000836705</v>
      </c>
      <c r="C1496" s="13">
        <v>-993</v>
      </c>
      <c r="D1496" s="22">
        <f t="shared" si="93"/>
        <v>-993</v>
      </c>
      <c r="E1496" s="21" t="s">
        <v>5912</v>
      </c>
      <c r="F1496" s="23" t="str">
        <f t="shared" si="92"/>
        <v>insert into ins_premium_det (premium_rcv_code,assorted_code, rec_amount,premium_rcv_detail_code,remaining_amt, payrec, mode_code,coinsurance_code,class_cd,it_remarks) values</v>
      </c>
      <c r="G1496" s="24" t="str">
        <f t="shared" si="94"/>
        <v>('29Apr250042','050000836705','-993',(select max(to_number(i.premium_rcv_detail_code))+1
from ins_premium_det i),'-993','-993','02', '11000003','00','Request by Mr. Omair Ali 30-Apr-2025');</v>
      </c>
      <c r="H1496" s="25" t="str">
        <f t="shared" si="95"/>
        <v>insert into ins_premium_det (premium_rcv_code,assorted_code, rec_amount,premium_rcv_detail_code,remaining_amt, payrec, mode_code,coinsurance_code,class_cd,it_remarks) values('29Apr250042','050000836705','-993',(select max(to_number(i.premium_rcv_detail_code))+1
from ins_premium_det i),'-993','-993','02', '11000003','00','Request by Mr. Omair Ali 30-Apr-2025');</v>
      </c>
    </row>
    <row r="1497" spans="1:8" ht="105" x14ac:dyDescent="0.25">
      <c r="A1497" t="s">
        <v>99</v>
      </c>
      <c r="B1497" s="1" t="str">
        <f>VLOOKUP(A1497,Sheet5!B:C,2,0)</f>
        <v>050000836706</v>
      </c>
      <c r="C1497" s="13">
        <v>-10185</v>
      </c>
      <c r="D1497" s="22">
        <f t="shared" si="93"/>
        <v>-10185</v>
      </c>
      <c r="E1497" s="21" t="s">
        <v>5912</v>
      </c>
      <c r="F1497" s="23" t="str">
        <f t="shared" si="92"/>
        <v>insert into ins_premium_det (premium_rcv_code,assorted_code, rec_amount,premium_rcv_detail_code,remaining_amt, payrec, mode_code,coinsurance_code,class_cd,it_remarks) values</v>
      </c>
      <c r="G1497" s="24" t="str">
        <f t="shared" si="94"/>
        <v>('29Apr250042','050000836706','-10185',(select max(to_number(i.premium_rcv_detail_code))+1
from ins_premium_det i),'-10185','-10185','02', '11000003','00','Request by Mr. Omair Ali 30-Apr-2025');</v>
      </c>
      <c r="H1497" s="25" t="str">
        <f t="shared" si="95"/>
        <v>insert into ins_premium_det (premium_rcv_code,assorted_code, rec_amount,premium_rcv_detail_code,remaining_amt, payrec, mode_code,coinsurance_code,class_cd,it_remarks) values('29Apr250042','050000836706','-10185',(select max(to_number(i.premium_rcv_detail_code))+1
from ins_premium_det i),'-10185','-10185','02', '11000003','00','Request by Mr. Omair Ali 30-Apr-2025');</v>
      </c>
    </row>
    <row r="1498" spans="1:8" ht="105" x14ac:dyDescent="0.25">
      <c r="A1498" t="s">
        <v>121</v>
      </c>
      <c r="B1498" s="1" t="str">
        <f>VLOOKUP(A1498,Sheet5!B:C,2,0)</f>
        <v>050000836707</v>
      </c>
      <c r="C1498" s="13">
        <v>-30884</v>
      </c>
      <c r="D1498" s="22">
        <f t="shared" si="93"/>
        <v>-30884</v>
      </c>
      <c r="E1498" s="21" t="s">
        <v>5912</v>
      </c>
      <c r="F1498" s="23" t="str">
        <f t="shared" si="92"/>
        <v>insert into ins_premium_det (premium_rcv_code,assorted_code, rec_amount,premium_rcv_detail_code,remaining_amt, payrec, mode_code,coinsurance_code,class_cd,it_remarks) values</v>
      </c>
      <c r="G1498" s="24" t="str">
        <f t="shared" si="94"/>
        <v>('29Apr250042','050000836707','-30884',(select max(to_number(i.premium_rcv_detail_code))+1
from ins_premium_det i),'-30884','-30884','02', '11000003','00','Request by Mr. Omair Ali 30-Apr-2025');</v>
      </c>
      <c r="H1498" s="25" t="str">
        <f t="shared" si="95"/>
        <v>insert into ins_premium_det (premium_rcv_code,assorted_code, rec_amount,premium_rcv_detail_code,remaining_amt, payrec, mode_code,coinsurance_code,class_cd,it_remarks) values('29Apr250042','050000836707','-30884',(select max(to_number(i.premium_rcv_detail_code))+1
from ins_premium_det i),'-30884','-30884','02', '11000003','00','Request by Mr. Omair Ali 30-Apr-2025');</v>
      </c>
    </row>
    <row r="1499" spans="1:8" ht="105" x14ac:dyDescent="0.25">
      <c r="A1499" t="s">
        <v>133</v>
      </c>
      <c r="B1499" s="1" t="str">
        <f>VLOOKUP(A1499,Sheet5!B:C,2,0)</f>
        <v>050000836708</v>
      </c>
      <c r="C1499" s="13">
        <v>-1172</v>
      </c>
      <c r="D1499" s="22">
        <f t="shared" si="93"/>
        <v>-1172</v>
      </c>
      <c r="E1499" s="21" t="s">
        <v>5912</v>
      </c>
      <c r="F1499" s="23" t="str">
        <f t="shared" si="92"/>
        <v>insert into ins_premium_det (premium_rcv_code,assorted_code, rec_amount,premium_rcv_detail_code,remaining_amt, payrec, mode_code,coinsurance_code,class_cd,it_remarks) values</v>
      </c>
      <c r="G1499" s="24" t="str">
        <f t="shared" si="94"/>
        <v>('29Apr250042','050000836708','-1172',(select max(to_number(i.premium_rcv_detail_code))+1
from ins_premium_det i),'-1172','-1172','02', '11000003','00','Request by Mr. Omair Ali 30-Apr-2025');</v>
      </c>
      <c r="H1499" s="25" t="str">
        <f t="shared" si="95"/>
        <v>insert into ins_premium_det (premium_rcv_code,assorted_code, rec_amount,premium_rcv_detail_code,remaining_amt, payrec, mode_code,coinsurance_code,class_cd,it_remarks) values('29Apr250042','050000836708','-1172',(select max(to_number(i.premium_rcv_detail_code))+1
from ins_premium_det i),'-1172','-1172','02', '11000003','00','Request by Mr. Omair Ali 30-Apr-2025');</v>
      </c>
    </row>
    <row r="1500" spans="1:8" ht="105" x14ac:dyDescent="0.25">
      <c r="A1500" t="s">
        <v>136</v>
      </c>
      <c r="B1500" s="1" t="str">
        <f>VLOOKUP(A1500,Sheet5!B:C,2,0)</f>
        <v>050000836709</v>
      </c>
      <c r="C1500" s="13">
        <v>-657</v>
      </c>
      <c r="D1500" s="22">
        <f t="shared" si="93"/>
        <v>-657</v>
      </c>
      <c r="E1500" s="21" t="s">
        <v>5912</v>
      </c>
      <c r="F1500" s="23" t="str">
        <f t="shared" si="92"/>
        <v>insert into ins_premium_det (premium_rcv_code,assorted_code, rec_amount,premium_rcv_detail_code,remaining_amt, payrec, mode_code,coinsurance_code,class_cd,it_remarks) values</v>
      </c>
      <c r="G1500" s="24" t="str">
        <f t="shared" si="94"/>
        <v>('29Apr250042','050000836709','-657',(select max(to_number(i.premium_rcv_detail_code))+1
from ins_premium_det i),'-657','-657','02', '11000003','00','Request by Mr. Omair Ali 30-Apr-2025');</v>
      </c>
      <c r="H1500" s="25" t="str">
        <f t="shared" si="95"/>
        <v>insert into ins_premium_det (premium_rcv_code,assorted_code, rec_amount,premium_rcv_detail_code,remaining_amt, payrec, mode_code,coinsurance_code,class_cd,it_remarks) values('29Apr250042','050000836709','-657',(select max(to_number(i.premium_rcv_detail_code))+1
from ins_premium_det i),'-657','-657','02', '11000003','00','Request by Mr. Omair Ali 30-Apr-2025');</v>
      </c>
    </row>
    <row r="1501" spans="1:8" ht="105" x14ac:dyDescent="0.25">
      <c r="A1501" t="s">
        <v>147</v>
      </c>
      <c r="B1501" s="1" t="str">
        <f>VLOOKUP(A1501,Sheet5!B:C,2,0)</f>
        <v>050000836710</v>
      </c>
      <c r="C1501" s="13">
        <v>-9696</v>
      </c>
      <c r="D1501" s="22">
        <f t="shared" si="93"/>
        <v>-9696</v>
      </c>
      <c r="E1501" s="21" t="s">
        <v>5912</v>
      </c>
      <c r="F1501" s="23" t="str">
        <f t="shared" si="92"/>
        <v>insert into ins_premium_det (premium_rcv_code,assorted_code, rec_amount,premium_rcv_detail_code,remaining_amt, payrec, mode_code,coinsurance_code,class_cd,it_remarks) values</v>
      </c>
      <c r="G1501" s="24" t="str">
        <f t="shared" si="94"/>
        <v>('29Apr250042','050000836710','-9696',(select max(to_number(i.premium_rcv_detail_code))+1
from ins_premium_det i),'-9696','-9696','02', '11000003','00','Request by Mr. Omair Ali 30-Apr-2025');</v>
      </c>
      <c r="H1501" s="25" t="str">
        <f t="shared" si="95"/>
        <v>insert into ins_premium_det (premium_rcv_code,assorted_code, rec_amount,premium_rcv_detail_code,remaining_amt, payrec, mode_code,coinsurance_code,class_cd,it_remarks) values('29Apr250042','050000836710','-9696',(select max(to_number(i.premium_rcv_detail_code))+1
from ins_premium_det i),'-9696','-9696','02', '11000003','00','Request by Mr. Omair Ali 30-Apr-2025');</v>
      </c>
    </row>
    <row r="1502" spans="1:8" ht="105" x14ac:dyDescent="0.25">
      <c r="A1502" t="s">
        <v>184</v>
      </c>
      <c r="B1502" s="1" t="str">
        <f>VLOOKUP(A1502,Sheet5!B:C,2,0)</f>
        <v>050000836711</v>
      </c>
      <c r="C1502" s="13">
        <v>-5915</v>
      </c>
      <c r="D1502" s="22">
        <f t="shared" si="93"/>
        <v>-5915</v>
      </c>
      <c r="E1502" s="21" t="s">
        <v>5912</v>
      </c>
      <c r="F1502" s="23" t="str">
        <f t="shared" si="92"/>
        <v>insert into ins_premium_det (premium_rcv_code,assorted_code, rec_amount,premium_rcv_detail_code,remaining_amt, payrec, mode_code,coinsurance_code,class_cd,it_remarks) values</v>
      </c>
      <c r="G1502" s="24" t="str">
        <f t="shared" si="94"/>
        <v>('29Apr250042','050000836711','-5915',(select max(to_number(i.premium_rcv_detail_code))+1
from ins_premium_det i),'-5915','-5915','02', '11000003','00','Request by Mr. Omair Ali 30-Apr-2025');</v>
      </c>
      <c r="H1502" s="25" t="str">
        <f t="shared" si="95"/>
        <v>insert into ins_premium_det (premium_rcv_code,assorted_code, rec_amount,premium_rcv_detail_code,remaining_amt, payrec, mode_code,coinsurance_code,class_cd,it_remarks) values('29Apr250042','050000836711','-5915',(select max(to_number(i.premium_rcv_detail_code))+1
from ins_premium_det i),'-5915','-5915','02', '11000003','00','Request by Mr. Omair Ali 30-Apr-2025');</v>
      </c>
    </row>
    <row r="1503" spans="1:8" ht="105" x14ac:dyDescent="0.25">
      <c r="A1503" t="s">
        <v>192</v>
      </c>
      <c r="B1503" s="1" t="str">
        <f>VLOOKUP(A1503,Sheet5!B:C,2,0)</f>
        <v>050000836712</v>
      </c>
      <c r="C1503" s="13">
        <v>-1482</v>
      </c>
      <c r="D1503" s="22">
        <f t="shared" si="93"/>
        <v>-1482</v>
      </c>
      <c r="E1503" s="21" t="s">
        <v>5912</v>
      </c>
      <c r="F1503" s="23" t="str">
        <f t="shared" si="92"/>
        <v>insert into ins_premium_det (premium_rcv_code,assorted_code, rec_amount,premium_rcv_detail_code,remaining_amt, payrec, mode_code,coinsurance_code,class_cd,it_remarks) values</v>
      </c>
      <c r="G1503" s="24" t="str">
        <f t="shared" si="94"/>
        <v>('29Apr250042','050000836712','-1482',(select max(to_number(i.premium_rcv_detail_code))+1
from ins_premium_det i),'-1482','-1482','02', '11000003','00','Request by Mr. Omair Ali 30-Apr-2025');</v>
      </c>
      <c r="H1503" s="25" t="str">
        <f t="shared" si="95"/>
        <v>insert into ins_premium_det (premium_rcv_code,assorted_code, rec_amount,premium_rcv_detail_code,remaining_amt, payrec, mode_code,coinsurance_code,class_cd,it_remarks) values('29Apr250042','050000836712','-1482',(select max(to_number(i.premium_rcv_detail_code))+1
from ins_premium_det i),'-1482','-1482','02', '11000003','00','Request by Mr. Omair Ali 30-Apr-2025');</v>
      </c>
    </row>
    <row r="1504" spans="1:8" ht="105" x14ac:dyDescent="0.25">
      <c r="A1504" t="s">
        <v>196</v>
      </c>
      <c r="B1504" s="1" t="str">
        <f>VLOOKUP(A1504,Sheet5!B:C,2,0)</f>
        <v>050000836713</v>
      </c>
      <c r="C1504" s="13">
        <v>-3003</v>
      </c>
      <c r="D1504" s="22">
        <f t="shared" si="93"/>
        <v>-3003</v>
      </c>
      <c r="E1504" s="21" t="s">
        <v>5912</v>
      </c>
      <c r="F1504" s="23" t="str">
        <f t="shared" si="92"/>
        <v>insert into ins_premium_det (premium_rcv_code,assorted_code, rec_amount,premium_rcv_detail_code,remaining_amt, payrec, mode_code,coinsurance_code,class_cd,it_remarks) values</v>
      </c>
      <c r="G1504" s="24" t="str">
        <f t="shared" si="94"/>
        <v>('29Apr250042','050000836713','-3003',(select max(to_number(i.premium_rcv_detail_code))+1
from ins_premium_det i),'-3003','-3003','02', '11000003','00','Request by Mr. Omair Ali 30-Apr-2025');</v>
      </c>
      <c r="H1504" s="25" t="str">
        <f t="shared" si="95"/>
        <v>insert into ins_premium_det (premium_rcv_code,assorted_code, rec_amount,premium_rcv_detail_code,remaining_amt, payrec, mode_code,coinsurance_code,class_cd,it_remarks) values('29Apr250042','050000836713','-3003',(select max(to_number(i.premium_rcv_detail_code))+1
from ins_premium_det i),'-3003','-3003','02', '11000003','00','Request by Mr. Omair Ali 30-Apr-2025');</v>
      </c>
    </row>
    <row r="1505" spans="1:8" ht="105" x14ac:dyDescent="0.25">
      <c r="A1505" t="s">
        <v>204</v>
      </c>
      <c r="B1505" s="1" t="str">
        <f>VLOOKUP(A1505,Sheet5!B:C,2,0)</f>
        <v>050000836714</v>
      </c>
      <c r="C1505" s="13">
        <v>-3915</v>
      </c>
      <c r="D1505" s="22">
        <f t="shared" si="93"/>
        <v>-3915</v>
      </c>
      <c r="E1505" s="21" t="s">
        <v>5912</v>
      </c>
      <c r="F1505" s="23" t="str">
        <f t="shared" si="92"/>
        <v>insert into ins_premium_det (premium_rcv_code,assorted_code, rec_amount,premium_rcv_detail_code,remaining_amt, payrec, mode_code,coinsurance_code,class_cd,it_remarks) values</v>
      </c>
      <c r="G1505" s="24" t="str">
        <f t="shared" si="94"/>
        <v>('29Apr250042','050000836714','-3915',(select max(to_number(i.premium_rcv_detail_code))+1
from ins_premium_det i),'-3915','-3915','02', '11000003','00','Request by Mr. Omair Ali 30-Apr-2025');</v>
      </c>
      <c r="H1505" s="25" t="str">
        <f t="shared" si="95"/>
        <v>insert into ins_premium_det (premium_rcv_code,assorted_code, rec_amount,premium_rcv_detail_code,remaining_amt, payrec, mode_code,coinsurance_code,class_cd,it_remarks) values('29Apr250042','050000836714','-3915',(select max(to_number(i.premium_rcv_detail_code))+1
from ins_premium_det i),'-3915','-3915','02', '11000003','00','Request by Mr. Omair Ali 30-Apr-2025');</v>
      </c>
    </row>
    <row r="1506" spans="1:8" ht="105" x14ac:dyDescent="0.25">
      <c r="A1506" t="s">
        <v>246</v>
      </c>
      <c r="B1506" s="1" t="str">
        <f>VLOOKUP(A1506,Sheet5!B:C,2,0)</f>
        <v>050000836715</v>
      </c>
      <c r="C1506" s="13">
        <v>-1184</v>
      </c>
      <c r="D1506" s="22">
        <f t="shared" si="93"/>
        <v>-1184</v>
      </c>
      <c r="E1506" s="21" t="s">
        <v>5912</v>
      </c>
      <c r="F1506" s="23" t="str">
        <f t="shared" si="92"/>
        <v>insert into ins_premium_det (premium_rcv_code,assorted_code, rec_amount,premium_rcv_detail_code,remaining_amt, payrec, mode_code,coinsurance_code,class_cd,it_remarks) values</v>
      </c>
      <c r="G1506" s="24" t="str">
        <f t="shared" si="94"/>
        <v>('29Apr250042','050000836715','-1184',(select max(to_number(i.premium_rcv_detail_code))+1
from ins_premium_det i),'-1184','-1184','02', '11000003','00','Request by Mr. Omair Ali 30-Apr-2025');</v>
      </c>
      <c r="H1506" s="25" t="str">
        <f t="shared" si="95"/>
        <v>insert into ins_premium_det (premium_rcv_code,assorted_code, rec_amount,premium_rcv_detail_code,remaining_amt, payrec, mode_code,coinsurance_code,class_cd,it_remarks) values('29Apr250042','050000836715','-1184',(select max(to_number(i.premium_rcv_detail_code))+1
from ins_premium_det i),'-1184','-1184','02', '11000003','00','Request by Mr. Omair Ali 30-Apr-2025');</v>
      </c>
    </row>
    <row r="1507" spans="1:8" ht="105" x14ac:dyDescent="0.25">
      <c r="A1507" t="s">
        <v>250</v>
      </c>
      <c r="B1507" s="1" t="str">
        <f>VLOOKUP(A1507,Sheet5!B:C,2,0)</f>
        <v>050000836716</v>
      </c>
      <c r="C1507" s="13">
        <v>-1381</v>
      </c>
      <c r="D1507" s="22">
        <f t="shared" si="93"/>
        <v>-1381</v>
      </c>
      <c r="E1507" s="21" t="s">
        <v>5912</v>
      </c>
      <c r="F1507" s="23" t="str">
        <f t="shared" si="92"/>
        <v>insert into ins_premium_det (premium_rcv_code,assorted_code, rec_amount,premium_rcv_detail_code,remaining_amt, payrec, mode_code,coinsurance_code,class_cd,it_remarks) values</v>
      </c>
      <c r="G1507" s="24" t="str">
        <f t="shared" si="94"/>
        <v>('29Apr250042','050000836716','-1381',(select max(to_number(i.premium_rcv_detail_code))+1
from ins_premium_det i),'-1381','-1381','02', '11000003','00','Request by Mr. Omair Ali 30-Apr-2025');</v>
      </c>
      <c r="H1507" s="25" t="str">
        <f t="shared" si="95"/>
        <v>insert into ins_premium_det (premium_rcv_code,assorted_code, rec_amount,premium_rcv_detail_code,remaining_amt, payrec, mode_code,coinsurance_code,class_cd,it_remarks) values('29Apr250042','050000836716','-1381',(select max(to_number(i.premium_rcv_detail_code))+1
from ins_premium_det i),'-1381','-1381','02', '11000003','00','Request by Mr. Omair Ali 30-Apr-2025');</v>
      </c>
    </row>
    <row r="1508" spans="1:8" ht="105" x14ac:dyDescent="0.25">
      <c r="A1508" t="s">
        <v>261</v>
      </c>
      <c r="B1508" s="1" t="str">
        <f>VLOOKUP(A1508,Sheet5!B:C,2,0)</f>
        <v>050000836717</v>
      </c>
      <c r="C1508" s="13">
        <v>-920</v>
      </c>
      <c r="D1508" s="22">
        <f t="shared" si="93"/>
        <v>-920</v>
      </c>
      <c r="E1508" s="21" t="s">
        <v>5912</v>
      </c>
      <c r="F1508" s="23" t="str">
        <f t="shared" si="92"/>
        <v>insert into ins_premium_det (premium_rcv_code,assorted_code, rec_amount,premium_rcv_detail_code,remaining_amt, payrec, mode_code,coinsurance_code,class_cd,it_remarks) values</v>
      </c>
      <c r="G1508" s="24" t="str">
        <f t="shared" si="94"/>
        <v>('29Apr250042','050000836717','-920',(select max(to_number(i.premium_rcv_detail_code))+1
from ins_premium_det i),'-920','-920','02', '11000003','00','Request by Mr. Omair Ali 30-Apr-2025');</v>
      </c>
      <c r="H1508" s="25" t="str">
        <f t="shared" si="95"/>
        <v>insert into ins_premium_det (premium_rcv_code,assorted_code, rec_amount,premium_rcv_detail_code,remaining_amt, payrec, mode_code,coinsurance_code,class_cd,it_remarks) values('29Apr250042','050000836717','-920',(select max(to_number(i.premium_rcv_detail_code))+1
from ins_premium_det i),'-920','-920','02', '11000003','00','Request by Mr. Omair Ali 30-Apr-2025');</v>
      </c>
    </row>
    <row r="1509" spans="1:8" ht="105" x14ac:dyDescent="0.25">
      <c r="A1509" t="s">
        <v>267</v>
      </c>
      <c r="B1509" s="1" t="str">
        <f>VLOOKUP(A1509,Sheet5!B:C,2,0)</f>
        <v>050000836718</v>
      </c>
      <c r="C1509" s="13">
        <v>-9254</v>
      </c>
      <c r="D1509" s="22">
        <f t="shared" si="93"/>
        <v>-9254</v>
      </c>
      <c r="E1509" s="21" t="s">
        <v>5912</v>
      </c>
      <c r="F1509" s="23" t="str">
        <f t="shared" si="92"/>
        <v>insert into ins_premium_det (premium_rcv_code,assorted_code, rec_amount,premium_rcv_detail_code,remaining_amt, payrec, mode_code,coinsurance_code,class_cd,it_remarks) values</v>
      </c>
      <c r="G1509" s="24" t="str">
        <f t="shared" si="94"/>
        <v>('29Apr250042','050000836718','-9254',(select max(to_number(i.premium_rcv_detail_code))+1
from ins_premium_det i),'-9254','-9254','02', '11000003','00','Request by Mr. Omair Ali 30-Apr-2025');</v>
      </c>
      <c r="H1509" s="25" t="str">
        <f t="shared" si="95"/>
        <v>insert into ins_premium_det (premium_rcv_code,assorted_code, rec_amount,premium_rcv_detail_code,remaining_amt, payrec, mode_code,coinsurance_code,class_cd,it_remarks) values('29Apr250042','050000836718','-9254',(select max(to_number(i.premium_rcv_detail_code))+1
from ins_premium_det i),'-9254','-9254','02', '11000003','00','Request by Mr. Omair Ali 30-Apr-2025');</v>
      </c>
    </row>
    <row r="1510" spans="1:8" ht="105" x14ac:dyDescent="0.25">
      <c r="A1510" t="s">
        <v>295</v>
      </c>
      <c r="B1510" s="1" t="str">
        <f>VLOOKUP(A1510,Sheet5!B:C,2,0)</f>
        <v>050000836719</v>
      </c>
      <c r="C1510" s="13">
        <v>-1837</v>
      </c>
      <c r="D1510" s="22">
        <f t="shared" si="93"/>
        <v>-1837</v>
      </c>
      <c r="E1510" s="21" t="s">
        <v>5912</v>
      </c>
      <c r="F1510" s="23" t="str">
        <f t="shared" si="92"/>
        <v>insert into ins_premium_det (premium_rcv_code,assorted_code, rec_amount,premium_rcv_detail_code,remaining_amt, payrec, mode_code,coinsurance_code,class_cd,it_remarks) values</v>
      </c>
      <c r="G1510" s="24" t="str">
        <f t="shared" si="94"/>
        <v>('29Apr250042','050000836719','-1837',(select max(to_number(i.premium_rcv_detail_code))+1
from ins_premium_det i),'-1837','-1837','02', '11000003','00','Request by Mr. Omair Ali 30-Apr-2025');</v>
      </c>
      <c r="H1510" s="25" t="str">
        <f t="shared" si="95"/>
        <v>insert into ins_premium_det (premium_rcv_code,assorted_code, rec_amount,premium_rcv_detail_code,remaining_amt, payrec, mode_code,coinsurance_code,class_cd,it_remarks) values('29Apr250042','050000836719','-1837',(select max(to_number(i.premium_rcv_detail_code))+1
from ins_premium_det i),'-1837','-1837','02', '11000003','00','Request by Mr. Omair Ali 30-Apr-2025');</v>
      </c>
    </row>
    <row r="1511" spans="1:8" ht="105" x14ac:dyDescent="0.25">
      <c r="A1511" t="s">
        <v>298</v>
      </c>
      <c r="B1511" s="1" t="str">
        <f>VLOOKUP(A1511,Sheet5!B:C,2,0)</f>
        <v>050000836720</v>
      </c>
      <c r="C1511" s="13">
        <v>-4216</v>
      </c>
      <c r="D1511" s="22">
        <f t="shared" si="93"/>
        <v>-4216</v>
      </c>
      <c r="E1511" s="21" t="s">
        <v>5912</v>
      </c>
      <c r="F1511" s="23" t="str">
        <f t="shared" si="92"/>
        <v>insert into ins_premium_det (premium_rcv_code,assorted_code, rec_amount,premium_rcv_detail_code,remaining_amt, payrec, mode_code,coinsurance_code,class_cd,it_remarks) values</v>
      </c>
      <c r="G1511" s="24" t="str">
        <f t="shared" si="94"/>
        <v>('29Apr250042','050000836720','-4216',(select max(to_number(i.premium_rcv_detail_code))+1
from ins_premium_det i),'-4216','-4216','02', '11000003','00','Request by Mr. Omair Ali 30-Apr-2025');</v>
      </c>
      <c r="H1511" s="25" t="str">
        <f t="shared" si="95"/>
        <v>insert into ins_premium_det (premium_rcv_code,assorted_code, rec_amount,premium_rcv_detail_code,remaining_amt, payrec, mode_code,coinsurance_code,class_cd,it_remarks) values('29Apr250042','050000836720','-4216',(select max(to_number(i.premium_rcv_detail_code))+1
from ins_premium_det i),'-4216','-4216','02', '11000003','00','Request by Mr. Omair Ali 30-Apr-2025');</v>
      </c>
    </row>
    <row r="1512" spans="1:8" ht="105" x14ac:dyDescent="0.25">
      <c r="A1512" t="s">
        <v>310</v>
      </c>
      <c r="B1512" s="1" t="str">
        <f>VLOOKUP(A1512,Sheet5!B:C,2,0)</f>
        <v>050000836721</v>
      </c>
      <c r="C1512" s="13">
        <v>-644</v>
      </c>
      <c r="D1512" s="22">
        <f t="shared" si="93"/>
        <v>-644</v>
      </c>
      <c r="E1512" s="21" t="s">
        <v>5912</v>
      </c>
      <c r="F1512" s="23" t="str">
        <f t="shared" si="92"/>
        <v>insert into ins_premium_det (premium_rcv_code,assorted_code, rec_amount,premium_rcv_detail_code,remaining_amt, payrec, mode_code,coinsurance_code,class_cd,it_remarks) values</v>
      </c>
      <c r="G1512" s="24" t="str">
        <f t="shared" si="94"/>
        <v>('29Apr250042','050000836721','-644',(select max(to_number(i.premium_rcv_detail_code))+1
from ins_premium_det i),'-644','-644','02', '11000003','00','Request by Mr. Omair Ali 30-Apr-2025');</v>
      </c>
      <c r="H1512" s="25" t="str">
        <f t="shared" si="95"/>
        <v>insert into ins_premium_det (premium_rcv_code,assorted_code, rec_amount,premium_rcv_detail_code,remaining_amt, payrec, mode_code,coinsurance_code,class_cd,it_remarks) values('29Apr250042','050000836721','-644',(select max(to_number(i.premium_rcv_detail_code))+1
from ins_premium_det i),'-644','-644','02', '11000003','00','Request by Mr. Omair Ali 30-Apr-2025');</v>
      </c>
    </row>
    <row r="1513" spans="1:8" ht="105" x14ac:dyDescent="0.25">
      <c r="A1513" t="s">
        <v>331</v>
      </c>
      <c r="B1513" s="1" t="str">
        <f>VLOOKUP(A1513,Sheet5!B:C,2,0)</f>
        <v>050000836722</v>
      </c>
      <c r="C1513" s="13">
        <v>-580</v>
      </c>
      <c r="D1513" s="22">
        <f t="shared" si="93"/>
        <v>-580</v>
      </c>
      <c r="E1513" s="21" t="s">
        <v>5912</v>
      </c>
      <c r="F1513" s="23" t="str">
        <f t="shared" si="92"/>
        <v>insert into ins_premium_det (premium_rcv_code,assorted_code, rec_amount,premium_rcv_detail_code,remaining_amt, payrec, mode_code,coinsurance_code,class_cd,it_remarks) values</v>
      </c>
      <c r="G1513" s="24" t="str">
        <f t="shared" si="94"/>
        <v>('29Apr250042','050000836722','-580',(select max(to_number(i.premium_rcv_detail_code))+1
from ins_premium_det i),'-580','-580','02', '11000003','00','Request by Mr. Omair Ali 30-Apr-2025');</v>
      </c>
      <c r="H1513" s="25" t="str">
        <f t="shared" si="95"/>
        <v>insert into ins_premium_det (premium_rcv_code,assorted_code, rec_amount,premium_rcv_detail_code,remaining_amt, payrec, mode_code,coinsurance_code,class_cd,it_remarks) values('29Apr250042','050000836722','-580',(select max(to_number(i.premium_rcv_detail_code))+1
from ins_premium_det i),'-580','-580','02', '11000003','00','Request by Mr. Omair Ali 30-Apr-2025');</v>
      </c>
    </row>
    <row r="1514" spans="1:8" ht="105" x14ac:dyDescent="0.25">
      <c r="A1514" t="s">
        <v>345</v>
      </c>
      <c r="B1514" s="1" t="str">
        <f>VLOOKUP(A1514,Sheet5!B:C,2,0)</f>
        <v>050000836723</v>
      </c>
      <c r="C1514" s="13">
        <v>-3176</v>
      </c>
      <c r="D1514" s="22">
        <f t="shared" si="93"/>
        <v>-3176</v>
      </c>
      <c r="E1514" s="21" t="s">
        <v>5912</v>
      </c>
      <c r="F1514" s="23" t="str">
        <f t="shared" si="92"/>
        <v>insert into ins_premium_det (premium_rcv_code,assorted_code, rec_amount,premium_rcv_detail_code,remaining_amt, payrec, mode_code,coinsurance_code,class_cd,it_remarks) values</v>
      </c>
      <c r="G1514" s="24" t="str">
        <f t="shared" si="94"/>
        <v>('29Apr250042','050000836723','-3176',(select max(to_number(i.premium_rcv_detail_code))+1
from ins_premium_det i),'-3176','-3176','02', '11000003','00','Request by Mr. Omair Ali 30-Apr-2025');</v>
      </c>
      <c r="H1514" s="25" t="str">
        <f t="shared" si="95"/>
        <v>insert into ins_premium_det (premium_rcv_code,assorted_code, rec_amount,premium_rcv_detail_code,remaining_amt, payrec, mode_code,coinsurance_code,class_cd,it_remarks) values('29Apr250042','050000836723','-3176',(select max(to_number(i.premium_rcv_detail_code))+1
from ins_premium_det i),'-3176','-3176','02', '11000003','00','Request by Mr. Omair Ali 30-Apr-2025');</v>
      </c>
    </row>
    <row r="1515" spans="1:8" ht="105" x14ac:dyDescent="0.25">
      <c r="A1515" t="s">
        <v>364</v>
      </c>
      <c r="B1515" s="1" t="str">
        <f>VLOOKUP(A1515,Sheet5!B:C,2,0)</f>
        <v>050000836724</v>
      </c>
      <c r="C1515" s="13">
        <v>-10433</v>
      </c>
      <c r="D1515" s="22">
        <f t="shared" si="93"/>
        <v>-10433</v>
      </c>
      <c r="E1515" s="21" t="s">
        <v>5912</v>
      </c>
      <c r="F1515" s="23" t="str">
        <f t="shared" si="92"/>
        <v>insert into ins_premium_det (premium_rcv_code,assorted_code, rec_amount,premium_rcv_detail_code,remaining_amt, payrec, mode_code,coinsurance_code,class_cd,it_remarks) values</v>
      </c>
      <c r="G1515" s="24" t="str">
        <f t="shared" si="94"/>
        <v>('29Apr250042','050000836724','-10433',(select max(to_number(i.premium_rcv_detail_code))+1
from ins_premium_det i),'-10433','-10433','02', '11000003','00','Request by Mr. Omair Ali 30-Apr-2025');</v>
      </c>
      <c r="H1515" s="25" t="str">
        <f t="shared" si="95"/>
        <v>insert into ins_premium_det (premium_rcv_code,assorted_code, rec_amount,premium_rcv_detail_code,remaining_amt, payrec, mode_code,coinsurance_code,class_cd,it_remarks) values('29Apr250042','050000836724','-10433',(select max(to_number(i.premium_rcv_detail_code))+1
from ins_premium_det i),'-10433','-10433','02', '11000003','00','Request by Mr. Omair Ali 30-Apr-2025');</v>
      </c>
    </row>
    <row r="1516" spans="1:8" ht="105" x14ac:dyDescent="0.25">
      <c r="A1516" t="s">
        <v>369</v>
      </c>
      <c r="B1516" s="1" t="str">
        <f>VLOOKUP(A1516,Sheet5!B:C,2,0)</f>
        <v>050000836725</v>
      </c>
      <c r="C1516" s="13">
        <v>-2036</v>
      </c>
      <c r="D1516" s="22">
        <f t="shared" si="93"/>
        <v>-2036</v>
      </c>
      <c r="E1516" s="21" t="s">
        <v>5912</v>
      </c>
      <c r="F1516" s="23" t="str">
        <f t="shared" si="92"/>
        <v>insert into ins_premium_det (premium_rcv_code,assorted_code, rec_amount,premium_rcv_detail_code,remaining_amt, payrec, mode_code,coinsurance_code,class_cd,it_remarks) values</v>
      </c>
      <c r="G1516" s="24" t="str">
        <f t="shared" si="94"/>
        <v>('29Apr250042','050000836725','-2036',(select max(to_number(i.premium_rcv_detail_code))+1
from ins_premium_det i),'-2036','-2036','02', '11000003','00','Request by Mr. Omair Ali 30-Apr-2025');</v>
      </c>
      <c r="H1516" s="25" t="str">
        <f t="shared" si="95"/>
        <v>insert into ins_premium_det (premium_rcv_code,assorted_code, rec_amount,premium_rcv_detail_code,remaining_amt, payrec, mode_code,coinsurance_code,class_cd,it_remarks) values('29Apr250042','050000836725','-2036',(select max(to_number(i.premium_rcv_detail_code))+1
from ins_premium_det i),'-2036','-2036','02', '11000003','00','Request by Mr. Omair Ali 30-Apr-2025');</v>
      </c>
    </row>
    <row r="1517" spans="1:8" ht="105" x14ac:dyDescent="0.25">
      <c r="A1517" t="s">
        <v>374</v>
      </c>
      <c r="B1517" s="1" t="str">
        <f>VLOOKUP(A1517,Sheet5!B:C,2,0)</f>
        <v>050000836726</v>
      </c>
      <c r="C1517" s="13">
        <v>-8425</v>
      </c>
      <c r="D1517" s="22">
        <f t="shared" si="93"/>
        <v>-8425</v>
      </c>
      <c r="E1517" s="21" t="s">
        <v>5912</v>
      </c>
      <c r="F1517" s="23" t="str">
        <f t="shared" si="92"/>
        <v>insert into ins_premium_det (premium_rcv_code,assorted_code, rec_amount,premium_rcv_detail_code,remaining_amt, payrec, mode_code,coinsurance_code,class_cd,it_remarks) values</v>
      </c>
      <c r="G1517" s="24" t="str">
        <f t="shared" si="94"/>
        <v>('29Apr250042','050000836726','-8425',(select max(to_number(i.premium_rcv_detail_code))+1
from ins_premium_det i),'-8425','-8425','02', '11000003','00','Request by Mr. Omair Ali 30-Apr-2025');</v>
      </c>
      <c r="H1517" s="25" t="str">
        <f t="shared" si="95"/>
        <v>insert into ins_premium_det (premium_rcv_code,assorted_code, rec_amount,premium_rcv_detail_code,remaining_amt, payrec, mode_code,coinsurance_code,class_cd,it_remarks) values('29Apr250042','050000836726','-8425',(select max(to_number(i.premium_rcv_detail_code))+1
from ins_premium_det i),'-8425','-8425','02', '11000003','00','Request by Mr. Omair Ali 30-Apr-2025');</v>
      </c>
    </row>
    <row r="1518" spans="1:8" ht="105" x14ac:dyDescent="0.25">
      <c r="A1518" t="s">
        <v>431</v>
      </c>
      <c r="B1518" s="1" t="str">
        <f>VLOOKUP(A1518,Sheet5!B:C,2,0)</f>
        <v>050000836727</v>
      </c>
      <c r="C1518" s="13">
        <v>-56173</v>
      </c>
      <c r="D1518" s="22">
        <f t="shared" si="93"/>
        <v>-56173</v>
      </c>
      <c r="E1518" s="21" t="s">
        <v>5912</v>
      </c>
      <c r="F1518" s="23" t="str">
        <f t="shared" si="92"/>
        <v>insert into ins_premium_det (premium_rcv_code,assorted_code, rec_amount,premium_rcv_detail_code,remaining_amt, payrec, mode_code,coinsurance_code,class_cd,it_remarks) values</v>
      </c>
      <c r="G1518" s="24" t="str">
        <f t="shared" si="94"/>
        <v>('29Apr250042','050000836727','-56173',(select max(to_number(i.premium_rcv_detail_code))+1
from ins_premium_det i),'-56173','-56173','02', '11000003','00','Request by Mr. Omair Ali 30-Apr-2025');</v>
      </c>
      <c r="H1518" s="25" t="str">
        <f t="shared" si="95"/>
        <v>insert into ins_premium_det (premium_rcv_code,assorted_code, rec_amount,premium_rcv_detail_code,remaining_amt, payrec, mode_code,coinsurance_code,class_cd,it_remarks) values('29Apr250042','050000836727','-56173',(select max(to_number(i.premium_rcv_detail_code))+1
from ins_premium_det i),'-56173','-56173','02', '11000003','00','Request by Mr. Omair Ali 30-Apr-2025');</v>
      </c>
    </row>
    <row r="1519" spans="1:8" ht="105" x14ac:dyDescent="0.25">
      <c r="A1519" t="s">
        <v>439</v>
      </c>
      <c r="B1519" s="1" t="str">
        <f>VLOOKUP(A1519,Sheet5!B:C,2,0)</f>
        <v>050000836728</v>
      </c>
      <c r="C1519" s="13">
        <v>-66998</v>
      </c>
      <c r="D1519" s="22">
        <f t="shared" si="93"/>
        <v>-66998</v>
      </c>
      <c r="E1519" s="21" t="s">
        <v>5912</v>
      </c>
      <c r="F1519" s="23" t="str">
        <f t="shared" si="92"/>
        <v>insert into ins_premium_det (premium_rcv_code,assorted_code, rec_amount,premium_rcv_detail_code,remaining_amt, payrec, mode_code,coinsurance_code,class_cd,it_remarks) values</v>
      </c>
      <c r="G1519" s="24" t="str">
        <f t="shared" si="94"/>
        <v>('29Apr250042','050000836728','-66998',(select max(to_number(i.premium_rcv_detail_code))+1
from ins_premium_det i),'-66998','-66998','02', '11000003','00','Request by Mr. Omair Ali 30-Apr-2025');</v>
      </c>
      <c r="H1519" s="25" t="str">
        <f t="shared" si="95"/>
        <v>insert into ins_premium_det (premium_rcv_code,assorted_code, rec_amount,premium_rcv_detail_code,remaining_amt, payrec, mode_code,coinsurance_code,class_cd,it_remarks) values('29Apr250042','050000836728','-66998',(select max(to_number(i.premium_rcv_detail_code))+1
from ins_premium_det i),'-66998','-66998','02', '11000003','00','Request by Mr. Omair Ali 30-Apr-2025');</v>
      </c>
    </row>
    <row r="1520" spans="1:8" ht="105" x14ac:dyDescent="0.25">
      <c r="A1520" t="s">
        <v>456</v>
      </c>
      <c r="B1520" s="1" t="str">
        <f>VLOOKUP(A1520,Sheet5!B:C,2,0)</f>
        <v>050000836729</v>
      </c>
      <c r="C1520" s="13">
        <v>-42876</v>
      </c>
      <c r="D1520" s="22">
        <f t="shared" si="93"/>
        <v>-42876</v>
      </c>
      <c r="E1520" s="21" t="s">
        <v>5912</v>
      </c>
      <c r="F1520" s="23" t="str">
        <f t="shared" si="92"/>
        <v>insert into ins_premium_det (premium_rcv_code,assorted_code, rec_amount,premium_rcv_detail_code,remaining_amt, payrec, mode_code,coinsurance_code,class_cd,it_remarks) values</v>
      </c>
      <c r="G1520" s="24" t="str">
        <f t="shared" si="94"/>
        <v>('29Apr250042','050000836729','-42876',(select max(to_number(i.premium_rcv_detail_code))+1
from ins_premium_det i),'-42876','-42876','02', '11000003','00','Request by Mr. Omair Ali 30-Apr-2025');</v>
      </c>
      <c r="H1520" s="25" t="str">
        <f t="shared" si="95"/>
        <v>insert into ins_premium_det (premium_rcv_code,assorted_code, rec_amount,premium_rcv_detail_code,remaining_amt, payrec, mode_code,coinsurance_code,class_cd,it_remarks) values('29Apr250042','050000836729','-42876',(select max(to_number(i.premium_rcv_detail_code))+1
from ins_premium_det i),'-42876','-42876','02', '11000003','00','Request by Mr. Omair Ali 30-Apr-2025');</v>
      </c>
    </row>
    <row r="1521" spans="1:8" ht="105" x14ac:dyDescent="0.25">
      <c r="A1521" t="s">
        <v>464</v>
      </c>
      <c r="B1521" s="1" t="str">
        <f>VLOOKUP(A1521,Sheet5!B:C,2,0)</f>
        <v>050000836730</v>
      </c>
      <c r="C1521" s="13">
        <v>-152341</v>
      </c>
      <c r="D1521" s="22">
        <f t="shared" si="93"/>
        <v>-152341</v>
      </c>
      <c r="E1521" s="21" t="s">
        <v>5912</v>
      </c>
      <c r="F1521" s="23" t="str">
        <f t="shared" si="92"/>
        <v>insert into ins_premium_det (premium_rcv_code,assorted_code, rec_amount,premium_rcv_detail_code,remaining_amt, payrec, mode_code,coinsurance_code,class_cd,it_remarks) values</v>
      </c>
      <c r="G1521" s="24" t="str">
        <f t="shared" si="94"/>
        <v>('29Apr250042','050000836730','-152341',(select max(to_number(i.premium_rcv_detail_code))+1
from ins_premium_det i),'-152341','-152341','02', '11000003','00','Request by Mr. Omair Ali 30-Apr-2025');</v>
      </c>
      <c r="H1521" s="25" t="str">
        <f t="shared" si="95"/>
        <v>insert into ins_premium_det (premium_rcv_code,assorted_code, rec_amount,premium_rcv_detail_code,remaining_amt, payrec, mode_code,coinsurance_code,class_cd,it_remarks) values('29Apr250042','050000836730','-152341',(select max(to_number(i.premium_rcv_detail_code))+1
from ins_premium_det i),'-152341','-152341','02', '11000003','00','Request by Mr. Omair Ali 30-Apr-2025');</v>
      </c>
    </row>
    <row r="1522" spans="1:8" ht="105" x14ac:dyDescent="0.25">
      <c r="A1522" t="s">
        <v>476</v>
      </c>
      <c r="B1522" s="1" t="str">
        <f>VLOOKUP(A1522,Sheet5!B:C,2,0)</f>
        <v>050000836731</v>
      </c>
      <c r="C1522" s="13">
        <v>-85467</v>
      </c>
      <c r="D1522" s="22">
        <f t="shared" si="93"/>
        <v>-85467</v>
      </c>
      <c r="E1522" s="21" t="s">
        <v>5912</v>
      </c>
      <c r="F1522" s="23" t="str">
        <f t="shared" si="92"/>
        <v>insert into ins_premium_det (premium_rcv_code,assorted_code, rec_amount,premium_rcv_detail_code,remaining_amt, payrec, mode_code,coinsurance_code,class_cd,it_remarks) values</v>
      </c>
      <c r="G1522" s="24" t="str">
        <f t="shared" si="94"/>
        <v>('29Apr250042','050000836731','-85467',(select max(to_number(i.premium_rcv_detail_code))+1
from ins_premium_det i),'-85467','-85467','02', '11000003','00','Request by Mr. Omair Ali 30-Apr-2025');</v>
      </c>
      <c r="H1522" s="25" t="str">
        <f t="shared" si="95"/>
        <v>insert into ins_premium_det (premium_rcv_code,assorted_code, rec_amount,premium_rcv_detail_code,remaining_amt, payrec, mode_code,coinsurance_code,class_cd,it_remarks) values('29Apr250042','050000836731','-85467',(select max(to_number(i.premium_rcv_detail_code))+1
from ins_premium_det i),'-85467','-85467','02', '11000003','00','Request by Mr. Omair Ali 30-Apr-2025');</v>
      </c>
    </row>
    <row r="1523" spans="1:8" ht="105" x14ac:dyDescent="0.25">
      <c r="A1523" t="s">
        <v>485</v>
      </c>
      <c r="B1523" s="1" t="str">
        <f>VLOOKUP(A1523,Sheet5!B:C,2,0)</f>
        <v>050000836732</v>
      </c>
      <c r="C1523" s="13">
        <v>-118172</v>
      </c>
      <c r="D1523" s="22">
        <f t="shared" si="93"/>
        <v>-118172</v>
      </c>
      <c r="E1523" s="21" t="s">
        <v>5912</v>
      </c>
      <c r="F1523" s="23" t="str">
        <f t="shared" si="92"/>
        <v>insert into ins_premium_det (premium_rcv_code,assorted_code, rec_amount,premium_rcv_detail_code,remaining_amt, payrec, mode_code,coinsurance_code,class_cd,it_remarks) values</v>
      </c>
      <c r="G1523" s="24" t="str">
        <f t="shared" si="94"/>
        <v>('29Apr250042','050000836732','-118172',(select max(to_number(i.premium_rcv_detail_code))+1
from ins_premium_det i),'-118172','-118172','02', '11000003','00','Request by Mr. Omair Ali 30-Apr-2025');</v>
      </c>
      <c r="H1523" s="25" t="str">
        <f t="shared" si="95"/>
        <v>insert into ins_premium_det (premium_rcv_code,assorted_code, rec_amount,premium_rcv_detail_code,remaining_amt, payrec, mode_code,coinsurance_code,class_cd,it_remarks) values('29Apr250042','050000836732','-118172',(select max(to_number(i.premium_rcv_detail_code))+1
from ins_premium_det i),'-118172','-118172','02', '11000003','00','Request by Mr. Omair Ali 30-Apr-2025');</v>
      </c>
    </row>
    <row r="1524" spans="1:8" ht="105" x14ac:dyDescent="0.25">
      <c r="A1524" t="s">
        <v>494</v>
      </c>
      <c r="B1524" s="1" t="str">
        <f>VLOOKUP(A1524,Sheet5!B:C,2,0)</f>
        <v>050000836733</v>
      </c>
      <c r="C1524" s="13">
        <v>-105929</v>
      </c>
      <c r="D1524" s="22">
        <f t="shared" si="93"/>
        <v>-105929</v>
      </c>
      <c r="E1524" s="21" t="s">
        <v>5912</v>
      </c>
      <c r="F1524" s="23" t="str">
        <f t="shared" si="92"/>
        <v>insert into ins_premium_det (premium_rcv_code,assorted_code, rec_amount,premium_rcv_detail_code,remaining_amt, payrec, mode_code,coinsurance_code,class_cd,it_remarks) values</v>
      </c>
      <c r="G1524" s="24" t="str">
        <f t="shared" si="94"/>
        <v>('29Apr250042','050000836733','-105929',(select max(to_number(i.premium_rcv_detail_code))+1
from ins_premium_det i),'-105929','-105929','02', '11000003','00','Request by Mr. Omair Ali 30-Apr-2025');</v>
      </c>
      <c r="H1524" s="25" t="str">
        <f t="shared" si="95"/>
        <v>insert into ins_premium_det (premium_rcv_code,assorted_code, rec_amount,premium_rcv_detail_code,remaining_amt, payrec, mode_code,coinsurance_code,class_cd,it_remarks) values('29Apr250042','050000836733','-105929',(select max(to_number(i.premium_rcv_detail_code))+1
from ins_premium_det i),'-105929','-105929','02', '11000003','00','Request by Mr. Omair Ali 30-Apr-2025');</v>
      </c>
    </row>
    <row r="1525" spans="1:8" ht="105" x14ac:dyDescent="0.25">
      <c r="A1525" t="s">
        <v>572</v>
      </c>
      <c r="B1525" s="1" t="str">
        <f>VLOOKUP(A1525,Sheet5!B:C,2,0)</f>
        <v>050000836734</v>
      </c>
      <c r="C1525" s="13">
        <v>-39448</v>
      </c>
      <c r="D1525" s="22">
        <f t="shared" si="93"/>
        <v>-39448</v>
      </c>
      <c r="E1525" s="21" t="s">
        <v>5912</v>
      </c>
      <c r="F1525" s="23" t="str">
        <f t="shared" si="92"/>
        <v>insert into ins_premium_det (premium_rcv_code,assorted_code, rec_amount,premium_rcv_detail_code,remaining_amt, payrec, mode_code,coinsurance_code,class_cd,it_remarks) values</v>
      </c>
      <c r="G1525" s="24" t="str">
        <f t="shared" si="94"/>
        <v>('29Apr250042','050000836734','-39448',(select max(to_number(i.premium_rcv_detail_code))+1
from ins_premium_det i),'-39448','-39448','02', '11000003','00','Request by Mr. Omair Ali 30-Apr-2025');</v>
      </c>
      <c r="H1525" s="25" t="str">
        <f t="shared" si="95"/>
        <v>insert into ins_premium_det (premium_rcv_code,assorted_code, rec_amount,premium_rcv_detail_code,remaining_amt, payrec, mode_code,coinsurance_code,class_cd,it_remarks) values('29Apr250042','050000836734','-39448',(select max(to_number(i.premium_rcv_detail_code))+1
from ins_premium_det i),'-39448','-39448','02', '11000003','00','Request by Mr. Omair Ali 30-Apr-2025');</v>
      </c>
    </row>
    <row r="1526" spans="1:8" ht="105" x14ac:dyDescent="0.25">
      <c r="A1526" t="s">
        <v>635</v>
      </c>
      <c r="B1526" s="1" t="str">
        <f>VLOOKUP(A1526,Sheet5!B:C,2,0)</f>
        <v>050000836735</v>
      </c>
      <c r="C1526" s="13">
        <v>-94265</v>
      </c>
      <c r="D1526" s="22">
        <f t="shared" si="93"/>
        <v>-94265</v>
      </c>
      <c r="E1526" s="21" t="s">
        <v>5912</v>
      </c>
      <c r="F1526" s="23" t="str">
        <f t="shared" si="92"/>
        <v>insert into ins_premium_det (premium_rcv_code,assorted_code, rec_amount,premium_rcv_detail_code,remaining_amt, payrec, mode_code,coinsurance_code,class_cd,it_remarks) values</v>
      </c>
      <c r="G1526" s="24" t="str">
        <f t="shared" si="94"/>
        <v>('29Apr250042','050000836735','-94265',(select max(to_number(i.premium_rcv_detail_code))+1
from ins_premium_det i),'-94265','-94265','02', '11000003','00','Request by Mr. Omair Ali 30-Apr-2025');</v>
      </c>
      <c r="H1526" s="25" t="str">
        <f t="shared" si="95"/>
        <v>insert into ins_premium_det (premium_rcv_code,assorted_code, rec_amount,premium_rcv_detail_code,remaining_amt, payrec, mode_code,coinsurance_code,class_cd,it_remarks) values('29Apr250042','050000836735','-94265',(select max(to_number(i.premium_rcv_detail_code))+1
from ins_premium_det i),'-94265','-94265','02', '11000003','00','Request by Mr. Omair Ali 30-Apr-2025');</v>
      </c>
    </row>
    <row r="1527" spans="1:8" ht="105" x14ac:dyDescent="0.25">
      <c r="A1527" t="s">
        <v>677</v>
      </c>
      <c r="B1527" s="1" t="str">
        <f>VLOOKUP(A1527,Sheet5!B:C,2,0)</f>
        <v>050000836736</v>
      </c>
      <c r="C1527" s="13">
        <v>-98031</v>
      </c>
      <c r="D1527" s="22">
        <f t="shared" si="93"/>
        <v>-98031</v>
      </c>
      <c r="E1527" s="21" t="s">
        <v>5912</v>
      </c>
      <c r="F1527" s="23" t="str">
        <f t="shared" si="92"/>
        <v>insert into ins_premium_det (premium_rcv_code,assorted_code, rec_amount,premium_rcv_detail_code,remaining_amt, payrec, mode_code,coinsurance_code,class_cd,it_remarks) values</v>
      </c>
      <c r="G1527" s="24" t="str">
        <f t="shared" si="94"/>
        <v>('29Apr250042','050000836736','-98031',(select max(to_number(i.premium_rcv_detail_code))+1
from ins_premium_det i),'-98031','-98031','02', '11000003','00','Request by Mr. Omair Ali 30-Apr-2025');</v>
      </c>
      <c r="H1527" s="25" t="str">
        <f t="shared" si="95"/>
        <v>insert into ins_premium_det (premium_rcv_code,assorted_code, rec_amount,premium_rcv_detail_code,remaining_amt, payrec, mode_code,coinsurance_code,class_cd,it_remarks) values('29Apr250042','050000836736','-98031',(select max(to_number(i.premium_rcv_detail_code))+1
from ins_premium_det i),'-98031','-98031','02', '11000003','00','Request by Mr. Omair Ali 30-Apr-2025');</v>
      </c>
    </row>
    <row r="1528" spans="1:8" ht="105" x14ac:dyDescent="0.25">
      <c r="A1528" t="s">
        <v>685</v>
      </c>
      <c r="B1528" s="1" t="str">
        <f>VLOOKUP(A1528,Sheet5!B:C,2,0)</f>
        <v>050000836737</v>
      </c>
      <c r="C1528" s="13">
        <v>-44856</v>
      </c>
      <c r="D1528" s="22">
        <f t="shared" si="93"/>
        <v>-44856</v>
      </c>
      <c r="E1528" s="21" t="s">
        <v>5912</v>
      </c>
      <c r="F1528" s="23" t="str">
        <f t="shared" si="92"/>
        <v>insert into ins_premium_det (premium_rcv_code,assorted_code, rec_amount,premium_rcv_detail_code,remaining_amt, payrec, mode_code,coinsurance_code,class_cd,it_remarks) values</v>
      </c>
      <c r="G1528" s="24" t="str">
        <f t="shared" si="94"/>
        <v>('29Apr250042','050000836737','-44856',(select max(to_number(i.premium_rcv_detail_code))+1
from ins_premium_det i),'-44856','-44856','02', '11000003','00','Request by Mr. Omair Ali 30-Apr-2025');</v>
      </c>
      <c r="H1528" s="25" t="str">
        <f t="shared" si="95"/>
        <v>insert into ins_premium_det (premium_rcv_code,assorted_code, rec_amount,premium_rcv_detail_code,remaining_amt, payrec, mode_code,coinsurance_code,class_cd,it_remarks) values('29Apr250042','050000836737','-44856',(select max(to_number(i.premium_rcv_detail_code))+1
from ins_premium_det i),'-44856','-44856','02', '11000003','00','Request by Mr. Omair Ali 30-Apr-2025');</v>
      </c>
    </row>
    <row r="1529" spans="1:8" ht="105" x14ac:dyDescent="0.25">
      <c r="A1529" t="s">
        <v>743</v>
      </c>
      <c r="B1529" s="1" t="str">
        <f>VLOOKUP(A1529,Sheet5!B:C,2,0)</f>
        <v>050000836738</v>
      </c>
      <c r="C1529" s="13">
        <v>-61001</v>
      </c>
      <c r="D1529" s="22">
        <f t="shared" si="93"/>
        <v>-61001</v>
      </c>
      <c r="E1529" s="21" t="s">
        <v>5912</v>
      </c>
      <c r="F1529" s="23" t="str">
        <f t="shared" si="92"/>
        <v>insert into ins_premium_det (premium_rcv_code,assorted_code, rec_amount,premium_rcv_detail_code,remaining_amt, payrec, mode_code,coinsurance_code,class_cd,it_remarks) values</v>
      </c>
      <c r="G1529" s="24" t="str">
        <f t="shared" si="94"/>
        <v>('29Apr250042','050000836738','-61001',(select max(to_number(i.premium_rcv_detail_code))+1
from ins_premium_det i),'-61001','-61001','02', '11000003','00','Request by Mr. Omair Ali 30-Apr-2025');</v>
      </c>
      <c r="H1529" s="25" t="str">
        <f t="shared" si="95"/>
        <v>insert into ins_premium_det (premium_rcv_code,assorted_code, rec_amount,premium_rcv_detail_code,remaining_amt, payrec, mode_code,coinsurance_code,class_cd,it_remarks) values('29Apr250042','050000836738','-61001',(select max(to_number(i.premium_rcv_detail_code))+1
from ins_premium_det i),'-61001','-61001','02', '11000003','00','Request by Mr. Omair Ali 30-Apr-2025');</v>
      </c>
    </row>
    <row r="1530" spans="1:8" ht="105" x14ac:dyDescent="0.25">
      <c r="A1530" t="s">
        <v>759</v>
      </c>
      <c r="B1530" s="1" t="str">
        <f>VLOOKUP(A1530,Sheet5!B:C,2,0)</f>
        <v>050000836739</v>
      </c>
      <c r="C1530" s="13">
        <v>-111267</v>
      </c>
      <c r="D1530" s="22">
        <f t="shared" si="93"/>
        <v>-111267</v>
      </c>
      <c r="E1530" s="21" t="s">
        <v>5912</v>
      </c>
      <c r="F1530" s="23" t="str">
        <f t="shared" si="92"/>
        <v>insert into ins_premium_det (premium_rcv_code,assorted_code, rec_amount,premium_rcv_detail_code,remaining_amt, payrec, mode_code,coinsurance_code,class_cd,it_remarks) values</v>
      </c>
      <c r="G1530" s="24" t="str">
        <f t="shared" si="94"/>
        <v>('29Apr250042','050000836739','-111267',(select max(to_number(i.premium_rcv_detail_code))+1
from ins_premium_det i),'-111267','-111267','02', '11000003','00','Request by Mr. Omair Ali 30-Apr-2025');</v>
      </c>
      <c r="H1530" s="25" t="str">
        <f t="shared" si="95"/>
        <v>insert into ins_premium_det (premium_rcv_code,assorted_code, rec_amount,premium_rcv_detail_code,remaining_amt, payrec, mode_code,coinsurance_code,class_cd,it_remarks) values('29Apr250042','050000836739','-111267',(select max(to_number(i.premium_rcv_detail_code))+1
from ins_premium_det i),'-111267','-111267','02', '11000003','00','Request by Mr. Omair Ali 30-Apr-2025');</v>
      </c>
    </row>
    <row r="1531" spans="1:8" ht="105" x14ac:dyDescent="0.25">
      <c r="A1531" t="s">
        <v>783</v>
      </c>
      <c r="B1531" s="1" t="str">
        <f>VLOOKUP(A1531,Sheet5!B:C,2,0)</f>
        <v>050000836740</v>
      </c>
      <c r="C1531" s="13">
        <v>-464257</v>
      </c>
      <c r="D1531" s="22">
        <f t="shared" si="93"/>
        <v>-464257</v>
      </c>
      <c r="E1531" s="21" t="s">
        <v>5912</v>
      </c>
      <c r="F1531" s="23" t="str">
        <f t="shared" si="92"/>
        <v>insert into ins_premium_det (premium_rcv_code,assorted_code, rec_amount,premium_rcv_detail_code,remaining_amt, payrec, mode_code,coinsurance_code,class_cd,it_remarks) values</v>
      </c>
      <c r="G1531" s="24" t="str">
        <f t="shared" si="94"/>
        <v>('29Apr250042','050000836740','-464257',(select max(to_number(i.premium_rcv_detail_code))+1
from ins_premium_det i),'-464257','-464257','02', '11000003','00','Request by Mr. Omair Ali 30-Apr-2025');</v>
      </c>
      <c r="H1531" s="25" t="str">
        <f t="shared" si="95"/>
        <v>insert into ins_premium_det (premium_rcv_code,assorted_code, rec_amount,premium_rcv_detail_code,remaining_amt, payrec, mode_code,coinsurance_code,class_cd,it_remarks) values('29Apr250042','050000836740','-464257',(select max(to_number(i.premium_rcv_detail_code))+1
from ins_premium_det i),'-464257','-464257','02', '11000003','00','Request by Mr. Omair Ali 30-Apr-2025');</v>
      </c>
    </row>
    <row r="1532" spans="1:8" ht="105" x14ac:dyDescent="0.25">
      <c r="A1532" t="s">
        <v>796</v>
      </c>
      <c r="B1532" s="1" t="str">
        <f>VLOOKUP(A1532,Sheet5!B:C,2,0)</f>
        <v>050000836742</v>
      </c>
      <c r="C1532" s="13">
        <v>-74476</v>
      </c>
      <c r="D1532" s="22">
        <f t="shared" si="93"/>
        <v>-74476</v>
      </c>
      <c r="E1532" s="21" t="s">
        <v>5912</v>
      </c>
      <c r="F1532" s="23" t="str">
        <f t="shared" si="92"/>
        <v>insert into ins_premium_det (premium_rcv_code,assorted_code, rec_amount,premium_rcv_detail_code,remaining_amt, payrec, mode_code,coinsurance_code,class_cd,it_remarks) values</v>
      </c>
      <c r="G1532" s="24" t="str">
        <f t="shared" si="94"/>
        <v>('29Apr250042','050000836742','-74476',(select max(to_number(i.premium_rcv_detail_code))+1
from ins_premium_det i),'-74476','-74476','02', '11000003','00','Request by Mr. Omair Ali 30-Apr-2025');</v>
      </c>
      <c r="H1532" s="25" t="str">
        <f t="shared" si="95"/>
        <v>insert into ins_premium_det (premium_rcv_code,assorted_code, rec_amount,premium_rcv_detail_code,remaining_amt, payrec, mode_code,coinsurance_code,class_cd,it_remarks) values('29Apr250042','050000836742','-74476',(select max(to_number(i.premium_rcv_detail_code))+1
from ins_premium_det i),'-74476','-74476','02', '11000003','00','Request by Mr. Omair Ali 30-Apr-2025');</v>
      </c>
    </row>
    <row r="1533" spans="1:8" ht="105" x14ac:dyDescent="0.25">
      <c r="A1533" t="s">
        <v>806</v>
      </c>
      <c r="B1533" s="1" t="str">
        <f>VLOOKUP(A1533,Sheet5!B:C,2,0)</f>
        <v>050000836743</v>
      </c>
      <c r="C1533" s="13">
        <v>-252171</v>
      </c>
      <c r="D1533" s="22">
        <f t="shared" si="93"/>
        <v>-252171</v>
      </c>
      <c r="E1533" s="21" t="s">
        <v>5912</v>
      </c>
      <c r="F1533" s="23" t="str">
        <f t="shared" si="92"/>
        <v>insert into ins_premium_det (premium_rcv_code,assorted_code, rec_amount,premium_rcv_detail_code,remaining_amt, payrec, mode_code,coinsurance_code,class_cd,it_remarks) values</v>
      </c>
      <c r="G1533" s="24" t="str">
        <f t="shared" si="94"/>
        <v>('29Apr250042','050000836743','-252171',(select max(to_number(i.premium_rcv_detail_code))+1
from ins_premium_det i),'-252171','-252171','02', '11000003','00','Request by Mr. Omair Ali 30-Apr-2025');</v>
      </c>
      <c r="H1533" s="25" t="str">
        <f t="shared" si="95"/>
        <v>insert into ins_premium_det (premium_rcv_code,assorted_code, rec_amount,premium_rcv_detail_code,remaining_amt, payrec, mode_code,coinsurance_code,class_cd,it_remarks) values('29Apr250042','050000836743','-252171',(select max(to_number(i.premium_rcv_detail_code))+1
from ins_premium_det i),'-252171','-252171','02', '11000003','00','Request by Mr. Omair Ali 30-Apr-2025');</v>
      </c>
    </row>
    <row r="1534" spans="1:8" ht="105" x14ac:dyDescent="0.25">
      <c r="A1534" t="s">
        <v>827</v>
      </c>
      <c r="B1534" s="1" t="str">
        <f>VLOOKUP(A1534,Sheet5!B:C,2,0)</f>
        <v>050000836744</v>
      </c>
      <c r="C1534" s="13">
        <v>-166206</v>
      </c>
      <c r="D1534" s="22">
        <f t="shared" si="93"/>
        <v>-166206</v>
      </c>
      <c r="E1534" s="21" t="s">
        <v>5912</v>
      </c>
      <c r="F1534" s="23" t="str">
        <f t="shared" si="92"/>
        <v>insert into ins_premium_det (premium_rcv_code,assorted_code, rec_amount,premium_rcv_detail_code,remaining_amt, payrec, mode_code,coinsurance_code,class_cd,it_remarks) values</v>
      </c>
      <c r="G1534" s="24" t="str">
        <f t="shared" si="94"/>
        <v>('29Apr250042','050000836744','-166206',(select max(to_number(i.premium_rcv_detail_code))+1
from ins_premium_det i),'-166206','-166206','02', '11000003','00','Request by Mr. Omair Ali 30-Apr-2025');</v>
      </c>
      <c r="H1534" s="25" t="str">
        <f t="shared" si="95"/>
        <v>insert into ins_premium_det (premium_rcv_code,assorted_code, rec_amount,premium_rcv_detail_code,remaining_amt, payrec, mode_code,coinsurance_code,class_cd,it_remarks) values('29Apr250042','050000836744','-166206',(select max(to_number(i.premium_rcv_detail_code))+1
from ins_premium_det i),'-166206','-166206','02', '11000003','00','Request by Mr. Omair Ali 30-Apr-2025');</v>
      </c>
    </row>
    <row r="1535" spans="1:8" ht="105" x14ac:dyDescent="0.25">
      <c r="A1535" t="s">
        <v>844</v>
      </c>
      <c r="B1535" s="1" t="str">
        <f>VLOOKUP(A1535,Sheet5!B:C,2,0)</f>
        <v>050000836745</v>
      </c>
      <c r="C1535" s="13">
        <v>-127803</v>
      </c>
      <c r="D1535" s="22">
        <f t="shared" si="93"/>
        <v>-127803</v>
      </c>
      <c r="E1535" s="21" t="s">
        <v>5912</v>
      </c>
      <c r="F1535" s="23" t="str">
        <f t="shared" si="92"/>
        <v>insert into ins_premium_det (premium_rcv_code,assorted_code, rec_amount,premium_rcv_detail_code,remaining_amt, payrec, mode_code,coinsurance_code,class_cd,it_remarks) values</v>
      </c>
      <c r="G1535" s="24" t="str">
        <f t="shared" si="94"/>
        <v>('29Apr250042','050000836745','-127803',(select max(to_number(i.premium_rcv_detail_code))+1
from ins_premium_det i),'-127803','-127803','02', '11000003','00','Request by Mr. Omair Ali 30-Apr-2025');</v>
      </c>
      <c r="H1535" s="25" t="str">
        <f t="shared" si="95"/>
        <v>insert into ins_premium_det (premium_rcv_code,assorted_code, rec_amount,premium_rcv_detail_code,remaining_amt, payrec, mode_code,coinsurance_code,class_cd,it_remarks) values('29Apr250042','050000836745','-127803',(select max(to_number(i.premium_rcv_detail_code))+1
from ins_premium_det i),'-127803','-127803','02', '11000003','00','Request by Mr. Omair Ali 30-Apr-2025');</v>
      </c>
    </row>
    <row r="1536" spans="1:8" ht="105" x14ac:dyDescent="0.25">
      <c r="A1536" t="s">
        <v>855</v>
      </c>
      <c r="B1536" s="1" t="str">
        <f>VLOOKUP(A1536,Sheet5!B:C,2,0)</f>
        <v>050000836746</v>
      </c>
      <c r="C1536" s="13">
        <v>-74171</v>
      </c>
      <c r="D1536" s="22">
        <f t="shared" si="93"/>
        <v>-74171</v>
      </c>
      <c r="E1536" s="21" t="s">
        <v>5912</v>
      </c>
      <c r="F1536" s="23" t="str">
        <f t="shared" si="92"/>
        <v>insert into ins_premium_det (premium_rcv_code,assorted_code, rec_amount,premium_rcv_detail_code,remaining_amt, payrec, mode_code,coinsurance_code,class_cd,it_remarks) values</v>
      </c>
      <c r="G1536" s="24" t="str">
        <f t="shared" si="94"/>
        <v>('29Apr250042','050000836746','-74171',(select max(to_number(i.premium_rcv_detail_code))+1
from ins_premium_det i),'-74171','-74171','02', '11000003','00','Request by Mr. Omair Ali 30-Apr-2025');</v>
      </c>
      <c r="H1536" s="25" t="str">
        <f t="shared" si="95"/>
        <v>insert into ins_premium_det (premium_rcv_code,assorted_code, rec_amount,premium_rcv_detail_code,remaining_amt, payrec, mode_code,coinsurance_code,class_cd,it_remarks) values('29Apr250042','050000836746','-74171',(select max(to_number(i.premium_rcv_detail_code))+1
from ins_premium_det i),'-74171','-74171','02', '11000003','00','Request by Mr. Omair Ali 30-Apr-2025');</v>
      </c>
    </row>
    <row r="1537" spans="1:8" ht="105" x14ac:dyDescent="0.25">
      <c r="A1537" t="s">
        <v>862</v>
      </c>
      <c r="B1537" s="1" t="str">
        <f>VLOOKUP(A1537,Sheet5!B:C,2,0)</f>
        <v>050000836747</v>
      </c>
      <c r="C1537" s="13">
        <v>-79011</v>
      </c>
      <c r="D1537" s="22">
        <f t="shared" si="93"/>
        <v>-79011</v>
      </c>
      <c r="E1537" s="21" t="s">
        <v>5912</v>
      </c>
      <c r="F1537" s="23" t="str">
        <f t="shared" si="92"/>
        <v>insert into ins_premium_det (premium_rcv_code,assorted_code, rec_amount,premium_rcv_detail_code,remaining_amt, payrec, mode_code,coinsurance_code,class_cd,it_remarks) values</v>
      </c>
      <c r="G1537" s="24" t="str">
        <f t="shared" si="94"/>
        <v>('29Apr250042','050000836747','-79011',(select max(to_number(i.premium_rcv_detail_code))+1
from ins_premium_det i),'-79011','-79011','02', '11000003','00','Request by Mr. Omair Ali 30-Apr-2025');</v>
      </c>
      <c r="H1537" s="25" t="str">
        <f t="shared" si="95"/>
        <v>insert into ins_premium_det (premium_rcv_code,assorted_code, rec_amount,premium_rcv_detail_code,remaining_amt, payrec, mode_code,coinsurance_code,class_cd,it_remarks) values('29Apr250042','050000836747','-79011',(select max(to_number(i.premium_rcv_detail_code))+1
from ins_premium_det i),'-79011','-79011','02', '11000003','00','Request by Mr. Omair Ali 30-Apr-2025');</v>
      </c>
    </row>
    <row r="1538" spans="1:8" ht="105" x14ac:dyDescent="0.25">
      <c r="A1538" t="s">
        <v>867</v>
      </c>
      <c r="B1538" s="1" t="str">
        <f>VLOOKUP(A1538,Sheet5!B:C,2,0)</f>
        <v>050000836748</v>
      </c>
      <c r="C1538" s="13">
        <v>-156605</v>
      </c>
      <c r="D1538" s="22">
        <f t="shared" si="93"/>
        <v>-156605</v>
      </c>
      <c r="E1538" s="21" t="s">
        <v>5912</v>
      </c>
      <c r="F1538" s="23" t="str">
        <f t="shared" ref="F1538:F1601" si="9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538" s="24" t="str">
        <f t="shared" si="94"/>
        <v>('29Apr250042','050000836748','-156605',(select max(to_number(i.premium_rcv_detail_code))+1
from ins_premium_det i),'-156605','-156605','02', '11000003','00','Request by Mr. Omair Ali 30-Apr-2025');</v>
      </c>
      <c r="H1538" s="25" t="str">
        <f t="shared" si="95"/>
        <v>insert into ins_premium_det (premium_rcv_code,assorted_code, rec_amount,premium_rcv_detail_code,remaining_amt, payrec, mode_code,coinsurance_code,class_cd,it_remarks) values('29Apr250042','050000836748','-156605',(select max(to_number(i.premium_rcv_detail_code))+1
from ins_premium_det i),'-156605','-156605','02', '11000003','00','Request by Mr. Omair Ali 30-Apr-2025');</v>
      </c>
    </row>
    <row r="1539" spans="1:8" ht="105" x14ac:dyDescent="0.25">
      <c r="A1539" t="s">
        <v>881</v>
      </c>
      <c r="B1539" s="1" t="str">
        <f>VLOOKUP(A1539,Sheet5!B:C,2,0)</f>
        <v>050000836749</v>
      </c>
      <c r="C1539" s="13">
        <v>-86179</v>
      </c>
      <c r="D1539" s="22">
        <f t="shared" ref="D1539:D1602" si="97">ROUND(C1539,0)</f>
        <v>-86179</v>
      </c>
      <c r="E1539" s="21" t="s">
        <v>5912</v>
      </c>
      <c r="F1539" s="23" t="str">
        <f t="shared" si="96"/>
        <v>insert into ins_premium_det (premium_rcv_code,assorted_code, rec_amount,premium_rcv_detail_code,remaining_amt, payrec, mode_code,coinsurance_code,class_cd,it_remarks) values</v>
      </c>
      <c r="G1539" s="24" t="str">
        <f t="shared" ref="G1539:G1602" si="98">"('"&amp;E1539&amp;"','"&amp;B1539&amp;"','"&amp;D1539&amp;"',(select max(to_number(i.premium_rcv_detail_code))+1
from ins_premium_det i),'"&amp;D1539&amp;"','"&amp;D1539&amp;"','02', '11000003','00','Request by Mr. Omair Ali 30-Apr-2025');"</f>
        <v>('29Apr250042','050000836749','-86179',(select max(to_number(i.premium_rcv_detail_code))+1
from ins_premium_det i),'-86179','-86179','02', '11000003','00','Request by Mr. Omair Ali 30-Apr-2025');</v>
      </c>
      <c r="H1539" s="25" t="str">
        <f t="shared" ref="H1539:H1602" si="99">F1539&amp;G1539</f>
        <v>insert into ins_premium_det (premium_rcv_code,assorted_code, rec_amount,premium_rcv_detail_code,remaining_amt, payrec, mode_code,coinsurance_code,class_cd,it_remarks) values('29Apr250042','050000836749','-86179',(select max(to_number(i.premium_rcv_detail_code))+1
from ins_premium_det i),'-86179','-86179','02', '11000003','00','Request by Mr. Omair Ali 30-Apr-2025');</v>
      </c>
    </row>
    <row r="1540" spans="1:8" ht="105" x14ac:dyDescent="0.25">
      <c r="A1540" t="s">
        <v>894</v>
      </c>
      <c r="B1540" s="1" t="str">
        <f>VLOOKUP(A1540,Sheet5!B:C,2,0)</f>
        <v>050000836750</v>
      </c>
      <c r="C1540" s="13">
        <v>-72450</v>
      </c>
      <c r="D1540" s="22">
        <f t="shared" si="97"/>
        <v>-72450</v>
      </c>
      <c r="E1540" s="21" t="s">
        <v>5912</v>
      </c>
      <c r="F1540" s="23" t="str">
        <f t="shared" si="96"/>
        <v>insert into ins_premium_det (premium_rcv_code,assorted_code, rec_amount,premium_rcv_detail_code,remaining_amt, payrec, mode_code,coinsurance_code,class_cd,it_remarks) values</v>
      </c>
      <c r="G1540" s="24" t="str">
        <f t="shared" si="98"/>
        <v>('29Apr250042','050000836750','-72450',(select max(to_number(i.premium_rcv_detail_code))+1
from ins_premium_det i),'-72450','-72450','02', '11000003','00','Request by Mr. Omair Ali 30-Apr-2025');</v>
      </c>
      <c r="H1540" s="25" t="str">
        <f t="shared" si="99"/>
        <v>insert into ins_premium_det (premium_rcv_code,assorted_code, rec_amount,premium_rcv_detail_code,remaining_amt, payrec, mode_code,coinsurance_code,class_cd,it_remarks) values('29Apr250042','050000836750','-72450',(select max(to_number(i.premium_rcv_detail_code))+1
from ins_premium_det i),'-72450','-72450','02', '11000003','00','Request by Mr. Omair Ali 30-Apr-2025');</v>
      </c>
    </row>
    <row r="1541" spans="1:8" ht="105" x14ac:dyDescent="0.25">
      <c r="A1541" t="s">
        <v>900</v>
      </c>
      <c r="B1541" s="1" t="str">
        <f>VLOOKUP(A1541,Sheet5!B:C,2,0)</f>
        <v>050000836751</v>
      </c>
      <c r="C1541" s="13">
        <v>-56642</v>
      </c>
      <c r="D1541" s="22">
        <f t="shared" si="97"/>
        <v>-56642</v>
      </c>
      <c r="E1541" s="21" t="s">
        <v>5912</v>
      </c>
      <c r="F1541" s="23" t="str">
        <f t="shared" si="96"/>
        <v>insert into ins_premium_det (premium_rcv_code,assorted_code, rec_amount,premium_rcv_detail_code,remaining_amt, payrec, mode_code,coinsurance_code,class_cd,it_remarks) values</v>
      </c>
      <c r="G1541" s="24" t="str">
        <f t="shared" si="98"/>
        <v>('29Apr250042','050000836751','-56642',(select max(to_number(i.premium_rcv_detail_code))+1
from ins_premium_det i),'-56642','-56642','02', '11000003','00','Request by Mr. Omair Ali 30-Apr-2025');</v>
      </c>
      <c r="H1541" s="25" t="str">
        <f t="shared" si="99"/>
        <v>insert into ins_premium_det (premium_rcv_code,assorted_code, rec_amount,premium_rcv_detail_code,remaining_amt, payrec, mode_code,coinsurance_code,class_cd,it_remarks) values('29Apr250042','050000836751','-56642',(select max(to_number(i.premium_rcv_detail_code))+1
from ins_premium_det i),'-56642','-56642','02', '11000003','00','Request by Mr. Omair Ali 30-Apr-2025');</v>
      </c>
    </row>
    <row r="1542" spans="1:8" ht="105" x14ac:dyDescent="0.25">
      <c r="A1542" t="s">
        <v>920</v>
      </c>
      <c r="B1542" s="1" t="str">
        <f>VLOOKUP(A1542,Sheet5!B:C,2,0)</f>
        <v>050000836752</v>
      </c>
      <c r="C1542" s="13">
        <v>-124432</v>
      </c>
      <c r="D1542" s="22">
        <f t="shared" si="97"/>
        <v>-124432</v>
      </c>
      <c r="E1542" s="21" t="s">
        <v>5912</v>
      </c>
      <c r="F1542" s="23" t="str">
        <f t="shared" si="96"/>
        <v>insert into ins_premium_det (premium_rcv_code,assorted_code, rec_amount,premium_rcv_detail_code,remaining_amt, payrec, mode_code,coinsurance_code,class_cd,it_remarks) values</v>
      </c>
      <c r="G1542" s="24" t="str">
        <f t="shared" si="98"/>
        <v>('29Apr250042','050000836752','-124432',(select max(to_number(i.premium_rcv_detail_code))+1
from ins_premium_det i),'-124432','-124432','02', '11000003','00','Request by Mr. Omair Ali 30-Apr-2025');</v>
      </c>
      <c r="H1542" s="25" t="str">
        <f t="shared" si="99"/>
        <v>insert into ins_premium_det (premium_rcv_code,assorted_code, rec_amount,premium_rcv_detail_code,remaining_amt, payrec, mode_code,coinsurance_code,class_cd,it_remarks) values('29Apr250042','050000836752','-124432',(select max(to_number(i.premium_rcv_detail_code))+1
from ins_premium_det i),'-124432','-124432','02', '11000003','00','Request by Mr. Omair Ali 30-Apr-2025');</v>
      </c>
    </row>
    <row r="1543" spans="1:8" ht="105" x14ac:dyDescent="0.25">
      <c r="A1543" t="s">
        <v>935</v>
      </c>
      <c r="B1543" s="1" t="str">
        <f>VLOOKUP(A1543,Sheet5!B:C,2,0)</f>
        <v>050000836753</v>
      </c>
      <c r="C1543" s="13">
        <v>-101336</v>
      </c>
      <c r="D1543" s="22">
        <f t="shared" si="97"/>
        <v>-101336</v>
      </c>
      <c r="E1543" s="21" t="s">
        <v>5912</v>
      </c>
      <c r="F1543" s="23" t="str">
        <f t="shared" si="96"/>
        <v>insert into ins_premium_det (premium_rcv_code,assorted_code, rec_amount,premium_rcv_detail_code,remaining_amt, payrec, mode_code,coinsurance_code,class_cd,it_remarks) values</v>
      </c>
      <c r="G1543" s="24" t="str">
        <f t="shared" si="98"/>
        <v>('29Apr250042','050000836753','-101336',(select max(to_number(i.premium_rcv_detail_code))+1
from ins_premium_det i),'-101336','-101336','02', '11000003','00','Request by Mr. Omair Ali 30-Apr-2025');</v>
      </c>
      <c r="H1543" s="25" t="str">
        <f t="shared" si="99"/>
        <v>insert into ins_premium_det (premium_rcv_code,assorted_code, rec_amount,premium_rcv_detail_code,remaining_amt, payrec, mode_code,coinsurance_code,class_cd,it_remarks) values('29Apr250042','050000836753','-101336',(select max(to_number(i.premium_rcv_detail_code))+1
from ins_premium_det i),'-101336','-101336','02', '11000003','00','Request by Mr. Omair Ali 30-Apr-2025');</v>
      </c>
    </row>
    <row r="1544" spans="1:8" ht="105" x14ac:dyDescent="0.25">
      <c r="A1544" t="s">
        <v>947</v>
      </c>
      <c r="B1544" s="1" t="str">
        <f>VLOOKUP(A1544,Sheet5!B:C,2,0)</f>
        <v>050000836754</v>
      </c>
      <c r="C1544" s="13">
        <v>-104303</v>
      </c>
      <c r="D1544" s="22">
        <f t="shared" si="97"/>
        <v>-104303</v>
      </c>
      <c r="E1544" s="21" t="s">
        <v>5912</v>
      </c>
      <c r="F1544" s="23" t="str">
        <f t="shared" si="96"/>
        <v>insert into ins_premium_det (premium_rcv_code,assorted_code, rec_amount,premium_rcv_detail_code,remaining_amt, payrec, mode_code,coinsurance_code,class_cd,it_remarks) values</v>
      </c>
      <c r="G1544" s="24" t="str">
        <f t="shared" si="98"/>
        <v>('29Apr250042','050000836754','-104303',(select max(to_number(i.premium_rcv_detail_code))+1
from ins_premium_det i),'-104303','-104303','02', '11000003','00','Request by Mr. Omair Ali 30-Apr-2025');</v>
      </c>
      <c r="H1544" s="25" t="str">
        <f t="shared" si="99"/>
        <v>insert into ins_premium_det (premium_rcv_code,assorted_code, rec_amount,premium_rcv_detail_code,remaining_amt, payrec, mode_code,coinsurance_code,class_cd,it_remarks) values('29Apr250042','050000836754','-104303',(select max(to_number(i.premium_rcv_detail_code))+1
from ins_premium_det i),'-104303','-104303','02', '11000003','00','Request by Mr. Omair Ali 30-Apr-2025');</v>
      </c>
    </row>
    <row r="1545" spans="1:8" ht="105" x14ac:dyDescent="0.25">
      <c r="A1545" t="s">
        <v>952</v>
      </c>
      <c r="B1545" s="1" t="str">
        <f>VLOOKUP(A1545,Sheet5!B:C,2,0)</f>
        <v>050000836755</v>
      </c>
      <c r="C1545" s="13">
        <v>-136865</v>
      </c>
      <c r="D1545" s="22">
        <f t="shared" si="97"/>
        <v>-136865</v>
      </c>
      <c r="E1545" s="21" t="s">
        <v>5912</v>
      </c>
      <c r="F1545" s="23" t="str">
        <f t="shared" si="96"/>
        <v>insert into ins_premium_det (premium_rcv_code,assorted_code, rec_amount,premium_rcv_detail_code,remaining_amt, payrec, mode_code,coinsurance_code,class_cd,it_remarks) values</v>
      </c>
      <c r="G1545" s="24" t="str">
        <f t="shared" si="98"/>
        <v>('29Apr250042','050000836755','-136865',(select max(to_number(i.premium_rcv_detail_code))+1
from ins_premium_det i),'-136865','-136865','02', '11000003','00','Request by Mr. Omair Ali 30-Apr-2025');</v>
      </c>
      <c r="H1545" s="25" t="str">
        <f t="shared" si="99"/>
        <v>insert into ins_premium_det (premium_rcv_code,assorted_code, rec_amount,premium_rcv_detail_code,remaining_amt, payrec, mode_code,coinsurance_code,class_cd,it_remarks) values('29Apr250042','050000836755','-136865',(select max(to_number(i.premium_rcv_detail_code))+1
from ins_premium_det i),'-136865','-136865','02', '11000003','00','Request by Mr. Omair Ali 30-Apr-2025');</v>
      </c>
    </row>
    <row r="1546" spans="1:8" ht="105" x14ac:dyDescent="0.25">
      <c r="A1546" t="s">
        <v>961</v>
      </c>
      <c r="B1546" s="1" t="str">
        <f>VLOOKUP(A1546,Sheet5!B:C,2,0)</f>
        <v>050000836756</v>
      </c>
      <c r="C1546" s="13">
        <v>-75577</v>
      </c>
      <c r="D1546" s="22">
        <f t="shared" si="97"/>
        <v>-75577</v>
      </c>
      <c r="E1546" s="21" t="s">
        <v>5912</v>
      </c>
      <c r="F1546" s="23" t="str">
        <f t="shared" si="96"/>
        <v>insert into ins_premium_det (premium_rcv_code,assorted_code, rec_amount,premium_rcv_detail_code,remaining_amt, payrec, mode_code,coinsurance_code,class_cd,it_remarks) values</v>
      </c>
      <c r="G1546" s="24" t="str">
        <f t="shared" si="98"/>
        <v>('29Apr250042','050000836756','-75577',(select max(to_number(i.premium_rcv_detail_code))+1
from ins_premium_det i),'-75577','-75577','02', '11000003','00','Request by Mr. Omair Ali 30-Apr-2025');</v>
      </c>
      <c r="H1546" s="25" t="str">
        <f t="shared" si="99"/>
        <v>insert into ins_premium_det (premium_rcv_code,assorted_code, rec_amount,premium_rcv_detail_code,remaining_amt, payrec, mode_code,coinsurance_code,class_cd,it_remarks) values('29Apr250042','050000836756','-75577',(select max(to_number(i.premium_rcv_detail_code))+1
from ins_premium_det i),'-75577','-75577','02', '11000003','00','Request by Mr. Omair Ali 30-Apr-2025');</v>
      </c>
    </row>
    <row r="1547" spans="1:8" ht="105" x14ac:dyDescent="0.25">
      <c r="A1547" t="s">
        <v>975</v>
      </c>
      <c r="B1547" s="1" t="str">
        <f>VLOOKUP(A1547,Sheet5!B:C,2,0)</f>
        <v>050000836757</v>
      </c>
      <c r="C1547" s="13">
        <v>-88043</v>
      </c>
      <c r="D1547" s="22">
        <f t="shared" si="97"/>
        <v>-88043</v>
      </c>
      <c r="E1547" s="21" t="s">
        <v>5912</v>
      </c>
      <c r="F1547" s="23" t="str">
        <f t="shared" si="96"/>
        <v>insert into ins_premium_det (premium_rcv_code,assorted_code, rec_amount,premium_rcv_detail_code,remaining_amt, payrec, mode_code,coinsurance_code,class_cd,it_remarks) values</v>
      </c>
      <c r="G1547" s="24" t="str">
        <f t="shared" si="98"/>
        <v>('29Apr250042','050000836757','-88043',(select max(to_number(i.premium_rcv_detail_code))+1
from ins_premium_det i),'-88043','-88043','02', '11000003','00','Request by Mr. Omair Ali 30-Apr-2025');</v>
      </c>
      <c r="H1547" s="25" t="str">
        <f t="shared" si="99"/>
        <v>insert into ins_premium_det (premium_rcv_code,assorted_code, rec_amount,premium_rcv_detail_code,remaining_amt, payrec, mode_code,coinsurance_code,class_cd,it_remarks) values('29Apr250042','050000836757','-88043',(select max(to_number(i.premium_rcv_detail_code))+1
from ins_premium_det i),'-88043','-88043','02', '11000003','00','Request by Mr. Omair Ali 30-Apr-2025');</v>
      </c>
    </row>
    <row r="1548" spans="1:8" ht="105" x14ac:dyDescent="0.25">
      <c r="A1548" t="s">
        <v>989</v>
      </c>
      <c r="B1548" s="1" t="str">
        <f>VLOOKUP(A1548,Sheet5!B:C,2,0)</f>
        <v>050000836758</v>
      </c>
      <c r="C1548" s="13">
        <v>-29344</v>
      </c>
      <c r="D1548" s="22">
        <f t="shared" si="97"/>
        <v>-29344</v>
      </c>
      <c r="E1548" s="21" t="s">
        <v>5912</v>
      </c>
      <c r="F1548" s="23" t="str">
        <f t="shared" si="96"/>
        <v>insert into ins_premium_det (premium_rcv_code,assorted_code, rec_amount,premium_rcv_detail_code,remaining_amt, payrec, mode_code,coinsurance_code,class_cd,it_remarks) values</v>
      </c>
      <c r="G1548" s="24" t="str">
        <f t="shared" si="98"/>
        <v>('29Apr250042','050000836758','-29344',(select max(to_number(i.premium_rcv_detail_code))+1
from ins_premium_det i),'-29344','-29344','02', '11000003','00','Request by Mr. Omair Ali 30-Apr-2025');</v>
      </c>
      <c r="H1548" s="25" t="str">
        <f t="shared" si="99"/>
        <v>insert into ins_premium_det (premium_rcv_code,assorted_code, rec_amount,premium_rcv_detail_code,remaining_amt, payrec, mode_code,coinsurance_code,class_cd,it_remarks) values('29Apr250042','050000836758','-29344',(select max(to_number(i.premium_rcv_detail_code))+1
from ins_premium_det i),'-29344','-29344','02', '11000003','00','Request by Mr. Omair Ali 30-Apr-2025');</v>
      </c>
    </row>
    <row r="1549" spans="1:8" ht="105" x14ac:dyDescent="0.25">
      <c r="A1549" t="s">
        <v>1003</v>
      </c>
      <c r="B1549" s="1" t="str">
        <f>VLOOKUP(A1549,Sheet5!B:C,2,0)</f>
        <v>050000836759</v>
      </c>
      <c r="C1549" s="13">
        <v>-87148</v>
      </c>
      <c r="D1549" s="22">
        <f t="shared" si="97"/>
        <v>-87148</v>
      </c>
      <c r="E1549" s="21" t="s">
        <v>5912</v>
      </c>
      <c r="F1549" s="23" t="str">
        <f t="shared" si="96"/>
        <v>insert into ins_premium_det (premium_rcv_code,assorted_code, rec_amount,premium_rcv_detail_code,remaining_amt, payrec, mode_code,coinsurance_code,class_cd,it_remarks) values</v>
      </c>
      <c r="G1549" s="24" t="str">
        <f t="shared" si="98"/>
        <v>('29Apr250042','050000836759','-87148',(select max(to_number(i.premium_rcv_detail_code))+1
from ins_premium_det i),'-87148','-87148','02', '11000003','00','Request by Mr. Omair Ali 30-Apr-2025');</v>
      </c>
      <c r="H1549" s="25" t="str">
        <f t="shared" si="99"/>
        <v>insert into ins_premium_det (premium_rcv_code,assorted_code, rec_amount,premium_rcv_detail_code,remaining_amt, payrec, mode_code,coinsurance_code,class_cd,it_remarks) values('29Apr250042','050000836759','-87148',(select max(to_number(i.premium_rcv_detail_code))+1
from ins_premium_det i),'-87148','-87148','02', '11000003','00','Request by Mr. Omair Ali 30-Apr-2025');</v>
      </c>
    </row>
    <row r="1550" spans="1:8" ht="105" x14ac:dyDescent="0.25">
      <c r="A1550" t="s">
        <v>1017</v>
      </c>
      <c r="B1550" s="1" t="str">
        <f>VLOOKUP(A1550,Sheet5!B:C,2,0)</f>
        <v>050000836760</v>
      </c>
      <c r="C1550" s="13">
        <v>-112465</v>
      </c>
      <c r="D1550" s="22">
        <f t="shared" si="97"/>
        <v>-112465</v>
      </c>
      <c r="E1550" s="21" t="s">
        <v>5912</v>
      </c>
      <c r="F1550" s="23" t="str">
        <f t="shared" si="96"/>
        <v>insert into ins_premium_det (premium_rcv_code,assorted_code, rec_amount,premium_rcv_detail_code,remaining_amt, payrec, mode_code,coinsurance_code,class_cd,it_remarks) values</v>
      </c>
      <c r="G1550" s="24" t="str">
        <f t="shared" si="98"/>
        <v>('29Apr250042','050000836760','-112465',(select max(to_number(i.premium_rcv_detail_code))+1
from ins_premium_det i),'-112465','-112465','02', '11000003','00','Request by Mr. Omair Ali 30-Apr-2025');</v>
      </c>
      <c r="H1550" s="25" t="str">
        <f t="shared" si="99"/>
        <v>insert into ins_premium_det (premium_rcv_code,assorted_code, rec_amount,premium_rcv_detail_code,remaining_amt, payrec, mode_code,coinsurance_code,class_cd,it_remarks) values('29Apr250042','050000836760','-112465',(select max(to_number(i.premium_rcv_detail_code))+1
from ins_premium_det i),'-112465','-112465','02', '11000003','00','Request by Mr. Omair Ali 30-Apr-2025');</v>
      </c>
    </row>
    <row r="1551" spans="1:8" ht="105" x14ac:dyDescent="0.25">
      <c r="A1551" t="s">
        <v>1034</v>
      </c>
      <c r="B1551" s="1" t="str">
        <f>VLOOKUP(A1551,Sheet5!B:C,2,0)</f>
        <v>050000836761</v>
      </c>
      <c r="C1551" s="13">
        <v>-48827</v>
      </c>
      <c r="D1551" s="22">
        <f t="shared" si="97"/>
        <v>-48827</v>
      </c>
      <c r="E1551" s="21" t="s">
        <v>5912</v>
      </c>
      <c r="F1551" s="23" t="str">
        <f t="shared" si="96"/>
        <v>insert into ins_premium_det (premium_rcv_code,assorted_code, rec_amount,premium_rcv_detail_code,remaining_amt, payrec, mode_code,coinsurance_code,class_cd,it_remarks) values</v>
      </c>
      <c r="G1551" s="24" t="str">
        <f t="shared" si="98"/>
        <v>('29Apr250042','050000836761','-48827',(select max(to_number(i.premium_rcv_detail_code))+1
from ins_premium_det i),'-48827','-48827','02', '11000003','00','Request by Mr. Omair Ali 30-Apr-2025');</v>
      </c>
      <c r="H1551" s="25" t="str">
        <f t="shared" si="99"/>
        <v>insert into ins_premium_det (premium_rcv_code,assorted_code, rec_amount,premium_rcv_detail_code,remaining_amt, payrec, mode_code,coinsurance_code,class_cd,it_remarks) values('29Apr250042','050000836761','-48827',(select max(to_number(i.premium_rcv_detail_code))+1
from ins_premium_det i),'-48827','-48827','02', '11000003','00','Request by Mr. Omair Ali 30-Apr-2025');</v>
      </c>
    </row>
    <row r="1552" spans="1:8" ht="105" x14ac:dyDescent="0.25">
      <c r="A1552" t="s">
        <v>1039</v>
      </c>
      <c r="B1552" s="1" t="str">
        <f>VLOOKUP(A1552,Sheet5!B:C,2,0)</f>
        <v>050000836762</v>
      </c>
      <c r="C1552" s="13">
        <v>-95732</v>
      </c>
      <c r="D1552" s="22">
        <f t="shared" si="97"/>
        <v>-95732</v>
      </c>
      <c r="E1552" s="21" t="s">
        <v>5912</v>
      </c>
      <c r="F1552" s="23" t="str">
        <f t="shared" si="96"/>
        <v>insert into ins_premium_det (premium_rcv_code,assorted_code, rec_amount,premium_rcv_detail_code,remaining_amt, payrec, mode_code,coinsurance_code,class_cd,it_remarks) values</v>
      </c>
      <c r="G1552" s="24" t="str">
        <f t="shared" si="98"/>
        <v>('29Apr250042','050000836762','-95732',(select max(to_number(i.premium_rcv_detail_code))+1
from ins_premium_det i),'-95732','-95732','02', '11000003','00','Request by Mr. Omair Ali 30-Apr-2025');</v>
      </c>
      <c r="H1552" s="25" t="str">
        <f t="shared" si="99"/>
        <v>insert into ins_premium_det (premium_rcv_code,assorted_code, rec_amount,premium_rcv_detail_code,remaining_amt, payrec, mode_code,coinsurance_code,class_cd,it_remarks) values('29Apr250042','050000836762','-95732',(select max(to_number(i.premium_rcv_detail_code))+1
from ins_premium_det i),'-95732','-95732','02', '11000003','00','Request by Mr. Omair Ali 30-Apr-2025');</v>
      </c>
    </row>
    <row r="1553" spans="1:8" ht="105" x14ac:dyDescent="0.25">
      <c r="A1553" t="s">
        <v>1048</v>
      </c>
      <c r="B1553" s="1" t="str">
        <f>VLOOKUP(A1553,Sheet5!B:C,2,0)</f>
        <v>050000836763</v>
      </c>
      <c r="C1553" s="13">
        <v>-55000</v>
      </c>
      <c r="D1553" s="22">
        <f t="shared" si="97"/>
        <v>-55000</v>
      </c>
      <c r="E1553" s="21" t="s">
        <v>5912</v>
      </c>
      <c r="F1553" s="23" t="str">
        <f t="shared" si="96"/>
        <v>insert into ins_premium_det (premium_rcv_code,assorted_code, rec_amount,premium_rcv_detail_code,remaining_amt, payrec, mode_code,coinsurance_code,class_cd,it_remarks) values</v>
      </c>
      <c r="G1553" s="24" t="str">
        <f t="shared" si="98"/>
        <v>('29Apr250042','050000836763','-55000',(select max(to_number(i.premium_rcv_detail_code))+1
from ins_premium_det i),'-55000','-55000','02', '11000003','00','Request by Mr. Omair Ali 30-Apr-2025');</v>
      </c>
      <c r="H1553" s="25" t="str">
        <f t="shared" si="99"/>
        <v>insert into ins_premium_det (premium_rcv_code,assorted_code, rec_amount,premium_rcv_detail_code,remaining_amt, payrec, mode_code,coinsurance_code,class_cd,it_remarks) values('29Apr250042','050000836763','-55000',(select max(to_number(i.premium_rcv_detail_code))+1
from ins_premium_det i),'-55000','-55000','02', '11000003','00','Request by Mr. Omair Ali 30-Apr-2025');</v>
      </c>
    </row>
    <row r="1554" spans="1:8" ht="105" x14ac:dyDescent="0.25">
      <c r="A1554" t="s">
        <v>1072</v>
      </c>
      <c r="B1554" s="1" t="str">
        <f>VLOOKUP(A1554,Sheet5!B:C,2,0)</f>
        <v>050000836764</v>
      </c>
      <c r="C1554" s="13">
        <v>-153343</v>
      </c>
      <c r="D1554" s="22">
        <f t="shared" si="97"/>
        <v>-153343</v>
      </c>
      <c r="E1554" s="21" t="s">
        <v>5912</v>
      </c>
      <c r="F1554" s="23" t="str">
        <f t="shared" si="96"/>
        <v>insert into ins_premium_det (premium_rcv_code,assorted_code, rec_amount,premium_rcv_detail_code,remaining_amt, payrec, mode_code,coinsurance_code,class_cd,it_remarks) values</v>
      </c>
      <c r="G1554" s="24" t="str">
        <f t="shared" si="98"/>
        <v>('29Apr250042','050000836764','-153343',(select max(to_number(i.premium_rcv_detail_code))+1
from ins_premium_det i),'-153343','-153343','02', '11000003','00','Request by Mr. Omair Ali 30-Apr-2025');</v>
      </c>
      <c r="H1554" s="25" t="str">
        <f t="shared" si="99"/>
        <v>insert into ins_premium_det (premium_rcv_code,assorted_code, rec_amount,premium_rcv_detail_code,remaining_amt, payrec, mode_code,coinsurance_code,class_cd,it_remarks) values('29Apr250042','050000836764','-153343',(select max(to_number(i.premium_rcv_detail_code))+1
from ins_premium_det i),'-153343','-153343','02', '11000003','00','Request by Mr. Omair Ali 30-Apr-2025');</v>
      </c>
    </row>
    <row r="1555" spans="1:8" ht="105" x14ac:dyDescent="0.25">
      <c r="A1555" t="s">
        <v>1083</v>
      </c>
      <c r="B1555" s="1" t="str">
        <f>VLOOKUP(A1555,Sheet5!B:C,2,0)</f>
        <v>050000836765</v>
      </c>
      <c r="C1555" s="13">
        <v>-164933</v>
      </c>
      <c r="D1555" s="22">
        <f t="shared" si="97"/>
        <v>-164933</v>
      </c>
      <c r="E1555" s="21" t="s">
        <v>5912</v>
      </c>
      <c r="F1555" s="23" t="str">
        <f t="shared" si="96"/>
        <v>insert into ins_premium_det (premium_rcv_code,assorted_code, rec_amount,premium_rcv_detail_code,remaining_amt, payrec, mode_code,coinsurance_code,class_cd,it_remarks) values</v>
      </c>
      <c r="G1555" s="24" t="str">
        <f t="shared" si="98"/>
        <v>('29Apr250042','050000836765','-164933',(select max(to_number(i.premium_rcv_detail_code))+1
from ins_premium_det i),'-164933','-164933','02', '11000003','00','Request by Mr. Omair Ali 30-Apr-2025');</v>
      </c>
      <c r="H1555" s="25" t="str">
        <f t="shared" si="99"/>
        <v>insert into ins_premium_det (premium_rcv_code,assorted_code, rec_amount,premium_rcv_detail_code,remaining_amt, payrec, mode_code,coinsurance_code,class_cd,it_remarks) values('29Apr250042','050000836765','-164933',(select max(to_number(i.premium_rcv_detail_code))+1
from ins_premium_det i),'-164933','-164933','02', '11000003','00','Request by Mr. Omair Ali 30-Apr-2025');</v>
      </c>
    </row>
    <row r="1556" spans="1:8" ht="105" x14ac:dyDescent="0.25">
      <c r="A1556" t="s">
        <v>1097</v>
      </c>
      <c r="B1556" s="1" t="str">
        <f>VLOOKUP(A1556,Sheet5!B:C,2,0)</f>
        <v>050000836766</v>
      </c>
      <c r="C1556" s="13">
        <v>-15820</v>
      </c>
      <c r="D1556" s="22">
        <f t="shared" si="97"/>
        <v>-15820</v>
      </c>
      <c r="E1556" s="21" t="s">
        <v>5912</v>
      </c>
      <c r="F1556" s="23" t="str">
        <f t="shared" si="96"/>
        <v>insert into ins_premium_det (premium_rcv_code,assorted_code, rec_amount,premium_rcv_detail_code,remaining_amt, payrec, mode_code,coinsurance_code,class_cd,it_remarks) values</v>
      </c>
      <c r="G1556" s="24" t="str">
        <f t="shared" si="98"/>
        <v>('29Apr250042','050000836766','-15820',(select max(to_number(i.premium_rcv_detail_code))+1
from ins_premium_det i),'-15820','-15820','02', '11000003','00','Request by Mr. Omair Ali 30-Apr-2025');</v>
      </c>
      <c r="H1556" s="25" t="str">
        <f t="shared" si="99"/>
        <v>insert into ins_premium_det (premium_rcv_code,assorted_code, rec_amount,premium_rcv_detail_code,remaining_amt, payrec, mode_code,coinsurance_code,class_cd,it_remarks) values('29Apr250042','050000836766','-15820',(select max(to_number(i.premium_rcv_detail_code))+1
from ins_premium_det i),'-15820','-15820','02', '11000003','00','Request by Mr. Omair Ali 30-Apr-2025');</v>
      </c>
    </row>
    <row r="1557" spans="1:8" ht="105" x14ac:dyDescent="0.25">
      <c r="A1557" t="s">
        <v>1127</v>
      </c>
      <c r="B1557" s="1" t="str">
        <f>VLOOKUP(A1557,Sheet5!B:C,2,0)</f>
        <v>050000836767</v>
      </c>
      <c r="C1557" s="13">
        <v>-87493</v>
      </c>
      <c r="D1557" s="22">
        <f t="shared" si="97"/>
        <v>-87493</v>
      </c>
      <c r="E1557" s="21" t="s">
        <v>5912</v>
      </c>
      <c r="F1557" s="23" t="str">
        <f t="shared" si="96"/>
        <v>insert into ins_premium_det (premium_rcv_code,assorted_code, rec_amount,premium_rcv_detail_code,remaining_amt, payrec, mode_code,coinsurance_code,class_cd,it_remarks) values</v>
      </c>
      <c r="G1557" s="24" t="str">
        <f t="shared" si="98"/>
        <v>('29Apr250042','050000836767','-87493',(select max(to_number(i.premium_rcv_detail_code))+1
from ins_premium_det i),'-87493','-87493','02', '11000003','00','Request by Mr. Omair Ali 30-Apr-2025');</v>
      </c>
      <c r="H1557" s="25" t="str">
        <f t="shared" si="99"/>
        <v>insert into ins_premium_det (premium_rcv_code,assorted_code, rec_amount,premium_rcv_detail_code,remaining_amt, payrec, mode_code,coinsurance_code,class_cd,it_remarks) values('29Apr250042','050000836767','-87493',(select max(to_number(i.premium_rcv_detail_code))+1
from ins_premium_det i),'-87493','-87493','02', '11000003','00','Request by Mr. Omair Ali 30-Apr-2025');</v>
      </c>
    </row>
    <row r="1558" spans="1:8" ht="105" x14ac:dyDescent="0.25">
      <c r="A1558" t="s">
        <v>1151</v>
      </c>
      <c r="B1558" s="1" t="str">
        <f>VLOOKUP(A1558,Sheet5!B:C,2,0)</f>
        <v>050000836768</v>
      </c>
      <c r="C1558" s="13">
        <v>-94926</v>
      </c>
      <c r="D1558" s="22">
        <f t="shared" si="97"/>
        <v>-94926</v>
      </c>
      <c r="E1558" s="21" t="s">
        <v>5912</v>
      </c>
      <c r="F1558" s="23" t="str">
        <f t="shared" si="96"/>
        <v>insert into ins_premium_det (premium_rcv_code,assorted_code, rec_amount,premium_rcv_detail_code,remaining_amt, payrec, mode_code,coinsurance_code,class_cd,it_remarks) values</v>
      </c>
      <c r="G1558" s="24" t="str">
        <f t="shared" si="98"/>
        <v>('29Apr250042','050000836768','-94926',(select max(to_number(i.premium_rcv_detail_code))+1
from ins_premium_det i),'-94926','-94926','02', '11000003','00','Request by Mr. Omair Ali 30-Apr-2025');</v>
      </c>
      <c r="H1558" s="25" t="str">
        <f t="shared" si="99"/>
        <v>insert into ins_premium_det (premium_rcv_code,assorted_code, rec_amount,premium_rcv_detail_code,remaining_amt, payrec, mode_code,coinsurance_code,class_cd,it_remarks) values('29Apr250042','050000836768','-94926',(select max(to_number(i.premium_rcv_detail_code))+1
from ins_premium_det i),'-94926','-94926','02', '11000003','00','Request by Mr. Omair Ali 30-Apr-2025');</v>
      </c>
    </row>
    <row r="1559" spans="1:8" ht="105" x14ac:dyDescent="0.25">
      <c r="A1559" t="s">
        <v>1158</v>
      </c>
      <c r="B1559" s="1" t="str">
        <f>VLOOKUP(A1559,Sheet5!B:C,2,0)</f>
        <v>050000836769</v>
      </c>
      <c r="C1559" s="13">
        <v>-45000</v>
      </c>
      <c r="D1559" s="22">
        <f t="shared" si="97"/>
        <v>-45000</v>
      </c>
      <c r="E1559" s="21" t="s">
        <v>5912</v>
      </c>
      <c r="F1559" s="23" t="str">
        <f t="shared" si="96"/>
        <v>insert into ins_premium_det (premium_rcv_code,assorted_code, rec_amount,premium_rcv_detail_code,remaining_amt, payrec, mode_code,coinsurance_code,class_cd,it_remarks) values</v>
      </c>
      <c r="G1559" s="24" t="str">
        <f t="shared" si="98"/>
        <v>('29Apr250042','050000836769','-45000',(select max(to_number(i.premium_rcv_detail_code))+1
from ins_premium_det i),'-45000','-45000','02', '11000003','00','Request by Mr. Omair Ali 30-Apr-2025');</v>
      </c>
      <c r="H1559" s="25" t="str">
        <f t="shared" si="99"/>
        <v>insert into ins_premium_det (premium_rcv_code,assorted_code, rec_amount,premium_rcv_detail_code,remaining_amt, payrec, mode_code,coinsurance_code,class_cd,it_remarks) values('29Apr250042','050000836769','-45000',(select max(to_number(i.premium_rcv_detail_code))+1
from ins_premium_det i),'-45000','-45000','02', '11000003','00','Request by Mr. Omair Ali 30-Apr-2025');</v>
      </c>
    </row>
    <row r="1560" spans="1:8" ht="105" x14ac:dyDescent="0.25">
      <c r="A1560" t="s">
        <v>1201</v>
      </c>
      <c r="B1560" s="1" t="str">
        <f>VLOOKUP(A1560,Sheet5!B:C,2,0)</f>
        <v>050000836770</v>
      </c>
      <c r="C1560" s="13">
        <v>-76494</v>
      </c>
      <c r="D1560" s="22">
        <f t="shared" si="97"/>
        <v>-76494</v>
      </c>
      <c r="E1560" s="21" t="s">
        <v>5912</v>
      </c>
      <c r="F1560" s="23" t="str">
        <f t="shared" si="96"/>
        <v>insert into ins_premium_det (premium_rcv_code,assorted_code, rec_amount,premium_rcv_detail_code,remaining_amt, payrec, mode_code,coinsurance_code,class_cd,it_remarks) values</v>
      </c>
      <c r="G1560" s="24" t="str">
        <f t="shared" si="98"/>
        <v>('29Apr250042','050000836770','-76494',(select max(to_number(i.premium_rcv_detail_code))+1
from ins_premium_det i),'-76494','-76494','02', '11000003','00','Request by Mr. Omair Ali 30-Apr-2025');</v>
      </c>
      <c r="H1560" s="25" t="str">
        <f t="shared" si="99"/>
        <v>insert into ins_premium_det (premium_rcv_code,assorted_code, rec_amount,premium_rcv_detail_code,remaining_amt, payrec, mode_code,coinsurance_code,class_cd,it_remarks) values('29Apr250042','050000836770','-76494',(select max(to_number(i.premium_rcv_detail_code))+1
from ins_premium_det i),'-76494','-76494','02', '11000003','00','Request by Mr. Omair Ali 30-Apr-2025');</v>
      </c>
    </row>
    <row r="1561" spans="1:8" ht="105" x14ac:dyDescent="0.25">
      <c r="A1561" t="s">
        <v>1204</v>
      </c>
      <c r="B1561" s="1" t="str">
        <f>VLOOKUP(A1561,Sheet5!B:C,2,0)</f>
        <v>050000836771</v>
      </c>
      <c r="C1561" s="13">
        <v>-1200</v>
      </c>
      <c r="D1561" s="22">
        <f t="shared" si="97"/>
        <v>-1200</v>
      </c>
      <c r="E1561" s="21" t="s">
        <v>5912</v>
      </c>
      <c r="F1561" s="23" t="str">
        <f t="shared" si="96"/>
        <v>insert into ins_premium_det (premium_rcv_code,assorted_code, rec_amount,premium_rcv_detail_code,remaining_amt, payrec, mode_code,coinsurance_code,class_cd,it_remarks) values</v>
      </c>
      <c r="G1561" s="24" t="str">
        <f t="shared" si="98"/>
        <v>('29Apr250042','050000836771','-1200',(select max(to_number(i.premium_rcv_detail_code))+1
from ins_premium_det i),'-1200','-1200','02', '11000003','00','Request by Mr. Omair Ali 30-Apr-2025');</v>
      </c>
      <c r="H1561" s="25" t="str">
        <f t="shared" si="99"/>
        <v>insert into ins_premium_det (premium_rcv_code,assorted_code, rec_amount,premium_rcv_detail_code,remaining_amt, payrec, mode_code,coinsurance_code,class_cd,it_remarks) values('29Apr250042','050000836771','-1200',(select max(to_number(i.premium_rcv_detail_code))+1
from ins_premium_det i),'-1200','-1200','02', '11000003','00','Request by Mr. Omair Ali 30-Apr-2025');</v>
      </c>
    </row>
    <row r="1562" spans="1:8" ht="105" x14ac:dyDescent="0.25">
      <c r="A1562" t="s">
        <v>1209</v>
      </c>
      <c r="B1562" s="1" t="str">
        <f>VLOOKUP(A1562,Sheet5!B:C,2,0)</f>
        <v>050000836772</v>
      </c>
      <c r="C1562" s="13">
        <v>-8830</v>
      </c>
      <c r="D1562" s="22">
        <f t="shared" si="97"/>
        <v>-8830</v>
      </c>
      <c r="E1562" s="21" t="s">
        <v>5912</v>
      </c>
      <c r="F1562" s="23" t="str">
        <f t="shared" si="96"/>
        <v>insert into ins_premium_det (premium_rcv_code,assorted_code, rec_amount,premium_rcv_detail_code,remaining_amt, payrec, mode_code,coinsurance_code,class_cd,it_remarks) values</v>
      </c>
      <c r="G1562" s="24" t="str">
        <f t="shared" si="98"/>
        <v>('29Apr250042','050000836772','-8830',(select max(to_number(i.premium_rcv_detail_code))+1
from ins_premium_det i),'-8830','-8830','02', '11000003','00','Request by Mr. Omair Ali 30-Apr-2025');</v>
      </c>
      <c r="H1562" s="25" t="str">
        <f t="shared" si="99"/>
        <v>insert into ins_premium_det (premium_rcv_code,assorted_code, rec_amount,premium_rcv_detail_code,remaining_amt, payrec, mode_code,coinsurance_code,class_cd,it_remarks) values('29Apr250042','050000836772','-8830',(select max(to_number(i.premium_rcv_detail_code))+1
from ins_premium_det i),'-8830','-8830','02', '11000003','00','Request by Mr. Omair Ali 30-Apr-2025');</v>
      </c>
    </row>
    <row r="1563" spans="1:8" ht="105" x14ac:dyDescent="0.25">
      <c r="A1563" t="s">
        <v>1231</v>
      </c>
      <c r="B1563" s="1" t="str">
        <f>VLOOKUP(A1563,Sheet5!B:C,2,0)</f>
        <v>050000836773</v>
      </c>
      <c r="C1563" s="13">
        <v>-39802</v>
      </c>
      <c r="D1563" s="22">
        <f t="shared" si="97"/>
        <v>-39802</v>
      </c>
      <c r="E1563" s="21" t="s">
        <v>5912</v>
      </c>
      <c r="F1563" s="23" t="str">
        <f t="shared" si="96"/>
        <v>insert into ins_premium_det (premium_rcv_code,assorted_code, rec_amount,premium_rcv_detail_code,remaining_amt, payrec, mode_code,coinsurance_code,class_cd,it_remarks) values</v>
      </c>
      <c r="G1563" s="24" t="str">
        <f t="shared" si="98"/>
        <v>('29Apr250042','050000836773','-39802',(select max(to_number(i.premium_rcv_detail_code))+1
from ins_premium_det i),'-39802','-39802','02', '11000003','00','Request by Mr. Omair Ali 30-Apr-2025');</v>
      </c>
      <c r="H1563" s="25" t="str">
        <f t="shared" si="99"/>
        <v>insert into ins_premium_det (premium_rcv_code,assorted_code, rec_amount,premium_rcv_detail_code,remaining_amt, payrec, mode_code,coinsurance_code,class_cd,it_remarks) values('29Apr250042','050000836773','-39802',(select max(to_number(i.premium_rcv_detail_code))+1
from ins_premium_det i),'-39802','-39802','02', '11000003','00','Request by Mr. Omair Ali 30-Apr-2025');</v>
      </c>
    </row>
    <row r="1564" spans="1:8" ht="105" x14ac:dyDescent="0.25">
      <c r="A1564" t="s">
        <v>1242</v>
      </c>
      <c r="B1564" s="1" t="str">
        <f>VLOOKUP(A1564,Sheet5!B:C,2,0)</f>
        <v>050000836774</v>
      </c>
      <c r="C1564" s="13">
        <v>-4924</v>
      </c>
      <c r="D1564" s="22">
        <f t="shared" si="97"/>
        <v>-4924</v>
      </c>
      <c r="E1564" s="21" t="s">
        <v>5912</v>
      </c>
      <c r="F1564" s="23" t="str">
        <f t="shared" si="96"/>
        <v>insert into ins_premium_det (premium_rcv_code,assorted_code, rec_amount,premium_rcv_detail_code,remaining_amt, payrec, mode_code,coinsurance_code,class_cd,it_remarks) values</v>
      </c>
      <c r="G1564" s="24" t="str">
        <f t="shared" si="98"/>
        <v>('29Apr250042','050000836774','-4924',(select max(to_number(i.premium_rcv_detail_code))+1
from ins_premium_det i),'-4924','-4924','02', '11000003','00','Request by Mr. Omair Ali 30-Apr-2025');</v>
      </c>
      <c r="H1564" s="25" t="str">
        <f t="shared" si="99"/>
        <v>insert into ins_premium_det (premium_rcv_code,assorted_code, rec_amount,premium_rcv_detail_code,remaining_amt, payrec, mode_code,coinsurance_code,class_cd,it_remarks) values('29Apr250042','050000836774','-4924',(select max(to_number(i.premium_rcv_detail_code))+1
from ins_premium_det i),'-4924','-4924','02', '11000003','00','Request by Mr. Omair Ali 30-Apr-2025');</v>
      </c>
    </row>
    <row r="1565" spans="1:8" ht="105" x14ac:dyDescent="0.25">
      <c r="A1565" t="s">
        <v>1255</v>
      </c>
      <c r="B1565" s="1" t="str">
        <f>VLOOKUP(A1565,Sheet5!B:C,2,0)</f>
        <v>050000836775</v>
      </c>
      <c r="C1565" s="13">
        <v>-4257</v>
      </c>
      <c r="D1565" s="22">
        <f t="shared" si="97"/>
        <v>-4257</v>
      </c>
      <c r="E1565" s="21" t="s">
        <v>5912</v>
      </c>
      <c r="F1565" s="23" t="str">
        <f t="shared" si="96"/>
        <v>insert into ins_premium_det (premium_rcv_code,assorted_code, rec_amount,premium_rcv_detail_code,remaining_amt, payrec, mode_code,coinsurance_code,class_cd,it_remarks) values</v>
      </c>
      <c r="G1565" s="24" t="str">
        <f t="shared" si="98"/>
        <v>('29Apr250042','050000836775','-4257',(select max(to_number(i.premium_rcv_detail_code))+1
from ins_premium_det i),'-4257','-4257','02', '11000003','00','Request by Mr. Omair Ali 30-Apr-2025');</v>
      </c>
      <c r="H1565" s="25" t="str">
        <f t="shared" si="99"/>
        <v>insert into ins_premium_det (premium_rcv_code,assorted_code, rec_amount,premium_rcv_detail_code,remaining_amt, payrec, mode_code,coinsurance_code,class_cd,it_remarks) values('29Apr250042','050000836775','-4257',(select max(to_number(i.premium_rcv_detail_code))+1
from ins_premium_det i),'-4257','-4257','02', '11000003','00','Request by Mr. Omair Ali 30-Apr-2025');</v>
      </c>
    </row>
    <row r="1566" spans="1:8" ht="105" x14ac:dyDescent="0.25">
      <c r="A1566" t="s">
        <v>1260</v>
      </c>
      <c r="B1566" s="1" t="str">
        <f>VLOOKUP(A1566,Sheet5!B:C,2,0)</f>
        <v>050000836776</v>
      </c>
      <c r="C1566" s="13">
        <v>-2829</v>
      </c>
      <c r="D1566" s="22">
        <f t="shared" si="97"/>
        <v>-2829</v>
      </c>
      <c r="E1566" s="21" t="s">
        <v>5912</v>
      </c>
      <c r="F1566" s="23" t="str">
        <f t="shared" si="96"/>
        <v>insert into ins_premium_det (premium_rcv_code,assorted_code, rec_amount,premium_rcv_detail_code,remaining_amt, payrec, mode_code,coinsurance_code,class_cd,it_remarks) values</v>
      </c>
      <c r="G1566" s="24" t="str">
        <f t="shared" si="98"/>
        <v>('29Apr250042','050000836776','-2829',(select max(to_number(i.premium_rcv_detail_code))+1
from ins_premium_det i),'-2829','-2829','02', '11000003','00','Request by Mr. Omair Ali 30-Apr-2025');</v>
      </c>
      <c r="H1566" s="25" t="str">
        <f t="shared" si="99"/>
        <v>insert into ins_premium_det (premium_rcv_code,assorted_code, rec_amount,premium_rcv_detail_code,remaining_amt, payrec, mode_code,coinsurance_code,class_cd,it_remarks) values('29Apr250042','050000836776','-2829',(select max(to_number(i.premium_rcv_detail_code))+1
from ins_premium_det i),'-2829','-2829','02', '11000003','00','Request by Mr. Omair Ali 30-Apr-2025');</v>
      </c>
    </row>
    <row r="1567" spans="1:8" ht="105" x14ac:dyDescent="0.25">
      <c r="A1567" t="s">
        <v>1273</v>
      </c>
      <c r="B1567" s="1" t="str">
        <f>VLOOKUP(A1567,Sheet5!B:C,2,0)</f>
        <v>050000836777</v>
      </c>
      <c r="C1567" s="13">
        <v>-7265</v>
      </c>
      <c r="D1567" s="22">
        <f t="shared" si="97"/>
        <v>-7265</v>
      </c>
      <c r="E1567" s="21" t="s">
        <v>5912</v>
      </c>
      <c r="F1567" s="23" t="str">
        <f t="shared" si="96"/>
        <v>insert into ins_premium_det (premium_rcv_code,assorted_code, rec_amount,premium_rcv_detail_code,remaining_amt, payrec, mode_code,coinsurance_code,class_cd,it_remarks) values</v>
      </c>
      <c r="G1567" s="24" t="str">
        <f t="shared" si="98"/>
        <v>('29Apr250042','050000836777','-7265',(select max(to_number(i.premium_rcv_detail_code))+1
from ins_premium_det i),'-7265','-7265','02', '11000003','00','Request by Mr. Omair Ali 30-Apr-2025');</v>
      </c>
      <c r="H1567" s="25" t="str">
        <f t="shared" si="99"/>
        <v>insert into ins_premium_det (premium_rcv_code,assorted_code, rec_amount,premium_rcv_detail_code,remaining_amt, payrec, mode_code,coinsurance_code,class_cd,it_remarks) values('29Apr250042','050000836777','-7265',(select max(to_number(i.premium_rcv_detail_code))+1
from ins_premium_det i),'-7265','-7265','02', '11000003','00','Request by Mr. Omair Ali 30-Apr-2025');</v>
      </c>
    </row>
    <row r="1568" spans="1:8" ht="105" x14ac:dyDescent="0.25">
      <c r="A1568" t="s">
        <v>1287</v>
      </c>
      <c r="B1568" s="1" t="str">
        <f>VLOOKUP(A1568,Sheet5!B:C,2,0)</f>
        <v>050000836778</v>
      </c>
      <c r="C1568" s="13">
        <v>-13367</v>
      </c>
      <c r="D1568" s="22">
        <f t="shared" si="97"/>
        <v>-13367</v>
      </c>
      <c r="E1568" s="21" t="s">
        <v>5912</v>
      </c>
      <c r="F1568" s="23" t="str">
        <f t="shared" si="96"/>
        <v>insert into ins_premium_det (premium_rcv_code,assorted_code, rec_amount,premium_rcv_detail_code,remaining_amt, payrec, mode_code,coinsurance_code,class_cd,it_remarks) values</v>
      </c>
      <c r="G1568" s="24" t="str">
        <f t="shared" si="98"/>
        <v>('29Apr250042','050000836778','-13367',(select max(to_number(i.premium_rcv_detail_code))+1
from ins_premium_det i),'-13367','-13367','02', '11000003','00','Request by Mr. Omair Ali 30-Apr-2025');</v>
      </c>
      <c r="H1568" s="25" t="str">
        <f t="shared" si="99"/>
        <v>insert into ins_premium_det (premium_rcv_code,assorted_code, rec_amount,premium_rcv_detail_code,remaining_amt, payrec, mode_code,coinsurance_code,class_cd,it_remarks) values('29Apr250042','050000836778','-13367',(select max(to_number(i.premium_rcv_detail_code))+1
from ins_premium_det i),'-13367','-13367','02', '11000003','00','Request by Mr. Omair Ali 30-Apr-2025');</v>
      </c>
    </row>
    <row r="1569" spans="1:8" ht="105" x14ac:dyDescent="0.25">
      <c r="A1569" t="s">
        <v>1299</v>
      </c>
      <c r="B1569" s="1" t="str">
        <f>VLOOKUP(A1569,Sheet5!B:C,2,0)</f>
        <v>050000836779</v>
      </c>
      <c r="C1569" s="13">
        <v>-10400</v>
      </c>
      <c r="D1569" s="22">
        <f t="shared" si="97"/>
        <v>-10400</v>
      </c>
      <c r="E1569" s="21" t="s">
        <v>5912</v>
      </c>
      <c r="F1569" s="23" t="str">
        <f t="shared" si="96"/>
        <v>insert into ins_premium_det (premium_rcv_code,assorted_code, rec_amount,premium_rcv_detail_code,remaining_amt, payrec, mode_code,coinsurance_code,class_cd,it_remarks) values</v>
      </c>
      <c r="G1569" s="24" t="str">
        <f t="shared" si="98"/>
        <v>('29Apr250042','050000836779','-10400',(select max(to_number(i.premium_rcv_detail_code))+1
from ins_premium_det i),'-10400','-10400','02', '11000003','00','Request by Mr. Omair Ali 30-Apr-2025');</v>
      </c>
      <c r="H1569" s="25" t="str">
        <f t="shared" si="99"/>
        <v>insert into ins_premium_det (premium_rcv_code,assorted_code, rec_amount,premium_rcv_detail_code,remaining_amt, payrec, mode_code,coinsurance_code,class_cd,it_remarks) values('29Apr250042','050000836779','-10400',(select max(to_number(i.premium_rcv_detail_code))+1
from ins_premium_det i),'-10400','-10400','02', '11000003','00','Request by Mr. Omair Ali 30-Apr-2025');</v>
      </c>
    </row>
    <row r="1570" spans="1:8" ht="105" x14ac:dyDescent="0.25">
      <c r="A1570" t="s">
        <v>1311</v>
      </c>
      <c r="B1570" s="1" t="str">
        <f>VLOOKUP(A1570,Sheet5!B:C,2,0)</f>
        <v>050000836781</v>
      </c>
      <c r="C1570" s="13">
        <v>-32953</v>
      </c>
      <c r="D1570" s="22">
        <f t="shared" si="97"/>
        <v>-32953</v>
      </c>
      <c r="E1570" s="21" t="s">
        <v>5912</v>
      </c>
      <c r="F1570" s="23" t="str">
        <f t="shared" si="96"/>
        <v>insert into ins_premium_det (premium_rcv_code,assorted_code, rec_amount,premium_rcv_detail_code,remaining_amt, payrec, mode_code,coinsurance_code,class_cd,it_remarks) values</v>
      </c>
      <c r="G1570" s="24" t="str">
        <f t="shared" si="98"/>
        <v>('29Apr250042','050000836781','-32953',(select max(to_number(i.premium_rcv_detail_code))+1
from ins_premium_det i),'-32953','-32953','02', '11000003','00','Request by Mr. Omair Ali 30-Apr-2025');</v>
      </c>
      <c r="H1570" s="25" t="str">
        <f t="shared" si="99"/>
        <v>insert into ins_premium_det (premium_rcv_code,assorted_code, rec_amount,premium_rcv_detail_code,remaining_amt, payrec, mode_code,coinsurance_code,class_cd,it_remarks) values('29Apr250042','050000836781','-32953',(select max(to_number(i.premium_rcv_detail_code))+1
from ins_premium_det i),'-32953','-32953','02', '11000003','00','Request by Mr. Omair Ali 30-Apr-2025');</v>
      </c>
    </row>
    <row r="1571" spans="1:8" ht="105" x14ac:dyDescent="0.25">
      <c r="A1571" t="s">
        <v>1329</v>
      </c>
      <c r="B1571" s="1" t="str">
        <f>VLOOKUP(A1571,Sheet5!B:C,2,0)</f>
        <v>050000836782</v>
      </c>
      <c r="C1571" s="13">
        <v>-15560</v>
      </c>
      <c r="D1571" s="22">
        <f t="shared" si="97"/>
        <v>-15560</v>
      </c>
      <c r="E1571" s="21" t="s">
        <v>5912</v>
      </c>
      <c r="F1571" s="23" t="str">
        <f t="shared" si="96"/>
        <v>insert into ins_premium_det (premium_rcv_code,assorted_code, rec_amount,premium_rcv_detail_code,remaining_amt, payrec, mode_code,coinsurance_code,class_cd,it_remarks) values</v>
      </c>
      <c r="G1571" s="24" t="str">
        <f t="shared" si="98"/>
        <v>('29Apr250042','050000836782','-15560',(select max(to_number(i.premium_rcv_detail_code))+1
from ins_premium_det i),'-15560','-15560','02', '11000003','00','Request by Mr. Omair Ali 30-Apr-2025');</v>
      </c>
      <c r="H1571" s="25" t="str">
        <f t="shared" si="99"/>
        <v>insert into ins_premium_det (premium_rcv_code,assorted_code, rec_amount,premium_rcv_detail_code,remaining_amt, payrec, mode_code,coinsurance_code,class_cd,it_remarks) values('29Apr250042','050000836782','-15560',(select max(to_number(i.premium_rcv_detail_code))+1
from ins_premium_det i),'-15560','-15560','02', '11000003','00','Request by Mr. Omair Ali 30-Apr-2025');</v>
      </c>
    </row>
    <row r="1572" spans="1:8" ht="105" x14ac:dyDescent="0.25">
      <c r="A1572" t="s">
        <v>1341</v>
      </c>
      <c r="B1572" s="1" t="str">
        <f>VLOOKUP(A1572,Sheet5!B:C,2,0)</f>
        <v>050000836783</v>
      </c>
      <c r="C1572" s="13">
        <v>-7854</v>
      </c>
      <c r="D1572" s="22">
        <f t="shared" si="97"/>
        <v>-7854</v>
      </c>
      <c r="E1572" s="21" t="s">
        <v>5912</v>
      </c>
      <c r="F1572" s="23" t="str">
        <f t="shared" si="96"/>
        <v>insert into ins_premium_det (premium_rcv_code,assorted_code, rec_amount,premium_rcv_detail_code,remaining_amt, payrec, mode_code,coinsurance_code,class_cd,it_remarks) values</v>
      </c>
      <c r="G1572" s="24" t="str">
        <f t="shared" si="98"/>
        <v>('29Apr250042','050000836783','-7854',(select max(to_number(i.premium_rcv_detail_code))+1
from ins_premium_det i),'-7854','-7854','02', '11000003','00','Request by Mr. Omair Ali 30-Apr-2025');</v>
      </c>
      <c r="H1572" s="25" t="str">
        <f t="shared" si="99"/>
        <v>insert into ins_premium_det (premium_rcv_code,assorted_code, rec_amount,premium_rcv_detail_code,remaining_amt, payrec, mode_code,coinsurance_code,class_cd,it_remarks) values('29Apr250042','050000836783','-7854',(select max(to_number(i.premium_rcv_detail_code))+1
from ins_premium_det i),'-7854','-7854','02', '11000003','00','Request by Mr. Omair Ali 30-Apr-2025');</v>
      </c>
    </row>
    <row r="1573" spans="1:8" ht="105" x14ac:dyDescent="0.25">
      <c r="A1573" t="s">
        <v>1356</v>
      </c>
      <c r="B1573" s="1" t="str">
        <f>VLOOKUP(A1573,Sheet5!B:C,2,0)</f>
        <v>050000836784</v>
      </c>
      <c r="C1573" s="13">
        <v>-13132</v>
      </c>
      <c r="D1573" s="22">
        <f t="shared" si="97"/>
        <v>-13132</v>
      </c>
      <c r="E1573" s="21" t="s">
        <v>5912</v>
      </c>
      <c r="F1573" s="23" t="str">
        <f t="shared" si="96"/>
        <v>insert into ins_premium_det (premium_rcv_code,assorted_code, rec_amount,premium_rcv_detail_code,remaining_amt, payrec, mode_code,coinsurance_code,class_cd,it_remarks) values</v>
      </c>
      <c r="G1573" s="24" t="str">
        <f t="shared" si="98"/>
        <v>('29Apr250042','050000836784','-13132',(select max(to_number(i.premium_rcv_detail_code))+1
from ins_premium_det i),'-13132','-13132','02', '11000003','00','Request by Mr. Omair Ali 30-Apr-2025');</v>
      </c>
      <c r="H1573" s="25" t="str">
        <f t="shared" si="99"/>
        <v>insert into ins_premium_det (premium_rcv_code,assorted_code, rec_amount,premium_rcv_detail_code,remaining_amt, payrec, mode_code,coinsurance_code,class_cd,it_remarks) values('29Apr250042','050000836784','-13132',(select max(to_number(i.premium_rcv_detail_code))+1
from ins_premium_det i),'-13132','-13132','02', '11000003','00','Request by Mr. Omair Ali 30-Apr-2025');</v>
      </c>
    </row>
    <row r="1574" spans="1:8" ht="105" x14ac:dyDescent="0.25">
      <c r="A1574" t="s">
        <v>1362</v>
      </c>
      <c r="B1574" s="1" t="str">
        <f>VLOOKUP(A1574,Sheet5!B:C,2,0)</f>
        <v>050000836785</v>
      </c>
      <c r="C1574" s="13">
        <v>-8690</v>
      </c>
      <c r="D1574" s="22">
        <f t="shared" si="97"/>
        <v>-8690</v>
      </c>
      <c r="E1574" s="21" t="s">
        <v>5912</v>
      </c>
      <c r="F1574" s="23" t="str">
        <f t="shared" si="96"/>
        <v>insert into ins_premium_det (premium_rcv_code,assorted_code, rec_amount,premium_rcv_detail_code,remaining_amt, payrec, mode_code,coinsurance_code,class_cd,it_remarks) values</v>
      </c>
      <c r="G1574" s="24" t="str">
        <f t="shared" si="98"/>
        <v>('29Apr250042','050000836785','-8690',(select max(to_number(i.premium_rcv_detail_code))+1
from ins_premium_det i),'-8690','-8690','02', '11000003','00','Request by Mr. Omair Ali 30-Apr-2025');</v>
      </c>
      <c r="H1574" s="25" t="str">
        <f t="shared" si="99"/>
        <v>insert into ins_premium_det (premium_rcv_code,assorted_code, rec_amount,premium_rcv_detail_code,remaining_amt, payrec, mode_code,coinsurance_code,class_cd,it_remarks) values('29Apr250042','050000836785','-8690',(select max(to_number(i.premium_rcv_detail_code))+1
from ins_premium_det i),'-8690','-8690','02', '11000003','00','Request by Mr. Omair Ali 30-Apr-2025');</v>
      </c>
    </row>
    <row r="1575" spans="1:8" ht="105" x14ac:dyDescent="0.25">
      <c r="A1575" t="s">
        <v>1368</v>
      </c>
      <c r="B1575" s="1" t="str">
        <f>VLOOKUP(A1575,Sheet5!B:C,2,0)</f>
        <v>050000836786</v>
      </c>
      <c r="C1575" s="13">
        <v>-4288</v>
      </c>
      <c r="D1575" s="22">
        <f t="shared" si="97"/>
        <v>-4288</v>
      </c>
      <c r="E1575" s="21" t="s">
        <v>5912</v>
      </c>
      <c r="F1575" s="23" t="str">
        <f t="shared" si="96"/>
        <v>insert into ins_premium_det (premium_rcv_code,assorted_code, rec_amount,premium_rcv_detail_code,remaining_amt, payrec, mode_code,coinsurance_code,class_cd,it_remarks) values</v>
      </c>
      <c r="G1575" s="24" t="str">
        <f t="shared" si="98"/>
        <v>('29Apr250042','050000836786','-4288',(select max(to_number(i.premium_rcv_detail_code))+1
from ins_premium_det i),'-4288','-4288','02', '11000003','00','Request by Mr. Omair Ali 30-Apr-2025');</v>
      </c>
      <c r="H1575" s="25" t="str">
        <f t="shared" si="99"/>
        <v>insert into ins_premium_det (premium_rcv_code,assorted_code, rec_amount,premium_rcv_detail_code,remaining_amt, payrec, mode_code,coinsurance_code,class_cd,it_remarks) values('29Apr250042','050000836786','-4288',(select max(to_number(i.premium_rcv_detail_code))+1
from ins_premium_det i),'-4288','-4288','02', '11000003','00','Request by Mr. Omair Ali 30-Apr-2025');</v>
      </c>
    </row>
    <row r="1576" spans="1:8" ht="105" x14ac:dyDescent="0.25">
      <c r="A1576" t="s">
        <v>1390</v>
      </c>
      <c r="B1576" s="1" t="str">
        <f>VLOOKUP(A1576,Sheet5!B:C,2,0)</f>
        <v>050000836787</v>
      </c>
      <c r="C1576" s="13">
        <v>-8926</v>
      </c>
      <c r="D1576" s="22">
        <f t="shared" si="97"/>
        <v>-8926</v>
      </c>
      <c r="E1576" s="21" t="s">
        <v>5912</v>
      </c>
      <c r="F1576" s="23" t="str">
        <f t="shared" si="96"/>
        <v>insert into ins_premium_det (premium_rcv_code,assorted_code, rec_amount,premium_rcv_detail_code,remaining_amt, payrec, mode_code,coinsurance_code,class_cd,it_remarks) values</v>
      </c>
      <c r="G1576" s="24" t="str">
        <f t="shared" si="98"/>
        <v>('29Apr250042','050000836787','-8926',(select max(to_number(i.premium_rcv_detail_code))+1
from ins_premium_det i),'-8926','-8926','02', '11000003','00','Request by Mr. Omair Ali 30-Apr-2025');</v>
      </c>
      <c r="H1576" s="25" t="str">
        <f t="shared" si="99"/>
        <v>insert into ins_premium_det (premium_rcv_code,assorted_code, rec_amount,premium_rcv_detail_code,remaining_amt, payrec, mode_code,coinsurance_code,class_cd,it_remarks) values('29Apr250042','050000836787','-8926',(select max(to_number(i.premium_rcv_detail_code))+1
from ins_premium_det i),'-8926','-8926','02', '11000003','00','Request by Mr. Omair Ali 30-Apr-2025');</v>
      </c>
    </row>
    <row r="1577" spans="1:8" ht="105" x14ac:dyDescent="0.25">
      <c r="A1577" t="s">
        <v>1401</v>
      </c>
      <c r="B1577" s="1" t="str">
        <f>VLOOKUP(A1577,Sheet5!B:C,2,0)</f>
        <v>050000836789</v>
      </c>
      <c r="C1577" s="13">
        <v>-18812</v>
      </c>
      <c r="D1577" s="22">
        <f t="shared" si="97"/>
        <v>-18812</v>
      </c>
      <c r="E1577" s="21" t="s">
        <v>5912</v>
      </c>
      <c r="F1577" s="23" t="str">
        <f t="shared" si="96"/>
        <v>insert into ins_premium_det (premium_rcv_code,assorted_code, rec_amount,premium_rcv_detail_code,remaining_amt, payrec, mode_code,coinsurance_code,class_cd,it_remarks) values</v>
      </c>
      <c r="G1577" s="24" t="str">
        <f t="shared" si="98"/>
        <v>('29Apr250042','050000836789','-18812',(select max(to_number(i.premium_rcv_detail_code))+1
from ins_premium_det i),'-18812','-18812','02', '11000003','00','Request by Mr. Omair Ali 30-Apr-2025');</v>
      </c>
      <c r="H1577" s="25" t="str">
        <f t="shared" si="99"/>
        <v>insert into ins_premium_det (premium_rcv_code,assorted_code, rec_amount,premium_rcv_detail_code,remaining_amt, payrec, mode_code,coinsurance_code,class_cd,it_remarks) values('29Apr250042','050000836789','-18812',(select max(to_number(i.premium_rcv_detail_code))+1
from ins_premium_det i),'-18812','-18812','02', '11000003','00','Request by Mr. Omair Ali 30-Apr-2025');</v>
      </c>
    </row>
    <row r="1578" spans="1:8" ht="105" x14ac:dyDescent="0.25">
      <c r="A1578" t="s">
        <v>1414</v>
      </c>
      <c r="B1578" s="1" t="str">
        <f>VLOOKUP(A1578,Sheet5!B:C,2,0)</f>
        <v>050000836790</v>
      </c>
      <c r="C1578" s="13">
        <v>-33686</v>
      </c>
      <c r="D1578" s="22">
        <f t="shared" si="97"/>
        <v>-33686</v>
      </c>
      <c r="E1578" s="21" t="s">
        <v>5912</v>
      </c>
      <c r="F1578" s="23" t="str">
        <f t="shared" si="96"/>
        <v>insert into ins_premium_det (premium_rcv_code,assorted_code, rec_amount,premium_rcv_detail_code,remaining_amt, payrec, mode_code,coinsurance_code,class_cd,it_remarks) values</v>
      </c>
      <c r="G1578" s="24" t="str">
        <f t="shared" si="98"/>
        <v>('29Apr250042','050000836790','-33686',(select max(to_number(i.premium_rcv_detail_code))+1
from ins_premium_det i),'-33686','-33686','02', '11000003','00','Request by Mr. Omair Ali 30-Apr-2025');</v>
      </c>
      <c r="H1578" s="25" t="str">
        <f t="shared" si="99"/>
        <v>insert into ins_premium_det (premium_rcv_code,assorted_code, rec_amount,premium_rcv_detail_code,remaining_amt, payrec, mode_code,coinsurance_code,class_cd,it_remarks) values('29Apr250042','050000836790','-33686',(select max(to_number(i.premium_rcv_detail_code))+1
from ins_premium_det i),'-33686','-33686','02', '11000003','00','Request by Mr. Omair Ali 30-Apr-2025');</v>
      </c>
    </row>
    <row r="1579" spans="1:8" ht="105" x14ac:dyDescent="0.25">
      <c r="A1579" t="s">
        <v>1422</v>
      </c>
      <c r="B1579" s="1" t="str">
        <f>VLOOKUP(A1579,Sheet5!B:C,2,0)</f>
        <v>050000836791</v>
      </c>
      <c r="C1579" s="13">
        <v>-24215</v>
      </c>
      <c r="D1579" s="22">
        <f t="shared" si="97"/>
        <v>-24215</v>
      </c>
      <c r="E1579" s="21" t="s">
        <v>5912</v>
      </c>
      <c r="F1579" s="23" t="str">
        <f t="shared" si="96"/>
        <v>insert into ins_premium_det (premium_rcv_code,assorted_code, rec_amount,premium_rcv_detail_code,remaining_amt, payrec, mode_code,coinsurance_code,class_cd,it_remarks) values</v>
      </c>
      <c r="G1579" s="24" t="str">
        <f t="shared" si="98"/>
        <v>('29Apr250042','050000836791','-24215',(select max(to_number(i.premium_rcv_detail_code))+1
from ins_premium_det i),'-24215','-24215','02', '11000003','00','Request by Mr. Omair Ali 30-Apr-2025');</v>
      </c>
      <c r="H1579" s="25" t="str">
        <f t="shared" si="99"/>
        <v>insert into ins_premium_det (premium_rcv_code,assorted_code, rec_amount,premium_rcv_detail_code,remaining_amt, payrec, mode_code,coinsurance_code,class_cd,it_remarks) values('29Apr250042','050000836791','-24215',(select max(to_number(i.premium_rcv_detail_code))+1
from ins_premium_det i),'-24215','-24215','02', '11000003','00','Request by Mr. Omair Ali 30-Apr-2025');</v>
      </c>
    </row>
    <row r="1580" spans="1:8" ht="105" x14ac:dyDescent="0.25">
      <c r="A1580" t="s">
        <v>1440</v>
      </c>
      <c r="B1580" s="1" t="str">
        <f>VLOOKUP(A1580,Sheet5!B:C,2,0)</f>
        <v>050000836792</v>
      </c>
      <c r="C1580" s="13">
        <v>-38374</v>
      </c>
      <c r="D1580" s="22">
        <f t="shared" si="97"/>
        <v>-38374</v>
      </c>
      <c r="E1580" s="21" t="s">
        <v>5912</v>
      </c>
      <c r="F1580" s="23" t="str">
        <f t="shared" si="96"/>
        <v>insert into ins_premium_det (premium_rcv_code,assorted_code, rec_amount,premium_rcv_detail_code,remaining_amt, payrec, mode_code,coinsurance_code,class_cd,it_remarks) values</v>
      </c>
      <c r="G1580" s="24" t="str">
        <f t="shared" si="98"/>
        <v>('29Apr250042','050000836792','-38374',(select max(to_number(i.premium_rcv_detail_code))+1
from ins_premium_det i),'-38374','-38374','02', '11000003','00','Request by Mr. Omair Ali 30-Apr-2025');</v>
      </c>
      <c r="H1580" s="25" t="str">
        <f t="shared" si="99"/>
        <v>insert into ins_premium_det (premium_rcv_code,assorted_code, rec_amount,premium_rcv_detail_code,remaining_amt, payrec, mode_code,coinsurance_code,class_cd,it_remarks) values('29Apr250042','050000836792','-38374',(select max(to_number(i.premium_rcv_detail_code))+1
from ins_premium_det i),'-38374','-38374','02', '11000003','00','Request by Mr. Omair Ali 30-Apr-2025');</v>
      </c>
    </row>
    <row r="1581" spans="1:8" ht="105" x14ac:dyDescent="0.25">
      <c r="A1581" t="s">
        <v>1442</v>
      </c>
      <c r="B1581" s="1" t="str">
        <f>VLOOKUP(A1581,Sheet5!B:C,2,0)</f>
        <v>050000836793</v>
      </c>
      <c r="C1581" s="13">
        <v>-50</v>
      </c>
      <c r="D1581" s="22">
        <f t="shared" si="97"/>
        <v>-50</v>
      </c>
      <c r="E1581" s="21" t="s">
        <v>5912</v>
      </c>
      <c r="F1581" s="23" t="str">
        <f t="shared" si="96"/>
        <v>insert into ins_premium_det (premium_rcv_code,assorted_code, rec_amount,premium_rcv_detail_code,remaining_amt, payrec, mode_code,coinsurance_code,class_cd,it_remarks) values</v>
      </c>
      <c r="G1581" s="24" t="str">
        <f t="shared" si="98"/>
        <v>('29Apr250042','050000836793','-50',(select max(to_number(i.premium_rcv_detail_code))+1
from ins_premium_det i),'-50','-50','02', '11000003','00','Request by Mr. Omair Ali 30-Apr-2025');</v>
      </c>
      <c r="H1581" s="25" t="str">
        <f t="shared" si="99"/>
        <v>insert into ins_premium_det (premium_rcv_code,assorted_code, rec_amount,premium_rcv_detail_code,remaining_amt, payrec, mode_code,coinsurance_code,class_cd,it_remarks) values('29Apr250042','050000836793','-50',(select max(to_number(i.premium_rcv_detail_code))+1
from ins_premium_det i),'-50','-50','02', '11000003','00','Request by Mr. Omair Ali 30-Apr-2025');</v>
      </c>
    </row>
    <row r="1582" spans="1:8" ht="105" x14ac:dyDescent="0.25">
      <c r="A1582" t="s">
        <v>1445</v>
      </c>
      <c r="B1582" s="1" t="str">
        <f>VLOOKUP(A1582,Sheet5!B:C,2,0)</f>
        <v>050000836794</v>
      </c>
      <c r="C1582" s="13">
        <v>-280</v>
      </c>
      <c r="D1582" s="22">
        <f t="shared" si="97"/>
        <v>-280</v>
      </c>
      <c r="E1582" s="21" t="s">
        <v>5912</v>
      </c>
      <c r="F1582" s="23" t="str">
        <f t="shared" si="96"/>
        <v>insert into ins_premium_det (premium_rcv_code,assorted_code, rec_amount,premium_rcv_detail_code,remaining_amt, payrec, mode_code,coinsurance_code,class_cd,it_remarks) values</v>
      </c>
      <c r="G1582" s="24" t="str">
        <f t="shared" si="98"/>
        <v>('29Apr250042','050000836794','-280',(select max(to_number(i.premium_rcv_detail_code))+1
from ins_premium_det i),'-280','-280','02', '11000003','00','Request by Mr. Omair Ali 30-Apr-2025');</v>
      </c>
      <c r="H1582" s="25" t="str">
        <f t="shared" si="99"/>
        <v>insert into ins_premium_det (premium_rcv_code,assorted_code, rec_amount,premium_rcv_detail_code,remaining_amt, payrec, mode_code,coinsurance_code,class_cd,it_remarks) values('29Apr250042','050000836794','-280',(select max(to_number(i.premium_rcv_detail_code))+1
from ins_premium_det i),'-280','-280','02', '11000003','00','Request by Mr. Omair Ali 30-Apr-2025');</v>
      </c>
    </row>
    <row r="1583" spans="1:8" ht="105" x14ac:dyDescent="0.25">
      <c r="A1583" t="s">
        <v>1457</v>
      </c>
      <c r="B1583" s="1" t="str">
        <f>VLOOKUP(A1583,Sheet5!B:C,2,0)</f>
        <v>050000836795</v>
      </c>
      <c r="C1583" s="13">
        <v>-14102</v>
      </c>
      <c r="D1583" s="22">
        <f t="shared" si="97"/>
        <v>-14102</v>
      </c>
      <c r="E1583" s="21" t="s">
        <v>5912</v>
      </c>
      <c r="F1583" s="23" t="str">
        <f t="shared" si="96"/>
        <v>insert into ins_premium_det (premium_rcv_code,assorted_code, rec_amount,premium_rcv_detail_code,remaining_amt, payrec, mode_code,coinsurance_code,class_cd,it_remarks) values</v>
      </c>
      <c r="G1583" s="24" t="str">
        <f t="shared" si="98"/>
        <v>('29Apr250042','050000836795','-14102',(select max(to_number(i.premium_rcv_detail_code))+1
from ins_premium_det i),'-14102','-14102','02', '11000003','00','Request by Mr. Omair Ali 30-Apr-2025');</v>
      </c>
      <c r="H1583" s="25" t="str">
        <f t="shared" si="99"/>
        <v>insert into ins_premium_det (premium_rcv_code,assorted_code, rec_amount,premium_rcv_detail_code,remaining_amt, payrec, mode_code,coinsurance_code,class_cd,it_remarks) values('29Apr250042','050000836795','-14102',(select max(to_number(i.premium_rcv_detail_code))+1
from ins_premium_det i),'-14102','-14102','02', '11000003','00','Request by Mr. Omair Ali 30-Apr-2025');</v>
      </c>
    </row>
    <row r="1584" spans="1:8" ht="105" x14ac:dyDescent="0.25">
      <c r="A1584" t="s">
        <v>1465</v>
      </c>
      <c r="B1584" s="1" t="str">
        <f>VLOOKUP(A1584,Sheet5!B:C,2,0)</f>
        <v>050000836796</v>
      </c>
      <c r="C1584" s="13">
        <v>-21130</v>
      </c>
      <c r="D1584" s="22">
        <f t="shared" si="97"/>
        <v>-21130</v>
      </c>
      <c r="E1584" s="21" t="s">
        <v>5912</v>
      </c>
      <c r="F1584" s="23" t="str">
        <f t="shared" si="96"/>
        <v>insert into ins_premium_det (premium_rcv_code,assorted_code, rec_amount,premium_rcv_detail_code,remaining_amt, payrec, mode_code,coinsurance_code,class_cd,it_remarks) values</v>
      </c>
      <c r="G1584" s="24" t="str">
        <f t="shared" si="98"/>
        <v>('29Apr250042','050000836796','-21130',(select max(to_number(i.premium_rcv_detail_code))+1
from ins_premium_det i),'-21130','-21130','02', '11000003','00','Request by Mr. Omair Ali 30-Apr-2025');</v>
      </c>
      <c r="H1584" s="25" t="str">
        <f t="shared" si="99"/>
        <v>insert into ins_premium_det (premium_rcv_code,assorted_code, rec_amount,premium_rcv_detail_code,remaining_amt, payrec, mode_code,coinsurance_code,class_cd,it_remarks) values('29Apr250042','050000836796','-21130',(select max(to_number(i.premium_rcv_detail_code))+1
from ins_premium_det i),'-21130','-21130','02', '11000003','00','Request by Mr. Omair Ali 30-Apr-2025');</v>
      </c>
    </row>
    <row r="1585" spans="1:8" ht="105" x14ac:dyDescent="0.25">
      <c r="A1585" t="s">
        <v>1475</v>
      </c>
      <c r="B1585" s="1" t="str">
        <f>VLOOKUP(A1585,Sheet5!B:C,2,0)</f>
        <v>050000836797</v>
      </c>
      <c r="C1585" s="13">
        <v>-67026</v>
      </c>
      <c r="D1585" s="22">
        <f t="shared" si="97"/>
        <v>-67026</v>
      </c>
      <c r="E1585" s="21" t="s">
        <v>5912</v>
      </c>
      <c r="F1585" s="23" t="str">
        <f t="shared" si="96"/>
        <v>insert into ins_premium_det (premium_rcv_code,assorted_code, rec_amount,premium_rcv_detail_code,remaining_amt, payrec, mode_code,coinsurance_code,class_cd,it_remarks) values</v>
      </c>
      <c r="G1585" s="24" t="str">
        <f t="shared" si="98"/>
        <v>('29Apr250042','050000836797','-67026',(select max(to_number(i.premium_rcv_detail_code))+1
from ins_premium_det i),'-67026','-67026','02', '11000003','00','Request by Mr. Omair Ali 30-Apr-2025');</v>
      </c>
      <c r="H1585" s="25" t="str">
        <f t="shared" si="99"/>
        <v>insert into ins_premium_det (premium_rcv_code,assorted_code, rec_amount,premium_rcv_detail_code,remaining_amt, payrec, mode_code,coinsurance_code,class_cd,it_remarks) values('29Apr250042','050000836797','-67026',(select max(to_number(i.premium_rcv_detail_code))+1
from ins_premium_det i),'-67026','-67026','02', '11000003','00','Request by Mr. Omair Ali 30-Apr-2025');</v>
      </c>
    </row>
    <row r="1586" spans="1:8" ht="105" x14ac:dyDescent="0.25">
      <c r="A1586" t="s">
        <v>1484</v>
      </c>
      <c r="B1586" s="1" t="str">
        <f>VLOOKUP(A1586,Sheet5!B:C,2,0)</f>
        <v>050000836798</v>
      </c>
      <c r="C1586" s="13">
        <v>-19152</v>
      </c>
      <c r="D1586" s="22">
        <f t="shared" si="97"/>
        <v>-19152</v>
      </c>
      <c r="E1586" s="21" t="s">
        <v>5912</v>
      </c>
      <c r="F1586" s="23" t="str">
        <f t="shared" si="96"/>
        <v>insert into ins_premium_det (premium_rcv_code,assorted_code, rec_amount,premium_rcv_detail_code,remaining_amt, payrec, mode_code,coinsurance_code,class_cd,it_remarks) values</v>
      </c>
      <c r="G1586" s="24" t="str">
        <f t="shared" si="98"/>
        <v>('29Apr250042','050000836798','-19152',(select max(to_number(i.premium_rcv_detail_code))+1
from ins_premium_det i),'-19152','-19152','02', '11000003','00','Request by Mr. Omair Ali 30-Apr-2025');</v>
      </c>
      <c r="H1586" s="25" t="str">
        <f t="shared" si="99"/>
        <v>insert into ins_premium_det (premium_rcv_code,assorted_code, rec_amount,premium_rcv_detail_code,remaining_amt, payrec, mode_code,coinsurance_code,class_cd,it_remarks) values('29Apr250042','050000836798','-19152',(select max(to_number(i.premium_rcv_detail_code))+1
from ins_premium_det i),'-19152','-19152','02', '11000003','00','Request by Mr. Omair Ali 30-Apr-2025');</v>
      </c>
    </row>
    <row r="1587" spans="1:8" ht="105" x14ac:dyDescent="0.25">
      <c r="A1587" t="s">
        <v>1487</v>
      </c>
      <c r="B1587" s="1" t="str">
        <f>VLOOKUP(A1587,Sheet5!B:C,2,0)</f>
        <v>050000836800</v>
      </c>
      <c r="C1587" s="13">
        <v>-1294</v>
      </c>
      <c r="D1587" s="22">
        <f t="shared" si="97"/>
        <v>-1294</v>
      </c>
      <c r="E1587" s="21" t="s">
        <v>5912</v>
      </c>
      <c r="F1587" s="23" t="str">
        <f t="shared" si="96"/>
        <v>insert into ins_premium_det (premium_rcv_code,assorted_code, rec_amount,premium_rcv_detail_code,remaining_amt, payrec, mode_code,coinsurance_code,class_cd,it_remarks) values</v>
      </c>
      <c r="G1587" s="24" t="str">
        <f t="shared" si="98"/>
        <v>('29Apr250042','050000836800','-1294',(select max(to_number(i.premium_rcv_detail_code))+1
from ins_premium_det i),'-1294','-1294','02', '11000003','00','Request by Mr. Omair Ali 30-Apr-2025');</v>
      </c>
      <c r="H1587" s="25" t="str">
        <f t="shared" si="99"/>
        <v>insert into ins_premium_det (premium_rcv_code,assorted_code, rec_amount,premium_rcv_detail_code,remaining_amt, payrec, mode_code,coinsurance_code,class_cd,it_remarks) values('29Apr250042','050000836800','-1294',(select max(to_number(i.premium_rcv_detail_code))+1
from ins_premium_det i),'-1294','-1294','02', '11000003','00','Request by Mr. Omair Ali 30-Apr-2025');</v>
      </c>
    </row>
    <row r="1588" spans="1:8" ht="105" x14ac:dyDescent="0.25">
      <c r="A1588" t="s">
        <v>1501</v>
      </c>
      <c r="B1588" s="1" t="str">
        <f>VLOOKUP(A1588,Sheet5!B:C,2,0)</f>
        <v>050000836801</v>
      </c>
      <c r="C1588" s="13">
        <v>-6448</v>
      </c>
      <c r="D1588" s="22">
        <f t="shared" si="97"/>
        <v>-6448</v>
      </c>
      <c r="E1588" s="21" t="s">
        <v>5912</v>
      </c>
      <c r="F1588" s="23" t="str">
        <f t="shared" si="96"/>
        <v>insert into ins_premium_det (premium_rcv_code,assorted_code, rec_amount,premium_rcv_detail_code,remaining_amt, payrec, mode_code,coinsurance_code,class_cd,it_remarks) values</v>
      </c>
      <c r="G1588" s="24" t="str">
        <f t="shared" si="98"/>
        <v>('29Apr250042','050000836801','-6448',(select max(to_number(i.premium_rcv_detail_code))+1
from ins_premium_det i),'-6448','-6448','02', '11000003','00','Request by Mr. Omair Ali 30-Apr-2025');</v>
      </c>
      <c r="H1588" s="25" t="str">
        <f t="shared" si="99"/>
        <v>insert into ins_premium_det (premium_rcv_code,assorted_code, rec_amount,premium_rcv_detail_code,remaining_amt, payrec, mode_code,coinsurance_code,class_cd,it_remarks) values('29Apr250042','050000836801','-6448',(select max(to_number(i.premium_rcv_detail_code))+1
from ins_premium_det i),'-6448','-6448','02', '11000003','00','Request by Mr. Omair Ali 30-Apr-2025');</v>
      </c>
    </row>
    <row r="1589" spans="1:8" ht="105" x14ac:dyDescent="0.25">
      <c r="A1589" t="s">
        <v>1511</v>
      </c>
      <c r="B1589" s="1" t="str">
        <f>VLOOKUP(A1589,Sheet5!B:C,2,0)</f>
        <v>050000836802</v>
      </c>
      <c r="C1589" s="13">
        <v>-57806</v>
      </c>
      <c r="D1589" s="22">
        <f t="shared" si="97"/>
        <v>-57806</v>
      </c>
      <c r="E1589" s="21" t="s">
        <v>5912</v>
      </c>
      <c r="F1589" s="23" t="str">
        <f t="shared" si="96"/>
        <v>insert into ins_premium_det (premium_rcv_code,assorted_code, rec_amount,premium_rcv_detail_code,remaining_amt, payrec, mode_code,coinsurance_code,class_cd,it_remarks) values</v>
      </c>
      <c r="G1589" s="24" t="str">
        <f t="shared" si="98"/>
        <v>('29Apr250042','050000836802','-57806',(select max(to_number(i.premium_rcv_detail_code))+1
from ins_premium_det i),'-57806','-57806','02', '11000003','00','Request by Mr. Omair Ali 30-Apr-2025');</v>
      </c>
      <c r="H1589" s="25" t="str">
        <f t="shared" si="99"/>
        <v>insert into ins_premium_det (premium_rcv_code,assorted_code, rec_amount,premium_rcv_detail_code,remaining_amt, payrec, mode_code,coinsurance_code,class_cd,it_remarks) values('29Apr250042','050000836802','-57806',(select max(to_number(i.premium_rcv_detail_code))+1
from ins_premium_det i),'-57806','-57806','02', '11000003','00','Request by Mr. Omair Ali 30-Apr-2025');</v>
      </c>
    </row>
    <row r="1590" spans="1:8" ht="105" x14ac:dyDescent="0.25">
      <c r="A1590" t="s">
        <v>1524</v>
      </c>
      <c r="B1590" s="1" t="str">
        <f>VLOOKUP(A1590,Sheet5!B:C,2,0)</f>
        <v>050000836804</v>
      </c>
      <c r="C1590" s="13">
        <v>-25358</v>
      </c>
      <c r="D1590" s="22">
        <f t="shared" si="97"/>
        <v>-25358</v>
      </c>
      <c r="E1590" s="21" t="s">
        <v>5912</v>
      </c>
      <c r="F1590" s="23" t="str">
        <f t="shared" si="96"/>
        <v>insert into ins_premium_det (premium_rcv_code,assorted_code, rec_amount,premium_rcv_detail_code,remaining_amt, payrec, mode_code,coinsurance_code,class_cd,it_remarks) values</v>
      </c>
      <c r="G1590" s="24" t="str">
        <f t="shared" si="98"/>
        <v>('29Apr250042','050000836804','-25358',(select max(to_number(i.premium_rcv_detail_code))+1
from ins_premium_det i),'-25358','-25358','02', '11000003','00','Request by Mr. Omair Ali 30-Apr-2025');</v>
      </c>
      <c r="H1590" s="25" t="str">
        <f t="shared" si="99"/>
        <v>insert into ins_premium_det (premium_rcv_code,assorted_code, rec_amount,premium_rcv_detail_code,remaining_amt, payrec, mode_code,coinsurance_code,class_cd,it_remarks) values('29Apr250042','050000836804','-25358',(select max(to_number(i.premium_rcv_detail_code))+1
from ins_premium_det i),'-25358','-25358','02', '11000003','00','Request by Mr. Omair Ali 30-Apr-2025');</v>
      </c>
    </row>
    <row r="1591" spans="1:8" ht="105" x14ac:dyDescent="0.25">
      <c r="A1591" t="s">
        <v>1543</v>
      </c>
      <c r="B1591" s="1" t="str">
        <f>VLOOKUP(A1591,Sheet5!B:C,2,0)</f>
        <v>050000836805</v>
      </c>
      <c r="C1591" s="13">
        <v>-32522</v>
      </c>
      <c r="D1591" s="22">
        <f t="shared" si="97"/>
        <v>-32522</v>
      </c>
      <c r="E1591" s="21" t="s">
        <v>5912</v>
      </c>
      <c r="F1591" s="23" t="str">
        <f t="shared" si="96"/>
        <v>insert into ins_premium_det (premium_rcv_code,assorted_code, rec_amount,premium_rcv_detail_code,remaining_amt, payrec, mode_code,coinsurance_code,class_cd,it_remarks) values</v>
      </c>
      <c r="G1591" s="24" t="str">
        <f t="shared" si="98"/>
        <v>('29Apr250042','050000836805','-32522',(select max(to_number(i.premium_rcv_detail_code))+1
from ins_premium_det i),'-32522','-32522','02', '11000003','00','Request by Mr. Omair Ali 30-Apr-2025');</v>
      </c>
      <c r="H1591" s="25" t="str">
        <f t="shared" si="99"/>
        <v>insert into ins_premium_det (premium_rcv_code,assorted_code, rec_amount,premium_rcv_detail_code,remaining_amt, payrec, mode_code,coinsurance_code,class_cd,it_remarks) values('29Apr250042','050000836805','-32522',(select max(to_number(i.premium_rcv_detail_code))+1
from ins_premium_det i),'-32522','-32522','02', '11000003','00','Request by Mr. Omair Ali 30-Apr-2025');</v>
      </c>
    </row>
    <row r="1592" spans="1:8" ht="105" x14ac:dyDescent="0.25">
      <c r="A1592" t="s">
        <v>1547</v>
      </c>
      <c r="B1592" s="1" t="str">
        <f>VLOOKUP(A1592,Sheet5!B:C,2,0)</f>
        <v>050000836806</v>
      </c>
      <c r="C1592" s="13">
        <v>-23176</v>
      </c>
      <c r="D1592" s="22">
        <f t="shared" si="97"/>
        <v>-23176</v>
      </c>
      <c r="E1592" s="21" t="s">
        <v>5912</v>
      </c>
      <c r="F1592" s="23" t="str">
        <f t="shared" si="96"/>
        <v>insert into ins_premium_det (premium_rcv_code,assorted_code, rec_amount,premium_rcv_detail_code,remaining_amt, payrec, mode_code,coinsurance_code,class_cd,it_remarks) values</v>
      </c>
      <c r="G1592" s="24" t="str">
        <f t="shared" si="98"/>
        <v>('29Apr250042','050000836806','-23176',(select max(to_number(i.premium_rcv_detail_code))+1
from ins_premium_det i),'-23176','-23176','02', '11000003','00','Request by Mr. Omair Ali 30-Apr-2025');</v>
      </c>
      <c r="H1592" s="25" t="str">
        <f t="shared" si="99"/>
        <v>insert into ins_premium_det (premium_rcv_code,assorted_code, rec_amount,premium_rcv_detail_code,remaining_amt, payrec, mode_code,coinsurance_code,class_cd,it_remarks) values('29Apr250042','050000836806','-23176',(select max(to_number(i.premium_rcv_detail_code))+1
from ins_premium_det i),'-23176','-23176','02', '11000003','00','Request by Mr. Omair Ali 30-Apr-2025');</v>
      </c>
    </row>
    <row r="1593" spans="1:8" ht="105" x14ac:dyDescent="0.25">
      <c r="A1593" t="s">
        <v>1558</v>
      </c>
      <c r="B1593" s="1" t="str">
        <f>VLOOKUP(A1593,Sheet5!B:C,2,0)</f>
        <v>050000836808</v>
      </c>
      <c r="C1593" s="13">
        <v>-56924</v>
      </c>
      <c r="D1593" s="22">
        <f t="shared" si="97"/>
        <v>-56924</v>
      </c>
      <c r="E1593" s="21" t="s">
        <v>5912</v>
      </c>
      <c r="F1593" s="23" t="str">
        <f t="shared" si="96"/>
        <v>insert into ins_premium_det (premium_rcv_code,assorted_code, rec_amount,premium_rcv_detail_code,remaining_amt, payrec, mode_code,coinsurance_code,class_cd,it_remarks) values</v>
      </c>
      <c r="G1593" s="24" t="str">
        <f t="shared" si="98"/>
        <v>('29Apr250042','050000836808','-56924',(select max(to_number(i.premium_rcv_detail_code))+1
from ins_premium_det i),'-56924','-56924','02', '11000003','00','Request by Mr. Omair Ali 30-Apr-2025');</v>
      </c>
      <c r="H1593" s="25" t="str">
        <f t="shared" si="99"/>
        <v>insert into ins_premium_det (premium_rcv_code,assorted_code, rec_amount,premium_rcv_detail_code,remaining_amt, payrec, mode_code,coinsurance_code,class_cd,it_remarks) values('29Apr250042','050000836808','-56924',(select max(to_number(i.premium_rcv_detail_code))+1
from ins_premium_det i),'-56924','-56924','02', '11000003','00','Request by Mr. Omair Ali 30-Apr-2025');</v>
      </c>
    </row>
    <row r="1594" spans="1:8" ht="105" x14ac:dyDescent="0.25">
      <c r="A1594" t="s">
        <v>1578</v>
      </c>
      <c r="B1594" s="1" t="str">
        <f>VLOOKUP(A1594,Sheet5!B:C,2,0)</f>
        <v>050000836809</v>
      </c>
      <c r="C1594" s="13">
        <v>-6161</v>
      </c>
      <c r="D1594" s="22">
        <f t="shared" si="97"/>
        <v>-6161</v>
      </c>
      <c r="E1594" s="21" t="s">
        <v>5912</v>
      </c>
      <c r="F1594" s="23" t="str">
        <f t="shared" si="96"/>
        <v>insert into ins_premium_det (premium_rcv_code,assorted_code, rec_amount,premium_rcv_detail_code,remaining_amt, payrec, mode_code,coinsurance_code,class_cd,it_remarks) values</v>
      </c>
      <c r="G1594" s="24" t="str">
        <f t="shared" si="98"/>
        <v>('29Apr250042','050000836809','-6161',(select max(to_number(i.premium_rcv_detail_code))+1
from ins_premium_det i),'-6161','-6161','02', '11000003','00','Request by Mr. Omair Ali 30-Apr-2025');</v>
      </c>
      <c r="H1594" s="25" t="str">
        <f t="shared" si="99"/>
        <v>insert into ins_premium_det (premium_rcv_code,assorted_code, rec_amount,premium_rcv_detail_code,remaining_amt, payrec, mode_code,coinsurance_code,class_cd,it_remarks) values('29Apr250042','050000836809','-6161',(select max(to_number(i.premium_rcv_detail_code))+1
from ins_premium_det i),'-6161','-6161','02', '11000003','00','Request by Mr. Omair Ali 30-Apr-2025');</v>
      </c>
    </row>
    <row r="1595" spans="1:8" ht="105" x14ac:dyDescent="0.25">
      <c r="A1595" t="s">
        <v>1602</v>
      </c>
      <c r="B1595" s="1" t="str">
        <f>VLOOKUP(A1595,Sheet5!B:C,2,0)</f>
        <v>050000836810</v>
      </c>
      <c r="C1595" s="13">
        <v>-31535</v>
      </c>
      <c r="D1595" s="22">
        <f t="shared" si="97"/>
        <v>-31535</v>
      </c>
      <c r="E1595" s="21" t="s">
        <v>5912</v>
      </c>
      <c r="F1595" s="23" t="str">
        <f t="shared" si="96"/>
        <v>insert into ins_premium_det (premium_rcv_code,assorted_code, rec_amount,premium_rcv_detail_code,remaining_amt, payrec, mode_code,coinsurance_code,class_cd,it_remarks) values</v>
      </c>
      <c r="G1595" s="24" t="str">
        <f t="shared" si="98"/>
        <v>('29Apr250042','050000836810','-31535',(select max(to_number(i.premium_rcv_detail_code))+1
from ins_premium_det i),'-31535','-31535','02', '11000003','00','Request by Mr. Omair Ali 30-Apr-2025');</v>
      </c>
      <c r="H1595" s="25" t="str">
        <f t="shared" si="99"/>
        <v>insert into ins_premium_det (premium_rcv_code,assorted_code, rec_amount,premium_rcv_detail_code,remaining_amt, payrec, mode_code,coinsurance_code,class_cd,it_remarks) values('29Apr250042','050000836810','-31535',(select max(to_number(i.premium_rcv_detail_code))+1
from ins_premium_det i),'-31535','-31535','02', '11000003','00','Request by Mr. Omair Ali 30-Apr-2025');</v>
      </c>
    </row>
    <row r="1596" spans="1:8" ht="105" x14ac:dyDescent="0.25">
      <c r="A1596" t="s">
        <v>1605</v>
      </c>
      <c r="B1596" s="1" t="str">
        <f>VLOOKUP(A1596,Sheet5!B:C,2,0)</f>
        <v>050000836811</v>
      </c>
      <c r="C1596" s="13">
        <v>-480</v>
      </c>
      <c r="D1596" s="22">
        <f t="shared" si="97"/>
        <v>-480</v>
      </c>
      <c r="E1596" s="21" t="s">
        <v>5912</v>
      </c>
      <c r="F1596" s="23" t="str">
        <f t="shared" si="96"/>
        <v>insert into ins_premium_det (premium_rcv_code,assorted_code, rec_amount,premium_rcv_detail_code,remaining_amt, payrec, mode_code,coinsurance_code,class_cd,it_remarks) values</v>
      </c>
      <c r="G1596" s="24" t="str">
        <f t="shared" si="98"/>
        <v>('29Apr250042','050000836811','-480',(select max(to_number(i.premium_rcv_detail_code))+1
from ins_premium_det i),'-480','-480','02', '11000003','00','Request by Mr. Omair Ali 30-Apr-2025');</v>
      </c>
      <c r="H1596" s="25" t="str">
        <f t="shared" si="99"/>
        <v>insert into ins_premium_det (premium_rcv_code,assorted_code, rec_amount,premium_rcv_detail_code,remaining_amt, payrec, mode_code,coinsurance_code,class_cd,it_remarks) values('29Apr250042','050000836811','-480',(select max(to_number(i.premium_rcv_detail_code))+1
from ins_premium_det i),'-480','-480','02', '11000003','00','Request by Mr. Omair Ali 30-Apr-2025');</v>
      </c>
    </row>
    <row r="1597" spans="1:8" ht="105" x14ac:dyDescent="0.25">
      <c r="A1597" t="s">
        <v>1616</v>
      </c>
      <c r="B1597" s="1" t="str">
        <f>VLOOKUP(A1597,Sheet5!B:C,2,0)</f>
        <v>050000836812</v>
      </c>
      <c r="C1597" s="13">
        <v>-27896</v>
      </c>
      <c r="D1597" s="22">
        <f t="shared" si="97"/>
        <v>-27896</v>
      </c>
      <c r="E1597" s="21" t="s">
        <v>5912</v>
      </c>
      <c r="F1597" s="23" t="str">
        <f t="shared" si="96"/>
        <v>insert into ins_premium_det (premium_rcv_code,assorted_code, rec_amount,premium_rcv_detail_code,remaining_amt, payrec, mode_code,coinsurance_code,class_cd,it_remarks) values</v>
      </c>
      <c r="G1597" s="24" t="str">
        <f t="shared" si="98"/>
        <v>('29Apr250042','050000836812','-27896',(select max(to_number(i.premium_rcv_detail_code))+1
from ins_premium_det i),'-27896','-27896','02', '11000003','00','Request by Mr. Omair Ali 30-Apr-2025');</v>
      </c>
      <c r="H1597" s="25" t="str">
        <f t="shared" si="99"/>
        <v>insert into ins_premium_det (premium_rcv_code,assorted_code, rec_amount,premium_rcv_detail_code,remaining_amt, payrec, mode_code,coinsurance_code,class_cd,it_remarks) values('29Apr250042','050000836812','-27896',(select max(to_number(i.premium_rcv_detail_code))+1
from ins_premium_det i),'-27896','-27896','02', '11000003','00','Request by Mr. Omair Ali 30-Apr-2025');</v>
      </c>
    </row>
    <row r="1598" spans="1:8" ht="105" x14ac:dyDescent="0.25">
      <c r="A1598" t="s">
        <v>1626</v>
      </c>
      <c r="B1598" s="1" t="str">
        <f>VLOOKUP(A1598,Sheet5!B:C,2,0)</f>
        <v>050000836813</v>
      </c>
      <c r="C1598" s="13">
        <v>-26556</v>
      </c>
      <c r="D1598" s="22">
        <f t="shared" si="97"/>
        <v>-26556</v>
      </c>
      <c r="E1598" s="21" t="s">
        <v>5912</v>
      </c>
      <c r="F1598" s="23" t="str">
        <f t="shared" si="96"/>
        <v>insert into ins_premium_det (premium_rcv_code,assorted_code, rec_amount,premium_rcv_detail_code,remaining_amt, payrec, mode_code,coinsurance_code,class_cd,it_remarks) values</v>
      </c>
      <c r="G1598" s="24" t="str">
        <f t="shared" si="98"/>
        <v>('29Apr250042','050000836813','-26556',(select max(to_number(i.premium_rcv_detail_code))+1
from ins_premium_det i),'-26556','-26556','02', '11000003','00','Request by Mr. Omair Ali 30-Apr-2025');</v>
      </c>
      <c r="H1598" s="25" t="str">
        <f t="shared" si="99"/>
        <v>insert into ins_premium_det (premium_rcv_code,assorted_code, rec_amount,premium_rcv_detail_code,remaining_amt, payrec, mode_code,coinsurance_code,class_cd,it_remarks) values('29Apr250042','050000836813','-26556',(select max(to_number(i.premium_rcv_detail_code))+1
from ins_premium_det i),'-26556','-26556','02', '11000003','00','Request by Mr. Omair Ali 30-Apr-2025');</v>
      </c>
    </row>
    <row r="1599" spans="1:8" ht="105" x14ac:dyDescent="0.25">
      <c r="A1599" t="s">
        <v>1648</v>
      </c>
      <c r="B1599" s="1" t="str">
        <f>VLOOKUP(A1599,Sheet5!B:C,2,0)</f>
        <v>050000836814</v>
      </c>
      <c r="C1599" s="13">
        <v>-16936</v>
      </c>
      <c r="D1599" s="22">
        <f t="shared" si="97"/>
        <v>-16936</v>
      </c>
      <c r="E1599" s="21" t="s">
        <v>5912</v>
      </c>
      <c r="F1599" s="23" t="str">
        <f t="shared" si="96"/>
        <v>insert into ins_premium_det (premium_rcv_code,assorted_code, rec_amount,premium_rcv_detail_code,remaining_amt, payrec, mode_code,coinsurance_code,class_cd,it_remarks) values</v>
      </c>
      <c r="G1599" s="24" t="str">
        <f t="shared" si="98"/>
        <v>('29Apr250042','050000836814','-16936',(select max(to_number(i.premium_rcv_detail_code))+1
from ins_premium_det i),'-16936','-16936','02', '11000003','00','Request by Mr. Omair Ali 30-Apr-2025');</v>
      </c>
      <c r="H1599" s="25" t="str">
        <f t="shared" si="99"/>
        <v>insert into ins_premium_det (premium_rcv_code,assorted_code, rec_amount,premium_rcv_detail_code,remaining_amt, payrec, mode_code,coinsurance_code,class_cd,it_remarks) values('29Apr250042','050000836814','-16936',(select max(to_number(i.premium_rcv_detail_code))+1
from ins_premium_det i),'-16936','-16936','02', '11000003','00','Request by Mr. Omair Ali 30-Apr-2025');</v>
      </c>
    </row>
    <row r="1600" spans="1:8" ht="105" x14ac:dyDescent="0.25">
      <c r="A1600" t="s">
        <v>1655</v>
      </c>
      <c r="B1600" s="1" t="str">
        <f>VLOOKUP(A1600,Sheet5!B:C,2,0)</f>
        <v>050000836815</v>
      </c>
      <c r="C1600" s="13">
        <v>-3507</v>
      </c>
      <c r="D1600" s="22">
        <f t="shared" si="97"/>
        <v>-3507</v>
      </c>
      <c r="E1600" s="21" t="s">
        <v>5912</v>
      </c>
      <c r="F1600" s="23" t="str">
        <f t="shared" si="96"/>
        <v>insert into ins_premium_det (premium_rcv_code,assorted_code, rec_amount,premium_rcv_detail_code,remaining_amt, payrec, mode_code,coinsurance_code,class_cd,it_remarks) values</v>
      </c>
      <c r="G1600" s="24" t="str">
        <f t="shared" si="98"/>
        <v>('29Apr250042','050000836815','-3507',(select max(to_number(i.premium_rcv_detail_code))+1
from ins_premium_det i),'-3507','-3507','02', '11000003','00','Request by Mr. Omair Ali 30-Apr-2025');</v>
      </c>
      <c r="H1600" s="25" t="str">
        <f t="shared" si="99"/>
        <v>insert into ins_premium_det (premium_rcv_code,assorted_code, rec_amount,premium_rcv_detail_code,remaining_amt, payrec, mode_code,coinsurance_code,class_cd,it_remarks) values('29Apr250042','050000836815','-3507',(select max(to_number(i.premium_rcv_detail_code))+1
from ins_premium_det i),'-3507','-3507','02', '11000003','00','Request by Mr. Omair Ali 30-Apr-2025');</v>
      </c>
    </row>
    <row r="1601" spans="1:8" ht="105" x14ac:dyDescent="0.25">
      <c r="A1601" t="s">
        <v>1671</v>
      </c>
      <c r="B1601" s="1" t="str">
        <f>VLOOKUP(A1601,Sheet5!B:C,2,0)</f>
        <v>050000836816</v>
      </c>
      <c r="C1601" s="13">
        <v>-46670</v>
      </c>
      <c r="D1601" s="22">
        <f t="shared" si="97"/>
        <v>-46670</v>
      </c>
      <c r="E1601" s="21" t="s">
        <v>5912</v>
      </c>
      <c r="F1601" s="23" t="str">
        <f t="shared" si="96"/>
        <v>insert into ins_premium_det (premium_rcv_code,assorted_code, rec_amount,premium_rcv_detail_code,remaining_amt, payrec, mode_code,coinsurance_code,class_cd,it_remarks) values</v>
      </c>
      <c r="G1601" s="24" t="str">
        <f t="shared" si="98"/>
        <v>('29Apr250042','050000836816','-46670',(select max(to_number(i.premium_rcv_detail_code))+1
from ins_premium_det i),'-46670','-46670','02', '11000003','00','Request by Mr. Omair Ali 30-Apr-2025');</v>
      </c>
      <c r="H1601" s="25" t="str">
        <f t="shared" si="99"/>
        <v>insert into ins_premium_det (premium_rcv_code,assorted_code, rec_amount,premium_rcv_detail_code,remaining_amt, payrec, mode_code,coinsurance_code,class_cd,it_remarks) values('29Apr250042','050000836816','-46670',(select max(to_number(i.premium_rcv_detail_code))+1
from ins_premium_det i),'-46670','-46670','02', '11000003','00','Request by Mr. Omair Ali 30-Apr-2025');</v>
      </c>
    </row>
    <row r="1602" spans="1:8" ht="105" x14ac:dyDescent="0.25">
      <c r="A1602" t="s">
        <v>1681</v>
      </c>
      <c r="B1602" s="1" t="str">
        <f>VLOOKUP(A1602,Sheet5!B:C,2,0)</f>
        <v>050000836818</v>
      </c>
      <c r="C1602" s="13">
        <v>-12284</v>
      </c>
      <c r="D1602" s="22">
        <f t="shared" si="97"/>
        <v>-12284</v>
      </c>
      <c r="E1602" s="21" t="s">
        <v>5912</v>
      </c>
      <c r="F1602" s="23" t="str">
        <f t="shared" ref="F1602:F1665" si="10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602" s="24" t="str">
        <f t="shared" si="98"/>
        <v>('29Apr250042','050000836818','-12284',(select max(to_number(i.premium_rcv_detail_code))+1
from ins_premium_det i),'-12284','-12284','02', '11000003','00','Request by Mr. Omair Ali 30-Apr-2025');</v>
      </c>
      <c r="H1602" s="25" t="str">
        <f t="shared" si="99"/>
        <v>insert into ins_premium_det (premium_rcv_code,assorted_code, rec_amount,premium_rcv_detail_code,remaining_amt, payrec, mode_code,coinsurance_code,class_cd,it_remarks) values('29Apr250042','050000836818','-12284',(select max(to_number(i.premium_rcv_detail_code))+1
from ins_premium_det i),'-12284','-12284','02', '11000003','00','Request by Mr. Omair Ali 30-Apr-2025');</v>
      </c>
    </row>
    <row r="1603" spans="1:8" ht="105" x14ac:dyDescent="0.25">
      <c r="A1603" t="s">
        <v>1693</v>
      </c>
      <c r="B1603" s="1" t="str">
        <f>VLOOKUP(A1603,Sheet5!B:C,2,0)</f>
        <v>050000836819</v>
      </c>
      <c r="C1603" s="13">
        <v>-11635</v>
      </c>
      <c r="D1603" s="22">
        <f t="shared" ref="D1603:D1666" si="101">ROUND(C1603,0)</f>
        <v>-11635</v>
      </c>
      <c r="E1603" s="21" t="s">
        <v>5912</v>
      </c>
      <c r="F1603" s="23" t="str">
        <f t="shared" si="100"/>
        <v>insert into ins_premium_det (premium_rcv_code,assorted_code, rec_amount,premium_rcv_detail_code,remaining_amt, payrec, mode_code,coinsurance_code,class_cd,it_remarks) values</v>
      </c>
      <c r="G1603" s="24" t="str">
        <f t="shared" ref="G1603:G1666" si="102">"('"&amp;E1603&amp;"','"&amp;B1603&amp;"','"&amp;D1603&amp;"',(select max(to_number(i.premium_rcv_detail_code))+1
from ins_premium_det i),'"&amp;D1603&amp;"','"&amp;D1603&amp;"','02', '11000003','00','Request by Mr. Omair Ali 30-Apr-2025');"</f>
        <v>('29Apr250042','050000836819','-11635',(select max(to_number(i.premium_rcv_detail_code))+1
from ins_premium_det i),'-11635','-11635','02', '11000003','00','Request by Mr. Omair Ali 30-Apr-2025');</v>
      </c>
      <c r="H1603" s="25" t="str">
        <f t="shared" ref="H1603:H1666" si="103">F1603&amp;G1603</f>
        <v>insert into ins_premium_det (premium_rcv_code,assorted_code, rec_amount,premium_rcv_detail_code,remaining_amt, payrec, mode_code,coinsurance_code,class_cd,it_remarks) values('29Apr250042','050000836819','-11635',(select max(to_number(i.premium_rcv_detail_code))+1
from ins_premium_det i),'-11635','-11635','02', '11000003','00','Request by Mr. Omair Ali 30-Apr-2025');</v>
      </c>
    </row>
    <row r="1604" spans="1:8" ht="105" x14ac:dyDescent="0.25">
      <c r="A1604" t="s">
        <v>1706</v>
      </c>
      <c r="B1604" s="1" t="str">
        <f>VLOOKUP(A1604,Sheet5!B:C,2,0)</f>
        <v>050000836820</v>
      </c>
      <c r="C1604" s="13">
        <v>-1732</v>
      </c>
      <c r="D1604" s="22">
        <f t="shared" si="101"/>
        <v>-1732</v>
      </c>
      <c r="E1604" s="21" t="s">
        <v>5912</v>
      </c>
      <c r="F1604" s="23" t="str">
        <f t="shared" si="100"/>
        <v>insert into ins_premium_det (premium_rcv_code,assorted_code, rec_amount,premium_rcv_detail_code,remaining_amt, payrec, mode_code,coinsurance_code,class_cd,it_remarks) values</v>
      </c>
      <c r="G1604" s="24" t="str">
        <f t="shared" si="102"/>
        <v>('29Apr250042','050000836820','-1732',(select max(to_number(i.premium_rcv_detail_code))+1
from ins_premium_det i),'-1732','-1732','02', '11000003','00','Request by Mr. Omair Ali 30-Apr-2025');</v>
      </c>
      <c r="H1604" s="25" t="str">
        <f t="shared" si="103"/>
        <v>insert into ins_premium_det (premium_rcv_code,assorted_code, rec_amount,premium_rcv_detail_code,remaining_amt, payrec, mode_code,coinsurance_code,class_cd,it_remarks) values('29Apr250042','050000836820','-1732',(select max(to_number(i.premium_rcv_detail_code))+1
from ins_premium_det i),'-1732','-1732','02', '11000003','00','Request by Mr. Omair Ali 30-Apr-2025');</v>
      </c>
    </row>
    <row r="1605" spans="1:8" ht="105" x14ac:dyDescent="0.25">
      <c r="A1605" t="s">
        <v>1712</v>
      </c>
      <c r="B1605" s="1" t="str">
        <f>VLOOKUP(A1605,Sheet5!B:C,2,0)</f>
        <v>050000836821</v>
      </c>
      <c r="C1605" s="13">
        <v>-15673</v>
      </c>
      <c r="D1605" s="22">
        <f t="shared" si="101"/>
        <v>-15673</v>
      </c>
      <c r="E1605" s="21" t="s">
        <v>5912</v>
      </c>
      <c r="F1605" s="23" t="str">
        <f t="shared" si="100"/>
        <v>insert into ins_premium_det (premium_rcv_code,assorted_code, rec_amount,premium_rcv_detail_code,remaining_amt, payrec, mode_code,coinsurance_code,class_cd,it_remarks) values</v>
      </c>
      <c r="G1605" s="24" t="str">
        <f t="shared" si="102"/>
        <v>('29Apr250042','050000836821','-15673',(select max(to_number(i.premium_rcv_detail_code))+1
from ins_premium_det i),'-15673','-15673','02', '11000003','00','Request by Mr. Omair Ali 30-Apr-2025');</v>
      </c>
      <c r="H1605" s="25" t="str">
        <f t="shared" si="103"/>
        <v>insert into ins_premium_det (premium_rcv_code,assorted_code, rec_amount,premium_rcv_detail_code,remaining_amt, payrec, mode_code,coinsurance_code,class_cd,it_remarks) values('29Apr250042','050000836821','-15673',(select max(to_number(i.premium_rcv_detail_code))+1
from ins_premium_det i),'-15673','-15673','02', '11000003','00','Request by Mr. Omair Ali 30-Apr-2025');</v>
      </c>
    </row>
    <row r="1606" spans="1:8" ht="105" x14ac:dyDescent="0.25">
      <c r="A1606" t="s">
        <v>1725</v>
      </c>
      <c r="B1606" s="1" t="str">
        <f>VLOOKUP(A1606,Sheet5!B:C,2,0)</f>
        <v>050000836822</v>
      </c>
      <c r="C1606" s="13">
        <v>-29305</v>
      </c>
      <c r="D1606" s="22">
        <f t="shared" si="101"/>
        <v>-29305</v>
      </c>
      <c r="E1606" s="21" t="s">
        <v>5912</v>
      </c>
      <c r="F1606" s="23" t="str">
        <f t="shared" si="100"/>
        <v>insert into ins_premium_det (premium_rcv_code,assorted_code, rec_amount,premium_rcv_detail_code,remaining_amt, payrec, mode_code,coinsurance_code,class_cd,it_remarks) values</v>
      </c>
      <c r="G1606" s="24" t="str">
        <f t="shared" si="102"/>
        <v>('29Apr250042','050000836822','-29305',(select max(to_number(i.premium_rcv_detail_code))+1
from ins_premium_det i),'-29305','-29305','02', '11000003','00','Request by Mr. Omair Ali 30-Apr-2025');</v>
      </c>
      <c r="H1606" s="25" t="str">
        <f t="shared" si="103"/>
        <v>insert into ins_premium_det (premium_rcv_code,assorted_code, rec_amount,premium_rcv_detail_code,remaining_amt, payrec, mode_code,coinsurance_code,class_cd,it_remarks) values('29Apr250042','050000836822','-29305',(select max(to_number(i.premium_rcv_detail_code))+1
from ins_premium_det i),'-29305','-29305','02', '11000003','00','Request by Mr. Omair Ali 30-Apr-2025');</v>
      </c>
    </row>
    <row r="1607" spans="1:8" ht="105" x14ac:dyDescent="0.25">
      <c r="A1607" t="s">
        <v>1732</v>
      </c>
      <c r="B1607" s="1" t="str">
        <f>VLOOKUP(A1607,Sheet5!B:C,2,0)</f>
        <v>050000836823</v>
      </c>
      <c r="C1607" s="13">
        <v>-14994</v>
      </c>
      <c r="D1607" s="22">
        <f t="shared" si="101"/>
        <v>-14994</v>
      </c>
      <c r="E1607" s="21" t="s">
        <v>5912</v>
      </c>
      <c r="F1607" s="23" t="str">
        <f t="shared" si="100"/>
        <v>insert into ins_premium_det (premium_rcv_code,assorted_code, rec_amount,premium_rcv_detail_code,remaining_amt, payrec, mode_code,coinsurance_code,class_cd,it_remarks) values</v>
      </c>
      <c r="G1607" s="24" t="str">
        <f t="shared" si="102"/>
        <v>('29Apr250042','050000836823','-14994',(select max(to_number(i.premium_rcv_detail_code))+1
from ins_premium_det i),'-14994','-14994','02', '11000003','00','Request by Mr. Omair Ali 30-Apr-2025');</v>
      </c>
      <c r="H1607" s="25" t="str">
        <f t="shared" si="103"/>
        <v>insert into ins_premium_det (premium_rcv_code,assorted_code, rec_amount,premium_rcv_detail_code,remaining_amt, payrec, mode_code,coinsurance_code,class_cd,it_remarks) values('29Apr250042','050000836823','-14994',(select max(to_number(i.premium_rcv_detail_code))+1
from ins_premium_det i),'-14994','-14994','02', '11000003','00','Request by Mr. Omair Ali 30-Apr-2025');</v>
      </c>
    </row>
    <row r="1608" spans="1:8" ht="105" x14ac:dyDescent="0.25">
      <c r="A1608" t="s">
        <v>1742</v>
      </c>
      <c r="B1608" s="1" t="str">
        <f>VLOOKUP(A1608,Sheet5!B:C,2,0)</f>
        <v>050000836824</v>
      </c>
      <c r="C1608" s="13">
        <v>-11913</v>
      </c>
      <c r="D1608" s="22">
        <f t="shared" si="101"/>
        <v>-11913</v>
      </c>
      <c r="E1608" s="21" t="s">
        <v>5912</v>
      </c>
      <c r="F1608" s="23" t="str">
        <f t="shared" si="100"/>
        <v>insert into ins_premium_det (premium_rcv_code,assorted_code, rec_amount,premium_rcv_detail_code,remaining_amt, payrec, mode_code,coinsurance_code,class_cd,it_remarks) values</v>
      </c>
      <c r="G1608" s="24" t="str">
        <f t="shared" si="102"/>
        <v>('29Apr250042','050000836824','-11913',(select max(to_number(i.premium_rcv_detail_code))+1
from ins_premium_det i),'-11913','-11913','02', '11000003','00','Request by Mr. Omair Ali 30-Apr-2025');</v>
      </c>
      <c r="H1608" s="25" t="str">
        <f t="shared" si="103"/>
        <v>insert into ins_premium_det (premium_rcv_code,assorted_code, rec_amount,premium_rcv_detail_code,remaining_amt, payrec, mode_code,coinsurance_code,class_cd,it_remarks) values('29Apr250042','050000836824','-11913',(select max(to_number(i.premium_rcv_detail_code))+1
from ins_premium_det i),'-11913','-11913','02', '11000003','00','Request by Mr. Omair Ali 30-Apr-2025');</v>
      </c>
    </row>
    <row r="1609" spans="1:8" ht="105" x14ac:dyDescent="0.25">
      <c r="A1609" t="s">
        <v>1769</v>
      </c>
      <c r="B1609" s="1" t="str">
        <f>VLOOKUP(A1609,Sheet5!B:C,2,0)</f>
        <v>050000836827</v>
      </c>
      <c r="C1609" s="13">
        <v>-17104</v>
      </c>
      <c r="D1609" s="22">
        <f t="shared" si="101"/>
        <v>-17104</v>
      </c>
      <c r="E1609" s="21" t="s">
        <v>5912</v>
      </c>
      <c r="F1609" s="23" t="str">
        <f t="shared" si="100"/>
        <v>insert into ins_premium_det (premium_rcv_code,assorted_code, rec_amount,premium_rcv_detail_code,remaining_amt, payrec, mode_code,coinsurance_code,class_cd,it_remarks) values</v>
      </c>
      <c r="G1609" s="24" t="str">
        <f t="shared" si="102"/>
        <v>('29Apr250042','050000836827','-17104',(select max(to_number(i.premium_rcv_detail_code))+1
from ins_premium_det i),'-17104','-17104','02', '11000003','00','Request by Mr. Omair Ali 30-Apr-2025');</v>
      </c>
      <c r="H1609" s="25" t="str">
        <f t="shared" si="103"/>
        <v>insert into ins_premium_det (premium_rcv_code,assorted_code, rec_amount,premium_rcv_detail_code,remaining_amt, payrec, mode_code,coinsurance_code,class_cd,it_remarks) values('29Apr250042','050000836827','-17104',(select max(to_number(i.premium_rcv_detail_code))+1
from ins_premium_det i),'-17104','-17104','02', '11000003','00','Request by Mr. Omair Ali 30-Apr-2025');</v>
      </c>
    </row>
    <row r="1610" spans="1:8" ht="105" x14ac:dyDescent="0.25">
      <c r="A1610" t="s">
        <v>1821</v>
      </c>
      <c r="B1610" s="1" t="str">
        <f>VLOOKUP(A1610,Sheet5!B:C,2,0)</f>
        <v>050000836829</v>
      </c>
      <c r="C1610" s="13">
        <v>-9155</v>
      </c>
      <c r="D1610" s="22">
        <f t="shared" si="101"/>
        <v>-9155</v>
      </c>
      <c r="E1610" s="21" t="s">
        <v>5912</v>
      </c>
      <c r="F1610" s="23" t="str">
        <f t="shared" si="100"/>
        <v>insert into ins_premium_det (premium_rcv_code,assorted_code, rec_amount,premium_rcv_detail_code,remaining_amt, payrec, mode_code,coinsurance_code,class_cd,it_remarks) values</v>
      </c>
      <c r="G1610" s="24" t="str">
        <f t="shared" si="102"/>
        <v>('29Apr250042','050000836829','-9155',(select max(to_number(i.premium_rcv_detail_code))+1
from ins_premium_det i),'-9155','-9155','02', '11000003','00','Request by Mr. Omair Ali 30-Apr-2025');</v>
      </c>
      <c r="H1610" s="25" t="str">
        <f t="shared" si="103"/>
        <v>insert into ins_premium_det (premium_rcv_code,assorted_code, rec_amount,premium_rcv_detail_code,remaining_amt, payrec, mode_code,coinsurance_code,class_cd,it_remarks) values('29Apr250042','050000836829','-9155',(select max(to_number(i.premium_rcv_detail_code))+1
from ins_premium_det i),'-9155','-9155','02', '11000003','00','Request by Mr. Omair Ali 30-Apr-2025');</v>
      </c>
    </row>
    <row r="1611" spans="1:8" ht="105" x14ac:dyDescent="0.25">
      <c r="A1611" t="s">
        <v>1835</v>
      </c>
      <c r="B1611" s="1" t="str">
        <f>VLOOKUP(A1611,Sheet5!B:C,2,0)</f>
        <v>050000836831</v>
      </c>
      <c r="C1611" s="13">
        <v>-10220</v>
      </c>
      <c r="D1611" s="22">
        <f t="shared" si="101"/>
        <v>-10220</v>
      </c>
      <c r="E1611" s="21" t="s">
        <v>5912</v>
      </c>
      <c r="F1611" s="23" t="str">
        <f t="shared" si="100"/>
        <v>insert into ins_premium_det (premium_rcv_code,assorted_code, rec_amount,premium_rcv_detail_code,remaining_amt, payrec, mode_code,coinsurance_code,class_cd,it_remarks) values</v>
      </c>
      <c r="G1611" s="24" t="str">
        <f t="shared" si="102"/>
        <v>('29Apr250042','050000836831','-10220',(select max(to_number(i.premium_rcv_detail_code))+1
from ins_premium_det i),'-10220','-10220','02', '11000003','00','Request by Mr. Omair Ali 30-Apr-2025');</v>
      </c>
      <c r="H1611" s="25" t="str">
        <f t="shared" si="103"/>
        <v>insert into ins_premium_det (premium_rcv_code,assorted_code, rec_amount,premium_rcv_detail_code,remaining_amt, payrec, mode_code,coinsurance_code,class_cd,it_remarks) values('29Apr250042','050000836831','-10220',(select max(to_number(i.premium_rcv_detail_code))+1
from ins_premium_det i),'-10220','-10220','02', '11000003','00','Request by Mr. Omair Ali 30-Apr-2025');</v>
      </c>
    </row>
    <row r="1612" spans="1:8" ht="105" x14ac:dyDescent="0.25">
      <c r="A1612" t="s">
        <v>1842</v>
      </c>
      <c r="B1612" s="1" t="str">
        <f>VLOOKUP(A1612,Sheet5!B:C,2,0)</f>
        <v>050000836833</v>
      </c>
      <c r="C1612" s="13">
        <v>-6345</v>
      </c>
      <c r="D1612" s="22">
        <f t="shared" si="101"/>
        <v>-6345</v>
      </c>
      <c r="E1612" s="21" t="s">
        <v>5912</v>
      </c>
      <c r="F1612" s="23" t="str">
        <f t="shared" si="100"/>
        <v>insert into ins_premium_det (premium_rcv_code,assorted_code, rec_amount,premium_rcv_detail_code,remaining_amt, payrec, mode_code,coinsurance_code,class_cd,it_remarks) values</v>
      </c>
      <c r="G1612" s="24" t="str">
        <f t="shared" si="102"/>
        <v>('29Apr250042','050000836833','-6345',(select max(to_number(i.premium_rcv_detail_code))+1
from ins_premium_det i),'-6345','-6345','02', '11000003','00','Request by Mr. Omair Ali 30-Apr-2025');</v>
      </c>
      <c r="H1612" s="25" t="str">
        <f t="shared" si="103"/>
        <v>insert into ins_premium_det (premium_rcv_code,assorted_code, rec_amount,premium_rcv_detail_code,remaining_amt, payrec, mode_code,coinsurance_code,class_cd,it_remarks) values('29Apr250042','050000836833','-6345',(select max(to_number(i.premium_rcv_detail_code))+1
from ins_premium_det i),'-6345','-6345','02', '11000003','00','Request by Mr. Omair Ali 30-Apr-2025');</v>
      </c>
    </row>
    <row r="1613" spans="1:8" ht="105" x14ac:dyDescent="0.25">
      <c r="A1613" t="s">
        <v>1850</v>
      </c>
      <c r="B1613" s="1" t="str">
        <f>VLOOKUP(A1613,Sheet5!B:C,2,0)</f>
        <v>050000836834</v>
      </c>
      <c r="C1613" s="13">
        <v>-22654</v>
      </c>
      <c r="D1613" s="22">
        <f t="shared" si="101"/>
        <v>-22654</v>
      </c>
      <c r="E1613" s="21" t="s">
        <v>5912</v>
      </c>
      <c r="F1613" s="23" t="str">
        <f t="shared" si="100"/>
        <v>insert into ins_premium_det (premium_rcv_code,assorted_code, rec_amount,premium_rcv_detail_code,remaining_amt, payrec, mode_code,coinsurance_code,class_cd,it_remarks) values</v>
      </c>
      <c r="G1613" s="24" t="str">
        <f t="shared" si="102"/>
        <v>('29Apr250042','050000836834','-22654',(select max(to_number(i.premium_rcv_detail_code))+1
from ins_premium_det i),'-22654','-22654','02', '11000003','00','Request by Mr. Omair Ali 30-Apr-2025');</v>
      </c>
      <c r="H1613" s="25" t="str">
        <f t="shared" si="103"/>
        <v>insert into ins_premium_det (premium_rcv_code,assorted_code, rec_amount,premium_rcv_detail_code,remaining_amt, payrec, mode_code,coinsurance_code,class_cd,it_remarks) values('29Apr250042','050000836834','-22654',(select max(to_number(i.premium_rcv_detail_code))+1
from ins_premium_det i),'-22654','-22654','02', '11000003','00','Request by Mr. Omair Ali 30-Apr-2025');</v>
      </c>
    </row>
    <row r="1614" spans="1:8" ht="105" x14ac:dyDescent="0.25">
      <c r="A1614" t="s">
        <v>1863</v>
      </c>
      <c r="B1614" s="1" t="str">
        <f>VLOOKUP(A1614,Sheet5!B:C,2,0)</f>
        <v>050000836835</v>
      </c>
      <c r="C1614" s="13">
        <v>-28179</v>
      </c>
      <c r="D1614" s="22">
        <f t="shared" si="101"/>
        <v>-28179</v>
      </c>
      <c r="E1614" s="21" t="s">
        <v>5912</v>
      </c>
      <c r="F1614" s="23" t="str">
        <f t="shared" si="100"/>
        <v>insert into ins_premium_det (premium_rcv_code,assorted_code, rec_amount,premium_rcv_detail_code,remaining_amt, payrec, mode_code,coinsurance_code,class_cd,it_remarks) values</v>
      </c>
      <c r="G1614" s="24" t="str">
        <f t="shared" si="102"/>
        <v>('29Apr250042','050000836835','-28179',(select max(to_number(i.premium_rcv_detail_code))+1
from ins_premium_det i),'-28179','-28179','02', '11000003','00','Request by Mr. Omair Ali 30-Apr-2025');</v>
      </c>
      <c r="H1614" s="25" t="str">
        <f t="shared" si="103"/>
        <v>insert into ins_premium_det (premium_rcv_code,assorted_code, rec_amount,premium_rcv_detail_code,remaining_amt, payrec, mode_code,coinsurance_code,class_cd,it_remarks) values('29Apr250042','050000836835','-28179',(select max(to_number(i.premium_rcv_detail_code))+1
from ins_premium_det i),'-28179','-28179','02', '11000003','00','Request by Mr. Omair Ali 30-Apr-2025');</v>
      </c>
    </row>
    <row r="1615" spans="1:8" ht="105" x14ac:dyDescent="0.25">
      <c r="A1615" t="s">
        <v>1871</v>
      </c>
      <c r="B1615" s="1" t="str">
        <f>VLOOKUP(A1615,Sheet5!B:C,2,0)</f>
        <v>050000836836</v>
      </c>
      <c r="C1615" s="13">
        <v>-25591</v>
      </c>
      <c r="D1615" s="22">
        <f t="shared" si="101"/>
        <v>-25591</v>
      </c>
      <c r="E1615" s="21" t="s">
        <v>5912</v>
      </c>
      <c r="F1615" s="23" t="str">
        <f t="shared" si="100"/>
        <v>insert into ins_premium_det (premium_rcv_code,assorted_code, rec_amount,premium_rcv_detail_code,remaining_amt, payrec, mode_code,coinsurance_code,class_cd,it_remarks) values</v>
      </c>
      <c r="G1615" s="24" t="str">
        <f t="shared" si="102"/>
        <v>('29Apr250042','050000836836','-25591',(select max(to_number(i.premium_rcv_detail_code))+1
from ins_premium_det i),'-25591','-25591','02', '11000003','00','Request by Mr. Omair Ali 30-Apr-2025');</v>
      </c>
      <c r="H1615" s="25" t="str">
        <f t="shared" si="103"/>
        <v>insert into ins_premium_det (premium_rcv_code,assorted_code, rec_amount,premium_rcv_detail_code,remaining_amt, payrec, mode_code,coinsurance_code,class_cd,it_remarks) values('29Apr250042','050000836836','-25591',(select max(to_number(i.premium_rcv_detail_code))+1
from ins_premium_det i),'-25591','-25591','02', '11000003','00','Request by Mr. Omair Ali 30-Apr-2025');</v>
      </c>
    </row>
    <row r="1616" spans="1:8" ht="105" x14ac:dyDescent="0.25">
      <c r="A1616" t="s">
        <v>1897</v>
      </c>
      <c r="B1616" s="1" t="str">
        <f>VLOOKUP(A1616,Sheet5!B:C,2,0)</f>
        <v>050000836837</v>
      </c>
      <c r="C1616" s="13">
        <v>-20278</v>
      </c>
      <c r="D1616" s="22">
        <f t="shared" si="101"/>
        <v>-20278</v>
      </c>
      <c r="E1616" s="21" t="s">
        <v>5912</v>
      </c>
      <c r="F1616" s="23" t="str">
        <f t="shared" si="100"/>
        <v>insert into ins_premium_det (premium_rcv_code,assorted_code, rec_amount,premium_rcv_detail_code,remaining_amt, payrec, mode_code,coinsurance_code,class_cd,it_remarks) values</v>
      </c>
      <c r="G1616" s="24" t="str">
        <f t="shared" si="102"/>
        <v>('29Apr250042','050000836837','-20278',(select max(to_number(i.premium_rcv_detail_code))+1
from ins_premium_det i),'-20278','-20278','02', '11000003','00','Request by Mr. Omair Ali 30-Apr-2025');</v>
      </c>
      <c r="H1616" s="25" t="str">
        <f t="shared" si="103"/>
        <v>insert into ins_premium_det (premium_rcv_code,assorted_code, rec_amount,premium_rcv_detail_code,remaining_amt, payrec, mode_code,coinsurance_code,class_cd,it_remarks) values('29Apr250042','050000836837','-20278',(select max(to_number(i.premium_rcv_detail_code))+1
from ins_premium_det i),'-20278','-20278','02', '11000003','00','Request by Mr. Omair Ali 30-Apr-2025');</v>
      </c>
    </row>
    <row r="1617" spans="1:8" ht="105" x14ac:dyDescent="0.25">
      <c r="A1617" t="s">
        <v>1905</v>
      </c>
      <c r="B1617" s="1" t="str">
        <f>VLOOKUP(A1617,Sheet5!B:C,2,0)</f>
        <v>050000836838</v>
      </c>
      <c r="C1617" s="13">
        <v>-3920</v>
      </c>
      <c r="D1617" s="22">
        <f t="shared" si="101"/>
        <v>-3920</v>
      </c>
      <c r="E1617" s="21" t="s">
        <v>5912</v>
      </c>
      <c r="F1617" s="23" t="str">
        <f t="shared" si="100"/>
        <v>insert into ins_premium_det (premium_rcv_code,assorted_code, rec_amount,premium_rcv_detail_code,remaining_amt, payrec, mode_code,coinsurance_code,class_cd,it_remarks) values</v>
      </c>
      <c r="G1617" s="24" t="str">
        <f t="shared" si="102"/>
        <v>('29Apr250042','050000836838','-3920',(select max(to_number(i.premium_rcv_detail_code))+1
from ins_premium_det i),'-3920','-3920','02', '11000003','00','Request by Mr. Omair Ali 30-Apr-2025');</v>
      </c>
      <c r="H1617" s="25" t="str">
        <f t="shared" si="103"/>
        <v>insert into ins_premium_det (premium_rcv_code,assorted_code, rec_amount,premium_rcv_detail_code,remaining_amt, payrec, mode_code,coinsurance_code,class_cd,it_remarks) values('29Apr250042','050000836838','-3920',(select max(to_number(i.premium_rcv_detail_code))+1
from ins_premium_det i),'-3920','-3920','02', '11000003','00','Request by Mr. Omair Ali 30-Apr-2025');</v>
      </c>
    </row>
    <row r="1618" spans="1:8" ht="105" x14ac:dyDescent="0.25">
      <c r="A1618" t="s">
        <v>1925</v>
      </c>
      <c r="B1618" s="1" t="str">
        <f>VLOOKUP(A1618,Sheet5!B:C,2,0)</f>
        <v>050000836840</v>
      </c>
      <c r="C1618" s="13">
        <v>-4509</v>
      </c>
      <c r="D1618" s="22">
        <f t="shared" si="101"/>
        <v>-4509</v>
      </c>
      <c r="E1618" s="21" t="s">
        <v>5912</v>
      </c>
      <c r="F1618" s="23" t="str">
        <f t="shared" si="100"/>
        <v>insert into ins_premium_det (premium_rcv_code,assorted_code, rec_amount,premium_rcv_detail_code,remaining_amt, payrec, mode_code,coinsurance_code,class_cd,it_remarks) values</v>
      </c>
      <c r="G1618" s="24" t="str">
        <f t="shared" si="102"/>
        <v>('29Apr250042','050000836840','-4509',(select max(to_number(i.premium_rcv_detail_code))+1
from ins_premium_det i),'-4509','-4509','02', '11000003','00','Request by Mr. Omair Ali 30-Apr-2025');</v>
      </c>
      <c r="H1618" s="25" t="str">
        <f t="shared" si="103"/>
        <v>insert into ins_premium_det (premium_rcv_code,assorted_code, rec_amount,premium_rcv_detail_code,remaining_amt, payrec, mode_code,coinsurance_code,class_cd,it_remarks) values('29Apr250042','050000836840','-4509',(select max(to_number(i.premium_rcv_detail_code))+1
from ins_premium_det i),'-4509','-4509','02', '11000003','00','Request by Mr. Omair Ali 30-Apr-2025');</v>
      </c>
    </row>
    <row r="1619" spans="1:8" ht="105" x14ac:dyDescent="0.25">
      <c r="A1619" t="s">
        <v>1939</v>
      </c>
      <c r="B1619" s="1" t="str">
        <f>VLOOKUP(A1619,Sheet5!B:C,2,0)</f>
        <v>050000836841</v>
      </c>
      <c r="C1619" s="13">
        <v>-3696</v>
      </c>
      <c r="D1619" s="22">
        <f t="shared" si="101"/>
        <v>-3696</v>
      </c>
      <c r="E1619" s="21" t="s">
        <v>5912</v>
      </c>
      <c r="F1619" s="23" t="str">
        <f t="shared" si="100"/>
        <v>insert into ins_premium_det (premium_rcv_code,assorted_code, rec_amount,premium_rcv_detail_code,remaining_amt, payrec, mode_code,coinsurance_code,class_cd,it_remarks) values</v>
      </c>
      <c r="G1619" s="24" t="str">
        <f t="shared" si="102"/>
        <v>('29Apr250042','050000836841','-3696',(select max(to_number(i.premium_rcv_detail_code))+1
from ins_premium_det i),'-3696','-3696','02', '11000003','00','Request by Mr. Omair Ali 30-Apr-2025');</v>
      </c>
      <c r="H1619" s="25" t="str">
        <f t="shared" si="103"/>
        <v>insert into ins_premium_det (premium_rcv_code,assorted_code, rec_amount,premium_rcv_detail_code,remaining_amt, payrec, mode_code,coinsurance_code,class_cd,it_remarks) values('29Apr250042','050000836841','-3696',(select max(to_number(i.premium_rcv_detail_code))+1
from ins_premium_det i),'-3696','-3696','02', '11000003','00','Request by Mr. Omair Ali 30-Apr-2025');</v>
      </c>
    </row>
    <row r="1620" spans="1:8" ht="105" x14ac:dyDescent="0.25">
      <c r="A1620" t="s">
        <v>1947</v>
      </c>
      <c r="B1620" s="1" t="str">
        <f>VLOOKUP(A1620,Sheet5!B:C,2,0)</f>
        <v>050000836843</v>
      </c>
      <c r="C1620" s="13">
        <v>-5841</v>
      </c>
      <c r="D1620" s="22">
        <f t="shared" si="101"/>
        <v>-5841</v>
      </c>
      <c r="E1620" s="21" t="s">
        <v>5912</v>
      </c>
      <c r="F1620" s="23" t="str">
        <f t="shared" si="100"/>
        <v>insert into ins_premium_det (premium_rcv_code,assorted_code, rec_amount,premium_rcv_detail_code,remaining_amt, payrec, mode_code,coinsurance_code,class_cd,it_remarks) values</v>
      </c>
      <c r="G1620" s="24" t="str">
        <f t="shared" si="102"/>
        <v>('29Apr250042','050000836843','-5841',(select max(to_number(i.premium_rcv_detail_code))+1
from ins_premium_det i),'-5841','-5841','02', '11000003','00','Request by Mr. Omair Ali 30-Apr-2025');</v>
      </c>
      <c r="H1620" s="25" t="str">
        <f t="shared" si="103"/>
        <v>insert into ins_premium_det (premium_rcv_code,assorted_code, rec_amount,premium_rcv_detail_code,remaining_amt, payrec, mode_code,coinsurance_code,class_cd,it_remarks) values('29Apr250042','050000836843','-5841',(select max(to_number(i.premium_rcv_detail_code))+1
from ins_premium_det i),'-5841','-5841','02', '11000003','00','Request by Mr. Omair Ali 30-Apr-2025');</v>
      </c>
    </row>
    <row r="1621" spans="1:8" ht="105" x14ac:dyDescent="0.25">
      <c r="A1621" t="s">
        <v>1963</v>
      </c>
      <c r="B1621" s="1" t="str">
        <f>VLOOKUP(A1621,Sheet5!B:C,2,0)</f>
        <v>050000836845</v>
      </c>
      <c r="C1621" s="13">
        <v>-30121</v>
      </c>
      <c r="D1621" s="22">
        <f t="shared" si="101"/>
        <v>-30121</v>
      </c>
      <c r="E1621" s="21" t="s">
        <v>5912</v>
      </c>
      <c r="F1621" s="23" t="str">
        <f t="shared" si="100"/>
        <v>insert into ins_premium_det (premium_rcv_code,assorted_code, rec_amount,premium_rcv_detail_code,remaining_amt, payrec, mode_code,coinsurance_code,class_cd,it_remarks) values</v>
      </c>
      <c r="G1621" s="24" t="str">
        <f t="shared" si="102"/>
        <v>('29Apr250042','050000836845','-30121',(select max(to_number(i.premium_rcv_detail_code))+1
from ins_premium_det i),'-30121','-30121','02', '11000003','00','Request by Mr. Omair Ali 30-Apr-2025');</v>
      </c>
      <c r="H1621" s="25" t="str">
        <f t="shared" si="103"/>
        <v>insert into ins_premium_det (premium_rcv_code,assorted_code, rec_amount,premium_rcv_detail_code,remaining_amt, payrec, mode_code,coinsurance_code,class_cd,it_remarks) values('29Apr250042','050000836845','-30121',(select max(to_number(i.premium_rcv_detail_code))+1
from ins_premium_det i),'-30121','-30121','02', '11000003','00','Request by Mr. Omair Ali 30-Apr-2025');</v>
      </c>
    </row>
    <row r="1622" spans="1:8" ht="105" x14ac:dyDescent="0.25">
      <c r="A1622" t="s">
        <v>1966</v>
      </c>
      <c r="B1622" s="1" t="str">
        <f>VLOOKUP(A1622,Sheet5!B:C,2,0)</f>
        <v>050000836846</v>
      </c>
      <c r="C1622" s="13">
        <v>-554</v>
      </c>
      <c r="D1622" s="22">
        <f t="shared" si="101"/>
        <v>-554</v>
      </c>
      <c r="E1622" s="21" t="s">
        <v>5912</v>
      </c>
      <c r="F1622" s="23" t="str">
        <f t="shared" si="100"/>
        <v>insert into ins_premium_det (premium_rcv_code,assorted_code, rec_amount,premium_rcv_detail_code,remaining_amt, payrec, mode_code,coinsurance_code,class_cd,it_remarks) values</v>
      </c>
      <c r="G1622" s="24" t="str">
        <f t="shared" si="102"/>
        <v>('29Apr250042','050000836846','-554',(select max(to_number(i.premium_rcv_detail_code))+1
from ins_premium_det i),'-554','-554','02', '11000003','00','Request by Mr. Omair Ali 30-Apr-2025');</v>
      </c>
      <c r="H1622" s="25" t="str">
        <f t="shared" si="103"/>
        <v>insert into ins_premium_det (premium_rcv_code,assorted_code, rec_amount,premium_rcv_detail_code,remaining_amt, payrec, mode_code,coinsurance_code,class_cd,it_remarks) values('29Apr250042','050000836846','-554',(select max(to_number(i.premium_rcv_detail_code))+1
from ins_premium_det i),'-554','-554','02', '11000003','00','Request by Mr. Omair Ali 30-Apr-2025');</v>
      </c>
    </row>
    <row r="1623" spans="1:8" ht="105" x14ac:dyDescent="0.25">
      <c r="A1623" t="s">
        <v>1744</v>
      </c>
      <c r="B1623" s="1" t="str">
        <f>VLOOKUP(A1623,Sheet5!B:C,2,0)</f>
        <v>050000837383</v>
      </c>
      <c r="C1623" s="13">
        <v>1651</v>
      </c>
      <c r="D1623" s="22">
        <f t="shared" si="101"/>
        <v>1651</v>
      </c>
      <c r="E1623" s="21" t="s">
        <v>5912</v>
      </c>
      <c r="F1623" s="23" t="str">
        <f t="shared" si="100"/>
        <v>insert into ins_premium_det (premium_rcv_code,assorted_code, rec_amount,premium_rcv_detail_code,remaining_amt, payrec, mode_code,coinsurance_code,class_cd,it_remarks) values</v>
      </c>
      <c r="G1623" s="24" t="str">
        <f t="shared" si="102"/>
        <v>('29Apr250042','050000837383','1651',(select max(to_number(i.premium_rcv_detail_code))+1
from ins_premium_det i),'1651','1651','02', '11000003','00','Request by Mr. Omair Ali 30-Apr-2025');</v>
      </c>
      <c r="H1623" s="25" t="str">
        <f t="shared" si="103"/>
        <v>insert into ins_premium_det (premium_rcv_code,assorted_code, rec_amount,premium_rcv_detail_code,remaining_amt, payrec, mode_code,coinsurance_code,class_cd,it_remarks) values('29Apr250042','050000837383','1651',(select max(to_number(i.premium_rcv_detail_code))+1
from ins_premium_det i),'1651','1651','02', '11000003','00','Request by Mr. Omair Ali 30-Apr-2025');</v>
      </c>
    </row>
    <row r="1624" spans="1:8" ht="105" x14ac:dyDescent="0.25">
      <c r="A1624" t="s">
        <v>1970</v>
      </c>
      <c r="B1624" s="1" t="str">
        <f>VLOOKUP(A1624,Sheet5!B:C,2,0)</f>
        <v>050000837393</v>
      </c>
      <c r="C1624" s="13">
        <v>3959</v>
      </c>
      <c r="D1624" s="22">
        <f t="shared" si="101"/>
        <v>3959</v>
      </c>
      <c r="E1624" s="21" t="s">
        <v>5912</v>
      </c>
      <c r="F1624" s="23" t="str">
        <f t="shared" si="100"/>
        <v>insert into ins_premium_det (premium_rcv_code,assorted_code, rec_amount,premium_rcv_detail_code,remaining_amt, payrec, mode_code,coinsurance_code,class_cd,it_remarks) values</v>
      </c>
      <c r="G1624" s="24" t="str">
        <f t="shared" si="102"/>
        <v>('29Apr250042','050000837393','3959',(select max(to_number(i.premium_rcv_detail_code))+1
from ins_premium_det i),'3959','3959','02', '11000003','00','Request by Mr. Omair Ali 30-Apr-2025');</v>
      </c>
      <c r="H1624" s="25" t="str">
        <f t="shared" si="103"/>
        <v>insert into ins_premium_det (premium_rcv_code,assorted_code, rec_amount,premium_rcv_detail_code,remaining_amt, payrec, mode_code,coinsurance_code,class_cd,it_remarks) values('29Apr250042','050000837393','3959',(select max(to_number(i.premium_rcv_detail_code))+1
from ins_premium_det i),'3959','3959','02', '11000003','00','Request by Mr. Omair Ali 30-Apr-2025');</v>
      </c>
    </row>
    <row r="1625" spans="1:8" ht="105" x14ac:dyDescent="0.25">
      <c r="A1625" t="s">
        <v>2000</v>
      </c>
      <c r="B1625" s="1" t="str">
        <f>VLOOKUP(A1625,Sheet5!B:C,2,0)</f>
        <v>050000837795</v>
      </c>
      <c r="C1625" s="13">
        <v>3198</v>
      </c>
      <c r="D1625" s="22">
        <f t="shared" si="101"/>
        <v>3198</v>
      </c>
      <c r="E1625" s="21" t="s">
        <v>5912</v>
      </c>
      <c r="F1625" s="23" t="str">
        <f t="shared" si="100"/>
        <v>insert into ins_premium_det (premium_rcv_code,assorted_code, rec_amount,premium_rcv_detail_code,remaining_amt, payrec, mode_code,coinsurance_code,class_cd,it_remarks) values</v>
      </c>
      <c r="G1625" s="24" t="str">
        <f t="shared" si="102"/>
        <v>('29Apr250042','050000837795','3198',(select max(to_number(i.premium_rcv_detail_code))+1
from ins_premium_det i),'3198','3198','02', '11000003','00','Request by Mr. Omair Ali 30-Apr-2025');</v>
      </c>
      <c r="H1625" s="25" t="str">
        <f t="shared" si="103"/>
        <v>insert into ins_premium_det (premium_rcv_code,assorted_code, rec_amount,premium_rcv_detail_code,remaining_amt, payrec, mode_code,coinsurance_code,class_cd,it_remarks) values('29Apr250042','050000837795','3198',(select max(to_number(i.premium_rcv_detail_code))+1
from ins_premium_det i),'3198','3198','02', '11000003','00','Request by Mr. Omair Ali 30-Apr-2025');</v>
      </c>
    </row>
    <row r="1626" spans="1:8" ht="105" x14ac:dyDescent="0.25">
      <c r="A1626" t="s">
        <v>1886</v>
      </c>
      <c r="B1626" s="1" t="str">
        <f>VLOOKUP(A1626,Sheet5!B:C,2,0)</f>
        <v>050000838281</v>
      </c>
      <c r="C1626" s="13">
        <v>3834</v>
      </c>
      <c r="D1626" s="22">
        <f t="shared" si="101"/>
        <v>3834</v>
      </c>
      <c r="E1626" s="21" t="s">
        <v>5912</v>
      </c>
      <c r="F1626" s="23" t="str">
        <f t="shared" si="100"/>
        <v>insert into ins_premium_det (premium_rcv_code,assorted_code, rec_amount,premium_rcv_detail_code,remaining_amt, payrec, mode_code,coinsurance_code,class_cd,it_remarks) values</v>
      </c>
      <c r="G1626" s="24" t="str">
        <f t="shared" si="102"/>
        <v>('29Apr250042','050000838281','3834',(select max(to_number(i.premium_rcv_detail_code))+1
from ins_premium_det i),'3834','3834','02', '11000003','00','Request by Mr. Omair Ali 30-Apr-2025');</v>
      </c>
      <c r="H1626" s="25" t="str">
        <f t="shared" si="103"/>
        <v>insert into ins_premium_det (premium_rcv_code,assorted_code, rec_amount,premium_rcv_detail_code,remaining_amt, payrec, mode_code,coinsurance_code,class_cd,it_remarks) values('29Apr250042','050000838281','3834',(select max(to_number(i.premium_rcv_detail_code))+1
from ins_premium_det i),'3834','3834','02', '11000003','00','Request by Mr. Omair Ali 30-Apr-2025');</v>
      </c>
    </row>
    <row r="1627" spans="1:8" ht="105" x14ac:dyDescent="0.25">
      <c r="A1627" t="s">
        <v>1991</v>
      </c>
      <c r="B1627" s="1" t="str">
        <f>VLOOKUP(A1627,Sheet5!B:C,2,0)</f>
        <v>050000838284</v>
      </c>
      <c r="C1627" s="13">
        <v>4379</v>
      </c>
      <c r="D1627" s="22">
        <f t="shared" si="101"/>
        <v>4379</v>
      </c>
      <c r="E1627" s="21" t="s">
        <v>5912</v>
      </c>
      <c r="F1627" s="23" t="str">
        <f t="shared" si="100"/>
        <v>insert into ins_premium_det (premium_rcv_code,assorted_code, rec_amount,premium_rcv_detail_code,remaining_amt, payrec, mode_code,coinsurance_code,class_cd,it_remarks) values</v>
      </c>
      <c r="G1627" s="24" t="str">
        <f t="shared" si="102"/>
        <v>('29Apr250042','050000838284','4379',(select max(to_number(i.premium_rcv_detail_code))+1
from ins_premium_det i),'4379','4379','02', '11000003','00','Request by Mr. Omair Ali 30-Apr-2025');</v>
      </c>
      <c r="H1627" s="25" t="str">
        <f t="shared" si="103"/>
        <v>insert into ins_premium_det (premium_rcv_code,assorted_code, rec_amount,premium_rcv_detail_code,remaining_amt, payrec, mode_code,coinsurance_code,class_cd,it_remarks) values('29Apr250042','050000838284','4379',(select max(to_number(i.premium_rcv_detail_code))+1
from ins_premium_det i),'4379','4379','02', '11000003','00','Request by Mr. Omair Ali 30-Apr-2025');</v>
      </c>
    </row>
    <row r="1628" spans="1:8" ht="105" x14ac:dyDescent="0.25">
      <c r="A1628" t="s">
        <v>2007</v>
      </c>
      <c r="B1628" s="1" t="str">
        <f>VLOOKUP(A1628,Sheet5!B:C,2,0)</f>
        <v>050000839008</v>
      </c>
      <c r="C1628" s="13">
        <v>3790</v>
      </c>
      <c r="D1628" s="22">
        <f t="shared" si="101"/>
        <v>3790</v>
      </c>
      <c r="E1628" s="21" t="s">
        <v>5912</v>
      </c>
      <c r="F1628" s="23" t="str">
        <f t="shared" si="100"/>
        <v>insert into ins_premium_det (premium_rcv_code,assorted_code, rec_amount,premium_rcv_detail_code,remaining_amt, payrec, mode_code,coinsurance_code,class_cd,it_remarks) values</v>
      </c>
      <c r="G1628" s="24" t="str">
        <f t="shared" si="102"/>
        <v>('29Apr250042','050000839008','3790',(select max(to_number(i.premium_rcv_detail_code))+1
from ins_premium_det i),'3790','3790','02', '11000003','00','Request by Mr. Omair Ali 30-Apr-2025');</v>
      </c>
      <c r="H1628" s="25" t="str">
        <f t="shared" si="103"/>
        <v>insert into ins_premium_det (premium_rcv_code,assorted_code, rec_amount,premium_rcv_detail_code,remaining_amt, payrec, mode_code,coinsurance_code,class_cd,it_remarks) values('29Apr250042','050000839008','3790',(select max(to_number(i.premium_rcv_detail_code))+1
from ins_premium_det i),'3790','3790','02', '11000003','00','Request by Mr. Omair Ali 30-Apr-2025');</v>
      </c>
    </row>
    <row r="1629" spans="1:8" ht="105" x14ac:dyDescent="0.25">
      <c r="A1629" t="s">
        <v>1266</v>
      </c>
      <c r="B1629" s="1" t="str">
        <f>VLOOKUP(A1629,Sheet5!B:C,2,0)</f>
        <v>050000840233</v>
      </c>
      <c r="C1629" s="13">
        <v>1250</v>
      </c>
      <c r="D1629" s="22">
        <f t="shared" si="101"/>
        <v>1250</v>
      </c>
      <c r="E1629" s="21" t="s">
        <v>5912</v>
      </c>
      <c r="F1629" s="23" t="str">
        <f t="shared" si="100"/>
        <v>insert into ins_premium_det (premium_rcv_code,assorted_code, rec_amount,premium_rcv_detail_code,remaining_amt, payrec, mode_code,coinsurance_code,class_cd,it_remarks) values</v>
      </c>
      <c r="G1629" s="24" t="str">
        <f t="shared" si="102"/>
        <v>('29Apr250042','050000840233','1250',(select max(to_number(i.premium_rcv_detail_code))+1
from ins_premium_det i),'1250','1250','02', '11000003','00','Request by Mr. Omair Ali 30-Apr-2025');</v>
      </c>
      <c r="H1629" s="25" t="str">
        <f t="shared" si="103"/>
        <v>insert into ins_premium_det (premium_rcv_code,assorted_code, rec_amount,premium_rcv_detail_code,remaining_amt, payrec, mode_code,coinsurance_code,class_cd,it_remarks) values('29Apr250042','050000840233','1250',(select max(to_number(i.premium_rcv_detail_code))+1
from ins_premium_det i),'1250','1250','02', '11000003','00','Request by Mr. Omair Ali 30-Apr-2025');</v>
      </c>
    </row>
    <row r="1630" spans="1:8" ht="105" x14ac:dyDescent="0.25">
      <c r="A1630" t="s">
        <v>1698</v>
      </c>
      <c r="B1630" s="1" t="str">
        <f>VLOOKUP(A1630,Sheet5!B:C,2,0)</f>
        <v>050000840251</v>
      </c>
      <c r="C1630" s="13">
        <v>5065</v>
      </c>
      <c r="D1630" s="22">
        <f t="shared" si="101"/>
        <v>5065</v>
      </c>
      <c r="E1630" s="21" t="s">
        <v>5912</v>
      </c>
      <c r="F1630" s="23" t="str">
        <f t="shared" si="100"/>
        <v>insert into ins_premium_det (premium_rcv_code,assorted_code, rec_amount,premium_rcv_detail_code,remaining_amt, payrec, mode_code,coinsurance_code,class_cd,it_remarks) values</v>
      </c>
      <c r="G1630" s="24" t="str">
        <f t="shared" si="102"/>
        <v>('29Apr250042','050000840251','5065',(select max(to_number(i.premium_rcv_detail_code))+1
from ins_premium_det i),'5065','5065','02', '11000003','00','Request by Mr. Omair Ali 30-Apr-2025');</v>
      </c>
      <c r="H1630" s="25" t="str">
        <f t="shared" si="103"/>
        <v>insert into ins_premium_det (premium_rcv_code,assorted_code, rec_amount,premium_rcv_detail_code,remaining_amt, payrec, mode_code,coinsurance_code,class_cd,it_remarks) values('29Apr250042','050000840251','5065',(select max(to_number(i.premium_rcv_detail_code))+1
from ins_premium_det i),'5065','5065','02', '11000003','00','Request by Mr. Omair Ali 30-Apr-2025');</v>
      </c>
    </row>
    <row r="1631" spans="1:8" ht="105" x14ac:dyDescent="0.25">
      <c r="A1631" t="s">
        <v>1823</v>
      </c>
      <c r="B1631" s="1" t="str">
        <f>VLOOKUP(A1631,Sheet5!B:C,2,0)</f>
        <v>050000840255</v>
      </c>
      <c r="C1631" s="13">
        <v>3872</v>
      </c>
      <c r="D1631" s="22">
        <f t="shared" si="101"/>
        <v>3872</v>
      </c>
      <c r="E1631" s="21" t="s">
        <v>5912</v>
      </c>
      <c r="F1631" s="23" t="str">
        <f t="shared" si="100"/>
        <v>insert into ins_premium_det (premium_rcv_code,assorted_code, rec_amount,premium_rcv_detail_code,remaining_amt, payrec, mode_code,coinsurance_code,class_cd,it_remarks) values</v>
      </c>
      <c r="G1631" s="24" t="str">
        <f t="shared" si="102"/>
        <v>('29Apr250042','050000840255','3872',(select max(to_number(i.premium_rcv_detail_code))+1
from ins_premium_det i),'3872','3872','02', '11000003','00','Request by Mr. Omair Ali 30-Apr-2025');</v>
      </c>
      <c r="H1631" s="25" t="str">
        <f t="shared" si="103"/>
        <v>insert into ins_premium_det (premium_rcv_code,assorted_code, rec_amount,premium_rcv_detail_code,remaining_amt, payrec, mode_code,coinsurance_code,class_cd,it_remarks) values('29Apr250042','050000840255','3872',(select max(to_number(i.premium_rcv_detail_code))+1
from ins_premium_det i),'3872','3872','02', '11000003','00','Request by Mr. Omair Ali 30-Apr-2025');</v>
      </c>
    </row>
    <row r="1632" spans="1:8" ht="105" x14ac:dyDescent="0.25">
      <c r="A1632" t="s">
        <v>2013</v>
      </c>
      <c r="B1632" s="1" t="str">
        <f>VLOOKUP(A1632,Sheet5!B:C,2,0)</f>
        <v>050000840269</v>
      </c>
      <c r="C1632" s="13">
        <v>6257</v>
      </c>
      <c r="D1632" s="22">
        <f t="shared" si="101"/>
        <v>6257</v>
      </c>
      <c r="E1632" s="21" t="s">
        <v>5912</v>
      </c>
      <c r="F1632" s="23" t="str">
        <f t="shared" si="100"/>
        <v>insert into ins_premium_det (premium_rcv_code,assorted_code, rec_amount,premium_rcv_detail_code,remaining_amt, payrec, mode_code,coinsurance_code,class_cd,it_remarks) values</v>
      </c>
      <c r="G1632" s="24" t="str">
        <f t="shared" si="102"/>
        <v>('29Apr250042','050000840269','6257',(select max(to_number(i.premium_rcv_detail_code))+1
from ins_premium_det i),'6257','6257','02', '11000003','00','Request by Mr. Omair Ali 30-Apr-2025');</v>
      </c>
      <c r="H1632" s="25" t="str">
        <f t="shared" si="103"/>
        <v>insert into ins_premium_det (premium_rcv_code,assorted_code, rec_amount,premium_rcv_detail_code,remaining_amt, payrec, mode_code,coinsurance_code,class_cd,it_remarks) values('29Apr250042','050000840269','6257',(select max(to_number(i.premium_rcv_detail_code))+1
from ins_premium_det i),'6257','6257','02', '11000003','00','Request by Mr. Omair Ali 30-Apr-2025');</v>
      </c>
    </row>
    <row r="1633" spans="1:8" ht="105" x14ac:dyDescent="0.25">
      <c r="A1633" t="s">
        <v>1301</v>
      </c>
      <c r="B1633" s="1" t="str">
        <f>VLOOKUP(A1633,Sheet5!B:C,2,0)</f>
        <v>050000842517</v>
      </c>
      <c r="C1633" s="13">
        <v>438</v>
      </c>
      <c r="D1633" s="22">
        <f t="shared" si="101"/>
        <v>438</v>
      </c>
      <c r="E1633" s="21" t="s">
        <v>5912</v>
      </c>
      <c r="F1633" s="23" t="str">
        <f t="shared" si="100"/>
        <v>insert into ins_premium_det (premium_rcv_code,assorted_code, rec_amount,premium_rcv_detail_code,remaining_amt, payrec, mode_code,coinsurance_code,class_cd,it_remarks) values</v>
      </c>
      <c r="G1633" s="24" t="str">
        <f t="shared" si="102"/>
        <v>('29Apr250042','050000842517','438',(select max(to_number(i.premium_rcv_detail_code))+1
from ins_premium_det i),'438','438','02', '11000003','00','Request by Mr. Omair Ali 30-Apr-2025');</v>
      </c>
      <c r="H1633" s="25" t="str">
        <f t="shared" si="103"/>
        <v>insert into ins_premium_det (premium_rcv_code,assorted_code, rec_amount,premium_rcv_detail_code,remaining_amt, payrec, mode_code,coinsurance_code,class_cd,it_remarks) values('29Apr250042','050000842517','438',(select max(to_number(i.premium_rcv_detail_code))+1
from ins_premium_det i),'438','438','02', '11000003','00','Request by Mr. Omair Ali 30-Apr-2025');</v>
      </c>
    </row>
    <row r="1634" spans="1:8" ht="105" x14ac:dyDescent="0.25">
      <c r="A1634" t="s">
        <v>1913</v>
      </c>
      <c r="B1634" s="1" t="str">
        <f>VLOOKUP(A1634,Sheet5!B:C,2,0)</f>
        <v>050000842526</v>
      </c>
      <c r="C1634" s="13">
        <v>2366</v>
      </c>
      <c r="D1634" s="22">
        <f t="shared" si="101"/>
        <v>2366</v>
      </c>
      <c r="E1634" s="21" t="s">
        <v>5912</v>
      </c>
      <c r="F1634" s="23" t="str">
        <f t="shared" si="100"/>
        <v>insert into ins_premium_det (premium_rcv_code,assorted_code, rec_amount,premium_rcv_detail_code,remaining_amt, payrec, mode_code,coinsurance_code,class_cd,it_remarks) values</v>
      </c>
      <c r="G1634" s="24" t="str">
        <f t="shared" si="102"/>
        <v>('29Apr250042','050000842526','2366',(select max(to_number(i.premium_rcv_detail_code))+1
from ins_premium_det i),'2366','2366','02', '11000003','00','Request by Mr. Omair Ali 30-Apr-2025');</v>
      </c>
      <c r="H1634" s="25" t="str">
        <f t="shared" si="103"/>
        <v>insert into ins_premium_det (premium_rcv_code,assorted_code, rec_amount,premium_rcv_detail_code,remaining_amt, payrec, mode_code,coinsurance_code,class_cd,it_remarks) values('29Apr250042','050000842526','2366',(select max(to_number(i.premium_rcv_detail_code))+1
from ins_premium_det i),'2366','2366','02', '11000003','00','Request by Mr. Omair Ali 30-Apr-2025');</v>
      </c>
    </row>
    <row r="1635" spans="1:8" ht="105" x14ac:dyDescent="0.25">
      <c r="A1635" t="s">
        <v>1213</v>
      </c>
      <c r="B1635" s="1" t="str">
        <f>VLOOKUP(A1635,Sheet5!B:C,2,0)</f>
        <v>050000842568</v>
      </c>
      <c r="C1635" s="13">
        <v>763</v>
      </c>
      <c r="D1635" s="22">
        <f t="shared" si="101"/>
        <v>763</v>
      </c>
      <c r="E1635" s="21" t="s">
        <v>5912</v>
      </c>
      <c r="F1635" s="23" t="str">
        <f t="shared" si="100"/>
        <v>insert into ins_premium_det (premium_rcv_code,assorted_code, rec_amount,premium_rcv_detail_code,remaining_amt, payrec, mode_code,coinsurance_code,class_cd,it_remarks) values</v>
      </c>
      <c r="G1635" s="24" t="str">
        <f t="shared" si="102"/>
        <v>('29Apr250042','050000842568','763',(select max(to_number(i.premium_rcv_detail_code))+1
from ins_premium_det i),'763','763','02', '11000003','00','Request by Mr. Omair Ali 30-Apr-2025');</v>
      </c>
      <c r="H1635" s="25" t="str">
        <f t="shared" si="103"/>
        <v>insert into ins_premium_det (premium_rcv_code,assorted_code, rec_amount,premium_rcv_detail_code,remaining_amt, payrec, mode_code,coinsurance_code,class_cd,it_remarks) values('29Apr250042','050000842568','763',(select max(to_number(i.premium_rcv_detail_code))+1
from ins_premium_det i),'763','763','02', '11000003','00','Request by Mr. Omair Ali 30-Apr-2025');</v>
      </c>
    </row>
    <row r="1636" spans="1:8" ht="105" x14ac:dyDescent="0.25">
      <c r="A1636" t="s">
        <v>1929</v>
      </c>
      <c r="B1636" s="1" t="str">
        <f>VLOOKUP(A1636,Sheet5!B:C,2,0)</f>
        <v>050000843669</v>
      </c>
      <c r="C1636" s="13">
        <v>6133</v>
      </c>
      <c r="D1636" s="22">
        <f t="shared" si="101"/>
        <v>6133</v>
      </c>
      <c r="E1636" s="21" t="s">
        <v>5912</v>
      </c>
      <c r="F1636" s="23" t="str">
        <f t="shared" si="100"/>
        <v>insert into ins_premium_det (premium_rcv_code,assorted_code, rec_amount,premium_rcv_detail_code,remaining_amt, payrec, mode_code,coinsurance_code,class_cd,it_remarks) values</v>
      </c>
      <c r="G1636" s="24" t="str">
        <f t="shared" si="102"/>
        <v>('29Apr250042','050000843669','6133',(select max(to_number(i.premium_rcv_detail_code))+1
from ins_premium_det i),'6133','6133','02', '11000003','00','Request by Mr. Omair Ali 30-Apr-2025');</v>
      </c>
      <c r="H1636" s="25" t="str">
        <f t="shared" si="103"/>
        <v>insert into ins_premium_det (premium_rcv_code,assorted_code, rec_amount,premium_rcv_detail_code,remaining_amt, payrec, mode_code,coinsurance_code,class_cd,it_remarks) values('29Apr250042','050000843669','6133',(select max(to_number(i.premium_rcv_detail_code))+1
from ins_premium_det i),'6133','6133','02', '11000003','00','Request by Mr. Omair Ali 30-Apr-2025');</v>
      </c>
    </row>
    <row r="1637" spans="1:8" ht="105" x14ac:dyDescent="0.25">
      <c r="A1637" t="s">
        <v>1790</v>
      </c>
      <c r="B1637" s="1" t="str">
        <f>VLOOKUP(A1637,Sheet5!B:C,2,0)</f>
        <v>050000843734</v>
      </c>
      <c r="C1637" s="13">
        <v>-551</v>
      </c>
      <c r="D1637" s="22">
        <f t="shared" si="101"/>
        <v>-551</v>
      </c>
      <c r="E1637" s="21" t="s">
        <v>5912</v>
      </c>
      <c r="F1637" s="23" t="str">
        <f t="shared" si="100"/>
        <v>insert into ins_premium_det (premium_rcv_code,assorted_code, rec_amount,premium_rcv_detail_code,remaining_amt, payrec, mode_code,coinsurance_code,class_cd,it_remarks) values</v>
      </c>
      <c r="G1637" s="24" t="str">
        <f t="shared" si="102"/>
        <v>('29Apr250042','050000843734','-551',(select max(to_number(i.premium_rcv_detail_code))+1
from ins_premium_det i),'-551','-551','02', '11000003','00','Request by Mr. Omair Ali 30-Apr-2025');</v>
      </c>
      <c r="H1637" s="25" t="str">
        <f t="shared" si="103"/>
        <v>insert into ins_premium_det (premium_rcv_code,assorted_code, rec_amount,premium_rcv_detail_code,remaining_amt, payrec, mode_code,coinsurance_code,class_cd,it_remarks) values('29Apr250042','050000843734','-551',(select max(to_number(i.premium_rcv_detail_code))+1
from ins_premium_det i),'-551','-551','02', '11000003','00','Request by Mr. Omair Ali 30-Apr-2025');</v>
      </c>
    </row>
    <row r="1638" spans="1:8" ht="105" x14ac:dyDescent="0.25">
      <c r="A1638" t="s">
        <v>1568</v>
      </c>
      <c r="B1638" s="1" t="str">
        <f>VLOOKUP(A1638,Sheet5!B:C,2,0)</f>
        <v>050000844664</v>
      </c>
      <c r="C1638" s="13">
        <v>7280</v>
      </c>
      <c r="D1638" s="22">
        <f t="shared" si="101"/>
        <v>7280</v>
      </c>
      <c r="E1638" s="21" t="s">
        <v>5912</v>
      </c>
      <c r="F1638" s="23" t="str">
        <f t="shared" si="100"/>
        <v>insert into ins_premium_det (premium_rcv_code,assorted_code, rec_amount,premium_rcv_detail_code,remaining_amt, payrec, mode_code,coinsurance_code,class_cd,it_remarks) values</v>
      </c>
      <c r="G1638" s="24" t="str">
        <f t="shared" si="102"/>
        <v>('29Apr250042','050000844664','7280',(select max(to_number(i.premium_rcv_detail_code))+1
from ins_premium_det i),'7280','7280','02', '11000003','00','Request by Mr. Omair Ali 30-Apr-2025');</v>
      </c>
      <c r="H1638" s="25" t="str">
        <f t="shared" si="103"/>
        <v>insert into ins_premium_det (premium_rcv_code,assorted_code, rec_amount,premium_rcv_detail_code,remaining_amt, payrec, mode_code,coinsurance_code,class_cd,it_remarks) values('29Apr250042','050000844664','7280',(select max(to_number(i.premium_rcv_detail_code))+1
from ins_premium_det i),'7280','7280','02', '11000003','00','Request by Mr. Omair Ali 30-Apr-2025');</v>
      </c>
    </row>
    <row r="1639" spans="1:8" ht="105" x14ac:dyDescent="0.25">
      <c r="A1639" t="s">
        <v>1587</v>
      </c>
      <c r="B1639" s="1" t="str">
        <f>VLOOKUP(A1639,Sheet5!B:C,2,0)</f>
        <v>050000845481</v>
      </c>
      <c r="C1639" s="13">
        <v>3272</v>
      </c>
      <c r="D1639" s="22">
        <f t="shared" si="101"/>
        <v>3272</v>
      </c>
      <c r="E1639" s="21" t="s">
        <v>5912</v>
      </c>
      <c r="F1639" s="23" t="str">
        <f t="shared" si="100"/>
        <v>insert into ins_premium_det (premium_rcv_code,assorted_code, rec_amount,premium_rcv_detail_code,remaining_amt, payrec, mode_code,coinsurance_code,class_cd,it_remarks) values</v>
      </c>
      <c r="G1639" s="24" t="str">
        <f t="shared" si="102"/>
        <v>('29Apr250042','050000845481','3272',(select max(to_number(i.premium_rcv_detail_code))+1
from ins_premium_det i),'3272','3272','02', '11000003','00','Request by Mr. Omair Ali 30-Apr-2025');</v>
      </c>
      <c r="H1639" s="25" t="str">
        <f t="shared" si="103"/>
        <v>insert into ins_premium_det (premium_rcv_code,assorted_code, rec_amount,premium_rcv_detail_code,remaining_amt, payrec, mode_code,coinsurance_code,class_cd,it_remarks) values('29Apr250042','050000845481','3272',(select max(to_number(i.premium_rcv_detail_code))+1
from ins_premium_det i),'3272','3272','02', '11000003','00','Request by Mr. Omair Ali 30-Apr-2025');</v>
      </c>
    </row>
    <row r="1640" spans="1:8" ht="105" x14ac:dyDescent="0.25">
      <c r="A1640" t="s">
        <v>1516</v>
      </c>
      <c r="B1640" s="1" t="str">
        <f>VLOOKUP(A1640,Sheet5!B:C,2,0)</f>
        <v>050000845718</v>
      </c>
      <c r="C1640" s="13">
        <v>490</v>
      </c>
      <c r="D1640" s="22">
        <f t="shared" si="101"/>
        <v>490</v>
      </c>
      <c r="E1640" s="21" t="s">
        <v>5912</v>
      </c>
      <c r="F1640" s="23" t="str">
        <f t="shared" si="100"/>
        <v>insert into ins_premium_det (premium_rcv_code,assorted_code, rec_amount,premium_rcv_detail_code,remaining_amt, payrec, mode_code,coinsurance_code,class_cd,it_remarks) values</v>
      </c>
      <c r="G1640" s="24" t="str">
        <f t="shared" si="102"/>
        <v>('29Apr250042','050000845718','490',(select max(to_number(i.premium_rcv_detail_code))+1
from ins_premium_det i),'490','490','02', '11000003','00','Request by Mr. Omair Ali 30-Apr-2025');</v>
      </c>
      <c r="H1640" s="25" t="str">
        <f t="shared" si="103"/>
        <v>insert into ins_premium_det (premium_rcv_code,assorted_code, rec_amount,premium_rcv_detail_code,remaining_amt, payrec, mode_code,coinsurance_code,class_cd,it_remarks) values('29Apr250042','050000845718','490',(select max(to_number(i.premium_rcv_detail_code))+1
from ins_premium_det i),'490','490','02', '11000003','00','Request by Mr. Omair Ali 30-Apr-2025');</v>
      </c>
    </row>
    <row r="1641" spans="1:8" ht="105" x14ac:dyDescent="0.25">
      <c r="A1641" t="s">
        <v>1794</v>
      </c>
      <c r="B1641" s="1" t="str">
        <f>VLOOKUP(A1641,Sheet5!B:C,2,0)</f>
        <v>050000846341</v>
      </c>
      <c r="C1641" s="13">
        <v>8455</v>
      </c>
      <c r="D1641" s="22">
        <f t="shared" si="101"/>
        <v>8455</v>
      </c>
      <c r="E1641" s="21" t="s">
        <v>5912</v>
      </c>
      <c r="F1641" s="23" t="str">
        <f t="shared" si="100"/>
        <v>insert into ins_premium_det (premium_rcv_code,assorted_code, rec_amount,premium_rcv_detail_code,remaining_amt, payrec, mode_code,coinsurance_code,class_cd,it_remarks) values</v>
      </c>
      <c r="G1641" s="24" t="str">
        <f t="shared" si="102"/>
        <v>('29Apr250042','050000846341','8455',(select max(to_number(i.premium_rcv_detail_code))+1
from ins_premium_det i),'8455','8455','02', '11000003','00','Request by Mr. Omair Ali 30-Apr-2025');</v>
      </c>
      <c r="H1641" s="25" t="str">
        <f t="shared" si="103"/>
        <v>insert into ins_premium_det (premium_rcv_code,assorted_code, rec_amount,premium_rcv_detail_code,remaining_amt, payrec, mode_code,coinsurance_code,class_cd,it_remarks) values('29Apr250042','050000846341','8455',(select max(to_number(i.premium_rcv_detail_code))+1
from ins_premium_det i),'8455','8455','02', '11000003','00','Request by Mr. Omair Ali 30-Apr-2025');</v>
      </c>
    </row>
    <row r="1642" spans="1:8" ht="105" x14ac:dyDescent="0.25">
      <c r="A1642" t="s">
        <v>1745</v>
      </c>
      <c r="B1642" s="1" t="str">
        <f>VLOOKUP(A1642,Sheet5!B:C,2,0)</f>
        <v>050000846440</v>
      </c>
      <c r="C1642" s="13">
        <v>2249</v>
      </c>
      <c r="D1642" s="22">
        <f t="shared" si="101"/>
        <v>2249</v>
      </c>
      <c r="E1642" s="21" t="s">
        <v>5912</v>
      </c>
      <c r="F1642" s="23" t="str">
        <f t="shared" si="100"/>
        <v>insert into ins_premium_det (premium_rcv_code,assorted_code, rec_amount,premium_rcv_detail_code,remaining_amt, payrec, mode_code,coinsurance_code,class_cd,it_remarks) values</v>
      </c>
      <c r="G1642" s="24" t="str">
        <f t="shared" si="102"/>
        <v>('29Apr250042','050000846440','2249',(select max(to_number(i.premium_rcv_detail_code))+1
from ins_premium_det i),'2249','2249','02', '11000003','00','Request by Mr. Omair Ali 30-Apr-2025');</v>
      </c>
      <c r="H1642" s="25" t="str">
        <f t="shared" si="103"/>
        <v>insert into ins_premium_det (premium_rcv_code,assorted_code, rec_amount,premium_rcv_detail_code,remaining_amt, payrec, mode_code,coinsurance_code,class_cd,it_remarks) values('29Apr250042','050000846440','2249',(select max(to_number(i.premium_rcv_detail_code))+1
from ins_premium_det i),'2249','2249','02', '11000003','00','Request by Mr. Omair Ali 30-Apr-2025');</v>
      </c>
    </row>
    <row r="1643" spans="1:8" ht="105" x14ac:dyDescent="0.25">
      <c r="A1643" t="s">
        <v>1971</v>
      </c>
      <c r="B1643" s="1" t="str">
        <f>VLOOKUP(A1643,Sheet5!B:C,2,0)</f>
        <v>050000846454</v>
      </c>
      <c r="C1643" s="13">
        <v>4187</v>
      </c>
      <c r="D1643" s="22">
        <f t="shared" si="101"/>
        <v>4187</v>
      </c>
      <c r="E1643" s="21" t="s">
        <v>5912</v>
      </c>
      <c r="F1643" s="23" t="str">
        <f t="shared" si="100"/>
        <v>insert into ins_premium_det (premium_rcv_code,assorted_code, rec_amount,premium_rcv_detail_code,remaining_amt, payrec, mode_code,coinsurance_code,class_cd,it_remarks) values</v>
      </c>
      <c r="G1643" s="24" t="str">
        <f t="shared" si="102"/>
        <v>('29Apr250042','050000846454','4187',(select max(to_number(i.premium_rcv_detail_code))+1
from ins_premium_det i),'4187','4187','02', '11000003','00','Request by Mr. Omair Ali 30-Apr-2025');</v>
      </c>
      <c r="H1643" s="25" t="str">
        <f t="shared" si="103"/>
        <v>insert into ins_premium_det (premium_rcv_code,assorted_code, rec_amount,premium_rcv_detail_code,remaining_amt, payrec, mode_code,coinsurance_code,class_cd,it_remarks) values('29Apr250042','050000846454','4187',(select max(to_number(i.premium_rcv_detail_code))+1
from ins_premium_det i),'4187','4187','02', '11000003','00','Request by Mr. Omair Ali 30-Apr-2025');</v>
      </c>
    </row>
    <row r="1644" spans="1:8" ht="105" x14ac:dyDescent="0.25">
      <c r="A1644" t="s">
        <v>6</v>
      </c>
      <c r="B1644" s="1" t="str">
        <f>VLOOKUP(A1644,Sheet5!B:C,2,0)</f>
        <v>050000846463</v>
      </c>
      <c r="C1644" s="13">
        <v>7860</v>
      </c>
      <c r="D1644" s="22">
        <f t="shared" si="101"/>
        <v>7860</v>
      </c>
      <c r="E1644" s="21" t="s">
        <v>5912</v>
      </c>
      <c r="F1644" s="23" t="str">
        <f t="shared" si="100"/>
        <v>insert into ins_premium_det (premium_rcv_code,assorted_code, rec_amount,premium_rcv_detail_code,remaining_amt, payrec, mode_code,coinsurance_code,class_cd,it_remarks) values</v>
      </c>
      <c r="G1644" s="24" t="str">
        <f t="shared" si="102"/>
        <v>('29Apr250042','050000846463','7860',(select max(to_number(i.premium_rcv_detail_code))+1
from ins_premium_det i),'7860','7860','02', '11000003','00','Request by Mr. Omair Ali 30-Apr-2025');</v>
      </c>
      <c r="H1644" s="25" t="str">
        <f t="shared" si="103"/>
        <v>insert into ins_premium_det (premium_rcv_code,assorted_code, rec_amount,premium_rcv_detail_code,remaining_amt, payrec, mode_code,coinsurance_code,class_cd,it_remarks) values('29Apr250042','050000846463','7860',(select max(to_number(i.premium_rcv_detail_code))+1
from ins_premium_det i),'7860','7860','02', '11000003','00','Request by Mr. Omair Ali 30-Apr-2025');</v>
      </c>
    </row>
    <row r="1645" spans="1:8" ht="105" x14ac:dyDescent="0.25">
      <c r="A1645" t="s">
        <v>2001</v>
      </c>
      <c r="B1645" s="1" t="str">
        <f>VLOOKUP(A1645,Sheet5!B:C,2,0)</f>
        <v>050000846737</v>
      </c>
      <c r="C1645" s="13">
        <v>2836</v>
      </c>
      <c r="D1645" s="22">
        <f t="shared" si="101"/>
        <v>2836</v>
      </c>
      <c r="E1645" s="21" t="s">
        <v>5912</v>
      </c>
      <c r="F1645" s="23" t="str">
        <f t="shared" si="100"/>
        <v>insert into ins_premium_det (premium_rcv_code,assorted_code, rec_amount,premium_rcv_detail_code,remaining_amt, payrec, mode_code,coinsurance_code,class_cd,it_remarks) values</v>
      </c>
      <c r="G1645" s="24" t="str">
        <f t="shared" si="102"/>
        <v>('29Apr250042','050000846737','2836',(select max(to_number(i.premium_rcv_detail_code))+1
from ins_premium_det i),'2836','2836','02', '11000003','00','Request by Mr. Omair Ali 30-Apr-2025');</v>
      </c>
      <c r="H1645" s="25" t="str">
        <f t="shared" si="103"/>
        <v>insert into ins_premium_det (premium_rcv_code,assorted_code, rec_amount,premium_rcv_detail_code,remaining_amt, payrec, mode_code,coinsurance_code,class_cd,it_remarks) values('29Apr250042','050000846737','2836',(select max(to_number(i.premium_rcv_detail_code))+1
from ins_premium_det i),'2836','2836','02', '11000003','00','Request by Mr. Omair Ali 30-Apr-2025');</v>
      </c>
    </row>
    <row r="1646" spans="1:8" ht="105" x14ac:dyDescent="0.25">
      <c r="A1646" t="s">
        <v>1249</v>
      </c>
      <c r="B1646" s="1" t="str">
        <f>VLOOKUP(A1646,Sheet5!B:C,2,0)</f>
        <v>050000846873</v>
      </c>
      <c r="C1646" s="13">
        <v>3309</v>
      </c>
      <c r="D1646" s="22">
        <f t="shared" si="101"/>
        <v>3309</v>
      </c>
      <c r="E1646" s="21" t="s">
        <v>5912</v>
      </c>
      <c r="F1646" s="23" t="str">
        <f t="shared" si="100"/>
        <v>insert into ins_premium_det (premium_rcv_code,assorted_code, rec_amount,premium_rcv_detail_code,remaining_amt, payrec, mode_code,coinsurance_code,class_cd,it_remarks) values</v>
      </c>
      <c r="G1646" s="24" t="str">
        <f t="shared" si="102"/>
        <v>('29Apr250042','050000846873','3309',(select max(to_number(i.premium_rcv_detail_code))+1
from ins_premium_det i),'3309','3309','02', '11000003','00','Request by Mr. Omair Ali 30-Apr-2025');</v>
      </c>
      <c r="H1646" s="25" t="str">
        <f t="shared" si="103"/>
        <v>insert into ins_premium_det (premium_rcv_code,assorted_code, rec_amount,premium_rcv_detail_code,remaining_amt, payrec, mode_code,coinsurance_code,class_cd,it_remarks) values('29Apr250042','050000846873','3309',(select max(to_number(i.premium_rcv_detail_code))+1
from ins_premium_det i),'3309','3309','02', '11000003','00','Request by Mr. Omair Ali 30-Apr-2025');</v>
      </c>
    </row>
    <row r="1647" spans="1:8" ht="105" x14ac:dyDescent="0.25">
      <c r="A1647" t="s">
        <v>1628</v>
      </c>
      <c r="B1647" s="1" t="str">
        <f>VLOOKUP(A1647,Sheet5!B:C,2,0)</f>
        <v>050000847710</v>
      </c>
      <c r="C1647" s="13">
        <v>3455</v>
      </c>
      <c r="D1647" s="22">
        <f t="shared" si="101"/>
        <v>3455</v>
      </c>
      <c r="E1647" s="21" t="s">
        <v>5912</v>
      </c>
      <c r="F1647" s="23" t="str">
        <f t="shared" si="100"/>
        <v>insert into ins_premium_det (premium_rcv_code,assorted_code, rec_amount,premium_rcv_detail_code,remaining_amt, payrec, mode_code,coinsurance_code,class_cd,it_remarks) values</v>
      </c>
      <c r="G1647" s="24" t="str">
        <f t="shared" si="102"/>
        <v>('29Apr250042','050000847710','3455',(select max(to_number(i.premium_rcv_detail_code))+1
from ins_premium_det i),'3455','3455','02', '11000003','00','Request by Mr. Omair Ali 30-Apr-2025');</v>
      </c>
      <c r="H1647" s="25" t="str">
        <f t="shared" si="103"/>
        <v>insert into ins_premium_det (premium_rcv_code,assorted_code, rec_amount,premium_rcv_detail_code,remaining_amt, payrec, mode_code,coinsurance_code,class_cd,it_remarks) values('29Apr250042','050000847710','3455',(select max(to_number(i.premium_rcv_detail_code))+1
from ins_premium_det i),'3455','3455','02', '11000003','00','Request by Mr. Omair Ali 30-Apr-2025');</v>
      </c>
    </row>
    <row r="1648" spans="1:8" ht="105" x14ac:dyDescent="0.25">
      <c r="A1648" t="s">
        <v>1629</v>
      </c>
      <c r="B1648" s="1" t="str">
        <f>VLOOKUP(A1648,Sheet5!B:C,2,0)</f>
        <v>050000847711</v>
      </c>
      <c r="C1648" s="13">
        <v>2727</v>
      </c>
      <c r="D1648" s="22">
        <f t="shared" si="101"/>
        <v>2727</v>
      </c>
      <c r="E1648" s="21" t="s">
        <v>5912</v>
      </c>
      <c r="F1648" s="23" t="str">
        <f t="shared" si="100"/>
        <v>insert into ins_premium_det (premium_rcv_code,assorted_code, rec_amount,premium_rcv_detail_code,remaining_amt, payrec, mode_code,coinsurance_code,class_cd,it_remarks) values</v>
      </c>
      <c r="G1648" s="24" t="str">
        <f t="shared" si="102"/>
        <v>('29Apr250042','050000847711','2727',(select max(to_number(i.premium_rcv_detail_code))+1
from ins_premium_det i),'2727','2727','02', '11000003','00','Request by Mr. Omair Ali 30-Apr-2025');</v>
      </c>
      <c r="H1648" s="25" t="str">
        <f t="shared" si="103"/>
        <v>insert into ins_premium_det (premium_rcv_code,assorted_code, rec_amount,premium_rcv_detail_code,remaining_amt, payrec, mode_code,coinsurance_code,class_cd,it_remarks) values('29Apr250042','050000847711','2727',(select max(to_number(i.premium_rcv_detail_code))+1
from ins_premium_det i),'2727','2727','02', '11000003','00','Request by Mr. Omair Ali 30-Apr-2025');</v>
      </c>
    </row>
    <row r="1649" spans="1:8" ht="105" x14ac:dyDescent="0.25">
      <c r="A1649" t="s">
        <v>1630</v>
      </c>
      <c r="B1649" s="1" t="str">
        <f>VLOOKUP(A1649,Sheet5!B:C,2,0)</f>
        <v>050000847712</v>
      </c>
      <c r="C1649" s="13">
        <v>3248</v>
      </c>
      <c r="D1649" s="22">
        <f t="shared" si="101"/>
        <v>3248</v>
      </c>
      <c r="E1649" s="21" t="s">
        <v>5912</v>
      </c>
      <c r="F1649" s="23" t="str">
        <f t="shared" si="100"/>
        <v>insert into ins_premium_det (premium_rcv_code,assorted_code, rec_amount,premium_rcv_detail_code,remaining_amt, payrec, mode_code,coinsurance_code,class_cd,it_remarks) values</v>
      </c>
      <c r="G1649" s="24" t="str">
        <f t="shared" si="102"/>
        <v>('29Apr250042','050000847712','3248',(select max(to_number(i.premium_rcv_detail_code))+1
from ins_premium_det i),'3248','3248','02', '11000003','00','Request by Mr. Omair Ali 30-Apr-2025');</v>
      </c>
      <c r="H1649" s="25" t="str">
        <f t="shared" si="103"/>
        <v>insert into ins_premium_det (premium_rcv_code,assorted_code, rec_amount,premium_rcv_detail_code,remaining_amt, payrec, mode_code,coinsurance_code,class_cd,it_remarks) values('29Apr250042','050000847712','3248',(select max(to_number(i.premium_rcv_detail_code))+1
from ins_premium_det i),'3248','3248','02', '11000003','00','Request by Mr. Omair Ali 30-Apr-2025');</v>
      </c>
    </row>
    <row r="1650" spans="1:8" ht="105" x14ac:dyDescent="0.25">
      <c r="A1650" t="s">
        <v>1631</v>
      </c>
      <c r="B1650" s="1" t="str">
        <f>VLOOKUP(A1650,Sheet5!B:C,2,0)</f>
        <v>050000847713</v>
      </c>
      <c r="C1650" s="13">
        <v>3606</v>
      </c>
      <c r="D1650" s="22">
        <f t="shared" si="101"/>
        <v>3606</v>
      </c>
      <c r="E1650" s="21" t="s">
        <v>5912</v>
      </c>
      <c r="F1650" s="23" t="str">
        <f t="shared" si="100"/>
        <v>insert into ins_premium_det (premium_rcv_code,assorted_code, rec_amount,premium_rcv_detail_code,remaining_amt, payrec, mode_code,coinsurance_code,class_cd,it_remarks) values</v>
      </c>
      <c r="G1650" s="24" t="str">
        <f t="shared" si="102"/>
        <v>('29Apr250042','050000847713','3606',(select max(to_number(i.premium_rcv_detail_code))+1
from ins_premium_det i),'3606','3606','02', '11000003','00','Request by Mr. Omair Ali 30-Apr-2025');</v>
      </c>
      <c r="H1650" s="25" t="str">
        <f t="shared" si="103"/>
        <v>insert into ins_premium_det (premium_rcv_code,assorted_code, rec_amount,premium_rcv_detail_code,remaining_amt, payrec, mode_code,coinsurance_code,class_cd,it_remarks) values('29Apr250042','050000847713','3606',(select max(to_number(i.premium_rcv_detail_code))+1
from ins_premium_det i),'3606','3606','02', '11000003','00','Request by Mr. Omair Ali 30-Apr-2025');</v>
      </c>
    </row>
    <row r="1651" spans="1:8" ht="105" x14ac:dyDescent="0.25">
      <c r="A1651" t="s">
        <v>1632</v>
      </c>
      <c r="B1651" s="1" t="str">
        <f>VLOOKUP(A1651,Sheet5!B:C,2,0)</f>
        <v>050000847714</v>
      </c>
      <c r="C1651" s="13">
        <v>3550</v>
      </c>
      <c r="D1651" s="22">
        <f t="shared" si="101"/>
        <v>3550</v>
      </c>
      <c r="E1651" s="21" t="s">
        <v>5912</v>
      </c>
      <c r="F1651" s="23" t="str">
        <f t="shared" si="100"/>
        <v>insert into ins_premium_det (premium_rcv_code,assorted_code, rec_amount,premium_rcv_detail_code,remaining_amt, payrec, mode_code,coinsurance_code,class_cd,it_remarks) values</v>
      </c>
      <c r="G1651" s="24" t="str">
        <f t="shared" si="102"/>
        <v>('29Apr250042','050000847714','3550',(select max(to_number(i.premium_rcv_detail_code))+1
from ins_premium_det i),'3550','3550','02', '11000003','00','Request by Mr. Omair Ali 30-Apr-2025');</v>
      </c>
      <c r="H1651" s="25" t="str">
        <f t="shared" si="103"/>
        <v>insert into ins_premium_det (premium_rcv_code,assorted_code, rec_amount,premium_rcv_detail_code,remaining_amt, payrec, mode_code,coinsurance_code,class_cd,it_remarks) values('29Apr250042','050000847714','3550',(select max(to_number(i.premium_rcv_detail_code))+1
from ins_premium_det i),'3550','3550','02', '11000003','00','Request by Mr. Omair Ali 30-Apr-2025');</v>
      </c>
    </row>
    <row r="1652" spans="1:8" ht="105" x14ac:dyDescent="0.25">
      <c r="A1652" t="s">
        <v>1633</v>
      </c>
      <c r="B1652" s="1" t="str">
        <f>VLOOKUP(A1652,Sheet5!B:C,2,0)</f>
        <v>050000847715</v>
      </c>
      <c r="C1652" s="13">
        <v>2594</v>
      </c>
      <c r="D1652" s="22">
        <f t="shared" si="101"/>
        <v>2594</v>
      </c>
      <c r="E1652" s="21" t="s">
        <v>5912</v>
      </c>
      <c r="F1652" s="23" t="str">
        <f t="shared" si="100"/>
        <v>insert into ins_premium_det (premium_rcv_code,assorted_code, rec_amount,premium_rcv_detail_code,remaining_amt, payrec, mode_code,coinsurance_code,class_cd,it_remarks) values</v>
      </c>
      <c r="G1652" s="24" t="str">
        <f t="shared" si="102"/>
        <v>('29Apr250042','050000847715','2594',(select max(to_number(i.premium_rcv_detail_code))+1
from ins_premium_det i),'2594','2594','02', '11000003','00','Request by Mr. Omair Ali 30-Apr-2025');</v>
      </c>
      <c r="H1652" s="25" t="str">
        <f t="shared" si="103"/>
        <v>insert into ins_premium_det (premium_rcv_code,assorted_code, rec_amount,premium_rcv_detail_code,remaining_amt, payrec, mode_code,coinsurance_code,class_cd,it_remarks) values('29Apr250042','050000847715','2594',(select max(to_number(i.premium_rcv_detail_code))+1
from ins_premium_det i),'2594','2594','02', '11000003','00','Request by Mr. Omair Ali 30-Apr-2025');</v>
      </c>
    </row>
    <row r="1653" spans="1:8" ht="105" x14ac:dyDescent="0.25">
      <c r="A1653" t="s">
        <v>1634</v>
      </c>
      <c r="B1653" s="1" t="str">
        <f>VLOOKUP(A1653,Sheet5!B:C,2,0)</f>
        <v>050000847716</v>
      </c>
      <c r="C1653" s="13">
        <v>1634</v>
      </c>
      <c r="D1653" s="22">
        <f t="shared" si="101"/>
        <v>1634</v>
      </c>
      <c r="E1653" s="21" t="s">
        <v>5912</v>
      </c>
      <c r="F1653" s="23" t="str">
        <f t="shared" si="100"/>
        <v>insert into ins_premium_det (premium_rcv_code,assorted_code, rec_amount,premium_rcv_detail_code,remaining_amt, payrec, mode_code,coinsurance_code,class_cd,it_remarks) values</v>
      </c>
      <c r="G1653" s="24" t="str">
        <f t="shared" si="102"/>
        <v>('29Apr250042','050000847716','1634',(select max(to_number(i.premium_rcv_detail_code))+1
from ins_premium_det i),'1634','1634','02', '11000003','00','Request by Mr. Omair Ali 30-Apr-2025');</v>
      </c>
      <c r="H1653" s="25" t="str">
        <f t="shared" si="103"/>
        <v>insert into ins_premium_det (premium_rcv_code,assorted_code, rec_amount,premium_rcv_detail_code,remaining_amt, payrec, mode_code,coinsurance_code,class_cd,it_remarks) values('29Apr250042','050000847716','1634',(select max(to_number(i.premium_rcv_detail_code))+1
from ins_premium_det i),'1634','1634','02', '11000003','00','Request by Mr. Omair Ali 30-Apr-2025');</v>
      </c>
    </row>
    <row r="1654" spans="1:8" ht="105" x14ac:dyDescent="0.25">
      <c r="A1654" t="s">
        <v>1635</v>
      </c>
      <c r="B1654" s="1" t="str">
        <f>VLOOKUP(A1654,Sheet5!B:C,2,0)</f>
        <v>050000847717</v>
      </c>
      <c r="C1654" s="13">
        <v>3352</v>
      </c>
      <c r="D1654" s="22">
        <f t="shared" si="101"/>
        <v>3352</v>
      </c>
      <c r="E1654" s="21" t="s">
        <v>5912</v>
      </c>
      <c r="F1654" s="23" t="str">
        <f t="shared" si="100"/>
        <v>insert into ins_premium_det (premium_rcv_code,assorted_code, rec_amount,premium_rcv_detail_code,remaining_amt, payrec, mode_code,coinsurance_code,class_cd,it_remarks) values</v>
      </c>
      <c r="G1654" s="24" t="str">
        <f t="shared" si="102"/>
        <v>('29Apr250042','050000847717','3352',(select max(to_number(i.premium_rcv_detail_code))+1
from ins_premium_det i),'3352','3352','02', '11000003','00','Request by Mr. Omair Ali 30-Apr-2025');</v>
      </c>
      <c r="H1654" s="25" t="str">
        <f t="shared" si="103"/>
        <v>insert into ins_premium_det (premium_rcv_code,assorted_code, rec_amount,premium_rcv_detail_code,remaining_amt, payrec, mode_code,coinsurance_code,class_cd,it_remarks) values('29Apr250042','050000847717','3352',(select max(to_number(i.premium_rcv_detail_code))+1
from ins_premium_det i),'3352','3352','02', '11000003','00','Request by Mr. Omair Ali 30-Apr-2025');</v>
      </c>
    </row>
    <row r="1655" spans="1:8" ht="105" x14ac:dyDescent="0.25">
      <c r="A1655" t="s">
        <v>1887</v>
      </c>
      <c r="B1655" s="1" t="str">
        <f>VLOOKUP(A1655,Sheet5!B:C,2,0)</f>
        <v>050000848097</v>
      </c>
      <c r="C1655" s="13">
        <v>4924</v>
      </c>
      <c r="D1655" s="22">
        <f t="shared" si="101"/>
        <v>4924</v>
      </c>
      <c r="E1655" s="21" t="s">
        <v>5912</v>
      </c>
      <c r="F1655" s="23" t="str">
        <f t="shared" si="100"/>
        <v>insert into ins_premium_det (premium_rcv_code,assorted_code, rec_amount,premium_rcv_detail_code,remaining_amt, payrec, mode_code,coinsurance_code,class_cd,it_remarks) values</v>
      </c>
      <c r="G1655" s="24" t="str">
        <f t="shared" si="102"/>
        <v>('29Apr250042','050000848097','4924',(select max(to_number(i.premium_rcv_detail_code))+1
from ins_premium_det i),'4924','4924','02', '11000003','00','Request by Mr. Omair Ali 30-Apr-2025');</v>
      </c>
      <c r="H1655" s="25" t="str">
        <f t="shared" si="103"/>
        <v>insert into ins_premium_det (premium_rcv_code,assorted_code, rec_amount,premium_rcv_detail_code,remaining_amt, payrec, mode_code,coinsurance_code,class_cd,it_remarks) values('29Apr250042','050000848097','4924',(select max(to_number(i.premium_rcv_detail_code))+1
from ins_premium_det i),'4924','4924','02', '11000003','00','Request by Mr. Omair Ali 30-Apr-2025');</v>
      </c>
    </row>
    <row r="1656" spans="1:8" ht="105" x14ac:dyDescent="0.25">
      <c r="A1656" t="s">
        <v>1992</v>
      </c>
      <c r="B1656" s="1" t="str">
        <f>VLOOKUP(A1656,Sheet5!B:C,2,0)</f>
        <v>050000848100</v>
      </c>
      <c r="C1656" s="13">
        <v>4435</v>
      </c>
      <c r="D1656" s="22">
        <f t="shared" si="101"/>
        <v>4435</v>
      </c>
      <c r="E1656" s="21" t="s">
        <v>5912</v>
      </c>
      <c r="F1656" s="23" t="str">
        <f t="shared" si="100"/>
        <v>insert into ins_premium_det (premium_rcv_code,assorted_code, rec_amount,premium_rcv_detail_code,remaining_amt, payrec, mode_code,coinsurance_code,class_cd,it_remarks) values</v>
      </c>
      <c r="G1656" s="24" t="str">
        <f t="shared" si="102"/>
        <v>('29Apr250042','050000848100','4435',(select max(to_number(i.premium_rcv_detail_code))+1
from ins_premium_det i),'4435','4435','02', '11000003','00','Request by Mr. Omair Ali 30-Apr-2025');</v>
      </c>
      <c r="H1656" s="25" t="str">
        <f t="shared" si="103"/>
        <v>insert into ins_premium_det (premium_rcv_code,assorted_code, rec_amount,premium_rcv_detail_code,remaining_amt, payrec, mode_code,coinsurance_code,class_cd,it_remarks) values('29Apr250042','050000848100','4435',(select max(to_number(i.premium_rcv_detail_code))+1
from ins_premium_det i),'4435','4435','02', '11000003','00','Request by Mr. Omair Ali 30-Apr-2025');</v>
      </c>
    </row>
    <row r="1657" spans="1:8" ht="105" x14ac:dyDescent="0.25">
      <c r="A1657" t="s">
        <v>2008</v>
      </c>
      <c r="B1657" s="1" t="str">
        <f>VLOOKUP(A1657,Sheet5!B:C,2,0)</f>
        <v>050000849106</v>
      </c>
      <c r="C1657" s="13">
        <v>3001</v>
      </c>
      <c r="D1657" s="22">
        <f t="shared" si="101"/>
        <v>3001</v>
      </c>
      <c r="E1657" s="21" t="s">
        <v>5912</v>
      </c>
      <c r="F1657" s="23" t="str">
        <f t="shared" si="100"/>
        <v>insert into ins_premium_det (premium_rcv_code,assorted_code, rec_amount,premium_rcv_detail_code,remaining_amt, payrec, mode_code,coinsurance_code,class_cd,it_remarks) values</v>
      </c>
      <c r="G1657" s="24" t="str">
        <f t="shared" si="102"/>
        <v>('29Apr250042','050000849106','3001',(select max(to_number(i.premium_rcv_detail_code))+1
from ins_premium_det i),'3001','3001','02', '11000003','00','Request by Mr. Omair Ali 30-Apr-2025');</v>
      </c>
      <c r="H1657" s="25" t="str">
        <f t="shared" si="103"/>
        <v>insert into ins_premium_det (premium_rcv_code,assorted_code, rec_amount,premium_rcv_detail_code,remaining_amt, payrec, mode_code,coinsurance_code,class_cd,it_remarks) values('29Apr250042','050000849106','3001',(select max(to_number(i.premium_rcv_detail_code))+1
from ins_premium_det i),'3001','3001','02', '11000003','00','Request by Mr. Omair Ali 30-Apr-2025');</v>
      </c>
    </row>
    <row r="1658" spans="1:8" ht="105" x14ac:dyDescent="0.25">
      <c r="A1658" t="s">
        <v>1636</v>
      </c>
      <c r="B1658" s="1" t="str">
        <f>VLOOKUP(A1658,Sheet5!B:C,2,0)</f>
        <v>050000849529</v>
      </c>
      <c r="C1658" s="13">
        <v>7657</v>
      </c>
      <c r="D1658" s="22">
        <f t="shared" si="101"/>
        <v>7657</v>
      </c>
      <c r="E1658" s="21" t="s">
        <v>5912</v>
      </c>
      <c r="F1658" s="23" t="str">
        <f t="shared" si="100"/>
        <v>insert into ins_premium_det (premium_rcv_code,assorted_code, rec_amount,premium_rcv_detail_code,remaining_amt, payrec, mode_code,coinsurance_code,class_cd,it_remarks) values</v>
      </c>
      <c r="G1658" s="24" t="str">
        <f t="shared" si="102"/>
        <v>('29Apr250042','050000849529','7657',(select max(to_number(i.premium_rcv_detail_code))+1
from ins_premium_det i),'7657','7657','02', '11000003','00','Request by Mr. Omair Ali 30-Apr-2025');</v>
      </c>
      <c r="H1658" s="25" t="str">
        <f t="shared" si="103"/>
        <v>insert into ins_premium_det (premium_rcv_code,assorted_code, rec_amount,premium_rcv_detail_code,remaining_amt, payrec, mode_code,coinsurance_code,class_cd,it_remarks) values('29Apr250042','050000849529','7657',(select max(to_number(i.premium_rcv_detail_code))+1
from ins_premium_det i),'7657','7657','02', '11000003','00','Request by Mr. Omair Ali 30-Apr-2025');</v>
      </c>
    </row>
    <row r="1659" spans="1:8" ht="105" x14ac:dyDescent="0.25">
      <c r="A1659" t="s">
        <v>1637</v>
      </c>
      <c r="B1659" s="1" t="str">
        <f>VLOOKUP(A1659,Sheet5!B:C,2,0)</f>
        <v>050000849530</v>
      </c>
      <c r="C1659" s="13">
        <v>6989</v>
      </c>
      <c r="D1659" s="22">
        <f t="shared" si="101"/>
        <v>6989</v>
      </c>
      <c r="E1659" s="21" t="s">
        <v>5912</v>
      </c>
      <c r="F1659" s="23" t="str">
        <f t="shared" si="100"/>
        <v>insert into ins_premium_det (premium_rcv_code,assorted_code, rec_amount,premium_rcv_detail_code,remaining_amt, payrec, mode_code,coinsurance_code,class_cd,it_remarks) values</v>
      </c>
      <c r="G1659" s="24" t="str">
        <f t="shared" si="102"/>
        <v>('29Apr250042','050000849530','6989',(select max(to_number(i.premium_rcv_detail_code))+1
from ins_premium_det i),'6989','6989','02', '11000003','00','Request by Mr. Omair Ali 30-Apr-2025');</v>
      </c>
      <c r="H1659" s="25" t="str">
        <f t="shared" si="103"/>
        <v>insert into ins_premium_det (premium_rcv_code,assorted_code, rec_amount,premium_rcv_detail_code,remaining_amt, payrec, mode_code,coinsurance_code,class_cd,it_remarks) values('29Apr250042','050000849530','6989',(select max(to_number(i.premium_rcv_detail_code))+1
from ins_premium_det i),'6989','6989','02', '11000003','00','Request by Mr. Omair Ali 30-Apr-2025');</v>
      </c>
    </row>
    <row r="1660" spans="1:8" ht="105" x14ac:dyDescent="0.25">
      <c r="A1660" t="s">
        <v>1699</v>
      </c>
      <c r="B1660" s="1" t="str">
        <f>VLOOKUP(A1660,Sheet5!B:C,2,0)</f>
        <v>050000849545</v>
      </c>
      <c r="C1660" s="13">
        <v>5180</v>
      </c>
      <c r="D1660" s="22">
        <f t="shared" si="101"/>
        <v>5180</v>
      </c>
      <c r="E1660" s="21" t="s">
        <v>5912</v>
      </c>
      <c r="F1660" s="23" t="str">
        <f t="shared" si="100"/>
        <v>insert into ins_premium_det (premium_rcv_code,assorted_code, rec_amount,premium_rcv_detail_code,remaining_amt, payrec, mode_code,coinsurance_code,class_cd,it_remarks) values</v>
      </c>
      <c r="G1660" s="24" t="str">
        <f t="shared" si="102"/>
        <v>('29Apr250042','050000849545','5180',(select max(to_number(i.premium_rcv_detail_code))+1
from ins_premium_det i),'5180','5180','02', '11000003','00','Request by Mr. Omair Ali 30-Apr-2025');</v>
      </c>
      <c r="H1660" s="25" t="str">
        <f t="shared" si="103"/>
        <v>insert into ins_premium_det (premium_rcv_code,assorted_code, rec_amount,premium_rcv_detail_code,remaining_amt, payrec, mode_code,coinsurance_code,class_cd,it_remarks) values('29Apr250042','050000849545','5180',(select max(to_number(i.premium_rcv_detail_code))+1
from ins_premium_det i),'5180','5180','02', '11000003','00','Request by Mr. Omair Ali 30-Apr-2025');</v>
      </c>
    </row>
    <row r="1661" spans="1:8" ht="105" x14ac:dyDescent="0.25">
      <c r="A1661" t="s">
        <v>1824</v>
      </c>
      <c r="B1661" s="1" t="str">
        <f>VLOOKUP(A1661,Sheet5!B:C,2,0)</f>
        <v>050000849548</v>
      </c>
      <c r="C1661" s="13">
        <v>453</v>
      </c>
      <c r="D1661" s="22">
        <f t="shared" si="101"/>
        <v>453</v>
      </c>
      <c r="E1661" s="21" t="s">
        <v>5912</v>
      </c>
      <c r="F1661" s="23" t="str">
        <f t="shared" si="100"/>
        <v>insert into ins_premium_det (premium_rcv_code,assorted_code, rec_amount,premium_rcv_detail_code,remaining_amt, payrec, mode_code,coinsurance_code,class_cd,it_remarks) values</v>
      </c>
      <c r="G1661" s="24" t="str">
        <f t="shared" si="102"/>
        <v>('29Apr250042','050000849548','453',(select max(to_number(i.premium_rcv_detail_code))+1
from ins_premium_det i),'453','453','02', '11000003','00','Request by Mr. Omair Ali 30-Apr-2025');</v>
      </c>
      <c r="H1661" s="25" t="str">
        <f t="shared" si="103"/>
        <v>insert into ins_premium_det (premium_rcv_code,assorted_code, rec_amount,premium_rcv_detail_code,remaining_amt, payrec, mode_code,coinsurance_code,class_cd,it_remarks) values('29Apr250042','050000849548','453',(select max(to_number(i.premium_rcv_detail_code))+1
from ins_premium_det i),'453','453','02', '11000003','00','Request by Mr. Omair Ali 30-Apr-2025');</v>
      </c>
    </row>
    <row r="1662" spans="1:8" ht="105" x14ac:dyDescent="0.25">
      <c r="A1662" t="s">
        <v>1914</v>
      </c>
      <c r="B1662" s="1" t="str">
        <f>VLOOKUP(A1662,Sheet5!B:C,2,0)</f>
        <v>050000853184</v>
      </c>
      <c r="C1662" s="13">
        <v>4046</v>
      </c>
      <c r="D1662" s="22">
        <f t="shared" si="101"/>
        <v>4046</v>
      </c>
      <c r="E1662" s="21" t="s">
        <v>5912</v>
      </c>
      <c r="F1662" s="23" t="str">
        <f t="shared" si="100"/>
        <v>insert into ins_premium_det (premium_rcv_code,assorted_code, rec_amount,premium_rcv_detail_code,remaining_amt, payrec, mode_code,coinsurance_code,class_cd,it_remarks) values</v>
      </c>
      <c r="G1662" s="24" t="str">
        <f t="shared" si="102"/>
        <v>('29Apr250042','050000853184','4046',(select max(to_number(i.premium_rcv_detail_code))+1
from ins_premium_det i),'4046','4046','02', '11000003','00','Request by Mr. Omair Ali 30-Apr-2025');</v>
      </c>
      <c r="H1662" s="25" t="str">
        <f t="shared" si="103"/>
        <v>insert into ins_premium_det (premium_rcv_code,assorted_code, rec_amount,premium_rcv_detail_code,remaining_amt, payrec, mode_code,coinsurance_code,class_cd,it_remarks) values('29Apr250042','050000853184','4046',(select max(to_number(i.premium_rcv_detail_code))+1
from ins_premium_det i),'4046','4046','02', '11000003','00','Request by Mr. Omair Ali 30-Apr-2025');</v>
      </c>
    </row>
    <row r="1663" spans="1:8" ht="105" x14ac:dyDescent="0.25">
      <c r="A1663" t="s">
        <v>1569</v>
      </c>
      <c r="B1663" s="1" t="str">
        <f>VLOOKUP(A1663,Sheet5!B:C,2,0)</f>
        <v>050000855947</v>
      </c>
      <c r="C1663" s="13">
        <v>6254</v>
      </c>
      <c r="D1663" s="22">
        <f t="shared" si="101"/>
        <v>6254</v>
      </c>
      <c r="E1663" s="21" t="s">
        <v>5912</v>
      </c>
      <c r="F1663" s="23" t="str">
        <f t="shared" si="100"/>
        <v>insert into ins_premium_det (premium_rcv_code,assorted_code, rec_amount,premium_rcv_detail_code,remaining_amt, payrec, mode_code,coinsurance_code,class_cd,it_remarks) values</v>
      </c>
      <c r="G1663" s="24" t="str">
        <f t="shared" si="102"/>
        <v>('29Apr250042','050000855947','6254',(select max(to_number(i.premium_rcv_detail_code))+1
from ins_premium_det i),'6254','6254','02', '11000003','00','Request by Mr. Omair Ali 30-Apr-2025');</v>
      </c>
      <c r="H1663" s="25" t="str">
        <f t="shared" si="103"/>
        <v>insert into ins_premium_det (premium_rcv_code,assorted_code, rec_amount,premium_rcv_detail_code,remaining_amt, payrec, mode_code,coinsurance_code,class_cd,it_remarks) values('29Apr250042','050000855947','6254',(select max(to_number(i.premium_rcv_detail_code))+1
from ins_premium_det i),'6254','6254','02', '11000003','00','Request by Mr. Omair Ali 30-Apr-2025');</v>
      </c>
    </row>
    <row r="1664" spans="1:8" ht="105" x14ac:dyDescent="0.25">
      <c r="A1664" t="s">
        <v>1930</v>
      </c>
      <c r="B1664" s="1" t="str">
        <f>VLOOKUP(A1664,Sheet5!B:C,2,0)</f>
        <v>050000855960</v>
      </c>
      <c r="C1664" s="13">
        <v>8591</v>
      </c>
      <c r="D1664" s="22">
        <f t="shared" si="101"/>
        <v>8591</v>
      </c>
      <c r="E1664" s="21" t="s">
        <v>5912</v>
      </c>
      <c r="F1664" s="23" t="str">
        <f t="shared" si="100"/>
        <v>insert into ins_premium_det (premium_rcv_code,assorted_code, rec_amount,premium_rcv_detail_code,remaining_amt, payrec, mode_code,coinsurance_code,class_cd,it_remarks) values</v>
      </c>
      <c r="G1664" s="24" t="str">
        <f t="shared" si="102"/>
        <v>('29Apr250042','050000855960','8591',(select max(to_number(i.premium_rcv_detail_code))+1
from ins_premium_det i),'8591','8591','02', '11000003','00','Request by Mr. Omair Ali 30-Apr-2025');</v>
      </c>
      <c r="H1664" s="25" t="str">
        <f t="shared" si="103"/>
        <v>insert into ins_premium_det (premium_rcv_code,assorted_code, rec_amount,premium_rcv_detail_code,remaining_amt, payrec, mode_code,coinsurance_code,class_cd,it_remarks) values('29Apr250042','050000855960','8591',(select max(to_number(i.premium_rcv_detail_code))+1
from ins_premium_det i),'8591','8591','02', '11000003','00','Request by Mr. Omair Ali 30-Apr-2025');</v>
      </c>
    </row>
    <row r="1665" spans="1:8" ht="105" x14ac:dyDescent="0.25">
      <c r="A1665" t="s">
        <v>1451</v>
      </c>
      <c r="B1665" s="1" t="str">
        <f>VLOOKUP(A1665,Sheet5!B:C,2,0)</f>
        <v>050000857443</v>
      </c>
      <c r="C1665" s="13">
        <v>911</v>
      </c>
      <c r="D1665" s="22">
        <f t="shared" si="101"/>
        <v>911</v>
      </c>
      <c r="E1665" s="21" t="s">
        <v>5912</v>
      </c>
      <c r="F1665" s="23" t="str">
        <f t="shared" si="100"/>
        <v>insert into ins_premium_det (premium_rcv_code,assorted_code, rec_amount,premium_rcv_detail_code,remaining_amt, payrec, mode_code,coinsurance_code,class_cd,it_remarks) values</v>
      </c>
      <c r="G1665" s="24" t="str">
        <f t="shared" si="102"/>
        <v>('29Apr250042','050000857443','911',(select max(to_number(i.premium_rcv_detail_code))+1
from ins_premium_det i),'911','911','02', '11000003','00','Request by Mr. Omair Ali 30-Apr-2025');</v>
      </c>
      <c r="H1665" s="25" t="str">
        <f t="shared" si="103"/>
        <v>insert into ins_premium_det (premium_rcv_code,assorted_code, rec_amount,premium_rcv_detail_code,remaining_amt, payrec, mode_code,coinsurance_code,class_cd,it_remarks) values('29Apr250042','050000857443','911',(select max(to_number(i.premium_rcv_detail_code))+1
from ins_premium_det i),'911','911','02', '11000003','00','Request by Mr. Omair Ali 30-Apr-2025');</v>
      </c>
    </row>
    <row r="1666" spans="1:8" ht="105" x14ac:dyDescent="0.25">
      <c r="A1666" t="s">
        <v>1588</v>
      </c>
      <c r="B1666" s="1" t="str">
        <f>VLOOKUP(A1666,Sheet5!B:C,2,0)</f>
        <v>050000857469</v>
      </c>
      <c r="C1666" s="13">
        <v>3201</v>
      </c>
      <c r="D1666" s="22">
        <f t="shared" si="101"/>
        <v>3201</v>
      </c>
      <c r="E1666" s="21" t="s">
        <v>5912</v>
      </c>
      <c r="F1666" s="23" t="str">
        <f t="shared" ref="F1666:F1729" si="10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666" s="24" t="str">
        <f t="shared" si="102"/>
        <v>('29Apr250042','050000857469','3201',(select max(to_number(i.premium_rcv_detail_code))+1
from ins_premium_det i),'3201','3201','02', '11000003','00','Request by Mr. Omair Ali 30-Apr-2025');</v>
      </c>
      <c r="H1666" s="25" t="str">
        <f t="shared" si="103"/>
        <v>insert into ins_premium_det (premium_rcv_code,assorted_code, rec_amount,premium_rcv_detail_code,remaining_amt, payrec, mode_code,coinsurance_code,class_cd,it_remarks) values('29Apr250042','050000857469','3201',(select max(to_number(i.premium_rcv_detail_code))+1
from ins_premium_det i),'3201','3201','02', '11000003','00','Request by Mr. Omair Ali 30-Apr-2025');</v>
      </c>
    </row>
    <row r="1667" spans="1:8" ht="105" x14ac:dyDescent="0.25">
      <c r="A1667" t="s">
        <v>1795</v>
      </c>
      <c r="B1667" s="1" t="str">
        <f>VLOOKUP(A1667,Sheet5!B:C,2,0)</f>
        <v>050000858709</v>
      </c>
      <c r="C1667" s="13">
        <v>8863</v>
      </c>
      <c r="D1667" s="22">
        <f t="shared" ref="D1667:D1730" si="105">ROUND(C1667,0)</f>
        <v>8863</v>
      </c>
      <c r="E1667" s="21" t="s">
        <v>5912</v>
      </c>
      <c r="F1667" s="23" t="str">
        <f t="shared" si="104"/>
        <v>insert into ins_premium_det (premium_rcv_code,assorted_code, rec_amount,premium_rcv_detail_code,remaining_amt, payrec, mode_code,coinsurance_code,class_cd,it_remarks) values</v>
      </c>
      <c r="G1667" s="24" t="str">
        <f t="shared" ref="G1667:G1730" si="106">"('"&amp;E1667&amp;"','"&amp;B1667&amp;"','"&amp;D1667&amp;"',(select max(to_number(i.premium_rcv_detail_code))+1
from ins_premium_det i),'"&amp;D1667&amp;"','"&amp;D1667&amp;"','02', '11000003','00','Request by Mr. Omair Ali 30-Apr-2025');"</f>
        <v>('29Apr250042','050000858709','8863',(select max(to_number(i.premium_rcv_detail_code))+1
from ins_premium_det i),'8863','8863','02', '11000003','00','Request by Mr. Omair Ali 30-Apr-2025');</v>
      </c>
      <c r="H1667" s="25" t="str">
        <f t="shared" ref="H1667:H1730" si="107">F1667&amp;G1667</f>
        <v>insert into ins_premium_det (premium_rcv_code,assorted_code, rec_amount,premium_rcv_detail_code,remaining_amt, payrec, mode_code,coinsurance_code,class_cd,it_remarks) values('29Apr250042','050000858709','8863',(select max(to_number(i.premium_rcv_detail_code))+1
from ins_premium_det i),'8863','8863','02', '11000003','00','Request by Mr. Omair Ali 30-Apr-2025');</v>
      </c>
    </row>
    <row r="1668" spans="1:8" ht="105" x14ac:dyDescent="0.25">
      <c r="A1668" t="s">
        <v>1452</v>
      </c>
      <c r="B1668" s="1" t="str">
        <f>VLOOKUP(A1668,Sheet5!B:C,2,0)</f>
        <v>050000858744</v>
      </c>
      <c r="C1668" s="13">
        <v>-911</v>
      </c>
      <c r="D1668" s="22">
        <f t="shared" si="105"/>
        <v>-911</v>
      </c>
      <c r="E1668" s="21" t="s">
        <v>5912</v>
      </c>
      <c r="F1668" s="23" t="str">
        <f t="shared" si="104"/>
        <v>insert into ins_premium_det (premium_rcv_code,assorted_code, rec_amount,premium_rcv_detail_code,remaining_amt, payrec, mode_code,coinsurance_code,class_cd,it_remarks) values</v>
      </c>
      <c r="G1668" s="24" t="str">
        <f t="shared" si="106"/>
        <v>('29Apr250042','050000858744','-911',(select max(to_number(i.premium_rcv_detail_code))+1
from ins_premium_det i),'-911','-911','02', '11000003','00','Request by Mr. Omair Ali 30-Apr-2025');</v>
      </c>
      <c r="H1668" s="25" t="str">
        <f t="shared" si="107"/>
        <v>insert into ins_premium_det (premium_rcv_code,assorted_code, rec_amount,premium_rcv_detail_code,remaining_amt, payrec, mode_code,coinsurance_code,class_cd,it_remarks) values('29Apr250042','050000858744','-911',(select max(to_number(i.premium_rcv_detail_code))+1
from ins_premium_det i),'-911','-911','02', '11000003','00','Request by Mr. Omair Ali 30-Apr-2025');</v>
      </c>
    </row>
    <row r="1669" spans="1:8" ht="105" x14ac:dyDescent="0.25">
      <c r="A1669" t="s">
        <v>1517</v>
      </c>
      <c r="B1669" s="1" t="str">
        <f>VLOOKUP(A1669,Sheet5!B:C,2,0)</f>
        <v>050000858897</v>
      </c>
      <c r="C1669" s="13">
        <v>2726</v>
      </c>
      <c r="D1669" s="22">
        <f t="shared" si="105"/>
        <v>2726</v>
      </c>
      <c r="E1669" s="21" t="s">
        <v>5912</v>
      </c>
      <c r="F1669" s="23" t="str">
        <f t="shared" si="104"/>
        <v>insert into ins_premium_det (premium_rcv_code,assorted_code, rec_amount,premium_rcv_detail_code,remaining_amt, payrec, mode_code,coinsurance_code,class_cd,it_remarks) values</v>
      </c>
      <c r="G1669" s="24" t="str">
        <f t="shared" si="106"/>
        <v>('29Apr250042','050000858897','2726',(select max(to_number(i.premium_rcv_detail_code))+1
from ins_premium_det i),'2726','2726','02', '11000003','00','Request by Mr. Omair Ali 30-Apr-2025');</v>
      </c>
      <c r="H1669" s="25" t="str">
        <f t="shared" si="107"/>
        <v>insert into ins_premium_det (premium_rcv_code,assorted_code, rec_amount,premium_rcv_detail_code,remaining_amt, payrec, mode_code,coinsurance_code,class_cd,it_remarks) values('29Apr250042','050000858897','2726',(select max(to_number(i.premium_rcv_detail_code))+1
from ins_premium_det i),'2726','2726','02', '11000003','00','Request by Mr. Omair Ali 30-Apr-2025');</v>
      </c>
    </row>
    <row r="1670" spans="1:8" ht="105" x14ac:dyDescent="0.25">
      <c r="A1670" t="s">
        <v>7</v>
      </c>
      <c r="B1670" s="1" t="str">
        <f>VLOOKUP(A1670,Sheet5!B:C,2,0)</f>
        <v>050000858912</v>
      </c>
      <c r="C1670" s="13">
        <v>14467</v>
      </c>
      <c r="D1670" s="22">
        <f t="shared" si="105"/>
        <v>14467</v>
      </c>
      <c r="E1670" s="21" t="s">
        <v>5912</v>
      </c>
      <c r="F1670" s="23" t="str">
        <f t="shared" si="104"/>
        <v>insert into ins_premium_det (premium_rcv_code,assorted_code, rec_amount,premium_rcv_detail_code,remaining_amt, payrec, mode_code,coinsurance_code,class_cd,it_remarks) values</v>
      </c>
      <c r="G1670" s="24" t="str">
        <f t="shared" si="106"/>
        <v>('29Apr250042','050000858912','14467',(select max(to_number(i.premium_rcv_detail_code))+1
from ins_premium_det i),'14467','14467','02', '11000003','00','Request by Mr. Omair Ali 30-Apr-2025');</v>
      </c>
      <c r="H1670" s="25" t="str">
        <f t="shared" si="107"/>
        <v>insert into ins_premium_det (premium_rcv_code,assorted_code, rec_amount,premium_rcv_detail_code,remaining_amt, payrec, mode_code,coinsurance_code,class_cd,it_remarks) values('29Apr250042','050000858912','14467',(select max(to_number(i.premium_rcv_detail_code))+1
from ins_premium_det i),'14467','14467','02', '11000003','00','Request by Mr. Omair Ali 30-Apr-2025');</v>
      </c>
    </row>
    <row r="1671" spans="1:8" ht="105" x14ac:dyDescent="0.25">
      <c r="A1671" t="s">
        <v>1746</v>
      </c>
      <c r="B1671" s="1" t="str">
        <f>VLOOKUP(A1671,Sheet5!B:C,2,0)</f>
        <v>050000858988</v>
      </c>
      <c r="C1671" s="13">
        <v>2209</v>
      </c>
      <c r="D1671" s="22">
        <f t="shared" si="105"/>
        <v>2209</v>
      </c>
      <c r="E1671" s="21" t="s">
        <v>5912</v>
      </c>
      <c r="F1671" s="23" t="str">
        <f t="shared" si="104"/>
        <v>insert into ins_premium_det (premium_rcv_code,assorted_code, rec_amount,premium_rcv_detail_code,remaining_amt, payrec, mode_code,coinsurance_code,class_cd,it_remarks) values</v>
      </c>
      <c r="G1671" s="24" t="str">
        <f t="shared" si="106"/>
        <v>('29Apr250042','050000858988','2209',(select max(to_number(i.premium_rcv_detail_code))+1
from ins_premium_det i),'2209','2209','02', '11000003','00','Request by Mr. Omair Ali 30-Apr-2025');</v>
      </c>
      <c r="H1671" s="25" t="str">
        <f t="shared" si="107"/>
        <v>insert into ins_premium_det (premium_rcv_code,assorted_code, rec_amount,premium_rcv_detail_code,remaining_amt, payrec, mode_code,coinsurance_code,class_cd,it_remarks) values('29Apr250042','050000858988','2209',(select max(to_number(i.premium_rcv_detail_code))+1
from ins_premium_det i),'2209','2209','02', '11000003','00','Request by Mr. Omair Ali 30-Apr-2025');</v>
      </c>
    </row>
    <row r="1672" spans="1:8" ht="105" x14ac:dyDescent="0.25">
      <c r="A1672" t="s">
        <v>1972</v>
      </c>
      <c r="B1672" s="1" t="str">
        <f>VLOOKUP(A1672,Sheet5!B:C,2,0)</f>
        <v>050000858995</v>
      </c>
      <c r="C1672" s="13">
        <v>5397</v>
      </c>
      <c r="D1672" s="22">
        <f t="shared" si="105"/>
        <v>5397</v>
      </c>
      <c r="E1672" s="21" t="s">
        <v>5912</v>
      </c>
      <c r="F1672" s="23" t="str">
        <f t="shared" si="104"/>
        <v>insert into ins_premium_det (premium_rcv_code,assorted_code, rec_amount,premium_rcv_detail_code,remaining_amt, payrec, mode_code,coinsurance_code,class_cd,it_remarks) values</v>
      </c>
      <c r="G1672" s="24" t="str">
        <f t="shared" si="106"/>
        <v>('29Apr250042','050000858995','5397',(select max(to_number(i.premium_rcv_detail_code))+1
from ins_premium_det i),'5397','5397','02', '11000003','00','Request by Mr. Omair Ali 30-Apr-2025');</v>
      </c>
      <c r="H1672" s="25" t="str">
        <f t="shared" si="107"/>
        <v>insert into ins_premium_det (premium_rcv_code,assorted_code, rec_amount,premium_rcv_detail_code,remaining_amt, payrec, mode_code,coinsurance_code,class_cd,it_remarks) values('29Apr250042','050000858995','5397',(select max(to_number(i.premium_rcv_detail_code))+1
from ins_premium_det i),'5397','5397','02', '11000003','00','Request by Mr. Omair Ali 30-Apr-2025');</v>
      </c>
    </row>
    <row r="1673" spans="1:8" ht="105" x14ac:dyDescent="0.25">
      <c r="A1673" t="s">
        <v>1993</v>
      </c>
      <c r="B1673" s="1" t="str">
        <f>VLOOKUP(A1673,Sheet5!B:C,2,0)</f>
        <v>050000859505</v>
      </c>
      <c r="C1673" s="13">
        <v>3931</v>
      </c>
      <c r="D1673" s="22">
        <f t="shared" si="105"/>
        <v>3931</v>
      </c>
      <c r="E1673" s="21" t="s">
        <v>5912</v>
      </c>
      <c r="F1673" s="23" t="str">
        <f t="shared" si="104"/>
        <v>insert into ins_premium_det (premium_rcv_code,assorted_code, rec_amount,premium_rcv_detail_code,remaining_amt, payrec, mode_code,coinsurance_code,class_cd,it_remarks) values</v>
      </c>
      <c r="G1673" s="24" t="str">
        <f t="shared" si="106"/>
        <v>('29Apr250042','050000859505','3931',(select max(to_number(i.premium_rcv_detail_code))+1
from ins_premium_det i),'3931','3931','02', '11000003','00','Request by Mr. Omair Ali 30-Apr-2025');</v>
      </c>
      <c r="H1673" s="25" t="str">
        <f t="shared" si="107"/>
        <v>insert into ins_premium_det (premium_rcv_code,assorted_code, rec_amount,premium_rcv_detail_code,remaining_amt, payrec, mode_code,coinsurance_code,class_cd,it_remarks) values('29Apr250042','050000859505','3931',(select max(to_number(i.premium_rcv_detail_code))+1
from ins_premium_det i),'3931','3931','02', '11000003','00','Request by Mr. Omair Ali 30-Apr-2025');</v>
      </c>
    </row>
    <row r="1674" spans="1:8" ht="105" x14ac:dyDescent="0.25">
      <c r="A1674" t="s">
        <v>1888</v>
      </c>
      <c r="B1674" s="1" t="str">
        <f>VLOOKUP(A1674,Sheet5!B:C,2,0)</f>
        <v>050000860953</v>
      </c>
      <c r="C1674" s="13">
        <v>3229</v>
      </c>
      <c r="D1674" s="22">
        <f t="shared" si="105"/>
        <v>3229</v>
      </c>
      <c r="E1674" s="21" t="s">
        <v>5912</v>
      </c>
      <c r="F1674" s="23" t="str">
        <f t="shared" si="104"/>
        <v>insert into ins_premium_det (premium_rcv_code,assorted_code, rec_amount,premium_rcv_detail_code,remaining_amt, payrec, mode_code,coinsurance_code,class_cd,it_remarks) values</v>
      </c>
      <c r="G1674" s="24" t="str">
        <f t="shared" si="106"/>
        <v>('29Apr250042','050000860953','3229',(select max(to_number(i.premium_rcv_detail_code))+1
from ins_premium_det i),'3229','3229','02', '11000003','00','Request by Mr. Omair Ali 30-Apr-2025');</v>
      </c>
      <c r="H1674" s="25" t="str">
        <f t="shared" si="107"/>
        <v>insert into ins_premium_det (premium_rcv_code,assorted_code, rec_amount,premium_rcv_detail_code,remaining_amt, payrec, mode_code,coinsurance_code,class_cd,it_remarks) values('29Apr250042','050000860953','3229',(select max(to_number(i.premium_rcv_detail_code))+1
from ins_premium_det i),'3229','3229','02', '11000003','00','Request by Mr. Omair Ali 30-Apr-2025');</v>
      </c>
    </row>
    <row r="1675" spans="1:8" ht="105" x14ac:dyDescent="0.25">
      <c r="A1675" t="s">
        <v>2009</v>
      </c>
      <c r="B1675" s="1" t="str">
        <f>VLOOKUP(A1675,Sheet5!B:C,2,0)</f>
        <v>050000860964</v>
      </c>
      <c r="C1675" s="13">
        <v>2011</v>
      </c>
      <c r="D1675" s="22">
        <f t="shared" si="105"/>
        <v>2011</v>
      </c>
      <c r="E1675" s="21" t="s">
        <v>5912</v>
      </c>
      <c r="F1675" s="23" t="str">
        <f t="shared" si="104"/>
        <v>insert into ins_premium_det (premium_rcv_code,assorted_code, rec_amount,premium_rcv_detail_code,remaining_amt, payrec, mode_code,coinsurance_code,class_cd,it_remarks) values</v>
      </c>
      <c r="G1675" s="24" t="str">
        <f t="shared" si="106"/>
        <v>('29Apr250042','050000860964','2011',(select max(to_number(i.premium_rcv_detail_code))+1
from ins_premium_det i),'2011','2011','02', '11000003','00','Request by Mr. Omair Ali 30-Apr-2025');</v>
      </c>
      <c r="H1675" s="25" t="str">
        <f t="shared" si="107"/>
        <v>insert into ins_premium_det (premium_rcv_code,assorted_code, rec_amount,premium_rcv_detail_code,remaining_amt, payrec, mode_code,coinsurance_code,class_cd,it_remarks) values('29Apr250042','050000860964','2011',(select max(to_number(i.premium_rcv_detail_code))+1
from ins_premium_det i),'2011','2011','02', '11000003','00','Request by Mr. Omair Ali 30-Apr-2025');</v>
      </c>
    </row>
    <row r="1676" spans="1:8" ht="105" x14ac:dyDescent="0.25">
      <c r="A1676" t="s">
        <v>1700</v>
      </c>
      <c r="B1676" s="1" t="str">
        <f>VLOOKUP(A1676,Sheet5!B:C,2,0)</f>
        <v>050000861207</v>
      </c>
      <c r="C1676" s="13">
        <v>4450</v>
      </c>
      <c r="D1676" s="22">
        <f t="shared" si="105"/>
        <v>4450</v>
      </c>
      <c r="E1676" s="21" t="s">
        <v>5912</v>
      </c>
      <c r="F1676" s="23" t="str">
        <f t="shared" si="104"/>
        <v>insert into ins_premium_det (premium_rcv_code,assorted_code, rec_amount,premium_rcv_detail_code,remaining_amt, payrec, mode_code,coinsurance_code,class_cd,it_remarks) values</v>
      </c>
      <c r="G1676" s="24" t="str">
        <f t="shared" si="106"/>
        <v>('29Apr250042','050000861207','4450',(select max(to_number(i.premium_rcv_detail_code))+1
from ins_premium_det i),'4450','4450','02', '11000003','00','Request by Mr. Omair Ali 30-Apr-2025');</v>
      </c>
      <c r="H1676" s="25" t="str">
        <f t="shared" si="107"/>
        <v>insert into ins_premium_det (premium_rcv_code,assorted_code, rec_amount,premium_rcv_detail_code,remaining_amt, payrec, mode_code,coinsurance_code,class_cd,it_remarks) values('29Apr250042','050000861207','4450',(select max(to_number(i.premium_rcv_detail_code))+1
from ins_premium_det i),'4450','4450','02', '11000003','00','Request by Mr. Omair Ali 30-Apr-2025');</v>
      </c>
    </row>
    <row r="1677" spans="1:8" ht="105" x14ac:dyDescent="0.25">
      <c r="A1677" t="s">
        <v>1714</v>
      </c>
      <c r="B1677" s="1" t="str">
        <f>VLOOKUP(A1677,Sheet5!B:C,2,0)</f>
        <v>050000861208</v>
      </c>
      <c r="C1677" s="13">
        <v>727</v>
      </c>
      <c r="D1677" s="22">
        <f t="shared" si="105"/>
        <v>727</v>
      </c>
      <c r="E1677" s="21" t="s">
        <v>5912</v>
      </c>
      <c r="F1677" s="23" t="str">
        <f t="shared" si="104"/>
        <v>insert into ins_premium_det (premium_rcv_code,assorted_code, rec_amount,premium_rcv_detail_code,remaining_amt, payrec, mode_code,coinsurance_code,class_cd,it_remarks) values</v>
      </c>
      <c r="G1677" s="24" t="str">
        <f t="shared" si="106"/>
        <v>('29Apr250042','050000861208','727',(select max(to_number(i.premium_rcv_detail_code))+1
from ins_premium_det i),'727','727','02', '11000003','00','Request by Mr. Omair Ali 30-Apr-2025');</v>
      </c>
      <c r="H1677" s="25" t="str">
        <f t="shared" si="107"/>
        <v>insert into ins_premium_det (premium_rcv_code,assorted_code, rec_amount,premium_rcv_detail_code,remaining_amt, payrec, mode_code,coinsurance_code,class_cd,it_remarks) values('29Apr250042','050000861208','727',(select max(to_number(i.premium_rcv_detail_code))+1
from ins_premium_det i),'727','727','02', '11000003','00','Request by Mr. Omair Ali 30-Apr-2025');</v>
      </c>
    </row>
    <row r="1678" spans="1:8" ht="105" x14ac:dyDescent="0.25">
      <c r="A1678" t="s">
        <v>1907</v>
      </c>
      <c r="B1678" s="1" t="str">
        <f>VLOOKUP(A1678,Sheet5!B:C,2,0)</f>
        <v>050000862917</v>
      </c>
      <c r="C1678" s="13">
        <v>752</v>
      </c>
      <c r="D1678" s="22">
        <f t="shared" si="105"/>
        <v>752</v>
      </c>
      <c r="E1678" s="21" t="s">
        <v>5912</v>
      </c>
      <c r="F1678" s="23" t="str">
        <f t="shared" si="104"/>
        <v>insert into ins_premium_det (premium_rcv_code,assorted_code, rec_amount,premium_rcv_detail_code,remaining_amt, payrec, mode_code,coinsurance_code,class_cd,it_remarks) values</v>
      </c>
      <c r="G1678" s="24" t="str">
        <f t="shared" si="106"/>
        <v>('29Apr250042','050000862917','752',(select max(to_number(i.premium_rcv_detail_code))+1
from ins_premium_det i),'752','752','02', '11000003','00','Request by Mr. Omair Ali 30-Apr-2025');</v>
      </c>
      <c r="H1678" s="25" t="str">
        <f t="shared" si="107"/>
        <v>insert into ins_premium_det (premium_rcv_code,assorted_code, rec_amount,premium_rcv_detail_code,remaining_amt, payrec, mode_code,coinsurance_code,class_cd,it_remarks) values('29Apr250042','050000862917','752',(select max(to_number(i.premium_rcv_detail_code))+1
from ins_premium_det i),'752','752','02', '11000003','00','Request by Mr. Omair Ali 30-Apr-2025');</v>
      </c>
    </row>
    <row r="1679" spans="1:8" ht="105" x14ac:dyDescent="0.25">
      <c r="A1679" t="s">
        <v>1915</v>
      </c>
      <c r="B1679" s="1" t="str">
        <f>VLOOKUP(A1679,Sheet5!B:C,2,0)</f>
        <v>050000863699</v>
      </c>
      <c r="C1679" s="13">
        <v>2375</v>
      </c>
      <c r="D1679" s="22">
        <f t="shared" si="105"/>
        <v>2375</v>
      </c>
      <c r="E1679" s="21" t="s">
        <v>5912</v>
      </c>
      <c r="F1679" s="23" t="str">
        <f t="shared" si="104"/>
        <v>insert into ins_premium_det (premium_rcv_code,assorted_code, rec_amount,premium_rcv_detail_code,remaining_amt, payrec, mode_code,coinsurance_code,class_cd,it_remarks) values</v>
      </c>
      <c r="G1679" s="24" t="str">
        <f t="shared" si="106"/>
        <v>('29Apr250042','050000863699','2375',(select max(to_number(i.premium_rcv_detail_code))+1
from ins_premium_det i),'2375','2375','02', '11000003','00','Request by Mr. Omair Ali 30-Apr-2025');</v>
      </c>
      <c r="H1679" s="25" t="str">
        <f t="shared" si="107"/>
        <v>insert into ins_premium_det (premium_rcv_code,assorted_code, rec_amount,premium_rcv_detail_code,remaining_amt, payrec, mode_code,coinsurance_code,class_cd,it_remarks) values('29Apr250042','050000863699','2375',(select max(to_number(i.premium_rcv_detail_code))+1
from ins_premium_det i),'2375','2375','02', '11000003','00','Request by Mr. Omair Ali 30-Apr-2025');</v>
      </c>
    </row>
    <row r="1680" spans="1:8" ht="105" x14ac:dyDescent="0.25">
      <c r="A1680" t="s">
        <v>1570</v>
      </c>
      <c r="B1680" s="1" t="str">
        <f>VLOOKUP(A1680,Sheet5!B:C,2,0)</f>
        <v>050000865210</v>
      </c>
      <c r="C1680" s="13">
        <v>7056</v>
      </c>
      <c r="D1680" s="22">
        <f t="shared" si="105"/>
        <v>7056</v>
      </c>
      <c r="E1680" s="21" t="s">
        <v>5912</v>
      </c>
      <c r="F1680" s="23" t="str">
        <f t="shared" si="104"/>
        <v>insert into ins_premium_det (premium_rcv_code,assorted_code, rec_amount,premium_rcv_detail_code,remaining_amt, payrec, mode_code,coinsurance_code,class_cd,it_remarks) values</v>
      </c>
      <c r="G1680" s="24" t="str">
        <f t="shared" si="106"/>
        <v>('29Apr250042','050000865210','7056',(select max(to_number(i.premium_rcv_detail_code))+1
from ins_premium_det i),'7056','7056','02', '11000003','00','Request by Mr. Omair Ali 30-Apr-2025');</v>
      </c>
      <c r="H1680" s="25" t="str">
        <f t="shared" si="107"/>
        <v>insert into ins_premium_det (premium_rcv_code,assorted_code, rec_amount,premium_rcv_detail_code,remaining_amt, payrec, mode_code,coinsurance_code,class_cd,it_remarks) values('29Apr250042','050000865210','7056',(select max(to_number(i.premium_rcv_detail_code))+1
from ins_premium_det i),'7056','7056','02', '11000003','00','Request by Mr. Omair Ali 30-Apr-2025');</v>
      </c>
    </row>
    <row r="1681" spans="1:8" ht="105" x14ac:dyDescent="0.25">
      <c r="A1681" t="s">
        <v>1931</v>
      </c>
      <c r="B1681" s="1" t="str">
        <f>VLOOKUP(A1681,Sheet5!B:C,2,0)</f>
        <v>050000865229</v>
      </c>
      <c r="C1681" s="13">
        <v>6894</v>
      </c>
      <c r="D1681" s="22">
        <f t="shared" si="105"/>
        <v>6894</v>
      </c>
      <c r="E1681" s="21" t="s">
        <v>5912</v>
      </c>
      <c r="F1681" s="23" t="str">
        <f t="shared" si="104"/>
        <v>insert into ins_premium_det (premium_rcv_code,assorted_code, rec_amount,premium_rcv_detail_code,remaining_amt, payrec, mode_code,coinsurance_code,class_cd,it_remarks) values</v>
      </c>
      <c r="G1681" s="24" t="str">
        <f t="shared" si="106"/>
        <v>('29Apr250042','050000865229','6894',(select max(to_number(i.premium_rcv_detail_code))+1
from ins_premium_det i),'6894','6894','02', '11000003','00','Request by Mr. Omair Ali 30-Apr-2025');</v>
      </c>
      <c r="H1681" s="25" t="str">
        <f t="shared" si="107"/>
        <v>insert into ins_premium_det (premium_rcv_code,assorted_code, rec_amount,premium_rcv_detail_code,remaining_amt, payrec, mode_code,coinsurance_code,class_cd,it_remarks) values('29Apr250042','050000865229','6894',(select max(to_number(i.premium_rcv_detail_code))+1
from ins_premium_det i),'6894','6894','02', '11000003','00','Request by Mr. Omair Ali 30-Apr-2025');</v>
      </c>
    </row>
    <row r="1682" spans="1:8" ht="105" x14ac:dyDescent="0.25">
      <c r="A1682" t="s">
        <v>8</v>
      </c>
      <c r="B1682" s="1" t="str">
        <f>VLOOKUP(A1682,Sheet5!B:C,2,0)</f>
        <v>050000872138</v>
      </c>
      <c r="C1682" s="13">
        <v>2291</v>
      </c>
      <c r="D1682" s="22">
        <f t="shared" si="105"/>
        <v>2291</v>
      </c>
      <c r="E1682" s="21" t="s">
        <v>5912</v>
      </c>
      <c r="F1682" s="23" t="str">
        <f t="shared" si="104"/>
        <v>insert into ins_premium_det (premium_rcv_code,assorted_code, rec_amount,premium_rcv_detail_code,remaining_amt, payrec, mode_code,coinsurance_code,class_cd,it_remarks) values</v>
      </c>
      <c r="G1682" s="24" t="str">
        <f t="shared" si="106"/>
        <v>('29Apr250042','050000872138','2291',(select max(to_number(i.premium_rcv_detail_code))+1
from ins_premium_det i),'2291','2291','02', '11000003','00','Request by Mr. Omair Ali 30-Apr-2025');</v>
      </c>
      <c r="H1682" s="25" t="str">
        <f t="shared" si="107"/>
        <v>insert into ins_premium_det (premium_rcv_code,assorted_code, rec_amount,premium_rcv_detail_code,remaining_amt, payrec, mode_code,coinsurance_code,class_cd,it_remarks) values('29Apr250042','050000872138','2291',(select max(to_number(i.premium_rcv_detail_code))+1
from ins_premium_det i),'2291','2291','02', '11000003','00','Request by Mr. Omair Ali 30-Apr-2025');</v>
      </c>
    </row>
    <row r="1683" spans="1:8" ht="105" x14ac:dyDescent="0.25">
      <c r="A1683" t="s">
        <v>1747</v>
      </c>
      <c r="B1683" s="1" t="str">
        <f>VLOOKUP(A1683,Sheet5!B:C,2,0)</f>
        <v>050000872295</v>
      </c>
      <c r="C1683" s="13">
        <v>2162</v>
      </c>
      <c r="D1683" s="22">
        <f t="shared" si="105"/>
        <v>2162</v>
      </c>
      <c r="E1683" s="21" t="s">
        <v>5912</v>
      </c>
      <c r="F1683" s="23" t="str">
        <f t="shared" si="104"/>
        <v>insert into ins_premium_det (premium_rcv_code,assorted_code, rec_amount,premium_rcv_detail_code,remaining_amt, payrec, mode_code,coinsurance_code,class_cd,it_remarks) values</v>
      </c>
      <c r="G1683" s="24" t="str">
        <f t="shared" si="106"/>
        <v>('29Apr250042','050000872295','2162',(select max(to_number(i.premium_rcv_detail_code))+1
from ins_premium_det i),'2162','2162','02', '11000003','00','Request by Mr. Omair Ali 30-Apr-2025');</v>
      </c>
      <c r="H1683" s="25" t="str">
        <f t="shared" si="107"/>
        <v>insert into ins_premium_det (premium_rcv_code,assorted_code, rec_amount,premium_rcv_detail_code,remaining_amt, payrec, mode_code,coinsurance_code,class_cd,it_remarks) values('29Apr250042','050000872295','2162',(select max(to_number(i.premium_rcv_detail_code))+1
from ins_premium_det i),'2162','2162','02', '11000003','00','Request by Mr. Omair Ali 30-Apr-2025');</v>
      </c>
    </row>
    <row r="1684" spans="1:8" ht="105" x14ac:dyDescent="0.25">
      <c r="A1684" t="s">
        <v>1973</v>
      </c>
      <c r="B1684" s="1" t="str">
        <f>VLOOKUP(A1684,Sheet5!B:C,2,0)</f>
        <v>050000872604</v>
      </c>
      <c r="C1684" s="13">
        <v>4098</v>
      </c>
      <c r="D1684" s="22">
        <f t="shared" si="105"/>
        <v>4098</v>
      </c>
      <c r="E1684" s="21" t="s">
        <v>5912</v>
      </c>
      <c r="F1684" s="23" t="str">
        <f t="shared" si="104"/>
        <v>insert into ins_premium_det (premium_rcv_code,assorted_code, rec_amount,premium_rcv_detail_code,remaining_amt, payrec, mode_code,coinsurance_code,class_cd,it_remarks) values</v>
      </c>
      <c r="G1684" s="24" t="str">
        <f t="shared" si="106"/>
        <v>('29Apr250042','050000872604','4098',(select max(to_number(i.premium_rcv_detail_code))+1
from ins_premium_det i),'4098','4098','02', '11000003','00','Request by Mr. Omair Ali 30-Apr-2025');</v>
      </c>
      <c r="H1684" s="25" t="str">
        <f t="shared" si="107"/>
        <v>insert into ins_premium_det (premium_rcv_code,assorted_code, rec_amount,premium_rcv_detail_code,remaining_amt, payrec, mode_code,coinsurance_code,class_cd,it_remarks) values('29Apr250042','050000872604','4098',(select max(to_number(i.premium_rcv_detail_code))+1
from ins_premium_det i),'4098','4098','02', '11000003','00','Request by Mr. Omair Ali 30-Apr-2025');</v>
      </c>
    </row>
    <row r="1685" spans="1:8" ht="105" x14ac:dyDescent="0.25">
      <c r="A1685" t="s">
        <v>1982</v>
      </c>
      <c r="B1685" s="1" t="str">
        <f>VLOOKUP(A1685,Sheet5!B:C,2,0)</f>
        <v>050000873655</v>
      </c>
      <c r="C1685" s="13">
        <v>5279</v>
      </c>
      <c r="D1685" s="22">
        <f t="shared" si="105"/>
        <v>5279</v>
      </c>
      <c r="E1685" s="21" t="s">
        <v>5912</v>
      </c>
      <c r="F1685" s="23" t="str">
        <f t="shared" si="104"/>
        <v>insert into ins_premium_det (premium_rcv_code,assorted_code, rec_amount,premium_rcv_detail_code,remaining_amt, payrec, mode_code,coinsurance_code,class_cd,it_remarks) values</v>
      </c>
      <c r="G1685" s="24" t="str">
        <f t="shared" si="106"/>
        <v>('29Apr250042','050000873655','5279',(select max(to_number(i.premium_rcv_detail_code))+1
from ins_premium_det i),'5279','5279','02', '11000003','00','Request by Mr. Omair Ali 30-Apr-2025');</v>
      </c>
      <c r="H1685" s="25" t="str">
        <f t="shared" si="107"/>
        <v>insert into ins_premium_det (premium_rcv_code,assorted_code, rec_amount,premium_rcv_detail_code,remaining_amt, payrec, mode_code,coinsurance_code,class_cd,it_remarks) values('29Apr250042','050000873655','5279',(select max(to_number(i.premium_rcv_detail_code))+1
from ins_premium_det i),'5279','5279','02', '11000003','00','Request by Mr. Omair Ali 30-Apr-2025');</v>
      </c>
    </row>
    <row r="1686" spans="1:8" ht="105" x14ac:dyDescent="0.25">
      <c r="A1686" t="s">
        <v>1985</v>
      </c>
      <c r="B1686" s="1" t="str">
        <f>VLOOKUP(A1686,Sheet5!B:C,2,0)</f>
        <v>050000873657</v>
      </c>
      <c r="C1686" s="13">
        <v>1397</v>
      </c>
      <c r="D1686" s="22">
        <f t="shared" si="105"/>
        <v>1397</v>
      </c>
      <c r="E1686" s="21" t="s">
        <v>5912</v>
      </c>
      <c r="F1686" s="23" t="str">
        <f t="shared" si="104"/>
        <v>insert into ins_premium_det (premium_rcv_code,assorted_code, rec_amount,premium_rcv_detail_code,remaining_amt, payrec, mode_code,coinsurance_code,class_cd,it_remarks) values</v>
      </c>
      <c r="G1686" s="24" t="str">
        <f t="shared" si="106"/>
        <v>('29Apr250042','050000873657','1397',(select max(to_number(i.premium_rcv_detail_code))+1
from ins_premium_det i),'1397','1397','02', '11000003','00','Request by Mr. Omair Ali 30-Apr-2025');</v>
      </c>
      <c r="H1686" s="25" t="str">
        <f t="shared" si="107"/>
        <v>insert into ins_premium_det (premium_rcv_code,assorted_code, rec_amount,premium_rcv_detail_code,remaining_amt, payrec, mode_code,coinsurance_code,class_cd,it_remarks) values('29Apr250042','050000873657','1397',(select max(to_number(i.premium_rcv_detail_code))+1
from ins_premium_det i),'1397','1397','02', '11000003','00','Request by Mr. Omair Ali 30-Apr-2025');</v>
      </c>
    </row>
    <row r="1687" spans="1:8" ht="105" x14ac:dyDescent="0.25">
      <c r="A1687" t="s">
        <v>1994</v>
      </c>
      <c r="B1687" s="1" t="str">
        <f>VLOOKUP(A1687,Sheet5!B:C,2,0)</f>
        <v>050000873659</v>
      </c>
      <c r="C1687" s="13">
        <v>4470</v>
      </c>
      <c r="D1687" s="22">
        <f t="shared" si="105"/>
        <v>4470</v>
      </c>
      <c r="E1687" s="21" t="s">
        <v>5912</v>
      </c>
      <c r="F1687" s="23" t="str">
        <f t="shared" si="104"/>
        <v>insert into ins_premium_det (premium_rcv_code,assorted_code, rec_amount,premium_rcv_detail_code,remaining_amt, payrec, mode_code,coinsurance_code,class_cd,it_remarks) values</v>
      </c>
      <c r="G1687" s="24" t="str">
        <f t="shared" si="106"/>
        <v>('29Apr250042','050000873659','4470',(select max(to_number(i.premium_rcv_detail_code))+1
from ins_premium_det i),'4470','4470','02', '11000003','00','Request by Mr. Omair Ali 30-Apr-2025');</v>
      </c>
      <c r="H1687" s="25" t="str">
        <f t="shared" si="107"/>
        <v>insert into ins_premium_det (premium_rcv_code,assorted_code, rec_amount,premium_rcv_detail_code,remaining_amt, payrec, mode_code,coinsurance_code,class_cd,it_remarks) values('29Apr250042','050000873659','4470',(select max(to_number(i.premium_rcv_detail_code))+1
from ins_premium_det i),'4470','4470','02', '11000003','00','Request by Mr. Omair Ali 30-Apr-2025');</v>
      </c>
    </row>
    <row r="1688" spans="1:8" ht="105" x14ac:dyDescent="0.25">
      <c r="A1688" t="s">
        <v>2010</v>
      </c>
      <c r="B1688" s="1" t="str">
        <f>VLOOKUP(A1688,Sheet5!B:C,2,0)</f>
        <v>050000874054</v>
      </c>
      <c r="C1688" s="13">
        <v>3626</v>
      </c>
      <c r="D1688" s="22">
        <f t="shared" si="105"/>
        <v>3626</v>
      </c>
      <c r="E1688" s="21" t="s">
        <v>5912</v>
      </c>
      <c r="F1688" s="23" t="str">
        <f t="shared" si="104"/>
        <v>insert into ins_premium_det (premium_rcv_code,assorted_code, rec_amount,premium_rcv_detail_code,remaining_amt, payrec, mode_code,coinsurance_code,class_cd,it_remarks) values</v>
      </c>
      <c r="G1688" s="24" t="str">
        <f t="shared" si="106"/>
        <v>('29Apr250042','050000874054','3626',(select max(to_number(i.premium_rcv_detail_code))+1
from ins_premium_det i),'3626','3626','02', '11000003','00','Request by Mr. Omair Ali 30-Apr-2025');</v>
      </c>
      <c r="H1688" s="25" t="str">
        <f t="shared" si="107"/>
        <v>insert into ins_premium_det (premium_rcv_code,assorted_code, rec_amount,premium_rcv_detail_code,remaining_amt, payrec, mode_code,coinsurance_code,class_cd,it_remarks) values('29Apr250042','050000874054','3626',(select max(to_number(i.premium_rcv_detail_code))+1
from ins_premium_det i),'3626','3626','02', '11000003','00','Request by Mr. Omair Ali 30-Apr-2025');</v>
      </c>
    </row>
    <row r="1689" spans="1:8" ht="105" x14ac:dyDescent="0.25">
      <c r="A1689" t="s">
        <v>1779</v>
      </c>
      <c r="B1689" s="1" t="str">
        <f>VLOOKUP(A1689,Sheet5!B:C,2,0)</f>
        <v>050000874464</v>
      </c>
      <c r="C1689" s="13">
        <v>-57028</v>
      </c>
      <c r="D1689" s="22">
        <f t="shared" si="105"/>
        <v>-57028</v>
      </c>
      <c r="E1689" s="21" t="s">
        <v>5912</v>
      </c>
      <c r="F1689" s="23" t="str">
        <f t="shared" si="104"/>
        <v>insert into ins_premium_det (premium_rcv_code,assorted_code, rec_amount,premium_rcv_detail_code,remaining_amt, payrec, mode_code,coinsurance_code,class_cd,it_remarks) values</v>
      </c>
      <c r="G1689" s="24" t="str">
        <f t="shared" si="106"/>
        <v>('29Apr250042','050000874464','-57028',(select max(to_number(i.premium_rcv_detail_code))+1
from ins_premium_det i),'-57028','-57028','02', '11000003','00','Request by Mr. Omair Ali 30-Apr-2025');</v>
      </c>
      <c r="H1689" s="25" t="str">
        <f t="shared" si="107"/>
        <v>insert into ins_premium_det (premium_rcv_code,assorted_code, rec_amount,premium_rcv_detail_code,remaining_amt, payrec, mode_code,coinsurance_code,class_cd,it_remarks) values('29Apr250042','050000874464','-57028',(select max(to_number(i.premium_rcv_detail_code))+1
from ins_premium_det i),'-57028','-57028','02', '11000003','00','Request by Mr. Omair Ali 30-Apr-2025');</v>
      </c>
    </row>
    <row r="1690" spans="1:8" ht="105" x14ac:dyDescent="0.25">
      <c r="A1690" t="s">
        <v>1112</v>
      </c>
      <c r="B1690" s="1" t="str">
        <f>VLOOKUP(A1690,Sheet5!B:C,2,0)</f>
        <v>050000874465</v>
      </c>
      <c r="C1690" s="13">
        <v>-51270</v>
      </c>
      <c r="D1690" s="22">
        <f t="shared" si="105"/>
        <v>-51270</v>
      </c>
      <c r="E1690" s="21" t="s">
        <v>5912</v>
      </c>
      <c r="F1690" s="23" t="str">
        <f t="shared" si="104"/>
        <v>insert into ins_premium_det (premium_rcv_code,assorted_code, rec_amount,premium_rcv_detail_code,remaining_amt, payrec, mode_code,coinsurance_code,class_cd,it_remarks) values</v>
      </c>
      <c r="G1690" s="24" t="str">
        <f t="shared" si="106"/>
        <v>('29Apr250042','050000874465','-51270',(select max(to_number(i.premium_rcv_detail_code))+1
from ins_premium_det i),'-51270','-51270','02', '11000003','00','Request by Mr. Omair Ali 30-Apr-2025');</v>
      </c>
      <c r="H1690" s="25" t="str">
        <f t="shared" si="107"/>
        <v>insert into ins_premium_det (premium_rcv_code,assorted_code, rec_amount,premium_rcv_detail_code,remaining_amt, payrec, mode_code,coinsurance_code,class_cd,it_remarks) values('29Apr250042','050000874465','-51270',(select max(to_number(i.premium_rcv_detail_code))+1
from ins_premium_det i),'-51270','-51270','02', '11000003','00','Request by Mr. Omair Ali 30-Apr-2025');</v>
      </c>
    </row>
    <row r="1691" spans="1:8" ht="105" x14ac:dyDescent="0.25">
      <c r="A1691" t="s">
        <v>2019</v>
      </c>
      <c r="B1691" s="1" t="str">
        <f>VLOOKUP(A1691,Sheet5!B:C,2,0)</f>
        <v>050000874466</v>
      </c>
      <c r="C1691" s="13">
        <v>-36514</v>
      </c>
      <c r="D1691" s="22">
        <f t="shared" si="105"/>
        <v>-36514</v>
      </c>
      <c r="E1691" s="21" t="s">
        <v>5912</v>
      </c>
      <c r="F1691" s="23" t="str">
        <f t="shared" si="104"/>
        <v>insert into ins_premium_det (premium_rcv_code,assorted_code, rec_amount,premium_rcv_detail_code,remaining_amt, payrec, mode_code,coinsurance_code,class_cd,it_remarks) values</v>
      </c>
      <c r="G1691" s="24" t="str">
        <f t="shared" si="106"/>
        <v>('29Apr250042','050000874466','-36514',(select max(to_number(i.premium_rcv_detail_code))+1
from ins_premium_det i),'-36514','-36514','02', '11000003','00','Request by Mr. Omair Ali 30-Apr-2025');</v>
      </c>
      <c r="H1691" s="25" t="str">
        <f t="shared" si="107"/>
        <v>insert into ins_premium_det (premium_rcv_code,assorted_code, rec_amount,premium_rcv_detail_code,remaining_amt, payrec, mode_code,coinsurance_code,class_cd,it_remarks) values('29Apr250042','050000874466','-36514',(select max(to_number(i.premium_rcv_detail_code))+1
from ins_premium_det i),'-36514','-36514','02', '11000003','00','Request by Mr. Omair Ali 30-Apr-2025');</v>
      </c>
    </row>
    <row r="1692" spans="1:8" ht="105" x14ac:dyDescent="0.25">
      <c r="A1692" t="s">
        <v>2011</v>
      </c>
      <c r="B1692" s="1" t="str">
        <f>VLOOKUP(A1692,Sheet5!B:C,2,0)</f>
        <v>050000874468</v>
      </c>
      <c r="C1692" s="13">
        <v>-29581</v>
      </c>
      <c r="D1692" s="22">
        <f t="shared" si="105"/>
        <v>-29581</v>
      </c>
      <c r="E1692" s="21" t="s">
        <v>5912</v>
      </c>
      <c r="F1692" s="23" t="str">
        <f t="shared" si="104"/>
        <v>insert into ins_premium_det (premium_rcv_code,assorted_code, rec_amount,premium_rcv_detail_code,remaining_amt, payrec, mode_code,coinsurance_code,class_cd,it_remarks) values</v>
      </c>
      <c r="G1692" s="24" t="str">
        <f t="shared" si="106"/>
        <v>('29Apr250042','050000874468','-29581',(select max(to_number(i.premium_rcv_detail_code))+1
from ins_premium_det i),'-29581','-29581','02', '11000003','00','Request by Mr. Omair Ali 30-Apr-2025');</v>
      </c>
      <c r="H1692" s="25" t="str">
        <f t="shared" si="107"/>
        <v>insert into ins_premium_det (premium_rcv_code,assorted_code, rec_amount,premium_rcv_detail_code,remaining_amt, payrec, mode_code,coinsurance_code,class_cd,it_remarks) values('29Apr250042','050000874468','-29581',(select max(to_number(i.premium_rcv_detail_code))+1
from ins_premium_det i),'-29581','-29581','02', '11000003','00','Request by Mr. Omair Ali 30-Apr-2025');</v>
      </c>
    </row>
    <row r="1693" spans="1:8" ht="105" x14ac:dyDescent="0.25">
      <c r="A1693" t="s">
        <v>1796</v>
      </c>
      <c r="B1693" s="1" t="str">
        <f>VLOOKUP(A1693,Sheet5!B:C,2,0)</f>
        <v>050000874469</v>
      </c>
      <c r="C1693" s="13">
        <v>-34521</v>
      </c>
      <c r="D1693" s="22">
        <f t="shared" si="105"/>
        <v>-34521</v>
      </c>
      <c r="E1693" s="21" t="s">
        <v>5912</v>
      </c>
      <c r="F1693" s="23" t="str">
        <f t="shared" si="104"/>
        <v>insert into ins_premium_det (premium_rcv_code,assorted_code, rec_amount,premium_rcv_detail_code,remaining_amt, payrec, mode_code,coinsurance_code,class_cd,it_remarks) values</v>
      </c>
      <c r="G1693" s="24" t="str">
        <f t="shared" si="106"/>
        <v>('29Apr250042','050000874469','-34521',(select max(to_number(i.premium_rcv_detail_code))+1
from ins_premium_det i),'-34521','-34521','02', '11000003','00','Request by Mr. Omair Ali 30-Apr-2025');</v>
      </c>
      <c r="H1693" s="25" t="str">
        <f t="shared" si="107"/>
        <v>insert into ins_premium_det (premium_rcv_code,assorted_code, rec_amount,premium_rcv_detail_code,remaining_amt, payrec, mode_code,coinsurance_code,class_cd,it_remarks) values('29Apr250042','050000874469','-34521',(select max(to_number(i.premium_rcv_detail_code))+1
from ins_premium_det i),'-34521','-34521','02', '11000003','00','Request by Mr. Omair Ali 30-Apr-2025');</v>
      </c>
    </row>
    <row r="1694" spans="1:8" ht="105" x14ac:dyDescent="0.25">
      <c r="A1694" t="s">
        <v>1686</v>
      </c>
      <c r="B1694" s="1" t="str">
        <f>VLOOKUP(A1694,Sheet5!B:C,2,0)</f>
        <v>050000874470</v>
      </c>
      <c r="C1694" s="13">
        <v>-17009</v>
      </c>
      <c r="D1694" s="22">
        <f t="shared" si="105"/>
        <v>-17009</v>
      </c>
      <c r="E1694" s="21" t="s">
        <v>5912</v>
      </c>
      <c r="F1694" s="23" t="str">
        <f t="shared" si="104"/>
        <v>insert into ins_premium_det (premium_rcv_code,assorted_code, rec_amount,premium_rcv_detail_code,remaining_amt, payrec, mode_code,coinsurance_code,class_cd,it_remarks) values</v>
      </c>
      <c r="G1694" s="24" t="str">
        <f t="shared" si="106"/>
        <v>('29Apr250042','050000874470','-17009',(select max(to_number(i.premium_rcv_detail_code))+1
from ins_premium_det i),'-17009','-17009','02', '11000003','00','Request by Mr. Omair Ali 30-Apr-2025');</v>
      </c>
      <c r="H1694" s="25" t="str">
        <f t="shared" si="107"/>
        <v>insert into ins_premium_det (premium_rcv_code,assorted_code, rec_amount,premium_rcv_detail_code,remaining_amt, payrec, mode_code,coinsurance_code,class_cd,it_remarks) values('29Apr250042','050000874470','-17009',(select max(to_number(i.premium_rcv_detail_code))+1
from ins_premium_det i),'-17009','-17009','02', '11000003','00','Request by Mr. Omair Ali 30-Apr-2025');</v>
      </c>
    </row>
    <row r="1695" spans="1:8" ht="105" x14ac:dyDescent="0.25">
      <c r="A1695" t="s">
        <v>1589</v>
      </c>
      <c r="B1695" s="1" t="str">
        <f>VLOOKUP(A1695,Sheet5!B:C,2,0)</f>
        <v>050000874471</v>
      </c>
      <c r="C1695" s="13">
        <v>-23206</v>
      </c>
      <c r="D1695" s="22">
        <f t="shared" si="105"/>
        <v>-23206</v>
      </c>
      <c r="E1695" s="21" t="s">
        <v>5912</v>
      </c>
      <c r="F1695" s="23" t="str">
        <f t="shared" si="104"/>
        <v>insert into ins_premium_det (premium_rcv_code,assorted_code, rec_amount,premium_rcv_detail_code,remaining_amt, payrec, mode_code,coinsurance_code,class_cd,it_remarks) values</v>
      </c>
      <c r="G1695" s="24" t="str">
        <f t="shared" si="106"/>
        <v>('29Apr250042','050000874471','-23206',(select max(to_number(i.premium_rcv_detail_code))+1
from ins_premium_det i),'-23206','-23206','02', '11000003','00','Request by Mr. Omair Ali 30-Apr-2025');</v>
      </c>
      <c r="H1695" s="25" t="str">
        <f t="shared" si="107"/>
        <v>insert into ins_premium_det (premium_rcv_code,assorted_code, rec_amount,premium_rcv_detail_code,remaining_amt, payrec, mode_code,coinsurance_code,class_cd,it_remarks) values('29Apr250042','050000874471','-23206',(select max(to_number(i.premium_rcv_detail_code))+1
from ins_premium_det i),'-23206','-23206','02', '11000003','00','Request by Mr. Omair Ali 30-Apr-2025');</v>
      </c>
    </row>
    <row r="1696" spans="1:8" ht="105" x14ac:dyDescent="0.25">
      <c r="A1696" t="s">
        <v>1804</v>
      </c>
      <c r="B1696" s="1" t="str">
        <f>VLOOKUP(A1696,Sheet5!B:C,2,0)</f>
        <v>050000874473</v>
      </c>
      <c r="C1696" s="13">
        <v>-15844</v>
      </c>
      <c r="D1696" s="22">
        <f t="shared" si="105"/>
        <v>-15844</v>
      </c>
      <c r="E1696" s="21" t="s">
        <v>5912</v>
      </c>
      <c r="F1696" s="23" t="str">
        <f t="shared" si="104"/>
        <v>insert into ins_premium_det (premium_rcv_code,assorted_code, rec_amount,premium_rcv_detail_code,remaining_amt, payrec, mode_code,coinsurance_code,class_cd,it_remarks) values</v>
      </c>
      <c r="G1696" s="24" t="str">
        <f t="shared" si="106"/>
        <v>('29Apr250042','050000874473','-15844',(select max(to_number(i.premium_rcv_detail_code))+1
from ins_premium_det i),'-15844','-15844','02', '11000003','00','Request by Mr. Omair Ali 30-Apr-2025');</v>
      </c>
      <c r="H1696" s="25" t="str">
        <f t="shared" si="107"/>
        <v>insert into ins_premium_det (premium_rcv_code,assorted_code, rec_amount,premium_rcv_detail_code,remaining_amt, payrec, mode_code,coinsurance_code,class_cd,it_remarks) values('29Apr250042','050000874473','-15844',(select max(to_number(i.premium_rcv_detail_code))+1
from ins_premium_det i),'-15844','-15844','02', '11000003','00','Request by Mr. Omair Ali 30-Apr-2025');</v>
      </c>
    </row>
    <row r="1697" spans="1:8" ht="105" x14ac:dyDescent="0.25">
      <c r="A1697" t="s">
        <v>1995</v>
      </c>
      <c r="B1697" s="1" t="str">
        <f>VLOOKUP(A1697,Sheet5!B:C,2,0)</f>
        <v>050000874474</v>
      </c>
      <c r="C1697" s="13">
        <v>-27008</v>
      </c>
      <c r="D1697" s="22">
        <f t="shared" si="105"/>
        <v>-27008</v>
      </c>
      <c r="E1697" s="21" t="s">
        <v>5912</v>
      </c>
      <c r="F1697" s="23" t="str">
        <f t="shared" si="104"/>
        <v>insert into ins_premium_det (premium_rcv_code,assorted_code, rec_amount,premium_rcv_detail_code,remaining_amt, payrec, mode_code,coinsurance_code,class_cd,it_remarks) values</v>
      </c>
      <c r="G1697" s="24" t="str">
        <f t="shared" si="106"/>
        <v>('29Apr250042','050000874474','-27008',(select max(to_number(i.premium_rcv_detail_code))+1
from ins_premium_det i),'-27008','-27008','02', '11000003','00','Request by Mr. Omair Ali 30-Apr-2025');</v>
      </c>
      <c r="H1697" s="25" t="str">
        <f t="shared" si="107"/>
        <v>insert into ins_premium_det (premium_rcv_code,assorted_code, rec_amount,premium_rcv_detail_code,remaining_amt, payrec, mode_code,coinsurance_code,class_cd,it_remarks) values('29Apr250042','050000874474','-27008',(select max(to_number(i.premium_rcv_detail_code))+1
from ins_premium_det i),'-27008','-27008','02', '11000003','00','Request by Mr. Omair Ali 30-Apr-2025');</v>
      </c>
    </row>
    <row r="1698" spans="1:8" ht="105" x14ac:dyDescent="0.25">
      <c r="A1698" t="s">
        <v>2002</v>
      </c>
      <c r="B1698" s="1" t="str">
        <f>VLOOKUP(A1698,Sheet5!B:C,2,0)</f>
        <v>050000874475</v>
      </c>
      <c r="C1698" s="13">
        <v>-16793</v>
      </c>
      <c r="D1698" s="22">
        <f t="shared" si="105"/>
        <v>-16793</v>
      </c>
      <c r="E1698" s="21" t="s">
        <v>5912</v>
      </c>
      <c r="F1698" s="23" t="str">
        <f t="shared" si="104"/>
        <v>insert into ins_premium_det (premium_rcv_code,assorted_code, rec_amount,premium_rcv_detail_code,remaining_amt, payrec, mode_code,coinsurance_code,class_cd,it_remarks) values</v>
      </c>
      <c r="G1698" s="24" t="str">
        <f t="shared" si="106"/>
        <v>('29Apr250042','050000874475','-16793',(select max(to_number(i.premium_rcv_detail_code))+1
from ins_premium_det i),'-16793','-16793','02', '11000003','00','Request by Mr. Omair Ali 30-Apr-2025');</v>
      </c>
      <c r="H1698" s="25" t="str">
        <f t="shared" si="107"/>
        <v>insert into ins_premium_det (premium_rcv_code,assorted_code, rec_amount,premium_rcv_detail_code,remaining_amt, payrec, mode_code,coinsurance_code,class_cd,it_remarks) values('29Apr250042','050000874475','-16793',(select max(to_number(i.premium_rcv_detail_code))+1
from ins_premium_det i),'-16793','-16793','02', '11000003','00','Request by Mr. Omair Ali 30-Apr-2025');</v>
      </c>
    </row>
    <row r="1699" spans="1:8" ht="105" x14ac:dyDescent="0.25">
      <c r="A1699" t="s">
        <v>1956</v>
      </c>
      <c r="B1699" s="1" t="str">
        <f>VLOOKUP(A1699,Sheet5!B:C,2,0)</f>
        <v>050000874476</v>
      </c>
      <c r="C1699" s="13">
        <v>-11055</v>
      </c>
      <c r="D1699" s="22">
        <f t="shared" si="105"/>
        <v>-11055</v>
      </c>
      <c r="E1699" s="21" t="s">
        <v>5912</v>
      </c>
      <c r="F1699" s="23" t="str">
        <f t="shared" si="104"/>
        <v>insert into ins_premium_det (premium_rcv_code,assorted_code, rec_amount,premium_rcv_detail_code,remaining_amt, payrec, mode_code,coinsurance_code,class_cd,it_remarks) values</v>
      </c>
      <c r="G1699" s="24" t="str">
        <f t="shared" si="106"/>
        <v>('29Apr250042','050000874476','-11055',(select max(to_number(i.premium_rcv_detail_code))+1
from ins_premium_det i),'-11055','-11055','02', '11000003','00','Request by Mr. Omair Ali 30-Apr-2025');</v>
      </c>
      <c r="H1699" s="25" t="str">
        <f t="shared" si="107"/>
        <v>insert into ins_premium_det (premium_rcv_code,assorted_code, rec_amount,premium_rcv_detail_code,remaining_amt, payrec, mode_code,coinsurance_code,class_cd,it_remarks) values('29Apr250042','050000874476','-11055',(select max(to_number(i.premium_rcv_detail_code))+1
from ins_premium_det i),'-11055','-11055','02', '11000003','00','Request by Mr. Omair Ali 30-Apr-2025');</v>
      </c>
    </row>
    <row r="1700" spans="1:8" ht="105" x14ac:dyDescent="0.25">
      <c r="A1700" t="s">
        <v>1889</v>
      </c>
      <c r="B1700" s="1" t="str">
        <f>VLOOKUP(A1700,Sheet5!B:C,2,0)</f>
        <v>050000874478</v>
      </c>
      <c r="C1700" s="13">
        <v>-18970</v>
      </c>
      <c r="D1700" s="22">
        <f t="shared" si="105"/>
        <v>-18970</v>
      </c>
      <c r="E1700" s="21" t="s">
        <v>5912</v>
      </c>
      <c r="F1700" s="23" t="str">
        <f t="shared" si="104"/>
        <v>insert into ins_premium_det (premium_rcv_code,assorted_code, rec_amount,premium_rcv_detail_code,remaining_amt, payrec, mode_code,coinsurance_code,class_cd,it_remarks) values</v>
      </c>
      <c r="G1700" s="24" t="str">
        <f t="shared" si="106"/>
        <v>('29Apr250042','050000874478','-18970',(select max(to_number(i.premium_rcv_detail_code))+1
from ins_premium_det i),'-18970','-18970','02', '11000003','00','Request by Mr. Omair Ali 30-Apr-2025');</v>
      </c>
      <c r="H1700" s="25" t="str">
        <f t="shared" si="107"/>
        <v>insert into ins_premium_det (premium_rcv_code,assorted_code, rec_amount,premium_rcv_detail_code,remaining_amt, payrec, mode_code,coinsurance_code,class_cd,it_remarks) values('29Apr250042','050000874478','-18970',(select max(to_number(i.premium_rcv_detail_code))+1
from ins_premium_det i),'-18970','-18970','02', '11000003','00','Request by Mr. Omair Ali 30-Apr-2025');</v>
      </c>
    </row>
    <row r="1701" spans="1:8" ht="105" x14ac:dyDescent="0.25">
      <c r="A1701" t="s">
        <v>1346</v>
      </c>
      <c r="B1701" s="1" t="str">
        <f>VLOOKUP(A1701,Sheet5!B:C,2,0)</f>
        <v>050000874479</v>
      </c>
      <c r="C1701" s="13">
        <v>-10563</v>
      </c>
      <c r="D1701" s="22">
        <f t="shared" si="105"/>
        <v>-10563</v>
      </c>
      <c r="E1701" s="21" t="s">
        <v>5912</v>
      </c>
      <c r="F1701" s="23" t="str">
        <f t="shared" si="104"/>
        <v>insert into ins_premium_det (premium_rcv_code,assorted_code, rec_amount,premium_rcv_detail_code,remaining_amt, payrec, mode_code,coinsurance_code,class_cd,it_remarks) values</v>
      </c>
      <c r="G1701" s="24" t="str">
        <f t="shared" si="106"/>
        <v>('29Apr250042','050000874479','-10563',(select max(to_number(i.premium_rcv_detail_code))+1
from ins_premium_det i),'-10563','-10563','02', '11000003','00','Request by Mr. Omair Ali 30-Apr-2025');</v>
      </c>
      <c r="H1701" s="25" t="str">
        <f t="shared" si="107"/>
        <v>insert into ins_premium_det (premium_rcv_code,assorted_code, rec_amount,premium_rcv_detail_code,remaining_amt, payrec, mode_code,coinsurance_code,class_cd,it_remarks) values('29Apr250042','050000874479','-10563',(select max(to_number(i.premium_rcv_detail_code))+1
from ins_premium_det i),'-10563','-10563','02', '11000003','00','Request by Mr. Omair Ali 30-Apr-2025');</v>
      </c>
    </row>
    <row r="1702" spans="1:8" ht="105" x14ac:dyDescent="0.25">
      <c r="A1702" t="s">
        <v>1825</v>
      </c>
      <c r="B1702" s="1" t="str">
        <f>VLOOKUP(A1702,Sheet5!B:C,2,0)</f>
        <v>050000874480</v>
      </c>
      <c r="C1702" s="13">
        <v>-4325</v>
      </c>
      <c r="D1702" s="22">
        <f t="shared" si="105"/>
        <v>-4325</v>
      </c>
      <c r="E1702" s="21" t="s">
        <v>5912</v>
      </c>
      <c r="F1702" s="23" t="str">
        <f t="shared" si="104"/>
        <v>insert into ins_premium_det (premium_rcv_code,assorted_code, rec_amount,premium_rcv_detail_code,remaining_amt, payrec, mode_code,coinsurance_code,class_cd,it_remarks) values</v>
      </c>
      <c r="G1702" s="24" t="str">
        <f t="shared" si="106"/>
        <v>('29Apr250042','050000874480','-4325',(select max(to_number(i.premium_rcv_detail_code))+1
from ins_premium_det i),'-4325','-4325','02', '11000003','00','Request by Mr. Omair Ali 30-Apr-2025');</v>
      </c>
      <c r="H1702" s="25" t="str">
        <f t="shared" si="107"/>
        <v>insert into ins_premium_det (premium_rcv_code,assorted_code, rec_amount,premium_rcv_detail_code,remaining_amt, payrec, mode_code,coinsurance_code,class_cd,it_remarks) values('29Apr250042','050000874480','-4325',(select max(to_number(i.premium_rcv_detail_code))+1
from ins_premium_det i),'-4325','-4325','02', '11000003','00','Request by Mr. Omair Ali 30-Apr-2025');</v>
      </c>
    </row>
    <row r="1703" spans="1:8" ht="105" x14ac:dyDescent="0.25">
      <c r="A1703" t="s">
        <v>1020</v>
      </c>
      <c r="B1703" s="1" t="str">
        <f>VLOOKUP(A1703,Sheet5!B:C,2,0)</f>
        <v>050000874481</v>
      </c>
      <c r="C1703" s="13">
        <v>-3711</v>
      </c>
      <c r="D1703" s="22">
        <f t="shared" si="105"/>
        <v>-3711</v>
      </c>
      <c r="E1703" s="21" t="s">
        <v>5912</v>
      </c>
      <c r="F1703" s="23" t="str">
        <f t="shared" si="104"/>
        <v>insert into ins_premium_det (premium_rcv_code,assorted_code, rec_amount,premium_rcv_detail_code,remaining_amt, payrec, mode_code,coinsurance_code,class_cd,it_remarks) values</v>
      </c>
      <c r="G1703" s="24" t="str">
        <f t="shared" si="106"/>
        <v>('29Apr250042','050000874481','-3711',(select max(to_number(i.premium_rcv_detail_code))+1
from ins_premium_det i),'-3711','-3711','02', '11000003','00','Request by Mr. Omair Ali 30-Apr-2025');</v>
      </c>
      <c r="H1703" s="25" t="str">
        <f t="shared" si="107"/>
        <v>insert into ins_premium_det (premium_rcv_code,assorted_code, rec_amount,premium_rcv_detail_code,remaining_amt, payrec, mode_code,coinsurance_code,class_cd,it_remarks) values('29Apr250042','050000874481','-3711',(select max(to_number(i.premium_rcv_detail_code))+1
from ins_premium_det i),'-3711','-3711','02', '11000003','00','Request by Mr. Omair Ali 30-Apr-2025');</v>
      </c>
    </row>
    <row r="1704" spans="1:8" ht="105" x14ac:dyDescent="0.25">
      <c r="A1704" t="s">
        <v>1317</v>
      </c>
      <c r="B1704" s="1" t="str">
        <f>VLOOKUP(A1704,Sheet5!B:C,2,0)</f>
        <v>050000874484</v>
      </c>
      <c r="C1704" s="13">
        <v>-2997</v>
      </c>
      <c r="D1704" s="22">
        <f t="shared" si="105"/>
        <v>-2997</v>
      </c>
      <c r="E1704" s="21" t="s">
        <v>5912</v>
      </c>
      <c r="F1704" s="23" t="str">
        <f t="shared" si="104"/>
        <v>insert into ins_premium_det (premium_rcv_code,assorted_code, rec_amount,premium_rcv_detail_code,remaining_amt, payrec, mode_code,coinsurance_code,class_cd,it_remarks) values</v>
      </c>
      <c r="G1704" s="24" t="str">
        <f t="shared" si="106"/>
        <v>('29Apr250042','050000874484','-2997',(select max(to_number(i.premium_rcv_detail_code))+1
from ins_premium_det i),'-2997','-2997','02', '11000003','00','Request by Mr. Omair Ali 30-Apr-2025');</v>
      </c>
      <c r="H1704" s="25" t="str">
        <f t="shared" si="107"/>
        <v>insert into ins_premium_det (premium_rcv_code,assorted_code, rec_amount,premium_rcv_detail_code,remaining_amt, payrec, mode_code,coinsurance_code,class_cd,it_remarks) values('29Apr250042','050000874484','-2997',(select max(to_number(i.premium_rcv_detail_code))+1
from ins_premium_det i),'-2997','-2997','02', '11000003','00','Request by Mr. Omair Ali 30-Apr-2025');</v>
      </c>
    </row>
    <row r="1705" spans="1:8" ht="105" x14ac:dyDescent="0.25">
      <c r="A1705" t="s">
        <v>1277</v>
      </c>
      <c r="B1705" s="1" t="str">
        <f>VLOOKUP(A1705,Sheet5!B:C,2,0)</f>
        <v>050000874488</v>
      </c>
      <c r="C1705" s="13">
        <v>-2203</v>
      </c>
      <c r="D1705" s="22">
        <f t="shared" si="105"/>
        <v>-2203</v>
      </c>
      <c r="E1705" s="21" t="s">
        <v>5912</v>
      </c>
      <c r="F1705" s="23" t="str">
        <f t="shared" si="104"/>
        <v>insert into ins_premium_det (premium_rcv_code,assorted_code, rec_amount,premium_rcv_detail_code,remaining_amt, payrec, mode_code,coinsurance_code,class_cd,it_remarks) values</v>
      </c>
      <c r="G1705" s="24" t="str">
        <f t="shared" si="106"/>
        <v>('29Apr250042','050000874488','-2203',(select max(to_number(i.premium_rcv_detail_code))+1
from ins_premium_det i),'-2203','-2203','02', '11000003','00','Request by Mr. Omair Ali 30-Apr-2025');</v>
      </c>
      <c r="H1705" s="25" t="str">
        <f t="shared" si="107"/>
        <v>insert into ins_premium_det (premium_rcv_code,assorted_code, rec_amount,premium_rcv_detail_code,remaining_amt, payrec, mode_code,coinsurance_code,class_cd,it_remarks) values('29Apr250042','050000874488','-2203',(select max(to_number(i.premium_rcv_detail_code))+1
from ins_premium_det i),'-2203','-2203','02', '11000003','00','Request by Mr. Omair Ali 30-Apr-2025');</v>
      </c>
    </row>
    <row r="1706" spans="1:8" ht="105" x14ac:dyDescent="0.25">
      <c r="A1706" t="s">
        <v>1983</v>
      </c>
      <c r="B1706" s="1" t="str">
        <f>VLOOKUP(A1706,Sheet5!B:C,2,0)</f>
        <v>050000874491</v>
      </c>
      <c r="C1706" s="13">
        <v>-5585</v>
      </c>
      <c r="D1706" s="22">
        <f t="shared" si="105"/>
        <v>-5585</v>
      </c>
      <c r="E1706" s="21" t="s">
        <v>5912</v>
      </c>
      <c r="F1706" s="23" t="str">
        <f t="shared" si="104"/>
        <v>insert into ins_premium_det (premium_rcv_code,assorted_code, rec_amount,premium_rcv_detail_code,remaining_amt, payrec, mode_code,coinsurance_code,class_cd,it_remarks) values</v>
      </c>
      <c r="G1706" s="24" t="str">
        <f t="shared" si="106"/>
        <v>('29Apr250042','050000874491','-5585',(select max(to_number(i.premium_rcv_detail_code))+1
from ins_premium_det i),'-5585','-5585','02', '11000003','00','Request by Mr. Omair Ali 30-Apr-2025');</v>
      </c>
      <c r="H1706" s="25" t="str">
        <f t="shared" si="107"/>
        <v>insert into ins_premium_det (premium_rcv_code,assorted_code, rec_amount,premium_rcv_detail_code,remaining_amt, payrec, mode_code,coinsurance_code,class_cd,it_remarks) values('29Apr250042','050000874491','-5585',(select max(to_number(i.premium_rcv_detail_code))+1
from ins_premium_det i),'-5585','-5585','02', '11000003','00','Request by Mr. Omair Ali 30-Apr-2025');</v>
      </c>
    </row>
    <row r="1707" spans="1:8" ht="105" x14ac:dyDescent="0.25">
      <c r="A1707" t="s">
        <v>1117</v>
      </c>
      <c r="B1707" s="1" t="str">
        <f>VLOOKUP(A1707,Sheet5!B:C,2,0)</f>
        <v>050000874492</v>
      </c>
      <c r="C1707" s="13">
        <v>-1897</v>
      </c>
      <c r="D1707" s="22">
        <f t="shared" si="105"/>
        <v>-1897</v>
      </c>
      <c r="E1707" s="21" t="s">
        <v>5912</v>
      </c>
      <c r="F1707" s="23" t="str">
        <f t="shared" si="104"/>
        <v>insert into ins_premium_det (premium_rcv_code,assorted_code, rec_amount,premium_rcv_detail_code,remaining_amt, payrec, mode_code,coinsurance_code,class_cd,it_remarks) values</v>
      </c>
      <c r="G1707" s="24" t="str">
        <f t="shared" si="106"/>
        <v>('29Apr250042','050000874492','-1897',(select max(to_number(i.premium_rcv_detail_code))+1
from ins_premium_det i),'-1897','-1897','02', '11000003','00','Request by Mr. Omair Ali 30-Apr-2025');</v>
      </c>
      <c r="H1707" s="25" t="str">
        <f t="shared" si="107"/>
        <v>insert into ins_premium_det (premium_rcv_code,assorted_code, rec_amount,premium_rcv_detail_code,remaining_amt, payrec, mode_code,coinsurance_code,class_cd,it_remarks) values('29Apr250042','050000874492','-1897',(select max(to_number(i.premium_rcv_detail_code))+1
from ins_premium_det i),'-1897','-1897','02', '11000003','00','Request by Mr. Omair Ali 30-Apr-2025');</v>
      </c>
    </row>
    <row r="1708" spans="1:8" ht="105" x14ac:dyDescent="0.25">
      <c r="A1708" t="s">
        <v>1214</v>
      </c>
      <c r="B1708" s="1" t="str">
        <f>VLOOKUP(A1708,Sheet5!B:C,2,0)</f>
        <v>050000874494</v>
      </c>
      <c r="C1708" s="13">
        <v>-2579</v>
      </c>
      <c r="D1708" s="22">
        <f t="shared" si="105"/>
        <v>-2579</v>
      </c>
      <c r="E1708" s="21" t="s">
        <v>5912</v>
      </c>
      <c r="F1708" s="23" t="str">
        <f t="shared" si="104"/>
        <v>insert into ins_premium_det (premium_rcv_code,assorted_code, rec_amount,premium_rcv_detail_code,remaining_amt, payrec, mode_code,coinsurance_code,class_cd,it_remarks) values</v>
      </c>
      <c r="G1708" s="24" t="str">
        <f t="shared" si="106"/>
        <v>('29Apr250042','050000874494','-2579',(select max(to_number(i.premium_rcv_detail_code))+1
from ins_premium_det i),'-2579','-2579','02', '11000003','00','Request by Mr. Omair Ali 30-Apr-2025');</v>
      </c>
      <c r="H1708" s="25" t="str">
        <f t="shared" si="107"/>
        <v>insert into ins_premium_det (premium_rcv_code,assorted_code, rec_amount,premium_rcv_detail_code,remaining_amt, payrec, mode_code,coinsurance_code,class_cd,it_remarks) values('29Apr250042','050000874494','-2579',(select max(to_number(i.premium_rcv_detail_code))+1
from ins_premium_det i),'-2579','-2579','02', '11000003','00','Request by Mr. Omair Ali 30-Apr-2025');</v>
      </c>
    </row>
    <row r="1709" spans="1:8" ht="105" x14ac:dyDescent="0.25">
      <c r="A1709" t="s">
        <v>1922</v>
      </c>
      <c r="B1709" s="1" t="str">
        <f>VLOOKUP(A1709,Sheet5!B:C,2,0)</f>
        <v>050000874495</v>
      </c>
      <c r="C1709" s="13">
        <v>-1795</v>
      </c>
      <c r="D1709" s="22">
        <f t="shared" si="105"/>
        <v>-1795</v>
      </c>
      <c r="E1709" s="21" t="s">
        <v>5912</v>
      </c>
      <c r="F1709" s="23" t="str">
        <f t="shared" si="104"/>
        <v>insert into ins_premium_det (premium_rcv_code,assorted_code, rec_amount,premium_rcv_detail_code,remaining_amt, payrec, mode_code,coinsurance_code,class_cd,it_remarks) values</v>
      </c>
      <c r="G1709" s="24" t="str">
        <f t="shared" si="106"/>
        <v>('29Apr250042','050000874495','-1795',(select max(to_number(i.premium_rcv_detail_code))+1
from ins_premium_det i),'-1795','-1795','02', '11000003','00','Request by Mr. Omair Ali 30-Apr-2025');</v>
      </c>
      <c r="H1709" s="25" t="str">
        <f t="shared" si="107"/>
        <v>insert into ins_premium_det (premium_rcv_code,assorted_code, rec_amount,premium_rcv_detail_code,remaining_amt, payrec, mode_code,coinsurance_code,class_cd,it_remarks) values('29Apr250042','050000874495','-1795',(select max(to_number(i.premium_rcv_detail_code))+1
from ins_premium_det i),'-1795','-1795','02', '11000003','00','Request by Mr. Omair Ali 30-Apr-2025');</v>
      </c>
    </row>
    <row r="1710" spans="1:8" ht="105" x14ac:dyDescent="0.25">
      <c r="A1710" t="s">
        <v>1302</v>
      </c>
      <c r="B1710" s="1" t="str">
        <f>VLOOKUP(A1710,Sheet5!B:C,2,0)</f>
        <v>050000874496</v>
      </c>
      <c r="C1710" s="13">
        <v>-438</v>
      </c>
      <c r="D1710" s="22">
        <f t="shared" si="105"/>
        <v>-438</v>
      </c>
      <c r="E1710" s="21" t="s">
        <v>5912</v>
      </c>
      <c r="F1710" s="23" t="str">
        <f t="shared" si="104"/>
        <v>insert into ins_premium_det (premium_rcv_code,assorted_code, rec_amount,premium_rcv_detail_code,remaining_amt, payrec, mode_code,coinsurance_code,class_cd,it_remarks) values</v>
      </c>
      <c r="G1710" s="24" t="str">
        <f t="shared" si="106"/>
        <v>('29Apr250042','050000874496','-438',(select max(to_number(i.premium_rcv_detail_code))+1
from ins_premium_det i),'-438','-438','02', '11000003','00','Request by Mr. Omair Ali 30-Apr-2025');</v>
      </c>
      <c r="H1710" s="25" t="str">
        <f t="shared" si="107"/>
        <v>insert into ins_premium_det (premium_rcv_code,assorted_code, rec_amount,premium_rcv_detail_code,remaining_amt, payrec, mode_code,coinsurance_code,class_cd,it_remarks) values('29Apr250042','050000874496','-438',(select max(to_number(i.premium_rcv_detail_code))+1
from ins_premium_det i),'-438','-438','02', '11000003','00','Request by Mr. Omair Ali 30-Apr-2025');</v>
      </c>
    </row>
    <row r="1711" spans="1:8" ht="105" x14ac:dyDescent="0.25">
      <c r="A1711" t="s">
        <v>1518</v>
      </c>
      <c r="B1711" s="1" t="str">
        <f>VLOOKUP(A1711,Sheet5!B:C,2,0)</f>
        <v>050000874497</v>
      </c>
      <c r="C1711" s="13">
        <v>-4890</v>
      </c>
      <c r="D1711" s="22">
        <f t="shared" si="105"/>
        <v>-4890</v>
      </c>
      <c r="E1711" s="21" t="s">
        <v>5912</v>
      </c>
      <c r="F1711" s="23" t="str">
        <f t="shared" si="104"/>
        <v>insert into ins_premium_det (premium_rcv_code,assorted_code, rec_amount,premium_rcv_detail_code,remaining_amt, payrec, mode_code,coinsurance_code,class_cd,it_remarks) values</v>
      </c>
      <c r="G1711" s="24" t="str">
        <f t="shared" si="106"/>
        <v>('29Apr250042','050000874497','-4890',(select max(to_number(i.premium_rcv_detail_code))+1
from ins_premium_det i),'-4890','-4890','02', '11000003','00','Request by Mr. Omair Ali 30-Apr-2025');</v>
      </c>
      <c r="H1711" s="25" t="str">
        <f t="shared" si="107"/>
        <v>insert into ins_premium_det (premium_rcv_code,assorted_code, rec_amount,premium_rcv_detail_code,remaining_amt, payrec, mode_code,coinsurance_code,class_cd,it_remarks) values('29Apr250042','050000874497','-4890',(select max(to_number(i.premium_rcv_detail_code))+1
from ins_premium_det i),'-4890','-4890','02', '11000003','00','Request by Mr. Omair Ali 30-Apr-2025');</v>
      </c>
    </row>
    <row r="1712" spans="1:8" ht="105" x14ac:dyDescent="0.25">
      <c r="A1712" t="s">
        <v>348</v>
      </c>
      <c r="B1712" s="1" t="str">
        <f>VLOOKUP(A1712,Sheet5!B:C,2,0)</f>
        <v>050000874498</v>
      </c>
      <c r="C1712" s="13">
        <v>-1554</v>
      </c>
      <c r="D1712" s="22">
        <f t="shared" si="105"/>
        <v>-1554</v>
      </c>
      <c r="E1712" s="21" t="s">
        <v>5912</v>
      </c>
      <c r="F1712" s="23" t="str">
        <f t="shared" si="104"/>
        <v>insert into ins_premium_det (premium_rcv_code,assorted_code, rec_amount,premium_rcv_detail_code,remaining_amt, payrec, mode_code,coinsurance_code,class_cd,it_remarks) values</v>
      </c>
      <c r="G1712" s="24" t="str">
        <f t="shared" si="106"/>
        <v>('29Apr250042','050000874498','-1554',(select max(to_number(i.premium_rcv_detail_code))+1
from ins_premium_det i),'-1554','-1554','02', '11000003','00','Request by Mr. Omair Ali 30-Apr-2025');</v>
      </c>
      <c r="H1712" s="25" t="str">
        <f t="shared" si="107"/>
        <v>insert into ins_premium_det (premium_rcv_code,assorted_code, rec_amount,premium_rcv_detail_code,remaining_amt, payrec, mode_code,coinsurance_code,class_cd,it_remarks) values('29Apr250042','050000874498','-1554',(select max(to_number(i.premium_rcv_detail_code))+1
from ins_premium_det i),'-1554','-1554','02', '11000003','00','Request by Mr. Omair Ali 30-Apr-2025');</v>
      </c>
    </row>
    <row r="1713" spans="1:8" ht="105" x14ac:dyDescent="0.25">
      <c r="A1713" t="s">
        <v>1267</v>
      </c>
      <c r="B1713" s="1" t="str">
        <f>VLOOKUP(A1713,Sheet5!B:C,2,0)</f>
        <v>050000874500</v>
      </c>
      <c r="C1713" s="13">
        <v>-1250</v>
      </c>
      <c r="D1713" s="22">
        <f t="shared" si="105"/>
        <v>-1250</v>
      </c>
      <c r="E1713" s="21" t="s">
        <v>5912</v>
      </c>
      <c r="F1713" s="23" t="str">
        <f t="shared" si="104"/>
        <v>insert into ins_premium_det (premium_rcv_code,assorted_code, rec_amount,premium_rcv_detail_code,remaining_amt, payrec, mode_code,coinsurance_code,class_cd,it_remarks) values</v>
      </c>
      <c r="G1713" s="24" t="str">
        <f t="shared" si="106"/>
        <v>('29Apr250042','050000874500','-1250',(select max(to_number(i.premium_rcv_detail_code))+1
from ins_premium_det i),'-1250','-1250','02', '11000003','00','Request by Mr. Omair Ali 30-Apr-2025');</v>
      </c>
      <c r="H1713" s="25" t="str">
        <f t="shared" si="107"/>
        <v>insert into ins_premium_det (premium_rcv_code,assorted_code, rec_amount,premium_rcv_detail_code,remaining_amt, payrec, mode_code,coinsurance_code,class_cd,it_remarks) values('29Apr250042','050000874500','-1250',(select max(to_number(i.premium_rcv_detail_code))+1
from ins_premium_det i),'-1250','-1250','02', '11000003','00','Request by Mr. Omair Ali 30-Apr-2025');</v>
      </c>
    </row>
    <row r="1714" spans="1:8" ht="105" x14ac:dyDescent="0.25">
      <c r="A1714" t="s">
        <v>85</v>
      </c>
      <c r="B1714" s="1" t="str">
        <f>VLOOKUP(A1714,Sheet5!B:C,2,0)</f>
        <v>050000874501</v>
      </c>
      <c r="C1714" s="13">
        <v>-1236</v>
      </c>
      <c r="D1714" s="22">
        <f t="shared" si="105"/>
        <v>-1236</v>
      </c>
      <c r="E1714" s="21" t="s">
        <v>5912</v>
      </c>
      <c r="F1714" s="23" t="str">
        <f t="shared" si="104"/>
        <v>insert into ins_premium_det (premium_rcv_code,assorted_code, rec_amount,premium_rcv_detail_code,remaining_amt, payrec, mode_code,coinsurance_code,class_cd,it_remarks) values</v>
      </c>
      <c r="G1714" s="24" t="str">
        <f t="shared" si="106"/>
        <v>('29Apr250042','050000874501','-1236',(select max(to_number(i.premium_rcv_detail_code))+1
from ins_premium_det i),'-1236','-1236','02', '11000003','00','Request by Mr. Omair Ali 30-Apr-2025');</v>
      </c>
      <c r="H1714" s="25" t="str">
        <f t="shared" si="107"/>
        <v>insert into ins_premium_det (premium_rcv_code,assorted_code, rec_amount,premium_rcv_detail_code,remaining_amt, payrec, mode_code,coinsurance_code,class_cd,it_remarks) values('29Apr250042','050000874501','-1236',(select max(to_number(i.premium_rcv_detail_code))+1
from ins_premium_det i),'-1236','-1236','02', '11000003','00','Request by Mr. Omair Ali 30-Apr-2025');</v>
      </c>
    </row>
    <row r="1715" spans="1:8" ht="105" x14ac:dyDescent="0.25">
      <c r="A1715" t="s">
        <v>1932</v>
      </c>
      <c r="B1715" s="1" t="str">
        <f>VLOOKUP(A1715,Sheet5!B:C,2,0)</f>
        <v>050000874503</v>
      </c>
      <c r="C1715" s="13">
        <v>-33534</v>
      </c>
      <c r="D1715" s="22">
        <f t="shared" si="105"/>
        <v>-33534</v>
      </c>
      <c r="E1715" s="21" t="s">
        <v>5912</v>
      </c>
      <c r="F1715" s="23" t="str">
        <f t="shared" si="104"/>
        <v>insert into ins_premium_det (premium_rcv_code,assorted_code, rec_amount,premium_rcv_detail_code,remaining_amt, payrec, mode_code,coinsurance_code,class_cd,it_remarks) values</v>
      </c>
      <c r="G1715" s="24" t="str">
        <f t="shared" si="106"/>
        <v>('29Apr250042','050000874503','-33534',(select max(to_number(i.premium_rcv_detail_code))+1
from ins_premium_det i),'-33534','-33534','02', '11000003','00','Request by Mr. Omair Ali 30-Apr-2025');</v>
      </c>
      <c r="H1715" s="25" t="str">
        <f t="shared" si="107"/>
        <v>insert into ins_premium_det (premium_rcv_code,assorted_code, rec_amount,premium_rcv_detail_code,remaining_amt, payrec, mode_code,coinsurance_code,class_cd,it_remarks) values('29Apr250042','050000874503','-33534',(select max(to_number(i.premium_rcv_detail_code))+1
from ins_premium_det i),'-33534','-33534','02', '11000003','00','Request by Mr. Omair Ali 30-Apr-2025');</v>
      </c>
    </row>
    <row r="1716" spans="1:8" ht="105" x14ac:dyDescent="0.25">
      <c r="A1716" t="s">
        <v>334</v>
      </c>
      <c r="B1716" s="1" t="str">
        <f>VLOOKUP(A1716,Sheet5!B:C,2,0)</f>
        <v>050000874504</v>
      </c>
      <c r="C1716" s="13">
        <v>-8116</v>
      </c>
      <c r="D1716" s="22">
        <f t="shared" si="105"/>
        <v>-8116</v>
      </c>
      <c r="E1716" s="21" t="s">
        <v>5912</v>
      </c>
      <c r="F1716" s="23" t="str">
        <f t="shared" si="104"/>
        <v>insert into ins_premium_det (premium_rcv_code,assorted_code, rec_amount,premium_rcv_detail_code,remaining_amt, payrec, mode_code,coinsurance_code,class_cd,it_remarks) values</v>
      </c>
      <c r="G1716" s="24" t="str">
        <f t="shared" si="106"/>
        <v>('29Apr250042','050000874504','-8116',(select max(to_number(i.premium_rcv_detail_code))+1
from ins_premium_det i),'-8116','-8116','02', '11000003','00','Request by Mr. Omair Ali 30-Apr-2025');</v>
      </c>
      <c r="H1716" s="25" t="str">
        <f t="shared" si="107"/>
        <v>insert into ins_premium_det (premium_rcv_code,assorted_code, rec_amount,premium_rcv_detail_code,remaining_amt, payrec, mode_code,coinsurance_code,class_cd,it_remarks) values('29Apr250042','050000874504','-8116',(select max(to_number(i.premium_rcv_detail_code))+1
from ins_premium_det i),'-8116','-8116','02', '11000003','00','Request by Mr. Omair Ali 30-Apr-2025');</v>
      </c>
    </row>
    <row r="1717" spans="1:8" ht="105" x14ac:dyDescent="0.25">
      <c r="A1717" t="s">
        <v>1855</v>
      </c>
      <c r="B1717" s="1" t="str">
        <f>VLOOKUP(A1717,Sheet5!B:C,2,0)</f>
        <v>050000874505</v>
      </c>
      <c r="C1717" s="13">
        <v>-7957</v>
      </c>
      <c r="D1717" s="22">
        <f t="shared" si="105"/>
        <v>-7957</v>
      </c>
      <c r="E1717" s="21" t="s">
        <v>5912</v>
      </c>
      <c r="F1717" s="23" t="str">
        <f t="shared" si="104"/>
        <v>insert into ins_premium_det (premium_rcv_code,assorted_code, rec_amount,premium_rcv_detail_code,remaining_amt, payrec, mode_code,coinsurance_code,class_cd,it_remarks) values</v>
      </c>
      <c r="G1717" s="24" t="str">
        <f t="shared" si="106"/>
        <v>('29Apr250042','050000874505','-7957',(select max(to_number(i.premium_rcv_detail_code))+1
from ins_premium_det i),'-7957','-7957','02', '11000003','00','Request by Mr. Omair Ali 30-Apr-2025');</v>
      </c>
      <c r="H1717" s="25" t="str">
        <f t="shared" si="107"/>
        <v>insert into ins_premium_det (premium_rcv_code,assorted_code, rec_amount,premium_rcv_detail_code,remaining_amt, payrec, mode_code,coinsurance_code,class_cd,it_remarks) values('29Apr250042','050000874505','-7957',(select max(to_number(i.premium_rcv_detail_code))+1
from ins_premium_det i),'-7957','-7957','02', '11000003','00','Request by Mr. Omair Ali 30-Apr-2025');</v>
      </c>
    </row>
    <row r="1718" spans="1:8" ht="105" x14ac:dyDescent="0.25">
      <c r="A1718" t="s">
        <v>255</v>
      </c>
      <c r="B1718" s="1" t="str">
        <f>VLOOKUP(A1718,Sheet5!B:C,2,0)</f>
        <v>050000874506</v>
      </c>
      <c r="C1718" s="13">
        <v>-7074</v>
      </c>
      <c r="D1718" s="22">
        <f t="shared" si="105"/>
        <v>-7074</v>
      </c>
      <c r="E1718" s="21" t="s">
        <v>5912</v>
      </c>
      <c r="F1718" s="23" t="str">
        <f t="shared" si="104"/>
        <v>insert into ins_premium_det (premium_rcv_code,assorted_code, rec_amount,premium_rcv_detail_code,remaining_amt, payrec, mode_code,coinsurance_code,class_cd,it_remarks) values</v>
      </c>
      <c r="G1718" s="24" t="str">
        <f t="shared" si="106"/>
        <v>('29Apr250042','050000874506','-7074',(select max(to_number(i.premium_rcv_detail_code))+1
from ins_premium_det i),'-7074','-7074','02', '11000003','00','Request by Mr. Omair Ali 30-Apr-2025');</v>
      </c>
      <c r="H1718" s="25" t="str">
        <f t="shared" si="107"/>
        <v>insert into ins_premium_det (premium_rcv_code,assorted_code, rec_amount,premium_rcv_detail_code,remaining_amt, payrec, mode_code,coinsurance_code,class_cd,it_remarks) values('29Apr250042','050000874506','-7074',(select max(to_number(i.premium_rcv_detail_code))+1
from ins_premium_det i),'-7074','-7074','02', '11000003','00','Request by Mr. Omair Ali 30-Apr-2025');</v>
      </c>
    </row>
    <row r="1719" spans="1:8" ht="105" x14ac:dyDescent="0.25">
      <c r="A1719" t="s">
        <v>1661</v>
      </c>
      <c r="B1719" s="1" t="str">
        <f>VLOOKUP(A1719,Sheet5!B:C,2,0)</f>
        <v>050000874507</v>
      </c>
      <c r="C1719" s="13">
        <v>-7063</v>
      </c>
      <c r="D1719" s="22">
        <f t="shared" si="105"/>
        <v>-7063</v>
      </c>
      <c r="E1719" s="21" t="s">
        <v>5912</v>
      </c>
      <c r="F1719" s="23" t="str">
        <f t="shared" si="104"/>
        <v>insert into ins_premium_det (premium_rcv_code,assorted_code, rec_amount,premium_rcv_detail_code,remaining_amt, payrec, mode_code,coinsurance_code,class_cd,it_remarks) values</v>
      </c>
      <c r="G1719" s="24" t="str">
        <f t="shared" si="106"/>
        <v>('29Apr250042','050000874507','-7063',(select max(to_number(i.premium_rcv_detail_code))+1
from ins_premium_det i),'-7063','-7063','02', '11000003','00','Request by Mr. Omair Ali 30-Apr-2025');</v>
      </c>
      <c r="H1719" s="25" t="str">
        <f t="shared" si="107"/>
        <v>insert into ins_premium_det (premium_rcv_code,assorted_code, rec_amount,premium_rcv_detail_code,remaining_amt, payrec, mode_code,coinsurance_code,class_cd,it_remarks) values('29Apr250042','050000874507','-7063',(select max(to_number(i.premium_rcv_detail_code))+1
from ins_premium_det i),'-7063','-7063','02', '11000003','00','Request by Mr. Omair Ali 30-Apr-2025');</v>
      </c>
    </row>
    <row r="1720" spans="1:8" ht="105" x14ac:dyDescent="0.25">
      <c r="A1720" t="s">
        <v>2014</v>
      </c>
      <c r="B1720" s="1" t="str">
        <f>VLOOKUP(A1720,Sheet5!B:C,2,0)</f>
        <v>050000874510</v>
      </c>
      <c r="C1720" s="13">
        <v>-6257</v>
      </c>
      <c r="D1720" s="22">
        <f t="shared" si="105"/>
        <v>-6257</v>
      </c>
      <c r="E1720" s="21" t="s">
        <v>5912</v>
      </c>
      <c r="F1720" s="23" t="str">
        <f t="shared" si="104"/>
        <v>insert into ins_premium_det (premium_rcv_code,assorted_code, rec_amount,premium_rcv_detail_code,remaining_amt, payrec, mode_code,coinsurance_code,class_cd,it_remarks) values</v>
      </c>
      <c r="G1720" s="24" t="str">
        <f t="shared" si="106"/>
        <v>('29Apr250042','050000874510','-6257',(select max(to_number(i.premium_rcv_detail_code))+1
from ins_premium_det i),'-6257','-6257','02', '11000003','00','Request by Mr. Omair Ali 30-Apr-2025');</v>
      </c>
      <c r="H1720" s="25" t="str">
        <f t="shared" si="107"/>
        <v>insert into ins_premium_det (premium_rcv_code,assorted_code, rec_amount,premium_rcv_detail_code,remaining_amt, payrec, mode_code,coinsurance_code,class_cd,it_remarks) values('29Apr250042','050000874510','-6257',(select max(to_number(i.premium_rcv_detail_code))+1
from ins_premium_det i),'-6257','-6257','02', '11000003','00','Request by Mr. Omair Ali 30-Apr-2025');</v>
      </c>
    </row>
    <row r="1721" spans="1:8" ht="105" x14ac:dyDescent="0.25">
      <c r="A1721" t="s">
        <v>1916</v>
      </c>
      <c r="B1721" s="1" t="str">
        <f>VLOOKUP(A1721,Sheet5!B:C,2,0)</f>
        <v>050000874511</v>
      </c>
      <c r="C1721" s="13">
        <v>-14628</v>
      </c>
      <c r="D1721" s="22">
        <f t="shared" si="105"/>
        <v>-14628</v>
      </c>
      <c r="E1721" s="21" t="s">
        <v>5912</v>
      </c>
      <c r="F1721" s="23" t="str">
        <f t="shared" si="104"/>
        <v>insert into ins_premium_det (premium_rcv_code,assorted_code, rec_amount,premium_rcv_detail_code,remaining_amt, payrec, mode_code,coinsurance_code,class_cd,it_remarks) values</v>
      </c>
      <c r="G1721" s="24" t="str">
        <f t="shared" si="106"/>
        <v>('29Apr250042','050000874511','-14628',(select max(to_number(i.premium_rcv_detail_code))+1
from ins_premium_det i),'-14628','-14628','02', '11000003','00','Request by Mr. Omair Ali 30-Apr-2025');</v>
      </c>
      <c r="H1721" s="25" t="str">
        <f t="shared" si="107"/>
        <v>insert into ins_premium_det (premium_rcv_code,assorted_code, rec_amount,premium_rcv_detail_code,remaining_amt, payrec, mode_code,coinsurance_code,class_cd,it_remarks) values('29Apr250042','050000874511','-14628',(select max(to_number(i.premium_rcv_detail_code))+1
from ins_premium_det i),'-14628','-14628','02', '11000003','00','Request by Mr. Omair Ali 30-Apr-2025');</v>
      </c>
    </row>
    <row r="1722" spans="1:8" ht="105" x14ac:dyDescent="0.25">
      <c r="A1722" t="s">
        <v>1264</v>
      </c>
      <c r="B1722" s="1" t="str">
        <f>VLOOKUP(A1722,Sheet5!B:C,2,0)</f>
        <v>050000874513</v>
      </c>
      <c r="C1722" s="13">
        <v>-5000</v>
      </c>
      <c r="D1722" s="22">
        <f t="shared" si="105"/>
        <v>-5000</v>
      </c>
      <c r="E1722" s="21" t="s">
        <v>5912</v>
      </c>
      <c r="F1722" s="23" t="str">
        <f t="shared" si="104"/>
        <v>insert into ins_premium_det (premium_rcv_code,assorted_code, rec_amount,premium_rcv_detail_code,remaining_amt, payrec, mode_code,coinsurance_code,class_cd,it_remarks) values</v>
      </c>
      <c r="G1722" s="24" t="str">
        <f t="shared" si="106"/>
        <v>('29Apr250042','050000874513','-5000',(select max(to_number(i.premium_rcv_detail_code))+1
from ins_premium_det i),'-5000','-5000','02', '11000003','00','Request by Mr. Omair Ali 30-Apr-2025');</v>
      </c>
      <c r="H1722" s="25" t="str">
        <f t="shared" si="107"/>
        <v>insert into ins_premium_det (premium_rcv_code,assorted_code, rec_amount,premium_rcv_detail_code,remaining_amt, payrec, mode_code,coinsurance_code,class_cd,it_remarks) values('29Apr250042','050000874513','-5000',(select max(to_number(i.premium_rcv_detail_code))+1
from ins_premium_det i),'-5000','-5000','02', '11000003','00','Request by Mr. Omair Ali 30-Apr-2025');</v>
      </c>
    </row>
    <row r="1723" spans="1:8" ht="105" x14ac:dyDescent="0.25">
      <c r="A1723" t="s">
        <v>1908</v>
      </c>
      <c r="B1723" s="1" t="str">
        <f>VLOOKUP(A1723,Sheet5!B:C,2,0)</f>
        <v>050000874514</v>
      </c>
      <c r="C1723" s="13">
        <v>-752</v>
      </c>
      <c r="D1723" s="22">
        <f t="shared" si="105"/>
        <v>-752</v>
      </c>
      <c r="E1723" s="21" t="s">
        <v>5912</v>
      </c>
      <c r="F1723" s="23" t="str">
        <f t="shared" si="104"/>
        <v>insert into ins_premium_det (premium_rcv_code,assorted_code, rec_amount,premium_rcv_detail_code,remaining_amt, payrec, mode_code,coinsurance_code,class_cd,it_remarks) values</v>
      </c>
      <c r="G1723" s="24" t="str">
        <f t="shared" si="106"/>
        <v>('29Apr250042','050000874514','-752',(select max(to_number(i.premium_rcv_detail_code))+1
from ins_premium_det i),'-752','-752','02', '11000003','00','Request by Mr. Omair Ali 30-Apr-2025');</v>
      </c>
      <c r="H1723" s="25" t="str">
        <f t="shared" si="107"/>
        <v>insert into ins_premium_det (premium_rcv_code,assorted_code, rec_amount,premium_rcv_detail_code,remaining_amt, payrec, mode_code,coinsurance_code,class_cd,it_remarks) values('29Apr250042','050000874514','-752',(select max(to_number(i.premium_rcv_detail_code))+1
from ins_premium_det i),'-752','-752','02', '11000003','00','Request by Mr. Omair Ali 30-Apr-2025');</v>
      </c>
    </row>
    <row r="1724" spans="1:8" ht="105" x14ac:dyDescent="0.25">
      <c r="A1724" t="s">
        <v>201</v>
      </c>
      <c r="B1724" s="1" t="str">
        <f>VLOOKUP(A1724,Sheet5!B:C,2,0)</f>
        <v>050000874515</v>
      </c>
      <c r="C1724" s="13">
        <v>-897</v>
      </c>
      <c r="D1724" s="22">
        <f t="shared" si="105"/>
        <v>-897</v>
      </c>
      <c r="E1724" s="21" t="s">
        <v>5912</v>
      </c>
      <c r="F1724" s="23" t="str">
        <f t="shared" si="104"/>
        <v>insert into ins_premium_det (premium_rcv_code,assorted_code, rec_amount,premium_rcv_detail_code,remaining_amt, payrec, mode_code,coinsurance_code,class_cd,it_remarks) values</v>
      </c>
      <c r="G1724" s="24" t="str">
        <f t="shared" si="106"/>
        <v>('29Apr250042','050000874515','-897',(select max(to_number(i.premium_rcv_detail_code))+1
from ins_premium_det i),'-897','-897','02', '11000003','00','Request by Mr. Omair Ali 30-Apr-2025');</v>
      </c>
      <c r="H1724" s="25" t="str">
        <f t="shared" si="107"/>
        <v>insert into ins_premium_det (premium_rcv_code,assorted_code, rec_amount,premium_rcv_detail_code,remaining_amt, payrec, mode_code,coinsurance_code,class_cd,it_remarks) values('29Apr250042','050000874515','-897',(select max(to_number(i.premium_rcv_detail_code))+1
from ins_premium_det i),'-897','-897','02', '11000003','00','Request by Mr. Omair Ali 30-Apr-2025');</v>
      </c>
    </row>
    <row r="1725" spans="1:8" ht="105" x14ac:dyDescent="0.25">
      <c r="A1725" t="s">
        <v>1638</v>
      </c>
      <c r="B1725" s="1" t="str">
        <f>VLOOKUP(A1725,Sheet5!B:C,2,0)</f>
        <v>050000874516</v>
      </c>
      <c r="C1725" s="13">
        <v>-38812</v>
      </c>
      <c r="D1725" s="22">
        <f t="shared" si="105"/>
        <v>-38812</v>
      </c>
      <c r="E1725" s="21" t="s">
        <v>5912</v>
      </c>
      <c r="F1725" s="23" t="str">
        <f t="shared" si="104"/>
        <v>insert into ins_premium_det (premium_rcv_code,assorted_code, rec_amount,premium_rcv_detail_code,remaining_amt, payrec, mode_code,coinsurance_code,class_cd,it_remarks) values</v>
      </c>
      <c r="G1725" s="24" t="str">
        <f t="shared" si="106"/>
        <v>('29Apr250042','050000874516','-38812',(select max(to_number(i.premium_rcv_detail_code))+1
from ins_premium_det i),'-38812','-38812','02', '11000003','00','Request by Mr. Omair Ali 30-Apr-2025');</v>
      </c>
      <c r="H1725" s="25" t="str">
        <f t="shared" si="107"/>
        <v>insert into ins_premium_det (premium_rcv_code,assorted_code, rec_amount,premium_rcv_detail_code,remaining_amt, payrec, mode_code,coinsurance_code,class_cd,it_remarks) values('29Apr250042','050000874516','-38812',(select max(to_number(i.premium_rcv_detail_code))+1
from ins_premium_det i),'-38812','-38812','02', '11000003','00','Request by Mr. Omair Ali 30-Apr-2025');</v>
      </c>
    </row>
    <row r="1726" spans="1:8" ht="105" x14ac:dyDescent="0.25">
      <c r="A1726" t="s">
        <v>1701</v>
      </c>
      <c r="B1726" s="1" t="str">
        <f>VLOOKUP(A1726,Sheet5!B:C,2,0)</f>
        <v>050000874517</v>
      </c>
      <c r="C1726" s="13">
        <v>-27604</v>
      </c>
      <c r="D1726" s="22">
        <f t="shared" si="105"/>
        <v>-27604</v>
      </c>
      <c r="E1726" s="21" t="s">
        <v>5912</v>
      </c>
      <c r="F1726" s="23" t="str">
        <f t="shared" si="104"/>
        <v>insert into ins_premium_det (premium_rcv_code,assorted_code, rec_amount,premium_rcv_detail_code,remaining_amt, payrec, mode_code,coinsurance_code,class_cd,it_remarks) values</v>
      </c>
      <c r="G1726" s="24" t="str">
        <f t="shared" si="106"/>
        <v>('29Apr250042','050000874517','-27604',(select max(to_number(i.premium_rcv_detail_code))+1
from ins_premium_det i),'-27604','-27604','02', '11000003','00','Request by Mr. Omair Ali 30-Apr-2025');</v>
      </c>
      <c r="H1726" s="25" t="str">
        <f t="shared" si="107"/>
        <v>insert into ins_premium_det (premium_rcv_code,assorted_code, rec_amount,premium_rcv_detail_code,remaining_amt, payrec, mode_code,coinsurance_code,class_cd,it_remarks) values('29Apr250042','050000874517','-27604',(select max(to_number(i.premium_rcv_detail_code))+1
from ins_premium_det i),'-27604','-27604','02', '11000003','00','Request by Mr. Omair Ali 30-Apr-2025');</v>
      </c>
    </row>
    <row r="1727" spans="1:8" ht="105" x14ac:dyDescent="0.25">
      <c r="A1727" t="s">
        <v>1974</v>
      </c>
      <c r="B1727" s="1" t="str">
        <f>VLOOKUP(A1727,Sheet5!B:C,2,0)</f>
        <v>050000874519</v>
      </c>
      <c r="C1727" s="13">
        <v>-27645</v>
      </c>
      <c r="D1727" s="22">
        <f t="shared" si="105"/>
        <v>-27645</v>
      </c>
      <c r="E1727" s="21" t="s">
        <v>5912</v>
      </c>
      <c r="F1727" s="23" t="str">
        <f t="shared" si="104"/>
        <v>insert into ins_premium_det (premium_rcv_code,assorted_code, rec_amount,premium_rcv_detail_code,remaining_amt, payrec, mode_code,coinsurance_code,class_cd,it_remarks) values</v>
      </c>
      <c r="G1727" s="24" t="str">
        <f t="shared" si="106"/>
        <v>('29Apr250042','050000874519','-27645',(select max(to_number(i.premium_rcv_detail_code))+1
from ins_premium_det i),'-27645','-27645','02', '11000003','00','Request by Mr. Omair Ali 30-Apr-2025');</v>
      </c>
      <c r="H1727" s="25" t="str">
        <f t="shared" si="107"/>
        <v>insert into ins_premium_det (premium_rcv_code,assorted_code, rec_amount,premium_rcv_detail_code,remaining_amt, payrec, mode_code,coinsurance_code,class_cd,it_remarks) values('29Apr250042','050000874519','-27645',(select max(to_number(i.premium_rcv_detail_code))+1
from ins_premium_det i),'-27645','-27645','02', '11000003','00','Request by Mr. Omair Ali 30-Apr-2025');</v>
      </c>
    </row>
    <row r="1728" spans="1:8" ht="105" x14ac:dyDescent="0.25">
      <c r="A1728" t="s">
        <v>1715</v>
      </c>
      <c r="B1728" s="1" t="str">
        <f>VLOOKUP(A1728,Sheet5!B:C,2,0)</f>
        <v>050000874520</v>
      </c>
      <c r="C1728" s="13">
        <v>-727</v>
      </c>
      <c r="D1728" s="22">
        <f t="shared" si="105"/>
        <v>-727</v>
      </c>
      <c r="E1728" s="21" t="s">
        <v>5912</v>
      </c>
      <c r="F1728" s="23" t="str">
        <f t="shared" si="104"/>
        <v>insert into ins_premium_det (premium_rcv_code,assorted_code, rec_amount,premium_rcv_detail_code,remaining_amt, payrec, mode_code,coinsurance_code,class_cd,it_remarks) values</v>
      </c>
      <c r="G1728" s="24" t="str">
        <f t="shared" si="106"/>
        <v>('29Apr250042','050000874520','-727',(select max(to_number(i.premium_rcv_detail_code))+1
from ins_premium_det i),'-727','-727','02', '11000003','00','Request by Mr. Omair Ali 30-Apr-2025');</v>
      </c>
      <c r="H1728" s="25" t="str">
        <f t="shared" si="107"/>
        <v>insert into ins_premium_det (premium_rcv_code,assorted_code, rec_amount,premium_rcv_detail_code,remaining_amt, payrec, mode_code,coinsurance_code,class_cd,it_remarks) values('29Apr250042','050000874520','-727',(select max(to_number(i.premium_rcv_detail_code))+1
from ins_premium_det i),'-727','-727','02', '11000003','00','Request by Mr. Omair Ali 30-Apr-2025');</v>
      </c>
    </row>
    <row r="1729" spans="1:8" ht="105" x14ac:dyDescent="0.25">
      <c r="A1729" t="s">
        <v>1986</v>
      </c>
      <c r="B1729" s="1" t="str">
        <f>VLOOKUP(A1729,Sheet5!B:C,2,0)</f>
        <v>050000874522</v>
      </c>
      <c r="C1729" s="13">
        <v>-1397</v>
      </c>
      <c r="D1729" s="22">
        <f t="shared" si="105"/>
        <v>-1397</v>
      </c>
      <c r="E1729" s="21" t="s">
        <v>5912</v>
      </c>
      <c r="F1729" s="23" t="str">
        <f t="shared" si="104"/>
        <v>insert into ins_premium_det (premium_rcv_code,assorted_code, rec_amount,premium_rcv_detail_code,remaining_amt, payrec, mode_code,coinsurance_code,class_cd,it_remarks) values</v>
      </c>
      <c r="G1729" s="24" t="str">
        <f t="shared" si="106"/>
        <v>('29Apr250042','050000874522','-1397',(select max(to_number(i.premium_rcv_detail_code))+1
from ins_premium_det i),'-1397','-1397','02', '11000003','00','Request by Mr. Omair Ali 30-Apr-2025');</v>
      </c>
      <c r="H1729" s="25" t="str">
        <f t="shared" si="107"/>
        <v>insert into ins_premium_det (premium_rcv_code,assorted_code, rec_amount,premium_rcv_detail_code,remaining_amt, payrec, mode_code,coinsurance_code,class_cd,it_remarks) values('29Apr250042','050000874522','-1397',(select max(to_number(i.premium_rcv_detail_code))+1
from ins_premium_det i),'-1397','-1397','02', '11000003','00','Request by Mr. Omair Ali 30-Apr-2025');</v>
      </c>
    </row>
    <row r="1730" spans="1:8" ht="105" x14ac:dyDescent="0.25">
      <c r="A1730" t="s">
        <v>1748</v>
      </c>
      <c r="B1730" s="1" t="str">
        <f>VLOOKUP(A1730,Sheet5!B:C,2,0)</f>
        <v>050000874523</v>
      </c>
      <c r="C1730" s="13">
        <v>-8271</v>
      </c>
      <c r="D1730" s="22">
        <f t="shared" si="105"/>
        <v>-8271</v>
      </c>
      <c r="E1730" s="21" t="s">
        <v>5912</v>
      </c>
      <c r="F1730" s="23" t="str">
        <f t="shared" ref="F1730:F1751" si="10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730" s="24" t="str">
        <f t="shared" si="106"/>
        <v>('29Apr250042','050000874523','-8271',(select max(to_number(i.premium_rcv_detail_code))+1
from ins_premium_det i),'-8271','-8271','02', '11000003','00','Request by Mr. Omair Ali 30-Apr-2025');</v>
      </c>
      <c r="H1730" s="25" t="str">
        <f t="shared" si="107"/>
        <v>insert into ins_premium_det (premium_rcv_code,assorted_code, rec_amount,premium_rcv_detail_code,remaining_amt, payrec, mode_code,coinsurance_code,class_cd,it_remarks) values('29Apr250042','050000874523','-8271',(select max(to_number(i.premium_rcv_detail_code))+1
from ins_premium_det i),'-8271','-8271','02', '11000003','00','Request by Mr. Omair Ali 30-Apr-2025');</v>
      </c>
    </row>
    <row r="1731" spans="1:8" ht="105" x14ac:dyDescent="0.25">
      <c r="A1731" t="s">
        <v>1351</v>
      </c>
      <c r="B1731" s="1" t="str">
        <f>VLOOKUP(A1731,Sheet5!B:C,2,0)</f>
        <v>050000874526</v>
      </c>
      <c r="C1731" s="13">
        <v>-6812</v>
      </c>
      <c r="D1731" s="22">
        <f t="shared" ref="D1731:D1751" si="109">ROUND(C1731,0)</f>
        <v>-6812</v>
      </c>
      <c r="E1731" s="21" t="s">
        <v>5912</v>
      </c>
      <c r="F1731" s="23" t="str">
        <f t="shared" si="108"/>
        <v>insert into ins_premium_det (premium_rcv_code,assorted_code, rec_amount,premium_rcv_detail_code,remaining_amt, payrec, mode_code,coinsurance_code,class_cd,it_remarks) values</v>
      </c>
      <c r="G1731" s="24" t="str">
        <f t="shared" ref="G1731:G1751" si="110">"('"&amp;E1731&amp;"','"&amp;B1731&amp;"','"&amp;D1731&amp;"',(select max(to_number(i.premium_rcv_detail_code))+1
from ins_premium_det i),'"&amp;D1731&amp;"','"&amp;D1731&amp;"','02', '11000003','00','Request by Mr. Omair Ali 30-Apr-2025');"</f>
        <v>('29Apr250042','050000874526','-6812',(select max(to_number(i.premium_rcv_detail_code))+1
from ins_premium_det i),'-6812','-6812','02', '11000003','00','Request by Mr. Omair Ali 30-Apr-2025');</v>
      </c>
      <c r="H1731" s="25" t="str">
        <f t="shared" ref="H1731:H1751" si="111">F1731&amp;G1731</f>
        <v>insert into ins_premium_det (premium_rcv_code,assorted_code, rec_amount,premium_rcv_detail_code,remaining_amt, payrec, mode_code,coinsurance_code,class_cd,it_remarks) values('29Apr250042','050000874526','-6812',(select max(to_number(i.premium_rcv_detail_code))+1
from ins_premium_det i),'-6812','-6812','02', '11000003','00','Request by Mr. Omair Ali 30-Apr-2025');</v>
      </c>
    </row>
    <row r="1732" spans="1:8" ht="105" x14ac:dyDescent="0.25">
      <c r="A1732" t="s">
        <v>283</v>
      </c>
      <c r="B1732" s="1" t="str">
        <f>VLOOKUP(A1732,Sheet5!B:C,2,0)</f>
        <v>050000874527</v>
      </c>
      <c r="C1732" s="13">
        <v>-15262</v>
      </c>
      <c r="D1732" s="22">
        <f t="shared" si="109"/>
        <v>-15262</v>
      </c>
      <c r="E1732" s="21" t="s">
        <v>5912</v>
      </c>
      <c r="F1732" s="23" t="str">
        <f t="shared" si="108"/>
        <v>insert into ins_premium_det (premium_rcv_code,assorted_code, rec_amount,premium_rcv_detail_code,remaining_amt, payrec, mode_code,coinsurance_code,class_cd,it_remarks) values</v>
      </c>
      <c r="G1732" s="24" t="str">
        <f t="shared" si="110"/>
        <v>('29Apr250042','050000874527','-15262',(select max(to_number(i.premium_rcv_detail_code))+1
from ins_premium_det i),'-15262','-15262','02', '11000003','00','Request by Mr. Omair Ali 30-Apr-2025');</v>
      </c>
      <c r="H1732" s="25" t="str">
        <f t="shared" si="111"/>
        <v>insert into ins_premium_det (premium_rcv_code,assorted_code, rec_amount,premium_rcv_detail_code,remaining_amt, payrec, mode_code,coinsurance_code,class_cd,it_remarks) values('29Apr250042','050000874527','-15262',(select max(to_number(i.premium_rcv_detail_code))+1
from ins_premium_det i),'-15262','-15262','02', '11000003','00','Request by Mr. Omair Ali 30-Apr-2025');</v>
      </c>
    </row>
    <row r="1733" spans="1:8" ht="105" x14ac:dyDescent="0.25">
      <c r="A1733" t="s">
        <v>1250</v>
      </c>
      <c r="B1733" s="1" t="str">
        <f>VLOOKUP(A1733,Sheet5!B:C,2,0)</f>
        <v>050000874528</v>
      </c>
      <c r="C1733" s="13">
        <v>-16088</v>
      </c>
      <c r="D1733" s="22">
        <f t="shared" si="109"/>
        <v>-16088</v>
      </c>
      <c r="E1733" s="21" t="s">
        <v>5912</v>
      </c>
      <c r="F1733" s="23" t="str">
        <f t="shared" si="108"/>
        <v>insert into ins_premium_det (premium_rcv_code,assorted_code, rec_amount,premium_rcv_detail_code,remaining_amt, payrec, mode_code,coinsurance_code,class_cd,it_remarks) values</v>
      </c>
      <c r="G1733" s="24" t="str">
        <f t="shared" si="110"/>
        <v>('29Apr250042','050000874528','-16088',(select max(to_number(i.premium_rcv_detail_code))+1
from ins_premium_det i),'-16088','-16088','02', '11000003','00','Request by Mr. Omair Ali 30-Apr-2025');</v>
      </c>
      <c r="H1733" s="25" t="str">
        <f t="shared" si="111"/>
        <v>insert into ins_premium_det (premium_rcv_code,assorted_code, rec_amount,premium_rcv_detail_code,remaining_amt, payrec, mode_code,coinsurance_code,class_cd,it_remarks) values('29Apr250042','050000874528','-16088',(select max(to_number(i.premium_rcv_detail_code))+1
from ins_premium_det i),'-16088','-16088','02', '11000003','00','Request by Mr. Omair Ali 30-Apr-2025');</v>
      </c>
    </row>
    <row r="1734" spans="1:8" ht="105" x14ac:dyDescent="0.25">
      <c r="A1734" t="s">
        <v>1571</v>
      </c>
      <c r="B1734" s="1" t="str">
        <f>VLOOKUP(A1734,Sheet5!B:C,2,0)</f>
        <v>050000874529</v>
      </c>
      <c r="C1734" s="13">
        <v>-44517</v>
      </c>
      <c r="D1734" s="22">
        <f t="shared" si="109"/>
        <v>-44517</v>
      </c>
      <c r="E1734" s="21" t="s">
        <v>5912</v>
      </c>
      <c r="F1734" s="23" t="str">
        <f t="shared" si="108"/>
        <v>insert into ins_premium_det (premium_rcv_code,assorted_code, rec_amount,premium_rcv_detail_code,remaining_amt, payrec, mode_code,coinsurance_code,class_cd,it_remarks) values</v>
      </c>
      <c r="G1734" s="24" t="str">
        <f t="shared" si="110"/>
        <v>('29Apr250042','050000874529','-44517',(select max(to_number(i.premium_rcv_detail_code))+1
from ins_premium_det i),'-44517','-44517','02', '11000003','00','Request by Mr. Omair Ali 30-Apr-2025');</v>
      </c>
      <c r="H1734" s="25" t="str">
        <f t="shared" si="111"/>
        <v>insert into ins_premium_det (premium_rcv_code,assorted_code, rec_amount,premium_rcv_detail_code,remaining_amt, payrec, mode_code,coinsurance_code,class_cd,it_remarks) values('29Apr250042','050000874529','-44517',(select max(to_number(i.premium_rcv_detail_code))+1
from ins_premium_det i),'-44517','-44517','02', '11000003','00','Request by Mr. Omair Ali 30-Apr-2025');</v>
      </c>
    </row>
    <row r="1735" spans="1:8" ht="105" x14ac:dyDescent="0.25">
      <c r="A1735" t="s">
        <v>9</v>
      </c>
      <c r="B1735" s="1" t="str">
        <f>VLOOKUP(A1735,Sheet5!B:C,2,0)</f>
        <v>050000874530</v>
      </c>
      <c r="C1735" s="13">
        <v>-40118</v>
      </c>
      <c r="D1735" s="22">
        <f t="shared" si="109"/>
        <v>-40118</v>
      </c>
      <c r="E1735" s="21" t="s">
        <v>5912</v>
      </c>
      <c r="F1735" s="23" t="str">
        <f t="shared" si="108"/>
        <v>insert into ins_premium_det (premium_rcv_code,assorted_code, rec_amount,premium_rcv_detail_code,remaining_amt, payrec, mode_code,coinsurance_code,class_cd,it_remarks) values</v>
      </c>
      <c r="G1735" s="24" t="str">
        <f t="shared" si="110"/>
        <v>('29Apr250042','050000874530','-40118',(select max(to_number(i.premium_rcv_detail_code))+1
from ins_premium_det i),'-40118','-40118','02', '11000003','00','Request by Mr. Omair Ali 30-Apr-2025');</v>
      </c>
      <c r="H1735" s="25" t="str">
        <f t="shared" si="111"/>
        <v>insert into ins_premium_det (premium_rcv_code,assorted_code, rec_amount,premium_rcv_detail_code,remaining_amt, payrec, mode_code,coinsurance_code,class_cd,it_remarks) values('29Apr250042','050000874530','-40118',(select max(to_number(i.premium_rcv_detail_code))+1
from ins_premium_det i),'-40118','-40118','02', '11000003','00','Request by Mr. Omair Ali 30-Apr-2025');</v>
      </c>
    </row>
    <row r="1736" spans="1:8" ht="105" x14ac:dyDescent="0.25">
      <c r="A1736" t="s">
        <v>2021</v>
      </c>
      <c r="B1736" s="1" t="str">
        <f>VLOOKUP(A1736,Sheet5!B:C,2,0)</f>
        <v>050000740490</v>
      </c>
      <c r="C1736" s="13">
        <v>2328</v>
      </c>
      <c r="D1736" s="22">
        <f t="shared" si="109"/>
        <v>2328</v>
      </c>
      <c r="E1736" s="21" t="s">
        <v>5912</v>
      </c>
      <c r="F1736" s="23" t="str">
        <f t="shared" si="108"/>
        <v>insert into ins_premium_det (premium_rcv_code,assorted_code, rec_amount,premium_rcv_detail_code,remaining_amt, payrec, mode_code,coinsurance_code,class_cd,it_remarks) values</v>
      </c>
      <c r="G1736" s="24" t="str">
        <f t="shared" si="110"/>
        <v>('29Apr250042','050000740490','2328',(select max(to_number(i.premium_rcv_detail_code))+1
from ins_premium_det i),'2328','2328','02', '11000003','00','Request by Mr. Omair Ali 30-Apr-2025');</v>
      </c>
      <c r="H1736" s="25" t="str">
        <f t="shared" si="111"/>
        <v>insert into ins_premium_det (premium_rcv_code,assorted_code, rec_amount,premium_rcv_detail_code,remaining_amt, payrec, mode_code,coinsurance_code,class_cd,it_remarks) values('29Apr250042','050000740490','2328',(select max(to_number(i.premium_rcv_detail_code))+1
from ins_premium_det i),'2328','2328','02', '11000003','00','Request by Mr. Omair Ali 30-Apr-2025');</v>
      </c>
    </row>
    <row r="1737" spans="1:8" ht="105" x14ac:dyDescent="0.25">
      <c r="A1737" t="s">
        <v>2022</v>
      </c>
      <c r="B1737" s="1" t="str">
        <f>VLOOKUP(A1737,Sheet5!B:C,2,0)</f>
        <v>050000751858</v>
      </c>
      <c r="C1737" s="13">
        <v>2589</v>
      </c>
      <c r="D1737" s="22">
        <f t="shared" si="109"/>
        <v>2589</v>
      </c>
      <c r="E1737" s="21" t="s">
        <v>5912</v>
      </c>
      <c r="F1737" s="23" t="str">
        <f t="shared" si="108"/>
        <v>insert into ins_premium_det (premium_rcv_code,assorted_code, rec_amount,premium_rcv_detail_code,remaining_amt, payrec, mode_code,coinsurance_code,class_cd,it_remarks) values</v>
      </c>
      <c r="G1737" s="24" t="str">
        <f t="shared" si="110"/>
        <v>('29Apr250042','050000751858','2589',(select max(to_number(i.premium_rcv_detail_code))+1
from ins_premium_det i),'2589','2589','02', '11000003','00','Request by Mr. Omair Ali 30-Apr-2025');</v>
      </c>
      <c r="H1737" s="25" t="str">
        <f t="shared" si="111"/>
        <v>insert into ins_premium_det (premium_rcv_code,assorted_code, rec_amount,premium_rcv_detail_code,remaining_amt, payrec, mode_code,coinsurance_code,class_cd,it_remarks) values('29Apr250042','050000751858','2589',(select max(to_number(i.premium_rcv_detail_code))+1
from ins_premium_det i),'2589','2589','02', '11000003','00','Request by Mr. Omair Ali 30-Apr-2025');</v>
      </c>
    </row>
    <row r="1738" spans="1:8" ht="105" x14ac:dyDescent="0.25">
      <c r="A1738" t="s">
        <v>2023</v>
      </c>
      <c r="B1738" s="1" t="str">
        <f>VLOOKUP(A1738,Sheet5!B:C,2,0)</f>
        <v>050000761096</v>
      </c>
      <c r="C1738" s="13">
        <v>2254</v>
      </c>
      <c r="D1738" s="22">
        <f t="shared" si="109"/>
        <v>2254</v>
      </c>
      <c r="E1738" s="21" t="s">
        <v>5912</v>
      </c>
      <c r="F1738" s="23" t="str">
        <f t="shared" si="108"/>
        <v>insert into ins_premium_det (premium_rcv_code,assorted_code, rec_amount,premium_rcv_detail_code,remaining_amt, payrec, mode_code,coinsurance_code,class_cd,it_remarks) values</v>
      </c>
      <c r="G1738" s="24" t="str">
        <f t="shared" si="110"/>
        <v>('29Apr250042','050000761096','2254',(select max(to_number(i.premium_rcv_detail_code))+1
from ins_premium_det i),'2254','2254','02', '11000003','00','Request by Mr. Omair Ali 30-Apr-2025');</v>
      </c>
      <c r="H1738" s="25" t="str">
        <f t="shared" si="111"/>
        <v>insert into ins_premium_det (premium_rcv_code,assorted_code, rec_amount,premium_rcv_detail_code,remaining_amt, payrec, mode_code,coinsurance_code,class_cd,it_remarks) values('29Apr250042','050000761096','2254',(select max(to_number(i.premium_rcv_detail_code))+1
from ins_premium_det i),'2254','2254','02', '11000003','00','Request by Mr. Omair Ali 30-Apr-2025');</v>
      </c>
    </row>
    <row r="1739" spans="1:8" ht="105" x14ac:dyDescent="0.25">
      <c r="A1739" t="s">
        <v>2024</v>
      </c>
      <c r="B1739" s="1" t="str">
        <f>VLOOKUP(A1739,Sheet5!B:C,2,0)</f>
        <v>050000822444</v>
      </c>
      <c r="C1739" s="13">
        <v>-7171</v>
      </c>
      <c r="D1739" s="22">
        <f t="shared" si="109"/>
        <v>-7171</v>
      </c>
      <c r="E1739" s="21" t="s">
        <v>5912</v>
      </c>
      <c r="F1739" s="23" t="str">
        <f t="shared" si="108"/>
        <v>insert into ins_premium_det (premium_rcv_code,assorted_code, rec_amount,premium_rcv_detail_code,remaining_amt, payrec, mode_code,coinsurance_code,class_cd,it_remarks) values</v>
      </c>
      <c r="G1739" s="24" t="str">
        <f t="shared" si="110"/>
        <v>('29Apr250042','050000822444','-7171',(select max(to_number(i.premium_rcv_detail_code))+1
from ins_premium_det i),'-7171','-7171','02', '11000003','00','Request by Mr. Omair Ali 30-Apr-2025');</v>
      </c>
      <c r="H1739" s="25" t="str">
        <f t="shared" si="111"/>
        <v>insert into ins_premium_det (premium_rcv_code,assorted_code, rec_amount,premium_rcv_detail_code,remaining_amt, payrec, mode_code,coinsurance_code,class_cd,it_remarks) values('29Apr250042','050000822444','-7171',(select max(to_number(i.premium_rcv_detail_code))+1
from ins_premium_det i),'-7171','-7171','02', '11000003','00','Request by Mr. Omair Ali 30-Apr-2025');</v>
      </c>
    </row>
    <row r="1740" spans="1:8" ht="105" x14ac:dyDescent="0.25">
      <c r="A1740" s="17" t="s">
        <v>3977</v>
      </c>
      <c r="B1740" s="1" t="str">
        <f>VLOOKUP(A1740,Sheet5!B:C,2,0)</f>
        <v>040000181650</v>
      </c>
      <c r="C1740" s="13">
        <v>6000</v>
      </c>
      <c r="D1740" s="22">
        <f t="shared" si="109"/>
        <v>6000</v>
      </c>
      <c r="E1740" s="21" t="s">
        <v>5912</v>
      </c>
      <c r="F1740" s="23" t="str">
        <f t="shared" si="108"/>
        <v>insert into ins_premium_det (premium_rcv_code,assorted_code, rec_amount,premium_rcv_detail_code,remaining_amt, payrec, mode_code,coinsurance_code,class_cd,it_remarks) values</v>
      </c>
      <c r="G1740" s="24" t="str">
        <f t="shared" si="110"/>
        <v>('29Apr250042','040000181650','6000',(select max(to_number(i.premium_rcv_detail_code))+1
from ins_premium_det i),'6000','6000','02', '11000003','00','Request by Mr. Omair Ali 30-Apr-2025');</v>
      </c>
      <c r="H1740" s="25" t="str">
        <f t="shared" si="111"/>
        <v>insert into ins_premium_det (premium_rcv_code,assorted_code, rec_amount,premium_rcv_detail_code,remaining_amt, payrec, mode_code,coinsurance_code,class_cd,it_remarks) values('29Apr250042','040000181650','6000',(select max(to_number(i.premium_rcv_detail_code))+1
from ins_premium_det i),'6000','6000','02', '11000003','00','Request by Mr. Omair Ali 30-Apr-2025');</v>
      </c>
    </row>
    <row r="1741" spans="1:8" ht="105" x14ac:dyDescent="0.25">
      <c r="A1741" s="17" t="s">
        <v>3978</v>
      </c>
      <c r="B1741" s="1" t="str">
        <f>VLOOKUP(A1741,Sheet5!B:C,2,0)</f>
        <v>050000878624</v>
      </c>
      <c r="C1741" s="13">
        <v>-6000</v>
      </c>
      <c r="D1741" s="22">
        <f t="shared" si="109"/>
        <v>-6000</v>
      </c>
      <c r="E1741" s="21" t="s">
        <v>5912</v>
      </c>
      <c r="F1741" s="23" t="str">
        <f t="shared" si="108"/>
        <v>insert into ins_premium_det (premium_rcv_code,assorted_code, rec_amount,premium_rcv_detail_code,remaining_amt, payrec, mode_code,coinsurance_code,class_cd,it_remarks) values</v>
      </c>
      <c r="G1741" s="24" t="str">
        <f t="shared" si="110"/>
        <v>('29Apr250042','050000878624','-6000',(select max(to_number(i.premium_rcv_detail_code))+1
from ins_premium_det i),'-6000','-6000','02', '11000003','00','Request by Mr. Omair Ali 30-Apr-2025');</v>
      </c>
      <c r="H1741" s="25" t="str">
        <f t="shared" si="111"/>
        <v>insert into ins_premium_det (premium_rcv_code,assorted_code, rec_amount,premium_rcv_detail_code,remaining_amt, payrec, mode_code,coinsurance_code,class_cd,it_remarks) values('29Apr250042','050000878624','-6000',(select max(to_number(i.premium_rcv_detail_code))+1
from ins_premium_det i),'-6000','-6000','02', '11000003','00','Request by Mr. Omair Ali 30-Apr-2025');</v>
      </c>
    </row>
    <row r="1742" spans="1:8" ht="105" x14ac:dyDescent="0.25">
      <c r="A1742" s="17" t="s">
        <v>3979</v>
      </c>
      <c r="B1742" s="1" t="str">
        <f>VLOOKUP(A1742,Sheet5!B:C,2,0)</f>
        <v>040000181655</v>
      </c>
      <c r="C1742" s="13">
        <v>6000</v>
      </c>
      <c r="D1742" s="22">
        <f t="shared" si="109"/>
        <v>6000</v>
      </c>
      <c r="E1742" s="21" t="s">
        <v>5912</v>
      </c>
      <c r="F1742" s="23" t="str">
        <f t="shared" si="108"/>
        <v>insert into ins_premium_det (premium_rcv_code,assorted_code, rec_amount,premium_rcv_detail_code,remaining_amt, payrec, mode_code,coinsurance_code,class_cd,it_remarks) values</v>
      </c>
      <c r="G1742" s="24" t="str">
        <f t="shared" si="110"/>
        <v>('29Apr250042','040000181655','6000',(select max(to_number(i.premium_rcv_detail_code))+1
from ins_premium_det i),'6000','6000','02', '11000003','00','Request by Mr. Omair Ali 30-Apr-2025');</v>
      </c>
      <c r="H1742" s="25" t="str">
        <f t="shared" si="111"/>
        <v>insert into ins_premium_det (premium_rcv_code,assorted_code, rec_amount,premium_rcv_detail_code,remaining_amt, payrec, mode_code,coinsurance_code,class_cd,it_remarks) values('29Apr250042','040000181655','6000',(select max(to_number(i.premium_rcv_detail_code))+1
from ins_premium_det i),'6000','6000','02', '11000003','00','Request by Mr. Omair Ali 30-Apr-2025');</v>
      </c>
    </row>
    <row r="1743" spans="1:8" ht="105" x14ac:dyDescent="0.25">
      <c r="A1743" s="17" t="s">
        <v>3980</v>
      </c>
      <c r="B1743" s="1" t="str">
        <f>VLOOKUP(A1743,Sheet5!B:C,2,0)</f>
        <v>050000878829</v>
      </c>
      <c r="C1743" s="13">
        <v>-6000</v>
      </c>
      <c r="D1743" s="22">
        <f t="shared" si="109"/>
        <v>-6000</v>
      </c>
      <c r="E1743" s="21" t="s">
        <v>5912</v>
      </c>
      <c r="F1743" s="23" t="str">
        <f t="shared" si="108"/>
        <v>insert into ins_premium_det (premium_rcv_code,assorted_code, rec_amount,premium_rcv_detail_code,remaining_amt, payrec, mode_code,coinsurance_code,class_cd,it_remarks) values</v>
      </c>
      <c r="G1743" s="24" t="str">
        <f t="shared" si="110"/>
        <v>('29Apr250042','050000878829','-6000',(select max(to_number(i.premium_rcv_detail_code))+1
from ins_premium_det i),'-6000','-6000','02', '11000003','00','Request by Mr. Omair Ali 30-Apr-2025');</v>
      </c>
      <c r="H1743" s="25" t="str">
        <f t="shared" si="111"/>
        <v>insert into ins_premium_det (premium_rcv_code,assorted_code, rec_amount,premium_rcv_detail_code,remaining_amt, payrec, mode_code,coinsurance_code,class_cd,it_remarks) values('29Apr250042','050000878829','-6000',(select max(to_number(i.premium_rcv_detail_code))+1
from ins_premium_det i),'-6000','-6000','02', '11000003','00','Request by Mr. Omair Ali 30-Apr-2025');</v>
      </c>
    </row>
    <row r="1744" spans="1:8" ht="105" x14ac:dyDescent="0.25">
      <c r="A1744" s="17" t="s">
        <v>3981</v>
      </c>
      <c r="B1744" s="1" t="str">
        <f>VLOOKUP(A1744,Sheet5!B:C,2,0)</f>
        <v>040000181656</v>
      </c>
      <c r="C1744" s="13">
        <v>12000</v>
      </c>
      <c r="D1744" s="22">
        <f t="shared" si="109"/>
        <v>12000</v>
      </c>
      <c r="E1744" s="21" t="s">
        <v>5912</v>
      </c>
      <c r="F1744" s="23" t="str">
        <f t="shared" si="108"/>
        <v>insert into ins_premium_det (premium_rcv_code,assorted_code, rec_amount,premium_rcv_detail_code,remaining_amt, payrec, mode_code,coinsurance_code,class_cd,it_remarks) values</v>
      </c>
      <c r="G1744" s="24" t="str">
        <f t="shared" si="110"/>
        <v>('29Apr250042','040000181656','12000',(select max(to_number(i.premium_rcv_detail_code))+1
from ins_premium_det i),'12000','12000','02', '11000003','00','Request by Mr. Omair Ali 30-Apr-2025');</v>
      </c>
      <c r="H1744" s="25" t="str">
        <f t="shared" si="111"/>
        <v>insert into ins_premium_det (premium_rcv_code,assorted_code, rec_amount,premium_rcv_detail_code,remaining_amt, payrec, mode_code,coinsurance_code,class_cd,it_remarks) values('29Apr250042','040000181656','12000',(select max(to_number(i.premium_rcv_detail_code))+1
from ins_premium_det i),'12000','12000','02', '11000003','00','Request by Mr. Omair Ali 30-Apr-2025');</v>
      </c>
    </row>
    <row r="1745" spans="1:8" ht="105" x14ac:dyDescent="0.25">
      <c r="A1745" s="17" t="s">
        <v>3982</v>
      </c>
      <c r="B1745" s="1" t="str">
        <f>VLOOKUP(A1745,Sheet5!B:C,2,0)</f>
        <v>050000878853</v>
      </c>
      <c r="C1745" s="13">
        <v>-12000</v>
      </c>
      <c r="D1745" s="22">
        <f t="shared" si="109"/>
        <v>-12000</v>
      </c>
      <c r="E1745" s="21" t="s">
        <v>5912</v>
      </c>
      <c r="F1745" s="23" t="str">
        <f t="shared" si="108"/>
        <v>insert into ins_premium_det (premium_rcv_code,assorted_code, rec_amount,premium_rcv_detail_code,remaining_amt, payrec, mode_code,coinsurance_code,class_cd,it_remarks) values</v>
      </c>
      <c r="G1745" s="24" t="str">
        <f t="shared" si="110"/>
        <v>('29Apr250042','050000878853','-12000',(select max(to_number(i.premium_rcv_detail_code))+1
from ins_premium_det i),'-12000','-12000','02', '11000003','00','Request by Mr. Omair Ali 30-Apr-2025');</v>
      </c>
      <c r="H1745" s="25" t="str">
        <f t="shared" si="111"/>
        <v>insert into ins_premium_det (premium_rcv_code,assorted_code, rec_amount,premium_rcv_detail_code,remaining_amt, payrec, mode_code,coinsurance_code,class_cd,it_remarks) values('29Apr250042','050000878853','-12000',(select max(to_number(i.premium_rcv_detail_code))+1
from ins_premium_det i),'-12000','-12000','02', '11000003','00','Request by Mr. Omair Ali 30-Apr-2025');</v>
      </c>
    </row>
    <row r="1746" spans="1:8" ht="105" x14ac:dyDescent="0.25">
      <c r="A1746" s="17" t="s">
        <v>3983</v>
      </c>
      <c r="B1746" s="1" t="str">
        <f>VLOOKUP(A1746,Sheet5!B:C,2,0)</f>
        <v>040000181651</v>
      </c>
      <c r="C1746" s="13">
        <v>12000</v>
      </c>
      <c r="D1746" s="22">
        <f t="shared" si="109"/>
        <v>12000</v>
      </c>
      <c r="E1746" s="21" t="s">
        <v>5912</v>
      </c>
      <c r="F1746" s="23" t="str">
        <f t="shared" si="108"/>
        <v>insert into ins_premium_det (premium_rcv_code,assorted_code, rec_amount,premium_rcv_detail_code,remaining_amt, payrec, mode_code,coinsurance_code,class_cd,it_remarks) values</v>
      </c>
      <c r="G1746" s="24" t="str">
        <f t="shared" si="110"/>
        <v>('29Apr250042','040000181651','12000',(select max(to_number(i.premium_rcv_detail_code))+1
from ins_premium_det i),'12000','12000','02', '11000003','00','Request by Mr. Omair Ali 30-Apr-2025');</v>
      </c>
      <c r="H1746" s="25" t="str">
        <f t="shared" si="111"/>
        <v>insert into ins_premium_det (premium_rcv_code,assorted_code, rec_amount,premium_rcv_detail_code,remaining_amt, payrec, mode_code,coinsurance_code,class_cd,it_remarks) values('29Apr250042','040000181651','12000',(select max(to_number(i.premium_rcv_detail_code))+1
from ins_premium_det i),'12000','12000','02', '11000003','00','Request by Mr. Omair Ali 30-Apr-2025');</v>
      </c>
    </row>
    <row r="1747" spans="1:8" ht="105" x14ac:dyDescent="0.25">
      <c r="A1747" s="17" t="s">
        <v>3984</v>
      </c>
      <c r="B1747" s="1" t="str">
        <f>VLOOKUP(A1747,Sheet5!B:C,2,0)</f>
        <v>050000878854</v>
      </c>
      <c r="C1747" s="13">
        <v>-12000</v>
      </c>
      <c r="D1747" s="22">
        <f t="shared" si="109"/>
        <v>-12000</v>
      </c>
      <c r="E1747" s="21" t="s">
        <v>5912</v>
      </c>
      <c r="F1747" s="23" t="str">
        <f t="shared" si="108"/>
        <v>insert into ins_premium_det (premium_rcv_code,assorted_code, rec_amount,premium_rcv_detail_code,remaining_amt, payrec, mode_code,coinsurance_code,class_cd,it_remarks) values</v>
      </c>
      <c r="G1747" s="24" t="str">
        <f t="shared" si="110"/>
        <v>('29Apr250042','050000878854','-12000',(select max(to_number(i.premium_rcv_detail_code))+1
from ins_premium_det i),'-12000','-12000','02', '11000003','00','Request by Mr. Omair Ali 30-Apr-2025');</v>
      </c>
      <c r="H1747" s="25" t="str">
        <f t="shared" si="111"/>
        <v>insert into ins_premium_det (premium_rcv_code,assorted_code, rec_amount,premium_rcv_detail_code,remaining_amt, payrec, mode_code,coinsurance_code,class_cd,it_remarks) values('29Apr250042','050000878854','-12000',(select max(to_number(i.premium_rcv_detail_code))+1
from ins_premium_det i),'-12000','-12000','02', '11000003','00','Request by Mr. Omair Ali 30-Apr-2025');</v>
      </c>
    </row>
    <row r="1748" spans="1:8" ht="105" x14ac:dyDescent="0.25">
      <c r="A1748" s="17" t="s">
        <v>3985</v>
      </c>
      <c r="B1748" s="1" t="str">
        <f>VLOOKUP(A1748,Sheet5!B:C,2,0)</f>
        <v>040000181657</v>
      </c>
      <c r="C1748" s="13">
        <v>9428</v>
      </c>
      <c r="D1748" s="22">
        <f t="shared" si="109"/>
        <v>9428</v>
      </c>
      <c r="E1748" s="21" t="s">
        <v>5912</v>
      </c>
      <c r="F1748" s="23" t="str">
        <f t="shared" si="108"/>
        <v>insert into ins_premium_det (premium_rcv_code,assorted_code, rec_amount,premium_rcv_detail_code,remaining_amt, payrec, mode_code,coinsurance_code,class_cd,it_remarks) values</v>
      </c>
      <c r="G1748" s="24" t="str">
        <f t="shared" si="110"/>
        <v>('29Apr250042','040000181657','9428',(select max(to_number(i.premium_rcv_detail_code))+1
from ins_premium_det i),'9428','9428','02', '11000003','00','Request by Mr. Omair Ali 30-Apr-2025');</v>
      </c>
      <c r="H1748" s="25" t="str">
        <f t="shared" si="111"/>
        <v>insert into ins_premium_det (premium_rcv_code,assorted_code, rec_amount,premium_rcv_detail_code,remaining_amt, payrec, mode_code,coinsurance_code,class_cd,it_remarks) values('29Apr250042','040000181657','9428',(select max(to_number(i.premium_rcv_detail_code))+1
from ins_premium_det i),'9428','9428','02', '11000003','00','Request by Mr. Omair Ali 30-Apr-2025');</v>
      </c>
    </row>
    <row r="1749" spans="1:8" ht="105" x14ac:dyDescent="0.25">
      <c r="A1749" s="17" t="s">
        <v>3986</v>
      </c>
      <c r="B1749" s="1" t="str">
        <f>VLOOKUP(A1749,Sheet5!B:C,2,0)</f>
        <v>050000878855</v>
      </c>
      <c r="C1749" s="13">
        <v>-9428</v>
      </c>
      <c r="D1749" s="22">
        <f t="shared" si="109"/>
        <v>-9428</v>
      </c>
      <c r="E1749" s="21" t="s">
        <v>5912</v>
      </c>
      <c r="F1749" s="23" t="str">
        <f t="shared" si="108"/>
        <v>insert into ins_premium_det (premium_rcv_code,assorted_code, rec_amount,premium_rcv_detail_code,remaining_amt, payrec, mode_code,coinsurance_code,class_cd,it_remarks) values</v>
      </c>
      <c r="G1749" s="24" t="str">
        <f t="shared" si="110"/>
        <v>('29Apr250042','050000878855','-9428',(select max(to_number(i.premium_rcv_detail_code))+1
from ins_premium_det i),'-9428','-9428','02', '11000003','00','Request by Mr. Omair Ali 30-Apr-2025');</v>
      </c>
      <c r="H1749" s="25" t="str">
        <f t="shared" si="111"/>
        <v>insert into ins_premium_det (premium_rcv_code,assorted_code, rec_amount,premium_rcv_detail_code,remaining_amt, payrec, mode_code,coinsurance_code,class_cd,it_remarks) values('29Apr250042','050000878855','-9428',(select max(to_number(i.premium_rcv_detail_code))+1
from ins_premium_det i),'-9428','-9428','02', '11000003','00','Request by Mr. Omair Ali 30-Apr-2025');</v>
      </c>
    </row>
    <row r="1750" spans="1:8" ht="105" x14ac:dyDescent="0.25">
      <c r="A1750" s="17" t="s">
        <v>3987</v>
      </c>
      <c r="B1750" s="1" t="str">
        <f>VLOOKUP(A1750,Sheet5!B:C,2,0)</f>
        <v>040000181615</v>
      </c>
      <c r="C1750" s="13">
        <v>8572</v>
      </c>
      <c r="D1750" s="22">
        <f t="shared" si="109"/>
        <v>8572</v>
      </c>
      <c r="E1750" s="21" t="s">
        <v>5912</v>
      </c>
      <c r="F1750" s="23" t="str">
        <f t="shared" si="108"/>
        <v>insert into ins_premium_det (premium_rcv_code,assorted_code, rec_amount,premium_rcv_detail_code,remaining_amt, payrec, mode_code,coinsurance_code,class_cd,it_remarks) values</v>
      </c>
      <c r="G1750" s="24" t="str">
        <f t="shared" si="110"/>
        <v>('29Apr250042','040000181615','8572',(select max(to_number(i.premium_rcv_detail_code))+1
from ins_premium_det i),'8572','8572','02', '11000003','00','Request by Mr. Omair Ali 30-Apr-2025');</v>
      </c>
      <c r="H1750" s="25" t="str">
        <f t="shared" si="111"/>
        <v>insert into ins_premium_det (premium_rcv_code,assorted_code, rec_amount,premium_rcv_detail_code,remaining_amt, payrec, mode_code,coinsurance_code,class_cd,it_remarks) values('29Apr250042','040000181615','8572',(select max(to_number(i.premium_rcv_detail_code))+1
from ins_premium_det i),'8572','8572','02', '11000003','00','Request by Mr. Omair Ali 30-Apr-2025');</v>
      </c>
    </row>
    <row r="1751" spans="1:8" ht="105" x14ac:dyDescent="0.25">
      <c r="A1751" s="17" t="s">
        <v>3988</v>
      </c>
      <c r="B1751" s="1" t="str">
        <f>VLOOKUP(A1751,Sheet5!B:C,2,0)</f>
        <v>050000879114</v>
      </c>
      <c r="C1751" s="13">
        <v>-8572</v>
      </c>
      <c r="D1751" s="22">
        <f t="shared" si="109"/>
        <v>-8572</v>
      </c>
      <c r="E1751" s="21" t="s">
        <v>5912</v>
      </c>
      <c r="F1751" s="23" t="str">
        <f t="shared" si="108"/>
        <v>insert into ins_premium_det (premium_rcv_code,assorted_code, rec_amount,premium_rcv_detail_code,remaining_amt, payrec, mode_code,coinsurance_code,class_cd,it_remarks) values</v>
      </c>
      <c r="G1751" s="24" t="str">
        <f t="shared" si="110"/>
        <v>('29Apr250042','050000879114','-8572',(select max(to_number(i.premium_rcv_detail_code))+1
from ins_premium_det i),'-8572','-8572','02', '11000003','00','Request by Mr. Omair Ali 30-Apr-2025');</v>
      </c>
      <c r="H1751" s="25" t="str">
        <f t="shared" si="111"/>
        <v>insert into ins_premium_det (premium_rcv_code,assorted_code, rec_amount,premium_rcv_detail_code,remaining_amt, payrec, mode_code,coinsurance_code,class_cd,it_remarks) values('29Apr250042','050000879114','-8572',(select max(to_number(i.premium_rcv_detail_code))+1
from ins_premium_det i),'-8572','-8572','02', '11000003','00','Request by Mr. Omair Ali 30-Apr-2025');</v>
      </c>
    </row>
    <row r="1752" spans="1:8" x14ac:dyDescent="0.25">
      <c r="D1752" s="26">
        <f>SUM(D2:D1751)</f>
        <v>0</v>
      </c>
    </row>
  </sheetData>
  <conditionalFormatting sqref="A1">
    <cfRule type="duplicateValues" dxfId="3" priority="1"/>
  </conditionalFormatting>
  <conditionalFormatting sqref="A2:B2 B3:B1751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55B58-243E-4AC9-9CA9-282DD2A553AA}">
  <dimension ref="A1:C1816"/>
  <sheetViews>
    <sheetView workbookViewId="0">
      <selection activeCell="B9" sqref="B9"/>
    </sheetView>
  </sheetViews>
  <sheetFormatPr defaultColWidth="7.85546875" defaultRowHeight="15" x14ac:dyDescent="0.25"/>
  <cols>
    <col min="1" max="1" width="5" bestFit="1" customWidth="1"/>
    <col min="2" max="2" width="45.5703125" bestFit="1" customWidth="1"/>
    <col min="3" max="3" width="15" bestFit="1" customWidth="1"/>
  </cols>
  <sheetData>
    <row r="1" spans="1:3" s="18" customFormat="1" ht="12" x14ac:dyDescent="0.2">
      <c r="A1" s="18" t="s">
        <v>4026</v>
      </c>
      <c r="B1" s="18" t="s">
        <v>4027</v>
      </c>
      <c r="C1" s="18" t="s">
        <v>4028</v>
      </c>
    </row>
    <row r="2" spans="1:3" x14ac:dyDescent="0.25">
      <c r="A2">
        <v>1</v>
      </c>
      <c r="B2" t="s">
        <v>12</v>
      </c>
      <c r="C2" t="s">
        <v>4029</v>
      </c>
    </row>
    <row r="3" spans="1:3" x14ac:dyDescent="0.25">
      <c r="A3">
        <v>2</v>
      </c>
      <c r="B3" t="s">
        <v>26</v>
      </c>
      <c r="C3" t="s">
        <v>4030</v>
      </c>
    </row>
    <row r="4" spans="1:3" x14ac:dyDescent="0.25">
      <c r="A4">
        <v>3</v>
      </c>
      <c r="B4" t="s">
        <v>15</v>
      </c>
      <c r="C4" t="s">
        <v>4031</v>
      </c>
    </row>
    <row r="5" spans="1:3" x14ac:dyDescent="0.25">
      <c r="A5">
        <v>4</v>
      </c>
      <c r="B5" t="s">
        <v>4032</v>
      </c>
      <c r="C5" t="s">
        <v>4033</v>
      </c>
    </row>
    <row r="6" spans="1:3" x14ac:dyDescent="0.25">
      <c r="A6">
        <v>5</v>
      </c>
      <c r="B6" t="s">
        <v>124</v>
      </c>
      <c r="C6" t="s">
        <v>4034</v>
      </c>
    </row>
    <row r="7" spans="1:3" x14ac:dyDescent="0.25">
      <c r="A7">
        <v>6</v>
      </c>
      <c r="B7" t="s">
        <v>40</v>
      </c>
      <c r="C7" t="s">
        <v>4035</v>
      </c>
    </row>
    <row r="8" spans="1:3" x14ac:dyDescent="0.25">
      <c r="A8">
        <v>7</v>
      </c>
      <c r="B8" t="s">
        <v>36</v>
      </c>
      <c r="C8" t="s">
        <v>4036</v>
      </c>
    </row>
    <row r="9" spans="1:3" x14ac:dyDescent="0.25">
      <c r="A9">
        <v>8</v>
      </c>
      <c r="B9" t="s">
        <v>56</v>
      </c>
      <c r="C9" t="s">
        <v>4037</v>
      </c>
    </row>
    <row r="10" spans="1:3" x14ac:dyDescent="0.25">
      <c r="A10">
        <v>9</v>
      </c>
      <c r="B10" t="s">
        <v>55</v>
      </c>
      <c r="C10" t="s">
        <v>4038</v>
      </c>
    </row>
    <row r="11" spans="1:3" x14ac:dyDescent="0.25">
      <c r="A11">
        <v>10</v>
      </c>
      <c r="B11" t="s">
        <v>1294</v>
      </c>
      <c r="C11" t="s">
        <v>4039</v>
      </c>
    </row>
    <row r="12" spans="1:3" x14ac:dyDescent="0.25">
      <c r="A12">
        <v>11</v>
      </c>
      <c r="B12" t="s">
        <v>1460</v>
      </c>
      <c r="C12" t="s">
        <v>4040</v>
      </c>
    </row>
    <row r="13" spans="1:3" x14ac:dyDescent="0.25">
      <c r="A13">
        <v>12</v>
      </c>
      <c r="B13" t="s">
        <v>88</v>
      </c>
      <c r="C13" t="s">
        <v>4041</v>
      </c>
    </row>
    <row r="14" spans="1:3" x14ac:dyDescent="0.25">
      <c r="A14">
        <v>13</v>
      </c>
      <c r="B14" t="s">
        <v>62</v>
      </c>
      <c r="C14" t="s">
        <v>4042</v>
      </c>
    </row>
    <row r="15" spans="1:3" x14ac:dyDescent="0.25">
      <c r="A15">
        <v>14</v>
      </c>
      <c r="B15" t="s">
        <v>112</v>
      </c>
      <c r="C15" t="s">
        <v>4043</v>
      </c>
    </row>
    <row r="16" spans="1:3" x14ac:dyDescent="0.25">
      <c r="A16">
        <v>15</v>
      </c>
      <c r="B16" t="s">
        <v>45</v>
      </c>
      <c r="C16" t="s">
        <v>4044</v>
      </c>
    </row>
    <row r="17" spans="1:3" x14ac:dyDescent="0.25">
      <c r="A17">
        <v>16</v>
      </c>
      <c r="B17" t="s">
        <v>27</v>
      </c>
      <c r="C17" t="s">
        <v>4045</v>
      </c>
    </row>
    <row r="18" spans="1:3" x14ac:dyDescent="0.25">
      <c r="A18">
        <v>17</v>
      </c>
      <c r="B18" t="s">
        <v>28</v>
      </c>
      <c r="C18" t="s">
        <v>4046</v>
      </c>
    </row>
    <row r="19" spans="1:3" x14ac:dyDescent="0.25">
      <c r="A19">
        <v>18</v>
      </c>
      <c r="B19" t="s">
        <v>1293</v>
      </c>
      <c r="C19" t="s">
        <v>4047</v>
      </c>
    </row>
    <row r="20" spans="1:3" x14ac:dyDescent="0.25">
      <c r="A20">
        <v>19</v>
      </c>
      <c r="B20" t="s">
        <v>43</v>
      </c>
      <c r="C20" t="s">
        <v>4048</v>
      </c>
    </row>
    <row r="21" spans="1:3" x14ac:dyDescent="0.25">
      <c r="A21">
        <v>20</v>
      </c>
      <c r="B21" t="s">
        <v>19</v>
      </c>
      <c r="C21" t="s">
        <v>4049</v>
      </c>
    </row>
    <row r="22" spans="1:3" x14ac:dyDescent="0.25">
      <c r="A22">
        <v>21</v>
      </c>
      <c r="B22" t="s">
        <v>71</v>
      </c>
      <c r="C22" t="s">
        <v>4050</v>
      </c>
    </row>
    <row r="23" spans="1:3" x14ac:dyDescent="0.25">
      <c r="A23">
        <v>22</v>
      </c>
      <c r="B23" t="s">
        <v>63</v>
      </c>
      <c r="C23" t="s">
        <v>4051</v>
      </c>
    </row>
    <row r="24" spans="1:3" x14ac:dyDescent="0.25">
      <c r="A24">
        <v>23</v>
      </c>
      <c r="B24" t="s">
        <v>80</v>
      </c>
      <c r="C24" t="s">
        <v>4052</v>
      </c>
    </row>
    <row r="25" spans="1:3" x14ac:dyDescent="0.25">
      <c r="A25">
        <v>24</v>
      </c>
      <c r="B25" t="s">
        <v>89</v>
      </c>
      <c r="C25" t="s">
        <v>4053</v>
      </c>
    </row>
    <row r="26" spans="1:3" x14ac:dyDescent="0.25">
      <c r="A26">
        <v>25</v>
      </c>
      <c r="B26" t="s">
        <v>174</v>
      </c>
      <c r="C26" t="s">
        <v>4054</v>
      </c>
    </row>
    <row r="27" spans="1:3" x14ac:dyDescent="0.25">
      <c r="A27">
        <v>26</v>
      </c>
      <c r="B27" t="s">
        <v>205</v>
      </c>
      <c r="C27" t="s">
        <v>4055</v>
      </c>
    </row>
    <row r="28" spans="1:3" x14ac:dyDescent="0.25">
      <c r="A28">
        <v>27</v>
      </c>
      <c r="B28" t="s">
        <v>102</v>
      </c>
      <c r="C28" t="s">
        <v>4056</v>
      </c>
    </row>
    <row r="29" spans="1:3" x14ac:dyDescent="0.25">
      <c r="A29">
        <v>28</v>
      </c>
      <c r="B29" t="s">
        <v>60</v>
      </c>
      <c r="C29" t="s">
        <v>4057</v>
      </c>
    </row>
    <row r="30" spans="1:3" x14ac:dyDescent="0.25">
      <c r="A30">
        <v>29</v>
      </c>
      <c r="B30" t="s">
        <v>206</v>
      </c>
      <c r="C30" t="s">
        <v>4058</v>
      </c>
    </row>
    <row r="31" spans="1:3" x14ac:dyDescent="0.25">
      <c r="A31">
        <v>30</v>
      </c>
      <c r="B31" t="s">
        <v>92</v>
      </c>
      <c r="C31" t="s">
        <v>4059</v>
      </c>
    </row>
    <row r="32" spans="1:3" x14ac:dyDescent="0.25">
      <c r="A32">
        <v>31</v>
      </c>
      <c r="B32" t="s">
        <v>383</v>
      </c>
      <c r="C32" t="s">
        <v>4060</v>
      </c>
    </row>
    <row r="33" spans="1:3" x14ac:dyDescent="0.25">
      <c r="A33">
        <v>32</v>
      </c>
      <c r="B33" t="s">
        <v>349</v>
      </c>
      <c r="C33" t="s">
        <v>4061</v>
      </c>
    </row>
    <row r="34" spans="1:3" x14ac:dyDescent="0.25">
      <c r="A34">
        <v>33</v>
      </c>
      <c r="B34" t="s">
        <v>185</v>
      </c>
      <c r="C34" t="s">
        <v>4062</v>
      </c>
    </row>
    <row r="35" spans="1:3" x14ac:dyDescent="0.25">
      <c r="A35">
        <v>34</v>
      </c>
      <c r="B35" t="s">
        <v>4063</v>
      </c>
      <c r="C35" t="s">
        <v>4064</v>
      </c>
    </row>
    <row r="36" spans="1:3" x14ac:dyDescent="0.25">
      <c r="A36">
        <v>35</v>
      </c>
      <c r="B36" t="s">
        <v>125</v>
      </c>
      <c r="C36" t="s">
        <v>4065</v>
      </c>
    </row>
    <row r="37" spans="1:3" x14ac:dyDescent="0.25">
      <c r="A37">
        <v>36</v>
      </c>
      <c r="B37" t="s">
        <v>351</v>
      </c>
      <c r="C37" t="s">
        <v>4066</v>
      </c>
    </row>
    <row r="38" spans="1:3" x14ac:dyDescent="0.25">
      <c r="A38">
        <v>37</v>
      </c>
      <c r="B38" t="s">
        <v>218</v>
      </c>
      <c r="C38" t="s">
        <v>4067</v>
      </c>
    </row>
    <row r="39" spans="1:3" x14ac:dyDescent="0.25">
      <c r="A39">
        <v>38</v>
      </c>
      <c r="B39" t="s">
        <v>91</v>
      </c>
      <c r="C39" t="s">
        <v>4068</v>
      </c>
    </row>
    <row r="40" spans="1:3" x14ac:dyDescent="0.25">
      <c r="A40">
        <v>39</v>
      </c>
      <c r="B40" t="s">
        <v>197</v>
      </c>
      <c r="C40" t="s">
        <v>4069</v>
      </c>
    </row>
    <row r="41" spans="1:3" x14ac:dyDescent="0.25">
      <c r="A41">
        <v>40</v>
      </c>
      <c r="B41" t="s">
        <v>69</v>
      </c>
      <c r="C41" t="s">
        <v>4070</v>
      </c>
    </row>
    <row r="42" spans="1:3" x14ac:dyDescent="0.25">
      <c r="A42">
        <v>41</v>
      </c>
      <c r="B42" t="s">
        <v>268</v>
      </c>
      <c r="C42" t="s">
        <v>4071</v>
      </c>
    </row>
    <row r="43" spans="1:3" x14ac:dyDescent="0.25">
      <c r="A43">
        <v>42</v>
      </c>
      <c r="B43" t="s">
        <v>41</v>
      </c>
      <c r="C43" t="s">
        <v>4072</v>
      </c>
    </row>
    <row r="44" spans="1:3" x14ac:dyDescent="0.25">
      <c r="A44">
        <v>43</v>
      </c>
      <c r="B44" t="s">
        <v>264</v>
      </c>
      <c r="C44" t="s">
        <v>4073</v>
      </c>
    </row>
    <row r="45" spans="1:3" x14ac:dyDescent="0.25">
      <c r="A45">
        <v>44</v>
      </c>
      <c r="B45" t="s">
        <v>51</v>
      </c>
      <c r="C45" t="s">
        <v>4074</v>
      </c>
    </row>
    <row r="46" spans="1:3" x14ac:dyDescent="0.25">
      <c r="A46">
        <v>45</v>
      </c>
      <c r="B46" t="s">
        <v>108</v>
      </c>
      <c r="C46" t="s">
        <v>4075</v>
      </c>
    </row>
    <row r="47" spans="1:3" x14ac:dyDescent="0.25">
      <c r="A47">
        <v>46</v>
      </c>
      <c r="B47" t="s">
        <v>23</v>
      </c>
      <c r="C47" t="s">
        <v>4076</v>
      </c>
    </row>
    <row r="48" spans="1:3" x14ac:dyDescent="0.25">
      <c r="A48">
        <v>47</v>
      </c>
      <c r="B48" t="s">
        <v>32</v>
      </c>
      <c r="C48" t="s">
        <v>4077</v>
      </c>
    </row>
    <row r="49" spans="1:3" x14ac:dyDescent="0.25">
      <c r="A49">
        <v>48</v>
      </c>
      <c r="B49" t="s">
        <v>39</v>
      </c>
      <c r="C49" t="s">
        <v>4078</v>
      </c>
    </row>
    <row r="50" spans="1:3" x14ac:dyDescent="0.25">
      <c r="A50">
        <v>49</v>
      </c>
      <c r="B50" t="s">
        <v>44</v>
      </c>
      <c r="C50" t="s">
        <v>4079</v>
      </c>
    </row>
    <row r="51" spans="1:3" x14ac:dyDescent="0.25">
      <c r="A51">
        <v>50</v>
      </c>
      <c r="B51" t="s">
        <v>65</v>
      </c>
      <c r="C51" t="s">
        <v>4080</v>
      </c>
    </row>
    <row r="52" spans="1:3" x14ac:dyDescent="0.25">
      <c r="A52">
        <v>51</v>
      </c>
      <c r="B52" t="s">
        <v>77</v>
      </c>
      <c r="C52" t="s">
        <v>4081</v>
      </c>
    </row>
    <row r="53" spans="1:3" x14ac:dyDescent="0.25">
      <c r="A53">
        <v>52</v>
      </c>
      <c r="B53" t="s">
        <v>74</v>
      </c>
      <c r="C53" t="s">
        <v>4082</v>
      </c>
    </row>
    <row r="54" spans="1:3" x14ac:dyDescent="0.25">
      <c r="A54">
        <v>53</v>
      </c>
      <c r="B54" t="s">
        <v>68</v>
      </c>
      <c r="C54" t="s">
        <v>4083</v>
      </c>
    </row>
    <row r="55" spans="1:3" x14ac:dyDescent="0.25">
      <c r="A55">
        <v>54</v>
      </c>
      <c r="B55" t="s">
        <v>72</v>
      </c>
      <c r="C55" t="s">
        <v>4084</v>
      </c>
    </row>
    <row r="56" spans="1:3" x14ac:dyDescent="0.25">
      <c r="A56">
        <v>55</v>
      </c>
      <c r="B56" t="s">
        <v>20</v>
      </c>
      <c r="C56" t="s">
        <v>4085</v>
      </c>
    </row>
    <row r="57" spans="1:3" x14ac:dyDescent="0.25">
      <c r="A57">
        <v>56</v>
      </c>
      <c r="B57" t="s">
        <v>16</v>
      </c>
      <c r="C57" t="s">
        <v>4086</v>
      </c>
    </row>
    <row r="58" spans="1:3" x14ac:dyDescent="0.25">
      <c r="A58">
        <v>57</v>
      </c>
      <c r="B58" t="s">
        <v>48</v>
      </c>
      <c r="C58" t="s">
        <v>4087</v>
      </c>
    </row>
    <row r="59" spans="1:3" x14ac:dyDescent="0.25">
      <c r="A59">
        <v>58</v>
      </c>
      <c r="B59" t="s">
        <v>29</v>
      </c>
      <c r="C59" t="s">
        <v>4088</v>
      </c>
    </row>
    <row r="60" spans="1:3" x14ac:dyDescent="0.25">
      <c r="A60">
        <v>59</v>
      </c>
      <c r="B60" t="s">
        <v>84</v>
      </c>
      <c r="C60" t="s">
        <v>4089</v>
      </c>
    </row>
    <row r="61" spans="1:3" x14ac:dyDescent="0.25">
      <c r="A61">
        <v>60</v>
      </c>
      <c r="B61" t="s">
        <v>110</v>
      </c>
      <c r="C61" t="s">
        <v>4090</v>
      </c>
    </row>
    <row r="62" spans="1:3" x14ac:dyDescent="0.25">
      <c r="A62">
        <v>61</v>
      </c>
      <c r="B62" t="s">
        <v>122</v>
      </c>
      <c r="C62" t="s">
        <v>4091</v>
      </c>
    </row>
    <row r="63" spans="1:3" x14ac:dyDescent="0.25">
      <c r="A63">
        <v>62</v>
      </c>
      <c r="B63" t="s">
        <v>54</v>
      </c>
      <c r="C63" t="s">
        <v>4092</v>
      </c>
    </row>
    <row r="64" spans="1:3" x14ac:dyDescent="0.25">
      <c r="A64">
        <v>63</v>
      </c>
      <c r="B64" t="s">
        <v>521</v>
      </c>
      <c r="C64" t="s">
        <v>4093</v>
      </c>
    </row>
    <row r="65" spans="1:3" x14ac:dyDescent="0.25">
      <c r="A65">
        <v>64</v>
      </c>
      <c r="B65" t="s">
        <v>57</v>
      </c>
      <c r="C65" t="s">
        <v>4094</v>
      </c>
    </row>
    <row r="66" spans="1:3" x14ac:dyDescent="0.25">
      <c r="A66">
        <v>65</v>
      </c>
      <c r="B66" t="s">
        <v>86</v>
      </c>
      <c r="C66" t="s">
        <v>4095</v>
      </c>
    </row>
    <row r="67" spans="1:3" x14ac:dyDescent="0.25">
      <c r="A67">
        <v>66</v>
      </c>
      <c r="B67" t="s">
        <v>208</v>
      </c>
      <c r="C67" t="s">
        <v>4096</v>
      </c>
    </row>
    <row r="68" spans="1:3" x14ac:dyDescent="0.25">
      <c r="A68">
        <v>67</v>
      </c>
      <c r="B68" t="s">
        <v>100</v>
      </c>
      <c r="C68" t="s">
        <v>4097</v>
      </c>
    </row>
    <row r="69" spans="1:3" x14ac:dyDescent="0.25">
      <c r="A69">
        <v>68</v>
      </c>
      <c r="B69" t="s">
        <v>169</v>
      </c>
      <c r="C69" t="s">
        <v>4098</v>
      </c>
    </row>
    <row r="70" spans="1:3" x14ac:dyDescent="0.25">
      <c r="A70">
        <v>69</v>
      </c>
      <c r="B70" t="s">
        <v>285</v>
      </c>
      <c r="C70" t="s">
        <v>4099</v>
      </c>
    </row>
    <row r="71" spans="1:3" x14ac:dyDescent="0.25">
      <c r="A71">
        <v>70</v>
      </c>
      <c r="B71" t="s">
        <v>150</v>
      </c>
      <c r="C71" t="s">
        <v>4100</v>
      </c>
    </row>
    <row r="72" spans="1:3" x14ac:dyDescent="0.25">
      <c r="A72">
        <v>71</v>
      </c>
      <c r="B72" t="s">
        <v>183</v>
      </c>
      <c r="C72" t="s">
        <v>4101</v>
      </c>
    </row>
    <row r="73" spans="1:3" x14ac:dyDescent="0.25">
      <c r="A73">
        <v>72</v>
      </c>
      <c r="B73" t="s">
        <v>191</v>
      </c>
      <c r="C73" t="s">
        <v>4102</v>
      </c>
    </row>
    <row r="74" spans="1:3" x14ac:dyDescent="0.25">
      <c r="A74">
        <v>73</v>
      </c>
      <c r="B74" t="s">
        <v>911</v>
      </c>
      <c r="C74" t="s">
        <v>4103</v>
      </c>
    </row>
    <row r="75" spans="1:3" x14ac:dyDescent="0.25">
      <c r="A75">
        <v>74</v>
      </c>
      <c r="B75" t="s">
        <v>926</v>
      </c>
      <c r="C75" t="s">
        <v>4104</v>
      </c>
    </row>
    <row r="76" spans="1:3" x14ac:dyDescent="0.25">
      <c r="A76">
        <v>75</v>
      </c>
      <c r="B76" t="s">
        <v>132</v>
      </c>
      <c r="C76" t="s">
        <v>4105</v>
      </c>
    </row>
    <row r="77" spans="1:3" x14ac:dyDescent="0.25">
      <c r="A77">
        <v>76</v>
      </c>
      <c r="B77" t="s">
        <v>96</v>
      </c>
      <c r="C77" t="s">
        <v>4106</v>
      </c>
    </row>
    <row r="78" spans="1:3" x14ac:dyDescent="0.25">
      <c r="A78">
        <v>77</v>
      </c>
      <c r="B78" t="s">
        <v>907</v>
      </c>
      <c r="C78" t="s">
        <v>4107</v>
      </c>
    </row>
    <row r="79" spans="1:3" x14ac:dyDescent="0.25">
      <c r="A79">
        <v>78</v>
      </c>
      <c r="B79" t="s">
        <v>500</v>
      </c>
      <c r="C79" t="s">
        <v>4108</v>
      </c>
    </row>
    <row r="80" spans="1:3" x14ac:dyDescent="0.25">
      <c r="A80">
        <v>79</v>
      </c>
      <c r="B80" t="s">
        <v>236</v>
      </c>
      <c r="C80" t="s">
        <v>4109</v>
      </c>
    </row>
    <row r="81" spans="1:3" x14ac:dyDescent="0.25">
      <c r="A81">
        <v>80</v>
      </c>
      <c r="B81" t="s">
        <v>207</v>
      </c>
      <c r="C81" t="s">
        <v>4110</v>
      </c>
    </row>
    <row r="82" spans="1:3" x14ac:dyDescent="0.25">
      <c r="A82">
        <v>81</v>
      </c>
      <c r="B82" t="s">
        <v>527</v>
      </c>
      <c r="C82" t="s">
        <v>4111</v>
      </c>
    </row>
    <row r="83" spans="1:3" x14ac:dyDescent="0.25">
      <c r="A83">
        <v>82</v>
      </c>
      <c r="B83" t="s">
        <v>321</v>
      </c>
      <c r="C83" t="s">
        <v>4112</v>
      </c>
    </row>
    <row r="84" spans="1:3" x14ac:dyDescent="0.25">
      <c r="A84">
        <v>83</v>
      </c>
      <c r="B84" t="s">
        <v>965</v>
      </c>
      <c r="C84" t="s">
        <v>4113</v>
      </c>
    </row>
    <row r="85" spans="1:3" x14ac:dyDescent="0.25">
      <c r="A85">
        <v>84</v>
      </c>
      <c r="B85" t="s">
        <v>1061</v>
      </c>
      <c r="C85" t="s">
        <v>4114</v>
      </c>
    </row>
    <row r="86" spans="1:3" x14ac:dyDescent="0.25">
      <c r="A86">
        <v>85</v>
      </c>
      <c r="B86" t="s">
        <v>320</v>
      </c>
      <c r="C86" t="s">
        <v>4115</v>
      </c>
    </row>
    <row r="87" spans="1:3" x14ac:dyDescent="0.25">
      <c r="A87">
        <v>86</v>
      </c>
      <c r="B87" t="s">
        <v>963</v>
      </c>
      <c r="C87" t="s">
        <v>4116</v>
      </c>
    </row>
    <row r="88" spans="1:3" x14ac:dyDescent="0.25">
      <c r="A88">
        <v>87</v>
      </c>
      <c r="B88" t="s">
        <v>510</v>
      </c>
      <c r="C88" t="s">
        <v>4117</v>
      </c>
    </row>
    <row r="89" spans="1:3" x14ac:dyDescent="0.25">
      <c r="A89">
        <v>88</v>
      </c>
      <c r="B89" t="s">
        <v>1040</v>
      </c>
      <c r="C89" t="s">
        <v>4118</v>
      </c>
    </row>
    <row r="90" spans="1:3" x14ac:dyDescent="0.25">
      <c r="A90">
        <v>89</v>
      </c>
      <c r="B90" t="s">
        <v>470</v>
      </c>
      <c r="C90" t="s">
        <v>4119</v>
      </c>
    </row>
    <row r="91" spans="1:3" x14ac:dyDescent="0.25">
      <c r="A91">
        <v>90</v>
      </c>
      <c r="B91" t="s">
        <v>172</v>
      </c>
      <c r="C91" t="s">
        <v>4120</v>
      </c>
    </row>
    <row r="92" spans="1:3" x14ac:dyDescent="0.25">
      <c r="A92">
        <v>91</v>
      </c>
      <c r="B92" t="s">
        <v>175</v>
      </c>
      <c r="C92" t="s">
        <v>4121</v>
      </c>
    </row>
    <row r="93" spans="1:3" x14ac:dyDescent="0.25">
      <c r="A93">
        <v>92</v>
      </c>
      <c r="B93" t="s">
        <v>1137</v>
      </c>
      <c r="C93" t="s">
        <v>4122</v>
      </c>
    </row>
    <row r="94" spans="1:3" x14ac:dyDescent="0.25">
      <c r="A94">
        <v>93</v>
      </c>
      <c r="B94" t="s">
        <v>625</v>
      </c>
      <c r="C94" t="s">
        <v>4123</v>
      </c>
    </row>
    <row r="95" spans="1:3" x14ac:dyDescent="0.25">
      <c r="A95">
        <v>94</v>
      </c>
      <c r="B95" t="s">
        <v>672</v>
      </c>
      <c r="C95" t="s">
        <v>4124</v>
      </c>
    </row>
    <row r="96" spans="1:3" x14ac:dyDescent="0.25">
      <c r="A96">
        <v>95</v>
      </c>
      <c r="B96" t="s">
        <v>679</v>
      </c>
      <c r="C96" t="s">
        <v>4125</v>
      </c>
    </row>
    <row r="97" spans="1:3" x14ac:dyDescent="0.25">
      <c r="A97">
        <v>96</v>
      </c>
      <c r="B97" t="s">
        <v>701</v>
      </c>
      <c r="C97" t="s">
        <v>4126</v>
      </c>
    </row>
    <row r="98" spans="1:3" x14ac:dyDescent="0.25">
      <c r="A98">
        <v>97</v>
      </c>
      <c r="B98" t="s">
        <v>727</v>
      </c>
      <c r="C98" t="s">
        <v>4127</v>
      </c>
    </row>
    <row r="99" spans="1:3" x14ac:dyDescent="0.25">
      <c r="A99">
        <v>98</v>
      </c>
      <c r="B99" t="s">
        <v>574</v>
      </c>
      <c r="C99" t="s">
        <v>4128</v>
      </c>
    </row>
    <row r="100" spans="1:3" x14ac:dyDescent="0.25">
      <c r="A100">
        <v>99</v>
      </c>
      <c r="B100" t="s">
        <v>578</v>
      </c>
      <c r="C100" t="s">
        <v>4129</v>
      </c>
    </row>
    <row r="101" spans="1:3" x14ac:dyDescent="0.25">
      <c r="A101">
        <v>100</v>
      </c>
      <c r="B101" t="s">
        <v>596</v>
      </c>
      <c r="C101" t="s">
        <v>4130</v>
      </c>
    </row>
    <row r="102" spans="1:3" x14ac:dyDescent="0.25">
      <c r="A102">
        <v>101</v>
      </c>
      <c r="B102" t="s">
        <v>603</v>
      </c>
      <c r="C102" t="s">
        <v>4131</v>
      </c>
    </row>
    <row r="103" spans="1:3" x14ac:dyDescent="0.25">
      <c r="A103">
        <v>102</v>
      </c>
      <c r="B103" t="s">
        <v>637</v>
      </c>
      <c r="C103" t="s">
        <v>4132</v>
      </c>
    </row>
    <row r="104" spans="1:3" x14ac:dyDescent="0.25">
      <c r="A104">
        <v>103</v>
      </c>
      <c r="B104" t="s">
        <v>644</v>
      </c>
      <c r="C104" t="s">
        <v>4133</v>
      </c>
    </row>
    <row r="105" spans="1:3" x14ac:dyDescent="0.25">
      <c r="A105">
        <v>104</v>
      </c>
      <c r="B105" t="s">
        <v>664</v>
      </c>
      <c r="C105" t="s">
        <v>4134</v>
      </c>
    </row>
    <row r="106" spans="1:3" x14ac:dyDescent="0.25">
      <c r="A106">
        <v>105</v>
      </c>
      <c r="B106" t="s">
        <v>655</v>
      </c>
      <c r="C106" t="s">
        <v>4135</v>
      </c>
    </row>
    <row r="107" spans="1:3" x14ac:dyDescent="0.25">
      <c r="A107">
        <v>106</v>
      </c>
      <c r="B107" t="s">
        <v>683</v>
      </c>
      <c r="C107" t="s">
        <v>4136</v>
      </c>
    </row>
    <row r="108" spans="1:3" x14ac:dyDescent="0.25">
      <c r="A108">
        <v>107</v>
      </c>
      <c r="B108" t="s">
        <v>615</v>
      </c>
      <c r="C108" t="s">
        <v>4137</v>
      </c>
    </row>
    <row r="109" spans="1:3" x14ac:dyDescent="0.25">
      <c r="A109">
        <v>108</v>
      </c>
      <c r="B109" t="s">
        <v>149</v>
      </c>
      <c r="C109" t="s">
        <v>4138</v>
      </c>
    </row>
    <row r="110" spans="1:3" x14ac:dyDescent="0.25">
      <c r="A110">
        <v>109</v>
      </c>
      <c r="B110" t="s">
        <v>173</v>
      </c>
      <c r="C110" t="s">
        <v>4139</v>
      </c>
    </row>
    <row r="111" spans="1:3" x14ac:dyDescent="0.25">
      <c r="A111">
        <v>110</v>
      </c>
      <c r="B111" t="s">
        <v>177</v>
      </c>
      <c r="C111" t="s">
        <v>4140</v>
      </c>
    </row>
    <row r="112" spans="1:3" x14ac:dyDescent="0.25">
      <c r="A112">
        <v>111</v>
      </c>
      <c r="B112" t="s">
        <v>665</v>
      </c>
      <c r="C112" t="s">
        <v>4141</v>
      </c>
    </row>
    <row r="113" spans="1:3" x14ac:dyDescent="0.25">
      <c r="A113">
        <v>112</v>
      </c>
      <c r="B113" t="s">
        <v>1161</v>
      </c>
      <c r="C113" t="s">
        <v>4142</v>
      </c>
    </row>
    <row r="114" spans="1:3" x14ac:dyDescent="0.25">
      <c r="A114">
        <v>113</v>
      </c>
      <c r="B114" t="s">
        <v>1215</v>
      </c>
      <c r="C114" t="s">
        <v>4143</v>
      </c>
    </row>
    <row r="115" spans="1:3" x14ac:dyDescent="0.25">
      <c r="A115">
        <v>114</v>
      </c>
      <c r="B115" t="s">
        <v>211</v>
      </c>
      <c r="C115" t="s">
        <v>4144</v>
      </c>
    </row>
    <row r="116" spans="1:3" x14ac:dyDescent="0.25">
      <c r="A116">
        <v>115</v>
      </c>
      <c r="B116" t="s">
        <v>392</v>
      </c>
      <c r="C116" t="s">
        <v>4145</v>
      </c>
    </row>
    <row r="117" spans="1:3" x14ac:dyDescent="0.25">
      <c r="A117">
        <v>116</v>
      </c>
      <c r="B117" t="s">
        <v>812</v>
      </c>
      <c r="C117" t="s">
        <v>4146</v>
      </c>
    </row>
    <row r="118" spans="1:3" x14ac:dyDescent="0.25">
      <c r="A118">
        <v>117</v>
      </c>
      <c r="B118" t="s">
        <v>1165</v>
      </c>
      <c r="C118" t="s">
        <v>4147</v>
      </c>
    </row>
    <row r="119" spans="1:3" x14ac:dyDescent="0.25">
      <c r="A119">
        <v>118</v>
      </c>
      <c r="B119" t="s">
        <v>980</v>
      </c>
      <c r="C119" t="s">
        <v>4148</v>
      </c>
    </row>
    <row r="120" spans="1:3" x14ac:dyDescent="0.25">
      <c r="A120">
        <v>119</v>
      </c>
      <c r="B120" t="s">
        <v>1318</v>
      </c>
      <c r="C120" t="s">
        <v>4149</v>
      </c>
    </row>
    <row r="121" spans="1:3" x14ac:dyDescent="0.25">
      <c r="A121">
        <v>120</v>
      </c>
      <c r="B121" t="s">
        <v>479</v>
      </c>
      <c r="C121" t="s">
        <v>4150</v>
      </c>
    </row>
    <row r="122" spans="1:3" x14ac:dyDescent="0.25">
      <c r="A122">
        <v>121</v>
      </c>
      <c r="B122" t="s">
        <v>212</v>
      </c>
      <c r="C122" t="s">
        <v>4151</v>
      </c>
    </row>
    <row r="123" spans="1:3" x14ac:dyDescent="0.25">
      <c r="A123">
        <v>122</v>
      </c>
      <c r="B123" t="s">
        <v>394</v>
      </c>
      <c r="C123" t="s">
        <v>4152</v>
      </c>
    </row>
    <row r="124" spans="1:3" x14ac:dyDescent="0.25">
      <c r="A124">
        <v>123</v>
      </c>
      <c r="B124" t="s">
        <v>814</v>
      </c>
      <c r="C124" t="s">
        <v>4153</v>
      </c>
    </row>
    <row r="125" spans="1:3" x14ac:dyDescent="0.25">
      <c r="A125">
        <v>124</v>
      </c>
      <c r="B125" t="s">
        <v>1167</v>
      </c>
      <c r="C125" t="s">
        <v>4154</v>
      </c>
    </row>
    <row r="126" spans="1:3" x14ac:dyDescent="0.25">
      <c r="A126">
        <v>125</v>
      </c>
      <c r="B126" t="s">
        <v>1606</v>
      </c>
      <c r="C126" t="s">
        <v>4155</v>
      </c>
    </row>
    <row r="127" spans="1:3" x14ac:dyDescent="0.25">
      <c r="A127">
        <v>126</v>
      </c>
      <c r="B127" t="s">
        <v>1022</v>
      </c>
      <c r="C127" t="s">
        <v>4156</v>
      </c>
    </row>
    <row r="128" spans="1:3" x14ac:dyDescent="0.25">
      <c r="A128">
        <v>127</v>
      </c>
      <c r="B128" t="s">
        <v>434</v>
      </c>
      <c r="C128" t="s">
        <v>4157</v>
      </c>
    </row>
    <row r="129" spans="1:3" x14ac:dyDescent="0.25">
      <c r="A129">
        <v>128</v>
      </c>
      <c r="B129" t="s">
        <v>938</v>
      </c>
      <c r="C129" t="s">
        <v>4158</v>
      </c>
    </row>
    <row r="130" spans="1:3" x14ac:dyDescent="0.25">
      <c r="A130">
        <v>129</v>
      </c>
      <c r="B130" t="s">
        <v>1243</v>
      </c>
      <c r="C130" t="s">
        <v>4159</v>
      </c>
    </row>
    <row r="131" spans="1:3" x14ac:dyDescent="0.25">
      <c r="A131">
        <v>130</v>
      </c>
      <c r="B131" t="s">
        <v>995</v>
      </c>
      <c r="C131" t="s">
        <v>4160</v>
      </c>
    </row>
    <row r="132" spans="1:3" x14ac:dyDescent="0.25">
      <c r="A132">
        <v>131</v>
      </c>
      <c r="B132" t="s">
        <v>1380</v>
      </c>
      <c r="C132" t="s">
        <v>4161</v>
      </c>
    </row>
    <row r="133" spans="1:3" x14ac:dyDescent="0.25">
      <c r="A133">
        <v>132</v>
      </c>
      <c r="B133" t="s">
        <v>501</v>
      </c>
      <c r="C133" t="s">
        <v>4162</v>
      </c>
    </row>
    <row r="134" spans="1:3" x14ac:dyDescent="0.25">
      <c r="A134">
        <v>133</v>
      </c>
      <c r="B134" t="s">
        <v>555</v>
      </c>
      <c r="C134" t="s">
        <v>4163</v>
      </c>
    </row>
    <row r="135" spans="1:3" x14ac:dyDescent="0.25">
      <c r="A135">
        <v>134</v>
      </c>
      <c r="B135" t="s">
        <v>646</v>
      </c>
      <c r="C135" t="s">
        <v>4164</v>
      </c>
    </row>
    <row r="136" spans="1:3" x14ac:dyDescent="0.25">
      <c r="A136">
        <v>135</v>
      </c>
      <c r="B136" t="s">
        <v>939</v>
      </c>
      <c r="C136" t="s">
        <v>4165</v>
      </c>
    </row>
    <row r="137" spans="1:3" x14ac:dyDescent="0.25">
      <c r="A137">
        <v>136</v>
      </c>
      <c r="B137" t="s">
        <v>158</v>
      </c>
      <c r="C137" t="s">
        <v>4166</v>
      </c>
    </row>
    <row r="138" spans="1:3" x14ac:dyDescent="0.25">
      <c r="A138">
        <v>137</v>
      </c>
      <c r="B138" t="s">
        <v>937</v>
      </c>
      <c r="C138" t="s">
        <v>4167</v>
      </c>
    </row>
    <row r="139" spans="1:3" x14ac:dyDescent="0.25">
      <c r="A139">
        <v>138</v>
      </c>
      <c r="B139" t="s">
        <v>1015</v>
      </c>
      <c r="C139" t="s">
        <v>4168</v>
      </c>
    </row>
    <row r="140" spans="1:3" x14ac:dyDescent="0.25">
      <c r="A140">
        <v>139</v>
      </c>
      <c r="B140" t="s">
        <v>1036</v>
      </c>
      <c r="C140" t="s">
        <v>4169</v>
      </c>
    </row>
    <row r="141" spans="1:3" x14ac:dyDescent="0.25">
      <c r="A141">
        <v>140</v>
      </c>
      <c r="B141" t="s">
        <v>1125</v>
      </c>
      <c r="C141" t="s">
        <v>4170</v>
      </c>
    </row>
    <row r="142" spans="1:3" x14ac:dyDescent="0.25">
      <c r="A142">
        <v>141</v>
      </c>
      <c r="B142" t="s">
        <v>1129</v>
      </c>
      <c r="C142" t="s">
        <v>4171</v>
      </c>
    </row>
    <row r="143" spans="1:3" x14ac:dyDescent="0.25">
      <c r="A143">
        <v>142</v>
      </c>
      <c r="B143" t="s">
        <v>1140</v>
      </c>
      <c r="C143" t="s">
        <v>4172</v>
      </c>
    </row>
    <row r="144" spans="1:3" x14ac:dyDescent="0.25">
      <c r="A144">
        <v>143</v>
      </c>
      <c r="B144" t="s">
        <v>1153</v>
      </c>
      <c r="C144" t="s">
        <v>4173</v>
      </c>
    </row>
    <row r="145" spans="1:3" x14ac:dyDescent="0.25">
      <c r="A145">
        <v>144</v>
      </c>
      <c r="B145" t="s">
        <v>1160</v>
      </c>
      <c r="C145" t="s">
        <v>4174</v>
      </c>
    </row>
    <row r="146" spans="1:3" x14ac:dyDescent="0.25">
      <c r="A146">
        <v>145</v>
      </c>
      <c r="B146" t="s">
        <v>1164</v>
      </c>
      <c r="C146" t="s">
        <v>4175</v>
      </c>
    </row>
    <row r="147" spans="1:3" x14ac:dyDescent="0.25">
      <c r="A147">
        <v>146</v>
      </c>
      <c r="B147" t="s">
        <v>336</v>
      </c>
      <c r="C147" t="s">
        <v>4176</v>
      </c>
    </row>
    <row r="148" spans="1:3" x14ac:dyDescent="0.25">
      <c r="A148">
        <v>147</v>
      </c>
      <c r="B148" t="s">
        <v>231</v>
      </c>
      <c r="C148" t="s">
        <v>4177</v>
      </c>
    </row>
    <row r="149" spans="1:3" x14ac:dyDescent="0.25">
      <c r="A149">
        <v>148</v>
      </c>
      <c r="B149" t="s">
        <v>645</v>
      </c>
      <c r="C149" t="s">
        <v>4178</v>
      </c>
    </row>
    <row r="150" spans="1:3" x14ac:dyDescent="0.25">
      <c r="A150">
        <v>149</v>
      </c>
      <c r="B150" t="s">
        <v>269</v>
      </c>
      <c r="C150" t="s">
        <v>4179</v>
      </c>
    </row>
    <row r="151" spans="1:3" x14ac:dyDescent="0.25">
      <c r="A151">
        <v>150</v>
      </c>
      <c r="B151" t="s">
        <v>405</v>
      </c>
      <c r="C151" t="s">
        <v>4180</v>
      </c>
    </row>
    <row r="152" spans="1:3" x14ac:dyDescent="0.25">
      <c r="A152">
        <v>151</v>
      </c>
      <c r="B152" t="s">
        <v>1190</v>
      </c>
      <c r="C152" t="s">
        <v>4181</v>
      </c>
    </row>
    <row r="153" spans="1:3" x14ac:dyDescent="0.25">
      <c r="A153">
        <v>152</v>
      </c>
      <c r="B153" t="s">
        <v>1177</v>
      </c>
      <c r="C153" t="s">
        <v>4182</v>
      </c>
    </row>
    <row r="154" spans="1:3" x14ac:dyDescent="0.25">
      <c r="A154">
        <v>153</v>
      </c>
      <c r="B154" t="s">
        <v>924</v>
      </c>
      <c r="C154" t="s">
        <v>4183</v>
      </c>
    </row>
    <row r="155" spans="1:3" x14ac:dyDescent="0.25">
      <c r="A155">
        <v>154</v>
      </c>
      <c r="B155" t="s">
        <v>1321</v>
      </c>
      <c r="C155" t="s">
        <v>4184</v>
      </c>
    </row>
    <row r="156" spans="1:3" x14ac:dyDescent="0.25">
      <c r="A156">
        <v>155</v>
      </c>
      <c r="B156" t="s">
        <v>950</v>
      </c>
      <c r="C156" t="s">
        <v>4185</v>
      </c>
    </row>
    <row r="157" spans="1:3" x14ac:dyDescent="0.25">
      <c r="A157">
        <v>156</v>
      </c>
      <c r="B157" t="s">
        <v>964</v>
      </c>
      <c r="C157" t="s">
        <v>4186</v>
      </c>
    </row>
    <row r="158" spans="1:3" x14ac:dyDescent="0.25">
      <c r="A158">
        <v>157</v>
      </c>
      <c r="B158" t="s">
        <v>954</v>
      </c>
      <c r="C158" t="s">
        <v>4187</v>
      </c>
    </row>
    <row r="159" spans="1:3" x14ac:dyDescent="0.25">
      <c r="A159">
        <v>158</v>
      </c>
      <c r="B159" t="s">
        <v>1047</v>
      </c>
      <c r="C159" t="s">
        <v>4188</v>
      </c>
    </row>
    <row r="160" spans="1:3" x14ac:dyDescent="0.25">
      <c r="A160">
        <v>159</v>
      </c>
      <c r="B160" t="s">
        <v>1050</v>
      </c>
      <c r="C160" t="s">
        <v>4189</v>
      </c>
    </row>
    <row r="161" spans="1:3" x14ac:dyDescent="0.25">
      <c r="A161">
        <v>160</v>
      </c>
      <c r="B161" t="s">
        <v>811</v>
      </c>
      <c r="C161" t="s">
        <v>4190</v>
      </c>
    </row>
    <row r="162" spans="1:3" x14ac:dyDescent="0.25">
      <c r="A162">
        <v>161</v>
      </c>
      <c r="B162" t="s">
        <v>978</v>
      </c>
      <c r="C162" t="s">
        <v>4191</v>
      </c>
    </row>
    <row r="163" spans="1:3" x14ac:dyDescent="0.25">
      <c r="A163">
        <v>162</v>
      </c>
      <c r="B163" t="s">
        <v>1005</v>
      </c>
      <c r="C163" t="s">
        <v>4192</v>
      </c>
    </row>
    <row r="164" spans="1:3" x14ac:dyDescent="0.25">
      <c r="A164">
        <v>163</v>
      </c>
      <c r="B164" t="s">
        <v>991</v>
      </c>
      <c r="C164" t="s">
        <v>4193</v>
      </c>
    </row>
    <row r="165" spans="1:3" x14ac:dyDescent="0.25">
      <c r="A165">
        <v>164</v>
      </c>
      <c r="B165" t="s">
        <v>1023</v>
      </c>
      <c r="C165" t="s">
        <v>4194</v>
      </c>
    </row>
    <row r="166" spans="1:3" x14ac:dyDescent="0.25">
      <c r="A166">
        <v>165</v>
      </c>
      <c r="B166" t="s">
        <v>1060</v>
      </c>
      <c r="C166" t="s">
        <v>4195</v>
      </c>
    </row>
    <row r="167" spans="1:3" x14ac:dyDescent="0.25">
      <c r="A167">
        <v>166</v>
      </c>
      <c r="B167" t="s">
        <v>1074</v>
      </c>
      <c r="C167" t="s">
        <v>4196</v>
      </c>
    </row>
    <row r="168" spans="1:3" x14ac:dyDescent="0.25">
      <c r="A168">
        <v>167</v>
      </c>
      <c r="B168" t="s">
        <v>1085</v>
      </c>
      <c r="C168" t="s">
        <v>4197</v>
      </c>
    </row>
    <row r="169" spans="1:3" x14ac:dyDescent="0.25">
      <c r="A169">
        <v>168</v>
      </c>
      <c r="B169" t="s">
        <v>1119</v>
      </c>
      <c r="C169" t="s">
        <v>4198</v>
      </c>
    </row>
    <row r="170" spans="1:3" x14ac:dyDescent="0.25">
      <c r="A170">
        <v>169</v>
      </c>
      <c r="B170" t="s">
        <v>1454</v>
      </c>
      <c r="C170" t="s">
        <v>4199</v>
      </c>
    </row>
    <row r="171" spans="1:3" x14ac:dyDescent="0.25">
      <c r="A171">
        <v>170</v>
      </c>
      <c r="B171" t="s">
        <v>884</v>
      </c>
      <c r="C171" t="s">
        <v>4200</v>
      </c>
    </row>
    <row r="172" spans="1:3" x14ac:dyDescent="0.25">
      <c r="A172">
        <v>171</v>
      </c>
      <c r="B172" t="s">
        <v>1404</v>
      </c>
      <c r="C172" t="s">
        <v>4201</v>
      </c>
    </row>
    <row r="173" spans="1:3" x14ac:dyDescent="0.25">
      <c r="A173">
        <v>172</v>
      </c>
      <c r="B173" t="s">
        <v>887</v>
      </c>
      <c r="C173" t="s">
        <v>4202</v>
      </c>
    </row>
    <row r="174" spans="1:3" x14ac:dyDescent="0.25">
      <c r="A174">
        <v>173</v>
      </c>
      <c r="B174" t="s">
        <v>902</v>
      </c>
      <c r="C174" t="s">
        <v>4203</v>
      </c>
    </row>
    <row r="175" spans="1:3" x14ac:dyDescent="0.25">
      <c r="A175">
        <v>174</v>
      </c>
      <c r="B175" t="s">
        <v>896</v>
      </c>
      <c r="C175" t="s">
        <v>4204</v>
      </c>
    </row>
    <row r="176" spans="1:3" x14ac:dyDescent="0.25">
      <c r="A176">
        <v>175</v>
      </c>
      <c r="B176" t="s">
        <v>908</v>
      </c>
      <c r="C176" t="s">
        <v>4205</v>
      </c>
    </row>
    <row r="177" spans="1:3" x14ac:dyDescent="0.25">
      <c r="A177">
        <v>176</v>
      </c>
      <c r="B177" t="s">
        <v>923</v>
      </c>
      <c r="C177" t="s">
        <v>4206</v>
      </c>
    </row>
    <row r="178" spans="1:3" x14ac:dyDescent="0.25">
      <c r="A178">
        <v>177</v>
      </c>
      <c r="B178" t="s">
        <v>992</v>
      </c>
      <c r="C178" t="s">
        <v>4207</v>
      </c>
    </row>
    <row r="179" spans="1:3" x14ac:dyDescent="0.25">
      <c r="A179">
        <v>178</v>
      </c>
      <c r="B179" t="s">
        <v>993</v>
      </c>
      <c r="C179" t="s">
        <v>4208</v>
      </c>
    </row>
    <row r="180" spans="1:3" x14ac:dyDescent="0.25">
      <c r="A180">
        <v>179</v>
      </c>
      <c r="B180" t="s">
        <v>98</v>
      </c>
      <c r="C180" t="s">
        <v>4209</v>
      </c>
    </row>
    <row r="181" spans="1:3" x14ac:dyDescent="0.25">
      <c r="A181">
        <v>180</v>
      </c>
      <c r="B181" t="s">
        <v>452</v>
      </c>
      <c r="C181" t="s">
        <v>4210</v>
      </c>
    </row>
    <row r="182" spans="1:3" x14ac:dyDescent="0.25">
      <c r="A182">
        <v>181</v>
      </c>
      <c r="B182" t="s">
        <v>146</v>
      </c>
      <c r="C182" t="s">
        <v>4211</v>
      </c>
    </row>
    <row r="183" spans="1:3" x14ac:dyDescent="0.25">
      <c r="A183">
        <v>182</v>
      </c>
      <c r="B183" t="s">
        <v>123</v>
      </c>
      <c r="C183" t="s">
        <v>4212</v>
      </c>
    </row>
    <row r="184" spans="1:3" x14ac:dyDescent="0.25">
      <c r="A184">
        <v>183</v>
      </c>
      <c r="B184" t="s">
        <v>1038</v>
      </c>
      <c r="C184" t="s">
        <v>4213</v>
      </c>
    </row>
    <row r="185" spans="1:3" x14ac:dyDescent="0.25">
      <c r="A185">
        <v>184</v>
      </c>
      <c r="B185" t="s">
        <v>1037</v>
      </c>
      <c r="C185" t="s">
        <v>4214</v>
      </c>
    </row>
    <row r="186" spans="1:3" x14ac:dyDescent="0.25">
      <c r="A186">
        <v>185</v>
      </c>
      <c r="B186" t="s">
        <v>817</v>
      </c>
      <c r="C186" t="s">
        <v>4215</v>
      </c>
    </row>
    <row r="187" spans="1:3" x14ac:dyDescent="0.25">
      <c r="A187">
        <v>186</v>
      </c>
      <c r="B187" t="s">
        <v>145</v>
      </c>
      <c r="C187" t="s">
        <v>4216</v>
      </c>
    </row>
    <row r="188" spans="1:3" x14ac:dyDescent="0.25">
      <c r="A188">
        <v>187</v>
      </c>
      <c r="B188" t="s">
        <v>115</v>
      </c>
      <c r="C188" t="s">
        <v>4217</v>
      </c>
    </row>
    <row r="189" spans="1:3" x14ac:dyDescent="0.25">
      <c r="A189">
        <v>188</v>
      </c>
      <c r="B189" t="s">
        <v>117</v>
      </c>
      <c r="C189" t="s">
        <v>4218</v>
      </c>
    </row>
    <row r="190" spans="1:3" x14ac:dyDescent="0.25">
      <c r="A190">
        <v>189</v>
      </c>
      <c r="B190" t="s">
        <v>119</v>
      </c>
      <c r="C190" t="s">
        <v>4219</v>
      </c>
    </row>
    <row r="191" spans="1:3" x14ac:dyDescent="0.25">
      <c r="A191">
        <v>190</v>
      </c>
      <c r="B191" t="s">
        <v>116</v>
      </c>
      <c r="C191" t="s">
        <v>4220</v>
      </c>
    </row>
    <row r="192" spans="1:3" x14ac:dyDescent="0.25">
      <c r="A192">
        <v>191</v>
      </c>
      <c r="B192" t="s">
        <v>629</v>
      </c>
      <c r="C192" t="s">
        <v>4221</v>
      </c>
    </row>
    <row r="193" spans="1:3" x14ac:dyDescent="0.25">
      <c r="A193">
        <v>192</v>
      </c>
      <c r="B193" t="s">
        <v>687</v>
      </c>
      <c r="C193" t="s">
        <v>4222</v>
      </c>
    </row>
    <row r="194" spans="1:3" x14ac:dyDescent="0.25">
      <c r="A194">
        <v>193</v>
      </c>
      <c r="B194" t="s">
        <v>697</v>
      </c>
      <c r="C194" t="s">
        <v>4223</v>
      </c>
    </row>
    <row r="195" spans="1:3" x14ac:dyDescent="0.25">
      <c r="A195">
        <v>194</v>
      </c>
      <c r="B195" t="s">
        <v>694</v>
      </c>
      <c r="C195" t="s">
        <v>4224</v>
      </c>
    </row>
    <row r="196" spans="1:3" x14ac:dyDescent="0.25">
      <c r="A196">
        <v>195</v>
      </c>
      <c r="B196" t="s">
        <v>710</v>
      </c>
      <c r="C196" t="s">
        <v>4225</v>
      </c>
    </row>
    <row r="197" spans="1:3" x14ac:dyDescent="0.25">
      <c r="A197">
        <v>196</v>
      </c>
      <c r="B197" t="s">
        <v>720</v>
      </c>
      <c r="C197" t="s">
        <v>4226</v>
      </c>
    </row>
    <row r="198" spans="1:3" x14ac:dyDescent="0.25">
      <c r="A198">
        <v>197</v>
      </c>
      <c r="B198" t="s">
        <v>715</v>
      </c>
      <c r="C198" t="s">
        <v>4227</v>
      </c>
    </row>
    <row r="199" spans="1:3" x14ac:dyDescent="0.25">
      <c r="A199">
        <v>198</v>
      </c>
      <c r="B199" t="s">
        <v>582</v>
      </c>
      <c r="C199" t="s">
        <v>4228</v>
      </c>
    </row>
    <row r="200" spans="1:3" x14ac:dyDescent="0.25">
      <c r="A200">
        <v>199</v>
      </c>
      <c r="B200" t="s">
        <v>597</v>
      </c>
      <c r="C200" t="s">
        <v>4229</v>
      </c>
    </row>
    <row r="201" spans="1:3" x14ac:dyDescent="0.25">
      <c r="A201">
        <v>200</v>
      </c>
      <c r="B201" t="s">
        <v>979</v>
      </c>
      <c r="C201" t="s">
        <v>4230</v>
      </c>
    </row>
    <row r="202" spans="1:3" x14ac:dyDescent="0.25">
      <c r="A202">
        <v>201</v>
      </c>
      <c r="B202" t="s">
        <v>888</v>
      </c>
      <c r="C202" t="s">
        <v>4231</v>
      </c>
    </row>
    <row r="203" spans="1:3" x14ac:dyDescent="0.25">
      <c r="A203">
        <v>202</v>
      </c>
      <c r="B203" t="s">
        <v>1041</v>
      </c>
      <c r="C203" t="s">
        <v>4232</v>
      </c>
    </row>
    <row r="204" spans="1:3" x14ac:dyDescent="0.25">
      <c r="A204">
        <v>203</v>
      </c>
      <c r="B204" t="s">
        <v>237</v>
      </c>
      <c r="C204" t="s">
        <v>4233</v>
      </c>
    </row>
    <row r="205" spans="1:3" x14ac:dyDescent="0.25">
      <c r="A205">
        <v>204</v>
      </c>
      <c r="B205" t="s">
        <v>319</v>
      </c>
      <c r="C205" t="s">
        <v>4234</v>
      </c>
    </row>
    <row r="206" spans="1:3" x14ac:dyDescent="0.25">
      <c r="A206">
        <v>205</v>
      </c>
      <c r="B206" t="s">
        <v>128</v>
      </c>
      <c r="C206" t="s">
        <v>4235</v>
      </c>
    </row>
    <row r="207" spans="1:3" x14ac:dyDescent="0.25">
      <c r="A207">
        <v>206</v>
      </c>
      <c r="B207" t="s">
        <v>949</v>
      </c>
      <c r="C207" t="s">
        <v>4236</v>
      </c>
    </row>
    <row r="208" spans="1:3" x14ac:dyDescent="0.25">
      <c r="A208">
        <v>207</v>
      </c>
      <c r="B208" t="s">
        <v>163</v>
      </c>
      <c r="C208" t="s">
        <v>4237</v>
      </c>
    </row>
    <row r="209" spans="1:3" x14ac:dyDescent="0.25">
      <c r="A209">
        <v>208</v>
      </c>
      <c r="B209" t="s">
        <v>129</v>
      </c>
      <c r="C209" t="s">
        <v>4238</v>
      </c>
    </row>
    <row r="210" spans="1:3" x14ac:dyDescent="0.25">
      <c r="A210">
        <v>209</v>
      </c>
      <c r="B210" t="s">
        <v>168</v>
      </c>
      <c r="C210" t="s">
        <v>4239</v>
      </c>
    </row>
    <row r="211" spans="1:3" x14ac:dyDescent="0.25">
      <c r="A211">
        <v>210</v>
      </c>
      <c r="B211" t="s">
        <v>157</v>
      </c>
      <c r="C211" t="s">
        <v>4240</v>
      </c>
    </row>
    <row r="212" spans="1:3" x14ac:dyDescent="0.25">
      <c r="A212">
        <v>211</v>
      </c>
      <c r="B212" t="s">
        <v>230</v>
      </c>
      <c r="C212" t="s">
        <v>4241</v>
      </c>
    </row>
    <row r="213" spans="1:3" x14ac:dyDescent="0.25">
      <c r="A213">
        <v>212</v>
      </c>
      <c r="B213" t="s">
        <v>1051</v>
      </c>
      <c r="C213" t="s">
        <v>4242</v>
      </c>
    </row>
    <row r="214" spans="1:3" x14ac:dyDescent="0.25">
      <c r="A214">
        <v>213</v>
      </c>
      <c r="B214" t="s">
        <v>162</v>
      </c>
      <c r="C214" t="s">
        <v>4243</v>
      </c>
    </row>
    <row r="215" spans="1:3" x14ac:dyDescent="0.25">
      <c r="A215">
        <v>214</v>
      </c>
      <c r="B215" t="s">
        <v>922</v>
      </c>
      <c r="C215" t="s">
        <v>4244</v>
      </c>
    </row>
    <row r="216" spans="1:3" x14ac:dyDescent="0.25">
      <c r="A216">
        <v>215</v>
      </c>
      <c r="B216" t="s">
        <v>140</v>
      </c>
      <c r="C216" t="s">
        <v>4245</v>
      </c>
    </row>
    <row r="217" spans="1:3" x14ac:dyDescent="0.25">
      <c r="A217">
        <v>216</v>
      </c>
      <c r="B217" t="s">
        <v>141</v>
      </c>
      <c r="C217" t="s">
        <v>4246</v>
      </c>
    </row>
    <row r="218" spans="1:3" x14ac:dyDescent="0.25">
      <c r="A218">
        <v>217</v>
      </c>
      <c r="B218" t="s">
        <v>142</v>
      </c>
      <c r="C218" t="s">
        <v>4247</v>
      </c>
    </row>
    <row r="219" spans="1:3" x14ac:dyDescent="0.25">
      <c r="A219">
        <v>218</v>
      </c>
      <c r="B219" t="s">
        <v>106</v>
      </c>
      <c r="C219" t="s">
        <v>4248</v>
      </c>
    </row>
    <row r="220" spans="1:3" x14ac:dyDescent="0.25">
      <c r="A220">
        <v>219</v>
      </c>
      <c r="B220" t="s">
        <v>910</v>
      </c>
      <c r="C220" t="s">
        <v>4249</v>
      </c>
    </row>
    <row r="221" spans="1:3" x14ac:dyDescent="0.25">
      <c r="A221">
        <v>220</v>
      </c>
      <c r="B221" t="s">
        <v>925</v>
      </c>
      <c r="C221" t="s">
        <v>4250</v>
      </c>
    </row>
    <row r="222" spans="1:3" x14ac:dyDescent="0.25">
      <c r="A222">
        <v>221</v>
      </c>
      <c r="B222" t="s">
        <v>883</v>
      </c>
      <c r="C222" t="s">
        <v>4251</v>
      </c>
    </row>
    <row r="223" spans="1:3" x14ac:dyDescent="0.25">
      <c r="A223">
        <v>222</v>
      </c>
      <c r="B223" t="s">
        <v>97</v>
      </c>
      <c r="C223" t="s">
        <v>4252</v>
      </c>
    </row>
    <row r="224" spans="1:3" x14ac:dyDescent="0.25">
      <c r="A224">
        <v>223</v>
      </c>
      <c r="B224" t="s">
        <v>488</v>
      </c>
      <c r="C224" t="s">
        <v>4253</v>
      </c>
    </row>
    <row r="225" spans="1:3" x14ac:dyDescent="0.25">
      <c r="A225">
        <v>224</v>
      </c>
      <c r="B225" t="s">
        <v>570</v>
      </c>
      <c r="C225" t="s">
        <v>4254</v>
      </c>
    </row>
    <row r="226" spans="1:3" x14ac:dyDescent="0.25">
      <c r="A226">
        <v>225</v>
      </c>
      <c r="B226" t="s">
        <v>444</v>
      </c>
      <c r="C226" t="s">
        <v>4255</v>
      </c>
    </row>
    <row r="227" spans="1:3" x14ac:dyDescent="0.25">
      <c r="A227">
        <v>226</v>
      </c>
      <c r="B227" t="s">
        <v>1312</v>
      </c>
      <c r="C227" t="s">
        <v>4256</v>
      </c>
    </row>
    <row r="228" spans="1:3" x14ac:dyDescent="0.25">
      <c r="A228">
        <v>227</v>
      </c>
      <c r="B228" t="s">
        <v>818</v>
      </c>
      <c r="C228" t="s">
        <v>4257</v>
      </c>
    </row>
    <row r="229" spans="1:3" x14ac:dyDescent="0.25">
      <c r="A229">
        <v>228</v>
      </c>
      <c r="B229" t="s">
        <v>830</v>
      </c>
      <c r="C229" t="s">
        <v>4258</v>
      </c>
    </row>
    <row r="230" spans="1:3" x14ac:dyDescent="0.25">
      <c r="A230">
        <v>229</v>
      </c>
      <c r="B230" t="s">
        <v>871</v>
      </c>
      <c r="C230" t="s">
        <v>4259</v>
      </c>
    </row>
    <row r="231" spans="1:3" x14ac:dyDescent="0.25">
      <c r="A231">
        <v>230</v>
      </c>
      <c r="B231" t="s">
        <v>1089</v>
      </c>
      <c r="C231" t="s">
        <v>4260</v>
      </c>
    </row>
    <row r="232" spans="1:3" x14ac:dyDescent="0.25">
      <c r="A232">
        <v>231</v>
      </c>
      <c r="B232" t="s">
        <v>387</v>
      </c>
      <c r="C232" t="s">
        <v>4261</v>
      </c>
    </row>
    <row r="233" spans="1:3" x14ac:dyDescent="0.25">
      <c r="A233">
        <v>232</v>
      </c>
      <c r="B233" t="s">
        <v>389</v>
      </c>
      <c r="C233" t="s">
        <v>4262</v>
      </c>
    </row>
    <row r="234" spans="1:3" x14ac:dyDescent="0.25">
      <c r="A234">
        <v>233</v>
      </c>
      <c r="B234" t="s">
        <v>257</v>
      </c>
      <c r="C234" t="s">
        <v>4263</v>
      </c>
    </row>
    <row r="235" spans="1:3" x14ac:dyDescent="0.25">
      <c r="A235">
        <v>234</v>
      </c>
      <c r="B235" t="s">
        <v>105</v>
      </c>
      <c r="C235" t="s">
        <v>4264</v>
      </c>
    </row>
    <row r="236" spans="1:3" x14ac:dyDescent="0.25">
      <c r="A236">
        <v>235</v>
      </c>
      <c r="B236" t="s">
        <v>263</v>
      </c>
      <c r="C236" t="s">
        <v>4265</v>
      </c>
    </row>
    <row r="237" spans="1:3" x14ac:dyDescent="0.25">
      <c r="A237">
        <v>236</v>
      </c>
      <c r="B237" t="s">
        <v>81</v>
      </c>
      <c r="C237" t="s">
        <v>4266</v>
      </c>
    </row>
    <row r="238" spans="1:3" x14ac:dyDescent="0.25">
      <c r="A238">
        <v>237</v>
      </c>
      <c r="B238" t="s">
        <v>496</v>
      </c>
      <c r="C238" t="s">
        <v>4267</v>
      </c>
    </row>
    <row r="239" spans="1:3" x14ac:dyDescent="0.25">
      <c r="A239">
        <v>238</v>
      </c>
      <c r="B239" t="s">
        <v>506</v>
      </c>
      <c r="C239" t="s">
        <v>4268</v>
      </c>
    </row>
    <row r="240" spans="1:3" x14ac:dyDescent="0.25">
      <c r="A240">
        <v>239</v>
      </c>
      <c r="B240" t="s">
        <v>519</v>
      </c>
      <c r="C240" t="s">
        <v>4269</v>
      </c>
    </row>
    <row r="241" spans="1:3" x14ac:dyDescent="0.25">
      <c r="A241">
        <v>240</v>
      </c>
      <c r="B241" t="s">
        <v>530</v>
      </c>
      <c r="C241" t="s">
        <v>4270</v>
      </c>
    </row>
    <row r="242" spans="1:3" x14ac:dyDescent="0.25">
      <c r="A242">
        <v>241</v>
      </c>
      <c r="B242" t="s">
        <v>541</v>
      </c>
      <c r="C242" t="s">
        <v>4271</v>
      </c>
    </row>
    <row r="243" spans="1:3" x14ac:dyDescent="0.25">
      <c r="A243">
        <v>242</v>
      </c>
      <c r="B243" t="s">
        <v>554</v>
      </c>
      <c r="C243" t="s">
        <v>4272</v>
      </c>
    </row>
    <row r="244" spans="1:3" x14ac:dyDescent="0.25">
      <c r="A244">
        <v>243</v>
      </c>
      <c r="B244" t="s">
        <v>95</v>
      </c>
      <c r="C244" t="s">
        <v>4273</v>
      </c>
    </row>
    <row r="245" spans="1:3" x14ac:dyDescent="0.25">
      <c r="A245">
        <v>244</v>
      </c>
      <c r="B245" t="s">
        <v>538</v>
      </c>
      <c r="C245" t="s">
        <v>4274</v>
      </c>
    </row>
    <row r="246" spans="1:3" x14ac:dyDescent="0.25">
      <c r="A246">
        <v>245</v>
      </c>
      <c r="B246" t="s">
        <v>548</v>
      </c>
      <c r="C246" t="s">
        <v>4275</v>
      </c>
    </row>
    <row r="247" spans="1:3" x14ac:dyDescent="0.25">
      <c r="A247">
        <v>246</v>
      </c>
      <c r="B247" t="s">
        <v>569</v>
      </c>
      <c r="C247" t="s">
        <v>4276</v>
      </c>
    </row>
    <row r="248" spans="1:3" x14ac:dyDescent="0.25">
      <c r="A248">
        <v>247</v>
      </c>
      <c r="B248" t="s">
        <v>499</v>
      </c>
      <c r="C248" t="s">
        <v>4277</v>
      </c>
    </row>
    <row r="249" spans="1:3" x14ac:dyDescent="0.25">
      <c r="A249">
        <v>248</v>
      </c>
      <c r="B249" t="s">
        <v>509</v>
      </c>
      <c r="C249" t="s">
        <v>4278</v>
      </c>
    </row>
    <row r="250" spans="1:3" x14ac:dyDescent="0.25">
      <c r="A250">
        <v>249</v>
      </c>
      <c r="B250" t="s">
        <v>516</v>
      </c>
      <c r="C250" t="s">
        <v>4279</v>
      </c>
    </row>
    <row r="251" spans="1:3" x14ac:dyDescent="0.25">
      <c r="A251">
        <v>250</v>
      </c>
      <c r="B251" t="s">
        <v>524</v>
      </c>
      <c r="C251" t="s">
        <v>4280</v>
      </c>
    </row>
    <row r="252" spans="1:3" x14ac:dyDescent="0.25">
      <c r="A252">
        <v>251</v>
      </c>
      <c r="B252" t="s">
        <v>633</v>
      </c>
      <c r="C252" t="s">
        <v>4281</v>
      </c>
    </row>
    <row r="253" spans="1:3" x14ac:dyDescent="0.25">
      <c r="A253">
        <v>252</v>
      </c>
      <c r="B253" t="s">
        <v>651</v>
      </c>
      <c r="C253" t="s">
        <v>4282</v>
      </c>
    </row>
    <row r="254" spans="1:3" x14ac:dyDescent="0.25">
      <c r="A254">
        <v>253</v>
      </c>
      <c r="B254" t="s">
        <v>256</v>
      </c>
      <c r="C254" t="s">
        <v>4283</v>
      </c>
    </row>
    <row r="255" spans="1:3" x14ac:dyDescent="0.25">
      <c r="A255">
        <v>254</v>
      </c>
      <c r="B255" t="s">
        <v>219</v>
      </c>
      <c r="C255" t="s">
        <v>4284</v>
      </c>
    </row>
    <row r="256" spans="1:3" x14ac:dyDescent="0.25">
      <c r="A256">
        <v>255</v>
      </c>
      <c r="B256" t="s">
        <v>619</v>
      </c>
      <c r="C256" t="s">
        <v>4285</v>
      </c>
    </row>
    <row r="257" spans="1:3" x14ac:dyDescent="0.25">
      <c r="A257">
        <v>256</v>
      </c>
      <c r="B257" t="s">
        <v>101</v>
      </c>
      <c r="C257" t="s">
        <v>4286</v>
      </c>
    </row>
    <row r="258" spans="1:3" x14ac:dyDescent="0.25">
      <c r="A258">
        <v>257</v>
      </c>
      <c r="B258" t="s">
        <v>224</v>
      </c>
      <c r="C258" t="s">
        <v>4287</v>
      </c>
    </row>
    <row r="259" spans="1:3" x14ac:dyDescent="0.25">
      <c r="A259">
        <v>258</v>
      </c>
      <c r="B259" t="s">
        <v>93</v>
      </c>
      <c r="C259" t="s">
        <v>4288</v>
      </c>
    </row>
    <row r="260" spans="1:3" x14ac:dyDescent="0.25">
      <c r="A260">
        <v>259</v>
      </c>
      <c r="B260" t="s">
        <v>79</v>
      </c>
      <c r="C260" t="s">
        <v>4289</v>
      </c>
    </row>
    <row r="261" spans="1:3" x14ac:dyDescent="0.25">
      <c r="A261">
        <v>260</v>
      </c>
      <c r="B261" t="s">
        <v>161</v>
      </c>
      <c r="C261" t="s">
        <v>4290</v>
      </c>
    </row>
    <row r="262" spans="1:3" x14ac:dyDescent="0.25">
      <c r="A262">
        <v>261</v>
      </c>
      <c r="B262" t="s">
        <v>180</v>
      </c>
      <c r="C262" t="s">
        <v>4291</v>
      </c>
    </row>
    <row r="263" spans="1:3" x14ac:dyDescent="0.25">
      <c r="A263">
        <v>262</v>
      </c>
      <c r="B263" t="s">
        <v>388</v>
      </c>
      <c r="C263" t="s">
        <v>4292</v>
      </c>
    </row>
    <row r="264" spans="1:3" x14ac:dyDescent="0.25">
      <c r="A264">
        <v>263</v>
      </c>
      <c r="B264" t="s">
        <v>401</v>
      </c>
      <c r="C264" t="s">
        <v>4293</v>
      </c>
    </row>
    <row r="265" spans="1:3" x14ac:dyDescent="0.25">
      <c r="A265">
        <v>264</v>
      </c>
      <c r="B265" t="s">
        <v>402</v>
      </c>
      <c r="C265" t="s">
        <v>4294</v>
      </c>
    </row>
    <row r="266" spans="1:3" x14ac:dyDescent="0.25">
      <c r="A266">
        <v>265</v>
      </c>
      <c r="B266" t="s">
        <v>622</v>
      </c>
      <c r="C266" t="s">
        <v>4295</v>
      </c>
    </row>
    <row r="267" spans="1:3" x14ac:dyDescent="0.25">
      <c r="A267">
        <v>266</v>
      </c>
      <c r="B267" t="s">
        <v>386</v>
      </c>
      <c r="C267" t="s">
        <v>4296</v>
      </c>
    </row>
    <row r="268" spans="1:3" x14ac:dyDescent="0.25">
      <c r="A268">
        <v>267</v>
      </c>
      <c r="B268" t="s">
        <v>400</v>
      </c>
      <c r="C268" t="s">
        <v>4297</v>
      </c>
    </row>
    <row r="269" spans="1:3" x14ac:dyDescent="0.25">
      <c r="A269">
        <v>268</v>
      </c>
      <c r="B269" t="s">
        <v>433</v>
      </c>
      <c r="C269" t="s">
        <v>4298</v>
      </c>
    </row>
    <row r="270" spans="1:3" x14ac:dyDescent="0.25">
      <c r="A270">
        <v>269</v>
      </c>
      <c r="B270" t="s">
        <v>458</v>
      </c>
      <c r="C270" t="s">
        <v>4299</v>
      </c>
    </row>
    <row r="271" spans="1:3" x14ac:dyDescent="0.25">
      <c r="A271">
        <v>270</v>
      </c>
      <c r="B271" t="s">
        <v>408</v>
      </c>
      <c r="C271" t="s">
        <v>4300</v>
      </c>
    </row>
    <row r="272" spans="1:3" x14ac:dyDescent="0.25">
      <c r="A272">
        <v>271</v>
      </c>
      <c r="B272" t="s">
        <v>418</v>
      </c>
      <c r="C272" t="s">
        <v>4301</v>
      </c>
    </row>
    <row r="273" spans="1:3" x14ac:dyDescent="0.25">
      <c r="A273">
        <v>272</v>
      </c>
      <c r="B273" t="s">
        <v>425</v>
      </c>
      <c r="C273" t="s">
        <v>4302</v>
      </c>
    </row>
    <row r="274" spans="1:3" x14ac:dyDescent="0.25">
      <c r="A274">
        <v>273</v>
      </c>
      <c r="B274" t="s">
        <v>429</v>
      </c>
      <c r="C274" t="s">
        <v>4303</v>
      </c>
    </row>
    <row r="275" spans="1:3" x14ac:dyDescent="0.25">
      <c r="A275">
        <v>274</v>
      </c>
      <c r="B275" t="s">
        <v>478</v>
      </c>
      <c r="C275" t="s">
        <v>4304</v>
      </c>
    </row>
    <row r="276" spans="1:3" x14ac:dyDescent="0.25">
      <c r="A276">
        <v>275</v>
      </c>
      <c r="B276" t="s">
        <v>153</v>
      </c>
      <c r="C276" t="s">
        <v>4305</v>
      </c>
    </row>
    <row r="277" spans="1:3" x14ac:dyDescent="0.25">
      <c r="A277">
        <v>276</v>
      </c>
      <c r="B277" t="s">
        <v>413</v>
      </c>
      <c r="C277" t="s">
        <v>4306</v>
      </c>
    </row>
    <row r="278" spans="1:3" x14ac:dyDescent="0.25">
      <c r="A278">
        <v>277</v>
      </c>
      <c r="B278" t="s">
        <v>487</v>
      </c>
      <c r="C278" t="s">
        <v>4307</v>
      </c>
    </row>
    <row r="279" spans="1:3" x14ac:dyDescent="0.25">
      <c r="A279">
        <v>278</v>
      </c>
      <c r="B279" t="s">
        <v>243</v>
      </c>
      <c r="C279" t="s">
        <v>4308</v>
      </c>
    </row>
    <row r="280" spans="1:3" x14ac:dyDescent="0.25">
      <c r="A280">
        <v>279</v>
      </c>
      <c r="B280" t="s">
        <v>442</v>
      </c>
      <c r="C280" t="s">
        <v>4309</v>
      </c>
    </row>
    <row r="281" spans="1:3" x14ac:dyDescent="0.25">
      <c r="A281">
        <v>280</v>
      </c>
      <c r="B281" t="s">
        <v>109</v>
      </c>
      <c r="C281" t="s">
        <v>4310</v>
      </c>
    </row>
    <row r="282" spans="1:3" x14ac:dyDescent="0.25">
      <c r="A282">
        <v>281</v>
      </c>
      <c r="B282" t="s">
        <v>94</v>
      </c>
      <c r="C282" t="s">
        <v>4311</v>
      </c>
    </row>
    <row r="283" spans="1:3" x14ac:dyDescent="0.25">
      <c r="A283">
        <v>282</v>
      </c>
      <c r="B283" t="s">
        <v>225</v>
      </c>
      <c r="C283" t="s">
        <v>4312</v>
      </c>
    </row>
    <row r="284" spans="1:3" x14ac:dyDescent="0.25">
      <c r="A284">
        <v>283</v>
      </c>
      <c r="B284" t="s">
        <v>864</v>
      </c>
      <c r="C284" t="s">
        <v>4313</v>
      </c>
    </row>
    <row r="285" spans="1:3" x14ac:dyDescent="0.25">
      <c r="A285">
        <v>284</v>
      </c>
      <c r="B285" t="s">
        <v>874</v>
      </c>
      <c r="C285" t="s">
        <v>4314</v>
      </c>
    </row>
    <row r="286" spans="1:3" x14ac:dyDescent="0.25">
      <c r="A286">
        <v>285</v>
      </c>
      <c r="B286" t="s">
        <v>33</v>
      </c>
      <c r="C286" t="s">
        <v>4315</v>
      </c>
    </row>
    <row r="287" spans="1:3" x14ac:dyDescent="0.25">
      <c r="A287">
        <v>286</v>
      </c>
      <c r="B287" t="s">
        <v>316</v>
      </c>
      <c r="C287" t="s">
        <v>4316</v>
      </c>
    </row>
    <row r="288" spans="1:3" x14ac:dyDescent="0.25">
      <c r="A288">
        <v>287</v>
      </c>
      <c r="B288" t="s">
        <v>835</v>
      </c>
      <c r="C288" t="s">
        <v>4317</v>
      </c>
    </row>
    <row r="289" spans="1:3" x14ac:dyDescent="0.25">
      <c r="A289">
        <v>288</v>
      </c>
      <c r="B289" t="s">
        <v>829</v>
      </c>
      <c r="C289" t="s">
        <v>4318</v>
      </c>
    </row>
    <row r="290" spans="1:3" x14ac:dyDescent="0.25">
      <c r="A290">
        <v>289</v>
      </c>
      <c r="B290" t="s">
        <v>846</v>
      </c>
      <c r="C290" t="s">
        <v>4319</v>
      </c>
    </row>
    <row r="291" spans="1:3" x14ac:dyDescent="0.25">
      <c r="A291">
        <v>290</v>
      </c>
      <c r="B291" t="s">
        <v>857</v>
      </c>
      <c r="C291" t="s">
        <v>4320</v>
      </c>
    </row>
    <row r="292" spans="1:3" x14ac:dyDescent="0.25">
      <c r="A292">
        <v>291</v>
      </c>
      <c r="B292" t="s">
        <v>869</v>
      </c>
      <c r="C292" t="s">
        <v>4321</v>
      </c>
    </row>
    <row r="293" spans="1:3" x14ac:dyDescent="0.25">
      <c r="A293">
        <v>292</v>
      </c>
      <c r="B293" t="s">
        <v>777</v>
      </c>
      <c r="C293" t="s">
        <v>4322</v>
      </c>
    </row>
    <row r="294" spans="1:3" x14ac:dyDescent="0.25">
      <c r="A294">
        <v>293</v>
      </c>
      <c r="B294" t="s">
        <v>809</v>
      </c>
      <c r="C294" t="s">
        <v>4323</v>
      </c>
    </row>
    <row r="295" spans="1:3" x14ac:dyDescent="0.25">
      <c r="A295">
        <v>294</v>
      </c>
      <c r="B295" t="s">
        <v>820</v>
      </c>
      <c r="C295" t="s">
        <v>4324</v>
      </c>
    </row>
    <row r="296" spans="1:3" x14ac:dyDescent="0.25">
      <c r="A296">
        <v>295</v>
      </c>
      <c r="B296" t="s">
        <v>733</v>
      </c>
      <c r="C296" t="s">
        <v>4325</v>
      </c>
    </row>
    <row r="297" spans="1:3" x14ac:dyDescent="0.25">
      <c r="A297">
        <v>296</v>
      </c>
      <c r="B297" t="s">
        <v>745</v>
      </c>
      <c r="C297" t="s">
        <v>4326</v>
      </c>
    </row>
    <row r="298" spans="1:3" x14ac:dyDescent="0.25">
      <c r="A298">
        <v>297</v>
      </c>
      <c r="B298" t="s">
        <v>753</v>
      </c>
      <c r="C298" t="s">
        <v>4327</v>
      </c>
    </row>
    <row r="299" spans="1:3" x14ac:dyDescent="0.25">
      <c r="A299">
        <v>298</v>
      </c>
      <c r="B299" t="s">
        <v>766</v>
      </c>
      <c r="C299" t="s">
        <v>4328</v>
      </c>
    </row>
    <row r="300" spans="1:3" x14ac:dyDescent="0.25">
      <c r="A300">
        <v>299</v>
      </c>
      <c r="B300" t="s">
        <v>317</v>
      </c>
      <c r="C300" t="s">
        <v>4329</v>
      </c>
    </row>
    <row r="301" spans="1:3" x14ac:dyDescent="0.25">
      <c r="A301">
        <v>300</v>
      </c>
      <c r="B301" t="s">
        <v>103</v>
      </c>
      <c r="C301" t="s">
        <v>4330</v>
      </c>
    </row>
    <row r="302" spans="1:3" x14ac:dyDescent="0.25">
      <c r="A302">
        <v>301</v>
      </c>
      <c r="B302" t="s">
        <v>825</v>
      </c>
      <c r="C302" t="s">
        <v>4331</v>
      </c>
    </row>
    <row r="303" spans="1:3" x14ac:dyDescent="0.25">
      <c r="A303">
        <v>302</v>
      </c>
      <c r="B303" t="s">
        <v>944</v>
      </c>
      <c r="C303" t="s">
        <v>4332</v>
      </c>
    </row>
    <row r="304" spans="1:3" x14ac:dyDescent="0.25">
      <c r="A304">
        <v>303</v>
      </c>
      <c r="B304" t="s">
        <v>737</v>
      </c>
      <c r="C304" t="s">
        <v>4333</v>
      </c>
    </row>
    <row r="305" spans="1:3" x14ac:dyDescent="0.25">
      <c r="A305">
        <v>304</v>
      </c>
      <c r="B305" t="s">
        <v>265</v>
      </c>
      <c r="C305" t="s">
        <v>4334</v>
      </c>
    </row>
    <row r="306" spans="1:3" x14ac:dyDescent="0.25">
      <c r="A306">
        <v>305</v>
      </c>
      <c r="B306" t="s">
        <v>761</v>
      </c>
      <c r="C306" t="s">
        <v>4335</v>
      </c>
    </row>
    <row r="307" spans="1:3" x14ac:dyDescent="0.25">
      <c r="A307">
        <v>306</v>
      </c>
      <c r="B307" t="s">
        <v>798</v>
      </c>
      <c r="C307" t="s">
        <v>4336</v>
      </c>
    </row>
    <row r="308" spans="1:3" x14ac:dyDescent="0.25">
      <c r="A308">
        <v>307</v>
      </c>
      <c r="B308" t="s">
        <v>787</v>
      </c>
      <c r="C308" t="s">
        <v>4337</v>
      </c>
    </row>
    <row r="309" spans="1:3" x14ac:dyDescent="0.25">
      <c r="A309">
        <v>308</v>
      </c>
      <c r="B309" t="s">
        <v>803</v>
      </c>
      <c r="C309" t="s">
        <v>4338</v>
      </c>
    </row>
    <row r="310" spans="1:3" x14ac:dyDescent="0.25">
      <c r="A310">
        <v>309</v>
      </c>
      <c r="B310" t="s">
        <v>784</v>
      </c>
      <c r="C310" t="s">
        <v>4339</v>
      </c>
    </row>
    <row r="311" spans="1:3" x14ac:dyDescent="0.25">
      <c r="A311">
        <v>310</v>
      </c>
      <c r="B311" t="s">
        <v>403</v>
      </c>
      <c r="C311" t="s">
        <v>4340</v>
      </c>
    </row>
    <row r="312" spans="1:3" x14ac:dyDescent="0.25">
      <c r="A312">
        <v>311</v>
      </c>
      <c r="B312" t="s">
        <v>808</v>
      </c>
      <c r="C312" t="s">
        <v>4341</v>
      </c>
    </row>
    <row r="313" spans="1:3" x14ac:dyDescent="0.25">
      <c r="A313">
        <v>312</v>
      </c>
      <c r="B313" t="s">
        <v>127</v>
      </c>
      <c r="C313" t="s">
        <v>4342</v>
      </c>
    </row>
    <row r="314" spans="1:3" x14ac:dyDescent="0.25">
      <c r="A314">
        <v>313</v>
      </c>
      <c r="B314" t="s">
        <v>87</v>
      </c>
      <c r="C314" t="s">
        <v>4343</v>
      </c>
    </row>
    <row r="315" spans="1:3" x14ac:dyDescent="0.25">
      <c r="A315">
        <v>314</v>
      </c>
      <c r="B315" t="s">
        <v>638</v>
      </c>
      <c r="C315" t="s">
        <v>4344</v>
      </c>
    </row>
    <row r="316" spans="1:3" x14ac:dyDescent="0.25">
      <c r="A316">
        <v>315</v>
      </c>
      <c r="B316" t="s">
        <v>242</v>
      </c>
      <c r="C316" t="s">
        <v>4345</v>
      </c>
    </row>
    <row r="317" spans="1:3" x14ac:dyDescent="0.25">
      <c r="A317">
        <v>316</v>
      </c>
      <c r="B317" t="s">
        <v>178</v>
      </c>
      <c r="C317" t="s">
        <v>4346</v>
      </c>
    </row>
    <row r="318" spans="1:3" x14ac:dyDescent="0.25">
      <c r="A318">
        <v>317</v>
      </c>
      <c r="B318" t="s">
        <v>215</v>
      </c>
      <c r="C318" t="s">
        <v>4347</v>
      </c>
    </row>
    <row r="319" spans="1:3" x14ac:dyDescent="0.25">
      <c r="A319">
        <v>318</v>
      </c>
      <c r="B319" t="s">
        <v>435</v>
      </c>
      <c r="C319" t="s">
        <v>4348</v>
      </c>
    </row>
    <row r="320" spans="1:3" x14ac:dyDescent="0.25">
      <c r="A320">
        <v>319</v>
      </c>
      <c r="B320" t="s">
        <v>1024</v>
      </c>
      <c r="C320" t="s">
        <v>4349</v>
      </c>
    </row>
    <row r="321" spans="1:3" x14ac:dyDescent="0.25">
      <c r="A321">
        <v>320</v>
      </c>
      <c r="B321" t="s">
        <v>656</v>
      </c>
      <c r="C321" t="s">
        <v>4350</v>
      </c>
    </row>
    <row r="322" spans="1:3" x14ac:dyDescent="0.25">
      <c r="A322">
        <v>321</v>
      </c>
      <c r="B322" t="s">
        <v>1520</v>
      </c>
      <c r="C322" t="s">
        <v>4351</v>
      </c>
    </row>
    <row r="323" spans="1:3" x14ac:dyDescent="0.25">
      <c r="A323">
        <v>322</v>
      </c>
      <c r="B323" t="s">
        <v>138</v>
      </c>
      <c r="C323" t="s">
        <v>4352</v>
      </c>
    </row>
    <row r="324" spans="1:3" x14ac:dyDescent="0.25">
      <c r="A324">
        <v>323</v>
      </c>
      <c r="B324" t="s">
        <v>996</v>
      </c>
      <c r="C324" t="s">
        <v>4353</v>
      </c>
    </row>
    <row r="325" spans="1:3" x14ac:dyDescent="0.25">
      <c r="A325">
        <v>324</v>
      </c>
      <c r="B325" t="s">
        <v>1381</v>
      </c>
      <c r="C325" t="s">
        <v>4354</v>
      </c>
    </row>
    <row r="326" spans="1:3" x14ac:dyDescent="0.25">
      <c r="A326">
        <v>325</v>
      </c>
      <c r="B326" t="s">
        <v>443</v>
      </c>
      <c r="C326" t="s">
        <v>4355</v>
      </c>
    </row>
    <row r="327" spans="1:3" x14ac:dyDescent="0.25">
      <c r="A327">
        <v>326</v>
      </c>
      <c r="B327" t="s">
        <v>698</v>
      </c>
      <c r="C327" t="s">
        <v>4356</v>
      </c>
    </row>
    <row r="328" spans="1:3" x14ac:dyDescent="0.25">
      <c r="A328">
        <v>327</v>
      </c>
      <c r="B328" t="s">
        <v>847</v>
      </c>
      <c r="C328" t="s">
        <v>4357</v>
      </c>
    </row>
    <row r="329" spans="1:3" x14ac:dyDescent="0.25">
      <c r="A329">
        <v>328</v>
      </c>
      <c r="B329" t="s">
        <v>1142</v>
      </c>
      <c r="C329" t="s">
        <v>4358</v>
      </c>
    </row>
    <row r="330" spans="1:3" x14ac:dyDescent="0.25">
      <c r="A330">
        <v>329</v>
      </c>
      <c r="B330" t="s">
        <v>233</v>
      </c>
      <c r="C330" t="s">
        <v>4359</v>
      </c>
    </row>
    <row r="331" spans="1:3" x14ac:dyDescent="0.25">
      <c r="A331">
        <v>330</v>
      </c>
      <c r="B331" t="s">
        <v>1079</v>
      </c>
      <c r="C331" t="s">
        <v>4360</v>
      </c>
    </row>
    <row r="332" spans="1:3" x14ac:dyDescent="0.25">
      <c r="A332">
        <v>331</v>
      </c>
      <c r="B332" t="s">
        <v>583</v>
      </c>
      <c r="C332" t="s">
        <v>4361</v>
      </c>
    </row>
    <row r="333" spans="1:3" x14ac:dyDescent="0.25">
      <c r="A333">
        <v>332</v>
      </c>
      <c r="B333" t="s">
        <v>1319</v>
      </c>
      <c r="C333" t="s">
        <v>4362</v>
      </c>
    </row>
    <row r="334" spans="1:3" x14ac:dyDescent="0.25">
      <c r="A334">
        <v>333</v>
      </c>
      <c r="B334" t="s">
        <v>1590</v>
      </c>
      <c r="C334" t="s">
        <v>4363</v>
      </c>
    </row>
    <row r="335" spans="1:3" x14ac:dyDescent="0.25">
      <c r="A335">
        <v>334</v>
      </c>
      <c r="B335" t="s">
        <v>238</v>
      </c>
      <c r="C335" t="s">
        <v>4364</v>
      </c>
    </row>
    <row r="336" spans="1:3" x14ac:dyDescent="0.25">
      <c r="A336">
        <v>335</v>
      </c>
      <c r="B336" t="s">
        <v>120</v>
      </c>
      <c r="C336" t="s">
        <v>4365</v>
      </c>
    </row>
    <row r="337" spans="1:3" x14ac:dyDescent="0.25">
      <c r="A337">
        <v>336</v>
      </c>
      <c r="B337" t="s">
        <v>981</v>
      </c>
      <c r="C337" t="s">
        <v>4366</v>
      </c>
    </row>
    <row r="338" spans="1:3" x14ac:dyDescent="0.25">
      <c r="A338">
        <v>337</v>
      </c>
      <c r="B338" t="s">
        <v>1006</v>
      </c>
      <c r="C338" t="s">
        <v>4367</v>
      </c>
    </row>
    <row r="339" spans="1:3" x14ac:dyDescent="0.25">
      <c r="A339">
        <v>338</v>
      </c>
      <c r="B339" t="s">
        <v>1486</v>
      </c>
      <c r="C339" t="s">
        <v>4368</v>
      </c>
    </row>
    <row r="340" spans="1:3" x14ac:dyDescent="0.25">
      <c r="A340">
        <v>339</v>
      </c>
      <c r="B340" t="s">
        <v>1481</v>
      </c>
      <c r="C340" t="s">
        <v>4369</v>
      </c>
    </row>
    <row r="341" spans="1:3" x14ac:dyDescent="0.25">
      <c r="A341">
        <v>340</v>
      </c>
      <c r="B341" t="s">
        <v>831</v>
      </c>
      <c r="C341" t="s">
        <v>4370</v>
      </c>
    </row>
    <row r="342" spans="1:3" x14ac:dyDescent="0.25">
      <c r="A342">
        <v>341</v>
      </c>
      <c r="B342" t="s">
        <v>951</v>
      </c>
      <c r="C342" t="s">
        <v>4371</v>
      </c>
    </row>
    <row r="343" spans="1:3" x14ac:dyDescent="0.25">
      <c r="A343">
        <v>342</v>
      </c>
      <c r="B343" t="s">
        <v>164</v>
      </c>
      <c r="C343" t="s">
        <v>4372</v>
      </c>
    </row>
    <row r="344" spans="1:3" x14ac:dyDescent="0.25">
      <c r="A344">
        <v>343</v>
      </c>
      <c r="B344" t="s">
        <v>1562</v>
      </c>
      <c r="C344" t="s">
        <v>4373</v>
      </c>
    </row>
    <row r="345" spans="1:3" x14ac:dyDescent="0.25">
      <c r="A345">
        <v>344</v>
      </c>
      <c r="B345" t="s">
        <v>280</v>
      </c>
      <c r="C345" t="s">
        <v>4374</v>
      </c>
    </row>
    <row r="346" spans="1:3" x14ac:dyDescent="0.25">
      <c r="A346">
        <v>345</v>
      </c>
      <c r="B346" t="s">
        <v>390</v>
      </c>
      <c r="C346" t="s">
        <v>4375</v>
      </c>
    </row>
    <row r="347" spans="1:3" x14ac:dyDescent="0.25">
      <c r="A347">
        <v>346</v>
      </c>
      <c r="B347" t="s">
        <v>404</v>
      </c>
      <c r="C347" t="s">
        <v>4376</v>
      </c>
    </row>
    <row r="348" spans="1:3" x14ac:dyDescent="0.25">
      <c r="A348">
        <v>347</v>
      </c>
      <c r="B348" t="s">
        <v>810</v>
      </c>
      <c r="C348" t="s">
        <v>4377</v>
      </c>
    </row>
    <row r="349" spans="1:3" x14ac:dyDescent="0.25">
      <c r="A349">
        <v>348</v>
      </c>
      <c r="B349" t="s">
        <v>154</v>
      </c>
      <c r="C349" t="s">
        <v>4378</v>
      </c>
    </row>
    <row r="350" spans="1:3" x14ac:dyDescent="0.25">
      <c r="A350">
        <v>349</v>
      </c>
      <c r="B350" t="s">
        <v>286</v>
      </c>
      <c r="C350" t="s">
        <v>4379</v>
      </c>
    </row>
    <row r="351" spans="1:3" x14ac:dyDescent="0.25">
      <c r="A351">
        <v>350</v>
      </c>
      <c r="B351" t="s">
        <v>491</v>
      </c>
      <c r="C351" t="s">
        <v>4380</v>
      </c>
    </row>
    <row r="352" spans="1:3" x14ac:dyDescent="0.25">
      <c r="A352">
        <v>351</v>
      </c>
      <c r="B352" t="s">
        <v>585</v>
      </c>
      <c r="C352" t="s">
        <v>4381</v>
      </c>
    </row>
    <row r="353" spans="1:3" x14ac:dyDescent="0.25">
      <c r="A353">
        <v>352</v>
      </c>
      <c r="B353" t="s">
        <v>266</v>
      </c>
      <c r="C353" t="s">
        <v>4382</v>
      </c>
    </row>
    <row r="354" spans="1:3" x14ac:dyDescent="0.25">
      <c r="A354">
        <v>353</v>
      </c>
      <c r="B354" t="s">
        <v>409</v>
      </c>
      <c r="C354" t="s">
        <v>4383</v>
      </c>
    </row>
    <row r="355" spans="1:3" x14ac:dyDescent="0.25">
      <c r="A355">
        <v>354</v>
      </c>
      <c r="B355" t="s">
        <v>813</v>
      </c>
      <c r="C355" t="s">
        <v>4384</v>
      </c>
    </row>
    <row r="356" spans="1:3" x14ac:dyDescent="0.25">
      <c r="A356">
        <v>355</v>
      </c>
      <c r="B356" t="s">
        <v>1726</v>
      </c>
      <c r="C356" t="s">
        <v>4385</v>
      </c>
    </row>
    <row r="357" spans="1:3" x14ac:dyDescent="0.25">
      <c r="A357">
        <v>356</v>
      </c>
      <c r="B357" t="s">
        <v>1025</v>
      </c>
      <c r="C357" t="s">
        <v>4386</v>
      </c>
    </row>
    <row r="358" spans="1:3" x14ac:dyDescent="0.25">
      <c r="A358">
        <v>357</v>
      </c>
      <c r="B358" t="s">
        <v>1166</v>
      </c>
      <c r="C358" t="s">
        <v>4387</v>
      </c>
    </row>
    <row r="359" spans="1:3" x14ac:dyDescent="0.25">
      <c r="A359">
        <v>358</v>
      </c>
      <c r="B359" t="s">
        <v>1519</v>
      </c>
      <c r="C359" t="s">
        <v>4388</v>
      </c>
    </row>
    <row r="360" spans="1:3" x14ac:dyDescent="0.25">
      <c r="A360">
        <v>359</v>
      </c>
      <c r="B360" t="s">
        <v>1470</v>
      </c>
      <c r="C360" t="s">
        <v>4389</v>
      </c>
    </row>
    <row r="361" spans="1:3" x14ac:dyDescent="0.25">
      <c r="A361">
        <v>360</v>
      </c>
      <c r="B361" t="s">
        <v>1720</v>
      </c>
      <c r="C361" t="s">
        <v>4390</v>
      </c>
    </row>
    <row r="362" spans="1:3" x14ac:dyDescent="0.25">
      <c r="A362">
        <v>361</v>
      </c>
      <c r="B362" t="s">
        <v>445</v>
      </c>
      <c r="C362" t="s">
        <v>4391</v>
      </c>
    </row>
    <row r="363" spans="1:3" x14ac:dyDescent="0.25">
      <c r="A363">
        <v>362</v>
      </c>
      <c r="B363" t="s">
        <v>459</v>
      </c>
      <c r="C363" t="s">
        <v>4392</v>
      </c>
    </row>
    <row r="364" spans="1:3" x14ac:dyDescent="0.25">
      <c r="A364">
        <v>363</v>
      </c>
      <c r="B364" t="s">
        <v>1370</v>
      </c>
      <c r="C364" t="s">
        <v>4393</v>
      </c>
    </row>
    <row r="365" spans="1:3" x14ac:dyDescent="0.25">
      <c r="A365">
        <v>364</v>
      </c>
      <c r="B365" t="s">
        <v>1662</v>
      </c>
      <c r="C365" t="s">
        <v>4394</v>
      </c>
    </row>
    <row r="366" spans="1:3" x14ac:dyDescent="0.25">
      <c r="A366">
        <v>365</v>
      </c>
      <c r="B366" t="s">
        <v>415</v>
      </c>
      <c r="C366" t="s">
        <v>4395</v>
      </c>
    </row>
    <row r="367" spans="1:3" x14ac:dyDescent="0.25">
      <c r="A367">
        <v>366</v>
      </c>
      <c r="B367" t="s">
        <v>1672</v>
      </c>
      <c r="C367" t="s">
        <v>4396</v>
      </c>
    </row>
    <row r="368" spans="1:3" x14ac:dyDescent="0.25">
      <c r="A368">
        <v>367</v>
      </c>
      <c r="B368" t="s">
        <v>393</v>
      </c>
      <c r="C368" t="s">
        <v>4397</v>
      </c>
    </row>
    <row r="369" spans="1:3" x14ac:dyDescent="0.25">
      <c r="A369">
        <v>368</v>
      </c>
      <c r="B369" t="s">
        <v>608</v>
      </c>
      <c r="C369" t="s">
        <v>4398</v>
      </c>
    </row>
    <row r="370" spans="1:3" x14ac:dyDescent="0.25">
      <c r="A370">
        <v>369</v>
      </c>
      <c r="B370" t="s">
        <v>1550</v>
      </c>
      <c r="C370" t="s">
        <v>4399</v>
      </c>
    </row>
    <row r="371" spans="1:3" x14ac:dyDescent="0.25">
      <c r="A371">
        <v>370</v>
      </c>
      <c r="B371" t="s">
        <v>135</v>
      </c>
      <c r="C371" t="s">
        <v>4400</v>
      </c>
    </row>
    <row r="372" spans="1:3" x14ac:dyDescent="0.25">
      <c r="A372">
        <v>371</v>
      </c>
      <c r="B372" t="s">
        <v>1663</v>
      </c>
      <c r="C372" t="s">
        <v>4401</v>
      </c>
    </row>
    <row r="373" spans="1:3" x14ac:dyDescent="0.25">
      <c r="A373">
        <v>372</v>
      </c>
      <c r="B373" t="s">
        <v>1673</v>
      </c>
      <c r="C373" t="s">
        <v>4402</v>
      </c>
    </row>
    <row r="374" spans="1:3" x14ac:dyDescent="0.25">
      <c r="A374">
        <v>373</v>
      </c>
      <c r="B374" t="s">
        <v>460</v>
      </c>
      <c r="C374" t="s">
        <v>4403</v>
      </c>
    </row>
    <row r="375" spans="1:3" x14ac:dyDescent="0.25">
      <c r="A375">
        <v>374</v>
      </c>
      <c r="B375" t="s">
        <v>1333</v>
      </c>
      <c r="C375" t="s">
        <v>4404</v>
      </c>
    </row>
    <row r="376" spans="1:3" x14ac:dyDescent="0.25">
      <c r="A376">
        <v>375</v>
      </c>
      <c r="B376" t="s">
        <v>912</v>
      </c>
      <c r="C376" t="s">
        <v>4405</v>
      </c>
    </row>
    <row r="377" spans="1:3" x14ac:dyDescent="0.25">
      <c r="A377">
        <v>376</v>
      </c>
      <c r="B377" t="s">
        <v>446</v>
      </c>
      <c r="C377" t="s">
        <v>4406</v>
      </c>
    </row>
    <row r="378" spans="1:3" x14ac:dyDescent="0.25">
      <c r="A378">
        <v>377</v>
      </c>
      <c r="B378" t="s">
        <v>271</v>
      </c>
      <c r="C378" t="s">
        <v>4407</v>
      </c>
    </row>
    <row r="379" spans="1:3" x14ac:dyDescent="0.25">
      <c r="A379">
        <v>378</v>
      </c>
      <c r="B379" t="s">
        <v>277</v>
      </c>
      <c r="C379" t="s">
        <v>4408</v>
      </c>
    </row>
    <row r="380" spans="1:3" x14ac:dyDescent="0.25">
      <c r="A380">
        <v>379</v>
      </c>
      <c r="B380" t="s">
        <v>281</v>
      </c>
      <c r="C380" t="s">
        <v>4409</v>
      </c>
    </row>
    <row r="381" spans="1:3" x14ac:dyDescent="0.25">
      <c r="A381">
        <v>380</v>
      </c>
      <c r="B381" t="s">
        <v>1455</v>
      </c>
      <c r="C381" t="s">
        <v>4410</v>
      </c>
    </row>
    <row r="382" spans="1:3" x14ac:dyDescent="0.25">
      <c r="A382">
        <v>381</v>
      </c>
      <c r="B382" t="s">
        <v>291</v>
      </c>
      <c r="C382" t="s">
        <v>4411</v>
      </c>
    </row>
    <row r="383" spans="1:3" x14ac:dyDescent="0.25">
      <c r="A383">
        <v>382</v>
      </c>
      <c r="B383" t="s">
        <v>2021</v>
      </c>
      <c r="C383" t="s">
        <v>4412</v>
      </c>
    </row>
    <row r="384" spans="1:3" x14ac:dyDescent="0.25">
      <c r="A384">
        <v>383</v>
      </c>
      <c r="B384" t="s">
        <v>492</v>
      </c>
      <c r="C384" t="s">
        <v>4413</v>
      </c>
    </row>
    <row r="385" spans="1:3" x14ac:dyDescent="0.25">
      <c r="A385">
        <v>384</v>
      </c>
      <c r="B385" t="s">
        <v>1257</v>
      </c>
      <c r="C385" t="s">
        <v>4414</v>
      </c>
    </row>
    <row r="386" spans="1:3" x14ac:dyDescent="0.25">
      <c r="A386">
        <v>385</v>
      </c>
      <c r="B386" t="s">
        <v>1258</v>
      </c>
      <c r="C386" t="s">
        <v>4415</v>
      </c>
    </row>
    <row r="387" spans="1:3" x14ac:dyDescent="0.25">
      <c r="A387">
        <v>386</v>
      </c>
      <c r="B387" t="s">
        <v>1259</v>
      </c>
      <c r="C387" t="s">
        <v>4416</v>
      </c>
    </row>
    <row r="388" spans="1:3" x14ac:dyDescent="0.25">
      <c r="A388">
        <v>387</v>
      </c>
      <c r="B388" t="s">
        <v>966</v>
      </c>
      <c r="C388" t="s">
        <v>4417</v>
      </c>
    </row>
    <row r="389" spans="1:3" x14ac:dyDescent="0.25">
      <c r="A389">
        <v>388</v>
      </c>
      <c r="B389" t="s">
        <v>1062</v>
      </c>
      <c r="C389" t="s">
        <v>4418</v>
      </c>
    </row>
    <row r="390" spans="1:3" x14ac:dyDescent="0.25">
      <c r="A390">
        <v>389</v>
      </c>
      <c r="B390" t="s">
        <v>203</v>
      </c>
      <c r="C390" t="s">
        <v>4419</v>
      </c>
    </row>
    <row r="391" spans="1:3" x14ac:dyDescent="0.25">
      <c r="A391">
        <v>390</v>
      </c>
      <c r="B391" t="s">
        <v>832</v>
      </c>
      <c r="C391" t="s">
        <v>4420</v>
      </c>
    </row>
    <row r="392" spans="1:3" x14ac:dyDescent="0.25">
      <c r="A392">
        <v>391</v>
      </c>
      <c r="B392" t="s">
        <v>940</v>
      </c>
      <c r="C392" t="s">
        <v>4421</v>
      </c>
    </row>
    <row r="393" spans="1:3" x14ac:dyDescent="0.25">
      <c r="A393">
        <v>392</v>
      </c>
      <c r="B393" t="s">
        <v>337</v>
      </c>
      <c r="C393" t="s">
        <v>4422</v>
      </c>
    </row>
    <row r="394" spans="1:3" x14ac:dyDescent="0.25">
      <c r="A394">
        <v>393</v>
      </c>
      <c r="B394" t="s">
        <v>1075</v>
      </c>
      <c r="C394" t="s">
        <v>4423</v>
      </c>
    </row>
    <row r="395" spans="1:3" x14ac:dyDescent="0.25">
      <c r="A395">
        <v>394</v>
      </c>
      <c r="B395" t="s">
        <v>1252</v>
      </c>
      <c r="C395" t="s">
        <v>4424</v>
      </c>
    </row>
    <row r="396" spans="1:3" x14ac:dyDescent="0.25">
      <c r="A396">
        <v>395</v>
      </c>
      <c r="B396" t="s">
        <v>186</v>
      </c>
      <c r="C396" t="s">
        <v>4425</v>
      </c>
    </row>
    <row r="397" spans="1:3" x14ac:dyDescent="0.25">
      <c r="A397">
        <v>396</v>
      </c>
      <c r="B397" t="s">
        <v>188</v>
      </c>
      <c r="C397" t="s">
        <v>4426</v>
      </c>
    </row>
    <row r="398" spans="1:3" x14ac:dyDescent="0.25">
      <c r="A398">
        <v>397</v>
      </c>
      <c r="B398" t="s">
        <v>165</v>
      </c>
      <c r="C398" t="s">
        <v>4427</v>
      </c>
    </row>
    <row r="399" spans="1:3" x14ac:dyDescent="0.25">
      <c r="A399">
        <v>398</v>
      </c>
      <c r="B399" t="s">
        <v>525</v>
      </c>
      <c r="C399" t="s">
        <v>4428</v>
      </c>
    </row>
    <row r="400" spans="1:3" x14ac:dyDescent="0.25">
      <c r="A400">
        <v>399</v>
      </c>
      <c r="B400" t="s">
        <v>531</v>
      </c>
      <c r="C400" t="s">
        <v>4429</v>
      </c>
    </row>
    <row r="401" spans="1:3" x14ac:dyDescent="0.25">
      <c r="A401">
        <v>400</v>
      </c>
      <c r="B401" t="s">
        <v>630</v>
      </c>
      <c r="C401" t="s">
        <v>4430</v>
      </c>
    </row>
    <row r="402" spans="1:3" x14ac:dyDescent="0.25">
      <c r="A402">
        <v>401</v>
      </c>
      <c r="B402" t="s">
        <v>647</v>
      </c>
      <c r="C402" t="s">
        <v>4431</v>
      </c>
    </row>
    <row r="403" spans="1:3" x14ac:dyDescent="0.25">
      <c r="A403">
        <v>402</v>
      </c>
      <c r="B403" t="s">
        <v>356</v>
      </c>
      <c r="C403" t="s">
        <v>4432</v>
      </c>
    </row>
    <row r="404" spans="1:3" x14ac:dyDescent="0.25">
      <c r="A404">
        <v>403</v>
      </c>
      <c r="B404" t="s">
        <v>821</v>
      </c>
      <c r="C404" t="s">
        <v>4433</v>
      </c>
    </row>
    <row r="405" spans="1:3" x14ac:dyDescent="0.25">
      <c r="A405">
        <v>404</v>
      </c>
      <c r="B405" t="s">
        <v>1268</v>
      </c>
      <c r="C405" t="s">
        <v>4434</v>
      </c>
    </row>
    <row r="406" spans="1:3" x14ac:dyDescent="0.25">
      <c r="A406">
        <v>405</v>
      </c>
      <c r="B406" t="s">
        <v>1143</v>
      </c>
      <c r="C406" t="s">
        <v>4435</v>
      </c>
    </row>
    <row r="407" spans="1:3" x14ac:dyDescent="0.25">
      <c r="A407">
        <v>406</v>
      </c>
      <c r="B407" t="s">
        <v>1545</v>
      </c>
      <c r="C407" t="s">
        <v>4436</v>
      </c>
    </row>
    <row r="408" spans="1:3" x14ac:dyDescent="0.25">
      <c r="A408">
        <v>407</v>
      </c>
      <c r="B408" t="s">
        <v>1576</v>
      </c>
      <c r="C408" t="s">
        <v>4437</v>
      </c>
    </row>
    <row r="409" spans="1:3" x14ac:dyDescent="0.25">
      <c r="A409">
        <v>408</v>
      </c>
      <c r="B409" t="s">
        <v>253</v>
      </c>
      <c r="C409" t="s">
        <v>4438</v>
      </c>
    </row>
    <row r="410" spans="1:3" x14ac:dyDescent="0.25">
      <c r="A410">
        <v>409</v>
      </c>
      <c r="B410" t="s">
        <v>220</v>
      </c>
      <c r="C410" t="s">
        <v>4439</v>
      </c>
    </row>
    <row r="411" spans="1:3" x14ac:dyDescent="0.25">
      <c r="A411">
        <v>410</v>
      </c>
      <c r="B411" t="s">
        <v>589</v>
      </c>
      <c r="C411" t="s">
        <v>4440</v>
      </c>
    </row>
    <row r="412" spans="1:3" x14ac:dyDescent="0.25">
      <c r="A412">
        <v>411</v>
      </c>
      <c r="B412" t="s">
        <v>1289</v>
      </c>
      <c r="C412" t="s">
        <v>4441</v>
      </c>
    </row>
    <row r="413" spans="1:3" x14ac:dyDescent="0.25">
      <c r="A413">
        <v>412</v>
      </c>
      <c r="B413" t="s">
        <v>800</v>
      </c>
      <c r="C413" t="s">
        <v>4442</v>
      </c>
    </row>
    <row r="414" spans="1:3" x14ac:dyDescent="0.25">
      <c r="A414">
        <v>413</v>
      </c>
      <c r="B414" t="s">
        <v>711</v>
      </c>
      <c r="C414" t="s">
        <v>4443</v>
      </c>
    </row>
    <row r="415" spans="1:3" x14ac:dyDescent="0.25">
      <c r="A415">
        <v>414</v>
      </c>
      <c r="B415" t="s">
        <v>872</v>
      </c>
      <c r="C415" t="s">
        <v>4444</v>
      </c>
    </row>
    <row r="416" spans="1:3" x14ac:dyDescent="0.25">
      <c r="A416">
        <v>415</v>
      </c>
      <c r="B416" t="s">
        <v>1405</v>
      </c>
      <c r="C416" t="s">
        <v>4445</v>
      </c>
    </row>
    <row r="417" spans="1:3" x14ac:dyDescent="0.25">
      <c r="A417">
        <v>416</v>
      </c>
      <c r="B417" t="s">
        <v>994</v>
      </c>
      <c r="C417" t="s">
        <v>4446</v>
      </c>
    </row>
    <row r="418" spans="1:3" x14ac:dyDescent="0.25">
      <c r="A418">
        <v>417</v>
      </c>
      <c r="B418" t="s">
        <v>1453</v>
      </c>
      <c r="C418" t="s">
        <v>4447</v>
      </c>
    </row>
    <row r="419" spans="1:3" x14ac:dyDescent="0.25">
      <c r="A419">
        <v>418</v>
      </c>
      <c r="B419" t="s">
        <v>848</v>
      </c>
      <c r="C419" t="s">
        <v>4448</v>
      </c>
    </row>
    <row r="420" spans="1:3" x14ac:dyDescent="0.25">
      <c r="A420">
        <v>419</v>
      </c>
      <c r="B420" t="s">
        <v>1482</v>
      </c>
      <c r="C420" t="s">
        <v>4449</v>
      </c>
    </row>
    <row r="421" spans="1:3" x14ac:dyDescent="0.25">
      <c r="A421">
        <v>420</v>
      </c>
      <c r="B421" t="s">
        <v>1707</v>
      </c>
      <c r="C421" t="s">
        <v>4450</v>
      </c>
    </row>
    <row r="422" spans="1:3" x14ac:dyDescent="0.25">
      <c r="A422">
        <v>421</v>
      </c>
      <c r="B422" t="s">
        <v>1441</v>
      </c>
      <c r="C422" t="s">
        <v>4451</v>
      </c>
    </row>
    <row r="423" spans="1:3" x14ac:dyDescent="0.25">
      <c r="A423">
        <v>422</v>
      </c>
      <c r="B423" t="s">
        <v>1512</v>
      </c>
      <c r="C423" t="s">
        <v>4452</v>
      </c>
    </row>
    <row r="424" spans="1:3" x14ac:dyDescent="0.25">
      <c r="A424">
        <v>423</v>
      </c>
      <c r="B424" t="s">
        <v>1521</v>
      </c>
      <c r="C424" t="s">
        <v>4453</v>
      </c>
    </row>
    <row r="425" spans="1:3" x14ac:dyDescent="0.25">
      <c r="A425">
        <v>424</v>
      </c>
      <c r="B425" t="s">
        <v>1618</v>
      </c>
      <c r="C425" t="s">
        <v>4454</v>
      </c>
    </row>
    <row r="426" spans="1:3" x14ac:dyDescent="0.25">
      <c r="A426">
        <v>425</v>
      </c>
      <c r="B426" t="s">
        <v>1640</v>
      </c>
      <c r="C426" t="s">
        <v>4455</v>
      </c>
    </row>
    <row r="427" spans="1:3" x14ac:dyDescent="0.25">
      <c r="A427">
        <v>426</v>
      </c>
      <c r="B427" t="s">
        <v>977</v>
      </c>
      <c r="C427" t="s">
        <v>4456</v>
      </c>
    </row>
    <row r="428" spans="1:3" x14ac:dyDescent="0.25">
      <c r="A428">
        <v>427</v>
      </c>
      <c r="B428" t="s">
        <v>232</v>
      </c>
      <c r="C428" t="s">
        <v>4457</v>
      </c>
    </row>
    <row r="429" spans="1:3" x14ac:dyDescent="0.25">
      <c r="A429">
        <v>428</v>
      </c>
      <c r="B429" t="s">
        <v>1191</v>
      </c>
      <c r="C429" t="s">
        <v>4458</v>
      </c>
    </row>
    <row r="430" spans="1:3" x14ac:dyDescent="0.25">
      <c r="A430">
        <v>429</v>
      </c>
      <c r="B430" t="s">
        <v>909</v>
      </c>
      <c r="C430" t="s">
        <v>4459</v>
      </c>
    </row>
    <row r="431" spans="1:3" x14ac:dyDescent="0.25">
      <c r="A431">
        <v>430</v>
      </c>
      <c r="B431" t="s">
        <v>1320</v>
      </c>
      <c r="C431" t="s">
        <v>4460</v>
      </c>
    </row>
    <row r="432" spans="1:3" x14ac:dyDescent="0.25">
      <c r="A432">
        <v>431</v>
      </c>
      <c r="B432" t="s">
        <v>371</v>
      </c>
      <c r="C432" t="s">
        <v>4461</v>
      </c>
    </row>
    <row r="433" spans="1:3" x14ac:dyDescent="0.25">
      <c r="A433">
        <v>432</v>
      </c>
      <c r="B433" t="s">
        <v>688</v>
      </c>
      <c r="C433" t="s">
        <v>4462</v>
      </c>
    </row>
    <row r="434" spans="1:3" x14ac:dyDescent="0.25">
      <c r="A434">
        <v>433</v>
      </c>
      <c r="B434" t="s">
        <v>1353</v>
      </c>
      <c r="C434" t="s">
        <v>4463</v>
      </c>
    </row>
    <row r="435" spans="1:3" x14ac:dyDescent="0.25">
      <c r="A435">
        <v>434</v>
      </c>
      <c r="B435" t="s">
        <v>1639</v>
      </c>
      <c r="C435" t="s">
        <v>4464</v>
      </c>
    </row>
    <row r="436" spans="1:3" x14ac:dyDescent="0.25">
      <c r="A436">
        <v>435</v>
      </c>
      <c r="B436" t="s">
        <v>1617</v>
      </c>
      <c r="C436" t="s">
        <v>4465</v>
      </c>
    </row>
    <row r="437" spans="1:3" x14ac:dyDescent="0.25">
      <c r="A437">
        <v>436</v>
      </c>
      <c r="B437" t="s">
        <v>143</v>
      </c>
      <c r="C437" t="s">
        <v>4466</v>
      </c>
    </row>
    <row r="438" spans="1:3" x14ac:dyDescent="0.25">
      <c r="A438">
        <v>437</v>
      </c>
      <c r="B438" t="s">
        <v>170</v>
      </c>
      <c r="C438" t="s">
        <v>4467</v>
      </c>
    </row>
    <row r="439" spans="1:3" x14ac:dyDescent="0.25">
      <c r="A439">
        <v>438</v>
      </c>
      <c r="B439" t="s">
        <v>1749</v>
      </c>
      <c r="C439" t="s">
        <v>4468</v>
      </c>
    </row>
    <row r="440" spans="1:3" x14ac:dyDescent="0.25">
      <c r="A440">
        <v>439</v>
      </c>
      <c r="B440" t="s">
        <v>1752</v>
      </c>
      <c r="C440" t="s">
        <v>4469</v>
      </c>
    </row>
    <row r="441" spans="1:3" x14ac:dyDescent="0.25">
      <c r="A441">
        <v>440</v>
      </c>
      <c r="B441" t="s">
        <v>1331</v>
      </c>
      <c r="C441" t="s">
        <v>4470</v>
      </c>
    </row>
    <row r="442" spans="1:3" x14ac:dyDescent="0.25">
      <c r="A442">
        <v>441</v>
      </c>
      <c r="B442" t="s">
        <v>836</v>
      </c>
      <c r="C442" t="s">
        <v>4471</v>
      </c>
    </row>
    <row r="443" spans="1:3" x14ac:dyDescent="0.25">
      <c r="A443">
        <v>442</v>
      </c>
      <c r="B443" t="s">
        <v>837</v>
      </c>
      <c r="C443" t="s">
        <v>4472</v>
      </c>
    </row>
    <row r="444" spans="1:3" x14ac:dyDescent="0.25">
      <c r="A444">
        <v>443</v>
      </c>
      <c r="B444" t="s">
        <v>372</v>
      </c>
      <c r="C444" t="s">
        <v>4473</v>
      </c>
    </row>
    <row r="445" spans="1:3" x14ac:dyDescent="0.25">
      <c r="A445">
        <v>444</v>
      </c>
      <c r="B445" t="s">
        <v>489</v>
      </c>
      <c r="C445" t="s">
        <v>4474</v>
      </c>
    </row>
    <row r="446" spans="1:3" x14ac:dyDescent="0.25">
      <c r="A446">
        <v>445</v>
      </c>
      <c r="B446" t="s">
        <v>1416</v>
      </c>
      <c r="C446" t="s">
        <v>4475</v>
      </c>
    </row>
    <row r="447" spans="1:3" x14ac:dyDescent="0.25">
      <c r="A447">
        <v>446</v>
      </c>
      <c r="B447" t="s">
        <v>4476</v>
      </c>
      <c r="C447" t="s">
        <v>4477</v>
      </c>
    </row>
    <row r="448" spans="1:3" x14ac:dyDescent="0.25">
      <c r="A448">
        <v>447</v>
      </c>
      <c r="B448" t="s">
        <v>227</v>
      </c>
      <c r="C448" t="s">
        <v>4478</v>
      </c>
    </row>
    <row r="449" spans="1:3" x14ac:dyDescent="0.25">
      <c r="A449">
        <v>448</v>
      </c>
      <c r="B449" t="s">
        <v>927</v>
      </c>
      <c r="C449" t="s">
        <v>4479</v>
      </c>
    </row>
    <row r="450" spans="1:3" x14ac:dyDescent="0.25">
      <c r="A450">
        <v>449</v>
      </c>
      <c r="B450" t="s">
        <v>1716</v>
      </c>
      <c r="C450" t="s">
        <v>4480</v>
      </c>
    </row>
    <row r="451" spans="1:3" x14ac:dyDescent="0.25">
      <c r="A451">
        <v>450</v>
      </c>
      <c r="B451" t="s">
        <v>503</v>
      </c>
      <c r="C451" t="s">
        <v>4481</v>
      </c>
    </row>
    <row r="452" spans="1:3" x14ac:dyDescent="0.25">
      <c r="A452">
        <v>451</v>
      </c>
      <c r="B452" t="s">
        <v>1102</v>
      </c>
      <c r="C452" t="s">
        <v>4482</v>
      </c>
    </row>
    <row r="453" spans="1:3" x14ac:dyDescent="0.25">
      <c r="A453">
        <v>452</v>
      </c>
      <c r="B453" t="s">
        <v>324</v>
      </c>
      <c r="C453" t="s">
        <v>4483</v>
      </c>
    </row>
    <row r="454" spans="1:3" x14ac:dyDescent="0.25">
      <c r="A454">
        <v>453</v>
      </c>
      <c r="B454" t="s">
        <v>329</v>
      </c>
      <c r="C454" t="s">
        <v>4484</v>
      </c>
    </row>
    <row r="455" spans="1:3" x14ac:dyDescent="0.25">
      <c r="A455">
        <v>454</v>
      </c>
      <c r="B455" t="s">
        <v>342</v>
      </c>
      <c r="C455" t="s">
        <v>4485</v>
      </c>
    </row>
    <row r="456" spans="1:3" x14ac:dyDescent="0.25">
      <c r="A456">
        <v>455</v>
      </c>
      <c r="B456" t="s">
        <v>502</v>
      </c>
      <c r="C456" t="s">
        <v>4486</v>
      </c>
    </row>
    <row r="457" spans="1:3" x14ac:dyDescent="0.25">
      <c r="A457">
        <v>456</v>
      </c>
      <c r="B457" t="s">
        <v>1797</v>
      </c>
      <c r="C457" t="s">
        <v>4487</v>
      </c>
    </row>
    <row r="458" spans="1:3" x14ac:dyDescent="0.25">
      <c r="A458">
        <v>457</v>
      </c>
      <c r="B458" t="s">
        <v>968</v>
      </c>
      <c r="C458" t="s">
        <v>4488</v>
      </c>
    </row>
    <row r="459" spans="1:3" x14ac:dyDescent="0.25">
      <c r="A459">
        <v>458</v>
      </c>
      <c r="B459" t="s">
        <v>1064</v>
      </c>
      <c r="C459" t="s">
        <v>4489</v>
      </c>
    </row>
    <row r="460" spans="1:3" x14ac:dyDescent="0.25">
      <c r="A460">
        <v>459</v>
      </c>
      <c r="B460" t="s">
        <v>657</v>
      </c>
      <c r="C460" t="s">
        <v>4490</v>
      </c>
    </row>
    <row r="461" spans="1:3" x14ac:dyDescent="0.25">
      <c r="A461">
        <v>460</v>
      </c>
      <c r="B461" t="s">
        <v>702</v>
      </c>
      <c r="C461" t="s">
        <v>4491</v>
      </c>
    </row>
    <row r="462" spans="1:3" x14ac:dyDescent="0.25">
      <c r="A462">
        <v>461</v>
      </c>
      <c r="B462" t="s">
        <v>209</v>
      </c>
      <c r="C462" t="s">
        <v>4492</v>
      </c>
    </row>
    <row r="463" spans="1:3" x14ac:dyDescent="0.25">
      <c r="A463">
        <v>462</v>
      </c>
      <c r="B463" t="s">
        <v>353</v>
      </c>
      <c r="C463" t="s">
        <v>4493</v>
      </c>
    </row>
    <row r="464" spans="1:3" x14ac:dyDescent="0.25">
      <c r="A464">
        <v>463</v>
      </c>
      <c r="B464" t="s">
        <v>130</v>
      </c>
      <c r="C464" t="s">
        <v>4494</v>
      </c>
    </row>
    <row r="465" spans="1:3" x14ac:dyDescent="0.25">
      <c r="A465">
        <v>464</v>
      </c>
      <c r="B465" t="s">
        <v>151</v>
      </c>
      <c r="C465" t="s">
        <v>4495</v>
      </c>
    </row>
    <row r="466" spans="1:3" x14ac:dyDescent="0.25">
      <c r="A466">
        <v>465</v>
      </c>
      <c r="B466" t="s">
        <v>159</v>
      </c>
      <c r="C466" t="s">
        <v>4496</v>
      </c>
    </row>
    <row r="467" spans="1:3" x14ac:dyDescent="0.25">
      <c r="A467">
        <v>466</v>
      </c>
      <c r="B467" t="s">
        <v>1121</v>
      </c>
      <c r="C467" t="s">
        <v>4497</v>
      </c>
    </row>
    <row r="468" spans="1:3" x14ac:dyDescent="0.25">
      <c r="A468">
        <v>467</v>
      </c>
      <c r="B468" t="s">
        <v>1760</v>
      </c>
      <c r="C468" t="s">
        <v>4498</v>
      </c>
    </row>
    <row r="469" spans="1:3" x14ac:dyDescent="0.25">
      <c r="A469">
        <v>468</v>
      </c>
      <c r="B469" t="s">
        <v>195</v>
      </c>
      <c r="C469" t="s">
        <v>4499</v>
      </c>
    </row>
    <row r="470" spans="1:3" x14ac:dyDescent="0.25">
      <c r="A470">
        <v>469</v>
      </c>
      <c r="B470" t="s">
        <v>1099</v>
      </c>
      <c r="C470" t="s">
        <v>4500</v>
      </c>
    </row>
    <row r="471" spans="1:3" x14ac:dyDescent="0.25">
      <c r="A471">
        <v>470</v>
      </c>
      <c r="B471" t="s">
        <v>1141</v>
      </c>
      <c r="C471" t="s">
        <v>4501</v>
      </c>
    </row>
    <row r="472" spans="1:3" x14ac:dyDescent="0.25">
      <c r="A472">
        <v>471</v>
      </c>
      <c r="B472" t="s">
        <v>194</v>
      </c>
      <c r="C472" t="s">
        <v>4502</v>
      </c>
    </row>
    <row r="473" spans="1:3" x14ac:dyDescent="0.25">
      <c r="A473">
        <v>472</v>
      </c>
      <c r="B473" t="s">
        <v>198</v>
      </c>
      <c r="C473" t="s">
        <v>4503</v>
      </c>
    </row>
    <row r="474" spans="1:3" x14ac:dyDescent="0.25">
      <c r="A474">
        <v>473</v>
      </c>
      <c r="B474" t="s">
        <v>200</v>
      </c>
      <c r="C474" t="s">
        <v>4504</v>
      </c>
    </row>
    <row r="475" spans="1:3" x14ac:dyDescent="0.25">
      <c r="A475">
        <v>474</v>
      </c>
      <c r="B475" t="s">
        <v>312</v>
      </c>
      <c r="C475" t="s">
        <v>4505</v>
      </c>
    </row>
    <row r="476" spans="1:3" x14ac:dyDescent="0.25">
      <c r="A476">
        <v>475</v>
      </c>
      <c r="B476" t="s">
        <v>556</v>
      </c>
      <c r="C476" t="s">
        <v>4506</v>
      </c>
    </row>
    <row r="477" spans="1:3" x14ac:dyDescent="0.25">
      <c r="A477">
        <v>476</v>
      </c>
      <c r="B477" t="s">
        <v>1702</v>
      </c>
      <c r="C477" t="s">
        <v>4507</v>
      </c>
    </row>
    <row r="478" spans="1:3" x14ac:dyDescent="0.25">
      <c r="A478">
        <v>477</v>
      </c>
      <c r="B478" t="s">
        <v>903</v>
      </c>
      <c r="C478" t="s">
        <v>4508</v>
      </c>
    </row>
    <row r="479" spans="1:3" x14ac:dyDescent="0.25">
      <c r="A479">
        <v>478</v>
      </c>
      <c r="B479" t="s">
        <v>789</v>
      </c>
      <c r="C479" t="s">
        <v>4509</v>
      </c>
    </row>
    <row r="480" spans="1:3" x14ac:dyDescent="0.25">
      <c r="A480">
        <v>479</v>
      </c>
      <c r="B480" t="s">
        <v>805</v>
      </c>
      <c r="C480" t="s">
        <v>4510</v>
      </c>
    </row>
    <row r="481" spans="1:3" x14ac:dyDescent="0.25">
      <c r="A481">
        <v>480</v>
      </c>
      <c r="B481" t="s">
        <v>1269</v>
      </c>
      <c r="C481" t="s">
        <v>4511</v>
      </c>
    </row>
    <row r="482" spans="1:3" x14ac:dyDescent="0.25">
      <c r="A482">
        <v>481</v>
      </c>
      <c r="B482" t="s">
        <v>1270</v>
      </c>
      <c r="C482" t="s">
        <v>4512</v>
      </c>
    </row>
    <row r="483" spans="1:3" x14ac:dyDescent="0.25">
      <c r="A483">
        <v>482</v>
      </c>
      <c r="B483" t="s">
        <v>1271</v>
      </c>
      <c r="C483" t="s">
        <v>4513</v>
      </c>
    </row>
    <row r="484" spans="1:3" x14ac:dyDescent="0.25">
      <c r="A484">
        <v>483</v>
      </c>
      <c r="B484" t="s">
        <v>1272</v>
      </c>
      <c r="C484" t="s">
        <v>4514</v>
      </c>
    </row>
    <row r="485" spans="1:3" x14ac:dyDescent="0.25">
      <c r="A485">
        <v>484</v>
      </c>
      <c r="B485" t="s">
        <v>1431</v>
      </c>
      <c r="C485" t="s">
        <v>4515</v>
      </c>
    </row>
    <row r="486" spans="1:3" x14ac:dyDescent="0.25">
      <c r="A486">
        <v>485</v>
      </c>
      <c r="B486" t="s">
        <v>788</v>
      </c>
      <c r="C486" t="s">
        <v>4516</v>
      </c>
    </row>
    <row r="487" spans="1:3" x14ac:dyDescent="0.25">
      <c r="A487">
        <v>486</v>
      </c>
      <c r="B487" t="s">
        <v>804</v>
      </c>
      <c r="C487" t="s">
        <v>4517</v>
      </c>
    </row>
    <row r="488" spans="1:3" x14ac:dyDescent="0.25">
      <c r="A488">
        <v>487</v>
      </c>
      <c r="B488" t="s">
        <v>1430</v>
      </c>
      <c r="C488" t="s">
        <v>4518</v>
      </c>
    </row>
    <row r="489" spans="1:3" x14ac:dyDescent="0.25">
      <c r="A489">
        <v>488</v>
      </c>
      <c r="B489" t="s">
        <v>738</v>
      </c>
      <c r="C489" t="s">
        <v>4519</v>
      </c>
    </row>
    <row r="490" spans="1:3" x14ac:dyDescent="0.25">
      <c r="A490">
        <v>489</v>
      </c>
      <c r="B490" t="s">
        <v>746</v>
      </c>
      <c r="C490" t="s">
        <v>4520</v>
      </c>
    </row>
    <row r="491" spans="1:3" x14ac:dyDescent="0.25">
      <c r="A491">
        <v>490</v>
      </c>
      <c r="B491" t="s">
        <v>875</v>
      </c>
      <c r="C491" t="s">
        <v>4521</v>
      </c>
    </row>
    <row r="492" spans="1:3" x14ac:dyDescent="0.25">
      <c r="A492">
        <v>491</v>
      </c>
      <c r="B492" t="s">
        <v>1027</v>
      </c>
      <c r="C492" t="s">
        <v>4522</v>
      </c>
    </row>
    <row r="493" spans="1:3" x14ac:dyDescent="0.25">
      <c r="A493">
        <v>492</v>
      </c>
      <c r="B493" t="s">
        <v>1527</v>
      </c>
      <c r="C493" t="s">
        <v>4523</v>
      </c>
    </row>
    <row r="494" spans="1:3" x14ac:dyDescent="0.25">
      <c r="A494">
        <v>493</v>
      </c>
      <c r="B494" t="s">
        <v>1535</v>
      </c>
      <c r="C494" t="s">
        <v>4524</v>
      </c>
    </row>
    <row r="495" spans="1:3" x14ac:dyDescent="0.25">
      <c r="A495">
        <v>494</v>
      </c>
      <c r="B495" t="s">
        <v>366</v>
      </c>
      <c r="C495" t="s">
        <v>4525</v>
      </c>
    </row>
    <row r="496" spans="1:3" x14ac:dyDescent="0.25">
      <c r="A496">
        <v>495</v>
      </c>
      <c r="B496" t="s">
        <v>721</v>
      </c>
      <c r="C496" t="s">
        <v>4526</v>
      </c>
    </row>
    <row r="497" spans="1:3" x14ac:dyDescent="0.25">
      <c r="A497">
        <v>496</v>
      </c>
      <c r="B497" t="s">
        <v>1194</v>
      </c>
      <c r="C497" t="s">
        <v>4527</v>
      </c>
    </row>
    <row r="498" spans="1:3" x14ac:dyDescent="0.25">
      <c r="A498">
        <v>497</v>
      </c>
      <c r="B498" t="s">
        <v>1193</v>
      </c>
      <c r="C498" t="s">
        <v>4528</v>
      </c>
    </row>
    <row r="499" spans="1:3" x14ac:dyDescent="0.25">
      <c r="A499">
        <v>498</v>
      </c>
      <c r="B499" t="s">
        <v>1203</v>
      </c>
      <c r="C499" t="s">
        <v>4529</v>
      </c>
    </row>
    <row r="500" spans="1:3" x14ac:dyDescent="0.25">
      <c r="A500">
        <v>499</v>
      </c>
      <c r="B500" t="s">
        <v>1526</v>
      </c>
      <c r="C500" t="s">
        <v>4530</v>
      </c>
    </row>
    <row r="501" spans="1:3" x14ac:dyDescent="0.25">
      <c r="A501">
        <v>500</v>
      </c>
      <c r="B501" t="s">
        <v>1534</v>
      </c>
      <c r="C501" t="s">
        <v>4531</v>
      </c>
    </row>
    <row r="502" spans="1:3" x14ac:dyDescent="0.25">
      <c r="A502">
        <v>501</v>
      </c>
      <c r="B502" t="s">
        <v>1549</v>
      </c>
      <c r="C502" t="s">
        <v>4532</v>
      </c>
    </row>
    <row r="503" spans="1:3" x14ac:dyDescent="0.25">
      <c r="A503">
        <v>502</v>
      </c>
      <c r="B503" t="s">
        <v>1607</v>
      </c>
      <c r="C503" t="s">
        <v>4533</v>
      </c>
    </row>
    <row r="504" spans="1:3" x14ac:dyDescent="0.25">
      <c r="A504">
        <v>503</v>
      </c>
      <c r="B504" t="s">
        <v>1026</v>
      </c>
      <c r="C504" t="s">
        <v>4534</v>
      </c>
    </row>
    <row r="505" spans="1:3" x14ac:dyDescent="0.25">
      <c r="A505">
        <v>504</v>
      </c>
      <c r="B505" t="s">
        <v>584</v>
      </c>
      <c r="C505" t="s">
        <v>4535</v>
      </c>
    </row>
    <row r="506" spans="1:3" x14ac:dyDescent="0.25">
      <c r="A506">
        <v>505</v>
      </c>
      <c r="B506" t="s">
        <v>274</v>
      </c>
      <c r="C506" t="s">
        <v>4536</v>
      </c>
    </row>
    <row r="507" spans="1:3" x14ac:dyDescent="0.25">
      <c r="A507">
        <v>506</v>
      </c>
      <c r="B507" t="s">
        <v>815</v>
      </c>
      <c r="C507" t="s">
        <v>4537</v>
      </c>
    </row>
    <row r="508" spans="1:3" x14ac:dyDescent="0.25">
      <c r="A508">
        <v>507</v>
      </c>
      <c r="B508" t="s">
        <v>1168</v>
      </c>
      <c r="C508" t="s">
        <v>4538</v>
      </c>
    </row>
    <row r="509" spans="1:3" x14ac:dyDescent="0.25">
      <c r="A509">
        <v>508</v>
      </c>
      <c r="B509" t="s">
        <v>1120</v>
      </c>
      <c r="C509" t="s">
        <v>4539</v>
      </c>
    </row>
    <row r="510" spans="1:3" x14ac:dyDescent="0.25">
      <c r="A510">
        <v>509</v>
      </c>
      <c r="B510" t="s">
        <v>300</v>
      </c>
      <c r="C510" t="s">
        <v>4540</v>
      </c>
    </row>
    <row r="511" spans="1:3" x14ac:dyDescent="0.25">
      <c r="A511">
        <v>510</v>
      </c>
      <c r="B511" t="s">
        <v>111</v>
      </c>
      <c r="C511" t="s">
        <v>4541</v>
      </c>
    </row>
    <row r="512" spans="1:3" x14ac:dyDescent="0.25">
      <c r="A512">
        <v>511</v>
      </c>
      <c r="B512" t="s">
        <v>1332</v>
      </c>
      <c r="C512" t="s">
        <v>4542</v>
      </c>
    </row>
    <row r="513" spans="1:3" x14ac:dyDescent="0.25">
      <c r="A513">
        <v>512</v>
      </c>
      <c r="B513" t="s">
        <v>301</v>
      </c>
      <c r="C513" t="s">
        <v>4543</v>
      </c>
    </row>
    <row r="514" spans="1:3" x14ac:dyDescent="0.25">
      <c r="A514">
        <v>513</v>
      </c>
      <c r="B514" t="s">
        <v>410</v>
      </c>
      <c r="C514" t="s">
        <v>4544</v>
      </c>
    </row>
    <row r="515" spans="1:3" x14ac:dyDescent="0.25">
      <c r="A515">
        <v>514</v>
      </c>
      <c r="B515" t="s">
        <v>513</v>
      </c>
      <c r="C515" t="s">
        <v>4545</v>
      </c>
    </row>
    <row r="516" spans="1:3" x14ac:dyDescent="0.25">
      <c r="A516">
        <v>515</v>
      </c>
      <c r="B516" t="s">
        <v>600</v>
      </c>
      <c r="C516" t="s">
        <v>4546</v>
      </c>
    </row>
    <row r="517" spans="1:3" x14ac:dyDescent="0.25">
      <c r="A517">
        <v>516</v>
      </c>
      <c r="B517" t="s">
        <v>309</v>
      </c>
      <c r="C517" t="s">
        <v>4547</v>
      </c>
    </row>
    <row r="518" spans="1:3" x14ac:dyDescent="0.25">
      <c r="A518">
        <v>517</v>
      </c>
      <c r="B518" t="s">
        <v>323</v>
      </c>
      <c r="C518" t="s">
        <v>4548</v>
      </c>
    </row>
    <row r="519" spans="1:3" x14ac:dyDescent="0.25">
      <c r="A519">
        <v>518</v>
      </c>
      <c r="B519" t="s">
        <v>967</v>
      </c>
      <c r="C519" t="s">
        <v>4549</v>
      </c>
    </row>
    <row r="520" spans="1:3" x14ac:dyDescent="0.25">
      <c r="A520">
        <v>519</v>
      </c>
      <c r="B520" t="s">
        <v>1063</v>
      </c>
      <c r="C520" t="s">
        <v>4550</v>
      </c>
    </row>
    <row r="521" spans="1:3" x14ac:dyDescent="0.25">
      <c r="A521">
        <v>520</v>
      </c>
      <c r="B521" t="s">
        <v>1192</v>
      </c>
      <c r="C521" t="s">
        <v>4551</v>
      </c>
    </row>
    <row r="522" spans="1:3" x14ac:dyDescent="0.25">
      <c r="A522">
        <v>521</v>
      </c>
      <c r="B522" t="s">
        <v>361</v>
      </c>
      <c r="C522" t="s">
        <v>4552</v>
      </c>
    </row>
    <row r="523" spans="1:3" x14ac:dyDescent="0.25">
      <c r="A523">
        <v>522</v>
      </c>
      <c r="B523" t="s">
        <v>982</v>
      </c>
      <c r="C523" t="s">
        <v>4553</v>
      </c>
    </row>
    <row r="524" spans="1:3" x14ac:dyDescent="0.25">
      <c r="A524">
        <v>523</v>
      </c>
      <c r="B524" t="s">
        <v>1007</v>
      </c>
      <c r="C524" t="s">
        <v>4554</v>
      </c>
    </row>
    <row r="525" spans="1:3" x14ac:dyDescent="0.25">
      <c r="A525">
        <v>524</v>
      </c>
      <c r="B525" t="s">
        <v>1392</v>
      </c>
      <c r="C525" t="s">
        <v>4555</v>
      </c>
    </row>
    <row r="526" spans="1:3" x14ac:dyDescent="0.25">
      <c r="A526">
        <v>525</v>
      </c>
      <c r="B526" t="s">
        <v>239</v>
      </c>
      <c r="C526" t="s">
        <v>4556</v>
      </c>
    </row>
    <row r="527" spans="1:3" x14ac:dyDescent="0.25">
      <c r="A527">
        <v>526</v>
      </c>
      <c r="B527" t="s">
        <v>240</v>
      </c>
      <c r="C527" t="s">
        <v>4557</v>
      </c>
    </row>
    <row r="528" spans="1:3" x14ac:dyDescent="0.25">
      <c r="A528">
        <v>527</v>
      </c>
      <c r="B528" t="s">
        <v>767</v>
      </c>
      <c r="C528" t="s">
        <v>4558</v>
      </c>
    </row>
    <row r="529" spans="1:3" x14ac:dyDescent="0.25">
      <c r="A529">
        <v>528</v>
      </c>
      <c r="B529" t="s">
        <v>799</v>
      </c>
      <c r="C529" t="s">
        <v>4559</v>
      </c>
    </row>
    <row r="530" spans="1:3" x14ac:dyDescent="0.25">
      <c r="A530">
        <v>529</v>
      </c>
      <c r="B530" t="s">
        <v>1221</v>
      </c>
      <c r="C530" t="s">
        <v>4560</v>
      </c>
    </row>
    <row r="531" spans="1:3" x14ac:dyDescent="0.25">
      <c r="A531">
        <v>530</v>
      </c>
      <c r="B531" t="s">
        <v>1234</v>
      </c>
      <c r="C531" t="s">
        <v>4561</v>
      </c>
    </row>
    <row r="532" spans="1:3" x14ac:dyDescent="0.25">
      <c r="A532">
        <v>531</v>
      </c>
      <c r="B532" t="s">
        <v>234</v>
      </c>
      <c r="C532" t="s">
        <v>4562</v>
      </c>
    </row>
    <row r="533" spans="1:3" x14ac:dyDescent="0.25">
      <c r="A533">
        <v>532</v>
      </c>
      <c r="B533" t="s">
        <v>1054</v>
      </c>
      <c r="C533" t="s">
        <v>4563</v>
      </c>
    </row>
    <row r="534" spans="1:3" x14ac:dyDescent="0.25">
      <c r="A534">
        <v>533</v>
      </c>
      <c r="B534" t="s">
        <v>1222</v>
      </c>
      <c r="C534" t="s">
        <v>4564</v>
      </c>
    </row>
    <row r="535" spans="1:3" x14ac:dyDescent="0.25">
      <c r="A535">
        <v>534</v>
      </c>
      <c r="B535" t="s">
        <v>1235</v>
      </c>
      <c r="C535" t="s">
        <v>4565</v>
      </c>
    </row>
    <row r="536" spans="1:3" x14ac:dyDescent="0.25">
      <c r="A536">
        <v>535</v>
      </c>
      <c r="B536" t="s">
        <v>1958</v>
      </c>
      <c r="C536" t="s">
        <v>4566</v>
      </c>
    </row>
    <row r="537" spans="1:3" x14ac:dyDescent="0.25">
      <c r="A537">
        <v>536</v>
      </c>
      <c r="B537" t="s">
        <v>1217</v>
      </c>
      <c r="C537" t="s">
        <v>4567</v>
      </c>
    </row>
    <row r="538" spans="1:3" x14ac:dyDescent="0.25">
      <c r="A538">
        <v>537</v>
      </c>
      <c r="B538" t="s">
        <v>472</v>
      </c>
      <c r="C538" t="s">
        <v>4568</v>
      </c>
    </row>
    <row r="539" spans="1:3" x14ac:dyDescent="0.25">
      <c r="A539">
        <v>538</v>
      </c>
      <c r="B539" t="s">
        <v>1052</v>
      </c>
      <c r="C539" t="s">
        <v>4569</v>
      </c>
    </row>
    <row r="540" spans="1:3" x14ac:dyDescent="0.25">
      <c r="A540">
        <v>539</v>
      </c>
      <c r="B540" t="s">
        <v>1220</v>
      </c>
      <c r="C540" t="s">
        <v>4570</v>
      </c>
    </row>
    <row r="541" spans="1:3" x14ac:dyDescent="0.25">
      <c r="A541">
        <v>540</v>
      </c>
      <c r="B541" t="s">
        <v>1233</v>
      </c>
      <c r="C541" t="s">
        <v>4571</v>
      </c>
    </row>
    <row r="542" spans="1:3" x14ac:dyDescent="0.25">
      <c r="A542">
        <v>541</v>
      </c>
      <c r="B542" t="s">
        <v>768</v>
      </c>
      <c r="C542" t="s">
        <v>4572</v>
      </c>
    </row>
    <row r="543" spans="1:3" x14ac:dyDescent="0.25">
      <c r="A543">
        <v>542</v>
      </c>
      <c r="B543" t="s">
        <v>1403</v>
      </c>
      <c r="C543" t="s">
        <v>4573</v>
      </c>
    </row>
    <row r="544" spans="1:3" x14ac:dyDescent="0.25">
      <c r="A544">
        <v>543</v>
      </c>
      <c r="B544" t="s">
        <v>4574</v>
      </c>
      <c r="C544" t="s">
        <v>4575</v>
      </c>
    </row>
    <row r="545" spans="1:3" x14ac:dyDescent="0.25">
      <c r="A545">
        <v>544</v>
      </c>
      <c r="B545" t="s">
        <v>1593</v>
      </c>
      <c r="C545" t="s">
        <v>4576</v>
      </c>
    </row>
    <row r="546" spans="1:3" x14ac:dyDescent="0.25">
      <c r="A546">
        <v>545</v>
      </c>
      <c r="B546" t="s">
        <v>930</v>
      </c>
      <c r="C546" t="s">
        <v>4577</v>
      </c>
    </row>
    <row r="547" spans="1:3" x14ac:dyDescent="0.25">
      <c r="A547">
        <v>546</v>
      </c>
      <c r="B547" t="s">
        <v>490</v>
      </c>
      <c r="C547" t="s">
        <v>4578</v>
      </c>
    </row>
    <row r="548" spans="1:3" x14ac:dyDescent="0.25">
      <c r="A548">
        <v>547</v>
      </c>
      <c r="B548" t="s">
        <v>1704</v>
      </c>
      <c r="C548" t="s">
        <v>4579</v>
      </c>
    </row>
    <row r="549" spans="1:3" x14ac:dyDescent="0.25">
      <c r="A549">
        <v>548</v>
      </c>
      <c r="B549" t="s">
        <v>1727</v>
      </c>
      <c r="C549" t="s">
        <v>4580</v>
      </c>
    </row>
    <row r="550" spans="1:3" x14ac:dyDescent="0.25">
      <c r="A550">
        <v>549</v>
      </c>
      <c r="B550" t="s">
        <v>4581</v>
      </c>
      <c r="C550" t="s">
        <v>4582</v>
      </c>
    </row>
    <row r="551" spans="1:3" x14ac:dyDescent="0.25">
      <c r="A551">
        <v>550</v>
      </c>
      <c r="B551" t="s">
        <v>4583</v>
      </c>
      <c r="C551" t="s">
        <v>4584</v>
      </c>
    </row>
    <row r="552" spans="1:3" x14ac:dyDescent="0.25">
      <c r="A552">
        <v>551</v>
      </c>
      <c r="B552" t="s">
        <v>376</v>
      </c>
      <c r="C552" t="s">
        <v>4585</v>
      </c>
    </row>
    <row r="553" spans="1:3" x14ac:dyDescent="0.25">
      <c r="A553">
        <v>552</v>
      </c>
      <c r="B553" t="s">
        <v>391</v>
      </c>
      <c r="C553" t="s">
        <v>4586</v>
      </c>
    </row>
    <row r="554" spans="1:3" x14ac:dyDescent="0.25">
      <c r="A554">
        <v>553</v>
      </c>
      <c r="B554" t="s">
        <v>395</v>
      </c>
      <c r="C554" t="s">
        <v>4587</v>
      </c>
    </row>
    <row r="555" spans="1:3" x14ac:dyDescent="0.25">
      <c r="A555">
        <v>554</v>
      </c>
      <c r="B555" t="s">
        <v>4588</v>
      </c>
      <c r="C555" t="s">
        <v>4589</v>
      </c>
    </row>
    <row r="556" spans="1:3" x14ac:dyDescent="0.25">
      <c r="A556">
        <v>555</v>
      </c>
      <c r="B556" t="s">
        <v>350</v>
      </c>
      <c r="C556" t="s">
        <v>4590</v>
      </c>
    </row>
    <row r="557" spans="1:3" x14ac:dyDescent="0.25">
      <c r="A557">
        <v>556</v>
      </c>
      <c r="B557" t="s">
        <v>171</v>
      </c>
      <c r="C557" t="s">
        <v>4591</v>
      </c>
    </row>
    <row r="558" spans="1:3" x14ac:dyDescent="0.25">
      <c r="A558">
        <v>557</v>
      </c>
      <c r="B558" t="s">
        <v>76</v>
      </c>
      <c r="C558" t="s">
        <v>4592</v>
      </c>
    </row>
    <row r="559" spans="1:3" x14ac:dyDescent="0.25">
      <c r="A559">
        <v>558</v>
      </c>
      <c r="B559" t="s">
        <v>118</v>
      </c>
      <c r="C559" t="s">
        <v>4593</v>
      </c>
    </row>
    <row r="560" spans="1:3" x14ac:dyDescent="0.25">
      <c r="A560">
        <v>559</v>
      </c>
      <c r="B560" t="s">
        <v>691</v>
      </c>
      <c r="C560" t="s">
        <v>4594</v>
      </c>
    </row>
    <row r="561" spans="1:3" x14ac:dyDescent="0.25">
      <c r="A561">
        <v>560</v>
      </c>
      <c r="B561" t="s">
        <v>535</v>
      </c>
      <c r="C561" t="s">
        <v>4595</v>
      </c>
    </row>
    <row r="562" spans="1:3" x14ac:dyDescent="0.25">
      <c r="A562">
        <v>561</v>
      </c>
      <c r="B562" t="s">
        <v>139</v>
      </c>
      <c r="C562" t="s">
        <v>4596</v>
      </c>
    </row>
    <row r="563" spans="1:3" x14ac:dyDescent="0.25">
      <c r="A563">
        <v>562</v>
      </c>
      <c r="B563" t="s">
        <v>1216</v>
      </c>
      <c r="C563" t="s">
        <v>4597</v>
      </c>
    </row>
    <row r="564" spans="1:3" x14ac:dyDescent="0.25">
      <c r="A564">
        <v>563</v>
      </c>
      <c r="B564" t="s">
        <v>1784</v>
      </c>
      <c r="C564" t="s">
        <v>4598</v>
      </c>
    </row>
    <row r="565" spans="1:3" x14ac:dyDescent="0.25">
      <c r="A565">
        <v>564</v>
      </c>
      <c r="B565" t="s">
        <v>1719</v>
      </c>
      <c r="C565" t="s">
        <v>4599</v>
      </c>
    </row>
    <row r="566" spans="1:3" x14ac:dyDescent="0.25">
      <c r="A566">
        <v>565</v>
      </c>
      <c r="B566" t="s">
        <v>1754</v>
      </c>
      <c r="C566" t="s">
        <v>4600</v>
      </c>
    </row>
    <row r="567" spans="1:3" x14ac:dyDescent="0.25">
      <c r="A567">
        <v>566</v>
      </c>
      <c r="B567" t="s">
        <v>1531</v>
      </c>
      <c r="C567" t="s">
        <v>4601</v>
      </c>
    </row>
    <row r="568" spans="1:3" x14ac:dyDescent="0.25">
      <c r="A568">
        <v>567</v>
      </c>
      <c r="B568" t="s">
        <v>1539</v>
      </c>
      <c r="C568" t="s">
        <v>4602</v>
      </c>
    </row>
    <row r="569" spans="1:3" x14ac:dyDescent="0.25">
      <c r="A569">
        <v>568</v>
      </c>
      <c r="B569" t="s">
        <v>1942</v>
      </c>
      <c r="C569" t="s">
        <v>4603</v>
      </c>
    </row>
    <row r="570" spans="1:3" x14ac:dyDescent="0.25">
      <c r="A570">
        <v>569</v>
      </c>
      <c r="B570" t="s">
        <v>1854</v>
      </c>
      <c r="C570" t="s">
        <v>4604</v>
      </c>
    </row>
    <row r="571" spans="1:3" x14ac:dyDescent="0.25">
      <c r="A571">
        <v>570</v>
      </c>
      <c r="B571" t="s">
        <v>3977</v>
      </c>
      <c r="C571" t="s">
        <v>4605</v>
      </c>
    </row>
    <row r="572" spans="1:3" x14ac:dyDescent="0.25">
      <c r="A572">
        <v>571</v>
      </c>
      <c r="B572" t="s">
        <v>113</v>
      </c>
      <c r="C572" t="s">
        <v>4606</v>
      </c>
    </row>
    <row r="573" spans="1:3" x14ac:dyDescent="0.25">
      <c r="A573">
        <v>572</v>
      </c>
      <c r="B573" t="s">
        <v>1976</v>
      </c>
      <c r="C573" t="s">
        <v>4607</v>
      </c>
    </row>
    <row r="574" spans="1:3" x14ac:dyDescent="0.25">
      <c r="A574">
        <v>573</v>
      </c>
      <c r="B574" t="s">
        <v>2022</v>
      </c>
      <c r="C574" t="s">
        <v>4608</v>
      </c>
    </row>
    <row r="575" spans="1:3" x14ac:dyDescent="0.25">
      <c r="A575">
        <v>574</v>
      </c>
      <c r="B575" t="s">
        <v>3979</v>
      </c>
      <c r="C575" t="s">
        <v>4609</v>
      </c>
    </row>
    <row r="576" spans="1:3" x14ac:dyDescent="0.25">
      <c r="A576">
        <v>575</v>
      </c>
      <c r="B576" t="s">
        <v>1611</v>
      </c>
      <c r="C576" t="s">
        <v>4610</v>
      </c>
    </row>
    <row r="577" spans="1:3" x14ac:dyDescent="0.25">
      <c r="A577">
        <v>576</v>
      </c>
      <c r="B577" t="s">
        <v>1644</v>
      </c>
      <c r="C577" t="s">
        <v>4611</v>
      </c>
    </row>
    <row r="578" spans="1:3" x14ac:dyDescent="0.25">
      <c r="A578">
        <v>577</v>
      </c>
      <c r="B578" t="s">
        <v>1750</v>
      </c>
      <c r="C578" t="s">
        <v>4612</v>
      </c>
    </row>
    <row r="579" spans="1:3" x14ac:dyDescent="0.25">
      <c r="A579">
        <v>578</v>
      </c>
      <c r="B579" t="s">
        <v>4613</v>
      </c>
      <c r="C579" t="s">
        <v>4614</v>
      </c>
    </row>
    <row r="580" spans="1:3" x14ac:dyDescent="0.25">
      <c r="A580">
        <v>579</v>
      </c>
      <c r="B580" t="s">
        <v>1371</v>
      </c>
      <c r="C580" t="s">
        <v>4615</v>
      </c>
    </row>
    <row r="581" spans="1:3" x14ac:dyDescent="0.25">
      <c r="A581">
        <v>580</v>
      </c>
      <c r="B581" t="s">
        <v>1053</v>
      </c>
      <c r="C581" t="s">
        <v>4616</v>
      </c>
    </row>
    <row r="582" spans="1:3" x14ac:dyDescent="0.25">
      <c r="A582">
        <v>581</v>
      </c>
      <c r="B582" t="s">
        <v>377</v>
      </c>
      <c r="C582" t="s">
        <v>4617</v>
      </c>
    </row>
    <row r="583" spans="1:3" x14ac:dyDescent="0.25">
      <c r="A583">
        <v>582</v>
      </c>
      <c r="B583" t="s">
        <v>1325</v>
      </c>
      <c r="C583" t="s">
        <v>4618</v>
      </c>
    </row>
    <row r="584" spans="1:3" x14ac:dyDescent="0.25">
      <c r="A584">
        <v>583</v>
      </c>
      <c r="B584" t="s">
        <v>750</v>
      </c>
      <c r="C584" t="s">
        <v>4619</v>
      </c>
    </row>
    <row r="585" spans="1:3" x14ac:dyDescent="0.25">
      <c r="A585">
        <v>584</v>
      </c>
      <c r="B585" t="s">
        <v>879</v>
      </c>
      <c r="C585" t="s">
        <v>4620</v>
      </c>
    </row>
    <row r="586" spans="1:3" x14ac:dyDescent="0.25">
      <c r="A586">
        <v>585</v>
      </c>
      <c r="B586" t="s">
        <v>1031</v>
      </c>
      <c r="C586" t="s">
        <v>4621</v>
      </c>
    </row>
    <row r="587" spans="1:3" x14ac:dyDescent="0.25">
      <c r="A587">
        <v>586</v>
      </c>
      <c r="B587" t="s">
        <v>1555</v>
      </c>
      <c r="C587" t="s">
        <v>4622</v>
      </c>
    </row>
    <row r="588" spans="1:3" x14ac:dyDescent="0.25">
      <c r="A588">
        <v>587</v>
      </c>
      <c r="B588" t="s">
        <v>1623</v>
      </c>
      <c r="C588" t="s">
        <v>4623</v>
      </c>
    </row>
    <row r="589" spans="1:3" x14ac:dyDescent="0.25">
      <c r="A589">
        <v>588</v>
      </c>
      <c r="B589" t="s">
        <v>1645</v>
      </c>
      <c r="C589" t="s">
        <v>4624</v>
      </c>
    </row>
    <row r="590" spans="1:3" x14ac:dyDescent="0.25">
      <c r="A590">
        <v>589</v>
      </c>
      <c r="B590" t="s">
        <v>1654</v>
      </c>
      <c r="C590" t="s">
        <v>4625</v>
      </c>
    </row>
    <row r="591" spans="1:3" x14ac:dyDescent="0.25">
      <c r="A591">
        <v>590</v>
      </c>
      <c r="B591" t="s">
        <v>1668</v>
      </c>
      <c r="C591" t="s">
        <v>4626</v>
      </c>
    </row>
    <row r="592" spans="1:3" x14ac:dyDescent="0.25">
      <c r="A592">
        <v>591</v>
      </c>
      <c r="B592" t="s">
        <v>1678</v>
      </c>
      <c r="C592" t="s">
        <v>4627</v>
      </c>
    </row>
    <row r="593" spans="1:3" x14ac:dyDescent="0.25">
      <c r="A593">
        <v>592</v>
      </c>
      <c r="B593" t="s">
        <v>1860</v>
      </c>
      <c r="C593" t="s">
        <v>4628</v>
      </c>
    </row>
    <row r="594" spans="1:3" x14ac:dyDescent="0.25">
      <c r="A594">
        <v>593</v>
      </c>
      <c r="B594" t="s">
        <v>1868</v>
      </c>
      <c r="C594" t="s">
        <v>4629</v>
      </c>
    </row>
    <row r="595" spans="1:3" x14ac:dyDescent="0.25">
      <c r="A595">
        <v>594</v>
      </c>
      <c r="B595" t="s">
        <v>1879</v>
      </c>
      <c r="C595" t="s">
        <v>4630</v>
      </c>
    </row>
    <row r="596" spans="1:3" x14ac:dyDescent="0.25">
      <c r="A596">
        <v>595</v>
      </c>
      <c r="B596" t="s">
        <v>1883</v>
      </c>
      <c r="C596" t="s">
        <v>4631</v>
      </c>
    </row>
    <row r="597" spans="1:3" x14ac:dyDescent="0.25">
      <c r="A597">
        <v>596</v>
      </c>
      <c r="B597" t="s">
        <v>1894</v>
      </c>
      <c r="C597" t="s">
        <v>4632</v>
      </c>
    </row>
    <row r="598" spans="1:3" x14ac:dyDescent="0.25">
      <c r="A598">
        <v>597</v>
      </c>
      <c r="B598" t="s">
        <v>1936</v>
      </c>
      <c r="C598" t="s">
        <v>4633</v>
      </c>
    </row>
    <row r="599" spans="1:3" x14ac:dyDescent="0.25">
      <c r="A599">
        <v>598</v>
      </c>
      <c r="B599" t="s">
        <v>1981</v>
      </c>
      <c r="C599" t="s">
        <v>4634</v>
      </c>
    </row>
    <row r="600" spans="1:3" x14ac:dyDescent="0.25">
      <c r="A600">
        <v>599</v>
      </c>
      <c r="B600" t="s">
        <v>1988</v>
      </c>
      <c r="C600" t="s">
        <v>4635</v>
      </c>
    </row>
    <row r="601" spans="1:3" x14ac:dyDescent="0.25">
      <c r="A601">
        <v>600</v>
      </c>
      <c r="B601" t="s">
        <v>1997</v>
      </c>
      <c r="C601" t="s">
        <v>4636</v>
      </c>
    </row>
    <row r="602" spans="1:3" x14ac:dyDescent="0.25">
      <c r="A602">
        <v>601</v>
      </c>
      <c r="B602" t="s">
        <v>729</v>
      </c>
      <c r="C602" t="s">
        <v>4637</v>
      </c>
    </row>
    <row r="603" spans="1:3" x14ac:dyDescent="0.25">
      <c r="A603">
        <v>602</v>
      </c>
      <c r="B603" t="s">
        <v>1377</v>
      </c>
      <c r="C603" t="s">
        <v>4638</v>
      </c>
    </row>
    <row r="604" spans="1:3" x14ac:dyDescent="0.25">
      <c r="A604">
        <v>603</v>
      </c>
      <c r="B604" t="s">
        <v>1498</v>
      </c>
      <c r="C604" t="s">
        <v>4639</v>
      </c>
    </row>
    <row r="605" spans="1:3" x14ac:dyDescent="0.25">
      <c r="A605">
        <v>604</v>
      </c>
      <c r="B605" t="s">
        <v>1508</v>
      </c>
      <c r="C605" t="s">
        <v>4640</v>
      </c>
    </row>
    <row r="606" spans="1:3" x14ac:dyDescent="0.25">
      <c r="A606">
        <v>605</v>
      </c>
      <c r="B606" t="s">
        <v>1786</v>
      </c>
      <c r="C606" t="s">
        <v>4641</v>
      </c>
    </row>
    <row r="607" spans="1:3" x14ac:dyDescent="0.25">
      <c r="A607">
        <v>606</v>
      </c>
      <c r="B607" t="s">
        <v>1978</v>
      </c>
      <c r="C607" t="s">
        <v>4642</v>
      </c>
    </row>
    <row r="608" spans="1:3" x14ac:dyDescent="0.25">
      <c r="A608">
        <v>607</v>
      </c>
      <c r="B608" t="s">
        <v>843</v>
      </c>
      <c r="C608" t="s">
        <v>4643</v>
      </c>
    </row>
    <row r="609" spans="1:3" x14ac:dyDescent="0.25">
      <c r="A609">
        <v>608</v>
      </c>
      <c r="B609" t="s">
        <v>854</v>
      </c>
      <c r="C609" t="s">
        <v>4644</v>
      </c>
    </row>
    <row r="610" spans="1:3" x14ac:dyDescent="0.25">
      <c r="A610">
        <v>609</v>
      </c>
      <c r="B610" t="s">
        <v>1002</v>
      </c>
      <c r="C610" t="s">
        <v>4645</v>
      </c>
    </row>
    <row r="611" spans="1:3" x14ac:dyDescent="0.25">
      <c r="A611">
        <v>610</v>
      </c>
      <c r="B611" t="s">
        <v>1138</v>
      </c>
      <c r="C611" t="s">
        <v>4646</v>
      </c>
    </row>
    <row r="612" spans="1:3" x14ac:dyDescent="0.25">
      <c r="A612">
        <v>611</v>
      </c>
      <c r="B612" t="s">
        <v>1149</v>
      </c>
      <c r="C612" t="s">
        <v>4647</v>
      </c>
    </row>
    <row r="613" spans="1:3" x14ac:dyDescent="0.25">
      <c r="A613">
        <v>612</v>
      </c>
      <c r="B613" t="s">
        <v>1348</v>
      </c>
      <c r="C613" t="s">
        <v>4648</v>
      </c>
    </row>
    <row r="614" spans="1:3" x14ac:dyDescent="0.25">
      <c r="A614">
        <v>613</v>
      </c>
      <c r="B614" t="s">
        <v>1359</v>
      </c>
      <c r="C614" t="s">
        <v>4649</v>
      </c>
    </row>
    <row r="615" spans="1:3" x14ac:dyDescent="0.25">
      <c r="A615">
        <v>614</v>
      </c>
      <c r="B615" t="s">
        <v>1387</v>
      </c>
      <c r="C615" t="s">
        <v>4650</v>
      </c>
    </row>
    <row r="616" spans="1:3" x14ac:dyDescent="0.25">
      <c r="A616">
        <v>615</v>
      </c>
      <c r="B616" t="s">
        <v>1478</v>
      </c>
      <c r="C616" t="s">
        <v>4651</v>
      </c>
    </row>
    <row r="617" spans="1:3" x14ac:dyDescent="0.25">
      <c r="A617">
        <v>616</v>
      </c>
      <c r="B617" t="s">
        <v>1565</v>
      </c>
      <c r="C617" t="s">
        <v>4652</v>
      </c>
    </row>
    <row r="618" spans="1:3" x14ac:dyDescent="0.25">
      <c r="A618">
        <v>617</v>
      </c>
      <c r="B618" t="s">
        <v>1584</v>
      </c>
      <c r="C618" t="s">
        <v>4653</v>
      </c>
    </row>
    <row r="619" spans="1:3" x14ac:dyDescent="0.25">
      <c r="A619">
        <v>618</v>
      </c>
      <c r="B619" t="s">
        <v>1739</v>
      </c>
      <c r="C619" t="s">
        <v>4654</v>
      </c>
    </row>
    <row r="620" spans="1:3" x14ac:dyDescent="0.25">
      <c r="A620">
        <v>619</v>
      </c>
      <c r="B620" t="s">
        <v>1758</v>
      </c>
      <c r="C620" t="s">
        <v>4655</v>
      </c>
    </row>
    <row r="621" spans="1:3" x14ac:dyDescent="0.25">
      <c r="A621">
        <v>620</v>
      </c>
      <c r="B621" t="s">
        <v>1766</v>
      </c>
      <c r="C621" t="s">
        <v>4656</v>
      </c>
    </row>
    <row r="622" spans="1:3" x14ac:dyDescent="0.25">
      <c r="A622">
        <v>621</v>
      </c>
      <c r="B622" t="s">
        <v>1376</v>
      </c>
      <c r="C622" t="s">
        <v>4657</v>
      </c>
    </row>
    <row r="623" spans="1:3" x14ac:dyDescent="0.25">
      <c r="A623">
        <v>622</v>
      </c>
      <c r="B623" t="s">
        <v>1410</v>
      </c>
      <c r="C623" t="s">
        <v>4658</v>
      </c>
    </row>
    <row r="624" spans="1:3" x14ac:dyDescent="0.25">
      <c r="A624">
        <v>623</v>
      </c>
      <c r="B624" t="s">
        <v>1497</v>
      </c>
      <c r="C624" t="s">
        <v>4659</v>
      </c>
    </row>
    <row r="625" spans="1:3" x14ac:dyDescent="0.25">
      <c r="A625">
        <v>624</v>
      </c>
      <c r="B625" t="s">
        <v>566</v>
      </c>
      <c r="C625" t="s">
        <v>4660</v>
      </c>
    </row>
    <row r="626" spans="1:3" x14ac:dyDescent="0.25">
      <c r="A626">
        <v>625</v>
      </c>
      <c r="B626" t="s">
        <v>1776</v>
      </c>
      <c r="C626" t="s">
        <v>4661</v>
      </c>
    </row>
    <row r="627" spans="1:3" x14ac:dyDescent="0.25">
      <c r="A627">
        <v>626</v>
      </c>
      <c r="B627" t="s">
        <v>1847</v>
      </c>
      <c r="C627" t="s">
        <v>4662</v>
      </c>
    </row>
    <row r="628" spans="1:3" x14ac:dyDescent="0.25">
      <c r="A628">
        <v>627</v>
      </c>
      <c r="B628" t="s">
        <v>604</v>
      </c>
      <c r="C628" t="s">
        <v>4663</v>
      </c>
    </row>
    <row r="629" spans="1:3" x14ac:dyDescent="0.25">
      <c r="A629">
        <v>628</v>
      </c>
      <c r="B629" t="s">
        <v>973</v>
      </c>
      <c r="C629" t="s">
        <v>4664</v>
      </c>
    </row>
    <row r="630" spans="1:3" x14ac:dyDescent="0.25">
      <c r="A630">
        <v>629</v>
      </c>
      <c r="B630" t="s">
        <v>1069</v>
      </c>
      <c r="C630" t="s">
        <v>4665</v>
      </c>
    </row>
    <row r="631" spans="1:3" x14ac:dyDescent="0.25">
      <c r="A631">
        <v>630</v>
      </c>
      <c r="B631" t="s">
        <v>1507</v>
      </c>
      <c r="C631" t="s">
        <v>4666</v>
      </c>
    </row>
    <row r="632" spans="1:3" x14ac:dyDescent="0.25">
      <c r="A632">
        <v>631</v>
      </c>
      <c r="B632" t="s">
        <v>1785</v>
      </c>
      <c r="C632" t="s">
        <v>4667</v>
      </c>
    </row>
    <row r="633" spans="1:3" x14ac:dyDescent="0.25">
      <c r="A633">
        <v>632</v>
      </c>
      <c r="B633" t="s">
        <v>1977</v>
      </c>
      <c r="C633" t="s">
        <v>4668</v>
      </c>
    </row>
    <row r="634" spans="1:3" x14ac:dyDescent="0.25">
      <c r="A634">
        <v>633</v>
      </c>
      <c r="B634" t="s">
        <v>1295</v>
      </c>
      <c r="C634" t="s">
        <v>4669</v>
      </c>
    </row>
    <row r="635" spans="1:3" x14ac:dyDescent="0.25">
      <c r="A635">
        <v>634</v>
      </c>
      <c r="B635" t="s">
        <v>1461</v>
      </c>
      <c r="C635" t="s">
        <v>4670</v>
      </c>
    </row>
    <row r="636" spans="1:3" x14ac:dyDescent="0.25">
      <c r="A636">
        <v>635</v>
      </c>
      <c r="B636" t="s">
        <v>1710</v>
      </c>
      <c r="C636" t="s">
        <v>4671</v>
      </c>
    </row>
    <row r="637" spans="1:3" x14ac:dyDescent="0.25">
      <c r="A637">
        <v>636</v>
      </c>
      <c r="B637" t="s">
        <v>1944</v>
      </c>
      <c r="C637" t="s">
        <v>4672</v>
      </c>
    </row>
    <row r="638" spans="1:3" x14ac:dyDescent="0.25">
      <c r="A638">
        <v>637</v>
      </c>
      <c r="B638" t="s">
        <v>641</v>
      </c>
      <c r="C638" t="s">
        <v>4673</v>
      </c>
    </row>
    <row r="639" spans="1:3" x14ac:dyDescent="0.25">
      <c r="A639">
        <v>638</v>
      </c>
      <c r="B639" t="s">
        <v>706</v>
      </c>
      <c r="C639" t="s">
        <v>4674</v>
      </c>
    </row>
    <row r="640" spans="1:3" x14ac:dyDescent="0.25">
      <c r="A640">
        <v>639</v>
      </c>
      <c r="B640" t="s">
        <v>1774</v>
      </c>
      <c r="C640" t="s">
        <v>4675</v>
      </c>
    </row>
    <row r="641" spans="1:3" x14ac:dyDescent="0.25">
      <c r="A641">
        <v>640</v>
      </c>
      <c r="B641" t="s">
        <v>1935</v>
      </c>
      <c r="C641" t="s">
        <v>4676</v>
      </c>
    </row>
    <row r="642" spans="1:3" x14ac:dyDescent="0.25">
      <c r="A642">
        <v>641</v>
      </c>
      <c r="B642" t="s">
        <v>1105</v>
      </c>
      <c r="C642" t="s">
        <v>4677</v>
      </c>
    </row>
    <row r="643" spans="1:3" x14ac:dyDescent="0.25">
      <c r="A643">
        <v>642</v>
      </c>
      <c r="B643" t="s">
        <v>1106</v>
      </c>
      <c r="C643" t="s">
        <v>4678</v>
      </c>
    </row>
    <row r="644" spans="1:3" x14ac:dyDescent="0.25">
      <c r="A644">
        <v>643</v>
      </c>
      <c r="B644" t="s">
        <v>1107</v>
      </c>
      <c r="C644" t="s">
        <v>4679</v>
      </c>
    </row>
    <row r="645" spans="1:3" x14ac:dyDescent="0.25">
      <c r="A645">
        <v>644</v>
      </c>
      <c r="B645" t="s">
        <v>1108</v>
      </c>
      <c r="C645" t="s">
        <v>4680</v>
      </c>
    </row>
    <row r="646" spans="1:3" x14ac:dyDescent="0.25">
      <c r="A646">
        <v>645</v>
      </c>
      <c r="B646" t="s">
        <v>1109</v>
      </c>
      <c r="C646" t="s">
        <v>4681</v>
      </c>
    </row>
    <row r="647" spans="1:3" x14ac:dyDescent="0.25">
      <c r="A647">
        <v>646</v>
      </c>
      <c r="B647" t="s">
        <v>3983</v>
      </c>
      <c r="C647" t="s">
        <v>4682</v>
      </c>
    </row>
    <row r="648" spans="1:3" x14ac:dyDescent="0.25">
      <c r="A648">
        <v>647</v>
      </c>
      <c r="B648" t="s">
        <v>852</v>
      </c>
      <c r="C648" t="s">
        <v>4683</v>
      </c>
    </row>
    <row r="649" spans="1:3" x14ac:dyDescent="0.25">
      <c r="A649">
        <v>648</v>
      </c>
      <c r="B649" t="s">
        <v>1133</v>
      </c>
      <c r="C649" t="s">
        <v>4684</v>
      </c>
    </row>
    <row r="650" spans="1:3" x14ac:dyDescent="0.25">
      <c r="A650">
        <v>649</v>
      </c>
      <c r="B650" t="s">
        <v>1147</v>
      </c>
      <c r="C650" t="s">
        <v>4685</v>
      </c>
    </row>
    <row r="651" spans="1:3" x14ac:dyDescent="0.25">
      <c r="A651">
        <v>650</v>
      </c>
      <c r="B651" t="s">
        <v>1580</v>
      </c>
      <c r="C651" t="s">
        <v>4686</v>
      </c>
    </row>
    <row r="652" spans="1:3" x14ac:dyDescent="0.25">
      <c r="A652">
        <v>651</v>
      </c>
      <c r="B652" t="s">
        <v>626</v>
      </c>
      <c r="C652" t="s">
        <v>4687</v>
      </c>
    </row>
    <row r="653" spans="1:3" x14ac:dyDescent="0.25">
      <c r="A653">
        <v>652</v>
      </c>
      <c r="B653" t="s">
        <v>1044</v>
      </c>
      <c r="C653" t="s">
        <v>4688</v>
      </c>
    </row>
    <row r="654" spans="1:3" x14ac:dyDescent="0.25">
      <c r="A654">
        <v>653</v>
      </c>
      <c r="B654" t="s">
        <v>1208</v>
      </c>
      <c r="C654" t="s">
        <v>4689</v>
      </c>
    </row>
    <row r="655" spans="1:3" x14ac:dyDescent="0.25">
      <c r="A655">
        <v>654</v>
      </c>
      <c r="B655" t="s">
        <v>1622</v>
      </c>
      <c r="C655" t="s">
        <v>4690</v>
      </c>
    </row>
    <row r="656" spans="1:3" x14ac:dyDescent="0.25">
      <c r="A656">
        <v>655</v>
      </c>
      <c r="B656" t="s">
        <v>1653</v>
      </c>
      <c r="C656" t="s">
        <v>4691</v>
      </c>
    </row>
    <row r="657" spans="1:3" x14ac:dyDescent="0.25">
      <c r="A657">
        <v>656</v>
      </c>
      <c r="B657" t="s">
        <v>1803</v>
      </c>
      <c r="C657" t="s">
        <v>4692</v>
      </c>
    </row>
    <row r="658" spans="1:3" x14ac:dyDescent="0.25">
      <c r="A658">
        <v>657</v>
      </c>
      <c r="B658" t="s">
        <v>1858</v>
      </c>
      <c r="C658" t="s">
        <v>4693</v>
      </c>
    </row>
    <row r="659" spans="1:3" x14ac:dyDescent="0.25">
      <c r="A659">
        <v>658</v>
      </c>
      <c r="B659" t="s">
        <v>1859</v>
      </c>
      <c r="C659" t="s">
        <v>4694</v>
      </c>
    </row>
    <row r="660" spans="1:3" x14ac:dyDescent="0.25">
      <c r="A660">
        <v>659</v>
      </c>
      <c r="B660" t="s">
        <v>1867</v>
      </c>
      <c r="C660" t="s">
        <v>4695</v>
      </c>
    </row>
    <row r="661" spans="1:3" x14ac:dyDescent="0.25">
      <c r="A661">
        <v>660</v>
      </c>
      <c r="B661" t="s">
        <v>620</v>
      </c>
      <c r="C661" t="s">
        <v>4696</v>
      </c>
    </row>
    <row r="662" spans="1:3" x14ac:dyDescent="0.25">
      <c r="A662">
        <v>661</v>
      </c>
      <c r="B662" t="s">
        <v>623</v>
      </c>
      <c r="C662" t="s">
        <v>4697</v>
      </c>
    </row>
    <row r="663" spans="1:3" x14ac:dyDescent="0.25">
      <c r="A663">
        <v>662</v>
      </c>
      <c r="B663" t="s">
        <v>758</v>
      </c>
      <c r="C663" t="s">
        <v>4698</v>
      </c>
    </row>
    <row r="664" spans="1:3" x14ac:dyDescent="0.25">
      <c r="A664">
        <v>663</v>
      </c>
      <c r="B664" t="s">
        <v>716</v>
      </c>
      <c r="C664" t="s">
        <v>4699</v>
      </c>
    </row>
    <row r="665" spans="1:3" x14ac:dyDescent="0.25">
      <c r="A665">
        <v>664</v>
      </c>
      <c r="B665" t="s">
        <v>986</v>
      </c>
      <c r="C665" t="s">
        <v>4700</v>
      </c>
    </row>
    <row r="666" spans="1:3" x14ac:dyDescent="0.25">
      <c r="A666">
        <v>665</v>
      </c>
      <c r="B666" t="s">
        <v>1011</v>
      </c>
      <c r="C666" t="s">
        <v>4701</v>
      </c>
    </row>
    <row r="667" spans="1:3" x14ac:dyDescent="0.25">
      <c r="A667">
        <v>666</v>
      </c>
      <c r="B667" t="s">
        <v>1154</v>
      </c>
      <c r="C667" t="s">
        <v>4702</v>
      </c>
    </row>
    <row r="668" spans="1:3" x14ac:dyDescent="0.25">
      <c r="A668">
        <v>667</v>
      </c>
      <c r="B668" t="s">
        <v>1396</v>
      </c>
      <c r="C668" t="s">
        <v>4703</v>
      </c>
    </row>
    <row r="669" spans="1:3" x14ac:dyDescent="0.25">
      <c r="A669">
        <v>668</v>
      </c>
      <c r="B669" t="s">
        <v>1597</v>
      </c>
      <c r="C669" t="s">
        <v>4704</v>
      </c>
    </row>
    <row r="670" spans="1:3" x14ac:dyDescent="0.25">
      <c r="A670">
        <v>669</v>
      </c>
      <c r="B670" t="s">
        <v>742</v>
      </c>
      <c r="C670" t="s">
        <v>4705</v>
      </c>
    </row>
    <row r="671" spans="1:3" x14ac:dyDescent="0.25">
      <c r="A671">
        <v>670</v>
      </c>
      <c r="B671" t="s">
        <v>684</v>
      </c>
      <c r="C671" t="s">
        <v>4706</v>
      </c>
    </row>
    <row r="672" spans="1:3" x14ac:dyDescent="0.25">
      <c r="A672">
        <v>671</v>
      </c>
      <c r="B672" t="s">
        <v>1563</v>
      </c>
      <c r="C672" t="s">
        <v>4707</v>
      </c>
    </row>
    <row r="673" spans="1:3" x14ac:dyDescent="0.25">
      <c r="A673">
        <v>672</v>
      </c>
      <c r="B673" t="s">
        <v>1811</v>
      </c>
      <c r="C673" t="s">
        <v>4708</v>
      </c>
    </row>
    <row r="674" spans="1:3" x14ac:dyDescent="0.25">
      <c r="A674">
        <v>673</v>
      </c>
      <c r="B674" t="s">
        <v>1819</v>
      </c>
      <c r="C674" t="s">
        <v>4709</v>
      </c>
    </row>
    <row r="675" spans="1:3" x14ac:dyDescent="0.25">
      <c r="A675">
        <v>674</v>
      </c>
      <c r="B675" t="s">
        <v>1880</v>
      </c>
      <c r="C675" t="s">
        <v>4710</v>
      </c>
    </row>
    <row r="676" spans="1:3" x14ac:dyDescent="0.25">
      <c r="A676">
        <v>675</v>
      </c>
      <c r="B676" t="s">
        <v>1884</v>
      </c>
      <c r="C676" t="s">
        <v>4711</v>
      </c>
    </row>
    <row r="677" spans="1:3" x14ac:dyDescent="0.25">
      <c r="A677">
        <v>676</v>
      </c>
      <c r="B677" t="s">
        <v>1895</v>
      </c>
      <c r="C677" t="s">
        <v>4712</v>
      </c>
    </row>
    <row r="678" spans="1:3" x14ac:dyDescent="0.25">
      <c r="A678">
        <v>677</v>
      </c>
      <c r="B678" t="s">
        <v>707</v>
      </c>
      <c r="C678" t="s">
        <v>4713</v>
      </c>
    </row>
    <row r="679" spans="1:3" x14ac:dyDescent="0.25">
      <c r="A679">
        <v>678</v>
      </c>
      <c r="B679" t="s">
        <v>676</v>
      </c>
      <c r="C679" t="s">
        <v>4714</v>
      </c>
    </row>
    <row r="680" spans="1:3" x14ac:dyDescent="0.25">
      <c r="A680">
        <v>679</v>
      </c>
      <c r="B680" t="s">
        <v>1104</v>
      </c>
      <c r="C680" t="s">
        <v>4715</v>
      </c>
    </row>
    <row r="681" spans="1:3" x14ac:dyDescent="0.25">
      <c r="A681">
        <v>680</v>
      </c>
      <c r="B681" t="s">
        <v>1218</v>
      </c>
      <c r="C681" t="s">
        <v>4716</v>
      </c>
    </row>
    <row r="682" spans="1:3" x14ac:dyDescent="0.25">
      <c r="A682">
        <v>681</v>
      </c>
      <c r="B682" t="s">
        <v>2005</v>
      </c>
      <c r="C682" t="s">
        <v>4717</v>
      </c>
    </row>
    <row r="683" spans="1:3" x14ac:dyDescent="0.25">
      <c r="A683">
        <v>682</v>
      </c>
      <c r="B683" t="s">
        <v>3985</v>
      </c>
      <c r="C683" t="s">
        <v>4718</v>
      </c>
    </row>
    <row r="684" spans="1:3" x14ac:dyDescent="0.25">
      <c r="A684">
        <v>683</v>
      </c>
      <c r="B684" t="s">
        <v>1556</v>
      </c>
      <c r="C684" t="s">
        <v>4719</v>
      </c>
    </row>
    <row r="685" spans="1:3" x14ac:dyDescent="0.25">
      <c r="A685">
        <v>684</v>
      </c>
      <c r="B685" t="s">
        <v>3987</v>
      </c>
      <c r="C685" t="s">
        <v>4720</v>
      </c>
    </row>
    <row r="686" spans="1:3" x14ac:dyDescent="0.25">
      <c r="A686">
        <v>685</v>
      </c>
      <c r="B686" t="s">
        <v>988</v>
      </c>
      <c r="C686" t="s">
        <v>4721</v>
      </c>
    </row>
    <row r="687" spans="1:3" x14ac:dyDescent="0.25">
      <c r="A687">
        <v>686</v>
      </c>
      <c r="B687" t="s">
        <v>1135</v>
      </c>
      <c r="C687" t="s">
        <v>4722</v>
      </c>
    </row>
    <row r="688" spans="1:3" x14ac:dyDescent="0.25">
      <c r="A688">
        <v>687</v>
      </c>
      <c r="B688" t="s">
        <v>1156</v>
      </c>
      <c r="C688" t="s">
        <v>4723</v>
      </c>
    </row>
    <row r="689" spans="1:3" x14ac:dyDescent="0.25">
      <c r="A689">
        <v>688</v>
      </c>
      <c r="B689" t="s">
        <v>1398</v>
      </c>
      <c r="C689" t="s">
        <v>4724</v>
      </c>
    </row>
    <row r="690" spans="1:3" x14ac:dyDescent="0.25">
      <c r="A690">
        <v>689</v>
      </c>
      <c r="B690" t="s">
        <v>1599</v>
      </c>
      <c r="C690" t="s">
        <v>4725</v>
      </c>
    </row>
    <row r="691" spans="1:3" x14ac:dyDescent="0.25">
      <c r="A691">
        <v>690</v>
      </c>
      <c r="B691" t="s">
        <v>1950</v>
      </c>
      <c r="C691" t="s">
        <v>4726</v>
      </c>
    </row>
    <row r="692" spans="1:3" x14ac:dyDescent="0.25">
      <c r="A692">
        <v>691</v>
      </c>
      <c r="B692" t="s">
        <v>1669</v>
      </c>
      <c r="C692" t="s">
        <v>4727</v>
      </c>
    </row>
    <row r="693" spans="1:3" x14ac:dyDescent="0.25">
      <c r="A693">
        <v>692</v>
      </c>
      <c r="B693" t="s">
        <v>1679</v>
      </c>
      <c r="C693" t="s">
        <v>4728</v>
      </c>
    </row>
    <row r="694" spans="1:3" x14ac:dyDescent="0.25">
      <c r="A694">
        <v>693</v>
      </c>
      <c r="B694" t="s">
        <v>1989</v>
      </c>
      <c r="C694" t="s">
        <v>4729</v>
      </c>
    </row>
    <row r="695" spans="1:3" x14ac:dyDescent="0.25">
      <c r="A695">
        <v>694</v>
      </c>
      <c r="B695" t="s">
        <v>1262</v>
      </c>
      <c r="C695" t="s">
        <v>4730</v>
      </c>
    </row>
    <row r="696" spans="1:3" x14ac:dyDescent="0.25">
      <c r="A696">
        <v>695</v>
      </c>
      <c r="B696" t="s">
        <v>1420</v>
      </c>
      <c r="C696" t="s">
        <v>4731</v>
      </c>
    </row>
    <row r="697" spans="1:3" x14ac:dyDescent="0.25">
      <c r="A697">
        <v>696</v>
      </c>
      <c r="B697" t="s">
        <v>1731</v>
      </c>
      <c r="C697" t="s">
        <v>4732</v>
      </c>
    </row>
    <row r="698" spans="1:3" x14ac:dyDescent="0.25">
      <c r="A698">
        <v>697</v>
      </c>
      <c r="B698" t="s">
        <v>717</v>
      </c>
      <c r="C698" t="s">
        <v>4733</v>
      </c>
    </row>
    <row r="699" spans="1:3" x14ac:dyDescent="0.25">
      <c r="A699">
        <v>698</v>
      </c>
      <c r="B699" t="s">
        <v>1045</v>
      </c>
      <c r="C699" t="s">
        <v>4734</v>
      </c>
    </row>
    <row r="700" spans="1:3" x14ac:dyDescent="0.25">
      <c r="A700">
        <v>699</v>
      </c>
      <c r="B700" t="s">
        <v>1211</v>
      </c>
      <c r="C700" t="s">
        <v>4735</v>
      </c>
    </row>
    <row r="701" spans="1:3" x14ac:dyDescent="0.25">
      <c r="A701">
        <v>700</v>
      </c>
      <c r="B701" t="s">
        <v>1624</v>
      </c>
      <c r="C701" t="s">
        <v>4736</v>
      </c>
    </row>
    <row r="702" spans="1:3" x14ac:dyDescent="0.25">
      <c r="A702">
        <v>701</v>
      </c>
      <c r="B702" t="s">
        <v>1861</v>
      </c>
      <c r="C702" t="s">
        <v>4737</v>
      </c>
    </row>
    <row r="703" spans="1:3" x14ac:dyDescent="0.25">
      <c r="A703">
        <v>702</v>
      </c>
      <c r="B703" t="s">
        <v>1869</v>
      </c>
      <c r="C703" t="s">
        <v>4738</v>
      </c>
    </row>
    <row r="704" spans="1:3" x14ac:dyDescent="0.25">
      <c r="A704">
        <v>703</v>
      </c>
      <c r="B704" t="s">
        <v>1959</v>
      </c>
      <c r="C704" t="s">
        <v>4739</v>
      </c>
    </row>
    <row r="705" spans="1:3" x14ac:dyDescent="0.25">
      <c r="A705">
        <v>704</v>
      </c>
      <c r="B705" t="s">
        <v>781</v>
      </c>
      <c r="C705" t="s">
        <v>4740</v>
      </c>
    </row>
    <row r="706" spans="1:3" x14ac:dyDescent="0.25">
      <c r="A706">
        <v>705</v>
      </c>
      <c r="B706" t="s">
        <v>794</v>
      </c>
      <c r="C706" t="s">
        <v>4741</v>
      </c>
    </row>
    <row r="707" spans="1:3" x14ac:dyDescent="0.25">
      <c r="A707">
        <v>706</v>
      </c>
      <c r="B707" t="s">
        <v>1307</v>
      </c>
      <c r="C707" t="s">
        <v>4742</v>
      </c>
    </row>
    <row r="708" spans="1:3" x14ac:dyDescent="0.25">
      <c r="A708">
        <v>707</v>
      </c>
      <c r="B708" t="s">
        <v>1426</v>
      </c>
      <c r="C708" t="s">
        <v>4743</v>
      </c>
    </row>
    <row r="709" spans="1:3" x14ac:dyDescent="0.25">
      <c r="A709">
        <v>708</v>
      </c>
      <c r="B709" t="s">
        <v>1436</v>
      </c>
      <c r="C709" t="s">
        <v>4744</v>
      </c>
    </row>
    <row r="710" spans="1:3" x14ac:dyDescent="0.25">
      <c r="A710">
        <v>709</v>
      </c>
      <c r="B710" t="s">
        <v>1689</v>
      </c>
      <c r="C710" t="s">
        <v>4745</v>
      </c>
    </row>
    <row r="711" spans="1:3" x14ac:dyDescent="0.25">
      <c r="A711">
        <v>710</v>
      </c>
      <c r="B711" t="s">
        <v>1998</v>
      </c>
      <c r="C711" t="s">
        <v>4746</v>
      </c>
    </row>
    <row r="712" spans="1:3" x14ac:dyDescent="0.25">
      <c r="A712">
        <v>711</v>
      </c>
      <c r="B712" t="s">
        <v>841</v>
      </c>
      <c r="C712" t="s">
        <v>4747</v>
      </c>
    </row>
    <row r="713" spans="1:3" x14ac:dyDescent="0.25">
      <c r="A713">
        <v>712</v>
      </c>
      <c r="B713" t="s">
        <v>1000</v>
      </c>
      <c r="C713" t="s">
        <v>4748</v>
      </c>
    </row>
    <row r="714" spans="1:3" x14ac:dyDescent="0.25">
      <c r="A714">
        <v>713</v>
      </c>
      <c r="B714" t="s">
        <v>1965</v>
      </c>
      <c r="C714" t="s">
        <v>4749</v>
      </c>
    </row>
    <row r="715" spans="1:3" x14ac:dyDescent="0.25">
      <c r="A715">
        <v>714</v>
      </c>
      <c r="B715" t="s">
        <v>1355</v>
      </c>
      <c r="C715" t="s">
        <v>4750</v>
      </c>
    </row>
    <row r="716" spans="1:3" x14ac:dyDescent="0.25">
      <c r="A716">
        <v>715</v>
      </c>
      <c r="B716" t="s">
        <v>1385</v>
      </c>
      <c r="C716" t="s">
        <v>4751</v>
      </c>
    </row>
    <row r="717" spans="1:3" x14ac:dyDescent="0.25">
      <c r="A717">
        <v>716</v>
      </c>
      <c r="B717" t="s">
        <v>1327</v>
      </c>
      <c r="C717" t="s">
        <v>4752</v>
      </c>
    </row>
    <row r="718" spans="1:3" x14ac:dyDescent="0.25">
      <c r="A718">
        <v>717</v>
      </c>
      <c r="B718" t="s">
        <v>1032</v>
      </c>
      <c r="C718" t="s">
        <v>4753</v>
      </c>
    </row>
    <row r="719" spans="1:3" x14ac:dyDescent="0.25">
      <c r="A719">
        <v>718</v>
      </c>
      <c r="B719" t="s">
        <v>1114</v>
      </c>
      <c r="C719" t="s">
        <v>4754</v>
      </c>
    </row>
    <row r="720" spans="1:3" x14ac:dyDescent="0.25">
      <c r="A720">
        <v>719</v>
      </c>
      <c r="B720" t="s">
        <v>1173</v>
      </c>
      <c r="C720" t="s">
        <v>4755</v>
      </c>
    </row>
    <row r="721" spans="1:3" x14ac:dyDescent="0.25">
      <c r="A721">
        <v>720</v>
      </c>
      <c r="B721" t="s">
        <v>1186</v>
      </c>
      <c r="C721" t="s">
        <v>4756</v>
      </c>
    </row>
    <row r="722" spans="1:3" x14ac:dyDescent="0.25">
      <c r="A722">
        <v>721</v>
      </c>
      <c r="B722" t="s">
        <v>1199</v>
      </c>
      <c r="C722" t="s">
        <v>4757</v>
      </c>
    </row>
    <row r="723" spans="1:3" x14ac:dyDescent="0.25">
      <c r="A723">
        <v>722</v>
      </c>
      <c r="B723" t="s">
        <v>1540</v>
      </c>
      <c r="C723" t="s">
        <v>4758</v>
      </c>
    </row>
    <row r="724" spans="1:3" x14ac:dyDescent="0.25">
      <c r="A724">
        <v>723</v>
      </c>
      <c r="B724" t="s">
        <v>1612</v>
      </c>
      <c r="C724" t="s">
        <v>4759</v>
      </c>
    </row>
    <row r="725" spans="1:3" x14ac:dyDescent="0.25">
      <c r="A725">
        <v>724</v>
      </c>
      <c r="B725" t="s">
        <v>1110</v>
      </c>
      <c r="C725" t="s">
        <v>4760</v>
      </c>
    </row>
    <row r="726" spans="1:3" x14ac:dyDescent="0.25">
      <c r="A726">
        <v>725</v>
      </c>
      <c r="B726" t="s">
        <v>1174</v>
      </c>
      <c r="C726" t="s">
        <v>4761</v>
      </c>
    </row>
    <row r="727" spans="1:3" x14ac:dyDescent="0.25">
      <c r="A727">
        <v>726</v>
      </c>
      <c r="B727" t="s">
        <v>1187</v>
      </c>
      <c r="C727" t="s">
        <v>4762</v>
      </c>
    </row>
    <row r="728" spans="1:3" x14ac:dyDescent="0.25">
      <c r="A728">
        <v>727</v>
      </c>
      <c r="B728" t="s">
        <v>1613</v>
      </c>
      <c r="C728" t="s">
        <v>4763</v>
      </c>
    </row>
    <row r="729" spans="1:3" x14ac:dyDescent="0.25">
      <c r="A729">
        <v>728</v>
      </c>
      <c r="B729" t="s">
        <v>1296</v>
      </c>
      <c r="C729" t="s">
        <v>4764</v>
      </c>
    </row>
    <row r="730" spans="1:3" x14ac:dyDescent="0.25">
      <c r="A730">
        <v>729</v>
      </c>
      <c r="B730" t="s">
        <v>1462</v>
      </c>
      <c r="C730" t="s">
        <v>4765</v>
      </c>
    </row>
    <row r="731" spans="1:3" x14ac:dyDescent="0.25">
      <c r="A731">
        <v>730</v>
      </c>
      <c r="B731" t="s">
        <v>2016</v>
      </c>
      <c r="C731" t="s">
        <v>4766</v>
      </c>
    </row>
    <row r="732" spans="1:3" x14ac:dyDescent="0.25">
      <c r="A732">
        <v>731</v>
      </c>
      <c r="B732" t="s">
        <v>865</v>
      </c>
      <c r="C732" t="s">
        <v>4767</v>
      </c>
    </row>
    <row r="733" spans="1:3" x14ac:dyDescent="0.25">
      <c r="A733">
        <v>732</v>
      </c>
      <c r="B733" t="s">
        <v>1016</v>
      </c>
      <c r="C733" t="s">
        <v>4768</v>
      </c>
    </row>
    <row r="734" spans="1:3" x14ac:dyDescent="0.25">
      <c r="A734">
        <v>733</v>
      </c>
      <c r="B734" t="s">
        <v>1375</v>
      </c>
      <c r="C734" t="s">
        <v>4769</v>
      </c>
    </row>
    <row r="735" spans="1:3" x14ac:dyDescent="0.25">
      <c r="A735">
        <v>734</v>
      </c>
      <c r="B735" t="s">
        <v>1409</v>
      </c>
      <c r="C735" t="s">
        <v>4770</v>
      </c>
    </row>
    <row r="736" spans="1:3" x14ac:dyDescent="0.25">
      <c r="A736">
        <v>735</v>
      </c>
      <c r="B736" t="s">
        <v>1496</v>
      </c>
      <c r="C736" t="s">
        <v>4771</v>
      </c>
    </row>
    <row r="737" spans="1:3" x14ac:dyDescent="0.25">
      <c r="A737">
        <v>736</v>
      </c>
      <c r="B737" t="s">
        <v>959</v>
      </c>
      <c r="C737" t="s">
        <v>4772</v>
      </c>
    </row>
    <row r="738" spans="1:3" x14ac:dyDescent="0.25">
      <c r="A738">
        <v>737</v>
      </c>
      <c r="B738" t="s">
        <v>1338</v>
      </c>
      <c r="C738" t="s">
        <v>4773</v>
      </c>
    </row>
    <row r="739" spans="1:3" x14ac:dyDescent="0.25">
      <c r="A739">
        <v>738</v>
      </c>
      <c r="B739" t="s">
        <v>1506</v>
      </c>
      <c r="C739" t="s">
        <v>4774</v>
      </c>
    </row>
    <row r="740" spans="1:3" x14ac:dyDescent="0.25">
      <c r="A740">
        <v>739</v>
      </c>
      <c r="B740" t="s">
        <v>660</v>
      </c>
      <c r="C740" t="s">
        <v>4775</v>
      </c>
    </row>
    <row r="741" spans="1:3" x14ac:dyDescent="0.25">
      <c r="A741">
        <v>740</v>
      </c>
      <c r="B741" t="s">
        <v>545</v>
      </c>
      <c r="C741" t="s">
        <v>4776</v>
      </c>
    </row>
    <row r="742" spans="1:3" x14ac:dyDescent="0.25">
      <c r="A742">
        <v>741</v>
      </c>
      <c r="B742" t="s">
        <v>634</v>
      </c>
      <c r="C742" t="s">
        <v>4777</v>
      </c>
    </row>
    <row r="743" spans="1:3" x14ac:dyDescent="0.25">
      <c r="A743">
        <v>742</v>
      </c>
      <c r="B743" t="s">
        <v>668</v>
      </c>
      <c r="C743" t="s">
        <v>4778</v>
      </c>
    </row>
    <row r="744" spans="1:3" x14ac:dyDescent="0.25">
      <c r="A744">
        <v>743</v>
      </c>
      <c r="B744" t="s">
        <v>652</v>
      </c>
      <c r="C744" t="s">
        <v>4779</v>
      </c>
    </row>
    <row r="745" spans="1:3" x14ac:dyDescent="0.25">
      <c r="A745">
        <v>744</v>
      </c>
      <c r="B745" t="s">
        <v>826</v>
      </c>
      <c r="C745" t="s">
        <v>4780</v>
      </c>
    </row>
    <row r="746" spans="1:3" x14ac:dyDescent="0.25">
      <c r="A746">
        <v>745</v>
      </c>
      <c r="B746" t="s">
        <v>945</v>
      </c>
      <c r="C746" t="s">
        <v>4781</v>
      </c>
    </row>
    <row r="747" spans="1:3" x14ac:dyDescent="0.25">
      <c r="A747">
        <v>746</v>
      </c>
      <c r="B747" t="s">
        <v>1080</v>
      </c>
      <c r="C747" t="s">
        <v>4782</v>
      </c>
    </row>
    <row r="748" spans="1:3" x14ac:dyDescent="0.25">
      <c r="A748">
        <v>747</v>
      </c>
      <c r="B748" t="s">
        <v>1471</v>
      </c>
      <c r="C748" t="s">
        <v>4783</v>
      </c>
    </row>
    <row r="749" spans="1:3" x14ac:dyDescent="0.25">
      <c r="A749">
        <v>748</v>
      </c>
      <c r="B749" t="s">
        <v>1721</v>
      </c>
      <c r="C749" t="s">
        <v>4784</v>
      </c>
    </row>
    <row r="750" spans="1:3" x14ac:dyDescent="0.25">
      <c r="A750">
        <v>749</v>
      </c>
      <c r="B750" t="s">
        <v>422</v>
      </c>
      <c r="C750" t="s">
        <v>4785</v>
      </c>
    </row>
    <row r="751" spans="1:3" x14ac:dyDescent="0.25">
      <c r="A751">
        <v>750</v>
      </c>
      <c r="B751" t="s">
        <v>1092</v>
      </c>
      <c r="C751" t="s">
        <v>4786</v>
      </c>
    </row>
    <row r="752" spans="1:3" x14ac:dyDescent="0.25">
      <c r="A752">
        <v>751</v>
      </c>
      <c r="B752" t="s">
        <v>1281</v>
      </c>
      <c r="C752" t="s">
        <v>4787</v>
      </c>
    </row>
    <row r="753" spans="1:3" x14ac:dyDescent="0.25">
      <c r="A753">
        <v>752</v>
      </c>
      <c r="B753" t="s">
        <v>1828</v>
      </c>
      <c r="C753" t="s">
        <v>4788</v>
      </c>
    </row>
    <row r="754" spans="1:3" x14ac:dyDescent="0.25">
      <c r="A754">
        <v>753</v>
      </c>
      <c r="B754" t="s">
        <v>771</v>
      </c>
      <c r="C754" t="s">
        <v>4789</v>
      </c>
    </row>
    <row r="755" spans="1:3" x14ac:dyDescent="0.25">
      <c r="A755">
        <v>754</v>
      </c>
      <c r="B755" t="s">
        <v>1057</v>
      </c>
      <c r="C755" t="s">
        <v>4790</v>
      </c>
    </row>
    <row r="756" spans="1:3" x14ac:dyDescent="0.25">
      <c r="A756">
        <v>755</v>
      </c>
      <c r="B756" t="s">
        <v>1225</v>
      </c>
      <c r="C756" t="s">
        <v>4791</v>
      </c>
    </row>
    <row r="757" spans="1:3" x14ac:dyDescent="0.25">
      <c r="A757">
        <v>756</v>
      </c>
      <c r="B757" t="s">
        <v>1237</v>
      </c>
      <c r="C757" t="s">
        <v>4792</v>
      </c>
    </row>
    <row r="758" spans="1:3" x14ac:dyDescent="0.25">
      <c r="A758">
        <v>757</v>
      </c>
      <c r="B758" t="s">
        <v>722</v>
      </c>
      <c r="C758" t="s">
        <v>4793</v>
      </c>
    </row>
    <row r="759" spans="1:3" x14ac:dyDescent="0.25">
      <c r="A759">
        <v>758</v>
      </c>
      <c r="B759" t="s">
        <v>4794</v>
      </c>
      <c r="C759" t="s">
        <v>4795</v>
      </c>
    </row>
    <row r="760" spans="1:3" x14ac:dyDescent="0.25">
      <c r="A760">
        <v>759</v>
      </c>
      <c r="B760" t="s">
        <v>469</v>
      </c>
      <c r="C760" t="s">
        <v>4796</v>
      </c>
    </row>
    <row r="761" spans="1:3" x14ac:dyDescent="0.25">
      <c r="A761">
        <v>760</v>
      </c>
      <c r="B761" t="s">
        <v>1028</v>
      </c>
      <c r="C761" t="s">
        <v>4797</v>
      </c>
    </row>
    <row r="762" spans="1:3" x14ac:dyDescent="0.25">
      <c r="A762">
        <v>761</v>
      </c>
      <c r="B762" t="s">
        <v>1323</v>
      </c>
      <c r="C762" t="s">
        <v>4798</v>
      </c>
    </row>
    <row r="763" spans="1:3" x14ac:dyDescent="0.25">
      <c r="A763">
        <v>762</v>
      </c>
      <c r="B763" t="s">
        <v>4799</v>
      </c>
      <c r="C763" t="s">
        <v>4800</v>
      </c>
    </row>
    <row r="764" spans="1:3" x14ac:dyDescent="0.25">
      <c r="A764">
        <v>763</v>
      </c>
      <c r="B764" t="s">
        <v>1837</v>
      </c>
      <c r="C764" t="s">
        <v>4801</v>
      </c>
    </row>
    <row r="765" spans="1:3" x14ac:dyDescent="0.25">
      <c r="A765">
        <v>764</v>
      </c>
      <c r="B765" t="s">
        <v>367</v>
      </c>
      <c r="C765" t="s">
        <v>4802</v>
      </c>
    </row>
    <row r="766" spans="1:3" x14ac:dyDescent="0.25">
      <c r="A766">
        <v>765</v>
      </c>
      <c r="B766" t="s">
        <v>454</v>
      </c>
      <c r="C766" t="s">
        <v>4803</v>
      </c>
    </row>
    <row r="767" spans="1:3" x14ac:dyDescent="0.25">
      <c r="A767">
        <v>766</v>
      </c>
      <c r="B767" t="s">
        <v>549</v>
      </c>
      <c r="C767" t="s">
        <v>4804</v>
      </c>
    </row>
    <row r="768" spans="1:3" x14ac:dyDescent="0.25">
      <c r="A768">
        <v>767</v>
      </c>
      <c r="B768" t="s">
        <v>1170</v>
      </c>
      <c r="C768" t="s">
        <v>4805</v>
      </c>
    </row>
    <row r="769" spans="1:3" x14ac:dyDescent="0.25">
      <c r="A769">
        <v>768</v>
      </c>
      <c r="B769" t="s">
        <v>1609</v>
      </c>
      <c r="C769" t="s">
        <v>4806</v>
      </c>
    </row>
    <row r="770" spans="1:3" x14ac:dyDescent="0.25">
      <c r="A770">
        <v>769</v>
      </c>
      <c r="B770" t="s">
        <v>563</v>
      </c>
      <c r="C770" t="s">
        <v>4807</v>
      </c>
    </row>
    <row r="771" spans="1:3" x14ac:dyDescent="0.25">
      <c r="A771">
        <v>770</v>
      </c>
      <c r="B771" t="s">
        <v>1852</v>
      </c>
      <c r="C771" t="s">
        <v>4808</v>
      </c>
    </row>
    <row r="772" spans="1:3" x14ac:dyDescent="0.25">
      <c r="A772">
        <v>771</v>
      </c>
      <c r="B772" t="s">
        <v>632</v>
      </c>
      <c r="C772" t="s">
        <v>4809</v>
      </c>
    </row>
    <row r="773" spans="1:3" x14ac:dyDescent="0.25">
      <c r="A773">
        <v>772</v>
      </c>
      <c r="B773" t="s">
        <v>650</v>
      </c>
      <c r="C773" t="s">
        <v>4810</v>
      </c>
    </row>
    <row r="774" spans="1:3" x14ac:dyDescent="0.25">
      <c r="A774">
        <v>773</v>
      </c>
      <c r="B774" t="s">
        <v>850</v>
      </c>
      <c r="C774" t="s">
        <v>4811</v>
      </c>
    </row>
    <row r="775" spans="1:3" x14ac:dyDescent="0.25">
      <c r="A775">
        <v>774</v>
      </c>
      <c r="B775" t="s">
        <v>1131</v>
      </c>
      <c r="C775" t="s">
        <v>4812</v>
      </c>
    </row>
    <row r="776" spans="1:3" x14ac:dyDescent="0.25">
      <c r="A776">
        <v>775</v>
      </c>
      <c r="B776" t="s">
        <v>1145</v>
      </c>
      <c r="C776" t="s">
        <v>4813</v>
      </c>
    </row>
    <row r="777" spans="1:3" x14ac:dyDescent="0.25">
      <c r="A777">
        <v>776</v>
      </c>
      <c r="B777" t="s">
        <v>824</v>
      </c>
      <c r="C777" t="s">
        <v>4814</v>
      </c>
    </row>
    <row r="778" spans="1:3" x14ac:dyDescent="0.25">
      <c r="A778">
        <v>777</v>
      </c>
      <c r="B778" t="s">
        <v>943</v>
      </c>
      <c r="C778" t="s">
        <v>4815</v>
      </c>
    </row>
    <row r="779" spans="1:3" x14ac:dyDescent="0.25">
      <c r="A779">
        <v>778</v>
      </c>
      <c r="B779" t="s">
        <v>581</v>
      </c>
      <c r="C779" t="s">
        <v>4816</v>
      </c>
    </row>
    <row r="780" spans="1:3" x14ac:dyDescent="0.25">
      <c r="A780">
        <v>779</v>
      </c>
      <c r="B780" t="s">
        <v>586</v>
      </c>
      <c r="C780" t="s">
        <v>4817</v>
      </c>
    </row>
    <row r="781" spans="1:3" x14ac:dyDescent="0.25">
      <c r="A781">
        <v>780</v>
      </c>
      <c r="B781" t="s">
        <v>1078</v>
      </c>
      <c r="C781" t="s">
        <v>4818</v>
      </c>
    </row>
    <row r="782" spans="1:3" x14ac:dyDescent="0.25">
      <c r="A782">
        <v>781</v>
      </c>
      <c r="B782" t="s">
        <v>1469</v>
      </c>
      <c r="C782" t="s">
        <v>4819</v>
      </c>
    </row>
    <row r="783" spans="1:3" x14ac:dyDescent="0.25">
      <c r="A783">
        <v>782</v>
      </c>
      <c r="B783" t="s">
        <v>914</v>
      </c>
      <c r="C783" t="s">
        <v>4820</v>
      </c>
    </row>
    <row r="784" spans="1:3" x14ac:dyDescent="0.25">
      <c r="A784">
        <v>783</v>
      </c>
      <c r="B784" t="s">
        <v>929</v>
      </c>
      <c r="C784" t="s">
        <v>4821</v>
      </c>
    </row>
    <row r="785" spans="1:3" x14ac:dyDescent="0.25">
      <c r="A785">
        <v>784</v>
      </c>
      <c r="B785" t="s">
        <v>1275</v>
      </c>
      <c r="C785" t="s">
        <v>4822</v>
      </c>
    </row>
    <row r="786" spans="1:3" x14ac:dyDescent="0.25">
      <c r="A786">
        <v>785</v>
      </c>
      <c r="B786" t="s">
        <v>396</v>
      </c>
      <c r="C786" t="s">
        <v>4823</v>
      </c>
    </row>
    <row r="787" spans="1:3" x14ac:dyDescent="0.25">
      <c r="A787">
        <v>786</v>
      </c>
      <c r="B787" t="s">
        <v>598</v>
      </c>
      <c r="C787" t="s">
        <v>4824</v>
      </c>
    </row>
    <row r="788" spans="1:3" x14ac:dyDescent="0.25">
      <c r="A788">
        <v>787</v>
      </c>
      <c r="B788" t="s">
        <v>599</v>
      </c>
      <c r="C788" t="s">
        <v>4825</v>
      </c>
    </row>
    <row r="789" spans="1:3" x14ac:dyDescent="0.25">
      <c r="A789">
        <v>788</v>
      </c>
      <c r="B789" t="s">
        <v>607</v>
      </c>
      <c r="C789" t="s">
        <v>4826</v>
      </c>
    </row>
    <row r="790" spans="1:3" x14ac:dyDescent="0.25">
      <c r="A790">
        <v>789</v>
      </c>
      <c r="B790" t="s">
        <v>4827</v>
      </c>
      <c r="C790" t="s">
        <v>4828</v>
      </c>
    </row>
    <row r="791" spans="1:3" x14ac:dyDescent="0.25">
      <c r="A791">
        <v>790</v>
      </c>
      <c r="B791" t="s">
        <v>1953</v>
      </c>
      <c r="C791" t="s">
        <v>4829</v>
      </c>
    </row>
    <row r="792" spans="1:3" x14ac:dyDescent="0.25">
      <c r="A792">
        <v>791</v>
      </c>
      <c r="B792" t="s">
        <v>1169</v>
      </c>
      <c r="C792" t="s">
        <v>4830</v>
      </c>
    </row>
    <row r="793" spans="1:3" x14ac:dyDescent="0.25">
      <c r="A793">
        <v>792</v>
      </c>
      <c r="B793" t="s">
        <v>1195</v>
      </c>
      <c r="C793" t="s">
        <v>4831</v>
      </c>
    </row>
    <row r="794" spans="1:3" x14ac:dyDescent="0.25">
      <c r="A794">
        <v>793</v>
      </c>
      <c r="B794" t="s">
        <v>1406</v>
      </c>
      <c r="C794" t="s">
        <v>4832</v>
      </c>
    </row>
    <row r="795" spans="1:3" x14ac:dyDescent="0.25">
      <c r="A795">
        <v>794</v>
      </c>
      <c r="B795" t="s">
        <v>1489</v>
      </c>
      <c r="C795" t="s">
        <v>4833</v>
      </c>
    </row>
    <row r="796" spans="1:3" x14ac:dyDescent="0.25">
      <c r="A796">
        <v>795</v>
      </c>
      <c r="B796" t="s">
        <v>1490</v>
      </c>
      <c r="C796" t="s">
        <v>4834</v>
      </c>
    </row>
    <row r="797" spans="1:3" x14ac:dyDescent="0.25">
      <c r="A797">
        <v>796</v>
      </c>
      <c r="B797" t="s">
        <v>1178</v>
      </c>
      <c r="C797" t="s">
        <v>4835</v>
      </c>
    </row>
    <row r="798" spans="1:3" x14ac:dyDescent="0.25">
      <c r="A798">
        <v>797</v>
      </c>
      <c r="B798" t="s">
        <v>1179</v>
      </c>
      <c r="C798" t="s">
        <v>4836</v>
      </c>
    </row>
    <row r="799" spans="1:3" x14ac:dyDescent="0.25">
      <c r="A799">
        <v>798</v>
      </c>
      <c r="B799" t="s">
        <v>1180</v>
      </c>
      <c r="C799" t="s">
        <v>4837</v>
      </c>
    </row>
    <row r="800" spans="1:3" x14ac:dyDescent="0.25">
      <c r="A800">
        <v>799</v>
      </c>
      <c r="B800" t="s">
        <v>1181</v>
      </c>
      <c r="C800" t="s">
        <v>4838</v>
      </c>
    </row>
    <row r="801" spans="1:3" x14ac:dyDescent="0.25">
      <c r="A801">
        <v>800</v>
      </c>
      <c r="B801" t="s">
        <v>550</v>
      </c>
      <c r="C801" t="s">
        <v>4839</v>
      </c>
    </row>
    <row r="802" spans="1:3" x14ac:dyDescent="0.25">
      <c r="A802">
        <v>801</v>
      </c>
      <c r="B802" t="s">
        <v>985</v>
      </c>
      <c r="C802" t="s">
        <v>4840</v>
      </c>
    </row>
    <row r="803" spans="1:3" x14ac:dyDescent="0.25">
      <c r="A803">
        <v>802</v>
      </c>
      <c r="B803" t="s">
        <v>1010</v>
      </c>
      <c r="C803" t="s">
        <v>4841</v>
      </c>
    </row>
    <row r="804" spans="1:3" x14ac:dyDescent="0.25">
      <c r="A804">
        <v>803</v>
      </c>
      <c r="B804" t="s">
        <v>1146</v>
      </c>
      <c r="C804" t="s">
        <v>4842</v>
      </c>
    </row>
    <row r="805" spans="1:3" x14ac:dyDescent="0.25">
      <c r="A805">
        <v>804</v>
      </c>
      <c r="B805" t="s">
        <v>4843</v>
      </c>
      <c r="C805" t="s">
        <v>4844</v>
      </c>
    </row>
    <row r="806" spans="1:3" x14ac:dyDescent="0.25">
      <c r="A806">
        <v>805</v>
      </c>
      <c r="B806" t="s">
        <v>4845</v>
      </c>
      <c r="C806" t="s">
        <v>4846</v>
      </c>
    </row>
    <row r="807" spans="1:3" x14ac:dyDescent="0.25">
      <c r="A807">
        <v>806</v>
      </c>
      <c r="B807" t="s">
        <v>823</v>
      </c>
      <c r="C807" t="s">
        <v>4847</v>
      </c>
    </row>
    <row r="808" spans="1:3" x14ac:dyDescent="0.25">
      <c r="A808">
        <v>807</v>
      </c>
      <c r="B808" t="s">
        <v>1077</v>
      </c>
      <c r="C808" t="s">
        <v>4848</v>
      </c>
    </row>
    <row r="809" spans="1:3" x14ac:dyDescent="0.25">
      <c r="A809">
        <v>808</v>
      </c>
      <c r="B809" t="s">
        <v>1468</v>
      </c>
      <c r="C809" t="s">
        <v>4849</v>
      </c>
    </row>
    <row r="810" spans="1:3" x14ac:dyDescent="0.25">
      <c r="A810">
        <v>809</v>
      </c>
      <c r="B810" t="s">
        <v>1718</v>
      </c>
      <c r="C810" t="s">
        <v>4850</v>
      </c>
    </row>
    <row r="811" spans="1:3" x14ac:dyDescent="0.25">
      <c r="A811">
        <v>810</v>
      </c>
      <c r="B811" t="s">
        <v>4851</v>
      </c>
      <c r="C811" t="s">
        <v>4852</v>
      </c>
    </row>
    <row r="812" spans="1:3" x14ac:dyDescent="0.25">
      <c r="A812">
        <v>811</v>
      </c>
      <c r="B812" t="s">
        <v>1417</v>
      </c>
      <c r="C812" t="s">
        <v>4853</v>
      </c>
    </row>
    <row r="813" spans="1:3" x14ac:dyDescent="0.25">
      <c r="A813">
        <v>812</v>
      </c>
      <c r="B813" t="s">
        <v>1448</v>
      </c>
      <c r="C813" t="s">
        <v>4854</v>
      </c>
    </row>
    <row r="814" spans="1:3" x14ac:dyDescent="0.25">
      <c r="A814">
        <v>813</v>
      </c>
      <c r="B814" t="s">
        <v>4855</v>
      </c>
      <c r="C814" t="s">
        <v>4856</v>
      </c>
    </row>
    <row r="815" spans="1:3" x14ac:dyDescent="0.25">
      <c r="A815">
        <v>814</v>
      </c>
      <c r="B815" t="s">
        <v>4857</v>
      </c>
      <c r="C815" t="s">
        <v>4858</v>
      </c>
    </row>
    <row r="816" spans="1:3" x14ac:dyDescent="0.25">
      <c r="A816">
        <v>815</v>
      </c>
      <c r="B816" t="s">
        <v>1728</v>
      </c>
      <c r="C816" t="s">
        <v>4859</v>
      </c>
    </row>
    <row r="817" spans="1:3" x14ac:dyDescent="0.25">
      <c r="A817">
        <v>816</v>
      </c>
      <c r="B817" t="s">
        <v>1829</v>
      </c>
      <c r="C817" t="s">
        <v>4860</v>
      </c>
    </row>
    <row r="818" spans="1:3" x14ac:dyDescent="0.25">
      <c r="A818">
        <v>817</v>
      </c>
      <c r="B818" t="s">
        <v>1900</v>
      </c>
      <c r="C818" t="s">
        <v>4861</v>
      </c>
    </row>
    <row r="819" spans="1:3" x14ac:dyDescent="0.25">
      <c r="A819">
        <v>818</v>
      </c>
      <c r="B819" t="s">
        <v>4862</v>
      </c>
      <c r="C819" t="s">
        <v>4863</v>
      </c>
    </row>
    <row r="820" spans="1:3" x14ac:dyDescent="0.25">
      <c r="A820">
        <v>819</v>
      </c>
      <c r="B820" t="s">
        <v>1608</v>
      </c>
      <c r="C820" t="s">
        <v>4864</v>
      </c>
    </row>
    <row r="821" spans="1:3" x14ac:dyDescent="0.25">
      <c r="A821">
        <v>820</v>
      </c>
      <c r="B821" t="s">
        <v>338</v>
      </c>
      <c r="C821" t="s">
        <v>4865</v>
      </c>
    </row>
    <row r="822" spans="1:3" x14ac:dyDescent="0.25">
      <c r="A822">
        <v>821</v>
      </c>
      <c r="B822" t="s">
        <v>1322</v>
      </c>
      <c r="C822" t="s">
        <v>4866</v>
      </c>
    </row>
    <row r="823" spans="1:3" x14ac:dyDescent="0.25">
      <c r="A823">
        <v>822</v>
      </c>
      <c r="B823" t="s">
        <v>1334</v>
      </c>
      <c r="C823" t="s">
        <v>4867</v>
      </c>
    </row>
    <row r="824" spans="1:3" x14ac:dyDescent="0.25">
      <c r="A824">
        <v>823</v>
      </c>
      <c r="B824" t="s">
        <v>1456</v>
      </c>
      <c r="C824" t="s">
        <v>4868</v>
      </c>
    </row>
    <row r="825" spans="1:3" x14ac:dyDescent="0.25">
      <c r="A825">
        <v>824</v>
      </c>
      <c r="B825" t="s">
        <v>4869</v>
      </c>
      <c r="C825" t="s">
        <v>4870</v>
      </c>
    </row>
    <row r="826" spans="1:3" x14ac:dyDescent="0.25">
      <c r="A826">
        <v>825</v>
      </c>
      <c r="B826" t="s">
        <v>772</v>
      </c>
      <c r="C826" t="s">
        <v>4871</v>
      </c>
    </row>
    <row r="827" spans="1:3" x14ac:dyDescent="0.25">
      <c r="A827">
        <v>826</v>
      </c>
      <c r="B827" t="s">
        <v>1226</v>
      </c>
      <c r="C827" t="s">
        <v>4872</v>
      </c>
    </row>
    <row r="828" spans="1:3" x14ac:dyDescent="0.25">
      <c r="A828">
        <v>827</v>
      </c>
      <c r="B828" t="s">
        <v>1238</v>
      </c>
      <c r="C828" t="s">
        <v>4873</v>
      </c>
    </row>
    <row r="829" spans="1:3" x14ac:dyDescent="0.25">
      <c r="A829">
        <v>828</v>
      </c>
      <c r="B829" t="s">
        <v>1282</v>
      </c>
      <c r="C829" t="s">
        <v>4874</v>
      </c>
    </row>
    <row r="830" spans="1:3" x14ac:dyDescent="0.25">
      <c r="A830">
        <v>829</v>
      </c>
      <c r="B830" t="s">
        <v>4875</v>
      </c>
      <c r="C830" t="s">
        <v>4876</v>
      </c>
    </row>
    <row r="831" spans="1:3" x14ac:dyDescent="0.25">
      <c r="A831">
        <v>830</v>
      </c>
      <c r="B831" t="s">
        <v>916</v>
      </c>
      <c r="C831" t="s">
        <v>4877</v>
      </c>
    </row>
    <row r="832" spans="1:3" x14ac:dyDescent="0.25">
      <c r="A832">
        <v>831</v>
      </c>
      <c r="B832" t="s">
        <v>931</v>
      </c>
      <c r="C832" t="s">
        <v>4878</v>
      </c>
    </row>
    <row r="833" spans="1:3" x14ac:dyDescent="0.25">
      <c r="A833">
        <v>832</v>
      </c>
      <c r="B833" t="s">
        <v>1093</v>
      </c>
      <c r="C833" t="s">
        <v>4879</v>
      </c>
    </row>
    <row r="834" spans="1:3" x14ac:dyDescent="0.25">
      <c r="A834">
        <v>833</v>
      </c>
      <c r="B834" t="s">
        <v>1182</v>
      </c>
      <c r="C834" t="s">
        <v>4880</v>
      </c>
    </row>
    <row r="835" spans="1:3" x14ac:dyDescent="0.25">
      <c r="A835">
        <v>834</v>
      </c>
      <c r="B835" t="s">
        <v>287</v>
      </c>
      <c r="C835" t="s">
        <v>4881</v>
      </c>
    </row>
    <row r="836" spans="1:3" x14ac:dyDescent="0.25">
      <c r="A836">
        <v>835</v>
      </c>
      <c r="B836" t="s">
        <v>4882</v>
      </c>
      <c r="C836" t="s">
        <v>4883</v>
      </c>
    </row>
    <row r="837" spans="1:3" x14ac:dyDescent="0.25">
      <c r="A837">
        <v>836</v>
      </c>
      <c r="B837" t="s">
        <v>4884</v>
      </c>
      <c r="C837" t="s">
        <v>4885</v>
      </c>
    </row>
    <row r="838" spans="1:3" x14ac:dyDescent="0.25">
      <c r="A838">
        <v>837</v>
      </c>
      <c r="B838" t="s">
        <v>4886</v>
      </c>
      <c r="C838" t="s">
        <v>4887</v>
      </c>
    </row>
    <row r="839" spans="1:3" x14ac:dyDescent="0.25">
      <c r="A839">
        <v>838</v>
      </c>
      <c r="B839" t="s">
        <v>471</v>
      </c>
      <c r="C839" t="s">
        <v>4888</v>
      </c>
    </row>
    <row r="840" spans="1:3" x14ac:dyDescent="0.25">
      <c r="A840">
        <v>839</v>
      </c>
      <c r="B840" t="s">
        <v>466</v>
      </c>
      <c r="C840" t="s">
        <v>4889</v>
      </c>
    </row>
    <row r="841" spans="1:3" x14ac:dyDescent="0.25">
      <c r="A841">
        <v>840</v>
      </c>
      <c r="B841" t="s">
        <v>1522</v>
      </c>
      <c r="C841" t="s">
        <v>4890</v>
      </c>
    </row>
    <row r="842" spans="1:3" x14ac:dyDescent="0.25">
      <c r="A842">
        <v>841</v>
      </c>
      <c r="B842" t="s">
        <v>1528</v>
      </c>
      <c r="C842" t="s">
        <v>4891</v>
      </c>
    </row>
    <row r="843" spans="1:3" x14ac:dyDescent="0.25">
      <c r="A843">
        <v>842</v>
      </c>
      <c r="B843" t="s">
        <v>1536</v>
      </c>
      <c r="C843" t="s">
        <v>4892</v>
      </c>
    </row>
    <row r="844" spans="1:3" x14ac:dyDescent="0.25">
      <c r="A844">
        <v>843</v>
      </c>
      <c r="B844" t="s">
        <v>1619</v>
      </c>
      <c r="C844" t="s">
        <v>4893</v>
      </c>
    </row>
    <row r="845" spans="1:3" x14ac:dyDescent="0.25">
      <c r="A845">
        <v>844</v>
      </c>
      <c r="B845" t="s">
        <v>1641</v>
      </c>
      <c r="C845" t="s">
        <v>4894</v>
      </c>
    </row>
    <row r="846" spans="1:3" x14ac:dyDescent="0.25">
      <c r="A846">
        <v>845</v>
      </c>
      <c r="B846" t="s">
        <v>1800</v>
      </c>
      <c r="C846" t="s">
        <v>4895</v>
      </c>
    </row>
    <row r="847" spans="1:3" x14ac:dyDescent="0.25">
      <c r="A847">
        <v>846</v>
      </c>
      <c r="B847" t="s">
        <v>4896</v>
      </c>
      <c r="C847" t="s">
        <v>4897</v>
      </c>
    </row>
    <row r="848" spans="1:3" x14ac:dyDescent="0.25">
      <c r="A848">
        <v>847</v>
      </c>
      <c r="B848" t="s">
        <v>448</v>
      </c>
      <c r="C848" t="s">
        <v>4898</v>
      </c>
    </row>
    <row r="849" spans="1:3" x14ac:dyDescent="0.25">
      <c r="A849">
        <v>848</v>
      </c>
      <c r="B849" t="s">
        <v>4899</v>
      </c>
      <c r="C849" t="s">
        <v>4900</v>
      </c>
    </row>
    <row r="850" spans="1:3" x14ac:dyDescent="0.25">
      <c r="A850">
        <v>849</v>
      </c>
      <c r="B850" t="s">
        <v>739</v>
      </c>
      <c r="C850" t="s">
        <v>4901</v>
      </c>
    </row>
    <row r="851" spans="1:3" x14ac:dyDescent="0.25">
      <c r="A851">
        <v>850</v>
      </c>
      <c r="B851" t="s">
        <v>747</v>
      </c>
      <c r="C851" t="s">
        <v>4902</v>
      </c>
    </row>
    <row r="852" spans="1:3" x14ac:dyDescent="0.25">
      <c r="A852">
        <v>851</v>
      </c>
      <c r="B852" t="s">
        <v>876</v>
      </c>
      <c r="C852" t="s">
        <v>4903</v>
      </c>
    </row>
    <row r="853" spans="1:3" x14ac:dyDescent="0.25">
      <c r="A853">
        <v>852</v>
      </c>
      <c r="B853" t="s">
        <v>564</v>
      </c>
      <c r="C853" t="s">
        <v>4904</v>
      </c>
    </row>
    <row r="854" spans="1:3" x14ac:dyDescent="0.25">
      <c r="A854">
        <v>853</v>
      </c>
      <c r="B854" t="s">
        <v>631</v>
      </c>
      <c r="C854" t="s">
        <v>4905</v>
      </c>
    </row>
    <row r="855" spans="1:3" x14ac:dyDescent="0.25">
      <c r="A855">
        <v>854</v>
      </c>
      <c r="B855" t="s">
        <v>533</v>
      </c>
      <c r="C855" t="s">
        <v>4906</v>
      </c>
    </row>
    <row r="856" spans="1:3" x14ac:dyDescent="0.25">
      <c r="A856">
        <v>855</v>
      </c>
      <c r="B856" t="s">
        <v>4907</v>
      </c>
      <c r="C856" t="s">
        <v>4908</v>
      </c>
    </row>
    <row r="857" spans="1:3" x14ac:dyDescent="0.25">
      <c r="A857">
        <v>856</v>
      </c>
      <c r="B857" t="s">
        <v>447</v>
      </c>
      <c r="C857" t="s">
        <v>4909</v>
      </c>
    </row>
    <row r="858" spans="1:3" x14ac:dyDescent="0.25">
      <c r="A858">
        <v>857</v>
      </c>
      <c r="B858" t="s">
        <v>1459</v>
      </c>
      <c r="C858" t="s">
        <v>4910</v>
      </c>
    </row>
    <row r="859" spans="1:3" x14ac:dyDescent="0.25">
      <c r="A859">
        <v>858</v>
      </c>
      <c r="B859" t="s">
        <v>426</v>
      </c>
      <c r="C859" t="s">
        <v>4911</v>
      </c>
    </row>
    <row r="860" spans="1:3" x14ac:dyDescent="0.25">
      <c r="A860">
        <v>859</v>
      </c>
      <c r="B860" t="s">
        <v>249</v>
      </c>
      <c r="C860" t="s">
        <v>4912</v>
      </c>
    </row>
    <row r="861" spans="1:3" x14ac:dyDescent="0.25">
      <c r="A861">
        <v>860</v>
      </c>
      <c r="B861" t="s">
        <v>354</v>
      </c>
      <c r="C861" t="s">
        <v>4913</v>
      </c>
    </row>
    <row r="862" spans="1:3" x14ac:dyDescent="0.25">
      <c r="A862">
        <v>861</v>
      </c>
      <c r="B862" t="s">
        <v>4914</v>
      </c>
      <c r="C862" t="s">
        <v>4915</v>
      </c>
    </row>
    <row r="863" spans="1:3" x14ac:dyDescent="0.25">
      <c r="A863">
        <v>862</v>
      </c>
      <c r="B863" t="s">
        <v>4916</v>
      </c>
      <c r="C863" t="s">
        <v>4917</v>
      </c>
    </row>
    <row r="864" spans="1:3" x14ac:dyDescent="0.25">
      <c r="A864">
        <v>863</v>
      </c>
      <c r="B864" t="s">
        <v>1122</v>
      </c>
      <c r="C864" t="s">
        <v>4918</v>
      </c>
    </row>
    <row r="865" spans="1:3" x14ac:dyDescent="0.25">
      <c r="A865">
        <v>864</v>
      </c>
      <c r="B865" t="s">
        <v>1573</v>
      </c>
      <c r="C865" t="s">
        <v>4919</v>
      </c>
    </row>
    <row r="866" spans="1:3" x14ac:dyDescent="0.25">
      <c r="A866">
        <v>865</v>
      </c>
      <c r="B866" t="s">
        <v>4920</v>
      </c>
      <c r="C866" t="s">
        <v>4921</v>
      </c>
    </row>
    <row r="867" spans="1:3" x14ac:dyDescent="0.25">
      <c r="A867">
        <v>866</v>
      </c>
      <c r="B867" t="s">
        <v>1144</v>
      </c>
      <c r="C867" t="s">
        <v>4922</v>
      </c>
    </row>
    <row r="868" spans="1:3" x14ac:dyDescent="0.25">
      <c r="A868">
        <v>867</v>
      </c>
      <c r="B868" t="s">
        <v>4923</v>
      </c>
      <c r="C868" t="s">
        <v>4924</v>
      </c>
    </row>
    <row r="869" spans="1:3" x14ac:dyDescent="0.25">
      <c r="A869">
        <v>868</v>
      </c>
      <c r="B869" t="s">
        <v>559</v>
      </c>
      <c r="C869" t="s">
        <v>4925</v>
      </c>
    </row>
    <row r="870" spans="1:3" x14ac:dyDescent="0.25">
      <c r="A870">
        <v>869</v>
      </c>
      <c r="B870" t="s">
        <v>1067</v>
      </c>
      <c r="C870" t="s">
        <v>4926</v>
      </c>
    </row>
    <row r="871" spans="1:3" x14ac:dyDescent="0.25">
      <c r="A871">
        <v>870</v>
      </c>
      <c r="B871" t="s">
        <v>1305</v>
      </c>
      <c r="C871" t="s">
        <v>4927</v>
      </c>
    </row>
    <row r="872" spans="1:3" x14ac:dyDescent="0.25">
      <c r="A872">
        <v>871</v>
      </c>
      <c r="B872" t="s">
        <v>1424</v>
      </c>
      <c r="C872" t="s">
        <v>4928</v>
      </c>
    </row>
    <row r="873" spans="1:3" x14ac:dyDescent="0.25">
      <c r="A873">
        <v>872</v>
      </c>
      <c r="B873" t="s">
        <v>1434</v>
      </c>
      <c r="C873" t="s">
        <v>4929</v>
      </c>
    </row>
    <row r="874" spans="1:3" x14ac:dyDescent="0.25">
      <c r="A874">
        <v>873</v>
      </c>
      <c r="B874" t="s">
        <v>658</v>
      </c>
      <c r="C874" t="s">
        <v>4930</v>
      </c>
    </row>
    <row r="875" spans="1:3" x14ac:dyDescent="0.25">
      <c r="A875">
        <v>874</v>
      </c>
      <c r="B875" t="s">
        <v>703</v>
      </c>
      <c r="C875" t="s">
        <v>4931</v>
      </c>
    </row>
    <row r="876" spans="1:3" x14ac:dyDescent="0.25">
      <c r="A876">
        <v>875</v>
      </c>
      <c r="B876" t="s">
        <v>792</v>
      </c>
      <c r="C876" t="s">
        <v>4932</v>
      </c>
    </row>
    <row r="877" spans="1:3" x14ac:dyDescent="0.25">
      <c r="A877">
        <v>876</v>
      </c>
      <c r="B877" t="s">
        <v>971</v>
      </c>
      <c r="C877" t="s">
        <v>4933</v>
      </c>
    </row>
    <row r="878" spans="1:3" x14ac:dyDescent="0.25">
      <c r="A878">
        <v>877</v>
      </c>
      <c r="B878" t="s">
        <v>4934</v>
      </c>
      <c r="C878" t="s">
        <v>4935</v>
      </c>
    </row>
    <row r="879" spans="1:3" x14ac:dyDescent="0.25">
      <c r="A879">
        <v>878</v>
      </c>
      <c r="B879" t="s">
        <v>1783</v>
      </c>
      <c r="C879" t="s">
        <v>4936</v>
      </c>
    </row>
    <row r="880" spans="1:3" x14ac:dyDescent="0.25">
      <c r="A880">
        <v>879</v>
      </c>
      <c r="B880" t="s">
        <v>4937</v>
      </c>
      <c r="C880" t="s">
        <v>4938</v>
      </c>
    </row>
    <row r="881" spans="1:3" x14ac:dyDescent="0.25">
      <c r="A881">
        <v>880</v>
      </c>
      <c r="B881" t="s">
        <v>483</v>
      </c>
      <c r="C881" t="s">
        <v>4939</v>
      </c>
    </row>
    <row r="882" spans="1:3" x14ac:dyDescent="0.25">
      <c r="A882">
        <v>881</v>
      </c>
      <c r="B882" t="s">
        <v>4940</v>
      </c>
      <c r="C882" t="s">
        <v>4941</v>
      </c>
    </row>
    <row r="883" spans="1:3" x14ac:dyDescent="0.25">
      <c r="A883">
        <v>882</v>
      </c>
      <c r="B883" t="s">
        <v>723</v>
      </c>
      <c r="C883" t="s">
        <v>4942</v>
      </c>
    </row>
    <row r="884" spans="1:3" x14ac:dyDescent="0.25">
      <c r="A884">
        <v>883</v>
      </c>
      <c r="B884" t="s">
        <v>1029</v>
      </c>
      <c r="C884" t="s">
        <v>4943</v>
      </c>
    </row>
    <row r="885" spans="1:3" x14ac:dyDescent="0.25">
      <c r="A885">
        <v>884</v>
      </c>
      <c r="B885" t="s">
        <v>1196</v>
      </c>
      <c r="C885" t="s">
        <v>4944</v>
      </c>
    </row>
    <row r="886" spans="1:3" x14ac:dyDescent="0.25">
      <c r="A886">
        <v>885</v>
      </c>
      <c r="B886" t="s">
        <v>1529</v>
      </c>
      <c r="C886" t="s">
        <v>4945</v>
      </c>
    </row>
    <row r="887" spans="1:3" x14ac:dyDescent="0.25">
      <c r="A887">
        <v>886</v>
      </c>
      <c r="B887" t="s">
        <v>1537</v>
      </c>
      <c r="C887" t="s">
        <v>4946</v>
      </c>
    </row>
    <row r="888" spans="1:3" x14ac:dyDescent="0.25">
      <c r="A888">
        <v>887</v>
      </c>
      <c r="B888" t="s">
        <v>1523</v>
      </c>
      <c r="C888" t="s">
        <v>4947</v>
      </c>
    </row>
    <row r="889" spans="1:3" x14ac:dyDescent="0.25">
      <c r="A889">
        <v>888</v>
      </c>
      <c r="B889" t="s">
        <v>1642</v>
      </c>
      <c r="C889" t="s">
        <v>4948</v>
      </c>
    </row>
    <row r="890" spans="1:3" x14ac:dyDescent="0.25">
      <c r="A890">
        <v>889</v>
      </c>
      <c r="B890" t="s">
        <v>822</v>
      </c>
      <c r="C890" t="s">
        <v>4949</v>
      </c>
    </row>
    <row r="891" spans="1:3" x14ac:dyDescent="0.25">
      <c r="A891">
        <v>890</v>
      </c>
      <c r="B891" t="s">
        <v>941</v>
      </c>
      <c r="C891" t="s">
        <v>4950</v>
      </c>
    </row>
    <row r="892" spans="1:3" x14ac:dyDescent="0.25">
      <c r="A892">
        <v>891</v>
      </c>
      <c r="B892" t="s">
        <v>1076</v>
      </c>
      <c r="C892" t="s">
        <v>4951</v>
      </c>
    </row>
    <row r="893" spans="1:3" x14ac:dyDescent="0.25">
      <c r="A893">
        <v>892</v>
      </c>
      <c r="B893" t="s">
        <v>368</v>
      </c>
      <c r="C893" t="s">
        <v>4952</v>
      </c>
    </row>
    <row r="894" spans="1:3" x14ac:dyDescent="0.25">
      <c r="A894">
        <v>893</v>
      </c>
      <c r="B894" t="s">
        <v>740</v>
      </c>
      <c r="C894" t="s">
        <v>4953</v>
      </c>
    </row>
    <row r="895" spans="1:3" x14ac:dyDescent="0.25">
      <c r="A895">
        <v>894</v>
      </c>
      <c r="B895" t="s">
        <v>748</v>
      </c>
      <c r="C895" t="s">
        <v>4954</v>
      </c>
    </row>
    <row r="896" spans="1:3" x14ac:dyDescent="0.25">
      <c r="A896">
        <v>895</v>
      </c>
      <c r="B896" t="s">
        <v>877</v>
      </c>
      <c r="C896" t="s">
        <v>4955</v>
      </c>
    </row>
    <row r="897" spans="1:3" x14ac:dyDescent="0.25">
      <c r="A897">
        <v>896</v>
      </c>
      <c r="B897" t="s">
        <v>1467</v>
      </c>
      <c r="C897" t="s">
        <v>4956</v>
      </c>
    </row>
    <row r="898" spans="1:3" x14ac:dyDescent="0.25">
      <c r="A898">
        <v>897</v>
      </c>
      <c r="B898" t="s">
        <v>1717</v>
      </c>
      <c r="C898" t="s">
        <v>4957</v>
      </c>
    </row>
    <row r="899" spans="1:3" x14ac:dyDescent="0.25">
      <c r="A899">
        <v>898</v>
      </c>
      <c r="B899" t="s">
        <v>436</v>
      </c>
      <c r="C899" t="s">
        <v>4958</v>
      </c>
    </row>
    <row r="900" spans="1:3" x14ac:dyDescent="0.25">
      <c r="A900">
        <v>899</v>
      </c>
      <c r="B900" t="s">
        <v>542</v>
      </c>
      <c r="C900" t="s">
        <v>4959</v>
      </c>
    </row>
    <row r="901" spans="1:3" x14ac:dyDescent="0.25">
      <c r="A901">
        <v>900</v>
      </c>
      <c r="B901" t="s">
        <v>997</v>
      </c>
      <c r="C901" t="s">
        <v>4960</v>
      </c>
    </row>
    <row r="902" spans="1:3" x14ac:dyDescent="0.25">
      <c r="A902">
        <v>901</v>
      </c>
      <c r="B902" t="s">
        <v>1372</v>
      </c>
      <c r="C902" t="s">
        <v>4961</v>
      </c>
    </row>
    <row r="903" spans="1:3" x14ac:dyDescent="0.25">
      <c r="A903">
        <v>902</v>
      </c>
      <c r="B903" t="s">
        <v>1493</v>
      </c>
      <c r="C903" t="s">
        <v>4962</v>
      </c>
    </row>
    <row r="904" spans="1:3" x14ac:dyDescent="0.25">
      <c r="A904">
        <v>903</v>
      </c>
      <c r="B904" t="s">
        <v>1503</v>
      </c>
      <c r="C904" t="s">
        <v>4963</v>
      </c>
    </row>
    <row r="905" spans="1:3" x14ac:dyDescent="0.25">
      <c r="A905">
        <v>904</v>
      </c>
      <c r="B905" t="s">
        <v>532</v>
      </c>
      <c r="C905" t="s">
        <v>4964</v>
      </c>
    </row>
    <row r="906" spans="1:3" x14ac:dyDescent="0.25">
      <c r="A906">
        <v>905</v>
      </c>
      <c r="B906" t="s">
        <v>254</v>
      </c>
      <c r="C906" t="s">
        <v>4965</v>
      </c>
    </row>
    <row r="907" spans="1:3" x14ac:dyDescent="0.25">
      <c r="A907">
        <v>906</v>
      </c>
      <c r="B907" t="s">
        <v>260</v>
      </c>
      <c r="C907" t="s">
        <v>4966</v>
      </c>
    </row>
    <row r="908" spans="1:3" x14ac:dyDescent="0.25">
      <c r="A908">
        <v>907</v>
      </c>
      <c r="B908" t="s">
        <v>1382</v>
      </c>
      <c r="C908" t="s">
        <v>4967</v>
      </c>
    </row>
    <row r="909" spans="1:3" x14ac:dyDescent="0.25">
      <c r="A909">
        <v>908</v>
      </c>
      <c r="B909" t="s">
        <v>1781</v>
      </c>
      <c r="C909" t="s">
        <v>4968</v>
      </c>
    </row>
    <row r="910" spans="1:3" x14ac:dyDescent="0.25">
      <c r="A910">
        <v>909</v>
      </c>
      <c r="B910" t="s">
        <v>4969</v>
      </c>
      <c r="C910" t="s">
        <v>4970</v>
      </c>
    </row>
    <row r="911" spans="1:3" x14ac:dyDescent="0.25">
      <c r="A911">
        <v>910</v>
      </c>
      <c r="B911" t="s">
        <v>461</v>
      </c>
      <c r="C911" t="s">
        <v>4971</v>
      </c>
    </row>
    <row r="912" spans="1:3" x14ac:dyDescent="0.25">
      <c r="A912">
        <v>911</v>
      </c>
      <c r="B912" t="s">
        <v>1877</v>
      </c>
      <c r="C912" t="s">
        <v>4972</v>
      </c>
    </row>
    <row r="913" spans="1:3" x14ac:dyDescent="0.25">
      <c r="A913">
        <v>912</v>
      </c>
      <c r="B913" t="s">
        <v>1892</v>
      </c>
      <c r="C913" t="s">
        <v>4973</v>
      </c>
    </row>
    <row r="914" spans="1:3" x14ac:dyDescent="0.25">
      <c r="A914">
        <v>913</v>
      </c>
      <c r="B914" t="s">
        <v>245</v>
      </c>
      <c r="C914" t="s">
        <v>4974</v>
      </c>
    </row>
    <row r="915" spans="1:3" x14ac:dyDescent="0.25">
      <c r="A915">
        <v>914</v>
      </c>
      <c r="B915" t="s">
        <v>526</v>
      </c>
      <c r="C915" t="s">
        <v>4975</v>
      </c>
    </row>
    <row r="916" spans="1:3" x14ac:dyDescent="0.25">
      <c r="A916">
        <v>915</v>
      </c>
      <c r="B916" t="s">
        <v>616</v>
      </c>
      <c r="C916" t="s">
        <v>4976</v>
      </c>
    </row>
    <row r="917" spans="1:3" x14ac:dyDescent="0.25">
      <c r="A917">
        <v>916</v>
      </c>
      <c r="B917" t="s">
        <v>648</v>
      </c>
      <c r="C917" t="s">
        <v>4977</v>
      </c>
    </row>
    <row r="918" spans="1:3" x14ac:dyDescent="0.25">
      <c r="A918">
        <v>917</v>
      </c>
      <c r="B918" t="s">
        <v>779</v>
      </c>
      <c r="C918" t="s">
        <v>4978</v>
      </c>
    </row>
    <row r="919" spans="1:3" x14ac:dyDescent="0.25">
      <c r="A919">
        <v>918</v>
      </c>
      <c r="B919" t="s">
        <v>1832</v>
      </c>
      <c r="C919" t="s">
        <v>4979</v>
      </c>
    </row>
    <row r="920" spans="1:3" x14ac:dyDescent="0.25">
      <c r="A920">
        <v>919</v>
      </c>
      <c r="B920" t="s">
        <v>362</v>
      </c>
      <c r="C920" t="s">
        <v>4980</v>
      </c>
    </row>
    <row r="921" spans="1:3" x14ac:dyDescent="0.25">
      <c r="A921">
        <v>920</v>
      </c>
      <c r="B921" t="s">
        <v>983</v>
      </c>
      <c r="C921" t="s">
        <v>4981</v>
      </c>
    </row>
    <row r="922" spans="1:3" x14ac:dyDescent="0.25">
      <c r="A922">
        <v>921</v>
      </c>
      <c r="B922" t="s">
        <v>1008</v>
      </c>
      <c r="C922" t="s">
        <v>4982</v>
      </c>
    </row>
    <row r="923" spans="1:3" x14ac:dyDescent="0.25">
      <c r="A923">
        <v>922</v>
      </c>
      <c r="B923" t="s">
        <v>1393</v>
      </c>
      <c r="C923" t="s">
        <v>4983</v>
      </c>
    </row>
    <row r="924" spans="1:3" x14ac:dyDescent="0.25">
      <c r="A924">
        <v>923</v>
      </c>
      <c r="B924" t="s">
        <v>1594</v>
      </c>
      <c r="C924" t="s">
        <v>4984</v>
      </c>
    </row>
    <row r="925" spans="1:3" x14ac:dyDescent="0.25">
      <c r="A925">
        <v>924</v>
      </c>
      <c r="B925" t="s">
        <v>1577</v>
      </c>
      <c r="C925" t="s">
        <v>4985</v>
      </c>
    </row>
    <row r="926" spans="1:3" x14ac:dyDescent="0.25">
      <c r="A926">
        <v>925</v>
      </c>
      <c r="B926" t="s">
        <v>1583</v>
      </c>
      <c r="C926" t="s">
        <v>4986</v>
      </c>
    </row>
    <row r="927" spans="1:3" x14ac:dyDescent="0.25">
      <c r="A927">
        <v>926</v>
      </c>
      <c r="B927" t="s">
        <v>2023</v>
      </c>
      <c r="C927" t="s">
        <v>4987</v>
      </c>
    </row>
    <row r="928" spans="1:3" x14ac:dyDescent="0.25">
      <c r="A928">
        <v>927</v>
      </c>
      <c r="B928" t="s">
        <v>571</v>
      </c>
      <c r="C928" t="s">
        <v>4988</v>
      </c>
    </row>
    <row r="929" spans="1:3" x14ac:dyDescent="0.25">
      <c r="A929">
        <v>928</v>
      </c>
      <c r="B929" t="s">
        <v>1620</v>
      </c>
      <c r="C929" t="s">
        <v>4989</v>
      </c>
    </row>
    <row r="930" spans="1:3" x14ac:dyDescent="0.25">
      <c r="A930">
        <v>929</v>
      </c>
      <c r="B930" t="s">
        <v>534</v>
      </c>
      <c r="C930" t="s">
        <v>4990</v>
      </c>
    </row>
    <row r="931" spans="1:3" x14ac:dyDescent="0.25">
      <c r="A931">
        <v>930</v>
      </c>
      <c r="B931" t="s">
        <v>618</v>
      </c>
      <c r="C931" t="s">
        <v>4991</v>
      </c>
    </row>
    <row r="932" spans="1:3" x14ac:dyDescent="0.25">
      <c r="A932">
        <v>931</v>
      </c>
      <c r="B932" t="s">
        <v>1826</v>
      </c>
      <c r="C932" t="s">
        <v>4992</v>
      </c>
    </row>
    <row r="933" spans="1:3" x14ac:dyDescent="0.25">
      <c r="A933">
        <v>932</v>
      </c>
      <c r="B933" t="s">
        <v>1043</v>
      </c>
      <c r="C933" t="s">
        <v>4993</v>
      </c>
    </row>
    <row r="934" spans="1:3" x14ac:dyDescent="0.25">
      <c r="A934">
        <v>933</v>
      </c>
      <c r="B934" t="s">
        <v>1206</v>
      </c>
      <c r="C934" t="s">
        <v>4994</v>
      </c>
    </row>
    <row r="935" spans="1:3" x14ac:dyDescent="0.25">
      <c r="A935">
        <v>934</v>
      </c>
      <c r="B935" t="s">
        <v>4995</v>
      </c>
      <c r="C935" t="s">
        <v>4996</v>
      </c>
    </row>
    <row r="936" spans="1:3" x14ac:dyDescent="0.25">
      <c r="A936">
        <v>935</v>
      </c>
      <c r="B936" t="s">
        <v>4997</v>
      </c>
      <c r="C936" t="s">
        <v>4998</v>
      </c>
    </row>
    <row r="937" spans="1:3" x14ac:dyDescent="0.25">
      <c r="A937">
        <v>936</v>
      </c>
      <c r="B937" t="s">
        <v>1552</v>
      </c>
      <c r="C937" t="s">
        <v>4999</v>
      </c>
    </row>
    <row r="938" spans="1:3" x14ac:dyDescent="0.25">
      <c r="A938">
        <v>937</v>
      </c>
      <c r="B938" t="s">
        <v>1395</v>
      </c>
      <c r="C938" t="s">
        <v>5000</v>
      </c>
    </row>
    <row r="939" spans="1:3" x14ac:dyDescent="0.25">
      <c r="A939">
        <v>938</v>
      </c>
      <c r="B939" t="s">
        <v>1596</v>
      </c>
      <c r="C939" t="s">
        <v>5001</v>
      </c>
    </row>
    <row r="940" spans="1:3" x14ac:dyDescent="0.25">
      <c r="A940">
        <v>939</v>
      </c>
      <c r="B940" t="s">
        <v>1941</v>
      </c>
      <c r="C940" t="s">
        <v>5002</v>
      </c>
    </row>
    <row r="941" spans="1:3" x14ac:dyDescent="0.25">
      <c r="A941">
        <v>940</v>
      </c>
      <c r="B941" t="s">
        <v>1505</v>
      </c>
      <c r="C941" t="s">
        <v>5003</v>
      </c>
    </row>
    <row r="942" spans="1:3" x14ac:dyDescent="0.25">
      <c r="A942">
        <v>941</v>
      </c>
      <c r="B942" t="s">
        <v>5004</v>
      </c>
      <c r="C942" t="s">
        <v>5005</v>
      </c>
    </row>
    <row r="943" spans="1:3" x14ac:dyDescent="0.25">
      <c r="A943">
        <v>942</v>
      </c>
      <c r="B943" t="s">
        <v>5006</v>
      </c>
      <c r="C943" t="s">
        <v>5007</v>
      </c>
    </row>
    <row r="944" spans="1:3" x14ac:dyDescent="0.25">
      <c r="A944">
        <v>943</v>
      </c>
      <c r="B944" t="s">
        <v>1853</v>
      </c>
      <c r="C944" t="s">
        <v>5008</v>
      </c>
    </row>
    <row r="945" spans="1:3" x14ac:dyDescent="0.25">
      <c r="A945">
        <v>944</v>
      </c>
      <c r="B945" t="s">
        <v>259</v>
      </c>
      <c r="C945" t="s">
        <v>5009</v>
      </c>
    </row>
    <row r="946" spans="1:3" x14ac:dyDescent="0.25">
      <c r="A946">
        <v>945</v>
      </c>
      <c r="B946" t="s">
        <v>5010</v>
      </c>
      <c r="C946" t="s">
        <v>5011</v>
      </c>
    </row>
    <row r="947" spans="1:3" x14ac:dyDescent="0.25">
      <c r="A947">
        <v>946</v>
      </c>
      <c r="B947" t="s">
        <v>1651</v>
      </c>
      <c r="C947" t="s">
        <v>5012</v>
      </c>
    </row>
    <row r="948" spans="1:3" x14ac:dyDescent="0.25">
      <c r="A948">
        <v>947</v>
      </c>
      <c r="B948" t="s">
        <v>1665</v>
      </c>
      <c r="C948" t="s">
        <v>5013</v>
      </c>
    </row>
    <row r="949" spans="1:3" x14ac:dyDescent="0.25">
      <c r="A949">
        <v>948</v>
      </c>
      <c r="B949" t="s">
        <v>1675</v>
      </c>
      <c r="C949" t="s">
        <v>5014</v>
      </c>
    </row>
    <row r="950" spans="1:3" x14ac:dyDescent="0.25">
      <c r="A950">
        <v>949</v>
      </c>
      <c r="B950" t="s">
        <v>1801</v>
      </c>
      <c r="C950" t="s">
        <v>5015</v>
      </c>
    </row>
    <row r="951" spans="1:3" x14ac:dyDescent="0.25">
      <c r="A951">
        <v>950</v>
      </c>
      <c r="B951" t="s">
        <v>511</v>
      </c>
      <c r="C951" t="s">
        <v>5016</v>
      </c>
    </row>
    <row r="952" spans="1:3" x14ac:dyDescent="0.25">
      <c r="A952">
        <v>951</v>
      </c>
      <c r="B952" t="s">
        <v>512</v>
      </c>
      <c r="C952" t="s">
        <v>5017</v>
      </c>
    </row>
    <row r="953" spans="1:3" x14ac:dyDescent="0.25">
      <c r="A953">
        <v>952</v>
      </c>
      <c r="B953" t="s">
        <v>1495</v>
      </c>
      <c r="C953" t="s">
        <v>5018</v>
      </c>
    </row>
    <row r="954" spans="1:3" x14ac:dyDescent="0.25">
      <c r="A954">
        <v>953</v>
      </c>
      <c r="B954" t="s">
        <v>5019</v>
      </c>
      <c r="C954" t="s">
        <v>5020</v>
      </c>
    </row>
    <row r="955" spans="1:3" x14ac:dyDescent="0.25">
      <c r="A955">
        <v>954</v>
      </c>
      <c r="B955" t="s">
        <v>998</v>
      </c>
      <c r="C955" t="s">
        <v>5021</v>
      </c>
    </row>
    <row r="956" spans="1:3" x14ac:dyDescent="0.25">
      <c r="A956">
        <v>955</v>
      </c>
      <c r="B956" t="s">
        <v>1343</v>
      </c>
      <c r="C956" t="s">
        <v>5022</v>
      </c>
    </row>
    <row r="957" spans="1:3" x14ac:dyDescent="0.25">
      <c r="A957">
        <v>956</v>
      </c>
      <c r="B957" t="s">
        <v>1735</v>
      </c>
      <c r="C957" t="s">
        <v>5023</v>
      </c>
    </row>
    <row r="958" spans="1:3" x14ac:dyDescent="0.25">
      <c r="A958">
        <v>957</v>
      </c>
      <c r="B958" t="s">
        <v>1762</v>
      </c>
      <c r="C958" t="s">
        <v>5024</v>
      </c>
    </row>
    <row r="959" spans="1:3" x14ac:dyDescent="0.25">
      <c r="A959">
        <v>958</v>
      </c>
      <c r="B959" t="s">
        <v>5025</v>
      </c>
      <c r="C959" t="s">
        <v>5026</v>
      </c>
    </row>
    <row r="960" spans="1:3" x14ac:dyDescent="0.25">
      <c r="A960">
        <v>959</v>
      </c>
      <c r="B960" t="s">
        <v>248</v>
      </c>
      <c r="C960" t="s">
        <v>5027</v>
      </c>
    </row>
    <row r="961" spans="1:3" x14ac:dyDescent="0.25">
      <c r="A961">
        <v>960</v>
      </c>
      <c r="B961" t="s">
        <v>1344</v>
      </c>
      <c r="C961" t="s">
        <v>5028</v>
      </c>
    </row>
    <row r="962" spans="1:3" x14ac:dyDescent="0.25">
      <c r="A962">
        <v>961</v>
      </c>
      <c r="B962" t="s">
        <v>1364</v>
      </c>
      <c r="C962" t="s">
        <v>5029</v>
      </c>
    </row>
    <row r="963" spans="1:3" x14ac:dyDescent="0.25">
      <c r="A963">
        <v>962</v>
      </c>
      <c r="B963" t="s">
        <v>1772</v>
      </c>
      <c r="C963" t="s">
        <v>5030</v>
      </c>
    </row>
    <row r="964" spans="1:3" x14ac:dyDescent="0.25">
      <c r="A964">
        <v>963</v>
      </c>
      <c r="B964" t="s">
        <v>347</v>
      </c>
      <c r="C964" t="s">
        <v>5031</v>
      </c>
    </row>
    <row r="965" spans="1:3" x14ac:dyDescent="0.25">
      <c r="A965">
        <v>964</v>
      </c>
      <c r="B965" t="s">
        <v>358</v>
      </c>
      <c r="C965" t="s">
        <v>5032</v>
      </c>
    </row>
    <row r="966" spans="1:3" x14ac:dyDescent="0.25">
      <c r="A966">
        <v>965</v>
      </c>
      <c r="B966" t="s">
        <v>437</v>
      </c>
      <c r="C966" t="s">
        <v>5033</v>
      </c>
    </row>
    <row r="967" spans="1:3" x14ac:dyDescent="0.25">
      <c r="A967">
        <v>966</v>
      </c>
      <c r="B967" t="s">
        <v>543</v>
      </c>
      <c r="C967" t="s">
        <v>5034</v>
      </c>
    </row>
    <row r="968" spans="1:3" x14ac:dyDescent="0.25">
      <c r="A968">
        <v>967</v>
      </c>
      <c r="B968" t="s">
        <v>659</v>
      </c>
      <c r="C968" t="s">
        <v>5035</v>
      </c>
    </row>
    <row r="969" spans="1:3" x14ac:dyDescent="0.25">
      <c r="A969">
        <v>968</v>
      </c>
      <c r="B969" t="s">
        <v>666</v>
      </c>
      <c r="C969" t="s">
        <v>5036</v>
      </c>
    </row>
    <row r="970" spans="1:3" x14ac:dyDescent="0.25">
      <c r="A970">
        <v>969</v>
      </c>
      <c r="B970" t="s">
        <v>673</v>
      </c>
      <c r="C970" t="s">
        <v>5037</v>
      </c>
    </row>
    <row r="971" spans="1:3" x14ac:dyDescent="0.25">
      <c r="A971">
        <v>970</v>
      </c>
      <c r="B971" t="s">
        <v>704</v>
      </c>
      <c r="C971" t="s">
        <v>5038</v>
      </c>
    </row>
    <row r="972" spans="1:3" x14ac:dyDescent="0.25">
      <c r="A972">
        <v>971</v>
      </c>
      <c r="B972" t="s">
        <v>839</v>
      </c>
      <c r="C972" t="s">
        <v>5039</v>
      </c>
    </row>
    <row r="973" spans="1:3" x14ac:dyDescent="0.25">
      <c r="A973">
        <v>972</v>
      </c>
      <c r="B973" t="s">
        <v>858</v>
      </c>
      <c r="C973" t="s">
        <v>5040</v>
      </c>
    </row>
    <row r="974" spans="1:3" x14ac:dyDescent="0.25">
      <c r="A974">
        <v>973</v>
      </c>
      <c r="B974" t="s">
        <v>1383</v>
      </c>
      <c r="C974" t="s">
        <v>5041</v>
      </c>
    </row>
    <row r="975" spans="1:3" x14ac:dyDescent="0.25">
      <c r="A975">
        <v>974</v>
      </c>
      <c r="B975" t="s">
        <v>303</v>
      </c>
      <c r="C975" t="s">
        <v>5042</v>
      </c>
    </row>
    <row r="976" spans="1:3" x14ac:dyDescent="0.25">
      <c r="A976">
        <v>975</v>
      </c>
      <c r="B976" t="s">
        <v>252</v>
      </c>
      <c r="C976" t="s">
        <v>5043</v>
      </c>
    </row>
    <row r="977" spans="1:3" x14ac:dyDescent="0.25">
      <c r="A977">
        <v>976</v>
      </c>
      <c r="B977" t="s">
        <v>754</v>
      </c>
      <c r="C977" t="s">
        <v>5044</v>
      </c>
    </row>
    <row r="978" spans="1:3" x14ac:dyDescent="0.25">
      <c r="A978">
        <v>977</v>
      </c>
      <c r="B978" t="s">
        <v>942</v>
      </c>
      <c r="C978" t="s">
        <v>5045</v>
      </c>
    </row>
    <row r="979" spans="1:3" x14ac:dyDescent="0.25">
      <c r="A979">
        <v>978</v>
      </c>
      <c r="B979" t="s">
        <v>756</v>
      </c>
      <c r="C979" t="s">
        <v>5046</v>
      </c>
    </row>
    <row r="980" spans="1:3" x14ac:dyDescent="0.25">
      <c r="A980">
        <v>979</v>
      </c>
      <c r="B980" t="s">
        <v>419</v>
      </c>
      <c r="C980" t="s">
        <v>5047</v>
      </c>
    </row>
    <row r="981" spans="1:3" x14ac:dyDescent="0.25">
      <c r="A981">
        <v>980</v>
      </c>
      <c r="B981" t="s">
        <v>5048</v>
      </c>
      <c r="C981" t="s">
        <v>5049</v>
      </c>
    </row>
    <row r="982" spans="1:3" x14ac:dyDescent="0.25">
      <c r="A982">
        <v>981</v>
      </c>
      <c r="B982" t="s">
        <v>473</v>
      </c>
      <c r="C982" t="s">
        <v>5050</v>
      </c>
    </row>
    <row r="983" spans="1:3" x14ac:dyDescent="0.25">
      <c r="A983">
        <v>982</v>
      </c>
      <c r="B983" t="s">
        <v>5051</v>
      </c>
      <c r="C983" t="s">
        <v>5052</v>
      </c>
    </row>
    <row r="984" spans="1:3" x14ac:dyDescent="0.25">
      <c r="A984">
        <v>983</v>
      </c>
      <c r="B984" t="s">
        <v>617</v>
      </c>
      <c r="C984" t="s">
        <v>5053</v>
      </c>
    </row>
    <row r="985" spans="1:3" x14ac:dyDescent="0.25">
      <c r="A985">
        <v>984</v>
      </c>
      <c r="B985" t="s">
        <v>649</v>
      </c>
      <c r="C985" t="s">
        <v>5054</v>
      </c>
    </row>
    <row r="986" spans="1:3" x14ac:dyDescent="0.25">
      <c r="A986">
        <v>985</v>
      </c>
      <c r="B986" t="s">
        <v>5055</v>
      </c>
      <c r="C986" t="s">
        <v>5056</v>
      </c>
    </row>
    <row r="987" spans="1:3" x14ac:dyDescent="0.25">
      <c r="A987">
        <v>986</v>
      </c>
      <c r="B987" t="s">
        <v>294</v>
      </c>
      <c r="C987" t="s">
        <v>5057</v>
      </c>
    </row>
    <row r="988" spans="1:3" x14ac:dyDescent="0.25">
      <c r="A988">
        <v>987</v>
      </c>
      <c r="B988" t="s">
        <v>297</v>
      </c>
      <c r="C988" t="s">
        <v>5058</v>
      </c>
    </row>
    <row r="989" spans="1:3" x14ac:dyDescent="0.25">
      <c r="A989">
        <v>988</v>
      </c>
      <c r="B989" t="s">
        <v>609</v>
      </c>
      <c r="C989" t="s">
        <v>5059</v>
      </c>
    </row>
    <row r="990" spans="1:3" x14ac:dyDescent="0.25">
      <c r="A990">
        <v>989</v>
      </c>
      <c r="B990" t="s">
        <v>1253</v>
      </c>
      <c r="C990" t="s">
        <v>5060</v>
      </c>
    </row>
    <row r="991" spans="1:3" x14ac:dyDescent="0.25">
      <c r="A991">
        <v>990</v>
      </c>
      <c r="B991" t="s">
        <v>1292</v>
      </c>
      <c r="C991" t="s">
        <v>5061</v>
      </c>
    </row>
    <row r="992" spans="1:3" x14ac:dyDescent="0.25">
      <c r="A992">
        <v>991</v>
      </c>
      <c r="B992" t="s">
        <v>1827</v>
      </c>
      <c r="C992" t="s">
        <v>5062</v>
      </c>
    </row>
    <row r="993" spans="1:3" x14ac:dyDescent="0.25">
      <c r="A993">
        <v>992</v>
      </c>
      <c r="B993" t="s">
        <v>770</v>
      </c>
      <c r="C993" t="s">
        <v>5063</v>
      </c>
    </row>
    <row r="994" spans="1:3" x14ac:dyDescent="0.25">
      <c r="A994">
        <v>993</v>
      </c>
      <c r="B994" t="s">
        <v>778</v>
      </c>
      <c r="C994" t="s">
        <v>5064</v>
      </c>
    </row>
    <row r="995" spans="1:3" x14ac:dyDescent="0.25">
      <c r="A995">
        <v>994</v>
      </c>
      <c r="B995" t="s">
        <v>1836</v>
      </c>
      <c r="C995" t="s">
        <v>5065</v>
      </c>
    </row>
    <row r="996" spans="1:3" x14ac:dyDescent="0.25">
      <c r="A996">
        <v>995</v>
      </c>
      <c r="B996" t="s">
        <v>1705</v>
      </c>
      <c r="C996" t="s">
        <v>5066</v>
      </c>
    </row>
    <row r="997" spans="1:3" x14ac:dyDescent="0.25">
      <c r="A997">
        <v>996</v>
      </c>
      <c r="B997" t="s">
        <v>421</v>
      </c>
      <c r="C997" t="s">
        <v>5067</v>
      </c>
    </row>
    <row r="998" spans="1:3" x14ac:dyDescent="0.25">
      <c r="A998">
        <v>997</v>
      </c>
      <c r="B998" t="s">
        <v>791</v>
      </c>
      <c r="C998" t="s">
        <v>5068</v>
      </c>
    </row>
    <row r="999" spans="1:3" x14ac:dyDescent="0.25">
      <c r="A999">
        <v>998</v>
      </c>
      <c r="B999" t="s">
        <v>1056</v>
      </c>
      <c r="C999" t="s">
        <v>5069</v>
      </c>
    </row>
    <row r="1000" spans="1:3" x14ac:dyDescent="0.25">
      <c r="A1000">
        <v>999</v>
      </c>
      <c r="B1000" t="s">
        <v>1091</v>
      </c>
      <c r="C1000" t="s">
        <v>5070</v>
      </c>
    </row>
    <row r="1001" spans="1:3" x14ac:dyDescent="0.25">
      <c r="A1001">
        <v>1000</v>
      </c>
      <c r="B1001" t="s">
        <v>1224</v>
      </c>
      <c r="C1001" t="s">
        <v>5071</v>
      </c>
    </row>
    <row r="1002" spans="1:3" x14ac:dyDescent="0.25">
      <c r="A1002">
        <v>1001</v>
      </c>
      <c r="B1002" t="s">
        <v>1280</v>
      </c>
      <c r="C1002" t="s">
        <v>5072</v>
      </c>
    </row>
    <row r="1003" spans="1:3" x14ac:dyDescent="0.25">
      <c r="A1003">
        <v>1002</v>
      </c>
      <c r="B1003" t="s">
        <v>1304</v>
      </c>
      <c r="C1003" t="s">
        <v>5073</v>
      </c>
    </row>
    <row r="1004" spans="1:3" x14ac:dyDescent="0.25">
      <c r="A1004">
        <v>1003</v>
      </c>
      <c r="B1004" t="s">
        <v>1433</v>
      </c>
      <c r="C1004" t="s">
        <v>5074</v>
      </c>
    </row>
    <row r="1005" spans="1:3" x14ac:dyDescent="0.25">
      <c r="A1005">
        <v>1004</v>
      </c>
      <c r="B1005" t="s">
        <v>1857</v>
      </c>
      <c r="C1005" t="s">
        <v>5075</v>
      </c>
    </row>
    <row r="1006" spans="1:3" x14ac:dyDescent="0.25">
      <c r="A1006">
        <v>1005</v>
      </c>
      <c r="B1006" t="s">
        <v>1865</v>
      </c>
      <c r="C1006" t="s">
        <v>5076</v>
      </c>
    </row>
    <row r="1007" spans="1:3" x14ac:dyDescent="0.25">
      <c r="A1007">
        <v>1006</v>
      </c>
      <c r="B1007" t="s">
        <v>1873</v>
      </c>
      <c r="C1007" t="s">
        <v>5077</v>
      </c>
    </row>
    <row r="1008" spans="1:3" x14ac:dyDescent="0.25">
      <c r="A1008">
        <v>1007</v>
      </c>
      <c r="B1008" t="s">
        <v>1891</v>
      </c>
      <c r="C1008" t="s">
        <v>5078</v>
      </c>
    </row>
    <row r="1009" spans="1:3" x14ac:dyDescent="0.25">
      <c r="A1009">
        <v>1008</v>
      </c>
      <c r="B1009" t="s">
        <v>897</v>
      </c>
      <c r="C1009" t="s">
        <v>5079</v>
      </c>
    </row>
    <row r="1010" spans="1:3" x14ac:dyDescent="0.25">
      <c r="A1010">
        <v>1009</v>
      </c>
      <c r="B1010" t="s">
        <v>904</v>
      </c>
      <c r="C1010" t="s">
        <v>5080</v>
      </c>
    </row>
    <row r="1011" spans="1:3" x14ac:dyDescent="0.25">
      <c r="A1011">
        <v>1010</v>
      </c>
      <c r="B1011" t="s">
        <v>1444</v>
      </c>
      <c r="C1011" t="s">
        <v>5081</v>
      </c>
    </row>
    <row r="1012" spans="1:3" x14ac:dyDescent="0.25">
      <c r="A1012">
        <v>1011</v>
      </c>
      <c r="B1012" t="s">
        <v>363</v>
      </c>
      <c r="C1012" t="s">
        <v>5082</v>
      </c>
    </row>
    <row r="1013" spans="1:3" x14ac:dyDescent="0.25">
      <c r="A1013">
        <v>1012</v>
      </c>
      <c r="B1013" t="s">
        <v>378</v>
      </c>
      <c r="C1013" t="s">
        <v>5083</v>
      </c>
    </row>
    <row r="1014" spans="1:3" x14ac:dyDescent="0.25">
      <c r="A1014">
        <v>1013</v>
      </c>
      <c r="B1014" t="s">
        <v>381</v>
      </c>
      <c r="C1014" t="s">
        <v>5084</v>
      </c>
    </row>
    <row r="1015" spans="1:3" x14ac:dyDescent="0.25">
      <c r="A1015">
        <v>1014</v>
      </c>
      <c r="B1015" t="s">
        <v>1254</v>
      </c>
      <c r="C1015" t="s">
        <v>5085</v>
      </c>
    </row>
    <row r="1016" spans="1:3" x14ac:dyDescent="0.25">
      <c r="A1016">
        <v>1015</v>
      </c>
      <c r="B1016" t="s">
        <v>1684</v>
      </c>
      <c r="C1016" t="s">
        <v>5086</v>
      </c>
    </row>
    <row r="1017" spans="1:3" x14ac:dyDescent="0.25">
      <c r="A1017">
        <v>1016</v>
      </c>
      <c r="B1017" t="s">
        <v>1685</v>
      </c>
      <c r="C1017" t="s">
        <v>5087</v>
      </c>
    </row>
    <row r="1018" spans="1:3" x14ac:dyDescent="0.25">
      <c r="A1018">
        <v>1017</v>
      </c>
      <c r="B1018" t="s">
        <v>1899</v>
      </c>
      <c r="C1018" t="s">
        <v>5088</v>
      </c>
    </row>
    <row r="1019" spans="1:3" x14ac:dyDescent="0.25">
      <c r="A1019">
        <v>1018</v>
      </c>
      <c r="B1019" t="s">
        <v>474</v>
      </c>
      <c r="C1019" t="s">
        <v>5089</v>
      </c>
    </row>
    <row r="1020" spans="1:3" x14ac:dyDescent="0.25">
      <c r="A1020">
        <v>1019</v>
      </c>
      <c r="B1020" t="s">
        <v>889</v>
      </c>
      <c r="C1020" t="s">
        <v>5090</v>
      </c>
    </row>
    <row r="1021" spans="1:3" x14ac:dyDescent="0.25">
      <c r="A1021">
        <v>1020</v>
      </c>
      <c r="B1021" t="s">
        <v>1658</v>
      </c>
      <c r="C1021" t="s">
        <v>5091</v>
      </c>
    </row>
    <row r="1022" spans="1:3" x14ac:dyDescent="0.25">
      <c r="A1022">
        <v>1021</v>
      </c>
      <c r="B1022" t="s">
        <v>1807</v>
      </c>
      <c r="C1022" t="s">
        <v>5092</v>
      </c>
    </row>
    <row r="1023" spans="1:3" x14ac:dyDescent="0.25">
      <c r="A1023">
        <v>1022</v>
      </c>
      <c r="B1023" t="s">
        <v>1876</v>
      </c>
      <c r="C1023" t="s">
        <v>5093</v>
      </c>
    </row>
    <row r="1024" spans="1:3" x14ac:dyDescent="0.25">
      <c r="A1024">
        <v>1023</v>
      </c>
      <c r="B1024" t="s">
        <v>344</v>
      </c>
      <c r="C1024" t="s">
        <v>5094</v>
      </c>
    </row>
    <row r="1025" spans="1:3" x14ac:dyDescent="0.25">
      <c r="A1025">
        <v>1024</v>
      </c>
      <c r="B1025" t="s">
        <v>591</v>
      </c>
      <c r="C1025" t="s">
        <v>5095</v>
      </c>
    </row>
    <row r="1026" spans="1:3" x14ac:dyDescent="0.25">
      <c r="A1026">
        <v>1025</v>
      </c>
      <c r="B1026" t="s">
        <v>984</v>
      </c>
      <c r="C1026" t="s">
        <v>5096</v>
      </c>
    </row>
    <row r="1027" spans="1:3" x14ac:dyDescent="0.25">
      <c r="A1027">
        <v>1026</v>
      </c>
      <c r="B1027" t="s">
        <v>1009</v>
      </c>
      <c r="C1027" t="s">
        <v>5097</v>
      </c>
    </row>
    <row r="1028" spans="1:3" x14ac:dyDescent="0.25">
      <c r="A1028">
        <v>1027</v>
      </c>
      <c r="B1028" t="s">
        <v>1952</v>
      </c>
      <c r="C1028" t="s">
        <v>5098</v>
      </c>
    </row>
    <row r="1029" spans="1:3" x14ac:dyDescent="0.25">
      <c r="A1029">
        <v>1028</v>
      </c>
      <c r="B1029" t="s">
        <v>1374</v>
      </c>
      <c r="C1029" t="s">
        <v>5099</v>
      </c>
    </row>
    <row r="1030" spans="1:3" x14ac:dyDescent="0.25">
      <c r="A1030">
        <v>1029</v>
      </c>
      <c r="B1030" t="s">
        <v>326</v>
      </c>
      <c r="C1030" t="s">
        <v>5100</v>
      </c>
    </row>
    <row r="1031" spans="1:3" x14ac:dyDescent="0.25">
      <c r="A1031">
        <v>1030</v>
      </c>
      <c r="B1031" t="s">
        <v>333</v>
      </c>
      <c r="C1031" t="s">
        <v>5101</v>
      </c>
    </row>
    <row r="1032" spans="1:3" x14ac:dyDescent="0.25">
      <c r="A1032">
        <v>1031</v>
      </c>
      <c r="B1032" t="s">
        <v>970</v>
      </c>
      <c r="C1032" t="s">
        <v>5102</v>
      </c>
    </row>
    <row r="1033" spans="1:3" x14ac:dyDescent="0.25">
      <c r="A1033">
        <v>1032</v>
      </c>
      <c r="B1033" t="s">
        <v>1066</v>
      </c>
      <c r="C1033" t="s">
        <v>5103</v>
      </c>
    </row>
    <row r="1034" spans="1:3" x14ac:dyDescent="0.25">
      <c r="A1034">
        <v>1033</v>
      </c>
      <c r="B1034" t="s">
        <v>1291</v>
      </c>
      <c r="C1034" t="s">
        <v>5104</v>
      </c>
    </row>
    <row r="1035" spans="1:3" x14ac:dyDescent="0.25">
      <c r="A1035">
        <v>1034</v>
      </c>
      <c r="B1035" t="s">
        <v>1394</v>
      </c>
      <c r="C1035" t="s">
        <v>5105</v>
      </c>
    </row>
    <row r="1036" spans="1:3" x14ac:dyDescent="0.25">
      <c r="A1036">
        <v>1035</v>
      </c>
      <c r="B1036" t="s">
        <v>1595</v>
      </c>
      <c r="C1036" t="s">
        <v>5106</v>
      </c>
    </row>
    <row r="1037" spans="1:3" x14ac:dyDescent="0.25">
      <c r="A1037">
        <v>1036</v>
      </c>
      <c r="B1037" t="s">
        <v>755</v>
      </c>
      <c r="C1037" t="s">
        <v>5107</v>
      </c>
    </row>
    <row r="1038" spans="1:3" x14ac:dyDescent="0.25">
      <c r="A1038">
        <v>1037</v>
      </c>
      <c r="B1038" t="s">
        <v>915</v>
      </c>
      <c r="C1038" t="s">
        <v>5108</v>
      </c>
    </row>
    <row r="1039" spans="1:3" x14ac:dyDescent="0.25">
      <c r="A1039">
        <v>1038</v>
      </c>
      <c r="B1039" t="s">
        <v>1447</v>
      </c>
      <c r="C1039" t="s">
        <v>5109</v>
      </c>
    </row>
    <row r="1040" spans="1:3" x14ac:dyDescent="0.25">
      <c r="A1040">
        <v>1039</v>
      </c>
      <c r="B1040" t="s">
        <v>1384</v>
      </c>
      <c r="C1040" t="s">
        <v>5110</v>
      </c>
    </row>
    <row r="1041" spans="1:3" x14ac:dyDescent="0.25">
      <c r="A1041">
        <v>1040</v>
      </c>
      <c r="B1041" t="s">
        <v>520</v>
      </c>
      <c r="C1041" t="s">
        <v>5111</v>
      </c>
    </row>
    <row r="1042" spans="1:3" x14ac:dyDescent="0.25">
      <c r="A1042">
        <v>1041</v>
      </c>
      <c r="B1042" t="s">
        <v>592</v>
      </c>
      <c r="C1042" t="s">
        <v>5112</v>
      </c>
    </row>
    <row r="1043" spans="1:3" x14ac:dyDescent="0.25">
      <c r="A1043">
        <v>1042</v>
      </c>
      <c r="B1043" t="s">
        <v>441</v>
      </c>
      <c r="C1043" t="s">
        <v>5113</v>
      </c>
    </row>
    <row r="1044" spans="1:3" x14ac:dyDescent="0.25">
      <c r="A1044">
        <v>1043</v>
      </c>
      <c r="B1044" t="s">
        <v>1171</v>
      </c>
      <c r="C1044" t="s">
        <v>5114</v>
      </c>
    </row>
    <row r="1045" spans="1:3" x14ac:dyDescent="0.25">
      <c r="A1045">
        <v>1044</v>
      </c>
      <c r="B1045" t="s">
        <v>1408</v>
      </c>
      <c r="C1045" t="s">
        <v>5115</v>
      </c>
    </row>
    <row r="1046" spans="1:3" x14ac:dyDescent="0.25">
      <c r="A1046">
        <v>1045</v>
      </c>
      <c r="B1046" t="s">
        <v>1610</v>
      </c>
      <c r="C1046" t="s">
        <v>5116</v>
      </c>
    </row>
    <row r="1047" spans="1:3" x14ac:dyDescent="0.25">
      <c r="A1047">
        <v>1046</v>
      </c>
      <c r="B1047" t="s">
        <v>544</v>
      </c>
      <c r="C1047" t="s">
        <v>5117</v>
      </c>
    </row>
    <row r="1048" spans="1:3" x14ac:dyDescent="0.25">
      <c r="A1048">
        <v>1047</v>
      </c>
      <c r="B1048" t="s">
        <v>840</v>
      </c>
      <c r="C1048" t="s">
        <v>5118</v>
      </c>
    </row>
    <row r="1049" spans="1:3" x14ac:dyDescent="0.25">
      <c r="A1049">
        <v>1048</v>
      </c>
      <c r="B1049" t="s">
        <v>851</v>
      </c>
      <c r="C1049" t="s">
        <v>5119</v>
      </c>
    </row>
    <row r="1050" spans="1:3" x14ac:dyDescent="0.25">
      <c r="A1050">
        <v>1049</v>
      </c>
      <c r="B1050" t="s">
        <v>999</v>
      </c>
      <c r="C1050" t="s">
        <v>5120</v>
      </c>
    </row>
    <row r="1051" spans="1:3" x14ac:dyDescent="0.25">
      <c r="A1051">
        <v>1050</v>
      </c>
      <c r="B1051" t="s">
        <v>1126</v>
      </c>
      <c r="C1051" t="s">
        <v>5121</v>
      </c>
    </row>
    <row r="1052" spans="1:3" x14ac:dyDescent="0.25">
      <c r="A1052">
        <v>1051</v>
      </c>
      <c r="B1052" t="s">
        <v>414</v>
      </c>
      <c r="C1052" t="s">
        <v>5122</v>
      </c>
    </row>
    <row r="1053" spans="1:3" x14ac:dyDescent="0.25">
      <c r="A1053">
        <v>1052</v>
      </c>
      <c r="B1053" t="s">
        <v>5123</v>
      </c>
      <c r="C1053" t="s">
        <v>5124</v>
      </c>
    </row>
    <row r="1054" spans="1:3" x14ac:dyDescent="0.25">
      <c r="A1054">
        <v>1053</v>
      </c>
      <c r="B1054" t="s">
        <v>1132</v>
      </c>
      <c r="C1054" t="s">
        <v>5125</v>
      </c>
    </row>
    <row r="1055" spans="1:3" x14ac:dyDescent="0.25">
      <c r="A1055">
        <v>1054</v>
      </c>
      <c r="B1055" t="s">
        <v>610</v>
      </c>
      <c r="C1055" t="s">
        <v>5126</v>
      </c>
    </row>
    <row r="1056" spans="1:3" x14ac:dyDescent="0.25">
      <c r="A1056">
        <v>1055</v>
      </c>
      <c r="B1056" t="s">
        <v>1815</v>
      </c>
      <c r="C1056" t="s">
        <v>5127</v>
      </c>
    </row>
    <row r="1057" spans="1:3" x14ac:dyDescent="0.25">
      <c r="A1057">
        <v>1056</v>
      </c>
      <c r="B1057" t="s">
        <v>1657</v>
      </c>
      <c r="C1057" t="s">
        <v>5128</v>
      </c>
    </row>
    <row r="1058" spans="1:3" x14ac:dyDescent="0.25">
      <c r="A1058">
        <v>1057</v>
      </c>
      <c r="B1058" t="s">
        <v>1806</v>
      </c>
      <c r="C1058" t="s">
        <v>5129</v>
      </c>
    </row>
    <row r="1059" spans="1:3" x14ac:dyDescent="0.25">
      <c r="A1059">
        <v>1058</v>
      </c>
      <c r="B1059" t="s">
        <v>1814</v>
      </c>
      <c r="C1059" t="s">
        <v>5130</v>
      </c>
    </row>
    <row r="1060" spans="1:3" x14ac:dyDescent="0.25">
      <c r="A1060">
        <v>1059</v>
      </c>
      <c r="B1060" t="s">
        <v>5131</v>
      </c>
      <c r="C1060" t="s">
        <v>5132</v>
      </c>
    </row>
    <row r="1061" spans="1:3" x14ac:dyDescent="0.25">
      <c r="A1061">
        <v>1060</v>
      </c>
      <c r="B1061" t="s">
        <v>1530</v>
      </c>
      <c r="C1061" t="s">
        <v>5133</v>
      </c>
    </row>
    <row r="1062" spans="1:3" x14ac:dyDescent="0.25">
      <c r="A1062">
        <v>1061</v>
      </c>
      <c r="B1062" t="s">
        <v>1538</v>
      </c>
      <c r="C1062" t="s">
        <v>5134</v>
      </c>
    </row>
    <row r="1063" spans="1:3" x14ac:dyDescent="0.25">
      <c r="A1063">
        <v>1062</v>
      </c>
      <c r="B1063" t="s">
        <v>1621</v>
      </c>
      <c r="C1063" t="s">
        <v>5135</v>
      </c>
    </row>
    <row r="1064" spans="1:3" x14ac:dyDescent="0.25">
      <c r="A1064">
        <v>1063</v>
      </c>
      <c r="B1064" t="s">
        <v>339</v>
      </c>
      <c r="C1064" t="s">
        <v>5136</v>
      </c>
    </row>
    <row r="1065" spans="1:3" x14ac:dyDescent="0.25">
      <c r="A1065">
        <v>1064</v>
      </c>
      <c r="B1065" t="s">
        <v>955</v>
      </c>
      <c r="C1065" t="s">
        <v>5137</v>
      </c>
    </row>
    <row r="1066" spans="1:3" x14ac:dyDescent="0.25">
      <c r="A1066">
        <v>1065</v>
      </c>
      <c r="B1066" t="s">
        <v>1560</v>
      </c>
      <c r="C1066" t="s">
        <v>5138</v>
      </c>
    </row>
    <row r="1067" spans="1:3" x14ac:dyDescent="0.25">
      <c r="A1067">
        <v>1066</v>
      </c>
      <c r="B1067" t="s">
        <v>1650</v>
      </c>
      <c r="C1067" t="s">
        <v>5139</v>
      </c>
    </row>
    <row r="1068" spans="1:3" x14ac:dyDescent="0.25">
      <c r="A1068">
        <v>1067</v>
      </c>
      <c r="B1068" t="s">
        <v>315</v>
      </c>
      <c r="C1068" t="s">
        <v>5140</v>
      </c>
    </row>
    <row r="1069" spans="1:3" x14ac:dyDescent="0.25">
      <c r="A1069">
        <v>1068</v>
      </c>
      <c r="B1069" t="s">
        <v>639</v>
      </c>
      <c r="C1069" t="s">
        <v>5141</v>
      </c>
    </row>
    <row r="1070" spans="1:3" x14ac:dyDescent="0.25">
      <c r="A1070">
        <v>1069</v>
      </c>
      <c r="B1070" t="s">
        <v>667</v>
      </c>
      <c r="C1070" t="s">
        <v>5142</v>
      </c>
    </row>
    <row r="1071" spans="1:3" x14ac:dyDescent="0.25">
      <c r="A1071">
        <v>1070</v>
      </c>
      <c r="B1071" t="s">
        <v>674</v>
      </c>
      <c r="C1071" t="s">
        <v>5143</v>
      </c>
    </row>
    <row r="1072" spans="1:3" x14ac:dyDescent="0.25">
      <c r="A1072">
        <v>1071</v>
      </c>
      <c r="B1072" t="s">
        <v>705</v>
      </c>
      <c r="C1072" t="s">
        <v>5144</v>
      </c>
    </row>
    <row r="1073" spans="1:3" x14ac:dyDescent="0.25">
      <c r="A1073">
        <v>1072</v>
      </c>
      <c r="B1073" t="s">
        <v>859</v>
      </c>
      <c r="C1073" t="s">
        <v>5145</v>
      </c>
    </row>
    <row r="1074" spans="1:3" x14ac:dyDescent="0.25">
      <c r="A1074">
        <v>1073</v>
      </c>
      <c r="B1074" t="s">
        <v>1345</v>
      </c>
      <c r="C1074" t="s">
        <v>5146</v>
      </c>
    </row>
    <row r="1075" spans="1:3" x14ac:dyDescent="0.25">
      <c r="A1075">
        <v>1074</v>
      </c>
      <c r="B1075" t="s">
        <v>1130</v>
      </c>
      <c r="C1075" t="s">
        <v>5147</v>
      </c>
    </row>
    <row r="1076" spans="1:3" x14ac:dyDescent="0.25">
      <c r="A1076">
        <v>1075</v>
      </c>
      <c r="B1076" t="s">
        <v>453</v>
      </c>
      <c r="C1076" t="s">
        <v>5148</v>
      </c>
    </row>
    <row r="1077" spans="1:3" x14ac:dyDescent="0.25">
      <c r="A1077">
        <v>1076</v>
      </c>
      <c r="B1077" t="s">
        <v>5149</v>
      </c>
      <c r="C1077" t="s">
        <v>5150</v>
      </c>
    </row>
    <row r="1078" spans="1:3" x14ac:dyDescent="0.25">
      <c r="A1078">
        <v>1077</v>
      </c>
      <c r="B1078" t="s">
        <v>1898</v>
      </c>
      <c r="C1078" t="s">
        <v>5151</v>
      </c>
    </row>
    <row r="1079" spans="1:3" x14ac:dyDescent="0.25">
      <c r="A1079">
        <v>1078</v>
      </c>
      <c r="B1079" t="s">
        <v>5152</v>
      </c>
      <c r="C1079" t="s">
        <v>5153</v>
      </c>
    </row>
    <row r="1080" spans="1:3" x14ac:dyDescent="0.25">
      <c r="A1080">
        <v>1079</v>
      </c>
      <c r="B1080" t="s">
        <v>1802</v>
      </c>
      <c r="C1080" t="s">
        <v>5154</v>
      </c>
    </row>
    <row r="1081" spans="1:3" x14ac:dyDescent="0.25">
      <c r="A1081">
        <v>1080</v>
      </c>
      <c r="B1081" t="s">
        <v>1643</v>
      </c>
      <c r="C1081" t="s">
        <v>5155</v>
      </c>
    </row>
    <row r="1082" spans="1:3" x14ac:dyDescent="0.25">
      <c r="A1082">
        <v>1081</v>
      </c>
      <c r="B1082" t="s">
        <v>1934</v>
      </c>
      <c r="C1082" t="s">
        <v>5156</v>
      </c>
    </row>
    <row r="1083" spans="1:3" x14ac:dyDescent="0.25">
      <c r="A1083">
        <v>1082</v>
      </c>
      <c r="B1083" t="s">
        <v>373</v>
      </c>
      <c r="C1083" t="s">
        <v>5157</v>
      </c>
    </row>
    <row r="1084" spans="1:3" x14ac:dyDescent="0.25">
      <c r="A1084">
        <v>1083</v>
      </c>
      <c r="B1084" t="s">
        <v>838</v>
      </c>
      <c r="C1084" t="s">
        <v>5158</v>
      </c>
    </row>
    <row r="1085" spans="1:3" x14ac:dyDescent="0.25">
      <c r="A1085">
        <v>1084</v>
      </c>
      <c r="B1085" t="s">
        <v>849</v>
      </c>
      <c r="C1085" t="s">
        <v>5159</v>
      </c>
    </row>
    <row r="1086" spans="1:3" x14ac:dyDescent="0.25">
      <c r="A1086">
        <v>1085</v>
      </c>
      <c r="B1086" t="s">
        <v>493</v>
      </c>
      <c r="C1086" t="s">
        <v>5160</v>
      </c>
    </row>
    <row r="1087" spans="1:3" x14ac:dyDescent="0.25">
      <c r="A1087">
        <v>1086</v>
      </c>
      <c r="B1087" t="s">
        <v>565</v>
      </c>
      <c r="C1087" t="s">
        <v>5161</v>
      </c>
    </row>
    <row r="1088" spans="1:3" x14ac:dyDescent="0.25">
      <c r="A1088">
        <v>1087</v>
      </c>
      <c r="B1088" t="s">
        <v>724</v>
      </c>
      <c r="C1088" t="s">
        <v>5162</v>
      </c>
    </row>
    <row r="1089" spans="1:3" x14ac:dyDescent="0.25">
      <c r="A1089">
        <v>1088</v>
      </c>
      <c r="B1089" t="s">
        <v>728</v>
      </c>
      <c r="C1089" t="s">
        <v>5163</v>
      </c>
    </row>
    <row r="1090" spans="1:3" x14ac:dyDescent="0.25">
      <c r="A1090">
        <v>1089</v>
      </c>
      <c r="B1090" t="s">
        <v>741</v>
      </c>
      <c r="C1090" t="s">
        <v>5164</v>
      </c>
    </row>
    <row r="1091" spans="1:3" x14ac:dyDescent="0.25">
      <c r="A1091">
        <v>1090</v>
      </c>
      <c r="B1091" t="s">
        <v>749</v>
      </c>
      <c r="C1091" t="s">
        <v>5165</v>
      </c>
    </row>
    <row r="1092" spans="1:3" x14ac:dyDescent="0.25">
      <c r="A1092">
        <v>1091</v>
      </c>
      <c r="B1092" t="s">
        <v>878</v>
      </c>
      <c r="C1092" t="s">
        <v>5166</v>
      </c>
    </row>
    <row r="1093" spans="1:3" x14ac:dyDescent="0.25">
      <c r="A1093">
        <v>1092</v>
      </c>
      <c r="B1093" t="s">
        <v>1030</v>
      </c>
      <c r="C1093" t="s">
        <v>5167</v>
      </c>
    </row>
    <row r="1094" spans="1:3" x14ac:dyDescent="0.25">
      <c r="A1094">
        <v>1093</v>
      </c>
      <c r="B1094" t="s">
        <v>1851</v>
      </c>
      <c r="C1094" t="s">
        <v>5168</v>
      </c>
    </row>
    <row r="1095" spans="1:3" x14ac:dyDescent="0.25">
      <c r="A1095">
        <v>1094</v>
      </c>
      <c r="B1095" t="s">
        <v>1652</v>
      </c>
      <c r="C1095" t="s">
        <v>5169</v>
      </c>
    </row>
    <row r="1096" spans="1:3" x14ac:dyDescent="0.25">
      <c r="A1096">
        <v>1095</v>
      </c>
      <c r="B1096" t="s">
        <v>1866</v>
      </c>
      <c r="C1096" t="s">
        <v>5170</v>
      </c>
    </row>
    <row r="1097" spans="1:3" x14ac:dyDescent="0.25">
      <c r="A1097">
        <v>1096</v>
      </c>
      <c r="B1097" t="s">
        <v>1183</v>
      </c>
      <c r="C1097" t="s">
        <v>5171</v>
      </c>
    </row>
    <row r="1098" spans="1:3" x14ac:dyDescent="0.25">
      <c r="A1098">
        <v>1097</v>
      </c>
      <c r="B1098" t="s">
        <v>1184</v>
      </c>
      <c r="C1098" t="s">
        <v>5172</v>
      </c>
    </row>
    <row r="1099" spans="1:3" x14ac:dyDescent="0.25">
      <c r="A1099">
        <v>1098</v>
      </c>
      <c r="B1099" t="s">
        <v>1197</v>
      </c>
      <c r="C1099" t="s">
        <v>5173</v>
      </c>
    </row>
    <row r="1100" spans="1:3" x14ac:dyDescent="0.25">
      <c r="A1100">
        <v>1099</v>
      </c>
      <c r="B1100" t="s">
        <v>1207</v>
      </c>
      <c r="C1100" t="s">
        <v>5174</v>
      </c>
    </row>
    <row r="1101" spans="1:3" x14ac:dyDescent="0.25">
      <c r="A1101">
        <v>1100</v>
      </c>
      <c r="B1101" t="s">
        <v>430</v>
      </c>
      <c r="C1101" t="s">
        <v>5175</v>
      </c>
    </row>
    <row r="1102" spans="1:3" x14ac:dyDescent="0.25">
      <c r="A1102">
        <v>1101</v>
      </c>
      <c r="B1102" t="s">
        <v>449</v>
      </c>
      <c r="C1102" t="s">
        <v>5176</v>
      </c>
    </row>
    <row r="1103" spans="1:3" x14ac:dyDescent="0.25">
      <c r="A1103">
        <v>1102</v>
      </c>
      <c r="B1103" t="s">
        <v>769</v>
      </c>
      <c r="C1103" t="s">
        <v>5177</v>
      </c>
    </row>
    <row r="1104" spans="1:3" x14ac:dyDescent="0.25">
      <c r="A1104">
        <v>1103</v>
      </c>
      <c r="B1104" t="s">
        <v>790</v>
      </c>
      <c r="C1104" t="s">
        <v>5178</v>
      </c>
    </row>
    <row r="1105" spans="1:3" x14ac:dyDescent="0.25">
      <c r="A1105">
        <v>1104</v>
      </c>
      <c r="B1105" t="s">
        <v>322</v>
      </c>
      <c r="C1105" t="s">
        <v>5179</v>
      </c>
    </row>
    <row r="1106" spans="1:3" x14ac:dyDescent="0.25">
      <c r="A1106">
        <v>1105</v>
      </c>
      <c r="B1106" t="s">
        <v>438</v>
      </c>
      <c r="C1106" t="s">
        <v>5180</v>
      </c>
    </row>
    <row r="1107" spans="1:3" x14ac:dyDescent="0.25">
      <c r="A1107">
        <v>1106</v>
      </c>
      <c r="B1107" t="s">
        <v>5181</v>
      </c>
      <c r="C1107" t="s">
        <v>5182</v>
      </c>
    </row>
    <row r="1108" spans="1:3" x14ac:dyDescent="0.25">
      <c r="A1108">
        <v>1107</v>
      </c>
      <c r="B1108" t="s">
        <v>913</v>
      </c>
      <c r="C1108" t="s">
        <v>5183</v>
      </c>
    </row>
    <row r="1109" spans="1:3" x14ac:dyDescent="0.25">
      <c r="A1109">
        <v>1108</v>
      </c>
      <c r="B1109" t="s">
        <v>928</v>
      </c>
      <c r="C1109" t="s">
        <v>5184</v>
      </c>
    </row>
    <row r="1110" spans="1:3" x14ac:dyDescent="0.25">
      <c r="A1110">
        <v>1109</v>
      </c>
      <c r="B1110" t="s">
        <v>969</v>
      </c>
      <c r="C1110" t="s">
        <v>5185</v>
      </c>
    </row>
    <row r="1111" spans="1:3" x14ac:dyDescent="0.25">
      <c r="A1111">
        <v>1110</v>
      </c>
      <c r="B1111" t="s">
        <v>1055</v>
      </c>
      <c r="C1111" t="s">
        <v>5186</v>
      </c>
    </row>
    <row r="1112" spans="1:3" x14ac:dyDescent="0.25">
      <c r="A1112">
        <v>1111</v>
      </c>
      <c r="B1112" t="s">
        <v>1065</v>
      </c>
      <c r="C1112" t="s">
        <v>5187</v>
      </c>
    </row>
    <row r="1113" spans="1:3" x14ac:dyDescent="0.25">
      <c r="A1113">
        <v>1112</v>
      </c>
      <c r="B1113" t="s">
        <v>1090</v>
      </c>
      <c r="C1113" t="s">
        <v>5188</v>
      </c>
    </row>
    <row r="1114" spans="1:3" x14ac:dyDescent="0.25">
      <c r="A1114">
        <v>1113</v>
      </c>
      <c r="B1114" t="s">
        <v>1223</v>
      </c>
      <c r="C1114" t="s">
        <v>5189</v>
      </c>
    </row>
    <row r="1115" spans="1:3" x14ac:dyDescent="0.25">
      <c r="A1115">
        <v>1114</v>
      </c>
      <c r="B1115" t="s">
        <v>1236</v>
      </c>
      <c r="C1115" t="s">
        <v>5190</v>
      </c>
    </row>
    <row r="1116" spans="1:3" x14ac:dyDescent="0.25">
      <c r="A1116">
        <v>1115</v>
      </c>
      <c r="B1116" t="s">
        <v>5191</v>
      </c>
      <c r="C1116" t="s">
        <v>5192</v>
      </c>
    </row>
    <row r="1117" spans="1:3" x14ac:dyDescent="0.25">
      <c r="A1117">
        <v>1116</v>
      </c>
      <c r="B1117" t="s">
        <v>5193</v>
      </c>
      <c r="C1117" t="s">
        <v>5194</v>
      </c>
    </row>
    <row r="1118" spans="1:3" x14ac:dyDescent="0.25">
      <c r="A1118">
        <v>1117</v>
      </c>
      <c r="B1118" t="s">
        <v>1279</v>
      </c>
      <c r="C1118" t="s">
        <v>5195</v>
      </c>
    </row>
    <row r="1119" spans="1:3" x14ac:dyDescent="0.25">
      <c r="A1119">
        <v>1118</v>
      </c>
      <c r="B1119" t="s">
        <v>1290</v>
      </c>
      <c r="C1119" t="s">
        <v>5196</v>
      </c>
    </row>
    <row r="1120" spans="1:3" x14ac:dyDescent="0.25">
      <c r="A1120">
        <v>1119</v>
      </c>
      <c r="B1120" t="s">
        <v>5197</v>
      </c>
      <c r="C1120" t="s">
        <v>5198</v>
      </c>
    </row>
    <row r="1121" spans="1:3" x14ac:dyDescent="0.25">
      <c r="A1121">
        <v>1120</v>
      </c>
      <c r="B1121" t="s">
        <v>223</v>
      </c>
      <c r="C1121" t="s">
        <v>5199</v>
      </c>
    </row>
    <row r="1122" spans="1:3" x14ac:dyDescent="0.25">
      <c r="A1122">
        <v>1121</v>
      </c>
      <c r="B1122" t="s">
        <v>226</v>
      </c>
      <c r="C1122" t="s">
        <v>5200</v>
      </c>
    </row>
    <row r="1123" spans="1:3" x14ac:dyDescent="0.25">
      <c r="A1123">
        <v>1122</v>
      </c>
      <c r="B1123" t="s">
        <v>5201</v>
      </c>
      <c r="C1123" t="s">
        <v>5202</v>
      </c>
    </row>
    <row r="1124" spans="1:3" x14ac:dyDescent="0.25">
      <c r="A1124">
        <v>1123</v>
      </c>
      <c r="B1124" t="s">
        <v>1683</v>
      </c>
      <c r="C1124" t="s">
        <v>5203</v>
      </c>
    </row>
    <row r="1125" spans="1:3" x14ac:dyDescent="0.25">
      <c r="A1125">
        <v>1124</v>
      </c>
      <c r="B1125" t="s">
        <v>1808</v>
      </c>
      <c r="C1125" t="s">
        <v>5204</v>
      </c>
    </row>
    <row r="1126" spans="1:3" x14ac:dyDescent="0.25">
      <c r="A1126">
        <v>1125</v>
      </c>
      <c r="B1126" t="s">
        <v>1816</v>
      </c>
      <c r="C1126" t="s">
        <v>5205</v>
      </c>
    </row>
    <row r="1127" spans="1:3" x14ac:dyDescent="0.25">
      <c r="A1127">
        <v>1126</v>
      </c>
      <c r="B1127" t="s">
        <v>318</v>
      </c>
      <c r="C1127" t="s">
        <v>5206</v>
      </c>
    </row>
    <row r="1128" spans="1:3" x14ac:dyDescent="0.25">
      <c r="A1128">
        <v>1127</v>
      </c>
      <c r="B1128" t="s">
        <v>1432</v>
      </c>
      <c r="C1128" t="s">
        <v>5207</v>
      </c>
    </row>
    <row r="1129" spans="1:3" x14ac:dyDescent="0.25">
      <c r="A1129">
        <v>1128</v>
      </c>
      <c r="B1129" t="s">
        <v>5208</v>
      </c>
      <c r="C1129" t="s">
        <v>5209</v>
      </c>
    </row>
    <row r="1130" spans="1:3" x14ac:dyDescent="0.25">
      <c r="A1130">
        <v>1129</v>
      </c>
      <c r="B1130" t="s">
        <v>5210</v>
      </c>
      <c r="C1130" t="s">
        <v>5211</v>
      </c>
    </row>
    <row r="1131" spans="1:3" x14ac:dyDescent="0.25">
      <c r="A1131">
        <v>1130</v>
      </c>
      <c r="B1131" t="s">
        <v>462</v>
      </c>
      <c r="C1131" t="s">
        <v>5212</v>
      </c>
    </row>
    <row r="1132" spans="1:3" x14ac:dyDescent="0.25">
      <c r="A1132">
        <v>1131</v>
      </c>
      <c r="B1132" t="s">
        <v>712</v>
      </c>
      <c r="C1132" t="s">
        <v>5213</v>
      </c>
    </row>
    <row r="1133" spans="1:3" x14ac:dyDescent="0.25">
      <c r="A1133">
        <v>1132</v>
      </c>
      <c r="B1133" t="s">
        <v>956</v>
      </c>
      <c r="C1133" t="s">
        <v>5214</v>
      </c>
    </row>
    <row r="1134" spans="1:3" x14ac:dyDescent="0.25">
      <c r="A1134">
        <v>1133</v>
      </c>
      <c r="B1134" t="s">
        <v>1324</v>
      </c>
      <c r="C1134" t="s">
        <v>5215</v>
      </c>
    </row>
    <row r="1135" spans="1:3" x14ac:dyDescent="0.25">
      <c r="A1135">
        <v>1134</v>
      </c>
      <c r="B1135" t="s">
        <v>1373</v>
      </c>
      <c r="C1135" t="s">
        <v>5216</v>
      </c>
    </row>
    <row r="1136" spans="1:3" x14ac:dyDescent="0.25">
      <c r="A1136">
        <v>1135</v>
      </c>
      <c r="B1136" t="s">
        <v>1407</v>
      </c>
      <c r="C1136" t="s">
        <v>5217</v>
      </c>
    </row>
    <row r="1137" spans="1:3" x14ac:dyDescent="0.25">
      <c r="A1137">
        <v>1136</v>
      </c>
      <c r="B1137" t="s">
        <v>1335</v>
      </c>
      <c r="C1137" t="s">
        <v>5218</v>
      </c>
    </row>
    <row r="1138" spans="1:3" x14ac:dyDescent="0.25">
      <c r="A1138">
        <v>1137</v>
      </c>
      <c r="B1138" t="s">
        <v>1494</v>
      </c>
      <c r="C1138" t="s">
        <v>5219</v>
      </c>
    </row>
    <row r="1139" spans="1:3" x14ac:dyDescent="0.25">
      <c r="A1139">
        <v>1138</v>
      </c>
      <c r="B1139" t="s">
        <v>1504</v>
      </c>
      <c r="C1139" t="s">
        <v>5220</v>
      </c>
    </row>
    <row r="1140" spans="1:3" x14ac:dyDescent="0.25">
      <c r="A1140">
        <v>1139</v>
      </c>
      <c r="B1140" t="s">
        <v>1782</v>
      </c>
      <c r="C1140" t="s">
        <v>5221</v>
      </c>
    </row>
    <row r="1141" spans="1:3" x14ac:dyDescent="0.25">
      <c r="A1141">
        <v>1140</v>
      </c>
      <c r="B1141" t="s">
        <v>5222</v>
      </c>
      <c r="C1141" t="s">
        <v>5223</v>
      </c>
    </row>
    <row r="1142" spans="1:3" x14ac:dyDescent="0.25">
      <c r="A1142">
        <v>1141</v>
      </c>
      <c r="B1142" t="s">
        <v>1918</v>
      </c>
      <c r="C1142" t="s">
        <v>5224</v>
      </c>
    </row>
    <row r="1143" spans="1:3" x14ac:dyDescent="0.25">
      <c r="A1143">
        <v>1142</v>
      </c>
      <c r="B1143" t="s">
        <v>1736</v>
      </c>
      <c r="C1143" t="s">
        <v>5225</v>
      </c>
    </row>
    <row r="1144" spans="1:3" x14ac:dyDescent="0.25">
      <c r="A1144">
        <v>1143</v>
      </c>
      <c r="B1144" t="s">
        <v>1755</v>
      </c>
      <c r="C1144" t="s">
        <v>5226</v>
      </c>
    </row>
    <row r="1145" spans="1:3" x14ac:dyDescent="0.25">
      <c r="A1145">
        <v>1144</v>
      </c>
      <c r="B1145" t="s">
        <v>1763</v>
      </c>
      <c r="C1145" t="s">
        <v>5227</v>
      </c>
    </row>
    <row r="1146" spans="1:3" x14ac:dyDescent="0.25">
      <c r="A1146">
        <v>1145</v>
      </c>
      <c r="B1146" t="s">
        <v>1773</v>
      </c>
      <c r="C1146" t="s">
        <v>5228</v>
      </c>
    </row>
    <row r="1147" spans="1:3" x14ac:dyDescent="0.25">
      <c r="A1147">
        <v>1146</v>
      </c>
      <c r="B1147" t="s">
        <v>5229</v>
      </c>
      <c r="C1147" t="s">
        <v>5230</v>
      </c>
    </row>
    <row r="1148" spans="1:3" x14ac:dyDescent="0.25">
      <c r="A1148">
        <v>1147</v>
      </c>
      <c r="B1148" t="s">
        <v>1844</v>
      </c>
      <c r="C1148" t="s">
        <v>5231</v>
      </c>
    </row>
    <row r="1149" spans="1:3" x14ac:dyDescent="0.25">
      <c r="A1149">
        <v>1148</v>
      </c>
      <c r="B1149" t="s">
        <v>5232</v>
      </c>
      <c r="C1149" t="s">
        <v>5233</v>
      </c>
    </row>
    <row r="1150" spans="1:3" x14ac:dyDescent="0.25">
      <c r="A1150">
        <v>1149</v>
      </c>
      <c r="B1150" t="s">
        <v>343</v>
      </c>
      <c r="C1150" t="s">
        <v>5234</v>
      </c>
    </row>
    <row r="1151" spans="1:3" x14ac:dyDescent="0.25">
      <c r="A1151">
        <v>1150</v>
      </c>
      <c r="B1151" t="s">
        <v>972</v>
      </c>
      <c r="C1151" t="s">
        <v>5235</v>
      </c>
    </row>
    <row r="1152" spans="1:3" x14ac:dyDescent="0.25">
      <c r="A1152">
        <v>1151</v>
      </c>
      <c r="B1152" t="s">
        <v>1068</v>
      </c>
      <c r="C1152" t="s">
        <v>5236</v>
      </c>
    </row>
    <row r="1153" spans="1:3" x14ac:dyDescent="0.25">
      <c r="A1153">
        <v>1152</v>
      </c>
      <c r="B1153" t="s">
        <v>282</v>
      </c>
      <c r="C1153" t="s">
        <v>5237</v>
      </c>
    </row>
    <row r="1154" spans="1:3" x14ac:dyDescent="0.25">
      <c r="A1154">
        <v>1153</v>
      </c>
      <c r="B1154" t="s">
        <v>1551</v>
      </c>
      <c r="C1154" t="s">
        <v>5238</v>
      </c>
    </row>
    <row r="1155" spans="1:3" x14ac:dyDescent="0.25">
      <c r="A1155">
        <v>1154</v>
      </c>
      <c r="B1155" t="s">
        <v>1664</v>
      </c>
      <c r="C1155" t="s">
        <v>5239</v>
      </c>
    </row>
    <row r="1156" spans="1:3" x14ac:dyDescent="0.25">
      <c r="A1156">
        <v>1155</v>
      </c>
      <c r="B1156" t="s">
        <v>1674</v>
      </c>
      <c r="C1156" t="s">
        <v>5240</v>
      </c>
    </row>
    <row r="1157" spans="1:3" x14ac:dyDescent="0.25">
      <c r="A1157">
        <v>1156</v>
      </c>
      <c r="B1157" t="s">
        <v>1709</v>
      </c>
      <c r="C1157" t="s">
        <v>5241</v>
      </c>
    </row>
    <row r="1158" spans="1:3" x14ac:dyDescent="0.25">
      <c r="A1158">
        <v>1157</v>
      </c>
      <c r="B1158" t="s">
        <v>288</v>
      </c>
      <c r="C1158" t="s">
        <v>5242</v>
      </c>
    </row>
    <row r="1159" spans="1:3" x14ac:dyDescent="0.25">
      <c r="A1159">
        <v>1158</v>
      </c>
      <c r="B1159" t="s">
        <v>5243</v>
      </c>
      <c r="C1159" t="s">
        <v>5244</v>
      </c>
    </row>
    <row r="1160" spans="1:3" x14ac:dyDescent="0.25">
      <c r="A1160">
        <v>1159</v>
      </c>
      <c r="B1160" t="s">
        <v>5245</v>
      </c>
      <c r="C1160" t="s">
        <v>5246</v>
      </c>
    </row>
    <row r="1161" spans="1:3" x14ac:dyDescent="0.25">
      <c r="A1161">
        <v>1160</v>
      </c>
      <c r="B1161" t="s">
        <v>306</v>
      </c>
      <c r="C1161" t="s">
        <v>5247</v>
      </c>
    </row>
    <row r="1162" spans="1:3" x14ac:dyDescent="0.25">
      <c r="A1162">
        <v>1161</v>
      </c>
      <c r="B1162" t="s">
        <v>558</v>
      </c>
      <c r="C1162" t="s">
        <v>5248</v>
      </c>
    </row>
    <row r="1163" spans="1:3" x14ac:dyDescent="0.25">
      <c r="A1163">
        <v>1162</v>
      </c>
      <c r="B1163" t="s">
        <v>762</v>
      </c>
      <c r="C1163" t="s">
        <v>5249</v>
      </c>
    </row>
    <row r="1164" spans="1:3" x14ac:dyDescent="0.25">
      <c r="A1164">
        <v>1163</v>
      </c>
      <c r="B1164" t="s">
        <v>5250</v>
      </c>
      <c r="C1164" t="s">
        <v>5251</v>
      </c>
    </row>
    <row r="1165" spans="1:3" x14ac:dyDescent="0.25">
      <c r="A1165">
        <v>1164</v>
      </c>
      <c r="B1165" t="s">
        <v>325</v>
      </c>
      <c r="C1165" t="s">
        <v>5252</v>
      </c>
    </row>
    <row r="1166" spans="1:3" x14ac:dyDescent="0.25">
      <c r="A1166">
        <v>1165</v>
      </c>
      <c r="B1166" t="s">
        <v>330</v>
      </c>
      <c r="C1166" t="s">
        <v>5253</v>
      </c>
    </row>
    <row r="1167" spans="1:3" x14ac:dyDescent="0.25">
      <c r="A1167">
        <v>1166</v>
      </c>
      <c r="B1167" t="s">
        <v>420</v>
      </c>
      <c r="C1167" t="s">
        <v>5254</v>
      </c>
    </row>
    <row r="1168" spans="1:3" x14ac:dyDescent="0.25">
      <c r="A1168">
        <v>1167</v>
      </c>
      <c r="B1168" t="s">
        <v>557</v>
      </c>
      <c r="C1168" t="s">
        <v>5255</v>
      </c>
    </row>
    <row r="1169" spans="1:3" x14ac:dyDescent="0.25">
      <c r="A1169">
        <v>1168</v>
      </c>
      <c r="B1169" t="s">
        <v>590</v>
      </c>
      <c r="C1169" t="s">
        <v>5256</v>
      </c>
    </row>
    <row r="1170" spans="1:3" x14ac:dyDescent="0.25">
      <c r="A1170">
        <v>1169</v>
      </c>
      <c r="B1170" t="s">
        <v>773</v>
      </c>
      <c r="C1170" t="s">
        <v>5257</v>
      </c>
    </row>
    <row r="1171" spans="1:3" x14ac:dyDescent="0.25">
      <c r="A1171">
        <v>1170</v>
      </c>
      <c r="B1171" t="s">
        <v>917</v>
      </c>
      <c r="C1171" t="s">
        <v>5258</v>
      </c>
    </row>
    <row r="1172" spans="1:3" x14ac:dyDescent="0.25">
      <c r="A1172">
        <v>1171</v>
      </c>
      <c r="B1172" t="s">
        <v>932</v>
      </c>
      <c r="C1172" t="s">
        <v>5259</v>
      </c>
    </row>
    <row r="1173" spans="1:3" x14ac:dyDescent="0.25">
      <c r="A1173">
        <v>1172</v>
      </c>
      <c r="B1173" t="s">
        <v>1094</v>
      </c>
      <c r="C1173" t="s">
        <v>5260</v>
      </c>
    </row>
    <row r="1174" spans="1:3" x14ac:dyDescent="0.25">
      <c r="A1174">
        <v>1173</v>
      </c>
      <c r="B1174" t="s">
        <v>1227</v>
      </c>
      <c r="C1174" t="s">
        <v>5261</v>
      </c>
    </row>
    <row r="1175" spans="1:3" x14ac:dyDescent="0.25">
      <c r="A1175">
        <v>1174</v>
      </c>
      <c r="B1175" t="s">
        <v>1239</v>
      </c>
      <c r="C1175" t="s">
        <v>5262</v>
      </c>
    </row>
    <row r="1176" spans="1:3" x14ac:dyDescent="0.25">
      <c r="A1176">
        <v>1175</v>
      </c>
      <c r="B1176" t="s">
        <v>1276</v>
      </c>
      <c r="C1176" t="s">
        <v>5263</v>
      </c>
    </row>
    <row r="1177" spans="1:3" x14ac:dyDescent="0.25">
      <c r="A1177">
        <v>1176</v>
      </c>
      <c r="B1177" t="s">
        <v>1283</v>
      </c>
      <c r="C1177" t="s">
        <v>5264</v>
      </c>
    </row>
    <row r="1178" spans="1:3" x14ac:dyDescent="0.25">
      <c r="A1178">
        <v>1177</v>
      </c>
      <c r="B1178" t="s">
        <v>1418</v>
      </c>
      <c r="C1178" t="s">
        <v>5265</v>
      </c>
    </row>
    <row r="1179" spans="1:3" x14ac:dyDescent="0.25">
      <c r="A1179">
        <v>1178</v>
      </c>
      <c r="B1179" t="s">
        <v>661</v>
      </c>
      <c r="C1179" t="s">
        <v>5266</v>
      </c>
    </row>
    <row r="1180" spans="1:3" x14ac:dyDescent="0.25">
      <c r="A1180">
        <v>1179</v>
      </c>
      <c r="B1180" t="s">
        <v>957</v>
      </c>
      <c r="C1180" t="s">
        <v>5267</v>
      </c>
    </row>
    <row r="1181" spans="1:3" x14ac:dyDescent="0.25">
      <c r="A1181">
        <v>1180</v>
      </c>
      <c r="B1181" t="s">
        <v>5268</v>
      </c>
      <c r="C1181" t="s">
        <v>5269</v>
      </c>
    </row>
    <row r="1182" spans="1:3" x14ac:dyDescent="0.25">
      <c r="A1182">
        <v>1181</v>
      </c>
      <c r="B1182" t="s">
        <v>611</v>
      </c>
      <c r="C1182" t="s">
        <v>5270</v>
      </c>
    </row>
    <row r="1183" spans="1:3" x14ac:dyDescent="0.25">
      <c r="A1183">
        <v>1182</v>
      </c>
      <c r="B1183" t="s">
        <v>730</v>
      </c>
      <c r="C1183" t="s">
        <v>5271</v>
      </c>
    </row>
    <row r="1184" spans="1:3" x14ac:dyDescent="0.25">
      <c r="A1184">
        <v>1183</v>
      </c>
      <c r="B1184" t="s">
        <v>1095</v>
      </c>
      <c r="C1184" t="s">
        <v>5272</v>
      </c>
    </row>
    <row r="1185" spans="1:3" x14ac:dyDescent="0.25">
      <c r="A1185">
        <v>1184</v>
      </c>
      <c r="B1185" t="s">
        <v>1228</v>
      </c>
      <c r="C1185" t="s">
        <v>5273</v>
      </c>
    </row>
    <row r="1186" spans="1:3" x14ac:dyDescent="0.25">
      <c r="A1186">
        <v>1185</v>
      </c>
      <c r="B1186" t="s">
        <v>1240</v>
      </c>
      <c r="C1186" t="s">
        <v>5274</v>
      </c>
    </row>
    <row r="1187" spans="1:3" x14ac:dyDescent="0.25">
      <c r="A1187">
        <v>1186</v>
      </c>
      <c r="B1187" t="s">
        <v>1246</v>
      </c>
      <c r="C1187" t="s">
        <v>5275</v>
      </c>
    </row>
    <row r="1188" spans="1:3" x14ac:dyDescent="0.25">
      <c r="A1188">
        <v>1187</v>
      </c>
      <c r="B1188" t="s">
        <v>1284</v>
      </c>
      <c r="C1188" t="s">
        <v>5276</v>
      </c>
    </row>
    <row r="1189" spans="1:3" x14ac:dyDescent="0.25">
      <c r="A1189">
        <v>1188</v>
      </c>
      <c r="B1189" t="s">
        <v>1553</v>
      </c>
      <c r="C1189" t="s">
        <v>5277</v>
      </c>
    </row>
    <row r="1190" spans="1:3" x14ac:dyDescent="0.25">
      <c r="A1190">
        <v>1189</v>
      </c>
      <c r="B1190" t="s">
        <v>1308</v>
      </c>
      <c r="C1190" t="s">
        <v>5278</v>
      </c>
    </row>
    <row r="1191" spans="1:3" x14ac:dyDescent="0.25">
      <c r="A1191">
        <v>1190</v>
      </c>
      <c r="B1191" t="s">
        <v>1427</v>
      </c>
      <c r="C1191" t="s">
        <v>5279</v>
      </c>
    </row>
    <row r="1192" spans="1:3" x14ac:dyDescent="0.25">
      <c r="A1192">
        <v>1191</v>
      </c>
      <c r="B1192" t="s">
        <v>1437</v>
      </c>
      <c r="C1192" t="s">
        <v>5280</v>
      </c>
    </row>
    <row r="1193" spans="1:3" x14ac:dyDescent="0.25">
      <c r="A1193">
        <v>1192</v>
      </c>
      <c r="B1193" t="s">
        <v>1690</v>
      </c>
      <c r="C1193" t="s">
        <v>5281</v>
      </c>
    </row>
    <row r="1194" spans="1:3" x14ac:dyDescent="0.25">
      <c r="A1194">
        <v>1193</v>
      </c>
      <c r="B1194" t="s">
        <v>484</v>
      </c>
      <c r="C1194" t="s">
        <v>5282</v>
      </c>
    </row>
    <row r="1195" spans="1:3" x14ac:dyDescent="0.25">
      <c r="A1195">
        <v>1194</v>
      </c>
      <c r="B1195" t="s">
        <v>1659</v>
      </c>
      <c r="C1195" t="s">
        <v>5283</v>
      </c>
    </row>
    <row r="1196" spans="1:3" x14ac:dyDescent="0.25">
      <c r="A1196">
        <v>1195</v>
      </c>
      <c r="B1196" t="s">
        <v>1666</v>
      </c>
      <c r="C1196" t="s">
        <v>5284</v>
      </c>
    </row>
    <row r="1197" spans="1:3" x14ac:dyDescent="0.25">
      <c r="A1197">
        <v>1196</v>
      </c>
      <c r="B1197" t="s">
        <v>1676</v>
      </c>
      <c r="C1197" t="s">
        <v>5285</v>
      </c>
    </row>
    <row r="1198" spans="1:3" x14ac:dyDescent="0.25">
      <c r="A1198">
        <v>1197</v>
      </c>
      <c r="B1198" t="s">
        <v>1955</v>
      </c>
      <c r="C1198" t="s">
        <v>5286</v>
      </c>
    </row>
    <row r="1199" spans="1:3" x14ac:dyDescent="0.25">
      <c r="A1199">
        <v>1198</v>
      </c>
      <c r="B1199" t="s">
        <v>1667</v>
      </c>
      <c r="C1199" t="s">
        <v>5287</v>
      </c>
    </row>
    <row r="1200" spans="1:3" x14ac:dyDescent="0.25">
      <c r="A1200">
        <v>1199</v>
      </c>
      <c r="B1200" t="s">
        <v>1677</v>
      </c>
      <c r="C1200" t="s">
        <v>5288</v>
      </c>
    </row>
    <row r="1201" spans="1:3" x14ac:dyDescent="0.25">
      <c r="A1201">
        <v>1200</v>
      </c>
      <c r="B1201" t="s">
        <v>1809</v>
      </c>
      <c r="C1201" t="s">
        <v>5289</v>
      </c>
    </row>
    <row r="1202" spans="1:3" x14ac:dyDescent="0.25">
      <c r="A1202">
        <v>1201</v>
      </c>
      <c r="B1202" t="s">
        <v>1817</v>
      </c>
      <c r="C1202" t="s">
        <v>5290</v>
      </c>
    </row>
    <row r="1203" spans="1:3" x14ac:dyDescent="0.25">
      <c r="A1203">
        <v>1202</v>
      </c>
      <c r="B1203" t="s">
        <v>1878</v>
      </c>
      <c r="C1203" t="s">
        <v>5291</v>
      </c>
    </row>
    <row r="1204" spans="1:3" x14ac:dyDescent="0.25">
      <c r="A1204">
        <v>1203</v>
      </c>
      <c r="B1204" t="s">
        <v>1893</v>
      </c>
      <c r="C1204" t="s">
        <v>5292</v>
      </c>
    </row>
    <row r="1205" spans="1:3" x14ac:dyDescent="0.25">
      <c r="A1205">
        <v>1204</v>
      </c>
      <c r="B1205" t="s">
        <v>842</v>
      </c>
      <c r="C1205" t="s">
        <v>5293</v>
      </c>
    </row>
    <row r="1206" spans="1:3" x14ac:dyDescent="0.25">
      <c r="A1206">
        <v>1205</v>
      </c>
      <c r="B1206" t="s">
        <v>1933</v>
      </c>
      <c r="C1206" t="s">
        <v>5294</v>
      </c>
    </row>
    <row r="1207" spans="1:3" x14ac:dyDescent="0.25">
      <c r="A1207">
        <v>1206</v>
      </c>
      <c r="B1207" t="s">
        <v>1890</v>
      </c>
      <c r="C1207" t="s">
        <v>5295</v>
      </c>
    </row>
    <row r="1208" spans="1:3" x14ac:dyDescent="0.25">
      <c r="A1208">
        <v>1207</v>
      </c>
      <c r="B1208" t="s">
        <v>1103</v>
      </c>
      <c r="C1208" t="s">
        <v>5296</v>
      </c>
    </row>
    <row r="1209" spans="1:3" x14ac:dyDescent="0.25">
      <c r="A1209">
        <v>1208</v>
      </c>
      <c r="B1209" t="s">
        <v>593</v>
      </c>
      <c r="C1209" t="s">
        <v>5297</v>
      </c>
    </row>
    <row r="1210" spans="1:3" x14ac:dyDescent="0.25">
      <c r="A1210">
        <v>1209</v>
      </c>
      <c r="B1210" t="s">
        <v>612</v>
      </c>
      <c r="C1210" t="s">
        <v>5298</v>
      </c>
    </row>
    <row r="1211" spans="1:3" x14ac:dyDescent="0.25">
      <c r="A1211">
        <v>1210</v>
      </c>
      <c r="B1211" t="s">
        <v>1554</v>
      </c>
      <c r="C1211" t="s">
        <v>5299</v>
      </c>
    </row>
    <row r="1212" spans="1:3" x14ac:dyDescent="0.25">
      <c r="A1212">
        <v>1211</v>
      </c>
      <c r="B1212" t="s">
        <v>1660</v>
      </c>
      <c r="C1212" t="s">
        <v>5300</v>
      </c>
    </row>
    <row r="1213" spans="1:3" x14ac:dyDescent="0.25">
      <c r="A1213">
        <v>1212</v>
      </c>
      <c r="B1213" t="s">
        <v>880</v>
      </c>
      <c r="C1213" t="s">
        <v>5301</v>
      </c>
    </row>
    <row r="1214" spans="1:3" x14ac:dyDescent="0.25">
      <c r="A1214">
        <v>1213</v>
      </c>
      <c r="B1214" t="s">
        <v>1949</v>
      </c>
      <c r="C1214" t="s">
        <v>5302</v>
      </c>
    </row>
    <row r="1215" spans="1:3" x14ac:dyDescent="0.25">
      <c r="A1215">
        <v>1214</v>
      </c>
      <c r="B1215" t="s">
        <v>763</v>
      </c>
      <c r="C1215" t="s">
        <v>5303</v>
      </c>
    </row>
    <row r="1216" spans="1:3" x14ac:dyDescent="0.25">
      <c r="A1216">
        <v>1215</v>
      </c>
      <c r="B1216" t="s">
        <v>1729</v>
      </c>
      <c r="C1216" t="s">
        <v>5304</v>
      </c>
    </row>
    <row r="1217" spans="1:3" x14ac:dyDescent="0.25">
      <c r="A1217">
        <v>1216</v>
      </c>
      <c r="B1217" t="s">
        <v>1901</v>
      </c>
      <c r="C1217" t="s">
        <v>5305</v>
      </c>
    </row>
    <row r="1218" spans="1:3" x14ac:dyDescent="0.25">
      <c r="A1218">
        <v>1217</v>
      </c>
      <c r="B1218" t="s">
        <v>1954</v>
      </c>
      <c r="C1218" t="s">
        <v>5306</v>
      </c>
    </row>
    <row r="1219" spans="1:3" x14ac:dyDescent="0.25">
      <c r="A1219">
        <v>1218</v>
      </c>
      <c r="B1219" t="s">
        <v>640</v>
      </c>
      <c r="C1219" t="s">
        <v>5307</v>
      </c>
    </row>
    <row r="1220" spans="1:3" x14ac:dyDescent="0.25">
      <c r="A1220">
        <v>1219</v>
      </c>
      <c r="B1220" t="s">
        <v>987</v>
      </c>
      <c r="C1220" t="s">
        <v>5308</v>
      </c>
    </row>
    <row r="1221" spans="1:3" x14ac:dyDescent="0.25">
      <c r="A1221">
        <v>1220</v>
      </c>
      <c r="B1221" t="s">
        <v>774</v>
      </c>
      <c r="C1221" t="s">
        <v>5309</v>
      </c>
    </row>
    <row r="1222" spans="1:3" x14ac:dyDescent="0.25">
      <c r="A1222">
        <v>1221</v>
      </c>
      <c r="B1222" t="s">
        <v>782</v>
      </c>
      <c r="C1222" t="s">
        <v>5310</v>
      </c>
    </row>
    <row r="1223" spans="1:3" x14ac:dyDescent="0.25">
      <c r="A1223">
        <v>1222</v>
      </c>
      <c r="B1223" t="s">
        <v>785</v>
      </c>
      <c r="C1223" t="s">
        <v>5311</v>
      </c>
    </row>
    <row r="1224" spans="1:3" x14ac:dyDescent="0.25">
      <c r="A1224">
        <v>1223</v>
      </c>
      <c r="B1224" t="s">
        <v>795</v>
      </c>
      <c r="C1224" t="s">
        <v>5312</v>
      </c>
    </row>
    <row r="1225" spans="1:3" x14ac:dyDescent="0.25">
      <c r="A1225">
        <v>1224</v>
      </c>
      <c r="B1225" t="s">
        <v>898</v>
      </c>
      <c r="C1225" t="s">
        <v>5313</v>
      </c>
    </row>
    <row r="1226" spans="1:3" x14ac:dyDescent="0.25">
      <c r="A1226">
        <v>1225</v>
      </c>
      <c r="B1226" t="s">
        <v>918</v>
      </c>
      <c r="C1226" t="s">
        <v>5314</v>
      </c>
    </row>
    <row r="1227" spans="1:3" x14ac:dyDescent="0.25">
      <c r="A1227">
        <v>1226</v>
      </c>
      <c r="B1227" t="s">
        <v>933</v>
      </c>
      <c r="C1227" t="s">
        <v>5315</v>
      </c>
    </row>
    <row r="1228" spans="1:3" x14ac:dyDescent="0.25">
      <c r="A1228">
        <v>1227</v>
      </c>
      <c r="B1228" t="s">
        <v>1012</v>
      </c>
      <c r="C1228" t="s">
        <v>5316</v>
      </c>
    </row>
    <row r="1229" spans="1:3" x14ac:dyDescent="0.25">
      <c r="A1229">
        <v>1228</v>
      </c>
      <c r="B1229" t="s">
        <v>1148</v>
      </c>
      <c r="C1229" t="s">
        <v>5317</v>
      </c>
    </row>
    <row r="1230" spans="1:3" x14ac:dyDescent="0.25">
      <c r="A1230">
        <v>1229</v>
      </c>
      <c r="B1230" t="s">
        <v>1155</v>
      </c>
      <c r="C1230" t="s">
        <v>5318</v>
      </c>
    </row>
    <row r="1231" spans="1:3" x14ac:dyDescent="0.25">
      <c r="A1231">
        <v>1230</v>
      </c>
      <c r="B1231" t="s">
        <v>1358</v>
      </c>
      <c r="C1231" t="s">
        <v>5319</v>
      </c>
    </row>
    <row r="1232" spans="1:3" x14ac:dyDescent="0.25">
      <c r="A1232">
        <v>1231</v>
      </c>
      <c r="B1232" t="s">
        <v>1419</v>
      </c>
      <c r="C1232" t="s">
        <v>5320</v>
      </c>
    </row>
    <row r="1233" spans="1:3" x14ac:dyDescent="0.25">
      <c r="A1233">
        <v>1232</v>
      </c>
      <c r="B1233" t="s">
        <v>866</v>
      </c>
      <c r="C1233" t="s">
        <v>5321</v>
      </c>
    </row>
    <row r="1234" spans="1:3" x14ac:dyDescent="0.25">
      <c r="A1234">
        <v>1233</v>
      </c>
      <c r="B1234" t="s">
        <v>1386</v>
      </c>
      <c r="C1234" t="s">
        <v>5322</v>
      </c>
    </row>
    <row r="1235" spans="1:3" x14ac:dyDescent="0.25">
      <c r="A1235">
        <v>1234</v>
      </c>
      <c r="B1235" t="s">
        <v>1397</v>
      </c>
      <c r="C1235" t="s">
        <v>5323</v>
      </c>
    </row>
    <row r="1236" spans="1:3" x14ac:dyDescent="0.25">
      <c r="A1236">
        <v>1235</v>
      </c>
      <c r="B1236" t="s">
        <v>1695</v>
      </c>
      <c r="C1236" t="s">
        <v>5324</v>
      </c>
    </row>
    <row r="1237" spans="1:3" x14ac:dyDescent="0.25">
      <c r="A1237">
        <v>1236</v>
      </c>
      <c r="B1237" t="s">
        <v>1730</v>
      </c>
      <c r="C1237" t="s">
        <v>5325</v>
      </c>
    </row>
    <row r="1238" spans="1:3" x14ac:dyDescent="0.25">
      <c r="A1238">
        <v>1237</v>
      </c>
      <c r="B1238" t="s">
        <v>1810</v>
      </c>
      <c r="C1238" t="s">
        <v>5326</v>
      </c>
    </row>
    <row r="1239" spans="1:3" x14ac:dyDescent="0.25">
      <c r="A1239">
        <v>1238</v>
      </c>
      <c r="B1239" t="s">
        <v>1818</v>
      </c>
      <c r="C1239" t="s">
        <v>5327</v>
      </c>
    </row>
    <row r="1240" spans="1:3" x14ac:dyDescent="0.25">
      <c r="A1240">
        <v>1239</v>
      </c>
      <c r="B1240" t="s">
        <v>1598</v>
      </c>
      <c r="C1240" t="s">
        <v>5328</v>
      </c>
    </row>
    <row r="1241" spans="1:3" x14ac:dyDescent="0.25">
      <c r="A1241">
        <v>1240</v>
      </c>
      <c r="B1241" t="s">
        <v>1902</v>
      </c>
      <c r="C1241" t="s">
        <v>5329</v>
      </c>
    </row>
    <row r="1242" spans="1:3" x14ac:dyDescent="0.25">
      <c r="A1242">
        <v>1241</v>
      </c>
      <c r="B1242" t="s">
        <v>1943</v>
      </c>
      <c r="C1242" t="s">
        <v>5330</v>
      </c>
    </row>
    <row r="1243" spans="1:3" x14ac:dyDescent="0.25">
      <c r="A1243">
        <v>1242</v>
      </c>
      <c r="B1243" t="s">
        <v>2004</v>
      </c>
      <c r="C1243" t="s">
        <v>5331</v>
      </c>
    </row>
    <row r="1244" spans="1:3" x14ac:dyDescent="0.25">
      <c r="A1244">
        <v>1243</v>
      </c>
      <c r="B1244" t="s">
        <v>669</v>
      </c>
      <c r="C1244" t="s">
        <v>5332</v>
      </c>
    </row>
    <row r="1245" spans="1:3" x14ac:dyDescent="0.25">
      <c r="A1245">
        <v>1244</v>
      </c>
      <c r="B1245" t="s">
        <v>853</v>
      </c>
      <c r="C1245" t="s">
        <v>5333</v>
      </c>
    </row>
    <row r="1246" spans="1:3" x14ac:dyDescent="0.25">
      <c r="A1246">
        <v>1245</v>
      </c>
      <c r="B1246" t="s">
        <v>1001</v>
      </c>
      <c r="C1246" t="s">
        <v>5334</v>
      </c>
    </row>
    <row r="1247" spans="1:3" x14ac:dyDescent="0.25">
      <c r="A1247">
        <v>1246</v>
      </c>
      <c r="B1247" t="s">
        <v>1134</v>
      </c>
      <c r="C1247" t="s">
        <v>5335</v>
      </c>
    </row>
    <row r="1248" spans="1:3" x14ac:dyDescent="0.25">
      <c r="A1248">
        <v>1247</v>
      </c>
      <c r="B1248" t="s">
        <v>1738</v>
      </c>
      <c r="C1248" t="s">
        <v>5336</v>
      </c>
    </row>
    <row r="1249" spans="1:3" x14ac:dyDescent="0.25">
      <c r="A1249">
        <v>1248</v>
      </c>
      <c r="B1249" t="s">
        <v>1757</v>
      </c>
      <c r="C1249" t="s">
        <v>5337</v>
      </c>
    </row>
    <row r="1250" spans="1:3" x14ac:dyDescent="0.25">
      <c r="A1250">
        <v>1249</v>
      </c>
      <c r="B1250" t="s">
        <v>1765</v>
      </c>
      <c r="C1250" t="s">
        <v>5338</v>
      </c>
    </row>
    <row r="1251" spans="1:3" x14ac:dyDescent="0.25">
      <c r="A1251">
        <v>1250</v>
      </c>
      <c r="B1251" t="s">
        <v>1846</v>
      </c>
      <c r="C1251" t="s">
        <v>5339</v>
      </c>
    </row>
    <row r="1252" spans="1:3" x14ac:dyDescent="0.25">
      <c r="A1252">
        <v>1251</v>
      </c>
      <c r="B1252" t="s">
        <v>974</v>
      </c>
      <c r="C1252" t="s">
        <v>5340</v>
      </c>
    </row>
    <row r="1253" spans="1:3" x14ac:dyDescent="0.25">
      <c r="A1253">
        <v>1252</v>
      </c>
      <c r="B1253" t="s">
        <v>1070</v>
      </c>
      <c r="C1253" t="s">
        <v>5341</v>
      </c>
    </row>
    <row r="1254" spans="1:3" x14ac:dyDescent="0.25">
      <c r="A1254">
        <v>1253</v>
      </c>
      <c r="B1254" t="s">
        <v>1081</v>
      </c>
      <c r="C1254" t="s">
        <v>5342</v>
      </c>
    </row>
    <row r="1255" spans="1:3" x14ac:dyDescent="0.25">
      <c r="A1255">
        <v>1254</v>
      </c>
      <c r="B1255" t="s">
        <v>1472</v>
      </c>
      <c r="C1255" t="s">
        <v>5343</v>
      </c>
    </row>
    <row r="1256" spans="1:3" x14ac:dyDescent="0.25">
      <c r="A1256">
        <v>1255</v>
      </c>
      <c r="B1256" t="s">
        <v>1711</v>
      </c>
      <c r="C1256" t="s">
        <v>5344</v>
      </c>
    </row>
    <row r="1257" spans="1:3" x14ac:dyDescent="0.25">
      <c r="A1257">
        <v>1256</v>
      </c>
      <c r="B1257" t="s">
        <v>1722</v>
      </c>
      <c r="C1257" t="s">
        <v>5345</v>
      </c>
    </row>
    <row r="1258" spans="1:3" x14ac:dyDescent="0.25">
      <c r="A1258">
        <v>1257</v>
      </c>
      <c r="B1258" t="s">
        <v>1910</v>
      </c>
      <c r="C1258" t="s">
        <v>5346</v>
      </c>
    </row>
    <row r="1259" spans="1:3" x14ac:dyDescent="0.25">
      <c r="A1259">
        <v>1258</v>
      </c>
      <c r="B1259" t="s">
        <v>1960</v>
      </c>
      <c r="C1259" t="s">
        <v>5347</v>
      </c>
    </row>
    <row r="1260" spans="1:3" x14ac:dyDescent="0.25">
      <c r="A1260">
        <v>1259</v>
      </c>
      <c r="B1260" t="s">
        <v>3981</v>
      </c>
      <c r="C1260" t="s">
        <v>5348</v>
      </c>
    </row>
    <row r="1261" spans="1:3" x14ac:dyDescent="0.25">
      <c r="A1261">
        <v>1260</v>
      </c>
      <c r="B1261" t="s">
        <v>757</v>
      </c>
      <c r="C1261" t="s">
        <v>5349</v>
      </c>
    </row>
    <row r="1262" spans="1:3" x14ac:dyDescent="0.25">
      <c r="A1262">
        <v>1261</v>
      </c>
      <c r="B1262" t="s">
        <v>675</v>
      </c>
      <c r="C1262" t="s">
        <v>5350</v>
      </c>
    </row>
    <row r="1263" spans="1:3" x14ac:dyDescent="0.25">
      <c r="A1263">
        <v>1262</v>
      </c>
      <c r="B1263" t="s">
        <v>551</v>
      </c>
      <c r="C1263" t="s">
        <v>5351</v>
      </c>
    </row>
    <row r="1264" spans="1:3" x14ac:dyDescent="0.25">
      <c r="A1264">
        <v>1263</v>
      </c>
      <c r="B1264" t="s">
        <v>680</v>
      </c>
      <c r="C1264" t="s">
        <v>5352</v>
      </c>
    </row>
    <row r="1265" spans="1:3" x14ac:dyDescent="0.25">
      <c r="A1265">
        <v>1264</v>
      </c>
      <c r="B1265" t="s">
        <v>946</v>
      </c>
      <c r="C1265" t="s">
        <v>5353</v>
      </c>
    </row>
    <row r="1266" spans="1:3" x14ac:dyDescent="0.25">
      <c r="A1266">
        <v>1265</v>
      </c>
      <c r="B1266" t="s">
        <v>1479</v>
      </c>
      <c r="C1266" t="s">
        <v>5354</v>
      </c>
    </row>
    <row r="1267" spans="1:3" x14ac:dyDescent="0.25">
      <c r="A1267">
        <v>1266</v>
      </c>
      <c r="B1267" t="s">
        <v>1019</v>
      </c>
      <c r="C1267" t="s">
        <v>5355</v>
      </c>
    </row>
    <row r="1268" spans="1:3" x14ac:dyDescent="0.25">
      <c r="A1268">
        <v>1267</v>
      </c>
      <c r="B1268" t="s">
        <v>1033</v>
      </c>
      <c r="C1268" t="s">
        <v>5356</v>
      </c>
    </row>
    <row r="1269" spans="1:3" x14ac:dyDescent="0.25">
      <c r="A1269">
        <v>1268</v>
      </c>
      <c r="B1269" t="s">
        <v>1115</v>
      </c>
      <c r="C1269" t="s">
        <v>5357</v>
      </c>
    </row>
    <row r="1270" spans="1:3" x14ac:dyDescent="0.25">
      <c r="A1270">
        <v>1269</v>
      </c>
      <c r="B1270" t="s">
        <v>1200</v>
      </c>
      <c r="C1270" t="s">
        <v>5358</v>
      </c>
    </row>
    <row r="1271" spans="1:3" x14ac:dyDescent="0.25">
      <c r="A1271">
        <v>1270</v>
      </c>
      <c r="B1271" t="s">
        <v>1541</v>
      </c>
      <c r="C1271" t="s">
        <v>5359</v>
      </c>
    </row>
    <row r="1272" spans="1:3" x14ac:dyDescent="0.25">
      <c r="A1272">
        <v>1271</v>
      </c>
      <c r="B1272" t="s">
        <v>1646</v>
      </c>
      <c r="C1272" t="s">
        <v>5360</v>
      </c>
    </row>
    <row r="1273" spans="1:3" x14ac:dyDescent="0.25">
      <c r="A1273">
        <v>1272</v>
      </c>
      <c r="B1273" t="s">
        <v>1336</v>
      </c>
      <c r="C1273" t="s">
        <v>5361</v>
      </c>
    </row>
    <row r="1274" spans="1:3" x14ac:dyDescent="0.25">
      <c r="A1274">
        <v>1273</v>
      </c>
      <c r="B1274" t="s">
        <v>860</v>
      </c>
      <c r="C1274" t="s">
        <v>5362</v>
      </c>
    </row>
    <row r="1275" spans="1:3" x14ac:dyDescent="0.25">
      <c r="A1275">
        <v>1274</v>
      </c>
      <c r="B1275" t="s">
        <v>1937</v>
      </c>
      <c r="C1275" t="s">
        <v>5363</v>
      </c>
    </row>
    <row r="1276" spans="1:3" x14ac:dyDescent="0.25">
      <c r="A1276">
        <v>1275</v>
      </c>
      <c r="B1276" t="s">
        <v>1737</v>
      </c>
      <c r="C1276" t="s">
        <v>5364</v>
      </c>
    </row>
    <row r="1277" spans="1:3" x14ac:dyDescent="0.25">
      <c r="A1277">
        <v>1276</v>
      </c>
      <c r="B1277" t="s">
        <v>1756</v>
      </c>
      <c r="C1277" t="s">
        <v>5365</v>
      </c>
    </row>
    <row r="1278" spans="1:3" x14ac:dyDescent="0.25">
      <c r="A1278">
        <v>1277</v>
      </c>
      <c r="B1278" t="s">
        <v>1764</v>
      </c>
      <c r="C1278" t="s">
        <v>5366</v>
      </c>
    </row>
    <row r="1279" spans="1:3" x14ac:dyDescent="0.25">
      <c r="A1279">
        <v>1278</v>
      </c>
      <c r="B1279" t="s">
        <v>1968</v>
      </c>
      <c r="C1279" t="s">
        <v>5367</v>
      </c>
    </row>
    <row r="1280" spans="1:3" x14ac:dyDescent="0.25">
      <c r="A1280">
        <v>1279</v>
      </c>
      <c r="B1280" t="s">
        <v>1845</v>
      </c>
      <c r="C1280" t="s">
        <v>5368</v>
      </c>
    </row>
    <row r="1281" spans="1:3" x14ac:dyDescent="0.25">
      <c r="A1281">
        <v>1280</v>
      </c>
      <c r="B1281" t="s">
        <v>1513</v>
      </c>
      <c r="C1281" t="s">
        <v>5369</v>
      </c>
    </row>
    <row r="1282" spans="1:3" x14ac:dyDescent="0.25">
      <c r="A1282">
        <v>1281</v>
      </c>
      <c r="B1282" t="s">
        <v>1411</v>
      </c>
      <c r="C1282" t="s">
        <v>5370</v>
      </c>
    </row>
    <row r="1283" spans="1:3" x14ac:dyDescent="0.25">
      <c r="A1283">
        <v>1282</v>
      </c>
      <c r="B1283" t="s">
        <v>1087</v>
      </c>
      <c r="C1283" t="s">
        <v>5371</v>
      </c>
    </row>
    <row r="1284" spans="1:3" x14ac:dyDescent="0.25">
      <c r="A1284">
        <v>1283</v>
      </c>
      <c r="B1284" t="s">
        <v>1086</v>
      </c>
      <c r="C1284" t="s">
        <v>5372</v>
      </c>
    </row>
    <row r="1285" spans="1:3" x14ac:dyDescent="0.25">
      <c r="A1285">
        <v>1284</v>
      </c>
      <c r="B1285" t="s">
        <v>1157</v>
      </c>
      <c r="C1285" t="s">
        <v>5373</v>
      </c>
    </row>
    <row r="1286" spans="1:3" x14ac:dyDescent="0.25">
      <c r="A1286">
        <v>1285</v>
      </c>
      <c r="B1286" t="s">
        <v>1172</v>
      </c>
      <c r="C1286" t="s">
        <v>5374</v>
      </c>
    </row>
    <row r="1287" spans="1:3" x14ac:dyDescent="0.25">
      <c r="A1287">
        <v>1286</v>
      </c>
      <c r="B1287" t="s">
        <v>1185</v>
      </c>
      <c r="C1287" t="s">
        <v>5375</v>
      </c>
    </row>
    <row r="1288" spans="1:3" x14ac:dyDescent="0.25">
      <c r="A1288">
        <v>1287</v>
      </c>
      <c r="B1288" t="s">
        <v>1198</v>
      </c>
      <c r="C1288" t="s">
        <v>5376</v>
      </c>
    </row>
    <row r="1289" spans="1:3" x14ac:dyDescent="0.25">
      <c r="A1289">
        <v>1288</v>
      </c>
      <c r="B1289" t="s">
        <v>1775</v>
      </c>
      <c r="C1289" t="s">
        <v>5377</v>
      </c>
    </row>
    <row r="1290" spans="1:3" x14ac:dyDescent="0.25">
      <c r="A1290">
        <v>1289</v>
      </c>
      <c r="B1290" t="s">
        <v>734</v>
      </c>
      <c r="C1290" t="s">
        <v>5378</v>
      </c>
    </row>
    <row r="1291" spans="1:3" x14ac:dyDescent="0.25">
      <c r="A1291">
        <v>1290</v>
      </c>
      <c r="B1291" t="s">
        <v>861</v>
      </c>
      <c r="C1291" t="s">
        <v>5379</v>
      </c>
    </row>
    <row r="1292" spans="1:3" x14ac:dyDescent="0.25">
      <c r="A1292">
        <v>1291</v>
      </c>
      <c r="B1292" t="s">
        <v>958</v>
      </c>
      <c r="C1292" t="s">
        <v>5380</v>
      </c>
    </row>
    <row r="1293" spans="1:3" x14ac:dyDescent="0.25">
      <c r="A1293">
        <v>1292</v>
      </c>
      <c r="B1293" t="s">
        <v>1326</v>
      </c>
      <c r="C1293" t="s">
        <v>5381</v>
      </c>
    </row>
    <row r="1294" spans="1:3" x14ac:dyDescent="0.25">
      <c r="A1294">
        <v>1293</v>
      </c>
      <c r="B1294" t="s">
        <v>1337</v>
      </c>
      <c r="C1294" t="s">
        <v>5382</v>
      </c>
    </row>
    <row r="1295" spans="1:3" x14ac:dyDescent="0.25">
      <c r="A1295">
        <v>1294</v>
      </c>
      <c r="B1295" t="s">
        <v>352</v>
      </c>
      <c r="C1295" t="s">
        <v>5383</v>
      </c>
    </row>
    <row r="1296" spans="1:3" x14ac:dyDescent="0.25">
      <c r="A1296">
        <v>1295</v>
      </c>
      <c r="B1296" t="s">
        <v>5384</v>
      </c>
      <c r="C1296" t="s">
        <v>5385</v>
      </c>
    </row>
    <row r="1297" spans="1:3" x14ac:dyDescent="0.25">
      <c r="A1297">
        <v>1296</v>
      </c>
      <c r="B1297" t="s">
        <v>5386</v>
      </c>
      <c r="C1297" t="s">
        <v>5387</v>
      </c>
    </row>
    <row r="1298" spans="1:3" x14ac:dyDescent="0.25">
      <c r="A1298">
        <v>1297</v>
      </c>
      <c r="B1298" t="s">
        <v>384</v>
      </c>
      <c r="C1298" t="s">
        <v>5388</v>
      </c>
    </row>
    <row r="1299" spans="1:3" x14ac:dyDescent="0.25">
      <c r="A1299">
        <v>1298</v>
      </c>
      <c r="B1299" t="s">
        <v>397</v>
      </c>
      <c r="C1299" t="s">
        <v>5389</v>
      </c>
    </row>
    <row r="1300" spans="1:3" x14ac:dyDescent="0.25">
      <c r="A1300">
        <v>1299</v>
      </c>
      <c r="B1300" t="s">
        <v>463</v>
      </c>
      <c r="C1300" t="s">
        <v>5390</v>
      </c>
    </row>
    <row r="1301" spans="1:3" x14ac:dyDescent="0.25">
      <c r="A1301">
        <v>1300</v>
      </c>
      <c r="B1301" t="s">
        <v>357</v>
      </c>
      <c r="C1301" t="s">
        <v>5391</v>
      </c>
    </row>
    <row r="1302" spans="1:3" x14ac:dyDescent="0.25">
      <c r="A1302">
        <v>1301</v>
      </c>
      <c r="B1302" t="s">
        <v>1354</v>
      </c>
      <c r="C1302" t="s">
        <v>5392</v>
      </c>
    </row>
    <row r="1303" spans="1:3" x14ac:dyDescent="0.25">
      <c r="A1303">
        <v>1302</v>
      </c>
      <c r="B1303" t="s">
        <v>1477</v>
      </c>
      <c r="C1303" t="s">
        <v>5393</v>
      </c>
    </row>
    <row r="1304" spans="1:3" x14ac:dyDescent="0.25">
      <c r="A1304">
        <v>1303</v>
      </c>
      <c r="B1304" t="s">
        <v>1734</v>
      </c>
      <c r="C1304" t="s">
        <v>5394</v>
      </c>
    </row>
    <row r="1305" spans="1:3" x14ac:dyDescent="0.25">
      <c r="A1305">
        <v>1304</v>
      </c>
      <c r="B1305" t="s">
        <v>1753</v>
      </c>
      <c r="C1305" t="s">
        <v>5395</v>
      </c>
    </row>
    <row r="1306" spans="1:3" x14ac:dyDescent="0.25">
      <c r="A1306">
        <v>1305</v>
      </c>
      <c r="B1306" t="s">
        <v>1761</v>
      </c>
      <c r="C1306" t="s">
        <v>5396</v>
      </c>
    </row>
    <row r="1307" spans="1:3" x14ac:dyDescent="0.25">
      <c r="A1307">
        <v>1306</v>
      </c>
      <c r="B1307" t="s">
        <v>1771</v>
      </c>
      <c r="C1307" t="s">
        <v>5397</v>
      </c>
    </row>
    <row r="1308" spans="1:3" x14ac:dyDescent="0.25">
      <c r="A1308">
        <v>1307</v>
      </c>
      <c r="B1308" t="s">
        <v>5398</v>
      </c>
      <c r="C1308" t="s">
        <v>5399</v>
      </c>
    </row>
    <row r="1309" spans="1:3" x14ac:dyDescent="0.25">
      <c r="A1309">
        <v>1308</v>
      </c>
      <c r="B1309" t="s">
        <v>1435</v>
      </c>
      <c r="C1309" t="s">
        <v>5400</v>
      </c>
    </row>
    <row r="1310" spans="1:3" x14ac:dyDescent="0.25">
      <c r="A1310">
        <v>1309</v>
      </c>
      <c r="B1310" t="s">
        <v>1425</v>
      </c>
      <c r="C1310" t="s">
        <v>5401</v>
      </c>
    </row>
    <row r="1311" spans="1:3" x14ac:dyDescent="0.25">
      <c r="A1311">
        <v>1310</v>
      </c>
      <c r="B1311" t="s">
        <v>1688</v>
      </c>
      <c r="C1311" t="s">
        <v>5402</v>
      </c>
    </row>
    <row r="1312" spans="1:3" x14ac:dyDescent="0.25">
      <c r="A1312">
        <v>1311</v>
      </c>
      <c r="B1312" t="s">
        <v>575</v>
      </c>
      <c r="C1312" t="s">
        <v>5403</v>
      </c>
    </row>
    <row r="1313" spans="1:3" x14ac:dyDescent="0.25">
      <c r="A1313">
        <v>1312</v>
      </c>
      <c r="B1313" t="s">
        <v>482</v>
      </c>
      <c r="C1313" t="s">
        <v>5404</v>
      </c>
    </row>
    <row r="1314" spans="1:3" x14ac:dyDescent="0.25">
      <c r="A1314">
        <v>1313</v>
      </c>
      <c r="B1314" t="s">
        <v>455</v>
      </c>
      <c r="C1314" t="s">
        <v>5405</v>
      </c>
    </row>
    <row r="1315" spans="1:3" x14ac:dyDescent="0.25">
      <c r="A1315">
        <v>1314</v>
      </c>
      <c r="B1315" t="s">
        <v>475</v>
      </c>
      <c r="C1315" t="s">
        <v>5406</v>
      </c>
    </row>
    <row r="1316" spans="1:3" x14ac:dyDescent="0.25">
      <c r="A1316">
        <v>1315</v>
      </c>
      <c r="B1316" t="s">
        <v>560</v>
      </c>
      <c r="C1316" t="s">
        <v>5407</v>
      </c>
    </row>
    <row r="1317" spans="1:3" x14ac:dyDescent="0.25">
      <c r="A1317">
        <v>1316</v>
      </c>
      <c r="B1317" t="s">
        <v>780</v>
      </c>
      <c r="C1317" t="s">
        <v>5408</v>
      </c>
    </row>
    <row r="1318" spans="1:3" x14ac:dyDescent="0.25">
      <c r="A1318">
        <v>1317</v>
      </c>
      <c r="B1318" t="s">
        <v>793</v>
      </c>
      <c r="C1318" t="s">
        <v>5409</v>
      </c>
    </row>
    <row r="1319" spans="1:3" x14ac:dyDescent="0.25">
      <c r="A1319">
        <v>1318</v>
      </c>
      <c r="B1319" t="s">
        <v>1306</v>
      </c>
      <c r="C1319" t="s">
        <v>5410</v>
      </c>
    </row>
    <row r="1320" spans="1:3" x14ac:dyDescent="0.25">
      <c r="A1320">
        <v>1319</v>
      </c>
      <c r="B1320" t="s">
        <v>1703</v>
      </c>
      <c r="C1320" t="s">
        <v>5411</v>
      </c>
    </row>
    <row r="1321" spans="1:3" x14ac:dyDescent="0.25">
      <c r="A1321">
        <v>1320</v>
      </c>
      <c r="B1321" t="s">
        <v>1708</v>
      </c>
      <c r="C1321" t="s">
        <v>5412</v>
      </c>
    </row>
    <row r="1322" spans="1:3" x14ac:dyDescent="0.25">
      <c r="A1322">
        <v>1321</v>
      </c>
      <c r="B1322" t="s">
        <v>5413</v>
      </c>
      <c r="C1322" t="s">
        <v>5414</v>
      </c>
    </row>
    <row r="1323" spans="1:3" x14ac:dyDescent="0.25">
      <c r="A1323">
        <v>1322</v>
      </c>
      <c r="B1323" t="s">
        <v>1972</v>
      </c>
      <c r="C1323" t="s">
        <v>5415</v>
      </c>
    </row>
    <row r="1324" spans="1:3" x14ac:dyDescent="0.25">
      <c r="A1324">
        <v>1323</v>
      </c>
      <c r="B1324" t="s">
        <v>1569</v>
      </c>
      <c r="C1324" t="s">
        <v>5416</v>
      </c>
    </row>
    <row r="1325" spans="1:3" x14ac:dyDescent="0.25">
      <c r="A1325">
        <v>1324</v>
      </c>
      <c r="B1325" t="s">
        <v>1930</v>
      </c>
      <c r="C1325" t="s">
        <v>5417</v>
      </c>
    </row>
    <row r="1326" spans="1:3" x14ac:dyDescent="0.25">
      <c r="A1326">
        <v>1325</v>
      </c>
      <c r="B1326" t="s">
        <v>1361</v>
      </c>
      <c r="C1326" t="s">
        <v>5418</v>
      </c>
    </row>
    <row r="1327" spans="1:3" x14ac:dyDescent="0.25">
      <c r="A1327">
        <v>1326</v>
      </c>
      <c r="B1327" t="s">
        <v>1389</v>
      </c>
      <c r="C1327" t="s">
        <v>5419</v>
      </c>
    </row>
    <row r="1328" spans="1:3" x14ac:dyDescent="0.25">
      <c r="A1328">
        <v>1327</v>
      </c>
      <c r="B1328" t="s">
        <v>1328</v>
      </c>
      <c r="C1328" t="s">
        <v>5420</v>
      </c>
    </row>
    <row r="1329" spans="1:3" x14ac:dyDescent="0.25">
      <c r="A1329">
        <v>1328</v>
      </c>
      <c r="B1329" t="s">
        <v>1452</v>
      </c>
      <c r="C1329" t="s">
        <v>5421</v>
      </c>
    </row>
    <row r="1330" spans="1:3" x14ac:dyDescent="0.25">
      <c r="A1330">
        <v>1329</v>
      </c>
      <c r="B1330" t="s">
        <v>1746</v>
      </c>
      <c r="C1330" t="s">
        <v>5422</v>
      </c>
    </row>
    <row r="1331" spans="1:3" x14ac:dyDescent="0.25">
      <c r="A1331">
        <v>1330</v>
      </c>
      <c r="B1331" t="s">
        <v>2007</v>
      </c>
      <c r="C1331" t="s">
        <v>5423</v>
      </c>
    </row>
    <row r="1332" spans="1:3" x14ac:dyDescent="0.25">
      <c r="A1332">
        <v>1331</v>
      </c>
      <c r="B1332" t="s">
        <v>1309</v>
      </c>
      <c r="C1332" t="s">
        <v>5424</v>
      </c>
    </row>
    <row r="1333" spans="1:3" x14ac:dyDescent="0.25">
      <c r="A1333">
        <v>1332</v>
      </c>
      <c r="B1333" t="s">
        <v>1438</v>
      </c>
      <c r="C1333" t="s">
        <v>5425</v>
      </c>
    </row>
    <row r="1334" spans="1:3" x14ac:dyDescent="0.25">
      <c r="A1334">
        <v>1333</v>
      </c>
      <c r="B1334" t="s">
        <v>1691</v>
      </c>
      <c r="C1334" t="s">
        <v>5426</v>
      </c>
    </row>
    <row r="1335" spans="1:3" x14ac:dyDescent="0.25">
      <c r="A1335">
        <v>1334</v>
      </c>
      <c r="B1335" t="s">
        <v>1833</v>
      </c>
      <c r="C1335" t="s">
        <v>5427</v>
      </c>
    </row>
    <row r="1336" spans="1:3" x14ac:dyDescent="0.25">
      <c r="A1336">
        <v>1335</v>
      </c>
      <c r="B1336" t="s">
        <v>1349</v>
      </c>
      <c r="C1336" t="s">
        <v>5428</v>
      </c>
    </row>
    <row r="1337" spans="1:3" x14ac:dyDescent="0.25">
      <c r="A1337">
        <v>1336</v>
      </c>
      <c r="B1337" t="s">
        <v>1566</v>
      </c>
      <c r="C1337" t="s">
        <v>5429</v>
      </c>
    </row>
    <row r="1338" spans="1:3" x14ac:dyDescent="0.25">
      <c r="A1338">
        <v>1337</v>
      </c>
      <c r="B1338" t="s">
        <v>1591</v>
      </c>
      <c r="C1338" t="s">
        <v>5430</v>
      </c>
    </row>
    <row r="1339" spans="1:3" x14ac:dyDescent="0.25">
      <c r="A1339">
        <v>1338</v>
      </c>
      <c r="B1339" t="s">
        <v>1298</v>
      </c>
      <c r="C1339" t="s">
        <v>5431</v>
      </c>
    </row>
    <row r="1340" spans="1:3" x14ac:dyDescent="0.25">
      <c r="A1340">
        <v>1339</v>
      </c>
      <c r="B1340" t="s">
        <v>1464</v>
      </c>
      <c r="C1340" t="s">
        <v>5432</v>
      </c>
    </row>
    <row r="1341" spans="1:3" x14ac:dyDescent="0.25">
      <c r="A1341">
        <v>1340</v>
      </c>
      <c r="B1341" t="s">
        <v>1316</v>
      </c>
      <c r="C1341" t="s">
        <v>5433</v>
      </c>
    </row>
    <row r="1342" spans="1:3" x14ac:dyDescent="0.25">
      <c r="A1342">
        <v>1341</v>
      </c>
      <c r="B1342" t="s">
        <v>1474</v>
      </c>
      <c r="C1342" t="s">
        <v>5434</v>
      </c>
    </row>
    <row r="1343" spans="1:3" x14ac:dyDescent="0.25">
      <c r="A1343">
        <v>1342</v>
      </c>
      <c r="B1343" t="s">
        <v>1724</v>
      </c>
      <c r="C1343" t="s">
        <v>5435</v>
      </c>
    </row>
    <row r="1344" spans="1:3" x14ac:dyDescent="0.25">
      <c r="A1344">
        <v>1343</v>
      </c>
      <c r="B1344" t="s">
        <v>1740</v>
      </c>
      <c r="C1344" t="s">
        <v>5436</v>
      </c>
    </row>
    <row r="1345" spans="1:3" x14ac:dyDescent="0.25">
      <c r="A1345">
        <v>1344</v>
      </c>
      <c r="B1345" t="s">
        <v>1767</v>
      </c>
      <c r="C1345" t="s">
        <v>5437</v>
      </c>
    </row>
    <row r="1346" spans="1:3" x14ac:dyDescent="0.25">
      <c r="A1346">
        <v>1345</v>
      </c>
      <c r="B1346" t="s">
        <v>1777</v>
      </c>
      <c r="C1346" t="s">
        <v>5438</v>
      </c>
    </row>
    <row r="1347" spans="1:3" x14ac:dyDescent="0.25">
      <c r="A1347">
        <v>1346</v>
      </c>
      <c r="B1347" t="s">
        <v>1848</v>
      </c>
      <c r="C1347" t="s">
        <v>5439</v>
      </c>
    </row>
    <row r="1348" spans="1:3" x14ac:dyDescent="0.25">
      <c r="A1348">
        <v>1347</v>
      </c>
      <c r="B1348" t="s">
        <v>2018</v>
      </c>
      <c r="C1348" t="s">
        <v>5440</v>
      </c>
    </row>
    <row r="1349" spans="1:3" x14ac:dyDescent="0.25">
      <c r="A1349">
        <v>1348</v>
      </c>
      <c r="B1349" t="s">
        <v>1962</v>
      </c>
      <c r="C1349" t="s">
        <v>5441</v>
      </c>
    </row>
    <row r="1350" spans="1:3" x14ac:dyDescent="0.25">
      <c r="A1350">
        <v>1349</v>
      </c>
      <c r="B1350" t="s">
        <v>1340</v>
      </c>
      <c r="C1350" t="s">
        <v>5442</v>
      </c>
    </row>
    <row r="1351" spans="1:3" x14ac:dyDescent="0.25">
      <c r="A1351">
        <v>1350</v>
      </c>
      <c r="B1351" t="s">
        <v>1841</v>
      </c>
      <c r="C1351" t="s">
        <v>5443</v>
      </c>
    </row>
    <row r="1352" spans="1:3" x14ac:dyDescent="0.25">
      <c r="A1352">
        <v>1351</v>
      </c>
      <c r="B1352" t="s">
        <v>1928</v>
      </c>
      <c r="C1352" t="s">
        <v>5444</v>
      </c>
    </row>
    <row r="1353" spans="1:3" x14ac:dyDescent="0.25">
      <c r="A1353">
        <v>1352</v>
      </c>
      <c r="B1353" t="s">
        <v>1587</v>
      </c>
      <c r="C1353" t="s">
        <v>5445</v>
      </c>
    </row>
    <row r="1354" spans="1:3" x14ac:dyDescent="0.25">
      <c r="A1354">
        <v>1353</v>
      </c>
      <c r="B1354" t="s">
        <v>2001</v>
      </c>
      <c r="C1354" t="s">
        <v>5446</v>
      </c>
    </row>
    <row r="1355" spans="1:3" x14ac:dyDescent="0.25">
      <c r="A1355">
        <v>1354</v>
      </c>
      <c r="B1355" t="s">
        <v>1914</v>
      </c>
      <c r="C1355" t="s">
        <v>5447</v>
      </c>
    </row>
    <row r="1356" spans="1:3" x14ac:dyDescent="0.25">
      <c r="A1356">
        <v>1355</v>
      </c>
      <c r="B1356" t="s">
        <v>1834</v>
      </c>
      <c r="C1356" t="s">
        <v>5448</v>
      </c>
    </row>
    <row r="1357" spans="1:3" x14ac:dyDescent="0.25">
      <c r="A1357">
        <v>1356</v>
      </c>
      <c r="B1357" t="s">
        <v>718</v>
      </c>
      <c r="C1357" t="s">
        <v>5449</v>
      </c>
    </row>
    <row r="1358" spans="1:3" x14ac:dyDescent="0.25">
      <c r="A1358">
        <v>1357</v>
      </c>
      <c r="B1358" t="s">
        <v>725</v>
      </c>
      <c r="C1358" t="s">
        <v>5450</v>
      </c>
    </row>
    <row r="1359" spans="1:3" x14ac:dyDescent="0.25">
      <c r="A1359">
        <v>1358</v>
      </c>
      <c r="B1359" t="s">
        <v>731</v>
      </c>
      <c r="C1359" t="s">
        <v>5451</v>
      </c>
    </row>
    <row r="1360" spans="1:3" x14ac:dyDescent="0.25">
      <c r="A1360">
        <v>1359</v>
      </c>
      <c r="B1360" t="s">
        <v>735</v>
      </c>
      <c r="C1360" t="s">
        <v>5452</v>
      </c>
    </row>
    <row r="1361" spans="1:3" x14ac:dyDescent="0.25">
      <c r="A1361">
        <v>1360</v>
      </c>
      <c r="B1361" t="s">
        <v>751</v>
      </c>
      <c r="C1361" t="s">
        <v>5453</v>
      </c>
    </row>
    <row r="1362" spans="1:3" x14ac:dyDescent="0.25">
      <c r="A1362">
        <v>1361</v>
      </c>
      <c r="B1362" t="s">
        <v>816</v>
      </c>
      <c r="C1362" t="s">
        <v>5454</v>
      </c>
    </row>
    <row r="1363" spans="1:3" x14ac:dyDescent="0.25">
      <c r="A1363">
        <v>1362</v>
      </c>
      <c r="B1363" t="s">
        <v>1088</v>
      </c>
      <c r="C1363" t="s">
        <v>5455</v>
      </c>
    </row>
    <row r="1364" spans="1:3" x14ac:dyDescent="0.25">
      <c r="A1364">
        <v>1363</v>
      </c>
      <c r="B1364" t="s">
        <v>24</v>
      </c>
      <c r="C1364" t="s">
        <v>5456</v>
      </c>
    </row>
    <row r="1365" spans="1:3" x14ac:dyDescent="0.25">
      <c r="A1365">
        <v>1364</v>
      </c>
      <c r="B1365" t="s">
        <v>66</v>
      </c>
      <c r="C1365" t="s">
        <v>5457</v>
      </c>
    </row>
    <row r="1366" spans="1:3" x14ac:dyDescent="0.25">
      <c r="A1366">
        <v>1365</v>
      </c>
      <c r="B1366" t="s">
        <v>292</v>
      </c>
      <c r="C1366" t="s">
        <v>5458</v>
      </c>
    </row>
    <row r="1367" spans="1:3" x14ac:dyDescent="0.25">
      <c r="A1367">
        <v>1366</v>
      </c>
      <c r="B1367" t="s">
        <v>1881</v>
      </c>
      <c r="C1367" t="s">
        <v>5459</v>
      </c>
    </row>
    <row r="1368" spans="1:3" x14ac:dyDescent="0.25">
      <c r="A1368">
        <v>1367</v>
      </c>
      <c r="B1368" t="s">
        <v>1175</v>
      </c>
      <c r="C1368" t="s">
        <v>5460</v>
      </c>
    </row>
    <row r="1369" spans="1:3" x14ac:dyDescent="0.25">
      <c r="A1369">
        <v>1368</v>
      </c>
      <c r="B1369" t="s">
        <v>1013</v>
      </c>
      <c r="C1369" t="s">
        <v>5461</v>
      </c>
    </row>
    <row r="1370" spans="1:3" x14ac:dyDescent="0.25">
      <c r="A1370">
        <v>1369</v>
      </c>
      <c r="B1370" t="s">
        <v>764</v>
      </c>
      <c r="C1370" t="s">
        <v>5462</v>
      </c>
    </row>
    <row r="1371" spans="1:3" x14ac:dyDescent="0.25">
      <c r="A1371">
        <v>1370</v>
      </c>
      <c r="B1371" t="s">
        <v>1874</v>
      </c>
      <c r="C1371" t="s">
        <v>5463</v>
      </c>
    </row>
    <row r="1372" spans="1:3" x14ac:dyDescent="0.25">
      <c r="A1372">
        <v>1371</v>
      </c>
      <c r="B1372" t="s">
        <v>1136</v>
      </c>
      <c r="C1372" t="s">
        <v>5464</v>
      </c>
    </row>
    <row r="1373" spans="1:3" x14ac:dyDescent="0.25">
      <c r="A1373">
        <v>1372</v>
      </c>
      <c r="B1373" t="s">
        <v>905</v>
      </c>
      <c r="C1373" t="s">
        <v>5465</v>
      </c>
    </row>
    <row r="1374" spans="1:3" x14ac:dyDescent="0.25">
      <c r="A1374">
        <v>1373</v>
      </c>
      <c r="B1374" t="s">
        <v>1532</v>
      </c>
      <c r="C1374" t="s">
        <v>5466</v>
      </c>
    </row>
    <row r="1375" spans="1:3" x14ac:dyDescent="0.25">
      <c r="A1375">
        <v>1374</v>
      </c>
      <c r="B1375" t="s">
        <v>1561</v>
      </c>
      <c r="C1375" t="s">
        <v>5467</v>
      </c>
    </row>
    <row r="1376" spans="1:3" x14ac:dyDescent="0.25">
      <c r="A1376">
        <v>1375</v>
      </c>
      <c r="B1376" t="s">
        <v>1188</v>
      </c>
      <c r="C1376" t="s">
        <v>5468</v>
      </c>
    </row>
    <row r="1377" spans="1:3" x14ac:dyDescent="0.25">
      <c r="A1377">
        <v>1376</v>
      </c>
      <c r="B1377" t="s">
        <v>1759</v>
      </c>
      <c r="C1377" t="s">
        <v>5469</v>
      </c>
    </row>
    <row r="1378" spans="1:3" x14ac:dyDescent="0.25">
      <c r="A1378">
        <v>1377</v>
      </c>
      <c r="B1378" t="s">
        <v>1812</v>
      </c>
      <c r="C1378" t="s">
        <v>5470</v>
      </c>
    </row>
    <row r="1379" spans="1:3" x14ac:dyDescent="0.25">
      <c r="A1379">
        <v>1378</v>
      </c>
      <c r="B1379" t="s">
        <v>1378</v>
      </c>
      <c r="C1379" t="s">
        <v>5471</v>
      </c>
    </row>
    <row r="1380" spans="1:3" x14ac:dyDescent="0.25">
      <c r="A1380">
        <v>1379</v>
      </c>
      <c r="B1380" t="s">
        <v>1058</v>
      </c>
      <c r="C1380" t="s">
        <v>5472</v>
      </c>
    </row>
    <row r="1381" spans="1:3" x14ac:dyDescent="0.25">
      <c r="A1381">
        <v>1380</v>
      </c>
      <c r="B1381" t="s">
        <v>775</v>
      </c>
      <c r="C1381" t="s">
        <v>5473</v>
      </c>
    </row>
    <row r="1382" spans="1:3" x14ac:dyDescent="0.25">
      <c r="A1382">
        <v>1381</v>
      </c>
      <c r="B1382" t="s">
        <v>833</v>
      </c>
      <c r="C1382" t="s">
        <v>5474</v>
      </c>
    </row>
    <row r="1383" spans="1:3" x14ac:dyDescent="0.25">
      <c r="A1383">
        <v>1382</v>
      </c>
      <c r="B1383" t="s">
        <v>1449</v>
      </c>
      <c r="C1383" t="s">
        <v>5475</v>
      </c>
    </row>
    <row r="1384" spans="1:3" x14ac:dyDescent="0.25">
      <c r="A1384">
        <v>1383</v>
      </c>
      <c r="B1384" t="s">
        <v>1838</v>
      </c>
      <c r="C1384" t="s">
        <v>5476</v>
      </c>
    </row>
    <row r="1385" spans="1:3" x14ac:dyDescent="0.25">
      <c r="A1385">
        <v>1384</v>
      </c>
      <c r="B1385" t="s">
        <v>885</v>
      </c>
      <c r="C1385" t="s">
        <v>5477</v>
      </c>
    </row>
    <row r="1386" spans="1:3" x14ac:dyDescent="0.25">
      <c r="A1386">
        <v>1385</v>
      </c>
      <c r="B1386" t="s">
        <v>1636</v>
      </c>
      <c r="C1386" t="s">
        <v>5478</v>
      </c>
    </row>
    <row r="1387" spans="1:3" x14ac:dyDescent="0.25">
      <c r="A1387">
        <v>1386</v>
      </c>
      <c r="B1387" t="s">
        <v>1637</v>
      </c>
      <c r="C1387" t="s">
        <v>5479</v>
      </c>
    </row>
    <row r="1388" spans="1:3" x14ac:dyDescent="0.25">
      <c r="A1388">
        <v>1387</v>
      </c>
      <c r="B1388" t="s">
        <v>1830</v>
      </c>
      <c r="C1388" t="s">
        <v>5480</v>
      </c>
    </row>
    <row r="1389" spans="1:3" x14ac:dyDescent="0.25">
      <c r="A1389">
        <v>1388</v>
      </c>
      <c r="B1389" t="s">
        <v>1574</v>
      </c>
      <c r="C1389" t="s">
        <v>5481</v>
      </c>
    </row>
    <row r="1390" spans="1:3" x14ac:dyDescent="0.25">
      <c r="A1390">
        <v>1389</v>
      </c>
      <c r="B1390" t="s">
        <v>1491</v>
      </c>
      <c r="C1390" t="s">
        <v>5482</v>
      </c>
    </row>
    <row r="1391" spans="1:3" x14ac:dyDescent="0.25">
      <c r="A1391">
        <v>1390</v>
      </c>
      <c r="B1391" t="s">
        <v>1123</v>
      </c>
      <c r="C1391" t="s">
        <v>5483</v>
      </c>
    </row>
    <row r="1392" spans="1:3" x14ac:dyDescent="0.25">
      <c r="A1392">
        <v>1391</v>
      </c>
      <c r="B1392" t="s">
        <v>1919</v>
      </c>
      <c r="C1392" t="s">
        <v>5484</v>
      </c>
    </row>
    <row r="1393" spans="1:3" x14ac:dyDescent="0.25">
      <c r="A1393">
        <v>1392</v>
      </c>
      <c r="B1393" t="s">
        <v>1581</v>
      </c>
      <c r="C1393" t="s">
        <v>5485</v>
      </c>
    </row>
    <row r="1394" spans="1:3" x14ac:dyDescent="0.25">
      <c r="A1394">
        <v>1393</v>
      </c>
      <c r="B1394" t="s">
        <v>1100</v>
      </c>
      <c r="C1394" t="s">
        <v>5486</v>
      </c>
    </row>
    <row r="1395" spans="1:3" x14ac:dyDescent="0.25">
      <c r="A1395">
        <v>1394</v>
      </c>
      <c r="B1395" t="s">
        <v>213</v>
      </c>
      <c r="C1395" t="s">
        <v>5487</v>
      </c>
    </row>
    <row r="1396" spans="1:3" x14ac:dyDescent="0.25">
      <c r="A1396">
        <v>1395</v>
      </c>
      <c r="B1396" t="s">
        <v>1979</v>
      </c>
      <c r="C1396" t="s">
        <v>5488</v>
      </c>
    </row>
    <row r="1397" spans="1:3" x14ac:dyDescent="0.25">
      <c r="A1397">
        <v>1396</v>
      </c>
      <c r="B1397" t="s">
        <v>1162</v>
      </c>
      <c r="C1397" t="s">
        <v>5489</v>
      </c>
    </row>
    <row r="1398" spans="1:3" x14ac:dyDescent="0.25">
      <c r="A1398">
        <v>1397</v>
      </c>
      <c r="B1398" t="s">
        <v>522</v>
      </c>
      <c r="C1398" t="s">
        <v>5490</v>
      </c>
    </row>
    <row r="1399" spans="1:3" x14ac:dyDescent="0.25">
      <c r="A1399">
        <v>1398</v>
      </c>
      <c r="B1399" t="s">
        <v>1365</v>
      </c>
      <c r="C1399" t="s">
        <v>5491</v>
      </c>
    </row>
    <row r="1400" spans="1:3" x14ac:dyDescent="0.25">
      <c r="A1400">
        <v>1399</v>
      </c>
      <c r="B1400" t="s">
        <v>272</v>
      </c>
      <c r="C1400" t="s">
        <v>5492</v>
      </c>
    </row>
    <row r="1401" spans="1:3" x14ac:dyDescent="0.25">
      <c r="A1401">
        <v>1400</v>
      </c>
      <c r="B1401" t="s">
        <v>801</v>
      </c>
      <c r="C1401" t="s">
        <v>5493</v>
      </c>
    </row>
    <row r="1402" spans="1:3" x14ac:dyDescent="0.25">
      <c r="A1402">
        <v>1401</v>
      </c>
      <c r="B1402" t="s">
        <v>870</v>
      </c>
      <c r="C1402" t="s">
        <v>5494</v>
      </c>
    </row>
    <row r="1403" spans="1:3" x14ac:dyDescent="0.25">
      <c r="A1403">
        <v>1402</v>
      </c>
      <c r="B1403" t="s">
        <v>58</v>
      </c>
      <c r="C1403" t="s">
        <v>5495</v>
      </c>
    </row>
    <row r="1404" spans="1:3" x14ac:dyDescent="0.25">
      <c r="A1404">
        <v>1403</v>
      </c>
      <c r="B1404" t="s">
        <v>75</v>
      </c>
      <c r="C1404" t="s">
        <v>5496</v>
      </c>
    </row>
    <row r="1405" spans="1:3" x14ac:dyDescent="0.25">
      <c r="A1405">
        <v>1404</v>
      </c>
      <c r="B1405" t="s">
        <v>2024</v>
      </c>
      <c r="C1405" t="s">
        <v>5497</v>
      </c>
    </row>
    <row r="1406" spans="1:3" x14ac:dyDescent="0.25">
      <c r="A1406">
        <v>1405</v>
      </c>
      <c r="B1406" t="s">
        <v>427</v>
      </c>
      <c r="C1406" t="s">
        <v>5498</v>
      </c>
    </row>
    <row r="1407" spans="1:3" x14ac:dyDescent="0.25">
      <c r="A1407">
        <v>1406</v>
      </c>
      <c r="B1407" t="s">
        <v>561</v>
      </c>
      <c r="C1407" t="s">
        <v>5499</v>
      </c>
    </row>
    <row r="1408" spans="1:3" x14ac:dyDescent="0.25">
      <c r="A1408">
        <v>1407</v>
      </c>
      <c r="B1408" t="s">
        <v>662</v>
      </c>
      <c r="C1408" t="s">
        <v>5500</v>
      </c>
    </row>
    <row r="1409" spans="1:3" x14ac:dyDescent="0.25">
      <c r="A1409">
        <v>1408</v>
      </c>
      <c r="B1409" t="s">
        <v>695</v>
      </c>
      <c r="C1409" t="s">
        <v>5501</v>
      </c>
    </row>
    <row r="1410" spans="1:3" x14ac:dyDescent="0.25">
      <c r="A1410">
        <v>1409</v>
      </c>
      <c r="B1410" t="s">
        <v>1951</v>
      </c>
      <c r="C1410" t="s">
        <v>5502</v>
      </c>
    </row>
    <row r="1411" spans="1:3" x14ac:dyDescent="0.25">
      <c r="A1411">
        <v>1410</v>
      </c>
      <c r="B1411" t="s">
        <v>1751</v>
      </c>
      <c r="C1411" t="s">
        <v>5503</v>
      </c>
    </row>
    <row r="1412" spans="1:3" x14ac:dyDescent="0.25">
      <c r="A1412">
        <v>1411</v>
      </c>
      <c r="B1412" t="s">
        <v>1428</v>
      </c>
      <c r="C1412" t="s">
        <v>5504</v>
      </c>
    </row>
    <row r="1413" spans="1:3" x14ac:dyDescent="0.25">
      <c r="A1413">
        <v>1412</v>
      </c>
      <c r="B1413" t="s">
        <v>275</v>
      </c>
      <c r="C1413" t="s">
        <v>5505</v>
      </c>
    </row>
    <row r="1414" spans="1:3" x14ac:dyDescent="0.25">
      <c r="A1414">
        <v>1413</v>
      </c>
      <c r="B1414" t="s">
        <v>13</v>
      </c>
      <c r="C1414" t="s">
        <v>5506</v>
      </c>
    </row>
    <row r="1415" spans="1:3" x14ac:dyDescent="0.25">
      <c r="A1415">
        <v>1414</v>
      </c>
      <c r="B1415" t="s">
        <v>17</v>
      </c>
      <c r="C1415" t="s">
        <v>5507</v>
      </c>
    </row>
    <row r="1416" spans="1:3" x14ac:dyDescent="0.25">
      <c r="A1416">
        <v>1415</v>
      </c>
      <c r="B1416" t="s">
        <v>21</v>
      </c>
      <c r="C1416" t="s">
        <v>5508</v>
      </c>
    </row>
    <row r="1417" spans="1:3" x14ac:dyDescent="0.25">
      <c r="A1417">
        <v>1416</v>
      </c>
      <c r="B1417" t="s">
        <v>37</v>
      </c>
      <c r="C1417" t="s">
        <v>5509</v>
      </c>
    </row>
    <row r="1418" spans="1:3" x14ac:dyDescent="0.25">
      <c r="A1418">
        <v>1417</v>
      </c>
      <c r="B1418" t="s">
        <v>42</v>
      </c>
      <c r="C1418" t="s">
        <v>5510</v>
      </c>
    </row>
    <row r="1419" spans="1:3" x14ac:dyDescent="0.25">
      <c r="A1419">
        <v>1418</v>
      </c>
      <c r="B1419" t="s">
        <v>46</v>
      </c>
      <c r="C1419" t="s">
        <v>5511</v>
      </c>
    </row>
    <row r="1420" spans="1:3" x14ac:dyDescent="0.25">
      <c r="A1420">
        <v>1419</v>
      </c>
      <c r="B1420" t="s">
        <v>49</v>
      </c>
      <c r="C1420" t="s">
        <v>5512</v>
      </c>
    </row>
    <row r="1421" spans="1:3" x14ac:dyDescent="0.25">
      <c r="A1421">
        <v>1420</v>
      </c>
      <c r="B1421" t="s">
        <v>52</v>
      </c>
      <c r="C1421" t="s">
        <v>5513</v>
      </c>
    </row>
    <row r="1422" spans="1:3" x14ac:dyDescent="0.25">
      <c r="A1422">
        <v>1421</v>
      </c>
      <c r="B1422" t="s">
        <v>61</v>
      </c>
      <c r="C1422" t="s">
        <v>5514</v>
      </c>
    </row>
    <row r="1423" spans="1:3" x14ac:dyDescent="0.25">
      <c r="A1423">
        <v>1422</v>
      </c>
      <c r="B1423" t="s">
        <v>70</v>
      </c>
      <c r="C1423" t="s">
        <v>5515</v>
      </c>
    </row>
    <row r="1424" spans="1:3" x14ac:dyDescent="0.25">
      <c r="A1424">
        <v>1423</v>
      </c>
      <c r="B1424" t="s">
        <v>82</v>
      </c>
      <c r="C1424" t="s">
        <v>5516</v>
      </c>
    </row>
    <row r="1425" spans="1:3" x14ac:dyDescent="0.25">
      <c r="A1425">
        <v>1424</v>
      </c>
      <c r="B1425" t="s">
        <v>107</v>
      </c>
      <c r="C1425" t="s">
        <v>5517</v>
      </c>
    </row>
    <row r="1426" spans="1:3" x14ac:dyDescent="0.25">
      <c r="A1426">
        <v>1425</v>
      </c>
      <c r="B1426" t="s">
        <v>155</v>
      </c>
      <c r="C1426" t="s">
        <v>5518</v>
      </c>
    </row>
    <row r="1427" spans="1:3" x14ac:dyDescent="0.25">
      <c r="A1427">
        <v>1426</v>
      </c>
      <c r="B1427" t="s">
        <v>166</v>
      </c>
      <c r="C1427" t="s">
        <v>5519</v>
      </c>
    </row>
    <row r="1428" spans="1:3" x14ac:dyDescent="0.25">
      <c r="A1428">
        <v>1427</v>
      </c>
      <c r="B1428" t="s">
        <v>181</v>
      </c>
      <c r="C1428" t="s">
        <v>5520</v>
      </c>
    </row>
    <row r="1429" spans="1:3" x14ac:dyDescent="0.25">
      <c r="A1429">
        <v>1428</v>
      </c>
      <c r="B1429" t="s">
        <v>189</v>
      </c>
      <c r="C1429" t="s">
        <v>5521</v>
      </c>
    </row>
    <row r="1430" spans="1:3" x14ac:dyDescent="0.25">
      <c r="A1430">
        <v>1429</v>
      </c>
      <c r="B1430" t="s">
        <v>216</v>
      </c>
      <c r="C1430" t="s">
        <v>5522</v>
      </c>
    </row>
    <row r="1431" spans="1:3" x14ac:dyDescent="0.25">
      <c r="A1431">
        <v>1430</v>
      </c>
      <c r="B1431" t="s">
        <v>221</v>
      </c>
      <c r="C1431" t="s">
        <v>5523</v>
      </c>
    </row>
    <row r="1432" spans="1:3" x14ac:dyDescent="0.25">
      <c r="A1432">
        <v>1431</v>
      </c>
      <c r="B1432" t="s">
        <v>228</v>
      </c>
      <c r="C1432" t="s">
        <v>5524</v>
      </c>
    </row>
    <row r="1433" spans="1:3" x14ac:dyDescent="0.25">
      <c r="A1433">
        <v>1432</v>
      </c>
      <c r="B1433" t="s">
        <v>241</v>
      </c>
      <c r="C1433" t="s">
        <v>5525</v>
      </c>
    </row>
    <row r="1434" spans="1:3" x14ac:dyDescent="0.25">
      <c r="A1434">
        <v>1433</v>
      </c>
      <c r="B1434" t="s">
        <v>278</v>
      </c>
      <c r="C1434" t="s">
        <v>5526</v>
      </c>
    </row>
    <row r="1435" spans="1:3" x14ac:dyDescent="0.25">
      <c r="A1435">
        <v>1434</v>
      </c>
      <c r="B1435" t="s">
        <v>289</v>
      </c>
      <c r="C1435" t="s">
        <v>5527</v>
      </c>
    </row>
    <row r="1436" spans="1:3" x14ac:dyDescent="0.25">
      <c r="A1436">
        <v>1435</v>
      </c>
      <c r="B1436" t="s">
        <v>304</v>
      </c>
      <c r="C1436" t="s">
        <v>5528</v>
      </c>
    </row>
    <row r="1437" spans="1:3" x14ac:dyDescent="0.25">
      <c r="A1437">
        <v>1436</v>
      </c>
      <c r="B1437" t="s">
        <v>307</v>
      </c>
      <c r="C1437" t="s">
        <v>5529</v>
      </c>
    </row>
    <row r="1438" spans="1:3" x14ac:dyDescent="0.25">
      <c r="A1438">
        <v>1437</v>
      </c>
      <c r="B1438" t="s">
        <v>313</v>
      </c>
      <c r="C1438" t="s">
        <v>5530</v>
      </c>
    </row>
    <row r="1439" spans="1:3" x14ac:dyDescent="0.25">
      <c r="A1439">
        <v>1438</v>
      </c>
      <c r="B1439" t="s">
        <v>327</v>
      </c>
      <c r="C1439" t="s">
        <v>5531</v>
      </c>
    </row>
    <row r="1440" spans="1:3" x14ac:dyDescent="0.25">
      <c r="A1440">
        <v>1439</v>
      </c>
      <c r="B1440" t="s">
        <v>340</v>
      </c>
      <c r="C1440" t="s">
        <v>5532</v>
      </c>
    </row>
    <row r="1441" spans="1:3" x14ac:dyDescent="0.25">
      <c r="A1441">
        <v>1440</v>
      </c>
      <c r="B1441" t="s">
        <v>359</v>
      </c>
      <c r="C1441" t="s">
        <v>5533</v>
      </c>
    </row>
    <row r="1442" spans="1:3" x14ac:dyDescent="0.25">
      <c r="A1442">
        <v>1441</v>
      </c>
      <c r="B1442" t="s">
        <v>379</v>
      </c>
      <c r="C1442" t="s">
        <v>5534</v>
      </c>
    </row>
    <row r="1443" spans="1:3" x14ac:dyDescent="0.25">
      <c r="A1443">
        <v>1442</v>
      </c>
      <c r="B1443" t="s">
        <v>382</v>
      </c>
      <c r="C1443" t="s">
        <v>5535</v>
      </c>
    </row>
    <row r="1444" spans="1:3" x14ac:dyDescent="0.25">
      <c r="A1444">
        <v>1443</v>
      </c>
      <c r="B1444" t="s">
        <v>398</v>
      </c>
      <c r="C1444" t="s">
        <v>5536</v>
      </c>
    </row>
    <row r="1445" spans="1:3" x14ac:dyDescent="0.25">
      <c r="A1445">
        <v>1444</v>
      </c>
      <c r="B1445" t="s">
        <v>406</v>
      </c>
      <c r="C1445" t="s">
        <v>5537</v>
      </c>
    </row>
    <row r="1446" spans="1:3" x14ac:dyDescent="0.25">
      <c r="A1446">
        <v>1445</v>
      </c>
      <c r="B1446" t="s">
        <v>411</v>
      </c>
      <c r="C1446" t="s">
        <v>5538</v>
      </c>
    </row>
    <row r="1447" spans="1:3" x14ac:dyDescent="0.25">
      <c r="A1447">
        <v>1446</v>
      </c>
      <c r="B1447" t="s">
        <v>416</v>
      </c>
      <c r="C1447" t="s">
        <v>5539</v>
      </c>
    </row>
    <row r="1448" spans="1:3" x14ac:dyDescent="0.25">
      <c r="A1448">
        <v>1447</v>
      </c>
      <c r="B1448" t="s">
        <v>423</v>
      </c>
      <c r="C1448" t="s">
        <v>5540</v>
      </c>
    </row>
    <row r="1449" spans="1:3" x14ac:dyDescent="0.25">
      <c r="A1449">
        <v>1448</v>
      </c>
      <c r="B1449" t="s">
        <v>450</v>
      </c>
      <c r="C1449" t="s">
        <v>5541</v>
      </c>
    </row>
    <row r="1450" spans="1:3" x14ac:dyDescent="0.25">
      <c r="A1450">
        <v>1449</v>
      </c>
      <c r="B1450" t="s">
        <v>467</v>
      </c>
      <c r="C1450" t="s">
        <v>5542</v>
      </c>
    </row>
    <row r="1451" spans="1:3" x14ac:dyDescent="0.25">
      <c r="A1451">
        <v>1450</v>
      </c>
      <c r="B1451" t="s">
        <v>480</v>
      </c>
      <c r="C1451" t="s">
        <v>5543</v>
      </c>
    </row>
    <row r="1452" spans="1:3" x14ac:dyDescent="0.25">
      <c r="A1452">
        <v>1451</v>
      </c>
      <c r="B1452" t="s">
        <v>497</v>
      </c>
      <c r="C1452" t="s">
        <v>5544</v>
      </c>
    </row>
    <row r="1453" spans="1:3" x14ac:dyDescent="0.25">
      <c r="A1453">
        <v>1452</v>
      </c>
      <c r="B1453" t="s">
        <v>504</v>
      </c>
      <c r="C1453" t="s">
        <v>5545</v>
      </c>
    </row>
    <row r="1454" spans="1:3" x14ac:dyDescent="0.25">
      <c r="A1454">
        <v>1453</v>
      </c>
      <c r="B1454" t="s">
        <v>507</v>
      </c>
      <c r="C1454" t="s">
        <v>5546</v>
      </c>
    </row>
    <row r="1455" spans="1:3" x14ac:dyDescent="0.25">
      <c r="A1455">
        <v>1454</v>
      </c>
      <c r="B1455" t="s">
        <v>514</v>
      </c>
      <c r="C1455" t="s">
        <v>5547</v>
      </c>
    </row>
    <row r="1456" spans="1:3" x14ac:dyDescent="0.25">
      <c r="A1456">
        <v>1455</v>
      </c>
      <c r="B1456" t="s">
        <v>517</v>
      </c>
      <c r="C1456" t="s">
        <v>5548</v>
      </c>
    </row>
    <row r="1457" spans="1:3" x14ac:dyDescent="0.25">
      <c r="A1457">
        <v>1456</v>
      </c>
      <c r="B1457" t="s">
        <v>528</v>
      </c>
      <c r="C1457" t="s">
        <v>5549</v>
      </c>
    </row>
    <row r="1458" spans="1:3" x14ac:dyDescent="0.25">
      <c r="A1458">
        <v>1457</v>
      </c>
      <c r="B1458" t="s">
        <v>536</v>
      </c>
      <c r="C1458" t="s">
        <v>5550</v>
      </c>
    </row>
    <row r="1459" spans="1:3" x14ac:dyDescent="0.25">
      <c r="A1459">
        <v>1458</v>
      </c>
      <c r="B1459" t="s">
        <v>539</v>
      </c>
      <c r="C1459" t="s">
        <v>5551</v>
      </c>
    </row>
    <row r="1460" spans="1:3" x14ac:dyDescent="0.25">
      <c r="A1460">
        <v>1459</v>
      </c>
      <c r="B1460" t="s">
        <v>546</v>
      </c>
      <c r="C1460" t="s">
        <v>5552</v>
      </c>
    </row>
    <row r="1461" spans="1:3" x14ac:dyDescent="0.25">
      <c r="A1461">
        <v>1460</v>
      </c>
      <c r="B1461" t="s">
        <v>552</v>
      </c>
      <c r="C1461" t="s">
        <v>5553</v>
      </c>
    </row>
    <row r="1462" spans="1:3" x14ac:dyDescent="0.25">
      <c r="A1462">
        <v>1461</v>
      </c>
      <c r="B1462" t="s">
        <v>567</v>
      </c>
      <c r="C1462" t="s">
        <v>5554</v>
      </c>
    </row>
    <row r="1463" spans="1:3" x14ac:dyDescent="0.25">
      <c r="A1463">
        <v>1462</v>
      </c>
      <c r="B1463" t="s">
        <v>576</v>
      </c>
      <c r="C1463" t="s">
        <v>5555</v>
      </c>
    </row>
    <row r="1464" spans="1:3" x14ac:dyDescent="0.25">
      <c r="A1464">
        <v>1463</v>
      </c>
      <c r="B1464" t="s">
        <v>579</v>
      </c>
      <c r="C1464" t="s">
        <v>5556</v>
      </c>
    </row>
    <row r="1465" spans="1:3" x14ac:dyDescent="0.25">
      <c r="A1465">
        <v>1464</v>
      </c>
      <c r="B1465" t="s">
        <v>587</v>
      </c>
      <c r="C1465" t="s">
        <v>5557</v>
      </c>
    </row>
    <row r="1466" spans="1:3" x14ac:dyDescent="0.25">
      <c r="A1466">
        <v>1465</v>
      </c>
      <c r="B1466" t="s">
        <v>601</v>
      </c>
      <c r="C1466" t="s">
        <v>5558</v>
      </c>
    </row>
    <row r="1467" spans="1:3" x14ac:dyDescent="0.25">
      <c r="A1467">
        <v>1466</v>
      </c>
      <c r="B1467" t="s">
        <v>605</v>
      </c>
      <c r="C1467" t="s">
        <v>5559</v>
      </c>
    </row>
    <row r="1468" spans="1:3" x14ac:dyDescent="0.25">
      <c r="A1468">
        <v>1467</v>
      </c>
      <c r="B1468" t="s">
        <v>613</v>
      </c>
      <c r="C1468" t="s">
        <v>5560</v>
      </c>
    </row>
    <row r="1469" spans="1:3" x14ac:dyDescent="0.25">
      <c r="A1469">
        <v>1468</v>
      </c>
      <c r="B1469" t="s">
        <v>621</v>
      </c>
      <c r="C1469" t="s">
        <v>5561</v>
      </c>
    </row>
    <row r="1470" spans="1:3" x14ac:dyDescent="0.25">
      <c r="A1470">
        <v>1469</v>
      </c>
      <c r="B1470" t="s">
        <v>627</v>
      </c>
      <c r="C1470" t="s">
        <v>5562</v>
      </c>
    </row>
    <row r="1471" spans="1:3" x14ac:dyDescent="0.25">
      <c r="A1471">
        <v>1470</v>
      </c>
      <c r="B1471" t="s">
        <v>642</v>
      </c>
      <c r="C1471" t="s">
        <v>5563</v>
      </c>
    </row>
    <row r="1472" spans="1:3" x14ac:dyDescent="0.25">
      <c r="A1472">
        <v>1471</v>
      </c>
      <c r="B1472" t="s">
        <v>653</v>
      </c>
      <c r="C1472" t="s">
        <v>5564</v>
      </c>
    </row>
    <row r="1473" spans="1:3" x14ac:dyDescent="0.25">
      <c r="A1473">
        <v>1472</v>
      </c>
      <c r="B1473" t="s">
        <v>670</v>
      </c>
      <c r="C1473" t="s">
        <v>5565</v>
      </c>
    </row>
    <row r="1474" spans="1:3" x14ac:dyDescent="0.25">
      <c r="A1474">
        <v>1473</v>
      </c>
      <c r="B1474" t="s">
        <v>681</v>
      </c>
      <c r="C1474" t="s">
        <v>5566</v>
      </c>
    </row>
    <row r="1475" spans="1:3" x14ac:dyDescent="0.25">
      <c r="A1475">
        <v>1474</v>
      </c>
      <c r="B1475" t="s">
        <v>689</v>
      </c>
      <c r="C1475" t="s">
        <v>5567</v>
      </c>
    </row>
    <row r="1476" spans="1:3" x14ac:dyDescent="0.25">
      <c r="A1476">
        <v>1475</v>
      </c>
      <c r="B1476" t="s">
        <v>692</v>
      </c>
      <c r="C1476" t="s">
        <v>5568</v>
      </c>
    </row>
    <row r="1477" spans="1:3" x14ac:dyDescent="0.25">
      <c r="A1477">
        <v>1476</v>
      </c>
      <c r="B1477" t="s">
        <v>699</v>
      </c>
      <c r="C1477" t="s">
        <v>5569</v>
      </c>
    </row>
    <row r="1478" spans="1:3" x14ac:dyDescent="0.25">
      <c r="A1478">
        <v>1477</v>
      </c>
      <c r="B1478" t="s">
        <v>708</v>
      </c>
      <c r="C1478" t="s">
        <v>5570</v>
      </c>
    </row>
    <row r="1479" spans="1:3" x14ac:dyDescent="0.25">
      <c r="A1479">
        <v>1478</v>
      </c>
      <c r="B1479" t="s">
        <v>713</v>
      </c>
      <c r="C1479" t="s">
        <v>5571</v>
      </c>
    </row>
    <row r="1480" spans="1:3" x14ac:dyDescent="0.25">
      <c r="A1480">
        <v>1479</v>
      </c>
      <c r="B1480" t="s">
        <v>1360</v>
      </c>
      <c r="C1480" t="s">
        <v>5572</v>
      </c>
    </row>
    <row r="1481" spans="1:3" x14ac:dyDescent="0.25">
      <c r="A1481">
        <v>1480</v>
      </c>
      <c r="B1481" t="s">
        <v>1388</v>
      </c>
      <c r="C1481" t="s">
        <v>5573</v>
      </c>
    </row>
    <row r="1482" spans="1:3" x14ac:dyDescent="0.25">
      <c r="A1482">
        <v>1481</v>
      </c>
      <c r="B1482" t="s">
        <v>1111</v>
      </c>
      <c r="C1482" t="s">
        <v>5574</v>
      </c>
    </row>
    <row r="1483" spans="1:3" x14ac:dyDescent="0.25">
      <c r="A1483">
        <v>1482</v>
      </c>
      <c r="B1483" t="s">
        <v>1412</v>
      </c>
      <c r="C1483" t="s">
        <v>5575</v>
      </c>
    </row>
    <row r="1484" spans="1:3" x14ac:dyDescent="0.25">
      <c r="A1484">
        <v>1483</v>
      </c>
      <c r="B1484" t="s">
        <v>1614</v>
      </c>
      <c r="C1484" t="s">
        <v>5576</v>
      </c>
    </row>
    <row r="1485" spans="1:3" x14ac:dyDescent="0.25">
      <c r="A1485">
        <v>1484</v>
      </c>
      <c r="B1485" t="s">
        <v>4</v>
      </c>
      <c r="C1485" t="s">
        <v>5577</v>
      </c>
    </row>
    <row r="1486" spans="1:3" x14ac:dyDescent="0.25">
      <c r="A1486">
        <v>1485</v>
      </c>
      <c r="B1486" t="s">
        <v>1230</v>
      </c>
      <c r="C1486" t="s">
        <v>5578</v>
      </c>
    </row>
    <row r="1487" spans="1:3" x14ac:dyDescent="0.25">
      <c r="A1487">
        <v>1486</v>
      </c>
      <c r="B1487" t="s">
        <v>1310</v>
      </c>
      <c r="C1487" t="s">
        <v>5579</v>
      </c>
    </row>
    <row r="1488" spans="1:3" x14ac:dyDescent="0.25">
      <c r="A1488">
        <v>1487</v>
      </c>
      <c r="B1488" t="s">
        <v>1439</v>
      </c>
      <c r="C1488" t="s">
        <v>5580</v>
      </c>
    </row>
    <row r="1489" spans="1:3" x14ac:dyDescent="0.25">
      <c r="A1489">
        <v>1488</v>
      </c>
      <c r="B1489" t="s">
        <v>1692</v>
      </c>
      <c r="C1489" t="s">
        <v>5581</v>
      </c>
    </row>
    <row r="1490" spans="1:3" x14ac:dyDescent="0.25">
      <c r="A1490">
        <v>1489</v>
      </c>
      <c r="B1490" t="s">
        <v>3988</v>
      </c>
      <c r="C1490" t="s">
        <v>5582</v>
      </c>
    </row>
    <row r="1491" spans="1:3" x14ac:dyDescent="0.25">
      <c r="A1491">
        <v>1490</v>
      </c>
      <c r="B1491" t="s">
        <v>1615</v>
      </c>
      <c r="C1491" t="s">
        <v>5583</v>
      </c>
    </row>
    <row r="1492" spans="1:3" x14ac:dyDescent="0.25">
      <c r="A1492">
        <v>1491</v>
      </c>
      <c r="B1492" t="s">
        <v>1400</v>
      </c>
      <c r="C1492" t="s">
        <v>5584</v>
      </c>
    </row>
    <row r="1493" spans="1:3" x14ac:dyDescent="0.25">
      <c r="A1493">
        <v>1492</v>
      </c>
      <c r="B1493" t="s">
        <v>1515</v>
      </c>
      <c r="C1493" t="s">
        <v>5585</v>
      </c>
    </row>
    <row r="1494" spans="1:3" x14ac:dyDescent="0.25">
      <c r="A1494">
        <v>1493</v>
      </c>
      <c r="B1494" t="s">
        <v>1601</v>
      </c>
      <c r="C1494" t="s">
        <v>5586</v>
      </c>
    </row>
    <row r="1495" spans="1:3" x14ac:dyDescent="0.25">
      <c r="A1495">
        <v>1494</v>
      </c>
      <c r="B1495" t="s">
        <v>1789</v>
      </c>
      <c r="C1495" t="s">
        <v>5587</v>
      </c>
    </row>
    <row r="1496" spans="1:3" x14ac:dyDescent="0.25">
      <c r="A1496">
        <v>1495</v>
      </c>
      <c r="B1496" t="s">
        <v>1924</v>
      </c>
      <c r="C1496" t="s">
        <v>5588</v>
      </c>
    </row>
    <row r="1497" spans="1:3" x14ac:dyDescent="0.25">
      <c r="A1497">
        <v>1496</v>
      </c>
      <c r="B1497" t="s">
        <v>1399</v>
      </c>
      <c r="C1497" t="s">
        <v>5589</v>
      </c>
    </row>
    <row r="1498" spans="1:3" x14ac:dyDescent="0.25">
      <c r="A1498">
        <v>1497</v>
      </c>
      <c r="B1498" t="s">
        <v>1514</v>
      </c>
      <c r="C1498" t="s">
        <v>5590</v>
      </c>
    </row>
    <row r="1499" spans="1:3" x14ac:dyDescent="0.25">
      <c r="A1499">
        <v>1498</v>
      </c>
      <c r="B1499" t="s">
        <v>1600</v>
      </c>
      <c r="C1499" t="s">
        <v>5591</v>
      </c>
    </row>
    <row r="1500" spans="1:3" x14ac:dyDescent="0.25">
      <c r="A1500">
        <v>1499</v>
      </c>
      <c r="B1500" t="s">
        <v>1568</v>
      </c>
      <c r="C1500" t="s">
        <v>5592</v>
      </c>
    </row>
    <row r="1501" spans="1:3" x14ac:dyDescent="0.25">
      <c r="A1501">
        <v>1500</v>
      </c>
      <c r="B1501" t="s">
        <v>1787</v>
      </c>
      <c r="C1501" t="s">
        <v>5593</v>
      </c>
    </row>
    <row r="1502" spans="1:3" x14ac:dyDescent="0.25">
      <c r="A1502">
        <v>1501</v>
      </c>
      <c r="B1502" t="s">
        <v>1700</v>
      </c>
      <c r="C1502" t="s">
        <v>5594</v>
      </c>
    </row>
    <row r="1503" spans="1:3" x14ac:dyDescent="0.25">
      <c r="A1503">
        <v>1502</v>
      </c>
      <c r="B1503" t="s">
        <v>1714</v>
      </c>
      <c r="C1503" t="s">
        <v>5595</v>
      </c>
    </row>
    <row r="1504" spans="1:3" x14ac:dyDescent="0.25">
      <c r="A1504">
        <v>1503</v>
      </c>
      <c r="B1504" t="s">
        <v>1263</v>
      </c>
      <c r="C1504" t="s">
        <v>5596</v>
      </c>
    </row>
    <row r="1505" spans="1:3" x14ac:dyDescent="0.25">
      <c r="A1505">
        <v>1504</v>
      </c>
      <c r="B1505" t="s">
        <v>1421</v>
      </c>
      <c r="C1505" t="s">
        <v>5597</v>
      </c>
    </row>
    <row r="1506" spans="1:3" x14ac:dyDescent="0.25">
      <c r="A1506">
        <v>1505</v>
      </c>
      <c r="B1506" t="s">
        <v>1820</v>
      </c>
      <c r="C1506" t="s">
        <v>5598</v>
      </c>
    </row>
    <row r="1507" spans="1:3" x14ac:dyDescent="0.25">
      <c r="A1507">
        <v>1506</v>
      </c>
      <c r="B1507" t="s">
        <v>1885</v>
      </c>
      <c r="C1507" t="s">
        <v>5599</v>
      </c>
    </row>
    <row r="1508" spans="1:3" x14ac:dyDescent="0.25">
      <c r="A1508">
        <v>1507</v>
      </c>
      <c r="B1508" t="s">
        <v>1896</v>
      </c>
      <c r="C1508" t="s">
        <v>5600</v>
      </c>
    </row>
    <row r="1509" spans="1:3" x14ac:dyDescent="0.25">
      <c r="A1509">
        <v>1508</v>
      </c>
      <c r="B1509" t="s">
        <v>2006</v>
      </c>
      <c r="C1509" t="s">
        <v>5601</v>
      </c>
    </row>
    <row r="1510" spans="1:3" x14ac:dyDescent="0.25">
      <c r="A1510">
        <v>1509</v>
      </c>
      <c r="B1510" t="s">
        <v>1698</v>
      </c>
      <c r="C1510" t="s">
        <v>5602</v>
      </c>
    </row>
    <row r="1511" spans="1:3" x14ac:dyDescent="0.25">
      <c r="A1511">
        <v>1510</v>
      </c>
      <c r="B1511" t="s">
        <v>1823</v>
      </c>
      <c r="C1511" t="s">
        <v>5603</v>
      </c>
    </row>
    <row r="1512" spans="1:3" x14ac:dyDescent="0.25">
      <c r="A1512">
        <v>1511</v>
      </c>
      <c r="B1512" t="s">
        <v>2000</v>
      </c>
      <c r="C1512" t="s">
        <v>5604</v>
      </c>
    </row>
    <row r="1513" spans="1:3" x14ac:dyDescent="0.25">
      <c r="A1513">
        <v>1512</v>
      </c>
      <c r="B1513" t="s">
        <v>2013</v>
      </c>
      <c r="C1513" t="s">
        <v>5605</v>
      </c>
    </row>
    <row r="1514" spans="1:3" x14ac:dyDescent="0.25">
      <c r="A1514">
        <v>1513</v>
      </c>
      <c r="B1514" t="s">
        <v>1912</v>
      </c>
      <c r="C1514" t="s">
        <v>5606</v>
      </c>
    </row>
    <row r="1515" spans="1:3" x14ac:dyDescent="0.25">
      <c r="A1515">
        <v>1514</v>
      </c>
      <c r="B1515" t="s">
        <v>1929</v>
      </c>
      <c r="C1515" t="s">
        <v>5607</v>
      </c>
    </row>
    <row r="1516" spans="1:3" x14ac:dyDescent="0.25">
      <c r="A1516">
        <v>1515</v>
      </c>
      <c r="B1516" t="s">
        <v>1339</v>
      </c>
      <c r="C1516" t="s">
        <v>5608</v>
      </c>
    </row>
    <row r="1517" spans="1:3" x14ac:dyDescent="0.25">
      <c r="A1517">
        <v>1516</v>
      </c>
      <c r="B1517" t="s">
        <v>1887</v>
      </c>
      <c r="C1517" t="s">
        <v>5609</v>
      </c>
    </row>
    <row r="1518" spans="1:3" x14ac:dyDescent="0.25">
      <c r="A1518">
        <v>1517</v>
      </c>
      <c r="B1518" t="s">
        <v>1992</v>
      </c>
      <c r="C1518" t="s">
        <v>5610</v>
      </c>
    </row>
    <row r="1519" spans="1:3" x14ac:dyDescent="0.25">
      <c r="A1519">
        <v>1518</v>
      </c>
      <c r="B1519" t="s">
        <v>1840</v>
      </c>
      <c r="C1519" t="s">
        <v>5611</v>
      </c>
    </row>
    <row r="1520" spans="1:3" x14ac:dyDescent="0.25">
      <c r="A1520">
        <v>1519</v>
      </c>
      <c r="B1520" t="s">
        <v>1982</v>
      </c>
      <c r="C1520" t="s">
        <v>5612</v>
      </c>
    </row>
    <row r="1521" spans="1:3" x14ac:dyDescent="0.25">
      <c r="A1521">
        <v>1520</v>
      </c>
      <c r="B1521" t="s">
        <v>1985</v>
      </c>
      <c r="C1521" t="s">
        <v>5613</v>
      </c>
    </row>
    <row r="1522" spans="1:3" x14ac:dyDescent="0.25">
      <c r="A1522">
        <v>1521</v>
      </c>
      <c r="B1522" t="s">
        <v>1994</v>
      </c>
      <c r="C1522" t="s">
        <v>5614</v>
      </c>
    </row>
    <row r="1523" spans="1:3" x14ac:dyDescent="0.25">
      <c r="A1523">
        <v>1522</v>
      </c>
      <c r="B1523" t="s">
        <v>1946</v>
      </c>
      <c r="C1523" t="s">
        <v>5615</v>
      </c>
    </row>
    <row r="1524" spans="1:3" x14ac:dyDescent="0.25">
      <c r="A1524">
        <v>1523</v>
      </c>
      <c r="B1524" t="s">
        <v>1907</v>
      </c>
      <c r="C1524" t="s">
        <v>5616</v>
      </c>
    </row>
    <row r="1525" spans="1:3" x14ac:dyDescent="0.25">
      <c r="A1525">
        <v>1524</v>
      </c>
      <c r="B1525" t="s">
        <v>1744</v>
      </c>
      <c r="C1525" t="s">
        <v>5617</v>
      </c>
    </row>
    <row r="1526" spans="1:3" x14ac:dyDescent="0.25">
      <c r="A1526">
        <v>1525</v>
      </c>
      <c r="B1526" t="s">
        <v>1970</v>
      </c>
      <c r="C1526" t="s">
        <v>5618</v>
      </c>
    </row>
    <row r="1527" spans="1:3" x14ac:dyDescent="0.25">
      <c r="A1527">
        <v>1526</v>
      </c>
      <c r="B1527" t="s">
        <v>1071</v>
      </c>
      <c r="C1527" t="s">
        <v>5619</v>
      </c>
    </row>
    <row r="1528" spans="1:3" x14ac:dyDescent="0.25">
      <c r="A1528">
        <v>1527</v>
      </c>
      <c r="B1528" t="s">
        <v>1647</v>
      </c>
      <c r="C1528" t="s">
        <v>5620</v>
      </c>
    </row>
    <row r="1529" spans="1:3" x14ac:dyDescent="0.25">
      <c r="A1529">
        <v>1528</v>
      </c>
      <c r="B1529" t="s">
        <v>1938</v>
      </c>
      <c r="C1529" t="s">
        <v>5621</v>
      </c>
    </row>
    <row r="1530" spans="1:3" x14ac:dyDescent="0.25">
      <c r="A1530">
        <v>1529</v>
      </c>
      <c r="B1530" t="s">
        <v>1266</v>
      </c>
      <c r="C1530" t="s">
        <v>5622</v>
      </c>
    </row>
    <row r="1531" spans="1:3" x14ac:dyDescent="0.25">
      <c r="A1531">
        <v>1530</v>
      </c>
      <c r="B1531" t="s">
        <v>1249</v>
      </c>
      <c r="C1531" t="s">
        <v>5623</v>
      </c>
    </row>
    <row r="1532" spans="1:3" x14ac:dyDescent="0.25">
      <c r="A1532">
        <v>1531</v>
      </c>
      <c r="B1532" t="s">
        <v>1795</v>
      </c>
      <c r="C1532" t="s">
        <v>5624</v>
      </c>
    </row>
    <row r="1533" spans="1:3" x14ac:dyDescent="0.25">
      <c r="A1533">
        <v>1532</v>
      </c>
      <c r="B1533" t="s">
        <v>1367</v>
      </c>
      <c r="C1533" t="s">
        <v>5625</v>
      </c>
    </row>
    <row r="1534" spans="1:3" x14ac:dyDescent="0.25">
      <c r="A1534">
        <v>1533</v>
      </c>
      <c r="B1534" t="s">
        <v>1483</v>
      </c>
      <c r="C1534" t="s">
        <v>5626</v>
      </c>
    </row>
    <row r="1535" spans="1:3" x14ac:dyDescent="0.25">
      <c r="A1535">
        <v>1534</v>
      </c>
      <c r="B1535" t="s">
        <v>1546</v>
      </c>
      <c r="C1535" t="s">
        <v>5627</v>
      </c>
    </row>
    <row r="1536" spans="1:3" x14ac:dyDescent="0.25">
      <c r="A1536">
        <v>1535</v>
      </c>
      <c r="B1536" t="s">
        <v>1586</v>
      </c>
      <c r="C1536" t="s">
        <v>5628</v>
      </c>
    </row>
    <row r="1537" spans="1:3" x14ac:dyDescent="0.25">
      <c r="A1537">
        <v>1536</v>
      </c>
      <c r="B1537" t="s">
        <v>1628</v>
      </c>
      <c r="C1537" t="s">
        <v>5629</v>
      </c>
    </row>
    <row r="1538" spans="1:3" x14ac:dyDescent="0.25">
      <c r="A1538">
        <v>1537</v>
      </c>
      <c r="B1538" t="s">
        <v>1629</v>
      </c>
      <c r="C1538" t="s">
        <v>5630</v>
      </c>
    </row>
    <row r="1539" spans="1:3" x14ac:dyDescent="0.25">
      <c r="A1539">
        <v>1538</v>
      </c>
      <c r="B1539" t="s">
        <v>1630</v>
      </c>
      <c r="C1539" t="s">
        <v>5631</v>
      </c>
    </row>
    <row r="1540" spans="1:3" x14ac:dyDescent="0.25">
      <c r="A1540">
        <v>1539</v>
      </c>
      <c r="B1540" t="s">
        <v>1631</v>
      </c>
      <c r="C1540" t="s">
        <v>5632</v>
      </c>
    </row>
    <row r="1541" spans="1:3" x14ac:dyDescent="0.25">
      <c r="A1541">
        <v>1540</v>
      </c>
      <c r="B1541" t="s">
        <v>1632</v>
      </c>
      <c r="C1541" t="s">
        <v>5633</v>
      </c>
    </row>
    <row r="1542" spans="1:3" x14ac:dyDescent="0.25">
      <c r="A1542">
        <v>1541</v>
      </c>
      <c r="B1542" t="s">
        <v>1633</v>
      </c>
      <c r="C1542" t="s">
        <v>5634</v>
      </c>
    </row>
    <row r="1543" spans="1:3" x14ac:dyDescent="0.25">
      <c r="A1543">
        <v>1542</v>
      </c>
      <c r="B1543" t="s">
        <v>1634</v>
      </c>
      <c r="C1543" t="s">
        <v>5635</v>
      </c>
    </row>
    <row r="1544" spans="1:3" x14ac:dyDescent="0.25">
      <c r="A1544">
        <v>1543</v>
      </c>
      <c r="B1544" t="s">
        <v>1635</v>
      </c>
      <c r="C1544" t="s">
        <v>5636</v>
      </c>
    </row>
    <row r="1545" spans="1:3" x14ac:dyDescent="0.25">
      <c r="A1545">
        <v>1544</v>
      </c>
      <c r="B1545" t="s">
        <v>1625</v>
      </c>
      <c r="C1545" t="s">
        <v>5637</v>
      </c>
    </row>
    <row r="1546" spans="1:3" x14ac:dyDescent="0.25">
      <c r="A1546">
        <v>1545</v>
      </c>
      <c r="B1546" t="s">
        <v>1999</v>
      </c>
      <c r="C1546" t="s">
        <v>5638</v>
      </c>
    </row>
    <row r="1547" spans="1:3" x14ac:dyDescent="0.25">
      <c r="A1547">
        <v>1546</v>
      </c>
      <c r="B1547" t="s">
        <v>1745</v>
      </c>
      <c r="C1547" t="s">
        <v>5639</v>
      </c>
    </row>
    <row r="1548" spans="1:3" x14ac:dyDescent="0.25">
      <c r="A1548">
        <v>1547</v>
      </c>
      <c r="B1548" t="s">
        <v>1971</v>
      </c>
      <c r="C1548" t="s">
        <v>5640</v>
      </c>
    </row>
    <row r="1549" spans="1:3" x14ac:dyDescent="0.25">
      <c r="A1549">
        <v>1548</v>
      </c>
      <c r="B1549" t="s">
        <v>1241</v>
      </c>
      <c r="C1549" t="s">
        <v>5641</v>
      </c>
    </row>
    <row r="1550" spans="1:3" x14ac:dyDescent="0.25">
      <c r="A1550">
        <v>1549</v>
      </c>
      <c r="B1550" t="s">
        <v>6</v>
      </c>
      <c r="C1550" t="s">
        <v>5642</v>
      </c>
    </row>
    <row r="1551" spans="1:3" x14ac:dyDescent="0.25">
      <c r="A1551">
        <v>1550</v>
      </c>
      <c r="B1551" t="s">
        <v>1699</v>
      </c>
      <c r="C1551" t="s">
        <v>5643</v>
      </c>
    </row>
    <row r="1552" spans="1:3" x14ac:dyDescent="0.25">
      <c r="A1552">
        <v>1551</v>
      </c>
      <c r="B1552" t="s">
        <v>1824</v>
      </c>
      <c r="C1552" t="s">
        <v>5644</v>
      </c>
    </row>
    <row r="1553" spans="1:3" x14ac:dyDescent="0.25">
      <c r="A1553">
        <v>1552</v>
      </c>
      <c r="B1553" t="s">
        <v>1886</v>
      </c>
      <c r="C1553" t="s">
        <v>5645</v>
      </c>
    </row>
    <row r="1554" spans="1:3" x14ac:dyDescent="0.25">
      <c r="A1554">
        <v>1553</v>
      </c>
      <c r="B1554" t="s">
        <v>1297</v>
      </c>
      <c r="C1554" t="s">
        <v>5646</v>
      </c>
    </row>
    <row r="1555" spans="1:3" x14ac:dyDescent="0.25">
      <c r="A1555">
        <v>1554</v>
      </c>
      <c r="B1555" t="s">
        <v>1991</v>
      </c>
      <c r="C1555" t="s">
        <v>5647</v>
      </c>
    </row>
    <row r="1556" spans="1:3" x14ac:dyDescent="0.25">
      <c r="A1556">
        <v>1555</v>
      </c>
      <c r="B1556" t="s">
        <v>1313</v>
      </c>
      <c r="C1556" t="s">
        <v>5648</v>
      </c>
    </row>
    <row r="1557" spans="1:3" x14ac:dyDescent="0.25">
      <c r="A1557">
        <v>1556</v>
      </c>
      <c r="B1557" t="s">
        <v>1315</v>
      </c>
      <c r="C1557" t="s">
        <v>5649</v>
      </c>
    </row>
    <row r="1558" spans="1:3" x14ac:dyDescent="0.25">
      <c r="A1558">
        <v>1557</v>
      </c>
      <c r="B1558" t="s">
        <v>1463</v>
      </c>
      <c r="C1558" t="s">
        <v>5650</v>
      </c>
    </row>
    <row r="1559" spans="1:3" x14ac:dyDescent="0.25">
      <c r="A1559">
        <v>1558</v>
      </c>
      <c r="B1559" t="s">
        <v>1911</v>
      </c>
      <c r="C1559" t="s">
        <v>5651</v>
      </c>
    </row>
    <row r="1560" spans="1:3" x14ac:dyDescent="0.25">
      <c r="A1560">
        <v>1559</v>
      </c>
      <c r="B1560" t="s">
        <v>1961</v>
      </c>
      <c r="C1560" t="s">
        <v>5652</v>
      </c>
    </row>
    <row r="1561" spans="1:3" x14ac:dyDescent="0.25">
      <c r="A1561">
        <v>1560</v>
      </c>
      <c r="B1561" t="s">
        <v>2017</v>
      </c>
      <c r="C1561" t="s">
        <v>5653</v>
      </c>
    </row>
    <row r="1562" spans="1:3" x14ac:dyDescent="0.25">
      <c r="A1562">
        <v>1561</v>
      </c>
      <c r="B1562" t="s">
        <v>1741</v>
      </c>
      <c r="C1562" t="s">
        <v>5654</v>
      </c>
    </row>
    <row r="1563" spans="1:3" x14ac:dyDescent="0.25">
      <c r="A1563">
        <v>1562</v>
      </c>
      <c r="B1563" t="s">
        <v>1768</v>
      </c>
      <c r="C1563" t="s">
        <v>5655</v>
      </c>
    </row>
    <row r="1564" spans="1:3" x14ac:dyDescent="0.25">
      <c r="A1564">
        <v>1563</v>
      </c>
      <c r="B1564" t="s">
        <v>1516</v>
      </c>
      <c r="C1564" t="s">
        <v>5656</v>
      </c>
    </row>
    <row r="1565" spans="1:3" x14ac:dyDescent="0.25">
      <c r="A1565">
        <v>1564</v>
      </c>
      <c r="B1565" t="s">
        <v>1849</v>
      </c>
      <c r="C1565" t="s">
        <v>5657</v>
      </c>
    </row>
    <row r="1566" spans="1:3" x14ac:dyDescent="0.25">
      <c r="A1566">
        <v>1565</v>
      </c>
      <c r="B1566" t="s">
        <v>1604</v>
      </c>
      <c r="C1566" t="s">
        <v>5658</v>
      </c>
    </row>
    <row r="1567" spans="1:3" x14ac:dyDescent="0.25">
      <c r="A1567">
        <v>1566</v>
      </c>
      <c r="B1567" t="s">
        <v>1413</v>
      </c>
      <c r="C1567" t="s">
        <v>5659</v>
      </c>
    </row>
    <row r="1568" spans="1:3" x14ac:dyDescent="0.25">
      <c r="A1568">
        <v>1567</v>
      </c>
      <c r="B1568" t="s">
        <v>1500</v>
      </c>
      <c r="C1568" t="s">
        <v>5660</v>
      </c>
    </row>
    <row r="1569" spans="1:3" x14ac:dyDescent="0.25">
      <c r="A1569">
        <v>1568</v>
      </c>
      <c r="B1569" t="s">
        <v>1510</v>
      </c>
      <c r="C1569" t="s">
        <v>5661</v>
      </c>
    </row>
    <row r="1570" spans="1:3" x14ac:dyDescent="0.25">
      <c r="A1570">
        <v>1569</v>
      </c>
      <c r="B1570" t="s">
        <v>1921</v>
      </c>
      <c r="C1570" t="s">
        <v>5662</v>
      </c>
    </row>
    <row r="1571" spans="1:3" x14ac:dyDescent="0.25">
      <c r="A1571">
        <v>1570</v>
      </c>
      <c r="B1571" t="s">
        <v>1793</v>
      </c>
      <c r="C1571" t="s">
        <v>5663</v>
      </c>
    </row>
    <row r="1572" spans="1:3" x14ac:dyDescent="0.25">
      <c r="A1572">
        <v>1571</v>
      </c>
      <c r="B1572" t="s">
        <v>5</v>
      </c>
      <c r="C1572" t="s">
        <v>5664</v>
      </c>
    </row>
    <row r="1573" spans="1:3" x14ac:dyDescent="0.25">
      <c r="A1573">
        <v>1572</v>
      </c>
      <c r="B1573" t="s">
        <v>1499</v>
      </c>
      <c r="C1573" t="s">
        <v>5665</v>
      </c>
    </row>
    <row r="1574" spans="1:3" x14ac:dyDescent="0.25">
      <c r="A1574">
        <v>1573</v>
      </c>
      <c r="B1574" t="s">
        <v>1509</v>
      </c>
      <c r="C1574" t="s">
        <v>5666</v>
      </c>
    </row>
    <row r="1575" spans="1:3" x14ac:dyDescent="0.25">
      <c r="A1575">
        <v>1574</v>
      </c>
      <c r="B1575" t="s">
        <v>1792</v>
      </c>
      <c r="C1575" t="s">
        <v>5667</v>
      </c>
    </row>
    <row r="1576" spans="1:3" x14ac:dyDescent="0.25">
      <c r="A1576">
        <v>1575</v>
      </c>
      <c r="B1576" t="s">
        <v>1350</v>
      </c>
      <c r="C1576" t="s">
        <v>5668</v>
      </c>
    </row>
    <row r="1577" spans="1:3" x14ac:dyDescent="0.25">
      <c r="A1577">
        <v>1576</v>
      </c>
      <c r="B1577" t="s">
        <v>1567</v>
      </c>
      <c r="C1577" t="s">
        <v>5669</v>
      </c>
    </row>
    <row r="1578" spans="1:3" x14ac:dyDescent="0.25">
      <c r="A1578">
        <v>1577</v>
      </c>
      <c r="B1578" t="s">
        <v>1213</v>
      </c>
      <c r="C1578" t="s">
        <v>5670</v>
      </c>
    </row>
    <row r="1579" spans="1:3" x14ac:dyDescent="0.25">
      <c r="A1579">
        <v>1578</v>
      </c>
      <c r="B1579" t="s">
        <v>1778</v>
      </c>
      <c r="C1579" t="s">
        <v>5671</v>
      </c>
    </row>
    <row r="1580" spans="1:3" x14ac:dyDescent="0.25">
      <c r="A1580">
        <v>1579</v>
      </c>
      <c r="B1580" t="s">
        <v>1244</v>
      </c>
      <c r="C1580" t="s">
        <v>5672</v>
      </c>
    </row>
    <row r="1581" spans="1:3" x14ac:dyDescent="0.25">
      <c r="A1581">
        <v>1580</v>
      </c>
      <c r="B1581" t="s">
        <v>1697</v>
      </c>
      <c r="C1581" t="s">
        <v>5673</v>
      </c>
    </row>
    <row r="1582" spans="1:3" x14ac:dyDescent="0.25">
      <c r="A1582">
        <v>1581</v>
      </c>
      <c r="B1582" t="s">
        <v>1904</v>
      </c>
      <c r="C1582" t="s">
        <v>5674</v>
      </c>
    </row>
    <row r="1583" spans="1:3" x14ac:dyDescent="0.25">
      <c r="A1583">
        <v>1582</v>
      </c>
      <c r="B1583" t="s">
        <v>1248</v>
      </c>
      <c r="C1583" t="s">
        <v>5675</v>
      </c>
    </row>
    <row r="1584" spans="1:3" x14ac:dyDescent="0.25">
      <c r="A1584">
        <v>1583</v>
      </c>
      <c r="B1584" t="s">
        <v>1286</v>
      </c>
      <c r="C1584" t="s">
        <v>5676</v>
      </c>
    </row>
    <row r="1585" spans="1:3" x14ac:dyDescent="0.25">
      <c r="A1585">
        <v>1584</v>
      </c>
      <c r="B1585" t="s">
        <v>2008</v>
      </c>
      <c r="C1585" t="s">
        <v>5677</v>
      </c>
    </row>
    <row r="1586" spans="1:3" x14ac:dyDescent="0.25">
      <c r="A1586">
        <v>1585</v>
      </c>
      <c r="B1586" t="s">
        <v>594</v>
      </c>
      <c r="C1586" t="s">
        <v>5678</v>
      </c>
    </row>
    <row r="1587" spans="1:3" x14ac:dyDescent="0.25">
      <c r="A1587">
        <v>1586</v>
      </c>
      <c r="B1587" t="s">
        <v>1973</v>
      </c>
      <c r="C1587" t="s">
        <v>5679</v>
      </c>
    </row>
    <row r="1588" spans="1:3" x14ac:dyDescent="0.25">
      <c r="A1588">
        <v>1587</v>
      </c>
      <c r="B1588" t="s">
        <v>1927</v>
      </c>
      <c r="C1588" t="s">
        <v>5680</v>
      </c>
    </row>
    <row r="1589" spans="1:3" x14ac:dyDescent="0.25">
      <c r="A1589">
        <v>1588</v>
      </c>
      <c r="B1589" t="s">
        <v>1915</v>
      </c>
      <c r="C1589" t="s">
        <v>5681</v>
      </c>
    </row>
    <row r="1590" spans="1:3" x14ac:dyDescent="0.25">
      <c r="A1590">
        <v>1589</v>
      </c>
      <c r="B1590" t="s">
        <v>960</v>
      </c>
      <c r="C1590" t="s">
        <v>5682</v>
      </c>
    </row>
    <row r="1591" spans="1:3" x14ac:dyDescent="0.25">
      <c r="A1591">
        <v>1590</v>
      </c>
      <c r="B1591" t="s">
        <v>1790</v>
      </c>
      <c r="C1591" t="s">
        <v>5683</v>
      </c>
    </row>
    <row r="1592" spans="1:3" x14ac:dyDescent="0.25">
      <c r="A1592">
        <v>1591</v>
      </c>
      <c r="B1592" t="s">
        <v>890</v>
      </c>
      <c r="C1592" t="s">
        <v>5684</v>
      </c>
    </row>
    <row r="1593" spans="1:3" x14ac:dyDescent="0.25">
      <c r="A1593">
        <v>1592</v>
      </c>
      <c r="B1593" t="s">
        <v>891</v>
      </c>
      <c r="C1593" t="s">
        <v>5685</v>
      </c>
    </row>
    <row r="1594" spans="1:3" x14ac:dyDescent="0.25">
      <c r="A1594">
        <v>1593</v>
      </c>
      <c r="B1594" t="s">
        <v>892</v>
      </c>
      <c r="C1594" t="s">
        <v>5686</v>
      </c>
    </row>
    <row r="1595" spans="1:3" x14ac:dyDescent="0.25">
      <c r="A1595">
        <v>1594</v>
      </c>
      <c r="B1595" t="s">
        <v>893</v>
      </c>
      <c r="C1595" t="s">
        <v>5687</v>
      </c>
    </row>
    <row r="1596" spans="1:3" x14ac:dyDescent="0.25">
      <c r="A1596">
        <v>1595</v>
      </c>
      <c r="B1596" t="s">
        <v>899</v>
      </c>
      <c r="C1596" t="s">
        <v>5688</v>
      </c>
    </row>
    <row r="1597" spans="1:3" x14ac:dyDescent="0.25">
      <c r="A1597">
        <v>1596</v>
      </c>
      <c r="B1597" t="s">
        <v>919</v>
      </c>
      <c r="C1597" t="s">
        <v>5689</v>
      </c>
    </row>
    <row r="1598" spans="1:3" x14ac:dyDescent="0.25">
      <c r="A1598">
        <v>1597</v>
      </c>
      <c r="B1598" t="s">
        <v>934</v>
      </c>
      <c r="C1598" t="s">
        <v>5690</v>
      </c>
    </row>
    <row r="1599" spans="1:3" x14ac:dyDescent="0.25">
      <c r="A1599">
        <v>1598</v>
      </c>
      <c r="B1599" t="s">
        <v>1696</v>
      </c>
      <c r="C1599" t="s">
        <v>5691</v>
      </c>
    </row>
    <row r="1600" spans="1:3" x14ac:dyDescent="0.25">
      <c r="A1600">
        <v>1599</v>
      </c>
      <c r="B1600" t="s">
        <v>1903</v>
      </c>
      <c r="C1600" t="s">
        <v>5692</v>
      </c>
    </row>
    <row r="1601" spans="1:3" x14ac:dyDescent="0.25">
      <c r="A1601">
        <v>1600</v>
      </c>
      <c r="B1601" t="s">
        <v>1798</v>
      </c>
      <c r="C1601" t="s">
        <v>5693</v>
      </c>
    </row>
    <row r="1602" spans="1:3" x14ac:dyDescent="0.25">
      <c r="A1602">
        <v>1601</v>
      </c>
      <c r="B1602" t="s">
        <v>1116</v>
      </c>
      <c r="C1602" t="s">
        <v>5694</v>
      </c>
    </row>
    <row r="1603" spans="1:3" x14ac:dyDescent="0.25">
      <c r="A1603">
        <v>1602</v>
      </c>
      <c r="B1603" t="s">
        <v>1542</v>
      </c>
      <c r="C1603" t="s">
        <v>5695</v>
      </c>
    </row>
    <row r="1604" spans="1:3" x14ac:dyDescent="0.25">
      <c r="A1604">
        <v>1603</v>
      </c>
      <c r="B1604" t="s">
        <v>1969</v>
      </c>
      <c r="C1604" t="s">
        <v>5696</v>
      </c>
    </row>
    <row r="1605" spans="1:3" x14ac:dyDescent="0.25">
      <c r="A1605">
        <v>1604</v>
      </c>
      <c r="B1605" t="s">
        <v>1990</v>
      </c>
      <c r="C1605" t="s">
        <v>5697</v>
      </c>
    </row>
    <row r="1606" spans="1:3" x14ac:dyDescent="0.25">
      <c r="A1606">
        <v>1605</v>
      </c>
      <c r="B1606" t="s">
        <v>1747</v>
      </c>
      <c r="C1606" t="s">
        <v>5698</v>
      </c>
    </row>
    <row r="1607" spans="1:3" x14ac:dyDescent="0.25">
      <c r="A1607">
        <v>1606</v>
      </c>
      <c r="B1607" t="s">
        <v>3984</v>
      </c>
      <c r="C1607" t="s">
        <v>5699</v>
      </c>
    </row>
    <row r="1608" spans="1:3" x14ac:dyDescent="0.25">
      <c r="A1608">
        <v>1607</v>
      </c>
      <c r="B1608" t="s">
        <v>3982</v>
      </c>
      <c r="C1608" t="s">
        <v>5700</v>
      </c>
    </row>
    <row r="1609" spans="1:3" x14ac:dyDescent="0.25">
      <c r="A1609">
        <v>1608</v>
      </c>
      <c r="B1609" t="s">
        <v>1794</v>
      </c>
      <c r="C1609" t="s">
        <v>5701</v>
      </c>
    </row>
    <row r="1610" spans="1:3" x14ac:dyDescent="0.25">
      <c r="A1610">
        <v>1609</v>
      </c>
      <c r="B1610" t="s">
        <v>1150</v>
      </c>
      <c r="C1610" t="s">
        <v>5702</v>
      </c>
    </row>
    <row r="1611" spans="1:3" x14ac:dyDescent="0.25">
      <c r="A1611">
        <v>1610</v>
      </c>
      <c r="B1611" t="s">
        <v>1585</v>
      </c>
      <c r="C1611" t="s">
        <v>5703</v>
      </c>
    </row>
    <row r="1612" spans="1:3" x14ac:dyDescent="0.25">
      <c r="A1612">
        <v>1611</v>
      </c>
      <c r="B1612" t="s">
        <v>1945</v>
      </c>
      <c r="C1612" t="s">
        <v>5704</v>
      </c>
    </row>
    <row r="1613" spans="1:3" x14ac:dyDescent="0.25">
      <c r="A1613">
        <v>1612</v>
      </c>
      <c r="B1613" t="s">
        <v>1212</v>
      </c>
      <c r="C1613" t="s">
        <v>5705</v>
      </c>
    </row>
    <row r="1614" spans="1:3" x14ac:dyDescent="0.25">
      <c r="A1614">
        <v>1613</v>
      </c>
      <c r="B1614" t="s">
        <v>1557</v>
      </c>
      <c r="C1614" t="s">
        <v>5706</v>
      </c>
    </row>
    <row r="1615" spans="1:3" x14ac:dyDescent="0.25">
      <c r="A1615">
        <v>1614</v>
      </c>
      <c r="B1615" t="s">
        <v>1670</v>
      </c>
      <c r="C1615" t="s">
        <v>5707</v>
      </c>
    </row>
    <row r="1616" spans="1:3" x14ac:dyDescent="0.25">
      <c r="A1616">
        <v>1615</v>
      </c>
      <c r="B1616" t="s">
        <v>1680</v>
      </c>
      <c r="C1616" t="s">
        <v>5708</v>
      </c>
    </row>
    <row r="1617" spans="1:3" x14ac:dyDescent="0.25">
      <c r="A1617">
        <v>1616</v>
      </c>
      <c r="B1617" t="s">
        <v>1862</v>
      </c>
      <c r="C1617" t="s">
        <v>5709</v>
      </c>
    </row>
    <row r="1618" spans="1:3" x14ac:dyDescent="0.25">
      <c r="A1618">
        <v>1617</v>
      </c>
      <c r="B1618" t="s">
        <v>1870</v>
      </c>
      <c r="C1618" t="s">
        <v>5710</v>
      </c>
    </row>
    <row r="1619" spans="1:3" x14ac:dyDescent="0.25">
      <c r="A1619">
        <v>1618</v>
      </c>
      <c r="B1619" t="s">
        <v>1082</v>
      </c>
      <c r="C1619" t="s">
        <v>5711</v>
      </c>
    </row>
    <row r="1620" spans="1:3" x14ac:dyDescent="0.25">
      <c r="A1620">
        <v>1619</v>
      </c>
      <c r="B1620" t="s">
        <v>1473</v>
      </c>
      <c r="C1620" t="s">
        <v>5712</v>
      </c>
    </row>
    <row r="1621" spans="1:3" x14ac:dyDescent="0.25">
      <c r="A1621">
        <v>1620</v>
      </c>
      <c r="B1621" t="s">
        <v>1723</v>
      </c>
      <c r="C1621" t="s">
        <v>5713</v>
      </c>
    </row>
    <row r="1622" spans="1:3" x14ac:dyDescent="0.25">
      <c r="A1622">
        <v>1621</v>
      </c>
      <c r="B1622" t="s">
        <v>1547</v>
      </c>
      <c r="C1622" t="s">
        <v>5714</v>
      </c>
    </row>
    <row r="1623" spans="1:3" x14ac:dyDescent="0.25">
      <c r="A1623">
        <v>1622</v>
      </c>
      <c r="B1623" t="s">
        <v>1558</v>
      </c>
      <c r="C1623" t="s">
        <v>5715</v>
      </c>
    </row>
    <row r="1624" spans="1:3" x14ac:dyDescent="0.25">
      <c r="A1624">
        <v>1623</v>
      </c>
      <c r="B1624" t="s">
        <v>1578</v>
      </c>
      <c r="C1624" t="s">
        <v>5716</v>
      </c>
    </row>
    <row r="1625" spans="1:3" x14ac:dyDescent="0.25">
      <c r="A1625">
        <v>1624</v>
      </c>
      <c r="B1625" t="s">
        <v>1602</v>
      </c>
      <c r="C1625" t="s">
        <v>5717</v>
      </c>
    </row>
    <row r="1626" spans="1:3" x14ac:dyDescent="0.25">
      <c r="A1626">
        <v>1625</v>
      </c>
      <c r="B1626" t="s">
        <v>1605</v>
      </c>
      <c r="C1626" t="s">
        <v>5718</v>
      </c>
    </row>
    <row r="1627" spans="1:3" x14ac:dyDescent="0.25">
      <c r="A1627">
        <v>1626</v>
      </c>
      <c r="B1627" t="s">
        <v>1616</v>
      </c>
      <c r="C1627" t="s">
        <v>5719</v>
      </c>
    </row>
    <row r="1628" spans="1:3" x14ac:dyDescent="0.25">
      <c r="A1628">
        <v>1627</v>
      </c>
      <c r="B1628" t="s">
        <v>1626</v>
      </c>
      <c r="C1628" t="s">
        <v>5720</v>
      </c>
    </row>
    <row r="1629" spans="1:3" x14ac:dyDescent="0.25">
      <c r="A1629">
        <v>1628</v>
      </c>
      <c r="B1629" t="s">
        <v>1648</v>
      </c>
      <c r="C1629" t="s">
        <v>5721</v>
      </c>
    </row>
    <row r="1630" spans="1:3" x14ac:dyDescent="0.25">
      <c r="A1630">
        <v>1629</v>
      </c>
      <c r="B1630" t="s">
        <v>1655</v>
      </c>
      <c r="C1630" t="s">
        <v>5722</v>
      </c>
    </row>
    <row r="1631" spans="1:3" x14ac:dyDescent="0.25">
      <c r="A1631">
        <v>1630</v>
      </c>
      <c r="B1631" t="s">
        <v>1671</v>
      </c>
      <c r="C1631" t="s">
        <v>5723</v>
      </c>
    </row>
    <row r="1632" spans="1:3" x14ac:dyDescent="0.25">
      <c r="A1632">
        <v>1631</v>
      </c>
      <c r="B1632" t="s">
        <v>1681</v>
      </c>
      <c r="C1632" t="s">
        <v>5724</v>
      </c>
    </row>
    <row r="1633" spans="1:3" x14ac:dyDescent="0.25">
      <c r="A1633">
        <v>1632</v>
      </c>
      <c r="B1633" t="s">
        <v>1693</v>
      </c>
      <c r="C1633" t="s">
        <v>5725</v>
      </c>
    </row>
    <row r="1634" spans="1:3" x14ac:dyDescent="0.25">
      <c r="A1634">
        <v>1633</v>
      </c>
      <c r="B1634" t="s">
        <v>1706</v>
      </c>
      <c r="C1634" t="s">
        <v>5726</v>
      </c>
    </row>
    <row r="1635" spans="1:3" x14ac:dyDescent="0.25">
      <c r="A1635">
        <v>1634</v>
      </c>
      <c r="B1635" t="s">
        <v>30</v>
      </c>
      <c r="C1635" t="s">
        <v>5727</v>
      </c>
    </row>
    <row r="1636" spans="1:3" x14ac:dyDescent="0.25">
      <c r="A1636">
        <v>1635</v>
      </c>
      <c r="B1636" t="s">
        <v>1712</v>
      </c>
      <c r="C1636" t="s">
        <v>5728</v>
      </c>
    </row>
    <row r="1637" spans="1:3" x14ac:dyDescent="0.25">
      <c r="A1637">
        <v>1636</v>
      </c>
      <c r="B1637" t="s">
        <v>34</v>
      </c>
      <c r="C1637" t="s">
        <v>5729</v>
      </c>
    </row>
    <row r="1638" spans="1:3" x14ac:dyDescent="0.25">
      <c r="A1638">
        <v>1637</v>
      </c>
      <c r="B1638" t="s">
        <v>99</v>
      </c>
      <c r="C1638" t="s">
        <v>5730</v>
      </c>
    </row>
    <row r="1639" spans="1:3" x14ac:dyDescent="0.25">
      <c r="A1639">
        <v>1638</v>
      </c>
      <c r="B1639" t="s">
        <v>121</v>
      </c>
      <c r="C1639" t="s">
        <v>5731</v>
      </c>
    </row>
    <row r="1640" spans="1:3" x14ac:dyDescent="0.25">
      <c r="A1640">
        <v>1639</v>
      </c>
      <c r="B1640" t="s">
        <v>133</v>
      </c>
      <c r="C1640" t="s">
        <v>5732</v>
      </c>
    </row>
    <row r="1641" spans="1:3" x14ac:dyDescent="0.25">
      <c r="A1641">
        <v>1640</v>
      </c>
      <c r="B1641" t="s">
        <v>136</v>
      </c>
      <c r="C1641" t="s">
        <v>5733</v>
      </c>
    </row>
    <row r="1642" spans="1:3" x14ac:dyDescent="0.25">
      <c r="A1642">
        <v>1641</v>
      </c>
      <c r="B1642" t="s">
        <v>147</v>
      </c>
      <c r="C1642" t="s">
        <v>5734</v>
      </c>
    </row>
    <row r="1643" spans="1:3" x14ac:dyDescent="0.25">
      <c r="A1643">
        <v>1642</v>
      </c>
      <c r="B1643" t="s">
        <v>184</v>
      </c>
      <c r="C1643" t="s">
        <v>5735</v>
      </c>
    </row>
    <row r="1644" spans="1:3" x14ac:dyDescent="0.25">
      <c r="A1644">
        <v>1643</v>
      </c>
      <c r="B1644" t="s">
        <v>192</v>
      </c>
      <c r="C1644" t="s">
        <v>5736</v>
      </c>
    </row>
    <row r="1645" spans="1:3" x14ac:dyDescent="0.25">
      <c r="A1645">
        <v>1644</v>
      </c>
      <c r="B1645" t="s">
        <v>196</v>
      </c>
      <c r="C1645" t="s">
        <v>5737</v>
      </c>
    </row>
    <row r="1646" spans="1:3" x14ac:dyDescent="0.25">
      <c r="A1646">
        <v>1645</v>
      </c>
      <c r="B1646" t="s">
        <v>204</v>
      </c>
      <c r="C1646" t="s">
        <v>5738</v>
      </c>
    </row>
    <row r="1647" spans="1:3" x14ac:dyDescent="0.25">
      <c r="A1647">
        <v>1646</v>
      </c>
      <c r="B1647" t="s">
        <v>246</v>
      </c>
      <c r="C1647" t="s">
        <v>5739</v>
      </c>
    </row>
    <row r="1648" spans="1:3" x14ac:dyDescent="0.25">
      <c r="A1648">
        <v>1647</v>
      </c>
      <c r="B1648" t="s">
        <v>250</v>
      </c>
      <c r="C1648" t="s">
        <v>5740</v>
      </c>
    </row>
    <row r="1649" spans="1:3" x14ac:dyDescent="0.25">
      <c r="A1649">
        <v>1648</v>
      </c>
      <c r="B1649" t="s">
        <v>261</v>
      </c>
      <c r="C1649" t="s">
        <v>5741</v>
      </c>
    </row>
    <row r="1650" spans="1:3" x14ac:dyDescent="0.25">
      <c r="A1650">
        <v>1649</v>
      </c>
      <c r="B1650" t="s">
        <v>267</v>
      </c>
      <c r="C1650" t="s">
        <v>5742</v>
      </c>
    </row>
    <row r="1651" spans="1:3" x14ac:dyDescent="0.25">
      <c r="A1651">
        <v>1650</v>
      </c>
      <c r="B1651" t="s">
        <v>295</v>
      </c>
      <c r="C1651" t="s">
        <v>5743</v>
      </c>
    </row>
    <row r="1652" spans="1:3" x14ac:dyDescent="0.25">
      <c r="A1652">
        <v>1651</v>
      </c>
      <c r="B1652" t="s">
        <v>1725</v>
      </c>
      <c r="C1652" t="s">
        <v>5744</v>
      </c>
    </row>
    <row r="1653" spans="1:3" x14ac:dyDescent="0.25">
      <c r="A1653">
        <v>1652</v>
      </c>
      <c r="B1653" t="s">
        <v>1732</v>
      </c>
      <c r="C1653" t="s">
        <v>5745</v>
      </c>
    </row>
    <row r="1654" spans="1:3" x14ac:dyDescent="0.25">
      <c r="A1654">
        <v>1653</v>
      </c>
      <c r="B1654" t="s">
        <v>1742</v>
      </c>
      <c r="C1654" t="s">
        <v>5746</v>
      </c>
    </row>
    <row r="1655" spans="1:3" x14ac:dyDescent="0.25">
      <c r="A1655">
        <v>1654</v>
      </c>
      <c r="B1655" t="s">
        <v>1769</v>
      </c>
      <c r="C1655" t="s">
        <v>5747</v>
      </c>
    </row>
    <row r="1656" spans="1:3" x14ac:dyDescent="0.25">
      <c r="A1656">
        <v>1655</v>
      </c>
      <c r="B1656" t="s">
        <v>1821</v>
      </c>
      <c r="C1656" t="s">
        <v>5748</v>
      </c>
    </row>
    <row r="1657" spans="1:3" x14ac:dyDescent="0.25">
      <c r="A1657">
        <v>1656</v>
      </c>
      <c r="B1657" t="s">
        <v>1835</v>
      </c>
      <c r="C1657" t="s">
        <v>5749</v>
      </c>
    </row>
    <row r="1658" spans="1:3" x14ac:dyDescent="0.25">
      <c r="A1658">
        <v>1657</v>
      </c>
      <c r="B1658" t="s">
        <v>1842</v>
      </c>
      <c r="C1658" t="s">
        <v>5750</v>
      </c>
    </row>
    <row r="1659" spans="1:3" x14ac:dyDescent="0.25">
      <c r="A1659">
        <v>1658</v>
      </c>
      <c r="B1659" t="s">
        <v>1850</v>
      </c>
      <c r="C1659" t="s">
        <v>5751</v>
      </c>
    </row>
    <row r="1660" spans="1:3" x14ac:dyDescent="0.25">
      <c r="A1660">
        <v>1659</v>
      </c>
      <c r="B1660" t="s">
        <v>1863</v>
      </c>
      <c r="C1660" t="s">
        <v>5752</v>
      </c>
    </row>
    <row r="1661" spans="1:3" x14ac:dyDescent="0.25">
      <c r="A1661">
        <v>1660</v>
      </c>
      <c r="B1661" t="s">
        <v>1871</v>
      </c>
      <c r="C1661" t="s">
        <v>5753</v>
      </c>
    </row>
    <row r="1662" spans="1:3" x14ac:dyDescent="0.25">
      <c r="A1662">
        <v>1661</v>
      </c>
      <c r="B1662" t="s">
        <v>1096</v>
      </c>
      <c r="C1662" t="s">
        <v>5754</v>
      </c>
    </row>
    <row r="1663" spans="1:3" x14ac:dyDescent="0.25">
      <c r="A1663">
        <v>1662</v>
      </c>
      <c r="B1663" t="s">
        <v>1229</v>
      </c>
      <c r="C1663" t="s">
        <v>5755</v>
      </c>
    </row>
    <row r="1664" spans="1:3" x14ac:dyDescent="0.25">
      <c r="A1664">
        <v>1663</v>
      </c>
      <c r="B1664" t="s">
        <v>1247</v>
      </c>
      <c r="C1664" t="s">
        <v>5756</v>
      </c>
    </row>
    <row r="1665" spans="1:3" x14ac:dyDescent="0.25">
      <c r="A1665">
        <v>1664</v>
      </c>
      <c r="B1665" t="s">
        <v>1285</v>
      </c>
      <c r="C1665" t="s">
        <v>5757</v>
      </c>
    </row>
    <row r="1666" spans="1:3" x14ac:dyDescent="0.25">
      <c r="A1666">
        <v>1665</v>
      </c>
      <c r="B1666" t="s">
        <v>298</v>
      </c>
      <c r="C1666" t="s">
        <v>5758</v>
      </c>
    </row>
    <row r="1667" spans="1:3" x14ac:dyDescent="0.25">
      <c r="A1667">
        <v>1666</v>
      </c>
      <c r="B1667" t="s">
        <v>310</v>
      </c>
      <c r="C1667" t="s">
        <v>5759</v>
      </c>
    </row>
    <row r="1668" spans="1:3" x14ac:dyDescent="0.25">
      <c r="A1668">
        <v>1667</v>
      </c>
      <c r="B1668" t="s">
        <v>331</v>
      </c>
      <c r="C1668" t="s">
        <v>5760</v>
      </c>
    </row>
    <row r="1669" spans="1:3" x14ac:dyDescent="0.25">
      <c r="A1669">
        <v>1668</v>
      </c>
      <c r="B1669" t="s">
        <v>345</v>
      </c>
      <c r="C1669" t="s">
        <v>5761</v>
      </c>
    </row>
    <row r="1670" spans="1:3" x14ac:dyDescent="0.25">
      <c r="A1670">
        <v>1669</v>
      </c>
      <c r="B1670" t="s">
        <v>364</v>
      </c>
      <c r="C1670" t="s">
        <v>5762</v>
      </c>
    </row>
    <row r="1671" spans="1:3" x14ac:dyDescent="0.25">
      <c r="A1671">
        <v>1670</v>
      </c>
      <c r="B1671" t="s">
        <v>369</v>
      </c>
      <c r="C1671" t="s">
        <v>5763</v>
      </c>
    </row>
    <row r="1672" spans="1:3" x14ac:dyDescent="0.25">
      <c r="A1672">
        <v>1671</v>
      </c>
      <c r="B1672" t="s">
        <v>374</v>
      </c>
      <c r="C1672" t="s">
        <v>5764</v>
      </c>
    </row>
    <row r="1673" spans="1:3" x14ac:dyDescent="0.25">
      <c r="A1673">
        <v>1672</v>
      </c>
      <c r="B1673" t="s">
        <v>431</v>
      </c>
      <c r="C1673" t="s">
        <v>5765</v>
      </c>
    </row>
    <row r="1674" spans="1:3" x14ac:dyDescent="0.25">
      <c r="A1674">
        <v>1673</v>
      </c>
      <c r="B1674" t="s">
        <v>439</v>
      </c>
      <c r="C1674" t="s">
        <v>5766</v>
      </c>
    </row>
    <row r="1675" spans="1:3" x14ac:dyDescent="0.25">
      <c r="A1675">
        <v>1674</v>
      </c>
      <c r="B1675" t="s">
        <v>456</v>
      </c>
      <c r="C1675" t="s">
        <v>5767</v>
      </c>
    </row>
    <row r="1676" spans="1:3" x14ac:dyDescent="0.25">
      <c r="A1676">
        <v>1675</v>
      </c>
      <c r="B1676" t="s">
        <v>464</v>
      </c>
      <c r="C1676" t="s">
        <v>5768</v>
      </c>
    </row>
    <row r="1677" spans="1:3" x14ac:dyDescent="0.25">
      <c r="A1677">
        <v>1676</v>
      </c>
      <c r="B1677" t="s">
        <v>476</v>
      </c>
      <c r="C1677" t="s">
        <v>5769</v>
      </c>
    </row>
    <row r="1678" spans="1:3" x14ac:dyDescent="0.25">
      <c r="A1678">
        <v>1677</v>
      </c>
      <c r="B1678" t="s">
        <v>485</v>
      </c>
      <c r="C1678" t="s">
        <v>5770</v>
      </c>
    </row>
    <row r="1679" spans="1:3" x14ac:dyDescent="0.25">
      <c r="A1679">
        <v>1678</v>
      </c>
      <c r="B1679" t="s">
        <v>494</v>
      </c>
      <c r="C1679" t="s">
        <v>5771</v>
      </c>
    </row>
    <row r="1680" spans="1:3" x14ac:dyDescent="0.25">
      <c r="A1680">
        <v>1679</v>
      </c>
      <c r="B1680" t="s">
        <v>572</v>
      </c>
      <c r="C1680" t="s">
        <v>5772</v>
      </c>
    </row>
    <row r="1681" spans="1:3" x14ac:dyDescent="0.25">
      <c r="A1681">
        <v>1680</v>
      </c>
      <c r="B1681" t="s">
        <v>1897</v>
      </c>
      <c r="C1681" t="s">
        <v>5773</v>
      </c>
    </row>
    <row r="1682" spans="1:3" x14ac:dyDescent="0.25">
      <c r="A1682">
        <v>1681</v>
      </c>
      <c r="B1682" t="s">
        <v>1905</v>
      </c>
      <c r="C1682" t="s">
        <v>5774</v>
      </c>
    </row>
    <row r="1683" spans="1:3" x14ac:dyDescent="0.25">
      <c r="A1683">
        <v>1682</v>
      </c>
      <c r="B1683" t="s">
        <v>1925</v>
      </c>
      <c r="C1683" t="s">
        <v>5775</v>
      </c>
    </row>
    <row r="1684" spans="1:3" x14ac:dyDescent="0.25">
      <c r="A1684">
        <v>1683</v>
      </c>
      <c r="B1684" t="s">
        <v>1939</v>
      </c>
      <c r="C1684" t="s">
        <v>5776</v>
      </c>
    </row>
    <row r="1685" spans="1:3" x14ac:dyDescent="0.25">
      <c r="A1685">
        <v>1684</v>
      </c>
      <c r="B1685" t="s">
        <v>1947</v>
      </c>
      <c r="C1685" t="s">
        <v>5777</v>
      </c>
    </row>
    <row r="1686" spans="1:3" x14ac:dyDescent="0.25">
      <c r="A1686">
        <v>1685</v>
      </c>
      <c r="B1686" t="s">
        <v>1963</v>
      </c>
      <c r="C1686" t="s">
        <v>5778</v>
      </c>
    </row>
    <row r="1687" spans="1:3" x14ac:dyDescent="0.25">
      <c r="A1687">
        <v>1686</v>
      </c>
      <c r="B1687" t="s">
        <v>1966</v>
      </c>
      <c r="C1687" t="s">
        <v>5779</v>
      </c>
    </row>
    <row r="1688" spans="1:3" x14ac:dyDescent="0.25">
      <c r="A1688">
        <v>1687</v>
      </c>
      <c r="B1688" t="s">
        <v>635</v>
      </c>
      <c r="C1688" t="s">
        <v>5780</v>
      </c>
    </row>
    <row r="1689" spans="1:3" x14ac:dyDescent="0.25">
      <c r="A1689">
        <v>1688</v>
      </c>
      <c r="B1689" t="s">
        <v>677</v>
      </c>
      <c r="C1689" t="s">
        <v>5781</v>
      </c>
    </row>
    <row r="1690" spans="1:3" x14ac:dyDescent="0.25">
      <c r="A1690">
        <v>1689</v>
      </c>
      <c r="B1690" t="s">
        <v>685</v>
      </c>
      <c r="C1690" t="s">
        <v>5782</v>
      </c>
    </row>
    <row r="1691" spans="1:3" x14ac:dyDescent="0.25">
      <c r="A1691">
        <v>1690</v>
      </c>
      <c r="B1691" t="s">
        <v>743</v>
      </c>
      <c r="C1691" t="s">
        <v>5783</v>
      </c>
    </row>
    <row r="1692" spans="1:3" x14ac:dyDescent="0.25">
      <c r="A1692">
        <v>1691</v>
      </c>
      <c r="B1692" t="s">
        <v>759</v>
      </c>
      <c r="C1692" t="s">
        <v>5784</v>
      </c>
    </row>
    <row r="1693" spans="1:3" x14ac:dyDescent="0.25">
      <c r="A1693">
        <v>1692</v>
      </c>
      <c r="B1693" t="s">
        <v>783</v>
      </c>
      <c r="C1693" t="s">
        <v>5785</v>
      </c>
    </row>
    <row r="1694" spans="1:3" x14ac:dyDescent="0.25">
      <c r="A1694">
        <v>1693</v>
      </c>
      <c r="B1694" t="s">
        <v>796</v>
      </c>
      <c r="C1694" t="s">
        <v>5786</v>
      </c>
    </row>
    <row r="1695" spans="1:3" x14ac:dyDescent="0.25">
      <c r="A1695">
        <v>1694</v>
      </c>
      <c r="B1695" t="s">
        <v>806</v>
      </c>
      <c r="C1695" t="s">
        <v>5787</v>
      </c>
    </row>
    <row r="1696" spans="1:3" x14ac:dyDescent="0.25">
      <c r="A1696">
        <v>1695</v>
      </c>
      <c r="B1696" t="s">
        <v>827</v>
      </c>
      <c r="C1696" t="s">
        <v>5788</v>
      </c>
    </row>
    <row r="1697" spans="1:3" x14ac:dyDescent="0.25">
      <c r="A1697">
        <v>1696</v>
      </c>
      <c r="B1697" t="s">
        <v>844</v>
      </c>
      <c r="C1697" t="s">
        <v>5789</v>
      </c>
    </row>
    <row r="1698" spans="1:3" x14ac:dyDescent="0.25">
      <c r="A1698">
        <v>1697</v>
      </c>
      <c r="B1698" t="s">
        <v>855</v>
      </c>
      <c r="C1698" t="s">
        <v>5790</v>
      </c>
    </row>
    <row r="1699" spans="1:3" x14ac:dyDescent="0.25">
      <c r="A1699">
        <v>1698</v>
      </c>
      <c r="B1699" t="s">
        <v>862</v>
      </c>
      <c r="C1699" t="s">
        <v>5791</v>
      </c>
    </row>
    <row r="1700" spans="1:3" x14ac:dyDescent="0.25">
      <c r="A1700">
        <v>1699</v>
      </c>
      <c r="B1700" t="s">
        <v>867</v>
      </c>
      <c r="C1700" t="s">
        <v>5792</v>
      </c>
    </row>
    <row r="1701" spans="1:3" x14ac:dyDescent="0.25">
      <c r="A1701">
        <v>1700</v>
      </c>
      <c r="B1701" t="s">
        <v>881</v>
      </c>
      <c r="C1701" t="s">
        <v>5793</v>
      </c>
    </row>
    <row r="1702" spans="1:3" x14ac:dyDescent="0.25">
      <c r="A1702">
        <v>1701</v>
      </c>
      <c r="B1702" t="s">
        <v>894</v>
      </c>
      <c r="C1702" t="s">
        <v>5794</v>
      </c>
    </row>
    <row r="1703" spans="1:3" x14ac:dyDescent="0.25">
      <c r="A1703">
        <v>1702</v>
      </c>
      <c r="B1703" t="s">
        <v>900</v>
      </c>
      <c r="C1703" t="s">
        <v>5795</v>
      </c>
    </row>
    <row r="1704" spans="1:3" x14ac:dyDescent="0.25">
      <c r="A1704">
        <v>1703</v>
      </c>
      <c r="B1704" t="s">
        <v>920</v>
      </c>
      <c r="C1704" t="s">
        <v>5796</v>
      </c>
    </row>
    <row r="1705" spans="1:3" x14ac:dyDescent="0.25">
      <c r="A1705">
        <v>1704</v>
      </c>
      <c r="B1705" t="s">
        <v>935</v>
      </c>
      <c r="C1705" t="s">
        <v>5797</v>
      </c>
    </row>
    <row r="1706" spans="1:3" x14ac:dyDescent="0.25">
      <c r="A1706">
        <v>1705</v>
      </c>
      <c r="B1706" t="s">
        <v>947</v>
      </c>
      <c r="C1706" t="s">
        <v>5798</v>
      </c>
    </row>
    <row r="1707" spans="1:3" x14ac:dyDescent="0.25">
      <c r="A1707">
        <v>1706</v>
      </c>
      <c r="B1707" t="s">
        <v>952</v>
      </c>
      <c r="C1707" t="s">
        <v>5799</v>
      </c>
    </row>
    <row r="1708" spans="1:3" x14ac:dyDescent="0.25">
      <c r="A1708">
        <v>1707</v>
      </c>
      <c r="B1708" t="s">
        <v>961</v>
      </c>
      <c r="C1708" t="s">
        <v>5800</v>
      </c>
    </row>
    <row r="1709" spans="1:3" x14ac:dyDescent="0.25">
      <c r="A1709">
        <v>1708</v>
      </c>
      <c r="B1709" t="s">
        <v>975</v>
      </c>
      <c r="C1709" t="s">
        <v>5801</v>
      </c>
    </row>
    <row r="1710" spans="1:3" x14ac:dyDescent="0.25">
      <c r="A1710">
        <v>1709</v>
      </c>
      <c r="B1710" t="s">
        <v>989</v>
      </c>
      <c r="C1710" t="s">
        <v>5802</v>
      </c>
    </row>
    <row r="1711" spans="1:3" x14ac:dyDescent="0.25">
      <c r="A1711">
        <v>1710</v>
      </c>
      <c r="B1711" t="s">
        <v>1003</v>
      </c>
      <c r="C1711" t="s">
        <v>5803</v>
      </c>
    </row>
    <row r="1712" spans="1:3" x14ac:dyDescent="0.25">
      <c r="A1712">
        <v>1711</v>
      </c>
      <c r="B1712" t="s">
        <v>1017</v>
      </c>
      <c r="C1712" t="s">
        <v>5804</v>
      </c>
    </row>
    <row r="1713" spans="1:3" x14ac:dyDescent="0.25">
      <c r="A1713">
        <v>1712</v>
      </c>
      <c r="B1713" t="s">
        <v>1034</v>
      </c>
      <c r="C1713" t="s">
        <v>5805</v>
      </c>
    </row>
    <row r="1714" spans="1:3" x14ac:dyDescent="0.25">
      <c r="A1714">
        <v>1713</v>
      </c>
      <c r="B1714" t="s">
        <v>1039</v>
      </c>
      <c r="C1714" t="s">
        <v>5806</v>
      </c>
    </row>
    <row r="1715" spans="1:3" x14ac:dyDescent="0.25">
      <c r="A1715">
        <v>1714</v>
      </c>
      <c r="B1715" t="s">
        <v>1048</v>
      </c>
      <c r="C1715" t="s">
        <v>5807</v>
      </c>
    </row>
    <row r="1716" spans="1:3" x14ac:dyDescent="0.25">
      <c r="A1716">
        <v>1715</v>
      </c>
      <c r="B1716" t="s">
        <v>1072</v>
      </c>
      <c r="C1716" t="s">
        <v>5808</v>
      </c>
    </row>
    <row r="1717" spans="1:3" x14ac:dyDescent="0.25">
      <c r="A1717">
        <v>1716</v>
      </c>
      <c r="B1717" t="s">
        <v>1083</v>
      </c>
      <c r="C1717" t="s">
        <v>5809</v>
      </c>
    </row>
    <row r="1718" spans="1:3" x14ac:dyDescent="0.25">
      <c r="A1718">
        <v>1717</v>
      </c>
      <c r="B1718" t="s">
        <v>1097</v>
      </c>
      <c r="C1718" t="s">
        <v>5810</v>
      </c>
    </row>
    <row r="1719" spans="1:3" x14ac:dyDescent="0.25">
      <c r="A1719">
        <v>1718</v>
      </c>
      <c r="B1719" t="s">
        <v>1127</v>
      </c>
      <c r="C1719" t="s">
        <v>5811</v>
      </c>
    </row>
    <row r="1720" spans="1:3" x14ac:dyDescent="0.25">
      <c r="A1720">
        <v>1719</v>
      </c>
      <c r="B1720" t="s">
        <v>1301</v>
      </c>
      <c r="C1720" t="s">
        <v>5812</v>
      </c>
    </row>
    <row r="1721" spans="1:3" x14ac:dyDescent="0.25">
      <c r="A1721">
        <v>1720</v>
      </c>
      <c r="B1721" t="s">
        <v>1151</v>
      </c>
      <c r="C1721" t="s">
        <v>5813</v>
      </c>
    </row>
    <row r="1722" spans="1:3" x14ac:dyDescent="0.25">
      <c r="A1722">
        <v>1721</v>
      </c>
      <c r="B1722" t="s">
        <v>1158</v>
      </c>
      <c r="C1722" t="s">
        <v>5814</v>
      </c>
    </row>
    <row r="1723" spans="1:3" x14ac:dyDescent="0.25">
      <c r="A1723">
        <v>1722</v>
      </c>
      <c r="B1723" t="s">
        <v>1201</v>
      </c>
      <c r="C1723" t="s">
        <v>5815</v>
      </c>
    </row>
    <row r="1724" spans="1:3" x14ac:dyDescent="0.25">
      <c r="A1724">
        <v>1723</v>
      </c>
      <c r="B1724" t="s">
        <v>1204</v>
      </c>
      <c r="C1724" t="s">
        <v>5816</v>
      </c>
    </row>
    <row r="1725" spans="1:3" x14ac:dyDescent="0.25">
      <c r="A1725">
        <v>1724</v>
      </c>
      <c r="B1725" t="s">
        <v>1209</v>
      </c>
      <c r="C1725" t="s">
        <v>5817</v>
      </c>
    </row>
    <row r="1726" spans="1:3" x14ac:dyDescent="0.25">
      <c r="A1726">
        <v>1725</v>
      </c>
      <c r="B1726" t="s">
        <v>1231</v>
      </c>
      <c r="C1726" t="s">
        <v>5818</v>
      </c>
    </row>
    <row r="1727" spans="1:3" x14ac:dyDescent="0.25">
      <c r="A1727">
        <v>1726</v>
      </c>
      <c r="B1727" t="s">
        <v>1242</v>
      </c>
      <c r="C1727" t="s">
        <v>5819</v>
      </c>
    </row>
    <row r="1728" spans="1:3" x14ac:dyDescent="0.25">
      <c r="A1728">
        <v>1727</v>
      </c>
      <c r="B1728" t="s">
        <v>1255</v>
      </c>
      <c r="C1728" t="s">
        <v>5820</v>
      </c>
    </row>
    <row r="1729" spans="1:3" x14ac:dyDescent="0.25">
      <c r="A1729">
        <v>1728</v>
      </c>
      <c r="B1729" t="s">
        <v>1913</v>
      </c>
      <c r="C1729" t="s">
        <v>5821</v>
      </c>
    </row>
    <row r="1730" spans="1:3" x14ac:dyDescent="0.25">
      <c r="A1730">
        <v>1729</v>
      </c>
      <c r="B1730" t="s">
        <v>1260</v>
      </c>
      <c r="C1730" t="s">
        <v>5822</v>
      </c>
    </row>
    <row r="1731" spans="1:3" x14ac:dyDescent="0.25">
      <c r="A1731">
        <v>1730</v>
      </c>
      <c r="B1731" t="s">
        <v>1273</v>
      </c>
      <c r="C1731" t="s">
        <v>5823</v>
      </c>
    </row>
    <row r="1732" spans="1:3" x14ac:dyDescent="0.25">
      <c r="A1732">
        <v>1731</v>
      </c>
      <c r="B1732" t="s">
        <v>1287</v>
      </c>
      <c r="C1732" t="s">
        <v>5824</v>
      </c>
    </row>
    <row r="1733" spans="1:3" x14ac:dyDescent="0.25">
      <c r="A1733">
        <v>1732</v>
      </c>
      <c r="B1733" t="s">
        <v>1299</v>
      </c>
      <c r="C1733" t="s">
        <v>5825</v>
      </c>
    </row>
    <row r="1734" spans="1:3" x14ac:dyDescent="0.25">
      <c r="A1734">
        <v>1733</v>
      </c>
      <c r="B1734" t="s">
        <v>1311</v>
      </c>
      <c r="C1734" t="s">
        <v>5826</v>
      </c>
    </row>
    <row r="1735" spans="1:3" x14ac:dyDescent="0.25">
      <c r="A1735">
        <v>1734</v>
      </c>
      <c r="B1735" t="s">
        <v>1329</v>
      </c>
      <c r="C1735" t="s">
        <v>5827</v>
      </c>
    </row>
    <row r="1736" spans="1:3" x14ac:dyDescent="0.25">
      <c r="A1736">
        <v>1735</v>
      </c>
      <c r="B1736" t="s">
        <v>1341</v>
      </c>
      <c r="C1736" t="s">
        <v>5828</v>
      </c>
    </row>
    <row r="1737" spans="1:3" x14ac:dyDescent="0.25">
      <c r="A1737">
        <v>1736</v>
      </c>
      <c r="B1737" t="s">
        <v>1356</v>
      </c>
      <c r="C1737" t="s">
        <v>5829</v>
      </c>
    </row>
    <row r="1738" spans="1:3" x14ac:dyDescent="0.25">
      <c r="A1738">
        <v>1737</v>
      </c>
      <c r="B1738" t="s">
        <v>1362</v>
      </c>
      <c r="C1738" t="s">
        <v>5830</v>
      </c>
    </row>
    <row r="1739" spans="1:3" x14ac:dyDescent="0.25">
      <c r="A1739">
        <v>1738</v>
      </c>
      <c r="B1739" t="s">
        <v>1368</v>
      </c>
      <c r="C1739" t="s">
        <v>5831</v>
      </c>
    </row>
    <row r="1740" spans="1:3" x14ac:dyDescent="0.25">
      <c r="A1740">
        <v>1739</v>
      </c>
      <c r="B1740" t="s">
        <v>1390</v>
      </c>
      <c r="C1740" t="s">
        <v>5832</v>
      </c>
    </row>
    <row r="1741" spans="1:3" x14ac:dyDescent="0.25">
      <c r="A1741">
        <v>1740</v>
      </c>
      <c r="B1741" t="s">
        <v>1401</v>
      </c>
      <c r="C1741" t="s">
        <v>5833</v>
      </c>
    </row>
    <row r="1742" spans="1:3" x14ac:dyDescent="0.25">
      <c r="A1742">
        <v>1741</v>
      </c>
      <c r="B1742" t="s">
        <v>1414</v>
      </c>
      <c r="C1742" t="s">
        <v>5834</v>
      </c>
    </row>
    <row r="1743" spans="1:3" x14ac:dyDescent="0.25">
      <c r="A1743">
        <v>1742</v>
      </c>
      <c r="B1743" t="s">
        <v>1422</v>
      </c>
      <c r="C1743" t="s">
        <v>5835</v>
      </c>
    </row>
    <row r="1744" spans="1:3" x14ac:dyDescent="0.25">
      <c r="A1744">
        <v>1743</v>
      </c>
      <c r="B1744" t="s">
        <v>1440</v>
      </c>
      <c r="C1744" t="s">
        <v>5836</v>
      </c>
    </row>
    <row r="1745" spans="1:3" x14ac:dyDescent="0.25">
      <c r="A1745">
        <v>1744</v>
      </c>
      <c r="B1745" t="s">
        <v>1442</v>
      </c>
      <c r="C1745" t="s">
        <v>5837</v>
      </c>
    </row>
    <row r="1746" spans="1:3" x14ac:dyDescent="0.25">
      <c r="A1746">
        <v>1745</v>
      </c>
      <c r="B1746" t="s">
        <v>1445</v>
      </c>
      <c r="C1746" t="s">
        <v>5838</v>
      </c>
    </row>
    <row r="1747" spans="1:3" x14ac:dyDescent="0.25">
      <c r="A1747">
        <v>1746</v>
      </c>
      <c r="B1747" t="s">
        <v>1457</v>
      </c>
      <c r="C1747" t="s">
        <v>5839</v>
      </c>
    </row>
    <row r="1748" spans="1:3" x14ac:dyDescent="0.25">
      <c r="A1748">
        <v>1747</v>
      </c>
      <c r="B1748" t="s">
        <v>1465</v>
      </c>
      <c r="C1748" t="s">
        <v>5840</v>
      </c>
    </row>
    <row r="1749" spans="1:3" x14ac:dyDescent="0.25">
      <c r="A1749">
        <v>1748</v>
      </c>
      <c r="B1749" t="s">
        <v>1475</v>
      </c>
      <c r="C1749" t="s">
        <v>5841</v>
      </c>
    </row>
    <row r="1750" spans="1:3" x14ac:dyDescent="0.25">
      <c r="A1750">
        <v>1749</v>
      </c>
      <c r="B1750" t="s">
        <v>1484</v>
      </c>
      <c r="C1750" t="s">
        <v>5842</v>
      </c>
    </row>
    <row r="1751" spans="1:3" x14ac:dyDescent="0.25">
      <c r="A1751">
        <v>1750</v>
      </c>
      <c r="B1751" t="s">
        <v>1487</v>
      </c>
      <c r="C1751" t="s">
        <v>5843</v>
      </c>
    </row>
    <row r="1752" spans="1:3" x14ac:dyDescent="0.25">
      <c r="A1752">
        <v>1751</v>
      </c>
      <c r="B1752" t="s">
        <v>1501</v>
      </c>
      <c r="C1752" t="s">
        <v>5844</v>
      </c>
    </row>
    <row r="1753" spans="1:3" x14ac:dyDescent="0.25">
      <c r="A1753">
        <v>1752</v>
      </c>
      <c r="B1753" t="s">
        <v>1511</v>
      </c>
      <c r="C1753" t="s">
        <v>5845</v>
      </c>
    </row>
    <row r="1754" spans="1:3" x14ac:dyDescent="0.25">
      <c r="A1754">
        <v>1753</v>
      </c>
      <c r="B1754" t="s">
        <v>1524</v>
      </c>
      <c r="C1754" t="s">
        <v>5846</v>
      </c>
    </row>
    <row r="1755" spans="1:3" x14ac:dyDescent="0.25">
      <c r="A1755">
        <v>1754</v>
      </c>
      <c r="B1755" t="s">
        <v>1543</v>
      </c>
      <c r="C1755" t="s">
        <v>5847</v>
      </c>
    </row>
    <row r="1756" spans="1:3" x14ac:dyDescent="0.25">
      <c r="A1756">
        <v>1755</v>
      </c>
      <c r="B1756" t="s">
        <v>1888</v>
      </c>
      <c r="C1756" t="s">
        <v>5848</v>
      </c>
    </row>
    <row r="1757" spans="1:3" x14ac:dyDescent="0.25">
      <c r="A1757">
        <v>1756</v>
      </c>
      <c r="B1757" t="s">
        <v>2009</v>
      </c>
      <c r="C1757" t="s">
        <v>5849</v>
      </c>
    </row>
    <row r="1758" spans="1:3" x14ac:dyDescent="0.25">
      <c r="A1758">
        <v>1757</v>
      </c>
      <c r="B1758" t="s">
        <v>3980</v>
      </c>
      <c r="C1758" t="s">
        <v>5850</v>
      </c>
    </row>
    <row r="1759" spans="1:3" x14ac:dyDescent="0.25">
      <c r="A1759">
        <v>1758</v>
      </c>
      <c r="B1759" t="s">
        <v>1451</v>
      </c>
      <c r="C1759" t="s">
        <v>5851</v>
      </c>
    </row>
    <row r="1760" spans="1:3" x14ac:dyDescent="0.25">
      <c r="A1760">
        <v>1759</v>
      </c>
      <c r="B1760" t="s">
        <v>1588</v>
      </c>
      <c r="C1760" t="s">
        <v>5852</v>
      </c>
    </row>
    <row r="1761" spans="1:3" x14ac:dyDescent="0.25">
      <c r="A1761">
        <v>1760</v>
      </c>
      <c r="B1761" t="s">
        <v>3978</v>
      </c>
      <c r="C1761" t="s">
        <v>5853</v>
      </c>
    </row>
    <row r="1762" spans="1:3" x14ac:dyDescent="0.25">
      <c r="A1762">
        <v>1761</v>
      </c>
      <c r="B1762" t="s">
        <v>1570</v>
      </c>
      <c r="C1762" t="s">
        <v>5854</v>
      </c>
    </row>
    <row r="1763" spans="1:3" x14ac:dyDescent="0.25">
      <c r="A1763">
        <v>1762</v>
      </c>
      <c r="B1763" t="s">
        <v>1517</v>
      </c>
      <c r="C1763" t="s">
        <v>5855</v>
      </c>
    </row>
    <row r="1764" spans="1:3" x14ac:dyDescent="0.25">
      <c r="A1764">
        <v>1763</v>
      </c>
      <c r="B1764" t="s">
        <v>1931</v>
      </c>
      <c r="C1764" t="s">
        <v>5856</v>
      </c>
    </row>
    <row r="1765" spans="1:3" x14ac:dyDescent="0.25">
      <c r="A1765">
        <v>1764</v>
      </c>
      <c r="B1765" t="s">
        <v>7</v>
      </c>
      <c r="C1765" t="s">
        <v>5857</v>
      </c>
    </row>
    <row r="1766" spans="1:3" x14ac:dyDescent="0.25">
      <c r="A1766">
        <v>1765</v>
      </c>
      <c r="B1766" t="s">
        <v>1993</v>
      </c>
      <c r="C1766" t="s">
        <v>5858</v>
      </c>
    </row>
    <row r="1767" spans="1:3" x14ac:dyDescent="0.25">
      <c r="A1767">
        <v>1766</v>
      </c>
      <c r="B1767" t="s">
        <v>255</v>
      </c>
      <c r="C1767" t="s">
        <v>5859</v>
      </c>
    </row>
    <row r="1768" spans="1:3" x14ac:dyDescent="0.25">
      <c r="A1768">
        <v>1767</v>
      </c>
      <c r="B1768" t="s">
        <v>1779</v>
      </c>
      <c r="C1768" t="s">
        <v>5860</v>
      </c>
    </row>
    <row r="1769" spans="1:3" x14ac:dyDescent="0.25">
      <c r="A1769">
        <v>1768</v>
      </c>
      <c r="B1769" t="s">
        <v>1112</v>
      </c>
      <c r="C1769" t="s">
        <v>5861</v>
      </c>
    </row>
    <row r="1770" spans="1:3" x14ac:dyDescent="0.25">
      <c r="A1770">
        <v>1769</v>
      </c>
      <c r="B1770" t="s">
        <v>2019</v>
      </c>
      <c r="C1770" t="s">
        <v>5862</v>
      </c>
    </row>
    <row r="1771" spans="1:3" x14ac:dyDescent="0.25">
      <c r="A1771">
        <v>1770</v>
      </c>
      <c r="B1771" t="s">
        <v>2011</v>
      </c>
      <c r="C1771" t="s">
        <v>5863</v>
      </c>
    </row>
    <row r="1772" spans="1:3" x14ac:dyDescent="0.25">
      <c r="A1772">
        <v>1771</v>
      </c>
      <c r="B1772" t="s">
        <v>1796</v>
      </c>
      <c r="C1772" t="s">
        <v>5864</v>
      </c>
    </row>
    <row r="1773" spans="1:3" x14ac:dyDescent="0.25">
      <c r="A1773">
        <v>1772</v>
      </c>
      <c r="B1773" t="s">
        <v>1686</v>
      </c>
      <c r="C1773" t="s">
        <v>5865</v>
      </c>
    </row>
    <row r="1774" spans="1:3" x14ac:dyDescent="0.25">
      <c r="A1774">
        <v>1773</v>
      </c>
      <c r="B1774" t="s">
        <v>1589</v>
      </c>
      <c r="C1774" t="s">
        <v>5866</v>
      </c>
    </row>
    <row r="1775" spans="1:3" x14ac:dyDescent="0.25">
      <c r="A1775">
        <v>1774</v>
      </c>
      <c r="B1775" t="s">
        <v>1804</v>
      </c>
      <c r="C1775" t="s">
        <v>5867</v>
      </c>
    </row>
    <row r="1776" spans="1:3" x14ac:dyDescent="0.25">
      <c r="A1776">
        <v>1775</v>
      </c>
      <c r="B1776" t="s">
        <v>1995</v>
      </c>
      <c r="C1776" t="s">
        <v>5868</v>
      </c>
    </row>
    <row r="1777" spans="1:3" x14ac:dyDescent="0.25">
      <c r="A1777">
        <v>1776</v>
      </c>
      <c r="B1777" t="s">
        <v>2002</v>
      </c>
      <c r="C1777" t="s">
        <v>5869</v>
      </c>
    </row>
    <row r="1778" spans="1:3" x14ac:dyDescent="0.25">
      <c r="A1778">
        <v>1777</v>
      </c>
      <c r="B1778" t="s">
        <v>1956</v>
      </c>
      <c r="C1778" t="s">
        <v>5870</v>
      </c>
    </row>
    <row r="1779" spans="1:3" x14ac:dyDescent="0.25">
      <c r="A1779">
        <v>1778</v>
      </c>
      <c r="B1779" t="s">
        <v>1889</v>
      </c>
      <c r="C1779" t="s">
        <v>5871</v>
      </c>
    </row>
    <row r="1780" spans="1:3" x14ac:dyDescent="0.25">
      <c r="A1780">
        <v>1779</v>
      </c>
      <c r="B1780" t="s">
        <v>1346</v>
      </c>
      <c r="C1780" t="s">
        <v>5872</v>
      </c>
    </row>
    <row r="1781" spans="1:3" x14ac:dyDescent="0.25">
      <c r="A1781">
        <v>1780</v>
      </c>
      <c r="B1781" t="s">
        <v>1825</v>
      </c>
      <c r="C1781" t="s">
        <v>5873</v>
      </c>
    </row>
    <row r="1782" spans="1:3" x14ac:dyDescent="0.25">
      <c r="A1782">
        <v>1781</v>
      </c>
      <c r="B1782" t="s">
        <v>1020</v>
      </c>
      <c r="C1782" t="s">
        <v>5874</v>
      </c>
    </row>
    <row r="1783" spans="1:3" x14ac:dyDescent="0.25">
      <c r="A1783">
        <v>1782</v>
      </c>
      <c r="B1783" t="s">
        <v>1317</v>
      </c>
      <c r="C1783" t="s">
        <v>5875</v>
      </c>
    </row>
    <row r="1784" spans="1:3" x14ac:dyDescent="0.25">
      <c r="A1784">
        <v>1783</v>
      </c>
      <c r="B1784" t="s">
        <v>1277</v>
      </c>
      <c r="C1784" t="s">
        <v>5876</v>
      </c>
    </row>
    <row r="1785" spans="1:3" x14ac:dyDescent="0.25">
      <c r="A1785">
        <v>1784</v>
      </c>
      <c r="B1785" t="s">
        <v>1983</v>
      </c>
      <c r="C1785" t="s">
        <v>5877</v>
      </c>
    </row>
    <row r="1786" spans="1:3" x14ac:dyDescent="0.25">
      <c r="A1786">
        <v>1785</v>
      </c>
      <c r="B1786" t="s">
        <v>1117</v>
      </c>
      <c r="C1786" t="s">
        <v>5878</v>
      </c>
    </row>
    <row r="1787" spans="1:3" x14ac:dyDescent="0.25">
      <c r="A1787">
        <v>1786</v>
      </c>
      <c r="B1787" t="s">
        <v>1214</v>
      </c>
      <c r="C1787" t="s">
        <v>5879</v>
      </c>
    </row>
    <row r="1788" spans="1:3" x14ac:dyDescent="0.25">
      <c r="A1788">
        <v>1787</v>
      </c>
      <c r="B1788" t="s">
        <v>1922</v>
      </c>
      <c r="C1788" t="s">
        <v>5880</v>
      </c>
    </row>
    <row r="1789" spans="1:3" x14ac:dyDescent="0.25">
      <c r="A1789">
        <v>1788</v>
      </c>
      <c r="B1789" t="s">
        <v>1302</v>
      </c>
      <c r="C1789" t="s">
        <v>5881</v>
      </c>
    </row>
    <row r="1790" spans="1:3" x14ac:dyDescent="0.25">
      <c r="A1790">
        <v>1789</v>
      </c>
      <c r="B1790" t="s">
        <v>1518</v>
      </c>
      <c r="C1790" t="s">
        <v>5882</v>
      </c>
    </row>
    <row r="1791" spans="1:3" x14ac:dyDescent="0.25">
      <c r="A1791">
        <v>1790</v>
      </c>
      <c r="B1791" t="s">
        <v>348</v>
      </c>
      <c r="C1791" t="s">
        <v>5883</v>
      </c>
    </row>
    <row r="1792" spans="1:3" x14ac:dyDescent="0.25">
      <c r="A1792">
        <v>1791</v>
      </c>
      <c r="B1792" t="s">
        <v>1267</v>
      </c>
      <c r="C1792" t="s">
        <v>5884</v>
      </c>
    </row>
    <row r="1793" spans="1:3" x14ac:dyDescent="0.25">
      <c r="A1793">
        <v>1792</v>
      </c>
      <c r="B1793" t="s">
        <v>85</v>
      </c>
      <c r="C1793" t="s">
        <v>5885</v>
      </c>
    </row>
    <row r="1794" spans="1:3" x14ac:dyDescent="0.25">
      <c r="A1794">
        <v>1793</v>
      </c>
      <c r="B1794" t="s">
        <v>1932</v>
      </c>
      <c r="C1794" t="s">
        <v>5886</v>
      </c>
    </row>
    <row r="1795" spans="1:3" x14ac:dyDescent="0.25">
      <c r="A1795">
        <v>1794</v>
      </c>
      <c r="B1795" t="s">
        <v>334</v>
      </c>
      <c r="C1795" t="s">
        <v>5887</v>
      </c>
    </row>
    <row r="1796" spans="1:3" x14ac:dyDescent="0.25">
      <c r="A1796">
        <v>1795</v>
      </c>
      <c r="B1796" t="s">
        <v>1855</v>
      </c>
      <c r="C1796" t="s">
        <v>5888</v>
      </c>
    </row>
    <row r="1797" spans="1:3" x14ac:dyDescent="0.25">
      <c r="A1797">
        <v>1796</v>
      </c>
      <c r="B1797" t="s">
        <v>1661</v>
      </c>
      <c r="C1797" t="s">
        <v>5889</v>
      </c>
    </row>
    <row r="1798" spans="1:3" x14ac:dyDescent="0.25">
      <c r="A1798">
        <v>1797</v>
      </c>
      <c r="B1798" t="s">
        <v>2014</v>
      </c>
      <c r="C1798" t="s">
        <v>5890</v>
      </c>
    </row>
    <row r="1799" spans="1:3" x14ac:dyDescent="0.25">
      <c r="A1799">
        <v>1798</v>
      </c>
      <c r="B1799" t="s">
        <v>1916</v>
      </c>
      <c r="C1799" t="s">
        <v>5891</v>
      </c>
    </row>
    <row r="1800" spans="1:3" x14ac:dyDescent="0.25">
      <c r="A1800">
        <v>1799</v>
      </c>
      <c r="B1800" t="s">
        <v>1264</v>
      </c>
      <c r="C1800" t="s">
        <v>5892</v>
      </c>
    </row>
    <row r="1801" spans="1:3" x14ac:dyDescent="0.25">
      <c r="A1801">
        <v>1800</v>
      </c>
      <c r="B1801" t="s">
        <v>1908</v>
      </c>
      <c r="C1801" t="s">
        <v>5893</v>
      </c>
    </row>
    <row r="1802" spans="1:3" x14ac:dyDescent="0.25">
      <c r="A1802">
        <v>1801</v>
      </c>
      <c r="B1802" t="s">
        <v>201</v>
      </c>
      <c r="C1802" t="s">
        <v>5894</v>
      </c>
    </row>
    <row r="1803" spans="1:3" x14ac:dyDescent="0.25">
      <c r="A1803">
        <v>1802</v>
      </c>
      <c r="B1803" t="s">
        <v>1638</v>
      </c>
      <c r="C1803" t="s">
        <v>5895</v>
      </c>
    </row>
    <row r="1804" spans="1:3" x14ac:dyDescent="0.25">
      <c r="A1804">
        <v>1803</v>
      </c>
      <c r="B1804" t="s">
        <v>1701</v>
      </c>
      <c r="C1804" t="s">
        <v>5896</v>
      </c>
    </row>
    <row r="1805" spans="1:3" x14ac:dyDescent="0.25">
      <c r="A1805">
        <v>1804</v>
      </c>
      <c r="B1805" t="s">
        <v>1974</v>
      </c>
      <c r="C1805" t="s">
        <v>5897</v>
      </c>
    </row>
    <row r="1806" spans="1:3" x14ac:dyDescent="0.25">
      <c r="A1806">
        <v>1805</v>
      </c>
      <c r="B1806" t="s">
        <v>1715</v>
      </c>
      <c r="C1806" t="s">
        <v>5898</v>
      </c>
    </row>
    <row r="1807" spans="1:3" x14ac:dyDescent="0.25">
      <c r="A1807">
        <v>1806</v>
      </c>
      <c r="B1807" t="s">
        <v>1986</v>
      </c>
      <c r="C1807" t="s">
        <v>5899</v>
      </c>
    </row>
    <row r="1808" spans="1:3" x14ac:dyDescent="0.25">
      <c r="A1808">
        <v>1807</v>
      </c>
      <c r="B1808" t="s">
        <v>1748</v>
      </c>
      <c r="C1808" t="s">
        <v>5900</v>
      </c>
    </row>
    <row r="1809" spans="1:3" x14ac:dyDescent="0.25">
      <c r="A1809">
        <v>1808</v>
      </c>
      <c r="B1809" t="s">
        <v>1351</v>
      </c>
      <c r="C1809" t="s">
        <v>5901</v>
      </c>
    </row>
    <row r="1810" spans="1:3" x14ac:dyDescent="0.25">
      <c r="A1810">
        <v>1809</v>
      </c>
      <c r="B1810" t="s">
        <v>283</v>
      </c>
      <c r="C1810" t="s">
        <v>5902</v>
      </c>
    </row>
    <row r="1811" spans="1:3" x14ac:dyDescent="0.25">
      <c r="A1811">
        <v>1810</v>
      </c>
      <c r="B1811" t="s">
        <v>1250</v>
      </c>
      <c r="C1811" t="s">
        <v>5903</v>
      </c>
    </row>
    <row r="1812" spans="1:3" x14ac:dyDescent="0.25">
      <c r="A1812">
        <v>1811</v>
      </c>
      <c r="B1812" t="s">
        <v>1571</v>
      </c>
      <c r="C1812" t="s">
        <v>5904</v>
      </c>
    </row>
    <row r="1813" spans="1:3" x14ac:dyDescent="0.25">
      <c r="A1813">
        <v>1812</v>
      </c>
      <c r="B1813" t="s">
        <v>9</v>
      </c>
      <c r="C1813" t="s">
        <v>5905</v>
      </c>
    </row>
    <row r="1814" spans="1:3" x14ac:dyDescent="0.25">
      <c r="A1814">
        <v>1813</v>
      </c>
      <c r="B1814" t="s">
        <v>8</v>
      </c>
      <c r="C1814" t="s">
        <v>5906</v>
      </c>
    </row>
    <row r="1815" spans="1:3" x14ac:dyDescent="0.25">
      <c r="A1815">
        <v>1814</v>
      </c>
      <c r="B1815" t="s">
        <v>2010</v>
      </c>
      <c r="C1815" t="s">
        <v>5907</v>
      </c>
    </row>
    <row r="1816" spans="1:3" x14ac:dyDescent="0.25">
      <c r="A1816">
        <v>1815</v>
      </c>
      <c r="B1816" t="s">
        <v>3986</v>
      </c>
      <c r="C1816" t="s">
        <v>5908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FEE36-F40D-487B-A94E-E87CA41AB587}">
  <dimension ref="A1:E1750"/>
  <sheetViews>
    <sheetView workbookViewId="0">
      <selection activeCell="J10" sqref="J10"/>
    </sheetView>
  </sheetViews>
  <sheetFormatPr defaultRowHeight="15" x14ac:dyDescent="0.25"/>
  <cols>
    <col min="1" max="1" width="39.140625" bestFit="1" customWidth="1"/>
  </cols>
  <sheetData>
    <row r="1" spans="1:5" x14ac:dyDescent="0.25">
      <c r="A1" s="1" t="s">
        <v>43</v>
      </c>
      <c r="B1" t="s">
        <v>3989</v>
      </c>
      <c r="D1">
        <v>58234</v>
      </c>
      <c r="E1" t="str">
        <f>"ia.assorted_string like '%"&amp;D1&amp;B1&amp;"%' or"</f>
        <v>ia.assorted_string like '%58234-01-2022%' or</v>
      </c>
    </row>
    <row r="2" spans="1:5" x14ac:dyDescent="0.25">
      <c r="A2" s="1" t="s">
        <v>62</v>
      </c>
      <c r="B2" t="s">
        <v>3990</v>
      </c>
      <c r="D2">
        <v>60538</v>
      </c>
      <c r="E2" t="str">
        <f t="shared" ref="E2:E65" si="0">"ia.assorted_string like '%"&amp;D2&amp;B2&amp;"%' or"</f>
        <v>ia.assorted_string like '%60538-05-2022%' or</v>
      </c>
    </row>
    <row r="3" spans="1:5" x14ac:dyDescent="0.25">
      <c r="A3" s="1" t="s">
        <v>71</v>
      </c>
      <c r="B3" t="s">
        <v>3991</v>
      </c>
      <c r="D3">
        <v>61418</v>
      </c>
      <c r="E3" t="str">
        <f t="shared" si="0"/>
        <v>ia.assorted_string like '%61418-06-2022%' or</v>
      </c>
    </row>
    <row r="4" spans="1:5" x14ac:dyDescent="0.25">
      <c r="A4" s="1" t="s">
        <v>76</v>
      </c>
      <c r="B4" t="s">
        <v>3992</v>
      </c>
      <c r="D4">
        <v>63305</v>
      </c>
      <c r="E4" t="str">
        <f t="shared" si="0"/>
        <v>ia.assorted_string like '%63305-09-2022%' or</v>
      </c>
    </row>
    <row r="5" spans="1:5" x14ac:dyDescent="0.25">
      <c r="A5" s="1" t="s">
        <v>86</v>
      </c>
      <c r="B5" t="s">
        <v>3993</v>
      </c>
      <c r="D5">
        <v>66017</v>
      </c>
      <c r="E5" t="str">
        <f t="shared" si="0"/>
        <v>ia.assorted_string like '%66017-12-2022%' or</v>
      </c>
    </row>
    <row r="6" spans="1:5" x14ac:dyDescent="0.25">
      <c r="A6" s="1" t="s">
        <v>88</v>
      </c>
      <c r="B6" t="s">
        <v>3993</v>
      </c>
      <c r="D6">
        <v>66188</v>
      </c>
      <c r="E6" t="str">
        <f t="shared" si="0"/>
        <v>ia.assorted_string like '%66188-12-2022%' or</v>
      </c>
    </row>
    <row r="7" spans="1:5" x14ac:dyDescent="0.25">
      <c r="A7" s="1" t="s">
        <v>100</v>
      </c>
      <c r="B7" t="s">
        <v>3994</v>
      </c>
      <c r="D7">
        <v>66820</v>
      </c>
      <c r="E7" t="str">
        <f t="shared" si="0"/>
        <v>ia.assorted_string like '%66820-01-2023%' or</v>
      </c>
    </row>
    <row r="8" spans="1:5" x14ac:dyDescent="0.25">
      <c r="A8" s="1" t="s">
        <v>102</v>
      </c>
      <c r="B8" t="s">
        <v>3994</v>
      </c>
      <c r="D8">
        <v>66962</v>
      </c>
      <c r="E8" t="str">
        <f t="shared" si="0"/>
        <v>ia.assorted_string like '%66962-01-2023%' or</v>
      </c>
    </row>
    <row r="9" spans="1:5" x14ac:dyDescent="0.25">
      <c r="A9" s="1" t="s">
        <v>108</v>
      </c>
      <c r="B9" t="s">
        <v>3994</v>
      </c>
      <c r="D9">
        <v>66983</v>
      </c>
      <c r="E9" t="str">
        <f t="shared" si="0"/>
        <v>ia.assorted_string like '%66983-01-2023%' or</v>
      </c>
    </row>
    <row r="10" spans="1:5" x14ac:dyDescent="0.25">
      <c r="A10" s="1" t="s">
        <v>110</v>
      </c>
      <c r="B10" t="s">
        <v>3994</v>
      </c>
      <c r="D10">
        <v>66986</v>
      </c>
      <c r="E10" t="str">
        <f t="shared" si="0"/>
        <v>ia.assorted_string like '%66986-01-2023%' or</v>
      </c>
    </row>
    <row r="11" spans="1:5" x14ac:dyDescent="0.25">
      <c r="A11" s="1" t="s">
        <v>112</v>
      </c>
      <c r="B11" t="s">
        <v>3994</v>
      </c>
      <c r="D11">
        <v>67223</v>
      </c>
      <c r="E11" t="str">
        <f t="shared" si="0"/>
        <v>ia.assorted_string like '%67223-01-2023%' or</v>
      </c>
    </row>
    <row r="12" spans="1:5" x14ac:dyDescent="0.25">
      <c r="A12" s="1" t="s">
        <v>122</v>
      </c>
      <c r="B12" t="s">
        <v>3995</v>
      </c>
      <c r="D12">
        <v>67508</v>
      </c>
      <c r="E12" t="str">
        <f t="shared" si="0"/>
        <v>ia.assorted_string like '%67508-02-2023%' or</v>
      </c>
    </row>
    <row r="13" spans="1:5" x14ac:dyDescent="0.25">
      <c r="A13" s="1" t="s">
        <v>124</v>
      </c>
      <c r="B13" t="s">
        <v>3995</v>
      </c>
      <c r="D13">
        <v>67739</v>
      </c>
      <c r="E13" t="str">
        <f t="shared" si="0"/>
        <v>ia.assorted_string like '%67739-02-2023%' or</v>
      </c>
    </row>
    <row r="14" spans="1:5" x14ac:dyDescent="0.25">
      <c r="A14" s="1" t="s">
        <v>171</v>
      </c>
      <c r="B14" t="s">
        <v>3996</v>
      </c>
      <c r="D14">
        <v>68967</v>
      </c>
      <c r="E14" t="str">
        <f t="shared" si="0"/>
        <v>ia.assorted_string like '%68967-03-2023%' or</v>
      </c>
    </row>
    <row r="15" spans="1:5" x14ac:dyDescent="0.25">
      <c r="A15" s="1" t="s">
        <v>174</v>
      </c>
      <c r="B15" t="s">
        <v>3996</v>
      </c>
      <c r="D15">
        <v>68970</v>
      </c>
      <c r="E15" t="str">
        <f t="shared" si="0"/>
        <v>ia.assorted_string like '%68970-03-2023%' or</v>
      </c>
    </row>
    <row r="16" spans="1:5" x14ac:dyDescent="0.25">
      <c r="A16" s="1" t="s">
        <v>185</v>
      </c>
      <c r="B16" t="s">
        <v>3997</v>
      </c>
      <c r="D16">
        <v>69487</v>
      </c>
      <c r="E16" t="str">
        <f t="shared" si="0"/>
        <v>ia.assorted_string like '%69487-04-2023%' or</v>
      </c>
    </row>
    <row r="17" spans="1:5" x14ac:dyDescent="0.25">
      <c r="A17" s="1" t="s">
        <v>197</v>
      </c>
      <c r="B17" t="s">
        <v>3997</v>
      </c>
      <c r="D17">
        <v>69644</v>
      </c>
      <c r="E17" t="str">
        <f t="shared" si="0"/>
        <v>ia.assorted_string like '%69644-04-2023%' or</v>
      </c>
    </row>
    <row r="18" spans="1:5" x14ac:dyDescent="0.25">
      <c r="A18" s="1" t="s">
        <v>205</v>
      </c>
      <c r="B18" t="s">
        <v>3997</v>
      </c>
      <c r="D18">
        <v>69846</v>
      </c>
      <c r="E18" t="str">
        <f t="shared" si="0"/>
        <v>ia.assorted_string like '%69846-04-2023%' or</v>
      </c>
    </row>
    <row r="19" spans="1:5" x14ac:dyDescent="0.25">
      <c r="A19" s="1" t="s">
        <v>208</v>
      </c>
      <c r="B19" t="s">
        <v>3997</v>
      </c>
      <c r="D19">
        <v>69859</v>
      </c>
      <c r="E19" t="str">
        <f t="shared" si="0"/>
        <v>ia.assorted_string like '%69859-04-2023%' or</v>
      </c>
    </row>
    <row r="20" spans="1:5" x14ac:dyDescent="0.25">
      <c r="A20" s="1" t="s">
        <v>242</v>
      </c>
      <c r="B20" t="s">
        <v>3998</v>
      </c>
      <c r="D20">
        <v>70759</v>
      </c>
      <c r="E20" t="str">
        <f t="shared" si="0"/>
        <v>ia.assorted_string like '%70759-05-2023%' or</v>
      </c>
    </row>
    <row r="21" spans="1:5" x14ac:dyDescent="0.25">
      <c r="A21" s="1" t="s">
        <v>256</v>
      </c>
      <c r="B21" t="s">
        <v>3998</v>
      </c>
      <c r="D21">
        <v>71235</v>
      </c>
      <c r="E21" t="str">
        <f t="shared" si="0"/>
        <v>ia.assorted_string like '%71235-05-2023%' or</v>
      </c>
    </row>
    <row r="22" spans="1:5" x14ac:dyDescent="0.25">
      <c r="A22" s="1" t="s">
        <v>268</v>
      </c>
      <c r="B22" t="s">
        <v>3998</v>
      </c>
      <c r="D22">
        <v>71440</v>
      </c>
      <c r="E22" t="str">
        <f t="shared" si="0"/>
        <v>ia.assorted_string like '%71440-05-2023%' or</v>
      </c>
    </row>
    <row r="23" spans="1:5" x14ac:dyDescent="0.25">
      <c r="A23" s="1" t="s">
        <v>349</v>
      </c>
      <c r="B23" t="s">
        <v>3999</v>
      </c>
      <c r="D23">
        <v>72254</v>
      </c>
      <c r="E23" t="str">
        <f t="shared" si="0"/>
        <v>ia.assorted_string like '%72254-06-2023%' or</v>
      </c>
    </row>
    <row r="24" spans="1:5" x14ac:dyDescent="0.25">
      <c r="A24" s="1" t="s">
        <v>351</v>
      </c>
      <c r="B24" t="s">
        <v>3999</v>
      </c>
      <c r="D24">
        <v>72269</v>
      </c>
      <c r="E24" t="str">
        <f t="shared" si="0"/>
        <v>ia.assorted_string like '%72269-06-2023%' or</v>
      </c>
    </row>
    <row r="25" spans="1:5" x14ac:dyDescent="0.25">
      <c r="A25" s="1" t="s">
        <v>383</v>
      </c>
      <c r="B25" t="s">
        <v>3999</v>
      </c>
      <c r="D25">
        <v>72452</v>
      </c>
      <c r="E25" t="str">
        <f t="shared" si="0"/>
        <v>ia.assorted_string like '%72452-06-2023%' or</v>
      </c>
    </row>
    <row r="26" spans="1:5" x14ac:dyDescent="0.25">
      <c r="A26" s="1" t="s">
        <v>622</v>
      </c>
      <c r="B26" t="s">
        <v>4000</v>
      </c>
      <c r="D26">
        <v>75207</v>
      </c>
      <c r="E26" t="str">
        <f t="shared" si="0"/>
        <v>ia.assorted_string like '%75207-09-2023%' or</v>
      </c>
    </row>
    <row r="27" spans="1:5" x14ac:dyDescent="0.25">
      <c r="A27" s="1" t="s">
        <v>784</v>
      </c>
      <c r="B27" t="s">
        <v>4001</v>
      </c>
      <c r="D27">
        <v>76388</v>
      </c>
      <c r="E27" t="str">
        <f t="shared" si="0"/>
        <v>ia.assorted_string like '%76388-10-2023%' or</v>
      </c>
    </row>
    <row r="28" spans="1:5" x14ac:dyDescent="0.25">
      <c r="A28" s="1" t="s">
        <v>817</v>
      </c>
      <c r="B28" t="s">
        <v>4001</v>
      </c>
      <c r="D28">
        <v>76598</v>
      </c>
      <c r="E28" t="str">
        <f t="shared" si="0"/>
        <v>ia.assorted_string like '%76598-10-2023%' or</v>
      </c>
    </row>
    <row r="29" spans="1:5" x14ac:dyDescent="0.25">
      <c r="A29" s="1" t="s">
        <v>871</v>
      </c>
      <c r="B29" t="s">
        <v>4001</v>
      </c>
      <c r="D29">
        <v>77260</v>
      </c>
      <c r="E29" t="str">
        <f t="shared" si="0"/>
        <v>ia.assorted_string like '%77260-10-2023%' or</v>
      </c>
    </row>
    <row r="30" spans="1:5" x14ac:dyDescent="0.25">
      <c r="A30" s="1" t="s">
        <v>1040</v>
      </c>
      <c r="B30" t="s">
        <v>4002</v>
      </c>
      <c r="D30">
        <v>78965</v>
      </c>
      <c r="E30" t="str">
        <f t="shared" si="0"/>
        <v>ia.assorted_string like '%78965-12-2023%' or</v>
      </c>
    </row>
    <row r="31" spans="1:5" x14ac:dyDescent="0.25">
      <c r="A31" s="1" t="s">
        <v>1089</v>
      </c>
      <c r="B31" t="s">
        <v>4002</v>
      </c>
      <c r="D31">
        <v>79781</v>
      </c>
      <c r="E31" t="str">
        <f t="shared" si="0"/>
        <v>ia.assorted_string like '%79781-12-2023%' or</v>
      </c>
    </row>
    <row r="32" spans="1:5" x14ac:dyDescent="0.25">
      <c r="A32" s="1" t="s">
        <v>1137</v>
      </c>
      <c r="B32" t="s">
        <v>4002</v>
      </c>
      <c r="D32">
        <v>80138</v>
      </c>
      <c r="E32" t="str">
        <f t="shared" si="0"/>
        <v>ia.assorted_string like '%80138-12-2023%' or</v>
      </c>
    </row>
    <row r="33" spans="1:5" x14ac:dyDescent="0.25">
      <c r="A33" s="1" t="s">
        <v>1215</v>
      </c>
      <c r="B33" t="s">
        <v>4003</v>
      </c>
      <c r="D33">
        <v>81037</v>
      </c>
      <c r="E33" t="str">
        <f t="shared" si="0"/>
        <v>ia.assorted_string like '%81037-01-2024%' or</v>
      </c>
    </row>
    <row r="34" spans="1:5" x14ac:dyDescent="0.25">
      <c r="A34" s="1" t="s">
        <v>1243</v>
      </c>
      <c r="B34" t="s">
        <v>4003</v>
      </c>
      <c r="D34">
        <v>81079</v>
      </c>
      <c r="E34" t="str">
        <f t="shared" si="0"/>
        <v>ia.assorted_string like '%81079-01-2024%' or</v>
      </c>
    </row>
    <row r="35" spans="1:5" x14ac:dyDescent="0.25">
      <c r="A35" s="1" t="s">
        <v>1268</v>
      </c>
      <c r="B35" t="s">
        <v>4003</v>
      </c>
      <c r="D35">
        <v>81234</v>
      </c>
      <c r="E35" t="str">
        <f t="shared" si="0"/>
        <v>ia.assorted_string like '%81234-01-2024%' or</v>
      </c>
    </row>
    <row r="36" spans="1:5" x14ac:dyDescent="0.25">
      <c r="A36" s="1" t="s">
        <v>1312</v>
      </c>
      <c r="B36" t="s">
        <v>4003</v>
      </c>
      <c r="D36">
        <v>81509</v>
      </c>
      <c r="E36" t="str">
        <f t="shared" si="0"/>
        <v>ia.assorted_string like '%81509-01-2024%' or</v>
      </c>
    </row>
    <row r="37" spans="1:5" x14ac:dyDescent="0.25">
      <c r="A37" s="1" t="s">
        <v>1318</v>
      </c>
      <c r="B37" t="s">
        <v>4003</v>
      </c>
      <c r="D37">
        <v>81649</v>
      </c>
      <c r="E37" t="str">
        <f t="shared" si="0"/>
        <v>ia.assorted_string like '%81649-01-2024%' or</v>
      </c>
    </row>
    <row r="38" spans="1:5" x14ac:dyDescent="0.25">
      <c r="A38" s="1" t="s">
        <v>1441</v>
      </c>
      <c r="B38" t="s">
        <v>4004</v>
      </c>
      <c r="D38">
        <v>83148</v>
      </c>
      <c r="E38" t="str">
        <f t="shared" si="0"/>
        <v>ia.assorted_string like '%83148-02-2024%' or</v>
      </c>
    </row>
    <row r="39" spans="1:5" x14ac:dyDescent="0.25">
      <c r="A39" s="1" t="s">
        <v>1453</v>
      </c>
      <c r="B39" t="s">
        <v>4004</v>
      </c>
      <c r="D39">
        <v>83363</v>
      </c>
      <c r="E39" t="str">
        <f t="shared" si="0"/>
        <v>ia.assorted_string like '%83363-02-2024%' or</v>
      </c>
    </row>
    <row r="40" spans="1:5" x14ac:dyDescent="0.25">
      <c r="A40" s="1" t="s">
        <v>1512</v>
      </c>
      <c r="B40" t="s">
        <v>4004</v>
      </c>
      <c r="D40">
        <v>84332</v>
      </c>
      <c r="E40" t="str">
        <f t="shared" si="0"/>
        <v>ia.assorted_string like '%84332-02-2024%' or</v>
      </c>
    </row>
    <row r="41" spans="1:5" x14ac:dyDescent="0.25">
      <c r="A41" s="1" t="s">
        <v>1519</v>
      </c>
      <c r="B41" t="s">
        <v>4004</v>
      </c>
      <c r="D41">
        <v>84422</v>
      </c>
      <c r="E41" t="str">
        <f t="shared" si="0"/>
        <v>ia.assorted_string like '%84422-02-2024%' or</v>
      </c>
    </row>
    <row r="42" spans="1:5" x14ac:dyDescent="0.25">
      <c r="A42" s="1" t="s">
        <v>1562</v>
      </c>
      <c r="B42" t="s">
        <v>4005</v>
      </c>
      <c r="D42">
        <v>85426</v>
      </c>
      <c r="E42" t="str">
        <f t="shared" si="0"/>
        <v>ia.assorted_string like '%85426-03-2024%' or</v>
      </c>
    </row>
    <row r="43" spans="1:5" x14ac:dyDescent="0.25">
      <c r="A43" s="1" t="s">
        <v>1590</v>
      </c>
      <c r="B43" t="s">
        <v>4005</v>
      </c>
      <c r="D43">
        <v>86058</v>
      </c>
      <c r="E43" t="str">
        <f t="shared" si="0"/>
        <v>ia.assorted_string like '%86058-03-2024%' or</v>
      </c>
    </row>
    <row r="44" spans="1:5" x14ac:dyDescent="0.25">
      <c r="A44" s="1" t="s">
        <v>1606</v>
      </c>
      <c r="B44" t="s">
        <v>4005</v>
      </c>
      <c r="D44">
        <v>86227</v>
      </c>
      <c r="E44" t="str">
        <f t="shared" si="0"/>
        <v>ia.assorted_string like '%86227-03-2024%' or</v>
      </c>
    </row>
    <row r="45" spans="1:5" x14ac:dyDescent="0.25">
      <c r="A45" s="1" t="s">
        <v>1617</v>
      </c>
      <c r="B45" t="s">
        <v>4005</v>
      </c>
      <c r="D45">
        <v>86281</v>
      </c>
      <c r="E45" t="str">
        <f t="shared" si="0"/>
        <v>ia.assorted_string like '%86281-03-2024%' or</v>
      </c>
    </row>
    <row r="46" spans="1:5" x14ac:dyDescent="0.25">
      <c r="A46" s="1" t="s">
        <v>1639</v>
      </c>
      <c r="B46" t="s">
        <v>4006</v>
      </c>
      <c r="D46">
        <v>86465</v>
      </c>
      <c r="E46" t="str">
        <f t="shared" si="0"/>
        <v>ia.assorted_string like '%86465-04-2024%' or</v>
      </c>
    </row>
    <row r="47" spans="1:5" x14ac:dyDescent="0.25">
      <c r="A47" s="1" t="s">
        <v>1662</v>
      </c>
      <c r="B47" t="s">
        <v>4006</v>
      </c>
      <c r="D47">
        <v>86767</v>
      </c>
      <c r="E47" t="str">
        <f t="shared" si="0"/>
        <v>ia.assorted_string like '%86767-04-2024%' or</v>
      </c>
    </row>
    <row r="48" spans="1:5" x14ac:dyDescent="0.25">
      <c r="A48" s="1" t="s">
        <v>1672</v>
      </c>
      <c r="B48" t="s">
        <v>4006</v>
      </c>
      <c r="D48">
        <v>86772</v>
      </c>
      <c r="E48" t="str">
        <f t="shared" si="0"/>
        <v>ia.assorted_string like '%86772-04-2024%' or</v>
      </c>
    </row>
    <row r="49" spans="1:5" x14ac:dyDescent="0.25">
      <c r="A49" s="1" t="s">
        <v>1702</v>
      </c>
      <c r="B49" t="s">
        <v>4006</v>
      </c>
      <c r="D49">
        <v>86988</v>
      </c>
      <c r="E49" t="str">
        <f t="shared" si="0"/>
        <v>ia.assorted_string like '%86988-04-2024%' or</v>
      </c>
    </row>
    <row r="50" spans="1:5" x14ac:dyDescent="0.25">
      <c r="A50" s="1" t="s">
        <v>1707</v>
      </c>
      <c r="B50" t="s">
        <v>4006</v>
      </c>
      <c r="D50">
        <v>86993</v>
      </c>
      <c r="E50" t="str">
        <f t="shared" si="0"/>
        <v>ia.assorted_string like '%86993-04-2024%' or</v>
      </c>
    </row>
    <row r="51" spans="1:5" x14ac:dyDescent="0.25">
      <c r="A51" s="1" t="s">
        <v>1716</v>
      </c>
      <c r="B51" t="s">
        <v>4006</v>
      </c>
      <c r="D51">
        <v>87177</v>
      </c>
      <c r="E51" t="str">
        <f t="shared" si="0"/>
        <v>ia.assorted_string like '%87177-04-2024%' or</v>
      </c>
    </row>
    <row r="52" spans="1:5" x14ac:dyDescent="0.25">
      <c r="A52" s="1" t="s">
        <v>1726</v>
      </c>
      <c r="B52" t="s">
        <v>4006</v>
      </c>
      <c r="D52">
        <v>87192</v>
      </c>
      <c r="E52" t="str">
        <f t="shared" si="0"/>
        <v>ia.assorted_string like '%87192-04-2024%' or</v>
      </c>
    </row>
    <row r="53" spans="1:5" x14ac:dyDescent="0.25">
      <c r="A53" s="1" t="s">
        <v>1749</v>
      </c>
      <c r="B53" t="s">
        <v>4006</v>
      </c>
      <c r="D53">
        <v>87330</v>
      </c>
      <c r="E53" t="str">
        <f t="shared" si="0"/>
        <v>ia.assorted_string like '%87330-04-2024%' or</v>
      </c>
    </row>
    <row r="54" spans="1:5" x14ac:dyDescent="0.25">
      <c r="A54" s="1" t="s">
        <v>1752</v>
      </c>
      <c r="B54" t="s">
        <v>4006</v>
      </c>
      <c r="D54">
        <v>87332</v>
      </c>
      <c r="E54" t="str">
        <f t="shared" si="0"/>
        <v>ia.assorted_string like '%87332-04-2024%' or</v>
      </c>
    </row>
    <row r="55" spans="1:5" x14ac:dyDescent="0.25">
      <c r="A55" s="1" t="s">
        <v>1760</v>
      </c>
      <c r="B55" t="s">
        <v>4006</v>
      </c>
      <c r="D55">
        <v>87374</v>
      </c>
      <c r="E55" t="str">
        <f t="shared" si="0"/>
        <v>ia.assorted_string like '%87374-04-2024%' or</v>
      </c>
    </row>
    <row r="56" spans="1:5" x14ac:dyDescent="0.25">
      <c r="A56" s="1" t="s">
        <v>1797</v>
      </c>
      <c r="B56" t="s">
        <v>4006</v>
      </c>
      <c r="D56">
        <v>88019</v>
      </c>
      <c r="E56" t="str">
        <f t="shared" si="0"/>
        <v>ia.assorted_string like '%88019-04-2024%' or</v>
      </c>
    </row>
    <row r="57" spans="1:5" x14ac:dyDescent="0.25">
      <c r="A57" s="1" t="s">
        <v>1826</v>
      </c>
      <c r="B57" t="s">
        <v>4007</v>
      </c>
      <c r="D57">
        <v>88544</v>
      </c>
      <c r="E57" t="str">
        <f t="shared" si="0"/>
        <v>ia.assorted_string like '%88544-05-2024%' or</v>
      </c>
    </row>
    <row r="58" spans="1:5" x14ac:dyDescent="0.25">
      <c r="A58" s="1" t="s">
        <v>1836</v>
      </c>
      <c r="B58" t="s">
        <v>4007</v>
      </c>
      <c r="D58">
        <v>88809</v>
      </c>
      <c r="E58" t="str">
        <f t="shared" si="0"/>
        <v>ia.assorted_string like '%88809-05-2024%' or</v>
      </c>
    </row>
    <row r="59" spans="1:5" x14ac:dyDescent="0.25">
      <c r="A59" s="1" t="s">
        <v>1851</v>
      </c>
      <c r="B59" t="s">
        <v>4007</v>
      </c>
      <c r="D59">
        <v>89642</v>
      </c>
      <c r="E59" t="str">
        <f t="shared" si="0"/>
        <v>ia.assorted_string like '%89642-05-2024%' or</v>
      </c>
    </row>
    <row r="60" spans="1:5" x14ac:dyDescent="0.25">
      <c r="A60" s="1" t="s">
        <v>1890</v>
      </c>
      <c r="B60" t="s">
        <v>4008</v>
      </c>
      <c r="D60">
        <v>90239</v>
      </c>
      <c r="E60" t="str">
        <f t="shared" si="0"/>
        <v>ia.assorted_string like '%90239-06-2024%' or</v>
      </c>
    </row>
    <row r="61" spans="1:5" x14ac:dyDescent="0.25">
      <c r="A61" s="1" t="s">
        <v>1898</v>
      </c>
      <c r="B61" t="s">
        <v>4008</v>
      </c>
      <c r="D61">
        <v>90330</v>
      </c>
      <c r="E61" t="str">
        <f t="shared" si="0"/>
        <v>ia.assorted_string like '%90330-06-2024%' or</v>
      </c>
    </row>
    <row r="62" spans="1:5" x14ac:dyDescent="0.25">
      <c r="A62" s="1" t="s">
        <v>1933</v>
      </c>
      <c r="B62" t="s">
        <v>4008</v>
      </c>
      <c r="D62">
        <v>91940</v>
      </c>
      <c r="E62" t="str">
        <f t="shared" si="0"/>
        <v>ia.assorted_string like '%91940-06-2024%' or</v>
      </c>
    </row>
    <row r="63" spans="1:5" x14ac:dyDescent="0.25">
      <c r="A63" s="1" t="s">
        <v>1952</v>
      </c>
      <c r="B63" t="s">
        <v>4009</v>
      </c>
      <c r="D63">
        <v>92396</v>
      </c>
      <c r="E63" t="str">
        <f t="shared" si="0"/>
        <v>ia.assorted_string like '%92396-07-2024%' or</v>
      </c>
    </row>
    <row r="64" spans="1:5" x14ac:dyDescent="0.25">
      <c r="A64" t="s">
        <v>19</v>
      </c>
      <c r="B64" t="s">
        <v>4010</v>
      </c>
      <c r="D64">
        <v>18227</v>
      </c>
      <c r="E64" t="str">
        <f t="shared" si="0"/>
        <v>ia.assorted_string like '%18227-12-2021%' or</v>
      </c>
    </row>
    <row r="65" spans="1:5" x14ac:dyDescent="0.25">
      <c r="A65" t="s">
        <v>12</v>
      </c>
      <c r="B65" t="s">
        <v>4010</v>
      </c>
      <c r="D65">
        <v>18327</v>
      </c>
      <c r="E65" t="str">
        <f t="shared" si="0"/>
        <v>ia.assorted_string like '%18327-12-2021%' or</v>
      </c>
    </row>
    <row r="66" spans="1:5" x14ac:dyDescent="0.25">
      <c r="A66" t="s">
        <v>15</v>
      </c>
      <c r="B66" t="s">
        <v>3989</v>
      </c>
      <c r="D66">
        <v>18537</v>
      </c>
      <c r="E66" t="str">
        <f t="shared" ref="E66:E129" si="1">"ia.assorted_string like '%"&amp;D66&amp;B66&amp;"%' or"</f>
        <v>ia.assorted_string like '%18537-01-2022%' or</v>
      </c>
    </row>
    <row r="67" spans="1:5" x14ac:dyDescent="0.25">
      <c r="A67" t="s">
        <v>26</v>
      </c>
      <c r="B67" t="s">
        <v>4011</v>
      </c>
      <c r="D67">
        <v>18671</v>
      </c>
      <c r="E67" t="str">
        <f t="shared" si="1"/>
        <v>ia.assorted_string like '%18671-02-2022%' or</v>
      </c>
    </row>
    <row r="68" spans="1:5" x14ac:dyDescent="0.25">
      <c r="A68" t="s">
        <v>36</v>
      </c>
      <c r="B68" t="s">
        <v>4011</v>
      </c>
      <c r="D68">
        <v>18762</v>
      </c>
      <c r="E68" t="str">
        <f t="shared" si="1"/>
        <v>ia.assorted_string like '%18762-02-2022%' or</v>
      </c>
    </row>
    <row r="69" spans="1:5" x14ac:dyDescent="0.25">
      <c r="A69" t="s">
        <v>27</v>
      </c>
      <c r="B69" t="s">
        <v>3990</v>
      </c>
      <c r="D69">
        <v>19615</v>
      </c>
      <c r="E69" t="str">
        <f t="shared" si="1"/>
        <v>ia.assorted_string like '%19615-05-2022%' or</v>
      </c>
    </row>
    <row r="70" spans="1:5" x14ac:dyDescent="0.25">
      <c r="A70" t="s">
        <v>28</v>
      </c>
      <c r="B70" t="s">
        <v>3990</v>
      </c>
      <c r="D70">
        <v>19649</v>
      </c>
      <c r="E70" t="str">
        <f t="shared" si="1"/>
        <v>ia.assorted_string like '%19649-05-2022%' or</v>
      </c>
    </row>
    <row r="71" spans="1:5" x14ac:dyDescent="0.25">
      <c r="A71" t="s">
        <v>77</v>
      </c>
      <c r="B71" t="s">
        <v>4012</v>
      </c>
      <c r="D71">
        <v>21786</v>
      </c>
      <c r="E71" t="str">
        <f t="shared" si="1"/>
        <v>ia.assorted_string like '%21786-10-2022%' or</v>
      </c>
    </row>
    <row r="72" spans="1:5" x14ac:dyDescent="0.25">
      <c r="A72" t="s">
        <v>74</v>
      </c>
      <c r="B72" t="s">
        <v>4012</v>
      </c>
      <c r="D72">
        <v>21787</v>
      </c>
      <c r="E72" t="str">
        <f t="shared" si="1"/>
        <v>ia.assorted_string like '%21787-10-2022%' or</v>
      </c>
    </row>
    <row r="73" spans="1:5" x14ac:dyDescent="0.25">
      <c r="A73" t="s">
        <v>68</v>
      </c>
      <c r="B73" t="s">
        <v>4012</v>
      </c>
      <c r="D73">
        <v>21792</v>
      </c>
      <c r="E73" t="str">
        <f t="shared" si="1"/>
        <v>ia.assorted_string like '%21792-10-2022%' or</v>
      </c>
    </row>
    <row r="74" spans="1:5" x14ac:dyDescent="0.25">
      <c r="A74" t="s">
        <v>65</v>
      </c>
      <c r="B74" t="s">
        <v>4012</v>
      </c>
      <c r="D74">
        <v>21795</v>
      </c>
      <c r="E74" t="str">
        <f t="shared" si="1"/>
        <v>ia.assorted_string like '%21795-10-2022%' or</v>
      </c>
    </row>
    <row r="75" spans="1:5" x14ac:dyDescent="0.25">
      <c r="A75" t="s">
        <v>72</v>
      </c>
      <c r="B75" t="s">
        <v>4012</v>
      </c>
      <c r="D75">
        <v>21796</v>
      </c>
      <c r="E75" t="str">
        <f t="shared" si="1"/>
        <v>ia.assorted_string like '%21796-10-2022%' or</v>
      </c>
    </row>
    <row r="76" spans="1:5" x14ac:dyDescent="0.25">
      <c r="A76" t="s">
        <v>20</v>
      </c>
      <c r="B76" t="s">
        <v>4012</v>
      </c>
      <c r="D76">
        <v>21801</v>
      </c>
      <c r="E76" t="str">
        <f t="shared" si="1"/>
        <v>ia.assorted_string like '%21801-10-2022%' or</v>
      </c>
    </row>
    <row r="77" spans="1:5" x14ac:dyDescent="0.25">
      <c r="A77" t="s">
        <v>16</v>
      </c>
      <c r="B77" t="s">
        <v>4012</v>
      </c>
      <c r="D77">
        <v>21803</v>
      </c>
      <c r="E77" t="str">
        <f t="shared" si="1"/>
        <v>ia.assorted_string like '%21803-10-2022%' or</v>
      </c>
    </row>
    <row r="78" spans="1:5" x14ac:dyDescent="0.25">
      <c r="A78" t="s">
        <v>48</v>
      </c>
      <c r="B78" t="s">
        <v>4012</v>
      </c>
      <c r="D78">
        <v>21805</v>
      </c>
      <c r="E78" t="str">
        <f t="shared" si="1"/>
        <v>ia.assorted_string like '%21805-10-2022%' or</v>
      </c>
    </row>
    <row r="79" spans="1:5" x14ac:dyDescent="0.25">
      <c r="A79" t="s">
        <v>29</v>
      </c>
      <c r="B79" t="s">
        <v>4012</v>
      </c>
      <c r="D79">
        <v>21806</v>
      </c>
      <c r="E79" t="str">
        <f t="shared" si="1"/>
        <v>ia.assorted_string like '%21806-10-2022%' or</v>
      </c>
    </row>
    <row r="80" spans="1:5" x14ac:dyDescent="0.25">
      <c r="A80" t="s">
        <v>84</v>
      </c>
      <c r="B80" t="s">
        <v>4012</v>
      </c>
      <c r="D80">
        <v>21807</v>
      </c>
      <c r="E80" t="str">
        <f t="shared" si="1"/>
        <v>ia.assorted_string like '%21807-10-2022%' or</v>
      </c>
    </row>
    <row r="81" spans="1:5" x14ac:dyDescent="0.25">
      <c r="A81" t="s">
        <v>23</v>
      </c>
      <c r="B81" t="s">
        <v>4013</v>
      </c>
      <c r="D81">
        <v>22006</v>
      </c>
      <c r="E81" t="str">
        <f t="shared" si="1"/>
        <v>ia.assorted_string like '%22006-11-2022%' or</v>
      </c>
    </row>
    <row r="82" spans="1:5" x14ac:dyDescent="0.25">
      <c r="A82" t="s">
        <v>32</v>
      </c>
      <c r="B82" t="s">
        <v>4013</v>
      </c>
      <c r="D82">
        <v>22012</v>
      </c>
      <c r="E82" t="str">
        <f t="shared" si="1"/>
        <v>ia.assorted_string like '%22012-11-2022%' or</v>
      </c>
    </row>
    <row r="83" spans="1:5" x14ac:dyDescent="0.25">
      <c r="A83" t="s">
        <v>39</v>
      </c>
      <c r="B83" t="s">
        <v>4013</v>
      </c>
      <c r="D83">
        <v>22027</v>
      </c>
      <c r="E83" t="str">
        <f t="shared" si="1"/>
        <v>ia.assorted_string like '%22027-11-2022%' or</v>
      </c>
    </row>
    <row r="84" spans="1:5" x14ac:dyDescent="0.25">
      <c r="A84" t="s">
        <v>44</v>
      </c>
      <c r="B84" t="s">
        <v>4013</v>
      </c>
      <c r="D84">
        <v>22226</v>
      </c>
      <c r="E84" t="str">
        <f t="shared" si="1"/>
        <v>ia.assorted_string like '%22226-11-2022%' or</v>
      </c>
    </row>
    <row r="85" spans="1:5" x14ac:dyDescent="0.25">
      <c r="A85" t="s">
        <v>40</v>
      </c>
      <c r="B85" t="s">
        <v>4013</v>
      </c>
      <c r="D85">
        <v>22227</v>
      </c>
      <c r="E85" t="str">
        <f t="shared" si="1"/>
        <v>ia.assorted_string like '%22227-11-2022%' or</v>
      </c>
    </row>
    <row r="86" spans="1:5" x14ac:dyDescent="0.25">
      <c r="A86" t="s">
        <v>33</v>
      </c>
      <c r="B86" t="s">
        <v>4013</v>
      </c>
      <c r="D86">
        <v>22239</v>
      </c>
      <c r="E86" t="str">
        <f t="shared" si="1"/>
        <v>ia.assorted_string like '%22239-11-2022%' or</v>
      </c>
    </row>
    <row r="87" spans="1:5" x14ac:dyDescent="0.25">
      <c r="A87" t="s">
        <v>54</v>
      </c>
      <c r="B87" t="s">
        <v>4013</v>
      </c>
      <c r="D87">
        <v>22261</v>
      </c>
      <c r="E87" t="str">
        <f t="shared" si="1"/>
        <v>ia.assorted_string like '%22261-11-2022%' or</v>
      </c>
    </row>
    <row r="88" spans="1:5" x14ac:dyDescent="0.25">
      <c r="A88" t="s">
        <v>55</v>
      </c>
      <c r="B88" t="s">
        <v>3993</v>
      </c>
      <c r="D88">
        <v>22399</v>
      </c>
      <c r="E88" t="str">
        <f t="shared" si="1"/>
        <v>ia.assorted_string like '%22399-12-2022%' or</v>
      </c>
    </row>
    <row r="89" spans="1:5" x14ac:dyDescent="0.25">
      <c r="A89" t="s">
        <v>41</v>
      </c>
      <c r="B89" t="s">
        <v>3993</v>
      </c>
      <c r="D89">
        <v>22541</v>
      </c>
      <c r="E89" t="str">
        <f t="shared" si="1"/>
        <v>ia.assorted_string like '%22541-12-2022%' or</v>
      </c>
    </row>
    <row r="90" spans="1:5" x14ac:dyDescent="0.25">
      <c r="A90" t="s">
        <v>45</v>
      </c>
      <c r="B90" t="s">
        <v>3993</v>
      </c>
      <c r="D90">
        <v>22607</v>
      </c>
      <c r="E90" t="str">
        <f t="shared" si="1"/>
        <v>ia.assorted_string like '%22607-12-2022%' or</v>
      </c>
    </row>
    <row r="91" spans="1:5" x14ac:dyDescent="0.25">
      <c r="A91" t="s">
        <v>51</v>
      </c>
      <c r="B91" t="s">
        <v>3994</v>
      </c>
      <c r="D91">
        <v>22651</v>
      </c>
      <c r="E91" t="str">
        <f t="shared" si="1"/>
        <v>ia.assorted_string like '%22651-01-2023%' or</v>
      </c>
    </row>
    <row r="92" spans="1:5" x14ac:dyDescent="0.25">
      <c r="A92" t="s">
        <v>56</v>
      </c>
      <c r="B92" t="s">
        <v>3994</v>
      </c>
      <c r="D92">
        <v>22778</v>
      </c>
      <c r="E92" t="str">
        <f t="shared" si="1"/>
        <v>ia.assorted_string like '%22778-01-2023%' or</v>
      </c>
    </row>
    <row r="93" spans="1:5" x14ac:dyDescent="0.25">
      <c r="A93" t="s">
        <v>57</v>
      </c>
      <c r="B93" t="s">
        <v>3995</v>
      </c>
      <c r="D93">
        <v>23073</v>
      </c>
      <c r="E93" t="str">
        <f t="shared" si="1"/>
        <v>ia.assorted_string like '%23073-02-2023%' or</v>
      </c>
    </row>
    <row r="94" spans="1:5" x14ac:dyDescent="0.25">
      <c r="A94" t="s">
        <v>69</v>
      </c>
      <c r="B94" t="s">
        <v>3995</v>
      </c>
      <c r="D94">
        <v>23322</v>
      </c>
      <c r="E94" t="str">
        <f t="shared" si="1"/>
        <v>ia.assorted_string like '%23322-02-2023%' or</v>
      </c>
    </row>
    <row r="95" spans="1:5" x14ac:dyDescent="0.25">
      <c r="A95" t="s">
        <v>89</v>
      </c>
      <c r="B95" t="s">
        <v>3996</v>
      </c>
      <c r="D95">
        <v>23543</v>
      </c>
      <c r="E95" t="str">
        <f t="shared" si="1"/>
        <v>ia.assorted_string like '%23543-03-2023%' or</v>
      </c>
    </row>
    <row r="96" spans="1:5" x14ac:dyDescent="0.25">
      <c r="A96" t="s">
        <v>91</v>
      </c>
      <c r="B96" t="s">
        <v>3996</v>
      </c>
      <c r="D96">
        <v>23895</v>
      </c>
      <c r="E96" t="str">
        <f t="shared" si="1"/>
        <v>ia.assorted_string like '%23895-03-2023%' or</v>
      </c>
    </row>
    <row r="97" spans="1:5" x14ac:dyDescent="0.25">
      <c r="A97" t="s">
        <v>92</v>
      </c>
      <c r="B97" t="s">
        <v>3996</v>
      </c>
      <c r="D97">
        <v>23974</v>
      </c>
      <c r="E97" t="str">
        <f t="shared" si="1"/>
        <v>ia.assorted_string like '%23974-03-2023%' or</v>
      </c>
    </row>
    <row r="98" spans="1:5" x14ac:dyDescent="0.25">
      <c r="A98" t="s">
        <v>60</v>
      </c>
      <c r="B98" t="s">
        <v>3996</v>
      </c>
      <c r="D98">
        <v>24332</v>
      </c>
      <c r="E98" t="str">
        <f t="shared" si="1"/>
        <v>ia.assorted_string like '%24332-03-2023%' or</v>
      </c>
    </row>
    <row r="99" spans="1:5" x14ac:dyDescent="0.25">
      <c r="A99" t="s">
        <v>63</v>
      </c>
      <c r="B99" t="s">
        <v>3996</v>
      </c>
      <c r="D99">
        <v>24359</v>
      </c>
      <c r="E99" t="str">
        <f t="shared" si="1"/>
        <v>ia.assorted_string like '%24359-03-2023%' or</v>
      </c>
    </row>
    <row r="100" spans="1:5" x14ac:dyDescent="0.25">
      <c r="A100" t="s">
        <v>125</v>
      </c>
      <c r="B100" t="s">
        <v>3997</v>
      </c>
      <c r="D100">
        <v>24822</v>
      </c>
      <c r="E100" t="str">
        <f t="shared" si="1"/>
        <v>ia.assorted_string like '%24822-04-2023%' or</v>
      </c>
    </row>
    <row r="101" spans="1:5" x14ac:dyDescent="0.25">
      <c r="A101" t="s">
        <v>109</v>
      </c>
      <c r="B101" t="s">
        <v>3997</v>
      </c>
      <c r="D101">
        <v>24941</v>
      </c>
      <c r="E101" t="str">
        <f t="shared" si="1"/>
        <v>ia.assorted_string like '%24941-04-2023%' or</v>
      </c>
    </row>
    <row r="102" spans="1:5" x14ac:dyDescent="0.25">
      <c r="A102" t="s">
        <v>206</v>
      </c>
      <c r="B102" t="s">
        <v>3997</v>
      </c>
      <c r="D102">
        <v>25062</v>
      </c>
      <c r="E102" t="str">
        <f t="shared" si="1"/>
        <v>ia.assorted_string like '%25062-04-2023%' or</v>
      </c>
    </row>
    <row r="103" spans="1:5" x14ac:dyDescent="0.25">
      <c r="A103" t="s">
        <v>177</v>
      </c>
      <c r="B103" t="s">
        <v>3998</v>
      </c>
      <c r="D103">
        <v>25160</v>
      </c>
      <c r="E103" t="str">
        <f t="shared" si="1"/>
        <v>ia.assorted_string like '%25160-05-2023%' or</v>
      </c>
    </row>
    <row r="104" spans="1:5" x14ac:dyDescent="0.25">
      <c r="A104" t="s">
        <v>178</v>
      </c>
      <c r="B104" t="s">
        <v>3998</v>
      </c>
      <c r="D104">
        <v>25417</v>
      </c>
      <c r="E104" t="str">
        <f t="shared" si="1"/>
        <v>ia.assorted_string like '%25417-05-2023%' or</v>
      </c>
    </row>
    <row r="105" spans="1:5" x14ac:dyDescent="0.25">
      <c r="A105" t="s">
        <v>87</v>
      </c>
      <c r="B105" t="s">
        <v>3998</v>
      </c>
      <c r="D105">
        <v>25678</v>
      </c>
      <c r="E105" t="str">
        <f t="shared" si="1"/>
        <v>ia.assorted_string like '%25678-05-2023%' or</v>
      </c>
    </row>
    <row r="106" spans="1:5" x14ac:dyDescent="0.25">
      <c r="A106" t="s">
        <v>218</v>
      </c>
      <c r="B106" t="s">
        <v>3998</v>
      </c>
      <c r="D106">
        <v>25853</v>
      </c>
      <c r="E106" t="str">
        <f t="shared" si="1"/>
        <v>ia.assorted_string like '%25853-05-2023%' or</v>
      </c>
    </row>
    <row r="107" spans="1:5" x14ac:dyDescent="0.25">
      <c r="A107" t="s">
        <v>257</v>
      </c>
      <c r="B107" t="s">
        <v>3998</v>
      </c>
      <c r="D107">
        <v>26026</v>
      </c>
      <c r="E107" t="str">
        <f t="shared" si="1"/>
        <v>ia.assorted_string like '%26026-05-2023%' or</v>
      </c>
    </row>
    <row r="108" spans="1:5" x14ac:dyDescent="0.25">
      <c r="A108" t="s">
        <v>263</v>
      </c>
      <c r="B108" t="s">
        <v>3998</v>
      </c>
      <c r="D108">
        <v>26031</v>
      </c>
      <c r="E108" t="str">
        <f t="shared" si="1"/>
        <v>ia.assorted_string like '%26031-05-2023%' or</v>
      </c>
    </row>
    <row r="109" spans="1:5" x14ac:dyDescent="0.25">
      <c r="A109" t="s">
        <v>223</v>
      </c>
      <c r="B109" t="s">
        <v>3999</v>
      </c>
      <c r="D109">
        <v>26224</v>
      </c>
      <c r="E109" t="str">
        <f t="shared" si="1"/>
        <v>ia.assorted_string like '%26224-06-2023%' or</v>
      </c>
    </row>
    <row r="110" spans="1:5" x14ac:dyDescent="0.25">
      <c r="A110" t="s">
        <v>161</v>
      </c>
      <c r="B110" t="s">
        <v>3999</v>
      </c>
      <c r="D110">
        <v>26301</v>
      </c>
      <c r="E110" t="str">
        <f t="shared" si="1"/>
        <v>ia.assorted_string like '%26301-06-2023%' or</v>
      </c>
    </row>
    <row r="111" spans="1:5" x14ac:dyDescent="0.25">
      <c r="A111" t="s">
        <v>175</v>
      </c>
      <c r="B111" t="s">
        <v>3999</v>
      </c>
      <c r="D111">
        <v>26458</v>
      </c>
      <c r="E111" t="str">
        <f t="shared" si="1"/>
        <v>ia.assorted_string like '%26458-06-2023%' or</v>
      </c>
    </row>
    <row r="112" spans="1:5" x14ac:dyDescent="0.25">
      <c r="A112" t="s">
        <v>264</v>
      </c>
      <c r="B112" t="s">
        <v>4014</v>
      </c>
      <c r="D112">
        <v>26906</v>
      </c>
      <c r="E112" t="str">
        <f t="shared" si="1"/>
        <v>ia.assorted_string like '%26906-07-2023%' or</v>
      </c>
    </row>
    <row r="113" spans="1:5" x14ac:dyDescent="0.25">
      <c r="A113" t="s">
        <v>79</v>
      </c>
      <c r="B113" t="s">
        <v>4014</v>
      </c>
      <c r="D113">
        <v>27010</v>
      </c>
      <c r="E113" t="str">
        <f t="shared" si="1"/>
        <v>ia.assorted_string like '%27010-07-2023%' or</v>
      </c>
    </row>
    <row r="114" spans="1:5" x14ac:dyDescent="0.25">
      <c r="A114" t="s">
        <v>224</v>
      </c>
      <c r="B114" t="s">
        <v>4014</v>
      </c>
      <c r="D114">
        <v>27061</v>
      </c>
      <c r="E114" t="str">
        <f t="shared" si="1"/>
        <v>ia.assorted_string like '%27061-07-2023%' or</v>
      </c>
    </row>
    <row r="115" spans="1:5" x14ac:dyDescent="0.25">
      <c r="A115" t="s">
        <v>93</v>
      </c>
      <c r="B115" t="s">
        <v>4014</v>
      </c>
      <c r="D115">
        <v>27460</v>
      </c>
      <c r="E115" t="str">
        <f t="shared" si="1"/>
        <v>ia.assorted_string like '%27460-07-2023%' or</v>
      </c>
    </row>
    <row r="116" spans="1:5" x14ac:dyDescent="0.25">
      <c r="A116" t="s">
        <v>101</v>
      </c>
      <c r="B116" t="s">
        <v>4014</v>
      </c>
      <c r="D116">
        <v>27467</v>
      </c>
      <c r="E116" t="str">
        <f t="shared" si="1"/>
        <v>ia.assorted_string like '%27467-07-2023%' or</v>
      </c>
    </row>
    <row r="117" spans="1:5" x14ac:dyDescent="0.25">
      <c r="A117" t="s">
        <v>172</v>
      </c>
      <c r="B117" t="s">
        <v>4014</v>
      </c>
      <c r="D117">
        <v>27475</v>
      </c>
      <c r="E117" t="str">
        <f t="shared" si="1"/>
        <v>ia.assorted_string like '%27475-07-2023%' or</v>
      </c>
    </row>
    <row r="118" spans="1:5" x14ac:dyDescent="0.25">
      <c r="A118" t="s">
        <v>315</v>
      </c>
      <c r="B118" t="s">
        <v>4014</v>
      </c>
      <c r="D118">
        <v>27952</v>
      </c>
      <c r="E118" t="str">
        <f t="shared" si="1"/>
        <v>ia.assorted_string like '%27952-07-2023%' or</v>
      </c>
    </row>
    <row r="119" spans="1:5" x14ac:dyDescent="0.25">
      <c r="A119" t="s">
        <v>386</v>
      </c>
      <c r="B119" t="s">
        <v>4014</v>
      </c>
      <c r="D119">
        <v>28034</v>
      </c>
      <c r="E119" t="str">
        <f t="shared" si="1"/>
        <v>ia.assorted_string like '%28034-07-2023%' or</v>
      </c>
    </row>
    <row r="120" spans="1:5" x14ac:dyDescent="0.25">
      <c r="A120" t="s">
        <v>400</v>
      </c>
      <c r="B120" t="s">
        <v>4014</v>
      </c>
      <c r="D120">
        <v>28035</v>
      </c>
      <c r="E120" t="str">
        <f t="shared" si="1"/>
        <v>ia.assorted_string like '%28035-07-2023%' or</v>
      </c>
    </row>
    <row r="121" spans="1:5" x14ac:dyDescent="0.25">
      <c r="A121" t="s">
        <v>265</v>
      </c>
      <c r="B121" t="s">
        <v>4014</v>
      </c>
      <c r="D121">
        <v>28117</v>
      </c>
      <c r="E121" t="str">
        <f t="shared" si="1"/>
        <v>ia.assorted_string like '%28117-07-2023%' or</v>
      </c>
    </row>
    <row r="122" spans="1:5" x14ac:dyDescent="0.25">
      <c r="A122" t="s">
        <v>80</v>
      </c>
      <c r="B122" t="s">
        <v>4014</v>
      </c>
      <c r="D122">
        <v>28184</v>
      </c>
      <c r="E122" t="str">
        <f t="shared" si="1"/>
        <v>ia.assorted_string like '%28184-07-2023%' or</v>
      </c>
    </row>
    <row r="123" spans="1:5" x14ac:dyDescent="0.25">
      <c r="A123" t="s">
        <v>81</v>
      </c>
      <c r="B123" t="s">
        <v>4014</v>
      </c>
      <c r="D123">
        <v>28186</v>
      </c>
      <c r="E123" t="str">
        <f t="shared" si="1"/>
        <v>ia.assorted_string like '%28186-07-2023%' or</v>
      </c>
    </row>
    <row r="124" spans="1:5" x14ac:dyDescent="0.25">
      <c r="A124" t="s">
        <v>408</v>
      </c>
      <c r="B124" t="s">
        <v>4014</v>
      </c>
      <c r="D124">
        <v>28255</v>
      </c>
      <c r="E124" t="str">
        <f t="shared" si="1"/>
        <v>ia.assorted_string like '%28255-07-2023%' or</v>
      </c>
    </row>
    <row r="125" spans="1:5" x14ac:dyDescent="0.25">
      <c r="A125" t="s">
        <v>418</v>
      </c>
      <c r="B125" t="s">
        <v>4014</v>
      </c>
      <c r="D125">
        <v>28257</v>
      </c>
      <c r="E125" t="str">
        <f t="shared" si="1"/>
        <v>ia.assorted_string like '%28257-07-2023%' or</v>
      </c>
    </row>
    <row r="126" spans="1:5" x14ac:dyDescent="0.25">
      <c r="A126" t="s">
        <v>413</v>
      </c>
      <c r="B126" t="s">
        <v>4014</v>
      </c>
      <c r="D126">
        <v>28258</v>
      </c>
      <c r="E126" t="str">
        <f t="shared" si="1"/>
        <v>ia.assorted_string like '%28258-07-2023%' or</v>
      </c>
    </row>
    <row r="127" spans="1:5" x14ac:dyDescent="0.25">
      <c r="A127" t="s">
        <v>425</v>
      </c>
      <c r="B127" t="s">
        <v>4014</v>
      </c>
      <c r="D127">
        <v>28260</v>
      </c>
      <c r="E127" t="str">
        <f t="shared" si="1"/>
        <v>ia.assorted_string like '%28260-07-2023%' or</v>
      </c>
    </row>
    <row r="128" spans="1:5" x14ac:dyDescent="0.25">
      <c r="A128" t="s">
        <v>429</v>
      </c>
      <c r="B128" t="s">
        <v>4014</v>
      </c>
      <c r="D128">
        <v>28264</v>
      </c>
      <c r="E128" t="str">
        <f t="shared" si="1"/>
        <v>ia.assorted_string like '%28264-07-2023%' or</v>
      </c>
    </row>
    <row r="129" spans="1:5" x14ac:dyDescent="0.25">
      <c r="A129" t="s">
        <v>433</v>
      </c>
      <c r="B129" t="s">
        <v>4014</v>
      </c>
      <c r="D129">
        <v>28267</v>
      </c>
      <c r="E129" t="str">
        <f t="shared" si="1"/>
        <v>ia.assorted_string like '%28267-07-2023%' or</v>
      </c>
    </row>
    <row r="130" spans="1:5" x14ac:dyDescent="0.25">
      <c r="A130" t="s">
        <v>441</v>
      </c>
      <c r="B130" t="s">
        <v>4014</v>
      </c>
      <c r="D130">
        <v>28272</v>
      </c>
      <c r="E130" t="str">
        <f t="shared" ref="E130:E193" si="2">"ia.assorted_string like '%"&amp;D130&amp;B130&amp;"%' or"</f>
        <v>ia.assorted_string like '%28272-07-2023%' or</v>
      </c>
    </row>
    <row r="131" spans="1:5" x14ac:dyDescent="0.25">
      <c r="A131" t="s">
        <v>452</v>
      </c>
      <c r="B131" t="s">
        <v>4014</v>
      </c>
      <c r="D131">
        <v>28274</v>
      </c>
      <c r="E131" t="str">
        <f t="shared" si="2"/>
        <v>ia.assorted_string like '%28274-07-2023%' or</v>
      </c>
    </row>
    <row r="132" spans="1:5" x14ac:dyDescent="0.25">
      <c r="A132" t="s">
        <v>458</v>
      </c>
      <c r="B132" t="s">
        <v>4014</v>
      </c>
      <c r="D132">
        <v>28277</v>
      </c>
      <c r="E132" t="str">
        <f t="shared" si="2"/>
        <v>ia.assorted_string like '%28277-07-2023%' or</v>
      </c>
    </row>
    <row r="133" spans="1:5" x14ac:dyDescent="0.25">
      <c r="A133" t="s">
        <v>466</v>
      </c>
      <c r="B133" t="s">
        <v>4014</v>
      </c>
      <c r="D133">
        <v>28278</v>
      </c>
      <c r="E133" t="str">
        <f t="shared" si="2"/>
        <v>ia.assorted_string like '%28278-07-2023%' or</v>
      </c>
    </row>
    <row r="134" spans="1:5" x14ac:dyDescent="0.25">
      <c r="A134" t="s">
        <v>478</v>
      </c>
      <c r="B134" t="s">
        <v>4014</v>
      </c>
      <c r="D134">
        <v>28279</v>
      </c>
      <c r="E134" t="str">
        <f t="shared" si="2"/>
        <v>ia.assorted_string like '%28279-07-2023%' or</v>
      </c>
    </row>
    <row r="135" spans="1:5" x14ac:dyDescent="0.25">
      <c r="A135" t="s">
        <v>469</v>
      </c>
      <c r="B135" t="s">
        <v>4014</v>
      </c>
      <c r="D135">
        <v>28280</v>
      </c>
      <c r="E135" t="str">
        <f t="shared" si="2"/>
        <v>ia.assorted_string like '%28280-07-2023%' or</v>
      </c>
    </row>
    <row r="136" spans="1:5" x14ac:dyDescent="0.25">
      <c r="A136" t="s">
        <v>482</v>
      </c>
      <c r="B136" t="s">
        <v>4014</v>
      </c>
      <c r="D136">
        <v>28282</v>
      </c>
      <c r="E136" t="str">
        <f t="shared" si="2"/>
        <v>ia.assorted_string like '%28282-07-2023%' or</v>
      </c>
    </row>
    <row r="137" spans="1:5" x14ac:dyDescent="0.25">
      <c r="A137" t="s">
        <v>487</v>
      </c>
      <c r="B137" t="s">
        <v>4014</v>
      </c>
      <c r="D137">
        <v>28284</v>
      </c>
      <c r="E137" t="str">
        <f t="shared" si="2"/>
        <v>ia.assorted_string like '%28284-07-2023%' or</v>
      </c>
    </row>
    <row r="138" spans="1:5" x14ac:dyDescent="0.25">
      <c r="A138" t="s">
        <v>225</v>
      </c>
      <c r="B138" t="s">
        <v>4015</v>
      </c>
      <c r="D138">
        <v>28394</v>
      </c>
      <c r="E138" t="str">
        <f t="shared" si="2"/>
        <v>ia.assorted_string like '%28394-08-2023%' or</v>
      </c>
    </row>
    <row r="139" spans="1:5" x14ac:dyDescent="0.25">
      <c r="A139" t="s">
        <v>316</v>
      </c>
      <c r="B139" t="s">
        <v>4015</v>
      </c>
      <c r="D139">
        <v>28566</v>
      </c>
      <c r="E139" t="str">
        <f t="shared" si="2"/>
        <v>ia.assorted_string like '%28566-08-2023%' or</v>
      </c>
    </row>
    <row r="140" spans="1:5" x14ac:dyDescent="0.25">
      <c r="A140" t="s">
        <v>94</v>
      </c>
      <c r="B140" t="s">
        <v>4015</v>
      </c>
      <c r="D140">
        <v>28755</v>
      </c>
      <c r="E140" t="str">
        <f t="shared" si="2"/>
        <v>ia.assorted_string like '%28755-08-2023%' or</v>
      </c>
    </row>
    <row r="141" spans="1:5" x14ac:dyDescent="0.25">
      <c r="A141" t="s">
        <v>103</v>
      </c>
      <c r="B141" t="s">
        <v>4015</v>
      </c>
      <c r="D141">
        <v>28916</v>
      </c>
      <c r="E141" t="str">
        <f t="shared" si="2"/>
        <v>ia.assorted_string like '%28916-08-2023%' or</v>
      </c>
    </row>
    <row r="142" spans="1:5" x14ac:dyDescent="0.25">
      <c r="A142" t="s">
        <v>105</v>
      </c>
      <c r="B142" t="s">
        <v>4015</v>
      </c>
      <c r="D142">
        <v>28964</v>
      </c>
      <c r="E142" t="str">
        <f t="shared" si="2"/>
        <v>ia.assorted_string like '%28964-08-2023%' or</v>
      </c>
    </row>
    <row r="143" spans="1:5" x14ac:dyDescent="0.25">
      <c r="A143" t="s">
        <v>387</v>
      </c>
      <c r="B143" t="s">
        <v>4015</v>
      </c>
      <c r="D143">
        <v>29183</v>
      </c>
      <c r="E143" t="str">
        <f t="shared" si="2"/>
        <v>ia.assorted_string like '%29183-08-2023%' or</v>
      </c>
    </row>
    <row r="144" spans="1:5" x14ac:dyDescent="0.25">
      <c r="A144" t="s">
        <v>401</v>
      </c>
      <c r="B144" t="s">
        <v>4015</v>
      </c>
      <c r="D144">
        <v>29184</v>
      </c>
      <c r="E144" t="str">
        <f t="shared" si="2"/>
        <v>ia.assorted_string like '%29184-08-2023%' or</v>
      </c>
    </row>
    <row r="145" spans="1:5" x14ac:dyDescent="0.25">
      <c r="A145" t="s">
        <v>153</v>
      </c>
      <c r="B145" t="s">
        <v>4015</v>
      </c>
      <c r="D145">
        <v>29245</v>
      </c>
      <c r="E145" t="str">
        <f t="shared" si="2"/>
        <v>ia.assorted_string like '%29245-08-2023%' or</v>
      </c>
    </row>
    <row r="146" spans="1:5" x14ac:dyDescent="0.25">
      <c r="A146" t="s">
        <v>496</v>
      </c>
      <c r="B146" t="s">
        <v>4015</v>
      </c>
      <c r="D146">
        <v>29841</v>
      </c>
      <c r="E146" t="str">
        <f t="shared" si="2"/>
        <v>ia.assorted_string like '%29841-08-2023%' or</v>
      </c>
    </row>
    <row r="147" spans="1:5" x14ac:dyDescent="0.25">
      <c r="A147" t="s">
        <v>499</v>
      </c>
      <c r="B147" t="s">
        <v>4015</v>
      </c>
      <c r="D147">
        <v>29842</v>
      </c>
      <c r="E147" t="str">
        <f t="shared" si="2"/>
        <v>ia.assorted_string like '%29842-08-2023%' or</v>
      </c>
    </row>
    <row r="148" spans="1:5" x14ac:dyDescent="0.25">
      <c r="A148" t="s">
        <v>506</v>
      </c>
      <c r="B148" t="s">
        <v>4015</v>
      </c>
      <c r="D148">
        <v>29845</v>
      </c>
      <c r="E148" t="str">
        <f t="shared" si="2"/>
        <v>ia.assorted_string like '%29845-08-2023%' or</v>
      </c>
    </row>
    <row r="149" spans="1:5" x14ac:dyDescent="0.25">
      <c r="A149" t="s">
        <v>509</v>
      </c>
      <c r="B149" t="s">
        <v>4015</v>
      </c>
      <c r="D149">
        <v>29846</v>
      </c>
      <c r="E149" t="str">
        <f t="shared" si="2"/>
        <v>ia.assorted_string like '%29846-08-2023%' or</v>
      </c>
    </row>
    <row r="150" spans="1:5" x14ac:dyDescent="0.25">
      <c r="A150" t="s">
        <v>516</v>
      </c>
      <c r="B150" t="s">
        <v>4015</v>
      </c>
      <c r="D150">
        <v>29848</v>
      </c>
      <c r="E150" t="str">
        <f t="shared" si="2"/>
        <v>ia.assorted_string like '%29848-08-2023%' or</v>
      </c>
    </row>
    <row r="151" spans="1:5" x14ac:dyDescent="0.25">
      <c r="A151" t="s">
        <v>519</v>
      </c>
      <c r="B151" t="s">
        <v>4015</v>
      </c>
      <c r="D151">
        <v>29851</v>
      </c>
      <c r="E151" t="str">
        <f t="shared" si="2"/>
        <v>ia.assorted_string like '%29851-08-2023%' or</v>
      </c>
    </row>
    <row r="152" spans="1:5" x14ac:dyDescent="0.25">
      <c r="A152" t="s">
        <v>524</v>
      </c>
      <c r="B152" t="s">
        <v>4015</v>
      </c>
      <c r="D152">
        <v>29852</v>
      </c>
      <c r="E152" t="str">
        <f t="shared" si="2"/>
        <v>ia.assorted_string like '%29852-08-2023%' or</v>
      </c>
    </row>
    <row r="153" spans="1:5" x14ac:dyDescent="0.25">
      <c r="A153" t="s">
        <v>538</v>
      </c>
      <c r="B153" t="s">
        <v>4015</v>
      </c>
      <c r="D153">
        <v>29853</v>
      </c>
      <c r="E153" t="str">
        <f t="shared" si="2"/>
        <v>ia.assorted_string like '%29853-08-2023%' or</v>
      </c>
    </row>
    <row r="154" spans="1:5" x14ac:dyDescent="0.25">
      <c r="A154" t="s">
        <v>530</v>
      </c>
      <c r="B154" t="s">
        <v>4015</v>
      </c>
      <c r="D154">
        <v>29854</v>
      </c>
      <c r="E154" t="str">
        <f t="shared" si="2"/>
        <v>ia.assorted_string like '%29854-08-2023%' or</v>
      </c>
    </row>
    <row r="155" spans="1:5" x14ac:dyDescent="0.25">
      <c r="A155" t="s">
        <v>541</v>
      </c>
      <c r="B155" t="s">
        <v>4015</v>
      </c>
      <c r="D155">
        <v>29856</v>
      </c>
      <c r="E155" t="str">
        <f t="shared" si="2"/>
        <v>ia.assorted_string like '%29856-08-2023%' or</v>
      </c>
    </row>
    <row r="156" spans="1:5" x14ac:dyDescent="0.25">
      <c r="A156" t="s">
        <v>548</v>
      </c>
      <c r="B156" t="s">
        <v>4015</v>
      </c>
      <c r="D156">
        <v>29857</v>
      </c>
      <c r="E156" t="str">
        <f t="shared" si="2"/>
        <v>ia.assorted_string like '%29857-08-2023%' or</v>
      </c>
    </row>
    <row r="157" spans="1:5" x14ac:dyDescent="0.25">
      <c r="A157" t="s">
        <v>554</v>
      </c>
      <c r="B157" t="s">
        <v>4015</v>
      </c>
      <c r="D157">
        <v>29858</v>
      </c>
      <c r="E157" t="str">
        <f t="shared" si="2"/>
        <v>ia.assorted_string like '%29858-08-2023%' or</v>
      </c>
    </row>
    <row r="158" spans="1:5" x14ac:dyDescent="0.25">
      <c r="A158" t="s">
        <v>563</v>
      </c>
      <c r="B158" t="s">
        <v>4015</v>
      </c>
      <c r="D158">
        <v>29862</v>
      </c>
      <c r="E158" t="str">
        <f t="shared" si="2"/>
        <v>ia.assorted_string like '%29862-08-2023%' or</v>
      </c>
    </row>
    <row r="159" spans="1:5" x14ac:dyDescent="0.25">
      <c r="A159" t="s">
        <v>569</v>
      </c>
      <c r="B159" t="s">
        <v>4015</v>
      </c>
      <c r="D159">
        <v>29867</v>
      </c>
      <c r="E159" t="str">
        <f t="shared" si="2"/>
        <v>ia.assorted_string like '%29867-08-2023%' or</v>
      </c>
    </row>
    <row r="160" spans="1:5" x14ac:dyDescent="0.25">
      <c r="A160" t="s">
        <v>317</v>
      </c>
      <c r="B160" t="s">
        <v>4000</v>
      </c>
      <c r="D160">
        <v>30344</v>
      </c>
      <c r="E160" t="str">
        <f t="shared" si="2"/>
        <v>ia.assorted_string like '%30344-09-2023%' or</v>
      </c>
    </row>
    <row r="161" spans="1:5" x14ac:dyDescent="0.25">
      <c r="A161" t="s">
        <v>243</v>
      </c>
      <c r="B161" t="s">
        <v>4000</v>
      </c>
      <c r="D161">
        <v>30360</v>
      </c>
      <c r="E161" t="str">
        <f t="shared" si="2"/>
        <v>ia.assorted_string like '%30360-09-2023%' or</v>
      </c>
    </row>
    <row r="162" spans="1:5" x14ac:dyDescent="0.25">
      <c r="A162" t="s">
        <v>95</v>
      </c>
      <c r="B162" t="s">
        <v>4000</v>
      </c>
      <c r="D162">
        <v>30471</v>
      </c>
      <c r="E162" t="str">
        <f t="shared" si="2"/>
        <v>ia.assorted_string like '%30471-09-2023%' or</v>
      </c>
    </row>
    <row r="163" spans="1:5" x14ac:dyDescent="0.25">
      <c r="A163" t="s">
        <v>388</v>
      </c>
      <c r="B163" t="s">
        <v>4000</v>
      </c>
      <c r="D163">
        <v>30850</v>
      </c>
      <c r="E163" t="str">
        <f t="shared" si="2"/>
        <v>ia.assorted_string like '%30850-09-2023%' or</v>
      </c>
    </row>
    <row r="164" spans="1:5" x14ac:dyDescent="0.25">
      <c r="A164" t="s">
        <v>402</v>
      </c>
      <c r="B164" t="s">
        <v>4000</v>
      </c>
      <c r="D164">
        <v>30851</v>
      </c>
      <c r="E164" t="str">
        <f t="shared" si="2"/>
        <v>ia.assorted_string like '%30851-09-2023%' or</v>
      </c>
    </row>
    <row r="165" spans="1:5" x14ac:dyDescent="0.25">
      <c r="A165" t="s">
        <v>574</v>
      </c>
      <c r="B165" t="s">
        <v>4000</v>
      </c>
      <c r="D165">
        <v>30905</v>
      </c>
      <c r="E165" t="str">
        <f t="shared" si="2"/>
        <v>ia.assorted_string like '%30905-09-2023%' or</v>
      </c>
    </row>
    <row r="166" spans="1:5" x14ac:dyDescent="0.25">
      <c r="A166" t="s">
        <v>581</v>
      </c>
      <c r="B166" t="s">
        <v>4000</v>
      </c>
      <c r="D166">
        <v>30907</v>
      </c>
      <c r="E166" t="str">
        <f t="shared" si="2"/>
        <v>ia.assorted_string like '%30907-09-2023%' or</v>
      </c>
    </row>
    <row r="167" spans="1:5" x14ac:dyDescent="0.25">
      <c r="A167" t="s">
        <v>578</v>
      </c>
      <c r="B167" t="s">
        <v>4000</v>
      </c>
      <c r="D167">
        <v>30909</v>
      </c>
      <c r="E167" t="str">
        <f t="shared" si="2"/>
        <v>ia.assorted_string like '%30909-09-2023%' or</v>
      </c>
    </row>
    <row r="168" spans="1:5" x14ac:dyDescent="0.25">
      <c r="A168" t="s">
        <v>596</v>
      </c>
      <c r="B168" t="s">
        <v>4000</v>
      </c>
      <c r="D168">
        <v>30911</v>
      </c>
      <c r="E168" t="str">
        <f t="shared" si="2"/>
        <v>ia.assorted_string like '%30911-09-2023%' or</v>
      </c>
    </row>
    <row r="169" spans="1:5" x14ac:dyDescent="0.25">
      <c r="A169" t="s">
        <v>607</v>
      </c>
      <c r="B169" t="s">
        <v>4000</v>
      </c>
      <c r="D169">
        <v>30913</v>
      </c>
      <c r="E169" t="str">
        <f t="shared" si="2"/>
        <v>ia.assorted_string like '%30913-09-2023%' or</v>
      </c>
    </row>
    <row r="170" spans="1:5" x14ac:dyDescent="0.25">
      <c r="A170" t="s">
        <v>603</v>
      </c>
      <c r="B170" t="s">
        <v>4000</v>
      </c>
      <c r="D170">
        <v>30914</v>
      </c>
      <c r="E170" t="str">
        <f t="shared" si="2"/>
        <v>ia.assorted_string like '%30914-09-2023%' or</v>
      </c>
    </row>
    <row r="171" spans="1:5" x14ac:dyDescent="0.25">
      <c r="A171" t="s">
        <v>615</v>
      </c>
      <c r="B171" t="s">
        <v>4000</v>
      </c>
      <c r="D171">
        <v>30920</v>
      </c>
      <c r="E171" t="str">
        <f t="shared" si="2"/>
        <v>ia.assorted_string like '%30920-09-2023%' or</v>
      </c>
    </row>
    <row r="172" spans="1:5" x14ac:dyDescent="0.25">
      <c r="A172" t="s">
        <v>625</v>
      </c>
      <c r="B172" t="s">
        <v>4000</v>
      </c>
      <c r="D172">
        <v>30923</v>
      </c>
      <c r="E172" t="str">
        <f t="shared" si="2"/>
        <v>ia.assorted_string like '%30923-09-2023%' or</v>
      </c>
    </row>
    <row r="173" spans="1:5" x14ac:dyDescent="0.25">
      <c r="A173" t="s">
        <v>629</v>
      </c>
      <c r="B173" t="s">
        <v>4000</v>
      </c>
      <c r="D173">
        <v>30925</v>
      </c>
      <c r="E173" t="str">
        <f t="shared" si="2"/>
        <v>ia.assorted_string like '%30925-09-2023%' or</v>
      </c>
    </row>
    <row r="174" spans="1:5" x14ac:dyDescent="0.25">
      <c r="A174" t="s">
        <v>637</v>
      </c>
      <c r="B174" t="s">
        <v>4000</v>
      </c>
      <c r="D174">
        <v>30926</v>
      </c>
      <c r="E174" t="str">
        <f t="shared" si="2"/>
        <v>ia.assorted_string like '%30926-09-2023%' or</v>
      </c>
    </row>
    <row r="175" spans="1:5" x14ac:dyDescent="0.25">
      <c r="A175" t="s">
        <v>644</v>
      </c>
      <c r="B175" t="s">
        <v>4000</v>
      </c>
      <c r="D175">
        <v>30928</v>
      </c>
      <c r="E175" t="str">
        <f t="shared" si="2"/>
        <v>ia.assorted_string like '%30928-09-2023%' or</v>
      </c>
    </row>
    <row r="176" spans="1:5" x14ac:dyDescent="0.25">
      <c r="A176" t="s">
        <v>664</v>
      </c>
      <c r="B176" t="s">
        <v>4000</v>
      </c>
      <c r="D176">
        <v>30932</v>
      </c>
      <c r="E176" t="str">
        <f t="shared" si="2"/>
        <v>ia.assorted_string like '%30932-09-2023%' or</v>
      </c>
    </row>
    <row r="177" spans="1:5" x14ac:dyDescent="0.25">
      <c r="A177" t="s">
        <v>672</v>
      </c>
      <c r="B177" t="s">
        <v>4000</v>
      </c>
      <c r="D177">
        <v>30933</v>
      </c>
      <c r="E177" t="str">
        <f t="shared" si="2"/>
        <v>ia.assorted_string like '%30933-09-2023%' or</v>
      </c>
    </row>
    <row r="178" spans="1:5" x14ac:dyDescent="0.25">
      <c r="A178" t="s">
        <v>655</v>
      </c>
      <c r="B178" t="s">
        <v>4000</v>
      </c>
      <c r="D178">
        <v>30934</v>
      </c>
      <c r="E178" t="str">
        <f t="shared" si="2"/>
        <v>ia.assorted_string like '%30934-09-2023%' or</v>
      </c>
    </row>
    <row r="179" spans="1:5" x14ac:dyDescent="0.25">
      <c r="A179" t="s">
        <v>679</v>
      </c>
      <c r="B179" t="s">
        <v>4000</v>
      </c>
      <c r="D179">
        <v>30935</v>
      </c>
      <c r="E179" t="str">
        <f t="shared" si="2"/>
        <v>ia.assorted_string like '%30935-09-2023%' or</v>
      </c>
    </row>
    <row r="180" spans="1:5" x14ac:dyDescent="0.25">
      <c r="A180" t="s">
        <v>683</v>
      </c>
      <c r="B180" t="s">
        <v>4000</v>
      </c>
      <c r="D180">
        <v>30937</v>
      </c>
      <c r="E180" t="str">
        <f t="shared" si="2"/>
        <v>ia.assorted_string like '%30937-09-2023%' or</v>
      </c>
    </row>
    <row r="181" spans="1:5" x14ac:dyDescent="0.25">
      <c r="A181" t="s">
        <v>687</v>
      </c>
      <c r="B181" t="s">
        <v>4000</v>
      </c>
      <c r="D181">
        <v>30938</v>
      </c>
      <c r="E181" t="str">
        <f t="shared" si="2"/>
        <v>ia.assorted_string like '%30938-09-2023%' or</v>
      </c>
    </row>
    <row r="182" spans="1:5" x14ac:dyDescent="0.25">
      <c r="A182" t="s">
        <v>691</v>
      </c>
      <c r="B182" t="s">
        <v>4000</v>
      </c>
      <c r="D182">
        <v>30939</v>
      </c>
      <c r="E182" t="str">
        <f t="shared" si="2"/>
        <v>ia.assorted_string like '%30939-09-2023%' or</v>
      </c>
    </row>
    <row r="183" spans="1:5" x14ac:dyDescent="0.25">
      <c r="A183" t="s">
        <v>697</v>
      </c>
      <c r="B183" t="s">
        <v>4000</v>
      </c>
      <c r="D183">
        <v>30940</v>
      </c>
      <c r="E183" t="str">
        <f t="shared" si="2"/>
        <v>ia.assorted_string like '%30940-09-2023%' or</v>
      </c>
    </row>
    <row r="184" spans="1:5" x14ac:dyDescent="0.25">
      <c r="A184" t="s">
        <v>694</v>
      </c>
      <c r="B184" t="s">
        <v>4000</v>
      </c>
      <c r="D184">
        <v>30941</v>
      </c>
      <c r="E184" t="str">
        <f t="shared" si="2"/>
        <v>ia.assorted_string like '%30941-09-2023%' or</v>
      </c>
    </row>
    <row r="185" spans="1:5" x14ac:dyDescent="0.25">
      <c r="A185" t="s">
        <v>701</v>
      </c>
      <c r="B185" t="s">
        <v>4000</v>
      </c>
      <c r="D185">
        <v>30942</v>
      </c>
      <c r="E185" t="str">
        <f t="shared" si="2"/>
        <v>ia.assorted_string like '%30942-09-2023%' or</v>
      </c>
    </row>
    <row r="186" spans="1:5" x14ac:dyDescent="0.25">
      <c r="A186" t="s">
        <v>710</v>
      </c>
      <c r="B186" t="s">
        <v>4000</v>
      </c>
      <c r="D186">
        <v>30945</v>
      </c>
      <c r="E186" t="str">
        <f t="shared" si="2"/>
        <v>ia.assorted_string like '%30945-09-2023%' or</v>
      </c>
    </row>
    <row r="187" spans="1:5" x14ac:dyDescent="0.25">
      <c r="A187" t="s">
        <v>720</v>
      </c>
      <c r="B187" t="s">
        <v>4000</v>
      </c>
      <c r="D187">
        <v>30948</v>
      </c>
      <c r="E187" t="str">
        <f t="shared" si="2"/>
        <v>ia.assorted_string like '%30948-09-2023%' or</v>
      </c>
    </row>
    <row r="188" spans="1:5" x14ac:dyDescent="0.25">
      <c r="A188" t="s">
        <v>715</v>
      </c>
      <c r="B188" t="s">
        <v>4000</v>
      </c>
      <c r="D188">
        <v>30950</v>
      </c>
      <c r="E188" t="str">
        <f t="shared" si="2"/>
        <v>ia.assorted_string like '%30950-09-2023%' or</v>
      </c>
    </row>
    <row r="189" spans="1:5" x14ac:dyDescent="0.25">
      <c r="A189" t="s">
        <v>727</v>
      </c>
      <c r="B189" t="s">
        <v>4000</v>
      </c>
      <c r="D189">
        <v>30951</v>
      </c>
      <c r="E189" t="str">
        <f t="shared" si="2"/>
        <v>ia.assorted_string like '%30951-09-2023%' or</v>
      </c>
    </row>
    <row r="190" spans="1:5" x14ac:dyDescent="0.25">
      <c r="A190" t="s">
        <v>180</v>
      </c>
      <c r="B190" t="s">
        <v>4001</v>
      </c>
      <c r="D190">
        <v>32606</v>
      </c>
      <c r="E190" t="str">
        <f t="shared" si="2"/>
        <v>ia.assorted_string like '%32606-10-2023%' or</v>
      </c>
    </row>
    <row r="191" spans="1:5" x14ac:dyDescent="0.25">
      <c r="A191" t="s">
        <v>318</v>
      </c>
      <c r="B191" t="s">
        <v>4001</v>
      </c>
      <c r="D191">
        <v>32975</v>
      </c>
      <c r="E191" t="str">
        <f t="shared" si="2"/>
        <v>ia.assorted_string like '%32975-10-2023%' or</v>
      </c>
    </row>
    <row r="192" spans="1:5" x14ac:dyDescent="0.25">
      <c r="A192" t="s">
        <v>96</v>
      </c>
      <c r="B192" t="s">
        <v>4001</v>
      </c>
      <c r="D192">
        <v>33102</v>
      </c>
      <c r="E192" t="str">
        <f t="shared" si="2"/>
        <v>ia.assorted_string like '%33102-10-2023%' or</v>
      </c>
    </row>
    <row r="193" spans="1:5" x14ac:dyDescent="0.25">
      <c r="A193" t="s">
        <v>442</v>
      </c>
      <c r="B193" t="s">
        <v>4001</v>
      </c>
      <c r="D193">
        <v>33545</v>
      </c>
      <c r="E193" t="str">
        <f t="shared" si="2"/>
        <v>ia.assorted_string like '%33545-10-2023%' or</v>
      </c>
    </row>
    <row r="194" spans="1:5" x14ac:dyDescent="0.25">
      <c r="A194" t="s">
        <v>389</v>
      </c>
      <c r="B194" t="s">
        <v>4001</v>
      </c>
      <c r="D194">
        <v>33616</v>
      </c>
      <c r="E194" t="str">
        <f t="shared" ref="E194:E257" si="3">"ia.assorted_string like '%"&amp;D194&amp;B194&amp;"%' or"</f>
        <v>ia.assorted_string like '%33616-10-2023%' or</v>
      </c>
    </row>
    <row r="195" spans="1:5" x14ac:dyDescent="0.25">
      <c r="A195" t="s">
        <v>403</v>
      </c>
      <c r="B195" t="s">
        <v>4001</v>
      </c>
      <c r="D195">
        <v>33617</v>
      </c>
      <c r="E195" t="str">
        <f t="shared" si="3"/>
        <v>ia.assorted_string like '%33617-10-2023%' or</v>
      </c>
    </row>
    <row r="196" spans="1:5" x14ac:dyDescent="0.25">
      <c r="A196" t="s">
        <v>808</v>
      </c>
      <c r="B196" t="s">
        <v>4001</v>
      </c>
      <c r="D196">
        <v>33618</v>
      </c>
      <c r="E196" t="str">
        <f t="shared" si="3"/>
        <v>ia.assorted_string like '%33618-10-2023%' or</v>
      </c>
    </row>
    <row r="197" spans="1:5" x14ac:dyDescent="0.25">
      <c r="A197" t="s">
        <v>733</v>
      </c>
      <c r="B197" t="s">
        <v>4001</v>
      </c>
      <c r="D197">
        <v>33832</v>
      </c>
      <c r="E197" t="str">
        <f t="shared" si="3"/>
        <v>ia.assorted_string like '%33832-10-2023%' or</v>
      </c>
    </row>
    <row r="198" spans="1:5" x14ac:dyDescent="0.25">
      <c r="A198" t="s">
        <v>737</v>
      </c>
      <c r="B198" t="s">
        <v>4001</v>
      </c>
      <c r="D198">
        <v>33833</v>
      </c>
      <c r="E198" t="str">
        <f t="shared" si="3"/>
        <v>ia.assorted_string like '%33833-10-2023%' or</v>
      </c>
    </row>
    <row r="199" spans="1:5" x14ac:dyDescent="0.25">
      <c r="A199" t="s">
        <v>745</v>
      </c>
      <c r="B199" t="s">
        <v>4001</v>
      </c>
      <c r="D199">
        <v>33834</v>
      </c>
      <c r="E199" t="str">
        <f t="shared" si="3"/>
        <v>ia.assorted_string like '%33834-10-2023%' or</v>
      </c>
    </row>
    <row r="200" spans="1:5" x14ac:dyDescent="0.25">
      <c r="A200" t="s">
        <v>753</v>
      </c>
      <c r="B200" t="s">
        <v>4001</v>
      </c>
      <c r="D200">
        <v>33836</v>
      </c>
      <c r="E200" t="str">
        <f t="shared" si="3"/>
        <v>ia.assorted_string like '%33836-10-2023%' or</v>
      </c>
    </row>
    <row r="201" spans="1:5" x14ac:dyDescent="0.25">
      <c r="A201" t="s">
        <v>766</v>
      </c>
      <c r="B201" t="s">
        <v>4001</v>
      </c>
      <c r="D201">
        <v>33840</v>
      </c>
      <c r="E201" t="str">
        <f t="shared" si="3"/>
        <v>ia.assorted_string like '%33840-10-2023%' or</v>
      </c>
    </row>
    <row r="202" spans="1:5" x14ac:dyDescent="0.25">
      <c r="A202" t="s">
        <v>761</v>
      </c>
      <c r="B202" t="s">
        <v>4001</v>
      </c>
      <c r="D202">
        <v>33843</v>
      </c>
      <c r="E202" t="str">
        <f t="shared" si="3"/>
        <v>ia.assorted_string like '%33843-10-2023%' or</v>
      </c>
    </row>
    <row r="203" spans="1:5" x14ac:dyDescent="0.25">
      <c r="A203" t="s">
        <v>798</v>
      </c>
      <c r="B203" t="s">
        <v>4001</v>
      </c>
      <c r="D203">
        <v>33845</v>
      </c>
      <c r="E203" t="str">
        <f t="shared" si="3"/>
        <v>ia.assorted_string like '%33845-10-2023%' or</v>
      </c>
    </row>
    <row r="204" spans="1:5" x14ac:dyDescent="0.25">
      <c r="A204" t="s">
        <v>787</v>
      </c>
      <c r="B204" t="s">
        <v>4001</v>
      </c>
      <c r="D204">
        <v>33847</v>
      </c>
      <c r="E204" t="str">
        <f t="shared" si="3"/>
        <v>ia.assorted_string like '%33847-10-2023%' or</v>
      </c>
    </row>
    <row r="205" spans="1:5" x14ac:dyDescent="0.25">
      <c r="A205" t="s">
        <v>777</v>
      </c>
      <c r="B205" t="s">
        <v>4001</v>
      </c>
      <c r="D205">
        <v>33850</v>
      </c>
      <c r="E205" t="str">
        <f t="shared" si="3"/>
        <v>ia.assorted_string like '%33850-10-2023%' or</v>
      </c>
    </row>
    <row r="206" spans="1:5" x14ac:dyDescent="0.25">
      <c r="A206" t="s">
        <v>803</v>
      </c>
      <c r="B206" t="s">
        <v>4001</v>
      </c>
      <c r="D206">
        <v>33854</v>
      </c>
      <c r="E206" t="str">
        <f t="shared" si="3"/>
        <v>ia.assorted_string like '%33854-10-2023%' or</v>
      </c>
    </row>
    <row r="207" spans="1:5" x14ac:dyDescent="0.25">
      <c r="A207" t="s">
        <v>809</v>
      </c>
      <c r="B207" t="s">
        <v>4001</v>
      </c>
      <c r="D207">
        <v>33857</v>
      </c>
      <c r="E207" t="str">
        <f t="shared" si="3"/>
        <v>ia.assorted_string like '%33857-10-2023%' or</v>
      </c>
    </row>
    <row r="208" spans="1:5" x14ac:dyDescent="0.25">
      <c r="A208" t="s">
        <v>820</v>
      </c>
      <c r="B208" t="s">
        <v>4001</v>
      </c>
      <c r="D208">
        <v>33863</v>
      </c>
      <c r="E208" t="str">
        <f t="shared" si="3"/>
        <v>ia.assorted_string like '%33863-10-2023%' or</v>
      </c>
    </row>
    <row r="209" spans="1:5" x14ac:dyDescent="0.25">
      <c r="A209" t="s">
        <v>835</v>
      </c>
      <c r="B209" t="s">
        <v>4001</v>
      </c>
      <c r="D209">
        <v>33874</v>
      </c>
      <c r="E209" t="str">
        <f t="shared" si="3"/>
        <v>ia.assorted_string like '%33874-10-2023%' or</v>
      </c>
    </row>
    <row r="210" spans="1:5" x14ac:dyDescent="0.25">
      <c r="A210" t="s">
        <v>829</v>
      </c>
      <c r="B210" t="s">
        <v>4001</v>
      </c>
      <c r="D210">
        <v>33875</v>
      </c>
      <c r="E210" t="str">
        <f t="shared" si="3"/>
        <v>ia.assorted_string like '%33875-10-2023%' or</v>
      </c>
    </row>
    <row r="211" spans="1:5" x14ac:dyDescent="0.25">
      <c r="A211" t="s">
        <v>846</v>
      </c>
      <c r="B211" t="s">
        <v>4001</v>
      </c>
      <c r="D211">
        <v>33879</v>
      </c>
      <c r="E211" t="str">
        <f t="shared" si="3"/>
        <v>ia.assorted_string like '%33879-10-2023%' or</v>
      </c>
    </row>
    <row r="212" spans="1:5" x14ac:dyDescent="0.25">
      <c r="A212" t="s">
        <v>857</v>
      </c>
      <c r="B212" t="s">
        <v>4001</v>
      </c>
      <c r="D212">
        <v>33881</v>
      </c>
      <c r="E212" t="str">
        <f t="shared" si="3"/>
        <v>ia.assorted_string like '%33881-10-2023%' or</v>
      </c>
    </row>
    <row r="213" spans="1:5" x14ac:dyDescent="0.25">
      <c r="A213" t="s">
        <v>864</v>
      </c>
      <c r="B213" t="s">
        <v>4001</v>
      </c>
      <c r="D213">
        <v>33886</v>
      </c>
      <c r="E213" t="str">
        <f t="shared" si="3"/>
        <v>ia.assorted_string like '%33886-10-2023%' or</v>
      </c>
    </row>
    <row r="214" spans="1:5" x14ac:dyDescent="0.25">
      <c r="A214" t="s">
        <v>869</v>
      </c>
      <c r="B214" t="s">
        <v>4001</v>
      </c>
      <c r="D214">
        <v>33887</v>
      </c>
      <c r="E214" t="str">
        <f t="shared" si="3"/>
        <v>ia.assorted_string like '%33887-10-2023%' or</v>
      </c>
    </row>
    <row r="215" spans="1:5" x14ac:dyDescent="0.25">
      <c r="A215" t="s">
        <v>874</v>
      </c>
      <c r="B215" t="s">
        <v>4001</v>
      </c>
      <c r="D215">
        <v>33890</v>
      </c>
      <c r="E215" t="str">
        <f t="shared" si="3"/>
        <v>ia.assorted_string like '%33890-10-2023%' or</v>
      </c>
    </row>
    <row r="216" spans="1:5" x14ac:dyDescent="0.25">
      <c r="A216" t="s">
        <v>207</v>
      </c>
      <c r="B216" t="s">
        <v>4001</v>
      </c>
      <c r="D216">
        <v>33927</v>
      </c>
      <c r="E216" t="str">
        <f t="shared" si="3"/>
        <v>ia.assorted_string like '%33927-10-2023%' or</v>
      </c>
    </row>
    <row r="217" spans="1:5" x14ac:dyDescent="0.25">
      <c r="A217" t="s">
        <v>236</v>
      </c>
      <c r="B217" t="s">
        <v>4016</v>
      </c>
      <c r="D217">
        <v>34122</v>
      </c>
      <c r="E217" t="str">
        <f t="shared" si="3"/>
        <v>ia.assorted_string like '%34122-11-2023%' or</v>
      </c>
    </row>
    <row r="218" spans="1:5" x14ac:dyDescent="0.25">
      <c r="A218" t="s">
        <v>319</v>
      </c>
      <c r="B218" t="s">
        <v>4016</v>
      </c>
      <c r="D218">
        <v>34190</v>
      </c>
      <c r="E218" t="str">
        <f t="shared" si="3"/>
        <v>ia.assorted_string like '%34190-11-2023%' or</v>
      </c>
    </row>
    <row r="219" spans="1:5" x14ac:dyDescent="0.25">
      <c r="A219" t="s">
        <v>97</v>
      </c>
      <c r="B219" t="s">
        <v>4016</v>
      </c>
      <c r="D219">
        <v>34228</v>
      </c>
      <c r="E219" t="str">
        <f t="shared" si="3"/>
        <v>ia.assorted_string like '%34228-11-2023%' or</v>
      </c>
    </row>
    <row r="220" spans="1:5" x14ac:dyDescent="0.25">
      <c r="A220" t="s">
        <v>818</v>
      </c>
      <c r="B220" t="s">
        <v>4016</v>
      </c>
      <c r="D220">
        <v>34265</v>
      </c>
      <c r="E220" t="str">
        <f t="shared" si="3"/>
        <v>ia.assorted_string like '%34265-11-2023%' or</v>
      </c>
    </row>
    <row r="221" spans="1:5" x14ac:dyDescent="0.25">
      <c r="A221" t="s">
        <v>830</v>
      </c>
      <c r="B221" t="s">
        <v>4016</v>
      </c>
      <c r="D221">
        <v>34270</v>
      </c>
      <c r="E221" t="str">
        <f t="shared" si="3"/>
        <v>ia.assorted_string like '%34270-11-2023%' or</v>
      </c>
    </row>
    <row r="222" spans="1:5" x14ac:dyDescent="0.25">
      <c r="A222" t="s">
        <v>127</v>
      </c>
      <c r="B222" t="s">
        <v>4016</v>
      </c>
      <c r="D222">
        <v>34284</v>
      </c>
      <c r="E222" t="str">
        <f t="shared" si="3"/>
        <v>ia.assorted_string like '%34284-11-2023%' or</v>
      </c>
    </row>
    <row r="223" spans="1:5" x14ac:dyDescent="0.25">
      <c r="A223" t="s">
        <v>638</v>
      </c>
      <c r="B223" t="s">
        <v>4016</v>
      </c>
      <c r="D223">
        <v>34317</v>
      </c>
      <c r="E223" t="str">
        <f t="shared" si="3"/>
        <v>ia.assorted_string like '%34317-11-2023%' or</v>
      </c>
    </row>
    <row r="224" spans="1:5" x14ac:dyDescent="0.25">
      <c r="A224" t="s">
        <v>173</v>
      </c>
      <c r="B224" t="s">
        <v>4016</v>
      </c>
      <c r="D224">
        <v>34384</v>
      </c>
      <c r="E224" t="str">
        <f t="shared" si="3"/>
        <v>ia.assorted_string like '%34384-11-2023%' or</v>
      </c>
    </row>
    <row r="225" spans="1:5" x14ac:dyDescent="0.25">
      <c r="A225" t="s">
        <v>211</v>
      </c>
      <c r="B225" t="s">
        <v>4016</v>
      </c>
      <c r="D225">
        <v>34390</v>
      </c>
      <c r="E225" t="str">
        <f t="shared" si="3"/>
        <v>ia.assorted_string like '%34390-11-2023%' or</v>
      </c>
    </row>
    <row r="226" spans="1:5" x14ac:dyDescent="0.25">
      <c r="A226" t="s">
        <v>479</v>
      </c>
      <c r="B226" t="s">
        <v>4016</v>
      </c>
      <c r="D226">
        <v>34471</v>
      </c>
      <c r="E226" t="str">
        <f t="shared" si="3"/>
        <v>ia.assorted_string like '%34471-11-2023%' or</v>
      </c>
    </row>
    <row r="227" spans="1:5" x14ac:dyDescent="0.25">
      <c r="A227" t="s">
        <v>157</v>
      </c>
      <c r="B227" t="s">
        <v>4016</v>
      </c>
      <c r="D227">
        <v>34565</v>
      </c>
      <c r="E227" t="str">
        <f t="shared" si="3"/>
        <v>ia.assorted_string like '%34565-11-2023%' or</v>
      </c>
    </row>
    <row r="228" spans="1:5" x14ac:dyDescent="0.25">
      <c r="A228" t="s">
        <v>390</v>
      </c>
      <c r="B228" t="s">
        <v>4016</v>
      </c>
      <c r="D228">
        <v>34616</v>
      </c>
      <c r="E228" t="str">
        <f t="shared" si="3"/>
        <v>ia.assorted_string like '%34616-11-2023%' or</v>
      </c>
    </row>
    <row r="229" spans="1:5" x14ac:dyDescent="0.25">
      <c r="A229" t="s">
        <v>404</v>
      </c>
      <c r="B229" t="s">
        <v>4016</v>
      </c>
      <c r="D229">
        <v>34618</v>
      </c>
      <c r="E229" t="str">
        <f t="shared" si="3"/>
        <v>ia.assorted_string like '%34618-11-2023%' or</v>
      </c>
    </row>
    <row r="230" spans="1:5" x14ac:dyDescent="0.25">
      <c r="A230" t="s">
        <v>810</v>
      </c>
      <c r="B230" t="s">
        <v>4016</v>
      </c>
      <c r="D230">
        <v>34624</v>
      </c>
      <c r="E230" t="str">
        <f t="shared" si="3"/>
        <v>ia.assorted_string like '%34624-11-2023%' or</v>
      </c>
    </row>
    <row r="231" spans="1:5" x14ac:dyDescent="0.25">
      <c r="A231" t="s">
        <v>883</v>
      </c>
      <c r="B231" t="s">
        <v>4002</v>
      </c>
      <c r="D231">
        <v>34731</v>
      </c>
      <c r="E231" t="str">
        <f t="shared" si="3"/>
        <v>ia.assorted_string like '%34731-12-2023%' or</v>
      </c>
    </row>
    <row r="232" spans="1:5" x14ac:dyDescent="0.25">
      <c r="A232" t="s">
        <v>115</v>
      </c>
      <c r="B232" t="s">
        <v>4002</v>
      </c>
      <c r="D232">
        <v>34876</v>
      </c>
      <c r="E232" t="str">
        <f t="shared" si="3"/>
        <v>ia.assorted_string like '%34876-12-2023%' or</v>
      </c>
    </row>
    <row r="233" spans="1:5" x14ac:dyDescent="0.25">
      <c r="A233" t="s">
        <v>116</v>
      </c>
      <c r="B233" t="s">
        <v>4002</v>
      </c>
      <c r="D233">
        <v>34877</v>
      </c>
      <c r="E233" t="str">
        <f t="shared" si="3"/>
        <v>ia.assorted_string like '%34877-12-2023%' or</v>
      </c>
    </row>
    <row r="234" spans="1:5" x14ac:dyDescent="0.25">
      <c r="A234" t="s">
        <v>117</v>
      </c>
      <c r="B234" t="s">
        <v>4002</v>
      </c>
      <c r="D234">
        <v>34878</v>
      </c>
      <c r="E234" t="str">
        <f t="shared" si="3"/>
        <v>ia.assorted_string like '%34878-12-2023%' or</v>
      </c>
    </row>
    <row r="235" spans="1:5" x14ac:dyDescent="0.25">
      <c r="A235" t="s">
        <v>118</v>
      </c>
      <c r="B235" t="s">
        <v>4002</v>
      </c>
      <c r="D235">
        <v>34879</v>
      </c>
      <c r="E235" t="str">
        <f t="shared" si="3"/>
        <v>ia.assorted_string like '%34879-12-2023%' or</v>
      </c>
    </row>
    <row r="236" spans="1:5" x14ac:dyDescent="0.25">
      <c r="A236" t="s">
        <v>119</v>
      </c>
      <c r="B236" t="s">
        <v>4002</v>
      </c>
      <c r="D236">
        <v>34880</v>
      </c>
      <c r="E236" t="str">
        <f t="shared" si="3"/>
        <v>ia.assorted_string like '%34880-12-2023%' or</v>
      </c>
    </row>
    <row r="237" spans="1:5" x14ac:dyDescent="0.25">
      <c r="A237" t="s">
        <v>907</v>
      </c>
      <c r="B237" t="s">
        <v>4002</v>
      </c>
      <c r="D237">
        <v>34907</v>
      </c>
      <c r="E237" t="str">
        <f t="shared" si="3"/>
        <v>ia.assorted_string like '%34907-12-2023%' or</v>
      </c>
    </row>
    <row r="238" spans="1:5" x14ac:dyDescent="0.25">
      <c r="A238" t="s">
        <v>922</v>
      </c>
      <c r="B238" t="s">
        <v>4002</v>
      </c>
      <c r="D238">
        <v>34984</v>
      </c>
      <c r="E238" t="str">
        <f t="shared" si="3"/>
        <v>ia.assorted_string like '%34984-12-2023%' or</v>
      </c>
    </row>
    <row r="239" spans="1:5" x14ac:dyDescent="0.25">
      <c r="A239" t="s">
        <v>237</v>
      </c>
      <c r="B239" t="s">
        <v>4002</v>
      </c>
      <c r="D239">
        <v>35012</v>
      </c>
      <c r="E239" t="str">
        <f t="shared" si="3"/>
        <v>ia.assorted_string like '%35012-12-2023%' or</v>
      </c>
    </row>
    <row r="240" spans="1:5" x14ac:dyDescent="0.25">
      <c r="A240" t="s">
        <v>320</v>
      </c>
      <c r="B240" t="s">
        <v>4002</v>
      </c>
      <c r="D240">
        <v>35018</v>
      </c>
      <c r="E240" t="str">
        <f t="shared" si="3"/>
        <v>ia.assorted_string like '%35018-12-2023%' or</v>
      </c>
    </row>
    <row r="241" spans="1:5" x14ac:dyDescent="0.25">
      <c r="A241" t="s">
        <v>963</v>
      </c>
      <c r="B241" t="s">
        <v>4002</v>
      </c>
      <c r="D241">
        <v>35024</v>
      </c>
      <c r="E241" t="str">
        <f t="shared" si="3"/>
        <v>ia.assorted_string like '%35024-12-2023%' or</v>
      </c>
    </row>
    <row r="242" spans="1:5" x14ac:dyDescent="0.25">
      <c r="A242" t="s">
        <v>162</v>
      </c>
      <c r="B242" t="s">
        <v>4002</v>
      </c>
      <c r="D242">
        <v>35050</v>
      </c>
      <c r="E242" t="str">
        <f t="shared" si="3"/>
        <v>ia.assorted_string like '%35050-12-2023%' or</v>
      </c>
    </row>
    <row r="243" spans="1:5" x14ac:dyDescent="0.25">
      <c r="A243" t="s">
        <v>163</v>
      </c>
      <c r="B243" t="s">
        <v>4002</v>
      </c>
      <c r="D243">
        <v>35051</v>
      </c>
      <c r="E243" t="str">
        <f t="shared" si="3"/>
        <v>ia.assorted_string like '%35051-12-2023%' or</v>
      </c>
    </row>
    <row r="244" spans="1:5" x14ac:dyDescent="0.25">
      <c r="A244" t="s">
        <v>128</v>
      </c>
      <c r="B244" t="s">
        <v>4002</v>
      </c>
      <c r="D244">
        <v>35156</v>
      </c>
      <c r="E244" t="str">
        <f t="shared" si="3"/>
        <v>ia.assorted_string like '%35156-12-2023%' or</v>
      </c>
    </row>
    <row r="245" spans="1:5" x14ac:dyDescent="0.25">
      <c r="A245" t="s">
        <v>949</v>
      </c>
      <c r="B245" t="s">
        <v>4002</v>
      </c>
      <c r="D245">
        <v>35186</v>
      </c>
      <c r="E245" t="str">
        <f t="shared" si="3"/>
        <v>ia.assorted_string like '%35186-12-2023%' or</v>
      </c>
    </row>
    <row r="246" spans="1:5" x14ac:dyDescent="0.25">
      <c r="A246" t="s">
        <v>98</v>
      </c>
      <c r="B246" t="s">
        <v>4002</v>
      </c>
      <c r="D246">
        <v>35192</v>
      </c>
      <c r="E246" t="str">
        <f t="shared" si="3"/>
        <v>ia.assorted_string like '%35192-12-2023%' or</v>
      </c>
    </row>
    <row r="247" spans="1:5" x14ac:dyDescent="0.25">
      <c r="A247" t="s">
        <v>138</v>
      </c>
      <c r="B247" t="s">
        <v>4002</v>
      </c>
      <c r="D247">
        <v>35243</v>
      </c>
      <c r="E247" t="str">
        <f t="shared" si="3"/>
        <v>ia.assorted_string like '%35243-12-2023%' or</v>
      </c>
    </row>
    <row r="248" spans="1:5" x14ac:dyDescent="0.25">
      <c r="A248" t="s">
        <v>149</v>
      </c>
      <c r="B248" t="s">
        <v>4002</v>
      </c>
      <c r="D248">
        <v>35283</v>
      </c>
      <c r="E248" t="str">
        <f t="shared" si="3"/>
        <v>ia.assorted_string like '%35283-12-2023%' or</v>
      </c>
    </row>
    <row r="249" spans="1:5" x14ac:dyDescent="0.25">
      <c r="A249" t="s">
        <v>212</v>
      </c>
      <c r="B249" t="s">
        <v>4002</v>
      </c>
      <c r="D249">
        <v>35292</v>
      </c>
      <c r="E249" t="str">
        <f t="shared" si="3"/>
        <v>ia.assorted_string like '%35292-12-2023%' or</v>
      </c>
    </row>
    <row r="250" spans="1:5" x14ac:dyDescent="0.25">
      <c r="A250" t="s">
        <v>414</v>
      </c>
      <c r="B250" t="s">
        <v>4002</v>
      </c>
      <c r="D250">
        <v>35330</v>
      </c>
      <c r="E250" t="str">
        <f t="shared" si="3"/>
        <v>ia.assorted_string like '%35330-12-2023%' or</v>
      </c>
    </row>
    <row r="251" spans="1:5" x14ac:dyDescent="0.25">
      <c r="A251" t="s">
        <v>106</v>
      </c>
      <c r="B251" t="s">
        <v>4002</v>
      </c>
      <c r="D251">
        <v>35349</v>
      </c>
      <c r="E251" t="str">
        <f t="shared" si="3"/>
        <v>ia.assorted_string like '%35349-12-2023%' or</v>
      </c>
    </row>
    <row r="252" spans="1:5" x14ac:dyDescent="0.25">
      <c r="A252" t="s">
        <v>230</v>
      </c>
      <c r="B252" t="s">
        <v>4002</v>
      </c>
      <c r="D252">
        <v>35354</v>
      </c>
      <c r="E252" t="str">
        <f t="shared" si="3"/>
        <v>ia.assorted_string like '%35354-12-2023%' or</v>
      </c>
    </row>
    <row r="253" spans="1:5" x14ac:dyDescent="0.25">
      <c r="A253" t="s">
        <v>470</v>
      </c>
      <c r="B253" t="s">
        <v>4002</v>
      </c>
      <c r="D253">
        <v>35428</v>
      </c>
      <c r="E253" t="str">
        <f t="shared" si="3"/>
        <v>ia.assorted_string like '%35428-12-2023%' or</v>
      </c>
    </row>
    <row r="254" spans="1:5" x14ac:dyDescent="0.25">
      <c r="A254" t="s">
        <v>977</v>
      </c>
      <c r="B254" t="s">
        <v>4002</v>
      </c>
      <c r="D254">
        <v>35451</v>
      </c>
      <c r="E254" t="str">
        <f t="shared" si="3"/>
        <v>ia.assorted_string like '%35451-12-2023%' or</v>
      </c>
    </row>
    <row r="255" spans="1:5" x14ac:dyDescent="0.25">
      <c r="A255" t="s">
        <v>158</v>
      </c>
      <c r="B255" t="s">
        <v>4002</v>
      </c>
      <c r="D255">
        <v>35490</v>
      </c>
      <c r="E255" t="str">
        <f t="shared" si="3"/>
        <v>ia.assorted_string like '%35490-12-2023%' or</v>
      </c>
    </row>
    <row r="256" spans="1:5" x14ac:dyDescent="0.25">
      <c r="A256" t="s">
        <v>269</v>
      </c>
      <c r="B256" t="s">
        <v>4002</v>
      </c>
      <c r="D256">
        <v>35493</v>
      </c>
      <c r="E256" t="str">
        <f t="shared" si="3"/>
        <v>ia.assorted_string like '%35493-12-2023%' or</v>
      </c>
    </row>
    <row r="257" spans="1:5" x14ac:dyDescent="0.25">
      <c r="A257" t="s">
        <v>391</v>
      </c>
      <c r="B257" t="s">
        <v>4002</v>
      </c>
      <c r="D257">
        <v>35498</v>
      </c>
      <c r="E257" t="str">
        <f t="shared" si="3"/>
        <v>ia.assorted_string like '%35498-12-2023%' or</v>
      </c>
    </row>
    <row r="258" spans="1:5" x14ac:dyDescent="0.25">
      <c r="A258" t="s">
        <v>405</v>
      </c>
      <c r="B258" t="s">
        <v>4002</v>
      </c>
      <c r="D258">
        <v>35499</v>
      </c>
      <c r="E258" t="str">
        <f t="shared" ref="E258:E321" si="4">"ia.assorted_string like '%"&amp;D258&amp;B258&amp;"%' or"</f>
        <v>ia.assorted_string like '%35499-12-2023%' or</v>
      </c>
    </row>
    <row r="259" spans="1:5" x14ac:dyDescent="0.25">
      <c r="A259" t="s">
        <v>811</v>
      </c>
      <c r="B259" t="s">
        <v>4002</v>
      </c>
      <c r="D259">
        <v>35509</v>
      </c>
      <c r="E259" t="str">
        <f t="shared" si="4"/>
        <v>ia.assorted_string like '%35509-12-2023%' or</v>
      </c>
    </row>
    <row r="260" spans="1:5" x14ac:dyDescent="0.25">
      <c r="A260" t="s">
        <v>154</v>
      </c>
      <c r="B260" t="s">
        <v>4002</v>
      </c>
      <c r="D260">
        <v>35521</v>
      </c>
      <c r="E260" t="str">
        <f t="shared" si="4"/>
        <v>ia.assorted_string like '%35521-12-2023%' or</v>
      </c>
    </row>
    <row r="261" spans="1:5" x14ac:dyDescent="0.25">
      <c r="A261" t="s">
        <v>1022</v>
      </c>
      <c r="B261" t="s">
        <v>4002</v>
      </c>
      <c r="D261">
        <v>35534</v>
      </c>
      <c r="E261" t="str">
        <f t="shared" si="4"/>
        <v>ia.assorted_string like '%35534-12-2023%' or</v>
      </c>
    </row>
    <row r="262" spans="1:5" x14ac:dyDescent="0.25">
      <c r="A262" t="s">
        <v>884</v>
      </c>
      <c r="B262" t="s">
        <v>4002</v>
      </c>
      <c r="D262">
        <v>35568</v>
      </c>
      <c r="E262" t="str">
        <f t="shared" si="4"/>
        <v>ia.assorted_string like '%35568-12-2023%' or</v>
      </c>
    </row>
    <row r="263" spans="1:5" x14ac:dyDescent="0.25">
      <c r="A263" t="s">
        <v>887</v>
      </c>
      <c r="B263" t="s">
        <v>4002</v>
      </c>
      <c r="D263">
        <v>35570</v>
      </c>
      <c r="E263" t="str">
        <f t="shared" si="4"/>
        <v>ia.assorted_string like '%35570-12-2023%' or</v>
      </c>
    </row>
    <row r="264" spans="1:5" x14ac:dyDescent="0.25">
      <c r="A264" t="s">
        <v>902</v>
      </c>
      <c r="B264" t="s">
        <v>4002</v>
      </c>
      <c r="D264">
        <v>35574</v>
      </c>
      <c r="E264" t="str">
        <f t="shared" si="4"/>
        <v>ia.assorted_string like '%35574-12-2023%' or</v>
      </c>
    </row>
    <row r="265" spans="1:5" x14ac:dyDescent="0.25">
      <c r="A265" t="s">
        <v>896</v>
      </c>
      <c r="B265" t="s">
        <v>4002</v>
      </c>
      <c r="D265">
        <v>35577</v>
      </c>
      <c r="E265" t="str">
        <f t="shared" si="4"/>
        <v>ia.assorted_string like '%35577-12-2023%' or</v>
      </c>
    </row>
    <row r="266" spans="1:5" x14ac:dyDescent="0.25">
      <c r="A266" t="s">
        <v>908</v>
      </c>
      <c r="B266" t="s">
        <v>4002</v>
      </c>
      <c r="D266">
        <v>35579</v>
      </c>
      <c r="E266" t="str">
        <f t="shared" si="4"/>
        <v>ia.assorted_string like '%35579-12-2023%' or</v>
      </c>
    </row>
    <row r="267" spans="1:5" x14ac:dyDescent="0.25">
      <c r="A267" t="s">
        <v>923</v>
      </c>
      <c r="B267" t="s">
        <v>4002</v>
      </c>
      <c r="D267">
        <v>35580</v>
      </c>
      <c r="E267" t="str">
        <f t="shared" si="4"/>
        <v>ia.assorted_string like '%35580-12-2023%' or</v>
      </c>
    </row>
    <row r="268" spans="1:5" x14ac:dyDescent="0.25">
      <c r="A268" t="s">
        <v>937</v>
      </c>
      <c r="B268" t="s">
        <v>4002</v>
      </c>
      <c r="D268">
        <v>35583</v>
      </c>
      <c r="E268" t="str">
        <f t="shared" si="4"/>
        <v>ia.assorted_string like '%35583-12-2023%' or</v>
      </c>
    </row>
    <row r="269" spans="1:5" x14ac:dyDescent="0.25">
      <c r="A269" t="s">
        <v>950</v>
      </c>
      <c r="B269" t="s">
        <v>4002</v>
      </c>
      <c r="D269">
        <v>35586</v>
      </c>
      <c r="E269" t="str">
        <f t="shared" si="4"/>
        <v>ia.assorted_string like '%35586-12-2023%' or</v>
      </c>
    </row>
    <row r="270" spans="1:5" x14ac:dyDescent="0.25">
      <c r="A270" t="s">
        <v>964</v>
      </c>
      <c r="B270" t="s">
        <v>4002</v>
      </c>
      <c r="D270">
        <v>35588</v>
      </c>
      <c r="E270" t="str">
        <f t="shared" si="4"/>
        <v>ia.assorted_string like '%35588-12-2023%' or</v>
      </c>
    </row>
    <row r="271" spans="1:5" x14ac:dyDescent="0.25">
      <c r="A271" t="s">
        <v>954</v>
      </c>
      <c r="B271" t="s">
        <v>4002</v>
      </c>
      <c r="D271">
        <v>35590</v>
      </c>
      <c r="E271" t="str">
        <f t="shared" si="4"/>
        <v>ia.assorted_string like '%35590-12-2023%' or</v>
      </c>
    </row>
    <row r="272" spans="1:5" x14ac:dyDescent="0.25">
      <c r="A272" t="s">
        <v>978</v>
      </c>
      <c r="B272" t="s">
        <v>4002</v>
      </c>
      <c r="D272">
        <v>35602</v>
      </c>
      <c r="E272" t="str">
        <f t="shared" si="4"/>
        <v>ia.assorted_string like '%35602-12-2023%' or</v>
      </c>
    </row>
    <row r="273" spans="1:5" x14ac:dyDescent="0.25">
      <c r="A273" t="s">
        <v>1005</v>
      </c>
      <c r="B273" t="s">
        <v>4002</v>
      </c>
      <c r="D273">
        <v>35605</v>
      </c>
      <c r="E273" t="str">
        <f t="shared" si="4"/>
        <v>ia.assorted_string like '%35605-12-2023%' or</v>
      </c>
    </row>
    <row r="274" spans="1:5" x14ac:dyDescent="0.25">
      <c r="A274" t="s">
        <v>991</v>
      </c>
      <c r="B274" t="s">
        <v>4002</v>
      </c>
      <c r="D274">
        <v>35606</v>
      </c>
      <c r="E274" t="str">
        <f t="shared" si="4"/>
        <v>ia.assorted_string like '%35606-12-2023%' or</v>
      </c>
    </row>
    <row r="275" spans="1:5" x14ac:dyDescent="0.25">
      <c r="A275" t="s">
        <v>1023</v>
      </c>
      <c r="B275" t="s">
        <v>4002</v>
      </c>
      <c r="D275">
        <v>35607</v>
      </c>
      <c r="E275" t="str">
        <f t="shared" si="4"/>
        <v>ia.assorted_string like '%35607-12-2023%' or</v>
      </c>
    </row>
    <row r="276" spans="1:5" x14ac:dyDescent="0.25">
      <c r="A276" t="s">
        <v>1015</v>
      </c>
      <c r="B276" t="s">
        <v>4002</v>
      </c>
      <c r="D276">
        <v>35608</v>
      </c>
      <c r="E276" t="str">
        <f t="shared" si="4"/>
        <v>ia.assorted_string like '%35608-12-2023%' or</v>
      </c>
    </row>
    <row r="277" spans="1:5" x14ac:dyDescent="0.25">
      <c r="A277" t="s">
        <v>1036</v>
      </c>
      <c r="B277" t="s">
        <v>4002</v>
      </c>
      <c r="D277">
        <v>35611</v>
      </c>
      <c r="E277" t="str">
        <f t="shared" si="4"/>
        <v>ia.assorted_string like '%35611-12-2023%' or</v>
      </c>
    </row>
    <row r="278" spans="1:5" x14ac:dyDescent="0.25">
      <c r="A278" t="s">
        <v>1047</v>
      </c>
      <c r="B278" t="s">
        <v>4002</v>
      </c>
      <c r="D278">
        <v>35624</v>
      </c>
      <c r="E278" t="str">
        <f t="shared" si="4"/>
        <v>ia.assorted_string like '%35624-12-2023%' or</v>
      </c>
    </row>
    <row r="279" spans="1:5" x14ac:dyDescent="0.25">
      <c r="A279" t="s">
        <v>1050</v>
      </c>
      <c r="B279" t="s">
        <v>4002</v>
      </c>
      <c r="D279">
        <v>35625</v>
      </c>
      <c r="E279" t="str">
        <f t="shared" si="4"/>
        <v>ia.assorted_string like '%35625-12-2023%' or</v>
      </c>
    </row>
    <row r="280" spans="1:5" x14ac:dyDescent="0.25">
      <c r="A280" t="s">
        <v>1060</v>
      </c>
      <c r="B280" t="s">
        <v>4002</v>
      </c>
      <c r="D280">
        <v>35633</v>
      </c>
      <c r="E280" t="str">
        <f t="shared" si="4"/>
        <v>ia.assorted_string like '%35633-12-2023%' or</v>
      </c>
    </row>
    <row r="281" spans="1:5" x14ac:dyDescent="0.25">
      <c r="A281" t="s">
        <v>1074</v>
      </c>
      <c r="B281" t="s">
        <v>4002</v>
      </c>
      <c r="D281">
        <v>35634</v>
      </c>
      <c r="E281" t="str">
        <f t="shared" si="4"/>
        <v>ia.assorted_string like '%35634-12-2023%' or</v>
      </c>
    </row>
    <row r="282" spans="1:5" x14ac:dyDescent="0.25">
      <c r="A282" t="s">
        <v>1085</v>
      </c>
      <c r="B282" t="s">
        <v>4002</v>
      </c>
      <c r="D282">
        <v>35636</v>
      </c>
      <c r="E282" t="str">
        <f t="shared" si="4"/>
        <v>ia.assorted_string like '%35636-12-2023%' or</v>
      </c>
    </row>
    <row r="283" spans="1:5" x14ac:dyDescent="0.25">
      <c r="A283" t="s">
        <v>1119</v>
      </c>
      <c r="B283" t="s">
        <v>4002</v>
      </c>
      <c r="D283">
        <v>35644</v>
      </c>
      <c r="E283" t="str">
        <f t="shared" si="4"/>
        <v>ia.assorted_string like '%35644-12-2023%' or</v>
      </c>
    </row>
    <row r="284" spans="1:5" x14ac:dyDescent="0.25">
      <c r="A284" t="s">
        <v>1125</v>
      </c>
      <c r="B284" t="s">
        <v>4002</v>
      </c>
      <c r="D284">
        <v>35647</v>
      </c>
      <c r="E284" t="str">
        <f t="shared" si="4"/>
        <v>ia.assorted_string like '%35647-12-2023%' or</v>
      </c>
    </row>
    <row r="285" spans="1:5" x14ac:dyDescent="0.25">
      <c r="A285" t="s">
        <v>1129</v>
      </c>
      <c r="B285" t="s">
        <v>4002</v>
      </c>
      <c r="D285">
        <v>35648</v>
      </c>
      <c r="E285" t="str">
        <f t="shared" si="4"/>
        <v>ia.assorted_string like '%35648-12-2023%' or</v>
      </c>
    </row>
    <row r="286" spans="1:5" x14ac:dyDescent="0.25">
      <c r="A286" t="s">
        <v>1140</v>
      </c>
      <c r="B286" t="s">
        <v>4002</v>
      </c>
      <c r="D286">
        <v>35650</v>
      </c>
      <c r="E286" t="str">
        <f t="shared" si="4"/>
        <v>ia.assorted_string like '%35650-12-2023%' or</v>
      </c>
    </row>
    <row r="287" spans="1:5" x14ac:dyDescent="0.25">
      <c r="A287" t="s">
        <v>1153</v>
      </c>
      <c r="B287" t="s">
        <v>4002</v>
      </c>
      <c r="D287">
        <v>35651</v>
      </c>
      <c r="E287" t="str">
        <f t="shared" si="4"/>
        <v>ia.assorted_string like '%35651-12-2023%' or</v>
      </c>
    </row>
    <row r="288" spans="1:5" x14ac:dyDescent="0.25">
      <c r="A288" t="s">
        <v>1160</v>
      </c>
      <c r="B288" t="s">
        <v>4002</v>
      </c>
      <c r="D288">
        <v>35655</v>
      </c>
      <c r="E288" t="str">
        <f t="shared" si="4"/>
        <v>ia.assorted_string like '%35655-12-2023%' or</v>
      </c>
    </row>
    <row r="289" spans="1:5" x14ac:dyDescent="0.25">
      <c r="A289" t="s">
        <v>1164</v>
      </c>
      <c r="B289" t="s">
        <v>4002</v>
      </c>
      <c r="D289">
        <v>35656</v>
      </c>
      <c r="E289" t="str">
        <f t="shared" si="4"/>
        <v>ia.assorted_string like '%35656-12-2023%' or</v>
      </c>
    </row>
    <row r="290" spans="1:5" x14ac:dyDescent="0.25">
      <c r="A290" t="s">
        <v>1190</v>
      </c>
      <c r="B290" t="s">
        <v>4002</v>
      </c>
      <c r="D290">
        <v>35661</v>
      </c>
      <c r="E290" t="str">
        <f t="shared" si="4"/>
        <v>ia.assorted_string like '%35661-12-2023%' or</v>
      </c>
    </row>
    <row r="291" spans="1:5" x14ac:dyDescent="0.25">
      <c r="A291" t="s">
        <v>1177</v>
      </c>
      <c r="B291" t="s">
        <v>4002</v>
      </c>
      <c r="D291">
        <v>35662</v>
      </c>
      <c r="E291" t="str">
        <f t="shared" si="4"/>
        <v>ia.assorted_string like '%35662-12-2023%' or</v>
      </c>
    </row>
    <row r="292" spans="1:5" x14ac:dyDescent="0.25">
      <c r="A292" t="s">
        <v>266</v>
      </c>
      <c r="B292" t="s">
        <v>4002</v>
      </c>
      <c r="D292">
        <v>35697</v>
      </c>
      <c r="E292" t="str">
        <f t="shared" si="4"/>
        <v>ia.assorted_string like '%35697-12-2023%' or</v>
      </c>
    </row>
    <row r="293" spans="1:5" x14ac:dyDescent="0.25">
      <c r="A293" t="s">
        <v>488</v>
      </c>
      <c r="B293" t="s">
        <v>4002</v>
      </c>
      <c r="D293">
        <v>35811</v>
      </c>
      <c r="E293" t="str">
        <f t="shared" si="4"/>
        <v>ia.assorted_string like '%35811-12-2023%' or</v>
      </c>
    </row>
    <row r="294" spans="1:5" x14ac:dyDescent="0.25">
      <c r="A294" t="s">
        <v>570</v>
      </c>
      <c r="B294" t="s">
        <v>4002</v>
      </c>
      <c r="D294">
        <v>35812</v>
      </c>
      <c r="E294" t="str">
        <f t="shared" si="4"/>
        <v>ia.assorted_string like '%35812-12-2023%' or</v>
      </c>
    </row>
    <row r="295" spans="1:5" x14ac:dyDescent="0.25">
      <c r="A295" t="s">
        <v>145</v>
      </c>
      <c r="B295" t="s">
        <v>4003</v>
      </c>
      <c r="D295">
        <v>35836</v>
      </c>
      <c r="E295" t="str">
        <f t="shared" si="4"/>
        <v>ia.assorted_string like '%35836-01-2024%' or</v>
      </c>
    </row>
    <row r="296" spans="1:5" x14ac:dyDescent="0.25">
      <c r="A296" t="s">
        <v>1037</v>
      </c>
      <c r="B296" t="s">
        <v>4003</v>
      </c>
      <c r="D296">
        <v>35853</v>
      </c>
      <c r="E296" t="str">
        <f t="shared" si="4"/>
        <v>ia.assorted_string like '%35853-01-2024%' or</v>
      </c>
    </row>
    <row r="297" spans="1:5" x14ac:dyDescent="0.25">
      <c r="A297" t="s">
        <v>582</v>
      </c>
      <c r="B297" t="s">
        <v>4003</v>
      </c>
      <c r="D297">
        <v>35863</v>
      </c>
      <c r="E297" t="str">
        <f t="shared" si="4"/>
        <v>ia.assorted_string like '%35863-01-2024%' or</v>
      </c>
    </row>
    <row r="298" spans="1:5" x14ac:dyDescent="0.25">
      <c r="A298" t="s">
        <v>597</v>
      </c>
      <c r="B298" t="s">
        <v>4003</v>
      </c>
      <c r="D298">
        <v>35864</v>
      </c>
      <c r="E298" t="str">
        <f t="shared" si="4"/>
        <v>ia.assorted_string like '%35864-01-2024%' or</v>
      </c>
    </row>
    <row r="299" spans="1:5" x14ac:dyDescent="0.25">
      <c r="A299" t="s">
        <v>888</v>
      </c>
      <c r="B299" t="s">
        <v>4003</v>
      </c>
      <c r="D299">
        <v>35866</v>
      </c>
      <c r="E299" t="str">
        <f t="shared" si="4"/>
        <v>ia.assorted_string like '%35866-01-2024%' or</v>
      </c>
    </row>
    <row r="300" spans="1:5" x14ac:dyDescent="0.25">
      <c r="A300" t="s">
        <v>1041</v>
      </c>
      <c r="B300" t="s">
        <v>4003</v>
      </c>
      <c r="D300">
        <v>35869</v>
      </c>
      <c r="E300" t="str">
        <f t="shared" si="4"/>
        <v>ia.assorted_string like '%35869-01-2024%' or</v>
      </c>
    </row>
    <row r="301" spans="1:5" x14ac:dyDescent="0.25">
      <c r="A301" t="s">
        <v>123</v>
      </c>
      <c r="B301" t="s">
        <v>4003</v>
      </c>
      <c r="D301">
        <v>35874</v>
      </c>
      <c r="E301" t="str">
        <f t="shared" si="4"/>
        <v>ia.assorted_string like '%35874-01-2024%' or</v>
      </c>
    </row>
    <row r="302" spans="1:5" x14ac:dyDescent="0.25">
      <c r="A302" t="s">
        <v>415</v>
      </c>
      <c r="B302" t="s">
        <v>4003</v>
      </c>
      <c r="D302">
        <v>35881</v>
      </c>
      <c r="E302" t="str">
        <f t="shared" si="4"/>
        <v>ia.assorted_string like '%35881-01-2024%' or</v>
      </c>
    </row>
    <row r="303" spans="1:5" x14ac:dyDescent="0.25">
      <c r="A303" t="s">
        <v>120</v>
      </c>
      <c r="B303" t="s">
        <v>4003</v>
      </c>
      <c r="D303">
        <v>35888</v>
      </c>
      <c r="E303" t="str">
        <f t="shared" si="4"/>
        <v>ia.assorted_string like '%35888-01-2024%' or</v>
      </c>
    </row>
    <row r="304" spans="1:5" x14ac:dyDescent="0.25">
      <c r="A304" t="s">
        <v>924</v>
      </c>
      <c r="B304" t="s">
        <v>4003</v>
      </c>
      <c r="D304">
        <v>35924</v>
      </c>
      <c r="E304" t="str">
        <f t="shared" si="4"/>
        <v>ia.assorted_string like '%35924-01-2024%' or</v>
      </c>
    </row>
    <row r="305" spans="1:5" x14ac:dyDescent="0.25">
      <c r="A305" t="s">
        <v>909</v>
      </c>
      <c r="B305" t="s">
        <v>4003</v>
      </c>
      <c r="D305">
        <v>35966</v>
      </c>
      <c r="E305" t="str">
        <f t="shared" si="4"/>
        <v>ia.assorted_string like '%35966-01-2024%' or</v>
      </c>
    </row>
    <row r="306" spans="1:5" x14ac:dyDescent="0.25">
      <c r="A306" t="s">
        <v>238</v>
      </c>
      <c r="B306" t="s">
        <v>4003</v>
      </c>
      <c r="D306">
        <v>35992</v>
      </c>
      <c r="E306" t="str">
        <f t="shared" si="4"/>
        <v>ia.assorted_string like '%35992-01-2024%' or</v>
      </c>
    </row>
    <row r="307" spans="1:5" x14ac:dyDescent="0.25">
      <c r="A307" t="s">
        <v>1051</v>
      </c>
      <c r="B307" t="s">
        <v>4003</v>
      </c>
      <c r="D307">
        <v>36007</v>
      </c>
      <c r="E307" t="str">
        <f t="shared" si="4"/>
        <v>ia.assorted_string like '%36007-01-2024%' or</v>
      </c>
    </row>
    <row r="308" spans="1:5" x14ac:dyDescent="0.25">
      <c r="A308" t="s">
        <v>321</v>
      </c>
      <c r="B308" t="s">
        <v>4003</v>
      </c>
      <c r="D308">
        <v>36076</v>
      </c>
      <c r="E308" t="str">
        <f t="shared" si="4"/>
        <v>ia.assorted_string like '%36076-01-2024%' or</v>
      </c>
    </row>
    <row r="309" spans="1:5" x14ac:dyDescent="0.25">
      <c r="A309" t="s">
        <v>500</v>
      </c>
      <c r="B309" t="s">
        <v>4003</v>
      </c>
      <c r="D309">
        <v>36085</v>
      </c>
      <c r="E309" t="str">
        <f t="shared" si="4"/>
        <v>ia.assorted_string like '%36085-01-2024%' or</v>
      </c>
    </row>
    <row r="310" spans="1:5" x14ac:dyDescent="0.25">
      <c r="A310" t="s">
        <v>965</v>
      </c>
      <c r="B310" t="s">
        <v>4003</v>
      </c>
      <c r="D310">
        <v>36106</v>
      </c>
      <c r="E310" t="str">
        <f t="shared" si="4"/>
        <v>ia.assorted_string like '%36106-01-2024%' or</v>
      </c>
    </row>
    <row r="311" spans="1:5" x14ac:dyDescent="0.25">
      <c r="A311" t="s">
        <v>1061</v>
      </c>
      <c r="B311" t="s">
        <v>4003</v>
      </c>
      <c r="D311">
        <v>36109</v>
      </c>
      <c r="E311" t="str">
        <f t="shared" si="4"/>
        <v>ia.assorted_string like '%36109-01-2024%' or</v>
      </c>
    </row>
    <row r="312" spans="1:5" x14ac:dyDescent="0.25">
      <c r="A312" t="s">
        <v>164</v>
      </c>
      <c r="B312" t="s">
        <v>4003</v>
      </c>
      <c r="D312">
        <v>36131</v>
      </c>
      <c r="E312" t="str">
        <f t="shared" si="4"/>
        <v>ia.assorted_string like '%36131-01-2024%' or</v>
      </c>
    </row>
    <row r="313" spans="1:5" x14ac:dyDescent="0.25">
      <c r="A313" t="s">
        <v>645</v>
      </c>
      <c r="B313" t="s">
        <v>4003</v>
      </c>
      <c r="D313">
        <v>36196</v>
      </c>
      <c r="E313" t="str">
        <f t="shared" si="4"/>
        <v>ia.assorted_string like '%36196-01-2024%' or</v>
      </c>
    </row>
    <row r="314" spans="1:5" x14ac:dyDescent="0.25">
      <c r="A314" t="s">
        <v>443</v>
      </c>
      <c r="B314" t="s">
        <v>4003</v>
      </c>
      <c r="D314">
        <v>36228</v>
      </c>
      <c r="E314" t="str">
        <f t="shared" si="4"/>
        <v>ia.assorted_string like '%36228-01-2024%' or</v>
      </c>
    </row>
    <row r="315" spans="1:5" x14ac:dyDescent="0.25">
      <c r="A315" t="s">
        <v>129</v>
      </c>
      <c r="B315" t="s">
        <v>4003</v>
      </c>
      <c r="D315">
        <v>36259</v>
      </c>
      <c r="E315" t="str">
        <f t="shared" si="4"/>
        <v>ia.assorted_string like '%36259-01-2024%' or</v>
      </c>
    </row>
    <row r="316" spans="1:5" x14ac:dyDescent="0.25">
      <c r="A316" t="s">
        <v>168</v>
      </c>
      <c r="B316" t="s">
        <v>4003</v>
      </c>
      <c r="D316">
        <v>36266</v>
      </c>
      <c r="E316" t="str">
        <f t="shared" si="4"/>
        <v>ia.assorted_string like '%36266-01-2024%' or</v>
      </c>
    </row>
    <row r="317" spans="1:5" x14ac:dyDescent="0.25">
      <c r="A317" t="s">
        <v>831</v>
      </c>
      <c r="B317" t="s">
        <v>4003</v>
      </c>
      <c r="D317">
        <v>36297</v>
      </c>
      <c r="E317" t="str">
        <f t="shared" si="4"/>
        <v>ia.assorted_string like '%36297-01-2024%' or</v>
      </c>
    </row>
    <row r="318" spans="1:5" x14ac:dyDescent="0.25">
      <c r="A318" t="s">
        <v>951</v>
      </c>
      <c r="B318" t="s">
        <v>4003</v>
      </c>
      <c r="D318">
        <v>36299</v>
      </c>
      <c r="E318" t="str">
        <f t="shared" si="4"/>
        <v>ia.assorted_string like '%36299-01-2024%' or</v>
      </c>
    </row>
    <row r="319" spans="1:5" x14ac:dyDescent="0.25">
      <c r="A319" t="s">
        <v>665</v>
      </c>
      <c r="B319" t="s">
        <v>4003</v>
      </c>
      <c r="D319">
        <v>36332</v>
      </c>
      <c r="E319" t="str">
        <f t="shared" si="4"/>
        <v>ia.assorted_string like '%36332-01-2024%' or</v>
      </c>
    </row>
    <row r="320" spans="1:5" x14ac:dyDescent="0.25">
      <c r="A320" t="s">
        <v>1161</v>
      </c>
      <c r="B320" t="s">
        <v>4003</v>
      </c>
      <c r="D320">
        <v>36342</v>
      </c>
      <c r="E320" t="str">
        <f t="shared" si="4"/>
        <v>ia.assorted_string like '%36342-01-2024%' or</v>
      </c>
    </row>
    <row r="321" spans="1:5" x14ac:dyDescent="0.25">
      <c r="A321" t="s">
        <v>150</v>
      </c>
      <c r="B321" t="s">
        <v>4003</v>
      </c>
      <c r="D321">
        <v>36361</v>
      </c>
      <c r="E321" t="str">
        <f t="shared" si="4"/>
        <v>ia.assorted_string like '%36361-01-2024%' or</v>
      </c>
    </row>
    <row r="322" spans="1:5" x14ac:dyDescent="0.25">
      <c r="A322" t="s">
        <v>992</v>
      </c>
      <c r="B322" t="s">
        <v>4003</v>
      </c>
      <c r="D322">
        <v>36396</v>
      </c>
      <c r="E322" t="str">
        <f t="shared" ref="E322:E385" si="5">"ia.assorted_string like '%"&amp;D322&amp;B322&amp;"%' or"</f>
        <v>ia.assorted_string like '%36396-01-2024%' or</v>
      </c>
    </row>
    <row r="323" spans="1:5" x14ac:dyDescent="0.25">
      <c r="A323" t="s">
        <v>993</v>
      </c>
      <c r="B323" t="s">
        <v>4003</v>
      </c>
      <c r="D323">
        <v>36397</v>
      </c>
      <c r="E323" t="str">
        <f t="shared" si="5"/>
        <v>ia.assorted_string like '%36397-01-2024%' or</v>
      </c>
    </row>
    <row r="324" spans="1:5" x14ac:dyDescent="0.25">
      <c r="A324" t="s">
        <v>231</v>
      </c>
      <c r="B324" t="s">
        <v>4003</v>
      </c>
      <c r="D324">
        <v>36459</v>
      </c>
      <c r="E324" t="str">
        <f t="shared" si="5"/>
        <v>ia.assorted_string like '%36459-01-2024%' or</v>
      </c>
    </row>
    <row r="325" spans="1:5" x14ac:dyDescent="0.25">
      <c r="A325" t="s">
        <v>979</v>
      </c>
      <c r="B325" t="s">
        <v>4003</v>
      </c>
      <c r="D325">
        <v>36488</v>
      </c>
      <c r="E325" t="str">
        <f t="shared" si="5"/>
        <v>ia.assorted_string like '%36488-01-2024%' or</v>
      </c>
    </row>
    <row r="326" spans="1:5" x14ac:dyDescent="0.25">
      <c r="A326" t="s">
        <v>139</v>
      </c>
      <c r="B326" t="s">
        <v>4003</v>
      </c>
      <c r="D326">
        <v>36532</v>
      </c>
      <c r="E326" t="str">
        <f t="shared" si="5"/>
        <v>ia.assorted_string like '%36532-01-2024%' or</v>
      </c>
    </row>
    <row r="327" spans="1:5" x14ac:dyDescent="0.25">
      <c r="A327" t="s">
        <v>140</v>
      </c>
      <c r="B327" t="s">
        <v>4003</v>
      </c>
      <c r="D327">
        <v>36533</v>
      </c>
      <c r="E327" t="str">
        <f t="shared" si="5"/>
        <v>ia.assorted_string like '%36533-01-2024%' or</v>
      </c>
    </row>
    <row r="328" spans="1:5" x14ac:dyDescent="0.25">
      <c r="A328" t="s">
        <v>141</v>
      </c>
      <c r="B328" t="s">
        <v>4003</v>
      </c>
      <c r="D328">
        <v>36534</v>
      </c>
      <c r="E328" t="str">
        <f t="shared" si="5"/>
        <v>ia.assorted_string like '%36534-01-2024%' or</v>
      </c>
    </row>
    <row r="329" spans="1:5" x14ac:dyDescent="0.25">
      <c r="A329" t="s">
        <v>142</v>
      </c>
      <c r="B329" t="s">
        <v>4003</v>
      </c>
      <c r="D329">
        <v>36535</v>
      </c>
      <c r="E329" t="str">
        <f t="shared" si="5"/>
        <v>ia.assorted_string like '%36535-01-2024%' or</v>
      </c>
    </row>
    <row r="330" spans="1:5" x14ac:dyDescent="0.25">
      <c r="A330" t="s">
        <v>392</v>
      </c>
      <c r="B330" t="s">
        <v>4003</v>
      </c>
      <c r="D330">
        <v>36587</v>
      </c>
      <c r="E330" t="str">
        <f t="shared" si="5"/>
        <v>ia.assorted_string like '%36587-01-2024%' or</v>
      </c>
    </row>
    <row r="331" spans="1:5" x14ac:dyDescent="0.25">
      <c r="A331" t="s">
        <v>812</v>
      </c>
      <c r="B331" t="s">
        <v>4003</v>
      </c>
      <c r="D331">
        <v>36588</v>
      </c>
      <c r="E331" t="str">
        <f t="shared" si="5"/>
        <v>ia.assorted_string like '%36588-01-2024%' or</v>
      </c>
    </row>
    <row r="332" spans="1:5" x14ac:dyDescent="0.25">
      <c r="A332" t="s">
        <v>1165</v>
      </c>
      <c r="B332" t="s">
        <v>4003</v>
      </c>
      <c r="D332">
        <v>36594</v>
      </c>
      <c r="E332" t="str">
        <f t="shared" si="5"/>
        <v>ia.assorted_string like '%36594-01-2024%' or</v>
      </c>
    </row>
    <row r="333" spans="1:5" x14ac:dyDescent="0.25">
      <c r="A333" t="s">
        <v>1024</v>
      </c>
      <c r="B333" t="s">
        <v>4003</v>
      </c>
      <c r="D333">
        <v>36611</v>
      </c>
      <c r="E333" t="str">
        <f t="shared" si="5"/>
        <v>ia.assorted_string like '%36611-01-2024%' or</v>
      </c>
    </row>
    <row r="334" spans="1:5" x14ac:dyDescent="0.25">
      <c r="A334" t="s">
        <v>1191</v>
      </c>
      <c r="B334" t="s">
        <v>4003</v>
      </c>
      <c r="D334">
        <v>36619</v>
      </c>
      <c r="E334" t="str">
        <f t="shared" si="5"/>
        <v>ia.assorted_string like '%36619-01-2024%' or</v>
      </c>
    </row>
    <row r="335" spans="1:5" x14ac:dyDescent="0.25">
      <c r="A335" t="s">
        <v>489</v>
      </c>
      <c r="B335" t="s">
        <v>4003</v>
      </c>
      <c r="D335">
        <v>36719</v>
      </c>
      <c r="E335" t="str">
        <f t="shared" si="5"/>
        <v>ia.assorted_string like '%36719-01-2024%' or</v>
      </c>
    </row>
    <row r="336" spans="1:5" x14ac:dyDescent="0.25">
      <c r="A336" t="s">
        <v>146</v>
      </c>
      <c r="B336" t="s">
        <v>4003</v>
      </c>
      <c r="D336">
        <v>36735</v>
      </c>
      <c r="E336" t="str">
        <f t="shared" si="5"/>
        <v>ia.assorted_string like '%36735-01-2024%' or</v>
      </c>
    </row>
    <row r="337" spans="1:5" x14ac:dyDescent="0.25">
      <c r="A337" t="s">
        <v>1038</v>
      </c>
      <c r="B337" t="s">
        <v>4003</v>
      </c>
      <c r="D337">
        <v>36749</v>
      </c>
      <c r="E337" t="str">
        <f t="shared" si="5"/>
        <v>ia.assorted_string like '%36749-01-2024%' or</v>
      </c>
    </row>
    <row r="338" spans="1:5" x14ac:dyDescent="0.25">
      <c r="A338" t="s">
        <v>583</v>
      </c>
      <c r="B338" t="s">
        <v>4004</v>
      </c>
      <c r="D338">
        <v>36774</v>
      </c>
      <c r="E338" t="str">
        <f t="shared" si="5"/>
        <v>ia.assorted_string like '%36774-02-2024%' or</v>
      </c>
    </row>
    <row r="339" spans="1:5" x14ac:dyDescent="0.25">
      <c r="A339" t="s">
        <v>910</v>
      </c>
      <c r="B339" t="s">
        <v>4004</v>
      </c>
      <c r="D339">
        <v>36854</v>
      </c>
      <c r="E339" t="str">
        <f t="shared" si="5"/>
        <v>ia.assorted_string like '%36854-02-2024%' or</v>
      </c>
    </row>
    <row r="340" spans="1:5" x14ac:dyDescent="0.25">
      <c r="A340" t="s">
        <v>925</v>
      </c>
      <c r="B340" t="s">
        <v>4004</v>
      </c>
      <c r="D340">
        <v>36855</v>
      </c>
      <c r="E340" t="str">
        <f t="shared" si="5"/>
        <v>ia.assorted_string like '%36855-02-2024%' or</v>
      </c>
    </row>
    <row r="341" spans="1:5" x14ac:dyDescent="0.25">
      <c r="A341" t="s">
        <v>1216</v>
      </c>
      <c r="B341" t="s">
        <v>4004</v>
      </c>
      <c r="D341">
        <v>36861</v>
      </c>
      <c r="E341" t="str">
        <f t="shared" si="5"/>
        <v>ia.assorted_string like '%36861-02-2024%' or</v>
      </c>
    </row>
    <row r="342" spans="1:5" x14ac:dyDescent="0.25">
      <c r="A342" t="s">
        <v>239</v>
      </c>
      <c r="B342" t="s">
        <v>4004</v>
      </c>
      <c r="D342">
        <v>36883</v>
      </c>
      <c r="E342" t="str">
        <f t="shared" si="5"/>
        <v>ia.assorted_string like '%36883-02-2024%' or</v>
      </c>
    </row>
    <row r="343" spans="1:5" x14ac:dyDescent="0.25">
      <c r="A343" t="s">
        <v>300</v>
      </c>
      <c r="B343" t="s">
        <v>4004</v>
      </c>
      <c r="D343">
        <v>36885</v>
      </c>
      <c r="E343" t="str">
        <f t="shared" si="5"/>
        <v>ia.assorted_string like '%36885-02-2024%' or</v>
      </c>
    </row>
    <row r="344" spans="1:5" x14ac:dyDescent="0.25">
      <c r="A344" t="s">
        <v>1052</v>
      </c>
      <c r="B344" t="s">
        <v>4004</v>
      </c>
      <c r="D344">
        <v>36909</v>
      </c>
      <c r="E344" t="str">
        <f t="shared" si="5"/>
        <v>ia.assorted_string like '%36909-02-2024%' or</v>
      </c>
    </row>
    <row r="345" spans="1:5" x14ac:dyDescent="0.25">
      <c r="A345" t="s">
        <v>1220</v>
      </c>
      <c r="B345" t="s">
        <v>4004</v>
      </c>
      <c r="D345">
        <v>36912</v>
      </c>
      <c r="E345" t="str">
        <f t="shared" si="5"/>
        <v>ia.assorted_string like '%36912-02-2024%' or</v>
      </c>
    </row>
    <row r="346" spans="1:5" x14ac:dyDescent="0.25">
      <c r="A346" t="s">
        <v>1233</v>
      </c>
      <c r="B346" t="s">
        <v>4004</v>
      </c>
      <c r="D346">
        <v>36913</v>
      </c>
      <c r="E346" t="str">
        <f t="shared" si="5"/>
        <v>ia.assorted_string like '%36913-02-2024%' or</v>
      </c>
    </row>
    <row r="347" spans="1:5" x14ac:dyDescent="0.25">
      <c r="A347" t="s">
        <v>510</v>
      </c>
      <c r="B347" t="s">
        <v>4004</v>
      </c>
      <c r="D347">
        <v>36929</v>
      </c>
      <c r="E347" t="str">
        <f t="shared" si="5"/>
        <v>ia.assorted_string like '%36929-02-2024%' or</v>
      </c>
    </row>
    <row r="348" spans="1:5" x14ac:dyDescent="0.25">
      <c r="A348" t="s">
        <v>165</v>
      </c>
      <c r="B348" t="s">
        <v>4004</v>
      </c>
      <c r="D348">
        <v>36948</v>
      </c>
      <c r="E348" t="str">
        <f t="shared" si="5"/>
        <v>ia.assorted_string like '%36948-02-2024%' or</v>
      </c>
    </row>
    <row r="349" spans="1:5" x14ac:dyDescent="0.25">
      <c r="A349" t="s">
        <v>322</v>
      </c>
      <c r="B349" t="s">
        <v>4004</v>
      </c>
      <c r="D349">
        <v>36956</v>
      </c>
      <c r="E349" t="str">
        <f t="shared" si="5"/>
        <v>ia.assorted_string like '%36956-02-2024%' or</v>
      </c>
    </row>
    <row r="350" spans="1:5" x14ac:dyDescent="0.25">
      <c r="A350" t="s">
        <v>966</v>
      </c>
      <c r="B350" t="s">
        <v>4004</v>
      </c>
      <c r="D350">
        <v>36970</v>
      </c>
      <c r="E350" t="str">
        <f t="shared" si="5"/>
        <v>ia.assorted_string like '%36970-02-2024%' or</v>
      </c>
    </row>
    <row r="351" spans="1:5" x14ac:dyDescent="0.25">
      <c r="A351" t="s">
        <v>1062</v>
      </c>
      <c r="B351" t="s">
        <v>4004</v>
      </c>
      <c r="D351">
        <v>36973</v>
      </c>
      <c r="E351" t="str">
        <f t="shared" si="5"/>
        <v>ia.assorted_string like '%36973-02-2024%' or</v>
      </c>
    </row>
    <row r="352" spans="1:5" x14ac:dyDescent="0.25">
      <c r="A352" t="s">
        <v>938</v>
      </c>
      <c r="B352" t="s">
        <v>4004</v>
      </c>
      <c r="D352">
        <v>37027</v>
      </c>
      <c r="E352" t="str">
        <f t="shared" si="5"/>
        <v>ia.assorted_string like '%37027-02-2024%' or</v>
      </c>
    </row>
    <row r="353" spans="1:5" x14ac:dyDescent="0.25">
      <c r="A353" t="s">
        <v>444</v>
      </c>
      <c r="B353" t="s">
        <v>4004</v>
      </c>
      <c r="D353">
        <v>37063</v>
      </c>
      <c r="E353" t="str">
        <f t="shared" si="5"/>
        <v>ia.assorted_string like '%37063-02-2024%' or</v>
      </c>
    </row>
    <row r="354" spans="1:5" x14ac:dyDescent="0.25">
      <c r="A354" t="s">
        <v>1319</v>
      </c>
      <c r="B354" t="s">
        <v>4004</v>
      </c>
      <c r="D354">
        <v>37076</v>
      </c>
      <c r="E354" t="str">
        <f t="shared" si="5"/>
        <v>ia.assorted_string like '%37076-02-2024%' or</v>
      </c>
    </row>
    <row r="355" spans="1:5" x14ac:dyDescent="0.25">
      <c r="A355" t="s">
        <v>169</v>
      </c>
      <c r="B355" t="s">
        <v>4004</v>
      </c>
      <c r="D355">
        <v>37085</v>
      </c>
      <c r="E355" t="str">
        <f t="shared" si="5"/>
        <v>ia.assorted_string like '%37085-02-2024%' or</v>
      </c>
    </row>
    <row r="356" spans="1:5" x14ac:dyDescent="0.25">
      <c r="A356" t="s">
        <v>1331</v>
      </c>
      <c r="B356" t="s">
        <v>4004</v>
      </c>
      <c r="D356">
        <v>37105</v>
      </c>
      <c r="E356" t="str">
        <f t="shared" si="5"/>
        <v>ia.assorted_string like '%37105-02-2024%' or</v>
      </c>
    </row>
    <row r="357" spans="1:5" x14ac:dyDescent="0.25">
      <c r="A357" t="s">
        <v>111</v>
      </c>
      <c r="B357" t="s">
        <v>4004</v>
      </c>
      <c r="D357">
        <v>37109</v>
      </c>
      <c r="E357" t="str">
        <f t="shared" si="5"/>
        <v>ia.assorted_string like '%37109-02-2024%' or</v>
      </c>
    </row>
    <row r="358" spans="1:5" x14ac:dyDescent="0.25">
      <c r="A358" t="s">
        <v>1332</v>
      </c>
      <c r="B358" t="s">
        <v>4004</v>
      </c>
      <c r="D358">
        <v>37111</v>
      </c>
      <c r="E358" t="str">
        <f t="shared" si="5"/>
        <v>ia.assorted_string like '%37111-02-2024%' or</v>
      </c>
    </row>
    <row r="359" spans="1:5" x14ac:dyDescent="0.25">
      <c r="A359" t="s">
        <v>994</v>
      </c>
      <c r="B359" t="s">
        <v>4004</v>
      </c>
      <c r="D359">
        <v>37234</v>
      </c>
      <c r="E359" t="str">
        <f t="shared" si="5"/>
        <v>ia.assorted_string like '%37234-02-2024%' or</v>
      </c>
    </row>
    <row r="360" spans="1:5" x14ac:dyDescent="0.25">
      <c r="A360" t="s">
        <v>232</v>
      </c>
      <c r="B360" t="s">
        <v>4004</v>
      </c>
      <c r="D360">
        <v>37284</v>
      </c>
      <c r="E360" t="str">
        <f t="shared" si="5"/>
        <v>ia.assorted_string like '%37284-02-2024%' or</v>
      </c>
    </row>
    <row r="361" spans="1:5" x14ac:dyDescent="0.25">
      <c r="A361" t="s">
        <v>1099</v>
      </c>
      <c r="B361" t="s">
        <v>4004</v>
      </c>
      <c r="D361">
        <v>37347</v>
      </c>
      <c r="E361" t="str">
        <f t="shared" si="5"/>
        <v>ia.assorted_string like '%37347-02-2024%' or</v>
      </c>
    </row>
    <row r="362" spans="1:5" x14ac:dyDescent="0.25">
      <c r="A362" t="s">
        <v>1141</v>
      </c>
      <c r="B362" t="s">
        <v>4004</v>
      </c>
      <c r="D362">
        <v>37348</v>
      </c>
      <c r="E362" t="str">
        <f t="shared" si="5"/>
        <v>ia.assorted_string like '%37348-02-2024%' or</v>
      </c>
    </row>
    <row r="363" spans="1:5" x14ac:dyDescent="0.25">
      <c r="A363" t="s">
        <v>980</v>
      </c>
      <c r="B363" t="s">
        <v>4004</v>
      </c>
      <c r="D363">
        <v>37379</v>
      </c>
      <c r="E363" t="str">
        <f t="shared" si="5"/>
        <v>ia.assorted_string like '%37379-02-2024%' or</v>
      </c>
    </row>
    <row r="364" spans="1:5" x14ac:dyDescent="0.25">
      <c r="A364" t="s">
        <v>132</v>
      </c>
      <c r="B364" t="s">
        <v>4004</v>
      </c>
      <c r="D364">
        <v>37420</v>
      </c>
      <c r="E364" t="str">
        <f t="shared" si="5"/>
        <v>ia.assorted_string like '%37420-02-2024%' or</v>
      </c>
    </row>
    <row r="365" spans="1:5" x14ac:dyDescent="0.25">
      <c r="A365" t="s">
        <v>393</v>
      </c>
      <c r="B365" t="s">
        <v>4004</v>
      </c>
      <c r="D365">
        <v>37434</v>
      </c>
      <c r="E365" t="str">
        <f t="shared" si="5"/>
        <v>ia.assorted_string like '%37434-02-2024%' or</v>
      </c>
    </row>
    <row r="366" spans="1:5" x14ac:dyDescent="0.25">
      <c r="A366" t="s">
        <v>409</v>
      </c>
      <c r="B366" t="s">
        <v>4004</v>
      </c>
      <c r="D366">
        <v>37436</v>
      </c>
      <c r="E366" t="str">
        <f t="shared" si="5"/>
        <v>ia.assorted_string like '%37436-02-2024%' or</v>
      </c>
    </row>
    <row r="367" spans="1:5" x14ac:dyDescent="0.25">
      <c r="A367" t="s">
        <v>813</v>
      </c>
      <c r="B367" t="s">
        <v>4004</v>
      </c>
      <c r="D367">
        <v>37445</v>
      </c>
      <c r="E367" t="str">
        <f t="shared" si="5"/>
        <v>ia.assorted_string like '%37445-02-2024%' or</v>
      </c>
    </row>
    <row r="368" spans="1:5" x14ac:dyDescent="0.25">
      <c r="A368" t="s">
        <v>1025</v>
      </c>
      <c r="B368" t="s">
        <v>4004</v>
      </c>
      <c r="D368">
        <v>37452</v>
      </c>
      <c r="E368" t="str">
        <f t="shared" si="5"/>
        <v>ia.assorted_string like '%37452-02-2024%' or</v>
      </c>
    </row>
    <row r="369" spans="1:5" x14ac:dyDescent="0.25">
      <c r="A369" t="s">
        <v>1166</v>
      </c>
      <c r="B369" t="s">
        <v>4004</v>
      </c>
      <c r="D369">
        <v>37461</v>
      </c>
      <c r="E369" t="str">
        <f t="shared" si="5"/>
        <v>ia.assorted_string like '%37461-02-2024%' or</v>
      </c>
    </row>
    <row r="370" spans="1:5" x14ac:dyDescent="0.25">
      <c r="A370" t="s">
        <v>1192</v>
      </c>
      <c r="B370" t="s">
        <v>4004</v>
      </c>
      <c r="D370">
        <v>37464</v>
      </c>
      <c r="E370" t="str">
        <f t="shared" si="5"/>
        <v>ia.assorted_string like '%37464-02-2024%' or</v>
      </c>
    </row>
    <row r="371" spans="1:5" x14ac:dyDescent="0.25">
      <c r="A371" t="s">
        <v>1403</v>
      </c>
      <c r="B371" t="s">
        <v>4004</v>
      </c>
      <c r="D371">
        <v>37472</v>
      </c>
      <c r="E371" t="str">
        <f t="shared" si="5"/>
        <v>ia.assorted_string like '%37472-02-2024%' or</v>
      </c>
    </row>
    <row r="372" spans="1:5" x14ac:dyDescent="0.25">
      <c r="A372" t="s">
        <v>490</v>
      </c>
      <c r="B372" t="s">
        <v>4005</v>
      </c>
      <c r="D372">
        <v>37616</v>
      </c>
      <c r="E372" t="str">
        <f t="shared" si="5"/>
        <v>ia.assorted_string like '%37616-03-2024%' or</v>
      </c>
    </row>
    <row r="373" spans="1:5" x14ac:dyDescent="0.25">
      <c r="A373" t="s">
        <v>584</v>
      </c>
      <c r="B373" t="s">
        <v>4005</v>
      </c>
      <c r="D373">
        <v>37620</v>
      </c>
      <c r="E373" t="str">
        <f t="shared" si="5"/>
        <v>ia.assorted_string like '%37620-03-2024%' or</v>
      </c>
    </row>
    <row r="374" spans="1:5" x14ac:dyDescent="0.25">
      <c r="A374" t="s">
        <v>598</v>
      </c>
      <c r="B374" t="s">
        <v>4005</v>
      </c>
      <c r="D374">
        <v>37621</v>
      </c>
      <c r="E374" t="str">
        <f t="shared" si="5"/>
        <v>ia.assorted_string like '%37621-03-2024%' or</v>
      </c>
    </row>
    <row r="375" spans="1:5" x14ac:dyDescent="0.25">
      <c r="A375" t="s">
        <v>226</v>
      </c>
      <c r="B375" t="s">
        <v>4005</v>
      </c>
      <c r="D375">
        <v>37673</v>
      </c>
      <c r="E375" t="str">
        <f t="shared" si="5"/>
        <v>ia.assorted_string like '%37673-03-2024%' or</v>
      </c>
    </row>
    <row r="376" spans="1:5" x14ac:dyDescent="0.25">
      <c r="A376" t="s">
        <v>911</v>
      </c>
      <c r="B376" t="s">
        <v>4005</v>
      </c>
      <c r="D376">
        <v>37691</v>
      </c>
      <c r="E376" t="str">
        <f t="shared" si="5"/>
        <v>ia.assorted_string like '%37691-03-2024%' or</v>
      </c>
    </row>
    <row r="377" spans="1:5" x14ac:dyDescent="0.25">
      <c r="A377" t="s">
        <v>926</v>
      </c>
      <c r="B377" t="s">
        <v>4005</v>
      </c>
      <c r="D377">
        <v>37692</v>
      </c>
      <c r="E377" t="str">
        <f t="shared" si="5"/>
        <v>ia.assorted_string like '%37692-03-2024%' or</v>
      </c>
    </row>
    <row r="378" spans="1:5" x14ac:dyDescent="0.25">
      <c r="A378" t="s">
        <v>1217</v>
      </c>
      <c r="B378" t="s">
        <v>4005</v>
      </c>
      <c r="D378">
        <v>37706</v>
      </c>
      <c r="E378" t="str">
        <f t="shared" si="5"/>
        <v>ia.assorted_string like '%37706-03-2024%' or</v>
      </c>
    </row>
    <row r="379" spans="1:5" x14ac:dyDescent="0.25">
      <c r="A379" t="s">
        <v>240</v>
      </c>
      <c r="B379" t="s">
        <v>4005</v>
      </c>
      <c r="D379">
        <v>37742</v>
      </c>
      <c r="E379" t="str">
        <f t="shared" si="5"/>
        <v>ia.assorted_string like '%37742-03-2024%' or</v>
      </c>
    </row>
    <row r="380" spans="1:5" x14ac:dyDescent="0.25">
      <c r="A380" t="s">
        <v>767</v>
      </c>
      <c r="B380" t="s">
        <v>4005</v>
      </c>
      <c r="D380">
        <v>37749</v>
      </c>
      <c r="E380" t="str">
        <f t="shared" si="5"/>
        <v>ia.assorted_string like '%37749-03-2024%' or</v>
      </c>
    </row>
    <row r="381" spans="1:5" x14ac:dyDescent="0.25">
      <c r="A381" t="s">
        <v>799</v>
      </c>
      <c r="B381" t="s">
        <v>4005</v>
      </c>
      <c r="D381">
        <v>37751</v>
      </c>
      <c r="E381" t="str">
        <f t="shared" si="5"/>
        <v>ia.assorted_string like '%37751-03-2024%' or</v>
      </c>
    </row>
    <row r="382" spans="1:5" x14ac:dyDescent="0.25">
      <c r="A382" t="s">
        <v>1053</v>
      </c>
      <c r="B382" t="s">
        <v>4005</v>
      </c>
      <c r="D382">
        <v>37754</v>
      </c>
      <c r="E382" t="str">
        <f t="shared" si="5"/>
        <v>ia.assorted_string like '%37754-03-2024%' or</v>
      </c>
    </row>
    <row r="383" spans="1:5" x14ac:dyDescent="0.25">
      <c r="A383" t="s">
        <v>1221</v>
      </c>
      <c r="B383" t="s">
        <v>4005</v>
      </c>
      <c r="D383">
        <v>37757</v>
      </c>
      <c r="E383" t="str">
        <f t="shared" si="5"/>
        <v>ia.assorted_string like '%37757-03-2024%' or</v>
      </c>
    </row>
    <row r="384" spans="1:5" x14ac:dyDescent="0.25">
      <c r="A384" t="s">
        <v>1234</v>
      </c>
      <c r="B384" t="s">
        <v>4005</v>
      </c>
      <c r="D384">
        <v>37758</v>
      </c>
      <c r="E384" t="str">
        <f t="shared" si="5"/>
        <v>ia.assorted_string like '%37758-03-2024%' or</v>
      </c>
    </row>
    <row r="385" spans="1:5" x14ac:dyDescent="0.25">
      <c r="A385" t="s">
        <v>788</v>
      </c>
      <c r="B385" t="s">
        <v>4005</v>
      </c>
      <c r="D385">
        <v>37795</v>
      </c>
      <c r="E385" t="str">
        <f t="shared" si="5"/>
        <v>ia.assorted_string like '%37795-03-2024%' or</v>
      </c>
    </row>
    <row r="386" spans="1:5" x14ac:dyDescent="0.25">
      <c r="A386" t="s">
        <v>804</v>
      </c>
      <c r="B386" t="s">
        <v>4005</v>
      </c>
      <c r="D386">
        <v>37796</v>
      </c>
      <c r="E386" t="str">
        <f t="shared" ref="E386:E449" si="6">"ia.assorted_string like '%"&amp;D386&amp;B386&amp;"%' or"</f>
        <v>ia.assorted_string like '%37796-03-2024%' or</v>
      </c>
    </row>
    <row r="387" spans="1:5" x14ac:dyDescent="0.25">
      <c r="A387" t="s">
        <v>1430</v>
      </c>
      <c r="B387" t="s">
        <v>4005</v>
      </c>
      <c r="D387">
        <v>37799</v>
      </c>
      <c r="E387" t="str">
        <f t="shared" si="6"/>
        <v>ia.assorted_string like '%37799-03-2024%' or</v>
      </c>
    </row>
    <row r="388" spans="1:5" x14ac:dyDescent="0.25">
      <c r="A388" t="s">
        <v>501</v>
      </c>
      <c r="B388" t="s">
        <v>4005</v>
      </c>
      <c r="D388">
        <v>37822</v>
      </c>
      <c r="E388" t="str">
        <f t="shared" si="6"/>
        <v>ia.assorted_string like '%37822-03-2024%' or</v>
      </c>
    </row>
    <row r="389" spans="1:5" x14ac:dyDescent="0.25">
      <c r="A389" t="s">
        <v>511</v>
      </c>
      <c r="B389" t="s">
        <v>4005</v>
      </c>
      <c r="D389">
        <v>37823</v>
      </c>
      <c r="E389" t="str">
        <f t="shared" si="6"/>
        <v>ia.assorted_string like '%37823-03-2024%' or</v>
      </c>
    </row>
    <row r="390" spans="1:5" x14ac:dyDescent="0.25">
      <c r="A390" t="s">
        <v>555</v>
      </c>
      <c r="B390" t="s">
        <v>4005</v>
      </c>
      <c r="D390">
        <v>37824</v>
      </c>
      <c r="E390" t="str">
        <f t="shared" si="6"/>
        <v>ia.assorted_string like '%37824-03-2024%' or</v>
      </c>
    </row>
    <row r="391" spans="1:5" x14ac:dyDescent="0.25">
      <c r="A391" t="s">
        <v>309</v>
      </c>
      <c r="B391" t="s">
        <v>4005</v>
      </c>
      <c r="D391">
        <v>37841</v>
      </c>
      <c r="E391" t="str">
        <f t="shared" si="6"/>
        <v>ia.assorted_string like '%37841-03-2024%' or</v>
      </c>
    </row>
    <row r="392" spans="1:5" x14ac:dyDescent="0.25">
      <c r="A392" t="s">
        <v>323</v>
      </c>
      <c r="B392" t="s">
        <v>4005</v>
      </c>
      <c r="D392">
        <v>37844</v>
      </c>
      <c r="E392" t="str">
        <f t="shared" si="6"/>
        <v>ia.assorted_string like '%37844-03-2024%' or</v>
      </c>
    </row>
    <row r="393" spans="1:5" x14ac:dyDescent="0.25">
      <c r="A393" t="s">
        <v>967</v>
      </c>
      <c r="B393" t="s">
        <v>4005</v>
      </c>
      <c r="D393">
        <v>37849</v>
      </c>
      <c r="E393" t="str">
        <f t="shared" si="6"/>
        <v>ia.assorted_string like '%37849-03-2024%' or</v>
      </c>
    </row>
    <row r="394" spans="1:5" x14ac:dyDescent="0.25">
      <c r="A394" t="s">
        <v>1063</v>
      </c>
      <c r="B394" t="s">
        <v>4005</v>
      </c>
      <c r="D394">
        <v>37851</v>
      </c>
      <c r="E394" t="str">
        <f t="shared" si="6"/>
        <v>ia.assorted_string like '%37851-03-2024%' or</v>
      </c>
    </row>
    <row r="395" spans="1:5" x14ac:dyDescent="0.25">
      <c r="A395" t="s">
        <v>646</v>
      </c>
      <c r="B395" t="s">
        <v>4005</v>
      </c>
      <c r="D395">
        <v>37888</v>
      </c>
      <c r="E395" t="str">
        <f t="shared" si="6"/>
        <v>ia.assorted_string like '%37888-03-2024%' or</v>
      </c>
    </row>
    <row r="396" spans="1:5" x14ac:dyDescent="0.25">
      <c r="A396" t="s">
        <v>939</v>
      </c>
      <c r="B396" t="s">
        <v>4005</v>
      </c>
      <c r="D396">
        <v>37894</v>
      </c>
      <c r="E396" t="str">
        <f t="shared" si="6"/>
        <v>ia.assorted_string like '%37894-03-2024%' or</v>
      </c>
    </row>
    <row r="397" spans="1:5" x14ac:dyDescent="0.25">
      <c r="A397" t="s">
        <v>445</v>
      </c>
      <c r="B397" t="s">
        <v>4005</v>
      </c>
      <c r="D397">
        <v>37926</v>
      </c>
      <c r="E397" t="str">
        <f t="shared" si="6"/>
        <v>ia.assorted_string like '%37926-03-2024%' or</v>
      </c>
    </row>
    <row r="398" spans="1:5" x14ac:dyDescent="0.25">
      <c r="A398" t="s">
        <v>1320</v>
      </c>
      <c r="B398" t="s">
        <v>4005</v>
      </c>
      <c r="D398">
        <v>37983</v>
      </c>
      <c r="E398" t="str">
        <f t="shared" si="6"/>
        <v>ia.assorted_string like '%37983-03-2024%' or</v>
      </c>
    </row>
    <row r="399" spans="1:5" x14ac:dyDescent="0.25">
      <c r="A399" t="s">
        <v>1321</v>
      </c>
      <c r="B399" t="s">
        <v>4005</v>
      </c>
      <c r="D399">
        <v>37984</v>
      </c>
      <c r="E399" t="str">
        <f t="shared" si="6"/>
        <v>ia.assorted_string like '%37984-03-2024%' or</v>
      </c>
    </row>
    <row r="400" spans="1:5" x14ac:dyDescent="0.25">
      <c r="A400" t="s">
        <v>1454</v>
      </c>
      <c r="B400" t="s">
        <v>4005</v>
      </c>
      <c r="D400">
        <v>37985</v>
      </c>
      <c r="E400" t="str">
        <f t="shared" si="6"/>
        <v>ia.assorted_string like '%37985-03-2024%' or</v>
      </c>
    </row>
    <row r="401" spans="1:5" x14ac:dyDescent="0.25">
      <c r="A401" t="s">
        <v>336</v>
      </c>
      <c r="B401" t="s">
        <v>4005</v>
      </c>
      <c r="D401">
        <v>37999</v>
      </c>
      <c r="E401" t="str">
        <f t="shared" si="6"/>
        <v>ia.assorted_string like '%37999-03-2024%' or</v>
      </c>
    </row>
    <row r="402" spans="1:5" x14ac:dyDescent="0.25">
      <c r="A402" t="s">
        <v>656</v>
      </c>
      <c r="B402" t="s">
        <v>4005</v>
      </c>
      <c r="D402">
        <v>38024</v>
      </c>
      <c r="E402" t="str">
        <f t="shared" si="6"/>
        <v>ia.assorted_string like '%38024-03-2024%' or</v>
      </c>
    </row>
    <row r="403" spans="1:5" x14ac:dyDescent="0.25">
      <c r="A403" t="s">
        <v>352</v>
      </c>
      <c r="B403" t="s">
        <v>4005</v>
      </c>
      <c r="D403">
        <v>38039</v>
      </c>
      <c r="E403" t="str">
        <f t="shared" si="6"/>
        <v>ia.assorted_string like '%38039-03-2024%' or</v>
      </c>
    </row>
    <row r="404" spans="1:5" x14ac:dyDescent="0.25">
      <c r="A404" t="s">
        <v>1120</v>
      </c>
      <c r="B404" t="s">
        <v>4005</v>
      </c>
      <c r="D404">
        <v>38053</v>
      </c>
      <c r="E404" t="str">
        <f t="shared" si="6"/>
        <v>ia.assorted_string like '%38053-03-2024%' or</v>
      </c>
    </row>
    <row r="405" spans="1:5" x14ac:dyDescent="0.25">
      <c r="A405" t="s">
        <v>434</v>
      </c>
      <c r="B405" t="s">
        <v>4005</v>
      </c>
      <c r="D405">
        <v>38084</v>
      </c>
      <c r="E405" t="str">
        <f t="shared" si="6"/>
        <v>ia.assorted_string like '%38084-03-2024%' or</v>
      </c>
    </row>
    <row r="406" spans="1:5" x14ac:dyDescent="0.25">
      <c r="A406" t="s">
        <v>995</v>
      </c>
      <c r="B406" t="s">
        <v>4005</v>
      </c>
      <c r="D406">
        <v>38088</v>
      </c>
      <c r="E406" t="str">
        <f t="shared" si="6"/>
        <v>ia.assorted_string like '%38088-03-2024%' or</v>
      </c>
    </row>
    <row r="407" spans="1:5" x14ac:dyDescent="0.25">
      <c r="A407" t="s">
        <v>1380</v>
      </c>
      <c r="B407" t="s">
        <v>4005</v>
      </c>
      <c r="D407">
        <v>38092</v>
      </c>
      <c r="E407" t="str">
        <f t="shared" si="6"/>
        <v>ia.assorted_string like '%38092-03-2024%' or</v>
      </c>
    </row>
    <row r="408" spans="1:5" x14ac:dyDescent="0.25">
      <c r="A408" t="s">
        <v>371</v>
      </c>
      <c r="B408" t="s">
        <v>4005</v>
      </c>
      <c r="D408">
        <v>38118</v>
      </c>
      <c r="E408" t="str">
        <f t="shared" si="6"/>
        <v>ia.assorted_string like '%38118-03-2024%' or</v>
      </c>
    </row>
    <row r="409" spans="1:5" x14ac:dyDescent="0.25">
      <c r="A409" t="s">
        <v>688</v>
      </c>
      <c r="B409" t="s">
        <v>4005</v>
      </c>
      <c r="D409">
        <v>38120</v>
      </c>
      <c r="E409" t="str">
        <f t="shared" si="6"/>
        <v>ia.assorted_string like '%38120-03-2024%' or</v>
      </c>
    </row>
    <row r="410" spans="1:5" x14ac:dyDescent="0.25">
      <c r="A410" t="s">
        <v>233</v>
      </c>
      <c r="B410" t="s">
        <v>4005</v>
      </c>
      <c r="D410">
        <v>38227</v>
      </c>
      <c r="E410" t="str">
        <f t="shared" si="6"/>
        <v>ia.assorted_string like '%38227-03-2024%' or</v>
      </c>
    </row>
    <row r="411" spans="1:5" x14ac:dyDescent="0.25">
      <c r="A411" t="s">
        <v>698</v>
      </c>
      <c r="B411" t="s">
        <v>4005</v>
      </c>
      <c r="D411">
        <v>38246</v>
      </c>
      <c r="E411" t="str">
        <f t="shared" si="6"/>
        <v>ia.assorted_string like '%38246-03-2024%' or</v>
      </c>
    </row>
    <row r="412" spans="1:5" x14ac:dyDescent="0.25">
      <c r="A412" t="s">
        <v>847</v>
      </c>
      <c r="B412" t="s">
        <v>4005</v>
      </c>
      <c r="D412">
        <v>38248</v>
      </c>
      <c r="E412" t="str">
        <f t="shared" si="6"/>
        <v>ia.assorted_string like '%38248-03-2024%' or</v>
      </c>
    </row>
    <row r="413" spans="1:5" x14ac:dyDescent="0.25">
      <c r="A413" t="s">
        <v>1142</v>
      </c>
      <c r="B413" t="s">
        <v>4005</v>
      </c>
      <c r="D413">
        <v>38254</v>
      </c>
      <c r="E413" t="str">
        <f t="shared" si="6"/>
        <v>ia.assorted_string like '%38254-03-2024%' or</v>
      </c>
    </row>
    <row r="414" spans="1:5" x14ac:dyDescent="0.25">
      <c r="A414" t="s">
        <v>1481</v>
      </c>
      <c r="B414" t="s">
        <v>4005</v>
      </c>
      <c r="D414">
        <v>38258</v>
      </c>
      <c r="E414" t="str">
        <f t="shared" si="6"/>
        <v>ia.assorted_string like '%38258-03-2024%' or</v>
      </c>
    </row>
    <row r="415" spans="1:5" x14ac:dyDescent="0.25">
      <c r="A415" t="s">
        <v>471</v>
      </c>
      <c r="B415" t="s">
        <v>4005</v>
      </c>
      <c r="D415">
        <v>38279</v>
      </c>
      <c r="E415" t="str">
        <f t="shared" si="6"/>
        <v>ia.assorted_string like '%38279-03-2024%' or</v>
      </c>
    </row>
    <row r="416" spans="1:5" x14ac:dyDescent="0.25">
      <c r="A416" t="s">
        <v>981</v>
      </c>
      <c r="B416" t="s">
        <v>4005</v>
      </c>
      <c r="D416">
        <v>38282</v>
      </c>
      <c r="E416" t="str">
        <f t="shared" si="6"/>
        <v>ia.assorted_string like '%38282-03-2024%' or</v>
      </c>
    </row>
    <row r="417" spans="1:5" x14ac:dyDescent="0.25">
      <c r="A417" t="s">
        <v>1006</v>
      </c>
      <c r="B417" t="s">
        <v>4005</v>
      </c>
      <c r="D417">
        <v>38285</v>
      </c>
      <c r="E417" t="str">
        <f t="shared" si="6"/>
        <v>ia.assorted_string like '%38285-03-2024%' or</v>
      </c>
    </row>
    <row r="418" spans="1:5" x14ac:dyDescent="0.25">
      <c r="A418" t="s">
        <v>1486</v>
      </c>
      <c r="B418" t="s">
        <v>4005</v>
      </c>
      <c r="D418">
        <v>38293</v>
      </c>
      <c r="E418" t="str">
        <f t="shared" si="6"/>
        <v>ia.assorted_string like '%38293-03-2024%' or</v>
      </c>
    </row>
    <row r="419" spans="1:5" x14ac:dyDescent="0.25">
      <c r="A419" t="s">
        <v>252</v>
      </c>
      <c r="B419" t="s">
        <v>4005</v>
      </c>
      <c r="D419">
        <v>38295</v>
      </c>
      <c r="E419" t="str">
        <f t="shared" si="6"/>
        <v>ia.assorted_string like '%38295-03-2024%' or</v>
      </c>
    </row>
    <row r="420" spans="1:5" x14ac:dyDescent="0.25">
      <c r="A420" t="s">
        <v>459</v>
      </c>
      <c r="B420" t="s">
        <v>4005</v>
      </c>
      <c r="D420">
        <v>38305</v>
      </c>
      <c r="E420" t="str">
        <f t="shared" si="6"/>
        <v>ia.assorted_string like '%38305-03-2024%' or</v>
      </c>
    </row>
    <row r="421" spans="1:5" x14ac:dyDescent="0.25">
      <c r="A421" t="s">
        <v>1370</v>
      </c>
      <c r="B421" t="s">
        <v>4005</v>
      </c>
      <c r="D421">
        <v>38310</v>
      </c>
      <c r="E421" t="str">
        <f t="shared" si="6"/>
        <v>ia.assorted_string like '%38310-03-2024%' or</v>
      </c>
    </row>
    <row r="422" spans="1:5" x14ac:dyDescent="0.25">
      <c r="A422" t="s">
        <v>1404</v>
      </c>
      <c r="B422" t="s">
        <v>4005</v>
      </c>
      <c r="D422">
        <v>38333</v>
      </c>
      <c r="E422" t="str">
        <f t="shared" si="6"/>
        <v>ia.assorted_string like '%38333-03-2024%' or</v>
      </c>
    </row>
    <row r="423" spans="1:5" x14ac:dyDescent="0.25">
      <c r="A423" t="s">
        <v>219</v>
      </c>
      <c r="B423" t="s">
        <v>4005</v>
      </c>
      <c r="D423">
        <v>38368</v>
      </c>
      <c r="E423" t="str">
        <f t="shared" si="6"/>
        <v>ia.assorted_string like '%38368-03-2024%' or</v>
      </c>
    </row>
    <row r="424" spans="1:5" x14ac:dyDescent="0.25">
      <c r="A424" t="s">
        <v>394</v>
      </c>
      <c r="B424" t="s">
        <v>4005</v>
      </c>
      <c r="D424">
        <v>38372</v>
      </c>
      <c r="E424" t="str">
        <f t="shared" si="6"/>
        <v>ia.assorted_string like '%38372-03-2024%' or</v>
      </c>
    </row>
    <row r="425" spans="1:5" x14ac:dyDescent="0.25">
      <c r="A425" t="s">
        <v>814</v>
      </c>
      <c r="B425" t="s">
        <v>4005</v>
      </c>
      <c r="D425">
        <v>38373</v>
      </c>
      <c r="E425" t="str">
        <f t="shared" si="6"/>
        <v>ia.assorted_string like '%38373-03-2024%' or</v>
      </c>
    </row>
    <row r="426" spans="1:5" x14ac:dyDescent="0.25">
      <c r="A426" t="s">
        <v>1167</v>
      </c>
      <c r="B426" t="s">
        <v>4005</v>
      </c>
      <c r="D426">
        <v>38378</v>
      </c>
      <c r="E426" t="str">
        <f t="shared" si="6"/>
        <v>ia.assorted_string like '%38378-03-2024%' or</v>
      </c>
    </row>
    <row r="427" spans="1:5" x14ac:dyDescent="0.25">
      <c r="A427" t="s">
        <v>135</v>
      </c>
      <c r="B427" t="s">
        <v>4005</v>
      </c>
      <c r="D427">
        <v>38388</v>
      </c>
      <c r="E427" t="str">
        <f t="shared" si="6"/>
        <v>ia.assorted_string like '%38388-03-2024%' or</v>
      </c>
    </row>
    <row r="428" spans="1:5" x14ac:dyDescent="0.25">
      <c r="A428" t="s">
        <v>1026</v>
      </c>
      <c r="B428" t="s">
        <v>4005</v>
      </c>
      <c r="D428">
        <v>38398</v>
      </c>
      <c r="E428" t="str">
        <f t="shared" si="6"/>
        <v>ia.assorted_string like '%38398-03-2024%' or</v>
      </c>
    </row>
    <row r="429" spans="1:5" x14ac:dyDescent="0.25">
      <c r="A429" t="s">
        <v>1193</v>
      </c>
      <c r="B429" t="s">
        <v>4005</v>
      </c>
      <c r="D429">
        <v>38405</v>
      </c>
      <c r="E429" t="str">
        <f t="shared" si="6"/>
        <v>ia.assorted_string like '%38405-03-2024%' or</v>
      </c>
    </row>
    <row r="430" spans="1:5" x14ac:dyDescent="0.25">
      <c r="A430" t="s">
        <v>1203</v>
      </c>
      <c r="B430" t="s">
        <v>4005</v>
      </c>
      <c r="D430">
        <v>38406</v>
      </c>
      <c r="E430" t="str">
        <f t="shared" si="6"/>
        <v>ia.assorted_string like '%38406-03-2024%' or</v>
      </c>
    </row>
    <row r="431" spans="1:5" x14ac:dyDescent="0.25">
      <c r="A431" t="s">
        <v>1526</v>
      </c>
      <c r="B431" t="s">
        <v>4005</v>
      </c>
      <c r="D431">
        <v>38409</v>
      </c>
      <c r="E431" t="str">
        <f t="shared" si="6"/>
        <v>ia.assorted_string like '%38409-03-2024%' or</v>
      </c>
    </row>
    <row r="432" spans="1:5" x14ac:dyDescent="0.25">
      <c r="A432" t="s">
        <v>1534</v>
      </c>
      <c r="B432" t="s">
        <v>4005</v>
      </c>
      <c r="D432">
        <v>38410</v>
      </c>
      <c r="E432" t="str">
        <f t="shared" si="6"/>
        <v>ia.assorted_string like '%38410-03-2024%' or</v>
      </c>
    </row>
    <row r="433" spans="1:5" x14ac:dyDescent="0.25">
      <c r="A433" t="s">
        <v>1520</v>
      </c>
      <c r="B433" t="s">
        <v>4005</v>
      </c>
      <c r="D433">
        <v>38443</v>
      </c>
      <c r="E433" t="str">
        <f t="shared" si="6"/>
        <v>ia.assorted_string like '%38443-03-2024%' or</v>
      </c>
    </row>
    <row r="434" spans="1:5" x14ac:dyDescent="0.25">
      <c r="A434" t="s">
        <v>280</v>
      </c>
      <c r="B434" t="s">
        <v>4006</v>
      </c>
      <c r="D434">
        <v>38482</v>
      </c>
      <c r="E434" t="str">
        <f t="shared" si="6"/>
        <v>ia.assorted_string like '%38482-04-2024%' or</v>
      </c>
    </row>
    <row r="435" spans="1:5" x14ac:dyDescent="0.25">
      <c r="A435" t="s">
        <v>285</v>
      </c>
      <c r="B435" t="s">
        <v>4006</v>
      </c>
      <c r="D435">
        <v>38483</v>
      </c>
      <c r="E435" t="str">
        <f t="shared" si="6"/>
        <v>ia.assorted_string like '%38483-04-2024%' or</v>
      </c>
    </row>
    <row r="436" spans="1:5" x14ac:dyDescent="0.25">
      <c r="A436" t="s">
        <v>286</v>
      </c>
      <c r="B436" t="s">
        <v>4006</v>
      </c>
      <c r="D436">
        <v>38484</v>
      </c>
      <c r="E436" t="str">
        <f t="shared" si="6"/>
        <v>ia.assorted_string like '%38484-04-2024%' or</v>
      </c>
    </row>
    <row r="437" spans="1:5" x14ac:dyDescent="0.25">
      <c r="A437" t="s">
        <v>491</v>
      </c>
      <c r="B437" t="s">
        <v>4006</v>
      </c>
      <c r="D437">
        <v>38490</v>
      </c>
      <c r="E437" t="str">
        <f t="shared" si="6"/>
        <v>ia.assorted_string like '%38490-04-2024%' or</v>
      </c>
    </row>
    <row r="438" spans="1:5" x14ac:dyDescent="0.25">
      <c r="A438" t="s">
        <v>585</v>
      </c>
      <c r="B438" t="s">
        <v>4006</v>
      </c>
      <c r="D438">
        <v>38495</v>
      </c>
      <c r="E438" t="str">
        <f t="shared" si="6"/>
        <v>ia.assorted_string like '%38495-04-2024%' or</v>
      </c>
    </row>
    <row r="439" spans="1:5" x14ac:dyDescent="0.25">
      <c r="A439" t="s">
        <v>599</v>
      </c>
      <c r="B439" t="s">
        <v>4006</v>
      </c>
      <c r="D439">
        <v>38496</v>
      </c>
      <c r="E439" t="str">
        <f t="shared" si="6"/>
        <v>ia.assorted_string like '%38496-04-2024%' or</v>
      </c>
    </row>
    <row r="440" spans="1:5" x14ac:dyDescent="0.25">
      <c r="A440" t="s">
        <v>1549</v>
      </c>
      <c r="B440" t="s">
        <v>4006</v>
      </c>
      <c r="D440">
        <v>38523</v>
      </c>
      <c r="E440" t="str">
        <f t="shared" si="6"/>
        <v>ia.assorted_string like '%38523-04-2024%' or</v>
      </c>
    </row>
    <row r="441" spans="1:5" x14ac:dyDescent="0.25">
      <c r="A441" t="s">
        <v>183</v>
      </c>
      <c r="B441" t="s">
        <v>4006</v>
      </c>
      <c r="D441">
        <v>38538</v>
      </c>
      <c r="E441" t="str">
        <f t="shared" si="6"/>
        <v>ia.assorted_string like '%38538-04-2024%' or</v>
      </c>
    </row>
    <row r="442" spans="1:5" x14ac:dyDescent="0.25">
      <c r="A442" t="s">
        <v>191</v>
      </c>
      <c r="B442" t="s">
        <v>4006</v>
      </c>
      <c r="D442">
        <v>38539</v>
      </c>
      <c r="E442" t="str">
        <f t="shared" si="6"/>
        <v>ia.assorted_string like '%38539-04-2024%' or</v>
      </c>
    </row>
    <row r="443" spans="1:5" x14ac:dyDescent="0.25">
      <c r="A443" t="s">
        <v>227</v>
      </c>
      <c r="B443" t="s">
        <v>4006</v>
      </c>
      <c r="D443">
        <v>38574</v>
      </c>
      <c r="E443" t="str">
        <f t="shared" si="6"/>
        <v>ia.assorted_string like '%38574-04-2024%' or</v>
      </c>
    </row>
    <row r="444" spans="1:5" x14ac:dyDescent="0.25">
      <c r="A444" t="s">
        <v>927</v>
      </c>
      <c r="B444" t="s">
        <v>4006</v>
      </c>
      <c r="D444">
        <v>38577</v>
      </c>
      <c r="E444" t="str">
        <f t="shared" si="6"/>
        <v>ia.assorted_string like '%38577-04-2024%' or</v>
      </c>
    </row>
    <row r="445" spans="1:5" x14ac:dyDescent="0.25">
      <c r="A445" t="s">
        <v>186</v>
      </c>
      <c r="B445" t="s">
        <v>4006</v>
      </c>
      <c r="D445">
        <v>40483</v>
      </c>
      <c r="E445" t="str">
        <f t="shared" si="6"/>
        <v>ia.assorted_string like '%40483-04-2024%' or</v>
      </c>
    </row>
    <row r="446" spans="1:5" x14ac:dyDescent="0.25">
      <c r="A446" t="s">
        <v>188</v>
      </c>
      <c r="B446" t="s">
        <v>4006</v>
      </c>
      <c r="D446">
        <v>40484</v>
      </c>
      <c r="E446" t="str">
        <f t="shared" si="6"/>
        <v>ia.assorted_string like '%40484-04-2024%' or</v>
      </c>
    </row>
    <row r="447" spans="1:5" x14ac:dyDescent="0.25">
      <c r="A447" t="s">
        <v>912</v>
      </c>
      <c r="B447" t="s">
        <v>4006</v>
      </c>
      <c r="D447">
        <v>40493</v>
      </c>
      <c r="E447" t="str">
        <f t="shared" si="6"/>
        <v>ia.assorted_string like '%40493-04-2024%' or</v>
      </c>
    </row>
    <row r="448" spans="1:5" x14ac:dyDescent="0.25">
      <c r="A448" t="s">
        <v>419</v>
      </c>
      <c r="B448" t="s">
        <v>4006</v>
      </c>
      <c r="D448">
        <v>40513</v>
      </c>
      <c r="E448" t="str">
        <f t="shared" si="6"/>
        <v>ia.assorted_string like '%40513-04-2024%' or</v>
      </c>
    </row>
    <row r="449" spans="1:5" x14ac:dyDescent="0.25">
      <c r="A449" t="s">
        <v>768</v>
      </c>
      <c r="B449" t="s">
        <v>4006</v>
      </c>
      <c r="D449">
        <v>40517</v>
      </c>
      <c r="E449" t="str">
        <f t="shared" si="6"/>
        <v>ia.assorted_string like '%40517-04-2024%' or</v>
      </c>
    </row>
    <row r="450" spans="1:5" x14ac:dyDescent="0.25">
      <c r="A450" t="s">
        <v>1054</v>
      </c>
      <c r="B450" t="s">
        <v>4006</v>
      </c>
      <c r="D450">
        <v>40521</v>
      </c>
      <c r="E450" t="str">
        <f t="shared" ref="E450:E513" si="7">"ia.assorted_string like '%"&amp;D450&amp;B450&amp;"%' or"</f>
        <v>ia.assorted_string like '%40521-04-2024%' or</v>
      </c>
    </row>
    <row r="451" spans="1:5" x14ac:dyDescent="0.25">
      <c r="A451" t="s">
        <v>1222</v>
      </c>
      <c r="B451" t="s">
        <v>4006</v>
      </c>
      <c r="D451">
        <v>40524</v>
      </c>
      <c r="E451" t="str">
        <f t="shared" si="7"/>
        <v>ia.assorted_string like '%40524-04-2024%' or</v>
      </c>
    </row>
    <row r="452" spans="1:5" x14ac:dyDescent="0.25">
      <c r="A452" t="s">
        <v>1235</v>
      </c>
      <c r="B452" t="s">
        <v>4006</v>
      </c>
      <c r="D452">
        <v>40525</v>
      </c>
      <c r="E452" t="str">
        <f t="shared" si="7"/>
        <v>ia.assorted_string like '%40525-04-2024%' or</v>
      </c>
    </row>
    <row r="453" spans="1:5" x14ac:dyDescent="0.25">
      <c r="A453" t="s">
        <v>194</v>
      </c>
      <c r="B453" t="s">
        <v>4006</v>
      </c>
      <c r="D453">
        <v>40545</v>
      </c>
      <c r="E453" t="str">
        <f t="shared" si="7"/>
        <v>ia.assorted_string like '%40545-04-2024%' or</v>
      </c>
    </row>
    <row r="454" spans="1:5" x14ac:dyDescent="0.25">
      <c r="A454" t="s">
        <v>195</v>
      </c>
      <c r="B454" t="s">
        <v>4006</v>
      </c>
      <c r="D454">
        <v>40546</v>
      </c>
      <c r="E454" t="str">
        <f t="shared" si="7"/>
        <v>ia.assorted_string like '%40546-04-2024%' or</v>
      </c>
    </row>
    <row r="455" spans="1:5" x14ac:dyDescent="0.25">
      <c r="A455" t="s">
        <v>198</v>
      </c>
      <c r="B455" t="s">
        <v>4006</v>
      </c>
      <c r="D455">
        <v>40548</v>
      </c>
      <c r="E455" t="str">
        <f t="shared" si="7"/>
        <v>ia.assorted_string like '%40548-04-2024%' or</v>
      </c>
    </row>
    <row r="456" spans="1:5" x14ac:dyDescent="0.25">
      <c r="A456" t="s">
        <v>200</v>
      </c>
      <c r="B456" t="s">
        <v>4006</v>
      </c>
      <c r="D456">
        <v>40549</v>
      </c>
      <c r="E456" t="str">
        <f t="shared" si="7"/>
        <v>ia.assorted_string like '%40549-04-2024%' or</v>
      </c>
    </row>
    <row r="457" spans="1:5" x14ac:dyDescent="0.25">
      <c r="A457" t="s">
        <v>303</v>
      </c>
      <c r="B457" t="s">
        <v>4006</v>
      </c>
      <c r="D457">
        <v>40554</v>
      </c>
      <c r="E457" t="str">
        <f t="shared" si="7"/>
        <v>ia.assorted_string like '%40554-04-2024%' or</v>
      </c>
    </row>
    <row r="458" spans="1:5" x14ac:dyDescent="0.25">
      <c r="A458" t="s">
        <v>312</v>
      </c>
      <c r="B458" t="s">
        <v>4006</v>
      </c>
      <c r="D458">
        <v>40559</v>
      </c>
      <c r="E458" t="str">
        <f t="shared" si="7"/>
        <v>ia.assorted_string like '%40559-04-2024%' or</v>
      </c>
    </row>
    <row r="459" spans="1:5" x14ac:dyDescent="0.25">
      <c r="A459" t="s">
        <v>324</v>
      </c>
      <c r="B459" t="s">
        <v>4006</v>
      </c>
      <c r="D459">
        <v>40560</v>
      </c>
      <c r="E459" t="str">
        <f t="shared" si="7"/>
        <v>ia.assorted_string like '%40560-04-2024%' or</v>
      </c>
    </row>
    <row r="460" spans="1:5" x14ac:dyDescent="0.25">
      <c r="A460" t="s">
        <v>329</v>
      </c>
      <c r="B460" t="s">
        <v>4006</v>
      </c>
      <c r="D460">
        <v>40562</v>
      </c>
      <c r="E460" t="str">
        <f t="shared" si="7"/>
        <v>ia.assorted_string like '%40562-04-2024%' or</v>
      </c>
    </row>
    <row r="461" spans="1:5" x14ac:dyDescent="0.25">
      <c r="A461" t="s">
        <v>342</v>
      </c>
      <c r="B461" t="s">
        <v>4006</v>
      </c>
      <c r="D461">
        <v>40563</v>
      </c>
      <c r="E461" t="str">
        <f t="shared" si="7"/>
        <v>ia.assorted_string like '%40563-04-2024%' or</v>
      </c>
    </row>
    <row r="462" spans="1:5" x14ac:dyDescent="0.25">
      <c r="A462" t="s">
        <v>502</v>
      </c>
      <c r="B462" t="s">
        <v>4006</v>
      </c>
      <c r="D462">
        <v>40566</v>
      </c>
      <c r="E462" t="str">
        <f t="shared" si="7"/>
        <v>ia.assorted_string like '%40566-04-2024%' or</v>
      </c>
    </row>
    <row r="463" spans="1:5" x14ac:dyDescent="0.25">
      <c r="A463" t="s">
        <v>512</v>
      </c>
      <c r="B463" t="s">
        <v>4006</v>
      </c>
      <c r="D463">
        <v>40567</v>
      </c>
      <c r="E463" t="str">
        <f t="shared" si="7"/>
        <v>ia.assorted_string like '%40567-04-2024%' or</v>
      </c>
    </row>
    <row r="464" spans="1:5" x14ac:dyDescent="0.25">
      <c r="A464" t="s">
        <v>556</v>
      </c>
      <c r="B464" t="s">
        <v>4006</v>
      </c>
      <c r="D464">
        <v>40568</v>
      </c>
      <c r="E464" t="str">
        <f t="shared" si="7"/>
        <v>ia.assorted_string like '%40568-04-2024%' or</v>
      </c>
    </row>
    <row r="465" spans="1:5" x14ac:dyDescent="0.25">
      <c r="A465" t="s">
        <v>789</v>
      </c>
      <c r="B465" t="s">
        <v>4006</v>
      </c>
      <c r="D465">
        <v>40577</v>
      </c>
      <c r="E465" t="str">
        <f t="shared" si="7"/>
        <v>ia.assorted_string like '%40577-04-2024%' or</v>
      </c>
    </row>
    <row r="466" spans="1:5" x14ac:dyDescent="0.25">
      <c r="A466" t="s">
        <v>805</v>
      </c>
      <c r="B466" t="s">
        <v>4006</v>
      </c>
      <c r="D466">
        <v>40578</v>
      </c>
      <c r="E466" t="str">
        <f t="shared" si="7"/>
        <v>ia.assorted_string like '%40578-04-2024%' or</v>
      </c>
    </row>
    <row r="467" spans="1:5" x14ac:dyDescent="0.25">
      <c r="A467" t="s">
        <v>968</v>
      </c>
      <c r="B467" t="s">
        <v>4006</v>
      </c>
      <c r="D467">
        <v>40583</v>
      </c>
      <c r="E467" t="str">
        <f t="shared" si="7"/>
        <v>ia.assorted_string like '%40583-04-2024%' or</v>
      </c>
    </row>
    <row r="468" spans="1:5" x14ac:dyDescent="0.25">
      <c r="A468" t="s">
        <v>1064</v>
      </c>
      <c r="B468" t="s">
        <v>4006</v>
      </c>
      <c r="D468">
        <v>40586</v>
      </c>
      <c r="E468" t="str">
        <f t="shared" si="7"/>
        <v>ia.assorted_string like '%40586-04-2024%' or</v>
      </c>
    </row>
    <row r="469" spans="1:5" x14ac:dyDescent="0.25">
      <c r="A469" t="s">
        <v>1431</v>
      </c>
      <c r="B469" t="s">
        <v>4006</v>
      </c>
      <c r="D469">
        <v>40596</v>
      </c>
      <c r="E469" t="str">
        <f t="shared" si="7"/>
        <v>ia.assorted_string like '%40596-04-2024%' or</v>
      </c>
    </row>
    <row r="470" spans="1:5" x14ac:dyDescent="0.25">
      <c r="A470" t="s">
        <v>589</v>
      </c>
      <c r="B470" t="s">
        <v>4006</v>
      </c>
      <c r="D470">
        <v>40611</v>
      </c>
      <c r="E470" t="str">
        <f t="shared" si="7"/>
        <v>ia.assorted_string like '%40611-04-2024%' or</v>
      </c>
    </row>
    <row r="471" spans="1:5" x14ac:dyDescent="0.25">
      <c r="A471" t="s">
        <v>1289</v>
      </c>
      <c r="B471" t="s">
        <v>4006</v>
      </c>
      <c r="D471">
        <v>40619</v>
      </c>
      <c r="E471" t="str">
        <f t="shared" si="7"/>
        <v>ia.assorted_string like '%40619-04-2024%' or</v>
      </c>
    </row>
    <row r="472" spans="1:5" x14ac:dyDescent="0.25">
      <c r="A472" t="s">
        <v>203</v>
      </c>
      <c r="B472" t="s">
        <v>4006</v>
      </c>
      <c r="D472">
        <v>40627</v>
      </c>
      <c r="E472" t="str">
        <f t="shared" si="7"/>
        <v>ia.assorted_string like '%40627-04-2024%' or</v>
      </c>
    </row>
    <row r="473" spans="1:5" x14ac:dyDescent="0.25">
      <c r="A473" t="s">
        <v>337</v>
      </c>
      <c r="B473" t="s">
        <v>4006</v>
      </c>
      <c r="D473">
        <v>40635</v>
      </c>
      <c r="E473" t="str">
        <f t="shared" si="7"/>
        <v>ia.assorted_string like '%40635-04-2024%' or</v>
      </c>
    </row>
    <row r="474" spans="1:5" x14ac:dyDescent="0.25">
      <c r="A474" t="s">
        <v>446</v>
      </c>
      <c r="B474" t="s">
        <v>4006</v>
      </c>
      <c r="D474">
        <v>40644</v>
      </c>
      <c r="E474" t="str">
        <f t="shared" si="7"/>
        <v>ia.assorted_string like '%40644-04-2024%' or</v>
      </c>
    </row>
    <row r="475" spans="1:5" x14ac:dyDescent="0.25">
      <c r="A475" t="s">
        <v>525</v>
      </c>
      <c r="B475" t="s">
        <v>4006</v>
      </c>
      <c r="D475">
        <v>40648</v>
      </c>
      <c r="E475" t="str">
        <f t="shared" si="7"/>
        <v>ia.assorted_string like '%40648-04-2024%' or</v>
      </c>
    </row>
    <row r="476" spans="1:5" x14ac:dyDescent="0.25">
      <c r="A476" t="s">
        <v>531</v>
      </c>
      <c r="B476" t="s">
        <v>4006</v>
      </c>
      <c r="D476">
        <v>40649</v>
      </c>
      <c r="E476" t="str">
        <f t="shared" si="7"/>
        <v>ia.assorted_string like '%40649-04-2024%' or</v>
      </c>
    </row>
    <row r="477" spans="1:5" x14ac:dyDescent="0.25">
      <c r="A477" t="s">
        <v>630</v>
      </c>
      <c r="B477" t="s">
        <v>4006</v>
      </c>
      <c r="D477">
        <v>40652</v>
      </c>
      <c r="E477" t="str">
        <f t="shared" si="7"/>
        <v>ia.assorted_string like '%40652-04-2024%' or</v>
      </c>
    </row>
    <row r="478" spans="1:5" x14ac:dyDescent="0.25">
      <c r="A478" t="s">
        <v>647</v>
      </c>
      <c r="B478" t="s">
        <v>4006</v>
      </c>
      <c r="D478">
        <v>40654</v>
      </c>
      <c r="E478" t="str">
        <f t="shared" si="7"/>
        <v>ia.assorted_string like '%40654-04-2024%' or</v>
      </c>
    </row>
    <row r="479" spans="1:5" x14ac:dyDescent="0.25">
      <c r="A479" t="s">
        <v>821</v>
      </c>
      <c r="B479" t="s">
        <v>4006</v>
      </c>
      <c r="D479">
        <v>40663</v>
      </c>
      <c r="E479" t="str">
        <f t="shared" si="7"/>
        <v>ia.assorted_string like '%40663-04-2024%' or</v>
      </c>
    </row>
    <row r="480" spans="1:5" x14ac:dyDescent="0.25">
      <c r="A480" t="s">
        <v>832</v>
      </c>
      <c r="B480" t="s">
        <v>4006</v>
      </c>
      <c r="D480">
        <v>40666</v>
      </c>
      <c r="E480" t="str">
        <f t="shared" si="7"/>
        <v>ia.assorted_string like '%40666-04-2024%' or</v>
      </c>
    </row>
    <row r="481" spans="1:5" x14ac:dyDescent="0.25">
      <c r="A481" t="s">
        <v>940</v>
      </c>
      <c r="B481" t="s">
        <v>4006</v>
      </c>
      <c r="D481">
        <v>40667</v>
      </c>
      <c r="E481" t="str">
        <f t="shared" si="7"/>
        <v>ia.assorted_string like '%40667-04-2024%' or</v>
      </c>
    </row>
    <row r="482" spans="1:5" x14ac:dyDescent="0.25">
      <c r="A482" t="s">
        <v>1075</v>
      </c>
      <c r="B482" t="s">
        <v>4006</v>
      </c>
      <c r="D482">
        <v>40679</v>
      </c>
      <c r="E482" t="str">
        <f t="shared" si="7"/>
        <v>ia.assorted_string like '%40679-04-2024%' or</v>
      </c>
    </row>
    <row r="483" spans="1:5" x14ac:dyDescent="0.25">
      <c r="A483" t="s">
        <v>1333</v>
      </c>
      <c r="B483" t="s">
        <v>4006</v>
      </c>
      <c r="D483">
        <v>40696</v>
      </c>
      <c r="E483" t="str">
        <f t="shared" si="7"/>
        <v>ia.assorted_string like '%40696-04-2024%' or</v>
      </c>
    </row>
    <row r="484" spans="1:5" x14ac:dyDescent="0.25">
      <c r="A484" t="s">
        <v>1455</v>
      </c>
      <c r="B484" t="s">
        <v>4006</v>
      </c>
      <c r="D484">
        <v>40702</v>
      </c>
      <c r="E484" t="str">
        <f t="shared" si="7"/>
        <v>ia.assorted_string like '%40702-04-2024%' or</v>
      </c>
    </row>
    <row r="485" spans="1:5" x14ac:dyDescent="0.25">
      <c r="A485" t="s">
        <v>657</v>
      </c>
      <c r="B485" t="s">
        <v>4006</v>
      </c>
      <c r="D485">
        <v>40740</v>
      </c>
      <c r="E485" t="str">
        <f t="shared" si="7"/>
        <v>ia.assorted_string like '%40740-04-2024%' or</v>
      </c>
    </row>
    <row r="486" spans="1:5" x14ac:dyDescent="0.25">
      <c r="A486" t="s">
        <v>702</v>
      </c>
      <c r="B486" t="s">
        <v>4006</v>
      </c>
      <c r="D486">
        <v>40742</v>
      </c>
      <c r="E486" t="str">
        <f t="shared" si="7"/>
        <v>ia.assorted_string like '%40742-04-2024%' or</v>
      </c>
    </row>
    <row r="487" spans="1:5" x14ac:dyDescent="0.25">
      <c r="A487" t="s">
        <v>800</v>
      </c>
      <c r="B487" t="s">
        <v>4006</v>
      </c>
      <c r="D487">
        <v>40750</v>
      </c>
      <c r="E487" t="str">
        <f t="shared" si="7"/>
        <v>ia.assorted_string like '%40750-04-2024%' or</v>
      </c>
    </row>
    <row r="488" spans="1:5" x14ac:dyDescent="0.25">
      <c r="A488" t="s">
        <v>209</v>
      </c>
      <c r="B488" t="s">
        <v>4006</v>
      </c>
      <c r="D488">
        <v>40763</v>
      </c>
      <c r="E488" t="str">
        <f t="shared" si="7"/>
        <v>ia.assorted_string like '%40763-04-2024%' or</v>
      </c>
    </row>
    <row r="489" spans="1:5" x14ac:dyDescent="0.25">
      <c r="A489" t="s">
        <v>248</v>
      </c>
      <c r="B489" t="s">
        <v>4006</v>
      </c>
      <c r="D489">
        <v>40765</v>
      </c>
      <c r="E489" t="str">
        <f t="shared" si="7"/>
        <v>ia.assorted_string like '%40765-04-2024%' or</v>
      </c>
    </row>
    <row r="490" spans="1:5" x14ac:dyDescent="0.25">
      <c r="A490" t="s">
        <v>353</v>
      </c>
      <c r="B490" t="s">
        <v>4006</v>
      </c>
      <c r="D490">
        <v>40767</v>
      </c>
      <c r="E490" t="str">
        <f t="shared" si="7"/>
        <v>ia.assorted_string like '%40767-04-2024%' or</v>
      </c>
    </row>
    <row r="491" spans="1:5" x14ac:dyDescent="0.25">
      <c r="A491" t="s">
        <v>1121</v>
      </c>
      <c r="B491" t="s">
        <v>4006</v>
      </c>
      <c r="D491">
        <v>40778</v>
      </c>
      <c r="E491" t="str">
        <f t="shared" si="7"/>
        <v>ia.assorted_string like '%40778-04-2024%' or</v>
      </c>
    </row>
    <row r="492" spans="1:5" x14ac:dyDescent="0.25">
      <c r="A492" t="s">
        <v>301</v>
      </c>
      <c r="B492" t="s">
        <v>4006</v>
      </c>
      <c r="D492">
        <v>40808</v>
      </c>
      <c r="E492" t="str">
        <f t="shared" si="7"/>
        <v>ia.assorted_string like '%40808-04-2024%' or</v>
      </c>
    </row>
    <row r="493" spans="1:5" x14ac:dyDescent="0.25">
      <c r="A493" t="s">
        <v>410</v>
      </c>
      <c r="B493" t="s">
        <v>4006</v>
      </c>
      <c r="D493">
        <v>40814</v>
      </c>
      <c r="E493" t="str">
        <f t="shared" si="7"/>
        <v>ia.assorted_string like '%40814-04-2024%' or</v>
      </c>
    </row>
    <row r="494" spans="1:5" x14ac:dyDescent="0.25">
      <c r="A494" t="s">
        <v>503</v>
      </c>
      <c r="B494" t="s">
        <v>4006</v>
      </c>
      <c r="D494">
        <v>40816</v>
      </c>
      <c r="E494" t="str">
        <f t="shared" si="7"/>
        <v>ia.assorted_string like '%40816-04-2024%' or</v>
      </c>
    </row>
    <row r="495" spans="1:5" x14ac:dyDescent="0.25">
      <c r="A495" t="s">
        <v>513</v>
      </c>
      <c r="B495" t="s">
        <v>4006</v>
      </c>
      <c r="D495">
        <v>40818</v>
      </c>
      <c r="E495" t="str">
        <f t="shared" si="7"/>
        <v>ia.assorted_string like '%40818-04-2024%' or</v>
      </c>
    </row>
    <row r="496" spans="1:5" x14ac:dyDescent="0.25">
      <c r="A496" t="s">
        <v>600</v>
      </c>
      <c r="B496" t="s">
        <v>4006</v>
      </c>
      <c r="D496">
        <v>40821</v>
      </c>
      <c r="E496" t="str">
        <f t="shared" si="7"/>
        <v>ia.assorted_string like '%40821-04-2024%' or</v>
      </c>
    </row>
    <row r="497" spans="1:5" x14ac:dyDescent="0.25">
      <c r="A497" t="s">
        <v>586</v>
      </c>
      <c r="B497" t="s">
        <v>4006</v>
      </c>
      <c r="D497">
        <v>40822</v>
      </c>
      <c r="E497" t="str">
        <f t="shared" si="7"/>
        <v>ia.assorted_string like '%40822-04-2024%' or</v>
      </c>
    </row>
    <row r="498" spans="1:5" x14ac:dyDescent="0.25">
      <c r="A498" t="s">
        <v>1102</v>
      </c>
      <c r="B498" t="s">
        <v>4006</v>
      </c>
      <c r="D498">
        <v>40833</v>
      </c>
      <c r="E498" t="str">
        <f t="shared" si="7"/>
        <v>ia.assorted_string like '%40833-04-2024%' or</v>
      </c>
    </row>
    <row r="499" spans="1:5" x14ac:dyDescent="0.25">
      <c r="A499" t="s">
        <v>130</v>
      </c>
      <c r="B499" t="s">
        <v>4006</v>
      </c>
      <c r="D499">
        <v>40840</v>
      </c>
      <c r="E499" t="str">
        <f t="shared" si="7"/>
        <v>ia.assorted_string like '%40840-04-2024%' or</v>
      </c>
    </row>
    <row r="500" spans="1:5" x14ac:dyDescent="0.25">
      <c r="A500" t="s">
        <v>151</v>
      </c>
      <c r="B500" t="s">
        <v>4006</v>
      </c>
      <c r="D500">
        <v>40842</v>
      </c>
      <c r="E500" t="str">
        <f t="shared" si="7"/>
        <v>ia.assorted_string like '%40842-04-2024%' or</v>
      </c>
    </row>
    <row r="501" spans="1:5" x14ac:dyDescent="0.25">
      <c r="A501" t="s">
        <v>143</v>
      </c>
      <c r="B501" t="s">
        <v>4006</v>
      </c>
      <c r="D501">
        <v>40843</v>
      </c>
      <c r="E501" t="str">
        <f t="shared" si="7"/>
        <v>ia.assorted_string like '%40843-04-2024%' or</v>
      </c>
    </row>
    <row r="502" spans="1:5" x14ac:dyDescent="0.25">
      <c r="A502" t="s">
        <v>159</v>
      </c>
      <c r="B502" t="s">
        <v>4006</v>
      </c>
      <c r="D502">
        <v>40844</v>
      </c>
      <c r="E502" t="str">
        <f t="shared" si="7"/>
        <v>ia.assorted_string like '%40844-04-2024%' or</v>
      </c>
    </row>
    <row r="503" spans="1:5" x14ac:dyDescent="0.25">
      <c r="A503" t="s">
        <v>170</v>
      </c>
      <c r="B503" t="s">
        <v>4006</v>
      </c>
      <c r="D503">
        <v>40846</v>
      </c>
      <c r="E503" t="str">
        <f t="shared" si="7"/>
        <v>ia.assorted_string like '%40846-04-2024%' or</v>
      </c>
    </row>
    <row r="504" spans="1:5" x14ac:dyDescent="0.25">
      <c r="A504" t="s">
        <v>234</v>
      </c>
      <c r="B504" t="s">
        <v>4006</v>
      </c>
      <c r="D504">
        <v>40855</v>
      </c>
      <c r="E504" t="str">
        <f t="shared" si="7"/>
        <v>ia.assorted_string like '%40855-04-2024%' or</v>
      </c>
    </row>
    <row r="505" spans="1:5" x14ac:dyDescent="0.25">
      <c r="A505" t="s">
        <v>356</v>
      </c>
      <c r="B505" t="s">
        <v>4006</v>
      </c>
      <c r="D505">
        <v>40862</v>
      </c>
      <c r="E505" t="str">
        <f t="shared" si="7"/>
        <v>ia.assorted_string like '%40862-04-2024%' or</v>
      </c>
    </row>
    <row r="506" spans="1:5" x14ac:dyDescent="0.25">
      <c r="A506" t="s">
        <v>1353</v>
      </c>
      <c r="B506" t="s">
        <v>4006</v>
      </c>
      <c r="D506">
        <v>40870</v>
      </c>
      <c r="E506" t="str">
        <f t="shared" si="7"/>
        <v>ia.assorted_string like '%40870-04-2024%' or</v>
      </c>
    </row>
    <row r="507" spans="1:5" x14ac:dyDescent="0.25">
      <c r="A507" t="s">
        <v>215</v>
      </c>
      <c r="B507" t="s">
        <v>4006</v>
      </c>
      <c r="D507">
        <v>40883</v>
      </c>
      <c r="E507" t="str">
        <f t="shared" si="7"/>
        <v>ia.assorted_string like '%40883-04-2024%' or</v>
      </c>
    </row>
    <row r="508" spans="1:5" x14ac:dyDescent="0.25">
      <c r="A508" t="s">
        <v>435</v>
      </c>
      <c r="B508" t="s">
        <v>4006</v>
      </c>
      <c r="D508">
        <v>40884</v>
      </c>
      <c r="E508" t="str">
        <f t="shared" si="7"/>
        <v>ia.assorted_string like '%40884-04-2024%' or</v>
      </c>
    </row>
    <row r="509" spans="1:5" x14ac:dyDescent="0.25">
      <c r="A509" t="s">
        <v>996</v>
      </c>
      <c r="B509" t="s">
        <v>4006</v>
      </c>
      <c r="D509">
        <v>40888</v>
      </c>
      <c r="E509" t="str">
        <f t="shared" si="7"/>
        <v>ia.assorted_string like '%40888-04-2024%' or</v>
      </c>
    </row>
    <row r="510" spans="1:5" x14ac:dyDescent="0.25">
      <c r="A510" t="s">
        <v>1381</v>
      </c>
      <c r="B510" t="s">
        <v>4006</v>
      </c>
      <c r="D510">
        <v>40892</v>
      </c>
      <c r="E510" t="str">
        <f t="shared" si="7"/>
        <v>ia.assorted_string like '%40892-04-2024%' or</v>
      </c>
    </row>
    <row r="511" spans="1:5" x14ac:dyDescent="0.25">
      <c r="A511" t="s">
        <v>372</v>
      </c>
      <c r="B511" t="s">
        <v>4006</v>
      </c>
      <c r="D511">
        <v>40909</v>
      </c>
      <c r="E511" t="str">
        <f t="shared" si="7"/>
        <v>ia.assorted_string like '%40909-04-2024%' or</v>
      </c>
    </row>
    <row r="512" spans="1:5" x14ac:dyDescent="0.25">
      <c r="A512" t="s">
        <v>836</v>
      </c>
      <c r="B512" t="s">
        <v>4006</v>
      </c>
      <c r="D512">
        <v>40911</v>
      </c>
      <c r="E512" t="str">
        <f t="shared" si="7"/>
        <v>ia.assorted_string like '%40911-04-2024%' or</v>
      </c>
    </row>
    <row r="513" spans="1:5" x14ac:dyDescent="0.25">
      <c r="A513" t="s">
        <v>837</v>
      </c>
      <c r="B513" t="s">
        <v>4006</v>
      </c>
      <c r="D513">
        <v>40912</v>
      </c>
      <c r="E513" t="str">
        <f t="shared" si="7"/>
        <v>ia.assorted_string like '%40912-04-2024%' or</v>
      </c>
    </row>
    <row r="514" spans="1:5" x14ac:dyDescent="0.25">
      <c r="A514" t="s">
        <v>350</v>
      </c>
      <c r="B514" t="s">
        <v>4006</v>
      </c>
      <c r="D514">
        <v>40944</v>
      </c>
      <c r="E514" t="str">
        <f t="shared" ref="E514:E577" si="8">"ia.assorted_string like '%"&amp;D514&amp;B514&amp;"%' or"</f>
        <v>ia.assorted_string like '%40944-04-2024%' or</v>
      </c>
    </row>
    <row r="515" spans="1:5" x14ac:dyDescent="0.25">
      <c r="A515" t="s">
        <v>848</v>
      </c>
      <c r="B515" t="s">
        <v>4006</v>
      </c>
      <c r="D515">
        <v>40948</v>
      </c>
      <c r="E515" t="str">
        <f t="shared" si="8"/>
        <v>ia.assorted_string like '%40948-04-2024%' or</v>
      </c>
    </row>
    <row r="516" spans="1:5" x14ac:dyDescent="0.25">
      <c r="A516" t="s">
        <v>1482</v>
      </c>
      <c r="B516" t="s">
        <v>4006</v>
      </c>
      <c r="D516">
        <v>40955</v>
      </c>
      <c r="E516" t="str">
        <f t="shared" si="8"/>
        <v>ia.assorted_string like '%40955-04-2024%' or</v>
      </c>
    </row>
    <row r="517" spans="1:5" x14ac:dyDescent="0.25">
      <c r="A517" t="s">
        <v>1143</v>
      </c>
      <c r="B517" t="s">
        <v>4006</v>
      </c>
      <c r="D517">
        <v>40970</v>
      </c>
      <c r="E517" t="str">
        <f t="shared" si="8"/>
        <v>ia.assorted_string like '%40970-04-2024%' or</v>
      </c>
    </row>
    <row r="518" spans="1:5" x14ac:dyDescent="0.25">
      <c r="A518" t="s">
        <v>1545</v>
      </c>
      <c r="B518" t="s">
        <v>4006</v>
      </c>
      <c r="D518">
        <v>40976</v>
      </c>
      <c r="E518" t="str">
        <f t="shared" si="8"/>
        <v>ia.assorted_string like '%40976-04-2024%' or</v>
      </c>
    </row>
    <row r="519" spans="1:5" x14ac:dyDescent="0.25">
      <c r="A519" t="s">
        <v>1576</v>
      </c>
      <c r="B519" t="s">
        <v>4006</v>
      </c>
      <c r="D519">
        <v>40977</v>
      </c>
      <c r="E519" t="str">
        <f t="shared" si="8"/>
        <v>ia.assorted_string like '%40977-04-2024%' or</v>
      </c>
    </row>
    <row r="520" spans="1:5" x14ac:dyDescent="0.25">
      <c r="A520" t="s">
        <v>361</v>
      </c>
      <c r="B520" t="s">
        <v>4006</v>
      </c>
      <c r="D520">
        <v>40985</v>
      </c>
      <c r="E520" t="str">
        <f t="shared" si="8"/>
        <v>ia.assorted_string like '%40985-04-2024%' or</v>
      </c>
    </row>
    <row r="521" spans="1:5" x14ac:dyDescent="0.25">
      <c r="A521" t="s">
        <v>376</v>
      </c>
      <c r="B521" t="s">
        <v>4006</v>
      </c>
      <c r="D521">
        <v>40986</v>
      </c>
      <c r="E521" t="str">
        <f t="shared" si="8"/>
        <v>ia.assorted_string like '%40986-04-2024%' or</v>
      </c>
    </row>
    <row r="522" spans="1:5" x14ac:dyDescent="0.25">
      <c r="A522" t="s">
        <v>472</v>
      </c>
      <c r="B522" t="s">
        <v>4006</v>
      </c>
      <c r="D522">
        <v>40989</v>
      </c>
      <c r="E522" t="str">
        <f t="shared" si="8"/>
        <v>ia.assorted_string like '%40989-04-2024%' or</v>
      </c>
    </row>
    <row r="523" spans="1:5" x14ac:dyDescent="0.25">
      <c r="A523" t="s">
        <v>982</v>
      </c>
      <c r="B523" t="s">
        <v>4006</v>
      </c>
      <c r="D523">
        <v>40992</v>
      </c>
      <c r="E523" t="str">
        <f t="shared" si="8"/>
        <v>ia.assorted_string like '%40992-04-2024%' or</v>
      </c>
    </row>
    <row r="524" spans="1:5" x14ac:dyDescent="0.25">
      <c r="A524" t="s">
        <v>1007</v>
      </c>
      <c r="B524" t="s">
        <v>4006</v>
      </c>
      <c r="D524">
        <v>40995</v>
      </c>
      <c r="E524" t="str">
        <f t="shared" si="8"/>
        <v>ia.assorted_string like '%40995-04-2024%' or</v>
      </c>
    </row>
    <row r="525" spans="1:5" x14ac:dyDescent="0.25">
      <c r="A525" t="s">
        <v>1392</v>
      </c>
      <c r="B525" t="s">
        <v>4006</v>
      </c>
      <c r="D525">
        <v>41001</v>
      </c>
      <c r="E525" t="str">
        <f t="shared" si="8"/>
        <v>ia.assorted_string like '%41001-04-2024%' or</v>
      </c>
    </row>
    <row r="526" spans="1:5" x14ac:dyDescent="0.25">
      <c r="A526" t="s">
        <v>1593</v>
      </c>
      <c r="B526" t="s">
        <v>4006</v>
      </c>
      <c r="D526">
        <v>41005</v>
      </c>
      <c r="E526" t="str">
        <f t="shared" si="8"/>
        <v>ia.assorted_string like '%41005-04-2024%' or</v>
      </c>
    </row>
    <row r="527" spans="1:5" x14ac:dyDescent="0.25">
      <c r="A527" t="s">
        <v>253</v>
      </c>
      <c r="B527" t="s">
        <v>4006</v>
      </c>
      <c r="D527">
        <v>41011</v>
      </c>
      <c r="E527" t="str">
        <f t="shared" si="8"/>
        <v>ia.assorted_string like '%41011-04-2024%' or</v>
      </c>
    </row>
    <row r="528" spans="1:5" x14ac:dyDescent="0.25">
      <c r="A528" t="s">
        <v>259</v>
      </c>
      <c r="B528" t="s">
        <v>4006</v>
      </c>
      <c r="D528">
        <v>41012</v>
      </c>
      <c r="E528" t="str">
        <f t="shared" si="8"/>
        <v>ia.assorted_string like '%41012-04-2024%' or</v>
      </c>
    </row>
    <row r="529" spans="1:5" x14ac:dyDescent="0.25">
      <c r="A529" t="s">
        <v>460</v>
      </c>
      <c r="B529" t="s">
        <v>4006</v>
      </c>
      <c r="D529">
        <v>41032</v>
      </c>
      <c r="E529" t="str">
        <f t="shared" si="8"/>
        <v>ia.assorted_string like '%41032-04-2024%' or</v>
      </c>
    </row>
    <row r="530" spans="1:5" x14ac:dyDescent="0.25">
      <c r="A530" t="s">
        <v>1371</v>
      </c>
      <c r="B530" t="s">
        <v>4006</v>
      </c>
      <c r="D530">
        <v>41037</v>
      </c>
      <c r="E530" t="str">
        <f t="shared" si="8"/>
        <v>ia.assorted_string like '%41037-04-2024%' or</v>
      </c>
    </row>
    <row r="531" spans="1:5" x14ac:dyDescent="0.25">
      <c r="A531" t="s">
        <v>711</v>
      </c>
      <c r="B531" t="s">
        <v>4006</v>
      </c>
      <c r="D531">
        <v>41052</v>
      </c>
      <c r="E531" t="str">
        <f t="shared" si="8"/>
        <v>ia.assorted_string like '%41052-04-2024%' or</v>
      </c>
    </row>
    <row r="532" spans="1:5" x14ac:dyDescent="0.25">
      <c r="A532" t="s">
        <v>872</v>
      </c>
      <c r="B532" t="s">
        <v>4006</v>
      </c>
      <c r="D532">
        <v>41057</v>
      </c>
      <c r="E532" t="str">
        <f t="shared" si="8"/>
        <v>ia.assorted_string like '%41057-04-2024%' or</v>
      </c>
    </row>
    <row r="533" spans="1:5" x14ac:dyDescent="0.25">
      <c r="A533" t="s">
        <v>1405</v>
      </c>
      <c r="B533" t="s">
        <v>4006</v>
      </c>
      <c r="D533">
        <v>41060</v>
      </c>
      <c r="E533" t="str">
        <f t="shared" si="8"/>
        <v>ia.assorted_string like '%41060-04-2024%' or</v>
      </c>
    </row>
    <row r="534" spans="1:5" x14ac:dyDescent="0.25">
      <c r="A534" t="s">
        <v>220</v>
      </c>
      <c r="B534" t="s">
        <v>4006</v>
      </c>
      <c r="D534">
        <v>41088</v>
      </c>
      <c r="E534" t="str">
        <f t="shared" si="8"/>
        <v>ia.assorted_string like '%41088-04-2024%' or</v>
      </c>
    </row>
    <row r="535" spans="1:5" x14ac:dyDescent="0.25">
      <c r="A535" t="s">
        <v>274</v>
      </c>
      <c r="B535" t="s">
        <v>4006</v>
      </c>
      <c r="D535">
        <v>41091</v>
      </c>
      <c r="E535" t="str">
        <f t="shared" si="8"/>
        <v>ia.assorted_string like '%41091-04-2024%' or</v>
      </c>
    </row>
    <row r="536" spans="1:5" x14ac:dyDescent="0.25">
      <c r="A536" t="s">
        <v>395</v>
      </c>
      <c r="B536" t="s">
        <v>4006</v>
      </c>
      <c r="D536">
        <v>41093</v>
      </c>
      <c r="E536" t="str">
        <f t="shared" si="8"/>
        <v>ia.assorted_string like '%41093-04-2024%' or</v>
      </c>
    </row>
    <row r="537" spans="1:5" x14ac:dyDescent="0.25">
      <c r="A537" t="s">
        <v>815</v>
      </c>
      <c r="B537" t="s">
        <v>4006</v>
      </c>
      <c r="D537">
        <v>41094</v>
      </c>
      <c r="E537" t="str">
        <f t="shared" si="8"/>
        <v>ia.assorted_string like '%41094-04-2024%' or</v>
      </c>
    </row>
    <row r="538" spans="1:5" x14ac:dyDescent="0.25">
      <c r="A538" t="s">
        <v>1168</v>
      </c>
      <c r="B538" t="s">
        <v>4006</v>
      </c>
      <c r="D538">
        <v>41098</v>
      </c>
      <c r="E538" t="str">
        <f t="shared" si="8"/>
        <v>ia.assorted_string like '%41098-04-2024%' or</v>
      </c>
    </row>
    <row r="539" spans="1:5" x14ac:dyDescent="0.25">
      <c r="A539" t="s">
        <v>1607</v>
      </c>
      <c r="B539" t="s">
        <v>4006</v>
      </c>
      <c r="D539">
        <v>41102</v>
      </c>
      <c r="E539" t="str">
        <f t="shared" si="8"/>
        <v>ia.assorted_string like '%41102-04-2024%' or</v>
      </c>
    </row>
    <row r="540" spans="1:5" x14ac:dyDescent="0.25">
      <c r="A540" t="s">
        <v>366</v>
      </c>
      <c r="B540" t="s">
        <v>4006</v>
      </c>
      <c r="D540">
        <v>41111</v>
      </c>
      <c r="E540" t="str">
        <f t="shared" si="8"/>
        <v>ia.assorted_string like '%41111-04-2024%' or</v>
      </c>
    </row>
    <row r="541" spans="1:5" x14ac:dyDescent="0.25">
      <c r="A541" t="s">
        <v>721</v>
      </c>
      <c r="B541" t="s">
        <v>4006</v>
      </c>
      <c r="D541">
        <v>41116</v>
      </c>
      <c r="E541" t="str">
        <f t="shared" si="8"/>
        <v>ia.assorted_string like '%41116-04-2024%' or</v>
      </c>
    </row>
    <row r="542" spans="1:5" x14ac:dyDescent="0.25">
      <c r="A542" t="s">
        <v>738</v>
      </c>
      <c r="B542" t="s">
        <v>4006</v>
      </c>
      <c r="D542">
        <v>41121</v>
      </c>
      <c r="E542" t="str">
        <f t="shared" si="8"/>
        <v>ia.assorted_string like '%41121-04-2024%' or</v>
      </c>
    </row>
    <row r="543" spans="1:5" x14ac:dyDescent="0.25">
      <c r="A543" t="s">
        <v>746</v>
      </c>
      <c r="B543" t="s">
        <v>4006</v>
      </c>
      <c r="D543">
        <v>41122</v>
      </c>
      <c r="E543" t="str">
        <f t="shared" si="8"/>
        <v>ia.assorted_string like '%41122-04-2024%' or</v>
      </c>
    </row>
    <row r="544" spans="1:5" x14ac:dyDescent="0.25">
      <c r="A544" t="s">
        <v>875</v>
      </c>
      <c r="B544" t="s">
        <v>4006</v>
      </c>
      <c r="D544">
        <v>41123</v>
      </c>
      <c r="E544" t="str">
        <f t="shared" si="8"/>
        <v>ia.assorted_string like '%41123-04-2024%' or</v>
      </c>
    </row>
    <row r="545" spans="1:5" x14ac:dyDescent="0.25">
      <c r="A545" t="s">
        <v>1027</v>
      </c>
      <c r="B545" t="s">
        <v>4006</v>
      </c>
      <c r="D545">
        <v>41126</v>
      </c>
      <c r="E545" t="str">
        <f t="shared" si="8"/>
        <v>ia.assorted_string like '%41126-04-2024%' or</v>
      </c>
    </row>
    <row r="546" spans="1:5" x14ac:dyDescent="0.25">
      <c r="A546" t="s">
        <v>1194</v>
      </c>
      <c r="B546" t="s">
        <v>4006</v>
      </c>
      <c r="D546">
        <v>41138</v>
      </c>
      <c r="E546" t="str">
        <f t="shared" si="8"/>
        <v>ia.assorted_string like '%41138-04-2024%' or</v>
      </c>
    </row>
    <row r="547" spans="1:5" x14ac:dyDescent="0.25">
      <c r="A547" t="s">
        <v>1527</v>
      </c>
      <c r="B547" t="s">
        <v>4006</v>
      </c>
      <c r="D547">
        <v>41143</v>
      </c>
      <c r="E547" t="str">
        <f t="shared" si="8"/>
        <v>ia.assorted_string like '%41143-04-2024%' or</v>
      </c>
    </row>
    <row r="548" spans="1:5" x14ac:dyDescent="0.25">
      <c r="A548" t="s">
        <v>1535</v>
      </c>
      <c r="B548" t="s">
        <v>4006</v>
      </c>
      <c r="D548">
        <v>41144</v>
      </c>
      <c r="E548" t="str">
        <f t="shared" si="8"/>
        <v>ia.assorted_string like '%41144-04-2024%' or</v>
      </c>
    </row>
    <row r="549" spans="1:5" x14ac:dyDescent="0.25">
      <c r="A549" t="s">
        <v>1521</v>
      </c>
      <c r="B549" t="s">
        <v>4006</v>
      </c>
      <c r="D549">
        <v>41169</v>
      </c>
      <c r="E549" t="str">
        <f t="shared" si="8"/>
        <v>ia.assorted_string like '%41169-04-2024%' or</v>
      </c>
    </row>
    <row r="550" spans="1:5" x14ac:dyDescent="0.25">
      <c r="A550" t="s">
        <v>1618</v>
      </c>
      <c r="B550" t="s">
        <v>4006</v>
      </c>
      <c r="D550">
        <v>41171</v>
      </c>
      <c r="E550" t="str">
        <f t="shared" si="8"/>
        <v>ia.assorted_string like '%41171-04-2024%' or</v>
      </c>
    </row>
    <row r="551" spans="1:5" x14ac:dyDescent="0.25">
      <c r="A551" t="s">
        <v>1640</v>
      </c>
      <c r="B551" t="s">
        <v>4006</v>
      </c>
      <c r="D551">
        <v>41174</v>
      </c>
      <c r="E551" t="str">
        <f t="shared" si="8"/>
        <v>ia.assorted_string like '%41174-04-2024%' or</v>
      </c>
    </row>
    <row r="552" spans="1:5" x14ac:dyDescent="0.25">
      <c r="A552" t="s">
        <v>271</v>
      </c>
      <c r="B552" t="s">
        <v>4006</v>
      </c>
      <c r="D552">
        <v>41190</v>
      </c>
      <c r="E552" t="str">
        <f t="shared" si="8"/>
        <v>ia.assorted_string like '%41190-04-2024%' or</v>
      </c>
    </row>
    <row r="553" spans="1:5" x14ac:dyDescent="0.25">
      <c r="A553" t="s">
        <v>277</v>
      </c>
      <c r="B553" t="s">
        <v>4006</v>
      </c>
      <c r="D553">
        <v>41191</v>
      </c>
      <c r="E553" t="str">
        <f t="shared" si="8"/>
        <v>ia.assorted_string like '%41191-04-2024%' or</v>
      </c>
    </row>
    <row r="554" spans="1:5" x14ac:dyDescent="0.25">
      <c r="A554" t="s">
        <v>281</v>
      </c>
      <c r="B554" t="s">
        <v>4006</v>
      </c>
      <c r="D554">
        <v>41192</v>
      </c>
      <c r="E554" t="str">
        <f t="shared" si="8"/>
        <v>ia.assorted_string like '%41192-04-2024%' or</v>
      </c>
    </row>
    <row r="555" spans="1:5" x14ac:dyDescent="0.25">
      <c r="A555" t="s">
        <v>287</v>
      </c>
      <c r="B555" t="s">
        <v>4006</v>
      </c>
      <c r="D555">
        <v>41193</v>
      </c>
      <c r="E555" t="str">
        <f t="shared" si="8"/>
        <v>ia.assorted_string like '%41193-04-2024%' or</v>
      </c>
    </row>
    <row r="556" spans="1:5" x14ac:dyDescent="0.25">
      <c r="A556" t="s">
        <v>291</v>
      </c>
      <c r="B556" t="s">
        <v>4006</v>
      </c>
      <c r="D556">
        <v>41194</v>
      </c>
      <c r="E556" t="str">
        <f t="shared" si="8"/>
        <v>ia.assorted_string like '%41194-04-2024%' or</v>
      </c>
    </row>
    <row r="557" spans="1:5" x14ac:dyDescent="0.25">
      <c r="A557" t="s">
        <v>492</v>
      </c>
      <c r="B557" t="s">
        <v>4006</v>
      </c>
      <c r="D557">
        <v>41196</v>
      </c>
      <c r="E557" t="str">
        <f t="shared" si="8"/>
        <v>ia.assorted_string like '%41196-04-2024%' or</v>
      </c>
    </row>
    <row r="558" spans="1:5" x14ac:dyDescent="0.25">
      <c r="A558" t="s">
        <v>1257</v>
      </c>
      <c r="B558" t="s">
        <v>4006</v>
      </c>
      <c r="D558">
        <v>41207</v>
      </c>
      <c r="E558" t="str">
        <f t="shared" si="8"/>
        <v>ia.assorted_string like '%41207-04-2024%' or</v>
      </c>
    </row>
    <row r="559" spans="1:5" x14ac:dyDescent="0.25">
      <c r="A559" t="s">
        <v>1258</v>
      </c>
      <c r="B559" t="s">
        <v>4006</v>
      </c>
      <c r="D559">
        <v>41208</v>
      </c>
      <c r="E559" t="str">
        <f t="shared" si="8"/>
        <v>ia.assorted_string like '%41208-04-2024%' or</v>
      </c>
    </row>
    <row r="560" spans="1:5" x14ac:dyDescent="0.25">
      <c r="A560" t="s">
        <v>1259</v>
      </c>
      <c r="B560" t="s">
        <v>4006</v>
      </c>
      <c r="D560">
        <v>41209</v>
      </c>
      <c r="E560" t="str">
        <f t="shared" si="8"/>
        <v>ia.assorted_string like '%41209-04-2024%' or</v>
      </c>
    </row>
    <row r="561" spans="1:5" x14ac:dyDescent="0.25">
      <c r="A561" t="s">
        <v>1550</v>
      </c>
      <c r="B561" t="s">
        <v>4006</v>
      </c>
      <c r="D561">
        <v>41216</v>
      </c>
      <c r="E561" t="str">
        <f t="shared" si="8"/>
        <v>ia.assorted_string like '%41216-04-2024%' or</v>
      </c>
    </row>
    <row r="562" spans="1:5" x14ac:dyDescent="0.25">
      <c r="A562" t="s">
        <v>1663</v>
      </c>
      <c r="B562" t="s">
        <v>4006</v>
      </c>
      <c r="D562">
        <v>41222</v>
      </c>
      <c r="E562" t="str">
        <f t="shared" si="8"/>
        <v>ia.assorted_string like '%41222-04-2024%' or</v>
      </c>
    </row>
    <row r="563" spans="1:5" x14ac:dyDescent="0.25">
      <c r="A563" t="s">
        <v>1673</v>
      </c>
      <c r="B563" t="s">
        <v>4006</v>
      </c>
      <c r="D563">
        <v>41224</v>
      </c>
      <c r="E563" t="str">
        <f t="shared" si="8"/>
        <v>ia.assorted_string like '%41224-04-2024%' or</v>
      </c>
    </row>
    <row r="564" spans="1:5" x14ac:dyDescent="0.25">
      <c r="A564" t="s">
        <v>608</v>
      </c>
      <c r="B564" t="s">
        <v>4007</v>
      </c>
      <c r="D564">
        <v>41230</v>
      </c>
      <c r="E564" t="str">
        <f t="shared" si="8"/>
        <v>ia.assorted_string like '%41230-05-2024%' or</v>
      </c>
    </row>
    <row r="565" spans="1:5" x14ac:dyDescent="0.25">
      <c r="A565" t="s">
        <v>1252</v>
      </c>
      <c r="B565" t="s">
        <v>4007</v>
      </c>
      <c r="D565">
        <v>41238</v>
      </c>
      <c r="E565" t="str">
        <f t="shared" si="8"/>
        <v>ia.assorted_string like '%41238-05-2024%' or</v>
      </c>
    </row>
    <row r="566" spans="1:5" x14ac:dyDescent="0.25">
      <c r="A566" t="s">
        <v>903</v>
      </c>
      <c r="B566" t="s">
        <v>4007</v>
      </c>
      <c r="D566">
        <v>41267</v>
      </c>
      <c r="E566" t="str">
        <f t="shared" si="8"/>
        <v>ia.assorted_string like '%41267-05-2024%' or</v>
      </c>
    </row>
    <row r="567" spans="1:5" x14ac:dyDescent="0.25">
      <c r="A567" t="s">
        <v>1269</v>
      </c>
      <c r="B567" t="s">
        <v>4007</v>
      </c>
      <c r="D567">
        <v>41276</v>
      </c>
      <c r="E567" t="str">
        <f t="shared" si="8"/>
        <v>ia.assorted_string like '%41276-05-2024%' or</v>
      </c>
    </row>
    <row r="568" spans="1:5" x14ac:dyDescent="0.25">
      <c r="A568" t="s">
        <v>1270</v>
      </c>
      <c r="B568" t="s">
        <v>4007</v>
      </c>
      <c r="D568">
        <v>41277</v>
      </c>
      <c r="E568" t="str">
        <f t="shared" si="8"/>
        <v>ia.assorted_string like '%41277-05-2024%' or</v>
      </c>
    </row>
    <row r="569" spans="1:5" x14ac:dyDescent="0.25">
      <c r="A569" t="s">
        <v>1271</v>
      </c>
      <c r="B569" t="s">
        <v>4007</v>
      </c>
      <c r="D569">
        <v>41278</v>
      </c>
      <c r="E569" t="str">
        <f t="shared" si="8"/>
        <v>ia.assorted_string like '%41278-05-2024%' or</v>
      </c>
    </row>
    <row r="570" spans="1:5" x14ac:dyDescent="0.25">
      <c r="A570" t="s">
        <v>1272</v>
      </c>
      <c r="B570" t="s">
        <v>4007</v>
      </c>
      <c r="D570">
        <v>41279</v>
      </c>
      <c r="E570" t="str">
        <f t="shared" si="8"/>
        <v>ia.assorted_string like '%41279-05-2024%' or</v>
      </c>
    </row>
    <row r="571" spans="1:5" x14ac:dyDescent="0.25">
      <c r="A571" t="s">
        <v>1750</v>
      </c>
      <c r="B571" t="s">
        <v>4007</v>
      </c>
      <c r="D571">
        <v>41287</v>
      </c>
      <c r="E571" t="str">
        <f t="shared" si="8"/>
        <v>ia.assorted_string like '%41287-05-2024%' or</v>
      </c>
    </row>
    <row r="572" spans="1:5" x14ac:dyDescent="0.25">
      <c r="A572" t="s">
        <v>325</v>
      </c>
      <c r="B572" t="s">
        <v>4007</v>
      </c>
      <c r="D572">
        <v>41443</v>
      </c>
      <c r="E572" t="str">
        <f t="shared" si="8"/>
        <v>ia.assorted_string like '%41443-05-2024%' or</v>
      </c>
    </row>
    <row r="573" spans="1:5" x14ac:dyDescent="0.25">
      <c r="A573" t="s">
        <v>330</v>
      </c>
      <c r="B573" t="s">
        <v>4007</v>
      </c>
      <c r="D573">
        <v>41446</v>
      </c>
      <c r="E573" t="str">
        <f t="shared" si="8"/>
        <v>ia.assorted_string like '%41446-05-2024%' or</v>
      </c>
    </row>
    <row r="574" spans="1:5" x14ac:dyDescent="0.25">
      <c r="A574" t="s">
        <v>343</v>
      </c>
      <c r="B574" t="s">
        <v>4007</v>
      </c>
      <c r="D574">
        <v>41449</v>
      </c>
      <c r="E574" t="str">
        <f t="shared" si="8"/>
        <v>ia.assorted_string like '%41449-05-2024%' or</v>
      </c>
    </row>
    <row r="575" spans="1:5" x14ac:dyDescent="0.25">
      <c r="A575" t="s">
        <v>420</v>
      </c>
      <c r="B575" t="s">
        <v>4007</v>
      </c>
      <c r="D575">
        <v>41450</v>
      </c>
      <c r="E575" t="str">
        <f t="shared" si="8"/>
        <v>ia.assorted_string like '%41450-05-2024%' or</v>
      </c>
    </row>
    <row r="576" spans="1:5" x14ac:dyDescent="0.25">
      <c r="A576" t="s">
        <v>557</v>
      </c>
      <c r="B576" t="s">
        <v>4007</v>
      </c>
      <c r="D576">
        <v>41456</v>
      </c>
      <c r="E576" t="str">
        <f t="shared" si="8"/>
        <v>ia.assorted_string like '%41456-05-2024%' or</v>
      </c>
    </row>
    <row r="577" spans="1:5" x14ac:dyDescent="0.25">
      <c r="A577" t="s">
        <v>590</v>
      </c>
      <c r="B577" t="s">
        <v>4007</v>
      </c>
      <c r="D577">
        <v>41461</v>
      </c>
      <c r="E577" t="str">
        <f t="shared" si="8"/>
        <v>ia.assorted_string like '%41461-05-2024%' or</v>
      </c>
    </row>
    <row r="578" spans="1:5" x14ac:dyDescent="0.25">
      <c r="A578" t="s">
        <v>769</v>
      </c>
      <c r="B578" t="s">
        <v>4007</v>
      </c>
      <c r="D578">
        <v>41471</v>
      </c>
      <c r="E578" t="str">
        <f t="shared" ref="E578:E641" si="9">"ia.assorted_string like '%"&amp;D578&amp;B578&amp;"%' or"</f>
        <v>ia.assorted_string like '%41471-05-2024%' or</v>
      </c>
    </row>
    <row r="579" spans="1:5" x14ac:dyDescent="0.25">
      <c r="A579" t="s">
        <v>790</v>
      </c>
      <c r="B579" t="s">
        <v>4007</v>
      </c>
      <c r="D579">
        <v>41474</v>
      </c>
      <c r="E579" t="str">
        <f t="shared" si="9"/>
        <v>ia.assorted_string like '%41474-05-2024%' or</v>
      </c>
    </row>
    <row r="580" spans="1:5" x14ac:dyDescent="0.25">
      <c r="A580" t="s">
        <v>913</v>
      </c>
      <c r="B580" t="s">
        <v>4007</v>
      </c>
      <c r="D580">
        <v>41482</v>
      </c>
      <c r="E580" t="str">
        <f t="shared" si="9"/>
        <v>ia.assorted_string like '%41482-05-2024%' or</v>
      </c>
    </row>
    <row r="581" spans="1:5" x14ac:dyDescent="0.25">
      <c r="A581" t="s">
        <v>928</v>
      </c>
      <c r="B581" t="s">
        <v>4007</v>
      </c>
      <c r="D581">
        <v>41483</v>
      </c>
      <c r="E581" t="str">
        <f t="shared" si="9"/>
        <v>ia.assorted_string like '%41483-05-2024%' or</v>
      </c>
    </row>
    <row r="582" spans="1:5" x14ac:dyDescent="0.25">
      <c r="A582" t="s">
        <v>969</v>
      </c>
      <c r="B582" t="s">
        <v>4007</v>
      </c>
      <c r="D582">
        <v>41485</v>
      </c>
      <c r="E582" t="str">
        <f t="shared" si="9"/>
        <v>ia.assorted_string like '%41485-05-2024%' or</v>
      </c>
    </row>
    <row r="583" spans="1:5" x14ac:dyDescent="0.25">
      <c r="A583" t="s">
        <v>1055</v>
      </c>
      <c r="B583" t="s">
        <v>4007</v>
      </c>
      <c r="D583">
        <v>41489</v>
      </c>
      <c r="E583" t="str">
        <f t="shared" si="9"/>
        <v>ia.assorted_string like '%41489-05-2024%' or</v>
      </c>
    </row>
    <row r="584" spans="1:5" x14ac:dyDescent="0.25">
      <c r="A584" t="s">
        <v>1065</v>
      </c>
      <c r="B584" t="s">
        <v>4007</v>
      </c>
      <c r="D584">
        <v>41493</v>
      </c>
      <c r="E584" t="str">
        <f t="shared" si="9"/>
        <v>ia.assorted_string like '%41493-05-2024%' or</v>
      </c>
    </row>
    <row r="585" spans="1:5" x14ac:dyDescent="0.25">
      <c r="A585" t="s">
        <v>1090</v>
      </c>
      <c r="B585" t="s">
        <v>4007</v>
      </c>
      <c r="D585">
        <v>41494</v>
      </c>
      <c r="E585" t="str">
        <f t="shared" si="9"/>
        <v>ia.assorted_string like '%41494-05-2024%' or</v>
      </c>
    </row>
    <row r="586" spans="1:5" x14ac:dyDescent="0.25">
      <c r="A586" t="s">
        <v>1223</v>
      </c>
      <c r="B586" t="s">
        <v>4007</v>
      </c>
      <c r="D586">
        <v>41499</v>
      </c>
      <c r="E586" t="str">
        <f t="shared" si="9"/>
        <v>ia.assorted_string like '%41499-05-2024%' or</v>
      </c>
    </row>
    <row r="587" spans="1:5" x14ac:dyDescent="0.25">
      <c r="A587" t="s">
        <v>1236</v>
      </c>
      <c r="B587" t="s">
        <v>4007</v>
      </c>
      <c r="D587">
        <v>41500</v>
      </c>
      <c r="E587" t="str">
        <f t="shared" si="9"/>
        <v>ia.assorted_string like '%41500-05-2024%' or</v>
      </c>
    </row>
    <row r="588" spans="1:5" x14ac:dyDescent="0.25">
      <c r="A588" t="s">
        <v>1279</v>
      </c>
      <c r="B588" t="s">
        <v>4007</v>
      </c>
      <c r="D588">
        <v>41506</v>
      </c>
      <c r="E588" t="str">
        <f t="shared" si="9"/>
        <v>ia.assorted_string like '%41506-05-2024%' or</v>
      </c>
    </row>
    <row r="589" spans="1:5" x14ac:dyDescent="0.25">
      <c r="A589" t="s">
        <v>1290</v>
      </c>
      <c r="B589" t="s">
        <v>4007</v>
      </c>
      <c r="D589">
        <v>41512</v>
      </c>
      <c r="E589" t="str">
        <f t="shared" si="9"/>
        <v>ia.assorted_string like '%41512-05-2024%' or</v>
      </c>
    </row>
    <row r="590" spans="1:5" x14ac:dyDescent="0.25">
      <c r="A590" t="s">
        <v>1432</v>
      </c>
      <c r="B590" t="s">
        <v>4007</v>
      </c>
      <c r="D590">
        <v>41522</v>
      </c>
      <c r="E590" t="str">
        <f t="shared" si="9"/>
        <v>ia.assorted_string like '%41522-05-2024%' or</v>
      </c>
    </row>
    <row r="591" spans="1:5" x14ac:dyDescent="0.25">
      <c r="A591" t="s">
        <v>1683</v>
      </c>
      <c r="B591" t="s">
        <v>4007</v>
      </c>
      <c r="D591">
        <v>41541</v>
      </c>
      <c r="E591" t="str">
        <f t="shared" si="9"/>
        <v>ia.assorted_string like '%41541-05-2024%' or</v>
      </c>
    </row>
    <row r="592" spans="1:5" x14ac:dyDescent="0.25">
      <c r="A592" t="s">
        <v>1703</v>
      </c>
      <c r="B592" t="s">
        <v>4007</v>
      </c>
      <c r="D592">
        <v>41550</v>
      </c>
      <c r="E592" t="str">
        <f t="shared" si="9"/>
        <v>ia.assorted_string like '%41550-05-2024%' or</v>
      </c>
    </row>
    <row r="593" spans="1:5" x14ac:dyDescent="0.25">
      <c r="A593" t="s">
        <v>1708</v>
      </c>
      <c r="B593" t="s">
        <v>4007</v>
      </c>
      <c r="D593">
        <v>41551</v>
      </c>
      <c r="E593" t="str">
        <f t="shared" si="9"/>
        <v>ia.assorted_string like '%41551-05-2024%' or</v>
      </c>
    </row>
    <row r="594" spans="1:5" x14ac:dyDescent="0.25">
      <c r="A594" t="s">
        <v>245</v>
      </c>
      <c r="B594" t="s">
        <v>4007</v>
      </c>
      <c r="D594">
        <v>41582</v>
      </c>
      <c r="E594" t="str">
        <f t="shared" si="9"/>
        <v>ia.assorted_string like '%41582-05-2024%' or</v>
      </c>
    </row>
    <row r="595" spans="1:5" x14ac:dyDescent="0.25">
      <c r="A595" t="s">
        <v>447</v>
      </c>
      <c r="B595" t="s">
        <v>4007</v>
      </c>
      <c r="D595">
        <v>41586</v>
      </c>
      <c r="E595" t="str">
        <f t="shared" si="9"/>
        <v>ia.assorted_string like '%41586-05-2024%' or</v>
      </c>
    </row>
    <row r="596" spans="1:5" x14ac:dyDescent="0.25">
      <c r="A596" t="s">
        <v>526</v>
      </c>
      <c r="B596" t="s">
        <v>4007</v>
      </c>
      <c r="D596">
        <v>41588</v>
      </c>
      <c r="E596" t="str">
        <f t="shared" si="9"/>
        <v>ia.assorted_string like '%41588-05-2024%' or</v>
      </c>
    </row>
    <row r="597" spans="1:5" x14ac:dyDescent="0.25">
      <c r="A597" t="s">
        <v>532</v>
      </c>
      <c r="B597" t="s">
        <v>4007</v>
      </c>
      <c r="D597">
        <v>41589</v>
      </c>
      <c r="E597" t="str">
        <f t="shared" si="9"/>
        <v>ia.assorted_string like '%41589-05-2024%' or</v>
      </c>
    </row>
    <row r="598" spans="1:5" x14ac:dyDescent="0.25">
      <c r="A598" t="s">
        <v>616</v>
      </c>
      <c r="B598" t="s">
        <v>4007</v>
      </c>
      <c r="D598">
        <v>41590</v>
      </c>
      <c r="E598" t="str">
        <f t="shared" si="9"/>
        <v>ia.assorted_string like '%41590-05-2024%' or</v>
      </c>
    </row>
    <row r="599" spans="1:5" x14ac:dyDescent="0.25">
      <c r="A599" t="s">
        <v>648</v>
      </c>
      <c r="B599" t="s">
        <v>4007</v>
      </c>
      <c r="D599">
        <v>41593</v>
      </c>
      <c r="E599" t="str">
        <f t="shared" si="9"/>
        <v>ia.assorted_string like '%41593-05-2024%' or</v>
      </c>
    </row>
    <row r="600" spans="1:5" x14ac:dyDescent="0.25">
      <c r="A600" t="s">
        <v>822</v>
      </c>
      <c r="B600" t="s">
        <v>4007</v>
      </c>
      <c r="D600">
        <v>41598</v>
      </c>
      <c r="E600" t="str">
        <f t="shared" si="9"/>
        <v>ia.assorted_string like '%41598-05-2024%' or</v>
      </c>
    </row>
    <row r="601" spans="1:5" x14ac:dyDescent="0.25">
      <c r="A601" t="s">
        <v>941</v>
      </c>
      <c r="B601" t="s">
        <v>4007</v>
      </c>
      <c r="D601">
        <v>41601</v>
      </c>
      <c r="E601" t="str">
        <f t="shared" si="9"/>
        <v>ia.assorted_string like '%41601-05-2024%' or</v>
      </c>
    </row>
    <row r="602" spans="1:5" x14ac:dyDescent="0.25">
      <c r="A602" t="s">
        <v>1076</v>
      </c>
      <c r="B602" t="s">
        <v>4007</v>
      </c>
      <c r="D602">
        <v>41605</v>
      </c>
      <c r="E602" t="str">
        <f t="shared" si="9"/>
        <v>ia.assorted_string like '%41605-05-2024%' or</v>
      </c>
    </row>
    <row r="603" spans="1:5" x14ac:dyDescent="0.25">
      <c r="A603" t="s">
        <v>1467</v>
      </c>
      <c r="B603" t="s">
        <v>4007</v>
      </c>
      <c r="D603">
        <v>41613</v>
      </c>
      <c r="E603" t="str">
        <f t="shared" si="9"/>
        <v>ia.assorted_string like '%41613-05-2024%' or</v>
      </c>
    </row>
    <row r="604" spans="1:5" x14ac:dyDescent="0.25">
      <c r="A604" t="s">
        <v>1717</v>
      </c>
      <c r="B604" t="s">
        <v>4007</v>
      </c>
      <c r="D604">
        <v>41617</v>
      </c>
      <c r="E604" t="str">
        <f t="shared" si="9"/>
        <v>ia.assorted_string like '%41617-05-2024%' or</v>
      </c>
    </row>
    <row r="605" spans="1:5" x14ac:dyDescent="0.25">
      <c r="A605" t="s">
        <v>338</v>
      </c>
      <c r="B605" t="s">
        <v>4007</v>
      </c>
      <c r="D605">
        <v>41631</v>
      </c>
      <c r="E605" t="str">
        <f t="shared" si="9"/>
        <v>ia.assorted_string like '%41631-05-2024%' or</v>
      </c>
    </row>
    <row r="606" spans="1:5" x14ac:dyDescent="0.25">
      <c r="A606" t="s">
        <v>1322</v>
      </c>
      <c r="B606" t="s">
        <v>4007</v>
      </c>
      <c r="D606">
        <v>41653</v>
      </c>
      <c r="E606" t="str">
        <f t="shared" si="9"/>
        <v>ia.assorted_string like '%41653-05-2024%' or</v>
      </c>
    </row>
    <row r="607" spans="1:5" x14ac:dyDescent="0.25">
      <c r="A607" t="s">
        <v>1334</v>
      </c>
      <c r="B607" t="s">
        <v>4007</v>
      </c>
      <c r="D607">
        <v>41654</v>
      </c>
      <c r="E607" t="str">
        <f t="shared" si="9"/>
        <v>ia.assorted_string like '%41654-05-2024%' or</v>
      </c>
    </row>
    <row r="608" spans="1:5" x14ac:dyDescent="0.25">
      <c r="A608" t="s">
        <v>1456</v>
      </c>
      <c r="B608" t="s">
        <v>4007</v>
      </c>
      <c r="D608">
        <v>41656</v>
      </c>
      <c r="E608" t="str">
        <f t="shared" si="9"/>
        <v>ia.assorted_string like '%41656-05-2024%' or</v>
      </c>
    </row>
    <row r="609" spans="1:5" x14ac:dyDescent="0.25">
      <c r="A609" t="s">
        <v>658</v>
      </c>
      <c r="B609" t="s">
        <v>4007</v>
      </c>
      <c r="D609">
        <v>41691</v>
      </c>
      <c r="E609" t="str">
        <f t="shared" si="9"/>
        <v>ia.assorted_string like '%41691-05-2024%' or</v>
      </c>
    </row>
    <row r="610" spans="1:5" x14ac:dyDescent="0.25">
      <c r="A610" t="s">
        <v>703</v>
      </c>
      <c r="B610" t="s">
        <v>4007</v>
      </c>
      <c r="D610">
        <v>41693</v>
      </c>
      <c r="E610" t="str">
        <f t="shared" si="9"/>
        <v>ia.assorted_string like '%41693-05-2024%' or</v>
      </c>
    </row>
    <row r="611" spans="1:5" x14ac:dyDescent="0.25">
      <c r="A611" t="s">
        <v>249</v>
      </c>
      <c r="B611" t="s">
        <v>4007</v>
      </c>
      <c r="D611">
        <v>41714</v>
      </c>
      <c r="E611" t="str">
        <f t="shared" si="9"/>
        <v>ia.assorted_string like '%41714-05-2024%' or</v>
      </c>
    </row>
    <row r="612" spans="1:5" x14ac:dyDescent="0.25">
      <c r="A612" t="s">
        <v>354</v>
      </c>
      <c r="B612" t="s">
        <v>4007</v>
      </c>
      <c r="D612">
        <v>41716</v>
      </c>
      <c r="E612" t="str">
        <f t="shared" si="9"/>
        <v>ia.assorted_string like '%41716-05-2024%' or</v>
      </c>
    </row>
    <row r="613" spans="1:5" x14ac:dyDescent="0.25">
      <c r="A613" t="s">
        <v>1122</v>
      </c>
      <c r="B613" t="s">
        <v>4007</v>
      </c>
      <c r="D613">
        <v>41727</v>
      </c>
      <c r="E613" t="str">
        <f t="shared" si="9"/>
        <v>ia.assorted_string like '%41727-05-2024%' or</v>
      </c>
    </row>
    <row r="614" spans="1:5" x14ac:dyDescent="0.25">
      <c r="A614" t="s">
        <v>1573</v>
      </c>
      <c r="B614" t="s">
        <v>4007</v>
      </c>
      <c r="D614">
        <v>41735</v>
      </c>
      <c r="E614" t="str">
        <f t="shared" si="9"/>
        <v>ia.assorted_string like '%41735-05-2024%' or</v>
      </c>
    </row>
    <row r="615" spans="1:5" x14ac:dyDescent="0.25">
      <c r="A615" t="s">
        <v>357</v>
      </c>
      <c r="B615" t="s">
        <v>4007</v>
      </c>
      <c r="D615">
        <v>41748</v>
      </c>
      <c r="E615" t="str">
        <f t="shared" si="9"/>
        <v>ia.assorted_string like '%41748-05-2024%' or</v>
      </c>
    </row>
    <row r="616" spans="1:5" x14ac:dyDescent="0.25">
      <c r="A616" t="s">
        <v>1354</v>
      </c>
      <c r="B616" t="s">
        <v>4007</v>
      </c>
      <c r="D616">
        <v>41752</v>
      </c>
      <c r="E616" t="str">
        <f t="shared" si="9"/>
        <v>ia.assorted_string like '%41752-05-2024%' or</v>
      </c>
    </row>
    <row r="617" spans="1:5" x14ac:dyDescent="0.25">
      <c r="A617" t="s">
        <v>1477</v>
      </c>
      <c r="B617" t="s">
        <v>4007</v>
      </c>
      <c r="D617">
        <v>41754</v>
      </c>
      <c r="E617" t="str">
        <f t="shared" si="9"/>
        <v>ia.assorted_string like '%41754-05-2024%' or</v>
      </c>
    </row>
    <row r="618" spans="1:5" x14ac:dyDescent="0.25">
      <c r="A618" t="s">
        <v>1734</v>
      </c>
      <c r="B618" t="s">
        <v>4007</v>
      </c>
      <c r="D618">
        <v>41757</v>
      </c>
      <c r="E618" t="str">
        <f t="shared" si="9"/>
        <v>ia.assorted_string like '%41757-05-2024%' or</v>
      </c>
    </row>
    <row r="619" spans="1:5" x14ac:dyDescent="0.25">
      <c r="A619" t="s">
        <v>1753</v>
      </c>
      <c r="B619" t="s">
        <v>4007</v>
      </c>
      <c r="D619">
        <v>41758</v>
      </c>
      <c r="E619" t="str">
        <f t="shared" si="9"/>
        <v>ia.assorted_string like '%41758-05-2024%' or</v>
      </c>
    </row>
    <row r="620" spans="1:5" x14ac:dyDescent="0.25">
      <c r="A620" t="s">
        <v>1761</v>
      </c>
      <c r="B620" t="s">
        <v>4007</v>
      </c>
      <c r="D620">
        <v>41759</v>
      </c>
      <c r="E620" t="str">
        <f t="shared" si="9"/>
        <v>ia.assorted_string like '%41759-05-2024%' or</v>
      </c>
    </row>
    <row r="621" spans="1:5" x14ac:dyDescent="0.25">
      <c r="A621" t="s">
        <v>1771</v>
      </c>
      <c r="B621" t="s">
        <v>4007</v>
      </c>
      <c r="D621">
        <v>41762</v>
      </c>
      <c r="E621" t="str">
        <f t="shared" si="9"/>
        <v>ia.assorted_string like '%41762-05-2024%' or</v>
      </c>
    </row>
    <row r="622" spans="1:5" x14ac:dyDescent="0.25">
      <c r="A622" t="s">
        <v>436</v>
      </c>
      <c r="B622" t="s">
        <v>4007</v>
      </c>
      <c r="D622">
        <v>41768</v>
      </c>
      <c r="E622" t="str">
        <f t="shared" si="9"/>
        <v>ia.assorted_string like '%41768-05-2024%' or</v>
      </c>
    </row>
    <row r="623" spans="1:5" x14ac:dyDescent="0.25">
      <c r="A623" t="s">
        <v>542</v>
      </c>
      <c r="B623" t="s">
        <v>4007</v>
      </c>
      <c r="D623">
        <v>41769</v>
      </c>
      <c r="E623" t="str">
        <f t="shared" si="9"/>
        <v>ia.assorted_string like '%41769-05-2024%' or</v>
      </c>
    </row>
    <row r="624" spans="1:5" x14ac:dyDescent="0.25">
      <c r="A624" t="s">
        <v>997</v>
      </c>
      <c r="B624" t="s">
        <v>4007</v>
      </c>
      <c r="D624">
        <v>41772</v>
      </c>
      <c r="E624" t="str">
        <f t="shared" si="9"/>
        <v>ia.assorted_string like '%41772-05-2024%' or</v>
      </c>
    </row>
    <row r="625" spans="1:5" x14ac:dyDescent="0.25">
      <c r="A625" t="s">
        <v>1382</v>
      </c>
      <c r="B625" t="s">
        <v>4007</v>
      </c>
      <c r="D625">
        <v>41776</v>
      </c>
      <c r="E625" t="str">
        <f t="shared" si="9"/>
        <v>ia.assorted_string like '%41776-05-2024%' or</v>
      </c>
    </row>
    <row r="626" spans="1:5" x14ac:dyDescent="0.25">
      <c r="A626" t="s">
        <v>373</v>
      </c>
      <c r="B626" t="s">
        <v>4007</v>
      </c>
      <c r="D626">
        <v>41805</v>
      </c>
      <c r="E626" t="str">
        <f t="shared" si="9"/>
        <v>ia.assorted_string like '%41805-05-2024%' or</v>
      </c>
    </row>
    <row r="627" spans="1:5" x14ac:dyDescent="0.25">
      <c r="A627" t="s">
        <v>453</v>
      </c>
      <c r="B627" t="s">
        <v>4007</v>
      </c>
      <c r="D627">
        <v>41807</v>
      </c>
      <c r="E627" t="str">
        <f t="shared" si="9"/>
        <v>ia.assorted_string like '%41807-05-2024%' or</v>
      </c>
    </row>
    <row r="628" spans="1:5" x14ac:dyDescent="0.25">
      <c r="A628" t="s">
        <v>838</v>
      </c>
      <c r="B628" t="s">
        <v>4007</v>
      </c>
      <c r="D628">
        <v>41809</v>
      </c>
      <c r="E628" t="str">
        <f t="shared" si="9"/>
        <v>ia.assorted_string like '%41809-05-2024%' or</v>
      </c>
    </row>
    <row r="629" spans="1:5" x14ac:dyDescent="0.25">
      <c r="A629" t="s">
        <v>849</v>
      </c>
      <c r="B629" t="s">
        <v>4007</v>
      </c>
      <c r="D629">
        <v>41810</v>
      </c>
      <c r="E629" t="str">
        <f t="shared" si="9"/>
        <v>ia.assorted_string like '%41810-05-2024%' or</v>
      </c>
    </row>
    <row r="630" spans="1:5" x14ac:dyDescent="0.25">
      <c r="A630" t="s">
        <v>1130</v>
      </c>
      <c r="B630" t="s">
        <v>4007</v>
      </c>
      <c r="D630">
        <v>41817</v>
      </c>
      <c r="E630" t="str">
        <f t="shared" si="9"/>
        <v>ia.assorted_string like '%41817-05-2024%' or</v>
      </c>
    </row>
    <row r="631" spans="1:5" x14ac:dyDescent="0.25">
      <c r="A631" t="s">
        <v>1144</v>
      </c>
      <c r="B631" t="s">
        <v>4007</v>
      </c>
      <c r="D631">
        <v>41858</v>
      </c>
      <c r="E631" t="str">
        <f t="shared" si="9"/>
        <v>ia.assorted_string like '%41858-05-2024%' or</v>
      </c>
    </row>
    <row r="632" spans="1:5" x14ac:dyDescent="0.25">
      <c r="A632" t="s">
        <v>1577</v>
      </c>
      <c r="B632" t="s">
        <v>4007</v>
      </c>
      <c r="D632">
        <v>41865</v>
      </c>
      <c r="E632" t="str">
        <f t="shared" si="9"/>
        <v>ia.assorted_string like '%41865-05-2024%' or</v>
      </c>
    </row>
    <row r="633" spans="1:5" x14ac:dyDescent="0.25">
      <c r="A633" t="s">
        <v>1583</v>
      </c>
      <c r="B633" t="s">
        <v>4007</v>
      </c>
      <c r="D633">
        <v>41867</v>
      </c>
      <c r="E633" t="str">
        <f t="shared" si="9"/>
        <v>ia.assorted_string like '%41867-05-2024%' or</v>
      </c>
    </row>
    <row r="634" spans="1:5" x14ac:dyDescent="0.25">
      <c r="A634" t="s">
        <v>362</v>
      </c>
      <c r="B634" t="s">
        <v>4007</v>
      </c>
      <c r="D634">
        <v>41901</v>
      </c>
      <c r="E634" t="str">
        <f t="shared" si="9"/>
        <v>ia.assorted_string like '%41901-05-2024%' or</v>
      </c>
    </row>
    <row r="635" spans="1:5" x14ac:dyDescent="0.25">
      <c r="A635" t="s">
        <v>377</v>
      </c>
      <c r="B635" t="s">
        <v>4007</v>
      </c>
      <c r="D635">
        <v>41902</v>
      </c>
      <c r="E635" t="str">
        <f t="shared" si="9"/>
        <v>ia.assorted_string like '%41902-05-2024%' or</v>
      </c>
    </row>
    <row r="636" spans="1:5" x14ac:dyDescent="0.25">
      <c r="A636" t="s">
        <v>473</v>
      </c>
      <c r="B636" t="s">
        <v>4007</v>
      </c>
      <c r="D636">
        <v>41905</v>
      </c>
      <c r="E636" t="str">
        <f t="shared" si="9"/>
        <v>ia.assorted_string like '%41905-05-2024%' or</v>
      </c>
    </row>
    <row r="637" spans="1:5" x14ac:dyDescent="0.25">
      <c r="A637" t="s">
        <v>983</v>
      </c>
      <c r="B637" t="s">
        <v>4007</v>
      </c>
      <c r="D637">
        <v>41908</v>
      </c>
      <c r="E637" t="str">
        <f t="shared" si="9"/>
        <v>ia.assorted_string like '%41908-05-2024%' or</v>
      </c>
    </row>
    <row r="638" spans="1:5" x14ac:dyDescent="0.25">
      <c r="A638" t="s">
        <v>1008</v>
      </c>
      <c r="B638" t="s">
        <v>4007</v>
      </c>
      <c r="D638">
        <v>41911</v>
      </c>
      <c r="E638" t="str">
        <f t="shared" si="9"/>
        <v>ia.assorted_string like '%41911-05-2024%' or</v>
      </c>
    </row>
    <row r="639" spans="1:5" x14ac:dyDescent="0.25">
      <c r="A639" t="s">
        <v>1393</v>
      </c>
      <c r="B639" t="s">
        <v>4007</v>
      </c>
      <c r="D639">
        <v>41917</v>
      </c>
      <c r="E639" t="str">
        <f t="shared" si="9"/>
        <v>ia.assorted_string like '%41917-05-2024%' or</v>
      </c>
    </row>
    <row r="640" spans="1:5" x14ac:dyDescent="0.25">
      <c r="A640" t="s">
        <v>1594</v>
      </c>
      <c r="B640" t="s">
        <v>4007</v>
      </c>
      <c r="D640">
        <v>41919</v>
      </c>
      <c r="E640" t="str">
        <f t="shared" si="9"/>
        <v>ia.assorted_string like '%41919-05-2024%' or</v>
      </c>
    </row>
    <row r="641" spans="1:5" x14ac:dyDescent="0.25">
      <c r="A641" t="s">
        <v>254</v>
      </c>
      <c r="B641" t="s">
        <v>4007</v>
      </c>
      <c r="D641">
        <v>41932</v>
      </c>
      <c r="E641" t="str">
        <f t="shared" si="9"/>
        <v>ia.assorted_string like '%41932-05-2024%' or</v>
      </c>
    </row>
    <row r="642" spans="1:5" x14ac:dyDescent="0.25">
      <c r="A642" t="s">
        <v>260</v>
      </c>
      <c r="B642" t="s">
        <v>4007</v>
      </c>
      <c r="D642">
        <v>41933</v>
      </c>
      <c r="E642" t="str">
        <f t="shared" ref="E642:E705" si="10">"ia.assorted_string like '%"&amp;D642&amp;B642&amp;"%' or"</f>
        <v>ia.assorted_string like '%41933-05-2024%' or</v>
      </c>
    </row>
    <row r="643" spans="1:5" x14ac:dyDescent="0.25">
      <c r="A643" t="s">
        <v>461</v>
      </c>
      <c r="B643" t="s">
        <v>4007</v>
      </c>
      <c r="D643">
        <v>41949</v>
      </c>
      <c r="E643" t="str">
        <f t="shared" si="10"/>
        <v>ia.assorted_string like '%41949-05-2024%' or</v>
      </c>
    </row>
    <row r="644" spans="1:5" x14ac:dyDescent="0.25">
      <c r="A644" t="s">
        <v>1372</v>
      </c>
      <c r="B644" t="s">
        <v>4007</v>
      </c>
      <c r="D644">
        <v>41954</v>
      </c>
      <c r="E644" t="str">
        <f t="shared" si="10"/>
        <v>ia.assorted_string like '%41954-05-2024%' or</v>
      </c>
    </row>
    <row r="645" spans="1:5" x14ac:dyDescent="0.25">
      <c r="A645" t="s">
        <v>1493</v>
      </c>
      <c r="B645" t="s">
        <v>4007</v>
      </c>
      <c r="D645">
        <v>41960</v>
      </c>
      <c r="E645" t="str">
        <f t="shared" si="10"/>
        <v>ia.assorted_string like '%41960-05-2024%' or</v>
      </c>
    </row>
    <row r="646" spans="1:5" x14ac:dyDescent="0.25">
      <c r="A646" t="s">
        <v>1503</v>
      </c>
      <c r="B646" t="s">
        <v>4007</v>
      </c>
      <c r="D646">
        <v>41961</v>
      </c>
      <c r="E646" t="str">
        <f t="shared" si="10"/>
        <v>ia.assorted_string like '%41961-05-2024%' or</v>
      </c>
    </row>
    <row r="647" spans="1:5" x14ac:dyDescent="0.25">
      <c r="A647" t="s">
        <v>1781</v>
      </c>
      <c r="B647" t="s">
        <v>4007</v>
      </c>
      <c r="D647">
        <v>41965</v>
      </c>
      <c r="E647" t="str">
        <f t="shared" si="10"/>
        <v>ia.assorted_string like '%41965-05-2024%' or</v>
      </c>
    </row>
    <row r="648" spans="1:5" x14ac:dyDescent="0.25">
      <c r="A648" t="s">
        <v>367</v>
      </c>
      <c r="B648" t="s">
        <v>4007</v>
      </c>
      <c r="D648">
        <v>41979</v>
      </c>
      <c r="E648" t="str">
        <f t="shared" si="10"/>
        <v>ia.assorted_string like '%41979-05-2024%' or</v>
      </c>
    </row>
    <row r="649" spans="1:5" x14ac:dyDescent="0.25">
      <c r="A649" t="s">
        <v>396</v>
      </c>
      <c r="B649" t="s">
        <v>4007</v>
      </c>
      <c r="D649">
        <v>41981</v>
      </c>
      <c r="E649" t="str">
        <f t="shared" si="10"/>
        <v>ia.assorted_string like '%41981-05-2024%' or</v>
      </c>
    </row>
    <row r="650" spans="1:5" x14ac:dyDescent="0.25">
      <c r="A650" t="s">
        <v>722</v>
      </c>
      <c r="B650" t="s">
        <v>4007</v>
      </c>
      <c r="D650">
        <v>41989</v>
      </c>
      <c r="E650" t="str">
        <f t="shared" si="10"/>
        <v>ia.assorted_string like '%41989-05-2024%' or</v>
      </c>
    </row>
    <row r="651" spans="1:5" x14ac:dyDescent="0.25">
      <c r="A651" t="s">
        <v>1028</v>
      </c>
      <c r="B651" t="s">
        <v>4007</v>
      </c>
      <c r="D651">
        <v>41997</v>
      </c>
      <c r="E651" t="str">
        <f t="shared" si="10"/>
        <v>ia.assorted_string like '%41997-05-2024%' or</v>
      </c>
    </row>
    <row r="652" spans="1:5" x14ac:dyDescent="0.25">
      <c r="A652" t="s">
        <v>1169</v>
      </c>
      <c r="B652" t="s">
        <v>4007</v>
      </c>
      <c r="D652">
        <v>42005</v>
      </c>
      <c r="E652" t="str">
        <f t="shared" si="10"/>
        <v>ia.assorted_string like '%42005-05-2024%' or</v>
      </c>
    </row>
    <row r="653" spans="1:5" x14ac:dyDescent="0.25">
      <c r="A653" t="s">
        <v>1195</v>
      </c>
      <c r="B653" t="s">
        <v>4007</v>
      </c>
      <c r="D653">
        <v>42008</v>
      </c>
      <c r="E653" t="str">
        <f t="shared" si="10"/>
        <v>ia.assorted_string like '%42008-05-2024%' or</v>
      </c>
    </row>
    <row r="654" spans="1:5" x14ac:dyDescent="0.25">
      <c r="A654" t="s">
        <v>1406</v>
      </c>
      <c r="B654" t="s">
        <v>4007</v>
      </c>
      <c r="D654">
        <v>42011</v>
      </c>
      <c r="E654" t="str">
        <f t="shared" si="10"/>
        <v>ia.assorted_string like '%42011-05-2024%' or</v>
      </c>
    </row>
    <row r="655" spans="1:5" x14ac:dyDescent="0.25">
      <c r="A655" t="s">
        <v>1489</v>
      </c>
      <c r="B655" t="s">
        <v>4007</v>
      </c>
      <c r="D655">
        <v>42013</v>
      </c>
      <c r="E655" t="str">
        <f t="shared" si="10"/>
        <v>ia.assorted_string like '%42013-05-2024%' or</v>
      </c>
    </row>
    <row r="656" spans="1:5" x14ac:dyDescent="0.25">
      <c r="A656" t="s">
        <v>1490</v>
      </c>
      <c r="B656" t="s">
        <v>4007</v>
      </c>
      <c r="D656">
        <v>42014</v>
      </c>
      <c r="E656" t="str">
        <f t="shared" si="10"/>
        <v>ia.assorted_string like '%42014-05-2024%' or</v>
      </c>
    </row>
    <row r="657" spans="1:5" x14ac:dyDescent="0.25">
      <c r="A657" t="s">
        <v>1608</v>
      </c>
      <c r="B657" t="s">
        <v>4007</v>
      </c>
      <c r="D657">
        <v>42017</v>
      </c>
      <c r="E657" t="str">
        <f t="shared" si="10"/>
        <v>ia.assorted_string like '%42017-05-2024%' or</v>
      </c>
    </row>
    <row r="658" spans="1:5" x14ac:dyDescent="0.25">
      <c r="A658" t="s">
        <v>1178</v>
      </c>
      <c r="B658" t="s">
        <v>4007</v>
      </c>
      <c r="D658">
        <v>42028</v>
      </c>
      <c r="E658" t="str">
        <f t="shared" si="10"/>
        <v>ia.assorted_string like '%42028-05-2024%' or</v>
      </c>
    </row>
    <row r="659" spans="1:5" x14ac:dyDescent="0.25">
      <c r="A659" t="s">
        <v>1179</v>
      </c>
      <c r="B659" t="s">
        <v>4007</v>
      </c>
      <c r="D659">
        <v>42029</v>
      </c>
      <c r="E659" t="str">
        <f t="shared" si="10"/>
        <v>ia.assorted_string like '%42029-05-2024%' or</v>
      </c>
    </row>
    <row r="660" spans="1:5" x14ac:dyDescent="0.25">
      <c r="A660" t="s">
        <v>1180</v>
      </c>
      <c r="B660" t="s">
        <v>4007</v>
      </c>
      <c r="D660">
        <v>42030</v>
      </c>
      <c r="E660" t="str">
        <f t="shared" si="10"/>
        <v>ia.assorted_string like '%42030-05-2024%' or</v>
      </c>
    </row>
    <row r="661" spans="1:5" x14ac:dyDescent="0.25">
      <c r="A661" t="s">
        <v>1181</v>
      </c>
      <c r="B661" t="s">
        <v>4007</v>
      </c>
      <c r="D661">
        <v>42031</v>
      </c>
      <c r="E661" t="str">
        <f t="shared" si="10"/>
        <v>ia.assorted_string like '%42031-05-2024%' or</v>
      </c>
    </row>
    <row r="662" spans="1:5" x14ac:dyDescent="0.25">
      <c r="A662" t="s">
        <v>1182</v>
      </c>
      <c r="B662" t="s">
        <v>4007</v>
      </c>
      <c r="D662">
        <v>42032</v>
      </c>
      <c r="E662" t="str">
        <f t="shared" si="10"/>
        <v>ia.assorted_string like '%42032-05-2024%' or</v>
      </c>
    </row>
    <row r="663" spans="1:5" x14ac:dyDescent="0.25">
      <c r="A663" t="s">
        <v>739</v>
      </c>
      <c r="B663" t="s">
        <v>4007</v>
      </c>
      <c r="D663">
        <v>42053</v>
      </c>
      <c r="E663" t="str">
        <f t="shared" si="10"/>
        <v>ia.assorted_string like '%42053-05-2024%' or</v>
      </c>
    </row>
    <row r="664" spans="1:5" x14ac:dyDescent="0.25">
      <c r="A664" t="s">
        <v>747</v>
      </c>
      <c r="B664" t="s">
        <v>4007</v>
      </c>
      <c r="D664">
        <v>42054</v>
      </c>
      <c r="E664" t="str">
        <f t="shared" si="10"/>
        <v>ia.assorted_string like '%42054-05-2024%' or</v>
      </c>
    </row>
    <row r="665" spans="1:5" x14ac:dyDescent="0.25">
      <c r="A665" t="s">
        <v>876</v>
      </c>
      <c r="B665" t="s">
        <v>4007</v>
      </c>
      <c r="D665">
        <v>42055</v>
      </c>
      <c r="E665" t="str">
        <f t="shared" si="10"/>
        <v>ia.assorted_string like '%42055-05-2024%' or</v>
      </c>
    </row>
    <row r="666" spans="1:5" x14ac:dyDescent="0.25">
      <c r="A666" t="s">
        <v>1522</v>
      </c>
      <c r="B666" t="s">
        <v>4007</v>
      </c>
      <c r="D666">
        <v>42073</v>
      </c>
      <c r="E666" t="str">
        <f t="shared" si="10"/>
        <v>ia.assorted_string like '%42073-05-2024%' or</v>
      </c>
    </row>
    <row r="667" spans="1:5" x14ac:dyDescent="0.25">
      <c r="A667" t="s">
        <v>1528</v>
      </c>
      <c r="B667" t="s">
        <v>4007</v>
      </c>
      <c r="D667">
        <v>42074</v>
      </c>
      <c r="E667" t="str">
        <f t="shared" si="10"/>
        <v>ia.assorted_string like '%42074-05-2024%' or</v>
      </c>
    </row>
    <row r="668" spans="1:5" x14ac:dyDescent="0.25">
      <c r="A668" t="s">
        <v>1536</v>
      </c>
      <c r="B668" t="s">
        <v>4007</v>
      </c>
      <c r="D668">
        <v>42075</v>
      </c>
      <c r="E668" t="str">
        <f t="shared" si="10"/>
        <v>ia.assorted_string like '%42075-05-2024%' or</v>
      </c>
    </row>
    <row r="669" spans="1:5" x14ac:dyDescent="0.25">
      <c r="A669" t="s">
        <v>1619</v>
      </c>
      <c r="B669" t="s">
        <v>4007</v>
      </c>
      <c r="D669">
        <v>42078</v>
      </c>
      <c r="E669" t="str">
        <f t="shared" si="10"/>
        <v>ia.assorted_string like '%42078-05-2024%' or</v>
      </c>
    </row>
    <row r="670" spans="1:5" x14ac:dyDescent="0.25">
      <c r="A670" t="s">
        <v>1641</v>
      </c>
      <c r="B670" t="s">
        <v>4007</v>
      </c>
      <c r="D670">
        <v>42081</v>
      </c>
      <c r="E670" t="str">
        <f t="shared" si="10"/>
        <v>ia.assorted_string like '%42081-05-2024%' or</v>
      </c>
    </row>
    <row r="671" spans="1:5" x14ac:dyDescent="0.25">
      <c r="A671" t="s">
        <v>1800</v>
      </c>
      <c r="B671" t="s">
        <v>4007</v>
      </c>
      <c r="D671">
        <v>42086</v>
      </c>
      <c r="E671" t="str">
        <f t="shared" si="10"/>
        <v>ia.assorted_string like '%42086-05-2024%' or</v>
      </c>
    </row>
    <row r="672" spans="1:5" x14ac:dyDescent="0.25">
      <c r="A672" t="s">
        <v>1650</v>
      </c>
      <c r="B672" t="s">
        <v>4007</v>
      </c>
      <c r="D672">
        <v>42128</v>
      </c>
      <c r="E672" t="str">
        <f t="shared" si="10"/>
        <v>ia.assorted_string like '%42128-05-2024%' or</v>
      </c>
    </row>
    <row r="673" spans="1:5" x14ac:dyDescent="0.25">
      <c r="A673" t="s">
        <v>282</v>
      </c>
      <c r="B673" t="s">
        <v>4007</v>
      </c>
      <c r="D673">
        <v>42137</v>
      </c>
      <c r="E673" t="str">
        <f t="shared" si="10"/>
        <v>ia.assorted_string like '%42137-05-2024%' or</v>
      </c>
    </row>
    <row r="674" spans="1:5" x14ac:dyDescent="0.25">
      <c r="A674" t="s">
        <v>288</v>
      </c>
      <c r="B674" t="s">
        <v>4007</v>
      </c>
      <c r="D674">
        <v>42138</v>
      </c>
      <c r="E674" t="str">
        <f t="shared" si="10"/>
        <v>ia.assorted_string like '%42138-05-2024%' or</v>
      </c>
    </row>
    <row r="675" spans="1:5" x14ac:dyDescent="0.25">
      <c r="A675" t="s">
        <v>1551</v>
      </c>
      <c r="B675" t="s">
        <v>4007</v>
      </c>
      <c r="D675">
        <v>42147</v>
      </c>
      <c r="E675" t="str">
        <f t="shared" si="10"/>
        <v>ia.assorted_string like '%42147-05-2024%' or</v>
      </c>
    </row>
    <row r="676" spans="1:5" x14ac:dyDescent="0.25">
      <c r="A676" t="s">
        <v>1664</v>
      </c>
      <c r="B676" t="s">
        <v>4007</v>
      </c>
      <c r="D676">
        <v>42149</v>
      </c>
      <c r="E676" t="str">
        <f t="shared" si="10"/>
        <v>ia.assorted_string like '%42149-05-2024%' or</v>
      </c>
    </row>
    <row r="677" spans="1:5" x14ac:dyDescent="0.25">
      <c r="A677" t="s">
        <v>1674</v>
      </c>
      <c r="B677" t="s">
        <v>4007</v>
      </c>
      <c r="D677">
        <v>42150</v>
      </c>
      <c r="E677" t="str">
        <f t="shared" si="10"/>
        <v>ia.assorted_string like '%42150-05-2024%' or</v>
      </c>
    </row>
    <row r="678" spans="1:5" x14ac:dyDescent="0.25">
      <c r="A678" t="s">
        <v>294</v>
      </c>
      <c r="B678" t="s">
        <v>4008</v>
      </c>
      <c r="D678">
        <v>42178</v>
      </c>
      <c r="E678" t="str">
        <f t="shared" si="10"/>
        <v>ia.assorted_string like '%42178-06-2024%' or</v>
      </c>
    </row>
    <row r="679" spans="1:5" x14ac:dyDescent="0.25">
      <c r="A679" t="s">
        <v>297</v>
      </c>
      <c r="B679" t="s">
        <v>4008</v>
      </c>
      <c r="D679">
        <v>42179</v>
      </c>
      <c r="E679" t="str">
        <f t="shared" si="10"/>
        <v>ia.assorted_string like '%42179-06-2024%' or</v>
      </c>
    </row>
    <row r="680" spans="1:5" x14ac:dyDescent="0.25">
      <c r="A680" t="s">
        <v>609</v>
      </c>
      <c r="B680" t="s">
        <v>4008</v>
      </c>
      <c r="D680">
        <v>42184</v>
      </c>
      <c r="E680" t="str">
        <f t="shared" si="10"/>
        <v>ia.assorted_string like '%42184-06-2024%' or</v>
      </c>
    </row>
    <row r="681" spans="1:5" x14ac:dyDescent="0.25">
      <c r="A681" t="s">
        <v>897</v>
      </c>
      <c r="B681" t="s">
        <v>4008</v>
      </c>
      <c r="D681">
        <v>42189</v>
      </c>
      <c r="E681" t="str">
        <f t="shared" si="10"/>
        <v>ia.assorted_string like '%42189-06-2024%' or</v>
      </c>
    </row>
    <row r="682" spans="1:5" x14ac:dyDescent="0.25">
      <c r="A682" t="s">
        <v>904</v>
      </c>
      <c r="B682" t="s">
        <v>4008</v>
      </c>
      <c r="D682">
        <v>42190</v>
      </c>
      <c r="E682" t="str">
        <f t="shared" si="10"/>
        <v>ia.assorted_string like '%42190-06-2024%' or</v>
      </c>
    </row>
    <row r="683" spans="1:5" x14ac:dyDescent="0.25">
      <c r="A683" t="s">
        <v>1253</v>
      </c>
      <c r="B683" t="s">
        <v>4008</v>
      </c>
      <c r="D683">
        <v>42200</v>
      </c>
      <c r="E683" t="str">
        <f t="shared" si="10"/>
        <v>ia.assorted_string like '%42200-06-2024%' or</v>
      </c>
    </row>
    <row r="684" spans="1:5" x14ac:dyDescent="0.25">
      <c r="A684" t="s">
        <v>1444</v>
      </c>
      <c r="B684" t="s">
        <v>4008</v>
      </c>
      <c r="D684">
        <v>42207</v>
      </c>
      <c r="E684" t="str">
        <f t="shared" si="10"/>
        <v>ia.assorted_string like '%42207-06-2024%' or</v>
      </c>
    </row>
    <row r="685" spans="1:5" x14ac:dyDescent="0.25">
      <c r="A685" t="s">
        <v>1657</v>
      </c>
      <c r="B685" t="s">
        <v>4008</v>
      </c>
      <c r="D685">
        <v>42209</v>
      </c>
      <c r="E685" t="str">
        <f t="shared" si="10"/>
        <v>ia.assorted_string like '%42209-06-2024%' or</v>
      </c>
    </row>
    <row r="686" spans="1:5" x14ac:dyDescent="0.25">
      <c r="A686" t="s">
        <v>1806</v>
      </c>
      <c r="B686" t="s">
        <v>4008</v>
      </c>
      <c r="D686">
        <v>42211</v>
      </c>
      <c r="E686" t="str">
        <f t="shared" si="10"/>
        <v>ia.assorted_string like '%42211-06-2024%' or</v>
      </c>
    </row>
    <row r="687" spans="1:5" x14ac:dyDescent="0.25">
      <c r="A687" t="s">
        <v>1814</v>
      </c>
      <c r="B687" t="s">
        <v>4008</v>
      </c>
      <c r="D687">
        <v>42212</v>
      </c>
      <c r="E687" t="str">
        <f t="shared" si="10"/>
        <v>ia.assorted_string like '%42212-06-2024%' or</v>
      </c>
    </row>
    <row r="688" spans="1:5" x14ac:dyDescent="0.25">
      <c r="A688" t="s">
        <v>754</v>
      </c>
      <c r="B688" t="s">
        <v>4008</v>
      </c>
      <c r="D688">
        <v>42251</v>
      </c>
      <c r="E688" t="str">
        <f t="shared" si="10"/>
        <v>ia.assorted_string like '%42251-06-2024%' or</v>
      </c>
    </row>
    <row r="689" spans="1:5" x14ac:dyDescent="0.25">
      <c r="A689" t="s">
        <v>914</v>
      </c>
      <c r="B689" t="s">
        <v>4008</v>
      </c>
      <c r="D689">
        <v>42270</v>
      </c>
      <c r="E689" t="str">
        <f t="shared" si="10"/>
        <v>ia.assorted_string like '%42270-06-2024%' or</v>
      </c>
    </row>
    <row r="690" spans="1:5" x14ac:dyDescent="0.25">
      <c r="A690" t="s">
        <v>929</v>
      </c>
      <c r="B690" t="s">
        <v>4008</v>
      </c>
      <c r="D690">
        <v>42271</v>
      </c>
      <c r="E690" t="str">
        <f t="shared" si="10"/>
        <v>ia.assorted_string like '%42271-06-2024%' or</v>
      </c>
    </row>
    <row r="691" spans="1:5" x14ac:dyDescent="0.25">
      <c r="A691" t="s">
        <v>1275</v>
      </c>
      <c r="B691" t="s">
        <v>4008</v>
      </c>
      <c r="D691">
        <v>42279</v>
      </c>
      <c r="E691" t="str">
        <f t="shared" si="10"/>
        <v>ia.assorted_string like '%42279-06-2024%' or</v>
      </c>
    </row>
    <row r="692" spans="1:5" x14ac:dyDescent="0.25">
      <c r="A692" t="s">
        <v>1704</v>
      </c>
      <c r="B692" t="s">
        <v>4008</v>
      </c>
      <c r="D692">
        <v>42292</v>
      </c>
      <c r="E692" t="str">
        <f t="shared" si="10"/>
        <v>ia.assorted_string like '%42292-06-2024%' or</v>
      </c>
    </row>
    <row r="693" spans="1:5" x14ac:dyDescent="0.25">
      <c r="A693" t="s">
        <v>1727</v>
      </c>
      <c r="B693" t="s">
        <v>4008</v>
      </c>
      <c r="D693">
        <v>42295</v>
      </c>
      <c r="E693" t="str">
        <f t="shared" si="10"/>
        <v>ia.assorted_string like '%42295-06-2024%' or</v>
      </c>
    </row>
    <row r="694" spans="1:5" x14ac:dyDescent="0.25">
      <c r="A694" t="s">
        <v>421</v>
      </c>
      <c r="B694" t="s">
        <v>4008</v>
      </c>
      <c r="D694">
        <v>42312</v>
      </c>
      <c r="E694" t="str">
        <f t="shared" si="10"/>
        <v>ia.assorted_string like '%42312-06-2024%' or</v>
      </c>
    </row>
    <row r="695" spans="1:5" x14ac:dyDescent="0.25">
      <c r="A695" t="s">
        <v>770</v>
      </c>
      <c r="B695" t="s">
        <v>4008</v>
      </c>
      <c r="D695">
        <v>42318</v>
      </c>
      <c r="E695" t="str">
        <f t="shared" si="10"/>
        <v>ia.assorted_string like '%42318-06-2024%' or</v>
      </c>
    </row>
    <row r="696" spans="1:5" x14ac:dyDescent="0.25">
      <c r="A696" t="s">
        <v>778</v>
      </c>
      <c r="B696" t="s">
        <v>4008</v>
      </c>
      <c r="D696">
        <v>42319</v>
      </c>
      <c r="E696" t="str">
        <f t="shared" si="10"/>
        <v>ia.assorted_string like '%42319-06-2024%' or</v>
      </c>
    </row>
    <row r="697" spans="1:5" x14ac:dyDescent="0.25">
      <c r="A697" t="s">
        <v>791</v>
      </c>
      <c r="B697" t="s">
        <v>4008</v>
      </c>
      <c r="D697">
        <v>42320</v>
      </c>
      <c r="E697" t="str">
        <f t="shared" si="10"/>
        <v>ia.assorted_string like '%42320-06-2024%' or</v>
      </c>
    </row>
    <row r="698" spans="1:5" x14ac:dyDescent="0.25">
      <c r="A698" t="s">
        <v>1056</v>
      </c>
      <c r="B698" t="s">
        <v>4008</v>
      </c>
      <c r="D698">
        <v>42324</v>
      </c>
      <c r="E698" t="str">
        <f t="shared" si="10"/>
        <v>ia.assorted_string like '%42324-06-2024%' or</v>
      </c>
    </row>
    <row r="699" spans="1:5" x14ac:dyDescent="0.25">
      <c r="A699" t="s">
        <v>1091</v>
      </c>
      <c r="B699" t="s">
        <v>4008</v>
      </c>
      <c r="D699">
        <v>42326</v>
      </c>
      <c r="E699" t="str">
        <f t="shared" si="10"/>
        <v>ia.assorted_string like '%42326-06-2024%' or</v>
      </c>
    </row>
    <row r="700" spans="1:5" x14ac:dyDescent="0.25">
      <c r="A700" t="s">
        <v>1224</v>
      </c>
      <c r="B700" t="s">
        <v>4008</v>
      </c>
      <c r="D700">
        <v>42327</v>
      </c>
      <c r="E700" t="str">
        <f t="shared" si="10"/>
        <v>ia.assorted_string like '%42327-06-2024%' or</v>
      </c>
    </row>
    <row r="701" spans="1:5" x14ac:dyDescent="0.25">
      <c r="A701" t="s">
        <v>1280</v>
      </c>
      <c r="B701" t="s">
        <v>4008</v>
      </c>
      <c r="D701">
        <v>42330</v>
      </c>
      <c r="E701" t="str">
        <f t="shared" si="10"/>
        <v>ia.assorted_string like '%42330-06-2024%' or</v>
      </c>
    </row>
    <row r="702" spans="1:5" x14ac:dyDescent="0.25">
      <c r="A702" t="s">
        <v>1304</v>
      </c>
      <c r="B702" t="s">
        <v>4008</v>
      </c>
      <c r="D702">
        <v>42334</v>
      </c>
      <c r="E702" t="str">
        <f t="shared" si="10"/>
        <v>ia.assorted_string like '%42334-06-2024%' or</v>
      </c>
    </row>
    <row r="703" spans="1:5" x14ac:dyDescent="0.25">
      <c r="A703" t="s">
        <v>1433</v>
      </c>
      <c r="B703" t="s">
        <v>4008</v>
      </c>
      <c r="D703">
        <v>42337</v>
      </c>
      <c r="E703" t="str">
        <f t="shared" si="10"/>
        <v>ia.assorted_string like '%42337-06-2024%' or</v>
      </c>
    </row>
    <row r="704" spans="1:5" x14ac:dyDescent="0.25">
      <c r="A704" t="s">
        <v>1827</v>
      </c>
      <c r="B704" t="s">
        <v>4008</v>
      </c>
      <c r="D704">
        <v>42346</v>
      </c>
      <c r="E704" t="str">
        <f t="shared" si="10"/>
        <v>ia.assorted_string like '%42346-06-2024%' or</v>
      </c>
    </row>
    <row r="705" spans="1:5" x14ac:dyDescent="0.25">
      <c r="A705" t="s">
        <v>306</v>
      </c>
      <c r="B705" t="s">
        <v>4008</v>
      </c>
      <c r="D705">
        <v>42376</v>
      </c>
      <c r="E705" t="str">
        <f t="shared" si="10"/>
        <v>ia.assorted_string like '%42376-06-2024%' or</v>
      </c>
    </row>
    <row r="706" spans="1:5" x14ac:dyDescent="0.25">
      <c r="A706" t="s">
        <v>558</v>
      </c>
      <c r="B706" t="s">
        <v>4008</v>
      </c>
      <c r="D706">
        <v>42378</v>
      </c>
      <c r="E706" t="str">
        <f t="shared" ref="E706:E769" si="11">"ia.assorted_string like '%"&amp;D706&amp;B706&amp;"%' or"</f>
        <v>ia.assorted_string like '%42378-06-2024%' or</v>
      </c>
    </row>
    <row r="707" spans="1:5" x14ac:dyDescent="0.25">
      <c r="A707" t="s">
        <v>326</v>
      </c>
      <c r="B707" t="s">
        <v>4008</v>
      </c>
      <c r="D707">
        <v>42416</v>
      </c>
      <c r="E707" t="str">
        <f t="shared" si="11"/>
        <v>ia.assorted_string like '%42416-06-2024%' or</v>
      </c>
    </row>
    <row r="708" spans="1:5" x14ac:dyDescent="0.25">
      <c r="A708" t="s">
        <v>333</v>
      </c>
      <c r="B708" t="s">
        <v>4008</v>
      </c>
      <c r="D708">
        <v>42421</v>
      </c>
      <c r="E708" t="str">
        <f t="shared" si="11"/>
        <v>ia.assorted_string like '%42421-06-2024%' or</v>
      </c>
    </row>
    <row r="709" spans="1:5" x14ac:dyDescent="0.25">
      <c r="A709" t="s">
        <v>344</v>
      </c>
      <c r="B709" t="s">
        <v>4008</v>
      </c>
      <c r="D709">
        <v>42422</v>
      </c>
      <c r="E709" t="str">
        <f t="shared" si="11"/>
        <v>ia.assorted_string like '%42422-06-2024%' or</v>
      </c>
    </row>
    <row r="710" spans="1:5" x14ac:dyDescent="0.25">
      <c r="A710" t="s">
        <v>591</v>
      </c>
      <c r="B710" t="s">
        <v>4008</v>
      </c>
      <c r="D710">
        <v>42428</v>
      </c>
      <c r="E710" t="str">
        <f t="shared" si="11"/>
        <v>ia.assorted_string like '%42428-06-2024%' or</v>
      </c>
    </row>
    <row r="711" spans="1:5" x14ac:dyDescent="0.25">
      <c r="A711" t="s">
        <v>970</v>
      </c>
      <c r="B711" t="s">
        <v>4008</v>
      </c>
      <c r="D711">
        <v>42434</v>
      </c>
      <c r="E711" t="str">
        <f t="shared" si="11"/>
        <v>ia.assorted_string like '%42434-06-2024%' or</v>
      </c>
    </row>
    <row r="712" spans="1:5" x14ac:dyDescent="0.25">
      <c r="A712" t="s">
        <v>1066</v>
      </c>
      <c r="B712" t="s">
        <v>4008</v>
      </c>
      <c r="D712">
        <v>42436</v>
      </c>
      <c r="E712" t="str">
        <f t="shared" si="11"/>
        <v>ia.assorted_string like '%42436-06-2024%' or</v>
      </c>
    </row>
    <row r="713" spans="1:5" x14ac:dyDescent="0.25">
      <c r="A713" t="s">
        <v>1291</v>
      </c>
      <c r="B713" t="s">
        <v>4008</v>
      </c>
      <c r="D713">
        <v>42439</v>
      </c>
      <c r="E713" t="str">
        <f t="shared" si="11"/>
        <v>ia.assorted_string like '%42439-06-2024%' or</v>
      </c>
    </row>
    <row r="714" spans="1:5" x14ac:dyDescent="0.25">
      <c r="A714" t="s">
        <v>617</v>
      </c>
      <c r="B714" t="s">
        <v>4008</v>
      </c>
      <c r="D714">
        <v>42486</v>
      </c>
      <c r="E714" t="str">
        <f t="shared" si="11"/>
        <v>ia.assorted_string like '%42486-06-2024%' or</v>
      </c>
    </row>
    <row r="715" spans="1:5" x14ac:dyDescent="0.25">
      <c r="A715" t="s">
        <v>649</v>
      </c>
      <c r="B715" t="s">
        <v>4008</v>
      </c>
      <c r="D715">
        <v>42488</v>
      </c>
      <c r="E715" t="str">
        <f t="shared" si="11"/>
        <v>ia.assorted_string like '%42488-06-2024%' or</v>
      </c>
    </row>
    <row r="716" spans="1:5" x14ac:dyDescent="0.25">
      <c r="A716" t="s">
        <v>942</v>
      </c>
      <c r="B716" t="s">
        <v>4008</v>
      </c>
      <c r="D716">
        <v>42490</v>
      </c>
      <c r="E716" t="str">
        <f t="shared" si="11"/>
        <v>ia.assorted_string like '%42490-06-2024%' or</v>
      </c>
    </row>
    <row r="717" spans="1:5" x14ac:dyDescent="0.25">
      <c r="A717" t="s">
        <v>448</v>
      </c>
      <c r="B717" t="s">
        <v>4008</v>
      </c>
      <c r="D717">
        <v>42527</v>
      </c>
      <c r="E717" t="str">
        <f t="shared" si="11"/>
        <v>ia.assorted_string like '%42527-06-2024%' or</v>
      </c>
    </row>
    <row r="718" spans="1:5" x14ac:dyDescent="0.25">
      <c r="A718" t="s">
        <v>533</v>
      </c>
      <c r="B718" t="s">
        <v>4008</v>
      </c>
      <c r="D718">
        <v>42528</v>
      </c>
      <c r="E718" t="str">
        <f t="shared" si="11"/>
        <v>ia.assorted_string like '%42528-06-2024%' or</v>
      </c>
    </row>
    <row r="719" spans="1:5" x14ac:dyDescent="0.25">
      <c r="A719" t="s">
        <v>631</v>
      </c>
      <c r="B719" t="s">
        <v>4008</v>
      </c>
      <c r="D719">
        <v>42529</v>
      </c>
      <c r="E719" t="str">
        <f t="shared" si="11"/>
        <v>ia.assorted_string like '%42529-06-2024%' or</v>
      </c>
    </row>
    <row r="720" spans="1:5" x14ac:dyDescent="0.25">
      <c r="A720" t="s">
        <v>823</v>
      </c>
      <c r="B720" t="s">
        <v>4008</v>
      </c>
      <c r="D720">
        <v>42533</v>
      </c>
      <c r="E720" t="str">
        <f t="shared" si="11"/>
        <v>ia.assorted_string like '%42533-06-2024%' or</v>
      </c>
    </row>
    <row r="721" spans="1:5" x14ac:dyDescent="0.25">
      <c r="A721" t="s">
        <v>1077</v>
      </c>
      <c r="B721" t="s">
        <v>4008</v>
      </c>
      <c r="D721">
        <v>42536</v>
      </c>
      <c r="E721" t="str">
        <f t="shared" si="11"/>
        <v>ia.assorted_string like '%42536-06-2024%' or</v>
      </c>
    </row>
    <row r="722" spans="1:5" x14ac:dyDescent="0.25">
      <c r="A722" t="s">
        <v>1468</v>
      </c>
      <c r="B722" t="s">
        <v>4008</v>
      </c>
      <c r="D722">
        <v>42540</v>
      </c>
      <c r="E722" t="str">
        <f t="shared" si="11"/>
        <v>ia.assorted_string like '%42540-06-2024%' or</v>
      </c>
    </row>
    <row r="723" spans="1:5" x14ac:dyDescent="0.25">
      <c r="A723" t="s">
        <v>1718</v>
      </c>
      <c r="B723" t="s">
        <v>4008</v>
      </c>
      <c r="D723">
        <v>42541</v>
      </c>
      <c r="E723" t="str">
        <f t="shared" si="11"/>
        <v>ia.assorted_string like '%42541-06-2024%' or</v>
      </c>
    </row>
    <row r="724" spans="1:5" x14ac:dyDescent="0.25">
      <c r="A724" t="s">
        <v>1323</v>
      </c>
      <c r="B724" t="s">
        <v>4008</v>
      </c>
      <c r="D724">
        <v>42608</v>
      </c>
      <c r="E724" t="str">
        <f t="shared" si="11"/>
        <v>ia.assorted_string like '%42608-06-2024%' or</v>
      </c>
    </row>
    <row r="725" spans="1:5" x14ac:dyDescent="0.25">
      <c r="A725" t="s">
        <v>1837</v>
      </c>
      <c r="B725" t="s">
        <v>4008</v>
      </c>
      <c r="D725">
        <v>42619</v>
      </c>
      <c r="E725" t="str">
        <f t="shared" si="11"/>
        <v>ia.assorted_string like '%42619-06-2024%' or</v>
      </c>
    </row>
    <row r="726" spans="1:5" x14ac:dyDescent="0.25">
      <c r="A726" t="s">
        <v>339</v>
      </c>
      <c r="B726" t="s">
        <v>4008</v>
      </c>
      <c r="D726">
        <v>42630</v>
      </c>
      <c r="E726" t="str">
        <f t="shared" si="11"/>
        <v>ia.assorted_string like '%42630-06-2024%' or</v>
      </c>
    </row>
    <row r="727" spans="1:5" x14ac:dyDescent="0.25">
      <c r="A727" t="s">
        <v>955</v>
      </c>
      <c r="B727" t="s">
        <v>4008</v>
      </c>
      <c r="D727">
        <v>42634</v>
      </c>
      <c r="E727" t="str">
        <f t="shared" si="11"/>
        <v>ia.assorted_string like '%42634-06-2024%' or</v>
      </c>
    </row>
    <row r="728" spans="1:5" x14ac:dyDescent="0.25">
      <c r="A728" t="s">
        <v>1560</v>
      </c>
      <c r="B728" t="s">
        <v>4008</v>
      </c>
      <c r="D728">
        <v>42646</v>
      </c>
      <c r="E728" t="str">
        <f t="shared" si="11"/>
        <v>ia.assorted_string like '%42646-06-2024%' or</v>
      </c>
    </row>
    <row r="729" spans="1:5" x14ac:dyDescent="0.25">
      <c r="A729" t="s">
        <v>347</v>
      </c>
      <c r="B729" t="s">
        <v>4008</v>
      </c>
      <c r="D729">
        <v>42686</v>
      </c>
      <c r="E729" t="str">
        <f t="shared" si="11"/>
        <v>ia.assorted_string like '%42686-06-2024%' or</v>
      </c>
    </row>
    <row r="730" spans="1:5" x14ac:dyDescent="0.25">
      <c r="A730" t="s">
        <v>358</v>
      </c>
      <c r="B730" t="s">
        <v>4008</v>
      </c>
      <c r="D730">
        <v>42689</v>
      </c>
      <c r="E730" t="str">
        <f t="shared" si="11"/>
        <v>ia.assorted_string like '%42689-06-2024%' or</v>
      </c>
    </row>
    <row r="731" spans="1:5" x14ac:dyDescent="0.25">
      <c r="A731" t="s">
        <v>437</v>
      </c>
      <c r="B731" t="s">
        <v>4008</v>
      </c>
      <c r="D731">
        <v>42691</v>
      </c>
      <c r="E731" t="str">
        <f t="shared" si="11"/>
        <v>ia.assorted_string like '%42691-06-2024%' or</v>
      </c>
    </row>
    <row r="732" spans="1:5" x14ac:dyDescent="0.25">
      <c r="A732" t="s">
        <v>543</v>
      </c>
      <c r="B732" t="s">
        <v>4008</v>
      </c>
      <c r="D732">
        <v>42693</v>
      </c>
      <c r="E732" t="str">
        <f t="shared" si="11"/>
        <v>ia.assorted_string like '%42693-06-2024%' or</v>
      </c>
    </row>
    <row r="733" spans="1:5" x14ac:dyDescent="0.25">
      <c r="A733" t="s">
        <v>659</v>
      </c>
      <c r="B733" t="s">
        <v>4008</v>
      </c>
      <c r="D733">
        <v>42696</v>
      </c>
      <c r="E733" t="str">
        <f t="shared" si="11"/>
        <v>ia.assorted_string like '%42696-06-2024%' or</v>
      </c>
    </row>
    <row r="734" spans="1:5" x14ac:dyDescent="0.25">
      <c r="A734" t="s">
        <v>666</v>
      </c>
      <c r="B734" t="s">
        <v>4008</v>
      </c>
      <c r="D734">
        <v>42697</v>
      </c>
      <c r="E734" t="str">
        <f t="shared" si="11"/>
        <v>ia.assorted_string like '%42697-06-2024%' or</v>
      </c>
    </row>
    <row r="735" spans="1:5" x14ac:dyDescent="0.25">
      <c r="A735" t="s">
        <v>673</v>
      </c>
      <c r="B735" t="s">
        <v>4008</v>
      </c>
      <c r="D735">
        <v>42698</v>
      </c>
      <c r="E735" t="str">
        <f t="shared" si="11"/>
        <v>ia.assorted_string like '%42698-06-2024%' or</v>
      </c>
    </row>
    <row r="736" spans="1:5" x14ac:dyDescent="0.25">
      <c r="A736" t="s">
        <v>704</v>
      </c>
      <c r="B736" t="s">
        <v>4008</v>
      </c>
      <c r="D736">
        <v>42700</v>
      </c>
      <c r="E736" t="str">
        <f t="shared" si="11"/>
        <v>ia.assorted_string like '%42700-06-2024%' or</v>
      </c>
    </row>
    <row r="737" spans="1:5" x14ac:dyDescent="0.25">
      <c r="A737" t="s">
        <v>839</v>
      </c>
      <c r="B737" t="s">
        <v>4008</v>
      </c>
      <c r="D737">
        <v>42706</v>
      </c>
      <c r="E737" t="str">
        <f t="shared" si="11"/>
        <v>ia.assorted_string like '%42706-06-2024%' or</v>
      </c>
    </row>
    <row r="738" spans="1:5" x14ac:dyDescent="0.25">
      <c r="A738" t="s">
        <v>858</v>
      </c>
      <c r="B738" t="s">
        <v>4008</v>
      </c>
      <c r="D738">
        <v>42707</v>
      </c>
      <c r="E738" t="str">
        <f t="shared" si="11"/>
        <v>ia.assorted_string like '%42707-06-2024%' or</v>
      </c>
    </row>
    <row r="739" spans="1:5" x14ac:dyDescent="0.25">
      <c r="A739" t="s">
        <v>998</v>
      </c>
      <c r="B739" t="s">
        <v>4008</v>
      </c>
      <c r="D739">
        <v>42714</v>
      </c>
      <c r="E739" t="str">
        <f t="shared" si="11"/>
        <v>ia.assorted_string like '%42714-06-2024%' or</v>
      </c>
    </row>
    <row r="740" spans="1:5" x14ac:dyDescent="0.25">
      <c r="A740" t="s">
        <v>1343</v>
      </c>
      <c r="B740" t="s">
        <v>4008</v>
      </c>
      <c r="D740">
        <v>42723</v>
      </c>
      <c r="E740" t="str">
        <f t="shared" si="11"/>
        <v>ia.assorted_string like '%42723-06-2024%' or</v>
      </c>
    </row>
    <row r="741" spans="1:5" x14ac:dyDescent="0.25">
      <c r="A741" t="s">
        <v>1344</v>
      </c>
      <c r="B741" t="s">
        <v>4008</v>
      </c>
      <c r="D741">
        <v>42724</v>
      </c>
      <c r="E741" t="str">
        <f t="shared" si="11"/>
        <v>ia.assorted_string like '%42724-06-2024%' or</v>
      </c>
    </row>
    <row r="742" spans="1:5" x14ac:dyDescent="0.25">
      <c r="A742" t="s">
        <v>1364</v>
      </c>
      <c r="B742" t="s">
        <v>4008</v>
      </c>
      <c r="D742">
        <v>42731</v>
      </c>
      <c r="E742" t="str">
        <f t="shared" si="11"/>
        <v>ia.assorted_string like '%42731-06-2024%' or</v>
      </c>
    </row>
    <row r="743" spans="1:5" x14ac:dyDescent="0.25">
      <c r="A743" t="s">
        <v>1383</v>
      </c>
      <c r="B743" t="s">
        <v>4008</v>
      </c>
      <c r="D743">
        <v>42734</v>
      </c>
      <c r="E743" t="str">
        <f t="shared" si="11"/>
        <v>ia.assorted_string like '%42734-06-2024%' or</v>
      </c>
    </row>
    <row r="744" spans="1:5" x14ac:dyDescent="0.25">
      <c r="A744" t="s">
        <v>1735</v>
      </c>
      <c r="B744" t="s">
        <v>4008</v>
      </c>
      <c r="D744">
        <v>42752</v>
      </c>
      <c r="E744" t="str">
        <f t="shared" si="11"/>
        <v>ia.assorted_string like '%42752-06-2024%' or</v>
      </c>
    </row>
    <row r="745" spans="1:5" x14ac:dyDescent="0.25">
      <c r="A745" t="s">
        <v>1754</v>
      </c>
      <c r="B745" t="s">
        <v>4008</v>
      </c>
      <c r="D745">
        <v>42754</v>
      </c>
      <c r="E745" t="str">
        <f t="shared" si="11"/>
        <v>ia.assorted_string like '%42754-06-2024%' or</v>
      </c>
    </row>
    <row r="746" spans="1:5" x14ac:dyDescent="0.25">
      <c r="A746" t="s">
        <v>1762</v>
      </c>
      <c r="B746" t="s">
        <v>4008</v>
      </c>
      <c r="D746">
        <v>42755</v>
      </c>
      <c r="E746" t="str">
        <f t="shared" si="11"/>
        <v>ia.assorted_string like '%42755-06-2024%' or</v>
      </c>
    </row>
    <row r="747" spans="1:5" x14ac:dyDescent="0.25">
      <c r="A747" t="s">
        <v>1772</v>
      </c>
      <c r="B747" t="s">
        <v>4008</v>
      </c>
      <c r="D747">
        <v>42758</v>
      </c>
      <c r="E747" t="str">
        <f t="shared" si="11"/>
        <v>ia.assorted_string like '%42758-06-2024%' or</v>
      </c>
    </row>
    <row r="748" spans="1:5" x14ac:dyDescent="0.25">
      <c r="A748" t="s">
        <v>454</v>
      </c>
      <c r="B748" t="s">
        <v>4008</v>
      </c>
      <c r="D748">
        <v>42788</v>
      </c>
      <c r="E748" t="str">
        <f t="shared" si="11"/>
        <v>ia.assorted_string like '%42788-06-2024%' or</v>
      </c>
    </row>
    <row r="749" spans="1:5" x14ac:dyDescent="0.25">
      <c r="A749" t="s">
        <v>549</v>
      </c>
      <c r="B749" t="s">
        <v>4008</v>
      </c>
      <c r="D749">
        <v>42790</v>
      </c>
      <c r="E749" t="str">
        <f t="shared" si="11"/>
        <v>ia.assorted_string like '%42790-06-2024%' or</v>
      </c>
    </row>
    <row r="750" spans="1:5" x14ac:dyDescent="0.25">
      <c r="A750" t="s">
        <v>850</v>
      </c>
      <c r="B750" t="s">
        <v>4008</v>
      </c>
      <c r="D750">
        <v>42794</v>
      </c>
      <c r="E750" t="str">
        <f t="shared" si="11"/>
        <v>ia.assorted_string like '%42794-06-2024%' or</v>
      </c>
    </row>
    <row r="751" spans="1:5" x14ac:dyDescent="0.25">
      <c r="A751" t="s">
        <v>1131</v>
      </c>
      <c r="B751" t="s">
        <v>4008</v>
      </c>
      <c r="D751">
        <v>42797</v>
      </c>
      <c r="E751" t="str">
        <f t="shared" si="11"/>
        <v>ia.assorted_string like '%42797-06-2024%' or</v>
      </c>
    </row>
    <row r="752" spans="1:5" x14ac:dyDescent="0.25">
      <c r="A752" t="s">
        <v>1145</v>
      </c>
      <c r="B752" t="s">
        <v>4008</v>
      </c>
      <c r="D752">
        <v>42799</v>
      </c>
      <c r="E752" t="str">
        <f t="shared" si="11"/>
        <v>ia.assorted_string like '%42799-06-2024%' or</v>
      </c>
    </row>
    <row r="753" spans="1:5" x14ac:dyDescent="0.25">
      <c r="A753" t="s">
        <v>363</v>
      </c>
      <c r="B753" t="s">
        <v>4008</v>
      </c>
      <c r="D753">
        <v>42837</v>
      </c>
      <c r="E753" t="str">
        <f t="shared" si="11"/>
        <v>ia.assorted_string like '%42837-06-2024%' or</v>
      </c>
    </row>
    <row r="754" spans="1:5" x14ac:dyDescent="0.25">
      <c r="A754" t="s">
        <v>378</v>
      </c>
      <c r="B754" t="s">
        <v>4008</v>
      </c>
      <c r="D754">
        <v>42838</v>
      </c>
      <c r="E754" t="str">
        <f t="shared" si="11"/>
        <v>ia.assorted_string like '%42838-06-2024%' or</v>
      </c>
    </row>
    <row r="755" spans="1:5" x14ac:dyDescent="0.25">
      <c r="A755" t="s">
        <v>381</v>
      </c>
      <c r="B755" t="s">
        <v>4008</v>
      </c>
      <c r="D755">
        <v>42840</v>
      </c>
      <c r="E755" t="str">
        <f t="shared" si="11"/>
        <v>ia.assorted_string like '%42840-06-2024%' or</v>
      </c>
    </row>
    <row r="756" spans="1:5" x14ac:dyDescent="0.25">
      <c r="A756" t="s">
        <v>474</v>
      </c>
      <c r="B756" t="s">
        <v>4008</v>
      </c>
      <c r="D756">
        <v>42842</v>
      </c>
      <c r="E756" t="str">
        <f t="shared" si="11"/>
        <v>ia.assorted_string like '%42842-06-2024%' or</v>
      </c>
    </row>
    <row r="757" spans="1:5" x14ac:dyDescent="0.25">
      <c r="A757" t="s">
        <v>984</v>
      </c>
      <c r="B757" t="s">
        <v>4008</v>
      </c>
      <c r="D757">
        <v>42848</v>
      </c>
      <c r="E757" t="str">
        <f t="shared" si="11"/>
        <v>ia.assorted_string like '%42848-06-2024%' or</v>
      </c>
    </row>
    <row r="758" spans="1:5" x14ac:dyDescent="0.25">
      <c r="A758" t="s">
        <v>1009</v>
      </c>
      <c r="B758" t="s">
        <v>4008</v>
      </c>
      <c r="D758">
        <v>42851</v>
      </c>
      <c r="E758" t="str">
        <f t="shared" si="11"/>
        <v>ia.assorted_string like '%42851-06-2024%' or</v>
      </c>
    </row>
    <row r="759" spans="1:5" x14ac:dyDescent="0.25">
      <c r="A759" t="s">
        <v>1394</v>
      </c>
      <c r="B759" t="s">
        <v>4008</v>
      </c>
      <c r="D759">
        <v>42857</v>
      </c>
      <c r="E759" t="str">
        <f t="shared" si="11"/>
        <v>ia.assorted_string like '%42857-06-2024%' or</v>
      </c>
    </row>
    <row r="760" spans="1:5" x14ac:dyDescent="0.25">
      <c r="A760" t="s">
        <v>1595</v>
      </c>
      <c r="B760" t="s">
        <v>4008</v>
      </c>
      <c r="D760">
        <v>42861</v>
      </c>
      <c r="E760" t="str">
        <f t="shared" si="11"/>
        <v>ia.assorted_string like '%42861-06-2024%' or</v>
      </c>
    </row>
    <row r="761" spans="1:5" x14ac:dyDescent="0.25">
      <c r="A761" t="s">
        <v>462</v>
      </c>
      <c r="B761" t="s">
        <v>4008</v>
      </c>
      <c r="D761">
        <v>42896</v>
      </c>
      <c r="E761" t="str">
        <f t="shared" si="11"/>
        <v>ia.assorted_string like '%42896-06-2024%' or</v>
      </c>
    </row>
    <row r="762" spans="1:5" x14ac:dyDescent="0.25">
      <c r="A762" t="s">
        <v>712</v>
      </c>
      <c r="B762" t="s">
        <v>4008</v>
      </c>
      <c r="D762">
        <v>42900</v>
      </c>
      <c r="E762" t="str">
        <f t="shared" si="11"/>
        <v>ia.assorted_string like '%42900-06-2024%' or</v>
      </c>
    </row>
    <row r="763" spans="1:5" x14ac:dyDescent="0.25">
      <c r="A763" t="s">
        <v>1373</v>
      </c>
      <c r="B763" t="s">
        <v>4008</v>
      </c>
      <c r="D763">
        <v>42909</v>
      </c>
      <c r="E763" t="str">
        <f t="shared" si="11"/>
        <v>ia.assorted_string like '%42909-06-2024%' or</v>
      </c>
    </row>
    <row r="764" spans="1:5" x14ac:dyDescent="0.25">
      <c r="A764" t="s">
        <v>1407</v>
      </c>
      <c r="B764" t="s">
        <v>4008</v>
      </c>
      <c r="D764">
        <v>42913</v>
      </c>
      <c r="E764" t="str">
        <f t="shared" si="11"/>
        <v>ia.assorted_string like '%42913-06-2024%' or</v>
      </c>
    </row>
    <row r="765" spans="1:5" x14ac:dyDescent="0.25">
      <c r="A765" t="s">
        <v>1494</v>
      </c>
      <c r="B765" t="s">
        <v>4008</v>
      </c>
      <c r="D765">
        <v>42918</v>
      </c>
      <c r="E765" t="str">
        <f t="shared" si="11"/>
        <v>ia.assorted_string like '%42918-06-2024%' or</v>
      </c>
    </row>
    <row r="766" spans="1:5" x14ac:dyDescent="0.25">
      <c r="A766" t="s">
        <v>1504</v>
      </c>
      <c r="B766" t="s">
        <v>4008</v>
      </c>
      <c r="D766">
        <v>42919</v>
      </c>
      <c r="E766" t="str">
        <f t="shared" si="11"/>
        <v>ia.assorted_string like '%42919-06-2024%' or</v>
      </c>
    </row>
    <row r="767" spans="1:5" x14ac:dyDescent="0.25">
      <c r="A767" t="s">
        <v>1782</v>
      </c>
      <c r="B767" t="s">
        <v>4008</v>
      </c>
      <c r="D767">
        <v>42923</v>
      </c>
      <c r="E767" t="str">
        <f t="shared" si="11"/>
        <v>ia.assorted_string like '%42923-06-2024%' or</v>
      </c>
    </row>
    <row r="768" spans="1:5" x14ac:dyDescent="0.25">
      <c r="A768" t="s">
        <v>384</v>
      </c>
      <c r="B768" t="s">
        <v>4008</v>
      </c>
      <c r="D768">
        <v>42937</v>
      </c>
      <c r="E768" t="str">
        <f t="shared" si="11"/>
        <v>ia.assorted_string like '%42937-06-2024%' or</v>
      </c>
    </row>
    <row r="769" spans="1:5" x14ac:dyDescent="0.25">
      <c r="A769" t="s">
        <v>397</v>
      </c>
      <c r="B769" t="s">
        <v>4008</v>
      </c>
      <c r="D769">
        <v>42938</v>
      </c>
      <c r="E769" t="str">
        <f t="shared" si="11"/>
        <v>ia.assorted_string like '%42938-06-2024%' or</v>
      </c>
    </row>
    <row r="770" spans="1:5" x14ac:dyDescent="0.25">
      <c r="A770" t="s">
        <v>1170</v>
      </c>
      <c r="B770" t="s">
        <v>4008</v>
      </c>
      <c r="D770">
        <v>42942</v>
      </c>
      <c r="E770" t="str">
        <f t="shared" ref="E770:E833" si="12">"ia.assorted_string like '%"&amp;D770&amp;B770&amp;"%' or"</f>
        <v>ia.assorted_string like '%42942-06-2024%' or</v>
      </c>
    </row>
    <row r="771" spans="1:5" x14ac:dyDescent="0.25">
      <c r="A771" t="s">
        <v>1609</v>
      </c>
      <c r="B771" t="s">
        <v>4008</v>
      </c>
      <c r="D771">
        <v>42946</v>
      </c>
      <c r="E771" t="str">
        <f t="shared" si="12"/>
        <v>ia.assorted_string like '%42946-06-2024%' or</v>
      </c>
    </row>
    <row r="772" spans="1:5" x14ac:dyDescent="0.25">
      <c r="A772" t="s">
        <v>1852</v>
      </c>
      <c r="B772" t="s">
        <v>4008</v>
      </c>
      <c r="D772">
        <v>42948</v>
      </c>
      <c r="E772" t="str">
        <f t="shared" si="12"/>
        <v>ia.assorted_string like '%42948-06-2024%' or</v>
      </c>
    </row>
    <row r="773" spans="1:5" x14ac:dyDescent="0.25">
      <c r="A773" t="s">
        <v>368</v>
      </c>
      <c r="B773" t="s">
        <v>4008</v>
      </c>
      <c r="D773">
        <v>42964</v>
      </c>
      <c r="E773" t="str">
        <f t="shared" si="12"/>
        <v>ia.assorted_string like '%42964-06-2024%' or</v>
      </c>
    </row>
    <row r="774" spans="1:5" x14ac:dyDescent="0.25">
      <c r="A774" t="s">
        <v>483</v>
      </c>
      <c r="B774" t="s">
        <v>4008</v>
      </c>
      <c r="D774">
        <v>42967</v>
      </c>
      <c r="E774" t="str">
        <f t="shared" si="12"/>
        <v>ia.assorted_string like '%42967-06-2024%' or</v>
      </c>
    </row>
    <row r="775" spans="1:5" x14ac:dyDescent="0.25">
      <c r="A775" t="s">
        <v>723</v>
      </c>
      <c r="B775" t="s">
        <v>4008</v>
      </c>
      <c r="D775">
        <v>42969</v>
      </c>
      <c r="E775" t="str">
        <f t="shared" si="12"/>
        <v>ia.assorted_string like '%42969-06-2024%' or</v>
      </c>
    </row>
    <row r="776" spans="1:5" x14ac:dyDescent="0.25">
      <c r="A776" t="s">
        <v>1029</v>
      </c>
      <c r="B776" t="s">
        <v>4008</v>
      </c>
      <c r="D776">
        <v>42972</v>
      </c>
      <c r="E776" t="str">
        <f t="shared" si="12"/>
        <v>ia.assorted_string like '%42972-06-2024%' or</v>
      </c>
    </row>
    <row r="777" spans="1:5" x14ac:dyDescent="0.25">
      <c r="A777" t="s">
        <v>1196</v>
      </c>
      <c r="B777" t="s">
        <v>4008</v>
      </c>
      <c r="D777">
        <v>42979</v>
      </c>
      <c r="E777" t="str">
        <f t="shared" si="12"/>
        <v>ia.assorted_string like '%42979-06-2024%' or</v>
      </c>
    </row>
    <row r="778" spans="1:5" x14ac:dyDescent="0.25">
      <c r="A778" t="s">
        <v>1529</v>
      </c>
      <c r="B778" t="s">
        <v>4008</v>
      </c>
      <c r="D778">
        <v>42982</v>
      </c>
      <c r="E778" t="str">
        <f t="shared" si="12"/>
        <v>ia.assorted_string like '%42982-06-2024%' or</v>
      </c>
    </row>
    <row r="779" spans="1:5" x14ac:dyDescent="0.25">
      <c r="A779" t="s">
        <v>1537</v>
      </c>
      <c r="B779" t="s">
        <v>4008</v>
      </c>
      <c r="D779">
        <v>42983</v>
      </c>
      <c r="E779" t="str">
        <f t="shared" si="12"/>
        <v>ia.assorted_string like '%42983-06-2024%' or</v>
      </c>
    </row>
    <row r="780" spans="1:5" x14ac:dyDescent="0.25">
      <c r="A780" t="s">
        <v>564</v>
      </c>
      <c r="B780" t="s">
        <v>4008</v>
      </c>
      <c r="D780">
        <v>43047</v>
      </c>
      <c r="E780" t="str">
        <f t="shared" si="12"/>
        <v>ia.assorted_string like '%43047-06-2024%' or</v>
      </c>
    </row>
    <row r="781" spans="1:5" x14ac:dyDescent="0.25">
      <c r="A781" t="s">
        <v>740</v>
      </c>
      <c r="B781" t="s">
        <v>4008</v>
      </c>
      <c r="D781">
        <v>43051</v>
      </c>
      <c r="E781" t="str">
        <f t="shared" si="12"/>
        <v>ia.assorted_string like '%43051-06-2024%' or</v>
      </c>
    </row>
    <row r="782" spans="1:5" x14ac:dyDescent="0.25">
      <c r="A782" t="s">
        <v>748</v>
      </c>
      <c r="B782" t="s">
        <v>4008</v>
      </c>
      <c r="D782">
        <v>43052</v>
      </c>
      <c r="E782" t="str">
        <f t="shared" si="12"/>
        <v>ia.assorted_string like '%43052-06-2024%' or</v>
      </c>
    </row>
    <row r="783" spans="1:5" x14ac:dyDescent="0.25">
      <c r="A783" t="s">
        <v>877</v>
      </c>
      <c r="B783" t="s">
        <v>4008</v>
      </c>
      <c r="D783">
        <v>43053</v>
      </c>
      <c r="E783" t="str">
        <f t="shared" si="12"/>
        <v>ia.assorted_string like '%43053-06-2024%' or</v>
      </c>
    </row>
    <row r="784" spans="1:5" x14ac:dyDescent="0.25">
      <c r="A784" t="s">
        <v>1523</v>
      </c>
      <c r="B784" t="s">
        <v>4008</v>
      </c>
      <c r="D784">
        <v>43062</v>
      </c>
      <c r="E784" t="str">
        <f t="shared" si="12"/>
        <v>ia.assorted_string like '%43062-06-2024%' or</v>
      </c>
    </row>
    <row r="785" spans="1:5" x14ac:dyDescent="0.25">
      <c r="A785" t="s">
        <v>1642</v>
      </c>
      <c r="B785" t="s">
        <v>4008</v>
      </c>
      <c r="D785">
        <v>43064</v>
      </c>
      <c r="E785" t="str">
        <f t="shared" si="12"/>
        <v>ia.assorted_string like '%43064-06-2024%' or</v>
      </c>
    </row>
    <row r="786" spans="1:5" x14ac:dyDescent="0.25">
      <c r="A786" t="s">
        <v>571</v>
      </c>
      <c r="B786" t="s">
        <v>4009</v>
      </c>
      <c r="D786">
        <v>43077</v>
      </c>
      <c r="E786" t="str">
        <f t="shared" si="12"/>
        <v>ia.assorted_string like '%43077-07-2024%' or</v>
      </c>
    </row>
    <row r="787" spans="1:5" x14ac:dyDescent="0.25">
      <c r="A787" t="s">
        <v>1043</v>
      </c>
      <c r="B787" t="s">
        <v>4009</v>
      </c>
      <c r="D787">
        <v>43086</v>
      </c>
      <c r="E787" t="str">
        <f t="shared" si="12"/>
        <v>ia.assorted_string like '%43086-07-2024%' or</v>
      </c>
    </row>
    <row r="788" spans="1:5" x14ac:dyDescent="0.25">
      <c r="A788" t="s">
        <v>1206</v>
      </c>
      <c r="B788" t="s">
        <v>4009</v>
      </c>
      <c r="D788">
        <v>43089</v>
      </c>
      <c r="E788" t="str">
        <f t="shared" si="12"/>
        <v>ia.assorted_string like '%43089-07-2024%' or</v>
      </c>
    </row>
    <row r="789" spans="1:5" x14ac:dyDescent="0.25">
      <c r="A789" t="s">
        <v>1552</v>
      </c>
      <c r="B789" t="s">
        <v>4009</v>
      </c>
      <c r="D789">
        <v>43100</v>
      </c>
      <c r="E789" t="str">
        <f t="shared" si="12"/>
        <v>ia.assorted_string like '%43100-07-2024%' or</v>
      </c>
    </row>
    <row r="790" spans="1:5" x14ac:dyDescent="0.25">
      <c r="A790" t="s">
        <v>1620</v>
      </c>
      <c r="B790" t="s">
        <v>4009</v>
      </c>
      <c r="D790">
        <v>43103</v>
      </c>
      <c r="E790" t="str">
        <f t="shared" si="12"/>
        <v>ia.assorted_string like '%43103-07-2024%' or</v>
      </c>
    </row>
    <row r="791" spans="1:5" x14ac:dyDescent="0.25">
      <c r="A791" t="s">
        <v>1651</v>
      </c>
      <c r="B791" t="s">
        <v>4009</v>
      </c>
      <c r="D791">
        <v>43107</v>
      </c>
      <c r="E791" t="str">
        <f t="shared" si="12"/>
        <v>ia.assorted_string like '%43107-07-2024%' or</v>
      </c>
    </row>
    <row r="792" spans="1:5" x14ac:dyDescent="0.25">
      <c r="A792" t="s">
        <v>1665</v>
      </c>
      <c r="B792" t="s">
        <v>4009</v>
      </c>
      <c r="D792">
        <v>43108</v>
      </c>
      <c r="E792" t="str">
        <f t="shared" si="12"/>
        <v>ia.assorted_string like '%43108-07-2024%' or</v>
      </c>
    </row>
    <row r="793" spans="1:5" x14ac:dyDescent="0.25">
      <c r="A793" t="s">
        <v>1675</v>
      </c>
      <c r="B793" t="s">
        <v>4009</v>
      </c>
      <c r="D793">
        <v>43110</v>
      </c>
      <c r="E793" t="str">
        <f t="shared" si="12"/>
        <v>ia.assorted_string like '%43110-07-2024%' or</v>
      </c>
    </row>
    <row r="794" spans="1:5" x14ac:dyDescent="0.25">
      <c r="A794" t="s">
        <v>1801</v>
      </c>
      <c r="B794" t="s">
        <v>4009</v>
      </c>
      <c r="D794">
        <v>43112</v>
      </c>
      <c r="E794" t="str">
        <f t="shared" si="12"/>
        <v>ia.assorted_string like '%43112-07-2024%' or</v>
      </c>
    </row>
    <row r="795" spans="1:5" x14ac:dyDescent="0.25">
      <c r="A795" t="s">
        <v>1857</v>
      </c>
      <c r="B795" t="s">
        <v>4009</v>
      </c>
      <c r="D795">
        <v>43117</v>
      </c>
      <c r="E795" t="str">
        <f t="shared" si="12"/>
        <v>ia.assorted_string like '%43117-07-2024%' or</v>
      </c>
    </row>
    <row r="796" spans="1:5" x14ac:dyDescent="0.25">
      <c r="A796" t="s">
        <v>1865</v>
      </c>
      <c r="B796" t="s">
        <v>4009</v>
      </c>
      <c r="D796">
        <v>43118</v>
      </c>
      <c r="E796" t="str">
        <f t="shared" si="12"/>
        <v>ia.assorted_string like '%43118-07-2024%' or</v>
      </c>
    </row>
    <row r="797" spans="1:5" x14ac:dyDescent="0.25">
      <c r="A797" t="s">
        <v>1873</v>
      </c>
      <c r="B797" t="s">
        <v>4009</v>
      </c>
      <c r="D797">
        <v>43120</v>
      </c>
      <c r="E797" t="str">
        <f t="shared" si="12"/>
        <v>ia.assorted_string like '%43120-07-2024%' or</v>
      </c>
    </row>
    <row r="798" spans="1:5" x14ac:dyDescent="0.25">
      <c r="A798" t="s">
        <v>610</v>
      </c>
      <c r="B798" t="s">
        <v>4009</v>
      </c>
      <c r="D798">
        <v>43133</v>
      </c>
      <c r="E798" t="str">
        <f t="shared" si="12"/>
        <v>ia.assorted_string like '%43133-07-2024%' or</v>
      </c>
    </row>
    <row r="799" spans="1:5" x14ac:dyDescent="0.25">
      <c r="A799" t="s">
        <v>889</v>
      </c>
      <c r="B799" t="s">
        <v>4009</v>
      </c>
      <c r="D799">
        <v>43134</v>
      </c>
      <c r="E799" t="str">
        <f t="shared" si="12"/>
        <v>ia.assorted_string like '%43134-07-2024%' or</v>
      </c>
    </row>
    <row r="800" spans="1:5" x14ac:dyDescent="0.25">
      <c r="A800" t="s">
        <v>1254</v>
      </c>
      <c r="B800" t="s">
        <v>4009</v>
      </c>
      <c r="D800">
        <v>43146</v>
      </c>
      <c r="E800" t="str">
        <f t="shared" si="12"/>
        <v>ia.assorted_string like '%43146-07-2024%' or</v>
      </c>
    </row>
    <row r="801" spans="1:5" x14ac:dyDescent="0.25">
      <c r="A801" t="s">
        <v>1658</v>
      </c>
      <c r="B801" t="s">
        <v>4009</v>
      </c>
      <c r="D801">
        <v>43155</v>
      </c>
      <c r="E801" t="str">
        <f t="shared" si="12"/>
        <v>ia.assorted_string like '%43155-07-2024%' or</v>
      </c>
    </row>
    <row r="802" spans="1:5" x14ac:dyDescent="0.25">
      <c r="A802" t="s">
        <v>1807</v>
      </c>
      <c r="B802" t="s">
        <v>4009</v>
      </c>
      <c r="D802">
        <v>43157</v>
      </c>
      <c r="E802" t="str">
        <f t="shared" si="12"/>
        <v>ia.assorted_string like '%43157-07-2024%' or</v>
      </c>
    </row>
    <row r="803" spans="1:5" x14ac:dyDescent="0.25">
      <c r="A803" t="s">
        <v>1815</v>
      </c>
      <c r="B803" t="s">
        <v>4009</v>
      </c>
      <c r="D803">
        <v>43158</v>
      </c>
      <c r="E803" t="str">
        <f t="shared" si="12"/>
        <v>ia.assorted_string like '%43158-07-2024%' or</v>
      </c>
    </row>
    <row r="804" spans="1:5" x14ac:dyDescent="0.25">
      <c r="A804" t="s">
        <v>1876</v>
      </c>
      <c r="B804" t="s">
        <v>4009</v>
      </c>
      <c r="D804">
        <v>43159</v>
      </c>
      <c r="E804" t="str">
        <f t="shared" si="12"/>
        <v>ia.assorted_string like '%43159-07-2024%' or</v>
      </c>
    </row>
    <row r="805" spans="1:5" x14ac:dyDescent="0.25">
      <c r="A805" t="s">
        <v>1891</v>
      </c>
      <c r="B805" t="s">
        <v>4009</v>
      </c>
      <c r="D805">
        <v>43162</v>
      </c>
      <c r="E805" t="str">
        <f t="shared" si="12"/>
        <v>ia.assorted_string like '%43162-07-2024%' or</v>
      </c>
    </row>
    <row r="806" spans="1:5" x14ac:dyDescent="0.25">
      <c r="A806" t="s">
        <v>930</v>
      </c>
      <c r="B806" t="s">
        <v>4009</v>
      </c>
      <c r="D806">
        <v>43220</v>
      </c>
      <c r="E806" t="str">
        <f t="shared" si="12"/>
        <v>ia.assorted_string like '%43220-07-2024%' or</v>
      </c>
    </row>
    <row r="807" spans="1:5" x14ac:dyDescent="0.25">
      <c r="A807" t="s">
        <v>1416</v>
      </c>
      <c r="B807" t="s">
        <v>4009</v>
      </c>
      <c r="D807">
        <v>43222</v>
      </c>
      <c r="E807" t="str">
        <f t="shared" si="12"/>
        <v>ia.assorted_string like '%43222-07-2024%' or</v>
      </c>
    </row>
    <row r="808" spans="1:5" x14ac:dyDescent="0.25">
      <c r="A808" t="s">
        <v>755</v>
      </c>
      <c r="B808" t="s">
        <v>4009</v>
      </c>
      <c r="D808">
        <v>43311</v>
      </c>
      <c r="E808" t="str">
        <f t="shared" si="12"/>
        <v>ia.assorted_string like '%43311-07-2024%' or</v>
      </c>
    </row>
    <row r="809" spans="1:5" x14ac:dyDescent="0.25">
      <c r="A809" t="s">
        <v>915</v>
      </c>
      <c r="B809" t="s">
        <v>4009</v>
      </c>
      <c r="D809">
        <v>43317</v>
      </c>
      <c r="E809" t="str">
        <f t="shared" si="12"/>
        <v>ia.assorted_string like '%43317-07-2024%' or</v>
      </c>
    </row>
    <row r="810" spans="1:5" x14ac:dyDescent="0.25">
      <c r="A810" t="s">
        <v>1447</v>
      </c>
      <c r="B810" t="s">
        <v>4009</v>
      </c>
      <c r="D810">
        <v>43327</v>
      </c>
      <c r="E810" t="str">
        <f t="shared" si="12"/>
        <v>ia.assorted_string like '%43327-07-2024%' or</v>
      </c>
    </row>
    <row r="811" spans="1:5" x14ac:dyDescent="0.25">
      <c r="A811" t="s">
        <v>1684</v>
      </c>
      <c r="B811" t="s">
        <v>4009</v>
      </c>
      <c r="D811">
        <v>43330</v>
      </c>
      <c r="E811" t="str">
        <f t="shared" si="12"/>
        <v>ia.assorted_string like '%43330-07-2024%' or</v>
      </c>
    </row>
    <row r="812" spans="1:5" x14ac:dyDescent="0.25">
      <c r="A812" t="s">
        <v>1685</v>
      </c>
      <c r="B812" t="s">
        <v>4009</v>
      </c>
      <c r="D812">
        <v>43331</v>
      </c>
      <c r="E812" t="str">
        <f t="shared" si="12"/>
        <v>ia.assorted_string like '%43331-07-2024%' or</v>
      </c>
    </row>
    <row r="813" spans="1:5" x14ac:dyDescent="0.25">
      <c r="A813" t="s">
        <v>1705</v>
      </c>
      <c r="B813" t="s">
        <v>4009</v>
      </c>
      <c r="D813">
        <v>43333</v>
      </c>
      <c r="E813" t="str">
        <f t="shared" si="12"/>
        <v>ia.assorted_string like '%43333-07-2024%' or</v>
      </c>
    </row>
    <row r="814" spans="1:5" x14ac:dyDescent="0.25">
      <c r="A814" t="s">
        <v>1899</v>
      </c>
      <c r="B814" t="s">
        <v>4009</v>
      </c>
      <c r="D814">
        <v>43339</v>
      </c>
      <c r="E814" t="str">
        <f t="shared" si="12"/>
        <v>ia.assorted_string like '%43339-07-2024%' or</v>
      </c>
    </row>
    <row r="815" spans="1:5" x14ac:dyDescent="0.25">
      <c r="A815" t="s">
        <v>422</v>
      </c>
      <c r="B815" t="s">
        <v>4009</v>
      </c>
      <c r="D815">
        <v>43350</v>
      </c>
      <c r="E815" t="str">
        <f t="shared" si="12"/>
        <v>ia.assorted_string like '%43350-07-2024%' or</v>
      </c>
    </row>
    <row r="816" spans="1:5" x14ac:dyDescent="0.25">
      <c r="A816" t="s">
        <v>771</v>
      </c>
      <c r="B816" t="s">
        <v>4009</v>
      </c>
      <c r="D816">
        <v>43360</v>
      </c>
      <c r="E816" t="str">
        <f t="shared" si="12"/>
        <v>ia.assorted_string like '%43360-07-2024%' or</v>
      </c>
    </row>
    <row r="817" spans="1:5" x14ac:dyDescent="0.25">
      <c r="A817" t="s">
        <v>1057</v>
      </c>
      <c r="B817" t="s">
        <v>4009</v>
      </c>
      <c r="D817">
        <v>43363</v>
      </c>
      <c r="E817" t="str">
        <f t="shared" si="12"/>
        <v>ia.assorted_string like '%43363-07-2024%' or</v>
      </c>
    </row>
    <row r="818" spans="1:5" x14ac:dyDescent="0.25">
      <c r="A818" t="s">
        <v>1092</v>
      </c>
      <c r="B818" t="s">
        <v>4009</v>
      </c>
      <c r="D818">
        <v>43364</v>
      </c>
      <c r="E818" t="str">
        <f t="shared" si="12"/>
        <v>ia.assorted_string like '%43364-07-2024%' or</v>
      </c>
    </row>
    <row r="819" spans="1:5" x14ac:dyDescent="0.25">
      <c r="A819" t="s">
        <v>1225</v>
      </c>
      <c r="B819" t="s">
        <v>4009</v>
      </c>
      <c r="D819">
        <v>43366</v>
      </c>
      <c r="E819" t="str">
        <f t="shared" si="12"/>
        <v>ia.assorted_string like '%43366-07-2024%' or</v>
      </c>
    </row>
    <row r="820" spans="1:5" x14ac:dyDescent="0.25">
      <c r="A820" t="s">
        <v>1237</v>
      </c>
      <c r="B820" t="s">
        <v>4009</v>
      </c>
      <c r="D820">
        <v>43367</v>
      </c>
      <c r="E820" t="str">
        <f t="shared" si="12"/>
        <v>ia.assorted_string like '%43367-07-2024%' or</v>
      </c>
    </row>
    <row r="821" spans="1:5" x14ac:dyDescent="0.25">
      <c r="A821" t="s">
        <v>1281</v>
      </c>
      <c r="B821" t="s">
        <v>4009</v>
      </c>
      <c r="D821">
        <v>43370</v>
      </c>
      <c r="E821" t="str">
        <f t="shared" si="12"/>
        <v>ia.assorted_string like '%43370-07-2024%' or</v>
      </c>
    </row>
    <row r="822" spans="1:5" x14ac:dyDescent="0.25">
      <c r="A822" t="s">
        <v>1828</v>
      </c>
      <c r="B822" t="s">
        <v>4009</v>
      </c>
      <c r="D822">
        <v>43375</v>
      </c>
      <c r="E822" t="str">
        <f t="shared" si="12"/>
        <v>ia.assorted_string like '%43375-07-2024%' or</v>
      </c>
    </row>
    <row r="823" spans="1:5" x14ac:dyDescent="0.25">
      <c r="A823" t="s">
        <v>426</v>
      </c>
      <c r="B823" t="s">
        <v>4009</v>
      </c>
      <c r="D823">
        <v>43443</v>
      </c>
      <c r="E823" t="str">
        <f t="shared" si="12"/>
        <v>ia.assorted_string like '%43443-07-2024%' or</v>
      </c>
    </row>
    <row r="824" spans="1:5" x14ac:dyDescent="0.25">
      <c r="A824" t="s">
        <v>559</v>
      </c>
      <c r="B824" t="s">
        <v>4009</v>
      </c>
      <c r="D824">
        <v>43445</v>
      </c>
      <c r="E824" t="str">
        <f t="shared" si="12"/>
        <v>ia.assorted_string like '%43445-07-2024%' or</v>
      </c>
    </row>
    <row r="825" spans="1:5" x14ac:dyDescent="0.25">
      <c r="A825" t="s">
        <v>779</v>
      </c>
      <c r="B825" t="s">
        <v>4009</v>
      </c>
      <c r="D825">
        <v>43451</v>
      </c>
      <c r="E825" t="str">
        <f t="shared" si="12"/>
        <v>ia.assorted_string like '%43451-07-2024%' or</v>
      </c>
    </row>
    <row r="826" spans="1:5" x14ac:dyDescent="0.25">
      <c r="A826" t="s">
        <v>792</v>
      </c>
      <c r="B826" t="s">
        <v>4009</v>
      </c>
      <c r="D826">
        <v>43453</v>
      </c>
      <c r="E826" t="str">
        <f t="shared" si="12"/>
        <v>ia.assorted_string like '%43453-07-2024%' or</v>
      </c>
    </row>
    <row r="827" spans="1:5" x14ac:dyDescent="0.25">
      <c r="A827" t="s">
        <v>971</v>
      </c>
      <c r="B827" t="s">
        <v>4009</v>
      </c>
      <c r="D827">
        <v>43456</v>
      </c>
      <c r="E827" t="str">
        <f t="shared" si="12"/>
        <v>ia.assorted_string like '%43456-07-2024%' or</v>
      </c>
    </row>
    <row r="828" spans="1:5" x14ac:dyDescent="0.25">
      <c r="A828" t="s">
        <v>1067</v>
      </c>
      <c r="B828" t="s">
        <v>4009</v>
      </c>
      <c r="D828">
        <v>43459</v>
      </c>
      <c r="E828" t="str">
        <f t="shared" si="12"/>
        <v>ia.assorted_string like '%43459-07-2024%' or</v>
      </c>
    </row>
    <row r="829" spans="1:5" x14ac:dyDescent="0.25">
      <c r="A829" t="s">
        <v>1305</v>
      </c>
      <c r="B829" t="s">
        <v>4009</v>
      </c>
      <c r="D829">
        <v>43460</v>
      </c>
      <c r="E829" t="str">
        <f t="shared" si="12"/>
        <v>ia.assorted_string like '%43460-07-2024%' or</v>
      </c>
    </row>
    <row r="830" spans="1:5" x14ac:dyDescent="0.25">
      <c r="A830" t="s">
        <v>1424</v>
      </c>
      <c r="B830" t="s">
        <v>4009</v>
      </c>
      <c r="D830">
        <v>43461</v>
      </c>
      <c r="E830" t="str">
        <f t="shared" si="12"/>
        <v>ia.assorted_string like '%43461-07-2024%' or</v>
      </c>
    </row>
    <row r="831" spans="1:5" x14ac:dyDescent="0.25">
      <c r="A831" t="s">
        <v>1434</v>
      </c>
      <c r="B831" t="s">
        <v>4009</v>
      </c>
      <c r="D831">
        <v>43462</v>
      </c>
      <c r="E831" t="str">
        <f t="shared" si="12"/>
        <v>ia.assorted_string like '%43462-07-2024%' or</v>
      </c>
    </row>
    <row r="832" spans="1:5" x14ac:dyDescent="0.25">
      <c r="A832" t="s">
        <v>1832</v>
      </c>
      <c r="B832" t="s">
        <v>4009</v>
      </c>
      <c r="D832">
        <v>43478</v>
      </c>
      <c r="E832" t="str">
        <f t="shared" si="12"/>
        <v>ia.assorted_string like '%43478-07-2024%' or</v>
      </c>
    </row>
    <row r="833" spans="1:5" x14ac:dyDescent="0.25">
      <c r="A833" t="s">
        <v>520</v>
      </c>
      <c r="B833" t="s">
        <v>4009</v>
      </c>
      <c r="D833">
        <v>43528</v>
      </c>
      <c r="E833" t="str">
        <f t="shared" si="12"/>
        <v>ia.assorted_string like '%43528-07-2024%' or</v>
      </c>
    </row>
    <row r="834" spans="1:5" x14ac:dyDescent="0.25">
      <c r="A834" t="s">
        <v>592</v>
      </c>
      <c r="B834" t="s">
        <v>4009</v>
      </c>
      <c r="D834">
        <v>43529</v>
      </c>
      <c r="E834" t="str">
        <f t="shared" ref="E834:E897" si="13">"ia.assorted_string like '%"&amp;D834&amp;B834&amp;"%' or"</f>
        <v>ia.assorted_string like '%43529-07-2024%' or</v>
      </c>
    </row>
    <row r="835" spans="1:5" x14ac:dyDescent="0.25">
      <c r="A835" t="s">
        <v>1292</v>
      </c>
      <c r="B835" t="s">
        <v>4009</v>
      </c>
      <c r="D835">
        <v>43536</v>
      </c>
      <c r="E835" t="str">
        <f t="shared" si="13"/>
        <v>ia.assorted_string like '%43536-07-2024%' or</v>
      </c>
    </row>
    <row r="836" spans="1:5" x14ac:dyDescent="0.25">
      <c r="A836" t="s">
        <v>1459</v>
      </c>
      <c r="B836" t="s">
        <v>4009</v>
      </c>
      <c r="D836">
        <v>43563</v>
      </c>
      <c r="E836" t="str">
        <f t="shared" si="13"/>
        <v>ia.assorted_string like '%43563-07-2024%' or</v>
      </c>
    </row>
    <row r="837" spans="1:5" x14ac:dyDescent="0.25">
      <c r="A837" t="s">
        <v>430</v>
      </c>
      <c r="B837" t="s">
        <v>4009</v>
      </c>
      <c r="D837">
        <v>43746</v>
      </c>
      <c r="E837" t="str">
        <f t="shared" si="13"/>
        <v>ia.assorted_string like '%43746-07-2024%' or</v>
      </c>
    </row>
    <row r="838" spans="1:5" x14ac:dyDescent="0.25">
      <c r="A838" t="s">
        <v>449</v>
      </c>
      <c r="B838" t="s">
        <v>4009</v>
      </c>
      <c r="D838">
        <v>43748</v>
      </c>
      <c r="E838" t="str">
        <f t="shared" si="13"/>
        <v>ia.assorted_string like '%43748-07-2024%' or</v>
      </c>
    </row>
    <row r="839" spans="1:5" x14ac:dyDescent="0.25">
      <c r="A839" t="s">
        <v>527</v>
      </c>
      <c r="B839" t="s">
        <v>4009</v>
      </c>
      <c r="D839">
        <v>43749</v>
      </c>
      <c r="E839" t="str">
        <f t="shared" si="13"/>
        <v>ia.assorted_string like '%43749-07-2024%' or</v>
      </c>
    </row>
    <row r="840" spans="1:5" x14ac:dyDescent="0.25">
      <c r="A840" t="s">
        <v>534</v>
      </c>
      <c r="B840" t="s">
        <v>4009</v>
      </c>
      <c r="D840">
        <v>43750</v>
      </c>
      <c r="E840" t="str">
        <f t="shared" si="13"/>
        <v>ia.assorted_string like '%43750-07-2024%' or</v>
      </c>
    </row>
    <row r="841" spans="1:5" x14ac:dyDescent="0.25">
      <c r="A841" t="s">
        <v>618</v>
      </c>
      <c r="B841" t="s">
        <v>4009</v>
      </c>
      <c r="D841">
        <v>43751</v>
      </c>
      <c r="E841" t="str">
        <f t="shared" si="13"/>
        <v>ia.assorted_string like '%43751-07-2024%' or</v>
      </c>
    </row>
    <row r="842" spans="1:5" x14ac:dyDescent="0.25">
      <c r="A842" t="s">
        <v>632</v>
      </c>
      <c r="B842" t="s">
        <v>4009</v>
      </c>
      <c r="D842">
        <v>43754</v>
      </c>
      <c r="E842" t="str">
        <f t="shared" si="13"/>
        <v>ia.assorted_string like '%43754-07-2024%' or</v>
      </c>
    </row>
    <row r="843" spans="1:5" x14ac:dyDescent="0.25">
      <c r="A843" t="s">
        <v>650</v>
      </c>
      <c r="B843" t="s">
        <v>4009</v>
      </c>
      <c r="D843">
        <v>43755</v>
      </c>
      <c r="E843" t="str">
        <f t="shared" si="13"/>
        <v>ia.assorted_string like '%43755-07-2024%' or</v>
      </c>
    </row>
    <row r="844" spans="1:5" x14ac:dyDescent="0.25">
      <c r="A844" t="s">
        <v>824</v>
      </c>
      <c r="B844" t="s">
        <v>4009</v>
      </c>
      <c r="D844">
        <v>43760</v>
      </c>
      <c r="E844" t="str">
        <f t="shared" si="13"/>
        <v>ia.assorted_string like '%43760-07-2024%' or</v>
      </c>
    </row>
    <row r="845" spans="1:5" x14ac:dyDescent="0.25">
      <c r="A845" t="s">
        <v>943</v>
      </c>
      <c r="B845" t="s">
        <v>4009</v>
      </c>
      <c r="D845">
        <v>43763</v>
      </c>
      <c r="E845" t="str">
        <f t="shared" si="13"/>
        <v>ia.assorted_string like '%43763-07-2024%' or</v>
      </c>
    </row>
    <row r="846" spans="1:5" x14ac:dyDescent="0.25">
      <c r="A846" t="s">
        <v>1078</v>
      </c>
      <c r="B846" t="s">
        <v>4009</v>
      </c>
      <c r="D846">
        <v>43766</v>
      </c>
      <c r="E846" t="str">
        <f t="shared" si="13"/>
        <v>ia.assorted_string like '%43766-07-2024%' or</v>
      </c>
    </row>
    <row r="847" spans="1:5" x14ac:dyDescent="0.25">
      <c r="A847" t="s">
        <v>1469</v>
      </c>
      <c r="B847" t="s">
        <v>4009</v>
      </c>
      <c r="D847">
        <v>43773</v>
      </c>
      <c r="E847" t="str">
        <f t="shared" si="13"/>
        <v>ia.assorted_string like '%43773-07-2024%' or</v>
      </c>
    </row>
    <row r="848" spans="1:5" x14ac:dyDescent="0.25">
      <c r="A848" t="s">
        <v>1719</v>
      </c>
      <c r="B848" t="s">
        <v>4009</v>
      </c>
      <c r="D848">
        <v>43777</v>
      </c>
      <c r="E848" t="str">
        <f t="shared" si="13"/>
        <v>ia.assorted_string like '%43777-07-2024%' or</v>
      </c>
    </row>
    <row r="849" spans="1:5" x14ac:dyDescent="0.25">
      <c r="A849" t="s">
        <v>956</v>
      </c>
      <c r="B849" t="s">
        <v>4009</v>
      </c>
      <c r="D849">
        <v>43817</v>
      </c>
      <c r="E849" t="str">
        <f t="shared" si="13"/>
        <v>ia.assorted_string like '%43817-07-2024%' or</v>
      </c>
    </row>
    <row r="850" spans="1:5" x14ac:dyDescent="0.25">
      <c r="A850" t="s">
        <v>1324</v>
      </c>
      <c r="B850" t="s">
        <v>4009</v>
      </c>
      <c r="D850">
        <v>43827</v>
      </c>
      <c r="E850" t="str">
        <f t="shared" si="13"/>
        <v>ia.assorted_string like '%43827-07-2024%' or</v>
      </c>
    </row>
    <row r="851" spans="1:5" x14ac:dyDescent="0.25">
      <c r="A851" t="s">
        <v>1335</v>
      </c>
      <c r="B851" t="s">
        <v>4009</v>
      </c>
      <c r="D851">
        <v>43828</v>
      </c>
      <c r="E851" t="str">
        <f t="shared" si="13"/>
        <v>ia.assorted_string like '%43828-07-2024%' or</v>
      </c>
    </row>
    <row r="852" spans="1:5" x14ac:dyDescent="0.25">
      <c r="A852" t="s">
        <v>1918</v>
      </c>
      <c r="B852" t="s">
        <v>4009</v>
      </c>
      <c r="D852">
        <v>43849</v>
      </c>
      <c r="E852" t="str">
        <f t="shared" si="13"/>
        <v>ia.assorted_string like '%43849-07-2024%' or</v>
      </c>
    </row>
    <row r="853" spans="1:5" x14ac:dyDescent="0.25">
      <c r="A853" t="s">
        <v>639</v>
      </c>
      <c r="B853" t="s">
        <v>4009</v>
      </c>
      <c r="D853">
        <v>43865</v>
      </c>
      <c r="E853" t="str">
        <f t="shared" si="13"/>
        <v>ia.assorted_string like '%43865-07-2024%' or</v>
      </c>
    </row>
    <row r="854" spans="1:5" x14ac:dyDescent="0.25">
      <c r="A854" t="s">
        <v>667</v>
      </c>
      <c r="B854" t="s">
        <v>4009</v>
      </c>
      <c r="D854">
        <v>43867</v>
      </c>
      <c r="E854" t="str">
        <f t="shared" si="13"/>
        <v>ia.assorted_string like '%43867-07-2024%' or</v>
      </c>
    </row>
    <row r="855" spans="1:5" x14ac:dyDescent="0.25">
      <c r="A855" t="s">
        <v>674</v>
      </c>
      <c r="B855" t="s">
        <v>4009</v>
      </c>
      <c r="D855">
        <v>43868</v>
      </c>
      <c r="E855" t="str">
        <f t="shared" si="13"/>
        <v>ia.assorted_string like '%43868-07-2024%' or</v>
      </c>
    </row>
    <row r="856" spans="1:5" x14ac:dyDescent="0.25">
      <c r="A856" t="s">
        <v>705</v>
      </c>
      <c r="B856" t="s">
        <v>4009</v>
      </c>
      <c r="D856">
        <v>43871</v>
      </c>
      <c r="E856" t="str">
        <f t="shared" si="13"/>
        <v>ia.assorted_string like '%43871-07-2024%' or</v>
      </c>
    </row>
    <row r="857" spans="1:5" x14ac:dyDescent="0.25">
      <c r="A857" t="s">
        <v>859</v>
      </c>
      <c r="B857" t="s">
        <v>4009</v>
      </c>
      <c r="D857">
        <v>43876</v>
      </c>
      <c r="E857" t="str">
        <f t="shared" si="13"/>
        <v>ia.assorted_string like '%43876-07-2024%' or</v>
      </c>
    </row>
    <row r="858" spans="1:5" x14ac:dyDescent="0.25">
      <c r="A858" t="s">
        <v>1345</v>
      </c>
      <c r="B858" t="s">
        <v>4009</v>
      </c>
      <c r="D858">
        <v>43881</v>
      </c>
      <c r="E858" t="str">
        <f t="shared" si="13"/>
        <v>ia.assorted_string like '%43881-07-2024%' or</v>
      </c>
    </row>
    <row r="859" spans="1:5" x14ac:dyDescent="0.25">
      <c r="A859" t="s">
        <v>438</v>
      </c>
      <c r="B859" t="s">
        <v>4009</v>
      </c>
      <c r="D859">
        <v>43953</v>
      </c>
      <c r="E859" t="str">
        <f t="shared" si="13"/>
        <v>ia.assorted_string like '%43953-07-2024%' or</v>
      </c>
    </row>
    <row r="860" spans="1:5" x14ac:dyDescent="0.25">
      <c r="A860" t="s">
        <v>1736</v>
      </c>
      <c r="B860" t="s">
        <v>4009</v>
      </c>
      <c r="D860">
        <v>43961</v>
      </c>
      <c r="E860" t="str">
        <f t="shared" si="13"/>
        <v>ia.assorted_string like '%43961-07-2024%' or</v>
      </c>
    </row>
    <row r="861" spans="1:5" x14ac:dyDescent="0.25">
      <c r="A861" t="s">
        <v>1755</v>
      </c>
      <c r="B861" t="s">
        <v>4009</v>
      </c>
      <c r="D861">
        <v>43963</v>
      </c>
      <c r="E861" t="str">
        <f t="shared" si="13"/>
        <v>ia.assorted_string like '%43963-07-2024%' or</v>
      </c>
    </row>
    <row r="862" spans="1:5" x14ac:dyDescent="0.25">
      <c r="A862" t="s">
        <v>1763</v>
      </c>
      <c r="B862" t="s">
        <v>4009</v>
      </c>
      <c r="D862">
        <v>43964</v>
      </c>
      <c r="E862" t="str">
        <f t="shared" si="13"/>
        <v>ia.assorted_string like '%43964-07-2024%' or</v>
      </c>
    </row>
    <row r="863" spans="1:5" x14ac:dyDescent="0.25">
      <c r="A863" t="s">
        <v>1773</v>
      </c>
      <c r="B863" t="s">
        <v>4009</v>
      </c>
      <c r="D863">
        <v>43967</v>
      </c>
      <c r="E863" t="str">
        <f t="shared" si="13"/>
        <v>ia.assorted_string like '%43967-07-2024%' or</v>
      </c>
    </row>
    <row r="864" spans="1:5" x14ac:dyDescent="0.25">
      <c r="A864" t="s">
        <v>1844</v>
      </c>
      <c r="B864" t="s">
        <v>4009</v>
      </c>
      <c r="D864">
        <v>43973</v>
      </c>
      <c r="E864" t="str">
        <f t="shared" si="13"/>
        <v>ia.assorted_string like '%43973-07-2024%' or</v>
      </c>
    </row>
    <row r="865" spans="1:5" x14ac:dyDescent="0.25">
      <c r="A865" t="s">
        <v>455</v>
      </c>
      <c r="B865" t="s">
        <v>4009</v>
      </c>
      <c r="D865">
        <v>44007</v>
      </c>
      <c r="E865" t="str">
        <f t="shared" si="13"/>
        <v>ia.assorted_string like '%44007-07-2024%' or</v>
      </c>
    </row>
    <row r="866" spans="1:5" x14ac:dyDescent="0.25">
      <c r="A866" t="s">
        <v>475</v>
      </c>
      <c r="B866" t="s">
        <v>4009</v>
      </c>
      <c r="D866">
        <v>44010</v>
      </c>
      <c r="E866" t="str">
        <f t="shared" si="13"/>
        <v>ia.assorted_string like '%44010-07-2024%' or</v>
      </c>
    </row>
    <row r="867" spans="1:5" x14ac:dyDescent="0.25">
      <c r="A867" t="s">
        <v>544</v>
      </c>
      <c r="B867" t="s">
        <v>4009</v>
      </c>
      <c r="D867">
        <v>44014</v>
      </c>
      <c r="E867" t="str">
        <f t="shared" si="13"/>
        <v>ia.assorted_string like '%44014-07-2024%' or</v>
      </c>
    </row>
    <row r="868" spans="1:5" x14ac:dyDescent="0.25">
      <c r="A868" t="s">
        <v>840</v>
      </c>
      <c r="B868" t="s">
        <v>4009</v>
      </c>
      <c r="D868">
        <v>44015</v>
      </c>
      <c r="E868" t="str">
        <f t="shared" si="13"/>
        <v>ia.assorted_string like '%44015-07-2024%' or</v>
      </c>
    </row>
    <row r="869" spans="1:5" x14ac:dyDescent="0.25">
      <c r="A869" t="s">
        <v>851</v>
      </c>
      <c r="B869" t="s">
        <v>4009</v>
      </c>
      <c r="D869">
        <v>44016</v>
      </c>
      <c r="E869" t="str">
        <f t="shared" si="13"/>
        <v>ia.assorted_string like '%44016-07-2024%' or</v>
      </c>
    </row>
    <row r="870" spans="1:5" x14ac:dyDescent="0.25">
      <c r="A870" t="s">
        <v>999</v>
      </c>
      <c r="B870" t="s">
        <v>4009</v>
      </c>
      <c r="D870">
        <v>44022</v>
      </c>
      <c r="E870" t="str">
        <f t="shared" si="13"/>
        <v>ia.assorted_string like '%44022-07-2024%' or</v>
      </c>
    </row>
    <row r="871" spans="1:5" x14ac:dyDescent="0.25">
      <c r="A871" t="s">
        <v>1126</v>
      </c>
      <c r="B871" t="s">
        <v>4009</v>
      </c>
      <c r="D871">
        <v>44025</v>
      </c>
      <c r="E871" t="str">
        <f t="shared" si="13"/>
        <v>ia.assorted_string like '%44025-07-2024%' or</v>
      </c>
    </row>
    <row r="872" spans="1:5" x14ac:dyDescent="0.25">
      <c r="A872" t="s">
        <v>1132</v>
      </c>
      <c r="B872" t="s">
        <v>4009</v>
      </c>
      <c r="D872">
        <v>44027</v>
      </c>
      <c r="E872" t="str">
        <f t="shared" si="13"/>
        <v>ia.assorted_string like '%44027-07-2024%' or</v>
      </c>
    </row>
    <row r="873" spans="1:5" x14ac:dyDescent="0.25">
      <c r="A873" t="s">
        <v>1384</v>
      </c>
      <c r="B873" t="s">
        <v>4009</v>
      </c>
      <c r="D873">
        <v>44036</v>
      </c>
      <c r="E873" t="str">
        <f t="shared" si="13"/>
        <v>ia.assorted_string like '%44036-07-2024%' or</v>
      </c>
    </row>
    <row r="874" spans="1:5" x14ac:dyDescent="0.25">
      <c r="A874" t="s">
        <v>550</v>
      </c>
      <c r="B874" t="s">
        <v>4009</v>
      </c>
      <c r="D874">
        <v>44102</v>
      </c>
      <c r="E874" t="str">
        <f t="shared" si="13"/>
        <v>ia.assorted_string like '%44102-07-2024%' or</v>
      </c>
    </row>
    <row r="875" spans="1:5" x14ac:dyDescent="0.25">
      <c r="A875" t="s">
        <v>985</v>
      </c>
      <c r="B875" t="s">
        <v>4009</v>
      </c>
      <c r="D875">
        <v>44109</v>
      </c>
      <c r="E875" t="str">
        <f t="shared" si="13"/>
        <v>ia.assorted_string like '%44109-07-2024%' or</v>
      </c>
    </row>
    <row r="876" spans="1:5" x14ac:dyDescent="0.25">
      <c r="A876" t="s">
        <v>1010</v>
      </c>
      <c r="B876" t="s">
        <v>4009</v>
      </c>
      <c r="D876">
        <v>44112</v>
      </c>
      <c r="E876" t="str">
        <f t="shared" si="13"/>
        <v>ia.assorted_string like '%44112-07-2024%' or</v>
      </c>
    </row>
    <row r="877" spans="1:5" x14ac:dyDescent="0.25">
      <c r="A877" t="s">
        <v>1146</v>
      </c>
      <c r="B877" t="s">
        <v>4009</v>
      </c>
      <c r="D877">
        <v>44115</v>
      </c>
      <c r="E877" t="str">
        <f t="shared" si="13"/>
        <v>ia.assorted_string like '%44115-07-2024%' or</v>
      </c>
    </row>
    <row r="878" spans="1:5" x14ac:dyDescent="0.25">
      <c r="A878" t="s">
        <v>1395</v>
      </c>
      <c r="B878" t="s">
        <v>4009</v>
      </c>
      <c r="D878">
        <v>44121</v>
      </c>
      <c r="E878" t="str">
        <f t="shared" si="13"/>
        <v>ia.assorted_string like '%44121-07-2024%' or</v>
      </c>
    </row>
    <row r="879" spans="1:5" x14ac:dyDescent="0.25">
      <c r="A879" t="s">
        <v>1596</v>
      </c>
      <c r="B879" t="s">
        <v>4009</v>
      </c>
      <c r="D879">
        <v>44129</v>
      </c>
      <c r="E879" t="str">
        <f t="shared" si="13"/>
        <v>ia.assorted_string like '%44129-07-2024%' or</v>
      </c>
    </row>
    <row r="880" spans="1:5" x14ac:dyDescent="0.25">
      <c r="A880" t="s">
        <v>1941</v>
      </c>
      <c r="B880" t="s">
        <v>4009</v>
      </c>
      <c r="D880">
        <v>44140</v>
      </c>
      <c r="E880" t="str">
        <f t="shared" si="13"/>
        <v>ia.assorted_string like '%44140-07-2024%' or</v>
      </c>
    </row>
    <row r="881" spans="1:5" x14ac:dyDescent="0.25">
      <c r="A881" t="s">
        <v>463</v>
      </c>
      <c r="B881" t="s">
        <v>4009</v>
      </c>
      <c r="D881">
        <v>44152</v>
      </c>
      <c r="E881" t="str">
        <f t="shared" si="13"/>
        <v>ia.assorted_string like '%44152-07-2024%' or</v>
      </c>
    </row>
    <row r="882" spans="1:5" x14ac:dyDescent="0.25">
      <c r="A882" t="s">
        <v>1374</v>
      </c>
      <c r="B882" t="s">
        <v>4009</v>
      </c>
      <c r="D882">
        <v>44162</v>
      </c>
      <c r="E882" t="str">
        <f t="shared" si="13"/>
        <v>ia.assorted_string like '%44162-07-2024%' or</v>
      </c>
    </row>
    <row r="883" spans="1:5" x14ac:dyDescent="0.25">
      <c r="A883" t="s">
        <v>1495</v>
      </c>
      <c r="B883" t="s">
        <v>4009</v>
      </c>
      <c r="D883">
        <v>44170</v>
      </c>
      <c r="E883" t="str">
        <f t="shared" si="13"/>
        <v>ia.assorted_string like '%44170-07-2024%' or</v>
      </c>
    </row>
    <row r="884" spans="1:5" x14ac:dyDescent="0.25">
      <c r="A884" t="s">
        <v>1505</v>
      </c>
      <c r="B884" t="s">
        <v>4009</v>
      </c>
      <c r="D884">
        <v>44171</v>
      </c>
      <c r="E884" t="str">
        <f t="shared" si="13"/>
        <v>ia.assorted_string like '%44171-07-2024%' or</v>
      </c>
    </row>
    <row r="885" spans="1:5" x14ac:dyDescent="0.25">
      <c r="A885" t="s">
        <v>1783</v>
      </c>
      <c r="B885" t="s">
        <v>4009</v>
      </c>
      <c r="D885">
        <v>44176</v>
      </c>
      <c r="E885" t="str">
        <f t="shared" si="13"/>
        <v>ia.assorted_string like '%44176-07-2024%' or</v>
      </c>
    </row>
    <row r="886" spans="1:5" x14ac:dyDescent="0.25">
      <c r="A886" t="s">
        <v>575</v>
      </c>
      <c r="B886" t="s">
        <v>4009</v>
      </c>
      <c r="D886">
        <v>44190</v>
      </c>
      <c r="E886" t="str">
        <f t="shared" si="13"/>
        <v>ia.assorted_string like '%44190-07-2024%' or</v>
      </c>
    </row>
    <row r="887" spans="1:5" x14ac:dyDescent="0.25">
      <c r="A887" t="s">
        <v>1171</v>
      </c>
      <c r="B887" t="s">
        <v>4009</v>
      </c>
      <c r="D887">
        <v>44210</v>
      </c>
      <c r="E887" t="str">
        <f t="shared" si="13"/>
        <v>ia.assorted_string like '%44210-07-2024%' or</v>
      </c>
    </row>
    <row r="888" spans="1:5" x14ac:dyDescent="0.25">
      <c r="A888" t="s">
        <v>1408</v>
      </c>
      <c r="B888" t="s">
        <v>4009</v>
      </c>
      <c r="D888">
        <v>44213</v>
      </c>
      <c r="E888" t="str">
        <f t="shared" si="13"/>
        <v>ia.assorted_string like '%44213-07-2024%' or</v>
      </c>
    </row>
    <row r="889" spans="1:5" x14ac:dyDescent="0.25">
      <c r="A889" t="s">
        <v>1610</v>
      </c>
      <c r="B889" t="s">
        <v>4009</v>
      </c>
      <c r="D889">
        <v>44217</v>
      </c>
      <c r="E889" t="str">
        <f t="shared" si="13"/>
        <v>ia.assorted_string like '%44217-07-2024%' or</v>
      </c>
    </row>
    <row r="890" spans="1:5" x14ac:dyDescent="0.25">
      <c r="A890" t="s">
        <v>1853</v>
      </c>
      <c r="B890" t="s">
        <v>4009</v>
      </c>
      <c r="D890">
        <v>44223</v>
      </c>
      <c r="E890" t="str">
        <f t="shared" si="13"/>
        <v>ia.assorted_string like '%44223-07-2024%' or</v>
      </c>
    </row>
    <row r="891" spans="1:5" x14ac:dyDescent="0.25">
      <c r="A891" t="s">
        <v>484</v>
      </c>
      <c r="B891" t="s">
        <v>4009</v>
      </c>
      <c r="D891">
        <v>44235</v>
      </c>
      <c r="E891" t="str">
        <f t="shared" si="13"/>
        <v>ia.assorted_string like '%44235-07-2024%' or</v>
      </c>
    </row>
    <row r="892" spans="1:5" x14ac:dyDescent="0.25">
      <c r="A892" t="s">
        <v>565</v>
      </c>
      <c r="B892" t="s">
        <v>4009</v>
      </c>
      <c r="D892">
        <v>44237</v>
      </c>
      <c r="E892" t="str">
        <f t="shared" si="13"/>
        <v>ia.assorted_string like '%44237-07-2024%' or</v>
      </c>
    </row>
    <row r="893" spans="1:5" x14ac:dyDescent="0.25">
      <c r="A893" t="s">
        <v>724</v>
      </c>
      <c r="B893" t="s">
        <v>4009</v>
      </c>
      <c r="D893">
        <v>44239</v>
      </c>
      <c r="E893" t="str">
        <f t="shared" si="13"/>
        <v>ia.assorted_string like '%44239-07-2024%' or</v>
      </c>
    </row>
    <row r="894" spans="1:5" x14ac:dyDescent="0.25">
      <c r="A894" t="s">
        <v>728</v>
      </c>
      <c r="B894" t="s">
        <v>4009</v>
      </c>
      <c r="D894">
        <v>44241</v>
      </c>
      <c r="E894" t="str">
        <f t="shared" si="13"/>
        <v>ia.assorted_string like '%44241-07-2024%' or</v>
      </c>
    </row>
    <row r="895" spans="1:5" x14ac:dyDescent="0.25">
      <c r="A895" t="s">
        <v>741</v>
      </c>
      <c r="B895" t="s">
        <v>4009</v>
      </c>
      <c r="D895">
        <v>44243</v>
      </c>
      <c r="E895" t="str">
        <f t="shared" si="13"/>
        <v>ia.assorted_string like '%44243-07-2024%' or</v>
      </c>
    </row>
    <row r="896" spans="1:5" x14ac:dyDescent="0.25">
      <c r="A896" t="s">
        <v>749</v>
      </c>
      <c r="B896" t="s">
        <v>4009</v>
      </c>
      <c r="D896">
        <v>44244</v>
      </c>
      <c r="E896" t="str">
        <f t="shared" si="13"/>
        <v>ia.assorted_string like '%44244-07-2024%' or</v>
      </c>
    </row>
    <row r="897" spans="1:5" x14ac:dyDescent="0.25">
      <c r="A897" t="s">
        <v>878</v>
      </c>
      <c r="B897" t="s">
        <v>4009</v>
      </c>
      <c r="D897">
        <v>44245</v>
      </c>
      <c r="E897" t="str">
        <f t="shared" si="13"/>
        <v>ia.assorted_string like '%44245-07-2024%' or</v>
      </c>
    </row>
    <row r="898" spans="1:5" x14ac:dyDescent="0.25">
      <c r="A898" t="s">
        <v>1030</v>
      </c>
      <c r="B898" t="s">
        <v>4009</v>
      </c>
      <c r="D898">
        <v>44248</v>
      </c>
      <c r="E898" t="str">
        <f t="shared" ref="E898:E961" si="14">"ia.assorted_string like '%"&amp;D898&amp;B898&amp;"%' or"</f>
        <v>ia.assorted_string like '%44248-07-2024%' or</v>
      </c>
    </row>
    <row r="899" spans="1:5" x14ac:dyDescent="0.25">
      <c r="A899" t="s">
        <v>1183</v>
      </c>
      <c r="B899" t="s">
        <v>4009</v>
      </c>
      <c r="D899">
        <v>44262</v>
      </c>
      <c r="E899" t="str">
        <f t="shared" si="14"/>
        <v>ia.assorted_string like '%44262-07-2024%' or</v>
      </c>
    </row>
    <row r="900" spans="1:5" x14ac:dyDescent="0.25">
      <c r="A900" t="s">
        <v>1184</v>
      </c>
      <c r="B900" t="s">
        <v>4009</v>
      </c>
      <c r="D900">
        <v>44263</v>
      </c>
      <c r="E900" t="str">
        <f t="shared" si="14"/>
        <v>ia.assorted_string like '%44263-07-2024%' or</v>
      </c>
    </row>
    <row r="901" spans="1:5" x14ac:dyDescent="0.25">
      <c r="A901" t="s">
        <v>1197</v>
      </c>
      <c r="B901" t="s">
        <v>4009</v>
      </c>
      <c r="D901">
        <v>44265</v>
      </c>
      <c r="E901" t="str">
        <f t="shared" si="14"/>
        <v>ia.assorted_string like '%44265-07-2024%' or</v>
      </c>
    </row>
    <row r="902" spans="1:5" x14ac:dyDescent="0.25">
      <c r="A902" t="s">
        <v>1207</v>
      </c>
      <c r="B902" t="s">
        <v>4009</v>
      </c>
      <c r="D902">
        <v>44266</v>
      </c>
      <c r="E902" t="str">
        <f t="shared" si="14"/>
        <v>ia.assorted_string like '%44266-07-2024%' or</v>
      </c>
    </row>
    <row r="903" spans="1:5" x14ac:dyDescent="0.25">
      <c r="A903" t="s">
        <v>1530</v>
      </c>
      <c r="B903" t="s">
        <v>4009</v>
      </c>
      <c r="D903">
        <v>44275</v>
      </c>
      <c r="E903" t="str">
        <f t="shared" si="14"/>
        <v>ia.assorted_string like '%44275-07-2024%' or</v>
      </c>
    </row>
    <row r="904" spans="1:5" x14ac:dyDescent="0.25">
      <c r="A904" t="s">
        <v>1538</v>
      </c>
      <c r="B904" t="s">
        <v>4009</v>
      </c>
      <c r="D904">
        <v>44276</v>
      </c>
      <c r="E904" t="str">
        <f t="shared" si="14"/>
        <v>ia.assorted_string like '%44276-07-2024%' or</v>
      </c>
    </row>
    <row r="905" spans="1:5" x14ac:dyDescent="0.25">
      <c r="A905" t="s">
        <v>1621</v>
      </c>
      <c r="B905" t="s">
        <v>4009</v>
      </c>
      <c r="D905">
        <v>44279</v>
      </c>
      <c r="E905" t="str">
        <f t="shared" si="14"/>
        <v>ia.assorted_string like '%44279-07-2024%' or</v>
      </c>
    </row>
    <row r="906" spans="1:5" x14ac:dyDescent="0.25">
      <c r="A906" t="s">
        <v>1643</v>
      </c>
      <c r="B906" t="s">
        <v>4009</v>
      </c>
      <c r="D906">
        <v>44281</v>
      </c>
      <c r="E906" t="str">
        <f t="shared" si="14"/>
        <v>ia.assorted_string like '%44281-07-2024%' or</v>
      </c>
    </row>
    <row r="907" spans="1:5" x14ac:dyDescent="0.25">
      <c r="A907" t="s">
        <v>1802</v>
      </c>
      <c r="B907" t="s">
        <v>4009</v>
      </c>
      <c r="D907">
        <v>44286</v>
      </c>
      <c r="E907" t="str">
        <f t="shared" si="14"/>
        <v>ia.assorted_string like '%44286-07-2024%' or</v>
      </c>
    </row>
    <row r="908" spans="1:5" x14ac:dyDescent="0.25">
      <c r="A908" t="s">
        <v>1934</v>
      </c>
      <c r="B908" t="s">
        <v>4009</v>
      </c>
      <c r="D908">
        <v>44295</v>
      </c>
      <c r="E908" t="str">
        <f t="shared" si="14"/>
        <v>ia.assorted_string like '%44295-07-2024%' or</v>
      </c>
    </row>
    <row r="909" spans="1:5" x14ac:dyDescent="0.25">
      <c r="A909" t="s">
        <v>493</v>
      </c>
      <c r="B909" t="s">
        <v>4009</v>
      </c>
      <c r="D909">
        <v>44309</v>
      </c>
      <c r="E909" t="str">
        <f t="shared" si="14"/>
        <v>ia.assorted_string like '%44309-07-2024%' or</v>
      </c>
    </row>
    <row r="910" spans="1:5" x14ac:dyDescent="0.25">
      <c r="A910" t="s">
        <v>1652</v>
      </c>
      <c r="B910" t="s">
        <v>4009</v>
      </c>
      <c r="D910">
        <v>44317</v>
      </c>
      <c r="E910" t="str">
        <f t="shared" si="14"/>
        <v>ia.assorted_string like '%44317-07-2024%' or</v>
      </c>
    </row>
    <row r="911" spans="1:5" x14ac:dyDescent="0.25">
      <c r="A911" t="s">
        <v>1866</v>
      </c>
      <c r="B911" t="s">
        <v>4009</v>
      </c>
      <c r="D911">
        <v>44320</v>
      </c>
      <c r="E911" t="str">
        <f t="shared" si="14"/>
        <v>ia.assorted_string like '%44320-07-2024%' or</v>
      </c>
    </row>
    <row r="912" spans="1:5" x14ac:dyDescent="0.25">
      <c r="A912" t="s">
        <v>611</v>
      </c>
      <c r="B912" t="s">
        <v>4017</v>
      </c>
      <c r="D912">
        <v>44344</v>
      </c>
      <c r="E912" t="str">
        <f t="shared" si="14"/>
        <v>ia.assorted_string like '%44344-08-2024%' or</v>
      </c>
    </row>
    <row r="913" spans="1:5" x14ac:dyDescent="0.25">
      <c r="A913" t="s">
        <v>1553</v>
      </c>
      <c r="B913" t="s">
        <v>4017</v>
      </c>
      <c r="D913">
        <v>44358</v>
      </c>
      <c r="E913" t="str">
        <f t="shared" si="14"/>
        <v>ia.assorted_string like '%44358-08-2024%' or</v>
      </c>
    </row>
    <row r="914" spans="1:5" x14ac:dyDescent="0.25">
      <c r="A914" t="s">
        <v>1659</v>
      </c>
      <c r="B914" t="s">
        <v>4017</v>
      </c>
      <c r="D914">
        <v>44361</v>
      </c>
      <c r="E914" t="str">
        <f t="shared" si="14"/>
        <v>ia.assorted_string like '%44361-08-2024%' or</v>
      </c>
    </row>
    <row r="915" spans="1:5" x14ac:dyDescent="0.25">
      <c r="A915" t="s">
        <v>1666</v>
      </c>
      <c r="B915" t="s">
        <v>4017</v>
      </c>
      <c r="D915">
        <v>44362</v>
      </c>
      <c r="E915" t="str">
        <f t="shared" si="14"/>
        <v>ia.assorted_string like '%44362-08-2024%' or</v>
      </c>
    </row>
    <row r="916" spans="1:5" x14ac:dyDescent="0.25">
      <c r="A916" t="s">
        <v>1676</v>
      </c>
      <c r="B916" t="s">
        <v>4017</v>
      </c>
      <c r="D916">
        <v>44363</v>
      </c>
      <c r="E916" t="str">
        <f t="shared" si="14"/>
        <v>ia.assorted_string like '%44363-08-2024%' or</v>
      </c>
    </row>
    <row r="917" spans="1:5" x14ac:dyDescent="0.25">
      <c r="A917" t="s">
        <v>1877</v>
      </c>
      <c r="B917" t="s">
        <v>4017</v>
      </c>
      <c r="D917">
        <v>44380</v>
      </c>
      <c r="E917" t="str">
        <f t="shared" si="14"/>
        <v>ia.assorted_string like '%44380-08-2024%' or</v>
      </c>
    </row>
    <row r="918" spans="1:5" x14ac:dyDescent="0.25">
      <c r="A918" t="s">
        <v>1892</v>
      </c>
      <c r="B918" t="s">
        <v>4017</v>
      </c>
      <c r="D918">
        <v>44384</v>
      </c>
      <c r="E918" t="str">
        <f t="shared" si="14"/>
        <v>ia.assorted_string like '%44384-08-2024%' or</v>
      </c>
    </row>
    <row r="919" spans="1:5" x14ac:dyDescent="0.25">
      <c r="A919" t="s">
        <v>1808</v>
      </c>
      <c r="B919" t="s">
        <v>4017</v>
      </c>
      <c r="D919">
        <v>44415</v>
      </c>
      <c r="E919" t="str">
        <f t="shared" si="14"/>
        <v>ia.assorted_string like '%44415-08-2024%' or</v>
      </c>
    </row>
    <row r="920" spans="1:5" x14ac:dyDescent="0.25">
      <c r="A920" t="s">
        <v>1816</v>
      </c>
      <c r="B920" t="s">
        <v>4017</v>
      </c>
      <c r="D920">
        <v>44416</v>
      </c>
      <c r="E920" t="str">
        <f t="shared" si="14"/>
        <v>ia.assorted_string like '%44416-08-2024%' or</v>
      </c>
    </row>
    <row r="921" spans="1:5" x14ac:dyDescent="0.25">
      <c r="A921" t="s">
        <v>756</v>
      </c>
      <c r="B921" t="s">
        <v>4017</v>
      </c>
      <c r="D921">
        <v>44462</v>
      </c>
      <c r="E921" t="str">
        <f t="shared" si="14"/>
        <v>ia.assorted_string like '%44462-08-2024%' or</v>
      </c>
    </row>
    <row r="922" spans="1:5" x14ac:dyDescent="0.25">
      <c r="A922" t="s">
        <v>762</v>
      </c>
      <c r="B922" t="s">
        <v>4017</v>
      </c>
      <c r="D922">
        <v>44470</v>
      </c>
      <c r="E922" t="str">
        <f t="shared" si="14"/>
        <v>ia.assorted_string like '%44470-08-2024%' or</v>
      </c>
    </row>
    <row r="923" spans="1:5" x14ac:dyDescent="0.25">
      <c r="A923" t="s">
        <v>772</v>
      </c>
      <c r="B923" t="s">
        <v>4017</v>
      </c>
      <c r="D923">
        <v>44471</v>
      </c>
      <c r="E923" t="str">
        <f t="shared" si="14"/>
        <v>ia.assorted_string like '%44471-08-2024%' or</v>
      </c>
    </row>
    <row r="924" spans="1:5" x14ac:dyDescent="0.25">
      <c r="A924" t="s">
        <v>916</v>
      </c>
      <c r="B924" t="s">
        <v>4017</v>
      </c>
      <c r="D924">
        <v>44478</v>
      </c>
      <c r="E924" t="str">
        <f t="shared" si="14"/>
        <v>ia.assorted_string like '%44478-08-2024%' or</v>
      </c>
    </row>
    <row r="925" spans="1:5" x14ac:dyDescent="0.25">
      <c r="A925" t="s">
        <v>931</v>
      </c>
      <c r="B925" t="s">
        <v>4017</v>
      </c>
      <c r="D925">
        <v>44479</v>
      </c>
      <c r="E925" t="str">
        <f t="shared" si="14"/>
        <v>ia.assorted_string like '%44479-08-2024%' or</v>
      </c>
    </row>
    <row r="926" spans="1:5" x14ac:dyDescent="0.25">
      <c r="A926" t="s">
        <v>1093</v>
      </c>
      <c r="B926" t="s">
        <v>4017</v>
      </c>
      <c r="D926">
        <v>44483</v>
      </c>
      <c r="E926" t="str">
        <f t="shared" si="14"/>
        <v>ia.assorted_string like '%44483-08-2024%' or</v>
      </c>
    </row>
    <row r="927" spans="1:5" x14ac:dyDescent="0.25">
      <c r="A927" t="s">
        <v>1226</v>
      </c>
      <c r="B927" t="s">
        <v>4017</v>
      </c>
      <c r="D927">
        <v>44487</v>
      </c>
      <c r="E927" t="str">
        <f t="shared" si="14"/>
        <v>ia.assorted_string like '%44487-08-2024%' or</v>
      </c>
    </row>
    <row r="928" spans="1:5" x14ac:dyDescent="0.25">
      <c r="A928" t="s">
        <v>1238</v>
      </c>
      <c r="B928" t="s">
        <v>4017</v>
      </c>
      <c r="D928">
        <v>44488</v>
      </c>
      <c r="E928" t="str">
        <f t="shared" si="14"/>
        <v>ia.assorted_string like '%44488-08-2024%' or</v>
      </c>
    </row>
    <row r="929" spans="1:5" x14ac:dyDescent="0.25">
      <c r="A929" t="s">
        <v>1282</v>
      </c>
      <c r="B929" t="s">
        <v>4017</v>
      </c>
      <c r="D929">
        <v>44494</v>
      </c>
      <c r="E929" t="str">
        <f t="shared" si="14"/>
        <v>ia.assorted_string like '%44494-08-2024%' or</v>
      </c>
    </row>
    <row r="930" spans="1:5" x14ac:dyDescent="0.25">
      <c r="A930" t="s">
        <v>1417</v>
      </c>
      <c r="B930" t="s">
        <v>4017</v>
      </c>
      <c r="D930">
        <v>44499</v>
      </c>
      <c r="E930" t="str">
        <f t="shared" si="14"/>
        <v>ia.assorted_string like '%44499-08-2024%' or</v>
      </c>
    </row>
    <row r="931" spans="1:5" x14ac:dyDescent="0.25">
      <c r="A931" t="s">
        <v>1448</v>
      </c>
      <c r="B931" t="s">
        <v>4017</v>
      </c>
      <c r="D931">
        <v>44502</v>
      </c>
      <c r="E931" t="str">
        <f t="shared" si="14"/>
        <v>ia.assorted_string like '%44502-08-2024%' or</v>
      </c>
    </row>
    <row r="932" spans="1:5" x14ac:dyDescent="0.25">
      <c r="A932" t="s">
        <v>1728</v>
      </c>
      <c r="B932" t="s">
        <v>4017</v>
      </c>
      <c r="D932">
        <v>44511</v>
      </c>
      <c r="E932" t="str">
        <f t="shared" si="14"/>
        <v>ia.assorted_string like '%44511-08-2024%' or</v>
      </c>
    </row>
    <row r="933" spans="1:5" x14ac:dyDescent="0.25">
      <c r="A933" t="s">
        <v>1829</v>
      </c>
      <c r="B933" t="s">
        <v>4017</v>
      </c>
      <c r="D933">
        <v>44514</v>
      </c>
      <c r="E933" t="str">
        <f t="shared" si="14"/>
        <v>ia.assorted_string like '%44514-08-2024%' or</v>
      </c>
    </row>
    <row r="934" spans="1:5" x14ac:dyDescent="0.25">
      <c r="A934" t="s">
        <v>1900</v>
      </c>
      <c r="B934" t="s">
        <v>4017</v>
      </c>
      <c r="D934">
        <v>44518</v>
      </c>
      <c r="E934" t="str">
        <f t="shared" si="14"/>
        <v>ia.assorted_string like '%44518-08-2024%' or</v>
      </c>
    </row>
    <row r="935" spans="1:5" x14ac:dyDescent="0.25">
      <c r="A935" t="s">
        <v>1953</v>
      </c>
      <c r="B935" t="s">
        <v>4017</v>
      </c>
      <c r="D935">
        <v>44526</v>
      </c>
      <c r="E935" t="str">
        <f t="shared" si="14"/>
        <v>ia.assorted_string like '%44526-08-2024%' or</v>
      </c>
    </row>
    <row r="936" spans="1:5" x14ac:dyDescent="0.25">
      <c r="A936" t="s">
        <v>560</v>
      </c>
      <c r="B936" t="s">
        <v>4017</v>
      </c>
      <c r="D936">
        <v>44538</v>
      </c>
      <c r="E936" t="str">
        <f t="shared" si="14"/>
        <v>ia.assorted_string like '%44538-08-2024%' or</v>
      </c>
    </row>
    <row r="937" spans="1:5" x14ac:dyDescent="0.25">
      <c r="A937" t="s">
        <v>780</v>
      </c>
      <c r="B937" t="s">
        <v>4017</v>
      </c>
      <c r="D937">
        <v>44543</v>
      </c>
      <c r="E937" t="str">
        <f t="shared" si="14"/>
        <v>ia.assorted_string like '%44543-08-2024%' or</v>
      </c>
    </row>
    <row r="938" spans="1:5" x14ac:dyDescent="0.25">
      <c r="A938" t="s">
        <v>793</v>
      </c>
      <c r="B938" t="s">
        <v>4017</v>
      </c>
      <c r="D938">
        <v>44544</v>
      </c>
      <c r="E938" t="str">
        <f t="shared" si="14"/>
        <v>ia.assorted_string like '%44544-08-2024%' or</v>
      </c>
    </row>
    <row r="939" spans="1:5" x14ac:dyDescent="0.25">
      <c r="A939" t="s">
        <v>1306</v>
      </c>
      <c r="B939" t="s">
        <v>4017</v>
      </c>
      <c r="D939">
        <v>44546</v>
      </c>
      <c r="E939" t="str">
        <f t="shared" si="14"/>
        <v>ia.assorted_string like '%44546-08-2024%' or</v>
      </c>
    </row>
    <row r="940" spans="1:5" x14ac:dyDescent="0.25">
      <c r="A940" t="s">
        <v>1425</v>
      </c>
      <c r="B940" t="s">
        <v>4017</v>
      </c>
      <c r="D940">
        <v>44547</v>
      </c>
      <c r="E940" t="str">
        <f t="shared" si="14"/>
        <v>ia.assorted_string like '%44547-08-2024%' or</v>
      </c>
    </row>
    <row r="941" spans="1:5" x14ac:dyDescent="0.25">
      <c r="A941" t="s">
        <v>1435</v>
      </c>
      <c r="B941" t="s">
        <v>4017</v>
      </c>
      <c r="D941">
        <v>44548</v>
      </c>
      <c r="E941" t="str">
        <f t="shared" si="14"/>
        <v>ia.assorted_string like '%44548-08-2024%' or</v>
      </c>
    </row>
    <row r="942" spans="1:5" x14ac:dyDescent="0.25">
      <c r="A942" t="s">
        <v>1688</v>
      </c>
      <c r="B942" t="s">
        <v>4017</v>
      </c>
      <c r="D942">
        <v>44552</v>
      </c>
      <c r="E942" t="str">
        <f t="shared" si="14"/>
        <v>ia.assorted_string like '%44552-08-2024%' or</v>
      </c>
    </row>
    <row r="943" spans="1:5" x14ac:dyDescent="0.25">
      <c r="A943" t="s">
        <v>972</v>
      </c>
      <c r="B943" t="s">
        <v>4017</v>
      </c>
      <c r="D943">
        <v>44573</v>
      </c>
      <c r="E943" t="str">
        <f t="shared" si="14"/>
        <v>ia.assorted_string like '%44573-08-2024%' or</v>
      </c>
    </row>
    <row r="944" spans="1:5" x14ac:dyDescent="0.25">
      <c r="A944" t="s">
        <v>1068</v>
      </c>
      <c r="B944" t="s">
        <v>4017</v>
      </c>
      <c r="D944">
        <v>44575</v>
      </c>
      <c r="E944" t="str">
        <f t="shared" si="14"/>
        <v>ia.assorted_string like '%44575-08-2024%' or</v>
      </c>
    </row>
    <row r="945" spans="1:5" x14ac:dyDescent="0.25">
      <c r="A945" t="s">
        <v>1709</v>
      </c>
      <c r="B945" t="s">
        <v>4017</v>
      </c>
      <c r="D945">
        <v>44582</v>
      </c>
      <c r="E945" t="str">
        <f t="shared" si="14"/>
        <v>ia.assorted_string like '%44582-08-2024%' or</v>
      </c>
    </row>
    <row r="946" spans="1:5" x14ac:dyDescent="0.25">
      <c r="A946" t="s">
        <v>1293</v>
      </c>
      <c r="B946" t="s">
        <v>4017</v>
      </c>
      <c r="D946">
        <v>44626</v>
      </c>
      <c r="E946" t="str">
        <f t="shared" si="14"/>
        <v>ia.assorted_string like '%44626-08-2024%' or</v>
      </c>
    </row>
    <row r="947" spans="1:5" x14ac:dyDescent="0.25">
      <c r="A947" t="s">
        <v>1294</v>
      </c>
      <c r="B947" t="s">
        <v>4017</v>
      </c>
      <c r="D947">
        <v>44627</v>
      </c>
      <c r="E947" t="str">
        <f t="shared" si="14"/>
        <v>ia.assorted_string like '%44627-08-2024%' or</v>
      </c>
    </row>
    <row r="948" spans="1:5" x14ac:dyDescent="0.25">
      <c r="A948" t="s">
        <v>1460</v>
      </c>
      <c r="B948" t="s">
        <v>4017</v>
      </c>
      <c r="D948">
        <v>44630</v>
      </c>
      <c r="E948" t="str">
        <f t="shared" si="14"/>
        <v>ia.assorted_string like '%44630-08-2024%' or</v>
      </c>
    </row>
    <row r="949" spans="1:5" x14ac:dyDescent="0.25">
      <c r="A949" t="s">
        <v>521</v>
      </c>
      <c r="B949" t="s">
        <v>4017</v>
      </c>
      <c r="D949">
        <v>44650</v>
      </c>
      <c r="E949" t="str">
        <f t="shared" si="14"/>
        <v>ia.assorted_string like '%44650-08-2024%' or</v>
      </c>
    </row>
    <row r="950" spans="1:5" x14ac:dyDescent="0.25">
      <c r="A950" t="s">
        <v>535</v>
      </c>
      <c r="B950" t="s">
        <v>4017</v>
      </c>
      <c r="D950">
        <v>44651</v>
      </c>
      <c r="E950" t="str">
        <f t="shared" si="14"/>
        <v>ia.assorted_string like '%44651-08-2024%' or</v>
      </c>
    </row>
    <row r="951" spans="1:5" x14ac:dyDescent="0.25">
      <c r="A951" t="s">
        <v>619</v>
      </c>
      <c r="B951" t="s">
        <v>4017</v>
      </c>
      <c r="D951">
        <v>44652</v>
      </c>
      <c r="E951" t="str">
        <f t="shared" si="14"/>
        <v>ia.assorted_string like '%44652-08-2024%' or</v>
      </c>
    </row>
    <row r="952" spans="1:5" x14ac:dyDescent="0.25">
      <c r="A952" t="s">
        <v>633</v>
      </c>
      <c r="B952" t="s">
        <v>4017</v>
      </c>
      <c r="D952">
        <v>44655</v>
      </c>
      <c r="E952" t="str">
        <f t="shared" si="14"/>
        <v>ia.assorted_string like '%44655-08-2024%' or</v>
      </c>
    </row>
    <row r="953" spans="1:5" x14ac:dyDescent="0.25">
      <c r="A953" t="s">
        <v>651</v>
      </c>
      <c r="B953" t="s">
        <v>4017</v>
      </c>
      <c r="D953">
        <v>44656</v>
      </c>
      <c r="E953" t="str">
        <f t="shared" si="14"/>
        <v>ia.assorted_string like '%44656-08-2024%' or</v>
      </c>
    </row>
    <row r="954" spans="1:5" x14ac:dyDescent="0.25">
      <c r="A954" t="s">
        <v>825</v>
      </c>
      <c r="B954" t="s">
        <v>4017</v>
      </c>
      <c r="D954">
        <v>44662</v>
      </c>
      <c r="E954" t="str">
        <f t="shared" si="14"/>
        <v>ia.assorted_string like '%44662-08-2024%' or</v>
      </c>
    </row>
    <row r="955" spans="1:5" x14ac:dyDescent="0.25">
      <c r="A955" t="s">
        <v>944</v>
      </c>
      <c r="B955" t="s">
        <v>4017</v>
      </c>
      <c r="D955">
        <v>44665</v>
      </c>
      <c r="E955" t="str">
        <f t="shared" si="14"/>
        <v>ia.assorted_string like '%44665-08-2024%' or</v>
      </c>
    </row>
    <row r="956" spans="1:5" x14ac:dyDescent="0.25">
      <c r="A956" t="s">
        <v>1079</v>
      </c>
      <c r="B956" t="s">
        <v>4017</v>
      </c>
      <c r="D956">
        <v>44668</v>
      </c>
      <c r="E956" t="str">
        <f t="shared" si="14"/>
        <v>ia.assorted_string like '%44668-08-2024%' or</v>
      </c>
    </row>
    <row r="957" spans="1:5" x14ac:dyDescent="0.25">
      <c r="A957" t="s">
        <v>1470</v>
      </c>
      <c r="B957" t="s">
        <v>4017</v>
      </c>
      <c r="D957">
        <v>44682</v>
      </c>
      <c r="E957" t="str">
        <f t="shared" si="14"/>
        <v>ia.assorted_string like '%44682-08-2024%' or</v>
      </c>
    </row>
    <row r="958" spans="1:5" x14ac:dyDescent="0.25">
      <c r="A958" t="s">
        <v>1720</v>
      </c>
      <c r="B958" t="s">
        <v>4017</v>
      </c>
      <c r="D958">
        <v>44687</v>
      </c>
      <c r="E958" t="str">
        <f t="shared" si="14"/>
        <v>ia.assorted_string like '%44687-08-2024%' or</v>
      </c>
    </row>
    <row r="959" spans="1:5" x14ac:dyDescent="0.25">
      <c r="A959" t="s">
        <v>1958</v>
      </c>
      <c r="B959" t="s">
        <v>4017</v>
      </c>
      <c r="D959">
        <v>44700</v>
      </c>
      <c r="E959" t="str">
        <f t="shared" si="14"/>
        <v>ia.assorted_string like '%44700-08-2024%' or</v>
      </c>
    </row>
    <row r="960" spans="1:5" x14ac:dyDescent="0.25">
      <c r="A960" t="s">
        <v>1325</v>
      </c>
      <c r="B960" t="s">
        <v>4017</v>
      </c>
      <c r="D960">
        <v>44711</v>
      </c>
      <c r="E960" t="str">
        <f t="shared" si="14"/>
        <v>ia.assorted_string like '%44711-08-2024%' or</v>
      </c>
    </row>
    <row r="961" spans="1:5" x14ac:dyDescent="0.25">
      <c r="A961" t="s">
        <v>640</v>
      </c>
      <c r="B961" t="s">
        <v>4017</v>
      </c>
      <c r="D961">
        <v>44760</v>
      </c>
      <c r="E961" t="str">
        <f t="shared" si="14"/>
        <v>ia.assorted_string like '%44760-08-2024%' or</v>
      </c>
    </row>
    <row r="962" spans="1:5" x14ac:dyDescent="0.25">
      <c r="A962" t="s">
        <v>957</v>
      </c>
      <c r="B962" t="s">
        <v>4017</v>
      </c>
      <c r="D962">
        <v>44765</v>
      </c>
      <c r="E962" t="str">
        <f t="shared" ref="E962:E1025" si="15">"ia.assorted_string like '%"&amp;D962&amp;B962&amp;"%' or"</f>
        <v>ia.assorted_string like '%44765-08-2024%' or</v>
      </c>
    </row>
    <row r="963" spans="1:5" x14ac:dyDescent="0.25">
      <c r="A963" t="s">
        <v>1336</v>
      </c>
      <c r="B963" t="s">
        <v>4017</v>
      </c>
      <c r="D963">
        <v>44775</v>
      </c>
      <c r="E963" t="str">
        <f t="shared" si="15"/>
        <v>ia.assorted_string like '%44775-08-2024%' or</v>
      </c>
    </row>
    <row r="964" spans="1:5" x14ac:dyDescent="0.25">
      <c r="A964" t="s">
        <v>660</v>
      </c>
      <c r="B964" t="s">
        <v>4017</v>
      </c>
      <c r="D964">
        <v>44802</v>
      </c>
      <c r="E964" t="str">
        <f t="shared" si="15"/>
        <v>ia.assorted_string like '%44802-08-2024%' or</v>
      </c>
    </row>
    <row r="965" spans="1:5" x14ac:dyDescent="0.25">
      <c r="A965" t="s">
        <v>706</v>
      </c>
      <c r="B965" t="s">
        <v>4017</v>
      </c>
      <c r="D965">
        <v>44804</v>
      </c>
      <c r="E965" t="str">
        <f t="shared" si="15"/>
        <v>ia.assorted_string like '%44804-08-2024%' or</v>
      </c>
    </row>
    <row r="966" spans="1:5" x14ac:dyDescent="0.25">
      <c r="A966" t="s">
        <v>1774</v>
      </c>
      <c r="B966" t="s">
        <v>4017</v>
      </c>
      <c r="D966">
        <v>44819</v>
      </c>
      <c r="E966" t="str">
        <f t="shared" si="15"/>
        <v>ia.assorted_string like '%44819-08-2024%' or</v>
      </c>
    </row>
    <row r="967" spans="1:5" x14ac:dyDescent="0.25">
      <c r="A967" t="s">
        <v>545</v>
      </c>
      <c r="B967" t="s">
        <v>4017</v>
      </c>
      <c r="D967">
        <v>44844</v>
      </c>
      <c r="E967" t="str">
        <f t="shared" si="15"/>
        <v>ia.assorted_string like '%44844-08-2024%' or</v>
      </c>
    </row>
    <row r="968" spans="1:5" x14ac:dyDescent="0.25">
      <c r="A968" t="s">
        <v>668</v>
      </c>
      <c r="B968" t="s">
        <v>4017</v>
      </c>
      <c r="D968">
        <v>44845</v>
      </c>
      <c r="E968" t="str">
        <f t="shared" si="15"/>
        <v>ia.assorted_string like '%44845-08-2024%' or</v>
      </c>
    </row>
    <row r="969" spans="1:5" x14ac:dyDescent="0.25">
      <c r="A969" t="s">
        <v>675</v>
      </c>
      <c r="B969" t="s">
        <v>4017</v>
      </c>
      <c r="D969">
        <v>44846</v>
      </c>
      <c r="E969" t="str">
        <f t="shared" si="15"/>
        <v>ia.assorted_string like '%44846-08-2024%' or</v>
      </c>
    </row>
    <row r="970" spans="1:5" x14ac:dyDescent="0.25">
      <c r="A970" t="s">
        <v>860</v>
      </c>
      <c r="B970" t="s">
        <v>4017</v>
      </c>
      <c r="D970">
        <v>44850</v>
      </c>
      <c r="E970" t="str">
        <f t="shared" si="15"/>
        <v>ia.assorted_string like '%44850-08-2024%' or</v>
      </c>
    </row>
    <row r="971" spans="1:5" x14ac:dyDescent="0.25">
      <c r="A971" t="s">
        <v>1737</v>
      </c>
      <c r="B971" t="s">
        <v>4017</v>
      </c>
      <c r="D971">
        <v>44861</v>
      </c>
      <c r="E971" t="str">
        <f t="shared" si="15"/>
        <v>ia.assorted_string like '%44861-08-2024%' or</v>
      </c>
    </row>
    <row r="972" spans="1:5" x14ac:dyDescent="0.25">
      <c r="A972" t="s">
        <v>1756</v>
      </c>
      <c r="B972" t="s">
        <v>4017</v>
      </c>
      <c r="D972">
        <v>44862</v>
      </c>
      <c r="E972" t="str">
        <f t="shared" si="15"/>
        <v>ia.assorted_string like '%44862-08-2024%' or</v>
      </c>
    </row>
    <row r="973" spans="1:5" x14ac:dyDescent="0.25">
      <c r="A973" t="s">
        <v>1764</v>
      </c>
      <c r="B973" t="s">
        <v>4017</v>
      </c>
      <c r="D973">
        <v>44863</v>
      </c>
      <c r="E973" t="str">
        <f t="shared" si="15"/>
        <v>ia.assorted_string like '%44863-08-2024%' or</v>
      </c>
    </row>
    <row r="974" spans="1:5" x14ac:dyDescent="0.25">
      <c r="A974" t="s">
        <v>1845</v>
      </c>
      <c r="B974" t="s">
        <v>4017</v>
      </c>
      <c r="D974">
        <v>44871</v>
      </c>
      <c r="E974" t="str">
        <f t="shared" si="15"/>
        <v>ia.assorted_string like '%44871-08-2024%' or</v>
      </c>
    </row>
    <row r="975" spans="1:5" x14ac:dyDescent="0.25">
      <c r="A975" t="s">
        <v>841</v>
      </c>
      <c r="B975" t="s">
        <v>4017</v>
      </c>
      <c r="D975">
        <v>44884</v>
      </c>
      <c r="E975" t="str">
        <f t="shared" si="15"/>
        <v>ia.assorted_string like '%44884-08-2024%' or</v>
      </c>
    </row>
    <row r="976" spans="1:5" x14ac:dyDescent="0.25">
      <c r="A976" t="s">
        <v>1000</v>
      </c>
      <c r="B976" t="s">
        <v>4017</v>
      </c>
      <c r="D976">
        <v>44888</v>
      </c>
      <c r="E976" t="str">
        <f t="shared" si="15"/>
        <v>ia.assorted_string like '%44888-08-2024%' or</v>
      </c>
    </row>
    <row r="977" spans="1:5" x14ac:dyDescent="0.25">
      <c r="A977" t="s">
        <v>1355</v>
      </c>
      <c r="B977" t="s">
        <v>4017</v>
      </c>
      <c r="D977">
        <v>44897</v>
      </c>
      <c r="E977" t="str">
        <f t="shared" si="15"/>
        <v>ia.assorted_string like '%44897-08-2024%' or</v>
      </c>
    </row>
    <row r="978" spans="1:5" x14ac:dyDescent="0.25">
      <c r="A978" t="s">
        <v>1385</v>
      </c>
      <c r="B978" t="s">
        <v>4017</v>
      </c>
      <c r="D978">
        <v>44901</v>
      </c>
      <c r="E978" t="str">
        <f t="shared" si="15"/>
        <v>ia.assorted_string like '%44901-08-2024%' or</v>
      </c>
    </row>
    <row r="979" spans="1:5" x14ac:dyDescent="0.25">
      <c r="A979" t="s">
        <v>551</v>
      </c>
      <c r="B979" t="s">
        <v>4017</v>
      </c>
      <c r="D979">
        <v>44934</v>
      </c>
      <c r="E979" t="str">
        <f t="shared" si="15"/>
        <v>ia.assorted_string like '%44934-08-2024%' or</v>
      </c>
    </row>
    <row r="980" spans="1:5" x14ac:dyDescent="0.25">
      <c r="A980" t="s">
        <v>852</v>
      </c>
      <c r="B980" t="s">
        <v>4017</v>
      </c>
      <c r="D980">
        <v>44938</v>
      </c>
      <c r="E980" t="str">
        <f t="shared" si="15"/>
        <v>ia.assorted_string like '%44938-08-2024%' or</v>
      </c>
    </row>
    <row r="981" spans="1:5" x14ac:dyDescent="0.25">
      <c r="A981" t="s">
        <v>1133</v>
      </c>
      <c r="B981" t="s">
        <v>4017</v>
      </c>
      <c r="D981">
        <v>44941</v>
      </c>
      <c r="E981" t="str">
        <f t="shared" si="15"/>
        <v>ia.assorted_string like '%44941-08-2024%' or</v>
      </c>
    </row>
    <row r="982" spans="1:5" x14ac:dyDescent="0.25">
      <c r="A982" t="s">
        <v>1147</v>
      </c>
      <c r="B982" t="s">
        <v>4017</v>
      </c>
      <c r="D982">
        <v>44943</v>
      </c>
      <c r="E982" t="str">
        <f t="shared" si="15"/>
        <v>ia.assorted_string like '%44943-08-2024%' or</v>
      </c>
    </row>
    <row r="983" spans="1:5" x14ac:dyDescent="0.25">
      <c r="A983" t="s">
        <v>1580</v>
      </c>
      <c r="B983" t="s">
        <v>4017</v>
      </c>
      <c r="D983">
        <v>44952</v>
      </c>
      <c r="E983" t="str">
        <f t="shared" si="15"/>
        <v>ia.assorted_string like '%44952-08-2024%' or</v>
      </c>
    </row>
    <row r="984" spans="1:5" x14ac:dyDescent="0.25">
      <c r="A984" t="s">
        <v>1942</v>
      </c>
      <c r="B984" t="s">
        <v>4017</v>
      </c>
      <c r="D984">
        <v>44969</v>
      </c>
      <c r="E984" t="str">
        <f t="shared" si="15"/>
        <v>ia.assorted_string like '%44969-08-2024%' or</v>
      </c>
    </row>
    <row r="985" spans="1:5" x14ac:dyDescent="0.25">
      <c r="A985" t="s">
        <v>113</v>
      </c>
      <c r="B985" t="s">
        <v>4017</v>
      </c>
      <c r="D985">
        <v>45017</v>
      </c>
      <c r="E985" t="str">
        <f t="shared" si="15"/>
        <v>ia.assorted_string like '%45017-08-2024%' or</v>
      </c>
    </row>
    <row r="986" spans="1:5" x14ac:dyDescent="0.25">
      <c r="A986" t="s">
        <v>716</v>
      </c>
      <c r="B986" t="s">
        <v>4017</v>
      </c>
      <c r="D986">
        <v>45198</v>
      </c>
      <c r="E986" t="str">
        <f t="shared" si="15"/>
        <v>ia.assorted_string like '%45198-08-2024%' or</v>
      </c>
    </row>
    <row r="987" spans="1:5" x14ac:dyDescent="0.25">
      <c r="A987" t="s">
        <v>986</v>
      </c>
      <c r="B987" t="s">
        <v>4017</v>
      </c>
      <c r="D987">
        <v>45201</v>
      </c>
      <c r="E987" t="str">
        <f t="shared" si="15"/>
        <v>ia.assorted_string like '%45201-08-2024%' or</v>
      </c>
    </row>
    <row r="988" spans="1:5" x14ac:dyDescent="0.25">
      <c r="A988" t="s">
        <v>1011</v>
      </c>
      <c r="B988" t="s">
        <v>4017</v>
      </c>
      <c r="D988">
        <v>45204</v>
      </c>
      <c r="E988" t="str">
        <f t="shared" si="15"/>
        <v>ia.assorted_string like '%45204-08-2024%' or</v>
      </c>
    </row>
    <row r="989" spans="1:5" x14ac:dyDescent="0.25">
      <c r="A989" t="s">
        <v>1154</v>
      </c>
      <c r="B989" t="s">
        <v>4017</v>
      </c>
      <c r="D989">
        <v>45206</v>
      </c>
      <c r="E989" t="str">
        <f t="shared" si="15"/>
        <v>ia.assorted_string like '%45206-08-2024%' or</v>
      </c>
    </row>
    <row r="990" spans="1:5" x14ac:dyDescent="0.25">
      <c r="A990" t="s">
        <v>1396</v>
      </c>
      <c r="B990" t="s">
        <v>4017</v>
      </c>
      <c r="D990">
        <v>45210</v>
      </c>
      <c r="E990" t="str">
        <f t="shared" si="15"/>
        <v>ia.assorted_string like '%45210-08-2024%' or</v>
      </c>
    </row>
    <row r="991" spans="1:5" x14ac:dyDescent="0.25">
      <c r="A991" t="s">
        <v>1597</v>
      </c>
      <c r="B991" t="s">
        <v>4017</v>
      </c>
      <c r="D991">
        <v>45215</v>
      </c>
      <c r="E991" t="str">
        <f t="shared" si="15"/>
        <v>ia.assorted_string like '%45215-08-2024%' or</v>
      </c>
    </row>
    <row r="992" spans="1:5" x14ac:dyDescent="0.25">
      <c r="A992" t="s">
        <v>566</v>
      </c>
      <c r="B992" t="s">
        <v>4017</v>
      </c>
      <c r="D992">
        <v>45252</v>
      </c>
      <c r="E992" t="str">
        <f t="shared" si="15"/>
        <v>ia.assorted_string like '%45252-08-2024%' or</v>
      </c>
    </row>
    <row r="993" spans="1:5" x14ac:dyDescent="0.25">
      <c r="A993" t="s">
        <v>734</v>
      </c>
      <c r="B993" t="s">
        <v>4017</v>
      </c>
      <c r="D993">
        <v>45258</v>
      </c>
      <c r="E993" t="str">
        <f t="shared" si="15"/>
        <v>ia.assorted_string like '%45258-08-2024%' or</v>
      </c>
    </row>
    <row r="994" spans="1:5" x14ac:dyDescent="0.25">
      <c r="A994" t="s">
        <v>865</v>
      </c>
      <c r="B994" t="s">
        <v>4017</v>
      </c>
      <c r="D994">
        <v>45261</v>
      </c>
      <c r="E994" t="str">
        <f t="shared" si="15"/>
        <v>ia.assorted_string like '%45261-08-2024%' or</v>
      </c>
    </row>
    <row r="995" spans="1:5" x14ac:dyDescent="0.25">
      <c r="A995" t="s">
        <v>1016</v>
      </c>
      <c r="B995" t="s">
        <v>4017</v>
      </c>
      <c r="D995">
        <v>45264</v>
      </c>
      <c r="E995" t="str">
        <f t="shared" si="15"/>
        <v>ia.assorted_string like '%45264-08-2024%' or</v>
      </c>
    </row>
    <row r="996" spans="1:5" x14ac:dyDescent="0.25">
      <c r="A996" t="s">
        <v>1375</v>
      </c>
      <c r="B996" t="s">
        <v>4017</v>
      </c>
      <c r="D996">
        <v>45265</v>
      </c>
      <c r="E996" t="str">
        <f t="shared" si="15"/>
        <v>ia.assorted_string like '%45265-08-2024%' or</v>
      </c>
    </row>
    <row r="997" spans="1:5" x14ac:dyDescent="0.25">
      <c r="A997" t="s">
        <v>1409</v>
      </c>
      <c r="B997" t="s">
        <v>4017</v>
      </c>
      <c r="D997">
        <v>45269</v>
      </c>
      <c r="E997" t="str">
        <f t="shared" si="15"/>
        <v>ia.assorted_string like '%45269-08-2024%' or</v>
      </c>
    </row>
    <row r="998" spans="1:5" x14ac:dyDescent="0.25">
      <c r="A998" t="s">
        <v>1496</v>
      </c>
      <c r="B998" t="s">
        <v>4017</v>
      </c>
      <c r="D998">
        <v>45274</v>
      </c>
      <c r="E998" t="str">
        <f t="shared" si="15"/>
        <v>ia.assorted_string like '%45274-08-2024%' or</v>
      </c>
    </row>
    <row r="999" spans="1:5" x14ac:dyDescent="0.25">
      <c r="A999" t="s">
        <v>1506</v>
      </c>
      <c r="B999" t="s">
        <v>4017</v>
      </c>
      <c r="D999">
        <v>45275</v>
      </c>
      <c r="E999" t="str">
        <f t="shared" si="15"/>
        <v>ia.assorted_string like '%45275-08-2024%' or</v>
      </c>
    </row>
    <row r="1000" spans="1:5" x14ac:dyDescent="0.25">
      <c r="A1000" t="s">
        <v>1784</v>
      </c>
      <c r="B1000" t="s">
        <v>4017</v>
      </c>
      <c r="D1000">
        <v>45283</v>
      </c>
      <c r="E1000" t="str">
        <f t="shared" si="15"/>
        <v>ia.assorted_string like '%45283-08-2024%' or</v>
      </c>
    </row>
    <row r="1001" spans="1:5" x14ac:dyDescent="0.25">
      <c r="A1001" t="s">
        <v>1976</v>
      </c>
      <c r="B1001" t="s">
        <v>4017</v>
      </c>
      <c r="D1001">
        <v>45292</v>
      </c>
      <c r="E1001" t="str">
        <f t="shared" si="15"/>
        <v>ia.assorted_string like '%45292-08-2024%' or</v>
      </c>
    </row>
    <row r="1002" spans="1:5" x14ac:dyDescent="0.25">
      <c r="A1002" t="s">
        <v>729</v>
      </c>
      <c r="B1002" t="s">
        <v>4017</v>
      </c>
      <c r="D1002">
        <v>45408</v>
      </c>
      <c r="E1002" t="str">
        <f t="shared" si="15"/>
        <v>ia.assorted_string like '%45408-08-2024%' or</v>
      </c>
    </row>
    <row r="1003" spans="1:5" x14ac:dyDescent="0.25">
      <c r="A1003" t="s">
        <v>742</v>
      </c>
      <c r="B1003" t="s">
        <v>4017</v>
      </c>
      <c r="D1003">
        <v>45411</v>
      </c>
      <c r="E1003" t="str">
        <f t="shared" si="15"/>
        <v>ia.assorted_string like '%45411-08-2024%' or</v>
      </c>
    </row>
    <row r="1004" spans="1:5" x14ac:dyDescent="0.25">
      <c r="A1004" t="s">
        <v>750</v>
      </c>
      <c r="B1004" t="s">
        <v>4017</v>
      </c>
      <c r="D1004">
        <v>45412</v>
      </c>
      <c r="E1004" t="str">
        <f t="shared" si="15"/>
        <v>ia.assorted_string like '%45412-08-2024%' or</v>
      </c>
    </row>
    <row r="1005" spans="1:5" x14ac:dyDescent="0.25">
      <c r="A1005" t="s">
        <v>879</v>
      </c>
      <c r="B1005" t="s">
        <v>4017</v>
      </c>
      <c r="D1005">
        <v>45415</v>
      </c>
      <c r="E1005" t="str">
        <f t="shared" si="15"/>
        <v>ia.assorted_string like '%45415-08-2024%' or</v>
      </c>
    </row>
    <row r="1006" spans="1:5" x14ac:dyDescent="0.25">
      <c r="A1006" t="s">
        <v>1031</v>
      </c>
      <c r="B1006" t="s">
        <v>4017</v>
      </c>
      <c r="D1006">
        <v>45418</v>
      </c>
      <c r="E1006" t="str">
        <f t="shared" si="15"/>
        <v>ia.assorted_string like '%45418-08-2024%' or</v>
      </c>
    </row>
    <row r="1007" spans="1:5" x14ac:dyDescent="0.25">
      <c r="A1007" t="s">
        <v>1086</v>
      </c>
      <c r="B1007" t="s">
        <v>4017</v>
      </c>
      <c r="D1007">
        <v>45424</v>
      </c>
      <c r="E1007" t="str">
        <f t="shared" si="15"/>
        <v>ia.assorted_string like '%45424-08-2024%' or</v>
      </c>
    </row>
    <row r="1008" spans="1:5" x14ac:dyDescent="0.25">
      <c r="A1008" t="s">
        <v>1172</v>
      </c>
      <c r="B1008" t="s">
        <v>4017</v>
      </c>
      <c r="D1008">
        <v>45428</v>
      </c>
      <c r="E1008" t="str">
        <f t="shared" si="15"/>
        <v>ia.assorted_string like '%45428-08-2024%' or</v>
      </c>
    </row>
    <row r="1009" spans="1:5" x14ac:dyDescent="0.25">
      <c r="A1009" t="s">
        <v>1185</v>
      </c>
      <c r="B1009" t="s">
        <v>4017</v>
      </c>
      <c r="D1009">
        <v>45430</v>
      </c>
      <c r="E1009" t="str">
        <f t="shared" si="15"/>
        <v>ia.assorted_string like '%45430-08-2024%' or</v>
      </c>
    </row>
    <row r="1010" spans="1:5" x14ac:dyDescent="0.25">
      <c r="A1010" t="s">
        <v>1198</v>
      </c>
      <c r="B1010" t="s">
        <v>4017</v>
      </c>
      <c r="D1010">
        <v>45432</v>
      </c>
      <c r="E1010" t="str">
        <f t="shared" si="15"/>
        <v>ia.assorted_string like '%45432-08-2024%' or</v>
      </c>
    </row>
    <row r="1011" spans="1:5" x14ac:dyDescent="0.25">
      <c r="A1011" t="s">
        <v>1531</v>
      </c>
      <c r="B1011" t="s">
        <v>4017</v>
      </c>
      <c r="D1011">
        <v>45440</v>
      </c>
      <c r="E1011" t="str">
        <f t="shared" si="15"/>
        <v>ia.assorted_string like '%45440-08-2024%' or</v>
      </c>
    </row>
    <row r="1012" spans="1:5" x14ac:dyDescent="0.25">
      <c r="A1012" t="s">
        <v>1539</v>
      </c>
      <c r="B1012" t="s">
        <v>4017</v>
      </c>
      <c r="D1012">
        <v>45441</v>
      </c>
      <c r="E1012" t="str">
        <f t="shared" si="15"/>
        <v>ia.assorted_string like '%45441-08-2024%' or</v>
      </c>
    </row>
    <row r="1013" spans="1:5" x14ac:dyDescent="0.25">
      <c r="A1013" t="s">
        <v>1611</v>
      </c>
      <c r="B1013" t="s">
        <v>4017</v>
      </c>
      <c r="D1013">
        <v>45444</v>
      </c>
      <c r="E1013" t="str">
        <f t="shared" si="15"/>
        <v>ia.assorted_string like '%45444-08-2024%' or</v>
      </c>
    </row>
    <row r="1014" spans="1:5" x14ac:dyDescent="0.25">
      <c r="A1014" t="s">
        <v>1644</v>
      </c>
      <c r="B1014" t="s">
        <v>4017</v>
      </c>
      <c r="D1014">
        <v>45445</v>
      </c>
      <c r="E1014" t="str">
        <f t="shared" si="15"/>
        <v>ia.assorted_string like '%45445-08-2024%' or</v>
      </c>
    </row>
    <row r="1015" spans="1:5" x14ac:dyDescent="0.25">
      <c r="A1015" t="s">
        <v>1854</v>
      </c>
      <c r="B1015" t="s">
        <v>4017</v>
      </c>
      <c r="D1015">
        <v>45453</v>
      </c>
      <c r="E1015" t="str">
        <f t="shared" si="15"/>
        <v>ia.assorted_string like '%45453-08-2024%' or</v>
      </c>
    </row>
    <row r="1016" spans="1:5" x14ac:dyDescent="0.25">
      <c r="A1016" t="s">
        <v>1935</v>
      </c>
      <c r="B1016" t="s">
        <v>4017</v>
      </c>
      <c r="D1016">
        <v>45459</v>
      </c>
      <c r="E1016" t="str">
        <f t="shared" si="15"/>
        <v>ia.assorted_string like '%45459-08-2024%' or</v>
      </c>
    </row>
    <row r="1017" spans="1:5" x14ac:dyDescent="0.25">
      <c r="A1017" t="s">
        <v>1044</v>
      </c>
      <c r="B1017" t="s">
        <v>4018</v>
      </c>
      <c r="D1017">
        <v>45519</v>
      </c>
      <c r="E1017" t="str">
        <f t="shared" si="15"/>
        <v>ia.assorted_string like '%45519-09-2024%' or</v>
      </c>
    </row>
    <row r="1018" spans="1:5" x14ac:dyDescent="0.25">
      <c r="A1018" t="s">
        <v>1208</v>
      </c>
      <c r="B1018" t="s">
        <v>4018</v>
      </c>
      <c r="D1018">
        <v>45522</v>
      </c>
      <c r="E1018" t="str">
        <f t="shared" si="15"/>
        <v>ia.assorted_string like '%45522-09-2024%' or</v>
      </c>
    </row>
    <row r="1019" spans="1:5" x14ac:dyDescent="0.25">
      <c r="A1019" t="s">
        <v>1622</v>
      </c>
      <c r="B1019" t="s">
        <v>4018</v>
      </c>
      <c r="D1019">
        <v>45528</v>
      </c>
      <c r="E1019" t="str">
        <f t="shared" si="15"/>
        <v>ia.assorted_string like '%45528-09-2024%' or</v>
      </c>
    </row>
    <row r="1020" spans="1:5" x14ac:dyDescent="0.25">
      <c r="A1020" t="s">
        <v>1653</v>
      </c>
      <c r="B1020" t="s">
        <v>4018</v>
      </c>
      <c r="D1020">
        <v>45532</v>
      </c>
      <c r="E1020" t="str">
        <f t="shared" si="15"/>
        <v>ia.assorted_string like '%45532-09-2024%' or</v>
      </c>
    </row>
    <row r="1021" spans="1:5" x14ac:dyDescent="0.25">
      <c r="A1021" t="s">
        <v>1803</v>
      </c>
      <c r="B1021" t="s">
        <v>4018</v>
      </c>
      <c r="D1021">
        <v>45533</v>
      </c>
      <c r="E1021" t="str">
        <f t="shared" si="15"/>
        <v>ia.assorted_string like '%45533-09-2024%' or</v>
      </c>
    </row>
    <row r="1022" spans="1:5" x14ac:dyDescent="0.25">
      <c r="A1022" t="s">
        <v>1858</v>
      </c>
      <c r="B1022" t="s">
        <v>4018</v>
      </c>
      <c r="D1022">
        <v>45536</v>
      </c>
      <c r="E1022" t="str">
        <f t="shared" si="15"/>
        <v>ia.assorted_string like '%45536-09-2024%' or</v>
      </c>
    </row>
    <row r="1023" spans="1:5" x14ac:dyDescent="0.25">
      <c r="A1023" t="s">
        <v>1859</v>
      </c>
      <c r="B1023" t="s">
        <v>4018</v>
      </c>
      <c r="D1023">
        <v>45537</v>
      </c>
      <c r="E1023" t="str">
        <f t="shared" si="15"/>
        <v>ia.assorted_string like '%45537-09-2024%' or</v>
      </c>
    </row>
    <row r="1024" spans="1:5" x14ac:dyDescent="0.25">
      <c r="A1024" t="s">
        <v>1867</v>
      </c>
      <c r="B1024" t="s">
        <v>4018</v>
      </c>
      <c r="D1024">
        <v>45539</v>
      </c>
      <c r="E1024" t="str">
        <f t="shared" si="15"/>
        <v>ia.assorted_string like '%45539-09-2024%' or</v>
      </c>
    </row>
    <row r="1025" spans="1:5" x14ac:dyDescent="0.25">
      <c r="A1025" t="s">
        <v>612</v>
      </c>
      <c r="B1025" t="s">
        <v>4018</v>
      </c>
      <c r="D1025">
        <v>45591</v>
      </c>
      <c r="E1025" t="str">
        <f t="shared" si="15"/>
        <v>ia.assorted_string like '%45591-09-2024%' or</v>
      </c>
    </row>
    <row r="1026" spans="1:5" x14ac:dyDescent="0.25">
      <c r="A1026" t="s">
        <v>1554</v>
      </c>
      <c r="B1026" t="s">
        <v>4018</v>
      </c>
      <c r="D1026">
        <v>45614</v>
      </c>
      <c r="E1026" t="str">
        <f t="shared" ref="E1026:E1089" si="16">"ia.assorted_string like '%"&amp;D1026&amp;B1026&amp;"%' or"</f>
        <v>ia.assorted_string like '%45614-09-2024%' or</v>
      </c>
    </row>
    <row r="1027" spans="1:5" x14ac:dyDescent="0.25">
      <c r="A1027" t="s">
        <v>1660</v>
      </c>
      <c r="B1027" t="s">
        <v>4018</v>
      </c>
      <c r="D1027">
        <v>45618</v>
      </c>
      <c r="E1027" t="str">
        <f t="shared" si="16"/>
        <v>ia.assorted_string like '%45618-09-2024%' or</v>
      </c>
    </row>
    <row r="1028" spans="1:5" x14ac:dyDescent="0.25">
      <c r="A1028" t="s">
        <v>1667</v>
      </c>
      <c r="B1028" t="s">
        <v>4018</v>
      </c>
      <c r="D1028">
        <v>45620</v>
      </c>
      <c r="E1028" t="str">
        <f t="shared" si="16"/>
        <v>ia.assorted_string like '%45620-09-2024%' or</v>
      </c>
    </row>
    <row r="1029" spans="1:5" x14ac:dyDescent="0.25">
      <c r="A1029" t="s">
        <v>1677</v>
      </c>
      <c r="B1029" t="s">
        <v>4018</v>
      </c>
      <c r="D1029">
        <v>45621</v>
      </c>
      <c r="E1029" t="str">
        <f t="shared" si="16"/>
        <v>ia.assorted_string like '%45621-09-2024%' or</v>
      </c>
    </row>
    <row r="1030" spans="1:5" x14ac:dyDescent="0.25">
      <c r="A1030" t="s">
        <v>1809</v>
      </c>
      <c r="B1030" t="s">
        <v>4018</v>
      </c>
      <c r="D1030">
        <v>45626</v>
      </c>
      <c r="E1030" t="str">
        <f t="shared" si="16"/>
        <v>ia.assorted_string like '%45626-09-2024%' or</v>
      </c>
    </row>
    <row r="1031" spans="1:5" x14ac:dyDescent="0.25">
      <c r="A1031" t="s">
        <v>1817</v>
      </c>
      <c r="B1031" t="s">
        <v>4018</v>
      </c>
      <c r="D1031">
        <v>45627</v>
      </c>
      <c r="E1031" t="str">
        <f t="shared" si="16"/>
        <v>ia.assorted_string like '%45627-09-2024%' or</v>
      </c>
    </row>
    <row r="1032" spans="1:5" x14ac:dyDescent="0.25">
      <c r="A1032" t="s">
        <v>1878</v>
      </c>
      <c r="B1032" t="s">
        <v>4018</v>
      </c>
      <c r="D1032">
        <v>45630</v>
      </c>
      <c r="E1032" t="str">
        <f t="shared" si="16"/>
        <v>ia.assorted_string like '%45630-09-2024%' or</v>
      </c>
    </row>
    <row r="1033" spans="1:5" x14ac:dyDescent="0.25">
      <c r="A1033" t="s">
        <v>1893</v>
      </c>
      <c r="B1033" t="s">
        <v>4018</v>
      </c>
      <c r="D1033">
        <v>45635</v>
      </c>
      <c r="E1033" t="str">
        <f t="shared" si="16"/>
        <v>ia.assorted_string like '%45635-09-2024%' or</v>
      </c>
    </row>
    <row r="1034" spans="1:5" x14ac:dyDescent="0.25">
      <c r="A1034" t="s">
        <v>757</v>
      </c>
      <c r="B1034" t="s">
        <v>4018</v>
      </c>
      <c r="D1034">
        <v>45695</v>
      </c>
      <c r="E1034" t="str">
        <f t="shared" si="16"/>
        <v>ia.assorted_string like '%45695-09-2024%' or</v>
      </c>
    </row>
    <row r="1035" spans="1:5" x14ac:dyDescent="0.25">
      <c r="A1035" t="s">
        <v>773</v>
      </c>
      <c r="B1035" t="s">
        <v>4018</v>
      </c>
      <c r="D1035">
        <v>45700</v>
      </c>
      <c r="E1035" t="str">
        <f t="shared" si="16"/>
        <v>ia.assorted_string like '%45700-09-2024%' or</v>
      </c>
    </row>
    <row r="1036" spans="1:5" x14ac:dyDescent="0.25">
      <c r="A1036" t="s">
        <v>917</v>
      </c>
      <c r="B1036" t="s">
        <v>4018</v>
      </c>
      <c r="D1036">
        <v>45704</v>
      </c>
      <c r="E1036" t="str">
        <f t="shared" si="16"/>
        <v>ia.assorted_string like '%45704-09-2024%' or</v>
      </c>
    </row>
    <row r="1037" spans="1:5" x14ac:dyDescent="0.25">
      <c r="A1037" t="s">
        <v>932</v>
      </c>
      <c r="B1037" t="s">
        <v>4018</v>
      </c>
      <c r="D1037">
        <v>45705</v>
      </c>
      <c r="E1037" t="str">
        <f t="shared" si="16"/>
        <v>ia.assorted_string like '%45705-09-2024%' or</v>
      </c>
    </row>
    <row r="1038" spans="1:5" x14ac:dyDescent="0.25">
      <c r="A1038" t="s">
        <v>1094</v>
      </c>
      <c r="B1038" t="s">
        <v>4018</v>
      </c>
      <c r="D1038">
        <v>45709</v>
      </c>
      <c r="E1038" t="str">
        <f t="shared" si="16"/>
        <v>ia.assorted_string like '%45709-09-2024%' or</v>
      </c>
    </row>
    <row r="1039" spans="1:5" x14ac:dyDescent="0.25">
      <c r="A1039" t="s">
        <v>1227</v>
      </c>
      <c r="B1039" t="s">
        <v>4018</v>
      </c>
      <c r="D1039">
        <v>45713</v>
      </c>
      <c r="E1039" t="str">
        <f t="shared" si="16"/>
        <v>ia.assorted_string like '%45713-09-2024%' or</v>
      </c>
    </row>
    <row r="1040" spans="1:5" x14ac:dyDescent="0.25">
      <c r="A1040" t="s">
        <v>1239</v>
      </c>
      <c r="B1040" t="s">
        <v>4018</v>
      </c>
      <c r="D1040">
        <v>45714</v>
      </c>
      <c r="E1040" t="str">
        <f t="shared" si="16"/>
        <v>ia.assorted_string like '%45714-09-2024%' or</v>
      </c>
    </row>
    <row r="1041" spans="1:5" x14ac:dyDescent="0.25">
      <c r="A1041" t="s">
        <v>1276</v>
      </c>
      <c r="B1041" t="s">
        <v>4018</v>
      </c>
      <c r="D1041">
        <v>45719</v>
      </c>
      <c r="E1041" t="str">
        <f t="shared" si="16"/>
        <v>ia.assorted_string like '%45719-09-2024%' or</v>
      </c>
    </row>
    <row r="1042" spans="1:5" x14ac:dyDescent="0.25">
      <c r="A1042" t="s">
        <v>1283</v>
      </c>
      <c r="B1042" t="s">
        <v>4018</v>
      </c>
      <c r="D1042">
        <v>45720</v>
      </c>
      <c r="E1042" t="str">
        <f t="shared" si="16"/>
        <v>ia.assorted_string like '%45720-09-2024%' or</v>
      </c>
    </row>
    <row r="1043" spans="1:5" x14ac:dyDescent="0.25">
      <c r="A1043" t="s">
        <v>1418</v>
      </c>
      <c r="B1043" t="s">
        <v>4018</v>
      </c>
      <c r="D1043">
        <v>45725</v>
      </c>
      <c r="E1043" t="str">
        <f t="shared" si="16"/>
        <v>ia.assorted_string like '%45725-09-2024%' or</v>
      </c>
    </row>
    <row r="1044" spans="1:5" x14ac:dyDescent="0.25">
      <c r="A1044" t="s">
        <v>1729</v>
      </c>
      <c r="B1044" t="s">
        <v>4018</v>
      </c>
      <c r="D1044">
        <v>45737</v>
      </c>
      <c r="E1044" t="str">
        <f t="shared" si="16"/>
        <v>ia.assorted_string like '%45737-09-2024%' or</v>
      </c>
    </row>
    <row r="1045" spans="1:5" x14ac:dyDescent="0.25">
      <c r="A1045" t="s">
        <v>1901</v>
      </c>
      <c r="B1045" t="s">
        <v>4018</v>
      </c>
      <c r="D1045">
        <v>45743</v>
      </c>
      <c r="E1045" t="str">
        <f t="shared" si="16"/>
        <v>ia.assorted_string like '%45743-09-2024%' or</v>
      </c>
    </row>
    <row r="1046" spans="1:5" x14ac:dyDescent="0.25">
      <c r="A1046" t="s">
        <v>1954</v>
      </c>
      <c r="B1046" t="s">
        <v>4018</v>
      </c>
      <c r="D1046">
        <v>45753</v>
      </c>
      <c r="E1046" t="str">
        <f t="shared" si="16"/>
        <v>ia.assorted_string like '%45753-09-2024%' or</v>
      </c>
    </row>
    <row r="1047" spans="1:5" x14ac:dyDescent="0.25">
      <c r="A1047" t="s">
        <v>781</v>
      </c>
      <c r="B1047" t="s">
        <v>4018</v>
      </c>
      <c r="D1047">
        <v>45769</v>
      </c>
      <c r="E1047" t="str">
        <f t="shared" si="16"/>
        <v>ia.assorted_string like '%45769-09-2024%' or</v>
      </c>
    </row>
    <row r="1048" spans="1:5" x14ac:dyDescent="0.25">
      <c r="A1048" t="s">
        <v>794</v>
      </c>
      <c r="B1048" t="s">
        <v>4018</v>
      </c>
      <c r="D1048">
        <v>45770</v>
      </c>
      <c r="E1048" t="str">
        <f t="shared" si="16"/>
        <v>ia.assorted_string like '%45770-09-2024%' or</v>
      </c>
    </row>
    <row r="1049" spans="1:5" x14ac:dyDescent="0.25">
      <c r="A1049" t="s">
        <v>1307</v>
      </c>
      <c r="B1049" t="s">
        <v>4018</v>
      </c>
      <c r="D1049">
        <v>45773</v>
      </c>
      <c r="E1049" t="str">
        <f t="shared" si="16"/>
        <v>ia.assorted_string like '%45773-09-2024%' or</v>
      </c>
    </row>
    <row r="1050" spans="1:5" x14ac:dyDescent="0.25">
      <c r="A1050" t="s">
        <v>1426</v>
      </c>
      <c r="B1050" t="s">
        <v>4018</v>
      </c>
      <c r="D1050">
        <v>45774</v>
      </c>
      <c r="E1050" t="str">
        <f t="shared" si="16"/>
        <v>ia.assorted_string like '%45774-09-2024%' or</v>
      </c>
    </row>
    <row r="1051" spans="1:5" x14ac:dyDescent="0.25">
      <c r="A1051" t="s">
        <v>1436</v>
      </c>
      <c r="B1051" t="s">
        <v>4018</v>
      </c>
      <c r="D1051">
        <v>45775</v>
      </c>
      <c r="E1051" t="str">
        <f t="shared" si="16"/>
        <v>ia.assorted_string like '%45775-09-2024%' or</v>
      </c>
    </row>
    <row r="1052" spans="1:5" x14ac:dyDescent="0.25">
      <c r="A1052" t="s">
        <v>1689</v>
      </c>
      <c r="B1052" t="s">
        <v>4018</v>
      </c>
      <c r="D1052">
        <v>45779</v>
      </c>
      <c r="E1052" t="str">
        <f t="shared" si="16"/>
        <v>ia.assorted_string like '%45779-09-2024%' or</v>
      </c>
    </row>
    <row r="1053" spans="1:5" x14ac:dyDescent="0.25">
      <c r="A1053" t="s">
        <v>604</v>
      </c>
      <c r="B1053" t="s">
        <v>4018</v>
      </c>
      <c r="D1053">
        <v>45820</v>
      </c>
      <c r="E1053" t="str">
        <f t="shared" si="16"/>
        <v>ia.assorted_string like '%45820-09-2024%' or</v>
      </c>
    </row>
    <row r="1054" spans="1:5" x14ac:dyDescent="0.25">
      <c r="A1054" t="s">
        <v>973</v>
      </c>
      <c r="B1054" t="s">
        <v>4018</v>
      </c>
      <c r="D1054">
        <v>45825</v>
      </c>
      <c r="E1054" t="str">
        <f t="shared" si="16"/>
        <v>ia.assorted_string like '%45825-09-2024%' or</v>
      </c>
    </row>
    <row r="1055" spans="1:5" x14ac:dyDescent="0.25">
      <c r="A1055" t="s">
        <v>1069</v>
      </c>
      <c r="B1055" t="s">
        <v>4018</v>
      </c>
      <c r="D1055">
        <v>45827</v>
      </c>
      <c r="E1055" t="str">
        <f t="shared" si="16"/>
        <v>ia.assorted_string like '%45827-09-2024%' or</v>
      </c>
    </row>
    <row r="1056" spans="1:5" x14ac:dyDescent="0.25">
      <c r="A1056" t="s">
        <v>1295</v>
      </c>
      <c r="B1056" t="s">
        <v>4018</v>
      </c>
      <c r="D1056">
        <v>45831</v>
      </c>
      <c r="E1056" t="str">
        <f t="shared" si="16"/>
        <v>ia.assorted_string like '%45831-09-2024%' or</v>
      </c>
    </row>
    <row r="1057" spans="1:5" x14ac:dyDescent="0.25">
      <c r="A1057" t="s">
        <v>1461</v>
      </c>
      <c r="B1057" t="s">
        <v>4018</v>
      </c>
      <c r="D1057">
        <v>45837</v>
      </c>
      <c r="E1057" t="str">
        <f t="shared" si="16"/>
        <v>ia.assorted_string like '%45837-09-2024%' or</v>
      </c>
    </row>
    <row r="1058" spans="1:5" x14ac:dyDescent="0.25">
      <c r="A1058" t="s">
        <v>1710</v>
      </c>
      <c r="B1058" t="s">
        <v>4018</v>
      </c>
      <c r="D1058">
        <v>45841</v>
      </c>
      <c r="E1058" t="str">
        <f t="shared" si="16"/>
        <v>ia.assorted_string like '%45841-09-2024%' or</v>
      </c>
    </row>
    <row r="1059" spans="1:5" x14ac:dyDescent="0.25">
      <c r="A1059" t="s">
        <v>593</v>
      </c>
      <c r="B1059" t="s">
        <v>4018</v>
      </c>
      <c r="D1059">
        <v>45857</v>
      </c>
      <c r="E1059" t="str">
        <f t="shared" si="16"/>
        <v>ia.assorted_string like '%45857-09-2024%' or</v>
      </c>
    </row>
    <row r="1060" spans="1:5" x14ac:dyDescent="0.25">
      <c r="A1060" t="s">
        <v>620</v>
      </c>
      <c r="B1060" t="s">
        <v>4018</v>
      </c>
      <c r="D1060">
        <v>45884</v>
      </c>
      <c r="E1060" t="str">
        <f t="shared" si="16"/>
        <v>ia.assorted_string like '%45884-09-2024%' or</v>
      </c>
    </row>
    <row r="1061" spans="1:5" x14ac:dyDescent="0.25">
      <c r="A1061" t="s">
        <v>623</v>
      </c>
      <c r="B1061" t="s">
        <v>4018</v>
      </c>
      <c r="D1061">
        <v>45885</v>
      </c>
      <c r="E1061" t="str">
        <f t="shared" si="16"/>
        <v>ia.assorted_string like '%45885-09-2024%' or</v>
      </c>
    </row>
    <row r="1062" spans="1:5" x14ac:dyDescent="0.25">
      <c r="A1062" t="s">
        <v>652</v>
      </c>
      <c r="B1062" t="s">
        <v>4018</v>
      </c>
      <c r="D1062">
        <v>45886</v>
      </c>
      <c r="E1062" t="str">
        <f t="shared" si="16"/>
        <v>ia.assorted_string like '%45886-09-2024%' or</v>
      </c>
    </row>
    <row r="1063" spans="1:5" x14ac:dyDescent="0.25">
      <c r="A1063" t="s">
        <v>826</v>
      </c>
      <c r="B1063" t="s">
        <v>4018</v>
      </c>
      <c r="D1063">
        <v>45892</v>
      </c>
      <c r="E1063" t="str">
        <f t="shared" si="16"/>
        <v>ia.assorted_string like '%45892-09-2024%' or</v>
      </c>
    </row>
    <row r="1064" spans="1:5" x14ac:dyDescent="0.25">
      <c r="A1064" t="s">
        <v>945</v>
      </c>
      <c r="B1064" t="s">
        <v>4018</v>
      </c>
      <c r="D1064">
        <v>45895</v>
      </c>
      <c r="E1064" t="str">
        <f t="shared" si="16"/>
        <v>ia.assorted_string like '%45895-09-2024%' or</v>
      </c>
    </row>
    <row r="1065" spans="1:5" x14ac:dyDescent="0.25">
      <c r="A1065" t="s">
        <v>1080</v>
      </c>
      <c r="B1065" t="s">
        <v>4018</v>
      </c>
      <c r="D1065">
        <v>45897</v>
      </c>
      <c r="E1065" t="str">
        <f t="shared" si="16"/>
        <v>ia.assorted_string like '%45897-09-2024%' or</v>
      </c>
    </row>
    <row r="1066" spans="1:5" x14ac:dyDescent="0.25">
      <c r="A1066" t="s">
        <v>1471</v>
      </c>
      <c r="B1066" t="s">
        <v>4018</v>
      </c>
      <c r="D1066">
        <v>45910</v>
      </c>
      <c r="E1066" t="str">
        <f t="shared" si="16"/>
        <v>ia.assorted_string like '%45910-09-2024%' or</v>
      </c>
    </row>
    <row r="1067" spans="1:5" x14ac:dyDescent="0.25">
      <c r="A1067" t="s">
        <v>1721</v>
      </c>
      <c r="B1067" t="s">
        <v>4018</v>
      </c>
      <c r="D1067">
        <v>45915</v>
      </c>
      <c r="E1067" t="str">
        <f t="shared" si="16"/>
        <v>ia.assorted_string like '%45915-09-2024%' or</v>
      </c>
    </row>
    <row r="1068" spans="1:5" x14ac:dyDescent="0.25">
      <c r="A1068" t="s">
        <v>1959</v>
      </c>
      <c r="B1068" t="s">
        <v>4018</v>
      </c>
      <c r="D1068">
        <v>45928</v>
      </c>
      <c r="E1068" t="str">
        <f t="shared" si="16"/>
        <v>ia.assorted_string like '%45928-09-2024%' or</v>
      </c>
    </row>
    <row r="1069" spans="1:5" x14ac:dyDescent="0.25">
      <c r="A1069" t="s">
        <v>1965</v>
      </c>
      <c r="B1069" t="s">
        <v>4018</v>
      </c>
      <c r="D1069">
        <v>45929</v>
      </c>
      <c r="E1069" t="str">
        <f t="shared" si="16"/>
        <v>ia.assorted_string like '%45929-09-2024%' or</v>
      </c>
    </row>
    <row r="1070" spans="1:5" x14ac:dyDescent="0.25">
      <c r="A1070" t="s">
        <v>634</v>
      </c>
      <c r="B1070" t="s">
        <v>4018</v>
      </c>
      <c r="D1070">
        <v>45931</v>
      </c>
      <c r="E1070" t="str">
        <f t="shared" si="16"/>
        <v>ia.assorted_string like '%45931-09-2024%' or</v>
      </c>
    </row>
    <row r="1071" spans="1:5" x14ac:dyDescent="0.25">
      <c r="A1071" t="s">
        <v>626</v>
      </c>
      <c r="B1071" t="s">
        <v>4018</v>
      </c>
      <c r="D1071">
        <v>45975</v>
      </c>
      <c r="E1071" t="str">
        <f t="shared" si="16"/>
        <v>ia.assorted_string like '%45975-09-2024%' or</v>
      </c>
    </row>
    <row r="1072" spans="1:5" x14ac:dyDescent="0.25">
      <c r="A1072" t="s">
        <v>641</v>
      </c>
      <c r="B1072" t="s">
        <v>4018</v>
      </c>
      <c r="D1072">
        <v>45986</v>
      </c>
      <c r="E1072" t="str">
        <f t="shared" si="16"/>
        <v>ia.assorted_string like '%45986-09-2024%' or</v>
      </c>
    </row>
    <row r="1073" spans="1:5" x14ac:dyDescent="0.25">
      <c r="A1073" t="s">
        <v>661</v>
      </c>
      <c r="B1073" t="s">
        <v>4018</v>
      </c>
      <c r="D1073">
        <v>45989</v>
      </c>
      <c r="E1073" t="str">
        <f t="shared" si="16"/>
        <v>ia.assorted_string like '%45989-09-2024%' or</v>
      </c>
    </row>
    <row r="1074" spans="1:5" x14ac:dyDescent="0.25">
      <c r="A1074" t="s">
        <v>669</v>
      </c>
      <c r="B1074" t="s">
        <v>4018</v>
      </c>
      <c r="D1074">
        <v>45990</v>
      </c>
      <c r="E1074" t="str">
        <f t="shared" si="16"/>
        <v>ia.assorted_string like '%45990-09-2024%' or</v>
      </c>
    </row>
    <row r="1075" spans="1:5" x14ac:dyDescent="0.25">
      <c r="A1075" t="s">
        <v>676</v>
      </c>
      <c r="B1075" t="s">
        <v>4018</v>
      </c>
      <c r="D1075">
        <v>45991</v>
      </c>
      <c r="E1075" t="str">
        <f t="shared" si="16"/>
        <v>ia.assorted_string like '%45991-09-2024%' or</v>
      </c>
    </row>
    <row r="1076" spans="1:5" x14ac:dyDescent="0.25">
      <c r="A1076" t="s">
        <v>680</v>
      </c>
      <c r="B1076" t="s">
        <v>4018</v>
      </c>
      <c r="D1076">
        <v>45992</v>
      </c>
      <c r="E1076" t="str">
        <f t="shared" si="16"/>
        <v>ia.assorted_string like '%45992-09-2024%' or</v>
      </c>
    </row>
    <row r="1077" spans="1:5" x14ac:dyDescent="0.25">
      <c r="A1077" t="s">
        <v>684</v>
      </c>
      <c r="B1077" t="s">
        <v>4018</v>
      </c>
      <c r="D1077">
        <v>45993</v>
      </c>
      <c r="E1077" t="str">
        <f t="shared" si="16"/>
        <v>ia.assorted_string like '%45993-09-2024%' or</v>
      </c>
    </row>
    <row r="1078" spans="1:5" x14ac:dyDescent="0.25">
      <c r="A1078" t="s">
        <v>707</v>
      </c>
      <c r="B1078" t="s">
        <v>4018</v>
      </c>
      <c r="D1078">
        <v>45994</v>
      </c>
      <c r="E1078" t="str">
        <f t="shared" si="16"/>
        <v>ia.assorted_string like '%45994-09-2024%' or</v>
      </c>
    </row>
    <row r="1079" spans="1:5" x14ac:dyDescent="0.25">
      <c r="A1079" t="s">
        <v>861</v>
      </c>
      <c r="B1079" t="s">
        <v>4018</v>
      </c>
      <c r="D1079">
        <v>45999</v>
      </c>
      <c r="E1079" t="str">
        <f t="shared" si="16"/>
        <v>ia.assorted_string like '%45999-09-2024%' or</v>
      </c>
    </row>
    <row r="1080" spans="1:5" x14ac:dyDescent="0.25">
      <c r="A1080" t="s">
        <v>958</v>
      </c>
      <c r="B1080" t="s">
        <v>4018</v>
      </c>
      <c r="D1080">
        <v>46004</v>
      </c>
      <c r="E1080" t="str">
        <f t="shared" si="16"/>
        <v>ia.assorted_string like '%46004-09-2024%' or</v>
      </c>
    </row>
    <row r="1081" spans="1:5" x14ac:dyDescent="0.25">
      <c r="A1081" t="s">
        <v>1326</v>
      </c>
      <c r="B1081" t="s">
        <v>4018</v>
      </c>
      <c r="D1081">
        <v>46015</v>
      </c>
      <c r="E1081" t="str">
        <f t="shared" si="16"/>
        <v>ia.assorted_string like '%46015-09-2024%' or</v>
      </c>
    </row>
    <row r="1082" spans="1:5" x14ac:dyDescent="0.25">
      <c r="A1082" t="s">
        <v>1337</v>
      </c>
      <c r="B1082" t="s">
        <v>4018</v>
      </c>
      <c r="D1082">
        <v>46016</v>
      </c>
      <c r="E1082" t="str">
        <f t="shared" si="16"/>
        <v>ia.assorted_string like '%46016-09-2024%' or</v>
      </c>
    </row>
    <row r="1083" spans="1:5" x14ac:dyDescent="0.25">
      <c r="A1083" t="s">
        <v>1775</v>
      </c>
      <c r="B1083" t="s">
        <v>4018</v>
      </c>
      <c r="D1083">
        <v>46046</v>
      </c>
      <c r="E1083" t="str">
        <f t="shared" si="16"/>
        <v>ia.assorted_string like '%46046-09-2024%' or</v>
      </c>
    </row>
    <row r="1084" spans="1:5" x14ac:dyDescent="0.25">
      <c r="A1084" t="s">
        <v>717</v>
      </c>
      <c r="B1084" t="s">
        <v>4018</v>
      </c>
      <c r="D1084">
        <v>46088</v>
      </c>
      <c r="E1084" t="str">
        <f t="shared" si="16"/>
        <v>ia.assorted_string like '%46088-09-2024%' or</v>
      </c>
    </row>
    <row r="1085" spans="1:5" x14ac:dyDescent="0.25">
      <c r="A1085" t="s">
        <v>853</v>
      </c>
      <c r="B1085" t="s">
        <v>4018</v>
      </c>
      <c r="D1085">
        <v>46089</v>
      </c>
      <c r="E1085" t="str">
        <f t="shared" si="16"/>
        <v>ia.assorted_string like '%46089-09-2024%' or</v>
      </c>
    </row>
    <row r="1086" spans="1:5" x14ac:dyDescent="0.25">
      <c r="A1086" t="s">
        <v>1001</v>
      </c>
      <c r="B1086" t="s">
        <v>4018</v>
      </c>
      <c r="D1086">
        <v>46094</v>
      </c>
      <c r="E1086" t="str">
        <f t="shared" si="16"/>
        <v>ia.assorted_string like '%46094-09-2024%' or</v>
      </c>
    </row>
    <row r="1087" spans="1:5" x14ac:dyDescent="0.25">
      <c r="A1087" t="s">
        <v>1134</v>
      </c>
      <c r="B1087" t="s">
        <v>4018</v>
      </c>
      <c r="D1087">
        <v>46095</v>
      </c>
      <c r="E1087" t="str">
        <f t="shared" si="16"/>
        <v>ia.assorted_string like '%46095-09-2024%' or</v>
      </c>
    </row>
    <row r="1088" spans="1:5" x14ac:dyDescent="0.25">
      <c r="A1088" t="s">
        <v>1738</v>
      </c>
      <c r="B1088" t="s">
        <v>4018</v>
      </c>
      <c r="D1088">
        <v>46106</v>
      </c>
      <c r="E1088" t="str">
        <f t="shared" si="16"/>
        <v>ia.assorted_string like '%46106-09-2024%' or</v>
      </c>
    </row>
    <row r="1089" spans="1:5" x14ac:dyDescent="0.25">
      <c r="A1089" t="s">
        <v>1757</v>
      </c>
      <c r="B1089" t="s">
        <v>4018</v>
      </c>
      <c r="D1089">
        <v>46107</v>
      </c>
      <c r="E1089" t="str">
        <f t="shared" si="16"/>
        <v>ia.assorted_string like '%46107-09-2024%' or</v>
      </c>
    </row>
    <row r="1090" spans="1:5" x14ac:dyDescent="0.25">
      <c r="A1090" t="s">
        <v>1765</v>
      </c>
      <c r="B1090" t="s">
        <v>4018</v>
      </c>
      <c r="D1090">
        <v>46108</v>
      </c>
      <c r="E1090" t="str">
        <f t="shared" ref="E1090:E1153" si="17">"ia.assorted_string like '%"&amp;D1090&amp;B1090&amp;"%' or"</f>
        <v>ia.assorted_string like '%46108-09-2024%' or</v>
      </c>
    </row>
    <row r="1091" spans="1:5" x14ac:dyDescent="0.25">
      <c r="A1091" t="s">
        <v>1846</v>
      </c>
      <c r="B1091" t="s">
        <v>4018</v>
      </c>
      <c r="D1091">
        <v>46117</v>
      </c>
      <c r="E1091" t="str">
        <f t="shared" si="17"/>
        <v>ia.assorted_string like '%46117-09-2024%' or</v>
      </c>
    </row>
    <row r="1092" spans="1:5" x14ac:dyDescent="0.25">
      <c r="A1092" t="s">
        <v>1949</v>
      </c>
      <c r="B1092" t="s">
        <v>4018</v>
      </c>
      <c r="D1092">
        <v>46123</v>
      </c>
      <c r="E1092" t="str">
        <f t="shared" si="17"/>
        <v>ia.assorted_string like '%46123-09-2024%' or</v>
      </c>
    </row>
    <row r="1093" spans="1:5" x14ac:dyDescent="0.25">
      <c r="A1093" t="s">
        <v>1563</v>
      </c>
      <c r="B1093" t="s">
        <v>4018</v>
      </c>
      <c r="D1093">
        <v>46137</v>
      </c>
      <c r="E1093" t="str">
        <f t="shared" si="17"/>
        <v>ia.assorted_string like '%46137-09-2024%' or</v>
      </c>
    </row>
    <row r="1094" spans="1:5" x14ac:dyDescent="0.25">
      <c r="A1094" t="s">
        <v>842</v>
      </c>
      <c r="B1094" t="s">
        <v>4018</v>
      </c>
      <c r="D1094">
        <v>46178</v>
      </c>
      <c r="E1094" t="str">
        <f t="shared" si="17"/>
        <v>ia.assorted_string like '%46178-09-2024%' or</v>
      </c>
    </row>
    <row r="1095" spans="1:5" x14ac:dyDescent="0.25">
      <c r="A1095" t="s">
        <v>987</v>
      </c>
      <c r="B1095" t="s">
        <v>4018</v>
      </c>
      <c r="D1095">
        <v>46183</v>
      </c>
      <c r="E1095" t="str">
        <f t="shared" si="17"/>
        <v>ia.assorted_string like '%46183-09-2024%' or</v>
      </c>
    </row>
    <row r="1096" spans="1:5" x14ac:dyDescent="0.25">
      <c r="A1096" t="s">
        <v>1012</v>
      </c>
      <c r="B1096" t="s">
        <v>4018</v>
      </c>
      <c r="D1096">
        <v>46186</v>
      </c>
      <c r="E1096" t="str">
        <f t="shared" si="17"/>
        <v>ia.assorted_string like '%46186-09-2024%' or</v>
      </c>
    </row>
    <row r="1097" spans="1:5" x14ac:dyDescent="0.25">
      <c r="A1097" t="s">
        <v>1148</v>
      </c>
      <c r="B1097" t="s">
        <v>4018</v>
      </c>
      <c r="D1097">
        <v>46193</v>
      </c>
      <c r="E1097" t="str">
        <f t="shared" si="17"/>
        <v>ia.assorted_string like '%46193-09-2024%' or</v>
      </c>
    </row>
    <row r="1098" spans="1:5" x14ac:dyDescent="0.25">
      <c r="A1098" t="s">
        <v>1155</v>
      </c>
      <c r="B1098" t="s">
        <v>4018</v>
      </c>
      <c r="D1098">
        <v>46194</v>
      </c>
      <c r="E1098" t="str">
        <f t="shared" si="17"/>
        <v>ia.assorted_string like '%46194-09-2024%' or</v>
      </c>
    </row>
    <row r="1099" spans="1:5" x14ac:dyDescent="0.25">
      <c r="A1099" t="s">
        <v>1358</v>
      </c>
      <c r="B1099" t="s">
        <v>4018</v>
      </c>
      <c r="D1099">
        <v>46198</v>
      </c>
      <c r="E1099" t="str">
        <f t="shared" si="17"/>
        <v>ia.assorted_string like '%46198-09-2024%' or</v>
      </c>
    </row>
    <row r="1100" spans="1:5" x14ac:dyDescent="0.25">
      <c r="A1100" t="s">
        <v>1386</v>
      </c>
      <c r="B1100" t="s">
        <v>4018</v>
      </c>
      <c r="D1100">
        <v>46202</v>
      </c>
      <c r="E1100" t="str">
        <f t="shared" si="17"/>
        <v>ia.assorted_string like '%46202-09-2024%' or</v>
      </c>
    </row>
    <row r="1101" spans="1:5" x14ac:dyDescent="0.25">
      <c r="A1101" t="s">
        <v>1397</v>
      </c>
      <c r="B1101" t="s">
        <v>4018</v>
      </c>
      <c r="D1101">
        <v>46203</v>
      </c>
      <c r="E1101" t="str">
        <f t="shared" si="17"/>
        <v>ia.assorted_string like '%46203-09-2024%' or</v>
      </c>
    </row>
    <row r="1102" spans="1:5" x14ac:dyDescent="0.25">
      <c r="A1102" t="s">
        <v>1598</v>
      </c>
      <c r="B1102" t="s">
        <v>4018</v>
      </c>
      <c r="D1102">
        <v>46217</v>
      </c>
      <c r="E1102" t="str">
        <f t="shared" si="17"/>
        <v>ia.assorted_string like '%46217-09-2024%' or</v>
      </c>
    </row>
    <row r="1103" spans="1:5" x14ac:dyDescent="0.25">
      <c r="A1103" t="s">
        <v>1943</v>
      </c>
      <c r="B1103" t="s">
        <v>4018</v>
      </c>
      <c r="D1103">
        <v>46235</v>
      </c>
      <c r="E1103" t="str">
        <f t="shared" si="17"/>
        <v>ia.assorted_string like '%46235-09-2024%' or</v>
      </c>
    </row>
    <row r="1104" spans="1:5" x14ac:dyDescent="0.25">
      <c r="A1104" t="s">
        <v>730</v>
      </c>
      <c r="B1104" t="s">
        <v>4018</v>
      </c>
      <c r="D1104">
        <v>46301</v>
      </c>
      <c r="E1104" t="str">
        <f t="shared" si="17"/>
        <v>ia.assorted_string like '%46301-09-2024%' or</v>
      </c>
    </row>
    <row r="1105" spans="1:5" x14ac:dyDescent="0.25">
      <c r="A1105" t="s">
        <v>866</v>
      </c>
      <c r="B1105" t="s">
        <v>4018</v>
      </c>
      <c r="D1105">
        <v>46304</v>
      </c>
      <c r="E1105" t="str">
        <f t="shared" si="17"/>
        <v>ia.assorted_string like '%46304-09-2024%' or</v>
      </c>
    </row>
    <row r="1106" spans="1:5" x14ac:dyDescent="0.25">
      <c r="A1106" t="s">
        <v>1376</v>
      </c>
      <c r="B1106" t="s">
        <v>4018</v>
      </c>
      <c r="D1106">
        <v>46307</v>
      </c>
      <c r="E1106" t="str">
        <f t="shared" si="17"/>
        <v>ia.assorted_string like '%46307-09-2024%' or</v>
      </c>
    </row>
    <row r="1107" spans="1:5" x14ac:dyDescent="0.25">
      <c r="A1107" t="s">
        <v>1410</v>
      </c>
      <c r="B1107" t="s">
        <v>4018</v>
      </c>
      <c r="D1107">
        <v>46311</v>
      </c>
      <c r="E1107" t="str">
        <f t="shared" si="17"/>
        <v>ia.assorted_string like '%46311-09-2024%' or</v>
      </c>
    </row>
    <row r="1108" spans="1:5" x14ac:dyDescent="0.25">
      <c r="A1108" t="s">
        <v>1497</v>
      </c>
      <c r="B1108" t="s">
        <v>4018</v>
      </c>
      <c r="D1108">
        <v>46314</v>
      </c>
      <c r="E1108" t="str">
        <f t="shared" si="17"/>
        <v>ia.assorted_string like '%46314-09-2024%' or</v>
      </c>
    </row>
    <row r="1109" spans="1:5" x14ac:dyDescent="0.25">
      <c r="A1109" t="s">
        <v>1507</v>
      </c>
      <c r="B1109" t="s">
        <v>4018</v>
      </c>
      <c r="D1109">
        <v>46315</v>
      </c>
      <c r="E1109" t="str">
        <f t="shared" si="17"/>
        <v>ia.assorted_string like '%46315-09-2024%' or</v>
      </c>
    </row>
    <row r="1110" spans="1:5" x14ac:dyDescent="0.25">
      <c r="A1110" t="s">
        <v>1785</v>
      </c>
      <c r="B1110" t="s">
        <v>4018</v>
      </c>
      <c r="D1110">
        <v>46320</v>
      </c>
      <c r="E1110" t="str">
        <f t="shared" si="17"/>
        <v>ia.assorted_string like '%46320-09-2024%' or</v>
      </c>
    </row>
    <row r="1111" spans="1:5" x14ac:dyDescent="0.25">
      <c r="A1111" t="s">
        <v>1977</v>
      </c>
      <c r="B1111" t="s">
        <v>4018</v>
      </c>
      <c r="D1111">
        <v>46327</v>
      </c>
      <c r="E1111" t="str">
        <f t="shared" si="17"/>
        <v>ia.assorted_string like '%46327-09-2024%' or</v>
      </c>
    </row>
    <row r="1112" spans="1:5" x14ac:dyDescent="0.25">
      <c r="A1112" t="s">
        <v>1032</v>
      </c>
      <c r="B1112" t="s">
        <v>4019</v>
      </c>
      <c r="D1112">
        <v>46348</v>
      </c>
      <c r="E1112" t="str">
        <f t="shared" si="17"/>
        <v>ia.assorted_string like '%46348-10-2024%' or</v>
      </c>
    </row>
    <row r="1113" spans="1:5" x14ac:dyDescent="0.25">
      <c r="A1113" t="s">
        <v>1114</v>
      </c>
      <c r="B1113" t="s">
        <v>4019</v>
      </c>
      <c r="D1113">
        <v>46353</v>
      </c>
      <c r="E1113" t="str">
        <f t="shared" si="17"/>
        <v>ia.assorted_string like '%46353-10-2024%' or</v>
      </c>
    </row>
    <row r="1114" spans="1:5" x14ac:dyDescent="0.25">
      <c r="A1114" t="s">
        <v>1173</v>
      </c>
      <c r="B1114" t="s">
        <v>4019</v>
      </c>
      <c r="D1114">
        <v>46355</v>
      </c>
      <c r="E1114" t="str">
        <f t="shared" si="17"/>
        <v>ia.assorted_string like '%46355-10-2024%' or</v>
      </c>
    </row>
    <row r="1115" spans="1:5" x14ac:dyDescent="0.25">
      <c r="A1115" t="s">
        <v>1186</v>
      </c>
      <c r="B1115" t="s">
        <v>4019</v>
      </c>
      <c r="D1115">
        <v>46357</v>
      </c>
      <c r="E1115" t="str">
        <f t="shared" si="17"/>
        <v>ia.assorted_string like '%46357-10-2024%' or</v>
      </c>
    </row>
    <row r="1116" spans="1:5" x14ac:dyDescent="0.25">
      <c r="A1116" t="s">
        <v>1199</v>
      </c>
      <c r="B1116" t="s">
        <v>4019</v>
      </c>
      <c r="D1116">
        <v>46359</v>
      </c>
      <c r="E1116" t="str">
        <f t="shared" si="17"/>
        <v>ia.assorted_string like '%46359-10-2024%' or</v>
      </c>
    </row>
    <row r="1117" spans="1:5" x14ac:dyDescent="0.25">
      <c r="A1117" t="s">
        <v>1540</v>
      </c>
      <c r="B1117" t="s">
        <v>4019</v>
      </c>
      <c r="D1117">
        <v>46363</v>
      </c>
      <c r="E1117" t="str">
        <f t="shared" si="17"/>
        <v>ia.assorted_string like '%46363-10-2024%' or</v>
      </c>
    </row>
    <row r="1118" spans="1:5" x14ac:dyDescent="0.25">
      <c r="A1118" t="s">
        <v>1612</v>
      </c>
      <c r="B1118" t="s">
        <v>4019</v>
      </c>
      <c r="D1118">
        <v>46365</v>
      </c>
      <c r="E1118" t="str">
        <f t="shared" si="17"/>
        <v>ia.assorted_string like '%46365-10-2024%' or</v>
      </c>
    </row>
    <row r="1119" spans="1:5" x14ac:dyDescent="0.25">
      <c r="A1119" t="s">
        <v>1087</v>
      </c>
      <c r="B1119" t="s">
        <v>4019</v>
      </c>
      <c r="D1119">
        <v>46442</v>
      </c>
      <c r="E1119" t="str">
        <f t="shared" si="17"/>
        <v>ia.assorted_string like '%46442-10-2024%' or</v>
      </c>
    </row>
    <row r="1120" spans="1:5" x14ac:dyDescent="0.25">
      <c r="A1120" t="s">
        <v>1218</v>
      </c>
      <c r="B1120" t="s">
        <v>4019</v>
      </c>
      <c r="D1120">
        <v>46461</v>
      </c>
      <c r="E1120" t="str">
        <f t="shared" si="17"/>
        <v>ia.assorted_string like '%46461-10-2024%' or</v>
      </c>
    </row>
    <row r="1121" spans="1:5" x14ac:dyDescent="0.25">
      <c r="A1121" t="s">
        <v>880</v>
      </c>
      <c r="B1121" t="s">
        <v>4019</v>
      </c>
      <c r="D1121">
        <v>46480</v>
      </c>
      <c r="E1121" t="str">
        <f t="shared" si="17"/>
        <v>ia.assorted_string like '%46480-10-2024%' or</v>
      </c>
    </row>
    <row r="1122" spans="1:5" x14ac:dyDescent="0.25">
      <c r="A1122" t="s">
        <v>1555</v>
      </c>
      <c r="B1122" t="s">
        <v>4019</v>
      </c>
      <c r="D1122">
        <v>46513</v>
      </c>
      <c r="E1122" t="str">
        <f t="shared" si="17"/>
        <v>ia.assorted_string like '%46513-10-2024%' or</v>
      </c>
    </row>
    <row r="1123" spans="1:5" x14ac:dyDescent="0.25">
      <c r="A1123" t="s">
        <v>1623</v>
      </c>
      <c r="B1123" t="s">
        <v>4019</v>
      </c>
      <c r="D1123">
        <v>46516</v>
      </c>
      <c r="E1123" t="str">
        <f t="shared" si="17"/>
        <v>ia.assorted_string like '%46516-10-2024%' or</v>
      </c>
    </row>
    <row r="1124" spans="1:5" x14ac:dyDescent="0.25">
      <c r="A1124" t="s">
        <v>1645</v>
      </c>
      <c r="B1124" t="s">
        <v>4019</v>
      </c>
      <c r="D1124">
        <v>46518</v>
      </c>
      <c r="E1124" t="str">
        <f t="shared" si="17"/>
        <v>ia.assorted_string like '%46518-10-2024%' or</v>
      </c>
    </row>
    <row r="1125" spans="1:5" x14ac:dyDescent="0.25">
      <c r="A1125" t="s">
        <v>1654</v>
      </c>
      <c r="B1125" t="s">
        <v>4019</v>
      </c>
      <c r="D1125">
        <v>46522</v>
      </c>
      <c r="E1125" t="str">
        <f t="shared" si="17"/>
        <v>ia.assorted_string like '%46522-10-2024%' or</v>
      </c>
    </row>
    <row r="1126" spans="1:5" x14ac:dyDescent="0.25">
      <c r="A1126" t="s">
        <v>1668</v>
      </c>
      <c r="B1126" t="s">
        <v>4019</v>
      </c>
      <c r="D1126">
        <v>46523</v>
      </c>
      <c r="E1126" t="str">
        <f t="shared" si="17"/>
        <v>ia.assorted_string like '%46523-10-2024%' or</v>
      </c>
    </row>
    <row r="1127" spans="1:5" x14ac:dyDescent="0.25">
      <c r="A1127" t="s">
        <v>1678</v>
      </c>
      <c r="B1127" t="s">
        <v>4019</v>
      </c>
      <c r="D1127">
        <v>46524</v>
      </c>
      <c r="E1127" t="str">
        <f t="shared" si="17"/>
        <v>ia.assorted_string like '%46524-10-2024%' or</v>
      </c>
    </row>
    <row r="1128" spans="1:5" x14ac:dyDescent="0.25">
      <c r="A1128" t="s">
        <v>1860</v>
      </c>
      <c r="B1128" t="s">
        <v>4019</v>
      </c>
      <c r="D1128">
        <v>46531</v>
      </c>
      <c r="E1128" t="str">
        <f t="shared" si="17"/>
        <v>ia.assorted_string like '%46531-10-2024%' or</v>
      </c>
    </row>
    <row r="1129" spans="1:5" x14ac:dyDescent="0.25">
      <c r="A1129" t="s">
        <v>1868</v>
      </c>
      <c r="B1129" t="s">
        <v>4019</v>
      </c>
      <c r="D1129">
        <v>46533</v>
      </c>
      <c r="E1129" t="str">
        <f t="shared" si="17"/>
        <v>ia.assorted_string like '%46533-10-2024%' or</v>
      </c>
    </row>
    <row r="1130" spans="1:5" x14ac:dyDescent="0.25">
      <c r="A1130" t="s">
        <v>1879</v>
      </c>
      <c r="B1130" t="s">
        <v>4019</v>
      </c>
      <c r="D1130">
        <v>46537</v>
      </c>
      <c r="E1130" t="str">
        <f t="shared" si="17"/>
        <v>ia.assorted_string like '%46537-10-2024%' or</v>
      </c>
    </row>
    <row r="1131" spans="1:5" x14ac:dyDescent="0.25">
      <c r="A1131" t="s">
        <v>1883</v>
      </c>
      <c r="B1131" t="s">
        <v>4019</v>
      </c>
      <c r="D1131">
        <v>46539</v>
      </c>
      <c r="E1131" t="str">
        <f t="shared" si="17"/>
        <v>ia.assorted_string like '%46539-10-2024%' or</v>
      </c>
    </row>
    <row r="1132" spans="1:5" x14ac:dyDescent="0.25">
      <c r="A1132" t="s">
        <v>1894</v>
      </c>
      <c r="B1132" t="s">
        <v>4019</v>
      </c>
      <c r="D1132">
        <v>46541</v>
      </c>
      <c r="E1132" t="str">
        <f t="shared" si="17"/>
        <v>ia.assorted_string like '%46541-10-2024%' or</v>
      </c>
    </row>
    <row r="1133" spans="1:5" x14ac:dyDescent="0.25">
      <c r="A1133" t="s">
        <v>1936</v>
      </c>
      <c r="B1133" t="s">
        <v>4019</v>
      </c>
      <c r="D1133">
        <v>46543</v>
      </c>
      <c r="E1133" t="str">
        <f t="shared" si="17"/>
        <v>ia.assorted_string like '%46543-10-2024%' or</v>
      </c>
    </row>
    <row r="1134" spans="1:5" x14ac:dyDescent="0.25">
      <c r="A1134" t="s">
        <v>1981</v>
      </c>
      <c r="B1134" t="s">
        <v>4019</v>
      </c>
      <c r="D1134">
        <v>46550</v>
      </c>
      <c r="E1134" t="str">
        <f t="shared" si="17"/>
        <v>ia.assorted_string like '%46550-10-2024%' or</v>
      </c>
    </row>
    <row r="1135" spans="1:5" x14ac:dyDescent="0.25">
      <c r="A1135" t="s">
        <v>1988</v>
      </c>
      <c r="B1135" t="s">
        <v>4019</v>
      </c>
      <c r="D1135">
        <v>46554</v>
      </c>
      <c r="E1135" t="str">
        <f t="shared" si="17"/>
        <v>ia.assorted_string like '%46554-10-2024%' or</v>
      </c>
    </row>
    <row r="1136" spans="1:5" x14ac:dyDescent="0.25">
      <c r="A1136" t="s">
        <v>1997</v>
      </c>
      <c r="B1136" t="s">
        <v>4019</v>
      </c>
      <c r="D1136">
        <v>46560</v>
      </c>
      <c r="E1136" t="str">
        <f t="shared" si="17"/>
        <v>ia.assorted_string like '%46560-10-2024%' or</v>
      </c>
    </row>
    <row r="1137" spans="1:5" x14ac:dyDescent="0.25">
      <c r="A1137" t="s">
        <v>1103</v>
      </c>
      <c r="B1137" t="s">
        <v>4019</v>
      </c>
      <c r="D1137">
        <v>46598</v>
      </c>
      <c r="E1137" t="str">
        <f t="shared" si="17"/>
        <v>ia.assorted_string like '%46598-10-2024%' or</v>
      </c>
    </row>
    <row r="1138" spans="1:5" x14ac:dyDescent="0.25">
      <c r="A1138" t="s">
        <v>1104</v>
      </c>
      <c r="B1138" t="s">
        <v>4019</v>
      </c>
      <c r="D1138">
        <v>46600</v>
      </c>
      <c r="E1138" t="str">
        <f t="shared" si="17"/>
        <v>ia.assorted_string like '%46600-10-2024%' or</v>
      </c>
    </row>
    <row r="1139" spans="1:5" x14ac:dyDescent="0.25">
      <c r="A1139" t="s">
        <v>758</v>
      </c>
      <c r="B1139" t="s">
        <v>4019</v>
      </c>
      <c r="D1139">
        <v>46602</v>
      </c>
      <c r="E1139" t="str">
        <f t="shared" si="17"/>
        <v>ia.assorted_string like '%46602-10-2024%' or</v>
      </c>
    </row>
    <row r="1140" spans="1:5" x14ac:dyDescent="0.25">
      <c r="A1140" t="s">
        <v>1105</v>
      </c>
      <c r="B1140" t="s">
        <v>4019</v>
      </c>
      <c r="D1140">
        <v>46603</v>
      </c>
      <c r="E1140" t="str">
        <f t="shared" si="17"/>
        <v>ia.assorted_string like '%46603-10-2024%' or</v>
      </c>
    </row>
    <row r="1141" spans="1:5" x14ac:dyDescent="0.25">
      <c r="A1141" t="s">
        <v>1106</v>
      </c>
      <c r="B1141" t="s">
        <v>4019</v>
      </c>
      <c r="D1141">
        <v>46604</v>
      </c>
      <c r="E1141" t="str">
        <f t="shared" si="17"/>
        <v>ia.assorted_string like '%46604-10-2024%' or</v>
      </c>
    </row>
    <row r="1142" spans="1:5" x14ac:dyDescent="0.25">
      <c r="A1142" t="s">
        <v>1107</v>
      </c>
      <c r="B1142" t="s">
        <v>4019</v>
      </c>
      <c r="D1142">
        <v>46605</v>
      </c>
      <c r="E1142" t="str">
        <f t="shared" si="17"/>
        <v>ia.assorted_string like '%46605-10-2024%' or</v>
      </c>
    </row>
    <row r="1143" spans="1:5" x14ac:dyDescent="0.25">
      <c r="A1143" t="s">
        <v>1108</v>
      </c>
      <c r="B1143" t="s">
        <v>4019</v>
      </c>
      <c r="D1143">
        <v>46606</v>
      </c>
      <c r="E1143" t="str">
        <f t="shared" si="17"/>
        <v>ia.assorted_string like '%46606-10-2024%' or</v>
      </c>
    </row>
    <row r="1144" spans="1:5" x14ac:dyDescent="0.25">
      <c r="A1144" t="s">
        <v>1109</v>
      </c>
      <c r="B1144" t="s">
        <v>4019</v>
      </c>
      <c r="D1144">
        <v>46607</v>
      </c>
      <c r="E1144" t="str">
        <f t="shared" si="17"/>
        <v>ia.assorted_string like '%46607-10-2024%' or</v>
      </c>
    </row>
    <row r="1145" spans="1:5" x14ac:dyDescent="0.25">
      <c r="A1145" t="s">
        <v>763</v>
      </c>
      <c r="B1145" t="s">
        <v>4019</v>
      </c>
      <c r="D1145">
        <v>46670</v>
      </c>
      <c r="E1145" t="str">
        <f t="shared" si="17"/>
        <v>ia.assorted_string like '%46670-10-2024%' or</v>
      </c>
    </row>
    <row r="1146" spans="1:5" x14ac:dyDescent="0.25">
      <c r="A1146" t="s">
        <v>774</v>
      </c>
      <c r="B1146" t="s">
        <v>4019</v>
      </c>
      <c r="D1146">
        <v>46673</v>
      </c>
      <c r="E1146" t="str">
        <f t="shared" si="17"/>
        <v>ia.assorted_string like '%46673-10-2024%' or</v>
      </c>
    </row>
    <row r="1147" spans="1:5" x14ac:dyDescent="0.25">
      <c r="A1147" t="s">
        <v>782</v>
      </c>
      <c r="B1147" t="s">
        <v>4019</v>
      </c>
      <c r="D1147">
        <v>46674</v>
      </c>
      <c r="E1147" t="str">
        <f t="shared" si="17"/>
        <v>ia.assorted_string like '%46674-10-2024%' or</v>
      </c>
    </row>
    <row r="1148" spans="1:5" x14ac:dyDescent="0.25">
      <c r="A1148" t="s">
        <v>785</v>
      </c>
      <c r="B1148" t="s">
        <v>4019</v>
      </c>
      <c r="D1148">
        <v>46676</v>
      </c>
      <c r="E1148" t="str">
        <f t="shared" si="17"/>
        <v>ia.assorted_string like '%46676-10-2024%' or</v>
      </c>
    </row>
    <row r="1149" spans="1:5" x14ac:dyDescent="0.25">
      <c r="A1149" t="s">
        <v>795</v>
      </c>
      <c r="B1149" t="s">
        <v>4019</v>
      </c>
      <c r="D1149">
        <v>46677</v>
      </c>
      <c r="E1149" t="str">
        <f t="shared" si="17"/>
        <v>ia.assorted_string like '%46677-10-2024%' or</v>
      </c>
    </row>
    <row r="1150" spans="1:5" x14ac:dyDescent="0.25">
      <c r="A1150" t="s">
        <v>898</v>
      </c>
      <c r="B1150" t="s">
        <v>4019</v>
      </c>
      <c r="D1150">
        <v>46682</v>
      </c>
      <c r="E1150" t="str">
        <f t="shared" si="17"/>
        <v>ia.assorted_string like '%46682-10-2024%' or</v>
      </c>
    </row>
    <row r="1151" spans="1:5" x14ac:dyDescent="0.25">
      <c r="A1151" t="s">
        <v>918</v>
      </c>
      <c r="B1151" t="s">
        <v>4019</v>
      </c>
      <c r="D1151">
        <v>46684</v>
      </c>
      <c r="E1151" t="str">
        <f t="shared" si="17"/>
        <v>ia.assorted_string like '%46684-10-2024%' or</v>
      </c>
    </row>
    <row r="1152" spans="1:5" x14ac:dyDescent="0.25">
      <c r="A1152" t="s">
        <v>933</v>
      </c>
      <c r="B1152" t="s">
        <v>4019</v>
      </c>
      <c r="D1152">
        <v>46685</v>
      </c>
      <c r="E1152" t="str">
        <f t="shared" si="17"/>
        <v>ia.assorted_string like '%46685-10-2024%' or</v>
      </c>
    </row>
    <row r="1153" spans="1:5" x14ac:dyDescent="0.25">
      <c r="A1153" t="s">
        <v>1419</v>
      </c>
      <c r="B1153" t="s">
        <v>4019</v>
      </c>
      <c r="D1153">
        <v>46702</v>
      </c>
      <c r="E1153" t="str">
        <f t="shared" si="17"/>
        <v>ia.assorted_string like '%46702-10-2024%' or</v>
      </c>
    </row>
    <row r="1154" spans="1:5" x14ac:dyDescent="0.25">
      <c r="A1154" t="s">
        <v>1695</v>
      </c>
      <c r="B1154" t="s">
        <v>4019</v>
      </c>
      <c r="D1154">
        <v>46712</v>
      </c>
      <c r="E1154" t="str">
        <f t="shared" ref="E1154:E1217" si="18">"ia.assorted_string like '%"&amp;D1154&amp;B1154&amp;"%' or"</f>
        <v>ia.assorted_string like '%46712-10-2024%' or</v>
      </c>
    </row>
    <row r="1155" spans="1:5" x14ac:dyDescent="0.25">
      <c r="A1155" t="s">
        <v>1730</v>
      </c>
      <c r="B1155" t="s">
        <v>4019</v>
      </c>
      <c r="D1155">
        <v>46715</v>
      </c>
      <c r="E1155" t="str">
        <f t="shared" si="18"/>
        <v>ia.assorted_string like '%46715-10-2024%' or</v>
      </c>
    </row>
    <row r="1156" spans="1:5" x14ac:dyDescent="0.25">
      <c r="A1156" t="s">
        <v>1810</v>
      </c>
      <c r="B1156" t="s">
        <v>4019</v>
      </c>
      <c r="D1156">
        <v>46717</v>
      </c>
      <c r="E1156" t="str">
        <f t="shared" si="18"/>
        <v>ia.assorted_string like '%46717-10-2024%' or</v>
      </c>
    </row>
    <row r="1157" spans="1:5" x14ac:dyDescent="0.25">
      <c r="A1157" t="s">
        <v>1818</v>
      </c>
      <c r="B1157" t="s">
        <v>4019</v>
      </c>
      <c r="D1157">
        <v>46718</v>
      </c>
      <c r="E1157" t="str">
        <f t="shared" si="18"/>
        <v>ia.assorted_string like '%46718-10-2024%' or</v>
      </c>
    </row>
    <row r="1158" spans="1:5" x14ac:dyDescent="0.25">
      <c r="A1158" t="s">
        <v>1902</v>
      </c>
      <c r="B1158" t="s">
        <v>4019</v>
      </c>
      <c r="D1158">
        <v>46725</v>
      </c>
      <c r="E1158" t="str">
        <f t="shared" si="18"/>
        <v>ia.assorted_string like '%46725-10-2024%' or</v>
      </c>
    </row>
    <row r="1159" spans="1:5" x14ac:dyDescent="0.25">
      <c r="A1159" t="s">
        <v>2004</v>
      </c>
      <c r="B1159" t="s">
        <v>4019</v>
      </c>
      <c r="D1159">
        <v>46735</v>
      </c>
      <c r="E1159" t="str">
        <f t="shared" si="18"/>
        <v>ia.assorted_string like '%46735-10-2024%' or</v>
      </c>
    </row>
    <row r="1160" spans="1:5" x14ac:dyDescent="0.25">
      <c r="A1160" t="s">
        <v>1095</v>
      </c>
      <c r="B1160" t="s">
        <v>4019</v>
      </c>
      <c r="D1160">
        <v>46742</v>
      </c>
      <c r="E1160" t="str">
        <f t="shared" si="18"/>
        <v>ia.assorted_string like '%46742-10-2024%' or</v>
      </c>
    </row>
    <row r="1161" spans="1:5" x14ac:dyDescent="0.25">
      <c r="A1161" t="s">
        <v>1228</v>
      </c>
      <c r="B1161" t="s">
        <v>4019</v>
      </c>
      <c r="D1161">
        <v>46744</v>
      </c>
      <c r="E1161" t="str">
        <f t="shared" si="18"/>
        <v>ia.assorted_string like '%46744-10-2024%' or</v>
      </c>
    </row>
    <row r="1162" spans="1:5" x14ac:dyDescent="0.25">
      <c r="A1162" t="s">
        <v>1240</v>
      </c>
      <c r="B1162" t="s">
        <v>4019</v>
      </c>
      <c r="D1162">
        <v>46745</v>
      </c>
      <c r="E1162" t="str">
        <f t="shared" si="18"/>
        <v>ia.assorted_string like '%46745-10-2024%' or</v>
      </c>
    </row>
    <row r="1163" spans="1:5" x14ac:dyDescent="0.25">
      <c r="A1163" t="s">
        <v>1246</v>
      </c>
      <c r="B1163" t="s">
        <v>4019</v>
      </c>
      <c r="D1163">
        <v>46746</v>
      </c>
      <c r="E1163" t="str">
        <f t="shared" si="18"/>
        <v>ia.assorted_string like '%46746-10-2024%' or</v>
      </c>
    </row>
    <row r="1164" spans="1:5" x14ac:dyDescent="0.25">
      <c r="A1164" t="s">
        <v>1284</v>
      </c>
      <c r="B1164" t="s">
        <v>4019</v>
      </c>
      <c r="D1164">
        <v>46748</v>
      </c>
      <c r="E1164" t="str">
        <f t="shared" si="18"/>
        <v>ia.assorted_string like '%46748-10-2024%' or</v>
      </c>
    </row>
    <row r="1165" spans="1:5" x14ac:dyDescent="0.25">
      <c r="A1165" t="s">
        <v>1308</v>
      </c>
      <c r="B1165" t="s">
        <v>4019</v>
      </c>
      <c r="D1165">
        <v>46752</v>
      </c>
      <c r="E1165" t="str">
        <f t="shared" si="18"/>
        <v>ia.assorted_string like '%46752-10-2024%' or</v>
      </c>
    </row>
    <row r="1166" spans="1:5" x14ac:dyDescent="0.25">
      <c r="A1166" t="s">
        <v>1427</v>
      </c>
      <c r="B1166" t="s">
        <v>4019</v>
      </c>
      <c r="D1166">
        <v>46753</v>
      </c>
      <c r="E1166" t="str">
        <f t="shared" si="18"/>
        <v>ia.assorted_string like '%46753-10-2024%' or</v>
      </c>
    </row>
    <row r="1167" spans="1:5" x14ac:dyDescent="0.25">
      <c r="A1167" t="s">
        <v>1437</v>
      </c>
      <c r="B1167" t="s">
        <v>4019</v>
      </c>
      <c r="D1167">
        <v>46754</v>
      </c>
      <c r="E1167" t="str">
        <f t="shared" si="18"/>
        <v>ia.assorted_string like '%46754-10-2024%' or</v>
      </c>
    </row>
    <row r="1168" spans="1:5" x14ac:dyDescent="0.25">
      <c r="A1168" t="s">
        <v>1690</v>
      </c>
      <c r="B1168" t="s">
        <v>4019</v>
      </c>
      <c r="D1168">
        <v>46758</v>
      </c>
      <c r="E1168" t="str">
        <f t="shared" si="18"/>
        <v>ia.assorted_string like '%46758-10-2024%' or</v>
      </c>
    </row>
    <row r="1169" spans="1:5" x14ac:dyDescent="0.25">
      <c r="A1169" t="s">
        <v>1955</v>
      </c>
      <c r="B1169" t="s">
        <v>4019</v>
      </c>
      <c r="D1169">
        <v>46767</v>
      </c>
      <c r="E1169" t="str">
        <f t="shared" si="18"/>
        <v>ia.assorted_string like '%46767-10-2024%' or</v>
      </c>
    </row>
    <row r="1170" spans="1:5" x14ac:dyDescent="0.25">
      <c r="A1170" t="s">
        <v>1296</v>
      </c>
      <c r="B1170" t="s">
        <v>4019</v>
      </c>
      <c r="D1170">
        <v>46837</v>
      </c>
      <c r="E1170" t="str">
        <f t="shared" si="18"/>
        <v>ia.assorted_string like '%46837-10-2024%' or</v>
      </c>
    </row>
    <row r="1171" spans="1:5" x14ac:dyDescent="0.25">
      <c r="A1171" t="s">
        <v>1462</v>
      </c>
      <c r="B1171" t="s">
        <v>4019</v>
      </c>
      <c r="D1171">
        <v>46840</v>
      </c>
      <c r="E1171" t="str">
        <f t="shared" si="18"/>
        <v>ia.assorted_string like '%46840-10-2024%' or</v>
      </c>
    </row>
    <row r="1172" spans="1:5" x14ac:dyDescent="0.25">
      <c r="A1172" t="s">
        <v>2016</v>
      </c>
      <c r="B1172" t="s">
        <v>4019</v>
      </c>
      <c r="D1172">
        <v>46847</v>
      </c>
      <c r="E1172" t="str">
        <f t="shared" si="18"/>
        <v>ia.assorted_string like '%46847-10-2024%' or</v>
      </c>
    </row>
    <row r="1173" spans="1:5" x14ac:dyDescent="0.25">
      <c r="A1173" t="s">
        <v>946</v>
      </c>
      <c r="B1173" t="s">
        <v>4019</v>
      </c>
      <c r="D1173">
        <v>47060</v>
      </c>
      <c r="E1173" t="str">
        <f t="shared" si="18"/>
        <v>ia.assorted_string like '%47060-10-2024%' or</v>
      </c>
    </row>
    <row r="1174" spans="1:5" x14ac:dyDescent="0.25">
      <c r="A1174" t="s">
        <v>974</v>
      </c>
      <c r="B1174" t="s">
        <v>4019</v>
      </c>
      <c r="D1174">
        <v>47061</v>
      </c>
      <c r="E1174" t="str">
        <f t="shared" si="18"/>
        <v>ia.assorted_string like '%47061-10-2024%' or</v>
      </c>
    </row>
    <row r="1175" spans="1:5" x14ac:dyDescent="0.25">
      <c r="A1175" t="s">
        <v>1070</v>
      </c>
      <c r="B1175" t="s">
        <v>4019</v>
      </c>
      <c r="D1175">
        <v>47064</v>
      </c>
      <c r="E1175" t="str">
        <f t="shared" si="18"/>
        <v>ia.assorted_string like '%47064-10-2024%' or</v>
      </c>
    </row>
    <row r="1176" spans="1:5" x14ac:dyDescent="0.25">
      <c r="A1176" t="s">
        <v>1081</v>
      </c>
      <c r="B1176" t="s">
        <v>4019</v>
      </c>
      <c r="D1176">
        <v>47065</v>
      </c>
      <c r="E1176" t="str">
        <f t="shared" si="18"/>
        <v>ia.assorted_string like '%47065-10-2024%' or</v>
      </c>
    </row>
    <row r="1177" spans="1:5" x14ac:dyDescent="0.25">
      <c r="A1177" t="s">
        <v>1472</v>
      </c>
      <c r="B1177" t="s">
        <v>4019</v>
      </c>
      <c r="D1177">
        <v>47080</v>
      </c>
      <c r="E1177" t="str">
        <f t="shared" si="18"/>
        <v>ia.assorted_string like '%47080-10-2024%' or</v>
      </c>
    </row>
    <row r="1178" spans="1:5" x14ac:dyDescent="0.25">
      <c r="A1178" t="s">
        <v>1711</v>
      </c>
      <c r="B1178" t="s">
        <v>4019</v>
      </c>
      <c r="D1178">
        <v>47087</v>
      </c>
      <c r="E1178" t="str">
        <f t="shared" si="18"/>
        <v>ia.assorted_string like '%47087-10-2024%' or</v>
      </c>
    </row>
    <row r="1179" spans="1:5" x14ac:dyDescent="0.25">
      <c r="A1179" t="s">
        <v>1722</v>
      </c>
      <c r="B1179" t="s">
        <v>4019</v>
      </c>
      <c r="D1179">
        <v>47088</v>
      </c>
      <c r="E1179" t="str">
        <f t="shared" si="18"/>
        <v>ia.assorted_string like '%47088-10-2024%' or</v>
      </c>
    </row>
    <row r="1180" spans="1:5" x14ac:dyDescent="0.25">
      <c r="A1180" t="s">
        <v>1910</v>
      </c>
      <c r="B1180" t="s">
        <v>4019</v>
      </c>
      <c r="D1180">
        <v>47097</v>
      </c>
      <c r="E1180" t="str">
        <f t="shared" si="18"/>
        <v>ia.assorted_string like '%47097-10-2024%' or</v>
      </c>
    </row>
    <row r="1181" spans="1:5" x14ac:dyDescent="0.25">
      <c r="A1181" t="s">
        <v>1960</v>
      </c>
      <c r="B1181" t="s">
        <v>4019</v>
      </c>
      <c r="D1181">
        <v>47113</v>
      </c>
      <c r="E1181" t="str">
        <f t="shared" si="18"/>
        <v>ia.assorted_string like '%47113-10-2024%' or</v>
      </c>
    </row>
    <row r="1182" spans="1:5" x14ac:dyDescent="0.25">
      <c r="A1182" t="s">
        <v>1327</v>
      </c>
      <c r="B1182" t="s">
        <v>4019</v>
      </c>
      <c r="D1182">
        <v>47902</v>
      </c>
      <c r="E1182" t="str">
        <f t="shared" si="18"/>
        <v>ia.assorted_string like '%47902-10-2024%' or</v>
      </c>
    </row>
    <row r="1183" spans="1:5" x14ac:dyDescent="0.25">
      <c r="A1183" t="s">
        <v>959</v>
      </c>
      <c r="B1183" t="s">
        <v>4019</v>
      </c>
      <c r="D1183">
        <v>47920</v>
      </c>
      <c r="E1183" t="str">
        <f t="shared" si="18"/>
        <v>ia.assorted_string like '%47920-10-2024%' or</v>
      </c>
    </row>
    <row r="1184" spans="1:5" x14ac:dyDescent="0.25">
      <c r="A1184" t="s">
        <v>1338</v>
      </c>
      <c r="B1184" t="s">
        <v>4019</v>
      </c>
      <c r="D1184">
        <v>47927</v>
      </c>
      <c r="E1184" t="str">
        <f t="shared" si="18"/>
        <v>ia.assorted_string like '%47927-10-2024%' or</v>
      </c>
    </row>
    <row r="1185" spans="1:5" x14ac:dyDescent="0.25">
      <c r="A1185" t="s">
        <v>843</v>
      </c>
      <c r="B1185" t="s">
        <v>4019</v>
      </c>
      <c r="D1185">
        <v>47974</v>
      </c>
      <c r="E1185" t="str">
        <f t="shared" si="18"/>
        <v>ia.assorted_string like '%47974-10-2024%' or</v>
      </c>
    </row>
    <row r="1186" spans="1:5" x14ac:dyDescent="0.25">
      <c r="A1186" t="s">
        <v>854</v>
      </c>
      <c r="B1186" t="s">
        <v>4019</v>
      </c>
      <c r="D1186">
        <v>47975</v>
      </c>
      <c r="E1186" t="str">
        <f t="shared" si="18"/>
        <v>ia.assorted_string like '%47975-10-2024%' or</v>
      </c>
    </row>
    <row r="1187" spans="1:5" x14ac:dyDescent="0.25">
      <c r="A1187" t="s">
        <v>1002</v>
      </c>
      <c r="B1187" t="s">
        <v>4019</v>
      </c>
      <c r="D1187">
        <v>47982</v>
      </c>
      <c r="E1187" t="str">
        <f t="shared" si="18"/>
        <v>ia.assorted_string like '%47982-10-2024%' or</v>
      </c>
    </row>
    <row r="1188" spans="1:5" x14ac:dyDescent="0.25">
      <c r="A1188" t="s">
        <v>1138</v>
      </c>
      <c r="B1188" t="s">
        <v>4019</v>
      </c>
      <c r="D1188">
        <v>47986</v>
      </c>
      <c r="E1188" t="str">
        <f t="shared" si="18"/>
        <v>ia.assorted_string like '%47986-10-2024%' or</v>
      </c>
    </row>
    <row r="1189" spans="1:5" x14ac:dyDescent="0.25">
      <c r="A1189" t="s">
        <v>1149</v>
      </c>
      <c r="B1189" t="s">
        <v>4019</v>
      </c>
      <c r="D1189">
        <v>47987</v>
      </c>
      <c r="E1189" t="str">
        <f t="shared" si="18"/>
        <v>ia.assorted_string like '%47987-10-2024%' or</v>
      </c>
    </row>
    <row r="1190" spans="1:5" x14ac:dyDescent="0.25">
      <c r="A1190" t="s">
        <v>1348</v>
      </c>
      <c r="B1190" t="s">
        <v>4019</v>
      </c>
      <c r="D1190">
        <v>47994</v>
      </c>
      <c r="E1190" t="str">
        <f t="shared" si="18"/>
        <v>ia.assorted_string like '%47994-10-2024%' or</v>
      </c>
    </row>
    <row r="1191" spans="1:5" x14ac:dyDescent="0.25">
      <c r="A1191" t="s">
        <v>1359</v>
      </c>
      <c r="B1191" t="s">
        <v>4019</v>
      </c>
      <c r="D1191">
        <v>47995</v>
      </c>
      <c r="E1191" t="str">
        <f t="shared" si="18"/>
        <v>ia.assorted_string like '%47995-10-2024%' or</v>
      </c>
    </row>
    <row r="1192" spans="1:5" x14ac:dyDescent="0.25">
      <c r="A1192" t="s">
        <v>1387</v>
      </c>
      <c r="B1192" t="s">
        <v>4019</v>
      </c>
      <c r="D1192">
        <v>47999</v>
      </c>
      <c r="E1192" t="str">
        <f t="shared" si="18"/>
        <v>ia.assorted_string like '%47999-10-2024%' or</v>
      </c>
    </row>
    <row r="1193" spans="1:5" x14ac:dyDescent="0.25">
      <c r="A1193" t="s">
        <v>1478</v>
      </c>
      <c r="B1193" t="s">
        <v>4019</v>
      </c>
      <c r="D1193">
        <v>48002</v>
      </c>
      <c r="E1193" t="str">
        <f t="shared" si="18"/>
        <v>ia.assorted_string like '%48002-10-2024%' or</v>
      </c>
    </row>
    <row r="1194" spans="1:5" x14ac:dyDescent="0.25">
      <c r="A1194" t="s">
        <v>1565</v>
      </c>
      <c r="B1194" t="s">
        <v>4019</v>
      </c>
      <c r="D1194">
        <v>48010</v>
      </c>
      <c r="E1194" t="str">
        <f t="shared" si="18"/>
        <v>ia.assorted_string like '%48010-10-2024%' or</v>
      </c>
    </row>
    <row r="1195" spans="1:5" x14ac:dyDescent="0.25">
      <c r="A1195" t="s">
        <v>1584</v>
      </c>
      <c r="B1195" t="s">
        <v>4019</v>
      </c>
      <c r="D1195">
        <v>48015</v>
      </c>
      <c r="E1195" t="str">
        <f t="shared" si="18"/>
        <v>ia.assorted_string like '%48015-10-2024%' or</v>
      </c>
    </row>
    <row r="1196" spans="1:5" x14ac:dyDescent="0.25">
      <c r="A1196" t="s">
        <v>1739</v>
      </c>
      <c r="B1196" t="s">
        <v>4019</v>
      </c>
      <c r="D1196">
        <v>48023</v>
      </c>
      <c r="E1196" t="str">
        <f t="shared" si="18"/>
        <v>ia.assorted_string like '%48023-10-2024%' or</v>
      </c>
    </row>
    <row r="1197" spans="1:5" x14ac:dyDescent="0.25">
      <c r="A1197" t="s">
        <v>1758</v>
      </c>
      <c r="B1197" t="s">
        <v>4019</v>
      </c>
      <c r="D1197">
        <v>48025</v>
      </c>
      <c r="E1197" t="str">
        <f t="shared" si="18"/>
        <v>ia.assorted_string like '%48025-10-2024%' or</v>
      </c>
    </row>
    <row r="1198" spans="1:5" x14ac:dyDescent="0.25">
      <c r="A1198" t="s">
        <v>1766</v>
      </c>
      <c r="B1198" t="s">
        <v>4019</v>
      </c>
      <c r="D1198">
        <v>48026</v>
      </c>
      <c r="E1198" t="str">
        <f t="shared" si="18"/>
        <v>ia.assorted_string like '%48026-10-2024%' or</v>
      </c>
    </row>
    <row r="1199" spans="1:5" x14ac:dyDescent="0.25">
      <c r="A1199" t="s">
        <v>1776</v>
      </c>
      <c r="B1199" t="s">
        <v>4019</v>
      </c>
      <c r="D1199">
        <v>48034</v>
      </c>
      <c r="E1199" t="str">
        <f t="shared" si="18"/>
        <v>ia.assorted_string like '%48034-10-2024%' or</v>
      </c>
    </row>
    <row r="1200" spans="1:5" x14ac:dyDescent="0.25">
      <c r="A1200" t="s">
        <v>1847</v>
      </c>
      <c r="B1200" t="s">
        <v>4019</v>
      </c>
      <c r="D1200">
        <v>48042</v>
      </c>
      <c r="E1200" t="str">
        <f t="shared" si="18"/>
        <v>ia.assorted_string like '%48042-10-2024%' or</v>
      </c>
    </row>
    <row r="1201" spans="1:5" x14ac:dyDescent="0.25">
      <c r="A1201" t="s">
        <v>1944</v>
      </c>
      <c r="B1201" t="s">
        <v>4019</v>
      </c>
      <c r="D1201">
        <v>48047</v>
      </c>
      <c r="E1201" t="str">
        <f t="shared" si="18"/>
        <v>ia.assorted_string like '%48047-10-2024%' or</v>
      </c>
    </row>
    <row r="1202" spans="1:5" x14ac:dyDescent="0.25">
      <c r="A1202" t="s">
        <v>988</v>
      </c>
      <c r="B1202" t="s">
        <v>4019</v>
      </c>
      <c r="D1202">
        <v>48095</v>
      </c>
      <c r="E1202" t="str">
        <f t="shared" si="18"/>
        <v>ia.assorted_string like '%48095-10-2024%' or</v>
      </c>
    </row>
    <row r="1203" spans="1:5" x14ac:dyDescent="0.25">
      <c r="A1203" t="s">
        <v>1135</v>
      </c>
      <c r="B1203" t="s">
        <v>4019</v>
      </c>
      <c r="D1203">
        <v>48100</v>
      </c>
      <c r="E1203" t="str">
        <f t="shared" si="18"/>
        <v>ia.assorted_string like '%48100-10-2024%' or</v>
      </c>
    </row>
    <row r="1204" spans="1:5" x14ac:dyDescent="0.25">
      <c r="A1204" t="s">
        <v>1156</v>
      </c>
      <c r="B1204" t="s">
        <v>4019</v>
      </c>
      <c r="D1204">
        <v>48102</v>
      </c>
      <c r="E1204" t="str">
        <f t="shared" si="18"/>
        <v>ia.assorted_string like '%48102-10-2024%' or</v>
      </c>
    </row>
    <row r="1205" spans="1:5" x14ac:dyDescent="0.25">
      <c r="A1205" t="s">
        <v>1398</v>
      </c>
      <c r="B1205" t="s">
        <v>4019</v>
      </c>
      <c r="D1205">
        <v>48107</v>
      </c>
      <c r="E1205" t="str">
        <f t="shared" si="18"/>
        <v>ia.assorted_string like '%48107-10-2024%' or</v>
      </c>
    </row>
    <row r="1206" spans="1:5" x14ac:dyDescent="0.25">
      <c r="A1206" t="s">
        <v>1599</v>
      </c>
      <c r="B1206" t="s">
        <v>4019</v>
      </c>
      <c r="D1206">
        <v>48112</v>
      </c>
      <c r="E1206" t="str">
        <f t="shared" si="18"/>
        <v>ia.assorted_string like '%48112-10-2024%' or</v>
      </c>
    </row>
    <row r="1207" spans="1:5" x14ac:dyDescent="0.25">
      <c r="A1207" t="s">
        <v>1950</v>
      </c>
      <c r="B1207" t="s">
        <v>4019</v>
      </c>
      <c r="D1207">
        <v>48125</v>
      </c>
      <c r="E1207" t="str">
        <f t="shared" si="18"/>
        <v>ia.assorted_string like '%48125-10-2024%' or</v>
      </c>
    </row>
    <row r="1208" spans="1:5" x14ac:dyDescent="0.25">
      <c r="A1208" t="s">
        <v>1513</v>
      </c>
      <c r="B1208" t="s">
        <v>4019</v>
      </c>
      <c r="D1208">
        <v>48153</v>
      </c>
      <c r="E1208" t="str">
        <f t="shared" si="18"/>
        <v>ia.assorted_string like '%48153-10-2024%' or</v>
      </c>
    </row>
    <row r="1209" spans="1:5" x14ac:dyDescent="0.25">
      <c r="A1209" t="s">
        <v>1377</v>
      </c>
      <c r="B1209" t="s">
        <v>4019</v>
      </c>
      <c r="D1209">
        <v>48176</v>
      </c>
      <c r="E1209" t="str">
        <f t="shared" si="18"/>
        <v>ia.assorted_string like '%48176-10-2024%' or</v>
      </c>
    </row>
    <row r="1210" spans="1:5" x14ac:dyDescent="0.25">
      <c r="A1210" t="s">
        <v>1498</v>
      </c>
      <c r="B1210" t="s">
        <v>4019</v>
      </c>
      <c r="D1210">
        <v>48180</v>
      </c>
      <c r="E1210" t="str">
        <f t="shared" si="18"/>
        <v>ia.assorted_string like '%48180-10-2024%' or</v>
      </c>
    </row>
    <row r="1211" spans="1:5" x14ac:dyDescent="0.25">
      <c r="A1211" t="s">
        <v>1508</v>
      </c>
      <c r="B1211" t="s">
        <v>4019</v>
      </c>
      <c r="D1211">
        <v>48181</v>
      </c>
      <c r="E1211" t="str">
        <f t="shared" si="18"/>
        <v>ia.assorted_string like '%48181-10-2024%' or</v>
      </c>
    </row>
    <row r="1212" spans="1:5" x14ac:dyDescent="0.25">
      <c r="A1212" t="s">
        <v>1786</v>
      </c>
      <c r="B1212" t="s">
        <v>4019</v>
      </c>
      <c r="D1212">
        <v>48185</v>
      </c>
      <c r="E1212" t="str">
        <f t="shared" si="18"/>
        <v>ia.assorted_string like '%48185-10-2024%' or</v>
      </c>
    </row>
    <row r="1213" spans="1:5" x14ac:dyDescent="0.25">
      <c r="A1213" t="s">
        <v>1978</v>
      </c>
      <c r="B1213" t="s">
        <v>4019</v>
      </c>
      <c r="D1213">
        <v>48188</v>
      </c>
      <c r="E1213" t="str">
        <f t="shared" si="18"/>
        <v>ia.assorted_string like '%48188-10-2024%' or</v>
      </c>
    </row>
    <row r="1214" spans="1:5" x14ac:dyDescent="0.25">
      <c r="A1214" t="s">
        <v>1411</v>
      </c>
      <c r="B1214" t="s">
        <v>4019</v>
      </c>
      <c r="D1214">
        <v>48221</v>
      </c>
      <c r="E1214" t="str">
        <f t="shared" si="18"/>
        <v>ia.assorted_string like '%48221-10-2024%' or</v>
      </c>
    </row>
    <row r="1215" spans="1:5" x14ac:dyDescent="0.25">
      <c r="A1215" t="s">
        <v>1110</v>
      </c>
      <c r="B1215" t="s">
        <v>4019</v>
      </c>
      <c r="D1215">
        <v>48359</v>
      </c>
      <c r="E1215" t="str">
        <f t="shared" si="18"/>
        <v>ia.assorted_string like '%48359-10-2024%' or</v>
      </c>
    </row>
    <row r="1216" spans="1:5" x14ac:dyDescent="0.25">
      <c r="A1216" t="s">
        <v>1174</v>
      </c>
      <c r="B1216" t="s">
        <v>4019</v>
      </c>
      <c r="D1216">
        <v>48361</v>
      </c>
      <c r="E1216" t="str">
        <f t="shared" si="18"/>
        <v>ia.assorted_string like '%48361-10-2024%' or</v>
      </c>
    </row>
    <row r="1217" spans="1:5" x14ac:dyDescent="0.25">
      <c r="A1217" t="s">
        <v>1187</v>
      </c>
      <c r="B1217" t="s">
        <v>4019</v>
      </c>
      <c r="D1217">
        <v>48363</v>
      </c>
      <c r="E1217" t="str">
        <f t="shared" si="18"/>
        <v>ia.assorted_string like '%48363-10-2024%' or</v>
      </c>
    </row>
    <row r="1218" spans="1:5" x14ac:dyDescent="0.25">
      <c r="A1218" t="s">
        <v>1613</v>
      </c>
      <c r="B1218" t="s">
        <v>4019</v>
      </c>
      <c r="D1218">
        <v>48366</v>
      </c>
      <c r="E1218" t="str">
        <f t="shared" ref="E1218:E1281" si="19">"ia.assorted_string like '%"&amp;D1218&amp;B1218&amp;"%' or"</f>
        <v>ia.assorted_string like '%48366-10-2024%' or</v>
      </c>
    </row>
    <row r="1219" spans="1:5" x14ac:dyDescent="0.25">
      <c r="A1219" t="s">
        <v>1157</v>
      </c>
      <c r="B1219" t="s">
        <v>4019</v>
      </c>
      <c r="D1219">
        <v>48384</v>
      </c>
      <c r="E1219" t="str">
        <f t="shared" si="19"/>
        <v>ia.assorted_string like '%48384-10-2024%' or</v>
      </c>
    </row>
    <row r="1220" spans="1:5" x14ac:dyDescent="0.25">
      <c r="A1220" t="s">
        <v>1479</v>
      </c>
      <c r="B1220" t="s">
        <v>4019</v>
      </c>
      <c r="D1220">
        <v>48386</v>
      </c>
      <c r="E1220" t="str">
        <f t="shared" si="19"/>
        <v>ia.assorted_string like '%48386-10-2024%' or</v>
      </c>
    </row>
    <row r="1221" spans="1:5" x14ac:dyDescent="0.25">
      <c r="A1221" t="s">
        <v>1019</v>
      </c>
      <c r="B1221" t="s">
        <v>4019</v>
      </c>
      <c r="D1221">
        <v>48395</v>
      </c>
      <c r="E1221" t="str">
        <f t="shared" si="19"/>
        <v>ia.assorted_string like '%48395-10-2024%' or</v>
      </c>
    </row>
    <row r="1222" spans="1:5" x14ac:dyDescent="0.25">
      <c r="A1222" t="s">
        <v>1033</v>
      </c>
      <c r="B1222" t="s">
        <v>4019</v>
      </c>
      <c r="D1222">
        <v>48396</v>
      </c>
      <c r="E1222" t="str">
        <f t="shared" si="19"/>
        <v>ia.assorted_string like '%48396-10-2024%' or</v>
      </c>
    </row>
    <row r="1223" spans="1:5" x14ac:dyDescent="0.25">
      <c r="A1223" t="s">
        <v>1115</v>
      </c>
      <c r="B1223" t="s">
        <v>4019</v>
      </c>
      <c r="D1223">
        <v>48401</v>
      </c>
      <c r="E1223" t="str">
        <f t="shared" si="19"/>
        <v>ia.assorted_string like '%48401-10-2024%' or</v>
      </c>
    </row>
    <row r="1224" spans="1:5" x14ac:dyDescent="0.25">
      <c r="A1224" t="s">
        <v>1200</v>
      </c>
      <c r="B1224" t="s">
        <v>4019</v>
      </c>
      <c r="D1224">
        <v>48405</v>
      </c>
      <c r="E1224" t="str">
        <f t="shared" si="19"/>
        <v>ia.assorted_string like '%48405-10-2024%' or</v>
      </c>
    </row>
    <row r="1225" spans="1:5" x14ac:dyDescent="0.25">
      <c r="A1225" t="s">
        <v>1541</v>
      </c>
      <c r="B1225" t="s">
        <v>4019</v>
      </c>
      <c r="D1225">
        <v>48414</v>
      </c>
      <c r="E1225" t="str">
        <f t="shared" si="19"/>
        <v>ia.assorted_string like '%48414-10-2024%' or</v>
      </c>
    </row>
    <row r="1226" spans="1:5" x14ac:dyDescent="0.25">
      <c r="A1226" t="s">
        <v>1646</v>
      </c>
      <c r="B1226" t="s">
        <v>4019</v>
      </c>
      <c r="D1226">
        <v>48416</v>
      </c>
      <c r="E1226" t="str">
        <f t="shared" si="19"/>
        <v>ia.assorted_string like '%48416-10-2024%' or</v>
      </c>
    </row>
    <row r="1227" spans="1:5" x14ac:dyDescent="0.25">
      <c r="A1227" t="s">
        <v>1937</v>
      </c>
      <c r="B1227" t="s">
        <v>4019</v>
      </c>
      <c r="D1227">
        <v>48426</v>
      </c>
      <c r="E1227" t="str">
        <f t="shared" si="19"/>
        <v>ia.assorted_string like '%48426-10-2024%' or</v>
      </c>
    </row>
    <row r="1228" spans="1:5" x14ac:dyDescent="0.25">
      <c r="A1228" t="s">
        <v>1968</v>
      </c>
      <c r="B1228" t="s">
        <v>4019</v>
      </c>
      <c r="D1228">
        <v>48429</v>
      </c>
      <c r="E1228" t="str">
        <f t="shared" si="19"/>
        <v>ia.assorted_string like '%48429-10-2024%' or</v>
      </c>
    </row>
    <row r="1229" spans="1:5" x14ac:dyDescent="0.25">
      <c r="A1229" t="s">
        <v>1045</v>
      </c>
      <c r="B1229" t="s">
        <v>4020</v>
      </c>
      <c r="D1229">
        <v>48479</v>
      </c>
      <c r="E1229" t="str">
        <f t="shared" si="19"/>
        <v>ia.assorted_string like '%48479-11-2024%' or</v>
      </c>
    </row>
    <row r="1230" spans="1:5" x14ac:dyDescent="0.25">
      <c r="A1230" t="s">
        <v>1211</v>
      </c>
      <c r="B1230" t="s">
        <v>4020</v>
      </c>
      <c r="D1230">
        <v>48483</v>
      </c>
      <c r="E1230" t="str">
        <f t="shared" si="19"/>
        <v>ia.assorted_string like '%48483-11-2024%' or</v>
      </c>
    </row>
    <row r="1231" spans="1:5" x14ac:dyDescent="0.25">
      <c r="A1231" t="s">
        <v>1624</v>
      </c>
      <c r="B1231" t="s">
        <v>4020</v>
      </c>
      <c r="D1231">
        <v>48487</v>
      </c>
      <c r="E1231" t="str">
        <f t="shared" si="19"/>
        <v>ia.assorted_string like '%48487-11-2024%' or</v>
      </c>
    </row>
    <row r="1232" spans="1:5" x14ac:dyDescent="0.25">
      <c r="A1232" t="s">
        <v>1861</v>
      </c>
      <c r="B1232" t="s">
        <v>4020</v>
      </c>
      <c r="D1232">
        <v>48490</v>
      </c>
      <c r="E1232" t="str">
        <f t="shared" si="19"/>
        <v>ia.assorted_string like '%48490-11-2024%' or</v>
      </c>
    </row>
    <row r="1233" spans="1:5" x14ac:dyDescent="0.25">
      <c r="A1233" t="s">
        <v>1869</v>
      </c>
      <c r="B1233" t="s">
        <v>4020</v>
      </c>
      <c r="D1233">
        <v>48492</v>
      </c>
      <c r="E1233" t="str">
        <f t="shared" si="19"/>
        <v>ia.assorted_string like '%48492-11-2024%' or</v>
      </c>
    </row>
    <row r="1234" spans="1:5" x14ac:dyDescent="0.25">
      <c r="A1234" t="s">
        <v>1998</v>
      </c>
      <c r="B1234" t="s">
        <v>4020</v>
      </c>
      <c r="D1234">
        <v>48505</v>
      </c>
      <c r="E1234" t="str">
        <f t="shared" si="19"/>
        <v>ia.assorted_string like '%48505-11-2024%' or</v>
      </c>
    </row>
    <row r="1235" spans="1:5" x14ac:dyDescent="0.25">
      <c r="A1235" t="s">
        <v>1556</v>
      </c>
      <c r="B1235" t="s">
        <v>4020</v>
      </c>
      <c r="D1235">
        <v>48511</v>
      </c>
      <c r="E1235" t="str">
        <f t="shared" si="19"/>
        <v>ia.assorted_string like '%48511-11-2024%' or</v>
      </c>
    </row>
    <row r="1236" spans="1:5" x14ac:dyDescent="0.25">
      <c r="A1236" t="s">
        <v>1669</v>
      </c>
      <c r="B1236" t="s">
        <v>4020</v>
      </c>
      <c r="D1236">
        <v>48513</v>
      </c>
      <c r="E1236" t="str">
        <f t="shared" si="19"/>
        <v>ia.assorted_string like '%48513-11-2024%' or</v>
      </c>
    </row>
    <row r="1237" spans="1:5" x14ac:dyDescent="0.25">
      <c r="A1237" t="s">
        <v>1679</v>
      </c>
      <c r="B1237" t="s">
        <v>4020</v>
      </c>
      <c r="D1237">
        <v>48514</v>
      </c>
      <c r="E1237" t="str">
        <f t="shared" si="19"/>
        <v>ia.assorted_string like '%48514-11-2024%' or</v>
      </c>
    </row>
    <row r="1238" spans="1:5" x14ac:dyDescent="0.25">
      <c r="A1238" t="s">
        <v>1989</v>
      </c>
      <c r="B1238" t="s">
        <v>4020</v>
      </c>
      <c r="D1238">
        <v>48521</v>
      </c>
      <c r="E1238" t="str">
        <f t="shared" si="19"/>
        <v>ia.assorted_string like '%48521-11-2024%' or</v>
      </c>
    </row>
    <row r="1239" spans="1:5" x14ac:dyDescent="0.25">
      <c r="A1239" t="s">
        <v>1262</v>
      </c>
      <c r="B1239" t="s">
        <v>4020</v>
      </c>
      <c r="D1239">
        <v>48557</v>
      </c>
      <c r="E1239" t="str">
        <f t="shared" si="19"/>
        <v>ia.assorted_string like '%48557-11-2024%' or</v>
      </c>
    </row>
    <row r="1240" spans="1:5" x14ac:dyDescent="0.25">
      <c r="A1240" t="s">
        <v>1420</v>
      </c>
      <c r="B1240" t="s">
        <v>4020</v>
      </c>
      <c r="D1240">
        <v>48563</v>
      </c>
      <c r="E1240" t="str">
        <f t="shared" si="19"/>
        <v>ia.assorted_string like '%48563-11-2024%' or</v>
      </c>
    </row>
    <row r="1241" spans="1:5" x14ac:dyDescent="0.25">
      <c r="A1241" t="s">
        <v>1731</v>
      </c>
      <c r="B1241" t="s">
        <v>4020</v>
      </c>
      <c r="D1241">
        <v>48572</v>
      </c>
      <c r="E1241" t="str">
        <f t="shared" si="19"/>
        <v>ia.assorted_string like '%48572-11-2024%' or</v>
      </c>
    </row>
    <row r="1242" spans="1:5" x14ac:dyDescent="0.25">
      <c r="A1242" t="s">
        <v>1811</v>
      </c>
      <c r="B1242" t="s">
        <v>4020</v>
      </c>
      <c r="D1242">
        <v>48574</v>
      </c>
      <c r="E1242" t="str">
        <f t="shared" si="19"/>
        <v>ia.assorted_string like '%48574-11-2024%' or</v>
      </c>
    </row>
    <row r="1243" spans="1:5" x14ac:dyDescent="0.25">
      <c r="A1243" t="s">
        <v>1819</v>
      </c>
      <c r="B1243" t="s">
        <v>4020</v>
      </c>
      <c r="D1243">
        <v>48575</v>
      </c>
      <c r="E1243" t="str">
        <f t="shared" si="19"/>
        <v>ia.assorted_string like '%48575-11-2024%' or</v>
      </c>
    </row>
    <row r="1244" spans="1:5" x14ac:dyDescent="0.25">
      <c r="A1244" t="s">
        <v>1880</v>
      </c>
      <c r="B1244" t="s">
        <v>4020</v>
      </c>
      <c r="D1244">
        <v>48579</v>
      </c>
      <c r="E1244" t="str">
        <f t="shared" si="19"/>
        <v>ia.assorted_string like '%48579-11-2024%' or</v>
      </c>
    </row>
    <row r="1245" spans="1:5" x14ac:dyDescent="0.25">
      <c r="A1245" t="s">
        <v>1884</v>
      </c>
      <c r="B1245" t="s">
        <v>4020</v>
      </c>
      <c r="D1245">
        <v>48581</v>
      </c>
      <c r="E1245" t="str">
        <f t="shared" si="19"/>
        <v>ia.assorted_string like '%48581-11-2024%' or</v>
      </c>
    </row>
    <row r="1246" spans="1:5" x14ac:dyDescent="0.25">
      <c r="A1246" t="s">
        <v>1895</v>
      </c>
      <c r="B1246" t="s">
        <v>4020</v>
      </c>
      <c r="D1246">
        <v>48583</v>
      </c>
      <c r="E1246" t="str">
        <f t="shared" si="19"/>
        <v>ia.assorted_string like '%48583-11-2024%' or</v>
      </c>
    </row>
    <row r="1247" spans="1:5" x14ac:dyDescent="0.25">
      <c r="A1247" t="s">
        <v>2005</v>
      </c>
      <c r="B1247" t="s">
        <v>4020</v>
      </c>
      <c r="D1247">
        <v>48591</v>
      </c>
      <c r="E1247" t="str">
        <f t="shared" si="19"/>
        <v>ia.assorted_string like '%48591-11-2024%' or</v>
      </c>
    </row>
    <row r="1248" spans="1:5" x14ac:dyDescent="0.25">
      <c r="A1248" t="s">
        <v>890</v>
      </c>
      <c r="B1248" t="s">
        <v>4020</v>
      </c>
      <c r="D1248">
        <v>48632</v>
      </c>
      <c r="E1248" t="str">
        <f t="shared" si="19"/>
        <v>ia.assorted_string like '%48632-11-2024%' or</v>
      </c>
    </row>
    <row r="1249" spans="1:5" x14ac:dyDescent="0.25">
      <c r="A1249" t="s">
        <v>891</v>
      </c>
      <c r="B1249" t="s">
        <v>4020</v>
      </c>
      <c r="D1249">
        <v>48633</v>
      </c>
      <c r="E1249" t="str">
        <f t="shared" si="19"/>
        <v>ia.assorted_string like '%48633-11-2024%' or</v>
      </c>
    </row>
    <row r="1250" spans="1:5" x14ac:dyDescent="0.25">
      <c r="A1250" t="s">
        <v>892</v>
      </c>
      <c r="B1250" t="s">
        <v>4020</v>
      </c>
      <c r="D1250">
        <v>48634</v>
      </c>
      <c r="E1250" t="str">
        <f t="shared" si="19"/>
        <v>ia.assorted_string like '%48634-11-2024%' or</v>
      </c>
    </row>
    <row r="1251" spans="1:5" x14ac:dyDescent="0.25">
      <c r="A1251" t="s">
        <v>893</v>
      </c>
      <c r="B1251" t="s">
        <v>4020</v>
      </c>
      <c r="D1251">
        <v>48635</v>
      </c>
      <c r="E1251" t="str">
        <f t="shared" si="19"/>
        <v>ia.assorted_string like '%48635-11-2024%' or</v>
      </c>
    </row>
    <row r="1252" spans="1:5" x14ac:dyDescent="0.25">
      <c r="A1252" t="s">
        <v>899</v>
      </c>
      <c r="B1252" t="s">
        <v>4020</v>
      </c>
      <c r="D1252">
        <v>48639</v>
      </c>
      <c r="E1252" t="str">
        <f t="shared" si="19"/>
        <v>ia.assorted_string like '%48639-11-2024%' or</v>
      </c>
    </row>
    <row r="1253" spans="1:5" x14ac:dyDescent="0.25">
      <c r="A1253" t="s">
        <v>919</v>
      </c>
      <c r="B1253" t="s">
        <v>4020</v>
      </c>
      <c r="D1253">
        <v>48641</v>
      </c>
      <c r="E1253" t="str">
        <f t="shared" si="19"/>
        <v>ia.assorted_string like '%48641-11-2024%' or</v>
      </c>
    </row>
    <row r="1254" spans="1:5" x14ac:dyDescent="0.25">
      <c r="A1254" t="s">
        <v>934</v>
      </c>
      <c r="B1254" t="s">
        <v>4020</v>
      </c>
      <c r="D1254">
        <v>48642</v>
      </c>
      <c r="E1254" t="str">
        <f t="shared" si="19"/>
        <v>ia.assorted_string like '%48642-11-2024%' or</v>
      </c>
    </row>
    <row r="1255" spans="1:5" x14ac:dyDescent="0.25">
      <c r="A1255" t="s">
        <v>1696</v>
      </c>
      <c r="B1255" t="s">
        <v>4020</v>
      </c>
      <c r="D1255">
        <v>48653</v>
      </c>
      <c r="E1255" t="str">
        <f t="shared" si="19"/>
        <v>ia.assorted_string like '%48653-11-2024%' or</v>
      </c>
    </row>
    <row r="1256" spans="1:5" x14ac:dyDescent="0.25">
      <c r="A1256" t="s">
        <v>1903</v>
      </c>
      <c r="B1256" t="s">
        <v>4020</v>
      </c>
      <c r="D1256">
        <v>48659</v>
      </c>
      <c r="E1256" t="str">
        <f t="shared" si="19"/>
        <v>ia.assorted_string like '%48659-11-2024%' or</v>
      </c>
    </row>
    <row r="1257" spans="1:5" x14ac:dyDescent="0.25">
      <c r="A1257" t="s">
        <v>1096</v>
      </c>
      <c r="B1257" t="s">
        <v>4020</v>
      </c>
      <c r="D1257">
        <v>48672</v>
      </c>
      <c r="E1257" t="str">
        <f t="shared" si="19"/>
        <v>ia.assorted_string like '%48672-11-2024%' or</v>
      </c>
    </row>
    <row r="1258" spans="1:5" x14ac:dyDescent="0.25">
      <c r="A1258" t="s">
        <v>1229</v>
      </c>
      <c r="B1258" t="s">
        <v>4020</v>
      </c>
      <c r="D1258">
        <v>48673</v>
      </c>
      <c r="E1258" t="str">
        <f t="shared" si="19"/>
        <v>ia.assorted_string like '%48673-11-2024%' or</v>
      </c>
    </row>
    <row r="1259" spans="1:5" x14ac:dyDescent="0.25">
      <c r="A1259" t="s">
        <v>1247</v>
      </c>
      <c r="B1259" t="s">
        <v>4020</v>
      </c>
      <c r="D1259">
        <v>48674</v>
      </c>
      <c r="E1259" t="str">
        <f t="shared" si="19"/>
        <v>ia.assorted_string like '%48674-11-2024%' or</v>
      </c>
    </row>
    <row r="1260" spans="1:5" x14ac:dyDescent="0.25">
      <c r="A1260" t="s">
        <v>1285</v>
      </c>
      <c r="B1260" t="s">
        <v>4020</v>
      </c>
      <c r="D1260">
        <v>48676</v>
      </c>
      <c r="E1260" t="str">
        <f t="shared" si="19"/>
        <v>ia.assorted_string like '%48676-11-2024%' or</v>
      </c>
    </row>
    <row r="1261" spans="1:5" x14ac:dyDescent="0.25">
      <c r="A1261" t="s">
        <v>13</v>
      </c>
      <c r="B1261" t="s">
        <v>4019</v>
      </c>
      <c r="D1261">
        <v>48693</v>
      </c>
      <c r="E1261" t="str">
        <f t="shared" si="19"/>
        <v>ia.assorted_string like '%48693-10-2024%' or</v>
      </c>
    </row>
    <row r="1262" spans="1:5" x14ac:dyDescent="0.25">
      <c r="A1262" t="s">
        <v>17</v>
      </c>
      <c r="B1262" t="s">
        <v>4019</v>
      </c>
      <c r="D1262">
        <v>48694</v>
      </c>
      <c r="E1262" t="str">
        <f t="shared" si="19"/>
        <v>ia.assorted_string like '%48694-10-2024%' or</v>
      </c>
    </row>
    <row r="1263" spans="1:5" x14ac:dyDescent="0.25">
      <c r="A1263" t="s">
        <v>21</v>
      </c>
      <c r="B1263" t="s">
        <v>4019</v>
      </c>
      <c r="D1263">
        <v>48695</v>
      </c>
      <c r="E1263" t="str">
        <f t="shared" si="19"/>
        <v>ia.assorted_string like '%48695-10-2024%' or</v>
      </c>
    </row>
    <row r="1264" spans="1:5" x14ac:dyDescent="0.25">
      <c r="A1264" t="s">
        <v>37</v>
      </c>
      <c r="B1264" t="s">
        <v>4019</v>
      </c>
      <c r="D1264">
        <v>48696</v>
      </c>
      <c r="E1264" t="str">
        <f t="shared" si="19"/>
        <v>ia.assorted_string like '%48696-10-2024%' or</v>
      </c>
    </row>
    <row r="1265" spans="1:5" x14ac:dyDescent="0.25">
      <c r="A1265" t="s">
        <v>42</v>
      </c>
      <c r="B1265" t="s">
        <v>4019</v>
      </c>
      <c r="D1265">
        <v>48697</v>
      </c>
      <c r="E1265" t="str">
        <f t="shared" si="19"/>
        <v>ia.assorted_string like '%48697-10-2024%' or</v>
      </c>
    </row>
    <row r="1266" spans="1:5" x14ac:dyDescent="0.25">
      <c r="A1266" t="s">
        <v>46</v>
      </c>
      <c r="B1266" t="s">
        <v>4019</v>
      </c>
      <c r="D1266">
        <v>48698</v>
      </c>
      <c r="E1266" t="str">
        <f t="shared" si="19"/>
        <v>ia.assorted_string like '%48698-10-2024%' or</v>
      </c>
    </row>
    <row r="1267" spans="1:5" x14ac:dyDescent="0.25">
      <c r="A1267" t="s">
        <v>49</v>
      </c>
      <c r="B1267" t="s">
        <v>4019</v>
      </c>
      <c r="D1267">
        <v>48700</v>
      </c>
      <c r="E1267" t="str">
        <f t="shared" si="19"/>
        <v>ia.assorted_string like '%48700-10-2024%' or</v>
      </c>
    </row>
    <row r="1268" spans="1:5" x14ac:dyDescent="0.25">
      <c r="A1268" t="s">
        <v>52</v>
      </c>
      <c r="B1268" t="s">
        <v>4019</v>
      </c>
      <c r="D1268">
        <v>48701</v>
      </c>
      <c r="E1268" t="str">
        <f t="shared" si="19"/>
        <v>ia.assorted_string like '%48701-10-2024%' or</v>
      </c>
    </row>
    <row r="1269" spans="1:5" x14ac:dyDescent="0.25">
      <c r="A1269" t="s">
        <v>58</v>
      </c>
      <c r="B1269" t="s">
        <v>4019</v>
      </c>
      <c r="D1269">
        <v>48703</v>
      </c>
      <c r="E1269" t="str">
        <f t="shared" si="19"/>
        <v>ia.assorted_string like '%48703-10-2024%' or</v>
      </c>
    </row>
    <row r="1270" spans="1:5" x14ac:dyDescent="0.25">
      <c r="A1270" t="s">
        <v>61</v>
      </c>
      <c r="B1270" t="s">
        <v>4019</v>
      </c>
      <c r="D1270">
        <v>48704</v>
      </c>
      <c r="E1270" t="str">
        <f t="shared" si="19"/>
        <v>ia.assorted_string like '%48704-10-2024%' or</v>
      </c>
    </row>
    <row r="1271" spans="1:5" x14ac:dyDescent="0.25">
      <c r="A1271" t="s">
        <v>70</v>
      </c>
      <c r="B1271" t="s">
        <v>4019</v>
      </c>
      <c r="D1271">
        <v>48706</v>
      </c>
      <c r="E1271" t="str">
        <f t="shared" si="19"/>
        <v>ia.assorted_string like '%48706-10-2024%' or</v>
      </c>
    </row>
    <row r="1272" spans="1:5" x14ac:dyDescent="0.25">
      <c r="A1272" t="s">
        <v>75</v>
      </c>
      <c r="B1272" t="s">
        <v>4019</v>
      </c>
      <c r="D1272">
        <v>48709</v>
      </c>
      <c r="E1272" t="str">
        <f t="shared" si="19"/>
        <v>ia.assorted_string like '%48709-10-2024%' or</v>
      </c>
    </row>
    <row r="1273" spans="1:5" x14ac:dyDescent="0.25">
      <c r="A1273" t="s">
        <v>82</v>
      </c>
      <c r="B1273" t="s">
        <v>4019</v>
      </c>
      <c r="D1273">
        <v>48710</v>
      </c>
      <c r="E1273" t="str">
        <f t="shared" si="19"/>
        <v>ia.assorted_string like '%48710-10-2024%' or</v>
      </c>
    </row>
    <row r="1274" spans="1:5" x14ac:dyDescent="0.25">
      <c r="A1274" t="s">
        <v>107</v>
      </c>
      <c r="B1274" t="s">
        <v>4019</v>
      </c>
      <c r="D1274">
        <v>48714</v>
      </c>
      <c r="E1274" t="str">
        <f t="shared" si="19"/>
        <v>ia.assorted_string like '%48714-10-2024%' or</v>
      </c>
    </row>
    <row r="1275" spans="1:5" x14ac:dyDescent="0.25">
      <c r="A1275" t="s">
        <v>155</v>
      </c>
      <c r="B1275" t="s">
        <v>4019</v>
      </c>
      <c r="D1275">
        <v>48715</v>
      </c>
      <c r="E1275" t="str">
        <f t="shared" si="19"/>
        <v>ia.assorted_string like '%48715-10-2024%' or</v>
      </c>
    </row>
    <row r="1276" spans="1:5" x14ac:dyDescent="0.25">
      <c r="A1276" t="s">
        <v>166</v>
      </c>
      <c r="B1276" t="s">
        <v>4019</v>
      </c>
      <c r="D1276">
        <v>48716</v>
      </c>
      <c r="E1276" t="str">
        <f t="shared" si="19"/>
        <v>ia.assorted_string like '%48716-10-2024%' or</v>
      </c>
    </row>
    <row r="1277" spans="1:5" x14ac:dyDescent="0.25">
      <c r="A1277" t="s">
        <v>181</v>
      </c>
      <c r="B1277" t="s">
        <v>4019</v>
      </c>
      <c r="D1277">
        <v>48720</v>
      </c>
      <c r="E1277" t="str">
        <f t="shared" si="19"/>
        <v>ia.assorted_string like '%48720-10-2024%' or</v>
      </c>
    </row>
    <row r="1278" spans="1:5" x14ac:dyDescent="0.25">
      <c r="A1278" t="s">
        <v>189</v>
      </c>
      <c r="B1278" t="s">
        <v>4019</v>
      </c>
      <c r="D1278">
        <v>48722</v>
      </c>
      <c r="E1278" t="str">
        <f t="shared" si="19"/>
        <v>ia.assorted_string like '%48722-10-2024%' or</v>
      </c>
    </row>
    <row r="1279" spans="1:5" x14ac:dyDescent="0.25">
      <c r="A1279" t="s">
        <v>216</v>
      </c>
      <c r="B1279" t="s">
        <v>4019</v>
      </c>
      <c r="D1279">
        <v>48723</v>
      </c>
      <c r="E1279" t="str">
        <f t="shared" si="19"/>
        <v>ia.assorted_string like '%48723-10-2024%' or</v>
      </c>
    </row>
    <row r="1280" spans="1:5" x14ac:dyDescent="0.25">
      <c r="A1280" t="s">
        <v>221</v>
      </c>
      <c r="B1280" t="s">
        <v>4019</v>
      </c>
      <c r="D1280">
        <v>48724</v>
      </c>
      <c r="E1280" t="str">
        <f t="shared" si="19"/>
        <v>ia.assorted_string like '%48724-10-2024%' or</v>
      </c>
    </row>
    <row r="1281" spans="1:5" x14ac:dyDescent="0.25">
      <c r="A1281" t="s">
        <v>228</v>
      </c>
      <c r="B1281" t="s">
        <v>4019</v>
      </c>
      <c r="D1281">
        <v>48726</v>
      </c>
      <c r="E1281" t="str">
        <f t="shared" si="19"/>
        <v>ia.assorted_string like '%48726-10-2024%' or</v>
      </c>
    </row>
    <row r="1282" spans="1:5" x14ac:dyDescent="0.25">
      <c r="A1282" t="s">
        <v>241</v>
      </c>
      <c r="B1282" t="s">
        <v>4019</v>
      </c>
      <c r="D1282">
        <v>48727</v>
      </c>
      <c r="E1282" t="str">
        <f t="shared" ref="E1282:E1345" si="20">"ia.assorted_string like '%"&amp;D1282&amp;B1282&amp;"%' or"</f>
        <v>ia.assorted_string like '%48727-10-2024%' or</v>
      </c>
    </row>
    <row r="1283" spans="1:5" x14ac:dyDescent="0.25">
      <c r="A1283" t="s">
        <v>278</v>
      </c>
      <c r="B1283" t="s">
        <v>4019</v>
      </c>
      <c r="D1283">
        <v>48729</v>
      </c>
      <c r="E1283" t="str">
        <f t="shared" si="20"/>
        <v>ia.assorted_string like '%48729-10-2024%' or</v>
      </c>
    </row>
    <row r="1284" spans="1:5" x14ac:dyDescent="0.25">
      <c r="A1284" t="s">
        <v>289</v>
      </c>
      <c r="B1284" t="s">
        <v>4019</v>
      </c>
      <c r="D1284">
        <v>48730</v>
      </c>
      <c r="E1284" t="str">
        <f t="shared" si="20"/>
        <v>ia.assorted_string like '%48730-10-2024%' or</v>
      </c>
    </row>
    <row r="1285" spans="1:5" x14ac:dyDescent="0.25">
      <c r="A1285" t="s">
        <v>304</v>
      </c>
      <c r="B1285" t="s">
        <v>4019</v>
      </c>
      <c r="D1285">
        <v>48732</v>
      </c>
      <c r="E1285" t="str">
        <f t="shared" si="20"/>
        <v>ia.assorted_string like '%48732-10-2024%' or</v>
      </c>
    </row>
    <row r="1286" spans="1:5" x14ac:dyDescent="0.25">
      <c r="A1286" t="s">
        <v>307</v>
      </c>
      <c r="B1286" t="s">
        <v>4019</v>
      </c>
      <c r="D1286">
        <v>48733</v>
      </c>
      <c r="E1286" t="str">
        <f t="shared" si="20"/>
        <v>ia.assorted_string like '%48733-10-2024%' or</v>
      </c>
    </row>
    <row r="1287" spans="1:5" x14ac:dyDescent="0.25">
      <c r="A1287" t="s">
        <v>313</v>
      </c>
      <c r="B1287" t="s">
        <v>4019</v>
      </c>
      <c r="D1287">
        <v>48734</v>
      </c>
      <c r="E1287" t="str">
        <f t="shared" si="20"/>
        <v>ia.assorted_string like '%48734-10-2024%' or</v>
      </c>
    </row>
    <row r="1288" spans="1:5" x14ac:dyDescent="0.25">
      <c r="A1288" t="s">
        <v>327</v>
      </c>
      <c r="B1288" t="s">
        <v>4019</v>
      </c>
      <c r="D1288">
        <v>48735</v>
      </c>
      <c r="E1288" t="str">
        <f t="shared" si="20"/>
        <v>ia.assorted_string like '%48735-10-2024%' or</v>
      </c>
    </row>
    <row r="1289" spans="1:5" x14ac:dyDescent="0.25">
      <c r="A1289" t="s">
        <v>340</v>
      </c>
      <c r="B1289" t="s">
        <v>4019</v>
      </c>
      <c r="D1289">
        <v>48737</v>
      </c>
      <c r="E1289" t="str">
        <f t="shared" si="20"/>
        <v>ia.assorted_string like '%48737-10-2024%' or</v>
      </c>
    </row>
    <row r="1290" spans="1:5" x14ac:dyDescent="0.25">
      <c r="A1290" t="s">
        <v>359</v>
      </c>
      <c r="B1290" t="s">
        <v>4019</v>
      </c>
      <c r="D1290">
        <v>48738</v>
      </c>
      <c r="E1290" t="str">
        <f t="shared" si="20"/>
        <v>ia.assorted_string like '%48738-10-2024%' or</v>
      </c>
    </row>
    <row r="1291" spans="1:5" x14ac:dyDescent="0.25">
      <c r="A1291" t="s">
        <v>379</v>
      </c>
      <c r="B1291" t="s">
        <v>4019</v>
      </c>
      <c r="D1291">
        <v>48739</v>
      </c>
      <c r="E1291" t="str">
        <f t="shared" si="20"/>
        <v>ia.assorted_string like '%48739-10-2024%' or</v>
      </c>
    </row>
    <row r="1292" spans="1:5" x14ac:dyDescent="0.25">
      <c r="A1292" t="s">
        <v>382</v>
      </c>
      <c r="B1292" t="s">
        <v>4019</v>
      </c>
      <c r="D1292">
        <v>48740</v>
      </c>
      <c r="E1292" t="str">
        <f t="shared" si="20"/>
        <v>ia.assorted_string like '%48740-10-2024%' or</v>
      </c>
    </row>
    <row r="1293" spans="1:5" x14ac:dyDescent="0.25">
      <c r="A1293" t="s">
        <v>398</v>
      </c>
      <c r="B1293" t="s">
        <v>4019</v>
      </c>
      <c r="D1293">
        <v>48741</v>
      </c>
      <c r="E1293" t="str">
        <f t="shared" si="20"/>
        <v>ia.assorted_string like '%48741-10-2024%' or</v>
      </c>
    </row>
    <row r="1294" spans="1:5" x14ac:dyDescent="0.25">
      <c r="A1294" t="s">
        <v>406</v>
      </c>
      <c r="B1294" t="s">
        <v>4019</v>
      </c>
      <c r="D1294">
        <v>48743</v>
      </c>
      <c r="E1294" t="str">
        <f t="shared" si="20"/>
        <v>ia.assorted_string like '%48743-10-2024%' or</v>
      </c>
    </row>
    <row r="1295" spans="1:5" x14ac:dyDescent="0.25">
      <c r="A1295" t="s">
        <v>411</v>
      </c>
      <c r="B1295" t="s">
        <v>4019</v>
      </c>
      <c r="D1295">
        <v>48744</v>
      </c>
      <c r="E1295" t="str">
        <f t="shared" si="20"/>
        <v>ia.assorted_string like '%48744-10-2024%' or</v>
      </c>
    </row>
    <row r="1296" spans="1:5" x14ac:dyDescent="0.25">
      <c r="A1296" t="s">
        <v>416</v>
      </c>
      <c r="B1296" t="s">
        <v>4019</v>
      </c>
      <c r="D1296">
        <v>48745</v>
      </c>
      <c r="E1296" t="str">
        <f t="shared" si="20"/>
        <v>ia.assorted_string like '%48745-10-2024%' or</v>
      </c>
    </row>
    <row r="1297" spans="1:5" x14ac:dyDescent="0.25">
      <c r="A1297" t="s">
        <v>423</v>
      </c>
      <c r="B1297" t="s">
        <v>4019</v>
      </c>
      <c r="D1297">
        <v>48746</v>
      </c>
      <c r="E1297" t="str">
        <f t="shared" si="20"/>
        <v>ia.assorted_string like '%48746-10-2024%' or</v>
      </c>
    </row>
    <row r="1298" spans="1:5" x14ac:dyDescent="0.25">
      <c r="A1298" t="s">
        <v>427</v>
      </c>
      <c r="B1298" t="s">
        <v>4019</v>
      </c>
      <c r="D1298">
        <v>48747</v>
      </c>
      <c r="E1298" t="str">
        <f t="shared" si="20"/>
        <v>ia.assorted_string like '%48747-10-2024%' or</v>
      </c>
    </row>
    <row r="1299" spans="1:5" x14ac:dyDescent="0.25">
      <c r="A1299" t="s">
        <v>450</v>
      </c>
      <c r="B1299" t="s">
        <v>4019</v>
      </c>
      <c r="D1299">
        <v>48748</v>
      </c>
      <c r="E1299" t="str">
        <f t="shared" si="20"/>
        <v>ia.assorted_string like '%48748-10-2024%' or</v>
      </c>
    </row>
    <row r="1300" spans="1:5" x14ac:dyDescent="0.25">
      <c r="A1300" t="s">
        <v>467</v>
      </c>
      <c r="B1300" t="s">
        <v>4019</v>
      </c>
      <c r="D1300">
        <v>48749</v>
      </c>
      <c r="E1300" t="str">
        <f t="shared" si="20"/>
        <v>ia.assorted_string like '%48749-10-2024%' or</v>
      </c>
    </row>
    <row r="1301" spans="1:5" x14ac:dyDescent="0.25">
      <c r="A1301" t="s">
        <v>480</v>
      </c>
      <c r="B1301" t="s">
        <v>4019</v>
      </c>
      <c r="D1301">
        <v>48750</v>
      </c>
      <c r="E1301" t="str">
        <f t="shared" si="20"/>
        <v>ia.assorted_string like '%48750-10-2024%' or</v>
      </c>
    </row>
    <row r="1302" spans="1:5" x14ac:dyDescent="0.25">
      <c r="A1302" t="s">
        <v>497</v>
      </c>
      <c r="B1302" t="s">
        <v>4019</v>
      </c>
      <c r="D1302">
        <v>48751</v>
      </c>
      <c r="E1302" t="str">
        <f t="shared" si="20"/>
        <v>ia.assorted_string like '%48751-10-2024%' or</v>
      </c>
    </row>
    <row r="1303" spans="1:5" x14ac:dyDescent="0.25">
      <c r="A1303" t="s">
        <v>504</v>
      </c>
      <c r="B1303" t="s">
        <v>4019</v>
      </c>
      <c r="D1303">
        <v>48752</v>
      </c>
      <c r="E1303" t="str">
        <f t="shared" si="20"/>
        <v>ia.assorted_string like '%48752-10-2024%' or</v>
      </c>
    </row>
    <row r="1304" spans="1:5" x14ac:dyDescent="0.25">
      <c r="A1304" t="s">
        <v>507</v>
      </c>
      <c r="B1304" t="s">
        <v>4019</v>
      </c>
      <c r="D1304">
        <v>48753</v>
      </c>
      <c r="E1304" t="str">
        <f t="shared" si="20"/>
        <v>ia.assorted_string like '%48753-10-2024%' or</v>
      </c>
    </row>
    <row r="1305" spans="1:5" x14ac:dyDescent="0.25">
      <c r="A1305" t="s">
        <v>514</v>
      </c>
      <c r="B1305" t="s">
        <v>4019</v>
      </c>
      <c r="D1305">
        <v>48754</v>
      </c>
      <c r="E1305" t="str">
        <f t="shared" si="20"/>
        <v>ia.assorted_string like '%48754-10-2024%' or</v>
      </c>
    </row>
    <row r="1306" spans="1:5" x14ac:dyDescent="0.25">
      <c r="A1306" t="s">
        <v>517</v>
      </c>
      <c r="B1306" t="s">
        <v>4019</v>
      </c>
      <c r="D1306">
        <v>48755</v>
      </c>
      <c r="E1306" t="str">
        <f t="shared" si="20"/>
        <v>ia.assorted_string like '%48755-10-2024%' or</v>
      </c>
    </row>
    <row r="1307" spans="1:5" x14ac:dyDescent="0.25">
      <c r="A1307" t="s">
        <v>528</v>
      </c>
      <c r="B1307" t="s">
        <v>4019</v>
      </c>
      <c r="D1307">
        <v>48756</v>
      </c>
      <c r="E1307" t="str">
        <f t="shared" si="20"/>
        <v>ia.assorted_string like '%48756-10-2024%' or</v>
      </c>
    </row>
    <row r="1308" spans="1:5" x14ac:dyDescent="0.25">
      <c r="A1308" t="s">
        <v>536</v>
      </c>
      <c r="B1308" t="s">
        <v>4019</v>
      </c>
      <c r="D1308">
        <v>48757</v>
      </c>
      <c r="E1308" t="str">
        <f t="shared" si="20"/>
        <v>ia.assorted_string like '%48757-10-2024%' or</v>
      </c>
    </row>
    <row r="1309" spans="1:5" x14ac:dyDescent="0.25">
      <c r="A1309" t="s">
        <v>539</v>
      </c>
      <c r="B1309" t="s">
        <v>4019</v>
      </c>
      <c r="D1309">
        <v>48758</v>
      </c>
      <c r="E1309" t="str">
        <f t="shared" si="20"/>
        <v>ia.assorted_string like '%48758-10-2024%' or</v>
      </c>
    </row>
    <row r="1310" spans="1:5" x14ac:dyDescent="0.25">
      <c r="A1310" t="s">
        <v>546</v>
      </c>
      <c r="B1310" t="s">
        <v>4019</v>
      </c>
      <c r="D1310">
        <v>48759</v>
      </c>
      <c r="E1310" t="str">
        <f t="shared" si="20"/>
        <v>ia.assorted_string like '%48759-10-2024%' or</v>
      </c>
    </row>
    <row r="1311" spans="1:5" x14ac:dyDescent="0.25">
      <c r="A1311" t="s">
        <v>552</v>
      </c>
      <c r="B1311" t="s">
        <v>4019</v>
      </c>
      <c r="D1311">
        <v>48760</v>
      </c>
      <c r="E1311" t="str">
        <f t="shared" si="20"/>
        <v>ia.assorted_string like '%48760-10-2024%' or</v>
      </c>
    </row>
    <row r="1312" spans="1:5" x14ac:dyDescent="0.25">
      <c r="A1312" t="s">
        <v>561</v>
      </c>
      <c r="B1312" t="s">
        <v>4019</v>
      </c>
      <c r="D1312">
        <v>48761</v>
      </c>
      <c r="E1312" t="str">
        <f t="shared" si="20"/>
        <v>ia.assorted_string like '%48761-10-2024%' or</v>
      </c>
    </row>
    <row r="1313" spans="1:5" x14ac:dyDescent="0.25">
      <c r="A1313" t="s">
        <v>567</v>
      </c>
      <c r="B1313" t="s">
        <v>4019</v>
      </c>
      <c r="D1313">
        <v>48762</v>
      </c>
      <c r="E1313" t="str">
        <f t="shared" si="20"/>
        <v>ia.assorted_string like '%48762-10-2024%' or</v>
      </c>
    </row>
    <row r="1314" spans="1:5" x14ac:dyDescent="0.25">
      <c r="A1314" t="s">
        <v>576</v>
      </c>
      <c r="B1314" t="s">
        <v>4019</v>
      </c>
      <c r="D1314">
        <v>48763</v>
      </c>
      <c r="E1314" t="str">
        <f t="shared" si="20"/>
        <v>ia.assorted_string like '%48763-10-2024%' or</v>
      </c>
    </row>
    <row r="1315" spans="1:5" x14ac:dyDescent="0.25">
      <c r="A1315" t="s">
        <v>579</v>
      </c>
      <c r="B1315" t="s">
        <v>4019</v>
      </c>
      <c r="D1315">
        <v>48764</v>
      </c>
      <c r="E1315" t="str">
        <f t="shared" si="20"/>
        <v>ia.assorted_string like '%48764-10-2024%' or</v>
      </c>
    </row>
    <row r="1316" spans="1:5" x14ac:dyDescent="0.25">
      <c r="A1316" t="s">
        <v>587</v>
      </c>
      <c r="B1316" t="s">
        <v>4019</v>
      </c>
      <c r="D1316">
        <v>48766</v>
      </c>
      <c r="E1316" t="str">
        <f t="shared" si="20"/>
        <v>ia.assorted_string like '%48766-10-2024%' or</v>
      </c>
    </row>
    <row r="1317" spans="1:5" x14ac:dyDescent="0.25">
      <c r="A1317" t="s">
        <v>601</v>
      </c>
      <c r="B1317" t="s">
        <v>4019</v>
      </c>
      <c r="D1317">
        <v>48767</v>
      </c>
      <c r="E1317" t="str">
        <f t="shared" si="20"/>
        <v>ia.assorted_string like '%48767-10-2024%' or</v>
      </c>
    </row>
    <row r="1318" spans="1:5" x14ac:dyDescent="0.25">
      <c r="A1318" t="s">
        <v>605</v>
      </c>
      <c r="B1318" t="s">
        <v>4019</v>
      </c>
      <c r="D1318">
        <v>48768</v>
      </c>
      <c r="E1318" t="str">
        <f t="shared" si="20"/>
        <v>ia.assorted_string like '%48768-10-2024%' or</v>
      </c>
    </row>
    <row r="1319" spans="1:5" x14ac:dyDescent="0.25">
      <c r="A1319" t="s">
        <v>613</v>
      </c>
      <c r="B1319" t="s">
        <v>4019</v>
      </c>
      <c r="D1319">
        <v>48769</v>
      </c>
      <c r="E1319" t="str">
        <f t="shared" si="20"/>
        <v>ia.assorted_string like '%48769-10-2024%' or</v>
      </c>
    </row>
    <row r="1320" spans="1:5" x14ac:dyDescent="0.25">
      <c r="A1320" t="s">
        <v>621</v>
      </c>
      <c r="B1320" t="s">
        <v>4019</v>
      </c>
      <c r="D1320">
        <v>48770</v>
      </c>
      <c r="E1320" t="str">
        <f t="shared" si="20"/>
        <v>ia.assorted_string like '%48770-10-2024%' or</v>
      </c>
    </row>
    <row r="1321" spans="1:5" x14ac:dyDescent="0.25">
      <c r="A1321" t="s">
        <v>627</v>
      </c>
      <c r="B1321" t="s">
        <v>4019</v>
      </c>
      <c r="D1321">
        <v>48771</v>
      </c>
      <c r="E1321" t="str">
        <f t="shared" si="20"/>
        <v>ia.assorted_string like '%48771-10-2024%' or</v>
      </c>
    </row>
    <row r="1322" spans="1:5" x14ac:dyDescent="0.25">
      <c r="A1322" t="s">
        <v>642</v>
      </c>
      <c r="B1322" t="s">
        <v>4019</v>
      </c>
      <c r="D1322">
        <v>48772</v>
      </c>
      <c r="E1322" t="str">
        <f t="shared" si="20"/>
        <v>ia.assorted_string like '%48772-10-2024%' or</v>
      </c>
    </row>
    <row r="1323" spans="1:5" x14ac:dyDescent="0.25">
      <c r="A1323" t="s">
        <v>653</v>
      </c>
      <c r="B1323" t="s">
        <v>4019</v>
      </c>
      <c r="D1323">
        <v>48774</v>
      </c>
      <c r="E1323" t="str">
        <f t="shared" si="20"/>
        <v>ia.assorted_string like '%48774-10-2024%' or</v>
      </c>
    </row>
    <row r="1324" spans="1:5" x14ac:dyDescent="0.25">
      <c r="A1324" t="s">
        <v>662</v>
      </c>
      <c r="B1324" t="s">
        <v>4019</v>
      </c>
      <c r="D1324">
        <v>48775</v>
      </c>
      <c r="E1324" t="str">
        <f t="shared" si="20"/>
        <v>ia.assorted_string like '%48775-10-2024%' or</v>
      </c>
    </row>
    <row r="1325" spans="1:5" x14ac:dyDescent="0.25">
      <c r="A1325" t="s">
        <v>670</v>
      </c>
      <c r="B1325" t="s">
        <v>4019</v>
      </c>
      <c r="D1325">
        <v>48776</v>
      </c>
      <c r="E1325" t="str">
        <f t="shared" si="20"/>
        <v>ia.assorted_string like '%48776-10-2024%' or</v>
      </c>
    </row>
    <row r="1326" spans="1:5" x14ac:dyDescent="0.25">
      <c r="A1326" t="s">
        <v>681</v>
      </c>
      <c r="B1326" t="s">
        <v>4019</v>
      </c>
      <c r="D1326">
        <v>48777</v>
      </c>
      <c r="E1326" t="str">
        <f t="shared" si="20"/>
        <v>ia.assorted_string like '%48777-10-2024%' or</v>
      </c>
    </row>
    <row r="1327" spans="1:5" x14ac:dyDescent="0.25">
      <c r="A1327" t="s">
        <v>689</v>
      </c>
      <c r="B1327" t="s">
        <v>4019</v>
      </c>
      <c r="D1327">
        <v>48778</v>
      </c>
      <c r="E1327" t="str">
        <f t="shared" si="20"/>
        <v>ia.assorted_string like '%48778-10-2024%' or</v>
      </c>
    </row>
    <row r="1328" spans="1:5" x14ac:dyDescent="0.25">
      <c r="A1328" t="s">
        <v>692</v>
      </c>
      <c r="B1328" t="s">
        <v>4019</v>
      </c>
      <c r="D1328">
        <v>48779</v>
      </c>
      <c r="E1328" t="str">
        <f t="shared" si="20"/>
        <v>ia.assorted_string like '%48779-10-2024%' or</v>
      </c>
    </row>
    <row r="1329" spans="1:5" x14ac:dyDescent="0.25">
      <c r="A1329" t="s">
        <v>695</v>
      </c>
      <c r="B1329" t="s">
        <v>4019</v>
      </c>
      <c r="D1329">
        <v>48780</v>
      </c>
      <c r="E1329" t="str">
        <f t="shared" si="20"/>
        <v>ia.assorted_string like '%48780-10-2024%' or</v>
      </c>
    </row>
    <row r="1330" spans="1:5" x14ac:dyDescent="0.25">
      <c r="A1330" t="s">
        <v>699</v>
      </c>
      <c r="B1330" t="s">
        <v>4019</v>
      </c>
      <c r="D1330">
        <v>48781</v>
      </c>
      <c r="E1330" t="str">
        <f t="shared" si="20"/>
        <v>ia.assorted_string like '%48781-10-2024%' or</v>
      </c>
    </row>
    <row r="1331" spans="1:5" x14ac:dyDescent="0.25">
      <c r="A1331" t="s">
        <v>708</v>
      </c>
      <c r="B1331" t="s">
        <v>4019</v>
      </c>
      <c r="D1331">
        <v>48782</v>
      </c>
      <c r="E1331" t="str">
        <f t="shared" si="20"/>
        <v>ia.assorted_string like '%48782-10-2024%' or</v>
      </c>
    </row>
    <row r="1332" spans="1:5" x14ac:dyDescent="0.25">
      <c r="A1332" t="s">
        <v>713</v>
      </c>
      <c r="B1332" t="s">
        <v>4019</v>
      </c>
      <c r="D1332">
        <v>48783</v>
      </c>
      <c r="E1332" t="str">
        <f t="shared" si="20"/>
        <v>ia.assorted_string like '%48783-10-2024%' or</v>
      </c>
    </row>
    <row r="1333" spans="1:5" x14ac:dyDescent="0.25">
      <c r="A1333" t="s">
        <v>718</v>
      </c>
      <c r="B1333" t="s">
        <v>4019</v>
      </c>
      <c r="D1333">
        <v>48785</v>
      </c>
      <c r="E1333" t="str">
        <f t="shared" si="20"/>
        <v>ia.assorted_string like '%48785-10-2024%' or</v>
      </c>
    </row>
    <row r="1334" spans="1:5" x14ac:dyDescent="0.25">
      <c r="A1334" t="s">
        <v>725</v>
      </c>
      <c r="B1334" t="s">
        <v>4019</v>
      </c>
      <c r="D1334">
        <v>48786</v>
      </c>
      <c r="E1334" t="str">
        <f t="shared" si="20"/>
        <v>ia.assorted_string like '%48786-10-2024%' or</v>
      </c>
    </row>
    <row r="1335" spans="1:5" x14ac:dyDescent="0.25">
      <c r="A1335" t="s">
        <v>731</v>
      </c>
      <c r="B1335" t="s">
        <v>4019</v>
      </c>
      <c r="D1335">
        <v>48787</v>
      </c>
      <c r="E1335" t="str">
        <f t="shared" si="20"/>
        <v>ia.assorted_string like '%48787-10-2024%' or</v>
      </c>
    </row>
    <row r="1336" spans="1:5" x14ac:dyDescent="0.25">
      <c r="A1336" t="s">
        <v>735</v>
      </c>
      <c r="B1336" t="s">
        <v>4019</v>
      </c>
      <c r="D1336">
        <v>48788</v>
      </c>
      <c r="E1336" t="str">
        <f t="shared" si="20"/>
        <v>ia.assorted_string like '%48788-10-2024%' or</v>
      </c>
    </row>
    <row r="1337" spans="1:5" x14ac:dyDescent="0.25">
      <c r="A1337" t="s">
        <v>751</v>
      </c>
      <c r="B1337" t="s">
        <v>4019</v>
      </c>
      <c r="D1337">
        <v>48790</v>
      </c>
      <c r="E1337" t="str">
        <f t="shared" si="20"/>
        <v>ia.assorted_string like '%48790-10-2024%' or</v>
      </c>
    </row>
    <row r="1338" spans="1:5" x14ac:dyDescent="0.25">
      <c r="A1338" t="s">
        <v>816</v>
      </c>
      <c r="B1338" t="s">
        <v>4019</v>
      </c>
      <c r="D1338">
        <v>48791</v>
      </c>
      <c r="E1338" t="str">
        <f t="shared" si="20"/>
        <v>ia.assorted_string like '%48791-10-2024%' or</v>
      </c>
    </row>
    <row r="1339" spans="1:5" x14ac:dyDescent="0.25">
      <c r="A1339" t="s">
        <v>1088</v>
      </c>
      <c r="B1339" t="s">
        <v>4019</v>
      </c>
      <c r="D1339">
        <v>48792</v>
      </c>
      <c r="E1339" t="str">
        <f t="shared" si="20"/>
        <v>ia.assorted_string like '%48792-10-2024%' or</v>
      </c>
    </row>
    <row r="1340" spans="1:5" x14ac:dyDescent="0.25">
      <c r="A1340" t="s">
        <v>24</v>
      </c>
      <c r="B1340" t="s">
        <v>4019</v>
      </c>
      <c r="D1340">
        <v>48793</v>
      </c>
      <c r="E1340" t="str">
        <f t="shared" si="20"/>
        <v>ia.assorted_string like '%48793-10-2024%' or</v>
      </c>
    </row>
    <row r="1341" spans="1:5" x14ac:dyDescent="0.25">
      <c r="A1341" t="s">
        <v>66</v>
      </c>
      <c r="B1341" t="s">
        <v>4019</v>
      </c>
      <c r="D1341">
        <v>48794</v>
      </c>
      <c r="E1341" t="str">
        <f t="shared" si="20"/>
        <v>ia.assorted_string like '%48794-10-2024%' or</v>
      </c>
    </row>
    <row r="1342" spans="1:5" x14ac:dyDescent="0.25">
      <c r="A1342" t="s">
        <v>292</v>
      </c>
      <c r="B1342" t="s">
        <v>4019</v>
      </c>
      <c r="D1342">
        <v>48795</v>
      </c>
      <c r="E1342" t="str">
        <f t="shared" si="20"/>
        <v>ia.assorted_string like '%48795-10-2024%' or</v>
      </c>
    </row>
    <row r="1343" spans="1:5" x14ac:dyDescent="0.25">
      <c r="A1343" t="s">
        <v>1951</v>
      </c>
      <c r="B1343" t="s">
        <v>4019</v>
      </c>
      <c r="D1343">
        <v>48796</v>
      </c>
      <c r="E1343" t="str">
        <f t="shared" si="20"/>
        <v>ia.assorted_string like '%48796-10-2024%' or</v>
      </c>
    </row>
    <row r="1344" spans="1:5" x14ac:dyDescent="0.25">
      <c r="A1344" t="s">
        <v>1881</v>
      </c>
      <c r="B1344" t="s">
        <v>4019</v>
      </c>
      <c r="D1344">
        <v>48797</v>
      </c>
      <c r="E1344" t="str">
        <f t="shared" si="20"/>
        <v>ia.assorted_string like '%48797-10-2024%' or</v>
      </c>
    </row>
    <row r="1345" spans="1:5" x14ac:dyDescent="0.25">
      <c r="A1345" t="s">
        <v>1175</v>
      </c>
      <c r="B1345" t="s">
        <v>4019</v>
      </c>
      <c r="D1345">
        <v>48798</v>
      </c>
      <c r="E1345" t="str">
        <f t="shared" si="20"/>
        <v>ia.assorted_string like '%48798-10-2024%' or</v>
      </c>
    </row>
    <row r="1346" spans="1:5" x14ac:dyDescent="0.25">
      <c r="A1346" t="s">
        <v>1013</v>
      </c>
      <c r="B1346" t="s">
        <v>4019</v>
      </c>
      <c r="D1346">
        <v>48799</v>
      </c>
      <c r="E1346" t="str">
        <f t="shared" ref="E1346:E1409" si="21">"ia.assorted_string like '%"&amp;D1346&amp;B1346&amp;"%' or"</f>
        <v>ia.assorted_string like '%48799-10-2024%' or</v>
      </c>
    </row>
    <row r="1347" spans="1:5" x14ac:dyDescent="0.25">
      <c r="A1347" t="s">
        <v>764</v>
      </c>
      <c r="B1347" t="s">
        <v>4019</v>
      </c>
      <c r="D1347">
        <v>48800</v>
      </c>
      <c r="E1347" t="str">
        <f t="shared" si="21"/>
        <v>ia.assorted_string like '%48800-10-2024%' or</v>
      </c>
    </row>
    <row r="1348" spans="1:5" x14ac:dyDescent="0.25">
      <c r="A1348" t="s">
        <v>1751</v>
      </c>
      <c r="B1348" t="s">
        <v>4019</v>
      </c>
      <c r="D1348">
        <v>48801</v>
      </c>
      <c r="E1348" t="str">
        <f t="shared" si="21"/>
        <v>ia.assorted_string like '%48801-10-2024%' or</v>
      </c>
    </row>
    <row r="1349" spans="1:5" x14ac:dyDescent="0.25">
      <c r="A1349" t="s">
        <v>1874</v>
      </c>
      <c r="B1349" t="s">
        <v>4019</v>
      </c>
      <c r="D1349">
        <v>48802</v>
      </c>
      <c r="E1349" t="str">
        <f t="shared" si="21"/>
        <v>ia.assorted_string like '%48802-10-2024%' or</v>
      </c>
    </row>
    <row r="1350" spans="1:5" x14ac:dyDescent="0.25">
      <c r="A1350" t="s">
        <v>1136</v>
      </c>
      <c r="B1350" t="s">
        <v>4019</v>
      </c>
      <c r="D1350">
        <v>48804</v>
      </c>
      <c r="E1350" t="str">
        <f t="shared" si="21"/>
        <v>ia.assorted_string like '%48804-10-2024%' or</v>
      </c>
    </row>
    <row r="1351" spans="1:5" x14ac:dyDescent="0.25">
      <c r="A1351" t="s">
        <v>905</v>
      </c>
      <c r="B1351" t="s">
        <v>4019</v>
      </c>
      <c r="D1351">
        <v>48805</v>
      </c>
      <c r="E1351" t="str">
        <f t="shared" si="21"/>
        <v>ia.assorted_string like '%48805-10-2024%' or</v>
      </c>
    </row>
    <row r="1352" spans="1:5" x14ac:dyDescent="0.25">
      <c r="A1352" t="s">
        <v>1532</v>
      </c>
      <c r="B1352" t="s">
        <v>4019</v>
      </c>
      <c r="D1352">
        <v>48806</v>
      </c>
      <c r="E1352" t="str">
        <f t="shared" si="21"/>
        <v>ia.assorted_string like '%48806-10-2024%' or</v>
      </c>
    </row>
    <row r="1353" spans="1:5" x14ac:dyDescent="0.25">
      <c r="A1353" t="s">
        <v>1561</v>
      </c>
      <c r="B1353" t="s">
        <v>4019</v>
      </c>
      <c r="D1353">
        <v>48807</v>
      </c>
      <c r="E1353" t="str">
        <f t="shared" si="21"/>
        <v>ia.assorted_string like '%48807-10-2024%' or</v>
      </c>
    </row>
    <row r="1354" spans="1:5" x14ac:dyDescent="0.25">
      <c r="A1354" t="s">
        <v>1787</v>
      </c>
      <c r="B1354" t="s">
        <v>4019</v>
      </c>
      <c r="D1354">
        <v>48808</v>
      </c>
      <c r="E1354" t="str">
        <f t="shared" si="21"/>
        <v>ia.assorted_string like '%48808-10-2024%' or</v>
      </c>
    </row>
    <row r="1355" spans="1:5" x14ac:dyDescent="0.25">
      <c r="A1355" t="s">
        <v>1188</v>
      </c>
      <c r="B1355" t="s">
        <v>4019</v>
      </c>
      <c r="D1355">
        <v>48809</v>
      </c>
      <c r="E1355" t="str">
        <f t="shared" si="21"/>
        <v>ia.assorted_string like '%48809-10-2024%' or</v>
      </c>
    </row>
    <row r="1356" spans="1:5" x14ac:dyDescent="0.25">
      <c r="A1356" t="s">
        <v>1759</v>
      </c>
      <c r="B1356" t="s">
        <v>4019</v>
      </c>
      <c r="D1356">
        <v>48810</v>
      </c>
      <c r="E1356" t="str">
        <f t="shared" si="21"/>
        <v>ia.assorted_string like '%48810-10-2024%' or</v>
      </c>
    </row>
    <row r="1357" spans="1:5" x14ac:dyDescent="0.25">
      <c r="A1357" t="s">
        <v>1812</v>
      </c>
      <c r="B1357" t="s">
        <v>4019</v>
      </c>
      <c r="D1357">
        <v>48811</v>
      </c>
      <c r="E1357" t="str">
        <f t="shared" si="21"/>
        <v>ia.assorted_string like '%48811-10-2024%' or</v>
      </c>
    </row>
    <row r="1358" spans="1:5" x14ac:dyDescent="0.25">
      <c r="A1358" t="s">
        <v>1378</v>
      </c>
      <c r="B1358" t="s">
        <v>4019</v>
      </c>
      <c r="D1358">
        <v>48812</v>
      </c>
      <c r="E1358" t="str">
        <f t="shared" si="21"/>
        <v>ia.assorted_string like '%48812-10-2024%' or</v>
      </c>
    </row>
    <row r="1359" spans="1:5" x14ac:dyDescent="0.25">
      <c r="A1359" t="s">
        <v>1058</v>
      </c>
      <c r="B1359" t="s">
        <v>4019</v>
      </c>
      <c r="D1359">
        <v>48813</v>
      </c>
      <c r="E1359" t="str">
        <f t="shared" si="21"/>
        <v>ia.assorted_string like '%48813-10-2024%' or</v>
      </c>
    </row>
    <row r="1360" spans="1:5" x14ac:dyDescent="0.25">
      <c r="A1360" t="s">
        <v>775</v>
      </c>
      <c r="B1360" t="s">
        <v>4019</v>
      </c>
      <c r="D1360">
        <v>48814</v>
      </c>
      <c r="E1360" t="str">
        <f t="shared" si="21"/>
        <v>ia.assorted_string like '%48814-10-2024%' or</v>
      </c>
    </row>
    <row r="1361" spans="1:5" x14ac:dyDescent="0.25">
      <c r="A1361" t="s">
        <v>1428</v>
      </c>
      <c r="B1361" t="s">
        <v>4019</v>
      </c>
      <c r="D1361">
        <v>48815</v>
      </c>
      <c r="E1361" t="str">
        <f t="shared" si="21"/>
        <v>ia.assorted_string like '%48815-10-2024%' or</v>
      </c>
    </row>
    <row r="1362" spans="1:5" x14ac:dyDescent="0.25">
      <c r="A1362" t="s">
        <v>833</v>
      </c>
      <c r="B1362" t="s">
        <v>4019</v>
      </c>
      <c r="D1362">
        <v>48816</v>
      </c>
      <c r="E1362" t="str">
        <f t="shared" si="21"/>
        <v>ia.assorted_string like '%48816-10-2024%' or</v>
      </c>
    </row>
    <row r="1363" spans="1:5" x14ac:dyDescent="0.25">
      <c r="A1363" t="s">
        <v>1449</v>
      </c>
      <c r="B1363" t="s">
        <v>4019</v>
      </c>
      <c r="D1363">
        <v>48818</v>
      </c>
      <c r="E1363" t="str">
        <f t="shared" si="21"/>
        <v>ia.assorted_string like '%48818-10-2024%' or</v>
      </c>
    </row>
    <row r="1364" spans="1:5" x14ac:dyDescent="0.25">
      <c r="A1364" t="s">
        <v>1838</v>
      </c>
      <c r="B1364" t="s">
        <v>4019</v>
      </c>
      <c r="D1364">
        <v>48819</v>
      </c>
      <c r="E1364" t="str">
        <f t="shared" si="21"/>
        <v>ia.assorted_string like '%48819-10-2024%' or</v>
      </c>
    </row>
    <row r="1365" spans="1:5" x14ac:dyDescent="0.25">
      <c r="A1365" t="s">
        <v>885</v>
      </c>
      <c r="B1365" t="s">
        <v>4019</v>
      </c>
      <c r="D1365">
        <v>48820</v>
      </c>
      <c r="E1365" t="str">
        <f t="shared" si="21"/>
        <v>ia.assorted_string like '%48820-10-2024%' or</v>
      </c>
    </row>
    <row r="1366" spans="1:5" x14ac:dyDescent="0.25">
      <c r="A1366" t="s">
        <v>1830</v>
      </c>
      <c r="B1366" t="s">
        <v>4019</v>
      </c>
      <c r="D1366">
        <v>48821</v>
      </c>
      <c r="E1366" t="str">
        <f t="shared" si="21"/>
        <v>ia.assorted_string like '%48821-10-2024%' or</v>
      </c>
    </row>
    <row r="1367" spans="1:5" x14ac:dyDescent="0.25">
      <c r="A1367" t="s">
        <v>1574</v>
      </c>
      <c r="B1367" t="s">
        <v>4019</v>
      </c>
      <c r="D1367">
        <v>48822</v>
      </c>
      <c r="E1367" t="str">
        <f t="shared" si="21"/>
        <v>ia.assorted_string like '%48822-10-2024%' or</v>
      </c>
    </row>
    <row r="1368" spans="1:5" x14ac:dyDescent="0.25">
      <c r="A1368" t="s">
        <v>1491</v>
      </c>
      <c r="B1368" t="s">
        <v>4019</v>
      </c>
      <c r="D1368">
        <v>48824</v>
      </c>
      <c r="E1368" t="str">
        <f t="shared" si="21"/>
        <v>ia.assorted_string like '%48824-10-2024%' or</v>
      </c>
    </row>
    <row r="1369" spans="1:5" x14ac:dyDescent="0.25">
      <c r="A1369" t="s">
        <v>1123</v>
      </c>
      <c r="B1369" t="s">
        <v>4019</v>
      </c>
      <c r="D1369">
        <v>48825</v>
      </c>
      <c r="E1369" t="str">
        <f t="shared" si="21"/>
        <v>ia.assorted_string like '%48825-10-2024%' or</v>
      </c>
    </row>
    <row r="1370" spans="1:5" x14ac:dyDescent="0.25">
      <c r="A1370" t="s">
        <v>1919</v>
      </c>
      <c r="B1370" t="s">
        <v>4019</v>
      </c>
      <c r="D1370">
        <v>48826</v>
      </c>
      <c r="E1370" t="str">
        <f t="shared" si="21"/>
        <v>ia.assorted_string like '%48826-10-2024%' or</v>
      </c>
    </row>
    <row r="1371" spans="1:5" x14ac:dyDescent="0.25">
      <c r="A1371" t="s">
        <v>1581</v>
      </c>
      <c r="B1371" t="s">
        <v>4019</v>
      </c>
      <c r="D1371">
        <v>48827</v>
      </c>
      <c r="E1371" t="str">
        <f t="shared" si="21"/>
        <v>ia.assorted_string like '%48827-10-2024%' or</v>
      </c>
    </row>
    <row r="1372" spans="1:5" x14ac:dyDescent="0.25">
      <c r="A1372" t="s">
        <v>1100</v>
      </c>
      <c r="B1372" t="s">
        <v>4019</v>
      </c>
      <c r="D1372">
        <v>48828</v>
      </c>
      <c r="E1372" t="str">
        <f t="shared" si="21"/>
        <v>ia.assorted_string like '%48828-10-2024%' or</v>
      </c>
    </row>
    <row r="1373" spans="1:5" x14ac:dyDescent="0.25">
      <c r="A1373" t="s">
        <v>213</v>
      </c>
      <c r="B1373" t="s">
        <v>4019</v>
      </c>
      <c r="D1373">
        <v>48830</v>
      </c>
      <c r="E1373" t="str">
        <f t="shared" si="21"/>
        <v>ia.assorted_string like '%48830-10-2024%' or</v>
      </c>
    </row>
    <row r="1374" spans="1:5" x14ac:dyDescent="0.25">
      <c r="A1374" t="s">
        <v>1979</v>
      </c>
      <c r="B1374" t="s">
        <v>4019</v>
      </c>
      <c r="D1374">
        <v>48831</v>
      </c>
      <c r="E1374" t="str">
        <f t="shared" si="21"/>
        <v>ia.assorted_string like '%48831-10-2024%' or</v>
      </c>
    </row>
    <row r="1375" spans="1:5" x14ac:dyDescent="0.25">
      <c r="A1375" t="s">
        <v>1162</v>
      </c>
      <c r="B1375" t="s">
        <v>4019</v>
      </c>
      <c r="D1375">
        <v>48832</v>
      </c>
      <c r="E1375" t="str">
        <f t="shared" si="21"/>
        <v>ia.assorted_string like '%48832-10-2024%' or</v>
      </c>
    </row>
    <row r="1376" spans="1:5" x14ac:dyDescent="0.25">
      <c r="A1376" t="s">
        <v>522</v>
      </c>
      <c r="B1376" t="s">
        <v>4019</v>
      </c>
      <c r="D1376">
        <v>48833</v>
      </c>
      <c r="E1376" t="str">
        <f t="shared" si="21"/>
        <v>ia.assorted_string like '%48833-10-2024%' or</v>
      </c>
    </row>
    <row r="1377" spans="1:5" x14ac:dyDescent="0.25">
      <c r="A1377" t="s">
        <v>1365</v>
      </c>
      <c r="B1377" t="s">
        <v>4019</v>
      </c>
      <c r="D1377">
        <v>48834</v>
      </c>
      <c r="E1377" t="str">
        <f t="shared" si="21"/>
        <v>ia.assorted_string like '%48834-10-2024%' or</v>
      </c>
    </row>
    <row r="1378" spans="1:5" x14ac:dyDescent="0.25">
      <c r="A1378" t="s">
        <v>275</v>
      </c>
      <c r="B1378" t="s">
        <v>4019</v>
      </c>
      <c r="D1378">
        <v>48835</v>
      </c>
      <c r="E1378" t="str">
        <f t="shared" si="21"/>
        <v>ia.assorted_string like '%48835-10-2024%' or</v>
      </c>
    </row>
    <row r="1379" spans="1:5" x14ac:dyDescent="0.25">
      <c r="A1379" t="s">
        <v>272</v>
      </c>
      <c r="B1379" t="s">
        <v>4019</v>
      </c>
      <c r="D1379">
        <v>48836</v>
      </c>
      <c r="E1379" t="str">
        <f t="shared" si="21"/>
        <v>ia.assorted_string like '%48836-10-2024%' or</v>
      </c>
    </row>
    <row r="1380" spans="1:5" x14ac:dyDescent="0.25">
      <c r="A1380" t="s">
        <v>801</v>
      </c>
      <c r="B1380" t="s">
        <v>4019</v>
      </c>
      <c r="D1380">
        <v>48837</v>
      </c>
      <c r="E1380" t="str">
        <f t="shared" si="21"/>
        <v>ia.assorted_string like '%48837-10-2024%' or</v>
      </c>
    </row>
    <row r="1381" spans="1:5" x14ac:dyDescent="0.25">
      <c r="A1381" t="s">
        <v>870</v>
      </c>
      <c r="B1381" t="s">
        <v>4019</v>
      </c>
      <c r="D1381">
        <v>48838</v>
      </c>
      <c r="E1381" t="str">
        <f t="shared" si="21"/>
        <v>ia.assorted_string like '%48838-10-2024%' or</v>
      </c>
    </row>
    <row r="1382" spans="1:5" x14ac:dyDescent="0.25">
      <c r="A1382" t="s">
        <v>1309</v>
      </c>
      <c r="B1382" t="s">
        <v>4020</v>
      </c>
      <c r="D1382">
        <v>48857</v>
      </c>
      <c r="E1382" t="str">
        <f t="shared" si="21"/>
        <v>ia.assorted_string like '%48857-11-2024%' or</v>
      </c>
    </row>
    <row r="1383" spans="1:5" x14ac:dyDescent="0.25">
      <c r="A1383" t="s">
        <v>1438</v>
      </c>
      <c r="B1383" t="s">
        <v>4020</v>
      </c>
      <c r="D1383">
        <v>48863</v>
      </c>
      <c r="E1383" t="str">
        <f t="shared" si="21"/>
        <v>ia.assorted_string like '%48863-11-2024%' or</v>
      </c>
    </row>
    <row r="1384" spans="1:5" x14ac:dyDescent="0.25">
      <c r="A1384" t="s">
        <v>1691</v>
      </c>
      <c r="B1384" t="s">
        <v>4020</v>
      </c>
      <c r="D1384">
        <v>48872</v>
      </c>
      <c r="E1384" t="str">
        <f t="shared" si="21"/>
        <v>ia.assorted_string like '%48872-11-2024%' or</v>
      </c>
    </row>
    <row r="1385" spans="1:5" x14ac:dyDescent="0.25">
      <c r="A1385" t="s">
        <v>1833</v>
      </c>
      <c r="B1385" t="s">
        <v>4020</v>
      </c>
      <c r="D1385">
        <v>48876</v>
      </c>
      <c r="E1385" t="str">
        <f t="shared" si="21"/>
        <v>ia.assorted_string like '%48876-11-2024%' or</v>
      </c>
    </row>
    <row r="1386" spans="1:5" x14ac:dyDescent="0.25">
      <c r="A1386" t="s">
        <v>1071</v>
      </c>
      <c r="B1386" t="s">
        <v>4020</v>
      </c>
      <c r="D1386">
        <v>48901</v>
      </c>
      <c r="E1386" t="str">
        <f t="shared" si="21"/>
        <v>ia.assorted_string like '%48901-11-2024%' or</v>
      </c>
    </row>
    <row r="1387" spans="1:5" x14ac:dyDescent="0.25">
      <c r="A1387" t="s">
        <v>1297</v>
      </c>
      <c r="B1387" t="s">
        <v>4020</v>
      </c>
      <c r="D1387">
        <v>48920</v>
      </c>
      <c r="E1387" t="str">
        <f t="shared" si="21"/>
        <v>ia.assorted_string like '%48920-11-2024%' or</v>
      </c>
    </row>
    <row r="1388" spans="1:5" x14ac:dyDescent="0.25">
      <c r="A1388" t="s">
        <v>1313</v>
      </c>
      <c r="B1388" t="s">
        <v>4020</v>
      </c>
      <c r="D1388">
        <v>48924</v>
      </c>
      <c r="E1388" t="str">
        <f t="shared" si="21"/>
        <v>ia.assorted_string like '%48924-11-2024%' or</v>
      </c>
    </row>
    <row r="1389" spans="1:5" x14ac:dyDescent="0.25">
      <c r="A1389" t="s">
        <v>1315</v>
      </c>
      <c r="B1389" t="s">
        <v>4020</v>
      </c>
      <c r="D1389">
        <v>48927</v>
      </c>
      <c r="E1389" t="str">
        <f t="shared" si="21"/>
        <v>ia.assorted_string like '%48927-11-2024%' or</v>
      </c>
    </row>
    <row r="1390" spans="1:5" x14ac:dyDescent="0.25">
      <c r="A1390" t="s">
        <v>1463</v>
      </c>
      <c r="B1390" t="s">
        <v>4020</v>
      </c>
      <c r="D1390">
        <v>48932</v>
      </c>
      <c r="E1390" t="str">
        <f t="shared" si="21"/>
        <v>ia.assorted_string like '%48932-11-2024%' or</v>
      </c>
    </row>
    <row r="1391" spans="1:5" x14ac:dyDescent="0.25">
      <c r="A1391" t="s">
        <v>1911</v>
      </c>
      <c r="B1391" t="s">
        <v>4020</v>
      </c>
      <c r="D1391">
        <v>48941</v>
      </c>
      <c r="E1391" t="str">
        <f t="shared" si="21"/>
        <v>ia.assorted_string like '%48941-11-2024%' or</v>
      </c>
    </row>
    <row r="1392" spans="1:5" x14ac:dyDescent="0.25">
      <c r="A1392" t="s">
        <v>1961</v>
      </c>
      <c r="B1392" t="s">
        <v>4020</v>
      </c>
      <c r="D1392">
        <v>48950</v>
      </c>
      <c r="E1392" t="str">
        <f t="shared" si="21"/>
        <v>ia.assorted_string like '%48950-11-2024%' or</v>
      </c>
    </row>
    <row r="1393" spans="1:5" x14ac:dyDescent="0.25">
      <c r="A1393" t="s">
        <v>2017</v>
      </c>
      <c r="B1393" t="s">
        <v>4020</v>
      </c>
      <c r="D1393">
        <v>48953</v>
      </c>
      <c r="E1393" t="str">
        <f t="shared" si="21"/>
        <v>ia.assorted_string like '%48953-11-2024%' or</v>
      </c>
    </row>
    <row r="1394" spans="1:5" x14ac:dyDescent="0.25">
      <c r="A1394" t="s">
        <v>1798</v>
      </c>
      <c r="B1394" t="s">
        <v>4020</v>
      </c>
      <c r="D1394">
        <v>48963</v>
      </c>
      <c r="E1394" t="str">
        <f t="shared" si="21"/>
        <v>ia.assorted_string like '%48963-11-2024%' or</v>
      </c>
    </row>
    <row r="1395" spans="1:5" x14ac:dyDescent="0.25">
      <c r="A1395" t="s">
        <v>1082</v>
      </c>
      <c r="B1395" t="s">
        <v>4020</v>
      </c>
      <c r="D1395">
        <v>48966</v>
      </c>
      <c r="E1395" t="str">
        <f t="shared" si="21"/>
        <v>ia.assorted_string like '%48966-11-2024%' or</v>
      </c>
    </row>
    <row r="1396" spans="1:5" x14ac:dyDescent="0.25">
      <c r="A1396" t="s">
        <v>1473</v>
      </c>
      <c r="B1396" t="s">
        <v>4020</v>
      </c>
      <c r="D1396">
        <v>48970</v>
      </c>
      <c r="E1396" t="str">
        <f t="shared" si="21"/>
        <v>ia.assorted_string like '%48970-11-2024%' or</v>
      </c>
    </row>
    <row r="1397" spans="1:5" x14ac:dyDescent="0.25">
      <c r="A1397" t="s">
        <v>1723</v>
      </c>
      <c r="B1397" t="s">
        <v>4020</v>
      </c>
      <c r="D1397">
        <v>48971</v>
      </c>
      <c r="E1397" t="str">
        <f t="shared" si="21"/>
        <v>ia.assorted_string like '%48971-11-2024%' or</v>
      </c>
    </row>
    <row r="1398" spans="1:5" x14ac:dyDescent="0.25">
      <c r="A1398" t="s">
        <v>1328</v>
      </c>
      <c r="B1398" t="s">
        <v>4020</v>
      </c>
      <c r="D1398">
        <v>48992</v>
      </c>
      <c r="E1398" t="str">
        <f t="shared" si="21"/>
        <v>ia.assorted_string like '%48992-11-2024%' or</v>
      </c>
    </row>
    <row r="1399" spans="1:5" x14ac:dyDescent="0.25">
      <c r="A1399" t="s">
        <v>1339</v>
      </c>
      <c r="B1399" t="s">
        <v>4020</v>
      </c>
      <c r="D1399">
        <v>49054</v>
      </c>
      <c r="E1399" t="str">
        <f t="shared" si="21"/>
        <v>ia.assorted_string like '%49054-11-2024%' or</v>
      </c>
    </row>
    <row r="1400" spans="1:5" x14ac:dyDescent="0.25">
      <c r="A1400" t="s">
        <v>1840</v>
      </c>
      <c r="B1400" t="s">
        <v>4020</v>
      </c>
      <c r="D1400">
        <v>49058</v>
      </c>
      <c r="E1400" t="str">
        <f t="shared" si="21"/>
        <v>ia.assorted_string like '%49058-11-2024%' or</v>
      </c>
    </row>
    <row r="1401" spans="1:5" x14ac:dyDescent="0.25">
      <c r="A1401" t="s">
        <v>1927</v>
      </c>
      <c r="B1401" t="s">
        <v>4020</v>
      </c>
      <c r="D1401">
        <v>49072</v>
      </c>
      <c r="E1401" t="str">
        <f t="shared" si="21"/>
        <v>ia.assorted_string like '%49072-11-2024%' or</v>
      </c>
    </row>
    <row r="1402" spans="1:5" x14ac:dyDescent="0.25">
      <c r="A1402" t="s">
        <v>1349</v>
      </c>
      <c r="B1402" t="s">
        <v>4020</v>
      </c>
      <c r="D1402">
        <v>49108</v>
      </c>
      <c r="E1402" t="str">
        <f t="shared" si="21"/>
        <v>ia.assorted_string like '%49108-11-2024%' or</v>
      </c>
    </row>
    <row r="1403" spans="1:5" x14ac:dyDescent="0.25">
      <c r="A1403" t="s">
        <v>1566</v>
      </c>
      <c r="B1403" t="s">
        <v>4020</v>
      </c>
      <c r="D1403">
        <v>49112</v>
      </c>
      <c r="E1403" t="str">
        <f t="shared" si="21"/>
        <v>ia.assorted_string like '%49112-11-2024%' or</v>
      </c>
    </row>
    <row r="1404" spans="1:5" x14ac:dyDescent="0.25">
      <c r="A1404" t="s">
        <v>1591</v>
      </c>
      <c r="B1404" t="s">
        <v>4020</v>
      </c>
      <c r="D1404">
        <v>49114</v>
      </c>
      <c r="E1404" t="str">
        <f t="shared" si="21"/>
        <v>ia.assorted_string like '%49114-11-2024%' or</v>
      </c>
    </row>
    <row r="1405" spans="1:5" x14ac:dyDescent="0.25">
      <c r="A1405" t="s">
        <v>1740</v>
      </c>
      <c r="B1405" t="s">
        <v>4020</v>
      </c>
      <c r="D1405">
        <v>49118</v>
      </c>
      <c r="E1405" t="str">
        <f t="shared" si="21"/>
        <v>ia.assorted_string like '%49118-11-2024%' or</v>
      </c>
    </row>
    <row r="1406" spans="1:5" x14ac:dyDescent="0.25">
      <c r="A1406" t="s">
        <v>1767</v>
      </c>
      <c r="B1406" t="s">
        <v>4020</v>
      </c>
      <c r="D1406">
        <v>49120</v>
      </c>
      <c r="E1406" t="str">
        <f t="shared" si="21"/>
        <v>ia.assorted_string like '%49120-11-2024%' or</v>
      </c>
    </row>
    <row r="1407" spans="1:5" x14ac:dyDescent="0.25">
      <c r="A1407" t="s">
        <v>1777</v>
      </c>
      <c r="B1407" t="s">
        <v>4020</v>
      </c>
      <c r="D1407">
        <v>49123</v>
      </c>
      <c r="E1407" t="str">
        <f t="shared" si="21"/>
        <v>ia.assorted_string like '%49123-11-2024%' or</v>
      </c>
    </row>
    <row r="1408" spans="1:5" x14ac:dyDescent="0.25">
      <c r="A1408" t="s">
        <v>1848</v>
      </c>
      <c r="B1408" t="s">
        <v>4020</v>
      </c>
      <c r="D1408">
        <v>49129</v>
      </c>
      <c r="E1408" t="str">
        <f t="shared" si="21"/>
        <v>ia.assorted_string like '%49129-11-2024%' or</v>
      </c>
    </row>
    <row r="1409" spans="1:5" x14ac:dyDescent="0.25">
      <c r="A1409" t="s">
        <v>1360</v>
      </c>
      <c r="B1409" t="s">
        <v>4020</v>
      </c>
      <c r="D1409">
        <v>49144</v>
      </c>
      <c r="E1409" t="str">
        <f t="shared" si="21"/>
        <v>ia.assorted_string like '%49144-11-2024%' or</v>
      </c>
    </row>
    <row r="1410" spans="1:5" x14ac:dyDescent="0.25">
      <c r="A1410" t="s">
        <v>1388</v>
      </c>
      <c r="B1410" t="s">
        <v>4020</v>
      </c>
      <c r="D1410">
        <v>49145</v>
      </c>
      <c r="E1410" t="str">
        <f t="shared" ref="E1410:E1473" si="22">"ia.assorted_string like '%"&amp;D1410&amp;B1410&amp;"%' or"</f>
        <v>ia.assorted_string like '%49145-11-2024%' or</v>
      </c>
    </row>
    <row r="1411" spans="1:5" x14ac:dyDescent="0.25">
      <c r="A1411" t="s">
        <v>960</v>
      </c>
      <c r="B1411" t="s">
        <v>4020</v>
      </c>
      <c r="D1411">
        <v>49189</v>
      </c>
      <c r="E1411" t="str">
        <f t="shared" si="22"/>
        <v>ia.assorted_string like '%49189-11-2024%' or</v>
      </c>
    </row>
    <row r="1412" spans="1:5" x14ac:dyDescent="0.25">
      <c r="A1412" t="s">
        <v>1150</v>
      </c>
      <c r="B1412" t="s">
        <v>4020</v>
      </c>
      <c r="D1412">
        <v>49222</v>
      </c>
      <c r="E1412" t="str">
        <f t="shared" si="22"/>
        <v>ia.assorted_string like '%49222-11-2024%' or</v>
      </c>
    </row>
    <row r="1413" spans="1:5" x14ac:dyDescent="0.25">
      <c r="A1413" t="s">
        <v>1585</v>
      </c>
      <c r="B1413" t="s">
        <v>4020</v>
      </c>
      <c r="D1413">
        <v>49229</v>
      </c>
      <c r="E1413" t="str">
        <f t="shared" si="22"/>
        <v>ia.assorted_string like '%49229-11-2024%' or</v>
      </c>
    </row>
    <row r="1414" spans="1:5" x14ac:dyDescent="0.25">
      <c r="A1414" t="s">
        <v>1945</v>
      </c>
      <c r="B1414" t="s">
        <v>4020</v>
      </c>
      <c r="D1414">
        <v>49233</v>
      </c>
      <c r="E1414" t="str">
        <f t="shared" si="22"/>
        <v>ia.assorted_string like '%49233-11-2024%' or</v>
      </c>
    </row>
    <row r="1415" spans="1:5" x14ac:dyDescent="0.25">
      <c r="A1415" t="s">
        <v>1399</v>
      </c>
      <c r="B1415" t="s">
        <v>4020</v>
      </c>
      <c r="D1415">
        <v>49249</v>
      </c>
      <c r="E1415" t="str">
        <f t="shared" si="22"/>
        <v>ia.assorted_string like '%49249-11-2024%' or</v>
      </c>
    </row>
    <row r="1416" spans="1:5" x14ac:dyDescent="0.25">
      <c r="A1416" t="s">
        <v>1514</v>
      </c>
      <c r="B1416" t="s">
        <v>4020</v>
      </c>
      <c r="D1416">
        <v>49253</v>
      </c>
      <c r="E1416" t="str">
        <f t="shared" si="22"/>
        <v>ia.assorted_string like '%49253-11-2024%' or</v>
      </c>
    </row>
    <row r="1417" spans="1:5" x14ac:dyDescent="0.25">
      <c r="A1417" t="s">
        <v>1600</v>
      </c>
      <c r="B1417" t="s">
        <v>4020</v>
      </c>
      <c r="D1417">
        <v>49254</v>
      </c>
      <c r="E1417" t="str">
        <f t="shared" si="22"/>
        <v>ia.assorted_string like '%49254-11-2024%' or</v>
      </c>
    </row>
    <row r="1418" spans="1:5" x14ac:dyDescent="0.25">
      <c r="A1418" t="s">
        <v>1499</v>
      </c>
      <c r="B1418" t="s">
        <v>4020</v>
      </c>
      <c r="D1418">
        <v>49286</v>
      </c>
      <c r="E1418" t="str">
        <f t="shared" si="22"/>
        <v>ia.assorted_string like '%49286-11-2024%' or</v>
      </c>
    </row>
    <row r="1419" spans="1:5" x14ac:dyDescent="0.25">
      <c r="A1419" t="s">
        <v>1509</v>
      </c>
      <c r="B1419" t="s">
        <v>4020</v>
      </c>
      <c r="D1419">
        <v>49287</v>
      </c>
      <c r="E1419" t="str">
        <f t="shared" si="22"/>
        <v>ia.assorted_string like '%49287-11-2024%' or</v>
      </c>
    </row>
    <row r="1420" spans="1:5" x14ac:dyDescent="0.25">
      <c r="A1420" t="s">
        <v>1792</v>
      </c>
      <c r="B1420" t="s">
        <v>4020</v>
      </c>
      <c r="D1420">
        <v>49290</v>
      </c>
      <c r="E1420" t="str">
        <f t="shared" si="22"/>
        <v>ia.assorted_string like '%49290-11-2024%' or</v>
      </c>
    </row>
    <row r="1421" spans="1:5" x14ac:dyDescent="0.25">
      <c r="A1421" t="s">
        <v>1111</v>
      </c>
      <c r="B1421" t="s">
        <v>4020</v>
      </c>
      <c r="D1421">
        <v>49332</v>
      </c>
      <c r="E1421" t="str">
        <f t="shared" si="22"/>
        <v>ia.assorted_string like '%49332-11-2024%' or</v>
      </c>
    </row>
    <row r="1422" spans="1:5" x14ac:dyDescent="0.25">
      <c r="A1422" t="s">
        <v>1412</v>
      </c>
      <c r="B1422" t="s">
        <v>4020</v>
      </c>
      <c r="D1422">
        <v>49335</v>
      </c>
      <c r="E1422" t="str">
        <f t="shared" si="22"/>
        <v>ia.assorted_string like '%49335-11-2024%' or</v>
      </c>
    </row>
    <row r="1423" spans="1:5" x14ac:dyDescent="0.25">
      <c r="A1423" t="s">
        <v>1614</v>
      </c>
      <c r="B1423" t="s">
        <v>4020</v>
      </c>
      <c r="D1423">
        <v>49339</v>
      </c>
      <c r="E1423" t="str">
        <f t="shared" si="22"/>
        <v>ia.assorted_string like '%49339-11-2024%' or</v>
      </c>
    </row>
    <row r="1424" spans="1:5" x14ac:dyDescent="0.25">
      <c r="A1424" t="s">
        <v>4</v>
      </c>
      <c r="B1424" t="s">
        <v>4020</v>
      </c>
      <c r="D1424">
        <v>49352</v>
      </c>
      <c r="E1424" t="str">
        <f t="shared" si="22"/>
        <v>ia.assorted_string like '%49352-11-2024%' or</v>
      </c>
    </row>
    <row r="1425" spans="1:5" x14ac:dyDescent="0.25">
      <c r="A1425" t="s">
        <v>1116</v>
      </c>
      <c r="B1425" t="s">
        <v>4020</v>
      </c>
      <c r="D1425">
        <v>49509</v>
      </c>
      <c r="E1425" t="str">
        <f t="shared" si="22"/>
        <v>ia.assorted_string like '%49509-11-2024%' or</v>
      </c>
    </row>
    <row r="1426" spans="1:5" x14ac:dyDescent="0.25">
      <c r="A1426" t="s">
        <v>1542</v>
      </c>
      <c r="B1426" t="s">
        <v>4020</v>
      </c>
      <c r="D1426">
        <v>49512</v>
      </c>
      <c r="E1426" t="str">
        <f t="shared" si="22"/>
        <v>ia.assorted_string like '%49512-11-2024%' or</v>
      </c>
    </row>
    <row r="1427" spans="1:5" x14ac:dyDescent="0.25">
      <c r="A1427" t="s">
        <v>1969</v>
      </c>
      <c r="B1427" t="s">
        <v>4020</v>
      </c>
      <c r="D1427">
        <v>49521</v>
      </c>
      <c r="E1427" t="str">
        <f t="shared" si="22"/>
        <v>ia.assorted_string like '%49521-11-2024%' or</v>
      </c>
    </row>
    <row r="1428" spans="1:5" x14ac:dyDescent="0.25">
      <c r="A1428" t="s">
        <v>1647</v>
      </c>
      <c r="B1428" t="s">
        <v>4020</v>
      </c>
      <c r="D1428">
        <v>49551</v>
      </c>
      <c r="E1428" t="str">
        <f t="shared" si="22"/>
        <v>ia.assorted_string like '%49551-11-2024%' or</v>
      </c>
    </row>
    <row r="1429" spans="1:5" x14ac:dyDescent="0.25">
      <c r="A1429" t="s">
        <v>1938</v>
      </c>
      <c r="B1429" t="s">
        <v>4020</v>
      </c>
      <c r="D1429">
        <v>49555</v>
      </c>
      <c r="E1429" t="str">
        <f t="shared" si="22"/>
        <v>ia.assorted_string like '%49555-11-2024%' or</v>
      </c>
    </row>
    <row r="1430" spans="1:5" x14ac:dyDescent="0.25">
      <c r="A1430" t="s">
        <v>1625</v>
      </c>
      <c r="B1430" t="s">
        <v>4021</v>
      </c>
      <c r="D1430">
        <v>49569</v>
      </c>
      <c r="E1430" t="str">
        <f t="shared" si="22"/>
        <v>ia.assorted_string like '%49569-12-2024%' or</v>
      </c>
    </row>
    <row r="1431" spans="1:5" x14ac:dyDescent="0.25">
      <c r="A1431" t="s">
        <v>1999</v>
      </c>
      <c r="B1431" t="s">
        <v>4021</v>
      </c>
      <c r="D1431">
        <v>49577</v>
      </c>
      <c r="E1431" t="str">
        <f t="shared" si="22"/>
        <v>ia.assorted_string like '%49577-12-2024%' or</v>
      </c>
    </row>
    <row r="1432" spans="1:5" x14ac:dyDescent="0.25">
      <c r="A1432" t="s">
        <v>1212</v>
      </c>
      <c r="B1432" t="s">
        <v>4021</v>
      </c>
      <c r="D1432">
        <v>49601</v>
      </c>
      <c r="E1432" t="str">
        <f t="shared" si="22"/>
        <v>ia.assorted_string like '%49601-12-2024%' or</v>
      </c>
    </row>
    <row r="1433" spans="1:5" x14ac:dyDescent="0.25">
      <c r="A1433" t="s">
        <v>1557</v>
      </c>
      <c r="B1433" t="s">
        <v>4021</v>
      </c>
      <c r="D1433">
        <v>49607</v>
      </c>
      <c r="E1433" t="str">
        <f t="shared" si="22"/>
        <v>ia.assorted_string like '%49607-12-2024%' or</v>
      </c>
    </row>
    <row r="1434" spans="1:5" x14ac:dyDescent="0.25">
      <c r="A1434" t="s">
        <v>1670</v>
      </c>
      <c r="B1434" t="s">
        <v>4021</v>
      </c>
      <c r="D1434">
        <v>49612</v>
      </c>
      <c r="E1434" t="str">
        <f t="shared" si="22"/>
        <v>ia.assorted_string like '%49612-12-2024%' or</v>
      </c>
    </row>
    <row r="1435" spans="1:5" x14ac:dyDescent="0.25">
      <c r="A1435" t="s">
        <v>1680</v>
      </c>
      <c r="B1435" t="s">
        <v>4021</v>
      </c>
      <c r="D1435">
        <v>49614</v>
      </c>
      <c r="E1435" t="str">
        <f t="shared" si="22"/>
        <v>ia.assorted_string like '%49614-12-2024%' or</v>
      </c>
    </row>
    <row r="1436" spans="1:5" x14ac:dyDescent="0.25">
      <c r="A1436" t="s">
        <v>1862</v>
      </c>
      <c r="B1436" t="s">
        <v>4021</v>
      </c>
      <c r="D1436">
        <v>49619</v>
      </c>
      <c r="E1436" t="str">
        <f t="shared" si="22"/>
        <v>ia.assorted_string like '%49619-12-2024%' or</v>
      </c>
    </row>
    <row r="1437" spans="1:5" x14ac:dyDescent="0.25">
      <c r="A1437" t="s">
        <v>1870</v>
      </c>
      <c r="B1437" t="s">
        <v>4021</v>
      </c>
      <c r="D1437">
        <v>49621</v>
      </c>
      <c r="E1437" t="str">
        <f t="shared" si="22"/>
        <v>ia.assorted_string like '%49621-12-2024%' or</v>
      </c>
    </row>
    <row r="1438" spans="1:5" x14ac:dyDescent="0.25">
      <c r="A1438" t="s">
        <v>1990</v>
      </c>
      <c r="B1438" t="s">
        <v>4021</v>
      </c>
      <c r="D1438">
        <v>49630</v>
      </c>
      <c r="E1438" t="str">
        <f t="shared" si="22"/>
        <v>ia.assorted_string like '%49630-12-2024%' or</v>
      </c>
    </row>
    <row r="1439" spans="1:5" x14ac:dyDescent="0.25">
      <c r="A1439" t="s">
        <v>1263</v>
      </c>
      <c r="B1439" t="s">
        <v>4021</v>
      </c>
      <c r="D1439">
        <v>49703</v>
      </c>
      <c r="E1439" t="str">
        <f t="shared" si="22"/>
        <v>ia.assorted_string like '%49703-12-2024%' or</v>
      </c>
    </row>
    <row r="1440" spans="1:5" x14ac:dyDescent="0.25">
      <c r="A1440" t="s">
        <v>1421</v>
      </c>
      <c r="B1440" t="s">
        <v>4021</v>
      </c>
      <c r="D1440">
        <v>49710</v>
      </c>
      <c r="E1440" t="str">
        <f t="shared" si="22"/>
        <v>ia.assorted_string like '%49710-12-2024%' or</v>
      </c>
    </row>
    <row r="1441" spans="1:5" x14ac:dyDescent="0.25">
      <c r="A1441" t="s">
        <v>1820</v>
      </c>
      <c r="B1441" t="s">
        <v>4021</v>
      </c>
      <c r="D1441">
        <v>49720</v>
      </c>
      <c r="E1441" t="str">
        <f t="shared" si="22"/>
        <v>ia.assorted_string like '%49720-12-2024%' or</v>
      </c>
    </row>
    <row r="1442" spans="1:5" x14ac:dyDescent="0.25">
      <c r="A1442" t="s">
        <v>1885</v>
      </c>
      <c r="B1442" t="s">
        <v>4021</v>
      </c>
      <c r="D1442">
        <v>49723</v>
      </c>
      <c r="E1442" t="str">
        <f t="shared" si="22"/>
        <v>ia.assorted_string like '%49723-12-2024%' or</v>
      </c>
    </row>
    <row r="1443" spans="1:5" x14ac:dyDescent="0.25">
      <c r="A1443" t="s">
        <v>1896</v>
      </c>
      <c r="B1443" t="s">
        <v>4021</v>
      </c>
      <c r="D1443">
        <v>49725</v>
      </c>
      <c r="E1443" t="str">
        <f t="shared" si="22"/>
        <v>ia.assorted_string like '%49725-12-2024%' or</v>
      </c>
    </row>
    <row r="1444" spans="1:5" x14ac:dyDescent="0.25">
      <c r="A1444" t="s">
        <v>2006</v>
      </c>
      <c r="B1444" t="s">
        <v>4021</v>
      </c>
      <c r="D1444">
        <v>49734</v>
      </c>
      <c r="E1444" t="str">
        <f t="shared" si="22"/>
        <v>ia.assorted_string like '%49734-12-2024%' or</v>
      </c>
    </row>
    <row r="1445" spans="1:5" x14ac:dyDescent="0.25">
      <c r="A1445" t="s">
        <v>1244</v>
      </c>
      <c r="B1445" t="s">
        <v>4021</v>
      </c>
      <c r="D1445">
        <v>49776</v>
      </c>
      <c r="E1445" t="str">
        <f t="shared" si="22"/>
        <v>ia.assorted_string like '%49776-12-2024%' or</v>
      </c>
    </row>
    <row r="1446" spans="1:5" x14ac:dyDescent="0.25">
      <c r="A1446" t="s">
        <v>1697</v>
      </c>
      <c r="B1446" t="s">
        <v>4021</v>
      </c>
      <c r="D1446">
        <v>49782</v>
      </c>
      <c r="E1446" t="str">
        <f t="shared" si="22"/>
        <v>ia.assorted_string like '%49782-12-2024%' or</v>
      </c>
    </row>
    <row r="1447" spans="1:5" x14ac:dyDescent="0.25">
      <c r="A1447" t="s">
        <v>1904</v>
      </c>
      <c r="B1447" t="s">
        <v>4021</v>
      </c>
      <c r="D1447">
        <v>49788</v>
      </c>
      <c r="E1447" t="str">
        <f t="shared" si="22"/>
        <v>ia.assorted_string like '%49788-12-2024%' or</v>
      </c>
    </row>
    <row r="1448" spans="1:5" x14ac:dyDescent="0.25">
      <c r="A1448" t="s">
        <v>1230</v>
      </c>
      <c r="B1448" t="s">
        <v>4021</v>
      </c>
      <c r="D1448">
        <v>49815</v>
      </c>
      <c r="E1448" t="str">
        <f t="shared" si="22"/>
        <v>ia.assorted_string like '%49815-12-2024%' or</v>
      </c>
    </row>
    <row r="1449" spans="1:5" x14ac:dyDescent="0.25">
      <c r="A1449" t="s">
        <v>1310</v>
      </c>
      <c r="B1449" t="s">
        <v>4021</v>
      </c>
      <c r="D1449">
        <v>49830</v>
      </c>
      <c r="E1449" t="str">
        <f t="shared" si="22"/>
        <v>ia.assorted_string like '%49830-12-2024%' or</v>
      </c>
    </row>
    <row r="1450" spans="1:5" x14ac:dyDescent="0.25">
      <c r="A1450" t="s">
        <v>1439</v>
      </c>
      <c r="B1450" t="s">
        <v>4021</v>
      </c>
      <c r="D1450">
        <v>49831</v>
      </c>
      <c r="E1450" t="str">
        <f t="shared" si="22"/>
        <v>ia.assorted_string like '%49831-12-2024%' or</v>
      </c>
    </row>
    <row r="1451" spans="1:5" x14ac:dyDescent="0.25">
      <c r="A1451" t="s">
        <v>1692</v>
      </c>
      <c r="B1451" t="s">
        <v>4021</v>
      </c>
      <c r="D1451">
        <v>49835</v>
      </c>
      <c r="E1451" t="str">
        <f t="shared" si="22"/>
        <v>ia.assorted_string like '%49835-12-2024%' or</v>
      </c>
    </row>
    <row r="1452" spans="1:5" x14ac:dyDescent="0.25">
      <c r="A1452" t="s">
        <v>1834</v>
      </c>
      <c r="B1452" t="s">
        <v>4021</v>
      </c>
      <c r="D1452">
        <v>49870</v>
      </c>
      <c r="E1452" t="str">
        <f t="shared" si="22"/>
        <v>ia.assorted_string like '%49870-12-2024%' or</v>
      </c>
    </row>
    <row r="1453" spans="1:5" x14ac:dyDescent="0.25">
      <c r="A1453" t="s">
        <v>1241</v>
      </c>
      <c r="B1453" t="s">
        <v>4021</v>
      </c>
      <c r="D1453">
        <v>49885</v>
      </c>
      <c r="E1453" t="str">
        <f t="shared" si="22"/>
        <v>ia.assorted_string like '%49885-12-2024%' or</v>
      </c>
    </row>
    <row r="1454" spans="1:5" x14ac:dyDescent="0.25">
      <c r="A1454" t="s">
        <v>1248</v>
      </c>
      <c r="B1454" t="s">
        <v>4021</v>
      </c>
      <c r="D1454">
        <v>49886</v>
      </c>
      <c r="E1454" t="str">
        <f t="shared" si="22"/>
        <v>ia.assorted_string like '%49886-12-2024%' or</v>
      </c>
    </row>
    <row r="1455" spans="1:5" x14ac:dyDescent="0.25">
      <c r="A1455" t="s">
        <v>1286</v>
      </c>
      <c r="B1455" t="s">
        <v>4021</v>
      </c>
      <c r="D1455">
        <v>49887</v>
      </c>
      <c r="E1455" t="str">
        <f t="shared" si="22"/>
        <v>ia.assorted_string like '%49887-12-2024%' or</v>
      </c>
    </row>
    <row r="1456" spans="1:5" x14ac:dyDescent="0.25">
      <c r="A1456" t="s">
        <v>1298</v>
      </c>
      <c r="B1456" t="s">
        <v>4021</v>
      </c>
      <c r="D1456">
        <v>49906</v>
      </c>
      <c r="E1456" t="str">
        <f t="shared" si="22"/>
        <v>ia.assorted_string like '%49906-12-2024%' or</v>
      </c>
    </row>
    <row r="1457" spans="1:5" x14ac:dyDescent="0.25">
      <c r="A1457" t="s">
        <v>1464</v>
      </c>
      <c r="B1457" t="s">
        <v>4021</v>
      </c>
      <c r="D1457">
        <v>49910</v>
      </c>
      <c r="E1457" t="str">
        <f t="shared" si="22"/>
        <v>ia.assorted_string like '%49910-12-2024%' or</v>
      </c>
    </row>
    <row r="1458" spans="1:5" x14ac:dyDescent="0.25">
      <c r="A1458" t="s">
        <v>2018</v>
      </c>
      <c r="B1458" t="s">
        <v>4021</v>
      </c>
      <c r="D1458">
        <v>49924</v>
      </c>
      <c r="E1458" t="str">
        <f t="shared" si="22"/>
        <v>ia.assorted_string like '%49924-12-2024%' or</v>
      </c>
    </row>
    <row r="1459" spans="1:5" x14ac:dyDescent="0.25">
      <c r="A1459" t="s">
        <v>1912</v>
      </c>
      <c r="B1459" t="s">
        <v>4021</v>
      </c>
      <c r="D1459">
        <v>49952</v>
      </c>
      <c r="E1459" t="str">
        <f t="shared" si="22"/>
        <v>ia.assorted_string like '%49952-12-2024%' or</v>
      </c>
    </row>
    <row r="1460" spans="1:5" x14ac:dyDescent="0.25">
      <c r="A1460" t="s">
        <v>1316</v>
      </c>
      <c r="B1460" t="s">
        <v>4021</v>
      </c>
      <c r="D1460">
        <v>50071</v>
      </c>
      <c r="E1460" t="str">
        <f t="shared" si="22"/>
        <v>ia.assorted_string like '%50071-12-2024%' or</v>
      </c>
    </row>
    <row r="1461" spans="1:5" x14ac:dyDescent="0.25">
      <c r="A1461" t="s">
        <v>1474</v>
      </c>
      <c r="B1461" t="s">
        <v>4021</v>
      </c>
      <c r="D1461">
        <v>50073</v>
      </c>
      <c r="E1461" t="str">
        <f t="shared" si="22"/>
        <v>ia.assorted_string like '%50073-12-2024%' or</v>
      </c>
    </row>
    <row r="1462" spans="1:5" x14ac:dyDescent="0.25">
      <c r="A1462" t="s">
        <v>1724</v>
      </c>
      <c r="B1462" t="s">
        <v>4021</v>
      </c>
      <c r="D1462">
        <v>50076</v>
      </c>
      <c r="E1462" t="str">
        <f t="shared" si="22"/>
        <v>ia.assorted_string like '%50076-12-2024%' or</v>
      </c>
    </row>
    <row r="1463" spans="1:5" x14ac:dyDescent="0.25">
      <c r="A1463" t="s">
        <v>1962</v>
      </c>
      <c r="B1463" t="s">
        <v>4021</v>
      </c>
      <c r="D1463">
        <v>50084</v>
      </c>
      <c r="E1463" t="str">
        <f t="shared" si="22"/>
        <v>ia.assorted_string like '%50084-12-2024%' or</v>
      </c>
    </row>
    <row r="1464" spans="1:5" x14ac:dyDescent="0.25">
      <c r="A1464" t="s">
        <v>1604</v>
      </c>
      <c r="B1464" t="s">
        <v>4021</v>
      </c>
      <c r="D1464">
        <v>50095</v>
      </c>
      <c r="E1464" t="str">
        <f t="shared" si="22"/>
        <v>ia.assorted_string like '%50095-12-2024%' or</v>
      </c>
    </row>
    <row r="1465" spans="1:5" x14ac:dyDescent="0.25">
      <c r="A1465" t="s">
        <v>1921</v>
      </c>
      <c r="B1465" t="s">
        <v>4021</v>
      </c>
      <c r="D1465">
        <v>50101</v>
      </c>
      <c r="E1465" t="str">
        <f t="shared" si="22"/>
        <v>ia.assorted_string like '%50101-12-2024%' or</v>
      </c>
    </row>
    <row r="1466" spans="1:5" x14ac:dyDescent="0.25">
      <c r="A1466" t="s">
        <v>1340</v>
      </c>
      <c r="B1466" t="s">
        <v>4021</v>
      </c>
      <c r="D1466">
        <v>50151</v>
      </c>
      <c r="E1466" t="str">
        <f t="shared" si="22"/>
        <v>ia.assorted_string like '%50151-12-2024%' or</v>
      </c>
    </row>
    <row r="1467" spans="1:5" x14ac:dyDescent="0.25">
      <c r="A1467" t="s">
        <v>1841</v>
      </c>
      <c r="B1467" t="s">
        <v>4021</v>
      </c>
      <c r="D1467">
        <v>50161</v>
      </c>
      <c r="E1467" t="str">
        <f t="shared" si="22"/>
        <v>ia.assorted_string like '%50161-12-2024%' or</v>
      </c>
    </row>
    <row r="1468" spans="1:5" x14ac:dyDescent="0.25">
      <c r="A1468" t="s">
        <v>1928</v>
      </c>
      <c r="B1468" t="s">
        <v>4021</v>
      </c>
      <c r="D1468">
        <v>50164</v>
      </c>
      <c r="E1468" t="str">
        <f t="shared" si="22"/>
        <v>ia.assorted_string like '%50164-12-2024%' or</v>
      </c>
    </row>
    <row r="1469" spans="1:5" x14ac:dyDescent="0.25">
      <c r="A1469" t="s">
        <v>1350</v>
      </c>
      <c r="B1469" t="s">
        <v>4021</v>
      </c>
      <c r="D1469">
        <v>50210</v>
      </c>
      <c r="E1469" t="str">
        <f t="shared" si="22"/>
        <v>ia.assorted_string like '%50210-12-2024%' or</v>
      </c>
    </row>
    <row r="1470" spans="1:5" x14ac:dyDescent="0.25">
      <c r="A1470" t="s">
        <v>1567</v>
      </c>
      <c r="B1470" t="s">
        <v>4021</v>
      </c>
      <c r="D1470">
        <v>50213</v>
      </c>
      <c r="E1470" t="str">
        <f t="shared" si="22"/>
        <v>ia.assorted_string like '%50213-12-2024%' or</v>
      </c>
    </row>
    <row r="1471" spans="1:5" x14ac:dyDescent="0.25">
      <c r="A1471" t="s">
        <v>1778</v>
      </c>
      <c r="B1471" t="s">
        <v>4021</v>
      </c>
      <c r="D1471">
        <v>50218</v>
      </c>
      <c r="E1471" t="str">
        <f t="shared" si="22"/>
        <v>ia.assorted_string like '%50218-12-2024%' or</v>
      </c>
    </row>
    <row r="1472" spans="1:5" x14ac:dyDescent="0.25">
      <c r="A1472" t="s">
        <v>1741</v>
      </c>
      <c r="B1472" t="s">
        <v>4021</v>
      </c>
      <c r="D1472">
        <v>50249</v>
      </c>
      <c r="E1472" t="str">
        <f t="shared" si="22"/>
        <v>ia.assorted_string like '%50249-12-2024%' or</v>
      </c>
    </row>
    <row r="1473" spans="1:5" x14ac:dyDescent="0.25">
      <c r="A1473" t="s">
        <v>1768</v>
      </c>
      <c r="B1473" t="s">
        <v>4021</v>
      </c>
      <c r="D1473">
        <v>50250</v>
      </c>
      <c r="E1473" t="str">
        <f t="shared" si="22"/>
        <v>ia.assorted_string like '%50250-12-2024%' or</v>
      </c>
    </row>
    <row r="1474" spans="1:5" x14ac:dyDescent="0.25">
      <c r="A1474" t="s">
        <v>1849</v>
      </c>
      <c r="B1474" t="s">
        <v>4021</v>
      </c>
      <c r="D1474">
        <v>50256</v>
      </c>
      <c r="E1474" t="str">
        <f t="shared" ref="E1474:E1537" si="23">"ia.assorted_string like '%"&amp;D1474&amp;B1474&amp;"%' or"</f>
        <v>ia.assorted_string like '%50256-12-2024%' or</v>
      </c>
    </row>
    <row r="1475" spans="1:5" x14ac:dyDescent="0.25">
      <c r="A1475" t="s">
        <v>1361</v>
      </c>
      <c r="B1475" t="s">
        <v>4021</v>
      </c>
      <c r="D1475">
        <v>50273</v>
      </c>
      <c r="E1475" t="str">
        <f t="shared" si="23"/>
        <v>ia.assorted_string like '%50273-12-2024%' or</v>
      </c>
    </row>
    <row r="1476" spans="1:5" x14ac:dyDescent="0.25">
      <c r="A1476" t="s">
        <v>1389</v>
      </c>
      <c r="B1476" t="s">
        <v>4021</v>
      </c>
      <c r="D1476">
        <v>50274</v>
      </c>
      <c r="E1476" t="str">
        <f t="shared" si="23"/>
        <v>ia.assorted_string like '%50274-12-2024%' or</v>
      </c>
    </row>
    <row r="1477" spans="1:5" x14ac:dyDescent="0.25">
      <c r="A1477" t="s">
        <v>1367</v>
      </c>
      <c r="B1477" t="s">
        <v>4021</v>
      </c>
      <c r="D1477">
        <v>50318</v>
      </c>
      <c r="E1477" t="str">
        <f t="shared" si="23"/>
        <v>ia.assorted_string like '%50318-12-2024%' or</v>
      </c>
    </row>
    <row r="1478" spans="1:5" x14ac:dyDescent="0.25">
      <c r="A1478" t="s">
        <v>1483</v>
      </c>
      <c r="B1478" t="s">
        <v>4021</v>
      </c>
      <c r="D1478">
        <v>50320</v>
      </c>
      <c r="E1478" t="str">
        <f t="shared" si="23"/>
        <v>ia.assorted_string like '%50320-12-2024%' or</v>
      </c>
    </row>
    <row r="1479" spans="1:5" x14ac:dyDescent="0.25">
      <c r="A1479" t="s">
        <v>1546</v>
      </c>
      <c r="B1479" t="s">
        <v>4021</v>
      </c>
      <c r="D1479">
        <v>50325</v>
      </c>
      <c r="E1479" t="str">
        <f t="shared" si="23"/>
        <v>ia.assorted_string like '%50325-12-2024%' or</v>
      </c>
    </row>
    <row r="1480" spans="1:5" x14ac:dyDescent="0.25">
      <c r="A1480" t="s">
        <v>1586</v>
      </c>
      <c r="B1480" t="s">
        <v>4021</v>
      </c>
      <c r="D1480">
        <v>50326</v>
      </c>
      <c r="E1480" t="str">
        <f t="shared" si="23"/>
        <v>ia.assorted_string like '%50326-12-2024%' or</v>
      </c>
    </row>
    <row r="1481" spans="1:5" x14ac:dyDescent="0.25">
      <c r="A1481" t="s">
        <v>1946</v>
      </c>
      <c r="B1481" t="s">
        <v>4021</v>
      </c>
      <c r="D1481">
        <v>50338</v>
      </c>
      <c r="E1481" t="str">
        <f t="shared" si="23"/>
        <v>ia.assorted_string like '%50338-12-2024%' or</v>
      </c>
    </row>
    <row r="1482" spans="1:5" x14ac:dyDescent="0.25">
      <c r="A1482" t="s">
        <v>1400</v>
      </c>
      <c r="B1482" t="s">
        <v>4021</v>
      </c>
      <c r="D1482">
        <v>50357</v>
      </c>
      <c r="E1482" t="str">
        <f t="shared" si="23"/>
        <v>ia.assorted_string like '%50357-12-2024%' or</v>
      </c>
    </row>
    <row r="1483" spans="1:5" x14ac:dyDescent="0.25">
      <c r="A1483" t="s">
        <v>1515</v>
      </c>
      <c r="B1483" t="s">
        <v>4021</v>
      </c>
      <c r="D1483">
        <v>50361</v>
      </c>
      <c r="E1483" t="str">
        <f t="shared" si="23"/>
        <v>ia.assorted_string like '%50361-12-2024%' or</v>
      </c>
    </row>
    <row r="1484" spans="1:5" x14ac:dyDescent="0.25">
      <c r="A1484" t="s">
        <v>1601</v>
      </c>
      <c r="B1484" t="s">
        <v>4021</v>
      </c>
      <c r="D1484">
        <v>50362</v>
      </c>
      <c r="E1484" t="str">
        <f t="shared" si="23"/>
        <v>ia.assorted_string like '%50362-12-2024%' or</v>
      </c>
    </row>
    <row r="1485" spans="1:5" x14ac:dyDescent="0.25">
      <c r="A1485" t="s">
        <v>1789</v>
      </c>
      <c r="B1485" t="s">
        <v>4021</v>
      </c>
      <c r="D1485">
        <v>50363</v>
      </c>
      <c r="E1485" t="str">
        <f t="shared" si="23"/>
        <v>ia.assorted_string like '%50363-12-2024%' or</v>
      </c>
    </row>
    <row r="1486" spans="1:5" x14ac:dyDescent="0.25">
      <c r="A1486" t="s">
        <v>1924</v>
      </c>
      <c r="B1486" t="s">
        <v>4021</v>
      </c>
      <c r="D1486">
        <v>50370</v>
      </c>
      <c r="E1486" t="str">
        <f t="shared" si="23"/>
        <v>ia.assorted_string like '%50370-12-2024%' or</v>
      </c>
    </row>
    <row r="1487" spans="1:5" x14ac:dyDescent="0.25">
      <c r="A1487" t="s">
        <v>594</v>
      </c>
      <c r="B1487" t="s">
        <v>4021</v>
      </c>
      <c r="D1487">
        <v>50386</v>
      </c>
      <c r="E1487" t="str">
        <f t="shared" si="23"/>
        <v>ia.assorted_string like '%50386-12-2024%' or</v>
      </c>
    </row>
    <row r="1488" spans="1:5" x14ac:dyDescent="0.25">
      <c r="A1488" t="s">
        <v>1413</v>
      </c>
      <c r="B1488" t="s">
        <v>4021</v>
      </c>
      <c r="D1488">
        <v>50407</v>
      </c>
      <c r="E1488" t="str">
        <f t="shared" si="23"/>
        <v>ia.assorted_string like '%50407-12-2024%' or</v>
      </c>
    </row>
    <row r="1489" spans="1:5" x14ac:dyDescent="0.25">
      <c r="A1489" t="s">
        <v>1500</v>
      </c>
      <c r="B1489" t="s">
        <v>4021</v>
      </c>
      <c r="D1489">
        <v>50410</v>
      </c>
      <c r="E1489" t="str">
        <f t="shared" si="23"/>
        <v>ia.assorted_string like '%50410-12-2024%' or</v>
      </c>
    </row>
    <row r="1490" spans="1:5" x14ac:dyDescent="0.25">
      <c r="A1490" t="s">
        <v>1510</v>
      </c>
      <c r="B1490" t="s">
        <v>4021</v>
      </c>
      <c r="D1490">
        <v>50411</v>
      </c>
      <c r="E1490" t="str">
        <f t="shared" si="23"/>
        <v>ia.assorted_string like '%50411-12-2024%' or</v>
      </c>
    </row>
    <row r="1491" spans="1:5" x14ac:dyDescent="0.25">
      <c r="A1491" t="s">
        <v>1793</v>
      </c>
      <c r="B1491" t="s">
        <v>4021</v>
      </c>
      <c r="D1491">
        <v>50417</v>
      </c>
      <c r="E1491" t="str">
        <f t="shared" si="23"/>
        <v>ia.assorted_string like '%50417-12-2024%' or</v>
      </c>
    </row>
    <row r="1492" spans="1:5" x14ac:dyDescent="0.25">
      <c r="A1492" t="s">
        <v>5</v>
      </c>
      <c r="B1492" t="s">
        <v>4021</v>
      </c>
      <c r="D1492">
        <v>50422</v>
      </c>
      <c r="E1492" t="str">
        <f t="shared" si="23"/>
        <v>ia.assorted_string like '%50422-12-2024%' or</v>
      </c>
    </row>
    <row r="1493" spans="1:5" x14ac:dyDescent="0.25">
      <c r="A1493" t="s">
        <v>1615</v>
      </c>
      <c r="B1493" t="s">
        <v>4021</v>
      </c>
      <c r="D1493">
        <v>50443</v>
      </c>
      <c r="E1493" t="str">
        <f t="shared" si="23"/>
        <v>ia.assorted_string like '%50443-12-2024%' or</v>
      </c>
    </row>
    <row r="1494" spans="1:5" x14ac:dyDescent="0.25">
      <c r="A1494" t="s">
        <v>30</v>
      </c>
      <c r="B1494" t="s">
        <v>4021</v>
      </c>
      <c r="D1494">
        <v>50450</v>
      </c>
      <c r="E1494" t="str">
        <f t="shared" si="23"/>
        <v>ia.assorted_string like '%50450-12-2024%' or</v>
      </c>
    </row>
    <row r="1495" spans="1:5" x14ac:dyDescent="0.25">
      <c r="A1495" t="s">
        <v>34</v>
      </c>
      <c r="B1495" t="s">
        <v>4021</v>
      </c>
      <c r="D1495">
        <v>50451</v>
      </c>
      <c r="E1495" t="str">
        <f t="shared" si="23"/>
        <v>ia.assorted_string like '%50451-12-2024%' or</v>
      </c>
    </row>
    <row r="1496" spans="1:5" x14ac:dyDescent="0.25">
      <c r="A1496" t="s">
        <v>99</v>
      </c>
      <c r="B1496" t="s">
        <v>4021</v>
      </c>
      <c r="D1496">
        <v>50452</v>
      </c>
      <c r="E1496" t="str">
        <f t="shared" si="23"/>
        <v>ia.assorted_string like '%50452-12-2024%' or</v>
      </c>
    </row>
    <row r="1497" spans="1:5" x14ac:dyDescent="0.25">
      <c r="A1497" t="s">
        <v>121</v>
      </c>
      <c r="B1497" t="s">
        <v>4021</v>
      </c>
      <c r="D1497">
        <v>50453</v>
      </c>
      <c r="E1497" t="str">
        <f t="shared" si="23"/>
        <v>ia.assorted_string like '%50453-12-2024%' or</v>
      </c>
    </row>
    <row r="1498" spans="1:5" x14ac:dyDescent="0.25">
      <c r="A1498" t="s">
        <v>133</v>
      </c>
      <c r="B1498" t="s">
        <v>4021</v>
      </c>
      <c r="D1498">
        <v>50454</v>
      </c>
      <c r="E1498" t="str">
        <f t="shared" si="23"/>
        <v>ia.assorted_string like '%50454-12-2024%' or</v>
      </c>
    </row>
    <row r="1499" spans="1:5" x14ac:dyDescent="0.25">
      <c r="A1499" t="s">
        <v>136</v>
      </c>
      <c r="B1499" t="s">
        <v>4021</v>
      </c>
      <c r="D1499">
        <v>50455</v>
      </c>
      <c r="E1499" t="str">
        <f t="shared" si="23"/>
        <v>ia.assorted_string like '%50455-12-2024%' or</v>
      </c>
    </row>
    <row r="1500" spans="1:5" x14ac:dyDescent="0.25">
      <c r="A1500" t="s">
        <v>147</v>
      </c>
      <c r="B1500" t="s">
        <v>4021</v>
      </c>
      <c r="D1500">
        <v>50456</v>
      </c>
      <c r="E1500" t="str">
        <f t="shared" si="23"/>
        <v>ia.assorted_string like '%50456-12-2024%' or</v>
      </c>
    </row>
    <row r="1501" spans="1:5" x14ac:dyDescent="0.25">
      <c r="A1501" t="s">
        <v>184</v>
      </c>
      <c r="B1501" t="s">
        <v>4021</v>
      </c>
      <c r="D1501">
        <v>50457</v>
      </c>
      <c r="E1501" t="str">
        <f t="shared" si="23"/>
        <v>ia.assorted_string like '%50457-12-2024%' or</v>
      </c>
    </row>
    <row r="1502" spans="1:5" x14ac:dyDescent="0.25">
      <c r="A1502" t="s">
        <v>192</v>
      </c>
      <c r="B1502" t="s">
        <v>4021</v>
      </c>
      <c r="D1502">
        <v>50458</v>
      </c>
      <c r="E1502" t="str">
        <f t="shared" si="23"/>
        <v>ia.assorted_string like '%50458-12-2024%' or</v>
      </c>
    </row>
    <row r="1503" spans="1:5" x14ac:dyDescent="0.25">
      <c r="A1503" t="s">
        <v>196</v>
      </c>
      <c r="B1503" t="s">
        <v>4021</v>
      </c>
      <c r="D1503">
        <v>50459</v>
      </c>
      <c r="E1503" t="str">
        <f t="shared" si="23"/>
        <v>ia.assorted_string like '%50459-12-2024%' or</v>
      </c>
    </row>
    <row r="1504" spans="1:5" x14ac:dyDescent="0.25">
      <c r="A1504" t="s">
        <v>204</v>
      </c>
      <c r="B1504" t="s">
        <v>4021</v>
      </c>
      <c r="D1504">
        <v>50460</v>
      </c>
      <c r="E1504" t="str">
        <f t="shared" si="23"/>
        <v>ia.assorted_string like '%50460-12-2024%' or</v>
      </c>
    </row>
    <row r="1505" spans="1:5" x14ac:dyDescent="0.25">
      <c r="A1505" t="s">
        <v>246</v>
      </c>
      <c r="B1505" t="s">
        <v>4021</v>
      </c>
      <c r="D1505">
        <v>50461</v>
      </c>
      <c r="E1505" t="str">
        <f t="shared" si="23"/>
        <v>ia.assorted_string like '%50461-12-2024%' or</v>
      </c>
    </row>
    <row r="1506" spans="1:5" x14ac:dyDescent="0.25">
      <c r="A1506" t="s">
        <v>250</v>
      </c>
      <c r="B1506" t="s">
        <v>4021</v>
      </c>
      <c r="D1506">
        <v>50462</v>
      </c>
      <c r="E1506" t="str">
        <f t="shared" si="23"/>
        <v>ia.assorted_string like '%50462-12-2024%' or</v>
      </c>
    </row>
    <row r="1507" spans="1:5" x14ac:dyDescent="0.25">
      <c r="A1507" t="s">
        <v>261</v>
      </c>
      <c r="B1507" t="s">
        <v>4021</v>
      </c>
      <c r="D1507">
        <v>50463</v>
      </c>
      <c r="E1507" t="str">
        <f t="shared" si="23"/>
        <v>ia.assorted_string like '%50463-12-2024%' or</v>
      </c>
    </row>
    <row r="1508" spans="1:5" x14ac:dyDescent="0.25">
      <c r="A1508" t="s">
        <v>267</v>
      </c>
      <c r="B1508" t="s">
        <v>4021</v>
      </c>
      <c r="D1508">
        <v>50464</v>
      </c>
      <c r="E1508" t="str">
        <f t="shared" si="23"/>
        <v>ia.assorted_string like '%50464-12-2024%' or</v>
      </c>
    </row>
    <row r="1509" spans="1:5" x14ac:dyDescent="0.25">
      <c r="A1509" t="s">
        <v>295</v>
      </c>
      <c r="B1509" t="s">
        <v>4021</v>
      </c>
      <c r="D1509">
        <v>50465</v>
      </c>
      <c r="E1509" t="str">
        <f t="shared" si="23"/>
        <v>ia.assorted_string like '%50465-12-2024%' or</v>
      </c>
    </row>
    <row r="1510" spans="1:5" x14ac:dyDescent="0.25">
      <c r="A1510" t="s">
        <v>298</v>
      </c>
      <c r="B1510" t="s">
        <v>4021</v>
      </c>
      <c r="D1510">
        <v>50466</v>
      </c>
      <c r="E1510" t="str">
        <f t="shared" si="23"/>
        <v>ia.assorted_string like '%50466-12-2024%' or</v>
      </c>
    </row>
    <row r="1511" spans="1:5" x14ac:dyDescent="0.25">
      <c r="A1511" t="s">
        <v>310</v>
      </c>
      <c r="B1511" t="s">
        <v>4021</v>
      </c>
      <c r="D1511">
        <v>50467</v>
      </c>
      <c r="E1511" t="str">
        <f t="shared" si="23"/>
        <v>ia.assorted_string like '%50467-12-2024%' or</v>
      </c>
    </row>
    <row r="1512" spans="1:5" x14ac:dyDescent="0.25">
      <c r="A1512" t="s">
        <v>331</v>
      </c>
      <c r="B1512" t="s">
        <v>4021</v>
      </c>
      <c r="D1512">
        <v>50468</v>
      </c>
      <c r="E1512" t="str">
        <f t="shared" si="23"/>
        <v>ia.assorted_string like '%50468-12-2024%' or</v>
      </c>
    </row>
    <row r="1513" spans="1:5" x14ac:dyDescent="0.25">
      <c r="A1513" t="s">
        <v>345</v>
      </c>
      <c r="B1513" t="s">
        <v>4021</v>
      </c>
      <c r="D1513">
        <v>50469</v>
      </c>
      <c r="E1513" t="str">
        <f t="shared" si="23"/>
        <v>ia.assorted_string like '%50469-12-2024%' or</v>
      </c>
    </row>
    <row r="1514" spans="1:5" x14ac:dyDescent="0.25">
      <c r="A1514" t="s">
        <v>364</v>
      </c>
      <c r="B1514" t="s">
        <v>4021</v>
      </c>
      <c r="D1514">
        <v>50470</v>
      </c>
      <c r="E1514" t="str">
        <f t="shared" si="23"/>
        <v>ia.assorted_string like '%50470-12-2024%' or</v>
      </c>
    </row>
    <row r="1515" spans="1:5" x14ac:dyDescent="0.25">
      <c r="A1515" t="s">
        <v>369</v>
      </c>
      <c r="B1515" t="s">
        <v>4021</v>
      </c>
      <c r="D1515">
        <v>50471</v>
      </c>
      <c r="E1515" t="str">
        <f t="shared" si="23"/>
        <v>ia.assorted_string like '%50471-12-2024%' or</v>
      </c>
    </row>
    <row r="1516" spans="1:5" x14ac:dyDescent="0.25">
      <c r="A1516" t="s">
        <v>374</v>
      </c>
      <c r="B1516" t="s">
        <v>4021</v>
      </c>
      <c r="D1516">
        <v>50472</v>
      </c>
      <c r="E1516" t="str">
        <f t="shared" si="23"/>
        <v>ia.assorted_string like '%50472-12-2024%' or</v>
      </c>
    </row>
    <row r="1517" spans="1:5" x14ac:dyDescent="0.25">
      <c r="A1517" t="s">
        <v>431</v>
      </c>
      <c r="B1517" t="s">
        <v>4021</v>
      </c>
      <c r="D1517">
        <v>50473</v>
      </c>
      <c r="E1517" t="str">
        <f t="shared" si="23"/>
        <v>ia.assorted_string like '%50473-12-2024%' or</v>
      </c>
    </row>
    <row r="1518" spans="1:5" x14ac:dyDescent="0.25">
      <c r="A1518" t="s">
        <v>439</v>
      </c>
      <c r="B1518" t="s">
        <v>4021</v>
      </c>
      <c r="D1518">
        <v>50474</v>
      </c>
      <c r="E1518" t="str">
        <f t="shared" si="23"/>
        <v>ia.assorted_string like '%50474-12-2024%' or</v>
      </c>
    </row>
    <row r="1519" spans="1:5" x14ac:dyDescent="0.25">
      <c r="A1519" t="s">
        <v>456</v>
      </c>
      <c r="B1519" t="s">
        <v>4021</v>
      </c>
      <c r="D1519">
        <v>50475</v>
      </c>
      <c r="E1519" t="str">
        <f t="shared" si="23"/>
        <v>ia.assorted_string like '%50475-12-2024%' or</v>
      </c>
    </row>
    <row r="1520" spans="1:5" x14ac:dyDescent="0.25">
      <c r="A1520" t="s">
        <v>464</v>
      </c>
      <c r="B1520" t="s">
        <v>4021</v>
      </c>
      <c r="D1520">
        <v>50476</v>
      </c>
      <c r="E1520" t="str">
        <f t="shared" si="23"/>
        <v>ia.assorted_string like '%50476-12-2024%' or</v>
      </c>
    </row>
    <row r="1521" spans="1:5" x14ac:dyDescent="0.25">
      <c r="A1521" t="s">
        <v>476</v>
      </c>
      <c r="B1521" t="s">
        <v>4021</v>
      </c>
      <c r="D1521">
        <v>50477</v>
      </c>
      <c r="E1521" t="str">
        <f t="shared" si="23"/>
        <v>ia.assorted_string like '%50477-12-2024%' or</v>
      </c>
    </row>
    <row r="1522" spans="1:5" x14ac:dyDescent="0.25">
      <c r="A1522" t="s">
        <v>485</v>
      </c>
      <c r="B1522" t="s">
        <v>4021</v>
      </c>
      <c r="D1522">
        <v>50478</v>
      </c>
      <c r="E1522" t="str">
        <f t="shared" si="23"/>
        <v>ia.assorted_string like '%50478-12-2024%' or</v>
      </c>
    </row>
    <row r="1523" spans="1:5" x14ac:dyDescent="0.25">
      <c r="A1523" t="s">
        <v>494</v>
      </c>
      <c r="B1523" t="s">
        <v>4021</v>
      </c>
      <c r="D1523">
        <v>50479</v>
      </c>
      <c r="E1523" t="str">
        <f t="shared" si="23"/>
        <v>ia.assorted_string like '%50479-12-2024%' or</v>
      </c>
    </row>
    <row r="1524" spans="1:5" x14ac:dyDescent="0.25">
      <c r="A1524" t="s">
        <v>572</v>
      </c>
      <c r="B1524" t="s">
        <v>4021</v>
      </c>
      <c r="D1524">
        <v>50480</v>
      </c>
      <c r="E1524" t="str">
        <f t="shared" si="23"/>
        <v>ia.assorted_string like '%50480-12-2024%' or</v>
      </c>
    </row>
    <row r="1525" spans="1:5" x14ac:dyDescent="0.25">
      <c r="A1525" t="s">
        <v>635</v>
      </c>
      <c r="B1525" t="s">
        <v>4021</v>
      </c>
      <c r="D1525">
        <v>50481</v>
      </c>
      <c r="E1525" t="str">
        <f t="shared" si="23"/>
        <v>ia.assorted_string like '%50481-12-2024%' or</v>
      </c>
    </row>
    <row r="1526" spans="1:5" x14ac:dyDescent="0.25">
      <c r="A1526" t="s">
        <v>677</v>
      </c>
      <c r="B1526" t="s">
        <v>4021</v>
      </c>
      <c r="D1526">
        <v>50482</v>
      </c>
      <c r="E1526" t="str">
        <f t="shared" si="23"/>
        <v>ia.assorted_string like '%50482-12-2024%' or</v>
      </c>
    </row>
    <row r="1527" spans="1:5" x14ac:dyDescent="0.25">
      <c r="A1527" t="s">
        <v>685</v>
      </c>
      <c r="B1527" t="s">
        <v>4021</v>
      </c>
      <c r="D1527">
        <v>50483</v>
      </c>
      <c r="E1527" t="str">
        <f t="shared" si="23"/>
        <v>ia.assorted_string like '%50483-12-2024%' or</v>
      </c>
    </row>
    <row r="1528" spans="1:5" x14ac:dyDescent="0.25">
      <c r="A1528" t="s">
        <v>743</v>
      </c>
      <c r="B1528" t="s">
        <v>4021</v>
      </c>
      <c r="D1528">
        <v>50484</v>
      </c>
      <c r="E1528" t="str">
        <f t="shared" si="23"/>
        <v>ia.assorted_string like '%50484-12-2024%' or</v>
      </c>
    </row>
    <row r="1529" spans="1:5" x14ac:dyDescent="0.25">
      <c r="A1529" t="s">
        <v>759</v>
      </c>
      <c r="B1529" t="s">
        <v>4021</v>
      </c>
      <c r="D1529">
        <v>50485</v>
      </c>
      <c r="E1529" t="str">
        <f t="shared" si="23"/>
        <v>ia.assorted_string like '%50485-12-2024%' or</v>
      </c>
    </row>
    <row r="1530" spans="1:5" x14ac:dyDescent="0.25">
      <c r="A1530" t="s">
        <v>783</v>
      </c>
      <c r="B1530" t="s">
        <v>4021</v>
      </c>
      <c r="D1530">
        <v>50486</v>
      </c>
      <c r="E1530" t="str">
        <f t="shared" si="23"/>
        <v>ia.assorted_string like '%50486-12-2024%' or</v>
      </c>
    </row>
    <row r="1531" spans="1:5" x14ac:dyDescent="0.25">
      <c r="A1531" t="s">
        <v>796</v>
      </c>
      <c r="B1531" t="s">
        <v>4021</v>
      </c>
      <c r="D1531">
        <v>50488</v>
      </c>
      <c r="E1531" t="str">
        <f t="shared" si="23"/>
        <v>ia.assorted_string like '%50488-12-2024%' or</v>
      </c>
    </row>
    <row r="1532" spans="1:5" x14ac:dyDescent="0.25">
      <c r="A1532" t="s">
        <v>806</v>
      </c>
      <c r="B1532" t="s">
        <v>4021</v>
      </c>
      <c r="D1532">
        <v>50489</v>
      </c>
      <c r="E1532" t="str">
        <f t="shared" si="23"/>
        <v>ia.assorted_string like '%50489-12-2024%' or</v>
      </c>
    </row>
    <row r="1533" spans="1:5" x14ac:dyDescent="0.25">
      <c r="A1533" t="s">
        <v>827</v>
      </c>
      <c r="B1533" t="s">
        <v>4021</v>
      </c>
      <c r="D1533">
        <v>50490</v>
      </c>
      <c r="E1533" t="str">
        <f t="shared" si="23"/>
        <v>ia.assorted_string like '%50490-12-2024%' or</v>
      </c>
    </row>
    <row r="1534" spans="1:5" x14ac:dyDescent="0.25">
      <c r="A1534" t="s">
        <v>844</v>
      </c>
      <c r="B1534" t="s">
        <v>4021</v>
      </c>
      <c r="D1534">
        <v>50491</v>
      </c>
      <c r="E1534" t="str">
        <f t="shared" si="23"/>
        <v>ia.assorted_string like '%50491-12-2024%' or</v>
      </c>
    </row>
    <row r="1535" spans="1:5" x14ac:dyDescent="0.25">
      <c r="A1535" t="s">
        <v>855</v>
      </c>
      <c r="B1535" t="s">
        <v>4021</v>
      </c>
      <c r="D1535">
        <v>50492</v>
      </c>
      <c r="E1535" t="str">
        <f t="shared" si="23"/>
        <v>ia.assorted_string like '%50492-12-2024%' or</v>
      </c>
    </row>
    <row r="1536" spans="1:5" x14ac:dyDescent="0.25">
      <c r="A1536" t="s">
        <v>862</v>
      </c>
      <c r="B1536" t="s">
        <v>4021</v>
      </c>
      <c r="D1536">
        <v>50493</v>
      </c>
      <c r="E1536" t="str">
        <f t="shared" si="23"/>
        <v>ia.assorted_string like '%50493-12-2024%' or</v>
      </c>
    </row>
    <row r="1537" spans="1:5" x14ac:dyDescent="0.25">
      <c r="A1537" t="s">
        <v>867</v>
      </c>
      <c r="B1537" t="s">
        <v>4021</v>
      </c>
      <c r="D1537">
        <v>50494</v>
      </c>
      <c r="E1537" t="str">
        <f t="shared" si="23"/>
        <v>ia.assorted_string like '%50494-12-2024%' or</v>
      </c>
    </row>
    <row r="1538" spans="1:5" x14ac:dyDescent="0.25">
      <c r="A1538" t="s">
        <v>881</v>
      </c>
      <c r="B1538" t="s">
        <v>4021</v>
      </c>
      <c r="D1538">
        <v>50495</v>
      </c>
      <c r="E1538" t="str">
        <f t="shared" ref="E1538:E1601" si="24">"ia.assorted_string like '%"&amp;D1538&amp;B1538&amp;"%' or"</f>
        <v>ia.assorted_string like '%50495-12-2024%' or</v>
      </c>
    </row>
    <row r="1539" spans="1:5" x14ac:dyDescent="0.25">
      <c r="A1539" t="s">
        <v>894</v>
      </c>
      <c r="B1539" t="s">
        <v>4021</v>
      </c>
      <c r="D1539">
        <v>50496</v>
      </c>
      <c r="E1539" t="str">
        <f t="shared" si="24"/>
        <v>ia.assorted_string like '%50496-12-2024%' or</v>
      </c>
    </row>
    <row r="1540" spans="1:5" x14ac:dyDescent="0.25">
      <c r="A1540" t="s">
        <v>900</v>
      </c>
      <c r="B1540" t="s">
        <v>4021</v>
      </c>
      <c r="D1540">
        <v>50497</v>
      </c>
      <c r="E1540" t="str">
        <f t="shared" si="24"/>
        <v>ia.assorted_string like '%50497-12-2024%' or</v>
      </c>
    </row>
    <row r="1541" spans="1:5" x14ac:dyDescent="0.25">
      <c r="A1541" t="s">
        <v>920</v>
      </c>
      <c r="B1541" t="s">
        <v>4021</v>
      </c>
      <c r="D1541">
        <v>50498</v>
      </c>
      <c r="E1541" t="str">
        <f t="shared" si="24"/>
        <v>ia.assorted_string like '%50498-12-2024%' or</v>
      </c>
    </row>
    <row r="1542" spans="1:5" x14ac:dyDescent="0.25">
      <c r="A1542" t="s">
        <v>935</v>
      </c>
      <c r="B1542" t="s">
        <v>4021</v>
      </c>
      <c r="D1542">
        <v>50499</v>
      </c>
      <c r="E1542" t="str">
        <f t="shared" si="24"/>
        <v>ia.assorted_string like '%50499-12-2024%' or</v>
      </c>
    </row>
    <row r="1543" spans="1:5" x14ac:dyDescent="0.25">
      <c r="A1543" t="s">
        <v>947</v>
      </c>
      <c r="B1543" t="s">
        <v>4021</v>
      </c>
      <c r="D1543">
        <v>50500</v>
      </c>
      <c r="E1543" t="str">
        <f t="shared" si="24"/>
        <v>ia.assorted_string like '%50500-12-2024%' or</v>
      </c>
    </row>
    <row r="1544" spans="1:5" x14ac:dyDescent="0.25">
      <c r="A1544" t="s">
        <v>952</v>
      </c>
      <c r="B1544" t="s">
        <v>4021</v>
      </c>
      <c r="D1544">
        <v>50501</v>
      </c>
      <c r="E1544" t="str">
        <f t="shared" si="24"/>
        <v>ia.assorted_string like '%50501-12-2024%' or</v>
      </c>
    </row>
    <row r="1545" spans="1:5" x14ac:dyDescent="0.25">
      <c r="A1545" t="s">
        <v>961</v>
      </c>
      <c r="B1545" t="s">
        <v>4021</v>
      </c>
      <c r="D1545">
        <v>50502</v>
      </c>
      <c r="E1545" t="str">
        <f t="shared" si="24"/>
        <v>ia.assorted_string like '%50502-12-2024%' or</v>
      </c>
    </row>
    <row r="1546" spans="1:5" x14ac:dyDescent="0.25">
      <c r="A1546" t="s">
        <v>975</v>
      </c>
      <c r="B1546" t="s">
        <v>4021</v>
      </c>
      <c r="D1546">
        <v>50503</v>
      </c>
      <c r="E1546" t="str">
        <f t="shared" si="24"/>
        <v>ia.assorted_string like '%50503-12-2024%' or</v>
      </c>
    </row>
    <row r="1547" spans="1:5" x14ac:dyDescent="0.25">
      <c r="A1547" t="s">
        <v>989</v>
      </c>
      <c r="B1547" t="s">
        <v>4021</v>
      </c>
      <c r="D1547">
        <v>50504</v>
      </c>
      <c r="E1547" t="str">
        <f t="shared" si="24"/>
        <v>ia.assorted_string like '%50504-12-2024%' or</v>
      </c>
    </row>
    <row r="1548" spans="1:5" x14ac:dyDescent="0.25">
      <c r="A1548" t="s">
        <v>1003</v>
      </c>
      <c r="B1548" t="s">
        <v>4021</v>
      </c>
      <c r="D1548">
        <v>50505</v>
      </c>
      <c r="E1548" t="str">
        <f t="shared" si="24"/>
        <v>ia.assorted_string like '%50505-12-2024%' or</v>
      </c>
    </row>
    <row r="1549" spans="1:5" x14ac:dyDescent="0.25">
      <c r="A1549" t="s">
        <v>1017</v>
      </c>
      <c r="B1549" t="s">
        <v>4021</v>
      </c>
      <c r="D1549">
        <v>50506</v>
      </c>
      <c r="E1549" t="str">
        <f t="shared" si="24"/>
        <v>ia.assorted_string like '%50506-12-2024%' or</v>
      </c>
    </row>
    <row r="1550" spans="1:5" x14ac:dyDescent="0.25">
      <c r="A1550" t="s">
        <v>1034</v>
      </c>
      <c r="B1550" t="s">
        <v>4021</v>
      </c>
      <c r="D1550">
        <v>50507</v>
      </c>
      <c r="E1550" t="str">
        <f t="shared" si="24"/>
        <v>ia.assorted_string like '%50507-12-2024%' or</v>
      </c>
    </row>
    <row r="1551" spans="1:5" x14ac:dyDescent="0.25">
      <c r="A1551" t="s">
        <v>1039</v>
      </c>
      <c r="B1551" t="s">
        <v>4021</v>
      </c>
      <c r="D1551">
        <v>50508</v>
      </c>
      <c r="E1551" t="str">
        <f t="shared" si="24"/>
        <v>ia.assorted_string like '%50508-12-2024%' or</v>
      </c>
    </row>
    <row r="1552" spans="1:5" x14ac:dyDescent="0.25">
      <c r="A1552" t="s">
        <v>1048</v>
      </c>
      <c r="B1552" t="s">
        <v>4021</v>
      </c>
      <c r="D1552">
        <v>50509</v>
      </c>
      <c r="E1552" t="str">
        <f t="shared" si="24"/>
        <v>ia.assorted_string like '%50509-12-2024%' or</v>
      </c>
    </row>
    <row r="1553" spans="1:5" x14ac:dyDescent="0.25">
      <c r="A1553" t="s">
        <v>1072</v>
      </c>
      <c r="B1553" t="s">
        <v>4021</v>
      </c>
      <c r="D1553">
        <v>50510</v>
      </c>
      <c r="E1553" t="str">
        <f t="shared" si="24"/>
        <v>ia.assorted_string like '%50510-12-2024%' or</v>
      </c>
    </row>
    <row r="1554" spans="1:5" x14ac:dyDescent="0.25">
      <c r="A1554" t="s">
        <v>1083</v>
      </c>
      <c r="B1554" t="s">
        <v>4021</v>
      </c>
      <c r="D1554">
        <v>50511</v>
      </c>
      <c r="E1554" t="str">
        <f t="shared" si="24"/>
        <v>ia.assorted_string like '%50511-12-2024%' or</v>
      </c>
    </row>
    <row r="1555" spans="1:5" x14ac:dyDescent="0.25">
      <c r="A1555" t="s">
        <v>1097</v>
      </c>
      <c r="B1555" t="s">
        <v>4021</v>
      </c>
      <c r="D1555">
        <v>50512</v>
      </c>
      <c r="E1555" t="str">
        <f t="shared" si="24"/>
        <v>ia.assorted_string like '%50512-12-2024%' or</v>
      </c>
    </row>
    <row r="1556" spans="1:5" x14ac:dyDescent="0.25">
      <c r="A1556" t="s">
        <v>1127</v>
      </c>
      <c r="B1556" t="s">
        <v>4021</v>
      </c>
      <c r="D1556">
        <v>50513</v>
      </c>
      <c r="E1556" t="str">
        <f t="shared" si="24"/>
        <v>ia.assorted_string like '%50513-12-2024%' or</v>
      </c>
    </row>
    <row r="1557" spans="1:5" x14ac:dyDescent="0.25">
      <c r="A1557" t="s">
        <v>1151</v>
      </c>
      <c r="B1557" t="s">
        <v>4021</v>
      </c>
      <c r="D1557">
        <v>50514</v>
      </c>
      <c r="E1557" t="str">
        <f t="shared" si="24"/>
        <v>ia.assorted_string like '%50514-12-2024%' or</v>
      </c>
    </row>
    <row r="1558" spans="1:5" x14ac:dyDescent="0.25">
      <c r="A1558" t="s">
        <v>1158</v>
      </c>
      <c r="B1558" t="s">
        <v>4021</v>
      </c>
      <c r="D1558">
        <v>50515</v>
      </c>
      <c r="E1558" t="str">
        <f t="shared" si="24"/>
        <v>ia.assorted_string like '%50515-12-2024%' or</v>
      </c>
    </row>
    <row r="1559" spans="1:5" x14ac:dyDescent="0.25">
      <c r="A1559" t="s">
        <v>1201</v>
      </c>
      <c r="B1559" t="s">
        <v>4021</v>
      </c>
      <c r="D1559">
        <v>50516</v>
      </c>
      <c r="E1559" t="str">
        <f t="shared" si="24"/>
        <v>ia.assorted_string like '%50516-12-2024%' or</v>
      </c>
    </row>
    <row r="1560" spans="1:5" x14ac:dyDescent="0.25">
      <c r="A1560" t="s">
        <v>1204</v>
      </c>
      <c r="B1560" t="s">
        <v>4021</v>
      </c>
      <c r="D1560">
        <v>50517</v>
      </c>
      <c r="E1560" t="str">
        <f t="shared" si="24"/>
        <v>ia.assorted_string like '%50517-12-2024%' or</v>
      </c>
    </row>
    <row r="1561" spans="1:5" x14ac:dyDescent="0.25">
      <c r="A1561" t="s">
        <v>1209</v>
      </c>
      <c r="B1561" t="s">
        <v>4021</v>
      </c>
      <c r="D1561">
        <v>50518</v>
      </c>
      <c r="E1561" t="str">
        <f t="shared" si="24"/>
        <v>ia.assorted_string like '%50518-12-2024%' or</v>
      </c>
    </row>
    <row r="1562" spans="1:5" x14ac:dyDescent="0.25">
      <c r="A1562" t="s">
        <v>1231</v>
      </c>
      <c r="B1562" t="s">
        <v>4021</v>
      </c>
      <c r="D1562">
        <v>50519</v>
      </c>
      <c r="E1562" t="str">
        <f t="shared" si="24"/>
        <v>ia.assorted_string like '%50519-12-2024%' or</v>
      </c>
    </row>
    <row r="1563" spans="1:5" x14ac:dyDescent="0.25">
      <c r="A1563" t="s">
        <v>1242</v>
      </c>
      <c r="B1563" t="s">
        <v>4021</v>
      </c>
      <c r="D1563">
        <v>50520</v>
      </c>
      <c r="E1563" t="str">
        <f t="shared" si="24"/>
        <v>ia.assorted_string like '%50520-12-2024%' or</v>
      </c>
    </row>
    <row r="1564" spans="1:5" x14ac:dyDescent="0.25">
      <c r="A1564" t="s">
        <v>1255</v>
      </c>
      <c r="B1564" t="s">
        <v>4021</v>
      </c>
      <c r="D1564">
        <v>50521</v>
      </c>
      <c r="E1564" t="str">
        <f t="shared" si="24"/>
        <v>ia.assorted_string like '%50521-12-2024%' or</v>
      </c>
    </row>
    <row r="1565" spans="1:5" x14ac:dyDescent="0.25">
      <c r="A1565" t="s">
        <v>1260</v>
      </c>
      <c r="B1565" t="s">
        <v>4021</v>
      </c>
      <c r="D1565">
        <v>50522</v>
      </c>
      <c r="E1565" t="str">
        <f t="shared" si="24"/>
        <v>ia.assorted_string like '%50522-12-2024%' or</v>
      </c>
    </row>
    <row r="1566" spans="1:5" x14ac:dyDescent="0.25">
      <c r="A1566" t="s">
        <v>1273</v>
      </c>
      <c r="B1566" t="s">
        <v>4021</v>
      </c>
      <c r="D1566">
        <v>50523</v>
      </c>
      <c r="E1566" t="str">
        <f t="shared" si="24"/>
        <v>ia.assorted_string like '%50523-12-2024%' or</v>
      </c>
    </row>
    <row r="1567" spans="1:5" x14ac:dyDescent="0.25">
      <c r="A1567" t="s">
        <v>1287</v>
      </c>
      <c r="B1567" t="s">
        <v>4021</v>
      </c>
      <c r="D1567">
        <v>50524</v>
      </c>
      <c r="E1567" t="str">
        <f t="shared" si="24"/>
        <v>ia.assorted_string like '%50524-12-2024%' or</v>
      </c>
    </row>
    <row r="1568" spans="1:5" x14ac:dyDescent="0.25">
      <c r="A1568" t="s">
        <v>1299</v>
      </c>
      <c r="B1568" t="s">
        <v>4021</v>
      </c>
      <c r="D1568">
        <v>50525</v>
      </c>
      <c r="E1568" t="str">
        <f t="shared" si="24"/>
        <v>ia.assorted_string like '%50525-12-2024%' or</v>
      </c>
    </row>
    <row r="1569" spans="1:5" x14ac:dyDescent="0.25">
      <c r="A1569" t="s">
        <v>1311</v>
      </c>
      <c r="B1569" t="s">
        <v>4021</v>
      </c>
      <c r="D1569">
        <v>50527</v>
      </c>
      <c r="E1569" t="str">
        <f t="shared" si="24"/>
        <v>ia.assorted_string like '%50527-12-2024%' or</v>
      </c>
    </row>
    <row r="1570" spans="1:5" x14ac:dyDescent="0.25">
      <c r="A1570" t="s">
        <v>1329</v>
      </c>
      <c r="B1570" t="s">
        <v>4021</v>
      </c>
      <c r="D1570">
        <v>50528</v>
      </c>
      <c r="E1570" t="str">
        <f t="shared" si="24"/>
        <v>ia.assorted_string like '%50528-12-2024%' or</v>
      </c>
    </row>
    <row r="1571" spans="1:5" x14ac:dyDescent="0.25">
      <c r="A1571" t="s">
        <v>1341</v>
      </c>
      <c r="B1571" t="s">
        <v>4021</v>
      </c>
      <c r="D1571">
        <v>50529</v>
      </c>
      <c r="E1571" t="str">
        <f t="shared" si="24"/>
        <v>ia.assorted_string like '%50529-12-2024%' or</v>
      </c>
    </row>
    <row r="1572" spans="1:5" x14ac:dyDescent="0.25">
      <c r="A1572" t="s">
        <v>1356</v>
      </c>
      <c r="B1572" t="s">
        <v>4021</v>
      </c>
      <c r="D1572">
        <v>50530</v>
      </c>
      <c r="E1572" t="str">
        <f t="shared" si="24"/>
        <v>ia.assorted_string like '%50530-12-2024%' or</v>
      </c>
    </row>
    <row r="1573" spans="1:5" x14ac:dyDescent="0.25">
      <c r="A1573" t="s">
        <v>1362</v>
      </c>
      <c r="B1573" t="s">
        <v>4021</v>
      </c>
      <c r="D1573">
        <v>50531</v>
      </c>
      <c r="E1573" t="str">
        <f t="shared" si="24"/>
        <v>ia.assorted_string like '%50531-12-2024%' or</v>
      </c>
    </row>
    <row r="1574" spans="1:5" x14ac:dyDescent="0.25">
      <c r="A1574" t="s">
        <v>1368</v>
      </c>
      <c r="B1574" t="s">
        <v>4021</v>
      </c>
      <c r="D1574">
        <v>50532</v>
      </c>
      <c r="E1574" t="str">
        <f t="shared" si="24"/>
        <v>ia.assorted_string like '%50532-12-2024%' or</v>
      </c>
    </row>
    <row r="1575" spans="1:5" x14ac:dyDescent="0.25">
      <c r="A1575" t="s">
        <v>1390</v>
      </c>
      <c r="B1575" t="s">
        <v>4021</v>
      </c>
      <c r="D1575">
        <v>50533</v>
      </c>
      <c r="E1575" t="str">
        <f t="shared" si="24"/>
        <v>ia.assorted_string like '%50533-12-2024%' or</v>
      </c>
    </row>
    <row r="1576" spans="1:5" x14ac:dyDescent="0.25">
      <c r="A1576" t="s">
        <v>1401</v>
      </c>
      <c r="B1576" t="s">
        <v>4021</v>
      </c>
      <c r="D1576">
        <v>50535</v>
      </c>
      <c r="E1576" t="str">
        <f t="shared" si="24"/>
        <v>ia.assorted_string like '%50535-12-2024%' or</v>
      </c>
    </row>
    <row r="1577" spans="1:5" x14ac:dyDescent="0.25">
      <c r="A1577" t="s">
        <v>1414</v>
      </c>
      <c r="B1577" t="s">
        <v>4021</v>
      </c>
      <c r="D1577">
        <v>50536</v>
      </c>
      <c r="E1577" t="str">
        <f t="shared" si="24"/>
        <v>ia.assorted_string like '%50536-12-2024%' or</v>
      </c>
    </row>
    <row r="1578" spans="1:5" x14ac:dyDescent="0.25">
      <c r="A1578" t="s">
        <v>1422</v>
      </c>
      <c r="B1578" t="s">
        <v>4021</v>
      </c>
      <c r="D1578">
        <v>50537</v>
      </c>
      <c r="E1578" t="str">
        <f t="shared" si="24"/>
        <v>ia.assorted_string like '%50537-12-2024%' or</v>
      </c>
    </row>
    <row r="1579" spans="1:5" x14ac:dyDescent="0.25">
      <c r="A1579" t="s">
        <v>1440</v>
      </c>
      <c r="B1579" t="s">
        <v>4021</v>
      </c>
      <c r="D1579">
        <v>50538</v>
      </c>
      <c r="E1579" t="str">
        <f t="shared" si="24"/>
        <v>ia.assorted_string like '%50538-12-2024%' or</v>
      </c>
    </row>
    <row r="1580" spans="1:5" x14ac:dyDescent="0.25">
      <c r="A1580" t="s">
        <v>1442</v>
      </c>
      <c r="B1580" t="s">
        <v>4021</v>
      </c>
      <c r="D1580">
        <v>50539</v>
      </c>
      <c r="E1580" t="str">
        <f t="shared" si="24"/>
        <v>ia.assorted_string like '%50539-12-2024%' or</v>
      </c>
    </row>
    <row r="1581" spans="1:5" x14ac:dyDescent="0.25">
      <c r="A1581" t="s">
        <v>1445</v>
      </c>
      <c r="B1581" t="s">
        <v>4021</v>
      </c>
      <c r="D1581">
        <v>50540</v>
      </c>
      <c r="E1581" t="str">
        <f t="shared" si="24"/>
        <v>ia.assorted_string like '%50540-12-2024%' or</v>
      </c>
    </row>
    <row r="1582" spans="1:5" x14ac:dyDescent="0.25">
      <c r="A1582" t="s">
        <v>1457</v>
      </c>
      <c r="B1582" t="s">
        <v>4021</v>
      </c>
      <c r="D1582">
        <v>50541</v>
      </c>
      <c r="E1582" t="str">
        <f t="shared" si="24"/>
        <v>ia.assorted_string like '%50541-12-2024%' or</v>
      </c>
    </row>
    <row r="1583" spans="1:5" x14ac:dyDescent="0.25">
      <c r="A1583" t="s">
        <v>1465</v>
      </c>
      <c r="B1583" t="s">
        <v>4021</v>
      </c>
      <c r="D1583">
        <v>50542</v>
      </c>
      <c r="E1583" t="str">
        <f t="shared" si="24"/>
        <v>ia.assorted_string like '%50542-12-2024%' or</v>
      </c>
    </row>
    <row r="1584" spans="1:5" x14ac:dyDescent="0.25">
      <c r="A1584" t="s">
        <v>1475</v>
      </c>
      <c r="B1584" t="s">
        <v>4021</v>
      </c>
      <c r="D1584">
        <v>50543</v>
      </c>
      <c r="E1584" t="str">
        <f t="shared" si="24"/>
        <v>ia.assorted_string like '%50543-12-2024%' or</v>
      </c>
    </row>
    <row r="1585" spans="1:5" x14ac:dyDescent="0.25">
      <c r="A1585" t="s">
        <v>1484</v>
      </c>
      <c r="B1585" t="s">
        <v>4021</v>
      </c>
      <c r="D1585">
        <v>50544</v>
      </c>
      <c r="E1585" t="str">
        <f t="shared" si="24"/>
        <v>ia.assorted_string like '%50544-12-2024%' or</v>
      </c>
    </row>
    <row r="1586" spans="1:5" x14ac:dyDescent="0.25">
      <c r="A1586" t="s">
        <v>1487</v>
      </c>
      <c r="B1586" t="s">
        <v>4021</v>
      </c>
      <c r="D1586">
        <v>50546</v>
      </c>
      <c r="E1586" t="str">
        <f t="shared" si="24"/>
        <v>ia.assorted_string like '%50546-12-2024%' or</v>
      </c>
    </row>
    <row r="1587" spans="1:5" x14ac:dyDescent="0.25">
      <c r="A1587" t="s">
        <v>1501</v>
      </c>
      <c r="B1587" t="s">
        <v>4021</v>
      </c>
      <c r="D1587">
        <v>50547</v>
      </c>
      <c r="E1587" t="str">
        <f t="shared" si="24"/>
        <v>ia.assorted_string like '%50547-12-2024%' or</v>
      </c>
    </row>
    <row r="1588" spans="1:5" x14ac:dyDescent="0.25">
      <c r="A1588" t="s">
        <v>1511</v>
      </c>
      <c r="B1588" t="s">
        <v>4021</v>
      </c>
      <c r="D1588">
        <v>50548</v>
      </c>
      <c r="E1588" t="str">
        <f t="shared" si="24"/>
        <v>ia.assorted_string like '%50548-12-2024%' or</v>
      </c>
    </row>
    <row r="1589" spans="1:5" x14ac:dyDescent="0.25">
      <c r="A1589" t="s">
        <v>1524</v>
      </c>
      <c r="B1589" t="s">
        <v>4021</v>
      </c>
      <c r="D1589">
        <v>50550</v>
      </c>
      <c r="E1589" t="str">
        <f t="shared" si="24"/>
        <v>ia.assorted_string like '%50550-12-2024%' or</v>
      </c>
    </row>
    <row r="1590" spans="1:5" x14ac:dyDescent="0.25">
      <c r="A1590" t="s">
        <v>1543</v>
      </c>
      <c r="B1590" t="s">
        <v>4021</v>
      </c>
      <c r="D1590">
        <v>50551</v>
      </c>
      <c r="E1590" t="str">
        <f t="shared" si="24"/>
        <v>ia.assorted_string like '%50551-12-2024%' or</v>
      </c>
    </row>
    <row r="1591" spans="1:5" x14ac:dyDescent="0.25">
      <c r="A1591" t="s">
        <v>1547</v>
      </c>
      <c r="B1591" t="s">
        <v>4021</v>
      </c>
      <c r="D1591">
        <v>50552</v>
      </c>
      <c r="E1591" t="str">
        <f t="shared" si="24"/>
        <v>ia.assorted_string like '%50552-12-2024%' or</v>
      </c>
    </row>
    <row r="1592" spans="1:5" x14ac:dyDescent="0.25">
      <c r="A1592" t="s">
        <v>1558</v>
      </c>
      <c r="B1592" t="s">
        <v>4021</v>
      </c>
      <c r="D1592">
        <v>50554</v>
      </c>
      <c r="E1592" t="str">
        <f t="shared" si="24"/>
        <v>ia.assorted_string like '%50554-12-2024%' or</v>
      </c>
    </row>
    <row r="1593" spans="1:5" x14ac:dyDescent="0.25">
      <c r="A1593" t="s">
        <v>1578</v>
      </c>
      <c r="B1593" t="s">
        <v>4021</v>
      </c>
      <c r="D1593">
        <v>50555</v>
      </c>
      <c r="E1593" t="str">
        <f t="shared" si="24"/>
        <v>ia.assorted_string like '%50555-12-2024%' or</v>
      </c>
    </row>
    <row r="1594" spans="1:5" x14ac:dyDescent="0.25">
      <c r="A1594" t="s">
        <v>1602</v>
      </c>
      <c r="B1594" t="s">
        <v>4021</v>
      </c>
      <c r="D1594">
        <v>50556</v>
      </c>
      <c r="E1594" t="str">
        <f t="shared" si="24"/>
        <v>ia.assorted_string like '%50556-12-2024%' or</v>
      </c>
    </row>
    <row r="1595" spans="1:5" x14ac:dyDescent="0.25">
      <c r="A1595" t="s">
        <v>1605</v>
      </c>
      <c r="B1595" t="s">
        <v>4021</v>
      </c>
      <c r="D1595">
        <v>50557</v>
      </c>
      <c r="E1595" t="str">
        <f t="shared" si="24"/>
        <v>ia.assorted_string like '%50557-12-2024%' or</v>
      </c>
    </row>
    <row r="1596" spans="1:5" x14ac:dyDescent="0.25">
      <c r="A1596" t="s">
        <v>1616</v>
      </c>
      <c r="B1596" t="s">
        <v>4021</v>
      </c>
      <c r="D1596">
        <v>50558</v>
      </c>
      <c r="E1596" t="str">
        <f t="shared" si="24"/>
        <v>ia.assorted_string like '%50558-12-2024%' or</v>
      </c>
    </row>
    <row r="1597" spans="1:5" x14ac:dyDescent="0.25">
      <c r="A1597" t="s">
        <v>1626</v>
      </c>
      <c r="B1597" t="s">
        <v>4021</v>
      </c>
      <c r="D1597">
        <v>50559</v>
      </c>
      <c r="E1597" t="str">
        <f t="shared" si="24"/>
        <v>ia.assorted_string like '%50559-12-2024%' or</v>
      </c>
    </row>
    <row r="1598" spans="1:5" x14ac:dyDescent="0.25">
      <c r="A1598" t="s">
        <v>1648</v>
      </c>
      <c r="B1598" t="s">
        <v>4021</v>
      </c>
      <c r="D1598">
        <v>50560</v>
      </c>
      <c r="E1598" t="str">
        <f t="shared" si="24"/>
        <v>ia.assorted_string like '%50560-12-2024%' or</v>
      </c>
    </row>
    <row r="1599" spans="1:5" x14ac:dyDescent="0.25">
      <c r="A1599" t="s">
        <v>1655</v>
      </c>
      <c r="B1599" t="s">
        <v>4021</v>
      </c>
      <c r="D1599">
        <v>50561</v>
      </c>
      <c r="E1599" t="str">
        <f t="shared" si="24"/>
        <v>ia.assorted_string like '%50561-12-2024%' or</v>
      </c>
    </row>
    <row r="1600" spans="1:5" x14ac:dyDescent="0.25">
      <c r="A1600" t="s">
        <v>1671</v>
      </c>
      <c r="B1600" t="s">
        <v>4021</v>
      </c>
      <c r="D1600">
        <v>50562</v>
      </c>
      <c r="E1600" t="str">
        <f t="shared" si="24"/>
        <v>ia.assorted_string like '%50562-12-2024%' or</v>
      </c>
    </row>
    <row r="1601" spans="1:5" x14ac:dyDescent="0.25">
      <c r="A1601" t="s">
        <v>1681</v>
      </c>
      <c r="B1601" t="s">
        <v>4021</v>
      </c>
      <c r="D1601">
        <v>50564</v>
      </c>
      <c r="E1601" t="str">
        <f t="shared" si="24"/>
        <v>ia.assorted_string like '%50564-12-2024%' or</v>
      </c>
    </row>
    <row r="1602" spans="1:5" x14ac:dyDescent="0.25">
      <c r="A1602" t="s">
        <v>1693</v>
      </c>
      <c r="B1602" t="s">
        <v>4021</v>
      </c>
      <c r="D1602">
        <v>50565</v>
      </c>
      <c r="E1602" t="str">
        <f t="shared" ref="E1602:E1665" si="25">"ia.assorted_string like '%"&amp;D1602&amp;B1602&amp;"%' or"</f>
        <v>ia.assorted_string like '%50565-12-2024%' or</v>
      </c>
    </row>
    <row r="1603" spans="1:5" x14ac:dyDescent="0.25">
      <c r="A1603" t="s">
        <v>1706</v>
      </c>
      <c r="B1603" t="s">
        <v>4021</v>
      </c>
      <c r="D1603">
        <v>50566</v>
      </c>
      <c r="E1603" t="str">
        <f t="shared" si="25"/>
        <v>ia.assorted_string like '%50566-12-2024%' or</v>
      </c>
    </row>
    <row r="1604" spans="1:5" x14ac:dyDescent="0.25">
      <c r="A1604" t="s">
        <v>1712</v>
      </c>
      <c r="B1604" t="s">
        <v>4021</v>
      </c>
      <c r="D1604">
        <v>50567</v>
      </c>
      <c r="E1604" t="str">
        <f t="shared" si="25"/>
        <v>ia.assorted_string like '%50567-12-2024%' or</v>
      </c>
    </row>
    <row r="1605" spans="1:5" x14ac:dyDescent="0.25">
      <c r="A1605" t="s">
        <v>1725</v>
      </c>
      <c r="B1605" t="s">
        <v>4021</v>
      </c>
      <c r="D1605">
        <v>50568</v>
      </c>
      <c r="E1605" t="str">
        <f t="shared" si="25"/>
        <v>ia.assorted_string like '%50568-12-2024%' or</v>
      </c>
    </row>
    <row r="1606" spans="1:5" x14ac:dyDescent="0.25">
      <c r="A1606" t="s">
        <v>1732</v>
      </c>
      <c r="B1606" t="s">
        <v>4021</v>
      </c>
      <c r="D1606">
        <v>50569</v>
      </c>
      <c r="E1606" t="str">
        <f t="shared" si="25"/>
        <v>ia.assorted_string like '%50569-12-2024%' or</v>
      </c>
    </row>
    <row r="1607" spans="1:5" x14ac:dyDescent="0.25">
      <c r="A1607" t="s">
        <v>1742</v>
      </c>
      <c r="B1607" t="s">
        <v>4021</v>
      </c>
      <c r="D1607">
        <v>50570</v>
      </c>
      <c r="E1607" t="str">
        <f t="shared" si="25"/>
        <v>ia.assorted_string like '%50570-12-2024%' or</v>
      </c>
    </row>
    <row r="1608" spans="1:5" x14ac:dyDescent="0.25">
      <c r="A1608" t="s">
        <v>1769</v>
      </c>
      <c r="B1608" t="s">
        <v>4021</v>
      </c>
      <c r="D1608">
        <v>50573</v>
      </c>
      <c r="E1608" t="str">
        <f t="shared" si="25"/>
        <v>ia.assorted_string like '%50573-12-2024%' or</v>
      </c>
    </row>
    <row r="1609" spans="1:5" x14ac:dyDescent="0.25">
      <c r="A1609" t="s">
        <v>1821</v>
      </c>
      <c r="B1609" t="s">
        <v>4021</v>
      </c>
      <c r="D1609">
        <v>50575</v>
      </c>
      <c r="E1609" t="str">
        <f t="shared" si="25"/>
        <v>ia.assorted_string like '%50575-12-2024%' or</v>
      </c>
    </row>
    <row r="1610" spans="1:5" x14ac:dyDescent="0.25">
      <c r="A1610" t="s">
        <v>1835</v>
      </c>
      <c r="B1610" t="s">
        <v>4021</v>
      </c>
      <c r="D1610">
        <v>50577</v>
      </c>
      <c r="E1610" t="str">
        <f t="shared" si="25"/>
        <v>ia.assorted_string like '%50577-12-2024%' or</v>
      </c>
    </row>
    <row r="1611" spans="1:5" x14ac:dyDescent="0.25">
      <c r="A1611" t="s">
        <v>1842</v>
      </c>
      <c r="B1611" t="s">
        <v>4021</v>
      </c>
      <c r="D1611">
        <v>50579</v>
      </c>
      <c r="E1611" t="str">
        <f t="shared" si="25"/>
        <v>ia.assorted_string like '%50579-12-2024%' or</v>
      </c>
    </row>
    <row r="1612" spans="1:5" x14ac:dyDescent="0.25">
      <c r="A1612" t="s">
        <v>1850</v>
      </c>
      <c r="B1612" t="s">
        <v>4021</v>
      </c>
      <c r="D1612">
        <v>50580</v>
      </c>
      <c r="E1612" t="str">
        <f t="shared" si="25"/>
        <v>ia.assorted_string like '%50580-12-2024%' or</v>
      </c>
    </row>
    <row r="1613" spans="1:5" x14ac:dyDescent="0.25">
      <c r="A1613" t="s">
        <v>1863</v>
      </c>
      <c r="B1613" t="s">
        <v>4021</v>
      </c>
      <c r="D1613">
        <v>50581</v>
      </c>
      <c r="E1613" t="str">
        <f t="shared" si="25"/>
        <v>ia.assorted_string like '%50581-12-2024%' or</v>
      </c>
    </row>
    <row r="1614" spans="1:5" x14ac:dyDescent="0.25">
      <c r="A1614" t="s">
        <v>1871</v>
      </c>
      <c r="B1614" t="s">
        <v>4021</v>
      </c>
      <c r="D1614">
        <v>50582</v>
      </c>
      <c r="E1614" t="str">
        <f t="shared" si="25"/>
        <v>ia.assorted_string like '%50582-12-2024%' or</v>
      </c>
    </row>
    <row r="1615" spans="1:5" x14ac:dyDescent="0.25">
      <c r="A1615" t="s">
        <v>1897</v>
      </c>
      <c r="B1615" t="s">
        <v>4021</v>
      </c>
      <c r="D1615">
        <v>50583</v>
      </c>
      <c r="E1615" t="str">
        <f t="shared" si="25"/>
        <v>ia.assorted_string like '%50583-12-2024%' or</v>
      </c>
    </row>
    <row r="1616" spans="1:5" x14ac:dyDescent="0.25">
      <c r="A1616" t="s">
        <v>1905</v>
      </c>
      <c r="B1616" t="s">
        <v>4021</v>
      </c>
      <c r="D1616">
        <v>50584</v>
      </c>
      <c r="E1616" t="str">
        <f t="shared" si="25"/>
        <v>ia.assorted_string like '%50584-12-2024%' or</v>
      </c>
    </row>
    <row r="1617" spans="1:5" x14ac:dyDescent="0.25">
      <c r="A1617" t="s">
        <v>1925</v>
      </c>
      <c r="B1617" t="s">
        <v>4021</v>
      </c>
      <c r="D1617">
        <v>50586</v>
      </c>
      <c r="E1617" t="str">
        <f t="shared" si="25"/>
        <v>ia.assorted_string like '%50586-12-2024%' or</v>
      </c>
    </row>
    <row r="1618" spans="1:5" x14ac:dyDescent="0.25">
      <c r="A1618" t="s">
        <v>1939</v>
      </c>
      <c r="B1618" t="s">
        <v>4021</v>
      </c>
      <c r="D1618">
        <v>50587</v>
      </c>
      <c r="E1618" t="str">
        <f t="shared" si="25"/>
        <v>ia.assorted_string like '%50587-12-2024%' or</v>
      </c>
    </row>
    <row r="1619" spans="1:5" x14ac:dyDescent="0.25">
      <c r="A1619" t="s">
        <v>1947</v>
      </c>
      <c r="B1619" t="s">
        <v>4021</v>
      </c>
      <c r="D1619">
        <v>50589</v>
      </c>
      <c r="E1619" t="str">
        <f t="shared" si="25"/>
        <v>ia.assorted_string like '%50589-12-2024%' or</v>
      </c>
    </row>
    <row r="1620" spans="1:5" x14ac:dyDescent="0.25">
      <c r="A1620" t="s">
        <v>1963</v>
      </c>
      <c r="B1620" t="s">
        <v>4021</v>
      </c>
      <c r="D1620">
        <v>50591</v>
      </c>
      <c r="E1620" t="str">
        <f t="shared" si="25"/>
        <v>ia.assorted_string like '%50591-12-2024%' or</v>
      </c>
    </row>
    <row r="1621" spans="1:5" x14ac:dyDescent="0.25">
      <c r="A1621" t="s">
        <v>1966</v>
      </c>
      <c r="B1621" t="s">
        <v>4021</v>
      </c>
      <c r="D1621">
        <v>50592</v>
      </c>
      <c r="E1621" t="str">
        <f t="shared" si="25"/>
        <v>ia.assorted_string like '%50592-12-2024%' or</v>
      </c>
    </row>
    <row r="1622" spans="1:5" x14ac:dyDescent="0.25">
      <c r="A1622" t="s">
        <v>1744</v>
      </c>
      <c r="B1622" t="s">
        <v>4021</v>
      </c>
      <c r="D1622">
        <v>50616</v>
      </c>
      <c r="E1622" t="str">
        <f t="shared" si="25"/>
        <v>ia.assorted_string like '%50616-12-2024%' or</v>
      </c>
    </row>
    <row r="1623" spans="1:5" x14ac:dyDescent="0.25">
      <c r="A1623" t="s">
        <v>1970</v>
      </c>
      <c r="B1623" t="s">
        <v>4021</v>
      </c>
      <c r="D1623">
        <v>50626</v>
      </c>
      <c r="E1623" t="str">
        <f t="shared" si="25"/>
        <v>ia.assorted_string like '%50626-12-2024%' or</v>
      </c>
    </row>
    <row r="1624" spans="1:5" x14ac:dyDescent="0.25">
      <c r="A1624" t="s">
        <v>2000</v>
      </c>
      <c r="B1624" t="s">
        <v>4021</v>
      </c>
      <c r="D1624">
        <v>50674</v>
      </c>
      <c r="E1624" t="str">
        <f t="shared" si="25"/>
        <v>ia.assorted_string like '%50674-12-2024%' or</v>
      </c>
    </row>
    <row r="1625" spans="1:5" x14ac:dyDescent="0.25">
      <c r="A1625" t="s">
        <v>1886</v>
      </c>
      <c r="B1625" t="s">
        <v>4022</v>
      </c>
      <c r="D1625">
        <v>50696</v>
      </c>
      <c r="E1625" t="str">
        <f t="shared" si="25"/>
        <v>ia.assorted_string like '%50696-01-2025%' or</v>
      </c>
    </row>
    <row r="1626" spans="1:5" x14ac:dyDescent="0.25">
      <c r="A1626" t="s">
        <v>1991</v>
      </c>
      <c r="B1626" t="s">
        <v>4022</v>
      </c>
      <c r="D1626">
        <v>50699</v>
      </c>
      <c r="E1626" t="str">
        <f t="shared" si="25"/>
        <v>ia.assorted_string like '%50699-01-2025%' or</v>
      </c>
    </row>
    <row r="1627" spans="1:5" x14ac:dyDescent="0.25">
      <c r="A1627" t="s">
        <v>2007</v>
      </c>
      <c r="B1627" t="s">
        <v>4022</v>
      </c>
      <c r="D1627">
        <v>50731</v>
      </c>
      <c r="E1627" t="str">
        <f t="shared" si="25"/>
        <v>ia.assorted_string like '%50731-01-2025%' or</v>
      </c>
    </row>
    <row r="1628" spans="1:5" x14ac:dyDescent="0.25">
      <c r="A1628" t="s">
        <v>1266</v>
      </c>
      <c r="B1628" t="s">
        <v>4022</v>
      </c>
      <c r="D1628">
        <v>50819</v>
      </c>
      <c r="E1628" t="str">
        <f t="shared" si="25"/>
        <v>ia.assorted_string like '%50819-01-2025%' or</v>
      </c>
    </row>
    <row r="1629" spans="1:5" x14ac:dyDescent="0.25">
      <c r="A1629" t="s">
        <v>1698</v>
      </c>
      <c r="B1629" t="s">
        <v>4022</v>
      </c>
      <c r="D1629">
        <v>50835</v>
      </c>
      <c r="E1629" t="str">
        <f t="shared" si="25"/>
        <v>ia.assorted_string like '%50835-01-2025%' or</v>
      </c>
    </row>
    <row r="1630" spans="1:5" x14ac:dyDescent="0.25">
      <c r="A1630" t="s">
        <v>1823</v>
      </c>
      <c r="B1630" t="s">
        <v>4022</v>
      </c>
      <c r="D1630">
        <v>50839</v>
      </c>
      <c r="E1630" t="str">
        <f t="shared" si="25"/>
        <v>ia.assorted_string like '%50839-01-2025%' or</v>
      </c>
    </row>
    <row r="1631" spans="1:5" x14ac:dyDescent="0.25">
      <c r="A1631" t="s">
        <v>2013</v>
      </c>
      <c r="B1631" t="s">
        <v>4022</v>
      </c>
      <c r="D1631">
        <v>50853</v>
      </c>
      <c r="E1631" t="str">
        <f t="shared" si="25"/>
        <v>ia.assorted_string like '%50853-01-2025%' or</v>
      </c>
    </row>
    <row r="1632" spans="1:5" x14ac:dyDescent="0.25">
      <c r="A1632" t="s">
        <v>1301</v>
      </c>
      <c r="B1632" t="s">
        <v>4022</v>
      </c>
      <c r="D1632">
        <v>51516</v>
      </c>
      <c r="E1632" t="str">
        <f t="shared" si="25"/>
        <v>ia.assorted_string like '%51516-01-2025%' or</v>
      </c>
    </row>
    <row r="1633" spans="1:5" x14ac:dyDescent="0.25">
      <c r="A1633" t="s">
        <v>1913</v>
      </c>
      <c r="B1633" t="s">
        <v>4022</v>
      </c>
      <c r="D1633">
        <v>51525</v>
      </c>
      <c r="E1633" t="str">
        <f t="shared" si="25"/>
        <v>ia.assorted_string like '%51525-01-2025%' or</v>
      </c>
    </row>
    <row r="1634" spans="1:5" x14ac:dyDescent="0.25">
      <c r="A1634" t="s">
        <v>1213</v>
      </c>
      <c r="B1634" t="s">
        <v>4022</v>
      </c>
      <c r="D1634">
        <v>51554</v>
      </c>
      <c r="E1634" t="str">
        <f t="shared" si="25"/>
        <v>ia.assorted_string like '%51554-01-2025%' or</v>
      </c>
    </row>
    <row r="1635" spans="1:5" x14ac:dyDescent="0.25">
      <c r="A1635" t="s">
        <v>1929</v>
      </c>
      <c r="B1635" t="s">
        <v>4022</v>
      </c>
      <c r="D1635">
        <v>51636</v>
      </c>
      <c r="E1635" t="str">
        <f t="shared" si="25"/>
        <v>ia.assorted_string like '%51636-01-2025%' or</v>
      </c>
    </row>
    <row r="1636" spans="1:5" x14ac:dyDescent="0.25">
      <c r="A1636" t="s">
        <v>1790</v>
      </c>
      <c r="B1636" t="s">
        <v>4022</v>
      </c>
      <c r="D1636">
        <v>51650</v>
      </c>
      <c r="E1636" t="str">
        <f t="shared" si="25"/>
        <v>ia.assorted_string like '%51650-01-2025%' or</v>
      </c>
    </row>
    <row r="1637" spans="1:5" x14ac:dyDescent="0.25">
      <c r="A1637" t="s">
        <v>1568</v>
      </c>
      <c r="B1637" t="s">
        <v>4022</v>
      </c>
      <c r="D1637">
        <v>51668</v>
      </c>
      <c r="E1637" t="str">
        <f t="shared" si="25"/>
        <v>ia.assorted_string like '%51668-01-2025%' or</v>
      </c>
    </row>
    <row r="1638" spans="1:5" x14ac:dyDescent="0.25">
      <c r="A1638" t="s">
        <v>1587</v>
      </c>
      <c r="B1638" t="s">
        <v>4022</v>
      </c>
      <c r="D1638">
        <v>51777</v>
      </c>
      <c r="E1638" t="str">
        <f t="shared" si="25"/>
        <v>ia.assorted_string like '%51777-01-2025%' or</v>
      </c>
    </row>
    <row r="1639" spans="1:5" x14ac:dyDescent="0.25">
      <c r="A1639" t="s">
        <v>1516</v>
      </c>
      <c r="B1639" t="s">
        <v>4022</v>
      </c>
      <c r="D1639">
        <v>51815</v>
      </c>
      <c r="E1639" t="str">
        <f t="shared" si="25"/>
        <v>ia.assorted_string like '%51815-01-2025%' or</v>
      </c>
    </row>
    <row r="1640" spans="1:5" x14ac:dyDescent="0.25">
      <c r="A1640" t="s">
        <v>1794</v>
      </c>
      <c r="B1640" t="s">
        <v>4022</v>
      </c>
      <c r="D1640">
        <v>51857</v>
      </c>
      <c r="E1640" t="str">
        <f t="shared" si="25"/>
        <v>ia.assorted_string like '%51857-01-2025%' or</v>
      </c>
    </row>
    <row r="1641" spans="1:5" x14ac:dyDescent="0.25">
      <c r="A1641" t="s">
        <v>1745</v>
      </c>
      <c r="B1641" t="s">
        <v>4022</v>
      </c>
      <c r="D1641">
        <v>51874</v>
      </c>
      <c r="E1641" t="str">
        <f t="shared" si="25"/>
        <v>ia.assorted_string like '%51874-01-2025%' or</v>
      </c>
    </row>
    <row r="1642" spans="1:5" x14ac:dyDescent="0.25">
      <c r="A1642" t="s">
        <v>1971</v>
      </c>
      <c r="B1642" t="s">
        <v>4022</v>
      </c>
      <c r="D1642">
        <v>51888</v>
      </c>
      <c r="E1642" t="str">
        <f t="shared" si="25"/>
        <v>ia.assorted_string like '%51888-01-2025%' or</v>
      </c>
    </row>
    <row r="1643" spans="1:5" x14ac:dyDescent="0.25">
      <c r="A1643" t="s">
        <v>6</v>
      </c>
      <c r="B1643" t="s">
        <v>4022</v>
      </c>
      <c r="D1643">
        <v>51897</v>
      </c>
      <c r="E1643" t="str">
        <f t="shared" si="25"/>
        <v>ia.assorted_string like '%51897-01-2025%' or</v>
      </c>
    </row>
    <row r="1644" spans="1:5" x14ac:dyDescent="0.25">
      <c r="A1644" t="s">
        <v>2001</v>
      </c>
      <c r="B1644" t="s">
        <v>4022</v>
      </c>
      <c r="D1644">
        <v>51936</v>
      </c>
      <c r="E1644" t="str">
        <f t="shared" si="25"/>
        <v>ia.assorted_string like '%51936-01-2025%' or</v>
      </c>
    </row>
    <row r="1645" spans="1:5" x14ac:dyDescent="0.25">
      <c r="A1645" t="s">
        <v>1249</v>
      </c>
      <c r="B1645" t="s">
        <v>4022</v>
      </c>
      <c r="D1645">
        <v>51956</v>
      </c>
      <c r="E1645" t="str">
        <f t="shared" si="25"/>
        <v>ia.assorted_string like '%51956-01-2025%' or</v>
      </c>
    </row>
    <row r="1646" spans="1:5" x14ac:dyDescent="0.25">
      <c r="A1646" t="s">
        <v>1628</v>
      </c>
      <c r="B1646" t="s">
        <v>4023</v>
      </c>
      <c r="D1646">
        <v>51974</v>
      </c>
      <c r="E1646" t="str">
        <f t="shared" si="25"/>
        <v>ia.assorted_string like '%51974-02-2025%' or</v>
      </c>
    </row>
    <row r="1647" spans="1:5" x14ac:dyDescent="0.25">
      <c r="A1647" t="s">
        <v>1629</v>
      </c>
      <c r="B1647" t="s">
        <v>4023</v>
      </c>
      <c r="D1647">
        <v>51975</v>
      </c>
      <c r="E1647" t="str">
        <f t="shared" si="25"/>
        <v>ia.assorted_string like '%51975-02-2025%' or</v>
      </c>
    </row>
    <row r="1648" spans="1:5" x14ac:dyDescent="0.25">
      <c r="A1648" t="s">
        <v>1630</v>
      </c>
      <c r="B1648" t="s">
        <v>4023</v>
      </c>
      <c r="D1648">
        <v>51976</v>
      </c>
      <c r="E1648" t="str">
        <f t="shared" si="25"/>
        <v>ia.assorted_string like '%51976-02-2025%' or</v>
      </c>
    </row>
    <row r="1649" spans="1:5" x14ac:dyDescent="0.25">
      <c r="A1649" t="s">
        <v>1631</v>
      </c>
      <c r="B1649" t="s">
        <v>4023</v>
      </c>
      <c r="D1649">
        <v>51977</v>
      </c>
      <c r="E1649" t="str">
        <f t="shared" si="25"/>
        <v>ia.assorted_string like '%51977-02-2025%' or</v>
      </c>
    </row>
    <row r="1650" spans="1:5" x14ac:dyDescent="0.25">
      <c r="A1650" t="s">
        <v>1632</v>
      </c>
      <c r="B1650" t="s">
        <v>4023</v>
      </c>
      <c r="D1650">
        <v>51978</v>
      </c>
      <c r="E1650" t="str">
        <f t="shared" si="25"/>
        <v>ia.assorted_string like '%51978-02-2025%' or</v>
      </c>
    </row>
    <row r="1651" spans="1:5" x14ac:dyDescent="0.25">
      <c r="A1651" t="s">
        <v>1633</v>
      </c>
      <c r="B1651" t="s">
        <v>4023</v>
      </c>
      <c r="D1651">
        <v>51979</v>
      </c>
      <c r="E1651" t="str">
        <f t="shared" si="25"/>
        <v>ia.assorted_string like '%51979-02-2025%' or</v>
      </c>
    </row>
    <row r="1652" spans="1:5" x14ac:dyDescent="0.25">
      <c r="A1652" t="s">
        <v>1634</v>
      </c>
      <c r="B1652" t="s">
        <v>4023</v>
      </c>
      <c r="D1652">
        <v>51980</v>
      </c>
      <c r="E1652" t="str">
        <f t="shared" si="25"/>
        <v>ia.assorted_string like '%51980-02-2025%' or</v>
      </c>
    </row>
    <row r="1653" spans="1:5" x14ac:dyDescent="0.25">
      <c r="A1653" t="s">
        <v>1635</v>
      </c>
      <c r="B1653" t="s">
        <v>4023</v>
      </c>
      <c r="D1653">
        <v>51981</v>
      </c>
      <c r="E1653" t="str">
        <f t="shared" si="25"/>
        <v>ia.assorted_string like '%51981-02-2025%' or</v>
      </c>
    </row>
    <row r="1654" spans="1:5" x14ac:dyDescent="0.25">
      <c r="A1654" t="s">
        <v>1887</v>
      </c>
      <c r="B1654" t="s">
        <v>4023</v>
      </c>
      <c r="D1654">
        <v>52009</v>
      </c>
      <c r="E1654" t="str">
        <f t="shared" si="25"/>
        <v>ia.assorted_string like '%52009-02-2025%' or</v>
      </c>
    </row>
    <row r="1655" spans="1:5" x14ac:dyDescent="0.25">
      <c r="A1655" t="s">
        <v>1992</v>
      </c>
      <c r="B1655" t="s">
        <v>4023</v>
      </c>
      <c r="D1655">
        <v>52012</v>
      </c>
      <c r="E1655" t="str">
        <f t="shared" si="25"/>
        <v>ia.assorted_string like '%52012-02-2025%' or</v>
      </c>
    </row>
    <row r="1656" spans="1:5" x14ac:dyDescent="0.25">
      <c r="A1656" t="s">
        <v>2008</v>
      </c>
      <c r="B1656" t="s">
        <v>4023</v>
      </c>
      <c r="D1656">
        <v>52061</v>
      </c>
      <c r="E1656" t="str">
        <f t="shared" si="25"/>
        <v>ia.assorted_string like '%52061-02-2025%' or</v>
      </c>
    </row>
    <row r="1657" spans="1:5" x14ac:dyDescent="0.25">
      <c r="A1657" t="s">
        <v>1636</v>
      </c>
      <c r="B1657" t="s">
        <v>4023</v>
      </c>
      <c r="D1657">
        <v>52080</v>
      </c>
      <c r="E1657" t="str">
        <f t="shared" si="25"/>
        <v>ia.assorted_string like '%52080-02-2025%' or</v>
      </c>
    </row>
    <row r="1658" spans="1:5" x14ac:dyDescent="0.25">
      <c r="A1658" t="s">
        <v>1637</v>
      </c>
      <c r="B1658" t="s">
        <v>4023</v>
      </c>
      <c r="D1658">
        <v>52081</v>
      </c>
      <c r="E1658" t="str">
        <f t="shared" si="25"/>
        <v>ia.assorted_string like '%52081-02-2025%' or</v>
      </c>
    </row>
    <row r="1659" spans="1:5" x14ac:dyDescent="0.25">
      <c r="A1659" t="s">
        <v>1699</v>
      </c>
      <c r="B1659" t="s">
        <v>4023</v>
      </c>
      <c r="D1659">
        <v>52085</v>
      </c>
      <c r="E1659" t="str">
        <f t="shared" si="25"/>
        <v>ia.assorted_string like '%52085-02-2025%' or</v>
      </c>
    </row>
    <row r="1660" spans="1:5" x14ac:dyDescent="0.25">
      <c r="A1660" t="s">
        <v>1824</v>
      </c>
      <c r="B1660" t="s">
        <v>4023</v>
      </c>
      <c r="D1660">
        <v>52088</v>
      </c>
      <c r="E1660" t="str">
        <f t="shared" si="25"/>
        <v>ia.assorted_string like '%52088-02-2025%' or</v>
      </c>
    </row>
    <row r="1661" spans="1:5" x14ac:dyDescent="0.25">
      <c r="A1661" t="s">
        <v>1914</v>
      </c>
      <c r="B1661" t="s">
        <v>4023</v>
      </c>
      <c r="D1661">
        <v>52246</v>
      </c>
      <c r="E1661" t="str">
        <f t="shared" si="25"/>
        <v>ia.assorted_string like '%52246-02-2025%' or</v>
      </c>
    </row>
    <row r="1662" spans="1:5" x14ac:dyDescent="0.25">
      <c r="A1662" t="s">
        <v>1569</v>
      </c>
      <c r="B1662" t="s">
        <v>4023</v>
      </c>
      <c r="D1662">
        <v>52396</v>
      </c>
      <c r="E1662" t="str">
        <f t="shared" si="25"/>
        <v>ia.assorted_string like '%52396-02-2025%' or</v>
      </c>
    </row>
    <row r="1663" spans="1:5" x14ac:dyDescent="0.25">
      <c r="A1663" t="s">
        <v>1930</v>
      </c>
      <c r="B1663" t="s">
        <v>4023</v>
      </c>
      <c r="D1663">
        <v>52409</v>
      </c>
      <c r="E1663" t="str">
        <f t="shared" si="25"/>
        <v>ia.assorted_string like '%52409-02-2025%' or</v>
      </c>
    </row>
    <row r="1664" spans="1:5" x14ac:dyDescent="0.25">
      <c r="A1664" t="s">
        <v>1451</v>
      </c>
      <c r="B1664" t="s">
        <v>4023</v>
      </c>
      <c r="D1664">
        <v>52564</v>
      </c>
      <c r="E1664" t="str">
        <f t="shared" si="25"/>
        <v>ia.assorted_string like '%52564-02-2025%' or</v>
      </c>
    </row>
    <row r="1665" spans="1:5" x14ac:dyDescent="0.25">
      <c r="A1665" t="s">
        <v>1588</v>
      </c>
      <c r="B1665" t="s">
        <v>4023</v>
      </c>
      <c r="D1665">
        <v>52573</v>
      </c>
      <c r="E1665" t="str">
        <f t="shared" si="25"/>
        <v>ia.assorted_string like '%52573-02-2025%' or</v>
      </c>
    </row>
    <row r="1666" spans="1:5" x14ac:dyDescent="0.25">
      <c r="A1666" t="s">
        <v>1795</v>
      </c>
      <c r="B1666" t="s">
        <v>4023</v>
      </c>
      <c r="D1666">
        <v>52634</v>
      </c>
      <c r="E1666" t="str">
        <f t="shared" ref="E1666:E1729" si="26">"ia.assorted_string like '%"&amp;D1666&amp;B1666&amp;"%' or"</f>
        <v>ia.assorted_string like '%52634-02-2025%' or</v>
      </c>
    </row>
    <row r="1667" spans="1:5" x14ac:dyDescent="0.25">
      <c r="A1667" t="s">
        <v>1452</v>
      </c>
      <c r="B1667" t="s">
        <v>4023</v>
      </c>
      <c r="D1667">
        <v>52646</v>
      </c>
      <c r="E1667" t="str">
        <f t="shared" si="26"/>
        <v>ia.assorted_string like '%52646-02-2025%' or</v>
      </c>
    </row>
    <row r="1668" spans="1:5" x14ac:dyDescent="0.25">
      <c r="A1668" t="s">
        <v>1517</v>
      </c>
      <c r="B1668" t="s">
        <v>4023</v>
      </c>
      <c r="D1668">
        <v>52734</v>
      </c>
      <c r="E1668" t="str">
        <f t="shared" si="26"/>
        <v>ia.assorted_string like '%52734-02-2025%' or</v>
      </c>
    </row>
    <row r="1669" spans="1:5" x14ac:dyDescent="0.25">
      <c r="A1669" t="s">
        <v>7</v>
      </c>
      <c r="B1669" t="s">
        <v>4023</v>
      </c>
      <c r="D1669">
        <v>52749</v>
      </c>
      <c r="E1669" t="str">
        <f t="shared" si="26"/>
        <v>ia.assorted_string like '%52749-02-2025%' or</v>
      </c>
    </row>
    <row r="1670" spans="1:5" x14ac:dyDescent="0.25">
      <c r="A1670" t="s">
        <v>1746</v>
      </c>
      <c r="B1670" t="s">
        <v>4023</v>
      </c>
      <c r="D1670">
        <v>52764</v>
      </c>
      <c r="E1670" t="str">
        <f t="shared" si="26"/>
        <v>ia.assorted_string like '%52764-02-2025%' or</v>
      </c>
    </row>
    <row r="1671" spans="1:5" x14ac:dyDescent="0.25">
      <c r="A1671" t="s">
        <v>1972</v>
      </c>
      <c r="B1671" t="s">
        <v>4023</v>
      </c>
      <c r="D1671">
        <v>52771</v>
      </c>
      <c r="E1671" t="str">
        <f t="shared" si="26"/>
        <v>ia.assorted_string like '%52771-02-2025%' or</v>
      </c>
    </row>
    <row r="1672" spans="1:5" x14ac:dyDescent="0.25">
      <c r="A1672" t="s">
        <v>1993</v>
      </c>
      <c r="B1672" t="s">
        <v>4023</v>
      </c>
      <c r="D1672">
        <v>52808</v>
      </c>
      <c r="E1672" t="str">
        <f t="shared" si="26"/>
        <v>ia.assorted_string like '%52808-02-2025%' or</v>
      </c>
    </row>
    <row r="1673" spans="1:5" x14ac:dyDescent="0.25">
      <c r="A1673" t="s">
        <v>1888</v>
      </c>
      <c r="B1673" t="s">
        <v>4024</v>
      </c>
      <c r="D1673">
        <v>52848</v>
      </c>
      <c r="E1673" t="str">
        <f t="shared" si="26"/>
        <v>ia.assorted_string like '%52848-03-2025%' or</v>
      </c>
    </row>
    <row r="1674" spans="1:5" x14ac:dyDescent="0.25">
      <c r="A1674" t="s">
        <v>2009</v>
      </c>
      <c r="B1674" t="s">
        <v>4024</v>
      </c>
      <c r="D1674">
        <v>52859</v>
      </c>
      <c r="E1674" t="str">
        <f t="shared" si="26"/>
        <v>ia.assorted_string like '%52859-03-2025%' or</v>
      </c>
    </row>
    <row r="1675" spans="1:5" x14ac:dyDescent="0.25">
      <c r="A1675" t="s">
        <v>1700</v>
      </c>
      <c r="B1675" t="s">
        <v>4024</v>
      </c>
      <c r="D1675">
        <v>52888</v>
      </c>
      <c r="E1675" t="str">
        <f t="shared" si="26"/>
        <v>ia.assorted_string like '%52888-03-2025%' or</v>
      </c>
    </row>
    <row r="1676" spans="1:5" x14ac:dyDescent="0.25">
      <c r="A1676" t="s">
        <v>1714</v>
      </c>
      <c r="B1676" t="s">
        <v>4024</v>
      </c>
      <c r="D1676">
        <v>52889</v>
      </c>
      <c r="E1676" t="str">
        <f t="shared" si="26"/>
        <v>ia.assorted_string like '%52889-03-2025%' or</v>
      </c>
    </row>
    <row r="1677" spans="1:5" x14ac:dyDescent="0.25">
      <c r="A1677" t="s">
        <v>1907</v>
      </c>
      <c r="B1677" t="s">
        <v>4024</v>
      </c>
      <c r="D1677">
        <v>53094</v>
      </c>
      <c r="E1677" t="str">
        <f t="shared" si="26"/>
        <v>ia.assorted_string like '%53094-03-2025%' or</v>
      </c>
    </row>
    <row r="1678" spans="1:5" x14ac:dyDescent="0.25">
      <c r="A1678" t="s">
        <v>1915</v>
      </c>
      <c r="B1678" t="s">
        <v>4024</v>
      </c>
      <c r="D1678">
        <v>53159</v>
      </c>
      <c r="E1678" t="str">
        <f t="shared" si="26"/>
        <v>ia.assorted_string like '%53159-03-2025%' or</v>
      </c>
    </row>
    <row r="1679" spans="1:5" x14ac:dyDescent="0.25">
      <c r="A1679" t="s">
        <v>1570</v>
      </c>
      <c r="B1679" t="s">
        <v>4024</v>
      </c>
      <c r="D1679">
        <v>53501</v>
      </c>
      <c r="E1679" t="str">
        <f t="shared" si="26"/>
        <v>ia.assorted_string like '%53501-03-2025%' or</v>
      </c>
    </row>
    <row r="1680" spans="1:5" x14ac:dyDescent="0.25">
      <c r="A1680" t="s">
        <v>1931</v>
      </c>
      <c r="B1680" t="s">
        <v>4024</v>
      </c>
      <c r="D1680">
        <v>53520</v>
      </c>
      <c r="E1680" t="str">
        <f t="shared" si="26"/>
        <v>ia.assorted_string like '%53520-03-2025%' or</v>
      </c>
    </row>
    <row r="1681" spans="1:5" x14ac:dyDescent="0.25">
      <c r="A1681" t="s">
        <v>8</v>
      </c>
      <c r="B1681" t="s">
        <v>4024</v>
      </c>
      <c r="D1681">
        <v>58983</v>
      </c>
      <c r="E1681" t="str">
        <f t="shared" si="26"/>
        <v>ia.assorted_string like '%58983-03-2025%' or</v>
      </c>
    </row>
    <row r="1682" spans="1:5" x14ac:dyDescent="0.25">
      <c r="A1682" t="s">
        <v>1747</v>
      </c>
      <c r="B1682" t="s">
        <v>4024</v>
      </c>
      <c r="D1682">
        <v>59007</v>
      </c>
      <c r="E1682" t="str">
        <f t="shared" si="26"/>
        <v>ia.assorted_string like '%59007-03-2025%' or</v>
      </c>
    </row>
    <row r="1683" spans="1:5" x14ac:dyDescent="0.25">
      <c r="A1683" t="s">
        <v>1973</v>
      </c>
      <c r="B1683" t="s">
        <v>4024</v>
      </c>
      <c r="D1683">
        <v>59022</v>
      </c>
      <c r="E1683" t="str">
        <f t="shared" si="26"/>
        <v>ia.assorted_string like '%59022-03-2025%' or</v>
      </c>
    </row>
    <row r="1684" spans="1:5" x14ac:dyDescent="0.25">
      <c r="A1684" t="s">
        <v>1982</v>
      </c>
      <c r="B1684" t="s">
        <v>4025</v>
      </c>
      <c r="D1684">
        <v>59097</v>
      </c>
      <c r="E1684" t="str">
        <f t="shared" si="26"/>
        <v>ia.assorted_string like '%59097-04-2025%' or</v>
      </c>
    </row>
    <row r="1685" spans="1:5" x14ac:dyDescent="0.25">
      <c r="A1685" t="s">
        <v>1985</v>
      </c>
      <c r="B1685" t="s">
        <v>4025</v>
      </c>
      <c r="D1685">
        <v>59099</v>
      </c>
      <c r="E1685" t="str">
        <f t="shared" si="26"/>
        <v>ia.assorted_string like '%59099-04-2025%' or</v>
      </c>
    </row>
    <row r="1686" spans="1:5" x14ac:dyDescent="0.25">
      <c r="A1686" t="s">
        <v>1994</v>
      </c>
      <c r="B1686" t="s">
        <v>4025</v>
      </c>
      <c r="D1686">
        <v>59101</v>
      </c>
      <c r="E1686" t="str">
        <f t="shared" si="26"/>
        <v>ia.assorted_string like '%59101-04-2025%' or</v>
      </c>
    </row>
    <row r="1687" spans="1:5" x14ac:dyDescent="0.25">
      <c r="A1687" t="s">
        <v>2010</v>
      </c>
      <c r="B1687" t="s">
        <v>4025</v>
      </c>
      <c r="D1687">
        <v>59150</v>
      </c>
      <c r="E1687" t="str">
        <f t="shared" si="26"/>
        <v>ia.assorted_string like '%59150-04-2025%' or</v>
      </c>
    </row>
    <row r="1688" spans="1:5" x14ac:dyDescent="0.25">
      <c r="A1688" t="s">
        <v>1779</v>
      </c>
      <c r="B1688" t="s">
        <v>4024</v>
      </c>
      <c r="D1688">
        <v>59169</v>
      </c>
      <c r="E1688" t="str">
        <f t="shared" si="26"/>
        <v>ia.assorted_string like '%59169-03-2025%' or</v>
      </c>
    </row>
    <row r="1689" spans="1:5" x14ac:dyDescent="0.25">
      <c r="A1689" t="s">
        <v>1112</v>
      </c>
      <c r="B1689" t="s">
        <v>4024</v>
      </c>
      <c r="D1689">
        <v>59170</v>
      </c>
      <c r="E1689" t="str">
        <f t="shared" si="26"/>
        <v>ia.assorted_string like '%59170-03-2025%' or</v>
      </c>
    </row>
    <row r="1690" spans="1:5" x14ac:dyDescent="0.25">
      <c r="A1690" t="s">
        <v>2019</v>
      </c>
      <c r="B1690" t="s">
        <v>4024</v>
      </c>
      <c r="D1690">
        <v>59171</v>
      </c>
      <c r="E1690" t="str">
        <f t="shared" si="26"/>
        <v>ia.assorted_string like '%59171-03-2025%' or</v>
      </c>
    </row>
    <row r="1691" spans="1:5" x14ac:dyDescent="0.25">
      <c r="A1691" t="s">
        <v>2011</v>
      </c>
      <c r="B1691" t="s">
        <v>4024</v>
      </c>
      <c r="D1691">
        <v>59173</v>
      </c>
      <c r="E1691" t="str">
        <f t="shared" si="26"/>
        <v>ia.assorted_string like '%59173-03-2025%' or</v>
      </c>
    </row>
    <row r="1692" spans="1:5" x14ac:dyDescent="0.25">
      <c r="A1692" t="s">
        <v>1796</v>
      </c>
      <c r="B1692" t="s">
        <v>4024</v>
      </c>
      <c r="D1692">
        <v>59174</v>
      </c>
      <c r="E1692" t="str">
        <f t="shared" si="26"/>
        <v>ia.assorted_string like '%59174-03-2025%' or</v>
      </c>
    </row>
    <row r="1693" spans="1:5" x14ac:dyDescent="0.25">
      <c r="A1693" t="s">
        <v>1686</v>
      </c>
      <c r="B1693" t="s">
        <v>4024</v>
      </c>
      <c r="D1693">
        <v>59175</v>
      </c>
      <c r="E1693" t="str">
        <f t="shared" si="26"/>
        <v>ia.assorted_string like '%59175-03-2025%' or</v>
      </c>
    </row>
    <row r="1694" spans="1:5" x14ac:dyDescent="0.25">
      <c r="A1694" t="s">
        <v>1589</v>
      </c>
      <c r="B1694" t="s">
        <v>4024</v>
      </c>
      <c r="D1694">
        <v>59176</v>
      </c>
      <c r="E1694" t="str">
        <f t="shared" si="26"/>
        <v>ia.assorted_string like '%59176-03-2025%' or</v>
      </c>
    </row>
    <row r="1695" spans="1:5" x14ac:dyDescent="0.25">
      <c r="A1695" t="s">
        <v>1804</v>
      </c>
      <c r="B1695" t="s">
        <v>4024</v>
      </c>
      <c r="D1695">
        <v>59178</v>
      </c>
      <c r="E1695" t="str">
        <f t="shared" si="26"/>
        <v>ia.assorted_string like '%59178-03-2025%' or</v>
      </c>
    </row>
    <row r="1696" spans="1:5" x14ac:dyDescent="0.25">
      <c r="A1696" t="s">
        <v>1995</v>
      </c>
      <c r="B1696" t="s">
        <v>4024</v>
      </c>
      <c r="D1696">
        <v>59179</v>
      </c>
      <c r="E1696" t="str">
        <f t="shared" si="26"/>
        <v>ia.assorted_string like '%59179-03-2025%' or</v>
      </c>
    </row>
    <row r="1697" spans="1:5" x14ac:dyDescent="0.25">
      <c r="A1697" t="s">
        <v>2002</v>
      </c>
      <c r="B1697" t="s">
        <v>4024</v>
      </c>
      <c r="D1697">
        <v>59180</v>
      </c>
      <c r="E1697" t="str">
        <f t="shared" si="26"/>
        <v>ia.assorted_string like '%59180-03-2025%' or</v>
      </c>
    </row>
    <row r="1698" spans="1:5" x14ac:dyDescent="0.25">
      <c r="A1698" t="s">
        <v>1956</v>
      </c>
      <c r="B1698" t="s">
        <v>4024</v>
      </c>
      <c r="D1698">
        <v>59181</v>
      </c>
      <c r="E1698" t="str">
        <f t="shared" si="26"/>
        <v>ia.assorted_string like '%59181-03-2025%' or</v>
      </c>
    </row>
    <row r="1699" spans="1:5" x14ac:dyDescent="0.25">
      <c r="A1699" t="s">
        <v>1889</v>
      </c>
      <c r="B1699" t="s">
        <v>4024</v>
      </c>
      <c r="D1699">
        <v>59183</v>
      </c>
      <c r="E1699" t="str">
        <f t="shared" si="26"/>
        <v>ia.assorted_string like '%59183-03-2025%' or</v>
      </c>
    </row>
    <row r="1700" spans="1:5" x14ac:dyDescent="0.25">
      <c r="A1700" t="s">
        <v>1346</v>
      </c>
      <c r="B1700" t="s">
        <v>4024</v>
      </c>
      <c r="D1700">
        <v>59184</v>
      </c>
      <c r="E1700" t="str">
        <f t="shared" si="26"/>
        <v>ia.assorted_string like '%59184-03-2025%' or</v>
      </c>
    </row>
    <row r="1701" spans="1:5" x14ac:dyDescent="0.25">
      <c r="A1701" t="s">
        <v>1825</v>
      </c>
      <c r="B1701" t="s">
        <v>4024</v>
      </c>
      <c r="D1701">
        <v>59185</v>
      </c>
      <c r="E1701" t="str">
        <f t="shared" si="26"/>
        <v>ia.assorted_string like '%59185-03-2025%' or</v>
      </c>
    </row>
    <row r="1702" spans="1:5" x14ac:dyDescent="0.25">
      <c r="A1702" t="s">
        <v>1020</v>
      </c>
      <c r="B1702" t="s">
        <v>4024</v>
      </c>
      <c r="D1702">
        <v>59186</v>
      </c>
      <c r="E1702" t="str">
        <f t="shared" si="26"/>
        <v>ia.assorted_string like '%59186-03-2025%' or</v>
      </c>
    </row>
    <row r="1703" spans="1:5" x14ac:dyDescent="0.25">
      <c r="A1703" t="s">
        <v>1317</v>
      </c>
      <c r="B1703" t="s">
        <v>4024</v>
      </c>
      <c r="D1703">
        <v>59189</v>
      </c>
      <c r="E1703" t="str">
        <f t="shared" si="26"/>
        <v>ia.assorted_string like '%59189-03-2025%' or</v>
      </c>
    </row>
    <row r="1704" spans="1:5" x14ac:dyDescent="0.25">
      <c r="A1704" t="s">
        <v>1277</v>
      </c>
      <c r="B1704" t="s">
        <v>4024</v>
      </c>
      <c r="D1704">
        <v>59193</v>
      </c>
      <c r="E1704" t="str">
        <f t="shared" si="26"/>
        <v>ia.assorted_string like '%59193-03-2025%' or</v>
      </c>
    </row>
    <row r="1705" spans="1:5" x14ac:dyDescent="0.25">
      <c r="A1705" t="s">
        <v>1983</v>
      </c>
      <c r="B1705" t="s">
        <v>4024</v>
      </c>
      <c r="D1705">
        <v>59196</v>
      </c>
      <c r="E1705" t="str">
        <f t="shared" si="26"/>
        <v>ia.assorted_string like '%59196-03-2025%' or</v>
      </c>
    </row>
    <row r="1706" spans="1:5" x14ac:dyDescent="0.25">
      <c r="A1706" t="s">
        <v>1117</v>
      </c>
      <c r="B1706" t="s">
        <v>4024</v>
      </c>
      <c r="D1706">
        <v>59197</v>
      </c>
      <c r="E1706" t="str">
        <f t="shared" si="26"/>
        <v>ia.assorted_string like '%59197-03-2025%' or</v>
      </c>
    </row>
    <row r="1707" spans="1:5" x14ac:dyDescent="0.25">
      <c r="A1707" t="s">
        <v>1214</v>
      </c>
      <c r="B1707" t="s">
        <v>4024</v>
      </c>
      <c r="D1707">
        <v>59199</v>
      </c>
      <c r="E1707" t="str">
        <f t="shared" si="26"/>
        <v>ia.assorted_string like '%59199-03-2025%' or</v>
      </c>
    </row>
    <row r="1708" spans="1:5" x14ac:dyDescent="0.25">
      <c r="A1708" t="s">
        <v>1922</v>
      </c>
      <c r="B1708" t="s">
        <v>4024</v>
      </c>
      <c r="D1708">
        <v>59200</v>
      </c>
      <c r="E1708" t="str">
        <f t="shared" si="26"/>
        <v>ia.assorted_string like '%59200-03-2025%' or</v>
      </c>
    </row>
    <row r="1709" spans="1:5" x14ac:dyDescent="0.25">
      <c r="A1709" t="s">
        <v>1302</v>
      </c>
      <c r="B1709" t="s">
        <v>4024</v>
      </c>
      <c r="D1709">
        <v>59201</v>
      </c>
      <c r="E1709" t="str">
        <f t="shared" si="26"/>
        <v>ia.assorted_string like '%59201-03-2025%' or</v>
      </c>
    </row>
    <row r="1710" spans="1:5" x14ac:dyDescent="0.25">
      <c r="A1710" t="s">
        <v>1518</v>
      </c>
      <c r="B1710" t="s">
        <v>4024</v>
      </c>
      <c r="D1710">
        <v>59202</v>
      </c>
      <c r="E1710" t="str">
        <f t="shared" si="26"/>
        <v>ia.assorted_string like '%59202-03-2025%' or</v>
      </c>
    </row>
    <row r="1711" spans="1:5" x14ac:dyDescent="0.25">
      <c r="A1711" t="s">
        <v>348</v>
      </c>
      <c r="B1711" t="s">
        <v>4024</v>
      </c>
      <c r="D1711">
        <v>59203</v>
      </c>
      <c r="E1711" t="str">
        <f t="shared" si="26"/>
        <v>ia.assorted_string like '%59203-03-2025%' or</v>
      </c>
    </row>
    <row r="1712" spans="1:5" x14ac:dyDescent="0.25">
      <c r="A1712" t="s">
        <v>1267</v>
      </c>
      <c r="B1712" t="s">
        <v>4024</v>
      </c>
      <c r="D1712">
        <v>59205</v>
      </c>
      <c r="E1712" t="str">
        <f t="shared" si="26"/>
        <v>ia.assorted_string like '%59205-03-2025%' or</v>
      </c>
    </row>
    <row r="1713" spans="1:5" x14ac:dyDescent="0.25">
      <c r="A1713" t="s">
        <v>85</v>
      </c>
      <c r="B1713" t="s">
        <v>4024</v>
      </c>
      <c r="D1713">
        <v>59206</v>
      </c>
      <c r="E1713" t="str">
        <f t="shared" si="26"/>
        <v>ia.assorted_string like '%59206-03-2025%' or</v>
      </c>
    </row>
    <row r="1714" spans="1:5" x14ac:dyDescent="0.25">
      <c r="A1714" t="s">
        <v>1932</v>
      </c>
      <c r="B1714" t="s">
        <v>4024</v>
      </c>
      <c r="D1714">
        <v>59208</v>
      </c>
      <c r="E1714" t="str">
        <f t="shared" si="26"/>
        <v>ia.assorted_string like '%59208-03-2025%' or</v>
      </c>
    </row>
    <row r="1715" spans="1:5" x14ac:dyDescent="0.25">
      <c r="A1715" t="s">
        <v>334</v>
      </c>
      <c r="B1715" t="s">
        <v>4024</v>
      </c>
      <c r="D1715">
        <v>59209</v>
      </c>
      <c r="E1715" t="str">
        <f t="shared" si="26"/>
        <v>ia.assorted_string like '%59209-03-2025%' or</v>
      </c>
    </row>
    <row r="1716" spans="1:5" x14ac:dyDescent="0.25">
      <c r="A1716" t="s">
        <v>1855</v>
      </c>
      <c r="B1716" t="s">
        <v>4024</v>
      </c>
      <c r="D1716">
        <v>59210</v>
      </c>
      <c r="E1716" t="str">
        <f t="shared" si="26"/>
        <v>ia.assorted_string like '%59210-03-2025%' or</v>
      </c>
    </row>
    <row r="1717" spans="1:5" x14ac:dyDescent="0.25">
      <c r="A1717" t="s">
        <v>255</v>
      </c>
      <c r="B1717" t="s">
        <v>4024</v>
      </c>
      <c r="D1717">
        <v>59211</v>
      </c>
      <c r="E1717" t="str">
        <f t="shared" si="26"/>
        <v>ia.assorted_string like '%59211-03-2025%' or</v>
      </c>
    </row>
    <row r="1718" spans="1:5" x14ac:dyDescent="0.25">
      <c r="A1718" t="s">
        <v>1661</v>
      </c>
      <c r="B1718" t="s">
        <v>4024</v>
      </c>
      <c r="D1718">
        <v>59212</v>
      </c>
      <c r="E1718" t="str">
        <f t="shared" si="26"/>
        <v>ia.assorted_string like '%59212-03-2025%' or</v>
      </c>
    </row>
    <row r="1719" spans="1:5" x14ac:dyDescent="0.25">
      <c r="A1719" t="s">
        <v>2014</v>
      </c>
      <c r="B1719" t="s">
        <v>4024</v>
      </c>
      <c r="D1719">
        <v>59215</v>
      </c>
      <c r="E1719" t="str">
        <f t="shared" si="26"/>
        <v>ia.assorted_string like '%59215-03-2025%' or</v>
      </c>
    </row>
    <row r="1720" spans="1:5" x14ac:dyDescent="0.25">
      <c r="A1720" t="s">
        <v>1916</v>
      </c>
      <c r="B1720" t="s">
        <v>4024</v>
      </c>
      <c r="D1720">
        <v>59216</v>
      </c>
      <c r="E1720" t="str">
        <f t="shared" si="26"/>
        <v>ia.assorted_string like '%59216-03-2025%' or</v>
      </c>
    </row>
    <row r="1721" spans="1:5" x14ac:dyDescent="0.25">
      <c r="A1721" t="s">
        <v>1264</v>
      </c>
      <c r="B1721" t="s">
        <v>4024</v>
      </c>
      <c r="D1721">
        <v>59218</v>
      </c>
      <c r="E1721" t="str">
        <f t="shared" si="26"/>
        <v>ia.assorted_string like '%59218-03-2025%' or</v>
      </c>
    </row>
    <row r="1722" spans="1:5" x14ac:dyDescent="0.25">
      <c r="A1722" t="s">
        <v>1908</v>
      </c>
      <c r="B1722" t="s">
        <v>4024</v>
      </c>
      <c r="D1722">
        <v>59219</v>
      </c>
      <c r="E1722" t="str">
        <f t="shared" si="26"/>
        <v>ia.assorted_string like '%59219-03-2025%' or</v>
      </c>
    </row>
    <row r="1723" spans="1:5" x14ac:dyDescent="0.25">
      <c r="A1723" t="s">
        <v>201</v>
      </c>
      <c r="B1723" t="s">
        <v>4024</v>
      </c>
      <c r="D1723">
        <v>59220</v>
      </c>
      <c r="E1723" t="str">
        <f t="shared" si="26"/>
        <v>ia.assorted_string like '%59220-03-2025%' or</v>
      </c>
    </row>
    <row r="1724" spans="1:5" x14ac:dyDescent="0.25">
      <c r="A1724" t="s">
        <v>1638</v>
      </c>
      <c r="B1724" t="s">
        <v>4024</v>
      </c>
      <c r="D1724">
        <v>59221</v>
      </c>
      <c r="E1724" t="str">
        <f t="shared" si="26"/>
        <v>ia.assorted_string like '%59221-03-2025%' or</v>
      </c>
    </row>
    <row r="1725" spans="1:5" x14ac:dyDescent="0.25">
      <c r="A1725" t="s">
        <v>1701</v>
      </c>
      <c r="B1725" t="s">
        <v>4024</v>
      </c>
      <c r="D1725">
        <v>59222</v>
      </c>
      <c r="E1725" t="str">
        <f t="shared" si="26"/>
        <v>ia.assorted_string like '%59222-03-2025%' or</v>
      </c>
    </row>
    <row r="1726" spans="1:5" x14ac:dyDescent="0.25">
      <c r="A1726" t="s">
        <v>1974</v>
      </c>
      <c r="B1726" t="s">
        <v>4024</v>
      </c>
      <c r="D1726">
        <v>59224</v>
      </c>
      <c r="E1726" t="str">
        <f t="shared" si="26"/>
        <v>ia.assorted_string like '%59224-03-2025%' or</v>
      </c>
    </row>
    <row r="1727" spans="1:5" x14ac:dyDescent="0.25">
      <c r="A1727" t="s">
        <v>1715</v>
      </c>
      <c r="B1727" t="s">
        <v>4024</v>
      </c>
      <c r="D1727">
        <v>59225</v>
      </c>
      <c r="E1727" t="str">
        <f t="shared" si="26"/>
        <v>ia.assorted_string like '%59225-03-2025%' or</v>
      </c>
    </row>
    <row r="1728" spans="1:5" x14ac:dyDescent="0.25">
      <c r="A1728" t="s">
        <v>1986</v>
      </c>
      <c r="B1728" t="s">
        <v>4024</v>
      </c>
      <c r="D1728">
        <v>59227</v>
      </c>
      <c r="E1728" t="str">
        <f t="shared" si="26"/>
        <v>ia.assorted_string like '%59227-03-2025%' or</v>
      </c>
    </row>
    <row r="1729" spans="1:5" x14ac:dyDescent="0.25">
      <c r="A1729" t="s">
        <v>1748</v>
      </c>
      <c r="B1729" t="s">
        <v>4024</v>
      </c>
      <c r="D1729">
        <v>59228</v>
      </c>
      <c r="E1729" t="str">
        <f t="shared" si="26"/>
        <v>ia.assorted_string like '%59228-03-2025%' or</v>
      </c>
    </row>
    <row r="1730" spans="1:5" x14ac:dyDescent="0.25">
      <c r="A1730" t="s">
        <v>1351</v>
      </c>
      <c r="B1730" t="s">
        <v>4024</v>
      </c>
      <c r="D1730">
        <v>59231</v>
      </c>
      <c r="E1730" t="str">
        <f t="shared" ref="E1730:E1750" si="27">"ia.assorted_string like '%"&amp;D1730&amp;B1730&amp;"%' or"</f>
        <v>ia.assorted_string like '%59231-03-2025%' or</v>
      </c>
    </row>
    <row r="1731" spans="1:5" x14ac:dyDescent="0.25">
      <c r="A1731" t="s">
        <v>283</v>
      </c>
      <c r="B1731" t="s">
        <v>4024</v>
      </c>
      <c r="D1731">
        <v>59232</v>
      </c>
      <c r="E1731" t="str">
        <f t="shared" si="27"/>
        <v>ia.assorted_string like '%59232-03-2025%' or</v>
      </c>
    </row>
    <row r="1732" spans="1:5" x14ac:dyDescent="0.25">
      <c r="A1732" t="s">
        <v>1250</v>
      </c>
      <c r="B1732" t="s">
        <v>4024</v>
      </c>
      <c r="D1732">
        <v>59233</v>
      </c>
      <c r="E1732" t="str">
        <f t="shared" si="27"/>
        <v>ia.assorted_string like '%59233-03-2025%' or</v>
      </c>
    </row>
    <row r="1733" spans="1:5" x14ac:dyDescent="0.25">
      <c r="A1733" t="s">
        <v>1571</v>
      </c>
      <c r="B1733" t="s">
        <v>4024</v>
      </c>
      <c r="D1733">
        <v>59234</v>
      </c>
      <c r="E1733" t="str">
        <f t="shared" si="27"/>
        <v>ia.assorted_string like '%59234-03-2025%' or</v>
      </c>
    </row>
    <row r="1734" spans="1:5" x14ac:dyDescent="0.25">
      <c r="A1734" t="s">
        <v>9</v>
      </c>
      <c r="B1734" t="s">
        <v>4024</v>
      </c>
      <c r="D1734">
        <v>59235</v>
      </c>
      <c r="E1734" t="str">
        <f t="shared" si="27"/>
        <v>ia.assorted_string like '%59235-03-2025%' or</v>
      </c>
    </row>
    <row r="1735" spans="1:5" x14ac:dyDescent="0.25">
      <c r="A1735" t="s">
        <v>2021</v>
      </c>
      <c r="B1735" t="s">
        <v>4006</v>
      </c>
      <c r="D1735">
        <v>41195</v>
      </c>
      <c r="E1735" t="str">
        <f t="shared" si="27"/>
        <v>ia.assorted_string like '%41195-04-2024%' or</v>
      </c>
    </row>
    <row r="1736" spans="1:5" x14ac:dyDescent="0.25">
      <c r="A1736" t="s">
        <v>2022</v>
      </c>
      <c r="B1736" t="s">
        <v>4007</v>
      </c>
      <c r="D1736">
        <v>42139</v>
      </c>
      <c r="E1736" t="str">
        <f t="shared" si="27"/>
        <v>ia.assorted_string like '%42139-05-2024%' or</v>
      </c>
    </row>
    <row r="1737" spans="1:5" x14ac:dyDescent="0.25">
      <c r="A1737" t="s">
        <v>2023</v>
      </c>
      <c r="B1737" t="s">
        <v>4009</v>
      </c>
      <c r="D1737">
        <v>43075</v>
      </c>
      <c r="E1737" t="str">
        <f t="shared" si="27"/>
        <v>ia.assorted_string like '%43075-07-2024%' or</v>
      </c>
    </row>
    <row r="1738" spans="1:5" x14ac:dyDescent="0.25">
      <c r="A1738" t="s">
        <v>2024</v>
      </c>
      <c r="B1738" t="s">
        <v>4019</v>
      </c>
      <c r="D1738">
        <v>48742</v>
      </c>
      <c r="E1738" t="str">
        <f t="shared" si="27"/>
        <v>ia.assorted_string like '%48742-10-2024%' or</v>
      </c>
    </row>
    <row r="1739" spans="1:5" x14ac:dyDescent="0.25">
      <c r="A1739" s="17" t="s">
        <v>3977</v>
      </c>
      <c r="B1739" t="s">
        <v>4017</v>
      </c>
      <c r="D1739">
        <v>95340</v>
      </c>
      <c r="E1739" t="str">
        <f t="shared" si="27"/>
        <v>ia.assorted_string like '%95340-08-2024%' or</v>
      </c>
    </row>
    <row r="1740" spans="1:5" x14ac:dyDescent="0.25">
      <c r="A1740" s="17" t="s">
        <v>3978</v>
      </c>
      <c r="B1740" t="s">
        <v>4025</v>
      </c>
      <c r="D1740">
        <v>59603</v>
      </c>
      <c r="E1740" t="str">
        <f t="shared" si="27"/>
        <v>ia.assorted_string like '%59603-04-2025%' or</v>
      </c>
    </row>
    <row r="1741" spans="1:5" x14ac:dyDescent="0.25">
      <c r="A1741" s="17" t="s">
        <v>3979</v>
      </c>
      <c r="B1741" t="s">
        <v>4017</v>
      </c>
      <c r="D1741">
        <v>95344</v>
      </c>
      <c r="E1741" t="str">
        <f t="shared" si="27"/>
        <v>ia.assorted_string like '%95344-08-2024%' or</v>
      </c>
    </row>
    <row r="1742" spans="1:5" x14ac:dyDescent="0.25">
      <c r="A1742" s="17" t="s">
        <v>3980</v>
      </c>
      <c r="B1742" t="s">
        <v>4025</v>
      </c>
      <c r="D1742">
        <v>59605</v>
      </c>
      <c r="E1742" t="str">
        <f t="shared" si="27"/>
        <v>ia.assorted_string like '%59605-04-2025%' or</v>
      </c>
    </row>
    <row r="1743" spans="1:5" x14ac:dyDescent="0.25">
      <c r="A1743" s="17" t="s">
        <v>3981</v>
      </c>
      <c r="B1743" t="s">
        <v>4017</v>
      </c>
      <c r="D1743">
        <v>95345</v>
      </c>
      <c r="E1743" t="str">
        <f t="shared" si="27"/>
        <v>ia.assorted_string like '%95345-08-2024%' or</v>
      </c>
    </row>
    <row r="1744" spans="1:5" x14ac:dyDescent="0.25">
      <c r="A1744" s="17" t="s">
        <v>3982</v>
      </c>
      <c r="B1744" t="s">
        <v>4025</v>
      </c>
      <c r="D1744">
        <v>59619</v>
      </c>
      <c r="E1744" t="str">
        <f t="shared" si="27"/>
        <v>ia.assorted_string like '%59619-04-2025%' or</v>
      </c>
    </row>
    <row r="1745" spans="1:5" x14ac:dyDescent="0.25">
      <c r="A1745" s="17" t="s">
        <v>3983</v>
      </c>
      <c r="B1745" t="s">
        <v>4017</v>
      </c>
      <c r="D1745">
        <v>95341</v>
      </c>
      <c r="E1745" t="str">
        <f t="shared" si="27"/>
        <v>ia.assorted_string like '%95341-08-2024%' or</v>
      </c>
    </row>
    <row r="1746" spans="1:5" x14ac:dyDescent="0.25">
      <c r="A1746" s="17" t="s">
        <v>3984</v>
      </c>
      <c r="B1746" t="s">
        <v>4025</v>
      </c>
      <c r="D1746">
        <v>59620</v>
      </c>
      <c r="E1746" t="str">
        <f t="shared" si="27"/>
        <v>ia.assorted_string like '%59620-04-2025%' or</v>
      </c>
    </row>
    <row r="1747" spans="1:5" x14ac:dyDescent="0.25">
      <c r="A1747" s="17" t="s">
        <v>3985</v>
      </c>
      <c r="B1747" t="s">
        <v>4017</v>
      </c>
      <c r="D1747">
        <v>95346</v>
      </c>
      <c r="E1747" t="str">
        <f t="shared" si="27"/>
        <v>ia.assorted_string like '%95346-08-2024%' or</v>
      </c>
    </row>
    <row r="1748" spans="1:5" x14ac:dyDescent="0.25">
      <c r="A1748" s="17" t="s">
        <v>3986</v>
      </c>
      <c r="B1748" t="s">
        <v>4025</v>
      </c>
      <c r="D1748">
        <v>59621</v>
      </c>
      <c r="E1748" t="str">
        <f t="shared" si="27"/>
        <v>ia.assorted_string like '%59621-04-2025%' or</v>
      </c>
    </row>
    <row r="1749" spans="1:5" x14ac:dyDescent="0.25">
      <c r="A1749" s="17" t="s">
        <v>3987</v>
      </c>
      <c r="B1749" t="s">
        <v>4017</v>
      </c>
      <c r="D1749">
        <v>95317</v>
      </c>
      <c r="E1749" t="str">
        <f t="shared" si="27"/>
        <v>ia.assorted_string like '%95317-08-2024%' or</v>
      </c>
    </row>
    <row r="1750" spans="1:5" x14ac:dyDescent="0.25">
      <c r="A1750" s="17" t="s">
        <v>3988</v>
      </c>
      <c r="B1750" t="s">
        <v>4025</v>
      </c>
      <c r="D1750">
        <v>59625</v>
      </c>
      <c r="E1750" t="str">
        <f t="shared" si="27"/>
        <v>ia.assorted_string like '%59625-04-2025%' 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Sheet1</vt:lpstr>
      <vt:lpstr>FINAL LIST</vt:lpstr>
      <vt:lpstr>working</vt:lpstr>
      <vt:lpstr>Sheet5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obaid.gulraiz@salaamtakaful.com</dc:creator>
  <cp:lastModifiedBy>IT User Software</cp:lastModifiedBy>
  <dcterms:created xsi:type="dcterms:W3CDTF">2025-04-29T06:17:33Z</dcterms:created>
  <dcterms:modified xsi:type="dcterms:W3CDTF">2025-04-30T06:34:57Z</dcterms:modified>
</cp:coreProperties>
</file>